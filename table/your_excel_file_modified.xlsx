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440" tabRatio="806" firstSheet="81" activeTab="88" autoFilterDateGrouping="1"/>
  </bookViews>
  <sheets>
    <sheet name="表结构清单" sheetId="1" state="visible" r:id="rId1"/>
    <sheet name="表结构清单 (2)" sheetId="2" state="visible" r:id="rId2"/>
    <sheet name="Sheet1" sheetId="3" state="visible" r:id="rId3"/>
    <sheet name="Sheet2" sheetId="4" state="visible" r:id="rId4"/>
    <sheet name="新增字段查找" sheetId="5" state="visible" r:id="rId5"/>
    <sheet name="码值映射清单" sheetId="6" state="visible" r:id="rId6"/>
    <sheet name="audit_info" sheetId="7" state="visible" r:id="rId7"/>
    <sheet name="appraisal_agency" sheetId="8" state="visible" r:id="rId8"/>
    <sheet name="appraisal_agency_apply" sheetId="9" state="visible" r:id="rId9"/>
    <sheet name="appraisal_agency_appraise" sheetId="10" state="visible" r:id="rId10"/>
    <sheet name="appraisal_agency_cooperation" sheetId="11" state="visible" r:id="rId11"/>
    <sheet name="appraisal_agency_event" sheetId="12" state="visible" r:id="rId12"/>
    <sheet name="appraisal_agency_expenses" sheetId="13" state="visible" r:id="rId13"/>
    <sheet name="appraisal_agency_file" sheetId="14" state="visible" r:id="rId14"/>
    <sheet name="appraisal_agency_information" sheetId="15" state="visible" r:id="rId15"/>
    <sheet name="appraisal_agency_qualification" sheetId="16" state="visible" r:id="rId16"/>
    <sheet name="appraisal_apply_relative" sheetId="17" state="visible" r:id="rId17"/>
    <sheet name="awe_bizfile_info" sheetId="18" state="visible" r:id="rId18"/>
    <sheet name="awe_dict_errmsg" sheetId="19" state="visible" r:id="rId19"/>
    <sheet name="awe_do_catalog" sheetId="20" state="visible" r:id="rId20"/>
    <sheet name="awe_do_col_validate" sheetId="21" state="visible" r:id="rId21"/>
    <sheet name="awe_do_event" sheetId="22" state="visible" r:id="rId22"/>
    <sheet name="awe_do_function" sheetId="23" state="visible" r:id="rId23"/>
    <sheet name="awe_do_group" sheetId="24" state="visible" r:id="rId24"/>
    <sheet name="awe_do_js_function" sheetId="25" state="visible" r:id="rId25"/>
    <sheet name="awe_do_keyfilter" sheetId="26" state="visible" r:id="rId26"/>
    <sheet name="awe_do_library" sheetId="27" state="visible" r:id="rId27"/>
    <sheet name="awe_do_modes" sheetId="28" state="visible" r:id="rId28"/>
    <sheet name="awe_do_validate" sheetId="29" state="visible" r:id="rId29"/>
    <sheet name="awe_do_validate_catalog" sheetId="30" state="visible" r:id="rId30"/>
    <sheet name="awe_dw_context" sheetId="31" state="visible" r:id="rId31"/>
    <sheet name="awe_function_info" sheetId="32" state="visible" r:id="rId32"/>
    <sheet name="awe_function_url" sheetId="33" state="visible" r:id="rId33"/>
    <sheet name="awe_group_catalog" sheetId="34" state="visible" r:id="rId34"/>
    <sheet name="awe_group_classify" sheetId="35" state="visible" r:id="rId35"/>
    <sheet name="awe_group_item" sheetId="36" state="visible" r:id="rId36"/>
    <sheet name="awe_href_info" sheetId="37" state="visible" r:id="rId37"/>
    <sheet name="awe_jsp_runtime" sheetId="38" state="visible" r:id="rId38"/>
    <sheet name="awe_menu_info" sheetId="39" state="visible" r:id="rId39"/>
    <sheet name="awe_message_info" sheetId="40" state="visible" r:id="rId40"/>
    <sheet name="awe_message_user" sheetId="41" state="visible" r:id="rId41"/>
    <sheet name="awe_query_info" sheetId="42" state="visible" r:id="rId42"/>
    <sheet name="awe_query_user" sheetId="43" state="visible" r:id="rId43"/>
    <sheet name="awe_quick_href" sheetId="44" state="visible" r:id="rId44"/>
    <sheet name="awe_record_info" sheetId="45" state="visible" r:id="rId45"/>
    <sheet name="awe_right_menu" sheetId="46" state="visible" r:id="rId46"/>
    <sheet name="awe_role_function" sheetId="47" state="visible" r:id="rId47"/>
    <sheet name="awe_role_menu" sheetId="48" state="visible" r:id="rId48"/>
    <sheet name="awe_role_right" sheetId="49" state="visible" r:id="rId49"/>
    <sheet name="awe_role_url" sheetId="50" state="visible" r:id="rId50"/>
    <sheet name="awe_shortcut" sheetId="51" state="visible" r:id="rId51"/>
    <sheet name="awe_shortcutitem" sheetId="52" state="visible" r:id="rId52"/>
    <sheet name="awe_task_info" sheetId="53" state="visible" r:id="rId53"/>
    <sheet name="awe_task_process" sheetId="54" state="visible" r:id="rId54"/>
    <sheet name="awe_wizard_catalog" sheetId="55" state="visible" r:id="rId55"/>
    <sheet name="awe_wizard_library" sheetId="56" state="visible" r:id="rId56"/>
    <sheet name="awe_wizard_runner" sheetId="57" state="visible" r:id="rId57"/>
    <sheet name="bat_task_error" sheetId="58" state="visible" r:id="rId58"/>
    <sheet name="bat_task_log" sheetId="59" state="visible" r:id="rId59"/>
    <sheet name="bat_upload" sheetId="60" state="visible" r:id="rId60"/>
    <sheet name="bill_info" sheetId="61" state="visible" r:id="rId61"/>
    <sheet name="board_list" sheetId="62" state="visible" r:id="rId62"/>
    <sheet name="board_user" sheetId="63" state="visible" r:id="rId63"/>
    <sheet name="business_contract" sheetId="64" state="visible" r:id="rId64"/>
    <sheet name="class_catalog" sheetId="65" state="visible" r:id="rId65"/>
    <sheet name="class_method" sheetId="66" state="visible" r:id="rId66"/>
    <sheet name="clr_asset_finance" sheetId="67" state="visible" r:id="rId67"/>
    <sheet name="clr_asset_others_equipment" sheetId="68" state="visible" r:id="rId68"/>
    <sheet name="clr_asset_others_inventory" sheetId="69" state="visible" r:id="rId69"/>
    <sheet name="clr_asset_others_resource" sheetId="70" state="visible" r:id="rId70"/>
    <sheet name="clr_asset_others_sbc" sheetId="71" state="visible" r:id="rId71"/>
    <sheet name="clr_asset_others_tlpr" sheetId="72" state="visible" r:id="rId72"/>
    <sheet name="clr_asset_realty" sheetId="73" state="visible" r:id="rId73"/>
    <sheet name="clr_asset_receivable" sheetId="74" state="visible" r:id="rId74"/>
    <sheet name="clr_cargo_info" sheetId="75" state="visible" r:id="rId75"/>
    <sheet name="clr_catalog" sheetId="76" state="visible" r:id="rId76"/>
    <sheet name="clr_commodity_market" sheetId="77" state="visible" r:id="rId77"/>
    <sheet name="clr_evaluation_appl" sheetId="78" state="visible" r:id="rId78"/>
    <sheet name="clr_evaluation_data" sheetId="79" state="visible" r:id="rId79"/>
    <sheet name="clr_evaluation_record" sheetId="80" state="visible" r:id="rId80"/>
    <sheet name="clr_fund_market" sheetId="81" state="visible" r:id="rId81"/>
    <sheet name="clr_fund_market_detail" sheetId="82" state="visible" r:id="rId82"/>
    <sheet name="clr_guascheme_relative" sheetId="83" state="visible" r:id="rId83"/>
    <sheet name="clr_handle_info" sheetId="84" state="visible" r:id="rId84"/>
    <sheet name="clr_info" sheetId="85" state="visible" r:id="rId85"/>
    <sheet name="clr_insurance_record" sheetId="86" state="visible" r:id="rId86"/>
    <sheet name="clr_material_catalog" sheetId="87" state="visible" r:id="rId87"/>
    <sheet name="clr_notarization_record" sheetId="88" state="visible" r:id="rId88"/>
    <sheet name="clr_owner" sheetId="89" state="visible" r:id="rId89"/>
    <sheet name="clr_param" sheetId="90" state="visible" r:id="rId90"/>
    <sheet name="clr_priceindex" sheetId="91" state="visible" r:id="rId91"/>
    <sheet name="clr_qualification_info" sheetId="92" state="visible" r:id="rId92"/>
    <sheet name="clr_register_record" sheetId="93" state="visible" r:id="rId93"/>
    <sheet name="clr_rightcert_info" sheetId="94" state="visible" r:id="rId94"/>
    <sheet name="clr_rightcert_package_info" sheetId="95" state="visible" r:id="rId95"/>
    <sheet name="clr_rightcert_tranrecord" sheetId="96" state="visible" r:id="rId96"/>
    <sheet name="clr_rightcert_trappl" sheetId="97" state="visible" r:id="rId97"/>
    <sheet name="clr_rightcert_trappl_group" sheetId="98" state="visible" r:id="rId98"/>
    <sheet name="clr_sample_houseing" sheetId="99" state="visible" r:id="rId99"/>
    <sheet name="clr_sample_selected" sheetId="100" state="visible" r:id="rId100"/>
    <sheet name="clr_stock_market" sheetId="101" state="visible" r:id="rId101"/>
    <sheet name="clr_stock_market_detail" sheetId="102" state="visible" r:id="rId102"/>
    <sheet name="clr_stress_bu_detail" sheetId="103" state="visible" r:id="rId103"/>
    <sheet name="clr_stress_clr_detail" sheetId="104" state="visible" r:id="rId104"/>
    <sheet name="clr_stress_link" sheetId="105" state="visible" r:id="rId105"/>
    <sheet name="clr_stress_record" sheetId="106" state="visible" r:id="rId106"/>
    <sheet name="clr_stress_test" sheetId="107" state="visible" r:id="rId107"/>
    <sheet name="clr_verification_info" sheetId="108" state="visible" r:id="rId108"/>
    <sheet name="clr_verification_record" sheetId="109" state="visible" r:id="rId109"/>
    <sheet name="code_catalog" sheetId="110" state="visible" r:id="rId110"/>
    <sheet name="code_library" sheetId="111" state="visible" r:id="rId111"/>
    <sheet name="conf_erate_info" sheetId="112" state="visible" r:id="rId112"/>
    <sheet name="conf_quick_menu_url" sheetId="113" state="visible" r:id="rId113"/>
    <sheet name="corporation_info" sheetId="114" state="visible" r:id="rId114"/>
    <sheet name="doc_attachment" sheetId="115" state="visible" r:id="rId115"/>
    <sheet name="doc_library" sheetId="116" state="visible" r:id="rId116"/>
    <sheet name="doc_relative" sheetId="117" state="visible" r:id="rId117"/>
    <sheet name="erate_info" sheetId="118" state="visible" r:id="rId118"/>
    <sheet name="evaluate_catalog" sheetId="119" state="visible" r:id="rId119"/>
    <sheet name="evaluate_data" sheetId="120" state="visible" r:id="rId120"/>
    <sheet name="evaluate_model" sheetId="121" state="visible" r:id="rId121"/>
    <sheet name="evaluate_record" sheetId="122" state="visible" r:id="rId122"/>
    <sheet name="flow_activities" sheetId="123" state="visible" r:id="rId123"/>
    <sheet name="flow_attributegroup" sheetId="124" state="visible" r:id="rId124"/>
    <sheet name="flow_buttongroup" sheetId="125" state="visible" r:id="rId125"/>
    <sheet name="flow_buttonitem" sheetId="126" state="visible" r:id="rId126"/>
    <sheet name="flow_catalog" sheetId="127" state="visible" r:id="rId127"/>
    <sheet name="flow_def" sheetId="128" state="visible" r:id="rId128"/>
    <sheet name="flow_deploy" sheetId="129" state="visible" r:id="rId129"/>
    <sheet name="flow_group" sheetId="130" state="visible" r:id="rId130"/>
    <sheet name="flow_hi_model" sheetId="131" state="visible" r:id="rId131"/>
    <sheet name="flow_message" sheetId="132" state="visible" r:id="rId132"/>
    <sheet name="flow_model" sheetId="133" state="visible" r:id="rId133"/>
    <sheet name="flow_model_relative" sheetId="134" state="visible" r:id="rId134"/>
    <sheet name="flow_object" sheetId="135" state="visible" r:id="rId135"/>
    <sheet name="flow_object_summary" sheetId="136" state="visible" r:id="rId136"/>
    <sheet name="flow_opinion" sheetId="137" state="visible" r:id="rId137"/>
    <sheet name="flow_phasetype" sheetId="138" state="visible" r:id="rId138"/>
    <sheet name="flow_props" sheetId="139" state="visible" r:id="rId139"/>
    <sheet name="flow_ru_model" sheetId="140" state="visible" r:id="rId140"/>
    <sheet name="flow_swimlane" sheetId="141" state="visible" r:id="rId141"/>
    <sheet name="flow_task" sheetId="142" state="visible" r:id="rId142"/>
    <sheet name="flow_task_closed" sheetId="143" state="visible" r:id="rId143"/>
    <sheet name="flow_user_rela" sheetId="144" state="visible" r:id="rId144"/>
    <sheet name="flow_userconf" sheetId="145" state="visible" r:id="rId145"/>
    <sheet name="guarantor_info" sheetId="146" state="visible" r:id="rId146"/>
    <sheet name="guaranty_contract" sheetId="147" state="visible" r:id="rId147"/>
    <sheet name="guaranty_relative" sheetId="148" state="visible" r:id="rId148"/>
    <sheet name="log_auditinfo" sheetId="149" state="visible" r:id="rId149"/>
    <sheet name="manage_change" sheetId="150" state="visible" r:id="rId150"/>
    <sheet name="object_attribute" sheetId="151" state="visible" r:id="rId151"/>
    <sheet name="object_maxsn" sheetId="152" state="visible" r:id="rId152"/>
    <sheet name="objecttype_catalog" sheetId="153" state="visible" r:id="rId153"/>
    <sheet name="objecttype_rela" sheetId="154" state="visible" r:id="rId154"/>
    <sheet name="org_belong" sheetId="155" state="visible" r:id="rId155"/>
    <sheet name="org_info" sheetId="156" state="visible" r:id="rId156"/>
    <sheet name="post_sublicense" sheetId="157" state="visible" r:id="rId157"/>
    <sheet name="rate_info" sheetId="158" state="visible" r:id="rId158"/>
    <sheet name="role_info" sheetId="159" state="visible" r:id="rId159"/>
    <sheet name="role_right" sheetId="160" state="visible" r:id="rId160"/>
    <sheet name="scenario_args" sheetId="161" state="visible" r:id="rId161"/>
    <sheet name="scenario_catalog" sheetId="162" state="visible" r:id="rId162"/>
    <sheet name="scenario_group" sheetId="163" state="visible" r:id="rId163"/>
    <sheet name="scenario_model" sheetId="164" state="visible" r:id="rId164"/>
    <sheet name="scenario_relative" sheetId="165" state="visible" r:id="rId165"/>
    <sheet name="security_audit" sheetId="166" state="visible" r:id="rId166"/>
    <sheet name="select_catalog" sheetId="167" state="visible" r:id="rId167"/>
    <sheet name="sys_calendar" sheetId="168" state="visible" r:id="rId168"/>
    <sheet name="system_setup" sheetId="169" state="visible" r:id="rId169"/>
    <sheet name="task_run_history" sheetId="170" state="visible" r:id="rId170"/>
    <sheet name="task_run_interact" sheetId="171" state="visible" r:id="rId171"/>
    <sheet name="task_run_status" sheetId="172" state="visible" r:id="rId172"/>
    <sheet name="user_defineinfo" sheetId="173" state="visible" r:id="rId173"/>
    <sheet name="user_failedlist" sheetId="174" state="visible" r:id="rId174"/>
    <sheet name="user_info" sheetId="175" state="visible" r:id="rId175"/>
    <sheet name="user_list" sheetId="176" state="visible" r:id="rId176"/>
    <sheet name="user_logon_session" sheetId="177" state="visible" r:id="rId177"/>
    <sheet name="user_markinfo" sheetId="178" state="visible" r:id="rId178"/>
    <sheet name="user_menu_counter" sheetId="179" state="visible" r:id="rId179"/>
    <sheet name="user_right" sheetId="180" state="visible" r:id="rId180"/>
    <sheet name="user_role" sheetId="181" state="visible" r:id="rId181"/>
    <sheet name="user_runtime" sheetId="182" state="visible" r:id="rId182"/>
    <sheet name="user_worktips" sheetId="183" state="visible" r:id="rId183"/>
    <sheet name="wf_activeinstance" sheetId="184" state="visible" r:id="rId184"/>
    <sheet name="wf_instance" sheetId="185" state="visible" r:id="rId185"/>
    <sheet name="wf_opinion" sheetId="186" state="visible" r:id="rId186"/>
    <sheet name="wf_workitem" sheetId="187" state="visible" r:id="rId187"/>
    <sheet name="worktip_condition" sheetId="188" state="visible" r:id="rId188"/>
    <sheet name="worktip_summary" sheetId="189" state="visible" r:id="rId189"/>
    <sheet name="clr_belong" sheetId="190" state="visible" r:id="rId190"/>
    <sheet name="CLR_PROPERTY_HOUSE_INFO" sheetId="191" state="visible" r:id="rId191"/>
    <sheet name="CLR_PROPERTY_RIGHT_HOLDER_INFO" sheetId="192" state="visible" r:id="rId192"/>
    <sheet name="CLR_GUARANTY_FILE_UP_RECORD" sheetId="193" state="visible" r:id="rId193"/>
    <sheet name="GUARANTY_REGISTER_INFO" sheetId="194" state="visible" r:id="rId194"/>
    <sheet name="CLR_OWNERSHIP_CHANGE_INFO" sheetId="195" state="visible" r:id="rId195"/>
    <sheet name="CLR_RIGHTCERT_TRAPPL_RELA" sheetId="196" state="visible" r:id="rId196"/>
    <sheet name="CLR_CORE_REGISTER_PACKAGE" sheetId="197" state="visible" r:id="rId197"/>
    <sheet name="CLR_CORE_REGISTER_INFO" sheetId="198" state="visible" r:id="rId198"/>
    <sheet name="RISK_MITIGATION_DETAIL" sheetId="199" state="visible" r:id="rId199"/>
    <sheet name="RISK_MITIGATION_BIZ" sheetId="200" state="visible" r:id="rId200"/>
    <sheet name="RISK_MITIGATION_CLR" sheetId="201" state="visible" r:id="rId201"/>
    <sheet name="CLR_INVOICE_RECORD" sheetId="202" state="visible" r:id="rId202"/>
    <sheet name="CLR_EVALUATION_APPL_GROUP" sheetId="203" state="visible" r:id="rId203"/>
    <sheet name="CLR_ONLINE_RESULT" sheetId="204" state="visible" r:id="rId204"/>
    <sheet name="CCMS_PARTYINF" sheetId="205" state="visible" r:id="rId205"/>
  </sheets>
  <definedNames/>
  <calcPr calcId="144525" fullCalcOnLoad="1"/>
</workbook>
</file>

<file path=xl/styles.xml><?xml version="1.0" encoding="utf-8"?>
<styleSheet xmlns="http://schemas.openxmlformats.org/spreadsheetml/2006/main">
  <numFmts count="2">
    <numFmt numFmtId="164" formatCode="yyyy/mm/d"/>
    <numFmt numFmtId="165" formatCode="_(&quot;$&quot;* #,##0.00_);_(&quot;$&quot;* \(#,##0.00\);_(&quot;$&quot;* &quot;-&quot;??_);_(@_)"/>
  </numFmts>
  <fonts count="56">
    <font>
      <name val="Arial"/>
      <charset val="0"/>
      <sz val="10"/>
    </font>
    <font>
      <name val="宋体-简"/>
      <charset val="134"/>
      <color rgb="FF800080"/>
      <sz val="10"/>
      <u val="single"/>
    </font>
    <font>
      <name val="宋体-简"/>
      <charset val="134"/>
      <sz val="10"/>
    </font>
    <font>
      <name val="黑体"/>
      <charset val="134"/>
      <sz val="10"/>
    </font>
    <font>
      <name val="Arial"/>
      <charset val="0"/>
      <sz val="9"/>
    </font>
    <font>
      <name val="宋体-简"/>
      <charset val="134"/>
      <sz val="9"/>
    </font>
    <font>
      <name val="Arial"/>
      <charset val="134"/>
      <color rgb="FF800080"/>
      <sz val="10"/>
      <u val="single"/>
    </font>
    <font>
      <name val="Arial"/>
      <charset val="134"/>
      <sz val="10"/>
    </font>
    <font>
      <name val="Arial"/>
      <charset val="134"/>
      <sz val="9"/>
    </font>
    <font>
      <name val="Droid Sans Fallback"/>
      <charset val="134"/>
      <color rgb="FF800080"/>
      <sz val="10"/>
      <u val="single"/>
    </font>
    <font>
      <name val="Arial"/>
      <charset val="0"/>
      <color indexed="4"/>
      <sz val="10"/>
      <u val="single"/>
    </font>
    <font>
      <name val="Droid Sans Fallback"/>
      <charset val="134"/>
      <sz val="9"/>
    </font>
    <font>
      <name val="Droid Sans Fallback"/>
      <charset val="134"/>
      <sz val="10"/>
    </font>
    <font>
      <name val="Arial"/>
      <charset val="0"/>
      <color rgb="FF0000FF"/>
      <sz val="10"/>
      <u val="single"/>
    </font>
    <font>
      <name val="Arial"/>
      <charset val="0"/>
      <color rgb="FF800080"/>
      <sz val="10"/>
      <u val="single"/>
    </font>
    <font>
      <name val="Arial"/>
      <charset val="0"/>
      <color rgb="FFFF0000"/>
      <sz val="9"/>
    </font>
    <font>
      <name val="宋体-简"/>
      <charset val="134"/>
      <color rgb="FFFF0000"/>
      <sz val="9"/>
    </font>
    <font>
      <name val="Arial"/>
      <charset val="0"/>
      <color rgb="FFFF0000"/>
      <sz val="10"/>
      <u val="single"/>
    </font>
    <font>
      <name val="宋体"/>
      <charset val="134"/>
      <sz val="11"/>
      <u val="single"/>
    </font>
    <font>
      <name val="华文楷体"/>
      <charset val="134"/>
      <color rgb="FF000000"/>
      <sz val="9"/>
    </font>
    <font>
      <name val="宋体-简"/>
      <charset val="0"/>
      <sz val="10"/>
    </font>
    <font>
      <name val="宋体-简"/>
      <charset val="0"/>
      <color rgb="FF800080"/>
      <sz val="10"/>
      <u val="single"/>
    </font>
    <font>
      <name val="微软雅黑"/>
      <charset val="134"/>
      <color rgb="FF000000"/>
      <sz val="9"/>
    </font>
    <font>
      <name val="Arial Regular"/>
      <charset val="134"/>
      <color rgb="FF000000"/>
      <sz val="9"/>
    </font>
    <font>
      <name val="PingFang SC"/>
      <charset val="0"/>
      <color rgb="FF222222"/>
      <sz val="12"/>
    </font>
    <font>
      <name val="宋体"/>
      <charset val="134"/>
      <color rgb="FF800080"/>
      <sz val="11"/>
      <u val="single"/>
      <scheme val="minor"/>
    </font>
    <font>
      <name val="PingFang SC"/>
      <charset val="0"/>
      <color rgb="FF1C1F23"/>
      <sz val="10.5"/>
    </font>
    <font>
      <name val="宋体"/>
      <charset val="134"/>
      <i val="1"/>
      <color rgb="FF000000"/>
      <sz val="10.5"/>
    </font>
    <font>
      <name val="宋体"/>
      <charset val="134"/>
      <sz val="11"/>
    </font>
    <font>
      <name val="宋体"/>
      <charset val="134"/>
      <color rgb="FF800080"/>
      <sz val="11"/>
      <u val="single"/>
    </font>
    <font>
      <name val="宋体"/>
      <charset val="134"/>
      <color rgb="FFFF0000"/>
      <sz val="11"/>
      <u val="single"/>
    </font>
    <font>
      <name val="宋体"/>
      <charset val="134"/>
      <color rgb="FFFF0000"/>
      <sz val="11"/>
    </font>
    <font>
      <name val="宋体"/>
      <charset val="134"/>
      <color rgb="FF0000FF"/>
      <sz val="11"/>
      <u val="single"/>
    </font>
    <font>
      <name val="宋体"/>
      <charset val="134"/>
      <color rgb="FFFA7D00"/>
      <sz val="11"/>
      <scheme val="minor"/>
    </font>
    <font>
      <name val="宋体"/>
      <charset val="134"/>
      <color theme="1"/>
      <sz val="11"/>
      <scheme val="minor"/>
    </font>
    <font>
      <name val="宋体"/>
      <charset val="134"/>
      <color theme="0"/>
      <sz val="11"/>
      <scheme val="minor"/>
    </font>
    <font>
      <name val="宋体"/>
      <charset val="134"/>
      <b val="1"/>
      <color theme="3"/>
      <sz val="18"/>
      <scheme val="minor"/>
    </font>
    <font>
      <name val="宋体"/>
      <charset val="134"/>
      <b val="1"/>
      <color theme="3"/>
      <sz val="11"/>
      <scheme val="minor"/>
    </font>
    <font>
      <name val="宋体"/>
      <charset val="134"/>
      <b val="1"/>
      <color theme="3"/>
      <sz val="15"/>
      <scheme val="minor"/>
    </font>
    <font>
      <name val="宋体"/>
      <charset val="134"/>
      <i val="1"/>
      <color rgb="FF7F7F7F"/>
      <sz val="11"/>
      <scheme val="minor"/>
    </font>
    <font>
      <name val="宋体"/>
      <charset val="134"/>
      <color indexed="8"/>
      <sz val="11"/>
      <scheme val="minor"/>
    </font>
    <font>
      <name val="宋体"/>
      <charset val="134"/>
      <b val="1"/>
      <color rgb="FFFFFFFF"/>
      <sz val="11"/>
      <scheme val="minor"/>
    </font>
    <font>
      <name val="宋体"/>
      <charset val="134"/>
      <b val="1"/>
      <color theme="1"/>
      <sz val="11"/>
      <scheme val="minor"/>
    </font>
    <font>
      <name val="宋体"/>
      <charset val="134"/>
      <color rgb="FF9C0006"/>
      <sz val="11"/>
      <scheme val="minor"/>
    </font>
    <font>
      <name val="宋体"/>
      <charset val="134"/>
      <color rgb="FF006100"/>
      <sz val="11"/>
      <scheme val="minor"/>
    </font>
    <font>
      <name val="宋体"/>
      <charset val="134"/>
      <color rgb="FF9C6500"/>
      <sz val="11"/>
      <scheme val="minor"/>
    </font>
    <font>
      <name val="宋体"/>
      <charset val="134"/>
      <b val="1"/>
      <color rgb="FFFA7D00"/>
      <sz val="11"/>
      <scheme val="minor"/>
    </font>
    <font>
      <name val="宋体"/>
      <charset val="134"/>
      <b val="1"/>
      <color theme="3"/>
      <sz val="13"/>
      <scheme val="minor"/>
    </font>
    <font>
      <name val="宋体"/>
      <charset val="134"/>
      <b val="1"/>
      <color rgb="FF3F3F3F"/>
      <sz val="11"/>
      <scheme val="minor"/>
    </font>
    <font>
      <name val="宋体"/>
      <charset val="134"/>
      <color rgb="FF3F3F76"/>
      <sz val="11"/>
      <scheme val="minor"/>
    </font>
    <font>
      <name val="宋体"/>
      <charset val="134"/>
      <color rgb="FF0000FF"/>
      <sz val="11"/>
      <u val="single"/>
      <scheme val="minor"/>
    </font>
    <font>
      <name val="宋体"/>
      <charset val="134"/>
      <color rgb="FFFF0000"/>
      <sz val="11"/>
      <scheme val="minor"/>
    </font>
    <font>
      <name val="Arial Regular"/>
      <charset val="0"/>
      <sz val="9"/>
    </font>
    <font>
      <name val="宋体"/>
      <charset val="134"/>
      <color indexed="8"/>
      <sz val="11"/>
    </font>
    <font>
      <name val="Times New Roman"/>
      <charset val="1"/>
      <color indexed="8"/>
      <sz val="11"/>
    </font>
    <font>
      <name val="Nimbus Roman No9 L"/>
      <charset val="134"/>
      <sz val="10"/>
    </font>
  </fonts>
  <fills count="38">
    <fill>
      <patternFill/>
    </fill>
    <fill>
      <patternFill patternType="gray125"/>
    </fill>
    <fill>
      <patternFill patternType="solid">
        <fgColor indexed="13"/>
        <bgColor indexed="64"/>
      </patternFill>
    </fill>
    <fill>
      <patternFill patternType="solid">
        <fgColor rgb="FF92D050"/>
        <bgColor indexed="64"/>
      </patternFill>
    </fill>
    <fill>
      <patternFill patternType="solid">
        <fgColor rgb="FFFFFF00"/>
        <bgColor indexed="64"/>
      </patternFill>
    </fill>
    <fill>
      <patternFill patternType="solid">
        <fgColor indexed="23"/>
        <bgColor indexed="64"/>
      </patternFill>
    </fill>
    <fill>
      <patternFill patternType="solid">
        <fgColor theme="1" tint="0.499984740745262"/>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4"/>
        <bgColor indexed="64"/>
      </patternFill>
    </fill>
    <fill>
      <patternFill patternType="solid">
        <fgColor theme="4" tint="0.399975585192419"/>
        <bgColor indexed="64"/>
      </patternFill>
    </fill>
    <fill>
      <patternFill patternType="solid">
        <fgColor theme="8"/>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FFFCC"/>
        <bgColor indexed="64"/>
      </patternFill>
    </fill>
    <fill>
      <patternFill patternType="solid">
        <fgColor rgb="FFA5A5A5"/>
        <bgColor indexed="64"/>
      </patternFill>
    </fill>
    <fill>
      <patternFill patternType="solid">
        <fgColor rgb="FFFFC7CE"/>
        <bgColor indexed="64"/>
      </patternFill>
    </fill>
    <fill>
      <patternFill patternType="solid">
        <fgColor theme="6" tint="0.599993896298105"/>
        <bgColor indexed="64"/>
      </patternFill>
    </fill>
    <fill>
      <patternFill patternType="solid">
        <fgColor theme="9"/>
        <bgColor indexed="64"/>
      </patternFill>
    </fill>
    <fill>
      <patternFill patternType="solid">
        <fgColor rgb="FFC6EFCE"/>
        <bgColor indexed="64"/>
      </patternFill>
    </fill>
    <fill>
      <patternFill patternType="solid">
        <fgColor theme="4"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6"/>
        <bgColor indexed="64"/>
      </patternFill>
    </fill>
    <fill>
      <patternFill patternType="solid">
        <fgColor theme="5"/>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rgb="FFFFCC99"/>
        <bgColor indexed="64"/>
      </patternFill>
    </fill>
    <fill>
      <patternFill patternType="solid">
        <fgColor theme="6" tint="0.799981688894314"/>
        <bgColor indexed="64"/>
      </patternFill>
    </fill>
    <fill>
      <patternFill patternType="solid">
        <fgColor theme="7"/>
        <bgColor indexed="64"/>
      </patternFill>
    </fill>
    <fill>
      <patternFill patternType="solid">
        <fgColor theme="9" tint="0.399975585192419"/>
        <bgColor indexed="64"/>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auto="1"/>
      </left>
      <right style="thin">
        <color auto="1"/>
      </right>
      <top style="thin">
        <color auto="1"/>
      </top>
      <bottom/>
      <diagonal/>
    </border>
    <border>
      <left/>
      <right/>
      <top style="thin">
        <color indexed="8"/>
      </top>
      <bottom style="thin">
        <color indexed="8"/>
      </bottom>
      <diagonal/>
    </border>
    <border>
      <left style="thin">
        <color indexed="8"/>
      </left>
      <right/>
      <top/>
      <bottom style="thin">
        <color indexed="8"/>
      </bottom>
      <diagonal/>
    </border>
    <border>
      <left style="thin">
        <color auto="1"/>
      </left>
      <right style="thin">
        <color auto="1"/>
      </right>
      <top/>
      <bottom style="thin">
        <color auto="1"/>
      </bottom>
      <diagonal/>
    </border>
    <border>
      <left style="thin">
        <color indexed="8"/>
      </left>
      <right style="thin">
        <color indexed="8"/>
      </right>
      <top style="thin">
        <color indexed="8"/>
      </top>
      <bottom style="medium">
        <color indexed="8"/>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auto="1"/>
      </left>
      <right/>
      <top/>
      <bottom/>
      <diagonal/>
    </border>
  </borders>
  <cellStyleXfs count="49">
    <xf numFmtId="0" fontId="0" fillId="0" borderId="0"/>
    <xf numFmtId="0" fontId="35" fillId="37" borderId="0" applyAlignment="1">
      <alignment vertical="center"/>
    </xf>
    <xf numFmtId="0" fontId="34" fillId="31" borderId="0" applyAlignment="1">
      <alignment vertical="center"/>
    </xf>
    <xf numFmtId="0" fontId="35" fillId="36" borderId="0" applyAlignment="1">
      <alignment vertical="center"/>
    </xf>
    <xf numFmtId="0" fontId="49" fillId="34" borderId="25" applyAlignment="1">
      <alignment vertical="center"/>
    </xf>
    <xf numFmtId="0" fontId="34" fillId="20" borderId="0" applyAlignment="1">
      <alignment vertical="center"/>
    </xf>
    <xf numFmtId="0" fontId="34" fillId="35" borderId="0" applyAlignment="1">
      <alignment vertical="center"/>
    </xf>
    <xf numFmtId="165" fontId="0" fillId="0" borderId="0"/>
    <xf numFmtId="0" fontId="35" fillId="28" borderId="0" applyAlignment="1">
      <alignment vertical="center"/>
    </xf>
    <xf numFmtId="9" fontId="0" fillId="0" borderId="0"/>
    <xf numFmtId="0" fontId="35" fillId="32" borderId="0" applyAlignment="1">
      <alignment vertical="center"/>
    </xf>
    <xf numFmtId="0" fontId="35" fillId="26" borderId="0" applyAlignment="1">
      <alignment vertical="center"/>
    </xf>
    <xf numFmtId="0" fontId="35" fillId="29" borderId="0" applyAlignment="1">
      <alignment vertical="center"/>
    </xf>
    <xf numFmtId="0" fontId="35" fillId="10" borderId="0" applyAlignment="1">
      <alignment vertical="center"/>
    </xf>
    <xf numFmtId="0" fontId="35" fillId="27" borderId="0" applyAlignment="1">
      <alignment vertical="center"/>
    </xf>
    <xf numFmtId="0" fontId="46" fillId="25" borderId="25" applyAlignment="1">
      <alignment vertical="center"/>
    </xf>
    <xf numFmtId="0" fontId="35" fillId="9" borderId="0" applyAlignment="1">
      <alignment vertical="center"/>
    </xf>
    <xf numFmtId="0" fontId="45" fillId="24" borderId="0" applyAlignment="1">
      <alignment vertical="center"/>
    </xf>
    <xf numFmtId="0" fontId="34" fillId="33" borderId="0" applyAlignment="1">
      <alignment vertical="center"/>
    </xf>
    <xf numFmtId="0" fontId="44" fillId="22" borderId="0" applyAlignment="1">
      <alignment vertical="center"/>
    </xf>
    <xf numFmtId="0" fontId="34" fillId="23" borderId="0" applyAlignment="1">
      <alignment vertical="center"/>
    </xf>
    <xf numFmtId="0" fontId="42" fillId="0" borderId="24" applyAlignment="1">
      <alignment vertical="center"/>
    </xf>
    <xf numFmtId="0" fontId="43" fillId="19" borderId="0" applyAlignment="1">
      <alignment vertical="center"/>
    </xf>
    <xf numFmtId="0" fontId="41" fillId="18" borderId="23" applyAlignment="1">
      <alignment vertical="center"/>
    </xf>
    <xf numFmtId="0" fontId="48" fillId="25" borderId="26" applyAlignment="1">
      <alignment vertical="center"/>
    </xf>
    <xf numFmtId="0" fontId="38" fillId="0" borderId="21" applyAlignment="1">
      <alignment vertical="center"/>
    </xf>
    <xf numFmtId="0" fontId="39" fillId="0" borderId="0" applyAlignment="1">
      <alignment vertical="center"/>
    </xf>
    <xf numFmtId="0" fontId="34" fillId="16" borderId="0" applyAlignment="1">
      <alignment vertical="center"/>
    </xf>
    <xf numFmtId="0" fontId="37" fillId="0" borderId="0" applyAlignment="1">
      <alignment vertical="center"/>
    </xf>
    <xf numFmtId="42" fontId="0" fillId="0" borderId="0"/>
    <xf numFmtId="0" fontId="34" fillId="15" borderId="0" applyAlignment="1">
      <alignment vertical="center"/>
    </xf>
    <xf numFmtId="43" fontId="0" fillId="0" borderId="0"/>
    <xf numFmtId="0" fontId="25" fillId="0" borderId="0" applyAlignment="1">
      <alignment vertical="center"/>
    </xf>
    <xf numFmtId="0" fontId="36" fillId="0" borderId="0" applyAlignment="1">
      <alignment vertical="center"/>
    </xf>
    <xf numFmtId="0" fontId="34" fillId="30" borderId="0" applyAlignment="1">
      <alignment vertical="center"/>
    </xf>
    <xf numFmtId="0" fontId="51" fillId="0" borderId="0" applyAlignment="1">
      <alignment vertical="center"/>
    </xf>
    <xf numFmtId="0" fontId="35" fillId="13" borderId="0" applyAlignment="1">
      <alignment vertical="center"/>
    </xf>
    <xf numFmtId="0" fontId="40" fillId="17" borderId="22" applyAlignment="1">
      <alignment vertical="center"/>
    </xf>
    <xf numFmtId="0" fontId="34" fillId="12" borderId="0" applyAlignment="1">
      <alignment vertical="center"/>
    </xf>
    <xf numFmtId="0" fontId="35" fillId="11" borderId="0" applyAlignment="1">
      <alignment vertical="center"/>
    </xf>
    <xf numFmtId="0" fontId="34" fillId="8" borderId="0" applyAlignment="1">
      <alignment vertical="center"/>
    </xf>
    <xf numFmtId="0" fontId="50" fillId="0" borderId="0" applyAlignment="1">
      <alignment vertical="center"/>
    </xf>
    <xf numFmtId="41" fontId="0" fillId="0" borderId="0"/>
    <xf numFmtId="0" fontId="47" fillId="0" borderId="21" applyAlignment="1">
      <alignment vertical="center"/>
    </xf>
    <xf numFmtId="0" fontId="34" fillId="14" borderId="0" applyAlignment="1">
      <alignment vertical="center"/>
    </xf>
    <xf numFmtId="0" fontId="37" fillId="0" borderId="27" applyAlignment="1">
      <alignment vertical="center"/>
    </xf>
    <xf numFmtId="0" fontId="35" fillId="21" borderId="0" applyAlignment="1">
      <alignment vertical="center"/>
    </xf>
    <xf numFmtId="0" fontId="34" fillId="7" borderId="0" applyAlignment="1">
      <alignment vertical="center"/>
    </xf>
    <xf numFmtId="0" fontId="33" fillId="0" borderId="20" applyAlignment="1">
      <alignment vertical="center"/>
    </xf>
  </cellStyleXfs>
  <cellXfs count="184">
    <xf numFmtId="0" fontId="0" fillId="0" borderId="0" pivotButton="0" quotePrefix="0" xfId="0"/>
    <xf numFmtId="0" fontId="1" fillId="0" borderId="1" pivotButton="0" quotePrefix="0" xfId="0"/>
    <xf numFmtId="0" fontId="2" fillId="0" borderId="0" pivotButton="0" quotePrefix="0" xfId="0"/>
    <xf numFmtId="0" fontId="3" fillId="2" borderId="2" applyAlignment="1" pivotButton="0" quotePrefix="0" xfId="0">
      <alignment horizontal="center"/>
    </xf>
    <xf numFmtId="0" fontId="4" fillId="0" borderId="3" pivotButton="0" quotePrefix="0" xfId="0"/>
    <xf numFmtId="0" fontId="0" fillId="0" borderId="3" pivotButton="0" quotePrefix="0" xfId="0"/>
    <xf numFmtId="0" fontId="0" fillId="0" borderId="4" pivotButton="0" quotePrefix="0" xfId="0"/>
    <xf numFmtId="0" fontId="4" fillId="0" borderId="5" pivotButton="0" quotePrefix="0" xfId="0"/>
    <xf numFmtId="0" fontId="0" fillId="0" borderId="4" pivotButton="0" quotePrefix="0" xfId="0"/>
    <xf numFmtId="0" fontId="4" fillId="0" borderId="3" pivotButton="0" quotePrefix="0" xfId="41"/>
    <xf numFmtId="0" fontId="4" fillId="0" borderId="6" pivotButton="0" quotePrefix="0" xfId="0"/>
    <xf numFmtId="0" fontId="4" fillId="0" borderId="7" pivotButton="0" quotePrefix="0" xfId="0"/>
    <xf numFmtId="0" fontId="4" fillId="0" borderId="4" pivotButton="0" quotePrefix="0" xfId="0"/>
    <xf numFmtId="0" fontId="3" fillId="2" borderId="1" applyAlignment="1" pivotButton="0" quotePrefix="0" xfId="0">
      <alignment horizontal="center"/>
    </xf>
    <xf numFmtId="14" fontId="4" fillId="0" borderId="1" pivotButton="0" quotePrefix="0" xfId="0"/>
    <xf numFmtId="0" fontId="4" fillId="0" borderId="1" pivotButton="0" quotePrefix="0" xfId="0"/>
    <xf numFmtId="0" fontId="4" fillId="0" borderId="2" pivotButton="0" quotePrefix="0" xfId="0"/>
    <xf numFmtId="14" fontId="4" fillId="0" borderId="2" pivotButton="0" quotePrefix="0" xfId="0"/>
    <xf numFmtId="14" fontId="4" fillId="0" borderId="3" pivotButton="0" quotePrefix="0" xfId="0"/>
    <xf numFmtId="0" fontId="4" fillId="0" borderId="8" pivotButton="0" quotePrefix="0" xfId="0"/>
    <xf numFmtId="0" fontId="5" fillId="0" borderId="1" pivotButton="0" quotePrefix="0" xfId="0"/>
    <xf numFmtId="0" fontId="0" fillId="0" borderId="3" pivotButton="0" quotePrefix="0" xfId="0"/>
    <xf numFmtId="0" fontId="4" fillId="0" borderId="8" pivotButton="0" quotePrefix="0" xfId="41"/>
    <xf numFmtId="0" fontId="4" fillId="0" borderId="9" pivotButton="0" quotePrefix="0" xfId="0"/>
    <xf numFmtId="0" fontId="4" fillId="0" borderId="1" pivotButton="0" quotePrefix="0" xfId="0"/>
    <xf numFmtId="0" fontId="3" fillId="2" borderId="8" applyAlignment="1" pivotButton="0" quotePrefix="0" xfId="0">
      <alignment horizontal="center"/>
    </xf>
    <xf numFmtId="14" fontId="4" fillId="0" borderId="8" pivotButton="0" quotePrefix="0" xfId="0"/>
    <xf numFmtId="0" fontId="6" fillId="0" borderId="1" pivotButton="0" quotePrefix="0" xfId="0"/>
    <xf numFmtId="0" fontId="7" fillId="0" borderId="0" pivotButton="0" quotePrefix="0" xfId="0"/>
    <xf numFmtId="0" fontId="7" fillId="2" borderId="1" applyAlignment="1" pivotButton="0" quotePrefix="0" xfId="0">
      <alignment horizontal="center"/>
    </xf>
    <xf numFmtId="0" fontId="7" fillId="2" borderId="2" applyAlignment="1" pivotButton="0" quotePrefix="0" xfId="0">
      <alignment horizontal="center"/>
    </xf>
    <xf numFmtId="0" fontId="7" fillId="2" borderId="8" applyAlignment="1" pivotButton="0" quotePrefix="0" xfId="0">
      <alignment horizontal="center"/>
    </xf>
    <xf numFmtId="0" fontId="8" fillId="0" borderId="1" pivotButton="0" quotePrefix="0" xfId="0"/>
    <xf numFmtId="0" fontId="7" fillId="0" borderId="3" pivotButton="0" quotePrefix="0" xfId="0"/>
    <xf numFmtId="0" fontId="7" fillId="2" borderId="5" applyAlignment="1" pivotButton="0" quotePrefix="0" xfId="0">
      <alignment horizontal="center"/>
    </xf>
    <xf numFmtId="14" fontId="4" fillId="0" borderId="1" pivotButton="0" quotePrefix="0" xfId="0"/>
    <xf numFmtId="0" fontId="2" fillId="0" borderId="3" pivotButton="0" quotePrefix="0" xfId="0"/>
    <xf numFmtId="0" fontId="4" fillId="3" borderId="1" pivotButton="0" quotePrefix="0" xfId="0"/>
    <xf numFmtId="0" fontId="5" fillId="3" borderId="1" pivotButton="0" quotePrefix="0" xfId="0"/>
    <xf numFmtId="0" fontId="4" fillId="0" borderId="8" pivotButton="0" quotePrefix="0" xfId="0"/>
    <xf numFmtId="0" fontId="5" fillId="0" borderId="3" pivotButton="0" quotePrefix="0" xfId="0"/>
    <xf numFmtId="0" fontId="4" fillId="0" borderId="3" pivotButton="0" quotePrefix="0" xfId="0"/>
    <xf numFmtId="14" fontId="4" fillId="0" borderId="3" pivotButton="0" quotePrefix="0" xfId="0"/>
    <xf numFmtId="0" fontId="5" fillId="0" borderId="1" pivotButton="0" quotePrefix="0" xfId="0"/>
    <xf numFmtId="14" fontId="4" fillId="0" borderId="2" pivotButton="0" quotePrefix="0" xfId="0"/>
    <xf numFmtId="14" fontId="4" fillId="0" borderId="5" pivotButton="0" quotePrefix="0" xfId="0"/>
    <xf numFmtId="0" fontId="4" fillId="4" borderId="1" pivotButton="0" quotePrefix="0" xfId="0"/>
    <xf numFmtId="0" fontId="4" fillId="0" borderId="10" pivotButton="0" quotePrefix="0" xfId="0"/>
    <xf numFmtId="0" fontId="0" fillId="0" borderId="11" pivotButton="0" quotePrefix="0" xfId="0"/>
    <xf numFmtId="0" fontId="5" fillId="4" borderId="1" pivotButton="0" quotePrefix="0" xfId="0"/>
    <xf numFmtId="164" fontId="4" fillId="3" borderId="3" applyAlignment="1" pivotButton="0" quotePrefix="0" xfId="0">
      <alignment horizontal="left"/>
    </xf>
    <xf numFmtId="0" fontId="9" fillId="0" borderId="1" pivotButton="0" quotePrefix="0" xfId="0"/>
    <xf numFmtId="0" fontId="10" fillId="0" borderId="1" pivotButton="0" quotePrefix="0" xfId="0"/>
    <xf numFmtId="0" fontId="11" fillId="0" borderId="1" pivotButton="0" quotePrefix="0" xfId="0"/>
    <xf numFmtId="0" fontId="12" fillId="0" borderId="0" pivotButton="0" quotePrefix="0" xfId="0"/>
    <xf numFmtId="0" fontId="13" fillId="0" borderId="1" pivotButton="0" quotePrefix="0" xfId="41"/>
    <xf numFmtId="0" fontId="4" fillId="3" borderId="8" pivotButton="0" quotePrefix="0" xfId="0"/>
    <xf numFmtId="0" fontId="0" fillId="3" borderId="3" pivotButton="0" quotePrefix="0" xfId="0"/>
    <xf numFmtId="0" fontId="4" fillId="3" borderId="12" pivotButton="0" quotePrefix="0" xfId="0"/>
    <xf numFmtId="0" fontId="2" fillId="3" borderId="3" pivotButton="0" quotePrefix="0" xfId="0"/>
    <xf numFmtId="0" fontId="0" fillId="3" borderId="3" pivotButton="0" quotePrefix="0" xfId="0"/>
    <xf numFmtId="0" fontId="14" fillId="0" borderId="1" pivotButton="0" quotePrefix="0" xfId="0"/>
    <xf numFmtId="0" fontId="14" fillId="0" borderId="1" pivotButton="0" quotePrefix="0" xfId="41"/>
    <xf numFmtId="0" fontId="4" fillId="0" borderId="1" applyAlignment="1" pivotButton="0" quotePrefix="0" xfId="41">
      <alignment wrapText="1"/>
    </xf>
    <xf numFmtId="0" fontId="4" fillId="0" borderId="1" pivotButton="0" quotePrefix="0" xfId="41"/>
    <xf numFmtId="0" fontId="4" fillId="3" borderId="3" pivotButton="0" quotePrefix="0" xfId="0"/>
    <xf numFmtId="0" fontId="2" fillId="3" borderId="3" applyAlignment="1" pivotButton="0" quotePrefix="0" xfId="0">
      <alignment wrapText="1"/>
    </xf>
    <xf numFmtId="164" fontId="4" fillId="3" borderId="5" applyAlignment="1" pivotButton="0" quotePrefix="0" xfId="0">
      <alignment horizontal="left"/>
    </xf>
    <xf numFmtId="0" fontId="14" fillId="4" borderId="1" pivotButton="0" quotePrefix="0" xfId="41"/>
    <xf numFmtId="0" fontId="0" fillId="3" borderId="0" pivotButton="0" quotePrefix="0" xfId="0"/>
    <xf numFmtId="0" fontId="4" fillId="3" borderId="1" pivotButton="0" quotePrefix="0" xfId="41"/>
    <xf numFmtId="0" fontId="0" fillId="3" borderId="3" pivotButton="0" quotePrefix="0" xfId="41"/>
    <xf numFmtId="0" fontId="14" fillId="4" borderId="1" pivotButton="0" quotePrefix="0" xfId="0"/>
    <xf numFmtId="0" fontId="4" fillId="3" borderId="2" pivotButton="0" quotePrefix="0" xfId="0"/>
    <xf numFmtId="0" fontId="15" fillId="0" borderId="1" pivotButton="0" quotePrefix="0" xfId="0"/>
    <xf numFmtId="0" fontId="5" fillId="0" borderId="1" applyAlignment="1" pivotButton="0" quotePrefix="0" xfId="0">
      <alignment wrapText="1"/>
    </xf>
    <xf numFmtId="0" fontId="4" fillId="4" borderId="1" applyAlignment="1" pivotButton="0" quotePrefix="0" xfId="0">
      <alignment wrapText="1"/>
    </xf>
    <xf numFmtId="0" fontId="16" fillId="0" borderId="1" pivotButton="0" quotePrefix="0" xfId="0"/>
    <xf numFmtId="0" fontId="17" fillId="0" borderId="1" pivotButton="0" quotePrefix="0" xfId="0"/>
    <xf numFmtId="0" fontId="18" fillId="4" borderId="3" pivotButton="0" quotePrefix="0" xfId="0"/>
    <xf numFmtId="0" fontId="18" fillId="0" borderId="3" pivotButton="0" quotePrefix="0" xfId="0"/>
    <xf numFmtId="0" fontId="5" fillId="3" borderId="3" pivotButton="0" quotePrefix="0" xfId="0"/>
    <xf numFmtId="0" fontId="19" fillId="3" borderId="3" applyAlignment="1" pivotButton="0" quotePrefix="0" xfId="0">
      <alignment vertical="center"/>
    </xf>
    <xf numFmtId="0" fontId="20" fillId="3" borderId="3" pivotButton="0" quotePrefix="0" xfId="0"/>
    <xf numFmtId="0" fontId="0" fillId="4" borderId="0" pivotButton="0" quotePrefix="0" xfId="0"/>
    <xf numFmtId="0" fontId="4" fillId="4" borderId="1" pivotButton="0" quotePrefix="0" xfId="41"/>
    <xf numFmtId="0" fontId="5" fillId="3" borderId="2" pivotButton="0" quotePrefix="0" xfId="0"/>
    <xf numFmtId="0" fontId="4" fillId="3" borderId="2" pivotButton="0" quotePrefix="0" xfId="41"/>
    <xf numFmtId="0" fontId="5" fillId="3" borderId="9" pivotButton="0" quotePrefix="0" xfId="0"/>
    <xf numFmtId="0" fontId="4" fillId="3" borderId="13" pivotButton="0" quotePrefix="0" xfId="0"/>
    <xf numFmtId="0" fontId="0" fillId="3" borderId="14" pivotButton="0" quotePrefix="0" xfId="0"/>
    <xf numFmtId="164" fontId="4" fillId="3" borderId="7" applyAlignment="1" pivotButton="0" quotePrefix="0" xfId="0">
      <alignment horizontal="left"/>
    </xf>
    <xf numFmtId="0" fontId="4" fillId="3" borderId="6" pivotButton="0" quotePrefix="0" xfId="0"/>
    <xf numFmtId="0" fontId="2" fillId="3" borderId="3" applyAlignment="1" pivotButton="0" quotePrefix="0" xfId="0">
      <alignment horizontal="center" vertical="center"/>
    </xf>
    <xf numFmtId="0" fontId="4" fillId="3" borderId="5" pivotButton="0" quotePrefix="0" xfId="0"/>
    <xf numFmtId="0" fontId="0" fillId="3" borderId="3" applyAlignment="1" pivotButton="0" quotePrefix="0" xfId="0">
      <alignment horizontal="center" vertical="center"/>
    </xf>
    <xf numFmtId="0" fontId="21" fillId="0" borderId="1" pivotButton="0" quotePrefix="0" xfId="0"/>
    <xf numFmtId="0" fontId="0" fillId="3" borderId="11" pivotButton="0" quotePrefix="0" xfId="0"/>
    <xf numFmtId="0" fontId="20" fillId="3" borderId="3" applyAlignment="1" pivotButton="0" quotePrefix="0" xfId="0">
      <alignment wrapText="1"/>
    </xf>
    <xf numFmtId="0" fontId="22" fillId="3" borderId="3" applyAlignment="1" pivotButton="0" quotePrefix="0" xfId="0">
      <alignment vertical="center"/>
    </xf>
    <xf numFmtId="0" fontId="19" fillId="3" borderId="3" applyAlignment="1" pivotButton="0" quotePrefix="0" xfId="0">
      <alignment vertical="center" wrapText="1"/>
    </xf>
    <xf numFmtId="0" fontId="19" fillId="3" borderId="11" applyAlignment="1" pivotButton="0" quotePrefix="0" xfId="0">
      <alignment vertical="center" wrapText="1"/>
    </xf>
    <xf numFmtId="0" fontId="22" fillId="0" borderId="0" applyAlignment="1" pivotButton="0" quotePrefix="0" xfId="0">
      <alignment vertical="center"/>
    </xf>
    <xf numFmtId="0" fontId="22" fillId="0" borderId="0" applyAlignment="1" pivotButton="0" quotePrefix="0" xfId="0">
      <alignment vertical="center" wrapText="1"/>
    </xf>
    <xf numFmtId="0" fontId="23" fillId="3" borderId="3" applyAlignment="1" pivotButton="0" quotePrefix="0" xfId="0">
      <alignment vertical="center"/>
    </xf>
    <xf numFmtId="0" fontId="23" fillId="3" borderId="3" applyAlignment="1" pivotButton="0" quotePrefix="0" xfId="0">
      <alignment vertical="center" wrapText="1"/>
    </xf>
    <xf numFmtId="0" fontId="7" fillId="3" borderId="3" pivotButton="0" quotePrefix="0" xfId="41"/>
    <xf numFmtId="0" fontId="24" fillId="0" borderId="0" applyAlignment="1" pivotButton="0" quotePrefix="0" xfId="0">
      <alignment horizontal="left" wrapText="1" indent="1"/>
    </xf>
    <xf numFmtId="0" fontId="0" fillId="3" borderId="3" applyAlignment="1" pivotButton="0" quotePrefix="0" xfId="0">
      <alignment wrapText="1"/>
    </xf>
    <xf numFmtId="0" fontId="4" fillId="0" borderId="2" pivotButton="0" quotePrefix="0" xfId="0"/>
    <xf numFmtId="0" fontId="10" fillId="3" borderId="1" pivotButton="0" quotePrefix="0" xfId="0"/>
    <xf numFmtId="0" fontId="0" fillId="3" borderId="3" applyAlignment="1" pivotButton="0" quotePrefix="0" xfId="0">
      <alignment wrapText="1"/>
    </xf>
    <xf numFmtId="0" fontId="22" fillId="0" borderId="3" applyAlignment="1" pivotButton="0" quotePrefix="0" xfId="0">
      <alignment vertical="center"/>
    </xf>
    <xf numFmtId="0" fontId="25" fillId="0" borderId="0" pivotButton="0" quotePrefix="0" xfId="41"/>
    <xf numFmtId="0" fontId="0" fillId="0" borderId="0" applyAlignment="1" pivotButton="0" quotePrefix="0" xfId="0">
      <alignment wrapText="1"/>
    </xf>
    <xf numFmtId="0" fontId="26" fillId="0" borderId="0" applyAlignment="1" pivotButton="0" quotePrefix="0" xfId="0">
      <alignment wrapText="1"/>
    </xf>
    <xf numFmtId="0" fontId="11" fillId="0" borderId="2" pivotButton="0" quotePrefix="0" xfId="0"/>
    <xf numFmtId="0" fontId="13" fillId="0" borderId="2" pivotButton="0" quotePrefix="0" xfId="41"/>
    <xf numFmtId="0" fontId="4" fillId="3" borderId="11" pivotButton="0" quotePrefix="0" xfId="0"/>
    <xf numFmtId="0" fontId="2" fillId="3" borderId="11" pivotButton="0" quotePrefix="0" xfId="0"/>
    <xf numFmtId="0" fontId="10" fillId="3" borderId="3" pivotButton="0" quotePrefix="0" xfId="0"/>
    <xf numFmtId="164" fontId="4" fillId="0" borderId="2" applyAlignment="1" pivotButton="0" quotePrefix="0" xfId="0">
      <alignment horizontal="left"/>
    </xf>
    <xf numFmtId="0" fontId="3" fillId="5" borderId="15" pivotButton="0" quotePrefix="0" xfId="0"/>
    <xf numFmtId="49" fontId="4" fillId="4" borderId="1" pivotButton="0" quotePrefix="0" xfId="0"/>
    <xf numFmtId="49" fontId="4" fillId="0" borderId="1" pivotButton="0" quotePrefix="0" xfId="0"/>
    <xf numFmtId="0" fontId="27" fillId="4" borderId="0" applyAlignment="1" pivotButton="0" quotePrefix="0" xfId="0">
      <alignment horizontal="justify"/>
    </xf>
    <xf numFmtId="0" fontId="2" fillId="4" borderId="0" pivotButton="0" quotePrefix="0" xfId="0"/>
    <xf numFmtId="0" fontId="3" fillId="5" borderId="2" pivotButton="0" quotePrefix="0" xfId="0"/>
    <xf numFmtId="0" fontId="11" fillId="0" borderId="3" pivotButton="0" quotePrefix="0" xfId="0"/>
    <xf numFmtId="0" fontId="12" fillId="0" borderId="3" pivotButton="0" quotePrefix="0" xfId="0"/>
    <xf numFmtId="0" fontId="4" fillId="0" borderId="11" pivotButton="0" quotePrefix="0" xfId="0"/>
    <xf numFmtId="0" fontId="12" fillId="0" borderId="11" pivotButton="0" quotePrefix="0" xfId="0"/>
    <xf numFmtId="0" fontId="0" fillId="6" borderId="3" pivotButton="0" quotePrefix="0" xfId="0"/>
    <xf numFmtId="0" fontId="4" fillId="6" borderId="3" pivotButton="0" quotePrefix="0" xfId="0"/>
    <xf numFmtId="0" fontId="0" fillId="0" borderId="0" pivotButton="0" quotePrefix="0" xfId="0"/>
    <xf numFmtId="0" fontId="19" fillId="0" borderId="16" applyAlignment="1" pivotButton="0" quotePrefix="0" xfId="0">
      <alignment vertical="center" wrapText="1"/>
    </xf>
    <xf numFmtId="0" fontId="19" fillId="0" borderId="17" applyAlignment="1" pivotButton="0" quotePrefix="0" xfId="0">
      <alignment vertical="center"/>
    </xf>
    <xf numFmtId="0" fontId="22" fillId="4" borderId="0" applyAlignment="1" pivotButton="0" quotePrefix="0" xfId="0">
      <alignment vertical="center"/>
    </xf>
    <xf numFmtId="0" fontId="3" fillId="2" borderId="3" applyAlignment="1" pivotButton="0" quotePrefix="0" xfId="0">
      <alignment horizontal="center"/>
    </xf>
    <xf numFmtId="0" fontId="3" fillId="2" borderId="3" applyAlignment="1" pivotButton="0" quotePrefix="0" xfId="0">
      <alignment horizontal="center" wrapText="1"/>
    </xf>
    <xf numFmtId="0" fontId="28" fillId="0" borderId="3" applyAlignment="1" pivotButton="0" quotePrefix="0" xfId="0">
      <alignment wrapText="1"/>
    </xf>
    <xf numFmtId="0" fontId="28" fillId="0" borderId="3" applyAlignment="1" pivotButton="0" quotePrefix="0" xfId="0">
      <alignment horizontal="center" vertical="center"/>
    </xf>
    <xf numFmtId="0" fontId="25" fillId="4" borderId="3" pivotButton="0" quotePrefix="0" xfId="41"/>
    <xf numFmtId="0" fontId="28" fillId="4" borderId="3" applyAlignment="1" pivotButton="0" quotePrefix="0" xfId="0">
      <alignment wrapText="1"/>
    </xf>
    <xf numFmtId="0" fontId="29" fillId="0" borderId="3" pivotButton="0" quotePrefix="0" xfId="41"/>
    <xf numFmtId="0" fontId="28" fillId="0" borderId="3" applyAlignment="1" pivotButton="0" quotePrefix="0" xfId="0">
      <alignment wrapText="1"/>
    </xf>
    <xf numFmtId="0" fontId="28" fillId="0" borderId="11" applyAlignment="1" pivotButton="0" quotePrefix="0" xfId="0">
      <alignment horizontal="center" vertical="center"/>
    </xf>
    <xf numFmtId="0" fontId="28" fillId="0" borderId="18" applyAlignment="1" pivotButton="0" quotePrefix="0" xfId="0">
      <alignment horizontal="center" vertical="center"/>
    </xf>
    <xf numFmtId="0" fontId="18" fillId="0" borderId="3" pivotButton="0" quotePrefix="0" xfId="41"/>
    <xf numFmtId="0" fontId="28" fillId="0" borderId="14" applyAlignment="1" pivotButton="0" quotePrefix="0" xfId="0">
      <alignment horizontal="center" vertical="center"/>
    </xf>
    <xf numFmtId="0" fontId="28" fillId="0" borderId="3" applyAlignment="1" pivotButton="0" quotePrefix="0" xfId="0">
      <alignment vertical="center"/>
    </xf>
    <xf numFmtId="0" fontId="18" fillId="0" borderId="3" applyAlignment="1" pivotButton="0" quotePrefix="0" xfId="41">
      <alignment vertical="center"/>
    </xf>
    <xf numFmtId="0" fontId="28" fillId="0" borderId="3" pivotButton="0" quotePrefix="0" xfId="0"/>
    <xf numFmtId="0" fontId="30" fillId="0" borderId="3" pivotButton="0" quotePrefix="0" xfId="0"/>
    <xf numFmtId="0" fontId="31" fillId="0" borderId="3" applyAlignment="1" pivotButton="0" quotePrefix="0" xfId="0">
      <alignment wrapText="1"/>
    </xf>
    <xf numFmtId="0" fontId="31" fillId="0" borderId="3" applyAlignment="1" pivotButton="0" quotePrefix="0" xfId="0">
      <alignment horizontal="center" vertical="center"/>
    </xf>
    <xf numFmtId="0" fontId="28" fillId="0" borderId="3" pivotButton="0" quotePrefix="0" xfId="0"/>
    <xf numFmtId="0" fontId="29" fillId="4" borderId="3" pivotButton="0" quotePrefix="0" xfId="41"/>
    <xf numFmtId="0" fontId="18" fillId="0" borderId="3" applyAlignment="1" pivotButton="0" quotePrefix="0" xfId="41">
      <alignment vertical="center" wrapText="1"/>
    </xf>
    <xf numFmtId="0" fontId="18" fillId="0" borderId="3" pivotButton="0" quotePrefix="0" xfId="0"/>
    <xf numFmtId="0" fontId="25" fillId="3" borderId="3" applyAlignment="1" pivotButton="0" quotePrefix="0" xfId="41">
      <alignment vertical="center"/>
    </xf>
    <xf numFmtId="0" fontId="28" fillId="3" borderId="3" applyAlignment="1" pivotButton="0" quotePrefix="0" xfId="0">
      <alignment vertical="center"/>
    </xf>
    <xf numFmtId="0" fontId="28" fillId="3" borderId="11" applyAlignment="1" pivotButton="0" quotePrefix="0" xfId="0">
      <alignment vertical="center"/>
    </xf>
    <xf numFmtId="0" fontId="32" fillId="0" borderId="3" pivotButton="0" quotePrefix="0" xfId="41"/>
    <xf numFmtId="0" fontId="25" fillId="3" borderId="3" pivotButton="0" quotePrefix="0" xfId="41"/>
    <xf numFmtId="0" fontId="28" fillId="3" borderId="3" applyAlignment="1" pivotButton="0" quotePrefix="0" xfId="0">
      <alignment wrapText="1"/>
    </xf>
    <xf numFmtId="0" fontId="29" fillId="3" borderId="3" applyAlignment="1" pivotButton="0" quotePrefix="0" xfId="41">
      <alignment horizontal="justify" vertical="center"/>
    </xf>
    <xf numFmtId="0" fontId="29" fillId="3" borderId="3" applyAlignment="1" pivotButton="0" quotePrefix="0" xfId="41">
      <alignment vertical="center"/>
    </xf>
    <xf numFmtId="0" fontId="25" fillId="3" borderId="3" applyAlignment="1" pivotButton="0" quotePrefix="0" xfId="41">
      <alignment horizontal="justify" vertical="center"/>
    </xf>
    <xf numFmtId="0" fontId="28" fillId="3" borderId="3" applyAlignment="1" pivotButton="0" quotePrefix="0" xfId="0">
      <alignment horizontal="justify" vertical="center"/>
    </xf>
    <xf numFmtId="0" fontId="0" fillId="0" borderId="0" pivotButton="0" quotePrefix="0" xfId="0"/>
    <xf numFmtId="0" fontId="28" fillId="0" borderId="11" applyAlignment="1" pivotButton="0" quotePrefix="0" xfId="0">
      <alignment horizontal="center" vertical="center"/>
    </xf>
    <xf numFmtId="0" fontId="28" fillId="0" borderId="18" applyAlignment="1" pivotButton="0" quotePrefix="0" xfId="0">
      <alignment horizontal="center" vertical="center"/>
    </xf>
    <xf numFmtId="0" fontId="28" fillId="0" borderId="14" applyAlignment="1" pivotButton="0" quotePrefix="0" xfId="0">
      <alignment horizontal="center" vertical="center"/>
    </xf>
    <xf numFmtId="0" fontId="28" fillId="3" borderId="19" applyAlignment="1" pivotButton="0" quotePrefix="0" xfId="0">
      <alignment vertical="center"/>
    </xf>
    <xf numFmtId="0" fontId="28" fillId="0" borderId="3" applyAlignment="1" pivotButton="0" quotePrefix="0" xfId="0">
      <alignment horizontal="center" vertical="center"/>
    </xf>
    <xf numFmtId="0" fontId="20" fillId="0" borderId="3" applyAlignment="1" pivotButton="0" quotePrefix="0" xfId="0">
      <alignment horizontal="center" vertical="center"/>
    </xf>
    <xf numFmtId="0" fontId="0" fillId="0" borderId="0" pivotButton="0" quotePrefix="1" xfId="0"/>
    <xf numFmtId="0" fontId="0" fillId="0" borderId="18" pivotButton="0" quotePrefix="0" xfId="0"/>
    <xf numFmtId="0" fontId="0" fillId="0" borderId="14" pivotButton="0" quotePrefix="0" xfId="0"/>
    <xf numFmtId="164" fontId="4" fillId="3" borderId="5" applyAlignment="1" pivotButton="0" quotePrefix="0" xfId="0">
      <alignment horizontal="left"/>
    </xf>
    <xf numFmtId="164" fontId="4" fillId="0" borderId="2" applyAlignment="1" pivotButton="0" quotePrefix="0" xfId="0">
      <alignment horizontal="left"/>
    </xf>
    <xf numFmtId="164" fontId="4" fillId="3" borderId="7" applyAlignment="1" pivotButton="0" quotePrefix="0" xfId="0">
      <alignment horizontal="left"/>
    </xf>
    <xf numFmtId="164" fontId="4" fillId="3" borderId="3" applyAlignment="1" pivotButton="0" quotePrefix="0" xfId="0">
      <alignment horizontal="left"/>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styles" Target="styles.xml" Id="rId206" /><Relationship Type="http://schemas.openxmlformats.org/officeDocument/2006/relationships/theme" Target="theme/theme1.xml" Id="rId20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2:E201"/>
  <sheetViews>
    <sheetView topLeftCell="A165" zoomScaleSheetLayoutView="60" workbookViewId="0">
      <selection activeCell="B180" sqref="B180"/>
    </sheetView>
  </sheetViews>
  <sheetFormatPr baseColWidth="8" defaultColWidth="9.142857142857141" defaultRowHeight="15.2"/>
  <cols>
    <col width="38" customWidth="1" style="170" min="2" max="2"/>
    <col width="35.2857142857143" customWidth="1" style="170" min="3" max="3"/>
    <col width="19.8571428571429" customWidth="1" style="170" min="4" max="4"/>
  </cols>
  <sheetData>
    <row r="2" ht="16" customHeight="1" s="170">
      <c r="B2" s="138" t="inlineStr">
        <is>
          <t>数据表</t>
        </is>
      </c>
      <c r="C2" s="139" t="inlineStr">
        <is>
          <t>数据表名称</t>
        </is>
      </c>
      <c r="D2" s="139" t="inlineStr">
        <is>
          <t>表归类</t>
        </is>
      </c>
    </row>
    <row r="3" ht="17" customHeight="1" s="170">
      <c r="B3" s="159">
        <f>HYPERLINK("#AUDIT_INFO!A1","AUDIT_INFO")</f>
        <v/>
      </c>
      <c r="C3" s="145" t="inlineStr">
        <is>
          <t>审计信息</t>
        </is>
      </c>
      <c r="D3" s="175" t="inlineStr">
        <is>
          <t>评估机构</t>
        </is>
      </c>
    </row>
    <row r="4" ht="17" customHeight="1" s="170">
      <c r="B4" s="142">
        <f>HYPERLINK("#APPRAISAL_AGENCY!A1","APPRAISAL_AGENCY")</f>
        <v/>
      </c>
      <c r="C4" s="143" t="inlineStr">
        <is>
          <t>评估机构</t>
        </is>
      </c>
      <c r="D4" s="178" t="n"/>
    </row>
    <row r="5" ht="17" customHeight="1" s="170">
      <c r="B5" s="144">
        <f>HYPERLINK("#APPRAISAL_AGENCY_APPLY!A1","APPRAISAL_AGENCY_APPLY")</f>
        <v/>
      </c>
      <c r="C5" s="145" t="inlineStr">
        <is>
          <t>评估机构申请信息表</t>
        </is>
      </c>
      <c r="D5" s="178" t="n"/>
    </row>
    <row r="6" ht="17" customHeight="1" s="170">
      <c r="B6" s="159">
        <f>HYPERLINK("#APPRAISAL_AGENCY_APPRAISE!A1","APPRAISAL_AGENCY_APPRAISE")</f>
        <v/>
      </c>
      <c r="C6" s="145" t="inlineStr">
        <is>
          <t>评价调查信息管理</t>
        </is>
      </c>
      <c r="D6" s="178" t="n"/>
    </row>
    <row r="7" ht="17" customHeight="1" s="170">
      <c r="B7" s="159">
        <f>HYPERLINK("#APPRAISAL_AGENCY_COOPERATION!A1","APPRAISAL_AGENCY_COOPERATION")</f>
        <v/>
      </c>
      <c r="C7" s="145" t="inlineStr">
        <is>
          <t>评估机构合作协议</t>
        </is>
      </c>
      <c r="D7" s="178" t="n"/>
    </row>
    <row r="8" ht="17" customHeight="1" s="170">
      <c r="B8" s="159">
        <f>HYPERLINK("#APPRAISAL_AGENCY_EVENT!A1","APPRAISAL_AGENCY_EVENT")</f>
        <v/>
      </c>
      <c r="C8" s="145" t="inlineStr">
        <is>
          <t>评估机构事件表</t>
        </is>
      </c>
      <c r="D8" s="178" t="n"/>
    </row>
    <row r="9" ht="17" customHeight="1" s="170">
      <c r="B9" s="159">
        <f>HYPERLINK("#APPRAISAL_AGENCY_EXPENSES!A1","APPRAISAL_AGENCY_EXPENSES")</f>
        <v/>
      </c>
      <c r="C9" s="145" t="inlineStr">
        <is>
          <t>评估机构费用</t>
        </is>
      </c>
      <c r="D9" s="178" t="n"/>
    </row>
    <row r="10" ht="17" customHeight="1" s="170">
      <c r="B10" s="159">
        <f>HYPERLINK("#APPRAISAL_AGENCY_FILE!A1","APPRAISAL_AGENCY_FILE")</f>
        <v/>
      </c>
      <c r="C10" s="145" t="inlineStr">
        <is>
          <t>评级机构附件</t>
        </is>
      </c>
      <c r="D10" s="178" t="n"/>
    </row>
    <row r="11" ht="17" customHeight="1" s="170">
      <c r="B11" s="159">
        <f>HYPERLINK("#APPRAISAL_AGENCY_INFORMATION!A1","APPRAISAL_AGENCY_INFORMATION")</f>
        <v/>
      </c>
      <c r="C11" s="145" t="inlineStr">
        <is>
          <t>评估公司相关信息</t>
        </is>
      </c>
      <c r="D11" s="178" t="n"/>
    </row>
    <row r="12" ht="17" customHeight="1" s="170">
      <c r="B12" s="159">
        <f>HYPERLINK("#APPRAISAL_AGENCY_QUALIFICATION!A1","APPRAISAL_AGENCY_QUALIFICATION")</f>
        <v/>
      </c>
      <c r="C12" s="145" t="inlineStr">
        <is>
          <t>评估机构资质表</t>
        </is>
      </c>
      <c r="D12" s="178" t="n"/>
    </row>
    <row r="13" ht="17" customHeight="1" s="170">
      <c r="B13" s="159">
        <f>HYPERLINK("#APPRAISAL_APPLY_RELATIVE!A1","APPRAISAL_APPLY_RELATIVE")</f>
        <v/>
      </c>
      <c r="C13" s="145" t="inlineStr">
        <is>
          <t>评级机构申请关联表</t>
        </is>
      </c>
      <c r="D13" s="179" t="n"/>
    </row>
    <row r="14" hidden="1" ht="17" customHeight="1" s="170">
      <c r="B14" s="159">
        <f>HYPERLINK("#AWE_BIZFILE_INFO!A1","AWE_BIZFILE_INFO")</f>
        <v/>
      </c>
      <c r="C14" s="145" t="inlineStr">
        <is>
          <t>业务文件详情</t>
        </is>
      </c>
      <c r="D14" s="175" t="inlineStr">
        <is>
          <t>底层表</t>
        </is>
      </c>
    </row>
    <row r="15" hidden="1" ht="17" customHeight="1" s="170">
      <c r="B15" s="159">
        <f>HYPERLINK("#AWE_DICT_ERRMSG!A1","AWE_DICT_ERRMSG")</f>
        <v/>
      </c>
      <c r="C15" s="145" t="inlineStr">
        <is>
          <t>系统错误报告</t>
        </is>
      </c>
      <c r="D15" s="178" t="n"/>
    </row>
    <row r="16" hidden="1" ht="17" customHeight="1" s="170">
      <c r="B16" s="159">
        <f>HYPERLINK("#AWE_DO_CATALOG!A1","AWE_DO_CATALOG")</f>
        <v/>
      </c>
      <c r="C16" s="145" t="inlineStr">
        <is>
          <t>OW显示模板场景</t>
        </is>
      </c>
      <c r="D16" s="178" t="n"/>
    </row>
    <row r="17" hidden="1" ht="17" customHeight="1" s="170">
      <c r="B17" s="159">
        <f>HYPERLINK("#AWE_DO_COL_VALIDATE!A1","AWE_DO_COL_VALIDATE")</f>
        <v/>
      </c>
      <c r="C17" s="145" t="inlineStr">
        <is>
          <t>DW字段验证规则</t>
        </is>
      </c>
      <c r="D17" s="178" t="n"/>
    </row>
    <row r="18" hidden="1" ht="17" customHeight="1" s="170">
      <c r="B18" s="159">
        <f>HYPERLINK("#AWE_DO_EVENT!A1","AWE_DO_EVENT")</f>
        <v/>
      </c>
      <c r="C18" s="145" t="inlineStr">
        <is>
          <t>OW字段事件</t>
        </is>
      </c>
      <c r="D18" s="178" t="n"/>
    </row>
    <row r="19" hidden="1" ht="17" customHeight="1" s="170">
      <c r="B19" s="159">
        <f>HYPERLINK("#AWE_DO_FUNCTION!A1","AWE_DO_FUNCTION")</f>
        <v/>
      </c>
      <c r="C19" s="145" t="inlineStr">
        <is>
          <t>OW脚本方法</t>
        </is>
      </c>
      <c r="D19" s="178" t="n"/>
    </row>
    <row r="20" hidden="1" ht="17" customHeight="1" s="170">
      <c r="B20" s="159">
        <f>HYPERLINK("#AWE_DO_GROUP!A1","AWE_DO_GROUP")</f>
        <v/>
      </c>
      <c r="C20" s="145" t="inlineStr">
        <is>
          <t>OW分组信息</t>
        </is>
      </c>
      <c r="D20" s="178" t="n"/>
    </row>
    <row r="21" hidden="1" ht="17" customHeight="1" s="170">
      <c r="B21" s="159">
        <f>HYPERLINK("#AWE_DO_JS_FUNCTION!A1","AWE_DO_JS_FUNCTION")</f>
        <v/>
      </c>
      <c r="C21" s="145" t="inlineStr">
        <is>
          <t>OW通用js方法</t>
        </is>
      </c>
      <c r="D21" s="178" t="n"/>
    </row>
    <row r="22" hidden="1" ht="17" customHeight="1" s="170">
      <c r="B22" s="159">
        <f>HYPERLINK("#AWE_DO_KEYFILTER!A1","AWE_DO_KEYFILTER")</f>
        <v/>
      </c>
      <c r="C22" s="145" t="inlineStr">
        <is>
          <t>OW关键字查询</t>
        </is>
      </c>
      <c r="D22" s="178" t="n"/>
    </row>
    <row r="23" hidden="1" ht="17" customHeight="1" s="170">
      <c r="B23" s="159">
        <f>HYPERLINK("#AWE_DO_LIBRARY!A1","AWE_DO_LIBRARY")</f>
        <v/>
      </c>
      <c r="C23" s="145" t="inlineStr">
        <is>
          <t>OW显示模板字段信息</t>
        </is>
      </c>
      <c r="D23" s="178" t="n"/>
    </row>
    <row r="24" hidden="1" ht="17" customHeight="1" s="170">
      <c r="B24" s="159">
        <f>HYPERLINK("#AWE_DO_MODES!A1","AWE_DO_MODES")</f>
        <v/>
      </c>
      <c r="C24" s="145" t="inlineStr">
        <is>
          <t>OW显示模板样式表</t>
        </is>
      </c>
      <c r="D24" s="178" t="n"/>
    </row>
    <row r="25" hidden="1" ht="17" customHeight="1" s="170">
      <c r="B25" s="159">
        <f>HYPERLINK("#AWE_DO_VALIDATE!A1","AWE_DO_VALIDATE")</f>
        <v/>
      </c>
      <c r="C25" s="145" t="inlineStr">
        <is>
          <t>数据验证类</t>
        </is>
      </c>
      <c r="D25" s="178" t="n"/>
    </row>
    <row r="26" hidden="1" ht="17" customHeight="1" s="170">
      <c r="B26" s="159">
        <f>HYPERLINK("#AWE_DO_VALIDATE_CATALOG!A1","AWE_DO_VALIDATE_CATALOG")</f>
        <v/>
      </c>
      <c r="C26" s="145" t="inlineStr">
        <is>
          <t>数据验证业务分类</t>
        </is>
      </c>
      <c r="D26" s="178" t="n"/>
    </row>
    <row r="27" hidden="1" ht="17" customHeight="1" s="170">
      <c r="B27" s="159">
        <f>HYPERLINK("#AWE_DW_CONTEXT!A1","AWE_DW_CONTEXT")</f>
        <v/>
      </c>
      <c r="C27" s="145" t="inlineStr">
        <is>
          <t>显示模型上下文环境</t>
        </is>
      </c>
      <c r="D27" s="178" t="n"/>
    </row>
    <row r="28" hidden="1" ht="17" customHeight="1" s="170">
      <c r="B28" s="159">
        <f>HYPERLINK("#AWE_FUNCTION_INFO!A1","AWE_FUNCTION_INFO")</f>
        <v/>
      </c>
      <c r="C28" s="145" t="inlineStr">
        <is>
          <t>功能点信息</t>
        </is>
      </c>
      <c r="D28" s="178" t="n"/>
    </row>
    <row r="29" hidden="1" ht="17" customHeight="1" s="170">
      <c r="B29" s="159">
        <f>HYPERLINK("#AWE_FUNCTION_URL!A1","AWE_FUNCTION_URL")</f>
        <v/>
      </c>
      <c r="C29" s="145" t="inlineStr">
        <is>
          <t>功能点URL</t>
        </is>
      </c>
      <c r="D29" s="178" t="n"/>
    </row>
    <row r="30" hidden="1" ht="17" customHeight="1" s="170">
      <c r="B30" s="159">
        <f>HYPERLINK("#AWE_GROUP_CATALOG!A1","AWE_GROUP_CATALOG")</f>
        <v/>
      </c>
      <c r="C30" s="145" t="inlineStr">
        <is>
          <t>组合页面目录信息</t>
        </is>
      </c>
      <c r="D30" s="178" t="n"/>
    </row>
    <row r="31" hidden="1" ht="17" customHeight="1" s="170">
      <c r="B31" s="159">
        <f>HYPERLINK("#CODE_CATALOG!A1","CODE_CATALOG")</f>
        <v/>
      </c>
      <c r="C31" s="145" t="inlineStr">
        <is>
          <t>代码类别表;代码类别表</t>
        </is>
      </c>
      <c r="D31" s="178" t="n"/>
    </row>
    <row r="32" hidden="1" ht="17" customHeight="1" s="170">
      <c r="B32" s="159">
        <f>HYPERLINK("#CODE_LIBRARY!A1","CODE_LIBRARY")</f>
        <v/>
      </c>
      <c r="C32" s="145" t="inlineStr">
        <is>
          <t>代码表;代码库</t>
        </is>
      </c>
      <c r="D32" s="178" t="n"/>
    </row>
    <row r="33" hidden="1" ht="17" customHeight="1" s="170">
      <c r="B33" s="148">
        <f>HYPERLINK("#OBJECTTYPE_CATALOG!A1","OBJECTTYPE_CATALOG")</f>
        <v/>
      </c>
      <c r="C33" s="145" t="inlineStr">
        <is>
          <t>对象类型信息表</t>
        </is>
      </c>
      <c r="D33" s="178" t="n"/>
    </row>
    <row r="34" hidden="1" ht="17" customHeight="1" s="170">
      <c r="B34" s="159">
        <f>HYPERLINK("#OBJECTTYPE_RELA!A1","OBJECTTYPE_RELA")</f>
        <v/>
      </c>
      <c r="C34" s="145" t="inlineStr">
        <is>
          <t>对象关联信息表</t>
        </is>
      </c>
      <c r="D34" s="178" t="n"/>
    </row>
    <row r="35" hidden="1" ht="17" customHeight="1" s="170">
      <c r="B35" s="159">
        <f>HYPERLINK("#OBJECT_ATTRIBUTE!A1","OBJECT_ATTRIBUTE")</f>
        <v/>
      </c>
      <c r="C35" s="145" t="inlineStr">
        <is>
          <t>对象属性信息表</t>
        </is>
      </c>
      <c r="D35" s="178" t="n"/>
    </row>
    <row r="36" hidden="1" ht="17" customHeight="1" s="170">
      <c r="B36" s="159">
        <f>HYPERLINK("#OBJECT_MAXSN!A1","OBJECT_MAXSN")</f>
        <v/>
      </c>
      <c r="C36" s="145" t="inlineStr">
        <is>
          <t>系统流水表;系统流水号表</t>
        </is>
      </c>
      <c r="D36" s="178" t="n"/>
    </row>
    <row r="37" hidden="1" ht="17" customHeight="1" s="170">
      <c r="B37" s="159">
        <f>HYPERLINK("#ROLE_RIGHT!A1","ROLE_RIGHT")</f>
        <v/>
      </c>
      <c r="C37" s="145" t="inlineStr">
        <is>
          <t>角色权限表</t>
        </is>
      </c>
      <c r="D37" s="178" t="n"/>
    </row>
    <row r="38" hidden="1" ht="17" customHeight="1" s="170">
      <c r="B38" s="159">
        <f>HYPERLINK("#SECURITY_AUDIT!A1","SECURITY_AUDIT")</f>
        <v/>
      </c>
      <c r="C38" s="145" t="inlineStr">
        <is>
          <t>安全审计</t>
        </is>
      </c>
      <c r="D38" s="178" t="n"/>
    </row>
    <row r="39" hidden="1" ht="17" customHeight="1" s="170">
      <c r="B39" s="159">
        <f>HYPERLINK("#SELECT_CATALOG!A1","SELECT_CATALOG")</f>
        <v/>
      </c>
      <c r="C39" s="145" t="inlineStr">
        <is>
          <t>查询信息表</t>
        </is>
      </c>
      <c r="D39" s="178" t="n"/>
    </row>
    <row r="40" hidden="1" ht="17" customHeight="1" s="170">
      <c r="B40" s="159">
        <f>HYPERLINK("#USER_FAILEDLIST!A1","USER_FAILEDLIST")</f>
        <v/>
      </c>
      <c r="C40" s="145" t="inlineStr">
        <is>
          <t>用户登录失败表;用户痕迹表</t>
        </is>
      </c>
      <c r="D40" s="178" t="n"/>
    </row>
    <row r="41" hidden="1" ht="17" customHeight="1" s="170">
      <c r="B41" s="159">
        <f>HYPERLINK("#USER_LIST!A1","USER_LIST")</f>
        <v/>
      </c>
      <c r="C41" s="145" t="inlineStr">
        <is>
          <t>用户登录表;用户登录列表</t>
        </is>
      </c>
      <c r="D41" s="178" t="n"/>
    </row>
    <row r="42" hidden="1" ht="17" customHeight="1" s="170">
      <c r="B42" s="159">
        <f>HYPERLINK("#USER_LOGON_SESSION!A1","USER_LOGON_SESSION")</f>
        <v/>
      </c>
      <c r="C42" s="145" t="inlineStr">
        <is>
          <t>用户登录session</t>
        </is>
      </c>
      <c r="D42" s="178" t="n"/>
    </row>
    <row r="43" hidden="1" ht="17" customHeight="1" s="170">
      <c r="B43" s="159">
        <f>HYPERLINK("#USER_MARKINFO!A1","USER_MARKINFO")</f>
        <v/>
      </c>
      <c r="C43" s="145" t="inlineStr">
        <is>
          <t>用户记录表;用户痕迹表</t>
        </is>
      </c>
      <c r="D43" s="178" t="n"/>
    </row>
    <row r="44" hidden="1" ht="17" customHeight="1" s="170">
      <c r="B44" s="159">
        <f>HYPERLINK("#USER_RIGHT!A1","USER_RIGHT")</f>
        <v/>
      </c>
      <c r="C44" s="145" t="inlineStr">
        <is>
          <t>用户权限表</t>
        </is>
      </c>
      <c r="D44" s="178" t="n"/>
    </row>
    <row r="45" hidden="1" ht="17" customHeight="1" s="170">
      <c r="B45" s="159">
        <f>HYPERLINK("#USER_RUNTIME!A1","USER_RUNTIME")</f>
        <v/>
      </c>
      <c r="C45" s="145" t="inlineStr">
        <is>
          <t>用户运行时信息</t>
        </is>
      </c>
      <c r="D45" s="178" t="n"/>
    </row>
    <row r="46" hidden="1" ht="17" customHeight="1" s="170">
      <c r="B46" s="159">
        <f>HYPERLINK("#AWE_GROUP_CLASSIFY!A1","AWE_GROUP_CLASSIFY")</f>
        <v/>
      </c>
      <c r="C46" s="145" t="inlineStr">
        <is>
          <t>组合页面分类信息表</t>
        </is>
      </c>
      <c r="D46" s="178" t="n"/>
    </row>
    <row r="47" hidden="1" ht="17" customHeight="1" s="170">
      <c r="B47" s="159">
        <f>HYPERLINK("#AWE_GROUP_ITEM!A1","AWE_GROUP_ITEM")</f>
        <v/>
      </c>
      <c r="C47" s="145" t="inlineStr">
        <is>
          <t>组合页面详细信息表</t>
        </is>
      </c>
      <c r="D47" s="178" t="n"/>
    </row>
    <row r="48" hidden="1" ht="17" customHeight="1" s="170">
      <c r="B48" s="159">
        <f>HYPERLINK("#AWE_HREF_INFO!A1","AWE_HREF_INFO")</f>
        <v/>
      </c>
      <c r="C48" s="145" t="inlineStr">
        <is>
          <t>链接信息</t>
        </is>
      </c>
      <c r="D48" s="178" t="n"/>
    </row>
    <row r="49" hidden="1" ht="17" customHeight="1" s="170">
      <c r="B49" s="159">
        <f>HYPERLINK("#AWE_JSP_RUNTIME!A1","AWE_JSP_RUNTIME")</f>
        <v/>
      </c>
      <c r="C49" s="145" t="inlineStr">
        <is>
          <t>jsp页面访问统计表</t>
        </is>
      </c>
      <c r="D49" s="178" t="n"/>
    </row>
    <row r="50" hidden="1" ht="17" customHeight="1" s="170">
      <c r="B50" s="159">
        <f>HYPERLINK("#AWE_MENU_INFO!A1","AWE_MENU_INFO")</f>
        <v/>
      </c>
      <c r="C50" s="145" t="inlineStr">
        <is>
          <t>菜单表;系统菜单表</t>
        </is>
      </c>
      <c r="D50" s="178" t="n"/>
    </row>
    <row r="51" hidden="1" ht="17" customHeight="1" s="170">
      <c r="B51" s="159">
        <f>HYPERLINK("#AWE_MESSAGE_INFO!A1","AWE_MESSAGE_INFO")</f>
        <v/>
      </c>
      <c r="C51" s="145" t="inlineStr">
        <is>
          <t>站内信对象</t>
        </is>
      </c>
      <c r="D51" s="178" t="n"/>
    </row>
    <row r="52" hidden="1" ht="17" customHeight="1" s="170">
      <c r="B52" s="159">
        <f>HYPERLINK("#AWE_MESSAGE_USER!A1","AWE_MESSAGE_USER")</f>
        <v/>
      </c>
      <c r="C52" s="145" t="inlineStr">
        <is>
          <t>站内信发送/关联用户</t>
        </is>
      </c>
      <c r="D52" s="178" t="n"/>
    </row>
    <row r="53" hidden="1" ht="17" customHeight="1" s="170">
      <c r="B53" s="159">
        <f>HYPERLINK("#AWE_QUERY_INFO!A1","AWE_QUERY_INFO")</f>
        <v/>
      </c>
      <c r="C53" s="145" t="inlineStr">
        <is>
          <t>查询配置基本信息</t>
        </is>
      </c>
      <c r="D53" s="178" t="n"/>
    </row>
    <row r="54" hidden="1" ht="17" customHeight="1" s="170">
      <c r="B54" s="159">
        <f>HYPERLINK("#AWE_QUERY_USER!A1","AWE_QUERY_USER")</f>
        <v/>
      </c>
      <c r="C54" s="145" t="inlineStr">
        <is>
          <t>异步查询下载</t>
        </is>
      </c>
      <c r="D54" s="178" t="n"/>
    </row>
    <row r="55" hidden="1" ht="17" customHeight="1" s="170">
      <c r="B55" s="159">
        <f>HYPERLINK("#AWE_QUICK_HREF!A1","AWE_QUICK_HREF")</f>
        <v/>
      </c>
      <c r="C55" s="145" t="inlineStr">
        <is>
          <t>快捷链接</t>
        </is>
      </c>
      <c r="D55" s="178" t="n"/>
    </row>
    <row r="56" hidden="1" ht="17" customHeight="1" s="170">
      <c r="B56" s="159">
        <f>HYPERLINK("#AWE_RECORD_INFO!A1","AWE_RECORD_INFO")</f>
        <v/>
      </c>
      <c r="C56" s="145" t="inlineStr">
        <is>
          <t>特殊信息记录表</t>
        </is>
      </c>
      <c r="D56" s="178" t="n"/>
    </row>
    <row r="57" hidden="1" ht="17" customHeight="1" s="170">
      <c r="B57" s="159">
        <f>HYPERLINK("#AWE_RIGHT_MENU!A1","AWE_RIGHT_MENU")</f>
        <v/>
      </c>
      <c r="C57" s="145" t="inlineStr">
        <is>
          <t>菜单权限表</t>
        </is>
      </c>
      <c r="D57" s="178" t="n"/>
    </row>
    <row r="58" hidden="1" ht="17" customHeight="1" s="170">
      <c r="B58" s="159">
        <f>HYPERLINK("#AWE_ROLE_FUNCTION!A1","AWE_ROLE_FUNCTION")</f>
        <v/>
      </c>
      <c r="C58" s="145" t="inlineStr">
        <is>
          <t>角色和功能点关联表</t>
        </is>
      </c>
      <c r="D58" s="178" t="n"/>
    </row>
    <row r="59" hidden="1" ht="17" customHeight="1" s="170">
      <c r="B59" s="159">
        <f>HYPERLINK("#AWE_ROLE_MENU!A1","AWE_ROLE_MENU")</f>
        <v/>
      </c>
      <c r="C59" s="145" t="inlineStr">
        <is>
          <t>角色菜单表;菜单角色表</t>
        </is>
      </c>
      <c r="D59" s="178" t="n"/>
    </row>
    <row r="60" hidden="1" ht="17" customHeight="1" s="170">
      <c r="B60" s="159">
        <f>HYPERLINK("#AWE_ROLE_RIGHT!A1","AWE_ROLE_RIGHT")</f>
        <v/>
      </c>
      <c r="C60" s="145" t="inlineStr">
        <is>
          <t>角色权限系统表</t>
        </is>
      </c>
      <c r="D60" s="178" t="n"/>
    </row>
    <row r="61" hidden="1" ht="17" customHeight="1" s="170">
      <c r="B61" s="159">
        <f>HYPERLINK("#AWE_ROLE_URL!A1","AWE_ROLE_URL")</f>
        <v/>
      </c>
      <c r="C61" s="145" t="inlineStr">
        <is>
          <t>角色权限URL</t>
        </is>
      </c>
      <c r="D61" s="178" t="n"/>
    </row>
    <row r="62" hidden="1" ht="17" customHeight="1" s="170">
      <c r="B62" s="159">
        <f>HYPERLINK("#AWE_SHORTCUT!A1","AWE_SHORTCUT")</f>
        <v/>
      </c>
      <c r="C62" s="145" t="inlineStr">
        <is>
          <t>系统默认快捷菜单表</t>
        </is>
      </c>
      <c r="D62" s="178" t="n"/>
    </row>
    <row r="63" hidden="1" ht="17" customHeight="1" s="170">
      <c r="B63" s="159">
        <f>HYPERLINK("#AWE_SHORTCUTITEM!A1","AWE_SHORTCUTITEM")</f>
        <v/>
      </c>
      <c r="C63" s="145" t="inlineStr">
        <is>
          <t>系统功能库</t>
        </is>
      </c>
      <c r="D63" s="178" t="n"/>
    </row>
    <row r="64" hidden="1" ht="17" customHeight="1" s="170">
      <c r="B64" s="159">
        <f>HYPERLINK("#AWE_TASK_INFO!A1","AWE_TASK_INFO")</f>
        <v/>
      </c>
      <c r="C64" s="145" t="inlineStr">
        <is>
          <t>任务信息表</t>
        </is>
      </c>
      <c r="D64" s="178" t="n"/>
    </row>
    <row r="65" hidden="1" ht="17" customHeight="1" s="170">
      <c r="B65" s="159">
        <f>HYPERLINK("#AWE_TASK_PROCESS!A1","AWE_TASK_PROCESS")</f>
        <v/>
      </c>
      <c r="C65" s="145" t="inlineStr">
        <is>
          <t>任务进度信息</t>
        </is>
      </c>
      <c r="D65" s="178" t="n"/>
    </row>
    <row r="66" hidden="1" ht="17" customHeight="1" s="170">
      <c r="B66" s="159">
        <f>HYPERLINK("#AWE_WIZARD_CATALOG!A1","AWE_WIZARD_CATALOG")</f>
        <v/>
      </c>
      <c r="C66" s="145" t="inlineStr">
        <is>
          <t>向导目录</t>
        </is>
      </c>
      <c r="D66" s="178" t="n"/>
    </row>
    <row r="67" hidden="1" ht="17" customHeight="1" s="170">
      <c r="B67" s="159">
        <f>HYPERLINK("#AWE_WIZARD_LIBRARY!A1","AWE_WIZARD_LIBRARY")</f>
        <v/>
      </c>
      <c r="C67" s="145" t="inlineStr">
        <is>
          <t>向导定义表;向导定义</t>
        </is>
      </c>
      <c r="D67" s="178" t="n"/>
    </row>
    <row r="68" hidden="1" ht="17" customHeight="1" s="170">
      <c r="B68" s="159">
        <f>HYPERLINK("#AWE_WIZARD_RUNNER!A1","AWE_WIZARD_RUNNER")</f>
        <v/>
      </c>
      <c r="C68" s="145" t="inlineStr">
        <is>
          <t>向导运行记录表</t>
        </is>
      </c>
      <c r="D68" s="178" t="n"/>
    </row>
    <row r="69" hidden="1" ht="17" customHeight="1" s="170">
      <c r="B69" s="159">
        <f>HYPERLINK("#CLASS_CATALOG!A1","CLASS_CATALOG")</f>
        <v/>
      </c>
      <c r="C69" s="145" t="inlineStr">
        <is>
          <t>类定义</t>
        </is>
      </c>
      <c r="D69" s="178" t="n"/>
    </row>
    <row r="70" hidden="1" ht="17" customHeight="1" s="170">
      <c r="B70" s="159">
        <f>HYPERLINK("#CLASS_METHOD!A1","CLASS_METHOD")</f>
        <v/>
      </c>
      <c r="C70" s="145" t="inlineStr">
        <is>
          <t>方法</t>
        </is>
      </c>
      <c r="D70" s="179" t="n"/>
    </row>
    <row r="71" ht="17" customHeight="1" s="170">
      <c r="B71" s="79">
        <f>HYPERLINK("#CLR_REGISTER_RECORD!A1","CLR_REGISTER_RECORD")</f>
        <v/>
      </c>
      <c r="C71" s="143" t="inlineStr">
        <is>
          <t>抵质押登记记录</t>
        </is>
      </c>
      <c r="D71" s="150" t="inlineStr">
        <is>
          <t>抵质押登记管理</t>
        </is>
      </c>
    </row>
    <row r="72" ht="16.8" customHeight="1" s="170">
      <c r="B72" s="151">
        <f>HYPERLINK("#CLR_COMMODITY_MARKET!A1","CLR_COMMODITY_MARKET")</f>
        <v/>
      </c>
      <c r="C72" s="156" t="inlineStr">
        <is>
          <t>大宗商品盯市数据表</t>
        </is>
      </c>
      <c r="D72" s="175" t="inlineStr">
        <is>
          <t>盯市管理</t>
        </is>
      </c>
    </row>
    <row r="73" ht="16.8" customHeight="1" s="170">
      <c r="B73" s="151">
        <f>HYPERLINK("#CLR_FUND_MARKET!A1","CLR_FUND_MARKET")</f>
        <v/>
      </c>
      <c r="C73" s="156" t="inlineStr">
        <is>
          <t>基金盯市数据表</t>
        </is>
      </c>
      <c r="D73" s="178" t="n"/>
    </row>
    <row r="74" ht="16.8" customHeight="1" s="170">
      <c r="B74" s="151">
        <f>HYPERLINK("#CLR_FUND_MARKET_DETAIL!A1","CLR_FUND_MARKET_DETAIL")</f>
        <v/>
      </c>
      <c r="C74" s="156" t="inlineStr">
        <is>
          <t>基金盯市数据明细表</t>
        </is>
      </c>
      <c r="D74" s="178" t="n"/>
    </row>
    <row r="75" ht="16.8" customHeight="1" s="170">
      <c r="B75" s="151">
        <f>HYPERLINK("#CLR_MATERIAL_CATALOG!A1","CLR_MATERIAL_CATALOG")</f>
        <v/>
      </c>
      <c r="C75" s="156" t="inlineStr">
        <is>
          <t>商品类别信息表</t>
        </is>
      </c>
      <c r="D75" s="178" t="n"/>
    </row>
    <row r="76" ht="16.8" customHeight="1" s="170">
      <c r="B76" s="151">
        <f>HYPERLINK("#CLR_STOCK_MARKET!A1","CLR_STOCK_MARKET")</f>
        <v/>
      </c>
      <c r="C76" s="156" t="inlineStr">
        <is>
          <t>股票盯市数据表</t>
        </is>
      </c>
      <c r="D76" s="178" t="n"/>
    </row>
    <row r="77" ht="16.8" customHeight="1" s="170">
      <c r="B77" s="151">
        <f>HYPERLINK("#CLR_STOCK_MARKET_DETAIL!A1","CLR_STOCK_MARKET_DETAIL")</f>
        <v/>
      </c>
      <c r="C77" s="156" t="inlineStr">
        <is>
          <t>股票盯市数据明细表</t>
        </is>
      </c>
      <c r="D77" s="179" t="n"/>
    </row>
    <row r="78" hidden="1" ht="17" customHeight="1" s="170">
      <c r="B78" s="159">
        <f>HYPERLINK("#SCENARIO_ARGS!A1","SCENARIO_ARGS")</f>
        <v/>
      </c>
      <c r="C78" s="145" t="inlineStr">
        <is>
          <t>风险探测参数信息表</t>
        </is>
      </c>
      <c r="D78" s="175" t="inlineStr">
        <is>
          <t>风险探测</t>
        </is>
      </c>
    </row>
    <row r="79" hidden="1" ht="17" customHeight="1" s="170">
      <c r="B79" s="159">
        <f>HYPERLINK("#SCENARIO_CATALOG!A1","SCENARIO_CATALOG")</f>
        <v/>
      </c>
      <c r="C79" s="145" t="inlineStr">
        <is>
          <t>场景分类</t>
        </is>
      </c>
      <c r="D79" s="178" t="n"/>
    </row>
    <row r="80" hidden="1" ht="17" customHeight="1" s="170">
      <c r="B80" s="159">
        <f>HYPERLINK("#SCENARIO_GROUP!A1","SCENARIO_GROUP")</f>
        <v/>
      </c>
      <c r="C80" s="145" t="inlineStr">
        <is>
          <t>场景分组</t>
        </is>
      </c>
      <c r="D80" s="178" t="n"/>
    </row>
    <row r="81" hidden="1" ht="17" customHeight="1" s="170">
      <c r="B81" s="159">
        <f>HYPERLINK("#SCENARIO_MODEL!A1","SCENARIO_MODEL")</f>
        <v/>
      </c>
      <c r="C81" s="145" t="inlineStr">
        <is>
          <t>场景模型</t>
        </is>
      </c>
      <c r="D81" s="178" t="n"/>
    </row>
    <row r="82" hidden="1" ht="17" customHeight="1" s="170">
      <c r="B82" s="159">
        <f>HYPERLINK("#SCENARIO_RELATIVE!A1","SCENARIO_RELATIVE")</f>
        <v/>
      </c>
      <c r="C82" s="145" t="inlineStr">
        <is>
          <t>场景关联表</t>
        </is>
      </c>
      <c r="D82" s="179" t="n"/>
    </row>
    <row r="83" hidden="1" ht="17" customHeight="1" s="170">
      <c r="B83" s="159">
        <f>HYPERLINK("#USER_WORKTIPS!A1","USER_WORKTIPS")</f>
        <v/>
      </c>
      <c r="C83" s="145" t="inlineStr">
        <is>
          <t>用户工作日志表</t>
        </is>
      </c>
      <c r="D83" s="175" t="inlineStr">
        <is>
          <t>工作台</t>
        </is>
      </c>
    </row>
    <row r="84" hidden="1" ht="16.8" customHeight="1" s="170">
      <c r="B84" s="159">
        <f>HYPERLINK("#WORKTIP_CONDITION!A1","WORKTIP_CONDITION")</f>
        <v/>
      </c>
      <c r="C84" s="156" t="inlineStr">
        <is>
          <t>工作情况</t>
        </is>
      </c>
      <c r="D84" s="178" t="n"/>
    </row>
    <row r="85" hidden="1" ht="16.8" customHeight="1" s="170">
      <c r="B85" s="159">
        <f>HYPERLINK("#WORKTIP_SUMMARY!A1","WORKTIP_SUMMARY")</f>
        <v/>
      </c>
      <c r="C85" s="156" t="inlineStr">
        <is>
          <t>工作汇总</t>
        </is>
      </c>
      <c r="D85" s="179" t="n"/>
    </row>
    <row r="86" ht="17" customHeight="1" s="170">
      <c r="B86" s="153">
        <f>HYPERLINK("#CLR_VERIFICATION_INFO!A1","CLR_VERIFICATION_INFO")</f>
        <v/>
      </c>
      <c r="C86" s="154" t="inlineStr">
        <is>
          <t>核押详情</t>
        </is>
      </c>
      <c r="D86" s="155" t="inlineStr">
        <is>
          <t>核押信息登记</t>
        </is>
      </c>
    </row>
    <row r="87" ht="17" customHeight="1" s="170">
      <c r="B87" s="153">
        <f>HYPERLINK("#CLR_VERIFICATION_RECORD!A1","CLR_VERIFICATION_RECORD")</f>
        <v/>
      </c>
      <c r="C87" s="154" t="inlineStr">
        <is>
          <t>核押信息记录</t>
        </is>
      </c>
      <c r="D87" s="179" t="n"/>
    </row>
    <row r="88" hidden="1" ht="16.8" customHeight="1" s="170">
      <c r="B88" s="159">
        <f>HYPERLINK("#WF_INSTANCE!A1","WF_INSTANCE")</f>
        <v/>
      </c>
      <c r="C88" s="159" t="inlineStr">
        <is>
          <t>流程实例</t>
        </is>
      </c>
      <c r="D88" s="175" t="inlineStr">
        <is>
          <t>流程表</t>
        </is>
      </c>
    </row>
    <row r="89" hidden="1" ht="16.8" customHeight="1" s="170">
      <c r="B89" s="159" t="inlineStr">
        <is>
          <t>wf_opinion</t>
        </is>
      </c>
      <c r="C89" s="159" t="inlineStr">
        <is>
          <t>流程意见记录</t>
        </is>
      </c>
      <c r="D89" s="178" t="n"/>
    </row>
    <row r="90" hidden="1" ht="17" customHeight="1" s="170">
      <c r="B90" s="159">
        <f>HYPERLINK("#WF_WORKITEM!A1","WF_WORKITEM")</f>
        <v/>
      </c>
      <c r="C90" s="159" t="inlineStr">
        <is>
          <t>流程工作项(任务)</t>
        </is>
      </c>
      <c r="D90" s="178" t="n"/>
    </row>
    <row r="91" hidden="1" ht="17" customHeight="1" s="170">
      <c r="B91" s="159">
        <f>HYPERLINK("#WF_ACTIVEINSTANCE!A1","WF_ACTIVEINSTANCE")</f>
        <v/>
      </c>
      <c r="C91" s="159" t="inlineStr">
        <is>
          <t>流程的活动(节点)实例</t>
        </is>
      </c>
      <c r="D91" s="178" t="n"/>
    </row>
    <row r="92" hidden="1" ht="17" customHeight="1" s="170">
      <c r="B92" s="159">
        <f>HYPERLINK("#FLOW_ACTIVITIES!A1","FLOW_ACTIVITIES")</f>
        <v/>
      </c>
      <c r="C92" s="159" t="inlineStr">
        <is>
          <t>流程活动(节点)</t>
        </is>
      </c>
      <c r="D92" s="178" t="n"/>
    </row>
    <row r="93" hidden="1" ht="16.8" customHeight="1" s="170">
      <c r="B93" s="159">
        <f>HYPERLINK("#FLOW_ATTRIBUTEGROUP!A1","FLOW_ATTRIBUTEGROUP")</f>
        <v/>
      </c>
      <c r="C93" s="159" t="inlineStr">
        <is>
          <t>流程活动的属性分组</t>
        </is>
      </c>
      <c r="D93" s="178" t="n"/>
    </row>
    <row r="94" hidden="1" ht="16.8" customHeight="1" s="170">
      <c r="B94" s="159">
        <f>HYPERLINK("#FLOW_BUTTONGROUP!A1","FLOW_BUTTONGROUP")</f>
        <v/>
      </c>
      <c r="C94" s="159" t="inlineStr">
        <is>
          <t>流程按钮组</t>
        </is>
      </c>
      <c r="D94" s="178" t="n"/>
    </row>
    <row r="95" hidden="1" ht="16.8" customHeight="1" s="170">
      <c r="B95" s="159">
        <f>HYPERLINK("#FLOW_BUTTONITEM!A1","FLOW_BUTTONITEM")</f>
        <v/>
      </c>
      <c r="C95" s="159" t="inlineStr">
        <is>
          <t>流程按钮</t>
        </is>
      </c>
      <c r="D95" s="178" t="n"/>
    </row>
    <row r="96" hidden="1" ht="16.8" customHeight="1" s="170">
      <c r="B96" s="159">
        <f>HYPERLINK("#FLOW_DEF!A1","FLOW_DEF")</f>
        <v/>
      </c>
      <c r="C96" s="159" t="inlineStr">
        <is>
          <t>流程定义</t>
        </is>
      </c>
      <c r="D96" s="178" t="n"/>
    </row>
    <row r="97" hidden="1" ht="16.8" customHeight="1" s="170">
      <c r="B97" s="159">
        <f>HYPERLINK("#FLOW_DEPLOY!A1","FLOW_DEPLOY")</f>
        <v/>
      </c>
      <c r="C97" s="159" t="inlineStr">
        <is>
          <t>流程部署</t>
        </is>
      </c>
      <c r="D97" s="178" t="n"/>
    </row>
    <row r="98" hidden="1" ht="16.8" customHeight="1" s="170">
      <c r="B98" s="159">
        <f>HYPERLINK("#FLOW_GROUP!A1","FLOW_GROUP")</f>
        <v/>
      </c>
      <c r="C98" s="159" t="inlineStr">
        <is>
          <t>流程分组</t>
        </is>
      </c>
      <c r="D98" s="178" t="n"/>
    </row>
    <row r="99" hidden="1" ht="16.8" customHeight="1" s="170">
      <c r="B99" s="159">
        <f>HYPERLINK("#FLOW_HI_MODEL!A1","FLOW_HI_MODEL")</f>
        <v/>
      </c>
      <c r="C99" s="159" t="inlineStr">
        <is>
          <t>流程模型的历史</t>
        </is>
      </c>
      <c r="D99" s="178" t="n"/>
    </row>
    <row r="100" hidden="1" ht="16.8" customHeight="1" s="170">
      <c r="B100" s="159">
        <f>HYPERLINK("#FLOW_MESSAGE!A1","FLOW_MESSAGE")</f>
        <v/>
      </c>
      <c r="C100" s="159" t="inlineStr">
        <is>
          <t>流程信息</t>
        </is>
      </c>
      <c r="D100" s="178" t="n"/>
    </row>
    <row r="101" hidden="1" ht="16.8" customHeight="1" s="170">
      <c r="B101" s="159">
        <f>HYPERLINK("#FLOW_PHASETYPE!A1","FLOW_PHASETYPE")</f>
        <v/>
      </c>
      <c r="C101" s="159" t="inlineStr">
        <is>
          <t>流程阶段类型</t>
        </is>
      </c>
      <c r="D101" s="178" t="n"/>
    </row>
    <row r="102" hidden="1" ht="16.8" customHeight="1" s="170">
      <c r="B102" s="159">
        <f>HYPERLINK("#FLOW_RU_MODEL!A1","FLOW_RU_MODEL")</f>
        <v/>
      </c>
      <c r="C102" s="159" t="inlineStr">
        <is>
          <t>流程模型表</t>
        </is>
      </c>
      <c r="D102" s="178" t="n"/>
    </row>
    <row r="103" hidden="1" ht="16.8" customHeight="1" s="170">
      <c r="B103" s="159">
        <f>HYPERLINK("#FLOW_USERCONF!A1","FLOW_USERCONF")</f>
        <v/>
      </c>
      <c r="C103" s="159" t="inlineStr">
        <is>
          <t>流程的处理人配置</t>
        </is>
      </c>
      <c r="D103" s="178" t="n"/>
    </row>
    <row r="104" hidden="1" ht="16.8" customHeight="1" s="170">
      <c r="B104" s="159">
        <f>HYPERLINK("#FLOW_CATALOG!A1","FLOW_CATALOG")</f>
        <v/>
      </c>
      <c r="C104" s="159" t="inlineStr">
        <is>
          <t>流程表</t>
        </is>
      </c>
      <c r="D104" s="178" t="n"/>
    </row>
    <row r="105" hidden="1" ht="17" customHeight="1" s="170">
      <c r="B105" s="159">
        <f>HYPERLINK("#FLOW_MODEL!A1","FLOW_MODEL")</f>
        <v/>
      </c>
      <c r="C105" s="159" t="inlineStr">
        <is>
          <t>流程模型表;流程模型</t>
        </is>
      </c>
      <c r="D105" s="178" t="n"/>
    </row>
    <row r="106" hidden="1" ht="16.8" customHeight="1" s="170">
      <c r="B106" s="159" t="inlineStr">
        <is>
          <t>FLOW_MODEL_RELATIVE</t>
        </is>
      </c>
      <c r="C106" s="159" t="inlineStr">
        <is>
          <t>流程多法人关联表</t>
        </is>
      </c>
      <c r="D106" s="178" t="n"/>
    </row>
    <row r="107" hidden="1" ht="17" customHeight="1" s="170">
      <c r="B107" s="159">
        <f>HYPERLINK("#FLOW_OBJECT!A1","FLOW_OBJECT")</f>
        <v/>
      </c>
      <c r="C107" s="145" t="inlineStr">
        <is>
          <t>流程对象表</t>
        </is>
      </c>
      <c r="D107" s="178" t="n"/>
    </row>
    <row r="108" hidden="1" ht="17" customHeight="1" s="170">
      <c r="B108" s="159">
        <f>HYPERLINK("#FLOW_OBJECT_SUMMARY!A1","FLOW_OBJECT_SUMMARY")</f>
        <v/>
      </c>
      <c r="C108" s="145" t="inlineStr">
        <is>
          <t>流程业务表</t>
        </is>
      </c>
      <c r="D108" s="178" t="n"/>
    </row>
    <row r="109" hidden="1" ht="17" customHeight="1" s="170">
      <c r="B109" s="159">
        <f>HYPERLINK("#FLOW_OPINION!A1","FLOW_OPINION")</f>
        <v/>
      </c>
      <c r="C109" s="145" t="inlineStr">
        <is>
          <t>流程意见记录</t>
        </is>
      </c>
      <c r="D109" s="178" t="n"/>
    </row>
    <row r="110" hidden="1" ht="17" customHeight="1" s="170">
      <c r="B110" s="159">
        <f>HYPERLINK("#FLOW_SWIMLANE!A1","FLOW_SWIMLANE")</f>
        <v/>
      </c>
      <c r="C110" s="145" t="inlineStr">
        <is>
          <t>流程泳道</t>
        </is>
      </c>
      <c r="D110" s="178" t="n"/>
    </row>
    <row r="111" hidden="1" ht="17" customHeight="1" s="170">
      <c r="B111" s="159">
        <f>HYPERLINK("#FLOW_TASK!A1","FLOW_TASK")</f>
        <v/>
      </c>
      <c r="C111" s="145" t="inlineStr">
        <is>
          <t>流程任务</t>
        </is>
      </c>
      <c r="D111" s="178" t="n"/>
    </row>
    <row r="112" hidden="1" ht="17" customHeight="1" s="170">
      <c r="B112" s="159">
        <f>HYPERLINK("#FLOW_TASK_CLOSED!A1","FLOW_TASK_CLOSED")</f>
        <v/>
      </c>
      <c r="C112" s="145" t="inlineStr">
        <is>
          <t>已结束流程任务</t>
        </is>
      </c>
      <c r="D112" s="178" t="n"/>
    </row>
    <row r="113" hidden="1" ht="17" customHeight="1" s="170">
      <c r="B113" s="159">
        <f>HYPERLINK("#FLOW_USER_RELA!A1","FLOW_USER_RELA")</f>
        <v/>
      </c>
      <c r="C113" s="145" t="inlineStr">
        <is>
          <t>流程用户关联关系表</t>
        </is>
      </c>
      <c r="D113" s="178" t="n"/>
    </row>
    <row r="114" hidden="1" ht="16.8" customHeight="1" s="170">
      <c r="B114" s="159">
        <f>HYPERLINK("#FLOW_PROPS!A1","FLOW_PROPS")</f>
        <v/>
      </c>
      <c r="C114" s="156" t="inlineStr">
        <is>
          <t>流程节点的属性</t>
        </is>
      </c>
      <c r="D114" s="179" t="n"/>
    </row>
    <row r="115" hidden="1" ht="17" customHeight="1" s="170">
      <c r="B115" s="151">
        <f>HYPERLINK("#TASK_RUN_HISTORY!A1","TASK_RUN_HISTORY")</f>
        <v/>
      </c>
      <c r="C115" s="156" t="inlineStr">
        <is>
          <t>GCI 任务跑批历史表;任务跑批历史表</t>
        </is>
      </c>
      <c r="D115" s="175" t="inlineStr">
        <is>
          <t>批量调度</t>
        </is>
      </c>
    </row>
    <row r="116" hidden="1" ht="17" customHeight="1" s="170">
      <c r="B116" s="151">
        <f>HYPERLINK("#TASK_RUN_INTERACT!A1","TASK_RUN_INTERACT")</f>
        <v/>
      </c>
      <c r="C116" s="156" t="inlineStr">
        <is>
          <t>GCI 任务交互控制表;任务交互控制表</t>
        </is>
      </c>
      <c r="D116" s="178" t="n"/>
    </row>
    <row r="117" hidden="1" ht="17" customHeight="1" s="170">
      <c r="B117" s="151">
        <f>HYPERLINK("#TASK_RUN_STATUS!A1","TASK_RUN_STATUS")</f>
        <v/>
      </c>
      <c r="C117" s="156" t="inlineStr">
        <is>
          <t>GCI 任务运行状态表;任务运行状态表</t>
        </is>
      </c>
      <c r="D117" s="179" t="n"/>
    </row>
    <row r="118" ht="17" customHeight="1" s="170">
      <c r="B118" s="157">
        <f>HYPERLINK("#CLR_RIGHTCERT_INFO!A1","CLR_RIGHTCERT_INFO")</f>
        <v/>
      </c>
      <c r="C118" s="143" t="inlineStr">
        <is>
          <t>抵质押权证信息</t>
        </is>
      </c>
      <c r="D118" s="175" t="inlineStr">
        <is>
          <t>权证出入库</t>
        </is>
      </c>
    </row>
    <row r="119" ht="17" customHeight="1" s="170">
      <c r="B119" s="157">
        <f>HYPERLINK("#CLR_RIGHTCERT_PACKAGE_INFO!A1","CLR_RIGHTCERT_PACKAGE_INFO")</f>
        <v/>
      </c>
      <c r="C119" s="143" t="inlineStr">
        <is>
          <t>权证封包信息</t>
        </is>
      </c>
      <c r="D119" s="178" t="n"/>
    </row>
    <row r="120" ht="17" customHeight="1" s="170">
      <c r="B120" s="79">
        <f>HYPERLINK("#CLR_RIGHTCERT_TRANRECORD!A1","CLR_RIGHTCERT_TRANRECORD")</f>
        <v/>
      </c>
      <c r="C120" s="143" t="inlineStr">
        <is>
          <t>权证出入库记录</t>
        </is>
      </c>
      <c r="D120" s="178" t="n"/>
    </row>
    <row r="121" ht="17" customHeight="1" s="170">
      <c r="B121" s="79">
        <f>HYPERLINK("#CLR_RIGHTCERT_TRAPPL!A1","CLR_RIGHTCERT_TRAPPL")</f>
        <v/>
      </c>
      <c r="C121" s="143" t="inlineStr">
        <is>
          <t>权证出入库申请</t>
        </is>
      </c>
      <c r="D121" s="178" t="n"/>
    </row>
    <row r="122" ht="17" customHeight="1" s="170">
      <c r="B122" s="153">
        <f>HYPERLINK("#CLR_RIGHTCERT_TRAPPL_GROUP!A1","CLR_RIGHTCERT_TRAPPL_GROUP")</f>
        <v/>
      </c>
      <c r="C122" s="154" t="inlineStr">
        <is>
          <t>权证出入库申请组</t>
        </is>
      </c>
      <c r="D122" s="179" t="n"/>
    </row>
    <row r="123" hidden="1" ht="17" customHeight="1" s="170">
      <c r="B123" s="159">
        <f>HYPERLINK("#DOC_ATTACHMENT!A1","DOC_ATTACHMENT")</f>
        <v/>
      </c>
      <c r="C123" s="145" t="inlineStr">
        <is>
          <t>文档附件表;文档附件库</t>
        </is>
      </c>
      <c r="D123" s="175" t="inlineStr">
        <is>
          <t>通用组件</t>
        </is>
      </c>
    </row>
    <row r="124" hidden="1" ht="17" customHeight="1" s="170">
      <c r="B124" s="159">
        <f>HYPERLINK("#DOC_LIBRARY!A1","DOC_LIBRARY")</f>
        <v/>
      </c>
      <c r="C124" s="145" t="inlineStr">
        <is>
          <t>文档资料表;文档资料库</t>
        </is>
      </c>
      <c r="D124" s="178" t="n"/>
    </row>
    <row r="125" hidden="1" ht="17" customHeight="1" s="170">
      <c r="B125" s="159">
        <f>HYPERLINK("#DOC_RELATIVE!A1","DOC_RELATIVE")</f>
        <v/>
      </c>
      <c r="C125" s="145" t="inlineStr">
        <is>
          <t>文档关联对象表</t>
        </is>
      </c>
      <c r="D125" s="178" t="n"/>
    </row>
    <row r="126" hidden="1" ht="17" customHeight="1" s="170">
      <c r="B126" s="159">
        <f>HYPERLINK("#EVALUATE_CATALOG!A1","EVALUATE_CATALOG")</f>
        <v/>
      </c>
      <c r="C126" s="145" t="inlineStr">
        <is>
          <t>评估目录表</t>
        </is>
      </c>
      <c r="D126" s="178" t="n"/>
    </row>
    <row r="127" hidden="1" ht="17" customHeight="1" s="170">
      <c r="B127" s="159">
        <f>HYPERLINK("#EVALUATE_DATA!A1","EVALUATE_DATA")</f>
        <v/>
      </c>
      <c r="C127" s="145" t="inlineStr">
        <is>
          <t>评估数据</t>
        </is>
      </c>
      <c r="D127" s="178" t="n"/>
    </row>
    <row r="128" hidden="1" ht="17" customHeight="1" s="170">
      <c r="B128" s="159">
        <f>HYPERLINK("#EVALUATE_MODEL!A1","EVALUATE_MODEL")</f>
        <v/>
      </c>
      <c r="C128" s="145" t="inlineStr">
        <is>
          <t>评估模型</t>
        </is>
      </c>
      <c r="D128" s="178" t="n"/>
    </row>
    <row r="129" hidden="1" ht="17" customHeight="1" s="170">
      <c r="B129" s="148">
        <f>HYPERLINK("#EVALUATE_RECORD!A1","EVALUATE_RECORD")</f>
        <v/>
      </c>
      <c r="C129" s="145" t="inlineStr">
        <is>
          <t>记录模型评定信息</t>
        </is>
      </c>
      <c r="D129" s="178" t="n"/>
    </row>
    <row r="130" hidden="1" ht="17" customHeight="1" s="170">
      <c r="B130" s="148">
        <f>HYPERLINK("#SYSTEM_SETUP!A1","SYSTEM_SETUP")</f>
        <v/>
      </c>
      <c r="C130" s="145" t="inlineStr">
        <is>
          <t>系统配置表;交易日期表</t>
        </is>
      </c>
      <c r="D130" s="178" t="n"/>
    </row>
    <row r="131" hidden="1" ht="17" customHeight="1" s="170">
      <c r="B131" s="159">
        <f>HYPERLINK("#USER_MENU_COUNTER!A1","USER_MENU_COUNTER")</f>
        <v/>
      </c>
      <c r="C131" s="145" t="inlineStr">
        <is>
          <t>用户常用菜单表</t>
        </is>
      </c>
      <c r="D131" s="179" t="n"/>
    </row>
    <row r="132" hidden="1" ht="17" customHeight="1" s="170">
      <c r="B132" s="159">
        <f>HYPERLINK("#LOG_AUDITINFO!A1","LOG_AUDITINFO")</f>
        <v/>
      </c>
      <c r="C132" s="145" t="inlineStr">
        <is>
          <t>安全选项变更日志表;用户痕迹表</t>
        </is>
      </c>
      <c r="D132" s="175" t="inlineStr">
        <is>
          <t>系统管理表</t>
        </is>
      </c>
    </row>
    <row r="133" hidden="1" ht="17" customHeight="1" s="170">
      <c r="B133" s="148">
        <f>HYPERLINK("#BOARD_LIST!A1","BOARD_LIST")</f>
        <v/>
      </c>
      <c r="C133" s="145" t="inlineStr">
        <is>
          <t>公告表;通告栏</t>
        </is>
      </c>
      <c r="D133" s="178" t="n"/>
    </row>
    <row r="134" hidden="1" ht="17" customHeight="1" s="170">
      <c r="B134" s="159">
        <f>HYPERLINK("#BOARD_USER!A1","BOARD_USER")</f>
        <v/>
      </c>
      <c r="C134" s="145" t="inlineStr">
        <is>
          <t>用户通告</t>
        </is>
      </c>
      <c r="D134" s="178" t="n"/>
    </row>
    <row r="135" hidden="1" ht="17" customHeight="1" s="170">
      <c r="B135" s="159">
        <f>HYPERLINK("#CONF_ERATE_INFO!A1","CONF_ERATE_INFO")</f>
        <v/>
      </c>
      <c r="C135" s="145" t="inlineStr">
        <is>
          <t>汇率表;汇率表</t>
        </is>
      </c>
      <c r="D135" s="178" t="n"/>
    </row>
    <row r="136" hidden="1" ht="17" customHeight="1" s="170">
      <c r="B136" s="159">
        <f>HYPERLINK("#CONF_QUICK_MENU_URL!A1","CONF_QUICK_MENU_URL")</f>
        <v/>
      </c>
      <c r="C136" s="145" t="inlineStr">
        <is>
          <t>工作台快捷菜单配置</t>
        </is>
      </c>
      <c r="D136" s="178" t="n"/>
    </row>
    <row r="137" hidden="1" ht="17" customHeight="1" s="170">
      <c r="B137" s="159">
        <f>HYPERLINK("#ERATE_INFO!A1","ERATE_INFO")</f>
        <v/>
      </c>
      <c r="C137" s="145" t="inlineStr">
        <is>
          <t>汇率表</t>
        </is>
      </c>
      <c r="D137" s="178" t="n"/>
    </row>
    <row r="138" hidden="1" ht="17" customHeight="1" s="170">
      <c r="B138" s="159">
        <f>HYPERLINK("#MANAGE_CHANGE!A1","MANAGE_CHANGE")</f>
        <v/>
      </c>
      <c r="C138" s="145" t="inlineStr">
        <is>
          <t>管理人变更记录</t>
        </is>
      </c>
      <c r="D138" s="178" t="n"/>
    </row>
    <row r="139" hidden="1" ht="17" customHeight="1" s="170">
      <c r="B139" s="159">
        <f>HYPERLINK("#ORG_BELONG!A1","ORG_BELONG")</f>
        <v/>
      </c>
      <c r="C139" s="145" t="inlineStr">
        <is>
          <t>机构管辖表;机构管辖信息</t>
        </is>
      </c>
      <c r="D139" s="178" t="n"/>
    </row>
    <row r="140" hidden="1" ht="17" customHeight="1" s="170">
      <c r="B140" s="159">
        <f>HYPERLINK("#ORG_INFO!A1","ORG_INFO")</f>
        <v/>
      </c>
      <c r="C140" s="145" t="inlineStr">
        <is>
          <t>机构信息表</t>
        </is>
      </c>
      <c r="D140" s="178" t="n"/>
    </row>
    <row r="141" hidden="1" ht="17" customHeight="1" s="170">
      <c r="B141" s="159">
        <f>HYPERLINK("#POST_SUBLICENSE!A1","POST_SUBLICENSE")</f>
        <v/>
      </c>
      <c r="C141" s="145" t="inlineStr">
        <is>
          <t>岗位转授权</t>
        </is>
      </c>
      <c r="D141" s="178" t="n"/>
    </row>
    <row r="142" hidden="1" ht="16.8" customHeight="1" s="170">
      <c r="B142" s="151">
        <f>HYPERLINK("#RATE_INFO!A1","RATE_INFO")</f>
        <v/>
      </c>
      <c r="C142" s="156" t="inlineStr">
        <is>
          <t>利率表</t>
        </is>
      </c>
      <c r="D142" s="178" t="n"/>
    </row>
    <row r="143" hidden="1" ht="17" customHeight="1" s="170">
      <c r="B143" s="159">
        <f>HYPERLINK("#ROLE_INFO!A1","ROLE_INFO")</f>
        <v/>
      </c>
      <c r="C143" s="145" t="inlineStr">
        <is>
          <t>角色表</t>
        </is>
      </c>
      <c r="D143" s="178" t="n"/>
    </row>
    <row r="144" hidden="1" ht="17" customHeight="1" s="170">
      <c r="B144" s="159">
        <f>HYPERLINK("#SYS_CALENDAR!A1","SYS_CALENDAR")</f>
        <v/>
      </c>
      <c r="C144" s="145" t="inlineStr">
        <is>
          <t>系统管理;工作日配置表</t>
        </is>
      </c>
      <c r="D144" s="178" t="n"/>
    </row>
    <row r="145" hidden="1" ht="17" customHeight="1" s="170">
      <c r="B145" s="148">
        <f>HYPERLINK("#CORPORATION_INFO!A1","CORPORATION_INFO")</f>
        <v/>
      </c>
      <c r="C145" s="145" t="inlineStr">
        <is>
          <t>法人信息表</t>
        </is>
      </c>
      <c r="D145" s="178" t="n"/>
    </row>
    <row r="146" hidden="1" ht="17" customHeight="1" s="170">
      <c r="B146" s="159">
        <f>HYPERLINK("#USER_INFO!A1","USER_INFO")</f>
        <v/>
      </c>
      <c r="C146" s="145" t="inlineStr">
        <is>
          <t>用户基本信息</t>
        </is>
      </c>
      <c r="D146" s="178" t="n"/>
    </row>
    <row r="147" hidden="1" ht="17" customHeight="1" s="170">
      <c r="B147" s="159">
        <f>HYPERLINK("#USER_ROLE!A1","USER_ROLE")</f>
        <v/>
      </c>
      <c r="C147" s="145" t="inlineStr">
        <is>
          <t>用户角色关系;用户角色表</t>
        </is>
      </c>
      <c r="D147" s="179" t="n"/>
    </row>
    <row r="148" ht="16.8" customHeight="1" s="170">
      <c r="B148" s="151">
        <f>HYPERLINK("#CLR_STRESS_BU_DETAIL!A1","CLR_STRESS_BU_DETAIL")</f>
        <v/>
      </c>
      <c r="C148" s="156" t="inlineStr">
        <is>
          <t>压力测试业务详情</t>
        </is>
      </c>
      <c r="D148" s="175" t="inlineStr">
        <is>
          <t>压力测试</t>
        </is>
      </c>
    </row>
    <row r="149" ht="17" customHeight="1" s="170">
      <c r="B149" s="158">
        <f>HYPERLINK("#CLR_STRESS_CLR_DETAIL!A1","CLR_STRESS_CLR_DETAIL")</f>
        <v/>
      </c>
      <c r="C149" s="156" t="inlineStr">
        <is>
          <t>压力测试押品详情</t>
        </is>
      </c>
      <c r="D149" s="178" t="n"/>
    </row>
    <row r="150" ht="17" customHeight="1" s="170">
      <c r="B150" s="158">
        <f>HYPERLINK("#CLR_STRESS_LINK!A1","CLR_STRESS_LINK")</f>
        <v/>
      </c>
      <c r="C150" s="156" t="inlineStr">
        <is>
          <t>压力测试关联表</t>
        </is>
      </c>
      <c r="D150" s="178" t="n"/>
    </row>
    <row r="151" ht="16.8" customHeight="1" s="170">
      <c r="B151" s="151">
        <f>HYPERLINK("#CLR_STRESS_RECORD!A1","CLR_STRESS_RECORD")</f>
        <v/>
      </c>
      <c r="C151" s="156" t="inlineStr">
        <is>
          <t>压力测试记录表</t>
        </is>
      </c>
      <c r="D151" s="178" t="n"/>
    </row>
    <row r="152" ht="16.8" customHeight="1" s="170">
      <c r="B152" s="151">
        <f>HYPERLINK("#CLR_STRESS_TEST!A1","CLR_STRESS_TEST")</f>
        <v/>
      </c>
      <c r="C152" s="156" t="inlineStr">
        <is>
          <t>压力测试结果表</t>
        </is>
      </c>
      <c r="D152" s="179" t="n"/>
    </row>
    <row r="153" ht="17" customHeight="1" s="170">
      <c r="B153" s="159">
        <f>HYPERLINK("#CLR_CATALOG!A1","CLR_CATALOG")</f>
        <v/>
      </c>
      <c r="C153" s="145" t="inlineStr">
        <is>
          <t>押品分类目录</t>
        </is>
      </c>
      <c r="D153" s="175" t="inlineStr">
        <is>
          <t>押品分类管理</t>
        </is>
      </c>
    </row>
    <row r="154" ht="17" customHeight="1" s="170">
      <c r="B154" s="159">
        <f>HYPERLINK("#CLR_HANDLE_INFO!A1","CLR_HANDLE_INFO")</f>
        <v/>
      </c>
      <c r="C154" s="145" t="inlineStr">
        <is>
          <t>押品处置信息</t>
        </is>
      </c>
      <c r="D154" s="178" t="n"/>
    </row>
    <row r="155" ht="17" customHeight="1" s="170">
      <c r="B155" s="79">
        <f>HYPERLINK("#CLR_PARAM!A1","CLR_PARAM")</f>
        <v/>
      </c>
      <c r="C155" s="143" t="inlineStr">
        <is>
          <t>押品分类参数</t>
        </is>
      </c>
      <c r="D155" s="179" t="n"/>
    </row>
    <row r="156" ht="17" customHeight="1" s="170">
      <c r="B156" s="79">
        <f>HYPERLINK("#CLR_EVALUATION_APPL!A1","CLR_EVALUATION_APPL")</f>
        <v/>
      </c>
      <c r="C156" s="143" t="inlineStr">
        <is>
          <t>评估申请信息表</t>
        </is>
      </c>
      <c r="D156" s="171" t="inlineStr">
        <is>
          <t>押品估值管理</t>
        </is>
      </c>
    </row>
    <row r="157" ht="17" customHeight="1" s="170">
      <c r="A157" s="2" t="n"/>
      <c r="B157" s="159">
        <f>HYPERLINK("#CLR_EVALUATION_DATA!A1","CLR_EVALUATION_DATA")</f>
        <v/>
      </c>
      <c r="C157" s="145" t="inlineStr">
        <is>
          <t>估值数据记录表</t>
        </is>
      </c>
      <c r="D157" s="178" t="n"/>
    </row>
    <row r="158" ht="17" customHeight="1" s="170">
      <c r="B158" s="159">
        <f>HYPERLINK("#CLR_EVALUATION_RECORD!A1","CLR_EVALUATION_RECORD")</f>
        <v/>
      </c>
      <c r="C158" s="145" t="inlineStr">
        <is>
          <t>评估记录信息表</t>
        </is>
      </c>
      <c r="D158" s="178" t="n"/>
    </row>
    <row r="159" ht="17" customHeight="1" s="170">
      <c r="B159" s="159">
        <f>HYPERLINK("#CLR_PRICEINDEX!A1","CLR_PRICEINDEX")</f>
        <v/>
      </c>
      <c r="C159" s="145" t="inlineStr">
        <is>
          <t>押品市场价格指数表</t>
        </is>
      </c>
      <c r="D159" s="178" t="n"/>
    </row>
    <row r="160" ht="17" customHeight="1" s="170">
      <c r="B160" s="159">
        <f>HYPERLINK("#CLR_SAMPLE_HOUSEING!A1","CLR_SAMPLE_HOUSEING")</f>
        <v/>
      </c>
      <c r="C160" s="145" t="inlineStr">
        <is>
          <t>房屋类押品样本表</t>
        </is>
      </c>
      <c r="D160" s="178" t="n"/>
    </row>
    <row r="161" ht="17" customHeight="1" s="170">
      <c r="B161" s="159">
        <f>HYPERLINK("#CLR_SAMPLE_SELECTED!A1","CLR_SAMPLE_SELECTED")</f>
        <v/>
      </c>
      <c r="C161" s="145" t="inlineStr">
        <is>
          <t>押品房产样本展示表</t>
        </is>
      </c>
      <c r="D161" s="178" t="n"/>
    </row>
    <row r="162" ht="16.8" customHeight="1" s="170">
      <c r="B162" s="160" t="inlineStr">
        <is>
          <t>CLR_ONLINE_RESULT</t>
        </is>
      </c>
      <c r="C162" s="161" t="inlineStr">
        <is>
          <t>线上评估结果</t>
        </is>
      </c>
      <c r="D162" s="178" t="n"/>
    </row>
    <row r="163" ht="16.8" customHeight="1" s="170">
      <c r="B163" s="160" t="inlineStr">
        <is>
          <t>CLR_EVALUATION_APPL_GROUP</t>
        </is>
      </c>
      <c r="C163" s="162" t="inlineStr">
        <is>
          <t>评估申请组</t>
        </is>
      </c>
      <c r="D163" s="178" t="n"/>
    </row>
    <row r="164" ht="17" customHeight="1" s="170">
      <c r="B164" s="159">
        <f>HYPERLINK("#BILL_INFO!A1","BILL_INFO")</f>
        <v/>
      </c>
      <c r="C164" s="145" t="inlineStr">
        <is>
          <t>票据信息表</t>
        </is>
      </c>
      <c r="D164" s="175" t="inlineStr">
        <is>
          <t>押品信息管理</t>
        </is>
      </c>
    </row>
    <row r="165" ht="17" customHeight="1" s="170">
      <c r="B165" s="163">
        <f>HYPERLINK("#BUSINESS_CONTRACT!A1","BUSINESS_CONTRACT")</f>
        <v/>
      </c>
      <c r="C165" s="145" t="inlineStr">
        <is>
          <t>合同信息表</t>
        </is>
      </c>
      <c r="D165" s="178" t="n"/>
    </row>
    <row r="166" ht="17" customHeight="1" s="170">
      <c r="B166" s="79">
        <f>HYPERLINK("#CLR_ASSET_FINANCE!A1","CLR_ASSET_FINANCE")</f>
        <v/>
      </c>
      <c r="C166" s="143" t="inlineStr">
        <is>
          <t>金融类质押品</t>
        </is>
      </c>
      <c r="D166" s="178" t="n"/>
    </row>
    <row r="167" ht="17" customHeight="1" s="170">
      <c r="B167" s="79">
        <f>HYPERLINK("#CLR_ASSET_OTHERS_EQUIPMENT!A1","CLR_ASSET_OTHERS_EQUIPMENT")</f>
        <v/>
      </c>
      <c r="C167" s="143" t="inlineStr">
        <is>
          <t>交通和机械设备</t>
        </is>
      </c>
      <c r="D167" s="178" t="n"/>
    </row>
    <row r="168" ht="17" customHeight="1" s="170">
      <c r="B168" s="79">
        <f>HYPERLINK("#CLR_ASSET_OTHERS_INVENTORY!A1","CLR_ASSET_OTHERS_INVENTORY")</f>
        <v/>
      </c>
      <c r="C168" s="143" t="inlineStr">
        <is>
          <t>实物存货/货权/出口退税账户</t>
        </is>
      </c>
      <c r="D168" s="178" t="n"/>
    </row>
    <row r="169" ht="17" customHeight="1" s="170">
      <c r="B169" s="79">
        <f>HYPERLINK("#CLR_ASSET_OTHERS_RESOURCE!A1","CLR_ASSET_OTHERS_RESOURCE")</f>
        <v/>
      </c>
      <c r="C169" s="143" t="inlineStr">
        <is>
          <t>资源资产</t>
        </is>
      </c>
      <c r="D169" s="178" t="n"/>
    </row>
    <row r="170" ht="17" customHeight="1" s="170">
      <c r="B170" s="79">
        <f>HYPERLINK("#CLR_ASSET_OTHERS_SBC!A1","CLR_ASSET_OTHERS_SBC")</f>
        <v/>
      </c>
      <c r="C170" s="143" t="inlineStr">
        <is>
          <t>特殊建筑构造物</t>
        </is>
      </c>
      <c r="D170" s="178" t="n"/>
    </row>
    <row r="171" ht="17" customHeight="1" s="170">
      <c r="B171" s="79">
        <f>HYPERLINK("#CLR_ASSET_OTHERS_TLPR!A1","CLR_ASSET_OTHERS_TLPR")</f>
        <v/>
      </c>
      <c r="C171" s="143" t="inlineStr">
        <is>
          <t>可转让知识产权中的财产权</t>
        </is>
      </c>
      <c r="D171" s="178" t="n"/>
    </row>
    <row r="172" ht="17" customHeight="1" s="170">
      <c r="B172" s="79">
        <f>HYPERLINK("#CLR_ASSET_REALTY!A1","CLR_ASSET_REALTY")</f>
        <v/>
      </c>
      <c r="C172" s="143" t="inlineStr">
        <is>
          <t>房地产/土地使用权/在建工程</t>
        </is>
      </c>
      <c r="D172" s="178" t="n"/>
    </row>
    <row r="173" ht="17" customHeight="1" s="170">
      <c r="B173" s="79">
        <f>HYPERLINK("#CLR_ASSET_RECEIVABLE!A1","CLR_ASSET_RECEIVABLE")</f>
        <v/>
      </c>
      <c r="C173" s="143" t="inlineStr">
        <is>
          <t>应收账款;交易和收费权)</t>
        </is>
      </c>
      <c r="D173" s="178" t="n"/>
    </row>
    <row r="174" ht="17" customHeight="1" s="170">
      <c r="B174" s="159">
        <f>HYPERLINK("#CLR_CARGO_INFO!A1","CLR_CARGO_INFO")</f>
        <v/>
      </c>
      <c r="C174" s="145" t="inlineStr">
        <is>
          <t>货权信息</t>
        </is>
      </c>
      <c r="D174" s="178" t="n"/>
    </row>
    <row r="175" ht="17" customHeight="1" s="170">
      <c r="B175" s="159">
        <f>HYPERLINK("#CLR_GUASCHEME_RELATIVE!A1","CLR_GUASCHEME_RELATIVE")</f>
        <v/>
      </c>
      <c r="C175" s="145" t="inlineStr">
        <is>
          <t>担保方案和押品关系表</t>
        </is>
      </c>
      <c r="D175" s="178" t="n"/>
    </row>
    <row r="176" ht="17" customHeight="1" s="170">
      <c r="B176" s="79">
        <f>HYPERLINK("#CLR_INFO!A1","CLR_INFO")</f>
        <v/>
      </c>
      <c r="C176" s="143" t="inlineStr">
        <is>
          <t>押品信息</t>
        </is>
      </c>
      <c r="D176" s="178" t="n"/>
    </row>
    <row r="177" ht="17" customHeight="1" s="170">
      <c r="B177" s="79">
        <f>HYPERLINK("#CLR_INSURANCE_RECORD!A1","CLR_INSURANCE_RECORD")</f>
        <v/>
      </c>
      <c r="C177" s="143" t="inlineStr">
        <is>
          <t>押品保险记录</t>
        </is>
      </c>
      <c r="D177" s="178" t="n"/>
    </row>
    <row r="178" ht="17" customHeight="1" s="170">
      <c r="B178" s="164" t="inlineStr">
        <is>
          <t>CLR_INVOICE_RECORD</t>
        </is>
      </c>
      <c r="C178" s="165" t="inlineStr">
        <is>
          <t>押品关联发票包</t>
        </is>
      </c>
      <c r="D178" s="178" t="n"/>
    </row>
    <row r="179" ht="17" customHeight="1" s="170">
      <c r="B179" s="79">
        <f>HYPERLINK("#CLR_NOTARIZATION_RECORD!A1","CLR_NOTARIZATION_RECORD")</f>
        <v/>
      </c>
      <c r="C179" s="143" t="inlineStr">
        <is>
          <t>押品公证记录</t>
        </is>
      </c>
      <c r="D179" s="178" t="n"/>
    </row>
    <row r="180" ht="17" customHeight="1" s="170">
      <c r="B180" s="79">
        <f>HYPERLINK("#CLR_OWNER!A1","CLR_OWNER")</f>
        <v/>
      </c>
      <c r="C180" s="143" t="inlineStr">
        <is>
          <t>押品权属人</t>
        </is>
      </c>
      <c r="D180" s="178" t="n"/>
    </row>
    <row r="181" ht="17" customHeight="1" s="170">
      <c r="B181" s="79">
        <f>HYPERLINK("#CLR_QUALIFICATION_INFO!A1","CLR_QUALIFICATION_INFO")</f>
        <v/>
      </c>
      <c r="C181" s="143" t="inlineStr">
        <is>
          <t>合格性认定信息</t>
        </is>
      </c>
      <c r="D181" s="178" t="n"/>
    </row>
    <row r="182" ht="17" customHeight="1" s="170">
      <c r="B182" s="159">
        <f>HYPERLINK("#GUARANTOR_INFO!A1","GUARANTOR_INFO")</f>
        <v/>
      </c>
      <c r="C182" s="145" t="inlineStr">
        <is>
          <t>担保人信息表(认定无用，暂时保留)</t>
        </is>
      </c>
      <c r="D182" s="178" t="n"/>
    </row>
    <row r="183" ht="17" customHeight="1" s="170">
      <c r="B183" s="159">
        <f>HYPERLINK("#GUARANTY_CONTRACT!A1","GUARANTY_CONTRACT")</f>
        <v/>
      </c>
      <c r="C183" s="145" t="inlineStr">
        <is>
          <t>担保合同</t>
        </is>
      </c>
      <c r="D183" s="178" t="n"/>
    </row>
    <row r="184" ht="17" customHeight="1" s="170">
      <c r="B184" s="157">
        <f>HYPERLINK("#GUARANTY_RELATIVE!A1","GUARANTY_RELATIVE")</f>
        <v/>
      </c>
      <c r="C184" s="143" t="inlineStr">
        <is>
          <t>押品关联关系</t>
        </is>
      </c>
      <c r="D184" s="178" t="n"/>
    </row>
    <row r="185" ht="17" customHeight="1" s="170">
      <c r="B185" s="166" t="inlineStr">
        <is>
          <t>CLR_BELONG</t>
        </is>
      </c>
      <c r="C185" s="161" t="inlineStr">
        <is>
          <t>押品管户人</t>
        </is>
      </c>
      <c r="D185" s="178" t="n"/>
    </row>
    <row r="186" ht="17" customHeight="1" s="170">
      <c r="B186" s="166" t="inlineStr">
        <is>
          <t>CLR_PROPERTY_HOUSE_INFO</t>
        </is>
      </c>
      <c r="C186" s="161" t="inlineStr">
        <is>
          <t>不动产中心房产信息</t>
        </is>
      </c>
      <c r="D186" s="178" t="n"/>
    </row>
    <row r="187" ht="16.8" customHeight="1" s="170">
      <c r="B187" s="167" t="inlineStr">
        <is>
          <t>CLR_PROPERTY_RIGHT_HOLDER_INFO</t>
        </is>
      </c>
      <c r="C187" s="161" t="inlineStr">
        <is>
          <t>权利人信息</t>
        </is>
      </c>
      <c r="D187" s="178" t="n"/>
    </row>
    <row r="188" ht="16.8" customHeight="1" s="170">
      <c r="B188" s="167" t="inlineStr">
        <is>
          <t>CLR_GUARANTY_FILE_UP_RECORD</t>
        </is>
      </c>
      <c r="C188" s="161" t="inlineStr">
        <is>
          <t>文件上传记录</t>
        </is>
      </c>
      <c r="D188" s="178" t="n"/>
    </row>
    <row r="189" hidden="1" ht="16.8" customHeight="1" s="170">
      <c r="B189" s="167" t="inlineStr">
        <is>
          <t>CLR_REGISTER_RECORD_APPL</t>
        </is>
      </c>
      <c r="C189" s="161" t="inlineStr">
        <is>
          <t>线上登记注销审批申请</t>
        </is>
      </c>
      <c r="D189" s="178" t="n"/>
    </row>
    <row r="190" ht="16.8" customHeight="1" s="170">
      <c r="B190" s="160" t="inlineStr">
        <is>
          <t>CLR_OWNERSHIP_CHANGE_INFO</t>
        </is>
      </c>
      <c r="C190" s="161" t="inlineStr">
        <is>
          <t>抵押物权属变化预警</t>
        </is>
      </c>
      <c r="D190" s="178" t="n"/>
    </row>
    <row r="191" hidden="1" ht="17" customHeight="1" s="170">
      <c r="B191" s="168" t="inlineStr">
        <is>
          <t>CLR_RIGHTCERT_TRAPPL_RELA</t>
        </is>
      </c>
      <c r="C191" s="161" t="inlineStr">
        <is>
          <t>权证出入库申请与权证关联关系</t>
        </is>
      </c>
      <c r="D191" s="178" t="n"/>
    </row>
    <row r="192" ht="17" customHeight="1" s="170">
      <c r="B192" s="164" t="inlineStr">
        <is>
          <t>CLR_CORE_REGISTER_INFO</t>
        </is>
      </c>
      <c r="C192" s="169" t="inlineStr">
        <is>
          <t>押品登记簿记录</t>
        </is>
      </c>
      <c r="D192" s="178" t="n"/>
    </row>
    <row r="193" ht="17" customHeight="1" s="170">
      <c r="B193" s="164" t="inlineStr">
        <is>
          <t>CLR_CORE_REGISTER_PACKAGE</t>
        </is>
      </c>
      <c r="C193" s="169" t="inlineStr">
        <is>
          <t>权证包登记簿信息</t>
        </is>
      </c>
      <c r="D193" s="179" t="n"/>
    </row>
    <row r="194" ht="17" customHeight="1" s="170">
      <c r="B194" s="148">
        <f>HYPERLINK("#BAT_TASK_ERROR!A1","BAT_TASK_ERROR")</f>
        <v/>
      </c>
      <c r="C194" s="145" t="inlineStr">
        <is>
          <t>批量错误日志信息表</t>
        </is>
      </c>
      <c r="D194" s="175" t="inlineStr">
        <is>
          <t>批量表</t>
        </is>
      </c>
    </row>
    <row r="195" ht="17" customHeight="1" s="170">
      <c r="B195" s="159">
        <f>HYPERLINK("#BAT_TASK_LOG!A1","BAT_TASK_LOG")</f>
        <v/>
      </c>
      <c r="C195" s="145" t="inlineStr">
        <is>
          <t>批量记录表</t>
        </is>
      </c>
      <c r="D195" s="178" t="n"/>
    </row>
    <row r="196" ht="17" customHeight="1" s="170">
      <c r="B196" s="159">
        <f>HYPERLINK("#BAT_UPLOAD!A1","BAT_UPLOAD")</f>
        <v/>
      </c>
      <c r="C196" s="145" t="inlineStr">
        <is>
          <t>批量上传</t>
        </is>
      </c>
      <c r="D196" s="178" t="n"/>
    </row>
    <row r="197" ht="17" customHeight="1" s="170">
      <c r="B197" s="159">
        <f>HYPERLINK("#USER_DEFINEINFO!A1","USER_DEFINEINFO")</f>
        <v/>
      </c>
      <c r="C197" s="145" t="inlineStr">
        <is>
          <t>用户自定义信息链接表;用户自定义链接</t>
        </is>
      </c>
      <c r="D197" s="179" t="n"/>
    </row>
    <row r="198" ht="17" customHeight="1" s="170">
      <c r="B198" s="168" t="inlineStr">
        <is>
          <t>RISK_MITIGATION_DETAIL</t>
        </is>
      </c>
      <c r="C198" s="174" t="inlineStr">
        <is>
          <t>风险缓释明细</t>
        </is>
      </c>
      <c r="D198" s="175" t="inlineStr">
        <is>
          <t>风险缓释</t>
        </is>
      </c>
    </row>
    <row r="199" ht="17" customHeight="1" s="170">
      <c r="B199" s="168" t="inlineStr">
        <is>
          <t>RISK_MITIGATION_BIZ</t>
        </is>
      </c>
      <c r="C199" s="174" t="inlineStr">
        <is>
          <t>风险缓释业务汇总</t>
        </is>
      </c>
      <c r="D199" s="178" t="n"/>
    </row>
    <row r="200" ht="16.8" customHeight="1" s="170">
      <c r="B200" s="160" t="inlineStr">
        <is>
          <t>RISK_MITIGATION_CLR</t>
        </is>
      </c>
      <c r="C200" s="174" t="inlineStr">
        <is>
          <t>风险缓释押品汇总</t>
        </is>
      </c>
      <c r="D200" s="179" t="n"/>
    </row>
    <row r="201" ht="16" customHeight="1" s="170">
      <c r="B201" s="60" t="inlineStr">
        <is>
          <t>CCMS_PARTYINF</t>
        </is>
      </c>
      <c r="C201" s="83" t="inlineStr">
        <is>
          <t>支付系统—行名行号表</t>
        </is>
      </c>
      <c r="D201" s="176" t="inlineStr">
        <is>
          <t>其他</t>
        </is>
      </c>
    </row>
  </sheetData>
  <mergeCells count="17">
    <mergeCell ref="D115:D117"/>
    <mergeCell ref="D88:D114"/>
    <mergeCell ref="D123:D131"/>
    <mergeCell ref="D83:D85"/>
    <mergeCell ref="D14:D70"/>
    <mergeCell ref="D132:D147"/>
    <mergeCell ref="D78:D82"/>
    <mergeCell ref="D72:D77"/>
    <mergeCell ref="D3:D13"/>
    <mergeCell ref="D118:D122"/>
    <mergeCell ref="D153:D155"/>
    <mergeCell ref="D86:D87"/>
    <mergeCell ref="D194:D197"/>
    <mergeCell ref="D156:D163"/>
    <mergeCell ref="D164:D193"/>
    <mergeCell ref="D198:D200"/>
    <mergeCell ref="D148:D152"/>
  </mergeCells>
  <hyperlinks>
    <hyperlink ref="B3" location="audit_info!A1" display="=HYPERLINK(&quot;#AUDIT_INFO!A1&quot;,&quot;AUDIT_INFO&quot;)"/>
    <hyperlink ref="B89" location="wf_opinion!A1" display="wf_opinion"/>
    <hyperlink ref="B106" location="flow_model_relative!A1" display="FLOW_MODEL_RELATIVE"/>
    <hyperlink ref="B162" location="CLR_ONLINE_RESULT!A1" display="CLR_ONLINE_RESULT"/>
    <hyperlink ref="B163" location="CLR_EVALUATION_APPL_RELA!A1" display="CLR_EVALUATION_APPL_GROUP"/>
    <hyperlink ref="B178" location="CLR_INVOICE_RECORD!A1" display="CLR_INVOICE_RECORD"/>
    <hyperlink ref="B185" location="CLR_BELONG!A1" display="CLR_BELONG"/>
    <hyperlink ref="B186" location="CLR_PROPERTY_HOUSE_INFO!A1" display="CLR_PROPERTY_HOUSE_INFO"/>
    <hyperlink ref="B187" location="CLR_PROPERTY_RIGHT_HOLDER_INFO!A1" display="CLR_PROPERTY_RIGHT_HOLDER_INFO"/>
    <hyperlink ref="B188" location="CLR_GUARANTY_FILE_UP_RECORD!A1" display="CLR_GUARANTY_FILE_UP_RECORD"/>
    <hyperlink ref="B189" location="CLR_REGISTER_RECORD_APPL!A1" display="CLR_REGISTER_RECORD_APPL"/>
    <hyperlink ref="B190" location="CLR_OWNERSHIP_CHANGE_INFO!A1" display="CLR_OWNERSHIP_CHANGE_INFO"/>
    <hyperlink ref="B191" location="CLR_RIGHTCERT_TRAPPL_RELA!A1" display="CLR_RIGHTCERT_TRAPPL_RELA"/>
    <hyperlink ref="B192" location="CLR_CORE_REGISTER_INFO!A1" display="CLR_CORE_REGISTER_INFO"/>
    <hyperlink ref="B193" location="CLR_CORE_REGISTER_PACKAGE!A1" display="CLR_CORE_REGISTER_PACKAGE"/>
    <hyperlink ref="B198" location="CLR_RISK_MITIGATION_DETAIL!A1" display="RISK_MITIGATION_DETAIL"/>
    <hyperlink ref="B199" location="RISK_MITIGATION_BIZ!A1" display="RISK_MITIGATION_BIZ"/>
    <hyperlink ref="B200" location="RISK_MITIGATION_CLR!A1" display="RISK_MITIGATION_CLR"/>
  </hyperlinks>
  <pageMargins left="0.75" right="0.75" top="1" bottom="1" header="0.5" footer="0.5"/>
  <pageSetup orientation="portrait" paperSize="1" horizontalDpi="300" verticalDpi="300"/>
</worksheet>
</file>

<file path=xl/worksheets/sheet2.xml><?xml version="1.0" encoding="utf-8"?>
<worksheet xmlns="http://schemas.openxmlformats.org/spreadsheetml/2006/main">
  <sheetPr>
    <outlinePr summaryBelow="1" summaryRight="1"/>
    <pageSetUpPr/>
  </sheetPr>
  <dimension ref="A2:E201"/>
  <sheetViews>
    <sheetView topLeftCell="A8" zoomScaleSheetLayoutView="60" workbookViewId="0">
      <selection activeCell="B159" sqref="B159"/>
    </sheetView>
  </sheetViews>
  <sheetFormatPr baseColWidth="8" defaultColWidth="9.142857142857141" defaultRowHeight="15.2"/>
  <cols>
    <col width="38" customWidth="1" style="170" min="2" max="2"/>
    <col width="35.2857142857143" customWidth="1" style="170" min="3" max="3"/>
    <col width="19.8571428571429" customWidth="1" style="170" min="4" max="4"/>
  </cols>
  <sheetData>
    <row r="2" ht="16" customHeight="1" s="170">
      <c r="B2" s="138" t="inlineStr">
        <is>
          <t>数据表</t>
        </is>
      </c>
      <c r="C2" s="139" t="inlineStr">
        <is>
          <t>数据表名称</t>
        </is>
      </c>
      <c r="D2" s="139" t="inlineStr">
        <is>
          <t>表归类</t>
        </is>
      </c>
    </row>
    <row r="3" ht="17" customHeight="1" s="170">
      <c r="B3" s="159">
        <f>HYPERLINK("#AUDIT_INFO!A1","AUDIT_INFO")</f>
        <v/>
      </c>
      <c r="C3" s="145" t="inlineStr">
        <is>
          <t>审计信息</t>
        </is>
      </c>
      <c r="D3" s="175" t="inlineStr">
        <is>
          <t>评估机构</t>
        </is>
      </c>
    </row>
    <row r="4" ht="17" customHeight="1" s="170">
      <c r="B4" s="142">
        <f>HYPERLINK("#APPRAISAL_AGENCY!A1","APPRAISAL_AGENCY")</f>
        <v/>
      </c>
      <c r="C4" s="143" t="inlineStr">
        <is>
          <t>评估机构</t>
        </is>
      </c>
      <c r="D4" s="178" t="n"/>
    </row>
    <row r="5" ht="17" customHeight="1" s="170">
      <c r="B5" s="144">
        <f>HYPERLINK("#APPRAISAL_AGENCY_APPLY!A1","APPRAISAL_AGENCY_APPLY")</f>
        <v/>
      </c>
      <c r="C5" s="145" t="inlineStr">
        <is>
          <t>评估机构申请信息表</t>
        </is>
      </c>
      <c r="D5" s="178" t="n"/>
    </row>
    <row r="6" ht="17" customHeight="1" s="170">
      <c r="B6" s="159">
        <f>HYPERLINK("#APPRAISAL_AGENCY_APPRAISE!A1","APPRAISAL_AGENCY_APPRAISE")</f>
        <v/>
      </c>
      <c r="C6" s="145" t="inlineStr">
        <is>
          <t>评价调查信息管理</t>
        </is>
      </c>
      <c r="D6" s="178" t="n"/>
    </row>
    <row r="7" ht="17" customHeight="1" s="170">
      <c r="B7" s="159">
        <f>HYPERLINK("#APPRAISAL_AGENCY_COOPERATION!A1","APPRAISAL_AGENCY_COOPERATION")</f>
        <v/>
      </c>
      <c r="C7" s="145" t="inlineStr">
        <is>
          <t>评估机构合作协议</t>
        </is>
      </c>
      <c r="D7" s="178" t="n"/>
    </row>
    <row r="8" ht="17" customHeight="1" s="170">
      <c r="B8" s="159">
        <f>HYPERLINK("#APPRAISAL_AGENCY_EVENT!A1","APPRAISAL_AGENCY_EVENT")</f>
        <v/>
      </c>
      <c r="C8" s="145" t="inlineStr">
        <is>
          <t>评估机构事件表</t>
        </is>
      </c>
      <c r="D8" s="178" t="n"/>
    </row>
    <row r="9" ht="17" customHeight="1" s="170">
      <c r="B9" s="159">
        <f>HYPERLINK("#APPRAISAL_AGENCY_EXPENSES!A1","APPRAISAL_AGENCY_EXPENSES")</f>
        <v/>
      </c>
      <c r="C9" s="145" t="inlineStr">
        <is>
          <t>评估机构费用</t>
        </is>
      </c>
      <c r="D9" s="178" t="n"/>
    </row>
    <row r="10" ht="17" customHeight="1" s="170">
      <c r="B10" s="159">
        <f>HYPERLINK("#APPRAISAL_AGENCY_FILE!A1","APPRAISAL_AGENCY_FILE")</f>
        <v/>
      </c>
      <c r="C10" s="145" t="inlineStr">
        <is>
          <t>评级机构附件</t>
        </is>
      </c>
      <c r="D10" s="178" t="n"/>
    </row>
    <row r="11" ht="17" customHeight="1" s="170">
      <c r="B11" s="159">
        <f>HYPERLINK("#APPRAISAL_AGENCY_INFORMATION!A1","APPRAISAL_AGENCY_INFORMATION")</f>
        <v/>
      </c>
      <c r="C11" s="145" t="inlineStr">
        <is>
          <t>评估公司相关信息</t>
        </is>
      </c>
      <c r="D11" s="178" t="n"/>
    </row>
    <row r="12" ht="17" customHeight="1" s="170">
      <c r="B12" s="159">
        <f>HYPERLINK("#APPRAISAL_AGENCY_QUALIFICATION!A1","APPRAISAL_AGENCY_QUALIFICATION")</f>
        <v/>
      </c>
      <c r="C12" s="145" t="inlineStr">
        <is>
          <t>评估机构资质表</t>
        </is>
      </c>
      <c r="D12" s="178" t="n"/>
    </row>
    <row r="13" ht="17" customHeight="1" s="170">
      <c r="B13" s="159">
        <f>HYPERLINK("#APPRAISAL_APPLY_RELATIVE!A1","APPRAISAL_APPLY_RELATIVE")</f>
        <v/>
      </c>
      <c r="C13" s="145" t="inlineStr">
        <is>
          <t>评级机构申请关联表</t>
        </is>
      </c>
      <c r="D13" s="179" t="n"/>
    </row>
    <row r="14" hidden="1" ht="17" customHeight="1" s="170">
      <c r="B14" s="159">
        <f>HYPERLINK("#AWE_BIZFILE_INFO!A1","AWE_BIZFILE_INFO")</f>
        <v/>
      </c>
      <c r="C14" s="145" t="inlineStr">
        <is>
          <t>业务文件详情</t>
        </is>
      </c>
      <c r="D14" s="175" t="inlineStr">
        <is>
          <t>底层表</t>
        </is>
      </c>
    </row>
    <row r="15" hidden="1" ht="17" customHeight="1" s="170">
      <c r="B15" s="159">
        <f>HYPERLINK("#AWE_DICT_ERRMSG!A1","AWE_DICT_ERRMSG")</f>
        <v/>
      </c>
      <c r="C15" s="145" t="inlineStr">
        <is>
          <t>系统错误报告</t>
        </is>
      </c>
      <c r="D15" s="178" t="n"/>
    </row>
    <row r="16" hidden="1" ht="17" customHeight="1" s="170">
      <c r="B16" s="159">
        <f>HYPERLINK("#AWE_DO_CATALOG!A1","AWE_DO_CATALOG")</f>
        <v/>
      </c>
      <c r="C16" s="145" t="inlineStr">
        <is>
          <t>OW显示模板场景</t>
        </is>
      </c>
      <c r="D16" s="178" t="n"/>
    </row>
    <row r="17" hidden="1" ht="17" customHeight="1" s="170">
      <c r="B17" s="159">
        <f>HYPERLINK("#AWE_DO_COL_VALIDATE!A1","AWE_DO_COL_VALIDATE")</f>
        <v/>
      </c>
      <c r="C17" s="145" t="inlineStr">
        <is>
          <t>DW字段验证规则</t>
        </is>
      </c>
      <c r="D17" s="178" t="n"/>
    </row>
    <row r="18" hidden="1" ht="17" customHeight="1" s="170">
      <c r="B18" s="159">
        <f>HYPERLINK("#AWE_DO_EVENT!A1","AWE_DO_EVENT")</f>
        <v/>
      </c>
      <c r="C18" s="145" t="inlineStr">
        <is>
          <t>OW字段事件</t>
        </is>
      </c>
      <c r="D18" s="178" t="n"/>
    </row>
    <row r="19" hidden="1" ht="17" customHeight="1" s="170">
      <c r="B19" s="159">
        <f>HYPERLINK("#AWE_DO_FUNCTION!A1","AWE_DO_FUNCTION")</f>
        <v/>
      </c>
      <c r="C19" s="145" t="inlineStr">
        <is>
          <t>OW脚本方法</t>
        </is>
      </c>
      <c r="D19" s="178" t="n"/>
    </row>
    <row r="20" hidden="1" ht="17" customHeight="1" s="170">
      <c r="B20" s="159">
        <f>HYPERLINK("#AWE_DO_GROUP!A1","AWE_DO_GROUP")</f>
        <v/>
      </c>
      <c r="C20" s="145" t="inlineStr">
        <is>
          <t>OW分组信息</t>
        </is>
      </c>
      <c r="D20" s="178" t="n"/>
    </row>
    <row r="21" hidden="1" ht="17" customHeight="1" s="170">
      <c r="B21" s="159">
        <f>HYPERLINK("#AWE_DO_JS_FUNCTION!A1","AWE_DO_JS_FUNCTION")</f>
        <v/>
      </c>
      <c r="C21" s="145" t="inlineStr">
        <is>
          <t>OW通用js方法</t>
        </is>
      </c>
      <c r="D21" s="178" t="n"/>
    </row>
    <row r="22" hidden="1" ht="17" customHeight="1" s="170">
      <c r="B22" s="159">
        <f>HYPERLINK("#AWE_DO_KEYFILTER!A1","AWE_DO_KEYFILTER")</f>
        <v/>
      </c>
      <c r="C22" s="145" t="inlineStr">
        <is>
          <t>OW关键字查询</t>
        </is>
      </c>
      <c r="D22" s="178" t="n"/>
    </row>
    <row r="23" hidden="1" ht="17" customHeight="1" s="170">
      <c r="B23" s="159">
        <f>HYPERLINK("#AWE_DO_LIBRARY!A1","AWE_DO_LIBRARY")</f>
        <v/>
      </c>
      <c r="C23" s="145" t="inlineStr">
        <is>
          <t>OW显示模板字段信息</t>
        </is>
      </c>
      <c r="D23" s="178" t="n"/>
    </row>
    <row r="24" hidden="1" ht="17" customHeight="1" s="170">
      <c r="B24" s="159">
        <f>HYPERLINK("#AWE_DO_MODES!A1","AWE_DO_MODES")</f>
        <v/>
      </c>
      <c r="C24" s="145" t="inlineStr">
        <is>
          <t>OW显示模板样式表</t>
        </is>
      </c>
      <c r="D24" s="178" t="n"/>
    </row>
    <row r="25" hidden="1" ht="17" customHeight="1" s="170">
      <c r="B25" s="159">
        <f>HYPERLINK("#AWE_DO_VALIDATE!A1","AWE_DO_VALIDATE")</f>
        <v/>
      </c>
      <c r="C25" s="145" t="inlineStr">
        <is>
          <t>数据验证类</t>
        </is>
      </c>
      <c r="D25" s="178" t="n"/>
    </row>
    <row r="26" hidden="1" ht="17" customHeight="1" s="170">
      <c r="B26" s="159">
        <f>HYPERLINK("#AWE_DO_VALIDATE_CATALOG!A1","AWE_DO_VALIDATE_CATALOG")</f>
        <v/>
      </c>
      <c r="C26" s="145" t="inlineStr">
        <is>
          <t>数据验证业务分类</t>
        </is>
      </c>
      <c r="D26" s="178" t="n"/>
    </row>
    <row r="27" hidden="1" ht="17" customHeight="1" s="170">
      <c r="B27" s="159">
        <f>HYPERLINK("#AWE_DW_CONTEXT!A1","AWE_DW_CONTEXT")</f>
        <v/>
      </c>
      <c r="C27" s="145" t="inlineStr">
        <is>
          <t>显示模型上下文环境</t>
        </is>
      </c>
      <c r="D27" s="178" t="n"/>
    </row>
    <row r="28" hidden="1" ht="17" customHeight="1" s="170">
      <c r="B28" s="159">
        <f>HYPERLINK("#AWE_FUNCTION_INFO!A1","AWE_FUNCTION_INFO")</f>
        <v/>
      </c>
      <c r="C28" s="145" t="inlineStr">
        <is>
          <t>功能点信息</t>
        </is>
      </c>
      <c r="D28" s="178" t="n"/>
    </row>
    <row r="29" hidden="1" ht="17" customHeight="1" s="170">
      <c r="B29" s="159">
        <f>HYPERLINK("#AWE_FUNCTION_URL!A1","AWE_FUNCTION_URL")</f>
        <v/>
      </c>
      <c r="C29" s="145" t="inlineStr">
        <is>
          <t>功能点URL</t>
        </is>
      </c>
      <c r="D29" s="178" t="n"/>
    </row>
    <row r="30" hidden="1" ht="17" customHeight="1" s="170">
      <c r="B30" s="159">
        <f>HYPERLINK("#AWE_GROUP_CATALOG!A1","AWE_GROUP_CATALOG")</f>
        <v/>
      </c>
      <c r="C30" s="145" t="inlineStr">
        <is>
          <t>组合页面目录信息</t>
        </is>
      </c>
      <c r="D30" s="178" t="n"/>
    </row>
    <row r="31" hidden="1" ht="17" customHeight="1" s="170">
      <c r="B31" s="159">
        <f>HYPERLINK("#CODE_CATALOG!A1","CODE_CATALOG")</f>
        <v/>
      </c>
      <c r="C31" s="145" t="inlineStr">
        <is>
          <t>代码类别表;代码类别表</t>
        </is>
      </c>
      <c r="D31" s="178" t="n"/>
    </row>
    <row r="32" hidden="1" ht="17" customHeight="1" s="170">
      <c r="B32" s="159">
        <f>HYPERLINK("#CODE_LIBRARY!A1","CODE_LIBRARY")</f>
        <v/>
      </c>
      <c r="C32" s="145" t="inlineStr">
        <is>
          <t>代码表;代码库</t>
        </is>
      </c>
      <c r="D32" s="178" t="n"/>
    </row>
    <row r="33" hidden="1" ht="17" customHeight="1" s="170">
      <c r="B33" s="148">
        <f>HYPERLINK("#OBJECTTYPE_CATALOG!A1","OBJECTTYPE_CATALOG")</f>
        <v/>
      </c>
      <c r="C33" s="145" t="inlineStr">
        <is>
          <t>对象类型信息表</t>
        </is>
      </c>
      <c r="D33" s="178" t="n"/>
    </row>
    <row r="34" hidden="1" ht="17" customHeight="1" s="170">
      <c r="B34" s="159">
        <f>HYPERLINK("#OBJECTTYPE_RELA!A1","OBJECTTYPE_RELA")</f>
        <v/>
      </c>
      <c r="C34" s="145" t="inlineStr">
        <is>
          <t>对象关联信息表</t>
        </is>
      </c>
      <c r="D34" s="178" t="n"/>
    </row>
    <row r="35" hidden="1" ht="17" customHeight="1" s="170">
      <c r="B35" s="159">
        <f>HYPERLINK("#OBJECT_ATTRIBUTE!A1","OBJECT_ATTRIBUTE")</f>
        <v/>
      </c>
      <c r="C35" s="145" t="inlineStr">
        <is>
          <t>对象属性信息表</t>
        </is>
      </c>
      <c r="D35" s="178" t="n"/>
    </row>
    <row r="36" hidden="1" ht="17" customHeight="1" s="170">
      <c r="B36" s="159">
        <f>HYPERLINK("#OBJECT_MAXSN!A1","OBJECT_MAXSN")</f>
        <v/>
      </c>
      <c r="C36" s="145" t="inlineStr">
        <is>
          <t>系统流水表;系统流水号表</t>
        </is>
      </c>
      <c r="D36" s="178" t="n"/>
    </row>
    <row r="37" hidden="1" ht="17" customHeight="1" s="170">
      <c r="B37" s="159">
        <f>HYPERLINK("#ROLE_RIGHT!A1","ROLE_RIGHT")</f>
        <v/>
      </c>
      <c r="C37" s="145" t="inlineStr">
        <is>
          <t>角色权限表</t>
        </is>
      </c>
      <c r="D37" s="178" t="n"/>
    </row>
    <row r="38" hidden="1" ht="17" customHeight="1" s="170">
      <c r="B38" s="159">
        <f>HYPERLINK("#SECURITY_AUDIT!A1","SECURITY_AUDIT")</f>
        <v/>
      </c>
      <c r="C38" s="145" t="inlineStr">
        <is>
          <t>安全审计</t>
        </is>
      </c>
      <c r="D38" s="178" t="n"/>
    </row>
    <row r="39" hidden="1" ht="17" customHeight="1" s="170">
      <c r="B39" s="159">
        <f>HYPERLINK("#SELECT_CATALOG!A1","SELECT_CATALOG")</f>
        <v/>
      </c>
      <c r="C39" s="145" t="inlineStr">
        <is>
          <t>查询信息表</t>
        </is>
      </c>
      <c r="D39" s="178" t="n"/>
    </row>
    <row r="40" hidden="1" ht="17" customHeight="1" s="170">
      <c r="B40" s="159">
        <f>HYPERLINK("#USER_FAILEDLIST!A1","USER_FAILEDLIST")</f>
        <v/>
      </c>
      <c r="C40" s="145" t="inlineStr">
        <is>
          <t>用户登录失败表;用户痕迹表</t>
        </is>
      </c>
      <c r="D40" s="178" t="n"/>
    </row>
    <row r="41" hidden="1" ht="17" customHeight="1" s="170">
      <c r="B41" s="159">
        <f>HYPERLINK("#USER_LIST!A1","USER_LIST")</f>
        <v/>
      </c>
      <c r="C41" s="145" t="inlineStr">
        <is>
          <t>用户登录表;用户登录列表</t>
        </is>
      </c>
      <c r="D41" s="178" t="n"/>
    </row>
    <row r="42" hidden="1" ht="17" customHeight="1" s="170">
      <c r="B42" s="159">
        <f>HYPERLINK("#USER_LOGON_SESSION!A1","USER_LOGON_SESSION")</f>
        <v/>
      </c>
      <c r="C42" s="145" t="inlineStr">
        <is>
          <t>用户登录session</t>
        </is>
      </c>
      <c r="D42" s="178" t="n"/>
    </row>
    <row r="43" hidden="1" ht="17" customHeight="1" s="170">
      <c r="B43" s="159">
        <f>HYPERLINK("#USER_MARKINFO!A1","USER_MARKINFO")</f>
        <v/>
      </c>
      <c r="C43" s="145" t="inlineStr">
        <is>
          <t>用户记录表;用户痕迹表</t>
        </is>
      </c>
      <c r="D43" s="178" t="n"/>
    </row>
    <row r="44" hidden="1" ht="17" customHeight="1" s="170">
      <c r="B44" s="159">
        <f>HYPERLINK("#USER_RIGHT!A1","USER_RIGHT")</f>
        <v/>
      </c>
      <c r="C44" s="145" t="inlineStr">
        <is>
          <t>用户权限表</t>
        </is>
      </c>
      <c r="D44" s="178" t="n"/>
    </row>
    <row r="45" hidden="1" ht="17" customHeight="1" s="170">
      <c r="B45" s="159">
        <f>HYPERLINK("#USER_RUNTIME!A1","USER_RUNTIME")</f>
        <v/>
      </c>
      <c r="C45" s="145" t="inlineStr">
        <is>
          <t>用户运行时信息</t>
        </is>
      </c>
      <c r="D45" s="178" t="n"/>
    </row>
    <row r="46" hidden="1" ht="17" customHeight="1" s="170">
      <c r="B46" s="159">
        <f>HYPERLINK("#AWE_GROUP_CLASSIFY!A1","AWE_GROUP_CLASSIFY")</f>
        <v/>
      </c>
      <c r="C46" s="145" t="inlineStr">
        <is>
          <t>组合页面分类信息表</t>
        </is>
      </c>
      <c r="D46" s="178" t="n"/>
    </row>
    <row r="47" hidden="1" ht="17" customHeight="1" s="170">
      <c r="B47" s="159">
        <f>HYPERLINK("#AWE_GROUP_ITEM!A1","AWE_GROUP_ITEM")</f>
        <v/>
      </c>
      <c r="C47" s="145" t="inlineStr">
        <is>
          <t>组合页面详细信息表</t>
        </is>
      </c>
      <c r="D47" s="178" t="n"/>
    </row>
    <row r="48" hidden="1" ht="17" customHeight="1" s="170">
      <c r="B48" s="159">
        <f>HYPERLINK("#AWE_HREF_INFO!A1","AWE_HREF_INFO")</f>
        <v/>
      </c>
      <c r="C48" s="145" t="inlineStr">
        <is>
          <t>链接信息</t>
        </is>
      </c>
      <c r="D48" s="178" t="n"/>
    </row>
    <row r="49" hidden="1" ht="17" customHeight="1" s="170">
      <c r="B49" s="159">
        <f>HYPERLINK("#AWE_JSP_RUNTIME!A1","AWE_JSP_RUNTIME")</f>
        <v/>
      </c>
      <c r="C49" s="145" t="inlineStr">
        <is>
          <t>jsp页面访问统计表</t>
        </is>
      </c>
      <c r="D49" s="178" t="n"/>
    </row>
    <row r="50" hidden="1" ht="17" customHeight="1" s="170">
      <c r="B50" s="159">
        <f>HYPERLINK("#AWE_MENU_INFO!A1","AWE_MENU_INFO")</f>
        <v/>
      </c>
      <c r="C50" s="145" t="inlineStr">
        <is>
          <t>菜单表;系统菜单表</t>
        </is>
      </c>
      <c r="D50" s="178" t="n"/>
    </row>
    <row r="51" hidden="1" ht="17" customHeight="1" s="170">
      <c r="B51" s="159">
        <f>HYPERLINK("#AWE_MESSAGE_INFO!A1","AWE_MESSAGE_INFO")</f>
        <v/>
      </c>
      <c r="C51" s="145" t="inlineStr">
        <is>
          <t>站内信对象</t>
        </is>
      </c>
      <c r="D51" s="178" t="n"/>
    </row>
    <row r="52" hidden="1" ht="17" customHeight="1" s="170">
      <c r="B52" s="159">
        <f>HYPERLINK("#AWE_MESSAGE_USER!A1","AWE_MESSAGE_USER")</f>
        <v/>
      </c>
      <c r="C52" s="145" t="inlineStr">
        <is>
          <t>站内信发送/关联用户</t>
        </is>
      </c>
      <c r="D52" s="178" t="n"/>
    </row>
    <row r="53" hidden="1" ht="17" customHeight="1" s="170">
      <c r="B53" s="159">
        <f>HYPERLINK("#AWE_QUERY_INFO!A1","AWE_QUERY_INFO")</f>
        <v/>
      </c>
      <c r="C53" s="145" t="inlineStr">
        <is>
          <t>查询配置基本信息</t>
        </is>
      </c>
      <c r="D53" s="178" t="n"/>
    </row>
    <row r="54" hidden="1" ht="17" customHeight="1" s="170">
      <c r="B54" s="159">
        <f>HYPERLINK("#AWE_QUERY_USER!A1","AWE_QUERY_USER")</f>
        <v/>
      </c>
      <c r="C54" s="145" t="inlineStr">
        <is>
          <t>异步查询下载</t>
        </is>
      </c>
      <c r="D54" s="178" t="n"/>
    </row>
    <row r="55" hidden="1" ht="17" customHeight="1" s="170">
      <c r="B55" s="159">
        <f>HYPERLINK("#AWE_QUICK_HREF!A1","AWE_QUICK_HREF")</f>
        <v/>
      </c>
      <c r="C55" s="145" t="inlineStr">
        <is>
          <t>快捷链接</t>
        </is>
      </c>
      <c r="D55" s="178" t="n"/>
    </row>
    <row r="56" hidden="1" ht="17" customHeight="1" s="170">
      <c r="B56" s="159">
        <f>HYPERLINK("#AWE_RECORD_INFO!A1","AWE_RECORD_INFO")</f>
        <v/>
      </c>
      <c r="C56" s="145" t="inlineStr">
        <is>
          <t>特殊信息记录表</t>
        </is>
      </c>
      <c r="D56" s="178" t="n"/>
    </row>
    <row r="57" hidden="1" ht="17" customHeight="1" s="170">
      <c r="B57" s="159">
        <f>HYPERLINK("#AWE_RIGHT_MENU!A1","AWE_RIGHT_MENU")</f>
        <v/>
      </c>
      <c r="C57" s="145" t="inlineStr">
        <is>
          <t>菜单权限表</t>
        </is>
      </c>
      <c r="D57" s="178" t="n"/>
    </row>
    <row r="58" hidden="1" ht="17" customHeight="1" s="170">
      <c r="B58" s="159">
        <f>HYPERLINK("#AWE_ROLE_FUNCTION!A1","AWE_ROLE_FUNCTION")</f>
        <v/>
      </c>
      <c r="C58" s="145" t="inlineStr">
        <is>
          <t>角色和功能点关联表</t>
        </is>
      </c>
      <c r="D58" s="178" t="n"/>
    </row>
    <row r="59" hidden="1" ht="17" customHeight="1" s="170">
      <c r="B59" s="159">
        <f>HYPERLINK("#AWE_ROLE_MENU!A1","AWE_ROLE_MENU")</f>
        <v/>
      </c>
      <c r="C59" s="145" t="inlineStr">
        <is>
          <t>角色菜单表;菜单角色表</t>
        </is>
      </c>
      <c r="D59" s="178" t="n"/>
    </row>
    <row r="60" hidden="1" ht="17" customHeight="1" s="170">
      <c r="B60" s="159">
        <f>HYPERLINK("#AWE_ROLE_RIGHT!A1","AWE_ROLE_RIGHT")</f>
        <v/>
      </c>
      <c r="C60" s="145" t="inlineStr">
        <is>
          <t>角色权限系统表</t>
        </is>
      </c>
      <c r="D60" s="178" t="n"/>
    </row>
    <row r="61" hidden="1" ht="17" customHeight="1" s="170">
      <c r="B61" s="159">
        <f>HYPERLINK("#AWE_ROLE_URL!A1","AWE_ROLE_URL")</f>
        <v/>
      </c>
      <c r="C61" s="145" t="inlineStr">
        <is>
          <t>角色权限URL</t>
        </is>
      </c>
      <c r="D61" s="178" t="n"/>
    </row>
    <row r="62" hidden="1" ht="17" customHeight="1" s="170">
      <c r="B62" s="159">
        <f>HYPERLINK("#AWE_SHORTCUT!A1","AWE_SHORTCUT")</f>
        <v/>
      </c>
      <c r="C62" s="145" t="inlineStr">
        <is>
          <t>系统默认快捷菜单表</t>
        </is>
      </c>
      <c r="D62" s="178" t="n"/>
    </row>
    <row r="63" hidden="1" ht="17" customHeight="1" s="170">
      <c r="B63" s="159">
        <f>HYPERLINK("#AWE_SHORTCUTITEM!A1","AWE_SHORTCUTITEM")</f>
        <v/>
      </c>
      <c r="C63" s="145" t="inlineStr">
        <is>
          <t>系统功能库</t>
        </is>
      </c>
      <c r="D63" s="178" t="n"/>
    </row>
    <row r="64" hidden="1" ht="17" customHeight="1" s="170">
      <c r="B64" s="159">
        <f>HYPERLINK("#AWE_TASK_INFO!A1","AWE_TASK_INFO")</f>
        <v/>
      </c>
      <c r="C64" s="145" t="inlineStr">
        <is>
          <t>任务信息表</t>
        </is>
      </c>
      <c r="D64" s="178" t="n"/>
    </row>
    <row r="65" hidden="1" ht="17" customHeight="1" s="170">
      <c r="B65" s="159">
        <f>HYPERLINK("#AWE_TASK_PROCESS!A1","AWE_TASK_PROCESS")</f>
        <v/>
      </c>
      <c r="C65" s="145" t="inlineStr">
        <is>
          <t>任务进度信息</t>
        </is>
      </c>
      <c r="D65" s="178" t="n"/>
    </row>
    <row r="66" hidden="1" ht="17" customHeight="1" s="170">
      <c r="B66" s="159">
        <f>HYPERLINK("#AWE_WIZARD_CATALOG!A1","AWE_WIZARD_CATALOG")</f>
        <v/>
      </c>
      <c r="C66" s="145" t="inlineStr">
        <is>
          <t>向导目录</t>
        </is>
      </c>
      <c r="D66" s="178" t="n"/>
    </row>
    <row r="67" hidden="1" ht="17" customHeight="1" s="170">
      <c r="B67" s="159">
        <f>HYPERLINK("#AWE_WIZARD_LIBRARY!A1","AWE_WIZARD_LIBRARY")</f>
        <v/>
      </c>
      <c r="C67" s="145" t="inlineStr">
        <is>
          <t>向导定义表;向导定义</t>
        </is>
      </c>
      <c r="D67" s="178" t="n"/>
    </row>
    <row r="68" hidden="1" ht="17" customHeight="1" s="170">
      <c r="B68" s="159">
        <f>HYPERLINK("#AWE_WIZARD_RUNNER!A1","AWE_WIZARD_RUNNER")</f>
        <v/>
      </c>
      <c r="C68" s="145" t="inlineStr">
        <is>
          <t>向导运行记录表</t>
        </is>
      </c>
      <c r="D68" s="178" t="n"/>
    </row>
    <row r="69" hidden="1" ht="17" customHeight="1" s="170">
      <c r="B69" s="159">
        <f>HYPERLINK("#CLASS_CATALOG!A1","CLASS_CATALOG")</f>
        <v/>
      </c>
      <c r="C69" s="145" t="inlineStr">
        <is>
          <t>类定义</t>
        </is>
      </c>
      <c r="D69" s="178" t="n"/>
    </row>
    <row r="70" hidden="1" ht="17" customHeight="1" s="170">
      <c r="B70" s="159">
        <f>HYPERLINK("#CLASS_METHOD!A1","CLASS_METHOD")</f>
        <v/>
      </c>
      <c r="C70" s="145" t="inlineStr">
        <is>
          <t>方法</t>
        </is>
      </c>
      <c r="D70" s="179" t="n"/>
    </row>
    <row r="71" ht="17" customHeight="1" s="170">
      <c r="B71" s="79">
        <f>HYPERLINK("#CLR_REGISTER_RECORD!A1","CLR_REGISTER_RECORD")</f>
        <v/>
      </c>
      <c r="C71" s="143" t="inlineStr">
        <is>
          <t>抵质押登记记录</t>
        </is>
      </c>
      <c r="D71" s="150" t="inlineStr">
        <is>
          <t>抵质押登记管理</t>
        </is>
      </c>
    </row>
    <row r="72" ht="16.8" customHeight="1" s="170">
      <c r="B72" s="151">
        <f>HYPERLINK("#CLR_COMMODITY_MARKET!A1","CLR_COMMODITY_MARKET")</f>
        <v/>
      </c>
      <c r="C72" s="156" t="inlineStr">
        <is>
          <t>大宗商品盯市数据表</t>
        </is>
      </c>
      <c r="D72" s="175" t="inlineStr">
        <is>
          <t>盯市管理</t>
        </is>
      </c>
    </row>
    <row r="73" ht="16.8" customHeight="1" s="170">
      <c r="B73" s="151">
        <f>HYPERLINK("#CLR_FUND_MARKET!A1","CLR_FUND_MARKET")</f>
        <v/>
      </c>
      <c r="C73" s="156" t="inlineStr">
        <is>
          <t>基金盯市数据表</t>
        </is>
      </c>
      <c r="D73" s="178" t="n"/>
    </row>
    <row r="74" ht="16.8" customHeight="1" s="170">
      <c r="B74" s="151">
        <f>HYPERLINK("#CLR_FUND_MARKET_DETAIL!A1","CLR_FUND_MARKET_DETAIL")</f>
        <v/>
      </c>
      <c r="C74" s="156" t="inlineStr">
        <is>
          <t>基金盯市数据明细表</t>
        </is>
      </c>
      <c r="D74" s="178" t="n"/>
    </row>
    <row r="75" ht="16.8" customHeight="1" s="170">
      <c r="B75" s="151">
        <f>HYPERLINK("#CLR_MATERIAL_CATALOG!A1","CLR_MATERIAL_CATALOG")</f>
        <v/>
      </c>
      <c r="C75" s="156" t="inlineStr">
        <is>
          <t>商品类别信息表</t>
        </is>
      </c>
      <c r="D75" s="178" t="n"/>
    </row>
    <row r="76" ht="16.8" customHeight="1" s="170">
      <c r="B76" s="151">
        <f>HYPERLINK("#CLR_STOCK_MARKET!A1","CLR_STOCK_MARKET")</f>
        <v/>
      </c>
      <c r="C76" s="156" t="inlineStr">
        <is>
          <t>股票盯市数据表</t>
        </is>
      </c>
      <c r="D76" s="178" t="n"/>
    </row>
    <row r="77" ht="16.8" customHeight="1" s="170">
      <c r="B77" s="151">
        <f>HYPERLINK("#CLR_STOCK_MARKET_DETAIL!A1","CLR_STOCK_MARKET_DETAIL")</f>
        <v/>
      </c>
      <c r="C77" s="156" t="inlineStr">
        <is>
          <t>股票盯市数据明细表</t>
        </is>
      </c>
      <c r="D77" s="179" t="n"/>
    </row>
    <row r="78" hidden="1" ht="17" customHeight="1" s="170">
      <c r="B78" s="159">
        <f>HYPERLINK("#SCENARIO_ARGS!A1","SCENARIO_ARGS")</f>
        <v/>
      </c>
      <c r="C78" s="145" t="inlineStr">
        <is>
          <t>风险探测参数信息表</t>
        </is>
      </c>
      <c r="D78" s="175" t="inlineStr">
        <is>
          <t>风险探测</t>
        </is>
      </c>
    </row>
    <row r="79" hidden="1" ht="17" customHeight="1" s="170">
      <c r="B79" s="159">
        <f>HYPERLINK("#SCENARIO_CATALOG!A1","SCENARIO_CATALOG")</f>
        <v/>
      </c>
      <c r="C79" s="145" t="inlineStr">
        <is>
          <t>场景分类</t>
        </is>
      </c>
      <c r="D79" s="178" t="n"/>
    </row>
    <row r="80" hidden="1" ht="17" customHeight="1" s="170">
      <c r="B80" s="159">
        <f>HYPERLINK("#SCENARIO_GROUP!A1","SCENARIO_GROUP")</f>
        <v/>
      </c>
      <c r="C80" s="145" t="inlineStr">
        <is>
          <t>场景分组</t>
        </is>
      </c>
      <c r="D80" s="178" t="n"/>
    </row>
    <row r="81" hidden="1" ht="17" customHeight="1" s="170">
      <c r="B81" s="159">
        <f>HYPERLINK("#SCENARIO_MODEL!A1","SCENARIO_MODEL")</f>
        <v/>
      </c>
      <c r="C81" s="145" t="inlineStr">
        <is>
          <t>场景模型</t>
        </is>
      </c>
      <c r="D81" s="178" t="n"/>
    </row>
    <row r="82" hidden="1" ht="17" customHeight="1" s="170">
      <c r="B82" s="159">
        <f>HYPERLINK("#SCENARIO_RELATIVE!A1","SCENARIO_RELATIVE")</f>
        <v/>
      </c>
      <c r="C82" s="145" t="inlineStr">
        <is>
          <t>场景关联表</t>
        </is>
      </c>
      <c r="D82" s="179" t="n"/>
    </row>
    <row r="83" hidden="1" ht="17" customHeight="1" s="170">
      <c r="B83" s="159">
        <f>HYPERLINK("#USER_WORKTIPS!A1","USER_WORKTIPS")</f>
        <v/>
      </c>
      <c r="C83" s="145" t="inlineStr">
        <is>
          <t>用户工作日志表</t>
        </is>
      </c>
      <c r="D83" s="175" t="inlineStr">
        <is>
          <t>工作台</t>
        </is>
      </c>
    </row>
    <row r="84" hidden="1" ht="16.8" customHeight="1" s="170">
      <c r="B84" s="159">
        <f>HYPERLINK("#WORKTIP_CONDITION!A1","WORKTIP_CONDITION")</f>
        <v/>
      </c>
      <c r="C84" s="156" t="inlineStr">
        <is>
          <t>工作情况</t>
        </is>
      </c>
      <c r="D84" s="178" t="n"/>
    </row>
    <row r="85" hidden="1" ht="16.8" customHeight="1" s="170">
      <c r="B85" s="159">
        <f>HYPERLINK("#WORKTIP_SUMMARY!A1","WORKTIP_SUMMARY")</f>
        <v/>
      </c>
      <c r="C85" s="156" t="inlineStr">
        <is>
          <t>工作汇总</t>
        </is>
      </c>
      <c r="D85" s="179" t="n"/>
    </row>
    <row r="86" hidden="1" ht="17" customHeight="1" s="170">
      <c r="B86" s="153">
        <f>HYPERLINK("#CLR_VERIFICATION_INFO!A1","CLR_VERIFICATION_INFO")</f>
        <v/>
      </c>
      <c r="C86" s="154" t="inlineStr">
        <is>
          <t>核押详情</t>
        </is>
      </c>
      <c r="D86" s="155" t="inlineStr">
        <is>
          <t>核押信息登记</t>
        </is>
      </c>
    </row>
    <row r="87" hidden="1" ht="17" customHeight="1" s="170">
      <c r="B87" s="153">
        <f>HYPERLINK("#CLR_VERIFICATION_RECORD!A1","CLR_VERIFICATION_RECORD")</f>
        <v/>
      </c>
      <c r="C87" s="154" t="inlineStr">
        <is>
          <t>核押信息记录</t>
        </is>
      </c>
      <c r="D87" s="179" t="n"/>
    </row>
    <row r="88" hidden="1" ht="16.8" customHeight="1" s="170">
      <c r="B88" s="159">
        <f>HYPERLINK("#WF_INSTANCE!A1","WF_INSTANCE")</f>
        <v/>
      </c>
      <c r="C88" s="159" t="inlineStr">
        <is>
          <t>流程实例</t>
        </is>
      </c>
      <c r="D88" s="175" t="inlineStr">
        <is>
          <t>流程表</t>
        </is>
      </c>
    </row>
    <row r="89" hidden="1" ht="16.8" customHeight="1" s="170">
      <c r="B89" s="159" t="inlineStr">
        <is>
          <t>wf_opinion</t>
        </is>
      </c>
      <c r="C89" s="159" t="inlineStr">
        <is>
          <t>流程意见记录</t>
        </is>
      </c>
      <c r="D89" s="178" t="n"/>
    </row>
    <row r="90" hidden="1" ht="17" customHeight="1" s="170">
      <c r="B90" s="159">
        <f>HYPERLINK("#WF_WORKITEM!A1","WF_WORKITEM")</f>
        <v/>
      </c>
      <c r="C90" s="159" t="inlineStr">
        <is>
          <t>流程工作项(任务)</t>
        </is>
      </c>
      <c r="D90" s="178" t="n"/>
    </row>
    <row r="91" hidden="1" ht="17" customHeight="1" s="170">
      <c r="B91" s="159">
        <f>HYPERLINK("#WF_ACTIVEINSTANCE!A1","WF_ACTIVEINSTANCE")</f>
        <v/>
      </c>
      <c r="C91" s="159" t="inlineStr">
        <is>
          <t>流程的活动(节点)实例</t>
        </is>
      </c>
      <c r="D91" s="178" t="n"/>
    </row>
    <row r="92" hidden="1" ht="17" customHeight="1" s="170">
      <c r="B92" s="159">
        <f>HYPERLINK("#FLOW_ACTIVITIES!A1","FLOW_ACTIVITIES")</f>
        <v/>
      </c>
      <c r="C92" s="159" t="inlineStr">
        <is>
          <t>流程活动(节点)</t>
        </is>
      </c>
      <c r="D92" s="178" t="n"/>
    </row>
    <row r="93" hidden="1" ht="16.8" customHeight="1" s="170">
      <c r="B93" s="159">
        <f>HYPERLINK("#FLOW_ATTRIBUTEGROUP!A1","FLOW_ATTRIBUTEGROUP")</f>
        <v/>
      </c>
      <c r="C93" s="159" t="inlineStr">
        <is>
          <t>流程活动的属性分组</t>
        </is>
      </c>
      <c r="D93" s="178" t="n"/>
    </row>
    <row r="94" hidden="1" ht="16.8" customHeight="1" s="170">
      <c r="B94" s="159">
        <f>HYPERLINK("#FLOW_BUTTONGROUP!A1","FLOW_BUTTONGROUP")</f>
        <v/>
      </c>
      <c r="C94" s="159" t="inlineStr">
        <is>
          <t>流程按钮组</t>
        </is>
      </c>
      <c r="D94" s="178" t="n"/>
    </row>
    <row r="95" hidden="1" ht="16.8" customHeight="1" s="170">
      <c r="B95" s="159">
        <f>HYPERLINK("#FLOW_BUTTONITEM!A1","FLOW_BUTTONITEM")</f>
        <v/>
      </c>
      <c r="C95" s="159" t="inlineStr">
        <is>
          <t>流程按钮</t>
        </is>
      </c>
      <c r="D95" s="178" t="n"/>
    </row>
    <row r="96" hidden="1" ht="16.8" customHeight="1" s="170">
      <c r="B96" s="159">
        <f>HYPERLINK("#FLOW_DEF!A1","FLOW_DEF")</f>
        <v/>
      </c>
      <c r="C96" s="159" t="inlineStr">
        <is>
          <t>流程定义</t>
        </is>
      </c>
      <c r="D96" s="178" t="n"/>
    </row>
    <row r="97" hidden="1" ht="16.8" customHeight="1" s="170">
      <c r="B97" s="159">
        <f>HYPERLINK("#FLOW_DEPLOY!A1","FLOW_DEPLOY")</f>
        <v/>
      </c>
      <c r="C97" s="159" t="inlineStr">
        <is>
          <t>流程部署</t>
        </is>
      </c>
      <c r="D97" s="178" t="n"/>
    </row>
    <row r="98" hidden="1" ht="16.8" customHeight="1" s="170">
      <c r="B98" s="159">
        <f>HYPERLINK("#FLOW_GROUP!A1","FLOW_GROUP")</f>
        <v/>
      </c>
      <c r="C98" s="159" t="inlineStr">
        <is>
          <t>流程分组</t>
        </is>
      </c>
      <c r="D98" s="178" t="n"/>
    </row>
    <row r="99" hidden="1" ht="16.8" customHeight="1" s="170">
      <c r="B99" s="159">
        <f>HYPERLINK("#FLOW_HI_MODEL!A1","FLOW_HI_MODEL")</f>
        <v/>
      </c>
      <c r="C99" s="159" t="inlineStr">
        <is>
          <t>流程模型的历史</t>
        </is>
      </c>
      <c r="D99" s="178" t="n"/>
    </row>
    <row r="100" hidden="1" ht="16.8" customHeight="1" s="170">
      <c r="B100" s="159">
        <f>HYPERLINK("#FLOW_MESSAGE!A1","FLOW_MESSAGE")</f>
        <v/>
      </c>
      <c r="C100" s="159" t="inlineStr">
        <is>
          <t>流程信息</t>
        </is>
      </c>
      <c r="D100" s="178" t="n"/>
    </row>
    <row r="101" hidden="1" ht="16.8" customHeight="1" s="170">
      <c r="B101" s="159">
        <f>HYPERLINK("#FLOW_PHASETYPE!A1","FLOW_PHASETYPE")</f>
        <v/>
      </c>
      <c r="C101" s="159" t="inlineStr">
        <is>
          <t>流程阶段类型</t>
        </is>
      </c>
      <c r="D101" s="178" t="n"/>
    </row>
    <row r="102" hidden="1" ht="16.8" customHeight="1" s="170">
      <c r="B102" s="159">
        <f>HYPERLINK("#FLOW_RU_MODEL!A1","FLOW_RU_MODEL")</f>
        <v/>
      </c>
      <c r="C102" s="159" t="inlineStr">
        <is>
          <t>流程模型表</t>
        </is>
      </c>
      <c r="D102" s="178" t="n"/>
    </row>
    <row r="103" hidden="1" ht="16.8" customHeight="1" s="170">
      <c r="B103" s="159">
        <f>HYPERLINK("#FLOW_USERCONF!A1","FLOW_USERCONF")</f>
        <v/>
      </c>
      <c r="C103" s="159" t="inlineStr">
        <is>
          <t>流程的处理人配置</t>
        </is>
      </c>
      <c r="D103" s="178" t="n"/>
    </row>
    <row r="104" hidden="1" ht="16.8" customHeight="1" s="170">
      <c r="B104" s="159">
        <f>HYPERLINK("#FLOW_CATALOG!A1","FLOW_CATALOG")</f>
        <v/>
      </c>
      <c r="C104" s="159" t="inlineStr">
        <is>
          <t>流程表</t>
        </is>
      </c>
      <c r="D104" s="178" t="n"/>
    </row>
    <row r="105" hidden="1" ht="17" customHeight="1" s="170">
      <c r="B105" s="159">
        <f>HYPERLINK("#FLOW_MODEL!A1","FLOW_MODEL")</f>
        <v/>
      </c>
      <c r="C105" s="159" t="inlineStr">
        <is>
          <t>流程模型表;流程模型</t>
        </is>
      </c>
      <c r="D105" s="178" t="n"/>
    </row>
    <row r="106" hidden="1" ht="16.8" customHeight="1" s="170">
      <c r="B106" s="159" t="inlineStr">
        <is>
          <t>FLOW_MODEL_RELATIVE</t>
        </is>
      </c>
      <c r="C106" s="159" t="inlineStr">
        <is>
          <t>流程多法人关联表</t>
        </is>
      </c>
      <c r="D106" s="178" t="n"/>
    </row>
    <row r="107" hidden="1" ht="17" customHeight="1" s="170">
      <c r="B107" s="159">
        <f>HYPERLINK("#FLOW_OBJECT!A1","FLOW_OBJECT")</f>
        <v/>
      </c>
      <c r="C107" s="145" t="inlineStr">
        <is>
          <t>流程对象表</t>
        </is>
      </c>
      <c r="D107" s="178" t="n"/>
    </row>
    <row r="108" hidden="1" ht="17" customHeight="1" s="170">
      <c r="B108" s="159">
        <f>HYPERLINK("#FLOW_OBJECT_SUMMARY!A1","FLOW_OBJECT_SUMMARY")</f>
        <v/>
      </c>
      <c r="C108" s="145" t="inlineStr">
        <is>
          <t>流程业务表</t>
        </is>
      </c>
      <c r="D108" s="178" t="n"/>
    </row>
    <row r="109" hidden="1" ht="17" customHeight="1" s="170">
      <c r="B109" s="159">
        <f>HYPERLINK("#FLOW_OPINION!A1","FLOW_OPINION")</f>
        <v/>
      </c>
      <c r="C109" s="145" t="inlineStr">
        <is>
          <t>流程意见记录</t>
        </is>
      </c>
      <c r="D109" s="178" t="n"/>
    </row>
    <row r="110" hidden="1" ht="17" customHeight="1" s="170">
      <c r="B110" s="159">
        <f>HYPERLINK("#FLOW_SWIMLANE!A1","FLOW_SWIMLANE")</f>
        <v/>
      </c>
      <c r="C110" s="145" t="inlineStr">
        <is>
          <t>流程泳道</t>
        </is>
      </c>
      <c r="D110" s="178" t="n"/>
    </row>
    <row r="111" hidden="1" ht="17" customHeight="1" s="170">
      <c r="B111" s="159">
        <f>HYPERLINK("#FLOW_TASK!A1","FLOW_TASK")</f>
        <v/>
      </c>
      <c r="C111" s="145" t="inlineStr">
        <is>
          <t>流程任务</t>
        </is>
      </c>
      <c r="D111" s="178" t="n"/>
    </row>
    <row r="112" hidden="1" ht="17" customHeight="1" s="170">
      <c r="B112" s="159">
        <f>HYPERLINK("#FLOW_TASK_CLOSED!A1","FLOW_TASK_CLOSED")</f>
        <v/>
      </c>
      <c r="C112" s="145" t="inlineStr">
        <is>
          <t>已结束流程任务</t>
        </is>
      </c>
      <c r="D112" s="178" t="n"/>
    </row>
    <row r="113" hidden="1" ht="17" customHeight="1" s="170">
      <c r="B113" s="159">
        <f>HYPERLINK("#FLOW_USER_RELA!A1","FLOW_USER_RELA")</f>
        <v/>
      </c>
      <c r="C113" s="145" t="inlineStr">
        <is>
          <t>流程用户关联关系表</t>
        </is>
      </c>
      <c r="D113" s="178" t="n"/>
    </row>
    <row r="114" hidden="1" ht="16.8" customHeight="1" s="170">
      <c r="B114" s="159">
        <f>HYPERLINK("#FLOW_PROPS!A1","FLOW_PROPS")</f>
        <v/>
      </c>
      <c r="C114" s="156" t="inlineStr">
        <is>
          <t>流程节点的属性</t>
        </is>
      </c>
      <c r="D114" s="179" t="n"/>
    </row>
    <row r="115" hidden="1" ht="17" customHeight="1" s="170">
      <c r="B115" s="151">
        <f>HYPERLINK("#TASK_RUN_HISTORY!A1","TASK_RUN_HISTORY")</f>
        <v/>
      </c>
      <c r="C115" s="156" t="inlineStr">
        <is>
          <t>GCI 任务跑批历史表;任务跑批历史表</t>
        </is>
      </c>
      <c r="D115" s="175" t="inlineStr">
        <is>
          <t>批量调度</t>
        </is>
      </c>
    </row>
    <row r="116" hidden="1" ht="17" customHeight="1" s="170">
      <c r="B116" s="151">
        <f>HYPERLINK("#TASK_RUN_INTERACT!A1","TASK_RUN_INTERACT")</f>
        <v/>
      </c>
      <c r="C116" s="156" t="inlineStr">
        <is>
          <t>GCI 任务交互控制表;任务交互控制表</t>
        </is>
      </c>
      <c r="D116" s="178" t="n"/>
    </row>
    <row r="117" hidden="1" ht="17" customHeight="1" s="170">
      <c r="B117" s="151">
        <f>HYPERLINK("#TASK_RUN_STATUS!A1","TASK_RUN_STATUS")</f>
        <v/>
      </c>
      <c r="C117" s="156" t="inlineStr">
        <is>
          <t>GCI 任务运行状态表;任务运行状态表</t>
        </is>
      </c>
      <c r="D117" s="179" t="n"/>
    </row>
    <row r="118" ht="17" customHeight="1" s="170">
      <c r="B118" s="157">
        <f>HYPERLINK("#CLR_RIGHTCERT_INFO!A1","CLR_RIGHTCERT_INFO")</f>
        <v/>
      </c>
      <c r="C118" s="143" t="inlineStr">
        <is>
          <t>抵质押权证信息</t>
        </is>
      </c>
      <c r="D118" s="175" t="inlineStr">
        <is>
          <t>权证出入库</t>
        </is>
      </c>
    </row>
    <row r="119" ht="17" customHeight="1" s="170">
      <c r="B119" s="157">
        <f>HYPERLINK("#CLR_RIGHTCERT_PACKAGE_INFO!A1","CLR_RIGHTCERT_PACKAGE_INFO")</f>
        <v/>
      </c>
      <c r="C119" s="143" t="inlineStr">
        <is>
          <t>权证封包信息</t>
        </is>
      </c>
      <c r="D119" s="178" t="n"/>
    </row>
    <row r="120" ht="17" customHeight="1" s="170">
      <c r="B120" s="79">
        <f>HYPERLINK("#CLR_RIGHTCERT_TRANRECORD!A1","CLR_RIGHTCERT_TRANRECORD")</f>
        <v/>
      </c>
      <c r="C120" s="143" t="inlineStr">
        <is>
          <t>权证出入库记录</t>
        </is>
      </c>
      <c r="D120" s="178" t="n"/>
    </row>
    <row r="121" ht="17" customHeight="1" s="170">
      <c r="B121" s="79">
        <f>HYPERLINK("#CLR_RIGHTCERT_TRAPPL!A1","CLR_RIGHTCERT_TRAPPL")</f>
        <v/>
      </c>
      <c r="C121" s="143" t="inlineStr">
        <is>
          <t>权证出入库申请</t>
        </is>
      </c>
      <c r="D121" s="178" t="n"/>
    </row>
    <row r="122" hidden="1" ht="17" customHeight="1" s="170">
      <c r="B122" s="153">
        <f>HYPERLINK("#CLR_RIGHTCERT_TRAPPL_GROUP!A1","CLR_RIGHTCERT_TRAPPL_GROUP")</f>
        <v/>
      </c>
      <c r="C122" s="154" t="inlineStr">
        <is>
          <t>权证出入库申请组</t>
        </is>
      </c>
      <c r="D122" s="179" t="n"/>
    </row>
    <row r="123" hidden="1" ht="17" customHeight="1" s="170">
      <c r="B123" s="159">
        <f>HYPERLINK("#DOC_ATTACHMENT!A1","DOC_ATTACHMENT")</f>
        <v/>
      </c>
      <c r="C123" s="145" t="inlineStr">
        <is>
          <t>文档附件表;文档附件库</t>
        </is>
      </c>
      <c r="D123" s="175" t="inlineStr">
        <is>
          <t>通用组件</t>
        </is>
      </c>
    </row>
    <row r="124" hidden="1" ht="17" customHeight="1" s="170">
      <c r="B124" s="159">
        <f>HYPERLINK("#DOC_LIBRARY!A1","DOC_LIBRARY")</f>
        <v/>
      </c>
      <c r="C124" s="145" t="inlineStr">
        <is>
          <t>文档资料表;文档资料库</t>
        </is>
      </c>
      <c r="D124" s="178" t="n"/>
    </row>
    <row r="125" hidden="1" ht="17" customHeight="1" s="170">
      <c r="B125" s="159">
        <f>HYPERLINK("#DOC_RELATIVE!A1","DOC_RELATIVE")</f>
        <v/>
      </c>
      <c r="C125" s="145" t="inlineStr">
        <is>
          <t>文档关联对象表</t>
        </is>
      </c>
      <c r="D125" s="178" t="n"/>
    </row>
    <row r="126" hidden="1" ht="17" customHeight="1" s="170">
      <c r="B126" s="159">
        <f>HYPERLINK("#EVALUATE_CATALOG!A1","EVALUATE_CATALOG")</f>
        <v/>
      </c>
      <c r="C126" s="145" t="inlineStr">
        <is>
          <t>评估目录表</t>
        </is>
      </c>
      <c r="D126" s="178" t="n"/>
    </row>
    <row r="127" hidden="1" ht="17" customHeight="1" s="170">
      <c r="B127" s="159">
        <f>HYPERLINK("#EVALUATE_DATA!A1","EVALUATE_DATA")</f>
        <v/>
      </c>
      <c r="C127" s="145" t="inlineStr">
        <is>
          <t>评估数据</t>
        </is>
      </c>
      <c r="D127" s="178" t="n"/>
    </row>
    <row r="128" hidden="1" ht="17" customHeight="1" s="170">
      <c r="B128" s="159">
        <f>HYPERLINK("#EVALUATE_MODEL!A1","EVALUATE_MODEL")</f>
        <v/>
      </c>
      <c r="C128" s="145" t="inlineStr">
        <is>
          <t>评估模型</t>
        </is>
      </c>
      <c r="D128" s="178" t="n"/>
    </row>
    <row r="129" hidden="1" ht="17" customHeight="1" s="170">
      <c r="B129" s="148">
        <f>HYPERLINK("#EVALUATE_RECORD!A1","EVALUATE_RECORD")</f>
        <v/>
      </c>
      <c r="C129" s="145" t="inlineStr">
        <is>
          <t>记录模型评定信息</t>
        </is>
      </c>
      <c r="D129" s="178" t="n"/>
    </row>
    <row r="130" hidden="1" ht="17" customHeight="1" s="170">
      <c r="B130" s="148">
        <f>HYPERLINK("#SYSTEM_SETUP!A1","SYSTEM_SETUP")</f>
        <v/>
      </c>
      <c r="C130" s="145" t="inlineStr">
        <is>
          <t>系统配置表;交易日期表</t>
        </is>
      </c>
      <c r="D130" s="178" t="n"/>
    </row>
    <row r="131" hidden="1" ht="17" customHeight="1" s="170">
      <c r="B131" s="159">
        <f>HYPERLINK("#USER_MENU_COUNTER!A1","USER_MENU_COUNTER")</f>
        <v/>
      </c>
      <c r="C131" s="145" t="inlineStr">
        <is>
          <t>用户常用菜单表</t>
        </is>
      </c>
      <c r="D131" s="179" t="n"/>
    </row>
    <row r="132" hidden="1" ht="17" customHeight="1" s="170">
      <c r="B132" s="159">
        <f>HYPERLINK("#LOG_AUDITINFO!A1","LOG_AUDITINFO")</f>
        <v/>
      </c>
      <c r="C132" s="145" t="inlineStr">
        <is>
          <t>安全选项变更日志表;用户痕迹表</t>
        </is>
      </c>
      <c r="D132" s="175" t="inlineStr">
        <is>
          <t>系统管理表</t>
        </is>
      </c>
    </row>
    <row r="133" hidden="1" ht="17" customHeight="1" s="170">
      <c r="B133" s="148">
        <f>HYPERLINK("#BOARD_LIST!A1","BOARD_LIST")</f>
        <v/>
      </c>
      <c r="C133" s="145" t="inlineStr">
        <is>
          <t>公告表;通告栏</t>
        </is>
      </c>
      <c r="D133" s="178" t="n"/>
    </row>
    <row r="134" hidden="1" ht="17" customHeight="1" s="170">
      <c r="B134" s="159">
        <f>HYPERLINK("#BOARD_USER!A1","BOARD_USER")</f>
        <v/>
      </c>
      <c r="C134" s="145" t="inlineStr">
        <is>
          <t>用户通告</t>
        </is>
      </c>
      <c r="D134" s="178" t="n"/>
    </row>
    <row r="135" hidden="1" ht="17" customHeight="1" s="170">
      <c r="B135" s="159">
        <f>HYPERLINK("#CONF_ERATE_INFO!A1","CONF_ERATE_INFO")</f>
        <v/>
      </c>
      <c r="C135" s="145" t="inlineStr">
        <is>
          <t>汇率表;汇率表</t>
        </is>
      </c>
      <c r="D135" s="178" t="n"/>
    </row>
    <row r="136" hidden="1" ht="17" customHeight="1" s="170">
      <c r="B136" s="159">
        <f>HYPERLINK("#CONF_QUICK_MENU_URL!A1","CONF_QUICK_MENU_URL")</f>
        <v/>
      </c>
      <c r="C136" s="145" t="inlineStr">
        <is>
          <t>工作台快捷菜单配置</t>
        </is>
      </c>
      <c r="D136" s="178" t="n"/>
    </row>
    <row r="137" hidden="1" ht="17" customHeight="1" s="170">
      <c r="B137" s="159">
        <f>HYPERLINK("#ERATE_INFO!A1","ERATE_INFO")</f>
        <v/>
      </c>
      <c r="C137" s="145" t="inlineStr">
        <is>
          <t>汇率表</t>
        </is>
      </c>
      <c r="D137" s="178" t="n"/>
    </row>
    <row r="138" hidden="1" ht="17" customHeight="1" s="170">
      <c r="B138" s="159">
        <f>HYPERLINK("#MANAGE_CHANGE!A1","MANAGE_CHANGE")</f>
        <v/>
      </c>
      <c r="C138" s="145" t="inlineStr">
        <is>
          <t>管理人变更记录</t>
        </is>
      </c>
      <c r="D138" s="178" t="n"/>
    </row>
    <row r="139" hidden="1" ht="17" customHeight="1" s="170">
      <c r="B139" s="159">
        <f>HYPERLINK("#ORG_BELONG!A1","ORG_BELONG")</f>
        <v/>
      </c>
      <c r="C139" s="145" t="inlineStr">
        <is>
          <t>机构管辖表;机构管辖信息</t>
        </is>
      </c>
      <c r="D139" s="178" t="n"/>
    </row>
    <row r="140" hidden="1" ht="17" customHeight="1" s="170">
      <c r="B140" s="159">
        <f>HYPERLINK("#ORG_INFO!A1","ORG_INFO")</f>
        <v/>
      </c>
      <c r="C140" s="145" t="inlineStr">
        <is>
          <t>机构信息表</t>
        </is>
      </c>
      <c r="D140" s="178" t="n"/>
    </row>
    <row r="141" hidden="1" ht="17" customHeight="1" s="170">
      <c r="B141" s="159">
        <f>HYPERLINK("#POST_SUBLICENSE!A1","POST_SUBLICENSE")</f>
        <v/>
      </c>
      <c r="C141" s="145" t="inlineStr">
        <is>
          <t>岗位转授权</t>
        </is>
      </c>
      <c r="D141" s="178" t="n"/>
    </row>
    <row r="142" hidden="1" ht="16.8" customHeight="1" s="170">
      <c r="B142" s="151">
        <f>HYPERLINK("#RATE_INFO!A1","RATE_INFO")</f>
        <v/>
      </c>
      <c r="C142" s="156" t="inlineStr">
        <is>
          <t>利率表</t>
        </is>
      </c>
      <c r="D142" s="178" t="n"/>
    </row>
    <row r="143" hidden="1" ht="17" customHeight="1" s="170">
      <c r="B143" s="159">
        <f>HYPERLINK("#ROLE_INFO!A1","ROLE_INFO")</f>
        <v/>
      </c>
      <c r="C143" s="145" t="inlineStr">
        <is>
          <t>角色表</t>
        </is>
      </c>
      <c r="D143" s="178" t="n"/>
    </row>
    <row r="144" hidden="1" ht="17" customHeight="1" s="170">
      <c r="B144" s="159">
        <f>HYPERLINK("#SYS_CALENDAR!A1","SYS_CALENDAR")</f>
        <v/>
      </c>
      <c r="C144" s="145" t="inlineStr">
        <is>
          <t>系统管理;工作日配置表</t>
        </is>
      </c>
      <c r="D144" s="178" t="n"/>
    </row>
    <row r="145" hidden="1" ht="17" customHeight="1" s="170">
      <c r="B145" s="148">
        <f>HYPERLINK("#CORPORATION_INFO!A1","CORPORATION_INFO")</f>
        <v/>
      </c>
      <c r="C145" s="145" t="inlineStr">
        <is>
          <t>法人信息表</t>
        </is>
      </c>
      <c r="D145" s="178" t="n"/>
    </row>
    <row r="146" hidden="1" ht="17" customHeight="1" s="170">
      <c r="B146" s="159">
        <f>HYPERLINK("#USER_INFO!A1","USER_INFO")</f>
        <v/>
      </c>
      <c r="C146" s="145" t="inlineStr">
        <is>
          <t>用户基本信息</t>
        </is>
      </c>
      <c r="D146" s="178" t="n"/>
    </row>
    <row r="147" hidden="1" ht="17" customHeight="1" s="170">
      <c r="B147" s="159">
        <f>HYPERLINK("#USER_ROLE!A1","USER_ROLE")</f>
        <v/>
      </c>
      <c r="C147" s="145" t="inlineStr">
        <is>
          <t>用户角色关系;用户角色表</t>
        </is>
      </c>
      <c r="D147" s="179" t="n"/>
    </row>
    <row r="148" ht="16.8" customHeight="1" s="170">
      <c r="B148" s="151">
        <f>HYPERLINK("#CLR_STRESS_BU_DETAIL!A1","CLR_STRESS_BU_DETAIL")</f>
        <v/>
      </c>
      <c r="C148" s="156" t="inlineStr">
        <is>
          <t>压力测试业务详情</t>
        </is>
      </c>
      <c r="D148" s="175" t="inlineStr">
        <is>
          <t>压力测试</t>
        </is>
      </c>
    </row>
    <row r="149" ht="17" customHeight="1" s="170">
      <c r="B149" s="158">
        <f>HYPERLINK("#CLR_STRESS_CLR_DETAIL!A1","CLR_STRESS_CLR_DETAIL")</f>
        <v/>
      </c>
      <c r="C149" s="156" t="inlineStr">
        <is>
          <t>压力测试押品详情</t>
        </is>
      </c>
      <c r="D149" s="178" t="n"/>
    </row>
    <row r="150" ht="17" customHeight="1" s="170">
      <c r="B150" s="158">
        <f>HYPERLINK("#CLR_STRESS_LINK!A1","CLR_STRESS_LINK")</f>
        <v/>
      </c>
      <c r="C150" s="156" t="inlineStr">
        <is>
          <t>压力测试关联表</t>
        </is>
      </c>
      <c r="D150" s="178" t="n"/>
    </row>
    <row r="151" ht="16.8" customHeight="1" s="170">
      <c r="B151" s="151">
        <f>HYPERLINK("#CLR_STRESS_RECORD!A1","CLR_STRESS_RECORD")</f>
        <v/>
      </c>
      <c r="C151" s="156" t="inlineStr">
        <is>
          <t>压力测试记录表</t>
        </is>
      </c>
      <c r="D151" s="178" t="n"/>
    </row>
    <row r="152" ht="16.8" customHeight="1" s="170">
      <c r="B152" s="151">
        <f>HYPERLINK("#CLR_STRESS_TEST!A1","CLR_STRESS_TEST")</f>
        <v/>
      </c>
      <c r="C152" s="156" t="inlineStr">
        <is>
          <t>压力测试结果表</t>
        </is>
      </c>
      <c r="D152" s="179" t="n"/>
    </row>
    <row r="153" ht="17" customHeight="1" s="170">
      <c r="B153" s="159">
        <f>HYPERLINK("#CLR_CATALOG!A1","CLR_CATALOG")</f>
        <v/>
      </c>
      <c r="C153" s="145" t="inlineStr">
        <is>
          <t>押品分类目录</t>
        </is>
      </c>
      <c r="D153" s="175" t="inlineStr">
        <is>
          <t>押品分类管理</t>
        </is>
      </c>
    </row>
    <row r="154" ht="17" customHeight="1" s="170">
      <c r="B154" s="159">
        <f>HYPERLINK("#CLR_HANDLE_INFO!A1","CLR_HANDLE_INFO")</f>
        <v/>
      </c>
      <c r="C154" s="145" t="inlineStr">
        <is>
          <t>押品处置信息</t>
        </is>
      </c>
      <c r="D154" s="178" t="n"/>
    </row>
    <row r="155" ht="17" customHeight="1" s="170">
      <c r="B155" s="79">
        <f>HYPERLINK("#CLR_PARAM!A1","CLR_PARAM")</f>
        <v/>
      </c>
      <c r="C155" s="143" t="inlineStr">
        <is>
          <t>押品分类参数</t>
        </is>
      </c>
      <c r="D155" s="179" t="n"/>
    </row>
    <row r="156" ht="17" customHeight="1" s="170">
      <c r="B156" s="79">
        <f>HYPERLINK("#CLR_EVALUATION_APPL!A1","CLR_EVALUATION_APPL")</f>
        <v/>
      </c>
      <c r="C156" s="143" t="inlineStr">
        <is>
          <t>评估申请信息表</t>
        </is>
      </c>
      <c r="D156" s="171" t="inlineStr">
        <is>
          <t>押品估值管理</t>
        </is>
      </c>
    </row>
    <row r="157" ht="17" customHeight="1" s="170">
      <c r="A157" s="2" t="n"/>
      <c r="B157" s="159">
        <f>HYPERLINK("#CLR_EVALUATION_DATA!A1","CLR_EVALUATION_DATA")</f>
        <v/>
      </c>
      <c r="C157" s="145" t="inlineStr">
        <is>
          <t>估值数据记录表</t>
        </is>
      </c>
      <c r="D157" s="178" t="n"/>
    </row>
    <row r="158" ht="17" customHeight="1" s="170">
      <c r="B158" s="159">
        <f>HYPERLINK("#CLR_EVALUATION_RECORD!A1","CLR_EVALUATION_RECORD")</f>
        <v/>
      </c>
      <c r="C158" s="145" t="inlineStr">
        <is>
          <t>评估记录信息表</t>
        </is>
      </c>
      <c r="D158" s="178" t="n"/>
    </row>
    <row r="159" ht="17" customHeight="1" s="170">
      <c r="B159" s="159">
        <f>HYPERLINK("#CLR_PRICEINDEX!A1","CLR_PRICEINDEX")</f>
        <v/>
      </c>
      <c r="C159" s="145" t="inlineStr">
        <is>
          <t>押品市场价格指数表</t>
        </is>
      </c>
      <c r="D159" s="178" t="n"/>
    </row>
    <row r="160" ht="17" customHeight="1" s="170">
      <c r="B160" s="159">
        <f>HYPERLINK("#CLR_SAMPLE_HOUSEING!A1","CLR_SAMPLE_HOUSEING")</f>
        <v/>
      </c>
      <c r="C160" s="145" t="inlineStr">
        <is>
          <t>房屋类押品样本表</t>
        </is>
      </c>
      <c r="D160" s="178" t="n"/>
    </row>
    <row r="161" ht="17" customHeight="1" s="170">
      <c r="B161" s="159">
        <f>HYPERLINK("#CLR_SAMPLE_SELECTED!A1","CLR_SAMPLE_SELECTED")</f>
        <v/>
      </c>
      <c r="C161" s="145" t="inlineStr">
        <is>
          <t>押品房产样本展示表</t>
        </is>
      </c>
      <c r="D161" s="178" t="n"/>
    </row>
    <row r="162" ht="16.8" customHeight="1" s="170">
      <c r="B162" s="160" t="inlineStr">
        <is>
          <t>CLR_ONLINE_RESULT</t>
        </is>
      </c>
      <c r="C162" s="161" t="inlineStr">
        <is>
          <t>线上评估结果</t>
        </is>
      </c>
      <c r="D162" s="178" t="n"/>
    </row>
    <row r="163" ht="16.8" customHeight="1" s="170">
      <c r="B163" s="160" t="inlineStr">
        <is>
          <t>CLR_EVALUATION_APPL_GROUP</t>
        </is>
      </c>
      <c r="C163" s="162" t="inlineStr">
        <is>
          <t>评估申请组</t>
        </is>
      </c>
      <c r="D163" s="178" t="n"/>
    </row>
    <row r="164" ht="17" customHeight="1" s="170">
      <c r="B164" s="159">
        <f>HYPERLINK("#BILL_INFO!A1","BILL_INFO")</f>
        <v/>
      </c>
      <c r="C164" s="145" t="inlineStr">
        <is>
          <t>票据信息表</t>
        </is>
      </c>
      <c r="D164" s="175" t="inlineStr">
        <is>
          <t>押品信息管理</t>
        </is>
      </c>
    </row>
    <row r="165" ht="17" customHeight="1" s="170">
      <c r="B165" s="163">
        <f>HYPERLINK("#BUSINESS_CONTRACT!A1","BUSINESS_CONTRACT")</f>
        <v/>
      </c>
      <c r="C165" s="145" t="inlineStr">
        <is>
          <t>合同信息表</t>
        </is>
      </c>
      <c r="D165" s="178" t="n"/>
    </row>
    <row r="166" ht="17" customHeight="1" s="170">
      <c r="B166" s="79">
        <f>HYPERLINK("#CLR_ASSET_FINANCE!A1","CLR_ASSET_FINANCE")</f>
        <v/>
      </c>
      <c r="C166" s="143" t="inlineStr">
        <is>
          <t>金融类质押品</t>
        </is>
      </c>
      <c r="D166" s="178" t="n"/>
    </row>
    <row r="167" ht="17" customHeight="1" s="170">
      <c r="B167" s="159">
        <f>HYPERLINK("#CLR_ASSET_OTHERS_EQUIPMENT!A1","CLR_ASSET_OTHERS_EQUIPMENT")</f>
        <v/>
      </c>
      <c r="C167" s="145" t="inlineStr">
        <is>
          <t>交通和机械设备</t>
        </is>
      </c>
      <c r="D167" s="178" t="n"/>
    </row>
    <row r="168" ht="17" customHeight="1" s="170">
      <c r="B168" s="159">
        <f>HYPERLINK("#CLR_ASSET_OTHERS_INVENTORY!A1","CLR_ASSET_OTHERS_INVENTORY")</f>
        <v/>
      </c>
      <c r="C168" s="145" t="inlineStr">
        <is>
          <t>实物存货/货权/出口退税账户</t>
        </is>
      </c>
      <c r="D168" s="178" t="n"/>
    </row>
    <row r="169" ht="17" customHeight="1" s="170">
      <c r="B169" s="159">
        <f>HYPERLINK("#CLR_ASSET_OTHERS_RESOURCE!A1","CLR_ASSET_OTHERS_RESOURCE")</f>
        <v/>
      </c>
      <c r="C169" s="145" t="inlineStr">
        <is>
          <t>资源资产</t>
        </is>
      </c>
      <c r="D169" s="178" t="n"/>
    </row>
    <row r="170" ht="17" customHeight="1" s="170">
      <c r="B170" s="159">
        <f>HYPERLINK("#CLR_ASSET_OTHERS_SBC!A1","CLR_ASSET_OTHERS_SBC")</f>
        <v/>
      </c>
      <c r="C170" s="145" t="inlineStr">
        <is>
          <t>特殊建筑构造物</t>
        </is>
      </c>
      <c r="D170" s="178" t="n"/>
    </row>
    <row r="171" ht="17" customHeight="1" s="170">
      <c r="B171" s="159">
        <f>HYPERLINK("#CLR_ASSET_OTHERS_TLPR!A1","CLR_ASSET_OTHERS_TLPR")</f>
        <v/>
      </c>
      <c r="C171" s="145" t="inlineStr">
        <is>
          <t>可转让知识产权中的财产权</t>
        </is>
      </c>
      <c r="D171" s="178" t="n"/>
    </row>
    <row r="172" ht="17" customHeight="1" s="170">
      <c r="B172" s="159">
        <f>HYPERLINK("#CLR_ASSET_REALTY!A1","CLR_ASSET_REALTY")</f>
        <v/>
      </c>
      <c r="C172" s="145" t="inlineStr">
        <is>
          <t>房地产/土地使用权/在建工程</t>
        </is>
      </c>
      <c r="D172" s="178" t="n"/>
    </row>
    <row r="173" ht="17" customHeight="1" s="170">
      <c r="B173" s="159">
        <f>HYPERLINK("#CLR_ASSET_RECEIVABLE!A1","CLR_ASSET_RECEIVABLE")</f>
        <v/>
      </c>
      <c r="C173" s="145" t="inlineStr">
        <is>
          <t>应收账款;交易和收费权)</t>
        </is>
      </c>
      <c r="D173" s="178" t="n"/>
    </row>
    <row r="174" ht="17" customHeight="1" s="170">
      <c r="B174" s="159">
        <f>HYPERLINK("#CLR_CARGO_INFO!A1","CLR_CARGO_INFO")</f>
        <v/>
      </c>
      <c r="C174" s="145" t="inlineStr">
        <is>
          <t>货权信息</t>
        </is>
      </c>
      <c r="D174" s="178" t="n"/>
    </row>
    <row r="175" ht="17" customHeight="1" s="170">
      <c r="B175" s="159">
        <f>HYPERLINK("#CLR_GUASCHEME_RELATIVE!A1","CLR_GUASCHEME_RELATIVE")</f>
        <v/>
      </c>
      <c r="C175" s="145" t="inlineStr">
        <is>
          <t>担保方案和押品关系表</t>
        </is>
      </c>
      <c r="D175" s="178" t="n"/>
    </row>
    <row r="176" ht="17" customHeight="1" s="170">
      <c r="B176" s="79">
        <f>HYPERLINK("#CLR_INFO!A1","CLR_INFO")</f>
        <v/>
      </c>
      <c r="C176" s="143" t="inlineStr">
        <is>
          <t>押品信息</t>
        </is>
      </c>
      <c r="D176" s="178" t="n"/>
    </row>
    <row r="177" ht="17" customHeight="1" s="170">
      <c r="B177" s="79">
        <f>HYPERLINK("#CLR_INSURANCE_RECORD!A1","CLR_INSURANCE_RECORD")</f>
        <v/>
      </c>
      <c r="C177" s="143" t="inlineStr">
        <is>
          <t>押品保险记录</t>
        </is>
      </c>
      <c r="D177" s="178" t="n"/>
    </row>
    <row r="178" ht="17" customHeight="1" s="170">
      <c r="B178" s="164" t="inlineStr">
        <is>
          <t>CLR_INVOICE_RECORD</t>
        </is>
      </c>
      <c r="C178" s="165" t="inlineStr">
        <is>
          <t>押品关联发票包</t>
        </is>
      </c>
      <c r="D178" s="178" t="n"/>
    </row>
    <row r="179" ht="17" customHeight="1" s="170">
      <c r="B179" s="79">
        <f>HYPERLINK("#CLR_NOTARIZATION_RECORD!A1","CLR_NOTARIZATION_RECORD")</f>
        <v/>
      </c>
      <c r="C179" s="143" t="inlineStr">
        <is>
          <t>押品公证记录</t>
        </is>
      </c>
      <c r="D179" s="178" t="n"/>
    </row>
    <row r="180" ht="17" customHeight="1" s="170">
      <c r="B180" s="79">
        <f>HYPERLINK("#CLR_OWNER!A1","CLR_OWNER")</f>
        <v/>
      </c>
      <c r="C180" s="143" t="inlineStr">
        <is>
          <t>押品权属人</t>
        </is>
      </c>
      <c r="D180" s="178" t="n"/>
    </row>
    <row r="181" ht="17" customHeight="1" s="170">
      <c r="B181" s="79">
        <f>HYPERLINK("#CLR_QUALIFICATION_INFO!A1","CLR_QUALIFICATION_INFO")</f>
        <v/>
      </c>
      <c r="C181" s="143" t="inlineStr">
        <is>
          <t>合格性认定信息</t>
        </is>
      </c>
      <c r="D181" s="178" t="n"/>
    </row>
    <row r="182" ht="17" customHeight="1" s="170">
      <c r="B182" s="159">
        <f>HYPERLINK("#GUARANTOR_INFO!A1","GUARANTOR_INFO")</f>
        <v/>
      </c>
      <c r="C182" s="145" t="inlineStr">
        <is>
          <t>担保人信息表(认定无用，暂时保留)</t>
        </is>
      </c>
      <c r="D182" s="178" t="n"/>
    </row>
    <row r="183" ht="17" customHeight="1" s="170">
      <c r="B183" s="159">
        <f>HYPERLINK("#GUARANTY_CONTRACT!A1","GUARANTY_CONTRACT")</f>
        <v/>
      </c>
      <c r="C183" s="145" t="inlineStr">
        <is>
          <t>担保合同</t>
        </is>
      </c>
      <c r="D183" s="178" t="n"/>
    </row>
    <row r="184" ht="17" customHeight="1" s="170">
      <c r="B184" s="157">
        <f>HYPERLINK("#GUARANTY_RELATIVE!A1","GUARANTY_RELATIVE")</f>
        <v/>
      </c>
      <c r="C184" s="143" t="inlineStr">
        <is>
          <t>押品关联关系</t>
        </is>
      </c>
      <c r="D184" s="178" t="n"/>
    </row>
    <row r="185" ht="17" customHeight="1" s="170">
      <c r="B185" s="166" t="inlineStr">
        <is>
          <t>CLR_BELONG</t>
        </is>
      </c>
      <c r="C185" s="161" t="inlineStr">
        <is>
          <t>押品管户人</t>
        </is>
      </c>
      <c r="D185" s="178" t="n"/>
    </row>
    <row r="186" ht="17" customHeight="1" s="170">
      <c r="B186" s="166" t="inlineStr">
        <is>
          <t>CLR_PROPERTY_HOUSE_INFO</t>
        </is>
      </c>
      <c r="C186" s="161" t="inlineStr">
        <is>
          <t>不动产中心房产信息</t>
        </is>
      </c>
      <c r="D186" s="178" t="n"/>
    </row>
    <row r="187" ht="16.8" customHeight="1" s="170">
      <c r="B187" s="167" t="inlineStr">
        <is>
          <t>CLR_PROPERTY_RIGHT_HOLDER_INFO</t>
        </is>
      </c>
      <c r="C187" s="161" t="inlineStr">
        <is>
          <t>权利人信息</t>
        </is>
      </c>
      <c r="D187" s="178" t="n"/>
    </row>
    <row r="188" ht="16.8" customHeight="1" s="170">
      <c r="B188" s="167" t="inlineStr">
        <is>
          <t>CLR_GUARANTY_FILE_UP_RECORD</t>
        </is>
      </c>
      <c r="C188" s="161" t="inlineStr">
        <is>
          <t>文件上传记录</t>
        </is>
      </c>
      <c r="D188" s="178" t="n"/>
    </row>
    <row r="189" hidden="1" ht="16.8" customHeight="1" s="170">
      <c r="B189" s="167" t="inlineStr">
        <is>
          <t>CLR_REGISTER_RECORD_APPL</t>
        </is>
      </c>
      <c r="C189" s="161" t="inlineStr">
        <is>
          <t>线上登记注销审批申请</t>
        </is>
      </c>
      <c r="D189" s="178" t="n"/>
    </row>
    <row r="190" ht="16.8" customHeight="1" s="170">
      <c r="B190" s="160" t="inlineStr">
        <is>
          <t>CLR_OWNERSHIP_CHANGE_INFO</t>
        </is>
      </c>
      <c r="C190" s="161" t="inlineStr">
        <is>
          <t>抵押物权属变化预警</t>
        </is>
      </c>
      <c r="D190" s="178" t="n"/>
    </row>
    <row r="191" hidden="1" ht="17" customHeight="1" s="170">
      <c r="B191" s="168" t="inlineStr">
        <is>
          <t>CLR_RIGHTCERT_TRAPPL_RELA</t>
        </is>
      </c>
      <c r="C191" s="161" t="inlineStr">
        <is>
          <t>权证出入库申请与权证关联关系</t>
        </is>
      </c>
      <c r="D191" s="178" t="n"/>
    </row>
    <row r="192" ht="17" customHeight="1" s="170">
      <c r="B192" s="164" t="inlineStr">
        <is>
          <t>CLR_CORE_REGISTER_INFO</t>
        </is>
      </c>
      <c r="C192" s="169" t="inlineStr">
        <is>
          <t>押品登记簿记录</t>
        </is>
      </c>
      <c r="D192" s="178" t="n"/>
    </row>
    <row r="193" ht="17" customHeight="1" s="170">
      <c r="B193" s="164" t="inlineStr">
        <is>
          <t>CLR_CORE_REGISTER_PACKAGE</t>
        </is>
      </c>
      <c r="C193" s="169" t="inlineStr">
        <is>
          <t>权证包登记簿信息</t>
        </is>
      </c>
      <c r="D193" s="179" t="n"/>
    </row>
    <row r="194" hidden="1" ht="17" customHeight="1" s="170">
      <c r="B194" s="148">
        <f>HYPERLINK("#BAT_TASK_ERROR!A1","BAT_TASK_ERROR")</f>
        <v/>
      </c>
      <c r="C194" s="145" t="inlineStr">
        <is>
          <t>批量错误日志信息表</t>
        </is>
      </c>
      <c r="D194" s="175" t="inlineStr">
        <is>
          <t>批量表</t>
        </is>
      </c>
    </row>
    <row r="195" hidden="1" ht="17" customHeight="1" s="170">
      <c r="B195" s="159">
        <f>HYPERLINK("#BAT_TASK_LOG!A1","BAT_TASK_LOG")</f>
        <v/>
      </c>
      <c r="C195" s="145" t="inlineStr">
        <is>
          <t>批量记录表</t>
        </is>
      </c>
      <c r="D195" s="178" t="n"/>
    </row>
    <row r="196" hidden="1" ht="17" customHeight="1" s="170">
      <c r="B196" s="159">
        <f>HYPERLINK("#BAT_UPLOAD!A1","BAT_UPLOAD")</f>
        <v/>
      </c>
      <c r="C196" s="145" t="inlineStr">
        <is>
          <t>批量上传</t>
        </is>
      </c>
      <c r="D196" s="178" t="n"/>
    </row>
    <row r="197" hidden="1" ht="17" customHeight="1" s="170">
      <c r="B197" s="159">
        <f>HYPERLINK("#USER_DEFINEINFO!A1","USER_DEFINEINFO")</f>
        <v/>
      </c>
      <c r="C197" s="145" t="inlineStr">
        <is>
          <t>用户自定义信息链接表;用户自定义链接</t>
        </is>
      </c>
      <c r="D197" s="179" t="n"/>
    </row>
    <row r="198" ht="17" customHeight="1" s="170">
      <c r="B198" s="168" t="inlineStr">
        <is>
          <t>RISK_MITIGATION_DETAIL</t>
        </is>
      </c>
      <c r="C198" s="174" t="inlineStr">
        <is>
          <t>风险缓释明细</t>
        </is>
      </c>
      <c r="D198" s="175" t="inlineStr">
        <is>
          <t>风险缓释</t>
        </is>
      </c>
    </row>
    <row r="199" ht="17" customHeight="1" s="170">
      <c r="B199" s="168" t="inlineStr">
        <is>
          <t>RISK_MITIGATION_BIZ</t>
        </is>
      </c>
      <c r="C199" s="174" t="inlineStr">
        <is>
          <t>风险缓释业务汇总</t>
        </is>
      </c>
      <c r="D199" s="178" t="n"/>
    </row>
    <row r="200" ht="16.8" customHeight="1" s="170">
      <c r="B200" s="160" t="inlineStr">
        <is>
          <t>RISK_MITIGATION_CLR</t>
        </is>
      </c>
      <c r="C200" s="174" t="inlineStr">
        <is>
          <t>风险缓释押品汇总</t>
        </is>
      </c>
      <c r="D200" s="179" t="n"/>
    </row>
    <row r="201" ht="16" customHeight="1" s="170">
      <c r="B201" s="60" t="inlineStr">
        <is>
          <t>CCMS_PARTYINF</t>
        </is>
      </c>
      <c r="C201" s="83" t="inlineStr">
        <is>
          <t>支付系统—行名行号表</t>
        </is>
      </c>
      <c r="D201" s="176" t="inlineStr">
        <is>
          <t>其他</t>
        </is>
      </c>
    </row>
  </sheetData>
  <mergeCells count="17">
    <mergeCell ref="D115:D117"/>
    <mergeCell ref="D88:D114"/>
    <mergeCell ref="D123:D131"/>
    <mergeCell ref="D83:D85"/>
    <mergeCell ref="D14:D70"/>
    <mergeCell ref="D132:D147"/>
    <mergeCell ref="D78:D82"/>
    <mergeCell ref="D72:D77"/>
    <mergeCell ref="D3:D13"/>
    <mergeCell ref="D118:D122"/>
    <mergeCell ref="D153:D155"/>
    <mergeCell ref="D86:D87"/>
    <mergeCell ref="D194:D197"/>
    <mergeCell ref="D156:D163"/>
    <mergeCell ref="D164:D193"/>
    <mergeCell ref="D198:D200"/>
    <mergeCell ref="D148:D152"/>
  </mergeCells>
  <hyperlinks>
    <hyperlink ref="B3" location="audit_info!A1" display="=HYPERLINK(&quot;#AUDIT_INFO!A1&quot;,&quot;AUDIT_INFO&quot;)"/>
    <hyperlink ref="B89" location="wf_opinion!A1" display="wf_opinion"/>
    <hyperlink ref="B106" location="flow_model_relative!A1" display="FLOW_MODEL_RELATIVE"/>
    <hyperlink ref="B162" location="CLR_ONLINE_RESULT!A1" display="CLR_ONLINE_RESULT"/>
    <hyperlink ref="B163" location="CLR_EVALUATION_APPL_RELA!A1" display="CLR_EVALUATION_APPL_GROUP"/>
    <hyperlink ref="B178" location="CLR_INVOICE_RECORD!A1" display="CLR_INVOICE_RECORD"/>
    <hyperlink ref="B185" location="CLR_BELONG!A1" display="CLR_BELONG"/>
    <hyperlink ref="B186" location="CLR_PROPERTY_HOUSE_INFO!A1" display="CLR_PROPERTY_HOUSE_INFO"/>
    <hyperlink ref="B187" location="CLR_PROPERTY_RIGHT_HOLDER_INFO!A1" display="CLR_PROPERTY_RIGHT_HOLDER_INFO"/>
    <hyperlink ref="B188" location="CLR_GUARANTY_FILE_UP_RECORD!A1" display="CLR_GUARANTY_FILE_UP_RECORD"/>
    <hyperlink ref="B189" location="CLR_REGISTER_RECORD_APPL!A1" display="CLR_REGISTER_RECORD_APPL"/>
    <hyperlink ref="B190" location="CLR_OWNERSHIP_CHANGE_INFO!A1" display="CLR_OWNERSHIP_CHANGE_INFO"/>
    <hyperlink ref="B191" location="CLR_RIGHTCERT_TRAPPL_RELA!A1" display="CLR_RIGHTCERT_TRAPPL_RELA"/>
    <hyperlink ref="B192" location="CLR_CORE_REGISTER_INFO!A1" display="CLR_CORE_REGISTER_INFO"/>
    <hyperlink ref="B193" location="CLR_CORE_REGISTER_PACKAGE!A1" display="CLR_CORE_REGISTER_PACKAGE"/>
    <hyperlink ref="B198" location="CLR_RISK_MITIGATION_DETAIL!A1" display="RISK_MITIGATION_DETAIL"/>
    <hyperlink ref="B199" location="RISK_MITIGATION_BIZ!A1" display="RISK_MITIGATION_BIZ"/>
    <hyperlink ref="B200" location="RISK_MITIGATION_CLR!A1" display="RISK_MITIGATION_CLR"/>
  </hyperlinks>
  <pageMargins left="0.75" right="0.75" top="1" bottom="1" header="0.5" footer="0.5"/>
  <pageSetup orientation="portrait" paperSize="1" horizontalDpi="300" verticalDpi="300"/>
</worksheet>
</file>

<file path=xl/worksheets/sheet3.xml><?xml version="1.0" encoding="utf-8"?>
<worksheet xmlns="http://schemas.openxmlformats.org/spreadsheetml/2006/main">
  <sheetPr>
    <outlinePr summaryBelow="1" summaryRight="1"/>
    <pageSetUpPr/>
  </sheetPr>
  <dimension ref="A1:I2665"/>
  <sheetViews>
    <sheetView topLeftCell="A56" workbookViewId="0">
      <selection activeCell="B57" sqref="B57"/>
    </sheetView>
  </sheetViews>
  <sheetFormatPr baseColWidth="8" defaultColWidth="9.142857142857141" defaultRowHeight="15.2"/>
  <cols>
    <col width="39.2142857142857" customWidth="1" style="170" min="1" max="1"/>
    <col width="31.7857142857143" customWidth="1" style="170" min="2" max="2"/>
  </cols>
  <sheetData>
    <row r="1">
      <c r="A1" t="inlineStr">
        <is>
          <t>AUDIT_INFO</t>
        </is>
      </c>
      <c r="B1" t="inlineStr">
        <is>
          <t>审计信息</t>
        </is>
      </c>
    </row>
    <row r="2">
      <c r="A2" t="inlineStr">
        <is>
          <t>APPRAISAL_AGENCY</t>
        </is>
      </c>
      <c r="B2" t="inlineStr">
        <is>
          <t>评估机构</t>
        </is>
      </c>
    </row>
    <row r="3">
      <c r="A3" t="inlineStr">
        <is>
          <t>APPRAISAL_AGENCY_APPLY</t>
        </is>
      </c>
      <c r="B3" t="inlineStr">
        <is>
          <t>评估机构申请信息表</t>
        </is>
      </c>
    </row>
    <row r="4">
      <c r="A4" t="inlineStr">
        <is>
          <t>APPRAISAL_AGENCY_APPRAISE</t>
        </is>
      </c>
      <c r="B4" t="inlineStr">
        <is>
          <t>评价调查信息管理</t>
        </is>
      </c>
    </row>
    <row r="5">
      <c r="A5" t="inlineStr">
        <is>
          <t>APPRAISAL_AGENCY_COOPERATION</t>
        </is>
      </c>
      <c r="B5" t="inlineStr">
        <is>
          <t>评估机构合作协议</t>
        </is>
      </c>
    </row>
    <row r="6">
      <c r="A6" t="inlineStr">
        <is>
          <t>APPRAISAL_AGENCY_EVENT</t>
        </is>
      </c>
      <c r="B6" t="inlineStr">
        <is>
          <t>评估机构事件表</t>
        </is>
      </c>
    </row>
    <row r="7">
      <c r="A7" t="inlineStr">
        <is>
          <t>APPRAISAL_AGENCY_EXPENSES</t>
        </is>
      </c>
      <c r="B7" t="inlineStr">
        <is>
          <t>评估机构费用</t>
        </is>
      </c>
    </row>
    <row r="8">
      <c r="A8" t="inlineStr">
        <is>
          <t>APPRAISAL_AGENCY_FILE</t>
        </is>
      </c>
      <c r="B8" t="inlineStr">
        <is>
          <t>评级机构附件</t>
        </is>
      </c>
    </row>
    <row r="9">
      <c r="A9" t="inlineStr">
        <is>
          <t>APPRAISAL_AGENCY_INFORMATION</t>
        </is>
      </c>
      <c r="B9" t="inlineStr">
        <is>
          <t>评估公司相关信息</t>
        </is>
      </c>
    </row>
    <row r="10">
      <c r="A10" t="inlineStr">
        <is>
          <t>APPRAISAL_AGENCY_QUALIFICATION</t>
        </is>
      </c>
      <c r="B10" t="inlineStr">
        <is>
          <t>评估机构资质表</t>
        </is>
      </c>
    </row>
    <row r="11">
      <c r="A11" t="inlineStr">
        <is>
          <t>APPRAISAL_APPLY_RELATIVE</t>
        </is>
      </c>
      <c r="B11" t="inlineStr">
        <is>
          <t>评级机构申请关联表</t>
        </is>
      </c>
    </row>
    <row r="12">
      <c r="A12" t="inlineStr">
        <is>
          <t>CLR_REGISTER_RECORD</t>
        </is>
      </c>
      <c r="B12" t="inlineStr">
        <is>
          <t>抵质押登记记录</t>
        </is>
      </c>
    </row>
    <row r="13">
      <c r="A13" t="inlineStr">
        <is>
          <t>CLR_COMMODITY_MARKET</t>
        </is>
      </c>
      <c r="B13" t="inlineStr">
        <is>
          <t>大宗商品盯市数据表</t>
        </is>
      </c>
    </row>
    <row r="14">
      <c r="A14" t="inlineStr">
        <is>
          <t>CLR_FUND_MARKET</t>
        </is>
      </c>
      <c r="B14" t="inlineStr">
        <is>
          <t>基金盯市数据表</t>
        </is>
      </c>
    </row>
    <row r="15">
      <c r="A15" t="inlineStr">
        <is>
          <t>CLR_FUND_MARKET_DETAIL</t>
        </is>
      </c>
      <c r="B15" t="inlineStr">
        <is>
          <t>基金盯市数据明细表</t>
        </is>
      </c>
    </row>
    <row r="16">
      <c r="A16" t="inlineStr">
        <is>
          <t>CLR_MATERIAL_CATALOG</t>
        </is>
      </c>
      <c r="B16" t="inlineStr">
        <is>
          <t>商品类别信息表</t>
        </is>
      </c>
    </row>
    <row r="17">
      <c r="A17" t="inlineStr">
        <is>
          <t>CLR_STOCK_MARKET</t>
        </is>
      </c>
      <c r="B17" t="inlineStr">
        <is>
          <t>股票盯市数据表</t>
        </is>
      </c>
    </row>
    <row r="18">
      <c r="A18" t="inlineStr">
        <is>
          <t>CLR_STOCK_MARKET_DETAIL</t>
        </is>
      </c>
      <c r="B18" t="inlineStr">
        <is>
          <t>股票盯市数据明细表</t>
        </is>
      </c>
    </row>
    <row r="19">
      <c r="A19" t="inlineStr">
        <is>
          <t>CLR_RIGHTCERT_INFO</t>
        </is>
      </c>
      <c r="B19" t="inlineStr">
        <is>
          <t>抵质押权证信息</t>
        </is>
      </c>
    </row>
    <row r="20">
      <c r="A20" t="inlineStr">
        <is>
          <t>CLR_RIGHTCERT_PACKAGE_INFO</t>
        </is>
      </c>
      <c r="B20" t="inlineStr">
        <is>
          <t>权证封包信息</t>
        </is>
      </c>
    </row>
    <row r="21">
      <c r="A21" t="inlineStr">
        <is>
          <t>CLR_RIGHTCERT_TRANRECORD</t>
        </is>
      </c>
      <c r="B21" t="inlineStr">
        <is>
          <t>权证出入库记录</t>
        </is>
      </c>
    </row>
    <row r="22">
      <c r="A22" t="inlineStr">
        <is>
          <t>CLR_RIGHTCERT_TRAPPL</t>
        </is>
      </c>
      <c r="B22" t="inlineStr">
        <is>
          <t>权证出入库申请</t>
        </is>
      </c>
    </row>
    <row r="23">
      <c r="A23" t="inlineStr">
        <is>
          <t>CLR_STRESS_BU_DETAIL</t>
        </is>
      </c>
      <c r="B23" t="inlineStr">
        <is>
          <t>压力测试业务详情</t>
        </is>
      </c>
    </row>
    <row r="24">
      <c r="A24" t="inlineStr">
        <is>
          <t>CLR_STRESS_CLR_DETAIL</t>
        </is>
      </c>
      <c r="B24" t="inlineStr">
        <is>
          <t>压力测试押品详情</t>
        </is>
      </c>
    </row>
    <row r="25">
      <c r="A25" t="inlineStr">
        <is>
          <t>CLR_STRESS_LINK</t>
        </is>
      </c>
      <c r="B25" t="inlineStr">
        <is>
          <t>压力测试关联表</t>
        </is>
      </c>
    </row>
    <row r="26">
      <c r="A26" t="inlineStr">
        <is>
          <t>CLR_STRESS_RECORD</t>
        </is>
      </c>
      <c r="B26" t="inlineStr">
        <is>
          <t>压力测试记录表</t>
        </is>
      </c>
    </row>
    <row r="27">
      <c r="A27" t="inlineStr">
        <is>
          <t>CLR_STRESS_TEST</t>
        </is>
      </c>
      <c r="B27" t="inlineStr">
        <is>
          <t>压力测试结果表</t>
        </is>
      </c>
    </row>
    <row r="28">
      <c r="A28" t="inlineStr">
        <is>
          <t>CLR_CATALOG</t>
        </is>
      </c>
      <c r="B28" t="inlineStr">
        <is>
          <t>押品分类目录</t>
        </is>
      </c>
    </row>
    <row r="29">
      <c r="A29" t="inlineStr">
        <is>
          <t>CLR_HANDLE_INFO</t>
        </is>
      </c>
      <c r="B29" t="inlineStr">
        <is>
          <t>押品处置信息</t>
        </is>
      </c>
    </row>
    <row r="30">
      <c r="A30" t="inlineStr">
        <is>
          <t>CLR_PARAM</t>
        </is>
      </c>
      <c r="B30" t="inlineStr">
        <is>
          <t>押品分类参数</t>
        </is>
      </c>
    </row>
    <row r="31">
      <c r="A31" t="inlineStr">
        <is>
          <t>CLR_EVALUATION_APPL</t>
        </is>
      </c>
      <c r="B31" t="inlineStr">
        <is>
          <t>评估申请信息表</t>
        </is>
      </c>
    </row>
    <row r="32">
      <c r="A32" t="inlineStr">
        <is>
          <t>CLR_EVALUATION_DATA</t>
        </is>
      </c>
      <c r="B32" t="inlineStr">
        <is>
          <t>估值数据记录表</t>
        </is>
      </c>
    </row>
    <row r="33">
      <c r="A33" t="inlineStr">
        <is>
          <t>CLR_EVALUATION_RECORD</t>
        </is>
      </c>
      <c r="B33" t="inlineStr">
        <is>
          <t>评估记录信息表</t>
        </is>
      </c>
    </row>
    <row r="34">
      <c r="A34" t="inlineStr">
        <is>
          <t>CLR_PRICEINDEX</t>
        </is>
      </c>
      <c r="B34" t="inlineStr">
        <is>
          <t>押品市场价格指数表</t>
        </is>
      </c>
    </row>
    <row r="35">
      <c r="A35" t="inlineStr">
        <is>
          <t>CLR_SAMPLE_HOUSEING</t>
        </is>
      </c>
      <c r="B35" t="inlineStr">
        <is>
          <t>房屋类押品样本表</t>
        </is>
      </c>
    </row>
    <row r="36">
      <c r="A36" t="inlineStr">
        <is>
          <t>CLR_SAMPLE_SELECTED</t>
        </is>
      </c>
      <c r="B36" t="inlineStr">
        <is>
          <t>押品房产样本展示表</t>
        </is>
      </c>
    </row>
    <row r="37">
      <c r="A37" t="inlineStr">
        <is>
          <t>CLR_ONLINE_RESULT</t>
        </is>
      </c>
      <c r="B37" t="inlineStr">
        <is>
          <t>线上评估结果</t>
        </is>
      </c>
    </row>
    <row r="38">
      <c r="A38" t="inlineStr">
        <is>
          <t>CLR_EVALUATION_APPL_GROUP</t>
        </is>
      </c>
      <c r="B38" t="inlineStr">
        <is>
          <t>评估申请组</t>
        </is>
      </c>
    </row>
    <row r="39">
      <c r="A39" t="inlineStr">
        <is>
          <t>BILL_INFO</t>
        </is>
      </c>
      <c r="B39" t="inlineStr">
        <is>
          <t>票据信息表</t>
        </is>
      </c>
    </row>
    <row r="40">
      <c r="A40" t="inlineStr">
        <is>
          <t>BUSINESS_CONTRACT</t>
        </is>
      </c>
      <c r="B40" t="inlineStr">
        <is>
          <t>合同信息表</t>
        </is>
      </c>
    </row>
    <row r="41">
      <c r="A41" t="inlineStr">
        <is>
          <t>CLR_ASSET_FINANCE</t>
        </is>
      </c>
      <c r="B41" t="inlineStr">
        <is>
          <t>金融类质押品</t>
        </is>
      </c>
    </row>
    <row r="42">
      <c r="A42" t="inlineStr">
        <is>
          <t>CLR_ASSET_OTHERS_EQUIPMENT</t>
        </is>
      </c>
      <c r="B42" t="inlineStr">
        <is>
          <t>交通和机械设备</t>
        </is>
      </c>
    </row>
    <row r="43">
      <c r="A43" t="inlineStr">
        <is>
          <t>CLR_ASSET_OTHERS_INVENTORY</t>
        </is>
      </c>
      <c r="B43" t="inlineStr">
        <is>
          <t>实物存货/货权/出口退税账户</t>
        </is>
      </c>
    </row>
    <row r="44">
      <c r="A44" t="inlineStr">
        <is>
          <t>CLR_ASSET_OTHERS_RESOURCE</t>
        </is>
      </c>
      <c r="B44" t="inlineStr">
        <is>
          <t>资源资产</t>
        </is>
      </c>
    </row>
    <row r="45">
      <c r="A45" t="inlineStr">
        <is>
          <t>CLR_ASSET_OTHERS_SBC</t>
        </is>
      </c>
      <c r="B45" t="inlineStr">
        <is>
          <t>特殊建筑构造物</t>
        </is>
      </c>
    </row>
    <row r="46">
      <c r="A46" t="inlineStr">
        <is>
          <t>CLR_ASSET_OTHERS_TLPR</t>
        </is>
      </c>
      <c r="B46" t="inlineStr">
        <is>
          <t>可转让知识产权中的财产权</t>
        </is>
      </c>
    </row>
    <row r="47">
      <c r="A47" t="inlineStr">
        <is>
          <t>CLR_ASSET_REALTY</t>
        </is>
      </c>
      <c r="B47" t="inlineStr">
        <is>
          <t>房地产/土地使用权/在建工程</t>
        </is>
      </c>
    </row>
    <row r="48">
      <c r="A48" t="inlineStr">
        <is>
          <t>CLR_ASSET_RECEIVABLE</t>
        </is>
      </c>
      <c r="B48" t="inlineStr">
        <is>
          <t>应收账款;交易和收费权)</t>
        </is>
      </c>
    </row>
    <row r="49">
      <c r="A49" t="inlineStr">
        <is>
          <t>CLR_CARGO_INFO</t>
        </is>
      </c>
      <c r="B49" t="inlineStr">
        <is>
          <t>货权信息</t>
        </is>
      </c>
    </row>
    <row r="50">
      <c r="A50" t="inlineStr">
        <is>
          <t>CLR_GUASCHEME_RELATIVE</t>
        </is>
      </c>
      <c r="B50" t="inlineStr">
        <is>
          <t>担保方案和押品关系表</t>
        </is>
      </c>
    </row>
    <row r="51">
      <c r="A51" t="inlineStr">
        <is>
          <t>CLR_INFO</t>
        </is>
      </c>
      <c r="B51" t="inlineStr">
        <is>
          <t>押品信息</t>
        </is>
      </c>
    </row>
    <row r="52">
      <c r="A52" t="inlineStr">
        <is>
          <t>CLR_INSURANCE_RECORD</t>
        </is>
      </c>
      <c r="B52" t="inlineStr">
        <is>
          <t>押品保险记录</t>
        </is>
      </c>
    </row>
    <row r="53">
      <c r="A53" t="inlineStr">
        <is>
          <t>CLR_INVOICE_RECORD</t>
        </is>
      </c>
      <c r="B53" t="inlineStr">
        <is>
          <t>押品关联发票包</t>
        </is>
      </c>
    </row>
    <row r="54">
      <c r="A54" t="inlineStr">
        <is>
          <t>CLR_NOTARIZATION_RECORD</t>
        </is>
      </c>
      <c r="B54" t="inlineStr">
        <is>
          <t>押品公证记录</t>
        </is>
      </c>
    </row>
    <row r="55">
      <c r="A55" t="inlineStr">
        <is>
          <t>CLR_OWNER</t>
        </is>
      </c>
      <c r="B55" t="inlineStr">
        <is>
          <t>押品权属人</t>
        </is>
      </c>
    </row>
    <row r="56">
      <c r="A56" t="inlineStr">
        <is>
          <t>CLR_QUALIFICATION_INFO</t>
        </is>
      </c>
      <c r="B56" t="inlineStr">
        <is>
          <t>合格性认定信息</t>
        </is>
      </c>
    </row>
    <row r="57">
      <c r="A57" t="inlineStr">
        <is>
          <t>GUARANTOR_INFO</t>
        </is>
      </c>
      <c r="B57" t="inlineStr">
        <is>
          <t>担保人信息表(认定无用，暂时保留)</t>
        </is>
      </c>
    </row>
    <row r="58">
      <c r="A58" t="inlineStr">
        <is>
          <t>GUARANTY_CONTRACT</t>
        </is>
      </c>
      <c r="B58" t="inlineStr">
        <is>
          <t>担保合同</t>
        </is>
      </c>
    </row>
    <row r="59">
      <c r="A59" t="inlineStr">
        <is>
          <t>GUARANTY_RELATIVE</t>
        </is>
      </c>
      <c r="B59" t="inlineStr">
        <is>
          <t>押品关联关系</t>
        </is>
      </c>
    </row>
    <row r="60">
      <c r="A60" t="inlineStr">
        <is>
          <t>CLR_BELONG</t>
        </is>
      </c>
      <c r="B60" t="inlineStr">
        <is>
          <t>押品管户人</t>
        </is>
      </c>
    </row>
    <row r="61">
      <c r="A61" t="inlineStr">
        <is>
          <t>CLR_PROPERTY_HOUSE_INFO</t>
        </is>
      </c>
      <c r="B61" t="inlineStr">
        <is>
          <t>不动产中心房产信息</t>
        </is>
      </c>
    </row>
    <row r="62">
      <c r="A62" t="inlineStr">
        <is>
          <t>CLR_PROPERTY_RIGHT_HOLDER_INFO</t>
        </is>
      </c>
      <c r="B62" t="inlineStr">
        <is>
          <t>权利人信息</t>
        </is>
      </c>
    </row>
    <row r="63">
      <c r="A63" t="inlineStr">
        <is>
          <t>CLR_GUARANTY_FILE_UP_RECORD</t>
        </is>
      </c>
      <c r="B63" t="inlineStr">
        <is>
          <t>文件上传记录</t>
        </is>
      </c>
    </row>
    <row r="64">
      <c r="A64" t="inlineStr">
        <is>
          <t>CLR_OWNERSHIP_CHANGE_INFO</t>
        </is>
      </c>
      <c r="B64" t="inlineStr">
        <is>
          <t>抵押物权属变化预警</t>
        </is>
      </c>
    </row>
    <row r="65">
      <c r="A65" t="inlineStr">
        <is>
          <t>CLR_CORE_REGISTER_INFO</t>
        </is>
      </c>
      <c r="B65" t="inlineStr">
        <is>
          <t>押品登记簿记录</t>
        </is>
      </c>
    </row>
    <row r="66">
      <c r="A66" t="inlineStr">
        <is>
          <t>CLR_CORE_REGISTER_PACKAGE</t>
        </is>
      </c>
      <c r="B66" t="inlineStr">
        <is>
          <t>权证包登记簿信息</t>
        </is>
      </c>
    </row>
    <row r="67">
      <c r="A67" t="inlineStr">
        <is>
          <t>RISK_MITIGATION_DETAIL</t>
        </is>
      </c>
      <c r="B67" t="inlineStr">
        <is>
          <t>风险缓释明细</t>
        </is>
      </c>
    </row>
    <row r="68">
      <c r="A68" t="inlineStr">
        <is>
          <t>RISK_MITIGATION_BIZ</t>
        </is>
      </c>
      <c r="B68" t="inlineStr">
        <is>
          <t>风险缓释业务汇总</t>
        </is>
      </c>
    </row>
    <row r="69">
      <c r="A69" t="inlineStr">
        <is>
          <t>RISK_MITIGATION_CLR</t>
        </is>
      </c>
      <c r="B69" t="inlineStr">
        <is>
          <t>风险缓释押品汇总</t>
        </is>
      </c>
    </row>
    <row r="70">
      <c r="A70" t="inlineStr">
        <is>
          <t>CCMS_PARTYINF</t>
        </is>
      </c>
      <c r="B70" t="inlineStr">
        <is>
          <t>支付系统—行名行号表</t>
        </is>
      </c>
    </row>
    <row r="71">
      <c r="A71" t="inlineStr">
        <is>
          <t>审计信息</t>
        </is>
      </c>
      <c r="B71" t="inlineStr">
        <is>
          <t>AUDIT_INFO</t>
        </is>
      </c>
      <c r="C71" t="inlineStr">
        <is>
          <t>SERIALNO</t>
        </is>
      </c>
      <c r="D71" t="inlineStr">
        <is>
          <t>VARCHAR(32)</t>
        </is>
      </c>
      <c r="E71" t="inlineStr">
        <is>
          <t>NO</t>
        </is>
      </c>
      <c r="F71" t="inlineStr">
        <is>
          <t>流水号</t>
        </is>
      </c>
      <c r="H71" t="inlineStr">
        <is>
          <t>VARCHAR</t>
        </is>
      </c>
      <c r="I71" t="inlineStr">
        <is>
          <t>32</t>
        </is>
      </c>
    </row>
    <row r="72">
      <c r="A72" t="inlineStr">
        <is>
          <t>审计信息</t>
        </is>
      </c>
      <c r="B72" t="inlineStr">
        <is>
          <t>AUDIT_INFO</t>
        </is>
      </c>
      <c r="C72" t="inlineStr">
        <is>
          <t>OPERATOR</t>
        </is>
      </c>
      <c r="D72" t="inlineStr">
        <is>
          <t>VARCHAR(80)</t>
        </is>
      </c>
      <c r="E72" t="inlineStr">
        <is>
          <t>YES</t>
        </is>
      </c>
      <c r="F72" t="inlineStr">
        <is>
          <t>操作人</t>
        </is>
      </c>
      <c r="H72" t="inlineStr">
        <is>
          <t>VARCHAR</t>
        </is>
      </c>
      <c r="I72" t="inlineStr">
        <is>
          <t>80</t>
        </is>
      </c>
    </row>
    <row r="73">
      <c r="A73" t="inlineStr">
        <is>
          <t>审计信息</t>
        </is>
      </c>
      <c r="B73" t="inlineStr">
        <is>
          <t>AUDIT_INFO</t>
        </is>
      </c>
      <c r="C73" t="inlineStr">
        <is>
          <t>SERVERADDRESS</t>
        </is>
      </c>
      <c r="D73" t="inlineStr">
        <is>
          <t>VARCHAR(80)</t>
        </is>
      </c>
      <c r="E73" t="inlineStr">
        <is>
          <t>YES</t>
        </is>
      </c>
      <c r="F73" t="inlineStr">
        <is>
          <t>服务器地址</t>
        </is>
      </c>
      <c r="H73" t="inlineStr">
        <is>
          <t>VARCHAR</t>
        </is>
      </c>
      <c r="I73" t="inlineStr">
        <is>
          <t>80</t>
        </is>
      </c>
    </row>
    <row r="74">
      <c r="A74" t="inlineStr">
        <is>
          <t>审计信息</t>
        </is>
      </c>
      <c r="B74" t="inlineStr">
        <is>
          <t>AUDIT_INFO</t>
        </is>
      </c>
      <c r="C74" t="inlineStr">
        <is>
          <t>CLIENTADDRESS</t>
        </is>
      </c>
      <c r="D74" t="inlineStr">
        <is>
          <t>VARCHAR(80)</t>
        </is>
      </c>
      <c r="E74" t="inlineStr">
        <is>
          <t>YES</t>
        </is>
      </c>
      <c r="F74" t="inlineStr">
        <is>
          <t>客户端地址</t>
        </is>
      </c>
      <c r="H74" t="inlineStr">
        <is>
          <t>VARCHAR</t>
        </is>
      </c>
      <c r="I74" t="inlineStr">
        <is>
          <t>80</t>
        </is>
      </c>
    </row>
    <row r="75">
      <c r="A75" t="inlineStr">
        <is>
          <t>审计信息</t>
        </is>
      </c>
      <c r="B75" t="inlineStr">
        <is>
          <t>AUDIT_INFO</t>
        </is>
      </c>
      <c r="C75" t="inlineStr">
        <is>
          <t>APPLICATION</t>
        </is>
      </c>
      <c r="D75" t="inlineStr">
        <is>
          <t>VARCHAR(200)</t>
        </is>
      </c>
      <c r="E75" t="inlineStr">
        <is>
          <t>YES</t>
        </is>
      </c>
      <c r="F75" t="inlineStr">
        <is>
          <t>应用</t>
        </is>
      </c>
      <c r="H75" t="inlineStr">
        <is>
          <t>VARCHAR</t>
        </is>
      </c>
      <c r="I75" t="inlineStr">
        <is>
          <t>200</t>
        </is>
      </c>
    </row>
    <row r="76">
      <c r="A76" t="inlineStr">
        <is>
          <t>审计信息</t>
        </is>
      </c>
      <c r="B76" t="inlineStr">
        <is>
          <t>AUDIT_INFO</t>
        </is>
      </c>
      <c r="C76" t="inlineStr">
        <is>
          <t>ADDITIONALINFO</t>
        </is>
      </c>
      <c r="D76" t="inlineStr">
        <is>
          <t>VARCHAR(200)</t>
        </is>
      </c>
      <c r="E76" t="inlineStr">
        <is>
          <t>YES</t>
        </is>
      </c>
      <c r="F76" t="inlineStr">
        <is>
          <t>附加信息</t>
        </is>
      </c>
      <c r="H76" t="inlineStr">
        <is>
          <t>VARCHAR</t>
        </is>
      </c>
      <c r="I76" t="inlineStr">
        <is>
          <t>200</t>
        </is>
      </c>
    </row>
    <row r="77">
      <c r="A77" t="inlineStr">
        <is>
          <t>审计信息</t>
        </is>
      </c>
      <c r="B77" t="inlineStr">
        <is>
          <t>AUDIT_INFO</t>
        </is>
      </c>
      <c r="C77" t="inlineStr">
        <is>
          <t>RECORDTYPE</t>
        </is>
      </c>
      <c r="D77" t="inlineStr">
        <is>
          <t>VARCHAR(32)</t>
        </is>
      </c>
      <c r="E77" t="inlineStr">
        <is>
          <t>YES</t>
        </is>
      </c>
      <c r="F77" t="inlineStr">
        <is>
          <t>记录类型</t>
        </is>
      </c>
      <c r="H77" t="inlineStr">
        <is>
          <t>VARCHAR</t>
        </is>
      </c>
      <c r="I77" t="inlineStr">
        <is>
          <t>32</t>
        </is>
      </c>
    </row>
    <row r="78">
      <c r="A78" t="inlineStr">
        <is>
          <t>审计信息</t>
        </is>
      </c>
      <c r="B78" t="inlineStr">
        <is>
          <t>AUDIT_INFO</t>
        </is>
      </c>
      <c r="C78" t="inlineStr">
        <is>
          <t>RECORDACTION</t>
        </is>
      </c>
      <c r="D78" t="inlineStr">
        <is>
          <t>VARCHAR(32)</t>
        </is>
      </c>
      <c r="E78" t="inlineStr">
        <is>
          <t>YES</t>
        </is>
      </c>
      <c r="F78" t="inlineStr">
        <is>
          <t>记录动作</t>
        </is>
      </c>
      <c r="H78" t="inlineStr">
        <is>
          <t>VARCHAR</t>
        </is>
      </c>
      <c r="I78" t="inlineStr">
        <is>
          <t>32</t>
        </is>
      </c>
    </row>
    <row r="79">
      <c r="A79" t="inlineStr">
        <is>
          <t>审计信息</t>
        </is>
      </c>
      <c r="B79" t="inlineStr">
        <is>
          <t>AUDIT_INFO</t>
        </is>
      </c>
      <c r="C79" t="inlineStr">
        <is>
          <t>RECORDTARGET</t>
        </is>
      </c>
      <c r="D79" t="inlineStr">
        <is>
          <t>VARCHAR(200)</t>
        </is>
      </c>
      <c r="E79" t="inlineStr">
        <is>
          <t>YES</t>
        </is>
      </c>
      <c r="F79" t="inlineStr">
        <is>
          <t>记录目标</t>
        </is>
      </c>
      <c r="H79" t="inlineStr">
        <is>
          <t>VARCHAR</t>
        </is>
      </c>
      <c r="I79" t="inlineStr">
        <is>
          <t>200</t>
        </is>
      </c>
    </row>
    <row r="80">
      <c r="A80" t="inlineStr">
        <is>
          <t>审计信息</t>
        </is>
      </c>
      <c r="B80" t="inlineStr">
        <is>
          <t>AUDIT_INFO</t>
        </is>
      </c>
      <c r="C80" t="inlineStr">
        <is>
          <t>AUDITTIME</t>
        </is>
      </c>
      <c r="D80" t="inlineStr">
        <is>
          <t>VARCHAR(32)</t>
        </is>
      </c>
      <c r="E80" t="inlineStr">
        <is>
          <t>YES</t>
        </is>
      </c>
      <c r="F80" t="inlineStr">
        <is>
          <t>修改时间</t>
        </is>
      </c>
      <c r="H80" t="inlineStr">
        <is>
          <t>VARCHAR</t>
        </is>
      </c>
      <c r="I80" t="inlineStr">
        <is>
          <t>32</t>
        </is>
      </c>
    </row>
    <row r="81">
      <c r="A81" t="inlineStr">
        <is>
          <t>审计信息</t>
        </is>
      </c>
      <c r="B81" t="inlineStr">
        <is>
          <t>AUDIT_INFO</t>
        </is>
      </c>
      <c r="C81" t="inlineStr">
        <is>
          <t>INPUTORGID</t>
        </is>
      </c>
      <c r="D81" t="inlineStr">
        <is>
          <t>VARCHAR(32)</t>
        </is>
      </c>
      <c r="E81" t="inlineStr">
        <is>
          <t>YES</t>
        </is>
      </c>
      <c r="F81" t="inlineStr">
        <is>
          <t>登记机构</t>
        </is>
      </c>
      <c r="H81" t="inlineStr">
        <is>
          <t>VARCHAR</t>
        </is>
      </c>
      <c r="I81" t="inlineStr">
        <is>
          <t>32</t>
        </is>
      </c>
    </row>
    <row r="82">
      <c r="A82" t="inlineStr">
        <is>
          <t>审计信息</t>
        </is>
      </c>
      <c r="B82" t="inlineStr">
        <is>
          <t>AUDIT_INFO</t>
        </is>
      </c>
      <c r="C82" t="inlineStr">
        <is>
          <t>INPUTUSERID</t>
        </is>
      </c>
      <c r="D82" t="inlineStr">
        <is>
          <t>VARCHAR(32)</t>
        </is>
      </c>
      <c r="E82" t="inlineStr">
        <is>
          <t>YES</t>
        </is>
      </c>
      <c r="F82" t="inlineStr">
        <is>
          <t>登记人</t>
        </is>
      </c>
      <c r="H82" t="inlineStr">
        <is>
          <t>VARCHAR</t>
        </is>
      </c>
      <c r="I82" t="inlineStr">
        <is>
          <t>32</t>
        </is>
      </c>
    </row>
    <row r="83">
      <c r="A83" t="inlineStr">
        <is>
          <t>审计信息</t>
        </is>
      </c>
      <c r="B83" t="inlineStr">
        <is>
          <t>AUDIT_INFO</t>
        </is>
      </c>
      <c r="C83" t="inlineStr">
        <is>
          <t>INPUTDATE</t>
        </is>
      </c>
      <c r="D83" t="inlineStr">
        <is>
          <t>VARCHAR(18)</t>
        </is>
      </c>
      <c r="E83" t="inlineStr">
        <is>
          <t>YES</t>
        </is>
      </c>
      <c r="F83" t="inlineStr">
        <is>
          <t>登记日期</t>
        </is>
      </c>
      <c r="H83" t="inlineStr">
        <is>
          <t>VARCHAR</t>
        </is>
      </c>
      <c r="I83" t="inlineStr">
        <is>
          <t>18</t>
        </is>
      </c>
    </row>
    <row r="84">
      <c r="A84" t="inlineStr">
        <is>
          <t>审计信息</t>
        </is>
      </c>
      <c r="B84" t="inlineStr">
        <is>
          <t>AUDIT_INFO</t>
        </is>
      </c>
      <c r="C84" t="inlineStr">
        <is>
          <t>UPDATEORGID</t>
        </is>
      </c>
      <c r="D84" t="inlineStr">
        <is>
          <t>VARCHAR(32)</t>
        </is>
      </c>
      <c r="E84" t="inlineStr">
        <is>
          <t>YES</t>
        </is>
      </c>
      <c r="F84" t="inlineStr">
        <is>
          <t>更新机构</t>
        </is>
      </c>
      <c r="H84" t="inlineStr">
        <is>
          <t>VARCHAR</t>
        </is>
      </c>
      <c r="I84" t="inlineStr">
        <is>
          <t>32</t>
        </is>
      </c>
    </row>
    <row r="85">
      <c r="A85" t="inlineStr">
        <is>
          <t>审计信息</t>
        </is>
      </c>
      <c r="B85" t="inlineStr">
        <is>
          <t>AUDIT_INFO</t>
        </is>
      </c>
      <c r="C85" t="inlineStr">
        <is>
          <t>UPDATEUSERID</t>
        </is>
      </c>
      <c r="D85" t="inlineStr">
        <is>
          <t>VARCHAR(32)</t>
        </is>
      </c>
      <c r="E85" t="inlineStr">
        <is>
          <t>YES</t>
        </is>
      </c>
      <c r="F85" t="inlineStr">
        <is>
          <t>更新人</t>
        </is>
      </c>
      <c r="H85" t="inlineStr">
        <is>
          <t>VARCHAR</t>
        </is>
      </c>
      <c r="I85" t="inlineStr">
        <is>
          <t>32</t>
        </is>
      </c>
    </row>
    <row r="86">
      <c r="A86" t="inlineStr">
        <is>
          <t>审计信息</t>
        </is>
      </c>
      <c r="B86" t="inlineStr">
        <is>
          <t>AUDIT_INFO</t>
        </is>
      </c>
      <c r="C86" t="inlineStr">
        <is>
          <t>UPDATEDATE</t>
        </is>
      </c>
      <c r="D86" t="inlineStr">
        <is>
          <t>VARCHAR(18)</t>
        </is>
      </c>
      <c r="E86" t="inlineStr">
        <is>
          <t>YES</t>
        </is>
      </c>
      <c r="F86" t="inlineStr">
        <is>
          <t>更新日期</t>
        </is>
      </c>
      <c r="H86" t="inlineStr">
        <is>
          <t>VARCHAR</t>
        </is>
      </c>
      <c r="I86" t="inlineStr">
        <is>
          <t>18</t>
        </is>
      </c>
    </row>
    <row r="87">
      <c r="A87" t="inlineStr">
        <is>
          <t>审计信息</t>
        </is>
      </c>
      <c r="B87" t="inlineStr">
        <is>
          <t>AUDIT_INFO</t>
        </is>
      </c>
      <c r="C87" t="inlineStr">
        <is>
          <t>AUDITDATA</t>
        </is>
      </c>
      <c r="D87" t="inlineStr">
        <is>
          <t>VARCHAR(2000)</t>
        </is>
      </c>
      <c r="E87" t="inlineStr">
        <is>
          <t>YES</t>
        </is>
      </c>
      <c r="F87" t="inlineStr">
        <is>
          <t>审计数据</t>
        </is>
      </c>
      <c r="H87" t="inlineStr">
        <is>
          <t>VARCHAR</t>
        </is>
      </c>
      <c r="I87" t="inlineStr">
        <is>
          <t>2000</t>
        </is>
      </c>
    </row>
    <row r="88">
      <c r="A88" t="inlineStr">
        <is>
          <t>评估机构</t>
        </is>
      </c>
      <c r="B88" t="inlineStr">
        <is>
          <t>APPRAISAL_AGENCY</t>
        </is>
      </c>
      <c r="C88" t="inlineStr">
        <is>
          <t>APPRAISALORGID</t>
        </is>
      </c>
      <c r="D88" t="inlineStr">
        <is>
          <t>VARCHAR(32)</t>
        </is>
      </c>
      <c r="E88" t="inlineStr">
        <is>
          <t>NO</t>
        </is>
      </c>
      <c r="F88" t="inlineStr">
        <is>
          <t>评估机构编号</t>
        </is>
      </c>
      <c r="H88" t="inlineStr">
        <is>
          <t>VARCHAR</t>
        </is>
      </c>
      <c r="I88" t="inlineStr">
        <is>
          <t>32</t>
        </is>
      </c>
    </row>
    <row r="89">
      <c r="A89" t="inlineStr">
        <is>
          <t>评估机构</t>
        </is>
      </c>
      <c r="B89" t="inlineStr">
        <is>
          <t>APPRAISAL_AGENCY</t>
        </is>
      </c>
      <c r="C89" t="inlineStr">
        <is>
          <t>APPRAISALORGNAME</t>
        </is>
      </c>
      <c r="D89" t="inlineStr">
        <is>
          <t>VARCHAR(80)</t>
        </is>
      </c>
      <c r="E89" t="inlineStr">
        <is>
          <t>YES</t>
        </is>
      </c>
      <c r="F89" t="inlineStr">
        <is>
          <t>评估机构名称</t>
        </is>
      </c>
      <c r="H89" t="inlineStr">
        <is>
          <t>VARCHAR</t>
        </is>
      </c>
      <c r="I89" t="inlineStr">
        <is>
          <t>80</t>
        </is>
      </c>
    </row>
    <row r="90">
      <c r="A90" t="inlineStr">
        <is>
          <t>评估机构</t>
        </is>
      </c>
      <c r="B90" t="inlineStr">
        <is>
          <t>APPRAISAL_AGENCY</t>
        </is>
      </c>
      <c r="C90" t="inlineStr">
        <is>
          <t>APPRAISALORGTYPE</t>
        </is>
      </c>
      <c r="D90" t="inlineStr">
        <is>
          <t>VARCHAR(18)</t>
        </is>
      </c>
      <c r="E90" t="inlineStr">
        <is>
          <t>YES</t>
        </is>
      </c>
      <c r="F90" t="inlineStr">
        <is>
          <t>评估公司类型
02  特殊资产准入
03  特别准入;一次性)</t>
        </is>
      </c>
      <c r="H90" t="inlineStr">
        <is>
          <t>VARCHAR</t>
        </is>
      </c>
      <c r="I90" t="inlineStr">
        <is>
          <t>18</t>
        </is>
      </c>
    </row>
    <row r="91">
      <c r="A91" t="inlineStr">
        <is>
          <t>评估机构</t>
        </is>
      </c>
      <c r="B91" t="inlineStr">
        <is>
          <t>APPRAISAL_AGENCY</t>
        </is>
      </c>
      <c r="C91" t="inlineStr">
        <is>
          <t>APPRAISALORGADDRESS</t>
        </is>
      </c>
      <c r="D91" t="inlineStr">
        <is>
          <t>VARCHAR(500)</t>
        </is>
      </c>
      <c r="E91" t="inlineStr">
        <is>
          <t>YES</t>
        </is>
      </c>
      <c r="F91" t="inlineStr">
        <is>
          <t>机构地址</t>
        </is>
      </c>
      <c r="H91" t="inlineStr">
        <is>
          <t>VARCHAR</t>
        </is>
      </c>
      <c r="I91" t="inlineStr">
        <is>
          <t>500</t>
        </is>
      </c>
    </row>
    <row r="92">
      <c r="A92" t="inlineStr">
        <is>
          <t>评估机构</t>
        </is>
      </c>
      <c r="B92" t="inlineStr">
        <is>
          <t>APPRAISAL_AGENCY</t>
        </is>
      </c>
      <c r="C92" t="inlineStr">
        <is>
          <t>APPRAISALORGSTATUS</t>
        </is>
      </c>
      <c r="D92" t="inlineStr">
        <is>
          <t>VARCHAR(6)</t>
        </is>
      </c>
      <c r="E92" t="inlineStr">
        <is>
          <t>YES</t>
        </is>
      </c>
      <c r="F92" t="inlineStr">
        <is>
          <t>评估机构状态</t>
        </is>
      </c>
      <c r="H92" t="inlineStr">
        <is>
          <t>VARCHAR</t>
        </is>
      </c>
      <c r="I92" t="inlineStr">
        <is>
          <t>6</t>
        </is>
      </c>
    </row>
    <row r="93">
      <c r="A93" t="inlineStr">
        <is>
          <t>评估机构</t>
        </is>
      </c>
      <c r="B93" t="inlineStr">
        <is>
          <t>APPRAISAL_AGENCY</t>
        </is>
      </c>
      <c r="C93" t="inlineStr">
        <is>
          <t>REGISTERDATE</t>
        </is>
      </c>
      <c r="D93" t="inlineStr">
        <is>
          <t>DATETIME</t>
        </is>
      </c>
      <c r="E93" t="inlineStr">
        <is>
          <t>YES</t>
        </is>
      </c>
      <c r="F93" t="inlineStr">
        <is>
          <t>机构成立日期</t>
        </is>
      </c>
      <c r="H93" t="inlineStr">
        <is>
          <t>DATETIME</t>
        </is>
      </c>
    </row>
    <row r="94">
      <c r="A94" t="inlineStr">
        <is>
          <t>评估机构</t>
        </is>
      </c>
      <c r="B94" t="inlineStr">
        <is>
          <t>APPRAISAL_AGENCY</t>
        </is>
      </c>
      <c r="C94" t="inlineStr">
        <is>
          <t>ASSETSTYPE</t>
        </is>
      </c>
      <c r="D94" t="inlineStr">
        <is>
          <t>VARCHAR(18)</t>
        </is>
      </c>
      <c r="E94" t="inlineStr">
        <is>
          <t>YES</t>
        </is>
      </c>
      <c r="F94" t="inlineStr">
        <is>
          <t>可评估资产类型</t>
        </is>
      </c>
      <c r="H94" t="inlineStr">
        <is>
          <t>VARCHAR</t>
        </is>
      </c>
      <c r="I94" t="inlineStr">
        <is>
          <t>18</t>
        </is>
      </c>
    </row>
    <row r="95">
      <c r="A95" t="inlineStr">
        <is>
          <t>评估机构</t>
        </is>
      </c>
      <c r="B95" t="inlineStr">
        <is>
          <t>APPRAISAL_AGENCY</t>
        </is>
      </c>
      <c r="C95" t="inlineStr">
        <is>
          <t>QUALIFYLEVEL</t>
        </is>
      </c>
      <c r="D95" t="inlineStr">
        <is>
          <t>VARCHAR(18)</t>
        </is>
      </c>
      <c r="E95" t="inlineStr">
        <is>
          <t>YES</t>
        </is>
      </c>
      <c r="F95" t="inlineStr">
        <is>
          <t>执业资质等级</t>
        </is>
      </c>
      <c r="H95" t="inlineStr">
        <is>
          <t>VARCHAR</t>
        </is>
      </c>
      <c r="I95" t="inlineStr">
        <is>
          <t>18</t>
        </is>
      </c>
    </row>
    <row r="96">
      <c r="A96" t="inlineStr">
        <is>
          <t>评估机构</t>
        </is>
      </c>
      <c r="B96" t="inlineStr">
        <is>
          <t>APPRAISAL_AGENCY</t>
        </is>
      </c>
      <c r="C96" t="inlineStr">
        <is>
          <t>ASSESSAREA</t>
        </is>
      </c>
      <c r="D96" t="inlineStr">
        <is>
          <t>VARCHAR(80)</t>
        </is>
      </c>
      <c r="E96" t="inlineStr">
        <is>
          <t>YES</t>
        </is>
      </c>
      <c r="F96" t="inlineStr">
        <is>
          <t>可估价地域范围</t>
        </is>
      </c>
      <c r="H96" t="inlineStr">
        <is>
          <t>VARCHAR</t>
        </is>
      </c>
      <c r="I96" t="inlineStr">
        <is>
          <t>80</t>
        </is>
      </c>
    </row>
    <row r="97">
      <c r="A97" t="inlineStr">
        <is>
          <t>评估机构</t>
        </is>
      </c>
      <c r="B97" t="inlineStr">
        <is>
          <t>APPRAISAL_AGENCY</t>
        </is>
      </c>
      <c r="C97" t="inlineStr">
        <is>
          <t>CERTNAME</t>
        </is>
      </c>
      <c r="D97" t="inlineStr">
        <is>
          <t>VARCHAR(80)</t>
        </is>
      </c>
      <c r="E97" t="inlineStr">
        <is>
          <t>YES</t>
        </is>
      </c>
      <c r="F97" t="inlineStr">
        <is>
          <t>资质证书名称</t>
        </is>
      </c>
      <c r="H97" t="inlineStr">
        <is>
          <t>VARCHAR</t>
        </is>
      </c>
      <c r="I97" t="inlineStr">
        <is>
          <t>80</t>
        </is>
      </c>
    </row>
    <row r="98">
      <c r="A98" t="inlineStr">
        <is>
          <t>评估机构</t>
        </is>
      </c>
      <c r="B98" t="inlineStr">
        <is>
          <t>APPRAISAL_AGENCY</t>
        </is>
      </c>
      <c r="C98" t="inlineStr">
        <is>
          <t>CERTID</t>
        </is>
      </c>
      <c r="D98" t="inlineStr">
        <is>
          <t>VARCHAR(32)</t>
        </is>
      </c>
      <c r="E98" t="inlineStr">
        <is>
          <t>YES</t>
        </is>
      </c>
      <c r="F98" t="inlineStr">
        <is>
          <t>资质证书标号</t>
        </is>
      </c>
      <c r="H98" t="inlineStr">
        <is>
          <t>VARCHAR</t>
        </is>
      </c>
      <c r="I98" t="inlineStr">
        <is>
          <t>32</t>
        </is>
      </c>
    </row>
    <row r="99">
      <c r="A99" t="inlineStr">
        <is>
          <t>评估机构</t>
        </is>
      </c>
      <c r="B99" t="inlineStr">
        <is>
          <t>APPRAISAL_AGENCY</t>
        </is>
      </c>
      <c r="C99" t="inlineStr">
        <is>
          <t>APPROVEDATE</t>
        </is>
      </c>
      <c r="D99" t="inlineStr">
        <is>
          <t>DATETIME</t>
        </is>
      </c>
      <c r="E99" t="inlineStr">
        <is>
          <t>YES</t>
        </is>
      </c>
      <c r="F99" t="inlineStr">
        <is>
          <t>资质核准日期</t>
        </is>
      </c>
      <c r="H99" t="inlineStr">
        <is>
          <t>DATETIME</t>
        </is>
      </c>
    </row>
    <row r="100">
      <c r="A100" t="inlineStr">
        <is>
          <t>评估机构</t>
        </is>
      </c>
      <c r="B100" t="inlineStr">
        <is>
          <t>APPRAISAL_AGENCY</t>
        </is>
      </c>
      <c r="C100" t="inlineStr">
        <is>
          <t>APPROVEENDDATE</t>
        </is>
      </c>
      <c r="D100" t="inlineStr">
        <is>
          <t>DATETIME</t>
        </is>
      </c>
      <c r="E100" t="inlineStr">
        <is>
          <t>YES</t>
        </is>
      </c>
      <c r="F100" t="inlineStr">
        <is>
          <t>资质到期日期</t>
        </is>
      </c>
      <c r="H100" t="inlineStr">
        <is>
          <t>DATETIME</t>
        </is>
      </c>
    </row>
    <row r="101">
      <c r="A101" t="inlineStr">
        <is>
          <t>评估机构</t>
        </is>
      </c>
      <c r="B101" t="inlineStr">
        <is>
          <t>APPRAISAL_AGENCY</t>
        </is>
      </c>
      <c r="C101" t="inlineStr">
        <is>
          <t>DEPARTMENTCARE</t>
        </is>
      </c>
      <c r="D101" t="inlineStr">
        <is>
          <t>VARCHAR(6)</t>
        </is>
      </c>
      <c r="E101" t="inlineStr">
        <is>
          <t>YES</t>
        </is>
      </c>
      <c r="F101" t="inlineStr">
        <is>
          <t>行业主管部门是否年审</t>
        </is>
      </c>
      <c r="H101" t="inlineStr">
        <is>
          <t>VARCHAR</t>
        </is>
      </c>
      <c r="I101" t="inlineStr">
        <is>
          <t>6</t>
        </is>
      </c>
    </row>
    <row r="102">
      <c r="A102" t="inlineStr">
        <is>
          <t>评估机构</t>
        </is>
      </c>
      <c r="B102" t="inlineStr">
        <is>
          <t>APPRAISAL_AGENCY</t>
        </is>
      </c>
      <c r="C102" t="inlineStr">
        <is>
          <t>INPUTUSER</t>
        </is>
      </c>
      <c r="D102" t="inlineStr">
        <is>
          <t>VARCHAR(80)</t>
        </is>
      </c>
      <c r="E102" t="inlineStr">
        <is>
          <t>YES</t>
        </is>
      </c>
      <c r="F102" t="inlineStr">
        <is>
          <t>基本信息录入岗</t>
        </is>
      </c>
      <c r="H102" t="inlineStr">
        <is>
          <t>VARCHAR</t>
        </is>
      </c>
      <c r="I102" t="inlineStr">
        <is>
          <t>80</t>
        </is>
      </c>
    </row>
    <row r="103">
      <c r="A103" t="inlineStr">
        <is>
          <t>评估机构</t>
        </is>
      </c>
      <c r="B103" t="inlineStr">
        <is>
          <t>APPRAISAL_AGENCY</t>
        </is>
      </c>
      <c r="C103" t="inlineStr">
        <is>
          <t>CONTINUETIME</t>
        </is>
      </c>
      <c r="D103" t="inlineStr">
        <is>
          <t>INT</t>
        </is>
      </c>
      <c r="E103" t="inlineStr">
        <is>
          <t>YES</t>
        </is>
      </c>
      <c r="F103" t="inlineStr">
        <is>
          <t>连续执业时间</t>
        </is>
      </c>
      <c r="H103" t="inlineStr">
        <is>
          <t>INT</t>
        </is>
      </c>
    </row>
    <row r="104">
      <c r="A104" t="inlineStr">
        <is>
          <t>评估机构</t>
        </is>
      </c>
      <c r="B104" t="inlineStr">
        <is>
          <t>APPRAISAL_AGENCY</t>
        </is>
      </c>
      <c r="C104" t="inlineStr">
        <is>
          <t>BUSINESSSCOPE</t>
        </is>
      </c>
      <c r="D104" t="inlineStr">
        <is>
          <t>VARCHAR(500)</t>
        </is>
      </c>
      <c r="E104" t="inlineStr">
        <is>
          <t>YES</t>
        </is>
      </c>
      <c r="F104" t="inlineStr">
        <is>
          <t>经营范围</t>
        </is>
      </c>
      <c r="H104" t="inlineStr">
        <is>
          <t>VARCHAR</t>
        </is>
      </c>
      <c r="I104" t="inlineStr">
        <is>
          <t>500</t>
        </is>
      </c>
    </row>
    <row r="105">
      <c r="A105" t="inlineStr">
        <is>
          <t>评估机构</t>
        </is>
      </c>
      <c r="B105" t="inlineStr">
        <is>
          <t>APPRAISAL_AGENCY</t>
        </is>
      </c>
      <c r="C105" t="inlineStr">
        <is>
          <t>REGISTERCAPITAL</t>
        </is>
      </c>
      <c r="D105" t="inlineStr">
        <is>
          <t>DECIMAL(24,6)</t>
        </is>
      </c>
      <c r="E105" t="inlineStr">
        <is>
          <t>YES</t>
        </is>
      </c>
      <c r="F105" t="inlineStr">
        <is>
          <t>注册资金</t>
        </is>
      </c>
      <c r="H105" t="inlineStr">
        <is>
          <t>DECIMAL</t>
        </is>
      </c>
      <c r="I105" t="inlineStr">
        <is>
          <t>24,6</t>
        </is>
      </c>
    </row>
    <row r="106">
      <c r="A106" t="inlineStr">
        <is>
          <t>评估机构</t>
        </is>
      </c>
      <c r="B106" t="inlineStr">
        <is>
          <t>APPRAISAL_AGENCY</t>
        </is>
      </c>
      <c r="C106" t="inlineStr">
        <is>
          <t>LEGALREP</t>
        </is>
      </c>
      <c r="D106" t="inlineStr">
        <is>
          <t>VARCHAR(80)</t>
        </is>
      </c>
      <c r="E106" t="inlineStr">
        <is>
          <t>YES</t>
        </is>
      </c>
      <c r="F106" t="inlineStr">
        <is>
          <t>法人代表</t>
        </is>
      </c>
      <c r="H106" t="inlineStr">
        <is>
          <t>VARCHAR</t>
        </is>
      </c>
      <c r="I106" t="inlineStr">
        <is>
          <t>80</t>
        </is>
      </c>
    </row>
    <row r="107">
      <c r="A107" t="inlineStr">
        <is>
          <t>评估机构</t>
        </is>
      </c>
      <c r="B107" t="inlineStr">
        <is>
          <t>APPRAISAL_AGENCY</t>
        </is>
      </c>
      <c r="C107" t="inlineStr">
        <is>
          <t>ORGTELEPHONE</t>
        </is>
      </c>
      <c r="D107" t="inlineStr">
        <is>
          <t>VARCHAR(18)</t>
        </is>
      </c>
      <c r="E107" t="inlineStr">
        <is>
          <t>YES</t>
        </is>
      </c>
      <c r="F107" t="inlineStr">
        <is>
          <t>评估机构电话</t>
        </is>
      </c>
      <c r="H107" t="inlineStr">
        <is>
          <t>VARCHAR</t>
        </is>
      </c>
      <c r="I107" t="inlineStr">
        <is>
          <t>18</t>
        </is>
      </c>
    </row>
    <row r="108">
      <c r="A108" t="inlineStr">
        <is>
          <t>评估机构</t>
        </is>
      </c>
      <c r="B108" t="inlineStr">
        <is>
          <t>APPRAISAL_AGENCY</t>
        </is>
      </c>
      <c r="C108" t="inlineStr">
        <is>
          <t>ORGFAX</t>
        </is>
      </c>
      <c r="D108" t="inlineStr">
        <is>
          <t>VARCHAR(18)</t>
        </is>
      </c>
      <c r="E108" t="inlineStr">
        <is>
          <t>YES</t>
        </is>
      </c>
      <c r="F108" t="inlineStr">
        <is>
          <t>评估机构传真电话</t>
        </is>
      </c>
      <c r="H108" t="inlineStr">
        <is>
          <t>VARCHAR</t>
        </is>
      </c>
      <c r="I108" t="inlineStr">
        <is>
          <t>18</t>
        </is>
      </c>
    </row>
    <row r="109">
      <c r="A109" t="inlineStr">
        <is>
          <t>评估机构</t>
        </is>
      </c>
      <c r="B109" t="inlineStr">
        <is>
          <t>APPRAISAL_AGENCY</t>
        </is>
      </c>
      <c r="C109" t="inlineStr">
        <is>
          <t>ORGEMAIL</t>
        </is>
      </c>
      <c r="D109" t="inlineStr">
        <is>
          <t>VARCHAR(32)</t>
        </is>
      </c>
      <c r="E109" t="inlineStr">
        <is>
          <t>YES</t>
        </is>
      </c>
      <c r="F109" t="inlineStr">
        <is>
          <t>评估机构电子邮箱</t>
        </is>
      </c>
      <c r="H109" t="inlineStr">
        <is>
          <t>VARCHAR</t>
        </is>
      </c>
      <c r="I109" t="inlineStr">
        <is>
          <t>32</t>
        </is>
      </c>
    </row>
    <row r="110">
      <c r="A110" t="inlineStr">
        <is>
          <t>评估机构</t>
        </is>
      </c>
      <c r="B110" t="inlineStr">
        <is>
          <t>APPRAISAL_AGENCY</t>
        </is>
      </c>
      <c r="C110" t="inlineStr">
        <is>
          <t>APPRAISERNUM</t>
        </is>
      </c>
      <c r="D110" t="inlineStr">
        <is>
          <t>INT</t>
        </is>
      </c>
      <c r="E110" t="inlineStr">
        <is>
          <t>YES</t>
        </is>
      </c>
      <c r="F110" t="inlineStr">
        <is>
          <t>评估师数量</t>
        </is>
      </c>
      <c r="H110" t="inlineStr">
        <is>
          <t>INT</t>
        </is>
      </c>
    </row>
    <row r="111">
      <c r="A111" t="inlineStr">
        <is>
          <t>评估机构</t>
        </is>
      </c>
      <c r="B111" t="inlineStr">
        <is>
          <t>APPRAISAL_AGENCY</t>
        </is>
      </c>
      <c r="C111" t="inlineStr">
        <is>
          <t>ISINBLACKLIST</t>
        </is>
      </c>
      <c r="D111" t="inlineStr">
        <is>
          <t>CHAR(1)</t>
        </is>
      </c>
      <c r="E111" t="inlineStr">
        <is>
          <t>YES</t>
        </is>
      </c>
      <c r="F111" t="inlineStr">
        <is>
          <t>是否黑名单</t>
        </is>
      </c>
      <c r="H111" t="inlineStr">
        <is>
          <t>CHAR</t>
        </is>
      </c>
      <c r="I111" t="inlineStr">
        <is>
          <t>1</t>
        </is>
      </c>
    </row>
    <row r="112">
      <c r="A112" t="inlineStr">
        <is>
          <t>评估机构</t>
        </is>
      </c>
      <c r="B112" t="inlineStr">
        <is>
          <t>APPRAISAL_AGENCY</t>
        </is>
      </c>
      <c r="C112" t="inlineStr">
        <is>
          <t>PARENTORGID</t>
        </is>
      </c>
      <c r="D112" t="inlineStr">
        <is>
          <t>VARCHAR(80)</t>
        </is>
      </c>
      <c r="E112" t="inlineStr">
        <is>
          <t>YES</t>
        </is>
      </c>
      <c r="F112" t="inlineStr">
        <is>
          <t>所属分行</t>
        </is>
      </c>
      <c r="H112" t="inlineStr">
        <is>
          <t>VARCHAR</t>
        </is>
      </c>
      <c r="I112" t="inlineStr">
        <is>
          <t>80</t>
        </is>
      </c>
    </row>
    <row r="113">
      <c r="A113" t="inlineStr">
        <is>
          <t>评估机构</t>
        </is>
      </c>
      <c r="B113" t="inlineStr">
        <is>
          <t>APPRAISAL_AGENCY</t>
        </is>
      </c>
      <c r="C113" t="inlineStr">
        <is>
          <t>APPRAISALCERTID</t>
        </is>
      </c>
      <c r="D113" t="inlineStr">
        <is>
          <t>VARCHAR(32)</t>
        </is>
      </c>
      <c r="E113" t="inlineStr">
        <is>
          <t>YES</t>
        </is>
      </c>
      <c r="F113" t="inlineStr">
        <is>
          <t>评估机构证件号码</t>
        </is>
      </c>
      <c r="H113" t="inlineStr">
        <is>
          <t>VARCHAR</t>
        </is>
      </c>
      <c r="I113" t="inlineStr">
        <is>
          <t>32</t>
        </is>
      </c>
    </row>
    <row r="114">
      <c r="A114" t="inlineStr">
        <is>
          <t>评估机构</t>
        </is>
      </c>
      <c r="B114" t="inlineStr">
        <is>
          <t>APPRAISAL_AGENCY</t>
        </is>
      </c>
      <c r="C114" t="inlineStr">
        <is>
          <t>APPRAISALCERTTYPE</t>
        </is>
      </c>
      <c r="D114" t="inlineStr">
        <is>
          <t>VARCHAR(18)</t>
        </is>
      </c>
      <c r="E114" t="inlineStr">
        <is>
          <t>YES</t>
        </is>
      </c>
      <c r="F114" t="inlineStr">
        <is>
          <t>评估机构证件类型</t>
        </is>
      </c>
      <c r="H114" t="inlineStr">
        <is>
          <t>VARCHAR</t>
        </is>
      </c>
      <c r="I114" t="inlineStr">
        <is>
          <t>18</t>
        </is>
      </c>
    </row>
    <row r="115">
      <c r="A115" t="inlineStr">
        <is>
          <t>评估机构</t>
        </is>
      </c>
      <c r="B115" t="inlineStr">
        <is>
          <t>APPRAISAL_AGENCY</t>
        </is>
      </c>
      <c r="C115" t="inlineStr">
        <is>
          <t>RELACERTID</t>
        </is>
      </c>
      <c r="D115" t="inlineStr">
        <is>
          <t>VARCHAR(32)</t>
        </is>
      </c>
      <c r="E115" t="inlineStr">
        <is>
          <t>YES</t>
        </is>
      </c>
      <c r="F115" t="inlineStr">
        <is>
          <t>关联机构</t>
        </is>
      </c>
      <c r="H115" t="inlineStr">
        <is>
          <t>VARCHAR</t>
        </is>
      </c>
      <c r="I115" t="inlineStr">
        <is>
          <t>32</t>
        </is>
      </c>
    </row>
    <row r="116">
      <c r="A116" t="inlineStr">
        <is>
          <t>评估机构</t>
        </is>
      </c>
      <c r="B116" t="inlineStr">
        <is>
          <t>APPRAISAL_AGENCY</t>
        </is>
      </c>
      <c r="C116" t="inlineStr">
        <is>
          <t>TEMPSAVEFLAG</t>
        </is>
      </c>
      <c r="D116" t="inlineStr">
        <is>
          <t>CHAR(1)</t>
        </is>
      </c>
      <c r="E116" t="inlineStr">
        <is>
          <t>YES</t>
        </is>
      </c>
      <c r="F116" t="inlineStr">
        <is>
          <t>暂存标志</t>
        </is>
      </c>
      <c r="H116" t="inlineStr">
        <is>
          <t>CHAR</t>
        </is>
      </c>
      <c r="I116" t="inlineStr">
        <is>
          <t>1</t>
        </is>
      </c>
    </row>
    <row r="117">
      <c r="A117" t="inlineStr">
        <is>
          <t>评估机构</t>
        </is>
      </c>
      <c r="B117" t="inlineStr">
        <is>
          <t>APPRAISAL_AGENCY</t>
        </is>
      </c>
      <c r="C117" t="inlineStr">
        <is>
          <t>ISINALERTLIST</t>
        </is>
      </c>
      <c r="D117" t="inlineStr">
        <is>
          <t>CHAR(1)</t>
        </is>
      </c>
      <c r="E117" t="inlineStr">
        <is>
          <t>YES</t>
        </is>
      </c>
      <c r="F117" t="inlineStr">
        <is>
          <t>警示标识</t>
        </is>
      </c>
      <c r="H117" t="inlineStr">
        <is>
          <t>CHAR</t>
        </is>
      </c>
      <c r="I117" t="inlineStr">
        <is>
          <t>1</t>
        </is>
      </c>
    </row>
    <row r="118">
      <c r="A118" t="inlineStr">
        <is>
          <t>评估机构</t>
        </is>
      </c>
      <c r="B118" t="inlineStr">
        <is>
          <t>APPRAISAL_AGENCY</t>
        </is>
      </c>
      <c r="C118" t="inlineStr">
        <is>
          <t>INPUTUSERID</t>
        </is>
      </c>
      <c r="D118" t="inlineStr">
        <is>
          <t>VARCHAR(32)</t>
        </is>
      </c>
      <c r="E118" t="inlineStr">
        <is>
          <t>YES</t>
        </is>
      </c>
      <c r="F118" t="inlineStr">
        <is>
          <t>登记人</t>
        </is>
      </c>
      <c r="H118" t="inlineStr">
        <is>
          <t>VARCHAR</t>
        </is>
      </c>
      <c r="I118" t="inlineStr">
        <is>
          <t>32</t>
        </is>
      </c>
    </row>
    <row r="119">
      <c r="A119" t="inlineStr">
        <is>
          <t>评估机构</t>
        </is>
      </c>
      <c r="B119" t="inlineStr">
        <is>
          <t>APPRAISAL_AGENCY</t>
        </is>
      </c>
      <c r="C119" t="inlineStr">
        <is>
          <t>INPUTORGID</t>
        </is>
      </c>
      <c r="D119" t="inlineStr">
        <is>
          <t>VARCHAR(32)</t>
        </is>
      </c>
      <c r="E119" t="inlineStr">
        <is>
          <t>YES</t>
        </is>
      </c>
      <c r="F119" t="inlineStr">
        <is>
          <t>登记机构</t>
        </is>
      </c>
      <c r="H119" t="inlineStr">
        <is>
          <t>VARCHAR</t>
        </is>
      </c>
      <c r="I119" t="inlineStr">
        <is>
          <t>32</t>
        </is>
      </c>
    </row>
    <row r="120">
      <c r="A120" t="inlineStr">
        <is>
          <t>评估机构</t>
        </is>
      </c>
      <c r="B120" t="inlineStr">
        <is>
          <t>APPRAISAL_AGENCY</t>
        </is>
      </c>
      <c r="C120" t="inlineStr">
        <is>
          <t>INPUTDATE</t>
        </is>
      </c>
      <c r="D120" t="inlineStr">
        <is>
          <t>DATETIME</t>
        </is>
      </c>
      <c r="E120" t="inlineStr">
        <is>
          <t>YES</t>
        </is>
      </c>
      <c r="F120" t="inlineStr">
        <is>
          <t>登记日期</t>
        </is>
      </c>
      <c r="H120" t="inlineStr">
        <is>
          <t>DATETIME</t>
        </is>
      </c>
    </row>
    <row r="121">
      <c r="A121" t="inlineStr">
        <is>
          <t>评估机构</t>
        </is>
      </c>
      <c r="B121" t="inlineStr">
        <is>
          <t>APPRAISAL_AGENCY</t>
        </is>
      </c>
      <c r="C121" t="inlineStr">
        <is>
          <t>UPDATEUSERID</t>
        </is>
      </c>
      <c r="D121" t="inlineStr">
        <is>
          <t>VARCHAR(32)</t>
        </is>
      </c>
      <c r="E121" t="inlineStr">
        <is>
          <t>YES</t>
        </is>
      </c>
      <c r="F121" t="inlineStr">
        <is>
          <t>更新人</t>
        </is>
      </c>
      <c r="H121" t="inlineStr">
        <is>
          <t>VARCHAR</t>
        </is>
      </c>
      <c r="I121" t="inlineStr">
        <is>
          <t>32</t>
        </is>
      </c>
    </row>
    <row r="122">
      <c r="A122" t="inlineStr">
        <is>
          <t>评估机构</t>
        </is>
      </c>
      <c r="B122" t="inlineStr">
        <is>
          <t>APPRAISAL_AGENCY</t>
        </is>
      </c>
      <c r="C122" t="inlineStr">
        <is>
          <t>UPDATEORGID</t>
        </is>
      </c>
      <c r="D122" t="inlineStr">
        <is>
          <t>VARCHAR(32)</t>
        </is>
      </c>
      <c r="E122" t="inlineStr">
        <is>
          <t>YES</t>
        </is>
      </c>
      <c r="F122" t="inlineStr">
        <is>
          <t>更新机构</t>
        </is>
      </c>
      <c r="H122" t="inlineStr">
        <is>
          <t>VARCHAR</t>
        </is>
      </c>
      <c r="I122" t="inlineStr">
        <is>
          <t>32</t>
        </is>
      </c>
    </row>
    <row r="123">
      <c r="A123" t="inlineStr">
        <is>
          <t>评估机构</t>
        </is>
      </c>
      <c r="B123" t="inlineStr">
        <is>
          <t>APPRAISAL_AGENCY</t>
        </is>
      </c>
      <c r="C123" t="inlineStr">
        <is>
          <t>UPDATEDATE</t>
        </is>
      </c>
      <c r="D123" t="inlineStr">
        <is>
          <t>DATETIME</t>
        </is>
      </c>
      <c r="E123" t="inlineStr">
        <is>
          <t>YES</t>
        </is>
      </c>
      <c r="F123" t="inlineStr">
        <is>
          <t>更新日期</t>
        </is>
      </c>
      <c r="H123" t="inlineStr">
        <is>
          <t>DATETIME</t>
        </is>
      </c>
    </row>
    <row r="124">
      <c r="A124" t="inlineStr">
        <is>
          <t>评估机构</t>
        </is>
      </c>
      <c r="B124" t="inlineStr">
        <is>
          <t>APPRAISAL_AGENCY</t>
        </is>
      </c>
      <c r="C124" t="inlineStr">
        <is>
          <t>REMARK</t>
        </is>
      </c>
      <c r="D124" t="inlineStr">
        <is>
          <t>VARCHAR(1000)</t>
        </is>
      </c>
      <c r="E124" t="inlineStr">
        <is>
          <t>YES</t>
        </is>
      </c>
      <c r="F124" t="inlineStr">
        <is>
          <t>备注</t>
        </is>
      </c>
      <c r="H124" t="inlineStr">
        <is>
          <t>VARCHAR</t>
        </is>
      </c>
      <c r="I124" t="inlineStr">
        <is>
          <t>1000</t>
        </is>
      </c>
    </row>
    <row r="125">
      <c r="A125" t="inlineStr">
        <is>
          <t>评估机构</t>
        </is>
      </c>
      <c r="B125" t="inlineStr">
        <is>
          <t>APPRAISAL_AGENCY</t>
        </is>
      </c>
      <c r="C125" t="inlineStr">
        <is>
          <t>CORPORGID</t>
        </is>
      </c>
      <c r="D125" t="inlineStr">
        <is>
          <t>VARCHAR(32)</t>
        </is>
      </c>
      <c r="E125" t="inlineStr">
        <is>
          <t>YES</t>
        </is>
      </c>
      <c r="F125" t="inlineStr">
        <is>
          <t>法人机构编号</t>
        </is>
      </c>
      <c r="H125" t="inlineStr">
        <is>
          <t>VARCHAR</t>
        </is>
      </c>
      <c r="I125" t="inlineStr">
        <is>
          <t>32</t>
        </is>
      </c>
    </row>
    <row r="126">
      <c r="A126" t="inlineStr">
        <is>
          <t>评估机构</t>
        </is>
      </c>
      <c r="B126" t="inlineStr">
        <is>
          <t>APPRAISAL_AGENCY</t>
        </is>
      </c>
      <c r="C126" t="inlineStr">
        <is>
          <t>ISONLINE</t>
        </is>
      </c>
      <c r="D126" t="inlineStr">
        <is>
          <t>VARCHAR(6)</t>
        </is>
      </c>
      <c r="E126" t="inlineStr">
        <is>
          <t>YES</t>
        </is>
      </c>
      <c r="F126" t="inlineStr">
        <is>
          <t>线上评估是否启用</t>
        </is>
      </c>
      <c r="H126" t="inlineStr">
        <is>
          <t>VARCHAR</t>
        </is>
      </c>
      <c r="I126" t="inlineStr">
        <is>
          <t>6</t>
        </is>
      </c>
    </row>
    <row r="127">
      <c r="A127" t="inlineStr">
        <is>
          <t>评估机构申请信息表</t>
        </is>
      </c>
      <c r="B127" t="inlineStr">
        <is>
          <t>APPRAISAL_AGENCY_APPLY</t>
        </is>
      </c>
      <c r="C127" t="inlineStr">
        <is>
          <t>EVENTSERIALNO</t>
        </is>
      </c>
      <c r="D127" t="inlineStr">
        <is>
          <t>VARCHAR(32)</t>
        </is>
      </c>
      <c r="E127" t="inlineStr">
        <is>
          <t>NO</t>
        </is>
      </c>
      <c r="F127" t="inlineStr">
        <is>
          <t>评估机构事件编号</t>
        </is>
      </c>
      <c r="H127" t="inlineStr">
        <is>
          <t>VARCHAR</t>
        </is>
      </c>
      <c r="I127" t="inlineStr">
        <is>
          <t>32</t>
        </is>
      </c>
    </row>
    <row r="128">
      <c r="A128" t="inlineStr">
        <is>
          <t>评估机构申请信息表</t>
        </is>
      </c>
      <c r="B128" t="inlineStr">
        <is>
          <t>APPRAISAL_AGENCY_APPLY</t>
        </is>
      </c>
      <c r="C128" t="inlineStr">
        <is>
          <t>APPLYTYPE</t>
        </is>
      </c>
      <c r="D128" t="inlineStr">
        <is>
          <t>VARCHAR(32)</t>
        </is>
      </c>
      <c r="E128" t="inlineStr">
        <is>
          <t>YES</t>
        </is>
      </c>
      <c r="F128" t="inlineStr">
        <is>
          <t>申请类型</t>
        </is>
      </c>
      <c r="H128" t="inlineStr">
        <is>
          <t>VARCHAR</t>
        </is>
      </c>
      <c r="I128" t="inlineStr">
        <is>
          <t>32</t>
        </is>
      </c>
    </row>
    <row r="129">
      <c r="A129" t="inlineStr">
        <is>
          <t>评估机构申请信息表</t>
        </is>
      </c>
      <c r="B129" t="inlineStr">
        <is>
          <t>APPRAISAL_AGENCY_APPLY</t>
        </is>
      </c>
      <c r="C129" t="inlineStr">
        <is>
          <t>APPROVESTATUS</t>
        </is>
      </c>
      <c r="D129" t="inlineStr">
        <is>
          <t>VARCHAR(32)</t>
        </is>
      </c>
      <c r="E129" t="inlineStr">
        <is>
          <t>YES</t>
        </is>
      </c>
      <c r="F129" t="inlineStr">
        <is>
          <t>申请状态</t>
        </is>
      </c>
      <c r="H129" t="inlineStr">
        <is>
          <t>VARCHAR</t>
        </is>
      </c>
      <c r="I129" t="inlineStr">
        <is>
          <t>32</t>
        </is>
      </c>
    </row>
    <row r="130">
      <c r="A130" t="inlineStr">
        <is>
          <t>评估机构申请信息表</t>
        </is>
      </c>
      <c r="B130" t="inlineStr">
        <is>
          <t>APPRAISAL_AGENCY_APPLY</t>
        </is>
      </c>
      <c r="C130" t="inlineStr">
        <is>
          <t>FLOWTYPE</t>
        </is>
      </c>
      <c r="D130" t="inlineStr">
        <is>
          <t>VARCHAR(32)</t>
        </is>
      </c>
      <c r="E130" t="inlineStr">
        <is>
          <t>YES</t>
        </is>
      </c>
      <c r="F130" t="inlineStr">
        <is>
          <t>流程类型</t>
        </is>
      </c>
      <c r="H130" t="inlineStr">
        <is>
          <t>VARCHAR</t>
        </is>
      </c>
      <c r="I130" t="inlineStr">
        <is>
          <t>32</t>
        </is>
      </c>
    </row>
    <row r="131">
      <c r="A131" t="inlineStr">
        <is>
          <t>评估机构申请信息表</t>
        </is>
      </c>
      <c r="B131" t="inlineStr">
        <is>
          <t>APPRAISAL_AGENCY_APPLY</t>
        </is>
      </c>
      <c r="C131" t="inlineStr">
        <is>
          <t>INPUTUSERID</t>
        </is>
      </c>
      <c r="D131" t="inlineStr">
        <is>
          <t>VARCHAR(32)</t>
        </is>
      </c>
      <c r="E131" t="inlineStr">
        <is>
          <t>YES</t>
        </is>
      </c>
      <c r="F131" t="inlineStr">
        <is>
          <t>登记人</t>
        </is>
      </c>
      <c r="H131" t="inlineStr">
        <is>
          <t>VARCHAR</t>
        </is>
      </c>
      <c r="I131" t="inlineStr">
        <is>
          <t>32</t>
        </is>
      </c>
    </row>
    <row r="132">
      <c r="A132" t="inlineStr">
        <is>
          <t>评估机构申请信息表</t>
        </is>
      </c>
      <c r="B132" t="inlineStr">
        <is>
          <t>APPRAISAL_AGENCY_APPLY</t>
        </is>
      </c>
      <c r="C132" t="inlineStr">
        <is>
          <t>INPUTORGID</t>
        </is>
      </c>
      <c r="D132" t="inlineStr">
        <is>
          <t>VARCHAR(32)</t>
        </is>
      </c>
      <c r="E132" t="inlineStr">
        <is>
          <t>YES</t>
        </is>
      </c>
      <c r="F132" t="inlineStr">
        <is>
          <t>登记机构</t>
        </is>
      </c>
      <c r="H132" t="inlineStr">
        <is>
          <t>VARCHAR</t>
        </is>
      </c>
      <c r="I132" t="inlineStr">
        <is>
          <t>32</t>
        </is>
      </c>
    </row>
    <row r="133">
      <c r="A133" t="inlineStr">
        <is>
          <t>评估机构申请信息表</t>
        </is>
      </c>
      <c r="B133" t="inlineStr">
        <is>
          <t>APPRAISAL_AGENCY_APPLY</t>
        </is>
      </c>
      <c r="C133" t="inlineStr">
        <is>
          <t>INPUTDATE</t>
        </is>
      </c>
      <c r="D133" t="inlineStr">
        <is>
          <t>DATETIME</t>
        </is>
      </c>
      <c r="E133" t="inlineStr">
        <is>
          <t>YES</t>
        </is>
      </c>
      <c r="F133" t="inlineStr">
        <is>
          <t>登记日期</t>
        </is>
      </c>
      <c r="H133" t="inlineStr">
        <is>
          <t>DATETIME</t>
        </is>
      </c>
    </row>
    <row r="134">
      <c r="A134" t="inlineStr">
        <is>
          <t>评估机构申请信息表</t>
        </is>
      </c>
      <c r="B134" t="inlineStr">
        <is>
          <t>APPRAISAL_AGENCY_APPLY</t>
        </is>
      </c>
      <c r="C134" t="inlineStr">
        <is>
          <t>UPDATEUSERID</t>
        </is>
      </c>
      <c r="D134" t="inlineStr">
        <is>
          <t>VARCHAR(32)</t>
        </is>
      </c>
      <c r="E134" t="inlineStr">
        <is>
          <t>YES</t>
        </is>
      </c>
      <c r="F134" t="inlineStr">
        <is>
          <t>更新人</t>
        </is>
      </c>
      <c r="H134" t="inlineStr">
        <is>
          <t>VARCHAR</t>
        </is>
      </c>
      <c r="I134" t="inlineStr">
        <is>
          <t>32</t>
        </is>
      </c>
    </row>
    <row r="135">
      <c r="A135" t="inlineStr">
        <is>
          <t>评估机构申请信息表</t>
        </is>
      </c>
      <c r="B135" t="inlineStr">
        <is>
          <t>APPRAISAL_AGENCY_APPLY</t>
        </is>
      </c>
      <c r="C135" t="inlineStr">
        <is>
          <t>UPDATEORGID</t>
        </is>
      </c>
      <c r="D135" t="inlineStr">
        <is>
          <t>VARCHAR(32)</t>
        </is>
      </c>
      <c r="E135" t="inlineStr">
        <is>
          <t>YES</t>
        </is>
      </c>
      <c r="F135" t="inlineStr">
        <is>
          <t>更新机构</t>
        </is>
      </c>
      <c r="H135" t="inlineStr">
        <is>
          <t>VARCHAR</t>
        </is>
      </c>
      <c r="I135" t="inlineStr">
        <is>
          <t>32</t>
        </is>
      </c>
    </row>
    <row r="136">
      <c r="A136" t="inlineStr">
        <is>
          <t>评估机构申请信息表</t>
        </is>
      </c>
      <c r="B136" t="inlineStr">
        <is>
          <t>APPRAISAL_AGENCY_APPLY</t>
        </is>
      </c>
      <c r="C136" t="inlineStr">
        <is>
          <t>UPDATEDATE</t>
        </is>
      </c>
      <c r="D136" t="inlineStr">
        <is>
          <t>DATETIME</t>
        </is>
      </c>
      <c r="E136" t="inlineStr">
        <is>
          <t>YES</t>
        </is>
      </c>
      <c r="F136" t="inlineStr">
        <is>
          <t>更新日期</t>
        </is>
      </c>
      <c r="H136" t="inlineStr">
        <is>
          <t>DATETIME</t>
        </is>
      </c>
    </row>
    <row r="137">
      <c r="A137" t="inlineStr">
        <is>
          <t>评估机构申请信息表</t>
        </is>
      </c>
      <c r="B137" t="inlineStr">
        <is>
          <t>APPRAISAL_AGENCY_APPLY</t>
        </is>
      </c>
      <c r="C137" t="inlineStr">
        <is>
          <t>REMARK</t>
        </is>
      </c>
      <c r="D137" t="inlineStr">
        <is>
          <t>VARCHAR(500)</t>
        </is>
      </c>
      <c r="E137" t="inlineStr">
        <is>
          <t>YES</t>
        </is>
      </c>
      <c r="F137" t="inlineStr">
        <is>
          <t>备注</t>
        </is>
      </c>
      <c r="H137" t="inlineStr">
        <is>
          <t>VARCHAR</t>
        </is>
      </c>
      <c r="I137" t="inlineStr">
        <is>
          <t>500</t>
        </is>
      </c>
    </row>
    <row r="138">
      <c r="A138" t="inlineStr">
        <is>
          <t>评估机构申请信息表</t>
        </is>
      </c>
      <c r="B138" t="inlineStr">
        <is>
          <t>APPRAISAL_AGENCY_APPLY</t>
        </is>
      </c>
      <c r="C138" t="inlineStr">
        <is>
          <t>CORPORGID</t>
        </is>
      </c>
      <c r="D138" t="inlineStr">
        <is>
          <t>VARCHAR(32)</t>
        </is>
      </c>
      <c r="E138" t="inlineStr">
        <is>
          <t>YES</t>
        </is>
      </c>
      <c r="F138" t="inlineStr">
        <is>
          <t>法人机构编号</t>
        </is>
      </c>
      <c r="H138" t="inlineStr">
        <is>
          <t>VARCHAR</t>
        </is>
      </c>
      <c r="I138" t="inlineStr">
        <is>
          <t>32</t>
        </is>
      </c>
    </row>
    <row r="139">
      <c r="A139" t="inlineStr">
        <is>
          <t>评价调查信息管理</t>
        </is>
      </c>
      <c r="B139" t="inlineStr">
        <is>
          <t>APPRAISAL_AGENCY_APPRAISE</t>
        </is>
      </c>
      <c r="C139" t="inlineStr">
        <is>
          <t>EVENTSERIALNO</t>
        </is>
      </c>
      <c r="D139" t="inlineStr">
        <is>
          <t>VARCHAR(32)</t>
        </is>
      </c>
      <c r="E139" t="inlineStr">
        <is>
          <t>NO</t>
        </is>
      </c>
      <c r="F139" t="inlineStr">
        <is>
          <t>评估机构事件编号</t>
        </is>
      </c>
      <c r="H139" t="inlineStr">
        <is>
          <t>VARCHAR</t>
        </is>
      </c>
      <c r="I139" t="inlineStr">
        <is>
          <t>32</t>
        </is>
      </c>
    </row>
    <row r="140">
      <c r="A140" t="inlineStr">
        <is>
          <t>评价调查信息管理</t>
        </is>
      </c>
      <c r="B140" t="inlineStr">
        <is>
          <t>APPRAISAL_AGENCY_APPRAISE</t>
        </is>
      </c>
      <c r="C140" t="inlineStr">
        <is>
          <t>EVENTTYPE</t>
        </is>
      </c>
      <c r="D140" t="inlineStr">
        <is>
          <t>VARCHAR(32)</t>
        </is>
      </c>
      <c r="E140" t="inlineStr">
        <is>
          <t>YES</t>
        </is>
      </c>
      <c r="F140" t="inlineStr">
        <is>
          <t>事件类型</t>
        </is>
      </c>
      <c r="H140" t="inlineStr">
        <is>
          <t>VARCHAR</t>
        </is>
      </c>
      <c r="I140" t="inlineStr">
        <is>
          <t>32</t>
        </is>
      </c>
    </row>
    <row r="141">
      <c r="A141" t="inlineStr">
        <is>
          <t>评价调查信息管理</t>
        </is>
      </c>
      <c r="B141" t="inlineStr">
        <is>
          <t>APPRAISAL_AGENCY_APPRAISE</t>
        </is>
      </c>
      <c r="C141" t="inlineStr">
        <is>
          <t>CLRID</t>
        </is>
      </c>
      <c r="D141" t="inlineStr">
        <is>
          <t>VARCHAR(32)</t>
        </is>
      </c>
      <c r="E141" t="inlineStr">
        <is>
          <t>YES</t>
        </is>
      </c>
      <c r="F141" t="inlineStr">
        <is>
          <t>抵质押品编号</t>
        </is>
      </c>
      <c r="H141" t="inlineStr">
        <is>
          <t>VARCHAR</t>
        </is>
      </c>
      <c r="I141" t="inlineStr">
        <is>
          <t>32</t>
        </is>
      </c>
    </row>
    <row r="142">
      <c r="A142" t="inlineStr">
        <is>
          <t>评价调查信息管理</t>
        </is>
      </c>
      <c r="B142" t="inlineStr">
        <is>
          <t>APPRAISAL_AGENCY_APPRAISE</t>
        </is>
      </c>
      <c r="C142" t="inlineStr">
        <is>
          <t>BUSINESSTYPE</t>
        </is>
      </c>
      <c r="D142" t="inlineStr">
        <is>
          <t>VARCHAR(18)</t>
        </is>
      </c>
      <c r="E142" t="inlineStr">
        <is>
          <t>YES</t>
        </is>
      </c>
      <c r="F142" t="inlineStr">
        <is>
          <t>委托业务类型</t>
        </is>
      </c>
      <c r="H142" t="inlineStr">
        <is>
          <t>VARCHAR</t>
        </is>
      </c>
      <c r="I142" t="inlineStr">
        <is>
          <t>18</t>
        </is>
      </c>
    </row>
    <row r="143">
      <c r="A143" t="inlineStr">
        <is>
          <t>评价调查信息管理</t>
        </is>
      </c>
      <c r="B143" t="inlineStr">
        <is>
          <t>APPRAISAL_AGENCY_APPRAISE</t>
        </is>
      </c>
      <c r="C143" t="inlineStr">
        <is>
          <t>PERSONFEEDBACK</t>
        </is>
      </c>
      <c r="D143" t="inlineStr">
        <is>
          <t>VARCHAR(1000)</t>
        </is>
      </c>
      <c r="E143" t="inlineStr">
        <is>
          <t>YES</t>
        </is>
      </c>
      <c r="F143" t="inlineStr">
        <is>
          <t>人员反馈事项</t>
        </is>
      </c>
      <c r="H143" t="inlineStr">
        <is>
          <t>VARCHAR</t>
        </is>
      </c>
      <c r="I143" t="inlineStr">
        <is>
          <t>1000</t>
        </is>
      </c>
    </row>
    <row r="144">
      <c r="A144" t="inlineStr">
        <is>
          <t>评价调查信息管理</t>
        </is>
      </c>
      <c r="B144" t="inlineStr">
        <is>
          <t>APPRAISAL_AGENCY_APPRAISE</t>
        </is>
      </c>
      <c r="C144" t="inlineStr">
        <is>
          <t>OTHERFEEDBACK</t>
        </is>
      </c>
      <c r="D144" t="inlineStr">
        <is>
          <t>VARCHAR(1000)</t>
        </is>
      </c>
      <c r="E144" t="inlineStr">
        <is>
          <t>YES</t>
        </is>
      </c>
      <c r="F144" t="inlineStr">
        <is>
          <t>其他反馈事项</t>
        </is>
      </c>
      <c r="H144" t="inlineStr">
        <is>
          <t>VARCHAR</t>
        </is>
      </c>
      <c r="I144" t="inlineStr">
        <is>
          <t>1000</t>
        </is>
      </c>
    </row>
    <row r="145">
      <c r="A145" t="inlineStr">
        <is>
          <t>评价调查信息管理</t>
        </is>
      </c>
      <c r="B145" t="inlineStr">
        <is>
          <t>APPRAISAL_AGENCY_APPRAISE</t>
        </is>
      </c>
      <c r="C145" t="inlineStr">
        <is>
          <t>FEEDMATTERADD</t>
        </is>
      </c>
      <c r="D145" t="inlineStr">
        <is>
          <t>VARCHAR(1000)</t>
        </is>
      </c>
      <c r="E145" t="inlineStr">
        <is>
          <t>YES</t>
        </is>
      </c>
      <c r="F145" t="inlineStr">
        <is>
          <t>人员反馈事项补充</t>
        </is>
      </c>
      <c r="H145" t="inlineStr">
        <is>
          <t>VARCHAR</t>
        </is>
      </c>
      <c r="I145" t="inlineStr">
        <is>
          <t>1000</t>
        </is>
      </c>
    </row>
    <row r="146">
      <c r="A146" t="inlineStr">
        <is>
          <t>评价调查信息管理</t>
        </is>
      </c>
      <c r="B146" t="inlineStr">
        <is>
          <t>APPRAISAL_AGENCY_APPRAISE</t>
        </is>
      </c>
      <c r="C146" t="inlineStr">
        <is>
          <t>APPRAISALDATE</t>
        </is>
      </c>
      <c r="D146" t="inlineStr">
        <is>
          <t>DATETIME</t>
        </is>
      </c>
      <c r="E146" t="inlineStr">
        <is>
          <t>YES</t>
        </is>
      </c>
      <c r="F146" t="inlineStr">
        <is>
          <t>评价日期</t>
        </is>
      </c>
      <c r="H146" t="inlineStr">
        <is>
          <t>DATETIME</t>
        </is>
      </c>
    </row>
    <row r="147">
      <c r="A147" t="inlineStr">
        <is>
          <t>评价调查信息管理</t>
        </is>
      </c>
      <c r="B147" t="inlineStr">
        <is>
          <t>APPRAISAL_AGENCY_APPRAISE</t>
        </is>
      </c>
      <c r="C147" t="inlineStr">
        <is>
          <t>INPUTUSERID</t>
        </is>
      </c>
      <c r="D147" t="inlineStr">
        <is>
          <t>VARCHAR(32)</t>
        </is>
      </c>
      <c r="E147" t="inlineStr">
        <is>
          <t>YES</t>
        </is>
      </c>
      <c r="F147" t="inlineStr">
        <is>
          <t>登记人</t>
        </is>
      </c>
      <c r="H147" t="inlineStr">
        <is>
          <t>VARCHAR</t>
        </is>
      </c>
      <c r="I147" t="inlineStr">
        <is>
          <t>32</t>
        </is>
      </c>
    </row>
    <row r="148">
      <c r="A148" t="inlineStr">
        <is>
          <t>评价调查信息管理</t>
        </is>
      </c>
      <c r="B148" t="inlineStr">
        <is>
          <t>APPRAISAL_AGENCY_APPRAISE</t>
        </is>
      </c>
      <c r="C148" t="inlineStr">
        <is>
          <t>INPUTORGID</t>
        </is>
      </c>
      <c r="D148" t="inlineStr">
        <is>
          <t>VARCHAR(32)</t>
        </is>
      </c>
      <c r="E148" t="inlineStr">
        <is>
          <t>YES</t>
        </is>
      </c>
      <c r="F148" t="inlineStr">
        <is>
          <t>登记机构</t>
        </is>
      </c>
      <c r="H148" t="inlineStr">
        <is>
          <t>VARCHAR</t>
        </is>
      </c>
      <c r="I148" t="inlineStr">
        <is>
          <t>32</t>
        </is>
      </c>
    </row>
    <row r="149">
      <c r="A149" t="inlineStr">
        <is>
          <t>评价调查信息管理</t>
        </is>
      </c>
      <c r="B149" t="inlineStr">
        <is>
          <t>APPRAISAL_AGENCY_APPRAISE</t>
        </is>
      </c>
      <c r="C149" t="inlineStr">
        <is>
          <t>INPUTDATE</t>
        </is>
      </c>
      <c r="D149" t="inlineStr">
        <is>
          <t>DATETIME</t>
        </is>
      </c>
      <c r="E149" t="inlineStr">
        <is>
          <t>YES</t>
        </is>
      </c>
      <c r="F149" t="inlineStr">
        <is>
          <t>登记日期</t>
        </is>
      </c>
      <c r="H149" t="inlineStr">
        <is>
          <t>DATETIME</t>
        </is>
      </c>
    </row>
    <row r="150">
      <c r="A150" t="inlineStr">
        <is>
          <t>评价调查信息管理</t>
        </is>
      </c>
      <c r="B150" t="inlineStr">
        <is>
          <t>APPRAISAL_AGENCY_APPRAISE</t>
        </is>
      </c>
      <c r="C150" t="inlineStr">
        <is>
          <t>UPDATEUSERID</t>
        </is>
      </c>
      <c r="D150" t="inlineStr">
        <is>
          <t>VARCHAR(32)</t>
        </is>
      </c>
      <c r="E150" t="inlineStr">
        <is>
          <t>YES</t>
        </is>
      </c>
      <c r="F150" t="inlineStr">
        <is>
          <t>更新人</t>
        </is>
      </c>
      <c r="H150" t="inlineStr">
        <is>
          <t>VARCHAR</t>
        </is>
      </c>
      <c r="I150" t="inlineStr">
        <is>
          <t>32</t>
        </is>
      </c>
    </row>
    <row r="151">
      <c r="A151" t="inlineStr">
        <is>
          <t>评价调查信息管理</t>
        </is>
      </c>
      <c r="B151" t="inlineStr">
        <is>
          <t>APPRAISAL_AGENCY_APPRAISE</t>
        </is>
      </c>
      <c r="C151" t="inlineStr">
        <is>
          <t>UPDATEORGID</t>
        </is>
      </c>
      <c r="D151" t="inlineStr">
        <is>
          <t>VARCHAR(32)</t>
        </is>
      </c>
      <c r="E151" t="inlineStr">
        <is>
          <t>YES</t>
        </is>
      </c>
      <c r="F151" t="inlineStr">
        <is>
          <t>更新机构</t>
        </is>
      </c>
      <c r="H151" t="inlineStr">
        <is>
          <t>VARCHAR</t>
        </is>
      </c>
      <c r="I151" t="inlineStr">
        <is>
          <t>32</t>
        </is>
      </c>
    </row>
    <row r="152">
      <c r="A152" t="inlineStr">
        <is>
          <t>评价调查信息管理</t>
        </is>
      </c>
      <c r="B152" t="inlineStr">
        <is>
          <t>APPRAISAL_AGENCY_APPRAISE</t>
        </is>
      </c>
      <c r="C152" t="inlineStr">
        <is>
          <t>UPDATEDATE</t>
        </is>
      </c>
      <c r="D152" t="inlineStr">
        <is>
          <t>DATETIME</t>
        </is>
      </c>
      <c r="E152" t="inlineStr">
        <is>
          <t>YES</t>
        </is>
      </c>
      <c r="F152" t="inlineStr">
        <is>
          <t>更新日期</t>
        </is>
      </c>
      <c r="H152" t="inlineStr">
        <is>
          <t>DATETIME</t>
        </is>
      </c>
    </row>
    <row r="153">
      <c r="A153" t="inlineStr">
        <is>
          <t>评价调查信息管理</t>
        </is>
      </c>
      <c r="B153" t="inlineStr">
        <is>
          <t>APPRAISAL_AGENCY_APPRAISE</t>
        </is>
      </c>
      <c r="C153" t="inlineStr">
        <is>
          <t>REMARK</t>
        </is>
      </c>
      <c r="D153" t="inlineStr">
        <is>
          <t>VARCHAR(1000)</t>
        </is>
      </c>
      <c r="E153" t="inlineStr">
        <is>
          <t>YES</t>
        </is>
      </c>
      <c r="F153" t="inlineStr">
        <is>
          <t>备注</t>
        </is>
      </c>
      <c r="H153" t="inlineStr">
        <is>
          <t>VARCHAR</t>
        </is>
      </c>
      <c r="I153" t="inlineStr">
        <is>
          <t>1000</t>
        </is>
      </c>
    </row>
    <row r="154">
      <c r="A154" t="inlineStr">
        <is>
          <t>评价调查信息管理</t>
        </is>
      </c>
      <c r="B154" t="inlineStr">
        <is>
          <t>APPRAISAL_AGENCY_APPRAISE</t>
        </is>
      </c>
      <c r="C154" t="inlineStr">
        <is>
          <t>CORPORGID</t>
        </is>
      </c>
      <c r="D154" t="inlineStr">
        <is>
          <t>VARCHAR(32)</t>
        </is>
      </c>
      <c r="E154" t="inlineStr">
        <is>
          <t>YES</t>
        </is>
      </c>
      <c r="F154" t="inlineStr">
        <is>
          <t>法人机构编号</t>
        </is>
      </c>
      <c r="H154" t="inlineStr">
        <is>
          <t>VARCHAR</t>
        </is>
      </c>
      <c r="I154" t="inlineStr">
        <is>
          <t>32</t>
        </is>
      </c>
    </row>
    <row r="155">
      <c r="A155" t="inlineStr">
        <is>
          <t>评价调查信息管理</t>
        </is>
      </c>
      <c r="B155" t="inlineStr">
        <is>
          <t>APPRAISAL_AGENCY_APPRAISE</t>
        </is>
      </c>
      <c r="C155" t="inlineStr">
        <is>
          <t>OPINION</t>
        </is>
      </c>
      <c r="D155" t="inlineStr">
        <is>
          <t>VARCHAR(4000)</t>
        </is>
      </c>
      <c r="E155" t="inlineStr">
        <is>
          <t>YES</t>
        </is>
      </c>
      <c r="F155" t="inlineStr">
        <is>
          <t>人员总体意见</t>
        </is>
      </c>
      <c r="H155" t="inlineStr">
        <is>
          <t>VARCHAR</t>
        </is>
      </c>
      <c r="I155" t="inlineStr">
        <is>
          <t>4000</t>
        </is>
      </c>
    </row>
    <row r="156">
      <c r="A156" t="inlineStr">
        <is>
          <t>评估机构合作协议</t>
        </is>
      </c>
      <c r="B156" t="inlineStr">
        <is>
          <t>APPRAISAL_AGENCY_COOPERATION</t>
        </is>
      </c>
      <c r="C156" t="inlineStr">
        <is>
          <t>SERIALNO</t>
        </is>
      </c>
      <c r="D156" t="inlineStr">
        <is>
          <t>VARCHAR(32)</t>
        </is>
      </c>
      <c r="E156" t="inlineStr">
        <is>
          <t>NO</t>
        </is>
      </c>
      <c r="F156" t="inlineStr">
        <is>
          <t>流水号</t>
        </is>
      </c>
      <c r="H156" t="inlineStr">
        <is>
          <t>VARCHAR</t>
        </is>
      </c>
      <c r="I156" t="inlineStr">
        <is>
          <t>32</t>
        </is>
      </c>
    </row>
    <row r="157">
      <c r="A157" t="inlineStr">
        <is>
          <t>评估机构合作协议</t>
        </is>
      </c>
      <c r="B157" t="inlineStr">
        <is>
          <t>APPRAISAL_AGENCY_COOPERATION</t>
        </is>
      </c>
      <c r="C157" t="inlineStr">
        <is>
          <t>AGRMID</t>
        </is>
      </c>
      <c r="D157" t="inlineStr">
        <is>
          <t>VARCHAR(32)</t>
        </is>
      </c>
      <c r="E157" t="inlineStr">
        <is>
          <t>YES</t>
        </is>
      </c>
      <c r="F157" t="inlineStr">
        <is>
          <t>合作协议编号</t>
        </is>
      </c>
      <c r="H157" t="inlineStr">
        <is>
          <t>VARCHAR</t>
        </is>
      </c>
      <c r="I157" t="inlineStr">
        <is>
          <t>32</t>
        </is>
      </c>
    </row>
    <row r="158">
      <c r="A158" t="inlineStr">
        <is>
          <t>评估机构合作协议</t>
        </is>
      </c>
      <c r="B158" t="inlineStr">
        <is>
          <t>APPRAISAL_AGENCY_COOPERATION</t>
        </is>
      </c>
      <c r="C158" t="inlineStr">
        <is>
          <t>APPRAISALORGID</t>
        </is>
      </c>
      <c r="D158" t="inlineStr">
        <is>
          <t>VARCHAR(32)</t>
        </is>
      </c>
      <c r="E158" t="inlineStr">
        <is>
          <t>YES</t>
        </is>
      </c>
      <c r="F158" t="inlineStr">
        <is>
          <t>评估机构编号</t>
        </is>
      </c>
      <c r="H158" t="inlineStr">
        <is>
          <t>VARCHAR</t>
        </is>
      </c>
      <c r="I158" t="inlineStr">
        <is>
          <t>32</t>
        </is>
      </c>
    </row>
    <row r="159">
      <c r="A159" t="inlineStr">
        <is>
          <t>评估机构合作协议</t>
        </is>
      </c>
      <c r="B159" t="inlineStr">
        <is>
          <t>APPRAISAL_AGENCY_COOPERATION</t>
        </is>
      </c>
      <c r="C159" t="inlineStr">
        <is>
          <t>APPRAISALAPPLYNO</t>
        </is>
      </c>
      <c r="D159" t="inlineStr">
        <is>
          <t>VARCHAR(32)</t>
        </is>
      </c>
      <c r="E159" t="inlineStr">
        <is>
          <t>YES</t>
        </is>
      </c>
      <c r="F159" t="inlineStr">
        <is>
          <t>评估机构流程申请编号</t>
        </is>
      </c>
      <c r="H159" t="inlineStr">
        <is>
          <t>VARCHAR</t>
        </is>
      </c>
      <c r="I159" t="inlineStr">
        <is>
          <t>32</t>
        </is>
      </c>
    </row>
    <row r="160">
      <c r="A160" t="inlineStr">
        <is>
          <t>评估机构合作协议</t>
        </is>
      </c>
      <c r="B160" t="inlineStr">
        <is>
          <t>APPRAISAL_AGENCY_COOPERATION</t>
        </is>
      </c>
      <c r="C160" t="inlineStr">
        <is>
          <t>EFFECTIVEDATE</t>
        </is>
      </c>
      <c r="D160" t="inlineStr">
        <is>
          <t>DATETIME</t>
        </is>
      </c>
      <c r="E160" t="inlineStr">
        <is>
          <t>YES</t>
        </is>
      </c>
      <c r="F160" t="inlineStr">
        <is>
          <t>生效日期</t>
        </is>
      </c>
      <c r="H160" t="inlineStr">
        <is>
          <t>DATETIME</t>
        </is>
      </c>
    </row>
    <row r="161">
      <c r="A161" t="inlineStr">
        <is>
          <t>评估机构合作协议</t>
        </is>
      </c>
      <c r="B161" t="inlineStr">
        <is>
          <t>APPRAISAL_AGENCY_COOPERATION</t>
        </is>
      </c>
      <c r="C161" t="inlineStr">
        <is>
          <t>EXPIRYDATE</t>
        </is>
      </c>
      <c r="D161" t="inlineStr">
        <is>
          <t>DATETIME</t>
        </is>
      </c>
      <c r="E161" t="inlineStr">
        <is>
          <t>YES</t>
        </is>
      </c>
      <c r="F161" t="inlineStr">
        <is>
          <t>失效日期</t>
        </is>
      </c>
      <c r="H161" t="inlineStr">
        <is>
          <t>DATETIME</t>
        </is>
      </c>
    </row>
    <row r="162">
      <c r="A162" t="inlineStr">
        <is>
          <t>评估机构合作协议</t>
        </is>
      </c>
      <c r="B162" t="inlineStr">
        <is>
          <t>APPRAISAL_AGENCY_COOPERATION</t>
        </is>
      </c>
      <c r="C162" t="inlineStr">
        <is>
          <t>STATUS</t>
        </is>
      </c>
      <c r="D162" t="inlineStr">
        <is>
          <t>VARCHAR(6)</t>
        </is>
      </c>
      <c r="E162" t="inlineStr">
        <is>
          <t>YES</t>
        </is>
      </c>
      <c r="F162" t="inlineStr">
        <is>
          <t>状态</t>
        </is>
      </c>
      <c r="H162" t="inlineStr">
        <is>
          <t>VARCHAR</t>
        </is>
      </c>
      <c r="I162" t="inlineStr">
        <is>
          <t>6</t>
        </is>
      </c>
    </row>
    <row r="163">
      <c r="A163" t="inlineStr">
        <is>
          <t>评估机构合作协议</t>
        </is>
      </c>
      <c r="B163" t="inlineStr">
        <is>
          <t>APPRAISAL_AGENCY_COOPERATION</t>
        </is>
      </c>
      <c r="C163" t="inlineStr">
        <is>
          <t>BUSINESSTYPE</t>
        </is>
      </c>
      <c r="D163" t="inlineStr">
        <is>
          <t>VARCHAR(18)</t>
        </is>
      </c>
      <c r="E163" t="inlineStr">
        <is>
          <t>YES</t>
        </is>
      </c>
      <c r="F163" t="inlineStr">
        <is>
          <t>开展业务种类</t>
        </is>
      </c>
      <c r="H163" t="inlineStr">
        <is>
          <t>VARCHAR</t>
        </is>
      </c>
      <c r="I163" t="inlineStr">
        <is>
          <t>18</t>
        </is>
      </c>
    </row>
    <row r="164">
      <c r="A164" t="inlineStr">
        <is>
          <t>评估机构合作协议</t>
        </is>
      </c>
      <c r="B164" t="inlineStr">
        <is>
          <t>APPRAISAL_AGENCY_COOPERATION</t>
        </is>
      </c>
      <c r="C164" t="inlineStr">
        <is>
          <t>RISKDEPOSIT</t>
        </is>
      </c>
      <c r="D164" t="inlineStr">
        <is>
          <t>DECIMAL(24,6)</t>
        </is>
      </c>
      <c r="E164" t="inlineStr">
        <is>
          <t>YES</t>
        </is>
      </c>
      <c r="F164" t="inlineStr">
        <is>
          <t>风险保证金金额</t>
        </is>
      </c>
      <c r="H164" t="inlineStr">
        <is>
          <t>DECIMAL</t>
        </is>
      </c>
      <c r="I164" t="inlineStr">
        <is>
          <t>24,6</t>
        </is>
      </c>
    </row>
    <row r="165">
      <c r="A165" t="inlineStr">
        <is>
          <t>评估机构合作协议</t>
        </is>
      </c>
      <c r="B165" t="inlineStr">
        <is>
          <t>APPRAISAL_AGENCY_COOPERATION</t>
        </is>
      </c>
      <c r="C165" t="inlineStr">
        <is>
          <t>PAYDEPOSITDATE</t>
        </is>
      </c>
      <c r="D165" t="inlineStr">
        <is>
          <t>DATETIME</t>
        </is>
      </c>
      <c r="E165" t="inlineStr">
        <is>
          <t>YES</t>
        </is>
      </c>
      <c r="F165" t="inlineStr">
        <is>
          <t>风险保证金交存日期</t>
        </is>
      </c>
      <c r="H165" t="inlineStr">
        <is>
          <t>DATETIME</t>
        </is>
      </c>
    </row>
    <row r="166">
      <c r="A166" t="inlineStr">
        <is>
          <t>评估机构合作协议</t>
        </is>
      </c>
      <c r="B166" t="inlineStr">
        <is>
          <t>APPRAISAL_AGENCY_COOPERATION</t>
        </is>
      </c>
      <c r="C166" t="inlineStr">
        <is>
          <t>RELIEVEDEPOSITDATES</t>
        </is>
      </c>
      <c r="D166" t="inlineStr">
        <is>
          <t>DATETIME</t>
        </is>
      </c>
      <c r="E166" t="inlineStr">
        <is>
          <t>YES</t>
        </is>
      </c>
      <c r="F166" t="inlineStr">
        <is>
          <t>合作协议解除日期</t>
        </is>
      </c>
      <c r="H166" t="inlineStr">
        <is>
          <t>DATETIME</t>
        </is>
      </c>
    </row>
    <row r="167">
      <c r="A167" t="inlineStr">
        <is>
          <t>评估机构合作协议</t>
        </is>
      </c>
      <c r="B167" t="inlineStr">
        <is>
          <t>APPRAISAL_AGENCY_COOPERATION</t>
        </is>
      </c>
      <c r="C167" t="inlineStr">
        <is>
          <t>AGGREEMENTSIGNDATE</t>
        </is>
      </c>
      <c r="D167" t="inlineStr">
        <is>
          <t>DATETIME</t>
        </is>
      </c>
      <c r="E167" t="inlineStr">
        <is>
          <t>YES</t>
        </is>
      </c>
      <c r="F167" t="inlineStr">
        <is>
          <t>合作协议书签署日期</t>
        </is>
      </c>
      <c r="H167" t="inlineStr">
        <is>
          <t>DATETIME</t>
        </is>
      </c>
    </row>
    <row r="168">
      <c r="A168" t="inlineStr">
        <is>
          <t>评估机构合作协议</t>
        </is>
      </c>
      <c r="B168" t="inlineStr">
        <is>
          <t>APPRAISAL_AGENCY_COOPERATION</t>
        </is>
      </c>
      <c r="C168" t="inlineStr">
        <is>
          <t>INPUTUSERID</t>
        </is>
      </c>
      <c r="D168" t="inlineStr">
        <is>
          <t>VARCHAR(32)</t>
        </is>
      </c>
      <c r="E168" t="inlineStr">
        <is>
          <t>YES</t>
        </is>
      </c>
      <c r="F168" t="inlineStr">
        <is>
          <t>登记人</t>
        </is>
      </c>
      <c r="H168" t="inlineStr">
        <is>
          <t>VARCHAR</t>
        </is>
      </c>
      <c r="I168" t="inlineStr">
        <is>
          <t>32</t>
        </is>
      </c>
    </row>
    <row r="169">
      <c r="A169" t="inlineStr">
        <is>
          <t>评估机构合作协议</t>
        </is>
      </c>
      <c r="B169" t="inlineStr">
        <is>
          <t>APPRAISAL_AGENCY_COOPERATION</t>
        </is>
      </c>
      <c r="C169" t="inlineStr">
        <is>
          <t>INPUTORGID</t>
        </is>
      </c>
      <c r="D169" t="inlineStr">
        <is>
          <t>VARCHAR(32)</t>
        </is>
      </c>
      <c r="E169" t="inlineStr">
        <is>
          <t>YES</t>
        </is>
      </c>
      <c r="F169" t="inlineStr">
        <is>
          <t>登记机构</t>
        </is>
      </c>
      <c r="H169" t="inlineStr">
        <is>
          <t>VARCHAR</t>
        </is>
      </c>
      <c r="I169" t="inlineStr">
        <is>
          <t>32</t>
        </is>
      </c>
    </row>
    <row r="170">
      <c r="A170" t="inlineStr">
        <is>
          <t>评估机构合作协议</t>
        </is>
      </c>
      <c r="B170" t="inlineStr">
        <is>
          <t>APPRAISAL_AGENCY_COOPERATION</t>
        </is>
      </c>
      <c r="C170" t="inlineStr">
        <is>
          <t>INPUTDATE</t>
        </is>
      </c>
      <c r="D170" t="inlineStr">
        <is>
          <t>DATETIME</t>
        </is>
      </c>
      <c r="E170" t="inlineStr">
        <is>
          <t>YES</t>
        </is>
      </c>
      <c r="F170" t="inlineStr">
        <is>
          <t>登记日期</t>
        </is>
      </c>
      <c r="H170" t="inlineStr">
        <is>
          <t>DATETIME</t>
        </is>
      </c>
    </row>
    <row r="171">
      <c r="A171" t="inlineStr">
        <is>
          <t>评估机构合作协议</t>
        </is>
      </c>
      <c r="B171" t="inlineStr">
        <is>
          <t>APPRAISAL_AGENCY_COOPERATION</t>
        </is>
      </c>
      <c r="C171" t="inlineStr">
        <is>
          <t>UPDATEUSERID</t>
        </is>
      </c>
      <c r="D171" t="inlineStr">
        <is>
          <t>VARCHAR(32)</t>
        </is>
      </c>
      <c r="E171" t="inlineStr">
        <is>
          <t>YES</t>
        </is>
      </c>
      <c r="F171" t="inlineStr">
        <is>
          <t>更新人</t>
        </is>
      </c>
      <c r="H171" t="inlineStr">
        <is>
          <t>VARCHAR</t>
        </is>
      </c>
      <c r="I171" t="inlineStr">
        <is>
          <t>32</t>
        </is>
      </c>
    </row>
    <row r="172">
      <c r="A172" t="inlineStr">
        <is>
          <t>评估机构合作协议</t>
        </is>
      </c>
      <c r="B172" t="inlineStr">
        <is>
          <t>APPRAISAL_AGENCY_COOPERATION</t>
        </is>
      </c>
      <c r="C172" t="inlineStr">
        <is>
          <t>UPDATEORGID</t>
        </is>
      </c>
      <c r="D172" t="inlineStr">
        <is>
          <t>VARCHAR(32)</t>
        </is>
      </c>
      <c r="E172" t="inlineStr">
        <is>
          <t>YES</t>
        </is>
      </c>
      <c r="F172" t="inlineStr">
        <is>
          <t>更新机构</t>
        </is>
      </c>
      <c r="H172" t="inlineStr">
        <is>
          <t>VARCHAR</t>
        </is>
      </c>
      <c r="I172" t="inlineStr">
        <is>
          <t>32</t>
        </is>
      </c>
    </row>
    <row r="173">
      <c r="A173" t="inlineStr">
        <is>
          <t>评估机构合作协议</t>
        </is>
      </c>
      <c r="B173" t="inlineStr">
        <is>
          <t>APPRAISAL_AGENCY_COOPERATION</t>
        </is>
      </c>
      <c r="C173" t="inlineStr">
        <is>
          <t>UPDATEDATE</t>
        </is>
      </c>
      <c r="D173" t="inlineStr">
        <is>
          <t>DATETIME</t>
        </is>
      </c>
      <c r="E173" t="inlineStr">
        <is>
          <t>YES</t>
        </is>
      </c>
      <c r="F173" t="inlineStr">
        <is>
          <t>更新日期</t>
        </is>
      </c>
      <c r="H173" t="inlineStr">
        <is>
          <t>DATETIME</t>
        </is>
      </c>
    </row>
    <row r="174">
      <c r="A174" t="inlineStr">
        <is>
          <t>评估机构合作协议</t>
        </is>
      </c>
      <c r="B174" t="inlineStr">
        <is>
          <t>APPRAISAL_AGENCY_COOPERATION</t>
        </is>
      </c>
      <c r="C174" t="inlineStr">
        <is>
          <t>REMARK</t>
        </is>
      </c>
      <c r="D174" t="inlineStr">
        <is>
          <t>VARCHAR(1000)</t>
        </is>
      </c>
      <c r="E174" t="inlineStr">
        <is>
          <t>YES</t>
        </is>
      </c>
      <c r="F174" t="inlineStr">
        <is>
          <t>备注</t>
        </is>
      </c>
      <c r="H174" t="inlineStr">
        <is>
          <t>VARCHAR</t>
        </is>
      </c>
      <c r="I174" t="inlineStr">
        <is>
          <t>1000</t>
        </is>
      </c>
    </row>
    <row r="175">
      <c r="A175" t="inlineStr">
        <is>
          <t>评估机构合作协议</t>
        </is>
      </c>
      <c r="B175" t="inlineStr">
        <is>
          <t>APPRAISAL_AGENCY_COOPERATION</t>
        </is>
      </c>
      <c r="C175" t="inlineStr">
        <is>
          <t>CORPORGID</t>
        </is>
      </c>
      <c r="D175" t="inlineStr">
        <is>
          <t>VARCHAR(32)</t>
        </is>
      </c>
      <c r="E175" t="inlineStr">
        <is>
          <t>YES</t>
        </is>
      </c>
      <c r="F175" t="inlineStr">
        <is>
          <t>法人机构编号</t>
        </is>
      </c>
      <c r="H175" t="inlineStr">
        <is>
          <t>VARCHAR</t>
        </is>
      </c>
      <c r="I175" t="inlineStr">
        <is>
          <t>32</t>
        </is>
      </c>
    </row>
    <row r="176">
      <c r="A176" t="inlineStr">
        <is>
          <t>评估机构合作协议</t>
        </is>
      </c>
      <c r="B176" t="inlineStr">
        <is>
          <t>APPRAISAL_AGENCY_COOPERATION</t>
        </is>
      </c>
      <c r="C176" t="inlineStr">
        <is>
          <t>AGRMTXT</t>
        </is>
      </c>
      <c r="D176" t="inlineStr">
        <is>
          <t>VARCHAR(4000)</t>
        </is>
      </c>
      <c r="E176" t="inlineStr">
        <is>
          <t>YES</t>
        </is>
      </c>
      <c r="F176" t="inlineStr">
        <is>
          <t>合作协议文本</t>
        </is>
      </c>
      <c r="H176" t="inlineStr">
        <is>
          <t>VARCHAR</t>
        </is>
      </c>
      <c r="I176" t="inlineStr">
        <is>
          <t>4000</t>
        </is>
      </c>
    </row>
    <row r="177">
      <c r="A177" t="inlineStr">
        <is>
          <t>评估机构事件表</t>
        </is>
      </c>
      <c r="B177" t="inlineStr">
        <is>
          <t>APPRAISAL_AGENCY_EVENT</t>
        </is>
      </c>
      <c r="C177" t="inlineStr">
        <is>
          <t>EVENTSERIALNO</t>
        </is>
      </c>
      <c r="D177" t="inlineStr">
        <is>
          <t>VARCHAR(32)</t>
        </is>
      </c>
      <c r="E177" t="inlineStr">
        <is>
          <t>NO</t>
        </is>
      </c>
      <c r="F177" t="inlineStr">
        <is>
          <t>评估机构事件编号</t>
        </is>
      </c>
      <c r="H177" t="inlineStr">
        <is>
          <t>VARCHAR</t>
        </is>
      </c>
      <c r="I177" t="inlineStr">
        <is>
          <t>32</t>
        </is>
      </c>
    </row>
    <row r="178">
      <c r="A178" t="inlineStr">
        <is>
          <t>评估机构事件表</t>
        </is>
      </c>
      <c r="B178" t="inlineStr">
        <is>
          <t>APPRAISAL_AGENCY_EVENT</t>
        </is>
      </c>
      <c r="C178" t="inlineStr">
        <is>
          <t>RELATIVESERIALNO</t>
        </is>
      </c>
      <c r="D178" t="inlineStr">
        <is>
          <t>VARCHAR(32)</t>
        </is>
      </c>
      <c r="E178" t="inlineStr">
        <is>
          <t>YES</t>
        </is>
      </c>
      <c r="F178" t="inlineStr">
        <is>
          <t>关联解除事件编号</t>
        </is>
      </c>
      <c r="H178" t="inlineStr">
        <is>
          <t>VARCHAR</t>
        </is>
      </c>
      <c r="I178" t="inlineStr">
        <is>
          <t>32</t>
        </is>
      </c>
    </row>
    <row r="179">
      <c r="A179" t="inlineStr">
        <is>
          <t>评估机构事件表</t>
        </is>
      </c>
      <c r="B179" t="inlineStr">
        <is>
          <t>APPRAISAL_AGENCY_EVENT</t>
        </is>
      </c>
      <c r="C179" t="inlineStr">
        <is>
          <t>EVENTTYPE</t>
        </is>
      </c>
      <c r="D179" t="inlineStr">
        <is>
          <t>VARCHAR(32)</t>
        </is>
      </c>
      <c r="E179" t="inlineStr">
        <is>
          <t>YES</t>
        </is>
      </c>
      <c r="F179" t="inlineStr">
        <is>
          <t>事件类型</t>
        </is>
      </c>
      <c r="H179" t="inlineStr">
        <is>
          <t>VARCHAR</t>
        </is>
      </c>
      <c r="I179" t="inlineStr">
        <is>
          <t>32</t>
        </is>
      </c>
    </row>
    <row r="180">
      <c r="A180" t="inlineStr">
        <is>
          <t>评估机构事件表</t>
        </is>
      </c>
      <c r="B180" t="inlineStr">
        <is>
          <t>APPRAISAL_AGENCY_EVENT</t>
        </is>
      </c>
      <c r="C180" t="inlineStr">
        <is>
          <t>EVENTSTATUS</t>
        </is>
      </c>
      <c r="D180" t="inlineStr">
        <is>
          <t>VARCHAR(6)</t>
        </is>
      </c>
      <c r="E180" t="inlineStr">
        <is>
          <t>YES</t>
        </is>
      </c>
      <c r="F180" t="inlineStr">
        <is>
          <t>事件状态</t>
        </is>
      </c>
      <c r="H180" t="inlineStr">
        <is>
          <t>VARCHAR</t>
        </is>
      </c>
      <c r="I180" t="inlineStr">
        <is>
          <t>6</t>
        </is>
      </c>
    </row>
    <row r="181">
      <c r="A181" t="inlineStr">
        <is>
          <t>评估机构事件表</t>
        </is>
      </c>
      <c r="B181" t="inlineStr">
        <is>
          <t>APPRAISAL_AGENCY_EVENT</t>
        </is>
      </c>
      <c r="C181" t="inlineStr">
        <is>
          <t>EVENTRULES</t>
        </is>
      </c>
      <c r="D181" t="inlineStr">
        <is>
          <t>VARCHAR(6)</t>
        </is>
      </c>
      <c r="E181" t="inlineStr">
        <is>
          <t>YES</t>
        </is>
      </c>
      <c r="F181" t="inlineStr">
        <is>
          <t>事件规则</t>
        </is>
      </c>
      <c r="H181" t="inlineStr">
        <is>
          <t>VARCHAR</t>
        </is>
      </c>
      <c r="I181" t="inlineStr">
        <is>
          <t>6</t>
        </is>
      </c>
    </row>
    <row r="182">
      <c r="A182" t="inlineStr">
        <is>
          <t>评估机构事件表</t>
        </is>
      </c>
      <c r="B182" t="inlineStr">
        <is>
          <t>APPRAISAL_AGENCY_EVENT</t>
        </is>
      </c>
      <c r="C182" t="inlineStr">
        <is>
          <t>EVENTREASON</t>
        </is>
      </c>
      <c r="D182" t="inlineStr">
        <is>
          <t>VARCHAR(500)</t>
        </is>
      </c>
      <c r="E182" t="inlineStr">
        <is>
          <t>YES</t>
        </is>
      </c>
      <c r="F182" t="inlineStr">
        <is>
          <t>事件说明</t>
        </is>
      </c>
      <c r="H182" t="inlineStr">
        <is>
          <t>VARCHAR</t>
        </is>
      </c>
      <c r="I182" t="inlineStr">
        <is>
          <t>500</t>
        </is>
      </c>
    </row>
    <row r="183">
      <c r="A183" t="inlineStr">
        <is>
          <t>评估机构事件表</t>
        </is>
      </c>
      <c r="B183" t="inlineStr">
        <is>
          <t>APPRAISAL_AGENCY_EVENT</t>
        </is>
      </c>
      <c r="C183" t="inlineStr">
        <is>
          <t>AFFIRMUSERID</t>
        </is>
      </c>
      <c r="D183" t="inlineStr">
        <is>
          <t>VARCHAR(32)</t>
        </is>
      </c>
      <c r="E183" t="inlineStr">
        <is>
          <t>YES</t>
        </is>
      </c>
      <c r="F183" t="inlineStr">
        <is>
          <t>认定人</t>
        </is>
      </c>
      <c r="H183" t="inlineStr">
        <is>
          <t>VARCHAR</t>
        </is>
      </c>
      <c r="I183" t="inlineStr">
        <is>
          <t>32</t>
        </is>
      </c>
    </row>
    <row r="184">
      <c r="A184" t="inlineStr">
        <is>
          <t>评估机构事件表</t>
        </is>
      </c>
      <c r="B184" t="inlineStr">
        <is>
          <t>APPRAISAL_AGENCY_EVENT</t>
        </is>
      </c>
      <c r="C184" t="inlineStr">
        <is>
          <t>AFFIRMORGID</t>
        </is>
      </c>
      <c r="D184" t="inlineStr">
        <is>
          <t>VARCHAR(32)</t>
        </is>
      </c>
      <c r="E184" t="inlineStr">
        <is>
          <t>YES</t>
        </is>
      </c>
      <c r="F184" t="inlineStr">
        <is>
          <t>认定机构</t>
        </is>
      </c>
      <c r="H184" t="inlineStr">
        <is>
          <t>VARCHAR</t>
        </is>
      </c>
      <c r="I184" t="inlineStr">
        <is>
          <t>32</t>
        </is>
      </c>
    </row>
    <row r="185">
      <c r="A185" t="inlineStr">
        <is>
          <t>评估机构事件表</t>
        </is>
      </c>
      <c r="B185" t="inlineStr">
        <is>
          <t>APPRAISAL_AGENCY_EVENT</t>
        </is>
      </c>
      <c r="C185" t="inlineStr">
        <is>
          <t>AFFIRMDATE</t>
        </is>
      </c>
      <c r="D185" t="inlineStr">
        <is>
          <t>DATETIME</t>
        </is>
      </c>
      <c r="E185" t="inlineStr">
        <is>
          <t>YES</t>
        </is>
      </c>
      <c r="F185" t="inlineStr">
        <is>
          <t>认定时间</t>
        </is>
      </c>
      <c r="H185" t="inlineStr">
        <is>
          <t>DATETIME</t>
        </is>
      </c>
    </row>
    <row r="186">
      <c r="A186" t="inlineStr">
        <is>
          <t>评估机构事件表</t>
        </is>
      </c>
      <c r="B186" t="inlineStr">
        <is>
          <t>APPRAISAL_AGENCY_EVENT</t>
        </is>
      </c>
      <c r="C186" t="inlineStr">
        <is>
          <t>RELEASEUSERID</t>
        </is>
      </c>
      <c r="D186" t="inlineStr">
        <is>
          <t>VARCHAR(32)</t>
        </is>
      </c>
      <c r="E186" t="inlineStr">
        <is>
          <t>YES</t>
        </is>
      </c>
      <c r="F186" t="inlineStr">
        <is>
          <t>解除人</t>
        </is>
      </c>
      <c r="H186" t="inlineStr">
        <is>
          <t>VARCHAR</t>
        </is>
      </c>
      <c r="I186" t="inlineStr">
        <is>
          <t>32</t>
        </is>
      </c>
    </row>
    <row r="187">
      <c r="A187" t="inlineStr">
        <is>
          <t>评估机构事件表</t>
        </is>
      </c>
      <c r="B187" t="inlineStr">
        <is>
          <t>APPRAISAL_AGENCY_EVENT</t>
        </is>
      </c>
      <c r="C187" t="inlineStr">
        <is>
          <t>RELEASEORGID</t>
        </is>
      </c>
      <c r="D187" t="inlineStr">
        <is>
          <t>VARCHAR(32)</t>
        </is>
      </c>
      <c r="E187" t="inlineStr">
        <is>
          <t>YES</t>
        </is>
      </c>
      <c r="F187" t="inlineStr">
        <is>
          <t>解除机构</t>
        </is>
      </c>
      <c r="H187" t="inlineStr">
        <is>
          <t>VARCHAR</t>
        </is>
      </c>
      <c r="I187" t="inlineStr">
        <is>
          <t>32</t>
        </is>
      </c>
    </row>
    <row r="188">
      <c r="A188" t="inlineStr">
        <is>
          <t>评估机构事件表</t>
        </is>
      </c>
      <c r="B188" t="inlineStr">
        <is>
          <t>APPRAISAL_AGENCY_EVENT</t>
        </is>
      </c>
      <c r="C188" t="inlineStr">
        <is>
          <t>RELEASEDATE</t>
        </is>
      </c>
      <c r="D188" t="inlineStr">
        <is>
          <t>DATETIME</t>
        </is>
      </c>
      <c r="E188" t="inlineStr">
        <is>
          <t>YES</t>
        </is>
      </c>
      <c r="F188" t="inlineStr">
        <is>
          <t>解除时间</t>
        </is>
      </c>
      <c r="H188" t="inlineStr">
        <is>
          <t>DATETIME</t>
        </is>
      </c>
    </row>
    <row r="189">
      <c r="A189" t="inlineStr">
        <is>
          <t>评估机构事件表</t>
        </is>
      </c>
      <c r="B189" t="inlineStr">
        <is>
          <t>APPRAISAL_AGENCY_EVENT</t>
        </is>
      </c>
      <c r="C189" t="inlineStr">
        <is>
          <t>RELEASEREASON</t>
        </is>
      </c>
      <c r="D189" t="inlineStr">
        <is>
          <t>VARCHAR(500)</t>
        </is>
      </c>
      <c r="E189" t="inlineStr">
        <is>
          <t>YES</t>
        </is>
      </c>
      <c r="F189" t="inlineStr">
        <is>
          <t>解除原因</t>
        </is>
      </c>
      <c r="H189" t="inlineStr">
        <is>
          <t>VARCHAR</t>
        </is>
      </c>
      <c r="I189" t="inlineStr">
        <is>
          <t>500</t>
        </is>
      </c>
    </row>
    <row r="190">
      <c r="A190" t="inlineStr">
        <is>
          <t>评估机构事件表</t>
        </is>
      </c>
      <c r="B190" t="inlineStr">
        <is>
          <t>APPRAISAL_AGENCY_EVENT</t>
        </is>
      </c>
      <c r="C190" t="inlineStr">
        <is>
          <t>REMARK</t>
        </is>
      </c>
      <c r="D190" t="inlineStr">
        <is>
          <t>VARCHAR(500)</t>
        </is>
      </c>
      <c r="E190" t="inlineStr">
        <is>
          <t>YES</t>
        </is>
      </c>
      <c r="F190" t="inlineStr">
        <is>
          <t>备注</t>
        </is>
      </c>
      <c r="H190" t="inlineStr">
        <is>
          <t>VARCHAR</t>
        </is>
      </c>
      <c r="I190" t="inlineStr">
        <is>
          <t>500</t>
        </is>
      </c>
    </row>
    <row r="191">
      <c r="A191" t="inlineStr">
        <is>
          <t>评估机构事件表</t>
        </is>
      </c>
      <c r="B191" t="inlineStr">
        <is>
          <t>APPRAISAL_AGENCY_EVENT</t>
        </is>
      </c>
      <c r="C191" t="inlineStr">
        <is>
          <t>INPUTUSERID</t>
        </is>
      </c>
      <c r="D191" t="inlineStr">
        <is>
          <t>VARCHAR(32)</t>
        </is>
      </c>
      <c r="E191" t="inlineStr">
        <is>
          <t>YES</t>
        </is>
      </c>
      <c r="F191" t="inlineStr">
        <is>
          <t>登记人</t>
        </is>
      </c>
      <c r="H191" t="inlineStr">
        <is>
          <t>VARCHAR</t>
        </is>
      </c>
      <c r="I191" t="inlineStr">
        <is>
          <t>32</t>
        </is>
      </c>
    </row>
    <row r="192">
      <c r="A192" t="inlineStr">
        <is>
          <t>评估机构事件表</t>
        </is>
      </c>
      <c r="B192" t="inlineStr">
        <is>
          <t>APPRAISAL_AGENCY_EVENT</t>
        </is>
      </c>
      <c r="C192" t="inlineStr">
        <is>
          <t>INPUTORGID</t>
        </is>
      </c>
      <c r="D192" t="inlineStr">
        <is>
          <t>VARCHAR(32)</t>
        </is>
      </c>
      <c r="E192" t="inlineStr">
        <is>
          <t>YES</t>
        </is>
      </c>
      <c r="F192" t="inlineStr">
        <is>
          <t>登记机构</t>
        </is>
      </c>
      <c r="H192" t="inlineStr">
        <is>
          <t>VARCHAR</t>
        </is>
      </c>
      <c r="I192" t="inlineStr">
        <is>
          <t>32</t>
        </is>
      </c>
    </row>
    <row r="193">
      <c r="A193" t="inlineStr">
        <is>
          <t>评估机构事件表</t>
        </is>
      </c>
      <c r="B193" t="inlineStr">
        <is>
          <t>APPRAISAL_AGENCY_EVENT</t>
        </is>
      </c>
      <c r="C193" t="inlineStr">
        <is>
          <t>INPUTDATE</t>
        </is>
      </c>
      <c r="D193" t="inlineStr">
        <is>
          <t>DATETIME</t>
        </is>
      </c>
      <c r="E193" t="inlineStr">
        <is>
          <t>YES</t>
        </is>
      </c>
      <c r="F193" t="inlineStr">
        <is>
          <t>登记日期</t>
        </is>
      </c>
      <c r="H193" t="inlineStr">
        <is>
          <t>DATETIME</t>
        </is>
      </c>
    </row>
    <row r="194">
      <c r="A194" t="inlineStr">
        <is>
          <t>评估机构事件表</t>
        </is>
      </c>
      <c r="B194" t="inlineStr">
        <is>
          <t>APPRAISAL_AGENCY_EVENT</t>
        </is>
      </c>
      <c r="C194" t="inlineStr">
        <is>
          <t>UPDATEUSERID</t>
        </is>
      </c>
      <c r="D194" t="inlineStr">
        <is>
          <t>VARCHAR(32)</t>
        </is>
      </c>
      <c r="E194" t="inlineStr">
        <is>
          <t>YES</t>
        </is>
      </c>
      <c r="F194" t="inlineStr">
        <is>
          <t>更新人</t>
        </is>
      </c>
      <c r="H194" t="inlineStr">
        <is>
          <t>VARCHAR</t>
        </is>
      </c>
      <c r="I194" t="inlineStr">
        <is>
          <t>32</t>
        </is>
      </c>
    </row>
    <row r="195">
      <c r="A195" t="inlineStr">
        <is>
          <t>评估机构事件表</t>
        </is>
      </c>
      <c r="B195" t="inlineStr">
        <is>
          <t>APPRAISAL_AGENCY_EVENT</t>
        </is>
      </c>
      <c r="C195" t="inlineStr">
        <is>
          <t>UPDATEORGID</t>
        </is>
      </c>
      <c r="D195" t="inlineStr">
        <is>
          <t>VARCHAR(32)</t>
        </is>
      </c>
      <c r="E195" t="inlineStr">
        <is>
          <t>YES</t>
        </is>
      </c>
      <c r="F195" t="inlineStr">
        <is>
          <t>更新机构</t>
        </is>
      </c>
      <c r="H195" t="inlineStr">
        <is>
          <t>VARCHAR</t>
        </is>
      </c>
      <c r="I195" t="inlineStr">
        <is>
          <t>32</t>
        </is>
      </c>
    </row>
    <row r="196">
      <c r="A196" t="inlineStr">
        <is>
          <t>评估机构事件表</t>
        </is>
      </c>
      <c r="B196" t="inlineStr">
        <is>
          <t>APPRAISAL_AGENCY_EVENT</t>
        </is>
      </c>
      <c r="C196" t="inlineStr">
        <is>
          <t>UPDATEDATE</t>
        </is>
      </c>
      <c r="D196" t="inlineStr">
        <is>
          <t>DATETIME</t>
        </is>
      </c>
      <c r="E196" t="inlineStr">
        <is>
          <t>YES</t>
        </is>
      </c>
      <c r="F196" t="inlineStr">
        <is>
          <t>更新日期</t>
        </is>
      </c>
      <c r="H196" t="inlineStr">
        <is>
          <t>DATETIME</t>
        </is>
      </c>
    </row>
    <row r="197">
      <c r="A197" t="inlineStr">
        <is>
          <t>评估机构事件表</t>
        </is>
      </c>
      <c r="B197" t="inlineStr">
        <is>
          <t>APPRAISAL_AGENCY_EVENT</t>
        </is>
      </c>
      <c r="C197" t="inlineStr">
        <is>
          <t>CORPORGID</t>
        </is>
      </c>
      <c r="D197" t="inlineStr">
        <is>
          <t>VARCHAR(32)</t>
        </is>
      </c>
      <c r="E197" t="inlineStr">
        <is>
          <t>YES</t>
        </is>
      </c>
      <c r="F197" t="inlineStr">
        <is>
          <t>法人机构编号</t>
        </is>
      </c>
      <c r="H197" t="inlineStr">
        <is>
          <t>VARCHAR</t>
        </is>
      </c>
      <c r="I197" t="inlineStr">
        <is>
          <t>32</t>
        </is>
      </c>
    </row>
    <row r="198">
      <c r="A198" t="inlineStr">
        <is>
          <t>评估机构费用</t>
        </is>
      </c>
      <c r="B198" t="inlineStr">
        <is>
          <t>APPRAISAL_AGENCY_EXPENSES</t>
        </is>
      </c>
      <c r="C198" t="inlineStr">
        <is>
          <t>SERIALNO</t>
        </is>
      </c>
      <c r="D198" t="inlineStr">
        <is>
          <t>VARCHAR(32)</t>
        </is>
      </c>
      <c r="E198" t="inlineStr">
        <is>
          <t>NO</t>
        </is>
      </c>
      <c r="F198" t="inlineStr">
        <is>
          <t>流水号</t>
        </is>
      </c>
      <c r="H198" t="inlineStr">
        <is>
          <t>VARCHAR</t>
        </is>
      </c>
      <c r="I198" t="inlineStr">
        <is>
          <t>32</t>
        </is>
      </c>
    </row>
    <row r="199">
      <c r="A199" t="inlineStr">
        <is>
          <t>评估机构费用</t>
        </is>
      </c>
      <c r="B199" t="inlineStr">
        <is>
          <t>APPRAISAL_AGENCY_EXPENSES</t>
        </is>
      </c>
      <c r="C199" t="inlineStr">
        <is>
          <t>APPRAISALORGID</t>
        </is>
      </c>
      <c r="D199" t="inlineStr">
        <is>
          <t>VARCHAR(32)</t>
        </is>
      </c>
      <c r="E199" t="inlineStr">
        <is>
          <t>NO</t>
        </is>
      </c>
      <c r="F199" t="inlineStr">
        <is>
          <t>评估公司组织机构代码证</t>
        </is>
      </c>
      <c r="H199" t="inlineStr">
        <is>
          <t>VARCHAR</t>
        </is>
      </c>
      <c r="I199" t="inlineStr">
        <is>
          <t>32</t>
        </is>
      </c>
    </row>
    <row r="200">
      <c r="A200" t="inlineStr">
        <is>
          <t>评估机构费用</t>
        </is>
      </c>
      <c r="B200" t="inlineStr">
        <is>
          <t>APPRAISAL_AGENCY_EXPENSES</t>
        </is>
      </c>
      <c r="C200" t="inlineStr">
        <is>
          <t>EVALRECORDID</t>
        </is>
      </c>
      <c r="D200" t="inlineStr">
        <is>
          <t>VARCHAR(32)</t>
        </is>
      </c>
      <c r="E200" t="inlineStr">
        <is>
          <t>YES</t>
        </is>
      </c>
      <c r="F200" t="inlineStr">
        <is>
          <t>评估记录流水号</t>
        </is>
      </c>
      <c r="H200" t="inlineStr">
        <is>
          <t>VARCHAR</t>
        </is>
      </c>
      <c r="I200" t="inlineStr">
        <is>
          <t>32</t>
        </is>
      </c>
    </row>
    <row r="201">
      <c r="A201" t="inlineStr">
        <is>
          <t>评估机构费用</t>
        </is>
      </c>
      <c r="B201" t="inlineStr">
        <is>
          <t>APPRAISAL_AGENCY_EXPENSES</t>
        </is>
      </c>
      <c r="C201" t="inlineStr">
        <is>
          <t>FEENAME</t>
        </is>
      </c>
      <c r="D201" t="inlineStr">
        <is>
          <t>VARCHAR(80)</t>
        </is>
      </c>
      <c r="E201" t="inlineStr">
        <is>
          <t>YES</t>
        </is>
      </c>
      <c r="F201" t="inlineStr">
        <is>
          <t>费用名称</t>
        </is>
      </c>
      <c r="H201" t="inlineStr">
        <is>
          <t>VARCHAR</t>
        </is>
      </c>
      <c r="I201" t="inlineStr">
        <is>
          <t>80</t>
        </is>
      </c>
    </row>
    <row r="202">
      <c r="A202" t="inlineStr">
        <is>
          <t>评估机构费用</t>
        </is>
      </c>
      <c r="B202" t="inlineStr">
        <is>
          <t>APPRAISAL_AGENCY_EXPENSES</t>
        </is>
      </c>
      <c r="C202" t="inlineStr">
        <is>
          <t>FEEACCOUNT</t>
        </is>
      </c>
      <c r="D202" t="inlineStr">
        <is>
          <t>DECIMAL(24,6)</t>
        </is>
      </c>
      <c r="E202" t="inlineStr">
        <is>
          <t>YES</t>
        </is>
      </c>
      <c r="F202" t="inlineStr">
        <is>
          <t>费用金额</t>
        </is>
      </c>
      <c r="H202" t="inlineStr">
        <is>
          <t>DECIMAL</t>
        </is>
      </c>
      <c r="I202" t="inlineStr">
        <is>
          <t>24,6</t>
        </is>
      </c>
    </row>
    <row r="203">
      <c r="A203" t="inlineStr">
        <is>
          <t>评估机构费用</t>
        </is>
      </c>
      <c r="B203" t="inlineStr">
        <is>
          <t>APPRAISAL_AGENCY_EXPENSES</t>
        </is>
      </c>
      <c r="C203" t="inlineStr">
        <is>
          <t>OCCURDATE</t>
        </is>
      </c>
      <c r="D203" t="inlineStr">
        <is>
          <t>DATETIME</t>
        </is>
      </c>
      <c r="E203" t="inlineStr">
        <is>
          <t>NO</t>
        </is>
      </c>
      <c r="F203" t="inlineStr">
        <is>
          <t>费用发生日期</t>
        </is>
      </c>
      <c r="H203" t="inlineStr">
        <is>
          <t>DATETIME</t>
        </is>
      </c>
    </row>
    <row r="204">
      <c r="A204" t="inlineStr">
        <is>
          <t>评估机构费用</t>
        </is>
      </c>
      <c r="B204" t="inlineStr">
        <is>
          <t>APPRAISAL_AGENCY_EXPENSES</t>
        </is>
      </c>
      <c r="C204" t="inlineStr">
        <is>
          <t>INPUTUSERID</t>
        </is>
      </c>
      <c r="D204" t="inlineStr">
        <is>
          <t>VARCHAR(32)</t>
        </is>
      </c>
      <c r="E204" t="inlineStr">
        <is>
          <t>YES</t>
        </is>
      </c>
      <c r="F204" t="inlineStr">
        <is>
          <t>登记人</t>
        </is>
      </c>
      <c r="H204" t="inlineStr">
        <is>
          <t>VARCHAR</t>
        </is>
      </c>
      <c r="I204" t="inlineStr">
        <is>
          <t>32</t>
        </is>
      </c>
    </row>
    <row r="205">
      <c r="A205" t="inlineStr">
        <is>
          <t>评估机构费用</t>
        </is>
      </c>
      <c r="B205" t="inlineStr">
        <is>
          <t>APPRAISAL_AGENCY_EXPENSES</t>
        </is>
      </c>
      <c r="C205" t="inlineStr">
        <is>
          <t>INPUTORGID</t>
        </is>
      </c>
      <c r="D205" t="inlineStr">
        <is>
          <t>VARCHAR(32)</t>
        </is>
      </c>
      <c r="E205" t="inlineStr">
        <is>
          <t>YES</t>
        </is>
      </c>
      <c r="F205" t="inlineStr">
        <is>
          <t>登记机构</t>
        </is>
      </c>
      <c r="H205" t="inlineStr">
        <is>
          <t>VARCHAR</t>
        </is>
      </c>
      <c r="I205" t="inlineStr">
        <is>
          <t>32</t>
        </is>
      </c>
    </row>
    <row r="206">
      <c r="A206" t="inlineStr">
        <is>
          <t>评估机构费用</t>
        </is>
      </c>
      <c r="B206" t="inlineStr">
        <is>
          <t>APPRAISAL_AGENCY_EXPENSES</t>
        </is>
      </c>
      <c r="C206" t="inlineStr">
        <is>
          <t>INPUTDATE</t>
        </is>
      </c>
      <c r="D206" t="inlineStr">
        <is>
          <t>DATETIME</t>
        </is>
      </c>
      <c r="E206" t="inlineStr">
        <is>
          <t>YES</t>
        </is>
      </c>
      <c r="F206" t="inlineStr">
        <is>
          <t>登记日期</t>
        </is>
      </c>
      <c r="H206" t="inlineStr">
        <is>
          <t>DATETIME</t>
        </is>
      </c>
    </row>
    <row r="207">
      <c r="A207" t="inlineStr">
        <is>
          <t>评估机构费用</t>
        </is>
      </c>
      <c r="B207" t="inlineStr">
        <is>
          <t>APPRAISAL_AGENCY_EXPENSES</t>
        </is>
      </c>
      <c r="C207" t="inlineStr">
        <is>
          <t>UPDATEUSERID</t>
        </is>
      </c>
      <c r="D207" t="inlineStr">
        <is>
          <t>VARCHAR(32)</t>
        </is>
      </c>
      <c r="E207" t="inlineStr">
        <is>
          <t>YES</t>
        </is>
      </c>
      <c r="F207" t="inlineStr">
        <is>
          <t>更新人</t>
        </is>
      </c>
      <c r="H207" t="inlineStr">
        <is>
          <t>VARCHAR</t>
        </is>
      </c>
      <c r="I207" t="inlineStr">
        <is>
          <t>32</t>
        </is>
      </c>
    </row>
    <row r="208">
      <c r="A208" t="inlineStr">
        <is>
          <t>评估机构费用</t>
        </is>
      </c>
      <c r="B208" t="inlineStr">
        <is>
          <t>APPRAISAL_AGENCY_EXPENSES</t>
        </is>
      </c>
      <c r="C208" t="inlineStr">
        <is>
          <t>UPDATEORGID</t>
        </is>
      </c>
      <c r="D208" t="inlineStr">
        <is>
          <t>VARCHAR(32)</t>
        </is>
      </c>
      <c r="E208" t="inlineStr">
        <is>
          <t>YES</t>
        </is>
      </c>
      <c r="F208" t="inlineStr">
        <is>
          <t>更新机构</t>
        </is>
      </c>
      <c r="H208" t="inlineStr">
        <is>
          <t>VARCHAR</t>
        </is>
      </c>
      <c r="I208" t="inlineStr">
        <is>
          <t>32</t>
        </is>
      </c>
    </row>
    <row r="209">
      <c r="A209" t="inlineStr">
        <is>
          <t>评估机构费用</t>
        </is>
      </c>
      <c r="B209" t="inlineStr">
        <is>
          <t>APPRAISAL_AGENCY_EXPENSES</t>
        </is>
      </c>
      <c r="C209" t="inlineStr">
        <is>
          <t>UPDATEDATE</t>
        </is>
      </c>
      <c r="D209" t="inlineStr">
        <is>
          <t>DATETIME</t>
        </is>
      </c>
      <c r="E209" t="inlineStr">
        <is>
          <t>YES</t>
        </is>
      </c>
      <c r="F209" t="inlineStr">
        <is>
          <t>更新日期</t>
        </is>
      </c>
      <c r="H209" t="inlineStr">
        <is>
          <t>DATETIME</t>
        </is>
      </c>
    </row>
    <row r="210">
      <c r="A210" t="inlineStr">
        <is>
          <t>评估机构费用</t>
        </is>
      </c>
      <c r="B210" t="inlineStr">
        <is>
          <t>APPRAISAL_AGENCY_EXPENSES</t>
        </is>
      </c>
      <c r="C210" t="inlineStr">
        <is>
          <t>REMARK</t>
        </is>
      </c>
      <c r="D210" t="inlineStr">
        <is>
          <t>VARCHAR(500)</t>
        </is>
      </c>
      <c r="E210" t="inlineStr">
        <is>
          <t>YES</t>
        </is>
      </c>
      <c r="F210" t="inlineStr">
        <is>
          <t>备注</t>
        </is>
      </c>
      <c r="H210" t="inlineStr">
        <is>
          <t>VARCHAR</t>
        </is>
      </c>
      <c r="I210" t="inlineStr">
        <is>
          <t>500</t>
        </is>
      </c>
    </row>
    <row r="211">
      <c r="A211" t="inlineStr">
        <is>
          <t>评估机构费用</t>
        </is>
      </c>
      <c r="B211" t="inlineStr">
        <is>
          <t>APPRAISAL_AGENCY_EXPENSES</t>
        </is>
      </c>
      <c r="C211" t="inlineStr">
        <is>
          <t>CORPORGID</t>
        </is>
      </c>
      <c r="D211" t="inlineStr">
        <is>
          <t>VARCHAR(32)</t>
        </is>
      </c>
      <c r="E211" t="inlineStr">
        <is>
          <t>YES</t>
        </is>
      </c>
      <c r="F211" t="inlineStr">
        <is>
          <t>法人机构编号</t>
        </is>
      </c>
      <c r="H211" t="inlineStr">
        <is>
          <t>VARCHAR</t>
        </is>
      </c>
      <c r="I211" t="inlineStr">
        <is>
          <t>32</t>
        </is>
      </c>
    </row>
    <row r="212">
      <c r="A212" t="inlineStr">
        <is>
          <t>评级机构附件</t>
        </is>
      </c>
      <c r="B212" t="inlineStr">
        <is>
          <t>APPRAISAL_AGENCY_FILE</t>
        </is>
      </c>
      <c r="C212" t="inlineStr">
        <is>
          <t>FILENO</t>
        </is>
      </c>
      <c r="D212" t="inlineStr">
        <is>
          <t>VARCHAR(32)</t>
        </is>
      </c>
      <c r="E212" t="inlineStr">
        <is>
          <t>NO</t>
        </is>
      </c>
      <c r="F212" t="inlineStr">
        <is>
          <t>文档编号</t>
        </is>
      </c>
      <c r="H212" t="inlineStr">
        <is>
          <t>VARCHAR</t>
        </is>
      </c>
      <c r="I212" t="inlineStr">
        <is>
          <t>32</t>
        </is>
      </c>
    </row>
    <row r="213">
      <c r="A213" t="inlineStr">
        <is>
          <t>评级机构附件</t>
        </is>
      </c>
      <c r="B213" t="inlineStr">
        <is>
          <t>APPRAISAL_AGENCY_FILE</t>
        </is>
      </c>
      <c r="C213" t="inlineStr">
        <is>
          <t>APPRAISALORGID</t>
        </is>
      </c>
      <c r="D213" t="inlineStr">
        <is>
          <t>VARCHAR(32)</t>
        </is>
      </c>
      <c r="E213" t="inlineStr">
        <is>
          <t>NO</t>
        </is>
      </c>
      <c r="F213" t="inlineStr">
        <is>
          <t>评估公司组织机构代码证</t>
        </is>
      </c>
      <c r="H213" t="inlineStr">
        <is>
          <t>VARCHAR</t>
        </is>
      </c>
      <c r="I213" t="inlineStr">
        <is>
          <t>32</t>
        </is>
      </c>
    </row>
    <row r="214">
      <c r="A214" t="inlineStr">
        <is>
          <t>评级机构附件</t>
        </is>
      </c>
      <c r="B214" t="inlineStr">
        <is>
          <t>APPRAISAL_AGENCY_FILE</t>
        </is>
      </c>
      <c r="C214" t="inlineStr">
        <is>
          <t>FILENAME</t>
        </is>
      </c>
      <c r="D214" t="inlineStr">
        <is>
          <t>VARCHAR(80)</t>
        </is>
      </c>
      <c r="E214" t="inlineStr">
        <is>
          <t>YES</t>
        </is>
      </c>
      <c r="F214" t="inlineStr">
        <is>
          <t>文档名称</t>
        </is>
      </c>
      <c r="H214" t="inlineStr">
        <is>
          <t>VARCHAR</t>
        </is>
      </c>
      <c r="I214" t="inlineStr">
        <is>
          <t>80</t>
        </is>
      </c>
    </row>
    <row r="215">
      <c r="A215" t="inlineStr">
        <is>
          <t>评级机构附件</t>
        </is>
      </c>
      <c r="B215" t="inlineStr">
        <is>
          <t>APPRAISAL_AGENCY_FILE</t>
        </is>
      </c>
      <c r="C215" t="inlineStr">
        <is>
          <t>INPUTUSERID</t>
        </is>
      </c>
      <c r="D215" t="inlineStr">
        <is>
          <t>VARCHAR(32)</t>
        </is>
      </c>
      <c r="E215" t="inlineStr">
        <is>
          <t>YES</t>
        </is>
      </c>
      <c r="F215" t="inlineStr">
        <is>
          <t>登记人</t>
        </is>
      </c>
      <c r="H215" t="inlineStr">
        <is>
          <t>VARCHAR</t>
        </is>
      </c>
      <c r="I215" t="inlineStr">
        <is>
          <t>32</t>
        </is>
      </c>
    </row>
    <row r="216">
      <c r="A216" t="inlineStr">
        <is>
          <t>评级机构附件</t>
        </is>
      </c>
      <c r="B216" t="inlineStr">
        <is>
          <t>APPRAISAL_AGENCY_FILE</t>
        </is>
      </c>
      <c r="C216" t="inlineStr">
        <is>
          <t>INPUTORGID</t>
        </is>
      </c>
      <c r="D216" t="inlineStr">
        <is>
          <t>VARCHAR(32)</t>
        </is>
      </c>
      <c r="E216" t="inlineStr">
        <is>
          <t>YES</t>
        </is>
      </c>
      <c r="F216" t="inlineStr">
        <is>
          <t>登记机构</t>
        </is>
      </c>
      <c r="H216" t="inlineStr">
        <is>
          <t>VARCHAR</t>
        </is>
      </c>
      <c r="I216" t="inlineStr">
        <is>
          <t>32</t>
        </is>
      </c>
    </row>
    <row r="217">
      <c r="A217" t="inlineStr">
        <is>
          <t>评级机构附件</t>
        </is>
      </c>
      <c r="B217" t="inlineStr">
        <is>
          <t>APPRAISAL_AGENCY_FILE</t>
        </is>
      </c>
      <c r="C217" t="inlineStr">
        <is>
          <t>INPUTDATE</t>
        </is>
      </c>
      <c r="D217" t="inlineStr">
        <is>
          <t>DATETIME</t>
        </is>
      </c>
      <c r="E217" t="inlineStr">
        <is>
          <t>YES</t>
        </is>
      </c>
      <c r="F217" t="inlineStr">
        <is>
          <t>登记日期</t>
        </is>
      </c>
      <c r="H217" t="inlineStr">
        <is>
          <t>DATETIME</t>
        </is>
      </c>
    </row>
    <row r="218">
      <c r="A218" t="inlineStr">
        <is>
          <t>评级机构附件</t>
        </is>
      </c>
      <c r="B218" t="inlineStr">
        <is>
          <t>APPRAISAL_AGENCY_FILE</t>
        </is>
      </c>
      <c r="C218" t="inlineStr">
        <is>
          <t>UPDATEUSERID</t>
        </is>
      </c>
      <c r="D218" t="inlineStr">
        <is>
          <t>VARCHAR(32)</t>
        </is>
      </c>
      <c r="E218" t="inlineStr">
        <is>
          <t>YES</t>
        </is>
      </c>
      <c r="F218" t="inlineStr">
        <is>
          <t>更新人</t>
        </is>
      </c>
      <c r="H218" t="inlineStr">
        <is>
          <t>VARCHAR</t>
        </is>
      </c>
      <c r="I218" t="inlineStr">
        <is>
          <t>32</t>
        </is>
      </c>
    </row>
    <row r="219">
      <c r="A219" t="inlineStr">
        <is>
          <t>评级机构附件</t>
        </is>
      </c>
      <c r="B219" t="inlineStr">
        <is>
          <t>APPRAISAL_AGENCY_FILE</t>
        </is>
      </c>
      <c r="C219" t="inlineStr">
        <is>
          <t>UPDATEORGID</t>
        </is>
      </c>
      <c r="D219" t="inlineStr">
        <is>
          <t>VARCHAR(32)</t>
        </is>
      </c>
      <c r="E219" t="inlineStr">
        <is>
          <t>YES</t>
        </is>
      </c>
      <c r="F219" t="inlineStr">
        <is>
          <t>更新机构</t>
        </is>
      </c>
      <c r="H219" t="inlineStr">
        <is>
          <t>VARCHAR</t>
        </is>
      </c>
      <c r="I219" t="inlineStr">
        <is>
          <t>32</t>
        </is>
      </c>
    </row>
    <row r="220">
      <c r="A220" t="inlineStr">
        <is>
          <t>评级机构附件</t>
        </is>
      </c>
      <c r="B220" t="inlineStr">
        <is>
          <t>APPRAISAL_AGENCY_FILE</t>
        </is>
      </c>
      <c r="C220" t="inlineStr">
        <is>
          <t>UPDATEDATE</t>
        </is>
      </c>
      <c r="D220" t="inlineStr">
        <is>
          <t>DATETIME</t>
        </is>
      </c>
      <c r="E220" t="inlineStr">
        <is>
          <t>YES</t>
        </is>
      </c>
      <c r="F220" t="inlineStr">
        <is>
          <t>更新日期</t>
        </is>
      </c>
      <c r="H220" t="inlineStr">
        <is>
          <t>DATETIME</t>
        </is>
      </c>
    </row>
    <row r="221">
      <c r="A221" t="inlineStr">
        <is>
          <t>评级机构附件</t>
        </is>
      </c>
      <c r="B221" t="inlineStr">
        <is>
          <t>APPRAISAL_AGENCY_FILE</t>
        </is>
      </c>
      <c r="C221" t="inlineStr">
        <is>
          <t>REMARK</t>
        </is>
      </c>
      <c r="D221" t="inlineStr">
        <is>
          <t>VARCHAR(500)</t>
        </is>
      </c>
      <c r="E221" t="inlineStr">
        <is>
          <t>YES</t>
        </is>
      </c>
      <c r="F221" t="inlineStr">
        <is>
          <t>备注</t>
        </is>
      </c>
      <c r="H221" t="inlineStr">
        <is>
          <t>VARCHAR</t>
        </is>
      </c>
      <c r="I221" t="inlineStr">
        <is>
          <t>500</t>
        </is>
      </c>
    </row>
    <row r="222">
      <c r="A222" t="inlineStr">
        <is>
          <t>评级机构附件</t>
        </is>
      </c>
      <c r="B222" t="inlineStr">
        <is>
          <t>APPRAISAL_AGENCY_FILE</t>
        </is>
      </c>
      <c r="C222" t="inlineStr">
        <is>
          <t>CORPORGID</t>
        </is>
      </c>
      <c r="D222" t="inlineStr">
        <is>
          <t>VARCHAR(32)</t>
        </is>
      </c>
      <c r="E222" t="inlineStr">
        <is>
          <t>YES</t>
        </is>
      </c>
      <c r="F222" t="inlineStr">
        <is>
          <t>法人机构编号</t>
        </is>
      </c>
      <c r="H222" t="inlineStr">
        <is>
          <t>VARCHAR</t>
        </is>
      </c>
      <c r="I222" t="inlineStr">
        <is>
          <t>32</t>
        </is>
      </c>
    </row>
    <row r="223">
      <c r="A223" t="inlineStr">
        <is>
          <t>评估公司相关信息</t>
        </is>
      </c>
      <c r="B223" t="inlineStr">
        <is>
          <t>APPRAISAL_AGENCY_INFORMATION</t>
        </is>
      </c>
      <c r="C223" t="inlineStr">
        <is>
          <t>SERIALNO</t>
        </is>
      </c>
      <c r="D223" t="inlineStr">
        <is>
          <t>VARCHAR(32)</t>
        </is>
      </c>
      <c r="E223" t="inlineStr">
        <is>
          <t>NO</t>
        </is>
      </c>
      <c r="F223" t="inlineStr">
        <is>
          <t>流水号</t>
        </is>
      </c>
      <c r="H223" t="inlineStr">
        <is>
          <t>VARCHAR</t>
        </is>
      </c>
      <c r="I223" t="inlineStr">
        <is>
          <t>32</t>
        </is>
      </c>
    </row>
    <row r="224">
      <c r="A224" t="inlineStr">
        <is>
          <t>评估公司相关信息</t>
        </is>
      </c>
      <c r="B224" t="inlineStr">
        <is>
          <t>APPRAISAL_AGENCY_INFORMATION</t>
        </is>
      </c>
      <c r="C224" t="inlineStr">
        <is>
          <t>APPRAISALORGID</t>
        </is>
      </c>
      <c r="D224" t="inlineStr">
        <is>
          <t>VARCHAR(32)</t>
        </is>
      </c>
      <c r="E224" t="inlineStr">
        <is>
          <t>NO</t>
        </is>
      </c>
      <c r="F224" t="inlineStr">
        <is>
          <t>评估公司组织机构代码证</t>
        </is>
      </c>
      <c r="H224" t="inlineStr">
        <is>
          <t>VARCHAR</t>
        </is>
      </c>
      <c r="I224" t="inlineStr">
        <is>
          <t>32</t>
        </is>
      </c>
    </row>
    <row r="225">
      <c r="A225" t="inlineStr">
        <is>
          <t>评估公司相关信息</t>
        </is>
      </c>
      <c r="B225" t="inlineStr">
        <is>
          <t>APPRAISAL_AGENCY_INFORMATION</t>
        </is>
      </c>
      <c r="C225" t="inlineStr">
        <is>
          <t>INFORMATIONTYPE</t>
        </is>
      </c>
      <c r="D225" t="inlineStr">
        <is>
          <t>VARCHAR(18)</t>
        </is>
      </c>
      <c r="E225" t="inlineStr">
        <is>
          <t>YES</t>
        </is>
      </c>
      <c r="F225" t="inlineStr">
        <is>
          <t>信息类型</t>
        </is>
      </c>
      <c r="H225" t="inlineStr">
        <is>
          <t>VARCHAR</t>
        </is>
      </c>
      <c r="I225" t="inlineStr">
        <is>
          <t>18</t>
        </is>
      </c>
    </row>
    <row r="226">
      <c r="A226" t="inlineStr">
        <is>
          <t>评估公司相关信息</t>
        </is>
      </c>
      <c r="B226" t="inlineStr">
        <is>
          <t>APPRAISAL_AGENCY_INFORMATION</t>
        </is>
      </c>
      <c r="C226" t="inlineStr">
        <is>
          <t>ATTRIBUTE1</t>
        </is>
      </c>
      <c r="D226" t="inlineStr">
        <is>
          <t>VARCHAR(80)</t>
        </is>
      </c>
      <c r="E226" t="inlineStr">
        <is>
          <t>YES</t>
        </is>
      </c>
      <c r="F226" t="inlineStr">
        <is>
          <t>联系人列表_姓名;资质情况_资质证书名称，专家信息_姓名，大事信息_标题</t>
        </is>
      </c>
      <c r="H226" t="inlineStr">
        <is>
          <t>VARCHAR</t>
        </is>
      </c>
      <c r="I226" t="inlineStr">
        <is>
          <t>80</t>
        </is>
      </c>
    </row>
    <row r="227">
      <c r="A227" t="inlineStr">
        <is>
          <t>评估公司相关信息</t>
        </is>
      </c>
      <c r="B227" t="inlineStr">
        <is>
          <t>APPRAISAL_AGENCY_INFORMATION</t>
        </is>
      </c>
      <c r="C227" t="inlineStr">
        <is>
          <t>ATTRIBUTE2</t>
        </is>
      </c>
      <c r="D227" t="inlineStr">
        <is>
          <t>VARCHAR(32)</t>
        </is>
      </c>
      <c r="E227" t="inlineStr">
        <is>
          <t>YES</t>
        </is>
      </c>
      <c r="F227" t="inlineStr">
        <is>
          <t>联系人列表_电话;资质情况_资质证书标号，专家信息_电话，大事信息_无</t>
        </is>
      </c>
      <c r="H227" t="inlineStr">
        <is>
          <t>VARCHAR</t>
        </is>
      </c>
      <c r="I227" t="inlineStr">
        <is>
          <t>32</t>
        </is>
      </c>
    </row>
    <row r="228">
      <c r="A228" t="inlineStr">
        <is>
          <t>评估公司相关信息</t>
        </is>
      </c>
      <c r="B228" t="inlineStr">
        <is>
          <t>APPRAISAL_AGENCY_INFORMATION</t>
        </is>
      </c>
      <c r="C228" t="inlineStr">
        <is>
          <t>ATTRIBUTE3</t>
        </is>
      </c>
      <c r="D228" t="inlineStr">
        <is>
          <t>VARCHAR(32)</t>
        </is>
      </c>
      <c r="E228" t="inlineStr">
        <is>
          <t>YES</t>
        </is>
      </c>
      <c r="F228" t="inlineStr">
        <is>
          <t>联系人列表_所属部门;资质情况_无，专家信息_所属部门，大事信息_无</t>
        </is>
      </c>
      <c r="H228" t="inlineStr">
        <is>
          <t>VARCHAR</t>
        </is>
      </c>
      <c r="I228" t="inlineStr">
        <is>
          <t>32</t>
        </is>
      </c>
    </row>
    <row r="229">
      <c r="A229" t="inlineStr">
        <is>
          <t>评估公司相关信息</t>
        </is>
      </c>
      <c r="B229" t="inlineStr">
        <is>
          <t>APPRAISAL_AGENCY_INFORMATION</t>
        </is>
      </c>
      <c r="C229" t="inlineStr">
        <is>
          <t>ATTRIBUTE4</t>
        </is>
      </c>
      <c r="D229" t="inlineStr">
        <is>
          <t>VARCHAR(18)</t>
        </is>
      </c>
      <c r="E229" t="inlineStr">
        <is>
          <t>YES</t>
        </is>
      </c>
      <c r="F229" t="inlineStr">
        <is>
          <t>联系人列表_是否有效;资质情况_执业资质等级，专家信息_无，大事信息_是否有效</t>
        </is>
      </c>
      <c r="H229" t="inlineStr">
        <is>
          <t>VARCHAR</t>
        </is>
      </c>
      <c r="I229" t="inlineStr">
        <is>
          <t>18</t>
        </is>
      </c>
    </row>
    <row r="230">
      <c r="A230" t="inlineStr">
        <is>
          <t>评估公司相关信息</t>
        </is>
      </c>
      <c r="B230" t="inlineStr">
        <is>
          <t>APPRAISAL_AGENCY_INFORMATION</t>
        </is>
      </c>
      <c r="C230" t="inlineStr">
        <is>
          <t>ATTRIBUTE6</t>
        </is>
      </c>
      <c r="D230" t="inlineStr">
        <is>
          <t>DATETIME</t>
        </is>
      </c>
      <c r="E230" t="inlineStr">
        <is>
          <t>YES</t>
        </is>
      </c>
      <c r="F230" t="inlineStr">
        <is>
          <t>联系人列表_无;资质情况_资质核准日期，专家信息_无，大事信息_发生日期</t>
        </is>
      </c>
      <c r="H230" t="inlineStr">
        <is>
          <t>DATETIME</t>
        </is>
      </c>
    </row>
    <row r="231">
      <c r="A231" t="inlineStr">
        <is>
          <t>评估公司相关信息</t>
        </is>
      </c>
      <c r="B231" t="inlineStr">
        <is>
          <t>APPRAISAL_AGENCY_INFORMATION</t>
        </is>
      </c>
      <c r="C231" t="inlineStr">
        <is>
          <t>ATTRIBUTE7</t>
        </is>
      </c>
      <c r="D231" t="inlineStr">
        <is>
          <t>DATETIME</t>
        </is>
      </c>
      <c r="E231" t="inlineStr">
        <is>
          <t>YES</t>
        </is>
      </c>
      <c r="F231" t="inlineStr">
        <is>
          <t>联系人列表_无;资质情况_资质到期日期，专家信息_无，大事信息_无</t>
        </is>
      </c>
      <c r="H231" t="inlineStr">
        <is>
          <t>DATETIME</t>
        </is>
      </c>
    </row>
    <row r="232">
      <c r="A232" t="inlineStr">
        <is>
          <t>评估公司相关信息</t>
        </is>
      </c>
      <c r="B232" t="inlineStr">
        <is>
          <t>APPRAISAL_AGENCY_INFORMATION</t>
        </is>
      </c>
      <c r="C232" t="inlineStr">
        <is>
          <t>WORKYEARS</t>
        </is>
      </c>
      <c r="D232" t="inlineStr">
        <is>
          <t>VARCHAR(6)</t>
        </is>
      </c>
      <c r="E232" t="inlineStr">
        <is>
          <t>YES</t>
        </is>
      </c>
      <c r="F232" t="inlineStr">
        <is>
          <t>从业年限</t>
        </is>
      </c>
      <c r="H232" t="inlineStr">
        <is>
          <t>VARCHAR</t>
        </is>
      </c>
      <c r="I232" t="inlineStr">
        <is>
          <t>6</t>
        </is>
      </c>
    </row>
    <row r="233">
      <c r="A233" t="inlineStr">
        <is>
          <t>评估公司相关信息</t>
        </is>
      </c>
      <c r="B233" t="inlineStr">
        <is>
          <t>APPRAISAL_AGENCY_INFORMATION</t>
        </is>
      </c>
      <c r="C233" t="inlineStr">
        <is>
          <t>INPUTUSERID</t>
        </is>
      </c>
      <c r="D233" t="inlineStr">
        <is>
          <t>VARCHAR(32)</t>
        </is>
      </c>
      <c r="E233" t="inlineStr">
        <is>
          <t>YES</t>
        </is>
      </c>
      <c r="F233" t="inlineStr">
        <is>
          <t>登记人</t>
        </is>
      </c>
      <c r="H233" t="inlineStr">
        <is>
          <t>VARCHAR</t>
        </is>
      </c>
      <c r="I233" t="inlineStr">
        <is>
          <t>32</t>
        </is>
      </c>
    </row>
    <row r="234">
      <c r="A234" t="inlineStr">
        <is>
          <t>评估公司相关信息</t>
        </is>
      </c>
      <c r="B234" t="inlineStr">
        <is>
          <t>APPRAISAL_AGENCY_INFORMATION</t>
        </is>
      </c>
      <c r="C234" t="inlineStr">
        <is>
          <t>INPUTORGID</t>
        </is>
      </c>
      <c r="D234" t="inlineStr">
        <is>
          <t>VARCHAR(32)</t>
        </is>
      </c>
      <c r="E234" t="inlineStr">
        <is>
          <t>YES</t>
        </is>
      </c>
      <c r="F234" t="inlineStr">
        <is>
          <t>登记机构</t>
        </is>
      </c>
      <c r="H234" t="inlineStr">
        <is>
          <t>VARCHAR</t>
        </is>
      </c>
      <c r="I234" t="inlineStr">
        <is>
          <t>32</t>
        </is>
      </c>
    </row>
    <row r="235">
      <c r="A235" t="inlineStr">
        <is>
          <t>评估公司相关信息</t>
        </is>
      </c>
      <c r="B235" t="inlineStr">
        <is>
          <t>APPRAISAL_AGENCY_INFORMATION</t>
        </is>
      </c>
      <c r="C235" t="inlineStr">
        <is>
          <t>INPUTDATE</t>
        </is>
      </c>
      <c r="D235" t="inlineStr">
        <is>
          <t>DATETIME</t>
        </is>
      </c>
      <c r="E235" t="inlineStr">
        <is>
          <t>YES</t>
        </is>
      </c>
      <c r="F235" t="inlineStr">
        <is>
          <t>登记日期</t>
        </is>
      </c>
      <c r="H235" t="inlineStr">
        <is>
          <t>DATETIME</t>
        </is>
      </c>
    </row>
    <row r="236">
      <c r="A236" t="inlineStr">
        <is>
          <t>评估公司相关信息</t>
        </is>
      </c>
      <c r="B236" t="inlineStr">
        <is>
          <t>APPRAISAL_AGENCY_INFORMATION</t>
        </is>
      </c>
      <c r="C236" t="inlineStr">
        <is>
          <t>UPDATEUSERID</t>
        </is>
      </c>
      <c r="D236" t="inlineStr">
        <is>
          <t>VARCHAR(32)</t>
        </is>
      </c>
      <c r="E236" t="inlineStr">
        <is>
          <t>YES</t>
        </is>
      </c>
      <c r="F236" t="inlineStr">
        <is>
          <t>更新人</t>
        </is>
      </c>
      <c r="H236" t="inlineStr">
        <is>
          <t>VARCHAR</t>
        </is>
      </c>
      <c r="I236" t="inlineStr">
        <is>
          <t>32</t>
        </is>
      </c>
    </row>
    <row r="237">
      <c r="A237" t="inlineStr">
        <is>
          <t>评估公司相关信息</t>
        </is>
      </c>
      <c r="B237" t="inlineStr">
        <is>
          <t>APPRAISAL_AGENCY_INFORMATION</t>
        </is>
      </c>
      <c r="C237" t="inlineStr">
        <is>
          <t>UPDATEORGID</t>
        </is>
      </c>
      <c r="D237" t="inlineStr">
        <is>
          <t>VARCHAR(32)</t>
        </is>
      </c>
      <c r="E237" t="inlineStr">
        <is>
          <t>YES</t>
        </is>
      </c>
      <c r="F237" t="inlineStr">
        <is>
          <t>更新机构</t>
        </is>
      </c>
      <c r="H237" t="inlineStr">
        <is>
          <t>VARCHAR</t>
        </is>
      </c>
      <c r="I237" t="inlineStr">
        <is>
          <t>32</t>
        </is>
      </c>
    </row>
    <row r="238">
      <c r="A238" t="inlineStr">
        <is>
          <t>评估公司相关信息</t>
        </is>
      </c>
      <c r="B238" t="inlineStr">
        <is>
          <t>APPRAISAL_AGENCY_INFORMATION</t>
        </is>
      </c>
      <c r="C238" t="inlineStr">
        <is>
          <t>UPDATEDATE</t>
        </is>
      </c>
      <c r="D238" t="inlineStr">
        <is>
          <t>DATETIME</t>
        </is>
      </c>
      <c r="E238" t="inlineStr">
        <is>
          <t>YES</t>
        </is>
      </c>
      <c r="F238" t="inlineStr">
        <is>
          <t>更新日期</t>
        </is>
      </c>
      <c r="H238" t="inlineStr">
        <is>
          <t>DATETIME</t>
        </is>
      </c>
    </row>
    <row r="239">
      <c r="A239" t="inlineStr">
        <is>
          <t>评估公司相关信息</t>
        </is>
      </c>
      <c r="B239" t="inlineStr">
        <is>
          <t>APPRAISAL_AGENCY_INFORMATION</t>
        </is>
      </c>
      <c r="C239" t="inlineStr">
        <is>
          <t>REMARK</t>
        </is>
      </c>
      <c r="D239" t="inlineStr">
        <is>
          <t>VARCHAR(500)</t>
        </is>
      </c>
      <c r="E239" t="inlineStr">
        <is>
          <t>YES</t>
        </is>
      </c>
      <c r="F239" t="inlineStr">
        <is>
          <t>备注</t>
        </is>
      </c>
      <c r="H239" t="inlineStr">
        <is>
          <t>VARCHAR</t>
        </is>
      </c>
      <c r="I239" t="inlineStr">
        <is>
          <t>500</t>
        </is>
      </c>
    </row>
    <row r="240">
      <c r="A240" t="inlineStr">
        <is>
          <t>评估公司相关信息</t>
        </is>
      </c>
      <c r="B240" t="inlineStr">
        <is>
          <t>APPRAISAL_AGENCY_INFORMATION</t>
        </is>
      </c>
      <c r="C240" t="inlineStr">
        <is>
          <t>CORPORGID</t>
        </is>
      </c>
      <c r="D240" t="inlineStr">
        <is>
          <t>VARCHAR(32)</t>
        </is>
      </c>
      <c r="E240" t="inlineStr">
        <is>
          <t>YES</t>
        </is>
      </c>
      <c r="F240" t="inlineStr">
        <is>
          <t>法人机构编号</t>
        </is>
      </c>
      <c r="H240" t="inlineStr">
        <is>
          <t>VARCHAR</t>
        </is>
      </c>
      <c r="I240" t="inlineStr">
        <is>
          <t>32</t>
        </is>
      </c>
    </row>
    <row r="241">
      <c r="A241" t="inlineStr">
        <is>
          <t>评估公司相关信息</t>
        </is>
      </c>
      <c r="B241" t="inlineStr">
        <is>
          <t>APPRAISAL_AGENCY_INFORMATION</t>
        </is>
      </c>
      <c r="C241" t="inlineStr">
        <is>
          <t>ATTRIBUTE5</t>
        </is>
      </c>
      <c r="D241" t="inlineStr">
        <is>
          <t>VARCHAR(1000)</t>
        </is>
      </c>
      <c r="E241" t="inlineStr">
        <is>
          <t>YES</t>
        </is>
      </c>
      <c r="F241" t="inlineStr">
        <is>
          <t>联系人列表_无;资质情况_无，专家信息_专业领域，大事信息_事件描述及原因</t>
        </is>
      </c>
      <c r="H241" t="inlineStr">
        <is>
          <t>VARCHAR</t>
        </is>
      </c>
      <c r="I241" t="inlineStr">
        <is>
          <t>1000</t>
        </is>
      </c>
    </row>
    <row r="242">
      <c r="A242" t="inlineStr">
        <is>
          <t>评估机构资质表</t>
        </is>
      </c>
      <c r="B242" t="inlineStr">
        <is>
          <t>APPRAISAL_AGENCY_QUALIFICATION</t>
        </is>
      </c>
      <c r="C242" t="inlineStr">
        <is>
          <t>EVENTSERIALNO</t>
        </is>
      </c>
      <c r="D242" t="inlineStr">
        <is>
          <t>VARCHAR(32)</t>
        </is>
      </c>
      <c r="E242" t="inlineStr">
        <is>
          <t>NO</t>
        </is>
      </c>
      <c r="F242" t="inlineStr">
        <is>
          <t>评估机构事件编号</t>
        </is>
      </c>
      <c r="H242" t="inlineStr">
        <is>
          <t>VARCHAR</t>
        </is>
      </c>
      <c r="I242" t="inlineStr">
        <is>
          <t>32</t>
        </is>
      </c>
    </row>
    <row r="243">
      <c r="A243" t="inlineStr">
        <is>
          <t>评估机构资质表</t>
        </is>
      </c>
      <c r="B243" t="inlineStr">
        <is>
          <t>APPRAISAL_AGENCY_QUALIFICATION</t>
        </is>
      </c>
      <c r="C243" t="inlineStr">
        <is>
          <t>EVENTTYPE</t>
        </is>
      </c>
      <c r="D243" t="inlineStr">
        <is>
          <t>VARCHAR(32)</t>
        </is>
      </c>
      <c r="E243" t="inlineStr">
        <is>
          <t>YES</t>
        </is>
      </c>
      <c r="F243" t="inlineStr">
        <is>
          <t>事件类型</t>
        </is>
      </c>
      <c r="H243" t="inlineStr">
        <is>
          <t>VARCHAR</t>
        </is>
      </c>
      <c r="I243" t="inlineStr">
        <is>
          <t>32</t>
        </is>
      </c>
    </row>
    <row r="244">
      <c r="A244" t="inlineStr">
        <is>
          <t>评估机构资质表</t>
        </is>
      </c>
      <c r="B244" t="inlineStr">
        <is>
          <t>APPRAISAL_AGENCY_QUALIFICATION</t>
        </is>
      </c>
      <c r="C244" t="inlineStr">
        <is>
          <t>ADMITTANCETYPE</t>
        </is>
      </c>
      <c r="D244" t="inlineStr">
        <is>
          <t>VARCHAR(18)</t>
        </is>
      </c>
      <c r="E244" t="inlineStr">
        <is>
          <t>YES</t>
        </is>
      </c>
      <c r="F244" t="inlineStr">
        <is>
          <t>准入评估类型</t>
        </is>
      </c>
      <c r="H244" t="inlineStr">
        <is>
          <t>VARCHAR</t>
        </is>
      </c>
      <c r="I244" t="inlineStr">
        <is>
          <t>18</t>
        </is>
      </c>
    </row>
    <row r="245">
      <c r="A245" t="inlineStr">
        <is>
          <t>评估机构资质表</t>
        </is>
      </c>
      <c r="B245" t="inlineStr">
        <is>
          <t>APPRAISAL_AGENCY_QUALIFICATION</t>
        </is>
      </c>
      <c r="C245" t="inlineStr">
        <is>
          <t>ISONCEACCESS</t>
        </is>
      </c>
      <c r="D245" t="inlineStr">
        <is>
          <t>CHAR(1)</t>
        </is>
      </c>
      <c r="E245" t="inlineStr">
        <is>
          <t>YES</t>
        </is>
      </c>
      <c r="F245" t="inlineStr">
        <is>
          <t>是否曾经准入</t>
        </is>
      </c>
      <c r="H245" t="inlineStr">
        <is>
          <t>CHAR</t>
        </is>
      </c>
      <c r="I245" t="inlineStr">
        <is>
          <t>1</t>
        </is>
      </c>
    </row>
    <row r="246">
      <c r="A246" t="inlineStr">
        <is>
          <t>评估机构资质表</t>
        </is>
      </c>
      <c r="B246" t="inlineStr">
        <is>
          <t>APPRAISAL_AGENCY_QUALIFICATION</t>
        </is>
      </c>
      <c r="C246" t="inlineStr">
        <is>
          <t>ISSPECIALACCESS</t>
        </is>
      </c>
      <c r="D246" t="inlineStr">
        <is>
          <t>CHAR(1)</t>
        </is>
      </c>
      <c r="E246" t="inlineStr">
        <is>
          <t>YES</t>
        </is>
      </c>
      <c r="F246" t="inlineStr">
        <is>
          <t>是否为特殊准入</t>
        </is>
      </c>
      <c r="H246" t="inlineStr">
        <is>
          <t>CHAR</t>
        </is>
      </c>
      <c r="I246" t="inlineStr">
        <is>
          <t>1</t>
        </is>
      </c>
    </row>
    <row r="247">
      <c r="A247" t="inlineStr">
        <is>
          <t>评估机构资质表</t>
        </is>
      </c>
      <c r="B247" t="inlineStr">
        <is>
          <t>APPRAISAL_AGENCY_QUALIFICATION</t>
        </is>
      </c>
      <c r="C247" t="inlineStr">
        <is>
          <t>COMPOSITESCOPE</t>
        </is>
      </c>
      <c r="D247" t="inlineStr">
        <is>
          <t>DECIMAL(18,8)</t>
        </is>
      </c>
      <c r="E247" t="inlineStr">
        <is>
          <t>YES</t>
        </is>
      </c>
      <c r="F247" t="inlineStr">
        <is>
          <t>评估机构综合得分</t>
        </is>
      </c>
      <c r="H247" t="inlineStr">
        <is>
          <t>DECIMAL</t>
        </is>
      </c>
      <c r="I247" t="inlineStr">
        <is>
          <t>18,8</t>
        </is>
      </c>
    </row>
    <row r="248">
      <c r="A248" t="inlineStr">
        <is>
          <t>评估机构资质表</t>
        </is>
      </c>
      <c r="B248" t="inlineStr">
        <is>
          <t>APPRAISAL_AGENCY_QUALIFICATION</t>
        </is>
      </c>
      <c r="C248" t="inlineStr">
        <is>
          <t>OCCURYEAR</t>
        </is>
      </c>
      <c r="D248" t="inlineStr">
        <is>
          <t>INT</t>
        </is>
      </c>
      <c r="E248" t="inlineStr">
        <is>
          <t>YES</t>
        </is>
      </c>
      <c r="F248" t="inlineStr">
        <is>
          <t>发生年度</t>
        </is>
      </c>
      <c r="H248" t="inlineStr">
        <is>
          <t>INT</t>
        </is>
      </c>
    </row>
    <row r="249">
      <c r="A249" t="inlineStr">
        <is>
          <t>评估机构资质表</t>
        </is>
      </c>
      <c r="B249" t="inlineStr">
        <is>
          <t>APPRAISAL_AGENCY_QUALIFICATION</t>
        </is>
      </c>
      <c r="C249" t="inlineStr">
        <is>
          <t>OCCURREASON</t>
        </is>
      </c>
      <c r="D249" t="inlineStr">
        <is>
          <t>VARCHAR(500)</t>
        </is>
      </c>
      <c r="E249" t="inlineStr">
        <is>
          <t>YES</t>
        </is>
      </c>
      <c r="F249" t="inlineStr">
        <is>
          <t>发生原因</t>
        </is>
      </c>
      <c r="H249" t="inlineStr">
        <is>
          <t>VARCHAR</t>
        </is>
      </c>
      <c r="I249" t="inlineStr">
        <is>
          <t>500</t>
        </is>
      </c>
    </row>
    <row r="250">
      <c r="A250" t="inlineStr">
        <is>
          <t>评估机构资质表</t>
        </is>
      </c>
      <c r="B250" t="inlineStr">
        <is>
          <t>APPRAISAL_AGENCY_QUALIFICATION</t>
        </is>
      </c>
      <c r="C250" t="inlineStr">
        <is>
          <t>REMARK</t>
        </is>
      </c>
      <c r="D250" t="inlineStr">
        <is>
          <t>VARCHAR(500)</t>
        </is>
      </c>
      <c r="E250" t="inlineStr">
        <is>
          <t>YES</t>
        </is>
      </c>
      <c r="F250" t="inlineStr">
        <is>
          <t>备注</t>
        </is>
      </c>
      <c r="H250" t="inlineStr">
        <is>
          <t>VARCHAR</t>
        </is>
      </c>
      <c r="I250" t="inlineStr">
        <is>
          <t>500</t>
        </is>
      </c>
    </row>
    <row r="251">
      <c r="A251" t="inlineStr">
        <is>
          <t>评估机构资质表</t>
        </is>
      </c>
      <c r="B251" t="inlineStr">
        <is>
          <t>APPRAISAL_AGENCY_QUALIFICATION</t>
        </is>
      </c>
      <c r="C251" t="inlineStr">
        <is>
          <t>INPUTUSERID</t>
        </is>
      </c>
      <c r="D251" t="inlineStr">
        <is>
          <t>VARCHAR(32)</t>
        </is>
      </c>
      <c r="E251" t="inlineStr">
        <is>
          <t>YES</t>
        </is>
      </c>
      <c r="F251" t="inlineStr">
        <is>
          <t>登记人</t>
        </is>
      </c>
      <c r="H251" t="inlineStr">
        <is>
          <t>VARCHAR</t>
        </is>
      </c>
      <c r="I251" t="inlineStr">
        <is>
          <t>32</t>
        </is>
      </c>
    </row>
    <row r="252">
      <c r="A252" t="inlineStr">
        <is>
          <t>评估机构资质表</t>
        </is>
      </c>
      <c r="B252" t="inlineStr">
        <is>
          <t>APPRAISAL_AGENCY_QUALIFICATION</t>
        </is>
      </c>
      <c r="C252" t="inlineStr">
        <is>
          <t>INPUTORGID</t>
        </is>
      </c>
      <c r="D252" t="inlineStr">
        <is>
          <t>VARCHAR(32)</t>
        </is>
      </c>
      <c r="E252" t="inlineStr">
        <is>
          <t>YES</t>
        </is>
      </c>
      <c r="F252" t="inlineStr">
        <is>
          <t>登记机构</t>
        </is>
      </c>
      <c r="H252" t="inlineStr">
        <is>
          <t>VARCHAR</t>
        </is>
      </c>
      <c r="I252" t="inlineStr">
        <is>
          <t>32</t>
        </is>
      </c>
    </row>
    <row r="253">
      <c r="A253" t="inlineStr">
        <is>
          <t>评估机构资质表</t>
        </is>
      </c>
      <c r="B253" t="inlineStr">
        <is>
          <t>APPRAISAL_AGENCY_QUALIFICATION</t>
        </is>
      </c>
      <c r="C253" t="inlineStr">
        <is>
          <t>INPUTDATE</t>
        </is>
      </c>
      <c r="D253" t="inlineStr">
        <is>
          <t>DATETIME</t>
        </is>
      </c>
      <c r="E253" t="inlineStr">
        <is>
          <t>YES</t>
        </is>
      </c>
      <c r="F253" t="inlineStr">
        <is>
          <t>登记日期</t>
        </is>
      </c>
      <c r="H253" t="inlineStr">
        <is>
          <t>DATETIME</t>
        </is>
      </c>
    </row>
    <row r="254">
      <c r="A254" t="inlineStr">
        <is>
          <t>评估机构资质表</t>
        </is>
      </c>
      <c r="B254" t="inlineStr">
        <is>
          <t>APPRAISAL_AGENCY_QUALIFICATION</t>
        </is>
      </c>
      <c r="C254" t="inlineStr">
        <is>
          <t>UPDATEUSERID</t>
        </is>
      </c>
      <c r="D254" t="inlineStr">
        <is>
          <t>VARCHAR(32)</t>
        </is>
      </c>
      <c r="E254" t="inlineStr">
        <is>
          <t>YES</t>
        </is>
      </c>
      <c r="F254" t="inlineStr">
        <is>
          <t>更新人</t>
        </is>
      </c>
      <c r="H254" t="inlineStr">
        <is>
          <t>VARCHAR</t>
        </is>
      </c>
      <c r="I254" t="inlineStr">
        <is>
          <t>32</t>
        </is>
      </c>
    </row>
    <row r="255">
      <c r="A255" t="inlineStr">
        <is>
          <t>评估机构资质表</t>
        </is>
      </c>
      <c r="B255" t="inlineStr">
        <is>
          <t>APPRAISAL_AGENCY_QUALIFICATION</t>
        </is>
      </c>
      <c r="C255" t="inlineStr">
        <is>
          <t>UPDATEORGID</t>
        </is>
      </c>
      <c r="D255" t="inlineStr">
        <is>
          <t>VARCHAR(32)</t>
        </is>
      </c>
      <c r="E255" t="inlineStr">
        <is>
          <t>YES</t>
        </is>
      </c>
      <c r="F255" t="inlineStr">
        <is>
          <t>更新机构</t>
        </is>
      </c>
      <c r="H255" t="inlineStr">
        <is>
          <t>VARCHAR</t>
        </is>
      </c>
      <c r="I255" t="inlineStr">
        <is>
          <t>32</t>
        </is>
      </c>
    </row>
    <row r="256">
      <c r="A256" t="inlineStr">
        <is>
          <t>评估机构资质表</t>
        </is>
      </c>
      <c r="B256" t="inlineStr">
        <is>
          <t>APPRAISAL_AGENCY_QUALIFICATION</t>
        </is>
      </c>
      <c r="C256" t="inlineStr">
        <is>
          <t>UPDATEDATE</t>
        </is>
      </c>
      <c r="D256" t="inlineStr">
        <is>
          <t>DATETIME</t>
        </is>
      </c>
      <c r="E256" t="inlineStr">
        <is>
          <t>YES</t>
        </is>
      </c>
      <c r="F256" t="inlineStr">
        <is>
          <t>更新日期</t>
        </is>
      </c>
      <c r="H256" t="inlineStr">
        <is>
          <t>DATETIME</t>
        </is>
      </c>
    </row>
    <row r="257">
      <c r="A257" t="inlineStr">
        <is>
          <t>评估机构资质表</t>
        </is>
      </c>
      <c r="B257" t="inlineStr">
        <is>
          <t>APPRAISAL_AGENCY_QUALIFICATION</t>
        </is>
      </c>
      <c r="C257" t="inlineStr">
        <is>
          <t>CORPORGID</t>
        </is>
      </c>
      <c r="D257" t="inlineStr">
        <is>
          <t>VARCHAR(32)</t>
        </is>
      </c>
      <c r="E257" t="inlineStr">
        <is>
          <t>YES</t>
        </is>
      </c>
      <c r="F257" t="inlineStr">
        <is>
          <t>法人机构编号</t>
        </is>
      </c>
      <c r="H257" t="inlineStr">
        <is>
          <t>VARCHAR</t>
        </is>
      </c>
      <c r="I257" t="inlineStr">
        <is>
          <t>32</t>
        </is>
      </c>
    </row>
    <row r="258">
      <c r="A258" t="inlineStr">
        <is>
          <t>评级机构申请关联表</t>
        </is>
      </c>
      <c r="B258" t="inlineStr">
        <is>
          <t>APPRAISAL_APPLY_RELATIVE</t>
        </is>
      </c>
      <c r="C258" t="inlineStr">
        <is>
          <t>EVENTSERIALNO</t>
        </is>
      </c>
      <c r="D258" t="inlineStr">
        <is>
          <t>VARCHAR(32)</t>
        </is>
      </c>
      <c r="E258" t="inlineStr">
        <is>
          <t>NO</t>
        </is>
      </c>
      <c r="F258" t="inlineStr">
        <is>
          <t>评估机构事件编号</t>
        </is>
      </c>
      <c r="H258" t="inlineStr">
        <is>
          <t>VARCHAR</t>
        </is>
      </c>
      <c r="I258" t="inlineStr">
        <is>
          <t>32</t>
        </is>
      </c>
    </row>
    <row r="259">
      <c r="A259" t="inlineStr">
        <is>
          <t>评级机构申请关联表</t>
        </is>
      </c>
      <c r="B259" t="inlineStr">
        <is>
          <t>APPRAISAL_APPLY_RELATIVE</t>
        </is>
      </c>
      <c r="C259" t="inlineStr">
        <is>
          <t>APPRAISALORGID</t>
        </is>
      </c>
      <c r="D259" t="inlineStr">
        <is>
          <t>VARCHAR(32)</t>
        </is>
      </c>
      <c r="E259" t="inlineStr">
        <is>
          <t>YES</t>
        </is>
      </c>
      <c r="F259" t="inlineStr">
        <is>
          <t>评估机构编号</t>
        </is>
      </c>
      <c r="H259" t="inlineStr">
        <is>
          <t>VARCHAR</t>
        </is>
      </c>
      <c r="I259" t="inlineStr">
        <is>
          <t>32</t>
        </is>
      </c>
    </row>
    <row r="260">
      <c r="A260" t="inlineStr">
        <is>
          <t>评级机构申请关联表</t>
        </is>
      </c>
      <c r="B260" t="inlineStr">
        <is>
          <t>APPRAISAL_APPLY_RELATIVE</t>
        </is>
      </c>
      <c r="C260" t="inlineStr">
        <is>
          <t>REMARK</t>
        </is>
      </c>
      <c r="D260" t="inlineStr">
        <is>
          <t>VARCHAR(1000)</t>
        </is>
      </c>
      <c r="E260" t="inlineStr">
        <is>
          <t>YES</t>
        </is>
      </c>
      <c r="F260" t="inlineStr">
        <is>
          <t>备注</t>
        </is>
      </c>
      <c r="H260" t="inlineStr">
        <is>
          <t>VARCHAR</t>
        </is>
      </c>
      <c r="I260" t="inlineStr">
        <is>
          <t>1000</t>
        </is>
      </c>
    </row>
    <row r="261">
      <c r="A261" t="inlineStr">
        <is>
          <t>评级机构申请关联表</t>
        </is>
      </c>
      <c r="B261" t="inlineStr">
        <is>
          <t>APPRAISAL_APPLY_RELATIVE</t>
        </is>
      </c>
      <c r="C261" t="inlineStr">
        <is>
          <t>INPUTUSERID</t>
        </is>
      </c>
      <c r="D261" t="inlineStr">
        <is>
          <t>VARCHAR(32)</t>
        </is>
      </c>
      <c r="E261" t="inlineStr">
        <is>
          <t>YES</t>
        </is>
      </c>
      <c r="F261" t="inlineStr">
        <is>
          <t>登记人</t>
        </is>
      </c>
      <c r="H261" t="inlineStr">
        <is>
          <t>VARCHAR</t>
        </is>
      </c>
      <c r="I261" t="inlineStr">
        <is>
          <t>32</t>
        </is>
      </c>
    </row>
    <row r="262">
      <c r="A262" t="inlineStr">
        <is>
          <t>评级机构申请关联表</t>
        </is>
      </c>
      <c r="B262" t="inlineStr">
        <is>
          <t>APPRAISAL_APPLY_RELATIVE</t>
        </is>
      </c>
      <c r="C262" t="inlineStr">
        <is>
          <t>INPUTORGID</t>
        </is>
      </c>
      <c r="D262" t="inlineStr">
        <is>
          <t>VARCHAR(32)</t>
        </is>
      </c>
      <c r="E262" t="inlineStr">
        <is>
          <t>YES</t>
        </is>
      </c>
      <c r="F262" t="inlineStr">
        <is>
          <t>登记机构</t>
        </is>
      </c>
      <c r="H262" t="inlineStr">
        <is>
          <t>VARCHAR</t>
        </is>
      </c>
      <c r="I262" t="inlineStr">
        <is>
          <t>32</t>
        </is>
      </c>
    </row>
    <row r="263">
      <c r="A263" t="inlineStr">
        <is>
          <t>评级机构申请关联表</t>
        </is>
      </c>
      <c r="B263" t="inlineStr">
        <is>
          <t>APPRAISAL_APPLY_RELATIVE</t>
        </is>
      </c>
      <c r="C263" t="inlineStr">
        <is>
          <t>INPUTDATE</t>
        </is>
      </c>
      <c r="D263" t="inlineStr">
        <is>
          <t>DATETIME</t>
        </is>
      </c>
      <c r="E263" t="inlineStr">
        <is>
          <t>YES</t>
        </is>
      </c>
      <c r="F263" t="inlineStr">
        <is>
          <t>登记日期</t>
        </is>
      </c>
      <c r="H263" t="inlineStr">
        <is>
          <t>DATETIME</t>
        </is>
      </c>
    </row>
    <row r="264">
      <c r="A264" t="inlineStr">
        <is>
          <t>评级机构申请关联表</t>
        </is>
      </c>
      <c r="B264" t="inlineStr">
        <is>
          <t>APPRAISAL_APPLY_RELATIVE</t>
        </is>
      </c>
      <c r="C264" t="inlineStr">
        <is>
          <t>UPDATEUSERID</t>
        </is>
      </c>
      <c r="D264" t="inlineStr">
        <is>
          <t>VARCHAR(32)</t>
        </is>
      </c>
      <c r="E264" t="inlineStr">
        <is>
          <t>YES</t>
        </is>
      </c>
      <c r="F264" t="inlineStr">
        <is>
          <t>更新人</t>
        </is>
      </c>
      <c r="H264" t="inlineStr">
        <is>
          <t>VARCHAR</t>
        </is>
      </c>
      <c r="I264" t="inlineStr">
        <is>
          <t>32</t>
        </is>
      </c>
    </row>
    <row r="265">
      <c r="A265" t="inlineStr">
        <is>
          <t>评级机构申请关联表</t>
        </is>
      </c>
      <c r="B265" t="inlineStr">
        <is>
          <t>APPRAISAL_APPLY_RELATIVE</t>
        </is>
      </c>
      <c r="C265" t="inlineStr">
        <is>
          <t>UPDATEORGID</t>
        </is>
      </c>
      <c r="D265" t="inlineStr">
        <is>
          <t>VARCHAR(32)</t>
        </is>
      </c>
      <c r="E265" t="inlineStr">
        <is>
          <t>YES</t>
        </is>
      </c>
      <c r="F265" t="inlineStr">
        <is>
          <t>更新机构</t>
        </is>
      </c>
      <c r="H265" t="inlineStr">
        <is>
          <t>VARCHAR</t>
        </is>
      </c>
      <c r="I265" t="inlineStr">
        <is>
          <t>32</t>
        </is>
      </c>
    </row>
    <row r="266">
      <c r="A266" t="inlineStr">
        <is>
          <t>评级机构申请关联表</t>
        </is>
      </c>
      <c r="B266" t="inlineStr">
        <is>
          <t>APPRAISAL_APPLY_RELATIVE</t>
        </is>
      </c>
      <c r="C266" t="inlineStr">
        <is>
          <t>UPDATEDATE</t>
        </is>
      </c>
      <c r="D266" t="inlineStr">
        <is>
          <t>DATETIME</t>
        </is>
      </c>
      <c r="E266" t="inlineStr">
        <is>
          <t>YES</t>
        </is>
      </c>
      <c r="F266" t="inlineStr">
        <is>
          <t>更新日期</t>
        </is>
      </c>
      <c r="H266" t="inlineStr">
        <is>
          <t>DATETIME</t>
        </is>
      </c>
    </row>
    <row r="267">
      <c r="A267" t="inlineStr">
        <is>
          <t>抵质押登记记录</t>
        </is>
      </c>
      <c r="B267" t="inlineStr">
        <is>
          <t>CLR_REGISTER_RECORD</t>
        </is>
      </c>
      <c r="C267" t="inlineStr">
        <is>
          <t>REGISTERRECORDID</t>
        </is>
      </c>
      <c r="D267" t="inlineStr">
        <is>
          <t>VARCHAR(32)</t>
        </is>
      </c>
      <c r="E267" t="inlineStr">
        <is>
          <t>NO</t>
        </is>
      </c>
      <c r="F267" t="inlineStr">
        <is>
          <t>抵质押登记记录编号</t>
        </is>
      </c>
      <c r="H267" t="inlineStr">
        <is>
          <t>VARCHAR</t>
        </is>
      </c>
      <c r="I267" t="inlineStr">
        <is>
          <t>32</t>
        </is>
      </c>
    </row>
    <row r="268">
      <c r="A268" t="inlineStr">
        <is>
          <t>抵质押登记记录</t>
        </is>
      </c>
      <c r="B268" t="inlineStr">
        <is>
          <t>CLR_REGISTER_RECORD</t>
        </is>
      </c>
      <c r="C268" t="inlineStr">
        <is>
          <t>REGISTERPROCESS</t>
        </is>
      </c>
      <c r="D268" t="inlineStr">
        <is>
          <t>VARCHAR(6)</t>
        </is>
      </c>
      <c r="E268" t="inlineStr">
        <is>
          <t>YES</t>
        </is>
      </c>
      <c r="F268" t="inlineStr">
        <is>
          <t>登记进度</t>
        </is>
      </c>
      <c r="H268" t="inlineStr">
        <is>
          <t>VARCHAR</t>
        </is>
      </c>
      <c r="I268" t="inlineStr">
        <is>
          <t>6</t>
        </is>
      </c>
    </row>
    <row r="269">
      <c r="A269" t="inlineStr">
        <is>
          <t>抵质押登记记录</t>
        </is>
      </c>
      <c r="B269" t="inlineStr">
        <is>
          <t>CLR_REGISTER_RECORD</t>
        </is>
      </c>
      <c r="C269" t="inlineStr">
        <is>
          <t>REGISTERTYPE</t>
        </is>
      </c>
      <c r="D269" t="inlineStr">
        <is>
          <t>VARCHAR(6)</t>
        </is>
      </c>
      <c r="E269" t="inlineStr">
        <is>
          <t>YES</t>
        </is>
      </c>
      <c r="F269" t="inlineStr">
        <is>
          <t>抵质押登记类型</t>
        </is>
      </c>
      <c r="H269" t="inlineStr">
        <is>
          <t>VARCHAR</t>
        </is>
      </c>
      <c r="I269" t="inlineStr">
        <is>
          <t>6</t>
        </is>
      </c>
    </row>
    <row r="270">
      <c r="A270" t="inlineStr">
        <is>
          <t>抵质押登记记录</t>
        </is>
      </c>
      <c r="B270" t="inlineStr">
        <is>
          <t>CLR_REGISTER_RECORD</t>
        </is>
      </c>
      <c r="C270" t="inlineStr">
        <is>
          <t>CLRID</t>
        </is>
      </c>
      <c r="D270" t="inlineStr">
        <is>
          <t>VARCHAR(32)</t>
        </is>
      </c>
      <c r="E270" t="inlineStr">
        <is>
          <t>YES</t>
        </is>
      </c>
      <c r="F270" t="inlineStr">
        <is>
          <t>押品编号</t>
        </is>
      </c>
      <c r="H270" t="inlineStr">
        <is>
          <t>VARCHAR</t>
        </is>
      </c>
      <c r="I270" t="inlineStr">
        <is>
          <t>32</t>
        </is>
      </c>
    </row>
    <row r="271">
      <c r="A271" t="inlineStr">
        <is>
          <t>抵质押登记记录</t>
        </is>
      </c>
      <c r="B271" t="inlineStr">
        <is>
          <t>CLR_REGISTER_RECORD</t>
        </is>
      </c>
      <c r="C271" t="inlineStr">
        <is>
          <t>GUARANTYNO</t>
        </is>
      </c>
      <c r="D271" t="inlineStr">
        <is>
          <t>VARCHAR(32)</t>
        </is>
      </c>
      <c r="E271" t="inlineStr">
        <is>
          <t>YES</t>
        </is>
      </c>
      <c r="F271" t="inlineStr">
        <is>
          <t>担保合同编号</t>
        </is>
      </c>
      <c r="H271" t="inlineStr">
        <is>
          <t>VARCHAR</t>
        </is>
      </c>
      <c r="I271" t="inlineStr">
        <is>
          <t>32</t>
        </is>
      </c>
    </row>
    <row r="272">
      <c r="A272" t="inlineStr">
        <is>
          <t>抵质押登记记录</t>
        </is>
      </c>
      <c r="B272" t="inlineStr">
        <is>
          <t>CLR_REGISTER_RECORD</t>
        </is>
      </c>
      <c r="C272" t="inlineStr">
        <is>
          <t>GUARANTYSTYLE</t>
        </is>
      </c>
      <c r="D272" t="inlineStr">
        <is>
          <t>VARCHAR(6)</t>
        </is>
      </c>
      <c r="E272" t="inlineStr">
        <is>
          <t>YES</t>
        </is>
      </c>
      <c r="F272" t="inlineStr">
        <is>
          <t>押品类别</t>
        </is>
      </c>
      <c r="H272" t="inlineStr">
        <is>
          <t>VARCHAR</t>
        </is>
      </c>
      <c r="I272" t="inlineStr">
        <is>
          <t>6</t>
        </is>
      </c>
    </row>
    <row r="273">
      <c r="A273" t="inlineStr">
        <is>
          <t>抵质押登记记录</t>
        </is>
      </c>
      <c r="B273" t="inlineStr">
        <is>
          <t>CLR_REGISTER_RECORD</t>
        </is>
      </c>
      <c r="C273" t="inlineStr">
        <is>
          <t>CLRINPUTORGID</t>
        </is>
      </c>
      <c r="D273" t="inlineStr">
        <is>
          <t>VARCHAR(32)</t>
        </is>
      </c>
      <c r="E273" t="inlineStr">
        <is>
          <t>YES</t>
        </is>
      </c>
      <c r="F273" t="inlineStr">
        <is>
          <t>押品登记机构</t>
        </is>
      </c>
      <c r="H273" t="inlineStr">
        <is>
          <t>VARCHAR</t>
        </is>
      </c>
      <c r="I273" t="inlineStr">
        <is>
          <t>32</t>
        </is>
      </c>
    </row>
    <row r="274">
      <c r="A274" t="inlineStr">
        <is>
          <t>抵质押登记记录</t>
        </is>
      </c>
      <c r="B274" t="inlineStr">
        <is>
          <t>CLR_REGISTER_RECORD</t>
        </is>
      </c>
      <c r="C274" t="inlineStr">
        <is>
          <t>AGENTORG</t>
        </is>
      </c>
      <c r="D274" t="inlineStr">
        <is>
          <t>VARCHAR(80)</t>
        </is>
      </c>
      <c r="E274" t="inlineStr">
        <is>
          <t>YES</t>
        </is>
      </c>
      <c r="F274" t="inlineStr">
        <is>
          <t>委托机构</t>
        </is>
      </c>
      <c r="H274" t="inlineStr">
        <is>
          <t>VARCHAR</t>
        </is>
      </c>
      <c r="I274" t="inlineStr">
        <is>
          <t>80</t>
        </is>
      </c>
    </row>
    <row r="275">
      <c r="A275" t="inlineStr">
        <is>
          <t>抵质押登记记录</t>
        </is>
      </c>
      <c r="B275" t="inlineStr">
        <is>
          <t>CLR_REGISTER_RECORD</t>
        </is>
      </c>
      <c r="C275" t="inlineStr">
        <is>
          <t>TRANSFERMATERIALLIST</t>
        </is>
      </c>
      <c r="D275" t="inlineStr">
        <is>
          <t>VARCHAR(500)</t>
        </is>
      </c>
      <c r="E275" t="inlineStr">
        <is>
          <t>YES</t>
        </is>
      </c>
      <c r="F275" t="inlineStr">
        <is>
          <t>移交材料清单</t>
        </is>
      </c>
      <c r="H275" t="inlineStr">
        <is>
          <t>VARCHAR</t>
        </is>
      </c>
      <c r="I275" t="inlineStr">
        <is>
          <t>500</t>
        </is>
      </c>
    </row>
    <row r="276">
      <c r="A276" t="inlineStr">
        <is>
          <t>抵质押登记记录</t>
        </is>
      </c>
      <c r="B276" t="inlineStr">
        <is>
          <t>CLR_REGISTER_RECORD</t>
        </is>
      </c>
      <c r="C276" t="inlineStr">
        <is>
          <t>REFERMATERIAL</t>
        </is>
      </c>
      <c r="D276" t="inlineStr">
        <is>
          <t>VARCHAR(500)</t>
        </is>
      </c>
      <c r="E276" t="inlineStr">
        <is>
          <t>YES</t>
        </is>
      </c>
      <c r="F276" t="inlineStr">
        <is>
          <t>相关合同/审批材料</t>
        </is>
      </c>
      <c r="H276" t="inlineStr">
        <is>
          <t>VARCHAR</t>
        </is>
      </c>
      <c r="I276" t="inlineStr">
        <is>
          <t>500</t>
        </is>
      </c>
    </row>
    <row r="277">
      <c r="A277" t="inlineStr">
        <is>
          <t>抵质押登记记录</t>
        </is>
      </c>
      <c r="B277" t="inlineStr">
        <is>
          <t>CLR_REGISTER_RECORD</t>
        </is>
      </c>
      <c r="C277" t="inlineStr">
        <is>
          <t>INPUTUSERID</t>
        </is>
      </c>
      <c r="D277" t="inlineStr">
        <is>
          <t>VARCHAR(32)</t>
        </is>
      </c>
      <c r="E277" t="inlineStr">
        <is>
          <t>YES</t>
        </is>
      </c>
      <c r="F277" t="inlineStr">
        <is>
          <t>登记人</t>
        </is>
      </c>
      <c r="H277" t="inlineStr">
        <is>
          <t>VARCHAR</t>
        </is>
      </c>
      <c r="I277" t="inlineStr">
        <is>
          <t>32</t>
        </is>
      </c>
    </row>
    <row r="278">
      <c r="A278" t="inlineStr">
        <is>
          <t>抵质押登记记录</t>
        </is>
      </c>
      <c r="B278" t="inlineStr">
        <is>
          <t>CLR_REGISTER_RECORD</t>
        </is>
      </c>
      <c r="C278" t="inlineStr">
        <is>
          <t>INPUTORGID</t>
        </is>
      </c>
      <c r="D278" t="inlineStr">
        <is>
          <t>VARCHAR(32)</t>
        </is>
      </c>
      <c r="E278" t="inlineStr">
        <is>
          <t>YES</t>
        </is>
      </c>
      <c r="F278" t="inlineStr">
        <is>
          <t>登记机构</t>
        </is>
      </c>
      <c r="H278" t="inlineStr">
        <is>
          <t>VARCHAR</t>
        </is>
      </c>
      <c r="I278" t="inlineStr">
        <is>
          <t>32</t>
        </is>
      </c>
    </row>
    <row r="279">
      <c r="A279" t="inlineStr">
        <is>
          <t>抵质押登记记录</t>
        </is>
      </c>
      <c r="B279" t="inlineStr">
        <is>
          <t>CLR_REGISTER_RECORD</t>
        </is>
      </c>
      <c r="C279" t="inlineStr">
        <is>
          <t>INPUTDATE</t>
        </is>
      </c>
      <c r="D279" t="inlineStr">
        <is>
          <t>DATETIME</t>
        </is>
      </c>
      <c r="E279" t="inlineStr">
        <is>
          <t>YES</t>
        </is>
      </c>
      <c r="F279" t="inlineStr">
        <is>
          <t>登记日期</t>
        </is>
      </c>
      <c r="H279" t="inlineStr">
        <is>
          <t>DATETIME</t>
        </is>
      </c>
    </row>
    <row r="280">
      <c r="A280" t="inlineStr">
        <is>
          <t>抵质押登记记录</t>
        </is>
      </c>
      <c r="B280" t="inlineStr">
        <is>
          <t>CLR_REGISTER_RECORD</t>
        </is>
      </c>
      <c r="C280" t="inlineStr">
        <is>
          <t>UPDATEUSERID</t>
        </is>
      </c>
      <c r="D280" t="inlineStr">
        <is>
          <t>VARCHAR(32)</t>
        </is>
      </c>
      <c r="E280" t="inlineStr">
        <is>
          <t>YES</t>
        </is>
      </c>
      <c r="F280" t="inlineStr">
        <is>
          <t>更新人</t>
        </is>
      </c>
      <c r="H280" t="inlineStr">
        <is>
          <t>VARCHAR</t>
        </is>
      </c>
      <c r="I280" t="inlineStr">
        <is>
          <t>32</t>
        </is>
      </c>
    </row>
    <row r="281">
      <c r="A281" t="inlineStr">
        <is>
          <t>抵质押登记记录</t>
        </is>
      </c>
      <c r="B281" t="inlineStr">
        <is>
          <t>CLR_REGISTER_RECORD</t>
        </is>
      </c>
      <c r="C281" t="inlineStr">
        <is>
          <t>UPDATEORGID</t>
        </is>
      </c>
      <c r="D281" t="inlineStr">
        <is>
          <t>VARCHAR(32)</t>
        </is>
      </c>
      <c r="E281" t="inlineStr">
        <is>
          <t>YES</t>
        </is>
      </c>
      <c r="F281" t="inlineStr">
        <is>
          <t>更新机构</t>
        </is>
      </c>
      <c r="H281" t="inlineStr">
        <is>
          <t>VARCHAR</t>
        </is>
      </c>
      <c r="I281" t="inlineStr">
        <is>
          <t>32</t>
        </is>
      </c>
    </row>
    <row r="282">
      <c r="A282" t="inlineStr">
        <is>
          <t>抵质押登记记录</t>
        </is>
      </c>
      <c r="B282" t="inlineStr">
        <is>
          <t>CLR_REGISTER_RECORD</t>
        </is>
      </c>
      <c r="C282" t="inlineStr">
        <is>
          <t>UPDATEDATE</t>
        </is>
      </c>
      <c r="D282" t="inlineStr">
        <is>
          <t>DATETIME</t>
        </is>
      </c>
      <c r="E282" t="inlineStr">
        <is>
          <t>YES</t>
        </is>
      </c>
      <c r="F282" t="inlineStr">
        <is>
          <t>更新日期</t>
        </is>
      </c>
      <c r="H282" t="inlineStr">
        <is>
          <t>DATETIME</t>
        </is>
      </c>
    </row>
    <row r="283">
      <c r="A283" t="inlineStr">
        <is>
          <t>抵质押登记记录</t>
        </is>
      </c>
      <c r="B283" t="inlineStr">
        <is>
          <t>CLR_REGISTER_RECORD</t>
        </is>
      </c>
      <c r="C283" t="inlineStr">
        <is>
          <t>CORPORGID</t>
        </is>
      </c>
      <c r="D283" t="inlineStr">
        <is>
          <t>VARCHAR(32)</t>
        </is>
      </c>
      <c r="E283" t="inlineStr">
        <is>
          <t>YES</t>
        </is>
      </c>
      <c r="F283" t="inlineStr">
        <is>
          <t>法人机构编号</t>
        </is>
      </c>
      <c r="H283" t="inlineStr">
        <is>
          <t>VARCHAR</t>
        </is>
      </c>
      <c r="I283" t="inlineStr">
        <is>
          <t>32</t>
        </is>
      </c>
    </row>
    <row r="284">
      <c r="A284" t="inlineStr">
        <is>
          <t>抵质押登记记录</t>
        </is>
      </c>
      <c r="B284" t="inlineStr">
        <is>
          <t>CLR_REGISTER_RECORD</t>
        </is>
      </c>
      <c r="C284" t="inlineStr">
        <is>
          <t>ORGID</t>
        </is>
      </c>
      <c r="D284" t="inlineStr">
        <is>
          <t>VARCHAR(32)</t>
        </is>
      </c>
      <c r="E284" t="inlineStr">
        <is>
          <t>YES</t>
        </is>
      </c>
      <c r="F284" t="inlineStr">
        <is>
          <t>账务机构</t>
        </is>
      </c>
      <c r="H284" t="inlineStr">
        <is>
          <t>VARCHAR</t>
        </is>
      </c>
      <c r="I284" t="inlineStr">
        <is>
          <t>32</t>
        </is>
      </c>
    </row>
    <row r="285">
      <c r="A285" t="inlineStr">
        <is>
          <t>抵质押登记记录</t>
        </is>
      </c>
      <c r="B285" t="inlineStr">
        <is>
          <t>CLR_REGISTER_RECORD</t>
        </is>
      </c>
      <c r="C285" t="inlineStr">
        <is>
          <t>CLRRIGHTSTATUTS</t>
        </is>
      </c>
      <c r="D285" t="inlineStr">
        <is>
          <t>VARCHAR(6)</t>
        </is>
      </c>
      <c r="E285" t="inlineStr">
        <is>
          <t>YES</t>
        </is>
      </c>
      <c r="F285" t="inlineStr">
        <is>
          <t>押权状态</t>
        </is>
      </c>
      <c r="H285" t="inlineStr">
        <is>
          <t>VARCHAR</t>
        </is>
      </c>
      <c r="I285" t="inlineStr">
        <is>
          <t>6</t>
        </is>
      </c>
    </row>
    <row r="286">
      <c r="A286" t="inlineStr">
        <is>
          <t>抵质押登记记录</t>
        </is>
      </c>
      <c r="B286" t="inlineStr">
        <is>
          <t>CLR_REGISTER_RECORD</t>
        </is>
      </c>
      <c r="C286" t="inlineStr">
        <is>
          <t>ISONLINE</t>
        </is>
      </c>
      <c r="D286" t="inlineStr">
        <is>
          <t>VARCHAR(6)</t>
        </is>
      </c>
      <c r="E286" t="inlineStr">
        <is>
          <t>YES</t>
        </is>
      </c>
      <c r="F286" t="inlineStr">
        <is>
          <t>是否线上抵押</t>
        </is>
      </c>
      <c r="H286" t="inlineStr">
        <is>
          <t>VARCHAR</t>
        </is>
      </c>
      <c r="I286" t="inlineStr">
        <is>
          <t>6</t>
        </is>
      </c>
    </row>
    <row r="287">
      <c r="A287" t="inlineStr">
        <is>
          <t>大宗商品盯市数据表</t>
        </is>
      </c>
      <c r="B287" t="inlineStr">
        <is>
          <t>CLR_COMMODITY_MARKET</t>
        </is>
      </c>
      <c r="C287" t="inlineStr">
        <is>
          <t>SERIALNO</t>
        </is>
      </c>
      <c r="D287" t="inlineStr">
        <is>
          <t>VARCHAR(32)</t>
        </is>
      </c>
      <c r="E287" t="inlineStr">
        <is>
          <t>NO</t>
        </is>
      </c>
      <c r="F287" t="inlineStr">
        <is>
          <t>流水号</t>
        </is>
      </c>
      <c r="H287" t="inlineStr">
        <is>
          <t>VARCHAR</t>
        </is>
      </c>
      <c r="I287" t="inlineStr">
        <is>
          <t>32</t>
        </is>
      </c>
    </row>
    <row r="288">
      <c r="A288" t="inlineStr">
        <is>
          <t>大宗商品盯市数据表</t>
        </is>
      </c>
      <c r="B288" t="inlineStr">
        <is>
          <t>CLR_COMMODITY_MARKET</t>
        </is>
      </c>
      <c r="C288" t="inlineStr">
        <is>
          <t>MATERIALCODE</t>
        </is>
      </c>
      <c r="D288" t="inlineStr">
        <is>
          <t>VARCHAR(32)</t>
        </is>
      </c>
      <c r="E288" t="inlineStr">
        <is>
          <t>YES</t>
        </is>
      </c>
      <c r="F288" t="inlineStr">
        <is>
          <t>商品代码</t>
        </is>
      </c>
      <c r="H288" t="inlineStr">
        <is>
          <t>VARCHAR</t>
        </is>
      </c>
      <c r="I288" t="inlineStr">
        <is>
          <t>32</t>
        </is>
      </c>
    </row>
    <row r="289">
      <c r="A289" t="inlineStr">
        <is>
          <t>大宗商品盯市数据表</t>
        </is>
      </c>
      <c r="B289" t="inlineStr">
        <is>
          <t>CLR_COMMODITY_MARKET</t>
        </is>
      </c>
      <c r="C289" t="inlineStr">
        <is>
          <t>MATERIALTYPE</t>
        </is>
      </c>
      <c r="D289" t="inlineStr">
        <is>
          <t>VARCHAR(80)</t>
        </is>
      </c>
      <c r="E289" t="inlineStr">
        <is>
          <t>YES</t>
        </is>
      </c>
      <c r="F289" t="inlineStr">
        <is>
          <t>商品类型</t>
        </is>
      </c>
      <c r="H289" t="inlineStr">
        <is>
          <t>VARCHAR</t>
        </is>
      </c>
      <c r="I289" t="inlineStr">
        <is>
          <t>80</t>
        </is>
      </c>
    </row>
    <row r="290">
      <c r="A290" t="inlineStr">
        <is>
          <t>大宗商品盯市数据表</t>
        </is>
      </c>
      <c r="B290" t="inlineStr">
        <is>
          <t>CLR_COMMODITY_MARKET</t>
        </is>
      </c>
      <c r="C290" t="inlineStr">
        <is>
          <t>MATERIALNAME</t>
        </is>
      </c>
      <c r="D290" t="inlineStr">
        <is>
          <t>VARCHAR(80)</t>
        </is>
      </c>
      <c r="E290" t="inlineStr">
        <is>
          <t>YES</t>
        </is>
      </c>
      <c r="F290" t="inlineStr">
        <is>
          <t>商品名称</t>
        </is>
      </c>
      <c r="H290" t="inlineStr">
        <is>
          <t>VARCHAR</t>
        </is>
      </c>
      <c r="I290" t="inlineStr">
        <is>
          <t>80</t>
        </is>
      </c>
    </row>
    <row r="291">
      <c r="A291" t="inlineStr">
        <is>
          <t>大宗商品盯市数据表</t>
        </is>
      </c>
      <c r="B291" t="inlineStr">
        <is>
          <t>CLR_COMMODITY_MARKET</t>
        </is>
      </c>
      <c r="C291" t="inlineStr">
        <is>
          <t>SPECIFICATIONS</t>
        </is>
      </c>
      <c r="D291" t="inlineStr">
        <is>
          <t>VARCHAR(200)</t>
        </is>
      </c>
      <c r="E291" t="inlineStr">
        <is>
          <t>YES</t>
        </is>
      </c>
      <c r="F291" t="inlineStr">
        <is>
          <t>规格</t>
        </is>
      </c>
      <c r="H291" t="inlineStr">
        <is>
          <t>VARCHAR</t>
        </is>
      </c>
      <c r="I291" t="inlineStr">
        <is>
          <t>200</t>
        </is>
      </c>
    </row>
    <row r="292">
      <c r="A292" t="inlineStr">
        <is>
          <t>大宗商品盯市数据表</t>
        </is>
      </c>
      <c r="B292" t="inlineStr">
        <is>
          <t>CLR_COMMODITY_MARKET</t>
        </is>
      </c>
      <c r="C292" t="inlineStr">
        <is>
          <t>TRADEDATE</t>
        </is>
      </c>
      <c r="D292" t="inlineStr">
        <is>
          <t>DATETIME</t>
        </is>
      </c>
      <c r="E292" t="inlineStr">
        <is>
          <t>YES</t>
        </is>
      </c>
      <c r="F292" t="inlineStr">
        <is>
          <t>交易日期</t>
        </is>
      </c>
      <c r="H292" t="inlineStr">
        <is>
          <t>DATETIME</t>
        </is>
      </c>
    </row>
    <row r="293">
      <c r="A293" t="inlineStr">
        <is>
          <t>大宗商品盯市数据表</t>
        </is>
      </c>
      <c r="B293" t="inlineStr">
        <is>
          <t>CLR_COMMODITY_MARKET</t>
        </is>
      </c>
      <c r="C293" t="inlineStr">
        <is>
          <t>DAILYPRICE</t>
        </is>
      </c>
      <c r="D293" t="inlineStr">
        <is>
          <t>DECIMAL(24,6)</t>
        </is>
      </c>
      <c r="E293" t="inlineStr">
        <is>
          <t>YES</t>
        </is>
      </c>
      <c r="F293" t="inlineStr">
        <is>
          <t>当日价格</t>
        </is>
      </c>
      <c r="H293" t="inlineStr">
        <is>
          <t>DECIMAL</t>
        </is>
      </c>
      <c r="I293" t="inlineStr">
        <is>
          <t>24,6</t>
        </is>
      </c>
    </row>
    <row r="294">
      <c r="A294" t="inlineStr">
        <is>
          <t>大宗商品盯市数据表</t>
        </is>
      </c>
      <c r="B294" t="inlineStr">
        <is>
          <t>CLR_COMMODITY_MARKET</t>
        </is>
      </c>
      <c r="C294" t="inlineStr">
        <is>
          <t>UNIT</t>
        </is>
      </c>
      <c r="D294" t="inlineStr">
        <is>
          <t>VARCHAR(80)</t>
        </is>
      </c>
      <c r="E294" t="inlineStr">
        <is>
          <t>YES</t>
        </is>
      </c>
      <c r="F294" t="inlineStr">
        <is>
          <t>单位</t>
        </is>
      </c>
      <c r="H294" t="inlineStr">
        <is>
          <t>VARCHAR</t>
        </is>
      </c>
      <c r="I294" t="inlineStr">
        <is>
          <t>80</t>
        </is>
      </c>
    </row>
    <row r="295">
      <c r="A295" t="inlineStr">
        <is>
          <t>大宗商品盯市数据表</t>
        </is>
      </c>
      <c r="B295" t="inlineStr">
        <is>
          <t>CLR_COMMODITY_MARKET</t>
        </is>
      </c>
      <c r="C295" t="inlineStr">
        <is>
          <t>WEEKGAINRATE</t>
        </is>
      </c>
      <c r="D295" t="inlineStr">
        <is>
          <t>DECIMAL(24,6)</t>
        </is>
      </c>
      <c r="E295" t="inlineStr">
        <is>
          <t>YES</t>
        </is>
      </c>
      <c r="F295" t="inlineStr">
        <is>
          <t>七日涨跌幅</t>
        </is>
      </c>
      <c r="H295" t="inlineStr">
        <is>
          <t>DECIMAL</t>
        </is>
      </c>
      <c r="I295" t="inlineStr">
        <is>
          <t>24,6</t>
        </is>
      </c>
    </row>
    <row r="296">
      <c r="A296" t="inlineStr">
        <is>
          <t>大宗商品盯市数据表</t>
        </is>
      </c>
      <c r="B296" t="inlineStr">
        <is>
          <t>CLR_COMMODITY_MARKET</t>
        </is>
      </c>
      <c r="C296" t="inlineStr">
        <is>
          <t>BEGINMONTHPRICE</t>
        </is>
      </c>
      <c r="D296" t="inlineStr">
        <is>
          <t>DECIMAL(24,6)</t>
        </is>
      </c>
      <c r="E296" t="inlineStr">
        <is>
          <t>YES</t>
        </is>
      </c>
      <c r="F296" t="inlineStr">
        <is>
          <t>月初价格</t>
        </is>
      </c>
      <c r="H296" t="inlineStr">
        <is>
          <t>DECIMAL</t>
        </is>
      </c>
      <c r="I296" t="inlineStr">
        <is>
          <t>24,6</t>
        </is>
      </c>
    </row>
    <row r="297">
      <c r="A297" t="inlineStr">
        <is>
          <t>大宗商品盯市数据表</t>
        </is>
      </c>
      <c r="B297" t="inlineStr">
        <is>
          <t>CLR_COMMODITY_MARKET</t>
        </is>
      </c>
      <c r="C297" t="inlineStr">
        <is>
          <t>ENDMONTHPRICE</t>
        </is>
      </c>
      <c r="D297" t="inlineStr">
        <is>
          <t>DECIMAL(24,6)</t>
        </is>
      </c>
      <c r="E297" t="inlineStr">
        <is>
          <t>YES</t>
        </is>
      </c>
      <c r="F297" t="inlineStr">
        <is>
          <t>月末价格</t>
        </is>
      </c>
      <c r="H297" t="inlineStr">
        <is>
          <t>DECIMAL</t>
        </is>
      </c>
      <c r="I297" t="inlineStr">
        <is>
          <t>24,6</t>
        </is>
      </c>
    </row>
    <row r="298">
      <c r="A298" t="inlineStr">
        <is>
          <t>大宗商品盯市数据表</t>
        </is>
      </c>
      <c r="B298" t="inlineStr">
        <is>
          <t>CLR_COMMODITY_MARKET</t>
        </is>
      </c>
      <c r="C298" t="inlineStr">
        <is>
          <t>MONTHGAINRAGE</t>
        </is>
      </c>
      <c r="D298" t="inlineStr">
        <is>
          <t>DECIMAL(24,6)</t>
        </is>
      </c>
      <c r="E298" t="inlineStr">
        <is>
          <t>YES</t>
        </is>
      </c>
      <c r="F298" t="inlineStr">
        <is>
          <t>当月涨跌幅</t>
        </is>
      </c>
      <c r="H298" t="inlineStr">
        <is>
          <t>DECIMAL</t>
        </is>
      </c>
      <c r="I298" t="inlineStr">
        <is>
          <t>24,6</t>
        </is>
      </c>
    </row>
    <row r="299">
      <c r="A299" t="inlineStr">
        <is>
          <t>大宗商品盯市数据表</t>
        </is>
      </c>
      <c r="B299" t="inlineStr">
        <is>
          <t>CLR_COMMODITY_MARKET</t>
        </is>
      </c>
      <c r="C299" t="inlineStr">
        <is>
          <t>CORPORGID</t>
        </is>
      </c>
      <c r="D299" t="inlineStr">
        <is>
          <t>VARCHAR(32)</t>
        </is>
      </c>
      <c r="E299" t="inlineStr">
        <is>
          <t>YES</t>
        </is>
      </c>
      <c r="F299" t="inlineStr">
        <is>
          <t>法人机构号</t>
        </is>
      </c>
      <c r="H299" t="inlineStr">
        <is>
          <t>VARCHAR</t>
        </is>
      </c>
      <c r="I299" t="inlineStr">
        <is>
          <t>32</t>
        </is>
      </c>
    </row>
    <row r="300">
      <c r="A300" t="inlineStr">
        <is>
          <t>大宗商品盯市数据表</t>
        </is>
      </c>
      <c r="B300" t="inlineStr">
        <is>
          <t>CLR_COMMODITY_MARKET</t>
        </is>
      </c>
      <c r="C300" t="inlineStr">
        <is>
          <t>DELETEFLAG</t>
        </is>
      </c>
      <c r="D300" t="inlineStr">
        <is>
          <t>VARCHAR(6)</t>
        </is>
      </c>
      <c r="E300" t="inlineStr">
        <is>
          <t>YES</t>
        </is>
      </c>
      <c r="F300" t="inlineStr">
        <is>
          <t>删除标记;YESNO</t>
        </is>
      </c>
      <c r="H300" t="inlineStr">
        <is>
          <t>VARCHAR</t>
        </is>
      </c>
      <c r="I300" t="inlineStr">
        <is>
          <t>6</t>
        </is>
      </c>
    </row>
    <row r="301">
      <c r="A301" t="inlineStr">
        <is>
          <t>大宗商品盯市数据表</t>
        </is>
      </c>
      <c r="B301" t="inlineStr">
        <is>
          <t>CLR_COMMODITY_MARKET</t>
        </is>
      </c>
      <c r="C301" t="inlineStr">
        <is>
          <t>INPUTUSERID</t>
        </is>
      </c>
      <c r="D301" t="inlineStr">
        <is>
          <t>VARCHAR(32)</t>
        </is>
      </c>
      <c r="E301" t="inlineStr">
        <is>
          <t>YES</t>
        </is>
      </c>
      <c r="F301" t="inlineStr">
        <is>
          <t>登记人</t>
        </is>
      </c>
      <c r="H301" t="inlineStr">
        <is>
          <t>VARCHAR</t>
        </is>
      </c>
      <c r="I301" t="inlineStr">
        <is>
          <t>32</t>
        </is>
      </c>
    </row>
    <row r="302">
      <c r="A302" t="inlineStr">
        <is>
          <t>大宗商品盯市数据表</t>
        </is>
      </c>
      <c r="B302" t="inlineStr">
        <is>
          <t>CLR_COMMODITY_MARKET</t>
        </is>
      </c>
      <c r="C302" t="inlineStr">
        <is>
          <t>INPUTORGID</t>
        </is>
      </c>
      <c r="D302" t="inlineStr">
        <is>
          <t>VARCHAR(32)</t>
        </is>
      </c>
      <c r="E302" t="inlineStr">
        <is>
          <t>YES</t>
        </is>
      </c>
      <c r="F302" t="inlineStr">
        <is>
          <t>登记机构</t>
        </is>
      </c>
      <c r="H302" t="inlineStr">
        <is>
          <t>VARCHAR</t>
        </is>
      </c>
      <c r="I302" t="inlineStr">
        <is>
          <t>32</t>
        </is>
      </c>
    </row>
    <row r="303">
      <c r="A303" t="inlineStr">
        <is>
          <t>大宗商品盯市数据表</t>
        </is>
      </c>
      <c r="B303" t="inlineStr">
        <is>
          <t>CLR_COMMODITY_MARKET</t>
        </is>
      </c>
      <c r="C303" t="inlineStr">
        <is>
          <t>INPUTDATE</t>
        </is>
      </c>
      <c r="D303" t="inlineStr">
        <is>
          <t>DATETIME</t>
        </is>
      </c>
      <c r="E303" t="inlineStr">
        <is>
          <t>YES</t>
        </is>
      </c>
      <c r="F303" t="inlineStr">
        <is>
          <t>登记日期</t>
        </is>
      </c>
      <c r="H303" t="inlineStr">
        <is>
          <t>DATETIME</t>
        </is>
      </c>
    </row>
    <row r="304">
      <c r="A304" t="inlineStr">
        <is>
          <t>大宗商品盯市数据表</t>
        </is>
      </c>
      <c r="B304" t="inlineStr">
        <is>
          <t>CLR_COMMODITY_MARKET</t>
        </is>
      </c>
      <c r="C304" t="inlineStr">
        <is>
          <t>UPDATEUSERID</t>
        </is>
      </c>
      <c r="D304" t="inlineStr">
        <is>
          <t>VARCHAR(32)</t>
        </is>
      </c>
      <c r="E304" t="inlineStr">
        <is>
          <t>YES</t>
        </is>
      </c>
      <c r="F304" t="inlineStr">
        <is>
          <t>更新人</t>
        </is>
      </c>
      <c r="H304" t="inlineStr">
        <is>
          <t>VARCHAR</t>
        </is>
      </c>
      <c r="I304" t="inlineStr">
        <is>
          <t>32</t>
        </is>
      </c>
    </row>
    <row r="305">
      <c r="A305" t="inlineStr">
        <is>
          <t>大宗商品盯市数据表</t>
        </is>
      </c>
      <c r="B305" t="inlineStr">
        <is>
          <t>CLR_COMMODITY_MARKET</t>
        </is>
      </c>
      <c r="C305" t="inlineStr">
        <is>
          <t>UPDATEORGID</t>
        </is>
      </c>
      <c r="D305" t="inlineStr">
        <is>
          <t>VARCHAR(32)</t>
        </is>
      </c>
      <c r="E305" t="inlineStr">
        <is>
          <t>YES</t>
        </is>
      </c>
      <c r="F305" t="inlineStr">
        <is>
          <t>更新机构</t>
        </is>
      </c>
      <c r="H305" t="inlineStr">
        <is>
          <t>VARCHAR</t>
        </is>
      </c>
      <c r="I305" t="inlineStr">
        <is>
          <t>32</t>
        </is>
      </c>
    </row>
    <row r="306">
      <c r="A306" t="inlineStr">
        <is>
          <t>大宗商品盯市数据表</t>
        </is>
      </c>
      <c r="B306" t="inlineStr">
        <is>
          <t>CLR_COMMODITY_MARKET</t>
        </is>
      </c>
      <c r="C306" t="inlineStr">
        <is>
          <t>UPDATEDATE</t>
        </is>
      </c>
      <c r="D306" t="inlineStr">
        <is>
          <t>DATETIME</t>
        </is>
      </c>
      <c r="E306" t="inlineStr">
        <is>
          <t>YES</t>
        </is>
      </c>
      <c r="F306" t="inlineStr">
        <is>
          <t>更新日期</t>
        </is>
      </c>
      <c r="H306" t="inlineStr">
        <is>
          <t>DATETIME</t>
        </is>
      </c>
    </row>
    <row r="307">
      <c r="A307" t="inlineStr">
        <is>
          <t>基金盯市数据表</t>
        </is>
      </c>
      <c r="B307" t="inlineStr">
        <is>
          <t>CLR_FUND_MARKET</t>
        </is>
      </c>
      <c r="C307" t="inlineStr">
        <is>
          <t>SERIALNO</t>
        </is>
      </c>
      <c r="D307" t="inlineStr">
        <is>
          <t>VARCHAR(32)</t>
        </is>
      </c>
      <c r="E307" t="inlineStr">
        <is>
          <t>NO</t>
        </is>
      </c>
      <c r="F307" t="inlineStr">
        <is>
          <t>流水号</t>
        </is>
      </c>
      <c r="H307" t="inlineStr">
        <is>
          <t>VARCHAR</t>
        </is>
      </c>
      <c r="I307" t="inlineStr">
        <is>
          <t>32</t>
        </is>
      </c>
    </row>
    <row r="308">
      <c r="A308" t="inlineStr">
        <is>
          <t>基金盯市数据表</t>
        </is>
      </c>
      <c r="B308" t="inlineStr">
        <is>
          <t>CLR_FUND_MARKET</t>
        </is>
      </c>
      <c r="C308" t="inlineStr">
        <is>
          <t>FUNDNO</t>
        </is>
      </c>
      <c r="D308" t="inlineStr">
        <is>
          <t>VARCHAR(32)</t>
        </is>
      </c>
      <c r="E308" t="inlineStr">
        <is>
          <t>YES</t>
        </is>
      </c>
      <c r="F308" t="inlineStr">
        <is>
          <t>基金代码</t>
        </is>
      </c>
      <c r="H308" t="inlineStr">
        <is>
          <t>VARCHAR</t>
        </is>
      </c>
      <c r="I308" t="inlineStr">
        <is>
          <t>32</t>
        </is>
      </c>
    </row>
    <row r="309">
      <c r="A309" t="inlineStr">
        <is>
          <t>基金盯市数据表</t>
        </is>
      </c>
      <c r="B309" t="inlineStr">
        <is>
          <t>CLR_FUND_MARKET</t>
        </is>
      </c>
      <c r="C309" t="inlineStr">
        <is>
          <t>FUNDNAME</t>
        </is>
      </c>
      <c r="D309" t="inlineStr">
        <is>
          <t>VARCHAR(80)</t>
        </is>
      </c>
      <c r="E309" t="inlineStr">
        <is>
          <t>YES</t>
        </is>
      </c>
      <c r="F309" t="inlineStr">
        <is>
          <t>基金名称</t>
        </is>
      </c>
      <c r="H309" t="inlineStr">
        <is>
          <t>VARCHAR</t>
        </is>
      </c>
      <c r="I309" t="inlineStr">
        <is>
          <t>80</t>
        </is>
      </c>
    </row>
    <row r="310">
      <c r="A310" t="inlineStr">
        <is>
          <t>基金盯市数据表</t>
        </is>
      </c>
      <c r="B310" t="inlineStr">
        <is>
          <t>CLR_FUND_MARKET</t>
        </is>
      </c>
      <c r="C310" t="inlineStr">
        <is>
          <t>TRADEDATE</t>
        </is>
      </c>
      <c r="D310" t="inlineStr">
        <is>
          <t>DATE</t>
        </is>
      </c>
      <c r="E310" t="inlineStr">
        <is>
          <t>YES</t>
        </is>
      </c>
      <c r="F310" t="inlineStr">
        <is>
          <t>交易日期</t>
        </is>
      </c>
      <c r="H310" t="inlineStr">
        <is>
          <t>DATE</t>
        </is>
      </c>
    </row>
    <row r="311">
      <c r="A311" t="inlineStr">
        <is>
          <t>基金盯市数据表</t>
        </is>
      </c>
      <c r="B311" t="inlineStr">
        <is>
          <t>CLR_FUND_MARKET</t>
        </is>
      </c>
      <c r="C311" t="inlineStr">
        <is>
          <t>NETASSETVALUE</t>
        </is>
      </c>
      <c r="D311" t="inlineStr">
        <is>
          <t>DECIMAL(24,6)</t>
        </is>
      </c>
      <c r="E311" t="inlineStr">
        <is>
          <t>YES</t>
        </is>
      </c>
      <c r="F311" t="inlineStr">
        <is>
          <t>单位净值</t>
        </is>
      </c>
      <c r="H311" t="inlineStr">
        <is>
          <t>DECIMAL</t>
        </is>
      </c>
      <c r="I311" t="inlineStr">
        <is>
          <t>24,6</t>
        </is>
      </c>
    </row>
    <row r="312">
      <c r="A312" t="inlineStr">
        <is>
          <t>基金盯市数据表</t>
        </is>
      </c>
      <c r="B312" t="inlineStr">
        <is>
          <t>CLR_FUND_MARKET</t>
        </is>
      </c>
      <c r="C312" t="inlineStr">
        <is>
          <t>NETVALUE</t>
        </is>
      </c>
      <c r="D312" t="inlineStr">
        <is>
          <t>DECIMAL(24,6)</t>
        </is>
      </c>
      <c r="E312" t="inlineStr">
        <is>
          <t>YES</t>
        </is>
      </c>
      <c r="F312" t="inlineStr">
        <is>
          <t>累计净值</t>
        </is>
      </c>
      <c r="H312" t="inlineStr">
        <is>
          <t>DECIMAL</t>
        </is>
      </c>
      <c r="I312" t="inlineStr">
        <is>
          <t>24,6</t>
        </is>
      </c>
    </row>
    <row r="313">
      <c r="A313" t="inlineStr">
        <is>
          <t>基金盯市数据表</t>
        </is>
      </c>
      <c r="B313" t="inlineStr">
        <is>
          <t>CLR_FUND_MARKET</t>
        </is>
      </c>
      <c r="C313" t="inlineStr">
        <is>
          <t>DAILYINCREASES</t>
        </is>
      </c>
      <c r="D313" t="inlineStr">
        <is>
          <t>DECIMAL(24,6)</t>
        </is>
      </c>
      <c r="E313" t="inlineStr">
        <is>
          <t>YES</t>
        </is>
      </c>
      <c r="F313" t="inlineStr">
        <is>
          <t>日涨幅</t>
        </is>
      </c>
      <c r="H313" t="inlineStr">
        <is>
          <t>DECIMAL</t>
        </is>
      </c>
      <c r="I313" t="inlineStr">
        <is>
          <t>24,6</t>
        </is>
      </c>
    </row>
    <row r="314">
      <c r="A314" t="inlineStr">
        <is>
          <t>基金盯市数据表</t>
        </is>
      </c>
      <c r="B314" t="inlineStr">
        <is>
          <t>CLR_FUND_MARKET</t>
        </is>
      </c>
      <c r="C314" t="inlineStr">
        <is>
          <t>CORPORGID</t>
        </is>
      </c>
      <c r="D314" t="inlineStr">
        <is>
          <t>VARCHAR(32)</t>
        </is>
      </c>
      <c r="E314" t="inlineStr">
        <is>
          <t>YES</t>
        </is>
      </c>
      <c r="F314" t="inlineStr">
        <is>
          <t>法人机构号</t>
        </is>
      </c>
      <c r="H314" t="inlineStr">
        <is>
          <t>VARCHAR</t>
        </is>
      </c>
      <c r="I314" t="inlineStr">
        <is>
          <t>32</t>
        </is>
      </c>
    </row>
    <row r="315">
      <c r="A315" t="inlineStr">
        <is>
          <t>基金盯市数据表</t>
        </is>
      </c>
      <c r="B315" t="inlineStr">
        <is>
          <t>CLR_FUND_MARKET</t>
        </is>
      </c>
      <c r="C315" t="inlineStr">
        <is>
          <t>DELETEFLAG</t>
        </is>
      </c>
      <c r="D315" t="inlineStr">
        <is>
          <t>VARCHAR(6)</t>
        </is>
      </c>
      <c r="E315" t="inlineStr">
        <is>
          <t>YES</t>
        </is>
      </c>
      <c r="F315" t="inlineStr">
        <is>
          <t>删除标记</t>
        </is>
      </c>
      <c r="H315" t="inlineStr">
        <is>
          <t>VARCHAR</t>
        </is>
      </c>
      <c r="I315" t="inlineStr">
        <is>
          <t>6</t>
        </is>
      </c>
    </row>
    <row r="316">
      <c r="A316" t="inlineStr">
        <is>
          <t>基金盯市数据表</t>
        </is>
      </c>
      <c r="B316" t="inlineStr">
        <is>
          <t>CLR_FUND_MARKET</t>
        </is>
      </c>
      <c r="C316" t="inlineStr">
        <is>
          <t>INPUTUSERID</t>
        </is>
      </c>
      <c r="D316" t="inlineStr">
        <is>
          <t>VARCHAR(32)</t>
        </is>
      </c>
      <c r="E316" t="inlineStr">
        <is>
          <t>YES</t>
        </is>
      </c>
      <c r="F316" t="inlineStr">
        <is>
          <t>登记人</t>
        </is>
      </c>
      <c r="H316" t="inlineStr">
        <is>
          <t>VARCHAR</t>
        </is>
      </c>
      <c r="I316" t="inlineStr">
        <is>
          <t>32</t>
        </is>
      </c>
    </row>
    <row r="317">
      <c r="A317" t="inlineStr">
        <is>
          <t>基金盯市数据表</t>
        </is>
      </c>
      <c r="B317" t="inlineStr">
        <is>
          <t>CLR_FUND_MARKET</t>
        </is>
      </c>
      <c r="C317" t="inlineStr">
        <is>
          <t>INPUTORGID</t>
        </is>
      </c>
      <c r="D317" t="inlineStr">
        <is>
          <t>VARCHAR(32)</t>
        </is>
      </c>
      <c r="E317" t="inlineStr">
        <is>
          <t>YES</t>
        </is>
      </c>
      <c r="F317" t="inlineStr">
        <is>
          <t>登记机构</t>
        </is>
      </c>
      <c r="H317" t="inlineStr">
        <is>
          <t>VARCHAR</t>
        </is>
      </c>
      <c r="I317" t="inlineStr">
        <is>
          <t>32</t>
        </is>
      </c>
    </row>
    <row r="318">
      <c r="A318" t="inlineStr">
        <is>
          <t>基金盯市数据表</t>
        </is>
      </c>
      <c r="B318" t="inlineStr">
        <is>
          <t>CLR_FUND_MARKET</t>
        </is>
      </c>
      <c r="C318" t="inlineStr">
        <is>
          <t>INPUTDATE</t>
        </is>
      </c>
      <c r="D318" t="inlineStr">
        <is>
          <t>DATETIME</t>
        </is>
      </c>
      <c r="E318" t="inlineStr">
        <is>
          <t>YES</t>
        </is>
      </c>
      <c r="F318" t="inlineStr">
        <is>
          <t>登记日期</t>
        </is>
      </c>
      <c r="H318" t="inlineStr">
        <is>
          <t>DATETIME</t>
        </is>
      </c>
    </row>
    <row r="319">
      <c r="A319" t="inlineStr">
        <is>
          <t>基金盯市数据表</t>
        </is>
      </c>
      <c r="B319" t="inlineStr">
        <is>
          <t>CLR_FUND_MARKET</t>
        </is>
      </c>
      <c r="C319" t="inlineStr">
        <is>
          <t>UPDATEUSERID</t>
        </is>
      </c>
      <c r="D319" t="inlineStr">
        <is>
          <t>VARCHAR(32)</t>
        </is>
      </c>
      <c r="E319" t="inlineStr">
        <is>
          <t>YES</t>
        </is>
      </c>
      <c r="F319" t="inlineStr">
        <is>
          <t>更新人</t>
        </is>
      </c>
      <c r="H319" t="inlineStr">
        <is>
          <t>VARCHAR</t>
        </is>
      </c>
      <c r="I319" t="inlineStr">
        <is>
          <t>32</t>
        </is>
      </c>
    </row>
    <row r="320">
      <c r="A320" t="inlineStr">
        <is>
          <t>基金盯市数据表</t>
        </is>
      </c>
      <c r="B320" t="inlineStr">
        <is>
          <t>CLR_FUND_MARKET</t>
        </is>
      </c>
      <c r="C320" t="inlineStr">
        <is>
          <t>UPDATEORGID</t>
        </is>
      </c>
      <c r="D320" t="inlineStr">
        <is>
          <t>VARCHAR(32)</t>
        </is>
      </c>
      <c r="E320" t="inlineStr">
        <is>
          <t>YES</t>
        </is>
      </c>
      <c r="F320" t="inlineStr">
        <is>
          <t>更新机构</t>
        </is>
      </c>
      <c r="H320" t="inlineStr">
        <is>
          <t>VARCHAR</t>
        </is>
      </c>
      <c r="I320" t="inlineStr">
        <is>
          <t>32</t>
        </is>
      </c>
    </row>
    <row r="321">
      <c r="A321" t="inlineStr">
        <is>
          <t>基金盯市数据表</t>
        </is>
      </c>
      <c r="B321" t="inlineStr">
        <is>
          <t>CLR_FUND_MARKET</t>
        </is>
      </c>
      <c r="C321" t="inlineStr">
        <is>
          <t>UPDATEDATE</t>
        </is>
      </c>
      <c r="D321" t="inlineStr">
        <is>
          <t>DATETIME</t>
        </is>
      </c>
      <c r="E321" t="inlineStr">
        <is>
          <t>YES</t>
        </is>
      </c>
      <c r="F321" t="inlineStr">
        <is>
          <t>更新日期</t>
        </is>
      </c>
      <c r="H321" t="inlineStr">
        <is>
          <t>DATETIME</t>
        </is>
      </c>
    </row>
    <row r="322">
      <c r="A322" t="inlineStr">
        <is>
          <t>基金盯市数据明细表</t>
        </is>
      </c>
      <c r="B322" t="inlineStr">
        <is>
          <t>CLR_FUND_MARKET_DETAIL</t>
        </is>
      </c>
      <c r="C322" t="inlineStr">
        <is>
          <t>SERIALNO</t>
        </is>
      </c>
      <c r="D322" t="inlineStr">
        <is>
          <t>VARCHAR(32)</t>
        </is>
      </c>
      <c r="E322" t="inlineStr">
        <is>
          <t>NO</t>
        </is>
      </c>
      <c r="F322" t="inlineStr">
        <is>
          <t>流水号</t>
        </is>
      </c>
      <c r="H322" t="inlineStr">
        <is>
          <t>VARCHAR</t>
        </is>
      </c>
      <c r="I322" t="inlineStr">
        <is>
          <t>32</t>
        </is>
      </c>
    </row>
    <row r="323">
      <c r="A323" t="inlineStr">
        <is>
          <t>基金盯市数据明细表</t>
        </is>
      </c>
      <c r="B323" t="inlineStr">
        <is>
          <t>CLR_FUND_MARKET_DETAIL</t>
        </is>
      </c>
      <c r="C323" t="inlineStr">
        <is>
          <t>FUNDNO</t>
        </is>
      </c>
      <c r="D323" t="inlineStr">
        <is>
          <t>VARCHAR(32)</t>
        </is>
      </c>
      <c r="E323" t="inlineStr">
        <is>
          <t>YES</t>
        </is>
      </c>
      <c r="F323" t="inlineStr">
        <is>
          <t>基金代码</t>
        </is>
      </c>
      <c r="H323" t="inlineStr">
        <is>
          <t>VARCHAR</t>
        </is>
      </c>
      <c r="I323" t="inlineStr">
        <is>
          <t>32</t>
        </is>
      </c>
    </row>
    <row r="324">
      <c r="A324" t="inlineStr">
        <is>
          <t>基金盯市数据明细表</t>
        </is>
      </c>
      <c r="B324" t="inlineStr">
        <is>
          <t>CLR_FUND_MARKET_DETAIL</t>
        </is>
      </c>
      <c r="C324" t="inlineStr">
        <is>
          <t>FUNDNAME</t>
        </is>
      </c>
      <c r="D324" t="inlineStr">
        <is>
          <t>VARCHAR(80)</t>
        </is>
      </c>
      <c r="E324" t="inlineStr">
        <is>
          <t>YES</t>
        </is>
      </c>
      <c r="F324" t="inlineStr">
        <is>
          <t>基金名称</t>
        </is>
      </c>
      <c r="H324" t="inlineStr">
        <is>
          <t>VARCHAR</t>
        </is>
      </c>
      <c r="I324" t="inlineStr">
        <is>
          <t>80</t>
        </is>
      </c>
    </row>
    <row r="325">
      <c r="A325" t="inlineStr">
        <is>
          <t>基金盯市数据明细表</t>
        </is>
      </c>
      <c r="B325" t="inlineStr">
        <is>
          <t>CLR_FUND_MARKET_DETAIL</t>
        </is>
      </c>
      <c r="C325" t="inlineStr">
        <is>
          <t>TRADEDATE</t>
        </is>
      </c>
      <c r="D325" t="inlineStr">
        <is>
          <t>DATE</t>
        </is>
      </c>
      <c r="E325" t="inlineStr">
        <is>
          <t>YES</t>
        </is>
      </c>
      <c r="F325" t="inlineStr">
        <is>
          <t>交易日期</t>
        </is>
      </c>
      <c r="H325" t="inlineStr">
        <is>
          <t>DATE</t>
        </is>
      </c>
    </row>
    <row r="326">
      <c r="A326" t="inlineStr">
        <is>
          <t>基金盯市数据明细表</t>
        </is>
      </c>
      <c r="B326" t="inlineStr">
        <is>
          <t>CLR_FUND_MARKET_DETAIL</t>
        </is>
      </c>
      <c r="C326" t="inlineStr">
        <is>
          <t>NETASSETVALUE</t>
        </is>
      </c>
      <c r="D326" t="inlineStr">
        <is>
          <t>DECIMAL(24,6)</t>
        </is>
      </c>
      <c r="E326" t="inlineStr">
        <is>
          <t>YES</t>
        </is>
      </c>
      <c r="F326" t="inlineStr">
        <is>
          <t>单位净值</t>
        </is>
      </c>
      <c r="H326" t="inlineStr">
        <is>
          <t>DECIMAL</t>
        </is>
      </c>
      <c r="I326" t="inlineStr">
        <is>
          <t>24,6</t>
        </is>
      </c>
    </row>
    <row r="327">
      <c r="A327" t="inlineStr">
        <is>
          <t>基金盯市数据明细表</t>
        </is>
      </c>
      <c r="B327" t="inlineStr">
        <is>
          <t>CLR_FUND_MARKET_DETAIL</t>
        </is>
      </c>
      <c r="C327" t="inlineStr">
        <is>
          <t>NETVALUE</t>
        </is>
      </c>
      <c r="D327" t="inlineStr">
        <is>
          <t>DECIMAL(24,6)</t>
        </is>
      </c>
      <c r="E327" t="inlineStr">
        <is>
          <t>YES</t>
        </is>
      </c>
      <c r="F327" t="inlineStr">
        <is>
          <t>累计净值</t>
        </is>
      </c>
      <c r="H327" t="inlineStr">
        <is>
          <t>DECIMAL</t>
        </is>
      </c>
      <c r="I327" t="inlineStr">
        <is>
          <t>24,6</t>
        </is>
      </c>
    </row>
    <row r="328">
      <c r="A328" t="inlineStr">
        <is>
          <t>基金盯市数据明细表</t>
        </is>
      </c>
      <c r="B328" t="inlineStr">
        <is>
          <t>CLR_FUND_MARKET_DETAIL</t>
        </is>
      </c>
      <c r="C328" t="inlineStr">
        <is>
          <t>DAILYINCREASES</t>
        </is>
      </c>
      <c r="D328" t="inlineStr">
        <is>
          <t>DECIMAL(24,6)</t>
        </is>
      </c>
      <c r="E328" t="inlineStr">
        <is>
          <t>YES</t>
        </is>
      </c>
      <c r="F328" t="inlineStr">
        <is>
          <t>日涨幅</t>
        </is>
      </c>
      <c r="H328" t="inlineStr">
        <is>
          <t>DECIMAL</t>
        </is>
      </c>
      <c r="I328" t="inlineStr">
        <is>
          <t>24,6</t>
        </is>
      </c>
    </row>
    <row r="329">
      <c r="A329" t="inlineStr">
        <is>
          <t>基金盯市数据明细表</t>
        </is>
      </c>
      <c r="B329" t="inlineStr">
        <is>
          <t>CLR_FUND_MARKET_DETAIL</t>
        </is>
      </c>
      <c r="C329" t="inlineStr">
        <is>
          <t>CORPORGID</t>
        </is>
      </c>
      <c r="D329" t="inlineStr">
        <is>
          <t>VARCHAR(32)</t>
        </is>
      </c>
      <c r="E329" t="inlineStr">
        <is>
          <t>YES</t>
        </is>
      </c>
      <c r="F329" t="inlineStr">
        <is>
          <t>法人机构号</t>
        </is>
      </c>
      <c r="H329" t="inlineStr">
        <is>
          <t>VARCHAR</t>
        </is>
      </c>
      <c r="I329" t="inlineStr">
        <is>
          <t>32</t>
        </is>
      </c>
    </row>
    <row r="330">
      <c r="A330" t="inlineStr">
        <is>
          <t>基金盯市数据明细表</t>
        </is>
      </c>
      <c r="B330" t="inlineStr">
        <is>
          <t>CLR_FUND_MARKET_DETAIL</t>
        </is>
      </c>
      <c r="C330" t="inlineStr">
        <is>
          <t>DELETEFLAG</t>
        </is>
      </c>
      <c r="D330" t="inlineStr">
        <is>
          <t>VARCHAR(6)</t>
        </is>
      </c>
      <c r="E330" t="inlineStr">
        <is>
          <t>YES</t>
        </is>
      </c>
      <c r="F330" t="inlineStr">
        <is>
          <t>删除标记</t>
        </is>
      </c>
      <c r="H330" t="inlineStr">
        <is>
          <t>VARCHAR</t>
        </is>
      </c>
      <c r="I330" t="inlineStr">
        <is>
          <t>6</t>
        </is>
      </c>
    </row>
    <row r="331">
      <c r="A331" t="inlineStr">
        <is>
          <t>基金盯市数据明细表</t>
        </is>
      </c>
      <c r="B331" t="inlineStr">
        <is>
          <t>CLR_FUND_MARKET_DETAIL</t>
        </is>
      </c>
      <c r="C331" t="inlineStr">
        <is>
          <t>INPUTUSERID</t>
        </is>
      </c>
      <c r="D331" t="inlineStr">
        <is>
          <t>VARCHAR(32)</t>
        </is>
      </c>
      <c r="E331" t="inlineStr">
        <is>
          <t>YES</t>
        </is>
      </c>
      <c r="F331" t="inlineStr">
        <is>
          <t>登记人</t>
        </is>
      </c>
      <c r="H331" t="inlineStr">
        <is>
          <t>VARCHAR</t>
        </is>
      </c>
      <c r="I331" t="inlineStr">
        <is>
          <t>32</t>
        </is>
      </c>
    </row>
    <row r="332">
      <c r="A332" t="inlineStr">
        <is>
          <t>基金盯市数据明细表</t>
        </is>
      </c>
      <c r="B332" t="inlineStr">
        <is>
          <t>CLR_FUND_MARKET_DETAIL</t>
        </is>
      </c>
      <c r="C332" t="inlineStr">
        <is>
          <t>INPUTORGID</t>
        </is>
      </c>
      <c r="D332" t="inlineStr">
        <is>
          <t>VARCHAR(32)</t>
        </is>
      </c>
      <c r="E332" t="inlineStr">
        <is>
          <t>YES</t>
        </is>
      </c>
      <c r="F332" t="inlineStr">
        <is>
          <t>登记机构</t>
        </is>
      </c>
      <c r="H332" t="inlineStr">
        <is>
          <t>VARCHAR</t>
        </is>
      </c>
      <c r="I332" t="inlineStr">
        <is>
          <t>32</t>
        </is>
      </c>
    </row>
    <row r="333">
      <c r="A333" t="inlineStr">
        <is>
          <t>基金盯市数据明细表</t>
        </is>
      </c>
      <c r="B333" t="inlineStr">
        <is>
          <t>CLR_FUND_MARKET_DETAIL</t>
        </is>
      </c>
      <c r="C333" t="inlineStr">
        <is>
          <t>INPUTDATE</t>
        </is>
      </c>
      <c r="D333" t="inlineStr">
        <is>
          <t>DATETIME</t>
        </is>
      </c>
      <c r="E333" t="inlineStr">
        <is>
          <t>YES</t>
        </is>
      </c>
      <c r="F333" t="inlineStr">
        <is>
          <t>登记日期</t>
        </is>
      </c>
      <c r="H333" t="inlineStr">
        <is>
          <t>DATETIME</t>
        </is>
      </c>
    </row>
    <row r="334">
      <c r="A334" t="inlineStr">
        <is>
          <t>基金盯市数据明细表</t>
        </is>
      </c>
      <c r="B334" t="inlineStr">
        <is>
          <t>CLR_FUND_MARKET_DETAIL</t>
        </is>
      </c>
      <c r="C334" t="inlineStr">
        <is>
          <t>UPDATEUSERID</t>
        </is>
      </c>
      <c r="D334" t="inlineStr">
        <is>
          <t>VARCHAR(32)</t>
        </is>
      </c>
      <c r="E334" t="inlineStr">
        <is>
          <t>YES</t>
        </is>
      </c>
      <c r="F334" t="inlineStr">
        <is>
          <t>更新人</t>
        </is>
      </c>
      <c r="H334" t="inlineStr">
        <is>
          <t>VARCHAR</t>
        </is>
      </c>
      <c r="I334" t="inlineStr">
        <is>
          <t>32</t>
        </is>
      </c>
    </row>
    <row r="335">
      <c r="A335" t="inlineStr">
        <is>
          <t>基金盯市数据明细表</t>
        </is>
      </c>
      <c r="B335" t="inlineStr">
        <is>
          <t>CLR_FUND_MARKET_DETAIL</t>
        </is>
      </c>
      <c r="C335" t="inlineStr">
        <is>
          <t>UPDATEORGID</t>
        </is>
      </c>
      <c r="D335" t="inlineStr">
        <is>
          <t>VARCHAR(32)</t>
        </is>
      </c>
      <c r="E335" t="inlineStr">
        <is>
          <t>YES</t>
        </is>
      </c>
      <c r="F335" t="inlineStr">
        <is>
          <t>更新机构</t>
        </is>
      </c>
      <c r="H335" t="inlineStr">
        <is>
          <t>VARCHAR</t>
        </is>
      </c>
      <c r="I335" t="inlineStr">
        <is>
          <t>32</t>
        </is>
      </c>
    </row>
    <row r="336">
      <c r="A336" t="inlineStr">
        <is>
          <t>基金盯市数据明细表</t>
        </is>
      </c>
      <c r="B336" t="inlineStr">
        <is>
          <t>CLR_FUND_MARKET_DETAIL</t>
        </is>
      </c>
      <c r="C336" t="inlineStr">
        <is>
          <t>UPDATEDATE</t>
        </is>
      </c>
      <c r="D336" t="inlineStr">
        <is>
          <t>DATETIME</t>
        </is>
      </c>
      <c r="E336" t="inlineStr">
        <is>
          <t>YES</t>
        </is>
      </c>
      <c r="F336" t="inlineStr">
        <is>
          <t>更新日期</t>
        </is>
      </c>
      <c r="H336" t="inlineStr">
        <is>
          <t>DATETIME</t>
        </is>
      </c>
    </row>
    <row r="337">
      <c r="A337" t="inlineStr">
        <is>
          <t>商品类别信息表</t>
        </is>
      </c>
      <c r="B337" t="inlineStr">
        <is>
          <t>CLR_MATERIAL_CATALOG</t>
        </is>
      </c>
      <c r="C337" t="inlineStr">
        <is>
          <t>MATERIALCODE</t>
        </is>
      </c>
      <c r="D337" t="inlineStr">
        <is>
          <t>VARCHAR(6)</t>
        </is>
      </c>
      <c r="E337" t="inlineStr">
        <is>
          <t>NO</t>
        </is>
      </c>
      <c r="F337" t="inlineStr">
        <is>
          <t>商品代码</t>
        </is>
      </c>
      <c r="H337" t="inlineStr">
        <is>
          <t>VARCHAR</t>
        </is>
      </c>
      <c r="I337" t="inlineStr">
        <is>
          <t>6</t>
        </is>
      </c>
    </row>
    <row r="338">
      <c r="A338" t="inlineStr">
        <is>
          <t>商品类别信息表</t>
        </is>
      </c>
      <c r="B338" t="inlineStr">
        <is>
          <t>CLR_MATERIAL_CATALOG</t>
        </is>
      </c>
      <c r="C338" t="inlineStr">
        <is>
          <t>MATERIALNAME</t>
        </is>
      </c>
      <c r="D338" t="inlineStr">
        <is>
          <t>VARCHAR(80)</t>
        </is>
      </c>
      <c r="E338" t="inlineStr">
        <is>
          <t>YES</t>
        </is>
      </c>
      <c r="F338" t="inlineStr">
        <is>
          <t>商品名称</t>
        </is>
      </c>
      <c r="H338" t="inlineStr">
        <is>
          <t>VARCHAR</t>
        </is>
      </c>
      <c r="I338" t="inlineStr">
        <is>
          <t>80</t>
        </is>
      </c>
    </row>
    <row r="339">
      <c r="A339" t="inlineStr">
        <is>
          <t>商品类别信息表</t>
        </is>
      </c>
      <c r="B339" t="inlineStr">
        <is>
          <t>CLR_MATERIAL_CATALOG</t>
        </is>
      </c>
      <c r="C339" t="inlineStr">
        <is>
          <t>MATERIALTYPE</t>
        </is>
      </c>
      <c r="D339" t="inlineStr">
        <is>
          <t>VARCHAR(80)</t>
        </is>
      </c>
      <c r="E339" t="inlineStr">
        <is>
          <t>YES</t>
        </is>
      </c>
      <c r="F339" t="inlineStr">
        <is>
          <t>商品大类</t>
        </is>
      </c>
      <c r="H339" t="inlineStr">
        <is>
          <t>VARCHAR</t>
        </is>
      </c>
      <c r="I339" t="inlineStr">
        <is>
          <t>80</t>
        </is>
      </c>
    </row>
    <row r="340">
      <c r="A340" t="inlineStr">
        <is>
          <t>商品类别信息表</t>
        </is>
      </c>
      <c r="B340" t="inlineStr">
        <is>
          <t>CLR_MATERIAL_CATALOG</t>
        </is>
      </c>
      <c r="C340" t="inlineStr">
        <is>
          <t>CORPORGID</t>
        </is>
      </c>
      <c r="D340" t="inlineStr">
        <is>
          <t>VARCHAR(32)</t>
        </is>
      </c>
      <c r="E340" t="inlineStr">
        <is>
          <t>YES</t>
        </is>
      </c>
      <c r="F340" t="inlineStr">
        <is>
          <t>法人机构号</t>
        </is>
      </c>
      <c r="H340" t="inlineStr">
        <is>
          <t>VARCHAR</t>
        </is>
      </c>
      <c r="I340" t="inlineStr">
        <is>
          <t>32</t>
        </is>
      </c>
    </row>
    <row r="341">
      <c r="A341" t="inlineStr">
        <is>
          <t>商品类别信息表</t>
        </is>
      </c>
      <c r="B341" t="inlineStr">
        <is>
          <t>CLR_MATERIAL_CATALOG</t>
        </is>
      </c>
      <c r="C341" t="inlineStr">
        <is>
          <t>DELETEFLAG</t>
        </is>
      </c>
      <c r="D341" t="inlineStr">
        <is>
          <t>VARCHAR(6)</t>
        </is>
      </c>
      <c r="E341" t="inlineStr">
        <is>
          <t>YES</t>
        </is>
      </c>
      <c r="F341" t="inlineStr">
        <is>
          <t>删除标记</t>
        </is>
      </c>
      <c r="H341" t="inlineStr">
        <is>
          <t>VARCHAR</t>
        </is>
      </c>
      <c r="I341" t="inlineStr">
        <is>
          <t>6</t>
        </is>
      </c>
    </row>
    <row r="342">
      <c r="A342" t="inlineStr">
        <is>
          <t>商品类别信息表</t>
        </is>
      </c>
      <c r="B342" t="inlineStr">
        <is>
          <t>CLR_MATERIAL_CATALOG</t>
        </is>
      </c>
      <c r="C342" t="inlineStr">
        <is>
          <t>INPUTUSERID</t>
        </is>
      </c>
      <c r="D342" t="inlineStr">
        <is>
          <t>VARCHAR(32)</t>
        </is>
      </c>
      <c r="E342" t="inlineStr">
        <is>
          <t>YES</t>
        </is>
      </c>
      <c r="F342" t="inlineStr">
        <is>
          <t>登记人</t>
        </is>
      </c>
      <c r="H342" t="inlineStr">
        <is>
          <t>VARCHAR</t>
        </is>
      </c>
      <c r="I342" t="inlineStr">
        <is>
          <t>32</t>
        </is>
      </c>
    </row>
    <row r="343">
      <c r="A343" t="inlineStr">
        <is>
          <t>商品类别信息表</t>
        </is>
      </c>
      <c r="B343" t="inlineStr">
        <is>
          <t>CLR_MATERIAL_CATALOG</t>
        </is>
      </c>
      <c r="C343" t="inlineStr">
        <is>
          <t>INPUTORGID</t>
        </is>
      </c>
      <c r="D343" t="inlineStr">
        <is>
          <t>VARCHAR(32)</t>
        </is>
      </c>
      <c r="E343" t="inlineStr">
        <is>
          <t>YES</t>
        </is>
      </c>
      <c r="F343" t="inlineStr">
        <is>
          <t>登记机构</t>
        </is>
      </c>
      <c r="H343" t="inlineStr">
        <is>
          <t>VARCHAR</t>
        </is>
      </c>
      <c r="I343" t="inlineStr">
        <is>
          <t>32</t>
        </is>
      </c>
    </row>
    <row r="344">
      <c r="A344" t="inlineStr">
        <is>
          <t>商品类别信息表</t>
        </is>
      </c>
      <c r="B344" t="inlineStr">
        <is>
          <t>CLR_MATERIAL_CATALOG</t>
        </is>
      </c>
      <c r="C344" t="inlineStr">
        <is>
          <t>INPUTDATE</t>
        </is>
      </c>
      <c r="D344" t="inlineStr">
        <is>
          <t>DATETIME</t>
        </is>
      </c>
      <c r="E344" t="inlineStr">
        <is>
          <t>YES</t>
        </is>
      </c>
      <c r="F344" t="inlineStr">
        <is>
          <t>登记日期</t>
        </is>
      </c>
      <c r="H344" t="inlineStr">
        <is>
          <t>DATETIME</t>
        </is>
      </c>
    </row>
    <row r="345">
      <c r="A345" t="inlineStr">
        <is>
          <t>商品类别信息表</t>
        </is>
      </c>
      <c r="B345" t="inlineStr">
        <is>
          <t>CLR_MATERIAL_CATALOG</t>
        </is>
      </c>
      <c r="C345" t="inlineStr">
        <is>
          <t>UPDATEUSERID</t>
        </is>
      </c>
      <c r="D345" t="inlineStr">
        <is>
          <t>VARCHAR(32)</t>
        </is>
      </c>
      <c r="E345" t="inlineStr">
        <is>
          <t>YES</t>
        </is>
      </c>
      <c r="F345" t="inlineStr">
        <is>
          <t>更新人</t>
        </is>
      </c>
      <c r="H345" t="inlineStr">
        <is>
          <t>VARCHAR</t>
        </is>
      </c>
      <c r="I345" t="inlineStr">
        <is>
          <t>32</t>
        </is>
      </c>
    </row>
    <row r="346">
      <c r="A346" t="inlineStr">
        <is>
          <t>商品类别信息表</t>
        </is>
      </c>
      <c r="B346" t="inlineStr">
        <is>
          <t>CLR_MATERIAL_CATALOG</t>
        </is>
      </c>
      <c r="C346" t="inlineStr">
        <is>
          <t>UPDATEORGID</t>
        </is>
      </c>
      <c r="D346" t="inlineStr">
        <is>
          <t>VARCHAR(32)</t>
        </is>
      </c>
      <c r="E346" t="inlineStr">
        <is>
          <t>YES</t>
        </is>
      </c>
      <c r="F346" t="inlineStr">
        <is>
          <t>更新机构</t>
        </is>
      </c>
      <c r="H346" t="inlineStr">
        <is>
          <t>VARCHAR</t>
        </is>
      </c>
      <c r="I346" t="inlineStr">
        <is>
          <t>32</t>
        </is>
      </c>
    </row>
    <row r="347">
      <c r="A347" t="inlineStr">
        <is>
          <t>商品类别信息表</t>
        </is>
      </c>
      <c r="B347" t="inlineStr">
        <is>
          <t>CLR_MATERIAL_CATALOG</t>
        </is>
      </c>
      <c r="C347" t="inlineStr">
        <is>
          <t>UPDATEDATE</t>
        </is>
      </c>
      <c r="D347" t="inlineStr">
        <is>
          <t>DATETIME</t>
        </is>
      </c>
      <c r="E347" t="inlineStr">
        <is>
          <t>YES</t>
        </is>
      </c>
      <c r="F347" t="inlineStr">
        <is>
          <t>更新日期</t>
        </is>
      </c>
      <c r="H347" t="inlineStr">
        <is>
          <t>DATETIME</t>
        </is>
      </c>
    </row>
    <row r="348">
      <c r="A348" t="inlineStr">
        <is>
          <t>股票盯市数据表</t>
        </is>
      </c>
      <c r="B348" t="inlineStr">
        <is>
          <t>CLR_STOCK_MARKET</t>
        </is>
      </c>
      <c r="C348" t="inlineStr">
        <is>
          <t>SERIALNO</t>
        </is>
      </c>
      <c r="D348" t="inlineStr">
        <is>
          <t>VARCHAR(32)</t>
        </is>
      </c>
      <c r="E348" t="inlineStr">
        <is>
          <t>NO</t>
        </is>
      </c>
      <c r="F348" t="inlineStr">
        <is>
          <t>流水号</t>
        </is>
      </c>
      <c r="H348" t="inlineStr">
        <is>
          <t>VARCHAR</t>
        </is>
      </c>
      <c r="I348" t="inlineStr">
        <is>
          <t>32</t>
        </is>
      </c>
    </row>
    <row r="349">
      <c r="A349" t="inlineStr">
        <is>
          <t>股票盯市数据表</t>
        </is>
      </c>
      <c r="B349" t="inlineStr">
        <is>
          <t>CLR_STOCK_MARKET</t>
        </is>
      </c>
      <c r="C349" t="inlineStr">
        <is>
          <t>STOCKNO</t>
        </is>
      </c>
      <c r="D349" t="inlineStr">
        <is>
          <t>VARCHAR(32)</t>
        </is>
      </c>
      <c r="E349" t="inlineStr">
        <is>
          <t>YES</t>
        </is>
      </c>
      <c r="F349" t="inlineStr">
        <is>
          <t>股票代码</t>
        </is>
      </c>
      <c r="H349" t="inlineStr">
        <is>
          <t>VARCHAR</t>
        </is>
      </c>
      <c r="I349" t="inlineStr">
        <is>
          <t>32</t>
        </is>
      </c>
    </row>
    <row r="350">
      <c r="A350" t="inlineStr">
        <is>
          <t>股票盯市数据表</t>
        </is>
      </c>
      <c r="B350" t="inlineStr">
        <is>
          <t>CLR_STOCK_MARKET</t>
        </is>
      </c>
      <c r="C350" t="inlineStr">
        <is>
          <t>TRADEDATE</t>
        </is>
      </c>
      <c r="D350" t="inlineStr">
        <is>
          <t>DATE</t>
        </is>
      </c>
      <c r="E350" t="inlineStr">
        <is>
          <t>YES</t>
        </is>
      </c>
      <c r="F350" t="inlineStr">
        <is>
          <t>交易日期</t>
        </is>
      </c>
      <c r="H350" t="inlineStr">
        <is>
          <t>DATE</t>
        </is>
      </c>
    </row>
    <row r="351">
      <c r="A351" t="inlineStr">
        <is>
          <t>股票盯市数据表</t>
        </is>
      </c>
      <c r="B351" t="inlineStr">
        <is>
          <t>CLR_STOCK_MARKET</t>
        </is>
      </c>
      <c r="C351" t="inlineStr">
        <is>
          <t>CLOSEPRICE</t>
        </is>
      </c>
      <c r="D351" t="inlineStr">
        <is>
          <t>DECIMAL(24,6)</t>
        </is>
      </c>
      <c r="E351" t="inlineStr">
        <is>
          <t>YES</t>
        </is>
      </c>
      <c r="F351" t="inlineStr">
        <is>
          <t>收盘价</t>
        </is>
      </c>
      <c r="H351" t="inlineStr">
        <is>
          <t>DECIMAL</t>
        </is>
      </c>
      <c r="I351" t="inlineStr">
        <is>
          <t>24,6</t>
        </is>
      </c>
    </row>
    <row r="352">
      <c r="A352" t="inlineStr">
        <is>
          <t>股票盯市数据表</t>
        </is>
      </c>
      <c r="B352" t="inlineStr">
        <is>
          <t>CLR_STOCK_MARKET</t>
        </is>
      </c>
      <c r="C352" t="inlineStr">
        <is>
          <t>WEEKGAINRATE</t>
        </is>
      </c>
      <c r="D352" t="inlineStr">
        <is>
          <t>DECIMAL(24,6)</t>
        </is>
      </c>
      <c r="E352" t="inlineStr">
        <is>
          <t>YES</t>
        </is>
      </c>
      <c r="F352" t="inlineStr">
        <is>
          <t>近7日涨跌幅</t>
        </is>
      </c>
      <c r="H352" t="inlineStr">
        <is>
          <t>DECIMAL</t>
        </is>
      </c>
      <c r="I352" t="inlineStr">
        <is>
          <t>24,6</t>
        </is>
      </c>
    </row>
    <row r="353">
      <c r="A353" t="inlineStr">
        <is>
          <t>股票盯市数据表</t>
        </is>
      </c>
      <c r="B353" t="inlineStr">
        <is>
          <t>CLR_STOCK_MARKET</t>
        </is>
      </c>
      <c r="C353" t="inlineStr">
        <is>
          <t>THREEMONTHGAINRATE</t>
        </is>
      </c>
      <c r="D353" t="inlineStr">
        <is>
          <t>DECIMAL(24,6)</t>
        </is>
      </c>
      <c r="E353" t="inlineStr">
        <is>
          <t>YES</t>
        </is>
      </c>
      <c r="F353" t="inlineStr">
        <is>
          <t>近3月涨跌幅</t>
        </is>
      </c>
      <c r="H353" t="inlineStr">
        <is>
          <t>DECIMAL</t>
        </is>
      </c>
      <c r="I353" t="inlineStr">
        <is>
          <t>24,6</t>
        </is>
      </c>
    </row>
    <row r="354">
      <c r="A354" t="inlineStr">
        <is>
          <t>股票盯市数据表</t>
        </is>
      </c>
      <c r="B354" t="inlineStr">
        <is>
          <t>CLR_STOCK_MARKET</t>
        </is>
      </c>
      <c r="C354" t="inlineStr">
        <is>
          <t>CORPORGID</t>
        </is>
      </c>
      <c r="D354" t="inlineStr">
        <is>
          <t>VARCHAR(32)</t>
        </is>
      </c>
      <c r="E354" t="inlineStr">
        <is>
          <t>YES</t>
        </is>
      </c>
      <c r="F354" t="inlineStr">
        <is>
          <t>法人机构号</t>
        </is>
      </c>
      <c r="H354" t="inlineStr">
        <is>
          <t>VARCHAR</t>
        </is>
      </c>
      <c r="I354" t="inlineStr">
        <is>
          <t>32</t>
        </is>
      </c>
    </row>
    <row r="355">
      <c r="A355" t="inlineStr">
        <is>
          <t>股票盯市数据表</t>
        </is>
      </c>
      <c r="B355" t="inlineStr">
        <is>
          <t>CLR_STOCK_MARKET</t>
        </is>
      </c>
      <c r="C355" t="inlineStr">
        <is>
          <t>DELETEFLAG</t>
        </is>
      </c>
      <c r="D355" t="inlineStr">
        <is>
          <t>VARCHAR(6)</t>
        </is>
      </c>
      <c r="E355" t="inlineStr">
        <is>
          <t>YES</t>
        </is>
      </c>
      <c r="F355" t="inlineStr">
        <is>
          <t>删除标记</t>
        </is>
      </c>
      <c r="H355" t="inlineStr">
        <is>
          <t>VARCHAR</t>
        </is>
      </c>
      <c r="I355" t="inlineStr">
        <is>
          <t>6</t>
        </is>
      </c>
    </row>
    <row r="356">
      <c r="A356" t="inlineStr">
        <is>
          <t>股票盯市数据表</t>
        </is>
      </c>
      <c r="B356" t="inlineStr">
        <is>
          <t>CLR_STOCK_MARKET</t>
        </is>
      </c>
      <c r="C356" t="inlineStr">
        <is>
          <t>INPUTUSERID</t>
        </is>
      </c>
      <c r="D356" t="inlineStr">
        <is>
          <t>VARCHAR(32)</t>
        </is>
      </c>
      <c r="E356" t="inlineStr">
        <is>
          <t>YES</t>
        </is>
      </c>
      <c r="F356" t="inlineStr">
        <is>
          <t>登记人</t>
        </is>
      </c>
      <c r="H356" t="inlineStr">
        <is>
          <t>VARCHAR</t>
        </is>
      </c>
      <c r="I356" t="inlineStr">
        <is>
          <t>32</t>
        </is>
      </c>
    </row>
    <row r="357">
      <c r="A357" t="inlineStr">
        <is>
          <t>股票盯市数据表</t>
        </is>
      </c>
      <c r="B357" t="inlineStr">
        <is>
          <t>CLR_STOCK_MARKET</t>
        </is>
      </c>
      <c r="C357" t="inlineStr">
        <is>
          <t>INPUTORGID</t>
        </is>
      </c>
      <c r="D357" t="inlineStr">
        <is>
          <t>VARCHAR(32)</t>
        </is>
      </c>
      <c r="E357" t="inlineStr">
        <is>
          <t>YES</t>
        </is>
      </c>
      <c r="F357" t="inlineStr">
        <is>
          <t>登记机构</t>
        </is>
      </c>
      <c r="H357" t="inlineStr">
        <is>
          <t>VARCHAR</t>
        </is>
      </c>
      <c r="I357" t="inlineStr">
        <is>
          <t>32</t>
        </is>
      </c>
    </row>
    <row r="358">
      <c r="A358" t="inlineStr">
        <is>
          <t>股票盯市数据表</t>
        </is>
      </c>
      <c r="B358" t="inlineStr">
        <is>
          <t>CLR_STOCK_MARKET</t>
        </is>
      </c>
      <c r="C358" t="inlineStr">
        <is>
          <t>INPUTDATE</t>
        </is>
      </c>
      <c r="D358" t="inlineStr">
        <is>
          <t>DATETIME</t>
        </is>
      </c>
      <c r="E358" t="inlineStr">
        <is>
          <t>YES</t>
        </is>
      </c>
      <c r="F358" t="inlineStr">
        <is>
          <t>登记日期</t>
        </is>
      </c>
      <c r="H358" t="inlineStr">
        <is>
          <t>DATETIME</t>
        </is>
      </c>
    </row>
    <row r="359">
      <c r="A359" t="inlineStr">
        <is>
          <t>股票盯市数据表</t>
        </is>
      </c>
      <c r="B359" t="inlineStr">
        <is>
          <t>CLR_STOCK_MARKET</t>
        </is>
      </c>
      <c r="C359" t="inlineStr">
        <is>
          <t>UPDATEUSERID</t>
        </is>
      </c>
      <c r="D359" t="inlineStr">
        <is>
          <t>VARCHAR(32)</t>
        </is>
      </c>
      <c r="E359" t="inlineStr">
        <is>
          <t>YES</t>
        </is>
      </c>
      <c r="F359" t="inlineStr">
        <is>
          <t>更新人</t>
        </is>
      </c>
      <c r="H359" t="inlineStr">
        <is>
          <t>VARCHAR</t>
        </is>
      </c>
      <c r="I359" t="inlineStr">
        <is>
          <t>32</t>
        </is>
      </c>
    </row>
    <row r="360">
      <c r="A360" t="inlineStr">
        <is>
          <t>股票盯市数据表</t>
        </is>
      </c>
      <c r="B360" t="inlineStr">
        <is>
          <t>CLR_STOCK_MARKET</t>
        </is>
      </c>
      <c r="C360" t="inlineStr">
        <is>
          <t>UPDATEORGID</t>
        </is>
      </c>
      <c r="D360" t="inlineStr">
        <is>
          <t>VARCHAR(32)</t>
        </is>
      </c>
      <c r="E360" t="inlineStr">
        <is>
          <t>YES</t>
        </is>
      </c>
      <c r="F360" t="inlineStr">
        <is>
          <t>更新机构</t>
        </is>
      </c>
      <c r="H360" t="inlineStr">
        <is>
          <t>VARCHAR</t>
        </is>
      </c>
      <c r="I360" t="inlineStr">
        <is>
          <t>32</t>
        </is>
      </c>
    </row>
    <row r="361">
      <c r="A361" t="inlineStr">
        <is>
          <t>股票盯市数据表</t>
        </is>
      </c>
      <c r="B361" t="inlineStr">
        <is>
          <t>CLR_STOCK_MARKET</t>
        </is>
      </c>
      <c r="C361" t="inlineStr">
        <is>
          <t>UPDATEDATE</t>
        </is>
      </c>
      <c r="D361" t="inlineStr">
        <is>
          <t>DATETIME</t>
        </is>
      </c>
      <c r="E361" t="inlineStr">
        <is>
          <t>YES</t>
        </is>
      </c>
      <c r="F361" t="inlineStr">
        <is>
          <t>更新日期</t>
        </is>
      </c>
      <c r="H361" t="inlineStr">
        <is>
          <t>DATETIME</t>
        </is>
      </c>
    </row>
    <row r="362">
      <c r="A362" t="inlineStr">
        <is>
          <t>股票盯市数据明细表</t>
        </is>
      </c>
      <c r="B362" t="inlineStr">
        <is>
          <t>CLR_STOCK_MARKET_DETAIL</t>
        </is>
      </c>
      <c r="C362" t="inlineStr">
        <is>
          <t>SERIALNO</t>
        </is>
      </c>
      <c r="D362" t="inlineStr">
        <is>
          <t>VARCHAR(32)</t>
        </is>
      </c>
      <c r="E362" t="inlineStr">
        <is>
          <t>NO</t>
        </is>
      </c>
      <c r="F362" t="inlineStr">
        <is>
          <t>流水号</t>
        </is>
      </c>
      <c r="H362" t="inlineStr">
        <is>
          <t>VARCHAR</t>
        </is>
      </c>
      <c r="I362" t="inlineStr">
        <is>
          <t>32</t>
        </is>
      </c>
    </row>
    <row r="363">
      <c r="A363" t="inlineStr">
        <is>
          <t>股票盯市数据明细表</t>
        </is>
      </c>
      <c r="B363" t="inlineStr">
        <is>
          <t>CLR_STOCK_MARKET_DETAIL</t>
        </is>
      </c>
      <c r="C363" t="inlineStr">
        <is>
          <t>STOCKNO</t>
        </is>
      </c>
      <c r="D363" t="inlineStr">
        <is>
          <t>VARCHAR(32)</t>
        </is>
      </c>
      <c r="E363" t="inlineStr">
        <is>
          <t>YES</t>
        </is>
      </c>
      <c r="F363" t="inlineStr">
        <is>
          <t>股票代码</t>
        </is>
      </c>
      <c r="H363" t="inlineStr">
        <is>
          <t>VARCHAR</t>
        </is>
      </c>
      <c r="I363" t="inlineStr">
        <is>
          <t>32</t>
        </is>
      </c>
    </row>
    <row r="364">
      <c r="A364" t="inlineStr">
        <is>
          <t>股票盯市数据明细表</t>
        </is>
      </c>
      <c r="B364" t="inlineStr">
        <is>
          <t>CLR_STOCK_MARKET_DETAIL</t>
        </is>
      </c>
      <c r="C364" t="inlineStr">
        <is>
          <t>TRADEDATE</t>
        </is>
      </c>
      <c r="D364" t="inlineStr">
        <is>
          <t>DATE</t>
        </is>
      </c>
      <c r="E364" t="inlineStr">
        <is>
          <t>YES</t>
        </is>
      </c>
      <c r="F364" t="inlineStr">
        <is>
          <t>交易日期</t>
        </is>
      </c>
      <c r="H364" t="inlineStr">
        <is>
          <t>DATE</t>
        </is>
      </c>
    </row>
    <row r="365">
      <c r="A365" t="inlineStr">
        <is>
          <t>股票盯市数据明细表</t>
        </is>
      </c>
      <c r="B365" t="inlineStr">
        <is>
          <t>CLR_STOCK_MARKET_DETAIL</t>
        </is>
      </c>
      <c r="C365" t="inlineStr">
        <is>
          <t>OPENPRICE</t>
        </is>
      </c>
      <c r="D365" t="inlineStr">
        <is>
          <t>DECIMAL(24,6)</t>
        </is>
      </c>
      <c r="E365" t="inlineStr">
        <is>
          <t>YES</t>
        </is>
      </c>
      <c r="F365" t="inlineStr">
        <is>
          <t>开盘价</t>
        </is>
      </c>
      <c r="H365" t="inlineStr">
        <is>
          <t>DECIMAL</t>
        </is>
      </c>
      <c r="I365" t="inlineStr">
        <is>
          <t>24,6</t>
        </is>
      </c>
    </row>
    <row r="366">
      <c r="A366" t="inlineStr">
        <is>
          <t>股票盯市数据明细表</t>
        </is>
      </c>
      <c r="B366" t="inlineStr">
        <is>
          <t>CLR_STOCK_MARKET_DETAIL</t>
        </is>
      </c>
      <c r="C366" t="inlineStr">
        <is>
          <t>HIGHPRICE</t>
        </is>
      </c>
      <c r="D366" t="inlineStr">
        <is>
          <t>DECIMAL(24,6)</t>
        </is>
      </c>
      <c r="E366" t="inlineStr">
        <is>
          <t>YES</t>
        </is>
      </c>
      <c r="F366" t="inlineStr">
        <is>
          <t>最高价</t>
        </is>
      </c>
      <c r="H366" t="inlineStr">
        <is>
          <t>DECIMAL</t>
        </is>
      </c>
      <c r="I366" t="inlineStr">
        <is>
          <t>24,6</t>
        </is>
      </c>
    </row>
    <row r="367">
      <c r="A367" t="inlineStr">
        <is>
          <t>股票盯市数据明细表</t>
        </is>
      </c>
      <c r="B367" t="inlineStr">
        <is>
          <t>CLR_STOCK_MARKET_DETAIL</t>
        </is>
      </c>
      <c r="C367" t="inlineStr">
        <is>
          <t>LOWPRICE</t>
        </is>
      </c>
      <c r="D367" t="inlineStr">
        <is>
          <t>DECIMAL(24,6)</t>
        </is>
      </c>
      <c r="E367" t="inlineStr">
        <is>
          <t>YES</t>
        </is>
      </c>
      <c r="F367" t="inlineStr">
        <is>
          <t>最低价</t>
        </is>
      </c>
      <c r="H367" t="inlineStr">
        <is>
          <t>DECIMAL</t>
        </is>
      </c>
      <c r="I367" t="inlineStr">
        <is>
          <t>24,6</t>
        </is>
      </c>
    </row>
    <row r="368">
      <c r="A368" t="inlineStr">
        <is>
          <t>股票盯市数据明细表</t>
        </is>
      </c>
      <c r="B368" t="inlineStr">
        <is>
          <t>CLR_STOCK_MARKET_DETAIL</t>
        </is>
      </c>
      <c r="C368" t="inlineStr">
        <is>
          <t>AVGPRICE</t>
        </is>
      </c>
      <c r="D368" t="inlineStr">
        <is>
          <t>DECIMAL(24,6)</t>
        </is>
      </c>
      <c r="E368" t="inlineStr">
        <is>
          <t>YES</t>
        </is>
      </c>
      <c r="F368" t="inlineStr">
        <is>
          <t>平均价</t>
        </is>
      </c>
      <c r="H368" t="inlineStr">
        <is>
          <t>DECIMAL</t>
        </is>
      </c>
      <c r="I368" t="inlineStr">
        <is>
          <t>24,6</t>
        </is>
      </c>
    </row>
    <row r="369">
      <c r="A369" t="inlineStr">
        <is>
          <t>股票盯市数据明细表</t>
        </is>
      </c>
      <c r="B369" t="inlineStr">
        <is>
          <t>CLR_STOCK_MARKET_DETAIL</t>
        </is>
      </c>
      <c r="C369" t="inlineStr">
        <is>
          <t>CLOSEPRICE</t>
        </is>
      </c>
      <c r="D369" t="inlineStr">
        <is>
          <t>DECIMAL(24,6)</t>
        </is>
      </c>
      <c r="E369" t="inlineStr">
        <is>
          <t>YES</t>
        </is>
      </c>
      <c r="F369" t="inlineStr">
        <is>
          <t>收盘价</t>
        </is>
      </c>
      <c r="H369" t="inlineStr">
        <is>
          <t>DECIMAL</t>
        </is>
      </c>
      <c r="I369" t="inlineStr">
        <is>
          <t>24,6</t>
        </is>
      </c>
    </row>
    <row r="370">
      <c r="A370" t="inlineStr">
        <is>
          <t>股票盯市数据明细表</t>
        </is>
      </c>
      <c r="B370" t="inlineStr">
        <is>
          <t>CLR_STOCK_MARKET_DETAIL</t>
        </is>
      </c>
      <c r="C370" t="inlineStr">
        <is>
          <t>WEEKGAINRATE</t>
        </is>
      </c>
      <c r="D370" t="inlineStr">
        <is>
          <t>DECIMAL(24,6)</t>
        </is>
      </c>
      <c r="E370" t="inlineStr">
        <is>
          <t>YES</t>
        </is>
      </c>
      <c r="F370" t="inlineStr">
        <is>
          <t>近7日涨跌幅</t>
        </is>
      </c>
      <c r="H370" t="inlineStr">
        <is>
          <t>DECIMAL</t>
        </is>
      </c>
      <c r="I370" t="inlineStr">
        <is>
          <t>24,6</t>
        </is>
      </c>
    </row>
    <row r="371">
      <c r="A371" t="inlineStr">
        <is>
          <t>股票盯市数据明细表</t>
        </is>
      </c>
      <c r="B371" t="inlineStr">
        <is>
          <t>CLR_STOCK_MARKET_DETAIL</t>
        </is>
      </c>
      <c r="C371" t="inlineStr">
        <is>
          <t>THREEMONTHGAINRATE</t>
        </is>
      </c>
      <c r="D371" t="inlineStr">
        <is>
          <t>DECIMAL(24,6)</t>
        </is>
      </c>
      <c r="E371" t="inlineStr">
        <is>
          <t>YES</t>
        </is>
      </c>
      <c r="F371" t="inlineStr">
        <is>
          <t>近3月涨跌幅</t>
        </is>
      </c>
      <c r="H371" t="inlineStr">
        <is>
          <t>DECIMAL</t>
        </is>
      </c>
      <c r="I371" t="inlineStr">
        <is>
          <t>24,6</t>
        </is>
      </c>
    </row>
    <row r="372">
      <c r="A372" t="inlineStr">
        <is>
          <t>股票盯市数据明细表</t>
        </is>
      </c>
      <c r="B372" t="inlineStr">
        <is>
          <t>CLR_STOCK_MARKET_DETAIL</t>
        </is>
      </c>
      <c r="C372" t="inlineStr">
        <is>
          <t>CORPORGID</t>
        </is>
      </c>
      <c r="D372" t="inlineStr">
        <is>
          <t>VARCHAR(32)</t>
        </is>
      </c>
      <c r="E372" t="inlineStr">
        <is>
          <t>YES</t>
        </is>
      </c>
      <c r="F372" t="inlineStr">
        <is>
          <t>法人机构号</t>
        </is>
      </c>
      <c r="H372" t="inlineStr">
        <is>
          <t>VARCHAR</t>
        </is>
      </c>
      <c r="I372" t="inlineStr">
        <is>
          <t>32</t>
        </is>
      </c>
    </row>
    <row r="373">
      <c r="A373" t="inlineStr">
        <is>
          <t>股票盯市数据明细表</t>
        </is>
      </c>
      <c r="B373" t="inlineStr">
        <is>
          <t>CLR_STOCK_MARKET_DETAIL</t>
        </is>
      </c>
      <c r="C373" t="inlineStr">
        <is>
          <t>DELETEFLAG</t>
        </is>
      </c>
      <c r="D373" t="inlineStr">
        <is>
          <t>VARCHAR(6)</t>
        </is>
      </c>
      <c r="E373" t="inlineStr">
        <is>
          <t>YES</t>
        </is>
      </c>
      <c r="F373" t="inlineStr">
        <is>
          <t>删除标记</t>
        </is>
      </c>
      <c r="H373" t="inlineStr">
        <is>
          <t>VARCHAR</t>
        </is>
      </c>
      <c r="I373" t="inlineStr">
        <is>
          <t>6</t>
        </is>
      </c>
    </row>
    <row r="374">
      <c r="A374" t="inlineStr">
        <is>
          <t>股票盯市数据明细表</t>
        </is>
      </c>
      <c r="B374" t="inlineStr">
        <is>
          <t>CLR_STOCK_MARKET_DETAIL</t>
        </is>
      </c>
      <c r="C374" t="inlineStr">
        <is>
          <t>INPUTUSERID</t>
        </is>
      </c>
      <c r="D374" t="inlineStr">
        <is>
          <t>VARCHAR(32)</t>
        </is>
      </c>
      <c r="E374" t="inlineStr">
        <is>
          <t>YES</t>
        </is>
      </c>
      <c r="F374" t="inlineStr">
        <is>
          <t>登记人</t>
        </is>
      </c>
      <c r="H374" t="inlineStr">
        <is>
          <t>VARCHAR</t>
        </is>
      </c>
      <c r="I374" t="inlineStr">
        <is>
          <t>32</t>
        </is>
      </c>
    </row>
    <row r="375">
      <c r="A375" t="inlineStr">
        <is>
          <t>股票盯市数据明细表</t>
        </is>
      </c>
      <c r="B375" t="inlineStr">
        <is>
          <t>CLR_STOCK_MARKET_DETAIL</t>
        </is>
      </c>
      <c r="C375" t="inlineStr">
        <is>
          <t>INPUTORGID</t>
        </is>
      </c>
      <c r="D375" t="inlineStr">
        <is>
          <t>VARCHAR(32)</t>
        </is>
      </c>
      <c r="E375" t="inlineStr">
        <is>
          <t>YES</t>
        </is>
      </c>
      <c r="F375" t="inlineStr">
        <is>
          <t>登记机构</t>
        </is>
      </c>
      <c r="H375" t="inlineStr">
        <is>
          <t>VARCHAR</t>
        </is>
      </c>
      <c r="I375" t="inlineStr">
        <is>
          <t>32</t>
        </is>
      </c>
    </row>
    <row r="376">
      <c r="A376" t="inlineStr">
        <is>
          <t>股票盯市数据明细表</t>
        </is>
      </c>
      <c r="B376" t="inlineStr">
        <is>
          <t>CLR_STOCK_MARKET_DETAIL</t>
        </is>
      </c>
      <c r="C376" t="inlineStr">
        <is>
          <t>INPUTDATE</t>
        </is>
      </c>
      <c r="D376" t="inlineStr">
        <is>
          <t>DATETIME</t>
        </is>
      </c>
      <c r="E376" t="inlineStr">
        <is>
          <t>YES</t>
        </is>
      </c>
      <c r="F376" t="inlineStr">
        <is>
          <t>登记日期</t>
        </is>
      </c>
      <c r="H376" t="inlineStr">
        <is>
          <t>DATETIME</t>
        </is>
      </c>
    </row>
    <row r="377">
      <c r="A377" t="inlineStr">
        <is>
          <t>股票盯市数据明细表</t>
        </is>
      </c>
      <c r="B377" t="inlineStr">
        <is>
          <t>CLR_STOCK_MARKET_DETAIL</t>
        </is>
      </c>
      <c r="C377" t="inlineStr">
        <is>
          <t>UPDATEUSERID</t>
        </is>
      </c>
      <c r="D377" t="inlineStr">
        <is>
          <t>VARCHAR(32)</t>
        </is>
      </c>
      <c r="E377" t="inlineStr">
        <is>
          <t>YES</t>
        </is>
      </c>
      <c r="F377" t="inlineStr">
        <is>
          <t>更新人</t>
        </is>
      </c>
      <c r="H377" t="inlineStr">
        <is>
          <t>VARCHAR</t>
        </is>
      </c>
      <c r="I377" t="inlineStr">
        <is>
          <t>32</t>
        </is>
      </c>
    </row>
    <row r="378">
      <c r="A378" t="inlineStr">
        <is>
          <t>股票盯市数据明细表</t>
        </is>
      </c>
      <c r="B378" t="inlineStr">
        <is>
          <t>CLR_STOCK_MARKET_DETAIL</t>
        </is>
      </c>
      <c r="C378" t="inlineStr">
        <is>
          <t>UPDATEORGID</t>
        </is>
      </c>
      <c r="D378" t="inlineStr">
        <is>
          <t>VARCHAR(32)</t>
        </is>
      </c>
      <c r="E378" t="inlineStr">
        <is>
          <t>YES</t>
        </is>
      </c>
      <c r="F378" t="inlineStr">
        <is>
          <t>更新机构</t>
        </is>
      </c>
      <c r="H378" t="inlineStr">
        <is>
          <t>VARCHAR</t>
        </is>
      </c>
      <c r="I378" t="inlineStr">
        <is>
          <t>32</t>
        </is>
      </c>
    </row>
    <row r="379">
      <c r="A379" t="inlineStr">
        <is>
          <t>股票盯市数据明细表</t>
        </is>
      </c>
      <c r="B379" t="inlineStr">
        <is>
          <t>CLR_STOCK_MARKET_DETAIL</t>
        </is>
      </c>
      <c r="C379" t="inlineStr">
        <is>
          <t>UPDATEDATE</t>
        </is>
      </c>
      <c r="D379" t="inlineStr">
        <is>
          <t>DATETIME</t>
        </is>
      </c>
      <c r="E379" t="inlineStr">
        <is>
          <t>YES</t>
        </is>
      </c>
      <c r="F379" t="inlineStr">
        <is>
          <t>更新日期</t>
        </is>
      </c>
      <c r="H379" t="inlineStr">
        <is>
          <t>DATETIME</t>
        </is>
      </c>
    </row>
    <row r="380">
      <c r="A380" t="inlineStr">
        <is>
          <t>抵质押权证信息</t>
        </is>
      </c>
      <c r="B380" t="inlineStr">
        <is>
          <t>CLR_RIGHTCERT_INFO</t>
        </is>
      </c>
      <c r="C380" t="inlineStr">
        <is>
          <t>RIGHTCERTID</t>
        </is>
      </c>
      <c r="D380" t="inlineStr">
        <is>
          <t>VARCHAR(32)</t>
        </is>
      </c>
      <c r="E380" t="inlineStr">
        <is>
          <t>NO</t>
        </is>
      </c>
      <c r="F380" t="inlineStr">
        <is>
          <t>权证编号</t>
        </is>
      </c>
      <c r="H380" t="inlineStr">
        <is>
          <t>VARCHAR</t>
        </is>
      </c>
      <c r="I380" t="inlineStr">
        <is>
          <t>32</t>
        </is>
      </c>
    </row>
    <row r="381">
      <c r="A381" t="inlineStr">
        <is>
          <t>抵质押权证信息</t>
        </is>
      </c>
      <c r="B381" t="inlineStr">
        <is>
          <t>CLR_RIGHTCERT_INFO</t>
        </is>
      </c>
      <c r="C381" t="inlineStr">
        <is>
          <t>RIGHTCERTNAME</t>
        </is>
      </c>
      <c r="D381" t="inlineStr">
        <is>
          <t>VARCHAR(80)</t>
        </is>
      </c>
      <c r="E381" t="inlineStr">
        <is>
          <t>YES</t>
        </is>
      </c>
      <c r="F381" t="inlineStr">
        <is>
          <t>权证名称</t>
        </is>
      </c>
      <c r="H381" t="inlineStr">
        <is>
          <t>VARCHAR</t>
        </is>
      </c>
      <c r="I381" t="inlineStr">
        <is>
          <t>80</t>
        </is>
      </c>
    </row>
    <row r="382">
      <c r="A382" t="inlineStr">
        <is>
          <t>抵质押权证信息</t>
        </is>
      </c>
      <c r="B382" t="inlineStr">
        <is>
          <t>CLR_RIGHTCERT_INFO</t>
        </is>
      </c>
      <c r="C382" t="inlineStr">
        <is>
          <t>CLRID</t>
        </is>
      </c>
      <c r="D382" t="inlineStr">
        <is>
          <t>VARCHAR(32)</t>
        </is>
      </c>
      <c r="E382" t="inlineStr">
        <is>
          <t>YES</t>
        </is>
      </c>
      <c r="F382" t="inlineStr">
        <is>
          <t>押品编号</t>
        </is>
      </c>
      <c r="H382" t="inlineStr">
        <is>
          <t>VARCHAR</t>
        </is>
      </c>
      <c r="I382" t="inlineStr">
        <is>
          <t>32</t>
        </is>
      </c>
    </row>
    <row r="383">
      <c r="A383" t="inlineStr">
        <is>
          <t>抵质押权证信息</t>
        </is>
      </c>
      <c r="B383" t="inlineStr">
        <is>
          <t>CLR_RIGHTCERT_INFO</t>
        </is>
      </c>
      <c r="C383" t="inlineStr">
        <is>
          <t>GUARANTYPLANNO</t>
        </is>
      </c>
      <c r="D383" t="inlineStr">
        <is>
          <t>VARCHAR(32)</t>
        </is>
      </c>
      <c r="E383" t="inlineStr">
        <is>
          <t>YES</t>
        </is>
      </c>
      <c r="F383" t="inlineStr">
        <is>
          <t>担保方案编号</t>
        </is>
      </c>
      <c r="H383" t="inlineStr">
        <is>
          <t>VARCHAR</t>
        </is>
      </c>
      <c r="I383" t="inlineStr">
        <is>
          <t>32</t>
        </is>
      </c>
    </row>
    <row r="384">
      <c r="A384" t="inlineStr">
        <is>
          <t>抵质押权证信息</t>
        </is>
      </c>
      <c r="B384" t="inlineStr">
        <is>
          <t>CLR_RIGHTCERT_INFO</t>
        </is>
      </c>
      <c r="C384" t="inlineStr">
        <is>
          <t>SOURCESYSTEM</t>
        </is>
      </c>
      <c r="D384" t="inlineStr">
        <is>
          <t>VARCHAR(32)</t>
        </is>
      </c>
      <c r="E384" t="inlineStr">
        <is>
          <t>YES</t>
        </is>
      </c>
      <c r="F384" t="inlineStr">
        <is>
          <t>源系统</t>
        </is>
      </c>
      <c r="H384" t="inlineStr">
        <is>
          <t>VARCHAR</t>
        </is>
      </c>
      <c r="I384" t="inlineStr">
        <is>
          <t>32</t>
        </is>
      </c>
    </row>
    <row r="385">
      <c r="A385" t="inlineStr">
        <is>
          <t>抵质押权证信息</t>
        </is>
      </c>
      <c r="B385" t="inlineStr">
        <is>
          <t>CLR_RIGHTCERT_INFO</t>
        </is>
      </c>
      <c r="C385" t="inlineStr">
        <is>
          <t>RIGHTCERTTYPE</t>
        </is>
      </c>
      <c r="D385" t="inlineStr">
        <is>
          <t>VARCHAR(18)</t>
        </is>
      </c>
      <c r="E385" t="inlineStr">
        <is>
          <t>YES</t>
        </is>
      </c>
      <c r="F385" t="inlineStr">
        <is>
          <t>权证类型</t>
        </is>
      </c>
      <c r="H385" t="inlineStr">
        <is>
          <t>VARCHAR</t>
        </is>
      </c>
      <c r="I385" t="inlineStr">
        <is>
          <t>18</t>
        </is>
      </c>
    </row>
    <row r="386">
      <c r="A386" t="inlineStr">
        <is>
          <t>抵质押权证信息</t>
        </is>
      </c>
      <c r="B386" t="inlineStr">
        <is>
          <t>CLR_RIGHTCERT_INFO</t>
        </is>
      </c>
      <c r="C386" t="inlineStr">
        <is>
          <t>RIGHTCERTNO</t>
        </is>
      </c>
      <c r="D386" t="inlineStr">
        <is>
          <t>VARCHAR(80)</t>
        </is>
      </c>
      <c r="E386" t="inlineStr">
        <is>
          <t>YES</t>
        </is>
      </c>
      <c r="F386" t="inlineStr">
        <is>
          <t>权证号</t>
        </is>
      </c>
      <c r="H386" t="inlineStr">
        <is>
          <t>VARCHAR</t>
        </is>
      </c>
      <c r="I386" t="inlineStr">
        <is>
          <t>80</t>
        </is>
      </c>
    </row>
    <row r="387">
      <c r="A387" t="inlineStr">
        <is>
          <t>抵质押权证信息</t>
        </is>
      </c>
      <c r="B387" t="inlineStr">
        <is>
          <t>CLR_RIGHTCERT_INFO</t>
        </is>
      </c>
      <c r="C387" t="inlineStr">
        <is>
          <t>RIGHTREGISTRATIONORG</t>
        </is>
      </c>
      <c r="D387" t="inlineStr">
        <is>
          <t>VARCHAR(80)</t>
        </is>
      </c>
      <c r="E387" t="inlineStr">
        <is>
          <t>YES</t>
        </is>
      </c>
      <c r="F387" t="inlineStr">
        <is>
          <t>权证登记机关</t>
        </is>
      </c>
      <c r="H387" t="inlineStr">
        <is>
          <t>VARCHAR</t>
        </is>
      </c>
      <c r="I387" t="inlineStr">
        <is>
          <t>80</t>
        </is>
      </c>
    </row>
    <row r="388">
      <c r="A388" t="inlineStr">
        <is>
          <t>抵质押权证信息</t>
        </is>
      </c>
      <c r="B388" t="inlineStr">
        <is>
          <t>CLR_RIGHTCERT_INFO</t>
        </is>
      </c>
      <c r="C388" t="inlineStr">
        <is>
          <t>RIGHTREGISTRATIONDATE</t>
        </is>
      </c>
      <c r="D388" t="inlineStr">
        <is>
          <t>DATETIME</t>
        </is>
      </c>
      <c r="E388" t="inlineStr">
        <is>
          <t>YES</t>
        </is>
      </c>
      <c r="F388" t="inlineStr">
        <is>
          <t>权证登记时间</t>
        </is>
      </c>
      <c r="H388" t="inlineStr">
        <is>
          <t>DATETIME</t>
        </is>
      </c>
    </row>
    <row r="389">
      <c r="A389" t="inlineStr">
        <is>
          <t>抵质押权证信息</t>
        </is>
      </c>
      <c r="B389" t="inlineStr">
        <is>
          <t>CLR_RIGHTCERT_INFO</t>
        </is>
      </c>
      <c r="C389" t="inlineStr">
        <is>
          <t>PACKAGEID</t>
        </is>
      </c>
      <c r="D389" t="inlineStr">
        <is>
          <t>VARCHAR(32)</t>
        </is>
      </c>
      <c r="E389" t="inlineStr">
        <is>
          <t>YES</t>
        </is>
      </c>
      <c r="F389" t="inlineStr">
        <is>
          <t>权证所属封包</t>
        </is>
      </c>
      <c r="H389" t="inlineStr">
        <is>
          <t>VARCHAR</t>
        </is>
      </c>
      <c r="I389" t="inlineStr">
        <is>
          <t>32</t>
        </is>
      </c>
    </row>
    <row r="390">
      <c r="A390" t="inlineStr">
        <is>
          <t>抵质押权证信息</t>
        </is>
      </c>
      <c r="B390" t="inlineStr">
        <is>
          <t>CLR_RIGHTCERT_INFO</t>
        </is>
      </c>
      <c r="C390" t="inlineStr">
        <is>
          <t>BARCODE</t>
        </is>
      </c>
      <c r="D390" t="inlineStr">
        <is>
          <t>VARCHAR(32)</t>
        </is>
      </c>
      <c r="E390" t="inlineStr">
        <is>
          <t>YES</t>
        </is>
      </c>
      <c r="F390" t="inlineStr">
        <is>
          <t>条形码</t>
        </is>
      </c>
      <c r="H390" t="inlineStr">
        <is>
          <t>VARCHAR</t>
        </is>
      </c>
      <c r="I390" t="inlineStr">
        <is>
          <t>32</t>
        </is>
      </c>
    </row>
    <row r="391">
      <c r="A391" t="inlineStr">
        <is>
          <t>抵质押权证信息</t>
        </is>
      </c>
      <c r="B391" t="inlineStr">
        <is>
          <t>CLR_RIGHTCERT_INFO</t>
        </is>
      </c>
      <c r="C391" t="inlineStr">
        <is>
          <t>TRANSFERDATE</t>
        </is>
      </c>
      <c r="D391" t="inlineStr">
        <is>
          <t>DATETIME</t>
        </is>
      </c>
      <c r="E391" t="inlineStr">
        <is>
          <t>YES</t>
        </is>
      </c>
      <c r="F391" t="inlineStr">
        <is>
          <t>移交日期</t>
        </is>
      </c>
      <c r="H391" t="inlineStr">
        <is>
          <t>DATETIME</t>
        </is>
      </c>
    </row>
    <row r="392">
      <c r="A392" t="inlineStr">
        <is>
          <t>抵质押权证信息</t>
        </is>
      </c>
      <c r="B392" t="inlineStr">
        <is>
          <t>CLR_RIGHTCERT_INFO</t>
        </is>
      </c>
      <c r="C392" t="inlineStr">
        <is>
          <t>RIGHTCERTSTATUS</t>
        </is>
      </c>
      <c r="D392" t="inlineStr">
        <is>
          <t>VARCHAR(18)</t>
        </is>
      </c>
      <c r="E392" t="inlineStr">
        <is>
          <t>YES</t>
        </is>
      </c>
      <c r="F392" t="inlineStr">
        <is>
          <t>权证状态</t>
        </is>
      </c>
      <c r="H392" t="inlineStr">
        <is>
          <t>VARCHAR</t>
        </is>
      </c>
      <c r="I392" t="inlineStr">
        <is>
          <t>18</t>
        </is>
      </c>
    </row>
    <row r="393">
      <c r="A393" t="inlineStr">
        <is>
          <t>抵质押权证信息</t>
        </is>
      </c>
      <c r="B393" t="inlineStr">
        <is>
          <t>CLR_RIGHTCERT_INFO</t>
        </is>
      </c>
      <c r="C393" t="inlineStr">
        <is>
          <t>RIGHTAMOUNT</t>
        </is>
      </c>
      <c r="D393" t="inlineStr">
        <is>
          <t>DECIMAL(24,6)</t>
        </is>
      </c>
      <c r="E393" t="inlineStr">
        <is>
          <t>YES</t>
        </is>
      </c>
      <c r="F393" t="inlineStr">
        <is>
          <t>权利金额</t>
        </is>
      </c>
      <c r="H393" t="inlineStr">
        <is>
          <t>DECIMAL</t>
        </is>
      </c>
      <c r="I393" t="inlineStr">
        <is>
          <t>24,6</t>
        </is>
      </c>
    </row>
    <row r="394">
      <c r="A394" t="inlineStr">
        <is>
          <t>抵质押权证信息</t>
        </is>
      </c>
      <c r="B394" t="inlineStr">
        <is>
          <t>CLR_RIGHTCERT_INFO</t>
        </is>
      </c>
      <c r="C394" t="inlineStr">
        <is>
          <t>POSSESSORTYPE</t>
        </is>
      </c>
      <c r="D394" t="inlineStr">
        <is>
          <t>VARCHAR(6)</t>
        </is>
      </c>
      <c r="E394" t="inlineStr">
        <is>
          <t>YES</t>
        </is>
      </c>
      <c r="F394" t="inlineStr">
        <is>
          <t>权证持有者类型</t>
        </is>
      </c>
      <c r="H394" t="inlineStr">
        <is>
          <t>VARCHAR</t>
        </is>
      </c>
      <c r="I394" t="inlineStr">
        <is>
          <t>6</t>
        </is>
      </c>
    </row>
    <row r="395">
      <c r="A395" t="inlineStr">
        <is>
          <t>抵质押权证信息</t>
        </is>
      </c>
      <c r="B395" t="inlineStr">
        <is>
          <t>CLR_RIGHTCERT_INFO</t>
        </is>
      </c>
      <c r="C395" t="inlineStr">
        <is>
          <t>ISNEEDWAREHOUSING</t>
        </is>
      </c>
      <c r="D395" t="inlineStr">
        <is>
          <t>CHAR(1)</t>
        </is>
      </c>
      <c r="E395" t="inlineStr">
        <is>
          <t>YES</t>
        </is>
      </c>
      <c r="F395" t="inlineStr">
        <is>
          <t>是否需要入库</t>
        </is>
      </c>
      <c r="H395" t="inlineStr">
        <is>
          <t>CHAR</t>
        </is>
      </c>
      <c r="I395" t="inlineStr">
        <is>
          <t>1</t>
        </is>
      </c>
    </row>
    <row r="396">
      <c r="A396" t="inlineStr">
        <is>
          <t>抵质押权证信息</t>
        </is>
      </c>
      <c r="B396" t="inlineStr">
        <is>
          <t>CLR_RIGHTCERT_INFO</t>
        </is>
      </c>
      <c r="C396" t="inlineStr">
        <is>
          <t>INWAREHOUSINGDATE</t>
        </is>
      </c>
      <c r="D396" t="inlineStr">
        <is>
          <t>DATETIME</t>
        </is>
      </c>
      <c r="E396" t="inlineStr">
        <is>
          <t>YES</t>
        </is>
      </c>
      <c r="F396" t="inlineStr">
        <is>
          <t>正式入库日期</t>
        </is>
      </c>
      <c r="H396" t="inlineStr">
        <is>
          <t>DATETIME</t>
        </is>
      </c>
    </row>
    <row r="397">
      <c r="A397" t="inlineStr">
        <is>
          <t>抵质押权证信息</t>
        </is>
      </c>
      <c r="B397" t="inlineStr">
        <is>
          <t>CLR_RIGHTCERT_INFO</t>
        </is>
      </c>
      <c r="C397" t="inlineStr">
        <is>
          <t>OUTWAREHOUSINGDATE</t>
        </is>
      </c>
      <c r="D397" t="inlineStr">
        <is>
          <t>DATETIME</t>
        </is>
      </c>
      <c r="E397" t="inlineStr">
        <is>
          <t>YES</t>
        </is>
      </c>
      <c r="F397" t="inlineStr">
        <is>
          <t>正式出库日期</t>
        </is>
      </c>
      <c r="H397" t="inlineStr">
        <is>
          <t>DATETIME</t>
        </is>
      </c>
    </row>
    <row r="398">
      <c r="A398" t="inlineStr">
        <is>
          <t>抵质押权证信息</t>
        </is>
      </c>
      <c r="B398" t="inlineStr">
        <is>
          <t>CLR_RIGHTCERT_INFO</t>
        </is>
      </c>
      <c r="C398" t="inlineStr">
        <is>
          <t>TEMPOUTWHREASON</t>
        </is>
      </c>
      <c r="D398" t="inlineStr">
        <is>
          <t>DATETIME</t>
        </is>
      </c>
      <c r="E398" t="inlineStr">
        <is>
          <t>YES</t>
        </is>
      </c>
      <c r="F398" t="inlineStr">
        <is>
          <t>临时出库日期</t>
        </is>
      </c>
      <c r="H398" t="inlineStr">
        <is>
          <t>DATETIME</t>
        </is>
      </c>
    </row>
    <row r="399">
      <c r="A399" t="inlineStr">
        <is>
          <t>抵质押权证信息</t>
        </is>
      </c>
      <c r="B399" t="inlineStr">
        <is>
          <t>CLR_RIGHTCERT_INFO</t>
        </is>
      </c>
      <c r="C399" t="inlineStr">
        <is>
          <t>LASTOUTWHDATE</t>
        </is>
      </c>
      <c r="D399" t="inlineStr">
        <is>
          <t>DATETIME</t>
        </is>
      </c>
      <c r="E399" t="inlineStr">
        <is>
          <t>YES</t>
        </is>
      </c>
      <c r="F399" t="inlineStr">
        <is>
          <t>最近一次出库日期</t>
        </is>
      </c>
      <c r="H399" t="inlineStr">
        <is>
          <t>DATETIME</t>
        </is>
      </c>
    </row>
    <row r="400">
      <c r="A400" t="inlineStr">
        <is>
          <t>抵质押权证信息</t>
        </is>
      </c>
      <c r="B400" t="inlineStr">
        <is>
          <t>CLR_RIGHTCERT_INFO</t>
        </is>
      </c>
      <c r="C400" t="inlineStr">
        <is>
          <t>LASTINWHDATE</t>
        </is>
      </c>
      <c r="D400" t="inlineStr">
        <is>
          <t>DATETIME</t>
        </is>
      </c>
      <c r="E400" t="inlineStr">
        <is>
          <t>YES</t>
        </is>
      </c>
      <c r="F400" t="inlineStr">
        <is>
          <t>最近一次入库日期</t>
        </is>
      </c>
      <c r="H400" t="inlineStr">
        <is>
          <t>DATETIME</t>
        </is>
      </c>
    </row>
    <row r="401">
      <c r="A401" t="inlineStr">
        <is>
          <t>抵质押权证信息</t>
        </is>
      </c>
      <c r="B401" t="inlineStr">
        <is>
          <t>CLR_RIGHTCERT_INFO</t>
        </is>
      </c>
      <c r="C401" t="inlineStr">
        <is>
          <t>EXPCRETURNDATE</t>
        </is>
      </c>
      <c r="D401" t="inlineStr">
        <is>
          <t>DATETIME</t>
        </is>
      </c>
      <c r="E401" t="inlineStr">
        <is>
          <t>YES</t>
        </is>
      </c>
      <c r="F401" t="inlineStr">
        <is>
          <t>临时出库预计归还日期</t>
        </is>
      </c>
      <c r="H401" t="inlineStr">
        <is>
          <t>DATETIME</t>
        </is>
      </c>
    </row>
    <row r="402">
      <c r="A402" t="inlineStr">
        <is>
          <t>抵质押权证信息</t>
        </is>
      </c>
      <c r="B402" t="inlineStr">
        <is>
          <t>CLR_RIGHTCERT_INFO</t>
        </is>
      </c>
      <c r="C402" t="inlineStr">
        <is>
          <t>ISOVERDUE</t>
        </is>
      </c>
      <c r="D402" t="inlineStr">
        <is>
          <t>CHAR(1)</t>
        </is>
      </c>
      <c r="E402" t="inlineStr">
        <is>
          <t>YES</t>
        </is>
      </c>
      <c r="F402" t="inlineStr">
        <is>
          <t>临时出库是否逾期</t>
        </is>
      </c>
      <c r="H402" t="inlineStr">
        <is>
          <t>CHAR</t>
        </is>
      </c>
      <c r="I402" t="inlineStr">
        <is>
          <t>1</t>
        </is>
      </c>
    </row>
    <row r="403">
      <c r="A403" t="inlineStr">
        <is>
          <t>抵质押权证信息</t>
        </is>
      </c>
      <c r="B403" t="inlineStr">
        <is>
          <t>CLR_RIGHTCERT_INFO</t>
        </is>
      </c>
      <c r="C403" t="inlineStr">
        <is>
          <t>OVERDUEDAYS</t>
        </is>
      </c>
      <c r="D403" t="inlineStr">
        <is>
          <t>DECIMAL(18,2)</t>
        </is>
      </c>
      <c r="E403" t="inlineStr">
        <is>
          <t>YES</t>
        </is>
      </c>
      <c r="F403" t="inlineStr">
        <is>
          <t>临时出库逾期天数</t>
        </is>
      </c>
      <c r="H403" t="inlineStr">
        <is>
          <t>DECIMAL</t>
        </is>
      </c>
      <c r="I403" t="inlineStr">
        <is>
          <t>18,2</t>
        </is>
      </c>
    </row>
    <row r="404">
      <c r="A404" t="inlineStr">
        <is>
          <t>抵质押权证信息</t>
        </is>
      </c>
      <c r="B404" t="inlineStr">
        <is>
          <t>CLR_RIGHTCERT_INFO</t>
        </is>
      </c>
      <c r="C404" t="inlineStr">
        <is>
          <t>ISDATACONV</t>
        </is>
      </c>
      <c r="D404" t="inlineStr">
        <is>
          <t>CHAR(1)</t>
        </is>
      </c>
      <c r="E404" t="inlineStr">
        <is>
          <t>YES</t>
        </is>
      </c>
      <c r="F404" t="inlineStr">
        <is>
          <t>是否为移植</t>
        </is>
      </c>
      <c r="H404" t="inlineStr">
        <is>
          <t>CHAR</t>
        </is>
      </c>
      <c r="I404" t="inlineStr">
        <is>
          <t>1</t>
        </is>
      </c>
    </row>
    <row r="405">
      <c r="A405" t="inlineStr">
        <is>
          <t>抵质押权证信息</t>
        </is>
      </c>
      <c r="B405" t="inlineStr">
        <is>
          <t>CLR_RIGHTCERT_INFO</t>
        </is>
      </c>
      <c r="C405" t="inlineStr">
        <is>
          <t>REGISTRATIONUSERID</t>
        </is>
      </c>
      <c r="D405" t="inlineStr">
        <is>
          <t>VARCHAR(80)</t>
        </is>
      </c>
      <c r="E405" t="inlineStr">
        <is>
          <t>YES</t>
        </is>
      </c>
      <c r="F405" t="inlineStr">
        <is>
          <t>抵质押办证人</t>
        </is>
      </c>
      <c r="H405" t="inlineStr">
        <is>
          <t>VARCHAR</t>
        </is>
      </c>
      <c r="I405" t="inlineStr">
        <is>
          <t>80</t>
        </is>
      </c>
    </row>
    <row r="406">
      <c r="A406" t="inlineStr">
        <is>
          <t>抵质押权证信息</t>
        </is>
      </c>
      <c r="B406" t="inlineStr">
        <is>
          <t>CLR_RIGHTCERT_INFO</t>
        </is>
      </c>
      <c r="C406" t="inlineStr">
        <is>
          <t>RIGHTDUEDATE</t>
        </is>
      </c>
      <c r="D406" t="inlineStr">
        <is>
          <t>DATETIME</t>
        </is>
      </c>
      <c r="E406" t="inlineStr">
        <is>
          <t>YES</t>
        </is>
      </c>
      <c r="F406" t="inlineStr">
        <is>
          <t>权证到期日</t>
        </is>
      </c>
      <c r="H406" t="inlineStr">
        <is>
          <t>DATETIME</t>
        </is>
      </c>
    </row>
    <row r="407">
      <c r="A407" t="inlineStr">
        <is>
          <t>抵质押权证信息</t>
        </is>
      </c>
      <c r="B407" t="inlineStr">
        <is>
          <t>CLR_RIGHTCERT_INFO</t>
        </is>
      </c>
      <c r="C407" t="inlineStr">
        <is>
          <t>CLROWNERID</t>
        </is>
      </c>
      <c r="D407" t="inlineStr">
        <is>
          <t>VARCHAR(32)</t>
        </is>
      </c>
      <c r="E407" t="inlineStr">
        <is>
          <t>YES</t>
        </is>
      </c>
      <c r="F407" t="inlineStr">
        <is>
          <t>权属人编号</t>
        </is>
      </c>
      <c r="H407" t="inlineStr">
        <is>
          <t>VARCHAR</t>
        </is>
      </c>
      <c r="I407" t="inlineStr">
        <is>
          <t>32</t>
        </is>
      </c>
    </row>
    <row r="408">
      <c r="A408" t="inlineStr">
        <is>
          <t>抵质押权证信息</t>
        </is>
      </c>
      <c r="B408" t="inlineStr">
        <is>
          <t>CLR_RIGHTCERT_INFO</t>
        </is>
      </c>
      <c r="C408" t="inlineStr">
        <is>
          <t>CLROWNERNAME</t>
        </is>
      </c>
      <c r="D408" t="inlineStr">
        <is>
          <t>VARCHAR(80)</t>
        </is>
      </c>
      <c r="E408" t="inlineStr">
        <is>
          <t>YES</t>
        </is>
      </c>
      <c r="F408" t="inlineStr">
        <is>
          <t>权属人名称</t>
        </is>
      </c>
      <c r="H408" t="inlineStr">
        <is>
          <t>VARCHAR</t>
        </is>
      </c>
      <c r="I408" t="inlineStr">
        <is>
          <t>80</t>
        </is>
      </c>
    </row>
    <row r="409">
      <c r="A409" t="inlineStr">
        <is>
          <t>抵质押权证信息</t>
        </is>
      </c>
      <c r="B409" t="inlineStr">
        <is>
          <t>CLR_RIGHTCERT_INFO</t>
        </is>
      </c>
      <c r="C409" t="inlineStr">
        <is>
          <t>SAVEORGID</t>
        </is>
      </c>
      <c r="D409" t="inlineStr">
        <is>
          <t>VARCHAR(32)</t>
        </is>
      </c>
      <c r="E409" t="inlineStr">
        <is>
          <t>YES</t>
        </is>
      </c>
      <c r="F409" t="inlineStr">
        <is>
          <t>保存机构编号</t>
        </is>
      </c>
      <c r="H409" t="inlineStr">
        <is>
          <t>VARCHAR</t>
        </is>
      </c>
      <c r="I409" t="inlineStr">
        <is>
          <t>32</t>
        </is>
      </c>
    </row>
    <row r="410">
      <c r="A410" t="inlineStr">
        <is>
          <t>抵质押权证信息</t>
        </is>
      </c>
      <c r="B410" t="inlineStr">
        <is>
          <t>CLR_RIGHTCERT_INFO</t>
        </is>
      </c>
      <c r="C410" t="inlineStr">
        <is>
          <t>CATALOGFLAG</t>
        </is>
      </c>
      <c r="D410" t="inlineStr">
        <is>
          <t>VARCHAR(18)</t>
        </is>
      </c>
      <c r="E410" t="inlineStr">
        <is>
          <t>YES</t>
        </is>
      </c>
      <c r="F410" t="inlineStr">
        <is>
          <t>区分权证和代保品;2：权证1：代保品</t>
        </is>
      </c>
      <c r="H410" t="inlineStr">
        <is>
          <t>VARCHAR</t>
        </is>
      </c>
      <c r="I410" t="inlineStr">
        <is>
          <t>18</t>
        </is>
      </c>
    </row>
    <row r="411">
      <c r="A411" t="inlineStr">
        <is>
          <t>抵质押权证信息</t>
        </is>
      </c>
      <c r="B411" t="inlineStr">
        <is>
          <t>CLR_RIGHTCERT_INFO</t>
        </is>
      </c>
      <c r="C411" t="inlineStr">
        <is>
          <t>CLROWNERSTARTDATE</t>
        </is>
      </c>
      <c r="D411" t="inlineStr">
        <is>
          <t>DATETIME</t>
        </is>
      </c>
      <c r="E411" t="inlineStr">
        <is>
          <t>YES</t>
        </is>
      </c>
      <c r="F411" t="inlineStr">
        <is>
          <t>抵押登记起始日</t>
        </is>
      </c>
      <c r="H411" t="inlineStr">
        <is>
          <t>DATETIME</t>
        </is>
      </c>
    </row>
    <row r="412">
      <c r="A412" t="inlineStr">
        <is>
          <t>抵质押权证信息</t>
        </is>
      </c>
      <c r="B412" t="inlineStr">
        <is>
          <t>CLR_RIGHTCERT_INFO</t>
        </is>
      </c>
      <c r="C412" t="inlineStr">
        <is>
          <t>CLROWNERENDDATE</t>
        </is>
      </c>
      <c r="D412" t="inlineStr">
        <is>
          <t>DATETIME</t>
        </is>
      </c>
      <c r="E412" t="inlineStr">
        <is>
          <t>YES</t>
        </is>
      </c>
      <c r="F412" t="inlineStr">
        <is>
          <t>抵押登记到期日</t>
        </is>
      </c>
      <c r="H412" t="inlineStr">
        <is>
          <t>DATETIME</t>
        </is>
      </c>
    </row>
    <row r="413">
      <c r="A413" t="inlineStr">
        <is>
          <t>抵质押权证信息</t>
        </is>
      </c>
      <c r="B413" t="inlineStr">
        <is>
          <t>CLR_RIGHTCERT_INFO</t>
        </is>
      </c>
      <c r="C413" t="inlineStr">
        <is>
          <t>CURRENCY</t>
        </is>
      </c>
      <c r="D413" t="inlineStr">
        <is>
          <t>VARCHAR(18)</t>
        </is>
      </c>
      <c r="E413" t="inlineStr">
        <is>
          <t>YES</t>
        </is>
      </c>
      <c r="F413" t="inlineStr">
        <is>
          <t>币种</t>
        </is>
      </c>
      <c r="H413" t="inlineStr">
        <is>
          <t>VARCHAR</t>
        </is>
      </c>
      <c r="I413" t="inlineStr">
        <is>
          <t>18</t>
        </is>
      </c>
    </row>
    <row r="414">
      <c r="A414" t="inlineStr">
        <is>
          <t>抵质押权证信息</t>
        </is>
      </c>
      <c r="B414" t="inlineStr">
        <is>
          <t>CLR_RIGHTCERT_INFO</t>
        </is>
      </c>
      <c r="C414" t="inlineStr">
        <is>
          <t>GUARANTYREGNO</t>
        </is>
      </c>
      <c r="D414" t="inlineStr">
        <is>
          <t>VARCHAR(32)</t>
        </is>
      </c>
      <c r="E414" t="inlineStr">
        <is>
          <t>YES</t>
        </is>
      </c>
      <c r="F414" t="inlineStr">
        <is>
          <t>抵押登记编号</t>
        </is>
      </c>
      <c r="H414" t="inlineStr">
        <is>
          <t>VARCHAR</t>
        </is>
      </c>
      <c r="I414" t="inlineStr">
        <is>
          <t>32</t>
        </is>
      </c>
    </row>
    <row r="415">
      <c r="A415" t="inlineStr">
        <is>
          <t>抵质押权证信息</t>
        </is>
      </c>
      <c r="B415" t="inlineStr">
        <is>
          <t>CLR_RIGHTCERT_INFO</t>
        </is>
      </c>
      <c r="C415" t="inlineStr">
        <is>
          <t>MONEYIN</t>
        </is>
      </c>
      <c r="D415" t="inlineStr">
        <is>
          <t>DECIMAL(24,6)</t>
        </is>
      </c>
      <c r="E415" t="inlineStr">
        <is>
          <t>YES</t>
        </is>
      </c>
      <c r="F415" t="inlineStr">
        <is>
          <t>入账金额</t>
        </is>
      </c>
      <c r="H415" t="inlineStr">
        <is>
          <t>DECIMAL</t>
        </is>
      </c>
      <c r="I415" t="inlineStr">
        <is>
          <t>24,6</t>
        </is>
      </c>
    </row>
    <row r="416">
      <c r="A416" t="inlineStr">
        <is>
          <t>抵质押权证信息</t>
        </is>
      </c>
      <c r="B416" t="inlineStr">
        <is>
          <t>CLR_RIGHTCERT_INFO</t>
        </is>
      </c>
      <c r="C416" t="inlineStr">
        <is>
          <t>MONEYINTYPE</t>
        </is>
      </c>
      <c r="D416" t="inlineStr">
        <is>
          <t>VARCHAR(18)</t>
        </is>
      </c>
      <c r="E416" t="inlineStr">
        <is>
          <t>YES</t>
        </is>
      </c>
      <c r="F416" t="inlineStr">
        <is>
          <t>入账金额类型</t>
        </is>
      </c>
      <c r="H416" t="inlineStr">
        <is>
          <t>VARCHAR</t>
        </is>
      </c>
      <c r="I416" t="inlineStr">
        <is>
          <t>18</t>
        </is>
      </c>
    </row>
    <row r="417">
      <c r="A417" t="inlineStr">
        <is>
          <t>抵质押权证信息</t>
        </is>
      </c>
      <c r="B417" t="inlineStr">
        <is>
          <t>CLR_RIGHTCERT_INFO</t>
        </is>
      </c>
      <c r="C417" t="inlineStr">
        <is>
          <t>BOOKSTATUS</t>
        </is>
      </c>
      <c r="D417" t="inlineStr">
        <is>
          <t>VARCHAR(18)</t>
        </is>
      </c>
      <c r="E417" t="inlineStr">
        <is>
          <t>YES</t>
        </is>
      </c>
      <c r="F417" t="inlineStr">
        <is>
          <t>记账状态</t>
        </is>
      </c>
      <c r="H417" t="inlineStr">
        <is>
          <t>VARCHAR</t>
        </is>
      </c>
      <c r="I417" t="inlineStr">
        <is>
          <t>18</t>
        </is>
      </c>
    </row>
    <row r="418">
      <c r="A418" t="inlineStr">
        <is>
          <t>抵质押权证信息</t>
        </is>
      </c>
      <c r="B418" t="inlineStr">
        <is>
          <t>CLR_RIGHTCERT_INFO</t>
        </is>
      </c>
      <c r="C418" t="inlineStr">
        <is>
          <t>RIGHTREGORGTYPE</t>
        </is>
      </c>
      <c r="D418" t="inlineStr">
        <is>
          <t>VARCHAR(6)</t>
        </is>
      </c>
      <c r="E418" t="inlineStr">
        <is>
          <t>YES</t>
        </is>
      </c>
      <c r="F418" t="inlineStr">
        <is>
          <t>登记机构类型</t>
        </is>
      </c>
      <c r="H418" t="inlineStr">
        <is>
          <t>VARCHAR</t>
        </is>
      </c>
      <c r="I418" t="inlineStr">
        <is>
          <t>6</t>
        </is>
      </c>
    </row>
    <row r="419">
      <c r="A419" t="inlineStr">
        <is>
          <t>抵质押权证信息</t>
        </is>
      </c>
      <c r="B419" t="inlineStr">
        <is>
          <t>CLR_RIGHTCERT_INFO</t>
        </is>
      </c>
      <c r="C419" t="inlineStr">
        <is>
          <t>INPUTUSERID</t>
        </is>
      </c>
      <c r="D419" t="inlineStr">
        <is>
          <t>VARCHAR(32)</t>
        </is>
      </c>
      <c r="E419" t="inlineStr">
        <is>
          <t>YES</t>
        </is>
      </c>
      <c r="F419" t="inlineStr">
        <is>
          <t>登记人</t>
        </is>
      </c>
      <c r="H419" t="inlineStr">
        <is>
          <t>VARCHAR</t>
        </is>
      </c>
      <c r="I419" t="inlineStr">
        <is>
          <t>32</t>
        </is>
      </c>
    </row>
    <row r="420">
      <c r="A420" t="inlineStr">
        <is>
          <t>抵质押权证信息</t>
        </is>
      </c>
      <c r="B420" t="inlineStr">
        <is>
          <t>CLR_RIGHTCERT_INFO</t>
        </is>
      </c>
      <c r="C420" t="inlineStr">
        <is>
          <t>INPUTORGID</t>
        </is>
      </c>
      <c r="D420" t="inlineStr">
        <is>
          <t>VARCHAR(32)</t>
        </is>
      </c>
      <c r="E420" t="inlineStr">
        <is>
          <t>YES</t>
        </is>
      </c>
      <c r="F420" t="inlineStr">
        <is>
          <t>登记机构</t>
        </is>
      </c>
      <c r="H420" t="inlineStr">
        <is>
          <t>VARCHAR</t>
        </is>
      </c>
      <c r="I420" t="inlineStr">
        <is>
          <t>32</t>
        </is>
      </c>
    </row>
    <row r="421">
      <c r="A421" t="inlineStr">
        <is>
          <t>抵质押权证信息</t>
        </is>
      </c>
      <c r="B421" t="inlineStr">
        <is>
          <t>CLR_RIGHTCERT_INFO</t>
        </is>
      </c>
      <c r="C421" t="inlineStr">
        <is>
          <t>INPUTDATE</t>
        </is>
      </c>
      <c r="D421" t="inlineStr">
        <is>
          <t>DATETIME</t>
        </is>
      </c>
      <c r="E421" t="inlineStr">
        <is>
          <t>YES</t>
        </is>
      </c>
      <c r="F421" t="inlineStr">
        <is>
          <t>登记日期</t>
        </is>
      </c>
      <c r="H421" t="inlineStr">
        <is>
          <t>DATETIME</t>
        </is>
      </c>
    </row>
    <row r="422">
      <c r="A422" t="inlineStr">
        <is>
          <t>抵质押权证信息</t>
        </is>
      </c>
      <c r="B422" t="inlineStr">
        <is>
          <t>CLR_RIGHTCERT_INFO</t>
        </is>
      </c>
      <c r="C422" t="inlineStr">
        <is>
          <t>UPDATEUSERID</t>
        </is>
      </c>
      <c r="D422" t="inlineStr">
        <is>
          <t>VARCHAR(32)</t>
        </is>
      </c>
      <c r="E422" t="inlineStr">
        <is>
          <t>YES</t>
        </is>
      </c>
      <c r="F422" t="inlineStr">
        <is>
          <t>更新人</t>
        </is>
      </c>
      <c r="H422" t="inlineStr">
        <is>
          <t>VARCHAR</t>
        </is>
      </c>
      <c r="I422" t="inlineStr">
        <is>
          <t>32</t>
        </is>
      </c>
    </row>
    <row r="423">
      <c r="A423" t="inlineStr">
        <is>
          <t>抵质押权证信息</t>
        </is>
      </c>
      <c r="B423" t="inlineStr">
        <is>
          <t>CLR_RIGHTCERT_INFO</t>
        </is>
      </c>
      <c r="C423" t="inlineStr">
        <is>
          <t>UPDATEORGID</t>
        </is>
      </c>
      <c r="D423" t="inlineStr">
        <is>
          <t>VARCHAR(32)</t>
        </is>
      </c>
      <c r="E423" t="inlineStr">
        <is>
          <t>YES</t>
        </is>
      </c>
      <c r="F423" t="inlineStr">
        <is>
          <t>更新机构</t>
        </is>
      </c>
      <c r="H423" t="inlineStr">
        <is>
          <t>VARCHAR</t>
        </is>
      </c>
      <c r="I423" t="inlineStr">
        <is>
          <t>32</t>
        </is>
      </c>
    </row>
    <row r="424">
      <c r="A424" t="inlineStr">
        <is>
          <t>抵质押权证信息</t>
        </is>
      </c>
      <c r="B424" t="inlineStr">
        <is>
          <t>CLR_RIGHTCERT_INFO</t>
        </is>
      </c>
      <c r="C424" t="inlineStr">
        <is>
          <t>UPDATEDATE</t>
        </is>
      </c>
      <c r="D424" t="inlineStr">
        <is>
          <t>DATETIME</t>
        </is>
      </c>
      <c r="E424" t="inlineStr">
        <is>
          <t>YES</t>
        </is>
      </c>
      <c r="F424" t="inlineStr">
        <is>
          <t>更新日期</t>
        </is>
      </c>
      <c r="H424" t="inlineStr">
        <is>
          <t>DATETIME</t>
        </is>
      </c>
    </row>
    <row r="425">
      <c r="A425" t="inlineStr">
        <is>
          <t>抵质押权证信息</t>
        </is>
      </c>
      <c r="B425" t="inlineStr">
        <is>
          <t>CLR_RIGHTCERT_INFO</t>
        </is>
      </c>
      <c r="C425" t="inlineStr">
        <is>
          <t>CORPORGID</t>
        </is>
      </c>
      <c r="D425" t="inlineStr">
        <is>
          <t>VARCHAR(32)</t>
        </is>
      </c>
      <c r="E425" t="inlineStr">
        <is>
          <t>YES</t>
        </is>
      </c>
      <c r="F425" t="inlineStr">
        <is>
          <t>法人机构编号</t>
        </is>
      </c>
      <c r="H425" t="inlineStr">
        <is>
          <t>VARCHAR</t>
        </is>
      </c>
      <c r="I425" t="inlineStr">
        <is>
          <t>32</t>
        </is>
      </c>
    </row>
    <row r="426">
      <c r="A426" t="inlineStr">
        <is>
          <t>抵质押权证信息</t>
        </is>
      </c>
      <c r="B426" t="inlineStr">
        <is>
          <t>CLR_RIGHTCERT_INFO</t>
        </is>
      </c>
      <c r="C426" t="inlineStr">
        <is>
          <t>REMARK</t>
        </is>
      </c>
      <c r="D426" t="inlineStr">
        <is>
          <t>VARCHAR(1000)</t>
        </is>
      </c>
      <c r="E426" t="inlineStr">
        <is>
          <t>YES</t>
        </is>
      </c>
      <c r="F426" t="inlineStr">
        <is>
          <t>备注</t>
        </is>
      </c>
      <c r="H426" t="inlineStr">
        <is>
          <t>VARCHAR</t>
        </is>
      </c>
      <c r="I426" t="inlineStr">
        <is>
          <t>1000</t>
        </is>
      </c>
    </row>
    <row r="427">
      <c r="A427" t="inlineStr">
        <is>
          <t>抵质押权证信息</t>
        </is>
      </c>
      <c r="B427" t="inlineStr">
        <is>
          <t>CLR_RIGHTCERT_INFO</t>
        </is>
      </c>
      <c r="C427" t="inlineStr">
        <is>
          <t>OLDCLRID</t>
        </is>
      </c>
      <c r="D427" t="inlineStr">
        <is>
          <t>VARCHAR(1000)</t>
        </is>
      </c>
      <c r="E427" t="inlineStr">
        <is>
          <t>YES</t>
        </is>
      </c>
      <c r="F427" t="inlineStr">
        <is>
          <t>合并前押品编号</t>
        </is>
      </c>
      <c r="H427" t="inlineStr">
        <is>
          <t>VARCHAR</t>
        </is>
      </c>
      <c r="I427" t="inlineStr">
        <is>
          <t>1000</t>
        </is>
      </c>
    </row>
    <row r="428">
      <c r="A428" t="inlineStr">
        <is>
          <t>抵质押权证信息</t>
        </is>
      </c>
      <c r="B428" t="inlineStr">
        <is>
          <t>CLR_RIGHTCERT_INFO</t>
        </is>
      </c>
      <c r="C428" t="inlineStr">
        <is>
          <t>TWOBARCODES</t>
        </is>
      </c>
      <c r="D428" t="inlineStr">
        <is>
          <t>VARCHAR(4000)</t>
        </is>
      </c>
      <c r="E428" t="inlineStr">
        <is>
          <t>YES</t>
        </is>
      </c>
      <c r="F428" t="inlineStr">
        <is>
          <t>二维码</t>
        </is>
      </c>
      <c r="H428" t="inlineStr">
        <is>
          <t>VARCHAR</t>
        </is>
      </c>
      <c r="I428" t="inlineStr">
        <is>
          <t>4000</t>
        </is>
      </c>
    </row>
    <row r="429">
      <c r="A429" t="inlineStr">
        <is>
          <t>抵质押权证信息</t>
        </is>
      </c>
      <c r="B429" t="inlineStr">
        <is>
          <t>CLR_RIGHTCERT_INFO</t>
        </is>
      </c>
      <c r="C429" t="inlineStr">
        <is>
          <t>STORETYPE</t>
        </is>
      </c>
      <c r="D429" t="inlineStr">
        <is>
          <t>VARCHAR(6)</t>
        </is>
      </c>
      <c r="E429" t="inlineStr">
        <is>
          <t>YES</t>
        </is>
      </c>
      <c r="F429" t="inlineStr">
        <is>
          <t>权证介质</t>
        </is>
      </c>
      <c r="H429" t="inlineStr">
        <is>
          <t>VARCHAR</t>
        </is>
      </c>
      <c r="I429" t="inlineStr">
        <is>
          <t>6</t>
        </is>
      </c>
    </row>
    <row r="430">
      <c r="A430" t="inlineStr">
        <is>
          <t>抵质押权证信息</t>
        </is>
      </c>
      <c r="B430" t="inlineStr">
        <is>
          <t>CLR_RIGHTCERT_INFO</t>
        </is>
      </c>
      <c r="C430" t="inlineStr">
        <is>
          <t>REGISTERRECORDID</t>
        </is>
      </c>
      <c r="D430" t="inlineStr">
        <is>
          <t>VARCHAR(32)</t>
        </is>
      </c>
      <c r="E430" t="inlineStr">
        <is>
          <t>YES</t>
        </is>
      </c>
      <c r="F430" t="inlineStr">
        <is>
          <t>抵押登记ID</t>
        </is>
      </c>
      <c r="H430" t="inlineStr">
        <is>
          <t>VARCHAR</t>
        </is>
      </c>
      <c r="I430" t="inlineStr">
        <is>
          <t>32</t>
        </is>
      </c>
    </row>
    <row r="431">
      <c r="A431" t="inlineStr">
        <is>
          <t>权证封包信息</t>
        </is>
      </c>
      <c r="B431" t="inlineStr">
        <is>
          <t>CLR_RIGHTCERT_PACKAGE_INFO</t>
        </is>
      </c>
      <c r="C431" t="inlineStr">
        <is>
          <t>PACKAGEID</t>
        </is>
      </c>
      <c r="D431" t="inlineStr">
        <is>
          <t>VARCHAR(32)</t>
        </is>
      </c>
      <c r="E431" t="inlineStr">
        <is>
          <t>NO</t>
        </is>
      </c>
      <c r="F431" t="inlineStr">
        <is>
          <t>封包编号</t>
        </is>
      </c>
      <c r="H431" t="inlineStr">
        <is>
          <t>VARCHAR</t>
        </is>
      </c>
      <c r="I431" t="inlineStr">
        <is>
          <t>32</t>
        </is>
      </c>
    </row>
    <row r="432">
      <c r="A432" t="inlineStr">
        <is>
          <t>权证封包信息</t>
        </is>
      </c>
      <c r="B432" t="inlineStr">
        <is>
          <t>CLR_RIGHTCERT_PACKAGE_INFO</t>
        </is>
      </c>
      <c r="C432" t="inlineStr">
        <is>
          <t>BARCODE</t>
        </is>
      </c>
      <c r="D432" t="inlineStr">
        <is>
          <t>VARCHAR(32)</t>
        </is>
      </c>
      <c r="E432" t="inlineStr">
        <is>
          <t>YES</t>
        </is>
      </c>
      <c r="F432" t="inlineStr">
        <is>
          <t>条形码</t>
        </is>
      </c>
      <c r="H432" t="inlineStr">
        <is>
          <t>VARCHAR</t>
        </is>
      </c>
      <c r="I432" t="inlineStr">
        <is>
          <t>32</t>
        </is>
      </c>
    </row>
    <row r="433">
      <c r="A433" t="inlineStr">
        <is>
          <t>权证封包信息</t>
        </is>
      </c>
      <c r="B433" t="inlineStr">
        <is>
          <t>CLR_RIGHTCERT_PACKAGE_INFO</t>
        </is>
      </c>
      <c r="C433" t="inlineStr">
        <is>
          <t>REFSERIALNO</t>
        </is>
      </c>
      <c r="D433" t="inlineStr">
        <is>
          <t>VARCHAR(32)</t>
        </is>
      </c>
      <c r="E433" t="inlineStr">
        <is>
          <t>YES</t>
        </is>
      </c>
      <c r="F433" t="inlineStr">
        <is>
          <t>申请组流水号;本系统)</t>
        </is>
      </c>
      <c r="H433" t="inlineStr">
        <is>
          <t>VARCHAR</t>
        </is>
      </c>
      <c r="I433" t="inlineStr">
        <is>
          <t>32</t>
        </is>
      </c>
    </row>
    <row r="434">
      <c r="A434" t="inlineStr">
        <is>
          <t>权证封包信息</t>
        </is>
      </c>
      <c r="B434" t="inlineStr">
        <is>
          <t>CLR_RIGHTCERT_PACKAGE_INFO</t>
        </is>
      </c>
      <c r="C434" t="inlineStr">
        <is>
          <t>REFSERIALNOOTHER</t>
        </is>
      </c>
      <c r="D434" t="inlineStr">
        <is>
          <t>VARCHAR(32)</t>
        </is>
      </c>
      <c r="E434" t="inlineStr">
        <is>
          <t>YES</t>
        </is>
      </c>
      <c r="F434" t="inlineStr">
        <is>
          <t>申请组流水号;外围系统)</t>
        </is>
      </c>
      <c r="H434" t="inlineStr">
        <is>
          <t>VARCHAR</t>
        </is>
      </c>
      <c r="I434" t="inlineStr">
        <is>
          <t>32</t>
        </is>
      </c>
    </row>
    <row r="435">
      <c r="A435" t="inlineStr">
        <is>
          <t>权证封包信息</t>
        </is>
      </c>
      <c r="B435" t="inlineStr">
        <is>
          <t>CLR_RIGHTCERT_PACKAGE_INFO</t>
        </is>
      </c>
      <c r="C435" t="inlineStr">
        <is>
          <t>INOUTWHTYPE</t>
        </is>
      </c>
      <c r="D435" t="inlineStr">
        <is>
          <t>VARCHAR(6)</t>
        </is>
      </c>
      <c r="E435" t="inlineStr">
        <is>
          <t>YES</t>
        </is>
      </c>
      <c r="F435" t="inlineStr">
        <is>
          <t>权证出入库类型</t>
        </is>
      </c>
      <c r="H435" t="inlineStr">
        <is>
          <t>VARCHAR</t>
        </is>
      </c>
      <c r="I435" t="inlineStr">
        <is>
          <t>6</t>
        </is>
      </c>
    </row>
    <row r="436">
      <c r="A436" t="inlineStr">
        <is>
          <t>权证封包信息</t>
        </is>
      </c>
      <c r="B436" t="inlineStr">
        <is>
          <t>CLR_RIGHTCERT_PACKAGE_INFO</t>
        </is>
      </c>
      <c r="C436" t="inlineStr">
        <is>
          <t>OPERATEUSERID</t>
        </is>
      </c>
      <c r="D436" t="inlineStr">
        <is>
          <t>VARCHAR(32)</t>
        </is>
      </c>
      <c r="E436" t="inlineStr">
        <is>
          <t>YES</t>
        </is>
      </c>
      <c r="F436" t="inlineStr">
        <is>
          <t>封包操作人</t>
        </is>
      </c>
      <c r="H436" t="inlineStr">
        <is>
          <t>VARCHAR</t>
        </is>
      </c>
      <c r="I436" t="inlineStr">
        <is>
          <t>32</t>
        </is>
      </c>
    </row>
    <row r="437">
      <c r="A437" t="inlineStr">
        <is>
          <t>权证封包信息</t>
        </is>
      </c>
      <c r="B437" t="inlineStr">
        <is>
          <t>CLR_RIGHTCERT_PACKAGE_INFO</t>
        </is>
      </c>
      <c r="C437" t="inlineStr">
        <is>
          <t>OPERATEORGID</t>
        </is>
      </c>
      <c r="D437" t="inlineStr">
        <is>
          <t>VARCHAR(32)</t>
        </is>
      </c>
      <c r="E437" t="inlineStr">
        <is>
          <t>YES</t>
        </is>
      </c>
      <c r="F437" t="inlineStr">
        <is>
          <t>封包所属机构</t>
        </is>
      </c>
      <c r="H437" t="inlineStr">
        <is>
          <t>VARCHAR</t>
        </is>
      </c>
      <c r="I437" t="inlineStr">
        <is>
          <t>32</t>
        </is>
      </c>
    </row>
    <row r="438">
      <c r="A438" t="inlineStr">
        <is>
          <t>权证封包信息</t>
        </is>
      </c>
      <c r="B438" t="inlineStr">
        <is>
          <t>CLR_RIGHTCERT_PACKAGE_INFO</t>
        </is>
      </c>
      <c r="C438" t="inlineStr">
        <is>
          <t>OPERATEDATE</t>
        </is>
      </c>
      <c r="D438" t="inlineStr">
        <is>
          <t>DATETIME</t>
        </is>
      </c>
      <c r="E438" t="inlineStr">
        <is>
          <t>YES</t>
        </is>
      </c>
      <c r="F438" t="inlineStr">
        <is>
          <t>封包日期</t>
        </is>
      </c>
      <c r="H438" t="inlineStr">
        <is>
          <t>DATETIME</t>
        </is>
      </c>
    </row>
    <row r="439">
      <c r="A439" t="inlineStr">
        <is>
          <t>权证封包信息</t>
        </is>
      </c>
      <c r="B439" t="inlineStr">
        <is>
          <t>CLR_RIGHTCERT_PACKAGE_INFO</t>
        </is>
      </c>
      <c r="C439" t="inlineStr">
        <is>
          <t>PACKAGESTATUS</t>
        </is>
      </c>
      <c r="D439" t="inlineStr">
        <is>
          <t>VARCHAR(6)</t>
        </is>
      </c>
      <c r="E439" t="inlineStr">
        <is>
          <t>YES</t>
        </is>
      </c>
      <c r="F439" t="inlineStr">
        <is>
          <t>封包状态</t>
        </is>
      </c>
      <c r="H439" t="inlineStr">
        <is>
          <t>VARCHAR</t>
        </is>
      </c>
      <c r="I439" t="inlineStr">
        <is>
          <t>6</t>
        </is>
      </c>
    </row>
    <row r="440">
      <c r="A440" t="inlineStr">
        <is>
          <t>权证封包信息</t>
        </is>
      </c>
      <c r="B440" t="inlineStr">
        <is>
          <t>CLR_RIGHTCERT_PACKAGE_INFO</t>
        </is>
      </c>
      <c r="C440" t="inlineStr">
        <is>
          <t>CSTDPACKAGEID</t>
        </is>
      </c>
      <c r="D440" t="inlineStr">
        <is>
          <t>VARCHAR(32)</t>
        </is>
      </c>
      <c r="E440" t="inlineStr">
        <is>
          <t>YES</t>
        </is>
      </c>
      <c r="F440" t="inlineStr">
        <is>
          <t>代保管品编号;核心）</t>
        </is>
      </c>
      <c r="H440" t="inlineStr">
        <is>
          <t>VARCHAR</t>
        </is>
      </c>
      <c r="I440" t="inlineStr">
        <is>
          <t>32</t>
        </is>
      </c>
    </row>
    <row r="441">
      <c r="A441" t="inlineStr">
        <is>
          <t>权证封包信息</t>
        </is>
      </c>
      <c r="B441" t="inlineStr">
        <is>
          <t>CLR_RIGHTCERT_PACKAGE_INFO</t>
        </is>
      </c>
      <c r="C441" t="inlineStr">
        <is>
          <t>WHADDRESS</t>
        </is>
      </c>
      <c r="D441" t="inlineStr">
        <is>
          <t>VARCHAR(200)</t>
        </is>
      </c>
      <c r="E441" t="inlineStr">
        <is>
          <t>YES</t>
        </is>
      </c>
      <c r="F441" t="inlineStr">
        <is>
          <t>封包存放位置</t>
        </is>
      </c>
      <c r="H441" t="inlineStr">
        <is>
          <t>VARCHAR</t>
        </is>
      </c>
      <c r="I441" t="inlineStr">
        <is>
          <t>200</t>
        </is>
      </c>
    </row>
    <row r="442">
      <c r="A442" t="inlineStr">
        <is>
          <t>权证封包信息</t>
        </is>
      </c>
      <c r="B442" t="inlineStr">
        <is>
          <t>CLR_RIGHTCERT_PACKAGE_INFO</t>
        </is>
      </c>
      <c r="C442" t="inlineStr">
        <is>
          <t>INPUTUSERID</t>
        </is>
      </c>
      <c r="D442" t="inlineStr">
        <is>
          <t>VARCHAR(32)</t>
        </is>
      </c>
      <c r="E442" t="inlineStr">
        <is>
          <t>YES</t>
        </is>
      </c>
      <c r="F442" t="inlineStr">
        <is>
          <t>登记人</t>
        </is>
      </c>
      <c r="H442" t="inlineStr">
        <is>
          <t>VARCHAR</t>
        </is>
      </c>
      <c r="I442" t="inlineStr">
        <is>
          <t>32</t>
        </is>
      </c>
    </row>
    <row r="443">
      <c r="A443" t="inlineStr">
        <is>
          <t>权证封包信息</t>
        </is>
      </c>
      <c r="B443" t="inlineStr">
        <is>
          <t>CLR_RIGHTCERT_PACKAGE_INFO</t>
        </is>
      </c>
      <c r="C443" t="inlineStr">
        <is>
          <t>INPUTORGID</t>
        </is>
      </c>
      <c r="D443" t="inlineStr">
        <is>
          <t>VARCHAR(32)</t>
        </is>
      </c>
      <c r="E443" t="inlineStr">
        <is>
          <t>YES</t>
        </is>
      </c>
      <c r="F443" t="inlineStr">
        <is>
          <t>登记机构</t>
        </is>
      </c>
      <c r="H443" t="inlineStr">
        <is>
          <t>VARCHAR</t>
        </is>
      </c>
      <c r="I443" t="inlineStr">
        <is>
          <t>32</t>
        </is>
      </c>
    </row>
    <row r="444">
      <c r="A444" t="inlineStr">
        <is>
          <t>权证封包信息</t>
        </is>
      </c>
      <c r="B444" t="inlineStr">
        <is>
          <t>CLR_RIGHTCERT_PACKAGE_INFO</t>
        </is>
      </c>
      <c r="C444" t="inlineStr">
        <is>
          <t>INPUTDATE</t>
        </is>
      </c>
      <c r="D444" t="inlineStr">
        <is>
          <t>DATETIME</t>
        </is>
      </c>
      <c r="E444" t="inlineStr">
        <is>
          <t>YES</t>
        </is>
      </c>
      <c r="F444" t="inlineStr">
        <is>
          <t>登记日期</t>
        </is>
      </c>
      <c r="H444" t="inlineStr">
        <is>
          <t>DATETIME</t>
        </is>
      </c>
    </row>
    <row r="445">
      <c r="A445" t="inlineStr">
        <is>
          <t>权证封包信息</t>
        </is>
      </c>
      <c r="B445" t="inlineStr">
        <is>
          <t>CLR_RIGHTCERT_PACKAGE_INFO</t>
        </is>
      </c>
      <c r="C445" t="inlineStr">
        <is>
          <t>UPDATEUSERID</t>
        </is>
      </c>
      <c r="D445" t="inlineStr">
        <is>
          <t>VARCHAR(32)</t>
        </is>
      </c>
      <c r="E445" t="inlineStr">
        <is>
          <t>YES</t>
        </is>
      </c>
      <c r="F445" t="inlineStr">
        <is>
          <t>更新人</t>
        </is>
      </c>
      <c r="H445" t="inlineStr">
        <is>
          <t>VARCHAR</t>
        </is>
      </c>
      <c r="I445" t="inlineStr">
        <is>
          <t>32</t>
        </is>
      </c>
    </row>
    <row r="446">
      <c r="A446" t="inlineStr">
        <is>
          <t>权证封包信息</t>
        </is>
      </c>
      <c r="B446" t="inlineStr">
        <is>
          <t>CLR_RIGHTCERT_PACKAGE_INFO</t>
        </is>
      </c>
      <c r="C446" t="inlineStr">
        <is>
          <t>UPDATEORGID</t>
        </is>
      </c>
      <c r="D446" t="inlineStr">
        <is>
          <t>VARCHAR(32)</t>
        </is>
      </c>
      <c r="E446" t="inlineStr">
        <is>
          <t>YES</t>
        </is>
      </c>
      <c r="F446" t="inlineStr">
        <is>
          <t>更新机构</t>
        </is>
      </c>
      <c r="H446" t="inlineStr">
        <is>
          <t>VARCHAR</t>
        </is>
      </c>
      <c r="I446" t="inlineStr">
        <is>
          <t>32</t>
        </is>
      </c>
    </row>
    <row r="447">
      <c r="A447" t="inlineStr">
        <is>
          <t>权证封包信息</t>
        </is>
      </c>
      <c r="B447" t="inlineStr">
        <is>
          <t>CLR_RIGHTCERT_PACKAGE_INFO</t>
        </is>
      </c>
      <c r="C447" t="inlineStr">
        <is>
          <t>UPDATEDATE</t>
        </is>
      </c>
      <c r="D447" t="inlineStr">
        <is>
          <t>DATETIME</t>
        </is>
      </c>
      <c r="E447" t="inlineStr">
        <is>
          <t>YES</t>
        </is>
      </c>
      <c r="F447" t="inlineStr">
        <is>
          <t>更新日期</t>
        </is>
      </c>
      <c r="H447" t="inlineStr">
        <is>
          <t>DATETIME</t>
        </is>
      </c>
    </row>
    <row r="448">
      <c r="A448" t="inlineStr">
        <is>
          <t>权证封包信息</t>
        </is>
      </c>
      <c r="B448" t="inlineStr">
        <is>
          <t>CLR_RIGHTCERT_PACKAGE_INFO</t>
        </is>
      </c>
      <c r="C448" t="inlineStr">
        <is>
          <t>CORPORGID</t>
        </is>
      </c>
      <c r="D448" t="inlineStr">
        <is>
          <t>VARCHAR(32)</t>
        </is>
      </c>
      <c r="E448" t="inlineStr">
        <is>
          <t>YES</t>
        </is>
      </c>
      <c r="F448" t="inlineStr">
        <is>
          <t>法人机构编号</t>
        </is>
      </c>
      <c r="H448" t="inlineStr">
        <is>
          <t>VARCHAR</t>
        </is>
      </c>
      <c r="I448" t="inlineStr">
        <is>
          <t>32</t>
        </is>
      </c>
    </row>
    <row r="449">
      <c r="A449" t="inlineStr">
        <is>
          <t>权证封包信息</t>
        </is>
      </c>
      <c r="B449" t="inlineStr">
        <is>
          <t>CLR_RIGHTCERT_PACKAGE_INFO</t>
        </is>
      </c>
      <c r="C449" t="inlineStr">
        <is>
          <t>TWODIMCODE</t>
        </is>
      </c>
      <c r="D449" t="inlineStr">
        <is>
          <t>VARCHAR(4000)</t>
        </is>
      </c>
      <c r="E449" t="inlineStr">
        <is>
          <t>YES</t>
        </is>
      </c>
      <c r="F449" t="inlineStr">
        <is>
          <t>二维码</t>
        </is>
      </c>
      <c r="H449" t="inlineStr">
        <is>
          <t>VARCHAR</t>
        </is>
      </c>
      <c r="I449" t="inlineStr">
        <is>
          <t>4000</t>
        </is>
      </c>
    </row>
    <row r="450">
      <c r="A450" t="inlineStr">
        <is>
          <t>权证封包信息</t>
        </is>
      </c>
      <c r="B450" t="inlineStr">
        <is>
          <t>CLR_RIGHTCERT_PACKAGE_INFO</t>
        </is>
      </c>
      <c r="C450" t="inlineStr">
        <is>
          <t>STORETYPE</t>
        </is>
      </c>
      <c r="D450" t="inlineStr">
        <is>
          <t>VARCHAR(6)</t>
        </is>
      </c>
      <c r="E450" t="inlineStr">
        <is>
          <t>YES</t>
        </is>
      </c>
      <c r="F450" t="inlineStr">
        <is>
          <t>介质类型</t>
        </is>
      </c>
      <c r="H450" t="inlineStr">
        <is>
          <t>VARCHAR</t>
        </is>
      </c>
      <c r="I450" t="inlineStr">
        <is>
          <t>6</t>
        </is>
      </c>
    </row>
    <row r="451">
      <c r="A451" t="inlineStr">
        <is>
          <t>权证封包信息</t>
        </is>
      </c>
      <c r="B451" t="inlineStr">
        <is>
          <t>CLR_RIGHTCERT_PACKAGE_INFO</t>
        </is>
      </c>
      <c r="C451" t="inlineStr">
        <is>
          <t>ORGID</t>
        </is>
      </c>
      <c r="D451" t="inlineStr">
        <is>
          <t>VARCHAR(32)</t>
        </is>
      </c>
      <c r="E451" t="inlineStr">
        <is>
          <t>YES</t>
        </is>
      </c>
      <c r="F451" t="inlineStr">
        <is>
          <t>记账机构</t>
        </is>
      </c>
      <c r="H451" t="inlineStr">
        <is>
          <t>VARCHAR</t>
        </is>
      </c>
      <c r="I451" t="inlineStr">
        <is>
          <t>32</t>
        </is>
      </c>
    </row>
    <row r="452">
      <c r="A452" t="inlineStr">
        <is>
          <t>权证封包信息</t>
        </is>
      </c>
      <c r="B452" t="inlineStr">
        <is>
          <t>CLR_RIGHTCERT_PACKAGE_INFO</t>
        </is>
      </c>
      <c r="C452" t="inlineStr">
        <is>
          <t>CONTRACTNO</t>
        </is>
      </c>
      <c r="D452" t="inlineStr">
        <is>
          <t>VARCHAR(33)</t>
        </is>
      </c>
      <c r="E452" t="inlineStr">
        <is>
          <t>YES</t>
        </is>
      </c>
      <c r="F452" t="inlineStr">
        <is>
          <t>合同编号</t>
        </is>
      </c>
      <c r="H452" t="inlineStr">
        <is>
          <t>VARCHAR</t>
        </is>
      </c>
      <c r="I452" t="inlineStr">
        <is>
          <t>33</t>
        </is>
      </c>
    </row>
    <row r="453">
      <c r="A453" t="inlineStr">
        <is>
          <t>权证封包信息</t>
        </is>
      </c>
      <c r="B453" t="inlineStr">
        <is>
          <t>CLR_RIGHTCERT_PACKAGE_INFO</t>
        </is>
      </c>
      <c r="C453" t="inlineStr">
        <is>
          <t>APPLYNO</t>
        </is>
      </c>
      <c r="D453" t="inlineStr">
        <is>
          <t>VARCHAR(33)</t>
        </is>
      </c>
      <c r="E453" t="inlineStr">
        <is>
          <t>YES</t>
        </is>
      </c>
      <c r="F453" t="inlineStr">
        <is>
          <t>出入库申请编号</t>
        </is>
      </c>
      <c r="H453" t="inlineStr">
        <is>
          <t>VARCHAR</t>
        </is>
      </c>
      <c r="I453" t="inlineStr">
        <is>
          <t>33</t>
        </is>
      </c>
    </row>
    <row r="454">
      <c r="A454" t="inlineStr">
        <is>
          <t>权证出入库记录</t>
        </is>
      </c>
      <c r="B454" t="inlineStr">
        <is>
          <t>CLR_RIGHTCERT_TRANRECORD</t>
        </is>
      </c>
      <c r="C454" t="inlineStr">
        <is>
          <t>SERIALNO</t>
        </is>
      </c>
      <c r="D454" t="inlineStr">
        <is>
          <t>VARCHAR(32)</t>
        </is>
      </c>
      <c r="E454" t="inlineStr">
        <is>
          <t>NO</t>
        </is>
      </c>
      <c r="F454" t="inlineStr">
        <is>
          <t>出入库流水号</t>
        </is>
      </c>
      <c r="H454" t="inlineStr">
        <is>
          <t>VARCHAR</t>
        </is>
      </c>
      <c r="I454" t="inlineStr">
        <is>
          <t>32</t>
        </is>
      </c>
    </row>
    <row r="455">
      <c r="A455" t="inlineStr">
        <is>
          <t>权证出入库记录</t>
        </is>
      </c>
      <c r="B455" t="inlineStr">
        <is>
          <t>CLR_RIGHTCERT_TRANRECORD</t>
        </is>
      </c>
      <c r="C455" t="inlineStr">
        <is>
          <t>RIGHTCERTID</t>
        </is>
      </c>
      <c r="D455" t="inlineStr">
        <is>
          <t>VARCHAR(32)</t>
        </is>
      </c>
      <c r="E455" t="inlineStr">
        <is>
          <t>YES</t>
        </is>
      </c>
      <c r="F455" t="inlineStr">
        <is>
          <t>权证编号</t>
        </is>
      </c>
      <c r="H455" t="inlineStr">
        <is>
          <t>VARCHAR</t>
        </is>
      </c>
      <c r="I455" t="inlineStr">
        <is>
          <t>32</t>
        </is>
      </c>
    </row>
    <row r="456">
      <c r="A456" t="inlineStr">
        <is>
          <t>权证出入库记录</t>
        </is>
      </c>
      <c r="B456" t="inlineStr">
        <is>
          <t>CLR_RIGHTCERT_TRANRECORD</t>
        </is>
      </c>
      <c r="C456" t="inlineStr">
        <is>
          <t>CLRID</t>
        </is>
      </c>
      <c r="D456" t="inlineStr">
        <is>
          <t>VARCHAR(32)</t>
        </is>
      </c>
      <c r="E456" t="inlineStr">
        <is>
          <t>YES</t>
        </is>
      </c>
      <c r="F456" t="inlineStr">
        <is>
          <t>押品编号</t>
        </is>
      </c>
      <c r="H456" t="inlineStr">
        <is>
          <t>VARCHAR</t>
        </is>
      </c>
      <c r="I456" t="inlineStr">
        <is>
          <t>32</t>
        </is>
      </c>
    </row>
    <row r="457">
      <c r="A457" t="inlineStr">
        <is>
          <t>权证出入库记录</t>
        </is>
      </c>
      <c r="B457" t="inlineStr">
        <is>
          <t>CLR_RIGHTCERT_TRANRECORD</t>
        </is>
      </c>
      <c r="C457" t="inlineStr">
        <is>
          <t>REFSERIALNO</t>
        </is>
      </c>
      <c r="D457" t="inlineStr">
        <is>
          <t>VARCHAR(32)</t>
        </is>
      </c>
      <c r="E457" t="inlineStr">
        <is>
          <t>YES</t>
        </is>
      </c>
      <c r="F457" t="inlineStr">
        <is>
          <t>针对临时出库的凭证;其再回库记录的关联流水号为其临时出库流水号</t>
        </is>
      </c>
      <c r="H457" t="inlineStr">
        <is>
          <t>VARCHAR</t>
        </is>
      </c>
      <c r="I457" t="inlineStr">
        <is>
          <t>32</t>
        </is>
      </c>
    </row>
    <row r="458">
      <c r="A458" t="inlineStr">
        <is>
          <t>权证出入库记录</t>
        </is>
      </c>
      <c r="B458" t="inlineStr">
        <is>
          <t>CLR_RIGHTCERT_TRANRECORD</t>
        </is>
      </c>
      <c r="C458" t="inlineStr">
        <is>
          <t>INOUTWHTYPE</t>
        </is>
      </c>
      <c r="D458" t="inlineStr">
        <is>
          <t>VARCHAR(6)</t>
        </is>
      </c>
      <c r="E458" t="inlineStr">
        <is>
          <t>YES</t>
        </is>
      </c>
      <c r="F458" t="inlineStr">
        <is>
          <t>出入库类型</t>
        </is>
      </c>
      <c r="H458" t="inlineStr">
        <is>
          <t>VARCHAR</t>
        </is>
      </c>
      <c r="I458" t="inlineStr">
        <is>
          <t>6</t>
        </is>
      </c>
    </row>
    <row r="459">
      <c r="A459" t="inlineStr">
        <is>
          <t>权证出入库记录</t>
        </is>
      </c>
      <c r="B459" t="inlineStr">
        <is>
          <t>CLR_RIGHTCERT_TRANRECORD</t>
        </is>
      </c>
      <c r="C459" t="inlineStr">
        <is>
          <t>INOUTWHREASON</t>
        </is>
      </c>
      <c r="D459" t="inlineStr">
        <is>
          <t>VARCHAR(200)</t>
        </is>
      </c>
      <c r="E459" t="inlineStr">
        <is>
          <t>YES</t>
        </is>
      </c>
      <c r="F459" t="inlineStr">
        <is>
          <t>出入库原因</t>
        </is>
      </c>
      <c r="H459" t="inlineStr">
        <is>
          <t>VARCHAR</t>
        </is>
      </c>
      <c r="I459" t="inlineStr">
        <is>
          <t>200</t>
        </is>
      </c>
    </row>
    <row r="460">
      <c r="A460" t="inlineStr">
        <is>
          <t>权证出入库记录</t>
        </is>
      </c>
      <c r="B460" t="inlineStr">
        <is>
          <t>CLR_RIGHTCERT_TRANRECORD</t>
        </is>
      </c>
      <c r="C460" t="inlineStr">
        <is>
          <t>PACKAGEID</t>
        </is>
      </c>
      <c r="D460" t="inlineStr">
        <is>
          <t>VARCHAR(32)</t>
        </is>
      </c>
      <c r="E460" t="inlineStr">
        <is>
          <t>YES</t>
        </is>
      </c>
      <c r="F460" t="inlineStr">
        <is>
          <t>封包编号</t>
        </is>
      </c>
      <c r="H460" t="inlineStr">
        <is>
          <t>VARCHAR</t>
        </is>
      </c>
      <c r="I460" t="inlineStr">
        <is>
          <t>32</t>
        </is>
      </c>
    </row>
    <row r="461">
      <c r="A461" t="inlineStr">
        <is>
          <t>权证出入库记录</t>
        </is>
      </c>
      <c r="B461" t="inlineStr">
        <is>
          <t>CLR_RIGHTCERT_TRANRECORD</t>
        </is>
      </c>
      <c r="C461" t="inlineStr">
        <is>
          <t>APPLYORGID</t>
        </is>
      </c>
      <c r="D461" t="inlineStr">
        <is>
          <t>VARCHAR(80)</t>
        </is>
      </c>
      <c r="E461" t="inlineStr">
        <is>
          <t>YES</t>
        </is>
      </c>
      <c r="F461" t="inlineStr">
        <is>
          <t>发起机构</t>
        </is>
      </c>
      <c r="H461" t="inlineStr">
        <is>
          <t>VARCHAR</t>
        </is>
      </c>
      <c r="I461" t="inlineStr">
        <is>
          <t>80</t>
        </is>
      </c>
    </row>
    <row r="462">
      <c r="A462" t="inlineStr">
        <is>
          <t>权证出入库记录</t>
        </is>
      </c>
      <c r="B462" t="inlineStr">
        <is>
          <t>CLR_RIGHTCERT_TRANRECORD</t>
        </is>
      </c>
      <c r="C462" t="inlineStr">
        <is>
          <t>APPLYUSERID</t>
        </is>
      </c>
      <c r="D462" t="inlineStr">
        <is>
          <t>VARCHAR(80)</t>
        </is>
      </c>
      <c r="E462" t="inlineStr">
        <is>
          <t>YES</t>
        </is>
      </c>
      <c r="F462" t="inlineStr">
        <is>
          <t>发起人</t>
        </is>
      </c>
      <c r="H462" t="inlineStr">
        <is>
          <t>VARCHAR</t>
        </is>
      </c>
      <c r="I462" t="inlineStr">
        <is>
          <t>80</t>
        </is>
      </c>
    </row>
    <row r="463">
      <c r="A463" t="inlineStr">
        <is>
          <t>权证出入库记录</t>
        </is>
      </c>
      <c r="B463" t="inlineStr">
        <is>
          <t>CLR_RIGHTCERT_TRANRECORD</t>
        </is>
      </c>
      <c r="C463" t="inlineStr">
        <is>
          <t>APPLYDATE</t>
        </is>
      </c>
      <c r="D463" t="inlineStr">
        <is>
          <t>VARCHAR(18)</t>
        </is>
      </c>
      <c r="E463" t="inlineStr">
        <is>
          <t>YES</t>
        </is>
      </c>
      <c r="F463" t="inlineStr">
        <is>
          <t>发起日期</t>
        </is>
      </c>
      <c r="H463" t="inlineStr">
        <is>
          <t>VARCHAR</t>
        </is>
      </c>
      <c r="I463" t="inlineStr">
        <is>
          <t>18</t>
        </is>
      </c>
    </row>
    <row r="464">
      <c r="A464" t="inlineStr">
        <is>
          <t>权证出入库记录</t>
        </is>
      </c>
      <c r="B464" t="inlineStr">
        <is>
          <t>CLR_RIGHTCERT_TRANRECORD</t>
        </is>
      </c>
      <c r="C464" t="inlineStr">
        <is>
          <t>REMARK</t>
        </is>
      </c>
      <c r="D464" t="inlineStr">
        <is>
          <t>VARCHAR(1000)</t>
        </is>
      </c>
      <c r="E464" t="inlineStr">
        <is>
          <t>YES</t>
        </is>
      </c>
      <c r="F464" t="inlineStr">
        <is>
          <t>备注</t>
        </is>
      </c>
      <c r="H464" t="inlineStr">
        <is>
          <t>VARCHAR</t>
        </is>
      </c>
      <c r="I464" t="inlineStr">
        <is>
          <t>1000</t>
        </is>
      </c>
    </row>
    <row r="465">
      <c r="A465" t="inlineStr">
        <is>
          <t>权证出入库记录</t>
        </is>
      </c>
      <c r="B465" t="inlineStr">
        <is>
          <t>CLR_RIGHTCERT_TRANRECORD</t>
        </is>
      </c>
      <c r="C465" t="inlineStr">
        <is>
          <t>INPUTUSERID</t>
        </is>
      </c>
      <c r="D465" t="inlineStr">
        <is>
          <t>VARCHAR(32)</t>
        </is>
      </c>
      <c r="E465" t="inlineStr">
        <is>
          <t>YES</t>
        </is>
      </c>
      <c r="F465" t="inlineStr">
        <is>
          <t>登记人</t>
        </is>
      </c>
      <c r="H465" t="inlineStr">
        <is>
          <t>VARCHAR</t>
        </is>
      </c>
      <c r="I465" t="inlineStr">
        <is>
          <t>32</t>
        </is>
      </c>
    </row>
    <row r="466">
      <c r="A466" t="inlineStr">
        <is>
          <t>权证出入库记录</t>
        </is>
      </c>
      <c r="B466" t="inlineStr">
        <is>
          <t>CLR_RIGHTCERT_TRANRECORD</t>
        </is>
      </c>
      <c r="C466" t="inlineStr">
        <is>
          <t>INPUTORGID</t>
        </is>
      </c>
      <c r="D466" t="inlineStr">
        <is>
          <t>VARCHAR(32)</t>
        </is>
      </c>
      <c r="E466" t="inlineStr">
        <is>
          <t>YES</t>
        </is>
      </c>
      <c r="F466" t="inlineStr">
        <is>
          <t>登记机构</t>
        </is>
      </c>
      <c r="H466" t="inlineStr">
        <is>
          <t>VARCHAR</t>
        </is>
      </c>
      <c r="I466" t="inlineStr">
        <is>
          <t>32</t>
        </is>
      </c>
    </row>
    <row r="467">
      <c r="A467" t="inlineStr">
        <is>
          <t>权证出入库记录</t>
        </is>
      </c>
      <c r="B467" t="inlineStr">
        <is>
          <t>CLR_RIGHTCERT_TRANRECORD</t>
        </is>
      </c>
      <c r="C467" t="inlineStr">
        <is>
          <t>INPUTDATE</t>
        </is>
      </c>
      <c r="D467" t="inlineStr">
        <is>
          <t>DATETIME</t>
        </is>
      </c>
      <c r="E467" t="inlineStr">
        <is>
          <t>YES</t>
        </is>
      </c>
      <c r="F467" t="inlineStr">
        <is>
          <t>登记日期</t>
        </is>
      </c>
      <c r="H467" t="inlineStr">
        <is>
          <t>DATETIME</t>
        </is>
      </c>
    </row>
    <row r="468">
      <c r="A468" t="inlineStr">
        <is>
          <t>权证出入库记录</t>
        </is>
      </c>
      <c r="B468" t="inlineStr">
        <is>
          <t>CLR_RIGHTCERT_TRANRECORD</t>
        </is>
      </c>
      <c r="C468" t="inlineStr">
        <is>
          <t>UPDATEUSERID</t>
        </is>
      </c>
      <c r="D468" t="inlineStr">
        <is>
          <t>VARCHAR(32)</t>
        </is>
      </c>
      <c r="E468" t="inlineStr">
        <is>
          <t>YES</t>
        </is>
      </c>
      <c r="F468" t="inlineStr">
        <is>
          <t>更新人</t>
        </is>
      </c>
      <c r="H468" t="inlineStr">
        <is>
          <t>VARCHAR</t>
        </is>
      </c>
      <c r="I468" t="inlineStr">
        <is>
          <t>32</t>
        </is>
      </c>
    </row>
    <row r="469">
      <c r="A469" t="inlineStr">
        <is>
          <t>权证出入库记录</t>
        </is>
      </c>
      <c r="B469" t="inlineStr">
        <is>
          <t>CLR_RIGHTCERT_TRANRECORD</t>
        </is>
      </c>
      <c r="C469" t="inlineStr">
        <is>
          <t>UPDATEORGID</t>
        </is>
      </c>
      <c r="D469" t="inlineStr">
        <is>
          <t>VARCHAR(32)</t>
        </is>
      </c>
      <c r="E469" t="inlineStr">
        <is>
          <t>YES</t>
        </is>
      </c>
      <c r="F469" t="inlineStr">
        <is>
          <t>更新机构</t>
        </is>
      </c>
      <c r="H469" t="inlineStr">
        <is>
          <t>VARCHAR</t>
        </is>
      </c>
      <c r="I469" t="inlineStr">
        <is>
          <t>32</t>
        </is>
      </c>
    </row>
    <row r="470">
      <c r="A470" t="inlineStr">
        <is>
          <t>权证出入库记录</t>
        </is>
      </c>
      <c r="B470" t="inlineStr">
        <is>
          <t>CLR_RIGHTCERT_TRANRECORD</t>
        </is>
      </c>
      <c r="C470" t="inlineStr">
        <is>
          <t>UPDATEDATE</t>
        </is>
      </c>
      <c r="D470" t="inlineStr">
        <is>
          <t>DATETIME</t>
        </is>
      </c>
      <c r="E470" t="inlineStr">
        <is>
          <t>YES</t>
        </is>
      </c>
      <c r="F470" t="inlineStr">
        <is>
          <t>更新日期</t>
        </is>
      </c>
      <c r="H470" t="inlineStr">
        <is>
          <t>DATETIME</t>
        </is>
      </c>
    </row>
    <row r="471">
      <c r="A471" t="inlineStr">
        <is>
          <t>权证出入库记录</t>
        </is>
      </c>
      <c r="B471" t="inlineStr">
        <is>
          <t>CLR_RIGHTCERT_TRANRECORD</t>
        </is>
      </c>
      <c r="C471" t="inlineStr">
        <is>
          <t>CORPORGID</t>
        </is>
      </c>
      <c r="D471" t="inlineStr">
        <is>
          <t>VARCHAR(32)</t>
        </is>
      </c>
      <c r="E471" t="inlineStr">
        <is>
          <t>YES</t>
        </is>
      </c>
      <c r="F471" t="inlineStr">
        <is>
          <t>法人机构编号</t>
        </is>
      </c>
      <c r="H471" t="inlineStr">
        <is>
          <t>VARCHAR</t>
        </is>
      </c>
      <c r="I471" t="inlineStr">
        <is>
          <t>32</t>
        </is>
      </c>
    </row>
    <row r="472">
      <c r="A472" t="inlineStr">
        <is>
          <t>权证出入库申请</t>
        </is>
      </c>
      <c r="B472" t="inlineStr">
        <is>
          <t>CLR_RIGHTCERT_TRAPPL</t>
        </is>
      </c>
      <c r="C472" t="inlineStr">
        <is>
          <t>SERIALNO</t>
        </is>
      </c>
      <c r="D472" t="inlineStr">
        <is>
          <t>VARCHAR(32)</t>
        </is>
      </c>
      <c r="E472" t="inlineStr">
        <is>
          <t>NO</t>
        </is>
      </c>
      <c r="F472" t="inlineStr">
        <is>
          <t>流水号</t>
        </is>
      </c>
      <c r="H472" t="inlineStr">
        <is>
          <t>VARCHAR</t>
        </is>
      </c>
      <c r="I472" t="inlineStr">
        <is>
          <t>32</t>
        </is>
      </c>
    </row>
    <row r="473">
      <c r="A473" t="inlineStr">
        <is>
          <t>权证出入库申请</t>
        </is>
      </c>
      <c r="B473" t="inlineStr">
        <is>
          <t>CLR_RIGHTCERT_TRAPPL</t>
        </is>
      </c>
      <c r="C473" t="inlineStr">
        <is>
          <t>REFSERIALNO</t>
        </is>
      </c>
      <c r="D473" t="inlineStr">
        <is>
          <t>VARCHAR(32)</t>
        </is>
      </c>
      <c r="E473" t="inlineStr">
        <is>
          <t>YES</t>
        </is>
      </c>
      <c r="F473" t="inlineStr">
        <is>
          <t>关联申请组流水号;本系统）</t>
        </is>
      </c>
      <c r="H473" t="inlineStr">
        <is>
          <t>VARCHAR</t>
        </is>
      </c>
      <c r="I473" t="inlineStr">
        <is>
          <t>32</t>
        </is>
      </c>
    </row>
    <row r="474">
      <c r="A474" t="inlineStr">
        <is>
          <t>权证出入库申请</t>
        </is>
      </c>
      <c r="B474" t="inlineStr">
        <is>
          <t>CLR_RIGHTCERT_TRAPPL</t>
        </is>
      </c>
      <c r="C474" t="inlineStr">
        <is>
          <t>INOUTWHTYPE</t>
        </is>
      </c>
      <c r="D474" t="inlineStr">
        <is>
          <t>VARCHAR(6)</t>
        </is>
      </c>
      <c r="E474" t="inlineStr">
        <is>
          <t>YES</t>
        </is>
      </c>
      <c r="F474" t="inlineStr">
        <is>
          <t>出入库申请类型</t>
        </is>
      </c>
      <c r="H474" t="inlineStr">
        <is>
          <t>VARCHAR</t>
        </is>
      </c>
      <c r="I474" t="inlineStr">
        <is>
          <t>6</t>
        </is>
      </c>
    </row>
    <row r="475">
      <c r="A475" t="inlineStr">
        <is>
          <t>权证出入库申请</t>
        </is>
      </c>
      <c r="B475" t="inlineStr">
        <is>
          <t>CLR_RIGHTCERT_TRAPPL</t>
        </is>
      </c>
      <c r="C475" t="inlineStr">
        <is>
          <t>RIGHTCERTID</t>
        </is>
      </c>
      <c r="D475" t="inlineStr">
        <is>
          <t>VARCHAR(32)</t>
        </is>
      </c>
      <c r="E475" t="inlineStr">
        <is>
          <t>YES</t>
        </is>
      </c>
      <c r="F475" t="inlineStr">
        <is>
          <t>权证编号</t>
        </is>
      </c>
      <c r="H475" t="inlineStr">
        <is>
          <t>VARCHAR</t>
        </is>
      </c>
      <c r="I475" t="inlineStr">
        <is>
          <t>32</t>
        </is>
      </c>
    </row>
    <row r="476">
      <c r="A476" t="inlineStr">
        <is>
          <t>权证出入库申请</t>
        </is>
      </c>
      <c r="B476" t="inlineStr">
        <is>
          <t>CLR_RIGHTCERT_TRAPPL</t>
        </is>
      </c>
      <c r="C476" t="inlineStr">
        <is>
          <t>PACKAGEID</t>
        </is>
      </c>
      <c r="D476" t="inlineStr">
        <is>
          <t>VARCHAR(32)</t>
        </is>
      </c>
      <c r="E476" t="inlineStr">
        <is>
          <t>YES</t>
        </is>
      </c>
      <c r="F476" t="inlineStr">
        <is>
          <t>封包编号</t>
        </is>
      </c>
      <c r="H476" t="inlineStr">
        <is>
          <t>VARCHAR</t>
        </is>
      </c>
      <c r="I476" t="inlineStr">
        <is>
          <t>32</t>
        </is>
      </c>
    </row>
    <row r="477">
      <c r="A477" t="inlineStr">
        <is>
          <t>权证出入库申请</t>
        </is>
      </c>
      <c r="B477" t="inlineStr">
        <is>
          <t>CLR_RIGHTCERT_TRAPPL</t>
        </is>
      </c>
      <c r="C477" t="inlineStr">
        <is>
          <t>PACKAGESTATUS</t>
        </is>
      </c>
      <c r="D477" t="inlineStr">
        <is>
          <t>VARCHAR(6)</t>
        </is>
      </c>
      <c r="E477" t="inlineStr">
        <is>
          <t>YES</t>
        </is>
      </c>
      <c r="F477" t="inlineStr">
        <is>
          <t>封包状态</t>
        </is>
      </c>
      <c r="H477" t="inlineStr">
        <is>
          <t>VARCHAR</t>
        </is>
      </c>
      <c r="I477" t="inlineStr">
        <is>
          <t>6</t>
        </is>
      </c>
    </row>
    <row r="478">
      <c r="A478" t="inlineStr">
        <is>
          <t>权证出入库申请</t>
        </is>
      </c>
      <c r="B478" t="inlineStr">
        <is>
          <t>CLR_RIGHTCERT_TRAPPL</t>
        </is>
      </c>
      <c r="C478" t="inlineStr">
        <is>
          <t>OLDPACKAGEID</t>
        </is>
      </c>
      <c r="D478" t="inlineStr">
        <is>
          <t>VARCHAR(32)</t>
        </is>
      </c>
      <c r="E478" t="inlineStr">
        <is>
          <t>YES</t>
        </is>
      </c>
      <c r="F478" t="inlineStr">
        <is>
          <t>原封包编号</t>
        </is>
      </c>
      <c r="H478" t="inlineStr">
        <is>
          <t>VARCHAR</t>
        </is>
      </c>
      <c r="I478" t="inlineStr">
        <is>
          <t>32</t>
        </is>
      </c>
    </row>
    <row r="479">
      <c r="A479" t="inlineStr">
        <is>
          <t>权证出入库申请</t>
        </is>
      </c>
      <c r="B479" t="inlineStr">
        <is>
          <t>CLR_RIGHTCERT_TRAPPL</t>
        </is>
      </c>
      <c r="C479" t="inlineStr">
        <is>
          <t>ISNEEDREINWH</t>
        </is>
      </c>
      <c r="D479" t="inlineStr">
        <is>
          <t>CHAR(1)</t>
        </is>
      </c>
      <c r="E479" t="inlineStr">
        <is>
          <t>YES</t>
        </is>
      </c>
      <c r="F479" t="inlineStr">
        <is>
          <t>是否需要再回库</t>
        </is>
      </c>
      <c r="H479" t="inlineStr">
        <is>
          <t>CHAR</t>
        </is>
      </c>
      <c r="I479" t="inlineStr">
        <is>
          <t>1</t>
        </is>
      </c>
    </row>
    <row r="480">
      <c r="A480" t="inlineStr">
        <is>
          <t>权证出入库申请</t>
        </is>
      </c>
      <c r="B480" t="inlineStr">
        <is>
          <t>CLR_RIGHTCERT_TRAPPL</t>
        </is>
      </c>
      <c r="C480" t="inlineStr">
        <is>
          <t>EXPECTRETURNDATE</t>
        </is>
      </c>
      <c r="D480" t="inlineStr">
        <is>
          <t>VARCHAR(18)</t>
        </is>
      </c>
      <c r="E480" t="inlineStr">
        <is>
          <t>YES</t>
        </is>
      </c>
      <c r="F480" t="inlineStr">
        <is>
          <t>预计归还日期</t>
        </is>
      </c>
      <c r="H480" t="inlineStr">
        <is>
          <t>VARCHAR</t>
        </is>
      </c>
      <c r="I480" t="inlineStr">
        <is>
          <t>18</t>
        </is>
      </c>
    </row>
    <row r="481">
      <c r="A481" t="inlineStr">
        <is>
          <t>权证出入库申请</t>
        </is>
      </c>
      <c r="B481" t="inlineStr">
        <is>
          <t>CLR_RIGHTCERT_TRAPPL</t>
        </is>
      </c>
      <c r="C481" t="inlineStr">
        <is>
          <t>REMARK</t>
        </is>
      </c>
      <c r="D481" t="inlineStr">
        <is>
          <t>VARCHAR(1000)</t>
        </is>
      </c>
      <c r="E481" t="inlineStr">
        <is>
          <t>YES</t>
        </is>
      </c>
      <c r="F481" t="inlineStr">
        <is>
          <t>备注</t>
        </is>
      </c>
      <c r="H481" t="inlineStr">
        <is>
          <t>VARCHAR</t>
        </is>
      </c>
      <c r="I481" t="inlineStr">
        <is>
          <t>1000</t>
        </is>
      </c>
    </row>
    <row r="482">
      <c r="A482" t="inlineStr">
        <is>
          <t>权证出入库申请</t>
        </is>
      </c>
      <c r="B482" t="inlineStr">
        <is>
          <t>CLR_RIGHTCERT_TRAPPL</t>
        </is>
      </c>
      <c r="C482" t="inlineStr">
        <is>
          <t>INPUTUSERID</t>
        </is>
      </c>
      <c r="D482" t="inlineStr">
        <is>
          <t>VARCHAR(32)</t>
        </is>
      </c>
      <c r="E482" t="inlineStr">
        <is>
          <t>YES</t>
        </is>
      </c>
      <c r="F482" t="inlineStr">
        <is>
          <t>登记人</t>
        </is>
      </c>
      <c r="H482" t="inlineStr">
        <is>
          <t>VARCHAR</t>
        </is>
      </c>
      <c r="I482" t="inlineStr">
        <is>
          <t>32</t>
        </is>
      </c>
    </row>
    <row r="483">
      <c r="A483" t="inlineStr">
        <is>
          <t>权证出入库申请</t>
        </is>
      </c>
      <c r="B483" t="inlineStr">
        <is>
          <t>CLR_RIGHTCERT_TRAPPL</t>
        </is>
      </c>
      <c r="C483" t="inlineStr">
        <is>
          <t>INPUTORGID</t>
        </is>
      </c>
      <c r="D483" t="inlineStr">
        <is>
          <t>VARCHAR(32)</t>
        </is>
      </c>
      <c r="E483" t="inlineStr">
        <is>
          <t>YES</t>
        </is>
      </c>
      <c r="F483" t="inlineStr">
        <is>
          <t>登记机构</t>
        </is>
      </c>
      <c r="H483" t="inlineStr">
        <is>
          <t>VARCHAR</t>
        </is>
      </c>
      <c r="I483" t="inlineStr">
        <is>
          <t>32</t>
        </is>
      </c>
    </row>
    <row r="484">
      <c r="A484" t="inlineStr">
        <is>
          <t>权证出入库申请</t>
        </is>
      </c>
      <c r="B484" t="inlineStr">
        <is>
          <t>CLR_RIGHTCERT_TRAPPL</t>
        </is>
      </c>
      <c r="C484" t="inlineStr">
        <is>
          <t>INPUTDATE</t>
        </is>
      </c>
      <c r="D484" t="inlineStr">
        <is>
          <t>DATETIME</t>
        </is>
      </c>
      <c r="E484" t="inlineStr">
        <is>
          <t>YES</t>
        </is>
      </c>
      <c r="F484" t="inlineStr">
        <is>
          <t>登记日期</t>
        </is>
      </c>
      <c r="H484" t="inlineStr">
        <is>
          <t>DATETIME</t>
        </is>
      </c>
    </row>
    <row r="485">
      <c r="A485" t="inlineStr">
        <is>
          <t>权证出入库申请</t>
        </is>
      </c>
      <c r="B485" t="inlineStr">
        <is>
          <t>CLR_RIGHTCERT_TRAPPL</t>
        </is>
      </c>
      <c r="C485" t="inlineStr">
        <is>
          <t>UPDATEUSERID</t>
        </is>
      </c>
      <c r="D485" t="inlineStr">
        <is>
          <t>VARCHAR(32)</t>
        </is>
      </c>
      <c r="E485" t="inlineStr">
        <is>
          <t>YES</t>
        </is>
      </c>
      <c r="F485" t="inlineStr">
        <is>
          <t>更新人</t>
        </is>
      </c>
      <c r="H485" t="inlineStr">
        <is>
          <t>VARCHAR</t>
        </is>
      </c>
      <c r="I485" t="inlineStr">
        <is>
          <t>32</t>
        </is>
      </c>
    </row>
    <row r="486">
      <c r="A486" t="inlineStr">
        <is>
          <t>权证出入库申请</t>
        </is>
      </c>
      <c r="B486" t="inlineStr">
        <is>
          <t>CLR_RIGHTCERT_TRAPPL</t>
        </is>
      </c>
      <c r="C486" t="inlineStr">
        <is>
          <t>UPDATEORGID</t>
        </is>
      </c>
      <c r="D486" t="inlineStr">
        <is>
          <t>VARCHAR(32)</t>
        </is>
      </c>
      <c r="E486" t="inlineStr">
        <is>
          <t>YES</t>
        </is>
      </c>
      <c r="F486" t="inlineStr">
        <is>
          <t>更新机构</t>
        </is>
      </c>
      <c r="H486" t="inlineStr">
        <is>
          <t>VARCHAR</t>
        </is>
      </c>
      <c r="I486" t="inlineStr">
        <is>
          <t>32</t>
        </is>
      </c>
    </row>
    <row r="487">
      <c r="A487" t="inlineStr">
        <is>
          <t>权证出入库申请</t>
        </is>
      </c>
      <c r="B487" t="inlineStr">
        <is>
          <t>CLR_RIGHTCERT_TRAPPL</t>
        </is>
      </c>
      <c r="C487" t="inlineStr">
        <is>
          <t>UPDATEDATE</t>
        </is>
      </c>
      <c r="D487" t="inlineStr">
        <is>
          <t>DATETIME</t>
        </is>
      </c>
      <c r="E487" t="inlineStr">
        <is>
          <t>YES</t>
        </is>
      </c>
      <c r="F487" t="inlineStr">
        <is>
          <t>更新日期</t>
        </is>
      </c>
      <c r="H487" t="inlineStr">
        <is>
          <t>DATETIME</t>
        </is>
      </c>
    </row>
    <row r="488">
      <c r="A488" t="inlineStr">
        <is>
          <t>权证出入库申请</t>
        </is>
      </c>
      <c r="B488" t="inlineStr">
        <is>
          <t>CLR_RIGHTCERT_TRAPPL</t>
        </is>
      </c>
      <c r="C488" t="inlineStr">
        <is>
          <t>CORPORGID</t>
        </is>
      </c>
      <c r="D488" t="inlineStr">
        <is>
          <t>VARCHAR(32)</t>
        </is>
      </c>
      <c r="E488" t="inlineStr">
        <is>
          <t>YES</t>
        </is>
      </c>
      <c r="F488" t="inlineStr">
        <is>
          <t>法人机构编号</t>
        </is>
      </c>
      <c r="H488" t="inlineStr">
        <is>
          <t>VARCHAR</t>
        </is>
      </c>
      <c r="I488" t="inlineStr">
        <is>
          <t>32</t>
        </is>
      </c>
    </row>
    <row r="489">
      <c r="A489" t="inlineStr">
        <is>
          <t>权证出入库申请</t>
        </is>
      </c>
      <c r="B489" t="inlineStr">
        <is>
          <t>CLR_RIGHTCERT_TRAPPL</t>
        </is>
      </c>
      <c r="C489" t="inlineStr">
        <is>
          <t>CONTRACTNO</t>
        </is>
      </c>
      <c r="D489" t="inlineStr">
        <is>
          <t>VARCHAR(32)</t>
        </is>
      </c>
      <c r="E489" t="inlineStr">
        <is>
          <t>YES</t>
        </is>
      </c>
      <c r="F489" t="inlineStr">
        <is>
          <t>合同流水号</t>
        </is>
      </c>
      <c r="H489" t="inlineStr">
        <is>
          <t>VARCHAR</t>
        </is>
      </c>
      <c r="I489" t="inlineStr">
        <is>
          <t>32</t>
        </is>
      </c>
    </row>
    <row r="490">
      <c r="A490" t="inlineStr">
        <is>
          <t>权证出入库申请</t>
        </is>
      </c>
      <c r="B490" t="inlineStr">
        <is>
          <t>CLR_RIGHTCERT_TRAPPL</t>
        </is>
      </c>
      <c r="C490" t="inlineStr">
        <is>
          <t>CUSTOMERNO</t>
        </is>
      </c>
      <c r="D490" t="inlineStr">
        <is>
          <t>VARCHAR(32)</t>
        </is>
      </c>
      <c r="E490" t="inlineStr">
        <is>
          <t>YES</t>
        </is>
      </c>
      <c r="F490" t="inlineStr">
        <is>
          <t>客户编号</t>
        </is>
      </c>
      <c r="H490" t="inlineStr">
        <is>
          <t>VARCHAR</t>
        </is>
      </c>
      <c r="I490" t="inlineStr">
        <is>
          <t>32</t>
        </is>
      </c>
    </row>
    <row r="491">
      <c r="A491" t="inlineStr">
        <is>
          <t>权证出入库申请</t>
        </is>
      </c>
      <c r="B491" t="inlineStr">
        <is>
          <t>CLR_RIGHTCERT_TRAPPL</t>
        </is>
      </c>
      <c r="C491" t="inlineStr">
        <is>
          <t>CUSTOMERNAME</t>
        </is>
      </c>
      <c r="D491" t="inlineStr">
        <is>
          <t>VARCHAR(32)</t>
        </is>
      </c>
      <c r="E491" t="inlineStr">
        <is>
          <t>YES</t>
        </is>
      </c>
      <c r="F491" t="inlineStr">
        <is>
          <t>客户名称</t>
        </is>
      </c>
      <c r="H491" t="inlineStr">
        <is>
          <t>VARCHAR</t>
        </is>
      </c>
      <c r="I491" t="inlineStr">
        <is>
          <t>32</t>
        </is>
      </c>
    </row>
    <row r="492">
      <c r="A492" t="inlineStr">
        <is>
          <t>权证出入库申请</t>
        </is>
      </c>
      <c r="B492" t="inlineStr">
        <is>
          <t>CLR_RIGHTCERT_TRAPPL</t>
        </is>
      </c>
      <c r="C492" t="inlineStr">
        <is>
          <t>REASON</t>
        </is>
      </c>
      <c r="D492" t="inlineStr">
        <is>
          <t>VARCHAR(6)</t>
        </is>
      </c>
      <c r="E492" t="inlineStr">
        <is>
          <t>YES</t>
        </is>
      </c>
      <c r="F492" t="inlineStr">
        <is>
          <t>申请原因</t>
        </is>
      </c>
      <c r="H492" t="inlineStr">
        <is>
          <t>VARCHAR</t>
        </is>
      </c>
      <c r="I492" t="inlineStr">
        <is>
          <t>6</t>
        </is>
      </c>
    </row>
    <row r="493">
      <c r="A493" t="inlineStr">
        <is>
          <t>压力测试业务详情</t>
        </is>
      </c>
      <c r="B493" t="inlineStr">
        <is>
          <t>CLR_STRESS_BU_DETAIL</t>
        </is>
      </c>
      <c r="C493" t="inlineStr">
        <is>
          <t>SERIALNO</t>
        </is>
      </c>
      <c r="D493" t="inlineStr">
        <is>
          <t>VARCHAR(32)</t>
        </is>
      </c>
      <c r="E493" t="inlineStr">
        <is>
          <t>NO</t>
        </is>
      </c>
      <c r="F493" t="inlineStr">
        <is>
          <t>流水号</t>
        </is>
      </c>
      <c r="H493" t="inlineStr">
        <is>
          <t>VARCHAR</t>
        </is>
      </c>
      <c r="I493" t="inlineStr">
        <is>
          <t>32</t>
        </is>
      </c>
    </row>
    <row r="494">
      <c r="A494" t="inlineStr">
        <is>
          <t>压力测试业务详情</t>
        </is>
      </c>
      <c r="B494" t="inlineStr">
        <is>
          <t>CLR_STRESS_BU_DETAIL</t>
        </is>
      </c>
      <c r="C494" t="inlineStr">
        <is>
          <t>RECORDSERIALNO</t>
        </is>
      </c>
      <c r="D494" t="inlineStr">
        <is>
          <t>VARCHAR(32)</t>
        </is>
      </c>
      <c r="E494" t="inlineStr">
        <is>
          <t>YES</t>
        </is>
      </c>
      <c r="F494" t="inlineStr">
        <is>
          <t>压力测试记录流水号</t>
        </is>
      </c>
      <c r="H494" t="inlineStr">
        <is>
          <t>VARCHAR</t>
        </is>
      </c>
      <c r="I494" t="inlineStr">
        <is>
          <t>32</t>
        </is>
      </c>
    </row>
    <row r="495">
      <c r="A495" t="inlineStr">
        <is>
          <t>压力测试业务详情</t>
        </is>
      </c>
      <c r="B495" t="inlineStr">
        <is>
          <t>CLR_STRESS_BU_DETAIL</t>
        </is>
      </c>
      <c r="C495" t="inlineStr">
        <is>
          <t>CUSTOMERID</t>
        </is>
      </c>
      <c r="D495" t="inlineStr">
        <is>
          <t>VARCHAR(32)</t>
        </is>
      </c>
      <c r="E495" t="inlineStr">
        <is>
          <t>YES</t>
        </is>
      </c>
      <c r="F495" t="inlineStr">
        <is>
          <t>业务客户编号</t>
        </is>
      </c>
      <c r="H495" t="inlineStr">
        <is>
          <t>VARCHAR</t>
        </is>
      </c>
      <c r="I495" t="inlineStr">
        <is>
          <t>32</t>
        </is>
      </c>
    </row>
    <row r="496">
      <c r="A496" t="inlineStr">
        <is>
          <t>压力测试业务详情</t>
        </is>
      </c>
      <c r="B496" t="inlineStr">
        <is>
          <t>CLR_STRESS_BU_DETAIL</t>
        </is>
      </c>
      <c r="C496" t="inlineStr">
        <is>
          <t>CUSTOMERNAME</t>
        </is>
      </c>
      <c r="D496" t="inlineStr">
        <is>
          <t>VARCHAR(80)</t>
        </is>
      </c>
      <c r="E496" t="inlineStr">
        <is>
          <t>YES</t>
        </is>
      </c>
      <c r="F496" t="inlineStr">
        <is>
          <t>业务客户名称</t>
        </is>
      </c>
      <c r="H496" t="inlineStr">
        <is>
          <t>VARCHAR</t>
        </is>
      </c>
      <c r="I496" t="inlineStr">
        <is>
          <t>80</t>
        </is>
      </c>
    </row>
    <row r="497">
      <c r="A497" t="inlineStr">
        <is>
          <t>压力测试业务详情</t>
        </is>
      </c>
      <c r="B497" t="inlineStr">
        <is>
          <t>CLR_STRESS_BU_DETAIL</t>
        </is>
      </c>
      <c r="C497" t="inlineStr">
        <is>
          <t>BUSINESSNO</t>
        </is>
      </c>
      <c r="D497" t="inlineStr">
        <is>
          <t>VARCHAR(32)</t>
        </is>
      </c>
      <c r="E497" t="inlineStr">
        <is>
          <t>YES</t>
        </is>
      </c>
      <c r="F497" t="inlineStr">
        <is>
          <t>业务编号</t>
        </is>
      </c>
      <c r="H497" t="inlineStr">
        <is>
          <t>VARCHAR</t>
        </is>
      </c>
      <c r="I497" t="inlineStr">
        <is>
          <t>32</t>
        </is>
      </c>
    </row>
    <row r="498">
      <c r="A498" t="inlineStr">
        <is>
          <t>压力测试业务详情</t>
        </is>
      </c>
      <c r="B498" t="inlineStr">
        <is>
          <t>CLR_STRESS_BU_DETAIL</t>
        </is>
      </c>
      <c r="C498" t="inlineStr">
        <is>
          <t>PRODUCTID</t>
        </is>
      </c>
      <c r="D498" t="inlineStr">
        <is>
          <t>VARCHAR(32)</t>
        </is>
      </c>
      <c r="E498" t="inlineStr">
        <is>
          <t>YES</t>
        </is>
      </c>
      <c r="F498" t="inlineStr">
        <is>
          <t>业务品种</t>
        </is>
      </c>
      <c r="H498" t="inlineStr">
        <is>
          <t>VARCHAR</t>
        </is>
      </c>
      <c r="I498" t="inlineStr">
        <is>
          <t>32</t>
        </is>
      </c>
    </row>
    <row r="499">
      <c r="A499" t="inlineStr">
        <is>
          <t>压力测试业务详情</t>
        </is>
      </c>
      <c r="B499" t="inlineStr">
        <is>
          <t>CLR_STRESS_BU_DETAIL</t>
        </is>
      </c>
      <c r="C499" t="inlineStr">
        <is>
          <t>PRODUCTNAME</t>
        </is>
      </c>
      <c r="D499" t="inlineStr">
        <is>
          <t>VARCHAR(32)</t>
        </is>
      </c>
      <c r="E499" t="inlineStr">
        <is>
          <t>YES</t>
        </is>
      </c>
      <c r="F499" t="inlineStr">
        <is>
          <t>业务名称</t>
        </is>
      </c>
      <c r="H499" t="inlineStr">
        <is>
          <t>VARCHAR</t>
        </is>
      </c>
      <c r="I499" t="inlineStr">
        <is>
          <t>32</t>
        </is>
      </c>
    </row>
    <row r="500">
      <c r="A500" t="inlineStr">
        <is>
          <t>压力测试业务详情</t>
        </is>
      </c>
      <c r="B500" t="inlineStr">
        <is>
          <t>CLR_STRESS_BU_DETAIL</t>
        </is>
      </c>
      <c r="C500" t="inlineStr">
        <is>
          <t>OPERATEORGID</t>
        </is>
      </c>
      <c r="D500" t="inlineStr">
        <is>
          <t>VARCHAR(32)</t>
        </is>
      </c>
      <c r="E500" t="inlineStr">
        <is>
          <t>YES</t>
        </is>
      </c>
      <c r="F500" t="inlineStr">
        <is>
          <t>经办机构</t>
        </is>
      </c>
      <c r="H500" t="inlineStr">
        <is>
          <t>VARCHAR</t>
        </is>
      </c>
      <c r="I500" t="inlineStr">
        <is>
          <t>32</t>
        </is>
      </c>
    </row>
    <row r="501">
      <c r="A501" t="inlineStr">
        <is>
          <t>压力测试业务详情</t>
        </is>
      </c>
      <c r="B501" t="inlineStr">
        <is>
          <t>CLR_STRESS_BU_DETAIL</t>
        </is>
      </c>
      <c r="C501" t="inlineStr">
        <is>
          <t>NATIONALINDUSTRYTARGET</t>
        </is>
      </c>
      <c r="D501" t="inlineStr">
        <is>
          <t>VARCHAR(32)</t>
        </is>
      </c>
      <c r="E501" t="inlineStr">
        <is>
          <t>YES</t>
        </is>
      </c>
      <c r="F501" t="inlineStr">
        <is>
          <t>贷款投向</t>
        </is>
      </c>
      <c r="H501" t="inlineStr">
        <is>
          <t>VARCHAR</t>
        </is>
      </c>
      <c r="I501" t="inlineStr">
        <is>
          <t>32</t>
        </is>
      </c>
    </row>
    <row r="502">
      <c r="A502" t="inlineStr">
        <is>
          <t>压力测试业务详情</t>
        </is>
      </c>
      <c r="B502" t="inlineStr">
        <is>
          <t>CLR_STRESS_BU_DETAIL</t>
        </is>
      </c>
      <c r="C502" t="inlineStr">
        <is>
          <t>BALANCE</t>
        </is>
      </c>
      <c r="D502" t="inlineStr">
        <is>
          <t>DECIMAL(24,6)</t>
        </is>
      </c>
      <c r="E502" t="inlineStr">
        <is>
          <t>YES</t>
        </is>
      </c>
      <c r="F502" t="inlineStr">
        <is>
          <t>业务余额</t>
        </is>
      </c>
      <c r="H502" t="inlineStr">
        <is>
          <t>DECIMAL</t>
        </is>
      </c>
      <c r="I502" t="inlineStr">
        <is>
          <t>24,6</t>
        </is>
      </c>
    </row>
    <row r="503">
      <c r="A503" t="inlineStr">
        <is>
          <t>压力测试业务详情</t>
        </is>
      </c>
      <c r="B503" t="inlineStr">
        <is>
          <t>CLR_STRESS_BU_DETAIL</t>
        </is>
      </c>
      <c r="C503" t="inlineStr">
        <is>
          <t>SUFFIVALUERATIO</t>
        </is>
      </c>
      <c r="D503" t="inlineStr">
        <is>
          <t>DECIMAL(24,6)</t>
        </is>
      </c>
      <c r="E503" t="inlineStr">
        <is>
          <t>YES</t>
        </is>
      </c>
      <c r="F503" t="inlineStr">
        <is>
          <t>足值率</t>
        </is>
      </c>
      <c r="H503" t="inlineStr">
        <is>
          <t>DECIMAL</t>
        </is>
      </c>
      <c r="I503" t="inlineStr">
        <is>
          <t>24,6</t>
        </is>
      </c>
    </row>
    <row r="504">
      <c r="A504" t="inlineStr">
        <is>
          <t>压力测试业务详情</t>
        </is>
      </c>
      <c r="B504" t="inlineStr">
        <is>
          <t>CLR_STRESS_BU_DETAIL</t>
        </is>
      </c>
      <c r="C504" t="inlineStr">
        <is>
          <t>MILDAFTERSUFFIVALUERATIO</t>
        </is>
      </c>
      <c r="D504" t="inlineStr">
        <is>
          <t>DECIMAL(18,8)</t>
        </is>
      </c>
      <c r="E504" t="inlineStr">
        <is>
          <t>YES</t>
        </is>
      </c>
      <c r="F504" t="inlineStr">
        <is>
          <t>轻度压后足值率</t>
        </is>
      </c>
      <c r="H504" t="inlineStr">
        <is>
          <t>DECIMAL</t>
        </is>
      </c>
      <c r="I504" t="inlineStr">
        <is>
          <t>18,8</t>
        </is>
      </c>
    </row>
    <row r="505">
      <c r="A505" t="inlineStr">
        <is>
          <t>压力测试业务详情</t>
        </is>
      </c>
      <c r="B505" t="inlineStr">
        <is>
          <t>CLR_STRESS_BU_DETAIL</t>
        </is>
      </c>
      <c r="C505" t="inlineStr">
        <is>
          <t>MODERATEAFTERSUFFIVALUERATIO</t>
        </is>
      </c>
      <c r="D505" t="inlineStr">
        <is>
          <t>DECIMAL(18,8)</t>
        </is>
      </c>
      <c r="E505" t="inlineStr">
        <is>
          <t>YES</t>
        </is>
      </c>
      <c r="F505" t="inlineStr">
        <is>
          <t>中度压后足值率</t>
        </is>
      </c>
      <c r="H505" t="inlineStr">
        <is>
          <t>DECIMAL</t>
        </is>
      </c>
      <c r="I505" t="inlineStr">
        <is>
          <t>18,8</t>
        </is>
      </c>
    </row>
    <row r="506">
      <c r="A506" t="inlineStr">
        <is>
          <t>压力测试业务详情</t>
        </is>
      </c>
      <c r="B506" t="inlineStr">
        <is>
          <t>CLR_STRESS_BU_DETAIL</t>
        </is>
      </c>
      <c r="C506" t="inlineStr">
        <is>
          <t>SEVEREAFTERSUFFIVALUERATIO</t>
        </is>
      </c>
      <c r="D506" t="inlineStr">
        <is>
          <t>DECIMAL(18,8)</t>
        </is>
      </c>
      <c r="E506" t="inlineStr">
        <is>
          <t>YES</t>
        </is>
      </c>
      <c r="F506" t="inlineStr">
        <is>
          <t>重度压后足值率</t>
        </is>
      </c>
      <c r="H506" t="inlineStr">
        <is>
          <t>DECIMAL</t>
        </is>
      </c>
      <c r="I506" t="inlineStr">
        <is>
          <t>18,8</t>
        </is>
      </c>
    </row>
    <row r="507">
      <c r="A507" t="inlineStr">
        <is>
          <t>压力测试业务详情</t>
        </is>
      </c>
      <c r="B507" t="inlineStr">
        <is>
          <t>CLR_STRESS_BU_DETAIL</t>
        </is>
      </c>
      <c r="C507" t="inlineStr">
        <is>
          <t>ISENOUGH</t>
        </is>
      </c>
      <c r="D507" t="inlineStr">
        <is>
          <t>VARCHAR(6)</t>
        </is>
      </c>
      <c r="E507" t="inlineStr">
        <is>
          <t>YES</t>
        </is>
      </c>
      <c r="F507" t="inlineStr">
        <is>
          <t>是否足值</t>
        </is>
      </c>
      <c r="H507" t="inlineStr">
        <is>
          <t>VARCHAR</t>
        </is>
      </c>
      <c r="I507" t="inlineStr">
        <is>
          <t>6</t>
        </is>
      </c>
    </row>
    <row r="508">
      <c r="A508" t="inlineStr">
        <is>
          <t>压力测试业务详情</t>
        </is>
      </c>
      <c r="B508" t="inlineStr">
        <is>
          <t>CLR_STRESS_BU_DETAIL</t>
        </is>
      </c>
      <c r="C508" t="inlineStr">
        <is>
          <t>MILDISENOUGH</t>
        </is>
      </c>
      <c r="D508" t="inlineStr">
        <is>
          <t>VARCHAR(6)</t>
        </is>
      </c>
      <c r="E508" t="inlineStr">
        <is>
          <t>YES</t>
        </is>
      </c>
      <c r="F508" t="inlineStr">
        <is>
          <t>轻度压后是否足值</t>
        </is>
      </c>
      <c r="H508" t="inlineStr">
        <is>
          <t>VARCHAR</t>
        </is>
      </c>
      <c r="I508" t="inlineStr">
        <is>
          <t>6</t>
        </is>
      </c>
    </row>
    <row r="509">
      <c r="A509" t="inlineStr">
        <is>
          <t>压力测试业务详情</t>
        </is>
      </c>
      <c r="B509" t="inlineStr">
        <is>
          <t>CLR_STRESS_BU_DETAIL</t>
        </is>
      </c>
      <c r="C509" t="inlineStr">
        <is>
          <t>MODERATEISENOUGH</t>
        </is>
      </c>
      <c r="D509" t="inlineStr">
        <is>
          <t>VARCHAR(6)</t>
        </is>
      </c>
      <c r="E509" t="inlineStr">
        <is>
          <t>YES</t>
        </is>
      </c>
      <c r="F509" t="inlineStr">
        <is>
          <t>中度压后是否足值</t>
        </is>
      </c>
      <c r="H509" t="inlineStr">
        <is>
          <t>VARCHAR</t>
        </is>
      </c>
      <c r="I509" t="inlineStr">
        <is>
          <t>6</t>
        </is>
      </c>
    </row>
    <row r="510">
      <c r="A510" t="inlineStr">
        <is>
          <t>压力测试业务详情</t>
        </is>
      </c>
      <c r="B510" t="inlineStr">
        <is>
          <t>CLR_STRESS_BU_DETAIL</t>
        </is>
      </c>
      <c r="C510" t="inlineStr">
        <is>
          <t>SEVEREISENOUGH</t>
        </is>
      </c>
      <c r="D510" t="inlineStr">
        <is>
          <t>VARCHAR(6)</t>
        </is>
      </c>
      <c r="E510" t="inlineStr">
        <is>
          <t>YES</t>
        </is>
      </c>
      <c r="F510" t="inlineStr">
        <is>
          <t>重度压后是否足值</t>
        </is>
      </c>
      <c r="H510" t="inlineStr">
        <is>
          <t>VARCHAR</t>
        </is>
      </c>
      <c r="I510" t="inlineStr">
        <is>
          <t>6</t>
        </is>
      </c>
    </row>
    <row r="511">
      <c r="A511" t="inlineStr">
        <is>
          <t>压力测试押品详情</t>
        </is>
      </c>
      <c r="B511" t="inlineStr">
        <is>
          <t>CLR_STRESS_CLR_DETAIL</t>
        </is>
      </c>
      <c r="C511" t="inlineStr">
        <is>
          <t>SERIALNO</t>
        </is>
      </c>
      <c r="D511" t="inlineStr">
        <is>
          <t>VARCHAR(32)</t>
        </is>
      </c>
      <c r="E511" t="inlineStr">
        <is>
          <t>NO</t>
        </is>
      </c>
      <c r="F511" t="inlineStr">
        <is>
          <t>流水号</t>
        </is>
      </c>
      <c r="H511" t="inlineStr">
        <is>
          <t>VARCHAR</t>
        </is>
      </c>
      <c r="I511" t="inlineStr">
        <is>
          <t>32</t>
        </is>
      </c>
    </row>
    <row r="512">
      <c r="A512" t="inlineStr">
        <is>
          <t>压力测试押品详情</t>
        </is>
      </c>
      <c r="B512" t="inlineStr">
        <is>
          <t>CLR_STRESS_CLR_DETAIL</t>
        </is>
      </c>
      <c r="C512" t="inlineStr">
        <is>
          <t>RECORDSERIALNO</t>
        </is>
      </c>
      <c r="D512" t="inlineStr">
        <is>
          <t>VARCHAR(32)</t>
        </is>
      </c>
      <c r="E512" t="inlineStr">
        <is>
          <t>YES</t>
        </is>
      </c>
      <c r="F512" t="inlineStr">
        <is>
          <t>压力测试记录流水号</t>
        </is>
      </c>
      <c r="H512" t="inlineStr">
        <is>
          <t>VARCHAR</t>
        </is>
      </c>
      <c r="I512" t="inlineStr">
        <is>
          <t>32</t>
        </is>
      </c>
    </row>
    <row r="513">
      <c r="A513" t="inlineStr">
        <is>
          <t>压力测试押品详情</t>
        </is>
      </c>
      <c r="B513" t="inlineStr">
        <is>
          <t>CLR_STRESS_CLR_DETAIL</t>
        </is>
      </c>
      <c r="C513" t="inlineStr">
        <is>
          <t>CLRID</t>
        </is>
      </c>
      <c r="D513" t="inlineStr">
        <is>
          <t>VARCHAR(32)</t>
        </is>
      </c>
      <c r="E513" t="inlineStr">
        <is>
          <t>YES</t>
        </is>
      </c>
      <c r="F513" t="inlineStr">
        <is>
          <t>押品编号</t>
        </is>
      </c>
      <c r="H513" t="inlineStr">
        <is>
          <t>VARCHAR</t>
        </is>
      </c>
      <c r="I513" t="inlineStr">
        <is>
          <t>32</t>
        </is>
      </c>
    </row>
    <row r="514">
      <c r="A514" t="inlineStr">
        <is>
          <t>压力测试押品详情</t>
        </is>
      </c>
      <c r="B514" t="inlineStr">
        <is>
          <t>CLR_STRESS_CLR_DETAIL</t>
        </is>
      </c>
      <c r="C514" t="inlineStr">
        <is>
          <t>CLRNAME</t>
        </is>
      </c>
      <c r="D514" t="inlineStr">
        <is>
          <t>VARCHAR(500)</t>
        </is>
      </c>
      <c r="E514" t="inlineStr">
        <is>
          <t>YES</t>
        </is>
      </c>
      <c r="F514" t="inlineStr">
        <is>
          <t>押品名称</t>
        </is>
      </c>
      <c r="H514" t="inlineStr">
        <is>
          <t>VARCHAR</t>
        </is>
      </c>
      <c r="I514" t="inlineStr">
        <is>
          <t>500</t>
        </is>
      </c>
    </row>
    <row r="515">
      <c r="A515" t="inlineStr">
        <is>
          <t>压力测试押品详情</t>
        </is>
      </c>
      <c r="B515" t="inlineStr">
        <is>
          <t>CLR_STRESS_CLR_DETAIL</t>
        </is>
      </c>
      <c r="C515" t="inlineStr">
        <is>
          <t>MANAGEUSERID</t>
        </is>
      </c>
      <c r="D515" t="inlineStr">
        <is>
          <t>VARCHAR(32)</t>
        </is>
      </c>
      <c r="E515" t="inlineStr">
        <is>
          <t>YES</t>
        </is>
      </c>
      <c r="F515" t="inlineStr">
        <is>
          <t>押品管护客户经理</t>
        </is>
      </c>
      <c r="H515" t="inlineStr">
        <is>
          <t>VARCHAR</t>
        </is>
      </c>
      <c r="I515" t="inlineStr">
        <is>
          <t>32</t>
        </is>
      </c>
    </row>
    <row r="516">
      <c r="A516" t="inlineStr">
        <is>
          <t>压力测试押品详情</t>
        </is>
      </c>
      <c r="B516" t="inlineStr">
        <is>
          <t>CLR_STRESS_CLR_DETAIL</t>
        </is>
      </c>
      <c r="C516" t="inlineStr">
        <is>
          <t>MANAGEORGID</t>
        </is>
      </c>
      <c r="D516" t="inlineStr">
        <is>
          <t>VARCHAR(32)</t>
        </is>
      </c>
      <c r="E516" t="inlineStr">
        <is>
          <t>YES</t>
        </is>
      </c>
      <c r="F516" t="inlineStr">
        <is>
          <t>押品管护机构</t>
        </is>
      </c>
      <c r="H516" t="inlineStr">
        <is>
          <t>VARCHAR</t>
        </is>
      </c>
      <c r="I516" t="inlineStr">
        <is>
          <t>32</t>
        </is>
      </c>
    </row>
    <row r="517">
      <c r="A517" t="inlineStr">
        <is>
          <t>压力测试押品详情</t>
        </is>
      </c>
      <c r="B517" t="inlineStr">
        <is>
          <t>CLR_STRESS_CLR_DETAIL</t>
        </is>
      </c>
      <c r="C517" t="inlineStr">
        <is>
          <t>CLRBELONGAREA</t>
        </is>
      </c>
      <c r="D517" t="inlineStr">
        <is>
          <t>VARCHAR(6)</t>
        </is>
      </c>
      <c r="E517" t="inlineStr">
        <is>
          <t>YES</t>
        </is>
      </c>
      <c r="F517" t="inlineStr">
        <is>
          <t>押品所属地区</t>
        </is>
      </c>
      <c r="H517" t="inlineStr">
        <is>
          <t>VARCHAR</t>
        </is>
      </c>
      <c r="I517" t="inlineStr">
        <is>
          <t>6</t>
        </is>
      </c>
    </row>
    <row r="518">
      <c r="A518" t="inlineStr">
        <is>
          <t>压力测试押品详情</t>
        </is>
      </c>
      <c r="B518" t="inlineStr">
        <is>
          <t>CLR_STRESS_CLR_DETAIL</t>
        </is>
      </c>
      <c r="C518" t="inlineStr">
        <is>
          <t>MORTGAGERATIO</t>
        </is>
      </c>
      <c r="D518" t="inlineStr">
        <is>
          <t>DECIMAL(18,8)</t>
        </is>
      </c>
      <c r="E518" t="inlineStr">
        <is>
          <t>YES</t>
        </is>
      </c>
      <c r="F518" t="inlineStr">
        <is>
          <t>抵质押率</t>
        </is>
      </c>
      <c r="H518" t="inlineStr">
        <is>
          <t>DECIMAL</t>
        </is>
      </c>
      <c r="I518" t="inlineStr">
        <is>
          <t>18,8</t>
        </is>
      </c>
    </row>
    <row r="519">
      <c r="A519" t="inlineStr">
        <is>
          <t>压力测试押品详情</t>
        </is>
      </c>
      <c r="B519" t="inlineStr">
        <is>
          <t>CLR_STRESS_CLR_DETAIL</t>
        </is>
      </c>
      <c r="C519" t="inlineStr">
        <is>
          <t>RECOGNIZEDVALUE</t>
        </is>
      </c>
      <c r="D519" t="inlineStr">
        <is>
          <t>DECIMAL(24,6)</t>
        </is>
      </c>
      <c r="E519" t="inlineStr">
        <is>
          <t>YES</t>
        </is>
      </c>
      <c r="F519" t="inlineStr">
        <is>
          <t>我行认定价值</t>
        </is>
      </c>
      <c r="H519" t="inlineStr">
        <is>
          <t>DECIMAL</t>
        </is>
      </c>
      <c r="I519" t="inlineStr">
        <is>
          <t>24,6</t>
        </is>
      </c>
    </row>
    <row r="520">
      <c r="A520" t="inlineStr">
        <is>
          <t>压力测试押品详情</t>
        </is>
      </c>
      <c r="B520" t="inlineStr">
        <is>
          <t>CLR_STRESS_CLR_DETAIL</t>
        </is>
      </c>
      <c r="C520" t="inlineStr">
        <is>
          <t>MILDAFTERMORTGAGERATIO</t>
        </is>
      </c>
      <c r="D520" t="inlineStr">
        <is>
          <t>DECIMAL(18,8)</t>
        </is>
      </c>
      <c r="E520" t="inlineStr">
        <is>
          <t>YES</t>
        </is>
      </c>
      <c r="F520" t="inlineStr">
        <is>
          <t>轻度压后抵质押率</t>
        </is>
      </c>
      <c r="H520" t="inlineStr">
        <is>
          <t>DECIMAL</t>
        </is>
      </c>
      <c r="I520" t="inlineStr">
        <is>
          <t>18,8</t>
        </is>
      </c>
    </row>
    <row r="521">
      <c r="A521" t="inlineStr">
        <is>
          <t>压力测试押品详情</t>
        </is>
      </c>
      <c r="B521" t="inlineStr">
        <is>
          <t>CLR_STRESS_CLR_DETAIL</t>
        </is>
      </c>
      <c r="C521" t="inlineStr">
        <is>
          <t>MILDAFTERRECOGNIZEDVALUE</t>
        </is>
      </c>
      <c r="D521" t="inlineStr">
        <is>
          <t>DECIMAL(24,6)</t>
        </is>
      </c>
      <c r="E521" t="inlineStr">
        <is>
          <t>YES</t>
        </is>
      </c>
      <c r="F521" t="inlineStr">
        <is>
          <t>轻度压后我行认定价值</t>
        </is>
      </c>
      <c r="H521" t="inlineStr">
        <is>
          <t>DECIMAL</t>
        </is>
      </c>
      <c r="I521" t="inlineStr">
        <is>
          <t>24,6</t>
        </is>
      </c>
    </row>
    <row r="522">
      <c r="A522" t="inlineStr">
        <is>
          <t>压力测试押品详情</t>
        </is>
      </c>
      <c r="B522" t="inlineStr">
        <is>
          <t>CLR_STRESS_CLR_DETAIL</t>
        </is>
      </c>
      <c r="C522" t="inlineStr">
        <is>
          <t>MODERATEAFTERMORTGAGERATIO</t>
        </is>
      </c>
      <c r="D522" t="inlineStr">
        <is>
          <t>DECIMAL(18,8)</t>
        </is>
      </c>
      <c r="E522" t="inlineStr">
        <is>
          <t>YES</t>
        </is>
      </c>
      <c r="F522" t="inlineStr">
        <is>
          <t>中度压后抵质押率</t>
        </is>
      </c>
      <c r="H522" t="inlineStr">
        <is>
          <t>DECIMAL</t>
        </is>
      </c>
      <c r="I522" t="inlineStr">
        <is>
          <t>18,8</t>
        </is>
      </c>
    </row>
    <row r="523">
      <c r="A523" t="inlineStr">
        <is>
          <t>压力测试押品详情</t>
        </is>
      </c>
      <c r="B523" t="inlineStr">
        <is>
          <t>CLR_STRESS_CLR_DETAIL</t>
        </is>
      </c>
      <c r="C523" t="inlineStr">
        <is>
          <t>MODERATEAFTERRECOGNIZEDVALUE</t>
        </is>
      </c>
      <c r="D523" t="inlineStr">
        <is>
          <t>DECIMAL(24,6)</t>
        </is>
      </c>
      <c r="E523" t="inlineStr">
        <is>
          <t>YES</t>
        </is>
      </c>
      <c r="F523" t="inlineStr">
        <is>
          <t>中度压后我行认定价值</t>
        </is>
      </c>
      <c r="H523" t="inlineStr">
        <is>
          <t>DECIMAL</t>
        </is>
      </c>
      <c r="I523" t="inlineStr">
        <is>
          <t>24,6</t>
        </is>
      </c>
    </row>
    <row r="524">
      <c r="A524" t="inlineStr">
        <is>
          <t>压力测试押品详情</t>
        </is>
      </c>
      <c r="B524" t="inlineStr">
        <is>
          <t>CLR_STRESS_CLR_DETAIL</t>
        </is>
      </c>
      <c r="C524" t="inlineStr">
        <is>
          <t>SEVEREAFTERMORTGAGERATIO</t>
        </is>
      </c>
      <c r="D524" t="inlineStr">
        <is>
          <t>DECIMAL(18,8)</t>
        </is>
      </c>
      <c r="E524" t="inlineStr">
        <is>
          <t>YES</t>
        </is>
      </c>
      <c r="F524" t="inlineStr">
        <is>
          <t>重度压后抵质押率</t>
        </is>
      </c>
      <c r="H524" t="inlineStr">
        <is>
          <t>DECIMAL</t>
        </is>
      </c>
      <c r="I524" t="inlineStr">
        <is>
          <t>18,8</t>
        </is>
      </c>
    </row>
    <row r="525">
      <c r="A525" t="inlineStr">
        <is>
          <t>压力测试押品详情</t>
        </is>
      </c>
      <c r="B525" t="inlineStr">
        <is>
          <t>CLR_STRESS_CLR_DETAIL</t>
        </is>
      </c>
      <c r="C525" t="inlineStr">
        <is>
          <t>SEVEREAFTERRECOGNIZEDVALUE</t>
        </is>
      </c>
      <c r="D525" t="inlineStr">
        <is>
          <t>DECIMAL(24,6)</t>
        </is>
      </c>
      <c r="E525" t="inlineStr">
        <is>
          <t>YES</t>
        </is>
      </c>
      <c r="F525" t="inlineStr">
        <is>
          <t>重度压后我行认定价值</t>
        </is>
      </c>
      <c r="H525" t="inlineStr">
        <is>
          <t>DECIMAL</t>
        </is>
      </c>
      <c r="I525" t="inlineStr">
        <is>
          <t>24,6</t>
        </is>
      </c>
    </row>
    <row r="526">
      <c r="A526" t="inlineStr">
        <is>
          <t>压力测试押品详情</t>
        </is>
      </c>
      <c r="B526" t="inlineStr">
        <is>
          <t>CLR_STRESS_CLR_DETAIL</t>
        </is>
      </c>
      <c r="C526" t="inlineStr">
        <is>
          <t>CLRTYPEID</t>
        </is>
      </c>
      <c r="D526" t="inlineStr">
        <is>
          <t>VARCHAR(32)</t>
        </is>
      </c>
      <c r="E526" t="inlineStr">
        <is>
          <t>YES</t>
        </is>
      </c>
      <c r="F526" t="inlineStr">
        <is>
          <t>押品类型</t>
        </is>
      </c>
      <c r="H526" t="inlineStr">
        <is>
          <t>VARCHAR</t>
        </is>
      </c>
      <c r="I526" t="inlineStr">
        <is>
          <t>32</t>
        </is>
      </c>
    </row>
    <row r="527">
      <c r="A527" t="inlineStr">
        <is>
          <t>压力测试关联表</t>
        </is>
      </c>
      <c r="B527" t="inlineStr">
        <is>
          <t>CLR_STRESS_LINK</t>
        </is>
      </c>
      <c r="C527" t="inlineStr">
        <is>
          <t>SERIALNO</t>
        </is>
      </c>
      <c r="D527" t="inlineStr">
        <is>
          <t>VARCHAR(32)</t>
        </is>
      </c>
      <c r="E527" t="inlineStr">
        <is>
          <t>NO</t>
        </is>
      </c>
      <c r="F527" t="inlineStr">
        <is>
          <t>流水号</t>
        </is>
      </c>
      <c r="H527" t="inlineStr">
        <is>
          <t>VARCHAR</t>
        </is>
      </c>
      <c r="I527" t="inlineStr">
        <is>
          <t>32</t>
        </is>
      </c>
    </row>
    <row r="528">
      <c r="A528" t="inlineStr">
        <is>
          <t>压力测试关联表</t>
        </is>
      </c>
      <c r="B528" t="inlineStr">
        <is>
          <t>CLR_STRESS_LINK</t>
        </is>
      </c>
      <c r="C528" t="inlineStr">
        <is>
          <t>RECORDSERIALNO</t>
        </is>
      </c>
      <c r="D528" t="inlineStr">
        <is>
          <t>VARCHAR(32)</t>
        </is>
      </c>
      <c r="E528" t="inlineStr">
        <is>
          <t>YES</t>
        </is>
      </c>
      <c r="F528" t="inlineStr">
        <is>
          <t>压力测试记录流水号</t>
        </is>
      </c>
      <c r="H528" t="inlineStr">
        <is>
          <t>VARCHAR</t>
        </is>
      </c>
      <c r="I528" t="inlineStr">
        <is>
          <t>32</t>
        </is>
      </c>
    </row>
    <row r="529">
      <c r="A529" t="inlineStr">
        <is>
          <t>压力测试关联表</t>
        </is>
      </c>
      <c r="B529" t="inlineStr">
        <is>
          <t>CLR_STRESS_LINK</t>
        </is>
      </c>
      <c r="C529" t="inlineStr">
        <is>
          <t>CUSTOMERID</t>
        </is>
      </c>
      <c r="D529" t="inlineStr">
        <is>
          <t>VARCHAR(32)</t>
        </is>
      </c>
      <c r="E529" t="inlineStr">
        <is>
          <t>YES</t>
        </is>
      </c>
      <c r="F529" t="inlineStr">
        <is>
          <t>业务客户编号</t>
        </is>
      </c>
      <c r="H529" t="inlineStr">
        <is>
          <t>VARCHAR</t>
        </is>
      </c>
      <c r="I529" t="inlineStr">
        <is>
          <t>32</t>
        </is>
      </c>
    </row>
    <row r="530">
      <c r="A530" t="inlineStr">
        <is>
          <t>压力测试关联表</t>
        </is>
      </c>
      <c r="B530" t="inlineStr">
        <is>
          <t>CLR_STRESS_LINK</t>
        </is>
      </c>
      <c r="C530" t="inlineStr">
        <is>
          <t>CUSTOMERNAME</t>
        </is>
      </c>
      <c r="D530" t="inlineStr">
        <is>
          <t>VARCHAR(32)</t>
        </is>
      </c>
      <c r="E530" t="inlineStr">
        <is>
          <t>YES</t>
        </is>
      </c>
      <c r="F530" t="inlineStr">
        <is>
          <t>业务客户名称</t>
        </is>
      </c>
      <c r="H530" t="inlineStr">
        <is>
          <t>VARCHAR</t>
        </is>
      </c>
      <c r="I530" t="inlineStr">
        <is>
          <t>32</t>
        </is>
      </c>
    </row>
    <row r="531">
      <c r="A531" t="inlineStr">
        <is>
          <t>压力测试关联表</t>
        </is>
      </c>
      <c r="B531" t="inlineStr">
        <is>
          <t>CLR_STRESS_LINK</t>
        </is>
      </c>
      <c r="C531" t="inlineStr">
        <is>
          <t>BUSSINESSNO</t>
        </is>
      </c>
      <c r="D531" t="inlineStr">
        <is>
          <t>VARCHAR(32)</t>
        </is>
      </c>
      <c r="E531" t="inlineStr">
        <is>
          <t>YES</t>
        </is>
      </c>
      <c r="F531" t="inlineStr">
        <is>
          <t>业务编号</t>
        </is>
      </c>
      <c r="H531" t="inlineStr">
        <is>
          <t>VARCHAR</t>
        </is>
      </c>
      <c r="I531" t="inlineStr">
        <is>
          <t>32</t>
        </is>
      </c>
    </row>
    <row r="532">
      <c r="A532" t="inlineStr">
        <is>
          <t>压力测试关联表</t>
        </is>
      </c>
      <c r="B532" t="inlineStr">
        <is>
          <t>CLR_STRESS_LINK</t>
        </is>
      </c>
      <c r="C532" t="inlineStr">
        <is>
          <t>PRODUCTID</t>
        </is>
      </c>
      <c r="D532" t="inlineStr">
        <is>
          <t>VARCHAR(32)</t>
        </is>
      </c>
      <c r="E532" t="inlineStr">
        <is>
          <t>YES</t>
        </is>
      </c>
      <c r="F532" t="inlineStr">
        <is>
          <t>业务品种</t>
        </is>
      </c>
      <c r="H532" t="inlineStr">
        <is>
          <t>VARCHAR</t>
        </is>
      </c>
      <c r="I532" t="inlineStr">
        <is>
          <t>32</t>
        </is>
      </c>
    </row>
    <row r="533">
      <c r="A533" t="inlineStr">
        <is>
          <t>压力测试关联表</t>
        </is>
      </c>
      <c r="B533" t="inlineStr">
        <is>
          <t>CLR_STRESS_LINK</t>
        </is>
      </c>
      <c r="C533" t="inlineStr">
        <is>
          <t>PRODUCTNAME</t>
        </is>
      </c>
      <c r="D533" t="inlineStr">
        <is>
          <t>VARCHAR(80)</t>
        </is>
      </c>
      <c r="E533" t="inlineStr">
        <is>
          <t>YES</t>
        </is>
      </c>
      <c r="F533" t="inlineStr">
        <is>
          <t>业务名称</t>
        </is>
      </c>
      <c r="H533" t="inlineStr">
        <is>
          <t>VARCHAR</t>
        </is>
      </c>
      <c r="I533" t="inlineStr">
        <is>
          <t>80</t>
        </is>
      </c>
    </row>
    <row r="534">
      <c r="A534" t="inlineStr">
        <is>
          <t>压力测试关联表</t>
        </is>
      </c>
      <c r="B534" t="inlineStr">
        <is>
          <t>CLR_STRESS_LINK</t>
        </is>
      </c>
      <c r="C534" t="inlineStr">
        <is>
          <t>OPERATEORGID</t>
        </is>
      </c>
      <c r="D534" t="inlineStr">
        <is>
          <t>VARCHAR(32)</t>
        </is>
      </c>
      <c r="E534" t="inlineStr">
        <is>
          <t>YES</t>
        </is>
      </c>
      <c r="F534" t="inlineStr">
        <is>
          <t>经办机构</t>
        </is>
      </c>
      <c r="H534" t="inlineStr">
        <is>
          <t>VARCHAR</t>
        </is>
      </c>
      <c r="I534" t="inlineStr">
        <is>
          <t>32</t>
        </is>
      </c>
    </row>
    <row r="535">
      <c r="A535" t="inlineStr">
        <is>
          <t>压力测试关联表</t>
        </is>
      </c>
      <c r="B535" t="inlineStr">
        <is>
          <t>CLR_STRESS_LINK</t>
        </is>
      </c>
      <c r="C535" t="inlineStr">
        <is>
          <t>CREDITSUM</t>
        </is>
      </c>
      <c r="D535" t="inlineStr">
        <is>
          <t>DECIMAL(24,6)</t>
        </is>
      </c>
      <c r="E535" t="inlineStr">
        <is>
          <t>YES</t>
        </is>
      </c>
      <c r="F535" t="inlineStr">
        <is>
          <t>业务金额</t>
        </is>
      </c>
      <c r="H535" t="inlineStr">
        <is>
          <t>DECIMAL</t>
        </is>
      </c>
      <c r="I535" t="inlineStr">
        <is>
          <t>24,6</t>
        </is>
      </c>
    </row>
    <row r="536">
      <c r="A536" t="inlineStr">
        <is>
          <t>压力测试关联表</t>
        </is>
      </c>
      <c r="B536" t="inlineStr">
        <is>
          <t>CLR_STRESS_LINK</t>
        </is>
      </c>
      <c r="C536" t="inlineStr">
        <is>
          <t>BALANCE</t>
        </is>
      </c>
      <c r="D536" t="inlineStr">
        <is>
          <t>DECIMAL(24,6)</t>
        </is>
      </c>
      <c r="E536" t="inlineStr">
        <is>
          <t>YES</t>
        </is>
      </c>
      <c r="F536" t="inlineStr">
        <is>
          <t>业务余额</t>
        </is>
      </c>
      <c r="H536" t="inlineStr">
        <is>
          <t>DECIMAL</t>
        </is>
      </c>
      <c r="I536" t="inlineStr">
        <is>
          <t>24,6</t>
        </is>
      </c>
    </row>
    <row r="537">
      <c r="A537" t="inlineStr">
        <is>
          <t>压力测试关联表</t>
        </is>
      </c>
      <c r="B537" t="inlineStr">
        <is>
          <t>CLR_STRESS_LINK</t>
        </is>
      </c>
      <c r="C537" t="inlineStr">
        <is>
          <t>TOTALEVALSUM</t>
        </is>
      </c>
      <c r="D537" t="inlineStr">
        <is>
          <t>DECIMAL(24,6)</t>
        </is>
      </c>
      <c r="E537" t="inlineStr">
        <is>
          <t>YES</t>
        </is>
      </c>
      <c r="F537" t="inlineStr">
        <is>
          <t>业务对应押品总认定价值/总担保价值</t>
        </is>
      </c>
      <c r="H537" t="inlineStr">
        <is>
          <t>DECIMAL</t>
        </is>
      </c>
      <c r="I537" t="inlineStr">
        <is>
          <t>24,6</t>
        </is>
      </c>
    </row>
    <row r="538">
      <c r="A538" t="inlineStr">
        <is>
          <t>压力测试关联表</t>
        </is>
      </c>
      <c r="B538" t="inlineStr">
        <is>
          <t>CLR_STRESS_LINK</t>
        </is>
      </c>
      <c r="C538" t="inlineStr">
        <is>
          <t>TOTALEVALSUM1</t>
        </is>
      </c>
      <c r="D538" t="inlineStr">
        <is>
          <t>DECIMAL(24,6)</t>
        </is>
      </c>
      <c r="E538" t="inlineStr">
        <is>
          <t>YES</t>
        </is>
      </c>
      <c r="F538" t="inlineStr">
        <is>
          <t>轻度下降后业务对应押品总认定价值</t>
        </is>
      </c>
      <c r="H538" t="inlineStr">
        <is>
          <t>DECIMAL</t>
        </is>
      </c>
      <c r="I538" t="inlineStr">
        <is>
          <t>24,6</t>
        </is>
      </c>
    </row>
    <row r="539">
      <c r="A539" t="inlineStr">
        <is>
          <t>压力测试关联表</t>
        </is>
      </c>
      <c r="B539" t="inlineStr">
        <is>
          <t>CLR_STRESS_LINK</t>
        </is>
      </c>
      <c r="C539" t="inlineStr">
        <is>
          <t>TOTALEVALSUM2</t>
        </is>
      </c>
      <c r="D539" t="inlineStr">
        <is>
          <t>DECIMAL(24,6)</t>
        </is>
      </c>
      <c r="E539" t="inlineStr">
        <is>
          <t>YES</t>
        </is>
      </c>
      <c r="F539" t="inlineStr">
        <is>
          <t>中度下降后业务对应押品总认定价值</t>
        </is>
      </c>
      <c r="H539" t="inlineStr">
        <is>
          <t>DECIMAL</t>
        </is>
      </c>
      <c r="I539" t="inlineStr">
        <is>
          <t>24,6</t>
        </is>
      </c>
    </row>
    <row r="540">
      <c r="A540" t="inlineStr">
        <is>
          <t>压力测试关联表</t>
        </is>
      </c>
      <c r="B540" t="inlineStr">
        <is>
          <t>CLR_STRESS_LINK</t>
        </is>
      </c>
      <c r="C540" t="inlineStr">
        <is>
          <t>TOTALEVALSUM3</t>
        </is>
      </c>
      <c r="D540" t="inlineStr">
        <is>
          <t>DECIMAL(24,6)</t>
        </is>
      </c>
      <c r="E540" t="inlineStr">
        <is>
          <t>YES</t>
        </is>
      </c>
      <c r="F540" t="inlineStr">
        <is>
          <t>重度下降后业务对应押品总认定价值</t>
        </is>
      </c>
      <c r="H540" t="inlineStr">
        <is>
          <t>DECIMAL</t>
        </is>
      </c>
      <c r="I540" t="inlineStr">
        <is>
          <t>24,6</t>
        </is>
      </c>
    </row>
    <row r="541">
      <c r="A541" t="inlineStr">
        <is>
          <t>压力测试关联表</t>
        </is>
      </c>
      <c r="B541" t="inlineStr">
        <is>
          <t>CLR_STRESS_LINK</t>
        </is>
      </c>
      <c r="C541" t="inlineStr">
        <is>
          <t>NATIONALINDUSTRYTARGET</t>
        </is>
      </c>
      <c r="D541" t="inlineStr">
        <is>
          <t>VARCHAR(32)</t>
        </is>
      </c>
      <c r="E541" t="inlineStr">
        <is>
          <t>YES</t>
        </is>
      </c>
      <c r="F541" t="inlineStr">
        <is>
          <t>贷款投向</t>
        </is>
      </c>
      <c r="H541" t="inlineStr">
        <is>
          <t>VARCHAR</t>
        </is>
      </c>
      <c r="I541" t="inlineStr">
        <is>
          <t>32</t>
        </is>
      </c>
    </row>
    <row r="542">
      <c r="A542" t="inlineStr">
        <is>
          <t>压力测试关联表</t>
        </is>
      </c>
      <c r="B542" t="inlineStr">
        <is>
          <t>CLR_STRESS_LINK</t>
        </is>
      </c>
      <c r="C542" t="inlineStr">
        <is>
          <t>CLRID</t>
        </is>
      </c>
      <c r="D542" t="inlineStr">
        <is>
          <t>VARCHAR(32)</t>
        </is>
      </c>
      <c r="E542" t="inlineStr">
        <is>
          <t>YES</t>
        </is>
      </c>
      <c r="F542" t="inlineStr">
        <is>
          <t>押品编号</t>
        </is>
      </c>
      <c r="H542" t="inlineStr">
        <is>
          <t>VARCHAR</t>
        </is>
      </c>
      <c r="I542" t="inlineStr">
        <is>
          <t>32</t>
        </is>
      </c>
    </row>
    <row r="543">
      <c r="A543" t="inlineStr">
        <is>
          <t>压力测试关联表</t>
        </is>
      </c>
      <c r="B543" t="inlineStr">
        <is>
          <t>CLR_STRESS_LINK</t>
        </is>
      </c>
      <c r="C543" t="inlineStr">
        <is>
          <t>CLRNAME</t>
        </is>
      </c>
      <c r="D543" t="inlineStr">
        <is>
          <t>VARCHAR(32)</t>
        </is>
      </c>
      <c r="E543" t="inlineStr">
        <is>
          <t>YES</t>
        </is>
      </c>
      <c r="F543" t="inlineStr">
        <is>
          <t>押品名称</t>
        </is>
      </c>
      <c r="H543" t="inlineStr">
        <is>
          <t>VARCHAR</t>
        </is>
      </c>
      <c r="I543" t="inlineStr">
        <is>
          <t>32</t>
        </is>
      </c>
    </row>
    <row r="544">
      <c r="A544" t="inlineStr">
        <is>
          <t>压力测试关联表</t>
        </is>
      </c>
      <c r="B544" t="inlineStr">
        <is>
          <t>CLR_STRESS_LINK</t>
        </is>
      </c>
      <c r="C544" t="inlineStr">
        <is>
          <t>CLRTYPEID</t>
        </is>
      </c>
      <c r="D544" t="inlineStr">
        <is>
          <t>VARCHAR(32)</t>
        </is>
      </c>
      <c r="E544" t="inlineStr">
        <is>
          <t>YES</t>
        </is>
      </c>
      <c r="F544" t="inlineStr">
        <is>
          <t>押品类型</t>
        </is>
      </c>
      <c r="H544" t="inlineStr">
        <is>
          <t>VARCHAR</t>
        </is>
      </c>
      <c r="I544" t="inlineStr">
        <is>
          <t>32</t>
        </is>
      </c>
    </row>
    <row r="545">
      <c r="A545" t="inlineStr">
        <is>
          <t>压力测试关联表</t>
        </is>
      </c>
      <c r="B545" t="inlineStr">
        <is>
          <t>CLR_STRESS_LINK</t>
        </is>
      </c>
      <c r="C545" t="inlineStr">
        <is>
          <t>CURREVALVALUE</t>
        </is>
      </c>
      <c r="D545" t="inlineStr">
        <is>
          <t>DECIMAL(24,6)</t>
        </is>
      </c>
      <c r="E545" t="inlineStr">
        <is>
          <t>YES</t>
        </is>
      </c>
      <c r="F545" t="inlineStr">
        <is>
          <t>押品认定价值</t>
        </is>
      </c>
      <c r="H545" t="inlineStr">
        <is>
          <t>DECIMAL</t>
        </is>
      </c>
      <c r="I545" t="inlineStr">
        <is>
          <t>24,6</t>
        </is>
      </c>
    </row>
    <row r="546">
      <c r="A546" t="inlineStr">
        <is>
          <t>压力测试关联表</t>
        </is>
      </c>
      <c r="B546" t="inlineStr">
        <is>
          <t>CLR_STRESS_LINK</t>
        </is>
      </c>
      <c r="C546" t="inlineStr">
        <is>
          <t>CURREVALVALUE1</t>
        </is>
      </c>
      <c r="D546" t="inlineStr">
        <is>
          <t>DECIMAL(24,6)</t>
        </is>
      </c>
      <c r="E546" t="inlineStr">
        <is>
          <t>YES</t>
        </is>
      </c>
      <c r="F546" t="inlineStr">
        <is>
          <t>轻度下降后押品认定价值</t>
        </is>
      </c>
      <c r="H546" t="inlineStr">
        <is>
          <t>DECIMAL</t>
        </is>
      </c>
      <c r="I546" t="inlineStr">
        <is>
          <t>24,6</t>
        </is>
      </c>
    </row>
    <row r="547">
      <c r="A547" t="inlineStr">
        <is>
          <t>压力测试关联表</t>
        </is>
      </c>
      <c r="B547" t="inlineStr">
        <is>
          <t>CLR_STRESS_LINK</t>
        </is>
      </c>
      <c r="C547" t="inlineStr">
        <is>
          <t>CURREVALVALUE2</t>
        </is>
      </c>
      <c r="D547" t="inlineStr">
        <is>
          <t>DECIMAL(24,6)</t>
        </is>
      </c>
      <c r="E547" t="inlineStr">
        <is>
          <t>YES</t>
        </is>
      </c>
      <c r="F547" t="inlineStr">
        <is>
          <t>中度下降后押品认定价值</t>
        </is>
      </c>
      <c r="H547" t="inlineStr">
        <is>
          <t>DECIMAL</t>
        </is>
      </c>
      <c r="I547" t="inlineStr">
        <is>
          <t>24,6</t>
        </is>
      </c>
    </row>
    <row r="548">
      <c r="A548" t="inlineStr">
        <is>
          <t>压力测试关联表</t>
        </is>
      </c>
      <c r="B548" t="inlineStr">
        <is>
          <t>CLR_STRESS_LINK</t>
        </is>
      </c>
      <c r="C548" t="inlineStr">
        <is>
          <t>CURREVALVALUE3</t>
        </is>
      </c>
      <c r="D548" t="inlineStr">
        <is>
          <t>DECIMAL(24,6)</t>
        </is>
      </c>
      <c r="E548" t="inlineStr">
        <is>
          <t>YES</t>
        </is>
      </c>
      <c r="F548" t="inlineStr">
        <is>
          <t>重度下降后押品认定价值</t>
        </is>
      </c>
      <c r="H548" t="inlineStr">
        <is>
          <t>DECIMAL</t>
        </is>
      </c>
      <c r="I548" t="inlineStr">
        <is>
          <t>24,6</t>
        </is>
      </c>
    </row>
    <row r="549">
      <c r="A549" t="inlineStr">
        <is>
          <t>压力测试关联表</t>
        </is>
      </c>
      <c r="B549" t="inlineStr">
        <is>
          <t>CLR_STRESS_LINK</t>
        </is>
      </c>
      <c r="C549" t="inlineStr">
        <is>
          <t>TOTALCREDITSUM</t>
        </is>
      </c>
      <c r="D549" t="inlineStr">
        <is>
          <t>DECIMAL(24,6)</t>
        </is>
      </c>
      <c r="E549" t="inlineStr">
        <is>
          <t>YES</t>
        </is>
      </c>
      <c r="F549" t="inlineStr">
        <is>
          <t>押品对应授信业务总金额</t>
        </is>
      </c>
      <c r="H549" t="inlineStr">
        <is>
          <t>DECIMAL</t>
        </is>
      </c>
      <c r="I549" t="inlineStr">
        <is>
          <t>24,6</t>
        </is>
      </c>
    </row>
    <row r="550">
      <c r="A550" t="inlineStr">
        <is>
          <t>压力测试关联表</t>
        </is>
      </c>
      <c r="B550" t="inlineStr">
        <is>
          <t>CLR_STRESS_LINK</t>
        </is>
      </c>
      <c r="C550" t="inlineStr">
        <is>
          <t>MANAGEUSERID</t>
        </is>
      </c>
      <c r="D550" t="inlineStr">
        <is>
          <t>VARCHAR(32)</t>
        </is>
      </c>
      <c r="E550" t="inlineStr">
        <is>
          <t>YES</t>
        </is>
      </c>
      <c r="F550" t="inlineStr">
        <is>
          <t>押品管护客户经理</t>
        </is>
      </c>
      <c r="H550" t="inlineStr">
        <is>
          <t>VARCHAR</t>
        </is>
      </c>
      <c r="I550" t="inlineStr">
        <is>
          <t>32</t>
        </is>
      </c>
    </row>
    <row r="551">
      <c r="A551" t="inlineStr">
        <is>
          <t>压力测试关联表</t>
        </is>
      </c>
      <c r="B551" t="inlineStr">
        <is>
          <t>CLR_STRESS_LINK</t>
        </is>
      </c>
      <c r="C551" t="inlineStr">
        <is>
          <t>MANAGEORGID</t>
        </is>
      </c>
      <c r="D551" t="inlineStr">
        <is>
          <t>VARCHAR(32)</t>
        </is>
      </c>
      <c r="E551" t="inlineStr">
        <is>
          <t>YES</t>
        </is>
      </c>
      <c r="F551" t="inlineStr">
        <is>
          <t>押品管护机构</t>
        </is>
      </c>
      <c r="H551" t="inlineStr">
        <is>
          <t>VARCHAR</t>
        </is>
      </c>
      <c r="I551" t="inlineStr">
        <is>
          <t>32</t>
        </is>
      </c>
    </row>
    <row r="552">
      <c r="A552" t="inlineStr">
        <is>
          <t>压力测试关联表</t>
        </is>
      </c>
      <c r="B552" t="inlineStr">
        <is>
          <t>CLR_STRESS_LINK</t>
        </is>
      </c>
      <c r="C552" t="inlineStr">
        <is>
          <t>CLRBELONGAREA</t>
        </is>
      </c>
      <c r="D552" t="inlineStr">
        <is>
          <t>VARCHAR(6)</t>
        </is>
      </c>
      <c r="E552" t="inlineStr">
        <is>
          <t>YES</t>
        </is>
      </c>
      <c r="F552" t="inlineStr">
        <is>
          <t>押品所属地区</t>
        </is>
      </c>
      <c r="H552" t="inlineStr">
        <is>
          <t>VARCHAR</t>
        </is>
      </c>
      <c r="I552" t="inlineStr">
        <is>
          <t>6</t>
        </is>
      </c>
    </row>
    <row r="553">
      <c r="A553" t="inlineStr">
        <is>
          <t>压力测试关联表</t>
        </is>
      </c>
      <c r="B553" t="inlineStr">
        <is>
          <t>CLR_STRESS_LINK</t>
        </is>
      </c>
      <c r="C553" t="inlineStr">
        <is>
          <t>TOTALGUARANTYSUM</t>
        </is>
      </c>
      <c r="D553" t="inlineStr">
        <is>
          <t>DECIMAL(24,6)</t>
        </is>
      </c>
      <c r="E553" t="inlineStr">
        <is>
          <t>YES</t>
        </is>
      </c>
      <c r="F553" t="inlineStr">
        <is>
          <t>押品对应总担保金额</t>
        </is>
      </c>
      <c r="H553" t="inlineStr">
        <is>
          <t>DECIMAL</t>
        </is>
      </c>
      <c r="I553" t="inlineStr">
        <is>
          <t>24,6</t>
        </is>
      </c>
    </row>
    <row r="554">
      <c r="A554" t="inlineStr">
        <is>
          <t>压力测试关联表</t>
        </is>
      </c>
      <c r="B554" t="inlineStr">
        <is>
          <t>CLR_STRESS_LINK</t>
        </is>
      </c>
      <c r="C554" t="inlineStr">
        <is>
          <t>GUARANTYSUM</t>
        </is>
      </c>
      <c r="D554" t="inlineStr">
        <is>
          <t>DECIMAL(24,6)</t>
        </is>
      </c>
      <c r="E554" t="inlineStr">
        <is>
          <t>YES</t>
        </is>
      </c>
      <c r="F554" t="inlineStr">
        <is>
          <t>担保债权金额</t>
        </is>
      </c>
      <c r="H554" t="inlineStr">
        <is>
          <t>DECIMAL</t>
        </is>
      </c>
      <c r="I554" t="inlineStr">
        <is>
          <t>24,6</t>
        </is>
      </c>
    </row>
    <row r="555">
      <c r="A555" t="inlineStr">
        <is>
          <t>压力测试关联表</t>
        </is>
      </c>
      <c r="B555" t="inlineStr">
        <is>
          <t>CLR_STRESS_LINK</t>
        </is>
      </c>
      <c r="C555" t="inlineStr">
        <is>
          <t>ACTUALGUARANTYSUM</t>
        </is>
      </c>
      <c r="D555" t="inlineStr">
        <is>
          <t>DECIMAL(24,6)</t>
        </is>
      </c>
      <c r="E555" t="inlineStr">
        <is>
          <t>YES</t>
        </is>
      </c>
      <c r="F555" t="inlineStr">
        <is>
          <t>实际债项金额</t>
        </is>
      </c>
      <c r="H555" t="inlineStr">
        <is>
          <t>DECIMAL</t>
        </is>
      </c>
      <c r="I555" t="inlineStr">
        <is>
          <t>24,6</t>
        </is>
      </c>
    </row>
    <row r="556">
      <c r="A556" t="inlineStr">
        <is>
          <t>压力测试记录表</t>
        </is>
      </c>
      <c r="B556" t="inlineStr">
        <is>
          <t>CLR_STRESS_RECORD</t>
        </is>
      </c>
      <c r="C556" t="inlineStr">
        <is>
          <t>SERIALNO</t>
        </is>
      </c>
      <c r="D556" t="inlineStr">
        <is>
          <t>VARCHAR(32)</t>
        </is>
      </c>
      <c r="E556" t="inlineStr">
        <is>
          <t>NO</t>
        </is>
      </c>
      <c r="F556" t="inlineStr">
        <is>
          <t>流水号</t>
        </is>
      </c>
      <c r="H556" t="inlineStr">
        <is>
          <t>VARCHAR</t>
        </is>
      </c>
      <c r="I556" t="inlineStr">
        <is>
          <t>32</t>
        </is>
      </c>
    </row>
    <row r="557">
      <c r="A557" t="inlineStr">
        <is>
          <t>压力测试记录表</t>
        </is>
      </c>
      <c r="B557" t="inlineStr">
        <is>
          <t>CLR_STRESS_RECORD</t>
        </is>
      </c>
      <c r="C557" t="inlineStr">
        <is>
          <t>PRESSUREINDEX</t>
        </is>
      </c>
      <c r="D557" t="inlineStr">
        <is>
          <t>VARCHAR(32)</t>
        </is>
      </c>
      <c r="E557" t="inlineStr">
        <is>
          <t>YES</t>
        </is>
      </c>
      <c r="F557" t="inlineStr">
        <is>
          <t>承压指标</t>
        </is>
      </c>
      <c r="H557" t="inlineStr">
        <is>
          <t>VARCHAR</t>
        </is>
      </c>
      <c r="I557" t="inlineStr">
        <is>
          <t>32</t>
        </is>
      </c>
    </row>
    <row r="558">
      <c r="A558" t="inlineStr">
        <is>
          <t>压力测试记录表</t>
        </is>
      </c>
      <c r="B558" t="inlineStr">
        <is>
          <t>CLR_STRESS_RECORD</t>
        </is>
      </c>
      <c r="C558" t="inlineStr">
        <is>
          <t>DIMENSIONTYPE</t>
        </is>
      </c>
      <c r="D558" t="inlineStr">
        <is>
          <t>VARCHAR(32)</t>
        </is>
      </c>
      <c r="E558" t="inlineStr">
        <is>
          <t>YES</t>
        </is>
      </c>
      <c r="F558" t="inlineStr">
        <is>
          <t>测试范围</t>
        </is>
      </c>
      <c r="H558" t="inlineStr">
        <is>
          <t>VARCHAR</t>
        </is>
      </c>
      <c r="I558" t="inlineStr">
        <is>
          <t>32</t>
        </is>
      </c>
    </row>
    <row r="559">
      <c r="A559" t="inlineStr">
        <is>
          <t>压力测试记录表</t>
        </is>
      </c>
      <c r="B559" t="inlineStr">
        <is>
          <t>CLR_STRESS_RECORD</t>
        </is>
      </c>
      <c r="C559" t="inlineStr">
        <is>
          <t>DIMENSIONVALUE</t>
        </is>
      </c>
      <c r="D559" t="inlineStr">
        <is>
          <t>TEXT</t>
        </is>
      </c>
      <c r="E559" t="inlineStr">
        <is>
          <t>YES</t>
        </is>
      </c>
      <c r="F559" t="inlineStr">
        <is>
          <t>测试范围值</t>
        </is>
      </c>
      <c r="H559" t="inlineStr">
        <is>
          <t>TEXT</t>
        </is>
      </c>
    </row>
    <row r="560">
      <c r="A560" t="inlineStr">
        <is>
          <t>压力测试记录表</t>
        </is>
      </c>
      <c r="B560" t="inlineStr">
        <is>
          <t>CLR_STRESS_RECORD</t>
        </is>
      </c>
      <c r="C560" t="inlineStr">
        <is>
          <t>MILDRATIO</t>
        </is>
      </c>
      <c r="D560" t="inlineStr">
        <is>
          <t>DECIMAL(24,6)</t>
        </is>
      </c>
      <c r="E560" t="inlineStr">
        <is>
          <t>YES</t>
        </is>
      </c>
      <c r="F560" t="inlineStr">
        <is>
          <t>轻度情景幅度</t>
        </is>
      </c>
      <c r="H560" t="inlineStr">
        <is>
          <t>DECIMAL</t>
        </is>
      </c>
      <c r="I560" t="inlineStr">
        <is>
          <t>24,6</t>
        </is>
      </c>
    </row>
    <row r="561">
      <c r="A561" t="inlineStr">
        <is>
          <t>压力测试记录表</t>
        </is>
      </c>
      <c r="B561" t="inlineStr">
        <is>
          <t>CLR_STRESS_RECORD</t>
        </is>
      </c>
      <c r="C561" t="inlineStr">
        <is>
          <t>SEVERERATIO</t>
        </is>
      </c>
      <c r="D561" t="inlineStr">
        <is>
          <t>DECIMAL(24,6)</t>
        </is>
      </c>
      <c r="E561" t="inlineStr">
        <is>
          <t>YES</t>
        </is>
      </c>
      <c r="F561" t="inlineStr">
        <is>
          <t>重度情景幅度</t>
        </is>
      </c>
      <c r="H561" t="inlineStr">
        <is>
          <t>DECIMAL</t>
        </is>
      </c>
      <c r="I561" t="inlineStr">
        <is>
          <t>24,6</t>
        </is>
      </c>
    </row>
    <row r="562">
      <c r="A562" t="inlineStr">
        <is>
          <t>压力测试记录表</t>
        </is>
      </c>
      <c r="B562" t="inlineStr">
        <is>
          <t>CLR_STRESS_RECORD</t>
        </is>
      </c>
      <c r="C562" t="inlineStr">
        <is>
          <t>STATUS</t>
        </is>
      </c>
      <c r="D562" t="inlineStr">
        <is>
          <t>VARCHAR(6)</t>
        </is>
      </c>
      <c r="E562" t="inlineStr">
        <is>
          <t>YES</t>
        </is>
      </c>
      <c r="F562" t="inlineStr">
        <is>
          <t>测试结果生成状态</t>
        </is>
      </c>
      <c r="H562" t="inlineStr">
        <is>
          <t>VARCHAR</t>
        </is>
      </c>
      <c r="I562" t="inlineStr">
        <is>
          <t>6</t>
        </is>
      </c>
    </row>
    <row r="563">
      <c r="A563" t="inlineStr">
        <is>
          <t>压力测试记录表</t>
        </is>
      </c>
      <c r="B563" t="inlineStr">
        <is>
          <t>CLR_STRESS_RECORD</t>
        </is>
      </c>
      <c r="C563" t="inlineStr">
        <is>
          <t>CLRTYPE</t>
        </is>
      </c>
      <c r="D563" t="inlineStr">
        <is>
          <t>TEXT</t>
        </is>
      </c>
      <c r="E563" t="inlineStr">
        <is>
          <t>YES</t>
        </is>
      </c>
      <c r="F563" t="inlineStr">
        <is>
          <t>押品类型</t>
        </is>
      </c>
      <c r="H563" t="inlineStr">
        <is>
          <t>TEXT</t>
        </is>
      </c>
    </row>
    <row r="564">
      <c r="A564" t="inlineStr">
        <is>
          <t>压力测试记录表</t>
        </is>
      </c>
      <c r="B564" t="inlineStr">
        <is>
          <t>CLR_STRESS_RECORD</t>
        </is>
      </c>
      <c r="C564" t="inlineStr">
        <is>
          <t>INPUTUSERID</t>
        </is>
      </c>
      <c r="D564" t="inlineStr">
        <is>
          <t>VARCHAR(32)</t>
        </is>
      </c>
      <c r="E564" t="inlineStr">
        <is>
          <t>YES</t>
        </is>
      </c>
      <c r="F564" t="inlineStr">
        <is>
          <t>登记人</t>
        </is>
      </c>
      <c r="H564" t="inlineStr">
        <is>
          <t>VARCHAR</t>
        </is>
      </c>
      <c r="I564" t="inlineStr">
        <is>
          <t>32</t>
        </is>
      </c>
    </row>
    <row r="565">
      <c r="A565" t="inlineStr">
        <is>
          <t>压力测试记录表</t>
        </is>
      </c>
      <c r="B565" t="inlineStr">
        <is>
          <t>CLR_STRESS_RECORD</t>
        </is>
      </c>
      <c r="C565" t="inlineStr">
        <is>
          <t>INPUTORGID</t>
        </is>
      </c>
      <c r="D565" t="inlineStr">
        <is>
          <t>VARCHAR(32)</t>
        </is>
      </c>
      <c r="E565" t="inlineStr">
        <is>
          <t>YES</t>
        </is>
      </c>
      <c r="F565" t="inlineStr">
        <is>
          <t>登记机构</t>
        </is>
      </c>
      <c r="H565" t="inlineStr">
        <is>
          <t>VARCHAR</t>
        </is>
      </c>
      <c r="I565" t="inlineStr">
        <is>
          <t>32</t>
        </is>
      </c>
    </row>
    <row r="566">
      <c r="A566" t="inlineStr">
        <is>
          <t>压力测试记录表</t>
        </is>
      </c>
      <c r="B566" t="inlineStr">
        <is>
          <t>CLR_STRESS_RECORD</t>
        </is>
      </c>
      <c r="C566" t="inlineStr">
        <is>
          <t>INPUTDATE</t>
        </is>
      </c>
      <c r="D566" t="inlineStr">
        <is>
          <t>DATETIME</t>
        </is>
      </c>
      <c r="E566" t="inlineStr">
        <is>
          <t>YES</t>
        </is>
      </c>
      <c r="F566" t="inlineStr">
        <is>
          <t>登记日期</t>
        </is>
      </c>
      <c r="H566" t="inlineStr">
        <is>
          <t>DATETIME</t>
        </is>
      </c>
    </row>
    <row r="567">
      <c r="A567" t="inlineStr">
        <is>
          <t>压力测试记录表</t>
        </is>
      </c>
      <c r="B567" t="inlineStr">
        <is>
          <t>CLR_STRESS_RECORD</t>
        </is>
      </c>
      <c r="C567" t="inlineStr">
        <is>
          <t>UPDATEUSERID</t>
        </is>
      </c>
      <c r="D567" t="inlineStr">
        <is>
          <t>VARCHAR(32)</t>
        </is>
      </c>
      <c r="E567" t="inlineStr">
        <is>
          <t>YES</t>
        </is>
      </c>
      <c r="F567" t="inlineStr">
        <is>
          <t>更新人</t>
        </is>
      </c>
      <c r="H567" t="inlineStr">
        <is>
          <t>VARCHAR</t>
        </is>
      </c>
      <c r="I567" t="inlineStr">
        <is>
          <t>32</t>
        </is>
      </c>
    </row>
    <row r="568">
      <c r="A568" t="inlineStr">
        <is>
          <t>压力测试记录表</t>
        </is>
      </c>
      <c r="B568" t="inlineStr">
        <is>
          <t>CLR_STRESS_RECORD</t>
        </is>
      </c>
      <c r="C568" t="inlineStr">
        <is>
          <t>UPDATEORGID</t>
        </is>
      </c>
      <c r="D568" t="inlineStr">
        <is>
          <t>VARCHAR(32)</t>
        </is>
      </c>
      <c r="E568" t="inlineStr">
        <is>
          <t>YES</t>
        </is>
      </c>
      <c r="F568" t="inlineStr">
        <is>
          <t>更新机构</t>
        </is>
      </c>
      <c r="H568" t="inlineStr">
        <is>
          <t>VARCHAR</t>
        </is>
      </c>
      <c r="I568" t="inlineStr">
        <is>
          <t>32</t>
        </is>
      </c>
    </row>
    <row r="569">
      <c r="A569" t="inlineStr">
        <is>
          <t>压力测试记录表</t>
        </is>
      </c>
      <c r="B569" t="inlineStr">
        <is>
          <t>CLR_STRESS_RECORD</t>
        </is>
      </c>
      <c r="C569" t="inlineStr">
        <is>
          <t>UPDATEDATE</t>
        </is>
      </c>
      <c r="D569" t="inlineStr">
        <is>
          <t>DATETIME</t>
        </is>
      </c>
      <c r="E569" t="inlineStr">
        <is>
          <t>YES</t>
        </is>
      </c>
      <c r="F569" t="inlineStr">
        <is>
          <t>更新日期</t>
        </is>
      </c>
      <c r="H569" t="inlineStr">
        <is>
          <t>DATETIME</t>
        </is>
      </c>
    </row>
    <row r="570">
      <c r="A570" t="inlineStr">
        <is>
          <t>压力测试记录表</t>
        </is>
      </c>
      <c r="B570" t="inlineStr">
        <is>
          <t>CLR_STRESS_RECORD</t>
        </is>
      </c>
      <c r="C570" t="inlineStr">
        <is>
          <t>MODERATERATIO</t>
        </is>
      </c>
      <c r="D570" t="inlineStr">
        <is>
          <t>DECIMAL(24,6)</t>
        </is>
      </c>
      <c r="E570" t="inlineStr">
        <is>
          <t>YES</t>
        </is>
      </c>
      <c r="F570" t="inlineStr">
        <is>
          <t>中度情景幅度</t>
        </is>
      </c>
      <c r="H570" t="inlineStr">
        <is>
          <t>DECIMAL</t>
        </is>
      </c>
      <c r="I570" t="inlineStr">
        <is>
          <t>24,6</t>
        </is>
      </c>
    </row>
    <row r="571">
      <c r="A571" t="inlineStr">
        <is>
          <t>压力测试结果表</t>
        </is>
      </c>
      <c r="B571" t="inlineStr">
        <is>
          <t>CLR_STRESS_TEST</t>
        </is>
      </c>
      <c r="C571" t="inlineStr">
        <is>
          <t>SERIALNO</t>
        </is>
      </c>
      <c r="D571" t="inlineStr">
        <is>
          <t>VARCHAR(32)</t>
        </is>
      </c>
      <c r="E571" t="inlineStr">
        <is>
          <t>NO</t>
        </is>
      </c>
      <c r="F571" t="inlineStr">
        <is>
          <t>流水号</t>
        </is>
      </c>
      <c r="H571" t="inlineStr">
        <is>
          <t>VARCHAR</t>
        </is>
      </c>
      <c r="I571" t="inlineStr">
        <is>
          <t>32</t>
        </is>
      </c>
    </row>
    <row r="572">
      <c r="A572" t="inlineStr">
        <is>
          <t>压力测试结果表</t>
        </is>
      </c>
      <c r="B572" t="inlineStr">
        <is>
          <t>CLR_STRESS_TEST</t>
        </is>
      </c>
      <c r="C572" t="inlineStr">
        <is>
          <t>RECORDSERIALNO</t>
        </is>
      </c>
      <c r="D572" t="inlineStr">
        <is>
          <t>VARCHAR(32)</t>
        </is>
      </c>
      <c r="E572" t="inlineStr">
        <is>
          <t>YES</t>
        </is>
      </c>
      <c r="F572" t="inlineStr">
        <is>
          <t>记录流水号</t>
        </is>
      </c>
      <c r="H572" t="inlineStr">
        <is>
          <t>VARCHAR</t>
        </is>
      </c>
      <c r="I572" t="inlineStr">
        <is>
          <t>32</t>
        </is>
      </c>
    </row>
    <row r="573">
      <c r="A573" t="inlineStr">
        <is>
          <t>压力测试结果表</t>
        </is>
      </c>
      <c r="B573" t="inlineStr">
        <is>
          <t>CLR_STRESS_TEST</t>
        </is>
      </c>
      <c r="C573" t="inlineStr">
        <is>
          <t>DIMENSIONTYPE</t>
        </is>
      </c>
      <c r="D573" t="inlineStr">
        <is>
          <t>VARCHAR(32)</t>
        </is>
      </c>
      <c r="E573" t="inlineStr">
        <is>
          <t>YES</t>
        </is>
      </c>
      <c r="F573" t="inlineStr">
        <is>
          <t>测试范围</t>
        </is>
      </c>
      <c r="H573" t="inlineStr">
        <is>
          <t>VARCHAR</t>
        </is>
      </c>
      <c r="I573" t="inlineStr">
        <is>
          <t>32</t>
        </is>
      </c>
    </row>
    <row r="574">
      <c r="A574" t="inlineStr">
        <is>
          <t>压力测试结果表</t>
        </is>
      </c>
      <c r="B574" t="inlineStr">
        <is>
          <t>CLR_STRESS_TEST</t>
        </is>
      </c>
      <c r="C574" t="inlineStr">
        <is>
          <t>DIMENSIONVALUE</t>
        </is>
      </c>
      <c r="D574" t="inlineStr">
        <is>
          <t>VARCHAR(32)</t>
        </is>
      </c>
      <c r="E574" t="inlineStr">
        <is>
          <t>YES</t>
        </is>
      </c>
      <c r="F574" t="inlineStr">
        <is>
          <t>测试范围值</t>
        </is>
      </c>
      <c r="H574" t="inlineStr">
        <is>
          <t>VARCHAR</t>
        </is>
      </c>
      <c r="I574" t="inlineStr">
        <is>
          <t>32</t>
        </is>
      </c>
    </row>
    <row r="575">
      <c r="A575" t="inlineStr">
        <is>
          <t>压力测试结果表</t>
        </is>
      </c>
      <c r="B575" t="inlineStr">
        <is>
          <t>CLR_STRESS_TEST</t>
        </is>
      </c>
      <c r="C575" t="inlineStr">
        <is>
          <t>CLRTYPE</t>
        </is>
      </c>
      <c r="D575" t="inlineStr">
        <is>
          <t>VARCHAR(2000)</t>
        </is>
      </c>
      <c r="E575" t="inlineStr">
        <is>
          <t>YES</t>
        </is>
      </c>
      <c r="F575" t="inlineStr">
        <is>
          <t>押品种类</t>
        </is>
      </c>
      <c r="H575" t="inlineStr">
        <is>
          <t>VARCHAR</t>
        </is>
      </c>
      <c r="I575" t="inlineStr">
        <is>
          <t>2000</t>
        </is>
      </c>
    </row>
    <row r="576">
      <c r="A576" t="inlineStr">
        <is>
          <t>压力测试结果表</t>
        </is>
      </c>
      <c r="B576" t="inlineStr">
        <is>
          <t>CLR_STRESS_TEST</t>
        </is>
      </c>
      <c r="C576" t="inlineStr">
        <is>
          <t>SUFFICIENTVALUERATIO</t>
        </is>
      </c>
      <c r="D576" t="inlineStr">
        <is>
          <t>DECIMAL(18,8)</t>
        </is>
      </c>
      <c r="E576" t="inlineStr">
        <is>
          <t>YES</t>
        </is>
      </c>
      <c r="F576" t="inlineStr">
        <is>
          <t>综合足值率</t>
        </is>
      </c>
      <c r="H576" t="inlineStr">
        <is>
          <t>DECIMAL</t>
        </is>
      </c>
      <c r="I576" t="inlineStr">
        <is>
          <t>18,8</t>
        </is>
      </c>
    </row>
    <row r="577">
      <c r="A577" t="inlineStr">
        <is>
          <t>压力测试结果表</t>
        </is>
      </c>
      <c r="B577" t="inlineStr">
        <is>
          <t>CLR_STRESS_TEST</t>
        </is>
      </c>
      <c r="C577" t="inlineStr">
        <is>
          <t>MORTGAGERATIO</t>
        </is>
      </c>
      <c r="D577" t="inlineStr">
        <is>
          <t>DECIMAL(18,8)</t>
        </is>
      </c>
      <c r="E577" t="inlineStr">
        <is>
          <t>YES</t>
        </is>
      </c>
      <c r="F577" t="inlineStr">
        <is>
          <t>综合抵质押率</t>
        </is>
      </c>
      <c r="H577" t="inlineStr">
        <is>
          <t>DECIMAL</t>
        </is>
      </c>
      <c r="I577" t="inlineStr">
        <is>
          <t>18,8</t>
        </is>
      </c>
    </row>
    <row r="578">
      <c r="A578" t="inlineStr">
        <is>
          <t>压力测试结果表</t>
        </is>
      </c>
      <c r="B578" t="inlineStr">
        <is>
          <t>CLR_STRESS_TEST</t>
        </is>
      </c>
      <c r="C578" t="inlineStr">
        <is>
          <t>RECOGNIZEDVALUE</t>
        </is>
      </c>
      <c r="D578" t="inlineStr">
        <is>
          <t>DECIMAL(24,6)</t>
        </is>
      </c>
      <c r="E578" t="inlineStr">
        <is>
          <t>YES</t>
        </is>
      </c>
      <c r="F578" t="inlineStr">
        <is>
          <t>综合我行认定价值</t>
        </is>
      </c>
      <c r="H578" t="inlineStr">
        <is>
          <t>DECIMAL</t>
        </is>
      </c>
      <c r="I578" t="inlineStr">
        <is>
          <t>24,6</t>
        </is>
      </c>
    </row>
    <row r="579">
      <c r="A579" t="inlineStr">
        <is>
          <t>压力测试结果表</t>
        </is>
      </c>
      <c r="B579" t="inlineStr">
        <is>
          <t>CLR_STRESS_TEST</t>
        </is>
      </c>
      <c r="C579" t="inlineStr">
        <is>
          <t>COUNTSUM</t>
        </is>
      </c>
      <c r="D579" t="inlineStr">
        <is>
          <t>INT</t>
        </is>
      </c>
      <c r="E579" t="inlineStr">
        <is>
          <t>YES</t>
        </is>
      </c>
      <c r="F579" t="inlineStr">
        <is>
          <t>总业务笔数</t>
        </is>
      </c>
      <c r="H579" t="inlineStr">
        <is>
          <t>INT</t>
        </is>
      </c>
    </row>
    <row r="580">
      <c r="A580" t="inlineStr">
        <is>
          <t>压力测试结果表</t>
        </is>
      </c>
      <c r="B580" t="inlineStr">
        <is>
          <t>CLR_STRESS_TEST</t>
        </is>
      </c>
      <c r="C580" t="inlineStr">
        <is>
          <t>LACKCOUNT</t>
        </is>
      </c>
      <c r="D580" t="inlineStr">
        <is>
          <t>INT</t>
        </is>
      </c>
      <c r="E580" t="inlineStr">
        <is>
          <t>YES</t>
        </is>
      </c>
      <c r="F580" t="inlineStr">
        <is>
          <t>不足值业务笔数</t>
        </is>
      </c>
      <c r="H580" t="inlineStr">
        <is>
          <t>INT</t>
        </is>
      </c>
    </row>
    <row r="581">
      <c r="A581" t="inlineStr">
        <is>
          <t>压力测试结果表</t>
        </is>
      </c>
      <c r="B581" t="inlineStr">
        <is>
          <t>CLR_STRESS_TEST</t>
        </is>
      </c>
      <c r="C581" t="inlineStr">
        <is>
          <t>LACKCOUNTRATIO</t>
        </is>
      </c>
      <c r="D581" t="inlineStr">
        <is>
          <t>DECIMAL(18,8)</t>
        </is>
      </c>
      <c r="E581" t="inlineStr">
        <is>
          <t>YES</t>
        </is>
      </c>
      <c r="F581" t="inlineStr">
        <is>
          <t>不足值业务笔数占比</t>
        </is>
      </c>
      <c r="H581" t="inlineStr">
        <is>
          <t>DECIMAL</t>
        </is>
      </c>
      <c r="I581" t="inlineStr">
        <is>
          <t>18,8</t>
        </is>
      </c>
    </row>
    <row r="582">
      <c r="A582" t="inlineStr">
        <is>
          <t>压力测试结果表</t>
        </is>
      </c>
      <c r="B582" t="inlineStr">
        <is>
          <t>CLR_STRESS_TEST</t>
        </is>
      </c>
      <c r="C582" t="inlineStr">
        <is>
          <t>SUMBALANCE</t>
        </is>
      </c>
      <c r="D582" t="inlineStr">
        <is>
          <t>DECIMAL(24,6)</t>
        </is>
      </c>
      <c r="E582" t="inlineStr">
        <is>
          <t>YES</t>
        </is>
      </c>
      <c r="F582" t="inlineStr">
        <is>
          <t>贷款余额</t>
        </is>
      </c>
      <c r="H582" t="inlineStr">
        <is>
          <t>DECIMAL</t>
        </is>
      </c>
      <c r="I582" t="inlineStr">
        <is>
          <t>24,6</t>
        </is>
      </c>
    </row>
    <row r="583">
      <c r="A583" t="inlineStr">
        <is>
          <t>压力测试结果表</t>
        </is>
      </c>
      <c r="B583" t="inlineStr">
        <is>
          <t>CLR_STRESS_TEST</t>
        </is>
      </c>
      <c r="C583" t="inlineStr">
        <is>
          <t>LACKBALANCE</t>
        </is>
      </c>
      <c r="D583" t="inlineStr">
        <is>
          <t>DECIMAL(24,6)</t>
        </is>
      </c>
      <c r="E583" t="inlineStr">
        <is>
          <t>YES</t>
        </is>
      </c>
      <c r="F583" t="inlineStr">
        <is>
          <t>不足值业务的贷款余额</t>
        </is>
      </c>
      <c r="H583" t="inlineStr">
        <is>
          <t>DECIMAL</t>
        </is>
      </c>
      <c r="I583" t="inlineStr">
        <is>
          <t>24,6</t>
        </is>
      </c>
    </row>
    <row r="584">
      <c r="A584" t="inlineStr">
        <is>
          <t>压力测试结果表</t>
        </is>
      </c>
      <c r="B584" t="inlineStr">
        <is>
          <t>CLR_STRESS_TEST</t>
        </is>
      </c>
      <c r="C584" t="inlineStr">
        <is>
          <t>LACKBALANCERATIO</t>
        </is>
      </c>
      <c r="D584" t="inlineStr">
        <is>
          <t>DECIMAL(18,8)</t>
        </is>
      </c>
      <c r="E584" t="inlineStr">
        <is>
          <t>YES</t>
        </is>
      </c>
      <c r="F584" t="inlineStr">
        <is>
          <t>不足值业务的贷款余额占比</t>
        </is>
      </c>
      <c r="H584" t="inlineStr">
        <is>
          <t>DECIMAL</t>
        </is>
      </c>
      <c r="I584" t="inlineStr">
        <is>
          <t>18,8</t>
        </is>
      </c>
    </row>
    <row r="585">
      <c r="A585" t="inlineStr">
        <is>
          <t>压力测试结果表</t>
        </is>
      </c>
      <c r="B585" t="inlineStr">
        <is>
          <t>CLR_STRESS_TEST</t>
        </is>
      </c>
      <c r="C585" t="inlineStr">
        <is>
          <t>CUSTSUM</t>
        </is>
      </c>
      <c r="D585" t="inlineStr">
        <is>
          <t>INT</t>
        </is>
      </c>
      <c r="E585" t="inlineStr">
        <is>
          <t>YES</t>
        </is>
      </c>
      <c r="F585" t="inlineStr">
        <is>
          <t>客户数量</t>
        </is>
      </c>
      <c r="H585" t="inlineStr">
        <is>
          <t>INT</t>
        </is>
      </c>
    </row>
    <row r="586">
      <c r="A586" t="inlineStr">
        <is>
          <t>压力测试结果表</t>
        </is>
      </c>
      <c r="B586" t="inlineStr">
        <is>
          <t>CLR_STRESS_TEST</t>
        </is>
      </c>
      <c r="C586" t="inlineStr">
        <is>
          <t>LACKCUSTSUM</t>
        </is>
      </c>
      <c r="D586" t="inlineStr">
        <is>
          <t>INT</t>
        </is>
      </c>
      <c r="E586" t="inlineStr">
        <is>
          <t>YES</t>
        </is>
      </c>
      <c r="F586" t="inlineStr">
        <is>
          <t>不足值业务客户数量</t>
        </is>
      </c>
      <c r="H586" t="inlineStr">
        <is>
          <t>INT</t>
        </is>
      </c>
    </row>
    <row r="587">
      <c r="A587" t="inlineStr">
        <is>
          <t>压力测试结果表</t>
        </is>
      </c>
      <c r="B587" t="inlineStr">
        <is>
          <t>CLR_STRESS_TEST</t>
        </is>
      </c>
      <c r="C587" t="inlineStr">
        <is>
          <t>LACKCUSTRATIO</t>
        </is>
      </c>
      <c r="D587" t="inlineStr">
        <is>
          <t>DECIMAL(18,8)</t>
        </is>
      </c>
      <c r="E587" t="inlineStr">
        <is>
          <t>YES</t>
        </is>
      </c>
      <c r="F587" t="inlineStr">
        <is>
          <t>不足值业务客户数量占比</t>
        </is>
      </c>
      <c r="H587" t="inlineStr">
        <is>
          <t>DECIMAL</t>
        </is>
      </c>
      <c r="I587" t="inlineStr">
        <is>
          <t>18,8</t>
        </is>
      </c>
    </row>
    <row r="588">
      <c r="A588" t="inlineStr">
        <is>
          <t>压力测试结果表</t>
        </is>
      </c>
      <c r="B588" t="inlineStr">
        <is>
          <t>CLR_STRESS_TEST</t>
        </is>
      </c>
      <c r="C588" t="inlineStr">
        <is>
          <t>MILDAFTERSUFFIVALUERATIO</t>
        </is>
      </c>
      <c r="D588" t="inlineStr">
        <is>
          <t>DECIMAL(18,8)</t>
        </is>
      </c>
      <c r="E588" t="inlineStr">
        <is>
          <t>YES</t>
        </is>
      </c>
      <c r="F588" t="inlineStr">
        <is>
          <t>轻度压后综合足值率</t>
        </is>
      </c>
      <c r="H588" t="inlineStr">
        <is>
          <t>DECIMAL</t>
        </is>
      </c>
      <c r="I588" t="inlineStr">
        <is>
          <t>18,8</t>
        </is>
      </c>
    </row>
    <row r="589">
      <c r="A589" t="inlineStr">
        <is>
          <t>压力测试结果表</t>
        </is>
      </c>
      <c r="B589" t="inlineStr">
        <is>
          <t>CLR_STRESS_TEST</t>
        </is>
      </c>
      <c r="C589" t="inlineStr">
        <is>
          <t>MILDAFTERMORTGAGERATIO</t>
        </is>
      </c>
      <c r="D589" t="inlineStr">
        <is>
          <t>DECIMAL(18,8)</t>
        </is>
      </c>
      <c r="E589" t="inlineStr">
        <is>
          <t>YES</t>
        </is>
      </c>
      <c r="F589" t="inlineStr">
        <is>
          <t>轻度压后综合抵质押率</t>
        </is>
      </c>
      <c r="H589" t="inlineStr">
        <is>
          <t>DECIMAL</t>
        </is>
      </c>
      <c r="I589" t="inlineStr">
        <is>
          <t>18,8</t>
        </is>
      </c>
    </row>
    <row r="590">
      <c r="A590" t="inlineStr">
        <is>
          <t>压力测试结果表</t>
        </is>
      </c>
      <c r="B590" t="inlineStr">
        <is>
          <t>CLR_STRESS_TEST</t>
        </is>
      </c>
      <c r="C590" t="inlineStr">
        <is>
          <t>MILDAFTERRECOGNIZEDVALUE</t>
        </is>
      </c>
      <c r="D590" t="inlineStr">
        <is>
          <t>DECIMAL(24,6)</t>
        </is>
      </c>
      <c r="E590" t="inlineStr">
        <is>
          <t>YES</t>
        </is>
      </c>
      <c r="F590" t="inlineStr">
        <is>
          <t>轻度压后综合我行认定价值</t>
        </is>
      </c>
      <c r="H590" t="inlineStr">
        <is>
          <t>DECIMAL</t>
        </is>
      </c>
      <c r="I590" t="inlineStr">
        <is>
          <t>24,6</t>
        </is>
      </c>
    </row>
    <row r="591">
      <c r="A591" t="inlineStr">
        <is>
          <t>压力测试结果表</t>
        </is>
      </c>
      <c r="B591" t="inlineStr">
        <is>
          <t>CLR_STRESS_TEST</t>
        </is>
      </c>
      <c r="C591" t="inlineStr">
        <is>
          <t>MILDAFTERCOUNTSUM</t>
        </is>
      </c>
      <c r="D591" t="inlineStr">
        <is>
          <t>INT</t>
        </is>
      </c>
      <c r="E591" t="inlineStr">
        <is>
          <t>YES</t>
        </is>
      </c>
      <c r="F591" t="inlineStr">
        <is>
          <t>轻度压后总业务笔数</t>
        </is>
      </c>
      <c r="H591" t="inlineStr">
        <is>
          <t>INT</t>
        </is>
      </c>
    </row>
    <row r="592">
      <c r="A592" t="inlineStr">
        <is>
          <t>压力测试结果表</t>
        </is>
      </c>
      <c r="B592" t="inlineStr">
        <is>
          <t>CLR_STRESS_TEST</t>
        </is>
      </c>
      <c r="C592" t="inlineStr">
        <is>
          <t>MILDAFTERLACKCOUNT</t>
        </is>
      </c>
      <c r="D592" t="inlineStr">
        <is>
          <t>INT</t>
        </is>
      </c>
      <c r="E592" t="inlineStr">
        <is>
          <t>YES</t>
        </is>
      </c>
      <c r="F592" t="inlineStr">
        <is>
          <t>轻度压后不足值业务笔数</t>
        </is>
      </c>
      <c r="H592" t="inlineStr">
        <is>
          <t>INT</t>
        </is>
      </c>
    </row>
    <row r="593">
      <c r="A593" t="inlineStr">
        <is>
          <t>压力测试结果表</t>
        </is>
      </c>
      <c r="B593" t="inlineStr">
        <is>
          <t>CLR_STRESS_TEST</t>
        </is>
      </c>
      <c r="C593" t="inlineStr">
        <is>
          <t>MODERATEAFTERSUFFIVALUERATIO</t>
        </is>
      </c>
      <c r="D593" t="inlineStr">
        <is>
          <t>DECIMAL(18,8)</t>
        </is>
      </c>
      <c r="E593" t="inlineStr">
        <is>
          <t>YES</t>
        </is>
      </c>
      <c r="F593" t="inlineStr">
        <is>
          <t>中度压后综合足值率</t>
        </is>
      </c>
      <c r="H593" t="inlineStr">
        <is>
          <t>DECIMAL</t>
        </is>
      </c>
      <c r="I593" t="inlineStr">
        <is>
          <t>18,8</t>
        </is>
      </c>
    </row>
    <row r="594">
      <c r="A594" t="inlineStr">
        <is>
          <t>压力测试结果表</t>
        </is>
      </c>
      <c r="B594" t="inlineStr">
        <is>
          <t>CLR_STRESS_TEST</t>
        </is>
      </c>
      <c r="C594" t="inlineStr">
        <is>
          <t>MODERATEAFTERMORTGAGERATIO</t>
        </is>
      </c>
      <c r="D594" t="inlineStr">
        <is>
          <t>DECIMAL(18,8)</t>
        </is>
      </c>
      <c r="E594" t="inlineStr">
        <is>
          <t>YES</t>
        </is>
      </c>
      <c r="F594" t="inlineStr">
        <is>
          <t>中度压后综合抵质押率</t>
        </is>
      </c>
      <c r="H594" t="inlineStr">
        <is>
          <t>DECIMAL</t>
        </is>
      </c>
      <c r="I594" t="inlineStr">
        <is>
          <t>18,8</t>
        </is>
      </c>
    </row>
    <row r="595">
      <c r="A595" t="inlineStr">
        <is>
          <t>压力测试结果表</t>
        </is>
      </c>
      <c r="B595" t="inlineStr">
        <is>
          <t>CLR_STRESS_TEST</t>
        </is>
      </c>
      <c r="C595" t="inlineStr">
        <is>
          <t>MODERATEAFTERRECOGNIZEDVALUE</t>
        </is>
      </c>
      <c r="D595" t="inlineStr">
        <is>
          <t>DECIMAL(24,6)</t>
        </is>
      </c>
      <c r="E595" t="inlineStr">
        <is>
          <t>YES</t>
        </is>
      </c>
      <c r="F595" t="inlineStr">
        <is>
          <t>中度压后综合我行认定价值</t>
        </is>
      </c>
      <c r="H595" t="inlineStr">
        <is>
          <t>DECIMAL</t>
        </is>
      </c>
      <c r="I595" t="inlineStr">
        <is>
          <t>24,6</t>
        </is>
      </c>
    </row>
    <row r="596">
      <c r="A596" t="inlineStr">
        <is>
          <t>压力测试结果表</t>
        </is>
      </c>
      <c r="B596" t="inlineStr">
        <is>
          <t>CLR_STRESS_TEST</t>
        </is>
      </c>
      <c r="C596" t="inlineStr">
        <is>
          <t>MODERATEAFTERCOUNTSUM</t>
        </is>
      </c>
      <c r="D596" t="inlineStr">
        <is>
          <t>INT</t>
        </is>
      </c>
      <c r="E596" t="inlineStr">
        <is>
          <t>YES</t>
        </is>
      </c>
      <c r="F596" t="inlineStr">
        <is>
          <t>中度压后总业务笔数</t>
        </is>
      </c>
      <c r="H596" t="inlineStr">
        <is>
          <t>INT</t>
        </is>
      </c>
    </row>
    <row r="597">
      <c r="A597" t="inlineStr">
        <is>
          <t>压力测试结果表</t>
        </is>
      </c>
      <c r="B597" t="inlineStr">
        <is>
          <t>CLR_STRESS_TEST</t>
        </is>
      </c>
      <c r="C597" t="inlineStr">
        <is>
          <t>MODERATEAFTERLACKCOUNT</t>
        </is>
      </c>
      <c r="D597" t="inlineStr">
        <is>
          <t>INT</t>
        </is>
      </c>
      <c r="E597" t="inlineStr">
        <is>
          <t>YES</t>
        </is>
      </c>
      <c r="F597" t="inlineStr">
        <is>
          <t>中度压后不足值业务笔数</t>
        </is>
      </c>
      <c r="H597" t="inlineStr">
        <is>
          <t>INT</t>
        </is>
      </c>
    </row>
    <row r="598">
      <c r="A598" t="inlineStr">
        <is>
          <t>压力测试结果表</t>
        </is>
      </c>
      <c r="B598" t="inlineStr">
        <is>
          <t>CLR_STRESS_TEST</t>
        </is>
      </c>
      <c r="C598" t="inlineStr">
        <is>
          <t>SEVEREAFTERSUFFIVALUERATIO</t>
        </is>
      </c>
      <c r="D598" t="inlineStr">
        <is>
          <t>DECIMAL(18,8)</t>
        </is>
      </c>
      <c r="E598" t="inlineStr">
        <is>
          <t>YES</t>
        </is>
      </c>
      <c r="F598" t="inlineStr">
        <is>
          <t>重度压后综合足值率</t>
        </is>
      </c>
      <c r="H598" t="inlineStr">
        <is>
          <t>DECIMAL</t>
        </is>
      </c>
      <c r="I598" t="inlineStr">
        <is>
          <t>18,8</t>
        </is>
      </c>
    </row>
    <row r="599">
      <c r="A599" t="inlineStr">
        <is>
          <t>压力测试结果表</t>
        </is>
      </c>
      <c r="B599" t="inlineStr">
        <is>
          <t>CLR_STRESS_TEST</t>
        </is>
      </c>
      <c r="C599" t="inlineStr">
        <is>
          <t>SEVEREAFTERMORTGAGERATIO</t>
        </is>
      </c>
      <c r="D599" t="inlineStr">
        <is>
          <t>DECIMAL(18,8)</t>
        </is>
      </c>
      <c r="E599" t="inlineStr">
        <is>
          <t>YES</t>
        </is>
      </c>
      <c r="F599" t="inlineStr">
        <is>
          <t>重度压后综合抵质押率</t>
        </is>
      </c>
      <c r="H599" t="inlineStr">
        <is>
          <t>DECIMAL</t>
        </is>
      </c>
      <c r="I599" t="inlineStr">
        <is>
          <t>18,8</t>
        </is>
      </c>
    </row>
    <row r="600">
      <c r="A600" t="inlineStr">
        <is>
          <t>压力测试结果表</t>
        </is>
      </c>
      <c r="B600" t="inlineStr">
        <is>
          <t>CLR_STRESS_TEST</t>
        </is>
      </c>
      <c r="C600" t="inlineStr">
        <is>
          <t>SEVEREAFTERRECOGNIZEDVALUE</t>
        </is>
      </c>
      <c r="D600" t="inlineStr">
        <is>
          <t>DECIMAL(24,6)</t>
        </is>
      </c>
      <c r="E600" t="inlineStr">
        <is>
          <t>YES</t>
        </is>
      </c>
      <c r="F600" t="inlineStr">
        <is>
          <t>重度压后综合我行认定价值</t>
        </is>
      </c>
      <c r="H600" t="inlineStr">
        <is>
          <t>DECIMAL</t>
        </is>
      </c>
      <c r="I600" t="inlineStr">
        <is>
          <t>24,6</t>
        </is>
      </c>
    </row>
    <row r="601">
      <c r="A601" t="inlineStr">
        <is>
          <t>压力测试结果表</t>
        </is>
      </c>
      <c r="B601" t="inlineStr">
        <is>
          <t>CLR_STRESS_TEST</t>
        </is>
      </c>
      <c r="C601" t="inlineStr">
        <is>
          <t>SEVEREAFTERCOUNTSUM</t>
        </is>
      </c>
      <c r="D601" t="inlineStr">
        <is>
          <t>INT</t>
        </is>
      </c>
      <c r="E601" t="inlineStr">
        <is>
          <t>YES</t>
        </is>
      </c>
      <c r="F601" t="inlineStr">
        <is>
          <t>重度压后总业务笔数</t>
        </is>
      </c>
      <c r="H601" t="inlineStr">
        <is>
          <t>INT</t>
        </is>
      </c>
    </row>
    <row r="602">
      <c r="A602" t="inlineStr">
        <is>
          <t>压力测试结果表</t>
        </is>
      </c>
      <c r="B602" t="inlineStr">
        <is>
          <t>CLR_STRESS_TEST</t>
        </is>
      </c>
      <c r="C602" t="inlineStr">
        <is>
          <t>SEVEREAFTERLACKCOUNT</t>
        </is>
      </c>
      <c r="D602" t="inlineStr">
        <is>
          <t>INT</t>
        </is>
      </c>
      <c r="E602" t="inlineStr">
        <is>
          <t>YES</t>
        </is>
      </c>
      <c r="F602" t="inlineStr">
        <is>
          <t>重度压后不足值业务笔数</t>
        </is>
      </c>
      <c r="H602" t="inlineStr">
        <is>
          <t>INT</t>
        </is>
      </c>
    </row>
    <row r="603">
      <c r="A603" t="inlineStr">
        <is>
          <t>压力测试结果表</t>
        </is>
      </c>
      <c r="B603" t="inlineStr">
        <is>
          <t>CLR_STRESS_TEST</t>
        </is>
      </c>
      <c r="C603" t="inlineStr">
        <is>
          <t>MILDAFTERLACKCOUNTRATIO</t>
        </is>
      </c>
      <c r="D603" t="inlineStr">
        <is>
          <t>DECIMAL(18,8)</t>
        </is>
      </c>
      <c r="E603" t="inlineStr">
        <is>
          <t>YES</t>
        </is>
      </c>
      <c r="F603" t="inlineStr">
        <is>
          <t>轻度不足值业务笔数占比</t>
        </is>
      </c>
      <c r="H603" t="inlineStr">
        <is>
          <t>DECIMAL</t>
        </is>
      </c>
      <c r="I603" t="inlineStr">
        <is>
          <t>18,8</t>
        </is>
      </c>
    </row>
    <row r="604">
      <c r="A604" t="inlineStr">
        <is>
          <t>压力测试结果表</t>
        </is>
      </c>
      <c r="B604" t="inlineStr">
        <is>
          <t>CLR_STRESS_TEST</t>
        </is>
      </c>
      <c r="C604" t="inlineStr">
        <is>
          <t>MODERATEAFTERLACKCOUNTRATIO</t>
        </is>
      </c>
      <c r="D604" t="inlineStr">
        <is>
          <t>DECIMAL(18,8)</t>
        </is>
      </c>
      <c r="E604" t="inlineStr">
        <is>
          <t>YES</t>
        </is>
      </c>
      <c r="F604" t="inlineStr">
        <is>
          <t>中度不足值业务笔数占比</t>
        </is>
      </c>
      <c r="H604" t="inlineStr">
        <is>
          <t>DECIMAL</t>
        </is>
      </c>
      <c r="I604" t="inlineStr">
        <is>
          <t>18,8</t>
        </is>
      </c>
    </row>
    <row r="605">
      <c r="A605" t="inlineStr">
        <is>
          <t>压力测试结果表</t>
        </is>
      </c>
      <c r="B605" t="inlineStr">
        <is>
          <t>CLR_STRESS_TEST</t>
        </is>
      </c>
      <c r="C605" t="inlineStr">
        <is>
          <t>SEVEREAFTERLACKCOUNTRATIO</t>
        </is>
      </c>
      <c r="D605" t="inlineStr">
        <is>
          <t>DECIMAL(18,8)</t>
        </is>
      </c>
      <c r="E605" t="inlineStr">
        <is>
          <t>YES</t>
        </is>
      </c>
      <c r="F605" t="inlineStr">
        <is>
          <t>重度不足值业务笔数占比</t>
        </is>
      </c>
      <c r="H605" t="inlineStr">
        <is>
          <t>DECIMAL</t>
        </is>
      </c>
      <c r="I605" t="inlineStr">
        <is>
          <t>18,8</t>
        </is>
      </c>
    </row>
    <row r="606">
      <c r="A606" t="inlineStr">
        <is>
          <t>压力测试结果表</t>
        </is>
      </c>
      <c r="B606" t="inlineStr">
        <is>
          <t>CLR_STRESS_TEST</t>
        </is>
      </c>
      <c r="C606" t="inlineStr">
        <is>
          <t>MILDAFTERLACKBALANCERATIO</t>
        </is>
      </c>
      <c r="D606" t="inlineStr">
        <is>
          <t>DECIMAL(18,8)</t>
        </is>
      </c>
      <c r="E606" t="inlineStr">
        <is>
          <t>YES</t>
        </is>
      </c>
      <c r="F606" t="inlineStr">
        <is>
          <t>轻度不足值业务的贷款余额占比</t>
        </is>
      </c>
      <c r="H606" t="inlineStr">
        <is>
          <t>DECIMAL</t>
        </is>
      </c>
      <c r="I606" t="inlineStr">
        <is>
          <t>18,8</t>
        </is>
      </c>
    </row>
    <row r="607">
      <c r="A607" t="inlineStr">
        <is>
          <t>压力测试结果表</t>
        </is>
      </c>
      <c r="B607" t="inlineStr">
        <is>
          <t>CLR_STRESS_TEST</t>
        </is>
      </c>
      <c r="C607" t="inlineStr">
        <is>
          <t>MODERATEAFTERLACKBALANCERATIO</t>
        </is>
      </c>
      <c r="D607" t="inlineStr">
        <is>
          <t>DECIMAL(18,8)</t>
        </is>
      </c>
      <c r="E607" t="inlineStr">
        <is>
          <t>YES</t>
        </is>
      </c>
      <c r="F607" t="inlineStr">
        <is>
          <t>中度不足值业务的贷款余额占比</t>
        </is>
      </c>
      <c r="H607" t="inlineStr">
        <is>
          <t>DECIMAL</t>
        </is>
      </c>
      <c r="I607" t="inlineStr">
        <is>
          <t>18,8</t>
        </is>
      </c>
    </row>
    <row r="608">
      <c r="A608" t="inlineStr">
        <is>
          <t>压力测试结果表</t>
        </is>
      </c>
      <c r="B608" t="inlineStr">
        <is>
          <t>CLR_STRESS_TEST</t>
        </is>
      </c>
      <c r="C608" t="inlineStr">
        <is>
          <t>SEVEREAFTERLACKBALANCERATIO</t>
        </is>
      </c>
      <c r="D608" t="inlineStr">
        <is>
          <t>DECIMAL(18,8)</t>
        </is>
      </c>
      <c r="E608" t="inlineStr">
        <is>
          <t>YES</t>
        </is>
      </c>
      <c r="F608" t="inlineStr">
        <is>
          <t>重度不足值业务的贷款余额占比</t>
        </is>
      </c>
      <c r="H608" t="inlineStr">
        <is>
          <t>DECIMAL</t>
        </is>
      </c>
      <c r="I608" t="inlineStr">
        <is>
          <t>18,8</t>
        </is>
      </c>
    </row>
    <row r="609">
      <c r="A609" t="inlineStr">
        <is>
          <t>压力测试结果表</t>
        </is>
      </c>
      <c r="B609" t="inlineStr">
        <is>
          <t>CLR_STRESS_TEST</t>
        </is>
      </c>
      <c r="C609" t="inlineStr">
        <is>
          <t>MILDAFTERLACKCUSTRATIO</t>
        </is>
      </c>
      <c r="D609" t="inlineStr">
        <is>
          <t>DECIMAL(18,8)</t>
        </is>
      </c>
      <c r="E609" t="inlineStr">
        <is>
          <t>YES</t>
        </is>
      </c>
      <c r="F609" t="inlineStr">
        <is>
          <t>轻度不足值业务客户数量占比</t>
        </is>
      </c>
      <c r="H609" t="inlineStr">
        <is>
          <t>DECIMAL</t>
        </is>
      </c>
      <c r="I609" t="inlineStr">
        <is>
          <t>18,8</t>
        </is>
      </c>
    </row>
    <row r="610">
      <c r="A610" t="inlineStr">
        <is>
          <t>压力测试结果表</t>
        </is>
      </c>
      <c r="B610" t="inlineStr">
        <is>
          <t>CLR_STRESS_TEST</t>
        </is>
      </c>
      <c r="C610" t="inlineStr">
        <is>
          <t>MODERATEAFTERLACKCUSTRATIO</t>
        </is>
      </c>
      <c r="D610" t="inlineStr">
        <is>
          <t>DECIMAL(18,8)</t>
        </is>
      </c>
      <c r="E610" t="inlineStr">
        <is>
          <t>YES</t>
        </is>
      </c>
      <c r="F610" t="inlineStr">
        <is>
          <t>中度不足值业务客户数量占比</t>
        </is>
      </c>
      <c r="H610" t="inlineStr">
        <is>
          <t>DECIMAL</t>
        </is>
      </c>
      <c r="I610" t="inlineStr">
        <is>
          <t>18,8</t>
        </is>
      </c>
    </row>
    <row r="611">
      <c r="A611" t="inlineStr">
        <is>
          <t>压力测试结果表</t>
        </is>
      </c>
      <c r="B611" t="inlineStr">
        <is>
          <t>CLR_STRESS_TEST</t>
        </is>
      </c>
      <c r="C611" t="inlineStr">
        <is>
          <t>SEVEREAFTERLACKCUSTRATIO</t>
        </is>
      </c>
      <c r="D611" t="inlineStr">
        <is>
          <t>DECIMAL(18,8)</t>
        </is>
      </c>
      <c r="E611" t="inlineStr">
        <is>
          <t>YES</t>
        </is>
      </c>
      <c r="F611" t="inlineStr">
        <is>
          <t>重度不足值业务客户数量占比</t>
        </is>
      </c>
      <c r="H611" t="inlineStr">
        <is>
          <t>DECIMAL</t>
        </is>
      </c>
      <c r="I611" t="inlineStr">
        <is>
          <t>18,8</t>
        </is>
      </c>
    </row>
    <row r="612">
      <c r="A612" t="inlineStr">
        <is>
          <t>压力测试结果表</t>
        </is>
      </c>
      <c r="B612" t="inlineStr">
        <is>
          <t>CLR_STRESS_TEST</t>
        </is>
      </c>
      <c r="C612" t="inlineStr">
        <is>
          <t>MILDAFTERLACKBALANCE</t>
        </is>
      </c>
      <c r="D612" t="inlineStr">
        <is>
          <t>DECIMAL(24,6)</t>
        </is>
      </c>
      <c r="E612" t="inlineStr">
        <is>
          <t>YES</t>
        </is>
      </c>
      <c r="F612" t="inlineStr">
        <is>
          <t>轻度不足值业务的贷款余额</t>
        </is>
      </c>
      <c r="H612" t="inlineStr">
        <is>
          <t>DECIMAL</t>
        </is>
      </c>
      <c r="I612" t="inlineStr">
        <is>
          <t>24,6</t>
        </is>
      </c>
    </row>
    <row r="613">
      <c r="A613" t="inlineStr">
        <is>
          <t>压力测试结果表</t>
        </is>
      </c>
      <c r="B613" t="inlineStr">
        <is>
          <t>CLR_STRESS_TEST</t>
        </is>
      </c>
      <c r="C613" t="inlineStr">
        <is>
          <t>MODERATEAFTERLACKBALANCE</t>
        </is>
      </c>
      <c r="D613" t="inlineStr">
        <is>
          <t>DECIMAL(24,6)</t>
        </is>
      </c>
      <c r="E613" t="inlineStr">
        <is>
          <t>YES</t>
        </is>
      </c>
      <c r="F613" t="inlineStr">
        <is>
          <t>中度不足值业务的贷款余额</t>
        </is>
      </c>
      <c r="H613" t="inlineStr">
        <is>
          <t>DECIMAL</t>
        </is>
      </c>
      <c r="I613" t="inlineStr">
        <is>
          <t>24,6</t>
        </is>
      </c>
    </row>
    <row r="614">
      <c r="A614" t="inlineStr">
        <is>
          <t>压力测试结果表</t>
        </is>
      </c>
      <c r="B614" t="inlineStr">
        <is>
          <t>CLR_STRESS_TEST</t>
        </is>
      </c>
      <c r="C614" t="inlineStr">
        <is>
          <t>SEVEREAFTERLACKBALANCE</t>
        </is>
      </c>
      <c r="D614" t="inlineStr">
        <is>
          <t>DECIMAL(24,6)</t>
        </is>
      </c>
      <c r="E614" t="inlineStr">
        <is>
          <t>YES</t>
        </is>
      </c>
      <c r="F614" t="inlineStr">
        <is>
          <t>重度不足值业务的贷款余额</t>
        </is>
      </c>
      <c r="H614" t="inlineStr">
        <is>
          <t>DECIMAL</t>
        </is>
      </c>
      <c r="I614" t="inlineStr">
        <is>
          <t>24,6</t>
        </is>
      </c>
    </row>
    <row r="615">
      <c r="A615" t="inlineStr">
        <is>
          <t>压力测试结果表</t>
        </is>
      </c>
      <c r="B615" t="inlineStr">
        <is>
          <t>CLR_STRESS_TEST</t>
        </is>
      </c>
      <c r="C615" t="inlineStr">
        <is>
          <t>MILDAFTERLACKCUSTSUM</t>
        </is>
      </c>
      <c r="D615" t="inlineStr">
        <is>
          <t>INT</t>
        </is>
      </c>
      <c r="E615" t="inlineStr">
        <is>
          <t>YES</t>
        </is>
      </c>
      <c r="F615" t="inlineStr">
        <is>
          <t>轻度压后不足值业务客户数量</t>
        </is>
      </c>
      <c r="H615" t="inlineStr">
        <is>
          <t>INT</t>
        </is>
      </c>
    </row>
    <row r="616">
      <c r="A616" t="inlineStr">
        <is>
          <t>压力测试结果表</t>
        </is>
      </c>
      <c r="B616" t="inlineStr">
        <is>
          <t>CLR_STRESS_TEST</t>
        </is>
      </c>
      <c r="C616" t="inlineStr">
        <is>
          <t>MODERATEAFTERLACKCUSTSUM</t>
        </is>
      </c>
      <c r="D616" t="inlineStr">
        <is>
          <t>INT</t>
        </is>
      </c>
      <c r="E616" t="inlineStr">
        <is>
          <t>YES</t>
        </is>
      </c>
      <c r="F616" t="inlineStr">
        <is>
          <t>中度压后不足值业务客户数量</t>
        </is>
      </c>
      <c r="H616" t="inlineStr">
        <is>
          <t>INT</t>
        </is>
      </c>
    </row>
    <row r="617">
      <c r="A617" t="inlineStr">
        <is>
          <t>压力测试结果表</t>
        </is>
      </c>
      <c r="B617" t="inlineStr">
        <is>
          <t>CLR_STRESS_TEST</t>
        </is>
      </c>
      <c r="C617" t="inlineStr">
        <is>
          <t>SEVEREAFTERLACKCUSTSUM</t>
        </is>
      </c>
      <c r="D617" t="inlineStr">
        <is>
          <t>INT</t>
        </is>
      </c>
      <c r="E617" t="inlineStr">
        <is>
          <t>YES</t>
        </is>
      </c>
      <c r="F617" t="inlineStr">
        <is>
          <t>重度压后不足值业务客户数量</t>
        </is>
      </c>
      <c r="H617" t="inlineStr">
        <is>
          <t>INT</t>
        </is>
      </c>
    </row>
    <row r="618">
      <c r="A618" t="inlineStr">
        <is>
          <t>押品分类目录</t>
        </is>
      </c>
      <c r="B618" t="inlineStr">
        <is>
          <t>CLR_CATALOG</t>
        </is>
      </c>
      <c r="C618" t="inlineStr">
        <is>
          <t>CLRTYPEID</t>
        </is>
      </c>
      <c r="D618" t="inlineStr">
        <is>
          <t>VARCHAR(32)</t>
        </is>
      </c>
      <c r="E618" t="inlineStr">
        <is>
          <t>NO</t>
        </is>
      </c>
      <c r="F618" t="inlineStr">
        <is>
          <t>押品类型编号</t>
        </is>
      </c>
      <c r="H618" t="inlineStr">
        <is>
          <t>VARCHAR</t>
        </is>
      </c>
      <c r="I618" t="inlineStr">
        <is>
          <t>32</t>
        </is>
      </c>
    </row>
    <row r="619">
      <c r="A619" t="inlineStr">
        <is>
          <t>押品分类目录</t>
        </is>
      </c>
      <c r="B619" t="inlineStr">
        <is>
          <t>CLR_CATALOG</t>
        </is>
      </c>
      <c r="C619" t="inlineStr">
        <is>
          <t>CLRTYPENAME</t>
        </is>
      </c>
      <c r="D619" t="inlineStr">
        <is>
          <t>VARCHAR(80)</t>
        </is>
      </c>
      <c r="E619" t="inlineStr">
        <is>
          <t>YES</t>
        </is>
      </c>
      <c r="F619" t="inlineStr">
        <is>
          <t>押品类型名称</t>
        </is>
      </c>
      <c r="H619" t="inlineStr">
        <is>
          <t>VARCHAR</t>
        </is>
      </c>
      <c r="I619" t="inlineStr">
        <is>
          <t>80</t>
        </is>
      </c>
    </row>
    <row r="620">
      <c r="A620" t="inlineStr">
        <is>
          <t>押品分类目录</t>
        </is>
      </c>
      <c r="B620" t="inlineStr">
        <is>
          <t>CLR_CATALOG</t>
        </is>
      </c>
      <c r="C620" t="inlineStr">
        <is>
          <t>PARENTNODEID</t>
        </is>
      </c>
      <c r="D620" t="inlineStr">
        <is>
          <t>VARCHAR(32)</t>
        </is>
      </c>
      <c r="E620" t="inlineStr">
        <is>
          <t>YES</t>
        </is>
      </c>
      <c r="F620" t="inlineStr">
        <is>
          <t>父节点编号</t>
        </is>
      </c>
      <c r="H620" t="inlineStr">
        <is>
          <t>VARCHAR</t>
        </is>
      </c>
      <c r="I620" t="inlineStr">
        <is>
          <t>32</t>
        </is>
      </c>
    </row>
    <row r="621">
      <c r="A621" t="inlineStr">
        <is>
          <t>押品分类目录</t>
        </is>
      </c>
      <c r="B621" t="inlineStr">
        <is>
          <t>CLR_CATALOG</t>
        </is>
      </c>
      <c r="C621" t="inlineStr">
        <is>
          <t>ISLEAFNODE</t>
        </is>
      </c>
      <c r="D621" t="inlineStr">
        <is>
          <t>CHAR(1)</t>
        </is>
      </c>
      <c r="E621" t="inlineStr">
        <is>
          <t>YES</t>
        </is>
      </c>
      <c r="F621" t="inlineStr">
        <is>
          <t>是否叶节点</t>
        </is>
      </c>
      <c r="H621" t="inlineStr">
        <is>
          <t>CHAR</t>
        </is>
      </c>
      <c r="I621" t="inlineStr">
        <is>
          <t>1</t>
        </is>
      </c>
    </row>
    <row r="622">
      <c r="A622" t="inlineStr">
        <is>
          <t>押品分类目录</t>
        </is>
      </c>
      <c r="B622" t="inlineStr">
        <is>
          <t>CLR_CATALOG</t>
        </is>
      </c>
      <c r="C622" t="inlineStr">
        <is>
          <t>CLRTABLENAME</t>
        </is>
      </c>
      <c r="D622" t="inlineStr">
        <is>
          <t>VARCHAR(80)</t>
        </is>
      </c>
      <c r="E622" t="inlineStr">
        <is>
          <t>YES</t>
        </is>
      </c>
      <c r="F622" t="inlineStr">
        <is>
          <t>押品表名</t>
        </is>
      </c>
      <c r="H622" t="inlineStr">
        <is>
          <t>VARCHAR</t>
        </is>
      </c>
      <c r="I622" t="inlineStr">
        <is>
          <t>80</t>
        </is>
      </c>
    </row>
    <row r="623">
      <c r="A623" t="inlineStr">
        <is>
          <t>押品分类目录</t>
        </is>
      </c>
      <c r="B623" t="inlineStr">
        <is>
          <t>CLR_CATALOG</t>
        </is>
      </c>
      <c r="C623" t="inlineStr">
        <is>
          <t>TEMPLETNO</t>
        </is>
      </c>
      <c r="D623" t="inlineStr">
        <is>
          <t>VARCHAR(32)</t>
        </is>
      </c>
      <c r="E623" t="inlineStr">
        <is>
          <t>YES</t>
        </is>
      </c>
      <c r="F623" t="inlineStr">
        <is>
          <t>模板编号</t>
        </is>
      </c>
      <c r="H623" t="inlineStr">
        <is>
          <t>VARCHAR</t>
        </is>
      </c>
      <c r="I623" t="inlineStr">
        <is>
          <t>32</t>
        </is>
      </c>
    </row>
    <row r="624">
      <c r="A624" t="inlineStr">
        <is>
          <t>押品分类目录</t>
        </is>
      </c>
      <c r="B624" t="inlineStr">
        <is>
          <t>CLR_CATALOG</t>
        </is>
      </c>
      <c r="C624" t="inlineStr">
        <is>
          <t>COREFIELDS</t>
        </is>
      </c>
      <c r="D624" t="inlineStr">
        <is>
          <t>VARCHAR(500)</t>
        </is>
      </c>
      <c r="E624" t="inlineStr">
        <is>
          <t>YES</t>
        </is>
      </c>
      <c r="F624" t="inlineStr">
        <is>
          <t>核心要素</t>
        </is>
      </c>
      <c r="H624" t="inlineStr">
        <is>
          <t>VARCHAR</t>
        </is>
      </c>
      <c r="I624" t="inlineStr">
        <is>
          <t>500</t>
        </is>
      </c>
    </row>
    <row r="625">
      <c r="A625" t="inlineStr">
        <is>
          <t>押品分类目录</t>
        </is>
      </c>
      <c r="B625" t="inlineStr">
        <is>
          <t>CLR_CATALOG</t>
        </is>
      </c>
      <c r="C625" t="inlineStr">
        <is>
          <t>SUBFIELDS</t>
        </is>
      </c>
      <c r="D625" t="inlineStr">
        <is>
          <t>VARCHAR(500)</t>
        </is>
      </c>
      <c r="E625" t="inlineStr">
        <is>
          <t>YES</t>
        </is>
      </c>
      <c r="F625" t="inlineStr">
        <is>
          <t>辅助要素</t>
        </is>
      </c>
      <c r="H625" t="inlineStr">
        <is>
          <t>VARCHAR</t>
        </is>
      </c>
      <c r="I625" t="inlineStr">
        <is>
          <t>500</t>
        </is>
      </c>
    </row>
    <row r="626">
      <c r="A626" t="inlineStr">
        <is>
          <t>押品分类目录</t>
        </is>
      </c>
      <c r="B626" t="inlineStr">
        <is>
          <t>CLR_CATALOG</t>
        </is>
      </c>
      <c r="C626" t="inlineStr">
        <is>
          <t>CLRONLYSCOPE</t>
        </is>
      </c>
      <c r="D626" t="inlineStr">
        <is>
          <t>VARCHAR(500)</t>
        </is>
      </c>
      <c r="E626" t="inlineStr">
        <is>
          <t>YES</t>
        </is>
      </c>
      <c r="F626" t="inlineStr">
        <is>
          <t>押品唯一性校验范围</t>
        </is>
      </c>
      <c r="H626" t="inlineStr">
        <is>
          <t>VARCHAR</t>
        </is>
      </c>
      <c r="I626" t="inlineStr">
        <is>
          <t>500</t>
        </is>
      </c>
    </row>
    <row r="627">
      <c r="A627" t="inlineStr">
        <is>
          <t>押品分类目录</t>
        </is>
      </c>
      <c r="B627" t="inlineStr">
        <is>
          <t>CLR_CATALOG</t>
        </is>
      </c>
      <c r="C627" t="inlineStr">
        <is>
          <t>EFFECTIVEDATE</t>
        </is>
      </c>
      <c r="D627" t="inlineStr">
        <is>
          <t>DATETIME</t>
        </is>
      </c>
      <c r="E627" t="inlineStr">
        <is>
          <t>YES</t>
        </is>
      </c>
      <c r="F627" t="inlineStr">
        <is>
          <t>生效日期</t>
        </is>
      </c>
      <c r="H627" t="inlineStr">
        <is>
          <t>DATETIME</t>
        </is>
      </c>
    </row>
    <row r="628">
      <c r="A628" t="inlineStr">
        <is>
          <t>押品分类目录</t>
        </is>
      </c>
      <c r="B628" t="inlineStr">
        <is>
          <t>CLR_CATALOG</t>
        </is>
      </c>
      <c r="C628" t="inlineStr">
        <is>
          <t>EXPIRYDATE</t>
        </is>
      </c>
      <c r="D628" t="inlineStr">
        <is>
          <t>DATETIME</t>
        </is>
      </c>
      <c r="E628" t="inlineStr">
        <is>
          <t>YES</t>
        </is>
      </c>
      <c r="F628" t="inlineStr">
        <is>
          <t>失效日期</t>
        </is>
      </c>
      <c r="H628" t="inlineStr">
        <is>
          <t>DATETIME</t>
        </is>
      </c>
    </row>
    <row r="629">
      <c r="A629" t="inlineStr">
        <is>
          <t>押品分类目录</t>
        </is>
      </c>
      <c r="B629" t="inlineStr">
        <is>
          <t>CLR_CATALOG</t>
        </is>
      </c>
      <c r="C629" t="inlineStr">
        <is>
          <t>STATUS</t>
        </is>
      </c>
      <c r="D629" t="inlineStr">
        <is>
          <t>CHAR(1)</t>
        </is>
      </c>
      <c r="E629" t="inlineStr">
        <is>
          <t>YES</t>
        </is>
      </c>
      <c r="F629" t="inlineStr">
        <is>
          <t>状态</t>
        </is>
      </c>
      <c r="H629" t="inlineStr">
        <is>
          <t>CHAR</t>
        </is>
      </c>
      <c r="I629" t="inlineStr">
        <is>
          <t>1</t>
        </is>
      </c>
    </row>
    <row r="630">
      <c r="A630" t="inlineStr">
        <is>
          <t>押品分类目录</t>
        </is>
      </c>
      <c r="B630" t="inlineStr">
        <is>
          <t>CLR_CATALOG</t>
        </is>
      </c>
      <c r="C630" t="inlineStr">
        <is>
          <t>INPUTORGID</t>
        </is>
      </c>
      <c r="D630" t="inlineStr">
        <is>
          <t>VARCHAR(32)</t>
        </is>
      </c>
      <c r="E630" t="inlineStr">
        <is>
          <t>YES</t>
        </is>
      </c>
      <c r="F630" t="inlineStr">
        <is>
          <t>登记机构</t>
        </is>
      </c>
      <c r="H630" t="inlineStr">
        <is>
          <t>VARCHAR</t>
        </is>
      </c>
      <c r="I630" t="inlineStr">
        <is>
          <t>32</t>
        </is>
      </c>
    </row>
    <row r="631">
      <c r="A631" t="inlineStr">
        <is>
          <t>押品分类目录</t>
        </is>
      </c>
      <c r="B631" t="inlineStr">
        <is>
          <t>CLR_CATALOG</t>
        </is>
      </c>
      <c r="C631" t="inlineStr">
        <is>
          <t>INPUTUSERID</t>
        </is>
      </c>
      <c r="D631" t="inlineStr">
        <is>
          <t>VARCHAR(32)</t>
        </is>
      </c>
      <c r="E631" t="inlineStr">
        <is>
          <t>YES</t>
        </is>
      </c>
      <c r="F631" t="inlineStr">
        <is>
          <t>登记人</t>
        </is>
      </c>
      <c r="H631" t="inlineStr">
        <is>
          <t>VARCHAR</t>
        </is>
      </c>
      <c r="I631" t="inlineStr">
        <is>
          <t>32</t>
        </is>
      </c>
    </row>
    <row r="632">
      <c r="A632" t="inlineStr">
        <is>
          <t>押品分类目录</t>
        </is>
      </c>
      <c r="B632" t="inlineStr">
        <is>
          <t>CLR_CATALOG</t>
        </is>
      </c>
      <c r="C632" t="inlineStr">
        <is>
          <t>INPUTDATE</t>
        </is>
      </c>
      <c r="D632" t="inlineStr">
        <is>
          <t>DATETIME</t>
        </is>
      </c>
      <c r="E632" t="inlineStr">
        <is>
          <t>YES</t>
        </is>
      </c>
      <c r="F632" t="inlineStr">
        <is>
          <t>登记日期</t>
        </is>
      </c>
      <c r="H632" t="inlineStr">
        <is>
          <t>DATETIME</t>
        </is>
      </c>
    </row>
    <row r="633">
      <c r="A633" t="inlineStr">
        <is>
          <t>押品分类目录</t>
        </is>
      </c>
      <c r="B633" t="inlineStr">
        <is>
          <t>CLR_CATALOG</t>
        </is>
      </c>
      <c r="C633" t="inlineStr">
        <is>
          <t>UPDATEORGID</t>
        </is>
      </c>
      <c r="D633" t="inlineStr">
        <is>
          <t>VARCHAR(32)</t>
        </is>
      </c>
      <c r="E633" t="inlineStr">
        <is>
          <t>YES</t>
        </is>
      </c>
      <c r="F633" t="inlineStr">
        <is>
          <t>更新机构</t>
        </is>
      </c>
      <c r="H633" t="inlineStr">
        <is>
          <t>VARCHAR</t>
        </is>
      </c>
      <c r="I633" t="inlineStr">
        <is>
          <t>32</t>
        </is>
      </c>
    </row>
    <row r="634">
      <c r="A634" t="inlineStr">
        <is>
          <t>押品分类目录</t>
        </is>
      </c>
      <c r="B634" t="inlineStr">
        <is>
          <t>CLR_CATALOG</t>
        </is>
      </c>
      <c r="C634" t="inlineStr">
        <is>
          <t>UPDATEUSERID</t>
        </is>
      </c>
      <c r="D634" t="inlineStr">
        <is>
          <t>VARCHAR(32)</t>
        </is>
      </c>
      <c r="E634" t="inlineStr">
        <is>
          <t>YES</t>
        </is>
      </c>
      <c r="F634" t="inlineStr">
        <is>
          <t>更新人</t>
        </is>
      </c>
      <c r="H634" t="inlineStr">
        <is>
          <t>VARCHAR</t>
        </is>
      </c>
      <c r="I634" t="inlineStr">
        <is>
          <t>32</t>
        </is>
      </c>
    </row>
    <row r="635">
      <c r="A635" t="inlineStr">
        <is>
          <t>押品分类目录</t>
        </is>
      </c>
      <c r="B635" t="inlineStr">
        <is>
          <t>CLR_CATALOG</t>
        </is>
      </c>
      <c r="C635" t="inlineStr">
        <is>
          <t>UPDATEDATE</t>
        </is>
      </c>
      <c r="D635" t="inlineStr">
        <is>
          <t>DATETIME</t>
        </is>
      </c>
      <c r="E635" t="inlineStr">
        <is>
          <t>YES</t>
        </is>
      </c>
      <c r="F635" t="inlineStr">
        <is>
          <t>更新日期</t>
        </is>
      </c>
      <c r="H635" t="inlineStr">
        <is>
          <t>DATETIME</t>
        </is>
      </c>
    </row>
    <row r="636">
      <c r="A636" t="inlineStr">
        <is>
          <t>押品分类目录</t>
        </is>
      </c>
      <c r="B636" t="inlineStr">
        <is>
          <t>CLR_CATALOG</t>
        </is>
      </c>
      <c r="C636" t="inlineStr">
        <is>
          <t>REMARK</t>
        </is>
      </c>
      <c r="D636" t="inlineStr">
        <is>
          <t>VARCHAR(500)</t>
        </is>
      </c>
      <c r="E636" t="inlineStr">
        <is>
          <t>YES</t>
        </is>
      </c>
      <c r="F636" t="inlineStr">
        <is>
          <t>备注</t>
        </is>
      </c>
      <c r="H636" t="inlineStr">
        <is>
          <t>VARCHAR</t>
        </is>
      </c>
      <c r="I636" t="inlineStr">
        <is>
          <t>500</t>
        </is>
      </c>
    </row>
    <row r="637">
      <c r="A637" t="inlineStr">
        <is>
          <t>押品分类目录</t>
        </is>
      </c>
      <c r="B637" t="inlineStr">
        <is>
          <t>CLR_CATALOG</t>
        </is>
      </c>
      <c r="C637" t="inlineStr">
        <is>
          <t>DETAILURL</t>
        </is>
      </c>
      <c r="D637" t="inlineStr">
        <is>
          <t>VARCHAR(200)</t>
        </is>
      </c>
      <c r="E637" t="inlineStr">
        <is>
          <t>YES</t>
        </is>
      </c>
      <c r="F637" t="inlineStr">
        <is>
          <t>详情页面URL</t>
        </is>
      </c>
      <c r="H637" t="inlineStr">
        <is>
          <t>VARCHAR</t>
        </is>
      </c>
      <c r="I637" t="inlineStr">
        <is>
          <t>200</t>
        </is>
      </c>
    </row>
    <row r="638">
      <c r="A638" t="inlineStr">
        <is>
          <t>押品分类目录</t>
        </is>
      </c>
      <c r="B638" t="inlineStr">
        <is>
          <t>CLR_CATALOG</t>
        </is>
      </c>
      <c r="C638" t="inlineStr">
        <is>
          <t>EDITURL</t>
        </is>
      </c>
      <c r="D638" t="inlineStr">
        <is>
          <t>VARCHAR(200)</t>
        </is>
      </c>
      <c r="E638" t="inlineStr">
        <is>
          <t>YES</t>
        </is>
      </c>
      <c r="F638" t="inlineStr">
        <is>
          <t>编辑页面URL</t>
        </is>
      </c>
      <c r="H638" t="inlineStr">
        <is>
          <t>VARCHAR</t>
        </is>
      </c>
      <c r="I638" t="inlineStr">
        <is>
          <t>200</t>
        </is>
      </c>
    </row>
    <row r="639">
      <c r="A639" t="inlineStr">
        <is>
          <t>押品分类目录</t>
        </is>
      </c>
      <c r="B639" t="inlineStr">
        <is>
          <t>CLR_CATALOG</t>
        </is>
      </c>
      <c r="C639" t="inlineStr">
        <is>
          <t>CORPORGID</t>
        </is>
      </c>
      <c r="D639" t="inlineStr">
        <is>
          <t>VARCHAR(32)</t>
        </is>
      </c>
      <c r="E639" t="inlineStr">
        <is>
          <t>YES</t>
        </is>
      </c>
      <c r="F639" t="inlineStr">
        <is>
          <t>法人机构编号</t>
        </is>
      </c>
      <c r="H639" t="inlineStr">
        <is>
          <t>VARCHAR</t>
        </is>
      </c>
      <c r="I639" t="inlineStr">
        <is>
          <t>32</t>
        </is>
      </c>
    </row>
    <row r="640">
      <c r="A640" t="inlineStr">
        <is>
          <t>押品处置信息</t>
        </is>
      </c>
      <c r="B640" t="inlineStr">
        <is>
          <t>CLR_HANDLE_INFO</t>
        </is>
      </c>
      <c r="C640" t="inlineStr">
        <is>
          <t>CLRHANDLEID</t>
        </is>
      </c>
      <c r="D640" t="inlineStr">
        <is>
          <t>VARCHAR(32)</t>
        </is>
      </c>
      <c r="E640" t="inlineStr">
        <is>
          <t>NO</t>
        </is>
      </c>
      <c r="F640" t="inlineStr">
        <is>
          <t>抵债资产编号</t>
        </is>
      </c>
      <c r="H640" t="inlineStr">
        <is>
          <t>VARCHAR</t>
        </is>
      </c>
      <c r="I640" t="inlineStr">
        <is>
          <t>32</t>
        </is>
      </c>
    </row>
    <row r="641">
      <c r="A641" t="inlineStr">
        <is>
          <t>押品处置信息</t>
        </is>
      </c>
      <c r="B641" t="inlineStr">
        <is>
          <t>CLR_HANDLE_INFO</t>
        </is>
      </c>
      <c r="C641" t="inlineStr">
        <is>
          <t>CLRID</t>
        </is>
      </c>
      <c r="D641" t="inlineStr">
        <is>
          <t>VARCHAR(32)</t>
        </is>
      </c>
      <c r="E641" t="inlineStr">
        <is>
          <t>YES</t>
        </is>
      </c>
      <c r="F641" t="inlineStr">
        <is>
          <t>押品编号</t>
        </is>
      </c>
      <c r="H641" t="inlineStr">
        <is>
          <t>VARCHAR</t>
        </is>
      </c>
      <c r="I641" t="inlineStr">
        <is>
          <t>32</t>
        </is>
      </c>
    </row>
    <row r="642">
      <c r="A642" t="inlineStr">
        <is>
          <t>押品处置信息</t>
        </is>
      </c>
      <c r="B642" t="inlineStr">
        <is>
          <t>CLR_HANDLE_INFO</t>
        </is>
      </c>
      <c r="C642" t="inlineStr">
        <is>
          <t>CLRTYPEID</t>
        </is>
      </c>
      <c r="D642" t="inlineStr">
        <is>
          <t>VARCHAR(32)</t>
        </is>
      </c>
      <c r="E642" t="inlineStr">
        <is>
          <t>YES</t>
        </is>
      </c>
      <c r="F642" t="inlineStr">
        <is>
          <t>抵债资产类型编号</t>
        </is>
      </c>
      <c r="H642" t="inlineStr">
        <is>
          <t>VARCHAR</t>
        </is>
      </c>
      <c r="I642" t="inlineStr">
        <is>
          <t>32</t>
        </is>
      </c>
    </row>
    <row r="643">
      <c r="A643" t="inlineStr">
        <is>
          <t>押品处置信息</t>
        </is>
      </c>
      <c r="B643" t="inlineStr">
        <is>
          <t>CLR_HANDLE_INFO</t>
        </is>
      </c>
      <c r="C643" t="inlineStr">
        <is>
          <t>CASHINBACKWAY</t>
        </is>
      </c>
      <c r="D643" t="inlineStr">
        <is>
          <t>VARCHAR(80)</t>
        </is>
      </c>
      <c r="E643" t="inlineStr">
        <is>
          <t>YES</t>
        </is>
      </c>
      <c r="F643" t="inlineStr">
        <is>
          <t>回收来源</t>
        </is>
      </c>
      <c r="H643" t="inlineStr">
        <is>
          <t>VARCHAR</t>
        </is>
      </c>
      <c r="I643" t="inlineStr">
        <is>
          <t>80</t>
        </is>
      </c>
    </row>
    <row r="644">
      <c r="A644" t="inlineStr">
        <is>
          <t>押品处置信息</t>
        </is>
      </c>
      <c r="B644" t="inlineStr">
        <is>
          <t>CLR_HANDLE_INFO</t>
        </is>
      </c>
      <c r="C644" t="inlineStr">
        <is>
          <t>FORMERCURRENCY</t>
        </is>
      </c>
      <c r="D644" t="inlineStr">
        <is>
          <t>VARCHAR(18)</t>
        </is>
      </c>
      <c r="E644" t="inlineStr">
        <is>
          <t>YES</t>
        </is>
      </c>
      <c r="F644" t="inlineStr">
        <is>
          <t>原币种</t>
        </is>
      </c>
      <c r="H644" t="inlineStr">
        <is>
          <t>VARCHAR</t>
        </is>
      </c>
      <c r="I644" t="inlineStr">
        <is>
          <t>18</t>
        </is>
      </c>
    </row>
    <row r="645">
      <c r="A645" t="inlineStr">
        <is>
          <t>押品处置信息</t>
        </is>
      </c>
      <c r="B645" t="inlineStr">
        <is>
          <t>CLR_HANDLE_INFO</t>
        </is>
      </c>
      <c r="C645" t="inlineStr">
        <is>
          <t>RECLAIMCURRENCY</t>
        </is>
      </c>
      <c r="D645" t="inlineStr">
        <is>
          <t>VARCHAR(18)</t>
        </is>
      </c>
      <c r="E645" t="inlineStr">
        <is>
          <t>YES</t>
        </is>
      </c>
      <c r="F645" t="inlineStr">
        <is>
          <t>收现币种</t>
        </is>
      </c>
      <c r="H645" t="inlineStr">
        <is>
          <t>VARCHAR</t>
        </is>
      </c>
      <c r="I645" t="inlineStr">
        <is>
          <t>18</t>
        </is>
      </c>
    </row>
    <row r="646">
      <c r="A646" t="inlineStr">
        <is>
          <t>押品处置信息</t>
        </is>
      </c>
      <c r="B646" t="inlineStr">
        <is>
          <t>CLR_HANDLE_INFO</t>
        </is>
      </c>
      <c r="C646" t="inlineStr">
        <is>
          <t>RECLAIMDATE</t>
        </is>
      </c>
      <c r="D646" t="inlineStr">
        <is>
          <t>DATETIME</t>
        </is>
      </c>
      <c r="E646" t="inlineStr">
        <is>
          <t>YES</t>
        </is>
      </c>
      <c r="F646" t="inlineStr">
        <is>
          <t>收现日期</t>
        </is>
      </c>
      <c r="H646" t="inlineStr">
        <is>
          <t>DATETIME</t>
        </is>
      </c>
    </row>
    <row r="647">
      <c r="A647" t="inlineStr">
        <is>
          <t>押品处置信息</t>
        </is>
      </c>
      <c r="B647" t="inlineStr">
        <is>
          <t>CLR_HANDLE_INFO</t>
        </is>
      </c>
      <c r="C647" t="inlineStr">
        <is>
          <t>RECLAIMSUM</t>
        </is>
      </c>
      <c r="D647" t="inlineStr">
        <is>
          <t>DECIMAL(24,6)</t>
        </is>
      </c>
      <c r="E647" t="inlineStr">
        <is>
          <t>YES</t>
        </is>
      </c>
      <c r="F647" t="inlineStr">
        <is>
          <t>收现总额</t>
        </is>
      </c>
      <c r="H647" t="inlineStr">
        <is>
          <t>DECIMAL</t>
        </is>
      </c>
      <c r="I647" t="inlineStr">
        <is>
          <t>24,6</t>
        </is>
      </c>
    </row>
    <row r="648">
      <c r="A648" t="inlineStr">
        <is>
          <t>押品处置信息</t>
        </is>
      </c>
      <c r="B648" t="inlineStr">
        <is>
          <t>CLR_HANDLE_INFO</t>
        </is>
      </c>
      <c r="C648" t="inlineStr">
        <is>
          <t>RMBRECLAIMSUM</t>
        </is>
      </c>
      <c r="D648" t="inlineStr">
        <is>
          <t>DECIMAL(24,6)</t>
        </is>
      </c>
      <c r="E648" t="inlineStr">
        <is>
          <t>YES</t>
        </is>
      </c>
      <c r="F648" t="inlineStr">
        <is>
          <t>收现人民币总额</t>
        </is>
      </c>
      <c r="H648" t="inlineStr">
        <is>
          <t>DECIMAL</t>
        </is>
      </c>
      <c r="I648" t="inlineStr">
        <is>
          <t>24,6</t>
        </is>
      </c>
    </row>
    <row r="649">
      <c r="A649" t="inlineStr">
        <is>
          <t>押品处置信息</t>
        </is>
      </c>
      <c r="B649" t="inlineStr">
        <is>
          <t>CLR_HANDLE_INFO</t>
        </is>
      </c>
      <c r="C649" t="inlineStr">
        <is>
          <t>HANDLEFEE</t>
        </is>
      </c>
      <c r="D649" t="inlineStr">
        <is>
          <t>DECIMAL(24,6)</t>
        </is>
      </c>
      <c r="E649" t="inlineStr">
        <is>
          <t>YES</t>
        </is>
      </c>
      <c r="F649" t="inlineStr">
        <is>
          <t>处置过程产生费用</t>
        </is>
      </c>
      <c r="H649" t="inlineStr">
        <is>
          <t>DECIMAL</t>
        </is>
      </c>
      <c r="I649" t="inlineStr">
        <is>
          <t>24,6</t>
        </is>
      </c>
    </row>
    <row r="650">
      <c r="A650" t="inlineStr">
        <is>
          <t>押品处置信息</t>
        </is>
      </c>
      <c r="B650" t="inlineStr">
        <is>
          <t>CLR_HANDLE_INFO</t>
        </is>
      </c>
      <c r="C650" t="inlineStr">
        <is>
          <t>HANDLEDATE</t>
        </is>
      </c>
      <c r="D650" t="inlineStr">
        <is>
          <t>DATETIME</t>
        </is>
      </c>
      <c r="E650" t="inlineStr">
        <is>
          <t>YES</t>
        </is>
      </c>
      <c r="F650" t="inlineStr">
        <is>
          <t>购/结汇日期</t>
        </is>
      </c>
      <c r="H650" t="inlineStr">
        <is>
          <t>DATETIME</t>
        </is>
      </c>
    </row>
    <row r="651">
      <c r="A651" t="inlineStr">
        <is>
          <t>押品处置信息</t>
        </is>
      </c>
      <c r="B651" t="inlineStr">
        <is>
          <t>CLR_HANDLE_INFO</t>
        </is>
      </c>
      <c r="C651" t="inlineStr">
        <is>
          <t>ENTERACCOUNTDATE</t>
        </is>
      </c>
      <c r="D651" t="inlineStr">
        <is>
          <t>DATETIME</t>
        </is>
      </c>
      <c r="E651" t="inlineStr">
        <is>
          <t>YES</t>
        </is>
      </c>
      <c r="F651" t="inlineStr">
        <is>
          <t>收现入账日期</t>
        </is>
      </c>
      <c r="H651" t="inlineStr">
        <is>
          <t>DATETIME</t>
        </is>
      </c>
    </row>
    <row r="652">
      <c r="A652" t="inlineStr">
        <is>
          <t>押品处置信息</t>
        </is>
      </c>
      <c r="B652" t="inlineStr">
        <is>
          <t>CLR_HANDLE_INFO</t>
        </is>
      </c>
      <c r="C652" t="inlineStr">
        <is>
          <t>REMARK</t>
        </is>
      </c>
      <c r="D652" t="inlineStr">
        <is>
          <t>VARCHAR(500)</t>
        </is>
      </c>
      <c r="E652" t="inlineStr">
        <is>
          <t>YES</t>
        </is>
      </c>
      <c r="F652" t="inlineStr">
        <is>
          <t>备注</t>
        </is>
      </c>
      <c r="H652" t="inlineStr">
        <is>
          <t>VARCHAR</t>
        </is>
      </c>
      <c r="I652" t="inlineStr">
        <is>
          <t>500</t>
        </is>
      </c>
    </row>
    <row r="653">
      <c r="A653" t="inlineStr">
        <is>
          <t>押品处置信息</t>
        </is>
      </c>
      <c r="B653" t="inlineStr">
        <is>
          <t>CLR_HANDLE_INFO</t>
        </is>
      </c>
      <c r="C653" t="inlineStr">
        <is>
          <t>INPUTUSERID</t>
        </is>
      </c>
      <c r="D653" t="inlineStr">
        <is>
          <t>VARCHAR(32)</t>
        </is>
      </c>
      <c r="E653" t="inlineStr">
        <is>
          <t>YES</t>
        </is>
      </c>
      <c r="F653" t="inlineStr">
        <is>
          <t>登记人</t>
        </is>
      </c>
      <c r="H653" t="inlineStr">
        <is>
          <t>VARCHAR</t>
        </is>
      </c>
      <c r="I653" t="inlineStr">
        <is>
          <t>32</t>
        </is>
      </c>
    </row>
    <row r="654">
      <c r="A654" t="inlineStr">
        <is>
          <t>押品处置信息</t>
        </is>
      </c>
      <c r="B654" t="inlineStr">
        <is>
          <t>CLR_HANDLE_INFO</t>
        </is>
      </c>
      <c r="C654" t="inlineStr">
        <is>
          <t>INPUTORGID</t>
        </is>
      </c>
      <c r="D654" t="inlineStr">
        <is>
          <t>VARCHAR(32)</t>
        </is>
      </c>
      <c r="E654" t="inlineStr">
        <is>
          <t>YES</t>
        </is>
      </c>
      <c r="F654" t="inlineStr">
        <is>
          <t>登记机构</t>
        </is>
      </c>
      <c r="H654" t="inlineStr">
        <is>
          <t>VARCHAR</t>
        </is>
      </c>
      <c r="I654" t="inlineStr">
        <is>
          <t>32</t>
        </is>
      </c>
    </row>
    <row r="655">
      <c r="A655" t="inlineStr">
        <is>
          <t>押品处置信息</t>
        </is>
      </c>
      <c r="B655" t="inlineStr">
        <is>
          <t>CLR_HANDLE_INFO</t>
        </is>
      </c>
      <c r="C655" t="inlineStr">
        <is>
          <t>INPUTDATE</t>
        </is>
      </c>
      <c r="D655" t="inlineStr">
        <is>
          <t>DATETIME</t>
        </is>
      </c>
      <c r="E655" t="inlineStr">
        <is>
          <t>YES</t>
        </is>
      </c>
      <c r="F655" t="inlineStr">
        <is>
          <t>登记日期</t>
        </is>
      </c>
      <c r="H655" t="inlineStr">
        <is>
          <t>DATETIME</t>
        </is>
      </c>
    </row>
    <row r="656">
      <c r="A656" t="inlineStr">
        <is>
          <t>押品处置信息</t>
        </is>
      </c>
      <c r="B656" t="inlineStr">
        <is>
          <t>CLR_HANDLE_INFO</t>
        </is>
      </c>
      <c r="C656" t="inlineStr">
        <is>
          <t>UPDATEUSERID</t>
        </is>
      </c>
      <c r="D656" t="inlineStr">
        <is>
          <t>VARCHAR(32)</t>
        </is>
      </c>
      <c r="E656" t="inlineStr">
        <is>
          <t>YES</t>
        </is>
      </c>
      <c r="F656" t="inlineStr">
        <is>
          <t>更新人</t>
        </is>
      </c>
      <c r="H656" t="inlineStr">
        <is>
          <t>VARCHAR</t>
        </is>
      </c>
      <c r="I656" t="inlineStr">
        <is>
          <t>32</t>
        </is>
      </c>
    </row>
    <row r="657">
      <c r="A657" t="inlineStr">
        <is>
          <t>押品处置信息</t>
        </is>
      </c>
      <c r="B657" t="inlineStr">
        <is>
          <t>CLR_HANDLE_INFO</t>
        </is>
      </c>
      <c r="C657" t="inlineStr">
        <is>
          <t>UPDATEORGID</t>
        </is>
      </c>
      <c r="D657" t="inlineStr">
        <is>
          <t>VARCHAR(32)</t>
        </is>
      </c>
      <c r="E657" t="inlineStr">
        <is>
          <t>YES</t>
        </is>
      </c>
      <c r="F657" t="inlineStr">
        <is>
          <t>更新机构</t>
        </is>
      </c>
      <c r="H657" t="inlineStr">
        <is>
          <t>VARCHAR</t>
        </is>
      </c>
      <c r="I657" t="inlineStr">
        <is>
          <t>32</t>
        </is>
      </c>
    </row>
    <row r="658">
      <c r="A658" t="inlineStr">
        <is>
          <t>押品处置信息</t>
        </is>
      </c>
      <c r="B658" t="inlineStr">
        <is>
          <t>CLR_HANDLE_INFO</t>
        </is>
      </c>
      <c r="C658" t="inlineStr">
        <is>
          <t>UPDATEDATE</t>
        </is>
      </c>
      <c r="D658" t="inlineStr">
        <is>
          <t>DATETIME</t>
        </is>
      </c>
      <c r="E658" t="inlineStr">
        <is>
          <t>YES</t>
        </is>
      </c>
      <c r="F658" t="inlineStr">
        <is>
          <t>更新日期</t>
        </is>
      </c>
      <c r="H658" t="inlineStr">
        <is>
          <t>DATETIME</t>
        </is>
      </c>
    </row>
    <row r="659">
      <c r="A659" t="inlineStr">
        <is>
          <t>押品处置信息</t>
        </is>
      </c>
      <c r="B659" t="inlineStr">
        <is>
          <t>CLR_HANDLE_INFO</t>
        </is>
      </c>
      <c r="C659" t="inlineStr">
        <is>
          <t>CORPORGID</t>
        </is>
      </c>
      <c r="D659" t="inlineStr">
        <is>
          <t>VARCHAR(32)</t>
        </is>
      </c>
      <c r="E659" t="inlineStr">
        <is>
          <t>YES</t>
        </is>
      </c>
      <c r="F659" t="inlineStr">
        <is>
          <t>法人机构编号</t>
        </is>
      </c>
      <c r="H659" t="inlineStr">
        <is>
          <t>VARCHAR</t>
        </is>
      </c>
      <c r="I659" t="inlineStr">
        <is>
          <t>32</t>
        </is>
      </c>
    </row>
    <row r="660">
      <c r="A660" t="inlineStr">
        <is>
          <t>押品分类参数</t>
        </is>
      </c>
      <c r="B660" t="inlineStr">
        <is>
          <t>CLR_PARAM</t>
        </is>
      </c>
      <c r="C660" t="inlineStr">
        <is>
          <t>CLRTYPEID</t>
        </is>
      </c>
      <c r="D660" t="inlineStr">
        <is>
          <t>VARCHAR(32)</t>
        </is>
      </c>
      <c r="E660" t="inlineStr">
        <is>
          <t>NO</t>
        </is>
      </c>
      <c r="F660" t="inlineStr">
        <is>
          <t>押品类型编号</t>
        </is>
      </c>
      <c r="H660" t="inlineStr">
        <is>
          <t>VARCHAR</t>
        </is>
      </c>
      <c r="I660" t="inlineStr">
        <is>
          <t>32</t>
        </is>
      </c>
    </row>
    <row r="661">
      <c r="A661" t="inlineStr">
        <is>
          <t>押品分类参数</t>
        </is>
      </c>
      <c r="B661" t="inlineStr">
        <is>
          <t>CLR_PARAM</t>
        </is>
      </c>
      <c r="C661" t="inlineStr">
        <is>
          <t>CLRTYPENAME</t>
        </is>
      </c>
      <c r="D661" t="inlineStr">
        <is>
          <t>VARCHAR(80)</t>
        </is>
      </c>
      <c r="E661" t="inlineStr">
        <is>
          <t>YES</t>
        </is>
      </c>
      <c r="F661" t="inlineStr">
        <is>
          <t>押品类型名称</t>
        </is>
      </c>
      <c r="H661" t="inlineStr">
        <is>
          <t>VARCHAR</t>
        </is>
      </c>
      <c r="I661" t="inlineStr">
        <is>
          <t>80</t>
        </is>
      </c>
    </row>
    <row r="662">
      <c r="A662" t="inlineStr">
        <is>
          <t>押品分类参数</t>
        </is>
      </c>
      <c r="B662" t="inlineStr">
        <is>
          <t>CLR_PARAM</t>
        </is>
      </c>
      <c r="C662" t="inlineStr">
        <is>
          <t>CRMTYPE</t>
        </is>
      </c>
      <c r="D662" t="inlineStr">
        <is>
          <t>VARCHAR(18)</t>
        </is>
      </c>
      <c r="E662" t="inlineStr">
        <is>
          <t>YES</t>
        </is>
      </c>
      <c r="F662" t="inlineStr">
        <is>
          <t>风险缓释工具类型</t>
        </is>
      </c>
      <c r="H662" t="inlineStr">
        <is>
          <t>VARCHAR</t>
        </is>
      </c>
      <c r="I662" t="inlineStr">
        <is>
          <t>18</t>
        </is>
      </c>
    </row>
    <row r="663">
      <c r="A663" t="inlineStr">
        <is>
          <t>押品分类参数</t>
        </is>
      </c>
      <c r="B663" t="inlineStr">
        <is>
          <t>CLR_PARAM</t>
        </is>
      </c>
      <c r="C663" t="inlineStr">
        <is>
          <t>MAXLTV</t>
        </is>
      </c>
      <c r="D663" t="inlineStr">
        <is>
          <t>DECIMAL(18,8)</t>
        </is>
      </c>
      <c r="E663" t="inlineStr">
        <is>
          <t>YES</t>
        </is>
      </c>
      <c r="F663" t="inlineStr">
        <is>
          <t>最大抵质押率</t>
        </is>
      </c>
      <c r="H663" t="inlineStr">
        <is>
          <t>DECIMAL</t>
        </is>
      </c>
      <c r="I663" t="inlineStr">
        <is>
          <t>18,8</t>
        </is>
      </c>
    </row>
    <row r="664">
      <c r="A664" t="inlineStr">
        <is>
          <t>押品分类参数</t>
        </is>
      </c>
      <c r="B664" t="inlineStr">
        <is>
          <t>CLR_PARAM</t>
        </is>
      </c>
      <c r="C664" t="inlineStr">
        <is>
          <t>MAXLTVSCENARIO</t>
        </is>
      </c>
      <c r="D664" t="inlineStr">
        <is>
          <t>VARCHAR(500)</t>
        </is>
      </c>
      <c r="E664" t="inlineStr">
        <is>
          <t>YES</t>
        </is>
      </c>
      <c r="F664" t="inlineStr">
        <is>
          <t>最大抵质押率适用业务场景</t>
        </is>
      </c>
      <c r="H664" t="inlineStr">
        <is>
          <t>VARCHAR</t>
        </is>
      </c>
      <c r="I664" t="inlineStr">
        <is>
          <t>500</t>
        </is>
      </c>
    </row>
    <row r="665">
      <c r="A665" t="inlineStr">
        <is>
          <t>押品分类参数</t>
        </is>
      </c>
      <c r="B665" t="inlineStr">
        <is>
          <t>CLR_PARAM</t>
        </is>
      </c>
      <c r="C665" t="inlineStr">
        <is>
          <t>ISALLOWEDMORT</t>
        </is>
      </c>
      <c r="D665" t="inlineStr">
        <is>
          <t>CHAR(1)</t>
        </is>
      </c>
      <c r="E665" t="inlineStr">
        <is>
          <t>YES</t>
        </is>
      </c>
      <c r="F665" t="inlineStr">
        <is>
          <t>是否允许抵押</t>
        </is>
      </c>
      <c r="H665" t="inlineStr">
        <is>
          <t>CHAR</t>
        </is>
      </c>
      <c r="I665" t="inlineStr">
        <is>
          <t>1</t>
        </is>
      </c>
    </row>
    <row r="666">
      <c r="A666" t="inlineStr">
        <is>
          <t>押品分类参数</t>
        </is>
      </c>
      <c r="B666" t="inlineStr">
        <is>
          <t>CLR_PARAM</t>
        </is>
      </c>
      <c r="C666" t="inlineStr">
        <is>
          <t>ISALLOWEDPLEDGE</t>
        </is>
      </c>
      <c r="D666" t="inlineStr">
        <is>
          <t>CHAR(1)</t>
        </is>
      </c>
      <c r="E666" t="inlineStr">
        <is>
          <t>YES</t>
        </is>
      </c>
      <c r="F666" t="inlineStr">
        <is>
          <t>是否允许质押</t>
        </is>
      </c>
      <c r="H666" t="inlineStr">
        <is>
          <t>CHAR</t>
        </is>
      </c>
      <c r="I666" t="inlineStr">
        <is>
          <t>1</t>
        </is>
      </c>
    </row>
    <row r="667">
      <c r="A667" t="inlineStr">
        <is>
          <t>押品分类参数</t>
        </is>
      </c>
      <c r="B667" t="inlineStr">
        <is>
          <t>CLR_PARAM</t>
        </is>
      </c>
      <c r="C667" t="inlineStr">
        <is>
          <t>ISALLOWEDREMORT</t>
        </is>
      </c>
      <c r="D667" t="inlineStr">
        <is>
          <t>CHAR(1)</t>
        </is>
      </c>
      <c r="E667" t="inlineStr">
        <is>
          <t>YES</t>
        </is>
      </c>
      <c r="F667" t="inlineStr">
        <is>
          <t>是否允许重复抵押</t>
        </is>
      </c>
      <c r="H667" t="inlineStr">
        <is>
          <t>CHAR</t>
        </is>
      </c>
      <c r="I667" t="inlineStr">
        <is>
          <t>1</t>
        </is>
      </c>
    </row>
    <row r="668">
      <c r="A668" t="inlineStr">
        <is>
          <t>押品分类参数</t>
        </is>
      </c>
      <c r="B668" t="inlineStr">
        <is>
          <t>CLR_PARAM</t>
        </is>
      </c>
      <c r="C668" t="inlineStr">
        <is>
          <t>ISALLOWEDREMORTINLINE</t>
        </is>
      </c>
      <c r="D668" t="inlineStr">
        <is>
          <t>CHAR(1)</t>
        </is>
      </c>
      <c r="E668" t="inlineStr">
        <is>
          <t>YES</t>
        </is>
      </c>
      <c r="F668" t="inlineStr">
        <is>
          <t>是否允许行内重复抵押</t>
        </is>
      </c>
      <c r="H668" t="inlineStr">
        <is>
          <t>CHAR</t>
        </is>
      </c>
      <c r="I668" t="inlineStr">
        <is>
          <t>1</t>
        </is>
      </c>
    </row>
    <row r="669">
      <c r="A669" t="inlineStr">
        <is>
          <t>押品分类参数</t>
        </is>
      </c>
      <c r="B669" t="inlineStr">
        <is>
          <t>CLR_PARAM</t>
        </is>
      </c>
      <c r="C669" t="inlineStr">
        <is>
          <t>ISACCEPTNFSTREPAY</t>
        </is>
      </c>
      <c r="D669" t="inlineStr">
        <is>
          <t>CHAR(1)</t>
        </is>
      </c>
      <c r="E669" t="inlineStr">
        <is>
          <t>YES</t>
        </is>
      </c>
      <c r="F669" t="inlineStr">
        <is>
          <t>是否接受非第一顺位受偿</t>
        </is>
      </c>
      <c r="H669" t="inlineStr">
        <is>
          <t>CHAR</t>
        </is>
      </c>
      <c r="I669" t="inlineStr">
        <is>
          <t>1</t>
        </is>
      </c>
    </row>
    <row r="670">
      <c r="A670" t="inlineStr">
        <is>
          <t>押品分类参数</t>
        </is>
      </c>
      <c r="B670" t="inlineStr">
        <is>
          <t>CLR_PARAM</t>
        </is>
      </c>
      <c r="C670" t="inlineStr">
        <is>
          <t>REGISTAGENCYTYPE</t>
        </is>
      </c>
      <c r="D670" t="inlineStr">
        <is>
          <t>VARCHAR(18)</t>
        </is>
      </c>
      <c r="E670" t="inlineStr">
        <is>
          <t>YES</t>
        </is>
      </c>
      <c r="F670" t="inlineStr">
        <is>
          <t>权利登记机关类型</t>
        </is>
      </c>
      <c r="H670" t="inlineStr">
        <is>
          <t>VARCHAR</t>
        </is>
      </c>
      <c r="I670" t="inlineStr">
        <is>
          <t>18</t>
        </is>
      </c>
    </row>
    <row r="671">
      <c r="A671" t="inlineStr">
        <is>
          <t>押品分类参数</t>
        </is>
      </c>
      <c r="B671" t="inlineStr">
        <is>
          <t>CLR_PARAM</t>
        </is>
      </c>
      <c r="C671" t="inlineStr">
        <is>
          <t>GNTCERTTYPE</t>
        </is>
      </c>
      <c r="D671" t="inlineStr">
        <is>
          <t>VARCHAR(18)</t>
        </is>
      </c>
      <c r="E671" t="inlineStr">
        <is>
          <t>YES</t>
        </is>
      </c>
      <c r="F671" t="inlineStr">
        <is>
          <t>抵质押代表权证类型</t>
        </is>
      </c>
      <c r="H671" t="inlineStr">
        <is>
          <t>VARCHAR</t>
        </is>
      </c>
      <c r="I671" t="inlineStr">
        <is>
          <t>18</t>
        </is>
      </c>
    </row>
    <row r="672">
      <c r="A672" t="inlineStr">
        <is>
          <t>押品分类参数</t>
        </is>
      </c>
      <c r="B672" t="inlineStr">
        <is>
          <t>CLR_PARAM</t>
        </is>
      </c>
      <c r="C672" t="inlineStr">
        <is>
          <t>ATTTEMPLATE</t>
        </is>
      </c>
      <c r="D672" t="inlineStr">
        <is>
          <t>VARCHAR(32)</t>
        </is>
      </c>
      <c r="E672" t="inlineStr">
        <is>
          <t>YES</t>
        </is>
      </c>
      <c r="F672" t="inlineStr">
        <is>
          <t>押品要素模板</t>
        </is>
      </c>
      <c r="H672" t="inlineStr">
        <is>
          <t>VARCHAR</t>
        </is>
      </c>
      <c r="I672" t="inlineStr">
        <is>
          <t>32</t>
        </is>
      </c>
    </row>
    <row r="673">
      <c r="A673" t="inlineStr">
        <is>
          <t>押品分类参数</t>
        </is>
      </c>
      <c r="B673" t="inlineStr">
        <is>
          <t>CLR_PARAM</t>
        </is>
      </c>
      <c r="C673" t="inlineStr">
        <is>
          <t>INFOTAB</t>
        </is>
      </c>
      <c r="D673" t="inlineStr">
        <is>
          <t>VARCHAR(32)</t>
        </is>
      </c>
      <c r="E673" t="inlineStr">
        <is>
          <t>YES</t>
        </is>
      </c>
      <c r="F673" t="inlineStr">
        <is>
          <t>押品详细组合信息页面</t>
        </is>
      </c>
      <c r="H673" t="inlineStr">
        <is>
          <t>VARCHAR</t>
        </is>
      </c>
      <c r="I673" t="inlineStr">
        <is>
          <t>32</t>
        </is>
      </c>
    </row>
    <row r="674">
      <c r="A674" t="inlineStr">
        <is>
          <t>押品分类参数</t>
        </is>
      </c>
      <c r="B674" t="inlineStr">
        <is>
          <t>CLR_PARAM</t>
        </is>
      </c>
      <c r="C674" t="inlineStr">
        <is>
          <t>ISCURRMISMATCH</t>
        </is>
      </c>
      <c r="D674" t="inlineStr">
        <is>
          <t>CHAR(1)</t>
        </is>
      </c>
      <c r="E674" t="inlineStr">
        <is>
          <t>YES</t>
        </is>
      </c>
      <c r="F674" t="inlineStr">
        <is>
          <t>是否允许币种错配</t>
        </is>
      </c>
      <c r="H674" t="inlineStr">
        <is>
          <t>CHAR</t>
        </is>
      </c>
      <c r="I674" t="inlineStr">
        <is>
          <t>1</t>
        </is>
      </c>
    </row>
    <row r="675">
      <c r="A675" t="inlineStr">
        <is>
          <t>押品分类参数</t>
        </is>
      </c>
      <c r="B675" t="inlineStr">
        <is>
          <t>CLR_PARAM</t>
        </is>
      </c>
      <c r="C675" t="inlineStr">
        <is>
          <t>ISNEEDINSURANCE</t>
        </is>
      </c>
      <c r="D675" t="inlineStr">
        <is>
          <t>CHAR(1)</t>
        </is>
      </c>
      <c r="E675" t="inlineStr">
        <is>
          <t>YES</t>
        </is>
      </c>
      <c r="F675" t="inlineStr">
        <is>
          <t>是否需要投保</t>
        </is>
      </c>
      <c r="H675" t="inlineStr">
        <is>
          <t>CHAR</t>
        </is>
      </c>
      <c r="I675" t="inlineStr">
        <is>
          <t>1</t>
        </is>
      </c>
    </row>
    <row r="676">
      <c r="A676" t="inlineStr">
        <is>
          <t>押品分类参数</t>
        </is>
      </c>
      <c r="B676" t="inlineStr">
        <is>
          <t>CLR_PARAM</t>
        </is>
      </c>
      <c r="C676" t="inlineStr">
        <is>
          <t>RENEWALTERM</t>
        </is>
      </c>
      <c r="D676" t="inlineStr">
        <is>
          <t>INT</t>
        </is>
      </c>
      <c r="E676" t="inlineStr">
        <is>
          <t>YES</t>
        </is>
      </c>
      <c r="F676" t="inlineStr">
        <is>
          <t>续保期限(年)</t>
        </is>
      </c>
      <c r="H676" t="inlineStr">
        <is>
          <t>INT</t>
        </is>
      </c>
    </row>
    <row r="677">
      <c r="A677" t="inlineStr">
        <is>
          <t>押品分类参数</t>
        </is>
      </c>
      <c r="B677" t="inlineStr">
        <is>
          <t>CLR_PARAM</t>
        </is>
      </c>
      <c r="C677" t="inlineStr">
        <is>
          <t>ISNEEDNOTARIZAITON</t>
        </is>
      </c>
      <c r="D677" t="inlineStr">
        <is>
          <t>CHAR(1)</t>
        </is>
      </c>
      <c r="E677" t="inlineStr">
        <is>
          <t>YES</t>
        </is>
      </c>
      <c r="F677" t="inlineStr">
        <is>
          <t>是否需要公证</t>
        </is>
      </c>
      <c r="H677" t="inlineStr">
        <is>
          <t>CHAR</t>
        </is>
      </c>
      <c r="I677" t="inlineStr">
        <is>
          <t>1</t>
        </is>
      </c>
    </row>
    <row r="678">
      <c r="A678" t="inlineStr">
        <is>
          <t>押品分类参数</t>
        </is>
      </c>
      <c r="B678" t="inlineStr">
        <is>
          <t>CLR_PARAM</t>
        </is>
      </c>
      <c r="C678" t="inlineStr">
        <is>
          <t>ISNEEDRGST</t>
        </is>
      </c>
      <c r="D678" t="inlineStr">
        <is>
          <t>CHAR(1)</t>
        </is>
      </c>
      <c r="E678" t="inlineStr">
        <is>
          <t>YES</t>
        </is>
      </c>
      <c r="F678" t="inlineStr">
        <is>
          <t>是否需要抵质押登记手续</t>
        </is>
      </c>
      <c r="H678" t="inlineStr">
        <is>
          <t>CHAR</t>
        </is>
      </c>
      <c r="I678" t="inlineStr">
        <is>
          <t>1</t>
        </is>
      </c>
    </row>
    <row r="679">
      <c r="A679" t="inlineStr">
        <is>
          <t>押品分类参数</t>
        </is>
      </c>
      <c r="B679" t="inlineStr">
        <is>
          <t>CLR_PARAM</t>
        </is>
      </c>
      <c r="C679" t="inlineStr">
        <is>
          <t>ISNEEDMONITORING</t>
        </is>
      </c>
      <c r="D679" t="inlineStr">
        <is>
          <t>CHAR(1)</t>
        </is>
      </c>
      <c r="E679" t="inlineStr">
        <is>
          <t>YES</t>
        </is>
      </c>
      <c r="F679" t="inlineStr">
        <is>
          <t>是否需要贷后现场检查</t>
        </is>
      </c>
      <c r="H679" t="inlineStr">
        <is>
          <t>CHAR</t>
        </is>
      </c>
      <c r="I679" t="inlineStr">
        <is>
          <t>1</t>
        </is>
      </c>
    </row>
    <row r="680">
      <c r="A680" t="inlineStr">
        <is>
          <t>押品分类参数</t>
        </is>
      </c>
      <c r="B680" t="inlineStr">
        <is>
          <t>CLR_PARAM</t>
        </is>
      </c>
      <c r="C680" t="inlineStr">
        <is>
          <t>MONITORINGFRQ</t>
        </is>
      </c>
      <c r="D680" t="inlineStr">
        <is>
          <t>VARCHAR(6)</t>
        </is>
      </c>
      <c r="E680" t="inlineStr">
        <is>
          <t>YES</t>
        </is>
      </c>
      <c r="F680" t="inlineStr">
        <is>
          <t>贷后现场检查频率</t>
        </is>
      </c>
      <c r="H680" t="inlineStr">
        <is>
          <t>VARCHAR</t>
        </is>
      </c>
      <c r="I680" t="inlineStr">
        <is>
          <t>6</t>
        </is>
      </c>
    </row>
    <row r="681">
      <c r="A681" t="inlineStr">
        <is>
          <t>押品分类参数</t>
        </is>
      </c>
      <c r="B681" t="inlineStr">
        <is>
          <t>CLR_PARAM</t>
        </is>
      </c>
      <c r="C681" t="inlineStr">
        <is>
          <t>MAXGUATERM</t>
        </is>
      </c>
      <c r="D681" t="inlineStr">
        <is>
          <t>INT</t>
        </is>
      </c>
      <c r="E681" t="inlineStr">
        <is>
          <t>YES</t>
        </is>
      </c>
      <c r="F681" t="inlineStr">
        <is>
          <t>最大担保期限</t>
        </is>
      </c>
      <c r="H681" t="inlineStr">
        <is>
          <t>INT</t>
        </is>
      </c>
    </row>
    <row r="682">
      <c r="A682" t="inlineStr">
        <is>
          <t>押品分类参数</t>
        </is>
      </c>
      <c r="B682" t="inlineStr">
        <is>
          <t>CLR_PARAM</t>
        </is>
      </c>
      <c r="C682" t="inlineStr">
        <is>
          <t>MAXGUASCENARIO</t>
        </is>
      </c>
      <c r="D682" t="inlineStr">
        <is>
          <t>VARCHAR(1000)</t>
        </is>
      </c>
      <c r="E682" t="inlineStr">
        <is>
          <t>YES</t>
        </is>
      </c>
      <c r="F682" t="inlineStr">
        <is>
          <t>最大担保期限适用业务场景</t>
        </is>
      </c>
      <c r="H682" t="inlineStr">
        <is>
          <t>VARCHAR</t>
        </is>
      </c>
      <c r="I682" t="inlineStr">
        <is>
          <t>1000</t>
        </is>
      </c>
    </row>
    <row r="683">
      <c r="A683" t="inlineStr">
        <is>
          <t>押品分类参数</t>
        </is>
      </c>
      <c r="B683" t="inlineStr">
        <is>
          <t>CLR_PARAM</t>
        </is>
      </c>
      <c r="C683" t="inlineStr">
        <is>
          <t>EVALPERIOD</t>
        </is>
      </c>
      <c r="D683" t="inlineStr">
        <is>
          <t>INT</t>
        </is>
      </c>
      <c r="E683" t="inlineStr">
        <is>
          <t>YES</t>
        </is>
      </c>
      <c r="F683" t="inlineStr">
        <is>
          <t>价值评估周期;月)</t>
        </is>
      </c>
      <c r="H683" t="inlineStr">
        <is>
          <t>INT</t>
        </is>
      </c>
    </row>
    <row r="684">
      <c r="A684" t="inlineStr">
        <is>
          <t>押品分类参数</t>
        </is>
      </c>
      <c r="B684" t="inlineStr">
        <is>
          <t>CLR_PARAM</t>
        </is>
      </c>
      <c r="C684" t="inlineStr">
        <is>
          <t>ISSUITINEVAL</t>
        </is>
      </c>
      <c r="D684" t="inlineStr">
        <is>
          <t>CHAR(1)</t>
        </is>
      </c>
      <c r="E684" t="inlineStr">
        <is>
          <t>YES</t>
        </is>
      </c>
      <c r="F684" t="inlineStr">
        <is>
          <t>是否适用内部评估</t>
        </is>
      </c>
      <c r="H684" t="inlineStr">
        <is>
          <t>CHAR</t>
        </is>
      </c>
      <c r="I684" t="inlineStr">
        <is>
          <t>1</t>
        </is>
      </c>
    </row>
    <row r="685">
      <c r="A685" t="inlineStr">
        <is>
          <t>押品分类参数</t>
        </is>
      </c>
      <c r="B685" t="inlineStr">
        <is>
          <t>CLR_PARAM</t>
        </is>
      </c>
      <c r="C685" t="inlineStr">
        <is>
          <t>ISSUITOUTEVAL</t>
        </is>
      </c>
      <c r="D685" t="inlineStr">
        <is>
          <t>CHAR(1)</t>
        </is>
      </c>
      <c r="E685" t="inlineStr">
        <is>
          <t>YES</t>
        </is>
      </c>
      <c r="F685" t="inlineStr">
        <is>
          <t>是否适用外部评估</t>
        </is>
      </c>
      <c r="H685" t="inlineStr">
        <is>
          <t>CHAR</t>
        </is>
      </c>
      <c r="I685" t="inlineStr">
        <is>
          <t>1</t>
        </is>
      </c>
    </row>
    <row r="686">
      <c r="A686" t="inlineStr">
        <is>
          <t>押品分类参数</t>
        </is>
      </c>
      <c r="B686" t="inlineStr">
        <is>
          <t>CLR_PARAM</t>
        </is>
      </c>
      <c r="C686" t="inlineStr">
        <is>
          <t>MAINEVALMETHOD</t>
        </is>
      </c>
      <c r="D686" t="inlineStr">
        <is>
          <t>VARCHAR(32)</t>
        </is>
      </c>
      <c r="E686" t="inlineStr">
        <is>
          <t>YES</t>
        </is>
      </c>
      <c r="F686" t="inlineStr">
        <is>
          <t>主要的估值方法</t>
        </is>
      </c>
      <c r="H686" t="inlineStr">
        <is>
          <t>VARCHAR</t>
        </is>
      </c>
      <c r="I686" t="inlineStr">
        <is>
          <t>32</t>
        </is>
      </c>
    </row>
    <row r="687">
      <c r="A687" t="inlineStr">
        <is>
          <t>押品分类参数</t>
        </is>
      </c>
      <c r="B687" t="inlineStr">
        <is>
          <t>CLR_PARAM</t>
        </is>
      </c>
      <c r="C687" t="inlineStr">
        <is>
          <t>DETAILEVALMODEL</t>
        </is>
      </c>
      <c r="D687" t="inlineStr">
        <is>
          <t>VARCHAR(80)</t>
        </is>
      </c>
      <c r="E687" t="inlineStr">
        <is>
          <t>YES</t>
        </is>
      </c>
      <c r="F687" t="inlineStr">
        <is>
          <t>适用的详细评估模型</t>
        </is>
      </c>
      <c r="H687" t="inlineStr">
        <is>
          <t>VARCHAR</t>
        </is>
      </c>
      <c r="I687" t="inlineStr">
        <is>
          <t>80</t>
        </is>
      </c>
    </row>
    <row r="688">
      <c r="A688" t="inlineStr">
        <is>
          <t>押品分类参数</t>
        </is>
      </c>
      <c r="B688" t="inlineStr">
        <is>
          <t>CLR_PARAM</t>
        </is>
      </c>
      <c r="C688" t="inlineStr">
        <is>
          <t>FASTEVALMODEL</t>
        </is>
      </c>
      <c r="D688" t="inlineStr">
        <is>
          <t>VARCHAR(80)</t>
        </is>
      </c>
      <c r="E688" t="inlineStr">
        <is>
          <t>YES</t>
        </is>
      </c>
      <c r="F688" t="inlineStr">
        <is>
          <t>适用的快速评估模型</t>
        </is>
      </c>
      <c r="H688" t="inlineStr">
        <is>
          <t>VARCHAR</t>
        </is>
      </c>
      <c r="I688" t="inlineStr">
        <is>
          <t>80</t>
        </is>
      </c>
    </row>
    <row r="689">
      <c r="A689" t="inlineStr">
        <is>
          <t>押品分类参数</t>
        </is>
      </c>
      <c r="B689" t="inlineStr">
        <is>
          <t>CLR_PARAM</t>
        </is>
      </c>
      <c r="C689" t="inlineStr">
        <is>
          <t>EVALFLOW</t>
        </is>
      </c>
      <c r="D689" t="inlineStr">
        <is>
          <t>VARCHAR(32)</t>
        </is>
      </c>
      <c r="E689" t="inlineStr">
        <is>
          <t>YES</t>
        </is>
      </c>
      <c r="F689" t="inlineStr">
        <is>
          <t>价值评估流程</t>
        </is>
      </c>
      <c r="H689" t="inlineStr">
        <is>
          <t>VARCHAR</t>
        </is>
      </c>
      <c r="I689" t="inlineStr">
        <is>
          <t>32</t>
        </is>
      </c>
    </row>
    <row r="690">
      <c r="A690" t="inlineStr">
        <is>
          <t>押品分类参数</t>
        </is>
      </c>
      <c r="B690" t="inlineStr">
        <is>
          <t>CLR_PARAM</t>
        </is>
      </c>
      <c r="C690" t="inlineStr">
        <is>
          <t>APPRAISEATT</t>
        </is>
      </c>
      <c r="D690" t="inlineStr">
        <is>
          <t>VARCHAR(1000)</t>
        </is>
      </c>
      <c r="E690" t="inlineStr">
        <is>
          <t>YES</t>
        </is>
      </c>
      <c r="F690" t="inlineStr">
        <is>
          <t>外部评估公司资质要求</t>
        </is>
      </c>
      <c r="H690" t="inlineStr">
        <is>
          <t>VARCHAR</t>
        </is>
      </c>
      <c r="I690" t="inlineStr">
        <is>
          <t>1000</t>
        </is>
      </c>
    </row>
    <row r="691">
      <c r="A691" t="inlineStr">
        <is>
          <t>押品分类参数</t>
        </is>
      </c>
      <c r="B691" t="inlineStr">
        <is>
          <t>CLR_PARAM</t>
        </is>
      </c>
      <c r="C691" t="inlineStr">
        <is>
          <t>REEVALFRQUNIT</t>
        </is>
      </c>
      <c r="D691" t="inlineStr">
        <is>
          <t>VARCHAR(6)</t>
        </is>
      </c>
      <c r="E691" t="inlineStr">
        <is>
          <t>YES</t>
        </is>
      </c>
      <c r="F691" t="inlineStr">
        <is>
          <t>重估频率单位</t>
        </is>
      </c>
      <c r="H691" t="inlineStr">
        <is>
          <t>VARCHAR</t>
        </is>
      </c>
      <c r="I691" t="inlineStr">
        <is>
          <t>6</t>
        </is>
      </c>
    </row>
    <row r="692">
      <c r="A692" t="inlineStr">
        <is>
          <t>押品分类参数</t>
        </is>
      </c>
      <c r="B692" t="inlineStr">
        <is>
          <t>CLR_PARAM</t>
        </is>
      </c>
      <c r="C692" t="inlineStr">
        <is>
          <t>REEVALFRQ</t>
        </is>
      </c>
      <c r="D692" t="inlineStr">
        <is>
          <t>INT</t>
        </is>
      </c>
      <c r="E692" t="inlineStr">
        <is>
          <t>YES</t>
        </is>
      </c>
      <c r="F692" t="inlineStr">
        <is>
          <t>重估频率</t>
        </is>
      </c>
      <c r="H692" t="inlineStr">
        <is>
          <t>INT</t>
        </is>
      </c>
    </row>
    <row r="693">
      <c r="A693" t="inlineStr">
        <is>
          <t>押品分类参数</t>
        </is>
      </c>
      <c r="B693" t="inlineStr">
        <is>
          <t>CLR_PARAM</t>
        </is>
      </c>
      <c r="C693" t="inlineStr">
        <is>
          <t>ISAUTOREEVAL</t>
        </is>
      </c>
      <c r="D693" t="inlineStr">
        <is>
          <t>CHAR(1)</t>
        </is>
      </c>
      <c r="E693" t="inlineStr">
        <is>
          <t>YES</t>
        </is>
      </c>
      <c r="F693" t="inlineStr">
        <is>
          <t>是否直接评估</t>
        </is>
      </c>
      <c r="H693" t="inlineStr">
        <is>
          <t>CHAR</t>
        </is>
      </c>
      <c r="I693" t="inlineStr">
        <is>
          <t>1</t>
        </is>
      </c>
    </row>
    <row r="694">
      <c r="A694" t="inlineStr">
        <is>
          <t>押品分类参数</t>
        </is>
      </c>
      <c r="B694" t="inlineStr">
        <is>
          <t>CLR_PARAM</t>
        </is>
      </c>
      <c r="C694" t="inlineStr">
        <is>
          <t>AUTOREEVALMODE</t>
        </is>
      </c>
      <c r="D694" t="inlineStr">
        <is>
          <t>VARCHAR(6)</t>
        </is>
      </c>
      <c r="E694" t="inlineStr">
        <is>
          <t>YES</t>
        </is>
      </c>
      <c r="F694" t="inlineStr">
        <is>
          <t>固定日期滚动周期</t>
        </is>
      </c>
      <c r="H694" t="inlineStr">
        <is>
          <t>VARCHAR</t>
        </is>
      </c>
      <c r="I694" t="inlineStr">
        <is>
          <t>6</t>
        </is>
      </c>
    </row>
    <row r="695">
      <c r="A695" t="inlineStr">
        <is>
          <t>押品分类参数</t>
        </is>
      </c>
      <c r="B695" t="inlineStr">
        <is>
          <t>CLR_PARAM</t>
        </is>
      </c>
      <c r="C695" t="inlineStr">
        <is>
          <t>REEVALDATEDEF</t>
        </is>
      </c>
      <c r="D695" t="inlineStr">
        <is>
          <t>VARCHAR(1000)</t>
        </is>
      </c>
      <c r="E695" t="inlineStr">
        <is>
          <t>YES</t>
        </is>
      </c>
      <c r="F695" t="inlineStr">
        <is>
          <t>重估日定义</t>
        </is>
      </c>
      <c r="H695" t="inlineStr">
        <is>
          <t>VARCHAR</t>
        </is>
      </c>
      <c r="I695" t="inlineStr">
        <is>
          <t>1000</t>
        </is>
      </c>
    </row>
    <row r="696">
      <c r="A696" t="inlineStr">
        <is>
          <t>押品分类参数</t>
        </is>
      </c>
      <c r="B696" t="inlineStr">
        <is>
          <t>CLR_PARAM</t>
        </is>
      </c>
      <c r="C696" t="inlineStr">
        <is>
          <t>EXTWEIGHT</t>
        </is>
      </c>
      <c r="D696" t="inlineStr">
        <is>
          <t>DECIMAL(18,8)</t>
        </is>
      </c>
      <c r="E696" t="inlineStr">
        <is>
          <t>YES</t>
        </is>
      </c>
      <c r="F696" t="inlineStr">
        <is>
          <t>外评权重</t>
        </is>
      </c>
      <c r="H696" t="inlineStr">
        <is>
          <t>DECIMAL</t>
        </is>
      </c>
      <c r="I696" t="inlineStr">
        <is>
          <t>18,8</t>
        </is>
      </c>
    </row>
    <row r="697">
      <c r="A697" t="inlineStr">
        <is>
          <t>押品分类参数</t>
        </is>
      </c>
      <c r="B697" t="inlineStr">
        <is>
          <t>CLR_PARAM</t>
        </is>
      </c>
      <c r="C697" t="inlineStr">
        <is>
          <t>INWEIGHT</t>
        </is>
      </c>
      <c r="D697" t="inlineStr">
        <is>
          <t>DECIMAL(18,8)</t>
        </is>
      </c>
      <c r="E697" t="inlineStr">
        <is>
          <t>YES</t>
        </is>
      </c>
      <c r="F697" t="inlineStr">
        <is>
          <t>内评权重</t>
        </is>
      </c>
      <c r="H697" t="inlineStr">
        <is>
          <t>DECIMAL</t>
        </is>
      </c>
      <c r="I697" t="inlineStr">
        <is>
          <t>18,8</t>
        </is>
      </c>
    </row>
    <row r="698">
      <c r="A698" t="inlineStr">
        <is>
          <t>押品分类参数</t>
        </is>
      </c>
      <c r="B698" t="inlineStr">
        <is>
          <t>CLR_PARAM</t>
        </is>
      </c>
      <c r="C698" t="inlineStr">
        <is>
          <t>ISNEEDRIGHTCERT</t>
        </is>
      </c>
      <c r="D698" t="inlineStr">
        <is>
          <t>CHAR(1)</t>
        </is>
      </c>
      <c r="E698" t="inlineStr">
        <is>
          <t>YES</t>
        </is>
      </c>
      <c r="F698" t="inlineStr">
        <is>
          <t>是否需要提交权证</t>
        </is>
      </c>
      <c r="H698" t="inlineStr">
        <is>
          <t>CHAR</t>
        </is>
      </c>
      <c r="I698" t="inlineStr">
        <is>
          <t>1</t>
        </is>
      </c>
    </row>
    <row r="699">
      <c r="A699" t="inlineStr">
        <is>
          <t>押品分类参数</t>
        </is>
      </c>
      <c r="B699" t="inlineStr">
        <is>
          <t>CLR_PARAM</t>
        </is>
      </c>
      <c r="C699" t="inlineStr">
        <is>
          <t>ISSUITCOMBINEEVAL</t>
        </is>
      </c>
      <c r="D699" t="inlineStr">
        <is>
          <t>CHAR(1)</t>
        </is>
      </c>
      <c r="E699" t="inlineStr">
        <is>
          <t>YES</t>
        </is>
      </c>
      <c r="F699" t="inlineStr">
        <is>
          <t>是否适用内外结合评估</t>
        </is>
      </c>
      <c r="H699" t="inlineStr">
        <is>
          <t>CHAR</t>
        </is>
      </c>
      <c r="I699" t="inlineStr">
        <is>
          <t>1</t>
        </is>
      </c>
    </row>
    <row r="700">
      <c r="A700" t="inlineStr">
        <is>
          <t>押品分类参数</t>
        </is>
      </c>
      <c r="B700" t="inlineStr">
        <is>
          <t>CLR_PARAM</t>
        </is>
      </c>
      <c r="C700" t="inlineStr">
        <is>
          <t>ISMANUALBATCHREVAL</t>
        </is>
      </c>
      <c r="D700" t="inlineStr">
        <is>
          <t>CHAR(1)</t>
        </is>
      </c>
      <c r="E700" t="inlineStr">
        <is>
          <t>YES</t>
        </is>
      </c>
      <c r="F700" t="inlineStr">
        <is>
          <t>是否人工批量重估</t>
        </is>
      </c>
      <c r="H700" t="inlineStr">
        <is>
          <t>CHAR</t>
        </is>
      </c>
      <c r="I700" t="inlineStr">
        <is>
          <t>1</t>
        </is>
      </c>
    </row>
    <row r="701">
      <c r="A701" t="inlineStr">
        <is>
          <t>押品分类参数</t>
        </is>
      </c>
      <c r="B701" t="inlineStr">
        <is>
          <t>CLR_PARAM</t>
        </is>
      </c>
      <c r="C701" t="inlineStr">
        <is>
          <t>ISSYSBATCHREVAL</t>
        </is>
      </c>
      <c r="D701" t="inlineStr">
        <is>
          <t>CHAR(1)</t>
        </is>
      </c>
      <c r="E701" t="inlineStr">
        <is>
          <t>YES</t>
        </is>
      </c>
      <c r="F701" t="inlineStr">
        <is>
          <t>是否系统批量重估</t>
        </is>
      </c>
      <c r="H701" t="inlineStr">
        <is>
          <t>CHAR</t>
        </is>
      </c>
      <c r="I701" t="inlineStr">
        <is>
          <t>1</t>
        </is>
      </c>
    </row>
    <row r="702">
      <c r="A702" t="inlineStr">
        <is>
          <t>押品分类参数</t>
        </is>
      </c>
      <c r="B702" t="inlineStr">
        <is>
          <t>CLR_PARAM</t>
        </is>
      </c>
      <c r="C702" t="inlineStr">
        <is>
          <t>EVALMODELMARKET</t>
        </is>
      </c>
      <c r="D702" t="inlineStr">
        <is>
          <t>VARCHAR(80)</t>
        </is>
      </c>
      <c r="E702" t="inlineStr">
        <is>
          <t>YES</t>
        </is>
      </c>
      <c r="F702" t="inlineStr">
        <is>
          <t>市场法估值模板</t>
        </is>
      </c>
      <c r="H702" t="inlineStr">
        <is>
          <t>VARCHAR</t>
        </is>
      </c>
      <c r="I702" t="inlineStr">
        <is>
          <t>80</t>
        </is>
      </c>
    </row>
    <row r="703">
      <c r="A703" t="inlineStr">
        <is>
          <t>押品分类参数</t>
        </is>
      </c>
      <c r="B703" t="inlineStr">
        <is>
          <t>CLR_PARAM</t>
        </is>
      </c>
      <c r="C703" t="inlineStr">
        <is>
          <t>EVALMODELPROFIT</t>
        </is>
      </c>
      <c r="D703" t="inlineStr">
        <is>
          <t>VARCHAR(80)</t>
        </is>
      </c>
      <c r="E703" t="inlineStr">
        <is>
          <t>YES</t>
        </is>
      </c>
      <c r="F703" t="inlineStr">
        <is>
          <t>收益法估值模板</t>
        </is>
      </c>
      <c r="H703" t="inlineStr">
        <is>
          <t>VARCHAR</t>
        </is>
      </c>
      <c r="I703" t="inlineStr">
        <is>
          <t>80</t>
        </is>
      </c>
    </row>
    <row r="704">
      <c r="A704" t="inlineStr">
        <is>
          <t>押品分类参数</t>
        </is>
      </c>
      <c r="B704" t="inlineStr">
        <is>
          <t>CLR_PARAM</t>
        </is>
      </c>
      <c r="C704" t="inlineStr">
        <is>
          <t>EVALMODELCOST</t>
        </is>
      </c>
      <c r="D704" t="inlineStr">
        <is>
          <t>VARCHAR(80)</t>
        </is>
      </c>
      <c r="E704" t="inlineStr">
        <is>
          <t>YES</t>
        </is>
      </c>
      <c r="F704" t="inlineStr">
        <is>
          <t>成本法估值模板</t>
        </is>
      </c>
      <c r="H704" t="inlineStr">
        <is>
          <t>VARCHAR</t>
        </is>
      </c>
      <c r="I704" t="inlineStr">
        <is>
          <t>80</t>
        </is>
      </c>
    </row>
    <row r="705">
      <c r="A705" t="inlineStr">
        <is>
          <t>押品分类参数</t>
        </is>
      </c>
      <c r="B705" t="inlineStr">
        <is>
          <t>CLR_PARAM</t>
        </is>
      </c>
      <c r="C705" t="inlineStr">
        <is>
          <t>EVALMODELQUICK</t>
        </is>
      </c>
      <c r="D705" t="inlineStr">
        <is>
          <t>VARCHAR(80)</t>
        </is>
      </c>
      <c r="E705" t="inlineStr">
        <is>
          <t>YES</t>
        </is>
      </c>
      <c r="F705" t="inlineStr">
        <is>
          <t>贷后快速评估模板</t>
        </is>
      </c>
      <c r="H705" t="inlineStr">
        <is>
          <t>VARCHAR</t>
        </is>
      </c>
      <c r="I705" t="inlineStr">
        <is>
          <t>80</t>
        </is>
      </c>
    </row>
    <row r="706">
      <c r="A706" t="inlineStr">
        <is>
          <t>押品分类参数</t>
        </is>
      </c>
      <c r="B706" t="inlineStr">
        <is>
          <t>CLR_PARAM</t>
        </is>
      </c>
      <c r="C706" t="inlineStr">
        <is>
          <t>ISHAVEWARRANT</t>
        </is>
      </c>
      <c r="D706" t="inlineStr">
        <is>
          <t>CHAR(1)</t>
        </is>
      </c>
      <c r="E706" t="inlineStr">
        <is>
          <t>YES</t>
        </is>
      </c>
      <c r="F706" t="inlineStr">
        <is>
          <t>是否有他项权证</t>
        </is>
      </c>
      <c r="H706" t="inlineStr">
        <is>
          <t>CHAR</t>
        </is>
      </c>
      <c r="I706" t="inlineStr">
        <is>
          <t>1</t>
        </is>
      </c>
    </row>
    <row r="707">
      <c r="A707" t="inlineStr">
        <is>
          <t>押品分类参数</t>
        </is>
      </c>
      <c r="B707" t="inlineStr">
        <is>
          <t>CLR_PARAM</t>
        </is>
      </c>
      <c r="C707" t="inlineStr">
        <is>
          <t>ISNEEDIN</t>
        </is>
      </c>
      <c r="D707" t="inlineStr">
        <is>
          <t>CHAR(1)</t>
        </is>
      </c>
      <c r="E707" t="inlineStr">
        <is>
          <t>YES</t>
        </is>
      </c>
      <c r="F707" t="inlineStr">
        <is>
          <t>是否需要入库</t>
        </is>
      </c>
      <c r="H707" t="inlineStr">
        <is>
          <t>CHAR</t>
        </is>
      </c>
      <c r="I707" t="inlineStr">
        <is>
          <t>1</t>
        </is>
      </c>
    </row>
    <row r="708">
      <c r="A708" t="inlineStr">
        <is>
          <t>押品分类参数</t>
        </is>
      </c>
      <c r="B708" t="inlineStr">
        <is>
          <t>CLR_PARAM</t>
        </is>
      </c>
      <c r="C708" t="inlineStr">
        <is>
          <t>ISQUALIFIED</t>
        </is>
      </c>
      <c r="D708" t="inlineStr">
        <is>
          <t>CHAR(1)</t>
        </is>
      </c>
      <c r="E708" t="inlineStr">
        <is>
          <t>YES</t>
        </is>
      </c>
      <c r="F708" t="inlineStr">
        <is>
          <t>是否合格缓释工具</t>
        </is>
      </c>
      <c r="H708" t="inlineStr">
        <is>
          <t>CHAR</t>
        </is>
      </c>
      <c r="I708" t="inlineStr">
        <is>
          <t>1</t>
        </is>
      </c>
    </row>
    <row r="709">
      <c r="A709" t="inlineStr">
        <is>
          <t>押品分类参数</t>
        </is>
      </c>
      <c r="B709" t="inlineStr">
        <is>
          <t>CLR_PARAM</t>
        </is>
      </c>
      <c r="C709" t="inlineStr">
        <is>
          <t>VALIDCERTTYPE</t>
        </is>
      </c>
      <c r="D709" t="inlineStr">
        <is>
          <t>VARCHAR(80)</t>
        </is>
      </c>
      <c r="E709" t="inlineStr">
        <is>
          <t>YES</t>
        </is>
      </c>
      <c r="F709" t="inlineStr">
        <is>
          <t>有效权证名称</t>
        </is>
      </c>
      <c r="H709" t="inlineStr">
        <is>
          <t>VARCHAR</t>
        </is>
      </c>
      <c r="I709" t="inlineStr">
        <is>
          <t>80</t>
        </is>
      </c>
    </row>
    <row r="710">
      <c r="A710" t="inlineStr">
        <is>
          <t>押品分类参数</t>
        </is>
      </c>
      <c r="B710" t="inlineStr">
        <is>
          <t>CLR_PARAM</t>
        </is>
      </c>
      <c r="C710" t="inlineStr">
        <is>
          <t>INPUTORGID</t>
        </is>
      </c>
      <c r="D710" t="inlineStr">
        <is>
          <t>VARCHAR(32)</t>
        </is>
      </c>
      <c r="E710" t="inlineStr">
        <is>
          <t>YES</t>
        </is>
      </c>
      <c r="F710" t="inlineStr">
        <is>
          <t>登记机构</t>
        </is>
      </c>
      <c r="H710" t="inlineStr">
        <is>
          <t>VARCHAR</t>
        </is>
      </c>
      <c r="I710" t="inlineStr">
        <is>
          <t>32</t>
        </is>
      </c>
    </row>
    <row r="711">
      <c r="A711" t="inlineStr">
        <is>
          <t>押品分类参数</t>
        </is>
      </c>
      <c r="B711" t="inlineStr">
        <is>
          <t>CLR_PARAM</t>
        </is>
      </c>
      <c r="C711" t="inlineStr">
        <is>
          <t>INPUTUSERID</t>
        </is>
      </c>
      <c r="D711" t="inlineStr">
        <is>
          <t>VARCHAR(32)</t>
        </is>
      </c>
      <c r="E711" t="inlineStr">
        <is>
          <t>YES</t>
        </is>
      </c>
      <c r="F711" t="inlineStr">
        <is>
          <t>登记人</t>
        </is>
      </c>
      <c r="H711" t="inlineStr">
        <is>
          <t>VARCHAR</t>
        </is>
      </c>
      <c r="I711" t="inlineStr">
        <is>
          <t>32</t>
        </is>
      </c>
    </row>
    <row r="712">
      <c r="A712" t="inlineStr">
        <is>
          <t>押品分类参数</t>
        </is>
      </c>
      <c r="B712" t="inlineStr">
        <is>
          <t>CLR_PARAM</t>
        </is>
      </c>
      <c r="C712" t="inlineStr">
        <is>
          <t>INPUTDATE</t>
        </is>
      </c>
      <c r="D712" t="inlineStr">
        <is>
          <t>DATETIME</t>
        </is>
      </c>
      <c r="E712" t="inlineStr">
        <is>
          <t>YES</t>
        </is>
      </c>
      <c r="F712" t="inlineStr">
        <is>
          <t>登记日期</t>
        </is>
      </c>
      <c r="H712" t="inlineStr">
        <is>
          <t>DATETIME</t>
        </is>
      </c>
    </row>
    <row r="713">
      <c r="A713" t="inlineStr">
        <is>
          <t>押品分类参数</t>
        </is>
      </c>
      <c r="B713" t="inlineStr">
        <is>
          <t>CLR_PARAM</t>
        </is>
      </c>
      <c r="C713" t="inlineStr">
        <is>
          <t>UPDATEORGID</t>
        </is>
      </c>
      <c r="D713" t="inlineStr">
        <is>
          <t>VARCHAR(32)</t>
        </is>
      </c>
      <c r="E713" t="inlineStr">
        <is>
          <t>YES</t>
        </is>
      </c>
      <c r="F713" t="inlineStr">
        <is>
          <t>更新机构</t>
        </is>
      </c>
      <c r="H713" t="inlineStr">
        <is>
          <t>VARCHAR</t>
        </is>
      </c>
      <c r="I713" t="inlineStr">
        <is>
          <t>32</t>
        </is>
      </c>
    </row>
    <row r="714">
      <c r="A714" t="inlineStr">
        <is>
          <t>押品分类参数</t>
        </is>
      </c>
      <c r="B714" t="inlineStr">
        <is>
          <t>CLR_PARAM</t>
        </is>
      </c>
      <c r="C714" t="inlineStr">
        <is>
          <t>UPDATEUSERID</t>
        </is>
      </c>
      <c r="D714" t="inlineStr">
        <is>
          <t>VARCHAR(32)</t>
        </is>
      </c>
      <c r="E714" t="inlineStr">
        <is>
          <t>YES</t>
        </is>
      </c>
      <c r="F714" t="inlineStr">
        <is>
          <t>更新人</t>
        </is>
      </c>
      <c r="H714" t="inlineStr">
        <is>
          <t>VARCHAR</t>
        </is>
      </c>
      <c r="I714" t="inlineStr">
        <is>
          <t>32</t>
        </is>
      </c>
    </row>
    <row r="715">
      <c r="A715" t="inlineStr">
        <is>
          <t>押品分类参数</t>
        </is>
      </c>
      <c r="B715" t="inlineStr">
        <is>
          <t>CLR_PARAM</t>
        </is>
      </c>
      <c r="C715" t="inlineStr">
        <is>
          <t>UPDATEDATE</t>
        </is>
      </c>
      <c r="D715" t="inlineStr">
        <is>
          <t>DATETIME</t>
        </is>
      </c>
      <c r="E715" t="inlineStr">
        <is>
          <t>YES</t>
        </is>
      </c>
      <c r="F715" t="inlineStr">
        <is>
          <t>更新日期</t>
        </is>
      </c>
      <c r="H715" t="inlineStr">
        <is>
          <t>DATETIME</t>
        </is>
      </c>
    </row>
    <row r="716">
      <c r="A716" t="inlineStr">
        <is>
          <t>押品分类参数</t>
        </is>
      </c>
      <c r="B716" t="inlineStr">
        <is>
          <t>CLR_PARAM</t>
        </is>
      </c>
      <c r="C716" t="inlineStr">
        <is>
          <t>REMARK</t>
        </is>
      </c>
      <c r="D716" t="inlineStr">
        <is>
          <t>VARCHAR(500)</t>
        </is>
      </c>
      <c r="E716" t="inlineStr">
        <is>
          <t>YES</t>
        </is>
      </c>
      <c r="F716" t="inlineStr">
        <is>
          <t>备注</t>
        </is>
      </c>
      <c r="H716" t="inlineStr">
        <is>
          <t>VARCHAR</t>
        </is>
      </c>
      <c r="I716" t="inlineStr">
        <is>
          <t>500</t>
        </is>
      </c>
    </row>
    <row r="717">
      <c r="A717" t="inlineStr">
        <is>
          <t>押品分类参数</t>
        </is>
      </c>
      <c r="B717" t="inlineStr">
        <is>
          <t>CLR_PARAM</t>
        </is>
      </c>
      <c r="C717" t="inlineStr">
        <is>
          <t>ENTRYCRITERIA</t>
        </is>
      </c>
      <c r="D717" t="inlineStr">
        <is>
          <t>VARCHAR(4000)</t>
        </is>
      </c>
      <c r="E717" t="inlineStr">
        <is>
          <t>YES</t>
        </is>
      </c>
      <c r="F717" t="inlineStr">
        <is>
          <t>准入条件文本</t>
        </is>
      </c>
      <c r="H717" t="inlineStr">
        <is>
          <t>VARCHAR</t>
        </is>
      </c>
      <c r="I717" t="inlineStr">
        <is>
          <t>4000</t>
        </is>
      </c>
    </row>
    <row r="718">
      <c r="A718" t="inlineStr">
        <is>
          <t>押品分类参数</t>
        </is>
      </c>
      <c r="B718" t="inlineStr">
        <is>
          <t>CLR_PARAM</t>
        </is>
      </c>
      <c r="C718" t="inlineStr">
        <is>
          <t>PRODUCTLIST</t>
        </is>
      </c>
      <c r="D718" t="inlineStr">
        <is>
          <t>VARCHAR(4000)</t>
        </is>
      </c>
      <c r="E718" t="inlineStr">
        <is>
          <t>YES</t>
        </is>
      </c>
      <c r="F718" t="inlineStr">
        <is>
          <t>适用的产品</t>
        </is>
      </c>
      <c r="H718" t="inlineStr">
        <is>
          <t>VARCHAR</t>
        </is>
      </c>
      <c r="I718" t="inlineStr">
        <is>
          <t>4000</t>
        </is>
      </c>
    </row>
    <row r="719">
      <c r="A719" t="inlineStr">
        <is>
          <t>押品分类参数</t>
        </is>
      </c>
      <c r="B719" t="inlineStr">
        <is>
          <t>CLR_PARAM</t>
        </is>
      </c>
      <c r="C719" t="inlineStr">
        <is>
          <t>CLRONLYSCOPE</t>
        </is>
      </c>
      <c r="D719" t="inlineStr">
        <is>
          <t>VARCHAR(4000)</t>
        </is>
      </c>
      <c r="E719" t="inlineStr">
        <is>
          <t>YES</t>
        </is>
      </c>
      <c r="F719" t="inlineStr">
        <is>
          <t>押品唯一性校验范围</t>
        </is>
      </c>
      <c r="H719" t="inlineStr">
        <is>
          <t>VARCHAR</t>
        </is>
      </c>
      <c r="I719" t="inlineStr">
        <is>
          <t>4000</t>
        </is>
      </c>
    </row>
    <row r="720">
      <c r="A720" t="inlineStr">
        <is>
          <t>押品分类参数</t>
        </is>
      </c>
      <c r="B720" t="inlineStr">
        <is>
          <t>CLR_PARAM</t>
        </is>
      </c>
      <c r="C720" t="inlineStr">
        <is>
          <t>ISAUTO</t>
        </is>
      </c>
      <c r="D720" t="inlineStr">
        <is>
          <t>VARCHAR(6)</t>
        </is>
      </c>
      <c r="E720" t="inlineStr">
        <is>
          <t>YES</t>
        </is>
      </c>
      <c r="F720" t="inlineStr">
        <is>
          <t>是否自动入库</t>
        </is>
      </c>
      <c r="H720" t="inlineStr">
        <is>
          <t>VARCHAR</t>
        </is>
      </c>
      <c r="I720" t="inlineStr">
        <is>
          <t>6</t>
        </is>
      </c>
    </row>
    <row r="721">
      <c r="A721" t="inlineStr">
        <is>
          <t>押品分类参数</t>
        </is>
      </c>
      <c r="B721" t="inlineStr">
        <is>
          <t>CLR_PARAM</t>
        </is>
      </c>
      <c r="C721" t="inlineStr">
        <is>
          <t>ISLOWRISK</t>
        </is>
      </c>
      <c r="D721" t="inlineStr">
        <is>
          <t>CHAR(1)</t>
        </is>
      </c>
      <c r="E721" t="inlineStr">
        <is>
          <t>YES</t>
        </is>
      </c>
      <c r="F721" t="inlineStr">
        <is>
          <t>是否低风险</t>
        </is>
      </c>
      <c r="H721" t="inlineStr">
        <is>
          <t>CHAR</t>
        </is>
      </c>
      <c r="I721" t="inlineStr">
        <is>
          <t>1</t>
        </is>
      </c>
    </row>
    <row r="722">
      <c r="A722" t="inlineStr">
        <is>
          <t>评估申请信息表</t>
        </is>
      </c>
      <c r="B722" t="inlineStr">
        <is>
          <t>CLR_EVALUATION_APPL</t>
        </is>
      </c>
      <c r="C722" t="inlineStr">
        <is>
          <t>EVALAPPLID</t>
        </is>
      </c>
      <c r="D722" t="inlineStr">
        <is>
          <t>VARCHAR(32)</t>
        </is>
      </c>
      <c r="E722" t="inlineStr">
        <is>
          <t>NO</t>
        </is>
      </c>
      <c r="F722" t="inlineStr">
        <is>
          <t>评级申请流水号</t>
        </is>
      </c>
      <c r="H722" t="inlineStr">
        <is>
          <t>VARCHAR</t>
        </is>
      </c>
      <c r="I722" t="inlineStr">
        <is>
          <t>32</t>
        </is>
      </c>
    </row>
    <row r="723">
      <c r="A723" t="inlineStr">
        <is>
          <t>评估申请信息表</t>
        </is>
      </c>
      <c r="B723" t="inlineStr">
        <is>
          <t>CLR_EVALUATION_APPL</t>
        </is>
      </c>
      <c r="C723" t="inlineStr">
        <is>
          <t>SOURCESYSTEM</t>
        </is>
      </c>
      <c r="D723" t="inlineStr">
        <is>
          <t>VARCHAR(32)</t>
        </is>
      </c>
      <c r="E723" t="inlineStr">
        <is>
          <t>YES</t>
        </is>
      </c>
      <c r="F723" t="inlineStr">
        <is>
          <t>调用来源</t>
        </is>
      </c>
      <c r="H723" t="inlineStr">
        <is>
          <t>VARCHAR</t>
        </is>
      </c>
      <c r="I723" t="inlineStr">
        <is>
          <t>32</t>
        </is>
      </c>
    </row>
    <row r="724">
      <c r="A724" t="inlineStr">
        <is>
          <t>评估申请信息表</t>
        </is>
      </c>
      <c r="B724" t="inlineStr">
        <is>
          <t>CLR_EVALUATION_APPL</t>
        </is>
      </c>
      <c r="C724" t="inlineStr">
        <is>
          <t>APPROVESTATUS</t>
        </is>
      </c>
      <c r="D724" t="inlineStr">
        <is>
          <t>VARCHAR(32)</t>
        </is>
      </c>
      <c r="E724" t="inlineStr">
        <is>
          <t>YES</t>
        </is>
      </c>
      <c r="F724" t="inlineStr">
        <is>
          <t>申请状态</t>
        </is>
      </c>
      <c r="H724" t="inlineStr">
        <is>
          <t>VARCHAR</t>
        </is>
      </c>
      <c r="I724" t="inlineStr">
        <is>
          <t>32</t>
        </is>
      </c>
    </row>
    <row r="725">
      <c r="A725" t="inlineStr">
        <is>
          <t>评估申请信息表</t>
        </is>
      </c>
      <c r="B725" t="inlineStr">
        <is>
          <t>CLR_EVALUATION_APPL</t>
        </is>
      </c>
      <c r="C725" t="inlineStr">
        <is>
          <t>CLRID</t>
        </is>
      </c>
      <c r="D725" t="inlineStr">
        <is>
          <t>VARCHAR(32)</t>
        </is>
      </c>
      <c r="E725" t="inlineStr">
        <is>
          <t>YES</t>
        </is>
      </c>
      <c r="F725" t="inlineStr">
        <is>
          <t>押品编号</t>
        </is>
      </c>
      <c r="H725" t="inlineStr">
        <is>
          <t>VARCHAR</t>
        </is>
      </c>
      <c r="I725" t="inlineStr">
        <is>
          <t>32</t>
        </is>
      </c>
    </row>
    <row r="726">
      <c r="A726" t="inlineStr">
        <is>
          <t>评估申请信息表</t>
        </is>
      </c>
      <c r="B726" t="inlineStr">
        <is>
          <t>CLR_EVALUATION_APPL</t>
        </is>
      </c>
      <c r="C726" t="inlineStr">
        <is>
          <t>EVALCURRENCY</t>
        </is>
      </c>
      <c r="D726" t="inlineStr">
        <is>
          <t>VARCHAR(18)</t>
        </is>
      </c>
      <c r="E726" t="inlineStr">
        <is>
          <t>YES</t>
        </is>
      </c>
      <c r="F726" t="inlineStr">
        <is>
          <t>评估币种</t>
        </is>
      </c>
      <c r="H726" t="inlineStr">
        <is>
          <t>VARCHAR</t>
        </is>
      </c>
      <c r="I726" t="inlineStr">
        <is>
          <t>18</t>
        </is>
      </c>
    </row>
    <row r="727">
      <c r="A727" t="inlineStr">
        <is>
          <t>评估申请信息表</t>
        </is>
      </c>
      <c r="B727" t="inlineStr">
        <is>
          <t>CLR_EVALUATION_APPL</t>
        </is>
      </c>
      <c r="C727" t="inlineStr">
        <is>
          <t>EVALOCCURTYPE</t>
        </is>
      </c>
      <c r="D727" t="inlineStr">
        <is>
          <t>VARCHAR(6)</t>
        </is>
      </c>
      <c r="E727" t="inlineStr">
        <is>
          <t>YES</t>
        </is>
      </c>
      <c r="F727" t="inlineStr">
        <is>
          <t>发生类型</t>
        </is>
      </c>
      <c r="H727" t="inlineStr">
        <is>
          <t>VARCHAR</t>
        </is>
      </c>
      <c r="I727" t="inlineStr">
        <is>
          <t>6</t>
        </is>
      </c>
    </row>
    <row r="728">
      <c r="A728" t="inlineStr">
        <is>
          <t>评估申请信息表</t>
        </is>
      </c>
      <c r="B728" t="inlineStr">
        <is>
          <t>CLR_EVALUATION_APPL</t>
        </is>
      </c>
      <c r="C728" t="inlineStr">
        <is>
          <t>EVALSTYLE</t>
        </is>
      </c>
      <c r="D728" t="inlineStr">
        <is>
          <t>VARCHAR(6)</t>
        </is>
      </c>
      <c r="E728" t="inlineStr">
        <is>
          <t>YES</t>
        </is>
      </c>
      <c r="F728" t="inlineStr">
        <is>
          <t>评估方法</t>
        </is>
      </c>
      <c r="H728" t="inlineStr">
        <is>
          <t>VARCHAR</t>
        </is>
      </c>
      <c r="I728" t="inlineStr">
        <is>
          <t>6</t>
        </is>
      </c>
    </row>
    <row r="729">
      <c r="A729" t="inlineStr">
        <is>
          <t>评估申请信息表</t>
        </is>
      </c>
      <c r="B729" t="inlineStr">
        <is>
          <t>CLR_EVALUATION_APPL</t>
        </is>
      </c>
      <c r="C729" t="inlineStr">
        <is>
          <t>STARTDATE</t>
        </is>
      </c>
      <c r="D729" t="inlineStr">
        <is>
          <t>DATETIME</t>
        </is>
      </c>
      <c r="E729" t="inlineStr">
        <is>
          <t>YES</t>
        </is>
      </c>
      <c r="F729" t="inlineStr">
        <is>
          <t>评估开始日期</t>
        </is>
      </c>
      <c r="H729" t="inlineStr">
        <is>
          <t>DATETIME</t>
        </is>
      </c>
    </row>
    <row r="730">
      <c r="A730" t="inlineStr">
        <is>
          <t>评估申请信息表</t>
        </is>
      </c>
      <c r="B730" t="inlineStr">
        <is>
          <t>CLR_EVALUATION_APPL</t>
        </is>
      </c>
      <c r="C730" t="inlineStr">
        <is>
          <t>ENDDATE</t>
        </is>
      </c>
      <c r="D730" t="inlineStr">
        <is>
          <t>DATETIME</t>
        </is>
      </c>
      <c r="E730" t="inlineStr">
        <is>
          <t>YES</t>
        </is>
      </c>
      <c r="F730" t="inlineStr">
        <is>
          <t>评估结束日期</t>
        </is>
      </c>
      <c r="H730" t="inlineStr">
        <is>
          <t>DATETIME</t>
        </is>
      </c>
    </row>
    <row r="731">
      <c r="A731" t="inlineStr">
        <is>
          <t>评估申请信息表</t>
        </is>
      </c>
      <c r="B731" t="inlineStr">
        <is>
          <t>CLR_EVALUATION_APPL</t>
        </is>
      </c>
      <c r="C731" t="inlineStr">
        <is>
          <t>EVALMODEL</t>
        </is>
      </c>
      <c r="D731" t="inlineStr">
        <is>
          <t>VARCHAR(32)</t>
        </is>
      </c>
      <c r="E731" t="inlineStr">
        <is>
          <t>YES</t>
        </is>
      </c>
      <c r="F731" t="inlineStr">
        <is>
          <t>评估模型编号</t>
        </is>
      </c>
      <c r="H731" t="inlineStr">
        <is>
          <t>VARCHAR</t>
        </is>
      </c>
      <c r="I731" t="inlineStr">
        <is>
          <t>32</t>
        </is>
      </c>
    </row>
    <row r="732">
      <c r="A732" t="inlineStr">
        <is>
          <t>评估申请信息表</t>
        </is>
      </c>
      <c r="B732" t="inlineStr">
        <is>
          <t>CLR_EVALUATION_APPL</t>
        </is>
      </c>
      <c r="C732" t="inlineStr">
        <is>
          <t>OUTTEREVALRESULT</t>
        </is>
      </c>
      <c r="D732" t="inlineStr">
        <is>
          <t>DECIMAL(24,6)</t>
        </is>
      </c>
      <c r="E732" t="inlineStr">
        <is>
          <t>YES</t>
        </is>
      </c>
      <c r="F732" t="inlineStr">
        <is>
          <t>外部估值结果</t>
        </is>
      </c>
      <c r="H732" t="inlineStr">
        <is>
          <t>DECIMAL</t>
        </is>
      </c>
      <c r="I732" t="inlineStr">
        <is>
          <t>24,6</t>
        </is>
      </c>
    </row>
    <row r="733">
      <c r="A733" t="inlineStr">
        <is>
          <t>评估申请信息表</t>
        </is>
      </c>
      <c r="B733" t="inlineStr">
        <is>
          <t>CLR_EVALUATION_APPL</t>
        </is>
      </c>
      <c r="C733" t="inlineStr">
        <is>
          <t>OUTTEREVALORGID</t>
        </is>
      </c>
      <c r="D733" t="inlineStr">
        <is>
          <t>VARCHAR(32)</t>
        </is>
      </c>
      <c r="E733" t="inlineStr">
        <is>
          <t>YES</t>
        </is>
      </c>
      <c r="F733" t="inlineStr">
        <is>
          <t>外部评估机构编号</t>
        </is>
      </c>
      <c r="H733" t="inlineStr">
        <is>
          <t>VARCHAR</t>
        </is>
      </c>
      <c r="I733" t="inlineStr">
        <is>
          <t>32</t>
        </is>
      </c>
    </row>
    <row r="734">
      <c r="A734" t="inlineStr">
        <is>
          <t>评估申请信息表</t>
        </is>
      </c>
      <c r="B734" t="inlineStr">
        <is>
          <t>CLR_EVALUATION_APPL</t>
        </is>
      </c>
      <c r="C734" t="inlineStr">
        <is>
          <t>OUTTEREVALDATE</t>
        </is>
      </c>
      <c r="D734" t="inlineStr">
        <is>
          <t>DATETIME</t>
        </is>
      </c>
      <c r="E734" t="inlineStr">
        <is>
          <t>YES</t>
        </is>
      </c>
      <c r="F734" t="inlineStr">
        <is>
          <t>外部评估基准日</t>
        </is>
      </c>
      <c r="H734" t="inlineStr">
        <is>
          <t>DATETIME</t>
        </is>
      </c>
    </row>
    <row r="735">
      <c r="A735" t="inlineStr">
        <is>
          <t>评估申请信息表</t>
        </is>
      </c>
      <c r="B735" t="inlineStr">
        <is>
          <t>CLR_EVALUATION_APPL</t>
        </is>
      </c>
      <c r="C735" t="inlineStr">
        <is>
          <t>OUTTEREVALTYPE</t>
        </is>
      </c>
      <c r="D735" t="inlineStr">
        <is>
          <t>VARCHAR(6)</t>
        </is>
      </c>
      <c r="E735" t="inlineStr">
        <is>
          <t>YES</t>
        </is>
      </c>
      <c r="F735" t="inlineStr">
        <is>
          <t>外部评估类型</t>
        </is>
      </c>
      <c r="H735" t="inlineStr">
        <is>
          <t>VARCHAR</t>
        </is>
      </c>
      <c r="I735" t="inlineStr">
        <is>
          <t>6</t>
        </is>
      </c>
    </row>
    <row r="736">
      <c r="A736" t="inlineStr">
        <is>
          <t>评估申请信息表</t>
        </is>
      </c>
      <c r="B736" t="inlineStr">
        <is>
          <t>CLR_EVALUATION_APPL</t>
        </is>
      </c>
      <c r="C736" t="inlineStr">
        <is>
          <t>OUTTEREVALEXPIRYDATE</t>
        </is>
      </c>
      <c r="D736" t="inlineStr">
        <is>
          <t>DATETIME</t>
        </is>
      </c>
      <c r="E736" t="inlineStr">
        <is>
          <t>YES</t>
        </is>
      </c>
      <c r="F736" t="inlineStr">
        <is>
          <t>外部评估报告有效期</t>
        </is>
      </c>
      <c r="H736" t="inlineStr">
        <is>
          <t>DATETIME</t>
        </is>
      </c>
    </row>
    <row r="737">
      <c r="A737" t="inlineStr">
        <is>
          <t>评估申请信息表</t>
        </is>
      </c>
      <c r="B737" t="inlineStr">
        <is>
          <t>CLR_EVALUATION_APPL</t>
        </is>
      </c>
      <c r="C737" t="inlineStr">
        <is>
          <t>OUTTEREVALMETHOD</t>
        </is>
      </c>
      <c r="D737" t="inlineStr">
        <is>
          <t>VARCHAR(6)</t>
        </is>
      </c>
      <c r="E737" t="inlineStr">
        <is>
          <t>YES</t>
        </is>
      </c>
      <c r="F737" t="inlineStr">
        <is>
          <t>外部评估方法</t>
        </is>
      </c>
      <c r="H737" t="inlineStr">
        <is>
          <t>VARCHAR</t>
        </is>
      </c>
      <c r="I737" t="inlineStr">
        <is>
          <t>6</t>
        </is>
      </c>
    </row>
    <row r="738">
      <c r="A738" t="inlineStr">
        <is>
          <t>评估申请信息表</t>
        </is>
      </c>
      <c r="B738" t="inlineStr">
        <is>
          <t>CLR_EVALUATION_APPL</t>
        </is>
      </c>
      <c r="C738" t="inlineStr">
        <is>
          <t>INITIALINNERRESULT</t>
        </is>
      </c>
      <c r="D738" t="inlineStr">
        <is>
          <t>DECIMAL(24,6)</t>
        </is>
      </c>
      <c r="E738" t="inlineStr">
        <is>
          <t>YES</t>
        </is>
      </c>
      <c r="F738" t="inlineStr">
        <is>
          <t>初评岗内部估值结果</t>
        </is>
      </c>
      <c r="H738" t="inlineStr">
        <is>
          <t>DECIMAL</t>
        </is>
      </c>
      <c r="I738" t="inlineStr">
        <is>
          <t>24,6</t>
        </is>
      </c>
    </row>
    <row r="739">
      <c r="A739" t="inlineStr">
        <is>
          <t>评估申请信息表</t>
        </is>
      </c>
      <c r="B739" t="inlineStr">
        <is>
          <t>CLR_EVALUATION_APPL</t>
        </is>
      </c>
      <c r="C739" t="inlineStr">
        <is>
          <t>INITIALADJUSTRESULT</t>
        </is>
      </c>
      <c r="D739" t="inlineStr">
        <is>
          <t>DECIMAL(24,6)</t>
        </is>
      </c>
      <c r="E739" t="inlineStr">
        <is>
          <t>YES</t>
        </is>
      </c>
      <c r="F739" t="inlineStr">
        <is>
          <t>初评岗调整估值结果</t>
        </is>
      </c>
      <c r="H739" t="inlineStr">
        <is>
          <t>DECIMAL</t>
        </is>
      </c>
      <c r="I739" t="inlineStr">
        <is>
          <t>24,6</t>
        </is>
      </c>
    </row>
    <row r="740">
      <c r="A740" t="inlineStr">
        <is>
          <t>评估申请信息表</t>
        </is>
      </c>
      <c r="B740" t="inlineStr">
        <is>
          <t>CLR_EVALUATION_APPL</t>
        </is>
      </c>
      <c r="C740" t="inlineStr">
        <is>
          <t>INITIALEVALWEIGHT</t>
        </is>
      </c>
      <c r="D740" t="inlineStr">
        <is>
          <t>DECIMAL(18,8)</t>
        </is>
      </c>
      <c r="E740" t="inlineStr">
        <is>
          <t>YES</t>
        </is>
      </c>
      <c r="F740" t="inlineStr">
        <is>
          <t>初评岗调整估值外部权重</t>
        </is>
      </c>
      <c r="H740" t="inlineStr">
        <is>
          <t>DECIMAL</t>
        </is>
      </c>
      <c r="I740" t="inlineStr">
        <is>
          <t>18,8</t>
        </is>
      </c>
    </row>
    <row r="741">
      <c r="A741" t="inlineStr">
        <is>
          <t>评估申请信息表</t>
        </is>
      </c>
      <c r="B741" t="inlineStr">
        <is>
          <t>CLR_EVALUATION_APPL</t>
        </is>
      </c>
      <c r="C741" t="inlineStr">
        <is>
          <t>INITIALMULTIRESULT</t>
        </is>
      </c>
      <c r="D741" t="inlineStr">
        <is>
          <t>DECIMAL(24,6)</t>
        </is>
      </c>
      <c r="E741" t="inlineStr">
        <is>
          <t>YES</t>
        </is>
      </c>
      <c r="F741" t="inlineStr">
        <is>
          <t>初评岗综合估值结果</t>
        </is>
      </c>
      <c r="H741" t="inlineStr">
        <is>
          <t>DECIMAL</t>
        </is>
      </c>
      <c r="I741" t="inlineStr">
        <is>
          <t>24,6</t>
        </is>
      </c>
    </row>
    <row r="742">
      <c r="A742" t="inlineStr">
        <is>
          <t>评估申请信息表</t>
        </is>
      </c>
      <c r="B742" t="inlineStr">
        <is>
          <t>CLR_EVALUATION_APPL</t>
        </is>
      </c>
      <c r="C742" t="inlineStr">
        <is>
          <t>INITIALVALIDATETIME</t>
        </is>
      </c>
      <c r="D742" t="inlineStr">
        <is>
          <t>DATETIME</t>
        </is>
      </c>
      <c r="E742" t="inlineStr">
        <is>
          <t>YES</t>
        </is>
      </c>
      <c r="F742" t="inlineStr">
        <is>
          <t>初评岗评估有效期</t>
        </is>
      </c>
      <c r="H742" t="inlineStr">
        <is>
          <t>DATETIME</t>
        </is>
      </c>
    </row>
    <row r="743">
      <c r="A743" t="inlineStr">
        <is>
          <t>评估申请信息表</t>
        </is>
      </c>
      <c r="B743" t="inlineStr">
        <is>
          <t>CLR_EVALUATION_APPL</t>
        </is>
      </c>
      <c r="C743" t="inlineStr">
        <is>
          <t>INITIALFINALRESULT</t>
        </is>
      </c>
      <c r="D743" t="inlineStr">
        <is>
          <t>DECIMAL(24,6)</t>
        </is>
      </c>
      <c r="E743" t="inlineStr">
        <is>
          <t>YES</t>
        </is>
      </c>
      <c r="F743" t="inlineStr">
        <is>
          <t>初评岗最终评估结果</t>
        </is>
      </c>
      <c r="H743" t="inlineStr">
        <is>
          <t>DECIMAL</t>
        </is>
      </c>
      <c r="I743" t="inlineStr">
        <is>
          <t>24,6</t>
        </is>
      </c>
    </row>
    <row r="744">
      <c r="A744" t="inlineStr">
        <is>
          <t>评估申请信息表</t>
        </is>
      </c>
      <c r="B744" t="inlineStr">
        <is>
          <t>CLR_EVALUATION_APPL</t>
        </is>
      </c>
      <c r="C744" t="inlineStr">
        <is>
          <t>REVIEWERUSERID</t>
        </is>
      </c>
      <c r="D744" t="inlineStr">
        <is>
          <t>VARCHAR(32)</t>
        </is>
      </c>
      <c r="E744" t="inlineStr">
        <is>
          <t>YES</t>
        </is>
      </c>
      <c r="F744" t="inlineStr">
        <is>
          <t>初评人</t>
        </is>
      </c>
      <c r="H744" t="inlineStr">
        <is>
          <t>VARCHAR</t>
        </is>
      </c>
      <c r="I744" t="inlineStr">
        <is>
          <t>32</t>
        </is>
      </c>
    </row>
    <row r="745">
      <c r="A745" t="inlineStr">
        <is>
          <t>评估申请信息表</t>
        </is>
      </c>
      <c r="B745" t="inlineStr">
        <is>
          <t>CLR_EVALUATION_APPL</t>
        </is>
      </c>
      <c r="C745" t="inlineStr">
        <is>
          <t>REVIEWORGID</t>
        </is>
      </c>
      <c r="D745" t="inlineStr">
        <is>
          <t>VARCHAR(32)</t>
        </is>
      </c>
      <c r="E745" t="inlineStr">
        <is>
          <t>YES</t>
        </is>
      </c>
      <c r="F745" t="inlineStr">
        <is>
          <t>初评机构</t>
        </is>
      </c>
      <c r="H745" t="inlineStr">
        <is>
          <t>VARCHAR</t>
        </is>
      </c>
      <c r="I745" t="inlineStr">
        <is>
          <t>32</t>
        </is>
      </c>
    </row>
    <row r="746">
      <c r="A746" t="inlineStr">
        <is>
          <t>评估申请信息表</t>
        </is>
      </c>
      <c r="B746" t="inlineStr">
        <is>
          <t>CLR_EVALUATION_APPL</t>
        </is>
      </c>
      <c r="C746" t="inlineStr">
        <is>
          <t>REVIEWDATE</t>
        </is>
      </c>
      <c r="D746" t="inlineStr">
        <is>
          <t>DATETIME</t>
        </is>
      </c>
      <c r="E746" t="inlineStr">
        <is>
          <t>YES</t>
        </is>
      </c>
      <c r="F746" t="inlineStr">
        <is>
          <t>初评日期</t>
        </is>
      </c>
      <c r="H746" t="inlineStr">
        <is>
          <t>DATETIME</t>
        </is>
      </c>
    </row>
    <row r="747">
      <c r="A747" t="inlineStr">
        <is>
          <t>评估申请信息表</t>
        </is>
      </c>
      <c r="B747" t="inlineStr">
        <is>
          <t>CLR_EVALUATION_APPL</t>
        </is>
      </c>
      <c r="C747" t="inlineStr">
        <is>
          <t>APPROVEINNERRESULT</t>
        </is>
      </c>
      <c r="D747" t="inlineStr">
        <is>
          <t>DECIMAL(24,6)</t>
        </is>
      </c>
      <c r="E747" t="inlineStr">
        <is>
          <t>YES</t>
        </is>
      </c>
      <c r="F747" t="inlineStr">
        <is>
          <t>核定岗内部估值结果</t>
        </is>
      </c>
      <c r="H747" t="inlineStr">
        <is>
          <t>DECIMAL</t>
        </is>
      </c>
      <c r="I747" t="inlineStr">
        <is>
          <t>24,6</t>
        </is>
      </c>
    </row>
    <row r="748">
      <c r="A748" t="inlineStr">
        <is>
          <t>评估申请信息表</t>
        </is>
      </c>
      <c r="B748" t="inlineStr">
        <is>
          <t>CLR_EVALUATION_APPL</t>
        </is>
      </c>
      <c r="C748" t="inlineStr">
        <is>
          <t>APPROVEADJUSTRESULT</t>
        </is>
      </c>
      <c r="D748" t="inlineStr">
        <is>
          <t>DECIMAL(24,6)</t>
        </is>
      </c>
      <c r="E748" t="inlineStr">
        <is>
          <t>YES</t>
        </is>
      </c>
      <c r="F748" t="inlineStr">
        <is>
          <t>核定岗调整估值结果确认</t>
        </is>
      </c>
      <c r="H748" t="inlineStr">
        <is>
          <t>DECIMAL</t>
        </is>
      </c>
      <c r="I748" t="inlineStr">
        <is>
          <t>24,6</t>
        </is>
      </c>
    </row>
    <row r="749">
      <c r="A749" t="inlineStr">
        <is>
          <t>评估申请信息表</t>
        </is>
      </c>
      <c r="B749" t="inlineStr">
        <is>
          <t>CLR_EVALUATION_APPL</t>
        </is>
      </c>
      <c r="C749" t="inlineStr">
        <is>
          <t>APPROVEEVALWEIGHT</t>
        </is>
      </c>
      <c r="D749" t="inlineStr">
        <is>
          <t>DECIMAL(18,8)</t>
        </is>
      </c>
      <c r="E749" t="inlineStr">
        <is>
          <t>YES</t>
        </is>
      </c>
      <c r="F749" t="inlineStr">
        <is>
          <t>核定岗内部模型估值权重</t>
        </is>
      </c>
      <c r="H749" t="inlineStr">
        <is>
          <t>DECIMAL</t>
        </is>
      </c>
      <c r="I749" t="inlineStr">
        <is>
          <t>18,8</t>
        </is>
      </c>
    </row>
    <row r="750">
      <c r="A750" t="inlineStr">
        <is>
          <t>评估申请信息表</t>
        </is>
      </c>
      <c r="B750" t="inlineStr">
        <is>
          <t>CLR_EVALUATION_APPL</t>
        </is>
      </c>
      <c r="C750" t="inlineStr">
        <is>
          <t>APPROVEMUTILRESULT</t>
        </is>
      </c>
      <c r="D750" t="inlineStr">
        <is>
          <t>DECIMAL(24,6)</t>
        </is>
      </c>
      <c r="E750" t="inlineStr">
        <is>
          <t>YES</t>
        </is>
      </c>
      <c r="F750" t="inlineStr">
        <is>
          <t>核定岗综合估值结果</t>
        </is>
      </c>
      <c r="H750" t="inlineStr">
        <is>
          <t>DECIMAL</t>
        </is>
      </c>
      <c r="I750" t="inlineStr">
        <is>
          <t>24,6</t>
        </is>
      </c>
    </row>
    <row r="751">
      <c r="A751" t="inlineStr">
        <is>
          <t>评估申请信息表</t>
        </is>
      </c>
      <c r="B751" t="inlineStr">
        <is>
          <t>CLR_EVALUATION_APPL</t>
        </is>
      </c>
      <c r="C751" t="inlineStr">
        <is>
          <t>APPROVEVALIDATETIME</t>
        </is>
      </c>
      <c r="D751" t="inlineStr">
        <is>
          <t>DATE</t>
        </is>
      </c>
      <c r="E751" t="inlineStr">
        <is>
          <t>YES</t>
        </is>
      </c>
      <c r="F751" t="inlineStr">
        <is>
          <t>核定岗评估有效期</t>
        </is>
      </c>
      <c r="H751" t="inlineStr">
        <is>
          <t>DATE</t>
        </is>
      </c>
    </row>
    <row r="752">
      <c r="A752" t="inlineStr">
        <is>
          <t>评估申请信息表</t>
        </is>
      </c>
      <c r="B752" t="inlineStr">
        <is>
          <t>CLR_EVALUATION_APPL</t>
        </is>
      </c>
      <c r="C752" t="inlineStr">
        <is>
          <t>APPROVEFINALRESULT</t>
        </is>
      </c>
      <c r="D752" t="inlineStr">
        <is>
          <t>DECIMAL(24,6)</t>
        </is>
      </c>
      <c r="E752" t="inlineStr">
        <is>
          <t>YES</t>
        </is>
      </c>
      <c r="F752" t="inlineStr">
        <is>
          <t>核定岗最终评估结果</t>
        </is>
      </c>
      <c r="H752" t="inlineStr">
        <is>
          <t>DECIMAL</t>
        </is>
      </c>
      <c r="I752" t="inlineStr">
        <is>
          <t>24,6</t>
        </is>
      </c>
    </row>
    <row r="753">
      <c r="A753" t="inlineStr">
        <is>
          <t>评估申请信息表</t>
        </is>
      </c>
      <c r="B753" t="inlineStr">
        <is>
          <t>CLR_EVALUATION_APPL</t>
        </is>
      </c>
      <c r="C753" t="inlineStr">
        <is>
          <t>APPROVEUSERID</t>
        </is>
      </c>
      <c r="D753" t="inlineStr">
        <is>
          <t>VARCHAR(80)</t>
        </is>
      </c>
      <c r="E753" t="inlineStr">
        <is>
          <t>YES</t>
        </is>
      </c>
      <c r="F753" t="inlineStr">
        <is>
          <t>核定人</t>
        </is>
      </c>
      <c r="H753" t="inlineStr">
        <is>
          <t>VARCHAR</t>
        </is>
      </c>
      <c r="I753" t="inlineStr">
        <is>
          <t>80</t>
        </is>
      </c>
    </row>
    <row r="754">
      <c r="A754" t="inlineStr">
        <is>
          <t>评估申请信息表</t>
        </is>
      </c>
      <c r="B754" t="inlineStr">
        <is>
          <t>CLR_EVALUATION_APPL</t>
        </is>
      </c>
      <c r="C754" t="inlineStr">
        <is>
          <t>APPROVEORGID</t>
        </is>
      </c>
      <c r="D754" t="inlineStr">
        <is>
          <t>VARCHAR(80)</t>
        </is>
      </c>
      <c r="E754" t="inlineStr">
        <is>
          <t>YES</t>
        </is>
      </c>
      <c r="F754" t="inlineStr">
        <is>
          <t>核定机构</t>
        </is>
      </c>
      <c r="H754" t="inlineStr">
        <is>
          <t>VARCHAR</t>
        </is>
      </c>
      <c r="I754" t="inlineStr">
        <is>
          <t>80</t>
        </is>
      </c>
    </row>
    <row r="755">
      <c r="A755" t="inlineStr">
        <is>
          <t>评估申请信息表</t>
        </is>
      </c>
      <c r="B755" t="inlineStr">
        <is>
          <t>CLR_EVALUATION_APPL</t>
        </is>
      </c>
      <c r="C755" t="inlineStr">
        <is>
          <t>APPROVEDATE</t>
        </is>
      </c>
      <c r="D755" t="inlineStr">
        <is>
          <t>DATETIME</t>
        </is>
      </c>
      <c r="E755" t="inlineStr">
        <is>
          <t>YES</t>
        </is>
      </c>
      <c r="F755" t="inlineStr">
        <is>
          <t>核定日期</t>
        </is>
      </c>
      <c r="H755" t="inlineStr">
        <is>
          <t>DATETIME</t>
        </is>
      </c>
    </row>
    <row r="756">
      <c r="A756" t="inlineStr">
        <is>
          <t>评估申请信息表</t>
        </is>
      </c>
      <c r="B756" t="inlineStr">
        <is>
          <t>CLR_EVALUATION_APPL</t>
        </is>
      </c>
      <c r="C756" t="inlineStr">
        <is>
          <t>SAMPLEPRICE1</t>
        </is>
      </c>
      <c r="D756" t="inlineStr">
        <is>
          <t>DECIMAL(24,6)</t>
        </is>
      </c>
      <c r="E756" t="inlineStr">
        <is>
          <t>YES</t>
        </is>
      </c>
      <c r="F756" t="inlineStr">
        <is>
          <t>参考案例一单价</t>
        </is>
      </c>
      <c r="H756" t="inlineStr">
        <is>
          <t>DECIMAL</t>
        </is>
      </c>
      <c r="I756" t="inlineStr">
        <is>
          <t>24,6</t>
        </is>
      </c>
    </row>
    <row r="757">
      <c r="A757" t="inlineStr">
        <is>
          <t>评估申请信息表</t>
        </is>
      </c>
      <c r="B757" t="inlineStr">
        <is>
          <t>CLR_EVALUATION_APPL</t>
        </is>
      </c>
      <c r="C757" t="inlineStr">
        <is>
          <t>SAMPLEPRICE2</t>
        </is>
      </c>
      <c r="D757" t="inlineStr">
        <is>
          <t>DECIMAL(24,6)</t>
        </is>
      </c>
      <c r="E757" t="inlineStr">
        <is>
          <t>YES</t>
        </is>
      </c>
      <c r="F757" t="inlineStr">
        <is>
          <t>参考案例二单价</t>
        </is>
      </c>
      <c r="H757" t="inlineStr">
        <is>
          <t>DECIMAL</t>
        </is>
      </c>
      <c r="I757" t="inlineStr">
        <is>
          <t>24,6</t>
        </is>
      </c>
    </row>
    <row r="758">
      <c r="A758" t="inlineStr">
        <is>
          <t>评估申请信息表</t>
        </is>
      </c>
      <c r="B758" t="inlineStr">
        <is>
          <t>CLR_EVALUATION_APPL</t>
        </is>
      </c>
      <c r="C758" t="inlineStr">
        <is>
          <t>SAMPLEPRICE3</t>
        </is>
      </c>
      <c r="D758" t="inlineStr">
        <is>
          <t>DECIMAL(24,6)</t>
        </is>
      </c>
      <c r="E758" t="inlineStr">
        <is>
          <t>YES</t>
        </is>
      </c>
      <c r="F758" t="inlineStr">
        <is>
          <t>参考案例三单价</t>
        </is>
      </c>
      <c r="H758" t="inlineStr">
        <is>
          <t>DECIMAL</t>
        </is>
      </c>
      <c r="I758" t="inlineStr">
        <is>
          <t>24,6</t>
        </is>
      </c>
    </row>
    <row r="759">
      <c r="A759" t="inlineStr">
        <is>
          <t>评估申请信息表</t>
        </is>
      </c>
      <c r="B759" t="inlineStr">
        <is>
          <t>CLR_EVALUATION_APPL</t>
        </is>
      </c>
      <c r="C759" t="inlineStr">
        <is>
          <t>INTERNALPRICE</t>
        </is>
      </c>
      <c r="D759" t="inlineStr">
        <is>
          <t>DECIMAL(24,6)</t>
        </is>
      </c>
      <c r="E759" t="inlineStr">
        <is>
          <t>YES</t>
        </is>
      </c>
      <c r="F759" t="inlineStr">
        <is>
          <t>模型计算单价</t>
        </is>
      </c>
      <c r="H759" t="inlineStr">
        <is>
          <t>DECIMAL</t>
        </is>
      </c>
      <c r="I759" t="inlineStr">
        <is>
          <t>24,6</t>
        </is>
      </c>
    </row>
    <row r="760">
      <c r="A760" t="inlineStr">
        <is>
          <t>评估申请信息表</t>
        </is>
      </c>
      <c r="B760" t="inlineStr">
        <is>
          <t>CLR_EVALUATION_APPL</t>
        </is>
      </c>
      <c r="C760" t="inlineStr">
        <is>
          <t>INTERNALTOTALPRICE</t>
        </is>
      </c>
      <c r="D760" t="inlineStr">
        <is>
          <t>DECIMAL(24,6)</t>
        </is>
      </c>
      <c r="E760" t="inlineStr">
        <is>
          <t>YES</t>
        </is>
      </c>
      <c r="F760" t="inlineStr">
        <is>
          <t>模型计算最新总价</t>
        </is>
      </c>
      <c r="H760" t="inlineStr">
        <is>
          <t>DECIMAL</t>
        </is>
      </c>
      <c r="I760" t="inlineStr">
        <is>
          <t>24,6</t>
        </is>
      </c>
    </row>
    <row r="761">
      <c r="A761" t="inlineStr">
        <is>
          <t>评估申请信息表</t>
        </is>
      </c>
      <c r="B761" t="inlineStr">
        <is>
          <t>CLR_EVALUATION_APPL</t>
        </is>
      </c>
      <c r="C761" t="inlineStr">
        <is>
          <t>BENCHDATE</t>
        </is>
      </c>
      <c r="D761" t="inlineStr">
        <is>
          <t>DATETIME</t>
        </is>
      </c>
      <c r="E761" t="inlineStr">
        <is>
          <t>YES</t>
        </is>
      </c>
      <c r="F761" t="inlineStr">
        <is>
          <t>评估基准日</t>
        </is>
      </c>
      <c r="H761" t="inlineStr">
        <is>
          <t>DATETIME</t>
        </is>
      </c>
    </row>
    <row r="762">
      <c r="A762" t="inlineStr">
        <is>
          <t>评估申请信息表</t>
        </is>
      </c>
      <c r="B762" t="inlineStr">
        <is>
          <t>CLR_EVALUATION_APPL</t>
        </is>
      </c>
      <c r="C762" t="inlineStr">
        <is>
          <t>DEBTOR</t>
        </is>
      </c>
      <c r="D762" t="inlineStr">
        <is>
          <t>VARCHAR(80)</t>
        </is>
      </c>
      <c r="E762" t="inlineStr">
        <is>
          <t>YES</t>
        </is>
      </c>
      <c r="F762" t="inlineStr">
        <is>
          <t>主债务人</t>
        </is>
      </c>
      <c r="H762" t="inlineStr">
        <is>
          <t>VARCHAR</t>
        </is>
      </c>
      <c r="I762" t="inlineStr">
        <is>
          <t>80</t>
        </is>
      </c>
    </row>
    <row r="763">
      <c r="A763" t="inlineStr">
        <is>
          <t>评估申请信息表</t>
        </is>
      </c>
      <c r="B763" t="inlineStr">
        <is>
          <t>CLR_EVALUATION_APPL</t>
        </is>
      </c>
      <c r="C763" t="inlineStr">
        <is>
          <t>OWNERSTATUS</t>
        </is>
      </c>
      <c r="D763" t="inlineStr">
        <is>
          <t>VARCHAR(6)</t>
        </is>
      </c>
      <c r="E763" t="inlineStr">
        <is>
          <t>YES</t>
        </is>
      </c>
      <c r="F763" t="inlineStr">
        <is>
          <t>抵质押品权属状况</t>
        </is>
      </c>
      <c r="H763" t="inlineStr">
        <is>
          <t>VARCHAR</t>
        </is>
      </c>
      <c r="I763" t="inlineStr">
        <is>
          <t>6</t>
        </is>
      </c>
    </row>
    <row r="764">
      <c r="A764" t="inlineStr">
        <is>
          <t>评估申请信息表</t>
        </is>
      </c>
      <c r="B764" t="inlineStr">
        <is>
          <t>CLR_EVALUATION_APPL</t>
        </is>
      </c>
      <c r="C764" t="inlineStr">
        <is>
          <t>PRIORITYCLAIM</t>
        </is>
      </c>
      <c r="D764" t="inlineStr">
        <is>
          <t>VARCHAR(6)</t>
        </is>
      </c>
      <c r="E764" t="inlineStr">
        <is>
          <t>YES</t>
        </is>
      </c>
      <c r="F764" t="inlineStr">
        <is>
          <t>顺位情况</t>
        </is>
      </c>
      <c r="H764" t="inlineStr">
        <is>
          <t>VARCHAR</t>
        </is>
      </c>
      <c r="I764" t="inlineStr">
        <is>
          <t>6</t>
        </is>
      </c>
    </row>
    <row r="765">
      <c r="A765" t="inlineStr">
        <is>
          <t>评估申请信息表</t>
        </is>
      </c>
      <c r="B765" t="inlineStr">
        <is>
          <t>CLR_EVALUATION_APPL</t>
        </is>
      </c>
      <c r="C765" t="inlineStr">
        <is>
          <t>ABNORMALREASON</t>
        </is>
      </c>
      <c r="D765" t="inlineStr">
        <is>
          <t>VARCHAR(200)</t>
        </is>
      </c>
      <c r="E765" t="inlineStr">
        <is>
          <t>YES</t>
        </is>
      </c>
      <c r="F765" t="inlineStr">
        <is>
          <t>异常原因</t>
        </is>
      </c>
      <c r="H765" t="inlineStr">
        <is>
          <t>VARCHAR</t>
        </is>
      </c>
      <c r="I765" t="inlineStr">
        <is>
          <t>200</t>
        </is>
      </c>
    </row>
    <row r="766">
      <c r="A766" t="inlineStr">
        <is>
          <t>评估申请信息表</t>
        </is>
      </c>
      <c r="B766" t="inlineStr">
        <is>
          <t>CLR_EVALUATION_APPL</t>
        </is>
      </c>
      <c r="C766" t="inlineStr">
        <is>
          <t>OLDCLRID</t>
        </is>
      </c>
      <c r="D766" t="inlineStr">
        <is>
          <t>VARCHAR(32)</t>
        </is>
      </c>
      <c r="E766" t="inlineStr">
        <is>
          <t>YES</t>
        </is>
      </c>
      <c r="F766" t="inlineStr">
        <is>
          <t>合并前押品编号</t>
        </is>
      </c>
      <c r="H766" t="inlineStr">
        <is>
          <t>VARCHAR</t>
        </is>
      </c>
      <c r="I766" t="inlineStr">
        <is>
          <t>32</t>
        </is>
      </c>
    </row>
    <row r="767">
      <c r="A767" t="inlineStr">
        <is>
          <t>评估申请信息表</t>
        </is>
      </c>
      <c r="B767" t="inlineStr">
        <is>
          <t>CLR_EVALUATION_APPL</t>
        </is>
      </c>
      <c r="C767" t="inlineStr">
        <is>
          <t>INPUTORGID</t>
        </is>
      </c>
      <c r="D767" t="inlineStr">
        <is>
          <t>VARCHAR(32)</t>
        </is>
      </c>
      <c r="E767" t="inlineStr">
        <is>
          <t>YES</t>
        </is>
      </c>
      <c r="F767" t="inlineStr">
        <is>
          <t>登记机构</t>
        </is>
      </c>
      <c r="H767" t="inlineStr">
        <is>
          <t>VARCHAR</t>
        </is>
      </c>
      <c r="I767" t="inlineStr">
        <is>
          <t>32</t>
        </is>
      </c>
    </row>
    <row r="768">
      <c r="A768" t="inlineStr">
        <is>
          <t>评估申请信息表</t>
        </is>
      </c>
      <c r="B768" t="inlineStr">
        <is>
          <t>CLR_EVALUATION_APPL</t>
        </is>
      </c>
      <c r="C768" t="inlineStr">
        <is>
          <t>INPUTUSERID</t>
        </is>
      </c>
      <c r="D768" t="inlineStr">
        <is>
          <t>VARCHAR(32)</t>
        </is>
      </c>
      <c r="E768" t="inlineStr">
        <is>
          <t>YES</t>
        </is>
      </c>
      <c r="F768" t="inlineStr">
        <is>
          <t>登记人</t>
        </is>
      </c>
      <c r="H768" t="inlineStr">
        <is>
          <t>VARCHAR</t>
        </is>
      </c>
      <c r="I768" t="inlineStr">
        <is>
          <t>32</t>
        </is>
      </c>
    </row>
    <row r="769">
      <c r="A769" t="inlineStr">
        <is>
          <t>评估申请信息表</t>
        </is>
      </c>
      <c r="B769" t="inlineStr">
        <is>
          <t>CLR_EVALUATION_APPL</t>
        </is>
      </c>
      <c r="C769" t="inlineStr">
        <is>
          <t>INPUTDATE</t>
        </is>
      </c>
      <c r="D769" t="inlineStr">
        <is>
          <t>DATETIME</t>
        </is>
      </c>
      <c r="E769" t="inlineStr">
        <is>
          <t>YES</t>
        </is>
      </c>
      <c r="F769" t="inlineStr">
        <is>
          <t>登记日期</t>
        </is>
      </c>
      <c r="H769" t="inlineStr">
        <is>
          <t>DATETIME</t>
        </is>
      </c>
    </row>
    <row r="770">
      <c r="A770" t="inlineStr">
        <is>
          <t>评估申请信息表</t>
        </is>
      </c>
      <c r="B770" t="inlineStr">
        <is>
          <t>CLR_EVALUATION_APPL</t>
        </is>
      </c>
      <c r="C770" t="inlineStr">
        <is>
          <t>UPDATEORGID</t>
        </is>
      </c>
      <c r="D770" t="inlineStr">
        <is>
          <t>VARCHAR(32)</t>
        </is>
      </c>
      <c r="E770" t="inlineStr">
        <is>
          <t>YES</t>
        </is>
      </c>
      <c r="F770" t="inlineStr">
        <is>
          <t>更新机构</t>
        </is>
      </c>
      <c r="H770" t="inlineStr">
        <is>
          <t>VARCHAR</t>
        </is>
      </c>
      <c r="I770" t="inlineStr">
        <is>
          <t>32</t>
        </is>
      </c>
    </row>
    <row r="771">
      <c r="A771" t="inlineStr">
        <is>
          <t>评估申请信息表</t>
        </is>
      </c>
      <c r="B771" t="inlineStr">
        <is>
          <t>CLR_EVALUATION_APPL</t>
        </is>
      </c>
      <c r="C771" t="inlineStr">
        <is>
          <t>UPDATEUSERID</t>
        </is>
      </c>
      <c r="D771" t="inlineStr">
        <is>
          <t>VARCHAR(32)</t>
        </is>
      </c>
      <c r="E771" t="inlineStr">
        <is>
          <t>YES</t>
        </is>
      </c>
      <c r="F771" t="inlineStr">
        <is>
          <t>更新人</t>
        </is>
      </c>
      <c r="H771" t="inlineStr">
        <is>
          <t>VARCHAR</t>
        </is>
      </c>
      <c r="I771" t="inlineStr">
        <is>
          <t>32</t>
        </is>
      </c>
    </row>
    <row r="772">
      <c r="A772" t="inlineStr">
        <is>
          <t>评估申请信息表</t>
        </is>
      </c>
      <c r="B772" t="inlineStr">
        <is>
          <t>CLR_EVALUATION_APPL</t>
        </is>
      </c>
      <c r="C772" t="inlineStr">
        <is>
          <t>UPDATEDATE</t>
        </is>
      </c>
      <c r="D772" t="inlineStr">
        <is>
          <t>DATETIME</t>
        </is>
      </c>
      <c r="E772" t="inlineStr">
        <is>
          <t>YES</t>
        </is>
      </c>
      <c r="F772" t="inlineStr">
        <is>
          <t>更新日期</t>
        </is>
      </c>
      <c r="H772" t="inlineStr">
        <is>
          <t>DATETIME</t>
        </is>
      </c>
    </row>
    <row r="773">
      <c r="A773" t="inlineStr">
        <is>
          <t>评估申请信息表</t>
        </is>
      </c>
      <c r="B773" t="inlineStr">
        <is>
          <t>CLR_EVALUATION_APPL</t>
        </is>
      </c>
      <c r="C773" t="inlineStr">
        <is>
          <t>REMARK</t>
        </is>
      </c>
      <c r="D773" t="inlineStr">
        <is>
          <t>VARCHAR(500)</t>
        </is>
      </c>
      <c r="E773" t="inlineStr">
        <is>
          <t>YES</t>
        </is>
      </c>
      <c r="F773" t="inlineStr">
        <is>
          <t>备注</t>
        </is>
      </c>
      <c r="H773" t="inlineStr">
        <is>
          <t>VARCHAR</t>
        </is>
      </c>
      <c r="I773" t="inlineStr">
        <is>
          <t>500</t>
        </is>
      </c>
    </row>
    <row r="774">
      <c r="A774" t="inlineStr">
        <is>
          <t>评估申请信息表</t>
        </is>
      </c>
      <c r="B774" t="inlineStr">
        <is>
          <t>CLR_EVALUATION_APPL</t>
        </is>
      </c>
      <c r="C774" t="inlineStr">
        <is>
          <t>CORPORGID</t>
        </is>
      </c>
      <c r="D774" t="inlineStr">
        <is>
          <t>VARCHAR(32)</t>
        </is>
      </c>
      <c r="E774" t="inlineStr">
        <is>
          <t>YES</t>
        </is>
      </c>
      <c r="F774" t="inlineStr">
        <is>
          <t>法人机构编号</t>
        </is>
      </c>
      <c r="H774" t="inlineStr">
        <is>
          <t>VARCHAR</t>
        </is>
      </c>
      <c r="I774" t="inlineStr">
        <is>
          <t>32</t>
        </is>
      </c>
    </row>
    <row r="775">
      <c r="A775" t="inlineStr">
        <is>
          <t>评估申请信息表</t>
        </is>
      </c>
      <c r="B775" t="inlineStr">
        <is>
          <t>CLR_EVALUATION_APPL</t>
        </is>
      </c>
      <c r="C775" t="inlineStr">
        <is>
          <t>EVALDATE</t>
        </is>
      </c>
      <c r="D775" t="inlineStr">
        <is>
          <t>DATETIME</t>
        </is>
      </c>
      <c r="E775" t="inlineStr">
        <is>
          <t>YES</t>
        </is>
      </c>
      <c r="F775" t="inlineStr">
        <is>
          <t>评估基准日</t>
        </is>
      </c>
      <c r="H775" t="inlineStr">
        <is>
          <t>DATETIME</t>
        </is>
      </c>
    </row>
    <row r="776">
      <c r="A776" t="inlineStr">
        <is>
          <t>评估申请信息表</t>
        </is>
      </c>
      <c r="B776" t="inlineStr">
        <is>
          <t>CLR_EVALUATION_APPL</t>
        </is>
      </c>
      <c r="C776" t="inlineStr">
        <is>
          <t>CLRTYPEID</t>
        </is>
      </c>
      <c r="D776" t="inlineStr">
        <is>
          <t>VARCHAR(32)</t>
        </is>
      </c>
      <c r="E776" t="inlineStr">
        <is>
          <t>YES</t>
        </is>
      </c>
      <c r="F776" t="inlineStr">
        <is>
          <t>押品类型编号</t>
        </is>
      </c>
      <c r="H776" t="inlineStr">
        <is>
          <t>VARCHAR</t>
        </is>
      </c>
      <c r="I776" t="inlineStr">
        <is>
          <t>32</t>
        </is>
      </c>
    </row>
    <row r="777">
      <c r="A777" t="inlineStr">
        <is>
          <t>评估申请信息表</t>
        </is>
      </c>
      <c r="B777" t="inlineStr">
        <is>
          <t>CLR_EVALUATION_APPL</t>
        </is>
      </c>
      <c r="C777" t="inlineStr">
        <is>
          <t>APPLBATCHNO</t>
        </is>
      </c>
      <c r="D777" t="inlineStr">
        <is>
          <t>VARCHAR(32)</t>
        </is>
      </c>
      <c r="E777" t="inlineStr">
        <is>
          <t>YES</t>
        </is>
      </c>
      <c r="F777" t="inlineStr">
        <is>
          <t>评估组编号</t>
        </is>
      </c>
      <c r="H777" t="inlineStr">
        <is>
          <t>VARCHAR</t>
        </is>
      </c>
      <c r="I777" t="inlineStr">
        <is>
          <t>32</t>
        </is>
      </c>
    </row>
    <row r="778">
      <c r="A778" t="inlineStr">
        <is>
          <t>评估申请信息表</t>
        </is>
      </c>
      <c r="B778" t="inlineStr">
        <is>
          <t>CLR_EVALUATION_APPL</t>
        </is>
      </c>
      <c r="C778" t="inlineStr">
        <is>
          <t>ISLEGAL</t>
        </is>
      </c>
      <c r="D778" t="inlineStr">
        <is>
          <t>VARCHAR（8）</t>
        </is>
      </c>
      <c r="E778" t="inlineStr">
        <is>
          <t>YES</t>
        </is>
      </c>
      <c r="F778" t="inlineStr">
        <is>
          <t>抵质押人是否具有合法的主体资格</t>
        </is>
      </c>
      <c r="H778" t="inlineStr">
        <is>
          <t>VARCHAR</t>
        </is>
      </c>
      <c r="I778" t="inlineStr">
        <is>
          <t>8</t>
        </is>
      </c>
    </row>
    <row r="779">
      <c r="A779" t="inlineStr">
        <is>
          <t>评估申请信息表</t>
        </is>
      </c>
      <c r="B779" t="inlineStr">
        <is>
          <t>CLR_EVALUATION_APPL</t>
        </is>
      </c>
      <c r="C779" t="inlineStr">
        <is>
          <t>HASOWNERSHIP</t>
        </is>
      </c>
      <c r="D779" t="inlineStr">
        <is>
          <t>VARCHAR（8）</t>
        </is>
      </c>
      <c r="E779" t="inlineStr">
        <is>
          <t>YES</t>
        </is>
      </c>
      <c r="F779" t="inlineStr">
        <is>
          <t>抵押人是否对抵押物享有所有权或处分权</t>
        </is>
      </c>
      <c r="H779" t="inlineStr">
        <is>
          <t>VARCHAR</t>
        </is>
      </c>
      <c r="I779" t="inlineStr">
        <is>
          <t>8</t>
        </is>
      </c>
    </row>
    <row r="780">
      <c r="A780" t="inlineStr">
        <is>
          <t>评估申请信息表</t>
        </is>
      </c>
      <c r="B780" t="inlineStr">
        <is>
          <t>CLR_EVALUATION_APPL</t>
        </is>
      </c>
      <c r="C780" t="inlineStr">
        <is>
          <t>ISCLRREPEAT</t>
        </is>
      </c>
      <c r="D780" t="inlineStr">
        <is>
          <t>VARCHAR（8）</t>
        </is>
      </c>
      <c r="E780" t="inlineStr">
        <is>
          <t>YES</t>
        </is>
      </c>
      <c r="F780" t="inlineStr">
        <is>
          <t>抵质押物是否存在出租、重复抵押等情况</t>
        </is>
      </c>
      <c r="H780" t="inlineStr">
        <is>
          <t>VARCHAR</t>
        </is>
      </c>
      <c r="I780" t="inlineStr">
        <is>
          <t>8</t>
        </is>
      </c>
    </row>
    <row r="781">
      <c r="A781" t="inlineStr">
        <is>
          <t>评估申请信息表</t>
        </is>
      </c>
      <c r="B781" t="inlineStr">
        <is>
          <t>CLR_EVALUATION_APPL</t>
        </is>
      </c>
      <c r="C781" t="inlineStr">
        <is>
          <t>ISREALIZABILITYCHG</t>
        </is>
      </c>
      <c r="D781" t="inlineStr">
        <is>
          <t>VARCHAR（8）</t>
        </is>
      </c>
      <c r="E781" t="inlineStr">
        <is>
          <t>YES</t>
        </is>
      </c>
      <c r="F781" t="inlineStr">
        <is>
          <t>抵质押物变现能力是否存在重大变化</t>
        </is>
      </c>
      <c r="H781" t="inlineStr">
        <is>
          <t>VARCHAR</t>
        </is>
      </c>
      <c r="I781" t="inlineStr">
        <is>
          <t>8</t>
        </is>
      </c>
    </row>
    <row r="782">
      <c r="A782" t="inlineStr">
        <is>
          <t>评估申请信息表</t>
        </is>
      </c>
      <c r="B782" t="inlineStr">
        <is>
          <t>CLR_EVALUATION_APPL</t>
        </is>
      </c>
      <c r="C782" t="inlineStr">
        <is>
          <t>ISCLRSEIZURE</t>
        </is>
      </c>
      <c r="D782" t="inlineStr">
        <is>
          <t>VARCHAR（8）</t>
        </is>
      </c>
      <c r="E782" t="inlineStr">
        <is>
          <t>YES</t>
        </is>
      </c>
      <c r="F782" t="inlineStr">
        <is>
          <t>抵押财产是否被查封、扣押等财产保全或者执行措施的</t>
        </is>
      </c>
      <c r="H782" t="inlineStr">
        <is>
          <t>VARCHAR</t>
        </is>
      </c>
      <c r="I782" t="inlineStr">
        <is>
          <t>8</t>
        </is>
      </c>
    </row>
    <row r="783">
      <c r="A783" t="inlineStr">
        <is>
          <t>评估申请信息表</t>
        </is>
      </c>
      <c r="B783" t="inlineStr">
        <is>
          <t>CLR_EVALUATION_APPL</t>
        </is>
      </c>
      <c r="C783" t="inlineStr">
        <is>
          <t>ISCLRSUFFICIENT</t>
        </is>
      </c>
      <c r="D783" t="inlineStr">
        <is>
          <t>VARCHAR（8）</t>
        </is>
      </c>
      <c r="E783" t="inlineStr">
        <is>
          <t>YES</t>
        </is>
      </c>
      <c r="F783" t="inlineStr">
        <is>
          <t>抵押物为在建工程的，抵押价值是否充足。</t>
        </is>
      </c>
      <c r="H783" t="inlineStr">
        <is>
          <t>VARCHAR</t>
        </is>
      </c>
      <c r="I783" t="inlineStr">
        <is>
          <t>8</t>
        </is>
      </c>
    </row>
    <row r="784">
      <c r="A784" t="inlineStr">
        <is>
          <t>评估申请信息表</t>
        </is>
      </c>
      <c r="B784" t="inlineStr">
        <is>
          <t>CLR_EVALUATION_APPL</t>
        </is>
      </c>
      <c r="C784" t="inlineStr">
        <is>
          <t>ISCLRSUPPLIED</t>
        </is>
      </c>
      <c r="D784" t="inlineStr">
        <is>
          <t>VARCHAR（8）</t>
        </is>
      </c>
      <c r="E784" t="inlineStr">
        <is>
          <t>YES</t>
        </is>
      </c>
      <c r="F784" t="inlineStr">
        <is>
          <t>不足的是否形成新增资产，是否进行抵押登记办理补足抵押物价值。</t>
        </is>
      </c>
      <c r="H784" t="inlineStr">
        <is>
          <t>VARCHAR</t>
        </is>
      </c>
      <c r="I784" t="inlineStr">
        <is>
          <t>8</t>
        </is>
      </c>
    </row>
    <row r="785">
      <c r="A785" t="inlineStr">
        <is>
          <t>评估申请信息表</t>
        </is>
      </c>
      <c r="B785" t="inlineStr">
        <is>
          <t>CLR_EVALUATION_APPL</t>
        </is>
      </c>
      <c r="C785" t="inlineStr">
        <is>
          <t>ISREGISTED</t>
        </is>
      </c>
      <c r="D785" t="inlineStr">
        <is>
          <t>VARCHAR（8）</t>
        </is>
      </c>
      <c r="E785" t="inlineStr">
        <is>
          <t>YES</t>
        </is>
      </c>
      <c r="F785" t="inlineStr">
        <is>
          <t>如完工的，是否已重新办理全部资产的抵押登记。</t>
        </is>
      </c>
      <c r="H785" t="inlineStr">
        <is>
          <t>VARCHAR</t>
        </is>
      </c>
      <c r="I785" t="inlineStr">
        <is>
          <t>8</t>
        </is>
      </c>
    </row>
    <row r="786">
      <c r="A786" t="inlineStr">
        <is>
          <t>评估申请信息表</t>
        </is>
      </c>
      <c r="B786" t="inlineStr">
        <is>
          <t>CLR_EVALUATION_APPL</t>
        </is>
      </c>
      <c r="C786" t="inlineStr">
        <is>
          <t>ISBROKEN</t>
        </is>
      </c>
      <c r="D786" t="inlineStr">
        <is>
          <t>VARCHAR（8）</t>
        </is>
      </c>
      <c r="E786" t="inlineStr">
        <is>
          <t>YES</t>
        </is>
      </c>
      <c r="F786" t="inlineStr">
        <is>
          <t>抵押财产是否存在损毁、灭失等</t>
        </is>
      </c>
      <c r="H786" t="inlineStr">
        <is>
          <t>VARCHAR</t>
        </is>
      </c>
      <c r="I786" t="inlineStr">
        <is>
          <t>8</t>
        </is>
      </c>
    </row>
    <row r="787">
      <c r="A787" t="inlineStr">
        <is>
          <t>评估申请信息表</t>
        </is>
      </c>
      <c r="B787" t="inlineStr">
        <is>
          <t>CLR_EVALUATION_APPL</t>
        </is>
      </c>
      <c r="C787" t="inlineStr">
        <is>
          <t>ISINSURANCEFEECTIVE</t>
        </is>
      </c>
      <c r="D787" t="inlineStr">
        <is>
          <t>VARCHAR（8）</t>
        </is>
      </c>
      <c r="E787" t="inlineStr">
        <is>
          <t>YES</t>
        </is>
      </c>
      <c r="F787" t="inlineStr">
        <is>
          <t>抵押财产购买保险的，保险是否在有效期内；如超期是否完成续保</t>
        </is>
      </c>
      <c r="H787" t="inlineStr">
        <is>
          <t>VARCHAR</t>
        </is>
      </c>
      <c r="I787" t="inlineStr">
        <is>
          <t>8</t>
        </is>
      </c>
    </row>
    <row r="788">
      <c r="A788" t="inlineStr">
        <is>
          <t>评估申请信息表</t>
        </is>
      </c>
      <c r="B788" t="inlineStr">
        <is>
          <t>CLR_EVALUATION_APPL</t>
        </is>
      </c>
      <c r="C788" t="inlineStr">
        <is>
          <t>ISBILLEFFECTIVE</t>
        </is>
      </c>
      <c r="D788" t="inlineStr">
        <is>
          <t>VARCHAR（8）</t>
        </is>
      </c>
      <c r="E788" t="inlineStr">
        <is>
          <t>YES</t>
        </is>
      </c>
      <c r="F788" t="inlineStr">
        <is>
          <t>质押财产为银票、商票的，票据是否到期，是否已转入保证金户继续为我行业务提供担保</t>
        </is>
      </c>
      <c r="H788" t="inlineStr">
        <is>
          <t>VARCHAR</t>
        </is>
      </c>
      <c r="I788" t="inlineStr">
        <is>
          <t>8</t>
        </is>
      </c>
    </row>
    <row r="789">
      <c r="A789" t="inlineStr">
        <is>
          <t>评估申请信息表</t>
        </is>
      </c>
      <c r="B789" t="inlineStr">
        <is>
          <t>CLR_EVALUATION_APPL</t>
        </is>
      </c>
      <c r="C789" t="inlineStr">
        <is>
          <t>MEMO</t>
        </is>
      </c>
      <c r="D789" t="inlineStr">
        <is>
          <t>VARCHAR（500）</t>
        </is>
      </c>
      <c r="E789" t="inlineStr">
        <is>
          <t>YES</t>
        </is>
      </c>
      <c r="F789" t="inlineStr">
        <is>
          <t>其他需核查的问题</t>
        </is>
      </c>
      <c r="H789" t="inlineStr">
        <is>
          <t>VARCHAR</t>
        </is>
      </c>
      <c r="I789" t="inlineStr">
        <is>
          <t>500</t>
        </is>
      </c>
    </row>
    <row r="790">
      <c r="A790" t="inlineStr">
        <is>
          <t>估值数据记录表</t>
        </is>
      </c>
      <c r="B790" t="inlineStr">
        <is>
          <t>CLR_EVALUATION_DATA</t>
        </is>
      </c>
      <c r="C790" t="inlineStr">
        <is>
          <t>EVALDATEID</t>
        </is>
      </c>
      <c r="D790" t="inlineStr">
        <is>
          <t>VARCHAR(32)</t>
        </is>
      </c>
      <c r="E790" t="inlineStr">
        <is>
          <t>NO</t>
        </is>
      </c>
      <c r="F790" t="inlineStr">
        <is>
          <t>模型评级记录流水号</t>
        </is>
      </c>
      <c r="H790" t="inlineStr">
        <is>
          <t>VARCHAR</t>
        </is>
      </c>
      <c r="I790" t="inlineStr">
        <is>
          <t>32</t>
        </is>
      </c>
    </row>
    <row r="791">
      <c r="A791" t="inlineStr">
        <is>
          <t>估值数据记录表</t>
        </is>
      </c>
      <c r="B791" t="inlineStr">
        <is>
          <t>CLR_EVALUATION_DATA</t>
        </is>
      </c>
      <c r="C791" t="inlineStr">
        <is>
          <t>SOURCESYSTEM</t>
        </is>
      </c>
      <c r="D791" t="inlineStr">
        <is>
          <t>VARCHAR(32)</t>
        </is>
      </c>
      <c r="E791" t="inlineStr">
        <is>
          <t>YES</t>
        </is>
      </c>
      <c r="F791" t="inlineStr">
        <is>
          <t>调用来源</t>
        </is>
      </c>
      <c r="H791" t="inlineStr">
        <is>
          <t>VARCHAR</t>
        </is>
      </c>
      <c r="I791" t="inlineStr">
        <is>
          <t>32</t>
        </is>
      </c>
    </row>
    <row r="792">
      <c r="A792" t="inlineStr">
        <is>
          <t>估值数据记录表</t>
        </is>
      </c>
      <c r="B792" t="inlineStr">
        <is>
          <t>CLR_EVALUATION_DATA</t>
        </is>
      </c>
      <c r="C792" t="inlineStr">
        <is>
          <t>EVALAPPLID</t>
        </is>
      </c>
      <c r="D792" t="inlineStr">
        <is>
          <t>VARCHAR(32)</t>
        </is>
      </c>
      <c r="E792" t="inlineStr">
        <is>
          <t>YES</t>
        </is>
      </c>
      <c r="F792" t="inlineStr">
        <is>
          <t>评级申请流水号</t>
        </is>
      </c>
      <c r="H792" t="inlineStr">
        <is>
          <t>VARCHAR</t>
        </is>
      </c>
      <c r="I792" t="inlineStr">
        <is>
          <t>32</t>
        </is>
      </c>
    </row>
    <row r="793">
      <c r="A793" t="inlineStr">
        <is>
          <t>估值数据记录表</t>
        </is>
      </c>
      <c r="B793" t="inlineStr">
        <is>
          <t>CLR_EVALUATION_DATA</t>
        </is>
      </c>
      <c r="C793" t="inlineStr">
        <is>
          <t>CLRID</t>
        </is>
      </c>
      <c r="D793" t="inlineStr">
        <is>
          <t>VARCHAR(32)</t>
        </is>
      </c>
      <c r="E793" t="inlineStr">
        <is>
          <t>YES</t>
        </is>
      </c>
      <c r="F793" t="inlineStr">
        <is>
          <t>押品编号</t>
        </is>
      </c>
      <c r="H793" t="inlineStr">
        <is>
          <t>VARCHAR</t>
        </is>
      </c>
      <c r="I793" t="inlineStr">
        <is>
          <t>32</t>
        </is>
      </c>
    </row>
    <row r="794">
      <c r="A794" t="inlineStr">
        <is>
          <t>估值数据记录表</t>
        </is>
      </c>
      <c r="B794" t="inlineStr">
        <is>
          <t>CLR_EVALUATION_DATA</t>
        </is>
      </c>
      <c r="C794" t="inlineStr">
        <is>
          <t>EVALCURRENCY</t>
        </is>
      </c>
      <c r="D794" t="inlineStr">
        <is>
          <t>VARCHAR(18)</t>
        </is>
      </c>
      <c r="E794" t="inlineStr">
        <is>
          <t>YES</t>
        </is>
      </c>
      <c r="F794" t="inlineStr">
        <is>
          <t>评级币种</t>
        </is>
      </c>
      <c r="H794" t="inlineStr">
        <is>
          <t>VARCHAR</t>
        </is>
      </c>
      <c r="I794" t="inlineStr">
        <is>
          <t>18</t>
        </is>
      </c>
    </row>
    <row r="795">
      <c r="A795" t="inlineStr">
        <is>
          <t>估值数据记录表</t>
        </is>
      </c>
      <c r="B795" t="inlineStr">
        <is>
          <t>CLR_EVALUATION_DATA</t>
        </is>
      </c>
      <c r="C795" t="inlineStr">
        <is>
          <t>EVALSTYLE</t>
        </is>
      </c>
      <c r="D795" t="inlineStr">
        <is>
          <t>VARCHAR(6)</t>
        </is>
      </c>
      <c r="E795" t="inlineStr">
        <is>
          <t>YES</t>
        </is>
      </c>
      <c r="F795" t="inlineStr">
        <is>
          <t>评级类型;内部/外部）</t>
        </is>
      </c>
      <c r="H795" t="inlineStr">
        <is>
          <t>VARCHAR</t>
        </is>
      </c>
      <c r="I795" t="inlineStr">
        <is>
          <t>6</t>
        </is>
      </c>
    </row>
    <row r="796">
      <c r="A796" t="inlineStr">
        <is>
          <t>估值数据记录表</t>
        </is>
      </c>
      <c r="B796" t="inlineStr">
        <is>
          <t>CLR_EVALUATION_DATA</t>
        </is>
      </c>
      <c r="C796" t="inlineStr">
        <is>
          <t>EVALMODEL</t>
        </is>
      </c>
      <c r="D796" t="inlineStr">
        <is>
          <t>VARCHAR(32)</t>
        </is>
      </c>
      <c r="E796" t="inlineStr">
        <is>
          <t>YES</t>
        </is>
      </c>
      <c r="F796" t="inlineStr">
        <is>
          <t>内部估值模型编号</t>
        </is>
      </c>
      <c r="H796" t="inlineStr">
        <is>
          <t>VARCHAR</t>
        </is>
      </c>
      <c r="I796" t="inlineStr">
        <is>
          <t>32</t>
        </is>
      </c>
    </row>
    <row r="797">
      <c r="A797" t="inlineStr">
        <is>
          <t>估值数据记录表</t>
        </is>
      </c>
      <c r="B797" t="inlineStr">
        <is>
          <t>CLR_EVALUATION_DATA</t>
        </is>
      </c>
      <c r="C797" t="inlineStr">
        <is>
          <t>EVALMODELVERSION</t>
        </is>
      </c>
      <c r="D797" t="inlineStr">
        <is>
          <t>VARCHAR(32)</t>
        </is>
      </c>
      <c r="E797" t="inlineStr">
        <is>
          <t>YES</t>
        </is>
      </c>
      <c r="F797" t="inlineStr">
        <is>
          <t>内部估值模型版本号</t>
        </is>
      </c>
      <c r="H797" t="inlineStr">
        <is>
          <t>VARCHAR</t>
        </is>
      </c>
      <c r="I797" t="inlineStr">
        <is>
          <t>32</t>
        </is>
      </c>
    </row>
    <row r="798">
      <c r="A798" t="inlineStr">
        <is>
          <t>估值数据记录表</t>
        </is>
      </c>
      <c r="B798" t="inlineStr">
        <is>
          <t>CLR_EVALUATION_DATA</t>
        </is>
      </c>
      <c r="C798" t="inlineStr">
        <is>
          <t>EVALTEXT</t>
        </is>
      </c>
      <c r="D798" t="inlineStr">
        <is>
          <t>TEXT</t>
        </is>
      </c>
      <c r="E798" t="inlineStr">
        <is>
          <t>YES</t>
        </is>
      </c>
      <c r="F798" t="inlineStr">
        <is>
          <t>内部估值评估结果文本</t>
        </is>
      </c>
      <c r="H798" t="inlineStr">
        <is>
          <t>TEXT</t>
        </is>
      </c>
    </row>
    <row r="799">
      <c r="A799" t="inlineStr">
        <is>
          <t>估值数据记录表</t>
        </is>
      </c>
      <c r="B799" t="inlineStr">
        <is>
          <t>CLR_EVALUATION_DATA</t>
        </is>
      </c>
      <c r="C799" t="inlineStr">
        <is>
          <t>EVALASSUEXPLAIN</t>
        </is>
      </c>
      <c r="D799" t="inlineStr">
        <is>
          <t>VARCHAR(1000)</t>
        </is>
      </c>
      <c r="E799" t="inlineStr">
        <is>
          <t>YES</t>
        </is>
      </c>
      <c r="F799" t="inlineStr">
        <is>
          <t>评估假设说明</t>
        </is>
      </c>
      <c r="H799" t="inlineStr">
        <is>
          <t>VARCHAR</t>
        </is>
      </c>
      <c r="I799" t="inlineStr">
        <is>
          <t>1000</t>
        </is>
      </c>
    </row>
    <row r="800">
      <c r="A800" t="inlineStr">
        <is>
          <t>估值数据记录表</t>
        </is>
      </c>
      <c r="B800" t="inlineStr">
        <is>
          <t>CLR_EVALUATION_DATA</t>
        </is>
      </c>
      <c r="C800" t="inlineStr">
        <is>
          <t>EVALMETHODEXPLAIN</t>
        </is>
      </c>
      <c r="D800" t="inlineStr">
        <is>
          <t>VARCHAR(1000)</t>
        </is>
      </c>
      <c r="E800" t="inlineStr">
        <is>
          <t>YES</t>
        </is>
      </c>
      <c r="F800" t="inlineStr">
        <is>
          <t>评估方法说明</t>
        </is>
      </c>
      <c r="H800" t="inlineStr">
        <is>
          <t>VARCHAR</t>
        </is>
      </c>
      <c r="I800" t="inlineStr">
        <is>
          <t>1000</t>
        </is>
      </c>
    </row>
    <row r="801">
      <c r="A801" t="inlineStr">
        <is>
          <t>估值数据记录表</t>
        </is>
      </c>
      <c r="B801" t="inlineStr">
        <is>
          <t>CLR_EVALUATION_DATA</t>
        </is>
      </c>
      <c r="C801" t="inlineStr">
        <is>
          <t>EVALPRIORITYCOMP</t>
        </is>
      </c>
      <c r="D801" t="inlineStr">
        <is>
          <t>VARCHAR(1000)</t>
        </is>
      </c>
      <c r="E801" t="inlineStr">
        <is>
          <t>YES</t>
        </is>
      </c>
      <c r="F801" t="inlineStr">
        <is>
          <t>优先受偿权分析</t>
        </is>
      </c>
      <c r="H801" t="inlineStr">
        <is>
          <t>VARCHAR</t>
        </is>
      </c>
      <c r="I801" t="inlineStr">
        <is>
          <t>1000</t>
        </is>
      </c>
    </row>
    <row r="802">
      <c r="A802" t="inlineStr">
        <is>
          <t>估值数据记录表</t>
        </is>
      </c>
      <c r="B802" t="inlineStr">
        <is>
          <t>CLR_EVALUATION_DATA</t>
        </is>
      </c>
      <c r="C802" t="inlineStr">
        <is>
          <t>EVALDISPOSALDISC</t>
        </is>
      </c>
      <c r="D802" t="inlineStr">
        <is>
          <t>VARCHAR(1000)</t>
        </is>
      </c>
      <c r="E802" t="inlineStr">
        <is>
          <t>YES</t>
        </is>
      </c>
      <c r="F802" t="inlineStr">
        <is>
          <t>处置折扣分析</t>
        </is>
      </c>
      <c r="H802" t="inlineStr">
        <is>
          <t>VARCHAR</t>
        </is>
      </c>
      <c r="I802" t="inlineStr">
        <is>
          <t>1000</t>
        </is>
      </c>
    </row>
    <row r="803">
      <c r="A803" t="inlineStr">
        <is>
          <t>估值数据记录表</t>
        </is>
      </c>
      <c r="B803" t="inlineStr">
        <is>
          <t>CLR_EVALUATION_DATA</t>
        </is>
      </c>
      <c r="C803" t="inlineStr">
        <is>
          <t>EVALINTERNALRESULT</t>
        </is>
      </c>
      <c r="D803" t="inlineStr">
        <is>
          <t>DECIMAL(24,6)</t>
        </is>
      </c>
      <c r="E803" t="inlineStr">
        <is>
          <t>YES</t>
        </is>
      </c>
      <c r="F803" t="inlineStr">
        <is>
          <t>内部模型估值结果</t>
        </is>
      </c>
      <c r="H803" t="inlineStr">
        <is>
          <t>DECIMAL</t>
        </is>
      </c>
      <c r="I803" t="inlineStr">
        <is>
          <t>24,6</t>
        </is>
      </c>
    </row>
    <row r="804">
      <c r="A804" t="inlineStr">
        <is>
          <t>估值数据记录表</t>
        </is>
      </c>
      <c r="B804" t="inlineStr">
        <is>
          <t>CLR_EVALUATION_DATA</t>
        </is>
      </c>
      <c r="C804" t="inlineStr">
        <is>
          <t>ADJUSTRESULT</t>
        </is>
      </c>
      <c r="D804" t="inlineStr">
        <is>
          <t>DECIMAL(24,6)</t>
        </is>
      </c>
      <c r="E804" t="inlineStr">
        <is>
          <t>YES</t>
        </is>
      </c>
      <c r="F804" t="inlineStr">
        <is>
          <t>内部估值结果确认</t>
        </is>
      </c>
      <c r="H804" t="inlineStr">
        <is>
          <t>DECIMAL</t>
        </is>
      </c>
      <c r="I804" t="inlineStr">
        <is>
          <t>24,6</t>
        </is>
      </c>
    </row>
    <row r="805">
      <c r="A805" t="inlineStr">
        <is>
          <t>估值数据记录表</t>
        </is>
      </c>
      <c r="B805" t="inlineStr">
        <is>
          <t>CLR_EVALUATION_DATA</t>
        </is>
      </c>
      <c r="C805" t="inlineStr">
        <is>
          <t>EVALWEIGHT</t>
        </is>
      </c>
      <c r="D805" t="inlineStr">
        <is>
          <t>DECIMAL(18,8)</t>
        </is>
      </c>
      <c r="E805" t="inlineStr">
        <is>
          <t>YES</t>
        </is>
      </c>
      <c r="F805" t="inlineStr">
        <is>
          <t>外部模型权重</t>
        </is>
      </c>
      <c r="H805" t="inlineStr">
        <is>
          <t>DECIMAL</t>
        </is>
      </c>
      <c r="I805" t="inlineStr">
        <is>
          <t>18,8</t>
        </is>
      </c>
    </row>
    <row r="806">
      <c r="A806" t="inlineStr">
        <is>
          <t>估值数据记录表</t>
        </is>
      </c>
      <c r="B806" t="inlineStr">
        <is>
          <t>CLR_EVALUATION_DATA</t>
        </is>
      </c>
      <c r="C806" t="inlineStr">
        <is>
          <t>EVALWEIGHTEXPLAIN</t>
        </is>
      </c>
      <c r="D806" t="inlineStr">
        <is>
          <t>VARCHAR(1000)</t>
        </is>
      </c>
      <c r="E806" t="inlineStr">
        <is>
          <t>YES</t>
        </is>
      </c>
      <c r="F806" t="inlineStr">
        <is>
          <t>权重比列配置说明</t>
        </is>
      </c>
      <c r="H806" t="inlineStr">
        <is>
          <t>VARCHAR</t>
        </is>
      </c>
      <c r="I806" t="inlineStr">
        <is>
          <t>1000</t>
        </is>
      </c>
    </row>
    <row r="807">
      <c r="A807" t="inlineStr">
        <is>
          <t>估值数据记录表</t>
        </is>
      </c>
      <c r="B807" t="inlineStr">
        <is>
          <t>CLR_EVALUATION_DATA</t>
        </is>
      </c>
      <c r="C807" t="inlineStr">
        <is>
          <t>EVALINTEGRATEDRESULT</t>
        </is>
      </c>
      <c r="D807" t="inlineStr">
        <is>
          <t>DECIMAL(24,6)</t>
        </is>
      </c>
      <c r="E807" t="inlineStr">
        <is>
          <t>YES</t>
        </is>
      </c>
      <c r="F807" t="inlineStr">
        <is>
          <t>综合估值结果</t>
        </is>
      </c>
      <c r="H807" t="inlineStr">
        <is>
          <t>DECIMAL</t>
        </is>
      </c>
      <c r="I807" t="inlineStr">
        <is>
          <t>24,6</t>
        </is>
      </c>
    </row>
    <row r="808">
      <c r="A808" t="inlineStr">
        <is>
          <t>估值数据记录表</t>
        </is>
      </c>
      <c r="B808" t="inlineStr">
        <is>
          <t>CLR_EVALUATION_DATA</t>
        </is>
      </c>
      <c r="C808" t="inlineStr">
        <is>
          <t>VALIDATETIME</t>
        </is>
      </c>
      <c r="D808" t="inlineStr">
        <is>
          <t>DATETIME</t>
        </is>
      </c>
      <c r="E808" t="inlineStr">
        <is>
          <t>YES</t>
        </is>
      </c>
      <c r="F808" t="inlineStr">
        <is>
          <t>评估有效期</t>
        </is>
      </c>
      <c r="H808" t="inlineStr">
        <is>
          <t>DATETIME</t>
        </is>
      </c>
    </row>
    <row r="809">
      <c r="A809" t="inlineStr">
        <is>
          <t>估值数据记录表</t>
        </is>
      </c>
      <c r="B809" t="inlineStr">
        <is>
          <t>CLR_EVALUATION_DATA</t>
        </is>
      </c>
      <c r="C809" t="inlineStr">
        <is>
          <t>SAVEFLAG</t>
        </is>
      </c>
      <c r="D809" t="inlineStr">
        <is>
          <t>CHAR(1)</t>
        </is>
      </c>
      <c r="E809" t="inlineStr">
        <is>
          <t>YES</t>
        </is>
      </c>
      <c r="F809" t="inlineStr">
        <is>
          <t>保存完成标志</t>
        </is>
      </c>
      <c r="H809" t="inlineStr">
        <is>
          <t>CHAR</t>
        </is>
      </c>
      <c r="I809" t="inlineStr">
        <is>
          <t>1</t>
        </is>
      </c>
    </row>
    <row r="810">
      <c r="A810" t="inlineStr">
        <is>
          <t>估值数据记录表</t>
        </is>
      </c>
      <c r="B810" t="inlineStr">
        <is>
          <t>CLR_EVALUATION_DATA</t>
        </is>
      </c>
      <c r="C810" t="inlineStr">
        <is>
          <t>CALCFLAG</t>
        </is>
      </c>
      <c r="D810" t="inlineStr">
        <is>
          <t>CHAR(1)</t>
        </is>
      </c>
      <c r="E810" t="inlineStr">
        <is>
          <t>YES</t>
        </is>
      </c>
      <c r="F810" t="inlineStr">
        <is>
          <t>计算完成标志</t>
        </is>
      </c>
      <c r="H810" t="inlineStr">
        <is>
          <t>CHAR</t>
        </is>
      </c>
      <c r="I810" t="inlineStr">
        <is>
          <t>1</t>
        </is>
      </c>
    </row>
    <row r="811">
      <c r="A811" t="inlineStr">
        <is>
          <t>估值数据记录表</t>
        </is>
      </c>
      <c r="B811" t="inlineStr">
        <is>
          <t>CLR_EVALUATION_DATA</t>
        </is>
      </c>
      <c r="C811" t="inlineStr">
        <is>
          <t>DEBTOR</t>
        </is>
      </c>
      <c r="D811" t="inlineStr">
        <is>
          <t>VARCHAR(80)</t>
        </is>
      </c>
      <c r="E811" t="inlineStr">
        <is>
          <t>YES</t>
        </is>
      </c>
      <c r="F811" t="inlineStr">
        <is>
          <t>主债务人</t>
        </is>
      </c>
      <c r="H811" t="inlineStr">
        <is>
          <t>VARCHAR</t>
        </is>
      </c>
      <c r="I811" t="inlineStr">
        <is>
          <t>80</t>
        </is>
      </c>
    </row>
    <row r="812">
      <c r="A812" t="inlineStr">
        <is>
          <t>估值数据记录表</t>
        </is>
      </c>
      <c r="B812" t="inlineStr">
        <is>
          <t>CLR_EVALUATION_DATA</t>
        </is>
      </c>
      <c r="C812" t="inlineStr">
        <is>
          <t>OWNERSTATUS</t>
        </is>
      </c>
      <c r="D812" t="inlineStr">
        <is>
          <t>VARCHAR(6)</t>
        </is>
      </c>
      <c r="E812" t="inlineStr">
        <is>
          <t>YES</t>
        </is>
      </c>
      <c r="F812" t="inlineStr">
        <is>
          <t>抵质押品权属状况</t>
        </is>
      </c>
      <c r="H812" t="inlineStr">
        <is>
          <t>VARCHAR</t>
        </is>
      </c>
      <c r="I812" t="inlineStr">
        <is>
          <t>6</t>
        </is>
      </c>
    </row>
    <row r="813">
      <c r="A813" t="inlineStr">
        <is>
          <t>估值数据记录表</t>
        </is>
      </c>
      <c r="B813" t="inlineStr">
        <is>
          <t>CLR_EVALUATION_DATA</t>
        </is>
      </c>
      <c r="C813" t="inlineStr">
        <is>
          <t>PRIORITYCLAIM</t>
        </is>
      </c>
      <c r="D813" t="inlineStr">
        <is>
          <t>VARCHAR(6)</t>
        </is>
      </c>
      <c r="E813" t="inlineStr">
        <is>
          <t>YES</t>
        </is>
      </c>
      <c r="F813" t="inlineStr">
        <is>
          <t>顺位情况</t>
        </is>
      </c>
      <c r="H813" t="inlineStr">
        <is>
          <t>VARCHAR</t>
        </is>
      </c>
      <c r="I813" t="inlineStr">
        <is>
          <t>6</t>
        </is>
      </c>
    </row>
    <row r="814">
      <c r="A814" t="inlineStr">
        <is>
          <t>估值数据记录表</t>
        </is>
      </c>
      <c r="B814" t="inlineStr">
        <is>
          <t>CLR_EVALUATION_DATA</t>
        </is>
      </c>
      <c r="C814" t="inlineStr">
        <is>
          <t>ABNORMALREASON</t>
        </is>
      </c>
      <c r="D814" t="inlineStr">
        <is>
          <t>VARCHAR(1000)</t>
        </is>
      </c>
      <c r="E814" t="inlineStr">
        <is>
          <t>YES</t>
        </is>
      </c>
      <c r="F814" t="inlineStr">
        <is>
          <t>异常原因</t>
        </is>
      </c>
      <c r="H814" t="inlineStr">
        <is>
          <t>VARCHAR</t>
        </is>
      </c>
      <c r="I814" t="inlineStr">
        <is>
          <t>1000</t>
        </is>
      </c>
    </row>
    <row r="815">
      <c r="A815" t="inlineStr">
        <is>
          <t>估值数据记录表</t>
        </is>
      </c>
      <c r="B815" t="inlineStr">
        <is>
          <t>CLR_EVALUATION_DATA</t>
        </is>
      </c>
      <c r="C815" t="inlineStr">
        <is>
          <t>FLOWSTEP</t>
        </is>
      </c>
      <c r="D815" t="inlineStr">
        <is>
          <t>INT</t>
        </is>
      </c>
      <c r="E815" t="inlineStr">
        <is>
          <t>YES</t>
        </is>
      </c>
      <c r="F815" t="inlineStr">
        <is>
          <t>流程阶段</t>
        </is>
      </c>
      <c r="H815" t="inlineStr">
        <is>
          <t>INT</t>
        </is>
      </c>
    </row>
    <row r="816">
      <c r="A816" t="inlineStr">
        <is>
          <t>估值数据记录表</t>
        </is>
      </c>
      <c r="B816" t="inlineStr">
        <is>
          <t>CLR_EVALUATION_DATA</t>
        </is>
      </c>
      <c r="C816" t="inlineStr">
        <is>
          <t>OLDCLRID</t>
        </is>
      </c>
      <c r="D816" t="inlineStr">
        <is>
          <t>VARCHAR(32)</t>
        </is>
      </c>
      <c r="E816" t="inlineStr">
        <is>
          <t>YES</t>
        </is>
      </c>
      <c r="F816" t="inlineStr">
        <is>
          <t>合并前押品编号</t>
        </is>
      </c>
      <c r="H816" t="inlineStr">
        <is>
          <t>VARCHAR</t>
        </is>
      </c>
      <c r="I816" t="inlineStr">
        <is>
          <t>32</t>
        </is>
      </c>
    </row>
    <row r="817">
      <c r="A817" t="inlineStr">
        <is>
          <t>估值数据记录表</t>
        </is>
      </c>
      <c r="B817" t="inlineStr">
        <is>
          <t>CLR_EVALUATION_DATA</t>
        </is>
      </c>
      <c r="C817" t="inlineStr">
        <is>
          <t>INPUTORGID</t>
        </is>
      </c>
      <c r="D817" t="inlineStr">
        <is>
          <t>VARCHAR(32)</t>
        </is>
      </c>
      <c r="E817" t="inlineStr">
        <is>
          <t>YES</t>
        </is>
      </c>
      <c r="F817" t="inlineStr">
        <is>
          <t>登记机构</t>
        </is>
      </c>
      <c r="H817" t="inlineStr">
        <is>
          <t>VARCHAR</t>
        </is>
      </c>
      <c r="I817" t="inlineStr">
        <is>
          <t>32</t>
        </is>
      </c>
    </row>
    <row r="818">
      <c r="A818" t="inlineStr">
        <is>
          <t>估值数据记录表</t>
        </is>
      </c>
      <c r="B818" t="inlineStr">
        <is>
          <t>CLR_EVALUATION_DATA</t>
        </is>
      </c>
      <c r="C818" t="inlineStr">
        <is>
          <t>INPUTUSERID</t>
        </is>
      </c>
      <c r="D818" t="inlineStr">
        <is>
          <t>VARCHAR(32)</t>
        </is>
      </c>
      <c r="E818" t="inlineStr">
        <is>
          <t>YES</t>
        </is>
      </c>
      <c r="F818" t="inlineStr">
        <is>
          <t>登记人</t>
        </is>
      </c>
      <c r="H818" t="inlineStr">
        <is>
          <t>VARCHAR</t>
        </is>
      </c>
      <c r="I818" t="inlineStr">
        <is>
          <t>32</t>
        </is>
      </c>
    </row>
    <row r="819">
      <c r="A819" t="inlineStr">
        <is>
          <t>估值数据记录表</t>
        </is>
      </c>
      <c r="B819" t="inlineStr">
        <is>
          <t>CLR_EVALUATION_DATA</t>
        </is>
      </c>
      <c r="C819" t="inlineStr">
        <is>
          <t>INPUTDATE</t>
        </is>
      </c>
      <c r="D819" t="inlineStr">
        <is>
          <t>DATETIME</t>
        </is>
      </c>
      <c r="E819" t="inlineStr">
        <is>
          <t>YES</t>
        </is>
      </c>
      <c r="F819" t="inlineStr">
        <is>
          <t>登记日期</t>
        </is>
      </c>
      <c r="H819" t="inlineStr">
        <is>
          <t>DATETIME</t>
        </is>
      </c>
    </row>
    <row r="820">
      <c r="A820" t="inlineStr">
        <is>
          <t>估值数据记录表</t>
        </is>
      </c>
      <c r="B820" t="inlineStr">
        <is>
          <t>CLR_EVALUATION_DATA</t>
        </is>
      </c>
      <c r="C820" t="inlineStr">
        <is>
          <t>UPDATEORGID</t>
        </is>
      </c>
      <c r="D820" t="inlineStr">
        <is>
          <t>VARCHAR(32)</t>
        </is>
      </c>
      <c r="E820" t="inlineStr">
        <is>
          <t>YES</t>
        </is>
      </c>
      <c r="F820" t="inlineStr">
        <is>
          <t>更新机构</t>
        </is>
      </c>
      <c r="H820" t="inlineStr">
        <is>
          <t>VARCHAR</t>
        </is>
      </c>
      <c r="I820" t="inlineStr">
        <is>
          <t>32</t>
        </is>
      </c>
    </row>
    <row r="821">
      <c r="A821" t="inlineStr">
        <is>
          <t>估值数据记录表</t>
        </is>
      </c>
      <c r="B821" t="inlineStr">
        <is>
          <t>CLR_EVALUATION_DATA</t>
        </is>
      </c>
      <c r="C821" t="inlineStr">
        <is>
          <t>UPDATEUSERID</t>
        </is>
      </c>
      <c r="D821" t="inlineStr">
        <is>
          <t>VARCHAR(32)</t>
        </is>
      </c>
      <c r="E821" t="inlineStr">
        <is>
          <t>YES</t>
        </is>
      </c>
      <c r="F821" t="inlineStr">
        <is>
          <t>更新人</t>
        </is>
      </c>
      <c r="H821" t="inlineStr">
        <is>
          <t>VARCHAR</t>
        </is>
      </c>
      <c r="I821" t="inlineStr">
        <is>
          <t>32</t>
        </is>
      </c>
    </row>
    <row r="822">
      <c r="A822" t="inlineStr">
        <is>
          <t>估值数据记录表</t>
        </is>
      </c>
      <c r="B822" t="inlineStr">
        <is>
          <t>CLR_EVALUATION_DATA</t>
        </is>
      </c>
      <c r="C822" t="inlineStr">
        <is>
          <t>UPDATEDATE</t>
        </is>
      </c>
      <c r="D822" t="inlineStr">
        <is>
          <t>DATETIME</t>
        </is>
      </c>
      <c r="E822" t="inlineStr">
        <is>
          <t>YES</t>
        </is>
      </c>
      <c r="F822" t="inlineStr">
        <is>
          <t>更新日期</t>
        </is>
      </c>
      <c r="H822" t="inlineStr">
        <is>
          <t>DATETIME</t>
        </is>
      </c>
    </row>
    <row r="823">
      <c r="A823" t="inlineStr">
        <is>
          <t>估值数据记录表</t>
        </is>
      </c>
      <c r="B823" t="inlineStr">
        <is>
          <t>CLR_EVALUATION_DATA</t>
        </is>
      </c>
      <c r="C823" t="inlineStr">
        <is>
          <t>REMARK</t>
        </is>
      </c>
      <c r="D823" t="inlineStr">
        <is>
          <t>VARCHAR(500)</t>
        </is>
      </c>
      <c r="E823" t="inlineStr">
        <is>
          <t>YES</t>
        </is>
      </c>
      <c r="F823" t="inlineStr">
        <is>
          <t>备注</t>
        </is>
      </c>
      <c r="H823" t="inlineStr">
        <is>
          <t>VARCHAR</t>
        </is>
      </c>
      <c r="I823" t="inlineStr">
        <is>
          <t>500</t>
        </is>
      </c>
    </row>
    <row r="824">
      <c r="A824" t="inlineStr">
        <is>
          <t>估值数据记录表</t>
        </is>
      </c>
      <c r="B824" t="inlineStr">
        <is>
          <t>CLR_EVALUATION_DATA</t>
        </is>
      </c>
      <c r="C824" t="inlineStr">
        <is>
          <t>CORPORGID</t>
        </is>
      </c>
      <c r="D824" t="inlineStr">
        <is>
          <t>VARCHAR(32)</t>
        </is>
      </c>
      <c r="E824" t="inlineStr">
        <is>
          <t>YES</t>
        </is>
      </c>
      <c r="F824" t="inlineStr">
        <is>
          <t>法人机构编号</t>
        </is>
      </c>
      <c r="H824" t="inlineStr">
        <is>
          <t>VARCHAR</t>
        </is>
      </c>
      <c r="I824" t="inlineStr">
        <is>
          <t>32</t>
        </is>
      </c>
    </row>
    <row r="825">
      <c r="A825" t="inlineStr">
        <is>
          <t>估值数据记录表</t>
        </is>
      </c>
      <c r="B825" t="inlineStr">
        <is>
          <t>CLR_EVALUATION_DATA</t>
        </is>
      </c>
      <c r="C825" t="inlineStr">
        <is>
          <t>LOCALEVALTEXT</t>
        </is>
      </c>
      <c r="D825" t="inlineStr">
        <is>
          <t>VARCHAR(4000)</t>
        </is>
      </c>
      <c r="E825" t="inlineStr">
        <is>
          <t>YES</t>
        </is>
      </c>
      <c r="F825" t="inlineStr">
        <is>
          <t>本地评估基础信息文本</t>
        </is>
      </c>
      <c r="H825" t="inlineStr">
        <is>
          <t>VARCHAR</t>
        </is>
      </c>
      <c r="I825" t="inlineStr">
        <is>
          <t>4000</t>
        </is>
      </c>
    </row>
    <row r="826">
      <c r="A826" t="inlineStr">
        <is>
          <t>估值数据记录表</t>
        </is>
      </c>
      <c r="B826" t="inlineStr">
        <is>
          <t>CLR_EVALUATION_DATA</t>
        </is>
      </c>
      <c r="C826" t="inlineStr">
        <is>
          <t>CLRTYPEID</t>
        </is>
      </c>
      <c r="D826" t="inlineStr">
        <is>
          <t>VARCHAR(32)</t>
        </is>
      </c>
      <c r="E826" t="inlineStr">
        <is>
          <t>YES</t>
        </is>
      </c>
      <c r="F826" t="inlineStr">
        <is>
          <t>押品分类</t>
        </is>
      </c>
      <c r="H826" t="inlineStr">
        <is>
          <t>VARCHAR</t>
        </is>
      </c>
      <c r="I826" t="inlineStr">
        <is>
          <t>32</t>
        </is>
      </c>
    </row>
    <row r="827">
      <c r="A827" t="inlineStr">
        <is>
          <t>评估记录信息表</t>
        </is>
      </c>
      <c r="B827" t="inlineStr">
        <is>
          <t>CLR_EVALUATION_RECORD</t>
        </is>
      </c>
      <c r="C827" t="inlineStr">
        <is>
          <t>EVALRECORDID</t>
        </is>
      </c>
      <c r="D827" t="inlineStr">
        <is>
          <t>VARCHAR(32)</t>
        </is>
      </c>
      <c r="E827" t="inlineStr">
        <is>
          <t>NO</t>
        </is>
      </c>
      <c r="F827" t="inlineStr">
        <is>
          <t>评估记录编号</t>
        </is>
      </c>
      <c r="H827" t="inlineStr">
        <is>
          <t>VARCHAR</t>
        </is>
      </c>
      <c r="I827" t="inlineStr">
        <is>
          <t>32</t>
        </is>
      </c>
    </row>
    <row r="828">
      <c r="A828" t="inlineStr">
        <is>
          <t>评估记录信息表</t>
        </is>
      </c>
      <c r="B828" t="inlineStr">
        <is>
          <t>CLR_EVALUATION_RECORD</t>
        </is>
      </c>
      <c r="C828" t="inlineStr">
        <is>
          <t>EVALAPPLID</t>
        </is>
      </c>
      <c r="D828" t="inlineStr">
        <is>
          <t>VARCHAR(32)</t>
        </is>
      </c>
      <c r="E828" t="inlineStr">
        <is>
          <t>YES</t>
        </is>
      </c>
      <c r="F828" t="inlineStr">
        <is>
          <t>评估申请流水号</t>
        </is>
      </c>
      <c r="H828" t="inlineStr">
        <is>
          <t>VARCHAR</t>
        </is>
      </c>
      <c r="I828" t="inlineStr">
        <is>
          <t>32</t>
        </is>
      </c>
    </row>
    <row r="829">
      <c r="A829" t="inlineStr">
        <is>
          <t>评估记录信息表</t>
        </is>
      </c>
      <c r="B829" t="inlineStr">
        <is>
          <t>CLR_EVALUATION_RECORD</t>
        </is>
      </c>
      <c r="C829" t="inlineStr">
        <is>
          <t>SOURCESYSTEM</t>
        </is>
      </c>
      <c r="D829" t="inlineStr">
        <is>
          <t>VARCHAR(80)</t>
        </is>
      </c>
      <c r="E829" t="inlineStr">
        <is>
          <t>YES</t>
        </is>
      </c>
      <c r="F829" t="inlineStr">
        <is>
          <t>调用来源</t>
        </is>
      </c>
      <c r="H829" t="inlineStr">
        <is>
          <t>VARCHAR</t>
        </is>
      </c>
      <c r="I829" t="inlineStr">
        <is>
          <t>80</t>
        </is>
      </c>
    </row>
    <row r="830">
      <c r="A830" t="inlineStr">
        <is>
          <t>评估记录信息表</t>
        </is>
      </c>
      <c r="B830" t="inlineStr">
        <is>
          <t>CLR_EVALUATION_RECORD</t>
        </is>
      </c>
      <c r="C830" t="inlineStr">
        <is>
          <t>APPROVESTATUS</t>
        </is>
      </c>
      <c r="D830" t="inlineStr">
        <is>
          <t>VARCHAR(32)</t>
        </is>
      </c>
      <c r="E830" t="inlineStr">
        <is>
          <t>YES</t>
        </is>
      </c>
      <c r="F830" t="inlineStr">
        <is>
          <t>申请状态</t>
        </is>
      </c>
      <c r="H830" t="inlineStr">
        <is>
          <t>VARCHAR</t>
        </is>
      </c>
      <c r="I830" t="inlineStr">
        <is>
          <t>32</t>
        </is>
      </c>
    </row>
    <row r="831">
      <c r="A831" t="inlineStr">
        <is>
          <t>评估记录信息表</t>
        </is>
      </c>
      <c r="B831" t="inlineStr">
        <is>
          <t>CLR_EVALUATION_RECORD</t>
        </is>
      </c>
      <c r="C831" t="inlineStr">
        <is>
          <t>CLRID</t>
        </is>
      </c>
      <c r="D831" t="inlineStr">
        <is>
          <t>VARCHAR(32)</t>
        </is>
      </c>
      <c r="E831" t="inlineStr">
        <is>
          <t>YES</t>
        </is>
      </c>
      <c r="F831" t="inlineStr">
        <is>
          <t>押品编号</t>
        </is>
      </c>
      <c r="H831" t="inlineStr">
        <is>
          <t>VARCHAR</t>
        </is>
      </c>
      <c r="I831" t="inlineStr">
        <is>
          <t>32</t>
        </is>
      </c>
    </row>
    <row r="832">
      <c r="A832" t="inlineStr">
        <is>
          <t>评估记录信息表</t>
        </is>
      </c>
      <c r="B832" t="inlineStr">
        <is>
          <t>CLR_EVALUATION_RECORD</t>
        </is>
      </c>
      <c r="C832" t="inlineStr">
        <is>
          <t>EVALCURRENCY</t>
        </is>
      </c>
      <c r="D832" t="inlineStr">
        <is>
          <t>VARCHAR(18)</t>
        </is>
      </c>
      <c r="E832" t="inlineStr">
        <is>
          <t>YES</t>
        </is>
      </c>
      <c r="F832" t="inlineStr">
        <is>
          <t>评估币种</t>
        </is>
      </c>
      <c r="H832" t="inlineStr">
        <is>
          <t>VARCHAR</t>
        </is>
      </c>
      <c r="I832" t="inlineStr">
        <is>
          <t>18</t>
        </is>
      </c>
    </row>
    <row r="833">
      <c r="A833" t="inlineStr">
        <is>
          <t>评估记录信息表</t>
        </is>
      </c>
      <c r="B833" t="inlineStr">
        <is>
          <t>CLR_EVALUATION_RECORD</t>
        </is>
      </c>
      <c r="C833" t="inlineStr">
        <is>
          <t>EVALOCCURTYPE</t>
        </is>
      </c>
      <c r="D833" t="inlineStr">
        <is>
          <t>VARCHAR(6)</t>
        </is>
      </c>
      <c r="E833" t="inlineStr">
        <is>
          <t>YES</t>
        </is>
      </c>
      <c r="F833" t="inlineStr">
        <is>
          <t>发生类型</t>
        </is>
      </c>
      <c r="H833" t="inlineStr">
        <is>
          <t>VARCHAR</t>
        </is>
      </c>
      <c r="I833" t="inlineStr">
        <is>
          <t>6</t>
        </is>
      </c>
    </row>
    <row r="834">
      <c r="A834" t="inlineStr">
        <is>
          <t>评估记录信息表</t>
        </is>
      </c>
      <c r="B834" t="inlineStr">
        <is>
          <t>CLR_EVALUATION_RECORD</t>
        </is>
      </c>
      <c r="C834" t="inlineStr">
        <is>
          <t>EVALSTYLE</t>
        </is>
      </c>
      <c r="D834" t="inlineStr">
        <is>
          <t>VARCHAR(6)</t>
        </is>
      </c>
      <c r="E834" t="inlineStr">
        <is>
          <t>YES</t>
        </is>
      </c>
      <c r="F834" t="inlineStr">
        <is>
          <t>评估形式</t>
        </is>
      </c>
      <c r="H834" t="inlineStr">
        <is>
          <t>VARCHAR</t>
        </is>
      </c>
      <c r="I834" t="inlineStr">
        <is>
          <t>6</t>
        </is>
      </c>
    </row>
    <row r="835">
      <c r="A835" t="inlineStr">
        <is>
          <t>评估记录信息表</t>
        </is>
      </c>
      <c r="B835" t="inlineStr">
        <is>
          <t>CLR_EVALUATION_RECORD</t>
        </is>
      </c>
      <c r="C835" t="inlineStr">
        <is>
          <t>EFFECTIVEDATE</t>
        </is>
      </c>
      <c r="D835" t="inlineStr">
        <is>
          <t>DATETIME</t>
        </is>
      </c>
      <c r="E835" t="inlineStr">
        <is>
          <t>YES</t>
        </is>
      </c>
      <c r="F835" t="inlineStr">
        <is>
          <t>发生日期</t>
        </is>
      </c>
      <c r="H835" t="inlineStr">
        <is>
          <t>DATETIME</t>
        </is>
      </c>
    </row>
    <row r="836">
      <c r="A836" t="inlineStr">
        <is>
          <t>评估记录信息表</t>
        </is>
      </c>
      <c r="B836" t="inlineStr">
        <is>
          <t>CLR_EVALUATION_RECORD</t>
        </is>
      </c>
      <c r="C836" t="inlineStr">
        <is>
          <t>EXPIRYDATE</t>
        </is>
      </c>
      <c r="D836" t="inlineStr">
        <is>
          <t>DATETIME</t>
        </is>
      </c>
      <c r="E836" t="inlineStr">
        <is>
          <t>YES</t>
        </is>
      </c>
      <c r="F836" t="inlineStr">
        <is>
          <t>结束日期</t>
        </is>
      </c>
      <c r="H836" t="inlineStr">
        <is>
          <t>DATETIME</t>
        </is>
      </c>
    </row>
    <row r="837">
      <c r="A837" t="inlineStr">
        <is>
          <t>评估记录信息表</t>
        </is>
      </c>
      <c r="B837" t="inlineStr">
        <is>
          <t>CLR_EVALUATION_RECORD</t>
        </is>
      </c>
      <c r="C837" t="inlineStr">
        <is>
          <t>EVALDUEDATE</t>
        </is>
      </c>
      <c r="D837" t="inlineStr">
        <is>
          <t>DATETIME</t>
        </is>
      </c>
      <c r="E837" t="inlineStr">
        <is>
          <t>YES</t>
        </is>
      </c>
      <c r="F837" t="inlineStr">
        <is>
          <t>评估期日</t>
        </is>
      </c>
      <c r="H837" t="inlineStr">
        <is>
          <t>DATETIME</t>
        </is>
      </c>
    </row>
    <row r="838">
      <c r="A838" t="inlineStr">
        <is>
          <t>评估记录信息表</t>
        </is>
      </c>
      <c r="B838" t="inlineStr">
        <is>
          <t>CLR_EVALUATION_RECORD</t>
        </is>
      </c>
      <c r="C838" t="inlineStr">
        <is>
          <t>EVALMODEL</t>
        </is>
      </c>
      <c r="D838" t="inlineStr">
        <is>
          <t>VARCHAR(32)</t>
        </is>
      </c>
      <c r="E838" t="inlineStr">
        <is>
          <t>YES</t>
        </is>
      </c>
      <c r="F838" t="inlineStr">
        <is>
          <t>评估模型编号</t>
        </is>
      </c>
      <c r="H838" t="inlineStr">
        <is>
          <t>VARCHAR</t>
        </is>
      </c>
      <c r="I838" t="inlineStr">
        <is>
          <t>32</t>
        </is>
      </c>
    </row>
    <row r="839">
      <c r="A839" t="inlineStr">
        <is>
          <t>评估记录信息表</t>
        </is>
      </c>
      <c r="B839" t="inlineStr">
        <is>
          <t>CLR_EVALUATION_RECORD</t>
        </is>
      </c>
      <c r="C839" t="inlineStr">
        <is>
          <t>OUTTEREVALRESULT</t>
        </is>
      </c>
      <c r="D839" t="inlineStr">
        <is>
          <t>DECIMAL(24,6)</t>
        </is>
      </c>
      <c r="E839" t="inlineStr">
        <is>
          <t>YES</t>
        </is>
      </c>
      <c r="F839" t="inlineStr">
        <is>
          <t>外部估值结果</t>
        </is>
      </c>
      <c r="H839" t="inlineStr">
        <is>
          <t>DECIMAL</t>
        </is>
      </c>
      <c r="I839" t="inlineStr">
        <is>
          <t>24,6</t>
        </is>
      </c>
    </row>
    <row r="840">
      <c r="A840" t="inlineStr">
        <is>
          <t>评估记录信息表</t>
        </is>
      </c>
      <c r="B840" t="inlineStr">
        <is>
          <t>CLR_EVALUATION_RECORD</t>
        </is>
      </c>
      <c r="C840" t="inlineStr">
        <is>
          <t>OUTTEREVALORGID</t>
        </is>
      </c>
      <c r="D840" t="inlineStr">
        <is>
          <t>VARCHAR(32)</t>
        </is>
      </c>
      <c r="E840" t="inlineStr">
        <is>
          <t>YES</t>
        </is>
      </c>
      <c r="F840" t="inlineStr">
        <is>
          <t>外部评估机构编号</t>
        </is>
      </c>
      <c r="H840" t="inlineStr">
        <is>
          <t>VARCHAR</t>
        </is>
      </c>
      <c r="I840" t="inlineStr">
        <is>
          <t>32</t>
        </is>
      </c>
    </row>
    <row r="841">
      <c r="A841" t="inlineStr">
        <is>
          <t>评估记录信息表</t>
        </is>
      </c>
      <c r="B841" t="inlineStr">
        <is>
          <t>CLR_EVALUATION_RECORD</t>
        </is>
      </c>
      <c r="C841" t="inlineStr">
        <is>
          <t>OUTTEREVALDATE</t>
        </is>
      </c>
      <c r="D841" t="inlineStr">
        <is>
          <t>DATETIME</t>
        </is>
      </c>
      <c r="E841" t="inlineStr">
        <is>
          <t>YES</t>
        </is>
      </c>
      <c r="F841" t="inlineStr">
        <is>
          <t>外部评估基准日</t>
        </is>
      </c>
      <c r="H841" t="inlineStr">
        <is>
          <t>DATETIME</t>
        </is>
      </c>
    </row>
    <row r="842">
      <c r="A842" t="inlineStr">
        <is>
          <t>评估记录信息表</t>
        </is>
      </c>
      <c r="B842" t="inlineStr">
        <is>
          <t>CLR_EVALUATION_RECORD</t>
        </is>
      </c>
      <c r="C842" t="inlineStr">
        <is>
          <t>OUTTEREVALTYPE</t>
        </is>
      </c>
      <c r="D842" t="inlineStr">
        <is>
          <t>VARCHAR(6)</t>
        </is>
      </c>
      <c r="E842" t="inlineStr">
        <is>
          <t>YES</t>
        </is>
      </c>
      <c r="F842" t="inlineStr">
        <is>
          <t>外部评估类型</t>
        </is>
      </c>
      <c r="H842" t="inlineStr">
        <is>
          <t>VARCHAR</t>
        </is>
      </c>
      <c r="I842" t="inlineStr">
        <is>
          <t>6</t>
        </is>
      </c>
    </row>
    <row r="843">
      <c r="A843" t="inlineStr">
        <is>
          <t>评估记录信息表</t>
        </is>
      </c>
      <c r="B843" t="inlineStr">
        <is>
          <t>CLR_EVALUATION_RECORD</t>
        </is>
      </c>
      <c r="C843" t="inlineStr">
        <is>
          <t>OUTTEREVALEXPIRYDATE</t>
        </is>
      </c>
      <c r="D843" t="inlineStr">
        <is>
          <t>DATETIME</t>
        </is>
      </c>
      <c r="E843" t="inlineStr">
        <is>
          <t>YES</t>
        </is>
      </c>
      <c r="F843" t="inlineStr">
        <is>
          <t>外部评估报告有效期</t>
        </is>
      </c>
      <c r="H843" t="inlineStr">
        <is>
          <t>DATETIME</t>
        </is>
      </c>
    </row>
    <row r="844">
      <c r="A844" t="inlineStr">
        <is>
          <t>评估记录信息表</t>
        </is>
      </c>
      <c r="B844" t="inlineStr">
        <is>
          <t>CLR_EVALUATION_RECORD</t>
        </is>
      </c>
      <c r="C844" t="inlineStr">
        <is>
          <t>OUTTEREVALMETHOD</t>
        </is>
      </c>
      <c r="D844" t="inlineStr">
        <is>
          <t>VARCHAR(6)</t>
        </is>
      </c>
      <c r="E844" t="inlineStr">
        <is>
          <t>YES</t>
        </is>
      </c>
      <c r="F844" t="inlineStr">
        <is>
          <t>外部评估方法</t>
        </is>
      </c>
      <c r="H844" t="inlineStr">
        <is>
          <t>VARCHAR</t>
        </is>
      </c>
      <c r="I844" t="inlineStr">
        <is>
          <t>6</t>
        </is>
      </c>
    </row>
    <row r="845">
      <c r="A845" t="inlineStr">
        <is>
          <t>评估记录信息表</t>
        </is>
      </c>
      <c r="B845" t="inlineStr">
        <is>
          <t>CLR_EVALUATION_RECORD</t>
        </is>
      </c>
      <c r="C845" t="inlineStr">
        <is>
          <t>INITIALINNERRESULT</t>
        </is>
      </c>
      <c r="D845" t="inlineStr">
        <is>
          <t>DECIMAL(24,6)</t>
        </is>
      </c>
      <c r="E845" t="inlineStr">
        <is>
          <t>YES</t>
        </is>
      </c>
      <c r="F845" t="inlineStr">
        <is>
          <t>初评岗内部估值结果</t>
        </is>
      </c>
      <c r="H845" t="inlineStr">
        <is>
          <t>DECIMAL</t>
        </is>
      </c>
      <c r="I845" t="inlineStr">
        <is>
          <t>24,6</t>
        </is>
      </c>
    </row>
    <row r="846">
      <c r="A846" t="inlineStr">
        <is>
          <t>评估记录信息表</t>
        </is>
      </c>
      <c r="B846" t="inlineStr">
        <is>
          <t>CLR_EVALUATION_RECORD</t>
        </is>
      </c>
      <c r="C846" t="inlineStr">
        <is>
          <t>INITIALADJUSTRESULT</t>
        </is>
      </c>
      <c r="D846" t="inlineStr">
        <is>
          <t>DECIMAL(24,6)</t>
        </is>
      </c>
      <c r="E846" t="inlineStr">
        <is>
          <t>YES</t>
        </is>
      </c>
      <c r="F846" t="inlineStr">
        <is>
          <t>初评岗调整估值结果</t>
        </is>
      </c>
      <c r="H846" t="inlineStr">
        <is>
          <t>DECIMAL</t>
        </is>
      </c>
      <c r="I846" t="inlineStr">
        <is>
          <t>24,6</t>
        </is>
      </c>
    </row>
    <row r="847">
      <c r="A847" t="inlineStr">
        <is>
          <t>评估记录信息表</t>
        </is>
      </c>
      <c r="B847" t="inlineStr">
        <is>
          <t>CLR_EVALUATION_RECORD</t>
        </is>
      </c>
      <c r="C847" t="inlineStr">
        <is>
          <t>INITIALEVALWEIGHT</t>
        </is>
      </c>
      <c r="D847" t="inlineStr">
        <is>
          <t>DECIMAL(18,8)</t>
        </is>
      </c>
      <c r="E847" t="inlineStr">
        <is>
          <t>YES</t>
        </is>
      </c>
      <c r="F847" t="inlineStr">
        <is>
          <t>初评岗调整估值外部权重</t>
        </is>
      </c>
      <c r="H847" t="inlineStr">
        <is>
          <t>DECIMAL</t>
        </is>
      </c>
      <c r="I847" t="inlineStr">
        <is>
          <t>18,8</t>
        </is>
      </c>
    </row>
    <row r="848">
      <c r="A848" t="inlineStr">
        <is>
          <t>评估记录信息表</t>
        </is>
      </c>
      <c r="B848" t="inlineStr">
        <is>
          <t>CLR_EVALUATION_RECORD</t>
        </is>
      </c>
      <c r="C848" t="inlineStr">
        <is>
          <t>INITIALMULTIRESULT</t>
        </is>
      </c>
      <c r="D848" t="inlineStr">
        <is>
          <t>DECIMAL(24,6)</t>
        </is>
      </c>
      <c r="E848" t="inlineStr">
        <is>
          <t>YES</t>
        </is>
      </c>
      <c r="F848" t="inlineStr">
        <is>
          <t>初评岗综合估值结果</t>
        </is>
      </c>
      <c r="H848" t="inlineStr">
        <is>
          <t>DECIMAL</t>
        </is>
      </c>
      <c r="I848" t="inlineStr">
        <is>
          <t>24,6</t>
        </is>
      </c>
    </row>
    <row r="849">
      <c r="A849" t="inlineStr">
        <is>
          <t>评估记录信息表</t>
        </is>
      </c>
      <c r="B849" t="inlineStr">
        <is>
          <t>CLR_EVALUATION_RECORD</t>
        </is>
      </c>
      <c r="C849" t="inlineStr">
        <is>
          <t>INITIALVALIDATETIME</t>
        </is>
      </c>
      <c r="D849" t="inlineStr">
        <is>
          <t>DATETIME</t>
        </is>
      </c>
      <c r="E849" t="inlineStr">
        <is>
          <t>YES</t>
        </is>
      </c>
      <c r="F849" t="inlineStr">
        <is>
          <t>初评岗评估有效期</t>
        </is>
      </c>
      <c r="H849" t="inlineStr">
        <is>
          <t>DATETIME</t>
        </is>
      </c>
    </row>
    <row r="850">
      <c r="A850" t="inlineStr">
        <is>
          <t>评估记录信息表</t>
        </is>
      </c>
      <c r="B850" t="inlineStr">
        <is>
          <t>CLR_EVALUATION_RECORD</t>
        </is>
      </c>
      <c r="C850" t="inlineStr">
        <is>
          <t>INITIALFINALRESULT</t>
        </is>
      </c>
      <c r="D850" t="inlineStr">
        <is>
          <t>DECIMAL(24,6)</t>
        </is>
      </c>
      <c r="E850" t="inlineStr">
        <is>
          <t>YES</t>
        </is>
      </c>
      <c r="F850" t="inlineStr">
        <is>
          <t>初评岗最终评估结果</t>
        </is>
      </c>
      <c r="H850" t="inlineStr">
        <is>
          <t>DECIMAL</t>
        </is>
      </c>
      <c r="I850" t="inlineStr">
        <is>
          <t>24,6</t>
        </is>
      </c>
    </row>
    <row r="851">
      <c r="A851" t="inlineStr">
        <is>
          <t>评估记录信息表</t>
        </is>
      </c>
      <c r="B851" t="inlineStr">
        <is>
          <t>CLR_EVALUATION_RECORD</t>
        </is>
      </c>
      <c r="C851" t="inlineStr">
        <is>
          <t>REVIEWERUSERID</t>
        </is>
      </c>
      <c r="D851" t="inlineStr">
        <is>
          <t>VARCHAR(80)</t>
        </is>
      </c>
      <c r="E851" t="inlineStr">
        <is>
          <t>YES</t>
        </is>
      </c>
      <c r="F851" t="inlineStr">
        <is>
          <t>初评人</t>
        </is>
      </c>
      <c r="H851" t="inlineStr">
        <is>
          <t>VARCHAR</t>
        </is>
      </c>
      <c r="I851" t="inlineStr">
        <is>
          <t>80</t>
        </is>
      </c>
    </row>
    <row r="852">
      <c r="A852" t="inlineStr">
        <is>
          <t>评估记录信息表</t>
        </is>
      </c>
      <c r="B852" t="inlineStr">
        <is>
          <t>CLR_EVALUATION_RECORD</t>
        </is>
      </c>
      <c r="C852" t="inlineStr">
        <is>
          <t>REVIEWORGID</t>
        </is>
      </c>
      <c r="D852" t="inlineStr">
        <is>
          <t>VARCHAR(80)</t>
        </is>
      </c>
      <c r="E852" t="inlineStr">
        <is>
          <t>YES</t>
        </is>
      </c>
      <c r="F852" t="inlineStr">
        <is>
          <t>初评机构</t>
        </is>
      </c>
      <c r="H852" t="inlineStr">
        <is>
          <t>VARCHAR</t>
        </is>
      </c>
      <c r="I852" t="inlineStr">
        <is>
          <t>80</t>
        </is>
      </c>
    </row>
    <row r="853">
      <c r="A853" t="inlineStr">
        <is>
          <t>评估记录信息表</t>
        </is>
      </c>
      <c r="B853" t="inlineStr">
        <is>
          <t>CLR_EVALUATION_RECORD</t>
        </is>
      </c>
      <c r="C853" t="inlineStr">
        <is>
          <t>REVIEWDATE</t>
        </is>
      </c>
      <c r="D853" t="inlineStr">
        <is>
          <t>DATE</t>
        </is>
      </c>
      <c r="E853" t="inlineStr">
        <is>
          <t>YES</t>
        </is>
      </c>
      <c r="F853" t="inlineStr">
        <is>
          <t>初评日期</t>
        </is>
      </c>
      <c r="H853" t="inlineStr">
        <is>
          <t>DATE</t>
        </is>
      </c>
    </row>
    <row r="854">
      <c r="A854" t="inlineStr">
        <is>
          <t>评估记录信息表</t>
        </is>
      </c>
      <c r="B854" t="inlineStr">
        <is>
          <t>CLR_EVALUATION_RECORD</t>
        </is>
      </c>
      <c r="C854" t="inlineStr">
        <is>
          <t>APPROVEINNERRESULT</t>
        </is>
      </c>
      <c r="D854" t="inlineStr">
        <is>
          <t>DECIMAL(24,6)</t>
        </is>
      </c>
      <c r="E854" t="inlineStr">
        <is>
          <t>YES</t>
        </is>
      </c>
      <c r="F854" t="inlineStr">
        <is>
          <t>核定岗内部估值结果</t>
        </is>
      </c>
      <c r="H854" t="inlineStr">
        <is>
          <t>DECIMAL</t>
        </is>
      </c>
      <c r="I854" t="inlineStr">
        <is>
          <t>24,6</t>
        </is>
      </c>
    </row>
    <row r="855">
      <c r="A855" t="inlineStr">
        <is>
          <t>评估记录信息表</t>
        </is>
      </c>
      <c r="B855" t="inlineStr">
        <is>
          <t>CLR_EVALUATION_RECORD</t>
        </is>
      </c>
      <c r="C855" t="inlineStr">
        <is>
          <t>APPROVEADJUSTRESULT</t>
        </is>
      </c>
      <c r="D855" t="inlineStr">
        <is>
          <t>DECIMAL(24,6)</t>
        </is>
      </c>
      <c r="E855" t="inlineStr">
        <is>
          <t>YES</t>
        </is>
      </c>
      <c r="F855" t="inlineStr">
        <is>
          <t>核定岗调整估值结果确认</t>
        </is>
      </c>
      <c r="H855" t="inlineStr">
        <is>
          <t>DECIMAL</t>
        </is>
      </c>
      <c r="I855" t="inlineStr">
        <is>
          <t>24,6</t>
        </is>
      </c>
    </row>
    <row r="856">
      <c r="A856" t="inlineStr">
        <is>
          <t>评估记录信息表</t>
        </is>
      </c>
      <c r="B856" t="inlineStr">
        <is>
          <t>CLR_EVALUATION_RECORD</t>
        </is>
      </c>
      <c r="C856" t="inlineStr">
        <is>
          <t>APPROVEEVALWEIGHT</t>
        </is>
      </c>
      <c r="D856" t="inlineStr">
        <is>
          <t>DECIMAL(18,8)</t>
        </is>
      </c>
      <c r="E856" t="inlineStr">
        <is>
          <t>YES</t>
        </is>
      </c>
      <c r="F856" t="inlineStr">
        <is>
          <t>核定岗内部模型估值权重</t>
        </is>
      </c>
      <c r="H856" t="inlineStr">
        <is>
          <t>DECIMAL</t>
        </is>
      </c>
      <c r="I856" t="inlineStr">
        <is>
          <t>18,8</t>
        </is>
      </c>
    </row>
    <row r="857">
      <c r="A857" t="inlineStr">
        <is>
          <t>评估记录信息表</t>
        </is>
      </c>
      <c r="B857" t="inlineStr">
        <is>
          <t>CLR_EVALUATION_RECORD</t>
        </is>
      </c>
      <c r="C857" t="inlineStr">
        <is>
          <t>APPROVEMUTILRESULT</t>
        </is>
      </c>
      <c r="D857" t="inlineStr">
        <is>
          <t>DECIMAL(24,6)</t>
        </is>
      </c>
      <c r="E857" t="inlineStr">
        <is>
          <t>YES</t>
        </is>
      </c>
      <c r="F857" t="inlineStr">
        <is>
          <t>核定岗综合估值结果</t>
        </is>
      </c>
      <c r="H857" t="inlineStr">
        <is>
          <t>DECIMAL</t>
        </is>
      </c>
      <c r="I857" t="inlineStr">
        <is>
          <t>24,6</t>
        </is>
      </c>
    </row>
    <row r="858">
      <c r="A858" t="inlineStr">
        <is>
          <t>评估记录信息表</t>
        </is>
      </c>
      <c r="B858" t="inlineStr">
        <is>
          <t>CLR_EVALUATION_RECORD</t>
        </is>
      </c>
      <c r="C858" t="inlineStr">
        <is>
          <t>APPROVEVALIDATETIME</t>
        </is>
      </c>
      <c r="D858" t="inlineStr">
        <is>
          <t>DATETIME</t>
        </is>
      </c>
      <c r="E858" t="inlineStr">
        <is>
          <t>YES</t>
        </is>
      </c>
      <c r="F858" t="inlineStr">
        <is>
          <t>核定岗评估有效期</t>
        </is>
      </c>
      <c r="H858" t="inlineStr">
        <is>
          <t>DATETIME</t>
        </is>
      </c>
    </row>
    <row r="859">
      <c r="A859" t="inlineStr">
        <is>
          <t>评估记录信息表</t>
        </is>
      </c>
      <c r="B859" t="inlineStr">
        <is>
          <t>CLR_EVALUATION_RECORD</t>
        </is>
      </c>
      <c r="C859" t="inlineStr">
        <is>
          <t>APPROVEFINALRESULT</t>
        </is>
      </c>
      <c r="D859" t="inlineStr">
        <is>
          <t>DECIMAL(24,6)</t>
        </is>
      </c>
      <c r="E859" t="inlineStr">
        <is>
          <t>YES</t>
        </is>
      </c>
      <c r="F859" t="inlineStr">
        <is>
          <t>核定岗最终评估结果</t>
        </is>
      </c>
      <c r="H859" t="inlineStr">
        <is>
          <t>DECIMAL</t>
        </is>
      </c>
      <c r="I859" t="inlineStr">
        <is>
          <t>24,6</t>
        </is>
      </c>
    </row>
    <row r="860">
      <c r="A860" t="inlineStr">
        <is>
          <t>评估记录信息表</t>
        </is>
      </c>
      <c r="B860" t="inlineStr">
        <is>
          <t>CLR_EVALUATION_RECORD</t>
        </is>
      </c>
      <c r="C860" t="inlineStr">
        <is>
          <t>APPROVEUSERID</t>
        </is>
      </c>
      <c r="D860" t="inlineStr">
        <is>
          <t>VARCHAR(32)</t>
        </is>
      </c>
      <c r="E860" t="inlineStr">
        <is>
          <t>YES</t>
        </is>
      </c>
      <c r="F860" t="inlineStr">
        <is>
          <t>核定人</t>
        </is>
      </c>
      <c r="H860" t="inlineStr">
        <is>
          <t>VARCHAR</t>
        </is>
      </c>
      <c r="I860" t="inlineStr">
        <is>
          <t>32</t>
        </is>
      </c>
    </row>
    <row r="861">
      <c r="A861" t="inlineStr">
        <is>
          <t>评估记录信息表</t>
        </is>
      </c>
      <c r="B861" t="inlineStr">
        <is>
          <t>CLR_EVALUATION_RECORD</t>
        </is>
      </c>
      <c r="C861" t="inlineStr">
        <is>
          <t>APPROVEORGID</t>
        </is>
      </c>
      <c r="D861" t="inlineStr">
        <is>
          <t>VARCHAR(32)</t>
        </is>
      </c>
      <c r="E861" t="inlineStr">
        <is>
          <t>YES</t>
        </is>
      </c>
      <c r="F861" t="inlineStr">
        <is>
          <t>核定机构</t>
        </is>
      </c>
      <c r="H861" t="inlineStr">
        <is>
          <t>VARCHAR</t>
        </is>
      </c>
      <c r="I861" t="inlineStr">
        <is>
          <t>32</t>
        </is>
      </c>
    </row>
    <row r="862">
      <c r="A862" t="inlineStr">
        <is>
          <t>评估记录信息表</t>
        </is>
      </c>
      <c r="B862" t="inlineStr">
        <is>
          <t>CLR_EVALUATION_RECORD</t>
        </is>
      </c>
      <c r="C862" t="inlineStr">
        <is>
          <t>APPROVEDATE</t>
        </is>
      </c>
      <c r="D862" t="inlineStr">
        <is>
          <t>DATE</t>
        </is>
      </c>
      <c r="E862" t="inlineStr">
        <is>
          <t>YES</t>
        </is>
      </c>
      <c r="F862" t="inlineStr">
        <is>
          <t>核定日期</t>
        </is>
      </c>
      <c r="H862" t="inlineStr">
        <is>
          <t>DATE</t>
        </is>
      </c>
    </row>
    <row r="863">
      <c r="A863" t="inlineStr">
        <is>
          <t>评估记录信息表</t>
        </is>
      </c>
      <c r="B863" t="inlineStr">
        <is>
          <t>CLR_EVALUATION_RECORD</t>
        </is>
      </c>
      <c r="C863" t="inlineStr">
        <is>
          <t>BENCHDATE</t>
        </is>
      </c>
      <c r="D863" t="inlineStr">
        <is>
          <t>DATE</t>
        </is>
      </c>
      <c r="E863" t="inlineStr">
        <is>
          <t>YES</t>
        </is>
      </c>
      <c r="F863" t="inlineStr">
        <is>
          <t>评估基准日</t>
        </is>
      </c>
      <c r="H863" t="inlineStr">
        <is>
          <t>DATE</t>
        </is>
      </c>
    </row>
    <row r="864">
      <c r="A864" t="inlineStr">
        <is>
          <t>评估记录信息表</t>
        </is>
      </c>
      <c r="B864" t="inlineStr">
        <is>
          <t>CLR_EVALUATION_RECORD</t>
        </is>
      </c>
      <c r="C864" t="inlineStr">
        <is>
          <t>DEBTOR</t>
        </is>
      </c>
      <c r="D864" t="inlineStr">
        <is>
          <t>VARCHAR(80)</t>
        </is>
      </c>
      <c r="E864" t="inlineStr">
        <is>
          <t>YES</t>
        </is>
      </c>
      <c r="F864" t="inlineStr">
        <is>
          <t>主债务人</t>
        </is>
      </c>
      <c r="H864" t="inlineStr">
        <is>
          <t>VARCHAR</t>
        </is>
      </c>
      <c r="I864" t="inlineStr">
        <is>
          <t>80</t>
        </is>
      </c>
    </row>
    <row r="865">
      <c r="A865" t="inlineStr">
        <is>
          <t>评估记录信息表</t>
        </is>
      </c>
      <c r="B865" t="inlineStr">
        <is>
          <t>CLR_EVALUATION_RECORD</t>
        </is>
      </c>
      <c r="C865" t="inlineStr">
        <is>
          <t>OWNERSTATUS</t>
        </is>
      </c>
      <c r="D865" t="inlineStr">
        <is>
          <t>VARCHAR(6)</t>
        </is>
      </c>
      <c r="E865" t="inlineStr">
        <is>
          <t>YES</t>
        </is>
      </c>
      <c r="F865" t="inlineStr">
        <is>
          <t>抵质押品权属状况</t>
        </is>
      </c>
      <c r="H865" t="inlineStr">
        <is>
          <t>VARCHAR</t>
        </is>
      </c>
      <c r="I865" t="inlineStr">
        <is>
          <t>6</t>
        </is>
      </c>
    </row>
    <row r="866">
      <c r="A866" t="inlineStr">
        <is>
          <t>评估记录信息表</t>
        </is>
      </c>
      <c r="B866" t="inlineStr">
        <is>
          <t>CLR_EVALUATION_RECORD</t>
        </is>
      </c>
      <c r="C866" t="inlineStr">
        <is>
          <t>PRIORITYCLAIM</t>
        </is>
      </c>
      <c r="D866" t="inlineStr">
        <is>
          <t>VARCHAR(6)</t>
        </is>
      </c>
      <c r="E866" t="inlineStr">
        <is>
          <t>YES</t>
        </is>
      </c>
      <c r="F866" t="inlineStr">
        <is>
          <t>顺位情况</t>
        </is>
      </c>
      <c r="H866" t="inlineStr">
        <is>
          <t>VARCHAR</t>
        </is>
      </c>
      <c r="I866" t="inlineStr">
        <is>
          <t>6</t>
        </is>
      </c>
    </row>
    <row r="867">
      <c r="A867" t="inlineStr">
        <is>
          <t>评估记录信息表</t>
        </is>
      </c>
      <c r="B867" t="inlineStr">
        <is>
          <t>CLR_EVALUATION_RECORD</t>
        </is>
      </c>
      <c r="C867" t="inlineStr">
        <is>
          <t>ABNORMALREASON</t>
        </is>
      </c>
      <c r="D867" t="inlineStr">
        <is>
          <t>VARCHAR(500)</t>
        </is>
      </c>
      <c r="E867" t="inlineStr">
        <is>
          <t>YES</t>
        </is>
      </c>
      <c r="F867" t="inlineStr">
        <is>
          <t>异常原因</t>
        </is>
      </c>
      <c r="H867" t="inlineStr">
        <is>
          <t>VARCHAR</t>
        </is>
      </c>
      <c r="I867" t="inlineStr">
        <is>
          <t>500</t>
        </is>
      </c>
    </row>
    <row r="868">
      <c r="A868" t="inlineStr">
        <is>
          <t>评估记录信息表</t>
        </is>
      </c>
      <c r="B868" t="inlineStr">
        <is>
          <t>CLR_EVALUATION_RECORD</t>
        </is>
      </c>
      <c r="C868" t="inlineStr">
        <is>
          <t>STATUS</t>
        </is>
      </c>
      <c r="D868" t="inlineStr">
        <is>
          <t>VARCHAR(6)</t>
        </is>
      </c>
      <c r="E868" t="inlineStr">
        <is>
          <t>YES</t>
        </is>
      </c>
      <c r="F868" t="inlineStr">
        <is>
          <t>状态</t>
        </is>
      </c>
      <c r="H868" t="inlineStr">
        <is>
          <t>VARCHAR</t>
        </is>
      </c>
      <c r="I868" t="inlineStr">
        <is>
          <t>6</t>
        </is>
      </c>
    </row>
    <row r="869">
      <c r="A869" t="inlineStr">
        <is>
          <t>评估记录信息表</t>
        </is>
      </c>
      <c r="B869" t="inlineStr">
        <is>
          <t>CLR_EVALUATION_RECORD</t>
        </is>
      </c>
      <c r="C869" t="inlineStr">
        <is>
          <t>OLDCLRID</t>
        </is>
      </c>
      <c r="D869" t="inlineStr">
        <is>
          <t>VARCHAR(32)</t>
        </is>
      </c>
      <c r="E869" t="inlineStr">
        <is>
          <t>YES</t>
        </is>
      </c>
      <c r="F869" t="inlineStr">
        <is>
          <t>合并前押品编号</t>
        </is>
      </c>
      <c r="H869" t="inlineStr">
        <is>
          <t>VARCHAR</t>
        </is>
      </c>
      <c r="I869" t="inlineStr">
        <is>
          <t>32</t>
        </is>
      </c>
    </row>
    <row r="870">
      <c r="A870" t="inlineStr">
        <is>
          <t>评估记录信息表</t>
        </is>
      </c>
      <c r="B870" t="inlineStr">
        <is>
          <t>CLR_EVALUATION_RECORD</t>
        </is>
      </c>
      <c r="C870" t="inlineStr">
        <is>
          <t>INPUTORGID</t>
        </is>
      </c>
      <c r="D870" t="inlineStr">
        <is>
          <t>VARCHAR(32)</t>
        </is>
      </c>
      <c r="E870" t="inlineStr">
        <is>
          <t>YES</t>
        </is>
      </c>
      <c r="F870" t="inlineStr">
        <is>
          <t>登记机构</t>
        </is>
      </c>
      <c r="H870" t="inlineStr">
        <is>
          <t>VARCHAR</t>
        </is>
      </c>
      <c r="I870" t="inlineStr">
        <is>
          <t>32</t>
        </is>
      </c>
    </row>
    <row r="871">
      <c r="A871" t="inlineStr">
        <is>
          <t>评估记录信息表</t>
        </is>
      </c>
      <c r="B871" t="inlineStr">
        <is>
          <t>CLR_EVALUATION_RECORD</t>
        </is>
      </c>
      <c r="C871" t="inlineStr">
        <is>
          <t>INPUTUSERID</t>
        </is>
      </c>
      <c r="D871" t="inlineStr">
        <is>
          <t>VARCHAR(32)</t>
        </is>
      </c>
      <c r="E871" t="inlineStr">
        <is>
          <t>YES</t>
        </is>
      </c>
      <c r="F871" t="inlineStr">
        <is>
          <t>登记人</t>
        </is>
      </c>
      <c r="H871" t="inlineStr">
        <is>
          <t>VARCHAR</t>
        </is>
      </c>
      <c r="I871" t="inlineStr">
        <is>
          <t>32</t>
        </is>
      </c>
    </row>
    <row r="872">
      <c r="A872" t="inlineStr">
        <is>
          <t>评估记录信息表</t>
        </is>
      </c>
      <c r="B872" t="inlineStr">
        <is>
          <t>CLR_EVALUATION_RECORD</t>
        </is>
      </c>
      <c r="C872" t="inlineStr">
        <is>
          <t>INPUTDATE</t>
        </is>
      </c>
      <c r="D872" t="inlineStr">
        <is>
          <t>DATETIME</t>
        </is>
      </c>
      <c r="E872" t="inlineStr">
        <is>
          <t>YES</t>
        </is>
      </c>
      <c r="F872" t="inlineStr">
        <is>
          <t>登记日期</t>
        </is>
      </c>
      <c r="H872" t="inlineStr">
        <is>
          <t>DATETIME</t>
        </is>
      </c>
    </row>
    <row r="873">
      <c r="A873" t="inlineStr">
        <is>
          <t>评估记录信息表</t>
        </is>
      </c>
      <c r="B873" t="inlineStr">
        <is>
          <t>CLR_EVALUATION_RECORD</t>
        </is>
      </c>
      <c r="C873" t="inlineStr">
        <is>
          <t>UPDATEORGID</t>
        </is>
      </c>
      <c r="D873" t="inlineStr">
        <is>
          <t>VARCHAR(32)</t>
        </is>
      </c>
      <c r="E873" t="inlineStr">
        <is>
          <t>YES</t>
        </is>
      </c>
      <c r="F873" t="inlineStr">
        <is>
          <t>更新机构</t>
        </is>
      </c>
      <c r="H873" t="inlineStr">
        <is>
          <t>VARCHAR</t>
        </is>
      </c>
      <c r="I873" t="inlineStr">
        <is>
          <t>32</t>
        </is>
      </c>
    </row>
    <row r="874">
      <c r="A874" t="inlineStr">
        <is>
          <t>评估记录信息表</t>
        </is>
      </c>
      <c r="B874" t="inlineStr">
        <is>
          <t>CLR_EVALUATION_RECORD</t>
        </is>
      </c>
      <c r="C874" t="inlineStr">
        <is>
          <t>UPDATEUSERID</t>
        </is>
      </c>
      <c r="D874" t="inlineStr">
        <is>
          <t>VARCHAR(32)</t>
        </is>
      </c>
      <c r="E874" t="inlineStr">
        <is>
          <t>YES</t>
        </is>
      </c>
      <c r="F874" t="inlineStr">
        <is>
          <t>更新人</t>
        </is>
      </c>
      <c r="H874" t="inlineStr">
        <is>
          <t>VARCHAR</t>
        </is>
      </c>
      <c r="I874" t="inlineStr">
        <is>
          <t>32</t>
        </is>
      </c>
    </row>
    <row r="875">
      <c r="A875" t="inlineStr">
        <is>
          <t>评估记录信息表</t>
        </is>
      </c>
      <c r="B875" t="inlineStr">
        <is>
          <t>CLR_EVALUATION_RECORD</t>
        </is>
      </c>
      <c r="C875" t="inlineStr">
        <is>
          <t>UPDATEDATE</t>
        </is>
      </c>
      <c r="D875" t="inlineStr">
        <is>
          <t>DATETIME</t>
        </is>
      </c>
      <c r="E875" t="inlineStr">
        <is>
          <t>YES</t>
        </is>
      </c>
      <c r="F875" t="inlineStr">
        <is>
          <t>更新日期</t>
        </is>
      </c>
      <c r="H875" t="inlineStr">
        <is>
          <t>DATETIME</t>
        </is>
      </c>
    </row>
    <row r="876">
      <c r="A876" t="inlineStr">
        <is>
          <t>评估记录信息表</t>
        </is>
      </c>
      <c r="B876" t="inlineStr">
        <is>
          <t>CLR_EVALUATION_RECORD</t>
        </is>
      </c>
      <c r="C876" t="inlineStr">
        <is>
          <t>REMARK</t>
        </is>
      </c>
      <c r="D876" t="inlineStr">
        <is>
          <t>VARCHAR(500)</t>
        </is>
      </c>
      <c r="E876" t="inlineStr">
        <is>
          <t>YES</t>
        </is>
      </c>
      <c r="F876" t="inlineStr">
        <is>
          <t>备注</t>
        </is>
      </c>
      <c r="H876" t="inlineStr">
        <is>
          <t>VARCHAR</t>
        </is>
      </c>
      <c r="I876" t="inlineStr">
        <is>
          <t>500</t>
        </is>
      </c>
    </row>
    <row r="877">
      <c r="A877" t="inlineStr">
        <is>
          <t>评估记录信息表</t>
        </is>
      </c>
      <c r="B877" t="inlineStr">
        <is>
          <t>CLR_EVALUATION_RECORD</t>
        </is>
      </c>
      <c r="C877" t="inlineStr">
        <is>
          <t>CORPORGID</t>
        </is>
      </c>
      <c r="D877" t="inlineStr">
        <is>
          <t>VARCHAR(32)</t>
        </is>
      </c>
      <c r="E877" t="inlineStr">
        <is>
          <t>YES</t>
        </is>
      </c>
      <c r="F877" t="inlineStr">
        <is>
          <t>法人机构编号</t>
        </is>
      </c>
      <c r="H877" t="inlineStr">
        <is>
          <t>VARCHAR</t>
        </is>
      </c>
      <c r="I877" t="inlineStr">
        <is>
          <t>32</t>
        </is>
      </c>
    </row>
    <row r="878">
      <c r="A878" t="inlineStr">
        <is>
          <t>评估记录信息表</t>
        </is>
      </c>
      <c r="B878" t="inlineStr">
        <is>
          <t>CLR_EVALUATION_RECORD</t>
        </is>
      </c>
      <c r="C878" t="inlineStr">
        <is>
          <t>EXCHANGERATE</t>
        </is>
      </c>
      <c r="D878" t="inlineStr">
        <is>
          <t>DECIMAL(18,8)</t>
        </is>
      </c>
      <c r="E878" t="inlineStr">
        <is>
          <t>YES</t>
        </is>
      </c>
      <c r="F878" t="inlineStr">
        <is>
          <t>汇率</t>
        </is>
      </c>
      <c r="H878" t="inlineStr">
        <is>
          <t>DECIMAL</t>
        </is>
      </c>
      <c r="I878" t="inlineStr">
        <is>
          <t>18,8</t>
        </is>
      </c>
    </row>
    <row r="879">
      <c r="A879" t="inlineStr">
        <is>
          <t>评估记录信息表</t>
        </is>
      </c>
      <c r="B879" t="inlineStr">
        <is>
          <t>CLR_EVALUATION_RECORD</t>
        </is>
      </c>
      <c r="C879" t="inlineStr">
        <is>
          <t>ORIGINALCURRENCY</t>
        </is>
      </c>
      <c r="D879" t="inlineStr">
        <is>
          <t>VARCHAR(6)</t>
        </is>
      </c>
      <c r="E879" t="inlineStr">
        <is>
          <t>YES</t>
        </is>
      </c>
      <c r="F879" t="inlineStr">
        <is>
          <t>本币币种</t>
        </is>
      </c>
      <c r="H879" t="inlineStr">
        <is>
          <t>VARCHAR</t>
        </is>
      </c>
      <c r="I879" t="inlineStr">
        <is>
          <t>6</t>
        </is>
      </c>
    </row>
    <row r="880">
      <c r="A880" t="inlineStr">
        <is>
          <t>评估记录信息表</t>
        </is>
      </c>
      <c r="B880" t="inlineStr">
        <is>
          <t>CLR_EVALUATION_RECORD</t>
        </is>
      </c>
      <c r="C880" t="inlineStr">
        <is>
          <t>ORIGINALCURRENCYVALUE</t>
        </is>
      </c>
      <c r="D880" t="inlineStr">
        <is>
          <t>DECIMAL(24,6)</t>
        </is>
      </c>
      <c r="E880" t="inlineStr">
        <is>
          <t>YES</t>
        </is>
      </c>
      <c r="F880" t="inlineStr">
        <is>
          <t>本币价值</t>
        </is>
      </c>
      <c r="H880" t="inlineStr">
        <is>
          <t>DECIMAL</t>
        </is>
      </c>
      <c r="I880" t="inlineStr">
        <is>
          <t>24,6</t>
        </is>
      </c>
    </row>
    <row r="881">
      <c r="A881" t="inlineStr">
        <is>
          <t>押品市场价格指数表</t>
        </is>
      </c>
      <c r="B881" t="inlineStr">
        <is>
          <t>CLR_PRICEINDEX</t>
        </is>
      </c>
      <c r="C881" t="inlineStr">
        <is>
          <t>INDEXTYPE</t>
        </is>
      </c>
      <c r="D881" t="inlineStr">
        <is>
          <t>VARCHAR(32)</t>
        </is>
      </c>
      <c r="E881" t="inlineStr">
        <is>
          <t>YES</t>
        </is>
      </c>
      <c r="F881" t="inlineStr">
        <is>
          <t>市场价格指数类型</t>
        </is>
      </c>
      <c r="H881" t="inlineStr">
        <is>
          <t>VARCHAR</t>
        </is>
      </c>
      <c r="I881" t="inlineStr">
        <is>
          <t>32</t>
        </is>
      </c>
    </row>
    <row r="882">
      <c r="A882" t="inlineStr">
        <is>
          <t>押品市场价格指数表</t>
        </is>
      </c>
      <c r="B882" t="inlineStr">
        <is>
          <t>CLR_PRICEINDEX</t>
        </is>
      </c>
      <c r="C882" t="inlineStr">
        <is>
          <t>INDEXID</t>
        </is>
      </c>
      <c r="D882" t="inlineStr">
        <is>
          <t>VARCHAR(32)</t>
        </is>
      </c>
      <c r="E882" t="inlineStr">
        <is>
          <t>NO</t>
        </is>
      </c>
      <c r="F882" t="inlineStr">
        <is>
          <t>市场价格指数编号</t>
        </is>
      </c>
      <c r="H882" t="inlineStr">
        <is>
          <t>VARCHAR</t>
        </is>
      </c>
      <c r="I882" t="inlineStr">
        <is>
          <t>32</t>
        </is>
      </c>
    </row>
    <row r="883">
      <c r="A883" t="inlineStr">
        <is>
          <t>押品市场价格指数表</t>
        </is>
      </c>
      <c r="B883" t="inlineStr">
        <is>
          <t>CLR_PRICEINDEX</t>
        </is>
      </c>
      <c r="C883" t="inlineStr">
        <is>
          <t>PRICEINDEX</t>
        </is>
      </c>
      <c r="D883" t="inlineStr">
        <is>
          <t>DECIMAL(24,6)</t>
        </is>
      </c>
      <c r="E883" t="inlineStr">
        <is>
          <t>YES</t>
        </is>
      </c>
      <c r="F883" t="inlineStr">
        <is>
          <t>市场价格指数</t>
        </is>
      </c>
      <c r="H883" t="inlineStr">
        <is>
          <t>DECIMAL</t>
        </is>
      </c>
      <c r="I883" t="inlineStr">
        <is>
          <t>24,6</t>
        </is>
      </c>
    </row>
    <row r="884">
      <c r="A884" t="inlineStr">
        <is>
          <t>押品市场价格指数表</t>
        </is>
      </c>
      <c r="B884" t="inlineStr">
        <is>
          <t>CLR_PRICEINDEX</t>
        </is>
      </c>
      <c r="C884" t="inlineStr">
        <is>
          <t>INDEXDATE</t>
        </is>
      </c>
      <c r="D884" t="inlineStr">
        <is>
          <t>VARCHAR(18)</t>
        </is>
      </c>
      <c r="E884" t="inlineStr">
        <is>
          <t>YES</t>
        </is>
      </c>
      <c r="F884" t="inlineStr">
        <is>
          <t>市场指数日期</t>
        </is>
      </c>
      <c r="H884" t="inlineStr">
        <is>
          <t>VARCHAR</t>
        </is>
      </c>
      <c r="I884" t="inlineStr">
        <is>
          <t>18</t>
        </is>
      </c>
    </row>
    <row r="885">
      <c r="A885" t="inlineStr">
        <is>
          <t>押品市场价格指数表</t>
        </is>
      </c>
      <c r="B885" t="inlineStr">
        <is>
          <t>CLR_PRICEINDEX</t>
        </is>
      </c>
      <c r="C885" t="inlineStr">
        <is>
          <t>UPANDDOWN</t>
        </is>
      </c>
      <c r="D885" t="inlineStr">
        <is>
          <t>DECIMAL(18,8)</t>
        </is>
      </c>
      <c r="E885" t="inlineStr">
        <is>
          <t>YES</t>
        </is>
      </c>
      <c r="F885" t="inlineStr">
        <is>
          <t>涨跌幅度</t>
        </is>
      </c>
      <c r="H885" t="inlineStr">
        <is>
          <t>DECIMAL</t>
        </is>
      </c>
      <c r="I885" t="inlineStr">
        <is>
          <t>18,8</t>
        </is>
      </c>
    </row>
    <row r="886">
      <c r="A886" t="inlineStr">
        <is>
          <t>押品市场价格指数表</t>
        </is>
      </c>
      <c r="B886" t="inlineStr">
        <is>
          <t>CLR_PRICEINDEX</t>
        </is>
      </c>
      <c r="C886" t="inlineStr">
        <is>
          <t>PROVINCE</t>
        </is>
      </c>
      <c r="D886" t="inlineStr">
        <is>
          <t>VARCHAR(32)</t>
        </is>
      </c>
      <c r="E886" t="inlineStr">
        <is>
          <t>YES</t>
        </is>
      </c>
      <c r="F886" t="inlineStr">
        <is>
          <t>省份</t>
        </is>
      </c>
      <c r="H886" t="inlineStr">
        <is>
          <t>VARCHAR</t>
        </is>
      </c>
      <c r="I886" t="inlineStr">
        <is>
          <t>32</t>
        </is>
      </c>
    </row>
    <row r="887">
      <c r="A887" t="inlineStr">
        <is>
          <t>押品市场价格指数表</t>
        </is>
      </c>
      <c r="B887" t="inlineStr">
        <is>
          <t>CLR_PRICEINDEX</t>
        </is>
      </c>
      <c r="C887" t="inlineStr">
        <is>
          <t>CITY</t>
        </is>
      </c>
      <c r="D887" t="inlineStr">
        <is>
          <t>VARCHAR(32)</t>
        </is>
      </c>
      <c r="E887" t="inlineStr">
        <is>
          <t>YES</t>
        </is>
      </c>
      <c r="F887" t="inlineStr">
        <is>
          <t>城市</t>
        </is>
      </c>
      <c r="H887" t="inlineStr">
        <is>
          <t>VARCHAR</t>
        </is>
      </c>
      <c r="I887" t="inlineStr">
        <is>
          <t>32</t>
        </is>
      </c>
    </row>
    <row r="888">
      <c r="A888" t="inlineStr">
        <is>
          <t>押品市场价格指数表</t>
        </is>
      </c>
      <c r="B888" t="inlineStr">
        <is>
          <t>CLR_PRICEINDEX</t>
        </is>
      </c>
      <c r="C888" t="inlineStr">
        <is>
          <t>AREA</t>
        </is>
      </c>
      <c r="D888" t="inlineStr">
        <is>
          <t>VARCHAR(32)</t>
        </is>
      </c>
      <c r="E888" t="inlineStr">
        <is>
          <t>YES</t>
        </is>
      </c>
      <c r="F888" t="inlineStr">
        <is>
          <t>区域</t>
        </is>
      </c>
      <c r="H888" t="inlineStr">
        <is>
          <t>VARCHAR</t>
        </is>
      </c>
      <c r="I888" t="inlineStr">
        <is>
          <t>32</t>
        </is>
      </c>
    </row>
    <row r="889">
      <c r="A889" t="inlineStr">
        <is>
          <t>押品市场价格指数表</t>
        </is>
      </c>
      <c r="B889" t="inlineStr">
        <is>
          <t>CLR_PRICEINDEX</t>
        </is>
      </c>
      <c r="C889" t="inlineStr">
        <is>
          <t>REALTYAREA</t>
        </is>
      </c>
      <c r="D889" t="inlineStr">
        <is>
          <t>DECIMAL(18,2)</t>
        </is>
      </c>
      <c r="E889" t="inlineStr">
        <is>
          <t>YES</t>
        </is>
      </c>
      <c r="F889" t="inlineStr">
        <is>
          <t>房地产面积</t>
        </is>
      </c>
      <c r="H889" t="inlineStr">
        <is>
          <t>DECIMAL</t>
        </is>
      </c>
      <c r="I889" t="inlineStr">
        <is>
          <t>18,2</t>
        </is>
      </c>
    </row>
    <row r="890">
      <c r="A890" t="inlineStr">
        <is>
          <t>押品市场价格指数表</t>
        </is>
      </c>
      <c r="B890" t="inlineStr">
        <is>
          <t>CLR_PRICEINDEX</t>
        </is>
      </c>
      <c r="C890" t="inlineStr">
        <is>
          <t>STATUS</t>
        </is>
      </c>
      <c r="D890" t="inlineStr">
        <is>
          <t>VARCHAR(6)</t>
        </is>
      </c>
      <c r="E890" t="inlineStr">
        <is>
          <t>YES</t>
        </is>
      </c>
      <c r="F890" t="inlineStr">
        <is>
          <t>状态</t>
        </is>
      </c>
      <c r="H890" t="inlineStr">
        <is>
          <t>VARCHAR</t>
        </is>
      </c>
      <c r="I890" t="inlineStr">
        <is>
          <t>6</t>
        </is>
      </c>
    </row>
    <row r="891">
      <c r="A891" t="inlineStr">
        <is>
          <t>押品市场价格指数表</t>
        </is>
      </c>
      <c r="B891" t="inlineStr">
        <is>
          <t>CLR_PRICEINDEX</t>
        </is>
      </c>
      <c r="C891" t="inlineStr">
        <is>
          <t>INDEXSOURCE</t>
        </is>
      </c>
      <c r="D891" t="inlineStr">
        <is>
          <t>VARCHAR(80)</t>
        </is>
      </c>
      <c r="E891" t="inlineStr">
        <is>
          <t>YES</t>
        </is>
      </c>
      <c r="F891" t="inlineStr">
        <is>
          <t>数据来源</t>
        </is>
      </c>
      <c r="H891" t="inlineStr">
        <is>
          <t>VARCHAR</t>
        </is>
      </c>
      <c r="I891" t="inlineStr">
        <is>
          <t>80</t>
        </is>
      </c>
    </row>
    <row r="892">
      <c r="A892" t="inlineStr">
        <is>
          <t>押品市场价格指数表</t>
        </is>
      </c>
      <c r="B892" t="inlineStr">
        <is>
          <t>CLR_PRICEINDEX</t>
        </is>
      </c>
      <c r="C892" t="inlineStr">
        <is>
          <t>ORGID</t>
        </is>
      </c>
      <c r="D892" t="inlineStr">
        <is>
          <t>VARCHAR(32)</t>
        </is>
      </c>
      <c r="E892" t="inlineStr">
        <is>
          <t>YES</t>
        </is>
      </c>
      <c r="F892" t="inlineStr">
        <is>
          <t>指数匹配机构</t>
        </is>
      </c>
      <c r="H892" t="inlineStr">
        <is>
          <t>VARCHAR</t>
        </is>
      </c>
      <c r="I892" t="inlineStr">
        <is>
          <t>32</t>
        </is>
      </c>
    </row>
    <row r="893">
      <c r="A893" t="inlineStr">
        <is>
          <t>押品市场价格指数表</t>
        </is>
      </c>
      <c r="B893" t="inlineStr">
        <is>
          <t>CLR_PRICEINDEX</t>
        </is>
      </c>
      <c r="C893" t="inlineStr">
        <is>
          <t>INDLEVEL1</t>
        </is>
      </c>
      <c r="D893" t="inlineStr">
        <is>
          <t>VARCHAR(18)</t>
        </is>
      </c>
      <c r="E893" t="inlineStr">
        <is>
          <t>YES</t>
        </is>
      </c>
      <c r="F893" t="inlineStr">
        <is>
          <t>指数类型;一级分类</t>
        </is>
      </c>
      <c r="H893" t="inlineStr">
        <is>
          <t>VARCHAR</t>
        </is>
      </c>
      <c r="I893" t="inlineStr">
        <is>
          <t>18</t>
        </is>
      </c>
    </row>
    <row r="894">
      <c r="A894" t="inlineStr">
        <is>
          <t>押品市场价格指数表</t>
        </is>
      </c>
      <c r="B894" t="inlineStr">
        <is>
          <t>CLR_PRICEINDEX</t>
        </is>
      </c>
      <c r="C894" t="inlineStr">
        <is>
          <t>INDLEVEL2</t>
        </is>
      </c>
      <c r="D894" t="inlineStr">
        <is>
          <t>VARCHAR(18)</t>
        </is>
      </c>
      <c r="E894" t="inlineStr">
        <is>
          <t>YES</t>
        </is>
      </c>
      <c r="F894" t="inlineStr">
        <is>
          <t>指数类型;二级分类</t>
        </is>
      </c>
      <c r="H894" t="inlineStr">
        <is>
          <t>VARCHAR</t>
        </is>
      </c>
      <c r="I894" t="inlineStr">
        <is>
          <t>18</t>
        </is>
      </c>
    </row>
    <row r="895">
      <c r="A895" t="inlineStr">
        <is>
          <t>押品市场价格指数表</t>
        </is>
      </c>
      <c r="B895" t="inlineStr">
        <is>
          <t>CLR_PRICEINDEX</t>
        </is>
      </c>
      <c r="C895" t="inlineStr">
        <is>
          <t>INPUTUSERID</t>
        </is>
      </c>
      <c r="D895" t="inlineStr">
        <is>
          <t>VARCHAR(32)</t>
        </is>
      </c>
      <c r="E895" t="inlineStr">
        <is>
          <t>YES</t>
        </is>
      </c>
      <c r="F895" t="inlineStr">
        <is>
          <t>录入人</t>
        </is>
      </c>
      <c r="H895" t="inlineStr">
        <is>
          <t>VARCHAR</t>
        </is>
      </c>
      <c r="I895" t="inlineStr">
        <is>
          <t>32</t>
        </is>
      </c>
    </row>
    <row r="896">
      <c r="A896" t="inlineStr">
        <is>
          <t>押品市场价格指数表</t>
        </is>
      </c>
      <c r="B896" t="inlineStr">
        <is>
          <t>CLR_PRICEINDEX</t>
        </is>
      </c>
      <c r="C896" t="inlineStr">
        <is>
          <t>INPUTORGID</t>
        </is>
      </c>
      <c r="D896" t="inlineStr">
        <is>
          <t>VARCHAR(32)</t>
        </is>
      </c>
      <c r="E896" t="inlineStr">
        <is>
          <t>YES</t>
        </is>
      </c>
      <c r="F896" t="inlineStr">
        <is>
          <t>录入机构</t>
        </is>
      </c>
      <c r="H896" t="inlineStr">
        <is>
          <t>VARCHAR</t>
        </is>
      </c>
      <c r="I896" t="inlineStr">
        <is>
          <t>32</t>
        </is>
      </c>
    </row>
    <row r="897">
      <c r="A897" t="inlineStr">
        <is>
          <t>押品市场价格指数表</t>
        </is>
      </c>
      <c r="B897" t="inlineStr">
        <is>
          <t>CLR_PRICEINDEX</t>
        </is>
      </c>
      <c r="C897" t="inlineStr">
        <is>
          <t>INPUTDATE</t>
        </is>
      </c>
      <c r="D897" t="inlineStr">
        <is>
          <t>DATETIME</t>
        </is>
      </c>
      <c r="E897" t="inlineStr">
        <is>
          <t>YES</t>
        </is>
      </c>
      <c r="F897" t="inlineStr">
        <is>
          <t>录入日期</t>
        </is>
      </c>
      <c r="H897" t="inlineStr">
        <is>
          <t>DATETIME</t>
        </is>
      </c>
    </row>
    <row r="898">
      <c r="A898" t="inlineStr">
        <is>
          <t>押品市场价格指数表</t>
        </is>
      </c>
      <c r="B898" t="inlineStr">
        <is>
          <t>CLR_PRICEINDEX</t>
        </is>
      </c>
      <c r="C898" t="inlineStr">
        <is>
          <t>REMARK</t>
        </is>
      </c>
      <c r="D898" t="inlineStr">
        <is>
          <t>VARCHAR(500)</t>
        </is>
      </c>
      <c r="E898" t="inlineStr">
        <is>
          <t>YES</t>
        </is>
      </c>
      <c r="F898" t="inlineStr">
        <is>
          <t>备注</t>
        </is>
      </c>
      <c r="H898" t="inlineStr">
        <is>
          <t>VARCHAR</t>
        </is>
      </c>
      <c r="I898" t="inlineStr">
        <is>
          <t>500</t>
        </is>
      </c>
    </row>
    <row r="899">
      <c r="A899" t="inlineStr">
        <is>
          <t>房屋类押品样本表</t>
        </is>
      </c>
      <c r="B899" t="inlineStr">
        <is>
          <t>CLR_SAMPLE_HOUSEING</t>
        </is>
      </c>
      <c r="C899" t="inlineStr">
        <is>
          <t>SERIALNO</t>
        </is>
      </c>
      <c r="D899" t="inlineStr">
        <is>
          <t>VARCHAR(32)</t>
        </is>
      </c>
      <c r="E899" t="inlineStr">
        <is>
          <t>NO</t>
        </is>
      </c>
      <c r="F899" t="inlineStr">
        <is>
          <t>流水号</t>
        </is>
      </c>
      <c r="H899" t="inlineStr">
        <is>
          <t>VARCHAR</t>
        </is>
      </c>
      <c r="I899" t="inlineStr">
        <is>
          <t>32</t>
        </is>
      </c>
    </row>
    <row r="900">
      <c r="A900" t="inlineStr">
        <is>
          <t>房屋类押品样本表</t>
        </is>
      </c>
      <c r="B900" t="inlineStr">
        <is>
          <t>CLR_SAMPLE_HOUSEING</t>
        </is>
      </c>
      <c r="C900" t="inlineStr">
        <is>
          <t>EVALAPPLID</t>
        </is>
      </c>
      <c r="D900" t="inlineStr">
        <is>
          <t>VARCHAR(32)</t>
        </is>
      </c>
      <c r="E900" t="inlineStr">
        <is>
          <t>YES</t>
        </is>
      </c>
      <c r="F900" t="inlineStr">
        <is>
          <t>对应申请编号</t>
        </is>
      </c>
      <c r="H900" t="inlineStr">
        <is>
          <t>VARCHAR</t>
        </is>
      </c>
      <c r="I900" t="inlineStr">
        <is>
          <t>32</t>
        </is>
      </c>
    </row>
    <row r="901">
      <c r="A901" t="inlineStr">
        <is>
          <t>房屋类押品样本表</t>
        </is>
      </c>
      <c r="B901" t="inlineStr">
        <is>
          <t>CLR_SAMPLE_HOUSEING</t>
        </is>
      </c>
      <c r="C901" t="inlineStr">
        <is>
          <t>RESIDENCEID</t>
        </is>
      </c>
      <c r="D901" t="inlineStr">
        <is>
          <t>VARCHAR(32)</t>
        </is>
      </c>
      <c r="E901" t="inlineStr">
        <is>
          <t>YES</t>
        </is>
      </c>
      <c r="F901" t="inlineStr">
        <is>
          <t>小区ID</t>
        </is>
      </c>
      <c r="H901" t="inlineStr">
        <is>
          <t>VARCHAR</t>
        </is>
      </c>
      <c r="I901" t="inlineStr">
        <is>
          <t>32</t>
        </is>
      </c>
    </row>
    <row r="902">
      <c r="A902" t="inlineStr">
        <is>
          <t>房屋类押品样本表</t>
        </is>
      </c>
      <c r="B902" t="inlineStr">
        <is>
          <t>CLR_SAMPLE_HOUSEING</t>
        </is>
      </c>
      <c r="C902" t="inlineStr">
        <is>
          <t>CITY</t>
        </is>
      </c>
      <c r="D902" t="inlineStr">
        <is>
          <t>VARCHAR(18)</t>
        </is>
      </c>
      <c r="E902" t="inlineStr">
        <is>
          <t>YES</t>
        </is>
      </c>
      <c r="F902" t="inlineStr">
        <is>
          <t>城市</t>
        </is>
      </c>
      <c r="H902" t="inlineStr">
        <is>
          <t>VARCHAR</t>
        </is>
      </c>
      <c r="I902" t="inlineStr">
        <is>
          <t>18</t>
        </is>
      </c>
    </row>
    <row r="903">
      <c r="A903" t="inlineStr">
        <is>
          <t>房屋类押品样本表</t>
        </is>
      </c>
      <c r="B903" t="inlineStr">
        <is>
          <t>CLR_SAMPLE_HOUSEING</t>
        </is>
      </c>
      <c r="C903" t="inlineStr">
        <is>
          <t>REGION</t>
        </is>
      </c>
      <c r="D903" t="inlineStr">
        <is>
          <t>VARCHAR(80)</t>
        </is>
      </c>
      <c r="E903" t="inlineStr">
        <is>
          <t>YES</t>
        </is>
      </c>
      <c r="F903" t="inlineStr">
        <is>
          <t>区域</t>
        </is>
      </c>
      <c r="H903" t="inlineStr">
        <is>
          <t>VARCHAR</t>
        </is>
      </c>
      <c r="I903" t="inlineStr">
        <is>
          <t>80</t>
        </is>
      </c>
    </row>
    <row r="904">
      <c r="A904" t="inlineStr">
        <is>
          <t>房屋类押品样本表</t>
        </is>
      </c>
      <c r="B904" t="inlineStr">
        <is>
          <t>CLR_SAMPLE_HOUSEING</t>
        </is>
      </c>
      <c r="C904" t="inlineStr">
        <is>
          <t>NAME</t>
        </is>
      </c>
      <c r="D904" t="inlineStr">
        <is>
          <t>VARCHAR(80)</t>
        </is>
      </c>
      <c r="E904" t="inlineStr">
        <is>
          <t>YES</t>
        </is>
      </c>
      <c r="F904" t="inlineStr">
        <is>
          <t>小区名称</t>
        </is>
      </c>
      <c r="H904" t="inlineStr">
        <is>
          <t>VARCHAR</t>
        </is>
      </c>
      <c r="I904" t="inlineStr">
        <is>
          <t>80</t>
        </is>
      </c>
    </row>
    <row r="905">
      <c r="A905" t="inlineStr">
        <is>
          <t>房屋类押品样本表</t>
        </is>
      </c>
      <c r="B905" t="inlineStr">
        <is>
          <t>CLR_SAMPLE_HOUSEING</t>
        </is>
      </c>
      <c r="C905" t="inlineStr">
        <is>
          <t>ADDRESS</t>
        </is>
      </c>
      <c r="D905" t="inlineStr">
        <is>
          <t>VARCHAR(80)</t>
        </is>
      </c>
      <c r="E905" t="inlineStr">
        <is>
          <t>YES</t>
        </is>
      </c>
      <c r="F905" t="inlineStr">
        <is>
          <t>地址</t>
        </is>
      </c>
      <c r="H905" t="inlineStr">
        <is>
          <t>VARCHAR</t>
        </is>
      </c>
      <c r="I905" t="inlineStr">
        <is>
          <t>80</t>
        </is>
      </c>
    </row>
    <row r="906">
      <c r="A906" t="inlineStr">
        <is>
          <t>房屋类押品样本表</t>
        </is>
      </c>
      <c r="B906" t="inlineStr">
        <is>
          <t>CLR_SAMPLE_HOUSEING</t>
        </is>
      </c>
      <c r="C906" t="inlineStr">
        <is>
          <t>BUILDTYPE</t>
        </is>
      </c>
      <c r="D906" t="inlineStr">
        <is>
          <t>VARCHAR(6)</t>
        </is>
      </c>
      <c r="E906" t="inlineStr">
        <is>
          <t>YES</t>
        </is>
      </c>
      <c r="F906" t="inlineStr">
        <is>
          <t>建筑类型</t>
        </is>
      </c>
      <c r="H906" t="inlineStr">
        <is>
          <t>VARCHAR</t>
        </is>
      </c>
      <c r="I906" t="inlineStr">
        <is>
          <t>6</t>
        </is>
      </c>
    </row>
    <row r="907">
      <c r="A907" t="inlineStr">
        <is>
          <t>房屋类押品样本表</t>
        </is>
      </c>
      <c r="B907" t="inlineStr">
        <is>
          <t>CLR_SAMPLE_HOUSEING</t>
        </is>
      </c>
      <c r="C907" t="inlineStr">
        <is>
          <t>TOTALPRICE</t>
        </is>
      </c>
      <c r="D907" t="inlineStr">
        <is>
          <t>DECIMAL(24,6)</t>
        </is>
      </c>
      <c r="E907" t="inlineStr">
        <is>
          <t>YES</t>
        </is>
      </c>
      <c r="F907" t="inlineStr">
        <is>
          <t>房屋挂牌价格</t>
        </is>
      </c>
      <c r="H907" t="inlineStr">
        <is>
          <t>DECIMAL</t>
        </is>
      </c>
      <c r="I907" t="inlineStr">
        <is>
          <t>24,6</t>
        </is>
      </c>
    </row>
    <row r="908">
      <c r="A908" t="inlineStr">
        <is>
          <t>房屋类押品样本表</t>
        </is>
      </c>
      <c r="B908" t="inlineStr">
        <is>
          <t>CLR_SAMPLE_HOUSEING</t>
        </is>
      </c>
      <c r="C908" t="inlineStr">
        <is>
          <t>PUBLISHDATE</t>
        </is>
      </c>
      <c r="D908" t="inlineStr">
        <is>
          <t>VARCHAR(18)</t>
        </is>
      </c>
      <c r="E908" t="inlineStr">
        <is>
          <t>YES</t>
        </is>
      </c>
      <c r="F908" t="inlineStr">
        <is>
          <t>信息发布时间</t>
        </is>
      </c>
      <c r="H908" t="inlineStr">
        <is>
          <t>VARCHAR</t>
        </is>
      </c>
      <c r="I908" t="inlineStr">
        <is>
          <t>18</t>
        </is>
      </c>
    </row>
    <row r="909">
      <c r="A909" t="inlineStr">
        <is>
          <t>房屋类押品样本表</t>
        </is>
      </c>
      <c r="B909" t="inlineStr">
        <is>
          <t>CLR_SAMPLE_HOUSEING</t>
        </is>
      </c>
      <c r="C909" t="inlineStr">
        <is>
          <t>AREA</t>
        </is>
      </c>
      <c r="D909" t="inlineStr">
        <is>
          <t>DECIMAL(18,2)</t>
        </is>
      </c>
      <c r="E909" t="inlineStr">
        <is>
          <t>YES</t>
        </is>
      </c>
      <c r="F909" t="inlineStr">
        <is>
          <t>样本房屋面积</t>
        </is>
      </c>
      <c r="H909" t="inlineStr">
        <is>
          <t>DECIMAL</t>
        </is>
      </c>
      <c r="I909" t="inlineStr">
        <is>
          <t>18,2</t>
        </is>
      </c>
    </row>
    <row r="910">
      <c r="A910" t="inlineStr">
        <is>
          <t>房屋类押品样本表</t>
        </is>
      </c>
      <c r="B910" t="inlineStr">
        <is>
          <t>CLR_SAMPLE_HOUSEING</t>
        </is>
      </c>
      <c r="C910" t="inlineStr">
        <is>
          <t>ROOM</t>
        </is>
      </c>
      <c r="D910" t="inlineStr">
        <is>
          <t>INT</t>
        </is>
      </c>
      <c r="E910" t="inlineStr">
        <is>
          <t>YES</t>
        </is>
      </c>
      <c r="F910" t="inlineStr">
        <is>
          <t>室</t>
        </is>
      </c>
      <c r="H910" t="inlineStr">
        <is>
          <t>INT</t>
        </is>
      </c>
    </row>
    <row r="911">
      <c r="A911" t="inlineStr">
        <is>
          <t>房屋类押品样本表</t>
        </is>
      </c>
      <c r="B911" t="inlineStr">
        <is>
          <t>CLR_SAMPLE_HOUSEING</t>
        </is>
      </c>
      <c r="C911" t="inlineStr">
        <is>
          <t>HALL</t>
        </is>
      </c>
      <c r="D911" t="inlineStr">
        <is>
          <t>INT</t>
        </is>
      </c>
      <c r="E911" t="inlineStr">
        <is>
          <t>YES</t>
        </is>
      </c>
      <c r="F911" t="inlineStr">
        <is>
          <t>厅</t>
        </is>
      </c>
      <c r="H911" t="inlineStr">
        <is>
          <t>INT</t>
        </is>
      </c>
    </row>
    <row r="912">
      <c r="A912" t="inlineStr">
        <is>
          <t>房屋类押品样本表</t>
        </is>
      </c>
      <c r="B912" t="inlineStr">
        <is>
          <t>CLR_SAMPLE_HOUSEING</t>
        </is>
      </c>
      <c r="C912" t="inlineStr">
        <is>
          <t>TOILET</t>
        </is>
      </c>
      <c r="D912" t="inlineStr">
        <is>
          <t>INT</t>
        </is>
      </c>
      <c r="E912" t="inlineStr">
        <is>
          <t>YES</t>
        </is>
      </c>
      <c r="F912" t="inlineStr">
        <is>
          <t>卫</t>
        </is>
      </c>
      <c r="H912" t="inlineStr">
        <is>
          <t>INT</t>
        </is>
      </c>
    </row>
    <row r="913">
      <c r="A913" t="inlineStr">
        <is>
          <t>房屋类押品样本表</t>
        </is>
      </c>
      <c r="B913" t="inlineStr">
        <is>
          <t>CLR_SAMPLE_HOUSEING</t>
        </is>
      </c>
      <c r="C913" t="inlineStr">
        <is>
          <t>DIRECTION</t>
        </is>
      </c>
      <c r="D913" t="inlineStr">
        <is>
          <t>VARCHAR(6)</t>
        </is>
      </c>
      <c r="E913" t="inlineStr">
        <is>
          <t>YES</t>
        </is>
      </c>
      <c r="F913" t="inlineStr">
        <is>
          <t>房屋主要朝向</t>
        </is>
      </c>
      <c r="H913" t="inlineStr">
        <is>
          <t>VARCHAR</t>
        </is>
      </c>
      <c r="I913" t="inlineStr">
        <is>
          <t>6</t>
        </is>
      </c>
    </row>
    <row r="914">
      <c r="A914" t="inlineStr">
        <is>
          <t>房屋类押品样本表</t>
        </is>
      </c>
      <c r="B914" t="inlineStr">
        <is>
          <t>CLR_SAMPLE_HOUSEING</t>
        </is>
      </c>
      <c r="C914" t="inlineStr">
        <is>
          <t>FITMENT</t>
        </is>
      </c>
      <c r="D914" t="inlineStr">
        <is>
          <t>VARCHAR(6)</t>
        </is>
      </c>
      <c r="E914" t="inlineStr">
        <is>
          <t>YES</t>
        </is>
      </c>
      <c r="F914" t="inlineStr">
        <is>
          <t>房屋装修程度</t>
        </is>
      </c>
      <c r="H914" t="inlineStr">
        <is>
          <t>VARCHAR</t>
        </is>
      </c>
      <c r="I914" t="inlineStr">
        <is>
          <t>6</t>
        </is>
      </c>
    </row>
    <row r="915">
      <c r="A915" t="inlineStr">
        <is>
          <t>房屋类押品样本表</t>
        </is>
      </c>
      <c r="B915" t="inlineStr">
        <is>
          <t>CLR_SAMPLE_HOUSEING</t>
        </is>
      </c>
      <c r="C915" t="inlineStr">
        <is>
          <t>FLOOR</t>
        </is>
      </c>
      <c r="D915" t="inlineStr">
        <is>
          <t>INT</t>
        </is>
      </c>
      <c r="E915" t="inlineStr">
        <is>
          <t>YES</t>
        </is>
      </c>
      <c r="F915" t="inlineStr">
        <is>
          <t>房屋所在楼层</t>
        </is>
      </c>
      <c r="H915" t="inlineStr">
        <is>
          <t>INT</t>
        </is>
      </c>
    </row>
    <row r="916">
      <c r="A916" t="inlineStr">
        <is>
          <t>房屋类押品样本表</t>
        </is>
      </c>
      <c r="B916" t="inlineStr">
        <is>
          <t>CLR_SAMPLE_HOUSEING</t>
        </is>
      </c>
      <c r="C916" t="inlineStr">
        <is>
          <t>HEIGHT</t>
        </is>
      </c>
      <c r="D916" t="inlineStr">
        <is>
          <t>DECIMAL(18,2)</t>
        </is>
      </c>
      <c r="E916" t="inlineStr">
        <is>
          <t>YES</t>
        </is>
      </c>
      <c r="F916" t="inlineStr">
        <is>
          <t>房屋所在楼高</t>
        </is>
      </c>
      <c r="H916" t="inlineStr">
        <is>
          <t>DECIMAL</t>
        </is>
      </c>
      <c r="I916" t="inlineStr">
        <is>
          <t>18,2</t>
        </is>
      </c>
    </row>
    <row r="917">
      <c r="A917" t="inlineStr">
        <is>
          <t>房屋类押品样本表</t>
        </is>
      </c>
      <c r="B917" t="inlineStr">
        <is>
          <t>CLR_SAMPLE_HOUSEING</t>
        </is>
      </c>
      <c r="C917" t="inlineStr">
        <is>
          <t>SOURCE</t>
        </is>
      </c>
      <c r="D917" t="inlineStr">
        <is>
          <t>VARCHAR(32)</t>
        </is>
      </c>
      <c r="E917" t="inlineStr">
        <is>
          <t>YES</t>
        </is>
      </c>
      <c r="F917" t="inlineStr">
        <is>
          <t>来源</t>
        </is>
      </c>
      <c r="H917" t="inlineStr">
        <is>
          <t>VARCHAR</t>
        </is>
      </c>
      <c r="I917" t="inlineStr">
        <is>
          <t>32</t>
        </is>
      </c>
    </row>
    <row r="918">
      <c r="A918" t="inlineStr">
        <is>
          <t>房屋类押品样本表</t>
        </is>
      </c>
      <c r="B918" t="inlineStr">
        <is>
          <t>CLR_SAMPLE_HOUSEING</t>
        </is>
      </c>
      <c r="C918" t="inlineStr">
        <is>
          <t>UNITPRICE</t>
        </is>
      </c>
      <c r="D918" t="inlineStr">
        <is>
          <t>DECIMAL(24,6)</t>
        </is>
      </c>
      <c r="E918" t="inlineStr">
        <is>
          <t>YES</t>
        </is>
      </c>
      <c r="F918" t="inlineStr">
        <is>
          <t>房屋单价</t>
        </is>
      </c>
      <c r="H918" t="inlineStr">
        <is>
          <t>DECIMAL</t>
        </is>
      </c>
      <c r="I918" t="inlineStr">
        <is>
          <t>24,6</t>
        </is>
      </c>
    </row>
    <row r="919">
      <c r="A919" t="inlineStr">
        <is>
          <t>房屋类押品样本表</t>
        </is>
      </c>
      <c r="B919" t="inlineStr">
        <is>
          <t>CLR_SAMPLE_HOUSEING</t>
        </is>
      </c>
      <c r="C919" t="inlineStr">
        <is>
          <t>BLOCK</t>
        </is>
      </c>
      <c r="D919" t="inlineStr">
        <is>
          <t>VARCHAR(80)</t>
        </is>
      </c>
      <c r="E919" t="inlineStr">
        <is>
          <t>YES</t>
        </is>
      </c>
      <c r="F919" t="inlineStr">
        <is>
          <t>所属板块</t>
        </is>
      </c>
      <c r="H919" t="inlineStr">
        <is>
          <t>VARCHAR</t>
        </is>
      </c>
      <c r="I919" t="inlineStr">
        <is>
          <t>80</t>
        </is>
      </c>
    </row>
    <row r="920">
      <c r="A920" t="inlineStr">
        <is>
          <t>房屋类押品样本表</t>
        </is>
      </c>
      <c r="B920" t="inlineStr">
        <is>
          <t>CLR_SAMPLE_HOUSEING</t>
        </is>
      </c>
      <c r="C920" t="inlineStr">
        <is>
          <t>HOUSETYPE</t>
        </is>
      </c>
      <c r="D920" t="inlineStr">
        <is>
          <t>VARCHAR(80)</t>
        </is>
      </c>
      <c r="E920" t="inlineStr">
        <is>
          <t>YES</t>
        </is>
      </c>
      <c r="F920" t="inlineStr">
        <is>
          <t>房屋户型</t>
        </is>
      </c>
      <c r="H920" t="inlineStr">
        <is>
          <t>VARCHAR</t>
        </is>
      </c>
      <c r="I920" t="inlineStr">
        <is>
          <t>80</t>
        </is>
      </c>
    </row>
    <row r="921">
      <c r="A921" t="inlineStr">
        <is>
          <t>房屋类押品样本表</t>
        </is>
      </c>
      <c r="B921" t="inlineStr">
        <is>
          <t>CLR_SAMPLE_HOUSEING</t>
        </is>
      </c>
      <c r="C921" t="inlineStr">
        <is>
          <t>AVERAGEPRICE</t>
        </is>
      </c>
      <c r="D921" t="inlineStr">
        <is>
          <t>DECIMAL(24,6)</t>
        </is>
      </c>
      <c r="E921" t="inlineStr">
        <is>
          <t>YES</t>
        </is>
      </c>
      <c r="F921" t="inlineStr">
        <is>
          <t>房源均价</t>
        </is>
      </c>
      <c r="H921" t="inlineStr">
        <is>
          <t>DECIMAL</t>
        </is>
      </c>
      <c r="I921" t="inlineStr">
        <is>
          <t>24,6</t>
        </is>
      </c>
    </row>
    <row r="922">
      <c r="A922" t="inlineStr">
        <is>
          <t>房屋类押品样本表</t>
        </is>
      </c>
      <c r="B922" t="inlineStr">
        <is>
          <t>CLR_SAMPLE_HOUSEING</t>
        </is>
      </c>
      <c r="C922" t="inlineStr">
        <is>
          <t>USEYEAR</t>
        </is>
      </c>
      <c r="D922" t="inlineStr">
        <is>
          <t>INT</t>
        </is>
      </c>
      <c r="E922" t="inlineStr">
        <is>
          <t>YES</t>
        </is>
      </c>
      <c r="F922" t="inlineStr">
        <is>
          <t>剩余使用年限</t>
        </is>
      </c>
      <c r="H922" t="inlineStr">
        <is>
          <t>INT</t>
        </is>
      </c>
    </row>
    <row r="923">
      <c r="A923" t="inlineStr">
        <is>
          <t>房屋类押品样本表</t>
        </is>
      </c>
      <c r="B923" t="inlineStr">
        <is>
          <t>CLR_SAMPLE_HOUSEING</t>
        </is>
      </c>
      <c r="C923" t="inlineStr">
        <is>
          <t>MATCHMODEL</t>
        </is>
      </c>
      <c r="D923" t="inlineStr">
        <is>
          <t>VARCHAR(80)</t>
        </is>
      </c>
      <c r="E923" t="inlineStr">
        <is>
          <t>YES</t>
        </is>
      </c>
      <c r="F923" t="inlineStr">
        <is>
          <t>匹配类型</t>
        </is>
      </c>
      <c r="H923" t="inlineStr">
        <is>
          <t>VARCHAR</t>
        </is>
      </c>
      <c r="I923" t="inlineStr">
        <is>
          <t>80</t>
        </is>
      </c>
    </row>
    <row r="924">
      <c r="A924" t="inlineStr">
        <is>
          <t>房屋类押品样本表</t>
        </is>
      </c>
      <c r="B924" t="inlineStr">
        <is>
          <t>CLR_SAMPLE_HOUSEING</t>
        </is>
      </c>
      <c r="C924" t="inlineStr">
        <is>
          <t>ESTATETYPE</t>
        </is>
      </c>
      <c r="D924" t="inlineStr">
        <is>
          <t>VARCHAR(80)</t>
        </is>
      </c>
      <c r="E924" t="inlineStr">
        <is>
          <t>YES</t>
        </is>
      </c>
      <c r="F924" t="inlineStr">
        <is>
          <t>物业类型</t>
        </is>
      </c>
      <c r="H924" t="inlineStr">
        <is>
          <t>VARCHAR</t>
        </is>
      </c>
      <c r="I924" t="inlineStr">
        <is>
          <t>80</t>
        </is>
      </c>
    </row>
    <row r="925">
      <c r="A925" t="inlineStr">
        <is>
          <t>房屋类押品样本表</t>
        </is>
      </c>
      <c r="B925" t="inlineStr">
        <is>
          <t>CLR_SAMPLE_HOUSEING</t>
        </is>
      </c>
      <c r="C925" t="inlineStr">
        <is>
          <t>BUILDSTRUCTURE</t>
        </is>
      </c>
      <c r="D925" t="inlineStr">
        <is>
          <t>VARCHAR(80)</t>
        </is>
      </c>
      <c r="E925" t="inlineStr">
        <is>
          <t>YES</t>
        </is>
      </c>
      <c r="F925" t="inlineStr">
        <is>
          <t>建筑结构</t>
        </is>
      </c>
      <c r="H925" t="inlineStr">
        <is>
          <t>VARCHAR</t>
        </is>
      </c>
      <c r="I925" t="inlineStr">
        <is>
          <t>80</t>
        </is>
      </c>
    </row>
    <row r="926">
      <c r="A926" t="inlineStr">
        <is>
          <t>房屋类押品样本表</t>
        </is>
      </c>
      <c r="B926" t="inlineStr">
        <is>
          <t>CLR_SAMPLE_HOUSEING</t>
        </is>
      </c>
      <c r="C926" t="inlineStr">
        <is>
          <t>OPENDATE</t>
        </is>
      </c>
      <c r="D926" t="inlineStr">
        <is>
          <t>VARCHAR(18)</t>
        </is>
      </c>
      <c r="E926" t="inlineStr">
        <is>
          <t>YES</t>
        </is>
      </c>
      <c r="F926" t="inlineStr">
        <is>
          <t>开盘时间</t>
        </is>
      </c>
      <c r="H926" t="inlineStr">
        <is>
          <t>VARCHAR</t>
        </is>
      </c>
      <c r="I926" t="inlineStr">
        <is>
          <t>18</t>
        </is>
      </c>
    </row>
    <row r="927">
      <c r="A927" t="inlineStr">
        <is>
          <t>房屋类押品样本表</t>
        </is>
      </c>
      <c r="B927" t="inlineStr">
        <is>
          <t>CLR_SAMPLE_HOUSEING</t>
        </is>
      </c>
      <c r="C927" t="inlineStr">
        <is>
          <t>SCHOOLAMOUNT</t>
        </is>
      </c>
      <c r="D927" t="inlineStr">
        <is>
          <t>INT</t>
        </is>
      </c>
      <c r="E927" t="inlineStr">
        <is>
          <t>YES</t>
        </is>
      </c>
      <c r="F927" t="inlineStr">
        <is>
          <t>学校数量</t>
        </is>
      </c>
      <c r="H927" t="inlineStr">
        <is>
          <t>INT</t>
        </is>
      </c>
    </row>
    <row r="928">
      <c r="A928" t="inlineStr">
        <is>
          <t>房屋类押品样本表</t>
        </is>
      </c>
      <c r="B928" t="inlineStr">
        <is>
          <t>CLR_SAMPLE_HOUSEING</t>
        </is>
      </c>
      <c r="C928" t="inlineStr">
        <is>
          <t>METROSTATIONAMOUNT</t>
        </is>
      </c>
      <c r="D928" t="inlineStr">
        <is>
          <t>INT</t>
        </is>
      </c>
      <c r="E928" t="inlineStr">
        <is>
          <t>YES</t>
        </is>
      </c>
      <c r="F928" t="inlineStr">
        <is>
          <t>地铁站数量</t>
        </is>
      </c>
      <c r="H928" t="inlineStr">
        <is>
          <t>INT</t>
        </is>
      </c>
    </row>
    <row r="929">
      <c r="A929" t="inlineStr">
        <is>
          <t>房屋类押品样本表</t>
        </is>
      </c>
      <c r="B929" t="inlineStr">
        <is>
          <t>CLR_SAMPLE_HOUSEING</t>
        </is>
      </c>
      <c r="C929" t="inlineStr">
        <is>
          <t>BUSSTATIONAMOUNT</t>
        </is>
      </c>
      <c r="D929" t="inlineStr">
        <is>
          <t>INT</t>
        </is>
      </c>
      <c r="E929" t="inlineStr">
        <is>
          <t>YES</t>
        </is>
      </c>
      <c r="F929" t="inlineStr">
        <is>
          <t>公交站数量</t>
        </is>
      </c>
      <c r="H929" t="inlineStr">
        <is>
          <t>INT</t>
        </is>
      </c>
    </row>
    <row r="930">
      <c r="A930" t="inlineStr">
        <is>
          <t>房屋类押品样本表</t>
        </is>
      </c>
      <c r="B930" t="inlineStr">
        <is>
          <t>CLR_SAMPLE_HOUSEING</t>
        </is>
      </c>
      <c r="C930" t="inlineStr">
        <is>
          <t>COMMUNITYPRICE</t>
        </is>
      </c>
      <c r="D930" t="inlineStr">
        <is>
          <t>DECIMAL(24,6)</t>
        </is>
      </c>
      <c r="E930" t="inlineStr">
        <is>
          <t>YES</t>
        </is>
      </c>
      <c r="F930" t="inlineStr">
        <is>
          <t>小区均价</t>
        </is>
      </c>
      <c r="H930" t="inlineStr">
        <is>
          <t>DECIMAL</t>
        </is>
      </c>
      <c r="I930" t="inlineStr">
        <is>
          <t>24,6</t>
        </is>
      </c>
    </row>
    <row r="931">
      <c r="A931" t="inlineStr">
        <is>
          <t>房屋类押品样本表</t>
        </is>
      </c>
      <c r="B931" t="inlineStr">
        <is>
          <t>CLR_SAMPLE_HOUSEING</t>
        </is>
      </c>
      <c r="C931" t="inlineStr">
        <is>
          <t>BUILDDATE</t>
        </is>
      </c>
      <c r="D931" t="inlineStr">
        <is>
          <t>VARCHAR(18)</t>
        </is>
      </c>
      <c r="E931" t="inlineStr">
        <is>
          <t>YES</t>
        </is>
      </c>
      <c r="F931" t="inlineStr">
        <is>
          <t>建造年代</t>
        </is>
      </c>
      <c r="H931" t="inlineStr">
        <is>
          <t>VARCHAR</t>
        </is>
      </c>
      <c r="I931" t="inlineStr">
        <is>
          <t>18</t>
        </is>
      </c>
    </row>
    <row r="932">
      <c r="A932" t="inlineStr">
        <is>
          <t>房屋类押品样本表</t>
        </is>
      </c>
      <c r="B932" t="inlineStr">
        <is>
          <t>CLR_SAMPLE_HOUSEING</t>
        </is>
      </c>
      <c r="C932" t="inlineStr">
        <is>
          <t>GREENINGRATE</t>
        </is>
      </c>
      <c r="D932" t="inlineStr">
        <is>
          <t>DECIMAL(18,8)</t>
        </is>
      </c>
      <c r="E932" t="inlineStr">
        <is>
          <t>YES</t>
        </is>
      </c>
      <c r="F932" t="inlineStr">
        <is>
          <t>绿化率（百分比）</t>
        </is>
      </c>
      <c r="H932" t="inlineStr">
        <is>
          <t>DECIMAL</t>
        </is>
      </c>
      <c r="I932" t="inlineStr">
        <is>
          <t>18,8</t>
        </is>
      </c>
    </row>
    <row r="933">
      <c r="A933" t="inlineStr">
        <is>
          <t>房屋类押品样本表</t>
        </is>
      </c>
      <c r="B933" t="inlineStr">
        <is>
          <t>CLR_SAMPLE_HOUSEING</t>
        </is>
      </c>
      <c r="C933" t="inlineStr">
        <is>
          <t>PLOTRATIO</t>
        </is>
      </c>
      <c r="D933" t="inlineStr">
        <is>
          <t>DECIMAL(18,8)</t>
        </is>
      </c>
      <c r="E933" t="inlineStr">
        <is>
          <t>YES</t>
        </is>
      </c>
      <c r="F933" t="inlineStr">
        <is>
          <t>容积率(百分比)</t>
        </is>
      </c>
      <c r="H933" t="inlineStr">
        <is>
          <t>DECIMAL</t>
        </is>
      </c>
      <c r="I933" t="inlineStr">
        <is>
          <t>18,8</t>
        </is>
      </c>
    </row>
    <row r="934">
      <c r="A934" t="inlineStr">
        <is>
          <t>房屋类押品样本表</t>
        </is>
      </c>
      <c r="B934" t="inlineStr">
        <is>
          <t>CLR_SAMPLE_HOUSEING</t>
        </is>
      </c>
      <c r="C934" t="inlineStr">
        <is>
          <t>PROPERTYFEE</t>
        </is>
      </c>
      <c r="D934" t="inlineStr">
        <is>
          <t>DECIMAL(24,6)</t>
        </is>
      </c>
      <c r="E934" t="inlineStr">
        <is>
          <t>YES</t>
        </is>
      </c>
      <c r="F934" t="inlineStr">
        <is>
          <t>物业费</t>
        </is>
      </c>
      <c r="H934" t="inlineStr">
        <is>
          <t>DECIMAL</t>
        </is>
      </c>
      <c r="I934" t="inlineStr">
        <is>
          <t>24,6</t>
        </is>
      </c>
    </row>
    <row r="935">
      <c r="A935" t="inlineStr">
        <is>
          <t>房屋类押品样本表</t>
        </is>
      </c>
      <c r="B935" t="inlineStr">
        <is>
          <t>CLR_SAMPLE_HOUSEING</t>
        </is>
      </c>
      <c r="C935" t="inlineStr">
        <is>
          <t>INPUTORGID</t>
        </is>
      </c>
      <c r="D935" t="inlineStr">
        <is>
          <t>VARCHAR(32)</t>
        </is>
      </c>
      <c r="E935" t="inlineStr">
        <is>
          <t>YES</t>
        </is>
      </c>
      <c r="F935" t="inlineStr">
        <is>
          <t>登记机构</t>
        </is>
      </c>
      <c r="H935" t="inlineStr">
        <is>
          <t>VARCHAR</t>
        </is>
      </c>
      <c r="I935" t="inlineStr">
        <is>
          <t>32</t>
        </is>
      </c>
    </row>
    <row r="936">
      <c r="A936" t="inlineStr">
        <is>
          <t>房屋类押品样本表</t>
        </is>
      </c>
      <c r="B936" t="inlineStr">
        <is>
          <t>CLR_SAMPLE_HOUSEING</t>
        </is>
      </c>
      <c r="C936" t="inlineStr">
        <is>
          <t>INPUTUSERID</t>
        </is>
      </c>
      <c r="D936" t="inlineStr">
        <is>
          <t>VARCHAR(32)</t>
        </is>
      </c>
      <c r="E936" t="inlineStr">
        <is>
          <t>YES</t>
        </is>
      </c>
      <c r="F936" t="inlineStr">
        <is>
          <t>登记人</t>
        </is>
      </c>
      <c r="H936" t="inlineStr">
        <is>
          <t>VARCHAR</t>
        </is>
      </c>
      <c r="I936" t="inlineStr">
        <is>
          <t>32</t>
        </is>
      </c>
    </row>
    <row r="937">
      <c r="A937" t="inlineStr">
        <is>
          <t>房屋类押品样本表</t>
        </is>
      </c>
      <c r="B937" t="inlineStr">
        <is>
          <t>CLR_SAMPLE_HOUSEING</t>
        </is>
      </c>
      <c r="C937" t="inlineStr">
        <is>
          <t>INPUTDATE</t>
        </is>
      </c>
      <c r="D937" t="inlineStr">
        <is>
          <t>DATETIME</t>
        </is>
      </c>
      <c r="E937" t="inlineStr">
        <is>
          <t>YES</t>
        </is>
      </c>
      <c r="F937" t="inlineStr">
        <is>
          <t>登记日期</t>
        </is>
      </c>
      <c r="H937" t="inlineStr">
        <is>
          <t>DATETIME</t>
        </is>
      </c>
    </row>
    <row r="938">
      <c r="A938" t="inlineStr">
        <is>
          <t>房屋类押品样本表</t>
        </is>
      </c>
      <c r="B938" t="inlineStr">
        <is>
          <t>CLR_SAMPLE_HOUSEING</t>
        </is>
      </c>
      <c r="C938" t="inlineStr">
        <is>
          <t>UPDATEORGID</t>
        </is>
      </c>
      <c r="D938" t="inlineStr">
        <is>
          <t>VARCHAR(32)</t>
        </is>
      </c>
      <c r="E938" t="inlineStr">
        <is>
          <t>YES</t>
        </is>
      </c>
      <c r="F938" t="inlineStr">
        <is>
          <t>更新机构</t>
        </is>
      </c>
      <c r="H938" t="inlineStr">
        <is>
          <t>VARCHAR</t>
        </is>
      </c>
      <c r="I938" t="inlineStr">
        <is>
          <t>32</t>
        </is>
      </c>
    </row>
    <row r="939">
      <c r="A939" t="inlineStr">
        <is>
          <t>房屋类押品样本表</t>
        </is>
      </c>
      <c r="B939" t="inlineStr">
        <is>
          <t>CLR_SAMPLE_HOUSEING</t>
        </is>
      </c>
      <c r="C939" t="inlineStr">
        <is>
          <t>UPDATEUSERID</t>
        </is>
      </c>
      <c r="D939" t="inlineStr">
        <is>
          <t>VARCHAR(32)</t>
        </is>
      </c>
      <c r="E939" t="inlineStr">
        <is>
          <t>YES</t>
        </is>
      </c>
      <c r="F939" t="inlineStr">
        <is>
          <t>更新人</t>
        </is>
      </c>
      <c r="H939" t="inlineStr">
        <is>
          <t>VARCHAR</t>
        </is>
      </c>
      <c r="I939" t="inlineStr">
        <is>
          <t>32</t>
        </is>
      </c>
    </row>
    <row r="940">
      <c r="A940" t="inlineStr">
        <is>
          <t>房屋类押品样本表</t>
        </is>
      </c>
      <c r="B940" t="inlineStr">
        <is>
          <t>CLR_SAMPLE_HOUSEING</t>
        </is>
      </c>
      <c r="C940" t="inlineStr">
        <is>
          <t>UPDATEDATE</t>
        </is>
      </c>
      <c r="D940" t="inlineStr">
        <is>
          <t>DATETIME</t>
        </is>
      </c>
      <c r="E940" t="inlineStr">
        <is>
          <t>YES</t>
        </is>
      </c>
      <c r="F940" t="inlineStr">
        <is>
          <t>更新日期</t>
        </is>
      </c>
      <c r="H940" t="inlineStr">
        <is>
          <t>DATETIME</t>
        </is>
      </c>
    </row>
    <row r="941">
      <c r="A941" t="inlineStr">
        <is>
          <t>房屋类押品样本表</t>
        </is>
      </c>
      <c r="B941" t="inlineStr">
        <is>
          <t>CLR_SAMPLE_HOUSEING</t>
        </is>
      </c>
      <c r="C941" t="inlineStr">
        <is>
          <t>REMARK</t>
        </is>
      </c>
      <c r="D941" t="inlineStr">
        <is>
          <t>VARCHAR(1000)</t>
        </is>
      </c>
      <c r="E941" t="inlineStr">
        <is>
          <t>YES</t>
        </is>
      </c>
      <c r="F941" t="inlineStr">
        <is>
          <t>备注</t>
        </is>
      </c>
      <c r="H941" t="inlineStr">
        <is>
          <t>VARCHAR</t>
        </is>
      </c>
      <c r="I941" t="inlineStr">
        <is>
          <t>1000</t>
        </is>
      </c>
    </row>
    <row r="942">
      <c r="A942" t="inlineStr">
        <is>
          <t>房屋类押品样本表</t>
        </is>
      </c>
      <c r="B942" t="inlineStr">
        <is>
          <t>CLR_SAMPLE_HOUSEING</t>
        </is>
      </c>
      <c r="C942" t="inlineStr">
        <is>
          <t>CORPORGID</t>
        </is>
      </c>
      <c r="D942" t="inlineStr">
        <is>
          <t>VARCHAR(32)</t>
        </is>
      </c>
      <c r="E942" t="inlineStr">
        <is>
          <t>YES</t>
        </is>
      </c>
      <c r="F942" t="inlineStr">
        <is>
          <t>法人机构编号</t>
        </is>
      </c>
      <c r="H942" t="inlineStr">
        <is>
          <t>VARCHAR</t>
        </is>
      </c>
      <c r="I942" t="inlineStr">
        <is>
          <t>32</t>
        </is>
      </c>
    </row>
    <row r="943">
      <c r="A943" t="inlineStr">
        <is>
          <t>押品房产样本展示表</t>
        </is>
      </c>
      <c r="B943" t="inlineStr">
        <is>
          <t>CLR_SAMPLE_SELECTED</t>
        </is>
      </c>
      <c r="C943" t="inlineStr">
        <is>
          <t>SERIALNO</t>
        </is>
      </c>
      <c r="D943" t="inlineStr">
        <is>
          <t>VARCHAR(32)</t>
        </is>
      </c>
      <c r="E943" t="inlineStr">
        <is>
          <t>NO</t>
        </is>
      </c>
      <c r="F943" t="inlineStr">
        <is>
          <t>流水号</t>
        </is>
      </c>
      <c r="H943" t="inlineStr">
        <is>
          <t>VARCHAR</t>
        </is>
      </c>
      <c r="I943" t="inlineStr">
        <is>
          <t>32</t>
        </is>
      </c>
    </row>
    <row r="944">
      <c r="A944" t="inlineStr">
        <is>
          <t>押品房产样本展示表</t>
        </is>
      </c>
      <c r="B944" t="inlineStr">
        <is>
          <t>CLR_SAMPLE_SELECTED</t>
        </is>
      </c>
      <c r="C944" t="inlineStr">
        <is>
          <t>EVALAPPLID</t>
        </is>
      </c>
      <c r="D944" t="inlineStr">
        <is>
          <t>VARCHAR(32)</t>
        </is>
      </c>
      <c r="E944" t="inlineStr">
        <is>
          <t>YES</t>
        </is>
      </c>
      <c r="F944" t="inlineStr">
        <is>
          <t>对应申请编号</t>
        </is>
      </c>
      <c r="H944" t="inlineStr">
        <is>
          <t>VARCHAR</t>
        </is>
      </c>
      <c r="I944" t="inlineStr">
        <is>
          <t>32</t>
        </is>
      </c>
    </row>
    <row r="945">
      <c r="A945" t="inlineStr">
        <is>
          <t>押品房产样本展示表</t>
        </is>
      </c>
      <c r="B945" t="inlineStr">
        <is>
          <t>CLR_SAMPLE_SELECTED</t>
        </is>
      </c>
      <c r="C945" t="inlineStr">
        <is>
          <t>SORTNO</t>
        </is>
      </c>
      <c r="D945" t="inlineStr">
        <is>
          <t>VARCHAR(32)</t>
        </is>
      </c>
      <c r="E945" t="inlineStr">
        <is>
          <t>YES</t>
        </is>
      </c>
      <c r="F945" t="inlineStr">
        <is>
          <t>排序号</t>
        </is>
      </c>
      <c r="H945" t="inlineStr">
        <is>
          <t>VARCHAR</t>
        </is>
      </c>
      <c r="I945" t="inlineStr">
        <is>
          <t>32</t>
        </is>
      </c>
    </row>
    <row r="946">
      <c r="A946" t="inlineStr">
        <is>
          <t>押品房产样本展示表</t>
        </is>
      </c>
      <c r="B946" t="inlineStr">
        <is>
          <t>CLR_SAMPLE_SELECTED</t>
        </is>
      </c>
      <c r="C946" t="inlineStr">
        <is>
          <t>RESIDENCEID</t>
        </is>
      </c>
      <c r="D946" t="inlineStr">
        <is>
          <t>VARCHAR(32)</t>
        </is>
      </c>
      <c r="E946" t="inlineStr">
        <is>
          <t>YES</t>
        </is>
      </c>
      <c r="F946" t="inlineStr">
        <is>
          <t>小区ID</t>
        </is>
      </c>
      <c r="H946" t="inlineStr">
        <is>
          <t>VARCHAR</t>
        </is>
      </c>
      <c r="I946" t="inlineStr">
        <is>
          <t>32</t>
        </is>
      </c>
    </row>
    <row r="947">
      <c r="A947" t="inlineStr">
        <is>
          <t>押品房产样本展示表</t>
        </is>
      </c>
      <c r="B947" t="inlineStr">
        <is>
          <t>CLR_SAMPLE_SELECTED</t>
        </is>
      </c>
      <c r="C947" t="inlineStr">
        <is>
          <t>CITY</t>
        </is>
      </c>
      <c r="D947" t="inlineStr">
        <is>
          <t>VARCHAR(18)</t>
        </is>
      </c>
      <c r="E947" t="inlineStr">
        <is>
          <t>YES</t>
        </is>
      </c>
      <c r="F947" t="inlineStr">
        <is>
          <t>城市</t>
        </is>
      </c>
      <c r="H947" t="inlineStr">
        <is>
          <t>VARCHAR</t>
        </is>
      </c>
      <c r="I947" t="inlineStr">
        <is>
          <t>18</t>
        </is>
      </c>
    </row>
    <row r="948">
      <c r="A948" t="inlineStr">
        <is>
          <t>押品房产样本展示表</t>
        </is>
      </c>
      <c r="B948" t="inlineStr">
        <is>
          <t>CLR_SAMPLE_SELECTED</t>
        </is>
      </c>
      <c r="C948" t="inlineStr">
        <is>
          <t>REGION</t>
        </is>
      </c>
      <c r="D948" t="inlineStr">
        <is>
          <t>VARCHAR(18)</t>
        </is>
      </c>
      <c r="E948" t="inlineStr">
        <is>
          <t>YES</t>
        </is>
      </c>
      <c r="F948" t="inlineStr">
        <is>
          <t>区域</t>
        </is>
      </c>
      <c r="H948" t="inlineStr">
        <is>
          <t>VARCHAR</t>
        </is>
      </c>
      <c r="I948" t="inlineStr">
        <is>
          <t>18</t>
        </is>
      </c>
    </row>
    <row r="949">
      <c r="A949" t="inlineStr">
        <is>
          <t>押品房产样本展示表</t>
        </is>
      </c>
      <c r="B949" t="inlineStr">
        <is>
          <t>CLR_SAMPLE_SELECTED</t>
        </is>
      </c>
      <c r="C949" t="inlineStr">
        <is>
          <t>NAME</t>
        </is>
      </c>
      <c r="D949" t="inlineStr">
        <is>
          <t>VARCHAR(80)</t>
        </is>
      </c>
      <c r="E949" t="inlineStr">
        <is>
          <t>YES</t>
        </is>
      </c>
      <c r="F949" t="inlineStr">
        <is>
          <t>小区名称</t>
        </is>
      </c>
      <c r="H949" t="inlineStr">
        <is>
          <t>VARCHAR</t>
        </is>
      </c>
      <c r="I949" t="inlineStr">
        <is>
          <t>80</t>
        </is>
      </c>
    </row>
    <row r="950">
      <c r="A950" t="inlineStr">
        <is>
          <t>押品房产样本展示表</t>
        </is>
      </c>
      <c r="B950" t="inlineStr">
        <is>
          <t>CLR_SAMPLE_SELECTED</t>
        </is>
      </c>
      <c r="C950" t="inlineStr">
        <is>
          <t>ADDRESS</t>
        </is>
      </c>
      <c r="D950" t="inlineStr">
        <is>
          <t>VARCHAR(80)</t>
        </is>
      </c>
      <c r="E950" t="inlineStr">
        <is>
          <t>YES</t>
        </is>
      </c>
      <c r="F950" t="inlineStr">
        <is>
          <t>地址</t>
        </is>
      </c>
      <c r="H950" t="inlineStr">
        <is>
          <t>VARCHAR</t>
        </is>
      </c>
      <c r="I950" t="inlineStr">
        <is>
          <t>80</t>
        </is>
      </c>
    </row>
    <row r="951">
      <c r="A951" t="inlineStr">
        <is>
          <t>押品房产样本展示表</t>
        </is>
      </c>
      <c r="B951" t="inlineStr">
        <is>
          <t>CLR_SAMPLE_SELECTED</t>
        </is>
      </c>
      <c r="C951" t="inlineStr">
        <is>
          <t>BUILDTYPE</t>
        </is>
      </c>
      <c r="D951" t="inlineStr">
        <is>
          <t>VARCHAR(6)</t>
        </is>
      </c>
      <c r="E951" t="inlineStr">
        <is>
          <t>YES</t>
        </is>
      </c>
      <c r="F951" t="inlineStr">
        <is>
          <t>建筑类型</t>
        </is>
      </c>
      <c r="H951" t="inlineStr">
        <is>
          <t>VARCHAR</t>
        </is>
      </c>
      <c r="I951" t="inlineStr">
        <is>
          <t>6</t>
        </is>
      </c>
    </row>
    <row r="952">
      <c r="A952" t="inlineStr">
        <is>
          <t>押品房产样本展示表</t>
        </is>
      </c>
      <c r="B952" t="inlineStr">
        <is>
          <t>CLR_SAMPLE_SELECTED</t>
        </is>
      </c>
      <c r="C952" t="inlineStr">
        <is>
          <t>TOTALPRICE</t>
        </is>
      </c>
      <c r="D952" t="inlineStr">
        <is>
          <t>DECIMAL(24,6)</t>
        </is>
      </c>
      <c r="E952" t="inlineStr">
        <is>
          <t>YES</t>
        </is>
      </c>
      <c r="F952" t="inlineStr">
        <is>
          <t>房屋挂牌价格</t>
        </is>
      </c>
      <c r="H952" t="inlineStr">
        <is>
          <t>DECIMAL</t>
        </is>
      </c>
      <c r="I952" t="inlineStr">
        <is>
          <t>24,6</t>
        </is>
      </c>
    </row>
    <row r="953">
      <c r="A953" t="inlineStr">
        <is>
          <t>押品房产样本展示表</t>
        </is>
      </c>
      <c r="B953" t="inlineStr">
        <is>
          <t>CLR_SAMPLE_SELECTED</t>
        </is>
      </c>
      <c r="C953" t="inlineStr">
        <is>
          <t>PUBLISHDATE</t>
        </is>
      </c>
      <c r="D953" t="inlineStr">
        <is>
          <t>VARCHAR(18)</t>
        </is>
      </c>
      <c r="E953" t="inlineStr">
        <is>
          <t>YES</t>
        </is>
      </c>
      <c r="F953" t="inlineStr">
        <is>
          <t>信息发布时间</t>
        </is>
      </c>
      <c r="H953" t="inlineStr">
        <is>
          <t>VARCHAR</t>
        </is>
      </c>
      <c r="I953" t="inlineStr">
        <is>
          <t>18</t>
        </is>
      </c>
    </row>
    <row r="954">
      <c r="A954" t="inlineStr">
        <is>
          <t>押品房产样本展示表</t>
        </is>
      </c>
      <c r="B954" t="inlineStr">
        <is>
          <t>CLR_SAMPLE_SELECTED</t>
        </is>
      </c>
      <c r="C954" t="inlineStr">
        <is>
          <t>AREA</t>
        </is>
      </c>
      <c r="D954" t="inlineStr">
        <is>
          <t>DECIMAL(18,2)</t>
        </is>
      </c>
      <c r="E954" t="inlineStr">
        <is>
          <t>YES</t>
        </is>
      </c>
      <c r="F954" t="inlineStr">
        <is>
          <t>样本房屋面积</t>
        </is>
      </c>
      <c r="H954" t="inlineStr">
        <is>
          <t>DECIMAL</t>
        </is>
      </c>
      <c r="I954" t="inlineStr">
        <is>
          <t>18,2</t>
        </is>
      </c>
    </row>
    <row r="955">
      <c r="A955" t="inlineStr">
        <is>
          <t>押品房产样本展示表</t>
        </is>
      </c>
      <c r="B955" t="inlineStr">
        <is>
          <t>CLR_SAMPLE_SELECTED</t>
        </is>
      </c>
      <c r="C955" t="inlineStr">
        <is>
          <t>ROOM</t>
        </is>
      </c>
      <c r="D955" t="inlineStr">
        <is>
          <t>INT</t>
        </is>
      </c>
      <c r="E955" t="inlineStr">
        <is>
          <t>YES</t>
        </is>
      </c>
      <c r="F955" t="inlineStr">
        <is>
          <t>室</t>
        </is>
      </c>
      <c r="H955" t="inlineStr">
        <is>
          <t>INT</t>
        </is>
      </c>
    </row>
    <row r="956">
      <c r="A956" t="inlineStr">
        <is>
          <t>押品房产样本展示表</t>
        </is>
      </c>
      <c r="B956" t="inlineStr">
        <is>
          <t>CLR_SAMPLE_SELECTED</t>
        </is>
      </c>
      <c r="C956" t="inlineStr">
        <is>
          <t>HALL</t>
        </is>
      </c>
      <c r="D956" t="inlineStr">
        <is>
          <t>INT</t>
        </is>
      </c>
      <c r="E956" t="inlineStr">
        <is>
          <t>YES</t>
        </is>
      </c>
      <c r="F956" t="inlineStr">
        <is>
          <t>厅</t>
        </is>
      </c>
      <c r="H956" t="inlineStr">
        <is>
          <t>INT</t>
        </is>
      </c>
    </row>
    <row r="957">
      <c r="A957" t="inlineStr">
        <is>
          <t>押品房产样本展示表</t>
        </is>
      </c>
      <c r="B957" t="inlineStr">
        <is>
          <t>CLR_SAMPLE_SELECTED</t>
        </is>
      </c>
      <c r="C957" t="inlineStr">
        <is>
          <t>TOILET</t>
        </is>
      </c>
      <c r="D957" t="inlineStr">
        <is>
          <t>INT</t>
        </is>
      </c>
      <c r="E957" t="inlineStr">
        <is>
          <t>YES</t>
        </is>
      </c>
      <c r="F957" t="inlineStr">
        <is>
          <t>卫</t>
        </is>
      </c>
      <c r="H957" t="inlineStr">
        <is>
          <t>INT</t>
        </is>
      </c>
    </row>
    <row r="958">
      <c r="A958" t="inlineStr">
        <is>
          <t>押品房产样本展示表</t>
        </is>
      </c>
      <c r="B958" t="inlineStr">
        <is>
          <t>CLR_SAMPLE_SELECTED</t>
        </is>
      </c>
      <c r="C958" t="inlineStr">
        <is>
          <t>DIRECTION</t>
        </is>
      </c>
      <c r="D958" t="inlineStr">
        <is>
          <t>VARCHAR(6)</t>
        </is>
      </c>
      <c r="E958" t="inlineStr">
        <is>
          <t>YES</t>
        </is>
      </c>
      <c r="F958" t="inlineStr">
        <is>
          <t>房屋主要朝向</t>
        </is>
      </c>
      <c r="H958" t="inlineStr">
        <is>
          <t>VARCHAR</t>
        </is>
      </c>
      <c r="I958" t="inlineStr">
        <is>
          <t>6</t>
        </is>
      </c>
    </row>
    <row r="959">
      <c r="A959" t="inlineStr">
        <is>
          <t>押品房产样本展示表</t>
        </is>
      </c>
      <c r="B959" t="inlineStr">
        <is>
          <t>CLR_SAMPLE_SELECTED</t>
        </is>
      </c>
      <c r="C959" t="inlineStr">
        <is>
          <t>FITMENT</t>
        </is>
      </c>
      <c r="D959" t="inlineStr">
        <is>
          <t>VARCHAR(6)</t>
        </is>
      </c>
      <c r="E959" t="inlineStr">
        <is>
          <t>YES</t>
        </is>
      </c>
      <c r="F959" t="inlineStr">
        <is>
          <t>房屋装修程度</t>
        </is>
      </c>
      <c r="H959" t="inlineStr">
        <is>
          <t>VARCHAR</t>
        </is>
      </c>
      <c r="I959" t="inlineStr">
        <is>
          <t>6</t>
        </is>
      </c>
    </row>
    <row r="960">
      <c r="A960" t="inlineStr">
        <is>
          <t>押品房产样本展示表</t>
        </is>
      </c>
      <c r="B960" t="inlineStr">
        <is>
          <t>CLR_SAMPLE_SELECTED</t>
        </is>
      </c>
      <c r="C960" t="inlineStr">
        <is>
          <t>FLOOR</t>
        </is>
      </c>
      <c r="D960" t="inlineStr">
        <is>
          <t>INT</t>
        </is>
      </c>
      <c r="E960" t="inlineStr">
        <is>
          <t>YES</t>
        </is>
      </c>
      <c r="F960" t="inlineStr">
        <is>
          <t>房屋所在楼层</t>
        </is>
      </c>
      <c r="H960" t="inlineStr">
        <is>
          <t>INT</t>
        </is>
      </c>
    </row>
    <row r="961">
      <c r="A961" t="inlineStr">
        <is>
          <t>押品房产样本展示表</t>
        </is>
      </c>
      <c r="B961" t="inlineStr">
        <is>
          <t>CLR_SAMPLE_SELECTED</t>
        </is>
      </c>
      <c r="C961" t="inlineStr">
        <is>
          <t>HEIGHT</t>
        </is>
      </c>
      <c r="D961" t="inlineStr">
        <is>
          <t>DECIMAL(18,2)</t>
        </is>
      </c>
      <c r="E961" t="inlineStr">
        <is>
          <t>YES</t>
        </is>
      </c>
      <c r="F961" t="inlineStr">
        <is>
          <t>房屋所在楼高</t>
        </is>
      </c>
      <c r="H961" t="inlineStr">
        <is>
          <t>DECIMAL</t>
        </is>
      </c>
      <c r="I961" t="inlineStr">
        <is>
          <t>18,2</t>
        </is>
      </c>
    </row>
    <row r="962">
      <c r="A962" t="inlineStr">
        <is>
          <t>押品房产样本展示表</t>
        </is>
      </c>
      <c r="B962" t="inlineStr">
        <is>
          <t>CLR_SAMPLE_SELECTED</t>
        </is>
      </c>
      <c r="C962" t="inlineStr">
        <is>
          <t>SOURCE</t>
        </is>
      </c>
      <c r="D962" t="inlineStr">
        <is>
          <t>VARCHAR(32)</t>
        </is>
      </c>
      <c r="E962" t="inlineStr">
        <is>
          <t>YES</t>
        </is>
      </c>
      <c r="F962" t="inlineStr">
        <is>
          <t>来源</t>
        </is>
      </c>
      <c r="H962" t="inlineStr">
        <is>
          <t>VARCHAR</t>
        </is>
      </c>
      <c r="I962" t="inlineStr">
        <is>
          <t>32</t>
        </is>
      </c>
    </row>
    <row r="963">
      <c r="A963" t="inlineStr">
        <is>
          <t>押品房产样本展示表</t>
        </is>
      </c>
      <c r="B963" t="inlineStr">
        <is>
          <t>CLR_SAMPLE_SELECTED</t>
        </is>
      </c>
      <c r="C963" t="inlineStr">
        <is>
          <t>UNITPRICE</t>
        </is>
      </c>
      <c r="D963" t="inlineStr">
        <is>
          <t>DECIMAL(24,6)</t>
        </is>
      </c>
      <c r="E963" t="inlineStr">
        <is>
          <t>YES</t>
        </is>
      </c>
      <c r="F963" t="inlineStr">
        <is>
          <t>房屋单价</t>
        </is>
      </c>
      <c r="H963" t="inlineStr">
        <is>
          <t>DECIMAL</t>
        </is>
      </c>
      <c r="I963" t="inlineStr">
        <is>
          <t>24,6</t>
        </is>
      </c>
    </row>
    <row r="964">
      <c r="A964" t="inlineStr">
        <is>
          <t>押品房产样本展示表</t>
        </is>
      </c>
      <c r="B964" t="inlineStr">
        <is>
          <t>CLR_SAMPLE_SELECTED</t>
        </is>
      </c>
      <c r="C964" t="inlineStr">
        <is>
          <t>BLOCK</t>
        </is>
      </c>
      <c r="D964" t="inlineStr">
        <is>
          <t>VARCHAR(80)</t>
        </is>
      </c>
      <c r="E964" t="inlineStr">
        <is>
          <t>YES</t>
        </is>
      </c>
      <c r="F964" t="inlineStr">
        <is>
          <t>所属板块</t>
        </is>
      </c>
      <c r="H964" t="inlineStr">
        <is>
          <t>VARCHAR</t>
        </is>
      </c>
      <c r="I964" t="inlineStr">
        <is>
          <t>80</t>
        </is>
      </c>
    </row>
    <row r="965">
      <c r="A965" t="inlineStr">
        <is>
          <t>押品房产样本展示表</t>
        </is>
      </c>
      <c r="B965" t="inlineStr">
        <is>
          <t>CLR_SAMPLE_SELECTED</t>
        </is>
      </c>
      <c r="C965" t="inlineStr">
        <is>
          <t>HOUSETYPE</t>
        </is>
      </c>
      <c r="D965" t="inlineStr">
        <is>
          <t>VARCHAR(80)</t>
        </is>
      </c>
      <c r="E965" t="inlineStr">
        <is>
          <t>YES</t>
        </is>
      </c>
      <c r="F965" t="inlineStr">
        <is>
          <t>房屋户型</t>
        </is>
      </c>
      <c r="H965" t="inlineStr">
        <is>
          <t>VARCHAR</t>
        </is>
      </c>
      <c r="I965" t="inlineStr">
        <is>
          <t>80</t>
        </is>
      </c>
    </row>
    <row r="966">
      <c r="A966" t="inlineStr">
        <is>
          <t>押品房产样本展示表</t>
        </is>
      </c>
      <c r="B966" t="inlineStr">
        <is>
          <t>CLR_SAMPLE_SELECTED</t>
        </is>
      </c>
      <c r="C966" t="inlineStr">
        <is>
          <t>AVERAGEPRICE</t>
        </is>
      </c>
      <c r="D966" t="inlineStr">
        <is>
          <t>DECIMAL(24,6)</t>
        </is>
      </c>
      <c r="E966" t="inlineStr">
        <is>
          <t>YES</t>
        </is>
      </c>
      <c r="F966" t="inlineStr">
        <is>
          <t>房源均价</t>
        </is>
      </c>
      <c r="H966" t="inlineStr">
        <is>
          <t>DECIMAL</t>
        </is>
      </c>
      <c r="I966" t="inlineStr">
        <is>
          <t>24,6</t>
        </is>
      </c>
    </row>
    <row r="967">
      <c r="A967" t="inlineStr">
        <is>
          <t>押品房产样本展示表</t>
        </is>
      </c>
      <c r="B967" t="inlineStr">
        <is>
          <t>CLR_SAMPLE_SELECTED</t>
        </is>
      </c>
      <c r="C967" t="inlineStr">
        <is>
          <t>USEYEAR</t>
        </is>
      </c>
      <c r="D967" t="inlineStr">
        <is>
          <t>INT</t>
        </is>
      </c>
      <c r="E967" t="inlineStr">
        <is>
          <t>YES</t>
        </is>
      </c>
      <c r="F967" t="inlineStr">
        <is>
          <t>剩余使用年限</t>
        </is>
      </c>
      <c r="H967" t="inlineStr">
        <is>
          <t>INT</t>
        </is>
      </c>
    </row>
    <row r="968">
      <c r="A968" t="inlineStr">
        <is>
          <t>押品房产样本展示表</t>
        </is>
      </c>
      <c r="B968" t="inlineStr">
        <is>
          <t>CLR_SAMPLE_SELECTED</t>
        </is>
      </c>
      <c r="C968" t="inlineStr">
        <is>
          <t>MATCHMODEL</t>
        </is>
      </c>
      <c r="D968" t="inlineStr">
        <is>
          <t>VARCHAR(80)</t>
        </is>
      </c>
      <c r="E968" t="inlineStr">
        <is>
          <t>YES</t>
        </is>
      </c>
      <c r="F968" t="inlineStr">
        <is>
          <t>匹配类型</t>
        </is>
      </c>
      <c r="H968" t="inlineStr">
        <is>
          <t>VARCHAR</t>
        </is>
      </c>
      <c r="I968" t="inlineStr">
        <is>
          <t>80</t>
        </is>
      </c>
    </row>
    <row r="969">
      <c r="A969" t="inlineStr">
        <is>
          <t>押品房产样本展示表</t>
        </is>
      </c>
      <c r="B969" t="inlineStr">
        <is>
          <t>CLR_SAMPLE_SELECTED</t>
        </is>
      </c>
      <c r="C969" t="inlineStr">
        <is>
          <t>ESTATETYPE</t>
        </is>
      </c>
      <c r="D969" t="inlineStr">
        <is>
          <t>VARCHAR(80)</t>
        </is>
      </c>
      <c r="E969" t="inlineStr">
        <is>
          <t>YES</t>
        </is>
      </c>
      <c r="F969" t="inlineStr">
        <is>
          <t>物业类型</t>
        </is>
      </c>
      <c r="H969" t="inlineStr">
        <is>
          <t>VARCHAR</t>
        </is>
      </c>
      <c r="I969" t="inlineStr">
        <is>
          <t>80</t>
        </is>
      </c>
    </row>
    <row r="970">
      <c r="A970" t="inlineStr">
        <is>
          <t>押品房产样本展示表</t>
        </is>
      </c>
      <c r="B970" t="inlineStr">
        <is>
          <t>CLR_SAMPLE_SELECTED</t>
        </is>
      </c>
      <c r="C970" t="inlineStr">
        <is>
          <t>BUILDSTRUCTURE</t>
        </is>
      </c>
      <c r="D970" t="inlineStr">
        <is>
          <t>VARCHAR(80)</t>
        </is>
      </c>
      <c r="E970" t="inlineStr">
        <is>
          <t>YES</t>
        </is>
      </c>
      <c r="F970" t="inlineStr">
        <is>
          <t>建筑结构</t>
        </is>
      </c>
      <c r="H970" t="inlineStr">
        <is>
          <t>VARCHAR</t>
        </is>
      </c>
      <c r="I970" t="inlineStr">
        <is>
          <t>80</t>
        </is>
      </c>
    </row>
    <row r="971">
      <c r="A971" t="inlineStr">
        <is>
          <t>押品房产样本展示表</t>
        </is>
      </c>
      <c r="B971" t="inlineStr">
        <is>
          <t>CLR_SAMPLE_SELECTED</t>
        </is>
      </c>
      <c r="C971" t="inlineStr">
        <is>
          <t>OPENDATE</t>
        </is>
      </c>
      <c r="D971" t="inlineStr">
        <is>
          <t>VARCHAR(18)</t>
        </is>
      </c>
      <c r="E971" t="inlineStr">
        <is>
          <t>YES</t>
        </is>
      </c>
      <c r="F971" t="inlineStr">
        <is>
          <t>开盘时间</t>
        </is>
      </c>
      <c r="H971" t="inlineStr">
        <is>
          <t>VARCHAR</t>
        </is>
      </c>
      <c r="I971" t="inlineStr">
        <is>
          <t>18</t>
        </is>
      </c>
    </row>
    <row r="972">
      <c r="A972" t="inlineStr">
        <is>
          <t>押品房产样本展示表</t>
        </is>
      </c>
      <c r="B972" t="inlineStr">
        <is>
          <t>CLR_SAMPLE_SELECTED</t>
        </is>
      </c>
      <c r="C972" t="inlineStr">
        <is>
          <t>SCHOOLAMOUNT</t>
        </is>
      </c>
      <c r="D972" t="inlineStr">
        <is>
          <t>INT</t>
        </is>
      </c>
      <c r="E972" t="inlineStr">
        <is>
          <t>YES</t>
        </is>
      </c>
      <c r="F972" t="inlineStr">
        <is>
          <t>学校数量</t>
        </is>
      </c>
      <c r="H972" t="inlineStr">
        <is>
          <t>INT</t>
        </is>
      </c>
    </row>
    <row r="973">
      <c r="A973" t="inlineStr">
        <is>
          <t>押品房产样本展示表</t>
        </is>
      </c>
      <c r="B973" t="inlineStr">
        <is>
          <t>CLR_SAMPLE_SELECTED</t>
        </is>
      </c>
      <c r="C973" t="inlineStr">
        <is>
          <t>METROSTATIONAMOUNT</t>
        </is>
      </c>
      <c r="D973" t="inlineStr">
        <is>
          <t>INT</t>
        </is>
      </c>
      <c r="E973" t="inlineStr">
        <is>
          <t>YES</t>
        </is>
      </c>
      <c r="F973" t="inlineStr">
        <is>
          <t>地铁站数量</t>
        </is>
      </c>
      <c r="H973" t="inlineStr">
        <is>
          <t>INT</t>
        </is>
      </c>
    </row>
    <row r="974">
      <c r="A974" t="inlineStr">
        <is>
          <t>押品房产样本展示表</t>
        </is>
      </c>
      <c r="B974" t="inlineStr">
        <is>
          <t>CLR_SAMPLE_SELECTED</t>
        </is>
      </c>
      <c r="C974" t="inlineStr">
        <is>
          <t>BUSSTATIONAMOUNT</t>
        </is>
      </c>
      <c r="D974" t="inlineStr">
        <is>
          <t>INT</t>
        </is>
      </c>
      <c r="E974" t="inlineStr">
        <is>
          <t>YES</t>
        </is>
      </c>
      <c r="F974" t="inlineStr">
        <is>
          <t>公交站数量</t>
        </is>
      </c>
      <c r="H974" t="inlineStr">
        <is>
          <t>INT</t>
        </is>
      </c>
    </row>
    <row r="975">
      <c r="A975" t="inlineStr">
        <is>
          <t>押品房产样本展示表</t>
        </is>
      </c>
      <c r="B975" t="inlineStr">
        <is>
          <t>CLR_SAMPLE_SELECTED</t>
        </is>
      </c>
      <c r="C975" t="inlineStr">
        <is>
          <t>COMMUNITYPRICE</t>
        </is>
      </c>
      <c r="D975" t="inlineStr">
        <is>
          <t>DECIMAL(24,6)</t>
        </is>
      </c>
      <c r="E975" t="inlineStr">
        <is>
          <t>YES</t>
        </is>
      </c>
      <c r="F975" t="inlineStr">
        <is>
          <t>小区均价</t>
        </is>
      </c>
      <c r="H975" t="inlineStr">
        <is>
          <t>DECIMAL</t>
        </is>
      </c>
      <c r="I975" t="inlineStr">
        <is>
          <t>24,6</t>
        </is>
      </c>
    </row>
    <row r="976">
      <c r="A976" t="inlineStr">
        <is>
          <t>押品房产样本展示表</t>
        </is>
      </c>
      <c r="B976" t="inlineStr">
        <is>
          <t>CLR_SAMPLE_SELECTED</t>
        </is>
      </c>
      <c r="C976" t="inlineStr">
        <is>
          <t>BUILDDATE</t>
        </is>
      </c>
      <c r="D976" t="inlineStr">
        <is>
          <t>VARCHAR(18)</t>
        </is>
      </c>
      <c r="E976" t="inlineStr">
        <is>
          <t>YES</t>
        </is>
      </c>
      <c r="F976" t="inlineStr">
        <is>
          <t>建造年代</t>
        </is>
      </c>
      <c r="H976" t="inlineStr">
        <is>
          <t>VARCHAR</t>
        </is>
      </c>
      <c r="I976" t="inlineStr">
        <is>
          <t>18</t>
        </is>
      </c>
    </row>
    <row r="977">
      <c r="A977" t="inlineStr">
        <is>
          <t>押品房产样本展示表</t>
        </is>
      </c>
      <c r="B977" t="inlineStr">
        <is>
          <t>CLR_SAMPLE_SELECTED</t>
        </is>
      </c>
      <c r="C977" t="inlineStr">
        <is>
          <t>GREENINGRATE</t>
        </is>
      </c>
      <c r="D977" t="inlineStr">
        <is>
          <t>DECIMAL(18,8)</t>
        </is>
      </c>
      <c r="E977" t="inlineStr">
        <is>
          <t>YES</t>
        </is>
      </c>
      <c r="F977" t="inlineStr">
        <is>
          <t>绿化率（百分比）</t>
        </is>
      </c>
      <c r="H977" t="inlineStr">
        <is>
          <t>DECIMAL</t>
        </is>
      </c>
      <c r="I977" t="inlineStr">
        <is>
          <t>18,8</t>
        </is>
      </c>
    </row>
    <row r="978">
      <c r="A978" t="inlineStr">
        <is>
          <t>押品房产样本展示表</t>
        </is>
      </c>
      <c r="B978" t="inlineStr">
        <is>
          <t>CLR_SAMPLE_SELECTED</t>
        </is>
      </c>
      <c r="C978" t="inlineStr">
        <is>
          <t>PLOTRATIO</t>
        </is>
      </c>
      <c r="D978" t="inlineStr">
        <is>
          <t>DECIMAL(18,8)</t>
        </is>
      </c>
      <c r="E978" t="inlineStr">
        <is>
          <t>YES</t>
        </is>
      </c>
      <c r="F978" t="inlineStr">
        <is>
          <t>容积率(百分比)</t>
        </is>
      </c>
      <c r="H978" t="inlineStr">
        <is>
          <t>DECIMAL</t>
        </is>
      </c>
      <c r="I978" t="inlineStr">
        <is>
          <t>18,8</t>
        </is>
      </c>
    </row>
    <row r="979">
      <c r="A979" t="inlineStr">
        <is>
          <t>押品房产样本展示表</t>
        </is>
      </c>
      <c r="B979" t="inlineStr">
        <is>
          <t>CLR_SAMPLE_SELECTED</t>
        </is>
      </c>
      <c r="C979" t="inlineStr">
        <is>
          <t>PROPERTYFEE</t>
        </is>
      </c>
      <c r="D979" t="inlineStr">
        <is>
          <t>DECIMAL(24,6)</t>
        </is>
      </c>
      <c r="E979" t="inlineStr">
        <is>
          <t>YES</t>
        </is>
      </c>
      <c r="F979" t="inlineStr">
        <is>
          <t>物业费</t>
        </is>
      </c>
      <c r="H979" t="inlineStr">
        <is>
          <t>DECIMAL</t>
        </is>
      </c>
      <c r="I979" t="inlineStr">
        <is>
          <t>24,6</t>
        </is>
      </c>
    </row>
    <row r="980">
      <c r="A980" t="inlineStr">
        <is>
          <t>押品房产样本展示表</t>
        </is>
      </c>
      <c r="B980" t="inlineStr">
        <is>
          <t>CLR_SAMPLE_SELECTED</t>
        </is>
      </c>
      <c r="C980" t="inlineStr">
        <is>
          <t>INPUTORGID</t>
        </is>
      </c>
      <c r="D980" t="inlineStr">
        <is>
          <t>VARCHAR(32)</t>
        </is>
      </c>
      <c r="E980" t="inlineStr">
        <is>
          <t>YES</t>
        </is>
      </c>
      <c r="F980" t="inlineStr">
        <is>
          <t>登记机构</t>
        </is>
      </c>
      <c r="H980" t="inlineStr">
        <is>
          <t>VARCHAR</t>
        </is>
      </c>
      <c r="I980" t="inlineStr">
        <is>
          <t>32</t>
        </is>
      </c>
    </row>
    <row r="981">
      <c r="A981" t="inlineStr">
        <is>
          <t>押品房产样本展示表</t>
        </is>
      </c>
      <c r="B981" t="inlineStr">
        <is>
          <t>CLR_SAMPLE_SELECTED</t>
        </is>
      </c>
      <c r="C981" t="inlineStr">
        <is>
          <t>INPUTUSERID</t>
        </is>
      </c>
      <c r="D981" t="inlineStr">
        <is>
          <t>VARCHAR(32)</t>
        </is>
      </c>
      <c r="E981" t="inlineStr">
        <is>
          <t>YES</t>
        </is>
      </c>
      <c r="F981" t="inlineStr">
        <is>
          <t>登记人</t>
        </is>
      </c>
      <c r="H981" t="inlineStr">
        <is>
          <t>VARCHAR</t>
        </is>
      </c>
      <c r="I981" t="inlineStr">
        <is>
          <t>32</t>
        </is>
      </c>
    </row>
    <row r="982">
      <c r="A982" t="inlineStr">
        <is>
          <t>押品房产样本展示表</t>
        </is>
      </c>
      <c r="B982" t="inlineStr">
        <is>
          <t>CLR_SAMPLE_SELECTED</t>
        </is>
      </c>
      <c r="C982" t="inlineStr">
        <is>
          <t>INPUTDATE</t>
        </is>
      </c>
      <c r="D982" t="inlineStr">
        <is>
          <t>DATETIME</t>
        </is>
      </c>
      <c r="E982" t="inlineStr">
        <is>
          <t>YES</t>
        </is>
      </c>
      <c r="F982" t="inlineStr">
        <is>
          <t>登记日期</t>
        </is>
      </c>
      <c r="H982" t="inlineStr">
        <is>
          <t>DATETIME</t>
        </is>
      </c>
    </row>
    <row r="983">
      <c r="A983" t="inlineStr">
        <is>
          <t>押品房产样本展示表</t>
        </is>
      </c>
      <c r="B983" t="inlineStr">
        <is>
          <t>CLR_SAMPLE_SELECTED</t>
        </is>
      </c>
      <c r="C983" t="inlineStr">
        <is>
          <t>UPDATEORGID</t>
        </is>
      </c>
      <c r="D983" t="inlineStr">
        <is>
          <t>VARCHAR(32)</t>
        </is>
      </c>
      <c r="E983" t="inlineStr">
        <is>
          <t>YES</t>
        </is>
      </c>
      <c r="F983" t="inlineStr">
        <is>
          <t>更新机构</t>
        </is>
      </c>
      <c r="H983" t="inlineStr">
        <is>
          <t>VARCHAR</t>
        </is>
      </c>
      <c r="I983" t="inlineStr">
        <is>
          <t>32</t>
        </is>
      </c>
    </row>
    <row r="984">
      <c r="A984" t="inlineStr">
        <is>
          <t>押品房产样本展示表</t>
        </is>
      </c>
      <c r="B984" t="inlineStr">
        <is>
          <t>CLR_SAMPLE_SELECTED</t>
        </is>
      </c>
      <c r="C984" t="inlineStr">
        <is>
          <t>UPDATEUSERID</t>
        </is>
      </c>
      <c r="D984" t="inlineStr">
        <is>
          <t>VARCHAR(32)</t>
        </is>
      </c>
      <c r="E984" t="inlineStr">
        <is>
          <t>YES</t>
        </is>
      </c>
      <c r="F984" t="inlineStr">
        <is>
          <t>更新人</t>
        </is>
      </c>
      <c r="H984" t="inlineStr">
        <is>
          <t>VARCHAR</t>
        </is>
      </c>
      <c r="I984" t="inlineStr">
        <is>
          <t>32</t>
        </is>
      </c>
    </row>
    <row r="985">
      <c r="A985" t="inlineStr">
        <is>
          <t>押品房产样本展示表</t>
        </is>
      </c>
      <c r="B985" t="inlineStr">
        <is>
          <t>CLR_SAMPLE_SELECTED</t>
        </is>
      </c>
      <c r="C985" t="inlineStr">
        <is>
          <t>UPDATEDATE</t>
        </is>
      </c>
      <c r="D985" t="inlineStr">
        <is>
          <t>DATETIME</t>
        </is>
      </c>
      <c r="E985" t="inlineStr">
        <is>
          <t>YES</t>
        </is>
      </c>
      <c r="F985" t="inlineStr">
        <is>
          <t>更新日期</t>
        </is>
      </c>
      <c r="H985" t="inlineStr">
        <is>
          <t>DATETIME</t>
        </is>
      </c>
    </row>
    <row r="986">
      <c r="A986" t="inlineStr">
        <is>
          <t>押品房产样本展示表</t>
        </is>
      </c>
      <c r="B986" t="inlineStr">
        <is>
          <t>CLR_SAMPLE_SELECTED</t>
        </is>
      </c>
      <c r="C986" t="inlineStr">
        <is>
          <t>REMARK</t>
        </is>
      </c>
      <c r="D986" t="inlineStr">
        <is>
          <t>VARCHAR(1000)</t>
        </is>
      </c>
      <c r="E986" t="inlineStr">
        <is>
          <t>YES</t>
        </is>
      </c>
      <c r="F986" t="inlineStr">
        <is>
          <t>备注</t>
        </is>
      </c>
      <c r="H986" t="inlineStr">
        <is>
          <t>VARCHAR</t>
        </is>
      </c>
      <c r="I986" t="inlineStr">
        <is>
          <t>1000</t>
        </is>
      </c>
    </row>
    <row r="987">
      <c r="A987" t="inlineStr">
        <is>
          <t>押品房产样本展示表</t>
        </is>
      </c>
      <c r="B987" t="inlineStr">
        <is>
          <t>CLR_SAMPLE_SELECTED</t>
        </is>
      </c>
      <c r="C987" t="inlineStr">
        <is>
          <t>CORPORGID</t>
        </is>
      </c>
      <c r="D987" t="inlineStr">
        <is>
          <t>VARCHAR(32)</t>
        </is>
      </c>
      <c r="E987" t="inlineStr">
        <is>
          <t>YES</t>
        </is>
      </c>
      <c r="F987" t="inlineStr">
        <is>
          <t>法人机构编号</t>
        </is>
      </c>
      <c r="H987" t="inlineStr">
        <is>
          <t>VARCHAR</t>
        </is>
      </c>
      <c r="I987" t="inlineStr">
        <is>
          <t>32</t>
        </is>
      </c>
    </row>
    <row r="988">
      <c r="A988" t="inlineStr">
        <is>
          <t>线上评估结果</t>
        </is>
      </c>
      <c r="B988" t="inlineStr">
        <is>
          <t>CLR_ONLINE_RESULT</t>
        </is>
      </c>
      <c r="C988" t="inlineStr">
        <is>
          <t>SERIALNO</t>
        </is>
      </c>
      <c r="D988" t="inlineStr">
        <is>
          <t>VARCHAR（40）</t>
        </is>
      </c>
      <c r="E988" t="inlineStr">
        <is>
          <t>YES</t>
        </is>
      </c>
      <c r="F988" t="inlineStr">
        <is>
          <t>线上评估流水号</t>
        </is>
      </c>
      <c r="H988" t="inlineStr">
        <is>
          <t>VARCHAR</t>
        </is>
      </c>
      <c r="I988" t="inlineStr">
        <is>
          <t>40</t>
        </is>
      </c>
    </row>
    <row r="989">
      <c r="A989" t="inlineStr">
        <is>
          <t>线上评估结果</t>
        </is>
      </c>
      <c r="B989" t="inlineStr">
        <is>
          <t>CLR_ONLINE_RESULT</t>
        </is>
      </c>
      <c r="C989" t="inlineStr">
        <is>
          <t>CLRID</t>
        </is>
      </c>
      <c r="D989" t="inlineStr">
        <is>
          <t>VARCHAR（40）</t>
        </is>
      </c>
      <c r="E989" t="inlineStr">
        <is>
          <t>YES</t>
        </is>
      </c>
      <c r="F989" t="inlineStr">
        <is>
          <t>押品编号</t>
        </is>
      </c>
      <c r="H989" t="inlineStr">
        <is>
          <t>VARCHAR</t>
        </is>
      </c>
      <c r="I989" t="inlineStr">
        <is>
          <t>40</t>
        </is>
      </c>
    </row>
    <row r="990">
      <c r="A990" t="inlineStr">
        <is>
          <t>线上评估结果</t>
        </is>
      </c>
      <c r="B990" t="inlineStr">
        <is>
          <t>CLR_ONLINE_RESULT</t>
        </is>
      </c>
      <c r="C990" t="inlineStr">
        <is>
          <t>APPLID</t>
        </is>
      </c>
      <c r="D990" t="inlineStr">
        <is>
          <t>VARCHAR（40）</t>
        </is>
      </c>
      <c r="E990" t="inlineStr">
        <is>
          <t>YES</t>
        </is>
      </c>
      <c r="F990" t="inlineStr">
        <is>
          <t>评估申请编号</t>
        </is>
      </c>
      <c r="H990" t="inlineStr">
        <is>
          <t>VARCHAR</t>
        </is>
      </c>
      <c r="I990" t="inlineStr">
        <is>
          <t>40</t>
        </is>
      </c>
    </row>
    <row r="991">
      <c r="A991" t="inlineStr">
        <is>
          <t>线上评估结果</t>
        </is>
      </c>
      <c r="B991" t="inlineStr">
        <is>
          <t>CLR_ONLINE_RESULT</t>
        </is>
      </c>
      <c r="C991" t="inlineStr">
        <is>
          <t>APPLTYPE</t>
        </is>
      </c>
      <c r="D991" t="inlineStr">
        <is>
          <t>VARCHAR（8）</t>
        </is>
      </c>
      <c r="E991" t="inlineStr">
        <is>
          <t>YES</t>
        </is>
      </c>
      <c r="F991" t="inlineStr">
        <is>
          <t>发起类型</t>
        </is>
      </c>
      <c r="H991" t="inlineStr">
        <is>
          <t>VARCHAR</t>
        </is>
      </c>
      <c r="I991" t="inlineStr">
        <is>
          <t>8</t>
        </is>
      </c>
    </row>
    <row r="992">
      <c r="A992" t="inlineStr">
        <is>
          <t>线上评估结果</t>
        </is>
      </c>
      <c r="B992" t="inlineStr">
        <is>
          <t>CLR_ONLINE_RESULT</t>
        </is>
      </c>
      <c r="C992" t="inlineStr">
        <is>
          <t>UNITPRICE</t>
        </is>
      </c>
      <c r="D992" t="inlineStr">
        <is>
          <t>DECIMAL（24,6）</t>
        </is>
      </c>
      <c r="E992" t="inlineStr">
        <is>
          <t>YES</t>
        </is>
      </c>
      <c r="F992" t="inlineStr">
        <is>
          <t>评估单价</t>
        </is>
      </c>
      <c r="H992" t="inlineStr">
        <is>
          <t>DECIMAL</t>
        </is>
      </c>
      <c r="I992" t="inlineStr">
        <is>
          <t>24,6</t>
        </is>
      </c>
    </row>
    <row r="993">
      <c r="A993" t="inlineStr">
        <is>
          <t>线上评估结果</t>
        </is>
      </c>
      <c r="B993" t="inlineStr">
        <is>
          <t>CLR_ONLINE_RESULT</t>
        </is>
      </c>
      <c r="C993" t="inlineStr">
        <is>
          <t>TOTALPRICE</t>
        </is>
      </c>
      <c r="D993" t="inlineStr">
        <is>
          <t>DECIMAL（24,6）</t>
        </is>
      </c>
      <c r="E993" t="inlineStr">
        <is>
          <t>YES</t>
        </is>
      </c>
      <c r="F993" t="inlineStr">
        <is>
          <t>评估总价</t>
        </is>
      </c>
      <c r="H993" t="inlineStr">
        <is>
          <t>DECIMAL</t>
        </is>
      </c>
      <c r="I993" t="inlineStr">
        <is>
          <t>24,6</t>
        </is>
      </c>
    </row>
    <row r="994">
      <c r="A994" t="inlineStr">
        <is>
          <t>线上评估结果</t>
        </is>
      </c>
      <c r="B994" t="inlineStr">
        <is>
          <t>CLR_ONLINE_RESULT</t>
        </is>
      </c>
      <c r="C994" t="inlineStr">
        <is>
          <t>EVALDATE</t>
        </is>
      </c>
      <c r="D994" t="inlineStr">
        <is>
          <t>DATETIME</t>
        </is>
      </c>
      <c r="E994" t="inlineStr">
        <is>
          <t>YES</t>
        </is>
      </c>
      <c r="F994" t="inlineStr">
        <is>
          <t>价格时点</t>
        </is>
      </c>
      <c r="H994" t="inlineStr">
        <is>
          <t>DATETIME</t>
        </is>
      </c>
    </row>
    <row r="995">
      <c r="A995" t="inlineStr">
        <is>
          <t>线上评估结果</t>
        </is>
      </c>
      <c r="B995" t="inlineStr">
        <is>
          <t>CLR_ONLINE_RESULT</t>
        </is>
      </c>
      <c r="C995" t="inlineStr">
        <is>
          <t>APPRAISALORGNAME</t>
        </is>
      </c>
      <c r="D995" t="inlineStr">
        <is>
          <t>VARCHAR（40）</t>
        </is>
      </c>
      <c r="E995" t="inlineStr">
        <is>
          <t>YES</t>
        </is>
      </c>
      <c r="F995" t="inlineStr">
        <is>
          <t>评估机构名称</t>
        </is>
      </c>
      <c r="H995" t="inlineStr">
        <is>
          <t>VARCHAR</t>
        </is>
      </c>
      <c r="I995" t="inlineStr">
        <is>
          <t>40</t>
        </is>
      </c>
    </row>
    <row r="996">
      <c r="A996" t="inlineStr">
        <is>
          <t>线上评估结果</t>
        </is>
      </c>
      <c r="B996" t="inlineStr">
        <is>
          <t>CLR_ONLINE_RESULT</t>
        </is>
      </c>
      <c r="C996" t="inlineStr">
        <is>
          <t>APPRAISALORGID</t>
        </is>
      </c>
      <c r="D996" t="inlineStr">
        <is>
          <t>VARCHAR（40）</t>
        </is>
      </c>
      <c r="E996" t="inlineStr">
        <is>
          <t>YES</t>
        </is>
      </c>
      <c r="F996" t="inlineStr">
        <is>
          <t>评估机构编号</t>
        </is>
      </c>
      <c r="H996" t="inlineStr">
        <is>
          <t>VARCHAR</t>
        </is>
      </c>
      <c r="I996" t="inlineStr">
        <is>
          <t>40</t>
        </is>
      </c>
    </row>
    <row r="997">
      <c r="A997" t="inlineStr">
        <is>
          <t>线上评估结果</t>
        </is>
      </c>
      <c r="B997" t="inlineStr">
        <is>
          <t>CLR_ONLINE_RESULT</t>
        </is>
      </c>
      <c r="C997" t="inlineStr">
        <is>
          <t>EVALMETHOD</t>
        </is>
      </c>
      <c r="D997" t="inlineStr">
        <is>
          <t>VARCHAR（40）</t>
        </is>
      </c>
      <c r="E997" t="inlineStr">
        <is>
          <t>YES</t>
        </is>
      </c>
      <c r="F997" t="inlineStr">
        <is>
          <t>评估方法</t>
        </is>
      </c>
      <c r="H997" t="inlineStr">
        <is>
          <t>VARCHAR</t>
        </is>
      </c>
      <c r="I997" t="inlineStr">
        <is>
          <t>40</t>
        </is>
      </c>
    </row>
    <row r="998">
      <c r="A998" t="inlineStr">
        <is>
          <t>线上评估结果</t>
        </is>
      </c>
      <c r="B998" t="inlineStr">
        <is>
          <t>CLR_ONLINE_RESULT</t>
        </is>
      </c>
      <c r="C998" t="inlineStr">
        <is>
          <t>INPUTORG</t>
        </is>
      </c>
      <c r="D998" t="inlineStr">
        <is>
          <t>VARCHAR(32)</t>
        </is>
      </c>
      <c r="E998" t="inlineStr">
        <is>
          <t>YES</t>
        </is>
      </c>
      <c r="F998" t="inlineStr">
        <is>
          <t>登记机构</t>
        </is>
      </c>
      <c r="H998" t="inlineStr">
        <is>
          <t>VARCHAR</t>
        </is>
      </c>
      <c r="I998" t="inlineStr">
        <is>
          <t>32</t>
        </is>
      </c>
    </row>
    <row r="999">
      <c r="A999" t="inlineStr">
        <is>
          <t>线上评估结果</t>
        </is>
      </c>
      <c r="B999" t="inlineStr">
        <is>
          <t>CLR_ONLINE_RESULT</t>
        </is>
      </c>
      <c r="C999" t="inlineStr">
        <is>
          <t>INPUTTIME</t>
        </is>
      </c>
      <c r="D999" t="inlineStr">
        <is>
          <t>DATETIME</t>
        </is>
      </c>
      <c r="E999" t="inlineStr">
        <is>
          <t>YES</t>
        </is>
      </c>
      <c r="F999" t="inlineStr">
        <is>
          <t>登记时间</t>
        </is>
      </c>
      <c r="H999" t="inlineStr">
        <is>
          <t>DATETIME</t>
        </is>
      </c>
    </row>
    <row r="1000">
      <c r="A1000" t="inlineStr">
        <is>
          <t>线上评估结果</t>
        </is>
      </c>
      <c r="B1000" t="inlineStr">
        <is>
          <t>CLR_ONLINE_RESULT</t>
        </is>
      </c>
      <c r="C1000" t="inlineStr">
        <is>
          <t>UPDATEUSER</t>
        </is>
      </c>
      <c r="D1000" t="inlineStr">
        <is>
          <t>VARCHAR(32)</t>
        </is>
      </c>
      <c r="E1000" t="inlineStr">
        <is>
          <t>YES</t>
        </is>
      </c>
      <c r="F1000" t="inlineStr">
        <is>
          <t>更新人</t>
        </is>
      </c>
      <c r="H1000" t="inlineStr">
        <is>
          <t>VARCHAR</t>
        </is>
      </c>
      <c r="I1000" t="inlineStr">
        <is>
          <t>32</t>
        </is>
      </c>
    </row>
    <row r="1001">
      <c r="A1001" t="inlineStr">
        <is>
          <t>线上评估结果</t>
        </is>
      </c>
      <c r="B1001" t="inlineStr">
        <is>
          <t>CLR_ONLINE_RESULT</t>
        </is>
      </c>
      <c r="C1001" t="inlineStr">
        <is>
          <t>UPDATETIME</t>
        </is>
      </c>
      <c r="D1001" t="inlineStr">
        <is>
          <t>DATETIME</t>
        </is>
      </c>
      <c r="E1001" t="inlineStr">
        <is>
          <t>YES</t>
        </is>
      </c>
      <c r="F1001" t="inlineStr">
        <is>
          <t>更新时间</t>
        </is>
      </c>
      <c r="H1001" t="inlineStr">
        <is>
          <t>DATETIME</t>
        </is>
      </c>
    </row>
    <row r="1002">
      <c r="A1002" t="inlineStr">
        <is>
          <t>线上评估结果</t>
        </is>
      </c>
      <c r="B1002" t="inlineStr">
        <is>
          <t>CLR_ONLINE_RESULT</t>
        </is>
      </c>
      <c r="C1002" t="inlineStr">
        <is>
          <t>UPDATEUSERID</t>
        </is>
      </c>
      <c r="D1002" t="inlineStr">
        <is>
          <t>VARCHAR(32)</t>
        </is>
      </c>
      <c r="E1002" t="inlineStr">
        <is>
          <t>YES</t>
        </is>
      </c>
      <c r="F1002" t="inlineStr">
        <is>
          <t>更新人编号</t>
        </is>
      </c>
      <c r="H1002" t="inlineStr">
        <is>
          <t>VARCHAR</t>
        </is>
      </c>
      <c r="I1002" t="inlineStr">
        <is>
          <t>32</t>
        </is>
      </c>
    </row>
    <row r="1003">
      <c r="A1003" t="inlineStr">
        <is>
          <t>线上评估结果</t>
        </is>
      </c>
      <c r="B1003" t="inlineStr">
        <is>
          <t>CLR_ONLINE_RESULT</t>
        </is>
      </c>
      <c r="C1003" t="inlineStr">
        <is>
          <t>UPDATEORGID</t>
        </is>
      </c>
      <c r="D1003" t="inlineStr">
        <is>
          <t>VARCHAR(32)</t>
        </is>
      </c>
      <c r="E1003" t="inlineStr">
        <is>
          <t>YES</t>
        </is>
      </c>
      <c r="F1003" t="inlineStr">
        <is>
          <t>更新机构</t>
        </is>
      </c>
      <c r="H1003" t="inlineStr">
        <is>
          <t>VARCHAR</t>
        </is>
      </c>
      <c r="I1003" t="inlineStr">
        <is>
          <t>32</t>
        </is>
      </c>
    </row>
    <row r="1004">
      <c r="A1004" t="inlineStr">
        <is>
          <t>线上评估结果</t>
        </is>
      </c>
      <c r="B1004" t="inlineStr">
        <is>
          <t>CLR_ONLINE_RESULT</t>
        </is>
      </c>
      <c r="C1004" t="inlineStr">
        <is>
          <t>INPUTORGID</t>
        </is>
      </c>
      <c r="D1004" t="inlineStr">
        <is>
          <t>VARCHAR(32)</t>
        </is>
      </c>
      <c r="E1004" t="inlineStr">
        <is>
          <t>YES</t>
        </is>
      </c>
      <c r="F1004" t="inlineStr">
        <is>
          <t>登记机构编号</t>
        </is>
      </c>
      <c r="H1004" t="inlineStr">
        <is>
          <t>VARCHAR</t>
        </is>
      </c>
      <c r="I1004" t="inlineStr">
        <is>
          <t>32</t>
        </is>
      </c>
    </row>
    <row r="1005">
      <c r="A1005" t="inlineStr">
        <is>
          <t>线上评估结果</t>
        </is>
      </c>
      <c r="B1005" t="inlineStr">
        <is>
          <t>CLR_ONLINE_RESULT</t>
        </is>
      </c>
      <c r="C1005" t="inlineStr">
        <is>
          <t>INPUTUSERID</t>
        </is>
      </c>
      <c r="D1005" t="inlineStr">
        <is>
          <t>VARCHAR(32)</t>
        </is>
      </c>
      <c r="E1005" t="inlineStr">
        <is>
          <t>YES</t>
        </is>
      </c>
      <c r="F1005" t="inlineStr">
        <is>
          <t>登记人编号</t>
        </is>
      </c>
      <c r="H1005" t="inlineStr">
        <is>
          <t>VARCHAR</t>
        </is>
      </c>
      <c r="I1005" t="inlineStr">
        <is>
          <t>32</t>
        </is>
      </c>
    </row>
    <row r="1006">
      <c r="A1006" t="inlineStr">
        <is>
          <t>线上评估结果</t>
        </is>
      </c>
    </row>
    <row r="1007">
      <c r="A1007" t="inlineStr">
        <is>
          <t>评估申请组</t>
        </is>
      </c>
      <c r="B1007" t="inlineStr">
        <is>
          <t>CLR_EVALUATION_APPL_GROUP</t>
        </is>
      </c>
      <c r="C1007" t="inlineStr">
        <is>
          <t>APPLID</t>
        </is>
      </c>
      <c r="D1007" t="inlineStr">
        <is>
          <t>VARCHAR（40）</t>
        </is>
      </c>
      <c r="E1007" t="inlineStr">
        <is>
          <t>YES</t>
        </is>
      </c>
      <c r="F1007" t="inlineStr">
        <is>
          <t>评估申请ID</t>
        </is>
      </c>
      <c r="H1007" t="inlineStr">
        <is>
          <t>VARCHAR</t>
        </is>
      </c>
      <c r="I1007" t="inlineStr">
        <is>
          <t>40</t>
        </is>
      </c>
    </row>
    <row r="1008">
      <c r="A1008" t="inlineStr">
        <is>
          <t>评估申请组</t>
        </is>
      </c>
      <c r="B1008" t="inlineStr">
        <is>
          <t>CLR_EVALUATION_APPL_GROUP</t>
        </is>
      </c>
      <c r="C1008" t="inlineStr">
        <is>
          <t>CLRID</t>
        </is>
      </c>
      <c r="D1008" t="inlineStr">
        <is>
          <t>VARCHAR（40）</t>
        </is>
      </c>
      <c r="E1008" t="inlineStr">
        <is>
          <t>YES</t>
        </is>
      </c>
      <c r="F1008" t="inlineStr">
        <is>
          <t>押品编号</t>
        </is>
      </c>
      <c r="H1008" t="inlineStr">
        <is>
          <t>VARCHAR</t>
        </is>
      </c>
      <c r="I1008" t="inlineStr">
        <is>
          <t>40</t>
        </is>
      </c>
    </row>
    <row r="1009">
      <c r="A1009" t="inlineStr">
        <is>
          <t>评估申请组</t>
        </is>
      </c>
      <c r="B1009" t="inlineStr">
        <is>
          <t>CLR_EVALUATION_APPL_GROUP</t>
        </is>
      </c>
      <c r="C1009" t="inlineStr">
        <is>
          <t>APPLTYPE</t>
        </is>
      </c>
      <c r="D1009" t="inlineStr">
        <is>
          <t>VARCHAR（8）</t>
        </is>
      </c>
      <c r="E1009" t="inlineStr">
        <is>
          <t>YES</t>
        </is>
      </c>
      <c r="F1009" t="inlineStr">
        <is>
          <t>发起类型</t>
        </is>
      </c>
      <c r="H1009" t="inlineStr">
        <is>
          <t>VARCHAR</t>
        </is>
      </c>
      <c r="I1009" t="inlineStr">
        <is>
          <t>8</t>
        </is>
      </c>
    </row>
    <row r="1010">
      <c r="A1010" t="inlineStr">
        <is>
          <t>评估申请组</t>
        </is>
      </c>
      <c r="B1010" t="inlineStr">
        <is>
          <t>CLR_EVALUATION_APPL_GROUP</t>
        </is>
      </c>
      <c r="C1010" t="inlineStr">
        <is>
          <t>INPUTORG</t>
        </is>
      </c>
      <c r="D1010" t="inlineStr">
        <is>
          <t>VARCHAR(32)</t>
        </is>
      </c>
      <c r="E1010" t="inlineStr">
        <is>
          <t>YES</t>
        </is>
      </c>
      <c r="F1010" t="inlineStr">
        <is>
          <t>登记机构</t>
        </is>
      </c>
      <c r="H1010" t="inlineStr">
        <is>
          <t>VARCHAR</t>
        </is>
      </c>
      <c r="I1010" t="inlineStr">
        <is>
          <t>32</t>
        </is>
      </c>
    </row>
    <row r="1011">
      <c r="A1011" t="inlineStr">
        <is>
          <t>评估申请组</t>
        </is>
      </c>
      <c r="B1011" t="inlineStr">
        <is>
          <t>CLR_EVALUATION_APPL_GROUP</t>
        </is>
      </c>
      <c r="C1011" t="inlineStr">
        <is>
          <t>INPUTTIME</t>
        </is>
      </c>
      <c r="D1011" t="inlineStr">
        <is>
          <t>DATETIME</t>
        </is>
      </c>
      <c r="E1011" t="inlineStr">
        <is>
          <t>YES</t>
        </is>
      </c>
      <c r="F1011" t="inlineStr">
        <is>
          <t>登记时间</t>
        </is>
      </c>
      <c r="H1011" t="inlineStr">
        <is>
          <t>DATETIME</t>
        </is>
      </c>
    </row>
    <row r="1012">
      <c r="A1012" t="inlineStr">
        <is>
          <t>评估申请组</t>
        </is>
      </c>
      <c r="B1012" t="inlineStr">
        <is>
          <t>CLR_EVALUATION_APPL_GROUP</t>
        </is>
      </c>
      <c r="C1012" t="inlineStr">
        <is>
          <t>UPDATEUSER</t>
        </is>
      </c>
      <c r="D1012" t="inlineStr">
        <is>
          <t>VARCHAR(32)</t>
        </is>
      </c>
      <c r="E1012" t="inlineStr">
        <is>
          <t>YES</t>
        </is>
      </c>
      <c r="F1012" t="inlineStr">
        <is>
          <t>更新人</t>
        </is>
      </c>
      <c r="H1012" t="inlineStr">
        <is>
          <t>VARCHAR</t>
        </is>
      </c>
      <c r="I1012" t="inlineStr">
        <is>
          <t>32</t>
        </is>
      </c>
    </row>
    <row r="1013">
      <c r="A1013" t="inlineStr">
        <is>
          <t>评估申请组</t>
        </is>
      </c>
      <c r="B1013" t="inlineStr">
        <is>
          <t>CLR_EVALUATION_APPL_GROUP</t>
        </is>
      </c>
      <c r="C1013" t="inlineStr">
        <is>
          <t>UPDATETIME</t>
        </is>
      </c>
      <c r="D1013" t="inlineStr">
        <is>
          <t>DATETIME</t>
        </is>
      </c>
      <c r="E1013" t="inlineStr">
        <is>
          <t>YES</t>
        </is>
      </c>
      <c r="F1013" t="inlineStr">
        <is>
          <t>更新时间</t>
        </is>
      </c>
      <c r="H1013" t="inlineStr">
        <is>
          <t>DATETIME</t>
        </is>
      </c>
    </row>
    <row r="1014">
      <c r="A1014" t="inlineStr">
        <is>
          <t>评估申请组</t>
        </is>
      </c>
      <c r="B1014" t="inlineStr">
        <is>
          <t>CLR_EVALUATION_APPL_GROUP</t>
        </is>
      </c>
      <c r="C1014" t="inlineStr">
        <is>
          <t>UPDATEUSERID</t>
        </is>
      </c>
      <c r="D1014" t="inlineStr">
        <is>
          <t>VARCHAR(32)</t>
        </is>
      </c>
      <c r="E1014" t="inlineStr">
        <is>
          <t>YES</t>
        </is>
      </c>
      <c r="F1014" t="inlineStr">
        <is>
          <t>更新人编号</t>
        </is>
      </c>
      <c r="H1014" t="inlineStr">
        <is>
          <t>VARCHAR</t>
        </is>
      </c>
      <c r="I1014" t="inlineStr">
        <is>
          <t>32</t>
        </is>
      </c>
    </row>
    <row r="1015">
      <c r="A1015" t="inlineStr">
        <is>
          <t>评估申请组</t>
        </is>
      </c>
      <c r="B1015" t="inlineStr">
        <is>
          <t>CLR_EVALUATION_APPL_GROUP</t>
        </is>
      </c>
      <c r="C1015" t="inlineStr">
        <is>
          <t>UPDATEORGID</t>
        </is>
      </c>
      <c r="D1015" t="inlineStr">
        <is>
          <t>VARCHAR(32)</t>
        </is>
      </c>
      <c r="E1015" t="inlineStr">
        <is>
          <t>YES</t>
        </is>
      </c>
      <c r="F1015" t="inlineStr">
        <is>
          <t>更新机构</t>
        </is>
      </c>
      <c r="H1015" t="inlineStr">
        <is>
          <t>VARCHAR</t>
        </is>
      </c>
      <c r="I1015" t="inlineStr">
        <is>
          <t>32</t>
        </is>
      </c>
    </row>
    <row r="1016">
      <c r="A1016" t="inlineStr">
        <is>
          <t>评估申请组</t>
        </is>
      </c>
      <c r="B1016" t="inlineStr">
        <is>
          <t>CLR_EVALUATION_APPL_GROUP</t>
        </is>
      </c>
      <c r="C1016" t="inlineStr">
        <is>
          <t>INPUTORGID</t>
        </is>
      </c>
      <c r="D1016" t="inlineStr">
        <is>
          <t>VARCHAR(32)</t>
        </is>
      </c>
      <c r="E1016" t="inlineStr">
        <is>
          <t>YES</t>
        </is>
      </c>
      <c r="F1016" t="inlineStr">
        <is>
          <t>登记机构编号</t>
        </is>
      </c>
      <c r="H1016" t="inlineStr">
        <is>
          <t>VARCHAR</t>
        </is>
      </c>
      <c r="I1016" t="inlineStr">
        <is>
          <t>32</t>
        </is>
      </c>
    </row>
    <row r="1017">
      <c r="A1017" t="inlineStr">
        <is>
          <t>评估申请组</t>
        </is>
      </c>
      <c r="B1017" t="inlineStr">
        <is>
          <t>CLR_EVALUATION_APPL_GROUP</t>
        </is>
      </c>
      <c r="C1017" t="inlineStr">
        <is>
          <t>INPUTUSERID</t>
        </is>
      </c>
      <c r="D1017" t="inlineStr">
        <is>
          <t>VARCHAR(32)</t>
        </is>
      </c>
      <c r="E1017" t="inlineStr">
        <is>
          <t>YES</t>
        </is>
      </c>
      <c r="F1017" t="inlineStr">
        <is>
          <t>登记人编号</t>
        </is>
      </c>
      <c r="H1017" t="inlineStr">
        <is>
          <t>VARCHAR</t>
        </is>
      </c>
      <c r="I1017" t="inlineStr">
        <is>
          <t>32</t>
        </is>
      </c>
    </row>
    <row r="1018">
      <c r="A1018" t="inlineStr">
        <is>
          <t>评估申请组</t>
        </is>
      </c>
    </row>
    <row r="1019">
      <c r="A1019" t="inlineStr">
        <is>
          <t>票据信息表</t>
        </is>
      </c>
      <c r="B1019" t="inlineStr">
        <is>
          <t>BILL_INFO</t>
        </is>
      </c>
      <c r="C1019" t="inlineStr">
        <is>
          <t>SERIALNO</t>
        </is>
      </c>
      <c r="D1019" t="inlineStr">
        <is>
          <t>VARCHAR(32)</t>
        </is>
      </c>
      <c r="E1019" t="inlineStr">
        <is>
          <t>NO</t>
        </is>
      </c>
      <c r="F1019" t="inlineStr">
        <is>
          <t>流水号</t>
        </is>
      </c>
      <c r="H1019" t="inlineStr">
        <is>
          <t>VARCHAR</t>
        </is>
      </c>
      <c r="I1019" t="inlineStr">
        <is>
          <t>32</t>
        </is>
      </c>
    </row>
    <row r="1020">
      <c r="A1020" t="inlineStr">
        <is>
          <t>票据信息表</t>
        </is>
      </c>
      <c r="B1020" t="inlineStr">
        <is>
          <t>BILL_INFO</t>
        </is>
      </c>
      <c r="C1020" t="inlineStr">
        <is>
          <t>BILLNO</t>
        </is>
      </c>
      <c r="D1020" t="inlineStr">
        <is>
          <t>VARCHAR(32)</t>
        </is>
      </c>
      <c r="E1020" t="inlineStr">
        <is>
          <t>YES</t>
        </is>
      </c>
      <c r="F1020" t="inlineStr">
        <is>
          <t>票据编号</t>
        </is>
      </c>
      <c r="H1020" t="inlineStr">
        <is>
          <t>VARCHAR</t>
        </is>
      </c>
      <c r="I1020" t="inlineStr">
        <is>
          <t>32</t>
        </is>
      </c>
    </row>
    <row r="1021">
      <c r="A1021" t="inlineStr">
        <is>
          <t>票据信息表</t>
        </is>
      </c>
      <c r="B1021" t="inlineStr">
        <is>
          <t>BILL_INFO</t>
        </is>
      </c>
      <c r="C1021" t="inlineStr">
        <is>
          <t>OBJECTNO</t>
        </is>
      </c>
      <c r="D1021" t="inlineStr">
        <is>
          <t>VARCHAR(32)</t>
        </is>
      </c>
      <c r="E1021" t="inlineStr">
        <is>
          <t>YES</t>
        </is>
      </c>
      <c r="F1021" t="inlineStr">
        <is>
          <t>对象编号</t>
        </is>
      </c>
      <c r="H1021" t="inlineStr">
        <is>
          <t>VARCHAR</t>
        </is>
      </c>
      <c r="I1021" t="inlineStr">
        <is>
          <t>32</t>
        </is>
      </c>
    </row>
    <row r="1022">
      <c r="A1022" t="inlineStr">
        <is>
          <t>票据信息表</t>
        </is>
      </c>
      <c r="B1022" t="inlineStr">
        <is>
          <t>BILL_INFO</t>
        </is>
      </c>
      <c r="C1022" t="inlineStr">
        <is>
          <t>OBJECTTYPE</t>
        </is>
      </c>
      <c r="D1022" t="inlineStr">
        <is>
          <t>VARCHAR(32)</t>
        </is>
      </c>
      <c r="E1022" t="inlineStr">
        <is>
          <t>YES</t>
        </is>
      </c>
      <c r="F1022" t="inlineStr">
        <is>
          <t>对象类型</t>
        </is>
      </c>
      <c r="H1022" t="inlineStr">
        <is>
          <t>VARCHAR</t>
        </is>
      </c>
      <c r="I1022" t="inlineStr">
        <is>
          <t>32</t>
        </is>
      </c>
    </row>
    <row r="1023">
      <c r="A1023" t="inlineStr">
        <is>
          <t>票据信息表</t>
        </is>
      </c>
      <c r="B1023" t="inlineStr">
        <is>
          <t>BILL_INFO</t>
        </is>
      </c>
      <c r="C1023" t="inlineStr">
        <is>
          <t>BILLFORM</t>
        </is>
      </c>
      <c r="D1023" t="inlineStr">
        <is>
          <t>VARCHAR(18)</t>
        </is>
      </c>
      <c r="E1023" t="inlineStr">
        <is>
          <t>YES</t>
        </is>
      </c>
      <c r="F1023" t="inlineStr">
        <is>
          <t>票据形式;电票/纸票)</t>
        </is>
      </c>
      <c r="H1023" t="inlineStr">
        <is>
          <t>VARCHAR</t>
        </is>
      </c>
      <c r="I1023" t="inlineStr">
        <is>
          <t>18</t>
        </is>
      </c>
    </row>
    <row r="1024">
      <c r="A1024" t="inlineStr">
        <is>
          <t>票据信息表</t>
        </is>
      </c>
      <c r="B1024" t="inlineStr">
        <is>
          <t>BILL_INFO</t>
        </is>
      </c>
      <c r="C1024" t="inlineStr">
        <is>
          <t>BILLRESOURCE</t>
        </is>
      </c>
      <c r="D1024" t="inlineStr">
        <is>
          <t>VARCHAR(18)</t>
        </is>
      </c>
      <c r="E1024" t="inlineStr">
        <is>
          <t>YES</t>
        </is>
      </c>
      <c r="F1024" t="inlineStr">
        <is>
          <t>票据来源;0 同城;1 异地;)</t>
        </is>
      </c>
      <c r="H1024" t="inlineStr">
        <is>
          <t>VARCHAR</t>
        </is>
      </c>
      <c r="I1024" t="inlineStr">
        <is>
          <t>18</t>
        </is>
      </c>
    </row>
    <row r="1025">
      <c r="A1025" t="inlineStr">
        <is>
          <t>票据信息表</t>
        </is>
      </c>
      <c r="B1025" t="inlineStr">
        <is>
          <t>BILL_INFO</t>
        </is>
      </c>
      <c r="C1025" t="inlineStr">
        <is>
          <t>CURRENCY</t>
        </is>
      </c>
      <c r="D1025" t="inlineStr">
        <is>
          <t>VARCHAR(18)</t>
        </is>
      </c>
      <c r="E1025" t="inlineStr">
        <is>
          <t>YES</t>
        </is>
      </c>
      <c r="F1025" t="inlineStr">
        <is>
          <t>币种</t>
        </is>
      </c>
      <c r="H1025" t="inlineStr">
        <is>
          <t>VARCHAR</t>
        </is>
      </c>
      <c r="I1025" t="inlineStr">
        <is>
          <t>18</t>
        </is>
      </c>
    </row>
    <row r="1026">
      <c r="A1026" t="inlineStr">
        <is>
          <t>票据信息表</t>
        </is>
      </c>
      <c r="B1026" t="inlineStr">
        <is>
          <t>BILL_INFO</t>
        </is>
      </c>
      <c r="C1026" t="inlineStr">
        <is>
          <t>PARVALUE</t>
        </is>
      </c>
      <c r="D1026" t="inlineStr">
        <is>
          <t>DECIMAL(24,6)</t>
        </is>
      </c>
      <c r="E1026" t="inlineStr">
        <is>
          <t>YES</t>
        </is>
      </c>
      <c r="F1026" t="inlineStr">
        <is>
          <t>票面金额</t>
        </is>
      </c>
      <c r="H1026" t="inlineStr">
        <is>
          <t>DECIMAL</t>
        </is>
      </c>
      <c r="I1026" t="inlineStr">
        <is>
          <t>24,6</t>
        </is>
      </c>
    </row>
    <row r="1027">
      <c r="A1027" t="inlineStr">
        <is>
          <t>票据信息表</t>
        </is>
      </c>
      <c r="B1027" t="inlineStr">
        <is>
          <t>BILL_INFO</t>
        </is>
      </c>
      <c r="C1027" t="inlineStr">
        <is>
          <t>INTERESTSUM</t>
        </is>
      </c>
      <c r="D1027" t="inlineStr">
        <is>
          <t>DECIMAL(24,6)</t>
        </is>
      </c>
      <c r="E1027" t="inlineStr">
        <is>
          <t>YES</t>
        </is>
      </c>
      <c r="F1027" t="inlineStr">
        <is>
          <t>利息金额</t>
        </is>
      </c>
      <c r="H1027" t="inlineStr">
        <is>
          <t>DECIMAL</t>
        </is>
      </c>
      <c r="I1027" t="inlineStr">
        <is>
          <t>24,6</t>
        </is>
      </c>
    </row>
    <row r="1028">
      <c r="A1028" t="inlineStr">
        <is>
          <t>票据信息表</t>
        </is>
      </c>
      <c r="B1028" t="inlineStr">
        <is>
          <t>BILL_INFO</t>
        </is>
      </c>
      <c r="C1028" t="inlineStr">
        <is>
          <t>ISREALDEALCONDITION</t>
        </is>
      </c>
      <c r="D1028" t="inlineStr">
        <is>
          <t>VARCHAR(6)</t>
        </is>
      </c>
      <c r="E1028" t="inlineStr">
        <is>
          <t>YES</t>
        </is>
      </c>
      <c r="F1028" t="inlineStr">
        <is>
          <t>是否具有真实的交易背景</t>
        </is>
      </c>
      <c r="H1028" t="inlineStr">
        <is>
          <t>VARCHAR</t>
        </is>
      </c>
      <c r="I1028" t="inlineStr">
        <is>
          <t>6</t>
        </is>
      </c>
    </row>
    <row r="1029">
      <c r="A1029" t="inlineStr">
        <is>
          <t>票据信息表</t>
        </is>
      </c>
      <c r="B1029" t="inlineStr">
        <is>
          <t>BILL_INFO</t>
        </is>
      </c>
      <c r="C1029" t="inlineStr">
        <is>
          <t>ISHONORBYSELF</t>
        </is>
      </c>
      <c r="D1029" t="inlineStr">
        <is>
          <t>VARCHAR(6)</t>
        </is>
      </c>
      <c r="E1029" t="inlineStr">
        <is>
          <t>YES</t>
        </is>
      </c>
      <c r="F1029" t="inlineStr">
        <is>
          <t>是否我行承兑</t>
        </is>
      </c>
      <c r="H1029" t="inlineStr">
        <is>
          <t>VARCHAR</t>
        </is>
      </c>
      <c r="I1029" t="inlineStr">
        <is>
          <t>6</t>
        </is>
      </c>
    </row>
    <row r="1030">
      <c r="A1030" t="inlineStr">
        <is>
          <t>票据信息表</t>
        </is>
      </c>
      <c r="B1030" t="inlineStr">
        <is>
          <t>BILL_INFO</t>
        </is>
      </c>
      <c r="C1030" t="inlineStr">
        <is>
          <t>HONORCODE</t>
        </is>
      </c>
      <c r="D1030" t="inlineStr">
        <is>
          <t>VARCHAR(32)</t>
        </is>
      </c>
      <c r="E1030" t="inlineStr">
        <is>
          <t>YES</t>
        </is>
      </c>
      <c r="F1030" t="inlineStr">
        <is>
          <t>承兑人编号</t>
        </is>
      </c>
      <c r="H1030" t="inlineStr">
        <is>
          <t>VARCHAR</t>
        </is>
      </c>
      <c r="I1030" t="inlineStr">
        <is>
          <t>32</t>
        </is>
      </c>
    </row>
    <row r="1031">
      <c r="A1031" t="inlineStr">
        <is>
          <t>票据信息表</t>
        </is>
      </c>
      <c r="B1031" t="inlineStr">
        <is>
          <t>BILL_INFO</t>
        </is>
      </c>
      <c r="C1031" t="inlineStr">
        <is>
          <t>HONORNAME</t>
        </is>
      </c>
      <c r="D1031" t="inlineStr">
        <is>
          <t>VARCHAR(80)</t>
        </is>
      </c>
      <c r="E1031" t="inlineStr">
        <is>
          <t>YES</t>
        </is>
      </c>
      <c r="F1031" t="inlineStr">
        <is>
          <t>承兑人名称</t>
        </is>
      </c>
      <c r="H1031" t="inlineStr">
        <is>
          <t>VARCHAR</t>
        </is>
      </c>
      <c r="I1031" t="inlineStr">
        <is>
          <t>80</t>
        </is>
      </c>
    </row>
    <row r="1032">
      <c r="A1032" t="inlineStr">
        <is>
          <t>票据信息表</t>
        </is>
      </c>
      <c r="B1032" t="inlineStr">
        <is>
          <t>BILL_INFO</t>
        </is>
      </c>
      <c r="C1032" t="inlineStr">
        <is>
          <t>HONORBANKNO</t>
        </is>
      </c>
      <c r="D1032" t="inlineStr">
        <is>
          <t>VARCHAR(32)</t>
        </is>
      </c>
      <c r="E1032" t="inlineStr">
        <is>
          <t>YES</t>
        </is>
      </c>
      <c r="F1032" t="inlineStr">
        <is>
          <t>承兑行编号/承兑人开户行行号</t>
        </is>
      </c>
      <c r="H1032" t="inlineStr">
        <is>
          <t>VARCHAR</t>
        </is>
      </c>
      <c r="I1032" t="inlineStr">
        <is>
          <t>32</t>
        </is>
      </c>
    </row>
    <row r="1033">
      <c r="A1033" t="inlineStr">
        <is>
          <t>票据信息表</t>
        </is>
      </c>
      <c r="B1033" t="inlineStr">
        <is>
          <t>BILL_INFO</t>
        </is>
      </c>
      <c r="C1033" t="inlineStr">
        <is>
          <t>HONORBANKNAME</t>
        </is>
      </c>
      <c r="D1033" t="inlineStr">
        <is>
          <t>VARCHAR(80)</t>
        </is>
      </c>
      <c r="E1033" t="inlineStr">
        <is>
          <t>YES</t>
        </is>
      </c>
      <c r="F1033" t="inlineStr">
        <is>
          <t>承兑行名称/承兑人开户行名称</t>
        </is>
      </c>
      <c r="H1033" t="inlineStr">
        <is>
          <t>VARCHAR</t>
        </is>
      </c>
      <c r="I1033" t="inlineStr">
        <is>
          <t>80</t>
        </is>
      </c>
    </row>
    <row r="1034">
      <c r="A1034" t="inlineStr">
        <is>
          <t>票据信息表</t>
        </is>
      </c>
      <c r="B1034" t="inlineStr">
        <is>
          <t>BILL_INFO</t>
        </is>
      </c>
      <c r="C1034" t="inlineStr">
        <is>
          <t>SPECIFICHONORBANK</t>
        </is>
      </c>
      <c r="D1034" t="inlineStr">
        <is>
          <t>VARCHAR(80)</t>
        </is>
      </c>
      <c r="E1034" t="inlineStr">
        <is>
          <t>YES</t>
        </is>
      </c>
      <c r="F1034" t="inlineStr">
        <is>
          <t>承兑行具体分支行</t>
        </is>
      </c>
      <c r="H1034" t="inlineStr">
        <is>
          <t>VARCHAR</t>
        </is>
      </c>
      <c r="I1034" t="inlineStr">
        <is>
          <t>80</t>
        </is>
      </c>
    </row>
    <row r="1035">
      <c r="A1035" t="inlineStr">
        <is>
          <t>票据信息表</t>
        </is>
      </c>
      <c r="B1035" t="inlineStr">
        <is>
          <t>BILL_INFO</t>
        </is>
      </c>
      <c r="C1035" t="inlineStr">
        <is>
          <t>HONORBANKISACCEPTED</t>
        </is>
      </c>
      <c r="D1035" t="inlineStr">
        <is>
          <t>VARCHAR(6)</t>
        </is>
      </c>
      <c r="E1035" t="inlineStr">
        <is>
          <t>YES</t>
        </is>
      </c>
      <c r="F1035" t="inlineStr">
        <is>
          <t>承兑行是否我行认可</t>
        </is>
      </c>
      <c r="H1035" t="inlineStr">
        <is>
          <t>VARCHAR</t>
        </is>
      </c>
      <c r="I1035" t="inlineStr">
        <is>
          <t>6</t>
        </is>
      </c>
    </row>
    <row r="1036">
      <c r="A1036" t="inlineStr">
        <is>
          <t>票据信息表</t>
        </is>
      </c>
      <c r="B1036" t="inlineStr">
        <is>
          <t>BILL_INFO</t>
        </is>
      </c>
      <c r="C1036" t="inlineStr">
        <is>
          <t>HONORBANKISAUTHORIZED</t>
        </is>
      </c>
      <c r="D1036" t="inlineStr">
        <is>
          <t>VARCHAR(6)</t>
        </is>
      </c>
      <c r="E1036" t="inlineStr">
        <is>
          <t>YES</t>
        </is>
      </c>
      <c r="F1036" t="inlineStr">
        <is>
          <t>承兑行是否在授权范围内</t>
        </is>
      </c>
      <c r="H1036" t="inlineStr">
        <is>
          <t>VARCHAR</t>
        </is>
      </c>
      <c r="I1036" t="inlineStr">
        <is>
          <t>6</t>
        </is>
      </c>
    </row>
    <row r="1037">
      <c r="A1037" t="inlineStr">
        <is>
          <t>票据信息表</t>
        </is>
      </c>
      <c r="B1037" t="inlineStr">
        <is>
          <t>BILL_INFO</t>
        </is>
      </c>
      <c r="C1037" t="inlineStr">
        <is>
          <t>BILLPUBLISHDATE</t>
        </is>
      </c>
      <c r="D1037" t="inlineStr">
        <is>
          <t>DATETIME</t>
        </is>
      </c>
      <c r="E1037" t="inlineStr">
        <is>
          <t>YES</t>
        </is>
      </c>
      <c r="F1037" t="inlineStr">
        <is>
          <t>票据签发日期</t>
        </is>
      </c>
      <c r="H1037" t="inlineStr">
        <is>
          <t>DATETIME</t>
        </is>
      </c>
    </row>
    <row r="1038">
      <c r="A1038" t="inlineStr">
        <is>
          <t>票据信息表</t>
        </is>
      </c>
      <c r="B1038" t="inlineStr">
        <is>
          <t>BILL_INFO</t>
        </is>
      </c>
      <c r="C1038" t="inlineStr">
        <is>
          <t>BILLMATURITY</t>
        </is>
      </c>
      <c r="D1038" t="inlineStr">
        <is>
          <t>DATETIME</t>
        </is>
      </c>
      <c r="E1038" t="inlineStr">
        <is>
          <t>YES</t>
        </is>
      </c>
      <c r="F1038" t="inlineStr">
        <is>
          <t>票据到期日</t>
        </is>
      </c>
      <c r="H1038" t="inlineStr">
        <is>
          <t>DATETIME</t>
        </is>
      </c>
    </row>
    <row r="1039">
      <c r="A1039" t="inlineStr">
        <is>
          <t>票据信息表</t>
        </is>
      </c>
      <c r="B1039" t="inlineStr">
        <is>
          <t>BILL_INFO</t>
        </is>
      </c>
      <c r="C1039" t="inlineStr">
        <is>
          <t>DISCOUNTDATE</t>
        </is>
      </c>
      <c r="D1039" t="inlineStr">
        <is>
          <t>DATETIME</t>
        </is>
      </c>
      <c r="E1039" t="inlineStr">
        <is>
          <t>YES</t>
        </is>
      </c>
      <c r="F1039" t="inlineStr">
        <is>
          <t>贴现日期</t>
        </is>
      </c>
      <c r="H1039" t="inlineStr">
        <is>
          <t>DATETIME</t>
        </is>
      </c>
    </row>
    <row r="1040">
      <c r="A1040" t="inlineStr">
        <is>
          <t>票据信息表</t>
        </is>
      </c>
      <c r="B1040" t="inlineStr">
        <is>
          <t>BILL_INFO</t>
        </is>
      </c>
      <c r="C1040" t="inlineStr">
        <is>
          <t>ADJUSTDAYS</t>
        </is>
      </c>
      <c r="D1040" t="inlineStr">
        <is>
          <t>INT</t>
        </is>
      </c>
      <c r="E1040" t="inlineStr">
        <is>
          <t>YES</t>
        </is>
      </c>
      <c r="F1040" t="inlineStr">
        <is>
          <t>调整天数</t>
        </is>
      </c>
      <c r="H1040" t="inlineStr">
        <is>
          <t>INT</t>
        </is>
      </c>
    </row>
    <row r="1041">
      <c r="A1041" t="inlineStr">
        <is>
          <t>票据信息表</t>
        </is>
      </c>
      <c r="B1041" t="inlineStr">
        <is>
          <t>BILL_INFO</t>
        </is>
      </c>
      <c r="C1041" t="inlineStr">
        <is>
          <t>DISCOUNTYEARRATE</t>
        </is>
      </c>
      <c r="D1041" t="inlineStr">
        <is>
          <t>DECIMAL(18,8)</t>
        </is>
      </c>
      <c r="E1041" t="inlineStr">
        <is>
          <t>YES</t>
        </is>
      </c>
      <c r="F1041" t="inlineStr">
        <is>
          <t>贴现年利率</t>
        </is>
      </c>
      <c r="H1041" t="inlineStr">
        <is>
          <t>DECIMAL</t>
        </is>
      </c>
      <c r="I1041" t="inlineStr">
        <is>
          <t>18,8</t>
        </is>
      </c>
    </row>
    <row r="1042">
      <c r="A1042" t="inlineStr">
        <is>
          <t>票据信息表</t>
        </is>
      </c>
      <c r="B1042" t="inlineStr">
        <is>
          <t>BILL_INFO</t>
        </is>
      </c>
      <c r="C1042" t="inlineStr">
        <is>
          <t>DISCOUNTRATE</t>
        </is>
      </c>
      <c r="D1042" t="inlineStr">
        <is>
          <t>DECIMAL(18,8)</t>
        </is>
      </c>
      <c r="E1042" t="inlineStr">
        <is>
          <t>YES</t>
        </is>
      </c>
      <c r="F1042" t="inlineStr">
        <is>
          <t>转贴现利率</t>
        </is>
      </c>
      <c r="H1042" t="inlineStr">
        <is>
          <t>DECIMAL</t>
        </is>
      </c>
      <c r="I1042" t="inlineStr">
        <is>
          <t>18,8</t>
        </is>
      </c>
    </row>
    <row r="1043">
      <c r="A1043" t="inlineStr">
        <is>
          <t>票据信息表</t>
        </is>
      </c>
      <c r="B1043" t="inlineStr">
        <is>
          <t>BILL_INFO</t>
        </is>
      </c>
      <c r="C1043" t="inlineStr">
        <is>
          <t>INTERESTPAYTYPE</t>
        </is>
      </c>
      <c r="D1043" t="inlineStr">
        <is>
          <t>VARCHAR(18)</t>
        </is>
      </c>
      <c r="E1043" t="inlineStr">
        <is>
          <t>YES</t>
        </is>
      </c>
      <c r="F1043" t="inlineStr">
        <is>
          <t>贴现付息方式</t>
        </is>
      </c>
      <c r="H1043" t="inlineStr">
        <is>
          <t>VARCHAR</t>
        </is>
      </c>
      <c r="I1043" t="inlineStr">
        <is>
          <t>18</t>
        </is>
      </c>
    </row>
    <row r="1044">
      <c r="A1044" t="inlineStr">
        <is>
          <t>票据信息表</t>
        </is>
      </c>
      <c r="B1044" t="inlineStr">
        <is>
          <t>BILL_INFO</t>
        </is>
      </c>
      <c r="C1044" t="inlineStr">
        <is>
          <t>PAYINTERESTACCOUNT</t>
        </is>
      </c>
      <c r="D1044" t="inlineStr">
        <is>
          <t>VARCHAR(32)</t>
        </is>
      </c>
      <c r="E1044" t="inlineStr">
        <is>
          <t>YES</t>
        </is>
      </c>
      <c r="F1044" t="inlineStr">
        <is>
          <t>买方付息帐号</t>
        </is>
      </c>
      <c r="H1044" t="inlineStr">
        <is>
          <t>VARCHAR</t>
        </is>
      </c>
      <c r="I1044" t="inlineStr">
        <is>
          <t>32</t>
        </is>
      </c>
    </row>
    <row r="1045">
      <c r="A1045" t="inlineStr">
        <is>
          <t>票据信息表</t>
        </is>
      </c>
      <c r="B1045" t="inlineStr">
        <is>
          <t>BILL_INFO</t>
        </is>
      </c>
      <c r="C1045" t="inlineStr">
        <is>
          <t>BILLISSUEDATE</t>
        </is>
      </c>
      <c r="D1045" t="inlineStr">
        <is>
          <t>DATETIME</t>
        </is>
      </c>
      <c r="E1045" t="inlineStr">
        <is>
          <t>YES</t>
        </is>
      </c>
      <c r="F1045" t="inlineStr">
        <is>
          <t>出票日期</t>
        </is>
      </c>
      <c r="H1045" t="inlineStr">
        <is>
          <t>DATETIME</t>
        </is>
      </c>
    </row>
    <row r="1046">
      <c r="A1046" t="inlineStr">
        <is>
          <t>票据信息表</t>
        </is>
      </c>
      <c r="B1046" t="inlineStr">
        <is>
          <t>BILL_INFO</t>
        </is>
      </c>
      <c r="C1046" t="inlineStr">
        <is>
          <t>BILLISSUERNAME</t>
        </is>
      </c>
      <c r="D1046" t="inlineStr">
        <is>
          <t>VARCHAR(80)</t>
        </is>
      </c>
      <c r="E1046" t="inlineStr">
        <is>
          <t>YES</t>
        </is>
      </c>
      <c r="F1046" t="inlineStr">
        <is>
          <t>出票人名称</t>
        </is>
      </c>
      <c r="H1046" t="inlineStr">
        <is>
          <t>VARCHAR</t>
        </is>
      </c>
      <c r="I1046" t="inlineStr">
        <is>
          <t>80</t>
        </is>
      </c>
    </row>
    <row r="1047">
      <c r="A1047" t="inlineStr">
        <is>
          <t>票据信息表</t>
        </is>
      </c>
      <c r="B1047" t="inlineStr">
        <is>
          <t>BILL_INFO</t>
        </is>
      </c>
      <c r="C1047" t="inlineStr">
        <is>
          <t>ENDORSETIMES</t>
        </is>
      </c>
      <c r="D1047" t="inlineStr">
        <is>
          <t>INT</t>
        </is>
      </c>
      <c r="E1047" t="inlineStr">
        <is>
          <t>YES</t>
        </is>
      </c>
      <c r="F1047" t="inlineStr">
        <is>
          <t>背书次数</t>
        </is>
      </c>
      <c r="H1047" t="inlineStr">
        <is>
          <t>INT</t>
        </is>
      </c>
    </row>
    <row r="1048">
      <c r="A1048" t="inlineStr">
        <is>
          <t>票据信息表</t>
        </is>
      </c>
      <c r="B1048" t="inlineStr">
        <is>
          <t>BILL_INFO</t>
        </is>
      </c>
      <c r="C1048" t="inlineStr">
        <is>
          <t>ACTUALPAYSUM</t>
        </is>
      </c>
      <c r="D1048" t="inlineStr">
        <is>
          <t>DECIMAL(24,6)</t>
        </is>
      </c>
      <c r="E1048" t="inlineStr">
        <is>
          <t>YES</t>
        </is>
      </c>
      <c r="F1048" t="inlineStr">
        <is>
          <t>实付金额</t>
        </is>
      </c>
      <c r="H1048" t="inlineStr">
        <is>
          <t>DECIMAL</t>
        </is>
      </c>
      <c r="I1048" t="inlineStr">
        <is>
          <t>24,6</t>
        </is>
      </c>
    </row>
    <row r="1049">
      <c r="A1049" t="inlineStr">
        <is>
          <t>票据信息表</t>
        </is>
      </c>
      <c r="B1049" t="inlineStr">
        <is>
          <t>BILL_INFO</t>
        </is>
      </c>
      <c r="C1049" t="inlineStr">
        <is>
          <t>REDISCOUNTTYPE</t>
        </is>
      </c>
      <c r="D1049" t="inlineStr">
        <is>
          <t>VARCHAR(18)</t>
        </is>
      </c>
      <c r="E1049" t="inlineStr">
        <is>
          <t>YES</t>
        </is>
      </c>
      <c r="F1049" t="inlineStr">
        <is>
          <t>再贴现方式</t>
        </is>
      </c>
      <c r="H1049" t="inlineStr">
        <is>
          <t>VARCHAR</t>
        </is>
      </c>
      <c r="I1049" t="inlineStr">
        <is>
          <t>18</t>
        </is>
      </c>
    </row>
    <row r="1050">
      <c r="A1050" t="inlineStr">
        <is>
          <t>票据信息表</t>
        </is>
      </c>
      <c r="B1050" t="inlineStr">
        <is>
          <t>BILL_INFO</t>
        </is>
      </c>
      <c r="C1050" t="inlineStr">
        <is>
          <t>PAYMENTBANK</t>
        </is>
      </c>
      <c r="D1050" t="inlineStr">
        <is>
          <t>VARCHAR(32)</t>
        </is>
      </c>
      <c r="E1050" t="inlineStr">
        <is>
          <t>YES</t>
        </is>
      </c>
      <c r="F1050" t="inlineStr">
        <is>
          <t>付款行</t>
        </is>
      </c>
      <c r="H1050" t="inlineStr">
        <is>
          <t>VARCHAR</t>
        </is>
      </c>
      <c r="I1050" t="inlineStr">
        <is>
          <t>32</t>
        </is>
      </c>
    </row>
    <row r="1051">
      <c r="A1051" t="inlineStr">
        <is>
          <t>票据信息表</t>
        </is>
      </c>
      <c r="B1051" t="inlineStr">
        <is>
          <t>BILL_INFO</t>
        </is>
      </c>
      <c r="C1051" t="inlineStr">
        <is>
          <t>PAYMENTBANKNAME</t>
        </is>
      </c>
      <c r="D1051" t="inlineStr">
        <is>
          <t>VARCHAR(80)</t>
        </is>
      </c>
      <c r="E1051" t="inlineStr">
        <is>
          <t>YES</t>
        </is>
      </c>
      <c r="F1051" t="inlineStr">
        <is>
          <t>付款行全称</t>
        </is>
      </c>
      <c r="H1051" t="inlineStr">
        <is>
          <t>VARCHAR</t>
        </is>
      </c>
      <c r="I1051" t="inlineStr">
        <is>
          <t>80</t>
        </is>
      </c>
    </row>
    <row r="1052">
      <c r="A1052" t="inlineStr">
        <is>
          <t>票据信息表</t>
        </is>
      </c>
      <c r="B1052" t="inlineStr">
        <is>
          <t>BILL_INFO</t>
        </is>
      </c>
      <c r="C1052" t="inlineStr">
        <is>
          <t>TRANSACTIONBANK</t>
        </is>
      </c>
      <c r="D1052" t="inlineStr">
        <is>
          <t>VARCHAR(80)</t>
        </is>
      </c>
      <c r="E1052" t="inlineStr">
        <is>
          <t>YES</t>
        </is>
      </c>
      <c r="F1052" t="inlineStr">
        <is>
          <t>交易行</t>
        </is>
      </c>
      <c r="H1052" t="inlineStr">
        <is>
          <t>VARCHAR</t>
        </is>
      </c>
      <c r="I1052" t="inlineStr">
        <is>
          <t>80</t>
        </is>
      </c>
    </row>
    <row r="1053">
      <c r="A1053" t="inlineStr">
        <is>
          <t>票据信息表</t>
        </is>
      </c>
      <c r="B1053" t="inlineStr">
        <is>
          <t>BILL_INFO</t>
        </is>
      </c>
      <c r="C1053" t="inlineStr">
        <is>
          <t>TRANSACTIONBANKNO</t>
        </is>
      </c>
      <c r="D1053" t="inlineStr">
        <is>
          <t>VARCHAR(32)</t>
        </is>
      </c>
      <c r="E1053" t="inlineStr">
        <is>
          <t>YES</t>
        </is>
      </c>
      <c r="F1053" t="inlineStr">
        <is>
          <t>交易行号</t>
        </is>
      </c>
      <c r="H1053" t="inlineStr">
        <is>
          <t>VARCHAR</t>
        </is>
      </c>
      <c r="I1053" t="inlineStr">
        <is>
          <t>32</t>
        </is>
      </c>
    </row>
    <row r="1054">
      <c r="A1054" t="inlineStr">
        <is>
          <t>票据信息表</t>
        </is>
      </c>
      <c r="B1054" t="inlineStr">
        <is>
          <t>BILL_INFO</t>
        </is>
      </c>
      <c r="C1054" t="inlineStr">
        <is>
          <t>BUSINESSCHARACTER</t>
        </is>
      </c>
      <c r="D1054" t="inlineStr">
        <is>
          <t>VARCHAR(18)</t>
        </is>
      </c>
      <c r="E1054" t="inlineStr">
        <is>
          <t>YES</t>
        </is>
      </c>
      <c r="F1054" t="inlineStr">
        <is>
          <t>业务性质;正回购/逆回购/到期返售/到期回购/买断/卖断/行内转贴现)</t>
        </is>
      </c>
      <c r="H1054" t="inlineStr">
        <is>
          <t>VARCHAR</t>
        </is>
      </c>
      <c r="I1054" t="inlineStr">
        <is>
          <t>18</t>
        </is>
      </c>
    </row>
    <row r="1055">
      <c r="A1055" t="inlineStr">
        <is>
          <t>票据信息表</t>
        </is>
      </c>
      <c r="B1055" t="inlineStr">
        <is>
          <t>BILL_INFO</t>
        </is>
      </c>
      <c r="C1055" t="inlineStr">
        <is>
          <t>TRANSACTIONDATE</t>
        </is>
      </c>
      <c r="D1055" t="inlineStr">
        <is>
          <t>DATETIME</t>
        </is>
      </c>
      <c r="E1055" t="inlineStr">
        <is>
          <t>YES</t>
        </is>
      </c>
      <c r="F1055" t="inlineStr">
        <is>
          <t>交易日期</t>
        </is>
      </c>
      <c r="H1055" t="inlineStr">
        <is>
          <t>DATETIME</t>
        </is>
      </c>
    </row>
    <row r="1056">
      <c r="A1056" t="inlineStr">
        <is>
          <t>票据信息表</t>
        </is>
      </c>
      <c r="B1056" t="inlineStr">
        <is>
          <t>BILL_INFO</t>
        </is>
      </c>
      <c r="C1056" t="inlineStr">
        <is>
          <t>BUYBACKMATURITY</t>
        </is>
      </c>
      <c r="D1056" t="inlineStr">
        <is>
          <t>DATETIME</t>
        </is>
      </c>
      <c r="E1056" t="inlineStr">
        <is>
          <t>YES</t>
        </is>
      </c>
      <c r="F1056" t="inlineStr">
        <is>
          <t>回购到期日</t>
        </is>
      </c>
      <c r="H1056" t="inlineStr">
        <is>
          <t>DATETIME</t>
        </is>
      </c>
    </row>
    <row r="1057">
      <c r="A1057" t="inlineStr">
        <is>
          <t>票据信息表</t>
        </is>
      </c>
      <c r="B1057" t="inlineStr">
        <is>
          <t>BILL_INFO</t>
        </is>
      </c>
      <c r="C1057" t="inlineStr">
        <is>
          <t>BUYINORG</t>
        </is>
      </c>
      <c r="D1057" t="inlineStr">
        <is>
          <t>VARCHAR(32)</t>
        </is>
      </c>
      <c r="E1057" t="inlineStr">
        <is>
          <t>YES</t>
        </is>
      </c>
      <c r="F1057" t="inlineStr">
        <is>
          <t>行内买入机构</t>
        </is>
      </c>
      <c r="H1057" t="inlineStr">
        <is>
          <t>VARCHAR</t>
        </is>
      </c>
      <c r="I1057" t="inlineStr">
        <is>
          <t>32</t>
        </is>
      </c>
    </row>
    <row r="1058">
      <c r="A1058" t="inlineStr">
        <is>
          <t>票据信息表</t>
        </is>
      </c>
      <c r="B1058" t="inlineStr">
        <is>
          <t>BILL_INFO</t>
        </is>
      </c>
      <c r="C1058" t="inlineStr">
        <is>
          <t>ORIGAGREEMENTNO</t>
        </is>
      </c>
      <c r="D1058" t="inlineStr">
        <is>
          <t>VARCHAR(32)</t>
        </is>
      </c>
      <c r="E1058" t="inlineStr">
        <is>
          <t>YES</t>
        </is>
      </c>
      <c r="F1058" t="inlineStr">
        <is>
          <t>原协议编号</t>
        </is>
      </c>
      <c r="H1058" t="inlineStr">
        <is>
          <t>VARCHAR</t>
        </is>
      </c>
      <c r="I1058" t="inlineStr">
        <is>
          <t>32</t>
        </is>
      </c>
    </row>
    <row r="1059">
      <c r="A1059" t="inlineStr">
        <is>
          <t>票据信息表</t>
        </is>
      </c>
      <c r="B1059" t="inlineStr">
        <is>
          <t>BILL_INFO</t>
        </is>
      </c>
      <c r="C1059" t="inlineStr">
        <is>
          <t>LIMITOCCUPYBANK</t>
        </is>
      </c>
      <c r="D1059" t="inlineStr">
        <is>
          <t>VARCHAR(18)</t>
        </is>
      </c>
      <c r="E1059" t="inlineStr">
        <is>
          <t>YES</t>
        </is>
      </c>
      <c r="F1059" t="inlineStr">
        <is>
          <t>额度占用对象;承兑行/交易行)</t>
        </is>
      </c>
      <c r="H1059" t="inlineStr">
        <is>
          <t>VARCHAR</t>
        </is>
      </c>
      <c r="I1059" t="inlineStr">
        <is>
          <t>18</t>
        </is>
      </c>
    </row>
    <row r="1060">
      <c r="A1060" t="inlineStr">
        <is>
          <t>票据信息表</t>
        </is>
      </c>
      <c r="B1060" t="inlineStr">
        <is>
          <t>BILL_INFO</t>
        </is>
      </c>
      <c r="C1060" t="inlineStr">
        <is>
          <t>ONLINESETTLEMENT</t>
        </is>
      </c>
      <c r="D1060" t="inlineStr">
        <is>
          <t>VARCHAR(18)</t>
        </is>
      </c>
      <c r="E1060" t="inlineStr">
        <is>
          <t>YES</t>
        </is>
      </c>
      <c r="F1060" t="inlineStr">
        <is>
          <t>线上清算</t>
        </is>
      </c>
      <c r="H1060" t="inlineStr">
        <is>
          <t>VARCHAR</t>
        </is>
      </c>
      <c r="I1060" t="inlineStr">
        <is>
          <t>18</t>
        </is>
      </c>
    </row>
    <row r="1061">
      <c r="A1061" t="inlineStr">
        <is>
          <t>票据信息表</t>
        </is>
      </c>
      <c r="B1061" t="inlineStr">
        <is>
          <t>BILL_INFO</t>
        </is>
      </c>
      <c r="C1061" t="inlineStr">
        <is>
          <t>INPUTUSERID</t>
        </is>
      </c>
      <c r="D1061" t="inlineStr">
        <is>
          <t>VARCHAR(80)</t>
        </is>
      </c>
      <c r="E1061" t="inlineStr">
        <is>
          <t>YES</t>
        </is>
      </c>
      <c r="F1061" t="inlineStr">
        <is>
          <t>登记人</t>
        </is>
      </c>
      <c r="H1061" t="inlineStr">
        <is>
          <t>VARCHAR</t>
        </is>
      </c>
      <c r="I1061" t="inlineStr">
        <is>
          <t>80</t>
        </is>
      </c>
    </row>
    <row r="1062">
      <c r="A1062" t="inlineStr">
        <is>
          <t>票据信息表</t>
        </is>
      </c>
      <c r="B1062" t="inlineStr">
        <is>
          <t>BILL_INFO</t>
        </is>
      </c>
      <c r="C1062" t="inlineStr">
        <is>
          <t>INPUTORGID</t>
        </is>
      </c>
      <c r="D1062" t="inlineStr">
        <is>
          <t>VARCHAR(32)</t>
        </is>
      </c>
      <c r="E1062" t="inlineStr">
        <is>
          <t>YES</t>
        </is>
      </c>
      <c r="F1062" t="inlineStr">
        <is>
          <t>登记机构</t>
        </is>
      </c>
      <c r="H1062" t="inlineStr">
        <is>
          <t>VARCHAR</t>
        </is>
      </c>
      <c r="I1062" t="inlineStr">
        <is>
          <t>32</t>
        </is>
      </c>
    </row>
    <row r="1063">
      <c r="A1063" t="inlineStr">
        <is>
          <t>票据信息表</t>
        </is>
      </c>
      <c r="B1063" t="inlineStr">
        <is>
          <t>BILL_INFO</t>
        </is>
      </c>
      <c r="C1063" t="inlineStr">
        <is>
          <t>INPUTDATE</t>
        </is>
      </c>
      <c r="D1063" t="inlineStr">
        <is>
          <t>DATETIME</t>
        </is>
      </c>
      <c r="E1063" t="inlineStr">
        <is>
          <t>YES</t>
        </is>
      </c>
      <c r="F1063" t="inlineStr">
        <is>
          <t>登记日期</t>
        </is>
      </c>
      <c r="H1063" t="inlineStr">
        <is>
          <t>DATETIME</t>
        </is>
      </c>
    </row>
    <row r="1064">
      <c r="A1064" t="inlineStr">
        <is>
          <t>票据信息表</t>
        </is>
      </c>
      <c r="B1064" t="inlineStr">
        <is>
          <t>BILL_INFO</t>
        </is>
      </c>
      <c r="C1064" t="inlineStr">
        <is>
          <t>UPDATEUSERID</t>
        </is>
      </c>
      <c r="D1064" t="inlineStr">
        <is>
          <t>VARCHAR(80)</t>
        </is>
      </c>
      <c r="E1064" t="inlineStr">
        <is>
          <t>YES</t>
        </is>
      </c>
      <c r="F1064" t="inlineStr">
        <is>
          <t>更新人</t>
        </is>
      </c>
      <c r="H1064" t="inlineStr">
        <is>
          <t>VARCHAR</t>
        </is>
      </c>
      <c r="I1064" t="inlineStr">
        <is>
          <t>80</t>
        </is>
      </c>
    </row>
    <row r="1065">
      <c r="A1065" t="inlineStr">
        <is>
          <t>票据信息表</t>
        </is>
      </c>
      <c r="B1065" t="inlineStr">
        <is>
          <t>BILL_INFO</t>
        </is>
      </c>
      <c r="C1065" t="inlineStr">
        <is>
          <t>UPDATEORGID</t>
        </is>
      </c>
      <c r="D1065" t="inlineStr">
        <is>
          <t>VARCHAR(32)</t>
        </is>
      </c>
      <c r="E1065" t="inlineStr">
        <is>
          <t>YES</t>
        </is>
      </c>
      <c r="F1065" t="inlineStr">
        <is>
          <t>更新机构</t>
        </is>
      </c>
      <c r="H1065" t="inlineStr">
        <is>
          <t>VARCHAR</t>
        </is>
      </c>
      <c r="I1065" t="inlineStr">
        <is>
          <t>32</t>
        </is>
      </c>
    </row>
    <row r="1066">
      <c r="A1066" t="inlineStr">
        <is>
          <t>票据信息表</t>
        </is>
      </c>
      <c r="B1066" t="inlineStr">
        <is>
          <t>BILL_INFO</t>
        </is>
      </c>
      <c r="C1066" t="inlineStr">
        <is>
          <t>UPDATEDATE</t>
        </is>
      </c>
      <c r="D1066" t="inlineStr">
        <is>
          <t>DATETIME</t>
        </is>
      </c>
      <c r="E1066" t="inlineStr">
        <is>
          <t>YES</t>
        </is>
      </c>
      <c r="F1066" t="inlineStr">
        <is>
          <t>更新日期</t>
        </is>
      </c>
      <c r="H1066" t="inlineStr">
        <is>
          <t>DATETIME</t>
        </is>
      </c>
    </row>
    <row r="1067">
      <c r="A1067" t="inlineStr">
        <is>
          <t>票据信息表</t>
        </is>
      </c>
      <c r="B1067" t="inlineStr">
        <is>
          <t>BILL_INFO</t>
        </is>
      </c>
      <c r="C1067" t="inlineStr">
        <is>
          <t>CUSTOMERID</t>
        </is>
      </c>
      <c r="D1067" t="inlineStr">
        <is>
          <t>VARCHAR(32)</t>
        </is>
      </c>
      <c r="E1067" t="inlineStr">
        <is>
          <t>YES</t>
        </is>
      </c>
      <c r="F1067" t="inlineStr">
        <is>
          <t>客户编号</t>
        </is>
      </c>
      <c r="H1067" t="inlineStr">
        <is>
          <t>VARCHAR</t>
        </is>
      </c>
      <c r="I1067" t="inlineStr">
        <is>
          <t>32</t>
        </is>
      </c>
    </row>
    <row r="1068">
      <c r="A1068" t="inlineStr">
        <is>
          <t>票据信息表</t>
        </is>
      </c>
      <c r="B1068" t="inlineStr">
        <is>
          <t>BILL_INFO</t>
        </is>
      </c>
      <c r="C1068" t="inlineStr">
        <is>
          <t>CORPORGID</t>
        </is>
      </c>
      <c r="D1068" t="inlineStr">
        <is>
          <t>VARCHAR(32)</t>
        </is>
      </c>
      <c r="E1068" t="inlineStr">
        <is>
          <t>YES</t>
        </is>
      </c>
      <c r="F1068" t="inlineStr">
        <is>
          <t>法人机构编号</t>
        </is>
      </c>
      <c r="H1068" t="inlineStr">
        <is>
          <t>VARCHAR</t>
        </is>
      </c>
      <c r="I1068" t="inlineStr">
        <is>
          <t>32</t>
        </is>
      </c>
    </row>
    <row r="1069">
      <c r="A1069" t="inlineStr">
        <is>
          <t>合同信息表</t>
        </is>
      </c>
      <c r="B1069" t="inlineStr">
        <is>
          <t>BUSINESS_CONTRACT</t>
        </is>
      </c>
      <c r="C1069" t="inlineStr">
        <is>
          <t>SERIALNO</t>
        </is>
      </c>
      <c r="D1069" t="inlineStr">
        <is>
          <t>VARCHAR(32)</t>
        </is>
      </c>
      <c r="E1069" t="inlineStr">
        <is>
          <t>NO</t>
        </is>
      </c>
      <c r="F1069" t="inlineStr">
        <is>
          <t>合同编号</t>
        </is>
      </c>
      <c r="H1069" t="inlineStr">
        <is>
          <t>VARCHAR</t>
        </is>
      </c>
      <c r="I1069" t="inlineStr">
        <is>
          <t>32</t>
        </is>
      </c>
    </row>
    <row r="1070">
      <c r="A1070" t="inlineStr">
        <is>
          <t>合同信息表</t>
        </is>
      </c>
      <c r="B1070" t="inlineStr">
        <is>
          <t>BUSINESS_CONTRACT</t>
        </is>
      </c>
      <c r="C1070" t="inlineStr">
        <is>
          <t>CUSTOMERID</t>
        </is>
      </c>
      <c r="D1070" t="inlineStr">
        <is>
          <t>VARCHAR(32)</t>
        </is>
      </c>
      <c r="E1070" t="inlineStr">
        <is>
          <t>YES</t>
        </is>
      </c>
      <c r="F1070" t="inlineStr">
        <is>
          <t>客户编号</t>
        </is>
      </c>
      <c r="H1070" t="inlineStr">
        <is>
          <t>VARCHAR</t>
        </is>
      </c>
      <c r="I1070" t="inlineStr">
        <is>
          <t>32</t>
        </is>
      </c>
    </row>
    <row r="1071">
      <c r="A1071" t="inlineStr">
        <is>
          <t>合同信息表</t>
        </is>
      </c>
      <c r="B1071" t="inlineStr">
        <is>
          <t>BUSINESS_CONTRACT</t>
        </is>
      </c>
      <c r="C1071" t="inlineStr">
        <is>
          <t>CUSTOMERNAME</t>
        </is>
      </c>
      <c r="D1071" t="inlineStr">
        <is>
          <t>VARCHAR(80)</t>
        </is>
      </c>
      <c r="E1071" t="inlineStr">
        <is>
          <t>YES</t>
        </is>
      </c>
      <c r="F1071" t="inlineStr">
        <is>
          <t>客户名称</t>
        </is>
      </c>
      <c r="H1071" t="inlineStr">
        <is>
          <t>VARCHAR</t>
        </is>
      </c>
      <c r="I1071" t="inlineStr">
        <is>
          <t>80</t>
        </is>
      </c>
    </row>
    <row r="1072">
      <c r="A1072" t="inlineStr">
        <is>
          <t>合同信息表</t>
        </is>
      </c>
      <c r="B1072" t="inlineStr">
        <is>
          <t>BUSINESS_CONTRACT</t>
        </is>
      </c>
      <c r="C1072" t="inlineStr">
        <is>
          <t>CURRENCY</t>
        </is>
      </c>
      <c r="D1072" t="inlineStr">
        <is>
          <t>VARCHAR(18)</t>
        </is>
      </c>
      <c r="E1072" t="inlineStr">
        <is>
          <t>YES</t>
        </is>
      </c>
      <c r="F1072" t="inlineStr">
        <is>
          <t>额度/业务币种</t>
        </is>
      </c>
      <c r="H1072" t="inlineStr">
        <is>
          <t>VARCHAR</t>
        </is>
      </c>
      <c r="I1072" t="inlineStr">
        <is>
          <t>18</t>
        </is>
      </c>
    </row>
    <row r="1073">
      <c r="A1073" t="inlineStr">
        <is>
          <t>合同信息表</t>
        </is>
      </c>
      <c r="B1073" t="inlineStr">
        <is>
          <t>BUSINESS_CONTRACT</t>
        </is>
      </c>
      <c r="C1073" t="inlineStr">
        <is>
          <t>BUSINESSSUM</t>
        </is>
      </c>
      <c r="D1073" t="inlineStr">
        <is>
          <t>DECIMAL(24,6)</t>
        </is>
      </c>
      <c r="E1073" t="inlineStr">
        <is>
          <t>YES</t>
        </is>
      </c>
      <c r="F1073" t="inlineStr">
        <is>
          <t>合同金额</t>
        </is>
      </c>
      <c r="H1073" t="inlineStr">
        <is>
          <t>DECIMAL</t>
        </is>
      </c>
      <c r="I1073" t="inlineStr">
        <is>
          <t>24,6</t>
        </is>
      </c>
    </row>
    <row r="1074">
      <c r="A1074" t="inlineStr">
        <is>
          <t>合同信息表</t>
        </is>
      </c>
      <c r="B1074" t="inlineStr">
        <is>
          <t>BUSINESS_CONTRACT</t>
        </is>
      </c>
      <c r="C1074" t="inlineStr">
        <is>
          <t>PRODUCTID</t>
        </is>
      </c>
      <c r="D1074" t="inlineStr">
        <is>
          <t>VARCHAR(32)</t>
        </is>
      </c>
      <c r="E1074" t="inlineStr">
        <is>
          <t>YES</t>
        </is>
      </c>
      <c r="F1074" t="inlineStr">
        <is>
          <t>产品编号</t>
        </is>
      </c>
      <c r="H1074" t="inlineStr">
        <is>
          <t>VARCHAR</t>
        </is>
      </c>
      <c r="I1074" t="inlineStr">
        <is>
          <t>32</t>
        </is>
      </c>
    </row>
    <row r="1075">
      <c r="A1075" t="inlineStr">
        <is>
          <t>合同信息表</t>
        </is>
      </c>
      <c r="B1075" t="inlineStr">
        <is>
          <t>BUSINESS_CONTRACT</t>
        </is>
      </c>
      <c r="C1075" t="inlineStr">
        <is>
          <t>STARTDATE</t>
        </is>
      </c>
      <c r="D1075" t="inlineStr">
        <is>
          <t>DATETIME</t>
        </is>
      </c>
      <c r="E1075" t="inlineStr">
        <is>
          <t>YES</t>
        </is>
      </c>
      <c r="F1075" t="inlineStr">
        <is>
          <t>合同起始日</t>
        </is>
      </c>
      <c r="H1075" t="inlineStr">
        <is>
          <t>DATETIME</t>
        </is>
      </c>
    </row>
    <row r="1076">
      <c r="A1076" t="inlineStr">
        <is>
          <t>合同信息表</t>
        </is>
      </c>
      <c r="B1076" t="inlineStr">
        <is>
          <t>BUSINESS_CONTRACT</t>
        </is>
      </c>
      <c r="C1076" t="inlineStr">
        <is>
          <t>MATURITY</t>
        </is>
      </c>
      <c r="D1076" t="inlineStr">
        <is>
          <t>DATETIME</t>
        </is>
      </c>
      <c r="E1076" t="inlineStr">
        <is>
          <t>YES</t>
        </is>
      </c>
      <c r="F1076" t="inlineStr">
        <is>
          <t>合同到期日</t>
        </is>
      </c>
      <c r="H1076" t="inlineStr">
        <is>
          <t>DATETIME</t>
        </is>
      </c>
    </row>
    <row r="1077">
      <c r="A1077" t="inlineStr">
        <is>
          <t>合同信息表</t>
        </is>
      </c>
      <c r="B1077" t="inlineStr">
        <is>
          <t>BUSINESS_CONTRACT</t>
        </is>
      </c>
      <c r="C1077" t="inlineStr">
        <is>
          <t>INPUTUSERID</t>
        </is>
      </c>
      <c r="D1077" t="inlineStr">
        <is>
          <t>VARCHAR(32)</t>
        </is>
      </c>
      <c r="E1077" t="inlineStr">
        <is>
          <t>YES</t>
        </is>
      </c>
      <c r="F1077" t="inlineStr">
        <is>
          <t>登记人</t>
        </is>
      </c>
      <c r="H1077" t="inlineStr">
        <is>
          <t>VARCHAR</t>
        </is>
      </c>
      <c r="I1077" t="inlineStr">
        <is>
          <t>32</t>
        </is>
      </c>
    </row>
    <row r="1078">
      <c r="A1078" t="inlineStr">
        <is>
          <t>合同信息表</t>
        </is>
      </c>
      <c r="B1078" t="inlineStr">
        <is>
          <t>BUSINESS_CONTRACT</t>
        </is>
      </c>
      <c r="C1078" t="inlineStr">
        <is>
          <t>INPUTORGID</t>
        </is>
      </c>
      <c r="D1078" t="inlineStr">
        <is>
          <t>VARCHAR(32)</t>
        </is>
      </c>
      <c r="E1078" t="inlineStr">
        <is>
          <t>YES</t>
        </is>
      </c>
      <c r="F1078" t="inlineStr">
        <is>
          <t>登记机构</t>
        </is>
      </c>
      <c r="H1078" t="inlineStr">
        <is>
          <t>VARCHAR</t>
        </is>
      </c>
      <c r="I1078" t="inlineStr">
        <is>
          <t>32</t>
        </is>
      </c>
    </row>
    <row r="1079">
      <c r="A1079" t="inlineStr">
        <is>
          <t>合同信息表</t>
        </is>
      </c>
      <c r="B1079" t="inlineStr">
        <is>
          <t>BUSINESS_CONTRACT</t>
        </is>
      </c>
      <c r="C1079" t="inlineStr">
        <is>
          <t>INPUTDATE</t>
        </is>
      </c>
      <c r="D1079" t="inlineStr">
        <is>
          <t>DATETIME</t>
        </is>
      </c>
      <c r="E1079" t="inlineStr">
        <is>
          <t>YES</t>
        </is>
      </c>
      <c r="F1079" t="inlineStr">
        <is>
          <t>登记日期</t>
        </is>
      </c>
      <c r="H1079" t="inlineStr">
        <is>
          <t>DATETIME</t>
        </is>
      </c>
    </row>
    <row r="1080">
      <c r="A1080" t="inlineStr">
        <is>
          <t>合同信息表</t>
        </is>
      </c>
      <c r="B1080" t="inlineStr">
        <is>
          <t>BUSINESS_CONTRACT</t>
        </is>
      </c>
      <c r="C1080" t="inlineStr">
        <is>
          <t>UPDATEUSERID</t>
        </is>
      </c>
      <c r="D1080" t="inlineStr">
        <is>
          <t>VARCHAR(32)</t>
        </is>
      </c>
      <c r="E1080" t="inlineStr">
        <is>
          <t>YES</t>
        </is>
      </c>
      <c r="F1080" t="inlineStr">
        <is>
          <t>更新人</t>
        </is>
      </c>
      <c r="H1080" t="inlineStr">
        <is>
          <t>VARCHAR</t>
        </is>
      </c>
      <c r="I1080" t="inlineStr">
        <is>
          <t>32</t>
        </is>
      </c>
    </row>
    <row r="1081">
      <c r="A1081" t="inlineStr">
        <is>
          <t>合同信息表</t>
        </is>
      </c>
      <c r="B1081" t="inlineStr">
        <is>
          <t>BUSINESS_CONTRACT</t>
        </is>
      </c>
      <c r="C1081" t="inlineStr">
        <is>
          <t>UPDATEORGID</t>
        </is>
      </c>
      <c r="D1081" t="inlineStr">
        <is>
          <t>VARCHAR(32)</t>
        </is>
      </c>
      <c r="E1081" t="inlineStr">
        <is>
          <t>YES</t>
        </is>
      </c>
      <c r="F1081" t="inlineStr">
        <is>
          <t>更新机构</t>
        </is>
      </c>
      <c r="H1081" t="inlineStr">
        <is>
          <t>VARCHAR</t>
        </is>
      </c>
      <c r="I1081" t="inlineStr">
        <is>
          <t>32</t>
        </is>
      </c>
    </row>
    <row r="1082">
      <c r="A1082" t="inlineStr">
        <is>
          <t>合同信息表</t>
        </is>
      </c>
      <c r="B1082" t="inlineStr">
        <is>
          <t>BUSINESS_CONTRACT</t>
        </is>
      </c>
      <c r="C1082" t="inlineStr">
        <is>
          <t>UPDATEDATE</t>
        </is>
      </c>
      <c r="D1082" t="inlineStr">
        <is>
          <t>DATETIME</t>
        </is>
      </c>
      <c r="E1082" t="inlineStr">
        <is>
          <t>YES</t>
        </is>
      </c>
      <c r="F1082" t="inlineStr">
        <is>
          <t>更新日期</t>
        </is>
      </c>
      <c r="H1082" t="inlineStr">
        <is>
          <t>DATETIME</t>
        </is>
      </c>
    </row>
    <row r="1083">
      <c r="A1083" t="inlineStr">
        <is>
          <t>合同信息表</t>
        </is>
      </c>
      <c r="B1083" t="inlineStr">
        <is>
          <t>BUSINESS_CONTRACT</t>
        </is>
      </c>
      <c r="C1083" t="inlineStr">
        <is>
          <t>CORPORGID</t>
        </is>
      </c>
      <c r="D1083" t="inlineStr">
        <is>
          <t>VARCHAR(32)</t>
        </is>
      </c>
      <c r="E1083" t="inlineStr">
        <is>
          <t>YES</t>
        </is>
      </c>
      <c r="F1083" t="inlineStr">
        <is>
          <t>法人机构编号</t>
        </is>
      </c>
      <c r="H1083" t="inlineStr">
        <is>
          <t>VARCHAR</t>
        </is>
      </c>
      <c r="I1083" t="inlineStr">
        <is>
          <t>32</t>
        </is>
      </c>
    </row>
    <row r="1084">
      <c r="A1084" t="inlineStr">
        <is>
          <t>合同信息表</t>
        </is>
      </c>
      <c r="B1084" t="inlineStr">
        <is>
          <t>BUSINESS_CONTRACT</t>
        </is>
      </c>
      <c r="C1084" t="inlineStr">
        <is>
          <t>PRODUCTNAME</t>
        </is>
      </c>
      <c r="D1084" t="inlineStr">
        <is>
          <t>VARCHAR(80)</t>
        </is>
      </c>
      <c r="E1084" t="inlineStr">
        <is>
          <t>YES</t>
        </is>
      </c>
      <c r="F1084" t="inlineStr">
        <is>
          <t>产品名称</t>
        </is>
      </c>
      <c r="H1084" t="inlineStr">
        <is>
          <t>VARCHAR</t>
        </is>
      </c>
      <c r="I1084" t="inlineStr">
        <is>
          <t>80</t>
        </is>
      </c>
    </row>
    <row r="1085">
      <c r="A1085" t="inlineStr">
        <is>
          <t>合同信息表</t>
        </is>
      </c>
      <c r="B1085" t="inlineStr">
        <is>
          <t>BUSINESS_CONTRACT</t>
        </is>
      </c>
      <c r="C1085" t="inlineStr">
        <is>
          <t>SOURCESYSTEM</t>
        </is>
      </c>
      <c r="D1085" t="inlineStr">
        <is>
          <t>VARCHAR(18)</t>
        </is>
      </c>
      <c r="E1085" t="inlineStr">
        <is>
          <t>YES</t>
        </is>
      </c>
      <c r="F1085" t="inlineStr">
        <is>
          <t>来源系统</t>
        </is>
      </c>
      <c r="H1085" t="inlineStr">
        <is>
          <t>VARCHAR</t>
        </is>
      </c>
      <c r="I1085" t="inlineStr">
        <is>
          <t>18</t>
        </is>
      </c>
    </row>
    <row r="1086">
      <c r="A1086" t="inlineStr">
        <is>
          <t>合同信息表</t>
        </is>
      </c>
      <c r="B1086" t="inlineStr">
        <is>
          <t>BUSINESS_CONTRACT</t>
        </is>
      </c>
      <c r="C1086" t="inlineStr">
        <is>
          <t>BUSINESSFLAG</t>
        </is>
      </c>
      <c r="D1086" t="inlineStr">
        <is>
          <t>VARCHAR(6)</t>
        </is>
      </c>
      <c r="E1086" t="inlineStr">
        <is>
          <t>YES</t>
        </is>
      </c>
      <c r="F1086" t="inlineStr">
        <is>
          <t>额度/业务标志</t>
        </is>
      </c>
      <c r="H1086" t="inlineStr">
        <is>
          <t>VARCHAR</t>
        </is>
      </c>
      <c r="I1086" t="inlineStr">
        <is>
          <t>6</t>
        </is>
      </c>
    </row>
    <row r="1087">
      <c r="A1087" t="inlineStr">
        <is>
          <t>合同信息表</t>
        </is>
      </c>
      <c r="B1087" t="inlineStr">
        <is>
          <t>BUSINESS_CONTRACT</t>
        </is>
      </c>
      <c r="C1087" t="inlineStr">
        <is>
          <t>STATUS</t>
        </is>
      </c>
      <c r="D1087" t="inlineStr">
        <is>
          <t>VARCHAR(18)</t>
        </is>
      </c>
      <c r="E1087" t="inlineStr">
        <is>
          <t>YES</t>
        </is>
      </c>
      <c r="F1087" t="inlineStr">
        <is>
          <t>合同状态</t>
        </is>
      </c>
      <c r="H1087" t="inlineStr">
        <is>
          <t>VARCHAR</t>
        </is>
      </c>
      <c r="I1087" t="inlineStr">
        <is>
          <t>18</t>
        </is>
      </c>
    </row>
    <row r="1088">
      <c r="A1088" t="inlineStr">
        <is>
          <t>合同信息表</t>
        </is>
      </c>
      <c r="B1088" t="inlineStr">
        <is>
          <t>BUSINESS_CONTRACT</t>
        </is>
      </c>
      <c r="C1088" t="inlineStr">
        <is>
          <t>CONTRACTTYPE</t>
        </is>
      </c>
      <c r="D1088" t="inlineStr">
        <is>
          <t>VARCHAR(18)</t>
        </is>
      </c>
      <c r="E1088" t="inlineStr">
        <is>
          <t>YES</t>
        </is>
      </c>
      <c r="F1088" t="inlineStr">
        <is>
          <t>合同类型</t>
        </is>
      </c>
      <c r="H1088" t="inlineStr">
        <is>
          <t>VARCHAR</t>
        </is>
      </c>
      <c r="I1088" t="inlineStr">
        <is>
          <t>18</t>
        </is>
      </c>
    </row>
    <row r="1089">
      <c r="A1089" t="inlineStr">
        <is>
          <t>合同信息表</t>
        </is>
      </c>
      <c r="B1089" t="inlineStr">
        <is>
          <t>BUSINESS_CONTRACT</t>
        </is>
      </c>
      <c r="C1089" t="inlineStr">
        <is>
          <t>NATIONALINDUSTRYTYPE</t>
        </is>
      </c>
      <c r="D1089" t="inlineStr">
        <is>
          <t>VARCHAR(32)</t>
        </is>
      </c>
      <c r="E1089" t="inlineStr">
        <is>
          <t>YES</t>
        </is>
      </c>
      <c r="F1089" t="inlineStr">
        <is>
          <t>国标行业投向</t>
        </is>
      </c>
      <c r="H1089" t="inlineStr">
        <is>
          <t>VARCHAR</t>
        </is>
      </c>
      <c r="I1089" t="inlineStr">
        <is>
          <t>32</t>
        </is>
      </c>
    </row>
    <row r="1090">
      <c r="A1090" t="inlineStr">
        <is>
          <t>合同信息表</t>
        </is>
      </c>
      <c r="B1090" t="inlineStr">
        <is>
          <t>BUSINESS_CONTRACT</t>
        </is>
      </c>
      <c r="C1090" t="inlineStr">
        <is>
          <t>OPERATEORGID</t>
        </is>
      </c>
      <c r="D1090" t="inlineStr">
        <is>
          <t>VARCHAR(32)</t>
        </is>
      </c>
      <c r="E1090" t="inlineStr">
        <is>
          <t>YES</t>
        </is>
      </c>
      <c r="F1090" t="inlineStr">
        <is>
          <t>经办机构</t>
        </is>
      </c>
      <c r="H1090" t="inlineStr">
        <is>
          <t>VARCHAR</t>
        </is>
      </c>
      <c r="I1090" t="inlineStr">
        <is>
          <t>32</t>
        </is>
      </c>
    </row>
    <row r="1091">
      <c r="A1091" t="inlineStr">
        <is>
          <t>合同信息表</t>
        </is>
      </c>
      <c r="B1091" t="inlineStr">
        <is>
          <t>BUSINESS_CONTRACT</t>
        </is>
      </c>
      <c r="C1091" t="inlineStr">
        <is>
          <t>BALANCE</t>
        </is>
      </c>
      <c r="D1091" t="inlineStr">
        <is>
          <t>DECIMAL(24,6)</t>
        </is>
      </c>
      <c r="E1091" t="inlineStr">
        <is>
          <t>YES</t>
        </is>
      </c>
      <c r="F1091" t="inlineStr">
        <is>
          <t>合同余额</t>
        </is>
      </c>
      <c r="H1091" t="inlineStr">
        <is>
          <t>DECIMAL</t>
        </is>
      </c>
      <c r="I1091" t="inlineStr">
        <is>
          <t>24,6</t>
        </is>
      </c>
    </row>
    <row r="1092">
      <c r="A1092" t="inlineStr">
        <is>
          <t>金融类质押品</t>
        </is>
      </c>
      <c r="B1092" t="inlineStr">
        <is>
          <t>CLR_ASSET_FINANCE</t>
        </is>
      </c>
      <c r="C1092" t="inlineStr">
        <is>
          <t>CLRID</t>
        </is>
      </c>
      <c r="D1092" t="inlineStr">
        <is>
          <t>VARCHAR(32)</t>
        </is>
      </c>
      <c r="E1092" t="inlineStr">
        <is>
          <t>NO</t>
        </is>
      </c>
      <c r="F1092" t="inlineStr">
        <is>
          <t>押品编号</t>
        </is>
      </c>
      <c r="H1092" t="inlineStr">
        <is>
          <t>VARCHAR</t>
        </is>
      </c>
      <c r="I1092" t="inlineStr">
        <is>
          <t>32</t>
        </is>
      </c>
    </row>
    <row r="1093">
      <c r="A1093" t="inlineStr">
        <is>
          <t>金融类质押品</t>
        </is>
      </c>
      <c r="B1093" t="inlineStr">
        <is>
          <t>CLR_ASSET_FINANCE</t>
        </is>
      </c>
      <c r="C1093" t="inlineStr">
        <is>
          <t>DEPOSITNO</t>
        </is>
      </c>
      <c r="D1093" t="inlineStr">
        <is>
          <t>VARCHAR(32)</t>
        </is>
      </c>
      <c r="E1093" t="inlineStr">
        <is>
          <t>YES</t>
        </is>
      </c>
      <c r="F1093" t="inlineStr">
        <is>
          <t>存单号码</t>
        </is>
      </c>
      <c r="H1093" t="inlineStr">
        <is>
          <t>VARCHAR</t>
        </is>
      </c>
      <c r="I1093" t="inlineStr">
        <is>
          <t>32</t>
        </is>
      </c>
    </row>
    <row r="1094">
      <c r="A1094" t="inlineStr">
        <is>
          <t>金融类质押品</t>
        </is>
      </c>
      <c r="B1094" t="inlineStr">
        <is>
          <t>CLR_ASSET_FINANCE</t>
        </is>
      </c>
      <c r="C1094" t="inlineStr">
        <is>
          <t>SAVINGMODE</t>
        </is>
      </c>
      <c r="D1094" t="inlineStr">
        <is>
          <t>VARCHAR(6)</t>
        </is>
      </c>
      <c r="E1094" t="inlineStr">
        <is>
          <t>YES</t>
        </is>
      </c>
      <c r="F1094" t="inlineStr">
        <is>
          <t>储蓄方式</t>
        </is>
      </c>
      <c r="H1094" t="inlineStr">
        <is>
          <t>VARCHAR</t>
        </is>
      </c>
      <c r="I1094" t="inlineStr">
        <is>
          <t>6</t>
        </is>
      </c>
    </row>
    <row r="1095">
      <c r="A1095" t="inlineStr">
        <is>
          <t>金融类质押品</t>
        </is>
      </c>
      <c r="B1095" t="inlineStr">
        <is>
          <t>CLR_ASSET_FINANCE</t>
        </is>
      </c>
      <c r="C1095" t="inlineStr">
        <is>
          <t>SAVEDATE</t>
        </is>
      </c>
      <c r="D1095" t="inlineStr">
        <is>
          <t>DATETIME</t>
        </is>
      </c>
      <c r="E1095" t="inlineStr">
        <is>
          <t>YES</t>
        </is>
      </c>
      <c r="F1095" t="inlineStr">
        <is>
          <t>存入日期</t>
        </is>
      </c>
      <c r="H1095" t="inlineStr">
        <is>
          <t>DATETIME</t>
        </is>
      </c>
    </row>
    <row r="1096">
      <c r="A1096" t="inlineStr">
        <is>
          <t>金融类质押品</t>
        </is>
      </c>
      <c r="B1096" t="inlineStr">
        <is>
          <t>CLR_ASSET_FINANCE</t>
        </is>
      </c>
      <c r="C1096" t="inlineStr">
        <is>
          <t>DRAWMODE</t>
        </is>
      </c>
      <c r="D1096" t="inlineStr">
        <is>
          <t>VARCHAR(6)</t>
        </is>
      </c>
      <c r="E1096" t="inlineStr">
        <is>
          <t>YES</t>
        </is>
      </c>
      <c r="F1096" t="inlineStr">
        <is>
          <t>存单支取方式</t>
        </is>
      </c>
      <c r="H1096" t="inlineStr">
        <is>
          <t>VARCHAR</t>
        </is>
      </c>
      <c r="I1096" t="inlineStr">
        <is>
          <t>6</t>
        </is>
      </c>
    </row>
    <row r="1097">
      <c r="A1097" t="inlineStr">
        <is>
          <t>金融类质押品</t>
        </is>
      </c>
      <c r="B1097" t="inlineStr">
        <is>
          <t>CLR_ASSET_FINANCE</t>
        </is>
      </c>
      <c r="C1097" t="inlineStr">
        <is>
          <t>BANKBOOKCARDNO</t>
        </is>
      </c>
      <c r="D1097" t="inlineStr">
        <is>
          <t>VARCHAR(32)</t>
        </is>
      </c>
      <c r="E1097" t="inlineStr">
        <is>
          <t>YES</t>
        </is>
      </c>
      <c r="F1097" t="inlineStr">
        <is>
          <t>存折卡号</t>
        </is>
      </c>
      <c r="H1097" t="inlineStr">
        <is>
          <t>VARCHAR</t>
        </is>
      </c>
      <c r="I1097" t="inlineStr">
        <is>
          <t>32</t>
        </is>
      </c>
    </row>
    <row r="1098">
      <c r="A1098" t="inlineStr">
        <is>
          <t>金融类质押品</t>
        </is>
      </c>
      <c r="B1098" t="inlineStr">
        <is>
          <t>CLR_ASSET_FINANCE</t>
        </is>
      </c>
      <c r="C1098" t="inlineStr">
        <is>
          <t>OPENDATE</t>
        </is>
      </c>
      <c r="D1098" t="inlineStr">
        <is>
          <t>DATETIME</t>
        </is>
      </c>
      <c r="E1098" t="inlineStr">
        <is>
          <t>YES</t>
        </is>
      </c>
      <c r="F1098" t="inlineStr">
        <is>
          <t>开户日期</t>
        </is>
      </c>
      <c r="H1098" t="inlineStr">
        <is>
          <t>DATETIME</t>
        </is>
      </c>
    </row>
    <row r="1099">
      <c r="A1099" t="inlineStr">
        <is>
          <t>金融类质押品</t>
        </is>
      </c>
      <c r="B1099" t="inlineStr">
        <is>
          <t>CLR_ASSET_FINANCE</t>
        </is>
      </c>
      <c r="C1099" t="inlineStr">
        <is>
          <t>BAILCOMESOURCE</t>
        </is>
      </c>
      <c r="D1099" t="inlineStr">
        <is>
          <t>VARCHAR(80)</t>
        </is>
      </c>
      <c r="E1099" t="inlineStr">
        <is>
          <t>YES</t>
        </is>
      </c>
      <c r="F1099" t="inlineStr">
        <is>
          <t>保证金来源</t>
        </is>
      </c>
      <c r="H1099" t="inlineStr">
        <is>
          <t>VARCHAR</t>
        </is>
      </c>
      <c r="I1099" t="inlineStr">
        <is>
          <t>80</t>
        </is>
      </c>
    </row>
    <row r="1100">
      <c r="A1100" t="inlineStr">
        <is>
          <t>金融类质押品</t>
        </is>
      </c>
      <c r="B1100" t="inlineStr">
        <is>
          <t>CLR_ASSET_FINANCE</t>
        </is>
      </c>
      <c r="C1100" t="inlineStr">
        <is>
          <t>ACCOUNTTYPE</t>
        </is>
      </c>
      <c r="D1100" t="inlineStr">
        <is>
          <t>VARCHAR(18)</t>
        </is>
      </c>
      <c r="E1100" t="inlineStr">
        <is>
          <t>YES</t>
        </is>
      </c>
      <c r="F1100" t="inlineStr">
        <is>
          <t>账户类型/上市类型</t>
        </is>
      </c>
      <c r="H1100" t="inlineStr">
        <is>
          <t>VARCHAR</t>
        </is>
      </c>
      <c r="I1100" t="inlineStr">
        <is>
          <t>18</t>
        </is>
      </c>
    </row>
    <row r="1101">
      <c r="A1101" t="inlineStr">
        <is>
          <t>金融类质押品</t>
        </is>
      </c>
      <c r="B1101" t="inlineStr">
        <is>
          <t>CLR_ASSET_FINANCE</t>
        </is>
      </c>
      <c r="C1101" t="inlineStr">
        <is>
          <t>ACCOUNTNO</t>
        </is>
      </c>
      <c r="D1101" t="inlineStr">
        <is>
          <t>VARCHAR(32)</t>
        </is>
      </c>
      <c r="E1101" t="inlineStr">
        <is>
          <t>YES</t>
        </is>
      </c>
      <c r="F1101" t="inlineStr">
        <is>
          <t>账号/资金帐号/收款人账号/股票账户/基金持有人的资金账号/保险缴纳账号/持有人自己账户</t>
        </is>
      </c>
      <c r="H1101" t="inlineStr">
        <is>
          <t>VARCHAR</t>
        </is>
      </c>
      <c r="I1101" t="inlineStr">
        <is>
          <t>32</t>
        </is>
      </c>
    </row>
    <row r="1102">
      <c r="A1102" t="inlineStr">
        <is>
          <t>金融类质押品</t>
        </is>
      </c>
      <c r="B1102" t="inlineStr">
        <is>
          <t>CLR_ASSET_FINANCE</t>
        </is>
      </c>
      <c r="C1102" t="inlineStr">
        <is>
          <t>ACCOUNTNAME</t>
        </is>
      </c>
      <c r="D1102" t="inlineStr">
        <is>
          <t>VARCHAR(80)</t>
        </is>
      </c>
      <c r="E1102" t="inlineStr">
        <is>
          <t>YES</t>
        </is>
      </c>
      <c r="F1102" t="inlineStr">
        <is>
          <t>户名</t>
        </is>
      </c>
      <c r="H1102" t="inlineStr">
        <is>
          <t>VARCHAR</t>
        </is>
      </c>
      <c r="I1102" t="inlineStr">
        <is>
          <t>80</t>
        </is>
      </c>
    </row>
    <row r="1103">
      <c r="A1103" t="inlineStr">
        <is>
          <t>金融类质押品</t>
        </is>
      </c>
      <c r="B1103" t="inlineStr">
        <is>
          <t>CLR_ASSET_FINANCE</t>
        </is>
      </c>
      <c r="C1103" t="inlineStr">
        <is>
          <t>OPENBANKNO</t>
        </is>
      </c>
      <c r="D1103" t="inlineStr">
        <is>
          <t>VARCHAR(80)</t>
        </is>
      </c>
      <c r="E1103" t="inlineStr">
        <is>
          <t>YES</t>
        </is>
      </c>
      <c r="F1103" t="inlineStr">
        <is>
          <t>开户银行行号/存单所属行行号/保险费用缴纳开户行号</t>
        </is>
      </c>
      <c r="H1103" t="inlineStr">
        <is>
          <t>VARCHAR</t>
        </is>
      </c>
      <c r="I1103" t="inlineStr">
        <is>
          <t>80</t>
        </is>
      </c>
    </row>
    <row r="1104">
      <c r="A1104" t="inlineStr">
        <is>
          <t>金融类质押品</t>
        </is>
      </c>
      <c r="B1104" t="inlineStr">
        <is>
          <t>CLR_ASSET_FINANCE</t>
        </is>
      </c>
      <c r="C1104" t="inlineStr">
        <is>
          <t>OPENBANKNAME</t>
        </is>
      </c>
      <c r="D1104" t="inlineStr">
        <is>
          <t>VARCHAR(80)</t>
        </is>
      </c>
      <c r="E1104" t="inlineStr">
        <is>
          <t>YES</t>
        </is>
      </c>
      <c r="F1104" t="inlineStr">
        <is>
          <t>开户行名称/债券发行人/收款人开户银行/存单所属行名称/保险费用缴纳开户行</t>
        </is>
      </c>
      <c r="H1104" t="inlineStr">
        <is>
          <t>VARCHAR</t>
        </is>
      </c>
      <c r="I1104" t="inlineStr">
        <is>
          <t>80</t>
        </is>
      </c>
    </row>
    <row r="1105">
      <c r="A1105" t="inlineStr">
        <is>
          <t>金融类质押品</t>
        </is>
      </c>
      <c r="B1105" t="inlineStr">
        <is>
          <t>CLR_ASSET_FINANCE</t>
        </is>
      </c>
      <c r="C1105" t="inlineStr">
        <is>
          <t>DATEOFVALUE</t>
        </is>
      </c>
      <c r="D1105" t="inlineStr">
        <is>
          <t>DATETIME</t>
        </is>
      </c>
      <c r="E1105" t="inlineStr">
        <is>
          <t>YES</t>
        </is>
      </c>
      <c r="F1105" t="inlineStr">
        <is>
          <t>起息日期/债券开户日/发行日/出票日期/保单生效日</t>
        </is>
      </c>
      <c r="H1105" t="inlineStr">
        <is>
          <t>DATETIME</t>
        </is>
      </c>
    </row>
    <row r="1106">
      <c r="A1106" t="inlineStr">
        <is>
          <t>金融类质押品</t>
        </is>
      </c>
      <c r="B1106" t="inlineStr">
        <is>
          <t>CLR_ASSET_FINANCE</t>
        </is>
      </c>
      <c r="C1106" t="inlineStr">
        <is>
          <t>MATURITYDATE</t>
        </is>
      </c>
      <c r="D1106" t="inlineStr">
        <is>
          <t>DATETIME</t>
        </is>
      </c>
      <c r="E1106" t="inlineStr">
        <is>
          <t>YES</t>
        </is>
      </c>
      <c r="F1106" t="inlineStr">
        <is>
          <t>到期日期/债券到期日/到期日期/保单到期日期</t>
        </is>
      </c>
      <c r="H1106" t="inlineStr">
        <is>
          <t>DATETIME</t>
        </is>
      </c>
    </row>
    <row r="1107">
      <c r="A1107" t="inlineStr">
        <is>
          <t>金融类质押品</t>
        </is>
      </c>
      <c r="B1107" t="inlineStr">
        <is>
          <t>CLR_ASSET_FINANCE</t>
        </is>
      </c>
      <c r="C1107" t="inlineStr">
        <is>
          <t>CASHDEVTYPE</t>
        </is>
      </c>
      <c r="D1107" t="inlineStr">
        <is>
          <t>VARCHAR(6)</t>
        </is>
      </c>
      <c r="E1107" t="inlineStr">
        <is>
          <t>YES</t>
        </is>
      </c>
      <c r="F1107" t="inlineStr">
        <is>
          <t>票据类型</t>
        </is>
      </c>
      <c r="H1107" t="inlineStr">
        <is>
          <t>VARCHAR</t>
        </is>
      </c>
      <c r="I1107" t="inlineStr">
        <is>
          <t>6</t>
        </is>
      </c>
    </row>
    <row r="1108">
      <c r="A1108" t="inlineStr">
        <is>
          <t>金融类质押品</t>
        </is>
      </c>
      <c r="B1108" t="inlineStr">
        <is>
          <t>CLR_ASSET_FINANCE</t>
        </is>
      </c>
      <c r="C1108" t="inlineStr">
        <is>
          <t>DESPOSITTYPE</t>
        </is>
      </c>
      <c r="D1108" t="inlineStr">
        <is>
          <t>VARCHAR(6)</t>
        </is>
      </c>
      <c r="E1108" t="inlineStr">
        <is>
          <t>YES</t>
        </is>
      </c>
      <c r="F1108" t="inlineStr">
        <is>
          <t>存单类型/债券市场类型/票据类型/基金投资类型/保险种类/保证金账户类型/我行理财产品类型</t>
        </is>
      </c>
      <c r="H1108" t="inlineStr">
        <is>
          <t>VARCHAR</t>
        </is>
      </c>
      <c r="I1108" t="inlineStr">
        <is>
          <t>6</t>
        </is>
      </c>
    </row>
    <row r="1109">
      <c r="A1109" t="inlineStr">
        <is>
          <t>金融类质押品</t>
        </is>
      </c>
      <c r="B1109" t="inlineStr">
        <is>
          <t>CLR_ASSET_FINANCE</t>
        </is>
      </c>
      <c r="C1109" t="inlineStr">
        <is>
          <t>BALANCE</t>
        </is>
      </c>
      <c r="D1109" t="inlineStr">
        <is>
          <t>DECIMAL(24,6)</t>
        </is>
      </c>
      <c r="E1109" t="inlineStr">
        <is>
          <t>YES</t>
        </is>
      </c>
      <c r="F1109" t="inlineStr">
        <is>
          <t>余额/最近一个交易日市价;净值）/保险承保金额</t>
        </is>
      </c>
      <c r="H1109" t="inlineStr">
        <is>
          <t>DECIMAL</t>
        </is>
      </c>
      <c r="I1109" t="inlineStr">
        <is>
          <t>24,6</t>
        </is>
      </c>
    </row>
    <row r="1110">
      <c r="A1110" t="inlineStr">
        <is>
          <t>金融类质押品</t>
        </is>
      </c>
      <c r="B1110" t="inlineStr">
        <is>
          <t>CLR_ASSET_FINANCE</t>
        </is>
      </c>
      <c r="C1110" t="inlineStr">
        <is>
          <t>TRADECONTRACTNO</t>
        </is>
      </c>
      <c r="D1110" t="inlineStr">
        <is>
          <t>VARCHAR(50)</t>
        </is>
      </c>
      <c r="E1110" t="inlineStr">
        <is>
          <t>YES</t>
        </is>
      </c>
      <c r="F1110" t="inlineStr">
        <is>
          <t>贵金属交易合约号/汇票交易合同号码/保险合同号/理财协议编号</t>
        </is>
      </c>
      <c r="H1110" t="inlineStr">
        <is>
          <t>VARCHAR</t>
        </is>
      </c>
      <c r="I1110" t="inlineStr">
        <is>
          <t>50</t>
        </is>
      </c>
    </row>
    <row r="1111">
      <c r="A1111" t="inlineStr">
        <is>
          <t>金融类质押品</t>
        </is>
      </c>
      <c r="B1111" t="inlineStr">
        <is>
          <t>CLR_ASSET_FINANCE</t>
        </is>
      </c>
      <c r="C1111" t="inlineStr">
        <is>
          <t>GOLDACCOUNTNUMBER</t>
        </is>
      </c>
      <c r="D1111" t="inlineStr">
        <is>
          <t>VARCHAR(32)</t>
        </is>
      </c>
      <c r="E1111" t="inlineStr">
        <is>
          <t>YES</t>
        </is>
      </c>
      <c r="F1111" t="inlineStr">
        <is>
          <t>黄金交易账户编码/股东代码/贵金属交易账号</t>
        </is>
      </c>
      <c r="H1111" t="inlineStr">
        <is>
          <t>VARCHAR</t>
        </is>
      </c>
      <c r="I1111" t="inlineStr">
        <is>
          <t>32</t>
        </is>
      </c>
    </row>
    <row r="1112">
      <c r="A1112" t="inlineStr">
        <is>
          <t>金融类质押品</t>
        </is>
      </c>
      <c r="B1112" t="inlineStr">
        <is>
          <t>CLR_ASSET_FINANCE</t>
        </is>
      </c>
      <c r="C1112" t="inlineStr">
        <is>
          <t>TRADENO</t>
        </is>
      </c>
      <c r="D1112" t="inlineStr">
        <is>
          <t>VARCHAR(32)</t>
        </is>
      </c>
      <c r="E1112" t="inlineStr">
        <is>
          <t>YES</t>
        </is>
      </c>
      <c r="F1112" t="inlineStr">
        <is>
          <t>交易号</t>
        </is>
      </c>
      <c r="H1112" t="inlineStr">
        <is>
          <t>VARCHAR</t>
        </is>
      </c>
      <c r="I1112" t="inlineStr">
        <is>
          <t>32</t>
        </is>
      </c>
    </row>
    <row r="1113">
      <c r="A1113" t="inlineStr">
        <is>
          <t>金融类质押品</t>
        </is>
      </c>
      <c r="B1113" t="inlineStr">
        <is>
          <t>CLR_ASSET_FINANCE</t>
        </is>
      </c>
      <c r="C1113" t="inlineStr">
        <is>
          <t>NOBLEMETALTYPE</t>
        </is>
      </c>
      <c r="D1113" t="inlineStr">
        <is>
          <t>VARCHAR(18)</t>
        </is>
      </c>
      <c r="E1113" t="inlineStr">
        <is>
          <t>YES</t>
        </is>
      </c>
      <c r="F1113" t="inlineStr">
        <is>
          <t>贵金属品种</t>
        </is>
      </c>
      <c r="H1113" t="inlineStr">
        <is>
          <t>VARCHAR</t>
        </is>
      </c>
      <c r="I1113" t="inlineStr">
        <is>
          <t>18</t>
        </is>
      </c>
    </row>
    <row r="1114">
      <c r="A1114" t="inlineStr">
        <is>
          <t>金融类质押品</t>
        </is>
      </c>
      <c r="B1114" t="inlineStr">
        <is>
          <t>CLR_ASSET_FINANCE</t>
        </is>
      </c>
      <c r="C1114" t="inlineStr">
        <is>
          <t>NOBLEMETALNORMS</t>
        </is>
      </c>
      <c r="D1114" t="inlineStr">
        <is>
          <t>VARCHAR(80)</t>
        </is>
      </c>
      <c r="E1114" t="inlineStr">
        <is>
          <t>YES</t>
        </is>
      </c>
      <c r="F1114" t="inlineStr">
        <is>
          <t>贵金属规格</t>
        </is>
      </c>
      <c r="H1114" t="inlineStr">
        <is>
          <t>VARCHAR</t>
        </is>
      </c>
      <c r="I1114" t="inlineStr">
        <is>
          <t>80</t>
        </is>
      </c>
    </row>
    <row r="1115">
      <c r="A1115" t="inlineStr">
        <is>
          <t>金融类质押品</t>
        </is>
      </c>
      <c r="B1115" t="inlineStr">
        <is>
          <t>CLR_ASSET_FINANCE</t>
        </is>
      </c>
      <c r="C1115" t="inlineStr">
        <is>
          <t>NOBLEMETALQUANTITY</t>
        </is>
      </c>
      <c r="D1115" t="inlineStr">
        <is>
          <t>INT</t>
        </is>
      </c>
      <c r="E1115" t="inlineStr">
        <is>
          <t>YES</t>
        </is>
      </c>
      <c r="F1115" t="inlineStr">
        <is>
          <t>贵金属数量/持有股票数量/持有基金份数</t>
        </is>
      </c>
      <c r="H1115" t="inlineStr">
        <is>
          <t>INT</t>
        </is>
      </c>
    </row>
    <row r="1116">
      <c r="A1116" t="inlineStr">
        <is>
          <t>金融类质押品</t>
        </is>
      </c>
      <c r="B1116" t="inlineStr">
        <is>
          <t>CLR_ASSET_FINANCE</t>
        </is>
      </c>
      <c r="C1116" t="inlineStr">
        <is>
          <t>PURCHASEDATE</t>
        </is>
      </c>
      <c r="D1116" t="inlineStr">
        <is>
          <t>DATETIME</t>
        </is>
      </c>
      <c r="E1116" t="inlineStr">
        <is>
          <t>YES</t>
        </is>
      </c>
      <c r="F1116" t="inlineStr">
        <is>
          <t>贵金属购入日期/债券购入日期/签发日期/最近一个交易日日期</t>
        </is>
      </c>
      <c r="H1116" t="inlineStr">
        <is>
          <t>DATETIME</t>
        </is>
      </c>
    </row>
    <row r="1117">
      <c r="A1117" t="inlineStr">
        <is>
          <t>金融类质押品</t>
        </is>
      </c>
      <c r="B1117" t="inlineStr">
        <is>
          <t>CLR_ASSET_FINANCE</t>
        </is>
      </c>
      <c r="C1117" t="inlineStr">
        <is>
          <t>PURCHASEVALUE</t>
        </is>
      </c>
      <c r="D1117" t="inlineStr">
        <is>
          <t>DECIMAL(24,6)</t>
        </is>
      </c>
      <c r="E1117" t="inlineStr">
        <is>
          <t>YES</t>
        </is>
      </c>
      <c r="F1117" t="inlineStr">
        <is>
          <t>贵金属购入价值/最近一年;净值）均价</t>
        </is>
      </c>
      <c r="H1117" t="inlineStr">
        <is>
          <t>DECIMAL</t>
        </is>
      </c>
      <c r="I1117" t="inlineStr">
        <is>
          <t>24,6</t>
        </is>
      </c>
    </row>
    <row r="1118">
      <c r="A1118" t="inlineStr">
        <is>
          <t>金融类质押品</t>
        </is>
      </c>
      <c r="B1118" t="inlineStr">
        <is>
          <t>CLR_ASSET_FINANCE</t>
        </is>
      </c>
      <c r="C1118" t="inlineStr">
        <is>
          <t>CURRPRICE</t>
        </is>
      </c>
      <c r="D1118" t="inlineStr">
        <is>
          <t>DECIMAL(24,6)</t>
        </is>
      </c>
      <c r="E1118" t="inlineStr">
        <is>
          <t>YES</t>
        </is>
      </c>
      <c r="F1118" t="inlineStr">
        <is>
          <t>贵金属当前市场价格/保险价值/折合人民币</t>
        </is>
      </c>
      <c r="H1118" t="inlineStr">
        <is>
          <t>DECIMAL</t>
        </is>
      </c>
      <c r="I1118" t="inlineStr">
        <is>
          <t>24,6</t>
        </is>
      </c>
    </row>
    <row r="1119">
      <c r="A1119" t="inlineStr">
        <is>
          <t>金融类质押品</t>
        </is>
      </c>
      <c r="B1119" t="inlineStr">
        <is>
          <t>CLR_ASSET_FINANCE</t>
        </is>
      </c>
      <c r="C1119" t="inlineStr">
        <is>
          <t>CURRPRICEEVALDATE</t>
        </is>
      </c>
      <c r="D1119" t="inlineStr">
        <is>
          <t>DATE</t>
        </is>
      </c>
      <c r="E1119" t="inlineStr">
        <is>
          <t>YES</t>
        </is>
      </c>
      <c r="F1119" t="inlineStr">
        <is>
          <t>贵金属市场价格评估日期</t>
        </is>
      </c>
      <c r="H1119" t="inlineStr">
        <is>
          <t>DATE</t>
        </is>
      </c>
    </row>
    <row r="1120">
      <c r="A1120" t="inlineStr">
        <is>
          <t>金融类质押品</t>
        </is>
      </c>
      <c r="B1120" t="inlineStr">
        <is>
          <t>CLR_ASSET_FINANCE</t>
        </is>
      </c>
      <c r="C1120" t="inlineStr">
        <is>
          <t>BILLNO</t>
        </is>
      </c>
      <c r="D1120" t="inlineStr">
        <is>
          <t>VARCHAR(32)</t>
        </is>
      </c>
      <c r="E1120" t="inlineStr">
        <is>
          <t>YES</t>
        </is>
      </c>
      <c r="F1120" t="inlineStr">
        <is>
          <t>债券券号/票据号/股票代码/基金代码</t>
        </is>
      </c>
      <c r="H1120" t="inlineStr">
        <is>
          <t>VARCHAR</t>
        </is>
      </c>
      <c r="I1120" t="inlineStr">
        <is>
          <t>32</t>
        </is>
      </c>
    </row>
    <row r="1121">
      <c r="A1121" t="inlineStr">
        <is>
          <t>金融类质押品</t>
        </is>
      </c>
      <c r="B1121" t="inlineStr">
        <is>
          <t>CLR_ASSET_FINANCE</t>
        </is>
      </c>
      <c r="C1121" t="inlineStr">
        <is>
          <t>BILLNAME</t>
        </is>
      </c>
      <c r="D1121" t="inlineStr">
        <is>
          <t>VARCHAR(80)</t>
        </is>
      </c>
      <c r="E1121" t="inlineStr">
        <is>
          <t>YES</t>
        </is>
      </c>
      <c r="F1121" t="inlineStr">
        <is>
          <t>债券名称/股票名称/基金名称/保险机构名称/理财产品名称</t>
        </is>
      </c>
      <c r="H1121" t="inlineStr">
        <is>
          <t>VARCHAR</t>
        </is>
      </c>
      <c r="I1121" t="inlineStr">
        <is>
          <t>80</t>
        </is>
      </c>
    </row>
    <row r="1122">
      <c r="A1122" t="inlineStr">
        <is>
          <t>金融类质押品</t>
        </is>
      </c>
      <c r="B1122" t="inlineStr">
        <is>
          <t>CLR_ASSET_FINANCE</t>
        </is>
      </c>
      <c r="C1122" t="inlineStr">
        <is>
          <t>OWNER</t>
        </is>
      </c>
      <c r="D1122" t="inlineStr">
        <is>
          <t>VARCHAR(80)</t>
        </is>
      </c>
      <c r="E1122" t="inlineStr">
        <is>
          <t>YES</t>
        </is>
      </c>
      <c r="F1122" t="inlineStr">
        <is>
          <t>债券持有人/持票人/未上市股票的托管单位/被保险人/基金持有人</t>
        </is>
      </c>
      <c r="H1122" t="inlineStr">
        <is>
          <t>VARCHAR</t>
        </is>
      </c>
      <c r="I1122" t="inlineStr">
        <is>
          <t>80</t>
        </is>
      </c>
    </row>
    <row r="1123">
      <c r="A1123" t="inlineStr">
        <is>
          <t>金融类质押品</t>
        </is>
      </c>
      <c r="B1123" t="inlineStr">
        <is>
          <t>CLR_ASSET_FINANCE</t>
        </is>
      </c>
      <c r="C1123" t="inlineStr">
        <is>
          <t>INTERESTPAYTYPE</t>
        </is>
      </c>
      <c r="D1123" t="inlineStr">
        <is>
          <t>VARCHAR(18)</t>
        </is>
      </c>
      <c r="E1123" t="inlineStr">
        <is>
          <t>YES</t>
        </is>
      </c>
      <c r="F1123" t="inlineStr">
        <is>
          <t>利息支付方式</t>
        </is>
      </c>
      <c r="H1123" t="inlineStr">
        <is>
          <t>VARCHAR</t>
        </is>
      </c>
      <c r="I1123" t="inlineStr">
        <is>
          <t>18</t>
        </is>
      </c>
    </row>
    <row r="1124">
      <c r="A1124" t="inlineStr">
        <is>
          <t>金融类质押品</t>
        </is>
      </c>
      <c r="B1124" t="inlineStr">
        <is>
          <t>CLR_ASSET_FINANCE</t>
        </is>
      </c>
      <c r="C1124" t="inlineStr">
        <is>
          <t>INCOMERATE</t>
        </is>
      </c>
      <c r="D1124" t="inlineStr">
        <is>
          <t>DECIMAL(18,8)</t>
        </is>
      </c>
      <c r="E1124" t="inlineStr">
        <is>
          <t>YES</t>
        </is>
      </c>
      <c r="F1124" t="inlineStr">
        <is>
          <t>债券到期收益率</t>
        </is>
      </c>
      <c r="H1124" t="inlineStr">
        <is>
          <t>DECIMAL</t>
        </is>
      </c>
      <c r="I1124" t="inlineStr">
        <is>
          <t>18,8</t>
        </is>
      </c>
    </row>
    <row r="1125">
      <c r="A1125" t="inlineStr">
        <is>
          <t>金融类质押品</t>
        </is>
      </c>
      <c r="B1125" t="inlineStr">
        <is>
          <t>CLR_ASSET_FINANCE</t>
        </is>
      </c>
      <c r="C1125" t="inlineStr">
        <is>
          <t>INTERESTPERIOD</t>
        </is>
      </c>
      <c r="D1125" t="inlineStr">
        <is>
          <t>VARCHAR(18)</t>
        </is>
      </c>
      <c r="E1125" t="inlineStr">
        <is>
          <t>YES</t>
        </is>
      </c>
      <c r="F1125" t="inlineStr">
        <is>
          <t>计息周期</t>
        </is>
      </c>
      <c r="H1125" t="inlineStr">
        <is>
          <t>VARCHAR</t>
        </is>
      </c>
      <c r="I1125" t="inlineStr">
        <is>
          <t>18</t>
        </is>
      </c>
    </row>
    <row r="1126">
      <c r="A1126" t="inlineStr">
        <is>
          <t>金融类质押品</t>
        </is>
      </c>
      <c r="B1126" t="inlineStr">
        <is>
          <t>CLR_ASSET_FINANCE</t>
        </is>
      </c>
      <c r="C1126" t="inlineStr">
        <is>
          <t>BILLVALUE</t>
        </is>
      </c>
      <c r="D1126" t="inlineStr">
        <is>
          <t>DECIMAL(24,6)</t>
        </is>
      </c>
      <c r="E1126" t="inlineStr">
        <is>
          <t>YES</t>
        </is>
      </c>
      <c r="F1126" t="inlineStr">
        <is>
          <t>债券票面价值/票面金额/保险费用/存单金额</t>
        </is>
      </c>
      <c r="H1126" t="inlineStr">
        <is>
          <t>DECIMAL</t>
        </is>
      </c>
      <c r="I1126" t="inlineStr">
        <is>
          <t>24,6</t>
        </is>
      </c>
    </row>
    <row r="1127">
      <c r="A1127" t="inlineStr">
        <is>
          <t>金融类质押品</t>
        </is>
      </c>
      <c r="B1127" t="inlineStr">
        <is>
          <t>CLR_ASSET_FINANCE</t>
        </is>
      </c>
      <c r="C1127" t="inlineStr">
        <is>
          <t>BONDAGENCYPUBLISHER</t>
        </is>
      </c>
      <c r="D1127" t="inlineStr">
        <is>
          <t>VARCHAR(80)</t>
        </is>
      </c>
      <c r="E1127" t="inlineStr">
        <is>
          <t>YES</t>
        </is>
      </c>
      <c r="F1127" t="inlineStr">
        <is>
          <t>债券代理发行机构/出票人/公司名称/基金发行公司名称/投保人/标的公司名称</t>
        </is>
      </c>
      <c r="H1127" t="inlineStr">
        <is>
          <t>VARCHAR</t>
        </is>
      </c>
      <c r="I1127" t="inlineStr">
        <is>
          <t>80</t>
        </is>
      </c>
    </row>
    <row r="1128">
      <c r="A1128" t="inlineStr">
        <is>
          <t>金融类质押品</t>
        </is>
      </c>
      <c r="B1128" t="inlineStr">
        <is>
          <t>CLR_ASSET_FINANCE</t>
        </is>
      </c>
      <c r="C1128" t="inlineStr">
        <is>
          <t>BONDCREDITLEVEL</t>
        </is>
      </c>
      <c r="D1128" t="inlineStr">
        <is>
          <t>VARCHAR(1000)</t>
        </is>
      </c>
      <c r="E1128" t="inlineStr">
        <is>
          <t>YES</t>
        </is>
      </c>
      <c r="F1128" t="inlineStr">
        <is>
          <t>债券信用等级</t>
        </is>
      </c>
      <c r="H1128" t="inlineStr">
        <is>
          <t>VARCHAR</t>
        </is>
      </c>
      <c r="I1128" t="inlineStr">
        <is>
          <t>1000</t>
        </is>
      </c>
    </row>
    <row r="1129">
      <c r="A1129" t="inlineStr">
        <is>
          <t>金融类质押品</t>
        </is>
      </c>
      <c r="B1129" t="inlineStr">
        <is>
          <t>CLR_ASSET_FINANCE</t>
        </is>
      </c>
      <c r="C1129" t="inlineStr">
        <is>
          <t>BILLPAYEE</t>
        </is>
      </c>
      <c r="D1129" t="inlineStr">
        <is>
          <t>VARCHAR(80)</t>
        </is>
      </c>
      <c r="E1129" t="inlineStr">
        <is>
          <t>YES</t>
        </is>
      </c>
      <c r="F1129" t="inlineStr">
        <is>
          <t>收款人/受益人</t>
        </is>
      </c>
      <c r="H1129" t="inlineStr">
        <is>
          <t>VARCHAR</t>
        </is>
      </c>
      <c r="I1129" t="inlineStr">
        <is>
          <t>80</t>
        </is>
      </c>
    </row>
    <row r="1130">
      <c r="A1130" t="inlineStr">
        <is>
          <t>金融类质押品</t>
        </is>
      </c>
      <c r="B1130" t="inlineStr">
        <is>
          <t>CLR_ASSET_FINANCE</t>
        </is>
      </c>
      <c r="C1130" t="inlineStr">
        <is>
          <t>DRAWERACCOUNTNO</t>
        </is>
      </c>
      <c r="D1130" t="inlineStr">
        <is>
          <t>VARCHAR(32)</t>
        </is>
      </c>
      <c r="E1130" t="inlineStr">
        <is>
          <t>YES</t>
        </is>
      </c>
      <c r="F1130" t="inlineStr">
        <is>
          <t>出票人账号</t>
        </is>
      </c>
      <c r="H1130" t="inlineStr">
        <is>
          <t>VARCHAR</t>
        </is>
      </c>
      <c r="I1130" t="inlineStr">
        <is>
          <t>32</t>
        </is>
      </c>
    </row>
    <row r="1131">
      <c r="A1131" t="inlineStr">
        <is>
          <t>金融类质押品</t>
        </is>
      </c>
      <c r="B1131" t="inlineStr">
        <is>
          <t>CLR_ASSET_FINANCE</t>
        </is>
      </c>
      <c r="C1131" t="inlineStr">
        <is>
          <t>ACCEPTORNAME</t>
        </is>
      </c>
      <c r="D1131" t="inlineStr">
        <is>
          <t>VARCHAR(80)</t>
        </is>
      </c>
      <c r="E1131" t="inlineStr">
        <is>
          <t>YES</t>
        </is>
      </c>
      <c r="F1131" t="inlineStr">
        <is>
          <t>承兑人名称</t>
        </is>
      </c>
      <c r="H1131" t="inlineStr">
        <is>
          <t>VARCHAR</t>
        </is>
      </c>
      <c r="I1131" t="inlineStr">
        <is>
          <t>80</t>
        </is>
      </c>
    </row>
    <row r="1132">
      <c r="A1132" t="inlineStr">
        <is>
          <t>金融类质押品</t>
        </is>
      </c>
      <c r="B1132" t="inlineStr">
        <is>
          <t>CLR_ASSET_FINANCE</t>
        </is>
      </c>
      <c r="C1132" t="inlineStr">
        <is>
          <t>ACCEPTORBANKNAME</t>
        </is>
      </c>
      <c r="D1132" t="inlineStr">
        <is>
          <t>VARCHAR(80)</t>
        </is>
      </c>
      <c r="E1132" t="inlineStr">
        <is>
          <t>YES</t>
        </is>
      </c>
      <c r="F1132" t="inlineStr">
        <is>
          <t>承兑行名称</t>
        </is>
      </c>
      <c r="H1132" t="inlineStr">
        <is>
          <t>VARCHAR</t>
        </is>
      </c>
      <c r="I1132" t="inlineStr">
        <is>
          <t>80</t>
        </is>
      </c>
    </row>
    <row r="1133">
      <c r="A1133" t="inlineStr">
        <is>
          <t>金融类质押品</t>
        </is>
      </c>
      <c r="B1133" t="inlineStr">
        <is>
          <t>CLR_ASSET_FINANCE</t>
        </is>
      </c>
      <c r="C1133" t="inlineStr">
        <is>
          <t>ACCEPTORBANKNO</t>
        </is>
      </c>
      <c r="D1133" t="inlineStr">
        <is>
          <t>VARCHAR(32)</t>
        </is>
      </c>
      <c r="E1133" t="inlineStr">
        <is>
          <t>YES</t>
        </is>
      </c>
      <c r="F1133" t="inlineStr">
        <is>
          <t>承兑行行号</t>
        </is>
      </c>
      <c r="H1133" t="inlineStr">
        <is>
          <t>VARCHAR</t>
        </is>
      </c>
      <c r="I1133" t="inlineStr">
        <is>
          <t>32</t>
        </is>
      </c>
    </row>
    <row r="1134">
      <c r="A1134" t="inlineStr">
        <is>
          <t>金融类质押品</t>
        </is>
      </c>
      <c r="B1134" t="inlineStr">
        <is>
          <t>CLR_ASSET_FINANCE</t>
        </is>
      </c>
      <c r="C1134" t="inlineStr">
        <is>
          <t>DRAWEEBANKNO</t>
        </is>
      </c>
      <c r="D1134" t="inlineStr">
        <is>
          <t>VARCHAR(32)</t>
        </is>
      </c>
      <c r="E1134" t="inlineStr">
        <is>
          <t>YES</t>
        </is>
      </c>
      <c r="F1134" t="inlineStr">
        <is>
          <t>付款行行号</t>
        </is>
      </c>
      <c r="H1134" t="inlineStr">
        <is>
          <t>VARCHAR</t>
        </is>
      </c>
      <c r="I1134" t="inlineStr">
        <is>
          <t>32</t>
        </is>
      </c>
    </row>
    <row r="1135">
      <c r="A1135" t="inlineStr">
        <is>
          <t>金融类质押品</t>
        </is>
      </c>
      <c r="B1135" t="inlineStr">
        <is>
          <t>CLR_ASSET_FINANCE</t>
        </is>
      </c>
      <c r="C1135" t="inlineStr">
        <is>
          <t>DRAWEEBANK</t>
        </is>
      </c>
      <c r="D1135" t="inlineStr">
        <is>
          <t>VARCHAR(80)</t>
        </is>
      </c>
      <c r="E1135" t="inlineStr">
        <is>
          <t>YES</t>
        </is>
      </c>
      <c r="F1135" t="inlineStr">
        <is>
          <t>汇票付款行</t>
        </is>
      </c>
      <c r="H1135" t="inlineStr">
        <is>
          <t>VARCHAR</t>
        </is>
      </c>
      <c r="I1135" t="inlineStr">
        <is>
          <t>80</t>
        </is>
      </c>
    </row>
    <row r="1136">
      <c r="A1136" t="inlineStr">
        <is>
          <t>金融类质押品</t>
        </is>
      </c>
      <c r="B1136" t="inlineStr">
        <is>
          <t>CLR_ASSET_FINANCE</t>
        </is>
      </c>
      <c r="C1136" t="inlineStr">
        <is>
          <t>BILLUSAGE</t>
        </is>
      </c>
      <c r="D1136" t="inlineStr">
        <is>
          <t>VARCHAR(1000)</t>
        </is>
      </c>
      <c r="E1136" t="inlineStr">
        <is>
          <t>YES</t>
        </is>
      </c>
      <c r="F1136" t="inlineStr">
        <is>
          <t>票据用途</t>
        </is>
      </c>
      <c r="H1136" t="inlineStr">
        <is>
          <t>VARCHAR</t>
        </is>
      </c>
      <c r="I1136" t="inlineStr">
        <is>
          <t>1000</t>
        </is>
      </c>
    </row>
    <row r="1137">
      <c r="A1137" t="inlineStr">
        <is>
          <t>金融类质押品</t>
        </is>
      </c>
      <c r="B1137" t="inlineStr">
        <is>
          <t>CLR_ASSET_FINANCE</t>
        </is>
      </c>
      <c r="C1137" t="inlineStr">
        <is>
          <t>CIRCULATIONQUANTITY</t>
        </is>
      </c>
      <c r="D1137" t="inlineStr">
        <is>
          <t>INT</t>
        </is>
      </c>
      <c r="E1137" t="inlineStr">
        <is>
          <t>YES</t>
        </is>
      </c>
      <c r="F1137" t="inlineStr">
        <is>
          <t>流通数量</t>
        </is>
      </c>
      <c r="H1137" t="inlineStr">
        <is>
          <t>INT</t>
        </is>
      </c>
    </row>
    <row r="1138">
      <c r="A1138" t="inlineStr">
        <is>
          <t>金融类质押品</t>
        </is>
      </c>
      <c r="B1138" t="inlineStr">
        <is>
          <t>CLR_ASSET_FINANCE</t>
        </is>
      </c>
      <c r="C1138" t="inlineStr">
        <is>
          <t>PERATIO</t>
        </is>
      </c>
      <c r="D1138" t="inlineStr">
        <is>
          <t>DECIMAL(18,8)</t>
        </is>
      </c>
      <c r="E1138" t="inlineStr">
        <is>
          <t>YES</t>
        </is>
      </c>
      <c r="F1138" t="inlineStr">
        <is>
          <t>市盈率(P/E)</t>
        </is>
      </c>
      <c r="H1138" t="inlineStr">
        <is>
          <t>DECIMAL</t>
        </is>
      </c>
      <c r="I1138" t="inlineStr">
        <is>
          <t>18,8</t>
        </is>
      </c>
    </row>
    <row r="1139">
      <c r="A1139" t="inlineStr">
        <is>
          <t>金融类质押品</t>
        </is>
      </c>
      <c r="B1139" t="inlineStr">
        <is>
          <t>CLR_ASSET_FINANCE</t>
        </is>
      </c>
      <c r="C1139" t="inlineStr">
        <is>
          <t>STOCKHOLDERTYPE</t>
        </is>
      </c>
      <c r="D1139" t="inlineStr">
        <is>
          <t>VARCHAR(18)</t>
        </is>
      </c>
      <c r="E1139" t="inlineStr">
        <is>
          <t>YES</t>
        </is>
      </c>
      <c r="F1139" t="inlineStr">
        <is>
          <t>股权/股票持有类型/基金契约类型/缴费方式/理财来源</t>
        </is>
      </c>
      <c r="H1139" t="inlineStr">
        <is>
          <t>VARCHAR</t>
        </is>
      </c>
      <c r="I1139" t="inlineStr">
        <is>
          <t>18</t>
        </is>
      </c>
    </row>
    <row r="1140">
      <c r="A1140" t="inlineStr">
        <is>
          <t>金融类质押品</t>
        </is>
      </c>
      <c r="B1140" t="inlineStr">
        <is>
          <t>CLR_ASSET_FINANCE</t>
        </is>
      </c>
      <c r="C1140" t="inlineStr">
        <is>
          <t>NAVPS</t>
        </is>
      </c>
      <c r="D1140" t="inlineStr">
        <is>
          <t>DECIMAL(24,6)</t>
        </is>
      </c>
      <c r="E1140" t="inlineStr">
        <is>
          <t>YES</t>
        </is>
      </c>
      <c r="F1140" t="inlineStr">
        <is>
          <t>每股净资产</t>
        </is>
      </c>
      <c r="H1140" t="inlineStr">
        <is>
          <t>DECIMAL</t>
        </is>
      </c>
      <c r="I1140" t="inlineStr">
        <is>
          <t>24,6</t>
        </is>
      </c>
    </row>
    <row r="1141">
      <c r="A1141" t="inlineStr">
        <is>
          <t>金融类质押品</t>
        </is>
      </c>
      <c r="B1141" t="inlineStr">
        <is>
          <t>CLR_ASSET_FINANCE</t>
        </is>
      </c>
      <c r="C1141" t="inlineStr">
        <is>
          <t>PAYMENTSTARTDATE</t>
        </is>
      </c>
      <c r="D1141" t="inlineStr">
        <is>
          <t>DATETIME</t>
        </is>
      </c>
      <c r="E1141" t="inlineStr">
        <is>
          <t>YES</t>
        </is>
      </c>
      <c r="F1141" t="inlineStr">
        <is>
          <t>缴费起始日期</t>
        </is>
      </c>
      <c r="H1141" t="inlineStr">
        <is>
          <t>DATETIME</t>
        </is>
      </c>
    </row>
    <row r="1142">
      <c r="A1142" t="inlineStr">
        <is>
          <t>金融类质押品</t>
        </is>
      </c>
      <c r="B1142" t="inlineStr">
        <is>
          <t>CLR_ASSET_FINANCE</t>
        </is>
      </c>
      <c r="C1142" t="inlineStr">
        <is>
          <t>PAYMENTENDDATE</t>
        </is>
      </c>
      <c r="D1142" t="inlineStr">
        <is>
          <t>DATETIME</t>
        </is>
      </c>
      <c r="E1142" t="inlineStr">
        <is>
          <t>YES</t>
        </is>
      </c>
      <c r="F1142" t="inlineStr">
        <is>
          <t>缴费终止日期</t>
        </is>
      </c>
      <c r="H1142" t="inlineStr">
        <is>
          <t>DATETIME</t>
        </is>
      </c>
    </row>
    <row r="1143">
      <c r="A1143" t="inlineStr">
        <is>
          <t>金融类质押品</t>
        </is>
      </c>
      <c r="B1143" t="inlineStr">
        <is>
          <t>CLR_ASSET_FINANCE</t>
        </is>
      </c>
      <c r="C1143" t="inlineStr">
        <is>
          <t>ABOUTBONUS</t>
        </is>
      </c>
      <c r="D1143" t="inlineStr">
        <is>
          <t>VARCHAR(1000)</t>
        </is>
      </c>
      <c r="E1143" t="inlineStr">
        <is>
          <t>YES</t>
        </is>
      </c>
      <c r="F1143" t="inlineStr">
        <is>
          <t>分红情况</t>
        </is>
      </c>
      <c r="H1143" t="inlineStr">
        <is>
          <t>VARCHAR</t>
        </is>
      </c>
      <c r="I1143" t="inlineStr">
        <is>
          <t>1000</t>
        </is>
      </c>
    </row>
    <row r="1144">
      <c r="A1144" t="inlineStr">
        <is>
          <t>金融类质押品</t>
        </is>
      </c>
      <c r="B1144" t="inlineStr">
        <is>
          <t>CLR_ASSET_FINANCE</t>
        </is>
      </c>
      <c r="C1144" t="inlineStr">
        <is>
          <t>INTERESTRATE</t>
        </is>
      </c>
      <c r="D1144" t="inlineStr">
        <is>
          <t>DECIMAL(18,8)</t>
        </is>
      </c>
      <c r="E1144" t="inlineStr">
        <is>
          <t>YES</t>
        </is>
      </c>
      <c r="F1144" t="inlineStr">
        <is>
          <t>利率/债券利率</t>
        </is>
      </c>
      <c r="H1144" t="inlineStr">
        <is>
          <t>DECIMAL</t>
        </is>
      </c>
      <c r="I1144" t="inlineStr">
        <is>
          <t>18,8</t>
        </is>
      </c>
    </row>
    <row r="1145">
      <c r="A1145" t="inlineStr">
        <is>
          <t>金融类质押品</t>
        </is>
      </c>
      <c r="B1145" t="inlineStr">
        <is>
          <t>CLR_ASSET_FINANCE</t>
        </is>
      </c>
      <c r="C1145" t="inlineStr">
        <is>
          <t>CURRENCY</t>
        </is>
      </c>
      <c r="D1145" t="inlineStr">
        <is>
          <t>VARCHAR(18)</t>
        </is>
      </c>
      <c r="E1145" t="inlineStr">
        <is>
          <t>YES</t>
        </is>
      </c>
      <c r="F1145" t="inlineStr">
        <is>
          <t>币种</t>
        </is>
      </c>
      <c r="H1145" t="inlineStr">
        <is>
          <t>VARCHAR</t>
        </is>
      </c>
      <c r="I1145" t="inlineStr">
        <is>
          <t>18</t>
        </is>
      </c>
    </row>
    <row r="1146">
      <c r="A1146" t="inlineStr">
        <is>
          <t>金融类质押品</t>
        </is>
      </c>
      <c r="B1146" t="inlineStr">
        <is>
          <t>CLR_ASSET_FINANCE</t>
        </is>
      </c>
      <c r="C1146" t="inlineStr">
        <is>
          <t>TRADETYPE</t>
        </is>
      </c>
      <c r="D1146" t="inlineStr">
        <is>
          <t>VARCHAR(6)</t>
        </is>
      </c>
      <c r="E1146" t="inlineStr">
        <is>
          <t>YES</t>
        </is>
      </c>
      <c r="F1146" t="inlineStr">
        <is>
          <t>交易类型</t>
        </is>
      </c>
      <c r="H1146" t="inlineStr">
        <is>
          <t>VARCHAR</t>
        </is>
      </c>
      <c r="I1146" t="inlineStr">
        <is>
          <t>6</t>
        </is>
      </c>
    </row>
    <row r="1147">
      <c r="A1147" t="inlineStr">
        <is>
          <t>金融类质押品</t>
        </is>
      </c>
      <c r="B1147" t="inlineStr">
        <is>
          <t>CLR_ASSET_FINANCE</t>
        </is>
      </c>
      <c r="C1147" t="inlineStr">
        <is>
          <t>HOLDPERIOD</t>
        </is>
      </c>
      <c r="D1147" t="inlineStr">
        <is>
          <t>INT</t>
        </is>
      </c>
      <c r="E1147" t="inlineStr">
        <is>
          <t>YES</t>
        </is>
      </c>
      <c r="F1147" t="inlineStr">
        <is>
          <t>持有期</t>
        </is>
      </c>
      <c r="H1147" t="inlineStr">
        <is>
          <t>INT</t>
        </is>
      </c>
    </row>
    <row r="1148">
      <c r="A1148" t="inlineStr">
        <is>
          <t>金融类质押品</t>
        </is>
      </c>
      <c r="B1148" t="inlineStr">
        <is>
          <t>CLR_ASSET_FINANCE</t>
        </is>
      </c>
      <c r="C1148" t="inlineStr">
        <is>
          <t>MTMDAYS</t>
        </is>
      </c>
      <c r="D1148" t="inlineStr">
        <is>
          <t>INT</t>
        </is>
      </c>
      <c r="E1148" t="inlineStr">
        <is>
          <t>YES</t>
        </is>
      </c>
      <c r="F1148" t="inlineStr">
        <is>
          <t>盯市天数</t>
        </is>
      </c>
      <c r="H1148" t="inlineStr">
        <is>
          <t>INT</t>
        </is>
      </c>
    </row>
    <row r="1149">
      <c r="A1149" t="inlineStr">
        <is>
          <t>金融类质押品</t>
        </is>
      </c>
      <c r="B1149" t="inlineStr">
        <is>
          <t>CLR_ASSET_FINANCE</t>
        </is>
      </c>
      <c r="C1149" t="inlineStr">
        <is>
          <t>BONDFLAG01</t>
        </is>
      </c>
      <c r="D1149" t="inlineStr">
        <is>
          <t>CHAR(1)</t>
        </is>
      </c>
      <c r="E1149" t="inlineStr">
        <is>
          <t>YES</t>
        </is>
      </c>
      <c r="F1149" t="inlineStr">
        <is>
          <t>是否为通过总行认定的政策性金融债</t>
        </is>
      </c>
      <c r="H1149" t="inlineStr">
        <is>
          <t>CHAR</t>
        </is>
      </c>
      <c r="I1149" t="inlineStr">
        <is>
          <t>1</t>
        </is>
      </c>
    </row>
    <row r="1150">
      <c r="A1150" t="inlineStr">
        <is>
          <t>金融类质押品</t>
        </is>
      </c>
      <c r="B1150" t="inlineStr">
        <is>
          <t>CLR_ASSET_FINANCE</t>
        </is>
      </c>
      <c r="C1150" t="inlineStr">
        <is>
          <t>BONDFLAG02</t>
        </is>
      </c>
      <c r="D1150" t="inlineStr">
        <is>
          <t>CHAR(1)</t>
        </is>
      </c>
      <c r="E1150" t="inlineStr">
        <is>
          <t>YES</t>
        </is>
      </c>
      <c r="F1150" t="inlineStr">
        <is>
          <t>是否经中国人民银行批准可在全国银行间债券市场上市</t>
        </is>
      </c>
      <c r="H1150" t="inlineStr">
        <is>
          <t>CHAR</t>
        </is>
      </c>
      <c r="I1150" t="inlineStr">
        <is>
          <t>1</t>
        </is>
      </c>
    </row>
    <row r="1151">
      <c r="A1151" t="inlineStr">
        <is>
          <t>金融类质押品</t>
        </is>
      </c>
      <c r="B1151" t="inlineStr">
        <is>
          <t>CLR_ASSET_FINANCE</t>
        </is>
      </c>
      <c r="C1151" t="inlineStr">
        <is>
          <t>BONDFLAG03</t>
        </is>
      </c>
      <c r="D1151" t="inlineStr">
        <is>
          <t>CHAR(1)</t>
        </is>
      </c>
      <c r="E1151" t="inlineStr">
        <is>
          <t>YES</t>
        </is>
      </c>
      <c r="F1151" t="inlineStr">
        <is>
          <t>是否是记名债券</t>
        </is>
      </c>
      <c r="H1151" t="inlineStr">
        <is>
          <t>CHAR</t>
        </is>
      </c>
      <c r="I1151" t="inlineStr">
        <is>
          <t>1</t>
        </is>
      </c>
    </row>
    <row r="1152">
      <c r="A1152" t="inlineStr">
        <is>
          <t>金融类质押品</t>
        </is>
      </c>
      <c r="B1152" t="inlineStr">
        <is>
          <t>CLR_ASSET_FINANCE</t>
        </is>
      </c>
      <c r="C1152" t="inlineStr">
        <is>
          <t>BONDFLAG04</t>
        </is>
      </c>
      <c r="D1152" t="inlineStr">
        <is>
          <t>CHAR(1)</t>
        </is>
      </c>
      <c r="E1152" t="inlineStr">
        <is>
          <t>YES</t>
        </is>
      </c>
      <c r="F1152" t="inlineStr">
        <is>
          <t>是否需要办理止付</t>
        </is>
      </c>
      <c r="H1152" t="inlineStr">
        <is>
          <t>CHAR</t>
        </is>
      </c>
      <c r="I1152" t="inlineStr">
        <is>
          <t>1</t>
        </is>
      </c>
    </row>
    <row r="1153">
      <c r="A1153" t="inlineStr">
        <is>
          <t>金融类质押品</t>
        </is>
      </c>
      <c r="B1153" t="inlineStr">
        <is>
          <t>CLR_ASSET_FINANCE</t>
        </is>
      </c>
      <c r="C1153" t="inlineStr">
        <is>
          <t>BONDFLAG05</t>
        </is>
      </c>
      <c r="D1153" t="inlineStr">
        <is>
          <t>CHAR(1)</t>
        </is>
      </c>
      <c r="E1153" t="inlineStr">
        <is>
          <t>YES</t>
        </is>
      </c>
      <c r="F1153" t="inlineStr">
        <is>
          <t>是否已提交其他相关股权凭证</t>
        </is>
      </c>
      <c r="H1153" t="inlineStr">
        <is>
          <t>CHAR</t>
        </is>
      </c>
      <c r="I1153" t="inlineStr">
        <is>
          <t>1</t>
        </is>
      </c>
    </row>
    <row r="1154">
      <c r="A1154" t="inlineStr">
        <is>
          <t>金融类质押品</t>
        </is>
      </c>
      <c r="B1154" t="inlineStr">
        <is>
          <t>CLR_ASSET_FINANCE</t>
        </is>
      </c>
      <c r="C1154" t="inlineStr">
        <is>
          <t>BONDFLAG06</t>
        </is>
      </c>
      <c r="D1154" t="inlineStr">
        <is>
          <t>CHAR(1)</t>
        </is>
      </c>
      <c r="E1154" t="inlineStr">
        <is>
          <t>YES</t>
        </is>
      </c>
      <c r="F1154" t="inlineStr">
        <is>
          <t>是否为集中公开交易的债券</t>
        </is>
      </c>
      <c r="H1154" t="inlineStr">
        <is>
          <t>CHAR</t>
        </is>
      </c>
      <c r="I1154" t="inlineStr">
        <is>
          <t>1</t>
        </is>
      </c>
    </row>
    <row r="1155">
      <c r="A1155" t="inlineStr">
        <is>
          <t>金融类质押品</t>
        </is>
      </c>
      <c r="B1155" t="inlineStr">
        <is>
          <t>CLR_ASSET_FINANCE</t>
        </is>
      </c>
      <c r="C1155" t="inlineStr">
        <is>
          <t>BONDFLAG07</t>
        </is>
      </c>
      <c r="D1155" t="inlineStr">
        <is>
          <t>CHAR(1)</t>
        </is>
      </c>
      <c r="E1155" t="inlineStr">
        <is>
          <t>YES</t>
        </is>
      </c>
      <c r="F1155" t="inlineStr">
        <is>
          <t>是否已提交债券凭证</t>
        </is>
      </c>
      <c r="H1155" t="inlineStr">
        <is>
          <t>CHAR</t>
        </is>
      </c>
      <c r="I1155" t="inlineStr">
        <is>
          <t>1</t>
        </is>
      </c>
    </row>
    <row r="1156">
      <c r="A1156" t="inlineStr">
        <is>
          <t>金融类质押品</t>
        </is>
      </c>
      <c r="B1156" t="inlineStr">
        <is>
          <t>CLR_ASSET_FINANCE</t>
        </is>
      </c>
      <c r="C1156" t="inlineStr">
        <is>
          <t>BONDFLAG08</t>
        </is>
      </c>
      <c r="D1156" t="inlineStr">
        <is>
          <t>CHAR(1)</t>
        </is>
      </c>
      <c r="E1156" t="inlineStr">
        <is>
          <t>YES</t>
        </is>
      </c>
      <c r="F1156" t="inlineStr">
        <is>
          <t>是否已提交相关债券评级证书</t>
        </is>
      </c>
      <c r="H1156" t="inlineStr">
        <is>
          <t>CHAR</t>
        </is>
      </c>
      <c r="I1156" t="inlineStr">
        <is>
          <t>1</t>
        </is>
      </c>
    </row>
    <row r="1157">
      <c r="A1157" t="inlineStr">
        <is>
          <t>金融类质押品</t>
        </is>
      </c>
      <c r="B1157" t="inlineStr">
        <is>
          <t>CLR_ASSET_FINANCE</t>
        </is>
      </c>
      <c r="C1157" t="inlineStr">
        <is>
          <t>BONDFLAG09</t>
        </is>
      </c>
      <c r="D1157" t="inlineStr">
        <is>
          <t>CHAR(1)</t>
        </is>
      </c>
      <c r="E1157" t="inlineStr">
        <is>
          <t>YES</t>
        </is>
      </c>
      <c r="F1157" t="inlineStr">
        <is>
          <t>是否已提交债券募集说明书</t>
        </is>
      </c>
      <c r="H1157" t="inlineStr">
        <is>
          <t>CHAR</t>
        </is>
      </c>
      <c r="I1157" t="inlineStr">
        <is>
          <t>1</t>
        </is>
      </c>
    </row>
    <row r="1158">
      <c r="A1158" t="inlineStr">
        <is>
          <t>金融类质押品</t>
        </is>
      </c>
      <c r="B1158" t="inlineStr">
        <is>
          <t>CLR_ASSET_FINANCE</t>
        </is>
      </c>
      <c r="C1158" t="inlineStr">
        <is>
          <t>NOBLEMETALFLAG1</t>
        </is>
      </c>
      <c r="D1158" t="inlineStr">
        <is>
          <t>CHAR(1)</t>
        </is>
      </c>
      <c r="E1158" t="inlineStr">
        <is>
          <t>YES</t>
        </is>
      </c>
      <c r="F1158" t="inlineStr">
        <is>
          <t>是否已提交贵金属购买合约</t>
        </is>
      </c>
      <c r="H1158" t="inlineStr">
        <is>
          <t>CHAR</t>
        </is>
      </c>
      <c r="I1158" t="inlineStr">
        <is>
          <t>1</t>
        </is>
      </c>
    </row>
    <row r="1159">
      <c r="A1159" t="inlineStr">
        <is>
          <t>金融类质押品</t>
        </is>
      </c>
      <c r="B1159" t="inlineStr">
        <is>
          <t>CLR_ASSET_FINANCE</t>
        </is>
      </c>
      <c r="C1159" t="inlineStr">
        <is>
          <t>NOBLEMETALFLAG2</t>
        </is>
      </c>
      <c r="D1159" t="inlineStr">
        <is>
          <t>CHAR(1)</t>
        </is>
      </c>
      <c r="E1159" t="inlineStr">
        <is>
          <t>YES</t>
        </is>
      </c>
      <c r="F1159" t="inlineStr">
        <is>
          <t>是否已提交黄金交易账户卡</t>
        </is>
      </c>
      <c r="H1159" t="inlineStr">
        <is>
          <t>CHAR</t>
        </is>
      </c>
      <c r="I1159" t="inlineStr">
        <is>
          <t>1</t>
        </is>
      </c>
    </row>
    <row r="1160">
      <c r="A1160" t="inlineStr">
        <is>
          <t>金融类质押品</t>
        </is>
      </c>
      <c r="B1160" t="inlineStr">
        <is>
          <t>CLR_ASSET_FINANCE</t>
        </is>
      </c>
      <c r="C1160" t="inlineStr">
        <is>
          <t>NOBLEMETALFLAG3</t>
        </is>
      </c>
      <c r="D1160" t="inlineStr">
        <is>
          <t>CHAR(1)</t>
        </is>
      </c>
      <c r="E1160" t="inlineStr">
        <is>
          <t>YES</t>
        </is>
      </c>
      <c r="F1160" t="inlineStr">
        <is>
          <t>是否已提交金交所托管合约</t>
        </is>
      </c>
      <c r="H1160" t="inlineStr">
        <is>
          <t>CHAR</t>
        </is>
      </c>
      <c r="I1160" t="inlineStr">
        <is>
          <t>1</t>
        </is>
      </c>
    </row>
    <row r="1161">
      <c r="A1161" t="inlineStr">
        <is>
          <t>金融类质押品</t>
        </is>
      </c>
      <c r="B1161" t="inlineStr">
        <is>
          <t>CLR_ASSET_FINANCE</t>
        </is>
      </c>
      <c r="C1161" t="inlineStr">
        <is>
          <t>NOBLEMETALFLAG4</t>
        </is>
      </c>
      <c r="D1161" t="inlineStr">
        <is>
          <t>CHAR(1)</t>
        </is>
      </c>
      <c r="E1161" t="inlineStr">
        <is>
          <t>YES</t>
        </is>
      </c>
      <c r="F1161" t="inlineStr">
        <is>
          <t>是否已提交贵金属交易账户凭证</t>
        </is>
      </c>
      <c r="H1161" t="inlineStr">
        <is>
          <t>CHAR</t>
        </is>
      </c>
      <c r="I1161" t="inlineStr">
        <is>
          <t>1</t>
        </is>
      </c>
    </row>
    <row r="1162">
      <c r="A1162" t="inlineStr">
        <is>
          <t>金融类质押品</t>
        </is>
      </c>
      <c r="B1162" t="inlineStr">
        <is>
          <t>CLR_ASSET_FINANCE</t>
        </is>
      </c>
      <c r="C1162" t="inlineStr">
        <is>
          <t>DEPCTFFLAG01</t>
        </is>
      </c>
      <c r="D1162" t="inlineStr">
        <is>
          <t>CHAR(1)</t>
        </is>
      </c>
      <c r="E1162" t="inlineStr">
        <is>
          <t>YES</t>
        </is>
      </c>
      <c r="F1162" t="inlineStr">
        <is>
          <t>是否为借款人公开向不特定的自然人、法人和其他组织募集的个人存单</t>
        </is>
      </c>
      <c r="H1162" t="inlineStr">
        <is>
          <t>CHAR</t>
        </is>
      </c>
      <c r="I1162" t="inlineStr">
        <is>
          <t>1</t>
        </is>
      </c>
    </row>
    <row r="1163">
      <c r="A1163" t="inlineStr">
        <is>
          <t>金融类质押品</t>
        </is>
      </c>
      <c r="B1163" t="inlineStr">
        <is>
          <t>CLR_ASSET_FINANCE</t>
        </is>
      </c>
      <c r="C1163" t="inlineStr">
        <is>
          <t>DEPCTFFLAG02</t>
        </is>
      </c>
      <c r="D1163" t="inlineStr">
        <is>
          <t>CHAR(1)</t>
        </is>
      </c>
      <c r="E1163" t="inlineStr">
        <is>
          <t>YES</t>
        </is>
      </c>
      <c r="F1163" t="inlineStr">
        <is>
          <t>是否已取得存款行出具的个人定期存单真实性确认书，并且存款行已落实登记止付手续</t>
        </is>
      </c>
      <c r="H1163" t="inlineStr">
        <is>
          <t>CHAR</t>
        </is>
      </c>
      <c r="I1163" t="inlineStr">
        <is>
          <t>1</t>
        </is>
      </c>
    </row>
    <row r="1164">
      <c r="A1164" t="inlineStr">
        <is>
          <t>金融类质押品</t>
        </is>
      </c>
      <c r="B1164" t="inlineStr">
        <is>
          <t>CLR_ASSET_FINANCE</t>
        </is>
      </c>
      <c r="C1164" t="inlineStr">
        <is>
          <t>DEPCTFFLAG03</t>
        </is>
      </c>
      <c r="D1164" t="inlineStr">
        <is>
          <t>CHAR(1)</t>
        </is>
      </c>
      <c r="E1164" t="inlineStr">
        <is>
          <t>YES</t>
        </is>
      </c>
      <c r="F1164" t="inlineStr">
        <is>
          <t>是否已提交存单所有人名下所有东方卡号</t>
        </is>
      </c>
      <c r="H1164" t="inlineStr">
        <is>
          <t>CHAR</t>
        </is>
      </c>
      <c r="I1164" t="inlineStr">
        <is>
          <t>1</t>
        </is>
      </c>
    </row>
    <row r="1165">
      <c r="A1165" t="inlineStr">
        <is>
          <t>金融类质押品</t>
        </is>
      </c>
      <c r="B1165" t="inlineStr">
        <is>
          <t>CLR_ASSET_FINANCE</t>
        </is>
      </c>
      <c r="C1165" t="inlineStr">
        <is>
          <t>DEPCTFFLAG04</t>
        </is>
      </c>
      <c r="D1165" t="inlineStr">
        <is>
          <t>CHAR(1)</t>
        </is>
      </c>
      <c r="E1165" t="inlineStr">
        <is>
          <t>YES</t>
        </is>
      </c>
      <c r="F1165" t="inlineStr">
        <is>
          <t>是否已提交“存单凭证”</t>
        </is>
      </c>
      <c r="H1165" t="inlineStr">
        <is>
          <t>CHAR</t>
        </is>
      </c>
      <c r="I1165" t="inlineStr">
        <is>
          <t>1</t>
        </is>
      </c>
    </row>
    <row r="1166">
      <c r="A1166" t="inlineStr">
        <is>
          <t>金融类质押品</t>
        </is>
      </c>
      <c r="B1166" t="inlineStr">
        <is>
          <t>CLR_ASSET_FINANCE</t>
        </is>
      </c>
      <c r="C1166" t="inlineStr">
        <is>
          <t>DEPCTFFLAG05</t>
        </is>
      </c>
      <c r="D1166" t="inlineStr">
        <is>
          <t>CHAR(1)</t>
        </is>
      </c>
      <c r="E1166" t="inlineStr">
        <is>
          <t>YES</t>
        </is>
      </c>
      <c r="F1166" t="inlineStr">
        <is>
          <t>是否已提交“个人定期存单真实性确认书”</t>
        </is>
      </c>
      <c r="H1166" t="inlineStr">
        <is>
          <t>CHAR</t>
        </is>
      </c>
      <c r="I1166" t="inlineStr">
        <is>
          <t>1</t>
        </is>
      </c>
    </row>
    <row r="1167">
      <c r="A1167" t="inlineStr">
        <is>
          <t>金融类质押品</t>
        </is>
      </c>
      <c r="B1167" t="inlineStr">
        <is>
          <t>CLR_ASSET_FINANCE</t>
        </is>
      </c>
      <c r="C1167" t="inlineStr">
        <is>
          <t>DEPCTFFLAG06</t>
        </is>
      </c>
      <c r="D1167" t="inlineStr">
        <is>
          <t>CHAR(1)</t>
        </is>
      </c>
      <c r="E1167" t="inlineStr">
        <is>
          <t>YES</t>
        </is>
      </c>
      <c r="F1167" t="inlineStr">
        <is>
          <t>是否已提交“单位定期存单确认书”</t>
        </is>
      </c>
      <c r="H1167" t="inlineStr">
        <is>
          <t>CHAR</t>
        </is>
      </c>
      <c r="I1167" t="inlineStr">
        <is>
          <t>1</t>
        </is>
      </c>
    </row>
    <row r="1168">
      <c r="A1168" t="inlineStr">
        <is>
          <t>金融类质押品</t>
        </is>
      </c>
      <c r="B1168" t="inlineStr">
        <is>
          <t>CLR_ASSET_FINANCE</t>
        </is>
      </c>
      <c r="C1168" t="inlineStr">
        <is>
          <t>BAILFLAG01</t>
        </is>
      </c>
      <c r="D1168" t="inlineStr">
        <is>
          <t>CHAR(1)</t>
        </is>
      </c>
      <c r="E1168" t="inlineStr">
        <is>
          <t>YES</t>
        </is>
      </c>
      <c r="F1168" t="inlineStr">
        <is>
          <t>是否子账户</t>
        </is>
      </c>
      <c r="H1168" t="inlineStr">
        <is>
          <t>CHAR</t>
        </is>
      </c>
      <c r="I1168" t="inlineStr">
        <is>
          <t>1</t>
        </is>
      </c>
    </row>
    <row r="1169">
      <c r="A1169" t="inlineStr">
        <is>
          <t>金融类质押品</t>
        </is>
      </c>
      <c r="B1169" t="inlineStr">
        <is>
          <t>CLR_ASSET_FINANCE</t>
        </is>
      </c>
      <c r="C1169" t="inlineStr">
        <is>
          <t>BAILFLAG02</t>
        </is>
      </c>
      <c r="D1169" t="inlineStr">
        <is>
          <t>VARCHAR(32)</t>
        </is>
      </c>
      <c r="E1169" t="inlineStr">
        <is>
          <t>YES</t>
        </is>
      </c>
      <c r="F1169" t="inlineStr">
        <is>
          <t>是否已提交保证金相关存单凭证</t>
        </is>
      </c>
      <c r="H1169" t="inlineStr">
        <is>
          <t>VARCHAR</t>
        </is>
      </c>
      <c r="I1169" t="inlineStr">
        <is>
          <t>32</t>
        </is>
      </c>
    </row>
    <row r="1170">
      <c r="A1170" t="inlineStr">
        <is>
          <t>金融类质押品</t>
        </is>
      </c>
      <c r="B1170" t="inlineStr">
        <is>
          <t>CLR_ASSET_FINANCE</t>
        </is>
      </c>
      <c r="C1170" t="inlineStr">
        <is>
          <t>NDEPCTFFLAG01</t>
        </is>
      </c>
      <c r="D1170" t="inlineStr">
        <is>
          <t>CHAR(1)</t>
        </is>
      </c>
      <c r="E1170" t="inlineStr">
        <is>
          <t>YES</t>
        </is>
      </c>
      <c r="F1170" t="inlineStr">
        <is>
          <t>是否已提交存款所有人名下所有东方卡号</t>
        </is>
      </c>
      <c r="H1170" t="inlineStr">
        <is>
          <t>CHAR</t>
        </is>
      </c>
      <c r="I1170" t="inlineStr">
        <is>
          <t>1</t>
        </is>
      </c>
    </row>
    <row r="1171">
      <c r="A1171" t="inlineStr">
        <is>
          <t>金融类质押品</t>
        </is>
      </c>
      <c r="B1171" t="inlineStr">
        <is>
          <t>CLR_ASSET_FINANCE</t>
        </is>
      </c>
      <c r="C1171" t="inlineStr">
        <is>
          <t>NDEPCTFFLAG02</t>
        </is>
      </c>
      <c r="D1171" t="inlineStr">
        <is>
          <t>CHAR(1)</t>
        </is>
      </c>
      <c r="E1171" t="inlineStr">
        <is>
          <t>YES</t>
        </is>
      </c>
      <c r="F1171" t="inlineStr">
        <is>
          <t>是否已提交相关存款证明</t>
        </is>
      </c>
      <c r="H1171" t="inlineStr">
        <is>
          <t>CHAR</t>
        </is>
      </c>
      <c r="I1171" t="inlineStr">
        <is>
          <t>1</t>
        </is>
      </c>
    </row>
    <row r="1172">
      <c r="A1172" t="inlineStr">
        <is>
          <t>金融类质押品</t>
        </is>
      </c>
      <c r="B1172" t="inlineStr">
        <is>
          <t>CLR_ASSET_FINANCE</t>
        </is>
      </c>
      <c r="C1172" t="inlineStr">
        <is>
          <t>MARGINLEVEL</t>
        </is>
      </c>
      <c r="D1172" t="inlineStr">
        <is>
          <t>VARCHAR(6)</t>
        </is>
      </c>
      <c r="E1172" t="inlineStr">
        <is>
          <t>YES</t>
        </is>
      </c>
      <c r="F1172" t="inlineStr">
        <is>
          <t>保证金层级</t>
        </is>
      </c>
      <c r="H1172" t="inlineStr">
        <is>
          <t>VARCHAR</t>
        </is>
      </c>
      <c r="I1172" t="inlineStr">
        <is>
          <t>6</t>
        </is>
      </c>
    </row>
    <row r="1173">
      <c r="A1173" t="inlineStr">
        <is>
          <t>金融类质押品</t>
        </is>
      </c>
      <c r="B1173" t="inlineStr">
        <is>
          <t>CLR_ASSET_FINANCE</t>
        </is>
      </c>
      <c r="C1173" t="inlineStr">
        <is>
          <t>RELATEDBUSINESSNO</t>
        </is>
      </c>
      <c r="D1173" t="inlineStr">
        <is>
          <t>VARCHAR(32)</t>
        </is>
      </c>
      <c r="E1173" t="inlineStr">
        <is>
          <t>YES</t>
        </is>
      </c>
      <c r="F1173" t="inlineStr">
        <is>
          <t>对应业务编号</t>
        </is>
      </c>
      <c r="H1173" t="inlineStr">
        <is>
          <t>VARCHAR</t>
        </is>
      </c>
      <c r="I1173" t="inlineStr">
        <is>
          <t>32</t>
        </is>
      </c>
    </row>
    <row r="1174">
      <c r="A1174" t="inlineStr">
        <is>
          <t>金融类质押品</t>
        </is>
      </c>
      <c r="B1174" t="inlineStr">
        <is>
          <t>CLR_ASSET_FINANCE</t>
        </is>
      </c>
      <c r="C1174" t="inlineStr">
        <is>
          <t>BONDTYPE</t>
        </is>
      </c>
      <c r="D1174" t="inlineStr">
        <is>
          <t>VARCHAR(18)</t>
        </is>
      </c>
      <c r="E1174" t="inlineStr">
        <is>
          <t>YES</t>
        </is>
      </c>
      <c r="F1174" t="inlineStr">
        <is>
          <t>债券形态</t>
        </is>
      </c>
      <c r="H1174" t="inlineStr">
        <is>
          <t>VARCHAR</t>
        </is>
      </c>
      <c r="I1174" t="inlineStr">
        <is>
          <t>18</t>
        </is>
      </c>
    </row>
    <row r="1175">
      <c r="A1175" t="inlineStr">
        <is>
          <t>金融类质押品</t>
        </is>
      </c>
      <c r="B1175" t="inlineStr">
        <is>
          <t>CLR_ASSET_FINANCE</t>
        </is>
      </c>
      <c r="C1175" t="inlineStr">
        <is>
          <t>BONDVALUE</t>
        </is>
      </c>
      <c r="D1175" t="inlineStr">
        <is>
          <t>DECIMAL(24,6)</t>
        </is>
      </c>
      <c r="E1175" t="inlineStr">
        <is>
          <t>YES</t>
        </is>
      </c>
      <c r="F1175" t="inlineStr">
        <is>
          <t>债券发行价值</t>
        </is>
      </c>
      <c r="H1175" t="inlineStr">
        <is>
          <t>DECIMAL</t>
        </is>
      </c>
      <c r="I1175" t="inlineStr">
        <is>
          <t>24,6</t>
        </is>
      </c>
    </row>
    <row r="1176">
      <c r="A1176" t="inlineStr">
        <is>
          <t>金融类质押品</t>
        </is>
      </c>
      <c r="B1176" t="inlineStr">
        <is>
          <t>CLR_ASSET_FINANCE</t>
        </is>
      </c>
      <c r="C1176" t="inlineStr">
        <is>
          <t>BONDLISTTYPE</t>
        </is>
      </c>
      <c r="D1176" t="inlineStr">
        <is>
          <t>VARCHAR(6)</t>
        </is>
      </c>
      <c r="E1176" t="inlineStr">
        <is>
          <t>YES</t>
        </is>
      </c>
      <c r="F1176" t="inlineStr">
        <is>
          <t>债券上市类别</t>
        </is>
      </c>
      <c r="H1176" t="inlineStr">
        <is>
          <t>VARCHAR</t>
        </is>
      </c>
      <c r="I1176" t="inlineStr">
        <is>
          <t>6</t>
        </is>
      </c>
    </row>
    <row r="1177">
      <c r="A1177" t="inlineStr">
        <is>
          <t>金融类质押品</t>
        </is>
      </c>
      <c r="B1177" t="inlineStr">
        <is>
          <t>CLR_ASSET_FINANCE</t>
        </is>
      </c>
      <c r="C1177" t="inlineStr">
        <is>
          <t>BONDRATING</t>
        </is>
      </c>
      <c r="D1177" t="inlineStr">
        <is>
          <t>VARCHAR(18)</t>
        </is>
      </c>
      <c r="E1177" t="inlineStr">
        <is>
          <t>YES</t>
        </is>
      </c>
      <c r="F1177" t="inlineStr">
        <is>
          <t>债券评级</t>
        </is>
      </c>
      <c r="H1177" t="inlineStr">
        <is>
          <t>VARCHAR</t>
        </is>
      </c>
      <c r="I1177" t="inlineStr">
        <is>
          <t>18</t>
        </is>
      </c>
    </row>
    <row r="1178">
      <c r="A1178" t="inlineStr">
        <is>
          <t>金融类质押品</t>
        </is>
      </c>
      <c r="B1178" t="inlineStr">
        <is>
          <t>CLR_ASSET_FINANCE</t>
        </is>
      </c>
      <c r="C1178" t="inlineStr">
        <is>
          <t>RATINGAGENCY</t>
        </is>
      </c>
      <c r="D1178" t="inlineStr">
        <is>
          <t>VARCHAR(32)</t>
        </is>
      </c>
      <c r="E1178" t="inlineStr">
        <is>
          <t>YES</t>
        </is>
      </c>
      <c r="F1178" t="inlineStr">
        <is>
          <t>债券评级机构</t>
        </is>
      </c>
      <c r="H1178" t="inlineStr">
        <is>
          <t>VARCHAR</t>
        </is>
      </c>
      <c r="I1178" t="inlineStr">
        <is>
          <t>32</t>
        </is>
      </c>
    </row>
    <row r="1179">
      <c r="A1179" t="inlineStr">
        <is>
          <t>金融类质押品</t>
        </is>
      </c>
      <c r="B1179" t="inlineStr">
        <is>
          <t>CLR_ASSET_FINANCE</t>
        </is>
      </c>
      <c r="C1179" t="inlineStr">
        <is>
          <t>DRAWEROPENBANKNAME</t>
        </is>
      </c>
      <c r="D1179" t="inlineStr">
        <is>
          <t>VARCHAR(80)</t>
        </is>
      </c>
      <c r="E1179" t="inlineStr">
        <is>
          <t>YES</t>
        </is>
      </c>
      <c r="F1179" t="inlineStr">
        <is>
          <t>出票人开户行</t>
        </is>
      </c>
      <c r="H1179" t="inlineStr">
        <is>
          <t>VARCHAR</t>
        </is>
      </c>
      <c r="I1179" t="inlineStr">
        <is>
          <t>80</t>
        </is>
      </c>
    </row>
    <row r="1180">
      <c r="A1180" t="inlineStr">
        <is>
          <t>金融类质押品</t>
        </is>
      </c>
      <c r="B1180" t="inlineStr">
        <is>
          <t>CLR_ASSET_FINANCE</t>
        </is>
      </c>
      <c r="C1180" t="inlineStr">
        <is>
          <t>SECURITYTYPE</t>
        </is>
      </c>
      <c r="D1180" t="inlineStr">
        <is>
          <t>VARCHAR(6)</t>
        </is>
      </c>
      <c r="E1180" t="inlineStr">
        <is>
          <t>YES</t>
        </is>
      </c>
      <c r="F1180" t="inlineStr">
        <is>
          <t>证券类型</t>
        </is>
      </c>
      <c r="H1180" t="inlineStr">
        <is>
          <t>VARCHAR</t>
        </is>
      </c>
      <c r="I1180" t="inlineStr">
        <is>
          <t>6</t>
        </is>
      </c>
    </row>
    <row r="1181">
      <c r="A1181" t="inlineStr">
        <is>
          <t>金融类质押品</t>
        </is>
      </c>
      <c r="B1181" t="inlineStr">
        <is>
          <t>CLR_ASSET_FINANCE</t>
        </is>
      </c>
      <c r="C1181" t="inlineStr">
        <is>
          <t>STOCKHOLDERNAME</t>
        </is>
      </c>
      <c r="D1181" t="inlineStr">
        <is>
          <t>VARCHAR(80)</t>
        </is>
      </c>
      <c r="E1181" t="inlineStr">
        <is>
          <t>YES</t>
        </is>
      </c>
      <c r="F1181" t="inlineStr">
        <is>
          <t>股票持有人名称/持有人名称/基金持有人名称</t>
        </is>
      </c>
      <c r="H1181" t="inlineStr">
        <is>
          <t>VARCHAR</t>
        </is>
      </c>
      <c r="I1181" t="inlineStr">
        <is>
          <t>80</t>
        </is>
      </c>
    </row>
    <row r="1182">
      <c r="A1182" t="inlineStr">
        <is>
          <t>金融类质押品</t>
        </is>
      </c>
      <c r="B1182" t="inlineStr">
        <is>
          <t>CLR_ASSET_FINANCE</t>
        </is>
      </c>
      <c r="C1182" t="inlineStr">
        <is>
          <t>BAILACCOUNTNO</t>
        </is>
      </c>
      <c r="D1182" t="inlineStr">
        <is>
          <t>VARCHAR(80)</t>
        </is>
      </c>
      <c r="E1182" t="inlineStr">
        <is>
          <t>YES</t>
        </is>
      </c>
      <c r="F1182" t="inlineStr">
        <is>
          <t>保证金账户号码</t>
        </is>
      </c>
      <c r="H1182" t="inlineStr">
        <is>
          <t>VARCHAR</t>
        </is>
      </c>
      <c r="I1182" t="inlineStr">
        <is>
          <t>80</t>
        </is>
      </c>
    </row>
    <row r="1183">
      <c r="A1183" t="inlineStr">
        <is>
          <t>金融类质押品</t>
        </is>
      </c>
      <c r="B1183" t="inlineStr">
        <is>
          <t>CLR_ASSET_FINANCE</t>
        </is>
      </c>
      <c r="C1183" t="inlineStr">
        <is>
          <t>DRAWBILLPLACE</t>
        </is>
      </c>
      <c r="D1183" t="inlineStr">
        <is>
          <t>VARCHAR(80)</t>
        </is>
      </c>
      <c r="E1183" t="inlineStr">
        <is>
          <t>YES</t>
        </is>
      </c>
      <c r="F1183" t="inlineStr">
        <is>
          <t>出票地</t>
        </is>
      </c>
      <c r="H1183" t="inlineStr">
        <is>
          <t>VARCHAR</t>
        </is>
      </c>
      <c r="I1183" t="inlineStr">
        <is>
          <t>80</t>
        </is>
      </c>
    </row>
    <row r="1184">
      <c r="A1184" t="inlineStr">
        <is>
          <t>金融类质押品</t>
        </is>
      </c>
      <c r="B1184" t="inlineStr">
        <is>
          <t>CLR_ASSET_FINANCE</t>
        </is>
      </c>
      <c r="C1184" t="inlineStr">
        <is>
          <t>PAYPLACE</t>
        </is>
      </c>
      <c r="D1184" t="inlineStr">
        <is>
          <t>VARCHAR(80)</t>
        </is>
      </c>
      <c r="E1184" t="inlineStr">
        <is>
          <t>YES</t>
        </is>
      </c>
      <c r="F1184" t="inlineStr">
        <is>
          <t>付款地</t>
        </is>
      </c>
      <c r="H1184" t="inlineStr">
        <is>
          <t>VARCHAR</t>
        </is>
      </c>
      <c r="I1184" t="inlineStr">
        <is>
          <t>80</t>
        </is>
      </c>
    </row>
    <row r="1185">
      <c r="A1185" t="inlineStr">
        <is>
          <t>金融类质押品</t>
        </is>
      </c>
      <c r="B1185" t="inlineStr">
        <is>
          <t>CLR_ASSET_FINANCE</t>
        </is>
      </c>
      <c r="C1185" t="inlineStr">
        <is>
          <t>STOCKHOLDERCODE</t>
        </is>
      </c>
      <c r="D1185" t="inlineStr">
        <is>
          <t>VARCHAR(32)</t>
        </is>
      </c>
      <c r="E1185" t="inlineStr">
        <is>
          <t>YES</t>
        </is>
      </c>
      <c r="F1185" t="inlineStr">
        <is>
          <t>基金持有人代码/股票持有人代码</t>
        </is>
      </c>
      <c r="H1185" t="inlineStr">
        <is>
          <t>VARCHAR</t>
        </is>
      </c>
      <c r="I1185" t="inlineStr">
        <is>
          <t>32</t>
        </is>
      </c>
    </row>
    <row r="1186">
      <c r="A1186" t="inlineStr">
        <is>
          <t>金融类质押品</t>
        </is>
      </c>
      <c r="B1186" t="inlineStr">
        <is>
          <t>CLR_ASSET_FINANCE</t>
        </is>
      </c>
      <c r="C1186" t="inlineStr">
        <is>
          <t>CURRTRANSDATE</t>
        </is>
      </c>
      <c r="D1186" t="inlineStr">
        <is>
          <t>DATETIME</t>
        </is>
      </c>
      <c r="E1186" t="inlineStr">
        <is>
          <t>YES</t>
        </is>
      </c>
      <c r="F1186" t="inlineStr">
        <is>
          <t>当前交易日日期</t>
        </is>
      </c>
      <c r="H1186" t="inlineStr">
        <is>
          <t>DATETIME</t>
        </is>
      </c>
    </row>
    <row r="1187">
      <c r="A1187" t="inlineStr">
        <is>
          <t>金融类质押品</t>
        </is>
      </c>
      <c r="B1187" t="inlineStr">
        <is>
          <t>CLR_ASSET_FINANCE</t>
        </is>
      </c>
      <c r="C1187" t="inlineStr">
        <is>
          <t>CURRTRANSPRICE</t>
        </is>
      </c>
      <c r="D1187" t="inlineStr">
        <is>
          <t>DECIMAL(24,6)</t>
        </is>
      </c>
      <c r="E1187" t="inlineStr">
        <is>
          <t>YES</t>
        </is>
      </c>
      <c r="F1187" t="inlineStr">
        <is>
          <t>当前交易日市价;净值)</t>
        </is>
      </c>
      <c r="H1187" t="inlineStr">
        <is>
          <t>DECIMAL</t>
        </is>
      </c>
      <c r="I1187" t="inlineStr">
        <is>
          <t>24,6</t>
        </is>
      </c>
    </row>
    <row r="1188">
      <c r="A1188" t="inlineStr">
        <is>
          <t>金融类质押品</t>
        </is>
      </c>
      <c r="B1188" t="inlineStr">
        <is>
          <t>CLR_ASSET_FINANCE</t>
        </is>
      </c>
      <c r="C1188" t="inlineStr">
        <is>
          <t>AVGPRICE</t>
        </is>
      </c>
      <c r="D1188" t="inlineStr">
        <is>
          <t>DECIMAL(24,6)</t>
        </is>
      </c>
      <c r="E1188" t="inlineStr">
        <is>
          <t>YES</t>
        </is>
      </c>
      <c r="F1188" t="inlineStr">
        <is>
          <t>最近一年均价;净值）</t>
        </is>
      </c>
      <c r="H1188" t="inlineStr">
        <is>
          <t>DECIMAL</t>
        </is>
      </c>
      <c r="I1188" t="inlineStr">
        <is>
          <t>24,6</t>
        </is>
      </c>
    </row>
    <row r="1189">
      <c r="A1189" t="inlineStr">
        <is>
          <t>金融类质押品</t>
        </is>
      </c>
      <c r="B1189" t="inlineStr">
        <is>
          <t>CLR_ASSET_FINANCE</t>
        </is>
      </c>
      <c r="C1189" t="inlineStr">
        <is>
          <t>BONDDENOMINATION</t>
        </is>
      </c>
      <c r="D1189" t="inlineStr">
        <is>
          <t>DECIMAL(24,6)</t>
        </is>
      </c>
      <c r="E1189" t="inlineStr">
        <is>
          <t>YES</t>
        </is>
      </c>
      <c r="F1189" t="inlineStr">
        <is>
          <t>债券面额;或数量</t>
        </is>
      </c>
      <c r="H1189" t="inlineStr">
        <is>
          <t>DECIMAL</t>
        </is>
      </c>
      <c r="I1189" t="inlineStr">
        <is>
          <t>24,6</t>
        </is>
      </c>
    </row>
    <row r="1190">
      <c r="A1190" t="inlineStr">
        <is>
          <t>金融类质押品</t>
        </is>
      </c>
      <c r="B1190" t="inlineStr">
        <is>
          <t>CLR_ASSET_FINANCE</t>
        </is>
      </c>
      <c r="C1190" t="inlineStr">
        <is>
          <t>HOLDERNAME</t>
        </is>
      </c>
      <c r="D1190" t="inlineStr">
        <is>
          <t>VARCHAR(80)</t>
        </is>
      </c>
      <c r="E1190" t="inlineStr">
        <is>
          <t>YES</t>
        </is>
      </c>
      <c r="F1190" t="inlineStr">
        <is>
          <t>持有人名称/贵金属持有人</t>
        </is>
      </c>
      <c r="H1190" t="inlineStr">
        <is>
          <t>VARCHAR</t>
        </is>
      </c>
      <c r="I1190" t="inlineStr">
        <is>
          <t>80</t>
        </is>
      </c>
    </row>
    <row r="1191">
      <c r="A1191" t="inlineStr">
        <is>
          <t>金融类质押品</t>
        </is>
      </c>
      <c r="B1191" t="inlineStr">
        <is>
          <t>CLR_ASSET_FINANCE</t>
        </is>
      </c>
      <c r="C1191" t="inlineStr">
        <is>
          <t>HOLDERFUNDCODE</t>
        </is>
      </c>
      <c r="D1191" t="inlineStr">
        <is>
          <t>VARCHAR(32)</t>
        </is>
      </c>
      <c r="E1191" t="inlineStr">
        <is>
          <t>YES</t>
        </is>
      </c>
      <c r="F1191" t="inlineStr">
        <is>
          <t>持有人资金代码</t>
        </is>
      </c>
      <c r="H1191" t="inlineStr">
        <is>
          <t>VARCHAR</t>
        </is>
      </c>
      <c r="I1191" t="inlineStr">
        <is>
          <t>32</t>
        </is>
      </c>
    </row>
    <row r="1192">
      <c r="A1192" t="inlineStr">
        <is>
          <t>金融类质押品</t>
        </is>
      </c>
      <c r="B1192" t="inlineStr">
        <is>
          <t>CLR_ASSET_FINANCE</t>
        </is>
      </c>
      <c r="C1192" t="inlineStr">
        <is>
          <t>TYPENAME</t>
        </is>
      </c>
      <c r="D1192" t="inlineStr">
        <is>
          <t>VARCHAR(80)</t>
        </is>
      </c>
      <c r="E1192" t="inlineStr">
        <is>
          <t>YES</t>
        </is>
      </c>
      <c r="F1192" t="inlineStr">
        <is>
          <t>类型名称</t>
        </is>
      </c>
      <c r="H1192" t="inlineStr">
        <is>
          <t>VARCHAR</t>
        </is>
      </c>
      <c r="I1192" t="inlineStr">
        <is>
          <t>80</t>
        </is>
      </c>
    </row>
    <row r="1193">
      <c r="A1193" t="inlineStr">
        <is>
          <t>金融类质押品</t>
        </is>
      </c>
      <c r="B1193" t="inlineStr">
        <is>
          <t>CLR_ASSET_FINANCE</t>
        </is>
      </c>
      <c r="C1193" t="inlineStr">
        <is>
          <t>CREDITORGSHORT</t>
        </is>
      </c>
      <c r="D1193" t="inlineStr">
        <is>
          <t>VARCHAR(80)</t>
        </is>
      </c>
      <c r="E1193" t="inlineStr">
        <is>
          <t>YES</t>
        </is>
      </c>
      <c r="F1193" t="inlineStr">
        <is>
          <t>评级机构;短期）</t>
        </is>
      </c>
      <c r="H1193" t="inlineStr">
        <is>
          <t>VARCHAR</t>
        </is>
      </c>
      <c r="I1193" t="inlineStr">
        <is>
          <t>80</t>
        </is>
      </c>
    </row>
    <row r="1194">
      <c r="A1194" t="inlineStr">
        <is>
          <t>金融类质押品</t>
        </is>
      </c>
      <c r="B1194" t="inlineStr">
        <is>
          <t>CLR_ASSET_FINANCE</t>
        </is>
      </c>
      <c r="C1194" t="inlineStr">
        <is>
          <t>CREDITLEVELSHORT</t>
        </is>
      </c>
      <c r="D1194" t="inlineStr">
        <is>
          <t>VARCHAR(18)</t>
        </is>
      </c>
      <c r="E1194" t="inlineStr">
        <is>
          <t>YES</t>
        </is>
      </c>
      <c r="F1194" t="inlineStr">
        <is>
          <t>评级等级;短期）</t>
        </is>
      </c>
      <c r="H1194" t="inlineStr">
        <is>
          <t>VARCHAR</t>
        </is>
      </c>
      <c r="I1194" t="inlineStr">
        <is>
          <t>18</t>
        </is>
      </c>
    </row>
    <row r="1195">
      <c r="A1195" t="inlineStr">
        <is>
          <t>金融类质押品</t>
        </is>
      </c>
      <c r="B1195" t="inlineStr">
        <is>
          <t>CLR_ASSET_FINANCE</t>
        </is>
      </c>
      <c r="C1195" t="inlineStr">
        <is>
          <t>CREDITORGLONG</t>
        </is>
      </c>
      <c r="D1195" t="inlineStr">
        <is>
          <t>VARCHAR(80)</t>
        </is>
      </c>
      <c r="E1195" t="inlineStr">
        <is>
          <t>YES</t>
        </is>
      </c>
      <c r="F1195" t="inlineStr">
        <is>
          <t>评级机构;长期)</t>
        </is>
      </c>
      <c r="H1195" t="inlineStr">
        <is>
          <t>VARCHAR</t>
        </is>
      </c>
      <c r="I1195" t="inlineStr">
        <is>
          <t>80</t>
        </is>
      </c>
    </row>
    <row r="1196">
      <c r="A1196" t="inlineStr">
        <is>
          <t>金融类质押品</t>
        </is>
      </c>
      <c r="B1196" t="inlineStr">
        <is>
          <t>CLR_ASSET_FINANCE</t>
        </is>
      </c>
      <c r="C1196" t="inlineStr">
        <is>
          <t>CREDITLEVELLONG</t>
        </is>
      </c>
      <c r="D1196" t="inlineStr">
        <is>
          <t>VARCHAR(18)</t>
        </is>
      </c>
      <c r="E1196" t="inlineStr">
        <is>
          <t>YES</t>
        </is>
      </c>
      <c r="F1196" t="inlineStr">
        <is>
          <t>评级等级;长期)</t>
        </is>
      </c>
      <c r="H1196" t="inlineStr">
        <is>
          <t>VARCHAR</t>
        </is>
      </c>
      <c r="I1196" t="inlineStr">
        <is>
          <t>18</t>
        </is>
      </c>
    </row>
    <row r="1197">
      <c r="A1197" t="inlineStr">
        <is>
          <t>金融类质押品</t>
        </is>
      </c>
      <c r="B1197" t="inlineStr">
        <is>
          <t>CLR_ASSET_FINANCE</t>
        </is>
      </c>
      <c r="C1197" t="inlineStr">
        <is>
          <t>PUBLISHERCODE</t>
        </is>
      </c>
      <c r="D1197" t="inlineStr">
        <is>
          <t>VARCHAR(32)</t>
        </is>
      </c>
      <c r="E1197" t="inlineStr">
        <is>
          <t>YES</t>
        </is>
      </c>
      <c r="F1197" t="inlineStr">
        <is>
          <t>发行人代码</t>
        </is>
      </c>
      <c r="H1197" t="inlineStr">
        <is>
          <t>VARCHAR</t>
        </is>
      </c>
      <c r="I1197" t="inlineStr">
        <is>
          <t>32</t>
        </is>
      </c>
    </row>
    <row r="1198">
      <c r="A1198" t="inlineStr">
        <is>
          <t>金融类质押品</t>
        </is>
      </c>
      <c r="B1198" t="inlineStr">
        <is>
          <t>CLR_ASSET_FINANCE</t>
        </is>
      </c>
      <c r="C1198" t="inlineStr">
        <is>
          <t>PUBLISHER</t>
        </is>
      </c>
      <c r="D1198" t="inlineStr">
        <is>
          <t>VARCHAR(80)</t>
        </is>
      </c>
      <c r="E1198" t="inlineStr">
        <is>
          <t>YES</t>
        </is>
      </c>
      <c r="F1198" t="inlineStr">
        <is>
          <t>发行人名称</t>
        </is>
      </c>
      <c r="H1198" t="inlineStr">
        <is>
          <t>VARCHAR</t>
        </is>
      </c>
      <c r="I1198" t="inlineStr">
        <is>
          <t>80</t>
        </is>
      </c>
    </row>
    <row r="1199">
      <c r="A1199" t="inlineStr">
        <is>
          <t>金融类质押品</t>
        </is>
      </c>
      <c r="B1199" t="inlineStr">
        <is>
          <t>CLR_ASSET_FINANCE</t>
        </is>
      </c>
      <c r="C1199" t="inlineStr">
        <is>
          <t>PUBTRADETYPE</t>
        </is>
      </c>
      <c r="D1199" t="inlineStr">
        <is>
          <t>VARCHAR(18)</t>
        </is>
      </c>
      <c r="E1199" t="inlineStr">
        <is>
          <t>YES</t>
        </is>
      </c>
      <c r="F1199" t="inlineStr">
        <is>
          <t>发行人交易对手类别</t>
        </is>
      </c>
      <c r="H1199" t="inlineStr">
        <is>
          <t>VARCHAR</t>
        </is>
      </c>
      <c r="I1199" t="inlineStr">
        <is>
          <t>18</t>
        </is>
      </c>
    </row>
    <row r="1200">
      <c r="A1200" t="inlineStr">
        <is>
          <t>金融类质押品</t>
        </is>
      </c>
      <c r="B1200" t="inlineStr">
        <is>
          <t>CLR_ASSET_FINANCE</t>
        </is>
      </c>
      <c r="C1200" t="inlineStr">
        <is>
          <t>PUBLONGCREDITORG</t>
        </is>
      </c>
      <c r="D1200" t="inlineStr">
        <is>
          <t>VARCHAR(80)</t>
        </is>
      </c>
      <c r="E1200" t="inlineStr">
        <is>
          <t>YES</t>
        </is>
      </c>
      <c r="F1200" t="inlineStr">
        <is>
          <t>发行人长期评级机构</t>
        </is>
      </c>
      <c r="H1200" t="inlineStr">
        <is>
          <t>VARCHAR</t>
        </is>
      </c>
      <c r="I1200" t="inlineStr">
        <is>
          <t>80</t>
        </is>
      </c>
    </row>
    <row r="1201">
      <c r="A1201" t="inlineStr">
        <is>
          <t>金融类质押品</t>
        </is>
      </c>
      <c r="B1201" t="inlineStr">
        <is>
          <t>CLR_ASSET_FINANCE</t>
        </is>
      </c>
      <c r="C1201" t="inlineStr">
        <is>
          <t>PUBLONGCREDITLEVEL</t>
        </is>
      </c>
      <c r="D1201" t="inlineStr">
        <is>
          <t>VARCHAR(18)</t>
        </is>
      </c>
      <c r="E1201" t="inlineStr">
        <is>
          <t>YES</t>
        </is>
      </c>
      <c r="F1201" t="inlineStr">
        <is>
          <t>发行人长期评级等级</t>
        </is>
      </c>
      <c r="H1201" t="inlineStr">
        <is>
          <t>VARCHAR</t>
        </is>
      </c>
      <c r="I1201" t="inlineStr">
        <is>
          <t>18</t>
        </is>
      </c>
    </row>
    <row r="1202">
      <c r="A1202" t="inlineStr">
        <is>
          <t>金融类质押品</t>
        </is>
      </c>
      <c r="B1202" t="inlineStr">
        <is>
          <t>CLR_ASSET_FINANCE</t>
        </is>
      </c>
      <c r="C1202" t="inlineStr">
        <is>
          <t>PUBCOUNTRY</t>
        </is>
      </c>
      <c r="D1202" t="inlineStr">
        <is>
          <t>VARCHAR(80)</t>
        </is>
      </c>
      <c r="E1202" t="inlineStr">
        <is>
          <t>YES</t>
        </is>
      </c>
      <c r="F1202" t="inlineStr">
        <is>
          <t>发行人所在国家</t>
        </is>
      </c>
      <c r="H1202" t="inlineStr">
        <is>
          <t>VARCHAR</t>
        </is>
      </c>
      <c r="I1202" t="inlineStr">
        <is>
          <t>80</t>
        </is>
      </c>
    </row>
    <row r="1203">
      <c r="A1203" t="inlineStr">
        <is>
          <t>金融类质押品</t>
        </is>
      </c>
      <c r="B1203" t="inlineStr">
        <is>
          <t>CLR_ASSET_FINANCE</t>
        </is>
      </c>
      <c r="C1203" t="inlineStr">
        <is>
          <t>ISPROFIT</t>
        </is>
      </c>
      <c r="D1203" t="inlineStr">
        <is>
          <t>CHAR(1)</t>
        </is>
      </c>
      <c r="E1203" t="inlineStr">
        <is>
          <t>YES</t>
        </is>
      </c>
      <c r="F1203" t="inlineStr">
        <is>
          <t>上市公司是否盈利/公司是否盈利</t>
        </is>
      </c>
      <c r="H1203" t="inlineStr">
        <is>
          <t>CHAR</t>
        </is>
      </c>
      <c r="I1203" t="inlineStr">
        <is>
          <t>1</t>
        </is>
      </c>
    </row>
    <row r="1204">
      <c r="A1204" t="inlineStr">
        <is>
          <t>金融类质押品</t>
        </is>
      </c>
      <c r="B1204" t="inlineStr">
        <is>
          <t>CLR_ASSET_FINANCE</t>
        </is>
      </c>
      <c r="C1204" t="inlineStr">
        <is>
          <t>FINANCEFLAG01</t>
        </is>
      </c>
      <c r="D1204" t="inlineStr">
        <is>
          <t>CHAR(1)</t>
        </is>
      </c>
      <c r="E1204" t="inlineStr">
        <is>
          <t>YES</t>
        </is>
      </c>
      <c r="F1204" t="inlineStr">
        <is>
          <t>是否具有现金价值</t>
        </is>
      </c>
      <c r="H1204" t="inlineStr">
        <is>
          <t>CHAR</t>
        </is>
      </c>
      <c r="I1204" t="inlineStr">
        <is>
          <t>1</t>
        </is>
      </c>
    </row>
    <row r="1205">
      <c r="A1205" t="inlineStr">
        <is>
          <t>金融类质押品</t>
        </is>
      </c>
      <c r="B1205" t="inlineStr">
        <is>
          <t>CLR_ASSET_FINANCE</t>
        </is>
      </c>
      <c r="C1205" t="inlineStr">
        <is>
          <t>FINANCEFLAG02</t>
        </is>
      </c>
      <c r="D1205" t="inlineStr">
        <is>
          <t>CHAR(1)</t>
        </is>
      </c>
      <c r="E1205" t="inlineStr">
        <is>
          <t>YES</t>
        </is>
      </c>
      <c r="F1205" t="inlineStr">
        <is>
          <t>是否于认可的交易所上交易</t>
        </is>
      </c>
      <c r="H1205" t="inlineStr">
        <is>
          <t>CHAR</t>
        </is>
      </c>
      <c r="I1205" t="inlineStr">
        <is>
          <t>1</t>
        </is>
      </c>
    </row>
    <row r="1206">
      <c r="A1206" t="inlineStr">
        <is>
          <t>金融类质押品</t>
        </is>
      </c>
      <c r="B1206" t="inlineStr">
        <is>
          <t>CLR_ASSET_FINANCE</t>
        </is>
      </c>
      <c r="C1206" t="inlineStr">
        <is>
          <t>FINANCEFLAG03</t>
        </is>
      </c>
      <c r="D1206" t="inlineStr">
        <is>
          <t>CHAR(1)</t>
        </is>
      </c>
      <c r="E1206" t="inlineStr">
        <is>
          <t>YES</t>
        </is>
      </c>
      <c r="F1206" t="inlineStr">
        <is>
          <t>是否主要交易指数成分</t>
        </is>
      </c>
      <c r="H1206" t="inlineStr">
        <is>
          <t>CHAR</t>
        </is>
      </c>
      <c r="I1206" t="inlineStr">
        <is>
          <t>1</t>
        </is>
      </c>
    </row>
    <row r="1207">
      <c r="A1207" t="inlineStr">
        <is>
          <t>金融类质押品</t>
        </is>
      </c>
      <c r="B1207" t="inlineStr">
        <is>
          <t>CLR_ASSET_FINANCE</t>
        </is>
      </c>
      <c r="C1207" t="inlineStr">
        <is>
          <t>STOCKMANANGER</t>
        </is>
      </c>
      <c r="D1207" t="inlineStr">
        <is>
          <t>VARCHAR(80)</t>
        </is>
      </c>
      <c r="E1207" t="inlineStr">
        <is>
          <t>YES</t>
        </is>
      </c>
      <c r="F1207" t="inlineStr">
        <is>
          <t>股票托管券商</t>
        </is>
      </c>
      <c r="H1207" t="inlineStr">
        <is>
          <t>VARCHAR</t>
        </is>
      </c>
      <c r="I1207" t="inlineStr">
        <is>
          <t>80</t>
        </is>
      </c>
    </row>
    <row r="1208">
      <c r="A1208" t="inlineStr">
        <is>
          <t>金融类质押品</t>
        </is>
      </c>
      <c r="B1208" t="inlineStr">
        <is>
          <t>CLR_ASSET_FINANCE</t>
        </is>
      </c>
      <c r="C1208" t="inlineStr">
        <is>
          <t>ACCOUNTSUM</t>
        </is>
      </c>
      <c r="D1208" t="inlineStr">
        <is>
          <t>DECIMAL(24,6)</t>
        </is>
      </c>
      <c r="E1208" t="inlineStr">
        <is>
          <t>YES</t>
        </is>
      </c>
      <c r="F1208" t="inlineStr">
        <is>
          <t>保证金账户金额</t>
        </is>
      </c>
      <c r="H1208" t="inlineStr">
        <is>
          <t>DECIMAL</t>
        </is>
      </c>
      <c r="I1208" t="inlineStr">
        <is>
          <t>24,6</t>
        </is>
      </c>
    </row>
    <row r="1209">
      <c r="A1209" t="inlineStr">
        <is>
          <t>金融类质押品</t>
        </is>
      </c>
      <c r="B1209" t="inlineStr">
        <is>
          <t>CLR_ASSET_FINANCE</t>
        </is>
      </c>
      <c r="C1209" t="inlineStr">
        <is>
          <t>BAILACCOUNTSOURCE</t>
        </is>
      </c>
      <c r="D1209" t="inlineStr">
        <is>
          <t>VARCHAR(6)</t>
        </is>
      </c>
      <c r="E1209" t="inlineStr">
        <is>
          <t>YES</t>
        </is>
      </c>
      <c r="F1209" t="inlineStr">
        <is>
          <t>01-在岸;02-离岸;02-离岸</t>
        </is>
      </c>
      <c r="H1209" t="inlineStr">
        <is>
          <t>VARCHAR</t>
        </is>
      </c>
      <c r="I1209" t="inlineStr">
        <is>
          <t>6</t>
        </is>
      </c>
    </row>
    <row r="1210">
      <c r="A1210" t="inlineStr">
        <is>
          <t>金融类质押品</t>
        </is>
      </c>
      <c r="B1210" t="inlineStr">
        <is>
          <t>CLR_ASSET_FINANCE</t>
        </is>
      </c>
      <c r="C1210" t="inlineStr">
        <is>
          <t>ACCOUNTCTRLSUM</t>
        </is>
      </c>
      <c r="D1210" t="inlineStr">
        <is>
          <t>DECIMAL(24,6)</t>
        </is>
      </c>
      <c r="E1210" t="inlineStr">
        <is>
          <t>YES</t>
        </is>
      </c>
      <c r="F1210" t="inlineStr">
        <is>
          <t>保证金账户已控制金额</t>
        </is>
      </c>
      <c r="H1210" t="inlineStr">
        <is>
          <t>DECIMAL</t>
        </is>
      </c>
      <c r="I1210" t="inlineStr">
        <is>
          <t>24,6</t>
        </is>
      </c>
    </row>
    <row r="1211">
      <c r="A1211" t="inlineStr">
        <is>
          <t>金融类质押品</t>
        </is>
      </c>
      <c r="B1211" t="inlineStr">
        <is>
          <t>CLR_ASSET_FINANCE</t>
        </is>
      </c>
      <c r="C1211" t="inlineStr">
        <is>
          <t>ACCOUNTSTATUS</t>
        </is>
      </c>
      <c r="D1211" t="inlineStr">
        <is>
          <t>VARCHAR(6)</t>
        </is>
      </c>
      <c r="E1211" t="inlineStr">
        <is>
          <t>YES</t>
        </is>
      </c>
      <c r="F1211" t="inlineStr">
        <is>
          <t>01;正常；02 销户；;正常；02 销户；</t>
        </is>
      </c>
      <c r="H1211" t="inlineStr">
        <is>
          <t>VARCHAR</t>
        </is>
      </c>
      <c r="I1211" t="inlineStr">
        <is>
          <t>6</t>
        </is>
      </c>
    </row>
    <row r="1212">
      <c r="A1212" t="inlineStr">
        <is>
          <t>金融类质押品</t>
        </is>
      </c>
      <c r="B1212" t="inlineStr">
        <is>
          <t>CLR_ASSET_FINANCE</t>
        </is>
      </c>
      <c r="C1212" t="inlineStr">
        <is>
          <t>ACCOUNTUPDATEDATE</t>
        </is>
      </c>
      <c r="D1212" t="inlineStr">
        <is>
          <t>DATETIME</t>
        </is>
      </c>
      <c r="E1212" t="inlineStr">
        <is>
          <t>YES</t>
        </is>
      </c>
      <c r="F1212" t="inlineStr">
        <is>
          <t>保证金账户数据更新日期</t>
        </is>
      </c>
      <c r="H1212" t="inlineStr">
        <is>
          <t>DATETIME</t>
        </is>
      </c>
    </row>
    <row r="1213">
      <c r="A1213" t="inlineStr">
        <is>
          <t>金融类质押品</t>
        </is>
      </c>
      <c r="B1213" t="inlineStr">
        <is>
          <t>CLR_ASSET_FINANCE</t>
        </is>
      </c>
      <c r="C1213" t="inlineStr">
        <is>
          <t>INPUTORGID</t>
        </is>
      </c>
      <c r="D1213" t="inlineStr">
        <is>
          <t>VARCHAR(32)</t>
        </is>
      </c>
      <c r="E1213" t="inlineStr">
        <is>
          <t>YES</t>
        </is>
      </c>
      <c r="F1213" t="inlineStr">
        <is>
          <t>登记机构</t>
        </is>
      </c>
      <c r="H1213" t="inlineStr">
        <is>
          <t>VARCHAR</t>
        </is>
      </c>
      <c r="I1213" t="inlineStr">
        <is>
          <t>32</t>
        </is>
      </c>
    </row>
    <row r="1214">
      <c r="A1214" t="inlineStr">
        <is>
          <t>金融类质押品</t>
        </is>
      </c>
      <c r="B1214" t="inlineStr">
        <is>
          <t>CLR_ASSET_FINANCE</t>
        </is>
      </c>
      <c r="C1214" t="inlineStr">
        <is>
          <t>INPUTUSERID</t>
        </is>
      </c>
      <c r="D1214" t="inlineStr">
        <is>
          <t>VARCHAR(32)</t>
        </is>
      </c>
      <c r="E1214" t="inlineStr">
        <is>
          <t>YES</t>
        </is>
      </c>
      <c r="F1214" t="inlineStr">
        <is>
          <t>登记人</t>
        </is>
      </c>
      <c r="H1214" t="inlineStr">
        <is>
          <t>VARCHAR</t>
        </is>
      </c>
      <c r="I1214" t="inlineStr">
        <is>
          <t>32</t>
        </is>
      </c>
    </row>
    <row r="1215">
      <c r="A1215" t="inlineStr">
        <is>
          <t>金融类质押品</t>
        </is>
      </c>
      <c r="B1215" t="inlineStr">
        <is>
          <t>CLR_ASSET_FINANCE</t>
        </is>
      </c>
      <c r="C1215" t="inlineStr">
        <is>
          <t>INPUTDATE</t>
        </is>
      </c>
      <c r="D1215" t="inlineStr">
        <is>
          <t>DATETIME</t>
        </is>
      </c>
      <c r="E1215" t="inlineStr">
        <is>
          <t>YES</t>
        </is>
      </c>
      <c r="F1215" t="inlineStr">
        <is>
          <t>登记日期</t>
        </is>
      </c>
      <c r="H1215" t="inlineStr">
        <is>
          <t>DATETIME</t>
        </is>
      </c>
    </row>
    <row r="1216">
      <c r="A1216" t="inlineStr">
        <is>
          <t>金融类质押品</t>
        </is>
      </c>
      <c r="B1216" t="inlineStr">
        <is>
          <t>CLR_ASSET_FINANCE</t>
        </is>
      </c>
      <c r="C1216" t="inlineStr">
        <is>
          <t>UPDATEORGID</t>
        </is>
      </c>
      <c r="D1216" t="inlineStr">
        <is>
          <t>VARCHAR(32)</t>
        </is>
      </c>
      <c r="E1216" t="inlineStr">
        <is>
          <t>YES</t>
        </is>
      </c>
      <c r="F1216" t="inlineStr">
        <is>
          <t>更新机构</t>
        </is>
      </c>
      <c r="H1216" t="inlineStr">
        <is>
          <t>VARCHAR</t>
        </is>
      </c>
      <c r="I1216" t="inlineStr">
        <is>
          <t>32</t>
        </is>
      </c>
    </row>
    <row r="1217">
      <c r="A1217" t="inlineStr">
        <is>
          <t>金融类质押品</t>
        </is>
      </c>
      <c r="B1217" t="inlineStr">
        <is>
          <t>CLR_ASSET_FINANCE</t>
        </is>
      </c>
      <c r="C1217" t="inlineStr">
        <is>
          <t>UPDATEUSERID</t>
        </is>
      </c>
      <c r="D1217" t="inlineStr">
        <is>
          <t>VARCHAR(32)</t>
        </is>
      </c>
      <c r="E1217" t="inlineStr">
        <is>
          <t>YES</t>
        </is>
      </c>
      <c r="F1217" t="inlineStr">
        <is>
          <t>更新人</t>
        </is>
      </c>
      <c r="H1217" t="inlineStr">
        <is>
          <t>VARCHAR</t>
        </is>
      </c>
      <c r="I1217" t="inlineStr">
        <is>
          <t>32</t>
        </is>
      </c>
    </row>
    <row r="1218">
      <c r="A1218" t="inlineStr">
        <is>
          <t>金融类质押品</t>
        </is>
      </c>
      <c r="B1218" t="inlineStr">
        <is>
          <t>CLR_ASSET_FINANCE</t>
        </is>
      </c>
      <c r="C1218" t="inlineStr">
        <is>
          <t>UPDATEDATE</t>
        </is>
      </c>
      <c r="D1218" t="inlineStr">
        <is>
          <t>DATETIME</t>
        </is>
      </c>
      <c r="E1218" t="inlineStr">
        <is>
          <t>YES</t>
        </is>
      </c>
      <c r="F1218" t="inlineStr">
        <is>
          <t>更新日期</t>
        </is>
      </c>
      <c r="H1218" t="inlineStr">
        <is>
          <t>DATETIME</t>
        </is>
      </c>
    </row>
    <row r="1219">
      <c r="A1219" t="inlineStr">
        <is>
          <t>金融类质押品</t>
        </is>
      </c>
      <c r="B1219" t="inlineStr">
        <is>
          <t>CLR_ASSET_FINANCE</t>
        </is>
      </c>
      <c r="C1219" t="inlineStr">
        <is>
          <t>REMARK</t>
        </is>
      </c>
      <c r="D1219" t="inlineStr">
        <is>
          <t>VARCHAR(1000)</t>
        </is>
      </c>
      <c r="E1219" t="inlineStr">
        <is>
          <t>YES</t>
        </is>
      </c>
      <c r="F1219" t="inlineStr">
        <is>
          <t>备注</t>
        </is>
      </c>
      <c r="H1219" t="inlineStr">
        <is>
          <t>VARCHAR</t>
        </is>
      </c>
      <c r="I1219" t="inlineStr">
        <is>
          <t>1000</t>
        </is>
      </c>
    </row>
    <row r="1220">
      <c r="A1220" t="inlineStr">
        <is>
          <t>金融类质押品</t>
        </is>
      </c>
      <c r="B1220" t="inlineStr">
        <is>
          <t>CLR_ASSET_FINANCE</t>
        </is>
      </c>
      <c r="C1220" t="inlineStr">
        <is>
          <t>CORPORGID</t>
        </is>
      </c>
      <c r="D1220" t="inlineStr">
        <is>
          <t>VARCHAR(32)</t>
        </is>
      </c>
      <c r="E1220" t="inlineStr">
        <is>
          <t>YES</t>
        </is>
      </c>
      <c r="F1220" t="inlineStr">
        <is>
          <t>法人机构编号</t>
        </is>
      </c>
      <c r="H1220" t="inlineStr">
        <is>
          <t>VARCHAR</t>
        </is>
      </c>
      <c r="I1220" t="inlineStr">
        <is>
          <t>32</t>
        </is>
      </c>
    </row>
    <row r="1221">
      <c r="A1221" t="inlineStr">
        <is>
          <t>金融类质押品</t>
        </is>
      </c>
      <c r="B1221" t="inlineStr">
        <is>
          <t>CLR_ASSET_FINANCE</t>
        </is>
      </c>
      <c r="C1221" t="inlineStr">
        <is>
          <t>TRADEMARKET</t>
        </is>
      </c>
      <c r="D1221" t="inlineStr">
        <is>
          <t>VARCHAR(6)</t>
        </is>
      </c>
      <c r="E1221" t="inlineStr">
        <is>
          <t>YES</t>
        </is>
      </c>
      <c r="F1221" t="inlineStr">
        <is>
          <t>股票交易场所</t>
        </is>
      </c>
      <c r="H1221" t="inlineStr">
        <is>
          <t>VARCHAR</t>
        </is>
      </c>
      <c r="I1221" t="inlineStr">
        <is>
          <t>6</t>
        </is>
      </c>
    </row>
    <row r="1222">
      <c r="A1222" t="inlineStr">
        <is>
          <t>金融类质押品</t>
        </is>
      </c>
      <c r="B1222" t="inlineStr">
        <is>
          <t>CLR_ASSET_FINANCE</t>
        </is>
      </c>
      <c r="C1222" t="inlineStr">
        <is>
          <t>BILLRANGESTART</t>
        </is>
      </c>
      <c r="D1222" t="inlineStr">
        <is>
          <t>VARCHAR(20)</t>
        </is>
      </c>
      <c r="E1222" t="inlineStr">
        <is>
          <t>YES</t>
        </is>
      </c>
      <c r="F1222" t="inlineStr">
        <is>
          <t>开始票据区间</t>
        </is>
      </c>
      <c r="H1222" t="inlineStr">
        <is>
          <t>VARCHAR</t>
        </is>
      </c>
      <c r="I1222" t="inlineStr">
        <is>
          <t>20</t>
        </is>
      </c>
    </row>
    <row r="1223">
      <c r="A1223" t="inlineStr">
        <is>
          <t>金融类质押品</t>
        </is>
      </c>
      <c r="B1223" t="inlineStr">
        <is>
          <t>CLR_ASSET_FINANCE</t>
        </is>
      </c>
      <c r="C1223" t="inlineStr">
        <is>
          <t>BILLRANGEEND</t>
        </is>
      </c>
      <c r="D1223" t="inlineStr">
        <is>
          <t>VARCHAR(20)</t>
        </is>
      </c>
      <c r="E1223" t="inlineStr">
        <is>
          <t>YES</t>
        </is>
      </c>
      <c r="F1223" t="inlineStr">
        <is>
          <t>截止票据区间</t>
        </is>
      </c>
      <c r="H1223" t="inlineStr">
        <is>
          <t>VARCHAR</t>
        </is>
      </c>
      <c r="I1223" t="inlineStr">
        <is>
          <t>20</t>
        </is>
      </c>
    </row>
    <row r="1224">
      <c r="A1224" t="inlineStr">
        <is>
          <t>金融类质押品</t>
        </is>
      </c>
      <c r="B1224" t="inlineStr">
        <is>
          <t>CLR_ASSET_FINANCE</t>
        </is>
      </c>
      <c r="C1224" t="inlineStr">
        <is>
          <t>FRZNO</t>
        </is>
      </c>
      <c r="D1224" t="inlineStr">
        <is>
          <t>VARCHAR(32)</t>
        </is>
      </c>
      <c r="E1224" t="inlineStr">
        <is>
          <t>YES</t>
        </is>
      </c>
      <c r="F1224" t="inlineStr">
        <is>
          <t>冻结止付编号</t>
        </is>
      </c>
      <c r="H1224" t="inlineStr">
        <is>
          <t>VARCHAR</t>
        </is>
      </c>
      <c r="I1224" t="inlineStr">
        <is>
          <t>32</t>
        </is>
      </c>
    </row>
    <row r="1225">
      <c r="A1225" t="inlineStr">
        <is>
          <t>金融类质押品</t>
        </is>
      </c>
      <c r="B1225" t="inlineStr">
        <is>
          <t>CLR_ASSET_FINANCE</t>
        </is>
      </c>
      <c r="C1225" t="inlineStr">
        <is>
          <t>BILLMEDIUM</t>
        </is>
      </c>
      <c r="D1225" t="inlineStr">
        <is>
          <t>VARCHAR(6)</t>
        </is>
      </c>
      <c r="E1225" t="inlineStr">
        <is>
          <t>YES</t>
        </is>
      </c>
      <c r="F1225" t="inlineStr">
        <is>
          <t>存单介质/票据介质</t>
        </is>
      </c>
      <c r="H1225" t="inlineStr">
        <is>
          <t>VARCHAR</t>
        </is>
      </c>
      <c r="I1225" t="inlineStr">
        <is>
          <t>6</t>
        </is>
      </c>
    </row>
    <row r="1226">
      <c r="A1226" t="inlineStr">
        <is>
          <t>金融类质押品</t>
        </is>
      </c>
      <c r="B1226" t="inlineStr">
        <is>
          <t>CLR_ASSET_FINANCE</t>
        </is>
      </c>
      <c r="C1226" t="inlineStr">
        <is>
          <t>REGISTERINFO</t>
        </is>
      </c>
      <c r="D1226" t="inlineStr">
        <is>
          <t>VARCHAR(500)</t>
        </is>
      </c>
      <c r="E1226" t="inlineStr">
        <is>
          <t>YES</t>
        </is>
      </c>
      <c r="F1226" t="inlineStr">
        <is>
          <t>质押物登记情况</t>
        </is>
      </c>
      <c r="H1226" t="inlineStr">
        <is>
          <t>VARCHAR</t>
        </is>
      </c>
      <c r="I1226" t="inlineStr">
        <is>
          <t>500</t>
        </is>
      </c>
    </row>
    <row r="1227">
      <c r="A1227" t="inlineStr">
        <is>
          <t>金融类质押品</t>
        </is>
      </c>
      <c r="B1227" t="inlineStr">
        <is>
          <t>CLR_ASSET_FINANCE</t>
        </is>
      </c>
      <c r="C1227" t="inlineStr">
        <is>
          <t>FRZSTATUS</t>
        </is>
      </c>
      <c r="D1227" t="inlineStr">
        <is>
          <t>VARCHAR(6)</t>
        </is>
      </c>
      <c r="E1227" t="inlineStr">
        <is>
          <t>YES</t>
        </is>
      </c>
      <c r="F1227" t="inlineStr">
        <is>
          <t>冻结状态/冻结类型</t>
        </is>
      </c>
      <c r="H1227" t="inlineStr">
        <is>
          <t>VARCHAR</t>
        </is>
      </c>
      <c r="I1227" t="inlineStr">
        <is>
          <t>6</t>
        </is>
      </c>
    </row>
    <row r="1228">
      <c r="A1228" t="inlineStr">
        <is>
          <t>金融类质押品</t>
        </is>
      </c>
      <c r="B1228" t="inlineStr">
        <is>
          <t>CLR_ASSET_FINANCE</t>
        </is>
      </c>
      <c r="C1228" t="inlineStr">
        <is>
          <t>PAYOUTTYPE</t>
        </is>
      </c>
      <c r="D1228" t="inlineStr">
        <is>
          <t>VARCHAR(6)</t>
        </is>
      </c>
      <c r="E1228" t="inlineStr">
        <is>
          <t>YES</t>
        </is>
      </c>
      <c r="F1228" t="inlineStr">
        <is>
          <t>支出类型</t>
        </is>
      </c>
      <c r="H1228" t="inlineStr">
        <is>
          <t>VARCHAR</t>
        </is>
      </c>
      <c r="I1228" t="inlineStr">
        <is>
          <t>6</t>
        </is>
      </c>
    </row>
    <row r="1229">
      <c r="A1229" t="inlineStr">
        <is>
          <t>金融类质押品</t>
        </is>
      </c>
      <c r="B1229" t="inlineStr">
        <is>
          <t>CLR_ASSET_FINANCE</t>
        </is>
      </c>
      <c r="C1229" t="inlineStr">
        <is>
          <t>LOANCARDNO</t>
        </is>
      </c>
      <c r="D1229" t="inlineStr">
        <is>
          <t>VARCHAR(32)</t>
        </is>
      </c>
      <c r="E1229" t="inlineStr">
        <is>
          <t>YES</t>
        </is>
      </c>
      <c r="F1229" t="inlineStr">
        <is>
          <t>出质人贷款卡号</t>
        </is>
      </c>
      <c r="H1229" t="inlineStr">
        <is>
          <t>VARCHAR</t>
        </is>
      </c>
      <c r="I1229" t="inlineStr">
        <is>
          <t>32</t>
        </is>
      </c>
    </row>
    <row r="1230">
      <c r="A1230" t="inlineStr">
        <is>
          <t>金融类质押品</t>
        </is>
      </c>
      <c r="B1230" t="inlineStr">
        <is>
          <t>CLR_ASSET_FINANCE</t>
        </is>
      </c>
      <c r="C1230" t="inlineStr">
        <is>
          <t>SELLAGRENO</t>
        </is>
      </c>
      <c r="D1230" t="inlineStr">
        <is>
          <t>VARCHAR(50)</t>
        </is>
      </c>
      <c r="E1230" t="inlineStr">
        <is>
          <t>YES</t>
        </is>
      </c>
      <c r="F1230" t="inlineStr">
        <is>
          <t>款项</t>
        </is>
      </c>
      <c r="H1230" t="inlineStr">
        <is>
          <t>VARCHAR</t>
        </is>
      </c>
      <c r="I1230" t="inlineStr">
        <is>
          <t>50</t>
        </is>
      </c>
    </row>
    <row r="1231">
      <c r="A1231" t="inlineStr">
        <is>
          <t>金融类质押品</t>
        </is>
      </c>
      <c r="B1231" t="inlineStr">
        <is>
          <t>CLR_ASSET_FINANCE</t>
        </is>
      </c>
      <c r="C1231" t="inlineStr">
        <is>
          <t>REALIZATIONVALUE</t>
        </is>
      </c>
      <c r="D1231" t="inlineStr">
        <is>
          <t>DECIMAL(24,6)</t>
        </is>
      </c>
      <c r="E1231" t="inlineStr">
        <is>
          <t>YES</t>
        </is>
      </c>
      <c r="F1231" t="inlineStr">
        <is>
          <t>预计变现值</t>
        </is>
      </c>
      <c r="H1231" t="inlineStr">
        <is>
          <t>DECIMAL</t>
        </is>
      </c>
      <c r="I1231" t="inlineStr">
        <is>
          <t>24,6</t>
        </is>
      </c>
    </row>
    <row r="1232">
      <c r="A1232" t="inlineStr">
        <is>
          <t>金融类质押品</t>
        </is>
      </c>
      <c r="B1232" t="inlineStr">
        <is>
          <t>CLR_ASSET_FINANCE</t>
        </is>
      </c>
      <c r="C1232" t="inlineStr">
        <is>
          <t>REALIZATIONCOST</t>
        </is>
      </c>
      <c r="D1232" t="inlineStr">
        <is>
          <t>DECIMAL(24,6)</t>
        </is>
      </c>
      <c r="E1232" t="inlineStr">
        <is>
          <t>YES</t>
        </is>
      </c>
      <c r="F1232" t="inlineStr">
        <is>
          <t>预计变现成本</t>
        </is>
      </c>
      <c r="H1232" t="inlineStr">
        <is>
          <t>DECIMAL</t>
        </is>
      </c>
      <c r="I1232" t="inlineStr">
        <is>
          <t>24,6</t>
        </is>
      </c>
    </row>
    <row r="1233">
      <c r="A1233" t="inlineStr">
        <is>
          <t>金融类质押品</t>
        </is>
      </c>
      <c r="B1233" t="inlineStr">
        <is>
          <t>CLR_ASSET_FINANCE</t>
        </is>
      </c>
      <c r="C1233" t="inlineStr">
        <is>
          <t>ISOWNDEPOSIT</t>
        </is>
      </c>
      <c r="D1233" t="inlineStr">
        <is>
          <t>VARCHAR(6)</t>
        </is>
      </c>
      <c r="E1233" t="inlineStr">
        <is>
          <t>YES</t>
        </is>
      </c>
      <c r="F1233" t="inlineStr">
        <is>
          <t>是否我行存单</t>
        </is>
      </c>
      <c r="H1233" t="inlineStr">
        <is>
          <t>VARCHAR</t>
        </is>
      </c>
      <c r="I1233" t="inlineStr">
        <is>
          <t>6</t>
        </is>
      </c>
    </row>
    <row r="1234">
      <c r="A1234" t="inlineStr">
        <is>
          <t>金融类质押品</t>
        </is>
      </c>
      <c r="B1234" t="inlineStr">
        <is>
          <t>CLR_ASSET_FINANCE</t>
        </is>
      </c>
      <c r="C1234" t="inlineStr">
        <is>
          <t>MARGINRATIO</t>
        </is>
      </c>
      <c r="D1234" t="inlineStr">
        <is>
          <t>DECIMAL(18,8)</t>
        </is>
      </c>
      <c r="E1234" t="inlineStr">
        <is>
          <t>YES</t>
        </is>
      </c>
      <c r="F1234" t="inlineStr">
        <is>
          <t>保证金比例/持有股权比例</t>
        </is>
      </c>
      <c r="H1234" t="inlineStr">
        <is>
          <t>DECIMAL</t>
        </is>
      </c>
      <c r="I1234" t="inlineStr">
        <is>
          <t>18,8</t>
        </is>
      </c>
    </row>
    <row r="1235">
      <c r="A1235" t="inlineStr">
        <is>
          <t>金融类质押品</t>
        </is>
      </c>
      <c r="B1235" t="inlineStr">
        <is>
          <t>CLR_ASSET_FINANCE</t>
        </is>
      </c>
      <c r="C1235" t="inlineStr">
        <is>
          <t>OTHERAGREEMENTS</t>
        </is>
      </c>
      <c r="D1235" t="inlineStr">
        <is>
          <t>VARCHAR(200)</t>
        </is>
      </c>
      <c r="E1235" t="inlineStr">
        <is>
          <t>YES</t>
        </is>
      </c>
      <c r="F1235" t="inlineStr">
        <is>
          <t>其他特别约定</t>
        </is>
      </c>
      <c r="H1235" t="inlineStr">
        <is>
          <t>VARCHAR</t>
        </is>
      </c>
      <c r="I1235" t="inlineStr">
        <is>
          <t>200</t>
        </is>
      </c>
    </row>
    <row r="1236">
      <c r="A1236" t="inlineStr">
        <is>
          <t>金融类质押品</t>
        </is>
      </c>
      <c r="B1236" t="inlineStr">
        <is>
          <t>CLR_ASSET_FINANCE</t>
        </is>
      </c>
      <c r="C1236" t="inlineStr">
        <is>
          <t>UNDERWRITINGDATE</t>
        </is>
      </c>
      <c r="D1236" t="inlineStr">
        <is>
          <t>DATETIME</t>
        </is>
      </c>
      <c r="E1236" t="inlineStr">
        <is>
          <t>YES</t>
        </is>
      </c>
      <c r="F1236" t="inlineStr">
        <is>
          <t>核保时间</t>
        </is>
      </c>
      <c r="H1236" t="inlineStr">
        <is>
          <t>DATETIME</t>
        </is>
      </c>
    </row>
    <row r="1237">
      <c r="A1237" t="inlineStr">
        <is>
          <t>金融类质押品</t>
        </is>
      </c>
      <c r="B1237" t="inlineStr">
        <is>
          <t>CLR_ASSET_FINANCE</t>
        </is>
      </c>
      <c r="C1237" t="inlineStr">
        <is>
          <t>UNDERWRITER</t>
        </is>
      </c>
      <c r="D1237" t="inlineStr">
        <is>
          <t>VARCHAR(80)</t>
        </is>
      </c>
      <c r="E1237" t="inlineStr">
        <is>
          <t>YES</t>
        </is>
      </c>
      <c r="F1237" t="inlineStr">
        <is>
          <t>核保人</t>
        </is>
      </c>
      <c r="H1237" t="inlineStr">
        <is>
          <t>VARCHAR</t>
        </is>
      </c>
      <c r="I1237" t="inlineStr">
        <is>
          <t>80</t>
        </is>
      </c>
    </row>
    <row r="1238">
      <c r="A1238" t="inlineStr">
        <is>
          <t>金融类质押品</t>
        </is>
      </c>
      <c r="B1238" t="inlineStr">
        <is>
          <t>CLR_ASSET_FINANCE</t>
        </is>
      </c>
      <c r="C1238" t="inlineStr">
        <is>
          <t>RECEPTIONISTNAME</t>
        </is>
      </c>
      <c r="D1238" t="inlineStr">
        <is>
          <t>VARCHAR(80)</t>
        </is>
      </c>
      <c r="E1238" t="inlineStr">
        <is>
          <t>YES</t>
        </is>
      </c>
      <c r="F1238" t="inlineStr">
        <is>
          <t>接待人姓名</t>
        </is>
      </c>
      <c r="H1238" t="inlineStr">
        <is>
          <t>VARCHAR</t>
        </is>
      </c>
      <c r="I1238" t="inlineStr">
        <is>
          <t>80</t>
        </is>
      </c>
    </row>
    <row r="1239">
      <c r="A1239" t="inlineStr">
        <is>
          <t>金融类质押品</t>
        </is>
      </c>
      <c r="B1239" t="inlineStr">
        <is>
          <t>CLR_ASSET_FINANCE</t>
        </is>
      </c>
      <c r="C1239" t="inlineStr">
        <is>
          <t>RECEPTIONISTPOSITION</t>
        </is>
      </c>
      <c r="D1239" t="inlineStr">
        <is>
          <t>VARCHAR(80)</t>
        </is>
      </c>
      <c r="E1239" t="inlineStr">
        <is>
          <t>YES</t>
        </is>
      </c>
      <c r="F1239" t="inlineStr">
        <is>
          <t>接待人职务</t>
        </is>
      </c>
      <c r="H1239" t="inlineStr">
        <is>
          <t>VARCHAR</t>
        </is>
      </c>
      <c r="I1239" t="inlineStr">
        <is>
          <t>80</t>
        </is>
      </c>
    </row>
    <row r="1240">
      <c r="A1240" t="inlineStr">
        <is>
          <t>金融类质押品</t>
        </is>
      </c>
      <c r="B1240" t="inlineStr">
        <is>
          <t>CLR_ASSET_FINANCE</t>
        </is>
      </c>
      <c r="C1240" t="inlineStr">
        <is>
          <t>GUARANTEEOPINION</t>
        </is>
      </c>
      <c r="D1240" t="inlineStr">
        <is>
          <t>VARCHAR(200)</t>
        </is>
      </c>
      <c r="E1240" t="inlineStr">
        <is>
          <t>YES</t>
        </is>
      </c>
      <c r="F1240" t="inlineStr">
        <is>
          <t>担保意见</t>
        </is>
      </c>
      <c r="H1240" t="inlineStr">
        <is>
          <t>VARCHAR</t>
        </is>
      </c>
      <c r="I1240" t="inlineStr">
        <is>
          <t>200</t>
        </is>
      </c>
    </row>
    <row r="1241">
      <c r="A1241" t="inlineStr">
        <is>
          <t>金融类质押品</t>
        </is>
      </c>
      <c r="B1241" t="inlineStr">
        <is>
          <t>CLR_ASSET_FINANCE</t>
        </is>
      </c>
      <c r="C1241" t="inlineStr">
        <is>
          <t>RATETYPE</t>
        </is>
      </c>
      <c r="D1241" t="inlineStr">
        <is>
          <t>VARCHAR(6)</t>
        </is>
      </c>
      <c r="E1241" t="inlineStr">
        <is>
          <t>YES</t>
        </is>
      </c>
      <c r="F1241" t="inlineStr">
        <is>
          <t>债券利率类型</t>
        </is>
      </c>
      <c r="H1241" t="inlineStr">
        <is>
          <t>VARCHAR</t>
        </is>
      </c>
      <c r="I1241" t="inlineStr">
        <is>
          <t>6</t>
        </is>
      </c>
    </row>
    <row r="1242">
      <c r="A1242" t="inlineStr">
        <is>
          <t>金融类质押品</t>
        </is>
      </c>
      <c r="B1242" t="inlineStr">
        <is>
          <t>CLR_ASSET_FINANCE</t>
        </is>
      </c>
      <c r="C1242" t="inlineStr">
        <is>
          <t>ISSTOPPAYMENTREQUIRED</t>
        </is>
      </c>
      <c r="D1242" t="inlineStr">
        <is>
          <t>VARCHAR(6)</t>
        </is>
      </c>
      <c r="E1242" t="inlineStr">
        <is>
          <t>YES</t>
        </is>
      </c>
      <c r="F1242" t="inlineStr">
        <is>
          <t>是否需要办理止付</t>
        </is>
      </c>
      <c r="H1242" t="inlineStr">
        <is>
          <t>VARCHAR</t>
        </is>
      </c>
      <c r="I1242" t="inlineStr">
        <is>
          <t>6</t>
        </is>
      </c>
    </row>
    <row r="1243">
      <c r="A1243" t="inlineStr">
        <is>
          <t>金融类质押品</t>
        </is>
      </c>
      <c r="B1243" t="inlineStr">
        <is>
          <t>CLR_ASSET_FINANCE</t>
        </is>
      </c>
      <c r="C1243" t="inlineStr">
        <is>
          <t>PAYINGBANKNAME</t>
        </is>
      </c>
      <c r="D1243" t="inlineStr">
        <is>
          <t>VARCHAR(32)</t>
        </is>
      </c>
      <c r="E1243" t="inlineStr">
        <is>
          <t>YES</t>
        </is>
      </c>
      <c r="F1243" t="inlineStr">
        <is>
          <t>付款行名称</t>
        </is>
      </c>
      <c r="H1243" t="inlineStr">
        <is>
          <t>VARCHAR</t>
        </is>
      </c>
      <c r="I1243" t="inlineStr">
        <is>
          <t>32</t>
        </is>
      </c>
    </row>
    <row r="1244">
      <c r="A1244" t="inlineStr">
        <is>
          <t>金融类质押品</t>
        </is>
      </c>
      <c r="B1244" t="inlineStr">
        <is>
          <t>CLR_ASSET_FINANCE</t>
        </is>
      </c>
      <c r="C1244" t="inlineStr">
        <is>
          <t>HASREALTRADEBACKGROUND</t>
        </is>
      </c>
      <c r="D1244" t="inlineStr">
        <is>
          <t>VARCHAR(6)</t>
        </is>
      </c>
      <c r="E1244" t="inlineStr">
        <is>
          <t>YES</t>
        </is>
      </c>
      <c r="F1244" t="inlineStr">
        <is>
          <t>是否具有真实的商品交易背景</t>
        </is>
      </c>
      <c r="H1244" t="inlineStr">
        <is>
          <t>VARCHAR</t>
        </is>
      </c>
      <c r="I1244" t="inlineStr">
        <is>
          <t>6</t>
        </is>
      </c>
    </row>
    <row r="1245">
      <c r="A1245" t="inlineStr">
        <is>
          <t>金融类质押品</t>
        </is>
      </c>
      <c r="B1245" t="inlineStr">
        <is>
          <t>CLR_ASSET_FINANCE</t>
        </is>
      </c>
      <c r="C1245" t="inlineStr">
        <is>
          <t>MARGINACCOUNT</t>
        </is>
      </c>
      <c r="D1245" t="inlineStr">
        <is>
          <t>VARCHAR(40)</t>
        </is>
      </c>
      <c r="E1245" t="inlineStr">
        <is>
          <t>YES</t>
        </is>
      </c>
      <c r="F1245" t="inlineStr">
        <is>
          <t>托收收款保证金账号</t>
        </is>
      </c>
      <c r="H1245" t="inlineStr">
        <is>
          <t>VARCHAR</t>
        </is>
      </c>
      <c r="I1245" t="inlineStr">
        <is>
          <t>40</t>
        </is>
      </c>
    </row>
    <row r="1246">
      <c r="A1246" t="inlineStr">
        <is>
          <t>金融类质押品</t>
        </is>
      </c>
      <c r="B1246" t="inlineStr">
        <is>
          <t>CLR_ASSET_FINANCE</t>
        </is>
      </c>
      <c r="C1246" t="inlineStr">
        <is>
          <t>ISPROFITABLE</t>
        </is>
      </c>
      <c r="D1246" t="inlineStr">
        <is>
          <t>VARCHAR(6)</t>
        </is>
      </c>
      <c r="E1246" t="inlineStr">
        <is>
          <t>YES</t>
        </is>
      </c>
      <c r="F1246" t="inlineStr">
        <is>
          <t>上市公司是否盈利</t>
        </is>
      </c>
      <c r="H1246" t="inlineStr">
        <is>
          <t>VARCHAR</t>
        </is>
      </c>
      <c r="I1246" t="inlineStr">
        <is>
          <t>6</t>
        </is>
      </c>
    </row>
    <row r="1247">
      <c r="A1247" t="inlineStr">
        <is>
          <t>金融类质押品</t>
        </is>
      </c>
      <c r="B1247" t="inlineStr">
        <is>
          <t>CLR_ASSET_FINANCE</t>
        </is>
      </c>
      <c r="C1247" t="inlineStr">
        <is>
          <t>SHARERATIO</t>
        </is>
      </c>
      <c r="D1247" t="inlineStr">
        <is>
          <t>DECIMAL(24,6)</t>
        </is>
      </c>
      <c r="E1247" t="inlineStr">
        <is>
          <t>YES</t>
        </is>
      </c>
      <c r="F1247" t="inlineStr">
        <is>
          <t>质押基金份额占总额</t>
        </is>
      </c>
      <c r="H1247" t="inlineStr">
        <is>
          <t>DECIMAL</t>
        </is>
      </c>
      <c r="I1247" t="inlineStr">
        <is>
          <t>24,6</t>
        </is>
      </c>
    </row>
    <row r="1248">
      <c r="A1248" t="inlineStr">
        <is>
          <t>金融类质押品</t>
        </is>
      </c>
      <c r="B1248" t="inlineStr">
        <is>
          <t>CLR_ASSET_FINANCE</t>
        </is>
      </c>
      <c r="C1248" t="inlineStr">
        <is>
          <t>CONFIRMDEPARTMENT</t>
        </is>
      </c>
      <c r="D1248" t="inlineStr">
        <is>
          <t>VARCHAR(80)</t>
        </is>
      </c>
      <c r="E1248" t="inlineStr">
        <is>
          <t>YES</t>
        </is>
      </c>
      <c r="F1248" t="inlineStr">
        <is>
          <t>保单现金价值确认部门</t>
        </is>
      </c>
      <c r="H1248" t="inlineStr">
        <is>
          <t>VARCHAR</t>
        </is>
      </c>
      <c r="I1248" t="inlineStr">
        <is>
          <t>80</t>
        </is>
      </c>
    </row>
    <row r="1249">
      <c r="A1249" t="inlineStr">
        <is>
          <t>金融类质押品</t>
        </is>
      </c>
      <c r="B1249" t="inlineStr">
        <is>
          <t>CLR_ASSET_FINANCE</t>
        </is>
      </c>
      <c r="C1249" t="inlineStr">
        <is>
          <t>PAYMENTPERIOD</t>
        </is>
      </c>
      <c r="D1249" t="inlineStr">
        <is>
          <t>DATETIME</t>
        </is>
      </c>
      <c r="E1249" t="inlineStr">
        <is>
          <t>YES</t>
        </is>
      </c>
      <c r="F1249" t="inlineStr">
        <is>
          <t>保险费交缴期限</t>
        </is>
      </c>
      <c r="H1249" t="inlineStr">
        <is>
          <t>DATETIME</t>
        </is>
      </c>
    </row>
    <row r="1250">
      <c r="A1250" t="inlineStr">
        <is>
          <t>金融类质押品</t>
        </is>
      </c>
      <c r="B1250" t="inlineStr">
        <is>
          <t>CLR_ASSET_FINANCE</t>
        </is>
      </c>
      <c r="C1250" t="inlineStr">
        <is>
          <t>PLEDGESCOPE</t>
        </is>
      </c>
      <c r="D1250" t="inlineStr">
        <is>
          <t>VARCHAR(6)</t>
        </is>
      </c>
      <c r="E1250" t="inlineStr">
        <is>
          <t>YES</t>
        </is>
      </c>
      <c r="F1250" t="inlineStr">
        <is>
          <t>理财质押范围</t>
        </is>
      </c>
      <c r="H1250" t="inlineStr">
        <is>
          <t>VARCHAR</t>
        </is>
      </c>
      <c r="I1250" t="inlineStr">
        <is>
          <t>6</t>
        </is>
      </c>
    </row>
    <row r="1251">
      <c r="A1251" t="inlineStr">
        <is>
          <t>金融类质押品</t>
        </is>
      </c>
      <c r="B1251" t="inlineStr">
        <is>
          <t>CLR_ASSET_FINANCE</t>
        </is>
      </c>
      <c r="C1251" t="inlineStr">
        <is>
          <t>BENEFICIARYCERTIFICATE</t>
        </is>
      </c>
      <c r="D1251" t="inlineStr">
        <is>
          <t>VARCHAR(50)</t>
        </is>
      </c>
      <c r="E1251" t="inlineStr">
        <is>
          <t>YES</t>
        </is>
      </c>
      <c r="F1251" t="inlineStr">
        <is>
          <t>受益凭证</t>
        </is>
      </c>
      <c r="H1251" t="inlineStr">
        <is>
          <t>VARCHAR</t>
        </is>
      </c>
      <c r="I1251" t="inlineStr">
        <is>
          <t>50</t>
        </is>
      </c>
    </row>
    <row r="1252">
      <c r="A1252" t="inlineStr">
        <is>
          <t>金融类质押品</t>
        </is>
      </c>
      <c r="B1252" t="inlineStr">
        <is>
          <t>CLR_ASSET_FINANCE</t>
        </is>
      </c>
      <c r="C1252" t="inlineStr">
        <is>
          <t>ISPRINCIPALGUARANTEED</t>
        </is>
      </c>
      <c r="D1252" t="inlineStr">
        <is>
          <t>VARCHAR(6)</t>
        </is>
      </c>
      <c r="E1252" t="inlineStr">
        <is>
          <t>YES</t>
        </is>
      </c>
      <c r="F1252" t="inlineStr">
        <is>
          <t>是否保本型</t>
        </is>
      </c>
      <c r="H1252" t="inlineStr">
        <is>
          <t>VARCHAR</t>
        </is>
      </c>
      <c r="I1252" t="inlineStr">
        <is>
          <t>6</t>
        </is>
      </c>
    </row>
    <row r="1253">
      <c r="A1253" t="inlineStr">
        <is>
          <t>金融类质押品</t>
        </is>
      </c>
      <c r="B1253" t="inlineStr">
        <is>
          <t>CLR_ASSET_FINANCE</t>
        </is>
      </c>
      <c r="C1253" t="inlineStr">
        <is>
          <t>ACCOUNTNAME</t>
        </is>
      </c>
      <c r="D1253" t="inlineStr">
        <is>
          <t>VARCHAR(100)</t>
        </is>
      </c>
      <c r="E1253" t="inlineStr">
        <is>
          <t>YES</t>
        </is>
      </c>
      <c r="F1253" t="inlineStr">
        <is>
          <t>户主/姓名</t>
        </is>
      </c>
      <c r="H1253" t="inlineStr">
        <is>
          <t>VARCHAR</t>
        </is>
      </c>
      <c r="I1253" t="inlineStr">
        <is>
          <t>100</t>
        </is>
      </c>
    </row>
    <row r="1254">
      <c r="A1254" t="inlineStr">
        <is>
          <t>金融类质押品</t>
        </is>
      </c>
      <c r="B1254" t="inlineStr">
        <is>
          <t>CLR_ASSET_FINANCE</t>
        </is>
      </c>
      <c r="C1254" t="inlineStr">
        <is>
          <t>RIGHTCERTNO</t>
        </is>
      </c>
      <c r="D1254" t="inlineStr">
        <is>
          <t>VARCHAR(200)</t>
        </is>
      </c>
      <c r="E1254" t="inlineStr">
        <is>
          <t>YES</t>
        </is>
      </c>
      <c r="F1254" t="inlineStr">
        <is>
          <t>权利凭证编号</t>
        </is>
      </c>
      <c r="H1254" t="inlineStr">
        <is>
          <t>VARCHAR</t>
        </is>
      </c>
      <c r="I1254" t="inlineStr">
        <is>
          <t>200</t>
        </is>
      </c>
    </row>
    <row r="1255">
      <c r="A1255" t="inlineStr">
        <is>
          <t>金融类质押品</t>
        </is>
      </c>
      <c r="B1255" t="inlineStr">
        <is>
          <t>CLR_ASSET_FINANCE</t>
        </is>
      </c>
      <c r="C1255" t="inlineStr">
        <is>
          <t>PLEDGEEXPIRATIONDATE</t>
        </is>
      </c>
      <c r="D1255" t="inlineStr">
        <is>
          <t>DATETIME</t>
        </is>
      </c>
      <c r="E1255" t="inlineStr">
        <is>
          <t>YES</t>
        </is>
      </c>
      <c r="F1255" t="inlineStr">
        <is>
          <t>质押到期日期</t>
        </is>
      </c>
      <c r="H1255" t="inlineStr">
        <is>
          <t>DATETIME</t>
        </is>
      </c>
    </row>
    <row r="1256">
      <c r="A1256" t="inlineStr">
        <is>
          <t>交通和机械设备</t>
        </is>
      </c>
      <c r="B1256" t="inlineStr">
        <is>
          <t>CLR_ASSET_OTHERS_EQUIPMENT</t>
        </is>
      </c>
      <c r="C1256" t="inlineStr">
        <is>
          <t>CLRID</t>
        </is>
      </c>
      <c r="D1256" t="inlineStr">
        <is>
          <t>VARCHAR(32)</t>
        </is>
      </c>
      <c r="E1256" t="inlineStr">
        <is>
          <t>NO</t>
        </is>
      </c>
      <c r="F1256" t="inlineStr">
        <is>
          <t>押品编号</t>
        </is>
      </c>
      <c r="H1256" t="inlineStr">
        <is>
          <t>VARCHAR</t>
        </is>
      </c>
      <c r="I1256" t="inlineStr">
        <is>
          <t>32</t>
        </is>
      </c>
    </row>
    <row r="1257">
      <c r="A1257" t="inlineStr">
        <is>
          <t>交通和机械设备</t>
        </is>
      </c>
      <c r="B1257" t="inlineStr">
        <is>
          <t>CLR_ASSET_OTHERS_EQUIPMENT</t>
        </is>
      </c>
      <c r="C1257" t="inlineStr">
        <is>
          <t>TRANPORTNAME</t>
        </is>
      </c>
      <c r="D1257" t="inlineStr">
        <is>
          <t>VARCHAR(80)</t>
        </is>
      </c>
      <c r="E1257" t="inlineStr">
        <is>
          <t>YES</t>
        </is>
      </c>
      <c r="F1257" t="inlineStr">
        <is>
          <t>车辆/船舶/航空器名称</t>
        </is>
      </c>
      <c r="H1257" t="inlineStr">
        <is>
          <t>VARCHAR</t>
        </is>
      </c>
      <c r="I1257" t="inlineStr">
        <is>
          <t>80</t>
        </is>
      </c>
    </row>
    <row r="1258">
      <c r="A1258" t="inlineStr">
        <is>
          <t>交通和机械设备</t>
        </is>
      </c>
      <c r="B1258" t="inlineStr">
        <is>
          <t>CLR_ASSET_OTHERS_EQUIPMENT</t>
        </is>
      </c>
      <c r="C1258" t="inlineStr">
        <is>
          <t>VEHICLETYPE</t>
        </is>
      </c>
      <c r="D1258" t="inlineStr">
        <is>
          <t>VARCHAR(18)</t>
        </is>
      </c>
      <c r="E1258" t="inlineStr">
        <is>
          <t>YES</t>
        </is>
      </c>
      <c r="F1258" t="inlineStr">
        <is>
          <t>车辆类型</t>
        </is>
      </c>
      <c r="H1258" t="inlineStr">
        <is>
          <t>VARCHAR</t>
        </is>
      </c>
      <c r="I1258" t="inlineStr">
        <is>
          <t>18</t>
        </is>
      </c>
    </row>
    <row r="1259">
      <c r="A1259" t="inlineStr">
        <is>
          <t>交通和机械设备</t>
        </is>
      </c>
      <c r="B1259" t="inlineStr">
        <is>
          <t>CLR_ASSET_OTHERS_EQUIPMENT</t>
        </is>
      </c>
      <c r="C1259" t="inlineStr">
        <is>
          <t>EQUIPMENTNAME</t>
        </is>
      </c>
      <c r="D1259" t="inlineStr">
        <is>
          <t>VARCHAR(80)</t>
        </is>
      </c>
      <c r="E1259" t="inlineStr">
        <is>
          <t>YES</t>
        </is>
      </c>
      <c r="F1259" t="inlineStr">
        <is>
          <t>设备名称/押品具体名称</t>
        </is>
      </c>
      <c r="H1259" t="inlineStr">
        <is>
          <t>VARCHAR</t>
        </is>
      </c>
      <c r="I1259" t="inlineStr">
        <is>
          <t>80</t>
        </is>
      </c>
    </row>
    <row r="1260">
      <c r="A1260" t="inlineStr">
        <is>
          <t>交通和机械设备</t>
        </is>
      </c>
      <c r="B1260" t="inlineStr">
        <is>
          <t>CLR_ASSET_OTHERS_EQUIPMENT</t>
        </is>
      </c>
      <c r="C1260" t="inlineStr">
        <is>
          <t>ENGINENO</t>
        </is>
      </c>
      <c r="D1260" t="inlineStr">
        <is>
          <t>VARCHAR(80)</t>
        </is>
      </c>
      <c r="E1260" t="inlineStr">
        <is>
          <t>YES</t>
        </is>
      </c>
      <c r="F1260" t="inlineStr">
        <is>
          <t>发动机号</t>
        </is>
      </c>
      <c r="H1260" t="inlineStr">
        <is>
          <t>VARCHAR</t>
        </is>
      </c>
      <c r="I1260" t="inlineStr">
        <is>
          <t>80</t>
        </is>
      </c>
    </row>
    <row r="1261">
      <c r="A1261" t="inlineStr">
        <is>
          <t>交通和机械设备</t>
        </is>
      </c>
      <c r="B1261" t="inlineStr">
        <is>
          <t>CLR_ASSET_OTHERS_EQUIPMENT</t>
        </is>
      </c>
      <c r="C1261" t="inlineStr">
        <is>
          <t>ENGINETYPE</t>
        </is>
      </c>
      <c r="D1261" t="inlineStr">
        <is>
          <t>VARCHAR(18)</t>
        </is>
      </c>
      <c r="E1261" t="inlineStr">
        <is>
          <t>YES</t>
        </is>
      </c>
      <c r="F1261" t="inlineStr">
        <is>
          <t>航空器、在建航空器的发动机型号</t>
        </is>
      </c>
      <c r="H1261" t="inlineStr">
        <is>
          <t>VARCHAR</t>
        </is>
      </c>
      <c r="I1261" t="inlineStr">
        <is>
          <t>18</t>
        </is>
      </c>
    </row>
    <row r="1262">
      <c r="A1262" t="inlineStr">
        <is>
          <t>交通和机械设备</t>
        </is>
      </c>
      <c r="B1262" t="inlineStr">
        <is>
          <t>CLR_ASSET_OTHERS_EQUIPMENT</t>
        </is>
      </c>
      <c r="C1262" t="inlineStr">
        <is>
          <t>ENGINEPRODUCTIONDATE</t>
        </is>
      </c>
      <c r="D1262" t="inlineStr">
        <is>
          <t>VARCHAR(18)</t>
        </is>
      </c>
      <c r="E1262" t="inlineStr">
        <is>
          <t>YES</t>
        </is>
      </c>
      <c r="F1262" t="inlineStr">
        <is>
          <t>发动机出厂日期</t>
        </is>
      </c>
      <c r="H1262" t="inlineStr">
        <is>
          <t>VARCHAR</t>
        </is>
      </c>
      <c r="I1262" t="inlineStr">
        <is>
          <t>18</t>
        </is>
      </c>
    </row>
    <row r="1263">
      <c r="A1263" t="inlineStr">
        <is>
          <t>交通和机械设备</t>
        </is>
      </c>
      <c r="B1263" t="inlineStr">
        <is>
          <t>CLR_ASSET_OTHERS_EQUIPMENT</t>
        </is>
      </c>
      <c r="C1263" t="inlineStr">
        <is>
          <t>SHIPTYPE</t>
        </is>
      </c>
      <c r="D1263" t="inlineStr">
        <is>
          <t>VARCHAR(6)</t>
        </is>
      </c>
      <c r="E1263" t="inlineStr">
        <is>
          <t>YES</t>
        </is>
      </c>
      <c r="F1263" t="inlineStr">
        <is>
          <t>船舶类型</t>
        </is>
      </c>
      <c r="H1263" t="inlineStr">
        <is>
          <t>VARCHAR</t>
        </is>
      </c>
      <c r="I1263" t="inlineStr">
        <is>
          <t>6</t>
        </is>
      </c>
    </row>
    <row r="1264">
      <c r="A1264" t="inlineStr">
        <is>
          <t>交通和机械设备</t>
        </is>
      </c>
      <c r="B1264" t="inlineStr">
        <is>
          <t>CLR_ASSET_OTHERS_EQUIPMENT</t>
        </is>
      </c>
      <c r="C1264" t="inlineStr">
        <is>
          <t>MODELNO</t>
        </is>
      </c>
      <c r="D1264" t="inlineStr">
        <is>
          <t>VARCHAR(80)</t>
        </is>
      </c>
      <c r="E1264" t="inlineStr">
        <is>
          <t>YES</t>
        </is>
      </c>
      <c r="F1264" t="inlineStr">
        <is>
          <t>设备型号</t>
        </is>
      </c>
      <c r="H1264" t="inlineStr">
        <is>
          <t>VARCHAR</t>
        </is>
      </c>
      <c r="I1264" t="inlineStr">
        <is>
          <t>80</t>
        </is>
      </c>
    </row>
    <row r="1265">
      <c r="A1265" t="inlineStr">
        <is>
          <t>交通和机械设备</t>
        </is>
      </c>
      <c r="B1265" t="inlineStr">
        <is>
          <t>CLR_ASSET_OTHERS_EQUIPMENT</t>
        </is>
      </c>
      <c r="C1265" t="inlineStr">
        <is>
          <t>BRAND</t>
        </is>
      </c>
      <c r="D1265" t="inlineStr">
        <is>
          <t>VARCHAR(80)</t>
        </is>
      </c>
      <c r="E1265" t="inlineStr">
        <is>
          <t>YES</t>
        </is>
      </c>
      <c r="F1265" t="inlineStr">
        <is>
          <t>品牌型号/品牌/型号</t>
        </is>
      </c>
      <c r="H1265" t="inlineStr">
        <is>
          <t>VARCHAR</t>
        </is>
      </c>
      <c r="I1265" t="inlineStr">
        <is>
          <t>80</t>
        </is>
      </c>
    </row>
    <row r="1266">
      <c r="A1266" t="inlineStr">
        <is>
          <t>交通和机械设备</t>
        </is>
      </c>
      <c r="B1266" t="inlineStr">
        <is>
          <t>CLR_ASSET_OTHERS_EQUIPMENT</t>
        </is>
      </c>
      <c r="C1266" t="inlineStr">
        <is>
          <t>MANUFACTURER</t>
        </is>
      </c>
      <c r="D1266" t="inlineStr">
        <is>
          <t>VARCHAR(80)</t>
        </is>
      </c>
      <c r="E1266" t="inlineStr">
        <is>
          <t>YES</t>
        </is>
      </c>
      <c r="F1266" t="inlineStr">
        <is>
          <t>生产厂家</t>
        </is>
      </c>
      <c r="H1266" t="inlineStr">
        <is>
          <t>VARCHAR</t>
        </is>
      </c>
      <c r="I1266" t="inlineStr">
        <is>
          <t>80</t>
        </is>
      </c>
    </row>
    <row r="1267">
      <c r="A1267" t="inlineStr">
        <is>
          <t>交通和机械设备</t>
        </is>
      </c>
      <c r="B1267" t="inlineStr">
        <is>
          <t>CLR_ASSET_OTHERS_EQUIPMENT</t>
        </is>
      </c>
      <c r="C1267" t="inlineStr">
        <is>
          <t>ORIGIN</t>
        </is>
      </c>
      <c r="D1267" t="inlineStr">
        <is>
          <t>VARCHAR(32)</t>
        </is>
      </c>
      <c r="E1267" t="inlineStr">
        <is>
          <t>YES</t>
        </is>
      </c>
      <c r="F1267" t="inlineStr">
        <is>
          <t>生产地</t>
        </is>
      </c>
      <c r="H1267" t="inlineStr">
        <is>
          <t>VARCHAR</t>
        </is>
      </c>
      <c r="I1267" t="inlineStr">
        <is>
          <t>32</t>
        </is>
      </c>
    </row>
    <row r="1268">
      <c r="A1268" t="inlineStr">
        <is>
          <t>交通和机械设备</t>
        </is>
      </c>
      <c r="B1268" t="inlineStr">
        <is>
          <t>CLR_ASSET_OTHERS_EQUIPMENT</t>
        </is>
      </c>
      <c r="C1268" t="inlineStr">
        <is>
          <t>ORIGINCOUNTRY</t>
        </is>
      </c>
      <c r="D1268" t="inlineStr">
        <is>
          <t>VARCHAR(18)</t>
        </is>
      </c>
      <c r="E1268" t="inlineStr">
        <is>
          <t>YES</t>
        </is>
      </c>
      <c r="F1268" t="inlineStr">
        <is>
          <t>生产国别</t>
        </is>
      </c>
      <c r="H1268" t="inlineStr">
        <is>
          <t>VARCHAR</t>
        </is>
      </c>
      <c r="I1268" t="inlineStr">
        <is>
          <t>18</t>
        </is>
      </c>
    </row>
    <row r="1269">
      <c r="A1269" t="inlineStr">
        <is>
          <t>交通和机械设备</t>
        </is>
      </c>
      <c r="B1269" t="inlineStr">
        <is>
          <t>CLR_ASSET_OTHERS_EQUIPMENT</t>
        </is>
      </c>
      <c r="C1269" t="inlineStr">
        <is>
          <t>SPECIFICATION</t>
        </is>
      </c>
      <c r="D1269" t="inlineStr">
        <is>
          <t>VARCHAR(500)</t>
        </is>
      </c>
      <c r="E1269" t="inlineStr">
        <is>
          <t>YES</t>
        </is>
      </c>
      <c r="F1269" t="inlineStr">
        <is>
          <t>主要规格/设备规格</t>
        </is>
      </c>
      <c r="H1269" t="inlineStr">
        <is>
          <t>VARCHAR</t>
        </is>
      </c>
      <c r="I1269" t="inlineStr">
        <is>
          <t>500</t>
        </is>
      </c>
    </row>
    <row r="1270">
      <c r="A1270" t="inlineStr">
        <is>
          <t>交通和机械设备</t>
        </is>
      </c>
      <c r="B1270" t="inlineStr">
        <is>
          <t>CLR_ASSET_OTHERS_EQUIPMENT</t>
        </is>
      </c>
      <c r="C1270" t="inlineStr">
        <is>
          <t>COLOR</t>
        </is>
      </c>
      <c r="D1270" t="inlineStr">
        <is>
          <t>VARCHAR(18)</t>
        </is>
      </c>
      <c r="E1270" t="inlineStr">
        <is>
          <t>YES</t>
        </is>
      </c>
      <c r="F1270" t="inlineStr">
        <is>
          <t>颜色</t>
        </is>
      </c>
      <c r="H1270" t="inlineStr">
        <is>
          <t>VARCHAR</t>
        </is>
      </c>
      <c r="I1270" t="inlineStr">
        <is>
          <t>18</t>
        </is>
      </c>
    </row>
    <row r="1271">
      <c r="A1271" t="inlineStr">
        <is>
          <t>交通和机械设备</t>
        </is>
      </c>
      <c r="B1271" t="inlineStr">
        <is>
          <t>CLR_ASSET_OTHERS_EQUIPMENT</t>
        </is>
      </c>
      <c r="C1271" t="inlineStr">
        <is>
          <t>VIN</t>
        </is>
      </c>
      <c r="D1271" t="inlineStr">
        <is>
          <t>VARCHAR(32)</t>
        </is>
      </c>
      <c r="E1271" t="inlineStr">
        <is>
          <t>YES</t>
        </is>
      </c>
      <c r="F1271" t="inlineStr">
        <is>
          <t>车架号</t>
        </is>
      </c>
      <c r="H1271" t="inlineStr">
        <is>
          <t>VARCHAR</t>
        </is>
      </c>
      <c r="I1271" t="inlineStr">
        <is>
          <t>32</t>
        </is>
      </c>
    </row>
    <row r="1272">
      <c r="A1272" t="inlineStr">
        <is>
          <t>交通和机械设备</t>
        </is>
      </c>
      <c r="B1272" t="inlineStr">
        <is>
          <t>CLR_ASSET_OTHERS_EQUIPMENT</t>
        </is>
      </c>
      <c r="C1272" t="inlineStr">
        <is>
          <t>LPN</t>
        </is>
      </c>
      <c r="D1272" t="inlineStr">
        <is>
          <t>VARCHAR(32)</t>
        </is>
      </c>
      <c r="E1272" t="inlineStr">
        <is>
          <t>YES</t>
        </is>
      </c>
      <c r="F1272" t="inlineStr">
        <is>
          <t>车牌号</t>
        </is>
      </c>
      <c r="H1272" t="inlineStr">
        <is>
          <t>VARCHAR</t>
        </is>
      </c>
      <c r="I1272" t="inlineStr">
        <is>
          <t>32</t>
        </is>
      </c>
    </row>
    <row r="1273">
      <c r="A1273" t="inlineStr">
        <is>
          <t>交通和机械设备</t>
        </is>
      </c>
      <c r="B1273" t="inlineStr">
        <is>
          <t>CLR_ASSET_OTHERS_EQUIPMENT</t>
        </is>
      </c>
      <c r="C1273" t="inlineStr">
        <is>
          <t>MAINTAINENCE</t>
        </is>
      </c>
      <c r="D1273" t="inlineStr">
        <is>
          <t>VARCHAR(500)</t>
        </is>
      </c>
      <c r="E1273" t="inlineStr">
        <is>
          <t>YES</t>
        </is>
      </c>
      <c r="F1273" t="inlineStr">
        <is>
          <t>技术故障及维修状况</t>
        </is>
      </c>
      <c r="H1273" t="inlineStr">
        <is>
          <t>VARCHAR</t>
        </is>
      </c>
      <c r="I1273" t="inlineStr">
        <is>
          <t>500</t>
        </is>
      </c>
    </row>
    <row r="1274">
      <c r="A1274" t="inlineStr">
        <is>
          <t>交通和机械设备</t>
        </is>
      </c>
      <c r="B1274" t="inlineStr">
        <is>
          <t>CLR_ASSET_OTHERS_EQUIPMENT</t>
        </is>
      </c>
      <c r="C1274" t="inlineStr">
        <is>
          <t>SHIPRGISTNO</t>
        </is>
      </c>
      <c r="D1274" t="inlineStr">
        <is>
          <t>VARCHAR(32)</t>
        </is>
      </c>
      <c r="E1274" t="inlineStr">
        <is>
          <t>YES</t>
        </is>
      </c>
      <c r="F1274" t="inlineStr">
        <is>
          <t>船舶登记号/航空器编号</t>
        </is>
      </c>
      <c r="H1274" t="inlineStr">
        <is>
          <t>VARCHAR</t>
        </is>
      </c>
      <c r="I1274" t="inlineStr">
        <is>
          <t>32</t>
        </is>
      </c>
    </row>
    <row r="1275">
      <c r="A1275" t="inlineStr">
        <is>
          <t>交通和机械设备</t>
        </is>
      </c>
      <c r="B1275" t="inlineStr">
        <is>
          <t>CLR_ASSET_OTHERS_EQUIPMENT</t>
        </is>
      </c>
      <c r="C1275" t="inlineStr">
        <is>
          <t>AIRCRAFTTYPE</t>
        </is>
      </c>
      <c r="D1275" t="inlineStr">
        <is>
          <t>VARCHAR(18)</t>
        </is>
      </c>
      <c r="E1275" t="inlineStr">
        <is>
          <t>YES</t>
        </is>
      </c>
      <c r="F1275" t="inlineStr">
        <is>
          <t>航空器类型</t>
        </is>
      </c>
      <c r="H1275" t="inlineStr">
        <is>
          <t>VARCHAR</t>
        </is>
      </c>
      <c r="I1275" t="inlineStr">
        <is>
          <t>18</t>
        </is>
      </c>
    </row>
    <row r="1276">
      <c r="A1276" t="inlineStr">
        <is>
          <t>交通和机械设备</t>
        </is>
      </c>
      <c r="B1276" t="inlineStr">
        <is>
          <t>CLR_ASSET_OTHERS_EQUIPMENT</t>
        </is>
      </c>
      <c r="C1276" t="inlineStr">
        <is>
          <t>HOMEPORT</t>
        </is>
      </c>
      <c r="D1276" t="inlineStr">
        <is>
          <t>VARCHAR(80)</t>
        </is>
      </c>
      <c r="E1276" t="inlineStr">
        <is>
          <t>YES</t>
        </is>
      </c>
      <c r="F1276" t="inlineStr">
        <is>
          <t>船籍港</t>
        </is>
      </c>
      <c r="H1276" t="inlineStr">
        <is>
          <t>VARCHAR</t>
        </is>
      </c>
      <c r="I1276" t="inlineStr">
        <is>
          <t>80</t>
        </is>
      </c>
    </row>
    <row r="1277">
      <c r="A1277" t="inlineStr">
        <is>
          <t>交通和机械设备</t>
        </is>
      </c>
      <c r="B1277" t="inlineStr">
        <is>
          <t>CLR_ASSET_OTHERS_EQUIPMENT</t>
        </is>
      </c>
      <c r="C1277" t="inlineStr">
        <is>
          <t>SHIPCLASS</t>
        </is>
      </c>
      <c r="D1277" t="inlineStr">
        <is>
          <t>VARCHAR(18)</t>
        </is>
      </c>
      <c r="E1277" t="inlineStr">
        <is>
          <t>YES</t>
        </is>
      </c>
      <c r="F1277" t="inlineStr">
        <is>
          <t>船级</t>
        </is>
      </c>
      <c r="H1277" t="inlineStr">
        <is>
          <t>VARCHAR</t>
        </is>
      </c>
      <c r="I1277" t="inlineStr">
        <is>
          <t>18</t>
        </is>
      </c>
    </row>
    <row r="1278">
      <c r="A1278" t="inlineStr">
        <is>
          <t>交通和机械设备</t>
        </is>
      </c>
      <c r="B1278" t="inlineStr">
        <is>
          <t>CLR_ASSET_OTHERS_EQUIPMENT</t>
        </is>
      </c>
      <c r="C1278" t="inlineStr">
        <is>
          <t>NAVIGATINGZONE</t>
        </is>
      </c>
      <c r="D1278" t="inlineStr">
        <is>
          <t>VARCHAR(80)</t>
        </is>
      </c>
      <c r="E1278" t="inlineStr">
        <is>
          <t>YES</t>
        </is>
      </c>
      <c r="F1278" t="inlineStr">
        <is>
          <t>航区</t>
        </is>
      </c>
      <c r="H1278" t="inlineStr">
        <is>
          <t>VARCHAR</t>
        </is>
      </c>
      <c r="I1278" t="inlineStr">
        <is>
          <t>80</t>
        </is>
      </c>
    </row>
    <row r="1279">
      <c r="A1279" t="inlineStr">
        <is>
          <t>交通和机械设备</t>
        </is>
      </c>
      <c r="B1279" t="inlineStr">
        <is>
          <t>CLR_ASSET_OTHERS_EQUIPMENT</t>
        </is>
      </c>
      <c r="C1279" t="inlineStr">
        <is>
          <t>LENGTH</t>
        </is>
      </c>
      <c r="D1279" t="inlineStr">
        <is>
          <t>DECIMAL(18,2)</t>
        </is>
      </c>
      <c r="E1279" t="inlineStr">
        <is>
          <t>YES</t>
        </is>
      </c>
      <c r="F1279" t="inlineStr">
        <is>
          <t>总长</t>
        </is>
      </c>
      <c r="H1279" t="inlineStr">
        <is>
          <t>DECIMAL</t>
        </is>
      </c>
      <c r="I1279" t="inlineStr">
        <is>
          <t>18,2</t>
        </is>
      </c>
    </row>
    <row r="1280">
      <c r="A1280" t="inlineStr">
        <is>
          <t>交通和机械设备</t>
        </is>
      </c>
      <c r="B1280" t="inlineStr">
        <is>
          <t>CLR_ASSET_OTHERS_EQUIPMENT</t>
        </is>
      </c>
      <c r="C1280" t="inlineStr">
        <is>
          <t>MOLDEDBREADTH</t>
        </is>
      </c>
      <c r="D1280" t="inlineStr">
        <is>
          <t>DECIMAL(18,2)</t>
        </is>
      </c>
      <c r="E1280" t="inlineStr">
        <is>
          <t>YES</t>
        </is>
      </c>
      <c r="F1280" t="inlineStr">
        <is>
          <t>型宽</t>
        </is>
      </c>
      <c r="H1280" t="inlineStr">
        <is>
          <t>DECIMAL</t>
        </is>
      </c>
      <c r="I1280" t="inlineStr">
        <is>
          <t>18,2</t>
        </is>
      </c>
    </row>
    <row r="1281">
      <c r="A1281" t="inlineStr">
        <is>
          <t>交通和机械设备</t>
        </is>
      </c>
      <c r="B1281" t="inlineStr">
        <is>
          <t>CLR_ASSET_OTHERS_EQUIPMENT</t>
        </is>
      </c>
      <c r="C1281" t="inlineStr">
        <is>
          <t>MOLDEDDEPTH</t>
        </is>
      </c>
      <c r="D1281" t="inlineStr">
        <is>
          <t>DECIMAL(18,2)</t>
        </is>
      </c>
      <c r="E1281" t="inlineStr">
        <is>
          <t>YES</t>
        </is>
      </c>
      <c r="F1281" t="inlineStr">
        <is>
          <t>型深</t>
        </is>
      </c>
      <c r="H1281" t="inlineStr">
        <is>
          <t>DECIMAL</t>
        </is>
      </c>
      <c r="I1281" t="inlineStr">
        <is>
          <t>18,2</t>
        </is>
      </c>
    </row>
    <row r="1282">
      <c r="A1282" t="inlineStr">
        <is>
          <t>交通和机械设备</t>
        </is>
      </c>
      <c r="B1282" t="inlineStr">
        <is>
          <t>CLR_ASSET_OTHERS_EQUIPMENT</t>
        </is>
      </c>
      <c r="C1282" t="inlineStr">
        <is>
          <t>LOADCAPCITY</t>
        </is>
      </c>
      <c r="D1282" t="inlineStr">
        <is>
          <t>DECIMAL(18,2)</t>
        </is>
      </c>
      <c r="E1282" t="inlineStr">
        <is>
          <t>YES</t>
        </is>
      </c>
      <c r="F1282" t="inlineStr">
        <is>
          <t>总载重量/载重量/汽车载重量</t>
        </is>
      </c>
      <c r="H1282" t="inlineStr">
        <is>
          <t>DECIMAL</t>
        </is>
      </c>
      <c r="I1282" t="inlineStr">
        <is>
          <t>18,2</t>
        </is>
      </c>
    </row>
    <row r="1283">
      <c r="A1283" t="inlineStr">
        <is>
          <t>交通和机械设备</t>
        </is>
      </c>
      <c r="B1283" t="inlineStr">
        <is>
          <t>CLR_ASSET_OTHERS_EQUIPMENT</t>
        </is>
      </c>
      <c r="C1283" t="inlineStr">
        <is>
          <t>LOADDISPLACEMENT</t>
        </is>
      </c>
      <c r="D1283" t="inlineStr">
        <is>
          <t>DECIMAL(18,2)</t>
        </is>
      </c>
      <c r="E1283" t="inlineStr">
        <is>
          <t>YES</t>
        </is>
      </c>
      <c r="F1283" t="inlineStr">
        <is>
          <t>满载排水量/载客量</t>
        </is>
      </c>
      <c r="H1283" t="inlineStr">
        <is>
          <t>DECIMAL</t>
        </is>
      </c>
      <c r="I1283" t="inlineStr">
        <is>
          <t>18,2</t>
        </is>
      </c>
    </row>
    <row r="1284">
      <c r="A1284" t="inlineStr">
        <is>
          <t>交通和机械设备</t>
        </is>
      </c>
      <c r="B1284" t="inlineStr">
        <is>
          <t>CLR_ASSET_OTHERS_EQUIPMENT</t>
        </is>
      </c>
      <c r="C1284" t="inlineStr">
        <is>
          <t>MAINENGINEMODELNO</t>
        </is>
      </c>
      <c r="D1284" t="inlineStr">
        <is>
          <t>VARCHAR(80)</t>
        </is>
      </c>
      <c r="E1284" t="inlineStr">
        <is>
          <t>YES</t>
        </is>
      </c>
      <c r="F1284" t="inlineStr">
        <is>
          <t>主机型号</t>
        </is>
      </c>
      <c r="H1284" t="inlineStr">
        <is>
          <t>VARCHAR</t>
        </is>
      </c>
      <c r="I1284" t="inlineStr">
        <is>
          <t>80</t>
        </is>
      </c>
    </row>
    <row r="1285">
      <c r="A1285" t="inlineStr">
        <is>
          <t>交通和机械设备</t>
        </is>
      </c>
      <c r="B1285" t="inlineStr">
        <is>
          <t>CLR_ASSET_OTHERS_EQUIPMENT</t>
        </is>
      </c>
      <c r="C1285" t="inlineStr">
        <is>
          <t>MAINENGINEPOWER</t>
        </is>
      </c>
      <c r="D1285" t="inlineStr">
        <is>
          <t>VARCHAR(80)</t>
        </is>
      </c>
      <c r="E1285" t="inlineStr">
        <is>
          <t>YES</t>
        </is>
      </c>
      <c r="F1285" t="inlineStr">
        <is>
          <t>主机功率</t>
        </is>
      </c>
      <c r="H1285" t="inlineStr">
        <is>
          <t>VARCHAR</t>
        </is>
      </c>
      <c r="I1285" t="inlineStr">
        <is>
          <t>80</t>
        </is>
      </c>
    </row>
    <row r="1286">
      <c r="A1286" t="inlineStr">
        <is>
          <t>交通和机械设备</t>
        </is>
      </c>
      <c r="B1286" t="inlineStr">
        <is>
          <t>CLR_ASSET_OTHERS_EQUIPMENT</t>
        </is>
      </c>
      <c r="C1286" t="inlineStr">
        <is>
          <t>MAINENGINETYPE</t>
        </is>
      </c>
      <c r="D1286" t="inlineStr">
        <is>
          <t>VARCHAR(80)</t>
        </is>
      </c>
      <c r="E1286" t="inlineStr">
        <is>
          <t>YES</t>
        </is>
      </c>
      <c r="F1286" t="inlineStr">
        <is>
          <t>主机类型</t>
        </is>
      </c>
      <c r="H1286" t="inlineStr">
        <is>
          <t>VARCHAR</t>
        </is>
      </c>
      <c r="I1286" t="inlineStr">
        <is>
          <t>80</t>
        </is>
      </c>
    </row>
    <row r="1287">
      <c r="A1287" t="inlineStr">
        <is>
          <t>交通和机械设备</t>
        </is>
      </c>
      <c r="B1287" t="inlineStr">
        <is>
          <t>CLR_ASSET_OTHERS_EQUIPMENT</t>
        </is>
      </c>
      <c r="C1287" t="inlineStr">
        <is>
          <t>COMPLETIONDATE</t>
        </is>
      </c>
      <c r="D1287" t="inlineStr">
        <is>
          <t>VARCHAR(18)</t>
        </is>
      </c>
      <c r="E1287" t="inlineStr">
        <is>
          <t>YES</t>
        </is>
      </c>
      <c r="F1287" t="inlineStr">
        <is>
          <t>完工日期/到期日期</t>
        </is>
      </c>
      <c r="H1287" t="inlineStr">
        <is>
          <t>VARCHAR</t>
        </is>
      </c>
      <c r="I1287" t="inlineStr">
        <is>
          <t>18</t>
        </is>
      </c>
    </row>
    <row r="1288">
      <c r="A1288" t="inlineStr">
        <is>
          <t>交通和机械设备</t>
        </is>
      </c>
      <c r="B1288" t="inlineStr">
        <is>
          <t>CLR_ASSET_OTHERS_EQUIPMENT</t>
        </is>
      </c>
      <c r="C1288" t="inlineStr">
        <is>
          <t>ISDELIVERED</t>
        </is>
      </c>
      <c r="D1288" t="inlineStr">
        <is>
          <t>CHAR(1)</t>
        </is>
      </c>
      <c r="E1288" t="inlineStr">
        <is>
          <t>YES</t>
        </is>
      </c>
      <c r="F1288" t="inlineStr">
        <is>
          <t>是否已交付</t>
        </is>
      </c>
      <c r="H1288" t="inlineStr">
        <is>
          <t>CHAR</t>
        </is>
      </c>
      <c r="I1288" t="inlineStr">
        <is>
          <t>1</t>
        </is>
      </c>
    </row>
    <row r="1289">
      <c r="A1289" t="inlineStr">
        <is>
          <t>交通和机械设备</t>
        </is>
      </c>
      <c r="B1289" t="inlineStr">
        <is>
          <t>CLR_ASSET_OTHERS_EQUIPMENT</t>
        </is>
      </c>
      <c r="C1289" t="inlineStr">
        <is>
          <t>DEIVERYDATE</t>
        </is>
      </c>
      <c r="D1289" t="inlineStr">
        <is>
          <t>VARCHAR(18)</t>
        </is>
      </c>
      <c r="E1289" t="inlineStr">
        <is>
          <t>YES</t>
        </is>
      </c>
      <c r="F1289" t="inlineStr">
        <is>
          <t>交付使用日期/航空器、在建航空器的交付使用日期</t>
        </is>
      </c>
      <c r="H1289" t="inlineStr">
        <is>
          <t>VARCHAR</t>
        </is>
      </c>
      <c r="I1289" t="inlineStr">
        <is>
          <t>18</t>
        </is>
      </c>
    </row>
    <row r="1290">
      <c r="A1290" t="inlineStr">
        <is>
          <t>交通和机械设备</t>
        </is>
      </c>
      <c r="B1290" t="inlineStr">
        <is>
          <t>CLR_ASSET_OTHERS_EQUIPMENT</t>
        </is>
      </c>
      <c r="C1290" t="inlineStr">
        <is>
          <t>MARKETDATE</t>
        </is>
      </c>
      <c r="D1290" t="inlineStr">
        <is>
          <t>VARCHAR(18)</t>
        </is>
      </c>
      <c r="E1290" t="inlineStr">
        <is>
          <t>YES</t>
        </is>
      </c>
      <c r="F1290" t="inlineStr">
        <is>
          <t>市场价格评估日期</t>
        </is>
      </c>
      <c r="H1290" t="inlineStr">
        <is>
          <t>VARCHAR</t>
        </is>
      </c>
      <c r="I1290" t="inlineStr">
        <is>
          <t>18</t>
        </is>
      </c>
    </row>
    <row r="1291">
      <c r="A1291" t="inlineStr">
        <is>
          <t>交通和机械设备</t>
        </is>
      </c>
      <c r="B1291" t="inlineStr">
        <is>
          <t>CLR_ASSET_OTHERS_EQUIPMENT</t>
        </is>
      </c>
      <c r="C1291" t="inlineStr">
        <is>
          <t>HOMEAGRMPRICE</t>
        </is>
      </c>
      <c r="D1291" t="inlineStr">
        <is>
          <t>DECIMAL(24,6)</t>
        </is>
      </c>
      <c r="E1291" t="inlineStr">
        <is>
          <t>YES</t>
        </is>
      </c>
      <c r="F1291" t="inlineStr">
        <is>
          <t>国内合同售价/最新参考购置价</t>
        </is>
      </c>
      <c r="H1291" t="inlineStr">
        <is>
          <t>DECIMAL</t>
        </is>
      </c>
      <c r="I1291" t="inlineStr">
        <is>
          <t>24,6</t>
        </is>
      </c>
    </row>
    <row r="1292">
      <c r="A1292" t="inlineStr">
        <is>
          <t>交通和机械设备</t>
        </is>
      </c>
      <c r="B1292" t="inlineStr">
        <is>
          <t>CLR_ASSET_OTHERS_EQUIPMENT</t>
        </is>
      </c>
      <c r="C1292" t="inlineStr">
        <is>
          <t>EXECUTEDTIME</t>
        </is>
      </c>
      <c r="D1292" t="inlineStr">
        <is>
          <t>INT</t>
        </is>
      </c>
      <c r="E1292" t="inlineStr">
        <is>
          <t>YES</t>
        </is>
      </c>
      <c r="F1292" t="inlineStr">
        <is>
          <t>已投入运营时间/已行驶公里数</t>
        </is>
      </c>
      <c r="H1292" t="inlineStr">
        <is>
          <t>INT</t>
        </is>
      </c>
    </row>
    <row r="1293">
      <c r="A1293" t="inlineStr">
        <is>
          <t>交通和机械设备</t>
        </is>
      </c>
      <c r="B1293" t="inlineStr">
        <is>
          <t>CLR_ASSET_OTHERS_EQUIPMENT</t>
        </is>
      </c>
      <c r="C1293" t="inlineStr">
        <is>
          <t>SERVICEYEARSTATED</t>
        </is>
      </c>
      <c r="D1293" t="inlineStr">
        <is>
          <t>INT</t>
        </is>
      </c>
      <c r="E1293" t="inlineStr">
        <is>
          <t>YES</t>
        </is>
      </c>
      <c r="F1293" t="inlineStr">
        <is>
          <t>规定使用年限/使用年限说明</t>
        </is>
      </c>
      <c r="H1293" t="inlineStr">
        <is>
          <t>INT</t>
        </is>
      </c>
    </row>
    <row r="1294">
      <c r="A1294" t="inlineStr">
        <is>
          <t>交通和机械设备</t>
        </is>
      </c>
      <c r="B1294" t="inlineStr">
        <is>
          <t>CLR_ASSET_OTHERS_EQUIPMENT</t>
        </is>
      </c>
      <c r="C1294" t="inlineStr">
        <is>
          <t>SURPLUSSERVICELIFE</t>
        </is>
      </c>
      <c r="D1294" t="inlineStr">
        <is>
          <t>INT</t>
        </is>
      </c>
      <c r="E1294" t="inlineStr">
        <is>
          <t>YES</t>
        </is>
      </c>
      <c r="F1294" t="inlineStr">
        <is>
          <t>船舶、在建船舶的剩余使用年限</t>
        </is>
      </c>
      <c r="H1294" t="inlineStr">
        <is>
          <t>INT</t>
        </is>
      </c>
    </row>
    <row r="1295">
      <c r="A1295" t="inlineStr">
        <is>
          <t>交通和机械设备</t>
        </is>
      </c>
      <c r="B1295" t="inlineStr">
        <is>
          <t>CLR_ASSET_OTHERS_EQUIPMENT</t>
        </is>
      </c>
      <c r="C1295" t="inlineStr">
        <is>
          <t>SERVICEHOURSTATED</t>
        </is>
      </c>
      <c r="D1295" t="inlineStr">
        <is>
          <t>INT</t>
        </is>
      </c>
      <c r="E1295" t="inlineStr">
        <is>
          <t>YES</t>
        </is>
      </c>
      <c r="F1295" t="inlineStr">
        <is>
          <t>规定总寿命小时/起落</t>
        </is>
      </c>
      <c r="H1295" t="inlineStr">
        <is>
          <t>INT</t>
        </is>
      </c>
    </row>
    <row r="1296">
      <c r="A1296" t="inlineStr">
        <is>
          <t>交通和机械设备</t>
        </is>
      </c>
      <c r="B1296" t="inlineStr">
        <is>
          <t>CLR_ASSET_OTHERS_EQUIPMENT</t>
        </is>
      </c>
      <c r="C1296" t="inlineStr">
        <is>
          <t>REBUILDHOURSTATED</t>
        </is>
      </c>
      <c r="D1296" t="inlineStr">
        <is>
          <t>INT</t>
        </is>
      </c>
      <c r="E1296" t="inlineStr">
        <is>
          <t>YES</t>
        </is>
      </c>
      <c r="F1296" t="inlineStr">
        <is>
          <t>翻修;含D检）时限小时/飞行起落</t>
        </is>
      </c>
      <c r="H1296" t="inlineStr">
        <is>
          <t>INT</t>
        </is>
      </c>
    </row>
    <row r="1297">
      <c r="A1297" t="inlineStr">
        <is>
          <t>交通和机械设备</t>
        </is>
      </c>
      <c r="B1297" t="inlineStr">
        <is>
          <t>CLR_ASSET_OTHERS_EQUIPMENT</t>
        </is>
      </c>
      <c r="C1297" t="inlineStr">
        <is>
          <t>REBUILDHOURPASSED</t>
        </is>
      </c>
      <c r="D1297" t="inlineStr">
        <is>
          <t>INT</t>
        </is>
      </c>
      <c r="E1297" t="inlineStr">
        <is>
          <t>YES</t>
        </is>
      </c>
      <c r="F1297" t="inlineStr">
        <is>
          <t>翻修;含D检）后已用小时/飞行起落</t>
        </is>
      </c>
      <c r="H1297" t="inlineStr">
        <is>
          <t>INT</t>
        </is>
      </c>
    </row>
    <row r="1298">
      <c r="A1298" t="inlineStr">
        <is>
          <t>交通和机械设备</t>
        </is>
      </c>
      <c r="B1298" t="inlineStr">
        <is>
          <t>CLR_ASSET_OTHERS_EQUIPMENT</t>
        </is>
      </c>
      <c r="C1298" t="inlineStr">
        <is>
          <t>REBUILDTIMES</t>
        </is>
      </c>
      <c r="D1298" t="inlineStr">
        <is>
          <t>INT</t>
        </is>
      </c>
      <c r="E1298" t="inlineStr">
        <is>
          <t>YES</t>
        </is>
      </c>
      <c r="F1298" t="inlineStr">
        <is>
          <t>翻修;含D检）次数</t>
        </is>
      </c>
      <c r="H1298" t="inlineStr">
        <is>
          <t>INT</t>
        </is>
      </c>
    </row>
    <row r="1299">
      <c r="A1299" t="inlineStr">
        <is>
          <t>交通和机械设备</t>
        </is>
      </c>
      <c r="B1299" t="inlineStr">
        <is>
          <t>CLR_ASSET_OTHERS_EQUIPMENT</t>
        </is>
      </c>
      <c r="C1299" t="inlineStr">
        <is>
          <t>FOB</t>
        </is>
      </c>
      <c r="D1299" t="inlineStr">
        <is>
          <t>DECIMAL(24,6)</t>
        </is>
      </c>
      <c r="E1299" t="inlineStr">
        <is>
          <t>YES</t>
        </is>
      </c>
      <c r="F1299" t="inlineStr">
        <is>
          <t>离岸合同价;美元）</t>
        </is>
      </c>
      <c r="H1299" t="inlineStr">
        <is>
          <t>DECIMAL</t>
        </is>
      </c>
      <c r="I1299" t="inlineStr">
        <is>
          <t>24,6</t>
        </is>
      </c>
    </row>
    <row r="1300">
      <c r="A1300" t="inlineStr">
        <is>
          <t>交通和机械设备</t>
        </is>
      </c>
      <c r="B1300" t="inlineStr">
        <is>
          <t>CLR_ASSET_OTHERS_EQUIPMENT</t>
        </is>
      </c>
      <c r="C1300" t="inlineStr">
        <is>
          <t>CIF</t>
        </is>
      </c>
      <c r="D1300" t="inlineStr">
        <is>
          <t>DECIMAL(24,6)</t>
        </is>
      </c>
      <c r="E1300" t="inlineStr">
        <is>
          <t>YES</t>
        </is>
      </c>
      <c r="F1300" t="inlineStr">
        <is>
          <t>到岸合同价;美元）/到手价格</t>
        </is>
      </c>
      <c r="H1300" t="inlineStr">
        <is>
          <t>DECIMAL</t>
        </is>
      </c>
      <c r="I1300" t="inlineStr">
        <is>
          <t>24,6</t>
        </is>
      </c>
    </row>
    <row r="1301">
      <c r="A1301" t="inlineStr">
        <is>
          <t>交通和机械设备</t>
        </is>
      </c>
      <c r="B1301" t="inlineStr">
        <is>
          <t>CLR_ASSET_OTHERS_EQUIPMENT</t>
        </is>
      </c>
      <c r="C1301" t="inlineStr">
        <is>
          <t>TARIFFRATE</t>
        </is>
      </c>
      <c r="D1301" t="inlineStr">
        <is>
          <t>DECIMAL(18,8)</t>
        </is>
      </c>
      <c r="E1301" t="inlineStr">
        <is>
          <t>YES</t>
        </is>
      </c>
      <c r="F1301" t="inlineStr">
        <is>
          <t>关税税率</t>
        </is>
      </c>
      <c r="H1301" t="inlineStr">
        <is>
          <t>DECIMAL</t>
        </is>
      </c>
      <c r="I1301" t="inlineStr">
        <is>
          <t>18,8</t>
        </is>
      </c>
    </row>
    <row r="1302">
      <c r="A1302" t="inlineStr">
        <is>
          <t>交通和机械设备</t>
        </is>
      </c>
      <c r="B1302" t="inlineStr">
        <is>
          <t>CLR_ASSET_OTHERS_EQUIPMENT</t>
        </is>
      </c>
      <c r="C1302" t="inlineStr">
        <is>
          <t>CURRMARKETVALUE</t>
        </is>
      </c>
      <c r="D1302" t="inlineStr">
        <is>
          <t>DECIMAL(24,6)</t>
        </is>
      </c>
      <c r="E1302" t="inlineStr">
        <is>
          <t>YES</t>
        </is>
      </c>
      <c r="F1302" t="inlineStr">
        <is>
          <t>当前市场价格</t>
        </is>
      </c>
      <c r="H1302" t="inlineStr">
        <is>
          <t>DECIMAL</t>
        </is>
      </c>
      <c r="I1302" t="inlineStr">
        <is>
          <t>24,6</t>
        </is>
      </c>
    </row>
    <row r="1303">
      <c r="A1303" t="inlineStr">
        <is>
          <t>交通和机械设备</t>
        </is>
      </c>
      <c r="B1303" t="inlineStr">
        <is>
          <t>CLR_ASSET_OTHERS_EQUIPMENT</t>
        </is>
      </c>
      <c r="C1303" t="inlineStr">
        <is>
          <t>VALUEEXPECTED</t>
        </is>
      </c>
      <c r="D1303" t="inlineStr">
        <is>
          <t>DECIMAL(24,6)</t>
        </is>
      </c>
      <c r="E1303" t="inlineStr">
        <is>
          <t>YES</t>
        </is>
      </c>
      <c r="F1303" t="inlineStr">
        <is>
          <t>预计完工后价值</t>
        </is>
      </c>
      <c r="H1303" t="inlineStr">
        <is>
          <t>DECIMAL</t>
        </is>
      </c>
      <c r="I1303" t="inlineStr">
        <is>
          <t>24,6</t>
        </is>
      </c>
    </row>
    <row r="1304">
      <c r="A1304" t="inlineStr">
        <is>
          <t>交通和机械设备</t>
        </is>
      </c>
      <c r="B1304" t="inlineStr">
        <is>
          <t>CLR_ASSET_OTHERS_EQUIPMENT</t>
        </is>
      </c>
      <c r="C1304" t="inlineStr">
        <is>
          <t>RUNNEDHOURS</t>
        </is>
      </c>
      <c r="D1304" t="inlineStr">
        <is>
          <t>INT</t>
        </is>
      </c>
      <c r="E1304" t="inlineStr">
        <is>
          <t>YES</t>
        </is>
      </c>
      <c r="F1304" t="inlineStr">
        <is>
          <t>船舶、在建船舶的已运转小时数/自开始已用小时/飞行起落</t>
        </is>
      </c>
      <c r="H1304" t="inlineStr">
        <is>
          <t>INT</t>
        </is>
      </c>
    </row>
    <row r="1305">
      <c r="A1305" t="inlineStr">
        <is>
          <t>交通和机械设备</t>
        </is>
      </c>
      <c r="B1305" t="inlineStr">
        <is>
          <t>CLR_ASSET_OTHERS_EQUIPMENT</t>
        </is>
      </c>
      <c r="C1305" t="inlineStr">
        <is>
          <t>CONTAINERCOUNT</t>
        </is>
      </c>
      <c r="D1305" t="inlineStr">
        <is>
          <t>INT</t>
        </is>
      </c>
      <c r="E1305" t="inlineStr">
        <is>
          <t>YES</t>
        </is>
      </c>
      <c r="F1305" t="inlineStr">
        <is>
          <t>集装箱数</t>
        </is>
      </c>
      <c r="H1305" t="inlineStr">
        <is>
          <t>INT</t>
        </is>
      </c>
    </row>
    <row r="1306">
      <c r="A1306" t="inlineStr">
        <is>
          <t>交通和机械设备</t>
        </is>
      </c>
      <c r="B1306" t="inlineStr">
        <is>
          <t>CLR_ASSET_OTHERS_EQUIPMENT</t>
        </is>
      </c>
      <c r="C1306" t="inlineStr">
        <is>
          <t>REASONABLEDUILDPERIOD</t>
        </is>
      </c>
      <c r="D1306" t="inlineStr">
        <is>
          <t>DECIMAL(18,2)</t>
        </is>
      </c>
      <c r="E1306" t="inlineStr">
        <is>
          <t>YES</t>
        </is>
      </c>
      <c r="F1306" t="inlineStr">
        <is>
          <t>合理建造期</t>
        </is>
      </c>
      <c r="H1306" t="inlineStr">
        <is>
          <t>DECIMAL</t>
        </is>
      </c>
      <c r="I1306" t="inlineStr">
        <is>
          <t>18,2</t>
        </is>
      </c>
    </row>
    <row r="1307">
      <c r="A1307" t="inlineStr">
        <is>
          <t>交通和机械设备</t>
        </is>
      </c>
      <c r="B1307" t="inlineStr">
        <is>
          <t>CLR_ASSET_OTHERS_EQUIPMENT</t>
        </is>
      </c>
      <c r="C1307" t="inlineStr">
        <is>
          <t>PROGRESSSCHEDULE</t>
        </is>
      </c>
      <c r="D1307" t="inlineStr">
        <is>
          <t>VARCHAR(200)</t>
        </is>
      </c>
      <c r="E1307" t="inlineStr">
        <is>
          <t>YES</t>
        </is>
      </c>
      <c r="F1307" t="inlineStr">
        <is>
          <t>工程进度估计/航空器、在建航空器的工程进度估计</t>
        </is>
      </c>
      <c r="H1307" t="inlineStr">
        <is>
          <t>VARCHAR</t>
        </is>
      </c>
      <c r="I1307" t="inlineStr">
        <is>
          <t>200</t>
        </is>
      </c>
    </row>
    <row r="1308">
      <c r="A1308" t="inlineStr">
        <is>
          <t>交通和机械设备</t>
        </is>
      </c>
      <c r="B1308" t="inlineStr">
        <is>
          <t>CLR_ASSET_OTHERS_EQUIPMENT</t>
        </is>
      </c>
      <c r="C1308" t="inlineStr">
        <is>
          <t>UNFINISHPOSSIBILITY</t>
        </is>
      </c>
      <c r="D1308" t="inlineStr">
        <is>
          <t>VARCHAR(200)</t>
        </is>
      </c>
      <c r="E1308" t="inlineStr">
        <is>
          <t>YES</t>
        </is>
      </c>
      <c r="F1308" t="inlineStr">
        <is>
          <t>工程烂尾可能性估计/航空器、在建航空器的工程烂尾可能性估计</t>
        </is>
      </c>
      <c r="H1308" t="inlineStr">
        <is>
          <t>VARCHAR</t>
        </is>
      </c>
      <c r="I1308" t="inlineStr">
        <is>
          <t>200</t>
        </is>
      </c>
    </row>
    <row r="1309">
      <c r="A1309" t="inlineStr">
        <is>
          <t>交通和机械设备</t>
        </is>
      </c>
      <c r="B1309" t="inlineStr">
        <is>
          <t>CLR_ASSET_OTHERS_EQUIPMENT</t>
        </is>
      </c>
      <c r="C1309" t="inlineStr">
        <is>
          <t>RENTING</t>
        </is>
      </c>
      <c r="D1309" t="inlineStr">
        <is>
          <t>VARCHAR(500)</t>
        </is>
      </c>
      <c r="E1309" t="inlineStr">
        <is>
          <t>YES</t>
        </is>
      </c>
      <c r="F1309" t="inlineStr">
        <is>
          <t>租赁业务情况</t>
        </is>
      </c>
      <c r="H1309" t="inlineStr">
        <is>
          <t>VARCHAR</t>
        </is>
      </c>
      <c r="I1309" t="inlineStr">
        <is>
          <t>500</t>
        </is>
      </c>
    </row>
    <row r="1310">
      <c r="A1310" t="inlineStr">
        <is>
          <t>交通和机械设备</t>
        </is>
      </c>
      <c r="B1310" t="inlineStr">
        <is>
          <t>CLR_ASSET_OTHERS_EQUIPMENT</t>
        </is>
      </c>
      <c r="C1310" t="inlineStr">
        <is>
          <t>TRANSPORTAGRM</t>
        </is>
      </c>
      <c r="D1310" t="inlineStr">
        <is>
          <t>VARCHAR(500)</t>
        </is>
      </c>
      <c r="E1310" t="inlineStr">
        <is>
          <t>YES</t>
        </is>
      </c>
      <c r="F1310" t="inlineStr">
        <is>
          <t>已有运输业务合同情况</t>
        </is>
      </c>
      <c r="H1310" t="inlineStr">
        <is>
          <t>VARCHAR</t>
        </is>
      </c>
      <c r="I1310" t="inlineStr">
        <is>
          <t>500</t>
        </is>
      </c>
    </row>
    <row r="1311">
      <c r="A1311" t="inlineStr">
        <is>
          <t>交通和机械设备</t>
        </is>
      </c>
      <c r="B1311" t="inlineStr">
        <is>
          <t>CLR_ASSET_OTHERS_EQUIPMENT</t>
        </is>
      </c>
      <c r="C1311" t="inlineStr">
        <is>
          <t>QUANTITY</t>
        </is>
      </c>
      <c r="D1311" t="inlineStr">
        <is>
          <t>INT</t>
        </is>
      </c>
      <c r="E1311" t="inlineStr">
        <is>
          <t>YES</t>
        </is>
      </c>
      <c r="F1311" t="inlineStr">
        <is>
          <t>设备数量</t>
        </is>
      </c>
      <c r="H1311" t="inlineStr">
        <is>
          <t>INT</t>
        </is>
      </c>
    </row>
    <row r="1312">
      <c r="A1312" t="inlineStr">
        <is>
          <t>交通和机械设备</t>
        </is>
      </c>
      <c r="B1312" t="inlineStr">
        <is>
          <t>CLR_ASSET_OTHERS_EQUIPMENT</t>
        </is>
      </c>
      <c r="C1312" t="inlineStr">
        <is>
          <t>DEPOSITPLACE</t>
        </is>
      </c>
      <c r="D1312" t="inlineStr">
        <is>
          <t>VARCHAR(200)</t>
        </is>
      </c>
      <c r="E1312" t="inlineStr">
        <is>
          <t>YES</t>
        </is>
      </c>
      <c r="F1312" t="inlineStr">
        <is>
          <t>存放地</t>
        </is>
      </c>
      <c r="H1312" t="inlineStr">
        <is>
          <t>VARCHAR</t>
        </is>
      </c>
      <c r="I1312" t="inlineStr">
        <is>
          <t>200</t>
        </is>
      </c>
    </row>
    <row r="1313">
      <c r="A1313" t="inlineStr">
        <is>
          <t>交通和机械设备</t>
        </is>
      </c>
      <c r="B1313" t="inlineStr">
        <is>
          <t>CLR_ASSET_OTHERS_EQUIPMENT</t>
        </is>
      </c>
      <c r="C1313" t="inlineStr">
        <is>
          <t>AGENCY</t>
        </is>
      </c>
      <c r="D1313" t="inlineStr">
        <is>
          <t>VARCHAR(80)</t>
        </is>
      </c>
      <c r="E1313" t="inlineStr">
        <is>
          <t>YES</t>
        </is>
      </c>
      <c r="F1313" t="inlineStr">
        <is>
          <t>经销商</t>
        </is>
      </c>
      <c r="H1313" t="inlineStr">
        <is>
          <t>VARCHAR</t>
        </is>
      </c>
      <c r="I1313" t="inlineStr">
        <is>
          <t>80</t>
        </is>
      </c>
    </row>
    <row r="1314">
      <c r="A1314" t="inlineStr">
        <is>
          <t>交通和机械设备</t>
        </is>
      </c>
      <c r="B1314" t="inlineStr">
        <is>
          <t>CLR_ASSET_OTHERS_EQUIPMENT</t>
        </is>
      </c>
      <c r="C1314" t="inlineStr">
        <is>
          <t>USEDETAIL</t>
        </is>
      </c>
      <c r="D1314" t="inlineStr">
        <is>
          <t>VARCHAR(200)</t>
        </is>
      </c>
      <c r="E1314" t="inlineStr">
        <is>
          <t>YES</t>
        </is>
      </c>
      <c r="F1314" t="inlineStr">
        <is>
          <t>设备用途</t>
        </is>
      </c>
      <c r="H1314" t="inlineStr">
        <is>
          <t>VARCHAR</t>
        </is>
      </c>
      <c r="I1314" t="inlineStr">
        <is>
          <t>200</t>
        </is>
      </c>
    </row>
    <row r="1315">
      <c r="A1315" t="inlineStr">
        <is>
          <t>交通和机械设备</t>
        </is>
      </c>
      <c r="B1315" t="inlineStr">
        <is>
          <t>CLR_ASSET_OTHERS_EQUIPMENT</t>
        </is>
      </c>
      <c r="C1315" t="inlineStr">
        <is>
          <t>PRODUCTIONDATE</t>
        </is>
      </c>
      <c r="D1315" t="inlineStr">
        <is>
          <t>VARCHAR(18)</t>
        </is>
      </c>
      <c r="E1315" t="inlineStr">
        <is>
          <t>YES</t>
        </is>
      </c>
      <c r="F1315" t="inlineStr">
        <is>
          <t>出厂日期/航空器出厂日期</t>
        </is>
      </c>
      <c r="H1315" t="inlineStr">
        <is>
          <t>VARCHAR</t>
        </is>
      </c>
      <c r="I1315" t="inlineStr">
        <is>
          <t>18</t>
        </is>
      </c>
    </row>
    <row r="1316">
      <c r="A1316" t="inlineStr">
        <is>
          <t>交通和机械设备</t>
        </is>
      </c>
      <c r="B1316" t="inlineStr">
        <is>
          <t>CLR_ASSET_OTHERS_EQUIPMENT</t>
        </is>
      </c>
      <c r="C1316" t="inlineStr">
        <is>
          <t>PURCHASEDATE</t>
        </is>
      </c>
      <c r="D1316" t="inlineStr">
        <is>
          <t>VARCHAR(18)</t>
        </is>
      </c>
      <c r="E1316" t="inlineStr">
        <is>
          <t>YES</t>
        </is>
      </c>
      <c r="F1316" t="inlineStr">
        <is>
          <t>购置日期/购入日期</t>
        </is>
      </c>
      <c r="H1316" t="inlineStr">
        <is>
          <t>VARCHAR</t>
        </is>
      </c>
      <c r="I1316" t="inlineStr">
        <is>
          <t>18</t>
        </is>
      </c>
    </row>
    <row r="1317">
      <c r="A1317" t="inlineStr">
        <is>
          <t>交通和机械设备</t>
        </is>
      </c>
      <c r="B1317" t="inlineStr">
        <is>
          <t>CLR_ASSET_OTHERS_EQUIPMENT</t>
        </is>
      </c>
      <c r="C1317" t="inlineStr">
        <is>
          <t>EQUIPMENTTYPE</t>
        </is>
      </c>
      <c r="D1317" t="inlineStr">
        <is>
          <t>VARCHAR(6)</t>
        </is>
      </c>
      <c r="E1317" t="inlineStr">
        <is>
          <t>YES</t>
        </is>
      </c>
      <c r="F1317" t="inlineStr">
        <is>
          <t>设备类型</t>
        </is>
      </c>
      <c r="H1317" t="inlineStr">
        <is>
          <t>VARCHAR</t>
        </is>
      </c>
      <c r="I1317" t="inlineStr">
        <is>
          <t>6</t>
        </is>
      </c>
    </row>
    <row r="1318">
      <c r="A1318" t="inlineStr">
        <is>
          <t>交通和机械设备</t>
        </is>
      </c>
      <c r="B1318" t="inlineStr">
        <is>
          <t>CLR_ASSET_OTHERS_EQUIPMENT</t>
        </is>
      </c>
      <c r="C1318" t="inlineStr">
        <is>
          <t>EFFICIENCY</t>
        </is>
      </c>
      <c r="D1318" t="inlineStr">
        <is>
          <t>VARCHAR(200)</t>
        </is>
      </c>
      <c r="E1318" t="inlineStr">
        <is>
          <t>YES</t>
        </is>
      </c>
      <c r="F1318" t="inlineStr">
        <is>
          <t>生产能力</t>
        </is>
      </c>
      <c r="H1318" t="inlineStr">
        <is>
          <t>VARCHAR</t>
        </is>
      </c>
      <c r="I1318" t="inlineStr">
        <is>
          <t>200</t>
        </is>
      </c>
    </row>
    <row r="1319">
      <c r="A1319" t="inlineStr">
        <is>
          <t>交通和机械设备</t>
        </is>
      </c>
      <c r="B1319" t="inlineStr">
        <is>
          <t>CLR_ASSET_OTHERS_EQUIPMENT</t>
        </is>
      </c>
      <c r="C1319" t="inlineStr">
        <is>
          <t>OVERHAULTIMES</t>
        </is>
      </c>
      <c r="D1319" t="inlineStr">
        <is>
          <t>INT</t>
        </is>
      </c>
      <c r="E1319" t="inlineStr">
        <is>
          <t>YES</t>
        </is>
      </c>
      <c r="F1319" t="inlineStr">
        <is>
          <t>大修次数</t>
        </is>
      </c>
      <c r="H1319" t="inlineStr">
        <is>
          <t>INT</t>
        </is>
      </c>
    </row>
    <row r="1320">
      <c r="A1320" t="inlineStr">
        <is>
          <t>交通和机械设备</t>
        </is>
      </c>
      <c r="B1320" t="inlineStr">
        <is>
          <t>CLR_ASSET_OTHERS_EQUIPMENT</t>
        </is>
      </c>
      <c r="C1320" t="inlineStr">
        <is>
          <t>BILLPRICE</t>
        </is>
      </c>
      <c r="D1320" t="inlineStr">
        <is>
          <t>DECIMAL(24,6)</t>
        </is>
      </c>
      <c r="E1320" t="inlineStr">
        <is>
          <t>YES</t>
        </is>
      </c>
      <c r="F1320" t="inlineStr">
        <is>
          <t>发票价格/合同价格/合同建造价格</t>
        </is>
      </c>
      <c r="H1320" t="inlineStr">
        <is>
          <t>DECIMAL</t>
        </is>
      </c>
      <c r="I1320" t="inlineStr">
        <is>
          <t>24,6</t>
        </is>
      </c>
    </row>
    <row r="1321">
      <c r="A1321" t="inlineStr">
        <is>
          <t>交通和机械设备</t>
        </is>
      </c>
      <c r="B1321" t="inlineStr">
        <is>
          <t>CLR_ASSET_OTHERS_EQUIPMENT</t>
        </is>
      </c>
      <c r="C1321" t="inlineStr">
        <is>
          <t>CONTRACTCURRENCY</t>
        </is>
      </c>
      <c r="D1321" t="inlineStr">
        <is>
          <t>VARCHAR(18)</t>
        </is>
      </c>
      <c r="E1321" t="inlineStr">
        <is>
          <t>YES</t>
        </is>
      </c>
      <c r="F1321" t="inlineStr">
        <is>
          <t>合同建造价格币种</t>
        </is>
      </c>
      <c r="H1321" t="inlineStr">
        <is>
          <t>VARCHAR</t>
        </is>
      </c>
      <c r="I1321" t="inlineStr">
        <is>
          <t>18</t>
        </is>
      </c>
    </row>
    <row r="1322">
      <c r="A1322" t="inlineStr">
        <is>
          <t>交通和机械设备</t>
        </is>
      </c>
      <c r="B1322" t="inlineStr">
        <is>
          <t>CLR_ASSET_OTHERS_EQUIPMENT</t>
        </is>
      </c>
      <c r="C1322" t="inlineStr">
        <is>
          <t>ASSEMBLEFEE</t>
        </is>
      </c>
      <c r="D1322" t="inlineStr">
        <is>
          <t>DECIMAL(24,6)</t>
        </is>
      </c>
      <c r="E1322" t="inlineStr">
        <is>
          <t>YES</t>
        </is>
      </c>
      <c r="F1322" t="inlineStr">
        <is>
          <t>设备安装费</t>
        </is>
      </c>
      <c r="H1322" t="inlineStr">
        <is>
          <t>DECIMAL</t>
        </is>
      </c>
      <c r="I1322" t="inlineStr">
        <is>
          <t>24,6</t>
        </is>
      </c>
    </row>
    <row r="1323">
      <c r="A1323" t="inlineStr">
        <is>
          <t>交通和机械设备</t>
        </is>
      </c>
      <c r="B1323" t="inlineStr">
        <is>
          <t>CLR_ASSET_OTHERS_EQUIPMENT</t>
        </is>
      </c>
      <c r="C1323" t="inlineStr">
        <is>
          <t>REASONABLEBUILDPERIOD</t>
        </is>
      </c>
      <c r="D1323" t="inlineStr">
        <is>
          <t>INT</t>
        </is>
      </c>
      <c r="E1323" t="inlineStr">
        <is>
          <t>YES</t>
        </is>
      </c>
      <c r="F1323" t="inlineStr">
        <is>
          <t>合理工期;年）</t>
        </is>
      </c>
      <c r="H1323" t="inlineStr">
        <is>
          <t>INT</t>
        </is>
      </c>
    </row>
    <row r="1324">
      <c r="A1324" t="inlineStr">
        <is>
          <t>交通和机械设备</t>
        </is>
      </c>
      <c r="B1324" t="inlineStr">
        <is>
          <t>CLR_ASSET_OTHERS_EQUIPMENT</t>
        </is>
      </c>
      <c r="C1324" t="inlineStr">
        <is>
          <t>SEVICELIFE</t>
        </is>
      </c>
      <c r="D1324" t="inlineStr">
        <is>
          <t>INT</t>
        </is>
      </c>
      <c r="E1324" t="inlineStr">
        <is>
          <t>YES</t>
        </is>
      </c>
      <c r="F1324" t="inlineStr">
        <is>
          <t>使用年限</t>
        </is>
      </c>
      <c r="H1324" t="inlineStr">
        <is>
          <t>INT</t>
        </is>
      </c>
    </row>
    <row r="1325">
      <c r="A1325" t="inlineStr">
        <is>
          <t>交通和机械设备</t>
        </is>
      </c>
      <c r="B1325" t="inlineStr">
        <is>
          <t>CLR_ASSET_OTHERS_EQUIPMENT</t>
        </is>
      </c>
      <c r="C1325" t="inlineStr">
        <is>
          <t>SURPLUSSERVICELIFEOTHER</t>
        </is>
      </c>
      <c r="D1325" t="inlineStr">
        <is>
          <t>INT</t>
        </is>
      </c>
      <c r="E1325" t="inlineStr">
        <is>
          <t>YES</t>
        </is>
      </c>
      <c r="F1325" t="inlineStr">
        <is>
          <t>剩余使用年限</t>
        </is>
      </c>
      <c r="H1325" t="inlineStr">
        <is>
          <t>INT</t>
        </is>
      </c>
    </row>
    <row r="1326">
      <c r="A1326" t="inlineStr">
        <is>
          <t>交通和机械设备</t>
        </is>
      </c>
      <c r="B1326" t="inlineStr">
        <is>
          <t>CLR_ASSET_OTHERS_EQUIPMENT</t>
        </is>
      </c>
      <c r="C1326" t="inlineStr">
        <is>
          <t>RUNNEDHOURSOTHER</t>
        </is>
      </c>
      <c r="D1326" t="inlineStr">
        <is>
          <t>INT</t>
        </is>
      </c>
      <c r="E1326" t="inlineStr">
        <is>
          <t>YES</t>
        </is>
      </c>
      <c r="F1326" t="inlineStr">
        <is>
          <t>已运转小时数</t>
        </is>
      </c>
      <c r="H1326" t="inlineStr">
        <is>
          <t>INT</t>
        </is>
      </c>
    </row>
    <row r="1327">
      <c r="A1327" t="inlineStr">
        <is>
          <t>交通和机械设备</t>
        </is>
      </c>
      <c r="B1327" t="inlineStr">
        <is>
          <t>CLR_ASSET_OTHERS_EQUIPMENT</t>
        </is>
      </c>
      <c r="C1327" t="inlineStr">
        <is>
          <t>ANNUALSURVEY</t>
        </is>
      </c>
      <c r="D1327" t="inlineStr">
        <is>
          <t>VARCHAR(500)</t>
        </is>
      </c>
      <c r="E1327" t="inlineStr">
        <is>
          <t>YES</t>
        </is>
      </c>
      <c r="F1327" t="inlineStr">
        <is>
          <t>年检情况</t>
        </is>
      </c>
      <c r="H1327" t="inlineStr">
        <is>
          <t>VARCHAR</t>
        </is>
      </c>
      <c r="I1327" t="inlineStr">
        <is>
          <t>500</t>
        </is>
      </c>
    </row>
    <row r="1328">
      <c r="A1328" t="inlineStr">
        <is>
          <t>交通和机械设备</t>
        </is>
      </c>
      <c r="B1328" t="inlineStr">
        <is>
          <t>CLR_ASSET_OTHERS_EQUIPMENT</t>
        </is>
      </c>
      <c r="C1328" t="inlineStr">
        <is>
          <t>TRANSPORTFLAG01</t>
        </is>
      </c>
      <c r="D1328" t="inlineStr">
        <is>
          <t>CHAR(1)</t>
        </is>
      </c>
      <c r="E1328" t="inlineStr">
        <is>
          <t>YES</t>
        </is>
      </c>
      <c r="F1328" t="inlineStr">
        <is>
          <t>是否已提交购置合同与发票</t>
        </is>
      </c>
      <c r="H1328" t="inlineStr">
        <is>
          <t>CHAR</t>
        </is>
      </c>
      <c r="I1328" t="inlineStr">
        <is>
          <t>1</t>
        </is>
      </c>
    </row>
    <row r="1329">
      <c r="A1329" t="inlineStr">
        <is>
          <t>交通和机械设备</t>
        </is>
      </c>
      <c r="B1329" t="inlineStr">
        <is>
          <t>CLR_ASSET_OTHERS_EQUIPMENT</t>
        </is>
      </c>
      <c r="C1329" t="inlineStr">
        <is>
          <t>TRANSPORTFLAG02</t>
        </is>
      </c>
      <c r="D1329" t="inlineStr">
        <is>
          <t>CHAR(1)</t>
        </is>
      </c>
      <c r="E1329" t="inlineStr">
        <is>
          <t>YES</t>
        </is>
      </c>
      <c r="F1329" t="inlineStr">
        <is>
          <t>是否已提交相关的行驶证</t>
        </is>
      </c>
      <c r="H1329" t="inlineStr">
        <is>
          <t>CHAR</t>
        </is>
      </c>
      <c r="I1329" t="inlineStr">
        <is>
          <t>1</t>
        </is>
      </c>
    </row>
    <row r="1330">
      <c r="A1330" t="inlineStr">
        <is>
          <t>交通和机械设备</t>
        </is>
      </c>
      <c r="B1330" t="inlineStr">
        <is>
          <t>CLR_ASSET_OTHERS_EQUIPMENT</t>
        </is>
      </c>
      <c r="C1330" t="inlineStr">
        <is>
          <t>TRANSPORTFLAG03</t>
        </is>
      </c>
      <c r="D1330" t="inlineStr">
        <is>
          <t>CHAR(1)</t>
        </is>
      </c>
      <c r="E1330" t="inlineStr">
        <is>
          <t>YES</t>
        </is>
      </c>
      <c r="F1330" t="inlineStr">
        <is>
          <t>是否已提交相关的年检记录</t>
        </is>
      </c>
      <c r="H1330" t="inlineStr">
        <is>
          <t>CHAR</t>
        </is>
      </c>
      <c r="I1330" t="inlineStr">
        <is>
          <t>1</t>
        </is>
      </c>
    </row>
    <row r="1331">
      <c r="A1331" t="inlineStr">
        <is>
          <t>交通和机械设备</t>
        </is>
      </c>
      <c r="B1331" t="inlineStr">
        <is>
          <t>CLR_ASSET_OTHERS_EQUIPMENT</t>
        </is>
      </c>
      <c r="C1331" t="inlineStr">
        <is>
          <t>TRANSPORTFLAG04</t>
        </is>
      </c>
      <c r="D1331" t="inlineStr">
        <is>
          <t>CHAR(1)</t>
        </is>
      </c>
      <c r="E1331" t="inlineStr">
        <is>
          <t>YES</t>
        </is>
      </c>
      <c r="F1331" t="inlineStr">
        <is>
          <t>是否有行驶证</t>
        </is>
      </c>
      <c r="H1331" t="inlineStr">
        <is>
          <t>CHAR</t>
        </is>
      </c>
      <c r="I1331" t="inlineStr">
        <is>
          <t>1</t>
        </is>
      </c>
    </row>
    <row r="1332">
      <c r="A1332" t="inlineStr">
        <is>
          <t>交通和机械设备</t>
        </is>
      </c>
      <c r="B1332" t="inlineStr">
        <is>
          <t>CLR_ASSET_OTHERS_EQUIPMENT</t>
        </is>
      </c>
      <c r="C1332" t="inlineStr">
        <is>
          <t>SHIPFLAG01</t>
        </is>
      </c>
      <c r="D1332" t="inlineStr">
        <is>
          <t>CHAR(1)</t>
        </is>
      </c>
      <c r="E1332" t="inlineStr">
        <is>
          <t>YES</t>
        </is>
      </c>
      <c r="F1332" t="inlineStr">
        <is>
          <t>是否满足其他认定条件</t>
        </is>
      </c>
      <c r="H1332" t="inlineStr">
        <is>
          <t>CHAR</t>
        </is>
      </c>
      <c r="I1332" t="inlineStr">
        <is>
          <t>1</t>
        </is>
      </c>
    </row>
    <row r="1333">
      <c r="A1333" t="inlineStr">
        <is>
          <t>交通和机械设备</t>
        </is>
      </c>
      <c r="B1333" t="inlineStr">
        <is>
          <t>CLR_ASSET_OTHERS_EQUIPMENT</t>
        </is>
      </c>
      <c r="C1333" t="inlineStr">
        <is>
          <t>SHIPFLAG02</t>
        </is>
      </c>
      <c r="D1333" t="inlineStr">
        <is>
          <t>CHAR(1)</t>
        </is>
      </c>
      <c r="E1333" t="inlineStr">
        <is>
          <t>YES</t>
        </is>
      </c>
      <c r="F1333" t="inlineStr">
        <is>
          <t>是否已提交船舶所有权登记证书/是否已提交航空器所有权证明文件</t>
        </is>
      </c>
      <c r="H1333" t="inlineStr">
        <is>
          <t>CHAR</t>
        </is>
      </c>
      <c r="I1333" t="inlineStr">
        <is>
          <t>1</t>
        </is>
      </c>
    </row>
    <row r="1334">
      <c r="A1334" t="inlineStr">
        <is>
          <t>交通和机械设备</t>
        </is>
      </c>
      <c r="B1334" t="inlineStr">
        <is>
          <t>CLR_ASSET_OTHERS_EQUIPMENT</t>
        </is>
      </c>
      <c r="C1334" t="inlineStr">
        <is>
          <t>SHIPFLAG03</t>
        </is>
      </c>
      <c r="D1334" t="inlineStr">
        <is>
          <t>CHAR(1)</t>
        </is>
      </c>
      <c r="E1334" t="inlineStr">
        <is>
          <t>YES</t>
        </is>
      </c>
      <c r="F1334" t="inlineStr">
        <is>
          <t>是否已提交船舶检验证书簿</t>
        </is>
      </c>
      <c r="H1334" t="inlineStr">
        <is>
          <t>CHAR</t>
        </is>
      </c>
      <c r="I1334" t="inlineStr">
        <is>
          <t>1</t>
        </is>
      </c>
    </row>
    <row r="1335">
      <c r="A1335" t="inlineStr">
        <is>
          <t>交通和机械设备</t>
        </is>
      </c>
      <c r="B1335" t="inlineStr">
        <is>
          <t>CLR_ASSET_OTHERS_EQUIPMENT</t>
        </is>
      </c>
      <c r="C1335" t="inlineStr">
        <is>
          <t>SHIPFLAG04</t>
        </is>
      </c>
      <c r="D1335" t="inlineStr">
        <is>
          <t>CHAR(1)</t>
        </is>
      </c>
      <c r="E1335" t="inlineStr">
        <is>
          <t>YES</t>
        </is>
      </c>
      <c r="F1335" t="inlineStr">
        <is>
          <t>是否已提交船舶船级证书</t>
        </is>
      </c>
      <c r="H1335" t="inlineStr">
        <is>
          <t>CHAR</t>
        </is>
      </c>
      <c r="I1335" t="inlineStr">
        <is>
          <t>1</t>
        </is>
      </c>
    </row>
    <row r="1336">
      <c r="A1336" t="inlineStr">
        <is>
          <t>交通和机械设备</t>
        </is>
      </c>
      <c r="B1336" t="inlineStr">
        <is>
          <t>CLR_ASSET_OTHERS_EQUIPMENT</t>
        </is>
      </c>
      <c r="C1336" t="inlineStr">
        <is>
          <t>SHIPFLAG05</t>
        </is>
      </c>
      <c r="D1336" t="inlineStr">
        <is>
          <t>CHAR(1)</t>
        </is>
      </c>
      <c r="E1336" t="inlineStr">
        <is>
          <t>YES</t>
        </is>
      </c>
      <c r="F1336" t="inlineStr">
        <is>
          <t>是否已提交航行日志/是否已提交飞行记录本</t>
        </is>
      </c>
      <c r="H1336" t="inlineStr">
        <is>
          <t>CHAR</t>
        </is>
      </c>
      <c r="I1336" t="inlineStr">
        <is>
          <t>1</t>
        </is>
      </c>
    </row>
    <row r="1337">
      <c r="A1337" t="inlineStr">
        <is>
          <t>交通和机械设备</t>
        </is>
      </c>
      <c r="B1337" t="inlineStr">
        <is>
          <t>CLR_ASSET_OTHERS_EQUIPMENT</t>
        </is>
      </c>
      <c r="C1337" t="inlineStr">
        <is>
          <t>SHIPFLAG06</t>
        </is>
      </c>
      <c r="D1337" t="inlineStr">
        <is>
          <t>CHAR(1)</t>
        </is>
      </c>
      <c r="E1337" t="inlineStr">
        <is>
          <t>YES</t>
        </is>
      </c>
      <c r="F1337" t="inlineStr">
        <is>
          <t>是否已提交相关租赁合同</t>
        </is>
      </c>
      <c r="H1337" t="inlineStr">
        <is>
          <t>CHAR</t>
        </is>
      </c>
      <c r="I1337" t="inlineStr">
        <is>
          <t>1</t>
        </is>
      </c>
    </row>
    <row r="1338">
      <c r="A1338" t="inlineStr">
        <is>
          <t>交通和机械设备</t>
        </is>
      </c>
      <c r="B1338" t="inlineStr">
        <is>
          <t>CLR_ASSET_OTHERS_EQUIPMENT</t>
        </is>
      </c>
      <c r="C1338" t="inlineStr">
        <is>
          <t>SHIPFLAG07</t>
        </is>
      </c>
      <c r="D1338" t="inlineStr">
        <is>
          <t>CHAR(1)</t>
        </is>
      </c>
      <c r="E1338" t="inlineStr">
        <is>
          <t>YES</t>
        </is>
      </c>
      <c r="F1338" t="inlineStr">
        <is>
          <t>是否已提交船舶适航证书/是否已提交适航证</t>
        </is>
      </c>
      <c r="H1338" t="inlineStr">
        <is>
          <t>CHAR</t>
        </is>
      </c>
      <c r="I1338" t="inlineStr">
        <is>
          <t>1</t>
        </is>
      </c>
    </row>
    <row r="1339">
      <c r="A1339" t="inlineStr">
        <is>
          <t>交通和机械设备</t>
        </is>
      </c>
      <c r="B1339" t="inlineStr">
        <is>
          <t>CLR_ASSET_OTHERS_EQUIPMENT</t>
        </is>
      </c>
      <c r="C1339" t="inlineStr">
        <is>
          <t>SHIPFLAG09</t>
        </is>
      </c>
      <c r="D1339" t="inlineStr">
        <is>
          <t>CHAR(1)</t>
        </is>
      </c>
      <c r="E1339" t="inlineStr">
        <is>
          <t>YES</t>
        </is>
      </c>
      <c r="F1339" t="inlineStr">
        <is>
          <t>是否已提交船舶保险单正本（原件）</t>
        </is>
      </c>
      <c r="H1339" t="inlineStr">
        <is>
          <t>CHAR</t>
        </is>
      </c>
      <c r="I1339" t="inlineStr">
        <is>
          <t>1</t>
        </is>
      </c>
    </row>
    <row r="1340">
      <c r="A1340" t="inlineStr">
        <is>
          <t>交通和机械设备</t>
        </is>
      </c>
      <c r="B1340" t="inlineStr">
        <is>
          <t>CLR_ASSET_OTHERS_EQUIPMENT</t>
        </is>
      </c>
      <c r="C1340" t="inlineStr">
        <is>
          <t>SHIPFLAG10</t>
        </is>
      </c>
      <c r="D1340" t="inlineStr">
        <is>
          <t>CHAR(1)</t>
        </is>
      </c>
      <c r="E1340" t="inlineStr">
        <is>
          <t>YES</t>
        </is>
      </c>
      <c r="F1340" t="inlineStr">
        <is>
          <t>是否已提交船舶吨位证书</t>
        </is>
      </c>
      <c r="H1340" t="inlineStr">
        <is>
          <t>CHAR</t>
        </is>
      </c>
      <c r="I1340" t="inlineStr">
        <is>
          <t>1</t>
        </is>
      </c>
    </row>
    <row r="1341">
      <c r="A1341" t="inlineStr">
        <is>
          <t>交通和机械设备</t>
        </is>
      </c>
      <c r="B1341" t="inlineStr">
        <is>
          <t>CLR_ASSET_OTHERS_EQUIPMENT</t>
        </is>
      </c>
      <c r="C1341" t="inlineStr">
        <is>
          <t>SHIPFLAG11</t>
        </is>
      </c>
      <c r="D1341" t="inlineStr">
        <is>
          <t>CHAR(1)</t>
        </is>
      </c>
      <c r="E1341" t="inlineStr">
        <is>
          <t>YES</t>
        </is>
      </c>
      <c r="F1341" t="inlineStr">
        <is>
          <t>是否已提交船舶建造企业是否书面签署无条件放弃对该船舶留置权的声明合同</t>
        </is>
      </c>
      <c r="H1341" t="inlineStr">
        <is>
          <t>CHAR</t>
        </is>
      </c>
      <c r="I1341" t="inlineStr">
        <is>
          <t>1</t>
        </is>
      </c>
    </row>
    <row r="1342">
      <c r="A1342" t="inlineStr">
        <is>
          <t>交通和机械设备</t>
        </is>
      </c>
      <c r="B1342" t="inlineStr">
        <is>
          <t>CLR_ASSET_OTHERS_EQUIPMENT</t>
        </is>
      </c>
      <c r="C1342" t="inlineStr">
        <is>
          <t>SHIPFLAG12</t>
        </is>
      </c>
      <c r="D1342" t="inlineStr">
        <is>
          <t>CHAR(1)</t>
        </is>
      </c>
      <c r="E1342" t="inlineStr">
        <is>
          <t>YES</t>
        </is>
      </c>
      <c r="F1342" t="inlineStr">
        <is>
          <t>是否已提交与船舶、在建船舶相关的当年车船使用税证/是否有当年车船使用税证</t>
        </is>
      </c>
      <c r="H1342" t="inlineStr">
        <is>
          <t>CHAR</t>
        </is>
      </c>
      <c r="I1342" t="inlineStr">
        <is>
          <t>1</t>
        </is>
      </c>
    </row>
    <row r="1343">
      <c r="A1343" t="inlineStr">
        <is>
          <t>交通和机械设备</t>
        </is>
      </c>
      <c r="B1343" t="inlineStr">
        <is>
          <t>CLR_ASSET_OTHERS_EQUIPMENT</t>
        </is>
      </c>
      <c r="C1343" t="inlineStr">
        <is>
          <t>SHIPFLAG13</t>
        </is>
      </c>
      <c r="D1343" t="inlineStr">
        <is>
          <t>CHAR(1)</t>
        </is>
      </c>
      <c r="E1343" t="inlineStr">
        <is>
          <t>YES</t>
        </is>
      </c>
      <c r="F1343" t="inlineStr">
        <is>
          <t>是否已提交船舶国籍证书/是否已提交民用航空器国籍登记证书</t>
        </is>
      </c>
      <c r="H1343" t="inlineStr">
        <is>
          <t>CHAR</t>
        </is>
      </c>
      <c r="I1343" t="inlineStr">
        <is>
          <t>1</t>
        </is>
      </c>
    </row>
    <row r="1344">
      <c r="A1344" t="inlineStr">
        <is>
          <t>交通和机械设备</t>
        </is>
      </c>
      <c r="B1344" t="inlineStr">
        <is>
          <t>CLR_ASSET_OTHERS_EQUIPMENT</t>
        </is>
      </c>
      <c r="C1344" t="inlineStr">
        <is>
          <t>AIRCRAFTFLAG03</t>
        </is>
      </c>
      <c r="D1344" t="inlineStr">
        <is>
          <t>CHAR(1)</t>
        </is>
      </c>
      <c r="E1344" t="inlineStr">
        <is>
          <t>YES</t>
        </is>
      </c>
      <c r="F1344" t="inlineStr">
        <is>
          <t>是否已提交交付证书</t>
        </is>
      </c>
      <c r="H1344" t="inlineStr">
        <is>
          <t>CHAR</t>
        </is>
      </c>
      <c r="I1344" t="inlineStr">
        <is>
          <t>1</t>
        </is>
      </c>
    </row>
    <row r="1345">
      <c r="A1345" t="inlineStr">
        <is>
          <t>交通和机械设备</t>
        </is>
      </c>
      <c r="B1345" t="inlineStr">
        <is>
          <t>CLR_ASSET_OTHERS_EQUIPMENT</t>
        </is>
      </c>
      <c r="C1345" t="inlineStr">
        <is>
          <t>AIRCRAFTFLAG07</t>
        </is>
      </c>
      <c r="D1345" t="inlineStr">
        <is>
          <t>CHAR(1)</t>
        </is>
      </c>
      <c r="E1345" t="inlineStr">
        <is>
          <t>YES</t>
        </is>
      </c>
      <c r="F1345" t="inlineStr">
        <is>
          <t>是否已提交航空器使用手册</t>
        </is>
      </c>
      <c r="H1345" t="inlineStr">
        <is>
          <t>CHAR</t>
        </is>
      </c>
      <c r="I1345" t="inlineStr">
        <is>
          <t>1</t>
        </is>
      </c>
    </row>
    <row r="1346">
      <c r="A1346" t="inlineStr">
        <is>
          <t>交通和机械设备</t>
        </is>
      </c>
      <c r="B1346" t="inlineStr">
        <is>
          <t>CLR_ASSET_OTHERS_EQUIPMENT</t>
        </is>
      </c>
      <c r="C1346" t="inlineStr">
        <is>
          <t>VEHICLEFLAG01</t>
        </is>
      </c>
      <c r="D1346" t="inlineStr">
        <is>
          <t>CHAR(1)</t>
        </is>
      </c>
      <c r="E1346" t="inlineStr">
        <is>
          <t>YES</t>
        </is>
      </c>
      <c r="F1346" t="inlineStr">
        <is>
          <t>是否已提交车辆铭牌</t>
        </is>
      </c>
      <c r="H1346" t="inlineStr">
        <is>
          <t>CHAR</t>
        </is>
      </c>
      <c r="I1346" t="inlineStr">
        <is>
          <t>1</t>
        </is>
      </c>
    </row>
    <row r="1347">
      <c r="A1347" t="inlineStr">
        <is>
          <t>交通和机械设备</t>
        </is>
      </c>
      <c r="B1347" t="inlineStr">
        <is>
          <t>CLR_ASSET_OTHERS_EQUIPMENT</t>
        </is>
      </c>
      <c r="C1347" t="inlineStr">
        <is>
          <t>VEHICLEFLAG03</t>
        </is>
      </c>
      <c r="D1347" t="inlineStr">
        <is>
          <t>CHAR(1)</t>
        </is>
      </c>
      <c r="E1347" t="inlineStr">
        <is>
          <t>YES</t>
        </is>
      </c>
      <c r="F1347" t="inlineStr">
        <is>
          <t>是否已提交机动车登记证书</t>
        </is>
      </c>
      <c r="H1347" t="inlineStr">
        <is>
          <t>CHAR</t>
        </is>
      </c>
      <c r="I1347" t="inlineStr">
        <is>
          <t>1</t>
        </is>
      </c>
    </row>
    <row r="1348">
      <c r="A1348" t="inlineStr">
        <is>
          <t>交通和机械设备</t>
        </is>
      </c>
      <c r="B1348" t="inlineStr">
        <is>
          <t>CLR_ASSET_OTHERS_EQUIPMENT</t>
        </is>
      </c>
      <c r="C1348" t="inlineStr">
        <is>
          <t>VEHICLEFLAG04</t>
        </is>
      </c>
      <c r="D1348" t="inlineStr">
        <is>
          <t>CHAR(1)</t>
        </is>
      </c>
      <c r="E1348" t="inlineStr">
        <is>
          <t>YES</t>
        </is>
      </c>
      <c r="F1348" t="inlineStr">
        <is>
          <t>是否已提交机动车牌证</t>
        </is>
      </c>
      <c r="H1348" t="inlineStr">
        <is>
          <t>CHAR</t>
        </is>
      </c>
      <c r="I1348" t="inlineStr">
        <is>
          <t>1</t>
        </is>
      </c>
    </row>
    <row r="1349">
      <c r="A1349" t="inlineStr">
        <is>
          <t>交通和机械设备</t>
        </is>
      </c>
      <c r="B1349" t="inlineStr">
        <is>
          <t>CLR_ASSET_OTHERS_EQUIPMENT</t>
        </is>
      </c>
      <c r="C1349" t="inlineStr">
        <is>
          <t>VEHICLEFLAG05</t>
        </is>
      </c>
      <c r="D1349" t="inlineStr">
        <is>
          <t>CHAR(1)</t>
        </is>
      </c>
      <c r="E1349" t="inlineStr">
        <is>
          <t>YES</t>
        </is>
      </c>
      <c r="F1349" t="inlineStr">
        <is>
          <t>是否有车辆购置附加税证</t>
        </is>
      </c>
      <c r="H1349" t="inlineStr">
        <is>
          <t>CHAR</t>
        </is>
      </c>
      <c r="I1349" t="inlineStr">
        <is>
          <t>1</t>
        </is>
      </c>
    </row>
    <row r="1350">
      <c r="A1350" t="inlineStr">
        <is>
          <t>交通和机械设备</t>
        </is>
      </c>
      <c r="B1350" t="inlineStr">
        <is>
          <t>CLR_ASSET_OTHERS_EQUIPMENT</t>
        </is>
      </c>
      <c r="C1350" t="inlineStr">
        <is>
          <t>EQUIPMENTFLAG01</t>
        </is>
      </c>
      <c r="D1350" t="inlineStr">
        <is>
          <t>CHAR(1)</t>
        </is>
      </c>
      <c r="E1350" t="inlineStr">
        <is>
          <t>YES</t>
        </is>
      </c>
      <c r="F1350" t="inlineStr">
        <is>
          <t>同类资产在最近3个月内是否有成交记录</t>
        </is>
      </c>
      <c r="H1350" t="inlineStr">
        <is>
          <t>CHAR</t>
        </is>
      </c>
      <c r="I1350" t="inlineStr">
        <is>
          <t>1</t>
        </is>
      </c>
    </row>
    <row r="1351">
      <c r="A1351" t="inlineStr">
        <is>
          <t>交通和机械设备</t>
        </is>
      </c>
      <c r="B1351" t="inlineStr">
        <is>
          <t>CLR_ASSET_OTHERS_EQUIPMENT</t>
        </is>
      </c>
      <c r="C1351" t="inlineStr">
        <is>
          <t>EQUIPMENTFLAG02</t>
        </is>
      </c>
      <c r="D1351" t="inlineStr">
        <is>
          <t>CHAR(1)</t>
        </is>
      </c>
      <c r="E1351" t="inlineStr">
        <is>
          <t>YES</t>
        </is>
      </c>
      <c r="F1351" t="inlineStr">
        <is>
          <t>该机器设备是否为某成套设备中的一部分</t>
        </is>
      </c>
      <c r="H1351" t="inlineStr">
        <is>
          <t>CHAR</t>
        </is>
      </c>
      <c r="I1351" t="inlineStr">
        <is>
          <t>1</t>
        </is>
      </c>
    </row>
    <row r="1352">
      <c r="A1352" t="inlineStr">
        <is>
          <t>交通和机械设备</t>
        </is>
      </c>
      <c r="B1352" t="inlineStr">
        <is>
          <t>CLR_ASSET_OTHERS_EQUIPMENT</t>
        </is>
      </c>
      <c r="C1352" t="inlineStr">
        <is>
          <t>EQUIPMENTFLAG03</t>
        </is>
      </c>
      <c r="D1352" t="inlineStr">
        <is>
          <t>CHAR(1)</t>
        </is>
      </c>
      <c r="E1352" t="inlineStr">
        <is>
          <t>YES</t>
        </is>
      </c>
      <c r="F1352" t="inlineStr">
        <is>
          <t>是否已提交同类资产最近3个月内成交记录证明</t>
        </is>
      </c>
      <c r="H1352" t="inlineStr">
        <is>
          <t>CHAR</t>
        </is>
      </c>
      <c r="I1352" t="inlineStr">
        <is>
          <t>1</t>
        </is>
      </c>
    </row>
    <row r="1353">
      <c r="A1353" t="inlineStr">
        <is>
          <t>交通和机械设备</t>
        </is>
      </c>
      <c r="B1353" t="inlineStr">
        <is>
          <t>CLR_ASSET_OTHERS_EQUIPMENT</t>
        </is>
      </c>
      <c r="C1353" t="inlineStr">
        <is>
          <t>EQUIPMENTFLAG04</t>
        </is>
      </c>
      <c r="D1353" t="inlineStr">
        <is>
          <t>CHAR(1)</t>
        </is>
      </c>
      <c r="E1353" t="inlineStr">
        <is>
          <t>YES</t>
        </is>
      </c>
      <c r="F1353" t="inlineStr">
        <is>
          <t>是否已提交设备购置合同与发票、产品保修卡</t>
        </is>
      </c>
      <c r="H1353" t="inlineStr">
        <is>
          <t>CHAR</t>
        </is>
      </c>
      <c r="I1353" t="inlineStr">
        <is>
          <t>1</t>
        </is>
      </c>
    </row>
    <row r="1354">
      <c r="A1354" t="inlineStr">
        <is>
          <t>交通和机械设备</t>
        </is>
      </c>
      <c r="B1354" t="inlineStr">
        <is>
          <t>CLR_ASSET_OTHERS_EQUIPMENT</t>
        </is>
      </c>
      <c r="C1354" t="inlineStr">
        <is>
          <t>EQUIPMENTFLAG05</t>
        </is>
      </c>
      <c r="D1354" t="inlineStr">
        <is>
          <t>CHAR(1)</t>
        </is>
      </c>
      <c r="E1354" t="inlineStr">
        <is>
          <t>YES</t>
        </is>
      </c>
      <c r="F1354" t="inlineStr">
        <is>
          <t>该设备是否市场普遍流通</t>
        </is>
      </c>
      <c r="H1354" t="inlineStr">
        <is>
          <t>CHAR</t>
        </is>
      </c>
      <c r="I1354" t="inlineStr">
        <is>
          <t>1</t>
        </is>
      </c>
    </row>
    <row r="1355">
      <c r="A1355" t="inlineStr">
        <is>
          <t>交通和机械设备</t>
        </is>
      </c>
      <c r="B1355" t="inlineStr">
        <is>
          <t>CLR_ASSET_OTHERS_EQUIPMENT</t>
        </is>
      </c>
      <c r="C1355" t="inlineStr">
        <is>
          <t>INPUTORGID</t>
        </is>
      </c>
      <c r="D1355" t="inlineStr">
        <is>
          <t>VARCHAR(32)</t>
        </is>
      </c>
      <c r="E1355" t="inlineStr">
        <is>
          <t>YES</t>
        </is>
      </c>
      <c r="F1355" t="inlineStr">
        <is>
          <t>登记机构</t>
        </is>
      </c>
      <c r="H1355" t="inlineStr">
        <is>
          <t>VARCHAR</t>
        </is>
      </c>
      <c r="I1355" t="inlineStr">
        <is>
          <t>32</t>
        </is>
      </c>
    </row>
    <row r="1356">
      <c r="A1356" t="inlineStr">
        <is>
          <t>交通和机械设备</t>
        </is>
      </c>
      <c r="B1356" t="inlineStr">
        <is>
          <t>CLR_ASSET_OTHERS_EQUIPMENT</t>
        </is>
      </c>
      <c r="C1356" t="inlineStr">
        <is>
          <t>INPUTUSERID</t>
        </is>
      </c>
      <c r="D1356" t="inlineStr">
        <is>
          <t>VARCHAR(32)</t>
        </is>
      </c>
      <c r="E1356" t="inlineStr">
        <is>
          <t>YES</t>
        </is>
      </c>
      <c r="F1356" t="inlineStr">
        <is>
          <t>登记人</t>
        </is>
      </c>
      <c r="H1356" t="inlineStr">
        <is>
          <t>VARCHAR</t>
        </is>
      </c>
      <c r="I1356" t="inlineStr">
        <is>
          <t>32</t>
        </is>
      </c>
    </row>
    <row r="1357">
      <c r="A1357" t="inlineStr">
        <is>
          <t>交通和机械设备</t>
        </is>
      </c>
      <c r="B1357" t="inlineStr">
        <is>
          <t>CLR_ASSET_OTHERS_EQUIPMENT</t>
        </is>
      </c>
      <c r="C1357" t="inlineStr">
        <is>
          <t>INPUTDATE</t>
        </is>
      </c>
      <c r="D1357" t="inlineStr">
        <is>
          <t>DATETIME</t>
        </is>
      </c>
      <c r="E1357" t="inlineStr">
        <is>
          <t>YES</t>
        </is>
      </c>
      <c r="F1357" t="inlineStr">
        <is>
          <t>登记日期</t>
        </is>
      </c>
      <c r="H1357" t="inlineStr">
        <is>
          <t>DATETIME</t>
        </is>
      </c>
    </row>
    <row r="1358">
      <c r="A1358" t="inlineStr">
        <is>
          <t>交通和机械设备</t>
        </is>
      </c>
      <c r="B1358" t="inlineStr">
        <is>
          <t>CLR_ASSET_OTHERS_EQUIPMENT</t>
        </is>
      </c>
      <c r="C1358" t="inlineStr">
        <is>
          <t>UPDATEORGID</t>
        </is>
      </c>
      <c r="D1358" t="inlineStr">
        <is>
          <t>VARCHAR(32)</t>
        </is>
      </c>
      <c r="E1358" t="inlineStr">
        <is>
          <t>YES</t>
        </is>
      </c>
      <c r="F1358" t="inlineStr">
        <is>
          <t>更新机构</t>
        </is>
      </c>
      <c r="H1358" t="inlineStr">
        <is>
          <t>VARCHAR</t>
        </is>
      </c>
      <c r="I1358" t="inlineStr">
        <is>
          <t>32</t>
        </is>
      </c>
    </row>
    <row r="1359">
      <c r="A1359" t="inlineStr">
        <is>
          <t>交通和机械设备</t>
        </is>
      </c>
      <c r="B1359" t="inlineStr">
        <is>
          <t>CLR_ASSET_OTHERS_EQUIPMENT</t>
        </is>
      </c>
      <c r="C1359" t="inlineStr">
        <is>
          <t>UPDATEUSERID</t>
        </is>
      </c>
      <c r="D1359" t="inlineStr">
        <is>
          <t>VARCHAR(32)</t>
        </is>
      </c>
      <c r="E1359" t="inlineStr">
        <is>
          <t>YES</t>
        </is>
      </c>
      <c r="F1359" t="inlineStr">
        <is>
          <t>更新人</t>
        </is>
      </c>
      <c r="H1359" t="inlineStr">
        <is>
          <t>VARCHAR</t>
        </is>
      </c>
      <c r="I1359" t="inlineStr">
        <is>
          <t>32</t>
        </is>
      </c>
    </row>
    <row r="1360">
      <c r="A1360" t="inlineStr">
        <is>
          <t>交通和机械设备</t>
        </is>
      </c>
      <c r="B1360" t="inlineStr">
        <is>
          <t>CLR_ASSET_OTHERS_EQUIPMENT</t>
        </is>
      </c>
      <c r="C1360" t="inlineStr">
        <is>
          <t>UPDATEDATE</t>
        </is>
      </c>
      <c r="D1360" t="inlineStr">
        <is>
          <t>DATETIME</t>
        </is>
      </c>
      <c r="E1360" t="inlineStr">
        <is>
          <t>YES</t>
        </is>
      </c>
      <c r="F1360" t="inlineStr">
        <is>
          <t>更新日期</t>
        </is>
      </c>
      <c r="H1360" t="inlineStr">
        <is>
          <t>DATETIME</t>
        </is>
      </c>
    </row>
    <row r="1361">
      <c r="A1361" t="inlineStr">
        <is>
          <t>交通和机械设备</t>
        </is>
      </c>
      <c r="B1361" t="inlineStr">
        <is>
          <t>CLR_ASSET_OTHERS_EQUIPMENT</t>
        </is>
      </c>
      <c r="C1361" t="inlineStr">
        <is>
          <t>REMARK</t>
        </is>
      </c>
      <c r="D1361" t="inlineStr">
        <is>
          <t>VARCHAR(500)</t>
        </is>
      </c>
      <c r="E1361" t="inlineStr">
        <is>
          <t>YES</t>
        </is>
      </c>
      <c r="F1361" t="inlineStr">
        <is>
          <t>备注</t>
        </is>
      </c>
      <c r="H1361" t="inlineStr">
        <is>
          <t>VARCHAR</t>
        </is>
      </c>
      <c r="I1361" t="inlineStr">
        <is>
          <t>500</t>
        </is>
      </c>
    </row>
    <row r="1362">
      <c r="A1362" t="inlineStr">
        <is>
          <t>交通和机械设备</t>
        </is>
      </c>
      <c r="B1362" t="inlineStr">
        <is>
          <t>CLR_ASSET_OTHERS_EQUIPMENT</t>
        </is>
      </c>
      <c r="C1362" t="inlineStr">
        <is>
          <t>CORPORGID</t>
        </is>
      </c>
      <c r="D1362" t="inlineStr">
        <is>
          <t>VARCHAR(32)</t>
        </is>
      </c>
      <c r="E1362" t="inlineStr">
        <is>
          <t>YES</t>
        </is>
      </c>
      <c r="F1362" t="inlineStr">
        <is>
          <t>法人机构编号</t>
        </is>
      </c>
      <c r="H1362" t="inlineStr">
        <is>
          <t>VARCHAR</t>
        </is>
      </c>
      <c r="I1362" t="inlineStr">
        <is>
          <t>32</t>
        </is>
      </c>
    </row>
    <row r="1363">
      <c r="A1363" t="inlineStr">
        <is>
          <t>交通和机械设备</t>
        </is>
      </c>
      <c r="B1363" t="inlineStr">
        <is>
          <t>CLR_ASSET_OTHERS_EQUIPMENT</t>
        </is>
      </c>
      <c r="C1363" t="inlineStr">
        <is>
          <t>LOANCARDNO</t>
        </is>
      </c>
      <c r="D1363" t="inlineStr">
        <is>
          <t>VARCHAR(32)</t>
        </is>
      </c>
      <c r="E1363" t="inlineStr">
        <is>
          <t>YES</t>
        </is>
      </c>
      <c r="F1363" t="inlineStr">
        <is>
          <t>权利人贷款卡号</t>
        </is>
      </c>
      <c r="H1363" t="inlineStr">
        <is>
          <t>VARCHAR</t>
        </is>
      </c>
      <c r="I1363" t="inlineStr">
        <is>
          <t>32</t>
        </is>
      </c>
    </row>
    <row r="1364">
      <c r="A1364" t="inlineStr">
        <is>
          <t>交通和机械设备</t>
        </is>
      </c>
      <c r="B1364" t="inlineStr">
        <is>
          <t>CLR_ASSET_OTHERS_EQUIPMENT</t>
        </is>
      </c>
      <c r="C1364" t="inlineStr">
        <is>
          <t>EQUIPSTATUS</t>
        </is>
      </c>
      <c r="D1364" t="inlineStr">
        <is>
          <t>VARCHAR(6)</t>
        </is>
      </c>
      <c r="E1364" t="inlineStr">
        <is>
          <t>YES</t>
        </is>
      </c>
      <c r="F1364" t="inlineStr">
        <is>
          <t>设备现状</t>
        </is>
      </c>
      <c r="H1364" t="inlineStr">
        <is>
          <t>VARCHAR</t>
        </is>
      </c>
      <c r="I1364" t="inlineStr">
        <is>
          <t>6</t>
        </is>
      </c>
    </row>
    <row r="1365">
      <c r="A1365" t="inlineStr">
        <is>
          <t>交通和机械设备</t>
        </is>
      </c>
      <c r="B1365" t="inlineStr">
        <is>
          <t>CLR_ASSET_OTHERS_EQUIPMENT</t>
        </is>
      </c>
      <c r="C1365" t="inlineStr">
        <is>
          <t>GUARANTYDESCRIPT</t>
        </is>
      </c>
      <c r="D1365" t="inlineStr">
        <is>
          <t>VARCHAR(800)</t>
        </is>
      </c>
      <c r="E1365" t="inlineStr">
        <is>
          <t>YES</t>
        </is>
      </c>
      <c r="F1365" t="inlineStr">
        <is>
          <t>抵押物说明</t>
        </is>
      </c>
      <c r="H1365" t="inlineStr">
        <is>
          <t>VARCHAR</t>
        </is>
      </c>
      <c r="I1365" t="inlineStr">
        <is>
          <t>800</t>
        </is>
      </c>
    </row>
    <row r="1366">
      <c r="A1366" t="inlineStr">
        <is>
          <t>交通和机械设备</t>
        </is>
      </c>
      <c r="B1366" t="inlineStr">
        <is>
          <t>CLR_ASSET_OTHERS_EQUIPMENT</t>
        </is>
      </c>
      <c r="C1366" t="inlineStr">
        <is>
          <t>GUARANTYRIGHTID</t>
        </is>
      </c>
      <c r="D1366" t="inlineStr">
        <is>
          <t>VARCHAR(800)</t>
        </is>
      </c>
      <c r="E1366" t="inlineStr">
        <is>
          <t>YES</t>
        </is>
      </c>
      <c r="F1366" t="inlineStr">
        <is>
          <t>权证号</t>
        </is>
      </c>
      <c r="H1366" t="inlineStr">
        <is>
          <t>VARCHAR</t>
        </is>
      </c>
      <c r="I1366" t="inlineStr">
        <is>
          <t>800</t>
        </is>
      </c>
    </row>
    <row r="1367">
      <c r="A1367" t="inlineStr">
        <is>
          <t>交通和机械设备</t>
        </is>
      </c>
      <c r="B1367" t="inlineStr">
        <is>
          <t>CLR_ASSET_OTHERS_EQUIPMENT</t>
        </is>
      </c>
      <c r="C1367" t="inlineStr">
        <is>
          <t>ISPARTMORTGAGED</t>
        </is>
      </c>
      <c r="D1367" t="inlineStr">
        <is>
          <t>VARCHAR(6)</t>
        </is>
      </c>
      <c r="E1367" t="inlineStr">
        <is>
          <t>YES</t>
        </is>
      </c>
      <c r="F1367" t="inlineStr">
        <is>
          <t>是否部分抵押</t>
        </is>
      </c>
      <c r="H1367" t="inlineStr">
        <is>
          <t>VARCHAR</t>
        </is>
      </c>
      <c r="I1367" t="inlineStr">
        <is>
          <t>6</t>
        </is>
      </c>
    </row>
    <row r="1368">
      <c r="A1368" t="inlineStr">
        <is>
          <t>交通和机械设备</t>
        </is>
      </c>
      <c r="B1368" t="inlineStr">
        <is>
          <t>CLR_ASSET_OTHERS_EQUIPMENT</t>
        </is>
      </c>
      <c r="C1368" t="inlineStr">
        <is>
          <t>REALIZATIONVALUE</t>
        </is>
      </c>
      <c r="D1368" t="inlineStr">
        <is>
          <t>DECIMAL(24,6)</t>
        </is>
      </c>
      <c r="E1368" t="inlineStr">
        <is>
          <t>YES</t>
        </is>
      </c>
      <c r="F1368" t="inlineStr">
        <is>
          <t>预计变现值</t>
        </is>
      </c>
      <c r="H1368" t="inlineStr">
        <is>
          <t>DECIMAL</t>
        </is>
      </c>
      <c r="I1368" t="inlineStr">
        <is>
          <t>24,6</t>
        </is>
      </c>
    </row>
    <row r="1369">
      <c r="A1369" t="inlineStr">
        <is>
          <t>交通和机械设备</t>
        </is>
      </c>
      <c r="B1369" t="inlineStr">
        <is>
          <t>CLR_ASSET_OTHERS_EQUIPMENT</t>
        </is>
      </c>
      <c r="C1369" t="inlineStr">
        <is>
          <t>REALIZATIONCOST</t>
        </is>
      </c>
      <c r="D1369" t="inlineStr">
        <is>
          <t>DECIMAL(24,6)</t>
        </is>
      </c>
      <c r="E1369" t="inlineStr">
        <is>
          <t>YES</t>
        </is>
      </c>
      <c r="F1369" t="inlineStr">
        <is>
          <t>预计变现成本</t>
        </is>
      </c>
      <c r="H1369" t="inlineStr">
        <is>
          <t>DECIMAL</t>
        </is>
      </c>
      <c r="I1369" t="inlineStr">
        <is>
          <t>24,6</t>
        </is>
      </c>
    </row>
    <row r="1370">
      <c r="A1370" t="inlineStr">
        <is>
          <t>交通和机械设备</t>
        </is>
      </c>
      <c r="B1370" t="inlineStr">
        <is>
          <t>CLR_ASSET_OTHERS_EQUIPMENT</t>
        </is>
      </c>
      <c r="C1370" t="inlineStr">
        <is>
          <t>OTHERSRIGHTID</t>
        </is>
      </c>
      <c r="D1370" t="inlineStr">
        <is>
          <t>VARCHAR(100)</t>
        </is>
      </c>
      <c r="E1370" t="inlineStr">
        <is>
          <t>YES</t>
        </is>
      </c>
      <c r="F1370" t="inlineStr">
        <is>
          <t>他项权证号</t>
        </is>
      </c>
      <c r="H1370" t="inlineStr">
        <is>
          <t>VARCHAR</t>
        </is>
      </c>
      <c r="I1370" t="inlineStr">
        <is>
          <t>100</t>
        </is>
      </c>
    </row>
    <row r="1371">
      <c r="A1371" t="inlineStr">
        <is>
          <t>交通和机械设备</t>
        </is>
      </c>
      <c r="B1371" t="inlineStr">
        <is>
          <t>CLR_ASSET_OTHERS_EQUIPMENT</t>
        </is>
      </c>
      <c r="C1371" t="inlineStr">
        <is>
          <t>HASVEHICLEBUYTAX</t>
        </is>
      </c>
      <c r="D1371" t="inlineStr">
        <is>
          <t>VARCHAR(6)</t>
        </is>
      </c>
      <c r="E1371" t="inlineStr">
        <is>
          <t>YES</t>
        </is>
      </c>
      <c r="F1371" t="inlineStr">
        <is>
          <t>是否有车辆购置附加税证</t>
        </is>
      </c>
      <c r="H1371" t="inlineStr">
        <is>
          <t>VARCHAR</t>
        </is>
      </c>
      <c r="I1371" t="inlineStr">
        <is>
          <t>6</t>
        </is>
      </c>
    </row>
    <row r="1372">
      <c r="A1372" t="inlineStr">
        <is>
          <t>交通和机械设备</t>
        </is>
      </c>
      <c r="B1372" t="inlineStr">
        <is>
          <t>CLR_ASSET_OTHERS_EQUIPMENT</t>
        </is>
      </c>
      <c r="C1372" t="inlineStr">
        <is>
          <t>HASVEHICLEUSETAX</t>
        </is>
      </c>
      <c r="D1372" t="inlineStr">
        <is>
          <t>VARCHAR(6)</t>
        </is>
      </c>
      <c r="E1372" t="inlineStr">
        <is>
          <t>YES</t>
        </is>
      </c>
      <c r="F1372" t="inlineStr">
        <is>
          <t>是否有当年车船使用税证</t>
        </is>
      </c>
      <c r="H1372" t="inlineStr">
        <is>
          <t>VARCHAR</t>
        </is>
      </c>
      <c r="I1372" t="inlineStr">
        <is>
          <t>6</t>
        </is>
      </c>
    </row>
    <row r="1373">
      <c r="A1373" t="inlineStr">
        <is>
          <t>交通和机械设备</t>
        </is>
      </c>
      <c r="B1373" t="inlineStr">
        <is>
          <t>CLR_ASSET_OTHERS_EQUIPMENT</t>
        </is>
      </c>
      <c r="C1373" t="inlineStr">
        <is>
          <t>OTHERSRIGHTDATE</t>
        </is>
      </c>
      <c r="D1373" t="inlineStr">
        <is>
          <t>DATETIME</t>
        </is>
      </c>
      <c r="E1373" t="inlineStr">
        <is>
          <t>YES</t>
        </is>
      </c>
      <c r="F1373" t="inlineStr">
        <is>
          <t>取得他项权证时间</t>
        </is>
      </c>
      <c r="H1373" t="inlineStr">
        <is>
          <t>DATETIME</t>
        </is>
      </c>
    </row>
    <row r="1374">
      <c r="A1374" t="inlineStr">
        <is>
          <t>交通和机械设备</t>
        </is>
      </c>
      <c r="B1374" t="inlineStr">
        <is>
          <t>CLR_ASSET_OTHERS_EQUIPMENT</t>
        </is>
      </c>
      <c r="C1374" t="inlineStr">
        <is>
          <t>REGISTERINFO</t>
        </is>
      </c>
      <c r="D1374" t="inlineStr">
        <is>
          <t>VARCHAR(500)</t>
        </is>
      </c>
      <c r="E1374" t="inlineStr">
        <is>
          <t>YES</t>
        </is>
      </c>
      <c r="F1374" t="inlineStr">
        <is>
          <t>抵押物登记情况</t>
        </is>
      </c>
      <c r="H1374" t="inlineStr">
        <is>
          <t>VARCHAR</t>
        </is>
      </c>
      <c r="I1374" t="inlineStr">
        <is>
          <t>500</t>
        </is>
      </c>
    </row>
    <row r="1375">
      <c r="A1375" t="inlineStr">
        <is>
          <t>交通和机械设备</t>
        </is>
      </c>
      <c r="B1375" t="inlineStr">
        <is>
          <t>CLR_ASSET_OTHERS_EQUIPMENT</t>
        </is>
      </c>
      <c r="C1375" t="inlineStr">
        <is>
          <t>ISMORTGAGEDSELF</t>
        </is>
      </c>
      <c r="D1375" t="inlineStr">
        <is>
          <t>VARCHAR(6)</t>
        </is>
      </c>
      <c r="E1375" t="inlineStr">
        <is>
          <t>YES</t>
        </is>
      </c>
      <c r="F1375" t="inlineStr">
        <is>
          <t>此抵押物是否当前申请所购/所抵资产</t>
        </is>
      </c>
      <c r="H1375" t="inlineStr">
        <is>
          <t>VARCHAR</t>
        </is>
      </c>
      <c r="I1375" t="inlineStr">
        <is>
          <t>6</t>
        </is>
      </c>
    </row>
    <row r="1376">
      <c r="A1376" t="inlineStr">
        <is>
          <t>交通和机械设备</t>
        </is>
      </c>
      <c r="B1376" t="inlineStr">
        <is>
          <t>CLR_ASSET_OTHERS_EQUIPMENT</t>
        </is>
      </c>
      <c r="C1376" t="inlineStr">
        <is>
          <t>CHASSISNUMBER</t>
        </is>
      </c>
      <c r="D1376" t="inlineStr">
        <is>
          <t>VARCHAR(50)</t>
        </is>
      </c>
      <c r="E1376" t="inlineStr">
        <is>
          <t>YES</t>
        </is>
      </c>
      <c r="F1376" t="inlineStr">
        <is>
          <t>底盘编号</t>
        </is>
      </c>
      <c r="H1376" t="inlineStr">
        <is>
          <t>VARCHAR</t>
        </is>
      </c>
      <c r="I1376" t="inlineStr">
        <is>
          <t>50</t>
        </is>
      </c>
    </row>
    <row r="1377">
      <c r="A1377" t="inlineStr">
        <is>
          <t>交通和机械设备</t>
        </is>
      </c>
      <c r="B1377" t="inlineStr">
        <is>
          <t>CLR_ASSET_OTHERS_EQUIPMENT</t>
        </is>
      </c>
      <c r="C1377" t="inlineStr">
        <is>
          <t>CERTIFICATENUMBER</t>
        </is>
      </c>
      <c r="D1377" t="inlineStr">
        <is>
          <t>VARCHAR(50)</t>
        </is>
      </c>
      <c r="E1377" t="inlineStr">
        <is>
          <t>YES</t>
        </is>
      </c>
      <c r="F1377" t="inlineStr">
        <is>
          <t>合格证编号</t>
        </is>
      </c>
      <c r="H1377" t="inlineStr">
        <is>
          <t>VARCHAR</t>
        </is>
      </c>
      <c r="I1377" t="inlineStr">
        <is>
          <t>50</t>
        </is>
      </c>
    </row>
    <row r="1378">
      <c r="A1378" t="inlineStr">
        <is>
          <t>交通和机械设备</t>
        </is>
      </c>
      <c r="B1378" t="inlineStr">
        <is>
          <t>CLR_ASSET_OTHERS_EQUIPMENT</t>
        </is>
      </c>
      <c r="C1378" t="inlineStr">
        <is>
          <t>VEHICLECERT</t>
        </is>
      </c>
      <c r="D1378" t="inlineStr">
        <is>
          <t>VARCHAR(50)</t>
        </is>
      </c>
      <c r="E1378" t="inlineStr">
        <is>
          <t>YES</t>
        </is>
      </c>
      <c r="F1378" t="inlineStr">
        <is>
          <t>机动车登记证编号</t>
        </is>
      </c>
      <c r="H1378" t="inlineStr">
        <is>
          <t>VARCHAR</t>
        </is>
      </c>
      <c r="I1378" t="inlineStr">
        <is>
          <t>50</t>
        </is>
      </c>
    </row>
    <row r="1379">
      <c r="A1379" t="inlineStr">
        <is>
          <t>交通和机械设备</t>
        </is>
      </c>
      <c r="B1379" t="inlineStr">
        <is>
          <t>CLR_ASSET_OTHERS_EQUIPMENT</t>
        </is>
      </c>
      <c r="C1379" t="inlineStr">
        <is>
          <t>VEHICLEAGE</t>
        </is>
      </c>
      <c r="D1379" t="inlineStr">
        <is>
          <t>INTEGER(4)</t>
        </is>
      </c>
      <c r="E1379" t="inlineStr">
        <is>
          <t>YES</t>
        </is>
      </c>
      <c r="F1379" t="inlineStr">
        <is>
          <t>车龄</t>
        </is>
      </c>
      <c r="H1379" t="inlineStr">
        <is>
          <t>INTEGER</t>
        </is>
      </c>
      <c r="I1379" t="inlineStr">
        <is>
          <t>4</t>
        </is>
      </c>
    </row>
    <row r="1380">
      <c r="A1380" t="inlineStr">
        <is>
          <t>交通和机械设备</t>
        </is>
      </c>
      <c r="B1380" t="inlineStr">
        <is>
          <t>CLR_ASSET_OTHERS_EQUIPMENT</t>
        </is>
      </c>
      <c r="C1380" t="inlineStr">
        <is>
          <t>VEHICLENATURE</t>
        </is>
      </c>
      <c r="D1380" t="inlineStr">
        <is>
          <t>VARCHAR(10)</t>
        </is>
      </c>
      <c r="E1380" t="inlineStr">
        <is>
          <t>YES</t>
        </is>
      </c>
      <c r="F1380" t="inlineStr">
        <is>
          <t>车辆性质</t>
        </is>
      </c>
      <c r="H1380" t="inlineStr">
        <is>
          <t>VARCHAR</t>
        </is>
      </c>
      <c r="I1380" t="inlineStr">
        <is>
          <t>10</t>
        </is>
      </c>
    </row>
    <row r="1381">
      <c r="A1381" t="inlineStr">
        <is>
          <t>交通和机械设备</t>
        </is>
      </c>
      <c r="B1381" t="inlineStr">
        <is>
          <t>CLR_ASSET_OTHERS_EQUIPMENT</t>
        </is>
      </c>
      <c r="C1381" t="inlineStr">
        <is>
          <t>USAGE</t>
        </is>
      </c>
      <c r="D1381" t="inlineStr">
        <is>
          <t>VARCHAR(10)</t>
        </is>
      </c>
      <c r="E1381" t="inlineStr">
        <is>
          <t>YES</t>
        </is>
      </c>
      <c r="F1381" t="inlineStr">
        <is>
          <t>购买用途</t>
        </is>
      </c>
      <c r="H1381" t="inlineStr">
        <is>
          <t>VARCHAR</t>
        </is>
      </c>
      <c r="I1381" t="inlineStr">
        <is>
          <t>10</t>
        </is>
      </c>
    </row>
    <row r="1382">
      <c r="A1382" t="inlineStr">
        <is>
          <t>交通和机械设备</t>
        </is>
      </c>
      <c r="B1382" t="inlineStr">
        <is>
          <t>CLR_ASSET_OTHERS_EQUIPMENT</t>
        </is>
      </c>
      <c r="C1382" t="inlineStr">
        <is>
          <t>OPERATIONLICENSE</t>
        </is>
      </c>
      <c r="D1382" t="inlineStr">
        <is>
          <t>VARCHAR(200)</t>
        </is>
      </c>
      <c r="E1382" t="inlineStr">
        <is>
          <t>YES</t>
        </is>
      </c>
      <c r="F1382" t="inlineStr">
        <is>
          <t>营运许可证号</t>
        </is>
      </c>
      <c r="H1382" t="inlineStr">
        <is>
          <t>VARCHAR</t>
        </is>
      </c>
      <c r="I1382" t="inlineStr">
        <is>
          <t>200</t>
        </is>
      </c>
    </row>
    <row r="1383">
      <c r="A1383" t="inlineStr">
        <is>
          <t>交通和机械设备</t>
        </is>
      </c>
      <c r="B1383" t="inlineStr">
        <is>
          <t>CLR_ASSET_OTHERS_EQUIPMENT</t>
        </is>
      </c>
      <c r="C1383" t="inlineStr">
        <is>
          <t>SALESNUMBER</t>
        </is>
      </c>
      <c r="D1383" t="inlineStr">
        <is>
          <t>VARCHAR(50)</t>
        </is>
      </c>
      <c r="E1383" t="inlineStr">
        <is>
          <t>YES</t>
        </is>
      </c>
      <c r="F1383" t="inlineStr">
        <is>
          <t>销售协议编号</t>
        </is>
      </c>
      <c r="H1383" t="inlineStr">
        <is>
          <t>VARCHAR</t>
        </is>
      </c>
      <c r="I1383" t="inlineStr">
        <is>
          <t>50</t>
        </is>
      </c>
    </row>
    <row r="1384">
      <c r="A1384" t="inlineStr">
        <is>
          <t>交通和机械设备</t>
        </is>
      </c>
      <c r="B1384" t="inlineStr">
        <is>
          <t>CLR_ASSET_OTHERS_EQUIPMENT</t>
        </is>
      </c>
      <c r="C1384" t="inlineStr">
        <is>
          <t>DOWNPAYMENT</t>
        </is>
      </c>
      <c r="D1384" t="inlineStr">
        <is>
          <t>DECIMAL(24,6)</t>
        </is>
      </c>
      <c r="E1384" t="inlineStr">
        <is>
          <t>YES</t>
        </is>
      </c>
      <c r="F1384" t="inlineStr">
        <is>
          <t>首付款</t>
        </is>
      </c>
      <c r="H1384" t="inlineStr">
        <is>
          <t>DECIMAL</t>
        </is>
      </c>
      <c r="I1384" t="inlineStr">
        <is>
          <t>24,6</t>
        </is>
      </c>
    </row>
    <row r="1385">
      <c r="A1385" t="inlineStr">
        <is>
          <t>交通和机械设备</t>
        </is>
      </c>
      <c r="B1385" t="inlineStr">
        <is>
          <t>CLR_ASSET_OTHERS_EQUIPMENT</t>
        </is>
      </c>
      <c r="C1385" t="inlineStr">
        <is>
          <t>VEHICLEDATE</t>
        </is>
      </c>
      <c r="D1385" t="inlineStr">
        <is>
          <t>DATETIME</t>
        </is>
      </c>
      <c r="E1385" t="inlineStr">
        <is>
          <t>YES</t>
        </is>
      </c>
      <c r="F1385" t="inlineStr">
        <is>
          <t>提车日期</t>
        </is>
      </c>
      <c r="H1385" t="inlineStr">
        <is>
          <t>DATETIME</t>
        </is>
      </c>
    </row>
    <row r="1386">
      <c r="A1386" t="inlineStr">
        <is>
          <t>交通和机械设备</t>
        </is>
      </c>
      <c r="B1386" t="inlineStr">
        <is>
          <t>CLR_ASSET_OTHERS_EQUIPMENT</t>
        </is>
      </c>
      <c r="C1386" t="inlineStr">
        <is>
          <t>PAYOUTTYPE</t>
        </is>
      </c>
      <c r="D1386" t="inlineStr">
        <is>
          <t>VARCHAR(6)</t>
        </is>
      </c>
      <c r="E1386" t="inlineStr">
        <is>
          <t>YES</t>
        </is>
      </c>
      <c r="F1386" t="inlineStr">
        <is>
          <t>支出类型</t>
        </is>
      </c>
      <c r="H1386" t="inlineStr">
        <is>
          <t>VARCHAR</t>
        </is>
      </c>
      <c r="I1386" t="inlineStr">
        <is>
          <t>6</t>
        </is>
      </c>
    </row>
    <row r="1387">
      <c r="A1387" t="inlineStr">
        <is>
          <t>交通和机械设备</t>
        </is>
      </c>
      <c r="B1387" t="inlineStr">
        <is>
          <t>CLR_ASSET_OTHERS_EQUIPMENT</t>
        </is>
      </c>
      <c r="C1387" t="inlineStr">
        <is>
          <t>ISANNUALTEST</t>
        </is>
      </c>
      <c r="D1387" t="inlineStr">
        <is>
          <t>VARCHAR(6)</t>
        </is>
      </c>
      <c r="E1387" t="inlineStr">
        <is>
          <t>YES</t>
        </is>
      </c>
      <c r="F1387" t="inlineStr">
        <is>
          <t>年检是否正常</t>
        </is>
      </c>
      <c r="H1387" t="inlineStr">
        <is>
          <t>VARCHAR</t>
        </is>
      </c>
      <c r="I1387" t="inlineStr">
        <is>
          <t>6</t>
        </is>
      </c>
    </row>
    <row r="1388">
      <c r="A1388" t="inlineStr">
        <is>
          <t>交通和机械设备</t>
        </is>
      </c>
      <c r="B1388" t="inlineStr">
        <is>
          <t>CLR_ASSET_OTHERS_EQUIPMENT</t>
        </is>
      </c>
      <c r="C1388" t="inlineStr">
        <is>
          <t>VEHICLETYPE</t>
        </is>
      </c>
      <c r="D1388" t="inlineStr">
        <is>
          <t>VARCHAR(200)</t>
        </is>
      </c>
      <c r="E1388" t="inlineStr">
        <is>
          <t>YES</t>
        </is>
      </c>
      <c r="F1388" t="inlineStr">
        <is>
          <t>运输工具类型</t>
        </is>
      </c>
      <c r="H1388" t="inlineStr">
        <is>
          <t>VARCHAR</t>
        </is>
      </c>
      <c r="I1388" t="inlineStr">
        <is>
          <t>200</t>
        </is>
      </c>
    </row>
    <row r="1389">
      <c r="A1389" t="inlineStr">
        <is>
          <t>交通和机械设备</t>
        </is>
      </c>
      <c r="B1389" t="inlineStr">
        <is>
          <t>CLR_ASSET_OTHERS_EQUIPMENT</t>
        </is>
      </c>
      <c r="C1389" t="inlineStr">
        <is>
          <t>SHIPNATIONALITY</t>
        </is>
      </c>
      <c r="D1389" t="inlineStr">
        <is>
          <t>VARCHAR(32)</t>
        </is>
      </c>
      <c r="E1389" t="inlineStr">
        <is>
          <t>YES</t>
        </is>
      </c>
      <c r="F1389" t="inlineStr">
        <is>
          <t>船籍</t>
        </is>
      </c>
      <c r="H1389" t="inlineStr">
        <is>
          <t>VARCHAR</t>
        </is>
      </c>
      <c r="I1389" t="inlineStr">
        <is>
          <t>32</t>
        </is>
      </c>
    </row>
    <row r="1390">
      <c r="A1390" t="inlineStr">
        <is>
          <t>交通和机械设备</t>
        </is>
      </c>
      <c r="B1390" t="inlineStr">
        <is>
          <t>CLR_ASSET_OTHERS_EQUIPMENT</t>
        </is>
      </c>
      <c r="C1390" t="inlineStr">
        <is>
          <t>ISSHIPPINGCERT</t>
        </is>
      </c>
      <c r="D1390" t="inlineStr">
        <is>
          <t>VARCHAR(6)</t>
        </is>
      </c>
      <c r="E1390" t="inlineStr">
        <is>
          <t>YES</t>
        </is>
      </c>
      <c r="F1390" t="inlineStr">
        <is>
          <t>是否有航运证</t>
        </is>
      </c>
      <c r="H1390" t="inlineStr">
        <is>
          <t>VARCHAR</t>
        </is>
      </c>
      <c r="I1390" t="inlineStr">
        <is>
          <t>6</t>
        </is>
      </c>
    </row>
    <row r="1391">
      <c r="A1391" t="inlineStr">
        <is>
          <t>交通和机械设备</t>
        </is>
      </c>
      <c r="B1391" t="inlineStr">
        <is>
          <t>CLR_ASSET_OTHERS_EQUIPMENT</t>
        </is>
      </c>
      <c r="C1391" t="inlineStr">
        <is>
          <t>MILEAGE</t>
        </is>
      </c>
      <c r="D1391" t="inlineStr">
        <is>
          <t>DECIMAL(24,6)</t>
        </is>
      </c>
      <c r="E1391" t="inlineStr">
        <is>
          <t>YES</t>
        </is>
      </c>
      <c r="F1391" t="inlineStr">
        <is>
          <t>已行驶里程数</t>
        </is>
      </c>
      <c r="H1391" t="inlineStr">
        <is>
          <t>DECIMAL</t>
        </is>
      </c>
      <c r="I1391" t="inlineStr">
        <is>
          <t>24,6</t>
        </is>
      </c>
    </row>
    <row r="1392">
      <c r="A1392" t="inlineStr">
        <is>
          <t>交通和机械设备</t>
        </is>
      </c>
      <c r="B1392" t="inlineStr">
        <is>
          <t>CLR_ASSET_OTHERS_EQUIPMENT</t>
        </is>
      </c>
      <c r="C1392" t="inlineStr">
        <is>
          <t>RIGHTHOLDER</t>
        </is>
      </c>
      <c r="D1392" t="inlineStr">
        <is>
          <t>VARCHAR(80)</t>
        </is>
      </c>
      <c r="E1392" t="inlineStr">
        <is>
          <t>YES</t>
        </is>
      </c>
      <c r="F1392" t="inlineStr">
        <is>
          <t>权利人</t>
        </is>
      </c>
      <c r="H1392" t="inlineStr">
        <is>
          <t>VARCHAR</t>
        </is>
      </c>
      <c r="I1392" t="inlineStr">
        <is>
          <t>80</t>
        </is>
      </c>
    </row>
    <row r="1393">
      <c r="A1393" t="inlineStr">
        <is>
          <t>交通和机械设备</t>
        </is>
      </c>
    </row>
    <row r="1394">
      <c r="A1394" t="inlineStr">
        <is>
          <t>交通和机械设备</t>
        </is>
      </c>
    </row>
    <row r="1395">
      <c r="A1395" t="inlineStr">
        <is>
          <t>交通和机械设备</t>
        </is>
      </c>
    </row>
    <row r="1396">
      <c r="A1396" t="inlineStr">
        <is>
          <t>交通和机械设备</t>
        </is>
      </c>
    </row>
    <row r="1397">
      <c r="A1397" t="inlineStr">
        <is>
          <t>交通和机械设备</t>
        </is>
      </c>
    </row>
    <row r="1398">
      <c r="A1398" t="inlineStr">
        <is>
          <t>实物存货/货权/出口退税账户</t>
        </is>
      </c>
      <c r="B1398" t="inlineStr">
        <is>
          <t>CLR_ASSET_OTHERS_INVENTORY</t>
        </is>
      </c>
      <c r="C1398" t="inlineStr">
        <is>
          <t>CLRID</t>
        </is>
      </c>
      <c r="D1398" t="inlineStr">
        <is>
          <t>VARCHAR(32)</t>
        </is>
      </c>
      <c r="E1398" t="inlineStr">
        <is>
          <t>NO</t>
        </is>
      </c>
      <c r="F1398" t="inlineStr">
        <is>
          <t>押品编号</t>
        </is>
      </c>
      <c r="H1398" t="inlineStr">
        <is>
          <t>VARCHAR</t>
        </is>
      </c>
      <c r="I1398" t="inlineStr">
        <is>
          <t>32</t>
        </is>
      </c>
    </row>
    <row r="1399">
      <c r="A1399" t="inlineStr">
        <is>
          <t>实物存货/货权/出口退税账户</t>
        </is>
      </c>
      <c r="B1399" t="inlineStr">
        <is>
          <t>CLR_ASSET_OTHERS_INVENTORY</t>
        </is>
      </c>
      <c r="C1399" t="inlineStr">
        <is>
          <t>INVENTORYID</t>
        </is>
      </c>
      <c r="D1399" t="inlineStr">
        <is>
          <t>VARCHAR(32)</t>
        </is>
      </c>
      <c r="E1399" t="inlineStr">
        <is>
          <t>YES</t>
        </is>
      </c>
      <c r="F1399" t="inlineStr">
        <is>
          <t>存货编号/存货号</t>
        </is>
      </c>
      <c r="H1399" t="inlineStr">
        <is>
          <t>VARCHAR</t>
        </is>
      </c>
      <c r="I1399" t="inlineStr">
        <is>
          <t>32</t>
        </is>
      </c>
    </row>
    <row r="1400">
      <c r="A1400" t="inlineStr">
        <is>
          <t>实物存货/货权/出口退税账户</t>
        </is>
      </c>
      <c r="B1400" t="inlineStr">
        <is>
          <t>CLR_ASSET_OTHERS_INVENTORY</t>
        </is>
      </c>
      <c r="C1400" t="inlineStr">
        <is>
          <t>WAREHOUSERECENO</t>
        </is>
      </c>
      <c r="D1400" t="inlineStr">
        <is>
          <t>VARCHAR(32)</t>
        </is>
      </c>
      <c r="E1400" t="inlineStr">
        <is>
          <t>YES</t>
        </is>
      </c>
      <c r="F1400" t="inlineStr">
        <is>
          <t>仓单号/提单号</t>
        </is>
      </c>
      <c r="H1400" t="inlineStr">
        <is>
          <t>VARCHAR</t>
        </is>
      </c>
      <c r="I1400" t="inlineStr">
        <is>
          <t>32</t>
        </is>
      </c>
    </row>
    <row r="1401">
      <c r="A1401" t="inlineStr">
        <is>
          <t>实物存货/货权/出口退税账户</t>
        </is>
      </c>
      <c r="B1401" t="inlineStr">
        <is>
          <t>CLR_ASSET_OTHERS_INVENTORY</t>
        </is>
      </c>
      <c r="C1401" t="inlineStr">
        <is>
          <t>REGNUMBER</t>
        </is>
      </c>
      <c r="D1401" t="inlineStr">
        <is>
          <t>VARCHAR(32)</t>
        </is>
      </c>
      <c r="E1401" t="inlineStr">
        <is>
          <t>YES</t>
        </is>
      </c>
      <c r="F1401" t="inlineStr">
        <is>
          <t>出口退税登记号码</t>
        </is>
      </c>
      <c r="H1401" t="inlineStr">
        <is>
          <t>VARCHAR</t>
        </is>
      </c>
      <c r="I1401" t="inlineStr">
        <is>
          <t>32</t>
        </is>
      </c>
    </row>
    <row r="1402">
      <c r="A1402" t="inlineStr">
        <is>
          <t>实物存货/货权/出口退税账户</t>
        </is>
      </c>
      <c r="B1402" t="inlineStr">
        <is>
          <t>CLR_ASSET_OTHERS_INVENTORY</t>
        </is>
      </c>
      <c r="C1402" t="inlineStr">
        <is>
          <t>ACCOUNTNAME</t>
        </is>
      </c>
      <c r="D1402" t="inlineStr">
        <is>
          <t>VARCHAR(80)</t>
        </is>
      </c>
      <c r="E1402" t="inlineStr">
        <is>
          <t>YES</t>
        </is>
      </c>
      <c r="F1402" t="inlineStr">
        <is>
          <t>出口退税账户户名</t>
        </is>
      </c>
      <c r="H1402" t="inlineStr">
        <is>
          <t>VARCHAR</t>
        </is>
      </c>
      <c r="I1402" t="inlineStr">
        <is>
          <t>80</t>
        </is>
      </c>
    </row>
    <row r="1403">
      <c r="A1403" t="inlineStr">
        <is>
          <t>实物存货/货权/出口退税账户</t>
        </is>
      </c>
      <c r="B1403" t="inlineStr">
        <is>
          <t>CLR_ASSET_OTHERS_INVENTORY</t>
        </is>
      </c>
      <c r="C1403" t="inlineStr">
        <is>
          <t>ACCOUNTBANKNO</t>
        </is>
      </c>
      <c r="D1403" t="inlineStr">
        <is>
          <t>VARCHAR(80)</t>
        </is>
      </c>
      <c r="E1403" t="inlineStr">
        <is>
          <t>YES</t>
        </is>
      </c>
      <c r="F1403" t="inlineStr">
        <is>
          <t>出口退税账户开户行</t>
        </is>
      </c>
      <c r="H1403" t="inlineStr">
        <is>
          <t>VARCHAR</t>
        </is>
      </c>
      <c r="I1403" t="inlineStr">
        <is>
          <t>80</t>
        </is>
      </c>
    </row>
    <row r="1404">
      <c r="A1404" t="inlineStr">
        <is>
          <t>实物存货/货权/出口退税账户</t>
        </is>
      </c>
      <c r="B1404" t="inlineStr">
        <is>
          <t>CLR_ASSET_OTHERS_INVENTORY</t>
        </is>
      </c>
      <c r="C1404" t="inlineStr">
        <is>
          <t>TRANSPORTCONTRACTNO</t>
        </is>
      </c>
      <c r="D1404" t="inlineStr">
        <is>
          <t>VARCHAR(32)</t>
        </is>
      </c>
      <c r="E1404" t="inlineStr">
        <is>
          <t>YES</t>
        </is>
      </c>
      <c r="F1404" t="inlineStr">
        <is>
          <t>运输合同号码</t>
        </is>
      </c>
      <c r="H1404" t="inlineStr">
        <is>
          <t>VARCHAR</t>
        </is>
      </c>
      <c r="I1404" t="inlineStr">
        <is>
          <t>32</t>
        </is>
      </c>
    </row>
    <row r="1405">
      <c r="A1405" t="inlineStr">
        <is>
          <t>实物存货/货权/出口退税账户</t>
        </is>
      </c>
      <c r="B1405" t="inlineStr">
        <is>
          <t>CLR_ASSET_OTHERS_INVENTORY</t>
        </is>
      </c>
      <c r="C1405" t="inlineStr">
        <is>
          <t>TRANSPORTCONTRACTNAME</t>
        </is>
      </c>
      <c r="D1405" t="inlineStr">
        <is>
          <t>VARCHAR(80)</t>
        </is>
      </c>
      <c r="E1405" t="inlineStr">
        <is>
          <t>YES</t>
        </is>
      </c>
      <c r="F1405" t="inlineStr">
        <is>
          <t>运输合同名称</t>
        </is>
      </c>
      <c r="H1405" t="inlineStr">
        <is>
          <t>VARCHAR</t>
        </is>
      </c>
      <c r="I1405" t="inlineStr">
        <is>
          <t>80</t>
        </is>
      </c>
    </row>
    <row r="1406">
      <c r="A1406" t="inlineStr">
        <is>
          <t>实物存货/货权/出口退税账户</t>
        </is>
      </c>
      <c r="B1406" t="inlineStr">
        <is>
          <t>CLR_ASSET_OTHERS_INVENTORY</t>
        </is>
      </c>
      <c r="C1406" t="inlineStr">
        <is>
          <t>CARRIER</t>
        </is>
      </c>
      <c r="D1406" t="inlineStr">
        <is>
          <t>VARCHAR(80)</t>
        </is>
      </c>
      <c r="E1406" t="inlineStr">
        <is>
          <t>YES</t>
        </is>
      </c>
      <c r="F1406" t="inlineStr">
        <is>
          <t>承运人</t>
        </is>
      </c>
      <c r="H1406" t="inlineStr">
        <is>
          <t>VARCHAR</t>
        </is>
      </c>
      <c r="I1406" t="inlineStr">
        <is>
          <t>80</t>
        </is>
      </c>
    </row>
    <row r="1407">
      <c r="A1407" t="inlineStr">
        <is>
          <t>实物存货/货权/出口退税账户</t>
        </is>
      </c>
      <c r="B1407" t="inlineStr">
        <is>
          <t>CLR_ASSET_OTHERS_INVENTORY</t>
        </is>
      </c>
      <c r="C1407" t="inlineStr">
        <is>
          <t>CONSIGNOR</t>
        </is>
      </c>
      <c r="D1407" t="inlineStr">
        <is>
          <t>VARCHAR(80)</t>
        </is>
      </c>
      <c r="E1407" t="inlineStr">
        <is>
          <t>YES</t>
        </is>
      </c>
      <c r="F1407" t="inlineStr">
        <is>
          <t>托运人</t>
        </is>
      </c>
      <c r="H1407" t="inlineStr">
        <is>
          <t>VARCHAR</t>
        </is>
      </c>
      <c r="I1407" t="inlineStr">
        <is>
          <t>80</t>
        </is>
      </c>
    </row>
    <row r="1408">
      <c r="A1408" t="inlineStr">
        <is>
          <t>实物存货/货权/出口退税账户</t>
        </is>
      </c>
      <c r="B1408" t="inlineStr">
        <is>
          <t>CLR_ASSET_OTHERS_INVENTORY</t>
        </is>
      </c>
      <c r="C1408" t="inlineStr">
        <is>
          <t>CONSIGNEE</t>
        </is>
      </c>
      <c r="D1408" t="inlineStr">
        <is>
          <t>VARCHAR(80)</t>
        </is>
      </c>
      <c r="E1408" t="inlineStr">
        <is>
          <t>YES</t>
        </is>
      </c>
      <c r="F1408" t="inlineStr">
        <is>
          <t>收货人</t>
        </is>
      </c>
      <c r="H1408" t="inlineStr">
        <is>
          <t>VARCHAR</t>
        </is>
      </c>
      <c r="I1408" t="inlineStr">
        <is>
          <t>80</t>
        </is>
      </c>
    </row>
    <row r="1409">
      <c r="A1409" t="inlineStr">
        <is>
          <t>实物存货/货权/出口退税账户</t>
        </is>
      </c>
      <c r="B1409" t="inlineStr">
        <is>
          <t>CLR_ASSET_OTHERS_INVENTORY</t>
        </is>
      </c>
      <c r="C1409" t="inlineStr">
        <is>
          <t>RECIVEPLACE</t>
        </is>
      </c>
      <c r="D1409" t="inlineStr">
        <is>
          <t>VARCHAR(500)</t>
        </is>
      </c>
      <c r="E1409" t="inlineStr">
        <is>
          <t>YES</t>
        </is>
      </c>
      <c r="F1409" t="inlineStr">
        <is>
          <t>接货地</t>
        </is>
      </c>
      <c r="H1409" t="inlineStr">
        <is>
          <t>VARCHAR</t>
        </is>
      </c>
      <c r="I1409" t="inlineStr">
        <is>
          <t>500</t>
        </is>
      </c>
    </row>
    <row r="1410">
      <c r="A1410" t="inlineStr">
        <is>
          <t>实物存货/货权/出口退税账户</t>
        </is>
      </c>
      <c r="B1410" t="inlineStr">
        <is>
          <t>CLR_ASSET_OTHERS_INVENTORY</t>
        </is>
      </c>
      <c r="C1410" t="inlineStr">
        <is>
          <t>GETPLACE</t>
        </is>
      </c>
      <c r="D1410" t="inlineStr">
        <is>
          <t>VARCHAR(500)</t>
        </is>
      </c>
      <c r="E1410" t="inlineStr">
        <is>
          <t>YES</t>
        </is>
      </c>
      <c r="F1410" t="inlineStr">
        <is>
          <t>卸货地</t>
        </is>
      </c>
      <c r="H1410" t="inlineStr">
        <is>
          <t>VARCHAR</t>
        </is>
      </c>
      <c r="I1410" t="inlineStr">
        <is>
          <t>500</t>
        </is>
      </c>
    </row>
    <row r="1411">
      <c r="A1411" t="inlineStr">
        <is>
          <t>实物存货/货权/出口退税账户</t>
        </is>
      </c>
      <c r="B1411" t="inlineStr">
        <is>
          <t>CLR_ASSET_OTHERS_INVENTORY</t>
        </is>
      </c>
      <c r="C1411" t="inlineStr">
        <is>
          <t>LOADOFPLACE</t>
        </is>
      </c>
      <c r="D1411" t="inlineStr">
        <is>
          <t>VARCHAR(500)</t>
        </is>
      </c>
      <c r="E1411" t="inlineStr">
        <is>
          <t>YES</t>
        </is>
      </c>
      <c r="F1411" t="inlineStr">
        <is>
          <t>装货地</t>
        </is>
      </c>
      <c r="H1411" t="inlineStr">
        <is>
          <t>VARCHAR</t>
        </is>
      </c>
      <c r="I1411" t="inlineStr">
        <is>
          <t>500</t>
        </is>
      </c>
    </row>
    <row r="1412">
      <c r="A1412" t="inlineStr">
        <is>
          <t>实物存货/货权/出口退税账户</t>
        </is>
      </c>
      <c r="B1412" t="inlineStr">
        <is>
          <t>CLR_ASSET_OTHERS_INVENTORY</t>
        </is>
      </c>
      <c r="C1412" t="inlineStr">
        <is>
          <t>NOTIFY</t>
        </is>
      </c>
      <c r="D1412" t="inlineStr">
        <is>
          <t>VARCHAR(500)</t>
        </is>
      </c>
      <c r="E1412" t="inlineStr">
        <is>
          <t>YES</t>
        </is>
      </c>
      <c r="F1412" t="inlineStr">
        <is>
          <t>通知方</t>
        </is>
      </c>
      <c r="H1412" t="inlineStr">
        <is>
          <t>VARCHAR</t>
        </is>
      </c>
      <c r="I1412" t="inlineStr">
        <is>
          <t>500</t>
        </is>
      </c>
    </row>
    <row r="1413">
      <c r="A1413" t="inlineStr">
        <is>
          <t>实物存货/货权/出口退税账户</t>
        </is>
      </c>
      <c r="B1413" t="inlineStr">
        <is>
          <t>CLR_ASSET_OTHERS_INVENTORY</t>
        </is>
      </c>
      <c r="C1413" t="inlineStr">
        <is>
          <t>ROUGHWEIGHT</t>
        </is>
      </c>
      <c r="D1413" t="inlineStr">
        <is>
          <t>DECIMAL(18,2)</t>
        </is>
      </c>
      <c r="E1413" t="inlineStr">
        <is>
          <t>YES</t>
        </is>
      </c>
      <c r="F1413" t="inlineStr">
        <is>
          <t>毛重</t>
        </is>
      </c>
      <c r="H1413" t="inlineStr">
        <is>
          <t>DECIMAL</t>
        </is>
      </c>
      <c r="I1413" t="inlineStr">
        <is>
          <t>18,2</t>
        </is>
      </c>
    </row>
    <row r="1414">
      <c r="A1414" t="inlineStr">
        <is>
          <t>实物存货/货权/出口退税账户</t>
        </is>
      </c>
      <c r="B1414" t="inlineStr">
        <is>
          <t>CLR_ASSET_OTHERS_INVENTORY</t>
        </is>
      </c>
      <c r="C1414" t="inlineStr">
        <is>
          <t>INVENTORYSIZE</t>
        </is>
      </c>
      <c r="D1414" t="inlineStr">
        <is>
          <t>DECIMAL(18,2)</t>
        </is>
      </c>
      <c r="E1414" t="inlineStr">
        <is>
          <t>YES</t>
        </is>
      </c>
      <c r="F1414" t="inlineStr">
        <is>
          <t>尺码</t>
        </is>
      </c>
      <c r="H1414" t="inlineStr">
        <is>
          <t>DECIMAL</t>
        </is>
      </c>
      <c r="I1414" t="inlineStr">
        <is>
          <t>18,2</t>
        </is>
      </c>
    </row>
    <row r="1415">
      <c r="A1415" t="inlineStr">
        <is>
          <t>实物存货/货权/出口退税账户</t>
        </is>
      </c>
      <c r="B1415" t="inlineStr">
        <is>
          <t>CLR_ASSET_OTHERS_INVENTORY</t>
        </is>
      </c>
      <c r="C1415" t="inlineStr">
        <is>
          <t>SUBPLACE</t>
        </is>
      </c>
      <c r="D1415" t="inlineStr">
        <is>
          <t>VARCHAR(500)</t>
        </is>
      </c>
      <c r="E1415" t="inlineStr">
        <is>
          <t>YES</t>
        </is>
      </c>
      <c r="F1415" t="inlineStr">
        <is>
          <t>交货地</t>
        </is>
      </c>
      <c r="H1415" t="inlineStr">
        <is>
          <t>VARCHAR</t>
        </is>
      </c>
      <c r="I1415" t="inlineStr">
        <is>
          <t>500</t>
        </is>
      </c>
    </row>
    <row r="1416">
      <c r="A1416" t="inlineStr">
        <is>
          <t>实物存货/货权/出口退税账户</t>
        </is>
      </c>
      <c r="B1416" t="inlineStr">
        <is>
          <t>CLR_ASSET_OTHERS_INVENTORY</t>
        </is>
      </c>
      <c r="C1416" t="inlineStr">
        <is>
          <t>CARGOTYPE</t>
        </is>
      </c>
      <c r="D1416" t="inlineStr">
        <is>
          <t>VARCHAR(6)</t>
        </is>
      </c>
      <c r="E1416" t="inlineStr">
        <is>
          <t>YES</t>
        </is>
      </c>
      <c r="F1416" t="inlineStr">
        <is>
          <t>货物类型</t>
        </is>
      </c>
      <c r="H1416" t="inlineStr">
        <is>
          <t>VARCHAR</t>
        </is>
      </c>
      <c r="I1416" t="inlineStr">
        <is>
          <t>6</t>
        </is>
      </c>
    </row>
    <row r="1417">
      <c r="A1417" t="inlineStr">
        <is>
          <t>实物存货/货权/出口退税账户</t>
        </is>
      </c>
      <c r="B1417" t="inlineStr">
        <is>
          <t>CLR_ASSET_OTHERS_INVENTORY</t>
        </is>
      </c>
      <c r="C1417" t="inlineStr">
        <is>
          <t>CARGONAME</t>
        </is>
      </c>
      <c r="D1417" t="inlineStr">
        <is>
          <t>VARCHAR(80)</t>
        </is>
      </c>
      <c r="E1417" t="inlineStr">
        <is>
          <t>YES</t>
        </is>
      </c>
      <c r="F1417" t="inlineStr">
        <is>
          <t>货物名称</t>
        </is>
      </c>
      <c r="H1417" t="inlineStr">
        <is>
          <t>VARCHAR</t>
        </is>
      </c>
      <c r="I1417" t="inlineStr">
        <is>
          <t>80</t>
        </is>
      </c>
    </row>
    <row r="1418">
      <c r="A1418" t="inlineStr">
        <is>
          <t>实物存货/货权/出口退税账户</t>
        </is>
      </c>
      <c r="B1418" t="inlineStr">
        <is>
          <t>CLR_ASSET_OTHERS_INVENTORY</t>
        </is>
      </c>
      <c r="C1418" t="inlineStr">
        <is>
          <t>CARGOQUANTITY</t>
        </is>
      </c>
      <c r="D1418" t="inlineStr">
        <is>
          <t>DECIMAL(18,2)</t>
        </is>
      </c>
      <c r="E1418" t="inlineStr">
        <is>
          <t>YES</t>
        </is>
      </c>
      <c r="F1418" t="inlineStr">
        <is>
          <t>货物数量;或重量）/毛重/数量</t>
        </is>
      </c>
      <c r="H1418" t="inlineStr">
        <is>
          <t>DECIMAL</t>
        </is>
      </c>
      <c r="I1418" t="inlineStr">
        <is>
          <t>18,2</t>
        </is>
      </c>
    </row>
    <row r="1419">
      <c r="A1419" t="inlineStr">
        <is>
          <t>实物存货/货权/出口退税账户</t>
        </is>
      </c>
      <c r="B1419" t="inlineStr">
        <is>
          <t>CLR_ASSET_OTHERS_INVENTORY</t>
        </is>
      </c>
      <c r="C1419" t="inlineStr">
        <is>
          <t>MEASUREUNIT</t>
        </is>
      </c>
      <c r="D1419" t="inlineStr">
        <is>
          <t>VARCHAR(18)</t>
        </is>
      </c>
      <c r="E1419" t="inlineStr">
        <is>
          <t>YES</t>
        </is>
      </c>
      <c r="F1419" t="inlineStr">
        <is>
          <t>货物计量单位</t>
        </is>
      </c>
      <c r="H1419" t="inlineStr">
        <is>
          <t>VARCHAR</t>
        </is>
      </c>
      <c r="I1419" t="inlineStr">
        <is>
          <t>18</t>
        </is>
      </c>
    </row>
    <row r="1420">
      <c r="A1420" t="inlineStr">
        <is>
          <t>实物存货/货权/出口退税账户</t>
        </is>
      </c>
      <c r="B1420" t="inlineStr">
        <is>
          <t>CLR_ASSET_OTHERS_INVENTORY</t>
        </is>
      </c>
      <c r="C1420" t="inlineStr">
        <is>
          <t>SPECIFICATION</t>
        </is>
      </c>
      <c r="D1420" t="inlineStr">
        <is>
          <t>VARCHAR(500)</t>
        </is>
      </c>
      <c r="E1420" t="inlineStr">
        <is>
          <t>YES</t>
        </is>
      </c>
      <c r="F1420" t="inlineStr">
        <is>
          <t>规格</t>
        </is>
      </c>
      <c r="H1420" t="inlineStr">
        <is>
          <t>VARCHAR</t>
        </is>
      </c>
      <c r="I1420" t="inlineStr">
        <is>
          <t>500</t>
        </is>
      </c>
    </row>
    <row r="1421">
      <c r="A1421" t="inlineStr">
        <is>
          <t>实物存货/货权/出口退税账户</t>
        </is>
      </c>
      <c r="B1421" t="inlineStr">
        <is>
          <t>CLR_ASSET_OTHERS_INVENTORY</t>
        </is>
      </c>
      <c r="C1421" t="inlineStr">
        <is>
          <t>ORIGIN</t>
        </is>
      </c>
      <c r="D1421" t="inlineStr">
        <is>
          <t>VARCHAR(80)</t>
        </is>
      </c>
      <c r="E1421" t="inlineStr">
        <is>
          <t>YES</t>
        </is>
      </c>
      <c r="F1421" t="inlineStr">
        <is>
          <t>产地</t>
        </is>
      </c>
      <c r="H1421" t="inlineStr">
        <is>
          <t>VARCHAR</t>
        </is>
      </c>
      <c r="I1421" t="inlineStr">
        <is>
          <t>80</t>
        </is>
      </c>
    </row>
    <row r="1422">
      <c r="A1422" t="inlineStr">
        <is>
          <t>实物存货/货权/出口退税账户</t>
        </is>
      </c>
      <c r="B1422" t="inlineStr">
        <is>
          <t>CLR_ASSET_OTHERS_INVENTORY</t>
        </is>
      </c>
      <c r="C1422" t="inlineStr">
        <is>
          <t>UNITPRICE</t>
        </is>
      </c>
      <c r="D1422" t="inlineStr">
        <is>
          <t>DECIMAL(24,6)</t>
        </is>
      </c>
      <c r="E1422" t="inlineStr">
        <is>
          <t>YES</t>
        </is>
      </c>
      <c r="F1422" t="inlineStr">
        <is>
          <t>单价</t>
        </is>
      </c>
      <c r="H1422" t="inlineStr">
        <is>
          <t>DECIMAL</t>
        </is>
      </c>
      <c r="I1422" t="inlineStr">
        <is>
          <t>24,6</t>
        </is>
      </c>
    </row>
    <row r="1423">
      <c r="A1423" t="inlineStr">
        <is>
          <t>实物存货/货权/出口退税账户</t>
        </is>
      </c>
      <c r="B1423" t="inlineStr">
        <is>
          <t>CLR_ASSET_OTHERS_INVENTORY</t>
        </is>
      </c>
      <c r="C1423" t="inlineStr">
        <is>
          <t>STORAGECOMPANYNAME</t>
        </is>
      </c>
      <c r="D1423" t="inlineStr">
        <is>
          <t>VARCHAR(80)</t>
        </is>
      </c>
      <c r="E1423" t="inlineStr">
        <is>
          <t>YES</t>
        </is>
      </c>
      <c r="F1423" t="inlineStr">
        <is>
          <t>仓储公司名称</t>
        </is>
      </c>
      <c r="H1423" t="inlineStr">
        <is>
          <t>VARCHAR</t>
        </is>
      </c>
      <c r="I1423" t="inlineStr">
        <is>
          <t>80</t>
        </is>
      </c>
    </row>
    <row r="1424">
      <c r="A1424" t="inlineStr">
        <is>
          <t>实物存货/货权/出口退税账户</t>
        </is>
      </c>
      <c r="B1424" t="inlineStr">
        <is>
          <t>CLR_ASSET_OTHERS_INVENTORY</t>
        </is>
      </c>
      <c r="C1424" t="inlineStr">
        <is>
          <t>STORAGESTARTDATE</t>
        </is>
      </c>
      <c r="D1424" t="inlineStr">
        <is>
          <t>DATETIME</t>
        </is>
      </c>
      <c r="E1424" t="inlineStr">
        <is>
          <t>YES</t>
        </is>
      </c>
      <c r="F1424" t="inlineStr">
        <is>
          <t>存放起始日期/存储起始日</t>
        </is>
      </c>
      <c r="H1424" t="inlineStr">
        <is>
          <t>DATETIME</t>
        </is>
      </c>
    </row>
    <row r="1425">
      <c r="A1425" t="inlineStr">
        <is>
          <t>实物存货/货权/出口退税账户</t>
        </is>
      </c>
      <c r="B1425" t="inlineStr">
        <is>
          <t>CLR_ASSET_OTHERS_INVENTORY</t>
        </is>
      </c>
      <c r="C1425" t="inlineStr">
        <is>
          <t>STORAGEDUEDATE</t>
        </is>
      </c>
      <c r="D1425" t="inlineStr">
        <is>
          <t>DATETIME</t>
        </is>
      </c>
      <c r="E1425" t="inlineStr">
        <is>
          <t>YES</t>
        </is>
      </c>
      <c r="F1425" t="inlineStr">
        <is>
          <t>存储到期日/提单到期日期</t>
        </is>
      </c>
      <c r="H1425" t="inlineStr">
        <is>
          <t>DATETIME</t>
        </is>
      </c>
    </row>
    <row r="1426">
      <c r="A1426" t="inlineStr">
        <is>
          <t>实物存货/货权/出口退税账户</t>
        </is>
      </c>
      <c r="B1426" t="inlineStr">
        <is>
          <t>CLR_ASSET_OTHERS_INVENTORY</t>
        </is>
      </c>
      <c r="C1426" t="inlineStr">
        <is>
          <t>INSURANCE</t>
        </is>
      </c>
      <c r="D1426" t="inlineStr">
        <is>
          <t>VARCHAR(500)</t>
        </is>
      </c>
      <c r="E1426" t="inlineStr">
        <is>
          <t>YES</t>
        </is>
      </c>
      <c r="F1426" t="inlineStr">
        <is>
          <t>保险情况</t>
        </is>
      </c>
      <c r="H1426" t="inlineStr">
        <is>
          <t>VARCHAR</t>
        </is>
      </c>
      <c r="I1426" t="inlineStr">
        <is>
          <t>500</t>
        </is>
      </c>
    </row>
    <row r="1427">
      <c r="A1427" t="inlineStr">
        <is>
          <t>实物存货/货权/出口退税账户</t>
        </is>
      </c>
      <c r="B1427" t="inlineStr">
        <is>
          <t>CLR_ASSET_OTHERS_INVENTORY</t>
        </is>
      </c>
      <c r="C1427" t="inlineStr">
        <is>
          <t>CURRMARKETPRICE</t>
        </is>
      </c>
      <c r="D1427" t="inlineStr">
        <is>
          <t>DECIMAL(24,6)</t>
        </is>
      </c>
      <c r="E1427" t="inlineStr">
        <is>
          <t>YES</t>
        </is>
      </c>
      <c r="F1427" t="inlineStr">
        <is>
          <t>当前市场价格</t>
        </is>
      </c>
      <c r="H1427" t="inlineStr">
        <is>
          <t>DECIMAL</t>
        </is>
      </c>
      <c r="I1427" t="inlineStr">
        <is>
          <t>24,6</t>
        </is>
      </c>
    </row>
    <row r="1428">
      <c r="A1428" t="inlineStr">
        <is>
          <t>实物存货/货权/出口退税账户</t>
        </is>
      </c>
      <c r="B1428" t="inlineStr">
        <is>
          <t>CLR_ASSET_OTHERS_INVENTORY</t>
        </is>
      </c>
      <c r="C1428" t="inlineStr">
        <is>
          <t>STORINGADDRESS</t>
        </is>
      </c>
      <c r="D1428" t="inlineStr">
        <is>
          <t>VARCHAR(80)</t>
        </is>
      </c>
      <c r="E1428" t="inlineStr">
        <is>
          <t>YES</t>
        </is>
      </c>
      <c r="F1428" t="inlineStr">
        <is>
          <t>货物存放地</t>
        </is>
      </c>
      <c r="H1428" t="inlineStr">
        <is>
          <t>VARCHAR</t>
        </is>
      </c>
      <c r="I1428" t="inlineStr">
        <is>
          <t>80</t>
        </is>
      </c>
    </row>
    <row r="1429">
      <c r="A1429" t="inlineStr">
        <is>
          <t>实物存货/货权/出口退税账户</t>
        </is>
      </c>
      <c r="B1429" t="inlineStr">
        <is>
          <t>CLR_ASSET_OTHERS_INVENTORY</t>
        </is>
      </c>
      <c r="C1429" t="inlineStr">
        <is>
          <t>PURCHASEPRICE</t>
        </is>
      </c>
      <c r="D1429" t="inlineStr">
        <is>
          <t>DECIMAL(24,6)</t>
        </is>
      </c>
      <c r="E1429" t="inlineStr">
        <is>
          <t>YES</t>
        </is>
      </c>
      <c r="F1429" t="inlineStr">
        <is>
          <t>购入单价</t>
        </is>
      </c>
      <c r="H1429" t="inlineStr">
        <is>
          <t>DECIMAL</t>
        </is>
      </c>
      <c r="I1429" t="inlineStr">
        <is>
          <t>24,6</t>
        </is>
      </c>
    </row>
    <row r="1430">
      <c r="A1430" t="inlineStr">
        <is>
          <t>实物存货/货权/出口退税账户</t>
        </is>
      </c>
      <c r="B1430" t="inlineStr">
        <is>
          <t>CLR_ASSET_OTHERS_INVENTORY</t>
        </is>
      </c>
      <c r="C1430" t="inlineStr">
        <is>
          <t>LEGALITY</t>
        </is>
      </c>
      <c r="D1430" t="inlineStr">
        <is>
          <t>VARCHAR(500)</t>
        </is>
      </c>
      <c r="E1430" t="inlineStr">
        <is>
          <t>YES</t>
        </is>
      </c>
      <c r="F1430" t="inlineStr">
        <is>
          <t>未来货权合法性情况</t>
        </is>
      </c>
      <c r="H1430" t="inlineStr">
        <is>
          <t>VARCHAR</t>
        </is>
      </c>
      <c r="I1430" t="inlineStr">
        <is>
          <t>500</t>
        </is>
      </c>
    </row>
    <row r="1431">
      <c r="A1431" t="inlineStr">
        <is>
          <t>实物存货/货权/出口退税账户</t>
        </is>
      </c>
      <c r="B1431" t="inlineStr">
        <is>
          <t>CLR_ASSET_OTHERS_INVENTORY</t>
        </is>
      </c>
      <c r="C1431" t="inlineStr">
        <is>
          <t>WRDUEDATE</t>
        </is>
      </c>
      <c r="D1431" t="inlineStr">
        <is>
          <t>DATETIME</t>
        </is>
      </c>
      <c r="E1431" t="inlineStr">
        <is>
          <t>YES</t>
        </is>
      </c>
      <c r="F1431" t="inlineStr">
        <is>
          <t>仓单到期日</t>
        </is>
      </c>
      <c r="H1431" t="inlineStr">
        <is>
          <t>DATETIME</t>
        </is>
      </c>
    </row>
    <row r="1432">
      <c r="A1432" t="inlineStr">
        <is>
          <t>实物存货/货权/出口退税账户</t>
        </is>
      </c>
      <c r="B1432" t="inlineStr">
        <is>
          <t>CLR_ASSET_OTHERS_INVENTORY</t>
        </is>
      </c>
      <c r="C1432" t="inlineStr">
        <is>
          <t>MARKETPRICETIME</t>
        </is>
      </c>
      <c r="D1432" t="inlineStr">
        <is>
          <t>DECIMAL(24,6)</t>
        </is>
      </c>
      <c r="E1432" t="inlineStr">
        <is>
          <t>YES</t>
        </is>
      </c>
      <c r="F1432" t="inlineStr">
        <is>
          <t>市场价格采用时间</t>
        </is>
      </c>
      <c r="H1432" t="inlineStr">
        <is>
          <t>DECIMAL</t>
        </is>
      </c>
      <c r="I1432" t="inlineStr">
        <is>
          <t>24,6</t>
        </is>
      </c>
    </row>
    <row r="1433">
      <c r="A1433" t="inlineStr">
        <is>
          <t>实物存货/货权/出口退税账户</t>
        </is>
      </c>
      <c r="B1433" t="inlineStr">
        <is>
          <t>CLR_ASSET_OTHERS_INVENTORY</t>
        </is>
      </c>
      <c r="C1433" t="inlineStr">
        <is>
          <t>PRICEINFOSOURCE</t>
        </is>
      </c>
      <c r="D1433" t="inlineStr">
        <is>
          <t>VARCHAR(500)</t>
        </is>
      </c>
      <c r="E1433" t="inlineStr">
        <is>
          <t>YES</t>
        </is>
      </c>
      <c r="F1433" t="inlineStr">
        <is>
          <t>采用价格信息来源</t>
        </is>
      </c>
      <c r="H1433" t="inlineStr">
        <is>
          <t>VARCHAR</t>
        </is>
      </c>
      <c r="I1433" t="inlineStr">
        <is>
          <t>500</t>
        </is>
      </c>
    </row>
    <row r="1434">
      <c r="A1434" t="inlineStr">
        <is>
          <t>实物存货/货权/出口退税账户</t>
        </is>
      </c>
      <c r="B1434" t="inlineStr">
        <is>
          <t>CLR_ASSET_OTHERS_INVENTORY</t>
        </is>
      </c>
      <c r="C1434" t="inlineStr">
        <is>
          <t>TITLETYPE</t>
        </is>
      </c>
      <c r="D1434" t="inlineStr">
        <is>
          <t>VARCHAR(18)</t>
        </is>
      </c>
      <c r="E1434" t="inlineStr">
        <is>
          <t>YES</t>
        </is>
      </c>
      <c r="F1434" t="inlineStr">
        <is>
          <t>埃森哲数据标准中的“押品类型”:01;标准仓单
02 非标准仓单
03 提单
04 其他
在浦发管理办法中通过押品类型区分</t>
        </is>
      </c>
      <c r="H1434" t="inlineStr">
        <is>
          <t>VARCHAR</t>
        </is>
      </c>
      <c r="I1434" t="inlineStr">
        <is>
          <t>18</t>
        </is>
      </c>
    </row>
    <row r="1435">
      <c r="A1435" t="inlineStr">
        <is>
          <t>实物存货/货权/出口退税账户</t>
        </is>
      </c>
      <c r="B1435" t="inlineStr">
        <is>
          <t>CLR_ASSET_OTHERS_INVENTORY</t>
        </is>
      </c>
      <c r="C1435" t="inlineStr">
        <is>
          <t>TITLENO</t>
        </is>
      </c>
      <c r="D1435" t="inlineStr">
        <is>
          <t>VARCHAR(32)</t>
        </is>
      </c>
      <c r="E1435" t="inlineStr">
        <is>
          <t>YES</t>
        </is>
      </c>
      <c r="F1435" t="inlineStr">
        <is>
          <t>入库验收报告单号/提单号</t>
        </is>
      </c>
      <c r="H1435" t="inlineStr">
        <is>
          <t>VARCHAR</t>
        </is>
      </c>
      <c r="I1435" t="inlineStr">
        <is>
          <t>32</t>
        </is>
      </c>
    </row>
    <row r="1436">
      <c r="A1436" t="inlineStr">
        <is>
          <t>实物存货/货权/出口退税账户</t>
        </is>
      </c>
      <c r="B1436" t="inlineStr">
        <is>
          <t>CLR_ASSET_OTHERS_INVENTORY</t>
        </is>
      </c>
      <c r="C1436" t="inlineStr">
        <is>
          <t>MEMBERID</t>
        </is>
      </c>
      <c r="D1436" t="inlineStr">
        <is>
          <t>VARCHAR(32)</t>
        </is>
      </c>
      <c r="E1436" t="inlineStr">
        <is>
          <t>YES</t>
        </is>
      </c>
      <c r="F1436" t="inlineStr">
        <is>
          <t>会员号</t>
        </is>
      </c>
      <c r="H1436" t="inlineStr">
        <is>
          <t>VARCHAR</t>
        </is>
      </c>
      <c r="I1436" t="inlineStr">
        <is>
          <t>32</t>
        </is>
      </c>
    </row>
    <row r="1437">
      <c r="A1437" t="inlineStr">
        <is>
          <t>实物存货/货权/出口退税账户</t>
        </is>
      </c>
      <c r="B1437" t="inlineStr">
        <is>
          <t>CLR_ASSET_OTHERS_INVENTORY</t>
        </is>
      </c>
      <c r="C1437" t="inlineStr">
        <is>
          <t>ISSUER</t>
        </is>
      </c>
      <c r="D1437" t="inlineStr">
        <is>
          <t>VARCHAR(80)</t>
        </is>
      </c>
      <c r="E1437" t="inlineStr">
        <is>
          <t>YES</t>
        </is>
      </c>
      <c r="F1437" t="inlineStr">
        <is>
          <t>填发人/签发人</t>
        </is>
      </c>
      <c r="H1437" t="inlineStr">
        <is>
          <t>VARCHAR</t>
        </is>
      </c>
      <c r="I1437" t="inlineStr">
        <is>
          <t>80</t>
        </is>
      </c>
    </row>
    <row r="1438">
      <c r="A1438" t="inlineStr">
        <is>
          <t>实物存货/货权/出口退税账户</t>
        </is>
      </c>
      <c r="B1438" t="inlineStr">
        <is>
          <t>CLR_ASSET_OTHERS_INVENTORY</t>
        </is>
      </c>
      <c r="C1438" t="inlineStr">
        <is>
          <t>ISSUEPLACE</t>
        </is>
      </c>
      <c r="D1438" t="inlineStr">
        <is>
          <t>VARCHAR(80)</t>
        </is>
      </c>
      <c r="E1438" t="inlineStr">
        <is>
          <t>YES</t>
        </is>
      </c>
      <c r="F1438" t="inlineStr">
        <is>
          <t>填发地/签发地点</t>
        </is>
      </c>
      <c r="H1438" t="inlineStr">
        <is>
          <t>VARCHAR</t>
        </is>
      </c>
      <c r="I1438" t="inlineStr">
        <is>
          <t>80</t>
        </is>
      </c>
    </row>
    <row r="1439">
      <c r="A1439" t="inlineStr">
        <is>
          <t>实物存货/货权/出口退税账户</t>
        </is>
      </c>
      <c r="B1439" t="inlineStr">
        <is>
          <t>CLR_ASSET_OTHERS_INVENTORY</t>
        </is>
      </c>
      <c r="C1439" t="inlineStr">
        <is>
          <t>ISSUEDATE</t>
        </is>
      </c>
      <c r="D1439" t="inlineStr">
        <is>
          <t>DATETIME</t>
        </is>
      </c>
      <c r="E1439" t="inlineStr">
        <is>
          <t>YES</t>
        </is>
      </c>
      <c r="F1439" t="inlineStr">
        <is>
          <t>填发日期/签发日期</t>
        </is>
      </c>
      <c r="H1439" t="inlineStr">
        <is>
          <t>DATETIME</t>
        </is>
      </c>
    </row>
    <row r="1440">
      <c r="A1440" t="inlineStr">
        <is>
          <t>实物存货/货权/出口退税账户</t>
        </is>
      </c>
      <c r="B1440" t="inlineStr">
        <is>
          <t>CLR_ASSET_OTHERS_INVENTORY</t>
        </is>
      </c>
      <c r="C1440" t="inlineStr">
        <is>
          <t>WREFFECTIVEDATE</t>
        </is>
      </c>
      <c r="D1440" t="inlineStr">
        <is>
          <t>DATETIME</t>
        </is>
      </c>
      <c r="E1440" t="inlineStr">
        <is>
          <t>YES</t>
        </is>
      </c>
      <c r="F1440" t="inlineStr">
        <is>
          <t>仓单生效日</t>
        </is>
      </c>
      <c r="H1440" t="inlineStr">
        <is>
          <t>DATETIME</t>
        </is>
      </c>
    </row>
    <row r="1441">
      <c r="A1441" t="inlineStr">
        <is>
          <t>实物存货/货权/出口退税账户</t>
        </is>
      </c>
      <c r="B1441" t="inlineStr">
        <is>
          <t>CLR_ASSET_OTHERS_INVENTORY</t>
        </is>
      </c>
      <c r="C1441" t="inlineStr">
        <is>
          <t>COMMODITYFUTURE</t>
        </is>
      </c>
      <c r="D1441" t="inlineStr">
        <is>
          <t>VARCHAR(6)</t>
        </is>
      </c>
      <c r="E1441" t="inlineStr">
        <is>
          <t>YES</t>
        </is>
      </c>
      <c r="F1441" t="inlineStr">
        <is>
          <t>所属商品期货交易所</t>
        </is>
      </c>
      <c r="H1441" t="inlineStr">
        <is>
          <t>VARCHAR</t>
        </is>
      </c>
      <c r="I1441" t="inlineStr">
        <is>
          <t>6</t>
        </is>
      </c>
    </row>
    <row r="1442">
      <c r="A1442" t="inlineStr">
        <is>
          <t>实物存货/货权/出口退税账户</t>
        </is>
      </c>
      <c r="B1442" t="inlineStr">
        <is>
          <t>CLR_ASSET_OTHERS_INVENTORY</t>
        </is>
      </c>
      <c r="C1442" t="inlineStr">
        <is>
          <t>HOLDINGLOT</t>
        </is>
      </c>
      <c r="D1442" t="inlineStr">
        <is>
          <t>VARCHAR(500)</t>
        </is>
      </c>
      <c r="E1442" t="inlineStr">
        <is>
          <t>YES</t>
        </is>
      </c>
      <c r="F1442" t="inlineStr">
        <is>
          <t>持有手数</t>
        </is>
      </c>
      <c r="H1442" t="inlineStr">
        <is>
          <t>VARCHAR</t>
        </is>
      </c>
      <c r="I1442" t="inlineStr">
        <is>
          <t>500</t>
        </is>
      </c>
    </row>
    <row r="1443">
      <c r="A1443" t="inlineStr">
        <is>
          <t>实物存货/货权/出口退税账户</t>
        </is>
      </c>
      <c r="B1443" t="inlineStr">
        <is>
          <t>CLR_ASSET_OTHERS_INVENTORY</t>
        </is>
      </c>
      <c r="C1443" t="inlineStr">
        <is>
          <t>HOLDINGLOTCOUNT</t>
        </is>
      </c>
      <c r="D1443" t="inlineStr">
        <is>
          <t>INT</t>
        </is>
      </c>
      <c r="E1443" t="inlineStr">
        <is>
          <t>YES</t>
        </is>
      </c>
      <c r="F1443" t="inlineStr">
        <is>
          <t>持有手数数量/签发份数</t>
        </is>
      </c>
      <c r="H1443" t="inlineStr">
        <is>
          <t>INT</t>
        </is>
      </c>
    </row>
    <row r="1444">
      <c r="A1444" t="inlineStr">
        <is>
          <t>实物存货/货权/出口退税账户</t>
        </is>
      </c>
      <c r="B1444" t="inlineStr">
        <is>
          <t>CLR_ASSET_OTHERS_INVENTORY</t>
        </is>
      </c>
      <c r="C1444" t="inlineStr">
        <is>
          <t>WRAPTYPE</t>
        </is>
      </c>
      <c r="D1444" t="inlineStr">
        <is>
          <t>VARCHAR(500)</t>
        </is>
      </c>
      <c r="E1444" t="inlineStr">
        <is>
          <t>YES</t>
        </is>
      </c>
      <c r="F1444" t="inlineStr">
        <is>
          <t>货物包装种类</t>
        </is>
      </c>
      <c r="H1444" t="inlineStr">
        <is>
          <t>VARCHAR</t>
        </is>
      </c>
      <c r="I1444" t="inlineStr">
        <is>
          <t>500</t>
        </is>
      </c>
    </row>
    <row r="1445">
      <c r="A1445" t="inlineStr">
        <is>
          <t>实物存货/货权/出口退税账户</t>
        </is>
      </c>
      <c r="B1445" t="inlineStr">
        <is>
          <t>CLR_ASSET_OTHERS_INVENTORY</t>
        </is>
      </c>
      <c r="C1445" t="inlineStr">
        <is>
          <t>FREIGHTPAYTYPE</t>
        </is>
      </c>
      <c r="D1445" t="inlineStr">
        <is>
          <t>VARCHAR(18)</t>
        </is>
      </c>
      <c r="E1445" t="inlineStr">
        <is>
          <t>YES</t>
        </is>
      </c>
      <c r="F1445" t="inlineStr">
        <is>
          <t>运费支付类型</t>
        </is>
      </c>
      <c r="H1445" t="inlineStr">
        <is>
          <t>VARCHAR</t>
        </is>
      </c>
      <c r="I1445" t="inlineStr">
        <is>
          <t>18</t>
        </is>
      </c>
    </row>
    <row r="1446">
      <c r="A1446" t="inlineStr">
        <is>
          <t>实物存货/货权/出口退税账户</t>
        </is>
      </c>
      <c r="B1446" t="inlineStr">
        <is>
          <t>CLR_ASSET_OTHERS_INVENTORY</t>
        </is>
      </c>
      <c r="C1446" t="inlineStr">
        <is>
          <t>FREIGHTSUM</t>
        </is>
      </c>
      <c r="D1446" t="inlineStr">
        <is>
          <t>DECIMAL(24,6)</t>
        </is>
      </c>
      <c r="E1446" t="inlineStr">
        <is>
          <t>YES</t>
        </is>
      </c>
      <c r="F1446" t="inlineStr">
        <is>
          <t>运费金额</t>
        </is>
      </c>
      <c r="H1446" t="inlineStr">
        <is>
          <t>DECIMAL</t>
        </is>
      </c>
      <c r="I1446" t="inlineStr">
        <is>
          <t>24,6</t>
        </is>
      </c>
    </row>
    <row r="1447">
      <c r="A1447" t="inlineStr">
        <is>
          <t>实物存货/货权/出口退税账户</t>
        </is>
      </c>
      <c r="B1447" t="inlineStr">
        <is>
          <t>CLR_ASSET_OTHERS_INVENTORY</t>
        </is>
      </c>
      <c r="C1447" t="inlineStr">
        <is>
          <t>EXPORTREBATESCERTID</t>
        </is>
      </c>
      <c r="D1447" t="inlineStr">
        <is>
          <t>VARCHAR(32)</t>
        </is>
      </c>
      <c r="E1447" t="inlineStr">
        <is>
          <t>YES</t>
        </is>
      </c>
      <c r="F1447" t="inlineStr">
        <is>
          <t>出口退税账户相关营业执照编号</t>
        </is>
      </c>
      <c r="H1447" t="inlineStr">
        <is>
          <t>VARCHAR</t>
        </is>
      </c>
      <c r="I1447" t="inlineStr">
        <is>
          <t>32</t>
        </is>
      </c>
    </row>
    <row r="1448">
      <c r="A1448" t="inlineStr">
        <is>
          <t>实物存货/货权/出口退税账户</t>
        </is>
      </c>
      <c r="B1448" t="inlineStr">
        <is>
          <t>CLR_ASSET_OTHERS_INVENTORY</t>
        </is>
      </c>
      <c r="C1448" t="inlineStr">
        <is>
          <t>EXPORTREBATESACCOUNT</t>
        </is>
      </c>
      <c r="D1448" t="inlineStr">
        <is>
          <t>VARCHAR(32)</t>
        </is>
      </c>
      <c r="E1448" t="inlineStr">
        <is>
          <t>YES</t>
        </is>
      </c>
      <c r="F1448" t="inlineStr">
        <is>
          <t>出口退税账户账号</t>
        </is>
      </c>
      <c r="H1448" t="inlineStr">
        <is>
          <t>VARCHAR</t>
        </is>
      </c>
      <c r="I1448" t="inlineStr">
        <is>
          <t>32</t>
        </is>
      </c>
    </row>
    <row r="1449">
      <c r="A1449" t="inlineStr">
        <is>
          <t>实物存货/货权/出口退税账户</t>
        </is>
      </c>
      <c r="B1449" t="inlineStr">
        <is>
          <t>CLR_ASSET_OTHERS_INVENTORY</t>
        </is>
      </c>
      <c r="C1449" t="inlineStr">
        <is>
          <t>ENTREBATESLEVEL</t>
        </is>
      </c>
      <c r="D1449" t="inlineStr">
        <is>
          <t>VARCHAR(6)</t>
        </is>
      </c>
      <c r="E1449" t="inlineStr">
        <is>
          <t>YES</t>
        </is>
      </c>
      <c r="F1449" t="inlineStr">
        <is>
          <t>企业退税等级</t>
        </is>
      </c>
      <c r="H1449" t="inlineStr">
        <is>
          <t>VARCHAR</t>
        </is>
      </c>
      <c r="I1449" t="inlineStr">
        <is>
          <t>6</t>
        </is>
      </c>
    </row>
    <row r="1450">
      <c r="A1450" t="inlineStr">
        <is>
          <t>实物存货/货权/出口退税账户</t>
        </is>
      </c>
      <c r="B1450" t="inlineStr">
        <is>
          <t>CLR_ASSET_OTHERS_INVENTORY</t>
        </is>
      </c>
      <c r="C1450" t="inlineStr">
        <is>
          <t>EXPORTREBATESRATE</t>
        </is>
      </c>
      <c r="D1450" t="inlineStr">
        <is>
          <t>DECIMAL(18,8)</t>
        </is>
      </c>
      <c r="E1450" t="inlineStr">
        <is>
          <t>YES</t>
        </is>
      </c>
      <c r="F1450" t="inlineStr">
        <is>
          <t>出口退税率</t>
        </is>
      </c>
      <c r="H1450" t="inlineStr">
        <is>
          <t>DECIMAL</t>
        </is>
      </c>
      <c r="I1450" t="inlineStr">
        <is>
          <t>18,8</t>
        </is>
      </c>
    </row>
    <row r="1451">
      <c r="A1451" t="inlineStr">
        <is>
          <t>实物存货/货权/出口退税账户</t>
        </is>
      </c>
      <c r="B1451" t="inlineStr">
        <is>
          <t>CLR_ASSET_OTHERS_INVENTORY</t>
        </is>
      </c>
      <c r="C1451" t="inlineStr">
        <is>
          <t>ARRIVALTIME</t>
        </is>
      </c>
      <c r="D1451" t="inlineStr">
        <is>
          <t>DATETIME</t>
        </is>
      </c>
      <c r="E1451" t="inlineStr">
        <is>
          <t>YES</t>
        </is>
      </c>
      <c r="F1451" t="inlineStr">
        <is>
          <t>预计到账时间</t>
        </is>
      </c>
      <c r="H1451" t="inlineStr">
        <is>
          <t>DATETIME</t>
        </is>
      </c>
    </row>
    <row r="1452">
      <c r="A1452" t="inlineStr">
        <is>
          <t>实物存货/货权/出口退税账户</t>
        </is>
      </c>
      <c r="B1452" t="inlineStr">
        <is>
          <t>CLR_ASSET_OTHERS_INVENTORY</t>
        </is>
      </c>
      <c r="C1452" t="inlineStr">
        <is>
          <t>REBATEMETHOD</t>
        </is>
      </c>
      <c r="D1452" t="inlineStr">
        <is>
          <t>VARCHAR(500)</t>
        </is>
      </c>
      <c r="E1452" t="inlineStr">
        <is>
          <t>YES</t>
        </is>
      </c>
      <c r="F1452" t="inlineStr">
        <is>
          <t>退付办法</t>
        </is>
      </c>
      <c r="H1452" t="inlineStr">
        <is>
          <t>VARCHAR</t>
        </is>
      </c>
      <c r="I1452" t="inlineStr">
        <is>
          <t>500</t>
        </is>
      </c>
    </row>
    <row r="1453">
      <c r="A1453" t="inlineStr">
        <is>
          <t>实物存货/货权/出口退税账户</t>
        </is>
      </c>
      <c r="B1453" t="inlineStr">
        <is>
          <t>CLR_ASSET_OTHERS_INVENTORY</t>
        </is>
      </c>
      <c r="C1453" t="inlineStr">
        <is>
          <t>COMMODITYNAME</t>
        </is>
      </c>
      <c r="D1453" t="inlineStr">
        <is>
          <t>VARCHAR(80)</t>
        </is>
      </c>
      <c r="E1453" t="inlineStr">
        <is>
          <t>YES</t>
        </is>
      </c>
      <c r="F1453" t="inlineStr">
        <is>
          <t>商品名称</t>
        </is>
      </c>
      <c r="H1453" t="inlineStr">
        <is>
          <t>VARCHAR</t>
        </is>
      </c>
      <c r="I1453" t="inlineStr">
        <is>
          <t>80</t>
        </is>
      </c>
    </row>
    <row r="1454">
      <c r="A1454" t="inlineStr">
        <is>
          <t>实物存货/货权/出口退税账户</t>
        </is>
      </c>
      <c r="B1454" t="inlineStr">
        <is>
          <t>CLR_ASSET_OTHERS_INVENTORY</t>
        </is>
      </c>
      <c r="C1454" t="inlineStr">
        <is>
          <t>COMMODITYPRICE</t>
        </is>
      </c>
      <c r="D1454" t="inlineStr">
        <is>
          <t>DECIMAL(24,6)</t>
        </is>
      </c>
      <c r="E1454" t="inlineStr">
        <is>
          <t>YES</t>
        </is>
      </c>
      <c r="F1454" t="inlineStr">
        <is>
          <t>商品单价</t>
        </is>
      </c>
      <c r="H1454" t="inlineStr">
        <is>
          <t>DECIMAL</t>
        </is>
      </c>
      <c r="I1454" t="inlineStr">
        <is>
          <t>24,6</t>
        </is>
      </c>
    </row>
    <row r="1455">
      <c r="A1455" t="inlineStr">
        <is>
          <t>实物存货/货权/出口退税账户</t>
        </is>
      </c>
      <c r="B1455" t="inlineStr">
        <is>
          <t>CLR_ASSET_OTHERS_INVENTORY</t>
        </is>
      </c>
      <c r="C1455" t="inlineStr">
        <is>
          <t>EXPORTVOLUME</t>
        </is>
      </c>
      <c r="D1455" t="inlineStr">
        <is>
          <t>DECIMAL(18,2)</t>
        </is>
      </c>
      <c r="E1455" t="inlineStr">
        <is>
          <t>YES</t>
        </is>
      </c>
      <c r="F1455" t="inlineStr">
        <is>
          <t>出口量</t>
        </is>
      </c>
      <c r="H1455" t="inlineStr">
        <is>
          <t>DECIMAL</t>
        </is>
      </c>
      <c r="I1455" t="inlineStr">
        <is>
          <t>18,2</t>
        </is>
      </c>
    </row>
    <row r="1456">
      <c r="A1456" t="inlineStr">
        <is>
          <t>实物存货/货权/出口退税账户</t>
        </is>
      </c>
      <c r="B1456" t="inlineStr">
        <is>
          <t>CLR_ASSET_OTHERS_INVENTORY</t>
        </is>
      </c>
      <c r="C1456" t="inlineStr">
        <is>
          <t>PRODUCTSALEPLACE</t>
        </is>
      </c>
      <c r="D1456" t="inlineStr">
        <is>
          <t>VARCHAR(80)</t>
        </is>
      </c>
      <c r="E1456" t="inlineStr">
        <is>
          <t>YES</t>
        </is>
      </c>
      <c r="F1456" t="inlineStr">
        <is>
          <t>产品销往地</t>
        </is>
      </c>
      <c r="H1456" t="inlineStr">
        <is>
          <t>VARCHAR</t>
        </is>
      </c>
      <c r="I1456" t="inlineStr">
        <is>
          <t>80</t>
        </is>
      </c>
    </row>
    <row r="1457">
      <c r="A1457" t="inlineStr">
        <is>
          <t>实物存货/货权/出口退税账户</t>
        </is>
      </c>
      <c r="B1457" t="inlineStr">
        <is>
          <t>CLR_ASSET_OTHERS_INVENTORY</t>
        </is>
      </c>
      <c r="C1457" t="inlineStr">
        <is>
          <t>ISCOMMITCONTRACT</t>
        </is>
      </c>
      <c r="D1457" t="inlineStr">
        <is>
          <t>CHAR(1)</t>
        </is>
      </c>
      <c r="E1457" t="inlineStr">
        <is>
          <t>YES</t>
        </is>
      </c>
      <c r="F1457" t="inlineStr">
        <is>
          <t>是否已提交商品买卖合同</t>
        </is>
      </c>
      <c r="H1457" t="inlineStr">
        <is>
          <t>CHAR</t>
        </is>
      </c>
      <c r="I1457" t="inlineStr">
        <is>
          <t>1</t>
        </is>
      </c>
    </row>
    <row r="1458">
      <c r="A1458" t="inlineStr">
        <is>
          <t>实物存货/货权/出口退税账户</t>
        </is>
      </c>
      <c r="B1458" t="inlineStr">
        <is>
          <t>CLR_ASSET_OTHERS_INVENTORY</t>
        </is>
      </c>
      <c r="C1458" t="inlineStr">
        <is>
          <t>INVENTORYFLAG06</t>
        </is>
      </c>
      <c r="D1458" t="inlineStr">
        <is>
          <t>CHAR(1)</t>
        </is>
      </c>
      <c r="E1458" t="inlineStr">
        <is>
          <t>YES</t>
        </is>
      </c>
      <c r="F1458" t="inlineStr">
        <is>
          <t>是否已提交商品交易发票</t>
        </is>
      </c>
      <c r="H1458" t="inlineStr">
        <is>
          <t>CHAR</t>
        </is>
      </c>
      <c r="I1458" t="inlineStr">
        <is>
          <t>1</t>
        </is>
      </c>
    </row>
    <row r="1459">
      <c r="A1459" t="inlineStr">
        <is>
          <t>实物存货/货权/出口退税账户</t>
        </is>
      </c>
      <c r="B1459" t="inlineStr">
        <is>
          <t>CLR_ASSET_OTHERS_INVENTORY</t>
        </is>
      </c>
      <c r="C1459" t="inlineStr">
        <is>
          <t>INVENTORYFLAG09</t>
        </is>
      </c>
      <c r="D1459" t="inlineStr">
        <is>
          <t>CHAR(1)</t>
        </is>
      </c>
      <c r="E1459" t="inlineStr">
        <is>
          <t>YES</t>
        </is>
      </c>
      <c r="F1459" t="inlineStr">
        <is>
          <t>是否已提交相关保险证明</t>
        </is>
      </c>
      <c r="H1459" t="inlineStr">
        <is>
          <t>CHAR</t>
        </is>
      </c>
      <c r="I1459" t="inlineStr">
        <is>
          <t>1</t>
        </is>
      </c>
    </row>
    <row r="1460">
      <c r="A1460" t="inlineStr">
        <is>
          <t>实物存货/货权/出口退税账户</t>
        </is>
      </c>
      <c r="B1460" t="inlineStr">
        <is>
          <t>CLR_ASSET_OTHERS_INVENTORY</t>
        </is>
      </c>
      <c r="C1460" t="inlineStr">
        <is>
          <t>INVENTORYFLAG01</t>
        </is>
      </c>
      <c r="D1460" t="inlineStr">
        <is>
          <t>CHAR(1)</t>
        </is>
      </c>
      <c r="E1460" t="inlineStr">
        <is>
          <t>YES</t>
        </is>
      </c>
      <c r="F1460" t="inlineStr">
        <is>
          <t>是否为法律和行规法规禁止流通的货物</t>
        </is>
      </c>
      <c r="H1460" t="inlineStr">
        <is>
          <t>CHAR</t>
        </is>
      </c>
      <c r="I1460" t="inlineStr">
        <is>
          <t>1</t>
        </is>
      </c>
    </row>
    <row r="1461">
      <c r="A1461" t="inlineStr">
        <is>
          <t>实物存货/货权/出口退税账户</t>
        </is>
      </c>
      <c r="B1461" t="inlineStr">
        <is>
          <t>CLR_ASSET_OTHERS_INVENTORY</t>
        </is>
      </c>
      <c r="C1461" t="inlineStr">
        <is>
          <t>INVENTORYFLAG02</t>
        </is>
      </c>
      <c r="D1461" t="inlineStr">
        <is>
          <t>CHAR(1)</t>
        </is>
      </c>
      <c r="E1461" t="inlineStr">
        <is>
          <t>YES</t>
        </is>
      </c>
      <c r="F1461" t="inlineStr">
        <is>
          <t>是否已提交质检单</t>
        </is>
      </c>
      <c r="H1461" t="inlineStr">
        <is>
          <t>CHAR</t>
        </is>
      </c>
      <c r="I1461" t="inlineStr">
        <is>
          <t>1</t>
        </is>
      </c>
    </row>
    <row r="1462">
      <c r="A1462" t="inlineStr">
        <is>
          <t>实物存货/货权/出口退税账户</t>
        </is>
      </c>
      <c r="B1462" t="inlineStr">
        <is>
          <t>CLR_ASSET_OTHERS_INVENTORY</t>
        </is>
      </c>
      <c r="C1462" t="inlineStr">
        <is>
          <t>INVENTORYFLAG03</t>
        </is>
      </c>
      <c r="D1462" t="inlineStr">
        <is>
          <t>CHAR(1)</t>
        </is>
      </c>
      <c r="E1462" t="inlineStr">
        <is>
          <t>YES</t>
        </is>
      </c>
      <c r="F1462" t="inlineStr">
        <is>
          <t>是否已提交合格证</t>
        </is>
      </c>
      <c r="H1462" t="inlineStr">
        <is>
          <t>CHAR</t>
        </is>
      </c>
      <c r="I1462" t="inlineStr">
        <is>
          <t>1</t>
        </is>
      </c>
    </row>
    <row r="1463">
      <c r="A1463" t="inlineStr">
        <is>
          <t>实物存货/货权/出口退税账户</t>
        </is>
      </c>
      <c r="B1463" t="inlineStr">
        <is>
          <t>CLR_ASSET_OTHERS_INVENTORY</t>
        </is>
      </c>
      <c r="C1463" t="inlineStr">
        <is>
          <t>INVENTORYFLAG04</t>
        </is>
      </c>
      <c r="D1463" t="inlineStr">
        <is>
          <t>CHAR(1)</t>
        </is>
      </c>
      <c r="E1463" t="inlineStr">
        <is>
          <t>YES</t>
        </is>
      </c>
      <c r="F1463" t="inlineStr">
        <is>
          <t>是否已提交商检证明</t>
        </is>
      </c>
      <c r="H1463" t="inlineStr">
        <is>
          <t>CHAR</t>
        </is>
      </c>
      <c r="I1463" t="inlineStr">
        <is>
          <t>1</t>
        </is>
      </c>
    </row>
    <row r="1464">
      <c r="A1464" t="inlineStr">
        <is>
          <t>实物存货/货权/出口退税账户</t>
        </is>
      </c>
      <c r="B1464" t="inlineStr">
        <is>
          <t>CLR_ASSET_OTHERS_INVENTORY</t>
        </is>
      </c>
      <c r="C1464" t="inlineStr">
        <is>
          <t>INVENTORYFLAG07</t>
        </is>
      </c>
      <c r="D1464" t="inlineStr">
        <is>
          <t>CHAR(1)</t>
        </is>
      </c>
      <c r="E1464" t="inlineStr">
        <is>
          <t>YES</t>
        </is>
      </c>
      <c r="F1464" t="inlineStr">
        <is>
          <t>是否已提交货物存放证明</t>
        </is>
      </c>
      <c r="H1464" t="inlineStr">
        <is>
          <t>CHAR</t>
        </is>
      </c>
      <c r="I1464" t="inlineStr">
        <is>
          <t>1</t>
        </is>
      </c>
    </row>
    <row r="1465">
      <c r="A1465" t="inlineStr">
        <is>
          <t>实物存货/货权/出口退税账户</t>
        </is>
      </c>
      <c r="B1465" t="inlineStr">
        <is>
          <t>CLR_ASSET_OTHERS_INVENTORY</t>
        </is>
      </c>
      <c r="C1465" t="inlineStr">
        <is>
          <t>INVENTORYFLAG08</t>
        </is>
      </c>
      <c r="D1465" t="inlineStr">
        <is>
          <t>CHAR(1)</t>
        </is>
      </c>
      <c r="E1465" t="inlineStr">
        <is>
          <t>YES</t>
        </is>
      </c>
      <c r="F1465" t="inlineStr">
        <is>
          <t>是否已提交货运合同</t>
        </is>
      </c>
      <c r="H1465" t="inlineStr">
        <is>
          <t>CHAR</t>
        </is>
      </c>
      <c r="I1465" t="inlineStr">
        <is>
          <t>1</t>
        </is>
      </c>
    </row>
    <row r="1466">
      <c r="A1466" t="inlineStr">
        <is>
          <t>实物存货/货权/出口退税账户</t>
        </is>
      </c>
      <c r="B1466" t="inlineStr">
        <is>
          <t>CLR_ASSET_OTHERS_INVENTORY</t>
        </is>
      </c>
      <c r="C1466" t="inlineStr">
        <is>
          <t>INVENTORYFLAG10</t>
        </is>
      </c>
      <c r="D1466" t="inlineStr">
        <is>
          <t>CHAR(1)</t>
        </is>
      </c>
      <c r="E1466" t="inlineStr">
        <is>
          <t>YES</t>
        </is>
      </c>
      <c r="F1466" t="inlineStr">
        <is>
          <t>是否已提交由托管机构指定仓库提供的出质人名下的贵金属的证明文件</t>
        </is>
      </c>
      <c r="H1466" t="inlineStr">
        <is>
          <t>CHAR</t>
        </is>
      </c>
      <c r="I1466" t="inlineStr">
        <is>
          <t>1</t>
        </is>
      </c>
    </row>
    <row r="1467">
      <c r="A1467" t="inlineStr">
        <is>
          <t>实物存货/货权/出口退税账户</t>
        </is>
      </c>
      <c r="B1467" t="inlineStr">
        <is>
          <t>CLR_ASSET_OTHERS_INVENTORY</t>
        </is>
      </c>
      <c r="C1467" t="inlineStr">
        <is>
          <t>INVENTORYFLAG11</t>
        </is>
      </c>
      <c r="D1467" t="inlineStr">
        <is>
          <t>CHAR(1)</t>
        </is>
      </c>
      <c r="E1467" t="inlineStr">
        <is>
          <t>YES</t>
        </is>
      </c>
      <c r="F1467" t="inlineStr">
        <is>
          <t>是否已提交信用证项下的货物、权利凭证</t>
        </is>
      </c>
      <c r="H1467" t="inlineStr">
        <is>
          <t>CHAR</t>
        </is>
      </c>
      <c r="I1467" t="inlineStr">
        <is>
          <t>1</t>
        </is>
      </c>
    </row>
    <row r="1468">
      <c r="A1468" t="inlineStr">
        <is>
          <t>实物存货/货权/出口退税账户</t>
        </is>
      </c>
      <c r="B1468" t="inlineStr">
        <is>
          <t>CLR_ASSET_OTHERS_INVENTORY</t>
        </is>
      </c>
      <c r="C1468" t="inlineStr">
        <is>
          <t>ISCOMMITWR</t>
        </is>
      </c>
      <c r="D1468" t="inlineStr">
        <is>
          <t>CHAR(1)</t>
        </is>
      </c>
      <c r="E1468" t="inlineStr">
        <is>
          <t>YES</t>
        </is>
      </c>
      <c r="F1468" t="inlineStr">
        <is>
          <t>是否已提交仓单凭证</t>
        </is>
      </c>
      <c r="H1468" t="inlineStr">
        <is>
          <t>CHAR</t>
        </is>
      </c>
      <c r="I1468" t="inlineStr">
        <is>
          <t>1</t>
        </is>
      </c>
    </row>
    <row r="1469">
      <c r="A1469" t="inlineStr">
        <is>
          <t>实物存货/货权/出口退税账户</t>
        </is>
      </c>
      <c r="B1469" t="inlineStr">
        <is>
          <t>CLR_ASSET_OTHERS_INVENTORY</t>
        </is>
      </c>
      <c r="C1469" t="inlineStr">
        <is>
          <t>ISCOMMITSOURCECERT</t>
        </is>
      </c>
      <c r="D1469" t="inlineStr">
        <is>
          <t>CHAR(1)</t>
        </is>
      </c>
      <c r="E1469" t="inlineStr">
        <is>
          <t>YES</t>
        </is>
      </c>
      <c r="F1469" t="inlineStr">
        <is>
          <t>是否已提交原产地证</t>
        </is>
      </c>
      <c r="H1469" t="inlineStr">
        <is>
          <t>CHAR</t>
        </is>
      </c>
      <c r="I1469" t="inlineStr">
        <is>
          <t>1</t>
        </is>
      </c>
    </row>
    <row r="1470">
      <c r="A1470" t="inlineStr">
        <is>
          <t>实物存货/货权/出口退税账户</t>
        </is>
      </c>
      <c r="B1470" t="inlineStr">
        <is>
          <t>CLR_ASSET_OTHERS_INVENTORY</t>
        </is>
      </c>
      <c r="C1470" t="inlineStr">
        <is>
          <t>ISCOMMITPAYMENTVOUCHER</t>
        </is>
      </c>
      <c r="D1470" t="inlineStr">
        <is>
          <t>CHAR(1)</t>
        </is>
      </c>
      <c r="E1470" t="inlineStr">
        <is>
          <t>YES</t>
        </is>
      </c>
      <c r="F1470" t="inlineStr">
        <is>
          <t>是否已提交付款凭证</t>
        </is>
      </c>
      <c r="H1470" t="inlineStr">
        <is>
          <t>CHAR</t>
        </is>
      </c>
      <c r="I1470" t="inlineStr">
        <is>
          <t>1</t>
        </is>
      </c>
    </row>
    <row r="1471">
      <c r="A1471" t="inlineStr">
        <is>
          <t>实物存货/货权/出口退税账户</t>
        </is>
      </c>
      <c r="B1471" t="inlineStr">
        <is>
          <t>CLR_ASSET_OTHERS_INVENTORY</t>
        </is>
      </c>
      <c r="C1471" t="inlineStr">
        <is>
          <t>ISCOMMITTRANSBILLS</t>
        </is>
      </c>
      <c r="D1471" t="inlineStr">
        <is>
          <t>CHAR(1)</t>
        </is>
      </c>
      <c r="E1471" t="inlineStr">
        <is>
          <t>YES</t>
        </is>
      </c>
      <c r="F1471" t="inlineStr">
        <is>
          <t>是否已提交运输单据</t>
        </is>
      </c>
      <c r="H1471" t="inlineStr">
        <is>
          <t>CHAR</t>
        </is>
      </c>
      <c r="I1471" t="inlineStr">
        <is>
          <t>1</t>
        </is>
      </c>
    </row>
    <row r="1472">
      <c r="A1472" t="inlineStr">
        <is>
          <t>实物存货/货权/出口退税账户</t>
        </is>
      </c>
      <c r="B1472" t="inlineStr">
        <is>
          <t>CLR_ASSET_OTHERS_INVENTORY</t>
        </is>
      </c>
      <c r="C1472" t="inlineStr">
        <is>
          <t>ISCOMMITQUALITYINSPECTION</t>
        </is>
      </c>
      <c r="D1472" t="inlineStr">
        <is>
          <t>CHAR(1)</t>
        </is>
      </c>
      <c r="E1472" t="inlineStr">
        <is>
          <t>YES</t>
        </is>
      </c>
      <c r="F1472" t="inlineStr">
        <is>
          <t>是否已提交质量和重量检验证明</t>
        </is>
      </c>
      <c r="H1472" t="inlineStr">
        <is>
          <t>CHAR</t>
        </is>
      </c>
      <c r="I1472" t="inlineStr">
        <is>
          <t>1</t>
        </is>
      </c>
    </row>
    <row r="1473">
      <c r="A1473" t="inlineStr">
        <is>
          <t>实物存货/货权/出口退税账户</t>
        </is>
      </c>
      <c r="B1473" t="inlineStr">
        <is>
          <t>CLR_ASSET_OTHERS_INVENTORY</t>
        </is>
      </c>
      <c r="C1473" t="inlineStr">
        <is>
          <t>ETRA01</t>
        </is>
      </c>
      <c r="D1473" t="inlineStr">
        <is>
          <t>CHAR(1)</t>
        </is>
      </c>
      <c r="E1473" t="inlineStr">
        <is>
          <t>YES</t>
        </is>
      </c>
      <c r="F1473" t="inlineStr">
        <is>
          <t>是否已提交出口货物报关单（出口退税联）</t>
        </is>
      </c>
      <c r="H1473" t="inlineStr">
        <is>
          <t>CHAR</t>
        </is>
      </c>
      <c r="I1473" t="inlineStr">
        <is>
          <t>1</t>
        </is>
      </c>
    </row>
    <row r="1474">
      <c r="A1474" t="inlineStr">
        <is>
          <t>实物存货/货权/出口退税账户</t>
        </is>
      </c>
      <c r="B1474" t="inlineStr">
        <is>
          <t>CLR_ASSET_OTHERS_INVENTORY</t>
        </is>
      </c>
      <c r="C1474" t="inlineStr">
        <is>
          <t>ETRA02</t>
        </is>
      </c>
      <c r="D1474" t="inlineStr">
        <is>
          <t>CHAR(1)</t>
        </is>
      </c>
      <c r="E1474" t="inlineStr">
        <is>
          <t>YES</t>
        </is>
      </c>
      <c r="F1474" t="inlineStr">
        <is>
          <t>是否已提交与出口退税账户相关的企业法人营业执照</t>
        </is>
      </c>
      <c r="H1474" t="inlineStr">
        <is>
          <t>CHAR</t>
        </is>
      </c>
      <c r="I1474" t="inlineStr">
        <is>
          <t>1</t>
        </is>
      </c>
    </row>
    <row r="1475">
      <c r="A1475" t="inlineStr">
        <is>
          <t>实物存货/货权/出口退税账户</t>
        </is>
      </c>
      <c r="B1475" t="inlineStr">
        <is>
          <t>CLR_ASSET_OTHERS_INVENTORY</t>
        </is>
      </c>
      <c r="C1475" t="inlineStr">
        <is>
          <t>ETRA03</t>
        </is>
      </c>
      <c r="D1475" t="inlineStr">
        <is>
          <t>CHAR(1)</t>
        </is>
      </c>
      <c r="E1475" t="inlineStr">
        <is>
          <t>YES</t>
        </is>
      </c>
      <c r="F1475" t="inlineStr">
        <is>
          <t>是否已提交外汇核销单</t>
        </is>
      </c>
      <c r="H1475" t="inlineStr">
        <is>
          <t>CHAR</t>
        </is>
      </c>
      <c r="I1475" t="inlineStr">
        <is>
          <t>1</t>
        </is>
      </c>
    </row>
    <row r="1476">
      <c r="A1476" t="inlineStr">
        <is>
          <t>实物存货/货权/出口退税账户</t>
        </is>
      </c>
      <c r="B1476" t="inlineStr">
        <is>
          <t>CLR_ASSET_OTHERS_INVENTORY</t>
        </is>
      </c>
      <c r="C1476" t="inlineStr">
        <is>
          <t>ETRA04</t>
        </is>
      </c>
      <c r="D1476" t="inlineStr">
        <is>
          <t>CHAR(1)</t>
        </is>
      </c>
      <c r="E1476" t="inlineStr">
        <is>
          <t>YES</t>
        </is>
      </c>
      <c r="F1476" t="inlineStr">
        <is>
          <t>是否已提交出口收汇税单</t>
        </is>
      </c>
      <c r="H1476" t="inlineStr">
        <is>
          <t>CHAR</t>
        </is>
      </c>
      <c r="I1476" t="inlineStr">
        <is>
          <t>1</t>
        </is>
      </c>
    </row>
    <row r="1477">
      <c r="A1477" t="inlineStr">
        <is>
          <t>实物存货/货权/出口退税账户</t>
        </is>
      </c>
      <c r="B1477" t="inlineStr">
        <is>
          <t>CLR_ASSET_OTHERS_INVENTORY</t>
        </is>
      </c>
      <c r="C1477" t="inlineStr">
        <is>
          <t>ETRA05</t>
        </is>
      </c>
      <c r="D1477" t="inlineStr">
        <is>
          <t>CHAR(1)</t>
        </is>
      </c>
      <c r="E1477" t="inlineStr">
        <is>
          <t>YES</t>
        </is>
      </c>
      <c r="F1477" t="inlineStr">
        <is>
          <t>是否已提交增值税专用发票</t>
        </is>
      </c>
      <c r="H1477" t="inlineStr">
        <is>
          <t>CHAR</t>
        </is>
      </c>
      <c r="I1477" t="inlineStr">
        <is>
          <t>1</t>
        </is>
      </c>
    </row>
    <row r="1478">
      <c r="A1478" t="inlineStr">
        <is>
          <t>实物存货/货权/出口退税账户</t>
        </is>
      </c>
      <c r="B1478" t="inlineStr">
        <is>
          <t>CLR_ASSET_OTHERS_INVENTORY</t>
        </is>
      </c>
      <c r="C1478" t="inlineStr">
        <is>
          <t>ETRA06</t>
        </is>
      </c>
      <c r="D1478" t="inlineStr">
        <is>
          <t>CHAR(1)</t>
        </is>
      </c>
      <c r="E1478" t="inlineStr">
        <is>
          <t>YES</t>
        </is>
      </c>
      <c r="F1478" t="inlineStr">
        <is>
          <t>是否已提交税收（出口货物专用）缴款书</t>
        </is>
      </c>
      <c r="H1478" t="inlineStr">
        <is>
          <t>CHAR</t>
        </is>
      </c>
      <c r="I1478" t="inlineStr">
        <is>
          <t>1</t>
        </is>
      </c>
    </row>
    <row r="1479">
      <c r="A1479" t="inlineStr">
        <is>
          <t>实物存货/货权/出口退税账户</t>
        </is>
      </c>
      <c r="B1479" t="inlineStr">
        <is>
          <t>CLR_ASSET_OTHERS_INVENTORY</t>
        </is>
      </c>
      <c r="C1479" t="inlineStr">
        <is>
          <t>ETRA07</t>
        </is>
      </c>
      <c r="D1479" t="inlineStr">
        <is>
          <t>CHAR(1)</t>
        </is>
      </c>
      <c r="E1479" t="inlineStr">
        <is>
          <t>YES</t>
        </is>
      </c>
      <c r="F1479" t="inlineStr">
        <is>
          <t>是否已提交商品出口协议</t>
        </is>
      </c>
      <c r="H1479" t="inlineStr">
        <is>
          <t>CHAR</t>
        </is>
      </c>
      <c r="I1479" t="inlineStr">
        <is>
          <t>1</t>
        </is>
      </c>
    </row>
    <row r="1480">
      <c r="A1480" t="inlineStr">
        <is>
          <t>实物存货/货权/出口退税账户</t>
        </is>
      </c>
      <c r="B1480" t="inlineStr">
        <is>
          <t>CLR_ASSET_OTHERS_INVENTORY</t>
        </is>
      </c>
      <c r="C1480" t="inlineStr">
        <is>
          <t>ETRA08</t>
        </is>
      </c>
      <c r="D1480" t="inlineStr">
        <is>
          <t>CHAR(1)</t>
        </is>
      </c>
      <c r="E1480" t="inlineStr">
        <is>
          <t>YES</t>
        </is>
      </c>
      <c r="F1480" t="inlineStr">
        <is>
          <t>是否已提交国税局签发的未退税金额情况证明</t>
        </is>
      </c>
      <c r="H1480" t="inlineStr">
        <is>
          <t>CHAR</t>
        </is>
      </c>
      <c r="I1480" t="inlineStr">
        <is>
          <t>1</t>
        </is>
      </c>
    </row>
    <row r="1481">
      <c r="A1481" t="inlineStr">
        <is>
          <t>实物存货/货权/出口退税账户</t>
        </is>
      </c>
      <c r="B1481" t="inlineStr">
        <is>
          <t>CLR_ASSET_OTHERS_INVENTORY</t>
        </is>
      </c>
      <c r="C1481" t="inlineStr">
        <is>
          <t>ETRA09</t>
        </is>
      </c>
      <c r="D1481" t="inlineStr">
        <is>
          <t>CHAR(1)</t>
        </is>
      </c>
      <c r="E1481" t="inlineStr">
        <is>
          <t>YES</t>
        </is>
      </c>
      <c r="F1481" t="inlineStr">
        <is>
          <t>是否已提交外经贸委签发的未退税额证明</t>
        </is>
      </c>
      <c r="H1481" t="inlineStr">
        <is>
          <t>CHAR</t>
        </is>
      </c>
      <c r="I1481" t="inlineStr">
        <is>
          <t>1</t>
        </is>
      </c>
    </row>
    <row r="1482">
      <c r="A1482" t="inlineStr">
        <is>
          <t>实物存货/货权/出口退税账户</t>
        </is>
      </c>
      <c r="B1482" t="inlineStr">
        <is>
          <t>CLR_ASSET_OTHERS_INVENTORY</t>
        </is>
      </c>
      <c r="C1482" t="inlineStr">
        <is>
          <t>ETRA10</t>
        </is>
      </c>
      <c r="D1482" t="inlineStr">
        <is>
          <t>CHAR(1)</t>
        </is>
      </c>
      <c r="E1482" t="inlineStr">
        <is>
          <t>YES</t>
        </is>
      </c>
      <c r="F1482" t="inlineStr">
        <is>
          <t>是否已提交借款人应退未退税款数额的相应稽核证明</t>
        </is>
      </c>
      <c r="H1482" t="inlineStr">
        <is>
          <t>CHAR</t>
        </is>
      </c>
      <c r="I1482" t="inlineStr">
        <is>
          <t>1</t>
        </is>
      </c>
    </row>
    <row r="1483">
      <c r="A1483" t="inlineStr">
        <is>
          <t>实物存货/货权/出口退税账户</t>
        </is>
      </c>
      <c r="B1483" t="inlineStr">
        <is>
          <t>CLR_ASSET_OTHERS_INVENTORY</t>
        </is>
      </c>
      <c r="C1483" t="inlineStr">
        <is>
          <t>ETRA11</t>
        </is>
      </c>
      <c r="D1483" t="inlineStr">
        <is>
          <t>CHAR(1)</t>
        </is>
      </c>
      <c r="E1483" t="inlineStr">
        <is>
          <t>YES</t>
        </is>
      </c>
      <c r="F1483" t="inlineStr">
        <is>
          <t>是否已提交出口退税账号相关存折或凭证</t>
        </is>
      </c>
      <c r="H1483" t="inlineStr">
        <is>
          <t>CHAR</t>
        </is>
      </c>
      <c r="I1483" t="inlineStr">
        <is>
          <t>1</t>
        </is>
      </c>
    </row>
    <row r="1484">
      <c r="A1484" t="inlineStr">
        <is>
          <t>实物存货/货权/出口退税账户</t>
        </is>
      </c>
      <c r="B1484" t="inlineStr">
        <is>
          <t>CLR_ASSET_OTHERS_INVENTORY</t>
        </is>
      </c>
      <c r="C1484" t="inlineStr">
        <is>
          <t>ETRA12</t>
        </is>
      </c>
      <c r="D1484" t="inlineStr">
        <is>
          <t>CHAR(1)</t>
        </is>
      </c>
      <c r="E1484" t="inlineStr">
        <is>
          <t>YES</t>
        </is>
      </c>
      <c r="F1484" t="inlineStr">
        <is>
          <t>市价是否由独立的价值评估者所估计</t>
        </is>
      </c>
      <c r="H1484" t="inlineStr">
        <is>
          <t>CHAR</t>
        </is>
      </c>
      <c r="I1484" t="inlineStr">
        <is>
          <t>1</t>
        </is>
      </c>
    </row>
    <row r="1485">
      <c r="A1485" t="inlineStr">
        <is>
          <t>实物存货/货权/出口退税账户</t>
        </is>
      </c>
      <c r="B1485" t="inlineStr">
        <is>
          <t>CLR_ASSET_OTHERS_INVENTORY</t>
        </is>
      </c>
      <c r="C1485" t="inlineStr">
        <is>
          <t>INPUTORGID</t>
        </is>
      </c>
      <c r="D1485" t="inlineStr">
        <is>
          <t>VARCHAR(32)</t>
        </is>
      </c>
      <c r="E1485" t="inlineStr">
        <is>
          <t>YES</t>
        </is>
      </c>
      <c r="F1485" t="inlineStr">
        <is>
          <t>登记机构</t>
        </is>
      </c>
      <c r="H1485" t="inlineStr">
        <is>
          <t>VARCHAR</t>
        </is>
      </c>
      <c r="I1485" t="inlineStr">
        <is>
          <t>32</t>
        </is>
      </c>
    </row>
    <row r="1486">
      <c r="A1486" t="inlineStr">
        <is>
          <t>实物存货/货权/出口退税账户</t>
        </is>
      </c>
      <c r="B1486" t="inlineStr">
        <is>
          <t>CLR_ASSET_OTHERS_INVENTORY</t>
        </is>
      </c>
      <c r="C1486" t="inlineStr">
        <is>
          <t>INPUTUSERID</t>
        </is>
      </c>
      <c r="D1486" t="inlineStr">
        <is>
          <t>VARCHAR(32)</t>
        </is>
      </c>
      <c r="E1486" t="inlineStr">
        <is>
          <t>YES</t>
        </is>
      </c>
      <c r="F1486" t="inlineStr">
        <is>
          <t>登记人</t>
        </is>
      </c>
      <c r="H1486" t="inlineStr">
        <is>
          <t>VARCHAR</t>
        </is>
      </c>
      <c r="I1486" t="inlineStr">
        <is>
          <t>32</t>
        </is>
      </c>
    </row>
    <row r="1487">
      <c r="A1487" t="inlineStr">
        <is>
          <t>实物存货/货权/出口退税账户</t>
        </is>
      </c>
      <c r="B1487" t="inlineStr">
        <is>
          <t>CLR_ASSET_OTHERS_INVENTORY</t>
        </is>
      </c>
      <c r="C1487" t="inlineStr">
        <is>
          <t>INPUTDATE</t>
        </is>
      </c>
      <c r="D1487" t="inlineStr">
        <is>
          <t>DATETIME</t>
        </is>
      </c>
      <c r="E1487" t="inlineStr">
        <is>
          <t>YES</t>
        </is>
      </c>
      <c r="F1487" t="inlineStr">
        <is>
          <t>登记日期</t>
        </is>
      </c>
      <c r="H1487" t="inlineStr">
        <is>
          <t>DATETIME</t>
        </is>
      </c>
    </row>
    <row r="1488">
      <c r="A1488" t="inlineStr">
        <is>
          <t>实物存货/货权/出口退税账户</t>
        </is>
      </c>
      <c r="B1488" t="inlineStr">
        <is>
          <t>CLR_ASSET_OTHERS_INVENTORY</t>
        </is>
      </c>
      <c r="C1488" t="inlineStr">
        <is>
          <t>UPDATEORGID</t>
        </is>
      </c>
      <c r="D1488" t="inlineStr">
        <is>
          <t>VARCHAR(32)</t>
        </is>
      </c>
      <c r="E1488" t="inlineStr">
        <is>
          <t>YES</t>
        </is>
      </c>
      <c r="F1488" t="inlineStr">
        <is>
          <t>更新机构</t>
        </is>
      </c>
      <c r="H1488" t="inlineStr">
        <is>
          <t>VARCHAR</t>
        </is>
      </c>
      <c r="I1488" t="inlineStr">
        <is>
          <t>32</t>
        </is>
      </c>
    </row>
    <row r="1489">
      <c r="A1489" t="inlineStr">
        <is>
          <t>实物存货/货权/出口退税账户</t>
        </is>
      </c>
      <c r="B1489" t="inlineStr">
        <is>
          <t>CLR_ASSET_OTHERS_INVENTORY</t>
        </is>
      </c>
      <c r="C1489" t="inlineStr">
        <is>
          <t>UPDATEUSERID</t>
        </is>
      </c>
      <c r="D1489" t="inlineStr">
        <is>
          <t>VARCHAR(32)</t>
        </is>
      </c>
      <c r="E1489" t="inlineStr">
        <is>
          <t>YES</t>
        </is>
      </c>
      <c r="F1489" t="inlineStr">
        <is>
          <t>更新人</t>
        </is>
      </c>
      <c r="H1489" t="inlineStr">
        <is>
          <t>VARCHAR</t>
        </is>
      </c>
      <c r="I1489" t="inlineStr">
        <is>
          <t>32</t>
        </is>
      </c>
    </row>
    <row r="1490">
      <c r="A1490" t="inlineStr">
        <is>
          <t>实物存货/货权/出口退税账户</t>
        </is>
      </c>
      <c r="B1490" t="inlineStr">
        <is>
          <t>CLR_ASSET_OTHERS_INVENTORY</t>
        </is>
      </c>
      <c r="C1490" t="inlineStr">
        <is>
          <t>UPDATEDATE</t>
        </is>
      </c>
      <c r="D1490" t="inlineStr">
        <is>
          <t>DATETIME</t>
        </is>
      </c>
      <c r="E1490" t="inlineStr">
        <is>
          <t>YES</t>
        </is>
      </c>
      <c r="F1490" t="inlineStr">
        <is>
          <t>更新日期</t>
        </is>
      </c>
      <c r="H1490" t="inlineStr">
        <is>
          <t>DATETIME</t>
        </is>
      </c>
    </row>
    <row r="1491">
      <c r="A1491" t="inlineStr">
        <is>
          <t>实物存货/货权/出口退税账户</t>
        </is>
      </c>
      <c r="B1491" t="inlineStr">
        <is>
          <t>CLR_ASSET_OTHERS_INVENTORY</t>
        </is>
      </c>
      <c r="C1491" t="inlineStr">
        <is>
          <t>REMARK</t>
        </is>
      </c>
      <c r="D1491" t="inlineStr">
        <is>
          <t>VARCHAR(500)</t>
        </is>
      </c>
      <c r="E1491" t="inlineStr">
        <is>
          <t>YES</t>
        </is>
      </c>
      <c r="F1491" t="inlineStr">
        <is>
          <t>备注</t>
        </is>
      </c>
      <c r="H1491" t="inlineStr">
        <is>
          <t>VARCHAR</t>
        </is>
      </c>
      <c r="I1491" t="inlineStr">
        <is>
          <t>500</t>
        </is>
      </c>
    </row>
    <row r="1492">
      <c r="A1492" t="inlineStr">
        <is>
          <t>实物存货/货权/出口退税账户</t>
        </is>
      </c>
      <c r="B1492" t="inlineStr">
        <is>
          <t>CLR_ASSET_OTHERS_INVENTORY</t>
        </is>
      </c>
      <c r="C1492" t="inlineStr">
        <is>
          <t>CORPORGID</t>
        </is>
      </c>
      <c r="D1492" t="inlineStr">
        <is>
          <t>VARCHAR(32)</t>
        </is>
      </c>
      <c r="E1492" t="inlineStr">
        <is>
          <t>YES</t>
        </is>
      </c>
      <c r="F1492" t="inlineStr">
        <is>
          <t>法人机构编号</t>
        </is>
      </c>
      <c r="H1492" t="inlineStr">
        <is>
          <t>VARCHAR</t>
        </is>
      </c>
      <c r="I1492" t="inlineStr">
        <is>
          <t>32</t>
        </is>
      </c>
    </row>
    <row r="1493">
      <c r="A1493" t="inlineStr">
        <is>
          <t>实物存货/货权/出口退税账户</t>
        </is>
      </c>
      <c r="B1493" t="inlineStr">
        <is>
          <t>CLR_ASSET_OTHERS_INVENTORY</t>
        </is>
      </c>
      <c r="C1493" t="inlineStr">
        <is>
          <t>LOANCARDNO</t>
        </is>
      </c>
      <c r="D1493" t="inlineStr">
        <is>
          <t>VARCHAR(32)</t>
        </is>
      </c>
      <c r="E1493" t="inlineStr">
        <is>
          <t>YES</t>
        </is>
      </c>
      <c r="F1493" t="inlineStr">
        <is>
          <t>出质人贷款卡号</t>
        </is>
      </c>
      <c r="H1493" t="inlineStr">
        <is>
          <t>VARCHAR</t>
        </is>
      </c>
      <c r="I1493" t="inlineStr">
        <is>
          <t>32</t>
        </is>
      </c>
    </row>
    <row r="1494">
      <c r="A1494" t="inlineStr">
        <is>
          <t>实物存货/货权/出口退税账户</t>
        </is>
      </c>
      <c r="B1494" t="inlineStr">
        <is>
          <t>CLR_ASSET_OTHERS_INVENTORY</t>
        </is>
      </c>
      <c r="C1494" t="inlineStr">
        <is>
          <t>GUARANTYAMOUNT</t>
        </is>
      </c>
      <c r="D1494" t="inlineStr">
        <is>
          <t>DECIMAL(24,6)</t>
        </is>
      </c>
      <c r="E1494" t="inlineStr">
        <is>
          <t>YES</t>
        </is>
      </c>
      <c r="F1494" t="inlineStr">
        <is>
          <t>质押物数量</t>
        </is>
      </c>
      <c r="H1494" t="inlineStr">
        <is>
          <t>DECIMAL</t>
        </is>
      </c>
      <c r="I1494" t="inlineStr">
        <is>
          <t>24,6</t>
        </is>
      </c>
    </row>
    <row r="1495">
      <c r="A1495" t="inlineStr">
        <is>
          <t>实物存货/货权/出口退税账户</t>
        </is>
      </c>
      <c r="B1495" t="inlineStr">
        <is>
          <t>CLR_ASSET_OTHERS_INVENTORY</t>
        </is>
      </c>
      <c r="C1495" t="inlineStr">
        <is>
          <t>GUARANTYRIGHTID</t>
        </is>
      </c>
      <c r="D1495" t="inlineStr">
        <is>
          <t>VARCHAR(800)</t>
        </is>
      </c>
      <c r="E1495" t="inlineStr">
        <is>
          <t>YES</t>
        </is>
      </c>
      <c r="F1495" t="inlineStr">
        <is>
          <t>权证号</t>
        </is>
      </c>
      <c r="H1495" t="inlineStr">
        <is>
          <t>VARCHAR</t>
        </is>
      </c>
      <c r="I1495" t="inlineStr">
        <is>
          <t>800</t>
        </is>
      </c>
    </row>
    <row r="1496">
      <c r="A1496" t="inlineStr">
        <is>
          <t>实物存货/货权/出口退税账户</t>
        </is>
      </c>
      <c r="B1496" t="inlineStr">
        <is>
          <t>CLR_ASSET_OTHERS_INVENTORY</t>
        </is>
      </c>
      <c r="C1496" t="inlineStr">
        <is>
          <t>GUARANTYVALUE</t>
        </is>
      </c>
      <c r="D1496" t="inlineStr">
        <is>
          <t>DECIMAL(24,6)</t>
        </is>
      </c>
      <c r="E1496" t="inlineStr">
        <is>
          <t>YES</t>
        </is>
      </c>
      <c r="F1496" t="inlineStr">
        <is>
          <t>存货价值</t>
        </is>
      </c>
      <c r="H1496" t="inlineStr">
        <is>
          <t>DECIMAL</t>
        </is>
      </c>
      <c r="I1496" t="inlineStr">
        <is>
          <t>24,6</t>
        </is>
      </c>
    </row>
    <row r="1497">
      <c r="A1497" t="inlineStr">
        <is>
          <t>实物存货/货权/出口退税账户</t>
        </is>
      </c>
      <c r="B1497" t="inlineStr">
        <is>
          <t>CLR_ASSET_OTHERS_INVENTORY</t>
        </is>
      </c>
      <c r="C1497" t="inlineStr">
        <is>
          <t>CURRENCY</t>
        </is>
      </c>
      <c r="D1497" t="inlineStr">
        <is>
          <t>VARCHAR(18)</t>
        </is>
      </c>
      <c r="E1497" t="inlineStr">
        <is>
          <t>YES</t>
        </is>
      </c>
      <c r="F1497" t="inlineStr">
        <is>
          <t>质押物原币种</t>
        </is>
      </c>
      <c r="H1497" t="inlineStr">
        <is>
          <t>VARCHAR</t>
        </is>
      </c>
      <c r="I1497" t="inlineStr">
        <is>
          <t>18</t>
        </is>
      </c>
    </row>
    <row r="1498">
      <c r="A1498" t="inlineStr">
        <is>
          <t>实物存货/货权/出口退税账户</t>
        </is>
      </c>
      <c r="B1498" t="inlineStr">
        <is>
          <t>CLR_ASSET_OTHERS_INVENTORY</t>
        </is>
      </c>
      <c r="C1498" t="inlineStr">
        <is>
          <t>ORIGINALVALUE</t>
        </is>
      </c>
      <c r="D1498" t="inlineStr">
        <is>
          <t>DECIMAL(24,6)</t>
        </is>
      </c>
      <c r="E1498" t="inlineStr">
        <is>
          <t>YES</t>
        </is>
      </c>
      <c r="F1498" t="inlineStr">
        <is>
          <t>质押物原价值</t>
        </is>
      </c>
      <c r="H1498" t="inlineStr">
        <is>
          <t>DECIMAL</t>
        </is>
      </c>
      <c r="I1498" t="inlineStr">
        <is>
          <t>24,6</t>
        </is>
      </c>
    </row>
    <row r="1499">
      <c r="A1499" t="inlineStr">
        <is>
          <t>实物存货/货权/出口退税账户</t>
        </is>
      </c>
      <c r="B1499" t="inlineStr">
        <is>
          <t>CLR_ASSET_OTHERS_INVENTORY</t>
        </is>
      </c>
      <c r="C1499" t="inlineStr">
        <is>
          <t>REALIZATIONVALUE</t>
        </is>
      </c>
      <c r="D1499" t="inlineStr">
        <is>
          <t>DECIMAL(24,6)</t>
        </is>
      </c>
      <c r="E1499" t="inlineStr">
        <is>
          <t>YES</t>
        </is>
      </c>
      <c r="F1499" t="inlineStr">
        <is>
          <t>预计变现值</t>
        </is>
      </c>
      <c r="H1499" t="inlineStr">
        <is>
          <t>DECIMAL</t>
        </is>
      </c>
      <c r="I1499" t="inlineStr">
        <is>
          <t>24,6</t>
        </is>
      </c>
    </row>
    <row r="1500">
      <c r="A1500" t="inlineStr">
        <is>
          <t>实物存货/货权/出口退税账户</t>
        </is>
      </c>
      <c r="B1500" t="inlineStr">
        <is>
          <t>CLR_ASSET_OTHERS_INVENTORY</t>
        </is>
      </c>
      <c r="C1500" t="inlineStr">
        <is>
          <t>REALIZATIONCOST</t>
        </is>
      </c>
      <c r="D1500" t="inlineStr">
        <is>
          <t>DECIMAL(24,6)</t>
        </is>
      </c>
      <c r="E1500" t="inlineStr">
        <is>
          <t>YES</t>
        </is>
      </c>
      <c r="F1500" t="inlineStr">
        <is>
          <t>预计变现成本</t>
        </is>
      </c>
      <c r="H1500" t="inlineStr">
        <is>
          <t>DECIMAL</t>
        </is>
      </c>
      <c r="I1500" t="inlineStr">
        <is>
          <t>24,6</t>
        </is>
      </c>
    </row>
    <row r="1501">
      <c r="A1501" t="inlineStr">
        <is>
          <t>实物存货/货权/出口退税账户</t>
        </is>
      </c>
      <c r="B1501" t="inlineStr">
        <is>
          <t>CLR_ASSET_OTHERS_INVENTORY</t>
        </is>
      </c>
      <c r="C1501" t="inlineStr">
        <is>
          <t>PURCHASEDVALUE</t>
        </is>
      </c>
      <c r="D1501" t="inlineStr">
        <is>
          <t>DECIMAL(24,6)</t>
        </is>
      </c>
      <c r="E1501" t="inlineStr">
        <is>
          <t>YES</t>
        </is>
      </c>
      <c r="F1501" t="inlineStr">
        <is>
          <t>货物购入价值</t>
        </is>
      </c>
      <c r="H1501" t="inlineStr">
        <is>
          <t>DECIMAL</t>
        </is>
      </c>
      <c r="I1501" t="inlineStr">
        <is>
          <t>24,6</t>
        </is>
      </c>
    </row>
    <row r="1502">
      <c r="A1502" t="inlineStr">
        <is>
          <t>实物存货/货权/出口退税账户</t>
        </is>
      </c>
      <c r="B1502" t="inlineStr">
        <is>
          <t>CLR_ASSET_OTHERS_INVENTORY</t>
        </is>
      </c>
      <c r="C1502" t="inlineStr">
        <is>
          <t>STORAGELOCATION</t>
        </is>
      </c>
      <c r="D1502" t="inlineStr">
        <is>
          <t>VARCHAR(200)</t>
        </is>
      </c>
      <c r="E1502" t="inlineStr">
        <is>
          <t>YES</t>
        </is>
      </c>
      <c r="F1502" t="inlineStr">
        <is>
          <t>存放地点/提货地点</t>
        </is>
      </c>
      <c r="H1502" t="inlineStr">
        <is>
          <t>VARCHAR</t>
        </is>
      </c>
      <c r="I1502" t="inlineStr">
        <is>
          <t>200</t>
        </is>
      </c>
    </row>
    <row r="1503">
      <c r="A1503" t="inlineStr">
        <is>
          <t>实物存货/货权/出口退税账户</t>
        </is>
      </c>
      <c r="B1503" t="inlineStr">
        <is>
          <t>CLR_ASSET_OTHERS_INVENTORY</t>
        </is>
      </c>
      <c r="C1503" t="inlineStr">
        <is>
          <t>SUPPLIERNAME</t>
        </is>
      </c>
      <c r="D1503" t="inlineStr">
        <is>
          <t>VARCHAR(80)</t>
        </is>
      </c>
      <c r="E1503" t="inlineStr">
        <is>
          <t>YES</t>
        </is>
      </c>
      <c r="F1503" t="inlineStr">
        <is>
          <t>供应商名称</t>
        </is>
      </c>
      <c r="H1503" t="inlineStr">
        <is>
          <t>VARCHAR</t>
        </is>
      </c>
      <c r="I1503" t="inlineStr">
        <is>
          <t>80</t>
        </is>
      </c>
    </row>
    <row r="1504">
      <c r="A1504" t="inlineStr">
        <is>
          <t>实物存货/货权/出口退税账户</t>
        </is>
      </c>
      <c r="B1504" t="inlineStr">
        <is>
          <t>CLR_ASSET_OTHERS_INVENTORY</t>
        </is>
      </c>
      <c r="C1504" t="inlineStr">
        <is>
          <t>DUETAX</t>
        </is>
      </c>
      <c r="D1504" t="inlineStr">
        <is>
          <t>DECIMAL(24,6)</t>
        </is>
      </c>
      <c r="E1504" t="inlineStr">
        <is>
          <t>YES</t>
        </is>
      </c>
      <c r="F1504" t="inlineStr">
        <is>
          <t>应退未退税金额</t>
        </is>
      </c>
      <c r="H1504" t="inlineStr">
        <is>
          <t>DECIMAL</t>
        </is>
      </c>
      <c r="I1504" t="inlineStr">
        <is>
          <t>24,6</t>
        </is>
      </c>
    </row>
    <row r="1505">
      <c r="A1505" t="inlineStr">
        <is>
          <t>实物存货/货权/出口退税账户</t>
        </is>
      </c>
      <c r="B1505" t="inlineStr">
        <is>
          <t>CLR_ASSET_OTHERS_INVENTORY</t>
        </is>
      </c>
      <c r="C1505" t="inlineStr">
        <is>
          <t>LIVESTOCKTYPE</t>
        </is>
      </c>
      <c r="D1505" t="inlineStr">
        <is>
          <t>VARCHAR(32)</t>
        </is>
      </c>
      <c r="E1505" t="inlineStr">
        <is>
          <t>YES</t>
        </is>
      </c>
      <c r="F1505" t="inlineStr">
        <is>
          <t>活畜种类</t>
        </is>
      </c>
      <c r="H1505" t="inlineStr">
        <is>
          <t>VARCHAR</t>
        </is>
      </c>
      <c r="I1505" t="inlineStr">
        <is>
          <t>32</t>
        </is>
      </c>
    </row>
    <row r="1506">
      <c r="A1506" t="inlineStr">
        <is>
          <t>实物存货/货权/出口退税账户</t>
        </is>
      </c>
      <c r="B1506" t="inlineStr">
        <is>
          <t>CLR_ASSET_OTHERS_INVENTORY</t>
        </is>
      </c>
      <c r="C1506" t="inlineStr">
        <is>
          <t>RIGHTHOLDER</t>
        </is>
      </c>
      <c r="D1506" t="inlineStr">
        <is>
          <t>VARCHAR(80)</t>
        </is>
      </c>
      <c r="E1506" t="inlineStr">
        <is>
          <t>YES</t>
        </is>
      </c>
      <c r="F1506" t="inlineStr">
        <is>
          <t>权利人</t>
        </is>
      </c>
      <c r="H1506" t="inlineStr">
        <is>
          <t>VARCHAR</t>
        </is>
      </c>
      <c r="I1506" t="inlineStr">
        <is>
          <t>80</t>
        </is>
      </c>
    </row>
    <row r="1507">
      <c r="A1507" t="inlineStr">
        <is>
          <t>资源资产</t>
        </is>
      </c>
      <c r="B1507" t="inlineStr">
        <is>
          <t>CLR_ASSET_OTHERS_RESOURCE</t>
        </is>
      </c>
      <c r="C1507" t="inlineStr">
        <is>
          <t>CLRID</t>
        </is>
      </c>
      <c r="D1507" t="inlineStr">
        <is>
          <t>VARCHAR(32)</t>
        </is>
      </c>
      <c r="E1507" t="inlineStr">
        <is>
          <t>NO</t>
        </is>
      </c>
      <c r="F1507" t="inlineStr">
        <is>
          <t>押品编号</t>
        </is>
      </c>
      <c r="H1507" t="inlineStr">
        <is>
          <t>VARCHAR</t>
        </is>
      </c>
      <c r="I1507" t="inlineStr">
        <is>
          <t>32</t>
        </is>
      </c>
    </row>
    <row r="1508">
      <c r="A1508" t="inlineStr">
        <is>
          <t>资源资产</t>
        </is>
      </c>
      <c r="B1508" t="inlineStr">
        <is>
          <t>CLR_ASSET_OTHERS_RESOURCE</t>
        </is>
      </c>
      <c r="C1508" t="inlineStr">
        <is>
          <t>LEGALREPRESENTATIVE</t>
        </is>
      </c>
      <c r="D1508" t="inlineStr">
        <is>
          <t>VARCHAR(80)</t>
        </is>
      </c>
      <c r="E1508" t="inlineStr">
        <is>
          <t>YES</t>
        </is>
      </c>
      <c r="F1508" t="inlineStr">
        <is>
          <t>法定代表人/森林或林木所有权权利人/资产权利人</t>
        </is>
      </c>
      <c r="H1508" t="inlineStr">
        <is>
          <t>VARCHAR</t>
        </is>
      </c>
      <c r="I1508" t="inlineStr">
        <is>
          <t>80</t>
        </is>
      </c>
    </row>
    <row r="1509">
      <c r="A1509" t="inlineStr">
        <is>
          <t>资源资产</t>
        </is>
      </c>
      <c r="B1509" t="inlineStr">
        <is>
          <t>CLR_ASSET_OTHERS_RESOURCE</t>
        </is>
      </c>
      <c r="C1509" t="inlineStr">
        <is>
          <t>FORESTLANDUSETYPE</t>
        </is>
      </c>
      <c r="D1509" t="inlineStr">
        <is>
          <t>VARCHAR(6)</t>
        </is>
      </c>
      <c r="E1509" t="inlineStr">
        <is>
          <t>YES</t>
        </is>
      </c>
      <c r="F1509" t="inlineStr">
        <is>
          <t>林地用途类型</t>
        </is>
      </c>
      <c r="H1509" t="inlineStr">
        <is>
          <t>VARCHAR</t>
        </is>
      </c>
      <c r="I1509" t="inlineStr">
        <is>
          <t>6</t>
        </is>
      </c>
    </row>
    <row r="1510">
      <c r="A1510" t="inlineStr">
        <is>
          <t>资源资产</t>
        </is>
      </c>
      <c r="B1510" t="inlineStr">
        <is>
          <t>CLR_ASSET_OTHERS_RESOURCE</t>
        </is>
      </c>
      <c r="C1510" t="inlineStr">
        <is>
          <t>RESOURCERIGHTTYPE</t>
        </is>
      </c>
      <c r="D1510" t="inlineStr">
        <is>
          <t>VARCHAR(6)</t>
        </is>
      </c>
      <c r="E1510" t="inlineStr">
        <is>
          <t>YES</t>
        </is>
      </c>
      <c r="F1510" t="inlineStr">
        <is>
          <t>林地资源权属类型</t>
        </is>
      </c>
      <c r="H1510" t="inlineStr">
        <is>
          <t>VARCHAR</t>
        </is>
      </c>
      <c r="I1510" t="inlineStr">
        <is>
          <t>6</t>
        </is>
      </c>
    </row>
    <row r="1511">
      <c r="A1511" t="inlineStr">
        <is>
          <t>资源资产</t>
        </is>
      </c>
      <c r="B1511" t="inlineStr">
        <is>
          <t>CLR_ASSET_OTHERS_RESOURCE</t>
        </is>
      </c>
      <c r="C1511" t="inlineStr">
        <is>
          <t>FOURBOUNDARY</t>
        </is>
      </c>
      <c r="D1511" t="inlineStr">
        <is>
          <t>VARCHAR(200)</t>
        </is>
      </c>
      <c r="E1511" t="inlineStr">
        <is>
          <t>YES</t>
        </is>
      </c>
      <c r="F1511" t="inlineStr">
        <is>
          <t>四至/荒地四至</t>
        </is>
      </c>
      <c r="H1511" t="inlineStr">
        <is>
          <t>VARCHAR</t>
        </is>
      </c>
      <c r="I1511" t="inlineStr">
        <is>
          <t>200</t>
        </is>
      </c>
    </row>
    <row r="1512">
      <c r="A1512" t="inlineStr">
        <is>
          <t>资源资产</t>
        </is>
      </c>
      <c r="B1512" t="inlineStr">
        <is>
          <t>CLR_ASSET_OTHERS_RESOURCE</t>
        </is>
      </c>
      <c r="C1512" t="inlineStr">
        <is>
          <t>FORESTCATEGORY</t>
        </is>
      </c>
      <c r="D1512" t="inlineStr">
        <is>
          <t>VARCHAR(80)</t>
        </is>
      </c>
      <c r="E1512" t="inlineStr">
        <is>
          <t>YES</t>
        </is>
      </c>
      <c r="F1512" t="inlineStr">
        <is>
          <t>林地林种</t>
        </is>
      </c>
      <c r="H1512" t="inlineStr">
        <is>
          <t>VARCHAR</t>
        </is>
      </c>
      <c r="I1512" t="inlineStr">
        <is>
          <t>80</t>
        </is>
      </c>
    </row>
    <row r="1513">
      <c r="A1513" t="inlineStr">
        <is>
          <t>资源资产</t>
        </is>
      </c>
      <c r="B1513" t="inlineStr">
        <is>
          <t>CLR_ASSET_OTHERS_RESOURCE</t>
        </is>
      </c>
      <c r="C1513" t="inlineStr">
        <is>
          <t>TREESPECY</t>
        </is>
      </c>
      <c r="D1513" t="inlineStr">
        <is>
          <t>VARCHAR(80)</t>
        </is>
      </c>
      <c r="E1513" t="inlineStr">
        <is>
          <t>YES</t>
        </is>
      </c>
      <c r="F1513" t="inlineStr">
        <is>
          <t>林地树种</t>
        </is>
      </c>
      <c r="H1513" t="inlineStr">
        <is>
          <t>VARCHAR</t>
        </is>
      </c>
      <c r="I1513" t="inlineStr">
        <is>
          <t>80</t>
        </is>
      </c>
    </row>
    <row r="1514">
      <c r="A1514" t="inlineStr">
        <is>
          <t>资源资产</t>
        </is>
      </c>
      <c r="B1514" t="inlineStr">
        <is>
          <t>CLR_ASSET_OTHERS_RESOURCE</t>
        </is>
      </c>
      <c r="C1514" t="inlineStr">
        <is>
          <t>TREEAGE</t>
        </is>
      </c>
      <c r="D1514" t="inlineStr">
        <is>
          <t>INT</t>
        </is>
      </c>
      <c r="E1514" t="inlineStr">
        <is>
          <t>YES</t>
        </is>
      </c>
      <c r="F1514" t="inlineStr">
        <is>
          <t>林地树龄</t>
        </is>
      </c>
      <c r="H1514" t="inlineStr">
        <is>
          <t>INT</t>
        </is>
      </c>
    </row>
    <row r="1515">
      <c r="A1515" t="inlineStr">
        <is>
          <t>资源资产</t>
        </is>
      </c>
      <c r="B1515" t="inlineStr">
        <is>
          <t>CLR_ASSET_OTHERS_RESOURCE</t>
        </is>
      </c>
      <c r="C1515" t="inlineStr">
        <is>
          <t>FORESTAGE</t>
        </is>
      </c>
      <c r="D1515" t="inlineStr">
        <is>
          <t>INT</t>
        </is>
      </c>
      <c r="E1515" t="inlineStr">
        <is>
          <t>YES</t>
        </is>
      </c>
      <c r="F1515" t="inlineStr">
        <is>
          <t>林地林龄</t>
        </is>
      </c>
      <c r="H1515" t="inlineStr">
        <is>
          <t>INT</t>
        </is>
      </c>
    </row>
    <row r="1516">
      <c r="A1516" t="inlineStr">
        <is>
          <t>资源资产</t>
        </is>
      </c>
      <c r="B1516" t="inlineStr">
        <is>
          <t>CLR_ASSET_OTHERS_RESOURCE</t>
        </is>
      </c>
      <c r="C1516" t="inlineStr">
        <is>
          <t>TREEAMOUNT</t>
        </is>
      </c>
      <c r="D1516" t="inlineStr">
        <is>
          <t>INT</t>
        </is>
      </c>
      <c r="E1516" t="inlineStr">
        <is>
          <t>YES</t>
        </is>
      </c>
      <c r="F1516" t="inlineStr">
        <is>
          <t>林地株数</t>
        </is>
      </c>
      <c r="H1516" t="inlineStr">
        <is>
          <t>INT</t>
        </is>
      </c>
    </row>
    <row r="1517">
      <c r="A1517" t="inlineStr">
        <is>
          <t>资源资产</t>
        </is>
      </c>
      <c r="B1517" t="inlineStr">
        <is>
          <t>CLR_ASSET_OTHERS_RESOURCE</t>
        </is>
      </c>
      <c r="C1517" t="inlineStr">
        <is>
          <t>SAVEUP</t>
        </is>
      </c>
      <c r="D1517" t="inlineStr">
        <is>
          <t>INT</t>
        </is>
      </c>
      <c r="E1517" t="inlineStr">
        <is>
          <t>YES</t>
        </is>
      </c>
      <c r="F1517" t="inlineStr">
        <is>
          <t>林地蓄积</t>
        </is>
      </c>
      <c r="H1517" t="inlineStr">
        <is>
          <t>INT</t>
        </is>
      </c>
    </row>
    <row r="1518">
      <c r="A1518" t="inlineStr">
        <is>
          <t>资源资产</t>
        </is>
      </c>
      <c r="B1518" t="inlineStr">
        <is>
          <t>CLR_ASSET_OTHERS_RESOURCE</t>
        </is>
      </c>
      <c r="C1518" t="inlineStr">
        <is>
          <t>DOMINANTSHAREHOLDER</t>
        </is>
      </c>
      <c r="D1518" t="inlineStr">
        <is>
          <t>VARCHAR(80)</t>
        </is>
      </c>
      <c r="E1518" t="inlineStr">
        <is>
          <t>YES</t>
        </is>
      </c>
      <c r="F1518" t="inlineStr">
        <is>
          <t>控股股东</t>
        </is>
      </c>
      <c r="H1518" t="inlineStr">
        <is>
          <t>VARCHAR</t>
        </is>
      </c>
      <c r="I1518" t="inlineStr">
        <is>
          <t>80</t>
        </is>
      </c>
    </row>
    <row r="1519">
      <c r="A1519" t="inlineStr">
        <is>
          <t>资源资产</t>
        </is>
      </c>
      <c r="B1519" t="inlineStr">
        <is>
          <t>CLR_ASSET_OTHERS_RESOURCE</t>
        </is>
      </c>
      <c r="C1519" t="inlineStr">
        <is>
          <t>MINENAME</t>
        </is>
      </c>
      <c r="D1519" t="inlineStr">
        <is>
          <t>VARCHAR(80)</t>
        </is>
      </c>
      <c r="E1519" t="inlineStr">
        <is>
          <t>YES</t>
        </is>
      </c>
      <c r="F1519" t="inlineStr">
        <is>
          <t>矿山名称/项目名称</t>
        </is>
      </c>
      <c r="H1519" t="inlineStr">
        <is>
          <t>VARCHAR</t>
        </is>
      </c>
      <c r="I1519" t="inlineStr">
        <is>
          <t>80</t>
        </is>
      </c>
    </row>
    <row r="1520">
      <c r="A1520" t="inlineStr">
        <is>
          <t>资源资产</t>
        </is>
      </c>
      <c r="B1520" t="inlineStr">
        <is>
          <t>CLR_ASSET_OTHERS_RESOURCE</t>
        </is>
      </c>
      <c r="C1520" t="inlineStr">
        <is>
          <t>MINERALTYPE</t>
        </is>
      </c>
      <c r="D1520" t="inlineStr">
        <is>
          <t>VARCHAR(200)</t>
        </is>
      </c>
      <c r="E1520" t="inlineStr">
        <is>
          <t>YES</t>
        </is>
      </c>
      <c r="F1520" t="inlineStr">
        <is>
          <t>矿产种类</t>
        </is>
      </c>
      <c r="H1520" t="inlineStr">
        <is>
          <t>VARCHAR</t>
        </is>
      </c>
      <c r="I1520" t="inlineStr">
        <is>
          <t>200</t>
        </is>
      </c>
    </row>
    <row r="1521">
      <c r="A1521" t="inlineStr">
        <is>
          <t>资源资产</t>
        </is>
      </c>
      <c r="B1521" t="inlineStr">
        <is>
          <t>CLR_ASSET_OTHERS_RESOURCE</t>
        </is>
      </c>
      <c r="C1521" t="inlineStr">
        <is>
          <t>MRSTARTDATE</t>
        </is>
      </c>
      <c r="D1521" t="inlineStr">
        <is>
          <t>VARCHAR(18)</t>
        </is>
      </c>
      <c r="E1521" t="inlineStr">
        <is>
          <t>YES</t>
        </is>
      </c>
      <c r="F1521" t="inlineStr">
        <is>
          <t>采矿权起始日/探矿权起始日/许可证起始日/发证起始日</t>
        </is>
      </c>
      <c r="H1521" t="inlineStr">
        <is>
          <t>VARCHAR</t>
        </is>
      </c>
      <c r="I1521" t="inlineStr">
        <is>
          <t>18</t>
        </is>
      </c>
    </row>
    <row r="1522">
      <c r="A1522" t="inlineStr">
        <is>
          <t>资源资产</t>
        </is>
      </c>
      <c r="B1522" t="inlineStr">
        <is>
          <t>CLR_ASSET_OTHERS_RESOURCE</t>
        </is>
      </c>
      <c r="C1522" t="inlineStr">
        <is>
          <t>MRDUEDATE</t>
        </is>
      </c>
      <c r="D1522" t="inlineStr">
        <is>
          <t>VARCHAR(18)</t>
        </is>
      </c>
      <c r="E1522" t="inlineStr">
        <is>
          <t>YES</t>
        </is>
      </c>
      <c r="F1522" t="inlineStr">
        <is>
          <t>采矿权到期日/探矿权到期日/许可证到期日/发证到期日</t>
        </is>
      </c>
      <c r="H1522" t="inlineStr">
        <is>
          <t>VARCHAR</t>
        </is>
      </c>
      <c r="I1522" t="inlineStr">
        <is>
          <t>18</t>
        </is>
      </c>
    </row>
    <row r="1523">
      <c r="A1523" t="inlineStr">
        <is>
          <t>资源资产</t>
        </is>
      </c>
      <c r="B1523" t="inlineStr">
        <is>
          <t>CLR_ASSET_OTHERS_RESOURCE</t>
        </is>
      </c>
      <c r="C1523" t="inlineStr">
        <is>
          <t>MININGMETHOD</t>
        </is>
      </c>
      <c r="D1523" t="inlineStr">
        <is>
          <t>VARCHAR(80)</t>
        </is>
      </c>
      <c r="E1523" t="inlineStr">
        <is>
          <t>YES</t>
        </is>
      </c>
      <c r="F1523" t="inlineStr">
        <is>
          <t>开采方式</t>
        </is>
      </c>
      <c r="H1523" t="inlineStr">
        <is>
          <t>VARCHAR</t>
        </is>
      </c>
      <c r="I1523" t="inlineStr">
        <is>
          <t>80</t>
        </is>
      </c>
    </row>
    <row r="1524">
      <c r="A1524" t="inlineStr">
        <is>
          <t>资源资产</t>
        </is>
      </c>
      <c r="B1524" t="inlineStr">
        <is>
          <t>CLR_ASSET_OTHERS_RESOURCE</t>
        </is>
      </c>
      <c r="C1524" t="inlineStr">
        <is>
          <t>RETAINEDRESERVES</t>
        </is>
      </c>
      <c r="D1524" t="inlineStr">
        <is>
          <t>VARCHAR(200)</t>
        </is>
      </c>
      <c r="E1524" t="inlineStr">
        <is>
          <t>YES</t>
        </is>
      </c>
      <c r="F1524" t="inlineStr">
        <is>
          <t>保有资源储量</t>
        </is>
      </c>
      <c r="H1524" t="inlineStr">
        <is>
          <t>VARCHAR</t>
        </is>
      </c>
      <c r="I1524" t="inlineStr">
        <is>
          <t>200</t>
        </is>
      </c>
    </row>
    <row r="1525">
      <c r="A1525" t="inlineStr">
        <is>
          <t>资源资产</t>
        </is>
      </c>
      <c r="B1525" t="inlineStr">
        <is>
          <t>CLR_ASSET_OTHERS_RESOURCE</t>
        </is>
      </c>
      <c r="C1525" t="inlineStr">
        <is>
          <t>MINERALGRADE</t>
        </is>
      </c>
      <c r="D1525" t="inlineStr">
        <is>
          <t>VARCHAR(200)</t>
        </is>
      </c>
      <c r="E1525" t="inlineStr">
        <is>
          <t>YES</t>
        </is>
      </c>
      <c r="F1525" t="inlineStr">
        <is>
          <t>矿产品位</t>
        </is>
      </c>
      <c r="H1525" t="inlineStr">
        <is>
          <t>VARCHAR</t>
        </is>
      </c>
      <c r="I1525" t="inlineStr">
        <is>
          <t>200</t>
        </is>
      </c>
    </row>
    <row r="1526">
      <c r="A1526" t="inlineStr">
        <is>
          <t>资源资产</t>
        </is>
      </c>
      <c r="B1526" t="inlineStr">
        <is>
          <t>CLR_ASSET_OTHERS_RESOURCE</t>
        </is>
      </c>
      <c r="C1526" t="inlineStr">
        <is>
          <t>VERIFIEDRESERVES</t>
        </is>
      </c>
      <c r="D1526" t="inlineStr">
        <is>
          <t>VARCHAR(200)</t>
        </is>
      </c>
      <c r="E1526" t="inlineStr">
        <is>
          <t>YES</t>
        </is>
      </c>
      <c r="F1526" t="inlineStr">
        <is>
          <t>探明的经济基础储量</t>
        </is>
      </c>
      <c r="H1526" t="inlineStr">
        <is>
          <t>VARCHAR</t>
        </is>
      </c>
      <c r="I1526" t="inlineStr">
        <is>
          <t>200</t>
        </is>
      </c>
    </row>
    <row r="1527">
      <c r="A1527" t="inlineStr">
        <is>
          <t>资源资产</t>
        </is>
      </c>
      <c r="B1527" t="inlineStr">
        <is>
          <t>CLR_ASSET_OTHERS_RESOURCE</t>
        </is>
      </c>
      <c r="C1527" t="inlineStr">
        <is>
          <t>EXPLIOTEDRESERVES</t>
        </is>
      </c>
      <c r="D1527" t="inlineStr">
        <is>
          <t>VARCHAR(200)</t>
        </is>
      </c>
      <c r="E1527" t="inlineStr">
        <is>
          <t>YES</t>
        </is>
      </c>
      <c r="F1527" t="inlineStr">
        <is>
          <t>其中已开采消耗储量</t>
        </is>
      </c>
      <c r="H1527" t="inlineStr">
        <is>
          <t>VARCHAR</t>
        </is>
      </c>
      <c r="I1527" t="inlineStr">
        <is>
          <t>200</t>
        </is>
      </c>
    </row>
    <row r="1528">
      <c r="A1528" t="inlineStr">
        <is>
          <t>资源资产</t>
        </is>
      </c>
      <c r="B1528" t="inlineStr">
        <is>
          <t>CLR_ASSET_OTHERS_RESOURCE</t>
        </is>
      </c>
      <c r="C1528" t="inlineStr">
        <is>
          <t>CONTROLLEDRESERVES</t>
        </is>
      </c>
      <c r="D1528" t="inlineStr">
        <is>
          <t>VARCHAR(200)</t>
        </is>
      </c>
      <c r="E1528" t="inlineStr">
        <is>
          <t>YES</t>
        </is>
      </c>
      <c r="F1528" t="inlineStr">
        <is>
          <t>控制的经济基础储量</t>
        </is>
      </c>
      <c r="H1528" t="inlineStr">
        <is>
          <t>VARCHAR</t>
        </is>
      </c>
      <c r="I1528" t="inlineStr">
        <is>
          <t>200</t>
        </is>
      </c>
    </row>
    <row r="1529">
      <c r="A1529" t="inlineStr">
        <is>
          <t>资源资产</t>
        </is>
      </c>
      <c r="B1529" t="inlineStr">
        <is>
          <t>CLR_ASSET_OTHERS_RESOURCE</t>
        </is>
      </c>
      <c r="C1529" t="inlineStr">
        <is>
          <t>INFERREDRESERVES</t>
        </is>
      </c>
      <c r="D1529" t="inlineStr">
        <is>
          <t>VARCHAR(200)</t>
        </is>
      </c>
      <c r="E1529" t="inlineStr">
        <is>
          <t>YES</t>
        </is>
      </c>
      <c r="F1529" t="inlineStr">
        <is>
          <t>推断内蕴经济资源量</t>
        </is>
      </c>
      <c r="H1529" t="inlineStr">
        <is>
          <t>VARCHAR</t>
        </is>
      </c>
      <c r="I1529" t="inlineStr">
        <is>
          <t>200</t>
        </is>
      </c>
    </row>
    <row r="1530">
      <c r="A1530" t="inlineStr">
        <is>
          <t>资源资产</t>
        </is>
      </c>
      <c r="B1530" t="inlineStr">
        <is>
          <t>CLR_ASSET_OTHERS_RESOURCE</t>
        </is>
      </c>
      <c r="C1530" t="inlineStr">
        <is>
          <t>RECOVERYRATE</t>
        </is>
      </c>
      <c r="D1530" t="inlineStr">
        <is>
          <t>DECIMAL(18,8)</t>
        </is>
      </c>
      <c r="E1530" t="inlineStr">
        <is>
          <t>YES</t>
        </is>
      </c>
      <c r="F1530" t="inlineStr">
        <is>
          <t>回采率</t>
        </is>
      </c>
      <c r="H1530" t="inlineStr">
        <is>
          <t>DECIMAL</t>
        </is>
      </c>
      <c r="I1530" t="inlineStr">
        <is>
          <t>18,8</t>
        </is>
      </c>
    </row>
    <row r="1531">
      <c r="A1531" t="inlineStr">
        <is>
          <t>资源资产</t>
        </is>
      </c>
      <c r="B1531" t="inlineStr">
        <is>
          <t>CLR_ASSET_OTHERS_RESOURCE</t>
        </is>
      </c>
      <c r="C1531" t="inlineStr">
        <is>
          <t>PRODUCTIONSCALE</t>
        </is>
      </c>
      <c r="D1531" t="inlineStr">
        <is>
          <t>VARCHAR(200)</t>
        </is>
      </c>
      <c r="E1531" t="inlineStr">
        <is>
          <t>YES</t>
        </is>
      </c>
      <c r="F1531" t="inlineStr">
        <is>
          <t>生产规模能力</t>
        </is>
      </c>
      <c r="H1531" t="inlineStr">
        <is>
          <t>VARCHAR</t>
        </is>
      </c>
      <c r="I1531" t="inlineStr">
        <is>
          <t>200</t>
        </is>
      </c>
    </row>
    <row r="1532">
      <c r="A1532" t="inlineStr">
        <is>
          <t>资源资产</t>
        </is>
      </c>
      <c r="B1532" t="inlineStr">
        <is>
          <t>CLR_ASSET_OTHERS_RESOURCE</t>
        </is>
      </c>
      <c r="C1532" t="inlineStr">
        <is>
          <t>PRODUCTONTIMEPASSED</t>
        </is>
      </c>
      <c r="D1532" t="inlineStr">
        <is>
          <t>DECIMAL(18,2)</t>
        </is>
      </c>
      <c r="E1532" t="inlineStr">
        <is>
          <t>YES</t>
        </is>
      </c>
      <c r="F1532" t="inlineStr">
        <is>
          <t>已投入采矿生产时间</t>
        </is>
      </c>
      <c r="H1532" t="inlineStr">
        <is>
          <t>DECIMAL</t>
        </is>
      </c>
      <c r="I1532" t="inlineStr">
        <is>
          <t>18,2</t>
        </is>
      </c>
    </row>
    <row r="1533">
      <c r="A1533" t="inlineStr">
        <is>
          <t>资源资产</t>
        </is>
      </c>
      <c r="B1533" t="inlineStr">
        <is>
          <t>CLR_ASSET_OTHERS_RESOURCE</t>
        </is>
      </c>
      <c r="C1533" t="inlineStr">
        <is>
          <t>PRODUCTIONTIMEREMAINED</t>
        </is>
      </c>
      <c r="D1533" t="inlineStr">
        <is>
          <t>DECIMAL(18,2)</t>
        </is>
      </c>
      <c r="E1533" t="inlineStr">
        <is>
          <t>YES</t>
        </is>
      </c>
      <c r="F1533" t="inlineStr">
        <is>
          <t>预计剩余可生产时间</t>
        </is>
      </c>
      <c r="H1533" t="inlineStr">
        <is>
          <t>DECIMAL</t>
        </is>
      </c>
      <c r="I1533" t="inlineStr">
        <is>
          <t>18,2</t>
        </is>
      </c>
    </row>
    <row r="1534">
      <c r="A1534" t="inlineStr">
        <is>
          <t>资源资产</t>
        </is>
      </c>
      <c r="B1534" t="inlineStr">
        <is>
          <t>CLR_ASSET_OTHERS_RESOURCE</t>
        </is>
      </c>
      <c r="C1534" t="inlineStr">
        <is>
          <t>ANNUALOUTPUT</t>
        </is>
      </c>
      <c r="D1534" t="inlineStr">
        <is>
          <t>VARCHAR(200)</t>
        </is>
      </c>
      <c r="E1534" t="inlineStr">
        <is>
          <t>YES</t>
        </is>
      </c>
      <c r="F1534" t="inlineStr">
        <is>
          <t>年产量</t>
        </is>
      </c>
      <c r="H1534" t="inlineStr">
        <is>
          <t>VARCHAR</t>
        </is>
      </c>
      <c r="I1534" t="inlineStr">
        <is>
          <t>200</t>
        </is>
      </c>
    </row>
    <row r="1535">
      <c r="A1535" t="inlineStr">
        <is>
          <t>资源资产</t>
        </is>
      </c>
      <c r="B1535" t="inlineStr">
        <is>
          <t>CLR_ASSET_OTHERS_RESOURCE</t>
        </is>
      </c>
      <c r="C1535" t="inlineStr">
        <is>
          <t>PRODUCTIONPRICE</t>
        </is>
      </c>
      <c r="D1535" t="inlineStr">
        <is>
          <t>VARCHAR(200)</t>
        </is>
      </c>
      <c r="E1535" t="inlineStr">
        <is>
          <t>YES</t>
        </is>
      </c>
      <c r="F1535" t="inlineStr">
        <is>
          <t>产品价格</t>
        </is>
      </c>
      <c r="H1535" t="inlineStr">
        <is>
          <t>VARCHAR</t>
        </is>
      </c>
      <c r="I1535" t="inlineStr">
        <is>
          <t>200</t>
        </is>
      </c>
    </row>
    <row r="1536">
      <c r="A1536" t="inlineStr">
        <is>
          <t>资源资产</t>
        </is>
      </c>
      <c r="B1536" t="inlineStr">
        <is>
          <t>CLR_ASSET_OTHERS_RESOURCE</t>
        </is>
      </c>
      <c r="C1536" t="inlineStr">
        <is>
          <t>DSHEXPERIENCE</t>
        </is>
      </c>
      <c r="D1536" t="inlineStr">
        <is>
          <t>DECIMAL(18,2)</t>
        </is>
      </c>
      <c r="E1536" t="inlineStr">
        <is>
          <t>YES</t>
        </is>
      </c>
      <c r="F1536" t="inlineStr">
        <is>
          <t>控股股东从事矿业开采从业时间</t>
        </is>
      </c>
      <c r="H1536" t="inlineStr">
        <is>
          <t>DECIMAL</t>
        </is>
      </c>
      <c r="I1536" t="inlineStr">
        <is>
          <t>18,2</t>
        </is>
      </c>
    </row>
    <row r="1537">
      <c r="A1537" t="inlineStr">
        <is>
          <t>资源资产</t>
        </is>
      </c>
      <c r="B1537" t="inlineStr">
        <is>
          <t>CLR_ASSET_OTHERS_RESOURCE</t>
        </is>
      </c>
      <c r="C1537" t="inlineStr">
        <is>
          <t>MININGATT01</t>
        </is>
      </c>
      <c r="D1537" t="inlineStr">
        <is>
          <t>VARCHAR(200)</t>
        </is>
      </c>
      <c r="E1537" t="inlineStr">
        <is>
          <t>YES</t>
        </is>
      </c>
      <c r="F1537" t="inlineStr">
        <is>
          <t>采矿权使用费及采矿权价款缴纳情况</t>
        </is>
      </c>
      <c r="H1537" t="inlineStr">
        <is>
          <t>VARCHAR</t>
        </is>
      </c>
      <c r="I1537" t="inlineStr">
        <is>
          <t>200</t>
        </is>
      </c>
    </row>
    <row r="1538">
      <c r="A1538" t="inlineStr">
        <is>
          <t>资源资产</t>
        </is>
      </c>
      <c r="B1538" t="inlineStr">
        <is>
          <t>CLR_ASSET_OTHERS_RESOURCE</t>
        </is>
      </c>
      <c r="C1538" t="inlineStr">
        <is>
          <t>MININGATT02</t>
        </is>
      </c>
      <c r="D1538" t="inlineStr">
        <is>
          <t>VARCHAR(200)</t>
        </is>
      </c>
      <c r="E1538" t="inlineStr">
        <is>
          <t>YES</t>
        </is>
      </c>
      <c r="F1538" t="inlineStr">
        <is>
          <t>矿产资源补偿费缴纳情况</t>
        </is>
      </c>
      <c r="H1538" t="inlineStr">
        <is>
          <t>VARCHAR</t>
        </is>
      </c>
      <c r="I1538" t="inlineStr">
        <is>
          <t>200</t>
        </is>
      </c>
    </row>
    <row r="1539">
      <c r="A1539" t="inlineStr">
        <is>
          <t>资源资产</t>
        </is>
      </c>
      <c r="B1539" t="inlineStr">
        <is>
          <t>CLR_ASSET_OTHERS_RESOURCE</t>
        </is>
      </c>
      <c r="C1539" t="inlineStr">
        <is>
          <t>MININGATT03</t>
        </is>
      </c>
      <c r="D1539" t="inlineStr">
        <is>
          <t>VARCHAR(200)</t>
        </is>
      </c>
      <c r="E1539" t="inlineStr">
        <is>
          <t>YES</t>
        </is>
      </c>
      <c r="F1539" t="inlineStr">
        <is>
          <t>资源税缴纳情况</t>
        </is>
      </c>
      <c r="H1539" t="inlineStr">
        <is>
          <t>VARCHAR</t>
        </is>
      </c>
      <c r="I1539" t="inlineStr">
        <is>
          <t>200</t>
        </is>
      </c>
    </row>
    <row r="1540">
      <c r="A1540" t="inlineStr">
        <is>
          <t>资源资产</t>
        </is>
      </c>
      <c r="B1540" t="inlineStr">
        <is>
          <t>CLR_ASSET_OTHERS_RESOURCE</t>
        </is>
      </c>
      <c r="C1540" t="inlineStr">
        <is>
          <t>MININGATT04</t>
        </is>
      </c>
      <c r="D1540" t="inlineStr">
        <is>
          <t>VARCHAR(200)</t>
        </is>
      </c>
      <c r="E1540" t="inlineStr">
        <is>
          <t>YES</t>
        </is>
      </c>
      <c r="F1540" t="inlineStr">
        <is>
          <t>安全评估情况</t>
        </is>
      </c>
      <c r="H1540" t="inlineStr">
        <is>
          <t>VARCHAR</t>
        </is>
      </c>
      <c r="I1540" t="inlineStr">
        <is>
          <t>200</t>
        </is>
      </c>
    </row>
    <row r="1541">
      <c r="A1541" t="inlineStr">
        <is>
          <t>资源资产</t>
        </is>
      </c>
      <c r="B1541" t="inlineStr">
        <is>
          <t>CLR_ASSET_OTHERS_RESOURCE</t>
        </is>
      </c>
      <c r="C1541" t="inlineStr">
        <is>
          <t>MININGATT05</t>
        </is>
      </c>
      <c r="D1541" t="inlineStr">
        <is>
          <t>VARCHAR(200)</t>
        </is>
      </c>
      <c r="E1541" t="inlineStr">
        <is>
          <t>YES</t>
        </is>
      </c>
      <c r="F1541" t="inlineStr">
        <is>
          <t>年度审查情况</t>
        </is>
      </c>
      <c r="H1541" t="inlineStr">
        <is>
          <t>VARCHAR</t>
        </is>
      </c>
      <c r="I1541" t="inlineStr">
        <is>
          <t>200</t>
        </is>
      </c>
    </row>
    <row r="1542">
      <c r="A1542" t="inlineStr">
        <is>
          <t>资源资产</t>
        </is>
      </c>
      <c r="B1542" t="inlineStr">
        <is>
          <t>CLR_ASSET_OTHERS_RESOURCE</t>
        </is>
      </c>
      <c r="C1542" t="inlineStr">
        <is>
          <t>MININGFLAG01</t>
        </is>
      </c>
      <c r="D1542" t="inlineStr">
        <is>
          <t>VARCHAR(200)</t>
        </is>
      </c>
      <c r="E1542" t="inlineStr">
        <is>
          <t>YES</t>
        </is>
      </c>
      <c r="F1542" t="inlineStr">
        <is>
          <t>是否需要申请项目融资</t>
        </is>
      </c>
      <c r="H1542" t="inlineStr">
        <is>
          <t>VARCHAR</t>
        </is>
      </c>
      <c r="I1542" t="inlineStr">
        <is>
          <t>200</t>
        </is>
      </c>
    </row>
    <row r="1543">
      <c r="A1543" t="inlineStr">
        <is>
          <t>资源资产</t>
        </is>
      </c>
      <c r="B1543" t="inlineStr">
        <is>
          <t>CLR_ASSET_OTHERS_RESOURCE</t>
        </is>
      </c>
      <c r="C1543" t="inlineStr">
        <is>
          <t>WOODLANDOBLIGEE</t>
        </is>
      </c>
      <c r="D1543" t="inlineStr">
        <is>
          <t>VARCHAR(80)</t>
        </is>
      </c>
      <c r="E1543" t="inlineStr">
        <is>
          <t>YES</t>
        </is>
      </c>
      <c r="F1543" t="inlineStr">
        <is>
          <t>林地所有权权利人</t>
        </is>
      </c>
      <c r="H1543" t="inlineStr">
        <is>
          <t>VARCHAR</t>
        </is>
      </c>
      <c r="I1543" t="inlineStr">
        <is>
          <t>80</t>
        </is>
      </c>
    </row>
    <row r="1544">
      <c r="A1544" t="inlineStr">
        <is>
          <t>资源资产</t>
        </is>
      </c>
      <c r="B1544" t="inlineStr">
        <is>
          <t>CLR_ASSET_OTHERS_RESOURCE</t>
        </is>
      </c>
      <c r="C1544" t="inlineStr">
        <is>
          <t>FORESTOBLIGEE</t>
        </is>
      </c>
      <c r="D1544" t="inlineStr">
        <is>
          <t>VARCHAR(80)</t>
        </is>
      </c>
      <c r="E1544" t="inlineStr">
        <is>
          <t>YES</t>
        </is>
      </c>
      <c r="F1544" t="inlineStr">
        <is>
          <t>森林或林木所有权权利人</t>
        </is>
      </c>
      <c r="H1544" t="inlineStr">
        <is>
          <t>VARCHAR</t>
        </is>
      </c>
      <c r="I1544" t="inlineStr">
        <is>
          <t>80</t>
        </is>
      </c>
    </row>
    <row r="1545">
      <c r="A1545" t="inlineStr">
        <is>
          <t>资源资产</t>
        </is>
      </c>
      <c r="B1545" t="inlineStr">
        <is>
          <t>CLR_ASSET_OTHERS_RESOURCE</t>
        </is>
      </c>
      <c r="C1545" t="inlineStr">
        <is>
          <t>WOODLANDSECONDLEVELTYPE</t>
        </is>
      </c>
      <c r="D1545" t="inlineStr">
        <is>
          <t>VARCHAR(18)</t>
        </is>
      </c>
      <c r="E1545" t="inlineStr">
        <is>
          <t>YES</t>
        </is>
      </c>
      <c r="F1545" t="inlineStr">
        <is>
          <t>林地二级地类</t>
        </is>
      </c>
      <c r="H1545" t="inlineStr">
        <is>
          <t>VARCHAR</t>
        </is>
      </c>
      <c r="I1545" t="inlineStr">
        <is>
          <t>18</t>
        </is>
      </c>
    </row>
    <row r="1546">
      <c r="A1546" t="inlineStr">
        <is>
          <t>资源资产</t>
        </is>
      </c>
      <c r="B1546" t="inlineStr">
        <is>
          <t>CLR_ASSET_OTHERS_RESOURCE</t>
        </is>
      </c>
      <c r="C1546" t="inlineStr">
        <is>
          <t>NATURALCALAMITY</t>
        </is>
      </c>
      <c r="D1546" t="inlineStr">
        <is>
          <t>VARCHAR(200)</t>
        </is>
      </c>
      <c r="E1546" t="inlineStr">
        <is>
          <t>YES</t>
        </is>
      </c>
      <c r="F1546" t="inlineStr">
        <is>
          <t>自然灾害发生情况</t>
        </is>
      </c>
      <c r="H1546" t="inlineStr">
        <is>
          <t>VARCHAR</t>
        </is>
      </c>
      <c r="I1546" t="inlineStr">
        <is>
          <t>200</t>
        </is>
      </c>
    </row>
    <row r="1547">
      <c r="A1547" t="inlineStr">
        <is>
          <t>资源资产</t>
        </is>
      </c>
      <c r="B1547" t="inlineStr">
        <is>
          <t>CLR_ASSET_OTHERS_RESOURCE</t>
        </is>
      </c>
      <c r="C1547" t="inlineStr">
        <is>
          <t>ROWSPACING</t>
        </is>
      </c>
      <c r="D1547" t="inlineStr">
        <is>
          <t>VARCHAR(200)</t>
        </is>
      </c>
      <c r="E1547" t="inlineStr">
        <is>
          <t>YES</t>
        </is>
      </c>
      <c r="F1547" t="inlineStr">
        <is>
          <t>株行距情况</t>
        </is>
      </c>
      <c r="H1547" t="inlineStr">
        <is>
          <t>VARCHAR</t>
        </is>
      </c>
      <c r="I1547" t="inlineStr">
        <is>
          <t>200</t>
        </is>
      </c>
    </row>
    <row r="1548">
      <c r="A1548" t="inlineStr">
        <is>
          <t>资源资产</t>
        </is>
      </c>
      <c r="B1548" t="inlineStr">
        <is>
          <t>CLR_ASSET_OTHERS_RESOURCE</t>
        </is>
      </c>
      <c r="C1548" t="inlineStr">
        <is>
          <t>RCP</t>
        </is>
      </c>
      <c r="D1548" t="inlineStr">
        <is>
          <t>DECIMAL(18,2)</t>
        </is>
      </c>
      <c r="E1548" t="inlineStr">
        <is>
          <t>YES</t>
        </is>
      </c>
      <c r="F1548" t="inlineStr">
        <is>
          <t>轮伐期</t>
        </is>
      </c>
      <c r="H1548" t="inlineStr">
        <is>
          <t>DECIMAL</t>
        </is>
      </c>
      <c r="I1548" t="inlineStr">
        <is>
          <t>18,2</t>
        </is>
      </c>
    </row>
    <row r="1549">
      <c r="A1549" t="inlineStr">
        <is>
          <t>资源资产</t>
        </is>
      </c>
      <c r="B1549" t="inlineStr">
        <is>
          <t>CLR_ASSET_OTHERS_RESOURCE</t>
        </is>
      </c>
      <c r="C1549" t="inlineStr">
        <is>
          <t>OTHERVEGETATION</t>
        </is>
      </c>
      <c r="D1549" t="inlineStr">
        <is>
          <t>VARCHAR(200)</t>
        </is>
      </c>
      <c r="E1549" t="inlineStr">
        <is>
          <t>YES</t>
        </is>
      </c>
      <c r="F1549" t="inlineStr">
        <is>
          <t>其他植被情况</t>
        </is>
      </c>
      <c r="H1549" t="inlineStr">
        <is>
          <t>VARCHAR</t>
        </is>
      </c>
      <c r="I1549" t="inlineStr">
        <is>
          <t>200</t>
        </is>
      </c>
    </row>
    <row r="1550">
      <c r="A1550" t="inlineStr">
        <is>
          <t>资源资产</t>
        </is>
      </c>
      <c r="B1550" t="inlineStr">
        <is>
          <t>CLR_ASSET_OTHERS_RESOURCE</t>
        </is>
      </c>
      <c r="C1550" t="inlineStr">
        <is>
          <t>WOODANNUALOUTPUT</t>
        </is>
      </c>
      <c r="D1550" t="inlineStr">
        <is>
          <t>VARCHAR(200)</t>
        </is>
      </c>
      <c r="E1550" t="inlineStr">
        <is>
          <t>YES</t>
        </is>
      </c>
      <c r="F1550" t="inlineStr">
        <is>
          <t>林木年产量情况</t>
        </is>
      </c>
      <c r="H1550" t="inlineStr">
        <is>
          <t>VARCHAR</t>
        </is>
      </c>
      <c r="I1550" t="inlineStr">
        <is>
          <t>200</t>
        </is>
      </c>
    </row>
    <row r="1551">
      <c r="A1551" t="inlineStr">
        <is>
          <t>资源资产</t>
        </is>
      </c>
      <c r="B1551" t="inlineStr">
        <is>
          <t>CLR_ASSET_OTHERS_RESOURCE</t>
        </is>
      </c>
      <c r="C1551" t="inlineStr">
        <is>
          <t>WOODPRICEMEMO</t>
        </is>
      </c>
      <c r="D1551" t="inlineStr">
        <is>
          <t>VARCHAR(200)</t>
        </is>
      </c>
      <c r="E1551" t="inlineStr">
        <is>
          <t>YES</t>
        </is>
      </c>
      <c r="F1551" t="inlineStr">
        <is>
          <t>木材价格描述</t>
        </is>
      </c>
      <c r="H1551" t="inlineStr">
        <is>
          <t>VARCHAR</t>
        </is>
      </c>
      <c r="I1551" t="inlineStr">
        <is>
          <t>200</t>
        </is>
      </c>
    </row>
    <row r="1552">
      <c r="A1552" t="inlineStr">
        <is>
          <t>资源资产</t>
        </is>
      </c>
      <c r="B1552" t="inlineStr">
        <is>
          <t>CLR_ASSET_OTHERS_RESOURCE</t>
        </is>
      </c>
      <c r="C1552" t="inlineStr">
        <is>
          <t>MECHANIZATIONLEVEL</t>
        </is>
      </c>
      <c r="D1552" t="inlineStr">
        <is>
          <t>VARCHAR(200)</t>
        </is>
      </c>
      <c r="E1552" t="inlineStr">
        <is>
          <t>YES</t>
        </is>
      </c>
      <c r="F1552" t="inlineStr">
        <is>
          <t>机械化水平/农业技术水平</t>
        </is>
      </c>
      <c r="H1552" t="inlineStr">
        <is>
          <t>VARCHAR</t>
        </is>
      </c>
      <c r="I1552" t="inlineStr">
        <is>
          <t>200</t>
        </is>
      </c>
    </row>
    <row r="1553">
      <c r="A1553" t="inlineStr">
        <is>
          <t>资源资产</t>
        </is>
      </c>
      <c r="B1553" t="inlineStr">
        <is>
          <t>CLR_ASSET_OTHERS_RESOURCE</t>
        </is>
      </c>
      <c r="C1553" t="inlineStr">
        <is>
          <t>USAGEPERIOD</t>
        </is>
      </c>
      <c r="D1553" t="inlineStr">
        <is>
          <t>DECIMAL(18,2)</t>
        </is>
      </c>
      <c r="E1553" t="inlineStr">
        <is>
          <t>YES</t>
        </is>
      </c>
      <c r="F1553" t="inlineStr">
        <is>
          <t>林地使用期</t>
        </is>
      </c>
      <c r="H1553" t="inlineStr">
        <is>
          <t>DECIMAL</t>
        </is>
      </c>
      <c r="I1553" t="inlineStr">
        <is>
          <t>18,2</t>
        </is>
      </c>
    </row>
    <row r="1554">
      <c r="A1554" t="inlineStr">
        <is>
          <t>资源资产</t>
        </is>
      </c>
      <c r="B1554" t="inlineStr">
        <is>
          <t>CLR_ASSET_OTHERS_RESOURCE</t>
        </is>
      </c>
      <c r="C1554" t="inlineStr">
        <is>
          <t>TIMEPASSED</t>
        </is>
      </c>
      <c r="D1554" t="inlineStr">
        <is>
          <t>DECIMAL(18,2)</t>
        </is>
      </c>
      <c r="E1554" t="inlineStr">
        <is>
          <t>YES</t>
        </is>
      </c>
      <c r="F1554" t="inlineStr">
        <is>
          <t>林地已使用时间</t>
        </is>
      </c>
      <c r="H1554" t="inlineStr">
        <is>
          <t>DECIMAL</t>
        </is>
      </c>
      <c r="I1554" t="inlineStr">
        <is>
          <t>18,2</t>
        </is>
      </c>
    </row>
    <row r="1555">
      <c r="A1555" t="inlineStr">
        <is>
          <t>资源资产</t>
        </is>
      </c>
      <c r="B1555" t="inlineStr">
        <is>
          <t>CLR_ASSET_OTHERS_RESOURCE</t>
        </is>
      </c>
      <c r="C1555" t="inlineStr">
        <is>
          <t>WOODLANDRIGHTDUEDATE</t>
        </is>
      </c>
      <c r="D1555" t="inlineStr">
        <is>
          <t>VARCHAR(18)</t>
        </is>
      </c>
      <c r="E1555" t="inlineStr">
        <is>
          <t>YES</t>
        </is>
      </c>
      <c r="F1555" t="inlineStr">
        <is>
          <t>林地使用权终止日期</t>
        </is>
      </c>
      <c r="H1555" t="inlineStr">
        <is>
          <t>VARCHAR</t>
        </is>
      </c>
      <c r="I1555" t="inlineStr">
        <is>
          <t>18</t>
        </is>
      </c>
    </row>
    <row r="1556">
      <c r="A1556" t="inlineStr">
        <is>
          <t>资源资产</t>
        </is>
      </c>
      <c r="B1556" t="inlineStr">
        <is>
          <t>CLR_ASSET_OTHERS_RESOURCE</t>
        </is>
      </c>
      <c r="C1556" t="inlineStr">
        <is>
          <t>TRAFFICCONDITON</t>
        </is>
      </c>
      <c r="D1556" t="inlineStr">
        <is>
          <t>VARCHAR(200)</t>
        </is>
      </c>
      <c r="E1556" t="inlineStr">
        <is>
          <t>YES</t>
        </is>
      </c>
      <c r="F1556" t="inlineStr">
        <is>
          <t>交通条件</t>
        </is>
      </c>
      <c r="H1556" t="inlineStr">
        <is>
          <t>VARCHAR</t>
        </is>
      </c>
      <c r="I1556" t="inlineStr">
        <is>
          <t>200</t>
        </is>
      </c>
    </row>
    <row r="1557">
      <c r="A1557" t="inlineStr">
        <is>
          <t>资源资产</t>
        </is>
      </c>
      <c r="B1557" t="inlineStr">
        <is>
          <t>CLR_ASSET_OTHERS_RESOURCE</t>
        </is>
      </c>
      <c r="C1557" t="inlineStr">
        <is>
          <t>NATIONPOLICY</t>
        </is>
      </c>
      <c r="D1557" t="inlineStr">
        <is>
          <t>VARCHAR(200)</t>
        </is>
      </c>
      <c r="E1557" t="inlineStr">
        <is>
          <t>YES</t>
        </is>
      </c>
      <c r="F1557" t="inlineStr">
        <is>
          <t>国家政策</t>
        </is>
      </c>
      <c r="H1557" t="inlineStr">
        <is>
          <t>VARCHAR</t>
        </is>
      </c>
      <c r="I1557" t="inlineStr">
        <is>
          <t>200</t>
        </is>
      </c>
    </row>
    <row r="1558">
      <c r="A1558" t="inlineStr">
        <is>
          <t>资源资产</t>
        </is>
      </c>
      <c r="B1558" t="inlineStr">
        <is>
          <t>CLR_ASSET_OTHERS_RESOURCE</t>
        </is>
      </c>
      <c r="C1558" t="inlineStr">
        <is>
          <t>LANDRENTINCOME</t>
        </is>
      </c>
      <c r="D1558" t="inlineStr">
        <is>
          <t>DECIMAL(24,6)</t>
        </is>
      </c>
      <c r="E1558" t="inlineStr">
        <is>
          <t>YES</t>
        </is>
      </c>
      <c r="F1558" t="inlineStr">
        <is>
          <t>土地租金年收入</t>
        </is>
      </c>
      <c r="H1558" t="inlineStr">
        <is>
          <t>DECIMAL</t>
        </is>
      </c>
      <c r="I1558" t="inlineStr">
        <is>
          <t>24,6</t>
        </is>
      </c>
    </row>
    <row r="1559">
      <c r="A1559" t="inlineStr">
        <is>
          <t>资源资产</t>
        </is>
      </c>
      <c r="B1559" t="inlineStr">
        <is>
          <t>CLR_ASSET_OTHERS_RESOURCE</t>
        </is>
      </c>
      <c r="C1559" t="inlineStr">
        <is>
          <t>MININGFLAG02</t>
        </is>
      </c>
      <c r="D1559" t="inlineStr">
        <is>
          <t>CHAR(1)</t>
        </is>
      </c>
      <c r="E1559" t="inlineStr">
        <is>
          <t>YES</t>
        </is>
      </c>
      <c r="F1559" t="inlineStr">
        <is>
          <t>采矿权是否符合转让条件</t>
        </is>
      </c>
      <c r="H1559" t="inlineStr">
        <is>
          <t>CHAR</t>
        </is>
      </c>
      <c r="I1559" t="inlineStr">
        <is>
          <t>1</t>
        </is>
      </c>
    </row>
    <row r="1560">
      <c r="A1560" t="inlineStr">
        <is>
          <t>资源资产</t>
        </is>
      </c>
      <c r="B1560" t="inlineStr">
        <is>
          <t>CLR_ASSET_OTHERS_RESOURCE</t>
        </is>
      </c>
      <c r="C1560" t="inlineStr">
        <is>
          <t>MININGFLAG03</t>
        </is>
      </c>
      <c r="D1560" t="inlineStr">
        <is>
          <t>CHAR(1)</t>
        </is>
      </c>
      <c r="E1560" t="inlineStr">
        <is>
          <t>YES</t>
        </is>
      </c>
      <c r="F1560" t="inlineStr">
        <is>
          <t>采矿权是否已出租</t>
        </is>
      </c>
      <c r="H1560" t="inlineStr">
        <is>
          <t>CHAR</t>
        </is>
      </c>
      <c r="I1560" t="inlineStr">
        <is>
          <t>1</t>
        </is>
      </c>
    </row>
    <row r="1561">
      <c r="A1561" t="inlineStr">
        <is>
          <t>资源资产</t>
        </is>
      </c>
      <c r="B1561" t="inlineStr">
        <is>
          <t>CLR_ASSET_OTHERS_RESOURCE</t>
        </is>
      </c>
      <c r="C1561" t="inlineStr">
        <is>
          <t>RESOURCERIGHTNO</t>
        </is>
      </c>
      <c r="D1561" t="inlineStr">
        <is>
          <t>VARCHAR(80)</t>
        </is>
      </c>
      <c r="E1561" t="inlineStr">
        <is>
          <t>YES</t>
        </is>
      </c>
      <c r="F1561" t="inlineStr">
        <is>
          <t>采矿权权证号/海域使用权登记号/探矿权权证号/林权证编号/资产权证号/证书编号</t>
        </is>
      </c>
      <c r="H1561" t="inlineStr">
        <is>
          <t>VARCHAR</t>
        </is>
      </c>
      <c r="I1561" t="inlineStr">
        <is>
          <t>80</t>
        </is>
      </c>
    </row>
    <row r="1562">
      <c r="A1562" t="inlineStr">
        <is>
          <t>资源资产</t>
        </is>
      </c>
      <c r="B1562" t="inlineStr">
        <is>
          <t>CLR_ASSET_OTHERS_RESOURCE</t>
        </is>
      </c>
      <c r="C1562" t="inlineStr">
        <is>
          <t>BOUNDARY</t>
        </is>
      </c>
      <c r="D1562" t="inlineStr">
        <is>
          <t>VARCHAR(200)</t>
        </is>
      </c>
      <c r="E1562" t="inlineStr">
        <is>
          <t>YES</t>
        </is>
      </c>
      <c r="F1562" t="inlineStr">
        <is>
          <t>海域界址</t>
        </is>
      </c>
      <c r="H1562" t="inlineStr">
        <is>
          <t>VARCHAR</t>
        </is>
      </c>
      <c r="I1562" t="inlineStr">
        <is>
          <t>200</t>
        </is>
      </c>
    </row>
    <row r="1563">
      <c r="A1563" t="inlineStr">
        <is>
          <t>资源资产</t>
        </is>
      </c>
      <c r="B1563" t="inlineStr">
        <is>
          <t>CLR_ASSET_OTHERS_RESOURCE</t>
        </is>
      </c>
      <c r="C1563" t="inlineStr">
        <is>
          <t>GNTWATERSAREA</t>
        </is>
      </c>
      <c r="D1563" t="inlineStr">
        <is>
          <t>DECIMAL(18,2)</t>
        </is>
      </c>
      <c r="E1563" t="inlineStr">
        <is>
          <t>YES</t>
        </is>
      </c>
      <c r="F1563" t="inlineStr">
        <is>
          <t>宗海面积</t>
        </is>
      </c>
      <c r="H1563" t="inlineStr">
        <is>
          <t>DECIMAL</t>
        </is>
      </c>
      <c r="I1563" t="inlineStr">
        <is>
          <t>18,2</t>
        </is>
      </c>
    </row>
    <row r="1564">
      <c r="A1564" t="inlineStr">
        <is>
          <t>资源资产</t>
        </is>
      </c>
      <c r="B1564" t="inlineStr">
        <is>
          <t>CLR_ASSET_OTHERS_RESOURCE</t>
        </is>
      </c>
      <c r="C1564" t="inlineStr">
        <is>
          <t>ANNUALSURVEY</t>
        </is>
      </c>
      <c r="D1564" t="inlineStr">
        <is>
          <t>VARCHAR(200)</t>
        </is>
      </c>
      <c r="E1564" t="inlineStr">
        <is>
          <t>YES</t>
        </is>
      </c>
      <c r="F1564" t="inlineStr">
        <is>
          <t>海域使用权的年度审查情况</t>
        </is>
      </c>
      <c r="H1564" t="inlineStr">
        <is>
          <t>VARCHAR</t>
        </is>
      </c>
      <c r="I1564" t="inlineStr">
        <is>
          <t>200</t>
        </is>
      </c>
    </row>
    <row r="1565">
      <c r="A1565" t="inlineStr">
        <is>
          <t>资源资产</t>
        </is>
      </c>
      <c r="B1565" t="inlineStr">
        <is>
          <t>CLR_ASSET_OTHERS_RESOURCE</t>
        </is>
      </c>
      <c r="C1565" t="inlineStr">
        <is>
          <t>WATERSGRADE</t>
        </is>
      </c>
      <c r="D1565" t="inlineStr">
        <is>
          <t>VARCHAR(200)</t>
        </is>
      </c>
      <c r="E1565" t="inlineStr">
        <is>
          <t>YES</t>
        </is>
      </c>
      <c r="F1565" t="inlineStr">
        <is>
          <t>海域等级</t>
        </is>
      </c>
      <c r="H1565" t="inlineStr">
        <is>
          <t>VARCHAR</t>
        </is>
      </c>
      <c r="I1565" t="inlineStr">
        <is>
          <t>200</t>
        </is>
      </c>
    </row>
    <row r="1566">
      <c r="A1566" t="inlineStr">
        <is>
          <t>资源资产</t>
        </is>
      </c>
      <c r="B1566" t="inlineStr">
        <is>
          <t>CLR_ASSET_OTHERS_RESOURCE</t>
        </is>
      </c>
      <c r="C1566" t="inlineStr">
        <is>
          <t>USAGETYPE</t>
        </is>
      </c>
      <c r="D1566" t="inlineStr">
        <is>
          <t>VARCHAR(6)</t>
        </is>
      </c>
      <c r="E1566" t="inlineStr">
        <is>
          <t>YES</t>
        </is>
      </c>
      <c r="F1566" t="inlineStr">
        <is>
          <t>用海类型</t>
        </is>
      </c>
      <c r="H1566" t="inlineStr">
        <is>
          <t>VARCHAR</t>
        </is>
      </c>
      <c r="I1566" t="inlineStr">
        <is>
          <t>6</t>
        </is>
      </c>
    </row>
    <row r="1567">
      <c r="A1567" t="inlineStr">
        <is>
          <t>资源资产</t>
        </is>
      </c>
      <c r="B1567" t="inlineStr">
        <is>
          <t>CLR_ASSET_OTHERS_RESOURCE</t>
        </is>
      </c>
      <c r="C1567" t="inlineStr">
        <is>
          <t>ASSIGNMENTFEE</t>
        </is>
      </c>
      <c r="D1567" t="inlineStr">
        <is>
          <t>DECIMAL(24,6)</t>
        </is>
      </c>
      <c r="E1567" t="inlineStr">
        <is>
          <t>YES</t>
        </is>
      </c>
      <c r="F1567" t="inlineStr">
        <is>
          <t>海域出让金/海域转让金</t>
        </is>
      </c>
      <c r="H1567" t="inlineStr">
        <is>
          <t>DECIMAL</t>
        </is>
      </c>
      <c r="I1567" t="inlineStr">
        <is>
          <t>24,6</t>
        </is>
      </c>
    </row>
    <row r="1568">
      <c r="A1568" t="inlineStr">
        <is>
          <t>资源资产</t>
        </is>
      </c>
      <c r="B1568" t="inlineStr">
        <is>
          <t>CLR_ASSET_OTHERS_RESOURCE</t>
        </is>
      </c>
      <c r="C1568" t="inlineStr">
        <is>
          <t>USAGESTARTDATE</t>
        </is>
      </c>
      <c r="D1568" t="inlineStr">
        <is>
          <t>VARCHAR(18)</t>
        </is>
      </c>
      <c r="E1568" t="inlineStr">
        <is>
          <t>YES</t>
        </is>
      </c>
      <c r="F1568" t="inlineStr">
        <is>
          <t>海域使用权批准使用起始日期</t>
        </is>
      </c>
      <c r="H1568" t="inlineStr">
        <is>
          <t>VARCHAR</t>
        </is>
      </c>
      <c r="I1568" t="inlineStr">
        <is>
          <t>18</t>
        </is>
      </c>
    </row>
    <row r="1569">
      <c r="A1569" t="inlineStr">
        <is>
          <t>资源资产</t>
        </is>
      </c>
      <c r="B1569" t="inlineStr">
        <is>
          <t>CLR_ASSET_OTHERS_RESOURCE</t>
        </is>
      </c>
      <c r="C1569" t="inlineStr">
        <is>
          <t>USAGEDUEDATE</t>
        </is>
      </c>
      <c r="D1569" t="inlineStr">
        <is>
          <t>VARCHAR(18)</t>
        </is>
      </c>
      <c r="E1569" t="inlineStr">
        <is>
          <t>YES</t>
        </is>
      </c>
      <c r="F1569" t="inlineStr">
        <is>
          <t>海域使用权批准使用终止日期</t>
        </is>
      </c>
      <c r="H1569" t="inlineStr">
        <is>
          <t>VARCHAR</t>
        </is>
      </c>
      <c r="I1569" t="inlineStr">
        <is>
          <t>18</t>
        </is>
      </c>
    </row>
    <row r="1570">
      <c r="A1570" t="inlineStr">
        <is>
          <t>资源资产</t>
        </is>
      </c>
      <c r="B1570" t="inlineStr">
        <is>
          <t>CLR_ASSET_OTHERS_RESOURCE</t>
        </is>
      </c>
      <c r="C1570" t="inlineStr">
        <is>
          <t>WASTELANDCONTRACTNO</t>
        </is>
      </c>
      <c r="D1570" t="inlineStr">
        <is>
          <t>VARCHAR(32)</t>
        </is>
      </c>
      <c r="E1570" t="inlineStr">
        <is>
          <t>YES</t>
        </is>
      </c>
      <c r="F1570" t="inlineStr">
        <is>
          <t>荒地承包合同编号</t>
        </is>
      </c>
      <c r="H1570" t="inlineStr">
        <is>
          <t>VARCHAR</t>
        </is>
      </c>
      <c r="I1570" t="inlineStr">
        <is>
          <t>32</t>
        </is>
      </c>
    </row>
    <row r="1571">
      <c r="A1571" t="inlineStr">
        <is>
          <t>资源资产</t>
        </is>
      </c>
      <c r="B1571" t="inlineStr">
        <is>
          <t>CLR_ASSET_OTHERS_RESOURCE</t>
        </is>
      </c>
      <c r="C1571" t="inlineStr">
        <is>
          <t>WASTELANDCERTTID</t>
        </is>
      </c>
      <c r="D1571" t="inlineStr">
        <is>
          <t>VARCHAR(80)</t>
        </is>
      </c>
      <c r="E1571" t="inlineStr">
        <is>
          <t>YES</t>
        </is>
      </c>
      <c r="F1571" t="inlineStr">
        <is>
          <t>荒地所属土地使用权证号</t>
        </is>
      </c>
      <c r="H1571" t="inlineStr">
        <is>
          <t>VARCHAR</t>
        </is>
      </c>
      <c r="I1571" t="inlineStr">
        <is>
          <t>80</t>
        </is>
      </c>
    </row>
    <row r="1572">
      <c r="A1572" t="inlineStr">
        <is>
          <t>资源资产</t>
        </is>
      </c>
      <c r="B1572" t="inlineStr">
        <is>
          <t>CLR_ASSET_OTHERS_RESOURCE</t>
        </is>
      </c>
      <c r="C1572" t="inlineStr">
        <is>
          <t>WASTELANDDUEDATE</t>
        </is>
      </c>
      <c r="D1572" t="inlineStr">
        <is>
          <t>VARCHAR(18)</t>
        </is>
      </c>
      <c r="E1572" t="inlineStr">
        <is>
          <t>YES</t>
        </is>
      </c>
      <c r="F1572" t="inlineStr">
        <is>
          <t>荒地所属土地使用权到期日</t>
        </is>
      </c>
      <c r="H1572" t="inlineStr">
        <is>
          <t>VARCHAR</t>
        </is>
      </c>
      <c r="I1572" t="inlineStr">
        <is>
          <t>18</t>
        </is>
      </c>
    </row>
    <row r="1573">
      <c r="A1573" t="inlineStr">
        <is>
          <t>资源资产</t>
        </is>
      </c>
      <c r="B1573" t="inlineStr">
        <is>
          <t>CLR_ASSET_OTHERS_RESOURCE</t>
        </is>
      </c>
      <c r="C1573" t="inlineStr">
        <is>
          <t>WASTELANDUSAGE</t>
        </is>
      </c>
      <c r="D1573" t="inlineStr">
        <is>
          <t>VARCHAR(6)</t>
        </is>
      </c>
      <c r="E1573" t="inlineStr">
        <is>
          <t>YES</t>
        </is>
      </c>
      <c r="F1573" t="inlineStr">
        <is>
          <t>荒地用途</t>
        </is>
      </c>
      <c r="H1573" t="inlineStr">
        <is>
          <t>VARCHAR</t>
        </is>
      </c>
      <c r="I1573" t="inlineStr">
        <is>
          <t>6</t>
        </is>
      </c>
    </row>
    <row r="1574">
      <c r="A1574" t="inlineStr">
        <is>
          <t>资源资产</t>
        </is>
      </c>
      <c r="B1574" t="inlineStr">
        <is>
          <t>CLR_ASSET_OTHERS_RESOURCE</t>
        </is>
      </c>
      <c r="C1574" t="inlineStr">
        <is>
          <t>CONTRACTPERIOD</t>
        </is>
      </c>
      <c r="D1574" t="inlineStr">
        <is>
          <t>INT</t>
        </is>
      </c>
      <c r="E1574" t="inlineStr">
        <is>
          <t>YES</t>
        </is>
      </c>
      <c r="F1574" t="inlineStr">
        <is>
          <t>荒地承包期限</t>
        </is>
      </c>
      <c r="H1574" t="inlineStr">
        <is>
          <t>INT</t>
        </is>
      </c>
    </row>
    <row r="1575">
      <c r="A1575" t="inlineStr">
        <is>
          <t>资源资产</t>
        </is>
      </c>
      <c r="B1575" t="inlineStr">
        <is>
          <t>CLR_ASSET_OTHERS_RESOURCE</t>
        </is>
      </c>
      <c r="C1575" t="inlineStr">
        <is>
          <t>CONTRACTSUM</t>
        </is>
      </c>
      <c r="D1575" t="inlineStr">
        <is>
          <t>DECIMAL(24,6)</t>
        </is>
      </c>
      <c r="E1575" t="inlineStr">
        <is>
          <t>YES</t>
        </is>
      </c>
      <c r="F1575" t="inlineStr">
        <is>
          <t>荒地承包金额/资产金额</t>
        </is>
      </c>
      <c r="H1575" t="inlineStr">
        <is>
          <t>DECIMAL</t>
        </is>
      </c>
      <c r="I1575" t="inlineStr">
        <is>
          <t>24,6</t>
        </is>
      </c>
    </row>
    <row r="1576">
      <c r="A1576" t="inlineStr">
        <is>
          <t>资源资产</t>
        </is>
      </c>
      <c r="B1576" t="inlineStr">
        <is>
          <t>CLR_ASSET_OTHERS_RESOURCE</t>
        </is>
      </c>
      <c r="C1576" t="inlineStr">
        <is>
          <t>LUR03ATT01</t>
        </is>
      </c>
      <c r="D1576" t="inlineStr">
        <is>
          <t>VARCHAR(200)</t>
        </is>
      </c>
      <c r="E1576" t="inlineStr">
        <is>
          <t>YES</t>
        </is>
      </c>
      <c r="F1576" t="inlineStr">
        <is>
          <t>合同终止时地上附着物处置方式</t>
        </is>
      </c>
      <c r="H1576" t="inlineStr">
        <is>
          <t>VARCHAR</t>
        </is>
      </c>
      <c r="I1576" t="inlineStr">
        <is>
          <t>200</t>
        </is>
      </c>
    </row>
    <row r="1577">
      <c r="A1577" t="inlineStr">
        <is>
          <t>资源资产</t>
        </is>
      </c>
      <c r="B1577" t="inlineStr">
        <is>
          <t>CLR_ASSET_OTHERS_RESOURCE</t>
        </is>
      </c>
      <c r="C1577" t="inlineStr">
        <is>
          <t>LUR03ATT02</t>
        </is>
      </c>
      <c r="D1577" t="inlineStr">
        <is>
          <t>VARCHAR(200)</t>
        </is>
      </c>
      <c r="E1577" t="inlineStr">
        <is>
          <t>YES</t>
        </is>
      </c>
      <c r="F1577" t="inlineStr">
        <is>
          <t>荒地地貌</t>
        </is>
      </c>
      <c r="H1577" t="inlineStr">
        <is>
          <t>VARCHAR</t>
        </is>
      </c>
      <c r="I1577" t="inlineStr">
        <is>
          <t>200</t>
        </is>
      </c>
    </row>
    <row r="1578">
      <c r="A1578" t="inlineStr">
        <is>
          <t>资源资产</t>
        </is>
      </c>
      <c r="B1578" t="inlineStr">
        <is>
          <t>CLR_ASSET_OTHERS_RESOURCE</t>
        </is>
      </c>
      <c r="C1578" t="inlineStr">
        <is>
          <t>LUR03ATT03</t>
        </is>
      </c>
      <c r="D1578" t="inlineStr">
        <is>
          <t>VARCHAR(200)</t>
        </is>
      </c>
      <c r="E1578" t="inlineStr">
        <is>
          <t>YES</t>
        </is>
      </c>
      <c r="F1578" t="inlineStr">
        <is>
          <t>荒地所属土地流转情况</t>
        </is>
      </c>
      <c r="H1578" t="inlineStr">
        <is>
          <t>VARCHAR</t>
        </is>
      </c>
      <c r="I1578" t="inlineStr">
        <is>
          <t>200</t>
        </is>
      </c>
    </row>
    <row r="1579">
      <c r="A1579" t="inlineStr">
        <is>
          <t>资源资产</t>
        </is>
      </c>
      <c r="B1579" t="inlineStr">
        <is>
          <t>CLR_ASSET_OTHERS_RESOURCE</t>
        </is>
      </c>
      <c r="C1579" t="inlineStr">
        <is>
          <t>OWNERNAME</t>
        </is>
      </c>
      <c r="D1579" t="inlineStr">
        <is>
          <t>VARCHAR(80)</t>
        </is>
      </c>
      <c r="E1579" t="inlineStr">
        <is>
          <t>YES</t>
        </is>
      </c>
      <c r="F1579" t="inlineStr">
        <is>
          <t>权利人名称/探矿权人名称</t>
        </is>
      </c>
      <c r="H1579" t="inlineStr">
        <is>
          <t>VARCHAR</t>
        </is>
      </c>
      <c r="I1579" t="inlineStr">
        <is>
          <t>80</t>
        </is>
      </c>
    </row>
    <row r="1580">
      <c r="A1580" t="inlineStr">
        <is>
          <t>资源资产</t>
        </is>
      </c>
      <c r="B1580" t="inlineStr">
        <is>
          <t>CLR_ASSET_OTHERS_RESOURCE</t>
        </is>
      </c>
      <c r="C1580" t="inlineStr">
        <is>
          <t>APPROVEORG</t>
        </is>
      </c>
      <c r="D1580" t="inlineStr">
        <is>
          <t>VARCHAR(80)</t>
        </is>
      </c>
      <c r="E1580" t="inlineStr">
        <is>
          <t>YES</t>
        </is>
      </c>
      <c r="F1580" t="inlineStr">
        <is>
          <t>权利批准机关</t>
        </is>
      </c>
      <c r="H1580" t="inlineStr">
        <is>
          <t>VARCHAR</t>
        </is>
      </c>
      <c r="I1580" t="inlineStr">
        <is>
          <t>80</t>
        </is>
      </c>
    </row>
    <row r="1581">
      <c r="A1581" t="inlineStr">
        <is>
          <t>资源资产</t>
        </is>
      </c>
      <c r="B1581" t="inlineStr">
        <is>
          <t>CLR_ASSET_OTHERS_RESOURCE</t>
        </is>
      </c>
      <c r="C1581" t="inlineStr">
        <is>
          <t>LUR03FLAG01</t>
        </is>
      </c>
      <c r="D1581" t="inlineStr">
        <is>
          <t>CHAR(1)</t>
        </is>
      </c>
      <c r="E1581" t="inlineStr">
        <is>
          <t>YES</t>
        </is>
      </c>
      <c r="F1581" t="inlineStr">
        <is>
          <t>荒地可否续期</t>
        </is>
      </c>
      <c r="H1581" t="inlineStr">
        <is>
          <t>CHAR</t>
        </is>
      </c>
      <c r="I1581" t="inlineStr">
        <is>
          <t>1</t>
        </is>
      </c>
    </row>
    <row r="1582">
      <c r="A1582" t="inlineStr">
        <is>
          <t>资源资产</t>
        </is>
      </c>
      <c r="B1582" t="inlineStr">
        <is>
          <t>CLR_ASSET_OTHERS_RESOURCE</t>
        </is>
      </c>
      <c r="C1582" t="inlineStr">
        <is>
          <t>LUR03FLAG02</t>
        </is>
      </c>
      <c r="D1582" t="inlineStr">
        <is>
          <t>CHAR(1)</t>
        </is>
      </c>
      <c r="E1582" t="inlineStr">
        <is>
          <t>YES</t>
        </is>
      </c>
      <c r="F1582" t="inlineStr">
        <is>
          <t>是否已提交荒地所属土地使用权证</t>
        </is>
      </c>
      <c r="H1582" t="inlineStr">
        <is>
          <t>CHAR</t>
        </is>
      </c>
      <c r="I1582" t="inlineStr">
        <is>
          <t>1</t>
        </is>
      </c>
    </row>
    <row r="1583">
      <c r="A1583" t="inlineStr">
        <is>
          <t>资源资产</t>
        </is>
      </c>
      <c r="B1583" t="inlineStr">
        <is>
          <t>CLR_ASSET_OTHERS_RESOURCE</t>
        </is>
      </c>
      <c r="C1583" t="inlineStr">
        <is>
          <t>LUR03FLAG03</t>
        </is>
      </c>
      <c r="D1583" t="inlineStr">
        <is>
          <t>CHAR(1)</t>
        </is>
      </c>
      <c r="E1583" t="inlineStr">
        <is>
          <t>YES</t>
        </is>
      </c>
      <c r="F1583" t="inlineStr">
        <is>
          <t>是否已提交四荒地承包合同</t>
        </is>
      </c>
      <c r="H1583" t="inlineStr">
        <is>
          <t>CHAR</t>
        </is>
      </c>
      <c r="I1583" t="inlineStr">
        <is>
          <t>1</t>
        </is>
      </c>
    </row>
    <row r="1584">
      <c r="A1584" t="inlineStr">
        <is>
          <t>资源资产</t>
        </is>
      </c>
      <c r="B1584" t="inlineStr">
        <is>
          <t>CLR_ASSET_OTHERS_RESOURCE</t>
        </is>
      </c>
      <c r="C1584" t="inlineStr">
        <is>
          <t>LUR03FLAG04</t>
        </is>
      </c>
      <c r="D1584" t="inlineStr">
        <is>
          <t>CHAR(1)</t>
        </is>
      </c>
      <c r="E1584" t="inlineStr">
        <is>
          <t>YES</t>
        </is>
      </c>
      <c r="F1584" t="inlineStr">
        <is>
          <t>是否已提交农村土地承包经营权证书</t>
        </is>
      </c>
      <c r="H1584" t="inlineStr">
        <is>
          <t>CHAR</t>
        </is>
      </c>
      <c r="I1584" t="inlineStr">
        <is>
          <t>1</t>
        </is>
      </c>
    </row>
    <row r="1585">
      <c r="A1585" t="inlineStr">
        <is>
          <t>资源资产</t>
        </is>
      </c>
      <c r="B1585" t="inlineStr">
        <is>
          <t>CLR_ASSET_OTHERS_RESOURCE</t>
        </is>
      </c>
      <c r="C1585" t="inlineStr">
        <is>
          <t>MININGFLAG04</t>
        </is>
      </c>
      <c r="D1585" t="inlineStr">
        <is>
          <t>CHAR(1)</t>
        </is>
      </c>
      <c r="E1585" t="inlineStr">
        <is>
          <t>YES</t>
        </is>
      </c>
      <c r="F1585" t="inlineStr">
        <is>
          <t>矿山是否已经按要求关闭或被列入关闭计划</t>
        </is>
      </c>
      <c r="H1585" t="inlineStr">
        <is>
          <t>CHAR</t>
        </is>
      </c>
      <c r="I1585" t="inlineStr">
        <is>
          <t>1</t>
        </is>
      </c>
    </row>
    <row r="1586">
      <c r="A1586" t="inlineStr">
        <is>
          <t>资源资产</t>
        </is>
      </c>
      <c r="B1586" t="inlineStr">
        <is>
          <t>CLR_ASSET_OTHERS_RESOURCE</t>
        </is>
      </c>
      <c r="C1586" t="inlineStr">
        <is>
          <t>MININGFLAG05</t>
        </is>
      </c>
      <c r="D1586" t="inlineStr">
        <is>
          <t>CHAR(1)</t>
        </is>
      </c>
      <c r="E1586" t="inlineStr">
        <is>
          <t>YES</t>
        </is>
      </c>
      <c r="F1586" t="inlineStr">
        <is>
          <t>是否已提交采矿权许可证</t>
        </is>
      </c>
      <c r="H1586" t="inlineStr">
        <is>
          <t>CHAR</t>
        </is>
      </c>
      <c r="I1586" t="inlineStr">
        <is>
          <t>1</t>
        </is>
      </c>
    </row>
    <row r="1587">
      <c r="A1587" t="inlineStr">
        <is>
          <t>资源资产</t>
        </is>
      </c>
      <c r="B1587" t="inlineStr">
        <is>
          <t>CLR_ASSET_OTHERS_RESOURCE</t>
        </is>
      </c>
      <c r="C1587" t="inlineStr">
        <is>
          <t>MININGFLAG06</t>
        </is>
      </c>
      <c r="D1587" t="inlineStr">
        <is>
          <t>CHAR(1)</t>
        </is>
      </c>
      <c r="E1587" t="inlineStr">
        <is>
          <t>YES</t>
        </is>
      </c>
      <c r="F1587" t="inlineStr">
        <is>
          <t>是否已提交与采矿权相关的企业法人营业执照</t>
        </is>
      </c>
      <c r="H1587" t="inlineStr">
        <is>
          <t>CHAR</t>
        </is>
      </c>
      <c r="I1587" t="inlineStr">
        <is>
          <t>1</t>
        </is>
      </c>
    </row>
    <row r="1588">
      <c r="A1588" t="inlineStr">
        <is>
          <t>资源资产</t>
        </is>
      </c>
      <c r="B1588" t="inlineStr">
        <is>
          <t>CLR_ASSET_OTHERS_RESOURCE</t>
        </is>
      </c>
      <c r="C1588" t="inlineStr">
        <is>
          <t>MININGFLAG07</t>
        </is>
      </c>
      <c r="D1588" t="inlineStr">
        <is>
          <t>CHAR(1)</t>
        </is>
      </c>
      <c r="E1588" t="inlineStr">
        <is>
          <t>YES</t>
        </is>
      </c>
      <c r="F1588" t="inlineStr">
        <is>
          <t>是否已提交企业财务会计报表</t>
        </is>
      </c>
      <c r="H1588" t="inlineStr">
        <is>
          <t>CHAR</t>
        </is>
      </c>
      <c r="I1588" t="inlineStr">
        <is>
          <t>1</t>
        </is>
      </c>
    </row>
    <row r="1589">
      <c r="A1589" t="inlineStr">
        <is>
          <t>资源资产</t>
        </is>
      </c>
      <c r="B1589" t="inlineStr">
        <is>
          <t>CLR_ASSET_OTHERS_RESOURCE</t>
        </is>
      </c>
      <c r="C1589" t="inlineStr">
        <is>
          <t>MININGFLAG08</t>
        </is>
      </c>
      <c r="D1589" t="inlineStr">
        <is>
          <t>CHAR(1)</t>
        </is>
      </c>
      <c r="E1589" t="inlineStr">
        <is>
          <t>YES</t>
        </is>
      </c>
      <c r="F1589" t="inlineStr">
        <is>
          <t>是否已提交资源储量核实报告</t>
        </is>
      </c>
      <c r="H1589" t="inlineStr">
        <is>
          <t>CHAR</t>
        </is>
      </c>
      <c r="I1589" t="inlineStr">
        <is>
          <t>1</t>
        </is>
      </c>
    </row>
    <row r="1590">
      <c r="A1590" t="inlineStr">
        <is>
          <t>资源资产</t>
        </is>
      </c>
      <c r="B1590" t="inlineStr">
        <is>
          <t>CLR_ASSET_OTHERS_RESOURCE</t>
        </is>
      </c>
      <c r="C1590" t="inlineStr">
        <is>
          <t>MININGFLAG09</t>
        </is>
      </c>
      <c r="D1590" t="inlineStr">
        <is>
          <t>CHAR(1)</t>
        </is>
      </c>
      <c r="E1590" t="inlineStr">
        <is>
          <t>YES</t>
        </is>
      </c>
      <c r="F1590" t="inlineStr">
        <is>
          <t>是否已提交地质勘查报告</t>
        </is>
      </c>
      <c r="H1590" t="inlineStr">
        <is>
          <t>CHAR</t>
        </is>
      </c>
      <c r="I1590" t="inlineStr">
        <is>
          <t>1</t>
        </is>
      </c>
    </row>
    <row r="1591">
      <c r="A1591" t="inlineStr">
        <is>
          <t>资源资产</t>
        </is>
      </c>
      <c r="B1591" t="inlineStr">
        <is>
          <t>CLR_ASSET_OTHERS_RESOURCE</t>
        </is>
      </c>
      <c r="C1591" t="inlineStr">
        <is>
          <t>MININGFLAG10</t>
        </is>
      </c>
      <c r="D1591" t="inlineStr">
        <is>
          <t>CHAR(1)</t>
        </is>
      </c>
      <c r="E1591" t="inlineStr">
        <is>
          <t>YES</t>
        </is>
      </c>
      <c r="F1591" t="inlineStr">
        <is>
          <t>是否已提交（预）可行性研究报告</t>
        </is>
      </c>
      <c r="H1591" t="inlineStr">
        <is>
          <t>CHAR</t>
        </is>
      </c>
      <c r="I1591" t="inlineStr">
        <is>
          <t>1</t>
        </is>
      </c>
    </row>
    <row r="1592">
      <c r="A1592" t="inlineStr">
        <is>
          <t>资源资产</t>
        </is>
      </c>
      <c r="B1592" t="inlineStr">
        <is>
          <t>CLR_ASSET_OTHERS_RESOURCE</t>
        </is>
      </c>
      <c r="C1592" t="inlineStr">
        <is>
          <t>MININGFLAG11</t>
        </is>
      </c>
      <c r="D1592" t="inlineStr">
        <is>
          <t>CHAR(1)</t>
        </is>
      </c>
      <c r="E1592" t="inlineStr">
        <is>
          <t>YES</t>
        </is>
      </c>
      <c r="F1592" t="inlineStr">
        <is>
          <t>是否已提交矿产资源开发利用方案</t>
        </is>
      </c>
      <c r="H1592" t="inlineStr">
        <is>
          <t>CHAR</t>
        </is>
      </c>
      <c r="I1592" t="inlineStr">
        <is>
          <t>1</t>
        </is>
      </c>
    </row>
    <row r="1593">
      <c r="A1593" t="inlineStr">
        <is>
          <t>资源资产</t>
        </is>
      </c>
      <c r="B1593" t="inlineStr">
        <is>
          <t>CLR_ASSET_OTHERS_RESOURCE</t>
        </is>
      </c>
      <c r="C1593" t="inlineStr">
        <is>
          <t>MININGFLAG12</t>
        </is>
      </c>
      <c r="D1593" t="inlineStr">
        <is>
          <t>CHAR(1)</t>
        </is>
      </c>
      <c r="E1593" t="inlineStr">
        <is>
          <t>YES</t>
        </is>
      </c>
      <c r="F1593" t="inlineStr">
        <is>
          <t>是否已提交矿山设计（初步设计、生产设计等）</t>
        </is>
      </c>
      <c r="H1593" t="inlineStr">
        <is>
          <t>CHAR</t>
        </is>
      </c>
      <c r="I1593" t="inlineStr">
        <is>
          <t>1</t>
        </is>
      </c>
    </row>
    <row r="1594">
      <c r="A1594" t="inlineStr">
        <is>
          <t>资源资产</t>
        </is>
      </c>
      <c r="B1594" t="inlineStr">
        <is>
          <t>CLR_ASSET_OTHERS_RESOURCE</t>
        </is>
      </c>
      <c r="C1594" t="inlineStr">
        <is>
          <t>MININGFLAG13</t>
        </is>
      </c>
      <c r="D1594" t="inlineStr">
        <is>
          <t>CHAR(1)</t>
        </is>
      </c>
      <c r="E1594" t="inlineStr">
        <is>
          <t>YES</t>
        </is>
      </c>
      <c r="F1594" t="inlineStr">
        <is>
          <t>是否已提交采矿权评估报告确认书</t>
        </is>
      </c>
      <c r="H1594" t="inlineStr">
        <is>
          <t>CHAR</t>
        </is>
      </c>
      <c r="I1594" t="inlineStr">
        <is>
          <t>1</t>
        </is>
      </c>
    </row>
    <row r="1595">
      <c r="A1595" t="inlineStr">
        <is>
          <t>资源资产</t>
        </is>
      </c>
      <c r="B1595" t="inlineStr">
        <is>
          <t>CLR_ASSET_OTHERS_RESOURCE</t>
        </is>
      </c>
      <c r="C1595" t="inlineStr">
        <is>
          <t>MININGFLAG14</t>
        </is>
      </c>
      <c r="D1595" t="inlineStr">
        <is>
          <t>CHAR(1)</t>
        </is>
      </c>
      <c r="E1595" t="inlineStr">
        <is>
          <t>YES</t>
        </is>
      </c>
      <c r="F1595" t="inlineStr">
        <is>
          <t>是否已提交矿山环境影响评价报告书</t>
        </is>
      </c>
      <c r="H1595" t="inlineStr">
        <is>
          <t>CHAR</t>
        </is>
      </c>
      <c r="I1595" t="inlineStr">
        <is>
          <t>1</t>
        </is>
      </c>
    </row>
    <row r="1596">
      <c r="A1596" t="inlineStr">
        <is>
          <t>资源资产</t>
        </is>
      </c>
      <c r="B1596" t="inlineStr">
        <is>
          <t>CLR_ASSET_OTHERS_RESOURCE</t>
        </is>
      </c>
      <c r="C1596" t="inlineStr">
        <is>
          <t>MININGFLAG15</t>
        </is>
      </c>
      <c r="D1596" t="inlineStr">
        <is>
          <t>CHAR(1)</t>
        </is>
      </c>
      <c r="E1596" t="inlineStr">
        <is>
          <t>YES</t>
        </is>
      </c>
      <c r="F1596" t="inlineStr">
        <is>
          <t>是否已提交地震安全评价或地质环境影响评价报告及保护方案</t>
        </is>
      </c>
      <c r="H1596" t="inlineStr">
        <is>
          <t>CHAR</t>
        </is>
      </c>
      <c r="I1596" t="inlineStr">
        <is>
          <t>1</t>
        </is>
      </c>
    </row>
    <row r="1597">
      <c r="A1597" t="inlineStr">
        <is>
          <t>资源资产</t>
        </is>
      </c>
      <c r="B1597" t="inlineStr">
        <is>
          <t>CLR_ASSET_OTHERS_RESOURCE</t>
        </is>
      </c>
      <c r="C1597" t="inlineStr">
        <is>
          <t>MININGFLAG16</t>
        </is>
      </c>
      <c r="D1597" t="inlineStr">
        <is>
          <t>CHAR(1)</t>
        </is>
      </c>
      <c r="E1597" t="inlineStr">
        <is>
          <t>YES</t>
        </is>
      </c>
      <c r="F1597" t="inlineStr">
        <is>
          <t>是否已提交矿山企业主管部门的许可或得到国有资产管理部门的批准文件</t>
        </is>
      </c>
      <c r="H1597" t="inlineStr">
        <is>
          <t>CHAR</t>
        </is>
      </c>
      <c r="I1597" t="inlineStr">
        <is>
          <t>1</t>
        </is>
      </c>
    </row>
    <row r="1598">
      <c r="A1598" t="inlineStr">
        <is>
          <t>资源资产</t>
        </is>
      </c>
      <c r="B1598" t="inlineStr">
        <is>
          <t>CLR_ASSET_OTHERS_RESOURCE</t>
        </is>
      </c>
      <c r="C1598" t="inlineStr">
        <is>
          <t>MININGFLAG17</t>
        </is>
      </c>
      <c r="D1598" t="inlineStr">
        <is>
          <t>CHAR(1)</t>
        </is>
      </c>
      <c r="E1598" t="inlineStr">
        <is>
          <t>YES</t>
        </is>
      </c>
      <c r="F1598" t="inlineStr">
        <is>
          <t>是否已提交矿山建设安全设施设计审查批准意见书</t>
        </is>
      </c>
      <c r="H1598" t="inlineStr">
        <is>
          <t>CHAR</t>
        </is>
      </c>
      <c r="I1598" t="inlineStr">
        <is>
          <t>1</t>
        </is>
      </c>
    </row>
    <row r="1599">
      <c r="A1599" t="inlineStr">
        <is>
          <t>资源资产</t>
        </is>
      </c>
      <c r="B1599" t="inlineStr">
        <is>
          <t>CLR_ASSET_OTHERS_RESOURCE</t>
        </is>
      </c>
      <c r="C1599" t="inlineStr">
        <is>
          <t>MININGFLAG18</t>
        </is>
      </c>
      <c r="D1599" t="inlineStr">
        <is>
          <t>CHAR(1)</t>
        </is>
      </c>
      <c r="E1599" t="inlineStr">
        <is>
          <t>YES</t>
        </is>
      </c>
      <c r="F1599" t="inlineStr">
        <is>
          <t>是否已提交国土资源厅关于资源储量报告的审查意见函</t>
        </is>
      </c>
      <c r="H1599" t="inlineStr">
        <is>
          <t>CHAR</t>
        </is>
      </c>
      <c r="I1599" t="inlineStr">
        <is>
          <t>1</t>
        </is>
      </c>
    </row>
    <row r="1600">
      <c r="A1600" t="inlineStr">
        <is>
          <t>资源资产</t>
        </is>
      </c>
      <c r="B1600" t="inlineStr">
        <is>
          <t>CLR_ASSET_OTHERS_RESOURCE</t>
        </is>
      </c>
      <c r="C1600" t="inlineStr">
        <is>
          <t>MININGFLAG19</t>
        </is>
      </c>
      <c r="D1600" t="inlineStr">
        <is>
          <t>CHAR(1)</t>
        </is>
      </c>
      <c r="E1600" t="inlineStr">
        <is>
          <t>YES</t>
        </is>
      </c>
      <c r="F1600" t="inlineStr">
        <is>
          <t>是否已提交储量动用报告</t>
        </is>
      </c>
      <c r="H1600" t="inlineStr">
        <is>
          <t>CHAR</t>
        </is>
      </c>
      <c r="I1600" t="inlineStr">
        <is>
          <t>1</t>
        </is>
      </c>
    </row>
    <row r="1601">
      <c r="A1601" t="inlineStr">
        <is>
          <t>资源资产</t>
        </is>
      </c>
      <c r="B1601" t="inlineStr">
        <is>
          <t>CLR_ASSET_OTHERS_RESOURCE</t>
        </is>
      </c>
      <c r="C1601" t="inlineStr">
        <is>
          <t>MININGFLAG20</t>
        </is>
      </c>
      <c r="D1601" t="inlineStr">
        <is>
          <t>CHAR(1)</t>
        </is>
      </c>
      <c r="E1601" t="inlineStr">
        <is>
          <t>YES</t>
        </is>
      </c>
      <c r="F1601" t="inlineStr">
        <is>
          <t>是否已提交增值税发票</t>
        </is>
      </c>
      <c r="H1601" t="inlineStr">
        <is>
          <t>CHAR</t>
        </is>
      </c>
      <c r="I1601" t="inlineStr">
        <is>
          <t>1</t>
        </is>
      </c>
    </row>
    <row r="1602">
      <c r="A1602" t="inlineStr">
        <is>
          <t>资源资产</t>
        </is>
      </c>
      <c r="B1602" t="inlineStr">
        <is>
          <t>CLR_ASSET_OTHERS_RESOURCE</t>
        </is>
      </c>
      <c r="C1602" t="inlineStr">
        <is>
          <t>MININGFLAG21</t>
        </is>
      </c>
      <c r="D1602" t="inlineStr">
        <is>
          <t>CHAR(1)</t>
        </is>
      </c>
      <c r="E1602" t="inlineStr">
        <is>
          <t>YES</t>
        </is>
      </c>
      <c r="F1602" t="inlineStr">
        <is>
          <t>是否已提交采矿权评估报告（如有）</t>
        </is>
      </c>
      <c r="H1602" t="inlineStr">
        <is>
          <t>CHAR</t>
        </is>
      </c>
      <c r="I1602" t="inlineStr">
        <is>
          <t>1</t>
        </is>
      </c>
    </row>
    <row r="1603">
      <c r="A1603" t="inlineStr">
        <is>
          <t>资源资产</t>
        </is>
      </c>
      <c r="B1603" t="inlineStr">
        <is>
          <t>CLR_ASSET_OTHERS_RESOURCE</t>
        </is>
      </c>
      <c r="C1603" t="inlineStr">
        <is>
          <t>MININGFLAG22</t>
        </is>
      </c>
      <c r="D1603" t="inlineStr">
        <is>
          <t>CHAR(1)</t>
        </is>
      </c>
      <c r="E1603" t="inlineStr">
        <is>
          <t>YES</t>
        </is>
      </c>
      <c r="F1603" t="inlineStr">
        <is>
          <t>是否已提交由矿产资源补偿费征收管理机关出具的有关矿产资源补偿费缴纳情况的证明材料</t>
        </is>
      </c>
      <c r="H1603" t="inlineStr">
        <is>
          <t>CHAR</t>
        </is>
      </c>
      <c r="I1603" t="inlineStr">
        <is>
          <t>1</t>
        </is>
      </c>
    </row>
    <row r="1604">
      <c r="A1604" t="inlineStr">
        <is>
          <t>资源资产</t>
        </is>
      </c>
      <c r="B1604" t="inlineStr">
        <is>
          <t>CLR_ASSET_OTHERS_RESOURCE</t>
        </is>
      </c>
      <c r="C1604" t="inlineStr">
        <is>
          <t>MININGFLAG23</t>
        </is>
      </c>
      <c r="D1604" t="inlineStr">
        <is>
          <t>CHAR(1)</t>
        </is>
      </c>
      <c r="E1604" t="inlineStr">
        <is>
          <t>YES</t>
        </is>
      </c>
      <c r="F1604" t="inlineStr">
        <is>
          <t>是否已提交由资源税征收管理机关出具的有关资源税缴纳情况的证明材料</t>
        </is>
      </c>
      <c r="H1604" t="inlineStr">
        <is>
          <t>CHAR</t>
        </is>
      </c>
      <c r="I1604" t="inlineStr">
        <is>
          <t>1</t>
        </is>
      </c>
    </row>
    <row r="1605">
      <c r="A1605" t="inlineStr">
        <is>
          <t>资源资产</t>
        </is>
      </c>
      <c r="B1605" t="inlineStr">
        <is>
          <t>CLR_ASSET_OTHERS_RESOURCE</t>
        </is>
      </c>
      <c r="C1605" t="inlineStr">
        <is>
          <t>FORESTFLAG01</t>
        </is>
      </c>
      <c r="D1605" t="inlineStr">
        <is>
          <t>CHAR(1)</t>
        </is>
      </c>
      <c r="E1605" t="inlineStr">
        <is>
          <t>YES</t>
        </is>
      </c>
      <c r="F1605" t="inlineStr">
        <is>
          <t>是否已提交林地相关的林权证</t>
        </is>
      </c>
      <c r="H1605" t="inlineStr">
        <is>
          <t>CHAR</t>
        </is>
      </c>
      <c r="I1605" t="inlineStr">
        <is>
          <t>1</t>
        </is>
      </c>
    </row>
    <row r="1606">
      <c r="A1606" t="inlineStr">
        <is>
          <t>资源资产</t>
        </is>
      </c>
      <c r="B1606" t="inlineStr">
        <is>
          <t>CLR_ASSET_OTHERS_RESOURCE</t>
        </is>
      </c>
      <c r="C1606" t="inlineStr">
        <is>
          <t>LUR02FLAG02</t>
        </is>
      </c>
      <c r="D1606" t="inlineStr">
        <is>
          <t>CHAR(1)</t>
        </is>
      </c>
      <c r="E1606" t="inlineStr">
        <is>
          <t>YES</t>
        </is>
      </c>
      <c r="F1606" t="inlineStr">
        <is>
          <t>是否已提交相关租让合同</t>
        </is>
      </c>
      <c r="H1606" t="inlineStr">
        <is>
          <t>CHAR</t>
        </is>
      </c>
      <c r="I1606" t="inlineStr">
        <is>
          <t>1</t>
        </is>
      </c>
    </row>
    <row r="1607">
      <c r="A1607" t="inlineStr">
        <is>
          <t>资源资产</t>
        </is>
      </c>
      <c r="B1607" t="inlineStr">
        <is>
          <t>CLR_ASSET_OTHERS_RESOURCE</t>
        </is>
      </c>
      <c r="C1607" t="inlineStr">
        <is>
          <t>WATERSFLAG01</t>
        </is>
      </c>
      <c r="D1607" t="inlineStr">
        <is>
          <t>CHAR(1)</t>
        </is>
      </c>
      <c r="E1607" t="inlineStr">
        <is>
          <t>YES</t>
        </is>
      </c>
      <c r="F1607" t="inlineStr">
        <is>
          <t>是否已提交海域使用权证书</t>
        </is>
      </c>
      <c r="H1607" t="inlineStr">
        <is>
          <t>CHAR</t>
        </is>
      </c>
      <c r="I1607" t="inlineStr">
        <is>
          <t>1</t>
        </is>
      </c>
    </row>
    <row r="1608">
      <c r="A1608" t="inlineStr">
        <is>
          <t>资源资产</t>
        </is>
      </c>
      <c r="B1608" t="inlineStr">
        <is>
          <t>CLR_ASSET_OTHERS_RESOURCE</t>
        </is>
      </c>
      <c r="C1608" t="inlineStr">
        <is>
          <t>WATERSFLAG02</t>
        </is>
      </c>
      <c r="D1608" t="inlineStr">
        <is>
          <t>CHAR(1)</t>
        </is>
      </c>
      <c r="E1608" t="inlineStr">
        <is>
          <t>YES</t>
        </is>
      </c>
      <c r="F1608" t="inlineStr">
        <is>
          <t>是否已提交海域出让合同/海域转让合同</t>
        </is>
      </c>
      <c r="H1608" t="inlineStr">
        <is>
          <t>CHAR</t>
        </is>
      </c>
      <c r="I1608" t="inlineStr">
        <is>
          <t>1</t>
        </is>
      </c>
    </row>
    <row r="1609">
      <c r="A1609" t="inlineStr">
        <is>
          <t>资源资产</t>
        </is>
      </c>
      <c r="B1609" t="inlineStr">
        <is>
          <t>CLR_ASSET_OTHERS_RESOURCE</t>
        </is>
      </c>
      <c r="C1609" t="inlineStr">
        <is>
          <t>FOREST01FLAG02</t>
        </is>
      </c>
      <c r="D1609" t="inlineStr">
        <is>
          <t>CHAR(1)</t>
        </is>
      </c>
      <c r="E1609" t="inlineStr">
        <is>
          <t>YES</t>
        </is>
      </c>
      <c r="F1609" t="inlineStr">
        <is>
          <t>是否已提交森林和林木所属的土地使用权证</t>
        </is>
      </c>
      <c r="H1609" t="inlineStr">
        <is>
          <t>CHAR</t>
        </is>
      </c>
      <c r="I1609" t="inlineStr">
        <is>
          <t>1</t>
        </is>
      </c>
    </row>
    <row r="1610">
      <c r="A1610" t="inlineStr">
        <is>
          <t>资源资产</t>
        </is>
      </c>
      <c r="B1610" t="inlineStr">
        <is>
          <t>CLR_ASSET_OTHERS_RESOURCE</t>
        </is>
      </c>
      <c r="C1610" t="inlineStr">
        <is>
          <t>WOODLANDDESCRIPTION</t>
        </is>
      </c>
      <c r="D1610" t="inlineStr">
        <is>
          <t>VARCHAR(200)</t>
        </is>
      </c>
      <c r="E1610" t="inlineStr">
        <is>
          <t>YES</t>
        </is>
      </c>
      <c r="F1610" t="inlineStr">
        <is>
          <t>林地描述</t>
        </is>
      </c>
      <c r="H1610" t="inlineStr">
        <is>
          <t>VARCHAR</t>
        </is>
      </c>
      <c r="I1610" t="inlineStr">
        <is>
          <t>200</t>
        </is>
      </c>
    </row>
    <row r="1611">
      <c r="A1611" t="inlineStr">
        <is>
          <t>资源资产</t>
        </is>
      </c>
      <c r="B1611" t="inlineStr">
        <is>
          <t>CLR_ASSET_OTHERS_RESOURCE</t>
        </is>
      </c>
      <c r="C1611" t="inlineStr">
        <is>
          <t>ACREAGE</t>
        </is>
      </c>
      <c r="D1611" t="inlineStr">
        <is>
          <t>DECIMAL(18,2)</t>
        </is>
      </c>
      <c r="E1611" t="inlineStr">
        <is>
          <t>YES</t>
        </is>
      </c>
      <c r="F1611" t="inlineStr">
        <is>
          <t>面积/勘察面积</t>
        </is>
      </c>
      <c r="H1611" t="inlineStr">
        <is>
          <t>DECIMAL</t>
        </is>
      </c>
      <c r="I1611" t="inlineStr">
        <is>
          <t>18,2</t>
        </is>
      </c>
    </row>
    <row r="1612">
      <c r="A1612" t="inlineStr">
        <is>
          <t>资源资产</t>
        </is>
      </c>
      <c r="B1612" t="inlineStr">
        <is>
          <t>CLR_ASSET_OTHERS_RESOURCE</t>
        </is>
      </c>
      <c r="C1612" t="inlineStr">
        <is>
          <t>INPUTORGID</t>
        </is>
      </c>
      <c r="D1612" t="inlineStr">
        <is>
          <t>VARCHAR(32)</t>
        </is>
      </c>
      <c r="E1612" t="inlineStr">
        <is>
          <t>YES</t>
        </is>
      </c>
      <c r="F1612" t="inlineStr">
        <is>
          <t>登记机构</t>
        </is>
      </c>
      <c r="H1612" t="inlineStr">
        <is>
          <t>VARCHAR</t>
        </is>
      </c>
      <c r="I1612" t="inlineStr">
        <is>
          <t>32</t>
        </is>
      </c>
    </row>
    <row r="1613">
      <c r="A1613" t="inlineStr">
        <is>
          <t>资源资产</t>
        </is>
      </c>
      <c r="B1613" t="inlineStr">
        <is>
          <t>CLR_ASSET_OTHERS_RESOURCE</t>
        </is>
      </c>
      <c r="C1613" t="inlineStr">
        <is>
          <t>INPUTUSERID</t>
        </is>
      </c>
      <c r="D1613" t="inlineStr">
        <is>
          <t>VARCHAR(32)</t>
        </is>
      </c>
      <c r="E1613" t="inlineStr">
        <is>
          <t>YES</t>
        </is>
      </c>
      <c r="F1613" t="inlineStr">
        <is>
          <t>登记人</t>
        </is>
      </c>
      <c r="H1613" t="inlineStr">
        <is>
          <t>VARCHAR</t>
        </is>
      </c>
      <c r="I1613" t="inlineStr">
        <is>
          <t>32</t>
        </is>
      </c>
    </row>
    <row r="1614">
      <c r="A1614" t="inlineStr">
        <is>
          <t>资源资产</t>
        </is>
      </c>
      <c r="B1614" t="inlineStr">
        <is>
          <t>CLR_ASSET_OTHERS_RESOURCE</t>
        </is>
      </c>
      <c r="C1614" t="inlineStr">
        <is>
          <t>INPUTDATE</t>
        </is>
      </c>
      <c r="D1614" t="inlineStr">
        <is>
          <t>DATETIME</t>
        </is>
      </c>
      <c r="E1614" t="inlineStr">
        <is>
          <t>YES</t>
        </is>
      </c>
      <c r="F1614" t="inlineStr">
        <is>
          <t>登记日期</t>
        </is>
      </c>
      <c r="H1614" t="inlineStr">
        <is>
          <t>DATETIME</t>
        </is>
      </c>
    </row>
    <row r="1615">
      <c r="A1615" t="inlineStr">
        <is>
          <t>资源资产</t>
        </is>
      </c>
      <c r="B1615" t="inlineStr">
        <is>
          <t>CLR_ASSET_OTHERS_RESOURCE</t>
        </is>
      </c>
      <c r="C1615" t="inlineStr">
        <is>
          <t>UPDATEORGID</t>
        </is>
      </c>
      <c r="D1615" t="inlineStr">
        <is>
          <t>VARCHAR(32)</t>
        </is>
      </c>
      <c r="E1615" t="inlineStr">
        <is>
          <t>YES</t>
        </is>
      </c>
      <c r="F1615" t="inlineStr">
        <is>
          <t>更新机构</t>
        </is>
      </c>
      <c r="H1615" t="inlineStr">
        <is>
          <t>VARCHAR</t>
        </is>
      </c>
      <c r="I1615" t="inlineStr">
        <is>
          <t>32</t>
        </is>
      </c>
    </row>
    <row r="1616">
      <c r="A1616" t="inlineStr">
        <is>
          <t>资源资产</t>
        </is>
      </c>
      <c r="B1616" t="inlineStr">
        <is>
          <t>CLR_ASSET_OTHERS_RESOURCE</t>
        </is>
      </c>
      <c r="C1616" t="inlineStr">
        <is>
          <t>UPDATEUSERID</t>
        </is>
      </c>
      <c r="D1616" t="inlineStr">
        <is>
          <t>VARCHAR(32)</t>
        </is>
      </c>
      <c r="E1616" t="inlineStr">
        <is>
          <t>YES</t>
        </is>
      </c>
      <c r="F1616" t="inlineStr">
        <is>
          <t>更新人</t>
        </is>
      </c>
      <c r="H1616" t="inlineStr">
        <is>
          <t>VARCHAR</t>
        </is>
      </c>
      <c r="I1616" t="inlineStr">
        <is>
          <t>32</t>
        </is>
      </c>
    </row>
    <row r="1617">
      <c r="A1617" t="inlineStr">
        <is>
          <t>资源资产</t>
        </is>
      </c>
      <c r="B1617" t="inlineStr">
        <is>
          <t>CLR_ASSET_OTHERS_RESOURCE</t>
        </is>
      </c>
      <c r="C1617" t="inlineStr">
        <is>
          <t>UPDATEDATE</t>
        </is>
      </c>
      <c r="D1617" t="inlineStr">
        <is>
          <t>DATETIME</t>
        </is>
      </c>
      <c r="E1617" t="inlineStr">
        <is>
          <t>YES</t>
        </is>
      </c>
      <c r="F1617" t="inlineStr">
        <is>
          <t>更新日期</t>
        </is>
      </c>
      <c r="H1617" t="inlineStr">
        <is>
          <t>DATETIME</t>
        </is>
      </c>
    </row>
    <row r="1618">
      <c r="A1618" t="inlineStr">
        <is>
          <t>资源资产</t>
        </is>
      </c>
      <c r="B1618" t="inlineStr">
        <is>
          <t>CLR_ASSET_OTHERS_RESOURCE</t>
        </is>
      </c>
      <c r="C1618" t="inlineStr">
        <is>
          <t>REMARK</t>
        </is>
      </c>
      <c r="D1618" t="inlineStr">
        <is>
          <t>VARCHAR(500)</t>
        </is>
      </c>
      <c r="E1618" t="inlineStr">
        <is>
          <t>YES</t>
        </is>
      </c>
      <c r="F1618" t="inlineStr">
        <is>
          <t>备注</t>
        </is>
      </c>
      <c r="H1618" t="inlineStr">
        <is>
          <t>VARCHAR</t>
        </is>
      </c>
      <c r="I1618" t="inlineStr">
        <is>
          <t>500</t>
        </is>
      </c>
    </row>
    <row r="1619">
      <c r="A1619" t="inlineStr">
        <is>
          <t>资源资产</t>
        </is>
      </c>
      <c r="B1619" t="inlineStr">
        <is>
          <t>CLR_ASSET_OTHERS_RESOURCE</t>
        </is>
      </c>
      <c r="C1619" t="inlineStr">
        <is>
          <t>CORPORGID</t>
        </is>
      </c>
      <c r="D1619" t="inlineStr">
        <is>
          <t>VARCHAR(32)</t>
        </is>
      </c>
      <c r="E1619" t="inlineStr">
        <is>
          <t>YES</t>
        </is>
      </c>
      <c r="F1619" t="inlineStr">
        <is>
          <t>法人机构编号</t>
        </is>
      </c>
      <c r="H1619" t="inlineStr">
        <is>
          <t>VARCHAR</t>
        </is>
      </c>
      <c r="I1619" t="inlineStr">
        <is>
          <t>32</t>
        </is>
      </c>
    </row>
    <row r="1620">
      <c r="A1620" t="inlineStr">
        <is>
          <t>资源资产</t>
        </is>
      </c>
      <c r="B1620" t="inlineStr">
        <is>
          <t>CLR_ASSET_OTHERS_RESOURCE</t>
        </is>
      </c>
      <c r="C1620" t="inlineStr">
        <is>
          <t>MININGADDRESS</t>
        </is>
      </c>
      <c r="D1620" t="inlineStr">
        <is>
          <t>VARCHAR(32)</t>
        </is>
      </c>
      <c r="E1620" t="inlineStr">
        <is>
          <t>YES</t>
        </is>
      </c>
      <c r="F1620" t="inlineStr">
        <is>
          <t>矿区地址/注册地址</t>
        </is>
      </c>
      <c r="H1620" t="inlineStr">
        <is>
          <t>VARCHAR</t>
        </is>
      </c>
      <c r="I1620" t="inlineStr">
        <is>
          <t>32</t>
        </is>
      </c>
    </row>
    <row r="1621">
      <c r="A1621" t="inlineStr">
        <is>
          <t>资源资产</t>
        </is>
      </c>
      <c r="B1621" t="inlineStr">
        <is>
          <t>CLR_ASSET_OTHERS_RESOURCE</t>
        </is>
      </c>
      <c r="C1621" t="inlineStr">
        <is>
          <t>RIGHTSRANK</t>
        </is>
      </c>
      <c r="D1621" t="inlineStr">
        <is>
          <t>INTEGER(4)</t>
        </is>
      </c>
      <c r="E1621" t="inlineStr">
        <is>
          <t>YES</t>
        </is>
      </c>
      <c r="F1621" t="inlineStr">
        <is>
          <t>我行抵押权顺位</t>
        </is>
      </c>
      <c r="H1621" t="inlineStr">
        <is>
          <t>INTEGER</t>
        </is>
      </c>
      <c r="I1621" t="inlineStr">
        <is>
          <t>4</t>
        </is>
      </c>
    </row>
    <row r="1622">
      <c r="A1622" t="inlineStr">
        <is>
          <t>资源资产</t>
        </is>
      </c>
      <c r="B1622" t="inlineStr">
        <is>
          <t>CLR_ASSET_OTHERS_RESOURCE</t>
        </is>
      </c>
      <c r="C1622" t="inlineStr">
        <is>
          <t>LOANCARDNO</t>
        </is>
      </c>
      <c r="D1622" t="inlineStr">
        <is>
          <t>VARCHAR(32)</t>
        </is>
      </c>
      <c r="E1622" t="inlineStr">
        <is>
          <t>YES</t>
        </is>
      </c>
      <c r="F1622" t="inlineStr">
        <is>
          <t>权利人贷款卡号</t>
        </is>
      </c>
      <c r="H1622" t="inlineStr">
        <is>
          <t>VARCHAR</t>
        </is>
      </c>
      <c r="I1622" t="inlineStr">
        <is>
          <t>32</t>
        </is>
      </c>
    </row>
    <row r="1623">
      <c r="A1623" t="inlineStr">
        <is>
          <t>资源资产</t>
        </is>
      </c>
      <c r="B1623" t="inlineStr">
        <is>
          <t>CLR_ASSET_OTHERS_RESOURCE</t>
        </is>
      </c>
      <c r="C1623" t="inlineStr">
        <is>
          <t>AMOUNTPAID</t>
        </is>
      </c>
      <c r="D1623" t="inlineStr">
        <is>
          <t>DECIMAL(24,6)</t>
        </is>
      </c>
      <c r="E1623" t="inlineStr">
        <is>
          <t>YES</t>
        </is>
      </c>
      <c r="F1623" t="inlineStr">
        <is>
          <t>已交采矿权价款</t>
        </is>
      </c>
      <c r="H1623" t="inlineStr">
        <is>
          <t>DECIMAL</t>
        </is>
      </c>
      <c r="I1623" t="inlineStr">
        <is>
          <t>24,6</t>
        </is>
      </c>
    </row>
    <row r="1624">
      <c r="A1624" t="inlineStr">
        <is>
          <t>资源资产</t>
        </is>
      </c>
      <c r="B1624" t="inlineStr">
        <is>
          <t>CLR_ASSET_OTHERS_RESOURCE</t>
        </is>
      </c>
      <c r="C1624" t="inlineStr">
        <is>
          <t>COALTONNAGE</t>
        </is>
      </c>
      <c r="D1624" t="inlineStr">
        <is>
          <t>DECIMAL(24,6)</t>
        </is>
      </c>
      <c r="E1624" t="inlineStr">
        <is>
          <t>YES</t>
        </is>
      </c>
      <c r="F1624" t="inlineStr">
        <is>
          <t>已交采矿权价款折合煤炭吨数</t>
        </is>
      </c>
      <c r="H1624" t="inlineStr">
        <is>
          <t>DECIMAL</t>
        </is>
      </c>
      <c r="I1624" t="inlineStr">
        <is>
          <t>24,6</t>
        </is>
      </c>
    </row>
    <row r="1625">
      <c r="A1625" t="inlineStr">
        <is>
          <t>资源资产</t>
        </is>
      </c>
      <c r="B1625" t="inlineStr">
        <is>
          <t>CLR_ASSET_OTHERS_RESOURCE</t>
        </is>
      </c>
      <c r="C1625" t="inlineStr">
        <is>
          <t>MININGSEAMNO</t>
        </is>
      </c>
      <c r="D1625" t="inlineStr">
        <is>
          <t>VARCHAR(40)</t>
        </is>
      </c>
      <c r="E1625" t="inlineStr">
        <is>
          <t>YES</t>
        </is>
      </c>
      <c r="F1625" t="inlineStr">
        <is>
          <t>开采层号</t>
        </is>
      </c>
      <c r="H1625" t="inlineStr">
        <is>
          <t>VARCHAR</t>
        </is>
      </c>
      <c r="I1625" t="inlineStr">
        <is>
          <t>40</t>
        </is>
      </c>
    </row>
    <row r="1626">
      <c r="A1626" t="inlineStr">
        <is>
          <t>资源资产</t>
        </is>
      </c>
      <c r="B1626" t="inlineStr">
        <is>
          <t>CLR_ASSET_OTHERS_RESOURCE</t>
        </is>
      </c>
      <c r="C1626" t="inlineStr">
        <is>
          <t>SAFECERTNO</t>
        </is>
      </c>
      <c r="D1626" t="inlineStr">
        <is>
          <t>VARCHAR(40)</t>
        </is>
      </c>
      <c r="E1626" t="inlineStr">
        <is>
          <t>YES</t>
        </is>
      </c>
      <c r="F1626" t="inlineStr">
        <is>
          <t>安全生产许可证编号</t>
        </is>
      </c>
      <c r="H1626" t="inlineStr">
        <is>
          <t>VARCHAR</t>
        </is>
      </c>
      <c r="I1626" t="inlineStr">
        <is>
          <t>40</t>
        </is>
      </c>
    </row>
    <row r="1627">
      <c r="A1627" t="inlineStr">
        <is>
          <t>资源资产</t>
        </is>
      </c>
      <c r="B1627" t="inlineStr">
        <is>
          <t>CLR_ASSET_OTHERS_RESOURCE</t>
        </is>
      </c>
      <c r="C1627" t="inlineStr">
        <is>
          <t>SAFECERTPERIOD</t>
        </is>
      </c>
      <c r="D1627" t="inlineStr">
        <is>
          <t>VARCHAR(10)</t>
        </is>
      </c>
      <c r="E1627" t="inlineStr">
        <is>
          <t>YES</t>
        </is>
      </c>
      <c r="F1627" t="inlineStr">
        <is>
          <t>安全生产许可证有效期</t>
        </is>
      </c>
      <c r="H1627" t="inlineStr">
        <is>
          <t>VARCHAR</t>
        </is>
      </c>
      <c r="I1627" t="inlineStr">
        <is>
          <t>10</t>
        </is>
      </c>
    </row>
    <row r="1628">
      <c r="A1628" t="inlineStr">
        <is>
          <t>资源资产</t>
        </is>
      </c>
      <c r="B1628" t="inlineStr">
        <is>
          <t>CLR_ASSET_OTHERS_RESOURCE</t>
        </is>
      </c>
      <c r="C1628" t="inlineStr">
        <is>
          <t>COALPRDNO</t>
        </is>
      </c>
      <c r="D1628" t="inlineStr">
        <is>
          <t>VARCHAR(40)</t>
        </is>
      </c>
      <c r="E1628" t="inlineStr">
        <is>
          <t>YES</t>
        </is>
      </c>
      <c r="F1628" t="inlineStr">
        <is>
          <t>煤炭生产许可证编号</t>
        </is>
      </c>
      <c r="H1628" t="inlineStr">
        <is>
          <t>VARCHAR</t>
        </is>
      </c>
      <c r="I1628" t="inlineStr">
        <is>
          <t>40</t>
        </is>
      </c>
    </row>
    <row r="1629">
      <c r="A1629" t="inlineStr">
        <is>
          <t>资源资产</t>
        </is>
      </c>
      <c r="B1629" t="inlineStr">
        <is>
          <t>CLR_ASSET_OTHERS_RESOURCE</t>
        </is>
      </c>
      <c r="C1629" t="inlineStr">
        <is>
          <t>COALPRDPERIOD</t>
        </is>
      </c>
      <c r="D1629" t="inlineStr">
        <is>
          <t>VARCHAR(10)</t>
        </is>
      </c>
      <c r="E1629" t="inlineStr">
        <is>
          <t>YES</t>
        </is>
      </c>
      <c r="F1629" t="inlineStr">
        <is>
          <t>煤炭生产许可证有效期</t>
        </is>
      </c>
      <c r="H1629" t="inlineStr">
        <is>
          <t>VARCHAR</t>
        </is>
      </c>
      <c r="I1629" t="inlineStr">
        <is>
          <t>10</t>
        </is>
      </c>
    </row>
    <row r="1630">
      <c r="A1630" t="inlineStr">
        <is>
          <t>资源资产</t>
        </is>
      </c>
      <c r="B1630" t="inlineStr">
        <is>
          <t>CLR_ASSET_OTHERS_RESOURCE</t>
        </is>
      </c>
      <c r="C1630" t="inlineStr">
        <is>
          <t>FILENO1</t>
        </is>
      </c>
      <c r="D1630" t="inlineStr">
        <is>
          <t>VARCHAR(40)</t>
        </is>
      </c>
      <c r="E1630" t="inlineStr">
        <is>
          <t>YES</t>
        </is>
      </c>
      <c r="F1630" t="inlineStr">
        <is>
          <t>《矿产资源评审备案证明》编号</t>
        </is>
      </c>
      <c r="H1630" t="inlineStr">
        <is>
          <t>VARCHAR</t>
        </is>
      </c>
      <c r="I1630" t="inlineStr">
        <is>
          <t>40</t>
        </is>
      </c>
    </row>
    <row r="1631">
      <c r="A1631" t="inlineStr">
        <is>
          <t>资源资产</t>
        </is>
      </c>
      <c r="B1631" t="inlineStr">
        <is>
          <t>CLR_ASSET_OTHERS_RESOURCE</t>
        </is>
      </c>
      <c r="C1631" t="inlineStr">
        <is>
          <t>FILEDATE1</t>
        </is>
      </c>
      <c r="D1631" t="inlineStr">
        <is>
          <t>VARCHAR(10)</t>
        </is>
      </c>
      <c r="E1631" t="inlineStr">
        <is>
          <t>YES</t>
        </is>
      </c>
      <c r="F1631" t="inlineStr">
        <is>
          <t>《矿产资源评审备案证明》评审基准日</t>
        </is>
      </c>
      <c r="H1631" t="inlineStr">
        <is>
          <t>VARCHAR</t>
        </is>
      </c>
      <c r="I1631" t="inlineStr">
        <is>
          <t>10</t>
        </is>
      </c>
    </row>
    <row r="1632">
      <c r="A1632" t="inlineStr">
        <is>
          <t>资源资产</t>
        </is>
      </c>
      <c r="B1632" t="inlineStr">
        <is>
          <t>CLR_ASSET_OTHERS_RESOURCE</t>
        </is>
      </c>
      <c r="C1632" t="inlineStr">
        <is>
          <t>FILENO2</t>
        </is>
      </c>
      <c r="D1632" t="inlineStr">
        <is>
          <t>VARCHAR(40)</t>
        </is>
      </c>
      <c r="E1632" t="inlineStr">
        <is>
          <t>YES</t>
        </is>
      </c>
      <c r="F1632" t="inlineStr">
        <is>
          <t>《资源储量核实报告》编号</t>
        </is>
      </c>
      <c r="H1632" t="inlineStr">
        <is>
          <t>VARCHAR</t>
        </is>
      </c>
      <c r="I1632" t="inlineStr">
        <is>
          <t>40</t>
        </is>
      </c>
    </row>
    <row r="1633">
      <c r="A1633" t="inlineStr">
        <is>
          <t>资源资产</t>
        </is>
      </c>
      <c r="B1633" t="inlineStr">
        <is>
          <t>CLR_ASSET_OTHERS_RESOURCE</t>
        </is>
      </c>
      <c r="C1633" t="inlineStr">
        <is>
          <t>FILEDATE2</t>
        </is>
      </c>
      <c r="D1633" t="inlineStr">
        <is>
          <t>VARCHAR(10)</t>
        </is>
      </c>
      <c r="E1633" t="inlineStr">
        <is>
          <t>YES</t>
        </is>
      </c>
      <c r="F1633" t="inlineStr">
        <is>
          <t>《资源储量核实报告》提交日期</t>
        </is>
      </c>
      <c r="H1633" t="inlineStr">
        <is>
          <t>VARCHAR</t>
        </is>
      </c>
      <c r="I1633" t="inlineStr">
        <is>
          <t>10</t>
        </is>
      </c>
    </row>
    <row r="1634">
      <c r="A1634" t="inlineStr">
        <is>
          <t>资源资产</t>
        </is>
      </c>
      <c r="B1634" t="inlineStr">
        <is>
          <t>CLR_ASSET_OTHERS_RESOURCE</t>
        </is>
      </c>
      <c r="C1634" t="inlineStr">
        <is>
          <t>FILENO3</t>
        </is>
      </c>
      <c r="D1634" t="inlineStr">
        <is>
          <t>VARCHAR(40)</t>
        </is>
      </c>
      <c r="E1634" t="inlineStr">
        <is>
          <t>YES</t>
        </is>
      </c>
      <c r="F1634" t="inlineStr">
        <is>
          <t>《占用矿产资源储量登记证》编号</t>
        </is>
      </c>
      <c r="H1634" t="inlineStr">
        <is>
          <t>VARCHAR</t>
        </is>
      </c>
      <c r="I1634" t="inlineStr">
        <is>
          <t>40</t>
        </is>
      </c>
    </row>
    <row r="1635">
      <c r="A1635" t="inlineStr">
        <is>
          <t>资源资产</t>
        </is>
      </c>
      <c r="B1635" t="inlineStr">
        <is>
          <t>CLR_ASSET_OTHERS_RESOURCE</t>
        </is>
      </c>
      <c r="C1635" t="inlineStr">
        <is>
          <t>ASSETSTATUS</t>
        </is>
      </c>
      <c r="D1635" t="inlineStr">
        <is>
          <t>VARCHAR(40)</t>
        </is>
      </c>
      <c r="E1635" t="inlineStr">
        <is>
          <t>YES</t>
        </is>
      </c>
      <c r="F1635" t="inlineStr">
        <is>
          <t>资产状况</t>
        </is>
      </c>
      <c r="H1635" t="inlineStr">
        <is>
          <t>VARCHAR</t>
        </is>
      </c>
      <c r="I1635" t="inlineStr">
        <is>
          <t>40</t>
        </is>
      </c>
    </row>
    <row r="1636">
      <c r="A1636" t="inlineStr">
        <is>
          <t>资源资产</t>
        </is>
      </c>
      <c r="B1636" t="inlineStr">
        <is>
          <t>CLR_ASSET_OTHERS_RESOURCE</t>
        </is>
      </c>
      <c r="C1636" t="inlineStr">
        <is>
          <t>ISPARTMORTGAGED</t>
        </is>
      </c>
      <c r="D1636" t="inlineStr">
        <is>
          <t>VARCHAR(6)</t>
        </is>
      </c>
      <c r="E1636" t="inlineStr">
        <is>
          <t>YES</t>
        </is>
      </c>
      <c r="F1636" t="inlineStr">
        <is>
          <t>是否部分抵押</t>
        </is>
      </c>
      <c r="H1636" t="inlineStr">
        <is>
          <t>VARCHAR</t>
        </is>
      </c>
      <c r="I1636" t="inlineStr">
        <is>
          <t>6</t>
        </is>
      </c>
    </row>
    <row r="1637">
      <c r="A1637" t="inlineStr">
        <is>
          <t>资源资产</t>
        </is>
      </c>
      <c r="B1637" t="inlineStr">
        <is>
          <t>CLR_ASSET_OTHERS_RESOURCE</t>
        </is>
      </c>
      <c r="C1637" t="inlineStr">
        <is>
          <t>GUARANTYDESCRIBE</t>
        </is>
      </c>
      <c r="D1637" t="inlineStr">
        <is>
          <t>VARCHAR(200)</t>
        </is>
      </c>
      <c r="E1637" t="inlineStr">
        <is>
          <t>YES</t>
        </is>
      </c>
      <c r="F1637" t="inlineStr">
        <is>
          <t>权利说明</t>
        </is>
      </c>
      <c r="H1637" t="inlineStr">
        <is>
          <t>VARCHAR</t>
        </is>
      </c>
      <c r="I1637" t="inlineStr">
        <is>
          <t>200</t>
        </is>
      </c>
    </row>
    <row r="1638">
      <c r="A1638" t="inlineStr">
        <is>
          <t>资源资产</t>
        </is>
      </c>
      <c r="B1638" t="inlineStr">
        <is>
          <t>CLR_ASSET_OTHERS_RESOURCE</t>
        </is>
      </c>
      <c r="C1638" t="inlineStr">
        <is>
          <t>REALIZATIONVALUE</t>
        </is>
      </c>
      <c r="D1638" t="inlineStr">
        <is>
          <t>DECIMAL(24,6)</t>
        </is>
      </c>
      <c r="E1638" t="inlineStr">
        <is>
          <t>YES</t>
        </is>
      </c>
      <c r="F1638" t="inlineStr">
        <is>
          <t>预计变现值</t>
        </is>
      </c>
      <c r="H1638" t="inlineStr">
        <is>
          <t>DECIMAL</t>
        </is>
      </c>
      <c r="I1638" t="inlineStr">
        <is>
          <t>24,6</t>
        </is>
      </c>
    </row>
    <row r="1639">
      <c r="A1639" t="inlineStr">
        <is>
          <t>资源资产</t>
        </is>
      </c>
      <c r="B1639" t="inlineStr">
        <is>
          <t>CLR_ASSET_OTHERS_RESOURCE</t>
        </is>
      </c>
      <c r="C1639" t="inlineStr">
        <is>
          <t>REALIZATIONCOST</t>
        </is>
      </c>
      <c r="D1639" t="inlineStr">
        <is>
          <t>DECIMAL(24,6)</t>
        </is>
      </c>
      <c r="E1639" t="inlineStr">
        <is>
          <t>YES</t>
        </is>
      </c>
      <c r="F1639" t="inlineStr">
        <is>
          <t>预计变现成本</t>
        </is>
      </c>
      <c r="H1639" t="inlineStr">
        <is>
          <t>DECIMAL</t>
        </is>
      </c>
      <c r="I1639" t="inlineStr">
        <is>
          <t>24,6</t>
        </is>
      </c>
    </row>
    <row r="1640">
      <c r="A1640" t="inlineStr">
        <is>
          <t>资源资产</t>
        </is>
      </c>
      <c r="B1640" t="inlineStr">
        <is>
          <t>CLR_ASSET_OTHERS_RESOURCE</t>
        </is>
      </c>
      <c r="C1640" t="inlineStr">
        <is>
          <t>SURVEYINGUNIT</t>
        </is>
      </c>
      <c r="D1640" t="inlineStr">
        <is>
          <t>VARCHAR(32)</t>
        </is>
      </c>
      <c r="E1640" t="inlineStr">
        <is>
          <t>YES</t>
        </is>
      </c>
      <c r="F1640" t="inlineStr">
        <is>
          <t>勘察单位</t>
        </is>
      </c>
      <c r="H1640" t="inlineStr">
        <is>
          <t>VARCHAR</t>
        </is>
      </c>
      <c r="I1640" t="inlineStr">
        <is>
          <t>32</t>
        </is>
      </c>
    </row>
    <row r="1641">
      <c r="A1641" t="inlineStr">
        <is>
          <t>资源资产</t>
        </is>
      </c>
      <c r="B1641" t="inlineStr">
        <is>
          <t>CLR_ASSET_OTHERS_RESOURCE</t>
        </is>
      </c>
      <c r="C1641" t="inlineStr">
        <is>
          <t>RIGHTHOLDER</t>
        </is>
      </c>
      <c r="D1641" t="inlineStr">
        <is>
          <t>VARCHAR(80)</t>
        </is>
      </c>
      <c r="E1641" t="inlineStr">
        <is>
          <t>YES</t>
        </is>
      </c>
      <c r="F1641" t="inlineStr">
        <is>
          <t>林地使用权人/海域使用权人</t>
        </is>
      </c>
      <c r="H1641" t="inlineStr">
        <is>
          <t>VARCHAR</t>
        </is>
      </c>
      <c r="I1641" t="inlineStr">
        <is>
          <t>80</t>
        </is>
      </c>
    </row>
    <row r="1642">
      <c r="A1642" t="inlineStr">
        <is>
          <t>资源资产</t>
        </is>
      </c>
      <c r="B1642" t="inlineStr">
        <is>
          <t>CLR_ASSET_OTHERS_RESOURCE</t>
        </is>
      </c>
      <c r="C1642" t="inlineStr">
        <is>
          <t>ASSETPURPOSE</t>
        </is>
      </c>
      <c r="D1642" t="inlineStr">
        <is>
          <t>VARCHAR(6)</t>
        </is>
      </c>
      <c r="E1642" t="inlineStr">
        <is>
          <t>YES</t>
        </is>
      </c>
      <c r="F1642" t="inlineStr">
        <is>
          <t>资产用途</t>
        </is>
      </c>
      <c r="H1642" t="inlineStr">
        <is>
          <t>VARCHAR</t>
        </is>
      </c>
      <c r="I1642" t="inlineStr">
        <is>
          <t>6</t>
        </is>
      </c>
    </row>
    <row r="1643">
      <c r="A1643" t="inlineStr">
        <is>
          <t>资源资产</t>
        </is>
      </c>
      <c r="B1643" t="inlineStr">
        <is>
          <t>CLR_ASSET_OTHERS_RESOURCE</t>
        </is>
      </c>
      <c r="C1643" t="inlineStr">
        <is>
          <t>ISSUINGAUTHORITY</t>
        </is>
      </c>
      <c r="D1643" t="inlineStr">
        <is>
          <t>VARCHAR(32)</t>
        </is>
      </c>
      <c r="E1643" t="inlineStr">
        <is>
          <t>YES</t>
        </is>
      </c>
      <c r="F1643" t="inlineStr">
        <is>
          <t>发证机关</t>
        </is>
      </c>
      <c r="H1643" t="inlineStr">
        <is>
          <t>VARCHAR</t>
        </is>
      </c>
      <c r="I1643" t="inlineStr">
        <is>
          <t>32</t>
        </is>
      </c>
    </row>
    <row r="1644">
      <c r="A1644" t="inlineStr">
        <is>
          <t>资源资产</t>
        </is>
      </c>
      <c r="B1644" t="inlineStr">
        <is>
          <t>CLR_ASSET_OTHERS_RESOURCE</t>
        </is>
      </c>
      <c r="C1644" t="inlineStr">
        <is>
          <t>ISSUINGDATE</t>
        </is>
      </c>
      <c r="D1644" t="inlineStr">
        <is>
          <t>DATETIME</t>
        </is>
      </c>
      <c r="E1644" t="inlineStr">
        <is>
          <t>YES</t>
        </is>
      </c>
      <c r="F1644" t="inlineStr">
        <is>
          <t>发证日期</t>
        </is>
      </c>
      <c r="H1644" t="inlineStr">
        <is>
          <t>DATETIME</t>
        </is>
      </c>
    </row>
    <row r="1645">
      <c r="A1645" t="inlineStr">
        <is>
          <t>资源资产</t>
        </is>
      </c>
      <c r="B1645" t="inlineStr">
        <is>
          <t>CLR_ASSET_OTHERS_RESOURCE</t>
        </is>
      </c>
      <c r="C1645" t="inlineStr">
        <is>
          <t>PRDADDRESS</t>
        </is>
      </c>
      <c r="D1645" t="inlineStr">
        <is>
          <t>VARCHAR(80)</t>
        </is>
      </c>
      <c r="E1645" t="inlineStr">
        <is>
          <t>YES</t>
        </is>
      </c>
      <c r="F1645" t="inlineStr">
        <is>
          <t>生产经营场所地址</t>
        </is>
      </c>
      <c r="H1645" t="inlineStr">
        <is>
          <t>VARCHAR</t>
        </is>
      </c>
      <c r="I1645" t="inlineStr">
        <is>
          <t>80</t>
        </is>
      </c>
    </row>
    <row r="1646">
      <c r="A1646" t="inlineStr">
        <is>
          <t>资源资产</t>
        </is>
      </c>
      <c r="B1646" t="inlineStr">
        <is>
          <t>CLR_ASSET_OTHERS_RESOURCE</t>
        </is>
      </c>
      <c r="C1646" t="inlineStr">
        <is>
          <t>RIGHTSGEOSCOPE</t>
        </is>
      </c>
      <c r="D1646" t="inlineStr">
        <is>
          <t>VARCHAR(80)</t>
        </is>
      </c>
      <c r="E1646" t="inlineStr">
        <is>
          <t>YES</t>
        </is>
      </c>
      <c r="F1646" t="inlineStr">
        <is>
          <t>权利地域范围</t>
        </is>
      </c>
      <c r="H1646" t="inlineStr">
        <is>
          <t>VARCHAR</t>
        </is>
      </c>
      <c r="I1646" t="inlineStr">
        <is>
          <t>80</t>
        </is>
      </c>
    </row>
    <row r="1647">
      <c r="A1647" t="inlineStr">
        <is>
          <t>特殊建筑构造物</t>
        </is>
      </c>
      <c r="B1647" t="inlineStr">
        <is>
          <t>CLR_ASSET_OTHERS_SBC</t>
        </is>
      </c>
      <c r="C1647" t="inlineStr">
        <is>
          <t>CLRID</t>
        </is>
      </c>
      <c r="D1647" t="inlineStr">
        <is>
          <t>VARCHAR(32)</t>
        </is>
      </c>
      <c r="E1647" t="inlineStr">
        <is>
          <t>NO</t>
        </is>
      </c>
      <c r="F1647" t="inlineStr">
        <is>
          <t>押品编号</t>
        </is>
      </c>
      <c r="H1647" t="inlineStr">
        <is>
          <t>VARCHAR</t>
        </is>
      </c>
      <c r="I1647" t="inlineStr">
        <is>
          <t>32</t>
        </is>
      </c>
    </row>
    <row r="1648">
      <c r="A1648" t="inlineStr">
        <is>
          <t>特殊建筑构造物</t>
        </is>
      </c>
      <c r="B1648" t="inlineStr">
        <is>
          <t>CLR_ASSET_OTHERS_SBC</t>
        </is>
      </c>
      <c r="C1648" t="inlineStr">
        <is>
          <t>REFTOLLRIGHTOWNER</t>
        </is>
      </c>
      <c r="D1648" t="inlineStr">
        <is>
          <t>VARCHAR(80)</t>
        </is>
      </c>
      <c r="E1648" t="inlineStr">
        <is>
          <t>YES</t>
        </is>
      </c>
      <c r="F1648" t="inlineStr">
        <is>
          <t>相关收费权所有人</t>
        </is>
      </c>
      <c r="H1648" t="inlineStr">
        <is>
          <t>VARCHAR</t>
        </is>
      </c>
      <c r="I1648" t="inlineStr">
        <is>
          <t>80</t>
        </is>
      </c>
    </row>
    <row r="1649">
      <c r="A1649" t="inlineStr">
        <is>
          <t>特殊建筑构造物</t>
        </is>
      </c>
      <c r="B1649" t="inlineStr">
        <is>
          <t>CLR_ASSET_OTHERS_SBC</t>
        </is>
      </c>
      <c r="C1649" t="inlineStr">
        <is>
          <t>STRUCTURENAME</t>
        </is>
      </c>
      <c r="D1649" t="inlineStr">
        <is>
          <t>VARCHAR(80)</t>
        </is>
      </c>
      <c r="E1649" t="inlineStr">
        <is>
          <t>YES</t>
        </is>
      </c>
      <c r="F1649" t="inlineStr">
        <is>
          <t>构造物名称</t>
        </is>
      </c>
      <c r="H1649" t="inlineStr">
        <is>
          <t>VARCHAR</t>
        </is>
      </c>
      <c r="I1649" t="inlineStr">
        <is>
          <t>80</t>
        </is>
      </c>
    </row>
    <row r="1650">
      <c r="A1650" t="inlineStr">
        <is>
          <t>特殊建筑构造物</t>
        </is>
      </c>
      <c r="B1650" t="inlineStr">
        <is>
          <t>CLR_ASSET_OTHERS_SBC</t>
        </is>
      </c>
      <c r="C1650" t="inlineStr">
        <is>
          <t>STRUCTUREHOLDER</t>
        </is>
      </c>
      <c r="D1650" t="inlineStr">
        <is>
          <t>VARCHAR(80)</t>
        </is>
      </c>
      <c r="E1650" t="inlineStr">
        <is>
          <t>YES</t>
        </is>
      </c>
      <c r="F1650" t="inlineStr">
        <is>
          <t>构造物持有人</t>
        </is>
      </c>
      <c r="H1650" t="inlineStr">
        <is>
          <t>VARCHAR</t>
        </is>
      </c>
      <c r="I1650" t="inlineStr">
        <is>
          <t>80</t>
        </is>
      </c>
    </row>
    <row r="1651">
      <c r="A1651" t="inlineStr">
        <is>
          <t>特殊建筑构造物</t>
        </is>
      </c>
      <c r="B1651" t="inlineStr">
        <is>
          <t>CLR_ASSET_OTHERS_SBC</t>
        </is>
      </c>
      <c r="C1651" t="inlineStr">
        <is>
          <t>STRUCTURELOCATION</t>
        </is>
      </c>
      <c r="D1651" t="inlineStr">
        <is>
          <t>VARCHAR(500)</t>
        </is>
      </c>
      <c r="E1651" t="inlineStr">
        <is>
          <t>YES</t>
        </is>
      </c>
      <c r="F1651" t="inlineStr">
        <is>
          <t>构造物的坐落位置/详细地址</t>
        </is>
      </c>
      <c r="H1651" t="inlineStr">
        <is>
          <t>VARCHAR</t>
        </is>
      </c>
      <c r="I1651" t="inlineStr">
        <is>
          <t>500</t>
        </is>
      </c>
    </row>
    <row r="1652">
      <c r="A1652" t="inlineStr">
        <is>
          <t>特殊建筑构造物</t>
        </is>
      </c>
      <c r="B1652" t="inlineStr">
        <is>
          <t>CLR_ASSET_OTHERS_SBC</t>
        </is>
      </c>
      <c r="C1652" t="inlineStr">
        <is>
          <t>STRUCTUREDEVELOPER</t>
        </is>
      </c>
      <c r="D1652" t="inlineStr">
        <is>
          <t>VARCHAR(80)</t>
        </is>
      </c>
      <c r="E1652" t="inlineStr">
        <is>
          <t>YES</t>
        </is>
      </c>
      <c r="F1652" t="inlineStr">
        <is>
          <t>构造物开发商名称</t>
        </is>
      </c>
      <c r="H1652" t="inlineStr">
        <is>
          <t>VARCHAR</t>
        </is>
      </c>
      <c r="I1652" t="inlineStr">
        <is>
          <t>80</t>
        </is>
      </c>
    </row>
    <row r="1653">
      <c r="A1653" t="inlineStr">
        <is>
          <t>特殊建筑构造物</t>
        </is>
      </c>
      <c r="B1653" t="inlineStr">
        <is>
          <t>CLR_ASSET_OTHERS_SBC</t>
        </is>
      </c>
      <c r="C1653" t="inlineStr">
        <is>
          <t>ZIPCODE</t>
        </is>
      </c>
      <c r="D1653" t="inlineStr">
        <is>
          <t>VARCHAR(18)</t>
        </is>
      </c>
      <c r="E1653" t="inlineStr">
        <is>
          <t>YES</t>
        </is>
      </c>
      <c r="F1653" t="inlineStr">
        <is>
          <t>邮政编码</t>
        </is>
      </c>
      <c r="H1653" t="inlineStr">
        <is>
          <t>VARCHAR</t>
        </is>
      </c>
      <c r="I1653" t="inlineStr">
        <is>
          <t>18</t>
        </is>
      </c>
    </row>
    <row r="1654">
      <c r="A1654" t="inlineStr">
        <is>
          <t>特殊建筑构造物</t>
        </is>
      </c>
      <c r="B1654" t="inlineStr">
        <is>
          <t>CLR_ASSET_OTHERS_SBC</t>
        </is>
      </c>
      <c r="C1654" t="inlineStr">
        <is>
          <t>LANDNO</t>
        </is>
      </c>
      <c r="D1654" t="inlineStr">
        <is>
          <t>VARCHAR(32)</t>
        </is>
      </c>
      <c r="E1654" t="inlineStr">
        <is>
          <t>YES</t>
        </is>
      </c>
      <c r="F1654" t="inlineStr">
        <is>
          <t>构造物所属土地地号</t>
        </is>
      </c>
      <c r="H1654" t="inlineStr">
        <is>
          <t>VARCHAR</t>
        </is>
      </c>
      <c r="I1654" t="inlineStr">
        <is>
          <t>32</t>
        </is>
      </c>
    </row>
    <row r="1655">
      <c r="A1655" t="inlineStr">
        <is>
          <t>特殊建筑构造物</t>
        </is>
      </c>
      <c r="B1655" t="inlineStr">
        <is>
          <t>CLR_ASSET_OTHERS_SBC</t>
        </is>
      </c>
      <c r="C1655" t="inlineStr">
        <is>
          <t>LANDUSER</t>
        </is>
      </c>
      <c r="D1655" t="inlineStr">
        <is>
          <t>VARCHAR(80)</t>
        </is>
      </c>
      <c r="E1655" t="inlineStr">
        <is>
          <t>YES</t>
        </is>
      </c>
      <c r="F1655" t="inlineStr">
        <is>
          <t>构造物所属土地使用权人</t>
        </is>
      </c>
      <c r="H1655" t="inlineStr">
        <is>
          <t>VARCHAR</t>
        </is>
      </c>
      <c r="I1655" t="inlineStr">
        <is>
          <t>80</t>
        </is>
      </c>
    </row>
    <row r="1656">
      <c r="A1656" t="inlineStr">
        <is>
          <t>特殊建筑构造物</t>
        </is>
      </c>
      <c r="B1656" t="inlineStr">
        <is>
          <t>CLR_ASSET_OTHERS_SBC</t>
        </is>
      </c>
      <c r="C1656" t="inlineStr">
        <is>
          <t>LANDCERTID</t>
        </is>
      </c>
      <c r="D1656" t="inlineStr">
        <is>
          <t>VARCHAR(32)</t>
        </is>
      </c>
      <c r="E1656" t="inlineStr">
        <is>
          <t>YES</t>
        </is>
      </c>
      <c r="F1656" t="inlineStr">
        <is>
          <t>构造物所属土地使用权证号</t>
        </is>
      </c>
      <c r="H1656" t="inlineStr">
        <is>
          <t>VARCHAR</t>
        </is>
      </c>
      <c r="I1656" t="inlineStr">
        <is>
          <t>32</t>
        </is>
      </c>
    </row>
    <row r="1657">
      <c r="A1657" t="inlineStr">
        <is>
          <t>特殊建筑构造物</t>
        </is>
      </c>
      <c r="B1657" t="inlineStr">
        <is>
          <t>CLR_ASSET_OTHERS_SBC</t>
        </is>
      </c>
      <c r="C1657" t="inlineStr">
        <is>
          <t>STRUCTURETYPE</t>
        </is>
      </c>
      <c r="D1657" t="inlineStr">
        <is>
          <t>VARCHAR(6)</t>
        </is>
      </c>
      <c r="E1657" t="inlineStr">
        <is>
          <t>YES</t>
        </is>
      </c>
      <c r="F1657" t="inlineStr">
        <is>
          <t>构造物类型</t>
        </is>
      </c>
      <c r="H1657" t="inlineStr">
        <is>
          <t>VARCHAR</t>
        </is>
      </c>
      <c r="I1657" t="inlineStr">
        <is>
          <t>6</t>
        </is>
      </c>
    </row>
    <row r="1658">
      <c r="A1658" t="inlineStr">
        <is>
          <t>特殊建筑构造物</t>
        </is>
      </c>
      <c r="B1658" t="inlineStr">
        <is>
          <t>CLR_ASSET_OTHERS_SBC</t>
        </is>
      </c>
      <c r="C1658" t="inlineStr">
        <is>
          <t>STRUCTURESOURCE</t>
        </is>
      </c>
      <c r="D1658" t="inlineStr">
        <is>
          <t>VARCHAR(6)</t>
        </is>
      </c>
      <c r="E1658" t="inlineStr">
        <is>
          <t>YES</t>
        </is>
      </c>
      <c r="F1658" t="inlineStr">
        <is>
          <t>构造物来源/权属来源</t>
        </is>
      </c>
      <c r="H1658" t="inlineStr">
        <is>
          <t>VARCHAR</t>
        </is>
      </c>
      <c r="I1658" t="inlineStr">
        <is>
          <t>6</t>
        </is>
      </c>
    </row>
    <row r="1659">
      <c r="A1659" t="inlineStr">
        <is>
          <t>特殊建筑构造物</t>
        </is>
      </c>
      <c r="B1659" t="inlineStr">
        <is>
          <t>CLR_ASSET_OTHERS_SBC</t>
        </is>
      </c>
      <c r="C1659" t="inlineStr">
        <is>
          <t>STRUCTURELEVEL</t>
        </is>
      </c>
      <c r="D1659" t="inlineStr">
        <is>
          <t>VARCHAR(80)</t>
        </is>
      </c>
      <c r="E1659" t="inlineStr">
        <is>
          <t>YES</t>
        </is>
      </c>
      <c r="F1659" t="inlineStr">
        <is>
          <t>构造物等级</t>
        </is>
      </c>
      <c r="H1659" t="inlineStr">
        <is>
          <t>VARCHAR</t>
        </is>
      </c>
      <c r="I1659" t="inlineStr">
        <is>
          <t>80</t>
        </is>
      </c>
    </row>
    <row r="1660">
      <c r="A1660" t="inlineStr">
        <is>
          <t>特殊建筑构造物</t>
        </is>
      </c>
      <c r="B1660" t="inlineStr">
        <is>
          <t>CLR_ASSET_OTHERS_SBC</t>
        </is>
      </c>
      <c r="C1660" t="inlineStr">
        <is>
          <t>STRUCTUREUSEAREA</t>
        </is>
      </c>
      <c r="D1660" t="inlineStr">
        <is>
          <t>DECIMAL(18,2)</t>
        </is>
      </c>
      <c r="E1660" t="inlineStr">
        <is>
          <t>YES</t>
        </is>
      </c>
      <c r="F1660" t="inlineStr">
        <is>
          <t>构造物所属土地使用权面积</t>
        </is>
      </c>
      <c r="H1660" t="inlineStr">
        <is>
          <t>DECIMAL</t>
        </is>
      </c>
      <c r="I1660" t="inlineStr">
        <is>
          <t>18,2</t>
        </is>
      </c>
    </row>
    <row r="1661">
      <c r="A1661" t="inlineStr">
        <is>
          <t>特殊建筑构造物</t>
        </is>
      </c>
      <c r="B1661" t="inlineStr">
        <is>
          <t>CLR_ASSET_OTHERS_SBC</t>
        </is>
      </c>
      <c r="C1661" t="inlineStr">
        <is>
          <t>STRUCTUREUSETYPE</t>
        </is>
      </c>
      <c r="D1661" t="inlineStr">
        <is>
          <t>VARCHAR(6)</t>
        </is>
      </c>
      <c r="E1661" t="inlineStr">
        <is>
          <t>YES</t>
        </is>
      </c>
      <c r="F1661" t="inlineStr">
        <is>
          <t>构造物所属土地使用权类型</t>
        </is>
      </c>
      <c r="H1661" t="inlineStr">
        <is>
          <t>VARCHAR</t>
        </is>
      </c>
      <c r="I1661" t="inlineStr">
        <is>
          <t>6</t>
        </is>
      </c>
    </row>
    <row r="1662">
      <c r="A1662" t="inlineStr">
        <is>
          <t>特殊建筑构造物</t>
        </is>
      </c>
      <c r="B1662" t="inlineStr">
        <is>
          <t>CLR_ASSET_OTHERS_SBC</t>
        </is>
      </c>
      <c r="C1662" t="inlineStr">
        <is>
          <t>STRUCTURELANDLEVEL</t>
        </is>
      </c>
      <c r="D1662" t="inlineStr">
        <is>
          <t>VARCHAR(80)</t>
        </is>
      </c>
      <c r="E1662" t="inlineStr">
        <is>
          <t>YES</t>
        </is>
      </c>
      <c r="F1662" t="inlineStr">
        <is>
          <t>构造物所属土地分级</t>
        </is>
      </c>
      <c r="H1662" t="inlineStr">
        <is>
          <t>VARCHAR</t>
        </is>
      </c>
      <c r="I1662" t="inlineStr">
        <is>
          <t>80</t>
        </is>
      </c>
    </row>
    <row r="1663">
      <c r="A1663" t="inlineStr">
        <is>
          <t>特殊建筑构造物</t>
        </is>
      </c>
      <c r="B1663" t="inlineStr">
        <is>
          <t>CLR_ASSET_OTHERS_SBC</t>
        </is>
      </c>
      <c r="C1663" t="inlineStr">
        <is>
          <t>STRUCTUREACHIEVECOST</t>
        </is>
      </c>
      <c r="D1663" t="inlineStr">
        <is>
          <t>DECIMAL(24,6)</t>
        </is>
      </c>
      <c r="E1663" t="inlineStr">
        <is>
          <t>YES</t>
        </is>
      </c>
      <c r="F1663" t="inlineStr">
        <is>
          <t>构造物所属土地使用权取得价格/使用权购入价值</t>
        </is>
      </c>
      <c r="H1663" t="inlineStr">
        <is>
          <t>DECIMAL</t>
        </is>
      </c>
      <c r="I1663" t="inlineStr">
        <is>
          <t>24,6</t>
        </is>
      </c>
    </row>
    <row r="1664">
      <c r="A1664" t="inlineStr">
        <is>
          <t>特殊建筑构造物</t>
        </is>
      </c>
      <c r="B1664" t="inlineStr">
        <is>
          <t>CLR_ASSET_OTHERS_SBC</t>
        </is>
      </c>
      <c r="C1664" t="inlineStr">
        <is>
          <t>COMPLETIONDATE</t>
        </is>
      </c>
      <c r="D1664" t="inlineStr">
        <is>
          <t>DATETIME</t>
        </is>
      </c>
      <c r="E1664" t="inlineStr">
        <is>
          <t>YES</t>
        </is>
      </c>
      <c r="F1664" t="inlineStr">
        <is>
          <t>构造物竣工日期</t>
        </is>
      </c>
      <c r="H1664" t="inlineStr">
        <is>
          <t>DATETIME</t>
        </is>
      </c>
    </row>
    <row r="1665">
      <c r="A1665" t="inlineStr">
        <is>
          <t>特殊建筑构造物</t>
        </is>
      </c>
      <c r="B1665" t="inlineStr">
        <is>
          <t>CLR_ASSET_OTHERS_SBC</t>
        </is>
      </c>
      <c r="C1665" t="inlineStr">
        <is>
          <t>RUNNEDPERIOD</t>
        </is>
      </c>
      <c r="D1665" t="inlineStr">
        <is>
          <t>DECIMAL(18,2)</t>
        </is>
      </c>
      <c r="E1665" t="inlineStr">
        <is>
          <t>YES</t>
        </is>
      </c>
      <c r="F1665" t="inlineStr">
        <is>
          <t>构造物已运营时间</t>
        </is>
      </c>
      <c r="H1665" t="inlineStr">
        <is>
          <t>DECIMAL</t>
        </is>
      </c>
      <c r="I1665" t="inlineStr">
        <is>
          <t>18,2</t>
        </is>
      </c>
    </row>
    <row r="1666">
      <c r="A1666" t="inlineStr">
        <is>
          <t>特殊建筑构造物</t>
        </is>
      </c>
      <c r="B1666" t="inlineStr">
        <is>
          <t>CLR_ASSET_OTHERS_SBC</t>
        </is>
      </c>
      <c r="C1666" t="inlineStr">
        <is>
          <t>RUNNINGSCALE</t>
        </is>
      </c>
      <c r="D1666" t="inlineStr">
        <is>
          <t>VARCHAR(1000)</t>
        </is>
      </c>
      <c r="E1666" t="inlineStr">
        <is>
          <t>YES</t>
        </is>
      </c>
      <c r="F1666" t="inlineStr">
        <is>
          <t>构造物运营规模</t>
        </is>
      </c>
      <c r="H1666" t="inlineStr">
        <is>
          <t>VARCHAR</t>
        </is>
      </c>
      <c r="I1666" t="inlineStr">
        <is>
          <t>1000</t>
        </is>
      </c>
    </row>
    <row r="1667">
      <c r="A1667" t="inlineStr">
        <is>
          <t>特殊建筑构造物</t>
        </is>
      </c>
      <c r="B1667" t="inlineStr">
        <is>
          <t>CLR_ASSET_OTHERS_SBC</t>
        </is>
      </c>
      <c r="C1667" t="inlineStr">
        <is>
          <t>ANNUALINCOME</t>
        </is>
      </c>
      <c r="D1667" t="inlineStr">
        <is>
          <t>DECIMAL(24,6)</t>
        </is>
      </c>
      <c r="E1667" t="inlineStr">
        <is>
          <t>YES</t>
        </is>
      </c>
      <c r="F1667" t="inlineStr">
        <is>
          <t>构造物年平均运营收入</t>
        </is>
      </c>
      <c r="H1667" t="inlineStr">
        <is>
          <t>DECIMAL</t>
        </is>
      </c>
      <c r="I1667" t="inlineStr">
        <is>
          <t>24,6</t>
        </is>
      </c>
    </row>
    <row r="1668">
      <c r="A1668" t="inlineStr">
        <is>
          <t>特殊建筑构造物</t>
        </is>
      </c>
      <c r="B1668" t="inlineStr">
        <is>
          <t>CLR_ASSET_OTHERS_SBC</t>
        </is>
      </c>
      <c r="C1668" t="inlineStr">
        <is>
          <t>STRUCTUREEQUIPMENT</t>
        </is>
      </c>
      <c r="D1668" t="inlineStr">
        <is>
          <t>VARCHAR(500)</t>
        </is>
      </c>
      <c r="E1668" t="inlineStr">
        <is>
          <t>YES</t>
        </is>
      </c>
      <c r="F1668" t="inlineStr">
        <is>
          <t>构造物配套设施设备</t>
        </is>
      </c>
      <c r="H1668" t="inlineStr">
        <is>
          <t>VARCHAR</t>
        </is>
      </c>
      <c r="I1668" t="inlineStr">
        <is>
          <t>500</t>
        </is>
      </c>
    </row>
    <row r="1669">
      <c r="A1669" t="inlineStr">
        <is>
          <t>特殊建筑构造物</t>
        </is>
      </c>
      <c r="B1669" t="inlineStr">
        <is>
          <t>CLR_ASSET_OTHERS_SBC</t>
        </is>
      </c>
      <c r="C1669" t="inlineStr">
        <is>
          <t>MATCHBUILDING</t>
        </is>
      </c>
      <c r="D1669" t="inlineStr">
        <is>
          <t>VARCHAR(500)</t>
        </is>
      </c>
      <c r="E1669" t="inlineStr">
        <is>
          <t>YES</t>
        </is>
      </c>
      <c r="F1669" t="inlineStr">
        <is>
          <t>构造物配套建筑</t>
        </is>
      </c>
      <c r="H1669" t="inlineStr">
        <is>
          <t>VARCHAR</t>
        </is>
      </c>
      <c r="I1669" t="inlineStr">
        <is>
          <t>500</t>
        </is>
      </c>
    </row>
    <row r="1670">
      <c r="A1670" t="inlineStr">
        <is>
          <t>特殊建筑构造物</t>
        </is>
      </c>
      <c r="B1670" t="inlineStr">
        <is>
          <t>CLR_ASSET_OTHERS_SBC</t>
        </is>
      </c>
      <c r="C1670" t="inlineStr">
        <is>
          <t>STRUCTUREDESCRIBE</t>
        </is>
      </c>
      <c r="D1670" t="inlineStr">
        <is>
          <t>VARCHAR(500)</t>
        </is>
      </c>
      <c r="E1670" t="inlineStr">
        <is>
          <t>YES</t>
        </is>
      </c>
      <c r="F1670" t="inlineStr">
        <is>
          <t>构造物基础设施情况描述</t>
        </is>
      </c>
      <c r="H1670" t="inlineStr">
        <is>
          <t>VARCHAR</t>
        </is>
      </c>
      <c r="I1670" t="inlineStr">
        <is>
          <t>500</t>
        </is>
      </c>
    </row>
    <row r="1671">
      <c r="A1671" t="inlineStr">
        <is>
          <t>特殊建筑构造物</t>
        </is>
      </c>
      <c r="B1671" t="inlineStr">
        <is>
          <t>CLR_ASSET_OTHERS_SBC</t>
        </is>
      </c>
      <c r="C1671" t="inlineStr">
        <is>
          <t>VACANCYPERIOD</t>
        </is>
      </c>
      <c r="D1671" t="inlineStr">
        <is>
          <t>DECIMAL(18,2)</t>
        </is>
      </c>
      <c r="E1671" t="inlineStr">
        <is>
          <t>YES</t>
        </is>
      </c>
      <c r="F1671" t="inlineStr">
        <is>
          <t>构造物空置时间</t>
        </is>
      </c>
      <c r="H1671" t="inlineStr">
        <is>
          <t>DECIMAL</t>
        </is>
      </c>
      <c r="I1671" t="inlineStr">
        <is>
          <t>18,2</t>
        </is>
      </c>
    </row>
    <row r="1672">
      <c r="A1672" t="inlineStr">
        <is>
          <t>特殊建筑构造物</t>
        </is>
      </c>
      <c r="B1672" t="inlineStr">
        <is>
          <t>CLR_ASSET_OTHERS_SBC</t>
        </is>
      </c>
      <c r="C1672" t="inlineStr">
        <is>
          <t>REMAINUSEYEARS</t>
        </is>
      </c>
      <c r="D1672" t="inlineStr">
        <is>
          <t>DECIMAL(18,2)</t>
        </is>
      </c>
      <c r="E1672" t="inlineStr">
        <is>
          <t>YES</t>
        </is>
      </c>
      <c r="F1672" t="inlineStr">
        <is>
          <t>构造物所属土地剩余使用年限</t>
        </is>
      </c>
      <c r="H1672" t="inlineStr">
        <is>
          <t>DECIMAL</t>
        </is>
      </c>
      <c r="I1672" t="inlineStr">
        <is>
          <t>18,2</t>
        </is>
      </c>
    </row>
    <row r="1673">
      <c r="A1673" t="inlineStr">
        <is>
          <t>特殊建筑构造物</t>
        </is>
      </c>
      <c r="B1673" t="inlineStr">
        <is>
          <t>CLR_ASSET_OTHERS_SBC</t>
        </is>
      </c>
      <c r="C1673" t="inlineStr">
        <is>
          <t>RENTTYPE</t>
        </is>
      </c>
      <c r="D1673" t="inlineStr">
        <is>
          <t>VARCHAR(6)</t>
        </is>
      </c>
      <c r="E1673" t="inlineStr">
        <is>
          <t>YES</t>
        </is>
      </c>
      <c r="F1673" t="inlineStr">
        <is>
          <t>构造物租赁形式</t>
        </is>
      </c>
      <c r="H1673" t="inlineStr">
        <is>
          <t>VARCHAR</t>
        </is>
      </c>
      <c r="I1673" t="inlineStr">
        <is>
          <t>6</t>
        </is>
      </c>
    </row>
    <row r="1674">
      <c r="A1674" t="inlineStr">
        <is>
          <t>特殊建筑构造物</t>
        </is>
      </c>
      <c r="B1674" t="inlineStr">
        <is>
          <t>CLR_ASSET_OTHERS_SBC</t>
        </is>
      </c>
      <c r="C1674" t="inlineStr">
        <is>
          <t>LEASEMENTSTARTDATE</t>
        </is>
      </c>
      <c r="D1674" t="inlineStr">
        <is>
          <t>DATETIME</t>
        </is>
      </c>
      <c r="E1674" t="inlineStr">
        <is>
          <t>YES</t>
        </is>
      </c>
      <c r="F1674" t="inlineStr">
        <is>
          <t>构造物租赁合同生效日</t>
        </is>
      </c>
      <c r="H1674" t="inlineStr">
        <is>
          <t>DATETIME</t>
        </is>
      </c>
    </row>
    <row r="1675">
      <c r="A1675" t="inlineStr">
        <is>
          <t>特殊建筑构造物</t>
        </is>
      </c>
      <c r="B1675" t="inlineStr">
        <is>
          <t>CLR_ASSET_OTHERS_SBC</t>
        </is>
      </c>
      <c r="C1675" t="inlineStr">
        <is>
          <t>LEASEMENTENDDATE</t>
        </is>
      </c>
      <c r="D1675" t="inlineStr">
        <is>
          <t>DATETIME</t>
        </is>
      </c>
      <c r="E1675" t="inlineStr">
        <is>
          <t>YES</t>
        </is>
      </c>
      <c r="F1675" t="inlineStr">
        <is>
          <t>构造物租赁合同到期日</t>
        </is>
      </c>
      <c r="H1675" t="inlineStr">
        <is>
          <t>DATETIME</t>
        </is>
      </c>
    </row>
    <row r="1676">
      <c r="A1676" t="inlineStr">
        <is>
          <t>特殊建筑构造物</t>
        </is>
      </c>
      <c r="B1676" t="inlineStr">
        <is>
          <t>CLR_ASSET_OTHERS_SBC</t>
        </is>
      </c>
      <c r="C1676" t="inlineStr">
        <is>
          <t>LANDUSEYEARS</t>
        </is>
      </c>
      <c r="D1676" t="inlineStr">
        <is>
          <t>DECIMAL(18,2)</t>
        </is>
      </c>
      <c r="E1676" t="inlineStr">
        <is>
          <t>YES</t>
        </is>
      </c>
      <c r="F1676" t="inlineStr">
        <is>
          <t>所属土地使用权年限</t>
        </is>
      </c>
      <c r="H1676" t="inlineStr">
        <is>
          <t>DECIMAL</t>
        </is>
      </c>
      <c r="I1676" t="inlineStr">
        <is>
          <t>18,2</t>
        </is>
      </c>
    </row>
    <row r="1677">
      <c r="A1677" t="inlineStr">
        <is>
          <t>特殊建筑构造物</t>
        </is>
      </c>
      <c r="B1677" t="inlineStr">
        <is>
          <t>CLR_ASSET_OTHERS_SBC</t>
        </is>
      </c>
      <c r="C1677" t="inlineStr">
        <is>
          <t>LANDUSEENDDATE</t>
        </is>
      </c>
      <c r="D1677" t="inlineStr">
        <is>
          <t>DATETIME</t>
        </is>
      </c>
      <c r="E1677" t="inlineStr">
        <is>
          <t>YES</t>
        </is>
      </c>
      <c r="F1677" t="inlineStr">
        <is>
          <t>所属土地使用权到期日</t>
        </is>
      </c>
      <c r="H1677" t="inlineStr">
        <is>
          <t>DATETIME</t>
        </is>
      </c>
    </row>
    <row r="1678">
      <c r="A1678" t="inlineStr">
        <is>
          <t>特殊建筑构造物</t>
        </is>
      </c>
      <c r="B1678" t="inlineStr">
        <is>
          <t>CLR_ASSET_OTHERS_SBC</t>
        </is>
      </c>
      <c r="C1678" t="inlineStr">
        <is>
          <t>BUILDINGSTAUTS</t>
        </is>
      </c>
      <c r="D1678" t="inlineStr">
        <is>
          <t>VARCHAR(500)</t>
        </is>
      </c>
      <c r="E1678" t="inlineStr">
        <is>
          <t>YES</t>
        </is>
      </c>
      <c r="F1678" t="inlineStr">
        <is>
          <t>房屋状况</t>
        </is>
      </c>
      <c r="H1678" t="inlineStr">
        <is>
          <t>VARCHAR</t>
        </is>
      </c>
      <c r="I1678" t="inlineStr">
        <is>
          <t>500</t>
        </is>
      </c>
    </row>
    <row r="1679">
      <c r="A1679" t="inlineStr">
        <is>
          <t>特殊建筑构造物</t>
        </is>
      </c>
      <c r="B1679" t="inlineStr">
        <is>
          <t>CLR_ASSET_OTHERS_SBC</t>
        </is>
      </c>
      <c r="C1679" t="inlineStr">
        <is>
          <t>ISINDEPENDENTCERT</t>
        </is>
      </c>
      <c r="D1679" t="inlineStr">
        <is>
          <t>CHAR(1)</t>
        </is>
      </c>
      <c r="E1679" t="inlineStr">
        <is>
          <t>YES</t>
        </is>
      </c>
      <c r="F1679" t="inlineStr">
        <is>
          <t>构造物是否已办妥独立产权证或能办理独立产权证</t>
        </is>
      </c>
      <c r="H1679" t="inlineStr">
        <is>
          <t>CHAR</t>
        </is>
      </c>
      <c r="I1679" t="inlineStr">
        <is>
          <t>1</t>
        </is>
      </c>
    </row>
    <row r="1680">
      <c r="A1680" t="inlineStr">
        <is>
          <t>特殊建筑构造物</t>
        </is>
      </c>
      <c r="B1680" t="inlineStr">
        <is>
          <t>CLR_ASSET_OTHERS_SBC</t>
        </is>
      </c>
      <c r="C1680" t="inlineStr">
        <is>
          <t>ISSTATEPROPERTY</t>
        </is>
      </c>
      <c r="D1680" t="inlineStr">
        <is>
          <t>CHAR(1)</t>
        </is>
      </c>
      <c r="E1680" t="inlineStr">
        <is>
          <t>YES</t>
        </is>
      </c>
      <c r="F1680" t="inlineStr">
        <is>
          <t>构造物是否为国家财产</t>
        </is>
      </c>
      <c r="H1680" t="inlineStr">
        <is>
          <t>CHAR</t>
        </is>
      </c>
      <c r="I1680" t="inlineStr">
        <is>
          <t>1</t>
        </is>
      </c>
    </row>
    <row r="1681">
      <c r="A1681" t="inlineStr">
        <is>
          <t>特殊建筑构造物</t>
        </is>
      </c>
      <c r="B1681" t="inlineStr">
        <is>
          <t>CLR_ASSET_OTHERS_SBC</t>
        </is>
      </c>
      <c r="C1681" t="inlineStr">
        <is>
          <t>ISMEANINGFULBUIDING</t>
        </is>
      </c>
      <c r="D1681" t="inlineStr">
        <is>
          <t>CHAR(1)</t>
        </is>
      </c>
      <c r="E1681" t="inlineStr">
        <is>
          <t>YES</t>
        </is>
      </c>
      <c r="F1681" t="inlineStr">
        <is>
          <t>构造物是否包含被列为文物保护的古建筑或是有重要纪念意义的建筑物</t>
        </is>
      </c>
      <c r="H1681" t="inlineStr">
        <is>
          <t>CHAR</t>
        </is>
      </c>
      <c r="I1681" t="inlineStr">
        <is>
          <t>1</t>
        </is>
      </c>
    </row>
    <row r="1682">
      <c r="A1682" t="inlineStr">
        <is>
          <t>特殊建筑构造物</t>
        </is>
      </c>
      <c r="B1682" t="inlineStr">
        <is>
          <t>CLR_ASSET_OTHERS_SBC</t>
        </is>
      </c>
      <c r="C1682" t="inlineStr">
        <is>
          <t>ISDEMOLITIONBUILDING</t>
        </is>
      </c>
      <c r="D1682" t="inlineStr">
        <is>
          <t>CHAR(1)</t>
        </is>
      </c>
      <c r="E1682" t="inlineStr">
        <is>
          <t>YES</t>
        </is>
      </c>
      <c r="F1682" t="inlineStr">
        <is>
          <t>构造物是否包含已依法公告在国家建设征用拆迁范围内的房地产</t>
        </is>
      </c>
      <c r="H1682" t="inlineStr">
        <is>
          <t>CHAR</t>
        </is>
      </c>
      <c r="I1682" t="inlineStr">
        <is>
          <t>1</t>
        </is>
      </c>
    </row>
    <row r="1683">
      <c r="A1683" t="inlineStr">
        <is>
          <t>特殊建筑构造物</t>
        </is>
      </c>
      <c r="B1683" t="inlineStr">
        <is>
          <t>CLR_ASSET_OTHERS_SBC</t>
        </is>
      </c>
      <c r="C1683" t="inlineStr">
        <is>
          <t>ISQUESTIONABLEBUILDING</t>
        </is>
      </c>
      <c r="D1683" t="inlineStr">
        <is>
          <t>CHAR(1)</t>
        </is>
      </c>
      <c r="E1683" t="inlineStr">
        <is>
          <t>YES</t>
        </is>
      </c>
      <c r="F1683" t="inlineStr">
        <is>
          <t>构造物是否为违法、违章建筑物或依法被查封、扣押、监管或采用其他强制性措施的财产</t>
        </is>
      </c>
      <c r="H1683" t="inlineStr">
        <is>
          <t>CHAR</t>
        </is>
      </c>
      <c r="I1683" t="inlineStr">
        <is>
          <t>1</t>
        </is>
      </c>
    </row>
    <row r="1684">
      <c r="A1684" t="inlineStr">
        <is>
          <t>特殊建筑构造物</t>
        </is>
      </c>
      <c r="B1684" t="inlineStr">
        <is>
          <t>CLR_ASSET_OTHERS_SBC</t>
        </is>
      </c>
      <c r="C1684" t="inlineStr">
        <is>
          <t>ISQUALIFIED</t>
        </is>
      </c>
      <c r="D1684" t="inlineStr">
        <is>
          <t>CHAR(1)</t>
        </is>
      </c>
      <c r="E1684" t="inlineStr">
        <is>
          <t>YES</t>
        </is>
      </c>
      <c r="F1684" t="inlineStr">
        <is>
          <t>构造物是否已竣工验收并通过最近一次年检</t>
        </is>
      </c>
      <c r="H1684" t="inlineStr">
        <is>
          <t>CHAR</t>
        </is>
      </c>
      <c r="I1684" t="inlineStr">
        <is>
          <t>1</t>
        </is>
      </c>
    </row>
    <row r="1685">
      <c r="A1685" t="inlineStr">
        <is>
          <t>特殊建筑构造物</t>
        </is>
      </c>
      <c r="B1685" t="inlineStr">
        <is>
          <t>CLR_ASSET_OTHERS_SBC</t>
        </is>
      </c>
      <c r="C1685" t="inlineStr">
        <is>
          <t>OWNERCERTIFICATION</t>
        </is>
      </c>
      <c r="D1685" t="inlineStr">
        <is>
          <t>CHAR(1)</t>
        </is>
      </c>
      <c r="E1685" t="inlineStr">
        <is>
          <t>YES</t>
        </is>
      </c>
      <c r="F1685" t="inlineStr">
        <is>
          <t>是否已提交构造物相关权属证明</t>
        </is>
      </c>
      <c r="H1685" t="inlineStr">
        <is>
          <t>CHAR</t>
        </is>
      </c>
      <c r="I1685" t="inlineStr">
        <is>
          <t>1</t>
        </is>
      </c>
    </row>
    <row r="1686">
      <c r="A1686" t="inlineStr">
        <is>
          <t>特殊建筑构造物</t>
        </is>
      </c>
      <c r="B1686" t="inlineStr">
        <is>
          <t>CLR_ASSET_OTHERS_SBC</t>
        </is>
      </c>
      <c r="C1686" t="inlineStr">
        <is>
          <t>RELATIVECERTIFY</t>
        </is>
      </c>
      <c r="D1686" t="inlineStr">
        <is>
          <t>CHAR(1)</t>
        </is>
      </c>
      <c r="E1686" t="inlineStr">
        <is>
          <t>YES</t>
        </is>
      </c>
      <c r="F1686" t="inlineStr">
        <is>
          <t>是否已提交构造物相关的出租合同与相关登记证明</t>
        </is>
      </c>
      <c r="H1686" t="inlineStr">
        <is>
          <t>CHAR</t>
        </is>
      </c>
      <c r="I1686" t="inlineStr">
        <is>
          <t>1</t>
        </is>
      </c>
    </row>
    <row r="1687">
      <c r="A1687" t="inlineStr">
        <is>
          <t>特殊建筑构造物</t>
        </is>
      </c>
      <c r="B1687" t="inlineStr">
        <is>
          <t>CLR_ASSET_OTHERS_SBC</t>
        </is>
      </c>
      <c r="C1687" t="inlineStr">
        <is>
          <t>FINANCEREPORTFLAG</t>
        </is>
      </c>
      <c r="D1687" t="inlineStr">
        <is>
          <t>CHAR(1)</t>
        </is>
      </c>
      <c r="E1687" t="inlineStr">
        <is>
          <t>YES</t>
        </is>
      </c>
      <c r="F1687" t="inlineStr">
        <is>
          <t>是否已提交构造物相关的企业财务报表</t>
        </is>
      </c>
      <c r="H1687" t="inlineStr">
        <is>
          <t>CHAR</t>
        </is>
      </c>
      <c r="I1687" t="inlineStr">
        <is>
          <t>1</t>
        </is>
      </c>
    </row>
    <row r="1688">
      <c r="A1688" t="inlineStr">
        <is>
          <t>特殊建筑构造物</t>
        </is>
      </c>
      <c r="B1688" t="inlineStr">
        <is>
          <t>CLR_ASSET_OTHERS_SBC</t>
        </is>
      </c>
      <c r="C1688" t="inlineStr">
        <is>
          <t>LANDUSEFLAG</t>
        </is>
      </c>
      <c r="D1688" t="inlineStr">
        <is>
          <t>CHAR(1)</t>
        </is>
      </c>
      <c r="E1688" t="inlineStr">
        <is>
          <t>YES</t>
        </is>
      </c>
      <c r="F1688" t="inlineStr">
        <is>
          <t>是否已提交构造物相关的土地使用权证</t>
        </is>
      </c>
      <c r="H1688" t="inlineStr">
        <is>
          <t>CHAR</t>
        </is>
      </c>
      <c r="I1688" t="inlineStr">
        <is>
          <t>1</t>
        </is>
      </c>
    </row>
    <row r="1689">
      <c r="A1689" t="inlineStr">
        <is>
          <t>特殊建筑构造物</t>
        </is>
      </c>
      <c r="B1689" t="inlineStr">
        <is>
          <t>CLR_ASSET_OTHERS_SBC</t>
        </is>
      </c>
      <c r="C1689" t="inlineStr">
        <is>
          <t>LANDUSESELLFLAG</t>
        </is>
      </c>
      <c r="D1689" t="inlineStr">
        <is>
          <t>CHAR(1)</t>
        </is>
      </c>
      <c r="E1689" t="inlineStr">
        <is>
          <t>YES</t>
        </is>
      </c>
      <c r="F1689" t="inlineStr">
        <is>
          <t>是否已提交构造物相关的土地使用权出让合同</t>
        </is>
      </c>
      <c r="H1689" t="inlineStr">
        <is>
          <t>CHAR</t>
        </is>
      </c>
      <c r="I1689" t="inlineStr">
        <is>
          <t>1</t>
        </is>
      </c>
    </row>
    <row r="1690">
      <c r="A1690" t="inlineStr">
        <is>
          <t>特殊建筑构造物</t>
        </is>
      </c>
      <c r="B1690" t="inlineStr">
        <is>
          <t>CLR_ASSET_OTHERS_SBC</t>
        </is>
      </c>
      <c r="C1690" t="inlineStr">
        <is>
          <t>ANNUALSURVEYDATA</t>
        </is>
      </c>
      <c r="D1690" t="inlineStr">
        <is>
          <t>CHAR(1)</t>
        </is>
      </c>
      <c r="E1690" t="inlineStr">
        <is>
          <t>YES</t>
        </is>
      </c>
      <c r="F1690" t="inlineStr">
        <is>
          <t>是否已提交构造物相关的年检材料</t>
        </is>
      </c>
      <c r="H1690" t="inlineStr">
        <is>
          <t>CHAR</t>
        </is>
      </c>
      <c r="I1690" t="inlineStr">
        <is>
          <t>1</t>
        </is>
      </c>
    </row>
    <row r="1691">
      <c r="A1691" t="inlineStr">
        <is>
          <t>特殊建筑构造物</t>
        </is>
      </c>
      <c r="B1691" t="inlineStr">
        <is>
          <t>CLR_ASSET_OTHERS_SBC</t>
        </is>
      </c>
      <c r="C1691" t="inlineStr">
        <is>
          <t>CORPORGID</t>
        </is>
      </c>
      <c r="D1691" t="inlineStr">
        <is>
          <t>VARCHAR(32)</t>
        </is>
      </c>
      <c r="E1691" t="inlineStr">
        <is>
          <t>YES</t>
        </is>
      </c>
      <c r="F1691" t="inlineStr">
        <is>
          <t>法人机构编号</t>
        </is>
      </c>
      <c r="H1691" t="inlineStr">
        <is>
          <t>VARCHAR</t>
        </is>
      </c>
      <c r="I1691" t="inlineStr">
        <is>
          <t>32</t>
        </is>
      </c>
    </row>
    <row r="1692">
      <c r="A1692" t="inlineStr">
        <is>
          <t>特殊建筑构造物</t>
        </is>
      </c>
      <c r="B1692" t="inlineStr">
        <is>
          <t>CLR_ASSET_OTHERS_SBC</t>
        </is>
      </c>
      <c r="C1692" t="inlineStr">
        <is>
          <t>URBANPLANNING</t>
        </is>
      </c>
      <c r="D1692" t="inlineStr">
        <is>
          <t>VARCHAR(1000)</t>
        </is>
      </c>
      <c r="E1692" t="inlineStr">
        <is>
          <t>YES</t>
        </is>
      </c>
      <c r="F1692" t="inlineStr">
        <is>
          <t>当前或未来设计押品所在区域的城市规划计划或特殊政策</t>
        </is>
      </c>
      <c r="H1692" t="inlineStr">
        <is>
          <t>VARCHAR</t>
        </is>
      </c>
      <c r="I1692" t="inlineStr">
        <is>
          <t>1000</t>
        </is>
      </c>
    </row>
    <row r="1693">
      <c r="A1693" t="inlineStr">
        <is>
          <t>特殊建筑构造物</t>
        </is>
      </c>
      <c r="B1693" t="inlineStr">
        <is>
          <t>CLR_ASSET_OTHERS_SBC</t>
        </is>
      </c>
      <c r="C1693" t="inlineStr">
        <is>
          <t>ISCOMBINEDCERT</t>
        </is>
      </c>
      <c r="D1693" t="inlineStr">
        <is>
          <t>VARCHAR(6)</t>
        </is>
      </c>
      <c r="E1693" t="inlineStr">
        <is>
          <t>YES</t>
        </is>
      </c>
      <c r="F1693" t="inlineStr">
        <is>
          <t>是否双证合一</t>
        </is>
      </c>
      <c r="H1693" t="inlineStr">
        <is>
          <t>VARCHAR</t>
        </is>
      </c>
      <c r="I1693" t="inlineStr">
        <is>
          <t>6</t>
        </is>
      </c>
    </row>
    <row r="1694">
      <c r="A1694" t="inlineStr">
        <is>
          <t>特殊建筑构造物</t>
        </is>
      </c>
      <c r="B1694" t="inlineStr">
        <is>
          <t>CLR_ASSET_OTHERS_SBC</t>
        </is>
      </c>
      <c r="C1694" t="inlineStr">
        <is>
          <t>LANDNO</t>
        </is>
      </c>
      <c r="D1694" t="inlineStr">
        <is>
          <t>VARCHAR(32)</t>
        </is>
      </c>
      <c r="E1694" t="inlineStr">
        <is>
          <t>YES</t>
        </is>
      </c>
      <c r="F1694" t="inlineStr">
        <is>
          <t>所属土地宗地号</t>
        </is>
      </c>
      <c r="H1694" t="inlineStr">
        <is>
          <t>VARCHAR</t>
        </is>
      </c>
      <c r="I1694" t="inlineStr">
        <is>
          <t>32</t>
        </is>
      </c>
    </row>
    <row r="1695">
      <c r="A1695" t="inlineStr">
        <is>
          <t>特殊建筑构造物</t>
        </is>
      </c>
      <c r="B1695" t="inlineStr">
        <is>
          <t>CLR_ASSET_OTHERS_SBC</t>
        </is>
      </c>
      <c r="C1695" t="inlineStr">
        <is>
          <t>FACILITIES</t>
        </is>
      </c>
      <c r="D1695" t="inlineStr">
        <is>
          <t>VARCHAR(200)</t>
        </is>
      </c>
      <c r="E1695" t="inlineStr">
        <is>
          <t>YES</t>
        </is>
      </c>
      <c r="F1695" t="inlineStr">
        <is>
          <t>配套设施情况</t>
        </is>
      </c>
      <c r="H1695" t="inlineStr">
        <is>
          <t>VARCHAR</t>
        </is>
      </c>
      <c r="I1695" t="inlineStr">
        <is>
          <t>200</t>
        </is>
      </c>
    </row>
    <row r="1696">
      <c r="A1696" t="inlineStr">
        <is>
          <t>可转让知识产权中的财产权</t>
        </is>
      </c>
      <c r="B1696" t="inlineStr">
        <is>
          <t>CLR_ASSET_OTHERS_TLPR</t>
        </is>
      </c>
      <c r="C1696" t="inlineStr">
        <is>
          <t>CLRID</t>
        </is>
      </c>
      <c r="D1696" t="inlineStr">
        <is>
          <t>VARCHAR(32)</t>
        </is>
      </c>
      <c r="E1696" t="inlineStr">
        <is>
          <t>NO</t>
        </is>
      </c>
      <c r="F1696" t="inlineStr">
        <is>
          <t>押品编号</t>
        </is>
      </c>
      <c r="H1696" t="inlineStr">
        <is>
          <t>VARCHAR</t>
        </is>
      </c>
      <c r="I1696" t="inlineStr">
        <is>
          <t>32</t>
        </is>
      </c>
    </row>
    <row r="1697">
      <c r="A1697" t="inlineStr">
        <is>
          <t>可转让知识产权中的财产权</t>
        </is>
      </c>
      <c r="B1697" t="inlineStr">
        <is>
          <t>CLR_ASSET_OTHERS_TLPR</t>
        </is>
      </c>
      <c r="C1697" t="inlineStr">
        <is>
          <t>PATENTNAME</t>
        </is>
      </c>
      <c r="D1697" t="inlineStr">
        <is>
          <t>VARCHAR(80)</t>
        </is>
      </c>
      <c r="E1697" t="inlineStr">
        <is>
          <t>YES</t>
        </is>
      </c>
      <c r="F1697" t="inlineStr">
        <is>
          <t>专利名称/权利名称</t>
        </is>
      </c>
      <c r="H1697" t="inlineStr">
        <is>
          <t>VARCHAR</t>
        </is>
      </c>
      <c r="I1697" t="inlineStr">
        <is>
          <t>80</t>
        </is>
      </c>
    </row>
    <row r="1698">
      <c r="A1698" t="inlineStr">
        <is>
          <t>可转让知识产权中的财产权</t>
        </is>
      </c>
      <c r="B1698" t="inlineStr">
        <is>
          <t>CLR_ASSET_OTHERS_TLPR</t>
        </is>
      </c>
      <c r="C1698" t="inlineStr">
        <is>
          <t>COPYRIGHTRGSTNO</t>
        </is>
      </c>
      <c r="D1698" t="inlineStr">
        <is>
          <t>VARCHAR(80)</t>
        </is>
      </c>
      <c r="E1698" t="inlineStr">
        <is>
          <t>YES</t>
        </is>
      </c>
      <c r="F1698" t="inlineStr">
        <is>
          <t>著作权登记号/专利号/商标注册证号码</t>
        </is>
      </c>
      <c r="H1698" t="inlineStr">
        <is>
          <t>VARCHAR</t>
        </is>
      </c>
      <c r="I1698" t="inlineStr">
        <is>
          <t>80</t>
        </is>
      </c>
    </row>
    <row r="1699">
      <c r="A1699" t="inlineStr">
        <is>
          <t>可转让知识产权中的财产权</t>
        </is>
      </c>
      <c r="B1699" t="inlineStr">
        <is>
          <t>CLR_ASSET_OTHERS_TLPR</t>
        </is>
      </c>
      <c r="C1699" t="inlineStr">
        <is>
          <t>AUTHOR</t>
        </is>
      </c>
      <c r="D1699" t="inlineStr">
        <is>
          <t>VARCHAR(80)</t>
        </is>
      </c>
      <c r="E1699" t="inlineStr">
        <is>
          <t>YES</t>
        </is>
      </c>
      <c r="F1699" t="inlineStr">
        <is>
          <t>作者/专利设计人</t>
        </is>
      </c>
      <c r="H1699" t="inlineStr">
        <is>
          <t>VARCHAR</t>
        </is>
      </c>
      <c r="I1699" t="inlineStr">
        <is>
          <t>80</t>
        </is>
      </c>
    </row>
    <row r="1700">
      <c r="A1700" t="inlineStr">
        <is>
          <t>可转让知识产权中的财产权</t>
        </is>
      </c>
      <c r="B1700" t="inlineStr">
        <is>
          <t>CLR_ASSET_OTHERS_TLPR</t>
        </is>
      </c>
      <c r="C1700" t="inlineStr">
        <is>
          <t>RIGHTOWNER</t>
        </is>
      </c>
      <c r="D1700" t="inlineStr">
        <is>
          <t>VARCHAR(80)</t>
        </is>
      </c>
      <c r="E1700" t="inlineStr">
        <is>
          <t>YES</t>
        </is>
      </c>
      <c r="F1700" t="inlineStr">
        <is>
          <t>专利权人/著作权人/有权人</t>
        </is>
      </c>
      <c r="H1700" t="inlineStr">
        <is>
          <t>VARCHAR</t>
        </is>
      </c>
      <c r="I1700" t="inlineStr">
        <is>
          <t>80</t>
        </is>
      </c>
    </row>
    <row r="1701">
      <c r="A1701" t="inlineStr">
        <is>
          <t>可转让知识产权中的财产权</t>
        </is>
      </c>
      <c r="B1701" t="inlineStr">
        <is>
          <t>CLR_ASSET_OTHERS_TLPR</t>
        </is>
      </c>
      <c r="C1701" t="inlineStr">
        <is>
          <t>PUBLICAITONSERAILNO</t>
        </is>
      </c>
      <c r="D1701" t="inlineStr">
        <is>
          <t>VARCHAR(18)</t>
        </is>
      </c>
      <c r="E1701" t="inlineStr">
        <is>
          <t>YES</t>
        </is>
      </c>
      <c r="F1701" t="inlineStr">
        <is>
          <t>出版物序列号</t>
        </is>
      </c>
      <c r="H1701" t="inlineStr">
        <is>
          <t>VARCHAR</t>
        </is>
      </c>
      <c r="I1701" t="inlineStr">
        <is>
          <t>18</t>
        </is>
      </c>
    </row>
    <row r="1702">
      <c r="A1702" t="inlineStr">
        <is>
          <t>可转让知识产权中的财产权</t>
        </is>
      </c>
      <c r="B1702" t="inlineStr">
        <is>
          <t>CLR_ASSET_OTHERS_TLPR</t>
        </is>
      </c>
      <c r="C1702" t="inlineStr">
        <is>
          <t>COMPLETIONDATE</t>
        </is>
      </c>
      <c r="D1702" t="inlineStr">
        <is>
          <t>VARCHAR(18)</t>
        </is>
      </c>
      <c r="E1702" t="inlineStr">
        <is>
          <t>YES</t>
        </is>
      </c>
      <c r="F1702" t="inlineStr">
        <is>
          <t>作品创作完成时间</t>
        </is>
      </c>
      <c r="H1702" t="inlineStr">
        <is>
          <t>VARCHAR</t>
        </is>
      </c>
      <c r="I1702" t="inlineStr">
        <is>
          <t>18</t>
        </is>
      </c>
    </row>
    <row r="1703">
      <c r="A1703" t="inlineStr">
        <is>
          <t>可转让知识产权中的财产权</t>
        </is>
      </c>
      <c r="B1703" t="inlineStr">
        <is>
          <t>CLR_ASSET_OTHERS_TLPR</t>
        </is>
      </c>
      <c r="C1703" t="inlineStr">
        <is>
          <t>FIRSTRELEASEDATE</t>
        </is>
      </c>
      <c r="D1703" t="inlineStr">
        <is>
          <t>DATE</t>
        </is>
      </c>
      <c r="E1703" t="inlineStr">
        <is>
          <t>YES</t>
        </is>
      </c>
      <c r="F1703" t="inlineStr">
        <is>
          <t>首次发表时间</t>
        </is>
      </c>
      <c r="H1703" t="inlineStr">
        <is>
          <t>DATE</t>
        </is>
      </c>
    </row>
    <row r="1704">
      <c r="A1704" t="inlineStr">
        <is>
          <t>可转让知识产权中的财产权</t>
        </is>
      </c>
      <c r="B1704" t="inlineStr">
        <is>
          <t>CLR_ASSET_OTHERS_TLPR</t>
        </is>
      </c>
      <c r="C1704" t="inlineStr">
        <is>
          <t>OWNERSHIP</t>
        </is>
      </c>
      <c r="D1704" t="inlineStr">
        <is>
          <t>VARCHAR(200)</t>
        </is>
      </c>
      <c r="E1704" t="inlineStr">
        <is>
          <t>YES</t>
        </is>
      </c>
      <c r="F1704" t="inlineStr">
        <is>
          <t>著作权所有关系/著作权享有关系</t>
        </is>
      </c>
      <c r="H1704" t="inlineStr">
        <is>
          <t>VARCHAR</t>
        </is>
      </c>
      <c r="I1704" t="inlineStr">
        <is>
          <t>200</t>
        </is>
      </c>
    </row>
    <row r="1705">
      <c r="A1705" t="inlineStr">
        <is>
          <t>可转让知识产权中的财产权</t>
        </is>
      </c>
      <c r="B1705" t="inlineStr">
        <is>
          <t>CLR_ASSET_OTHERS_TLPR</t>
        </is>
      </c>
      <c r="C1705" t="inlineStr">
        <is>
          <t>COPYRIGHTSOURCE</t>
        </is>
      </c>
      <c r="D1705" t="inlineStr">
        <is>
          <t>VARCHAR(6)</t>
        </is>
      </c>
      <c r="E1705" t="inlineStr">
        <is>
          <t>YES</t>
        </is>
      </c>
      <c r="F1705" t="inlineStr">
        <is>
          <t>著作权取得方式/取得方式</t>
        </is>
      </c>
      <c r="H1705" t="inlineStr">
        <is>
          <t>VARCHAR</t>
        </is>
      </c>
      <c r="I1705" t="inlineStr">
        <is>
          <t>6</t>
        </is>
      </c>
    </row>
    <row r="1706">
      <c r="A1706" t="inlineStr">
        <is>
          <t>可转让知识产权中的财产权</t>
        </is>
      </c>
      <c r="B1706" t="inlineStr">
        <is>
          <t>CLR_ASSET_OTHERS_TLPR</t>
        </is>
      </c>
      <c r="C1706" t="inlineStr">
        <is>
          <t>COPYRIGHTRATIO</t>
        </is>
      </c>
      <c r="D1706" t="inlineStr">
        <is>
          <t>DECIMAL(18,8)</t>
        </is>
      </c>
      <c r="E1706" t="inlineStr">
        <is>
          <t>YES</t>
        </is>
      </c>
      <c r="F1706" t="inlineStr">
        <is>
          <t>著作权享有比例</t>
        </is>
      </c>
      <c r="H1706" t="inlineStr">
        <is>
          <t>DECIMAL</t>
        </is>
      </c>
      <c r="I1706" t="inlineStr">
        <is>
          <t>18,8</t>
        </is>
      </c>
    </row>
    <row r="1707">
      <c r="A1707" t="inlineStr">
        <is>
          <t>可转让知识产权中的财产权</t>
        </is>
      </c>
      <c r="B1707" t="inlineStr">
        <is>
          <t>CLR_ASSET_OTHERS_TLPR</t>
        </is>
      </c>
      <c r="C1707" t="inlineStr">
        <is>
          <t>WORKSTITLE</t>
        </is>
      </c>
      <c r="D1707" t="inlineStr">
        <is>
          <t>VARCHAR(200)</t>
        </is>
      </c>
      <c r="E1707" t="inlineStr">
        <is>
          <t>YES</t>
        </is>
      </c>
      <c r="F1707" t="inlineStr">
        <is>
          <t>作品名称</t>
        </is>
      </c>
      <c r="H1707" t="inlineStr">
        <is>
          <t>VARCHAR</t>
        </is>
      </c>
      <c r="I1707" t="inlineStr">
        <is>
          <t>200</t>
        </is>
      </c>
    </row>
    <row r="1708">
      <c r="A1708" t="inlineStr">
        <is>
          <t>可转让知识产权中的财产权</t>
        </is>
      </c>
      <c r="B1708" t="inlineStr">
        <is>
          <t>CLR_ASSET_OTHERS_TLPR</t>
        </is>
      </c>
      <c r="C1708" t="inlineStr">
        <is>
          <t>CONTENT</t>
        </is>
      </c>
      <c r="D1708" t="inlineStr">
        <is>
          <t>VARCHAR(200)</t>
        </is>
      </c>
      <c r="E1708" t="inlineStr">
        <is>
          <t>YES</t>
        </is>
      </c>
      <c r="F1708" t="inlineStr">
        <is>
          <t>内容</t>
        </is>
      </c>
      <c r="H1708" t="inlineStr">
        <is>
          <t>VARCHAR</t>
        </is>
      </c>
      <c r="I1708" t="inlineStr">
        <is>
          <t>200</t>
        </is>
      </c>
    </row>
    <row r="1709">
      <c r="A1709" t="inlineStr">
        <is>
          <t>可转让知识产权中的财产权</t>
        </is>
      </c>
      <c r="B1709" t="inlineStr">
        <is>
          <t>CLR_ASSET_OTHERS_TLPR</t>
        </is>
      </c>
      <c r="C1709" t="inlineStr">
        <is>
          <t>USEDETAIL</t>
        </is>
      </c>
      <c r="D1709" t="inlineStr">
        <is>
          <t>VARCHAR(200)</t>
        </is>
      </c>
      <c r="E1709" t="inlineStr">
        <is>
          <t>YES</t>
        </is>
      </c>
      <c r="F1709" t="inlineStr">
        <is>
          <t>使用情况</t>
        </is>
      </c>
      <c r="H1709" t="inlineStr">
        <is>
          <t>VARCHAR</t>
        </is>
      </c>
      <c r="I1709" t="inlineStr">
        <is>
          <t>200</t>
        </is>
      </c>
    </row>
    <row r="1710">
      <c r="A1710" t="inlineStr">
        <is>
          <t>可转让知识产权中的财产权</t>
        </is>
      </c>
      <c r="B1710" t="inlineStr">
        <is>
          <t>CLR_ASSET_OTHERS_TLPR</t>
        </is>
      </c>
      <c r="C1710" t="inlineStr">
        <is>
          <t>COPYRIGHTTYPE</t>
        </is>
      </c>
      <c r="D1710" t="inlineStr">
        <is>
          <t>VARCHAR(18)</t>
        </is>
      </c>
      <c r="E1710" t="inlineStr">
        <is>
          <t>YES</t>
        </is>
      </c>
      <c r="F1710" t="inlineStr">
        <is>
          <t>著作权类型/专利权客体类型</t>
        </is>
      </c>
      <c r="H1710" t="inlineStr">
        <is>
          <t>VARCHAR</t>
        </is>
      </c>
      <c r="I1710" t="inlineStr">
        <is>
          <t>18</t>
        </is>
      </c>
    </row>
    <row r="1711">
      <c r="A1711" t="inlineStr">
        <is>
          <t>可转让知识产权中的财产权</t>
        </is>
      </c>
      <c r="B1711" t="inlineStr">
        <is>
          <t>CLR_ASSET_OTHERS_TLPR</t>
        </is>
      </c>
      <c r="C1711" t="inlineStr">
        <is>
          <t>WORKSTYPE</t>
        </is>
      </c>
      <c r="D1711" t="inlineStr">
        <is>
          <t>VARCHAR(6)</t>
        </is>
      </c>
      <c r="E1711" t="inlineStr">
        <is>
          <t>YES</t>
        </is>
      </c>
      <c r="F1711" t="inlineStr">
        <is>
          <t>作品类别</t>
        </is>
      </c>
      <c r="H1711" t="inlineStr">
        <is>
          <t>VARCHAR</t>
        </is>
      </c>
      <c r="I1711" t="inlineStr">
        <is>
          <t>6</t>
        </is>
      </c>
    </row>
    <row r="1712">
      <c r="A1712" t="inlineStr">
        <is>
          <t>可转让知识产权中的财产权</t>
        </is>
      </c>
      <c r="B1712" t="inlineStr">
        <is>
          <t>CLR_ASSET_OTHERS_TLPR</t>
        </is>
      </c>
      <c r="C1712" t="inlineStr">
        <is>
          <t>WORKSCREATIONMODE</t>
        </is>
      </c>
      <c r="D1712" t="inlineStr">
        <is>
          <t>VARCHAR(6)</t>
        </is>
      </c>
      <c r="E1712" t="inlineStr">
        <is>
          <t>YES</t>
        </is>
      </c>
      <c r="F1712" t="inlineStr">
        <is>
          <t>作品创作形式</t>
        </is>
      </c>
      <c r="H1712" t="inlineStr">
        <is>
          <t>VARCHAR</t>
        </is>
      </c>
      <c r="I1712" t="inlineStr">
        <is>
          <t>6</t>
        </is>
      </c>
    </row>
    <row r="1713">
      <c r="A1713" t="inlineStr">
        <is>
          <t>可转让知识产权中的财产权</t>
        </is>
      </c>
      <c r="B1713" t="inlineStr">
        <is>
          <t>CLR_ASSET_OTHERS_TLPR</t>
        </is>
      </c>
      <c r="C1713" t="inlineStr">
        <is>
          <t>HISTORIALTRANSACTIONS</t>
        </is>
      </c>
      <c r="D1713" t="inlineStr">
        <is>
          <t>VARCHAR(200)</t>
        </is>
      </c>
      <c r="E1713" t="inlineStr">
        <is>
          <t>YES</t>
        </is>
      </c>
      <c r="F1713" t="inlineStr">
        <is>
          <t>以往评估交易情况</t>
        </is>
      </c>
      <c r="H1713" t="inlineStr">
        <is>
          <t>VARCHAR</t>
        </is>
      </c>
      <c r="I1713" t="inlineStr">
        <is>
          <t>200</t>
        </is>
      </c>
    </row>
    <row r="1714">
      <c r="A1714" t="inlineStr">
        <is>
          <t>可转让知识产权中的财产权</t>
        </is>
      </c>
      <c r="B1714" t="inlineStr">
        <is>
          <t>CLR_ASSET_OTHERS_TLPR</t>
        </is>
      </c>
      <c r="C1714" t="inlineStr">
        <is>
          <t>EFFECTIVEDATE</t>
        </is>
      </c>
      <c r="D1714" t="inlineStr">
        <is>
          <t>VARCHAR(18)</t>
        </is>
      </c>
      <c r="E1714" t="inlineStr">
        <is>
          <t>YES</t>
        </is>
      </c>
      <c r="F1714" t="inlineStr">
        <is>
          <t>生效日/注册生效日/专利申请日期/著作权生效日期</t>
        </is>
      </c>
      <c r="H1714" t="inlineStr">
        <is>
          <t>VARCHAR</t>
        </is>
      </c>
      <c r="I1714" t="inlineStr">
        <is>
          <t>18</t>
        </is>
      </c>
    </row>
    <row r="1715">
      <c r="A1715" t="inlineStr">
        <is>
          <t>可转让知识产权中的财产权</t>
        </is>
      </c>
      <c r="B1715" t="inlineStr">
        <is>
          <t>CLR_ASSET_OTHERS_TLPR</t>
        </is>
      </c>
      <c r="C1715" t="inlineStr">
        <is>
          <t>EXPIRYDATE</t>
        </is>
      </c>
      <c r="D1715" t="inlineStr">
        <is>
          <t>VARCHAR(18)</t>
        </is>
      </c>
      <c r="E1715" t="inlineStr">
        <is>
          <t>YES</t>
        </is>
      </c>
      <c r="F1715" t="inlineStr">
        <is>
          <t>到期日/注册失效日/专利到期日期</t>
        </is>
      </c>
      <c r="H1715" t="inlineStr">
        <is>
          <t>VARCHAR</t>
        </is>
      </c>
      <c r="I1715" t="inlineStr">
        <is>
          <t>18</t>
        </is>
      </c>
    </row>
    <row r="1716">
      <c r="A1716" t="inlineStr">
        <is>
          <t>可转让知识产权中的财产权</t>
        </is>
      </c>
      <c r="B1716" t="inlineStr">
        <is>
          <t>CLR_ASSET_OTHERS_TLPR</t>
        </is>
      </c>
      <c r="C1716" t="inlineStr">
        <is>
          <t>PROTECTIONTERMREMAINED</t>
        </is>
      </c>
      <c r="D1716" t="inlineStr">
        <is>
          <t>DECIMAL(18,2)</t>
        </is>
      </c>
      <c r="E1716" t="inlineStr">
        <is>
          <t>YES</t>
        </is>
      </c>
      <c r="F1716" t="inlineStr">
        <is>
          <t>专利距离保护期届满的期间</t>
        </is>
      </c>
      <c r="H1716" t="inlineStr">
        <is>
          <t>DECIMAL</t>
        </is>
      </c>
      <c r="I1716" t="inlineStr">
        <is>
          <t>18,2</t>
        </is>
      </c>
    </row>
    <row r="1717">
      <c r="A1717" t="inlineStr">
        <is>
          <t>可转让知识产权中的财产权</t>
        </is>
      </c>
      <c r="B1717" t="inlineStr">
        <is>
          <t>CLR_ASSET_OTHERS_TLPR</t>
        </is>
      </c>
      <c r="C1717" t="inlineStr">
        <is>
          <t>LEGALLIFE</t>
        </is>
      </c>
      <c r="D1717" t="inlineStr">
        <is>
          <t>DECIMAL(18,2)</t>
        </is>
      </c>
      <c r="E1717" t="inlineStr">
        <is>
          <t>YES</t>
        </is>
      </c>
      <c r="F1717" t="inlineStr">
        <is>
          <t>专利法定寿命</t>
        </is>
      </c>
      <c r="H1717" t="inlineStr">
        <is>
          <t>DECIMAL</t>
        </is>
      </c>
      <c r="I1717" t="inlineStr">
        <is>
          <t>18,2</t>
        </is>
      </c>
    </row>
    <row r="1718">
      <c r="A1718" t="inlineStr">
        <is>
          <t>可转让知识产权中的财产权</t>
        </is>
      </c>
      <c r="B1718" t="inlineStr">
        <is>
          <t>CLR_ASSET_OTHERS_TLPR</t>
        </is>
      </c>
      <c r="C1718" t="inlineStr">
        <is>
          <t>INCOMEPV</t>
        </is>
      </c>
      <c r="D1718" t="inlineStr">
        <is>
          <t>DECIMAL(24,6)</t>
        </is>
      </c>
      <c r="E1718" t="inlineStr">
        <is>
          <t>YES</t>
        </is>
      </c>
      <c r="F1718" t="inlineStr">
        <is>
          <t>专利收入现值</t>
        </is>
      </c>
      <c r="H1718" t="inlineStr">
        <is>
          <t>DECIMAL</t>
        </is>
      </c>
      <c r="I1718" t="inlineStr">
        <is>
          <t>24,6</t>
        </is>
      </c>
    </row>
    <row r="1719">
      <c r="A1719" t="inlineStr">
        <is>
          <t>可转让知识产权中的财产权</t>
        </is>
      </c>
      <c r="B1719" t="inlineStr">
        <is>
          <t>CLR_ASSET_OTHERS_TLPR</t>
        </is>
      </c>
      <c r="C1719" t="inlineStr">
        <is>
          <t>APPLICATIONFEE</t>
        </is>
      </c>
      <c r="D1719" t="inlineStr">
        <is>
          <t>DECIMAL(24,6)</t>
        </is>
      </c>
      <c r="E1719" t="inlineStr">
        <is>
          <t>YES</t>
        </is>
      </c>
      <c r="F1719" t="inlineStr">
        <is>
          <t>专利申请费/每年维权打假费用</t>
        </is>
      </c>
      <c r="H1719" t="inlineStr">
        <is>
          <t>DECIMAL</t>
        </is>
      </c>
      <c r="I1719" t="inlineStr">
        <is>
          <t>24,6</t>
        </is>
      </c>
    </row>
    <row r="1720">
      <c r="A1720" t="inlineStr">
        <is>
          <t>可转让知识产权中的财产权</t>
        </is>
      </c>
      <c r="B1720" t="inlineStr">
        <is>
          <t>CLR_ASSET_OTHERS_TLPR</t>
        </is>
      </c>
      <c r="C1720" t="inlineStr">
        <is>
          <t>ANNUALFEE</t>
        </is>
      </c>
      <c r="D1720" t="inlineStr">
        <is>
          <t>DECIMAL(24,6)</t>
        </is>
      </c>
      <c r="E1720" t="inlineStr">
        <is>
          <t>YES</t>
        </is>
      </c>
      <c r="F1720" t="inlineStr">
        <is>
          <t>年费/每年广告宣传费用</t>
        </is>
      </c>
      <c r="H1720" t="inlineStr">
        <is>
          <t>DECIMAL</t>
        </is>
      </c>
      <c r="I1720" t="inlineStr">
        <is>
          <t>24,6</t>
        </is>
      </c>
    </row>
    <row r="1721">
      <c r="A1721" t="inlineStr">
        <is>
          <t>可转让知识产权中的财产权</t>
        </is>
      </c>
      <c r="B1721" t="inlineStr">
        <is>
          <t>CLR_ASSET_OTHERS_TLPR</t>
        </is>
      </c>
      <c r="C1721" t="inlineStr">
        <is>
          <t>PATENTOBJECT</t>
        </is>
      </c>
      <c r="D1721" t="inlineStr">
        <is>
          <t>VARCHAR(80)</t>
        </is>
      </c>
      <c r="E1721" t="inlineStr">
        <is>
          <t>YES</t>
        </is>
      </c>
      <c r="F1721" t="inlineStr">
        <is>
          <t>专利权客体</t>
        </is>
      </c>
      <c r="H1721" t="inlineStr">
        <is>
          <t>VARCHAR</t>
        </is>
      </c>
      <c r="I1721" t="inlineStr">
        <is>
          <t>80</t>
        </is>
      </c>
    </row>
    <row r="1722">
      <c r="A1722" t="inlineStr">
        <is>
          <t>可转让知识产权中的财产权</t>
        </is>
      </c>
      <c r="B1722" t="inlineStr">
        <is>
          <t>CLR_ASSET_OTHERS_TLPR</t>
        </is>
      </c>
      <c r="C1722" t="inlineStr">
        <is>
          <t>PATENTAPPLYSTATUS</t>
        </is>
      </c>
      <c r="D1722" t="inlineStr">
        <is>
          <t>VARCHAR(6)</t>
        </is>
      </c>
      <c r="E1722" t="inlineStr">
        <is>
          <t>YES</t>
        </is>
      </c>
      <c r="F1722" t="inlineStr">
        <is>
          <t>专利申请状态</t>
        </is>
      </c>
      <c r="H1722" t="inlineStr">
        <is>
          <t>VARCHAR</t>
        </is>
      </c>
      <c r="I1722" t="inlineStr">
        <is>
          <t>6</t>
        </is>
      </c>
    </row>
    <row r="1723">
      <c r="A1723" t="inlineStr">
        <is>
          <t>可转让知识产权中的财产权</t>
        </is>
      </c>
      <c r="B1723" t="inlineStr">
        <is>
          <t>CLR_ASSET_OTHERS_TLPR</t>
        </is>
      </c>
      <c r="C1723" t="inlineStr">
        <is>
          <t>AWARDINGCOUNTRY</t>
        </is>
      </c>
      <c r="D1723" t="inlineStr">
        <is>
          <t>VARCHAR(18)</t>
        </is>
      </c>
      <c r="E1723" t="inlineStr">
        <is>
          <t>YES</t>
        </is>
      </c>
      <c r="F1723" t="inlineStr">
        <is>
          <t>专利授予国</t>
        </is>
      </c>
      <c r="H1723" t="inlineStr">
        <is>
          <t>VARCHAR</t>
        </is>
      </c>
      <c r="I1723" t="inlineStr">
        <is>
          <t>18</t>
        </is>
      </c>
    </row>
    <row r="1724">
      <c r="A1724" t="inlineStr">
        <is>
          <t>可转让知识产权中的财产权</t>
        </is>
      </c>
      <c r="B1724" t="inlineStr">
        <is>
          <t>CLR_ASSET_OTHERS_TLPR</t>
        </is>
      </c>
      <c r="C1724" t="inlineStr">
        <is>
          <t>SUBORDINATIONINFO</t>
        </is>
      </c>
      <c r="D1724" t="inlineStr">
        <is>
          <t>VARCHAR(200)</t>
        </is>
      </c>
      <c r="E1724" t="inlineStr">
        <is>
          <t>YES</t>
        </is>
      </c>
      <c r="F1724" t="inlineStr">
        <is>
          <t>专利从属信息</t>
        </is>
      </c>
      <c r="H1724" t="inlineStr">
        <is>
          <t>VARCHAR</t>
        </is>
      </c>
      <c r="I1724" t="inlineStr">
        <is>
          <t>200</t>
        </is>
      </c>
    </row>
    <row r="1725">
      <c r="A1725" t="inlineStr">
        <is>
          <t>可转让知识产权中的财产权</t>
        </is>
      </c>
      <c r="B1725" t="inlineStr">
        <is>
          <t>CLR_ASSET_OTHERS_TLPR</t>
        </is>
      </c>
      <c r="C1725" t="inlineStr">
        <is>
          <t>ASSIGNMENTINFO</t>
        </is>
      </c>
      <c r="D1725" t="inlineStr">
        <is>
          <t>VARCHAR(200)</t>
        </is>
      </c>
      <c r="E1725" t="inlineStr">
        <is>
          <t>YES</t>
        </is>
      </c>
      <c r="F1725" t="inlineStr">
        <is>
          <t>使用权转让情况</t>
        </is>
      </c>
      <c r="H1725" t="inlineStr">
        <is>
          <t>VARCHAR</t>
        </is>
      </c>
      <c r="I1725" t="inlineStr">
        <is>
          <t>200</t>
        </is>
      </c>
    </row>
    <row r="1726">
      <c r="A1726" t="inlineStr">
        <is>
          <t>可转让知识产权中的财产权</t>
        </is>
      </c>
      <c r="B1726" t="inlineStr">
        <is>
          <t>CLR_ASSET_OTHERS_TLPR</t>
        </is>
      </c>
      <c r="C1726" t="inlineStr">
        <is>
          <t>COVERINGGOODS</t>
        </is>
      </c>
      <c r="D1726" t="inlineStr">
        <is>
          <t>VARCHAR(80)</t>
        </is>
      </c>
      <c r="E1726" t="inlineStr">
        <is>
          <t>YES</t>
        </is>
      </c>
      <c r="F1726" t="inlineStr">
        <is>
          <t>核定使用商品</t>
        </is>
      </c>
      <c r="H1726" t="inlineStr">
        <is>
          <t>VARCHAR</t>
        </is>
      </c>
      <c r="I1726" t="inlineStr">
        <is>
          <t>80</t>
        </is>
      </c>
    </row>
    <row r="1727">
      <c r="A1727" t="inlineStr">
        <is>
          <t>可转让知识产权中的财产权</t>
        </is>
      </c>
      <c r="B1727" t="inlineStr">
        <is>
          <t>CLR_ASSET_OTHERS_TLPR</t>
        </is>
      </c>
      <c r="C1727" t="inlineStr">
        <is>
          <t>REGISTRANT</t>
        </is>
      </c>
      <c r="D1727" t="inlineStr">
        <is>
          <t>VARCHAR(80)</t>
        </is>
      </c>
      <c r="E1727" t="inlineStr">
        <is>
          <t>YES</t>
        </is>
      </c>
      <c r="F1727" t="inlineStr">
        <is>
          <t>注册人</t>
        </is>
      </c>
      <c r="H1727" t="inlineStr">
        <is>
          <t>VARCHAR</t>
        </is>
      </c>
      <c r="I1727" t="inlineStr">
        <is>
          <t>80</t>
        </is>
      </c>
    </row>
    <row r="1728">
      <c r="A1728" t="inlineStr">
        <is>
          <t>可转让知识产权中的财产权</t>
        </is>
      </c>
      <c r="B1728" t="inlineStr">
        <is>
          <t>CLR_ASSET_OTHERS_TLPR</t>
        </is>
      </c>
      <c r="C1728" t="inlineStr">
        <is>
          <t>ENTERPRISETYPE</t>
        </is>
      </c>
      <c r="D1728" t="inlineStr">
        <is>
          <t>VARCHAR(18)</t>
        </is>
      </c>
      <c r="E1728" t="inlineStr">
        <is>
          <t>YES</t>
        </is>
      </c>
      <c r="F1728" t="inlineStr">
        <is>
          <t>企业类型/注册企业类型</t>
        </is>
      </c>
      <c r="H1728" t="inlineStr">
        <is>
          <t>VARCHAR</t>
        </is>
      </c>
      <c r="I1728" t="inlineStr">
        <is>
          <t>18</t>
        </is>
      </c>
    </row>
    <row r="1729">
      <c r="A1729" t="inlineStr">
        <is>
          <t>可转让知识产权中的财产权</t>
        </is>
      </c>
      <c r="B1729" t="inlineStr">
        <is>
          <t>CLR_ASSET_OTHERS_TLPR</t>
        </is>
      </c>
      <c r="C1729" t="inlineStr">
        <is>
          <t>BUSINESSSCOPE</t>
        </is>
      </c>
      <c r="D1729" t="inlineStr">
        <is>
          <t>VARCHAR(200)</t>
        </is>
      </c>
      <c r="E1729" t="inlineStr">
        <is>
          <t>YES</t>
        </is>
      </c>
      <c r="F1729" t="inlineStr">
        <is>
          <t>公司经营范围</t>
        </is>
      </c>
      <c r="H1729" t="inlineStr">
        <is>
          <t>VARCHAR</t>
        </is>
      </c>
      <c r="I1729" t="inlineStr">
        <is>
          <t>200</t>
        </is>
      </c>
    </row>
    <row r="1730">
      <c r="A1730" t="inlineStr">
        <is>
          <t>可转让知识产权中的财产权</t>
        </is>
      </c>
      <c r="B1730" t="inlineStr">
        <is>
          <t>CLR_ASSET_OTHERS_TLPR</t>
        </is>
      </c>
      <c r="C1730" t="inlineStr">
        <is>
          <t>TRADEMARKTYPE</t>
        </is>
      </c>
      <c r="D1730" t="inlineStr">
        <is>
          <t>VARCHAR(6)</t>
        </is>
      </c>
      <c r="E1730" t="inlineStr">
        <is>
          <t>YES</t>
        </is>
      </c>
      <c r="F1730" t="inlineStr">
        <is>
          <t>商标类型</t>
        </is>
      </c>
      <c r="H1730" t="inlineStr">
        <is>
          <t>VARCHAR</t>
        </is>
      </c>
      <c r="I1730" t="inlineStr">
        <is>
          <t>6</t>
        </is>
      </c>
    </row>
    <row r="1731">
      <c r="A1731" t="inlineStr">
        <is>
          <t>可转让知识产权中的财产权</t>
        </is>
      </c>
      <c r="B1731" t="inlineStr">
        <is>
          <t>CLR_ASSET_OTHERS_TLPR</t>
        </is>
      </c>
      <c r="C1731" t="inlineStr">
        <is>
          <t>TRADEMARKREPUTAITON</t>
        </is>
      </c>
      <c r="D1731" t="inlineStr">
        <is>
          <t>VARCHAR(6)</t>
        </is>
      </c>
      <c r="E1731" t="inlineStr">
        <is>
          <t>YES</t>
        </is>
      </c>
      <c r="F1731" t="inlineStr">
        <is>
          <t>商标信誉情况</t>
        </is>
      </c>
      <c r="H1731" t="inlineStr">
        <is>
          <t>VARCHAR</t>
        </is>
      </c>
      <c r="I1731" t="inlineStr">
        <is>
          <t>6</t>
        </is>
      </c>
    </row>
    <row r="1732">
      <c r="A1732" t="inlineStr">
        <is>
          <t>可转让知识产权中的财产权</t>
        </is>
      </c>
      <c r="B1732" t="inlineStr">
        <is>
          <t>CLR_ASSET_OTHERS_TLPR</t>
        </is>
      </c>
      <c r="C1732" t="inlineStr">
        <is>
          <t>GOODSQUALITY</t>
        </is>
      </c>
      <c r="D1732" t="inlineStr">
        <is>
          <t>VARCHAR(200)</t>
        </is>
      </c>
      <c r="E1732" t="inlineStr">
        <is>
          <t>YES</t>
        </is>
      </c>
      <c r="F1732" t="inlineStr">
        <is>
          <t>商品质量情况</t>
        </is>
      </c>
      <c r="H1732" t="inlineStr">
        <is>
          <t>VARCHAR</t>
        </is>
      </c>
      <c r="I1732" t="inlineStr">
        <is>
          <t>200</t>
        </is>
      </c>
    </row>
    <row r="1733">
      <c r="A1733" t="inlineStr">
        <is>
          <t>可转让知识产权中的财产权</t>
        </is>
      </c>
      <c r="B1733" t="inlineStr">
        <is>
          <t>CLR_ASSET_OTHERS_TLPR</t>
        </is>
      </c>
      <c r="C1733" t="inlineStr">
        <is>
          <t>AFERSERVICE</t>
        </is>
      </c>
      <c r="D1733" t="inlineStr">
        <is>
          <t>VARCHAR(200)</t>
        </is>
      </c>
      <c r="E1733" t="inlineStr">
        <is>
          <t>YES</t>
        </is>
      </c>
      <c r="F1733" t="inlineStr">
        <is>
          <t>商品售后服务情况</t>
        </is>
      </c>
      <c r="H1733" t="inlineStr">
        <is>
          <t>VARCHAR</t>
        </is>
      </c>
      <c r="I1733" t="inlineStr">
        <is>
          <t>200</t>
        </is>
      </c>
    </row>
    <row r="1734">
      <c r="A1734" t="inlineStr">
        <is>
          <t>可转让知识产权中的财产权</t>
        </is>
      </c>
      <c r="B1734" t="inlineStr">
        <is>
          <t>CLR_ASSET_OTHERS_TLPR</t>
        </is>
      </c>
      <c r="C1734" t="inlineStr">
        <is>
          <t>SELLINGNETWORK</t>
        </is>
      </c>
      <c r="D1734" t="inlineStr">
        <is>
          <t>VARCHAR(200)</t>
        </is>
      </c>
      <c r="E1734" t="inlineStr">
        <is>
          <t>YES</t>
        </is>
      </c>
      <c r="F1734" t="inlineStr">
        <is>
          <t>商品销售网络情况</t>
        </is>
      </c>
      <c r="H1734" t="inlineStr">
        <is>
          <t>VARCHAR</t>
        </is>
      </c>
      <c r="I1734" t="inlineStr">
        <is>
          <t>200</t>
        </is>
      </c>
    </row>
    <row r="1735">
      <c r="A1735" t="inlineStr">
        <is>
          <t>可转让知识产权中的财产权</t>
        </is>
      </c>
      <c r="B1735" t="inlineStr">
        <is>
          <t>CLR_ASSET_OTHERS_TLPR</t>
        </is>
      </c>
      <c r="C1735" t="inlineStr">
        <is>
          <t>GOODSORIENTATION</t>
        </is>
      </c>
      <c r="D1735" t="inlineStr">
        <is>
          <t>VARCHAR(200)</t>
        </is>
      </c>
      <c r="E1735" t="inlineStr">
        <is>
          <t>YES</t>
        </is>
      </c>
      <c r="F1735" t="inlineStr">
        <is>
          <t>商品定位情况</t>
        </is>
      </c>
      <c r="H1735" t="inlineStr">
        <is>
          <t>VARCHAR</t>
        </is>
      </c>
      <c r="I1735" t="inlineStr">
        <is>
          <t>200</t>
        </is>
      </c>
    </row>
    <row r="1736">
      <c r="A1736" t="inlineStr">
        <is>
          <t>可转让知识产权中的财产权</t>
        </is>
      </c>
      <c r="B1736" t="inlineStr">
        <is>
          <t>CLR_ASSET_OTHERS_TLPR</t>
        </is>
      </c>
      <c r="C1736" t="inlineStr">
        <is>
          <t>GOODSFUNCTION</t>
        </is>
      </c>
      <c r="D1736" t="inlineStr">
        <is>
          <t>VARCHAR(200)</t>
        </is>
      </c>
      <c r="E1736" t="inlineStr">
        <is>
          <t>YES</t>
        </is>
      </c>
      <c r="F1736" t="inlineStr">
        <is>
          <t>产品功能情况</t>
        </is>
      </c>
      <c r="H1736" t="inlineStr">
        <is>
          <t>VARCHAR</t>
        </is>
      </c>
      <c r="I1736" t="inlineStr">
        <is>
          <t>200</t>
        </is>
      </c>
    </row>
    <row r="1737">
      <c r="A1737" t="inlineStr">
        <is>
          <t>可转让知识产权中的财产权</t>
        </is>
      </c>
      <c r="B1737" t="inlineStr">
        <is>
          <t>CLR_ASSET_OTHERS_TLPR</t>
        </is>
      </c>
      <c r="C1737" t="inlineStr">
        <is>
          <t>MARKETSHARE</t>
        </is>
      </c>
      <c r="D1737" t="inlineStr">
        <is>
          <t>DECIMAL(18,8)</t>
        </is>
      </c>
      <c r="E1737" t="inlineStr">
        <is>
          <t>YES</t>
        </is>
      </c>
      <c r="F1737" t="inlineStr">
        <is>
          <t>市场占有率</t>
        </is>
      </c>
      <c r="H1737" t="inlineStr">
        <is>
          <t>DECIMAL</t>
        </is>
      </c>
      <c r="I1737" t="inlineStr">
        <is>
          <t>18,8</t>
        </is>
      </c>
    </row>
    <row r="1738">
      <c r="A1738" t="inlineStr">
        <is>
          <t>可转让知识产权中的财产权</t>
        </is>
      </c>
      <c r="B1738" t="inlineStr">
        <is>
          <t>CLR_ASSET_OTHERS_TLPR</t>
        </is>
      </c>
      <c r="C1738" t="inlineStr">
        <is>
          <t>ANNUALSALE</t>
        </is>
      </c>
      <c r="D1738" t="inlineStr">
        <is>
          <t>DECIMAL(24,6)</t>
        </is>
      </c>
      <c r="E1738" t="inlineStr">
        <is>
          <t>YES</t>
        </is>
      </c>
      <c r="F1738" t="inlineStr">
        <is>
          <t>年销售额</t>
        </is>
      </c>
      <c r="H1738" t="inlineStr">
        <is>
          <t>DECIMAL</t>
        </is>
      </c>
      <c r="I1738" t="inlineStr">
        <is>
          <t>24,6</t>
        </is>
      </c>
    </row>
    <row r="1739">
      <c r="A1739" t="inlineStr">
        <is>
          <t>可转让知识产权中的财产权</t>
        </is>
      </c>
      <c r="B1739" t="inlineStr">
        <is>
          <t>CLR_ASSET_OTHERS_TLPR</t>
        </is>
      </c>
      <c r="C1739" t="inlineStr">
        <is>
          <t>CIRCULATEDPERIOD</t>
        </is>
      </c>
      <c r="D1739" t="inlineStr">
        <is>
          <t>DECIMAL(18,2)</t>
        </is>
      </c>
      <c r="E1739" t="inlineStr">
        <is>
          <t>YES</t>
        </is>
      </c>
      <c r="F1739" t="inlineStr">
        <is>
          <t>产品实际流通时间</t>
        </is>
      </c>
      <c r="H1739" t="inlineStr">
        <is>
          <t>DECIMAL</t>
        </is>
      </c>
      <c r="I1739" t="inlineStr">
        <is>
          <t>18,2</t>
        </is>
      </c>
    </row>
    <row r="1740">
      <c r="A1740" t="inlineStr">
        <is>
          <t>可转让知识产权中的财产权</t>
        </is>
      </c>
      <c r="B1740" t="inlineStr">
        <is>
          <t>CLR_ASSET_OTHERS_TLPR</t>
        </is>
      </c>
      <c r="C1740" t="inlineStr">
        <is>
          <t>INVENTIONTYPE</t>
        </is>
      </c>
      <c r="D1740" t="inlineStr">
        <is>
          <t>VARCHAR(6)</t>
        </is>
      </c>
      <c r="E1740" t="inlineStr">
        <is>
          <t>YES</t>
        </is>
      </c>
      <c r="F1740" t="inlineStr">
        <is>
          <t>专利发明创造类别</t>
        </is>
      </c>
      <c r="H1740" t="inlineStr">
        <is>
          <t>VARCHAR</t>
        </is>
      </c>
      <c r="I1740" t="inlineStr">
        <is>
          <t>6</t>
        </is>
      </c>
    </row>
    <row r="1741">
      <c r="A1741" t="inlineStr">
        <is>
          <t>可转让知识产权中的财产权</t>
        </is>
      </c>
      <c r="B1741" t="inlineStr">
        <is>
          <t>CLR_ASSET_OTHERS_TLPR</t>
        </is>
      </c>
      <c r="C1741" t="inlineStr">
        <is>
          <t>AUTHORIZATIONDATE</t>
        </is>
      </c>
      <c r="D1741" t="inlineStr">
        <is>
          <t>VARCHAR(18)</t>
        </is>
      </c>
      <c r="E1741" t="inlineStr">
        <is>
          <t>YES</t>
        </is>
      </c>
      <c r="F1741" t="inlineStr">
        <is>
          <t>专利授权公告日</t>
        </is>
      </c>
      <c r="H1741" t="inlineStr">
        <is>
          <t>VARCHAR</t>
        </is>
      </c>
      <c r="I1741" t="inlineStr">
        <is>
          <t>18</t>
        </is>
      </c>
    </row>
    <row r="1742">
      <c r="A1742" t="inlineStr">
        <is>
          <t>可转让知识产权中的财产权</t>
        </is>
      </c>
      <c r="B1742" t="inlineStr">
        <is>
          <t>CLR_ASSET_OTHERS_TLPR</t>
        </is>
      </c>
      <c r="C1742" t="inlineStr">
        <is>
          <t>APPROVINGAGENCY</t>
        </is>
      </c>
      <c r="D1742" t="inlineStr">
        <is>
          <t>VARCHAR(80)</t>
        </is>
      </c>
      <c r="E1742" t="inlineStr">
        <is>
          <t>YES</t>
        </is>
      </c>
      <c r="F1742" t="inlineStr">
        <is>
          <t>商标注册机构/专利批准机构/著作权登记机构</t>
        </is>
      </c>
      <c r="H1742" t="inlineStr">
        <is>
          <t>VARCHAR</t>
        </is>
      </c>
      <c r="I1742" t="inlineStr">
        <is>
          <t>80</t>
        </is>
      </c>
    </row>
    <row r="1743">
      <c r="A1743" t="inlineStr">
        <is>
          <t>可转让知识产权中的财产权</t>
        </is>
      </c>
      <c r="B1743" t="inlineStr">
        <is>
          <t>CLR_ASSET_OTHERS_TLPR</t>
        </is>
      </c>
      <c r="C1743" t="inlineStr">
        <is>
          <t>TRADEMARKFLAG01</t>
        </is>
      </c>
      <c r="D1743" t="inlineStr">
        <is>
          <t>CHAR(1)</t>
        </is>
      </c>
      <c r="E1743" t="inlineStr">
        <is>
          <t>YES</t>
        </is>
      </c>
      <c r="F1743" t="inlineStr">
        <is>
          <t>是否已提交专利证书/是否已提交商标注册证</t>
        </is>
      </c>
      <c r="H1743" t="inlineStr">
        <is>
          <t>CHAR</t>
        </is>
      </c>
      <c r="I1743" t="inlineStr">
        <is>
          <t>1</t>
        </is>
      </c>
    </row>
    <row r="1744">
      <c r="A1744" t="inlineStr">
        <is>
          <t>可转让知识产权中的财产权</t>
        </is>
      </c>
      <c r="B1744" t="inlineStr">
        <is>
          <t>CLR_ASSET_OTHERS_TLPR</t>
        </is>
      </c>
      <c r="C1744" t="inlineStr">
        <is>
          <t>TRADEMARKFLAG02</t>
        </is>
      </c>
      <c r="D1744" t="inlineStr">
        <is>
          <t>CHAR(1)</t>
        </is>
      </c>
      <c r="E1744" t="inlineStr">
        <is>
          <t>YES</t>
        </is>
      </c>
      <c r="F1744" t="inlineStr">
        <is>
          <t>是否已提交与注册商标专用权相关的企业法人营业执照</t>
        </is>
      </c>
      <c r="H1744" t="inlineStr">
        <is>
          <t>CHAR</t>
        </is>
      </c>
      <c r="I1744" t="inlineStr">
        <is>
          <t>1</t>
        </is>
      </c>
    </row>
    <row r="1745">
      <c r="A1745" t="inlineStr">
        <is>
          <t>可转让知识产权中的财产权</t>
        </is>
      </c>
      <c r="B1745" t="inlineStr">
        <is>
          <t>CLR_ASSET_OTHERS_TLPR</t>
        </is>
      </c>
      <c r="C1745" t="inlineStr">
        <is>
          <t>TRADEMARKFLAG03</t>
        </is>
      </c>
      <c r="D1745" t="inlineStr">
        <is>
          <t>CHAR(1)</t>
        </is>
      </c>
      <c r="E1745" t="inlineStr">
        <is>
          <t>YES</t>
        </is>
      </c>
      <c r="F1745" t="inlineStr">
        <is>
          <t>是否已提交与注册商标专用权相关的企业财务报表</t>
        </is>
      </c>
      <c r="H1745" t="inlineStr">
        <is>
          <t>CHAR</t>
        </is>
      </c>
      <c r="I1745" t="inlineStr">
        <is>
          <t>1</t>
        </is>
      </c>
    </row>
    <row r="1746">
      <c r="A1746" t="inlineStr">
        <is>
          <t>可转让知识产权中的财产权</t>
        </is>
      </c>
      <c r="B1746" t="inlineStr">
        <is>
          <t>CLR_ASSET_OTHERS_TLPR</t>
        </is>
      </c>
      <c r="C1746" t="inlineStr">
        <is>
          <t>TRADEMARKFLAG04</t>
        </is>
      </c>
      <c r="D1746" t="inlineStr">
        <is>
          <t>CHAR(1)</t>
        </is>
      </c>
      <c r="E1746" t="inlineStr">
        <is>
          <t>YES</t>
        </is>
      </c>
      <c r="F1746" t="inlineStr">
        <is>
          <t>是否已提交表明商标等级的相关证书</t>
        </is>
      </c>
      <c r="H1746" t="inlineStr">
        <is>
          <t>CHAR</t>
        </is>
      </c>
      <c r="I1746" t="inlineStr">
        <is>
          <t>1</t>
        </is>
      </c>
    </row>
    <row r="1747">
      <c r="A1747" t="inlineStr">
        <is>
          <t>可转让知识产权中的财产权</t>
        </is>
      </c>
      <c r="B1747" t="inlineStr">
        <is>
          <t>CLR_ASSET_OTHERS_TLPR</t>
        </is>
      </c>
      <c r="C1747" t="inlineStr">
        <is>
          <t>TRADEMARKFLAG05</t>
        </is>
      </c>
      <c r="D1747" t="inlineStr">
        <is>
          <t>CHAR(1)</t>
        </is>
      </c>
      <c r="E1747" t="inlineStr">
        <is>
          <t>YES</t>
        </is>
      </c>
      <c r="F1747" t="inlineStr">
        <is>
          <t>商标标识05</t>
        </is>
      </c>
      <c r="H1747" t="inlineStr">
        <is>
          <t>CHAR</t>
        </is>
      </c>
      <c r="I1747" t="inlineStr">
        <is>
          <t>1</t>
        </is>
      </c>
    </row>
    <row r="1748">
      <c r="A1748" t="inlineStr">
        <is>
          <t>可转让知识产权中的财产权</t>
        </is>
      </c>
      <c r="B1748" t="inlineStr">
        <is>
          <t>CLR_ASSET_OTHERS_TLPR</t>
        </is>
      </c>
      <c r="C1748" t="inlineStr">
        <is>
          <t>COPYRIGHTFLAG01</t>
        </is>
      </c>
      <c r="D1748" t="inlineStr">
        <is>
          <t>CHAR(1)</t>
        </is>
      </c>
      <c r="E1748" t="inlineStr">
        <is>
          <t>YES</t>
        </is>
      </c>
      <c r="F1748" t="inlineStr">
        <is>
          <t>是否已提交著作权相关转让协议</t>
        </is>
      </c>
      <c r="H1748" t="inlineStr">
        <is>
          <t>CHAR</t>
        </is>
      </c>
      <c r="I1748" t="inlineStr">
        <is>
          <t>1</t>
        </is>
      </c>
    </row>
    <row r="1749">
      <c r="A1749" t="inlineStr">
        <is>
          <t>可转让知识产权中的财产权</t>
        </is>
      </c>
      <c r="B1749" t="inlineStr">
        <is>
          <t>CLR_ASSET_OTHERS_TLPR</t>
        </is>
      </c>
      <c r="C1749" t="inlineStr">
        <is>
          <t>COPYRIGHTFLAG02</t>
        </is>
      </c>
      <c r="D1749" t="inlineStr">
        <is>
          <t>CHAR(1)</t>
        </is>
      </c>
      <c r="E1749" t="inlineStr">
        <is>
          <t>YES</t>
        </is>
      </c>
      <c r="F1749" t="inlineStr">
        <is>
          <t>是否已提交著作权登记证书</t>
        </is>
      </c>
      <c r="H1749" t="inlineStr">
        <is>
          <t>CHAR</t>
        </is>
      </c>
      <c r="I1749" t="inlineStr">
        <is>
          <t>1</t>
        </is>
      </c>
    </row>
    <row r="1750">
      <c r="A1750" t="inlineStr">
        <is>
          <t>可转让知识产权中的财产权</t>
        </is>
      </c>
      <c r="B1750" t="inlineStr">
        <is>
          <t>CLR_ASSET_OTHERS_TLPR</t>
        </is>
      </c>
      <c r="C1750" t="inlineStr">
        <is>
          <t>COPYRIGHTFLAG03</t>
        </is>
      </c>
      <c r="D1750" t="inlineStr">
        <is>
          <t>CHAR(1)</t>
        </is>
      </c>
      <c r="E1750" t="inlineStr">
        <is>
          <t>YES</t>
        </is>
      </c>
      <c r="F1750" t="inlineStr">
        <is>
          <t>是否已提交著作权客体作品</t>
        </is>
      </c>
      <c r="H1750" t="inlineStr">
        <is>
          <t>CHAR</t>
        </is>
      </c>
      <c r="I1750" t="inlineStr">
        <is>
          <t>1</t>
        </is>
      </c>
    </row>
    <row r="1751">
      <c r="A1751" t="inlineStr">
        <is>
          <t>可转让知识产权中的财产权</t>
        </is>
      </c>
      <c r="B1751" t="inlineStr">
        <is>
          <t>CLR_ASSET_OTHERS_TLPR</t>
        </is>
      </c>
      <c r="C1751" t="inlineStr">
        <is>
          <t>COPYRIGHTFLAG04</t>
        </is>
      </c>
      <c r="D1751" t="inlineStr">
        <is>
          <t>CHAR(1)</t>
        </is>
      </c>
      <c r="E1751" t="inlineStr">
        <is>
          <t>YES</t>
        </is>
      </c>
      <c r="F1751" t="inlineStr">
        <is>
          <t>是否已提交著作权相关交易证明</t>
        </is>
      </c>
      <c r="H1751" t="inlineStr">
        <is>
          <t>CHAR</t>
        </is>
      </c>
      <c r="I1751" t="inlineStr">
        <is>
          <t>1</t>
        </is>
      </c>
    </row>
    <row r="1752">
      <c r="A1752" t="inlineStr">
        <is>
          <t>可转让知识产权中的财产权</t>
        </is>
      </c>
      <c r="B1752" t="inlineStr">
        <is>
          <t>CLR_ASSET_OTHERS_TLPR</t>
        </is>
      </c>
      <c r="C1752" t="inlineStr">
        <is>
          <t>PATENTFLAG01</t>
        </is>
      </c>
      <c r="D1752" t="inlineStr">
        <is>
          <t>CHAR(1)</t>
        </is>
      </c>
      <c r="E1752" t="inlineStr">
        <is>
          <t>YES</t>
        </is>
      </c>
      <c r="F1752" t="inlineStr">
        <is>
          <t>专利标识01</t>
        </is>
      </c>
      <c r="H1752" t="inlineStr">
        <is>
          <t>CHAR</t>
        </is>
      </c>
      <c r="I1752" t="inlineStr">
        <is>
          <t>1</t>
        </is>
      </c>
    </row>
    <row r="1753">
      <c r="A1753" t="inlineStr">
        <is>
          <t>可转让知识产权中的财产权</t>
        </is>
      </c>
      <c r="B1753" t="inlineStr">
        <is>
          <t>CLR_ASSET_OTHERS_TLPR</t>
        </is>
      </c>
      <c r="C1753" t="inlineStr">
        <is>
          <t>PATENTFLAG02</t>
        </is>
      </c>
      <c r="D1753" t="inlineStr">
        <is>
          <t>CHAR(1)</t>
        </is>
      </c>
      <c r="E1753" t="inlineStr">
        <is>
          <t>YES</t>
        </is>
      </c>
      <c r="F1753" t="inlineStr">
        <is>
          <t>是否已提交专利说明书</t>
        </is>
      </c>
      <c r="H1753" t="inlineStr">
        <is>
          <t>CHAR</t>
        </is>
      </c>
      <c r="I1753" t="inlineStr">
        <is>
          <t>1</t>
        </is>
      </c>
    </row>
    <row r="1754">
      <c r="A1754" t="inlineStr">
        <is>
          <t>可转让知识产权中的财产权</t>
        </is>
      </c>
      <c r="B1754" t="inlineStr">
        <is>
          <t>CLR_ASSET_OTHERS_TLPR</t>
        </is>
      </c>
      <c r="C1754" t="inlineStr">
        <is>
          <t>PATENTFLAG03</t>
        </is>
      </c>
      <c r="D1754" t="inlineStr">
        <is>
          <t>CHAR(1)</t>
        </is>
      </c>
      <c r="E1754" t="inlineStr">
        <is>
          <t>YES</t>
        </is>
      </c>
      <c r="F1754" t="inlineStr">
        <is>
          <t>是否已提交专利技术检测报告</t>
        </is>
      </c>
      <c r="H1754" t="inlineStr">
        <is>
          <t>CHAR</t>
        </is>
      </c>
      <c r="I1754" t="inlineStr">
        <is>
          <t>1</t>
        </is>
      </c>
    </row>
    <row r="1755">
      <c r="A1755" t="inlineStr">
        <is>
          <t>可转让知识产权中的财产权</t>
        </is>
      </c>
      <c r="B1755" t="inlineStr">
        <is>
          <t>CLR_ASSET_OTHERS_TLPR</t>
        </is>
      </c>
      <c r="C1755" t="inlineStr">
        <is>
          <t>PATENTFLAG04</t>
        </is>
      </c>
      <c r="D1755" t="inlineStr">
        <is>
          <t>CHAR(1)</t>
        </is>
      </c>
      <c r="E1755" t="inlineStr">
        <is>
          <t>YES</t>
        </is>
      </c>
      <c r="F1755" t="inlineStr">
        <is>
          <t>是否已提交科学技术成果鉴定证书</t>
        </is>
      </c>
      <c r="H1755" t="inlineStr">
        <is>
          <t>CHAR</t>
        </is>
      </c>
      <c r="I1755" t="inlineStr">
        <is>
          <t>1</t>
        </is>
      </c>
    </row>
    <row r="1756">
      <c r="A1756" t="inlineStr">
        <is>
          <t>可转让知识产权中的财产权</t>
        </is>
      </c>
      <c r="B1756" t="inlineStr">
        <is>
          <t>CLR_ASSET_OTHERS_TLPR</t>
        </is>
      </c>
      <c r="C1756" t="inlineStr">
        <is>
          <t>PATENTFLAG05</t>
        </is>
      </c>
      <c r="D1756" t="inlineStr">
        <is>
          <t>CHAR(1)</t>
        </is>
      </c>
      <c r="E1756" t="inlineStr">
        <is>
          <t>YES</t>
        </is>
      </c>
      <c r="F1756" t="inlineStr">
        <is>
          <t>是否已提交年费缴纳记录</t>
        </is>
      </c>
      <c r="H1756" t="inlineStr">
        <is>
          <t>CHAR</t>
        </is>
      </c>
      <c r="I1756" t="inlineStr">
        <is>
          <t>1</t>
        </is>
      </c>
    </row>
    <row r="1757">
      <c r="A1757" t="inlineStr">
        <is>
          <t>可转让知识产权中的财产权</t>
        </is>
      </c>
      <c r="B1757" t="inlineStr">
        <is>
          <t>CLR_ASSET_OTHERS_TLPR</t>
        </is>
      </c>
      <c r="C1757" t="inlineStr">
        <is>
          <t>PATENTFLAG06</t>
        </is>
      </c>
      <c r="D1757" t="inlineStr">
        <is>
          <t>CHAR(1)</t>
        </is>
      </c>
      <c r="E1757" t="inlineStr">
        <is>
          <t>YES</t>
        </is>
      </c>
      <c r="F1757" t="inlineStr">
        <is>
          <t>是否已提交与专利权相关的企业财务报表</t>
        </is>
      </c>
      <c r="H1757" t="inlineStr">
        <is>
          <t>CHAR</t>
        </is>
      </c>
      <c r="I1757" t="inlineStr">
        <is>
          <t>1</t>
        </is>
      </c>
    </row>
    <row r="1758">
      <c r="A1758" t="inlineStr">
        <is>
          <t>可转让知识产权中的财产权</t>
        </is>
      </c>
      <c r="B1758" t="inlineStr">
        <is>
          <t>CLR_ASSET_OTHERS_TLPR</t>
        </is>
      </c>
      <c r="C1758" t="inlineStr">
        <is>
          <t>ANNUALFEEPAYDESCRIPTION</t>
        </is>
      </c>
      <c r="D1758" t="inlineStr">
        <is>
          <t>VARCHAR(200)</t>
        </is>
      </c>
      <c r="E1758" t="inlineStr">
        <is>
          <t>YES</t>
        </is>
      </c>
      <c r="F1758" t="inlineStr">
        <is>
          <t>专利年费缴纳情况</t>
        </is>
      </c>
      <c r="H1758" t="inlineStr">
        <is>
          <t>VARCHAR</t>
        </is>
      </c>
      <c r="I1758" t="inlineStr">
        <is>
          <t>200</t>
        </is>
      </c>
    </row>
    <row r="1759">
      <c r="A1759" t="inlineStr">
        <is>
          <t>可转让知识产权中的财产权</t>
        </is>
      </c>
      <c r="B1759" t="inlineStr">
        <is>
          <t>CLR_ASSET_OTHERS_TLPR</t>
        </is>
      </c>
      <c r="C1759" t="inlineStr">
        <is>
          <t>INPUTORGID</t>
        </is>
      </c>
      <c r="D1759" t="inlineStr">
        <is>
          <t>VARCHAR(32)</t>
        </is>
      </c>
      <c r="E1759" t="inlineStr">
        <is>
          <t>YES</t>
        </is>
      </c>
      <c r="F1759" t="inlineStr">
        <is>
          <t>登记机构</t>
        </is>
      </c>
      <c r="H1759" t="inlineStr">
        <is>
          <t>VARCHAR</t>
        </is>
      </c>
      <c r="I1759" t="inlineStr">
        <is>
          <t>32</t>
        </is>
      </c>
    </row>
    <row r="1760">
      <c r="A1760" t="inlineStr">
        <is>
          <t>可转让知识产权中的财产权</t>
        </is>
      </c>
      <c r="B1760" t="inlineStr">
        <is>
          <t>CLR_ASSET_OTHERS_TLPR</t>
        </is>
      </c>
      <c r="C1760" t="inlineStr">
        <is>
          <t>INPUTUSERID</t>
        </is>
      </c>
      <c r="D1760" t="inlineStr">
        <is>
          <t>VARCHAR(32)</t>
        </is>
      </c>
      <c r="E1760" t="inlineStr">
        <is>
          <t>YES</t>
        </is>
      </c>
      <c r="F1760" t="inlineStr">
        <is>
          <t>登记人</t>
        </is>
      </c>
      <c r="H1760" t="inlineStr">
        <is>
          <t>VARCHAR</t>
        </is>
      </c>
      <c r="I1760" t="inlineStr">
        <is>
          <t>32</t>
        </is>
      </c>
    </row>
    <row r="1761">
      <c r="A1761" t="inlineStr">
        <is>
          <t>可转让知识产权中的财产权</t>
        </is>
      </c>
      <c r="B1761" t="inlineStr">
        <is>
          <t>CLR_ASSET_OTHERS_TLPR</t>
        </is>
      </c>
      <c r="C1761" t="inlineStr">
        <is>
          <t>INPUTDATE</t>
        </is>
      </c>
      <c r="D1761" t="inlineStr">
        <is>
          <t>DATETIME</t>
        </is>
      </c>
      <c r="E1761" t="inlineStr">
        <is>
          <t>YES</t>
        </is>
      </c>
      <c r="F1761" t="inlineStr">
        <is>
          <t>登记日期</t>
        </is>
      </c>
      <c r="H1761" t="inlineStr">
        <is>
          <t>DATETIME</t>
        </is>
      </c>
    </row>
    <row r="1762">
      <c r="A1762" t="inlineStr">
        <is>
          <t>可转让知识产权中的财产权</t>
        </is>
      </c>
      <c r="B1762" t="inlineStr">
        <is>
          <t>CLR_ASSET_OTHERS_TLPR</t>
        </is>
      </c>
      <c r="C1762" t="inlineStr">
        <is>
          <t>UPDATEORGID</t>
        </is>
      </c>
      <c r="D1762" t="inlineStr">
        <is>
          <t>VARCHAR(32)</t>
        </is>
      </c>
      <c r="E1762" t="inlineStr">
        <is>
          <t>YES</t>
        </is>
      </c>
      <c r="F1762" t="inlineStr">
        <is>
          <t>更新机构</t>
        </is>
      </c>
      <c r="H1762" t="inlineStr">
        <is>
          <t>VARCHAR</t>
        </is>
      </c>
      <c r="I1762" t="inlineStr">
        <is>
          <t>32</t>
        </is>
      </c>
    </row>
    <row r="1763">
      <c r="A1763" t="inlineStr">
        <is>
          <t>可转让知识产权中的财产权</t>
        </is>
      </c>
      <c r="B1763" t="inlineStr">
        <is>
          <t>CLR_ASSET_OTHERS_TLPR</t>
        </is>
      </c>
      <c r="C1763" t="inlineStr">
        <is>
          <t>UPDATEUSERID</t>
        </is>
      </c>
      <c r="D1763" t="inlineStr">
        <is>
          <t>VARCHAR(32)</t>
        </is>
      </c>
      <c r="E1763" t="inlineStr">
        <is>
          <t>YES</t>
        </is>
      </c>
      <c r="F1763" t="inlineStr">
        <is>
          <t>更新人</t>
        </is>
      </c>
      <c r="H1763" t="inlineStr">
        <is>
          <t>VARCHAR</t>
        </is>
      </c>
      <c r="I1763" t="inlineStr">
        <is>
          <t>32</t>
        </is>
      </c>
    </row>
    <row r="1764">
      <c r="A1764" t="inlineStr">
        <is>
          <t>可转让知识产权中的财产权</t>
        </is>
      </c>
      <c r="B1764" t="inlineStr">
        <is>
          <t>CLR_ASSET_OTHERS_TLPR</t>
        </is>
      </c>
      <c r="C1764" t="inlineStr">
        <is>
          <t>UPDATEDATE</t>
        </is>
      </c>
      <c r="D1764" t="inlineStr">
        <is>
          <t>DATETIME</t>
        </is>
      </c>
      <c r="E1764" t="inlineStr">
        <is>
          <t>YES</t>
        </is>
      </c>
      <c r="F1764" t="inlineStr">
        <is>
          <t>更新日期</t>
        </is>
      </c>
      <c r="H1764" t="inlineStr">
        <is>
          <t>DATETIME</t>
        </is>
      </c>
    </row>
    <row r="1765">
      <c r="A1765" t="inlineStr">
        <is>
          <t>可转让知识产权中的财产权</t>
        </is>
      </c>
      <c r="B1765" t="inlineStr">
        <is>
          <t>CLR_ASSET_OTHERS_TLPR</t>
        </is>
      </c>
      <c r="C1765" t="inlineStr">
        <is>
          <t>REMARK</t>
        </is>
      </c>
      <c r="D1765" t="inlineStr">
        <is>
          <t>VARCHAR(500)</t>
        </is>
      </c>
      <c r="E1765" t="inlineStr">
        <is>
          <t>YES</t>
        </is>
      </c>
      <c r="F1765" t="inlineStr">
        <is>
          <t>备注</t>
        </is>
      </c>
      <c r="H1765" t="inlineStr">
        <is>
          <t>VARCHAR</t>
        </is>
      </c>
      <c r="I1765" t="inlineStr">
        <is>
          <t>500</t>
        </is>
      </c>
    </row>
    <row r="1766">
      <c r="A1766" t="inlineStr">
        <is>
          <t>可转让知识产权中的财产权</t>
        </is>
      </c>
      <c r="B1766" t="inlineStr">
        <is>
          <t>CLR_ASSET_OTHERS_TLPR</t>
        </is>
      </c>
      <c r="C1766" t="inlineStr">
        <is>
          <t>CORPORGID</t>
        </is>
      </c>
      <c r="D1766" t="inlineStr">
        <is>
          <t>VARCHAR(32)</t>
        </is>
      </c>
      <c r="E1766" t="inlineStr">
        <is>
          <t>YES</t>
        </is>
      </c>
      <c r="F1766" t="inlineStr">
        <is>
          <t>法人机构编号</t>
        </is>
      </c>
      <c r="H1766" t="inlineStr">
        <is>
          <t>VARCHAR</t>
        </is>
      </c>
      <c r="I1766" t="inlineStr">
        <is>
          <t>32</t>
        </is>
      </c>
    </row>
    <row r="1767">
      <c r="A1767" t="inlineStr">
        <is>
          <t>可转让知识产权中的财产权</t>
        </is>
      </c>
      <c r="B1767" t="inlineStr">
        <is>
          <t>CLR_ASSET_OTHERS_TLPR</t>
        </is>
      </c>
      <c r="C1767" t="inlineStr">
        <is>
          <t>ACQUISITIONCOST</t>
        </is>
      </c>
      <c r="D1767" t="inlineStr">
        <is>
          <t>VARCHAR(1000)</t>
        </is>
      </c>
      <c r="E1767" t="inlineStr">
        <is>
          <t>YES</t>
        </is>
      </c>
      <c r="F1767" t="inlineStr">
        <is>
          <t>专利取得成本</t>
        </is>
      </c>
      <c r="H1767" t="inlineStr">
        <is>
          <t>VARCHAR</t>
        </is>
      </c>
      <c r="I1767" t="inlineStr">
        <is>
          <t>1000</t>
        </is>
      </c>
    </row>
    <row r="1768">
      <c r="A1768" t="inlineStr">
        <is>
          <t>可转让知识产权中的财产权</t>
        </is>
      </c>
      <c r="B1768" t="inlineStr">
        <is>
          <t>CLR_ASSET_OTHERS_TLPR</t>
        </is>
      </c>
      <c r="C1768" t="inlineStr">
        <is>
          <t>TRADEMARKADDRESS</t>
        </is>
      </c>
      <c r="D1768" t="inlineStr">
        <is>
          <t>VARCHAR(100)</t>
        </is>
      </c>
      <c r="E1768" t="inlineStr">
        <is>
          <t>YES</t>
        </is>
      </c>
      <c r="F1768" t="inlineStr">
        <is>
          <t>商标注册地址</t>
        </is>
      </c>
      <c r="H1768" t="inlineStr">
        <is>
          <t>VARCHAR</t>
        </is>
      </c>
      <c r="I1768" t="inlineStr">
        <is>
          <t>100</t>
        </is>
      </c>
    </row>
    <row r="1769">
      <c r="A1769" t="inlineStr">
        <is>
          <t>可转让知识产权中的财产权</t>
        </is>
      </c>
      <c r="B1769" t="inlineStr">
        <is>
          <t>CLR_ASSET_OTHERS_TLPR</t>
        </is>
      </c>
      <c r="C1769" t="inlineStr">
        <is>
          <t>LOANCARDNO</t>
        </is>
      </c>
      <c r="D1769" t="inlineStr">
        <is>
          <t>VARCHAR(32)</t>
        </is>
      </c>
      <c r="E1769" t="inlineStr">
        <is>
          <t>YES</t>
        </is>
      </c>
      <c r="F1769" t="inlineStr">
        <is>
          <t>出质人贷款卡号</t>
        </is>
      </c>
      <c r="H1769" t="inlineStr">
        <is>
          <t>VARCHAR</t>
        </is>
      </c>
      <c r="I1769" t="inlineStr">
        <is>
          <t>32</t>
        </is>
      </c>
    </row>
    <row r="1770">
      <c r="A1770" t="inlineStr">
        <is>
          <t>可转让知识产权中的财产权</t>
        </is>
      </c>
      <c r="B1770" t="inlineStr">
        <is>
          <t>CLR_ASSET_OTHERS_TLPR</t>
        </is>
      </c>
      <c r="C1770" t="inlineStr">
        <is>
          <t>GUARANTYSUBTYPE</t>
        </is>
      </c>
      <c r="D1770" t="inlineStr">
        <is>
          <t>VARCHAR(6)</t>
        </is>
      </c>
      <c r="E1770" t="inlineStr">
        <is>
          <t>YES</t>
        </is>
      </c>
      <c r="F1770" t="inlineStr">
        <is>
          <t>收费权类型</t>
        </is>
      </c>
      <c r="H1770" t="inlineStr">
        <is>
          <t>VARCHAR</t>
        </is>
      </c>
      <c r="I1770" t="inlineStr">
        <is>
          <t>6</t>
        </is>
      </c>
    </row>
    <row r="1771">
      <c r="A1771" t="inlineStr">
        <is>
          <t>可转让知识产权中的财产权</t>
        </is>
      </c>
      <c r="B1771" t="inlineStr">
        <is>
          <t>CLR_ASSET_OTHERS_TLPR</t>
        </is>
      </c>
      <c r="C1771" t="inlineStr">
        <is>
          <t>CURRENCY</t>
        </is>
      </c>
      <c r="D1771" t="inlineStr">
        <is>
          <t>VARCHAR(18)</t>
        </is>
      </c>
      <c r="E1771" t="inlineStr">
        <is>
          <t>YES</t>
        </is>
      </c>
      <c r="F1771" t="inlineStr">
        <is>
          <t>币种</t>
        </is>
      </c>
      <c r="H1771" t="inlineStr">
        <is>
          <t>VARCHAR</t>
        </is>
      </c>
      <c r="I1771" t="inlineStr">
        <is>
          <t>18</t>
        </is>
      </c>
    </row>
    <row r="1772">
      <c r="A1772" t="inlineStr">
        <is>
          <t>可转让知识产权中的财产权</t>
        </is>
      </c>
      <c r="B1772" t="inlineStr">
        <is>
          <t>CLR_ASSET_OTHERS_TLPR</t>
        </is>
      </c>
      <c r="C1772" t="inlineStr">
        <is>
          <t>RIGHTCERTDOC</t>
        </is>
      </c>
      <c r="D1772" t="inlineStr">
        <is>
          <t>VARCHAR(200)</t>
        </is>
      </c>
      <c r="E1772" t="inlineStr">
        <is>
          <t>YES</t>
        </is>
      </c>
      <c r="F1772" t="inlineStr">
        <is>
          <t>权利证明文件</t>
        </is>
      </c>
      <c r="H1772" t="inlineStr">
        <is>
          <t>VARCHAR</t>
        </is>
      </c>
      <c r="I1772" t="inlineStr">
        <is>
          <t>200</t>
        </is>
      </c>
    </row>
    <row r="1773">
      <c r="A1773" t="inlineStr">
        <is>
          <t>可转让知识产权中的财产权</t>
        </is>
      </c>
      <c r="B1773" t="inlineStr">
        <is>
          <t>CLR_ASSET_OTHERS_TLPR</t>
        </is>
      </c>
      <c r="C1773" t="inlineStr">
        <is>
          <t>REALIZATIONVALUE</t>
        </is>
      </c>
      <c r="D1773" t="inlineStr">
        <is>
          <t>DECIMAL(24,6)</t>
        </is>
      </c>
      <c r="E1773" t="inlineStr">
        <is>
          <t>YES</t>
        </is>
      </c>
      <c r="F1773" t="inlineStr">
        <is>
          <t>预计变现值</t>
        </is>
      </c>
      <c r="H1773" t="inlineStr">
        <is>
          <t>DECIMAL</t>
        </is>
      </c>
      <c r="I1773" t="inlineStr">
        <is>
          <t>24,6</t>
        </is>
      </c>
    </row>
    <row r="1774">
      <c r="A1774" t="inlineStr">
        <is>
          <t>可转让知识产权中的财产权</t>
        </is>
      </c>
      <c r="B1774" t="inlineStr">
        <is>
          <t>CLR_ASSET_OTHERS_TLPR</t>
        </is>
      </c>
      <c r="C1774" t="inlineStr">
        <is>
          <t>REALIZATIONCOST</t>
        </is>
      </c>
      <c r="D1774" t="inlineStr">
        <is>
          <t>DECIMAL(24,6)</t>
        </is>
      </c>
      <c r="E1774" t="inlineStr">
        <is>
          <t>YES</t>
        </is>
      </c>
      <c r="F1774" t="inlineStr">
        <is>
          <t>预计变现成本</t>
        </is>
      </c>
      <c r="H1774" t="inlineStr">
        <is>
          <t>DECIMAL</t>
        </is>
      </c>
      <c r="I1774" t="inlineStr">
        <is>
          <t>24,6</t>
        </is>
      </c>
    </row>
    <row r="1775">
      <c r="A1775" t="inlineStr">
        <is>
          <t>可转让知识产权中的财产权</t>
        </is>
      </c>
      <c r="B1775" t="inlineStr">
        <is>
          <t>CLR_ASSET_OTHERS_TLPR</t>
        </is>
      </c>
      <c r="C1775" t="inlineStr">
        <is>
          <t>PATENTREMAIN</t>
        </is>
      </c>
      <c r="D1775" t="inlineStr">
        <is>
          <t>INTEGER(4)</t>
        </is>
      </c>
      <c r="E1775" t="inlineStr">
        <is>
          <t>YES</t>
        </is>
      </c>
      <c r="F1775" t="inlineStr">
        <is>
          <t>专利距离保护期届满时间（年）</t>
        </is>
      </c>
      <c r="H1775" t="inlineStr">
        <is>
          <t>INTEGER</t>
        </is>
      </c>
      <c r="I1775" t="inlineStr">
        <is>
          <t>4</t>
        </is>
      </c>
    </row>
    <row r="1776">
      <c r="A1776" t="inlineStr">
        <is>
          <t>可转让知识产权中的财产权</t>
        </is>
      </c>
      <c r="B1776" t="inlineStr">
        <is>
          <t>CLR_ASSET_OTHERS_TLPR</t>
        </is>
      </c>
      <c r="C1776" t="inlineStr">
        <is>
          <t>COPYRIGHTSCOPE</t>
        </is>
      </c>
      <c r="D1776" t="inlineStr">
        <is>
          <t>VARCHAR(200)</t>
        </is>
      </c>
      <c r="E1776" t="inlineStr">
        <is>
          <t>YES</t>
        </is>
      </c>
      <c r="F1776" t="inlineStr">
        <is>
          <t>著作权权利范围</t>
        </is>
      </c>
      <c r="H1776" t="inlineStr">
        <is>
          <t>VARCHAR</t>
        </is>
      </c>
      <c r="I1776" t="inlineStr">
        <is>
          <t>200</t>
        </is>
      </c>
    </row>
    <row r="1777">
      <c r="A1777" t="inlineStr">
        <is>
          <t>房地产/土地使用权/在建工程</t>
        </is>
      </c>
      <c r="B1777" t="inlineStr">
        <is>
          <t>CLR_ASSET_REALTY</t>
        </is>
      </c>
      <c r="C1777" t="inlineStr">
        <is>
          <t>CLRID</t>
        </is>
      </c>
      <c r="D1777" t="inlineStr">
        <is>
          <t>VARCHAR(32)</t>
        </is>
      </c>
      <c r="E1777" t="inlineStr">
        <is>
          <t>NO</t>
        </is>
      </c>
      <c r="F1777" t="inlineStr">
        <is>
          <t>押品编号</t>
        </is>
      </c>
      <c r="H1777" t="inlineStr">
        <is>
          <t>VARCHAR</t>
        </is>
      </c>
      <c r="I1777" t="inlineStr">
        <is>
          <t>32</t>
        </is>
      </c>
    </row>
    <row r="1778">
      <c r="A1778" t="inlineStr">
        <is>
          <t>房地产/土地使用权/在建工程</t>
        </is>
      </c>
      <c r="B1778" t="inlineStr">
        <is>
          <t>CLR_ASSET_REALTY</t>
        </is>
      </c>
      <c r="C1778" t="inlineStr">
        <is>
          <t>REALESTATEID</t>
        </is>
      </c>
      <c r="D1778" t="inlineStr">
        <is>
          <t>VARCHAR(32)</t>
        </is>
      </c>
      <c r="E1778" t="inlineStr">
        <is>
          <t>YES</t>
        </is>
      </c>
      <c r="F1778" t="inlineStr">
        <is>
          <t>楼盘编号</t>
        </is>
      </c>
      <c r="H1778" t="inlineStr">
        <is>
          <t>VARCHAR</t>
        </is>
      </c>
      <c r="I1778" t="inlineStr">
        <is>
          <t>32</t>
        </is>
      </c>
    </row>
    <row r="1779">
      <c r="A1779" t="inlineStr">
        <is>
          <t>房地产/土地使用权/在建工程</t>
        </is>
      </c>
      <c r="B1779" t="inlineStr">
        <is>
          <t>CLR_ASSET_REALTY</t>
        </is>
      </c>
      <c r="C1779" t="inlineStr">
        <is>
          <t>LANDLEVEL</t>
        </is>
      </c>
      <c r="D1779" t="inlineStr">
        <is>
          <t>VARCHAR(6)</t>
        </is>
      </c>
      <c r="E1779" t="inlineStr">
        <is>
          <t>YES</t>
        </is>
      </c>
      <c r="F1779" t="inlineStr">
        <is>
          <t>土地分级</t>
        </is>
      </c>
      <c r="H1779" t="inlineStr">
        <is>
          <t>VARCHAR</t>
        </is>
      </c>
      <c r="I1779" t="inlineStr">
        <is>
          <t>6</t>
        </is>
      </c>
    </row>
    <row r="1780">
      <c r="A1780" t="inlineStr">
        <is>
          <t>房地产/土地使用权/在建工程</t>
        </is>
      </c>
      <c r="B1780" t="inlineStr">
        <is>
          <t>CLR_ASSET_REALTY</t>
        </is>
      </c>
      <c r="C1780" t="inlineStr">
        <is>
          <t>LANDNAME</t>
        </is>
      </c>
      <c r="D1780" t="inlineStr">
        <is>
          <t>VARCHAR(80)</t>
        </is>
      </c>
      <c r="E1780" t="inlineStr">
        <is>
          <t>YES</t>
        </is>
      </c>
      <c r="F1780" t="inlineStr">
        <is>
          <t>土地名称</t>
        </is>
      </c>
      <c r="H1780" t="inlineStr">
        <is>
          <t>VARCHAR</t>
        </is>
      </c>
      <c r="I1780" t="inlineStr">
        <is>
          <t>80</t>
        </is>
      </c>
    </row>
    <row r="1781">
      <c r="A1781" t="inlineStr">
        <is>
          <t>房地产/土地使用权/在建工程</t>
        </is>
      </c>
      <c r="B1781" t="inlineStr">
        <is>
          <t>CLR_ASSET_REALTY</t>
        </is>
      </c>
      <c r="C1781" t="inlineStr">
        <is>
          <t>LANDPURPOSE</t>
        </is>
      </c>
      <c r="D1781" t="inlineStr">
        <is>
          <t>VARCHAR(6)</t>
        </is>
      </c>
      <c r="E1781" t="inlineStr">
        <is>
          <t>YES</t>
        </is>
      </c>
      <c r="F1781" t="inlineStr">
        <is>
          <t>土地用途</t>
        </is>
      </c>
      <c r="H1781" t="inlineStr">
        <is>
          <t>VARCHAR</t>
        </is>
      </c>
      <c r="I1781" t="inlineStr">
        <is>
          <t>6</t>
        </is>
      </c>
    </row>
    <row r="1782">
      <c r="A1782" t="inlineStr">
        <is>
          <t>房地产/土地使用权/在建工程</t>
        </is>
      </c>
      <c r="B1782" t="inlineStr">
        <is>
          <t>CLR_ASSET_REALTY</t>
        </is>
      </c>
      <c r="C1782" t="inlineStr">
        <is>
          <t>REALTYPRESELLCONTRACTNO</t>
        </is>
      </c>
      <c r="D1782" t="inlineStr">
        <is>
          <t>VARCHAR(32)</t>
        </is>
      </c>
      <c r="E1782" t="inlineStr">
        <is>
          <t>YES</t>
        </is>
      </c>
      <c r="F1782" t="inlineStr">
        <is>
          <t>房屋预售合同号/房屋购买合同号</t>
        </is>
      </c>
      <c r="H1782" t="inlineStr">
        <is>
          <t>VARCHAR</t>
        </is>
      </c>
      <c r="I1782" t="inlineStr">
        <is>
          <t>32</t>
        </is>
      </c>
    </row>
    <row r="1783">
      <c r="A1783" t="inlineStr">
        <is>
          <t>房地产/土地使用权/在建工程</t>
        </is>
      </c>
      <c r="B1783" t="inlineStr">
        <is>
          <t>CLR_ASSET_REALTY</t>
        </is>
      </c>
      <c r="C1783" t="inlineStr">
        <is>
          <t>REALTYCERTID</t>
        </is>
      </c>
      <c r="D1783" t="inlineStr">
        <is>
          <t>VARCHAR(32)</t>
        </is>
      </c>
      <c r="E1783" t="inlineStr">
        <is>
          <t>YES</t>
        </is>
      </c>
      <c r="F1783" t="inlineStr">
        <is>
          <t>房产证编号/在建类房产证编号/房屋所有权证号/农村房屋产权证编号</t>
        </is>
      </c>
      <c r="H1783" t="inlineStr">
        <is>
          <t>VARCHAR</t>
        </is>
      </c>
      <c r="I1783" t="inlineStr">
        <is>
          <t>32</t>
        </is>
      </c>
    </row>
    <row r="1784">
      <c r="A1784" t="inlineStr">
        <is>
          <t>房地产/土地使用权/在建工程</t>
        </is>
      </c>
      <c r="B1784" t="inlineStr">
        <is>
          <t>CLR_ASSET_REALTY</t>
        </is>
      </c>
      <c r="C1784" t="inlineStr">
        <is>
          <t>REALTYDEVELOPERNAME</t>
        </is>
      </c>
      <c r="D1784" t="inlineStr">
        <is>
          <t>VARCHAR(500)</t>
        </is>
      </c>
      <c r="E1784" t="inlineStr">
        <is>
          <t>YES</t>
        </is>
      </c>
      <c r="F1784" t="inlineStr">
        <is>
          <t>房产开发商名称/地上附着物名称/在建类房产开发商名称</t>
        </is>
      </c>
      <c r="H1784" t="inlineStr">
        <is>
          <t>VARCHAR</t>
        </is>
      </c>
      <c r="I1784" t="inlineStr">
        <is>
          <t>500</t>
        </is>
      </c>
    </row>
    <row r="1785">
      <c r="A1785" t="inlineStr">
        <is>
          <t>房地产/土地使用权/在建工程</t>
        </is>
      </c>
      <c r="B1785" t="inlineStr">
        <is>
          <t>CLR_ASSET_REALTY</t>
        </is>
      </c>
      <c r="C1785" t="inlineStr">
        <is>
          <t>REALTYZIPCODE</t>
        </is>
      </c>
      <c r="D1785" t="inlineStr">
        <is>
          <t>VARCHAR(32)</t>
        </is>
      </c>
      <c r="E1785" t="inlineStr">
        <is>
          <t>YES</t>
        </is>
      </c>
      <c r="F1785" t="inlineStr">
        <is>
          <t>房产邮政编码/在建类房产的邮政编码</t>
        </is>
      </c>
      <c r="H1785" t="inlineStr">
        <is>
          <t>VARCHAR</t>
        </is>
      </c>
      <c r="I1785" t="inlineStr">
        <is>
          <t>32</t>
        </is>
      </c>
    </row>
    <row r="1786">
      <c r="A1786" t="inlineStr">
        <is>
          <t>房地产/土地使用权/在建工程</t>
        </is>
      </c>
      <c r="B1786" t="inlineStr">
        <is>
          <t>CLR_ASSET_REALTY</t>
        </is>
      </c>
      <c r="C1786" t="inlineStr">
        <is>
          <t>REALTYLANDNO</t>
        </is>
      </c>
      <c r="D1786" t="inlineStr">
        <is>
          <t>VARCHAR(80)</t>
        </is>
      </c>
      <c r="E1786" t="inlineStr">
        <is>
          <t>YES</t>
        </is>
      </c>
      <c r="F1786" t="inlineStr">
        <is>
          <t>房产地号/宗地编号/在建类房产的地号</t>
        </is>
      </c>
      <c r="H1786" t="inlineStr">
        <is>
          <t>VARCHAR</t>
        </is>
      </c>
      <c r="I1786" t="inlineStr">
        <is>
          <t>80</t>
        </is>
      </c>
    </row>
    <row r="1787">
      <c r="A1787" t="inlineStr">
        <is>
          <t>房地产/土地使用权/在建工程</t>
        </is>
      </c>
      <c r="B1787" t="inlineStr">
        <is>
          <t>CLR_ASSET_REALTY</t>
        </is>
      </c>
      <c r="C1787" t="inlineStr">
        <is>
          <t>PROJECTNAME</t>
        </is>
      </c>
      <c r="D1787" t="inlineStr">
        <is>
          <t>VARCHAR(80)</t>
        </is>
      </c>
      <c r="E1787" t="inlineStr">
        <is>
          <t>YES</t>
        </is>
      </c>
      <c r="F1787" t="inlineStr">
        <is>
          <t>房产开发项目名称</t>
        </is>
      </c>
      <c r="H1787" t="inlineStr">
        <is>
          <t>VARCHAR</t>
        </is>
      </c>
      <c r="I1787" t="inlineStr">
        <is>
          <t>80</t>
        </is>
      </c>
    </row>
    <row r="1788">
      <c r="A1788" t="inlineStr">
        <is>
          <t>房地产/土地使用权/在建工程</t>
        </is>
      </c>
      <c r="B1788" t="inlineStr">
        <is>
          <t>CLR_ASSET_REALTY</t>
        </is>
      </c>
      <c r="C1788" t="inlineStr">
        <is>
          <t>LANDUSER</t>
        </is>
      </c>
      <c r="D1788" t="inlineStr">
        <is>
          <t>VARCHAR(80)</t>
        </is>
      </c>
      <c r="E1788" t="inlineStr">
        <is>
          <t>YES</t>
        </is>
      </c>
      <c r="F1788" t="inlineStr">
        <is>
          <t>土地使用权人/使用权所有人/房产持有者/使用权所有人/宅基地所有权权利人名称</t>
        </is>
      </c>
      <c r="H1788" t="inlineStr">
        <is>
          <t>VARCHAR</t>
        </is>
      </c>
      <c r="I1788" t="inlineStr">
        <is>
          <t>80</t>
        </is>
      </c>
    </row>
    <row r="1789">
      <c r="A1789" t="inlineStr">
        <is>
          <t>房地产/土地使用权/在建工程</t>
        </is>
      </c>
      <c r="B1789" t="inlineStr">
        <is>
          <t>CLR_ASSET_REALTY</t>
        </is>
      </c>
      <c r="C1789" t="inlineStr">
        <is>
          <t>LANDCERTID</t>
        </is>
      </c>
      <c r="D1789" t="inlineStr">
        <is>
          <t>VARCHAR(32)</t>
        </is>
      </c>
      <c r="E1789" t="inlineStr">
        <is>
          <t>YES</t>
        </is>
      </c>
      <c r="F1789" t="inlineStr">
        <is>
          <t>土地使用权证号/在建类房产土地使用权证编号</t>
        </is>
      </c>
      <c r="H1789" t="inlineStr">
        <is>
          <t>VARCHAR</t>
        </is>
      </c>
      <c r="I1789" t="inlineStr">
        <is>
          <t>32</t>
        </is>
      </c>
    </row>
    <row r="1790">
      <c r="A1790" t="inlineStr">
        <is>
          <t>房地产/土地使用权/在建工程</t>
        </is>
      </c>
      <c r="B1790" t="inlineStr">
        <is>
          <t>CLR_ASSET_REALTY</t>
        </is>
      </c>
      <c r="C1790" t="inlineStr">
        <is>
          <t>BUILDINGLANDUSER</t>
        </is>
      </c>
      <c r="D1790" t="inlineStr">
        <is>
          <t>VARCHAR(200)</t>
        </is>
      </c>
      <c r="E1790" t="inlineStr">
        <is>
          <t>YES</t>
        </is>
      </c>
      <c r="F1790" t="inlineStr">
        <is>
          <t>在建类房产所属土地使用权人</t>
        </is>
      </c>
      <c r="H1790" t="inlineStr">
        <is>
          <t>VARCHAR</t>
        </is>
      </c>
      <c r="I1790" t="inlineStr">
        <is>
          <t>200</t>
        </is>
      </c>
    </row>
    <row r="1791">
      <c r="A1791" t="inlineStr">
        <is>
          <t>房地产/土地使用权/在建工程</t>
        </is>
      </c>
      <c r="B1791" t="inlineStr">
        <is>
          <t>CLR_ASSET_REALTY</t>
        </is>
      </c>
      <c r="C1791" t="inlineStr">
        <is>
          <t>RIGHTSOURCE</t>
        </is>
      </c>
      <c r="D1791" t="inlineStr">
        <is>
          <t>VARCHAR(6)</t>
        </is>
      </c>
      <c r="E1791" t="inlineStr">
        <is>
          <t>YES</t>
        </is>
      </c>
      <c r="F1791" t="inlineStr">
        <is>
          <t>房屋所有权来源/土地取得方式/获取方式</t>
        </is>
      </c>
      <c r="H1791" t="inlineStr">
        <is>
          <t>VARCHAR</t>
        </is>
      </c>
      <c r="I1791" t="inlineStr">
        <is>
          <t>6</t>
        </is>
      </c>
    </row>
    <row r="1792">
      <c r="A1792" t="inlineStr">
        <is>
          <t>房地产/土地使用权/在建工程</t>
        </is>
      </c>
      <c r="B1792" t="inlineStr">
        <is>
          <t>CLR_ASSET_REALTY</t>
        </is>
      </c>
      <c r="C1792" t="inlineStr">
        <is>
          <t>HOUSESHARE</t>
        </is>
      </c>
      <c r="D1792" t="inlineStr">
        <is>
          <t>DECIMAL(18,8)</t>
        </is>
      </c>
      <c r="E1792" t="inlineStr">
        <is>
          <t>YES</t>
        </is>
      </c>
      <c r="F1792" t="inlineStr">
        <is>
          <t>占用房屋份额</t>
        </is>
      </c>
      <c r="H1792" t="inlineStr">
        <is>
          <t>DECIMAL</t>
        </is>
      </c>
      <c r="I1792" t="inlineStr">
        <is>
          <t>18,8</t>
        </is>
      </c>
    </row>
    <row r="1793">
      <c r="A1793" t="inlineStr">
        <is>
          <t>房地产/土地使用权/在建工程</t>
        </is>
      </c>
      <c r="B1793" t="inlineStr">
        <is>
          <t>CLR_ASSET_REALTY</t>
        </is>
      </c>
      <c r="C1793" t="inlineStr">
        <is>
          <t>FLOORAREA</t>
        </is>
      </c>
      <c r="D1793" t="inlineStr">
        <is>
          <t>DECIMAL(18,2)</t>
        </is>
      </c>
      <c r="E1793" t="inlineStr">
        <is>
          <t>YES</t>
        </is>
      </c>
      <c r="F1793" t="inlineStr">
        <is>
          <t>建筑面积/土地面积</t>
        </is>
      </c>
      <c r="H1793" t="inlineStr">
        <is>
          <t>DECIMAL</t>
        </is>
      </c>
      <c r="I1793" t="inlineStr">
        <is>
          <t>18,2</t>
        </is>
      </c>
    </row>
    <row r="1794">
      <c r="A1794" t="inlineStr">
        <is>
          <t>房地产/土地使用权/在建工程</t>
        </is>
      </c>
      <c r="B1794" t="inlineStr">
        <is>
          <t>CLR_ASSET_REALTY</t>
        </is>
      </c>
      <c r="C1794" t="inlineStr">
        <is>
          <t>USEAREA</t>
        </is>
      </c>
      <c r="D1794" t="inlineStr">
        <is>
          <t>DECIMAL(18,2)</t>
        </is>
      </c>
      <c r="E1794" t="inlineStr">
        <is>
          <t>YES</t>
        </is>
      </c>
      <c r="F1794" t="inlineStr">
        <is>
          <t>使用面积/土地/在建工程使用权面积</t>
        </is>
      </c>
      <c r="H1794" t="inlineStr">
        <is>
          <t>DECIMAL</t>
        </is>
      </c>
      <c r="I1794" t="inlineStr">
        <is>
          <t>18,2</t>
        </is>
      </c>
    </row>
    <row r="1795">
      <c r="A1795" t="inlineStr">
        <is>
          <t>房地产/土地使用权/在建工程</t>
        </is>
      </c>
      <c r="B1795" t="inlineStr">
        <is>
          <t>CLR_ASSET_REALTY</t>
        </is>
      </c>
      <c r="C1795" t="inlineStr">
        <is>
          <t>LANDATTAREA</t>
        </is>
      </c>
      <c r="D1795" t="inlineStr">
        <is>
          <t>DECIMAL(18,2)</t>
        </is>
      </c>
      <c r="E1795" t="inlineStr">
        <is>
          <t>YES</t>
        </is>
      </c>
      <c r="F1795" t="inlineStr">
        <is>
          <t>地上附着物面积</t>
        </is>
      </c>
      <c r="H1795" t="inlineStr">
        <is>
          <t>DECIMAL</t>
        </is>
      </c>
      <c r="I1795" t="inlineStr">
        <is>
          <t>18,2</t>
        </is>
      </c>
    </row>
    <row r="1796">
      <c r="A1796" t="inlineStr">
        <is>
          <t>房地产/土地使用权/在建工程</t>
        </is>
      </c>
      <c r="B1796" t="inlineStr">
        <is>
          <t>CLR_ASSET_REALTY</t>
        </is>
      </c>
      <c r="C1796" t="inlineStr">
        <is>
          <t>ABOVEGROUNDAREA</t>
        </is>
      </c>
      <c r="D1796" t="inlineStr">
        <is>
          <t>DECIMAL(18,2)</t>
        </is>
      </c>
      <c r="E1796" t="inlineStr">
        <is>
          <t>YES</t>
        </is>
      </c>
      <c r="F1796" t="inlineStr">
        <is>
          <t>地上建筑总面积;M2）</t>
        </is>
      </c>
      <c r="H1796" t="inlineStr">
        <is>
          <t>DECIMAL</t>
        </is>
      </c>
      <c r="I1796" t="inlineStr">
        <is>
          <t>18,2</t>
        </is>
      </c>
    </row>
    <row r="1797">
      <c r="A1797" t="inlineStr">
        <is>
          <t>房地产/土地使用权/在建工程</t>
        </is>
      </c>
      <c r="B1797" t="inlineStr">
        <is>
          <t>CLR_ASSET_REALTY</t>
        </is>
      </c>
      <c r="C1797" t="inlineStr">
        <is>
          <t>UNDERGROUNDAREA</t>
        </is>
      </c>
      <c r="D1797" t="inlineStr">
        <is>
          <t>DECIMAL(18,2)</t>
        </is>
      </c>
      <c r="E1797" t="inlineStr">
        <is>
          <t>YES</t>
        </is>
      </c>
      <c r="F1797" t="inlineStr">
        <is>
          <t>地下建筑总面积;M2）</t>
        </is>
      </c>
      <c r="H1797" t="inlineStr">
        <is>
          <t>DECIMAL</t>
        </is>
      </c>
      <c r="I1797" t="inlineStr">
        <is>
          <t>18,2</t>
        </is>
      </c>
    </row>
    <row r="1798">
      <c r="A1798" t="inlineStr">
        <is>
          <t>房地产/土地使用权/在建工程</t>
        </is>
      </c>
      <c r="B1798" t="inlineStr">
        <is>
          <t>CLR_ASSET_REALTY</t>
        </is>
      </c>
      <c r="C1798" t="inlineStr">
        <is>
          <t>LANDUSETYPE</t>
        </is>
      </c>
      <c r="D1798" t="inlineStr">
        <is>
          <t>VARCHAR(6)</t>
        </is>
      </c>
      <c r="E1798" t="inlineStr">
        <is>
          <t>YES</t>
        </is>
      </c>
      <c r="F1798" t="inlineStr">
        <is>
          <t>所属土地使用权类型/土地性质</t>
        </is>
      </c>
      <c r="H1798" t="inlineStr">
        <is>
          <t>VARCHAR</t>
        </is>
      </c>
      <c r="I1798" t="inlineStr">
        <is>
          <t>6</t>
        </is>
      </c>
    </row>
    <row r="1799">
      <c r="A1799" t="inlineStr">
        <is>
          <t>房地产/土地使用权/在建工程</t>
        </is>
      </c>
      <c r="B1799" t="inlineStr">
        <is>
          <t>CLR_ASSET_REALTY</t>
        </is>
      </c>
      <c r="C1799" t="inlineStr">
        <is>
          <t>REALTYTYPE</t>
        </is>
      </c>
      <c r="D1799" t="inlineStr">
        <is>
          <t>VARCHAR(6)</t>
        </is>
      </c>
      <c r="E1799" t="inlineStr">
        <is>
          <t>YES</t>
        </is>
      </c>
      <c r="F1799" t="inlineStr">
        <is>
          <t>房产类型/工业房地产类别</t>
        </is>
      </c>
      <c r="H1799" t="inlineStr">
        <is>
          <t>VARCHAR</t>
        </is>
      </c>
      <c r="I1799" t="inlineStr">
        <is>
          <t>6</t>
        </is>
      </c>
    </row>
    <row r="1800">
      <c r="A1800" t="inlineStr">
        <is>
          <t>房地产/土地使用权/在建工程</t>
        </is>
      </c>
      <c r="B1800" t="inlineStr">
        <is>
          <t>CLR_ASSET_REALTY</t>
        </is>
      </c>
      <c r="C1800" t="inlineStr">
        <is>
          <t>REMAININGUSEYEARS</t>
        </is>
      </c>
      <c r="D1800" t="inlineStr">
        <is>
          <t>INT</t>
        </is>
      </c>
      <c r="E1800" t="inlineStr">
        <is>
          <t>YES</t>
        </is>
      </c>
      <c r="F1800" t="inlineStr">
        <is>
          <t>所在土地的剩余使用年限;计算)/土地剩余使用年限/在建类房产所属土地的剩余使用年限</t>
        </is>
      </c>
      <c r="H1800" t="inlineStr">
        <is>
          <t>INT</t>
        </is>
      </c>
    </row>
    <row r="1801">
      <c r="A1801" t="inlineStr">
        <is>
          <t>房地产/土地使用权/在建工程</t>
        </is>
      </c>
      <c r="B1801" t="inlineStr">
        <is>
          <t>CLR_ASSET_REALTY</t>
        </is>
      </c>
      <c r="C1801" t="inlineStr">
        <is>
          <t>BUILDINGYEARS</t>
        </is>
      </c>
      <c r="D1801" t="inlineStr">
        <is>
          <t>INT</t>
        </is>
      </c>
      <c r="E1801" t="inlineStr">
        <is>
          <t>YES</t>
        </is>
      </c>
      <c r="F1801" t="inlineStr">
        <is>
          <t>建筑物年限</t>
        </is>
      </c>
      <c r="H1801" t="inlineStr">
        <is>
          <t>INT</t>
        </is>
      </c>
    </row>
    <row r="1802">
      <c r="A1802" t="inlineStr">
        <is>
          <t>房地产/土地使用权/在建工程</t>
        </is>
      </c>
      <c r="B1802" t="inlineStr">
        <is>
          <t>CLR_ASSET_REALTY</t>
        </is>
      </c>
      <c r="C1802" t="inlineStr">
        <is>
          <t>LANDUSEDUEDATE</t>
        </is>
      </c>
      <c r="D1802" t="inlineStr">
        <is>
          <t>DATE</t>
        </is>
      </c>
      <c r="E1802" t="inlineStr">
        <is>
          <t>YES</t>
        </is>
      </c>
      <c r="F1802" t="inlineStr">
        <is>
          <t>土地使用权到期日</t>
        </is>
      </c>
      <c r="H1802" t="inlineStr">
        <is>
          <t>DATE</t>
        </is>
      </c>
    </row>
    <row r="1803">
      <c r="A1803" t="inlineStr">
        <is>
          <t>房地产/土地使用权/在建工程</t>
        </is>
      </c>
      <c r="B1803" t="inlineStr">
        <is>
          <t>CLR_ASSET_REALTY</t>
        </is>
      </c>
      <c r="C1803" t="inlineStr">
        <is>
          <t>STANDARDUSEYEARS</t>
        </is>
      </c>
      <c r="D1803" t="inlineStr">
        <is>
          <t>INT</t>
        </is>
      </c>
      <c r="E1803" t="inlineStr">
        <is>
          <t>YES</t>
        </is>
      </c>
      <c r="F1803" t="inlineStr">
        <is>
          <t>标准使用权年限/土地法定使用年限/房产合理工期;年)</t>
        </is>
      </c>
      <c r="H1803" t="inlineStr">
        <is>
          <t>INT</t>
        </is>
      </c>
    </row>
    <row r="1804">
      <c r="A1804" t="inlineStr">
        <is>
          <t>房地产/土地使用权/在建工程</t>
        </is>
      </c>
      <c r="B1804" t="inlineStr">
        <is>
          <t>CLR_ASSET_REALTY</t>
        </is>
      </c>
      <c r="C1804" t="inlineStr">
        <is>
          <t>COMPLETIONDATE</t>
        </is>
      </c>
      <c r="D1804" t="inlineStr">
        <is>
          <t>DATETIME</t>
        </is>
      </c>
      <c r="E1804" t="inlineStr">
        <is>
          <t>YES</t>
        </is>
      </c>
      <c r="F1804" t="inlineStr">
        <is>
          <t>竣工日期/土地使用起始日/购入日期/土地购入日期/竣工验收日期</t>
        </is>
      </c>
      <c r="H1804" t="inlineStr">
        <is>
          <t>DATETIME</t>
        </is>
      </c>
    </row>
    <row r="1805">
      <c r="A1805" t="inlineStr">
        <is>
          <t>房地产/土地使用权/在建工程</t>
        </is>
      </c>
      <c r="B1805" t="inlineStr">
        <is>
          <t>CLR_ASSET_REALTY</t>
        </is>
      </c>
      <c r="C1805" t="inlineStr">
        <is>
          <t>DELIVERYDATE</t>
        </is>
      </c>
      <c r="D1805" t="inlineStr">
        <is>
          <t>DATETIME</t>
        </is>
      </c>
      <c r="E1805" t="inlineStr">
        <is>
          <t>YES</t>
        </is>
      </c>
      <c r="F1805" t="inlineStr">
        <is>
          <t>交房日期/房屋建成时间</t>
        </is>
      </c>
      <c r="H1805" t="inlineStr">
        <is>
          <t>DATETIME</t>
        </is>
      </c>
    </row>
    <row r="1806">
      <c r="A1806" t="inlineStr">
        <is>
          <t>房地产/土地使用权/在建工程</t>
        </is>
      </c>
      <c r="B1806" t="inlineStr">
        <is>
          <t>CLR_ASSET_REALTY</t>
        </is>
      </c>
      <c r="C1806" t="inlineStr">
        <is>
          <t>BUILDINGDENSITY</t>
        </is>
      </c>
      <c r="D1806" t="inlineStr">
        <is>
          <t>DECIMAL(18,8)</t>
        </is>
      </c>
      <c r="E1806" t="inlineStr">
        <is>
          <t>YES</t>
        </is>
      </c>
      <c r="F1806" t="inlineStr">
        <is>
          <t>建筑密度</t>
        </is>
      </c>
      <c r="H1806" t="inlineStr">
        <is>
          <t>DECIMAL</t>
        </is>
      </c>
      <c r="I1806" t="inlineStr">
        <is>
          <t>18,8</t>
        </is>
      </c>
    </row>
    <row r="1807">
      <c r="A1807" t="inlineStr">
        <is>
          <t>房地产/土地使用权/在建工程</t>
        </is>
      </c>
      <c r="B1807" t="inlineStr">
        <is>
          <t>CLR_ASSET_REALTY</t>
        </is>
      </c>
      <c r="C1807" t="inlineStr">
        <is>
          <t>PLOTRATIO</t>
        </is>
      </c>
      <c r="D1807" t="inlineStr">
        <is>
          <t>DECIMAL(18,8)</t>
        </is>
      </c>
      <c r="E1807" t="inlineStr">
        <is>
          <t>YES</t>
        </is>
      </c>
      <c r="F1807" t="inlineStr">
        <is>
          <t>容积率</t>
        </is>
      </c>
      <c r="H1807" t="inlineStr">
        <is>
          <t>DECIMAL</t>
        </is>
      </c>
      <c r="I1807" t="inlineStr">
        <is>
          <t>18,8</t>
        </is>
      </c>
    </row>
    <row r="1808">
      <c r="A1808" t="inlineStr">
        <is>
          <t>房地产/土地使用权/在建工程</t>
        </is>
      </c>
      <c r="B1808" t="inlineStr">
        <is>
          <t>CLR_ASSET_REALTY</t>
        </is>
      </c>
      <c r="C1808" t="inlineStr">
        <is>
          <t>INFRASTRUCTURE</t>
        </is>
      </c>
      <c r="D1808" t="inlineStr">
        <is>
          <t>VARCHAR(500)</t>
        </is>
      </c>
      <c r="E1808" t="inlineStr">
        <is>
          <t>YES</t>
        </is>
      </c>
      <c r="F1808" t="inlineStr">
        <is>
          <t>基础设施情况描述</t>
        </is>
      </c>
      <c r="H1808" t="inlineStr">
        <is>
          <t>VARCHAR</t>
        </is>
      </c>
      <c r="I1808" t="inlineStr">
        <is>
          <t>500</t>
        </is>
      </c>
    </row>
    <row r="1809">
      <c r="A1809" t="inlineStr">
        <is>
          <t>房地产/土地使用权/在建工程</t>
        </is>
      </c>
      <c r="B1809" t="inlineStr">
        <is>
          <t>CLR_ASSET_REALTY</t>
        </is>
      </c>
      <c r="C1809" t="inlineStr">
        <is>
          <t>VACANCYTIME</t>
        </is>
      </c>
      <c r="D1809" t="inlineStr">
        <is>
          <t>INT</t>
        </is>
      </c>
      <c r="E1809" t="inlineStr">
        <is>
          <t>YES</t>
        </is>
      </c>
      <c r="F1809" t="inlineStr">
        <is>
          <t>房产空置时间/土地闲置时间</t>
        </is>
      </c>
      <c r="H1809" t="inlineStr">
        <is>
          <t>INT</t>
        </is>
      </c>
    </row>
    <row r="1810">
      <c r="A1810" t="inlineStr">
        <is>
          <t>房地产/土地使用权/在建工程</t>
        </is>
      </c>
      <c r="B1810" t="inlineStr">
        <is>
          <t>CLR_ASSET_REALTY</t>
        </is>
      </c>
      <c r="C1810" t="inlineStr">
        <is>
          <t>URBANPLANNING</t>
        </is>
      </c>
      <c r="D1810" t="inlineStr">
        <is>
          <t>VARCHAR(500)</t>
        </is>
      </c>
      <c r="E1810" t="inlineStr">
        <is>
          <t>YES</t>
        </is>
      </c>
      <c r="F1810" t="inlineStr">
        <is>
          <t>所在区域当前或未来的城市规划计划或特殊政策/;土地)当前或未来押品所在区域的城市规划计划或特殊政策</t>
        </is>
      </c>
      <c r="H1810" t="inlineStr">
        <is>
          <t>VARCHAR</t>
        </is>
      </c>
      <c r="I1810" t="inlineStr">
        <is>
          <t>500</t>
        </is>
      </c>
    </row>
    <row r="1811">
      <c r="A1811" t="inlineStr">
        <is>
          <t>房地产/土地使用权/在建工程</t>
        </is>
      </c>
      <c r="B1811" t="inlineStr">
        <is>
          <t>CLR_ASSET_REALTY</t>
        </is>
      </c>
      <c r="C1811" t="inlineStr">
        <is>
          <t>LURAREA</t>
        </is>
      </c>
      <c r="D1811" t="inlineStr">
        <is>
          <t>DECIMAL(18,2)</t>
        </is>
      </c>
      <c r="E1811" t="inlineStr">
        <is>
          <t>YES</t>
        </is>
      </c>
      <c r="F1811" t="inlineStr">
        <is>
          <t>房产的土地使用权面积;商办/工业)/所属土地使用权面积</t>
        </is>
      </c>
      <c r="H1811" t="inlineStr">
        <is>
          <t>DECIMAL</t>
        </is>
      </c>
      <c r="I1811" t="inlineStr">
        <is>
          <t>18,2</t>
        </is>
      </c>
    </row>
    <row r="1812">
      <c r="A1812" t="inlineStr">
        <is>
          <t>房地产/土地使用权/在建工程</t>
        </is>
      </c>
      <c r="B1812" t="inlineStr">
        <is>
          <t>CLR_ASSET_REALTY</t>
        </is>
      </c>
      <c r="C1812" t="inlineStr">
        <is>
          <t>LURPRICE</t>
        </is>
      </c>
      <c r="D1812" t="inlineStr">
        <is>
          <t>DECIMAL(24,6)</t>
        </is>
      </c>
      <c r="E1812" t="inlineStr">
        <is>
          <t>YES</t>
        </is>
      </c>
      <c r="F1812" t="inlineStr">
        <is>
          <t>房产所在土地使用权取得价格;商办/工业)/土地出让价值</t>
        </is>
      </c>
      <c r="H1812" t="inlineStr">
        <is>
          <t>DECIMAL</t>
        </is>
      </c>
      <c r="I1812" t="inlineStr">
        <is>
          <t>24,6</t>
        </is>
      </c>
    </row>
    <row r="1813">
      <c r="A1813" t="inlineStr">
        <is>
          <t>房地产/土地使用权/在建工程</t>
        </is>
      </c>
      <c r="B1813" t="inlineStr">
        <is>
          <t>CLR_ASSET_REALTY</t>
        </is>
      </c>
      <c r="C1813" t="inlineStr">
        <is>
          <t>LANDPRICE</t>
        </is>
      </c>
      <c r="D1813" t="inlineStr">
        <is>
          <t>DECIMAL(24,6)</t>
        </is>
      </c>
      <c r="E1813" t="inlineStr">
        <is>
          <t>YES</t>
        </is>
      </c>
      <c r="F1813" t="inlineStr">
        <is>
          <t>所属土地使用权购入价值</t>
        </is>
      </c>
      <c r="H1813" t="inlineStr">
        <is>
          <t>DECIMAL</t>
        </is>
      </c>
      <c r="I1813" t="inlineStr">
        <is>
          <t>24,6</t>
        </is>
      </c>
    </row>
    <row r="1814">
      <c r="A1814" t="inlineStr">
        <is>
          <t>房地产/土地使用权/在建工程</t>
        </is>
      </c>
      <c r="B1814" t="inlineStr">
        <is>
          <t>CLR_ASSET_REALTY</t>
        </is>
      </c>
      <c r="C1814" t="inlineStr">
        <is>
          <t>FLOORLOADBEARING</t>
        </is>
      </c>
      <c r="D1814" t="inlineStr">
        <is>
          <t>DECIMAL(18,8)</t>
        </is>
      </c>
      <c r="E1814" t="inlineStr">
        <is>
          <t>YES</t>
        </is>
      </c>
      <c r="F1814" t="inlineStr">
        <is>
          <t>房产楼层承重</t>
        </is>
      </c>
      <c r="H1814" t="inlineStr">
        <is>
          <t>DECIMAL</t>
        </is>
      </c>
      <c r="I1814" t="inlineStr">
        <is>
          <t>18,8</t>
        </is>
      </c>
    </row>
    <row r="1815">
      <c r="A1815" t="inlineStr">
        <is>
          <t>房地产/土地使用权/在建工程</t>
        </is>
      </c>
      <c r="B1815" t="inlineStr">
        <is>
          <t>CLR_ASSET_REALTY</t>
        </is>
      </c>
      <c r="C1815" t="inlineStr">
        <is>
          <t>ELECVOLUME</t>
        </is>
      </c>
      <c r="D1815" t="inlineStr">
        <is>
          <t>DECIMAL(18,8)</t>
        </is>
      </c>
      <c r="E1815" t="inlineStr">
        <is>
          <t>YES</t>
        </is>
      </c>
      <c r="F1815" t="inlineStr">
        <is>
          <t>房产的电容量</t>
        </is>
      </c>
      <c r="H1815" t="inlineStr">
        <is>
          <t>DECIMAL</t>
        </is>
      </c>
      <c r="I1815" t="inlineStr">
        <is>
          <t>18,8</t>
        </is>
      </c>
    </row>
    <row r="1816">
      <c r="A1816" t="inlineStr">
        <is>
          <t>房地产/土地使用权/在建工程</t>
        </is>
      </c>
      <c r="B1816" t="inlineStr">
        <is>
          <t>CLR_ASSET_REALTY</t>
        </is>
      </c>
      <c r="C1816" t="inlineStr">
        <is>
          <t>ANCILLARYBUILDING</t>
        </is>
      </c>
      <c r="D1816" t="inlineStr">
        <is>
          <t>VARCHAR(500)</t>
        </is>
      </c>
      <c r="E1816" t="inlineStr">
        <is>
          <t>YES</t>
        </is>
      </c>
      <c r="F1816" t="inlineStr">
        <is>
          <t>房产的配套建筑;商办/工业)</t>
        </is>
      </c>
      <c r="H1816" t="inlineStr">
        <is>
          <t>VARCHAR</t>
        </is>
      </c>
      <c r="I1816" t="inlineStr">
        <is>
          <t>500</t>
        </is>
      </c>
    </row>
    <row r="1817">
      <c r="A1817" t="inlineStr">
        <is>
          <t>房地产/土地使用权/在建工程</t>
        </is>
      </c>
      <c r="B1817" t="inlineStr">
        <is>
          <t>CLR_ASSET_REALTY</t>
        </is>
      </c>
      <c r="C1817" t="inlineStr">
        <is>
          <t>RENTTYPE</t>
        </is>
      </c>
      <c r="D1817" t="inlineStr">
        <is>
          <t>VARCHAR(6)</t>
        </is>
      </c>
      <c r="E1817" t="inlineStr">
        <is>
          <t>YES</t>
        </is>
      </c>
      <c r="F1817" t="inlineStr">
        <is>
          <t>房产租赁形式;商办/工业)</t>
        </is>
      </c>
      <c r="H1817" t="inlineStr">
        <is>
          <t>VARCHAR</t>
        </is>
      </c>
      <c r="I1817" t="inlineStr">
        <is>
          <t>6</t>
        </is>
      </c>
    </row>
    <row r="1818">
      <c r="A1818" t="inlineStr">
        <is>
          <t>房地产/土地使用权/在建工程</t>
        </is>
      </c>
      <c r="B1818" t="inlineStr">
        <is>
          <t>CLR_ASSET_REALTY</t>
        </is>
      </c>
      <c r="C1818" t="inlineStr">
        <is>
          <t>RENTAGRMEFFDATE</t>
        </is>
      </c>
      <c r="D1818" t="inlineStr">
        <is>
          <t>DATETIME</t>
        </is>
      </c>
      <c r="E1818" t="inlineStr">
        <is>
          <t>YES</t>
        </is>
      </c>
      <c r="F1818" t="inlineStr">
        <is>
          <t>房产的租赁合同生效日;商办/工业)</t>
        </is>
      </c>
      <c r="H1818" t="inlineStr">
        <is>
          <t>DATETIME</t>
        </is>
      </c>
    </row>
    <row r="1819">
      <c r="A1819" t="inlineStr">
        <is>
          <t>房地产/土地使用权/在建工程</t>
        </is>
      </c>
      <c r="B1819" t="inlineStr">
        <is>
          <t>CLR_ASSET_REALTY</t>
        </is>
      </c>
      <c r="C1819" t="inlineStr">
        <is>
          <t>RENTAGRMEXPIRYDATE</t>
        </is>
      </c>
      <c r="D1819" t="inlineStr">
        <is>
          <t>DATETIME</t>
        </is>
      </c>
      <c r="E1819" t="inlineStr">
        <is>
          <t>YES</t>
        </is>
      </c>
      <c r="F1819" t="inlineStr">
        <is>
          <t>房产的租赁合同到期日;商办/工业)</t>
        </is>
      </c>
      <c r="H1819" t="inlineStr">
        <is>
          <t>DATETIME</t>
        </is>
      </c>
    </row>
    <row r="1820">
      <c r="A1820" t="inlineStr">
        <is>
          <t>房地产/土地使用权/在建工程</t>
        </is>
      </c>
      <c r="B1820" t="inlineStr">
        <is>
          <t>CLR_ASSET_REALTY</t>
        </is>
      </c>
      <c r="C1820" t="inlineStr">
        <is>
          <t>INDUSTRIALPARKLEVEL</t>
        </is>
      </c>
      <c r="D1820" t="inlineStr">
        <is>
          <t>VARCHAR(18)</t>
        </is>
      </c>
      <c r="E1820" t="inlineStr">
        <is>
          <t>YES</t>
        </is>
      </c>
      <c r="F1820" t="inlineStr">
        <is>
          <t>工业园区等级</t>
        </is>
      </c>
      <c r="H1820" t="inlineStr">
        <is>
          <t>VARCHAR</t>
        </is>
      </c>
      <c r="I1820" t="inlineStr">
        <is>
          <t>18</t>
        </is>
      </c>
    </row>
    <row r="1821">
      <c r="A1821" t="inlineStr">
        <is>
          <t>房地产/土地使用权/在建工程</t>
        </is>
      </c>
      <c r="B1821" t="inlineStr">
        <is>
          <t>CLR_ASSET_REALTY</t>
        </is>
      </c>
      <c r="C1821" t="inlineStr">
        <is>
          <t>INDUSTRYPOSITION</t>
        </is>
      </c>
      <c r="D1821" t="inlineStr">
        <is>
          <t>VARCHAR(500)</t>
        </is>
      </c>
      <c r="E1821" t="inlineStr">
        <is>
          <t>YES</t>
        </is>
      </c>
      <c r="F1821" t="inlineStr">
        <is>
          <t>产业定位</t>
        </is>
      </c>
      <c r="H1821" t="inlineStr">
        <is>
          <t>VARCHAR</t>
        </is>
      </c>
      <c r="I1821" t="inlineStr">
        <is>
          <t>500</t>
        </is>
      </c>
    </row>
    <row r="1822">
      <c r="A1822" t="inlineStr">
        <is>
          <t>房地产/土地使用权/在建工程</t>
        </is>
      </c>
      <c r="B1822" t="inlineStr">
        <is>
          <t>CLR_ASSET_REALTY</t>
        </is>
      </c>
      <c r="C1822" t="inlineStr">
        <is>
          <t>DEVMODEL</t>
        </is>
      </c>
      <c r="D1822" t="inlineStr">
        <is>
          <t>VARCHAR(18)</t>
        </is>
      </c>
      <c r="E1822" t="inlineStr">
        <is>
          <t>YES</t>
        </is>
      </c>
      <c r="F1822" t="inlineStr">
        <is>
          <t>工业房地产开发模式</t>
        </is>
      </c>
      <c r="H1822" t="inlineStr">
        <is>
          <t>VARCHAR</t>
        </is>
      </c>
      <c r="I1822" t="inlineStr">
        <is>
          <t>18</t>
        </is>
      </c>
    </row>
    <row r="1823">
      <c r="A1823" t="inlineStr">
        <is>
          <t>房地产/土地使用权/在建工程</t>
        </is>
      </c>
      <c r="B1823" t="inlineStr">
        <is>
          <t>CLR_ASSET_REALTY</t>
        </is>
      </c>
      <c r="C1823" t="inlineStr">
        <is>
          <t>PROFITMODEL</t>
        </is>
      </c>
      <c r="D1823" t="inlineStr">
        <is>
          <t>VARCHAR(18)</t>
        </is>
      </c>
      <c r="E1823" t="inlineStr">
        <is>
          <t>YES</t>
        </is>
      </c>
      <c r="F1823" t="inlineStr">
        <is>
          <t>工业房产盈利模式</t>
        </is>
      </c>
      <c r="H1823" t="inlineStr">
        <is>
          <t>VARCHAR</t>
        </is>
      </c>
      <c r="I1823" t="inlineStr">
        <is>
          <t>18</t>
        </is>
      </c>
    </row>
    <row r="1824">
      <c r="A1824" t="inlineStr">
        <is>
          <t>房地产/土地使用权/在建工程</t>
        </is>
      </c>
      <c r="B1824" t="inlineStr">
        <is>
          <t>CLR_ASSET_REALTY</t>
        </is>
      </c>
      <c r="C1824" t="inlineStr">
        <is>
          <t>INDEPENDENCE</t>
        </is>
      </c>
      <c r="D1824" t="inlineStr">
        <is>
          <t>VARCHAR(18)</t>
        </is>
      </c>
      <c r="E1824" t="inlineStr">
        <is>
          <t>YES</t>
        </is>
      </c>
      <c r="F1824" t="inlineStr">
        <is>
          <t>工业用房产独立性</t>
        </is>
      </c>
      <c r="H1824" t="inlineStr">
        <is>
          <t>VARCHAR</t>
        </is>
      </c>
      <c r="I1824" t="inlineStr">
        <is>
          <t>18</t>
        </is>
      </c>
    </row>
    <row r="1825">
      <c r="A1825" t="inlineStr">
        <is>
          <t>房地产/土地使用权/在建工程</t>
        </is>
      </c>
      <c r="B1825" t="inlineStr">
        <is>
          <t>CLR_ASSET_REALTY</t>
        </is>
      </c>
      <c r="C1825" t="inlineStr">
        <is>
          <t>ISSTANDARD</t>
        </is>
      </c>
      <c r="D1825" t="inlineStr">
        <is>
          <t>CHAR(1)</t>
        </is>
      </c>
      <c r="E1825" t="inlineStr">
        <is>
          <t>YES</t>
        </is>
      </c>
      <c r="F1825" t="inlineStr">
        <is>
          <t>是否满足所处行业厂房设计标准</t>
        </is>
      </c>
      <c r="H1825" t="inlineStr">
        <is>
          <t>CHAR</t>
        </is>
      </c>
      <c r="I1825" t="inlineStr">
        <is>
          <t>1</t>
        </is>
      </c>
    </row>
    <row r="1826">
      <c r="A1826" t="inlineStr">
        <is>
          <t>房地产/土地使用权/在建工程</t>
        </is>
      </c>
      <c r="B1826" t="inlineStr">
        <is>
          <t>CLR_ASSET_REALTY</t>
        </is>
      </c>
      <c r="C1826" t="inlineStr">
        <is>
          <t>FOOTFALL</t>
        </is>
      </c>
      <c r="D1826" t="inlineStr">
        <is>
          <t>INT</t>
        </is>
      </c>
      <c r="E1826" t="inlineStr">
        <is>
          <t>YES</t>
        </is>
      </c>
      <c r="F1826" t="inlineStr">
        <is>
          <t>客流量;商办)</t>
        </is>
      </c>
      <c r="H1826" t="inlineStr">
        <is>
          <t>INT</t>
        </is>
      </c>
    </row>
    <row r="1827">
      <c r="A1827" t="inlineStr">
        <is>
          <t>房地产/土地使用权/在建工程</t>
        </is>
      </c>
      <c r="B1827" t="inlineStr">
        <is>
          <t>CLR_ASSET_REALTY</t>
        </is>
      </c>
      <c r="C1827" t="inlineStr">
        <is>
          <t>YEARTAKING</t>
        </is>
      </c>
      <c r="D1827" t="inlineStr">
        <is>
          <t>DECIMAL(24,6)</t>
        </is>
      </c>
      <c r="E1827" t="inlineStr">
        <is>
          <t>YES</t>
        </is>
      </c>
      <c r="F1827" t="inlineStr">
        <is>
          <t>年营业收入;商办)/预计完工后房产价值</t>
        </is>
      </c>
      <c r="H1827" t="inlineStr">
        <is>
          <t>DECIMAL</t>
        </is>
      </c>
      <c r="I1827" t="inlineStr">
        <is>
          <t>24,6</t>
        </is>
      </c>
    </row>
    <row r="1828">
      <c r="A1828" t="inlineStr">
        <is>
          <t>房地产/土地使用权/在建工程</t>
        </is>
      </c>
      <c r="B1828" t="inlineStr">
        <is>
          <t>CLR_ASSET_REALTY</t>
        </is>
      </c>
      <c r="C1828" t="inlineStr">
        <is>
          <t>FLOORHEIGHT</t>
        </is>
      </c>
      <c r="D1828" t="inlineStr">
        <is>
          <t>VARCHAR(6)</t>
        </is>
      </c>
      <c r="E1828" t="inlineStr">
        <is>
          <t>YES</t>
        </is>
      </c>
      <c r="F1828" t="inlineStr">
        <is>
          <t>层高;商办)</t>
        </is>
      </c>
      <c r="H1828" t="inlineStr">
        <is>
          <t>VARCHAR</t>
        </is>
      </c>
      <c r="I1828" t="inlineStr">
        <is>
          <t>6</t>
        </is>
      </c>
    </row>
    <row r="1829">
      <c r="A1829" t="inlineStr">
        <is>
          <t>房地产/土地使用权/在建工程</t>
        </is>
      </c>
      <c r="B1829" t="inlineStr">
        <is>
          <t>CLR_ASSET_REALTY</t>
        </is>
      </c>
      <c r="C1829" t="inlineStr">
        <is>
          <t>AVAILABLECARPORT</t>
        </is>
      </c>
      <c r="D1829" t="inlineStr">
        <is>
          <t>INT</t>
        </is>
      </c>
      <c r="E1829" t="inlineStr">
        <is>
          <t>YES</t>
        </is>
      </c>
      <c r="F1829" t="inlineStr">
        <is>
          <t>可用停车场车位数</t>
        </is>
      </c>
      <c r="H1829" t="inlineStr">
        <is>
          <t>INT</t>
        </is>
      </c>
    </row>
    <row r="1830">
      <c r="A1830" t="inlineStr">
        <is>
          <t>房地产/土地使用权/在建工程</t>
        </is>
      </c>
      <c r="B1830" t="inlineStr">
        <is>
          <t>CLR_ASSET_REALTY</t>
        </is>
      </c>
      <c r="C1830" t="inlineStr">
        <is>
          <t>RENTAL</t>
        </is>
      </c>
      <c r="D1830" t="inlineStr">
        <is>
          <t>DECIMAL(24,6)</t>
        </is>
      </c>
      <c r="E1830" t="inlineStr">
        <is>
          <t>YES</t>
        </is>
      </c>
      <c r="F1830" t="inlineStr">
        <is>
          <t>月租金收入/工程预算值/在建工程预算值</t>
        </is>
      </c>
      <c r="H1830" t="inlineStr">
        <is>
          <t>DECIMAL</t>
        </is>
      </c>
      <c r="I1830" t="inlineStr">
        <is>
          <t>24,6</t>
        </is>
      </c>
    </row>
    <row r="1831">
      <c r="A1831" t="inlineStr">
        <is>
          <t>房地产/土地使用权/在建工程</t>
        </is>
      </c>
      <c r="B1831" t="inlineStr">
        <is>
          <t>CLR_ASSET_REALTY</t>
        </is>
      </c>
      <c r="C1831" t="inlineStr">
        <is>
          <t>CURRENTVACANYRATE</t>
        </is>
      </c>
      <c r="D1831" t="inlineStr">
        <is>
          <t>DECIMAL(18,8)</t>
        </is>
      </c>
      <c r="E1831" t="inlineStr">
        <is>
          <t>YES</t>
        </is>
      </c>
      <c r="F1831" t="inlineStr">
        <is>
          <t>当前空置率</t>
        </is>
      </c>
      <c r="H1831" t="inlineStr">
        <is>
          <t>DECIMAL</t>
        </is>
      </c>
      <c r="I1831" t="inlineStr">
        <is>
          <t>18,8</t>
        </is>
      </c>
    </row>
    <row r="1832">
      <c r="A1832" t="inlineStr">
        <is>
          <t>房地产/土地使用权/在建工程</t>
        </is>
      </c>
      <c r="B1832" t="inlineStr">
        <is>
          <t>CLR_ASSET_REALTY</t>
        </is>
      </c>
      <c r="C1832" t="inlineStr">
        <is>
          <t>REALTYHOLDER</t>
        </is>
      </c>
      <c r="D1832" t="inlineStr">
        <is>
          <t>VARCHAR(500)</t>
        </is>
      </c>
      <c r="E1832" t="inlineStr">
        <is>
          <t>YES</t>
        </is>
      </c>
      <c r="F1832" t="inlineStr">
        <is>
          <t>房产持有者/使用权所有人/房屋所有权人/宅基地使用权权利人名称</t>
        </is>
      </c>
      <c r="H1832" t="inlineStr">
        <is>
          <t>VARCHAR</t>
        </is>
      </c>
      <c r="I1832" t="inlineStr">
        <is>
          <t>500</t>
        </is>
      </c>
    </row>
    <row r="1833">
      <c r="A1833" t="inlineStr">
        <is>
          <t>房地产/土地使用权/在建工程</t>
        </is>
      </c>
      <c r="B1833" t="inlineStr">
        <is>
          <t>CLR_ASSET_REALTY</t>
        </is>
      </c>
      <c r="C1833" t="inlineStr">
        <is>
          <t>CURRENTSTATUS</t>
        </is>
      </c>
      <c r="D1833" t="inlineStr">
        <is>
          <t>VARCHAR(6)</t>
        </is>
      </c>
      <c r="E1833" t="inlineStr">
        <is>
          <t>YES</t>
        </is>
      </c>
      <c r="F1833" t="inlineStr">
        <is>
          <t>房屋状态/土地现状</t>
        </is>
      </c>
      <c r="H1833" t="inlineStr">
        <is>
          <t>VARCHAR</t>
        </is>
      </c>
      <c r="I1833" t="inlineStr">
        <is>
          <t>6</t>
        </is>
      </c>
    </row>
    <row r="1834">
      <c r="A1834" t="inlineStr">
        <is>
          <t>房地产/土地使用权/在建工程</t>
        </is>
      </c>
      <c r="B1834" t="inlineStr">
        <is>
          <t>CLR_ASSET_REALTY</t>
        </is>
      </c>
      <c r="C1834" t="inlineStr">
        <is>
          <t>REALTYUNITPRICE</t>
        </is>
      </c>
      <c r="D1834" t="inlineStr">
        <is>
          <t>DECIMAL(24,6)</t>
        </is>
      </c>
      <c r="E1834" t="inlineStr">
        <is>
          <t>YES</t>
        </is>
      </c>
      <c r="F1834" t="inlineStr">
        <is>
          <t>房屋单价;元）</t>
        </is>
      </c>
      <c r="H1834" t="inlineStr">
        <is>
          <t>DECIMAL</t>
        </is>
      </c>
      <c r="I1834" t="inlineStr">
        <is>
          <t>24,6</t>
        </is>
      </c>
    </row>
    <row r="1835">
      <c r="A1835" t="inlineStr">
        <is>
          <t>房地产/土地使用权/在建工程</t>
        </is>
      </c>
      <c r="B1835" t="inlineStr">
        <is>
          <t>CLR_ASSET_REALTY</t>
        </is>
      </c>
      <c r="C1835" t="inlineStr">
        <is>
          <t>FITMENTLEVEL</t>
        </is>
      </c>
      <c r="D1835" t="inlineStr">
        <is>
          <t>VARCHAR(6)</t>
        </is>
      </c>
      <c r="E1835" t="inlineStr">
        <is>
          <t>YES</t>
        </is>
      </c>
      <c r="F1835" t="inlineStr">
        <is>
          <t>装修程度</t>
        </is>
      </c>
      <c r="H1835" t="inlineStr">
        <is>
          <t>VARCHAR</t>
        </is>
      </c>
      <c r="I1835" t="inlineStr">
        <is>
          <t>6</t>
        </is>
      </c>
    </row>
    <row r="1836">
      <c r="A1836" t="inlineStr">
        <is>
          <t>房地产/土地使用权/在建工程</t>
        </is>
      </c>
      <c r="B1836" t="inlineStr">
        <is>
          <t>CLR_ASSET_REALTY</t>
        </is>
      </c>
      <c r="C1836" t="inlineStr">
        <is>
          <t>FITMENTDETAIL</t>
        </is>
      </c>
      <c r="D1836" t="inlineStr">
        <is>
          <t>VARCHAR(500)</t>
        </is>
      </c>
      <c r="E1836" t="inlineStr">
        <is>
          <t>YES</t>
        </is>
      </c>
      <c r="F1836" t="inlineStr">
        <is>
          <t>装修情况</t>
        </is>
      </c>
      <c r="H1836" t="inlineStr">
        <is>
          <t>VARCHAR</t>
        </is>
      </c>
      <c r="I1836" t="inlineStr">
        <is>
          <t>500</t>
        </is>
      </c>
    </row>
    <row r="1837">
      <c r="A1837" t="inlineStr">
        <is>
          <t>房地产/土地使用权/在建工程</t>
        </is>
      </c>
      <c r="B1837" t="inlineStr">
        <is>
          <t>CLR_ASSET_REALTY</t>
        </is>
      </c>
      <c r="C1837" t="inlineStr">
        <is>
          <t>REFPRICE</t>
        </is>
      </c>
      <c r="D1837" t="inlineStr">
        <is>
          <t>DECIMAL(24,6)</t>
        </is>
      </c>
      <c r="E1837" t="inlineStr">
        <is>
          <t>YES</t>
        </is>
      </c>
      <c r="F1837" t="inlineStr">
        <is>
          <t>同类房产参考价格/已投入工程款</t>
        </is>
      </c>
      <c r="H1837" t="inlineStr">
        <is>
          <t>DECIMAL</t>
        </is>
      </c>
      <c r="I1837" t="inlineStr">
        <is>
          <t>24,6</t>
        </is>
      </c>
    </row>
    <row r="1838">
      <c r="A1838" t="inlineStr">
        <is>
          <t>房地产/土地使用权/在建工程</t>
        </is>
      </c>
      <c r="B1838" t="inlineStr">
        <is>
          <t>CLR_ASSET_REALTY</t>
        </is>
      </c>
      <c r="C1838" t="inlineStr">
        <is>
          <t>REFPRICECASETIME</t>
        </is>
      </c>
      <c r="D1838" t="inlineStr">
        <is>
          <t>DATETIME</t>
        </is>
      </c>
      <c r="E1838" t="inlineStr">
        <is>
          <t>YES</t>
        </is>
      </c>
      <c r="F1838" t="inlineStr">
        <is>
          <t>房产参考价格基准时间</t>
        </is>
      </c>
      <c r="H1838" t="inlineStr">
        <is>
          <t>DATETIME</t>
        </is>
      </c>
    </row>
    <row r="1839">
      <c r="A1839" t="inlineStr">
        <is>
          <t>房地产/土地使用权/在建工程</t>
        </is>
      </c>
      <c r="B1839" t="inlineStr">
        <is>
          <t>CLR_ASSET_REALTY</t>
        </is>
      </c>
      <c r="C1839" t="inlineStr">
        <is>
          <t>REFPRICEINFOSOURCE</t>
        </is>
      </c>
      <c r="D1839" t="inlineStr">
        <is>
          <t>VARCHAR(80)</t>
        </is>
      </c>
      <c r="E1839" t="inlineStr">
        <is>
          <t>YES</t>
        </is>
      </c>
      <c r="F1839" t="inlineStr">
        <is>
          <t>房产参考价格信息来源</t>
        </is>
      </c>
      <c r="H1839" t="inlineStr">
        <is>
          <t>VARCHAR</t>
        </is>
      </c>
      <c r="I1839" t="inlineStr">
        <is>
          <t>80</t>
        </is>
      </c>
    </row>
    <row r="1840">
      <c r="A1840" t="inlineStr">
        <is>
          <t>房地产/土地使用权/在建工程</t>
        </is>
      </c>
      <c r="B1840" t="inlineStr">
        <is>
          <t>CLR_ASSET_REALTY</t>
        </is>
      </c>
      <c r="C1840" t="inlineStr">
        <is>
          <t>STRUCTURETYPE</t>
        </is>
      </c>
      <c r="D1840" t="inlineStr">
        <is>
          <t>VARCHAR(6)</t>
        </is>
      </c>
      <c r="E1840" t="inlineStr">
        <is>
          <t>YES</t>
        </is>
      </c>
      <c r="F1840" t="inlineStr">
        <is>
          <t>建筑形式/建设用地使用权类型</t>
        </is>
      </c>
      <c r="H1840" t="inlineStr">
        <is>
          <t>VARCHAR</t>
        </is>
      </c>
      <c r="I1840" t="inlineStr">
        <is>
          <t>6</t>
        </is>
      </c>
    </row>
    <row r="1841">
      <c r="A1841" t="inlineStr">
        <is>
          <t>房地产/土地使用权/在建工程</t>
        </is>
      </c>
      <c r="B1841" t="inlineStr">
        <is>
          <t>CLR_ASSET_REALTY</t>
        </is>
      </c>
      <c r="C1841" t="inlineStr">
        <is>
          <t>PLANELAYOUT</t>
        </is>
      </c>
      <c r="D1841" t="inlineStr">
        <is>
          <t>VARCHAR(6)</t>
        </is>
      </c>
      <c r="E1841" t="inlineStr">
        <is>
          <t>YES</t>
        </is>
      </c>
      <c r="F1841" t="inlineStr">
        <is>
          <t>平面布置</t>
        </is>
      </c>
      <c r="H1841" t="inlineStr">
        <is>
          <t>VARCHAR</t>
        </is>
      </c>
      <c r="I1841" t="inlineStr">
        <is>
          <t>6</t>
        </is>
      </c>
    </row>
    <row r="1842">
      <c r="A1842" t="inlineStr">
        <is>
          <t>房地产/土地使用权/在建工程</t>
        </is>
      </c>
      <c r="B1842" t="inlineStr">
        <is>
          <t>CLR_ASSET_REALTY</t>
        </is>
      </c>
      <c r="C1842" t="inlineStr">
        <is>
          <t>TOTALFLOOR</t>
        </is>
      </c>
      <c r="D1842" t="inlineStr">
        <is>
          <t>INT</t>
        </is>
      </c>
      <c r="E1842" t="inlineStr">
        <is>
          <t>YES</t>
        </is>
      </c>
      <c r="F1842" t="inlineStr">
        <is>
          <t>总层数</t>
        </is>
      </c>
      <c r="H1842" t="inlineStr">
        <is>
          <t>INT</t>
        </is>
      </c>
    </row>
    <row r="1843">
      <c r="A1843" t="inlineStr">
        <is>
          <t>房地产/土地使用权/在建工程</t>
        </is>
      </c>
      <c r="B1843" t="inlineStr">
        <is>
          <t>CLR_ASSET_REALTY</t>
        </is>
      </c>
      <c r="C1843" t="inlineStr">
        <is>
          <t>REASONABLEDURATION</t>
        </is>
      </c>
      <c r="D1843" t="inlineStr">
        <is>
          <t>INT</t>
        </is>
      </c>
      <c r="E1843" t="inlineStr">
        <is>
          <t>YES</t>
        </is>
      </c>
      <c r="F1843" t="inlineStr">
        <is>
          <t>合理工期;年）</t>
        </is>
      </c>
      <c r="H1843" t="inlineStr">
        <is>
          <t>INT</t>
        </is>
      </c>
    </row>
    <row r="1844">
      <c r="A1844" t="inlineStr">
        <is>
          <t>房地产/土地使用权/在建工程</t>
        </is>
      </c>
      <c r="B1844" t="inlineStr">
        <is>
          <t>CLR_ASSET_REALTY</t>
        </is>
      </c>
      <c r="C1844" t="inlineStr">
        <is>
          <t>USERDETAIL</t>
        </is>
      </c>
      <c r="D1844" t="inlineStr">
        <is>
          <t>VARCHAR(18)</t>
        </is>
      </c>
      <c r="E1844" t="inlineStr">
        <is>
          <t>YES</t>
        </is>
      </c>
      <c r="F1844" t="inlineStr">
        <is>
          <t>使用情况</t>
        </is>
      </c>
      <c r="H1844" t="inlineStr">
        <is>
          <t>VARCHAR</t>
        </is>
      </c>
      <c r="I1844" t="inlineStr">
        <is>
          <t>18</t>
        </is>
      </c>
    </row>
    <row r="1845">
      <c r="A1845" t="inlineStr">
        <is>
          <t>房地产/土地使用权/在建工程</t>
        </is>
      </c>
      <c r="B1845" t="inlineStr">
        <is>
          <t>CLR_ASSET_REALTY</t>
        </is>
      </c>
      <c r="C1845" t="inlineStr">
        <is>
          <t>PARKCONDITION</t>
        </is>
      </c>
      <c r="D1845" t="inlineStr">
        <is>
          <t>VARCHAR(6)</t>
        </is>
      </c>
      <c r="E1845" t="inlineStr">
        <is>
          <t>YES</t>
        </is>
      </c>
      <c r="F1845" t="inlineStr">
        <is>
          <t>泊车条件</t>
        </is>
      </c>
      <c r="H1845" t="inlineStr">
        <is>
          <t>VARCHAR</t>
        </is>
      </c>
      <c r="I1845" t="inlineStr">
        <is>
          <t>6</t>
        </is>
      </c>
    </row>
    <row r="1846">
      <c r="A1846" t="inlineStr">
        <is>
          <t>房地产/土地使用权/在建工程</t>
        </is>
      </c>
      <c r="B1846" t="inlineStr">
        <is>
          <t>CLR_ASSET_REALTY</t>
        </is>
      </c>
      <c r="C1846" t="inlineStr">
        <is>
          <t>FRONTAGE</t>
        </is>
      </c>
      <c r="D1846" t="inlineStr">
        <is>
          <t>VARCHAR(6)</t>
        </is>
      </c>
      <c r="E1846" t="inlineStr">
        <is>
          <t>YES</t>
        </is>
      </c>
      <c r="F1846" t="inlineStr">
        <is>
          <t>居住/商办用房产临街情况</t>
        </is>
      </c>
      <c r="H1846" t="inlineStr">
        <is>
          <t>VARCHAR</t>
        </is>
      </c>
      <c r="I1846" t="inlineStr">
        <is>
          <t>6</t>
        </is>
      </c>
    </row>
    <row r="1847">
      <c r="A1847" t="inlineStr">
        <is>
          <t>房地产/土地使用权/在建工程</t>
        </is>
      </c>
      <c r="B1847" t="inlineStr">
        <is>
          <t>CLR_ASSET_REALTY</t>
        </is>
      </c>
      <c r="C1847" t="inlineStr">
        <is>
          <t>NEARBYCONDITION</t>
        </is>
      </c>
      <c r="D1847" t="inlineStr">
        <is>
          <t>VARCHAR(500)</t>
        </is>
      </c>
      <c r="E1847" t="inlineStr">
        <is>
          <t>YES</t>
        </is>
      </c>
      <c r="F1847" t="inlineStr">
        <is>
          <t>居住/商办用房产附近的大型厂房或潜在环境污染源</t>
        </is>
      </c>
      <c r="H1847" t="inlineStr">
        <is>
          <t>VARCHAR</t>
        </is>
      </c>
      <c r="I1847" t="inlineStr">
        <is>
          <t>500</t>
        </is>
      </c>
    </row>
    <row r="1848">
      <c r="A1848" t="inlineStr">
        <is>
          <t>房地产/土地使用权/在建工程</t>
        </is>
      </c>
      <c r="B1848" t="inlineStr">
        <is>
          <t>CLR_ASSET_REALTY</t>
        </is>
      </c>
      <c r="C1848" t="inlineStr">
        <is>
          <t>TAXPAY</t>
        </is>
      </c>
      <c r="D1848" t="inlineStr">
        <is>
          <t>VARCHAR(500)</t>
        </is>
      </c>
      <c r="E1848" t="inlineStr">
        <is>
          <t>YES</t>
        </is>
      </c>
      <c r="F1848" t="inlineStr">
        <is>
          <t>纳税情况</t>
        </is>
      </c>
      <c r="H1848" t="inlineStr">
        <is>
          <t>VARCHAR</t>
        </is>
      </c>
      <c r="I1848" t="inlineStr">
        <is>
          <t>500</t>
        </is>
      </c>
    </row>
    <row r="1849">
      <c r="A1849" t="inlineStr">
        <is>
          <t>房地产/土地使用权/在建工程</t>
        </is>
      </c>
      <c r="B1849" t="inlineStr">
        <is>
          <t>CLR_ASSET_REALTY</t>
        </is>
      </c>
      <c r="C1849" t="inlineStr">
        <is>
          <t>RENTING</t>
        </is>
      </c>
      <c r="D1849" t="inlineStr">
        <is>
          <t>VARCHAR(500)</t>
        </is>
      </c>
      <c r="E1849" t="inlineStr">
        <is>
          <t>YES</t>
        </is>
      </c>
      <c r="F1849" t="inlineStr">
        <is>
          <t>租赁情况综述</t>
        </is>
      </c>
      <c r="H1849" t="inlineStr">
        <is>
          <t>VARCHAR</t>
        </is>
      </c>
      <c r="I1849" t="inlineStr">
        <is>
          <t>500</t>
        </is>
      </c>
    </row>
    <row r="1850">
      <c r="A1850" t="inlineStr">
        <is>
          <t>房地产/土地使用权/在建工程</t>
        </is>
      </c>
      <c r="B1850" t="inlineStr">
        <is>
          <t>CLR_ASSET_REALTY</t>
        </is>
      </c>
      <c r="C1850" t="inlineStr">
        <is>
          <t>PARCELTERRAIN</t>
        </is>
      </c>
      <c r="D1850" t="inlineStr">
        <is>
          <t>VARCHAR(500)</t>
        </is>
      </c>
      <c r="E1850" t="inlineStr">
        <is>
          <t>YES</t>
        </is>
      </c>
      <c r="F1850" t="inlineStr">
        <is>
          <t>宗地地形</t>
        </is>
      </c>
      <c r="H1850" t="inlineStr">
        <is>
          <t>VARCHAR</t>
        </is>
      </c>
      <c r="I1850" t="inlineStr">
        <is>
          <t>500</t>
        </is>
      </c>
    </row>
    <row r="1851">
      <c r="A1851" t="inlineStr">
        <is>
          <t>房地产/土地使用权/在建工程</t>
        </is>
      </c>
      <c r="B1851" t="inlineStr">
        <is>
          <t>CLR_ASSET_REALTY</t>
        </is>
      </c>
      <c r="C1851" t="inlineStr">
        <is>
          <t>LANDATT</t>
        </is>
      </c>
      <c r="D1851" t="inlineStr">
        <is>
          <t>VARCHAR(200)</t>
        </is>
      </c>
      <c r="E1851" t="inlineStr">
        <is>
          <t>YES</t>
        </is>
      </c>
      <c r="F1851" t="inlineStr">
        <is>
          <t>地上附着物情况</t>
        </is>
      </c>
      <c r="H1851" t="inlineStr">
        <is>
          <t>VARCHAR</t>
        </is>
      </c>
      <c r="I1851" t="inlineStr">
        <is>
          <t>200</t>
        </is>
      </c>
    </row>
    <row r="1852">
      <c r="A1852" t="inlineStr">
        <is>
          <t>房地产/土地使用权/在建工程</t>
        </is>
      </c>
      <c r="B1852" t="inlineStr">
        <is>
          <t>CLR_ASSET_REALTY</t>
        </is>
      </c>
      <c r="C1852" t="inlineStr">
        <is>
          <t>TERRAINGRADIENT</t>
        </is>
      </c>
      <c r="D1852" t="inlineStr">
        <is>
          <t>DECIMAL(18,8)</t>
        </is>
      </c>
      <c r="E1852" t="inlineStr">
        <is>
          <t>YES</t>
        </is>
      </c>
      <c r="F1852" t="inlineStr">
        <is>
          <t>地形坡度</t>
        </is>
      </c>
      <c r="H1852" t="inlineStr">
        <is>
          <t>DECIMAL</t>
        </is>
      </c>
      <c r="I1852" t="inlineStr">
        <is>
          <t>18,8</t>
        </is>
      </c>
    </row>
    <row r="1853">
      <c r="A1853" t="inlineStr">
        <is>
          <t>房地产/土地使用权/在建工程</t>
        </is>
      </c>
      <c r="B1853" t="inlineStr">
        <is>
          <t>CLR_ASSET_REALTY</t>
        </is>
      </c>
      <c r="C1853" t="inlineStr">
        <is>
          <t>GEOLOGICALCONDITION</t>
        </is>
      </c>
      <c r="D1853" t="inlineStr">
        <is>
          <t>VARCHAR(500)</t>
        </is>
      </c>
      <c r="E1853" t="inlineStr">
        <is>
          <t>YES</t>
        </is>
      </c>
      <c r="F1853" t="inlineStr">
        <is>
          <t>地质条件</t>
        </is>
      </c>
      <c r="H1853" t="inlineStr">
        <is>
          <t>VARCHAR</t>
        </is>
      </c>
      <c r="I1853" t="inlineStr">
        <is>
          <t>500</t>
        </is>
      </c>
    </row>
    <row r="1854">
      <c r="A1854" t="inlineStr">
        <is>
          <t>房地产/土地使用权/在建工程</t>
        </is>
      </c>
      <c r="B1854" t="inlineStr">
        <is>
          <t>CLR_ASSET_REALTY</t>
        </is>
      </c>
      <c r="C1854" t="inlineStr">
        <is>
          <t>RECEIVINGBANK</t>
        </is>
      </c>
      <c r="D1854" t="inlineStr">
        <is>
          <t>VARCHAR(80)</t>
        </is>
      </c>
      <c r="E1854" t="inlineStr">
        <is>
          <t>YES</t>
        </is>
      </c>
      <c r="F1854" t="inlineStr">
        <is>
          <t>销售回款账户所在银行</t>
        </is>
      </c>
      <c r="H1854" t="inlineStr">
        <is>
          <t>VARCHAR</t>
        </is>
      </c>
      <c r="I1854" t="inlineStr">
        <is>
          <t>80</t>
        </is>
      </c>
    </row>
    <row r="1855">
      <c r="A1855" t="inlineStr">
        <is>
          <t>房地产/土地使用权/在建工程</t>
        </is>
      </c>
      <c r="B1855" t="inlineStr">
        <is>
          <t>CLR_ASSET_REALTY</t>
        </is>
      </c>
      <c r="C1855" t="inlineStr">
        <is>
          <t>PROJECTPLAN</t>
        </is>
      </c>
      <c r="D1855" t="inlineStr">
        <is>
          <t>VARCHAR(500)</t>
        </is>
      </c>
      <c r="E1855" t="inlineStr">
        <is>
          <t>YES</t>
        </is>
      </c>
      <c r="F1855" t="inlineStr">
        <is>
          <t>房产工程进度估计</t>
        </is>
      </c>
      <c r="H1855" t="inlineStr">
        <is>
          <t>VARCHAR</t>
        </is>
      </c>
      <c r="I1855" t="inlineStr">
        <is>
          <t>500</t>
        </is>
      </c>
    </row>
    <row r="1856">
      <c r="A1856" t="inlineStr">
        <is>
          <t>房地产/土地使用权/在建工程</t>
        </is>
      </c>
      <c r="B1856" t="inlineStr">
        <is>
          <t>CLR_ASSET_REALTY</t>
        </is>
      </c>
      <c r="C1856" t="inlineStr">
        <is>
          <t>UNFINISHEDPOSSIBILITY</t>
        </is>
      </c>
      <c r="D1856" t="inlineStr">
        <is>
          <t>VARCHAR(500)</t>
        </is>
      </c>
      <c r="E1856" t="inlineStr">
        <is>
          <t>YES</t>
        </is>
      </c>
      <c r="F1856" t="inlineStr">
        <is>
          <t>房产工程烂尾可能性估计</t>
        </is>
      </c>
      <c r="H1856" t="inlineStr">
        <is>
          <t>VARCHAR</t>
        </is>
      </c>
      <c r="I1856" t="inlineStr">
        <is>
          <t>500</t>
        </is>
      </c>
    </row>
    <row r="1857">
      <c r="A1857" t="inlineStr">
        <is>
          <t>房地产/土地使用权/在建工程</t>
        </is>
      </c>
      <c r="B1857" t="inlineStr">
        <is>
          <t>CLR_ASSET_REALTY</t>
        </is>
      </c>
      <c r="C1857" t="inlineStr">
        <is>
          <t>PLANDEVLEVEL</t>
        </is>
      </c>
      <c r="D1857" t="inlineStr">
        <is>
          <t>VARCHAR(500)</t>
        </is>
      </c>
      <c r="E1857" t="inlineStr">
        <is>
          <t>YES</t>
        </is>
      </c>
      <c r="F1857" t="inlineStr">
        <is>
          <t>预计开发程度</t>
        </is>
      </c>
      <c r="H1857" t="inlineStr">
        <is>
          <t>VARCHAR</t>
        </is>
      </c>
      <c r="I1857" t="inlineStr">
        <is>
          <t>500</t>
        </is>
      </c>
    </row>
    <row r="1858">
      <c r="A1858" t="inlineStr">
        <is>
          <t>房地产/土地使用权/在建工程</t>
        </is>
      </c>
      <c r="B1858" t="inlineStr">
        <is>
          <t>CLR_ASSET_REALTY</t>
        </is>
      </c>
      <c r="C1858" t="inlineStr">
        <is>
          <t>LANDTRANSFEES</t>
        </is>
      </c>
      <c r="D1858" t="inlineStr">
        <is>
          <t>DECIMAL(24,6)</t>
        </is>
      </c>
      <c r="E1858" t="inlineStr">
        <is>
          <t>YES</t>
        </is>
      </c>
      <c r="F1858" t="inlineStr">
        <is>
          <t>土地出让金已缴纳金额</t>
        </is>
      </c>
      <c r="H1858" t="inlineStr">
        <is>
          <t>DECIMAL</t>
        </is>
      </c>
      <c r="I1858" t="inlineStr">
        <is>
          <t>24,6</t>
        </is>
      </c>
    </row>
    <row r="1859">
      <c r="A1859" t="inlineStr">
        <is>
          <t>房地产/土地使用权/在建工程</t>
        </is>
      </c>
      <c r="B1859" t="inlineStr">
        <is>
          <t>CLR_ASSET_REALTY</t>
        </is>
      </c>
      <c r="C1859" t="inlineStr">
        <is>
          <t>PROJECTTYPE</t>
        </is>
      </c>
      <c r="D1859" t="inlineStr">
        <is>
          <t>VARCHAR(6)</t>
        </is>
      </c>
      <c r="E1859" t="inlineStr">
        <is>
          <t>YES</t>
        </is>
      </c>
      <c r="F1859" t="inlineStr">
        <is>
          <t>在建工程类型</t>
        </is>
      </c>
      <c r="H1859" t="inlineStr">
        <is>
          <t>VARCHAR</t>
        </is>
      </c>
      <c r="I1859" t="inlineStr">
        <is>
          <t>6</t>
        </is>
      </c>
    </row>
    <row r="1860">
      <c r="A1860" t="inlineStr">
        <is>
          <t>房地产/土地使用权/在建工程</t>
        </is>
      </c>
      <c r="B1860" t="inlineStr">
        <is>
          <t>CLR_ASSET_REALTY</t>
        </is>
      </c>
      <c r="C1860" t="inlineStr">
        <is>
          <t>LANDTRANSFEESSTATUS</t>
        </is>
      </c>
      <c r="D1860" t="inlineStr">
        <is>
          <t>VARCHAR(18)</t>
        </is>
      </c>
      <c r="E1860" t="inlineStr">
        <is>
          <t>YES</t>
        </is>
      </c>
      <c r="F1860" t="inlineStr">
        <is>
          <t>在建类房产所属土地出让金缴纳状态</t>
        </is>
      </c>
      <c r="H1860" t="inlineStr">
        <is>
          <t>VARCHAR</t>
        </is>
      </c>
      <c r="I1860" t="inlineStr">
        <is>
          <t>18</t>
        </is>
      </c>
    </row>
    <row r="1861">
      <c r="A1861" t="inlineStr">
        <is>
          <t>房地产/土地使用权/在建工程</t>
        </is>
      </c>
      <c r="B1861" t="inlineStr">
        <is>
          <t>CLR_ASSET_REALTY</t>
        </is>
      </c>
      <c r="C1861" t="inlineStr">
        <is>
          <t>BUILDINGPLANNINGNUMBER</t>
        </is>
      </c>
      <c r="D1861" t="inlineStr">
        <is>
          <t>VARCHAR(32)</t>
        </is>
      </c>
      <c r="E1861" t="inlineStr">
        <is>
          <t>YES</t>
        </is>
      </c>
      <c r="F1861" t="inlineStr">
        <is>
          <t>建设工程施工许可证编号</t>
        </is>
      </c>
      <c r="H1861" t="inlineStr">
        <is>
          <t>VARCHAR</t>
        </is>
      </c>
      <c r="I1861" t="inlineStr">
        <is>
          <t>32</t>
        </is>
      </c>
    </row>
    <row r="1862">
      <c r="A1862" t="inlineStr">
        <is>
          <t>房地产/土地使用权/在建工程</t>
        </is>
      </c>
      <c r="B1862" t="inlineStr">
        <is>
          <t>CLR_ASSET_REALTY</t>
        </is>
      </c>
      <c r="C1862" t="inlineStr">
        <is>
          <t>LANDPLANNINGNUMBER</t>
        </is>
      </c>
      <c r="D1862" t="inlineStr">
        <is>
          <t>VARCHAR(32)</t>
        </is>
      </c>
      <c r="E1862" t="inlineStr">
        <is>
          <t>YES</t>
        </is>
      </c>
      <c r="F1862" t="inlineStr">
        <is>
          <t>建设用地规划许可证编号</t>
        </is>
      </c>
      <c r="H1862" t="inlineStr">
        <is>
          <t>VARCHAR</t>
        </is>
      </c>
      <c r="I1862" t="inlineStr">
        <is>
          <t>32</t>
        </is>
      </c>
    </row>
    <row r="1863">
      <c r="A1863" t="inlineStr">
        <is>
          <t>房地产/土地使用权/在建工程</t>
        </is>
      </c>
      <c r="B1863" t="inlineStr">
        <is>
          <t>CLR_ASSET_REALTY</t>
        </is>
      </c>
      <c r="C1863" t="inlineStr">
        <is>
          <t>CONSTRUCTIONPLANNINGNUMBER</t>
        </is>
      </c>
      <c r="D1863" t="inlineStr">
        <is>
          <t>VARCHAR(32)</t>
        </is>
      </c>
      <c r="E1863" t="inlineStr">
        <is>
          <t>YES</t>
        </is>
      </c>
      <c r="F1863" t="inlineStr">
        <is>
          <t>建筑工程规划许可证编号</t>
        </is>
      </c>
      <c r="H1863" t="inlineStr">
        <is>
          <t>VARCHAR</t>
        </is>
      </c>
      <c r="I1863" t="inlineStr">
        <is>
          <t>32</t>
        </is>
      </c>
    </row>
    <row r="1864">
      <c r="A1864" t="inlineStr">
        <is>
          <t>房地产/土地使用权/在建工程</t>
        </is>
      </c>
      <c r="B1864" t="inlineStr">
        <is>
          <t>CLR_ASSET_REALTY</t>
        </is>
      </c>
      <c r="C1864" t="inlineStr">
        <is>
          <t>REALTYDETAIL</t>
        </is>
      </c>
      <c r="D1864" t="inlineStr">
        <is>
          <t>VARCHAR(500)</t>
        </is>
      </c>
      <c r="E1864" t="inlineStr">
        <is>
          <t>YES</t>
        </is>
      </c>
      <c r="F1864" t="inlineStr">
        <is>
          <t>房屋状况</t>
        </is>
      </c>
      <c r="H1864" t="inlineStr">
        <is>
          <t>VARCHAR</t>
        </is>
      </c>
      <c r="I1864" t="inlineStr">
        <is>
          <t>500</t>
        </is>
      </c>
    </row>
    <row r="1865">
      <c r="A1865" t="inlineStr">
        <is>
          <t>房地产/土地使用权/在建工程</t>
        </is>
      </c>
      <c r="B1865" t="inlineStr">
        <is>
          <t>CLR_ASSET_REALTY</t>
        </is>
      </c>
      <c r="C1865" t="inlineStr">
        <is>
          <t>LOANPURPOSE</t>
        </is>
      </c>
      <c r="D1865" t="inlineStr">
        <is>
          <t>VARCHAR(500)</t>
        </is>
      </c>
      <c r="E1865" t="inlineStr">
        <is>
          <t>YES</t>
        </is>
      </c>
      <c r="F1865" t="inlineStr">
        <is>
          <t>工业用房产申请贷款用途/在建类房产贷款用途</t>
        </is>
      </c>
      <c r="H1865" t="inlineStr">
        <is>
          <t>VARCHAR</t>
        </is>
      </c>
      <c r="I1865" t="inlineStr">
        <is>
          <t>500</t>
        </is>
      </c>
    </row>
    <row r="1866">
      <c r="A1866" t="inlineStr">
        <is>
          <t>房地产/土地使用权/在建工程</t>
        </is>
      </c>
      <c r="B1866" t="inlineStr">
        <is>
          <t>CLR_ASSET_REALTY</t>
        </is>
      </c>
      <c r="C1866" t="inlineStr">
        <is>
          <t>RRSFLAG13</t>
        </is>
      </c>
      <c r="D1866" t="inlineStr">
        <is>
          <t>CHAR(1)</t>
        </is>
      </c>
      <c r="E1866" t="inlineStr">
        <is>
          <t>YES</t>
        </is>
      </c>
      <c r="F1866" t="inlineStr">
        <is>
          <t>是否已提交国有资产管理部门或上级主管部门同意办理抵押的批准文件</t>
        </is>
      </c>
      <c r="H1866" t="inlineStr">
        <is>
          <t>CHAR</t>
        </is>
      </c>
      <c r="I1866" t="inlineStr">
        <is>
          <t>1</t>
        </is>
      </c>
    </row>
    <row r="1867">
      <c r="A1867" t="inlineStr">
        <is>
          <t>房地产/土地使用权/在建工程</t>
        </is>
      </c>
      <c r="B1867" t="inlineStr">
        <is>
          <t>CLR_ASSET_REALTY</t>
        </is>
      </c>
      <c r="C1867" t="inlineStr">
        <is>
          <t>RRSFLAG14</t>
        </is>
      </c>
      <c r="D1867" t="inlineStr">
        <is>
          <t>CHAR(1)</t>
        </is>
      </c>
      <c r="E1867" t="inlineStr">
        <is>
          <t>YES</t>
        </is>
      </c>
      <c r="F1867" t="inlineStr">
        <is>
          <t>是否已提交地价评估及确认报告</t>
        </is>
      </c>
      <c r="H1867" t="inlineStr">
        <is>
          <t>CHAR</t>
        </is>
      </c>
      <c r="I1867" t="inlineStr">
        <is>
          <t>1</t>
        </is>
      </c>
    </row>
    <row r="1868">
      <c r="A1868" t="inlineStr">
        <is>
          <t>房地产/土地使用权/在建工程</t>
        </is>
      </c>
      <c r="B1868" t="inlineStr">
        <is>
          <t>CLR_ASSET_REALTY</t>
        </is>
      </c>
      <c r="C1868" t="inlineStr">
        <is>
          <t>RRSFLAG15</t>
        </is>
      </c>
      <c r="D1868" t="inlineStr">
        <is>
          <t>CHAR(1)</t>
        </is>
      </c>
      <c r="E1868" t="inlineStr">
        <is>
          <t>YES</t>
        </is>
      </c>
      <c r="F1868" t="inlineStr">
        <is>
          <t>是否已提交同意抵押的职代会决议文件</t>
        </is>
      </c>
      <c r="H1868" t="inlineStr">
        <is>
          <t>CHAR</t>
        </is>
      </c>
      <c r="I1868" t="inlineStr">
        <is>
          <t>1</t>
        </is>
      </c>
    </row>
    <row r="1869">
      <c r="A1869" t="inlineStr">
        <is>
          <t>房地产/土地使用权/在建工程</t>
        </is>
      </c>
      <c r="B1869" t="inlineStr">
        <is>
          <t>CLR_ASSET_REALTY</t>
        </is>
      </c>
      <c r="C1869" t="inlineStr">
        <is>
          <t>RRSFLAG16</t>
        </is>
      </c>
      <c r="D1869" t="inlineStr">
        <is>
          <t>CHAR(1)</t>
        </is>
      </c>
      <c r="E1869" t="inlineStr">
        <is>
          <t>YES</t>
        </is>
      </c>
      <c r="F1869" t="inlineStr">
        <is>
          <t>是否已提交在建类房产相关的土地使用权出让合同</t>
        </is>
      </c>
      <c r="H1869" t="inlineStr">
        <is>
          <t>CHAR</t>
        </is>
      </c>
      <c r="I1869" t="inlineStr">
        <is>
          <t>1</t>
        </is>
      </c>
    </row>
    <row r="1870">
      <c r="A1870" t="inlineStr">
        <is>
          <t>房地产/土地使用权/在建工程</t>
        </is>
      </c>
      <c r="B1870" t="inlineStr">
        <is>
          <t>CLR_ASSET_REALTY</t>
        </is>
      </c>
      <c r="C1870" t="inlineStr">
        <is>
          <t>RRSFLAG17</t>
        </is>
      </c>
      <c r="D1870" t="inlineStr">
        <is>
          <t>CHAR(1)</t>
        </is>
      </c>
      <c r="E1870" t="inlineStr">
        <is>
          <t>YES</t>
        </is>
      </c>
      <c r="F1870" t="inlineStr">
        <is>
          <t>是否已提交建设工程规划许可证</t>
        </is>
      </c>
      <c r="H1870" t="inlineStr">
        <is>
          <t>CHAR</t>
        </is>
      </c>
      <c r="I1870" t="inlineStr">
        <is>
          <t>1</t>
        </is>
      </c>
    </row>
    <row r="1871">
      <c r="A1871" t="inlineStr">
        <is>
          <t>房地产/土地使用权/在建工程</t>
        </is>
      </c>
      <c r="B1871" t="inlineStr">
        <is>
          <t>CLR_ASSET_REALTY</t>
        </is>
      </c>
      <c r="C1871" t="inlineStr">
        <is>
          <t>RRSFLAG18</t>
        </is>
      </c>
      <c r="D1871" t="inlineStr">
        <is>
          <t>CHAR(1)</t>
        </is>
      </c>
      <c r="E1871" t="inlineStr">
        <is>
          <t>YES</t>
        </is>
      </c>
      <c r="F1871" t="inlineStr">
        <is>
          <t>是否已提交建筑工程施工许可证</t>
        </is>
      </c>
      <c r="H1871" t="inlineStr">
        <is>
          <t>CHAR</t>
        </is>
      </c>
      <c r="I1871" t="inlineStr">
        <is>
          <t>1</t>
        </is>
      </c>
    </row>
    <row r="1872">
      <c r="A1872" t="inlineStr">
        <is>
          <t>房地产/土地使用权/在建工程</t>
        </is>
      </c>
      <c r="B1872" t="inlineStr">
        <is>
          <t>CLR_ASSET_REALTY</t>
        </is>
      </c>
      <c r="C1872" t="inlineStr">
        <is>
          <t>RRSFLAG19</t>
        </is>
      </c>
      <c r="D1872" t="inlineStr">
        <is>
          <t>CHAR(1)</t>
        </is>
      </c>
      <c r="E1872" t="inlineStr">
        <is>
          <t>YES</t>
        </is>
      </c>
      <c r="F1872" t="inlineStr">
        <is>
          <t>是否已提交建设用地批准书</t>
        </is>
      </c>
      <c r="H1872" t="inlineStr">
        <is>
          <t>CHAR</t>
        </is>
      </c>
      <c r="I1872" t="inlineStr">
        <is>
          <t>1</t>
        </is>
      </c>
    </row>
    <row r="1873">
      <c r="A1873" t="inlineStr">
        <is>
          <t>房地产/土地使用权/在建工程</t>
        </is>
      </c>
      <c r="B1873" t="inlineStr">
        <is>
          <t>CLR_ASSET_REALTY</t>
        </is>
      </c>
      <c r="C1873" t="inlineStr">
        <is>
          <t>RRSFLAG20</t>
        </is>
      </c>
      <c r="D1873" t="inlineStr">
        <is>
          <t>CHAR(1)</t>
        </is>
      </c>
      <c r="E1873" t="inlineStr">
        <is>
          <t>YES</t>
        </is>
      </c>
      <c r="F1873" t="inlineStr">
        <is>
          <t>是否已提交商品房预售许可证</t>
        </is>
      </c>
      <c r="H1873" t="inlineStr">
        <is>
          <t>CHAR</t>
        </is>
      </c>
      <c r="I1873" t="inlineStr">
        <is>
          <t>1</t>
        </is>
      </c>
    </row>
    <row r="1874">
      <c r="A1874" t="inlineStr">
        <is>
          <t>房地产/土地使用权/在建工程</t>
        </is>
      </c>
      <c r="B1874" t="inlineStr">
        <is>
          <t>CLR_ASSET_REALTY</t>
        </is>
      </c>
      <c r="C1874" t="inlineStr">
        <is>
          <t>RRSFLAG21</t>
        </is>
      </c>
      <c r="D1874" t="inlineStr">
        <is>
          <t>CHAR(1)</t>
        </is>
      </c>
      <c r="E1874" t="inlineStr">
        <is>
          <t>YES</t>
        </is>
      </c>
      <c r="F1874" t="inlineStr">
        <is>
          <t>是否已提交建筑工程开工报告</t>
        </is>
      </c>
      <c r="H1874" t="inlineStr">
        <is>
          <t>CHAR</t>
        </is>
      </c>
      <c r="I1874" t="inlineStr">
        <is>
          <t>1</t>
        </is>
      </c>
    </row>
    <row r="1875">
      <c r="A1875" t="inlineStr">
        <is>
          <t>房地产/土地使用权/在建工程</t>
        </is>
      </c>
      <c r="B1875" t="inlineStr">
        <is>
          <t>CLR_ASSET_REALTY</t>
        </is>
      </c>
      <c r="C1875" t="inlineStr">
        <is>
          <t>RRSFLAG22</t>
        </is>
      </c>
      <c r="D1875" t="inlineStr">
        <is>
          <t>CHAR(1)</t>
        </is>
      </c>
      <c r="E1875" t="inlineStr">
        <is>
          <t>YES</t>
        </is>
      </c>
      <c r="F1875" t="inlineStr">
        <is>
          <t>是否已提交建筑工程规划图纸</t>
        </is>
      </c>
      <c r="H1875" t="inlineStr">
        <is>
          <t>CHAR</t>
        </is>
      </c>
      <c r="I1875" t="inlineStr">
        <is>
          <t>1</t>
        </is>
      </c>
    </row>
    <row r="1876">
      <c r="A1876" t="inlineStr">
        <is>
          <t>房地产/土地使用权/在建工程</t>
        </is>
      </c>
      <c r="B1876" t="inlineStr">
        <is>
          <t>CLR_ASSET_REALTY</t>
        </is>
      </c>
      <c r="C1876" t="inlineStr">
        <is>
          <t>RRSFLAG23</t>
        </is>
      </c>
      <c r="D1876" t="inlineStr">
        <is>
          <t>CHAR(1)</t>
        </is>
      </c>
      <c r="E1876" t="inlineStr">
        <is>
          <t>YES</t>
        </is>
      </c>
      <c r="F1876" t="inlineStr">
        <is>
          <t>是否已提交建设工程承包合同</t>
        </is>
      </c>
      <c r="H1876" t="inlineStr">
        <is>
          <t>CHAR</t>
        </is>
      </c>
      <c r="I1876" t="inlineStr">
        <is>
          <t>1</t>
        </is>
      </c>
    </row>
    <row r="1877">
      <c r="A1877" t="inlineStr">
        <is>
          <t>房地产/土地使用权/在建工程</t>
        </is>
      </c>
      <c r="B1877" t="inlineStr">
        <is>
          <t>CLR_ASSET_REALTY</t>
        </is>
      </c>
      <c r="C1877" t="inlineStr">
        <is>
          <t>RRSFLAG24</t>
        </is>
      </c>
      <c r="D1877" t="inlineStr">
        <is>
          <t>CHAR(1)</t>
        </is>
      </c>
      <c r="E1877" t="inlineStr">
        <is>
          <t>YES</t>
        </is>
      </c>
      <c r="F1877" t="inlineStr">
        <is>
          <t>完工程度是否达90%以上</t>
        </is>
      </c>
      <c r="H1877" t="inlineStr">
        <is>
          <t>CHAR</t>
        </is>
      </c>
      <c r="I1877" t="inlineStr">
        <is>
          <t>1</t>
        </is>
      </c>
    </row>
    <row r="1878">
      <c r="A1878" t="inlineStr">
        <is>
          <t>房地产/土地使用权/在建工程</t>
        </is>
      </c>
      <c r="B1878" t="inlineStr">
        <is>
          <t>CLR_ASSET_REALTY</t>
        </is>
      </c>
      <c r="C1878" t="inlineStr">
        <is>
          <t>RSFLAG01</t>
        </is>
      </c>
      <c r="D1878" t="inlineStr">
        <is>
          <t>CHAR(1)</t>
        </is>
      </c>
      <c r="E1878" t="inlineStr">
        <is>
          <t>YES</t>
        </is>
      </c>
      <c r="F1878" t="inlineStr">
        <is>
          <t>是否为国家机关财产</t>
        </is>
      </c>
      <c r="H1878" t="inlineStr">
        <is>
          <t>CHAR</t>
        </is>
      </c>
      <c r="I1878" t="inlineStr">
        <is>
          <t>1</t>
        </is>
      </c>
    </row>
    <row r="1879">
      <c r="A1879" t="inlineStr">
        <is>
          <t>房地产/土地使用权/在建工程</t>
        </is>
      </c>
      <c r="B1879" t="inlineStr">
        <is>
          <t>CLR_ASSET_REALTY</t>
        </is>
      </c>
      <c r="C1879" t="inlineStr">
        <is>
          <t>RSFLAG02</t>
        </is>
      </c>
      <c r="D1879" t="inlineStr">
        <is>
          <t>CHAR(1)</t>
        </is>
      </c>
      <c r="E1879" t="inlineStr">
        <is>
          <t>YES</t>
        </is>
      </c>
      <c r="F1879" t="inlineStr">
        <is>
          <t>是否为列为文物保护的古建筑或是有重要纪念意义的建筑物/是否交清地价</t>
        </is>
      </c>
      <c r="H1879" t="inlineStr">
        <is>
          <t>CHAR</t>
        </is>
      </c>
      <c r="I1879" t="inlineStr">
        <is>
          <t>1</t>
        </is>
      </c>
    </row>
    <row r="1880">
      <c r="A1880" t="inlineStr">
        <is>
          <t>房地产/土地使用权/在建工程</t>
        </is>
      </c>
      <c r="B1880" t="inlineStr">
        <is>
          <t>CLR_ASSET_REALTY</t>
        </is>
      </c>
      <c r="C1880" t="inlineStr">
        <is>
          <t>RSFLAG03</t>
        </is>
      </c>
      <c r="D1880" t="inlineStr">
        <is>
          <t>CHAR(1)</t>
        </is>
      </c>
      <c r="E1880" t="inlineStr">
        <is>
          <t>YES</t>
        </is>
      </c>
      <c r="F1880" t="inlineStr">
        <is>
          <t>是否为已依法公告在国家建设征用拆迁范围内的房地产</t>
        </is>
      </c>
      <c r="H1880" t="inlineStr">
        <is>
          <t>CHAR</t>
        </is>
      </c>
      <c r="I1880" t="inlineStr">
        <is>
          <t>1</t>
        </is>
      </c>
    </row>
    <row r="1881">
      <c r="A1881" t="inlineStr">
        <is>
          <t>房地产/土地使用权/在建工程</t>
        </is>
      </c>
      <c r="B1881" t="inlineStr">
        <is>
          <t>CLR_ASSET_REALTY</t>
        </is>
      </c>
      <c r="C1881" t="inlineStr">
        <is>
          <t>RSFLAG04</t>
        </is>
      </c>
      <c r="D1881" t="inlineStr">
        <is>
          <t>CHAR(1)</t>
        </is>
      </c>
      <c r="E1881" t="inlineStr">
        <is>
          <t>YES</t>
        </is>
      </c>
      <c r="F1881" t="inlineStr">
        <is>
          <t>是否已提交房地产权证书</t>
        </is>
      </c>
      <c r="H1881" t="inlineStr">
        <is>
          <t>CHAR</t>
        </is>
      </c>
      <c r="I1881" t="inlineStr">
        <is>
          <t>1</t>
        </is>
      </c>
    </row>
    <row r="1882">
      <c r="A1882" t="inlineStr">
        <is>
          <t>房地产/土地使用权/在建工程</t>
        </is>
      </c>
      <c r="B1882" t="inlineStr">
        <is>
          <t>CLR_ASSET_REALTY</t>
        </is>
      </c>
      <c r="C1882" t="inlineStr">
        <is>
          <t>RSFLAG05</t>
        </is>
      </c>
      <c r="D1882" t="inlineStr">
        <is>
          <t>CHAR(1)</t>
        </is>
      </c>
      <c r="E1882" t="inlineStr">
        <is>
          <t>YES</t>
        </is>
      </c>
      <c r="F1882" t="inlineStr">
        <is>
          <t>是否已提交房产的土地使用权证</t>
        </is>
      </c>
      <c r="H1882" t="inlineStr">
        <is>
          <t>CHAR</t>
        </is>
      </c>
      <c r="I1882" t="inlineStr">
        <is>
          <t>1</t>
        </is>
      </c>
    </row>
    <row r="1883">
      <c r="A1883" t="inlineStr">
        <is>
          <t>房地产/土地使用权/在建工程</t>
        </is>
      </c>
      <c r="B1883" t="inlineStr">
        <is>
          <t>CLR_ASSET_REALTY</t>
        </is>
      </c>
      <c r="C1883" t="inlineStr">
        <is>
          <t>RSFLAG06</t>
        </is>
      </c>
      <c r="D1883" t="inlineStr">
        <is>
          <t>CHAR(1)</t>
        </is>
      </c>
      <c r="E1883" t="inlineStr">
        <is>
          <t>YES</t>
        </is>
      </c>
      <c r="F1883" t="inlineStr">
        <is>
          <t>是否已提交房产的出租合同与相关登记证明</t>
        </is>
      </c>
      <c r="H1883" t="inlineStr">
        <is>
          <t>CHAR</t>
        </is>
      </c>
      <c r="I1883" t="inlineStr">
        <is>
          <t>1</t>
        </is>
      </c>
    </row>
    <row r="1884">
      <c r="A1884" t="inlineStr">
        <is>
          <t>房地产/土地使用权/在建工程</t>
        </is>
      </c>
      <c r="B1884" t="inlineStr">
        <is>
          <t>CLR_ASSET_REALTY</t>
        </is>
      </c>
      <c r="C1884" t="inlineStr">
        <is>
          <t>RSFLAG07</t>
        </is>
      </c>
      <c r="D1884" t="inlineStr">
        <is>
          <t>CHAR(1)</t>
        </is>
      </c>
      <c r="E1884" t="inlineStr">
        <is>
          <t>YES</t>
        </is>
      </c>
      <c r="F1884" t="inlineStr">
        <is>
          <t>是否已提交房产的土地使用权出让合同</t>
        </is>
      </c>
      <c r="H1884" t="inlineStr">
        <is>
          <t>CHAR</t>
        </is>
      </c>
      <c r="I1884" t="inlineStr">
        <is>
          <t>1</t>
        </is>
      </c>
    </row>
    <row r="1885">
      <c r="A1885" t="inlineStr">
        <is>
          <t>房地产/土地使用权/在建工程</t>
        </is>
      </c>
      <c r="B1885" t="inlineStr">
        <is>
          <t>CLR_ASSET_REALTY</t>
        </is>
      </c>
      <c r="C1885" t="inlineStr">
        <is>
          <t>RRSFLAG01</t>
        </is>
      </c>
      <c r="D1885" t="inlineStr">
        <is>
          <t>CHAR(1)</t>
        </is>
      </c>
      <c r="E1885" t="inlineStr">
        <is>
          <t>YES</t>
        </is>
      </c>
      <c r="F1885" t="inlineStr">
        <is>
          <t>是否已存在售出的预告登记</t>
        </is>
      </c>
      <c r="H1885" t="inlineStr">
        <is>
          <t>CHAR</t>
        </is>
      </c>
      <c r="I1885" t="inlineStr">
        <is>
          <t>1</t>
        </is>
      </c>
    </row>
    <row r="1886">
      <c r="A1886" t="inlineStr">
        <is>
          <t>房地产/土地使用权/在建工程</t>
        </is>
      </c>
      <c r="B1886" t="inlineStr">
        <is>
          <t>CLR_ASSET_REALTY</t>
        </is>
      </c>
      <c r="C1886" t="inlineStr">
        <is>
          <t>RRSFLAG02</t>
        </is>
      </c>
      <c r="D1886" t="inlineStr">
        <is>
          <t>CHAR(1)</t>
        </is>
      </c>
      <c r="E1886" t="inlineStr">
        <is>
          <t>YES</t>
        </is>
      </c>
      <c r="F1886" t="inlineStr">
        <is>
          <t>是否为政策性住房</t>
        </is>
      </c>
      <c r="H1886" t="inlineStr">
        <is>
          <t>CHAR</t>
        </is>
      </c>
      <c r="I1886" t="inlineStr">
        <is>
          <t>1</t>
        </is>
      </c>
    </row>
    <row r="1887">
      <c r="A1887" t="inlineStr">
        <is>
          <t>房地产/土地使用权/在建工程</t>
        </is>
      </c>
      <c r="B1887" t="inlineStr">
        <is>
          <t>CLR_ASSET_REALTY</t>
        </is>
      </c>
      <c r="C1887" t="inlineStr">
        <is>
          <t>RRSFLAG03</t>
        </is>
      </c>
      <c r="D1887" t="inlineStr">
        <is>
          <t>CHAR(1)</t>
        </is>
      </c>
      <c r="E1887" t="inlineStr">
        <is>
          <t>YES</t>
        </is>
      </c>
      <c r="F1887" t="inlineStr">
        <is>
          <t>是否已提交商品房预购（售）合同</t>
        </is>
      </c>
      <c r="H1887" t="inlineStr">
        <is>
          <t>CHAR</t>
        </is>
      </c>
      <c r="I1887" t="inlineStr">
        <is>
          <t>1</t>
        </is>
      </c>
    </row>
    <row r="1888">
      <c r="A1888" t="inlineStr">
        <is>
          <t>房地产/土地使用权/在建工程</t>
        </is>
      </c>
      <c r="B1888" t="inlineStr">
        <is>
          <t>CLR_ASSET_REALTY</t>
        </is>
      </c>
      <c r="C1888" t="inlineStr">
        <is>
          <t>RRSFLAG04</t>
        </is>
      </c>
      <c r="D1888" t="inlineStr">
        <is>
          <t>CHAR(1)</t>
        </is>
      </c>
      <c r="E1888" t="inlineStr">
        <is>
          <t>YES</t>
        </is>
      </c>
      <c r="F1888" t="inlineStr">
        <is>
          <t>是否已提交房型图复印件</t>
        </is>
      </c>
      <c r="H1888" t="inlineStr">
        <is>
          <t>CHAR</t>
        </is>
      </c>
      <c r="I1888" t="inlineStr">
        <is>
          <t>1</t>
        </is>
      </c>
    </row>
    <row r="1889">
      <c r="A1889" t="inlineStr">
        <is>
          <t>房地产/土地使用权/在建工程</t>
        </is>
      </c>
      <c r="B1889" t="inlineStr">
        <is>
          <t>CLR_ASSET_REALTY</t>
        </is>
      </c>
      <c r="C1889" t="inlineStr">
        <is>
          <t>RRSFLAG05</t>
        </is>
      </c>
      <c r="D1889" t="inlineStr">
        <is>
          <t>CHAR(1)</t>
        </is>
      </c>
      <c r="E1889" t="inlineStr">
        <is>
          <t>YES</t>
        </is>
      </c>
      <c r="F1889" t="inlineStr">
        <is>
          <t>是否已提交抵押物共有人出具的同意抵押的书面授权文件</t>
        </is>
      </c>
      <c r="H1889" t="inlineStr">
        <is>
          <t>CHAR</t>
        </is>
      </c>
      <c r="I1889" t="inlineStr">
        <is>
          <t>1</t>
        </is>
      </c>
    </row>
    <row r="1890">
      <c r="A1890" t="inlineStr">
        <is>
          <t>房地产/土地使用权/在建工程</t>
        </is>
      </c>
      <c r="B1890" t="inlineStr">
        <is>
          <t>CLR_ASSET_REALTY</t>
        </is>
      </c>
      <c r="C1890" t="inlineStr">
        <is>
          <t>RRSFLAG06</t>
        </is>
      </c>
      <c r="D1890" t="inlineStr">
        <is>
          <t>CHAR(1)</t>
        </is>
      </c>
      <c r="E1890" t="inlineStr">
        <is>
          <t>YES</t>
        </is>
      </c>
      <c r="F1890" t="inlineStr">
        <is>
          <t>是否已提交房屋租赁合同</t>
        </is>
      </c>
      <c r="H1890" t="inlineStr">
        <is>
          <t>CHAR</t>
        </is>
      </c>
      <c r="I1890" t="inlineStr">
        <is>
          <t>1</t>
        </is>
      </c>
    </row>
    <row r="1891">
      <c r="A1891" t="inlineStr">
        <is>
          <t>房地产/土地使用权/在建工程</t>
        </is>
      </c>
      <c r="B1891" t="inlineStr">
        <is>
          <t>CLR_ASSET_REALTY</t>
        </is>
      </c>
      <c r="C1891" t="inlineStr">
        <is>
          <t>RRSFLAG07</t>
        </is>
      </c>
      <c r="D1891" t="inlineStr">
        <is>
          <t>CHAR(1)</t>
        </is>
      </c>
      <c r="E1891" t="inlineStr">
        <is>
          <t>YES</t>
        </is>
      </c>
      <c r="F1891" t="inlineStr">
        <is>
          <t>是否已投入商业运营</t>
        </is>
      </c>
      <c r="H1891" t="inlineStr">
        <is>
          <t>CHAR</t>
        </is>
      </c>
      <c r="I1891" t="inlineStr">
        <is>
          <t>1</t>
        </is>
      </c>
    </row>
    <row r="1892">
      <c r="A1892" t="inlineStr">
        <is>
          <t>房地产/土地使用权/在建工程</t>
        </is>
      </c>
      <c r="B1892" t="inlineStr">
        <is>
          <t>CLR_ASSET_REALTY</t>
        </is>
      </c>
      <c r="C1892" t="inlineStr">
        <is>
          <t>RRSFLAG08</t>
        </is>
      </c>
      <c r="D1892" t="inlineStr">
        <is>
          <t>CHAR(1)</t>
        </is>
      </c>
      <c r="E1892" t="inlineStr">
        <is>
          <t>YES</t>
        </is>
      </c>
      <c r="F1892" t="inlineStr">
        <is>
          <t>是否已提交独立产权证明</t>
        </is>
      </c>
      <c r="H1892" t="inlineStr">
        <is>
          <t>CHAR</t>
        </is>
      </c>
      <c r="I1892" t="inlineStr">
        <is>
          <t>1</t>
        </is>
      </c>
    </row>
    <row r="1893">
      <c r="A1893" t="inlineStr">
        <is>
          <t>房地产/土地使用权/在建工程</t>
        </is>
      </c>
      <c r="B1893" t="inlineStr">
        <is>
          <t>CLR_ASSET_REALTY</t>
        </is>
      </c>
      <c r="C1893" t="inlineStr">
        <is>
          <t>RRSFLAG09</t>
        </is>
      </c>
      <c r="D1893" t="inlineStr">
        <is>
          <t>CHAR(1)</t>
        </is>
      </c>
      <c r="E1893" t="inlineStr">
        <is>
          <t>YES</t>
        </is>
      </c>
      <c r="F1893" t="inlineStr">
        <is>
          <t>商办/工业用房产是否为违法、违章建筑物或依法被查封、扣押、监管或采用其他强制性措施的财产</t>
        </is>
      </c>
      <c r="H1893" t="inlineStr">
        <is>
          <t>CHAR</t>
        </is>
      </c>
      <c r="I1893" t="inlineStr">
        <is>
          <t>1</t>
        </is>
      </c>
    </row>
    <row r="1894">
      <c r="A1894" t="inlineStr">
        <is>
          <t>房地产/土地使用权/在建工程</t>
        </is>
      </c>
      <c r="B1894" t="inlineStr">
        <is>
          <t>CLR_ASSET_REALTY</t>
        </is>
      </c>
      <c r="C1894" t="inlineStr">
        <is>
          <t>RRSFLAG10</t>
        </is>
      </c>
      <c r="D1894" t="inlineStr">
        <is>
          <t>CHAR(1)</t>
        </is>
      </c>
      <c r="E1894" t="inlineStr">
        <is>
          <t>YES</t>
        </is>
      </c>
      <c r="F1894" t="inlineStr">
        <is>
          <t>商办用房产是否已办妥独立产权证或能办理独立产权证</t>
        </is>
      </c>
      <c r="H1894" t="inlineStr">
        <is>
          <t>CHAR</t>
        </is>
      </c>
      <c r="I1894" t="inlineStr">
        <is>
          <t>1</t>
        </is>
      </c>
    </row>
    <row r="1895">
      <c r="A1895" t="inlineStr">
        <is>
          <t>房地产/土地使用权/在建工程</t>
        </is>
      </c>
      <c r="B1895" t="inlineStr">
        <is>
          <t>CLR_ASSET_REALTY</t>
        </is>
      </c>
      <c r="C1895" t="inlineStr">
        <is>
          <t>RRSFLAG11</t>
        </is>
      </c>
      <c r="D1895" t="inlineStr">
        <is>
          <t>CHAR(1)</t>
        </is>
      </c>
      <c r="E1895" t="inlineStr">
        <is>
          <t>YES</t>
        </is>
      </c>
      <c r="F1895" t="inlineStr">
        <is>
          <t>工业用房产内是否可进行商品化交易</t>
        </is>
      </c>
      <c r="H1895" t="inlineStr">
        <is>
          <t>CHAR</t>
        </is>
      </c>
      <c r="I1895" t="inlineStr">
        <is>
          <t>1</t>
        </is>
      </c>
    </row>
    <row r="1896">
      <c r="A1896" t="inlineStr">
        <is>
          <t>房地产/土地使用权/在建工程</t>
        </is>
      </c>
      <c r="B1896" t="inlineStr">
        <is>
          <t>CLR_ASSET_REALTY</t>
        </is>
      </c>
      <c r="C1896" t="inlineStr">
        <is>
          <t>RRSFLAG12</t>
        </is>
      </c>
      <c r="D1896" t="inlineStr">
        <is>
          <t>CHAR(1)</t>
        </is>
      </c>
      <c r="E1896" t="inlineStr">
        <is>
          <t>YES</t>
        </is>
      </c>
      <c r="F1896" t="inlineStr">
        <is>
          <t>工业用房产是否已竣工验收</t>
        </is>
      </c>
      <c r="H1896" t="inlineStr">
        <is>
          <t>CHAR</t>
        </is>
      </c>
      <c r="I1896" t="inlineStr">
        <is>
          <t>1</t>
        </is>
      </c>
    </row>
    <row r="1897">
      <c r="A1897" t="inlineStr">
        <is>
          <t>房地产/土地使用权/在建工程</t>
        </is>
      </c>
      <c r="B1897" t="inlineStr">
        <is>
          <t>CLR_ASSET_REALTY</t>
        </is>
      </c>
      <c r="C1897" t="inlineStr">
        <is>
          <t>RRSFLAG25</t>
        </is>
      </c>
      <c r="D1897" t="inlineStr">
        <is>
          <t>CHAR(1)</t>
        </is>
      </c>
      <c r="E1897" t="inlineStr">
        <is>
          <t>YES</t>
        </is>
      </c>
      <c r="F1897" t="inlineStr">
        <is>
          <t>四证是否齐全</t>
        </is>
      </c>
      <c r="H1897" t="inlineStr">
        <is>
          <t>CHAR</t>
        </is>
      </c>
      <c r="I1897" t="inlineStr">
        <is>
          <t>1</t>
        </is>
      </c>
    </row>
    <row r="1898">
      <c r="A1898" t="inlineStr">
        <is>
          <t>房地产/土地使用权/在建工程</t>
        </is>
      </c>
      <c r="B1898" t="inlineStr">
        <is>
          <t>CLR_ASSET_REALTY</t>
        </is>
      </c>
      <c r="C1898" t="inlineStr">
        <is>
          <t>WORKPERMITNMUBER</t>
        </is>
      </c>
      <c r="D1898" t="inlineStr">
        <is>
          <t>VARCHAR(32)</t>
        </is>
      </c>
      <c r="E1898" t="inlineStr">
        <is>
          <t>YES</t>
        </is>
      </c>
      <c r="F1898" t="inlineStr">
        <is>
          <t>建设工程施工许可证编号</t>
        </is>
      </c>
      <c r="H1898" t="inlineStr">
        <is>
          <t>VARCHAR</t>
        </is>
      </c>
      <c r="I1898" t="inlineStr">
        <is>
          <t>32</t>
        </is>
      </c>
    </row>
    <row r="1899">
      <c r="A1899" t="inlineStr">
        <is>
          <t>房地产/土地使用权/在建工程</t>
        </is>
      </c>
      <c r="B1899" t="inlineStr">
        <is>
          <t>CLR_ASSET_REALTY</t>
        </is>
      </c>
      <c r="C1899" t="inlineStr">
        <is>
          <t>REALTYHEIGHT</t>
        </is>
      </c>
      <c r="D1899" t="inlineStr">
        <is>
          <t>INT</t>
        </is>
      </c>
      <c r="E1899" t="inlineStr">
        <is>
          <t>YES</t>
        </is>
      </c>
      <c r="F1899" t="inlineStr">
        <is>
          <t>房屋所在楼层</t>
        </is>
      </c>
      <c r="H1899" t="inlineStr">
        <is>
          <t>INT</t>
        </is>
      </c>
    </row>
    <row r="1900">
      <c r="A1900" t="inlineStr">
        <is>
          <t>房地产/土地使用权/在建工程</t>
        </is>
      </c>
      <c r="B1900" t="inlineStr">
        <is>
          <t>CLR_ASSET_REALTY</t>
        </is>
      </c>
      <c r="C1900" t="inlineStr">
        <is>
          <t>INPUTORGID</t>
        </is>
      </c>
      <c r="D1900" t="inlineStr">
        <is>
          <t>VARCHAR(32)</t>
        </is>
      </c>
      <c r="E1900" t="inlineStr">
        <is>
          <t>YES</t>
        </is>
      </c>
      <c r="F1900" t="inlineStr">
        <is>
          <t>登记机构</t>
        </is>
      </c>
      <c r="H1900" t="inlineStr">
        <is>
          <t>VARCHAR</t>
        </is>
      </c>
      <c r="I1900" t="inlineStr">
        <is>
          <t>32</t>
        </is>
      </c>
    </row>
    <row r="1901">
      <c r="A1901" t="inlineStr">
        <is>
          <t>房地产/土地使用权/在建工程</t>
        </is>
      </c>
      <c r="B1901" t="inlineStr">
        <is>
          <t>CLR_ASSET_REALTY</t>
        </is>
      </c>
      <c r="C1901" t="inlineStr">
        <is>
          <t>INPUTUSERID</t>
        </is>
      </c>
      <c r="D1901" t="inlineStr">
        <is>
          <t>VARCHAR(32)</t>
        </is>
      </c>
      <c r="E1901" t="inlineStr">
        <is>
          <t>YES</t>
        </is>
      </c>
      <c r="F1901" t="inlineStr">
        <is>
          <t>登记人</t>
        </is>
      </c>
      <c r="H1901" t="inlineStr">
        <is>
          <t>VARCHAR</t>
        </is>
      </c>
      <c r="I1901" t="inlineStr">
        <is>
          <t>32</t>
        </is>
      </c>
    </row>
    <row r="1902">
      <c r="A1902" t="inlineStr">
        <is>
          <t>房地产/土地使用权/在建工程</t>
        </is>
      </c>
      <c r="B1902" t="inlineStr">
        <is>
          <t>CLR_ASSET_REALTY</t>
        </is>
      </c>
      <c r="C1902" t="inlineStr">
        <is>
          <t>INPUTDATE</t>
        </is>
      </c>
      <c r="D1902" t="inlineStr">
        <is>
          <t>DATETIME</t>
        </is>
      </c>
      <c r="E1902" t="inlineStr">
        <is>
          <t>YES</t>
        </is>
      </c>
      <c r="F1902" t="inlineStr">
        <is>
          <t>登记日期</t>
        </is>
      </c>
      <c r="H1902" t="inlineStr">
        <is>
          <t>DATETIME</t>
        </is>
      </c>
    </row>
    <row r="1903">
      <c r="A1903" t="inlineStr">
        <is>
          <t>房地产/土地使用权/在建工程</t>
        </is>
      </c>
      <c r="B1903" t="inlineStr">
        <is>
          <t>CLR_ASSET_REALTY</t>
        </is>
      </c>
      <c r="C1903" t="inlineStr">
        <is>
          <t>UPDATEORGID</t>
        </is>
      </c>
      <c r="D1903" t="inlineStr">
        <is>
          <t>VARCHAR(32)</t>
        </is>
      </c>
      <c r="E1903" t="inlineStr">
        <is>
          <t>YES</t>
        </is>
      </c>
      <c r="F1903" t="inlineStr">
        <is>
          <t>更新机构</t>
        </is>
      </c>
      <c r="H1903" t="inlineStr">
        <is>
          <t>VARCHAR</t>
        </is>
      </c>
      <c r="I1903" t="inlineStr">
        <is>
          <t>32</t>
        </is>
      </c>
    </row>
    <row r="1904">
      <c r="A1904" t="inlineStr">
        <is>
          <t>房地产/土地使用权/在建工程</t>
        </is>
      </c>
      <c r="B1904" t="inlineStr">
        <is>
          <t>CLR_ASSET_REALTY</t>
        </is>
      </c>
      <c r="C1904" t="inlineStr">
        <is>
          <t>UPDATEUSERID</t>
        </is>
      </c>
      <c r="D1904" t="inlineStr">
        <is>
          <t>VARCHAR(32)</t>
        </is>
      </c>
      <c r="E1904" t="inlineStr">
        <is>
          <t>YES</t>
        </is>
      </c>
      <c r="F1904" t="inlineStr">
        <is>
          <t>更新人</t>
        </is>
      </c>
      <c r="H1904" t="inlineStr">
        <is>
          <t>VARCHAR</t>
        </is>
      </c>
      <c r="I1904" t="inlineStr">
        <is>
          <t>32</t>
        </is>
      </c>
    </row>
    <row r="1905">
      <c r="A1905" t="inlineStr">
        <is>
          <t>房地产/土地使用权/在建工程</t>
        </is>
      </c>
      <c r="B1905" t="inlineStr">
        <is>
          <t>CLR_ASSET_REALTY</t>
        </is>
      </c>
      <c r="C1905" t="inlineStr">
        <is>
          <t>UPDATEDATE</t>
        </is>
      </c>
      <c r="D1905" t="inlineStr">
        <is>
          <t>DATETIME</t>
        </is>
      </c>
      <c r="E1905" t="inlineStr">
        <is>
          <t>YES</t>
        </is>
      </c>
      <c r="F1905" t="inlineStr">
        <is>
          <t>更新日期</t>
        </is>
      </c>
      <c r="H1905" t="inlineStr">
        <is>
          <t>DATETIME</t>
        </is>
      </c>
    </row>
    <row r="1906">
      <c r="A1906" t="inlineStr">
        <is>
          <t>房地产/土地使用权/在建工程</t>
        </is>
      </c>
      <c r="B1906" t="inlineStr">
        <is>
          <t>CLR_ASSET_REALTY</t>
        </is>
      </c>
      <c r="C1906" t="inlineStr">
        <is>
          <t>REMARK</t>
        </is>
      </c>
      <c r="D1906" t="inlineStr">
        <is>
          <t>VARCHAR(500)</t>
        </is>
      </c>
      <c r="E1906" t="inlineStr">
        <is>
          <t>YES</t>
        </is>
      </c>
      <c r="F1906" t="inlineStr">
        <is>
          <t>备注</t>
        </is>
      </c>
      <c r="H1906" t="inlineStr">
        <is>
          <t>VARCHAR</t>
        </is>
      </c>
      <c r="I1906" t="inlineStr">
        <is>
          <t>500</t>
        </is>
      </c>
    </row>
    <row r="1907">
      <c r="A1907" t="inlineStr">
        <is>
          <t>房地产/土地使用权/在建工程</t>
        </is>
      </c>
      <c r="B1907" t="inlineStr">
        <is>
          <t>CLR_ASSET_REALTY</t>
        </is>
      </c>
      <c r="C1907" t="inlineStr">
        <is>
          <t>WORKPERMITNUMBER</t>
        </is>
      </c>
      <c r="D1907" t="inlineStr">
        <is>
          <t>VARCHAR(32)</t>
        </is>
      </c>
      <c r="E1907" t="inlineStr">
        <is>
          <t>YES</t>
        </is>
      </c>
      <c r="F1907" t="inlineStr">
        <is>
          <t>建设工程施工许可证编号</t>
        </is>
      </c>
      <c r="H1907" t="inlineStr">
        <is>
          <t>VARCHAR</t>
        </is>
      </c>
      <c r="I1907" t="inlineStr">
        <is>
          <t>32</t>
        </is>
      </c>
    </row>
    <row r="1908">
      <c r="A1908" t="inlineStr">
        <is>
          <t>房地产/土地使用权/在建工程</t>
        </is>
      </c>
      <c r="B1908" t="inlineStr">
        <is>
          <t>CLR_ASSET_REALTY</t>
        </is>
      </c>
      <c r="C1908" t="inlineStr">
        <is>
          <t>CORPORGID</t>
        </is>
      </c>
      <c r="D1908" t="inlineStr">
        <is>
          <t>VARCHAR(32)</t>
        </is>
      </c>
      <c r="E1908" t="inlineStr">
        <is>
          <t>YES</t>
        </is>
      </c>
      <c r="F1908" t="inlineStr">
        <is>
          <t>法人机构编号</t>
        </is>
      </c>
      <c r="H1908" t="inlineStr">
        <is>
          <t>VARCHAR</t>
        </is>
      </c>
      <c r="I1908" t="inlineStr">
        <is>
          <t>32</t>
        </is>
      </c>
    </row>
    <row r="1909">
      <c r="A1909" t="inlineStr">
        <is>
          <t>房地产/土地使用权/在建工程</t>
        </is>
      </c>
      <c r="B1909" t="inlineStr">
        <is>
          <t>CLR_ASSET_REALTY</t>
        </is>
      </c>
      <c r="C1909" t="inlineStr">
        <is>
          <t>ANCILLARYFACILITY</t>
        </is>
      </c>
      <c r="D1909" t="inlineStr">
        <is>
          <t>VARCHAR(1000)</t>
        </is>
      </c>
      <c r="E1909" t="inlineStr">
        <is>
          <t>YES</t>
        </is>
      </c>
      <c r="F1909" t="inlineStr">
        <is>
          <t>配套设施情况/在建类房产项目用途</t>
        </is>
      </c>
      <c r="H1909" t="inlineStr">
        <is>
          <t>VARCHAR</t>
        </is>
      </c>
      <c r="I1909" t="inlineStr">
        <is>
          <t>1000</t>
        </is>
      </c>
    </row>
    <row r="1910">
      <c r="A1910" t="inlineStr">
        <is>
          <t>房地产/土地使用权/在建工程</t>
        </is>
      </c>
      <c r="B1910" t="inlineStr">
        <is>
          <t>CLR_ASSET_REALTY</t>
        </is>
      </c>
      <c r="C1910" t="inlineStr">
        <is>
          <t>PLANLIMITCONDITION</t>
        </is>
      </c>
      <c r="D1910" t="inlineStr">
        <is>
          <t>VARCHAR(1000)</t>
        </is>
      </c>
      <c r="E1910" t="inlineStr">
        <is>
          <t>YES</t>
        </is>
      </c>
      <c r="F1910" t="inlineStr">
        <is>
          <t>规划限制条件</t>
        </is>
      </c>
      <c r="H1910" t="inlineStr">
        <is>
          <t>VARCHAR</t>
        </is>
      </c>
      <c r="I1910" t="inlineStr">
        <is>
          <t>1000</t>
        </is>
      </c>
    </row>
    <row r="1911">
      <c r="A1911" t="inlineStr">
        <is>
          <t>房地产/土地使用权/在建工程</t>
        </is>
      </c>
      <c r="B1911" t="inlineStr">
        <is>
          <t>CLR_ASSET_REALTY</t>
        </is>
      </c>
      <c r="C1911" t="inlineStr">
        <is>
          <t>ISMORTGAGE</t>
        </is>
      </c>
      <c r="D1911" t="inlineStr">
        <is>
          <t>VARCHAR(6)</t>
        </is>
      </c>
      <c r="E1911" t="inlineStr">
        <is>
          <t>YES</t>
        </is>
      </c>
      <c r="F1911" t="inlineStr">
        <is>
          <t>是否按揭</t>
        </is>
      </c>
      <c r="H1911" t="inlineStr">
        <is>
          <t>VARCHAR</t>
        </is>
      </c>
      <c r="I1911" t="inlineStr">
        <is>
          <t>6</t>
        </is>
      </c>
    </row>
    <row r="1912">
      <c r="A1912" t="inlineStr">
        <is>
          <t>房地产/土地使用权/在建工程</t>
        </is>
      </c>
      <c r="B1912" t="inlineStr">
        <is>
          <t>CLR_ASSET_REALTY</t>
        </is>
      </c>
      <c r="C1912" t="inlineStr">
        <is>
          <t>COUNTRY</t>
        </is>
      </c>
      <c r="D1912" t="inlineStr">
        <is>
          <t>VARCHAR(6)</t>
        </is>
      </c>
      <c r="E1912" t="inlineStr">
        <is>
          <t>YES</t>
        </is>
      </c>
      <c r="F1912" t="inlineStr">
        <is>
          <t>所在国家</t>
        </is>
      </c>
      <c r="H1912" t="inlineStr">
        <is>
          <t>VARCHAR</t>
        </is>
      </c>
      <c r="I1912" t="inlineStr">
        <is>
          <t>6</t>
        </is>
      </c>
    </row>
    <row r="1913">
      <c r="A1913" t="inlineStr">
        <is>
          <t>房地产/土地使用权/在建工程</t>
        </is>
      </c>
      <c r="B1913" t="inlineStr">
        <is>
          <t>CLR_ASSET_REALTY</t>
        </is>
      </c>
      <c r="C1913" t="inlineStr">
        <is>
          <t>PREMORTGAGEDTIME</t>
        </is>
      </c>
      <c r="D1913" t="inlineStr">
        <is>
          <t>DATETIME</t>
        </is>
      </c>
      <c r="E1913" t="inlineStr">
        <is>
          <t>YES</t>
        </is>
      </c>
      <c r="F1913" t="inlineStr">
        <is>
          <t>预抵押登记完成时间</t>
        </is>
      </c>
      <c r="H1913" t="inlineStr">
        <is>
          <t>DATETIME</t>
        </is>
      </c>
    </row>
    <row r="1914">
      <c r="A1914" t="inlineStr">
        <is>
          <t>房地产/土地使用权/在建工程</t>
        </is>
      </c>
      <c r="B1914" t="inlineStr">
        <is>
          <t>CLR_ASSET_REALTY</t>
        </is>
      </c>
      <c r="C1914" t="inlineStr">
        <is>
          <t>TRADEVALUE</t>
        </is>
      </c>
      <c r="D1914" t="inlineStr">
        <is>
          <t>DECIMAL(24,6)</t>
        </is>
      </c>
      <c r="E1914" t="inlineStr">
        <is>
          <t>YES</t>
        </is>
      </c>
      <c r="F1914" t="inlineStr">
        <is>
          <t>交易价值</t>
        </is>
      </c>
      <c r="H1914" t="inlineStr">
        <is>
          <t>DECIMAL</t>
        </is>
      </c>
      <c r="I1914" t="inlineStr">
        <is>
          <t>24,6</t>
        </is>
      </c>
    </row>
    <row r="1915">
      <c r="A1915" t="inlineStr">
        <is>
          <t>房地产/土地使用权/在建工程</t>
        </is>
      </c>
      <c r="B1915" t="inlineStr">
        <is>
          <t>CLR_ASSET_REALTY</t>
        </is>
      </c>
      <c r="C1915" t="inlineStr">
        <is>
          <t>CURRENCY</t>
        </is>
      </c>
      <c r="D1915" t="inlineStr">
        <is>
          <t>VARCHAR(18)</t>
        </is>
      </c>
      <c r="E1915" t="inlineStr">
        <is>
          <t>YES</t>
        </is>
      </c>
      <c r="F1915" t="inlineStr">
        <is>
          <t>币种</t>
        </is>
      </c>
      <c r="H1915" t="inlineStr">
        <is>
          <t>VARCHAR</t>
        </is>
      </c>
      <c r="I1915" t="inlineStr">
        <is>
          <t>18</t>
        </is>
      </c>
    </row>
    <row r="1916">
      <c r="A1916" t="inlineStr">
        <is>
          <t>房地产/土地使用权/在建工程</t>
        </is>
      </c>
      <c r="B1916" t="inlineStr">
        <is>
          <t>CLR_ASSET_REALTY</t>
        </is>
      </c>
      <c r="C1916" t="inlineStr">
        <is>
          <t>PAYMENTPAID</t>
        </is>
      </c>
      <c r="D1916" t="inlineStr">
        <is>
          <t>DECIMAL(24,6)</t>
        </is>
      </c>
      <c r="E1916" t="inlineStr">
        <is>
          <t>YES</t>
        </is>
      </c>
      <c r="F1916" t="inlineStr">
        <is>
          <t>已付房款</t>
        </is>
      </c>
      <c r="H1916" t="inlineStr">
        <is>
          <t>DECIMAL</t>
        </is>
      </c>
      <c r="I1916" t="inlineStr">
        <is>
          <t>24,6</t>
        </is>
      </c>
    </row>
    <row r="1917">
      <c r="A1917" t="inlineStr">
        <is>
          <t>房地产/土地使用权/在建工程</t>
        </is>
      </c>
      <c r="B1917" t="inlineStr">
        <is>
          <t>CLR_ASSET_REALTY</t>
        </is>
      </c>
      <c r="C1917" t="inlineStr">
        <is>
          <t>LOANCARDNO</t>
        </is>
      </c>
      <c r="D1917" t="inlineStr">
        <is>
          <t>VARCHAR(32)</t>
        </is>
      </c>
      <c r="E1917" t="inlineStr">
        <is>
          <t>YES</t>
        </is>
      </c>
      <c r="F1917" t="inlineStr">
        <is>
          <t>贷款卡号/权利人贷款卡号</t>
        </is>
      </c>
      <c r="H1917" t="inlineStr">
        <is>
          <t>VARCHAR</t>
        </is>
      </c>
      <c r="I1917" t="inlineStr">
        <is>
          <t>32</t>
        </is>
      </c>
    </row>
    <row r="1918">
      <c r="A1918" t="inlineStr">
        <is>
          <t>房地产/土地使用权/在建工程</t>
        </is>
      </c>
      <c r="B1918" t="inlineStr">
        <is>
          <t>CLR_ASSET_REALTY</t>
        </is>
      </c>
      <c r="C1918" t="inlineStr">
        <is>
          <t>REGISTERINFO</t>
        </is>
      </c>
      <c r="D1918" t="inlineStr">
        <is>
          <t>VARCHAR(500)</t>
        </is>
      </c>
      <c r="E1918" t="inlineStr">
        <is>
          <t>YES</t>
        </is>
      </c>
      <c r="F1918" t="inlineStr">
        <is>
          <t>抵押物登记情况</t>
        </is>
      </c>
      <c r="H1918" t="inlineStr">
        <is>
          <t>VARCHAR</t>
        </is>
      </c>
      <c r="I1918" t="inlineStr">
        <is>
          <t>500</t>
        </is>
      </c>
    </row>
    <row r="1919">
      <c r="A1919" t="inlineStr">
        <is>
          <t>房地产/土地使用权/在建工程</t>
        </is>
      </c>
      <c r="B1919" t="inlineStr">
        <is>
          <t>CLR_ASSET_REALTY</t>
        </is>
      </c>
      <c r="C1919" t="inlineStr">
        <is>
          <t>ISMORTGAGEDSELF</t>
        </is>
      </c>
      <c r="D1919" t="inlineStr">
        <is>
          <t>VARCHAR(6)</t>
        </is>
      </c>
      <c r="E1919" t="inlineStr">
        <is>
          <t>YES</t>
        </is>
      </c>
      <c r="F1919" t="inlineStr">
        <is>
          <t>此抵押物是否当前申请所购/所抵资产</t>
        </is>
      </c>
      <c r="H1919" t="inlineStr">
        <is>
          <t>VARCHAR</t>
        </is>
      </c>
      <c r="I1919" t="inlineStr">
        <is>
          <t>6</t>
        </is>
      </c>
    </row>
    <row r="1920">
      <c r="A1920" t="inlineStr">
        <is>
          <t>房地产/土地使用权/在建工程</t>
        </is>
      </c>
      <c r="B1920" t="inlineStr">
        <is>
          <t>CLR_ASSET_REALTY</t>
        </is>
      </c>
      <c r="C1920" t="inlineStr">
        <is>
          <t>ISSAMECITY</t>
        </is>
      </c>
      <c r="D1920" t="inlineStr">
        <is>
          <t>VARCHAR(6)</t>
        </is>
      </c>
      <c r="E1920" t="inlineStr">
        <is>
          <t>YES</t>
        </is>
      </c>
      <c r="F1920" t="inlineStr">
        <is>
          <t>房产与经办机构是否在同一城市</t>
        </is>
      </c>
      <c r="H1920" t="inlineStr">
        <is>
          <t>VARCHAR</t>
        </is>
      </c>
      <c r="I1920" t="inlineStr">
        <is>
          <t>6</t>
        </is>
      </c>
    </row>
    <row r="1921">
      <c r="A1921" t="inlineStr">
        <is>
          <t>房地产/土地使用权/在建工程</t>
        </is>
      </c>
      <c r="B1921" t="inlineStr">
        <is>
          <t>CLR_ASSET_REALTY</t>
        </is>
      </c>
      <c r="C1921" t="inlineStr">
        <is>
          <t>HOUSEORDER</t>
        </is>
      </c>
      <c r="D1921" t="inlineStr">
        <is>
          <t>VARCHAR(6)</t>
        </is>
      </c>
      <c r="E1921" t="inlineStr">
        <is>
          <t>YES</t>
        </is>
      </c>
      <c r="F1921" t="inlineStr">
        <is>
          <t>第几套住房</t>
        </is>
      </c>
      <c r="H1921" t="inlineStr">
        <is>
          <t>VARCHAR</t>
        </is>
      </c>
      <c r="I1921" t="inlineStr">
        <is>
          <t>6</t>
        </is>
      </c>
    </row>
    <row r="1922">
      <c r="A1922" t="inlineStr">
        <is>
          <t>房地产/土地使用权/在建工程</t>
        </is>
      </c>
      <c r="B1922" t="inlineStr">
        <is>
          <t>CLR_ASSET_REALTY</t>
        </is>
      </c>
      <c r="C1922" t="inlineStr">
        <is>
          <t>HOUSEAGE</t>
        </is>
      </c>
      <c r="D1922" t="inlineStr">
        <is>
          <t>VARCHAR(6)</t>
        </is>
      </c>
      <c r="E1922" t="inlineStr">
        <is>
          <t>YES</t>
        </is>
      </c>
      <c r="F1922" t="inlineStr">
        <is>
          <t>房龄</t>
        </is>
      </c>
      <c r="H1922" t="inlineStr">
        <is>
          <t>VARCHAR</t>
        </is>
      </c>
      <c r="I1922" t="inlineStr">
        <is>
          <t>6</t>
        </is>
      </c>
    </row>
    <row r="1923">
      <c r="A1923" t="inlineStr">
        <is>
          <t>房地产/土地使用权/在建工程</t>
        </is>
      </c>
      <c r="B1923" t="inlineStr">
        <is>
          <t>CLR_ASSET_REALTY</t>
        </is>
      </c>
      <c r="C1923" t="inlineStr">
        <is>
          <t>LANDUSERIGHTUNIT</t>
        </is>
      </c>
      <c r="D1923" t="inlineStr">
        <is>
          <t>VARCHAR(200)</t>
        </is>
      </c>
      <c r="E1923" t="inlineStr">
        <is>
          <t>YES</t>
        </is>
      </c>
      <c r="F1923" t="inlineStr">
        <is>
          <t>土地使用权单位</t>
        </is>
      </c>
      <c r="H1923" t="inlineStr">
        <is>
          <t>VARCHAR</t>
        </is>
      </c>
      <c r="I1923" t="inlineStr">
        <is>
          <t>200</t>
        </is>
      </c>
    </row>
    <row r="1924">
      <c r="A1924" t="inlineStr">
        <is>
          <t>房地产/土地使用权/在建工程</t>
        </is>
      </c>
      <c r="B1924" t="inlineStr">
        <is>
          <t>CLR_ASSET_REALTY</t>
        </is>
      </c>
      <c r="C1924" t="inlineStr">
        <is>
          <t>LANDOTHERRIGHTCERT</t>
        </is>
      </c>
      <c r="D1924" t="inlineStr">
        <is>
          <t>VARCHAR(80)</t>
        </is>
      </c>
      <c r="E1924" t="inlineStr">
        <is>
          <t>YES</t>
        </is>
      </c>
      <c r="F1924" t="inlineStr">
        <is>
          <t>土地他项使用权利证号</t>
        </is>
      </c>
      <c r="H1924" t="inlineStr">
        <is>
          <t>VARCHAR</t>
        </is>
      </c>
      <c r="I1924" t="inlineStr">
        <is>
          <t>80</t>
        </is>
      </c>
    </row>
    <row r="1925">
      <c r="A1925" t="inlineStr">
        <is>
          <t>房地产/土地使用权/在建工程</t>
        </is>
      </c>
      <c r="B1925" t="inlineStr">
        <is>
          <t>CLR_ASSET_REALTY</t>
        </is>
      </c>
      <c r="C1925" t="inlineStr">
        <is>
          <t>LOCATION</t>
        </is>
      </c>
      <c r="D1925" t="inlineStr">
        <is>
          <t>VARCHAR(200)</t>
        </is>
      </c>
      <c r="E1925" t="inlineStr">
        <is>
          <t>YES</t>
        </is>
      </c>
      <c r="F1925" t="inlineStr">
        <is>
          <t>地段</t>
        </is>
      </c>
      <c r="H1925" t="inlineStr">
        <is>
          <t>VARCHAR</t>
        </is>
      </c>
      <c r="I1925" t="inlineStr">
        <is>
          <t>200</t>
        </is>
      </c>
    </row>
    <row r="1926">
      <c r="A1926" t="inlineStr">
        <is>
          <t>房地产/土地使用权/在建工程</t>
        </is>
      </c>
      <c r="B1926" t="inlineStr">
        <is>
          <t>CLR_ASSET_REALTY</t>
        </is>
      </c>
      <c r="C1926" t="inlineStr">
        <is>
          <t>MORTGAGEDACCOUNTINGSTATUS</t>
        </is>
      </c>
      <c r="D1926" t="inlineStr">
        <is>
          <t>VARCHAR(100)</t>
        </is>
      </c>
      <c r="E1926" t="inlineStr">
        <is>
          <t>YES</t>
        </is>
      </c>
      <c r="F1926" t="inlineStr">
        <is>
          <t>抵押物入账情况</t>
        </is>
      </c>
      <c r="H1926" t="inlineStr">
        <is>
          <t>VARCHAR</t>
        </is>
      </c>
      <c r="I1926" t="inlineStr">
        <is>
          <t>100</t>
        </is>
      </c>
    </row>
    <row r="1927">
      <c r="A1927" t="inlineStr">
        <is>
          <t>房地产/土地使用权/在建工程</t>
        </is>
      </c>
      <c r="B1927" t="inlineStr">
        <is>
          <t>CLR_ASSET_REALTY</t>
        </is>
      </c>
      <c r="C1927" t="inlineStr">
        <is>
          <t>HOUSEOTHERRIGHTCERT</t>
        </is>
      </c>
      <c r="D1927" t="inlineStr">
        <is>
          <t>VARCHAR(40)</t>
        </is>
      </c>
      <c r="E1927" t="inlineStr">
        <is>
          <t>YES</t>
        </is>
      </c>
      <c r="F1927" t="inlineStr">
        <is>
          <t>房屋他项权证书编号</t>
        </is>
      </c>
      <c r="H1927" t="inlineStr">
        <is>
          <t>VARCHAR</t>
        </is>
      </c>
      <c r="I1927" t="inlineStr">
        <is>
          <t>40</t>
        </is>
      </c>
    </row>
    <row r="1928">
      <c r="A1928" t="inlineStr">
        <is>
          <t>房地产/土地使用权/在建工程</t>
        </is>
      </c>
      <c r="B1928" t="inlineStr">
        <is>
          <t>CLR_ASSET_REALTY</t>
        </is>
      </c>
      <c r="C1928" t="inlineStr">
        <is>
          <t>OTHERSRIGHTDATE</t>
        </is>
      </c>
      <c r="D1928" t="inlineStr">
        <is>
          <t>DATETIME</t>
        </is>
      </c>
      <c r="E1928" t="inlineStr">
        <is>
          <t>YES</t>
        </is>
      </c>
      <c r="F1928" t="inlineStr">
        <is>
          <t>取得他项权证时间</t>
        </is>
      </c>
      <c r="H1928" t="inlineStr">
        <is>
          <t>DATETIME</t>
        </is>
      </c>
    </row>
    <row r="1929">
      <c r="A1929" t="inlineStr">
        <is>
          <t>房地产/土地使用权/在建工程</t>
        </is>
      </c>
      <c r="B1929" t="inlineStr">
        <is>
          <t>CLR_ASSET_REALTY</t>
        </is>
      </c>
      <c r="C1929" t="inlineStr">
        <is>
          <t>ISPARTMORTGAGED</t>
        </is>
      </c>
      <c r="D1929" t="inlineStr">
        <is>
          <t>VARCHAR(6)</t>
        </is>
      </c>
      <c r="E1929" t="inlineStr">
        <is>
          <t>YES</t>
        </is>
      </c>
      <c r="F1929" t="inlineStr">
        <is>
          <t>是否部分抵押</t>
        </is>
      </c>
      <c r="H1929" t="inlineStr">
        <is>
          <t>VARCHAR</t>
        </is>
      </c>
      <c r="I1929" t="inlineStr">
        <is>
          <t>6</t>
        </is>
      </c>
    </row>
    <row r="1930">
      <c r="A1930" t="inlineStr">
        <is>
          <t>房地产/土地使用权/在建工程</t>
        </is>
      </c>
      <c r="B1930" t="inlineStr">
        <is>
          <t>CLR_ASSET_REALTY</t>
        </is>
      </c>
      <c r="C1930" t="inlineStr">
        <is>
          <t>GUARANTYDESCRIPT</t>
        </is>
      </c>
      <c r="D1930" t="inlineStr">
        <is>
          <t>VARCHAR(800)</t>
        </is>
      </c>
      <c r="E1930" t="inlineStr">
        <is>
          <t>YES</t>
        </is>
      </c>
      <c r="F1930" t="inlineStr">
        <is>
          <t>抵押物说明</t>
        </is>
      </c>
      <c r="H1930" t="inlineStr">
        <is>
          <t>VARCHAR</t>
        </is>
      </c>
      <c r="I1930" t="inlineStr">
        <is>
          <t>800</t>
        </is>
      </c>
    </row>
    <row r="1931">
      <c r="A1931" t="inlineStr">
        <is>
          <t>房地产/土地使用权/在建工程</t>
        </is>
      </c>
      <c r="B1931" t="inlineStr">
        <is>
          <t>CLR_ASSET_REALTY</t>
        </is>
      </c>
      <c r="C1931" t="inlineStr">
        <is>
          <t>REALIZATIONVALUE</t>
        </is>
      </c>
      <c r="D1931" t="inlineStr">
        <is>
          <t>DECIMAL(24,6)</t>
        </is>
      </c>
      <c r="E1931" t="inlineStr">
        <is>
          <t>YES</t>
        </is>
      </c>
      <c r="F1931" t="inlineStr">
        <is>
          <t>预计变现值</t>
        </is>
      </c>
      <c r="H1931" t="inlineStr">
        <is>
          <t>DECIMAL</t>
        </is>
      </c>
      <c r="I1931" t="inlineStr">
        <is>
          <t>24,6</t>
        </is>
      </c>
    </row>
    <row r="1932">
      <c r="A1932" t="inlineStr">
        <is>
          <t>房地产/土地使用权/在建工程</t>
        </is>
      </c>
      <c r="B1932" t="inlineStr">
        <is>
          <t>CLR_ASSET_REALTY</t>
        </is>
      </c>
      <c r="C1932" t="inlineStr">
        <is>
          <t>REALIZATIONCOST</t>
        </is>
      </c>
      <c r="D1932" t="inlineStr">
        <is>
          <t>DECIMAL(24,6)</t>
        </is>
      </c>
      <c r="E1932" t="inlineStr">
        <is>
          <t>YES</t>
        </is>
      </c>
      <c r="F1932" t="inlineStr">
        <is>
          <t>预计变现成本</t>
        </is>
      </c>
      <c r="H1932" t="inlineStr">
        <is>
          <t>DECIMAL</t>
        </is>
      </c>
      <c r="I1932" t="inlineStr">
        <is>
          <t>24,6</t>
        </is>
      </c>
    </row>
    <row r="1933">
      <c r="A1933" t="inlineStr">
        <is>
          <t>房地产/土地使用权/在建工程</t>
        </is>
      </c>
      <c r="B1933" t="inlineStr">
        <is>
          <t>CLR_ASSET_REALTY</t>
        </is>
      </c>
      <c r="C1933" t="inlineStr">
        <is>
          <t>LANDNO</t>
        </is>
      </c>
      <c r="D1933" t="inlineStr">
        <is>
          <t>VARCHAR(32)</t>
        </is>
      </c>
      <c r="E1933" t="inlineStr">
        <is>
          <t>YES</t>
        </is>
      </c>
      <c r="F1933" t="inlineStr">
        <is>
          <t>所属土地宗地号</t>
        </is>
      </c>
      <c r="H1933" t="inlineStr">
        <is>
          <t>VARCHAR</t>
        </is>
      </c>
      <c r="I1933" t="inlineStr">
        <is>
          <t>32</t>
        </is>
      </c>
    </row>
    <row r="1934">
      <c r="A1934" t="inlineStr">
        <is>
          <t>房地产/土地使用权/在建工程</t>
        </is>
      </c>
      <c r="B1934" t="inlineStr">
        <is>
          <t>CLR_ASSET_REALTY</t>
        </is>
      </c>
      <c r="C1934" t="inlineStr">
        <is>
          <t>HASLANDATTACHMENT</t>
        </is>
      </c>
      <c r="D1934" t="inlineStr">
        <is>
          <t>VARCHAR(6)</t>
        </is>
      </c>
      <c r="E1934" t="inlineStr">
        <is>
          <t>YES</t>
        </is>
      </c>
      <c r="F1934" t="inlineStr">
        <is>
          <t>地上有无附着物</t>
        </is>
      </c>
      <c r="H1934" t="inlineStr">
        <is>
          <t>VARCHAR</t>
        </is>
      </c>
      <c r="I1934" t="inlineStr">
        <is>
          <t>6</t>
        </is>
      </c>
    </row>
    <row r="1935">
      <c r="A1935" t="inlineStr">
        <is>
          <t>房地产/土地使用权/在建工程</t>
        </is>
      </c>
      <c r="B1935" t="inlineStr">
        <is>
          <t>CLR_ASSET_REALTY</t>
        </is>
      </c>
      <c r="C1935" t="inlineStr">
        <is>
          <t>HASLANDFIXTURE</t>
        </is>
      </c>
      <c r="D1935" t="inlineStr">
        <is>
          <t>VARCHAR(6)</t>
        </is>
      </c>
      <c r="E1935" t="inlineStr">
        <is>
          <t>YES</t>
        </is>
      </c>
      <c r="F1935" t="inlineStr">
        <is>
          <t>是否连带地上定着物</t>
        </is>
      </c>
      <c r="H1935" t="inlineStr">
        <is>
          <t>VARCHAR</t>
        </is>
      </c>
      <c r="I1935" t="inlineStr">
        <is>
          <t>6</t>
        </is>
      </c>
    </row>
    <row r="1936">
      <c r="A1936" t="inlineStr">
        <is>
          <t>房地产/土地使用权/在建工程</t>
        </is>
      </c>
      <c r="B1936" t="inlineStr">
        <is>
          <t>CLR_ASSET_REALTY</t>
        </is>
      </c>
      <c r="C1936" t="inlineStr">
        <is>
          <t>LANDNATURE</t>
        </is>
      </c>
      <c r="D1936" t="inlineStr">
        <is>
          <t>VARCHAR(6)</t>
        </is>
      </c>
      <c r="E1936" t="inlineStr">
        <is>
          <t>YES</t>
        </is>
      </c>
      <c r="F1936" t="inlineStr">
        <is>
          <t>土地性质</t>
        </is>
      </c>
      <c r="H1936" t="inlineStr">
        <is>
          <t>VARCHAR</t>
        </is>
      </c>
      <c r="I1936" t="inlineStr">
        <is>
          <t>6</t>
        </is>
      </c>
    </row>
    <row r="1937">
      <c r="A1937" t="inlineStr">
        <is>
          <t>房地产/土地使用权/在建工程</t>
        </is>
      </c>
      <c r="B1937" t="inlineStr">
        <is>
          <t>CLR_ASSET_REALTY</t>
        </is>
      </c>
      <c r="C1937" t="inlineStr">
        <is>
          <t>WORKCOMPLETED</t>
        </is>
      </c>
      <c r="D1937" t="inlineStr">
        <is>
          <t>VARCHAR(200)</t>
        </is>
      </c>
      <c r="E1937" t="inlineStr">
        <is>
          <t>YES</t>
        </is>
      </c>
      <c r="F1937" t="inlineStr">
        <is>
          <t>已完成工程量</t>
        </is>
      </c>
      <c r="H1937" t="inlineStr">
        <is>
          <t>VARCHAR</t>
        </is>
      </c>
      <c r="I1937" t="inlineStr">
        <is>
          <t>200</t>
        </is>
      </c>
    </row>
    <row r="1938">
      <c r="A1938" t="inlineStr">
        <is>
          <t>应收账款;交易和收费权)</t>
        </is>
      </c>
      <c r="B1938" t="inlineStr">
        <is>
          <t>CLR_ASSET_RECEIVABLE</t>
        </is>
      </c>
      <c r="C1938" t="inlineStr">
        <is>
          <t>CLRID</t>
        </is>
      </c>
      <c r="D1938" t="inlineStr">
        <is>
          <t>VARCHAR(32)</t>
        </is>
      </c>
      <c r="E1938" t="inlineStr">
        <is>
          <t>NO</t>
        </is>
      </c>
      <c r="F1938" t="inlineStr">
        <is>
          <t>押品编号</t>
        </is>
      </c>
      <c r="H1938" t="inlineStr">
        <is>
          <t>VARCHAR</t>
        </is>
      </c>
      <c r="I1938" t="inlineStr">
        <is>
          <t>32</t>
        </is>
      </c>
    </row>
    <row r="1939">
      <c r="A1939" t="inlineStr">
        <is>
          <t>应收账款;交易和收费权)</t>
        </is>
      </c>
      <c r="B1939" t="inlineStr">
        <is>
          <t>CLR_ASSET_RECEIVABLE</t>
        </is>
      </c>
      <c r="C1939" t="inlineStr">
        <is>
          <t>BUSINESSLICENCENO</t>
        </is>
      </c>
      <c r="D1939" t="inlineStr">
        <is>
          <t>VARCHAR(32)</t>
        </is>
      </c>
      <c r="E1939" t="inlineStr">
        <is>
          <t>YES</t>
        </is>
      </c>
      <c r="F1939" t="inlineStr">
        <is>
          <t>营业执照编号/收款人营业执照号</t>
        </is>
      </c>
      <c r="H1939" t="inlineStr">
        <is>
          <t>VARCHAR</t>
        </is>
      </c>
      <c r="I1939" t="inlineStr">
        <is>
          <t>32</t>
        </is>
      </c>
    </row>
    <row r="1940">
      <c r="A1940" t="inlineStr">
        <is>
          <t>应收账款;交易和收费权)</t>
        </is>
      </c>
      <c r="B1940" t="inlineStr">
        <is>
          <t>CLR_ASSET_RECEIVABLE</t>
        </is>
      </c>
      <c r="C1940" t="inlineStr">
        <is>
          <t>INVOICENO</t>
        </is>
      </c>
      <c r="D1940" t="inlineStr">
        <is>
          <t>VARCHAR(32)</t>
        </is>
      </c>
      <c r="E1940" t="inlineStr">
        <is>
          <t>YES</t>
        </is>
      </c>
      <c r="F1940" t="inlineStr">
        <is>
          <t>发票号</t>
        </is>
      </c>
      <c r="H1940" t="inlineStr">
        <is>
          <t>VARCHAR</t>
        </is>
      </c>
      <c r="I1940" t="inlineStr">
        <is>
          <t>32</t>
        </is>
      </c>
    </row>
    <row r="1941">
      <c r="A1941" t="inlineStr">
        <is>
          <t>应收账款;交易和收费权)</t>
        </is>
      </c>
      <c r="B1941" t="inlineStr">
        <is>
          <t>CLR_ASSET_RECEIVABLE</t>
        </is>
      </c>
      <c r="C1941" t="inlineStr">
        <is>
          <t>ORDERNO</t>
        </is>
      </c>
      <c r="D1941" t="inlineStr">
        <is>
          <t>VARCHAR(32)</t>
        </is>
      </c>
      <c r="E1941" t="inlineStr">
        <is>
          <t>YES</t>
        </is>
      </c>
      <c r="F1941" t="inlineStr">
        <is>
          <t>合同或订单编号</t>
        </is>
      </c>
      <c r="H1941" t="inlineStr">
        <is>
          <t>VARCHAR</t>
        </is>
      </c>
      <c r="I1941" t="inlineStr">
        <is>
          <t>32</t>
        </is>
      </c>
    </row>
    <row r="1942">
      <c r="A1942" t="inlineStr">
        <is>
          <t>应收账款;交易和收费权)</t>
        </is>
      </c>
      <c r="B1942" t="inlineStr">
        <is>
          <t>CLR_ASSET_RECEIVABLE</t>
        </is>
      </c>
      <c r="C1942" t="inlineStr">
        <is>
          <t>ORDERNAME</t>
        </is>
      </c>
      <c r="D1942" t="inlineStr">
        <is>
          <t>VARCHAR(80)</t>
        </is>
      </c>
      <c r="E1942" t="inlineStr">
        <is>
          <t>YES</t>
        </is>
      </c>
      <c r="F1942" t="inlineStr">
        <is>
          <t>合同或订单名称</t>
        </is>
      </c>
      <c r="H1942" t="inlineStr">
        <is>
          <t>VARCHAR</t>
        </is>
      </c>
      <c r="I1942" t="inlineStr">
        <is>
          <t>80</t>
        </is>
      </c>
    </row>
    <row r="1943">
      <c r="A1943" t="inlineStr">
        <is>
          <t>应收账款;交易和收费权)</t>
        </is>
      </c>
      <c r="B1943" t="inlineStr">
        <is>
          <t>CLR_ASSET_RECEIVABLE</t>
        </is>
      </c>
      <c r="C1943" t="inlineStr">
        <is>
          <t>PAYEE</t>
        </is>
      </c>
      <c r="D1943" t="inlineStr">
        <is>
          <t>VARCHAR(80)</t>
        </is>
      </c>
      <c r="E1943" t="inlineStr">
        <is>
          <t>YES</t>
        </is>
      </c>
      <c r="F1943" t="inlineStr">
        <is>
          <t>应收账款收款人</t>
        </is>
      </c>
      <c r="H1943" t="inlineStr">
        <is>
          <t>VARCHAR</t>
        </is>
      </c>
      <c r="I1943" t="inlineStr">
        <is>
          <t>80</t>
        </is>
      </c>
    </row>
    <row r="1944">
      <c r="A1944" t="inlineStr">
        <is>
          <t>应收账款;交易和收费权)</t>
        </is>
      </c>
      <c r="B1944" t="inlineStr">
        <is>
          <t>CLR_ASSET_RECEIVABLE</t>
        </is>
      </c>
      <c r="C1944" t="inlineStr">
        <is>
          <t>DRAWEE</t>
        </is>
      </c>
      <c r="D1944" t="inlineStr">
        <is>
          <t>VARCHAR(80)</t>
        </is>
      </c>
      <c r="E1944" t="inlineStr">
        <is>
          <t>YES</t>
        </is>
      </c>
      <c r="F1944" t="inlineStr">
        <is>
          <t>应收账款付款人</t>
        </is>
      </c>
      <c r="H1944" t="inlineStr">
        <is>
          <t>VARCHAR</t>
        </is>
      </c>
      <c r="I1944" t="inlineStr">
        <is>
          <t>80</t>
        </is>
      </c>
    </row>
    <row r="1945">
      <c r="A1945" t="inlineStr">
        <is>
          <t>应收账款;交易和收费权)</t>
        </is>
      </c>
      <c r="B1945" t="inlineStr">
        <is>
          <t>CLR_ASSET_RECEIVABLE</t>
        </is>
      </c>
      <c r="C1945" t="inlineStr">
        <is>
          <t>ACCOUNTINFO</t>
        </is>
      </c>
      <c r="D1945" t="inlineStr">
        <is>
          <t>VARCHAR(500)</t>
        </is>
      </c>
      <c r="E1945" t="inlineStr">
        <is>
          <t>YES</t>
        </is>
      </c>
      <c r="F1945" t="inlineStr">
        <is>
          <t>应收账款登记信息</t>
        </is>
      </c>
      <c r="H1945" t="inlineStr">
        <is>
          <t>VARCHAR</t>
        </is>
      </c>
      <c r="I1945" t="inlineStr">
        <is>
          <t>500</t>
        </is>
      </c>
    </row>
    <row r="1946">
      <c r="A1946" t="inlineStr">
        <is>
          <t>应收账款;交易和收费权)</t>
        </is>
      </c>
      <c r="B1946" t="inlineStr">
        <is>
          <t>CLR_ASSET_RECEIVABLE</t>
        </is>
      </c>
      <c r="C1946" t="inlineStr">
        <is>
          <t>ACCOUNTCONTENT</t>
        </is>
      </c>
      <c r="D1946" t="inlineStr">
        <is>
          <t>VARCHAR(500)</t>
        </is>
      </c>
      <c r="E1946" t="inlineStr">
        <is>
          <t>YES</t>
        </is>
      </c>
      <c r="F1946" t="inlineStr">
        <is>
          <t>应收账款内容</t>
        </is>
      </c>
      <c r="H1946" t="inlineStr">
        <is>
          <t>VARCHAR</t>
        </is>
      </c>
      <c r="I1946" t="inlineStr">
        <is>
          <t>500</t>
        </is>
      </c>
    </row>
    <row r="1947">
      <c r="A1947" t="inlineStr">
        <is>
          <t>应收账款;交易和收费权)</t>
        </is>
      </c>
      <c r="B1947" t="inlineStr">
        <is>
          <t>CLR_ASSET_RECEIVABLE</t>
        </is>
      </c>
      <c r="C1947" t="inlineStr">
        <is>
          <t>CHARGETYPE</t>
        </is>
      </c>
      <c r="D1947" t="inlineStr">
        <is>
          <t>VARCHAR(6)</t>
        </is>
      </c>
      <c r="E1947" t="inlineStr">
        <is>
          <t>YES</t>
        </is>
      </c>
      <c r="F1947" t="inlineStr">
        <is>
          <t>收费权类型</t>
        </is>
      </c>
      <c r="H1947" t="inlineStr">
        <is>
          <t>VARCHAR</t>
        </is>
      </c>
      <c r="I1947" t="inlineStr">
        <is>
          <t>6</t>
        </is>
      </c>
    </row>
    <row r="1948">
      <c r="A1948" t="inlineStr">
        <is>
          <t>应收账款;交易和收费权)</t>
        </is>
      </c>
      <c r="B1948" t="inlineStr">
        <is>
          <t>CLR_ASSET_RECEIVABLE</t>
        </is>
      </c>
      <c r="C1948" t="inlineStr">
        <is>
          <t>SPECIALACCOUNTNAME</t>
        </is>
      </c>
      <c r="D1948" t="inlineStr">
        <is>
          <t>VARCHAR(80)</t>
        </is>
      </c>
      <c r="E1948" t="inlineStr">
        <is>
          <t>YES</t>
        </is>
      </c>
      <c r="F1948" t="inlineStr">
        <is>
          <t>收费权专用账户户名/专用账户户名/收费权专用账户户名</t>
        </is>
      </c>
      <c r="H1948" t="inlineStr">
        <is>
          <t>VARCHAR</t>
        </is>
      </c>
      <c r="I1948" t="inlineStr">
        <is>
          <t>80</t>
        </is>
      </c>
    </row>
    <row r="1949">
      <c r="A1949" t="inlineStr">
        <is>
          <t>应收账款;交易和收费权)</t>
        </is>
      </c>
      <c r="B1949" t="inlineStr">
        <is>
          <t>CLR_ASSET_RECEIVABLE</t>
        </is>
      </c>
      <c r="C1949" t="inlineStr">
        <is>
          <t>SPECIALACCOUNTNO</t>
        </is>
      </c>
      <c r="D1949" t="inlineStr">
        <is>
          <t>VARCHAR(32)</t>
        </is>
      </c>
      <c r="E1949" t="inlineStr">
        <is>
          <t>YES</t>
        </is>
      </c>
      <c r="F1949" t="inlineStr">
        <is>
          <t>收费权专用账户账号/专用账户账号/收费权专用账户账号/应收账款收款人专用账户账号</t>
        </is>
      </c>
      <c r="H1949" t="inlineStr">
        <is>
          <t>VARCHAR</t>
        </is>
      </c>
      <c r="I1949" t="inlineStr">
        <is>
          <t>32</t>
        </is>
      </c>
    </row>
    <row r="1950">
      <c r="A1950" t="inlineStr">
        <is>
          <t>应收账款;交易和收费权)</t>
        </is>
      </c>
      <c r="B1950" t="inlineStr">
        <is>
          <t>CLR_ASSET_RECEIVABLE</t>
        </is>
      </c>
      <c r="C1950" t="inlineStr">
        <is>
          <t>SPECIALACCOUNTBANK</t>
        </is>
      </c>
      <c r="D1950" t="inlineStr">
        <is>
          <t>VARCHAR(80)</t>
        </is>
      </c>
      <c r="E1950" t="inlineStr">
        <is>
          <t>YES</t>
        </is>
      </c>
      <c r="F1950" t="inlineStr">
        <is>
          <t>收费权专用账户开户行/专用账户开户行/收费权专用账户开户行/应收账款收款人专用账户开户行</t>
        </is>
      </c>
      <c r="H1950" t="inlineStr">
        <is>
          <t>VARCHAR</t>
        </is>
      </c>
      <c r="I1950" t="inlineStr">
        <is>
          <t>80</t>
        </is>
      </c>
    </row>
    <row r="1951">
      <c r="A1951" t="inlineStr">
        <is>
          <t>应收账款;交易和收费权)</t>
        </is>
      </c>
      <c r="B1951" t="inlineStr">
        <is>
          <t>CLR_ASSET_RECEIVABLE</t>
        </is>
      </c>
      <c r="C1951" t="inlineStr">
        <is>
          <t>CURRENCY</t>
        </is>
      </c>
      <c r="D1951" t="inlineStr">
        <is>
          <t>VARCHAR(18)</t>
        </is>
      </c>
      <c r="E1951" t="inlineStr">
        <is>
          <t>YES</t>
        </is>
      </c>
      <c r="F1951" t="inlineStr">
        <is>
          <t>币种</t>
        </is>
      </c>
      <c r="H1951" t="inlineStr">
        <is>
          <t>VARCHAR</t>
        </is>
      </c>
      <c r="I1951" t="inlineStr">
        <is>
          <t>18</t>
        </is>
      </c>
    </row>
    <row r="1952">
      <c r="A1952" t="inlineStr">
        <is>
          <t>应收账款;交易和收费权)</t>
        </is>
      </c>
      <c r="B1952" t="inlineStr">
        <is>
          <t>CLR_ASSET_RECEIVABLE</t>
        </is>
      </c>
      <c r="C1952" t="inlineStr">
        <is>
          <t>DEALACCOUNTAMOUNT</t>
        </is>
      </c>
      <c r="D1952" t="inlineStr">
        <is>
          <t>DECIMAL(24,6)</t>
        </is>
      </c>
      <c r="E1952" t="inlineStr">
        <is>
          <t>YES</t>
        </is>
      </c>
      <c r="F1952" t="inlineStr">
        <is>
          <t>交易类应收账款金额/应收账款总金额</t>
        </is>
      </c>
      <c r="H1952" t="inlineStr">
        <is>
          <t>DECIMAL</t>
        </is>
      </c>
      <c r="I1952" t="inlineStr">
        <is>
          <t>24,6</t>
        </is>
      </c>
    </row>
    <row r="1953">
      <c r="A1953" t="inlineStr">
        <is>
          <t>应收账款;交易和收费权)</t>
        </is>
      </c>
      <c r="B1953" t="inlineStr">
        <is>
          <t>CLR_ASSET_RECEIVABLE</t>
        </is>
      </c>
      <c r="C1953" t="inlineStr">
        <is>
          <t>DEALACCOUNTAGE</t>
        </is>
      </c>
      <c r="D1953" t="inlineStr">
        <is>
          <t>DECIMAL(18,2)</t>
        </is>
      </c>
      <c r="E1953" t="inlineStr">
        <is>
          <t>YES</t>
        </is>
      </c>
      <c r="F1953" t="inlineStr">
        <is>
          <t>交易类应收账款账龄</t>
        </is>
      </c>
      <c r="H1953" t="inlineStr">
        <is>
          <t>DECIMAL</t>
        </is>
      </c>
      <c r="I1953" t="inlineStr">
        <is>
          <t>18,2</t>
        </is>
      </c>
    </row>
    <row r="1954">
      <c r="A1954" t="inlineStr">
        <is>
          <t>应收账款;交易和收费权)</t>
        </is>
      </c>
      <c r="B1954" t="inlineStr">
        <is>
          <t>CLR_ASSET_RECEIVABLE</t>
        </is>
      </c>
      <c r="C1954" t="inlineStr">
        <is>
          <t>ACCOUNTHONOURINFO</t>
        </is>
      </c>
      <c r="D1954" t="inlineStr">
        <is>
          <t>VARCHAR(500)</t>
        </is>
      </c>
      <c r="E1954" t="inlineStr">
        <is>
          <t>YES</t>
        </is>
      </c>
      <c r="F1954" t="inlineStr">
        <is>
          <t>应收帐款承兑情况</t>
        </is>
      </c>
      <c r="H1954" t="inlineStr">
        <is>
          <t>VARCHAR</t>
        </is>
      </c>
      <c r="I1954" t="inlineStr">
        <is>
          <t>500</t>
        </is>
      </c>
    </row>
    <row r="1955">
      <c r="A1955" t="inlineStr">
        <is>
          <t>应收账款;交易和收费权)</t>
        </is>
      </c>
      <c r="B1955" t="inlineStr">
        <is>
          <t>CLR_ASSET_RECEIVABLE</t>
        </is>
      </c>
      <c r="C1955" t="inlineStr">
        <is>
          <t>BUSINESSUNREST</t>
        </is>
      </c>
      <c r="D1955" t="inlineStr">
        <is>
          <t>VARCHAR(500)</t>
        </is>
      </c>
      <c r="E1955" t="inlineStr">
        <is>
          <t>YES</t>
        </is>
      </c>
      <c r="F1955" t="inlineStr">
        <is>
          <t>商业纠纷记录</t>
        </is>
      </c>
      <c r="H1955" t="inlineStr">
        <is>
          <t>VARCHAR</t>
        </is>
      </c>
      <c r="I1955" t="inlineStr">
        <is>
          <t>500</t>
        </is>
      </c>
    </row>
    <row r="1956">
      <c r="A1956" t="inlineStr">
        <is>
          <t>应收账款;交易和收费权)</t>
        </is>
      </c>
      <c r="B1956" t="inlineStr">
        <is>
          <t>CLR_ASSET_RECEIVABLE</t>
        </is>
      </c>
      <c r="C1956" t="inlineStr">
        <is>
          <t>ROADNAME</t>
        </is>
      </c>
      <c r="D1956" t="inlineStr">
        <is>
          <t>VARCHAR(80)</t>
        </is>
      </c>
      <c r="E1956" t="inlineStr">
        <is>
          <t>YES</t>
        </is>
      </c>
      <c r="F1956" t="inlineStr">
        <is>
          <t>公路名称/收费公路名称</t>
        </is>
      </c>
      <c r="H1956" t="inlineStr">
        <is>
          <t>VARCHAR</t>
        </is>
      </c>
      <c r="I1956" t="inlineStr">
        <is>
          <t>80</t>
        </is>
      </c>
    </row>
    <row r="1957">
      <c r="A1957" t="inlineStr">
        <is>
          <t>应收账款;交易和收费权)</t>
        </is>
      </c>
      <c r="B1957" t="inlineStr">
        <is>
          <t>CLR_ASSET_RECEIVABLE</t>
        </is>
      </c>
      <c r="C1957" t="inlineStr">
        <is>
          <t>TOLLSTATION</t>
        </is>
      </c>
      <c r="D1957" t="inlineStr">
        <is>
          <t>VARCHAR(80)</t>
        </is>
      </c>
      <c r="E1957" t="inlineStr">
        <is>
          <t>YES</t>
        </is>
      </c>
      <c r="F1957" t="inlineStr">
        <is>
          <t>公路段所属收费站/所在收费站说明</t>
        </is>
      </c>
      <c r="H1957" t="inlineStr">
        <is>
          <t>VARCHAR</t>
        </is>
      </c>
      <c r="I1957" t="inlineStr">
        <is>
          <t>80</t>
        </is>
      </c>
    </row>
    <row r="1958">
      <c r="A1958" t="inlineStr">
        <is>
          <t>应收账款;交易和收费权)</t>
        </is>
      </c>
      <c r="B1958" t="inlineStr">
        <is>
          <t>CLR_ASSET_RECEIVABLE</t>
        </is>
      </c>
      <c r="C1958" t="inlineStr">
        <is>
          <t>TOLLSTARTTIME</t>
        </is>
      </c>
      <c r="D1958" t="inlineStr">
        <is>
          <t>DATE</t>
        </is>
      </c>
      <c r="E1958" t="inlineStr">
        <is>
          <t>YES</t>
        </is>
      </c>
      <c r="F1958" t="inlineStr">
        <is>
          <t>收费起始时间</t>
        </is>
      </c>
      <c r="H1958" t="inlineStr">
        <is>
          <t>DATE</t>
        </is>
      </c>
    </row>
    <row r="1959">
      <c r="A1959" t="inlineStr">
        <is>
          <t>应收账款;交易和收费权)</t>
        </is>
      </c>
      <c r="B1959" t="inlineStr">
        <is>
          <t>CLR_ASSET_RECEIVABLE</t>
        </is>
      </c>
      <c r="C1959" t="inlineStr">
        <is>
          <t>TOLLRIGHTATTR</t>
        </is>
      </c>
      <c r="D1959" t="inlineStr">
        <is>
          <t>VARCHAR(6)</t>
        </is>
      </c>
      <c r="E1959" t="inlineStr">
        <is>
          <t>YES</t>
        </is>
      </c>
      <c r="F1959" t="inlineStr">
        <is>
          <t>公路收费权属性</t>
        </is>
      </c>
      <c r="H1959" t="inlineStr">
        <is>
          <t>VARCHAR</t>
        </is>
      </c>
      <c r="I1959" t="inlineStr">
        <is>
          <t>6</t>
        </is>
      </c>
    </row>
    <row r="1960">
      <c r="A1960" t="inlineStr">
        <is>
          <t>应收账款;交易和收费权)</t>
        </is>
      </c>
      <c r="B1960" t="inlineStr">
        <is>
          <t>CLR_ASSET_RECEIVABLE</t>
        </is>
      </c>
      <c r="C1960" t="inlineStr">
        <is>
          <t>ROADTYPE</t>
        </is>
      </c>
      <c r="D1960" t="inlineStr">
        <is>
          <t>VARCHAR(6)</t>
        </is>
      </c>
      <c r="E1960" t="inlineStr">
        <is>
          <t>YES</t>
        </is>
      </c>
      <c r="F1960" t="inlineStr">
        <is>
          <t>公路类别</t>
        </is>
      </c>
      <c r="H1960" t="inlineStr">
        <is>
          <t>VARCHAR</t>
        </is>
      </c>
      <c r="I1960" t="inlineStr">
        <is>
          <t>6</t>
        </is>
      </c>
    </row>
    <row r="1961">
      <c r="A1961" t="inlineStr">
        <is>
          <t>应收账款;交易和收费权)</t>
        </is>
      </c>
      <c r="B1961" t="inlineStr">
        <is>
          <t>CLR_ASSET_RECEIVABLE</t>
        </is>
      </c>
      <c r="C1961" t="inlineStr">
        <is>
          <t>BUSINESSSCOPE</t>
        </is>
      </c>
      <c r="D1961" t="inlineStr">
        <is>
          <t>VARCHAR(500)</t>
        </is>
      </c>
      <c r="E1961" t="inlineStr">
        <is>
          <t>YES</t>
        </is>
      </c>
      <c r="F1961" t="inlineStr">
        <is>
          <t>公路收费权经营范围/收费权经营范围</t>
        </is>
      </c>
      <c r="H1961" t="inlineStr">
        <is>
          <t>VARCHAR</t>
        </is>
      </c>
      <c r="I1961" t="inlineStr">
        <is>
          <t>500</t>
        </is>
      </c>
    </row>
    <row r="1962">
      <c r="A1962" t="inlineStr">
        <is>
          <t>应收账款;交易和收费权)</t>
        </is>
      </c>
      <c r="B1962" t="inlineStr">
        <is>
          <t>CLR_ASSET_RECEIVABLE</t>
        </is>
      </c>
      <c r="C1962" t="inlineStr">
        <is>
          <t>BRLENGTH</t>
        </is>
      </c>
      <c r="D1962" t="inlineStr">
        <is>
          <t>DECIMAL(18,2)</t>
        </is>
      </c>
      <c r="E1962" t="inlineStr">
        <is>
          <t>YES</t>
        </is>
      </c>
      <c r="F1962" t="inlineStr">
        <is>
          <t>路桥长度</t>
        </is>
      </c>
      <c r="H1962" t="inlineStr">
        <is>
          <t>DECIMAL</t>
        </is>
      </c>
      <c r="I1962" t="inlineStr">
        <is>
          <t>18,2</t>
        </is>
      </c>
    </row>
    <row r="1963">
      <c r="A1963" t="inlineStr">
        <is>
          <t>应收账款;交易和收费权)</t>
        </is>
      </c>
      <c r="B1963" t="inlineStr">
        <is>
          <t>CLR_ASSET_RECEIVABLE</t>
        </is>
      </c>
      <c r="C1963" t="inlineStr">
        <is>
          <t>ROADOPENEDTIME</t>
        </is>
      </c>
      <c r="D1963" t="inlineStr">
        <is>
          <t>DECIMAL(18,2)</t>
        </is>
      </c>
      <c r="E1963" t="inlineStr">
        <is>
          <t>YES</t>
        </is>
      </c>
      <c r="F1963" t="inlineStr">
        <is>
          <t>公路已通车时间</t>
        </is>
      </c>
      <c r="H1963" t="inlineStr">
        <is>
          <t>DECIMAL</t>
        </is>
      </c>
      <c r="I1963" t="inlineStr">
        <is>
          <t>18,2</t>
        </is>
      </c>
    </row>
    <row r="1964">
      <c r="A1964" t="inlineStr">
        <is>
          <t>应收账款;交易和收费权)</t>
        </is>
      </c>
      <c r="B1964" t="inlineStr">
        <is>
          <t>CLR_ASSET_RECEIVABLE</t>
        </is>
      </c>
      <c r="C1964" t="inlineStr">
        <is>
          <t>ROADLEVEL</t>
        </is>
      </c>
      <c r="D1964" t="inlineStr">
        <is>
          <t>VARCHAR(6)</t>
        </is>
      </c>
      <c r="E1964" t="inlineStr">
        <is>
          <t>YES</t>
        </is>
      </c>
      <c r="F1964" t="inlineStr">
        <is>
          <t>公路等级</t>
        </is>
      </c>
      <c r="H1964" t="inlineStr">
        <is>
          <t>VARCHAR</t>
        </is>
      </c>
      <c r="I1964" t="inlineStr">
        <is>
          <t>6</t>
        </is>
      </c>
    </row>
    <row r="1965">
      <c r="A1965" t="inlineStr">
        <is>
          <t>应收账款;交易和收费权)</t>
        </is>
      </c>
      <c r="B1965" t="inlineStr">
        <is>
          <t>CLR_ASSET_RECEIVABLE</t>
        </is>
      </c>
      <c r="C1965" t="inlineStr">
        <is>
          <t>TRAFFICAMOUNT</t>
        </is>
      </c>
      <c r="D1965" t="inlineStr">
        <is>
          <t>VARCHAR(500)</t>
        </is>
      </c>
      <c r="E1965" t="inlineStr">
        <is>
          <t>YES</t>
        </is>
      </c>
      <c r="F1965" t="inlineStr">
        <is>
          <t>交通量说明</t>
        </is>
      </c>
      <c r="H1965" t="inlineStr">
        <is>
          <t>VARCHAR</t>
        </is>
      </c>
      <c r="I1965" t="inlineStr">
        <is>
          <t>500</t>
        </is>
      </c>
    </row>
    <row r="1966">
      <c r="A1966" t="inlineStr">
        <is>
          <t>应收账款;交易和收费权)</t>
        </is>
      </c>
      <c r="B1966" t="inlineStr">
        <is>
          <t>CLR_ASSET_RECEIVABLE</t>
        </is>
      </c>
      <c r="C1966" t="inlineStr">
        <is>
          <t>TOLLINCOME</t>
        </is>
      </c>
      <c r="D1966" t="inlineStr">
        <is>
          <t>VARCHAR(500)</t>
        </is>
      </c>
      <c r="E1966" t="inlineStr">
        <is>
          <t>YES</t>
        </is>
      </c>
      <c r="F1966" t="inlineStr">
        <is>
          <t>收费收入情况总体说明</t>
        </is>
      </c>
      <c r="H1966" t="inlineStr">
        <is>
          <t>VARCHAR</t>
        </is>
      </c>
      <c r="I1966" t="inlineStr">
        <is>
          <t>500</t>
        </is>
      </c>
    </row>
    <row r="1967">
      <c r="A1967" t="inlineStr">
        <is>
          <t>应收账款;交易和收费权)</t>
        </is>
      </c>
      <c r="B1967" t="inlineStr">
        <is>
          <t>CLR_ASSET_RECEIVABLE</t>
        </is>
      </c>
      <c r="C1967" t="inlineStr">
        <is>
          <t>PLANNING</t>
        </is>
      </c>
      <c r="D1967" t="inlineStr">
        <is>
          <t>VARCHAR(500)</t>
        </is>
      </c>
      <c r="E1967" t="inlineStr">
        <is>
          <t>YES</t>
        </is>
      </c>
      <c r="F1967" t="inlineStr">
        <is>
          <t>近期或未来涉及所在公路的规划或特殊政策</t>
        </is>
      </c>
      <c r="H1967" t="inlineStr">
        <is>
          <t>VARCHAR</t>
        </is>
      </c>
      <c r="I1967" t="inlineStr">
        <is>
          <t>500</t>
        </is>
      </c>
    </row>
    <row r="1968">
      <c r="A1968" t="inlineStr">
        <is>
          <t>应收账款;交易和收费权)</t>
        </is>
      </c>
      <c r="B1968" t="inlineStr">
        <is>
          <t>CLR_ASSET_RECEIVABLE</t>
        </is>
      </c>
      <c r="C1968" t="inlineStr">
        <is>
          <t>LOANUSE</t>
        </is>
      </c>
      <c r="D1968" t="inlineStr">
        <is>
          <t>VARCHAR(500)</t>
        </is>
      </c>
      <c r="E1968" t="inlineStr">
        <is>
          <t>YES</t>
        </is>
      </c>
      <c r="F1968" t="inlineStr">
        <is>
          <t>贷款用途</t>
        </is>
      </c>
      <c r="H1968" t="inlineStr">
        <is>
          <t>VARCHAR</t>
        </is>
      </c>
      <c r="I1968" t="inlineStr">
        <is>
          <t>500</t>
        </is>
      </c>
    </row>
    <row r="1969">
      <c r="A1969" t="inlineStr">
        <is>
          <t>应收账款;交易和收费权)</t>
        </is>
      </c>
      <c r="B1969" t="inlineStr">
        <is>
          <t>CLR_ASSET_RECEIVABLE</t>
        </is>
      </c>
      <c r="C1969" t="inlineStr">
        <is>
          <t>TOLLORG</t>
        </is>
      </c>
      <c r="D1969" t="inlineStr">
        <is>
          <t>VARCHAR(80)</t>
        </is>
      </c>
      <c r="E1969" t="inlineStr">
        <is>
          <t>YES</t>
        </is>
      </c>
      <c r="F1969" t="inlineStr">
        <is>
          <t>收费单位/收费单位名称</t>
        </is>
      </c>
      <c r="H1969" t="inlineStr">
        <is>
          <t>VARCHAR</t>
        </is>
      </c>
      <c r="I1969" t="inlineStr">
        <is>
          <t>80</t>
        </is>
      </c>
    </row>
    <row r="1970">
      <c r="A1970" t="inlineStr">
        <is>
          <t>应收账款;交易和收费权)</t>
        </is>
      </c>
      <c r="B1970" t="inlineStr">
        <is>
          <t>CLR_ASSET_RECEIVABLE</t>
        </is>
      </c>
      <c r="C1970" t="inlineStr">
        <is>
          <t>LICENSEAPPROVEORG</t>
        </is>
      </c>
      <c r="D1970" t="inlineStr">
        <is>
          <t>VARCHAR(80)</t>
        </is>
      </c>
      <c r="E1970" t="inlineStr">
        <is>
          <t>YES</t>
        </is>
      </c>
      <c r="F1970" t="inlineStr">
        <is>
          <t>收费权许可证批文单位/收费权权利证书批准单位/权利批准机构</t>
        </is>
      </c>
      <c r="H1970" t="inlineStr">
        <is>
          <t>VARCHAR</t>
        </is>
      </c>
      <c r="I1970" t="inlineStr">
        <is>
          <t>80</t>
        </is>
      </c>
    </row>
    <row r="1971">
      <c r="A1971" t="inlineStr">
        <is>
          <t>应收账款;交易和收费权)</t>
        </is>
      </c>
      <c r="B1971" t="inlineStr">
        <is>
          <t>CLR_ASSET_RECEIVABLE</t>
        </is>
      </c>
      <c r="C1971" t="inlineStr">
        <is>
          <t>TOLLLICENSENO</t>
        </is>
      </c>
      <c r="D1971" t="inlineStr">
        <is>
          <t>VARCHAR(80)</t>
        </is>
      </c>
      <c r="E1971" t="inlineStr">
        <is>
          <t>YES</t>
        </is>
      </c>
      <c r="F1971" t="inlineStr">
        <is>
          <t>收费权许可证号/收费权权利证书号码/应收账款和收费权许可证号</t>
        </is>
      </c>
      <c r="H1971" t="inlineStr">
        <is>
          <t>VARCHAR</t>
        </is>
      </c>
      <c r="I1971" t="inlineStr">
        <is>
          <t>80</t>
        </is>
      </c>
    </row>
    <row r="1972">
      <c r="A1972" t="inlineStr">
        <is>
          <t>应收账款;交易和收费权)</t>
        </is>
      </c>
      <c r="B1972" t="inlineStr">
        <is>
          <t>CLR_ASSET_RECEIVABLE</t>
        </is>
      </c>
      <c r="C1972" t="inlineStr">
        <is>
          <t>TOLLPROJECTNAME</t>
        </is>
      </c>
      <c r="D1972" t="inlineStr">
        <is>
          <t>VARCHAR(80)</t>
        </is>
      </c>
      <c r="E1972" t="inlineStr">
        <is>
          <t>YES</t>
        </is>
      </c>
      <c r="F1972" t="inlineStr">
        <is>
          <t>收费项目名称/收费权收费项目名称</t>
        </is>
      </c>
      <c r="H1972" t="inlineStr">
        <is>
          <t>VARCHAR</t>
        </is>
      </c>
      <c r="I1972" t="inlineStr">
        <is>
          <t>80</t>
        </is>
      </c>
    </row>
    <row r="1973">
      <c r="A1973" t="inlineStr">
        <is>
          <t>应收账款;交易和收费权)</t>
        </is>
      </c>
      <c r="B1973" t="inlineStr">
        <is>
          <t>CLR_ASSET_RECEIVABLE</t>
        </is>
      </c>
      <c r="C1973" t="inlineStr">
        <is>
          <t>TOLLSCOPE</t>
        </is>
      </c>
      <c r="D1973" t="inlineStr">
        <is>
          <t>VARCHAR(80)</t>
        </is>
      </c>
      <c r="E1973" t="inlineStr">
        <is>
          <t>YES</t>
        </is>
      </c>
      <c r="F1973" t="inlineStr">
        <is>
          <t>收费权适用范围</t>
        </is>
      </c>
      <c r="H1973" t="inlineStr">
        <is>
          <t>VARCHAR</t>
        </is>
      </c>
      <c r="I1973" t="inlineStr">
        <is>
          <t>80</t>
        </is>
      </c>
    </row>
    <row r="1974">
      <c r="A1974" t="inlineStr">
        <is>
          <t>应收账款;交易和收费权)</t>
        </is>
      </c>
      <c r="B1974" t="inlineStr">
        <is>
          <t>CLR_ASSET_RECEIVABLE</t>
        </is>
      </c>
      <c r="C1974" t="inlineStr">
        <is>
          <t>FEESCALE</t>
        </is>
      </c>
      <c r="D1974" t="inlineStr">
        <is>
          <t>VARCHAR(500)</t>
        </is>
      </c>
      <c r="E1974" t="inlineStr">
        <is>
          <t>YES</t>
        </is>
      </c>
      <c r="F1974" t="inlineStr">
        <is>
          <t>收费标准说明</t>
        </is>
      </c>
      <c r="H1974" t="inlineStr">
        <is>
          <t>VARCHAR</t>
        </is>
      </c>
      <c r="I1974" t="inlineStr">
        <is>
          <t>500</t>
        </is>
      </c>
    </row>
    <row r="1975">
      <c r="A1975" t="inlineStr">
        <is>
          <t>应收账款;交易和收费权)</t>
        </is>
      </c>
      <c r="B1975" t="inlineStr">
        <is>
          <t>CLR_ASSET_RECEIVABLE</t>
        </is>
      </c>
      <c r="C1975" t="inlineStr">
        <is>
          <t>SALEDELECVOLUME</t>
        </is>
      </c>
      <c r="D1975" t="inlineStr">
        <is>
          <t>DECIMAL(18,2)</t>
        </is>
      </c>
      <c r="E1975" t="inlineStr">
        <is>
          <t>YES</t>
        </is>
      </c>
      <c r="F1975" t="inlineStr">
        <is>
          <t>已销售电量</t>
        </is>
      </c>
      <c r="H1975" t="inlineStr">
        <is>
          <t>DECIMAL</t>
        </is>
      </c>
      <c r="I1975" t="inlineStr">
        <is>
          <t>18,2</t>
        </is>
      </c>
    </row>
    <row r="1976">
      <c r="A1976" t="inlineStr">
        <is>
          <t>应收账款;交易和收费权)</t>
        </is>
      </c>
      <c r="B1976" t="inlineStr">
        <is>
          <t>CLR_ASSET_RECEIVABLE</t>
        </is>
      </c>
      <c r="C1976" t="inlineStr">
        <is>
          <t>CURELECPRICE</t>
        </is>
      </c>
      <c r="D1976" t="inlineStr">
        <is>
          <t>DECIMAL(18,2)</t>
        </is>
      </c>
      <c r="E1976" t="inlineStr">
        <is>
          <t>YES</t>
        </is>
      </c>
      <c r="F1976" t="inlineStr">
        <is>
          <t>当前销售电价</t>
        </is>
      </c>
      <c r="H1976" t="inlineStr">
        <is>
          <t>DECIMAL</t>
        </is>
      </c>
      <c r="I1976" t="inlineStr">
        <is>
          <t>18,2</t>
        </is>
      </c>
    </row>
    <row r="1977">
      <c r="A1977" t="inlineStr">
        <is>
          <t>应收账款;交易和收费权)</t>
        </is>
      </c>
      <c r="B1977" t="inlineStr">
        <is>
          <t>CLR_ASSET_RECEIVABLE</t>
        </is>
      </c>
      <c r="C1977" t="inlineStr">
        <is>
          <t>CURELECPIRCEBASICTIME</t>
        </is>
      </c>
      <c r="D1977" t="inlineStr">
        <is>
          <t>DATETIME</t>
        </is>
      </c>
      <c r="E1977" t="inlineStr">
        <is>
          <t>YES</t>
        </is>
      </c>
      <c r="F1977" t="inlineStr">
        <is>
          <t>当前电价基准时间</t>
        </is>
      </c>
      <c r="H1977" t="inlineStr">
        <is>
          <t>DATETIME</t>
        </is>
      </c>
    </row>
    <row r="1978">
      <c r="A1978" t="inlineStr">
        <is>
          <t>应收账款;交易和收费权)</t>
        </is>
      </c>
      <c r="B1978" t="inlineStr">
        <is>
          <t>CLR_ASSET_RECEIVABLE</t>
        </is>
      </c>
      <c r="C1978" t="inlineStr">
        <is>
          <t>TOLLTRANSFERINFO</t>
        </is>
      </c>
      <c r="D1978" t="inlineStr">
        <is>
          <t>VARCHAR(500)</t>
        </is>
      </c>
      <c r="E1978" t="inlineStr">
        <is>
          <t>YES</t>
        </is>
      </c>
      <c r="F1978" t="inlineStr">
        <is>
          <t>收费权转让情况</t>
        </is>
      </c>
      <c r="H1978" t="inlineStr">
        <is>
          <t>VARCHAR</t>
        </is>
      </c>
      <c r="I1978" t="inlineStr">
        <is>
          <t>500</t>
        </is>
      </c>
    </row>
    <row r="1979">
      <c r="A1979" t="inlineStr">
        <is>
          <t>应收账款;交易和收费权)</t>
        </is>
      </c>
      <c r="B1979" t="inlineStr">
        <is>
          <t>CLR_ASSET_RECEIVABLE</t>
        </is>
      </c>
      <c r="C1979" t="inlineStr">
        <is>
          <t>STARTDATE</t>
        </is>
      </c>
      <c r="D1979" t="inlineStr">
        <is>
          <t>DATETIME</t>
        </is>
      </c>
      <c r="E1979" t="inlineStr">
        <is>
          <t>YES</t>
        </is>
      </c>
      <c r="F1979" t="inlineStr">
        <is>
          <t>应收账款和收费权起始时间/应收账款起始时间</t>
        </is>
      </c>
      <c r="H1979" t="inlineStr">
        <is>
          <t>DATETIME</t>
        </is>
      </c>
    </row>
    <row r="1980">
      <c r="A1980" t="inlineStr">
        <is>
          <t>应收账款;交易和收费权)</t>
        </is>
      </c>
      <c r="B1980" t="inlineStr">
        <is>
          <t>CLR_ASSET_RECEIVABLE</t>
        </is>
      </c>
      <c r="C1980" t="inlineStr">
        <is>
          <t>ENDDATE</t>
        </is>
      </c>
      <c r="D1980" t="inlineStr">
        <is>
          <t>DATETIME</t>
        </is>
      </c>
      <c r="E1980" t="inlineStr">
        <is>
          <t>YES</t>
        </is>
      </c>
      <c r="F1980" t="inlineStr">
        <is>
          <t>应收账款和收费权终止时间/应收账款终止时间/收费权终止时间</t>
        </is>
      </c>
      <c r="H1980" t="inlineStr">
        <is>
          <t>DATETIME</t>
        </is>
      </c>
    </row>
    <row r="1981">
      <c r="A1981" t="inlineStr">
        <is>
          <t>应收账款;交易和收费权)</t>
        </is>
      </c>
      <c r="B1981" t="inlineStr">
        <is>
          <t>CLR_ASSET_RECEIVABLE</t>
        </is>
      </c>
      <c r="C1981" t="inlineStr">
        <is>
          <t>ACCOUNTINITCODE</t>
        </is>
      </c>
      <c r="D1981" t="inlineStr">
        <is>
          <t>VARCHAR(32)</t>
        </is>
      </c>
      <c r="E1981" t="inlineStr">
        <is>
          <t>YES</t>
        </is>
      </c>
      <c r="F1981" t="inlineStr">
        <is>
          <t>应收账款初始登记号</t>
        </is>
      </c>
      <c r="H1981" t="inlineStr">
        <is>
          <t>VARCHAR</t>
        </is>
      </c>
      <c r="I1981" t="inlineStr">
        <is>
          <t>32</t>
        </is>
      </c>
    </row>
    <row r="1982">
      <c r="A1982" t="inlineStr">
        <is>
          <t>应收账款;交易和收费权)</t>
        </is>
      </c>
      <c r="B1982" t="inlineStr">
        <is>
          <t>CLR_ASSET_RECEIVABLE</t>
        </is>
      </c>
      <c r="C1982" t="inlineStr">
        <is>
          <t>PLEDGESTARTDATE</t>
        </is>
      </c>
      <c r="D1982" t="inlineStr">
        <is>
          <t>DATETIME</t>
        </is>
      </c>
      <c r="E1982" t="inlineStr">
        <is>
          <t>YES</t>
        </is>
      </c>
      <c r="F1982" t="inlineStr">
        <is>
          <t>质押期起始时间;交易类应收账款不适用)</t>
        </is>
      </c>
      <c r="H1982" t="inlineStr">
        <is>
          <t>DATETIME</t>
        </is>
      </c>
    </row>
    <row r="1983">
      <c r="A1983" t="inlineStr">
        <is>
          <t>应收账款;交易和收费权)</t>
        </is>
      </c>
      <c r="B1983" t="inlineStr">
        <is>
          <t>CLR_ASSET_RECEIVABLE</t>
        </is>
      </c>
      <c r="C1983" t="inlineStr">
        <is>
          <t>PLEDGEENDDATE</t>
        </is>
      </c>
      <c r="D1983" t="inlineStr">
        <is>
          <t>DATETIME</t>
        </is>
      </c>
      <c r="E1983" t="inlineStr">
        <is>
          <t>YES</t>
        </is>
      </c>
      <c r="F1983" t="inlineStr">
        <is>
          <t>质押期终止时间;交易类应收账款不适用)</t>
        </is>
      </c>
      <c r="H1983" t="inlineStr">
        <is>
          <t>DATETIME</t>
        </is>
      </c>
    </row>
    <row r="1984">
      <c r="A1984" t="inlineStr">
        <is>
          <t>应收账款;交易和收费权)</t>
        </is>
      </c>
      <c r="B1984" t="inlineStr">
        <is>
          <t>CLR_ASSET_RECEIVABLE</t>
        </is>
      </c>
      <c r="C1984" t="inlineStr">
        <is>
          <t>TOLLCHARGEINFO</t>
        </is>
      </c>
      <c r="D1984" t="inlineStr">
        <is>
          <t>VARCHAR(500)</t>
        </is>
      </c>
      <c r="E1984" t="inlineStr">
        <is>
          <t>YES</t>
        </is>
      </c>
      <c r="F1984" t="inlineStr">
        <is>
          <t>通信、网络、有限电视收费权收费收入情况</t>
        </is>
      </c>
      <c r="H1984" t="inlineStr">
        <is>
          <t>VARCHAR</t>
        </is>
      </c>
      <c r="I1984" t="inlineStr">
        <is>
          <t>500</t>
        </is>
      </c>
    </row>
    <row r="1985">
      <c r="A1985" t="inlineStr">
        <is>
          <t>应收账款;交易和收费权)</t>
        </is>
      </c>
      <c r="B1985" t="inlineStr">
        <is>
          <t>CLR_ASSET_RECEIVABLE</t>
        </is>
      </c>
      <c r="C1985" t="inlineStr">
        <is>
          <t>TR01FLAG01</t>
        </is>
      </c>
      <c r="D1985" t="inlineStr">
        <is>
          <t>CHAR(1)</t>
        </is>
      </c>
      <c r="E1985" t="inlineStr">
        <is>
          <t>YES</t>
        </is>
      </c>
      <c r="F1985" t="inlineStr">
        <is>
          <t>是否已提交公路建设经营项目立项、评估和批准开工的批文（已建成的除外）</t>
        </is>
      </c>
      <c r="H1985" t="inlineStr">
        <is>
          <t>CHAR</t>
        </is>
      </c>
      <c r="I1985" t="inlineStr">
        <is>
          <t>1</t>
        </is>
      </c>
    </row>
    <row r="1986">
      <c r="A1986" t="inlineStr">
        <is>
          <t>应收账款;交易和收费权)</t>
        </is>
      </c>
      <c r="B1986" t="inlineStr">
        <is>
          <t>CLR_ASSET_RECEIVABLE</t>
        </is>
      </c>
      <c r="C1986" t="inlineStr">
        <is>
          <t>TR01FLAG02</t>
        </is>
      </c>
      <c r="D1986" t="inlineStr">
        <is>
          <t>CHAR(1)</t>
        </is>
      </c>
      <c r="E1986" t="inlineStr">
        <is>
          <t>YES</t>
        </is>
      </c>
      <c r="F1986" t="inlineStr">
        <is>
          <t>是否已提交省级人民政府及其职能部门批准的公路收费文件（包括省级人民政府或国务院交通主管部门依法出具的关于公路收费站数量、站点的批文，省级人民政府交通主管部门会同同级物价行政主管部门出具的公路收费标准批文）</t>
        </is>
      </c>
      <c r="H1986" t="inlineStr">
        <is>
          <t>CHAR</t>
        </is>
      </c>
      <c r="I1986" t="inlineStr">
        <is>
          <t>1</t>
        </is>
      </c>
    </row>
    <row r="1987">
      <c r="A1987" t="inlineStr">
        <is>
          <t>应收账款;交易和收费权)</t>
        </is>
      </c>
      <c r="B1987" t="inlineStr">
        <is>
          <t>CLR_ASSET_RECEIVABLE</t>
        </is>
      </c>
      <c r="C1987" t="inlineStr">
        <is>
          <t>TR01FLAG03</t>
        </is>
      </c>
      <c r="D1987" t="inlineStr">
        <is>
          <t>CHAR(1)</t>
        </is>
      </c>
      <c r="E1987" t="inlineStr">
        <is>
          <t>YES</t>
        </is>
      </c>
      <c r="F1987" t="inlineStr">
        <is>
          <t>是否已提交省级人民政府对征用土地、按比例承担出资和备用资金的书面承诺（已建成的除外）</t>
        </is>
      </c>
      <c r="H1987" t="inlineStr">
        <is>
          <t>CHAR</t>
        </is>
      </c>
      <c r="I1987" t="inlineStr">
        <is>
          <t>1</t>
        </is>
      </c>
    </row>
    <row r="1988">
      <c r="A1988" t="inlineStr">
        <is>
          <t>应收账款;交易和收费权)</t>
        </is>
      </c>
      <c r="B1988" t="inlineStr">
        <is>
          <t>CLR_ASSET_RECEIVABLE</t>
        </is>
      </c>
      <c r="C1988" t="inlineStr">
        <is>
          <t>TR01FLAG04</t>
        </is>
      </c>
      <c r="D1988" t="inlineStr">
        <is>
          <t>CHAR(1)</t>
        </is>
      </c>
      <c r="E1988" t="inlineStr">
        <is>
          <t>YES</t>
        </is>
      </c>
      <c r="F1988" t="inlineStr">
        <is>
          <t>是否已提交公路建设经营项目各投资人同意公路收费权质押的书面决议</t>
        </is>
      </c>
      <c r="H1988" t="inlineStr">
        <is>
          <t>CHAR</t>
        </is>
      </c>
      <c r="I1988" t="inlineStr">
        <is>
          <t>1</t>
        </is>
      </c>
    </row>
    <row r="1989">
      <c r="A1989" t="inlineStr">
        <is>
          <t>应收账款;交易和收费权)</t>
        </is>
      </c>
      <c r="B1989" t="inlineStr">
        <is>
          <t>CLR_ASSET_RECEIVABLE</t>
        </is>
      </c>
      <c r="C1989" t="inlineStr">
        <is>
          <t>TR01FLAG05</t>
        </is>
      </c>
      <c r="D1989" t="inlineStr">
        <is>
          <t>CHAR(1)</t>
        </is>
      </c>
      <c r="E1989" t="inlineStr">
        <is>
          <t>YES</t>
        </is>
      </c>
      <c r="F1989" t="inlineStr">
        <is>
          <t>是否已提交公路建设经营项目成立项目公司的，应提供公司董事会或股东会、股东大会依公司章程作出的同意提供公司收费权质押的书面决议</t>
        </is>
      </c>
      <c r="H1989" t="inlineStr">
        <is>
          <t>CHAR</t>
        </is>
      </c>
      <c r="I1989" t="inlineStr">
        <is>
          <t>1</t>
        </is>
      </c>
    </row>
    <row r="1990">
      <c r="A1990" t="inlineStr">
        <is>
          <t>应收账款;交易和收费权)</t>
        </is>
      </c>
      <c r="B1990" t="inlineStr">
        <is>
          <t>CLR_ASSET_RECEIVABLE</t>
        </is>
      </c>
      <c r="C1990" t="inlineStr">
        <is>
          <t>TR01FLAG06</t>
        </is>
      </c>
      <c r="D1990" t="inlineStr">
        <is>
          <t>CHAR(1)</t>
        </is>
      </c>
      <c r="E1990" t="inlineStr">
        <is>
          <t>YES</t>
        </is>
      </c>
      <c r="F1990" t="inlineStr">
        <is>
          <t>是否已提交企业法人营业执照</t>
        </is>
      </c>
      <c r="H1990" t="inlineStr">
        <is>
          <t>CHAR</t>
        </is>
      </c>
      <c r="I1990" t="inlineStr">
        <is>
          <t>1</t>
        </is>
      </c>
    </row>
    <row r="1991">
      <c r="A1991" t="inlineStr">
        <is>
          <t>应收账款;交易和收费权)</t>
        </is>
      </c>
      <c r="B1991" t="inlineStr">
        <is>
          <t>CLR_ASSET_RECEIVABLE</t>
        </is>
      </c>
      <c r="C1991" t="inlineStr">
        <is>
          <t>TR01FLAG07</t>
        </is>
      </c>
      <c r="D1991" t="inlineStr">
        <is>
          <t>CHAR(1)</t>
        </is>
      </c>
      <c r="E1991" t="inlineStr">
        <is>
          <t>YES</t>
        </is>
      </c>
      <c r="F1991" t="inlineStr">
        <is>
          <t>是否已提交企业财务报表</t>
        </is>
      </c>
      <c r="H1991" t="inlineStr">
        <is>
          <t>CHAR</t>
        </is>
      </c>
      <c r="I1991" t="inlineStr">
        <is>
          <t>1</t>
        </is>
      </c>
    </row>
    <row r="1992">
      <c r="A1992" t="inlineStr">
        <is>
          <t>应收账款;交易和收费权)</t>
        </is>
      </c>
      <c r="B1992" t="inlineStr">
        <is>
          <t>CLR_ASSET_RECEIVABLE</t>
        </is>
      </c>
      <c r="C1992" t="inlineStr">
        <is>
          <t>TR01FLAG08</t>
        </is>
      </c>
      <c r="D1992" t="inlineStr">
        <is>
          <t>CHAR(1)</t>
        </is>
      </c>
      <c r="E1992" t="inlineStr">
        <is>
          <t>YES</t>
        </is>
      </c>
      <c r="F1992" t="inlineStr">
        <is>
          <t>是否已提交账户开户相关证明材料</t>
        </is>
      </c>
      <c r="H1992" t="inlineStr">
        <is>
          <t>CHAR</t>
        </is>
      </c>
      <c r="I1992" t="inlineStr">
        <is>
          <t>1</t>
        </is>
      </c>
    </row>
    <row r="1993">
      <c r="A1993" t="inlineStr">
        <is>
          <t>应收账款;交易和收费权)</t>
        </is>
      </c>
      <c r="B1993" t="inlineStr">
        <is>
          <t>CLR_ASSET_RECEIVABLE</t>
        </is>
      </c>
      <c r="C1993" t="inlineStr">
        <is>
          <t>RCVTRADEFLAG01</t>
        </is>
      </c>
      <c r="D1993" t="inlineStr">
        <is>
          <t>CHAR(1)</t>
        </is>
      </c>
      <c r="E1993" t="inlineStr">
        <is>
          <t>YES</t>
        </is>
      </c>
      <c r="F1993" t="inlineStr">
        <is>
          <t>是否有转让、质押、冻结、查封情况或被采取其他限制性措施</t>
        </is>
      </c>
      <c r="H1993" t="inlineStr">
        <is>
          <t>CHAR</t>
        </is>
      </c>
      <c r="I1993" t="inlineStr">
        <is>
          <t>1</t>
        </is>
      </c>
    </row>
    <row r="1994">
      <c r="A1994" t="inlineStr">
        <is>
          <t>应收账款;交易和收费权)</t>
        </is>
      </c>
      <c r="B1994" t="inlineStr">
        <is>
          <t>CLR_ASSET_RECEIVABLE</t>
        </is>
      </c>
      <c r="C1994" t="inlineStr">
        <is>
          <t>RCVTRADEFLAG02</t>
        </is>
      </c>
      <c r="D1994" t="inlineStr">
        <is>
          <t>CHAR(1)</t>
        </is>
      </c>
      <c r="E1994" t="inlineStr">
        <is>
          <t>YES</t>
        </is>
      </c>
      <c r="F1994" t="inlineStr">
        <is>
          <t>是否提交对应本笔应收账款的销售合同</t>
        </is>
      </c>
      <c r="H1994" t="inlineStr">
        <is>
          <t>CHAR</t>
        </is>
      </c>
      <c r="I1994" t="inlineStr">
        <is>
          <t>1</t>
        </is>
      </c>
    </row>
    <row r="1995">
      <c r="A1995" t="inlineStr">
        <is>
          <t>应收账款;交易和收费权)</t>
        </is>
      </c>
      <c r="B1995" t="inlineStr">
        <is>
          <t>CLR_ASSET_RECEIVABLE</t>
        </is>
      </c>
      <c r="C1995" t="inlineStr">
        <is>
          <t>RCVTRADEFLAG03</t>
        </is>
      </c>
      <c r="D1995" t="inlineStr">
        <is>
          <t>CHAR(1)</t>
        </is>
      </c>
      <c r="E1995" t="inlineStr">
        <is>
          <t>YES</t>
        </is>
      </c>
      <c r="F1995" t="inlineStr">
        <is>
          <t>是否提交企业法人营业执照</t>
        </is>
      </c>
      <c r="H1995" t="inlineStr">
        <is>
          <t>CHAR</t>
        </is>
      </c>
      <c r="I1995" t="inlineStr">
        <is>
          <t>1</t>
        </is>
      </c>
    </row>
    <row r="1996">
      <c r="A1996" t="inlineStr">
        <is>
          <t>应收账款;交易和收费权)</t>
        </is>
      </c>
      <c r="B1996" t="inlineStr">
        <is>
          <t>CLR_ASSET_RECEIVABLE</t>
        </is>
      </c>
      <c r="C1996" t="inlineStr">
        <is>
          <t>RCVTRADEFLAG04</t>
        </is>
      </c>
      <c r="D1996" t="inlineStr">
        <is>
          <t>CHAR(1)</t>
        </is>
      </c>
      <c r="E1996" t="inlineStr">
        <is>
          <t>YES</t>
        </is>
      </c>
      <c r="F1996" t="inlineStr">
        <is>
          <t>是否提交企业财务报表</t>
        </is>
      </c>
      <c r="H1996" t="inlineStr">
        <is>
          <t>CHAR</t>
        </is>
      </c>
      <c r="I1996" t="inlineStr">
        <is>
          <t>1</t>
        </is>
      </c>
    </row>
    <row r="1997">
      <c r="A1997" t="inlineStr">
        <is>
          <t>应收账款;交易和收费权)</t>
        </is>
      </c>
      <c r="B1997" t="inlineStr">
        <is>
          <t>CLR_ASSET_RECEIVABLE</t>
        </is>
      </c>
      <c r="C1997" t="inlineStr">
        <is>
          <t>RCVTRADEFLAG05</t>
        </is>
      </c>
      <c r="D1997" t="inlineStr">
        <is>
          <t>CHAR(1)</t>
        </is>
      </c>
      <c r="E1997" t="inlineStr">
        <is>
          <t>YES</t>
        </is>
      </c>
      <c r="F1997" t="inlineStr">
        <is>
          <t>是否提交应收账款开户相关证明</t>
        </is>
      </c>
      <c r="H1997" t="inlineStr">
        <is>
          <t>CHAR</t>
        </is>
      </c>
      <c r="I1997" t="inlineStr">
        <is>
          <t>1</t>
        </is>
      </c>
    </row>
    <row r="1998">
      <c r="A1998" t="inlineStr">
        <is>
          <t>应收账款;交易和收费权)</t>
        </is>
      </c>
      <c r="B1998" t="inlineStr">
        <is>
          <t>CLR_ASSET_RECEIVABLE</t>
        </is>
      </c>
      <c r="C1998" t="inlineStr">
        <is>
          <t>RCVTRADEFLAG06</t>
        </is>
      </c>
      <c r="D1998" t="inlineStr">
        <is>
          <t>CHAR(1)</t>
        </is>
      </c>
      <c r="E1998" t="inlineStr">
        <is>
          <t>YES</t>
        </is>
      </c>
      <c r="F1998" t="inlineStr">
        <is>
          <t>是否提交历史收费单据或发票</t>
        </is>
      </c>
      <c r="H1998" t="inlineStr">
        <is>
          <t>CHAR</t>
        </is>
      </c>
      <c r="I1998" t="inlineStr">
        <is>
          <t>1</t>
        </is>
      </c>
    </row>
    <row r="1999">
      <c r="A1999" t="inlineStr">
        <is>
          <t>应收账款;交易和收费权)</t>
        </is>
      </c>
      <c r="B1999" t="inlineStr">
        <is>
          <t>CLR_ASSET_RECEIVABLE</t>
        </is>
      </c>
      <c r="C1999" t="inlineStr">
        <is>
          <t>RCVTRADEFLAG07</t>
        </is>
      </c>
      <c r="D1999" t="inlineStr">
        <is>
          <t>CHAR(1)</t>
        </is>
      </c>
      <c r="E1999" t="inlineStr">
        <is>
          <t>YES</t>
        </is>
      </c>
      <c r="F1999" t="inlineStr">
        <is>
          <t>是否提交福费廷业务相关证明</t>
        </is>
      </c>
      <c r="H1999" t="inlineStr">
        <is>
          <t>CHAR</t>
        </is>
      </c>
      <c r="I1999" t="inlineStr">
        <is>
          <t>1</t>
        </is>
      </c>
    </row>
    <row r="2000">
      <c r="A2000" t="inlineStr">
        <is>
          <t>应收账款;交易和收费权)</t>
        </is>
      </c>
      <c r="B2000" t="inlineStr">
        <is>
          <t>CLR_ASSET_RECEIVABLE</t>
        </is>
      </c>
      <c r="C2000" t="inlineStr">
        <is>
          <t>RCVTRADEFLAG08</t>
        </is>
      </c>
      <c r="D2000" t="inlineStr">
        <is>
          <t>CHAR(1)</t>
        </is>
      </c>
      <c r="E2000" t="inlineStr">
        <is>
          <t>YES</t>
        </is>
      </c>
      <c r="F2000" t="inlineStr">
        <is>
          <t>未来业务量和价格信息是否明确或可合理预测</t>
        </is>
      </c>
      <c r="H2000" t="inlineStr">
        <is>
          <t>CHAR</t>
        </is>
      </c>
      <c r="I2000" t="inlineStr">
        <is>
          <t>1</t>
        </is>
      </c>
    </row>
    <row r="2001">
      <c r="A2001" t="inlineStr">
        <is>
          <t>应收账款;交易和收费权)</t>
        </is>
      </c>
      <c r="B2001" t="inlineStr">
        <is>
          <t>CLR_ASSET_RECEIVABLE</t>
        </is>
      </c>
      <c r="C2001" t="inlineStr">
        <is>
          <t>TR03FLAG01</t>
        </is>
      </c>
      <c r="D2001" t="inlineStr">
        <is>
          <t>CHAR(1)</t>
        </is>
      </c>
      <c r="E2001" t="inlineStr">
        <is>
          <t>YES</t>
        </is>
      </c>
      <c r="F2001" t="inlineStr">
        <is>
          <t>是否已提交收费许可证或批准文件</t>
        </is>
      </c>
      <c r="H2001" t="inlineStr">
        <is>
          <t>CHAR</t>
        </is>
      </c>
      <c r="I2001" t="inlineStr">
        <is>
          <t>1</t>
        </is>
      </c>
    </row>
    <row r="2002">
      <c r="A2002" t="inlineStr">
        <is>
          <t>应收账款;交易和收费权)</t>
        </is>
      </c>
      <c r="B2002" t="inlineStr">
        <is>
          <t>CLR_ASSET_RECEIVABLE</t>
        </is>
      </c>
      <c r="C2002" t="inlineStr">
        <is>
          <t>TR03FLAG02</t>
        </is>
      </c>
      <c r="D2002" t="inlineStr">
        <is>
          <t>CHAR(1)</t>
        </is>
      </c>
      <c r="E2002" t="inlineStr">
        <is>
          <t>YES</t>
        </is>
      </c>
      <c r="F2002" t="inlineStr">
        <is>
          <t>是否已提交和通信、网络、有限电视收费权相关的相关账户开户证明</t>
        </is>
      </c>
      <c r="H2002" t="inlineStr">
        <is>
          <t>CHAR</t>
        </is>
      </c>
      <c r="I2002" t="inlineStr">
        <is>
          <t>1</t>
        </is>
      </c>
    </row>
    <row r="2003">
      <c r="A2003" t="inlineStr">
        <is>
          <t>应收账款;交易和收费权)</t>
        </is>
      </c>
      <c r="B2003" t="inlineStr">
        <is>
          <t>CLR_ASSET_RECEIVABLE</t>
        </is>
      </c>
      <c r="C2003" t="inlineStr">
        <is>
          <t>TR03FLAG03</t>
        </is>
      </c>
      <c r="D2003" t="inlineStr">
        <is>
          <t>CHAR(1)</t>
        </is>
      </c>
      <c r="E2003" t="inlineStr">
        <is>
          <t>YES</t>
        </is>
      </c>
      <c r="F2003" t="inlineStr">
        <is>
          <t>是否已提交和通信、网络、有限电视收费权相关的企业财务报表</t>
        </is>
      </c>
      <c r="H2003" t="inlineStr">
        <is>
          <t>CHAR</t>
        </is>
      </c>
      <c r="I2003" t="inlineStr">
        <is>
          <t>1</t>
        </is>
      </c>
    </row>
    <row r="2004">
      <c r="A2004" t="inlineStr">
        <is>
          <t>应收账款;交易和收费权)</t>
        </is>
      </c>
      <c r="B2004" t="inlineStr">
        <is>
          <t>CLR_ASSET_RECEIVABLE</t>
        </is>
      </c>
      <c r="C2004" t="inlineStr">
        <is>
          <t>TR03FLAG04</t>
        </is>
      </c>
      <c r="D2004" t="inlineStr">
        <is>
          <t>CHAR(1)</t>
        </is>
      </c>
      <c r="E2004" t="inlineStr">
        <is>
          <t>YES</t>
        </is>
      </c>
      <c r="F2004" t="inlineStr">
        <is>
          <t>是否已提交企业营业执照</t>
        </is>
      </c>
      <c r="H2004" t="inlineStr">
        <is>
          <t>CHAR</t>
        </is>
      </c>
      <c r="I2004" t="inlineStr">
        <is>
          <t>1</t>
        </is>
      </c>
    </row>
    <row r="2005">
      <c r="A2005" t="inlineStr">
        <is>
          <t>应收账款;交易和收费权)</t>
        </is>
      </c>
      <c r="B2005" t="inlineStr">
        <is>
          <t>CLR_ASSET_RECEIVABLE</t>
        </is>
      </c>
      <c r="C2005" t="inlineStr">
        <is>
          <t>TR02FLAG01</t>
        </is>
      </c>
      <c r="D2005" t="inlineStr">
        <is>
          <t>CHAR(1)</t>
        </is>
      </c>
      <c r="E2005" t="inlineStr">
        <is>
          <t>YES</t>
        </is>
      </c>
      <c r="F2005" t="inlineStr">
        <is>
          <t>是否已提交销售合同</t>
        </is>
      </c>
      <c r="H2005" t="inlineStr">
        <is>
          <t>CHAR</t>
        </is>
      </c>
      <c r="I2005" t="inlineStr">
        <is>
          <t>1</t>
        </is>
      </c>
    </row>
    <row r="2006">
      <c r="A2006" t="inlineStr">
        <is>
          <t>应收账款;交易和收费权)</t>
        </is>
      </c>
      <c r="B2006" t="inlineStr">
        <is>
          <t>CLR_ASSET_RECEIVABLE</t>
        </is>
      </c>
      <c r="C2006" t="inlineStr">
        <is>
          <t>TR02FLAG02</t>
        </is>
      </c>
      <c r="D2006" t="inlineStr">
        <is>
          <t>CHAR(1)</t>
        </is>
      </c>
      <c r="E2006" t="inlineStr">
        <is>
          <t>YES</t>
        </is>
      </c>
      <c r="F2006" t="inlineStr">
        <is>
          <t>是否已提交营业执照</t>
        </is>
      </c>
      <c r="H2006" t="inlineStr">
        <is>
          <t>CHAR</t>
        </is>
      </c>
      <c r="I2006" t="inlineStr">
        <is>
          <t>1</t>
        </is>
      </c>
    </row>
    <row r="2007">
      <c r="A2007" t="inlineStr">
        <is>
          <t>应收账款;交易和收费权)</t>
        </is>
      </c>
      <c r="B2007" t="inlineStr">
        <is>
          <t>CLR_ASSET_RECEIVABLE</t>
        </is>
      </c>
      <c r="C2007" t="inlineStr">
        <is>
          <t>TR02FLAG03</t>
        </is>
      </c>
      <c r="D2007" t="inlineStr">
        <is>
          <t>CHAR(1)</t>
        </is>
      </c>
      <c r="E2007" t="inlineStr">
        <is>
          <t>YES</t>
        </is>
      </c>
      <c r="F2007" t="inlineStr">
        <is>
          <t>是否已提交电网经营许可证及有关电费收费权的批准文件</t>
        </is>
      </c>
      <c r="H2007" t="inlineStr">
        <is>
          <t>CHAR</t>
        </is>
      </c>
      <c r="I2007" t="inlineStr">
        <is>
          <t>1</t>
        </is>
      </c>
    </row>
    <row r="2008">
      <c r="A2008" t="inlineStr">
        <is>
          <t>应收账款;交易和收费权)</t>
        </is>
      </c>
      <c r="B2008" t="inlineStr">
        <is>
          <t>CLR_ASSET_RECEIVABLE</t>
        </is>
      </c>
      <c r="C2008" t="inlineStr">
        <is>
          <t>TR02FLAG04</t>
        </is>
      </c>
      <c r="D2008" t="inlineStr">
        <is>
          <t>CHAR(1)</t>
        </is>
      </c>
      <c r="E2008" t="inlineStr">
        <is>
          <t>YES</t>
        </is>
      </c>
      <c r="F2008" t="inlineStr">
        <is>
          <t>是否已提交和农村电网建设与改造工程电费收费权相关的省级人民政府对征用土地、按比例承担出资和备用资金的书面承诺（已建成的除外）</t>
        </is>
      </c>
      <c r="H2008" t="inlineStr">
        <is>
          <t>CHAR</t>
        </is>
      </c>
      <c r="I2008" t="inlineStr">
        <is>
          <t>1</t>
        </is>
      </c>
    </row>
    <row r="2009">
      <c r="A2009" t="inlineStr">
        <is>
          <t>应收账款;交易和收费权)</t>
        </is>
      </c>
      <c r="B2009" t="inlineStr">
        <is>
          <t>CLR_ASSET_RECEIVABLE</t>
        </is>
      </c>
      <c r="C2009" t="inlineStr">
        <is>
          <t>TR02FLAG05</t>
        </is>
      </c>
      <c r="D2009" t="inlineStr">
        <is>
          <t>CHAR(1)</t>
        </is>
      </c>
      <c r="E2009" t="inlineStr">
        <is>
          <t>YES</t>
        </is>
      </c>
      <c r="F2009" t="inlineStr">
        <is>
          <t>是否已提交和农村电网建设与改造工程电费收费权相关的企业财务报表</t>
        </is>
      </c>
      <c r="H2009" t="inlineStr">
        <is>
          <t>CHAR</t>
        </is>
      </c>
      <c r="I2009" t="inlineStr">
        <is>
          <t>1</t>
        </is>
      </c>
    </row>
    <row r="2010">
      <c r="A2010" t="inlineStr">
        <is>
          <t>应收账款;交易和收费权)</t>
        </is>
      </c>
      <c r="B2010" t="inlineStr">
        <is>
          <t>CLR_ASSET_RECEIVABLE</t>
        </is>
      </c>
      <c r="C2010" t="inlineStr">
        <is>
          <t>TR02FLAG06</t>
        </is>
      </c>
      <c r="D2010" t="inlineStr">
        <is>
          <t>CHAR(1)</t>
        </is>
      </c>
      <c r="E2010" t="inlineStr">
        <is>
          <t>YES</t>
        </is>
      </c>
      <c r="F2010" t="inlineStr">
        <is>
          <t>是否已提交相关账户开户证明</t>
        </is>
      </c>
      <c r="H2010" t="inlineStr">
        <is>
          <t>CHAR</t>
        </is>
      </c>
      <c r="I2010" t="inlineStr">
        <is>
          <t>1</t>
        </is>
      </c>
    </row>
    <row r="2011">
      <c r="A2011" t="inlineStr">
        <is>
          <t>应收账款;交易和收费权)</t>
        </is>
      </c>
      <c r="B2011" t="inlineStr">
        <is>
          <t>CLR_ASSET_RECEIVABLE</t>
        </is>
      </c>
      <c r="C2011" t="inlineStr">
        <is>
          <t>TR02FLAG07</t>
        </is>
      </c>
      <c r="D2011" t="inlineStr">
        <is>
          <t>CHAR(1)</t>
        </is>
      </c>
      <c r="E2011" t="inlineStr">
        <is>
          <t>YES</t>
        </is>
      </c>
      <c r="F2011" t="inlineStr">
        <is>
          <t>损害保险</t>
        </is>
      </c>
      <c r="H2011" t="inlineStr">
        <is>
          <t>CHAR</t>
        </is>
      </c>
      <c r="I2011" t="inlineStr">
        <is>
          <t>1</t>
        </is>
      </c>
    </row>
    <row r="2012">
      <c r="A2012" t="inlineStr">
        <is>
          <t>应收账款;交易和收费权)</t>
        </is>
      </c>
      <c r="B2012" t="inlineStr">
        <is>
          <t>CLR_ASSET_RECEIVABLE</t>
        </is>
      </c>
      <c r="C2012" t="inlineStr">
        <is>
          <t>CORPORGID</t>
        </is>
      </c>
      <c r="D2012" t="inlineStr">
        <is>
          <t>VARCHAR(32)</t>
        </is>
      </c>
      <c r="E2012" t="inlineStr">
        <is>
          <t>YES</t>
        </is>
      </c>
      <c r="F2012" t="inlineStr">
        <is>
          <t>法人机构编号</t>
        </is>
      </c>
      <c r="H2012" t="inlineStr">
        <is>
          <t>VARCHAR</t>
        </is>
      </c>
      <c r="I2012" t="inlineStr">
        <is>
          <t>32</t>
        </is>
      </c>
    </row>
    <row r="2013">
      <c r="A2013" t="inlineStr">
        <is>
          <t>应收账款;交易和收费权)</t>
        </is>
      </c>
      <c r="B2013" t="inlineStr">
        <is>
          <t>CLR_ASSET_RECEIVABLE</t>
        </is>
      </c>
      <c r="C2013" t="inlineStr">
        <is>
          <t>RIGHTBOOKNO</t>
        </is>
      </c>
      <c r="D2013" t="inlineStr">
        <is>
          <t>VARCHAR(32)</t>
        </is>
      </c>
      <c r="E2013" t="inlineStr">
        <is>
          <t>YES</t>
        </is>
      </c>
      <c r="F2013" t="inlineStr">
        <is>
          <t>收费权权利证书号码</t>
        </is>
      </c>
      <c r="H2013" t="inlineStr">
        <is>
          <t>VARCHAR</t>
        </is>
      </c>
      <c r="I2013" t="inlineStr">
        <is>
          <t>32</t>
        </is>
      </c>
    </row>
    <row r="2014">
      <c r="A2014" t="inlineStr">
        <is>
          <t>应收账款;交易和收费权)</t>
        </is>
      </c>
      <c r="B2014" t="inlineStr">
        <is>
          <t>CLR_ASSET_RECEIVABLE</t>
        </is>
      </c>
      <c r="C2014" t="inlineStr">
        <is>
          <t>LOCATIONEXPLAIN</t>
        </is>
      </c>
      <c r="D2014" t="inlineStr">
        <is>
          <t>VARCHAR(500)</t>
        </is>
      </c>
      <c r="E2014" t="inlineStr">
        <is>
          <t>YES</t>
        </is>
      </c>
      <c r="F2014" t="inlineStr">
        <is>
          <t>所在省、市说明</t>
        </is>
      </c>
      <c r="H2014" t="inlineStr">
        <is>
          <t>VARCHAR</t>
        </is>
      </c>
      <c r="I2014" t="inlineStr">
        <is>
          <t>500</t>
        </is>
      </c>
    </row>
    <row r="2015">
      <c r="A2015" t="inlineStr">
        <is>
          <t>应收账款;交易和收费权)</t>
        </is>
      </c>
      <c r="B2015" t="inlineStr">
        <is>
          <t>CLR_ASSET_RECEIVABLE</t>
        </is>
      </c>
      <c r="C2015" t="inlineStr">
        <is>
          <t>RECEIVABLETYPE</t>
        </is>
      </c>
      <c r="D2015" t="inlineStr">
        <is>
          <t>VARCHAR(6)</t>
        </is>
      </c>
      <c r="E2015" t="inlineStr">
        <is>
          <t>YES</t>
        </is>
      </c>
      <c r="F2015" t="inlineStr">
        <is>
          <t>应收账款类型</t>
        </is>
      </c>
      <c r="H2015" t="inlineStr">
        <is>
          <t>VARCHAR</t>
        </is>
      </c>
      <c r="I2015" t="inlineStr">
        <is>
          <t>6</t>
        </is>
      </c>
    </row>
    <row r="2016">
      <c r="A2016" t="inlineStr">
        <is>
          <t>应收账款;交易和收费权)</t>
        </is>
      </c>
      <c r="B2016" t="inlineStr">
        <is>
          <t>CLR_ASSET_RECEIVABLE</t>
        </is>
      </c>
      <c r="C2016" t="inlineStr">
        <is>
          <t>BACKGROUND</t>
        </is>
      </c>
      <c r="D2016" t="inlineStr">
        <is>
          <t>VARCHAR(500)</t>
        </is>
      </c>
      <c r="E2016" t="inlineStr">
        <is>
          <t>YES</t>
        </is>
      </c>
      <c r="F2016" t="inlineStr">
        <is>
          <t>背景描述</t>
        </is>
      </c>
      <c r="H2016" t="inlineStr">
        <is>
          <t>VARCHAR</t>
        </is>
      </c>
      <c r="I2016" t="inlineStr">
        <is>
          <t>500</t>
        </is>
      </c>
    </row>
    <row r="2017">
      <c r="A2017" t="inlineStr">
        <is>
          <t>应收账款;交易和收费权)</t>
        </is>
      </c>
      <c r="B2017" t="inlineStr">
        <is>
          <t>CLR_ASSET_RECEIVABLE</t>
        </is>
      </c>
      <c r="C2017" t="inlineStr">
        <is>
          <t>REGISTERINFO</t>
        </is>
      </c>
      <c r="D2017" t="inlineStr">
        <is>
          <t>VARCHAR(500)</t>
        </is>
      </c>
      <c r="E2017" t="inlineStr">
        <is>
          <t>YES</t>
        </is>
      </c>
      <c r="F2017" t="inlineStr">
        <is>
          <t>质押物登记情况</t>
        </is>
      </c>
      <c r="H2017" t="inlineStr">
        <is>
          <t>VARCHAR</t>
        </is>
      </c>
      <c r="I2017" t="inlineStr">
        <is>
          <t>500</t>
        </is>
      </c>
    </row>
    <row r="2018">
      <c r="A2018" t="inlineStr">
        <is>
          <t>应收账款;交易和收费权)</t>
        </is>
      </c>
      <c r="B2018" t="inlineStr">
        <is>
          <t>CLR_ASSET_RECEIVABLE</t>
        </is>
      </c>
      <c r="C2018" t="inlineStr">
        <is>
          <t>FRZSTATUS</t>
        </is>
      </c>
      <c r="D2018" t="inlineStr">
        <is>
          <t>VARCHAR(6)</t>
        </is>
      </c>
      <c r="E2018" t="inlineStr">
        <is>
          <t>YES</t>
        </is>
      </c>
      <c r="F2018" t="inlineStr">
        <is>
          <t>冻结类型</t>
        </is>
      </c>
      <c r="H2018" t="inlineStr">
        <is>
          <t>VARCHAR</t>
        </is>
      </c>
      <c r="I2018" t="inlineStr">
        <is>
          <t>6</t>
        </is>
      </c>
    </row>
    <row r="2019">
      <c r="A2019" t="inlineStr">
        <is>
          <t>应收账款;交易和收费权)</t>
        </is>
      </c>
      <c r="B2019" t="inlineStr">
        <is>
          <t>CLR_ASSET_RECEIVABLE</t>
        </is>
      </c>
      <c r="C2019" t="inlineStr">
        <is>
          <t>ACCOUNTTYPE</t>
        </is>
      </c>
      <c r="D2019" t="inlineStr">
        <is>
          <t>VARCHAR(10)</t>
        </is>
      </c>
      <c r="E2019" t="inlineStr">
        <is>
          <t>YES</t>
        </is>
      </c>
      <c r="F2019" t="inlineStr">
        <is>
          <t>帐户标识</t>
        </is>
      </c>
      <c r="H2019" t="inlineStr">
        <is>
          <t>VARCHAR</t>
        </is>
      </c>
      <c r="I2019" t="inlineStr">
        <is>
          <t>10</t>
        </is>
      </c>
    </row>
    <row r="2020">
      <c r="A2020" t="inlineStr">
        <is>
          <t>应收账款;交易和收费权)</t>
        </is>
      </c>
      <c r="B2020" t="inlineStr">
        <is>
          <t>CLR_ASSET_RECEIVABLE</t>
        </is>
      </c>
      <c r="C2020" t="inlineStr">
        <is>
          <t>ACCOUNTNAME</t>
        </is>
      </c>
      <c r="D2020" t="inlineStr">
        <is>
          <t>VARCHAR(32)</t>
        </is>
      </c>
      <c r="E2020" t="inlineStr">
        <is>
          <t>YES</t>
        </is>
      </c>
      <c r="F2020" t="inlineStr">
        <is>
          <t>户主/姓名</t>
        </is>
      </c>
      <c r="H2020" t="inlineStr">
        <is>
          <t>VARCHAR</t>
        </is>
      </c>
      <c r="I2020" t="inlineStr">
        <is>
          <t>32</t>
        </is>
      </c>
    </row>
    <row r="2021">
      <c r="A2021" t="inlineStr">
        <is>
          <t>应收账款;交易和收费权)</t>
        </is>
      </c>
      <c r="B2021" t="inlineStr">
        <is>
          <t>CLR_ASSET_RECEIVABLE</t>
        </is>
      </c>
      <c r="C2021" t="inlineStr">
        <is>
          <t>PAYOUTTYPE</t>
        </is>
      </c>
      <c r="D2021" t="inlineStr">
        <is>
          <t>VARCHAR(6)</t>
        </is>
      </c>
      <c r="E2021" t="inlineStr">
        <is>
          <t>YES</t>
        </is>
      </c>
      <c r="F2021" t="inlineStr">
        <is>
          <t>支出类型</t>
        </is>
      </c>
      <c r="H2021" t="inlineStr">
        <is>
          <t>VARCHAR</t>
        </is>
      </c>
      <c r="I2021" t="inlineStr">
        <is>
          <t>6</t>
        </is>
      </c>
    </row>
    <row r="2022">
      <c r="A2022" t="inlineStr">
        <is>
          <t>应收账款;交易和收费权)</t>
        </is>
      </c>
      <c r="B2022" t="inlineStr">
        <is>
          <t>CLR_ASSET_RECEIVABLE</t>
        </is>
      </c>
      <c r="C2022" t="inlineStr">
        <is>
          <t>ISPBOCRECEIVABLEREGIST</t>
        </is>
      </c>
      <c r="D2022" t="inlineStr">
        <is>
          <t>VARCHAR(6)</t>
        </is>
      </c>
      <c r="E2022" t="inlineStr">
        <is>
          <t>YES</t>
        </is>
      </c>
      <c r="F2022" t="inlineStr">
        <is>
          <t>是否在人行应收账款系统登记</t>
        </is>
      </c>
      <c r="H2022" t="inlineStr">
        <is>
          <t>VARCHAR</t>
        </is>
      </c>
      <c r="I2022" t="inlineStr">
        <is>
          <t>6</t>
        </is>
      </c>
    </row>
    <row r="2023">
      <c r="A2023" t="inlineStr">
        <is>
          <t>应收账款;交易和收费权)</t>
        </is>
      </c>
      <c r="B2023" t="inlineStr">
        <is>
          <t>CLR_ASSET_RECEIVABLE</t>
        </is>
      </c>
      <c r="C2023" t="inlineStr">
        <is>
          <t>LOANCARDNO</t>
        </is>
      </c>
      <c r="D2023" t="inlineStr">
        <is>
          <t>VARCHAR(32)</t>
        </is>
      </c>
      <c r="E2023" t="inlineStr">
        <is>
          <t>YES</t>
        </is>
      </c>
      <c r="F2023" t="inlineStr">
        <is>
          <t>贷款卡卡号/出质人贷款卡卡号</t>
        </is>
      </c>
      <c r="H2023" t="inlineStr">
        <is>
          <t>VARCHAR</t>
        </is>
      </c>
      <c r="I2023" t="inlineStr">
        <is>
          <t>32</t>
        </is>
      </c>
    </row>
    <row r="2024">
      <c r="A2024" t="inlineStr">
        <is>
          <t>应收账款;交易和收费权)</t>
        </is>
      </c>
      <c r="B2024" t="inlineStr">
        <is>
          <t>CLR_ASSET_RECEIVABLE</t>
        </is>
      </c>
      <c r="C2024" t="inlineStr">
        <is>
          <t>ISREPAYNEED</t>
        </is>
      </c>
      <c r="D2024" t="inlineStr">
        <is>
          <t>VARCHAR(6)</t>
        </is>
      </c>
      <c r="E2024" t="inlineStr">
        <is>
          <t>YES</t>
        </is>
      </c>
      <c r="F2024" t="inlineStr">
        <is>
          <t>是否需要约定回款路径</t>
        </is>
      </c>
      <c r="H2024" t="inlineStr">
        <is>
          <t>VARCHAR</t>
        </is>
      </c>
      <c r="I2024" t="inlineStr">
        <is>
          <t>6</t>
        </is>
      </c>
    </row>
    <row r="2025">
      <c r="A2025" t="inlineStr">
        <is>
          <t>应收账款;交易和收费权)</t>
        </is>
      </c>
      <c r="B2025" t="inlineStr">
        <is>
          <t>CLR_ASSET_RECEIVABLE</t>
        </is>
      </c>
      <c r="C2025" t="inlineStr">
        <is>
          <t>ACCOUNTAGE</t>
        </is>
      </c>
      <c r="D2025" t="inlineStr">
        <is>
          <t>INTEGER(6)</t>
        </is>
      </c>
      <c r="E2025" t="inlineStr">
        <is>
          <t>YES</t>
        </is>
      </c>
      <c r="F2025" t="inlineStr">
        <is>
          <t>帐龄</t>
        </is>
      </c>
      <c r="H2025" t="inlineStr">
        <is>
          <t>INTEGER</t>
        </is>
      </c>
      <c r="I2025" t="inlineStr">
        <is>
          <t>6</t>
        </is>
      </c>
    </row>
    <row r="2026">
      <c r="A2026" t="inlineStr">
        <is>
          <t>应收账款;交易和收费权)</t>
        </is>
      </c>
      <c r="B2026" t="inlineStr">
        <is>
          <t>CLR_ASSET_RECEIVABLE</t>
        </is>
      </c>
      <c r="C2026" t="inlineStr">
        <is>
          <t>ACCOUNTRECEIVABLETYPE</t>
        </is>
      </c>
      <c r="D2026" t="inlineStr">
        <is>
          <t>VARCHAR(10)</t>
        </is>
      </c>
      <c r="E2026" t="inlineStr">
        <is>
          <t>YES</t>
        </is>
      </c>
      <c r="F2026" t="inlineStr">
        <is>
          <t>应收账款渠道类型</t>
        </is>
      </c>
      <c r="H2026" t="inlineStr">
        <is>
          <t>VARCHAR</t>
        </is>
      </c>
      <c r="I2026" t="inlineStr">
        <is>
          <t>10</t>
        </is>
      </c>
    </row>
    <row r="2027">
      <c r="A2027" t="inlineStr">
        <is>
          <t>应收账款;交易和收费权)</t>
        </is>
      </c>
      <c r="B2027" t="inlineStr">
        <is>
          <t>CLR_ASSET_RECEIVABLE</t>
        </is>
      </c>
      <c r="C2027" t="inlineStr">
        <is>
          <t>REALIZATIONVALUE</t>
        </is>
      </c>
      <c r="D2027" t="inlineStr">
        <is>
          <t>DECIMAL(24,6)</t>
        </is>
      </c>
      <c r="E2027" t="inlineStr">
        <is>
          <t>YES</t>
        </is>
      </c>
      <c r="F2027" t="inlineStr">
        <is>
          <t>预计变现值</t>
        </is>
      </c>
      <c r="H2027" t="inlineStr">
        <is>
          <t>DECIMAL</t>
        </is>
      </c>
      <c r="I2027" t="inlineStr">
        <is>
          <t>24,6</t>
        </is>
      </c>
    </row>
    <row r="2028">
      <c r="A2028" t="inlineStr">
        <is>
          <t>应收账款;交易和收费权)</t>
        </is>
      </c>
      <c r="B2028" t="inlineStr">
        <is>
          <t>CLR_ASSET_RECEIVABLE</t>
        </is>
      </c>
      <c r="C2028" t="inlineStr">
        <is>
          <t>REALIZATIONCOST</t>
        </is>
      </c>
      <c r="D2028" t="inlineStr">
        <is>
          <t>DECIMAL(24,6)</t>
        </is>
      </c>
      <c r="E2028" t="inlineStr">
        <is>
          <t>YES</t>
        </is>
      </c>
      <c r="F2028" t="inlineStr">
        <is>
          <t>预计变现成本</t>
        </is>
      </c>
      <c r="H2028" t="inlineStr">
        <is>
          <t>DECIMAL</t>
        </is>
      </c>
      <c r="I2028" t="inlineStr">
        <is>
          <t>24,6</t>
        </is>
      </c>
    </row>
    <row r="2029">
      <c r="A2029" t="inlineStr">
        <is>
          <t>应收账款;交易和收费权)</t>
        </is>
      </c>
      <c r="B2029" t="inlineStr">
        <is>
          <t>CLR_ASSET_RECEIVABLE</t>
        </is>
      </c>
      <c r="C2029" t="inlineStr">
        <is>
          <t>RIGHTCERTNO</t>
        </is>
      </c>
      <c r="D2029" t="inlineStr">
        <is>
          <t>VARCHAR(800)</t>
        </is>
      </c>
      <c r="E2029" t="inlineStr">
        <is>
          <t>YES</t>
        </is>
      </c>
      <c r="F2029" t="inlineStr">
        <is>
          <t>权证号码</t>
        </is>
      </c>
      <c r="H2029" t="inlineStr">
        <is>
          <t>VARCHAR</t>
        </is>
      </c>
      <c r="I2029" t="inlineStr">
        <is>
          <t>800</t>
        </is>
      </c>
    </row>
    <row r="2030">
      <c r="A2030" t="inlineStr">
        <is>
          <t>应收账款;交易和收费权)</t>
        </is>
      </c>
      <c r="B2030" t="inlineStr">
        <is>
          <t>CLR_ASSET_RECEIVABLE</t>
        </is>
      </c>
      <c r="C2030" t="inlineStr">
        <is>
          <t>BUYERCUSTNO</t>
        </is>
      </c>
      <c r="D2030" t="inlineStr">
        <is>
          <t>VARCHAR(32)</t>
        </is>
      </c>
      <c r="E2030" t="inlineStr">
        <is>
          <t>YES</t>
        </is>
      </c>
      <c r="F2030" t="inlineStr">
        <is>
          <t>买方客户号</t>
        </is>
      </c>
      <c r="H2030" t="inlineStr">
        <is>
          <t>VARCHAR</t>
        </is>
      </c>
      <c r="I2030" t="inlineStr">
        <is>
          <t>32</t>
        </is>
      </c>
    </row>
    <row r="2031">
      <c r="A2031" t="inlineStr">
        <is>
          <t>应收账款;交易和收费权)</t>
        </is>
      </c>
      <c r="B2031" t="inlineStr">
        <is>
          <t>CLR_ASSET_RECEIVABLE</t>
        </is>
      </c>
      <c r="C2031" t="inlineStr">
        <is>
          <t>COREENTCODE</t>
        </is>
      </c>
      <c r="D2031" t="inlineStr">
        <is>
          <t>VARCHAR(32)</t>
        </is>
      </c>
      <c r="E2031" t="inlineStr">
        <is>
          <t>YES</t>
        </is>
      </c>
      <c r="F2031" t="inlineStr">
        <is>
          <t>MDM核心企业编码</t>
        </is>
      </c>
      <c r="H2031" t="inlineStr">
        <is>
          <t>VARCHAR</t>
        </is>
      </c>
      <c r="I2031" t="inlineStr">
        <is>
          <t>32</t>
        </is>
      </c>
    </row>
    <row r="2032">
      <c r="A2032" t="inlineStr">
        <is>
          <t>应收账款;交易和收费权)</t>
        </is>
      </c>
      <c r="B2032" t="inlineStr">
        <is>
          <t>CLR_ASSET_RECEIVABLE</t>
        </is>
      </c>
      <c r="C2032" t="inlineStr">
        <is>
          <t>SELLERCUSTNO</t>
        </is>
      </c>
      <c r="D2032" t="inlineStr">
        <is>
          <t>VARCHAR(32)</t>
        </is>
      </c>
      <c r="E2032" t="inlineStr">
        <is>
          <t>YES</t>
        </is>
      </c>
      <c r="F2032" t="inlineStr">
        <is>
          <t>卖方客户号</t>
        </is>
      </c>
      <c r="H2032" t="inlineStr">
        <is>
          <t>VARCHAR</t>
        </is>
      </c>
      <c r="I2032" t="inlineStr">
        <is>
          <t>32</t>
        </is>
      </c>
    </row>
    <row r="2033">
      <c r="A2033" t="inlineStr">
        <is>
          <t>应收账款;交易和收费权)</t>
        </is>
      </c>
      <c r="B2033" t="inlineStr">
        <is>
          <t>CLR_ASSET_RECEIVABLE</t>
        </is>
      </c>
      <c r="C2033" t="inlineStr">
        <is>
          <t>SETTLEDAMOUNT</t>
        </is>
      </c>
      <c r="D2033" t="inlineStr">
        <is>
          <t>DECIMAL(24,6)</t>
        </is>
      </c>
      <c r="E2033" t="inlineStr">
        <is>
          <t>YES</t>
        </is>
      </c>
      <c r="F2033" t="inlineStr">
        <is>
          <t>应收账款已结算金额及其他扣除项</t>
        </is>
      </c>
      <c r="H2033" t="inlineStr">
        <is>
          <t>DECIMAL</t>
        </is>
      </c>
      <c r="I2033" t="inlineStr">
        <is>
          <t>24,6</t>
        </is>
      </c>
    </row>
    <row r="2034">
      <c r="A2034" t="inlineStr">
        <is>
          <t>应收账款;交易和收费权)</t>
        </is>
      </c>
      <c r="B2034" t="inlineStr">
        <is>
          <t>CLR_ASSET_RECEIVABLE</t>
        </is>
      </c>
      <c r="C2034" t="inlineStr">
        <is>
          <t>RECEIVABLETRANSFERNO</t>
        </is>
      </c>
      <c r="D2034" t="inlineStr">
        <is>
          <t>VARCHAR(32)</t>
        </is>
      </c>
      <c r="E2034" t="inlineStr">
        <is>
          <t>YES</t>
        </is>
      </c>
      <c r="F2034" t="inlineStr">
        <is>
          <t>应收账款转让申请号</t>
        </is>
      </c>
      <c r="H2034" t="inlineStr">
        <is>
          <t>VARCHAR</t>
        </is>
      </c>
      <c r="I2034" t="inlineStr">
        <is>
          <t>32</t>
        </is>
      </c>
    </row>
    <row r="2035">
      <c r="A2035" t="inlineStr">
        <is>
          <t>应收账款;交易和收费权)</t>
        </is>
      </c>
      <c r="B2035" t="inlineStr">
        <is>
          <t>CLR_ASSET_RECEIVABLE</t>
        </is>
      </c>
      <c r="C2035" t="inlineStr">
        <is>
          <t>RECEIVABLETRANSFERTIME</t>
        </is>
      </c>
      <c r="D2035" t="inlineStr">
        <is>
          <t>DATETIME</t>
        </is>
      </c>
      <c r="E2035" t="inlineStr">
        <is>
          <t>YES</t>
        </is>
      </c>
      <c r="F2035" t="inlineStr">
        <is>
          <t>应收账款转让申请时间</t>
        </is>
      </c>
      <c r="H2035" t="inlineStr">
        <is>
          <t>DATETIME</t>
        </is>
      </c>
    </row>
    <row r="2036">
      <c r="A2036" t="inlineStr">
        <is>
          <t>应收账款;交易和收费权)</t>
        </is>
      </c>
      <c r="B2036" t="inlineStr">
        <is>
          <t>CLR_ASSET_RECEIVABLE</t>
        </is>
      </c>
      <c r="C2036" t="inlineStr">
        <is>
          <t>SELLERQUOTANO</t>
        </is>
      </c>
      <c r="D2036" t="inlineStr">
        <is>
          <t>VARCHAR(32)</t>
        </is>
      </c>
      <c r="E2036" t="inlineStr">
        <is>
          <t>YES</t>
        </is>
      </c>
      <c r="F2036" t="inlineStr">
        <is>
          <t>融资卖方额度号</t>
        </is>
      </c>
      <c r="H2036" t="inlineStr">
        <is>
          <t>VARCHAR</t>
        </is>
      </c>
      <c r="I2036" t="inlineStr">
        <is>
          <t>32</t>
        </is>
      </c>
    </row>
    <row r="2037">
      <c r="A2037" t="inlineStr">
        <is>
          <t>应收账款;交易和收费权)</t>
        </is>
      </c>
      <c r="B2037" t="inlineStr">
        <is>
          <t>CLR_ASSET_RECEIVABLE</t>
        </is>
      </c>
      <c r="C2037" t="inlineStr">
        <is>
          <t>SINGLEPOOL</t>
        </is>
      </c>
      <c r="D2037" t="inlineStr">
        <is>
          <t>VARCHAR(32)</t>
        </is>
      </c>
      <c r="E2037" t="inlineStr">
        <is>
          <t>YES</t>
        </is>
      </c>
      <c r="F2037" t="inlineStr">
        <is>
          <t>单笔/池</t>
        </is>
      </c>
      <c r="H2037" t="inlineStr">
        <is>
          <t>VARCHAR</t>
        </is>
      </c>
      <c r="I2037" t="inlineStr">
        <is>
          <t>32</t>
        </is>
      </c>
    </row>
    <row r="2038">
      <c r="A2038" t="inlineStr">
        <is>
          <t>应收账款;交易和收费权)</t>
        </is>
      </c>
      <c r="B2038" t="inlineStr">
        <is>
          <t>CLR_ASSET_RECEIVABLE</t>
        </is>
      </c>
      <c r="C2038" t="inlineStr">
        <is>
          <t>POOLNO</t>
        </is>
      </c>
      <c r="D2038" t="inlineStr">
        <is>
          <t>VARCHAR(32)</t>
        </is>
      </c>
      <c r="E2038" t="inlineStr">
        <is>
          <t>YES</t>
        </is>
      </c>
      <c r="F2038" t="inlineStr">
        <is>
          <t>池编号</t>
        </is>
      </c>
      <c r="H2038" t="inlineStr">
        <is>
          <t>VARCHAR</t>
        </is>
      </c>
      <c r="I2038" t="inlineStr">
        <is>
          <t>32</t>
        </is>
      </c>
    </row>
    <row r="2039">
      <c r="A2039" t="inlineStr">
        <is>
          <t>应收账款;交易和收费权)</t>
        </is>
      </c>
      <c r="B2039" t="inlineStr">
        <is>
          <t>CLR_ASSET_RECEIVABLE</t>
        </is>
      </c>
      <c r="C2039" t="inlineStr">
        <is>
          <t>TERM</t>
        </is>
      </c>
      <c r="D2039" t="inlineStr">
        <is>
          <t>INTEGER(6)</t>
        </is>
      </c>
      <c r="E2039" t="inlineStr">
        <is>
          <t>YES</t>
        </is>
      </c>
      <c r="F2039" t="inlineStr">
        <is>
          <t>期限（天）</t>
        </is>
      </c>
      <c r="H2039" t="inlineStr">
        <is>
          <t>INTEGER</t>
        </is>
      </c>
      <c r="I2039" t="inlineStr">
        <is>
          <t>6</t>
        </is>
      </c>
    </row>
    <row r="2040">
      <c r="A2040" t="inlineStr">
        <is>
          <t>应收账款;交易和收费权)</t>
        </is>
      </c>
      <c r="B2040" t="inlineStr">
        <is>
          <t>CLR_ASSET_RECEIVABLE</t>
        </is>
      </c>
      <c r="C2040" t="inlineStr">
        <is>
          <t>UNITNAME</t>
        </is>
      </c>
      <c r="D2040" t="inlineStr">
        <is>
          <t>VARCHAR(80)</t>
        </is>
      </c>
      <c r="E2040" t="inlineStr">
        <is>
          <t>YES</t>
        </is>
      </c>
      <c r="F2040" t="inlineStr">
        <is>
          <t>具体单位名称</t>
        </is>
      </c>
      <c r="H2040" t="inlineStr">
        <is>
          <t>VARCHAR</t>
        </is>
      </c>
      <c r="I2040" t="inlineStr">
        <is>
          <t>80</t>
        </is>
      </c>
    </row>
    <row r="2041">
      <c r="A2041" t="inlineStr">
        <is>
          <t>应收账款;交易和收费权)</t>
        </is>
      </c>
      <c r="B2041" t="inlineStr">
        <is>
          <t>CLR_ASSET_RECEIVABLE</t>
        </is>
      </c>
      <c r="C2041" t="inlineStr">
        <is>
          <t>INVOICEINTEGRITY</t>
        </is>
      </c>
      <c r="D2041" t="inlineStr">
        <is>
          <t>VARCHAR(80)</t>
        </is>
      </c>
      <c r="E2041" t="inlineStr">
        <is>
          <t>YES</t>
        </is>
      </c>
      <c r="F2041" t="inlineStr">
        <is>
          <t>发票完整性</t>
        </is>
      </c>
      <c r="H2041" t="inlineStr">
        <is>
          <t>VARCHAR</t>
        </is>
      </c>
      <c r="I2041" t="inlineStr">
        <is>
          <t>80</t>
        </is>
      </c>
    </row>
    <row r="2042">
      <c r="A2042" t="inlineStr">
        <is>
          <t>应收账款;交易和收费权)</t>
        </is>
      </c>
      <c r="B2042" t="inlineStr">
        <is>
          <t>CLR_ASSET_RECEIVABLE</t>
        </is>
      </c>
      <c r="C2042" t="inlineStr">
        <is>
          <t>PLEDGECONTRACTNO</t>
        </is>
      </c>
      <c r="D2042" t="inlineStr">
        <is>
          <t>VARCHAR(32)</t>
        </is>
      </c>
      <c r="E2042" t="inlineStr">
        <is>
          <t>YES</t>
        </is>
      </c>
      <c r="F2042" t="inlineStr">
        <is>
          <t>质押合同编号</t>
        </is>
      </c>
      <c r="H2042" t="inlineStr">
        <is>
          <t>VARCHAR</t>
        </is>
      </c>
      <c r="I2042" t="inlineStr">
        <is>
          <t>32</t>
        </is>
      </c>
    </row>
    <row r="2043">
      <c r="A2043" t="inlineStr">
        <is>
          <t>应收账款;交易和收费权)</t>
        </is>
      </c>
      <c r="B2043" t="inlineStr">
        <is>
          <t>CLR_ASSET_RECEIVABLE</t>
        </is>
      </c>
      <c r="C2043" t="inlineStr">
        <is>
          <t>CONTRACTNAME</t>
        </is>
      </c>
      <c r="D2043" t="inlineStr">
        <is>
          <t>VARCHAR(80)</t>
        </is>
      </c>
      <c r="E2043" t="inlineStr">
        <is>
          <t>YES</t>
        </is>
      </c>
      <c r="F2043" t="inlineStr">
        <is>
          <t>合同名称</t>
        </is>
      </c>
      <c r="H2043" t="inlineStr">
        <is>
          <t>VARCHAR</t>
        </is>
      </c>
      <c r="I2043" t="inlineStr">
        <is>
          <t>80</t>
        </is>
      </c>
    </row>
    <row r="2044">
      <c r="A2044" t="inlineStr">
        <is>
          <t>应收账款;交易和收费权)</t>
        </is>
      </c>
      <c r="B2044" t="inlineStr">
        <is>
          <t>CLR_ASSET_RECEIVABLE</t>
        </is>
      </c>
      <c r="C2044" t="inlineStr">
        <is>
          <t>LEGALPERSONNAME</t>
        </is>
      </c>
      <c r="D2044" t="inlineStr">
        <is>
          <t>VARCHAR(80)</t>
        </is>
      </c>
      <c r="E2044" t="inlineStr">
        <is>
          <t>YES</t>
        </is>
      </c>
      <c r="F2044" t="inlineStr">
        <is>
          <t>贷款企业法人代表姓名</t>
        </is>
      </c>
      <c r="H2044" t="inlineStr">
        <is>
          <t>VARCHAR</t>
        </is>
      </c>
      <c r="I2044" t="inlineStr">
        <is>
          <t>80</t>
        </is>
      </c>
    </row>
    <row r="2045">
      <c r="A2045" t="inlineStr">
        <is>
          <t>应收账款;交易和收费权)</t>
        </is>
      </c>
      <c r="B2045" t="inlineStr">
        <is>
          <t>CLR_ASSET_RECEIVABLE</t>
        </is>
      </c>
      <c r="C2045" t="inlineStr">
        <is>
          <t>CONTRACTPERSONNAME</t>
        </is>
      </c>
      <c r="D2045" t="inlineStr">
        <is>
          <t>VARCHAR(80)</t>
        </is>
      </c>
      <c r="E2045" t="inlineStr">
        <is>
          <t>YES</t>
        </is>
      </c>
      <c r="F2045" t="inlineStr">
        <is>
          <t>纸质合同相对人名称</t>
        </is>
      </c>
      <c r="H2045" t="inlineStr">
        <is>
          <t>VARCHAR</t>
        </is>
      </c>
      <c r="I2045" t="inlineStr">
        <is>
          <t>80</t>
        </is>
      </c>
    </row>
    <row r="2046">
      <c r="A2046" t="inlineStr">
        <is>
          <t>应收账款;交易和收费权)</t>
        </is>
      </c>
      <c r="B2046" t="inlineStr">
        <is>
          <t>CLR_ASSET_RECEIVABLE</t>
        </is>
      </c>
      <c r="C2046" t="inlineStr">
        <is>
          <t>CONTRACTDATE</t>
        </is>
      </c>
      <c r="D2046" t="inlineStr">
        <is>
          <t>DATETIME</t>
        </is>
      </c>
      <c r="E2046" t="inlineStr">
        <is>
          <t>YES</t>
        </is>
      </c>
      <c r="F2046" t="inlineStr">
        <is>
          <t>合同签订日期</t>
        </is>
      </c>
      <c r="H2046" t="inlineStr">
        <is>
          <t>DATETIME</t>
        </is>
      </c>
    </row>
    <row r="2047">
      <c r="A2047" t="inlineStr">
        <is>
          <t>应收账款;交易和收费权)</t>
        </is>
      </c>
      <c r="B2047" t="inlineStr">
        <is>
          <t>CLR_ASSET_RECEIVABLE</t>
        </is>
      </c>
      <c r="C2047" t="inlineStr">
        <is>
          <t>CUSTNAME</t>
        </is>
      </c>
      <c r="D2047" t="inlineStr">
        <is>
          <t>VARCHAR(80)</t>
        </is>
      </c>
      <c r="E2047" t="inlineStr">
        <is>
          <t>YES</t>
        </is>
      </c>
      <c r="F2047" t="inlineStr">
        <is>
          <t>客户名称</t>
        </is>
      </c>
      <c r="H2047" t="inlineStr">
        <is>
          <t>VARCHAR</t>
        </is>
      </c>
      <c r="I2047" t="inlineStr">
        <is>
          <t>80</t>
        </is>
      </c>
    </row>
    <row r="2048">
      <c r="A2048" t="inlineStr">
        <is>
          <t>应收账款;交易和收费权)</t>
        </is>
      </c>
      <c r="B2048" t="inlineStr">
        <is>
          <t>CLR_ASSET_RECEIVABLE</t>
        </is>
      </c>
      <c r="C2048" t="inlineStr">
        <is>
          <t>CUSTNO</t>
        </is>
      </c>
      <c r="D2048" t="inlineStr">
        <is>
          <t>VARCHAR(32)</t>
        </is>
      </c>
      <c r="E2048" t="inlineStr">
        <is>
          <t>YES</t>
        </is>
      </c>
      <c r="F2048" t="inlineStr">
        <is>
          <t>客户号</t>
        </is>
      </c>
      <c r="H2048" t="inlineStr">
        <is>
          <t>VARCHAR</t>
        </is>
      </c>
      <c r="I2048" t="inlineStr">
        <is>
          <t>32</t>
        </is>
      </c>
    </row>
    <row r="2049">
      <c r="A2049" t="inlineStr">
        <is>
          <t>应收账款;交易和收费权)</t>
        </is>
      </c>
      <c r="B2049" t="inlineStr">
        <is>
          <t>CLR_ASSET_RECEIVABLE</t>
        </is>
      </c>
      <c r="C2049" t="inlineStr">
        <is>
          <t>PROJECTNO</t>
        </is>
      </c>
      <c r="D2049" t="inlineStr">
        <is>
          <t>VARCHAR(32)</t>
        </is>
      </c>
      <c r="E2049" t="inlineStr">
        <is>
          <t>YES</t>
        </is>
      </c>
      <c r="F2049" t="inlineStr">
        <is>
          <t>项目立项批文文号</t>
        </is>
      </c>
      <c r="H2049" t="inlineStr">
        <is>
          <t>VARCHAR</t>
        </is>
      </c>
      <c r="I2049" t="inlineStr">
        <is>
          <t>32</t>
        </is>
      </c>
    </row>
    <row r="2050">
      <c r="A2050" t="inlineStr">
        <is>
          <t>应收账款;交易和收费权)</t>
        </is>
      </c>
      <c r="B2050" t="inlineStr">
        <is>
          <t>CLR_ASSET_RECEIVABLE</t>
        </is>
      </c>
      <c r="C2050" t="inlineStr">
        <is>
          <t>CHARGENO</t>
        </is>
      </c>
      <c r="D2050" t="inlineStr">
        <is>
          <t>VARCHAR(32)</t>
        </is>
      </c>
      <c r="E2050" t="inlineStr">
        <is>
          <t>YES</t>
        </is>
      </c>
      <c r="F2050" t="inlineStr">
        <is>
          <t>收费权确认文号</t>
        </is>
      </c>
      <c r="H2050" t="inlineStr">
        <is>
          <t>VARCHAR</t>
        </is>
      </c>
      <c r="I2050" t="inlineStr">
        <is>
          <t>32</t>
        </is>
      </c>
    </row>
    <row r="2051">
      <c r="A2051" t="inlineStr">
        <is>
          <t>应收账款;交易和收费权)</t>
        </is>
      </c>
      <c r="B2051" t="inlineStr">
        <is>
          <t>CLR_ASSET_RECEIVABLE</t>
        </is>
      </c>
      <c r="C2051" t="inlineStr">
        <is>
          <t>PLEDGENO</t>
        </is>
      </c>
      <c r="D2051" t="inlineStr">
        <is>
          <t>VARCHAR(32)</t>
        </is>
      </c>
      <c r="E2051" t="inlineStr">
        <is>
          <t>YES</t>
        </is>
      </c>
      <c r="F2051" t="inlineStr">
        <is>
          <t>可质押批复文号</t>
        </is>
      </c>
      <c r="H2051" t="inlineStr">
        <is>
          <t>VARCHAR</t>
        </is>
      </c>
      <c r="I2051" t="inlineStr">
        <is>
          <t>32</t>
        </is>
      </c>
    </row>
    <row r="2052">
      <c r="A2052" t="inlineStr">
        <is>
          <t>应收账款;交易和收费权)</t>
        </is>
      </c>
      <c r="B2052" t="inlineStr">
        <is>
          <t>CLR_ASSET_RECEIVABLE</t>
        </is>
      </c>
      <c r="C2052" t="inlineStr">
        <is>
          <t>CURRENCY</t>
        </is>
      </c>
      <c r="D2052" t="inlineStr">
        <is>
          <t>VARCHAR(18)</t>
        </is>
      </c>
      <c r="E2052" t="inlineStr">
        <is>
          <t>YES</t>
        </is>
      </c>
      <c r="F2052" t="inlineStr">
        <is>
          <t>币种</t>
        </is>
      </c>
      <c r="H2052" t="inlineStr">
        <is>
          <t>VARCHAR</t>
        </is>
      </c>
      <c r="I2052" t="inlineStr">
        <is>
          <t>18</t>
        </is>
      </c>
    </row>
    <row r="2053">
      <c r="A2053" t="inlineStr">
        <is>
          <t>应收账款;交易和收费权)</t>
        </is>
      </c>
      <c r="B2053" t="inlineStr">
        <is>
          <t>CLR_ASSET_RECEIVABLE</t>
        </is>
      </c>
      <c r="C2053" t="inlineStr">
        <is>
          <t>RIGHTVALUE</t>
        </is>
      </c>
      <c r="D2053" t="inlineStr">
        <is>
          <t>DECIMAL(24,6)</t>
        </is>
      </c>
      <c r="E2053" t="inlineStr">
        <is>
          <t>YES</t>
        </is>
      </c>
      <c r="F2053" t="inlineStr">
        <is>
          <t>权利取得价值</t>
        </is>
      </c>
      <c r="H2053" t="inlineStr">
        <is>
          <t>DECIMAL</t>
        </is>
      </c>
      <c r="I2053" t="inlineStr">
        <is>
          <t>24,6</t>
        </is>
      </c>
    </row>
    <row r="2054">
      <c r="A2054" t="inlineStr">
        <is>
          <t>货权信息</t>
        </is>
      </c>
      <c r="B2054" t="inlineStr">
        <is>
          <t>CLR_CARGO_INFO</t>
        </is>
      </c>
      <c r="C2054" t="inlineStr">
        <is>
          <t>SERIALNO</t>
        </is>
      </c>
      <c r="D2054" t="inlineStr">
        <is>
          <t>VARCHAR(32)</t>
        </is>
      </c>
      <c r="E2054" t="inlineStr">
        <is>
          <t>NO</t>
        </is>
      </c>
      <c r="F2054" t="inlineStr">
        <is>
          <t>流水号</t>
        </is>
      </c>
      <c r="H2054" t="inlineStr">
        <is>
          <t>VARCHAR</t>
        </is>
      </c>
      <c r="I2054" t="inlineStr">
        <is>
          <t>32</t>
        </is>
      </c>
    </row>
    <row r="2055">
      <c r="A2055" t="inlineStr">
        <is>
          <t>货权信息</t>
        </is>
      </c>
      <c r="B2055" t="inlineStr">
        <is>
          <t>CLR_CARGO_INFO</t>
        </is>
      </c>
      <c r="C2055" t="inlineStr">
        <is>
          <t>CLRID</t>
        </is>
      </c>
      <c r="D2055" t="inlineStr">
        <is>
          <t>VARCHAR(32)</t>
        </is>
      </c>
      <c r="E2055" t="inlineStr">
        <is>
          <t>YES</t>
        </is>
      </c>
      <c r="F2055" t="inlineStr">
        <is>
          <t>押品编号</t>
        </is>
      </c>
      <c r="H2055" t="inlineStr">
        <is>
          <t>VARCHAR</t>
        </is>
      </c>
      <c r="I2055" t="inlineStr">
        <is>
          <t>32</t>
        </is>
      </c>
    </row>
    <row r="2056">
      <c r="A2056" t="inlineStr">
        <is>
          <t>货权信息</t>
        </is>
      </c>
      <c r="B2056" t="inlineStr">
        <is>
          <t>CLR_CARGO_INFO</t>
        </is>
      </c>
      <c r="C2056" t="inlineStr">
        <is>
          <t>CARGOCODE</t>
        </is>
      </c>
      <c r="D2056" t="inlineStr">
        <is>
          <t>VARCHAR(32)</t>
        </is>
      </c>
      <c r="E2056" t="inlineStr">
        <is>
          <t>YES</t>
        </is>
      </c>
      <c r="F2056" t="inlineStr">
        <is>
          <t>商品代码</t>
        </is>
      </c>
      <c r="H2056" t="inlineStr">
        <is>
          <t>VARCHAR</t>
        </is>
      </c>
      <c r="I2056" t="inlineStr">
        <is>
          <t>32</t>
        </is>
      </c>
    </row>
    <row r="2057">
      <c r="A2057" t="inlineStr">
        <is>
          <t>货权信息</t>
        </is>
      </c>
      <c r="B2057" t="inlineStr">
        <is>
          <t>CLR_CARGO_INFO</t>
        </is>
      </c>
      <c r="C2057" t="inlineStr">
        <is>
          <t>CARGONAME</t>
        </is>
      </c>
      <c r="D2057" t="inlineStr">
        <is>
          <t>VARCHAR(80)</t>
        </is>
      </c>
      <c r="E2057" t="inlineStr">
        <is>
          <t>YES</t>
        </is>
      </c>
      <c r="F2057" t="inlineStr">
        <is>
          <t>商品名称</t>
        </is>
      </c>
      <c r="H2057" t="inlineStr">
        <is>
          <t>VARCHAR</t>
        </is>
      </c>
      <c r="I2057" t="inlineStr">
        <is>
          <t>80</t>
        </is>
      </c>
    </row>
    <row r="2058">
      <c r="A2058" t="inlineStr">
        <is>
          <t>货权信息</t>
        </is>
      </c>
      <c r="B2058" t="inlineStr">
        <is>
          <t>CLR_CARGO_INFO</t>
        </is>
      </c>
      <c r="C2058" t="inlineStr">
        <is>
          <t>CARGOHEADTYPE</t>
        </is>
      </c>
      <c r="D2058" t="inlineStr">
        <is>
          <t>VARCHAR(32)</t>
        </is>
      </c>
      <c r="E2058" t="inlineStr">
        <is>
          <t>YES</t>
        </is>
      </c>
      <c r="F2058" t="inlineStr">
        <is>
          <t>商品大类</t>
        </is>
      </c>
      <c r="H2058" t="inlineStr">
        <is>
          <t>VARCHAR</t>
        </is>
      </c>
      <c r="I2058" t="inlineStr">
        <is>
          <t>32</t>
        </is>
      </c>
    </row>
    <row r="2059">
      <c r="A2059" t="inlineStr">
        <is>
          <t>货权信息</t>
        </is>
      </c>
      <c r="B2059" t="inlineStr">
        <is>
          <t>CLR_CARGO_INFO</t>
        </is>
      </c>
      <c r="C2059" t="inlineStr">
        <is>
          <t>CARGOHEADNAME</t>
        </is>
      </c>
      <c r="D2059" t="inlineStr">
        <is>
          <t>VARCHAR(80)</t>
        </is>
      </c>
      <c r="E2059" t="inlineStr">
        <is>
          <t>YES</t>
        </is>
      </c>
      <c r="F2059" t="inlineStr">
        <is>
          <t>商品大类名称</t>
        </is>
      </c>
      <c r="H2059" t="inlineStr">
        <is>
          <t>VARCHAR</t>
        </is>
      </c>
      <c r="I2059" t="inlineStr">
        <is>
          <t>80</t>
        </is>
      </c>
    </row>
    <row r="2060">
      <c r="A2060" t="inlineStr">
        <is>
          <t>货权信息</t>
        </is>
      </c>
      <c r="B2060" t="inlineStr">
        <is>
          <t>CLR_CARGO_INFO</t>
        </is>
      </c>
      <c r="C2060" t="inlineStr">
        <is>
          <t>CARGODETAILTYPE</t>
        </is>
      </c>
      <c r="D2060" t="inlineStr">
        <is>
          <t>VARCHAR(32)</t>
        </is>
      </c>
      <c r="E2060" t="inlineStr">
        <is>
          <t>YES</t>
        </is>
      </c>
      <c r="F2060" t="inlineStr">
        <is>
          <t>商品细类</t>
        </is>
      </c>
      <c r="H2060" t="inlineStr">
        <is>
          <t>VARCHAR</t>
        </is>
      </c>
      <c r="I2060" t="inlineStr">
        <is>
          <t>32</t>
        </is>
      </c>
    </row>
    <row r="2061">
      <c r="A2061" t="inlineStr">
        <is>
          <t>货权信息</t>
        </is>
      </c>
      <c r="B2061" t="inlineStr">
        <is>
          <t>CLR_CARGO_INFO</t>
        </is>
      </c>
      <c r="C2061" t="inlineStr">
        <is>
          <t>CARGODETAILNAME</t>
        </is>
      </c>
      <c r="D2061" t="inlineStr">
        <is>
          <t>VARCHAR(80)</t>
        </is>
      </c>
      <c r="E2061" t="inlineStr">
        <is>
          <t>YES</t>
        </is>
      </c>
      <c r="F2061" t="inlineStr">
        <is>
          <t>商品细类名称</t>
        </is>
      </c>
      <c r="H2061" t="inlineStr">
        <is>
          <t>VARCHAR</t>
        </is>
      </c>
      <c r="I2061" t="inlineStr">
        <is>
          <t>80</t>
        </is>
      </c>
    </row>
    <row r="2062">
      <c r="A2062" t="inlineStr">
        <is>
          <t>货权信息</t>
        </is>
      </c>
      <c r="B2062" t="inlineStr">
        <is>
          <t>CLR_CARGO_INFO</t>
        </is>
      </c>
      <c r="C2062" t="inlineStr">
        <is>
          <t>VARIETIES</t>
        </is>
      </c>
      <c r="D2062" t="inlineStr">
        <is>
          <t>VARCHAR(80)</t>
        </is>
      </c>
      <c r="E2062" t="inlineStr">
        <is>
          <t>YES</t>
        </is>
      </c>
      <c r="F2062" t="inlineStr">
        <is>
          <t>品种/规格</t>
        </is>
      </c>
      <c r="H2062" t="inlineStr">
        <is>
          <t>VARCHAR</t>
        </is>
      </c>
      <c r="I2062" t="inlineStr">
        <is>
          <t>80</t>
        </is>
      </c>
    </row>
    <row r="2063">
      <c r="A2063" t="inlineStr">
        <is>
          <t>货权信息</t>
        </is>
      </c>
      <c r="B2063" t="inlineStr">
        <is>
          <t>CLR_CARGO_INFO</t>
        </is>
      </c>
      <c r="C2063" t="inlineStr">
        <is>
          <t>BRAND</t>
        </is>
      </c>
      <c r="D2063" t="inlineStr">
        <is>
          <t>VARCHAR(80)</t>
        </is>
      </c>
      <c r="E2063" t="inlineStr">
        <is>
          <t>YES</t>
        </is>
      </c>
      <c r="F2063" t="inlineStr">
        <is>
          <t>品牌</t>
        </is>
      </c>
      <c r="H2063" t="inlineStr">
        <is>
          <t>VARCHAR</t>
        </is>
      </c>
      <c r="I2063" t="inlineStr">
        <is>
          <t>80</t>
        </is>
      </c>
    </row>
    <row r="2064">
      <c r="A2064" t="inlineStr">
        <is>
          <t>货权信息</t>
        </is>
      </c>
      <c r="B2064" t="inlineStr">
        <is>
          <t>CLR_CARGO_INFO</t>
        </is>
      </c>
      <c r="C2064" t="inlineStr">
        <is>
          <t>MEAUNIT</t>
        </is>
      </c>
      <c r="D2064" t="inlineStr">
        <is>
          <t>VARCHAR(18)</t>
        </is>
      </c>
      <c r="E2064" t="inlineStr">
        <is>
          <t>YES</t>
        </is>
      </c>
      <c r="F2064" t="inlineStr">
        <is>
          <t>计量单位</t>
        </is>
      </c>
      <c r="H2064" t="inlineStr">
        <is>
          <t>VARCHAR</t>
        </is>
      </c>
      <c r="I2064" t="inlineStr">
        <is>
          <t>18</t>
        </is>
      </c>
    </row>
    <row r="2065">
      <c r="A2065" t="inlineStr">
        <is>
          <t>货权信息</t>
        </is>
      </c>
      <c r="B2065" t="inlineStr">
        <is>
          <t>CLR_CARGO_INFO</t>
        </is>
      </c>
      <c r="C2065" t="inlineStr">
        <is>
          <t>MEAUNITNAME</t>
        </is>
      </c>
      <c r="D2065" t="inlineStr">
        <is>
          <t>VARCHAR(80)</t>
        </is>
      </c>
      <c r="E2065" t="inlineStr">
        <is>
          <t>YES</t>
        </is>
      </c>
      <c r="F2065" t="inlineStr">
        <is>
          <t>计量单位名称</t>
        </is>
      </c>
      <c r="H2065" t="inlineStr">
        <is>
          <t>VARCHAR</t>
        </is>
      </c>
      <c r="I2065" t="inlineStr">
        <is>
          <t>80</t>
        </is>
      </c>
    </row>
    <row r="2066">
      <c r="A2066" t="inlineStr">
        <is>
          <t>货权信息</t>
        </is>
      </c>
      <c r="B2066" t="inlineStr">
        <is>
          <t>CLR_CARGO_INFO</t>
        </is>
      </c>
      <c r="C2066" t="inlineStr">
        <is>
          <t>CURRENCY</t>
        </is>
      </c>
      <c r="D2066" t="inlineStr">
        <is>
          <t>VARCHAR(18)</t>
        </is>
      </c>
      <c r="E2066" t="inlineStr">
        <is>
          <t>YES</t>
        </is>
      </c>
      <c r="F2066" t="inlineStr">
        <is>
          <t>币种</t>
        </is>
      </c>
      <c r="H2066" t="inlineStr">
        <is>
          <t>VARCHAR</t>
        </is>
      </c>
      <c r="I2066" t="inlineStr">
        <is>
          <t>18</t>
        </is>
      </c>
    </row>
    <row r="2067">
      <c r="A2067" t="inlineStr">
        <is>
          <t>货权信息</t>
        </is>
      </c>
      <c r="B2067" t="inlineStr">
        <is>
          <t>CLR_CARGO_INFO</t>
        </is>
      </c>
      <c r="C2067" t="inlineStr">
        <is>
          <t>TOTALAMOUNT</t>
        </is>
      </c>
      <c r="D2067" t="inlineStr">
        <is>
          <t>DECIMAL(24,6)</t>
        </is>
      </c>
      <c r="E2067" t="inlineStr">
        <is>
          <t>YES</t>
        </is>
      </c>
      <c r="F2067" t="inlineStr">
        <is>
          <t>总量</t>
        </is>
      </c>
      <c r="H2067" t="inlineStr">
        <is>
          <t>DECIMAL</t>
        </is>
      </c>
      <c r="I2067" t="inlineStr">
        <is>
          <t>24,6</t>
        </is>
      </c>
    </row>
    <row r="2068">
      <c r="A2068" t="inlineStr">
        <is>
          <t>货权信息</t>
        </is>
      </c>
      <c r="B2068" t="inlineStr">
        <is>
          <t>CLR_CARGO_INFO</t>
        </is>
      </c>
      <c r="C2068" t="inlineStr">
        <is>
          <t>GUIDINGPRICE</t>
        </is>
      </c>
      <c r="D2068" t="inlineStr">
        <is>
          <t>DECIMAL(18,2)</t>
        </is>
      </c>
      <c r="E2068" t="inlineStr">
        <is>
          <t>YES</t>
        </is>
      </c>
      <c r="F2068" t="inlineStr">
        <is>
          <t>指导价</t>
        </is>
      </c>
      <c r="H2068" t="inlineStr">
        <is>
          <t>DECIMAL</t>
        </is>
      </c>
      <c r="I2068" t="inlineStr">
        <is>
          <t>18,2</t>
        </is>
      </c>
    </row>
    <row r="2069">
      <c r="A2069" t="inlineStr">
        <is>
          <t>货权信息</t>
        </is>
      </c>
      <c r="B2069" t="inlineStr">
        <is>
          <t>CLR_CARGO_INFO</t>
        </is>
      </c>
      <c r="C2069" t="inlineStr">
        <is>
          <t>CURMARKETPRICE</t>
        </is>
      </c>
      <c r="D2069" t="inlineStr">
        <is>
          <t>DECIMAL(24,6)</t>
        </is>
      </c>
      <c r="E2069" t="inlineStr">
        <is>
          <t>YES</t>
        </is>
      </c>
      <c r="F2069" t="inlineStr">
        <is>
          <t>当前市价</t>
        </is>
      </c>
      <c r="H2069" t="inlineStr">
        <is>
          <t>DECIMAL</t>
        </is>
      </c>
      <c r="I2069" t="inlineStr">
        <is>
          <t>24,6</t>
        </is>
      </c>
    </row>
    <row r="2070">
      <c r="A2070" t="inlineStr">
        <is>
          <t>货权信息</t>
        </is>
      </c>
      <c r="B2070" t="inlineStr">
        <is>
          <t>CLR_CARGO_INFO</t>
        </is>
      </c>
      <c r="C2070" t="inlineStr">
        <is>
          <t>AUTHORIZEDPRICE</t>
        </is>
      </c>
      <c r="D2070" t="inlineStr">
        <is>
          <t>DECIMAL(24,6)</t>
        </is>
      </c>
      <c r="E2070" t="inlineStr">
        <is>
          <t>YES</t>
        </is>
      </c>
      <c r="F2070" t="inlineStr">
        <is>
          <t>核定单价</t>
        </is>
      </c>
      <c r="H2070" t="inlineStr">
        <is>
          <t>DECIMAL</t>
        </is>
      </c>
      <c r="I2070" t="inlineStr">
        <is>
          <t>24,6</t>
        </is>
      </c>
    </row>
    <row r="2071">
      <c r="A2071" t="inlineStr">
        <is>
          <t>货权信息</t>
        </is>
      </c>
      <c r="B2071" t="inlineStr">
        <is>
          <t>CLR_CARGO_INFO</t>
        </is>
      </c>
      <c r="C2071" t="inlineStr">
        <is>
          <t>AUTHORIZEDVALUE</t>
        </is>
      </c>
      <c r="D2071" t="inlineStr">
        <is>
          <t>DECIMAL(24,6)</t>
        </is>
      </c>
      <c r="E2071" t="inlineStr">
        <is>
          <t>YES</t>
        </is>
      </c>
      <c r="F2071" t="inlineStr">
        <is>
          <t>核定价值</t>
        </is>
      </c>
      <c r="H2071" t="inlineStr">
        <is>
          <t>DECIMAL</t>
        </is>
      </c>
      <c r="I2071" t="inlineStr">
        <is>
          <t>24,6</t>
        </is>
      </c>
    </row>
    <row r="2072">
      <c r="A2072" t="inlineStr">
        <is>
          <t>货权信息</t>
        </is>
      </c>
      <c r="B2072" t="inlineStr">
        <is>
          <t>CLR_CARGO_INFO</t>
        </is>
      </c>
      <c r="C2072" t="inlineStr">
        <is>
          <t>MORTGATERATE</t>
        </is>
      </c>
      <c r="D2072" t="inlineStr">
        <is>
          <t>DECIMAL(18,8)</t>
        </is>
      </c>
      <c r="E2072" t="inlineStr">
        <is>
          <t>YES</t>
        </is>
      </c>
      <c r="F2072" t="inlineStr">
        <is>
          <t>质押率上限</t>
        </is>
      </c>
      <c r="H2072" t="inlineStr">
        <is>
          <t>DECIMAL</t>
        </is>
      </c>
      <c r="I2072" t="inlineStr">
        <is>
          <t>18,8</t>
        </is>
      </c>
    </row>
    <row r="2073">
      <c r="A2073" t="inlineStr">
        <is>
          <t>货权信息</t>
        </is>
      </c>
      <c r="B2073" t="inlineStr">
        <is>
          <t>CLR_CARGO_INFO</t>
        </is>
      </c>
      <c r="C2073" t="inlineStr">
        <is>
          <t>REGULATOR</t>
        </is>
      </c>
      <c r="D2073" t="inlineStr">
        <is>
          <t>VARCHAR(80)</t>
        </is>
      </c>
      <c r="E2073" t="inlineStr">
        <is>
          <t>YES</t>
        </is>
      </c>
      <c r="F2073" t="inlineStr">
        <is>
          <t>监管方</t>
        </is>
      </c>
      <c r="H2073" t="inlineStr">
        <is>
          <t>VARCHAR</t>
        </is>
      </c>
      <c r="I2073" t="inlineStr">
        <is>
          <t>80</t>
        </is>
      </c>
    </row>
    <row r="2074">
      <c r="A2074" t="inlineStr">
        <is>
          <t>货权信息</t>
        </is>
      </c>
      <c r="B2074" t="inlineStr">
        <is>
          <t>CLR_CARGO_INFO</t>
        </is>
      </c>
      <c r="C2074" t="inlineStr">
        <is>
          <t>REGULATORID</t>
        </is>
      </c>
      <c r="D2074" t="inlineStr">
        <is>
          <t>VARCHAR(32)</t>
        </is>
      </c>
      <c r="E2074" t="inlineStr">
        <is>
          <t>YES</t>
        </is>
      </c>
      <c r="F2074" t="inlineStr">
        <is>
          <t>监管方编码</t>
        </is>
      </c>
      <c r="H2074" t="inlineStr">
        <is>
          <t>VARCHAR</t>
        </is>
      </c>
      <c r="I2074" t="inlineStr">
        <is>
          <t>32</t>
        </is>
      </c>
    </row>
    <row r="2075">
      <c r="A2075" t="inlineStr">
        <is>
          <t>货权信息</t>
        </is>
      </c>
      <c r="B2075" t="inlineStr">
        <is>
          <t>CLR_CARGO_INFO</t>
        </is>
      </c>
      <c r="C2075" t="inlineStr">
        <is>
          <t>STORAGEWAREHOUSE</t>
        </is>
      </c>
      <c r="D2075" t="inlineStr">
        <is>
          <t>VARCHAR(80)</t>
        </is>
      </c>
      <c r="E2075" t="inlineStr">
        <is>
          <t>YES</t>
        </is>
      </c>
      <c r="F2075" t="inlineStr">
        <is>
          <t>保管仓库</t>
        </is>
      </c>
      <c r="H2075" t="inlineStr">
        <is>
          <t>VARCHAR</t>
        </is>
      </c>
      <c r="I2075" t="inlineStr">
        <is>
          <t>80</t>
        </is>
      </c>
    </row>
    <row r="2076">
      <c r="A2076" t="inlineStr">
        <is>
          <t>货权信息</t>
        </is>
      </c>
      <c r="B2076" t="inlineStr">
        <is>
          <t>CLR_CARGO_INFO</t>
        </is>
      </c>
      <c r="C2076" t="inlineStr">
        <is>
          <t>STORAGEWAREHOUSEID</t>
        </is>
      </c>
      <c r="D2076" t="inlineStr">
        <is>
          <t>VARCHAR(32)</t>
        </is>
      </c>
      <c r="E2076" t="inlineStr">
        <is>
          <t>YES</t>
        </is>
      </c>
      <c r="F2076" t="inlineStr">
        <is>
          <t>保管仓库编码</t>
        </is>
      </c>
      <c r="H2076" t="inlineStr">
        <is>
          <t>VARCHAR</t>
        </is>
      </c>
      <c r="I2076" t="inlineStr">
        <is>
          <t>32</t>
        </is>
      </c>
    </row>
    <row r="2077">
      <c r="A2077" t="inlineStr">
        <is>
          <t>货权信息</t>
        </is>
      </c>
      <c r="B2077" t="inlineStr">
        <is>
          <t>CLR_CARGO_INFO</t>
        </is>
      </c>
      <c r="C2077" t="inlineStr">
        <is>
          <t>STATUS</t>
        </is>
      </c>
      <c r="D2077" t="inlineStr">
        <is>
          <t>VARCHAR(6)</t>
        </is>
      </c>
      <c r="E2077" t="inlineStr">
        <is>
          <t>YES</t>
        </is>
      </c>
      <c r="F2077" t="inlineStr">
        <is>
          <t>状态</t>
        </is>
      </c>
      <c r="H2077" t="inlineStr">
        <is>
          <t>VARCHAR</t>
        </is>
      </c>
      <c r="I2077" t="inlineStr">
        <is>
          <t>6</t>
        </is>
      </c>
    </row>
    <row r="2078">
      <c r="A2078" t="inlineStr">
        <is>
          <t>货权信息</t>
        </is>
      </c>
      <c r="B2078" t="inlineStr">
        <is>
          <t>CLR_CARGO_INFO</t>
        </is>
      </c>
      <c r="C2078" t="inlineStr">
        <is>
          <t>AMOUNT1</t>
        </is>
      </c>
      <c r="D2078" t="inlineStr">
        <is>
          <t>DECIMAL(18,2)</t>
        </is>
      </c>
      <c r="E2078" t="inlineStr">
        <is>
          <t>YES</t>
        </is>
      </c>
      <c r="F2078" t="inlineStr">
        <is>
          <t>数量1</t>
        </is>
      </c>
      <c r="H2078" t="inlineStr">
        <is>
          <t>DECIMAL</t>
        </is>
      </c>
      <c r="I2078" t="inlineStr">
        <is>
          <t>18,2</t>
        </is>
      </c>
    </row>
    <row r="2079">
      <c r="A2079" t="inlineStr">
        <is>
          <t>货权信息</t>
        </is>
      </c>
      <c r="B2079" t="inlineStr">
        <is>
          <t>CLR_CARGO_INFO</t>
        </is>
      </c>
      <c r="C2079" t="inlineStr">
        <is>
          <t>AMOUNT2</t>
        </is>
      </c>
      <c r="D2079" t="inlineStr">
        <is>
          <t>DECIMAL(18,2)</t>
        </is>
      </c>
      <c r="E2079" t="inlineStr">
        <is>
          <t>YES</t>
        </is>
      </c>
      <c r="F2079" t="inlineStr">
        <is>
          <t>数量2</t>
        </is>
      </c>
      <c r="H2079" t="inlineStr">
        <is>
          <t>DECIMAL</t>
        </is>
      </c>
      <c r="I2079" t="inlineStr">
        <is>
          <t>18,2</t>
        </is>
      </c>
    </row>
    <row r="2080">
      <c r="A2080" t="inlineStr">
        <is>
          <t>货权信息</t>
        </is>
      </c>
      <c r="B2080" t="inlineStr">
        <is>
          <t>CLR_CARGO_INFO</t>
        </is>
      </c>
      <c r="C2080" t="inlineStr">
        <is>
          <t>DATE1</t>
        </is>
      </c>
      <c r="D2080" t="inlineStr">
        <is>
          <t>DATETIME</t>
        </is>
      </c>
      <c r="E2080" t="inlineStr">
        <is>
          <t>YES</t>
        </is>
      </c>
      <c r="F2080" t="inlineStr">
        <is>
          <t>日期1</t>
        </is>
      </c>
      <c r="H2080" t="inlineStr">
        <is>
          <t>DATETIME</t>
        </is>
      </c>
    </row>
    <row r="2081">
      <c r="A2081" t="inlineStr">
        <is>
          <t>货权信息</t>
        </is>
      </c>
      <c r="B2081" t="inlineStr">
        <is>
          <t>CLR_CARGO_INFO</t>
        </is>
      </c>
      <c r="C2081" t="inlineStr">
        <is>
          <t>DATE2</t>
        </is>
      </c>
      <c r="D2081" t="inlineStr">
        <is>
          <t>DATETIME</t>
        </is>
      </c>
      <c r="E2081" t="inlineStr">
        <is>
          <t>YES</t>
        </is>
      </c>
      <c r="F2081" t="inlineStr">
        <is>
          <t>日期2</t>
        </is>
      </c>
      <c r="H2081" t="inlineStr">
        <is>
          <t>DATETIME</t>
        </is>
      </c>
    </row>
    <row r="2082">
      <c r="A2082" t="inlineStr">
        <is>
          <t>货权信息</t>
        </is>
      </c>
      <c r="B2082" t="inlineStr">
        <is>
          <t>CLR_CARGO_INFO</t>
        </is>
      </c>
      <c r="C2082" t="inlineStr">
        <is>
          <t>DATE3</t>
        </is>
      </c>
      <c r="D2082" t="inlineStr">
        <is>
          <t>DATETIME</t>
        </is>
      </c>
      <c r="E2082" t="inlineStr">
        <is>
          <t>YES</t>
        </is>
      </c>
      <c r="F2082" t="inlineStr">
        <is>
          <t>日期3</t>
        </is>
      </c>
      <c r="H2082" t="inlineStr">
        <is>
          <t>DATETIME</t>
        </is>
      </c>
    </row>
    <row r="2083">
      <c r="A2083" t="inlineStr">
        <is>
          <t>货权信息</t>
        </is>
      </c>
      <c r="B2083" t="inlineStr">
        <is>
          <t>CLR_CARGO_INFO</t>
        </is>
      </c>
      <c r="C2083" t="inlineStr">
        <is>
          <t>DESCRIBE1</t>
        </is>
      </c>
      <c r="D2083" t="inlineStr">
        <is>
          <t>VARCHAR(500)</t>
        </is>
      </c>
      <c r="E2083" t="inlineStr">
        <is>
          <t>YES</t>
        </is>
      </c>
      <c r="F2083" t="inlineStr">
        <is>
          <t>属性1</t>
        </is>
      </c>
      <c r="H2083" t="inlineStr">
        <is>
          <t>VARCHAR</t>
        </is>
      </c>
      <c r="I2083" t="inlineStr">
        <is>
          <t>500</t>
        </is>
      </c>
    </row>
    <row r="2084">
      <c r="A2084" t="inlineStr">
        <is>
          <t>货权信息</t>
        </is>
      </c>
      <c r="B2084" t="inlineStr">
        <is>
          <t>CLR_CARGO_INFO</t>
        </is>
      </c>
      <c r="C2084" t="inlineStr">
        <is>
          <t>DESCRIBE2</t>
        </is>
      </c>
      <c r="D2084" t="inlineStr">
        <is>
          <t>VARCHAR(500)</t>
        </is>
      </c>
      <c r="E2084" t="inlineStr">
        <is>
          <t>YES</t>
        </is>
      </c>
      <c r="F2084" t="inlineStr">
        <is>
          <t>属性2</t>
        </is>
      </c>
      <c r="H2084" t="inlineStr">
        <is>
          <t>VARCHAR</t>
        </is>
      </c>
      <c r="I2084" t="inlineStr">
        <is>
          <t>500</t>
        </is>
      </c>
    </row>
    <row r="2085">
      <c r="A2085" t="inlineStr">
        <is>
          <t>货权信息</t>
        </is>
      </c>
      <c r="B2085" t="inlineStr">
        <is>
          <t>CLR_CARGO_INFO</t>
        </is>
      </c>
      <c r="C2085" t="inlineStr">
        <is>
          <t>DESCRIBE3</t>
        </is>
      </c>
      <c r="D2085" t="inlineStr">
        <is>
          <t>VARCHAR(500)</t>
        </is>
      </c>
      <c r="E2085" t="inlineStr">
        <is>
          <t>YES</t>
        </is>
      </c>
      <c r="F2085" t="inlineStr">
        <is>
          <t>属性3</t>
        </is>
      </c>
      <c r="H2085" t="inlineStr">
        <is>
          <t>VARCHAR</t>
        </is>
      </c>
      <c r="I2085" t="inlineStr">
        <is>
          <t>500</t>
        </is>
      </c>
    </row>
    <row r="2086">
      <c r="A2086" t="inlineStr">
        <is>
          <t>货权信息</t>
        </is>
      </c>
      <c r="B2086" t="inlineStr">
        <is>
          <t>CLR_CARGO_INFO</t>
        </is>
      </c>
      <c r="C2086" t="inlineStr">
        <is>
          <t>DESCRIBE4</t>
        </is>
      </c>
      <c r="D2086" t="inlineStr">
        <is>
          <t>VARCHAR(500)</t>
        </is>
      </c>
      <c r="E2086" t="inlineStr">
        <is>
          <t>YES</t>
        </is>
      </c>
      <c r="F2086" t="inlineStr">
        <is>
          <t>属性4</t>
        </is>
      </c>
      <c r="H2086" t="inlineStr">
        <is>
          <t>VARCHAR</t>
        </is>
      </c>
      <c r="I2086" t="inlineStr">
        <is>
          <t>500</t>
        </is>
      </c>
    </row>
    <row r="2087">
      <c r="A2087" t="inlineStr">
        <is>
          <t>货权信息</t>
        </is>
      </c>
      <c r="B2087" t="inlineStr">
        <is>
          <t>CLR_CARGO_INFO</t>
        </is>
      </c>
      <c r="C2087" t="inlineStr">
        <is>
          <t>DESCRIBE5</t>
        </is>
      </c>
      <c r="D2087" t="inlineStr">
        <is>
          <t>VARCHAR(500)</t>
        </is>
      </c>
      <c r="E2087" t="inlineStr">
        <is>
          <t>YES</t>
        </is>
      </c>
      <c r="F2087" t="inlineStr">
        <is>
          <t>属性5</t>
        </is>
      </c>
      <c r="H2087" t="inlineStr">
        <is>
          <t>VARCHAR</t>
        </is>
      </c>
      <c r="I2087" t="inlineStr">
        <is>
          <t>500</t>
        </is>
      </c>
    </row>
    <row r="2088">
      <c r="A2088" t="inlineStr">
        <is>
          <t>货权信息</t>
        </is>
      </c>
      <c r="B2088" t="inlineStr">
        <is>
          <t>CLR_CARGO_INFO</t>
        </is>
      </c>
      <c r="C2088" t="inlineStr">
        <is>
          <t>DESCRIBE6</t>
        </is>
      </c>
      <c r="D2088" t="inlineStr">
        <is>
          <t>VARCHAR(500)</t>
        </is>
      </c>
      <c r="E2088" t="inlineStr">
        <is>
          <t>YES</t>
        </is>
      </c>
      <c r="F2088" t="inlineStr">
        <is>
          <t>属性6</t>
        </is>
      </c>
      <c r="H2088" t="inlineStr">
        <is>
          <t>VARCHAR</t>
        </is>
      </c>
      <c r="I2088" t="inlineStr">
        <is>
          <t>500</t>
        </is>
      </c>
    </row>
    <row r="2089">
      <c r="A2089" t="inlineStr">
        <is>
          <t>货权信息</t>
        </is>
      </c>
      <c r="B2089" t="inlineStr">
        <is>
          <t>CLR_CARGO_INFO</t>
        </is>
      </c>
      <c r="C2089" t="inlineStr">
        <is>
          <t>DESCRIBE7</t>
        </is>
      </c>
      <c r="D2089" t="inlineStr">
        <is>
          <t>VARCHAR(500)</t>
        </is>
      </c>
      <c r="E2089" t="inlineStr">
        <is>
          <t>YES</t>
        </is>
      </c>
      <c r="F2089" t="inlineStr">
        <is>
          <t>属性7</t>
        </is>
      </c>
      <c r="H2089" t="inlineStr">
        <is>
          <t>VARCHAR</t>
        </is>
      </c>
      <c r="I2089" t="inlineStr">
        <is>
          <t>500</t>
        </is>
      </c>
    </row>
    <row r="2090">
      <c r="A2090" t="inlineStr">
        <is>
          <t>货权信息</t>
        </is>
      </c>
      <c r="B2090" t="inlineStr">
        <is>
          <t>CLR_CARGO_INFO</t>
        </is>
      </c>
      <c r="C2090" t="inlineStr">
        <is>
          <t>DESCRIBE8</t>
        </is>
      </c>
      <c r="D2090" t="inlineStr">
        <is>
          <t>VARCHAR(500)</t>
        </is>
      </c>
      <c r="E2090" t="inlineStr">
        <is>
          <t>YES</t>
        </is>
      </c>
      <c r="F2090" t="inlineStr">
        <is>
          <t>属性8</t>
        </is>
      </c>
      <c r="H2090" t="inlineStr">
        <is>
          <t>VARCHAR</t>
        </is>
      </c>
      <c r="I2090" t="inlineStr">
        <is>
          <t>500</t>
        </is>
      </c>
    </row>
    <row r="2091">
      <c r="A2091" t="inlineStr">
        <is>
          <t>货权信息</t>
        </is>
      </c>
      <c r="B2091" t="inlineStr">
        <is>
          <t>CLR_CARGO_INFO</t>
        </is>
      </c>
      <c r="C2091" t="inlineStr">
        <is>
          <t>DESCRIBE9</t>
        </is>
      </c>
      <c r="D2091" t="inlineStr">
        <is>
          <t>VARCHAR(500)</t>
        </is>
      </c>
      <c r="E2091" t="inlineStr">
        <is>
          <t>YES</t>
        </is>
      </c>
      <c r="F2091" t="inlineStr">
        <is>
          <t>属性9</t>
        </is>
      </c>
      <c r="H2091" t="inlineStr">
        <is>
          <t>VARCHAR</t>
        </is>
      </c>
      <c r="I2091" t="inlineStr">
        <is>
          <t>500</t>
        </is>
      </c>
    </row>
    <row r="2092">
      <c r="A2092" t="inlineStr">
        <is>
          <t>货权信息</t>
        </is>
      </c>
      <c r="B2092" t="inlineStr">
        <is>
          <t>CLR_CARGO_INFO</t>
        </is>
      </c>
      <c r="C2092" t="inlineStr">
        <is>
          <t>DESCRIBE10</t>
        </is>
      </c>
      <c r="D2092" t="inlineStr">
        <is>
          <t>VARCHAR(500)</t>
        </is>
      </c>
      <c r="E2092" t="inlineStr">
        <is>
          <t>YES</t>
        </is>
      </c>
      <c r="F2092" t="inlineStr">
        <is>
          <t>属性10</t>
        </is>
      </c>
      <c r="H2092" t="inlineStr">
        <is>
          <t>VARCHAR</t>
        </is>
      </c>
      <c r="I2092" t="inlineStr">
        <is>
          <t>500</t>
        </is>
      </c>
    </row>
    <row r="2093">
      <c r="A2093" t="inlineStr">
        <is>
          <t>货权信息</t>
        </is>
      </c>
      <c r="B2093" t="inlineStr">
        <is>
          <t>CLR_CARGO_INFO</t>
        </is>
      </c>
      <c r="C2093" t="inlineStr">
        <is>
          <t>DESCRIBE11</t>
        </is>
      </c>
      <c r="D2093" t="inlineStr">
        <is>
          <t>VARCHAR(500)</t>
        </is>
      </c>
      <c r="E2093" t="inlineStr">
        <is>
          <t>YES</t>
        </is>
      </c>
      <c r="F2093" t="inlineStr">
        <is>
          <t>属性11</t>
        </is>
      </c>
      <c r="H2093" t="inlineStr">
        <is>
          <t>VARCHAR</t>
        </is>
      </c>
      <c r="I2093" t="inlineStr">
        <is>
          <t>500</t>
        </is>
      </c>
    </row>
    <row r="2094">
      <c r="A2094" t="inlineStr">
        <is>
          <t>货权信息</t>
        </is>
      </c>
      <c r="B2094" t="inlineStr">
        <is>
          <t>CLR_CARGO_INFO</t>
        </is>
      </c>
      <c r="C2094" t="inlineStr">
        <is>
          <t>DESCRIBE12</t>
        </is>
      </c>
      <c r="D2094" t="inlineStr">
        <is>
          <t>VARCHAR(500)</t>
        </is>
      </c>
      <c r="E2094" t="inlineStr">
        <is>
          <t>YES</t>
        </is>
      </c>
      <c r="F2094" t="inlineStr">
        <is>
          <t>属性12</t>
        </is>
      </c>
      <c r="H2094" t="inlineStr">
        <is>
          <t>VARCHAR</t>
        </is>
      </c>
      <c r="I2094" t="inlineStr">
        <is>
          <t>500</t>
        </is>
      </c>
    </row>
    <row r="2095">
      <c r="A2095" t="inlineStr">
        <is>
          <t>货权信息</t>
        </is>
      </c>
      <c r="B2095" t="inlineStr">
        <is>
          <t>CLR_CARGO_INFO</t>
        </is>
      </c>
      <c r="C2095" t="inlineStr">
        <is>
          <t>DESCRIBE13</t>
        </is>
      </c>
      <c r="D2095" t="inlineStr">
        <is>
          <t>VARCHAR(500)</t>
        </is>
      </c>
      <c r="E2095" t="inlineStr">
        <is>
          <t>YES</t>
        </is>
      </c>
      <c r="F2095" t="inlineStr">
        <is>
          <t>属性13</t>
        </is>
      </c>
      <c r="H2095" t="inlineStr">
        <is>
          <t>VARCHAR</t>
        </is>
      </c>
      <c r="I2095" t="inlineStr">
        <is>
          <t>500</t>
        </is>
      </c>
    </row>
    <row r="2096">
      <c r="A2096" t="inlineStr">
        <is>
          <t>货权信息</t>
        </is>
      </c>
      <c r="B2096" t="inlineStr">
        <is>
          <t>CLR_CARGO_INFO</t>
        </is>
      </c>
      <c r="C2096" t="inlineStr">
        <is>
          <t>INPUTUSERID</t>
        </is>
      </c>
      <c r="D2096" t="inlineStr">
        <is>
          <t>VARCHAR(32)</t>
        </is>
      </c>
      <c r="E2096" t="inlineStr">
        <is>
          <t>YES</t>
        </is>
      </c>
      <c r="F2096" t="inlineStr">
        <is>
          <t>登记人</t>
        </is>
      </c>
      <c r="H2096" t="inlineStr">
        <is>
          <t>VARCHAR</t>
        </is>
      </c>
      <c r="I2096" t="inlineStr">
        <is>
          <t>32</t>
        </is>
      </c>
    </row>
    <row r="2097">
      <c r="A2097" t="inlineStr">
        <is>
          <t>货权信息</t>
        </is>
      </c>
      <c r="B2097" t="inlineStr">
        <is>
          <t>CLR_CARGO_INFO</t>
        </is>
      </c>
      <c r="C2097" t="inlineStr">
        <is>
          <t>INPUTORGID</t>
        </is>
      </c>
      <c r="D2097" t="inlineStr">
        <is>
          <t>VARCHAR(32)</t>
        </is>
      </c>
      <c r="E2097" t="inlineStr">
        <is>
          <t>YES</t>
        </is>
      </c>
      <c r="F2097" t="inlineStr">
        <is>
          <t>登记机构</t>
        </is>
      </c>
      <c r="H2097" t="inlineStr">
        <is>
          <t>VARCHAR</t>
        </is>
      </c>
      <c r="I2097" t="inlineStr">
        <is>
          <t>32</t>
        </is>
      </c>
    </row>
    <row r="2098">
      <c r="A2098" t="inlineStr">
        <is>
          <t>货权信息</t>
        </is>
      </c>
      <c r="B2098" t="inlineStr">
        <is>
          <t>CLR_CARGO_INFO</t>
        </is>
      </c>
      <c r="C2098" t="inlineStr">
        <is>
          <t>INPUTDATE</t>
        </is>
      </c>
      <c r="D2098" t="inlineStr">
        <is>
          <t>DATETIME</t>
        </is>
      </c>
      <c r="E2098" t="inlineStr">
        <is>
          <t>YES</t>
        </is>
      </c>
      <c r="F2098" t="inlineStr">
        <is>
          <t>登记日期</t>
        </is>
      </c>
      <c r="H2098" t="inlineStr">
        <is>
          <t>DATETIME</t>
        </is>
      </c>
    </row>
    <row r="2099">
      <c r="A2099" t="inlineStr">
        <is>
          <t>货权信息</t>
        </is>
      </c>
      <c r="B2099" t="inlineStr">
        <is>
          <t>CLR_CARGO_INFO</t>
        </is>
      </c>
      <c r="C2099" t="inlineStr">
        <is>
          <t>UPDATEUSERID</t>
        </is>
      </c>
      <c r="D2099" t="inlineStr">
        <is>
          <t>VARCHAR(32)</t>
        </is>
      </c>
      <c r="E2099" t="inlineStr">
        <is>
          <t>YES</t>
        </is>
      </c>
      <c r="F2099" t="inlineStr">
        <is>
          <t>更新人</t>
        </is>
      </c>
      <c r="H2099" t="inlineStr">
        <is>
          <t>VARCHAR</t>
        </is>
      </c>
      <c r="I2099" t="inlineStr">
        <is>
          <t>32</t>
        </is>
      </c>
    </row>
    <row r="2100">
      <c r="A2100" t="inlineStr">
        <is>
          <t>货权信息</t>
        </is>
      </c>
      <c r="B2100" t="inlineStr">
        <is>
          <t>CLR_CARGO_INFO</t>
        </is>
      </c>
      <c r="C2100" t="inlineStr">
        <is>
          <t>UPDATEORGID</t>
        </is>
      </c>
      <c r="D2100" t="inlineStr">
        <is>
          <t>VARCHAR(32)</t>
        </is>
      </c>
      <c r="E2100" t="inlineStr">
        <is>
          <t>YES</t>
        </is>
      </c>
      <c r="F2100" t="inlineStr">
        <is>
          <t>更新机构</t>
        </is>
      </c>
      <c r="H2100" t="inlineStr">
        <is>
          <t>VARCHAR</t>
        </is>
      </c>
      <c r="I2100" t="inlineStr">
        <is>
          <t>32</t>
        </is>
      </c>
    </row>
    <row r="2101">
      <c r="A2101" t="inlineStr">
        <is>
          <t>货权信息</t>
        </is>
      </c>
      <c r="B2101" t="inlineStr">
        <is>
          <t>CLR_CARGO_INFO</t>
        </is>
      </c>
      <c r="C2101" t="inlineStr">
        <is>
          <t>UPDATEDATE</t>
        </is>
      </c>
      <c r="D2101" t="inlineStr">
        <is>
          <t>DATETIME</t>
        </is>
      </c>
      <c r="E2101" t="inlineStr">
        <is>
          <t>YES</t>
        </is>
      </c>
      <c r="F2101" t="inlineStr">
        <is>
          <t>更新日期</t>
        </is>
      </c>
      <c r="H2101" t="inlineStr">
        <is>
          <t>DATETIME</t>
        </is>
      </c>
    </row>
    <row r="2102">
      <c r="A2102" t="inlineStr">
        <is>
          <t>货权信息</t>
        </is>
      </c>
      <c r="B2102" t="inlineStr">
        <is>
          <t>CLR_CARGO_INFO</t>
        </is>
      </c>
      <c r="C2102" t="inlineStr">
        <is>
          <t>CORPORGID</t>
        </is>
      </c>
      <c r="D2102" t="inlineStr">
        <is>
          <t>VARCHAR(32)</t>
        </is>
      </c>
      <c r="E2102" t="inlineStr">
        <is>
          <t>YES</t>
        </is>
      </c>
      <c r="F2102" t="inlineStr">
        <is>
          <t>法人机构编号</t>
        </is>
      </c>
      <c r="H2102" t="inlineStr">
        <is>
          <t>VARCHAR</t>
        </is>
      </c>
      <c r="I2102" t="inlineStr">
        <is>
          <t>32</t>
        </is>
      </c>
    </row>
    <row r="2103">
      <c r="A2103" t="inlineStr">
        <is>
          <t>货权信息</t>
        </is>
      </c>
      <c r="B2103" t="inlineStr">
        <is>
          <t>CLR_CARGO_INFO</t>
        </is>
      </c>
      <c r="C2103" t="inlineStr">
        <is>
          <t>REMARK</t>
        </is>
      </c>
      <c r="D2103" t="inlineStr">
        <is>
          <t>VARCHAR(1000)</t>
        </is>
      </c>
      <c r="E2103" t="inlineStr">
        <is>
          <t>YES</t>
        </is>
      </c>
      <c r="F2103" t="inlineStr">
        <is>
          <t>备注</t>
        </is>
      </c>
      <c r="H2103" t="inlineStr">
        <is>
          <t>VARCHAR</t>
        </is>
      </c>
      <c r="I2103" t="inlineStr">
        <is>
          <t>1000</t>
        </is>
      </c>
    </row>
    <row r="2104">
      <c r="A2104" t="inlineStr">
        <is>
          <t>担保方案和押品关系表</t>
        </is>
      </c>
      <c r="B2104" t="inlineStr">
        <is>
          <t>CLR_GUASCHEME_RELATIVE</t>
        </is>
      </c>
      <c r="C2104" t="inlineStr">
        <is>
          <t>GUARANTYNO</t>
        </is>
      </c>
      <c r="D2104" t="inlineStr">
        <is>
          <t>VARCHAR(32)</t>
        </is>
      </c>
      <c r="E2104" t="inlineStr">
        <is>
          <t>NO</t>
        </is>
      </c>
      <c r="F2104" t="inlineStr">
        <is>
          <t>担保合同编号</t>
        </is>
      </c>
      <c r="H2104" t="inlineStr">
        <is>
          <t>VARCHAR</t>
        </is>
      </c>
      <c r="I2104" t="inlineStr">
        <is>
          <t>32</t>
        </is>
      </c>
    </row>
    <row r="2105">
      <c r="A2105" t="inlineStr">
        <is>
          <t>担保方案和押品关系表</t>
        </is>
      </c>
      <c r="B2105" t="inlineStr">
        <is>
          <t>CLR_GUASCHEME_RELATIVE</t>
        </is>
      </c>
      <c r="C2105" t="inlineStr">
        <is>
          <t>SOURCESYSTEM</t>
        </is>
      </c>
      <c r="D2105" t="inlineStr">
        <is>
          <t>VARCHAR(32)</t>
        </is>
      </c>
      <c r="E2105" t="inlineStr">
        <is>
          <t>NO</t>
        </is>
      </c>
      <c r="F2105" t="inlineStr">
        <is>
          <t>源系统</t>
        </is>
      </c>
      <c r="H2105" t="inlineStr">
        <is>
          <t>VARCHAR</t>
        </is>
      </c>
      <c r="I2105" t="inlineStr">
        <is>
          <t>32</t>
        </is>
      </c>
    </row>
    <row r="2106">
      <c r="A2106" t="inlineStr">
        <is>
          <t>担保方案和押品关系表</t>
        </is>
      </c>
      <c r="B2106" t="inlineStr">
        <is>
          <t>CLR_GUASCHEME_RELATIVE</t>
        </is>
      </c>
      <c r="C2106" t="inlineStr">
        <is>
          <t>CLRID</t>
        </is>
      </c>
      <c r="D2106" t="inlineStr">
        <is>
          <t>VARCHAR(32)</t>
        </is>
      </c>
      <c r="E2106" t="inlineStr">
        <is>
          <t>NO</t>
        </is>
      </c>
      <c r="F2106" t="inlineStr">
        <is>
          <t>押品编号</t>
        </is>
      </c>
      <c r="H2106" t="inlineStr">
        <is>
          <t>VARCHAR</t>
        </is>
      </c>
      <c r="I2106" t="inlineStr">
        <is>
          <t>32</t>
        </is>
      </c>
    </row>
    <row r="2107">
      <c r="A2107" t="inlineStr">
        <is>
          <t>担保方案和押品关系表</t>
        </is>
      </c>
      <c r="B2107" t="inlineStr">
        <is>
          <t>CLR_GUASCHEME_RELATIVE</t>
        </is>
      </c>
      <c r="C2107" t="inlineStr">
        <is>
          <t>RIGHTCERTID</t>
        </is>
      </c>
      <c r="D2107" t="inlineStr">
        <is>
          <t>VARCHAR(32)</t>
        </is>
      </c>
      <c r="E2107" t="inlineStr">
        <is>
          <t>NO</t>
        </is>
      </c>
      <c r="F2107" t="inlineStr">
        <is>
          <t>代表权证编号</t>
        </is>
      </c>
      <c r="H2107" t="inlineStr">
        <is>
          <t>VARCHAR</t>
        </is>
      </c>
      <c r="I2107" t="inlineStr">
        <is>
          <t>32</t>
        </is>
      </c>
    </row>
    <row r="2108">
      <c r="A2108" t="inlineStr">
        <is>
          <t>担保方案和押品关系表</t>
        </is>
      </c>
      <c r="B2108" t="inlineStr">
        <is>
          <t>CLR_GUASCHEME_RELATIVE</t>
        </is>
      </c>
      <c r="C2108" t="inlineStr">
        <is>
          <t>CLRDISCOUNTRATIO</t>
        </is>
      </c>
      <c r="D2108" t="inlineStr">
        <is>
          <t>DECIMAL(18,8)</t>
        </is>
      </c>
      <c r="E2108" t="inlineStr">
        <is>
          <t>YES</t>
        </is>
      </c>
      <c r="F2108" t="inlineStr">
        <is>
          <t>押品折现系数</t>
        </is>
      </c>
      <c r="H2108" t="inlineStr">
        <is>
          <t>DECIMAL</t>
        </is>
      </c>
      <c r="I2108" t="inlineStr">
        <is>
          <t>18,8</t>
        </is>
      </c>
    </row>
    <row r="2109">
      <c r="A2109" t="inlineStr">
        <is>
          <t>担保方案和押品关系表</t>
        </is>
      </c>
      <c r="B2109" t="inlineStr">
        <is>
          <t>CLR_GUASCHEME_RELATIVE</t>
        </is>
      </c>
      <c r="C2109" t="inlineStr">
        <is>
          <t>CLRVALUERATIO</t>
        </is>
      </c>
      <c r="D2109" t="inlineStr">
        <is>
          <t>DECIMAL(18,8)</t>
        </is>
      </c>
      <c r="E2109" t="inlineStr">
        <is>
          <t>YES</t>
        </is>
      </c>
      <c r="F2109" t="inlineStr">
        <is>
          <t>押品价值占比</t>
        </is>
      </c>
      <c r="H2109" t="inlineStr">
        <is>
          <t>DECIMAL</t>
        </is>
      </c>
      <c r="I2109" t="inlineStr">
        <is>
          <t>18,8</t>
        </is>
      </c>
    </row>
    <row r="2110">
      <c r="A2110" t="inlineStr">
        <is>
          <t>担保方案和押品关系表</t>
        </is>
      </c>
      <c r="B2110" t="inlineStr">
        <is>
          <t>CLR_GUASCHEME_RELATIVE</t>
        </is>
      </c>
      <c r="C2110" t="inlineStr">
        <is>
          <t>PRIORITYCLAIM</t>
        </is>
      </c>
      <c r="D2110" t="inlineStr">
        <is>
          <t>VARCHAR(18)</t>
        </is>
      </c>
      <c r="E2110" t="inlineStr">
        <is>
          <t>YES</t>
        </is>
      </c>
      <c r="F2110" t="inlineStr">
        <is>
          <t>债权优先顺位</t>
        </is>
      </c>
      <c r="H2110" t="inlineStr">
        <is>
          <t>VARCHAR</t>
        </is>
      </c>
      <c r="I2110" t="inlineStr">
        <is>
          <t>18</t>
        </is>
      </c>
    </row>
    <row r="2111">
      <c r="A2111" t="inlineStr">
        <is>
          <t>担保方案和押品关系表</t>
        </is>
      </c>
      <c r="B2111" t="inlineStr">
        <is>
          <t>CLR_GUASCHEME_RELATIVE</t>
        </is>
      </c>
      <c r="C2111" t="inlineStr">
        <is>
          <t>PRIORCLAIMVALUE</t>
        </is>
      </c>
      <c r="D2111" t="inlineStr">
        <is>
          <t>DECIMAL(24,6)</t>
        </is>
      </c>
      <c r="E2111" t="inlineStr">
        <is>
          <t>YES</t>
        </is>
      </c>
      <c r="F2111" t="inlineStr">
        <is>
          <t>优先受偿价值</t>
        </is>
      </c>
      <c r="H2111" t="inlineStr">
        <is>
          <t>DECIMAL</t>
        </is>
      </c>
      <c r="I2111" t="inlineStr">
        <is>
          <t>24,6</t>
        </is>
      </c>
    </row>
    <row r="2112">
      <c r="A2112" t="inlineStr">
        <is>
          <t>担保方案和押品关系表</t>
        </is>
      </c>
      <c r="B2112" t="inlineStr">
        <is>
          <t>CLR_GUASCHEME_RELATIVE</t>
        </is>
      </c>
      <c r="C2112" t="inlineStr">
        <is>
          <t>LEGALRIGHTVALUE</t>
        </is>
      </c>
      <c r="D2112" t="inlineStr">
        <is>
          <t>DECIMAL(24,6)</t>
        </is>
      </c>
      <c r="E2112" t="inlineStr">
        <is>
          <t>YES</t>
        </is>
      </c>
      <c r="F2112" t="inlineStr">
        <is>
          <t>法定权利价值</t>
        </is>
      </c>
      <c r="H2112" t="inlineStr">
        <is>
          <t>DECIMAL</t>
        </is>
      </c>
      <c r="I2112" t="inlineStr">
        <is>
          <t>24,6</t>
        </is>
      </c>
    </row>
    <row r="2113">
      <c r="A2113" t="inlineStr">
        <is>
          <t>担保方案和押品关系表</t>
        </is>
      </c>
      <c r="B2113" t="inlineStr">
        <is>
          <t>CLR_GUASCHEME_RELATIVE</t>
        </is>
      </c>
      <c r="C2113" t="inlineStr">
        <is>
          <t>RIGHTCERTTYPE</t>
        </is>
      </c>
      <c r="D2113" t="inlineStr">
        <is>
          <t>VARCHAR(18)</t>
        </is>
      </c>
      <c r="E2113" t="inlineStr">
        <is>
          <t>YES</t>
        </is>
      </c>
      <c r="F2113" t="inlineStr">
        <is>
          <t>代表权证类型</t>
        </is>
      </c>
      <c r="H2113" t="inlineStr">
        <is>
          <t>VARCHAR</t>
        </is>
      </c>
      <c r="I2113" t="inlineStr">
        <is>
          <t>18</t>
        </is>
      </c>
    </row>
    <row r="2114">
      <c r="A2114" t="inlineStr">
        <is>
          <t>担保方案和押品关系表</t>
        </is>
      </c>
      <c r="B2114" t="inlineStr">
        <is>
          <t>CLR_GUASCHEME_RELATIVE</t>
        </is>
      </c>
      <c r="C2114" t="inlineStr">
        <is>
          <t>RIGHTCERTNO</t>
        </is>
      </c>
      <c r="D2114" t="inlineStr">
        <is>
          <t>VARCHAR(32)</t>
        </is>
      </c>
      <c r="E2114" t="inlineStr">
        <is>
          <t>YES</t>
        </is>
      </c>
      <c r="F2114" t="inlineStr">
        <is>
          <t>代表权证号</t>
        </is>
      </c>
      <c r="H2114" t="inlineStr">
        <is>
          <t>VARCHAR</t>
        </is>
      </c>
      <c r="I2114" t="inlineStr">
        <is>
          <t>32</t>
        </is>
      </c>
    </row>
    <row r="2115">
      <c r="A2115" t="inlineStr">
        <is>
          <t>担保方案和押品关系表</t>
        </is>
      </c>
      <c r="B2115" t="inlineStr">
        <is>
          <t>CLR_GUASCHEME_RELATIVE</t>
        </is>
      </c>
      <c r="C2115" t="inlineStr">
        <is>
          <t>ISNEEDINSURANCE</t>
        </is>
      </c>
      <c r="D2115" t="inlineStr">
        <is>
          <t>CHAR(1)</t>
        </is>
      </c>
      <c r="E2115" t="inlineStr">
        <is>
          <t>YES</t>
        </is>
      </c>
      <c r="F2115" t="inlineStr">
        <is>
          <t>是否需要投保</t>
        </is>
      </c>
      <c r="H2115" t="inlineStr">
        <is>
          <t>CHAR</t>
        </is>
      </c>
      <c r="I2115" t="inlineStr">
        <is>
          <t>1</t>
        </is>
      </c>
    </row>
    <row r="2116">
      <c r="A2116" t="inlineStr">
        <is>
          <t>担保方案和押品关系表</t>
        </is>
      </c>
      <c r="B2116" t="inlineStr">
        <is>
          <t>CLR_GUASCHEME_RELATIVE</t>
        </is>
      </c>
      <c r="C2116" t="inlineStr">
        <is>
          <t>INSURANCESTATUS</t>
        </is>
      </c>
      <c r="D2116" t="inlineStr">
        <is>
          <t>VARCHAR(6)</t>
        </is>
      </c>
      <c r="E2116" t="inlineStr">
        <is>
          <t>YES</t>
        </is>
      </c>
      <c r="F2116" t="inlineStr">
        <is>
          <t>投保状态</t>
        </is>
      </c>
      <c r="H2116" t="inlineStr">
        <is>
          <t>VARCHAR</t>
        </is>
      </c>
      <c r="I2116" t="inlineStr">
        <is>
          <t>6</t>
        </is>
      </c>
    </row>
    <row r="2117">
      <c r="A2117" t="inlineStr">
        <is>
          <t>担保方案和押品关系表</t>
        </is>
      </c>
      <c r="B2117" t="inlineStr">
        <is>
          <t>CLR_GUASCHEME_RELATIVE</t>
        </is>
      </c>
      <c r="C2117" t="inlineStr">
        <is>
          <t>ISNEEDNOTARIZAITON</t>
        </is>
      </c>
      <c r="D2117" t="inlineStr">
        <is>
          <t>CHAR(1)</t>
        </is>
      </c>
      <c r="E2117" t="inlineStr">
        <is>
          <t>YES</t>
        </is>
      </c>
      <c r="F2117" t="inlineStr">
        <is>
          <t>是否需要公证</t>
        </is>
      </c>
      <c r="H2117" t="inlineStr">
        <is>
          <t>CHAR</t>
        </is>
      </c>
      <c r="I2117" t="inlineStr">
        <is>
          <t>1</t>
        </is>
      </c>
    </row>
    <row r="2118">
      <c r="A2118" t="inlineStr">
        <is>
          <t>担保方案和押品关系表</t>
        </is>
      </c>
      <c r="B2118" t="inlineStr">
        <is>
          <t>CLR_GUASCHEME_RELATIVE</t>
        </is>
      </c>
      <c r="C2118" t="inlineStr">
        <is>
          <t>ISVERIFICATION</t>
        </is>
      </c>
      <c r="D2118" t="inlineStr">
        <is>
          <t>CHAR(1)</t>
        </is>
      </c>
      <c r="E2118" t="inlineStr">
        <is>
          <t>YES</t>
        </is>
      </c>
      <c r="F2118" t="inlineStr">
        <is>
          <t>是否已核押</t>
        </is>
      </c>
      <c r="H2118" t="inlineStr">
        <is>
          <t>CHAR</t>
        </is>
      </c>
      <c r="I2118" t="inlineStr">
        <is>
          <t>1</t>
        </is>
      </c>
    </row>
    <row r="2119">
      <c r="A2119" t="inlineStr">
        <is>
          <t>担保方案和押品关系表</t>
        </is>
      </c>
      <c r="B2119" t="inlineStr">
        <is>
          <t>CLR_GUASCHEME_RELATIVE</t>
        </is>
      </c>
      <c r="C2119" t="inlineStr">
        <is>
          <t>NOTARIZESTATUS</t>
        </is>
      </c>
      <c r="D2119" t="inlineStr">
        <is>
          <t>VARCHAR(6)</t>
        </is>
      </c>
      <c r="E2119" t="inlineStr">
        <is>
          <t>YES</t>
        </is>
      </c>
      <c r="F2119" t="inlineStr">
        <is>
          <t>公证状态</t>
        </is>
      </c>
      <c r="H2119" t="inlineStr">
        <is>
          <t>VARCHAR</t>
        </is>
      </c>
      <c r="I2119" t="inlineStr">
        <is>
          <t>6</t>
        </is>
      </c>
    </row>
    <row r="2120">
      <c r="A2120" t="inlineStr">
        <is>
          <t>担保方案和押品关系表</t>
        </is>
      </c>
      <c r="B2120" t="inlineStr">
        <is>
          <t>CLR_GUASCHEME_RELATIVE</t>
        </is>
      </c>
      <c r="C2120" t="inlineStr">
        <is>
          <t>ISNEEDREGISTER</t>
        </is>
      </c>
      <c r="D2120" t="inlineStr">
        <is>
          <t>CHAR(1)</t>
        </is>
      </c>
      <c r="E2120" t="inlineStr">
        <is>
          <t>YES</t>
        </is>
      </c>
      <c r="F2120" t="inlineStr">
        <is>
          <t>是否需要抵质押登记手续</t>
        </is>
      </c>
      <c r="H2120" t="inlineStr">
        <is>
          <t>CHAR</t>
        </is>
      </c>
      <c r="I2120" t="inlineStr">
        <is>
          <t>1</t>
        </is>
      </c>
    </row>
    <row r="2121">
      <c r="A2121" t="inlineStr">
        <is>
          <t>担保方案和押品关系表</t>
        </is>
      </c>
      <c r="B2121" t="inlineStr">
        <is>
          <t>CLR_GUASCHEME_RELATIVE</t>
        </is>
      </c>
      <c r="C2121" t="inlineStr">
        <is>
          <t>REGISTERPROCESS</t>
        </is>
      </c>
      <c r="D2121" t="inlineStr">
        <is>
          <t>VARCHAR(6)</t>
        </is>
      </c>
      <c r="E2121" t="inlineStr">
        <is>
          <t>YES</t>
        </is>
      </c>
      <c r="F2121" t="inlineStr">
        <is>
          <t>抵质押登记进度</t>
        </is>
      </c>
      <c r="H2121" t="inlineStr">
        <is>
          <t>VARCHAR</t>
        </is>
      </c>
      <c r="I2121" t="inlineStr">
        <is>
          <t>6</t>
        </is>
      </c>
    </row>
    <row r="2122">
      <c r="A2122" t="inlineStr">
        <is>
          <t>担保方案和押品关系表</t>
        </is>
      </c>
      <c r="B2122" t="inlineStr">
        <is>
          <t>CLR_GUASCHEME_RELATIVE</t>
        </is>
      </c>
      <c r="C2122" t="inlineStr">
        <is>
          <t>EFFECTIVEDATE</t>
        </is>
      </c>
      <c r="D2122" t="inlineStr">
        <is>
          <t>DATETIME</t>
        </is>
      </c>
      <c r="E2122" t="inlineStr">
        <is>
          <t>YES</t>
        </is>
      </c>
      <c r="F2122" t="inlineStr">
        <is>
          <t>生效日期</t>
        </is>
      </c>
      <c r="H2122" t="inlineStr">
        <is>
          <t>DATETIME</t>
        </is>
      </c>
    </row>
    <row r="2123">
      <c r="A2123" t="inlineStr">
        <is>
          <t>担保方案和押品关系表</t>
        </is>
      </c>
      <c r="B2123" t="inlineStr">
        <is>
          <t>CLR_GUASCHEME_RELATIVE</t>
        </is>
      </c>
      <c r="C2123" t="inlineStr">
        <is>
          <t>EXPIRYDATE</t>
        </is>
      </c>
      <c r="D2123" t="inlineStr">
        <is>
          <t>DATETIME</t>
        </is>
      </c>
      <c r="E2123" t="inlineStr">
        <is>
          <t>YES</t>
        </is>
      </c>
      <c r="F2123" t="inlineStr">
        <is>
          <t>失效日期</t>
        </is>
      </c>
      <c r="H2123" t="inlineStr">
        <is>
          <t>DATETIME</t>
        </is>
      </c>
    </row>
    <row r="2124">
      <c r="A2124" t="inlineStr">
        <is>
          <t>担保方案和押品关系表</t>
        </is>
      </c>
      <c r="B2124" t="inlineStr">
        <is>
          <t>CLR_GUASCHEME_RELATIVE</t>
        </is>
      </c>
      <c r="C2124" t="inlineStr">
        <is>
          <t>GNTRIGHTEFFDATE</t>
        </is>
      </c>
      <c r="D2124" t="inlineStr">
        <is>
          <t>DATETIME</t>
        </is>
      </c>
      <c r="E2124" t="inlineStr">
        <is>
          <t>YES</t>
        </is>
      </c>
      <c r="F2124" t="inlineStr">
        <is>
          <t>押权生效日期</t>
        </is>
      </c>
      <c r="H2124" t="inlineStr">
        <is>
          <t>DATETIME</t>
        </is>
      </c>
    </row>
    <row r="2125">
      <c r="A2125" t="inlineStr">
        <is>
          <t>担保方案和押品关系表</t>
        </is>
      </c>
      <c r="B2125" t="inlineStr">
        <is>
          <t>CLR_GUASCHEME_RELATIVE</t>
        </is>
      </c>
      <c r="C2125" t="inlineStr">
        <is>
          <t>GNTRIGHTEXPRDATE</t>
        </is>
      </c>
      <c r="D2125" t="inlineStr">
        <is>
          <t>DATETIME</t>
        </is>
      </c>
      <c r="E2125" t="inlineStr">
        <is>
          <t>YES</t>
        </is>
      </c>
      <c r="F2125" t="inlineStr">
        <is>
          <t>押权失效日期</t>
        </is>
      </c>
      <c r="H2125" t="inlineStr">
        <is>
          <t>DATETIME</t>
        </is>
      </c>
    </row>
    <row r="2126">
      <c r="A2126" t="inlineStr">
        <is>
          <t>担保方案和押品关系表</t>
        </is>
      </c>
      <c r="B2126" t="inlineStr">
        <is>
          <t>CLR_GUASCHEME_RELATIVE</t>
        </is>
      </c>
      <c r="C2126" t="inlineStr">
        <is>
          <t>GNTRIGHTEXPRREASON</t>
        </is>
      </c>
      <c r="D2126" t="inlineStr">
        <is>
          <t>VARCHAR(6)</t>
        </is>
      </c>
      <c r="E2126" t="inlineStr">
        <is>
          <t>YES</t>
        </is>
      </c>
      <c r="F2126" t="inlineStr">
        <is>
          <t>押权失效原因;01  到期解除02  置换解除03  以物抵债04  押品灭失)</t>
        </is>
      </c>
      <c r="H2126" t="inlineStr">
        <is>
          <t>VARCHAR</t>
        </is>
      </c>
      <c r="I2126" t="inlineStr">
        <is>
          <t>6</t>
        </is>
      </c>
    </row>
    <row r="2127">
      <c r="A2127" t="inlineStr">
        <is>
          <t>担保方案和押品关系表</t>
        </is>
      </c>
      <c r="B2127" t="inlineStr">
        <is>
          <t>CLR_GUASCHEME_RELATIVE</t>
        </is>
      </c>
      <c r="C2127" t="inlineStr">
        <is>
          <t>STATUS</t>
        </is>
      </c>
      <c r="D2127" t="inlineStr">
        <is>
          <t>VARCHAR(6)</t>
        </is>
      </c>
      <c r="E2127" t="inlineStr">
        <is>
          <t>YES</t>
        </is>
      </c>
      <c r="F2127" t="inlineStr">
        <is>
          <t>状态</t>
        </is>
      </c>
      <c r="H2127" t="inlineStr">
        <is>
          <t>VARCHAR</t>
        </is>
      </c>
      <c r="I2127" t="inlineStr">
        <is>
          <t>6</t>
        </is>
      </c>
    </row>
    <row r="2128">
      <c r="A2128" t="inlineStr">
        <is>
          <t>担保方案和押品关系表</t>
        </is>
      </c>
      <c r="B2128" t="inlineStr">
        <is>
          <t>CLR_GUASCHEME_RELATIVE</t>
        </is>
      </c>
      <c r="C2128" t="inlineStr">
        <is>
          <t>OLDCLRID</t>
        </is>
      </c>
      <c r="D2128" t="inlineStr">
        <is>
          <t>VARCHAR(32)</t>
        </is>
      </c>
      <c r="E2128" t="inlineStr">
        <is>
          <t>YES</t>
        </is>
      </c>
      <c r="F2128" t="inlineStr">
        <is>
          <t>合并前押品编号</t>
        </is>
      </c>
      <c r="H2128" t="inlineStr">
        <is>
          <t>VARCHAR</t>
        </is>
      </c>
      <c r="I2128" t="inlineStr">
        <is>
          <t>32</t>
        </is>
      </c>
    </row>
    <row r="2129">
      <c r="A2129" t="inlineStr">
        <is>
          <t>担保方案和押品关系表</t>
        </is>
      </c>
      <c r="B2129" t="inlineStr">
        <is>
          <t>CLR_GUASCHEME_RELATIVE</t>
        </is>
      </c>
      <c r="C2129" t="inlineStr">
        <is>
          <t>INPUTUSERID</t>
        </is>
      </c>
      <c r="D2129" t="inlineStr">
        <is>
          <t>VARCHAR(32)</t>
        </is>
      </c>
      <c r="E2129" t="inlineStr">
        <is>
          <t>YES</t>
        </is>
      </c>
      <c r="F2129" t="inlineStr">
        <is>
          <t>登记人</t>
        </is>
      </c>
      <c r="H2129" t="inlineStr">
        <is>
          <t>VARCHAR</t>
        </is>
      </c>
      <c r="I2129" t="inlineStr">
        <is>
          <t>32</t>
        </is>
      </c>
    </row>
    <row r="2130">
      <c r="A2130" t="inlineStr">
        <is>
          <t>担保方案和押品关系表</t>
        </is>
      </c>
      <c r="B2130" t="inlineStr">
        <is>
          <t>CLR_GUASCHEME_RELATIVE</t>
        </is>
      </c>
      <c r="C2130" t="inlineStr">
        <is>
          <t>INPUTORGID</t>
        </is>
      </c>
      <c r="D2130" t="inlineStr">
        <is>
          <t>VARCHAR(32)</t>
        </is>
      </c>
      <c r="E2130" t="inlineStr">
        <is>
          <t>YES</t>
        </is>
      </c>
      <c r="F2130" t="inlineStr">
        <is>
          <t>登记机构</t>
        </is>
      </c>
      <c r="H2130" t="inlineStr">
        <is>
          <t>VARCHAR</t>
        </is>
      </c>
      <c r="I2130" t="inlineStr">
        <is>
          <t>32</t>
        </is>
      </c>
    </row>
    <row r="2131">
      <c r="A2131" t="inlineStr">
        <is>
          <t>担保方案和押品关系表</t>
        </is>
      </c>
      <c r="B2131" t="inlineStr">
        <is>
          <t>CLR_GUASCHEME_RELATIVE</t>
        </is>
      </c>
      <c r="C2131" t="inlineStr">
        <is>
          <t>INPUTDATE</t>
        </is>
      </c>
      <c r="D2131" t="inlineStr">
        <is>
          <t>DATETIME</t>
        </is>
      </c>
      <c r="E2131" t="inlineStr">
        <is>
          <t>YES</t>
        </is>
      </c>
      <c r="F2131" t="inlineStr">
        <is>
          <t>登记日期</t>
        </is>
      </c>
      <c r="H2131" t="inlineStr">
        <is>
          <t>DATETIME</t>
        </is>
      </c>
    </row>
    <row r="2132">
      <c r="A2132" t="inlineStr">
        <is>
          <t>担保方案和押品关系表</t>
        </is>
      </c>
      <c r="B2132" t="inlineStr">
        <is>
          <t>CLR_GUASCHEME_RELATIVE</t>
        </is>
      </c>
      <c r="C2132" t="inlineStr">
        <is>
          <t>UPDATEUSERID</t>
        </is>
      </c>
      <c r="D2132" t="inlineStr">
        <is>
          <t>VARCHAR(32)</t>
        </is>
      </c>
      <c r="E2132" t="inlineStr">
        <is>
          <t>YES</t>
        </is>
      </c>
      <c r="F2132" t="inlineStr">
        <is>
          <t>更新人</t>
        </is>
      </c>
      <c r="H2132" t="inlineStr">
        <is>
          <t>VARCHAR</t>
        </is>
      </c>
      <c r="I2132" t="inlineStr">
        <is>
          <t>32</t>
        </is>
      </c>
    </row>
    <row r="2133">
      <c r="A2133" t="inlineStr">
        <is>
          <t>担保方案和押品关系表</t>
        </is>
      </c>
      <c r="B2133" t="inlineStr">
        <is>
          <t>CLR_GUASCHEME_RELATIVE</t>
        </is>
      </c>
      <c r="C2133" t="inlineStr">
        <is>
          <t>UPDATEORGID</t>
        </is>
      </c>
      <c r="D2133" t="inlineStr">
        <is>
          <t>VARCHAR(32)</t>
        </is>
      </c>
      <c r="E2133" t="inlineStr">
        <is>
          <t>YES</t>
        </is>
      </c>
      <c r="F2133" t="inlineStr">
        <is>
          <t>更新机构</t>
        </is>
      </c>
      <c r="H2133" t="inlineStr">
        <is>
          <t>VARCHAR</t>
        </is>
      </c>
      <c r="I2133" t="inlineStr">
        <is>
          <t>32</t>
        </is>
      </c>
    </row>
    <row r="2134">
      <c r="A2134" t="inlineStr">
        <is>
          <t>担保方案和押品关系表</t>
        </is>
      </c>
      <c r="B2134" t="inlineStr">
        <is>
          <t>CLR_GUASCHEME_RELATIVE</t>
        </is>
      </c>
      <c r="C2134" t="inlineStr">
        <is>
          <t>UPDATEDATE</t>
        </is>
      </c>
      <c r="D2134" t="inlineStr">
        <is>
          <t>DATETIME</t>
        </is>
      </c>
      <c r="E2134" t="inlineStr">
        <is>
          <t>YES</t>
        </is>
      </c>
      <c r="F2134" t="inlineStr">
        <is>
          <t>更新日期</t>
        </is>
      </c>
      <c r="H2134" t="inlineStr">
        <is>
          <t>DATETIME</t>
        </is>
      </c>
    </row>
    <row r="2135">
      <c r="A2135" t="inlineStr">
        <is>
          <t>担保方案和押品关系表</t>
        </is>
      </c>
      <c r="B2135" t="inlineStr">
        <is>
          <t>CLR_GUASCHEME_RELATIVE</t>
        </is>
      </c>
      <c r="C2135" t="inlineStr">
        <is>
          <t>CORPORGID</t>
        </is>
      </c>
      <c r="D2135" t="inlineStr">
        <is>
          <t>VARCHAR(32)</t>
        </is>
      </c>
      <c r="E2135" t="inlineStr">
        <is>
          <t>YES</t>
        </is>
      </c>
      <c r="F2135" t="inlineStr">
        <is>
          <t>法人机构编号</t>
        </is>
      </c>
      <c r="H2135" t="inlineStr">
        <is>
          <t>VARCHAR</t>
        </is>
      </c>
      <c r="I2135" t="inlineStr">
        <is>
          <t>32</t>
        </is>
      </c>
    </row>
    <row r="2136">
      <c r="A2136" t="inlineStr">
        <is>
          <t>押品信息</t>
        </is>
      </c>
      <c r="B2136" t="inlineStr">
        <is>
          <t>CLR_INFO</t>
        </is>
      </c>
      <c r="C2136" t="inlineStr">
        <is>
          <t>CLRID</t>
        </is>
      </c>
      <c r="D2136" t="inlineStr">
        <is>
          <t>VARCHAR(32)</t>
        </is>
      </c>
      <c r="E2136" t="inlineStr">
        <is>
          <t>NO</t>
        </is>
      </c>
      <c r="F2136" t="inlineStr">
        <is>
          <t>押品编号</t>
        </is>
      </c>
      <c r="H2136" t="inlineStr">
        <is>
          <t>VARCHAR</t>
        </is>
      </c>
      <c r="I2136" t="inlineStr">
        <is>
          <t>32</t>
        </is>
      </c>
    </row>
    <row r="2137">
      <c r="A2137" t="inlineStr">
        <is>
          <t>押品信息</t>
        </is>
      </c>
      <c r="B2137" t="inlineStr">
        <is>
          <t>CLR_INFO</t>
        </is>
      </c>
      <c r="C2137" t="inlineStr">
        <is>
          <t>CLRNAME</t>
        </is>
      </c>
      <c r="D2137" t="inlineStr">
        <is>
          <t>VARCHAR(80)</t>
        </is>
      </c>
      <c r="E2137" t="inlineStr">
        <is>
          <t>YES</t>
        </is>
      </c>
      <c r="F2137" t="inlineStr">
        <is>
          <t>押品名称</t>
        </is>
      </c>
      <c r="H2137" t="inlineStr">
        <is>
          <t>VARCHAR</t>
        </is>
      </c>
      <c r="I2137" t="inlineStr">
        <is>
          <t>80</t>
        </is>
      </c>
    </row>
    <row r="2138">
      <c r="A2138" t="inlineStr">
        <is>
          <t>押品信息</t>
        </is>
      </c>
      <c r="B2138" t="inlineStr">
        <is>
          <t>CLR_INFO</t>
        </is>
      </c>
      <c r="C2138" t="inlineStr">
        <is>
          <t>CLRCERTTYPE</t>
        </is>
      </c>
      <c r="D2138" t="inlineStr">
        <is>
          <t>VARCHAR(6)</t>
        </is>
      </c>
      <c r="E2138" t="inlineStr">
        <is>
          <t>YES</t>
        </is>
      </c>
      <c r="F2138" t="inlineStr">
        <is>
          <t>押品所有权证类型</t>
        </is>
      </c>
      <c r="H2138" t="inlineStr">
        <is>
          <t>VARCHAR</t>
        </is>
      </c>
      <c r="I2138" t="inlineStr">
        <is>
          <t>6</t>
        </is>
      </c>
    </row>
    <row r="2139">
      <c r="A2139" t="inlineStr">
        <is>
          <t>押品信息</t>
        </is>
      </c>
      <c r="B2139" t="inlineStr">
        <is>
          <t>CLR_INFO</t>
        </is>
      </c>
      <c r="C2139" t="inlineStr">
        <is>
          <t>CLRCERTID</t>
        </is>
      </c>
      <c r="D2139" t="inlineStr">
        <is>
          <t>VARCHAR(80)</t>
        </is>
      </c>
      <c r="E2139" t="inlineStr">
        <is>
          <t>YES</t>
        </is>
      </c>
      <c r="F2139" t="inlineStr">
        <is>
          <t>所有权证编号</t>
        </is>
      </c>
      <c r="H2139" t="inlineStr">
        <is>
          <t>VARCHAR</t>
        </is>
      </c>
      <c r="I2139" t="inlineStr">
        <is>
          <t>80</t>
        </is>
      </c>
    </row>
    <row r="2140">
      <c r="A2140" t="inlineStr">
        <is>
          <t>押品信息</t>
        </is>
      </c>
      <c r="B2140" t="inlineStr">
        <is>
          <t>CLR_INFO</t>
        </is>
      </c>
      <c r="C2140" t="inlineStr">
        <is>
          <t>CLRTYPEID</t>
        </is>
      </c>
      <c r="D2140" t="inlineStr">
        <is>
          <t>VARCHAR(32)</t>
        </is>
      </c>
      <c r="E2140" t="inlineStr">
        <is>
          <t>YES</t>
        </is>
      </c>
      <c r="F2140" t="inlineStr">
        <is>
          <t>押品资产类型编号</t>
        </is>
      </c>
      <c r="H2140" t="inlineStr">
        <is>
          <t>VARCHAR</t>
        </is>
      </c>
      <c r="I2140" t="inlineStr">
        <is>
          <t>32</t>
        </is>
      </c>
    </row>
    <row r="2141">
      <c r="A2141" t="inlineStr">
        <is>
          <t>押品信息</t>
        </is>
      </c>
      <c r="B2141" t="inlineStr">
        <is>
          <t>CLR_INFO</t>
        </is>
      </c>
      <c r="C2141" t="inlineStr">
        <is>
          <t>APPROVESTATUS</t>
        </is>
      </c>
      <c r="D2141" t="inlineStr">
        <is>
          <t>VARCHAR(32)</t>
        </is>
      </c>
      <c r="E2141" t="inlineStr">
        <is>
          <t>YES</t>
        </is>
      </c>
      <c r="F2141" t="inlineStr">
        <is>
          <t>申请状态</t>
        </is>
      </c>
      <c r="H2141" t="inlineStr">
        <is>
          <t>VARCHAR</t>
        </is>
      </c>
      <c r="I2141" t="inlineStr">
        <is>
          <t>32</t>
        </is>
      </c>
    </row>
    <row r="2142">
      <c r="A2142" t="inlineStr">
        <is>
          <t>押品信息</t>
        </is>
      </c>
      <c r="B2142" t="inlineStr">
        <is>
          <t>CLR_INFO</t>
        </is>
      </c>
      <c r="C2142" t="inlineStr">
        <is>
          <t>CLRCOUNT</t>
        </is>
      </c>
      <c r="D2142" t="inlineStr">
        <is>
          <t>VARCHAR(80)</t>
        </is>
      </c>
      <c r="E2142" t="inlineStr">
        <is>
          <t>YES</t>
        </is>
      </c>
      <c r="F2142" t="inlineStr">
        <is>
          <t>押品资产数量</t>
        </is>
      </c>
      <c r="H2142" t="inlineStr">
        <is>
          <t>VARCHAR</t>
        </is>
      </c>
      <c r="I2142" t="inlineStr">
        <is>
          <t>80</t>
        </is>
      </c>
    </row>
    <row r="2143">
      <c r="A2143" t="inlineStr">
        <is>
          <t>押品信息</t>
        </is>
      </c>
      <c r="B2143" t="inlineStr">
        <is>
          <t>CLR_INFO</t>
        </is>
      </c>
      <c r="C2143" t="inlineStr">
        <is>
          <t>COUNTRY</t>
        </is>
      </c>
      <c r="D2143" t="inlineStr">
        <is>
          <t>VARCHAR(6)</t>
        </is>
      </c>
      <c r="E2143" t="inlineStr">
        <is>
          <t>YES</t>
        </is>
      </c>
      <c r="F2143" t="inlineStr">
        <is>
          <t>所在国家</t>
        </is>
      </c>
      <c r="H2143" t="inlineStr">
        <is>
          <t>VARCHAR</t>
        </is>
      </c>
      <c r="I2143" t="inlineStr">
        <is>
          <t>6</t>
        </is>
      </c>
    </row>
    <row r="2144">
      <c r="A2144" t="inlineStr">
        <is>
          <t>押品信息</t>
        </is>
      </c>
      <c r="B2144" t="inlineStr">
        <is>
          <t>CLR_INFO</t>
        </is>
      </c>
      <c r="C2144" t="inlineStr">
        <is>
          <t>PROVINCE</t>
        </is>
      </c>
      <c r="D2144" t="inlineStr">
        <is>
          <t>VARCHAR(6)</t>
        </is>
      </c>
      <c r="E2144" t="inlineStr">
        <is>
          <t>YES</t>
        </is>
      </c>
      <c r="F2144" t="inlineStr">
        <is>
          <t>所在省/直辖市</t>
        </is>
      </c>
      <c r="H2144" t="inlineStr">
        <is>
          <t>VARCHAR</t>
        </is>
      </c>
      <c r="I2144" t="inlineStr">
        <is>
          <t>6</t>
        </is>
      </c>
    </row>
    <row r="2145">
      <c r="A2145" t="inlineStr">
        <is>
          <t>押品信息</t>
        </is>
      </c>
      <c r="B2145" t="inlineStr">
        <is>
          <t>CLR_INFO</t>
        </is>
      </c>
      <c r="C2145" t="inlineStr">
        <is>
          <t>CITY</t>
        </is>
      </c>
      <c r="D2145" t="inlineStr">
        <is>
          <t>VARCHAR(6)</t>
        </is>
      </c>
      <c r="E2145" t="inlineStr">
        <is>
          <t>YES</t>
        </is>
      </c>
      <c r="F2145" t="inlineStr">
        <is>
          <t>所在城市</t>
        </is>
      </c>
      <c r="H2145" t="inlineStr">
        <is>
          <t>VARCHAR</t>
        </is>
      </c>
      <c r="I2145" t="inlineStr">
        <is>
          <t>6</t>
        </is>
      </c>
    </row>
    <row r="2146">
      <c r="A2146" t="inlineStr">
        <is>
          <t>押品信息</t>
        </is>
      </c>
      <c r="B2146" t="inlineStr">
        <is>
          <t>CLR_INFO</t>
        </is>
      </c>
      <c r="C2146" t="inlineStr">
        <is>
          <t>AREA</t>
        </is>
      </c>
      <c r="D2146" t="inlineStr">
        <is>
          <t>VARCHAR(6)</t>
        </is>
      </c>
      <c r="E2146" t="inlineStr">
        <is>
          <t>YES</t>
        </is>
      </c>
      <c r="F2146" t="inlineStr">
        <is>
          <t>所在区域</t>
        </is>
      </c>
      <c r="H2146" t="inlineStr">
        <is>
          <t>VARCHAR</t>
        </is>
      </c>
      <c r="I2146" t="inlineStr">
        <is>
          <t>6</t>
        </is>
      </c>
    </row>
    <row r="2147">
      <c r="A2147" t="inlineStr">
        <is>
          <t>押品信息</t>
        </is>
      </c>
      <c r="B2147" t="inlineStr">
        <is>
          <t>CLR_INFO</t>
        </is>
      </c>
      <c r="C2147" t="inlineStr">
        <is>
          <t>ADDRESS</t>
        </is>
      </c>
      <c r="D2147" t="inlineStr">
        <is>
          <t>VARCHAR(500)</t>
        </is>
      </c>
      <c r="E2147" t="inlineStr">
        <is>
          <t>YES</t>
        </is>
      </c>
      <c r="F2147" t="inlineStr">
        <is>
          <t>详细地址</t>
        </is>
      </c>
      <c r="H2147" t="inlineStr">
        <is>
          <t>VARCHAR</t>
        </is>
      </c>
      <c r="I2147" t="inlineStr">
        <is>
          <t>500</t>
        </is>
      </c>
    </row>
    <row r="2148">
      <c r="A2148" t="inlineStr">
        <is>
          <t>押品信息</t>
        </is>
      </c>
      <c r="B2148" t="inlineStr">
        <is>
          <t>CLR_INFO</t>
        </is>
      </c>
      <c r="C2148" t="inlineStr">
        <is>
          <t>AVLGNTVALUE</t>
        </is>
      </c>
      <c r="D2148" t="inlineStr">
        <is>
          <t>DECIMAL(24,6)</t>
        </is>
      </c>
      <c r="E2148" t="inlineStr">
        <is>
          <t>YES</t>
        </is>
      </c>
      <c r="F2148" t="inlineStr">
        <is>
          <t>当前可担保价值</t>
        </is>
      </c>
      <c r="H2148" t="inlineStr">
        <is>
          <t>DECIMAL</t>
        </is>
      </c>
      <c r="I2148" t="inlineStr">
        <is>
          <t>24,6</t>
        </is>
      </c>
    </row>
    <row r="2149">
      <c r="A2149" t="inlineStr">
        <is>
          <t>押品信息</t>
        </is>
      </c>
      <c r="B2149" t="inlineStr">
        <is>
          <t>CLR_INFO</t>
        </is>
      </c>
      <c r="C2149" t="inlineStr">
        <is>
          <t>USEDGNTVALUE</t>
        </is>
      </c>
      <c r="D2149" t="inlineStr">
        <is>
          <t>DECIMAL(24,6)</t>
        </is>
      </c>
      <c r="E2149" t="inlineStr">
        <is>
          <t>YES</t>
        </is>
      </c>
      <c r="F2149" t="inlineStr">
        <is>
          <t>本行已担保债权金额</t>
        </is>
      </c>
      <c r="H2149" t="inlineStr">
        <is>
          <t>DECIMAL</t>
        </is>
      </c>
      <c r="I2149" t="inlineStr">
        <is>
          <t>24,6</t>
        </is>
      </c>
    </row>
    <row r="2150">
      <c r="A2150" t="inlineStr">
        <is>
          <t>押品信息</t>
        </is>
      </c>
      <c r="B2150" t="inlineStr">
        <is>
          <t>CLR_INFO</t>
        </is>
      </c>
      <c r="C2150" t="inlineStr">
        <is>
          <t>OTHERGNTVALUE</t>
        </is>
      </c>
      <c r="D2150" t="inlineStr">
        <is>
          <t>DECIMAL(24,6)</t>
        </is>
      </c>
      <c r="E2150" t="inlineStr">
        <is>
          <t>YES</t>
        </is>
      </c>
      <c r="F2150" t="inlineStr">
        <is>
          <t>其他优先受偿权利金额</t>
        </is>
      </c>
      <c r="H2150" t="inlineStr">
        <is>
          <t>DECIMAL</t>
        </is>
      </c>
      <c r="I2150" t="inlineStr">
        <is>
          <t>24,6</t>
        </is>
      </c>
    </row>
    <row r="2151">
      <c r="A2151" t="inlineStr">
        <is>
          <t>押品信息</t>
        </is>
      </c>
      <c r="B2151" t="inlineStr">
        <is>
          <t>CLR_INFO</t>
        </is>
      </c>
      <c r="C2151" t="inlineStr">
        <is>
          <t>CURRLTV</t>
        </is>
      </c>
      <c r="D2151" t="inlineStr">
        <is>
          <t>DECIMAL(18,8)</t>
        </is>
      </c>
      <c r="E2151" t="inlineStr">
        <is>
          <t>YES</t>
        </is>
      </c>
      <c r="F2151" t="inlineStr">
        <is>
          <t>当前抵质押率</t>
        </is>
      </c>
      <c r="H2151" t="inlineStr">
        <is>
          <t>DECIMAL</t>
        </is>
      </c>
      <c r="I2151" t="inlineStr">
        <is>
          <t>18,8</t>
        </is>
      </c>
    </row>
    <row r="2152">
      <c r="A2152" t="inlineStr">
        <is>
          <t>押品信息</t>
        </is>
      </c>
      <c r="B2152" t="inlineStr">
        <is>
          <t>CLR_INFO</t>
        </is>
      </c>
      <c r="C2152" t="inlineStr">
        <is>
          <t>CLRSTATUS</t>
        </is>
      </c>
      <c r="D2152" t="inlineStr">
        <is>
          <t>VARCHAR(6)</t>
        </is>
      </c>
      <c r="E2152" t="inlineStr">
        <is>
          <t>YES</t>
        </is>
      </c>
      <c r="F2152" t="inlineStr">
        <is>
          <t>押品状态</t>
        </is>
      </c>
      <c r="H2152" t="inlineStr">
        <is>
          <t>VARCHAR</t>
        </is>
      </c>
      <c r="I2152" t="inlineStr">
        <is>
          <t>6</t>
        </is>
      </c>
    </row>
    <row r="2153">
      <c r="A2153" t="inlineStr">
        <is>
          <t>押品信息</t>
        </is>
      </c>
      <c r="B2153" t="inlineStr">
        <is>
          <t>CLR_INFO</t>
        </is>
      </c>
      <c r="C2153" t="inlineStr">
        <is>
          <t>CLRGANTSTATUS</t>
        </is>
      </c>
      <c r="D2153" t="inlineStr">
        <is>
          <t>VARCHAR(6)</t>
        </is>
      </c>
      <c r="E2153" t="inlineStr">
        <is>
          <t>YES</t>
        </is>
      </c>
      <c r="F2153" t="inlineStr">
        <is>
          <t>押品准入状态
02;已准入未确立押权
03 已确立押权
04 已注销押权</t>
        </is>
      </c>
      <c r="H2153" t="inlineStr">
        <is>
          <t>VARCHAR</t>
        </is>
      </c>
      <c r="I2153" t="inlineStr">
        <is>
          <t>6</t>
        </is>
      </c>
    </row>
    <row r="2154">
      <c r="A2154" t="inlineStr">
        <is>
          <t>押品信息</t>
        </is>
      </c>
      <c r="B2154" t="inlineStr">
        <is>
          <t>CLR_INFO</t>
        </is>
      </c>
      <c r="C2154" t="inlineStr">
        <is>
          <t>ISCOMPLETE</t>
        </is>
      </c>
      <c r="D2154" t="inlineStr">
        <is>
          <t>CHAR(1)</t>
        </is>
      </c>
      <c r="E2154" t="inlineStr">
        <is>
          <t>YES</t>
        </is>
      </c>
      <c r="F2154" t="inlineStr">
        <is>
          <t>必输信息是否完整</t>
        </is>
      </c>
      <c r="H2154" t="inlineStr">
        <is>
          <t>CHAR</t>
        </is>
      </c>
      <c r="I2154" t="inlineStr">
        <is>
          <t>1</t>
        </is>
      </c>
    </row>
    <row r="2155">
      <c r="A2155" t="inlineStr">
        <is>
          <t>押品信息</t>
        </is>
      </c>
      <c r="B2155" t="inlineStr">
        <is>
          <t>CLR_INFO</t>
        </is>
      </c>
      <c r="C2155" t="inlineStr">
        <is>
          <t>ISONLYONE</t>
        </is>
      </c>
      <c r="D2155" t="inlineStr">
        <is>
          <t>CHAR(1)</t>
        </is>
      </c>
      <c r="E2155" t="inlineStr">
        <is>
          <t>YES</t>
        </is>
      </c>
      <c r="F2155" t="inlineStr">
        <is>
          <t>是否重复</t>
        </is>
      </c>
      <c r="H2155" t="inlineStr">
        <is>
          <t>CHAR</t>
        </is>
      </c>
      <c r="I2155" t="inlineStr">
        <is>
          <t>1</t>
        </is>
      </c>
    </row>
    <row r="2156">
      <c r="A2156" t="inlineStr">
        <is>
          <t>押品信息</t>
        </is>
      </c>
      <c r="B2156" t="inlineStr">
        <is>
          <t>CLR_INFO</t>
        </is>
      </c>
      <c r="C2156" t="inlineStr">
        <is>
          <t>ISRIGHTCERT</t>
        </is>
      </c>
      <c r="D2156" t="inlineStr">
        <is>
          <t>CHAR(1)</t>
        </is>
      </c>
      <c r="E2156" t="inlineStr">
        <is>
          <t>YES</t>
        </is>
      </c>
      <c r="F2156" t="inlineStr">
        <is>
          <t>权证信息是否完整</t>
        </is>
      </c>
      <c r="H2156" t="inlineStr">
        <is>
          <t>CHAR</t>
        </is>
      </c>
      <c r="I2156" t="inlineStr">
        <is>
          <t>1</t>
        </is>
      </c>
    </row>
    <row r="2157">
      <c r="A2157" t="inlineStr">
        <is>
          <t>押品信息</t>
        </is>
      </c>
      <c r="B2157" t="inlineStr">
        <is>
          <t>CLR_INFO</t>
        </is>
      </c>
      <c r="C2157" t="inlineStr">
        <is>
          <t>ISINSURANCE</t>
        </is>
      </c>
      <c r="D2157" t="inlineStr">
        <is>
          <t>CHAR(1)</t>
        </is>
      </c>
      <c r="E2157" t="inlineStr">
        <is>
          <t>YES</t>
        </is>
      </c>
      <c r="F2157" t="inlineStr">
        <is>
          <t>保险信息是否完整</t>
        </is>
      </c>
      <c r="H2157" t="inlineStr">
        <is>
          <t>CHAR</t>
        </is>
      </c>
      <c r="I2157" t="inlineStr">
        <is>
          <t>1</t>
        </is>
      </c>
    </row>
    <row r="2158">
      <c r="A2158" t="inlineStr">
        <is>
          <t>押品信息</t>
        </is>
      </c>
      <c r="B2158" t="inlineStr">
        <is>
          <t>CLR_INFO</t>
        </is>
      </c>
      <c r="C2158" t="inlineStr">
        <is>
          <t>ISNOTARIZATION</t>
        </is>
      </c>
      <c r="D2158" t="inlineStr">
        <is>
          <t>CHAR(1)</t>
        </is>
      </c>
      <c r="E2158" t="inlineStr">
        <is>
          <t>YES</t>
        </is>
      </c>
      <c r="F2158" t="inlineStr">
        <is>
          <t>公正信息是否完整</t>
        </is>
      </c>
      <c r="H2158" t="inlineStr">
        <is>
          <t>CHAR</t>
        </is>
      </c>
      <c r="I2158" t="inlineStr">
        <is>
          <t>1</t>
        </is>
      </c>
    </row>
    <row r="2159">
      <c r="A2159" t="inlineStr">
        <is>
          <t>押品信息</t>
        </is>
      </c>
      <c r="B2159" t="inlineStr">
        <is>
          <t>CLR_INFO</t>
        </is>
      </c>
      <c r="C2159" t="inlineStr">
        <is>
          <t>ISCLROWNER</t>
        </is>
      </c>
      <c r="D2159" t="inlineStr">
        <is>
          <t>CHAR(1)</t>
        </is>
      </c>
      <c r="E2159" t="inlineStr">
        <is>
          <t>YES</t>
        </is>
      </c>
      <c r="F2159" t="inlineStr">
        <is>
          <t>权属人信息是否完整</t>
        </is>
      </c>
      <c r="H2159" t="inlineStr">
        <is>
          <t>CHAR</t>
        </is>
      </c>
      <c r="I2159" t="inlineStr">
        <is>
          <t>1</t>
        </is>
      </c>
    </row>
    <row r="2160">
      <c r="A2160" t="inlineStr">
        <is>
          <t>押品信息</t>
        </is>
      </c>
      <c r="B2160" t="inlineStr">
        <is>
          <t>CLR_INFO</t>
        </is>
      </c>
      <c r="C2160" t="inlineStr">
        <is>
          <t>ADDSTATUS</t>
        </is>
      </c>
      <c r="D2160" t="inlineStr">
        <is>
          <t>CHAR(1)</t>
        </is>
      </c>
      <c r="E2160" t="inlineStr">
        <is>
          <t>YES</t>
        </is>
      </c>
      <c r="F2160" t="inlineStr">
        <is>
          <t>补登状态</t>
        </is>
      </c>
      <c r="H2160" t="inlineStr">
        <is>
          <t>CHAR</t>
        </is>
      </c>
      <c r="I2160" t="inlineStr">
        <is>
          <t>1</t>
        </is>
      </c>
    </row>
    <row r="2161">
      <c r="A2161" t="inlineStr">
        <is>
          <t>押品信息</t>
        </is>
      </c>
      <c r="B2161" t="inlineStr">
        <is>
          <t>CLR_INFO</t>
        </is>
      </c>
      <c r="C2161" t="inlineStr">
        <is>
          <t>CURREVALRECORDID</t>
        </is>
      </c>
      <c r="D2161" t="inlineStr">
        <is>
          <t>VARCHAR(32)</t>
        </is>
      </c>
      <c r="E2161" t="inlineStr">
        <is>
          <t>YES</t>
        </is>
      </c>
      <c r="F2161" t="inlineStr">
        <is>
          <t>最新价值评估记录编号</t>
        </is>
      </c>
      <c r="H2161" t="inlineStr">
        <is>
          <t>VARCHAR</t>
        </is>
      </c>
      <c r="I2161" t="inlineStr">
        <is>
          <t>32</t>
        </is>
      </c>
    </row>
    <row r="2162">
      <c r="A2162" t="inlineStr">
        <is>
          <t>押品信息</t>
        </is>
      </c>
      <c r="B2162" t="inlineStr">
        <is>
          <t>CLR_INFO</t>
        </is>
      </c>
      <c r="C2162" t="inlineStr">
        <is>
          <t>CURREVALCCY</t>
        </is>
      </c>
      <c r="D2162" t="inlineStr">
        <is>
          <t>VARCHAR(6)</t>
        </is>
      </c>
      <c r="E2162" t="inlineStr">
        <is>
          <t>YES</t>
        </is>
      </c>
      <c r="F2162" t="inlineStr">
        <is>
          <t>最新评估价值币种</t>
        </is>
      </c>
      <c r="H2162" t="inlineStr">
        <is>
          <t>VARCHAR</t>
        </is>
      </c>
      <c r="I2162" t="inlineStr">
        <is>
          <t>6</t>
        </is>
      </c>
    </row>
    <row r="2163">
      <c r="A2163" t="inlineStr">
        <is>
          <t>押品信息</t>
        </is>
      </c>
      <c r="B2163" t="inlineStr">
        <is>
          <t>CLR_INFO</t>
        </is>
      </c>
      <c r="C2163" t="inlineStr">
        <is>
          <t>CURREVALDATE</t>
        </is>
      </c>
      <c r="D2163" t="inlineStr">
        <is>
          <t>DATETIME</t>
        </is>
      </c>
      <c r="E2163" t="inlineStr">
        <is>
          <t>YES</t>
        </is>
      </c>
      <c r="F2163" t="inlineStr">
        <is>
          <t>最新价值评估日期</t>
        </is>
      </c>
      <c r="H2163" t="inlineStr">
        <is>
          <t>DATETIME</t>
        </is>
      </c>
    </row>
    <row r="2164">
      <c r="A2164" t="inlineStr">
        <is>
          <t>押品信息</t>
        </is>
      </c>
      <c r="B2164" t="inlineStr">
        <is>
          <t>CLR_INFO</t>
        </is>
      </c>
      <c r="C2164" t="inlineStr">
        <is>
          <t>CURREVALMODE</t>
        </is>
      </c>
      <c r="D2164" t="inlineStr">
        <is>
          <t>VARCHAR(6)</t>
        </is>
      </c>
      <c r="E2164" t="inlineStr">
        <is>
          <t>YES</t>
        </is>
      </c>
      <c r="F2164" t="inlineStr">
        <is>
          <t>最新价值评估方式</t>
        </is>
      </c>
      <c r="H2164" t="inlineStr">
        <is>
          <t>VARCHAR</t>
        </is>
      </c>
      <c r="I2164" t="inlineStr">
        <is>
          <t>6</t>
        </is>
      </c>
    </row>
    <row r="2165">
      <c r="A2165" t="inlineStr">
        <is>
          <t>押品信息</t>
        </is>
      </c>
      <c r="B2165" t="inlineStr">
        <is>
          <t>CLR_INFO</t>
        </is>
      </c>
      <c r="C2165" t="inlineStr">
        <is>
          <t>CURREVALVALUE</t>
        </is>
      </c>
      <c r="D2165" t="inlineStr">
        <is>
          <t>DECIMAL(24,6)</t>
        </is>
      </c>
      <c r="E2165" t="inlineStr">
        <is>
          <t>YES</t>
        </is>
      </c>
      <c r="F2165" t="inlineStr">
        <is>
          <t>最新评估价值</t>
        </is>
      </c>
      <c r="H2165" t="inlineStr">
        <is>
          <t>DECIMAL</t>
        </is>
      </c>
      <c r="I2165" t="inlineStr">
        <is>
          <t>24,6</t>
        </is>
      </c>
    </row>
    <row r="2166">
      <c r="A2166" t="inlineStr">
        <is>
          <t>押品信息</t>
        </is>
      </c>
      <c r="B2166" t="inlineStr">
        <is>
          <t>CLR_INFO</t>
        </is>
      </c>
      <c r="C2166" t="inlineStr">
        <is>
          <t>EVALFRQ</t>
        </is>
      </c>
      <c r="D2166" t="inlineStr">
        <is>
          <t>DECIMAL(18,8)</t>
        </is>
      </c>
      <c r="E2166" t="inlineStr">
        <is>
          <t>YES</t>
        </is>
      </c>
      <c r="F2166" t="inlineStr">
        <is>
          <t>价值重估频率</t>
        </is>
      </c>
      <c r="H2166" t="inlineStr">
        <is>
          <t>DECIMAL</t>
        </is>
      </c>
      <c r="I2166" t="inlineStr">
        <is>
          <t>18,8</t>
        </is>
      </c>
    </row>
    <row r="2167">
      <c r="A2167" t="inlineStr">
        <is>
          <t>押品信息</t>
        </is>
      </c>
      <c r="B2167" t="inlineStr">
        <is>
          <t>CLR_INFO</t>
        </is>
      </c>
      <c r="C2167" t="inlineStr">
        <is>
          <t>CURRMARKETPRICE</t>
        </is>
      </c>
      <c r="D2167" t="inlineStr">
        <is>
          <t>DECIMAL(24,6)</t>
        </is>
      </c>
      <c r="E2167" t="inlineStr">
        <is>
          <t>YES</t>
        </is>
      </c>
      <c r="F2167" t="inlineStr">
        <is>
          <t>当前市场参考价</t>
        </is>
      </c>
      <c r="H2167" t="inlineStr">
        <is>
          <t>DECIMAL</t>
        </is>
      </c>
      <c r="I2167" t="inlineStr">
        <is>
          <t>24,6</t>
        </is>
      </c>
    </row>
    <row r="2168">
      <c r="A2168" t="inlineStr">
        <is>
          <t>押品信息</t>
        </is>
      </c>
      <c r="B2168" t="inlineStr">
        <is>
          <t>CLR_INFO</t>
        </is>
      </c>
      <c r="C2168" t="inlineStr">
        <is>
          <t>CURRMPEVALTIME</t>
        </is>
      </c>
      <c r="D2168" t="inlineStr">
        <is>
          <t>DATETIME</t>
        </is>
      </c>
      <c r="E2168" t="inlineStr">
        <is>
          <t>YES</t>
        </is>
      </c>
      <c r="F2168" t="inlineStr">
        <is>
          <t>当前市场参考价值日期</t>
        </is>
      </c>
      <c r="H2168" t="inlineStr">
        <is>
          <t>DATETIME</t>
        </is>
      </c>
    </row>
    <row r="2169">
      <c r="A2169" t="inlineStr">
        <is>
          <t>押品信息</t>
        </is>
      </c>
      <c r="B2169" t="inlineStr">
        <is>
          <t>CLR_INFO</t>
        </is>
      </c>
      <c r="C2169" t="inlineStr">
        <is>
          <t>CURRMPINFOSOURCE</t>
        </is>
      </c>
      <c r="D2169" t="inlineStr">
        <is>
          <t>VARCHAR(80)</t>
        </is>
      </c>
      <c r="E2169" t="inlineStr">
        <is>
          <t>YES</t>
        </is>
      </c>
      <c r="F2169" t="inlineStr">
        <is>
          <t>当前市场参考价信息来源</t>
        </is>
      </c>
      <c r="H2169" t="inlineStr">
        <is>
          <t>VARCHAR</t>
        </is>
      </c>
      <c r="I2169" t="inlineStr">
        <is>
          <t>80</t>
        </is>
      </c>
    </row>
    <row r="2170">
      <c r="A2170" t="inlineStr">
        <is>
          <t>押品信息</t>
        </is>
      </c>
      <c r="B2170" t="inlineStr">
        <is>
          <t>CLR_INFO</t>
        </is>
      </c>
      <c r="C2170" t="inlineStr">
        <is>
          <t>CURRMPREFINDEXID</t>
        </is>
      </c>
      <c r="D2170" t="inlineStr">
        <is>
          <t>VARCHAR(32)</t>
        </is>
      </c>
      <c r="E2170" t="inlineStr">
        <is>
          <t>YES</t>
        </is>
      </c>
      <c r="F2170" t="inlineStr">
        <is>
          <t>当前市场价格关联指数编号</t>
        </is>
      </c>
      <c r="H2170" t="inlineStr">
        <is>
          <t>VARCHAR</t>
        </is>
      </c>
      <c r="I2170" t="inlineStr">
        <is>
          <t>32</t>
        </is>
      </c>
    </row>
    <row r="2171">
      <c r="A2171" t="inlineStr">
        <is>
          <t>押品信息</t>
        </is>
      </c>
      <c r="B2171" t="inlineStr">
        <is>
          <t>CLR_INFO</t>
        </is>
      </c>
      <c r="C2171" t="inlineStr">
        <is>
          <t>MYCURRENCY</t>
        </is>
      </c>
      <c r="D2171" t="inlineStr">
        <is>
          <t>VARCHAR(18)</t>
        </is>
      </c>
      <c r="E2171" t="inlineStr">
        <is>
          <t>YES</t>
        </is>
      </c>
      <c r="F2171" t="inlineStr">
        <is>
          <t>我行拥有的抵押品市价币种</t>
        </is>
      </c>
      <c r="H2171" t="inlineStr">
        <is>
          <t>VARCHAR</t>
        </is>
      </c>
      <c r="I2171" t="inlineStr">
        <is>
          <t>18</t>
        </is>
      </c>
    </row>
    <row r="2172">
      <c r="A2172" t="inlineStr">
        <is>
          <t>押品信息</t>
        </is>
      </c>
      <c r="B2172" t="inlineStr">
        <is>
          <t>CLR_INFO</t>
        </is>
      </c>
      <c r="C2172" t="inlineStr">
        <is>
          <t>MYBANKCLRPRICE</t>
        </is>
      </c>
      <c r="D2172" t="inlineStr">
        <is>
          <t>DECIMAL(24,6)</t>
        </is>
      </c>
      <c r="E2172" t="inlineStr">
        <is>
          <t>YES</t>
        </is>
      </c>
      <c r="F2172" t="inlineStr">
        <is>
          <t>我行拥有的抵押品市价</t>
        </is>
      </c>
      <c r="H2172" t="inlineStr">
        <is>
          <t>DECIMAL</t>
        </is>
      </c>
      <c r="I2172" t="inlineStr">
        <is>
          <t>24,6</t>
        </is>
      </c>
    </row>
    <row r="2173">
      <c r="A2173" t="inlineStr">
        <is>
          <t>押品信息</t>
        </is>
      </c>
      <c r="B2173" t="inlineStr">
        <is>
          <t>CLR_INFO</t>
        </is>
      </c>
      <c r="C2173" t="inlineStr">
        <is>
          <t>INDEPENDENTEVAL</t>
        </is>
      </c>
      <c r="D2173" t="inlineStr">
        <is>
          <t>CHAR(1)</t>
        </is>
      </c>
      <c r="E2173" t="inlineStr">
        <is>
          <t>YES</t>
        </is>
      </c>
      <c r="F2173" t="inlineStr">
        <is>
          <t>市价是否由独立的价值评估者所估计</t>
        </is>
      </c>
      <c r="H2173" t="inlineStr">
        <is>
          <t>CHAR</t>
        </is>
      </c>
      <c r="I2173" t="inlineStr">
        <is>
          <t>1</t>
        </is>
      </c>
    </row>
    <row r="2174">
      <c r="A2174" t="inlineStr">
        <is>
          <t>押品信息</t>
        </is>
      </c>
      <c r="B2174" t="inlineStr">
        <is>
          <t>CLR_INFO</t>
        </is>
      </c>
      <c r="C2174" t="inlineStr">
        <is>
          <t>ISREPTPLEDGE</t>
        </is>
      </c>
      <c r="D2174" t="inlineStr">
        <is>
          <t>CHAR(1)</t>
        </is>
      </c>
      <c r="E2174" t="inlineStr">
        <is>
          <t>YES</t>
        </is>
      </c>
      <c r="F2174" t="inlineStr">
        <is>
          <t>是否重复抵质押</t>
        </is>
      </c>
      <c r="H2174" t="inlineStr">
        <is>
          <t>CHAR</t>
        </is>
      </c>
      <c r="I2174" t="inlineStr">
        <is>
          <t>1</t>
        </is>
      </c>
    </row>
    <row r="2175">
      <c r="A2175" t="inlineStr">
        <is>
          <t>押品信息</t>
        </is>
      </c>
      <c r="B2175" t="inlineStr">
        <is>
          <t>CLR_INFO</t>
        </is>
      </c>
      <c r="C2175" t="inlineStr">
        <is>
          <t>ISINNERREPTPLEDGE</t>
        </is>
      </c>
      <c r="D2175" t="inlineStr">
        <is>
          <t>CHAR(1)</t>
        </is>
      </c>
      <c r="E2175" t="inlineStr">
        <is>
          <t>YES</t>
        </is>
      </c>
      <c r="F2175" t="inlineStr">
        <is>
          <t>是否行内重复抵质押</t>
        </is>
      </c>
      <c r="H2175" t="inlineStr">
        <is>
          <t>CHAR</t>
        </is>
      </c>
      <c r="I2175" t="inlineStr">
        <is>
          <t>1</t>
        </is>
      </c>
    </row>
    <row r="2176">
      <c r="A2176" t="inlineStr">
        <is>
          <t>押品信息</t>
        </is>
      </c>
      <c r="B2176" t="inlineStr">
        <is>
          <t>CLR_INFO</t>
        </is>
      </c>
      <c r="C2176" t="inlineStr">
        <is>
          <t>ISCLRVERIFICATION</t>
        </is>
      </c>
      <c r="D2176" t="inlineStr">
        <is>
          <t>CHAR(1)</t>
        </is>
      </c>
      <c r="E2176" t="inlineStr">
        <is>
          <t>YES</t>
        </is>
      </c>
      <c r="F2176" t="inlineStr">
        <is>
          <t>是否已核押登记</t>
        </is>
      </c>
      <c r="H2176" t="inlineStr">
        <is>
          <t>CHAR</t>
        </is>
      </c>
      <c r="I2176" t="inlineStr">
        <is>
          <t>1</t>
        </is>
      </c>
    </row>
    <row r="2177">
      <c r="A2177" t="inlineStr">
        <is>
          <t>押品信息</t>
        </is>
      </c>
      <c r="B2177" t="inlineStr">
        <is>
          <t>CLR_INFO</t>
        </is>
      </c>
      <c r="C2177" t="inlineStr">
        <is>
          <t>ISCLRREGISTER</t>
        </is>
      </c>
      <c r="D2177" t="inlineStr">
        <is>
          <t>CHAR(1)</t>
        </is>
      </c>
      <c r="E2177" t="inlineStr">
        <is>
          <t>YES</t>
        </is>
      </c>
      <c r="F2177" t="inlineStr">
        <is>
          <t>是否已抵质押登记</t>
        </is>
      </c>
      <c r="H2177" t="inlineStr">
        <is>
          <t>CHAR</t>
        </is>
      </c>
      <c r="I2177" t="inlineStr">
        <is>
          <t>1</t>
        </is>
      </c>
    </row>
    <row r="2178">
      <c r="A2178" t="inlineStr">
        <is>
          <t>押品信息</t>
        </is>
      </c>
      <c r="B2178" t="inlineStr">
        <is>
          <t>CLR_INFO</t>
        </is>
      </c>
      <c r="C2178" t="inlineStr">
        <is>
          <t>MANAGEUSERID</t>
        </is>
      </c>
      <c r="D2178" t="inlineStr">
        <is>
          <t>VARCHAR(32)</t>
        </is>
      </c>
      <c r="E2178" t="inlineStr">
        <is>
          <t>YES</t>
        </is>
      </c>
      <c r="F2178" t="inlineStr">
        <is>
          <t>管理人</t>
        </is>
      </c>
      <c r="H2178" t="inlineStr">
        <is>
          <t>VARCHAR</t>
        </is>
      </c>
      <c r="I2178" t="inlineStr">
        <is>
          <t>32</t>
        </is>
      </c>
    </row>
    <row r="2179">
      <c r="A2179" t="inlineStr">
        <is>
          <t>押品信息</t>
        </is>
      </c>
      <c r="B2179" t="inlineStr">
        <is>
          <t>CLR_INFO</t>
        </is>
      </c>
      <c r="C2179" t="inlineStr">
        <is>
          <t>MANAGEORGID</t>
        </is>
      </c>
      <c r="D2179" t="inlineStr">
        <is>
          <t>VARCHAR(32)</t>
        </is>
      </c>
      <c r="E2179" t="inlineStr">
        <is>
          <t>YES</t>
        </is>
      </c>
      <c r="F2179" t="inlineStr">
        <is>
          <t>管理机构</t>
        </is>
      </c>
      <c r="H2179" t="inlineStr">
        <is>
          <t>VARCHAR</t>
        </is>
      </c>
      <c r="I2179" t="inlineStr">
        <is>
          <t>32</t>
        </is>
      </c>
    </row>
    <row r="2180">
      <c r="A2180" t="inlineStr">
        <is>
          <t>押品信息</t>
        </is>
      </c>
      <c r="B2180" t="inlineStr">
        <is>
          <t>CLR_INFO</t>
        </is>
      </c>
      <c r="C2180" t="inlineStr">
        <is>
          <t>WRITEUSERID</t>
        </is>
      </c>
      <c r="D2180" t="inlineStr">
        <is>
          <t>VARCHAR(80)</t>
        </is>
      </c>
      <c r="E2180" t="inlineStr">
        <is>
          <t>YES</t>
        </is>
      </c>
      <c r="F2180" t="inlineStr">
        <is>
          <t>补录人</t>
        </is>
      </c>
      <c r="H2180" t="inlineStr">
        <is>
          <t>VARCHAR</t>
        </is>
      </c>
      <c r="I2180" t="inlineStr">
        <is>
          <t>80</t>
        </is>
      </c>
    </row>
    <row r="2181">
      <c r="A2181" t="inlineStr">
        <is>
          <t>押品信息</t>
        </is>
      </c>
      <c r="B2181" t="inlineStr">
        <is>
          <t>CLR_INFO</t>
        </is>
      </c>
      <c r="C2181" t="inlineStr">
        <is>
          <t>WRITEORGID</t>
        </is>
      </c>
      <c r="D2181" t="inlineStr">
        <is>
          <t>VARCHAR(32)</t>
        </is>
      </c>
      <c r="E2181" t="inlineStr">
        <is>
          <t>YES</t>
        </is>
      </c>
      <c r="F2181" t="inlineStr">
        <is>
          <t>补录机构</t>
        </is>
      </c>
      <c r="H2181" t="inlineStr">
        <is>
          <t>VARCHAR</t>
        </is>
      </c>
      <c r="I2181" t="inlineStr">
        <is>
          <t>32</t>
        </is>
      </c>
    </row>
    <row r="2182">
      <c r="A2182" t="inlineStr">
        <is>
          <t>押品信息</t>
        </is>
      </c>
      <c r="B2182" t="inlineStr">
        <is>
          <t>CLR_INFO</t>
        </is>
      </c>
      <c r="C2182" t="inlineStr">
        <is>
          <t>INEVALCURRENCY</t>
        </is>
      </c>
      <c r="D2182" t="inlineStr">
        <is>
          <t>VARCHAR(18)</t>
        </is>
      </c>
      <c r="E2182" t="inlineStr">
        <is>
          <t>YES</t>
        </is>
      </c>
      <c r="F2182" t="inlineStr">
        <is>
          <t>内部评估价值币种</t>
        </is>
      </c>
      <c r="H2182" t="inlineStr">
        <is>
          <t>VARCHAR</t>
        </is>
      </c>
      <c r="I2182" t="inlineStr">
        <is>
          <t>18</t>
        </is>
      </c>
    </row>
    <row r="2183">
      <c r="A2183" t="inlineStr">
        <is>
          <t>押品信息</t>
        </is>
      </c>
      <c r="B2183" t="inlineStr">
        <is>
          <t>CLR_INFO</t>
        </is>
      </c>
      <c r="C2183" t="inlineStr">
        <is>
          <t>INEVALVAULE</t>
        </is>
      </c>
      <c r="D2183" t="inlineStr">
        <is>
          <t>DECIMAL(24,6)</t>
        </is>
      </c>
      <c r="E2183" t="inlineStr">
        <is>
          <t>YES</t>
        </is>
      </c>
      <c r="F2183" t="inlineStr">
        <is>
          <t>内部评估价值</t>
        </is>
      </c>
      <c r="H2183" t="inlineStr">
        <is>
          <t>DECIMAL</t>
        </is>
      </c>
      <c r="I2183" t="inlineStr">
        <is>
          <t>24,6</t>
        </is>
      </c>
    </row>
    <row r="2184">
      <c r="A2184" t="inlineStr">
        <is>
          <t>押品信息</t>
        </is>
      </c>
      <c r="B2184" t="inlineStr">
        <is>
          <t>CLR_INFO</t>
        </is>
      </c>
      <c r="C2184" t="inlineStr">
        <is>
          <t>EXEVALCURRENCY</t>
        </is>
      </c>
      <c r="D2184" t="inlineStr">
        <is>
          <t>VARCHAR(18)</t>
        </is>
      </c>
      <c r="E2184" t="inlineStr">
        <is>
          <t>YES</t>
        </is>
      </c>
      <c r="F2184" t="inlineStr">
        <is>
          <t>外部评估价值币种</t>
        </is>
      </c>
      <c r="H2184" t="inlineStr">
        <is>
          <t>VARCHAR</t>
        </is>
      </c>
      <c r="I2184" t="inlineStr">
        <is>
          <t>18</t>
        </is>
      </c>
    </row>
    <row r="2185">
      <c r="A2185" t="inlineStr">
        <is>
          <t>押品信息</t>
        </is>
      </c>
      <c r="B2185" t="inlineStr">
        <is>
          <t>CLR_INFO</t>
        </is>
      </c>
      <c r="C2185" t="inlineStr">
        <is>
          <t>EXEVALVALUE</t>
        </is>
      </c>
      <c r="D2185" t="inlineStr">
        <is>
          <t>DECIMAL(24,6)</t>
        </is>
      </c>
      <c r="E2185" t="inlineStr">
        <is>
          <t>YES</t>
        </is>
      </c>
      <c r="F2185" t="inlineStr">
        <is>
          <t>外部评估价值</t>
        </is>
      </c>
      <c r="H2185" t="inlineStr">
        <is>
          <t>DECIMAL</t>
        </is>
      </c>
      <c r="I2185" t="inlineStr">
        <is>
          <t>24,6</t>
        </is>
      </c>
    </row>
    <row r="2186">
      <c r="A2186" t="inlineStr">
        <is>
          <t>押品信息</t>
        </is>
      </c>
      <c r="B2186" t="inlineStr">
        <is>
          <t>CLR_INFO</t>
        </is>
      </c>
      <c r="C2186" t="inlineStr">
        <is>
          <t>SOURCESYSTEM</t>
        </is>
      </c>
      <c r="D2186" t="inlineStr">
        <is>
          <t>VARCHAR(80)</t>
        </is>
      </c>
      <c r="E2186" t="inlineStr">
        <is>
          <t>YES</t>
        </is>
      </c>
      <c r="F2186" t="inlineStr">
        <is>
          <t>来源系统</t>
        </is>
      </c>
      <c r="H2186" t="inlineStr">
        <is>
          <t>VARCHAR</t>
        </is>
      </c>
      <c r="I2186" t="inlineStr">
        <is>
          <t>80</t>
        </is>
      </c>
    </row>
    <row r="2187">
      <c r="A2187" t="inlineStr">
        <is>
          <t>押品信息</t>
        </is>
      </c>
      <c r="B2187" t="inlineStr">
        <is>
          <t>CLR_INFO</t>
        </is>
      </c>
      <c r="C2187" t="inlineStr">
        <is>
          <t>INEVALDATE</t>
        </is>
      </c>
      <c r="D2187" t="inlineStr">
        <is>
          <t>DATETIME</t>
        </is>
      </c>
      <c r="E2187" t="inlineStr">
        <is>
          <t>YES</t>
        </is>
      </c>
      <c r="F2187" t="inlineStr">
        <is>
          <t>内部评估日期</t>
        </is>
      </c>
      <c r="H2187" t="inlineStr">
        <is>
          <t>DATETIME</t>
        </is>
      </c>
    </row>
    <row r="2188">
      <c r="A2188" t="inlineStr">
        <is>
          <t>押品信息</t>
        </is>
      </c>
      <c r="B2188" t="inlineStr">
        <is>
          <t>CLR_INFO</t>
        </is>
      </c>
      <c r="C2188" t="inlineStr">
        <is>
          <t>EXEVALDATE</t>
        </is>
      </c>
      <c r="D2188" t="inlineStr">
        <is>
          <t>DATETIME</t>
        </is>
      </c>
      <c r="E2188" t="inlineStr">
        <is>
          <t>YES</t>
        </is>
      </c>
      <c r="F2188" t="inlineStr">
        <is>
          <t>外部评估日期</t>
        </is>
      </c>
      <c r="H2188" t="inlineStr">
        <is>
          <t>DATETIME</t>
        </is>
      </c>
    </row>
    <row r="2189">
      <c r="A2189" t="inlineStr">
        <is>
          <t>押品信息</t>
        </is>
      </c>
      <c r="B2189" t="inlineStr">
        <is>
          <t>CLR_INFO</t>
        </is>
      </c>
      <c r="C2189" t="inlineStr">
        <is>
          <t>FIRSTEVALMODE</t>
        </is>
      </c>
      <c r="D2189" t="inlineStr">
        <is>
          <t>VARCHAR(18)</t>
        </is>
      </c>
      <c r="E2189" t="inlineStr">
        <is>
          <t>YES</t>
        </is>
      </c>
      <c r="F2189" t="inlineStr">
        <is>
          <t>首次评估方式</t>
        </is>
      </c>
      <c r="H2189" t="inlineStr">
        <is>
          <t>VARCHAR</t>
        </is>
      </c>
      <c r="I2189" t="inlineStr">
        <is>
          <t>18</t>
        </is>
      </c>
    </row>
    <row r="2190">
      <c r="A2190" t="inlineStr">
        <is>
          <t>押品信息</t>
        </is>
      </c>
      <c r="B2190" t="inlineStr">
        <is>
          <t>CLR_INFO</t>
        </is>
      </c>
      <c r="C2190" t="inlineStr">
        <is>
          <t>APPRAISALORGID</t>
        </is>
      </c>
      <c r="D2190" t="inlineStr">
        <is>
          <t>VARCHAR(32)</t>
        </is>
      </c>
      <c r="E2190" t="inlineStr">
        <is>
          <t>YES</t>
        </is>
      </c>
      <c r="F2190" t="inlineStr">
        <is>
          <t>评估机构编号</t>
        </is>
      </c>
      <c r="H2190" t="inlineStr">
        <is>
          <t>VARCHAR</t>
        </is>
      </c>
      <c r="I2190" t="inlineStr">
        <is>
          <t>32</t>
        </is>
      </c>
    </row>
    <row r="2191">
      <c r="A2191" t="inlineStr">
        <is>
          <t>押品信息</t>
        </is>
      </c>
      <c r="B2191" t="inlineStr">
        <is>
          <t>CLR_INFO</t>
        </is>
      </c>
      <c r="C2191" t="inlineStr">
        <is>
          <t>APPRAISALORGNAME</t>
        </is>
      </c>
      <c r="D2191" t="inlineStr">
        <is>
          <t>VARCHAR(80)</t>
        </is>
      </c>
      <c r="E2191" t="inlineStr">
        <is>
          <t>YES</t>
        </is>
      </c>
      <c r="F2191" t="inlineStr">
        <is>
          <t>评估机构名称</t>
        </is>
      </c>
      <c r="H2191" t="inlineStr">
        <is>
          <t>VARCHAR</t>
        </is>
      </c>
      <c r="I2191" t="inlineStr">
        <is>
          <t>80</t>
        </is>
      </c>
    </row>
    <row r="2192">
      <c r="A2192" t="inlineStr">
        <is>
          <t>押品信息</t>
        </is>
      </c>
      <c r="B2192" t="inlineStr">
        <is>
          <t>CLR_INFO</t>
        </is>
      </c>
      <c r="C2192" t="inlineStr">
        <is>
          <t>CURRMARKETCURRENCY</t>
        </is>
      </c>
      <c r="D2192" t="inlineStr">
        <is>
          <t>VARCHAR(18)</t>
        </is>
      </c>
      <c r="E2192" t="inlineStr">
        <is>
          <t>YES</t>
        </is>
      </c>
      <c r="F2192" t="inlineStr">
        <is>
          <t>当前市场参考价值币种</t>
        </is>
      </c>
      <c r="H2192" t="inlineStr">
        <is>
          <t>VARCHAR</t>
        </is>
      </c>
      <c r="I2192" t="inlineStr">
        <is>
          <t>18</t>
        </is>
      </c>
    </row>
    <row r="2193">
      <c r="A2193" t="inlineStr">
        <is>
          <t>押品信息</t>
        </is>
      </c>
      <c r="B2193" t="inlineStr">
        <is>
          <t>CLR_INFO</t>
        </is>
      </c>
      <c r="C2193" t="inlineStr">
        <is>
          <t>ISDATACONV</t>
        </is>
      </c>
      <c r="D2193" t="inlineStr">
        <is>
          <t>CHAR(1)</t>
        </is>
      </c>
      <c r="E2193" t="inlineStr">
        <is>
          <t>YES</t>
        </is>
      </c>
      <c r="F2193" t="inlineStr">
        <is>
          <t>是否移植数据</t>
        </is>
      </c>
      <c r="H2193" t="inlineStr">
        <is>
          <t>CHAR</t>
        </is>
      </c>
      <c r="I2193" t="inlineStr">
        <is>
          <t>1</t>
        </is>
      </c>
    </row>
    <row r="2194">
      <c r="A2194" t="inlineStr">
        <is>
          <t>押品信息</t>
        </is>
      </c>
      <c r="B2194" t="inlineStr">
        <is>
          <t>CLR_INFO</t>
        </is>
      </c>
      <c r="C2194" t="inlineStr">
        <is>
          <t>CLROWNER</t>
        </is>
      </c>
      <c r="D2194" t="inlineStr">
        <is>
          <t>VARCHAR(80)</t>
        </is>
      </c>
      <c r="E2194" t="inlineStr">
        <is>
          <t>YES</t>
        </is>
      </c>
      <c r="F2194" t="inlineStr">
        <is>
          <t>抵质押物持有人</t>
        </is>
      </c>
      <c r="H2194" t="inlineStr">
        <is>
          <t>VARCHAR</t>
        </is>
      </c>
      <c r="I2194" t="inlineStr">
        <is>
          <t>80</t>
        </is>
      </c>
    </row>
    <row r="2195">
      <c r="A2195" t="inlineStr">
        <is>
          <t>押品信息</t>
        </is>
      </c>
      <c r="B2195" t="inlineStr">
        <is>
          <t>CLR_INFO</t>
        </is>
      </c>
      <c r="C2195" t="inlineStr">
        <is>
          <t>OTHERSUSEDGNTVALUE</t>
        </is>
      </c>
      <c r="D2195" t="inlineStr">
        <is>
          <t>DECIMAL(24,6)</t>
        </is>
      </c>
      <c r="E2195" t="inlineStr">
        <is>
          <t>YES</t>
        </is>
      </c>
      <c r="F2195" t="inlineStr">
        <is>
          <t>他行已担保债权金额</t>
        </is>
      </c>
      <c r="H2195" t="inlineStr">
        <is>
          <t>DECIMAL</t>
        </is>
      </c>
      <c r="I2195" t="inlineStr">
        <is>
          <t>24,6</t>
        </is>
      </c>
    </row>
    <row r="2196">
      <c r="A2196" t="inlineStr">
        <is>
          <t>押品信息</t>
        </is>
      </c>
      <c r="B2196" t="inlineStr">
        <is>
          <t>CLR_INFO</t>
        </is>
      </c>
      <c r="C2196" t="inlineStr">
        <is>
          <t>PRIORITYCLAIM</t>
        </is>
      </c>
      <c r="D2196" t="inlineStr">
        <is>
          <t>VARCHAR(18)</t>
        </is>
      </c>
      <c r="E2196" t="inlineStr">
        <is>
          <t>YES</t>
        </is>
      </c>
      <c r="F2196" t="inlineStr">
        <is>
          <t>债权优先顺位</t>
        </is>
      </c>
      <c r="H2196" t="inlineStr">
        <is>
          <t>VARCHAR</t>
        </is>
      </c>
      <c r="I2196" t="inlineStr">
        <is>
          <t>18</t>
        </is>
      </c>
    </row>
    <row r="2197">
      <c r="A2197" t="inlineStr">
        <is>
          <t>押品信息</t>
        </is>
      </c>
      <c r="B2197" t="inlineStr">
        <is>
          <t>CLR_INFO</t>
        </is>
      </c>
      <c r="C2197" t="inlineStr">
        <is>
          <t>EVALVALUEDUEDATE</t>
        </is>
      </c>
      <c r="D2197" t="inlineStr">
        <is>
          <t>DATETIME</t>
        </is>
      </c>
      <c r="E2197" t="inlineStr">
        <is>
          <t>YES</t>
        </is>
      </c>
      <c r="F2197" t="inlineStr">
        <is>
          <t>估值到期日</t>
        </is>
      </c>
      <c r="H2197" t="inlineStr">
        <is>
          <t>DATETIME</t>
        </is>
      </c>
    </row>
    <row r="2198">
      <c r="A2198" t="inlineStr">
        <is>
          <t>押品信息</t>
        </is>
      </c>
      <c r="B2198" t="inlineStr">
        <is>
          <t>CLR_INFO</t>
        </is>
      </c>
      <c r="C2198" t="inlineStr">
        <is>
          <t>ISDISPOSITION</t>
        </is>
      </c>
      <c r="D2198" t="inlineStr">
        <is>
          <t>CHAR(1)</t>
        </is>
      </c>
      <c r="E2198" t="inlineStr">
        <is>
          <t>YES</t>
        </is>
      </c>
      <c r="F2198" t="inlineStr">
        <is>
          <t>是否已处置</t>
        </is>
      </c>
      <c r="H2198" t="inlineStr">
        <is>
          <t>CHAR</t>
        </is>
      </c>
      <c r="I2198" t="inlineStr">
        <is>
          <t>1</t>
        </is>
      </c>
    </row>
    <row r="2199">
      <c r="A2199" t="inlineStr">
        <is>
          <t>押品信息</t>
        </is>
      </c>
      <c r="B2199" t="inlineStr">
        <is>
          <t>CLR_INFO</t>
        </is>
      </c>
      <c r="C2199" t="inlineStr">
        <is>
          <t>DISPOSALMETHOD</t>
        </is>
      </c>
      <c r="D2199" t="inlineStr">
        <is>
          <t>VARCHAR(6)</t>
        </is>
      </c>
      <c r="E2199" t="inlineStr">
        <is>
          <t>YES</t>
        </is>
      </c>
      <c r="F2199" t="inlineStr">
        <is>
          <t>处置方式</t>
        </is>
      </c>
      <c r="H2199" t="inlineStr">
        <is>
          <t>VARCHAR</t>
        </is>
      </c>
      <c r="I2199" t="inlineStr">
        <is>
          <t>6</t>
        </is>
      </c>
    </row>
    <row r="2200">
      <c r="A2200" t="inlineStr">
        <is>
          <t>押品信息</t>
        </is>
      </c>
      <c r="B2200" t="inlineStr">
        <is>
          <t>CLR_INFO</t>
        </is>
      </c>
      <c r="C2200" t="inlineStr">
        <is>
          <t>LASTEVALVALUE</t>
        </is>
      </c>
      <c r="D2200" t="inlineStr">
        <is>
          <t>DECIMAL(24,6)</t>
        </is>
      </c>
      <c r="E2200" t="inlineStr">
        <is>
          <t>YES</t>
        </is>
      </c>
      <c r="F2200" t="inlineStr">
        <is>
          <t>上次评估价值</t>
        </is>
      </c>
      <c r="H2200" t="inlineStr">
        <is>
          <t>DECIMAL</t>
        </is>
      </c>
      <c r="I2200" t="inlineStr">
        <is>
          <t>24,6</t>
        </is>
      </c>
    </row>
    <row r="2201">
      <c r="A2201" t="inlineStr">
        <is>
          <t>押品信息</t>
        </is>
      </c>
      <c r="B2201" t="inlineStr">
        <is>
          <t>CLR_INFO</t>
        </is>
      </c>
      <c r="C2201" t="inlineStr">
        <is>
          <t>LASTEVALDATE</t>
        </is>
      </c>
      <c r="D2201" t="inlineStr">
        <is>
          <t>DATETIME</t>
        </is>
      </c>
      <c r="E2201" t="inlineStr">
        <is>
          <t>YES</t>
        </is>
      </c>
      <c r="F2201" t="inlineStr">
        <is>
          <t>上次价值评估日期</t>
        </is>
      </c>
      <c r="H2201" t="inlineStr">
        <is>
          <t>DATETIME</t>
        </is>
      </c>
    </row>
    <row r="2202">
      <c r="A2202" t="inlineStr">
        <is>
          <t>押品信息</t>
        </is>
      </c>
      <c r="B2202" t="inlineStr">
        <is>
          <t>CLR_INFO</t>
        </is>
      </c>
      <c r="C2202" t="inlineStr">
        <is>
          <t>ISADDRESSUNIQUE</t>
        </is>
      </c>
      <c r="D2202" t="inlineStr">
        <is>
          <t>CHAR(1)</t>
        </is>
      </c>
      <c r="E2202" t="inlineStr">
        <is>
          <t>YES</t>
        </is>
      </c>
      <c r="F2202" t="inlineStr">
        <is>
          <t>地址是否唯一</t>
        </is>
      </c>
      <c r="H2202" t="inlineStr">
        <is>
          <t>CHAR</t>
        </is>
      </c>
      <c r="I2202" t="inlineStr">
        <is>
          <t>1</t>
        </is>
      </c>
    </row>
    <row r="2203">
      <c r="A2203" t="inlineStr">
        <is>
          <t>押品信息</t>
        </is>
      </c>
      <c r="B2203" t="inlineStr">
        <is>
          <t>CLR_INFO</t>
        </is>
      </c>
      <c r="C2203" t="inlineStr">
        <is>
          <t>POOLSTATUS</t>
        </is>
      </c>
      <c r="D2203" t="inlineStr">
        <is>
          <t>VARCHAR(6)</t>
        </is>
      </c>
      <c r="E2203" t="inlineStr">
        <is>
          <t>YES</t>
        </is>
      </c>
      <c r="F2203" t="inlineStr">
        <is>
          <t>出入池状态</t>
        </is>
      </c>
      <c r="H2203" t="inlineStr">
        <is>
          <t>VARCHAR</t>
        </is>
      </c>
      <c r="I2203" t="inlineStr">
        <is>
          <t>6</t>
        </is>
      </c>
    </row>
    <row r="2204">
      <c r="A2204" t="inlineStr">
        <is>
          <t>押品信息</t>
        </is>
      </c>
      <c r="B2204" t="inlineStr">
        <is>
          <t>CLR_INFO</t>
        </is>
      </c>
      <c r="C2204" t="inlineStr">
        <is>
          <t>POOLID</t>
        </is>
      </c>
      <c r="D2204" t="inlineStr">
        <is>
          <t>VARCHAR(32)</t>
        </is>
      </c>
      <c r="E2204" t="inlineStr">
        <is>
          <t>YES</t>
        </is>
      </c>
      <c r="F2204" t="inlineStr">
        <is>
          <t>押品池编号</t>
        </is>
      </c>
      <c r="H2204" t="inlineStr">
        <is>
          <t>VARCHAR</t>
        </is>
      </c>
      <c r="I2204" t="inlineStr">
        <is>
          <t>32</t>
        </is>
      </c>
    </row>
    <row r="2205">
      <c r="A2205" t="inlineStr">
        <is>
          <t>押品信息</t>
        </is>
      </c>
      <c r="B2205" t="inlineStr">
        <is>
          <t>CLR_INFO</t>
        </is>
      </c>
      <c r="C2205" t="inlineStr">
        <is>
          <t>TEMPSAVEFLAG</t>
        </is>
      </c>
      <c r="D2205" t="inlineStr">
        <is>
          <t>VARCHAR(6)</t>
        </is>
      </c>
      <c r="E2205" t="inlineStr">
        <is>
          <t>YES</t>
        </is>
      </c>
      <c r="F2205" t="inlineStr">
        <is>
          <t>暂存标志</t>
        </is>
      </c>
      <c r="H2205" t="inlineStr">
        <is>
          <t>VARCHAR</t>
        </is>
      </c>
      <c r="I2205" t="inlineStr">
        <is>
          <t>6</t>
        </is>
      </c>
    </row>
    <row r="2206">
      <c r="A2206" t="inlineStr">
        <is>
          <t>押品信息</t>
        </is>
      </c>
      <c r="B2206" t="inlineStr">
        <is>
          <t>CLR_INFO</t>
        </is>
      </c>
      <c r="C2206" t="inlineStr">
        <is>
          <t>REMARK</t>
        </is>
      </c>
      <c r="D2206" t="inlineStr">
        <is>
          <t>VARCHAR(500)</t>
        </is>
      </c>
      <c r="E2206" t="inlineStr">
        <is>
          <t>YES</t>
        </is>
      </c>
      <c r="F2206" t="inlineStr">
        <is>
          <t>备注</t>
        </is>
      </c>
      <c r="H2206" t="inlineStr">
        <is>
          <t>VARCHAR</t>
        </is>
      </c>
      <c r="I2206" t="inlineStr">
        <is>
          <t>500</t>
        </is>
      </c>
    </row>
    <row r="2207">
      <c r="A2207" t="inlineStr">
        <is>
          <t>押品信息</t>
        </is>
      </c>
      <c r="B2207" t="inlineStr">
        <is>
          <t>CLR_INFO</t>
        </is>
      </c>
      <c r="C2207" t="inlineStr">
        <is>
          <t>INPUTUSERID</t>
        </is>
      </c>
      <c r="D2207" t="inlineStr">
        <is>
          <t>VARCHAR(32)</t>
        </is>
      </c>
      <c r="E2207" t="inlineStr">
        <is>
          <t>YES</t>
        </is>
      </c>
      <c r="F2207" t="inlineStr">
        <is>
          <t>登记人</t>
        </is>
      </c>
      <c r="H2207" t="inlineStr">
        <is>
          <t>VARCHAR</t>
        </is>
      </c>
      <c r="I2207" t="inlineStr">
        <is>
          <t>32</t>
        </is>
      </c>
    </row>
    <row r="2208">
      <c r="A2208" t="inlineStr">
        <is>
          <t>押品信息</t>
        </is>
      </c>
      <c r="B2208" t="inlineStr">
        <is>
          <t>CLR_INFO</t>
        </is>
      </c>
      <c r="C2208" t="inlineStr">
        <is>
          <t>INPUTORGID</t>
        </is>
      </c>
      <c r="D2208" t="inlineStr">
        <is>
          <t>VARCHAR(32)</t>
        </is>
      </c>
      <c r="E2208" t="inlineStr">
        <is>
          <t>YES</t>
        </is>
      </c>
      <c r="F2208" t="inlineStr">
        <is>
          <t>登记机构</t>
        </is>
      </c>
      <c r="H2208" t="inlineStr">
        <is>
          <t>VARCHAR</t>
        </is>
      </c>
      <c r="I2208" t="inlineStr">
        <is>
          <t>32</t>
        </is>
      </c>
    </row>
    <row r="2209">
      <c r="A2209" t="inlineStr">
        <is>
          <t>押品信息</t>
        </is>
      </c>
      <c r="B2209" t="inlineStr">
        <is>
          <t>CLR_INFO</t>
        </is>
      </c>
      <c r="C2209" t="inlineStr">
        <is>
          <t>INPUTDATE</t>
        </is>
      </c>
      <c r="D2209" t="inlineStr">
        <is>
          <t>DATETIME</t>
        </is>
      </c>
      <c r="E2209" t="inlineStr">
        <is>
          <t>YES</t>
        </is>
      </c>
      <c r="F2209" t="inlineStr">
        <is>
          <t>登记时间</t>
        </is>
      </c>
      <c r="H2209" t="inlineStr">
        <is>
          <t>DATETIME</t>
        </is>
      </c>
    </row>
    <row r="2210">
      <c r="A2210" t="inlineStr">
        <is>
          <t>押品信息</t>
        </is>
      </c>
      <c r="B2210" t="inlineStr">
        <is>
          <t>CLR_INFO</t>
        </is>
      </c>
      <c r="C2210" t="inlineStr">
        <is>
          <t>UPDATEUSERID</t>
        </is>
      </c>
      <c r="D2210" t="inlineStr">
        <is>
          <t>VARCHAR(32)</t>
        </is>
      </c>
      <c r="E2210" t="inlineStr">
        <is>
          <t>YES</t>
        </is>
      </c>
      <c r="F2210" t="inlineStr">
        <is>
          <t>更新人</t>
        </is>
      </c>
      <c r="H2210" t="inlineStr">
        <is>
          <t>VARCHAR</t>
        </is>
      </c>
      <c r="I2210" t="inlineStr">
        <is>
          <t>32</t>
        </is>
      </c>
    </row>
    <row r="2211">
      <c r="A2211" t="inlineStr">
        <is>
          <t>押品信息</t>
        </is>
      </c>
      <c r="B2211" t="inlineStr">
        <is>
          <t>CLR_INFO</t>
        </is>
      </c>
      <c r="C2211" t="inlineStr">
        <is>
          <t>UPDATEORGID</t>
        </is>
      </c>
      <c r="D2211" t="inlineStr">
        <is>
          <t>VARCHAR(32)</t>
        </is>
      </c>
      <c r="E2211" t="inlineStr">
        <is>
          <t>YES</t>
        </is>
      </c>
      <c r="F2211" t="inlineStr">
        <is>
          <t>更新机构</t>
        </is>
      </c>
      <c r="H2211" t="inlineStr">
        <is>
          <t>VARCHAR</t>
        </is>
      </c>
      <c r="I2211" t="inlineStr">
        <is>
          <t>32</t>
        </is>
      </c>
    </row>
    <row r="2212">
      <c r="A2212" t="inlineStr">
        <is>
          <t>押品信息</t>
        </is>
      </c>
      <c r="B2212" t="inlineStr">
        <is>
          <t>CLR_INFO</t>
        </is>
      </c>
      <c r="C2212" t="inlineStr">
        <is>
          <t>UPDATEDATE</t>
        </is>
      </c>
      <c r="D2212" t="inlineStr">
        <is>
          <t>DATETIME</t>
        </is>
      </c>
      <c r="E2212" t="inlineStr">
        <is>
          <t>YES</t>
        </is>
      </c>
      <c r="F2212" t="inlineStr">
        <is>
          <t>更新时间</t>
        </is>
      </c>
      <c r="H2212" t="inlineStr">
        <is>
          <t>DATETIME</t>
        </is>
      </c>
    </row>
    <row r="2213">
      <c r="A2213" t="inlineStr">
        <is>
          <t>押品信息</t>
        </is>
      </c>
      <c r="B2213" t="inlineStr">
        <is>
          <t>CLR_INFO</t>
        </is>
      </c>
      <c r="C2213" t="inlineStr">
        <is>
          <t>CORPORGID</t>
        </is>
      </c>
      <c r="D2213" t="inlineStr">
        <is>
          <t>VARCHAR(32)</t>
        </is>
      </c>
      <c r="E2213" t="inlineStr">
        <is>
          <t>YES</t>
        </is>
      </c>
      <c r="F2213" t="inlineStr">
        <is>
          <t>法人机构编号</t>
        </is>
      </c>
      <c r="H2213" t="inlineStr">
        <is>
          <t>VARCHAR</t>
        </is>
      </c>
      <c r="I2213" t="inlineStr">
        <is>
          <t>32</t>
        </is>
      </c>
    </row>
    <row r="2214">
      <c r="A2214" t="inlineStr">
        <is>
          <t>押品信息</t>
        </is>
      </c>
      <c r="B2214" t="inlineStr">
        <is>
          <t>CLR_INFO</t>
        </is>
      </c>
      <c r="C2214" t="inlineStr">
        <is>
          <t>POOLOUTHISTORY</t>
        </is>
      </c>
      <c r="D2214" t="inlineStr">
        <is>
          <t>VARCHAR(4000)</t>
        </is>
      </c>
      <c r="E2214" t="inlineStr">
        <is>
          <t>YES</t>
        </is>
      </c>
      <c r="F2214" t="inlineStr">
        <is>
          <t>出池历史</t>
        </is>
      </c>
      <c r="H2214" t="inlineStr">
        <is>
          <t>VARCHAR</t>
        </is>
      </c>
      <c r="I2214" t="inlineStr">
        <is>
          <t>4000</t>
        </is>
      </c>
    </row>
    <row r="2215">
      <c r="A2215" t="inlineStr">
        <is>
          <t>押品信息</t>
        </is>
      </c>
      <c r="B2215" t="inlineStr">
        <is>
          <t>CLR_INFO</t>
        </is>
      </c>
      <c r="C2215" t="inlineStr">
        <is>
          <t>MORTGAGESTATUS</t>
        </is>
      </c>
      <c r="D2215" t="inlineStr">
        <is>
          <t>VARCHAR(8)</t>
        </is>
      </c>
      <c r="E2215" t="inlineStr">
        <is>
          <t>YES</t>
        </is>
      </c>
      <c r="F2215" t="inlineStr">
        <is>
          <t>抵质押状态</t>
        </is>
      </c>
      <c r="H2215" t="inlineStr">
        <is>
          <t>VARCHAR</t>
        </is>
      </c>
      <c r="I2215" t="inlineStr">
        <is>
          <t>8</t>
        </is>
      </c>
    </row>
    <row r="2216">
      <c r="A2216" t="inlineStr">
        <is>
          <t>押品信息</t>
        </is>
      </c>
      <c r="B2216" t="inlineStr">
        <is>
          <t>CLR_INFO</t>
        </is>
      </c>
      <c r="C2216" t="inlineStr">
        <is>
          <t>ACCOUNTINGSTATUS</t>
        </is>
      </c>
      <c r="D2216" t="inlineStr">
        <is>
          <t>VARCHAR(8)</t>
        </is>
      </c>
      <c r="E2216" t="inlineStr">
        <is>
          <t>YES</t>
        </is>
      </c>
      <c r="F2216" t="inlineStr">
        <is>
          <t>记账状态</t>
        </is>
      </c>
      <c r="H2216" t="inlineStr">
        <is>
          <t>VARCHAR</t>
        </is>
      </c>
      <c r="I2216" t="inlineStr">
        <is>
          <t>8</t>
        </is>
      </c>
    </row>
    <row r="2217">
      <c r="A2217" t="inlineStr">
        <is>
          <t>押品信息</t>
        </is>
      </c>
      <c r="B2217" t="inlineStr">
        <is>
          <t>CLR_INFO</t>
        </is>
      </c>
      <c r="C2217" t="inlineStr">
        <is>
          <t>ORGID</t>
        </is>
      </c>
      <c r="D2217" t="inlineStr">
        <is>
          <t>VARCHAR(32)</t>
        </is>
      </c>
      <c r="E2217" t="inlineStr">
        <is>
          <t>YES</t>
        </is>
      </c>
      <c r="F2217" t="inlineStr">
        <is>
          <t>账务机构</t>
        </is>
      </c>
      <c r="H2217" t="inlineStr">
        <is>
          <t>VARCHAR</t>
        </is>
      </c>
      <c r="I2217" t="inlineStr">
        <is>
          <t>32</t>
        </is>
      </c>
    </row>
    <row r="2218">
      <c r="A2218" t="inlineStr">
        <is>
          <t>押品信息</t>
        </is>
      </c>
      <c r="B2218" t="inlineStr">
        <is>
          <t>CLR_INFO</t>
        </is>
      </c>
      <c r="C2218" t="inlineStr">
        <is>
          <t>TRADENO</t>
        </is>
      </c>
      <c r="D2218" t="inlineStr">
        <is>
          <t>VARCHAR(32)</t>
        </is>
      </c>
      <c r="E2218" t="inlineStr">
        <is>
          <t>YES</t>
        </is>
      </c>
      <c r="F2218" t="inlineStr">
        <is>
          <t>交易流水号</t>
        </is>
      </c>
      <c r="H2218" t="inlineStr">
        <is>
          <t>VARCHAR</t>
        </is>
      </c>
      <c r="I2218" t="inlineStr">
        <is>
          <t>32</t>
        </is>
      </c>
    </row>
    <row r="2219">
      <c r="A2219" t="inlineStr">
        <is>
          <t>押品信息</t>
        </is>
      </c>
      <c r="B2219" t="inlineStr">
        <is>
          <t>CLR_INFO</t>
        </is>
      </c>
      <c r="C2219" t="inlineStr">
        <is>
          <t>OWNERECIF</t>
        </is>
      </c>
      <c r="D2219" t="inlineStr">
        <is>
          <t>VARCHAR(32)</t>
        </is>
      </c>
      <c r="E2219" t="inlineStr">
        <is>
          <t>YES</t>
        </is>
      </c>
      <c r="F2219" t="inlineStr">
        <is>
          <t>权属人ECIF</t>
        </is>
      </c>
      <c r="H2219" t="inlineStr">
        <is>
          <t>VARCHAR</t>
        </is>
      </c>
      <c r="I2219" t="inlineStr">
        <is>
          <t>32</t>
        </is>
      </c>
    </row>
    <row r="2220">
      <c r="A2220" t="inlineStr">
        <is>
          <t>押品信息</t>
        </is>
      </c>
      <c r="B2220" t="inlineStr">
        <is>
          <t>CLR_INFO</t>
        </is>
      </c>
      <c r="C2220" t="inlineStr">
        <is>
          <t>SOURCE</t>
        </is>
      </c>
      <c r="D2220" t="inlineStr">
        <is>
          <t>VARCHAR(32)</t>
        </is>
      </c>
      <c r="E2220" t="inlineStr">
        <is>
          <t>YES</t>
        </is>
      </c>
      <c r="F2220" t="inlineStr">
        <is>
          <t>数据来源渠道</t>
        </is>
      </c>
      <c r="H2220" t="inlineStr">
        <is>
          <t>VARCHAR</t>
        </is>
      </c>
      <c r="I2220" t="inlineStr">
        <is>
          <t>32</t>
        </is>
      </c>
    </row>
    <row r="2221">
      <c r="A2221" t="inlineStr">
        <is>
          <t>押品信息</t>
        </is>
      </c>
      <c r="B2221" t="inlineStr">
        <is>
          <t>CLR_INFO</t>
        </is>
      </c>
      <c r="C2221" t="inlineStr">
        <is>
          <t>PLEDGEORDER</t>
        </is>
      </c>
      <c r="D2221" t="inlineStr">
        <is>
          <t>INTEGER(6)</t>
        </is>
      </c>
      <c r="E2221" t="inlineStr">
        <is>
          <t>YES</t>
        </is>
      </c>
      <c r="F2221" t="inlineStr">
        <is>
          <t>我行抵押权顺位</t>
        </is>
      </c>
      <c r="H2221" t="inlineStr">
        <is>
          <t>INTEGER</t>
        </is>
      </c>
      <c r="I2221" t="inlineStr">
        <is>
          <t>6</t>
        </is>
      </c>
    </row>
    <row r="2222">
      <c r="A2222" t="inlineStr">
        <is>
          <t>押品信息</t>
        </is>
      </c>
      <c r="B2222" t="inlineStr">
        <is>
          <t>CLR_INFO</t>
        </is>
      </c>
      <c r="C2222" t="inlineStr">
        <is>
          <t>ACCOUNTORG</t>
        </is>
      </c>
      <c r="D2222" t="inlineStr">
        <is>
          <t>VARCHAR(80)</t>
        </is>
      </c>
      <c r="E2222" t="inlineStr">
        <is>
          <t>YES</t>
        </is>
      </c>
      <c r="F2222" t="inlineStr">
        <is>
          <t>押品入账机构</t>
        </is>
      </c>
      <c r="H2222" t="inlineStr">
        <is>
          <t>VARCHAR</t>
        </is>
      </c>
      <c r="I2222" t="inlineStr">
        <is>
          <t>80</t>
        </is>
      </c>
    </row>
    <row r="2223">
      <c r="A2223" t="inlineStr">
        <is>
          <t>押品信息</t>
        </is>
      </c>
      <c r="B2223" t="inlineStr">
        <is>
          <t>CLR_INFO</t>
        </is>
      </c>
      <c r="C2223" t="inlineStr">
        <is>
          <t>LOCATION</t>
        </is>
      </c>
      <c r="D2223" t="inlineStr">
        <is>
          <t>VARCHAR(80)</t>
        </is>
      </c>
      <c r="E2223" t="inlineStr">
        <is>
          <t>YES</t>
        </is>
      </c>
      <c r="F2223" t="inlineStr">
        <is>
          <t>详细地址/所在位置说明</t>
        </is>
      </c>
      <c r="H2223" t="inlineStr">
        <is>
          <t>VARCHAR</t>
        </is>
      </c>
      <c r="I2223" t="inlineStr">
        <is>
          <t>80</t>
        </is>
      </c>
    </row>
    <row r="2224">
      <c r="A2224" t="inlineStr">
        <is>
          <t>押品保险记录</t>
        </is>
      </c>
      <c r="B2224" t="inlineStr">
        <is>
          <t>CLR_INSURANCE_RECORD</t>
        </is>
      </c>
      <c r="C2224" t="inlineStr">
        <is>
          <t>INSURANCERECORDID</t>
        </is>
      </c>
      <c r="D2224" t="inlineStr">
        <is>
          <t>VARCHAR(32)</t>
        </is>
      </c>
      <c r="E2224" t="inlineStr">
        <is>
          <t>NO</t>
        </is>
      </c>
      <c r="F2224" t="inlineStr">
        <is>
          <t>保险记录编号</t>
        </is>
      </c>
      <c r="H2224" t="inlineStr">
        <is>
          <t>VARCHAR</t>
        </is>
      </c>
      <c r="I2224" t="inlineStr">
        <is>
          <t>32</t>
        </is>
      </c>
    </row>
    <row r="2225">
      <c r="A2225" t="inlineStr">
        <is>
          <t>押品保险记录</t>
        </is>
      </c>
      <c r="B2225" t="inlineStr">
        <is>
          <t>CLR_INSURANCE_RECORD</t>
        </is>
      </c>
      <c r="C2225" t="inlineStr">
        <is>
          <t>GUARANTYPLANNO</t>
        </is>
      </c>
      <c r="D2225" t="inlineStr">
        <is>
          <t>VARCHAR(32)</t>
        </is>
      </c>
      <c r="E2225" t="inlineStr">
        <is>
          <t>YES</t>
        </is>
      </c>
      <c r="F2225" t="inlineStr">
        <is>
          <t>担保方案编号</t>
        </is>
      </c>
      <c r="H2225" t="inlineStr">
        <is>
          <t>VARCHAR</t>
        </is>
      </c>
      <c r="I2225" t="inlineStr">
        <is>
          <t>32</t>
        </is>
      </c>
    </row>
    <row r="2226">
      <c r="A2226" t="inlineStr">
        <is>
          <t>押品保险记录</t>
        </is>
      </c>
      <c r="B2226" t="inlineStr">
        <is>
          <t>CLR_INSURANCE_RECORD</t>
        </is>
      </c>
      <c r="C2226" t="inlineStr">
        <is>
          <t>CLRID</t>
        </is>
      </c>
      <c r="D2226" t="inlineStr">
        <is>
          <t>VARCHAR(32)</t>
        </is>
      </c>
      <c r="E2226" t="inlineStr">
        <is>
          <t>YES</t>
        </is>
      </c>
      <c r="F2226" t="inlineStr">
        <is>
          <t>押品编号</t>
        </is>
      </c>
      <c r="H2226" t="inlineStr">
        <is>
          <t>VARCHAR</t>
        </is>
      </c>
      <c r="I2226" t="inlineStr">
        <is>
          <t>32</t>
        </is>
      </c>
    </row>
    <row r="2227">
      <c r="A2227" t="inlineStr">
        <is>
          <t>押品保险记录</t>
        </is>
      </c>
      <c r="B2227" t="inlineStr">
        <is>
          <t>CLR_INSURANCE_RECORD</t>
        </is>
      </c>
      <c r="C2227" t="inlineStr">
        <is>
          <t>INSURANCESTATUS</t>
        </is>
      </c>
      <c r="D2227" t="inlineStr">
        <is>
          <t>VARCHAR(18)</t>
        </is>
      </c>
      <c r="E2227" t="inlineStr">
        <is>
          <t>YES</t>
        </is>
      </c>
      <c r="F2227" t="inlineStr">
        <is>
          <t>保险状态</t>
        </is>
      </c>
      <c r="H2227" t="inlineStr">
        <is>
          <t>VARCHAR</t>
        </is>
      </c>
      <c r="I2227" t="inlineStr">
        <is>
          <t>18</t>
        </is>
      </c>
    </row>
    <row r="2228">
      <c r="A2228" t="inlineStr">
        <is>
          <t>押品保险记录</t>
        </is>
      </c>
      <c r="B2228" t="inlineStr">
        <is>
          <t>CLR_INSURANCE_RECORD</t>
        </is>
      </c>
      <c r="C2228" t="inlineStr">
        <is>
          <t>INSURANCECOMPANY</t>
        </is>
      </c>
      <c r="D2228" t="inlineStr">
        <is>
          <t>VARCHAR(80)</t>
        </is>
      </c>
      <c r="E2228" t="inlineStr">
        <is>
          <t>YES</t>
        </is>
      </c>
      <c r="F2228" t="inlineStr">
        <is>
          <t>保险公司</t>
        </is>
      </c>
      <c r="H2228" t="inlineStr">
        <is>
          <t>VARCHAR</t>
        </is>
      </c>
      <c r="I2228" t="inlineStr">
        <is>
          <t>80</t>
        </is>
      </c>
    </row>
    <row r="2229">
      <c r="A2229" t="inlineStr">
        <is>
          <t>押品保险记录</t>
        </is>
      </c>
      <c r="B2229" t="inlineStr">
        <is>
          <t>CLR_INSURANCE_RECORD</t>
        </is>
      </c>
      <c r="C2229" t="inlineStr">
        <is>
          <t>INSURANCETYPE</t>
        </is>
      </c>
      <c r="D2229" t="inlineStr">
        <is>
          <t>VARCHAR(6)</t>
        </is>
      </c>
      <c r="E2229" t="inlineStr">
        <is>
          <t>YES</t>
        </is>
      </c>
      <c r="F2229" t="inlineStr">
        <is>
          <t>保险类型</t>
        </is>
      </c>
      <c r="H2229" t="inlineStr">
        <is>
          <t>VARCHAR</t>
        </is>
      </c>
      <c r="I2229" t="inlineStr">
        <is>
          <t>6</t>
        </is>
      </c>
    </row>
    <row r="2230">
      <c r="A2230" t="inlineStr">
        <is>
          <t>押品保险记录</t>
        </is>
      </c>
      <c r="B2230" t="inlineStr">
        <is>
          <t>CLR_INSURANCE_RECORD</t>
        </is>
      </c>
      <c r="C2230" t="inlineStr">
        <is>
          <t>BENIFICIARY</t>
        </is>
      </c>
      <c r="D2230" t="inlineStr">
        <is>
          <t>VARCHAR(80)</t>
        </is>
      </c>
      <c r="E2230" t="inlineStr">
        <is>
          <t>YES</t>
        </is>
      </c>
      <c r="F2230" t="inlineStr">
        <is>
          <t>保险受益人</t>
        </is>
      </c>
      <c r="H2230" t="inlineStr">
        <is>
          <t>VARCHAR</t>
        </is>
      </c>
      <c r="I2230" t="inlineStr">
        <is>
          <t>80</t>
        </is>
      </c>
    </row>
    <row r="2231">
      <c r="A2231" t="inlineStr">
        <is>
          <t>押品保险记录</t>
        </is>
      </c>
      <c r="B2231" t="inlineStr">
        <is>
          <t>CLR_INSURANCE_RECORD</t>
        </is>
      </c>
      <c r="C2231" t="inlineStr">
        <is>
          <t>INSURANCEPOLICYID</t>
        </is>
      </c>
      <c r="D2231" t="inlineStr">
        <is>
          <t>VARCHAR(32)</t>
        </is>
      </c>
      <c r="E2231" t="inlineStr">
        <is>
          <t>YES</t>
        </is>
      </c>
      <c r="F2231" t="inlineStr">
        <is>
          <t>保单号码</t>
        </is>
      </c>
      <c r="H2231" t="inlineStr">
        <is>
          <t>VARCHAR</t>
        </is>
      </c>
      <c r="I2231" t="inlineStr">
        <is>
          <t>32</t>
        </is>
      </c>
    </row>
    <row r="2232">
      <c r="A2232" t="inlineStr">
        <is>
          <t>押品保险记录</t>
        </is>
      </c>
      <c r="B2232" t="inlineStr">
        <is>
          <t>CLR_INSURANCE_RECORD</t>
        </is>
      </c>
      <c r="C2232" t="inlineStr">
        <is>
          <t>INSURANCEAMOUNT</t>
        </is>
      </c>
      <c r="D2232" t="inlineStr">
        <is>
          <t>DECIMAL(24,6)</t>
        </is>
      </c>
      <c r="E2232" t="inlineStr">
        <is>
          <t>YES</t>
        </is>
      </c>
      <c r="F2232" t="inlineStr">
        <is>
          <t>投保金额</t>
        </is>
      </c>
      <c r="H2232" t="inlineStr">
        <is>
          <t>DECIMAL</t>
        </is>
      </c>
      <c r="I2232" t="inlineStr">
        <is>
          <t>24,6</t>
        </is>
      </c>
    </row>
    <row r="2233">
      <c r="A2233" t="inlineStr">
        <is>
          <t>押品保险记录</t>
        </is>
      </c>
      <c r="B2233" t="inlineStr">
        <is>
          <t>CLR_INSURANCE_RECORD</t>
        </is>
      </c>
      <c r="C2233" t="inlineStr">
        <is>
          <t>INSURANCEFEE</t>
        </is>
      </c>
      <c r="D2233" t="inlineStr">
        <is>
          <t>DECIMAL(24,6)</t>
        </is>
      </c>
      <c r="E2233" t="inlineStr">
        <is>
          <t>YES</t>
        </is>
      </c>
      <c r="F2233" t="inlineStr">
        <is>
          <t>保险费</t>
        </is>
      </c>
      <c r="H2233" t="inlineStr">
        <is>
          <t>DECIMAL</t>
        </is>
      </c>
      <c r="I2233" t="inlineStr">
        <is>
          <t>24,6</t>
        </is>
      </c>
    </row>
    <row r="2234">
      <c r="A2234" t="inlineStr">
        <is>
          <t>押品保险记录</t>
        </is>
      </c>
      <c r="B2234" t="inlineStr">
        <is>
          <t>CLR_INSURANCE_RECORD</t>
        </is>
      </c>
      <c r="C2234" t="inlineStr">
        <is>
          <t>INSURANCEFEERATE</t>
        </is>
      </c>
      <c r="D2234" t="inlineStr">
        <is>
          <t>DECIMAL(18,8)</t>
        </is>
      </c>
      <c r="E2234" t="inlineStr">
        <is>
          <t>YES</t>
        </is>
      </c>
      <c r="F2234" t="inlineStr">
        <is>
          <t>保险费率</t>
        </is>
      </c>
      <c r="H2234" t="inlineStr">
        <is>
          <t>DECIMAL</t>
        </is>
      </c>
      <c r="I2234" t="inlineStr">
        <is>
          <t>18,8</t>
        </is>
      </c>
    </row>
    <row r="2235">
      <c r="A2235" t="inlineStr">
        <is>
          <t>押品保险记录</t>
        </is>
      </c>
      <c r="B2235" t="inlineStr">
        <is>
          <t>CLR_INSURANCE_RECORD</t>
        </is>
      </c>
      <c r="C2235" t="inlineStr">
        <is>
          <t>PAYMENTMETHOD</t>
        </is>
      </c>
      <c r="D2235" t="inlineStr">
        <is>
          <t>VARCHAR(6)</t>
        </is>
      </c>
      <c r="E2235" t="inlineStr">
        <is>
          <t>YES</t>
        </is>
      </c>
      <c r="F2235" t="inlineStr">
        <is>
          <t>缴费方式</t>
        </is>
      </c>
      <c r="H2235" t="inlineStr">
        <is>
          <t>VARCHAR</t>
        </is>
      </c>
      <c r="I2235" t="inlineStr">
        <is>
          <t>6</t>
        </is>
      </c>
    </row>
    <row r="2236">
      <c r="A2236" t="inlineStr">
        <is>
          <t>押品保险记录</t>
        </is>
      </c>
      <c r="B2236" t="inlineStr">
        <is>
          <t>CLR_INSURANCE_RECORD</t>
        </is>
      </c>
      <c r="C2236" t="inlineStr">
        <is>
          <t>STARTDATE</t>
        </is>
      </c>
      <c r="D2236" t="inlineStr">
        <is>
          <t>DATETIME</t>
        </is>
      </c>
      <c r="E2236" t="inlineStr">
        <is>
          <t>YES</t>
        </is>
      </c>
      <c r="F2236" t="inlineStr">
        <is>
          <t>保险起始日</t>
        </is>
      </c>
      <c r="H2236" t="inlineStr">
        <is>
          <t>DATETIME</t>
        </is>
      </c>
    </row>
    <row r="2237">
      <c r="A2237" t="inlineStr">
        <is>
          <t>押品保险记录</t>
        </is>
      </c>
      <c r="B2237" t="inlineStr">
        <is>
          <t>CLR_INSURANCE_RECORD</t>
        </is>
      </c>
      <c r="C2237" t="inlineStr">
        <is>
          <t>ENDDATE</t>
        </is>
      </c>
      <c r="D2237" t="inlineStr">
        <is>
          <t>DATETIME</t>
        </is>
      </c>
      <c r="E2237" t="inlineStr">
        <is>
          <t>YES</t>
        </is>
      </c>
      <c r="F2237" t="inlineStr">
        <is>
          <t>保险到期日</t>
        </is>
      </c>
      <c r="H2237" t="inlineStr">
        <is>
          <t>DATETIME</t>
        </is>
      </c>
    </row>
    <row r="2238">
      <c r="A2238" t="inlineStr">
        <is>
          <t>押品保险记录</t>
        </is>
      </c>
      <c r="B2238" t="inlineStr">
        <is>
          <t>CLR_INSURANCE_RECORD</t>
        </is>
      </c>
      <c r="C2238" t="inlineStr">
        <is>
          <t>EXPIRYDATE</t>
        </is>
      </c>
      <c r="D2238" t="inlineStr">
        <is>
          <t>DATETIME</t>
        </is>
      </c>
      <c r="E2238" t="inlineStr">
        <is>
          <t>YES</t>
        </is>
      </c>
      <c r="F2238" t="inlineStr">
        <is>
          <t>保险失效日</t>
        </is>
      </c>
      <c r="H2238" t="inlineStr">
        <is>
          <t>DATETIME</t>
        </is>
      </c>
    </row>
    <row r="2239">
      <c r="A2239" t="inlineStr">
        <is>
          <t>押品保险记录</t>
        </is>
      </c>
      <c r="B2239" t="inlineStr">
        <is>
          <t>CLR_INSURANCE_RECORD</t>
        </is>
      </c>
      <c r="C2239" t="inlineStr">
        <is>
          <t>EXPIRYREASON</t>
        </is>
      </c>
      <c r="D2239" t="inlineStr">
        <is>
          <t>VARCHAR(4000)</t>
        </is>
      </c>
      <c r="E2239" t="inlineStr">
        <is>
          <t>YES</t>
        </is>
      </c>
      <c r="F2239" t="inlineStr">
        <is>
          <t>保险失效原因</t>
        </is>
      </c>
      <c r="H2239" t="inlineStr">
        <is>
          <t>VARCHAR</t>
        </is>
      </c>
      <c r="I2239" t="inlineStr">
        <is>
          <t>4000</t>
        </is>
      </c>
    </row>
    <row r="2240">
      <c r="A2240" t="inlineStr">
        <is>
          <t>押品保险记录</t>
        </is>
      </c>
      <c r="B2240" t="inlineStr">
        <is>
          <t>CLR_INSURANCE_RECORD</t>
        </is>
      </c>
      <c r="C2240" t="inlineStr">
        <is>
          <t>ISSUEDATE</t>
        </is>
      </c>
      <c r="D2240" t="inlineStr">
        <is>
          <t>DATETIME</t>
        </is>
      </c>
      <c r="E2240" t="inlineStr">
        <is>
          <t>YES</t>
        </is>
      </c>
      <c r="F2240" t="inlineStr">
        <is>
          <t>出单日期</t>
        </is>
      </c>
      <c r="H2240" t="inlineStr">
        <is>
          <t>DATETIME</t>
        </is>
      </c>
    </row>
    <row r="2241">
      <c r="A2241" t="inlineStr">
        <is>
          <t>押品保险记录</t>
        </is>
      </c>
      <c r="B2241" t="inlineStr">
        <is>
          <t>CLR_INSURANCE_RECORD</t>
        </is>
      </c>
      <c r="C2241" t="inlineStr">
        <is>
          <t>ISRENEWINSURANCE</t>
        </is>
      </c>
      <c r="D2241" t="inlineStr">
        <is>
          <t>CHAR(1)</t>
        </is>
      </c>
      <c r="E2241" t="inlineStr">
        <is>
          <t>YES</t>
        </is>
      </c>
      <c r="F2241" t="inlineStr">
        <is>
          <t>续保标志</t>
        </is>
      </c>
      <c r="H2241" t="inlineStr">
        <is>
          <t>CHAR</t>
        </is>
      </c>
      <c r="I2241" t="inlineStr">
        <is>
          <t>1</t>
        </is>
      </c>
    </row>
    <row r="2242">
      <c r="A2242" t="inlineStr">
        <is>
          <t>押品保险记录</t>
        </is>
      </c>
      <c r="B2242" t="inlineStr">
        <is>
          <t>CLR_INSURANCE_RECORD</t>
        </is>
      </c>
      <c r="C2242" t="inlineStr">
        <is>
          <t>ISNEEDWAREHOUSING</t>
        </is>
      </c>
      <c r="D2242" t="inlineStr">
        <is>
          <t>CHAR(1)</t>
        </is>
      </c>
      <c r="E2242" t="inlineStr">
        <is>
          <t>YES</t>
        </is>
      </c>
      <c r="F2242" t="inlineStr">
        <is>
          <t>是否需要入库</t>
        </is>
      </c>
      <c r="H2242" t="inlineStr">
        <is>
          <t>CHAR</t>
        </is>
      </c>
      <c r="I2242" t="inlineStr">
        <is>
          <t>1</t>
        </is>
      </c>
    </row>
    <row r="2243">
      <c r="A2243" t="inlineStr">
        <is>
          <t>押品保险记录</t>
        </is>
      </c>
      <c r="B2243" t="inlineStr">
        <is>
          <t>CLR_INSURANCE_RECORD</t>
        </is>
      </c>
      <c r="C2243" t="inlineStr">
        <is>
          <t>INPUTUSERID</t>
        </is>
      </c>
      <c r="D2243" t="inlineStr">
        <is>
          <t>VARCHAR(32)</t>
        </is>
      </c>
      <c r="E2243" t="inlineStr">
        <is>
          <t>YES</t>
        </is>
      </c>
      <c r="F2243" t="inlineStr">
        <is>
          <t>登记人</t>
        </is>
      </c>
      <c r="H2243" t="inlineStr">
        <is>
          <t>VARCHAR</t>
        </is>
      </c>
      <c r="I2243" t="inlineStr">
        <is>
          <t>32</t>
        </is>
      </c>
    </row>
    <row r="2244">
      <c r="A2244" t="inlineStr">
        <is>
          <t>押品保险记录</t>
        </is>
      </c>
      <c r="B2244" t="inlineStr">
        <is>
          <t>CLR_INSURANCE_RECORD</t>
        </is>
      </c>
      <c r="C2244" t="inlineStr">
        <is>
          <t>INPUTORGID</t>
        </is>
      </c>
      <c r="D2244" t="inlineStr">
        <is>
          <t>VARCHAR(32)</t>
        </is>
      </c>
      <c r="E2244" t="inlineStr">
        <is>
          <t>YES</t>
        </is>
      </c>
      <c r="F2244" t="inlineStr">
        <is>
          <t>登记机构</t>
        </is>
      </c>
      <c r="H2244" t="inlineStr">
        <is>
          <t>VARCHAR</t>
        </is>
      </c>
      <c r="I2244" t="inlineStr">
        <is>
          <t>32</t>
        </is>
      </c>
    </row>
    <row r="2245">
      <c r="A2245" t="inlineStr">
        <is>
          <t>押品保险记录</t>
        </is>
      </c>
      <c r="B2245" t="inlineStr">
        <is>
          <t>CLR_INSURANCE_RECORD</t>
        </is>
      </c>
      <c r="C2245" t="inlineStr">
        <is>
          <t>INPUTDATE</t>
        </is>
      </c>
      <c r="D2245" t="inlineStr">
        <is>
          <t>DATETIME</t>
        </is>
      </c>
      <c r="E2245" t="inlineStr">
        <is>
          <t>YES</t>
        </is>
      </c>
      <c r="F2245" t="inlineStr">
        <is>
          <t>登记日期</t>
        </is>
      </c>
      <c r="H2245" t="inlineStr">
        <is>
          <t>DATETIME</t>
        </is>
      </c>
    </row>
    <row r="2246">
      <c r="A2246" t="inlineStr">
        <is>
          <t>押品保险记录</t>
        </is>
      </c>
      <c r="B2246" t="inlineStr">
        <is>
          <t>CLR_INSURANCE_RECORD</t>
        </is>
      </c>
      <c r="C2246" t="inlineStr">
        <is>
          <t>UPDATEUSERID</t>
        </is>
      </c>
      <c r="D2246" t="inlineStr">
        <is>
          <t>VARCHAR(32)</t>
        </is>
      </c>
      <c r="E2246" t="inlineStr">
        <is>
          <t>YES</t>
        </is>
      </c>
      <c r="F2246" t="inlineStr">
        <is>
          <t>更新人</t>
        </is>
      </c>
      <c r="H2246" t="inlineStr">
        <is>
          <t>VARCHAR</t>
        </is>
      </c>
      <c r="I2246" t="inlineStr">
        <is>
          <t>32</t>
        </is>
      </c>
    </row>
    <row r="2247">
      <c r="A2247" t="inlineStr">
        <is>
          <t>押品保险记录</t>
        </is>
      </c>
      <c r="B2247" t="inlineStr">
        <is>
          <t>CLR_INSURANCE_RECORD</t>
        </is>
      </c>
      <c r="C2247" t="inlineStr">
        <is>
          <t>UPDATEORGID</t>
        </is>
      </c>
      <c r="D2247" t="inlineStr">
        <is>
          <t>VARCHAR(32)</t>
        </is>
      </c>
      <c r="E2247" t="inlineStr">
        <is>
          <t>YES</t>
        </is>
      </c>
      <c r="F2247" t="inlineStr">
        <is>
          <t>更新机构</t>
        </is>
      </c>
      <c r="H2247" t="inlineStr">
        <is>
          <t>VARCHAR</t>
        </is>
      </c>
      <c r="I2247" t="inlineStr">
        <is>
          <t>32</t>
        </is>
      </c>
    </row>
    <row r="2248">
      <c r="A2248" t="inlineStr">
        <is>
          <t>押品保险记录</t>
        </is>
      </c>
      <c r="B2248" t="inlineStr">
        <is>
          <t>CLR_INSURANCE_RECORD</t>
        </is>
      </c>
      <c r="C2248" t="inlineStr">
        <is>
          <t>UPDATEDATE</t>
        </is>
      </c>
      <c r="D2248" t="inlineStr">
        <is>
          <t>DATETIME</t>
        </is>
      </c>
      <c r="E2248" t="inlineStr">
        <is>
          <t>YES</t>
        </is>
      </c>
      <c r="F2248" t="inlineStr">
        <is>
          <t>更新日期</t>
        </is>
      </c>
      <c r="H2248" t="inlineStr">
        <is>
          <t>DATETIME</t>
        </is>
      </c>
    </row>
    <row r="2249">
      <c r="A2249" t="inlineStr">
        <is>
          <t>押品保险记录</t>
        </is>
      </c>
      <c r="B2249" t="inlineStr">
        <is>
          <t>CLR_INSURANCE_RECORD</t>
        </is>
      </c>
      <c r="C2249" t="inlineStr">
        <is>
          <t>CORPORGID</t>
        </is>
      </c>
      <c r="D2249" t="inlineStr">
        <is>
          <t>VARCHAR(32)</t>
        </is>
      </c>
      <c r="E2249" t="inlineStr">
        <is>
          <t>YES</t>
        </is>
      </c>
      <c r="F2249" t="inlineStr">
        <is>
          <t>法人机构编号</t>
        </is>
      </c>
      <c r="H2249" t="inlineStr">
        <is>
          <t>VARCHAR</t>
        </is>
      </c>
      <c r="I2249" t="inlineStr">
        <is>
          <t>32</t>
        </is>
      </c>
    </row>
    <row r="2250">
      <c r="A2250" t="inlineStr">
        <is>
          <t>押品保险记录</t>
        </is>
      </c>
      <c r="B2250" t="inlineStr">
        <is>
          <t>CLR_INSURANCE_RECORD</t>
        </is>
      </c>
      <c r="C2250" t="inlineStr">
        <is>
          <t>OLDCLRID</t>
        </is>
      </c>
      <c r="D2250" t="inlineStr">
        <is>
          <t>VARCHAR(1000)</t>
        </is>
      </c>
      <c r="E2250" t="inlineStr">
        <is>
          <t>YES</t>
        </is>
      </c>
      <c r="F2250" t="inlineStr">
        <is>
          <t>合并前押品编号</t>
        </is>
      </c>
      <c r="H2250" t="inlineStr">
        <is>
          <t>VARCHAR</t>
        </is>
      </c>
      <c r="I2250" t="inlineStr">
        <is>
          <t>1000</t>
        </is>
      </c>
    </row>
    <row r="2251">
      <c r="A2251" t="inlineStr">
        <is>
          <t>押品保险记录</t>
        </is>
      </c>
      <c r="B2251" t="inlineStr">
        <is>
          <t>CLR_INSURANCE_RECORD</t>
        </is>
      </c>
      <c r="C2251" t="inlineStr">
        <is>
          <t>REGISTERRECORDID</t>
        </is>
      </c>
      <c r="D2251" t="inlineStr">
        <is>
          <t>VARCHAR(32)</t>
        </is>
      </c>
      <c r="E2251" t="inlineStr">
        <is>
          <t>YES</t>
        </is>
      </c>
      <c r="F2251" t="inlineStr">
        <is>
          <t>抵质押登记编号</t>
        </is>
      </c>
      <c r="H2251" t="inlineStr">
        <is>
          <t>VARCHAR</t>
        </is>
      </c>
      <c r="I2251" t="inlineStr">
        <is>
          <t>32</t>
        </is>
      </c>
    </row>
    <row r="2252">
      <c r="A2252" t="inlineStr">
        <is>
          <t>押品关联发票包</t>
        </is>
      </c>
      <c r="B2252" t="inlineStr">
        <is>
          <t>CLR_INVOICE_RECORD</t>
        </is>
      </c>
      <c r="C2252" t="inlineStr">
        <is>
          <t>SERIALNO</t>
        </is>
      </c>
      <c r="D2252" t="inlineStr">
        <is>
          <t>VARCHAR(32)</t>
        </is>
      </c>
      <c r="E2252" t="inlineStr">
        <is>
          <t>NO</t>
        </is>
      </c>
      <c r="F2252" t="inlineStr">
        <is>
          <t>发票编号</t>
        </is>
      </c>
      <c r="H2252" t="inlineStr">
        <is>
          <t>VARCHAR</t>
        </is>
      </c>
      <c r="I2252" t="inlineStr">
        <is>
          <t>32</t>
        </is>
      </c>
    </row>
    <row r="2253">
      <c r="A2253" t="inlineStr">
        <is>
          <t>押品关联发票包</t>
        </is>
      </c>
      <c r="B2253" t="inlineStr">
        <is>
          <t>CLR_INVOICE_RECORD</t>
        </is>
      </c>
      <c r="C2253" t="inlineStr">
        <is>
          <t>CLRID</t>
        </is>
      </c>
      <c r="D2253" t="inlineStr">
        <is>
          <t>VARCHAR（40）</t>
        </is>
      </c>
      <c r="E2253" t="inlineStr">
        <is>
          <t>YES</t>
        </is>
      </c>
      <c r="F2253" t="inlineStr">
        <is>
          <t>押品编号</t>
        </is>
      </c>
      <c r="H2253" t="inlineStr">
        <is>
          <t>VARCHAR</t>
        </is>
      </c>
      <c r="I2253" t="inlineStr">
        <is>
          <t>40</t>
        </is>
      </c>
    </row>
    <row r="2254">
      <c r="A2254" t="inlineStr">
        <is>
          <t>押品关联发票包</t>
        </is>
      </c>
      <c r="B2254" t="inlineStr">
        <is>
          <t>CLR_INVOICE_RECORD</t>
        </is>
      </c>
      <c r="C2254" t="inlineStr">
        <is>
          <t>INVOICENO</t>
        </is>
      </c>
      <c r="D2254" t="inlineStr">
        <is>
          <t>VARCHAR（40）</t>
        </is>
      </c>
      <c r="E2254" t="inlineStr">
        <is>
          <t>YES</t>
        </is>
      </c>
      <c r="F2254" t="inlineStr">
        <is>
          <t>发票号</t>
        </is>
      </c>
      <c r="H2254" t="inlineStr">
        <is>
          <t>VARCHAR</t>
        </is>
      </c>
      <c r="I2254" t="inlineStr">
        <is>
          <t>40</t>
        </is>
      </c>
    </row>
    <row r="2255">
      <c r="A2255" t="inlineStr">
        <is>
          <t>押品关联发票包</t>
        </is>
      </c>
      <c r="B2255" t="inlineStr">
        <is>
          <t>CLR_INVOICE_RECORD</t>
        </is>
      </c>
      <c r="C2255" t="inlineStr">
        <is>
          <t>INVOICEAMOUNT</t>
        </is>
      </c>
      <c r="D2255" t="inlineStr">
        <is>
          <t>VARCHAR（40）</t>
        </is>
      </c>
      <c r="E2255" t="inlineStr">
        <is>
          <t>YES</t>
        </is>
      </c>
      <c r="F2255" t="inlineStr">
        <is>
          <t>发票金额</t>
        </is>
      </c>
      <c r="H2255" t="inlineStr">
        <is>
          <t>VARCHAR</t>
        </is>
      </c>
      <c r="I2255" t="inlineStr">
        <is>
          <t>40</t>
        </is>
      </c>
    </row>
    <row r="2256">
      <c r="A2256" t="inlineStr">
        <is>
          <t>押品关联发票包</t>
        </is>
      </c>
      <c r="B2256" t="inlineStr">
        <is>
          <t>CLR_INVOICE_RECORD</t>
        </is>
      </c>
      <c r="C2256" t="inlineStr">
        <is>
          <t>INVOICEDATE</t>
        </is>
      </c>
      <c r="D2256" t="inlineStr">
        <is>
          <t>VARCHAR（80）</t>
        </is>
      </c>
      <c r="E2256" t="inlineStr">
        <is>
          <t>YES</t>
        </is>
      </c>
      <c r="F2256" t="inlineStr">
        <is>
          <t>开票时间</t>
        </is>
      </c>
      <c r="H2256" t="inlineStr">
        <is>
          <t>VARCHAR</t>
        </is>
      </c>
      <c r="I2256" t="inlineStr">
        <is>
          <t>80</t>
        </is>
      </c>
    </row>
    <row r="2257">
      <c r="A2257" t="inlineStr">
        <is>
          <t>押品关联发票包</t>
        </is>
      </c>
      <c r="B2257" t="inlineStr">
        <is>
          <t>CLR_INVOICE_RECORD</t>
        </is>
      </c>
      <c r="C2257" t="inlineStr">
        <is>
          <t>CONTRACTNO</t>
        </is>
      </c>
      <c r="D2257" t="inlineStr">
        <is>
          <t>VARCHAR（10）</t>
        </is>
      </c>
      <c r="E2257" t="inlineStr">
        <is>
          <t>YES</t>
        </is>
      </c>
      <c r="F2257" t="inlineStr">
        <is>
          <t>合同号</t>
        </is>
      </c>
      <c r="H2257" t="inlineStr">
        <is>
          <t>VARCHAR</t>
        </is>
      </c>
      <c r="I2257" t="inlineStr">
        <is>
          <t>10</t>
        </is>
      </c>
    </row>
    <row r="2258">
      <c r="A2258" t="inlineStr">
        <is>
          <t>押品关联发票包</t>
        </is>
      </c>
      <c r="B2258" t="inlineStr">
        <is>
          <t>CLR_INVOICE_RECORD</t>
        </is>
      </c>
      <c r="C2258" t="inlineStr">
        <is>
          <t>CONTRACTNAME</t>
        </is>
      </c>
      <c r="D2258" t="inlineStr">
        <is>
          <t>DECIMAL(24,6)</t>
        </is>
      </c>
      <c r="E2258" t="inlineStr">
        <is>
          <t>YES</t>
        </is>
      </c>
      <c r="F2258" t="inlineStr">
        <is>
          <t xml:space="preserve">合同名称 </t>
        </is>
      </c>
      <c r="H2258" t="inlineStr">
        <is>
          <t>DECIMAL</t>
        </is>
      </c>
      <c r="I2258" t="inlineStr">
        <is>
          <t>24,6</t>
        </is>
      </c>
    </row>
    <row r="2259">
      <c r="A2259" t="inlineStr">
        <is>
          <t>押品关联发票包</t>
        </is>
      </c>
      <c r="B2259" t="inlineStr">
        <is>
          <t>CLR_INVOICE_RECORD</t>
        </is>
      </c>
      <c r="C2259" t="inlineStr">
        <is>
          <t>CONTRACTDATE</t>
        </is>
      </c>
      <c r="D2259" t="inlineStr">
        <is>
          <t>DECIMAL(24,6)</t>
        </is>
      </c>
      <c r="E2259" t="inlineStr">
        <is>
          <t>YES</t>
        </is>
      </c>
      <c r="F2259" t="inlineStr">
        <is>
          <t xml:space="preserve">合同签订日期 </t>
        </is>
      </c>
      <c r="H2259" t="inlineStr">
        <is>
          <t>DECIMAL</t>
        </is>
      </c>
      <c r="I2259" t="inlineStr">
        <is>
          <t>24,6</t>
        </is>
      </c>
    </row>
    <row r="2260">
      <c r="A2260" t="inlineStr">
        <is>
          <t>押品关联发票包</t>
        </is>
      </c>
      <c r="B2260" t="inlineStr">
        <is>
          <t>CLR_INVOICE_RECORD</t>
        </is>
      </c>
      <c r="C2260" t="inlineStr">
        <is>
          <t>INPUTORG</t>
        </is>
      </c>
      <c r="D2260" t="inlineStr">
        <is>
          <t>VARCHAR(32)</t>
        </is>
      </c>
      <c r="E2260" t="inlineStr">
        <is>
          <t>YES</t>
        </is>
      </c>
      <c r="F2260" t="inlineStr">
        <is>
          <t>登记机构</t>
        </is>
      </c>
      <c r="H2260" t="inlineStr">
        <is>
          <t>VARCHAR</t>
        </is>
      </c>
      <c r="I2260" t="inlineStr">
        <is>
          <t>32</t>
        </is>
      </c>
    </row>
    <row r="2261">
      <c r="A2261" t="inlineStr">
        <is>
          <t>押品关联发票包</t>
        </is>
      </c>
      <c r="B2261" t="inlineStr">
        <is>
          <t>CLR_INVOICE_RECORD</t>
        </is>
      </c>
      <c r="C2261" t="inlineStr">
        <is>
          <t>INPUTTIME</t>
        </is>
      </c>
      <c r="D2261" t="inlineStr">
        <is>
          <t>DATETIME</t>
        </is>
      </c>
      <c r="E2261" t="inlineStr">
        <is>
          <t>YES</t>
        </is>
      </c>
      <c r="F2261" t="inlineStr">
        <is>
          <t>登记时间</t>
        </is>
      </c>
      <c r="H2261" t="inlineStr">
        <is>
          <t>DATETIME</t>
        </is>
      </c>
    </row>
    <row r="2262">
      <c r="A2262" t="inlineStr">
        <is>
          <t>押品关联发票包</t>
        </is>
      </c>
      <c r="B2262" t="inlineStr">
        <is>
          <t>CLR_INVOICE_RECORD</t>
        </is>
      </c>
      <c r="C2262" t="inlineStr">
        <is>
          <t>UPDATEUSER</t>
        </is>
      </c>
      <c r="D2262" t="inlineStr">
        <is>
          <t>VARCHAR(32)</t>
        </is>
      </c>
      <c r="E2262" t="inlineStr">
        <is>
          <t>YES</t>
        </is>
      </c>
      <c r="F2262" t="inlineStr">
        <is>
          <t>更新人</t>
        </is>
      </c>
      <c r="H2262" t="inlineStr">
        <is>
          <t>VARCHAR</t>
        </is>
      </c>
      <c r="I2262" t="inlineStr">
        <is>
          <t>32</t>
        </is>
      </c>
    </row>
    <row r="2263">
      <c r="A2263" t="inlineStr">
        <is>
          <t>押品关联发票包</t>
        </is>
      </c>
      <c r="B2263" t="inlineStr">
        <is>
          <t>CLR_INVOICE_RECORD</t>
        </is>
      </c>
      <c r="C2263" t="inlineStr">
        <is>
          <t>UPDATETIME</t>
        </is>
      </c>
      <c r="D2263" t="inlineStr">
        <is>
          <t>DATETIME</t>
        </is>
      </c>
      <c r="E2263" t="inlineStr">
        <is>
          <t>YES</t>
        </is>
      </c>
      <c r="F2263" t="inlineStr">
        <is>
          <t>更新时间</t>
        </is>
      </c>
      <c r="H2263" t="inlineStr">
        <is>
          <t>DATETIME</t>
        </is>
      </c>
    </row>
    <row r="2264">
      <c r="A2264" t="inlineStr">
        <is>
          <t>押品关联发票包</t>
        </is>
      </c>
      <c r="B2264" t="inlineStr">
        <is>
          <t>CLR_INVOICE_RECORD</t>
        </is>
      </c>
      <c r="C2264" t="inlineStr">
        <is>
          <t>UPDATEUSERID</t>
        </is>
      </c>
      <c r="D2264" t="inlineStr">
        <is>
          <t>VARCHAR(32)</t>
        </is>
      </c>
      <c r="E2264" t="inlineStr">
        <is>
          <t>YES</t>
        </is>
      </c>
      <c r="F2264" t="inlineStr">
        <is>
          <t>更新人编号</t>
        </is>
      </c>
      <c r="H2264" t="inlineStr">
        <is>
          <t>VARCHAR</t>
        </is>
      </c>
      <c r="I2264" t="inlineStr">
        <is>
          <t>32</t>
        </is>
      </c>
    </row>
    <row r="2265">
      <c r="A2265" t="inlineStr">
        <is>
          <t>押品关联发票包</t>
        </is>
      </c>
      <c r="B2265" t="inlineStr">
        <is>
          <t>CLR_INVOICE_RECORD</t>
        </is>
      </c>
      <c r="C2265" t="inlineStr">
        <is>
          <t>UPDATEORGID</t>
        </is>
      </c>
      <c r="D2265" t="inlineStr">
        <is>
          <t>VARCHAR(32)</t>
        </is>
      </c>
      <c r="E2265" t="inlineStr">
        <is>
          <t>YES</t>
        </is>
      </c>
      <c r="F2265" t="inlineStr">
        <is>
          <t>更新机构</t>
        </is>
      </c>
      <c r="H2265" t="inlineStr">
        <is>
          <t>VARCHAR</t>
        </is>
      </c>
      <c r="I2265" t="inlineStr">
        <is>
          <t>32</t>
        </is>
      </c>
    </row>
    <row r="2266">
      <c r="A2266" t="inlineStr">
        <is>
          <t>押品关联发票包</t>
        </is>
      </c>
      <c r="B2266" t="inlineStr">
        <is>
          <t>CLR_INVOICE_RECORD</t>
        </is>
      </c>
      <c r="C2266" t="inlineStr">
        <is>
          <t>INPUTORGID</t>
        </is>
      </c>
      <c r="D2266" t="inlineStr">
        <is>
          <t>VARCHAR(32)</t>
        </is>
      </c>
      <c r="E2266" t="inlineStr">
        <is>
          <t>YES</t>
        </is>
      </c>
      <c r="F2266" t="inlineStr">
        <is>
          <t>登记机构编号</t>
        </is>
      </c>
      <c r="H2266" t="inlineStr">
        <is>
          <t>VARCHAR</t>
        </is>
      </c>
      <c r="I2266" t="inlineStr">
        <is>
          <t>32</t>
        </is>
      </c>
    </row>
    <row r="2267">
      <c r="A2267" t="inlineStr">
        <is>
          <t>押品关联发票包</t>
        </is>
      </c>
      <c r="B2267" t="inlineStr">
        <is>
          <t>CLR_INVOICE_RECORD</t>
        </is>
      </c>
      <c r="C2267" t="inlineStr">
        <is>
          <t>INPUTUSERID</t>
        </is>
      </c>
      <c r="D2267" t="inlineStr">
        <is>
          <t>VARCHAR(32)</t>
        </is>
      </c>
      <c r="E2267" t="inlineStr">
        <is>
          <t>YES</t>
        </is>
      </c>
      <c r="F2267" t="inlineStr">
        <is>
          <t>登记人编号</t>
        </is>
      </c>
      <c r="H2267" t="inlineStr">
        <is>
          <t>VARCHAR</t>
        </is>
      </c>
      <c r="I2267" t="inlineStr">
        <is>
          <t>32</t>
        </is>
      </c>
    </row>
    <row r="2268">
      <c r="A2268" t="inlineStr">
        <is>
          <t>押品公证记录</t>
        </is>
      </c>
      <c r="B2268" t="inlineStr">
        <is>
          <t>CLR_NOTARIZATION_RECORD</t>
        </is>
      </c>
      <c r="C2268" t="inlineStr">
        <is>
          <t>NOTARIZATIONRECORDID</t>
        </is>
      </c>
      <c r="D2268" t="inlineStr">
        <is>
          <t>VARCHAR(32)</t>
        </is>
      </c>
      <c r="E2268" t="inlineStr">
        <is>
          <t>NO</t>
        </is>
      </c>
      <c r="F2268" t="inlineStr">
        <is>
          <t>公证记录编号</t>
        </is>
      </c>
      <c r="H2268" t="inlineStr">
        <is>
          <t>VARCHAR</t>
        </is>
      </c>
      <c r="I2268" t="inlineStr">
        <is>
          <t>32</t>
        </is>
      </c>
    </row>
    <row r="2269">
      <c r="A2269" t="inlineStr">
        <is>
          <t>押品公证记录</t>
        </is>
      </c>
      <c r="B2269" t="inlineStr">
        <is>
          <t>CLR_NOTARIZATION_RECORD</t>
        </is>
      </c>
      <c r="C2269" t="inlineStr">
        <is>
          <t>GUARANTYPLANNO</t>
        </is>
      </c>
      <c r="D2269" t="inlineStr">
        <is>
          <t>VARCHAR(32)</t>
        </is>
      </c>
      <c r="E2269" t="inlineStr">
        <is>
          <t>YES</t>
        </is>
      </c>
      <c r="F2269" t="inlineStr">
        <is>
          <t>担保方案编号</t>
        </is>
      </c>
      <c r="H2269" t="inlineStr">
        <is>
          <t>VARCHAR</t>
        </is>
      </c>
      <c r="I2269" t="inlineStr">
        <is>
          <t>32</t>
        </is>
      </c>
    </row>
    <row r="2270">
      <c r="A2270" t="inlineStr">
        <is>
          <t>押品公证记录</t>
        </is>
      </c>
      <c r="B2270" t="inlineStr">
        <is>
          <t>CLR_NOTARIZATION_RECORD</t>
        </is>
      </c>
      <c r="C2270" t="inlineStr">
        <is>
          <t>CLRID</t>
        </is>
      </c>
      <c r="D2270" t="inlineStr">
        <is>
          <t>VARCHAR(32)</t>
        </is>
      </c>
      <c r="E2270" t="inlineStr">
        <is>
          <t>YES</t>
        </is>
      </c>
      <c r="F2270" t="inlineStr">
        <is>
          <t>押品编号</t>
        </is>
      </c>
      <c r="H2270" t="inlineStr">
        <is>
          <t>VARCHAR</t>
        </is>
      </c>
      <c r="I2270" t="inlineStr">
        <is>
          <t>32</t>
        </is>
      </c>
    </row>
    <row r="2271">
      <c r="A2271" t="inlineStr">
        <is>
          <t>押品公证记录</t>
        </is>
      </c>
      <c r="B2271" t="inlineStr">
        <is>
          <t>CLR_NOTARIZATION_RECORD</t>
        </is>
      </c>
      <c r="C2271" t="inlineStr">
        <is>
          <t>NOTARYOFFICENAME</t>
        </is>
      </c>
      <c r="D2271" t="inlineStr">
        <is>
          <t>VARCHAR(80)</t>
        </is>
      </c>
      <c r="E2271" t="inlineStr">
        <is>
          <t>YES</t>
        </is>
      </c>
      <c r="F2271" t="inlineStr">
        <is>
          <t>公证处名称</t>
        </is>
      </c>
      <c r="H2271" t="inlineStr">
        <is>
          <t>VARCHAR</t>
        </is>
      </c>
      <c r="I2271" t="inlineStr">
        <is>
          <t>80</t>
        </is>
      </c>
    </row>
    <row r="2272">
      <c r="A2272" t="inlineStr">
        <is>
          <t>押品公证记录</t>
        </is>
      </c>
      <c r="B2272" t="inlineStr">
        <is>
          <t>CLR_NOTARIZATION_RECORD</t>
        </is>
      </c>
      <c r="C2272" t="inlineStr">
        <is>
          <t>NOTARYOFFICEADDRESS</t>
        </is>
      </c>
      <c r="D2272" t="inlineStr">
        <is>
          <t>VARCHAR(80)</t>
        </is>
      </c>
      <c r="E2272" t="inlineStr">
        <is>
          <t>YES</t>
        </is>
      </c>
      <c r="F2272" t="inlineStr">
        <is>
          <t>公证处地址</t>
        </is>
      </c>
      <c r="H2272" t="inlineStr">
        <is>
          <t>VARCHAR</t>
        </is>
      </c>
      <c r="I2272" t="inlineStr">
        <is>
          <t>80</t>
        </is>
      </c>
    </row>
    <row r="2273">
      <c r="A2273" t="inlineStr">
        <is>
          <t>押品公证记录</t>
        </is>
      </c>
      <c r="B2273" t="inlineStr">
        <is>
          <t>CLR_NOTARIZATION_RECORD</t>
        </is>
      </c>
      <c r="C2273" t="inlineStr">
        <is>
          <t>NOTARYOFFICEZIPCODE</t>
        </is>
      </c>
      <c r="D2273" t="inlineStr">
        <is>
          <t>VARCHAR(18)</t>
        </is>
      </c>
      <c r="E2273" t="inlineStr">
        <is>
          <t>YES</t>
        </is>
      </c>
      <c r="F2273" t="inlineStr">
        <is>
          <t>公证处邮编</t>
        </is>
      </c>
      <c r="H2273" t="inlineStr">
        <is>
          <t>VARCHAR</t>
        </is>
      </c>
      <c r="I2273" t="inlineStr">
        <is>
          <t>18</t>
        </is>
      </c>
    </row>
    <row r="2274">
      <c r="A2274" t="inlineStr">
        <is>
          <t>押品公证记录</t>
        </is>
      </c>
      <c r="B2274" t="inlineStr">
        <is>
          <t>CLR_NOTARIZATION_RECORD</t>
        </is>
      </c>
      <c r="C2274" t="inlineStr">
        <is>
          <t>NOTARYOFFICETEL</t>
        </is>
      </c>
      <c r="D2274" t="inlineStr">
        <is>
          <t>VARCHAR(32)</t>
        </is>
      </c>
      <c r="E2274" t="inlineStr">
        <is>
          <t>YES</t>
        </is>
      </c>
      <c r="F2274" t="inlineStr">
        <is>
          <t>公证处联系电话</t>
        </is>
      </c>
      <c r="H2274" t="inlineStr">
        <is>
          <t>VARCHAR</t>
        </is>
      </c>
      <c r="I2274" t="inlineStr">
        <is>
          <t>32</t>
        </is>
      </c>
    </row>
    <row r="2275">
      <c r="A2275" t="inlineStr">
        <is>
          <t>押品公证记录</t>
        </is>
      </c>
      <c r="B2275" t="inlineStr">
        <is>
          <t>CLR_NOTARIZATION_RECORD</t>
        </is>
      </c>
      <c r="C2275" t="inlineStr">
        <is>
          <t>NOTARIALFEE</t>
        </is>
      </c>
      <c r="D2275" t="inlineStr">
        <is>
          <t>DECIMAL(24,6)</t>
        </is>
      </c>
      <c r="E2275" t="inlineStr">
        <is>
          <t>YES</t>
        </is>
      </c>
      <c r="F2275" t="inlineStr">
        <is>
          <t>公证费用</t>
        </is>
      </c>
      <c r="H2275" t="inlineStr">
        <is>
          <t>DECIMAL</t>
        </is>
      </c>
      <c r="I2275" t="inlineStr">
        <is>
          <t>24,6</t>
        </is>
      </c>
    </row>
    <row r="2276">
      <c r="A2276" t="inlineStr">
        <is>
          <t>押品公证记录</t>
        </is>
      </c>
      <c r="B2276" t="inlineStr">
        <is>
          <t>CLR_NOTARIZATION_RECORD</t>
        </is>
      </c>
      <c r="C2276" t="inlineStr">
        <is>
          <t>NOTARIALDOCNO</t>
        </is>
      </c>
      <c r="D2276" t="inlineStr">
        <is>
          <t>VARCHAR(32)</t>
        </is>
      </c>
      <c r="E2276" t="inlineStr">
        <is>
          <t>YES</t>
        </is>
      </c>
      <c r="F2276" t="inlineStr">
        <is>
          <t>公证号</t>
        </is>
      </c>
      <c r="H2276" t="inlineStr">
        <is>
          <t>VARCHAR</t>
        </is>
      </c>
      <c r="I2276" t="inlineStr">
        <is>
          <t>32</t>
        </is>
      </c>
    </row>
    <row r="2277">
      <c r="A2277" t="inlineStr">
        <is>
          <t>押品公证记录</t>
        </is>
      </c>
      <c r="B2277" t="inlineStr">
        <is>
          <t>CLR_NOTARIZATION_RECORD</t>
        </is>
      </c>
      <c r="C2277" t="inlineStr">
        <is>
          <t>NOTARIZATIONEFFDATE</t>
        </is>
      </c>
      <c r="D2277" t="inlineStr">
        <is>
          <t>DATETIME</t>
        </is>
      </c>
      <c r="E2277" t="inlineStr">
        <is>
          <t>YES</t>
        </is>
      </c>
      <c r="F2277" t="inlineStr">
        <is>
          <t>公证生效日</t>
        </is>
      </c>
      <c r="H2277" t="inlineStr">
        <is>
          <t>DATETIME</t>
        </is>
      </c>
    </row>
    <row r="2278">
      <c r="A2278" t="inlineStr">
        <is>
          <t>押品公证记录</t>
        </is>
      </c>
      <c r="B2278" t="inlineStr">
        <is>
          <t>CLR_NOTARIZATION_RECORD</t>
        </is>
      </c>
      <c r="C2278" t="inlineStr">
        <is>
          <t>NOTARIZATIONDUEDATE</t>
        </is>
      </c>
      <c r="D2278" t="inlineStr">
        <is>
          <t>DATETIME</t>
        </is>
      </c>
      <c r="E2278" t="inlineStr">
        <is>
          <t>YES</t>
        </is>
      </c>
      <c r="F2278" t="inlineStr">
        <is>
          <t>公证到期日</t>
        </is>
      </c>
      <c r="H2278" t="inlineStr">
        <is>
          <t>DATETIME</t>
        </is>
      </c>
    </row>
    <row r="2279">
      <c r="A2279" t="inlineStr">
        <is>
          <t>押品公证记录</t>
        </is>
      </c>
      <c r="B2279" t="inlineStr">
        <is>
          <t>CLR_NOTARIZATION_RECORD</t>
        </is>
      </c>
      <c r="C2279" t="inlineStr">
        <is>
          <t>NOTARIZATIONPERSON</t>
        </is>
      </c>
      <c r="D2279" t="inlineStr">
        <is>
          <t>VARCHAR(80)</t>
        </is>
      </c>
      <c r="E2279" t="inlineStr">
        <is>
          <t>YES</t>
        </is>
      </c>
      <c r="F2279" t="inlineStr">
        <is>
          <t>公证人</t>
        </is>
      </c>
      <c r="H2279" t="inlineStr">
        <is>
          <t>VARCHAR</t>
        </is>
      </c>
      <c r="I2279" t="inlineStr">
        <is>
          <t>80</t>
        </is>
      </c>
    </row>
    <row r="2280">
      <c r="A2280" t="inlineStr">
        <is>
          <t>押品公证记录</t>
        </is>
      </c>
      <c r="B2280" t="inlineStr">
        <is>
          <t>CLR_NOTARIZATION_RECORD</t>
        </is>
      </c>
      <c r="C2280" t="inlineStr">
        <is>
          <t>NOTARIZATIONOFFICIALPERSON</t>
        </is>
      </c>
      <c r="D2280" t="inlineStr">
        <is>
          <t>VARCHAR(80)</t>
        </is>
      </c>
      <c r="E2280" t="inlineStr">
        <is>
          <t>YES</t>
        </is>
      </c>
      <c r="F2280" t="inlineStr">
        <is>
          <t>公证处法人代表</t>
        </is>
      </c>
      <c r="H2280" t="inlineStr">
        <is>
          <t>VARCHAR</t>
        </is>
      </c>
      <c r="I2280" t="inlineStr">
        <is>
          <t>80</t>
        </is>
      </c>
    </row>
    <row r="2281">
      <c r="A2281" t="inlineStr">
        <is>
          <t>押品公证记录</t>
        </is>
      </c>
      <c r="B2281" t="inlineStr">
        <is>
          <t>CLR_NOTARIZATION_RECORD</t>
        </is>
      </c>
      <c r="C2281" t="inlineStr">
        <is>
          <t>NOTARYSTATUS</t>
        </is>
      </c>
      <c r="D2281" t="inlineStr">
        <is>
          <t>CHAR(1)</t>
        </is>
      </c>
      <c r="E2281" t="inlineStr">
        <is>
          <t>YES</t>
        </is>
      </c>
      <c r="F2281" t="inlineStr">
        <is>
          <t>公正状态</t>
        </is>
      </c>
      <c r="H2281" t="inlineStr">
        <is>
          <t>CHAR</t>
        </is>
      </c>
      <c r="I2281" t="inlineStr">
        <is>
          <t>1</t>
        </is>
      </c>
    </row>
    <row r="2282">
      <c r="A2282" t="inlineStr">
        <is>
          <t>押品公证记录</t>
        </is>
      </c>
      <c r="B2282" t="inlineStr">
        <is>
          <t>CLR_NOTARIZATION_RECORD</t>
        </is>
      </c>
      <c r="C2282" t="inlineStr">
        <is>
          <t>REMARK</t>
        </is>
      </c>
      <c r="D2282" t="inlineStr">
        <is>
          <t>VARCHAR(500)</t>
        </is>
      </c>
      <c r="E2282" t="inlineStr">
        <is>
          <t>YES</t>
        </is>
      </c>
      <c r="F2282" t="inlineStr">
        <is>
          <t>备注</t>
        </is>
      </c>
      <c r="H2282" t="inlineStr">
        <is>
          <t>VARCHAR</t>
        </is>
      </c>
      <c r="I2282" t="inlineStr">
        <is>
          <t>500</t>
        </is>
      </c>
    </row>
    <row r="2283">
      <c r="A2283" t="inlineStr">
        <is>
          <t>押品公证记录</t>
        </is>
      </c>
      <c r="B2283" t="inlineStr">
        <is>
          <t>CLR_NOTARIZATION_RECORD</t>
        </is>
      </c>
      <c r="C2283" t="inlineStr">
        <is>
          <t>INPUTUSERID</t>
        </is>
      </c>
      <c r="D2283" t="inlineStr">
        <is>
          <t>VARCHAR(32)</t>
        </is>
      </c>
      <c r="E2283" t="inlineStr">
        <is>
          <t>YES</t>
        </is>
      </c>
      <c r="F2283" t="inlineStr">
        <is>
          <t>登记人</t>
        </is>
      </c>
      <c r="H2283" t="inlineStr">
        <is>
          <t>VARCHAR</t>
        </is>
      </c>
      <c r="I2283" t="inlineStr">
        <is>
          <t>32</t>
        </is>
      </c>
    </row>
    <row r="2284">
      <c r="A2284" t="inlineStr">
        <is>
          <t>押品公证记录</t>
        </is>
      </c>
      <c r="B2284" t="inlineStr">
        <is>
          <t>CLR_NOTARIZATION_RECORD</t>
        </is>
      </c>
      <c r="C2284" t="inlineStr">
        <is>
          <t>INPUTORGID</t>
        </is>
      </c>
      <c r="D2284" t="inlineStr">
        <is>
          <t>VARCHAR(32)</t>
        </is>
      </c>
      <c r="E2284" t="inlineStr">
        <is>
          <t>YES</t>
        </is>
      </c>
      <c r="F2284" t="inlineStr">
        <is>
          <t>登记机构</t>
        </is>
      </c>
      <c r="H2284" t="inlineStr">
        <is>
          <t>VARCHAR</t>
        </is>
      </c>
      <c r="I2284" t="inlineStr">
        <is>
          <t>32</t>
        </is>
      </c>
    </row>
    <row r="2285">
      <c r="A2285" t="inlineStr">
        <is>
          <t>押品公证记录</t>
        </is>
      </c>
      <c r="B2285" t="inlineStr">
        <is>
          <t>CLR_NOTARIZATION_RECORD</t>
        </is>
      </c>
      <c r="C2285" t="inlineStr">
        <is>
          <t>INPUTDATE</t>
        </is>
      </c>
      <c r="D2285" t="inlineStr">
        <is>
          <t>DATETIME</t>
        </is>
      </c>
      <c r="E2285" t="inlineStr">
        <is>
          <t>YES</t>
        </is>
      </c>
      <c r="F2285" t="inlineStr">
        <is>
          <t>登记日期</t>
        </is>
      </c>
      <c r="H2285" t="inlineStr">
        <is>
          <t>DATETIME</t>
        </is>
      </c>
    </row>
    <row r="2286">
      <c r="A2286" t="inlineStr">
        <is>
          <t>押品公证记录</t>
        </is>
      </c>
      <c r="B2286" t="inlineStr">
        <is>
          <t>CLR_NOTARIZATION_RECORD</t>
        </is>
      </c>
      <c r="C2286" t="inlineStr">
        <is>
          <t>UPDATEUSERID</t>
        </is>
      </c>
      <c r="D2286" t="inlineStr">
        <is>
          <t>VARCHAR(32)</t>
        </is>
      </c>
      <c r="E2286" t="inlineStr">
        <is>
          <t>YES</t>
        </is>
      </c>
      <c r="F2286" t="inlineStr">
        <is>
          <t>更新人</t>
        </is>
      </c>
      <c r="H2286" t="inlineStr">
        <is>
          <t>VARCHAR</t>
        </is>
      </c>
      <c r="I2286" t="inlineStr">
        <is>
          <t>32</t>
        </is>
      </c>
    </row>
    <row r="2287">
      <c r="A2287" t="inlineStr">
        <is>
          <t>押品公证记录</t>
        </is>
      </c>
      <c r="B2287" t="inlineStr">
        <is>
          <t>CLR_NOTARIZATION_RECORD</t>
        </is>
      </c>
      <c r="C2287" t="inlineStr">
        <is>
          <t>UPDATEORGID</t>
        </is>
      </c>
      <c r="D2287" t="inlineStr">
        <is>
          <t>VARCHAR(32)</t>
        </is>
      </c>
      <c r="E2287" t="inlineStr">
        <is>
          <t>YES</t>
        </is>
      </c>
      <c r="F2287" t="inlineStr">
        <is>
          <t>更新机构</t>
        </is>
      </c>
      <c r="H2287" t="inlineStr">
        <is>
          <t>VARCHAR</t>
        </is>
      </c>
      <c r="I2287" t="inlineStr">
        <is>
          <t>32</t>
        </is>
      </c>
    </row>
    <row r="2288">
      <c r="A2288" t="inlineStr">
        <is>
          <t>押品公证记录</t>
        </is>
      </c>
      <c r="B2288" t="inlineStr">
        <is>
          <t>CLR_NOTARIZATION_RECORD</t>
        </is>
      </c>
      <c r="C2288" t="inlineStr">
        <is>
          <t>UPDATEDATE</t>
        </is>
      </c>
      <c r="D2288" t="inlineStr">
        <is>
          <t>DATETIME</t>
        </is>
      </c>
      <c r="E2288" t="inlineStr">
        <is>
          <t>YES</t>
        </is>
      </c>
      <c r="F2288" t="inlineStr">
        <is>
          <t>更新日期</t>
        </is>
      </c>
      <c r="H2288" t="inlineStr">
        <is>
          <t>DATETIME</t>
        </is>
      </c>
    </row>
    <row r="2289">
      <c r="A2289" t="inlineStr">
        <is>
          <t>押品公证记录</t>
        </is>
      </c>
      <c r="B2289" t="inlineStr">
        <is>
          <t>CLR_NOTARIZATION_RECORD</t>
        </is>
      </c>
      <c r="C2289" t="inlineStr">
        <is>
          <t>CORPORGID</t>
        </is>
      </c>
      <c r="D2289" t="inlineStr">
        <is>
          <t>VARCHAR(32)</t>
        </is>
      </c>
      <c r="E2289" t="inlineStr">
        <is>
          <t>YES</t>
        </is>
      </c>
      <c r="F2289" t="inlineStr">
        <is>
          <t>法人机构编号</t>
        </is>
      </c>
      <c r="H2289" t="inlineStr">
        <is>
          <t>VARCHAR</t>
        </is>
      </c>
      <c r="I2289" t="inlineStr">
        <is>
          <t>32</t>
        </is>
      </c>
    </row>
    <row r="2290">
      <c r="A2290" t="inlineStr">
        <is>
          <t>押品公证记录</t>
        </is>
      </c>
      <c r="B2290" t="inlineStr">
        <is>
          <t>CLR_NOTARIZATION_RECORD</t>
        </is>
      </c>
      <c r="C2290" t="inlineStr">
        <is>
          <t>OLDCLRID</t>
        </is>
      </c>
      <c r="D2290" t="inlineStr">
        <is>
          <t>VARCHAR(1000)</t>
        </is>
      </c>
      <c r="E2290" t="inlineStr">
        <is>
          <t>YES</t>
        </is>
      </c>
      <c r="F2290" t="inlineStr">
        <is>
          <t>合并前押品编号</t>
        </is>
      </c>
      <c r="H2290" t="inlineStr">
        <is>
          <t>VARCHAR</t>
        </is>
      </c>
      <c r="I2290" t="inlineStr">
        <is>
          <t>1000</t>
        </is>
      </c>
    </row>
    <row r="2291">
      <c r="A2291" t="inlineStr">
        <is>
          <t>押品公证记录</t>
        </is>
      </c>
      <c r="B2291" t="inlineStr">
        <is>
          <t>CLR_NOTARIZATION_RECORD</t>
        </is>
      </c>
      <c r="C2291" t="inlineStr">
        <is>
          <t>REGISTERRECORDID</t>
        </is>
      </c>
      <c r="D2291" t="inlineStr">
        <is>
          <t>VARCHAR(32)</t>
        </is>
      </c>
      <c r="E2291" t="inlineStr">
        <is>
          <t>YES</t>
        </is>
      </c>
      <c r="F2291" t="inlineStr">
        <is>
          <t>抵质押登记编号</t>
        </is>
      </c>
      <c r="H2291" t="inlineStr">
        <is>
          <t>VARCHAR</t>
        </is>
      </c>
      <c r="I2291" t="inlineStr">
        <is>
          <t>32</t>
        </is>
      </c>
    </row>
    <row r="2292">
      <c r="A2292" t="inlineStr">
        <is>
          <t>押品权属人</t>
        </is>
      </c>
      <c r="B2292" t="inlineStr">
        <is>
          <t>CLR_OWNER</t>
        </is>
      </c>
      <c r="C2292" t="inlineStr">
        <is>
          <t>CLROWNERID</t>
        </is>
      </c>
      <c r="D2292" t="inlineStr">
        <is>
          <t>VARCHAR(32)</t>
        </is>
      </c>
      <c r="E2292" t="inlineStr">
        <is>
          <t>NO</t>
        </is>
      </c>
      <c r="F2292" t="inlineStr">
        <is>
          <t>权属人编号</t>
        </is>
      </c>
      <c r="H2292" t="inlineStr">
        <is>
          <t>VARCHAR</t>
        </is>
      </c>
      <c r="I2292" t="inlineStr">
        <is>
          <t>32</t>
        </is>
      </c>
    </row>
    <row r="2293">
      <c r="A2293" t="inlineStr">
        <is>
          <t>押品权属人</t>
        </is>
      </c>
      <c r="B2293" t="inlineStr">
        <is>
          <t>CLR_OWNER</t>
        </is>
      </c>
      <c r="C2293" t="inlineStr">
        <is>
          <t>CLRID</t>
        </is>
      </c>
      <c r="D2293" t="inlineStr">
        <is>
          <t>VARCHAR(32)</t>
        </is>
      </c>
      <c r="E2293" t="inlineStr">
        <is>
          <t>YES</t>
        </is>
      </c>
      <c r="F2293" t="inlineStr">
        <is>
          <t>押品编号</t>
        </is>
      </c>
      <c r="H2293" t="inlineStr">
        <is>
          <t>VARCHAR</t>
        </is>
      </c>
      <c r="I2293" t="inlineStr">
        <is>
          <t>32</t>
        </is>
      </c>
    </row>
    <row r="2294">
      <c r="A2294" t="inlineStr">
        <is>
          <t>押品权属人</t>
        </is>
      </c>
      <c r="B2294" t="inlineStr">
        <is>
          <t>CLR_OWNER</t>
        </is>
      </c>
      <c r="C2294" t="inlineStr">
        <is>
          <t>CLROWNERNAME</t>
        </is>
      </c>
      <c r="D2294" t="inlineStr">
        <is>
          <t>VARCHAR(80)</t>
        </is>
      </c>
      <c r="E2294" t="inlineStr">
        <is>
          <t>YES</t>
        </is>
      </c>
      <c r="F2294" t="inlineStr">
        <is>
          <t>权属人名称</t>
        </is>
      </c>
      <c r="H2294" t="inlineStr">
        <is>
          <t>VARCHAR</t>
        </is>
      </c>
      <c r="I2294" t="inlineStr">
        <is>
          <t>80</t>
        </is>
      </c>
    </row>
    <row r="2295">
      <c r="A2295" t="inlineStr">
        <is>
          <t>押品权属人</t>
        </is>
      </c>
      <c r="B2295" t="inlineStr">
        <is>
          <t>CLR_OWNER</t>
        </is>
      </c>
      <c r="C2295" t="inlineStr">
        <is>
          <t>CLROWNERTYPE</t>
        </is>
      </c>
      <c r="D2295" t="inlineStr">
        <is>
          <t>VARCHAR(6)</t>
        </is>
      </c>
      <c r="E2295" t="inlineStr">
        <is>
          <t>YES</t>
        </is>
      </c>
      <c r="F2295" t="inlineStr">
        <is>
          <t>权属人类别</t>
        </is>
      </c>
      <c r="H2295" t="inlineStr">
        <is>
          <t>VARCHAR</t>
        </is>
      </c>
      <c r="I2295" t="inlineStr">
        <is>
          <t>6</t>
        </is>
      </c>
    </row>
    <row r="2296">
      <c r="A2296" t="inlineStr">
        <is>
          <t>押品权属人</t>
        </is>
      </c>
      <c r="B2296" t="inlineStr">
        <is>
          <t>CLR_OWNER</t>
        </is>
      </c>
      <c r="C2296" t="inlineStr">
        <is>
          <t>CLROWNERCERTTYPE</t>
        </is>
      </c>
      <c r="D2296" t="inlineStr">
        <is>
          <t>VARCHAR(18)</t>
        </is>
      </c>
      <c r="E2296" t="inlineStr">
        <is>
          <t>YES</t>
        </is>
      </c>
      <c r="F2296" t="inlineStr">
        <is>
          <t>权属人证件类型</t>
        </is>
      </c>
      <c r="H2296" t="inlineStr">
        <is>
          <t>VARCHAR</t>
        </is>
      </c>
      <c r="I2296" t="inlineStr">
        <is>
          <t>18</t>
        </is>
      </c>
    </row>
    <row r="2297">
      <c r="A2297" t="inlineStr">
        <is>
          <t>押品权属人</t>
        </is>
      </c>
      <c r="B2297" t="inlineStr">
        <is>
          <t>CLR_OWNER</t>
        </is>
      </c>
      <c r="C2297" t="inlineStr">
        <is>
          <t>CLROWNERCERTID</t>
        </is>
      </c>
      <c r="D2297" t="inlineStr">
        <is>
          <t>VARCHAR(32)</t>
        </is>
      </c>
      <c r="E2297" t="inlineStr">
        <is>
          <t>YES</t>
        </is>
      </c>
      <c r="F2297" t="inlineStr">
        <is>
          <t>权属人证件号码</t>
        </is>
      </c>
      <c r="H2297" t="inlineStr">
        <is>
          <t>VARCHAR</t>
        </is>
      </c>
      <c r="I2297" t="inlineStr">
        <is>
          <t>32</t>
        </is>
      </c>
    </row>
    <row r="2298">
      <c r="A2298" t="inlineStr">
        <is>
          <t>押品权属人</t>
        </is>
      </c>
      <c r="B2298" t="inlineStr">
        <is>
          <t>CLR_OWNER</t>
        </is>
      </c>
      <c r="C2298" t="inlineStr">
        <is>
          <t>PERCENTAGE</t>
        </is>
      </c>
      <c r="D2298" t="inlineStr">
        <is>
          <t>DECIMAL(18,8)</t>
        </is>
      </c>
      <c r="E2298" t="inlineStr">
        <is>
          <t>YES</t>
        </is>
      </c>
      <c r="F2298" t="inlineStr">
        <is>
          <t>分摊比例</t>
        </is>
      </c>
      <c r="H2298" t="inlineStr">
        <is>
          <t>DECIMAL</t>
        </is>
      </c>
      <c r="I2298" t="inlineStr">
        <is>
          <t>18,8</t>
        </is>
      </c>
    </row>
    <row r="2299">
      <c r="A2299" t="inlineStr">
        <is>
          <t>押品权属人</t>
        </is>
      </c>
      <c r="B2299" t="inlineStr">
        <is>
          <t>CLR_OWNER</t>
        </is>
      </c>
      <c r="C2299" t="inlineStr">
        <is>
          <t>RELATIONSHIP</t>
        </is>
      </c>
      <c r="D2299" t="inlineStr">
        <is>
          <t>VARCHAR(18)</t>
        </is>
      </c>
      <c r="E2299" t="inlineStr">
        <is>
          <t>YES</t>
        </is>
      </c>
      <c r="F2299" t="inlineStr">
        <is>
          <t>权属人与借款人关系</t>
        </is>
      </c>
      <c r="H2299" t="inlineStr">
        <is>
          <t>VARCHAR</t>
        </is>
      </c>
      <c r="I2299" t="inlineStr">
        <is>
          <t>18</t>
        </is>
      </c>
    </row>
    <row r="2300">
      <c r="A2300" t="inlineStr">
        <is>
          <t>押品权属人</t>
        </is>
      </c>
      <c r="B2300" t="inlineStr">
        <is>
          <t>CLR_OWNER</t>
        </is>
      </c>
      <c r="C2300" t="inlineStr">
        <is>
          <t>INPUTUSERID</t>
        </is>
      </c>
      <c r="D2300" t="inlineStr">
        <is>
          <t>VARCHAR(32)</t>
        </is>
      </c>
      <c r="E2300" t="inlineStr">
        <is>
          <t>YES</t>
        </is>
      </c>
      <c r="F2300" t="inlineStr">
        <is>
          <t>登记人</t>
        </is>
      </c>
      <c r="H2300" t="inlineStr">
        <is>
          <t>VARCHAR</t>
        </is>
      </c>
      <c r="I2300" t="inlineStr">
        <is>
          <t>32</t>
        </is>
      </c>
    </row>
    <row r="2301">
      <c r="A2301" t="inlineStr">
        <is>
          <t>押品权属人</t>
        </is>
      </c>
      <c r="B2301" t="inlineStr">
        <is>
          <t>CLR_OWNER</t>
        </is>
      </c>
      <c r="C2301" t="inlineStr">
        <is>
          <t>INPUTORGID</t>
        </is>
      </c>
      <c r="D2301" t="inlineStr">
        <is>
          <t>VARCHAR(32)</t>
        </is>
      </c>
      <c r="E2301" t="inlineStr">
        <is>
          <t>YES</t>
        </is>
      </c>
      <c r="F2301" t="inlineStr">
        <is>
          <t>登记机构</t>
        </is>
      </c>
      <c r="H2301" t="inlineStr">
        <is>
          <t>VARCHAR</t>
        </is>
      </c>
      <c r="I2301" t="inlineStr">
        <is>
          <t>32</t>
        </is>
      </c>
    </row>
    <row r="2302">
      <c r="A2302" t="inlineStr">
        <is>
          <t>押品权属人</t>
        </is>
      </c>
      <c r="B2302" t="inlineStr">
        <is>
          <t>CLR_OWNER</t>
        </is>
      </c>
      <c r="C2302" t="inlineStr">
        <is>
          <t>INPUTDATE</t>
        </is>
      </c>
      <c r="D2302" t="inlineStr">
        <is>
          <t>DATETIME</t>
        </is>
      </c>
      <c r="E2302" t="inlineStr">
        <is>
          <t>YES</t>
        </is>
      </c>
      <c r="F2302" t="inlineStr">
        <is>
          <t>登记时间</t>
        </is>
      </c>
      <c r="H2302" t="inlineStr">
        <is>
          <t>DATETIME</t>
        </is>
      </c>
    </row>
    <row r="2303">
      <c r="A2303" t="inlineStr">
        <is>
          <t>押品权属人</t>
        </is>
      </c>
      <c r="B2303" t="inlineStr">
        <is>
          <t>CLR_OWNER</t>
        </is>
      </c>
      <c r="C2303" t="inlineStr">
        <is>
          <t>UPDATEUSERID</t>
        </is>
      </c>
      <c r="D2303" t="inlineStr">
        <is>
          <t>VARCHAR(32)</t>
        </is>
      </c>
      <c r="E2303" t="inlineStr">
        <is>
          <t>YES</t>
        </is>
      </c>
      <c r="F2303" t="inlineStr">
        <is>
          <t>更新人</t>
        </is>
      </c>
      <c r="H2303" t="inlineStr">
        <is>
          <t>VARCHAR</t>
        </is>
      </c>
      <c r="I2303" t="inlineStr">
        <is>
          <t>32</t>
        </is>
      </c>
    </row>
    <row r="2304">
      <c r="A2304" t="inlineStr">
        <is>
          <t>押品权属人</t>
        </is>
      </c>
      <c r="B2304" t="inlineStr">
        <is>
          <t>CLR_OWNER</t>
        </is>
      </c>
      <c r="C2304" t="inlineStr">
        <is>
          <t>UPDATEORGID</t>
        </is>
      </c>
      <c r="D2304" t="inlineStr">
        <is>
          <t>VARCHAR(32)</t>
        </is>
      </c>
      <c r="E2304" t="inlineStr">
        <is>
          <t>YES</t>
        </is>
      </c>
      <c r="F2304" t="inlineStr">
        <is>
          <t>更新机构</t>
        </is>
      </c>
      <c r="H2304" t="inlineStr">
        <is>
          <t>VARCHAR</t>
        </is>
      </c>
      <c r="I2304" t="inlineStr">
        <is>
          <t>32</t>
        </is>
      </c>
    </row>
    <row r="2305">
      <c r="A2305" t="inlineStr">
        <is>
          <t>押品权属人</t>
        </is>
      </c>
      <c r="B2305" t="inlineStr">
        <is>
          <t>CLR_OWNER</t>
        </is>
      </c>
      <c r="C2305" t="inlineStr">
        <is>
          <t>UPDATEDATE</t>
        </is>
      </c>
      <c r="D2305" t="inlineStr">
        <is>
          <t>DATETIME</t>
        </is>
      </c>
      <c r="E2305" t="inlineStr">
        <is>
          <t>YES</t>
        </is>
      </c>
      <c r="F2305" t="inlineStr">
        <is>
          <t>更新时间</t>
        </is>
      </c>
      <c r="H2305" t="inlineStr">
        <is>
          <t>DATETIME</t>
        </is>
      </c>
    </row>
    <row r="2306">
      <c r="A2306" t="inlineStr">
        <is>
          <t>押品权属人</t>
        </is>
      </c>
      <c r="B2306" t="inlineStr">
        <is>
          <t>CLR_OWNER</t>
        </is>
      </c>
      <c r="C2306" t="inlineStr">
        <is>
          <t>CORPORGID</t>
        </is>
      </c>
      <c r="D2306" t="inlineStr">
        <is>
          <t>VARCHAR(32)</t>
        </is>
      </c>
      <c r="E2306" t="inlineStr">
        <is>
          <t>YES</t>
        </is>
      </c>
      <c r="F2306" t="inlineStr">
        <is>
          <t>法人机构编号</t>
        </is>
      </c>
      <c r="H2306" t="inlineStr">
        <is>
          <t>VARCHAR</t>
        </is>
      </c>
      <c r="I2306" t="inlineStr">
        <is>
          <t>32</t>
        </is>
      </c>
    </row>
    <row r="2307">
      <c r="A2307" t="inlineStr">
        <is>
          <t>押品权属人</t>
        </is>
      </c>
      <c r="B2307" t="inlineStr">
        <is>
          <t>CLR_OWNER</t>
        </is>
      </c>
      <c r="C2307" t="inlineStr">
        <is>
          <t>OLDCLRID</t>
        </is>
      </c>
      <c r="D2307" t="inlineStr">
        <is>
          <t>VARCHAR(1000)</t>
        </is>
      </c>
      <c r="E2307" t="inlineStr">
        <is>
          <t>YES</t>
        </is>
      </c>
      <c r="F2307" t="inlineStr">
        <is>
          <t>合并前押品编号</t>
        </is>
      </c>
      <c r="H2307" t="inlineStr">
        <is>
          <t>VARCHAR</t>
        </is>
      </c>
      <c r="I2307" t="inlineStr">
        <is>
          <t>1000</t>
        </is>
      </c>
    </row>
    <row r="2308">
      <c r="A2308" t="inlineStr">
        <is>
          <t>押品权属人</t>
        </is>
      </c>
      <c r="B2308" t="inlineStr">
        <is>
          <t>CLR_OWNER</t>
        </is>
      </c>
      <c r="C2308" t="inlineStr">
        <is>
          <t>REGISTERRECORDID</t>
        </is>
      </c>
      <c r="D2308" t="inlineStr">
        <is>
          <t>VARCHAR(32)</t>
        </is>
      </c>
      <c r="E2308" t="inlineStr">
        <is>
          <t>YES</t>
        </is>
      </c>
      <c r="F2308" t="inlineStr">
        <is>
          <t>抵质押登记编号</t>
        </is>
      </c>
      <c r="H2308" t="inlineStr">
        <is>
          <t>VARCHAR</t>
        </is>
      </c>
      <c r="I2308" t="inlineStr">
        <is>
          <t>32</t>
        </is>
      </c>
    </row>
    <row r="2309">
      <c r="A2309" t="inlineStr">
        <is>
          <t>押品权属人</t>
        </is>
      </c>
      <c r="B2309" t="inlineStr">
        <is>
          <t>CLR_OWNER</t>
        </is>
      </c>
      <c r="C2309" t="inlineStr">
        <is>
          <t>ECIFCUSTOMERID</t>
        </is>
      </c>
      <c r="D2309" t="inlineStr">
        <is>
          <t>VARCHAR(32)</t>
        </is>
      </c>
      <c r="E2309" t="inlineStr">
        <is>
          <t>YES</t>
        </is>
      </c>
      <c r="F2309" t="inlineStr">
        <is>
          <t>ECIF客户号</t>
        </is>
      </c>
      <c r="H2309" t="inlineStr">
        <is>
          <t>VARCHAR</t>
        </is>
      </c>
      <c r="I2309" t="inlineStr">
        <is>
          <t>32</t>
        </is>
      </c>
    </row>
    <row r="2310">
      <c r="A2310" t="inlineStr">
        <is>
          <t>合格性认定信息</t>
        </is>
      </c>
      <c r="B2310" t="inlineStr">
        <is>
          <t>CLR_QUALIFICATION_INFO</t>
        </is>
      </c>
      <c r="C2310" t="inlineStr">
        <is>
          <t>QUALIFICATIONNO</t>
        </is>
      </c>
      <c r="D2310" t="inlineStr">
        <is>
          <t>VARCHAR(32)</t>
        </is>
      </c>
      <c r="E2310" t="inlineStr">
        <is>
          <t>NO</t>
        </is>
      </c>
      <c r="F2310" t="inlineStr">
        <is>
          <t>认定信息编号</t>
        </is>
      </c>
      <c r="H2310" t="inlineStr">
        <is>
          <t>VARCHAR</t>
        </is>
      </c>
      <c r="I2310" t="inlineStr">
        <is>
          <t>32</t>
        </is>
      </c>
    </row>
    <row r="2311">
      <c r="A2311" t="inlineStr">
        <is>
          <t>合格性认定信息</t>
        </is>
      </c>
      <c r="B2311" t="inlineStr">
        <is>
          <t>CLR_QUALIFICATION_INFO</t>
        </is>
      </c>
      <c r="C2311" t="inlineStr">
        <is>
          <t>CLRID</t>
        </is>
      </c>
      <c r="D2311" t="inlineStr">
        <is>
          <t>VARCHAR(32)</t>
        </is>
      </c>
      <c r="E2311" t="inlineStr">
        <is>
          <t>YES</t>
        </is>
      </c>
      <c r="F2311" t="inlineStr">
        <is>
          <t>押品编号</t>
        </is>
      </c>
      <c r="H2311" t="inlineStr">
        <is>
          <t>VARCHAR</t>
        </is>
      </c>
      <c r="I2311" t="inlineStr">
        <is>
          <t>32</t>
        </is>
      </c>
    </row>
    <row r="2312">
      <c r="A2312" t="inlineStr">
        <is>
          <t>合格性认定信息</t>
        </is>
      </c>
      <c r="B2312" t="inlineStr">
        <is>
          <t>CLR_QUALIFICATION_INFO</t>
        </is>
      </c>
      <c r="C2312" t="inlineStr">
        <is>
          <t>CURRENTQUALIFYFLAG</t>
        </is>
      </c>
      <c r="D2312" t="inlineStr">
        <is>
          <t>CHAR(1)</t>
        </is>
      </c>
      <c r="E2312" t="inlineStr">
        <is>
          <t>YES</t>
        </is>
      </c>
      <c r="F2312" t="inlineStr">
        <is>
          <t>现行法合格标志</t>
        </is>
      </c>
      <c r="H2312" t="inlineStr">
        <is>
          <t>CHAR</t>
        </is>
      </c>
      <c r="I2312" t="inlineStr">
        <is>
          <t>1</t>
        </is>
      </c>
    </row>
    <row r="2313">
      <c r="A2313" t="inlineStr">
        <is>
          <t>合格性认定信息</t>
        </is>
      </c>
      <c r="B2313" t="inlineStr">
        <is>
          <t>CLR_QUALIFICATION_INFO</t>
        </is>
      </c>
      <c r="C2313" t="inlineStr">
        <is>
          <t>STANDARDQUALIFYFLAG</t>
        </is>
      </c>
      <c r="D2313" t="inlineStr">
        <is>
          <t>CHAR(1)</t>
        </is>
      </c>
      <c r="E2313" t="inlineStr">
        <is>
          <t>YES</t>
        </is>
      </c>
      <c r="F2313" t="inlineStr">
        <is>
          <t>标准法合格标志</t>
        </is>
      </c>
      <c r="H2313" t="inlineStr">
        <is>
          <t>CHAR</t>
        </is>
      </c>
      <c r="I2313" t="inlineStr">
        <is>
          <t>1</t>
        </is>
      </c>
    </row>
    <row r="2314">
      <c r="A2314" t="inlineStr">
        <is>
          <t>合格性认定信息</t>
        </is>
      </c>
      <c r="B2314" t="inlineStr">
        <is>
          <t>CLR_QUALIFICATION_INFO</t>
        </is>
      </c>
      <c r="C2314" t="inlineStr">
        <is>
          <t>INNERQUALIFYFLAG</t>
        </is>
      </c>
      <c r="D2314" t="inlineStr">
        <is>
          <t>CHAR(1)</t>
        </is>
      </c>
      <c r="E2314" t="inlineStr">
        <is>
          <t>YES</t>
        </is>
      </c>
      <c r="F2314" t="inlineStr">
        <is>
          <t>内评法合格标志</t>
        </is>
      </c>
      <c r="H2314" t="inlineStr">
        <is>
          <t>CHAR</t>
        </is>
      </c>
      <c r="I2314" t="inlineStr">
        <is>
          <t>1</t>
        </is>
      </c>
    </row>
    <row r="2315">
      <c r="A2315" t="inlineStr">
        <is>
          <t>合格性认定信息</t>
        </is>
      </c>
      <c r="B2315" t="inlineStr">
        <is>
          <t>CLR_QUALIFICATION_INFO</t>
        </is>
      </c>
      <c r="C2315" t="inlineStr">
        <is>
          <t>SUPERVISIONQUALIFYFLAG</t>
        </is>
      </c>
      <c r="D2315" t="inlineStr">
        <is>
          <t>CHAR(1)</t>
        </is>
      </c>
      <c r="E2315" t="inlineStr">
        <is>
          <t>YES</t>
        </is>
      </c>
      <c r="F2315" t="inlineStr">
        <is>
          <t>是否符合监管要求的合格性认定标准</t>
        </is>
      </c>
      <c r="H2315" t="inlineStr">
        <is>
          <t>CHAR</t>
        </is>
      </c>
      <c r="I2315" t="inlineStr">
        <is>
          <t>1</t>
        </is>
      </c>
    </row>
    <row r="2316">
      <c r="A2316" t="inlineStr">
        <is>
          <t>合格性认定信息</t>
        </is>
      </c>
      <c r="B2316" t="inlineStr">
        <is>
          <t>CLR_QUALIFICATION_INFO</t>
        </is>
      </c>
      <c r="C2316" t="inlineStr">
        <is>
          <t>QUALIFYDATE</t>
        </is>
      </c>
      <c r="D2316" t="inlineStr">
        <is>
          <t>DATETIME</t>
        </is>
      </c>
      <c r="E2316" t="inlineStr">
        <is>
          <t>YES</t>
        </is>
      </c>
      <c r="F2316" t="inlineStr">
        <is>
          <t>合格认定日期</t>
        </is>
      </c>
      <c r="H2316" t="inlineStr">
        <is>
          <t>DATETIME</t>
        </is>
      </c>
    </row>
    <row r="2317">
      <c r="A2317" t="inlineStr">
        <is>
          <t>合格性认定信息</t>
        </is>
      </c>
      <c r="B2317" t="inlineStr">
        <is>
          <t>CLR_QUALIFICATION_INFO</t>
        </is>
      </c>
      <c r="C2317" t="inlineStr">
        <is>
          <t>FACTICITY</t>
        </is>
      </c>
      <c r="D2317" t="inlineStr">
        <is>
          <t>CHAR(1)</t>
        </is>
      </c>
      <c r="E2317" t="inlineStr">
        <is>
          <t>YES</t>
        </is>
      </c>
      <c r="F2317" t="inlineStr">
        <is>
          <t>押品真实性</t>
        </is>
      </c>
      <c r="H2317" t="inlineStr">
        <is>
          <t>CHAR</t>
        </is>
      </c>
      <c r="I2317" t="inlineStr">
        <is>
          <t>1</t>
        </is>
      </c>
    </row>
    <row r="2318">
      <c r="A2318" t="inlineStr">
        <is>
          <t>合格性认定信息</t>
        </is>
      </c>
      <c r="B2318" t="inlineStr">
        <is>
          <t>CLR_QUALIFICATION_INFO</t>
        </is>
      </c>
      <c r="C2318" t="inlineStr">
        <is>
          <t>PORPERTYINSURANCE</t>
        </is>
      </c>
      <c r="D2318" t="inlineStr">
        <is>
          <t>CHAR(1)</t>
        </is>
      </c>
      <c r="E2318" t="inlineStr">
        <is>
          <t>YES</t>
        </is>
      </c>
      <c r="F2318" t="inlineStr">
        <is>
          <t>财产损害险</t>
        </is>
      </c>
      <c r="H2318" t="inlineStr">
        <is>
          <t>CHAR</t>
        </is>
      </c>
      <c r="I2318" t="inlineStr">
        <is>
          <t>1</t>
        </is>
      </c>
    </row>
    <row r="2319">
      <c r="A2319" t="inlineStr">
        <is>
          <t>合格性认定信息</t>
        </is>
      </c>
      <c r="B2319" t="inlineStr">
        <is>
          <t>CLR_QUALIFICATION_INFO</t>
        </is>
      </c>
      <c r="C2319" t="inlineStr">
        <is>
          <t>VIRTUALCORRELATION</t>
        </is>
      </c>
      <c r="D2319" t="inlineStr">
        <is>
          <t>CHAR(1)</t>
        </is>
      </c>
      <c r="E2319" t="inlineStr">
        <is>
          <t>YES</t>
        </is>
      </c>
      <c r="F2319" t="inlineStr">
        <is>
          <t>实质相关性</t>
        </is>
      </c>
      <c r="H2319" t="inlineStr">
        <is>
          <t>CHAR</t>
        </is>
      </c>
      <c r="I2319" t="inlineStr">
        <is>
          <t>1</t>
        </is>
      </c>
    </row>
    <row r="2320">
      <c r="A2320" t="inlineStr">
        <is>
          <t>合格性认定信息</t>
        </is>
      </c>
      <c r="B2320" t="inlineStr">
        <is>
          <t>CLR_QUALIFICATION_INFO</t>
        </is>
      </c>
      <c r="C2320" t="inlineStr">
        <is>
          <t>DEALCONVENIENCE</t>
        </is>
      </c>
      <c r="D2320" t="inlineStr">
        <is>
          <t>CHAR(1)</t>
        </is>
      </c>
      <c r="E2320" t="inlineStr">
        <is>
          <t>YES</t>
        </is>
      </c>
      <c r="F2320" t="inlineStr">
        <is>
          <t>处置便利性</t>
        </is>
      </c>
      <c r="H2320" t="inlineStr">
        <is>
          <t>CHAR</t>
        </is>
      </c>
      <c r="I2320" t="inlineStr">
        <is>
          <t>1</t>
        </is>
      </c>
    </row>
    <row r="2321">
      <c r="A2321" t="inlineStr">
        <is>
          <t>合格性认定信息</t>
        </is>
      </c>
      <c r="B2321" t="inlineStr">
        <is>
          <t>CLR_QUALIFICATION_INFO</t>
        </is>
      </c>
      <c r="C2321" t="inlineStr">
        <is>
          <t>LIQUIDITY</t>
        </is>
      </c>
      <c r="D2321" t="inlineStr">
        <is>
          <t>CHAR(1)</t>
        </is>
      </c>
      <c r="E2321" t="inlineStr">
        <is>
          <t>YES</t>
        </is>
      </c>
      <c r="F2321" t="inlineStr">
        <is>
          <t>变现能力</t>
        </is>
      </c>
      <c r="H2321" t="inlineStr">
        <is>
          <t>CHAR</t>
        </is>
      </c>
      <c r="I2321" t="inlineStr">
        <is>
          <t>1</t>
        </is>
      </c>
    </row>
    <row r="2322">
      <c r="A2322" t="inlineStr">
        <is>
          <t>合格性认定信息</t>
        </is>
      </c>
      <c r="B2322" t="inlineStr">
        <is>
          <t>CLR_QUALIFICATION_INFO</t>
        </is>
      </c>
      <c r="C2322" t="inlineStr">
        <is>
          <t>PRIORITYCLAIM</t>
        </is>
      </c>
      <c r="D2322" t="inlineStr">
        <is>
          <t>CHAR(1)</t>
        </is>
      </c>
      <c r="E2322" t="inlineStr">
        <is>
          <t>YES</t>
        </is>
      </c>
      <c r="F2322" t="inlineStr">
        <is>
          <t>优先受偿权</t>
        </is>
      </c>
      <c r="H2322" t="inlineStr">
        <is>
          <t>CHAR</t>
        </is>
      </c>
      <c r="I2322" t="inlineStr">
        <is>
          <t>1</t>
        </is>
      </c>
    </row>
    <row r="2323">
      <c r="A2323" t="inlineStr">
        <is>
          <t>合格性认定信息</t>
        </is>
      </c>
      <c r="B2323" t="inlineStr">
        <is>
          <t>CLR_QUALIFICATION_INFO</t>
        </is>
      </c>
      <c r="C2323" t="inlineStr">
        <is>
          <t>ASSESSFREQUENCY</t>
        </is>
      </c>
      <c r="D2323" t="inlineStr">
        <is>
          <t>CHAR(1)</t>
        </is>
      </c>
      <c r="E2323" t="inlineStr">
        <is>
          <t>YES</t>
        </is>
      </c>
      <c r="F2323" t="inlineStr">
        <is>
          <t>抵押物评估频率</t>
        </is>
      </c>
      <c r="H2323" t="inlineStr">
        <is>
          <t>CHAR</t>
        </is>
      </c>
      <c r="I2323" t="inlineStr">
        <is>
          <t>1</t>
        </is>
      </c>
    </row>
    <row r="2324">
      <c r="A2324" t="inlineStr">
        <is>
          <t>合格性认定信息</t>
        </is>
      </c>
      <c r="B2324" t="inlineStr">
        <is>
          <t>CLR_QUALIFICATION_INFO</t>
        </is>
      </c>
      <c r="C2324" t="inlineStr">
        <is>
          <t>LEGALCERTAINTY</t>
        </is>
      </c>
      <c r="D2324" t="inlineStr">
        <is>
          <t>CHAR(1)</t>
        </is>
      </c>
      <c r="E2324" t="inlineStr">
        <is>
          <t>YES</t>
        </is>
      </c>
      <c r="F2324" t="inlineStr">
        <is>
          <t>法律确定性</t>
        </is>
      </c>
      <c r="H2324" t="inlineStr">
        <is>
          <t>CHAR</t>
        </is>
      </c>
      <c r="I2324" t="inlineStr">
        <is>
          <t>1</t>
        </is>
      </c>
    </row>
    <row r="2325">
      <c r="A2325" t="inlineStr">
        <is>
          <t>合格性认定信息</t>
        </is>
      </c>
      <c r="B2325" t="inlineStr">
        <is>
          <t>CLR_QUALIFICATION_INFO</t>
        </is>
      </c>
      <c r="C2325" t="inlineStr">
        <is>
          <t>PROJECTCOMPLETEDEGREE</t>
        </is>
      </c>
      <c r="D2325" t="inlineStr">
        <is>
          <t>CHAR(1)</t>
        </is>
      </c>
      <c r="E2325" t="inlineStr">
        <is>
          <t>YES</t>
        </is>
      </c>
      <c r="F2325" t="inlineStr">
        <is>
          <t>工程完工程度</t>
        </is>
      </c>
      <c r="H2325" t="inlineStr">
        <is>
          <t>CHAR</t>
        </is>
      </c>
      <c r="I2325" t="inlineStr">
        <is>
          <t>1</t>
        </is>
      </c>
    </row>
    <row r="2326">
      <c r="A2326" t="inlineStr">
        <is>
          <t>合格性认定信息</t>
        </is>
      </c>
      <c r="B2326" t="inlineStr">
        <is>
          <t>CLR_QUALIFICATION_INFO</t>
        </is>
      </c>
      <c r="C2326" t="inlineStr">
        <is>
          <t>PROJECTPROPERTY</t>
        </is>
      </c>
      <c r="D2326" t="inlineStr">
        <is>
          <t>CHAR(1)</t>
        </is>
      </c>
      <c r="E2326" t="inlineStr">
        <is>
          <t>YES</t>
        </is>
      </c>
      <c r="F2326" t="inlineStr">
        <is>
          <t>在建工程性质</t>
        </is>
      </c>
      <c r="H2326" t="inlineStr">
        <is>
          <t>CHAR</t>
        </is>
      </c>
      <c r="I2326" t="inlineStr">
        <is>
          <t>1</t>
        </is>
      </c>
    </row>
    <row r="2327">
      <c r="A2327" t="inlineStr">
        <is>
          <t>合格性认定信息</t>
        </is>
      </c>
      <c r="B2327" t="inlineStr">
        <is>
          <t>CLR_QUALIFICATION_INFO</t>
        </is>
      </c>
      <c r="C2327" t="inlineStr">
        <is>
          <t>INPUTUSERID</t>
        </is>
      </c>
      <c r="D2327" t="inlineStr">
        <is>
          <t>VARCHAR(32)</t>
        </is>
      </c>
      <c r="E2327" t="inlineStr">
        <is>
          <t>YES</t>
        </is>
      </c>
      <c r="F2327" t="inlineStr">
        <is>
          <t>登记人</t>
        </is>
      </c>
      <c r="H2327" t="inlineStr">
        <is>
          <t>VARCHAR</t>
        </is>
      </c>
      <c r="I2327" t="inlineStr">
        <is>
          <t>32</t>
        </is>
      </c>
    </row>
    <row r="2328">
      <c r="A2328" t="inlineStr">
        <is>
          <t>合格性认定信息</t>
        </is>
      </c>
      <c r="B2328" t="inlineStr">
        <is>
          <t>CLR_QUALIFICATION_INFO</t>
        </is>
      </c>
      <c r="C2328" t="inlineStr">
        <is>
          <t>INPUTORGID</t>
        </is>
      </c>
      <c r="D2328" t="inlineStr">
        <is>
          <t>VARCHAR(32)</t>
        </is>
      </c>
      <c r="E2328" t="inlineStr">
        <is>
          <t>YES</t>
        </is>
      </c>
      <c r="F2328" t="inlineStr">
        <is>
          <t>登记机构</t>
        </is>
      </c>
      <c r="H2328" t="inlineStr">
        <is>
          <t>VARCHAR</t>
        </is>
      </c>
      <c r="I2328" t="inlineStr">
        <is>
          <t>32</t>
        </is>
      </c>
    </row>
    <row r="2329">
      <c r="A2329" t="inlineStr">
        <is>
          <t>合格性认定信息</t>
        </is>
      </c>
      <c r="B2329" t="inlineStr">
        <is>
          <t>CLR_QUALIFICATION_INFO</t>
        </is>
      </c>
      <c r="C2329" t="inlineStr">
        <is>
          <t>INPUTDATE</t>
        </is>
      </c>
      <c r="D2329" t="inlineStr">
        <is>
          <t>DATETIME</t>
        </is>
      </c>
      <c r="E2329" t="inlineStr">
        <is>
          <t>YES</t>
        </is>
      </c>
      <c r="F2329" t="inlineStr">
        <is>
          <t>登记日期</t>
        </is>
      </c>
      <c r="H2329" t="inlineStr">
        <is>
          <t>DATETIME</t>
        </is>
      </c>
    </row>
    <row r="2330">
      <c r="A2330" t="inlineStr">
        <is>
          <t>合格性认定信息</t>
        </is>
      </c>
      <c r="B2330" t="inlineStr">
        <is>
          <t>CLR_QUALIFICATION_INFO</t>
        </is>
      </c>
      <c r="C2330" t="inlineStr">
        <is>
          <t>UPDATEUSERID</t>
        </is>
      </c>
      <c r="D2330" t="inlineStr">
        <is>
          <t>VARCHAR(32)</t>
        </is>
      </c>
      <c r="E2330" t="inlineStr">
        <is>
          <t>YES</t>
        </is>
      </c>
      <c r="F2330" t="inlineStr">
        <is>
          <t>更新人</t>
        </is>
      </c>
      <c r="H2330" t="inlineStr">
        <is>
          <t>VARCHAR</t>
        </is>
      </c>
      <c r="I2330" t="inlineStr">
        <is>
          <t>32</t>
        </is>
      </c>
    </row>
    <row r="2331">
      <c r="A2331" t="inlineStr">
        <is>
          <t>合格性认定信息</t>
        </is>
      </c>
      <c r="B2331" t="inlineStr">
        <is>
          <t>CLR_QUALIFICATION_INFO</t>
        </is>
      </c>
      <c r="C2331" t="inlineStr">
        <is>
          <t>UPDATEORGID</t>
        </is>
      </c>
      <c r="D2331" t="inlineStr">
        <is>
          <t>VARCHAR(32)</t>
        </is>
      </c>
      <c r="E2331" t="inlineStr">
        <is>
          <t>YES</t>
        </is>
      </c>
      <c r="F2331" t="inlineStr">
        <is>
          <t>更新机构</t>
        </is>
      </c>
      <c r="H2331" t="inlineStr">
        <is>
          <t>VARCHAR</t>
        </is>
      </c>
      <c r="I2331" t="inlineStr">
        <is>
          <t>32</t>
        </is>
      </c>
    </row>
    <row r="2332">
      <c r="A2332" t="inlineStr">
        <is>
          <t>合格性认定信息</t>
        </is>
      </c>
      <c r="B2332" t="inlineStr">
        <is>
          <t>CLR_QUALIFICATION_INFO</t>
        </is>
      </c>
      <c r="C2332" t="inlineStr">
        <is>
          <t>UPDATEDATE</t>
        </is>
      </c>
      <c r="D2332" t="inlineStr">
        <is>
          <t>DATETIME</t>
        </is>
      </c>
      <c r="E2332" t="inlineStr">
        <is>
          <t>YES</t>
        </is>
      </c>
      <c r="F2332" t="inlineStr">
        <is>
          <t>更新日期</t>
        </is>
      </c>
      <c r="H2332" t="inlineStr">
        <is>
          <t>DATETIME</t>
        </is>
      </c>
    </row>
    <row r="2333">
      <c r="A2333" t="inlineStr">
        <is>
          <t>合格性认定信息</t>
        </is>
      </c>
      <c r="B2333" t="inlineStr">
        <is>
          <t>CLR_QUALIFICATION_INFO</t>
        </is>
      </c>
      <c r="C2333" t="inlineStr">
        <is>
          <t>CORPORGID</t>
        </is>
      </c>
      <c r="D2333" t="inlineStr">
        <is>
          <t>VARCHAR(32)</t>
        </is>
      </c>
      <c r="E2333" t="inlineStr">
        <is>
          <t>YES</t>
        </is>
      </c>
      <c r="F2333" t="inlineStr">
        <is>
          <t>法人机构编号</t>
        </is>
      </c>
      <c r="H2333" t="inlineStr">
        <is>
          <t>VARCHAR</t>
        </is>
      </c>
      <c r="I2333" t="inlineStr">
        <is>
          <t>32</t>
        </is>
      </c>
    </row>
    <row r="2334">
      <c r="A2334" t="inlineStr">
        <is>
          <t>合格性认定信息</t>
        </is>
      </c>
      <c r="B2334" t="inlineStr">
        <is>
          <t>CLR_QUALIFICATION_INFO</t>
        </is>
      </c>
      <c r="C2334" t="inlineStr">
        <is>
          <t>REGISTERRECORDID</t>
        </is>
      </c>
      <c r="D2334" t="inlineStr">
        <is>
          <t>VARCHAR(32)</t>
        </is>
      </c>
      <c r="E2334" t="inlineStr">
        <is>
          <t>YES</t>
        </is>
      </c>
      <c r="F2334" t="inlineStr">
        <is>
          <t>抵质押登记编号</t>
        </is>
      </c>
      <c r="H2334" t="inlineStr">
        <is>
          <t>VARCHAR</t>
        </is>
      </c>
      <c r="I2334" t="inlineStr">
        <is>
          <t>32</t>
        </is>
      </c>
    </row>
    <row r="2335">
      <c r="A2335" t="inlineStr">
        <is>
          <t>担保人信息表(认定无用，暂时保留)</t>
        </is>
      </c>
      <c r="B2335" t="inlineStr">
        <is>
          <t>GUARANTOR_INFO</t>
        </is>
      </c>
      <c r="C2335" t="inlineStr">
        <is>
          <t>SERIALNO</t>
        </is>
      </c>
      <c r="D2335" t="inlineStr">
        <is>
          <t>VARCHAR(32)</t>
        </is>
      </c>
      <c r="E2335" t="inlineStr">
        <is>
          <t>NO</t>
        </is>
      </c>
      <c r="F2335" t="inlineStr">
        <is>
          <t>流水号</t>
        </is>
      </c>
      <c r="H2335" t="inlineStr">
        <is>
          <t>VARCHAR</t>
        </is>
      </c>
      <c r="I2335" t="inlineStr">
        <is>
          <t>32</t>
        </is>
      </c>
    </row>
    <row r="2336">
      <c r="A2336" t="inlineStr">
        <is>
          <t>担保人信息表(认定无用，暂时保留)</t>
        </is>
      </c>
      <c r="B2336" t="inlineStr">
        <is>
          <t>GUARANTOR_INFO</t>
        </is>
      </c>
      <c r="C2336" t="inlineStr">
        <is>
          <t>GUARANTYCONTRACTNO</t>
        </is>
      </c>
      <c r="D2336" t="inlineStr">
        <is>
          <t>VARCHAR(32)</t>
        </is>
      </c>
      <c r="E2336" t="inlineStr">
        <is>
          <t>YES</t>
        </is>
      </c>
      <c r="F2336" t="inlineStr">
        <is>
          <t>担保合同编号</t>
        </is>
      </c>
      <c r="H2336" t="inlineStr">
        <is>
          <t>VARCHAR</t>
        </is>
      </c>
      <c r="I2336" t="inlineStr">
        <is>
          <t>32</t>
        </is>
      </c>
    </row>
    <row r="2337">
      <c r="A2337" t="inlineStr">
        <is>
          <t>担保人信息表(认定无用，暂时保留)</t>
        </is>
      </c>
      <c r="B2337" t="inlineStr">
        <is>
          <t>GUARANTOR_INFO</t>
        </is>
      </c>
      <c r="C2337" t="inlineStr">
        <is>
          <t>CUSTOMERID</t>
        </is>
      </c>
      <c r="D2337" t="inlineStr">
        <is>
          <t>VARCHAR(32)</t>
        </is>
      </c>
      <c r="E2337" t="inlineStr">
        <is>
          <t>YES</t>
        </is>
      </c>
      <c r="F2337" t="inlineStr">
        <is>
          <t>担保人编号</t>
        </is>
      </c>
      <c r="H2337" t="inlineStr">
        <is>
          <t>VARCHAR</t>
        </is>
      </c>
      <c r="I2337" t="inlineStr">
        <is>
          <t>32</t>
        </is>
      </c>
    </row>
    <row r="2338">
      <c r="A2338" t="inlineStr">
        <is>
          <t>担保人信息表(认定无用，暂时保留)</t>
        </is>
      </c>
      <c r="B2338" t="inlineStr">
        <is>
          <t>GUARANTOR_INFO</t>
        </is>
      </c>
      <c r="C2338" t="inlineStr">
        <is>
          <t>GUARANTORNAME</t>
        </is>
      </c>
      <c r="D2338" t="inlineStr">
        <is>
          <t>VARCHAR(80)</t>
        </is>
      </c>
      <c r="E2338" t="inlineStr">
        <is>
          <t>YES</t>
        </is>
      </c>
      <c r="F2338" t="inlineStr">
        <is>
          <t>担保人名称</t>
        </is>
      </c>
      <c r="H2338" t="inlineStr">
        <is>
          <t>VARCHAR</t>
        </is>
      </c>
      <c r="I2338" t="inlineStr">
        <is>
          <t>80</t>
        </is>
      </c>
    </row>
    <row r="2339">
      <c r="A2339" t="inlineStr">
        <is>
          <t>担保人信息表(认定无用，暂时保留)</t>
        </is>
      </c>
      <c r="B2339" t="inlineStr">
        <is>
          <t>GUARANTOR_INFO</t>
        </is>
      </c>
      <c r="C2339" t="inlineStr">
        <is>
          <t>SEX</t>
        </is>
      </c>
      <c r="D2339" t="inlineStr">
        <is>
          <t>VARCHAR(6)</t>
        </is>
      </c>
      <c r="E2339" t="inlineStr">
        <is>
          <t>YES</t>
        </is>
      </c>
      <c r="F2339" t="inlineStr">
        <is>
          <t>担保人性别</t>
        </is>
      </c>
      <c r="H2339" t="inlineStr">
        <is>
          <t>VARCHAR</t>
        </is>
      </c>
      <c r="I2339" t="inlineStr">
        <is>
          <t>6</t>
        </is>
      </c>
    </row>
    <row r="2340">
      <c r="A2340" t="inlineStr">
        <is>
          <t>担保人信息表(认定无用，暂时保留)</t>
        </is>
      </c>
      <c r="B2340" t="inlineStr">
        <is>
          <t>GUARANTOR_INFO</t>
        </is>
      </c>
      <c r="C2340" t="inlineStr">
        <is>
          <t>GUARANTORCERTTYPE</t>
        </is>
      </c>
      <c r="D2340" t="inlineStr">
        <is>
          <t>VARCHAR(18)</t>
        </is>
      </c>
      <c r="E2340" t="inlineStr">
        <is>
          <t>YES</t>
        </is>
      </c>
      <c r="F2340" t="inlineStr">
        <is>
          <t>担保人证件类型</t>
        </is>
      </c>
      <c r="H2340" t="inlineStr">
        <is>
          <t>VARCHAR</t>
        </is>
      </c>
      <c r="I2340" t="inlineStr">
        <is>
          <t>18</t>
        </is>
      </c>
    </row>
    <row r="2341">
      <c r="A2341" t="inlineStr">
        <is>
          <t>担保人信息表(认定无用，暂时保留)</t>
        </is>
      </c>
      <c r="B2341" t="inlineStr">
        <is>
          <t>GUARANTOR_INFO</t>
        </is>
      </c>
      <c r="C2341" t="inlineStr">
        <is>
          <t>GUARANTORCERTID</t>
        </is>
      </c>
      <c r="D2341" t="inlineStr">
        <is>
          <t>VARCHAR(32)</t>
        </is>
      </c>
      <c r="E2341" t="inlineStr">
        <is>
          <t>YES</t>
        </is>
      </c>
      <c r="F2341" t="inlineStr">
        <is>
          <t>担保人证件编号</t>
        </is>
      </c>
      <c r="H2341" t="inlineStr">
        <is>
          <t>VARCHAR</t>
        </is>
      </c>
      <c r="I2341" t="inlineStr">
        <is>
          <t>32</t>
        </is>
      </c>
    </row>
    <row r="2342">
      <c r="A2342" t="inlineStr">
        <is>
          <t>担保人信息表(认定无用，暂时保留)</t>
        </is>
      </c>
      <c r="B2342" t="inlineStr">
        <is>
          <t>GUARANTOR_INFO</t>
        </is>
      </c>
      <c r="C2342" t="inlineStr">
        <is>
          <t>PHONENO</t>
        </is>
      </c>
      <c r="D2342" t="inlineStr">
        <is>
          <t>VARCHAR(32)</t>
        </is>
      </c>
      <c r="E2342" t="inlineStr">
        <is>
          <t>YES</t>
        </is>
      </c>
      <c r="F2342" t="inlineStr">
        <is>
          <t>担保人联系方式</t>
        </is>
      </c>
      <c r="H2342" t="inlineStr">
        <is>
          <t>VARCHAR</t>
        </is>
      </c>
      <c r="I2342" t="inlineStr">
        <is>
          <t>32</t>
        </is>
      </c>
    </row>
    <row r="2343">
      <c r="A2343" t="inlineStr">
        <is>
          <t>担保人信息表(认定无用，暂时保留)</t>
        </is>
      </c>
      <c r="B2343" t="inlineStr">
        <is>
          <t>GUARANTOR_INFO</t>
        </is>
      </c>
      <c r="C2343" t="inlineStr">
        <is>
          <t>LOANCARDNO</t>
        </is>
      </c>
      <c r="D2343" t="inlineStr">
        <is>
          <t>VARCHAR(32)</t>
        </is>
      </c>
      <c r="E2343" t="inlineStr">
        <is>
          <t>YES</t>
        </is>
      </c>
      <c r="F2343" t="inlineStr">
        <is>
          <t>担保人中征码</t>
        </is>
      </c>
      <c r="H2343" t="inlineStr">
        <is>
          <t>VARCHAR</t>
        </is>
      </c>
      <c r="I2343" t="inlineStr">
        <is>
          <t>32</t>
        </is>
      </c>
    </row>
    <row r="2344">
      <c r="A2344" t="inlineStr">
        <is>
          <t>担保人信息表(认定无用，暂时保留)</t>
        </is>
      </c>
      <c r="B2344" t="inlineStr">
        <is>
          <t>GUARANTOR_INFO</t>
        </is>
      </c>
      <c r="C2344" t="inlineStr">
        <is>
          <t>ABSORPTIONRATE</t>
        </is>
      </c>
      <c r="D2344" t="inlineStr">
        <is>
          <t>DECIMAL(24,6)</t>
        </is>
      </c>
      <c r="E2344" t="inlineStr">
        <is>
          <t>YES</t>
        </is>
      </c>
      <c r="F2344" t="inlineStr">
        <is>
          <t>分摊担保金额</t>
        </is>
      </c>
      <c r="H2344" t="inlineStr">
        <is>
          <t>DECIMAL</t>
        </is>
      </c>
      <c r="I2344" t="inlineStr">
        <is>
          <t>24,6</t>
        </is>
      </c>
    </row>
    <row r="2345">
      <c r="A2345" t="inlineStr">
        <is>
          <t>担保人信息表(认定无用，暂时保留)</t>
        </is>
      </c>
      <c r="B2345" t="inlineStr">
        <is>
          <t>GUARANTOR_INFO</t>
        </is>
      </c>
      <c r="C2345" t="inlineStr">
        <is>
          <t>GUARANTEEFORM</t>
        </is>
      </c>
      <c r="D2345" t="inlineStr">
        <is>
          <t>VARCHAR(6)</t>
        </is>
      </c>
      <c r="E2345" t="inlineStr">
        <is>
          <t>YES</t>
        </is>
      </c>
      <c r="F2345" t="inlineStr">
        <is>
          <t>保证担保形式</t>
        </is>
      </c>
      <c r="H2345" t="inlineStr">
        <is>
          <t>VARCHAR</t>
        </is>
      </c>
      <c r="I2345" t="inlineStr">
        <is>
          <t>6</t>
        </is>
      </c>
    </row>
    <row r="2346">
      <c r="A2346" t="inlineStr">
        <is>
          <t>担保人信息表(认定无用，暂时保留)</t>
        </is>
      </c>
      <c r="B2346" t="inlineStr">
        <is>
          <t>GUARANTOR_INFO</t>
        </is>
      </c>
      <c r="C2346" t="inlineStr">
        <is>
          <t>GUARANTORSTATUS</t>
        </is>
      </c>
      <c r="D2346" t="inlineStr">
        <is>
          <t>VARCHAR(6)</t>
        </is>
      </c>
      <c r="E2346" t="inlineStr">
        <is>
          <t>YES</t>
        </is>
      </c>
      <c r="F2346" t="inlineStr">
        <is>
          <t>担保人有效状态</t>
        </is>
      </c>
      <c r="H2346" t="inlineStr">
        <is>
          <t>VARCHAR</t>
        </is>
      </c>
      <c r="I2346" t="inlineStr">
        <is>
          <t>6</t>
        </is>
      </c>
    </row>
    <row r="2347">
      <c r="A2347" t="inlineStr">
        <is>
          <t>担保人信息表(认定无用，暂时保留)</t>
        </is>
      </c>
      <c r="B2347" t="inlineStr">
        <is>
          <t>GUARANTOR_INFO</t>
        </is>
      </c>
      <c r="C2347" t="inlineStr">
        <is>
          <t>REMARK</t>
        </is>
      </c>
      <c r="D2347" t="inlineStr">
        <is>
          <t>VARCHAR(1000)</t>
        </is>
      </c>
      <c r="E2347" t="inlineStr">
        <is>
          <t>YES</t>
        </is>
      </c>
      <c r="F2347" t="inlineStr">
        <is>
          <t>备注</t>
        </is>
      </c>
      <c r="H2347" t="inlineStr">
        <is>
          <t>VARCHAR</t>
        </is>
      </c>
      <c r="I2347" t="inlineStr">
        <is>
          <t>1000</t>
        </is>
      </c>
    </row>
    <row r="2348">
      <c r="A2348" t="inlineStr">
        <is>
          <t>担保人信息表(认定无用，暂时保留)</t>
        </is>
      </c>
      <c r="B2348" t="inlineStr">
        <is>
          <t>GUARANTOR_INFO</t>
        </is>
      </c>
      <c r="C2348" t="inlineStr">
        <is>
          <t>INPUTORGID</t>
        </is>
      </c>
      <c r="D2348" t="inlineStr">
        <is>
          <t>VARCHAR(32)</t>
        </is>
      </c>
      <c r="E2348" t="inlineStr">
        <is>
          <t>YES</t>
        </is>
      </c>
      <c r="F2348" t="inlineStr">
        <is>
          <t>登记机构</t>
        </is>
      </c>
      <c r="H2348" t="inlineStr">
        <is>
          <t>VARCHAR</t>
        </is>
      </c>
      <c r="I2348" t="inlineStr">
        <is>
          <t>32</t>
        </is>
      </c>
    </row>
    <row r="2349">
      <c r="A2349" t="inlineStr">
        <is>
          <t>担保人信息表(认定无用，暂时保留)</t>
        </is>
      </c>
      <c r="B2349" t="inlineStr">
        <is>
          <t>GUARANTOR_INFO</t>
        </is>
      </c>
      <c r="C2349" t="inlineStr">
        <is>
          <t>INPUTUSERID</t>
        </is>
      </c>
      <c r="D2349" t="inlineStr">
        <is>
          <t>VARCHAR(32)</t>
        </is>
      </c>
      <c r="E2349" t="inlineStr">
        <is>
          <t>YES</t>
        </is>
      </c>
      <c r="F2349" t="inlineStr">
        <is>
          <t>登记人</t>
        </is>
      </c>
      <c r="H2349" t="inlineStr">
        <is>
          <t>VARCHAR</t>
        </is>
      </c>
      <c r="I2349" t="inlineStr">
        <is>
          <t>32</t>
        </is>
      </c>
    </row>
    <row r="2350">
      <c r="A2350" t="inlineStr">
        <is>
          <t>担保人信息表(认定无用，暂时保留)</t>
        </is>
      </c>
      <c r="B2350" t="inlineStr">
        <is>
          <t>GUARANTOR_INFO</t>
        </is>
      </c>
      <c r="C2350" t="inlineStr">
        <is>
          <t>INPUTDATE</t>
        </is>
      </c>
      <c r="D2350" t="inlineStr">
        <is>
          <t>DATETIME</t>
        </is>
      </c>
      <c r="E2350" t="inlineStr">
        <is>
          <t>YES</t>
        </is>
      </c>
      <c r="F2350" t="inlineStr">
        <is>
          <t>登记日期</t>
        </is>
      </c>
      <c r="H2350" t="inlineStr">
        <is>
          <t>DATETIME</t>
        </is>
      </c>
    </row>
    <row r="2351">
      <c r="A2351" t="inlineStr">
        <is>
          <t>担保人信息表(认定无用，暂时保留)</t>
        </is>
      </c>
      <c r="B2351" t="inlineStr">
        <is>
          <t>GUARANTOR_INFO</t>
        </is>
      </c>
      <c r="C2351" t="inlineStr">
        <is>
          <t>UPDATEORGID</t>
        </is>
      </c>
      <c r="D2351" t="inlineStr">
        <is>
          <t>VARCHAR(32)</t>
        </is>
      </c>
      <c r="E2351" t="inlineStr">
        <is>
          <t>YES</t>
        </is>
      </c>
      <c r="F2351" t="inlineStr">
        <is>
          <t>更新机构</t>
        </is>
      </c>
      <c r="H2351" t="inlineStr">
        <is>
          <t>VARCHAR</t>
        </is>
      </c>
      <c r="I2351" t="inlineStr">
        <is>
          <t>32</t>
        </is>
      </c>
    </row>
    <row r="2352">
      <c r="A2352" t="inlineStr">
        <is>
          <t>担保人信息表(认定无用，暂时保留)</t>
        </is>
      </c>
      <c r="B2352" t="inlineStr">
        <is>
          <t>GUARANTOR_INFO</t>
        </is>
      </c>
      <c r="C2352" t="inlineStr">
        <is>
          <t>UPDATEUSERID</t>
        </is>
      </c>
      <c r="D2352" t="inlineStr">
        <is>
          <t>VARCHAR(32)</t>
        </is>
      </c>
      <c r="E2352" t="inlineStr">
        <is>
          <t>YES</t>
        </is>
      </c>
      <c r="F2352" t="inlineStr">
        <is>
          <t>更新人</t>
        </is>
      </c>
      <c r="H2352" t="inlineStr">
        <is>
          <t>VARCHAR</t>
        </is>
      </c>
      <c r="I2352" t="inlineStr">
        <is>
          <t>32</t>
        </is>
      </c>
    </row>
    <row r="2353">
      <c r="A2353" t="inlineStr">
        <is>
          <t>担保人信息表(认定无用，暂时保留)</t>
        </is>
      </c>
      <c r="B2353" t="inlineStr">
        <is>
          <t>GUARANTOR_INFO</t>
        </is>
      </c>
      <c r="C2353" t="inlineStr">
        <is>
          <t>UPDATEDATE</t>
        </is>
      </c>
      <c r="D2353" t="inlineStr">
        <is>
          <t>DATETIME</t>
        </is>
      </c>
      <c r="E2353" t="inlineStr">
        <is>
          <t>YES</t>
        </is>
      </c>
      <c r="F2353" t="inlineStr">
        <is>
          <t>更新日期</t>
        </is>
      </c>
      <c r="H2353" t="inlineStr">
        <is>
          <t>DATETIME</t>
        </is>
      </c>
    </row>
    <row r="2354">
      <c r="A2354" t="inlineStr">
        <is>
          <t>担保人信息表(认定无用，暂时保留)</t>
        </is>
      </c>
      <c r="B2354" t="inlineStr">
        <is>
          <t>GUARANTOR_INFO</t>
        </is>
      </c>
      <c r="C2354" t="inlineStr">
        <is>
          <t>CORPORGID</t>
        </is>
      </c>
      <c r="D2354" t="inlineStr">
        <is>
          <t>VARCHAR(32)</t>
        </is>
      </c>
      <c r="E2354" t="inlineStr">
        <is>
          <t>YES</t>
        </is>
      </c>
      <c r="F2354" t="inlineStr">
        <is>
          <t>法人机构编号</t>
        </is>
      </c>
      <c r="H2354" t="inlineStr">
        <is>
          <t>VARCHAR</t>
        </is>
      </c>
      <c r="I2354" t="inlineStr">
        <is>
          <t>32</t>
        </is>
      </c>
    </row>
    <row r="2355">
      <c r="A2355" t="inlineStr">
        <is>
          <t>担保合同</t>
        </is>
      </c>
      <c r="B2355" t="inlineStr">
        <is>
          <t>GUARANTY_CONTRACT</t>
        </is>
      </c>
      <c r="C2355" t="inlineStr">
        <is>
          <t>GUARANTYNO</t>
        </is>
      </c>
      <c r="D2355" t="inlineStr">
        <is>
          <t>VARCHAR(32)</t>
        </is>
      </c>
      <c r="E2355" t="inlineStr">
        <is>
          <t>NO</t>
        </is>
      </c>
      <c r="F2355" t="inlineStr">
        <is>
          <t>担保合同编号</t>
        </is>
      </c>
      <c r="H2355" t="inlineStr">
        <is>
          <t>VARCHAR</t>
        </is>
      </c>
      <c r="I2355" t="inlineStr">
        <is>
          <t>32</t>
        </is>
      </c>
    </row>
    <row r="2356">
      <c r="A2356" t="inlineStr">
        <is>
          <t>担保合同</t>
        </is>
      </c>
      <c r="B2356" t="inlineStr">
        <is>
          <t>GUARANTY_CONTRACT</t>
        </is>
      </c>
      <c r="C2356" t="inlineStr">
        <is>
          <t>GUARANTYTYPE</t>
        </is>
      </c>
      <c r="D2356" t="inlineStr">
        <is>
          <t>VARCHAR(6)</t>
        </is>
      </c>
      <c r="E2356" t="inlineStr">
        <is>
          <t>YES</t>
        </is>
      </c>
      <c r="F2356" t="inlineStr">
        <is>
          <t>一般担保合同、最高额担保合同</t>
        </is>
      </c>
      <c r="H2356" t="inlineStr">
        <is>
          <t>VARCHAR</t>
        </is>
      </c>
      <c r="I2356" t="inlineStr">
        <is>
          <t>6</t>
        </is>
      </c>
    </row>
    <row r="2357">
      <c r="A2357" t="inlineStr">
        <is>
          <t>担保合同</t>
        </is>
      </c>
      <c r="B2357" t="inlineStr">
        <is>
          <t>GUARANTY_CONTRACT</t>
        </is>
      </c>
      <c r="C2357" t="inlineStr">
        <is>
          <t>GUARANTYSTYLE</t>
        </is>
      </c>
      <c r="D2357" t="inlineStr">
        <is>
          <t>VARCHAR(6)</t>
        </is>
      </c>
      <c r="E2357" t="inlineStr">
        <is>
          <t>YES</t>
        </is>
      </c>
      <c r="F2357" t="inlineStr">
        <is>
          <t>抵押/质押/保证/信用</t>
        </is>
      </c>
      <c r="H2357" t="inlineStr">
        <is>
          <t>VARCHAR</t>
        </is>
      </c>
      <c r="I2357" t="inlineStr">
        <is>
          <t>6</t>
        </is>
      </c>
    </row>
    <row r="2358">
      <c r="A2358" t="inlineStr">
        <is>
          <t>担保合同</t>
        </is>
      </c>
      <c r="B2358" t="inlineStr">
        <is>
          <t>GUARANTY_CONTRACT</t>
        </is>
      </c>
      <c r="C2358" t="inlineStr">
        <is>
          <t>GUARANTYSTATUS</t>
        </is>
      </c>
      <c r="D2358" t="inlineStr">
        <is>
          <t>VARCHAR(6)</t>
        </is>
      </c>
      <c r="E2358" t="inlineStr">
        <is>
          <t>YES</t>
        </is>
      </c>
      <c r="F2358" t="inlineStr">
        <is>
          <t>未生效/已生效/已失效</t>
        </is>
      </c>
      <c r="H2358" t="inlineStr">
        <is>
          <t>VARCHAR</t>
        </is>
      </c>
      <c r="I2358" t="inlineStr">
        <is>
          <t>6</t>
        </is>
      </c>
    </row>
    <row r="2359">
      <c r="A2359" t="inlineStr">
        <is>
          <t>担保合同</t>
        </is>
      </c>
      <c r="B2359" t="inlineStr">
        <is>
          <t>GUARANTY_CONTRACT</t>
        </is>
      </c>
      <c r="C2359" t="inlineStr">
        <is>
          <t>BEGINDATE</t>
        </is>
      </c>
      <c r="D2359" t="inlineStr">
        <is>
          <t>VARCHAR(18)</t>
        </is>
      </c>
      <c r="E2359" t="inlineStr">
        <is>
          <t>YES</t>
        </is>
      </c>
      <c r="F2359" t="inlineStr">
        <is>
          <t>合同生效日</t>
        </is>
      </c>
      <c r="H2359" t="inlineStr">
        <is>
          <t>VARCHAR</t>
        </is>
      </c>
      <c r="I2359" t="inlineStr">
        <is>
          <t>18</t>
        </is>
      </c>
    </row>
    <row r="2360">
      <c r="A2360" t="inlineStr">
        <is>
          <t>担保合同</t>
        </is>
      </c>
      <c r="B2360" t="inlineStr">
        <is>
          <t>GUARANTY_CONTRACT</t>
        </is>
      </c>
      <c r="C2360" t="inlineStr">
        <is>
          <t>ENDDATE</t>
        </is>
      </c>
      <c r="D2360" t="inlineStr">
        <is>
          <t>VARCHAR(18)</t>
        </is>
      </c>
      <c r="E2360" t="inlineStr">
        <is>
          <t>YES</t>
        </is>
      </c>
      <c r="F2360" t="inlineStr">
        <is>
          <t>合同到期日</t>
        </is>
      </c>
      <c r="H2360" t="inlineStr">
        <is>
          <t>VARCHAR</t>
        </is>
      </c>
      <c r="I2360" t="inlineStr">
        <is>
          <t>18</t>
        </is>
      </c>
    </row>
    <row r="2361">
      <c r="A2361" t="inlineStr">
        <is>
          <t>担保合同</t>
        </is>
      </c>
      <c r="B2361" t="inlineStr">
        <is>
          <t>GUARANTY_CONTRACT</t>
        </is>
      </c>
      <c r="C2361" t="inlineStr">
        <is>
          <t>GUARANTORID</t>
        </is>
      </c>
      <c r="D2361" t="inlineStr">
        <is>
          <t>VARCHAR(32)</t>
        </is>
      </c>
      <c r="E2361" t="inlineStr">
        <is>
          <t>YES</t>
        </is>
      </c>
      <c r="F2361" t="inlineStr">
        <is>
          <t>担保人编号</t>
        </is>
      </c>
      <c r="H2361" t="inlineStr">
        <is>
          <t>VARCHAR</t>
        </is>
      </c>
      <c r="I2361" t="inlineStr">
        <is>
          <t>32</t>
        </is>
      </c>
    </row>
    <row r="2362">
      <c r="A2362" t="inlineStr">
        <is>
          <t>担保合同</t>
        </is>
      </c>
      <c r="B2362" t="inlineStr">
        <is>
          <t>GUARANTY_CONTRACT</t>
        </is>
      </c>
      <c r="C2362" t="inlineStr">
        <is>
          <t>GUARANTORNAME</t>
        </is>
      </c>
      <c r="D2362" t="inlineStr">
        <is>
          <t>VARCHAR(80)</t>
        </is>
      </c>
      <c r="E2362" t="inlineStr">
        <is>
          <t>YES</t>
        </is>
      </c>
      <c r="F2362" t="inlineStr">
        <is>
          <t>担保人名称</t>
        </is>
      </c>
      <c r="H2362" t="inlineStr">
        <is>
          <t>VARCHAR</t>
        </is>
      </c>
      <c r="I2362" t="inlineStr">
        <is>
          <t>80</t>
        </is>
      </c>
    </row>
    <row r="2363">
      <c r="A2363" t="inlineStr">
        <is>
          <t>担保合同</t>
        </is>
      </c>
      <c r="B2363" t="inlineStr">
        <is>
          <t>GUARANTY_CONTRACT</t>
        </is>
      </c>
      <c r="C2363" t="inlineStr">
        <is>
          <t>GUARANTYCURRENCY</t>
        </is>
      </c>
      <c r="D2363" t="inlineStr">
        <is>
          <t>VARCHAR(18)</t>
        </is>
      </c>
      <c r="E2363" t="inlineStr">
        <is>
          <t>YES</t>
        </is>
      </c>
      <c r="F2363" t="inlineStr">
        <is>
          <t>担保币种</t>
        </is>
      </c>
      <c r="H2363" t="inlineStr">
        <is>
          <t>VARCHAR</t>
        </is>
      </c>
      <c r="I2363" t="inlineStr">
        <is>
          <t>18</t>
        </is>
      </c>
    </row>
    <row r="2364">
      <c r="A2364" t="inlineStr">
        <is>
          <t>担保合同</t>
        </is>
      </c>
      <c r="B2364" t="inlineStr">
        <is>
          <t>GUARANTY_CONTRACT</t>
        </is>
      </c>
      <c r="C2364" t="inlineStr">
        <is>
          <t>GUARANTYVALUE</t>
        </is>
      </c>
      <c r="D2364" t="inlineStr">
        <is>
          <t>DECIMAL(24,6)</t>
        </is>
      </c>
      <c r="E2364" t="inlineStr">
        <is>
          <t>YES</t>
        </is>
      </c>
      <c r="F2364" t="inlineStr">
        <is>
          <t>担保总金额</t>
        </is>
      </c>
      <c r="H2364" t="inlineStr">
        <is>
          <t>DECIMAL</t>
        </is>
      </c>
      <c r="I2364" t="inlineStr">
        <is>
          <t>24,6</t>
        </is>
      </c>
    </row>
    <row r="2365">
      <c r="A2365" t="inlineStr">
        <is>
          <t>担保合同</t>
        </is>
      </c>
      <c r="B2365" t="inlineStr">
        <is>
          <t>GUARANTY_CONTRACT</t>
        </is>
      </c>
      <c r="C2365" t="inlineStr">
        <is>
          <t>CERTTYPE</t>
        </is>
      </c>
      <c r="D2365" t="inlineStr">
        <is>
          <t>VARCHAR(18)</t>
        </is>
      </c>
      <c r="E2365" t="inlineStr">
        <is>
          <t>YES</t>
        </is>
      </c>
      <c r="F2365" t="inlineStr">
        <is>
          <t>担保人证件类型</t>
        </is>
      </c>
      <c r="H2365" t="inlineStr">
        <is>
          <t>VARCHAR</t>
        </is>
      </c>
      <c r="I2365" t="inlineStr">
        <is>
          <t>18</t>
        </is>
      </c>
    </row>
    <row r="2366">
      <c r="A2366" t="inlineStr">
        <is>
          <t>担保合同</t>
        </is>
      </c>
      <c r="B2366" t="inlineStr">
        <is>
          <t>GUARANTY_CONTRACT</t>
        </is>
      </c>
      <c r="C2366" t="inlineStr">
        <is>
          <t>CERTID</t>
        </is>
      </c>
      <c r="D2366" t="inlineStr">
        <is>
          <t>VARCHAR(80)</t>
        </is>
      </c>
      <c r="E2366" t="inlineStr">
        <is>
          <t>YES</t>
        </is>
      </c>
      <c r="F2366" t="inlineStr">
        <is>
          <t>担保人证件号码</t>
        </is>
      </c>
      <c r="H2366" t="inlineStr">
        <is>
          <t>VARCHAR</t>
        </is>
      </c>
      <c r="I2366" t="inlineStr">
        <is>
          <t>80</t>
        </is>
      </c>
    </row>
    <row r="2367">
      <c r="A2367" t="inlineStr">
        <is>
          <t>担保合同</t>
        </is>
      </c>
      <c r="B2367" t="inlineStr">
        <is>
          <t>GUARANTY_CONTRACT</t>
        </is>
      </c>
      <c r="C2367" t="inlineStr">
        <is>
          <t>INPUTORGID</t>
        </is>
      </c>
      <c r="D2367" t="inlineStr">
        <is>
          <t>VARCHAR(32)</t>
        </is>
      </c>
      <c r="E2367" t="inlineStr">
        <is>
          <t>YES</t>
        </is>
      </c>
      <c r="F2367" t="inlineStr">
        <is>
          <t>登记机构</t>
        </is>
      </c>
      <c r="H2367" t="inlineStr">
        <is>
          <t>VARCHAR</t>
        </is>
      </c>
      <c r="I2367" t="inlineStr">
        <is>
          <t>32</t>
        </is>
      </c>
    </row>
    <row r="2368">
      <c r="A2368" t="inlineStr">
        <is>
          <t>担保合同</t>
        </is>
      </c>
      <c r="B2368" t="inlineStr">
        <is>
          <t>GUARANTY_CONTRACT</t>
        </is>
      </c>
      <c r="C2368" t="inlineStr">
        <is>
          <t>INPUTUSERID</t>
        </is>
      </c>
      <c r="D2368" t="inlineStr">
        <is>
          <t>VARCHAR(80)</t>
        </is>
      </c>
      <c r="E2368" t="inlineStr">
        <is>
          <t>YES</t>
        </is>
      </c>
      <c r="F2368" t="inlineStr">
        <is>
          <t>登记人</t>
        </is>
      </c>
      <c r="H2368" t="inlineStr">
        <is>
          <t>VARCHAR</t>
        </is>
      </c>
      <c r="I2368" t="inlineStr">
        <is>
          <t>80</t>
        </is>
      </c>
    </row>
    <row r="2369">
      <c r="A2369" t="inlineStr">
        <is>
          <t>担保合同</t>
        </is>
      </c>
      <c r="B2369" t="inlineStr">
        <is>
          <t>GUARANTY_CONTRACT</t>
        </is>
      </c>
      <c r="C2369" t="inlineStr">
        <is>
          <t>INPUTDATE</t>
        </is>
      </c>
      <c r="D2369" t="inlineStr">
        <is>
          <t>DATETIME</t>
        </is>
      </c>
      <c r="E2369" t="inlineStr">
        <is>
          <t>YES</t>
        </is>
      </c>
      <c r="F2369" t="inlineStr">
        <is>
          <t>登记日期</t>
        </is>
      </c>
      <c r="H2369" t="inlineStr">
        <is>
          <t>DATETIME</t>
        </is>
      </c>
    </row>
    <row r="2370">
      <c r="A2370" t="inlineStr">
        <is>
          <t>担保合同</t>
        </is>
      </c>
      <c r="B2370" t="inlineStr">
        <is>
          <t>GUARANTY_CONTRACT</t>
        </is>
      </c>
      <c r="C2370" t="inlineStr">
        <is>
          <t>UPDATEORGID</t>
        </is>
      </c>
      <c r="D2370" t="inlineStr">
        <is>
          <t>VARCHAR(32)</t>
        </is>
      </c>
      <c r="E2370" t="inlineStr">
        <is>
          <t>YES</t>
        </is>
      </c>
      <c r="F2370" t="inlineStr">
        <is>
          <t>更新机构</t>
        </is>
      </c>
      <c r="H2370" t="inlineStr">
        <is>
          <t>VARCHAR</t>
        </is>
      </c>
      <c r="I2370" t="inlineStr">
        <is>
          <t>32</t>
        </is>
      </c>
    </row>
    <row r="2371">
      <c r="A2371" t="inlineStr">
        <is>
          <t>担保合同</t>
        </is>
      </c>
      <c r="B2371" t="inlineStr">
        <is>
          <t>GUARANTY_CONTRACT</t>
        </is>
      </c>
      <c r="C2371" t="inlineStr">
        <is>
          <t>UPDATEUSERID</t>
        </is>
      </c>
      <c r="D2371" t="inlineStr">
        <is>
          <t>VARCHAR(80)</t>
        </is>
      </c>
      <c r="E2371" t="inlineStr">
        <is>
          <t>YES</t>
        </is>
      </c>
      <c r="F2371" t="inlineStr">
        <is>
          <t>更新人</t>
        </is>
      </c>
      <c r="H2371" t="inlineStr">
        <is>
          <t>VARCHAR</t>
        </is>
      </c>
      <c r="I2371" t="inlineStr">
        <is>
          <t>80</t>
        </is>
      </c>
    </row>
    <row r="2372">
      <c r="A2372" t="inlineStr">
        <is>
          <t>担保合同</t>
        </is>
      </c>
      <c r="B2372" t="inlineStr">
        <is>
          <t>GUARANTY_CONTRACT</t>
        </is>
      </c>
      <c r="C2372" t="inlineStr">
        <is>
          <t>UPDATEDATE</t>
        </is>
      </c>
      <c r="D2372" t="inlineStr">
        <is>
          <t>DATETIME</t>
        </is>
      </c>
      <c r="E2372" t="inlineStr">
        <is>
          <t>YES</t>
        </is>
      </c>
      <c r="F2372" t="inlineStr">
        <is>
          <t>更新日期</t>
        </is>
      </c>
      <c r="H2372" t="inlineStr">
        <is>
          <t>DATETIME</t>
        </is>
      </c>
    </row>
    <row r="2373">
      <c r="A2373" t="inlineStr">
        <is>
          <t>担保合同</t>
        </is>
      </c>
      <c r="B2373" t="inlineStr">
        <is>
          <t>GUARANTY_CONTRACT</t>
        </is>
      </c>
      <c r="C2373" t="inlineStr">
        <is>
          <t>CORPORGID</t>
        </is>
      </c>
      <c r="D2373" t="inlineStr">
        <is>
          <t>VARCHAR(32)</t>
        </is>
      </c>
      <c r="E2373" t="inlineStr">
        <is>
          <t>YES</t>
        </is>
      </c>
      <c r="F2373" t="inlineStr">
        <is>
          <t>法人机构编号</t>
        </is>
      </c>
      <c r="H2373" t="inlineStr">
        <is>
          <t>VARCHAR</t>
        </is>
      </c>
      <c r="I2373" t="inlineStr">
        <is>
          <t>32</t>
        </is>
      </c>
    </row>
    <row r="2374">
      <c r="A2374" t="inlineStr">
        <is>
          <t>担保合同</t>
        </is>
      </c>
      <c r="B2374" t="inlineStr">
        <is>
          <t>GUARANTY_CONTRACT</t>
        </is>
      </c>
      <c r="C2374" t="inlineStr">
        <is>
          <t>SOURCESYSTEM</t>
        </is>
      </c>
      <c r="D2374" t="inlineStr">
        <is>
          <t>VARCHAR(18)</t>
        </is>
      </c>
      <c r="E2374" t="inlineStr">
        <is>
          <t>YES</t>
        </is>
      </c>
      <c r="F2374" t="inlineStr">
        <is>
          <t>来源系统</t>
        </is>
      </c>
      <c r="H2374" t="inlineStr">
        <is>
          <t>VARCHAR</t>
        </is>
      </c>
      <c r="I2374" t="inlineStr">
        <is>
          <t>18</t>
        </is>
      </c>
    </row>
    <row r="2375">
      <c r="A2375" t="inlineStr">
        <is>
          <t>押品关联关系</t>
        </is>
      </c>
      <c r="B2375" t="inlineStr">
        <is>
          <t>GUARANTY_RELATIVE</t>
        </is>
      </c>
      <c r="C2375" t="inlineStr">
        <is>
          <t>OBJECTTYPE</t>
        </is>
      </c>
      <c r="D2375" t="inlineStr">
        <is>
          <t>VARCHAR(32)</t>
        </is>
      </c>
      <c r="E2375" t="inlineStr">
        <is>
          <t>NO</t>
        </is>
      </c>
      <c r="F2375" t="inlineStr">
        <is>
          <t>对象类型</t>
        </is>
      </c>
      <c r="H2375" t="inlineStr">
        <is>
          <t>VARCHAR</t>
        </is>
      </c>
      <c r="I2375" t="inlineStr">
        <is>
          <t>32</t>
        </is>
      </c>
    </row>
    <row r="2376">
      <c r="A2376" t="inlineStr">
        <is>
          <t>押品关联关系</t>
        </is>
      </c>
      <c r="B2376" t="inlineStr">
        <is>
          <t>GUARANTY_RELATIVE</t>
        </is>
      </c>
      <c r="C2376" t="inlineStr">
        <is>
          <t>OBJECTNO</t>
        </is>
      </c>
      <c r="D2376" t="inlineStr">
        <is>
          <t>VARCHAR(32)</t>
        </is>
      </c>
      <c r="E2376" t="inlineStr">
        <is>
          <t>NO</t>
        </is>
      </c>
      <c r="F2376" t="inlineStr">
        <is>
          <t>对象编号</t>
        </is>
      </c>
      <c r="H2376" t="inlineStr">
        <is>
          <t>VARCHAR</t>
        </is>
      </c>
      <c r="I2376" t="inlineStr">
        <is>
          <t>32</t>
        </is>
      </c>
    </row>
    <row r="2377">
      <c r="A2377" t="inlineStr">
        <is>
          <t>押品关联关系</t>
        </is>
      </c>
      <c r="B2377" t="inlineStr">
        <is>
          <t>GUARANTY_RELATIVE</t>
        </is>
      </c>
      <c r="C2377" t="inlineStr">
        <is>
          <t>GUARANTYCONTRACTNO</t>
        </is>
      </c>
      <c r="D2377" t="inlineStr">
        <is>
          <t>VARCHAR(32)</t>
        </is>
      </c>
      <c r="E2377" t="inlineStr">
        <is>
          <t>NO</t>
        </is>
      </c>
      <c r="F2377" t="inlineStr">
        <is>
          <t>担保合同编号</t>
        </is>
      </c>
      <c r="H2377" t="inlineStr">
        <is>
          <t>VARCHAR</t>
        </is>
      </c>
      <c r="I2377" t="inlineStr">
        <is>
          <t>32</t>
        </is>
      </c>
    </row>
    <row r="2378">
      <c r="A2378" t="inlineStr">
        <is>
          <t>押品关联关系</t>
        </is>
      </c>
      <c r="B2378" t="inlineStr">
        <is>
          <t>GUARANTY_RELATIVE</t>
        </is>
      </c>
      <c r="C2378" t="inlineStr">
        <is>
          <t>CLRID</t>
        </is>
      </c>
      <c r="D2378" t="inlineStr">
        <is>
          <t>VARCHAR(32)</t>
        </is>
      </c>
      <c r="E2378" t="inlineStr">
        <is>
          <t>NO</t>
        </is>
      </c>
      <c r="F2378" t="inlineStr">
        <is>
          <t>担保物编号</t>
        </is>
      </c>
      <c r="H2378" t="inlineStr">
        <is>
          <t>VARCHAR</t>
        </is>
      </c>
      <c r="I2378" t="inlineStr">
        <is>
          <t>32</t>
        </is>
      </c>
    </row>
    <row r="2379">
      <c r="A2379" t="inlineStr">
        <is>
          <t>押品关联关系</t>
        </is>
      </c>
      <c r="B2379" t="inlineStr">
        <is>
          <t>GUARANTY_RELATIVE</t>
        </is>
      </c>
      <c r="C2379" t="inlineStr">
        <is>
          <t>CHANNEL</t>
        </is>
      </c>
      <c r="D2379" t="inlineStr">
        <is>
          <t>VARCHAR(18)</t>
        </is>
      </c>
      <c r="E2379" t="inlineStr">
        <is>
          <t>YES</t>
        </is>
      </c>
      <c r="F2379" t="inlineStr">
        <is>
          <t>数据来源渠道</t>
        </is>
      </c>
      <c r="H2379" t="inlineStr">
        <is>
          <t>VARCHAR</t>
        </is>
      </c>
      <c r="I2379" t="inlineStr">
        <is>
          <t>18</t>
        </is>
      </c>
    </row>
    <row r="2380">
      <c r="A2380" t="inlineStr">
        <is>
          <t>押品关联关系</t>
        </is>
      </c>
      <c r="B2380" t="inlineStr">
        <is>
          <t>GUARANTY_RELATIVE</t>
        </is>
      </c>
      <c r="C2380" t="inlineStr">
        <is>
          <t>RELATIONSTATUS</t>
        </is>
      </c>
      <c r="D2380" t="inlineStr">
        <is>
          <t>VARCHAR(6)</t>
        </is>
      </c>
      <c r="E2380" t="inlineStr">
        <is>
          <t>YES</t>
        </is>
      </c>
      <c r="F2380" t="inlineStr">
        <is>
          <t>关联状态</t>
        </is>
      </c>
      <c r="H2380" t="inlineStr">
        <is>
          <t>VARCHAR</t>
        </is>
      </c>
      <c r="I2380" t="inlineStr">
        <is>
          <t>6</t>
        </is>
      </c>
    </row>
    <row r="2381">
      <c r="A2381" t="inlineStr">
        <is>
          <t>押品关联关系</t>
        </is>
      </c>
      <c r="B2381" t="inlineStr">
        <is>
          <t>GUARANTY_RELATIVE</t>
        </is>
      </c>
      <c r="C2381" t="inlineStr">
        <is>
          <t>OTHERSSTATUS</t>
        </is>
      </c>
      <c r="D2381" t="inlineStr">
        <is>
          <t>VARCHAR(6)</t>
        </is>
      </c>
      <c r="E2381" t="inlineStr">
        <is>
          <t>YES</t>
        </is>
      </c>
      <c r="F2381" t="inlineStr">
        <is>
          <t>他项权证状态</t>
        </is>
      </c>
      <c r="H2381" t="inlineStr">
        <is>
          <t>VARCHAR</t>
        </is>
      </c>
      <c r="I2381" t="inlineStr">
        <is>
          <t>6</t>
        </is>
      </c>
    </row>
    <row r="2382">
      <c r="A2382" t="inlineStr">
        <is>
          <t>押品关联关系</t>
        </is>
      </c>
      <c r="B2382" t="inlineStr">
        <is>
          <t>GUARANTY_RELATIVE</t>
        </is>
      </c>
      <c r="C2382" t="inlineStr">
        <is>
          <t>OTHERSRIGHTID</t>
        </is>
      </c>
      <c r="D2382" t="inlineStr">
        <is>
          <t>VARCHAR(32)</t>
        </is>
      </c>
      <c r="E2382" t="inlineStr">
        <is>
          <t>YES</t>
        </is>
      </c>
      <c r="F2382" t="inlineStr">
        <is>
          <t>他项权证号</t>
        </is>
      </c>
      <c r="H2382" t="inlineStr">
        <is>
          <t>VARCHAR</t>
        </is>
      </c>
      <c r="I2382" t="inlineStr">
        <is>
          <t>32</t>
        </is>
      </c>
    </row>
    <row r="2383">
      <c r="A2383" t="inlineStr">
        <is>
          <t>押品关联关系</t>
        </is>
      </c>
      <c r="B2383" t="inlineStr">
        <is>
          <t>GUARANTY_RELATIVE</t>
        </is>
      </c>
      <c r="C2383" t="inlineStr">
        <is>
          <t>GUARANTYSUM</t>
        </is>
      </c>
      <c r="D2383" t="inlineStr">
        <is>
          <t>DECIMAL(24,6)</t>
        </is>
      </c>
      <c r="E2383" t="inlineStr">
        <is>
          <t>YES</t>
        </is>
      </c>
      <c r="F2383" t="inlineStr">
        <is>
          <t>担保债权金额</t>
        </is>
      </c>
      <c r="H2383" t="inlineStr">
        <is>
          <t>DECIMAL</t>
        </is>
      </c>
      <c r="I2383" t="inlineStr">
        <is>
          <t>24,6</t>
        </is>
      </c>
    </row>
    <row r="2384">
      <c r="A2384" t="inlineStr">
        <is>
          <t>押品关联关系</t>
        </is>
      </c>
      <c r="B2384" t="inlineStr">
        <is>
          <t>GUARANTY_RELATIVE</t>
        </is>
      </c>
      <c r="C2384" t="inlineStr">
        <is>
          <t>DESCRIPTION</t>
        </is>
      </c>
      <c r="D2384" t="inlineStr">
        <is>
          <t>VARCHAR(200)</t>
        </is>
      </c>
      <c r="E2384" t="inlineStr">
        <is>
          <t>YES</t>
        </is>
      </c>
      <c r="F2384" t="inlineStr">
        <is>
          <t>他项权证内容</t>
        </is>
      </c>
      <c r="H2384" t="inlineStr">
        <is>
          <t>VARCHAR</t>
        </is>
      </c>
      <c r="I2384" t="inlineStr">
        <is>
          <t>200</t>
        </is>
      </c>
    </row>
    <row r="2385">
      <c r="A2385" t="inlineStr">
        <is>
          <t>押品关联关系</t>
        </is>
      </c>
      <c r="B2385" t="inlineStr">
        <is>
          <t>GUARANTY_RELATIVE</t>
        </is>
      </c>
      <c r="C2385" t="inlineStr">
        <is>
          <t>SOURCETYPE</t>
        </is>
      </c>
      <c r="D2385" t="inlineStr">
        <is>
          <t>VARCHAR(18)</t>
        </is>
      </c>
      <c r="E2385" t="inlineStr">
        <is>
          <t>YES</t>
        </is>
      </c>
      <c r="F2385" t="inlineStr">
        <is>
          <t>数据来源类型</t>
        </is>
      </c>
      <c r="H2385" t="inlineStr">
        <is>
          <t>VARCHAR</t>
        </is>
      </c>
      <c r="I2385" t="inlineStr">
        <is>
          <t>18</t>
        </is>
      </c>
    </row>
    <row r="2386">
      <c r="A2386" t="inlineStr">
        <is>
          <t>押品关联关系</t>
        </is>
      </c>
      <c r="B2386" t="inlineStr">
        <is>
          <t>GUARANTY_RELATIVE</t>
        </is>
      </c>
      <c r="C2386" t="inlineStr">
        <is>
          <t>REMARK</t>
        </is>
      </c>
      <c r="D2386" t="inlineStr">
        <is>
          <t>VARCHAR(1000)</t>
        </is>
      </c>
      <c r="E2386" t="inlineStr">
        <is>
          <t>YES</t>
        </is>
      </c>
      <c r="F2386" t="inlineStr">
        <is>
          <t>备注</t>
        </is>
      </c>
      <c r="H2386" t="inlineStr">
        <is>
          <t>VARCHAR</t>
        </is>
      </c>
      <c r="I2386" t="inlineStr">
        <is>
          <t>1000</t>
        </is>
      </c>
    </row>
    <row r="2387">
      <c r="A2387" t="inlineStr">
        <is>
          <t>押品关联关系</t>
        </is>
      </c>
      <c r="B2387" t="inlineStr">
        <is>
          <t>GUARANTY_RELATIVE</t>
        </is>
      </c>
      <c r="C2387" t="inlineStr">
        <is>
          <t>INPUTORGID</t>
        </is>
      </c>
      <c r="D2387" t="inlineStr">
        <is>
          <t>VARCHAR(32)</t>
        </is>
      </c>
      <c r="E2387" t="inlineStr">
        <is>
          <t>YES</t>
        </is>
      </c>
      <c r="F2387" t="inlineStr">
        <is>
          <t>登记机构</t>
        </is>
      </c>
      <c r="H2387" t="inlineStr">
        <is>
          <t>VARCHAR</t>
        </is>
      </c>
      <c r="I2387" t="inlineStr">
        <is>
          <t>32</t>
        </is>
      </c>
    </row>
    <row r="2388">
      <c r="A2388" t="inlineStr">
        <is>
          <t>押品关联关系</t>
        </is>
      </c>
      <c r="B2388" t="inlineStr">
        <is>
          <t>GUARANTY_RELATIVE</t>
        </is>
      </c>
      <c r="C2388" t="inlineStr">
        <is>
          <t>INPUTUSERID</t>
        </is>
      </c>
      <c r="D2388" t="inlineStr">
        <is>
          <t>VARCHAR(80)</t>
        </is>
      </c>
      <c r="E2388" t="inlineStr">
        <is>
          <t>YES</t>
        </is>
      </c>
      <c r="F2388" t="inlineStr">
        <is>
          <t>登记人</t>
        </is>
      </c>
      <c r="H2388" t="inlineStr">
        <is>
          <t>VARCHAR</t>
        </is>
      </c>
      <c r="I2388" t="inlineStr">
        <is>
          <t>80</t>
        </is>
      </c>
    </row>
    <row r="2389">
      <c r="A2389" t="inlineStr">
        <is>
          <t>押品关联关系</t>
        </is>
      </c>
      <c r="B2389" t="inlineStr">
        <is>
          <t>GUARANTY_RELATIVE</t>
        </is>
      </c>
      <c r="C2389" t="inlineStr">
        <is>
          <t>INPUTDATE</t>
        </is>
      </c>
      <c r="D2389" t="inlineStr">
        <is>
          <t>DATETIME</t>
        </is>
      </c>
      <c r="E2389" t="inlineStr">
        <is>
          <t>YES</t>
        </is>
      </c>
      <c r="F2389" t="inlineStr">
        <is>
          <t>登记日期</t>
        </is>
      </c>
      <c r="H2389" t="inlineStr">
        <is>
          <t>DATETIME</t>
        </is>
      </c>
    </row>
    <row r="2390">
      <c r="A2390" t="inlineStr">
        <is>
          <t>押品关联关系</t>
        </is>
      </c>
      <c r="B2390" t="inlineStr">
        <is>
          <t>GUARANTY_RELATIVE</t>
        </is>
      </c>
      <c r="C2390" t="inlineStr">
        <is>
          <t>UPDATEORGID</t>
        </is>
      </c>
      <c r="D2390" t="inlineStr">
        <is>
          <t>VARCHAR(32)</t>
        </is>
      </c>
      <c r="E2390" t="inlineStr">
        <is>
          <t>YES</t>
        </is>
      </c>
      <c r="F2390" t="inlineStr">
        <is>
          <t>更新机构</t>
        </is>
      </c>
      <c r="H2390" t="inlineStr">
        <is>
          <t>VARCHAR</t>
        </is>
      </c>
      <c r="I2390" t="inlineStr">
        <is>
          <t>32</t>
        </is>
      </c>
    </row>
    <row r="2391">
      <c r="A2391" t="inlineStr">
        <is>
          <t>押品关联关系</t>
        </is>
      </c>
      <c r="B2391" t="inlineStr">
        <is>
          <t>GUARANTY_RELATIVE</t>
        </is>
      </c>
      <c r="C2391" t="inlineStr">
        <is>
          <t>UPDATEUSERID</t>
        </is>
      </c>
      <c r="D2391" t="inlineStr">
        <is>
          <t>VARCHAR(80)</t>
        </is>
      </c>
      <c r="E2391" t="inlineStr">
        <is>
          <t>YES</t>
        </is>
      </c>
      <c r="F2391" t="inlineStr">
        <is>
          <t>更新人</t>
        </is>
      </c>
      <c r="H2391" t="inlineStr">
        <is>
          <t>VARCHAR</t>
        </is>
      </c>
      <c r="I2391" t="inlineStr">
        <is>
          <t>80</t>
        </is>
      </c>
    </row>
    <row r="2392">
      <c r="A2392" t="inlineStr">
        <is>
          <t>押品关联关系</t>
        </is>
      </c>
      <c r="B2392" t="inlineStr">
        <is>
          <t>GUARANTY_RELATIVE</t>
        </is>
      </c>
      <c r="C2392" t="inlineStr">
        <is>
          <t>UPDATEDATE</t>
        </is>
      </c>
      <c r="D2392" t="inlineStr">
        <is>
          <t>DATETIME</t>
        </is>
      </c>
      <c r="E2392" t="inlineStr">
        <is>
          <t>YES</t>
        </is>
      </c>
      <c r="F2392" t="inlineStr">
        <is>
          <t>更新日期</t>
        </is>
      </c>
      <c r="H2392" t="inlineStr">
        <is>
          <t>DATETIME</t>
        </is>
      </c>
    </row>
    <row r="2393">
      <c r="A2393" t="inlineStr">
        <is>
          <t>押品关联关系</t>
        </is>
      </c>
      <c r="B2393" t="inlineStr">
        <is>
          <t>GUARANTY_RELATIVE</t>
        </is>
      </c>
      <c r="C2393" t="inlineStr">
        <is>
          <t>ISCLRVERIFICATION</t>
        </is>
      </c>
      <c r="D2393" t="inlineStr">
        <is>
          <t>VARCHAR(18)</t>
        </is>
      </c>
      <c r="E2393" t="inlineStr">
        <is>
          <t>YES</t>
        </is>
      </c>
      <c r="F2393" t="inlineStr">
        <is>
          <t>是否已核押登记</t>
        </is>
      </c>
      <c r="H2393" t="inlineStr">
        <is>
          <t>VARCHAR</t>
        </is>
      </c>
      <c r="I2393" t="inlineStr">
        <is>
          <t>18</t>
        </is>
      </c>
    </row>
    <row r="2394">
      <c r="A2394" t="inlineStr">
        <is>
          <t>押品关联关系</t>
        </is>
      </c>
      <c r="B2394" t="inlineStr">
        <is>
          <t>GUARANTY_RELATIVE</t>
        </is>
      </c>
      <c r="C2394" t="inlineStr">
        <is>
          <t>ISCLRREGISTER</t>
        </is>
      </c>
      <c r="D2394" t="inlineStr">
        <is>
          <t>VARCHAR(18)</t>
        </is>
      </c>
      <c r="E2394" t="inlineStr">
        <is>
          <t>YES</t>
        </is>
      </c>
      <c r="F2394" t="inlineStr">
        <is>
          <t>是否已抵质押登记</t>
        </is>
      </c>
      <c r="H2394" t="inlineStr">
        <is>
          <t>VARCHAR</t>
        </is>
      </c>
      <c r="I2394" t="inlineStr">
        <is>
          <t>18</t>
        </is>
      </c>
    </row>
    <row r="2395">
      <c r="A2395" t="inlineStr">
        <is>
          <t>押品关联关系</t>
        </is>
      </c>
      <c r="B2395" t="inlineStr">
        <is>
          <t>GUARANTY_RELATIVE</t>
        </is>
      </c>
      <c r="C2395" t="inlineStr">
        <is>
          <t>STATUS</t>
        </is>
      </c>
      <c r="D2395" t="inlineStr">
        <is>
          <t>VARCHAR(8)</t>
        </is>
      </c>
      <c r="E2395" t="inlineStr">
        <is>
          <t>YES</t>
        </is>
      </c>
      <c r="F2395" t="inlineStr">
        <is>
          <t>状态</t>
        </is>
      </c>
      <c r="H2395" t="inlineStr">
        <is>
          <t>VARCHAR</t>
        </is>
      </c>
      <c r="I2395" t="inlineStr">
        <is>
          <t>8</t>
        </is>
      </c>
    </row>
    <row r="2396">
      <c r="A2396" t="inlineStr">
        <is>
          <t>押品关联关系</t>
        </is>
      </c>
      <c r="B2396" t="inlineStr">
        <is>
          <t>GUARANTY_RELATIVE</t>
        </is>
      </c>
      <c r="C2396" t="inlineStr">
        <is>
          <t>BASERIALNO</t>
        </is>
      </c>
      <c r="D2396" t="inlineStr">
        <is>
          <t>VARCHAR(32)</t>
        </is>
      </c>
      <c r="E2396" t="inlineStr">
        <is>
          <t>YES</t>
        </is>
      </c>
      <c r="F2396" t="inlineStr">
        <is>
          <t>业务申请流水号</t>
        </is>
      </c>
      <c r="H2396" t="inlineStr">
        <is>
          <t>VARCHAR</t>
        </is>
      </c>
      <c r="I2396" t="inlineStr">
        <is>
          <t>32</t>
        </is>
      </c>
    </row>
    <row r="2397">
      <c r="A2397" t="inlineStr">
        <is>
          <t>押品关联关系</t>
        </is>
      </c>
      <c r="B2397" t="inlineStr">
        <is>
          <t>GUARANTY_RELATIVE</t>
        </is>
      </c>
      <c r="C2397" t="inlineStr">
        <is>
          <t>EVALUERECORDNO</t>
        </is>
      </c>
      <c r="D2397" t="inlineStr">
        <is>
          <t>VARCHAR(32)</t>
        </is>
      </c>
      <c r="E2397" t="inlineStr">
        <is>
          <t>YES</t>
        </is>
      </c>
      <c r="F2397" t="inlineStr">
        <is>
          <t>评估流水号</t>
        </is>
      </c>
      <c r="H2397" t="inlineStr">
        <is>
          <t>VARCHAR</t>
        </is>
      </c>
      <c r="I2397" t="inlineStr">
        <is>
          <t>32</t>
        </is>
      </c>
    </row>
    <row r="2398">
      <c r="A2398" t="inlineStr">
        <is>
          <t>押品关联关系</t>
        </is>
      </c>
      <c r="B2398" t="inlineStr">
        <is>
          <t>GUARANTY_RELATIVE</t>
        </is>
      </c>
      <c r="C2398" t="inlineStr">
        <is>
          <t>ORGNAME</t>
        </is>
      </c>
      <c r="D2398" t="inlineStr">
        <is>
          <t>VARCHAR(32)</t>
        </is>
      </c>
      <c r="E2398" t="inlineStr">
        <is>
          <t>YES</t>
        </is>
      </c>
      <c r="F2398" t="inlineStr">
        <is>
          <t>账务机构名称</t>
        </is>
      </c>
      <c r="H2398" t="inlineStr">
        <is>
          <t>VARCHAR</t>
        </is>
      </c>
      <c r="I2398" t="inlineStr">
        <is>
          <t>32</t>
        </is>
      </c>
    </row>
    <row r="2399">
      <c r="A2399" t="inlineStr">
        <is>
          <t>押品关联关系</t>
        </is>
      </c>
      <c r="B2399" t="inlineStr">
        <is>
          <t>GUARANTY_RELATIVE</t>
        </is>
      </c>
      <c r="C2399" t="inlineStr">
        <is>
          <t>ORGNO</t>
        </is>
      </c>
      <c r="D2399" t="inlineStr">
        <is>
          <t>VARCHAR(32)</t>
        </is>
      </c>
      <c r="E2399" t="inlineStr">
        <is>
          <t>YES</t>
        </is>
      </c>
      <c r="F2399" t="inlineStr">
        <is>
          <t>账务机构编号</t>
        </is>
      </c>
      <c r="H2399" t="inlineStr">
        <is>
          <t>VARCHAR</t>
        </is>
      </c>
      <c r="I2399" t="inlineStr">
        <is>
          <t>32</t>
        </is>
      </c>
    </row>
    <row r="2400">
      <c r="A2400" t="inlineStr">
        <is>
          <t>押品管户人</t>
        </is>
      </c>
      <c r="B2400" t="inlineStr">
        <is>
          <t>CLR_BELONG</t>
        </is>
      </c>
      <c r="C2400" t="inlineStr">
        <is>
          <t>CLRID</t>
        </is>
      </c>
      <c r="D2400" t="inlineStr">
        <is>
          <t>VARCHAR(32)</t>
        </is>
      </c>
      <c r="E2400" t="inlineStr">
        <is>
          <t>NO</t>
        </is>
      </c>
      <c r="F2400" t="inlineStr">
        <is>
          <t>押品编号</t>
        </is>
      </c>
      <c r="H2400" t="inlineStr">
        <is>
          <t>VARCHAR</t>
        </is>
      </c>
      <c r="I2400" t="inlineStr">
        <is>
          <t>32</t>
        </is>
      </c>
    </row>
    <row r="2401">
      <c r="A2401" t="inlineStr">
        <is>
          <t>押品管户人</t>
        </is>
      </c>
      <c r="B2401" t="inlineStr">
        <is>
          <t>CLR_BELONG</t>
        </is>
      </c>
      <c r="C2401" t="inlineStr">
        <is>
          <t>BELONGUSERID</t>
        </is>
      </c>
      <c r="D2401" t="inlineStr">
        <is>
          <t>VARCHAR(32)</t>
        </is>
      </c>
      <c r="E2401" t="inlineStr">
        <is>
          <t>NO</t>
        </is>
      </c>
      <c r="F2401" t="inlineStr">
        <is>
          <t>管户人编号</t>
        </is>
      </c>
      <c r="H2401" t="inlineStr">
        <is>
          <t>VARCHAR</t>
        </is>
      </c>
      <c r="I2401" t="inlineStr">
        <is>
          <t>32</t>
        </is>
      </c>
    </row>
    <row r="2402">
      <c r="A2402" t="inlineStr">
        <is>
          <t>押品管户人</t>
        </is>
      </c>
      <c r="B2402" t="inlineStr">
        <is>
          <t>CLR_BELONG</t>
        </is>
      </c>
      <c r="C2402" t="inlineStr">
        <is>
          <t>STATUS</t>
        </is>
      </c>
      <c r="D2402" t="inlineStr">
        <is>
          <t>VARCHAR(8)</t>
        </is>
      </c>
      <c r="E2402" t="inlineStr">
        <is>
          <t>YES</t>
        </is>
      </c>
      <c r="F2402" t="inlineStr">
        <is>
          <t>状态</t>
        </is>
      </c>
      <c r="H2402" t="inlineStr">
        <is>
          <t>VARCHAR</t>
        </is>
      </c>
      <c r="I2402" t="inlineStr">
        <is>
          <t>8</t>
        </is>
      </c>
    </row>
    <row r="2403">
      <c r="A2403" t="inlineStr">
        <is>
          <t>押品管户人</t>
        </is>
      </c>
      <c r="B2403" t="inlineStr">
        <is>
          <t>CLR_BELONG</t>
        </is>
      </c>
      <c r="C2403" t="inlineStr">
        <is>
          <t>INPUTUSER</t>
        </is>
      </c>
      <c r="D2403" t="inlineStr">
        <is>
          <t>VARCHAR(32)</t>
        </is>
      </c>
      <c r="E2403" t="inlineStr">
        <is>
          <t>YES</t>
        </is>
      </c>
      <c r="F2403" t="inlineStr">
        <is>
          <t>登记人</t>
        </is>
      </c>
      <c r="H2403" t="inlineStr">
        <is>
          <t>VARCHAR</t>
        </is>
      </c>
      <c r="I2403" t="inlineStr">
        <is>
          <t>32</t>
        </is>
      </c>
    </row>
    <row r="2404">
      <c r="A2404" t="inlineStr">
        <is>
          <t>押品管户人</t>
        </is>
      </c>
      <c r="B2404" t="inlineStr">
        <is>
          <t>CLR_BELONG</t>
        </is>
      </c>
      <c r="C2404" t="inlineStr">
        <is>
          <t>INPUTORG</t>
        </is>
      </c>
      <c r="D2404" t="inlineStr">
        <is>
          <t>VARCHAR(32)</t>
        </is>
      </c>
      <c r="E2404" t="inlineStr">
        <is>
          <t>YES</t>
        </is>
      </c>
      <c r="F2404" t="inlineStr">
        <is>
          <t>登记机构</t>
        </is>
      </c>
      <c r="H2404" t="inlineStr">
        <is>
          <t>VARCHAR</t>
        </is>
      </c>
      <c r="I2404" t="inlineStr">
        <is>
          <t>32</t>
        </is>
      </c>
    </row>
    <row r="2405">
      <c r="A2405" t="inlineStr">
        <is>
          <t>押品管户人</t>
        </is>
      </c>
      <c r="B2405" t="inlineStr">
        <is>
          <t>CLR_BELONG</t>
        </is>
      </c>
      <c r="C2405" t="inlineStr">
        <is>
          <t>INPUTTIME</t>
        </is>
      </c>
      <c r="D2405" t="inlineStr">
        <is>
          <t>DATETIME</t>
        </is>
      </c>
      <c r="E2405" t="inlineStr">
        <is>
          <t>YES</t>
        </is>
      </c>
      <c r="F2405" t="inlineStr">
        <is>
          <t>登记时间</t>
        </is>
      </c>
      <c r="H2405" t="inlineStr">
        <is>
          <t>DATETIME</t>
        </is>
      </c>
    </row>
    <row r="2406">
      <c r="A2406" t="inlineStr">
        <is>
          <t>押品管户人</t>
        </is>
      </c>
      <c r="B2406" t="inlineStr">
        <is>
          <t>CLR_BELONG</t>
        </is>
      </c>
      <c r="C2406" t="inlineStr">
        <is>
          <t>UPDATEUSER</t>
        </is>
      </c>
      <c r="D2406" t="inlineStr">
        <is>
          <t>VARCHAR(32)</t>
        </is>
      </c>
      <c r="E2406" t="inlineStr">
        <is>
          <t>YES</t>
        </is>
      </c>
      <c r="F2406" t="inlineStr">
        <is>
          <t>更新人</t>
        </is>
      </c>
      <c r="H2406" t="inlineStr">
        <is>
          <t>VARCHAR</t>
        </is>
      </c>
      <c r="I2406" t="inlineStr">
        <is>
          <t>32</t>
        </is>
      </c>
    </row>
    <row r="2407">
      <c r="A2407" t="inlineStr">
        <is>
          <t>押品管户人</t>
        </is>
      </c>
      <c r="B2407" t="inlineStr">
        <is>
          <t>CLR_BELONG</t>
        </is>
      </c>
      <c r="C2407" t="inlineStr">
        <is>
          <t>UPDATETIME</t>
        </is>
      </c>
      <c r="D2407" t="inlineStr">
        <is>
          <t>DATETIME</t>
        </is>
      </c>
      <c r="E2407" t="inlineStr">
        <is>
          <t>YES</t>
        </is>
      </c>
      <c r="F2407" t="inlineStr">
        <is>
          <t>更新时间</t>
        </is>
      </c>
      <c r="H2407" t="inlineStr">
        <is>
          <t>DATETIME</t>
        </is>
      </c>
    </row>
    <row r="2408">
      <c r="A2408" t="inlineStr">
        <is>
          <t>押品管户人</t>
        </is>
      </c>
      <c r="B2408" t="inlineStr">
        <is>
          <t>CLR_BELONG</t>
        </is>
      </c>
      <c r="C2408" t="inlineStr">
        <is>
          <t>UPDATEUSERID</t>
        </is>
      </c>
      <c r="D2408" t="inlineStr">
        <is>
          <t>VARCHAR(32)</t>
        </is>
      </c>
      <c r="E2408" t="inlineStr">
        <is>
          <t>YES</t>
        </is>
      </c>
      <c r="F2408" t="inlineStr">
        <is>
          <t>更新人编号</t>
        </is>
      </c>
      <c r="H2408" t="inlineStr">
        <is>
          <t>VARCHAR</t>
        </is>
      </c>
      <c r="I2408" t="inlineStr">
        <is>
          <t>32</t>
        </is>
      </c>
    </row>
    <row r="2409">
      <c r="A2409" t="inlineStr">
        <is>
          <t>押品管户人</t>
        </is>
      </c>
      <c r="B2409" t="inlineStr">
        <is>
          <t>CLR_BELONG</t>
        </is>
      </c>
      <c r="C2409" t="inlineStr">
        <is>
          <t>UPDATEORGID</t>
        </is>
      </c>
      <c r="D2409" t="inlineStr">
        <is>
          <t>VARCHAR(32)</t>
        </is>
      </c>
      <c r="E2409" t="inlineStr">
        <is>
          <t>YES</t>
        </is>
      </c>
      <c r="F2409" t="inlineStr">
        <is>
          <t>更新机构</t>
        </is>
      </c>
      <c r="H2409" t="inlineStr">
        <is>
          <t>VARCHAR</t>
        </is>
      </c>
      <c r="I2409" t="inlineStr">
        <is>
          <t>32</t>
        </is>
      </c>
    </row>
    <row r="2410">
      <c r="A2410" t="inlineStr">
        <is>
          <t>押品管户人</t>
        </is>
      </c>
      <c r="B2410" t="inlineStr">
        <is>
          <t>CLR_BELONG</t>
        </is>
      </c>
      <c r="C2410" t="inlineStr">
        <is>
          <t>INPUTORGID</t>
        </is>
      </c>
      <c r="D2410" t="inlineStr">
        <is>
          <t>VARCHAR(32)</t>
        </is>
      </c>
      <c r="E2410" t="inlineStr">
        <is>
          <t>YES</t>
        </is>
      </c>
      <c r="F2410" t="inlineStr">
        <is>
          <t>登记机构编号</t>
        </is>
      </c>
      <c r="H2410" t="inlineStr">
        <is>
          <t>VARCHAR</t>
        </is>
      </c>
      <c r="I2410" t="inlineStr">
        <is>
          <t>32</t>
        </is>
      </c>
    </row>
    <row r="2411">
      <c r="A2411" t="inlineStr">
        <is>
          <t>押品管户人</t>
        </is>
      </c>
      <c r="B2411" t="inlineStr">
        <is>
          <t>CLR_BELONG</t>
        </is>
      </c>
      <c r="C2411" t="inlineStr">
        <is>
          <t>INPUTUSERID</t>
        </is>
      </c>
      <c r="D2411" t="inlineStr">
        <is>
          <t>VARCHAR(32)</t>
        </is>
      </c>
      <c r="E2411" t="inlineStr">
        <is>
          <t>YES</t>
        </is>
      </c>
      <c r="F2411" t="inlineStr">
        <is>
          <t>登记人编号</t>
        </is>
      </c>
      <c r="H2411" t="inlineStr">
        <is>
          <t>VARCHAR</t>
        </is>
      </c>
      <c r="I2411" t="inlineStr">
        <is>
          <t>32</t>
        </is>
      </c>
    </row>
    <row r="2412">
      <c r="A2412" t="inlineStr">
        <is>
          <t>不动产中心房产信息</t>
        </is>
      </c>
      <c r="B2412" t="inlineStr">
        <is>
          <t>CLR_PROPERTY_HOUSE_INFO</t>
        </is>
      </c>
      <c r="C2412" t="inlineStr">
        <is>
          <t>SERIALNO</t>
        </is>
      </c>
      <c r="D2412" t="inlineStr">
        <is>
          <t>VARCHAR(32)</t>
        </is>
      </c>
      <c r="E2412" t="inlineStr">
        <is>
          <t>NO</t>
        </is>
      </c>
      <c r="F2412" t="inlineStr">
        <is>
          <t>流水号</t>
        </is>
      </c>
      <c r="H2412" t="inlineStr">
        <is>
          <t>VARCHAR</t>
        </is>
      </c>
      <c r="I2412" t="inlineStr">
        <is>
          <t>32</t>
        </is>
      </c>
    </row>
    <row r="2413">
      <c r="A2413" t="inlineStr">
        <is>
          <t>不动产中心房产信息</t>
        </is>
      </c>
      <c r="B2413" t="inlineStr">
        <is>
          <t>CLR_PROPERTY_HOUSE_INFO</t>
        </is>
      </c>
      <c r="C2413" t="inlineStr">
        <is>
          <t>REGISTERRECORDID</t>
        </is>
      </c>
      <c r="D2413" t="inlineStr">
        <is>
          <t>VARCHAR(32)</t>
        </is>
      </c>
      <c r="E2413" t="inlineStr">
        <is>
          <t>NO</t>
        </is>
      </c>
      <c r="F2413" t="inlineStr">
        <is>
          <t>押权编号</t>
        </is>
      </c>
      <c r="H2413" t="inlineStr">
        <is>
          <t>VARCHAR</t>
        </is>
      </c>
      <c r="I2413" t="inlineStr">
        <is>
          <t>32</t>
        </is>
      </c>
    </row>
    <row r="2414">
      <c r="A2414" t="inlineStr">
        <is>
          <t>不动产中心房产信息</t>
        </is>
      </c>
      <c r="B2414" t="inlineStr">
        <is>
          <t>CLR_PROPERTY_HOUSE_INFO</t>
        </is>
      </c>
      <c r="C2414" t="inlineStr">
        <is>
          <t>PROPERTYNO</t>
        </is>
      </c>
      <c r="D2414" t="inlineStr">
        <is>
          <t>VARCHAR(400)</t>
        </is>
      </c>
      <c r="E2414" t="inlineStr">
        <is>
          <t>YES</t>
        </is>
      </c>
      <c r="F2414" t="inlineStr">
        <is>
          <t>不动产权证号</t>
        </is>
      </c>
      <c r="H2414" t="inlineStr">
        <is>
          <t>VARCHAR</t>
        </is>
      </c>
      <c r="I2414" t="inlineStr">
        <is>
          <t>400</t>
        </is>
      </c>
    </row>
    <row r="2415">
      <c r="A2415" t="inlineStr">
        <is>
          <t>不动产中心房产信息</t>
        </is>
      </c>
      <c r="B2415" t="inlineStr">
        <is>
          <t>CLR_PROPERTY_HOUSE_INFO</t>
        </is>
      </c>
      <c r="C2415" t="inlineStr">
        <is>
          <t>CUSTOMERNAME</t>
        </is>
      </c>
      <c r="D2415" t="inlineStr">
        <is>
          <t>VARCHAR(40)</t>
        </is>
      </c>
      <c r="E2415" t="inlineStr">
        <is>
          <t>YES</t>
        </is>
      </c>
      <c r="F2415" t="inlineStr">
        <is>
          <t>客户姓名</t>
        </is>
      </c>
      <c r="H2415" t="inlineStr">
        <is>
          <t>VARCHAR</t>
        </is>
      </c>
      <c r="I2415" t="inlineStr">
        <is>
          <t>40</t>
        </is>
      </c>
    </row>
    <row r="2416">
      <c r="A2416" t="inlineStr">
        <is>
          <t>不动产中心房产信息</t>
        </is>
      </c>
      <c r="B2416" t="inlineStr">
        <is>
          <t>CLR_PROPERTY_HOUSE_INFO</t>
        </is>
      </c>
      <c r="C2416" t="inlineStr">
        <is>
          <t>HOUSELOCATION</t>
        </is>
      </c>
      <c r="D2416" t="inlineStr">
        <is>
          <t>VARCHAR(400)</t>
        </is>
      </c>
      <c r="E2416" t="inlineStr">
        <is>
          <t>YES</t>
        </is>
      </c>
      <c r="F2416" t="inlineStr">
        <is>
          <t>坐落</t>
        </is>
      </c>
      <c r="H2416" t="inlineStr">
        <is>
          <t>VARCHAR</t>
        </is>
      </c>
      <c r="I2416" t="inlineStr">
        <is>
          <t>400</t>
        </is>
      </c>
    </row>
    <row r="2417">
      <c r="A2417" t="inlineStr">
        <is>
          <t>不动产中心房产信息</t>
        </is>
      </c>
      <c r="B2417" t="inlineStr">
        <is>
          <t>CLR_PROPERTY_HOUSE_INFO</t>
        </is>
      </c>
      <c r="C2417" t="inlineStr">
        <is>
          <t>STRUCTURETYPE</t>
        </is>
      </c>
      <c r="D2417" t="inlineStr">
        <is>
          <t>VARCHAR(10)</t>
        </is>
      </c>
      <c r="E2417" t="inlineStr">
        <is>
          <t>YES</t>
        </is>
      </c>
      <c r="F2417" t="inlineStr">
        <is>
          <t>构筑物类型</t>
        </is>
      </c>
      <c r="H2417" t="inlineStr">
        <is>
          <t>VARCHAR</t>
        </is>
      </c>
      <c r="I2417" t="inlineStr">
        <is>
          <t>10</t>
        </is>
      </c>
    </row>
    <row r="2418">
      <c r="A2418" t="inlineStr">
        <is>
          <t>不动产中心房产信息</t>
        </is>
      </c>
      <c r="B2418" t="inlineStr">
        <is>
          <t>CLR_PROPERTY_HOUSE_INFO</t>
        </is>
      </c>
      <c r="C2418" t="inlineStr">
        <is>
          <t>SEATYPE</t>
        </is>
      </c>
      <c r="D2418" t="inlineStr">
        <is>
          <t>VARCHAR(10)</t>
        </is>
      </c>
      <c r="E2418" t="inlineStr">
        <is>
          <t>YES</t>
        </is>
      </c>
      <c r="F2418" t="inlineStr">
        <is>
          <t>用海类型</t>
        </is>
      </c>
      <c r="H2418" t="inlineStr">
        <is>
          <t>VARCHAR</t>
        </is>
      </c>
      <c r="I2418" t="inlineStr">
        <is>
          <t>10</t>
        </is>
      </c>
    </row>
    <row r="2419">
      <c r="A2419" t="inlineStr">
        <is>
          <t>不动产中心房产信息</t>
        </is>
      </c>
      <c r="B2419" t="inlineStr">
        <is>
          <t>CLR_PROPERTY_HOUSE_INFO</t>
        </is>
      </c>
      <c r="C2419" t="inlineStr">
        <is>
          <t>PROPERTYUNITID</t>
        </is>
      </c>
      <c r="D2419" t="inlineStr">
        <is>
          <t>VARCHAR(50)</t>
        </is>
      </c>
      <c r="E2419" t="inlineStr">
        <is>
          <t>YES</t>
        </is>
      </c>
      <c r="F2419" t="inlineStr">
        <is>
          <t>不动产单元ID</t>
        </is>
      </c>
      <c r="H2419" t="inlineStr">
        <is>
          <t>VARCHAR</t>
        </is>
      </c>
      <c r="I2419" t="inlineStr">
        <is>
          <t>50</t>
        </is>
      </c>
    </row>
    <row r="2420">
      <c r="A2420" t="inlineStr">
        <is>
          <t>不动产中心房产信息</t>
        </is>
      </c>
      <c r="B2420" t="inlineStr">
        <is>
          <t>CLR_PROPERTY_HOUSE_INFO</t>
        </is>
      </c>
      <c r="C2420" t="inlineStr">
        <is>
          <t>PROPERTYUNITTYPE</t>
        </is>
      </c>
      <c r="D2420" t="inlineStr">
        <is>
          <t>VARCHAR(10)</t>
        </is>
      </c>
      <c r="E2420" t="inlineStr">
        <is>
          <t>YES</t>
        </is>
      </c>
      <c r="F2420" t="inlineStr">
        <is>
          <t>不动产单元类型</t>
        </is>
      </c>
      <c r="H2420" t="inlineStr">
        <is>
          <t>VARCHAR</t>
        </is>
      </c>
      <c r="I2420" t="inlineStr">
        <is>
          <t>10</t>
        </is>
      </c>
    </row>
    <row r="2421">
      <c r="A2421" t="inlineStr">
        <is>
          <t>不动产中心房产信息</t>
        </is>
      </c>
      <c r="B2421" t="inlineStr">
        <is>
          <t>CLR_PROPERTY_HOUSE_INFO</t>
        </is>
      </c>
      <c r="C2421" t="inlineStr">
        <is>
          <t>HOUSINGUSE</t>
        </is>
      </c>
      <c r="D2421" t="inlineStr">
        <is>
          <t>VARCHAR(200)</t>
        </is>
      </c>
      <c r="E2421" t="inlineStr">
        <is>
          <t>YES</t>
        </is>
      </c>
      <c r="F2421" t="inlineStr">
        <is>
          <t>房屋用途</t>
        </is>
      </c>
      <c r="H2421" t="inlineStr">
        <is>
          <t>VARCHAR</t>
        </is>
      </c>
      <c r="I2421" t="inlineStr">
        <is>
          <t>200</t>
        </is>
      </c>
    </row>
    <row r="2422">
      <c r="A2422" t="inlineStr">
        <is>
          <t>不动产中心房产信息</t>
        </is>
      </c>
      <c r="B2422" t="inlineStr">
        <is>
          <t>CLR_PROPERTY_HOUSE_INFO</t>
        </is>
      </c>
      <c r="C2422" t="inlineStr">
        <is>
          <t>AREA</t>
        </is>
      </c>
      <c r="D2422" t="inlineStr">
        <is>
          <t>DECIMAL(24)</t>
        </is>
      </c>
      <c r="E2422" t="inlineStr">
        <is>
          <t>YES</t>
        </is>
      </c>
      <c r="F2422" t="inlineStr">
        <is>
          <t>面积</t>
        </is>
      </c>
      <c r="H2422" t="inlineStr">
        <is>
          <t>DECIMAL</t>
        </is>
      </c>
      <c r="I2422" t="inlineStr">
        <is>
          <t>24</t>
        </is>
      </c>
    </row>
    <row r="2423">
      <c r="A2423" t="inlineStr">
        <is>
          <t>不动产中心房产信息</t>
        </is>
      </c>
      <c r="B2423" t="inlineStr">
        <is>
          <t>CLR_PROPERTY_HOUSE_INFO</t>
        </is>
      </c>
      <c r="C2423" t="inlineStr">
        <is>
          <t>FORESTTYPE</t>
        </is>
      </c>
      <c r="D2423" t="inlineStr">
        <is>
          <t>VARCHAR(10)</t>
        </is>
      </c>
      <c r="E2423" t="inlineStr">
        <is>
          <t>YES</t>
        </is>
      </c>
      <c r="F2423" t="inlineStr">
        <is>
          <t>林种</t>
        </is>
      </c>
      <c r="H2423" t="inlineStr">
        <is>
          <t>VARCHAR</t>
        </is>
      </c>
      <c r="I2423" t="inlineStr">
        <is>
          <t>10</t>
        </is>
      </c>
    </row>
    <row r="2424">
      <c r="A2424" t="inlineStr">
        <is>
          <t>不动产中心房产信息</t>
        </is>
      </c>
      <c r="B2424" t="inlineStr">
        <is>
          <t>CLR_PROPERTY_HOUSE_INFO</t>
        </is>
      </c>
      <c r="C2424" t="inlineStr">
        <is>
          <t>PROPERTYUNITNO</t>
        </is>
      </c>
      <c r="D2424" t="inlineStr">
        <is>
          <t>VARCHAR(50)</t>
        </is>
      </c>
      <c r="E2424" t="inlineStr">
        <is>
          <t>YES</t>
        </is>
      </c>
      <c r="F2424" t="inlineStr">
        <is>
          <t>不动产单元号</t>
        </is>
      </c>
      <c r="H2424" t="inlineStr">
        <is>
          <t>VARCHAR</t>
        </is>
      </c>
      <c r="I2424" t="inlineStr">
        <is>
          <t>50</t>
        </is>
      </c>
    </row>
    <row r="2425">
      <c r="A2425" t="inlineStr">
        <is>
          <t>不动产中心房产信息</t>
        </is>
      </c>
      <c r="B2425" t="inlineStr">
        <is>
          <t>CLR_PROPERTY_HOUSE_INFO</t>
        </is>
      </c>
      <c r="C2425" t="inlineStr">
        <is>
          <t>NATURALBUILDINGNO</t>
        </is>
      </c>
      <c r="D2425" t="inlineStr">
        <is>
          <t>VARCHAR(50)</t>
        </is>
      </c>
      <c r="E2425" t="inlineStr">
        <is>
          <t>YES</t>
        </is>
      </c>
      <c r="F2425" t="inlineStr">
        <is>
          <t>自然幢号</t>
        </is>
      </c>
      <c r="H2425" t="inlineStr">
        <is>
          <t>VARCHAR</t>
        </is>
      </c>
      <c r="I2425" t="inlineStr">
        <is>
          <t>50</t>
        </is>
      </c>
    </row>
    <row r="2426">
      <c r="A2426" t="inlineStr">
        <is>
          <t>不动产中心房产信息</t>
        </is>
      </c>
      <c r="B2426" t="inlineStr">
        <is>
          <t>CLR_PROPERTY_HOUSE_INFO</t>
        </is>
      </c>
      <c r="C2426" t="inlineStr">
        <is>
          <t>ROOMNO</t>
        </is>
      </c>
      <c r="D2426" t="inlineStr">
        <is>
          <t>VARCHAR(20)</t>
        </is>
      </c>
      <c r="E2426" t="inlineStr">
        <is>
          <t>YES</t>
        </is>
      </c>
      <c r="F2426" t="inlineStr">
        <is>
          <t>房号</t>
        </is>
      </c>
      <c r="H2426" t="inlineStr">
        <is>
          <t>VARCHAR</t>
        </is>
      </c>
      <c r="I2426" t="inlineStr">
        <is>
          <t>20</t>
        </is>
      </c>
    </row>
    <row r="2427">
      <c r="A2427" t="inlineStr">
        <is>
          <t>不动产中心房产信息</t>
        </is>
      </c>
      <c r="B2427" t="inlineStr">
        <is>
          <t>CLR_PROPERTY_HOUSE_INFO</t>
        </is>
      </c>
      <c r="C2427" t="inlineStr">
        <is>
          <t>HOUSESTRUCTURE</t>
        </is>
      </c>
      <c r="D2427" t="inlineStr">
        <is>
          <t>VARCHAR(10)</t>
        </is>
      </c>
      <c r="E2427" t="inlineStr">
        <is>
          <t>YES</t>
        </is>
      </c>
      <c r="F2427" t="inlineStr">
        <is>
          <t>房屋结构</t>
        </is>
      </c>
      <c r="H2427" t="inlineStr">
        <is>
          <t>VARCHAR</t>
        </is>
      </c>
      <c r="I2427" t="inlineStr">
        <is>
          <t>10</t>
        </is>
      </c>
    </row>
    <row r="2428">
      <c r="A2428" t="inlineStr">
        <is>
          <t>不动产中心房产信息</t>
        </is>
      </c>
      <c r="B2428" t="inlineStr">
        <is>
          <t>CLR_PROPERTY_HOUSE_INFO</t>
        </is>
      </c>
      <c r="C2428" t="inlineStr">
        <is>
          <t>TOTALFLOORS</t>
        </is>
      </c>
      <c r="D2428" t="inlineStr">
        <is>
          <t>DECIMAL(24)</t>
        </is>
      </c>
      <c r="E2428" t="inlineStr">
        <is>
          <t>YES</t>
        </is>
      </c>
      <c r="F2428" t="inlineStr">
        <is>
          <t>总层数</t>
        </is>
      </c>
      <c r="H2428" t="inlineStr">
        <is>
          <t>DECIMAL</t>
        </is>
      </c>
      <c r="I2428" t="inlineStr">
        <is>
          <t>24</t>
        </is>
      </c>
    </row>
    <row r="2429">
      <c r="A2429" t="inlineStr">
        <is>
          <t>不动产中心房产信息</t>
        </is>
      </c>
      <c r="B2429" t="inlineStr">
        <is>
          <t>CLR_PROPERTY_HOUSE_INFO</t>
        </is>
      </c>
      <c r="C2429" t="inlineStr">
        <is>
          <t>LAYER</t>
        </is>
      </c>
      <c r="D2429" t="inlineStr">
        <is>
          <t>VARCHAR(10)</t>
        </is>
      </c>
      <c r="E2429" t="inlineStr">
        <is>
          <t>YES</t>
        </is>
      </c>
      <c r="F2429" t="inlineStr">
        <is>
          <t>所在层</t>
        </is>
      </c>
      <c r="H2429" t="inlineStr">
        <is>
          <t>VARCHAR</t>
        </is>
      </c>
      <c r="I2429" t="inlineStr">
        <is>
          <t>10</t>
        </is>
      </c>
    </row>
    <row r="2430">
      <c r="A2430" t="inlineStr">
        <is>
          <t>不动产中心房产信息</t>
        </is>
      </c>
      <c r="B2430" t="inlineStr">
        <is>
          <t>CLR_PROPERTY_HOUSE_INFO</t>
        </is>
      </c>
      <c r="C2430" t="inlineStr">
        <is>
          <t>INTERIORAREA</t>
        </is>
      </c>
      <c r="D2430" t="inlineStr">
        <is>
          <t>DECIMAL(24)</t>
        </is>
      </c>
      <c r="E2430" t="inlineStr">
        <is>
          <t>YES</t>
        </is>
      </c>
      <c r="F2430" t="inlineStr">
        <is>
          <t>套内面积</t>
        </is>
      </c>
      <c r="H2430" t="inlineStr">
        <is>
          <t>DECIMAL</t>
        </is>
      </c>
      <c r="I2430" t="inlineStr">
        <is>
          <t>24</t>
        </is>
      </c>
    </row>
    <row r="2431">
      <c r="A2431" t="inlineStr">
        <is>
          <t>不动产中心房产信息</t>
        </is>
      </c>
      <c r="B2431" t="inlineStr">
        <is>
          <t>CLR_PROPERTY_HOUSE_INFO</t>
        </is>
      </c>
      <c r="C2431" t="inlineStr">
        <is>
          <t>PLANNINGPURPOSE</t>
        </is>
      </c>
      <c r="D2431" t="inlineStr">
        <is>
          <t>VARCHAR(10)</t>
        </is>
      </c>
      <c r="E2431" t="inlineStr">
        <is>
          <t>YES</t>
        </is>
      </c>
      <c r="F2431" t="inlineStr">
        <is>
          <t>规划用途</t>
        </is>
      </c>
      <c r="H2431" t="inlineStr">
        <is>
          <t>VARCHAR</t>
        </is>
      </c>
      <c r="I2431" t="inlineStr">
        <is>
          <t>10</t>
        </is>
      </c>
    </row>
    <row r="2432">
      <c r="A2432" t="inlineStr">
        <is>
          <t>不动产中心房产信息</t>
        </is>
      </c>
      <c r="B2432" t="inlineStr">
        <is>
          <t>CLR_PROPERTY_HOUSE_INFO</t>
        </is>
      </c>
      <c r="C2432" t="inlineStr">
        <is>
          <t>INPUTORGID</t>
        </is>
      </c>
      <c r="D2432" t="inlineStr">
        <is>
          <t>VARCHAR(32)</t>
        </is>
      </c>
      <c r="E2432" t="inlineStr">
        <is>
          <t>YES</t>
        </is>
      </c>
      <c r="F2432" t="inlineStr">
        <is>
          <t>创建机构</t>
        </is>
      </c>
      <c r="H2432" t="inlineStr">
        <is>
          <t>VARCHAR</t>
        </is>
      </c>
      <c r="I2432" t="inlineStr">
        <is>
          <t>32</t>
        </is>
      </c>
    </row>
    <row r="2433">
      <c r="A2433" t="inlineStr">
        <is>
          <t>不动产中心房产信息</t>
        </is>
      </c>
      <c r="B2433" t="inlineStr">
        <is>
          <t>CLR_PROPERTY_HOUSE_INFO</t>
        </is>
      </c>
      <c r="C2433" t="inlineStr">
        <is>
          <t>INPUTDATE</t>
        </is>
      </c>
      <c r="D2433" t="inlineStr">
        <is>
          <t>VARCHAR(10)</t>
        </is>
      </c>
      <c r="E2433" t="inlineStr">
        <is>
          <t>YES</t>
        </is>
      </c>
      <c r="F2433" t="inlineStr">
        <is>
          <t>创建日期</t>
        </is>
      </c>
      <c r="H2433" t="inlineStr">
        <is>
          <t>VARCHAR</t>
        </is>
      </c>
      <c r="I2433" t="inlineStr">
        <is>
          <t>10</t>
        </is>
      </c>
    </row>
    <row r="2434">
      <c r="A2434" t="inlineStr">
        <is>
          <t>不动产中心房产信息</t>
        </is>
      </c>
      <c r="B2434" t="inlineStr">
        <is>
          <t>CLR_PROPERTY_HOUSE_INFO</t>
        </is>
      </c>
      <c r="C2434" t="inlineStr">
        <is>
          <t>INPUTUSERID</t>
        </is>
      </c>
      <c r="D2434" t="inlineStr">
        <is>
          <t>VARCHAR(10)</t>
        </is>
      </c>
      <c r="E2434" t="inlineStr">
        <is>
          <t>YES</t>
        </is>
      </c>
      <c r="F2434" t="inlineStr">
        <is>
          <t>创建人</t>
        </is>
      </c>
      <c r="H2434" t="inlineStr">
        <is>
          <t>VARCHAR</t>
        </is>
      </c>
      <c r="I2434" t="inlineStr">
        <is>
          <t>10</t>
        </is>
      </c>
    </row>
    <row r="2435">
      <c r="A2435" t="inlineStr">
        <is>
          <t>不动产中心房产信息</t>
        </is>
      </c>
      <c r="B2435" t="inlineStr">
        <is>
          <t>CLR_PROPERTY_HOUSE_INFO</t>
        </is>
      </c>
      <c r="C2435" t="inlineStr">
        <is>
          <t>PROPERTYREGISTERDATE</t>
        </is>
      </c>
      <c r="D2435" t="inlineStr">
        <is>
          <t>VARCHAR(20)</t>
        </is>
      </c>
      <c r="E2435" t="inlineStr">
        <is>
          <t>YES</t>
        </is>
      </c>
      <c r="F2435" t="inlineStr">
        <is>
          <t>当前产权登记时间</t>
        </is>
      </c>
      <c r="H2435" t="inlineStr">
        <is>
          <t>VARCHAR</t>
        </is>
      </c>
      <c r="I2435" t="inlineStr">
        <is>
          <t>20</t>
        </is>
      </c>
    </row>
    <row r="2436">
      <c r="A2436" t="inlineStr">
        <is>
          <t>不动产中心房产信息</t>
        </is>
      </c>
      <c r="B2436" t="inlineStr">
        <is>
          <t>CLR_PROPERTY_HOUSE_INFO</t>
        </is>
      </c>
      <c r="C2436" t="inlineStr">
        <is>
          <t>LANDUSENAME</t>
        </is>
      </c>
      <c r="D2436" t="inlineStr">
        <is>
          <t>VARCHAR(200)</t>
        </is>
      </c>
      <c r="E2436" t="inlineStr">
        <is>
          <t>YES</t>
        </is>
      </c>
      <c r="F2436" t="inlineStr">
        <is>
          <t>土地用途名称</t>
        </is>
      </c>
      <c r="H2436" t="inlineStr">
        <is>
          <t>VARCHAR</t>
        </is>
      </c>
      <c r="I2436" t="inlineStr">
        <is>
          <t>200</t>
        </is>
      </c>
    </row>
    <row r="2437">
      <c r="A2437" t="inlineStr">
        <is>
          <t>不动产中心房产信息</t>
        </is>
      </c>
      <c r="B2437" t="inlineStr">
        <is>
          <t>CLR_PROPERTY_HOUSE_INFO</t>
        </is>
      </c>
      <c r="C2437" t="inlineStr">
        <is>
          <t>PROPERTYTYPE</t>
        </is>
      </c>
      <c r="D2437" t="inlineStr">
        <is>
          <t>VARCHAR(100)</t>
        </is>
      </c>
      <c r="E2437" t="inlineStr">
        <is>
          <t>YES</t>
        </is>
      </c>
      <c r="F2437" t="inlineStr">
        <is>
          <t>房屋性质</t>
        </is>
      </c>
      <c r="H2437" t="inlineStr">
        <is>
          <t>VARCHAR</t>
        </is>
      </c>
      <c r="I2437" t="inlineStr">
        <is>
          <t>100</t>
        </is>
      </c>
    </row>
    <row r="2438">
      <c r="A2438" t="inlineStr">
        <is>
          <t>不动产中心房产信息</t>
        </is>
      </c>
      <c r="B2438" t="inlineStr">
        <is>
          <t>CLR_PROPERTY_HOUSE_INFO</t>
        </is>
      </c>
      <c r="C2438" t="inlineStr">
        <is>
          <t>INPUTUSERID</t>
        </is>
      </c>
      <c r="D2438" t="inlineStr">
        <is>
          <t>VARCHAR(32)</t>
        </is>
      </c>
      <c r="E2438" t="inlineStr">
        <is>
          <t>YES</t>
        </is>
      </c>
      <c r="F2438" t="inlineStr">
        <is>
          <t>登记人</t>
        </is>
      </c>
      <c r="H2438" t="inlineStr">
        <is>
          <t>VARCHAR</t>
        </is>
      </c>
      <c r="I2438" t="inlineStr">
        <is>
          <t>32</t>
        </is>
      </c>
    </row>
    <row r="2439">
      <c r="A2439" t="inlineStr">
        <is>
          <t>不动产中心房产信息</t>
        </is>
      </c>
      <c r="B2439" t="inlineStr">
        <is>
          <t>CLR_PROPERTY_HOUSE_INFO</t>
        </is>
      </c>
      <c r="C2439" t="inlineStr">
        <is>
          <t>INPUTORGID</t>
        </is>
      </c>
      <c r="D2439" t="inlineStr">
        <is>
          <t>VARCHAR(32)</t>
        </is>
      </c>
      <c r="E2439" t="inlineStr">
        <is>
          <t>YES</t>
        </is>
      </c>
      <c r="F2439" t="inlineStr">
        <is>
          <t>登记机构</t>
        </is>
      </c>
      <c r="H2439" t="inlineStr">
        <is>
          <t>VARCHAR</t>
        </is>
      </c>
      <c r="I2439" t="inlineStr">
        <is>
          <t>32</t>
        </is>
      </c>
    </row>
    <row r="2440">
      <c r="A2440" t="inlineStr">
        <is>
          <t>不动产中心房产信息</t>
        </is>
      </c>
      <c r="B2440" t="inlineStr">
        <is>
          <t>CLR_PROPERTY_HOUSE_INFO</t>
        </is>
      </c>
      <c r="C2440" t="inlineStr">
        <is>
          <t>INPUTDATE</t>
        </is>
      </c>
      <c r="D2440" t="inlineStr">
        <is>
          <t>DATETIME</t>
        </is>
      </c>
      <c r="E2440" t="inlineStr">
        <is>
          <t>YES</t>
        </is>
      </c>
      <c r="F2440" t="inlineStr">
        <is>
          <t>登记日期</t>
        </is>
      </c>
      <c r="H2440" t="inlineStr">
        <is>
          <t>DATETIME</t>
        </is>
      </c>
    </row>
    <row r="2441">
      <c r="A2441" t="inlineStr">
        <is>
          <t>不动产中心房产信息</t>
        </is>
      </c>
      <c r="B2441" t="inlineStr">
        <is>
          <t>CLR_PROPERTY_HOUSE_INFO</t>
        </is>
      </c>
      <c r="C2441" t="inlineStr">
        <is>
          <t>UPDATEUSERID</t>
        </is>
      </c>
      <c r="D2441" t="inlineStr">
        <is>
          <t>VARCHAR(32)</t>
        </is>
      </c>
      <c r="E2441" t="inlineStr">
        <is>
          <t>YES</t>
        </is>
      </c>
      <c r="F2441" t="inlineStr">
        <is>
          <t>更新人</t>
        </is>
      </c>
      <c r="H2441" t="inlineStr">
        <is>
          <t>VARCHAR</t>
        </is>
      </c>
      <c r="I2441" t="inlineStr">
        <is>
          <t>32</t>
        </is>
      </c>
    </row>
    <row r="2442">
      <c r="A2442" t="inlineStr">
        <is>
          <t>不动产中心房产信息</t>
        </is>
      </c>
      <c r="B2442" t="inlineStr">
        <is>
          <t>CLR_PROPERTY_HOUSE_INFO</t>
        </is>
      </c>
      <c r="C2442" t="inlineStr">
        <is>
          <t>UPDATEORGID</t>
        </is>
      </c>
      <c r="D2442" t="inlineStr">
        <is>
          <t>VARCHAR(32)</t>
        </is>
      </c>
      <c r="E2442" t="inlineStr">
        <is>
          <t>YES</t>
        </is>
      </c>
      <c r="F2442" t="inlineStr">
        <is>
          <t>更新机构</t>
        </is>
      </c>
      <c r="H2442" t="inlineStr">
        <is>
          <t>VARCHAR</t>
        </is>
      </c>
      <c r="I2442" t="inlineStr">
        <is>
          <t>32</t>
        </is>
      </c>
    </row>
    <row r="2443">
      <c r="A2443" t="inlineStr">
        <is>
          <t>不动产中心房产信息</t>
        </is>
      </c>
      <c r="B2443" t="inlineStr">
        <is>
          <t>CLR_PROPERTY_HOUSE_INFO</t>
        </is>
      </c>
      <c r="C2443" t="inlineStr">
        <is>
          <t>UPDATEDATE</t>
        </is>
      </c>
      <c r="D2443" t="inlineStr">
        <is>
          <t>DATETIME</t>
        </is>
      </c>
      <c r="E2443" t="inlineStr">
        <is>
          <t>YES</t>
        </is>
      </c>
      <c r="F2443" t="inlineStr">
        <is>
          <t>更新日期</t>
        </is>
      </c>
      <c r="H2443" t="inlineStr">
        <is>
          <t>DATETIME</t>
        </is>
      </c>
    </row>
    <row r="2444">
      <c r="A2444" t="inlineStr">
        <is>
          <t>权利人信息</t>
        </is>
      </c>
      <c r="B2444" t="inlineStr">
        <is>
          <t>CLR_PROPERTY_RIGHT_HOLDER_INFO</t>
        </is>
      </c>
      <c r="C2444" t="inlineStr">
        <is>
          <t>SERIALNO</t>
        </is>
      </c>
      <c r="D2444" t="inlineStr">
        <is>
          <t>VARCHAR(32)</t>
        </is>
      </c>
      <c r="E2444" t="inlineStr">
        <is>
          <t>NO</t>
        </is>
      </c>
      <c r="F2444" t="inlineStr">
        <is>
          <t>流水号</t>
        </is>
      </c>
      <c r="H2444" t="inlineStr">
        <is>
          <t>VARCHAR</t>
        </is>
      </c>
      <c r="I2444" t="inlineStr">
        <is>
          <t>32</t>
        </is>
      </c>
    </row>
    <row r="2445">
      <c r="A2445" t="inlineStr">
        <is>
          <t>权利人信息</t>
        </is>
      </c>
      <c r="B2445" t="inlineStr">
        <is>
          <t>CLR_PROPERTY_RIGHT_HOLDER_INFO</t>
        </is>
      </c>
      <c r="C2445" t="inlineStr">
        <is>
          <t>REGISTERRECORDID</t>
        </is>
      </c>
      <c r="D2445" t="inlineStr">
        <is>
          <t>VARCHAR(32)</t>
        </is>
      </c>
      <c r="E2445" t="inlineStr">
        <is>
          <t>NO</t>
        </is>
      </c>
      <c r="F2445" t="inlineStr">
        <is>
          <t>押权编号</t>
        </is>
      </c>
      <c r="H2445" t="inlineStr">
        <is>
          <t>VARCHAR</t>
        </is>
      </c>
      <c r="I2445" t="inlineStr">
        <is>
          <t>32</t>
        </is>
      </c>
    </row>
    <row r="2446">
      <c r="A2446" t="inlineStr">
        <is>
          <t>权利人信息</t>
        </is>
      </c>
      <c r="B2446" t="inlineStr">
        <is>
          <t>CLR_PROPERTY_RIGHT_HOLDER_INFO</t>
        </is>
      </c>
      <c r="C2446" t="inlineStr">
        <is>
          <t>PROPERTYNO</t>
        </is>
      </c>
      <c r="D2446" t="inlineStr">
        <is>
          <t>VARCHAR(400)</t>
        </is>
      </c>
      <c r="E2446" t="inlineStr">
        <is>
          <t>YES</t>
        </is>
      </c>
      <c r="F2446" t="inlineStr">
        <is>
          <t>产权登记号</t>
        </is>
      </c>
      <c r="H2446" t="inlineStr">
        <is>
          <t>VARCHAR</t>
        </is>
      </c>
      <c r="I2446" t="inlineStr">
        <is>
          <t>400</t>
        </is>
      </c>
    </row>
    <row r="2447">
      <c r="A2447" t="inlineStr">
        <is>
          <t>权利人信息</t>
        </is>
      </c>
      <c r="B2447" t="inlineStr">
        <is>
          <t>CLR_PROPERTY_RIGHT_HOLDER_INFO</t>
        </is>
      </c>
      <c r="C2447" t="inlineStr">
        <is>
          <t>PROPERTYCERTNO</t>
        </is>
      </c>
      <c r="D2447" t="inlineStr">
        <is>
          <t>VARCHAR(50)</t>
        </is>
      </c>
      <c r="E2447" t="inlineStr">
        <is>
          <t>YES</t>
        </is>
      </c>
      <c r="F2447" t="inlineStr">
        <is>
          <t>不动产权证号</t>
        </is>
      </c>
      <c r="H2447" t="inlineStr">
        <is>
          <t>VARCHAR</t>
        </is>
      </c>
      <c r="I2447" t="inlineStr">
        <is>
          <t>50</t>
        </is>
      </c>
    </row>
    <row r="2448">
      <c r="A2448" t="inlineStr">
        <is>
          <t>权利人信息</t>
        </is>
      </c>
      <c r="B2448" t="inlineStr">
        <is>
          <t>CLR_PROPERTY_RIGHT_HOLDER_INFO</t>
        </is>
      </c>
      <c r="C2448" t="inlineStr">
        <is>
          <t>CUSTOMERNAME</t>
        </is>
      </c>
      <c r="D2448" t="inlineStr">
        <is>
          <t>VARCHAR(40)</t>
        </is>
      </c>
      <c r="E2448" t="inlineStr">
        <is>
          <t>YES</t>
        </is>
      </c>
      <c r="F2448" t="inlineStr">
        <is>
          <t>客户姓名</t>
        </is>
      </c>
      <c r="H2448" t="inlineStr">
        <is>
          <t>VARCHAR</t>
        </is>
      </c>
      <c r="I2448" t="inlineStr">
        <is>
          <t>40</t>
        </is>
      </c>
    </row>
    <row r="2449">
      <c r="A2449" t="inlineStr">
        <is>
          <t>权利人信息</t>
        </is>
      </c>
      <c r="B2449" t="inlineStr">
        <is>
          <t>CLR_PROPERTY_RIGHT_HOLDER_INFO</t>
        </is>
      </c>
      <c r="C2449" t="inlineStr">
        <is>
          <t>AGENTNAME</t>
        </is>
      </c>
      <c r="D2449" t="inlineStr">
        <is>
          <t>VARCHAR(40)</t>
        </is>
      </c>
      <c r="E2449" t="inlineStr">
        <is>
          <t>YES</t>
        </is>
      </c>
      <c r="F2449" t="inlineStr">
        <is>
          <t>代理人姓名</t>
        </is>
      </c>
      <c r="H2449" t="inlineStr">
        <is>
          <t>VARCHAR</t>
        </is>
      </c>
      <c r="I2449" t="inlineStr">
        <is>
          <t>40</t>
        </is>
      </c>
    </row>
    <row r="2450">
      <c r="A2450" t="inlineStr">
        <is>
          <t>权利人信息</t>
        </is>
      </c>
      <c r="B2450" t="inlineStr">
        <is>
          <t>CLR_PROPERTY_RIGHT_HOLDER_INFO</t>
        </is>
      </c>
      <c r="C2450" t="inlineStr">
        <is>
          <t>AGENTCONTACTNO</t>
        </is>
      </c>
      <c r="D2450" t="inlineStr">
        <is>
          <t>VARCHAR(20)</t>
        </is>
      </c>
      <c r="E2450" t="inlineStr">
        <is>
          <t>YES</t>
        </is>
      </c>
      <c r="F2450" t="inlineStr">
        <is>
          <t>代理人联系电话</t>
        </is>
      </c>
      <c r="H2450" t="inlineStr">
        <is>
          <t>VARCHAR</t>
        </is>
      </c>
      <c r="I2450" t="inlineStr">
        <is>
          <t>20</t>
        </is>
      </c>
    </row>
    <row r="2451">
      <c r="A2451" t="inlineStr">
        <is>
          <t>权利人信息</t>
        </is>
      </c>
      <c r="B2451" t="inlineStr">
        <is>
          <t>CLR_PROPERTY_RIGHT_HOLDER_INFO</t>
        </is>
      </c>
      <c r="C2451" t="inlineStr">
        <is>
          <t>AGENTCERTID</t>
        </is>
      </c>
      <c r="D2451" t="inlineStr">
        <is>
          <t>VARCHAR(32)</t>
        </is>
      </c>
      <c r="E2451" t="inlineStr">
        <is>
          <t>YES</t>
        </is>
      </c>
      <c r="F2451" t="inlineStr">
        <is>
          <t>代理人证件号码</t>
        </is>
      </c>
      <c r="H2451" t="inlineStr">
        <is>
          <t>VARCHAR</t>
        </is>
      </c>
      <c r="I2451" t="inlineStr">
        <is>
          <t>32</t>
        </is>
      </c>
    </row>
    <row r="2452">
      <c r="A2452" t="inlineStr">
        <is>
          <t>权利人信息</t>
        </is>
      </c>
      <c r="B2452" t="inlineStr">
        <is>
          <t>CLR_PROPERTY_RIGHT_HOLDER_INFO</t>
        </is>
      </c>
      <c r="C2452" t="inlineStr">
        <is>
          <t>AGENTCERTTYPE</t>
        </is>
      </c>
      <c r="D2452" t="inlineStr">
        <is>
          <t>VARCHAR(10)</t>
        </is>
      </c>
      <c r="E2452" t="inlineStr">
        <is>
          <t>YES</t>
        </is>
      </c>
      <c r="F2452" t="inlineStr">
        <is>
          <t>代理人证件类型</t>
        </is>
      </c>
      <c r="H2452" t="inlineStr">
        <is>
          <t>VARCHAR</t>
        </is>
      </c>
      <c r="I2452" t="inlineStr">
        <is>
          <t>10</t>
        </is>
      </c>
    </row>
    <row r="2453">
      <c r="A2453" t="inlineStr">
        <is>
          <t>权利人信息</t>
        </is>
      </c>
      <c r="B2453" t="inlineStr">
        <is>
          <t>CLR_PROPERTY_RIGHT_HOLDER_INFO</t>
        </is>
      </c>
      <c r="C2453" t="inlineStr">
        <is>
          <t>AGENTORGNAME</t>
        </is>
      </c>
      <c r="D2453" t="inlineStr">
        <is>
          <t>VARCHAR(40)</t>
        </is>
      </c>
      <c r="E2453" t="inlineStr">
        <is>
          <t>YES</t>
        </is>
      </c>
      <c r="F2453" t="inlineStr">
        <is>
          <t>代理机构名称</t>
        </is>
      </c>
      <c r="H2453" t="inlineStr">
        <is>
          <t>VARCHAR</t>
        </is>
      </c>
      <c r="I2453" t="inlineStr">
        <is>
          <t>40</t>
        </is>
      </c>
    </row>
    <row r="2454">
      <c r="A2454" t="inlineStr">
        <is>
          <t>权利人信息</t>
        </is>
      </c>
      <c r="B2454" t="inlineStr">
        <is>
          <t>CLR_PROPERTY_RIGHT_HOLDER_INFO</t>
        </is>
      </c>
      <c r="C2454" t="inlineStr">
        <is>
          <t>COMMONSITUATION</t>
        </is>
      </c>
      <c r="D2454" t="inlineStr">
        <is>
          <t>VARCHAR(32)</t>
        </is>
      </c>
      <c r="E2454" t="inlineStr">
        <is>
          <t>YES</t>
        </is>
      </c>
      <c r="F2454" t="inlineStr">
        <is>
          <t>共有情况</t>
        </is>
      </c>
      <c r="H2454" t="inlineStr">
        <is>
          <t>VARCHAR</t>
        </is>
      </c>
      <c r="I2454" t="inlineStr">
        <is>
          <t>32</t>
        </is>
      </c>
    </row>
    <row r="2455">
      <c r="A2455" t="inlineStr">
        <is>
          <t>权利人信息</t>
        </is>
      </c>
      <c r="B2455" t="inlineStr">
        <is>
          <t>CLR_PROPERTY_RIGHT_HOLDER_INFO</t>
        </is>
      </c>
      <c r="C2455" t="inlineStr">
        <is>
          <t>COMMONTYPE</t>
        </is>
      </c>
      <c r="D2455" t="inlineStr">
        <is>
          <t>VARCHAR(32)</t>
        </is>
      </c>
      <c r="E2455" t="inlineStr">
        <is>
          <t>YES</t>
        </is>
      </c>
      <c r="F2455" t="inlineStr">
        <is>
          <t>共有方式</t>
        </is>
      </c>
      <c r="H2455" t="inlineStr">
        <is>
          <t>VARCHAR</t>
        </is>
      </c>
      <c r="I2455" t="inlineStr">
        <is>
          <t>32</t>
        </is>
      </c>
    </row>
    <row r="2456">
      <c r="A2456" t="inlineStr">
        <is>
          <t>权利人信息</t>
        </is>
      </c>
      <c r="B2456" t="inlineStr">
        <is>
          <t>CLR_PROPERTY_RIGHT_HOLDER_INFO</t>
        </is>
      </c>
      <c r="C2456" t="inlineStr">
        <is>
          <t>ISSUINGAUTHORITY</t>
        </is>
      </c>
      <c r="D2456" t="inlineStr">
        <is>
          <t>VARCHAR(200)</t>
        </is>
      </c>
      <c r="E2456" t="inlineStr">
        <is>
          <t>YES</t>
        </is>
      </c>
      <c r="F2456" t="inlineStr">
        <is>
          <t>发证机关</t>
        </is>
      </c>
      <c r="H2456" t="inlineStr">
        <is>
          <t>VARCHAR</t>
        </is>
      </c>
      <c r="I2456" t="inlineStr">
        <is>
          <t>200</t>
        </is>
      </c>
    </row>
    <row r="2457">
      <c r="A2457" t="inlineStr">
        <is>
          <t>权利人信息</t>
        </is>
      </c>
      <c r="B2457" t="inlineStr">
        <is>
          <t>CLR_PROPERTY_RIGHT_HOLDER_INFO</t>
        </is>
      </c>
      <c r="C2457" t="inlineStr">
        <is>
          <t>COUNTRY</t>
        </is>
      </c>
      <c r="D2457" t="inlineStr">
        <is>
          <t>VARCHAR(10)</t>
        </is>
      </c>
      <c r="E2457" t="inlineStr">
        <is>
          <t>YES</t>
        </is>
      </c>
      <c r="F2457" t="inlineStr">
        <is>
          <t>国家/地区</t>
        </is>
      </c>
      <c r="H2457" t="inlineStr">
        <is>
          <t>VARCHAR</t>
        </is>
      </c>
      <c r="I2457" t="inlineStr">
        <is>
          <t>10</t>
        </is>
      </c>
    </row>
    <row r="2458">
      <c r="A2458" t="inlineStr">
        <is>
          <t>权利人信息</t>
        </is>
      </c>
      <c r="B2458" t="inlineStr">
        <is>
          <t>CLR_PROPERTY_RIGHT_HOLDER_INFO</t>
        </is>
      </c>
      <c r="C2458" t="inlineStr">
        <is>
          <t>ADDRESS</t>
        </is>
      </c>
      <c r="D2458" t="inlineStr">
        <is>
          <t>VARCHAR(400)</t>
        </is>
      </c>
      <c r="E2458" t="inlineStr">
        <is>
          <t>YES</t>
        </is>
      </c>
      <c r="F2458" t="inlineStr">
        <is>
          <t>地址</t>
        </is>
      </c>
      <c r="H2458" t="inlineStr">
        <is>
          <t>VARCHAR</t>
        </is>
      </c>
      <c r="I2458" t="inlineStr">
        <is>
          <t>400</t>
        </is>
      </c>
    </row>
    <row r="2459">
      <c r="A2459" t="inlineStr">
        <is>
          <t>权利人信息</t>
        </is>
      </c>
      <c r="B2459" t="inlineStr">
        <is>
          <t>CLR_PROPERTY_RIGHT_HOLDER_INFO</t>
        </is>
      </c>
      <c r="C2459" t="inlineStr">
        <is>
          <t>REMARK</t>
        </is>
      </c>
      <c r="D2459" t="inlineStr">
        <is>
          <t>VARCHAR(800)</t>
        </is>
      </c>
      <c r="E2459" t="inlineStr">
        <is>
          <t>YES</t>
        </is>
      </c>
      <c r="F2459" t="inlineStr">
        <is>
          <t>备注</t>
        </is>
      </c>
      <c r="H2459" t="inlineStr">
        <is>
          <t>VARCHAR</t>
        </is>
      </c>
      <c r="I2459" t="inlineStr">
        <is>
          <t>800</t>
        </is>
      </c>
    </row>
    <row r="2460">
      <c r="A2460" t="inlineStr">
        <is>
          <t>权利人信息</t>
        </is>
      </c>
      <c r="B2460" t="inlineStr">
        <is>
          <t>CLR_PROPERTY_RIGHT_HOLDER_INFO</t>
        </is>
      </c>
      <c r="C2460" t="inlineStr">
        <is>
          <t>WORKCORP</t>
        </is>
      </c>
      <c r="D2460" t="inlineStr">
        <is>
          <t>VARCHAR(400)</t>
        </is>
      </c>
      <c r="E2460" t="inlineStr">
        <is>
          <t>YES</t>
        </is>
      </c>
      <c r="F2460" t="inlineStr">
        <is>
          <t>工作单位</t>
        </is>
      </c>
      <c r="H2460" t="inlineStr">
        <is>
          <t>VARCHAR</t>
        </is>
      </c>
      <c r="I2460" t="inlineStr">
        <is>
          <t>400</t>
        </is>
      </c>
    </row>
    <row r="2461">
      <c r="A2461" t="inlineStr">
        <is>
          <t>权利人信息</t>
        </is>
      </c>
      <c r="B2461" t="inlineStr">
        <is>
          <t>CLR_PROPERTY_RIGHT_HOLDER_INFO</t>
        </is>
      </c>
      <c r="C2461" t="inlineStr">
        <is>
          <t>SEX</t>
        </is>
      </c>
      <c r="D2461" t="inlineStr">
        <is>
          <t>VARCHAR(10)</t>
        </is>
      </c>
      <c r="E2461" t="inlineStr">
        <is>
          <t>YES</t>
        </is>
      </c>
      <c r="F2461" t="inlineStr">
        <is>
          <t>性别</t>
        </is>
      </c>
      <c r="H2461" t="inlineStr">
        <is>
          <t>VARCHAR</t>
        </is>
      </c>
      <c r="I2461" t="inlineStr">
        <is>
          <t>10</t>
        </is>
      </c>
    </row>
    <row r="2462">
      <c r="A2462" t="inlineStr">
        <is>
          <t>权利人信息</t>
        </is>
      </c>
      <c r="B2462" t="inlineStr">
        <is>
          <t>CLR_PROPERTY_RIGHT_HOLDER_INFO</t>
        </is>
      </c>
      <c r="C2462" t="inlineStr">
        <is>
          <t>HOUSEHOLDPROVINCE</t>
        </is>
      </c>
      <c r="D2462" t="inlineStr">
        <is>
          <t>VARCHAR(400)</t>
        </is>
      </c>
      <c r="E2462" t="inlineStr">
        <is>
          <t>YES</t>
        </is>
      </c>
      <c r="F2462" t="inlineStr">
        <is>
          <t>户籍所在省市</t>
        </is>
      </c>
      <c r="H2462" t="inlineStr">
        <is>
          <t>VARCHAR</t>
        </is>
      </c>
      <c r="I2462" t="inlineStr">
        <is>
          <t>400</t>
        </is>
      </c>
    </row>
    <row r="2463">
      <c r="A2463" t="inlineStr">
        <is>
          <t>权利人信息</t>
        </is>
      </c>
      <c r="B2463" t="inlineStr">
        <is>
          <t>CLR_PROPERTY_RIGHT_HOLDER_INFO</t>
        </is>
      </c>
      <c r="C2463" t="inlineStr">
        <is>
          <t>UNITKIND</t>
        </is>
      </c>
      <c r="D2463" t="inlineStr">
        <is>
          <t>VARCHAR(10)</t>
        </is>
      </c>
      <c r="E2463" t="inlineStr">
        <is>
          <t>YES</t>
        </is>
      </c>
      <c r="F2463" t="inlineStr">
        <is>
          <t>所属行业</t>
        </is>
      </c>
      <c r="H2463" t="inlineStr">
        <is>
          <t>VARCHAR</t>
        </is>
      </c>
      <c r="I2463" t="inlineStr">
        <is>
          <t>10</t>
        </is>
      </c>
    </row>
    <row r="2464">
      <c r="A2464" t="inlineStr">
        <is>
          <t>权利人信息</t>
        </is>
      </c>
      <c r="B2464" t="inlineStr">
        <is>
          <t>CLR_PROPERTY_RIGHT_HOLDER_INFO</t>
        </is>
      </c>
      <c r="C2464" t="inlineStr">
        <is>
          <t>ISHOLDCERT</t>
        </is>
      </c>
      <c r="D2464" t="inlineStr">
        <is>
          <t>VARCHAR(2)</t>
        </is>
      </c>
      <c r="E2464" t="inlineStr">
        <is>
          <t>YES</t>
        </is>
      </c>
      <c r="F2464" t="inlineStr">
        <is>
          <t>是否持证人</t>
        </is>
      </c>
      <c r="H2464" t="inlineStr">
        <is>
          <t>VARCHAR</t>
        </is>
      </c>
      <c r="I2464" t="inlineStr">
        <is>
          <t>2</t>
        </is>
      </c>
    </row>
    <row r="2465">
      <c r="A2465" t="inlineStr">
        <is>
          <t>权利人信息</t>
        </is>
      </c>
      <c r="B2465" t="inlineStr">
        <is>
          <t>CLR_PROPERTY_RIGHT_HOLDER_INFO</t>
        </is>
      </c>
      <c r="C2465" t="inlineStr">
        <is>
          <t>VALIDFLAG</t>
        </is>
      </c>
      <c r="D2465" t="inlineStr">
        <is>
          <t>VARCHAR(2)</t>
        </is>
      </c>
      <c r="E2465" t="inlineStr">
        <is>
          <t>YES</t>
        </is>
      </c>
      <c r="F2465" t="inlineStr">
        <is>
          <t>有效标志</t>
        </is>
      </c>
      <c r="H2465" t="inlineStr">
        <is>
          <t>VARCHAR</t>
        </is>
      </c>
      <c r="I2465" t="inlineStr">
        <is>
          <t>2</t>
        </is>
      </c>
    </row>
    <row r="2466">
      <c r="A2466" t="inlineStr">
        <is>
          <t>权利人信息</t>
        </is>
      </c>
      <c r="B2466" t="inlineStr">
        <is>
          <t>CLR_PROPERTY_RIGHT_HOLDER_INFO</t>
        </is>
      </c>
      <c r="C2466" t="inlineStr">
        <is>
          <t>RIGHTID</t>
        </is>
      </c>
      <c r="D2466" t="inlineStr">
        <is>
          <t>VARCHAR(32)</t>
        </is>
      </c>
      <c r="E2466" t="inlineStr">
        <is>
          <t>YES</t>
        </is>
      </c>
      <c r="F2466" t="inlineStr">
        <is>
          <t>权利ID</t>
        </is>
      </c>
      <c r="H2466" t="inlineStr">
        <is>
          <t>VARCHAR</t>
        </is>
      </c>
      <c r="I2466" t="inlineStr">
        <is>
          <t>32</t>
        </is>
      </c>
    </row>
    <row r="2467">
      <c r="A2467" t="inlineStr">
        <is>
          <t>权利人信息</t>
        </is>
      </c>
      <c r="B2467" t="inlineStr">
        <is>
          <t>CLR_PROPERTY_RIGHT_HOLDER_INFO</t>
        </is>
      </c>
      <c r="C2467" t="inlineStr">
        <is>
          <t>RIGHTHOLDCERID</t>
        </is>
      </c>
      <c r="D2467" t="inlineStr">
        <is>
          <t>VARCHAR(32)</t>
        </is>
      </c>
      <c r="E2467" t="inlineStr">
        <is>
          <t>YES</t>
        </is>
      </c>
      <c r="F2467" t="inlineStr">
        <is>
          <t>权利人ID</t>
        </is>
      </c>
      <c r="H2467" t="inlineStr">
        <is>
          <t>VARCHAR</t>
        </is>
      </c>
      <c r="I2467" t="inlineStr">
        <is>
          <t>32</t>
        </is>
      </c>
    </row>
    <row r="2468">
      <c r="A2468" t="inlineStr">
        <is>
          <t>权利人信息</t>
        </is>
      </c>
      <c r="B2468" t="inlineStr">
        <is>
          <t>CLR_PROPERTY_RIGHT_HOLDER_INFO</t>
        </is>
      </c>
      <c r="C2468" t="inlineStr">
        <is>
          <t>RIGHTHOLDERNAME</t>
        </is>
      </c>
      <c r="D2468" t="inlineStr">
        <is>
          <t>VARCHAR(40)</t>
        </is>
      </c>
      <c r="E2468" t="inlineStr">
        <is>
          <t>YES</t>
        </is>
      </c>
      <c r="F2468" t="inlineStr">
        <is>
          <t>权利人名称</t>
        </is>
      </c>
      <c r="H2468" t="inlineStr">
        <is>
          <t>VARCHAR</t>
        </is>
      </c>
      <c r="I2468" t="inlineStr">
        <is>
          <t>40</t>
        </is>
      </c>
    </row>
    <row r="2469">
      <c r="A2469" t="inlineStr">
        <is>
          <t>权利人信息</t>
        </is>
      </c>
      <c r="B2469" t="inlineStr">
        <is>
          <t>CLR_PROPERTY_RIGHT_HOLDER_INFO</t>
        </is>
      </c>
      <c r="C2469" t="inlineStr">
        <is>
          <t>RIGHTHOLDERTYPE</t>
        </is>
      </c>
      <c r="D2469" t="inlineStr">
        <is>
          <t>VARCHAR(10)</t>
        </is>
      </c>
      <c r="E2469" t="inlineStr">
        <is>
          <t>YES</t>
        </is>
      </c>
      <c r="F2469" t="inlineStr">
        <is>
          <t>权利人类型</t>
        </is>
      </c>
      <c r="H2469" t="inlineStr">
        <is>
          <t>VARCHAR</t>
        </is>
      </c>
      <c r="I2469" t="inlineStr">
        <is>
          <t>10</t>
        </is>
      </c>
    </row>
    <row r="2470">
      <c r="A2470" t="inlineStr">
        <is>
          <t>权利人信息</t>
        </is>
      </c>
      <c r="B2470" t="inlineStr">
        <is>
          <t>CLR_PROPERTY_RIGHT_HOLDER_INFO</t>
        </is>
      </c>
      <c r="C2470" t="inlineStr">
        <is>
          <t>RIGHTPROP</t>
        </is>
      </c>
      <c r="D2470" t="inlineStr">
        <is>
          <t>DECIMAL(10)</t>
        </is>
      </c>
      <c r="E2470" t="inlineStr">
        <is>
          <t>YES</t>
        </is>
      </c>
      <c r="F2470" t="inlineStr">
        <is>
          <t>权利比例</t>
        </is>
      </c>
      <c r="H2470" t="inlineStr">
        <is>
          <t>DECIMAL</t>
        </is>
      </c>
      <c r="I2470" t="inlineStr">
        <is>
          <t>10</t>
        </is>
      </c>
    </row>
    <row r="2471">
      <c r="A2471" t="inlineStr">
        <is>
          <t>权利人信息</t>
        </is>
      </c>
      <c r="B2471" t="inlineStr">
        <is>
          <t>CLR_PROPERTY_RIGHT_HOLDER_INFO</t>
        </is>
      </c>
      <c r="C2471" t="inlineStr">
        <is>
          <t>RIGHTAREA</t>
        </is>
      </c>
      <c r="D2471" t="inlineStr">
        <is>
          <t>DECIMAL(10)</t>
        </is>
      </c>
      <c r="E2471" t="inlineStr">
        <is>
          <t>YES</t>
        </is>
      </c>
      <c r="F2471" t="inlineStr">
        <is>
          <t>权利面积</t>
        </is>
      </c>
      <c r="H2471" t="inlineStr">
        <is>
          <t>DECIMAL</t>
        </is>
      </c>
      <c r="I2471" t="inlineStr">
        <is>
          <t>10</t>
        </is>
      </c>
    </row>
    <row r="2472">
      <c r="A2472" t="inlineStr">
        <is>
          <t>权利人信息</t>
        </is>
      </c>
      <c r="B2472" t="inlineStr">
        <is>
          <t>CLR_PROPERTY_RIGHT_HOLDER_INFO</t>
        </is>
      </c>
      <c r="C2472" t="inlineStr">
        <is>
          <t>LEGALREPRESENT</t>
        </is>
      </c>
      <c r="D2472" t="inlineStr">
        <is>
          <t>VARCHAR(32)</t>
        </is>
      </c>
      <c r="E2472" t="inlineStr">
        <is>
          <t>YES</t>
        </is>
      </c>
      <c r="F2472" t="inlineStr">
        <is>
          <t>法定代表人或负责人</t>
        </is>
      </c>
      <c r="H2472" t="inlineStr">
        <is>
          <t>VARCHAR</t>
        </is>
      </c>
      <c r="I2472" t="inlineStr">
        <is>
          <t>32</t>
        </is>
      </c>
    </row>
    <row r="2473">
      <c r="A2473" t="inlineStr">
        <is>
          <t>权利人信息</t>
        </is>
      </c>
      <c r="B2473" t="inlineStr">
        <is>
          <t>CLR_PROPERTY_RIGHT_HOLDER_INFO</t>
        </is>
      </c>
      <c r="C2473" t="inlineStr">
        <is>
          <t>LEGALREPRESENTTEL</t>
        </is>
      </c>
      <c r="D2473" t="inlineStr">
        <is>
          <t>VARCHAR(20)</t>
        </is>
      </c>
      <c r="E2473" t="inlineStr">
        <is>
          <t>YES</t>
        </is>
      </c>
      <c r="F2473" t="inlineStr">
        <is>
          <t>法定代表人电话号码</t>
        </is>
      </c>
      <c r="H2473" t="inlineStr">
        <is>
          <t>VARCHAR</t>
        </is>
      </c>
      <c r="I2473" t="inlineStr">
        <is>
          <t>20</t>
        </is>
      </c>
    </row>
    <row r="2474">
      <c r="A2474" t="inlineStr">
        <is>
          <t>权利人信息</t>
        </is>
      </c>
      <c r="B2474" t="inlineStr">
        <is>
          <t>CLR_PROPERTY_RIGHT_HOLDER_INFO</t>
        </is>
      </c>
      <c r="C2474" t="inlineStr">
        <is>
          <t>LEGALREPRESENTCERTTYPENAME</t>
        </is>
      </c>
      <c r="D2474" t="inlineStr">
        <is>
          <t>VARCHAR(32)</t>
        </is>
      </c>
      <c r="E2474" t="inlineStr">
        <is>
          <t>YES</t>
        </is>
      </c>
      <c r="F2474" t="inlineStr">
        <is>
          <t>法定代表人证件名称</t>
        </is>
      </c>
      <c r="H2474" t="inlineStr">
        <is>
          <t>VARCHAR</t>
        </is>
      </c>
      <c r="I2474" t="inlineStr">
        <is>
          <t>32</t>
        </is>
      </c>
    </row>
    <row r="2475">
      <c r="A2475" t="inlineStr">
        <is>
          <t>权利人信息</t>
        </is>
      </c>
      <c r="B2475" t="inlineStr">
        <is>
          <t>CLR_PROPERTY_RIGHT_HOLDER_INFO</t>
        </is>
      </c>
      <c r="C2475" t="inlineStr">
        <is>
          <t>LEGALREPRESENTCERTTYPE</t>
        </is>
      </c>
      <c r="D2475" t="inlineStr">
        <is>
          <t>VARCHAR(10)</t>
        </is>
      </c>
      <c r="E2475" t="inlineStr">
        <is>
          <t>YES</t>
        </is>
      </c>
      <c r="F2475" t="inlineStr">
        <is>
          <t>法定代表人证件类型</t>
        </is>
      </c>
      <c r="H2475" t="inlineStr">
        <is>
          <t>VARCHAR</t>
        </is>
      </c>
      <c r="I2475" t="inlineStr">
        <is>
          <t>10</t>
        </is>
      </c>
    </row>
    <row r="2476">
      <c r="A2476" t="inlineStr">
        <is>
          <t>权利人信息</t>
        </is>
      </c>
      <c r="B2476" t="inlineStr">
        <is>
          <t>CLR_PROPERTY_RIGHT_HOLDER_INFO</t>
        </is>
      </c>
      <c r="C2476" t="inlineStr">
        <is>
          <t>APPLICANTID</t>
        </is>
      </c>
      <c r="D2476" t="inlineStr">
        <is>
          <t>VARCHAR(32)</t>
        </is>
      </c>
      <c r="E2476" t="inlineStr">
        <is>
          <t>YES</t>
        </is>
      </c>
      <c r="F2476" t="inlineStr">
        <is>
          <t>申请人ID</t>
        </is>
      </c>
      <c r="H2476" t="inlineStr">
        <is>
          <t>VARCHAR</t>
        </is>
      </c>
      <c r="I2476" t="inlineStr">
        <is>
          <t>32</t>
        </is>
      </c>
    </row>
    <row r="2477">
      <c r="A2477" t="inlineStr">
        <is>
          <t>权利人信息</t>
        </is>
      </c>
      <c r="B2477" t="inlineStr">
        <is>
          <t>CLR_PROPERTY_RIGHT_HOLDER_INFO</t>
        </is>
      </c>
      <c r="C2477" t="inlineStr">
        <is>
          <t>EMAIL</t>
        </is>
      </c>
      <c r="D2477" t="inlineStr">
        <is>
          <t>VARCHAR(80)</t>
        </is>
      </c>
      <c r="E2477" t="inlineStr">
        <is>
          <t>YES</t>
        </is>
      </c>
      <c r="F2477" t="inlineStr">
        <is>
          <t>电子邮件</t>
        </is>
      </c>
      <c r="H2477" t="inlineStr">
        <is>
          <t>VARCHAR</t>
        </is>
      </c>
      <c r="I2477" t="inlineStr">
        <is>
          <t>80</t>
        </is>
      </c>
    </row>
    <row r="2478">
      <c r="A2478" t="inlineStr">
        <is>
          <t>权利人信息</t>
        </is>
      </c>
      <c r="B2478" t="inlineStr">
        <is>
          <t>CLR_PROPERTY_RIGHT_HOLDER_INFO</t>
        </is>
      </c>
      <c r="C2478" t="inlineStr">
        <is>
          <t>TELEPHONE</t>
        </is>
      </c>
      <c r="D2478" t="inlineStr">
        <is>
          <t>VARCHAR(50)</t>
        </is>
      </c>
      <c r="E2478" t="inlineStr">
        <is>
          <t>YES</t>
        </is>
      </c>
      <c r="F2478" t="inlineStr">
        <is>
          <t>电话</t>
        </is>
      </c>
      <c r="H2478" t="inlineStr">
        <is>
          <t>VARCHAR</t>
        </is>
      </c>
      <c r="I2478" t="inlineStr">
        <is>
          <t>50</t>
        </is>
      </c>
    </row>
    <row r="2479">
      <c r="A2479" t="inlineStr">
        <is>
          <t>权利人信息</t>
        </is>
      </c>
      <c r="B2479" t="inlineStr">
        <is>
          <t>CLR_PROPERTY_RIGHT_HOLDER_INFO</t>
        </is>
      </c>
      <c r="C2479" t="inlineStr">
        <is>
          <t>UPDATEDATE</t>
        </is>
      </c>
      <c r="D2479" t="inlineStr">
        <is>
          <t>VARCHAR(20)</t>
        </is>
      </c>
      <c r="E2479" t="inlineStr">
        <is>
          <t>YES</t>
        </is>
      </c>
      <c r="F2479" t="inlineStr">
        <is>
          <t>记录修改时间</t>
        </is>
      </c>
      <c r="H2479" t="inlineStr">
        <is>
          <t>VARCHAR</t>
        </is>
      </c>
      <c r="I2479" t="inlineStr">
        <is>
          <t>20</t>
        </is>
      </c>
    </row>
    <row r="2480">
      <c r="A2480" t="inlineStr">
        <is>
          <t>权利人信息</t>
        </is>
      </c>
      <c r="B2480" t="inlineStr">
        <is>
          <t>CLR_PROPERTY_RIGHT_HOLDER_INFO</t>
        </is>
      </c>
      <c r="C2480" t="inlineStr">
        <is>
          <t>INPUTDATE</t>
        </is>
      </c>
      <c r="D2480" t="inlineStr">
        <is>
          <t>VARCHAR(20)</t>
        </is>
      </c>
      <c r="E2480" t="inlineStr">
        <is>
          <t>YES</t>
        </is>
      </c>
      <c r="F2480" t="inlineStr">
        <is>
          <t>记录创建时间</t>
        </is>
      </c>
      <c r="H2480" t="inlineStr">
        <is>
          <t>VARCHAR</t>
        </is>
      </c>
      <c r="I2480" t="inlineStr">
        <is>
          <t>20</t>
        </is>
      </c>
    </row>
    <row r="2481">
      <c r="A2481" t="inlineStr">
        <is>
          <t>权利人信息</t>
        </is>
      </c>
      <c r="B2481" t="inlineStr">
        <is>
          <t>CLR_PROPERTY_RIGHT_HOLDER_INFO</t>
        </is>
      </c>
      <c r="C2481" t="inlineStr">
        <is>
          <t>CERTID</t>
        </is>
      </c>
      <c r="D2481" t="inlineStr">
        <is>
          <t>VARCHAR(32)</t>
        </is>
      </c>
      <c r="E2481" t="inlineStr">
        <is>
          <t>YES</t>
        </is>
      </c>
      <c r="F2481" t="inlineStr">
        <is>
          <t>证件号</t>
        </is>
      </c>
      <c r="H2481" t="inlineStr">
        <is>
          <t>VARCHAR</t>
        </is>
      </c>
      <c r="I2481" t="inlineStr">
        <is>
          <t>32</t>
        </is>
      </c>
    </row>
    <row r="2482">
      <c r="A2482" t="inlineStr">
        <is>
          <t>权利人信息</t>
        </is>
      </c>
      <c r="B2482" t="inlineStr">
        <is>
          <t>CLR_PROPERTY_RIGHT_HOLDER_INFO</t>
        </is>
      </c>
      <c r="C2482" t="inlineStr">
        <is>
          <t>CERTTYPE</t>
        </is>
      </c>
      <c r="D2482" t="inlineStr">
        <is>
          <t>VARCHAR(10)</t>
        </is>
      </c>
      <c r="E2482" t="inlineStr">
        <is>
          <t>YES</t>
        </is>
      </c>
      <c r="F2482" t="inlineStr">
        <is>
          <t>证件种类</t>
        </is>
      </c>
      <c r="H2482" t="inlineStr">
        <is>
          <t>VARCHAR</t>
        </is>
      </c>
      <c r="I2482" t="inlineStr">
        <is>
          <t>10</t>
        </is>
      </c>
    </row>
    <row r="2483">
      <c r="A2483" t="inlineStr">
        <is>
          <t>权利人信息</t>
        </is>
      </c>
      <c r="B2483" t="inlineStr">
        <is>
          <t>CLR_PROPERTY_RIGHT_HOLDER_INFO</t>
        </is>
      </c>
      <c r="C2483" t="inlineStr">
        <is>
          <t>SURVEYITEMNO</t>
        </is>
      </c>
      <c r="D2483" t="inlineStr">
        <is>
          <t>VARCHAR(32)</t>
        </is>
      </c>
      <c r="E2483" t="inlineStr">
        <is>
          <t>YES</t>
        </is>
      </c>
      <c r="F2483" t="inlineStr">
        <is>
          <t>调查项目编号</t>
        </is>
      </c>
      <c r="H2483" t="inlineStr">
        <is>
          <t>VARCHAR</t>
        </is>
      </c>
      <c r="I2483" t="inlineStr">
        <is>
          <t>32</t>
        </is>
      </c>
    </row>
    <row r="2484">
      <c r="A2484" t="inlineStr">
        <is>
          <t>权利人信息</t>
        </is>
      </c>
      <c r="B2484" t="inlineStr">
        <is>
          <t>CLR_PROPERTY_RIGHT_HOLDER_INFO</t>
        </is>
      </c>
      <c r="C2484" t="inlineStr">
        <is>
          <t>FAMILYZIP</t>
        </is>
      </c>
      <c r="D2484" t="inlineStr">
        <is>
          <t>VARCHAR(32)</t>
        </is>
      </c>
      <c r="E2484" t="inlineStr">
        <is>
          <t>YES</t>
        </is>
      </c>
      <c r="F2484" t="inlineStr">
        <is>
          <t>邮编</t>
        </is>
      </c>
      <c r="H2484" t="inlineStr">
        <is>
          <t>VARCHAR</t>
        </is>
      </c>
      <c r="I2484" t="inlineStr">
        <is>
          <t>32</t>
        </is>
      </c>
    </row>
    <row r="2485">
      <c r="A2485" t="inlineStr">
        <is>
          <t>权利人信息</t>
        </is>
      </c>
      <c r="B2485" t="inlineStr">
        <is>
          <t>CLR_PROPERTY_RIGHT_HOLDER_INFO</t>
        </is>
      </c>
      <c r="C2485" t="inlineStr">
        <is>
          <t>PROJECTNO</t>
        </is>
      </c>
      <c r="D2485" t="inlineStr">
        <is>
          <t>VARCHAR(32)</t>
        </is>
      </c>
      <c r="E2485" t="inlineStr">
        <is>
          <t>YES</t>
        </is>
      </c>
      <c r="F2485" t="inlineStr">
        <is>
          <t>项目编号</t>
        </is>
      </c>
      <c r="H2485" t="inlineStr">
        <is>
          <t>VARCHAR</t>
        </is>
      </c>
      <c r="I2485" t="inlineStr">
        <is>
          <t>32</t>
        </is>
      </c>
    </row>
    <row r="2486">
      <c r="A2486" t="inlineStr">
        <is>
          <t>权利人信息</t>
        </is>
      </c>
      <c r="B2486" t="inlineStr">
        <is>
          <t>CLR_PROPERTY_RIGHT_HOLDER_INFO</t>
        </is>
      </c>
      <c r="C2486" t="inlineStr">
        <is>
          <t>SORTNO</t>
        </is>
      </c>
      <c r="D2486" t="inlineStr">
        <is>
          <t>VARCHAR(32)</t>
        </is>
      </c>
      <c r="E2486" t="inlineStr">
        <is>
          <t>YES</t>
        </is>
      </c>
      <c r="F2486" t="inlineStr">
        <is>
          <t>顺序号</t>
        </is>
      </c>
      <c r="H2486" t="inlineStr">
        <is>
          <t>VARCHAR</t>
        </is>
      </c>
      <c r="I2486" t="inlineStr">
        <is>
          <t>32</t>
        </is>
      </c>
    </row>
    <row r="2487">
      <c r="A2487" t="inlineStr">
        <is>
          <t>权利人信息</t>
        </is>
      </c>
      <c r="B2487" t="inlineStr">
        <is>
          <t>CLR_PROPERTY_RIGHT_HOLDER_INFO</t>
        </is>
      </c>
      <c r="C2487" t="inlineStr">
        <is>
          <t>RIGHTHOLDERCHARA</t>
        </is>
      </c>
      <c r="D2487" t="inlineStr">
        <is>
          <t>VARCHAR(400)</t>
        </is>
      </c>
      <c r="E2487" t="inlineStr">
        <is>
          <t>YES</t>
        </is>
      </c>
      <c r="F2487" t="inlineStr">
        <is>
          <t>权利人特征</t>
        </is>
      </c>
      <c r="H2487" t="inlineStr">
        <is>
          <t>VARCHAR</t>
        </is>
      </c>
      <c r="I2487" t="inlineStr">
        <is>
          <t>400</t>
        </is>
      </c>
    </row>
    <row r="2488">
      <c r="A2488" t="inlineStr">
        <is>
          <t>权利人信息</t>
        </is>
      </c>
      <c r="B2488" t="inlineStr">
        <is>
          <t>CLR_PROPERTY_RIGHT_HOLDER_INFO</t>
        </is>
      </c>
      <c r="C2488" t="inlineStr">
        <is>
          <t>INPUTUSERID</t>
        </is>
      </c>
      <c r="D2488" t="inlineStr">
        <is>
          <t>VARCHAR(32)</t>
        </is>
      </c>
      <c r="E2488" t="inlineStr">
        <is>
          <t>YES</t>
        </is>
      </c>
      <c r="F2488" t="inlineStr">
        <is>
          <t>登记人</t>
        </is>
      </c>
      <c r="H2488" t="inlineStr">
        <is>
          <t>VARCHAR</t>
        </is>
      </c>
      <c r="I2488" t="inlineStr">
        <is>
          <t>32</t>
        </is>
      </c>
    </row>
    <row r="2489">
      <c r="A2489" t="inlineStr">
        <is>
          <t>权利人信息</t>
        </is>
      </c>
      <c r="B2489" t="inlineStr">
        <is>
          <t>CLR_PROPERTY_RIGHT_HOLDER_INFO</t>
        </is>
      </c>
      <c r="C2489" t="inlineStr">
        <is>
          <t>INPUTORGID</t>
        </is>
      </c>
      <c r="D2489" t="inlineStr">
        <is>
          <t>VARCHAR(32)</t>
        </is>
      </c>
      <c r="E2489" t="inlineStr">
        <is>
          <t>YES</t>
        </is>
      </c>
      <c r="F2489" t="inlineStr">
        <is>
          <t>登记机构</t>
        </is>
      </c>
      <c r="H2489" t="inlineStr">
        <is>
          <t>VARCHAR</t>
        </is>
      </c>
      <c r="I2489" t="inlineStr">
        <is>
          <t>32</t>
        </is>
      </c>
    </row>
    <row r="2490">
      <c r="A2490" t="inlineStr">
        <is>
          <t>权利人信息</t>
        </is>
      </c>
      <c r="B2490" t="inlineStr">
        <is>
          <t>CLR_PROPERTY_RIGHT_HOLDER_INFO</t>
        </is>
      </c>
      <c r="C2490" t="inlineStr">
        <is>
          <t>INPUTDATE</t>
        </is>
      </c>
      <c r="D2490" t="inlineStr">
        <is>
          <t>DATETIME</t>
        </is>
      </c>
      <c r="E2490" t="inlineStr">
        <is>
          <t>YES</t>
        </is>
      </c>
      <c r="F2490" t="inlineStr">
        <is>
          <t>登记日期</t>
        </is>
      </c>
      <c r="H2490" t="inlineStr">
        <is>
          <t>DATETIME</t>
        </is>
      </c>
    </row>
    <row r="2491">
      <c r="A2491" t="inlineStr">
        <is>
          <t>权利人信息</t>
        </is>
      </c>
      <c r="B2491" t="inlineStr">
        <is>
          <t>CLR_PROPERTY_RIGHT_HOLDER_INFO</t>
        </is>
      </c>
      <c r="C2491" t="inlineStr">
        <is>
          <t>UPDATEUSERID</t>
        </is>
      </c>
      <c r="D2491" t="inlineStr">
        <is>
          <t>VARCHAR(32)</t>
        </is>
      </c>
      <c r="E2491" t="inlineStr">
        <is>
          <t>YES</t>
        </is>
      </c>
      <c r="F2491" t="inlineStr">
        <is>
          <t>更新人</t>
        </is>
      </c>
      <c r="H2491" t="inlineStr">
        <is>
          <t>VARCHAR</t>
        </is>
      </c>
      <c r="I2491" t="inlineStr">
        <is>
          <t>32</t>
        </is>
      </c>
    </row>
    <row r="2492">
      <c r="A2492" t="inlineStr">
        <is>
          <t>权利人信息</t>
        </is>
      </c>
      <c r="B2492" t="inlineStr">
        <is>
          <t>CLR_PROPERTY_RIGHT_HOLDER_INFO</t>
        </is>
      </c>
      <c r="C2492" t="inlineStr">
        <is>
          <t>UPDATEORGID</t>
        </is>
      </c>
      <c r="D2492" t="inlineStr">
        <is>
          <t>VARCHAR(32)</t>
        </is>
      </c>
      <c r="E2492" t="inlineStr">
        <is>
          <t>YES</t>
        </is>
      </c>
      <c r="F2492" t="inlineStr">
        <is>
          <t>更新机构</t>
        </is>
      </c>
      <c r="H2492" t="inlineStr">
        <is>
          <t>VARCHAR</t>
        </is>
      </c>
      <c r="I2492" t="inlineStr">
        <is>
          <t>32</t>
        </is>
      </c>
    </row>
    <row r="2493">
      <c r="A2493" t="inlineStr">
        <is>
          <t>权利人信息</t>
        </is>
      </c>
      <c r="B2493" t="inlineStr">
        <is>
          <t>CLR_PROPERTY_RIGHT_HOLDER_INFO</t>
        </is>
      </c>
      <c r="C2493" t="inlineStr">
        <is>
          <t>UPDATEDATE</t>
        </is>
      </c>
      <c r="D2493" t="inlineStr">
        <is>
          <t>DATETIME</t>
        </is>
      </c>
      <c r="E2493" t="inlineStr">
        <is>
          <t>YES</t>
        </is>
      </c>
      <c r="F2493" t="inlineStr">
        <is>
          <t>更新日期</t>
        </is>
      </c>
      <c r="H2493" t="inlineStr">
        <is>
          <t>DATETIME</t>
        </is>
      </c>
    </row>
    <row r="2494">
      <c r="A2494" t="inlineStr">
        <is>
          <t>文件上传记录</t>
        </is>
      </c>
      <c r="B2494" t="inlineStr">
        <is>
          <t>CLR_GUARANTY_FILE_UP_RECORD</t>
        </is>
      </c>
      <c r="C2494" t="inlineStr">
        <is>
          <t>SERIALNO</t>
        </is>
      </c>
      <c r="D2494" t="inlineStr">
        <is>
          <t>VARCHAR(32)</t>
        </is>
      </c>
      <c r="E2494" t="inlineStr">
        <is>
          <t>NO</t>
        </is>
      </c>
      <c r="F2494" t="inlineStr">
        <is>
          <t>流水号</t>
        </is>
      </c>
      <c r="H2494" t="inlineStr">
        <is>
          <t>VARCHAR</t>
        </is>
      </c>
      <c r="I2494" t="inlineStr">
        <is>
          <t>32</t>
        </is>
      </c>
    </row>
    <row r="2495">
      <c r="A2495" t="inlineStr">
        <is>
          <t>文件上传记录</t>
        </is>
      </c>
      <c r="B2495" t="inlineStr">
        <is>
          <t>CLR_GUARANTY_FILE_UP_RECORD</t>
        </is>
      </c>
      <c r="C2495" t="inlineStr">
        <is>
          <t>REGISTERRECORDID</t>
        </is>
      </c>
      <c r="D2495" t="inlineStr">
        <is>
          <t>VARCHAR(32)</t>
        </is>
      </c>
      <c r="E2495" t="inlineStr">
        <is>
          <t>NO</t>
        </is>
      </c>
      <c r="F2495" t="inlineStr">
        <is>
          <t>押权编号</t>
        </is>
      </c>
      <c r="H2495" t="inlineStr">
        <is>
          <t>VARCHAR</t>
        </is>
      </c>
      <c r="I2495" t="inlineStr">
        <is>
          <t>32</t>
        </is>
      </c>
    </row>
    <row r="2496">
      <c r="A2496" t="inlineStr">
        <is>
          <t>文件上传记录</t>
        </is>
      </c>
      <c r="B2496" t="inlineStr">
        <is>
          <t>CLR_GUARANTY_FILE_UP_RECORD</t>
        </is>
      </c>
      <c r="C2496" t="inlineStr">
        <is>
          <t>FILENAME</t>
        </is>
      </c>
      <c r="D2496" t="inlineStr">
        <is>
          <t>VARCHAR(100)</t>
        </is>
      </c>
      <c r="E2496" t="inlineStr">
        <is>
          <t>NO</t>
        </is>
      </c>
      <c r="F2496" t="inlineStr">
        <is>
          <t>文件名称</t>
        </is>
      </c>
      <c r="H2496" t="inlineStr">
        <is>
          <t>VARCHAR</t>
        </is>
      </c>
      <c r="I2496" t="inlineStr">
        <is>
          <t>100</t>
        </is>
      </c>
    </row>
    <row r="2497">
      <c r="A2497" t="inlineStr">
        <is>
          <t>文件上传记录</t>
        </is>
      </c>
      <c r="B2497" t="inlineStr">
        <is>
          <t>CLR_GUARANTY_FILE_UP_RECORD</t>
        </is>
      </c>
      <c r="C2497" t="inlineStr">
        <is>
          <t>FILETYPE</t>
        </is>
      </c>
      <c r="D2497" t="inlineStr">
        <is>
          <t>VARCHAR(100)</t>
        </is>
      </c>
      <c r="E2497" t="inlineStr">
        <is>
          <t>NO</t>
        </is>
      </c>
      <c r="F2497" t="inlineStr">
        <is>
          <t>文件类型</t>
        </is>
      </c>
      <c r="H2497" t="inlineStr">
        <is>
          <t>VARCHAR</t>
        </is>
      </c>
      <c r="I2497" t="inlineStr">
        <is>
          <t>100</t>
        </is>
      </c>
    </row>
    <row r="2498">
      <c r="A2498" t="inlineStr">
        <is>
          <t>文件上传记录</t>
        </is>
      </c>
      <c r="B2498" t="inlineStr">
        <is>
          <t>CLR_GUARANTY_FILE_UP_RECORD</t>
        </is>
      </c>
      <c r="C2498" t="inlineStr">
        <is>
          <t>MATERIALCODE</t>
        </is>
      </c>
      <c r="D2498" t="inlineStr">
        <is>
          <t>VARCHAR(200)</t>
        </is>
      </c>
      <c r="E2498" t="inlineStr">
        <is>
          <t>NO</t>
        </is>
      </c>
      <c r="F2498" t="inlineStr">
        <is>
          <t>材料名称</t>
        </is>
      </c>
      <c r="H2498" t="inlineStr">
        <is>
          <t>VARCHAR</t>
        </is>
      </c>
      <c r="I2498" t="inlineStr">
        <is>
          <t>200</t>
        </is>
      </c>
    </row>
    <row r="2499">
      <c r="A2499" t="inlineStr">
        <is>
          <t>文件上传记录</t>
        </is>
      </c>
      <c r="B2499" t="inlineStr">
        <is>
          <t>CLR_GUARANTY_FILE_UP_RECORD</t>
        </is>
      </c>
      <c r="C2499" t="inlineStr">
        <is>
          <t>TIMES</t>
        </is>
      </c>
      <c r="D2499" t="inlineStr">
        <is>
          <t>INTEGER(4)</t>
        </is>
      </c>
      <c r="E2499" t="inlineStr">
        <is>
          <t>YES</t>
        </is>
      </c>
      <c r="F2499" t="inlineStr">
        <is>
          <t>上传次数</t>
        </is>
      </c>
      <c r="H2499" t="inlineStr">
        <is>
          <t>INTEGER</t>
        </is>
      </c>
      <c r="I2499" t="inlineStr">
        <is>
          <t>4</t>
        </is>
      </c>
    </row>
    <row r="2500">
      <c r="A2500" t="inlineStr">
        <is>
          <t>文件上传记录</t>
        </is>
      </c>
      <c r="B2500" t="inlineStr">
        <is>
          <t>CLR_GUARANTY_FILE_UP_RECORD</t>
        </is>
      </c>
      <c r="C2500" t="inlineStr">
        <is>
          <t>INPUTUSERID</t>
        </is>
      </c>
      <c r="D2500" t="inlineStr">
        <is>
          <t>VARCHAR(32)</t>
        </is>
      </c>
      <c r="E2500" t="inlineStr">
        <is>
          <t>YES</t>
        </is>
      </c>
      <c r="F2500" t="inlineStr">
        <is>
          <t>登记人</t>
        </is>
      </c>
      <c r="H2500" t="inlineStr">
        <is>
          <t>VARCHAR</t>
        </is>
      </c>
      <c r="I2500" t="inlineStr">
        <is>
          <t>32</t>
        </is>
      </c>
    </row>
    <row r="2501">
      <c r="A2501" t="inlineStr">
        <is>
          <t>文件上传记录</t>
        </is>
      </c>
      <c r="B2501" t="inlineStr">
        <is>
          <t>CLR_GUARANTY_FILE_UP_RECORD</t>
        </is>
      </c>
      <c r="C2501" t="inlineStr">
        <is>
          <t>INPUTORGID</t>
        </is>
      </c>
      <c r="D2501" t="inlineStr">
        <is>
          <t>VARCHAR(32)</t>
        </is>
      </c>
      <c r="E2501" t="inlineStr">
        <is>
          <t>YES</t>
        </is>
      </c>
      <c r="F2501" t="inlineStr">
        <is>
          <t>登记机构</t>
        </is>
      </c>
      <c r="H2501" t="inlineStr">
        <is>
          <t>VARCHAR</t>
        </is>
      </c>
      <c r="I2501" t="inlineStr">
        <is>
          <t>32</t>
        </is>
      </c>
    </row>
    <row r="2502">
      <c r="A2502" t="inlineStr">
        <is>
          <t>文件上传记录</t>
        </is>
      </c>
      <c r="B2502" t="inlineStr">
        <is>
          <t>CLR_GUARANTY_FILE_UP_RECORD</t>
        </is>
      </c>
      <c r="C2502" t="inlineStr">
        <is>
          <t>INPUTDATE</t>
        </is>
      </c>
      <c r="D2502" t="inlineStr">
        <is>
          <t>VARCHAR(32)</t>
        </is>
      </c>
      <c r="E2502" t="inlineStr">
        <is>
          <t>YES</t>
        </is>
      </c>
      <c r="F2502" t="inlineStr">
        <is>
          <t>登记时间</t>
        </is>
      </c>
      <c r="H2502" t="inlineStr">
        <is>
          <t>VARCHAR</t>
        </is>
      </c>
      <c r="I2502" t="inlineStr">
        <is>
          <t>32</t>
        </is>
      </c>
    </row>
    <row r="2503">
      <c r="A2503" t="inlineStr">
        <is>
          <t>文件上传记录</t>
        </is>
      </c>
      <c r="B2503" t="inlineStr">
        <is>
          <t>CLR_GUARANTY_FILE_UP_RECORD</t>
        </is>
      </c>
      <c r="C2503" t="inlineStr">
        <is>
          <t>UPDATEUSERID</t>
        </is>
      </c>
      <c r="D2503" t="inlineStr">
        <is>
          <t>VARCHAR(32)</t>
        </is>
      </c>
      <c r="E2503" t="inlineStr">
        <is>
          <t>YES</t>
        </is>
      </c>
      <c r="F2503" t="inlineStr">
        <is>
          <t>更新人</t>
        </is>
      </c>
      <c r="H2503" t="inlineStr">
        <is>
          <t>VARCHAR</t>
        </is>
      </c>
      <c r="I2503" t="inlineStr">
        <is>
          <t>32</t>
        </is>
      </c>
    </row>
    <row r="2504">
      <c r="A2504" t="inlineStr">
        <is>
          <t>文件上传记录</t>
        </is>
      </c>
      <c r="B2504" t="inlineStr">
        <is>
          <t>CLR_GUARANTY_FILE_UP_RECORD</t>
        </is>
      </c>
      <c r="C2504" t="inlineStr">
        <is>
          <t>UPDATEORGID</t>
        </is>
      </c>
      <c r="D2504" t="inlineStr">
        <is>
          <t>VARCHAR(32)</t>
        </is>
      </c>
      <c r="E2504" t="inlineStr">
        <is>
          <t>YES</t>
        </is>
      </c>
      <c r="F2504" t="inlineStr">
        <is>
          <t>更新机构</t>
        </is>
      </c>
      <c r="H2504" t="inlineStr">
        <is>
          <t>VARCHAR</t>
        </is>
      </c>
      <c r="I2504" t="inlineStr">
        <is>
          <t>32</t>
        </is>
      </c>
    </row>
    <row r="2505">
      <c r="A2505" t="inlineStr">
        <is>
          <t>文件上传记录</t>
        </is>
      </c>
      <c r="B2505" t="inlineStr">
        <is>
          <t>CLR_GUARANTY_FILE_UP_RECORD</t>
        </is>
      </c>
      <c r="C2505" t="inlineStr">
        <is>
          <t>UPDATEDATE</t>
        </is>
      </c>
      <c r="D2505" t="inlineStr">
        <is>
          <t>DATETIME</t>
        </is>
      </c>
      <c r="E2505" t="inlineStr">
        <is>
          <t>YES</t>
        </is>
      </c>
      <c r="F2505" t="inlineStr">
        <is>
          <t>更新日期</t>
        </is>
      </c>
      <c r="H2505" t="inlineStr">
        <is>
          <t>DATETIME</t>
        </is>
      </c>
    </row>
    <row r="2506">
      <c r="A2506" t="inlineStr">
        <is>
          <t>文件上传记录</t>
        </is>
      </c>
    </row>
    <row r="2507">
      <c r="A2507" t="inlineStr">
        <is>
          <t>抵押物权属变化预警</t>
        </is>
      </c>
      <c r="B2507" t="inlineStr">
        <is>
          <t>CLR_OWNERSHIP_CHANGE_INFO</t>
        </is>
      </c>
      <c r="C2507" t="inlineStr">
        <is>
          <t>SERIALNO</t>
        </is>
      </c>
      <c r="D2507" t="inlineStr">
        <is>
          <t>VARCHAR(32)</t>
        </is>
      </c>
      <c r="E2507" t="inlineStr">
        <is>
          <t>NO</t>
        </is>
      </c>
      <c r="F2507" t="inlineStr">
        <is>
          <t>流水号</t>
        </is>
      </c>
      <c r="H2507" t="inlineStr">
        <is>
          <t>VARCHAR</t>
        </is>
      </c>
      <c r="I2507" t="inlineStr">
        <is>
          <t>32</t>
        </is>
      </c>
    </row>
    <row r="2508">
      <c r="A2508" t="inlineStr">
        <is>
          <t>抵押物权属变化预警</t>
        </is>
      </c>
      <c r="B2508" t="inlineStr">
        <is>
          <t>CLR_OWNERSHIP_CHANGE_INFO</t>
        </is>
      </c>
      <c r="C2508" t="inlineStr">
        <is>
          <t>BUSINESSNO</t>
        </is>
      </c>
      <c r="D2508" t="inlineStr">
        <is>
          <t>VARCHAR(32)</t>
        </is>
      </c>
      <c r="E2508" t="inlineStr">
        <is>
          <t>YES</t>
        </is>
      </c>
      <c r="F2508" t="inlineStr">
        <is>
          <t>业务号</t>
        </is>
      </c>
      <c r="H2508" t="inlineStr">
        <is>
          <t>VARCHAR</t>
        </is>
      </c>
      <c r="I2508" t="inlineStr">
        <is>
          <t>32</t>
        </is>
      </c>
    </row>
    <row r="2509">
      <c r="A2509" t="inlineStr">
        <is>
          <t>抵押物权属变化预警</t>
        </is>
      </c>
      <c r="B2509" t="inlineStr">
        <is>
          <t>CLR_OWNERSHIP_CHANGE_INFO</t>
        </is>
      </c>
      <c r="C2509" t="inlineStr">
        <is>
          <t>REGISTERNO</t>
        </is>
      </c>
      <c r="D2509" t="inlineStr">
        <is>
          <t>VARCHAR(32)</t>
        </is>
      </c>
      <c r="E2509" t="inlineStr">
        <is>
          <t>YES</t>
        </is>
      </c>
      <c r="F2509" t="inlineStr">
        <is>
          <t>抵押登记业务号</t>
        </is>
      </c>
      <c r="H2509" t="inlineStr">
        <is>
          <t>VARCHAR</t>
        </is>
      </c>
      <c r="I2509" t="inlineStr">
        <is>
          <t>32</t>
        </is>
      </c>
    </row>
    <row r="2510">
      <c r="A2510" t="inlineStr">
        <is>
          <t>抵押物权属变化预警</t>
        </is>
      </c>
      <c r="B2510" t="inlineStr">
        <is>
          <t>CLR_OWNERSHIP_CHANGE_INFO</t>
        </is>
      </c>
      <c r="C2510" t="inlineStr">
        <is>
          <t>MORTGAGECERTNO</t>
        </is>
      </c>
      <c r="D2510" t="inlineStr">
        <is>
          <t>VARCHAR(1000)</t>
        </is>
      </c>
      <c r="E2510" t="inlineStr">
        <is>
          <t>YES</t>
        </is>
      </c>
      <c r="F2510" t="inlineStr">
        <is>
          <t>抵押证明号</t>
        </is>
      </c>
      <c r="H2510" t="inlineStr">
        <is>
          <t>VARCHAR</t>
        </is>
      </c>
      <c r="I2510" t="inlineStr">
        <is>
          <t>1000</t>
        </is>
      </c>
    </row>
    <row r="2511">
      <c r="A2511" t="inlineStr">
        <is>
          <t>抵押物权属变化预警</t>
        </is>
      </c>
      <c r="B2511" t="inlineStr">
        <is>
          <t>CLR_OWNERSHIP_CHANGE_INFO</t>
        </is>
      </c>
      <c r="C2511" t="inlineStr">
        <is>
          <t>ESTATEUNITNO</t>
        </is>
      </c>
      <c r="D2511" t="inlineStr">
        <is>
          <t>VARCHAR(1000)</t>
        </is>
      </c>
      <c r="E2511" t="inlineStr">
        <is>
          <t>YES</t>
        </is>
      </c>
      <c r="F2511" t="inlineStr">
        <is>
          <t>不动产单元号</t>
        </is>
      </c>
      <c r="H2511" t="inlineStr">
        <is>
          <t>VARCHAR</t>
        </is>
      </c>
      <c r="I2511" t="inlineStr">
        <is>
          <t>1000</t>
        </is>
      </c>
    </row>
    <row r="2512">
      <c r="A2512" t="inlineStr">
        <is>
          <t>抵押物权属变化预警</t>
        </is>
      </c>
      <c r="B2512" t="inlineStr">
        <is>
          <t>CLR_OWNERSHIP_CHANGE_INFO</t>
        </is>
      </c>
      <c r="C2512" t="inlineStr">
        <is>
          <t>ESTATEUNITID</t>
        </is>
      </c>
      <c r="D2512" t="inlineStr">
        <is>
          <t>VARCHAR(100)</t>
        </is>
      </c>
      <c r="E2512" t="inlineStr">
        <is>
          <t>YES</t>
        </is>
      </c>
      <c r="F2512" t="inlineStr">
        <is>
          <t>不动产单元ID</t>
        </is>
      </c>
      <c r="H2512" t="inlineStr">
        <is>
          <t>VARCHAR</t>
        </is>
      </c>
      <c r="I2512" t="inlineStr">
        <is>
          <t>100</t>
        </is>
      </c>
    </row>
    <row r="2513">
      <c r="A2513" t="inlineStr">
        <is>
          <t>抵押物权属变化预警</t>
        </is>
      </c>
      <c r="B2513" t="inlineStr">
        <is>
          <t>CLR_OWNERSHIP_CHANGE_INFO</t>
        </is>
      </c>
      <c r="C2513" t="inlineStr">
        <is>
          <t>MORTGAGERIGHTID</t>
        </is>
      </c>
      <c r="D2513" t="inlineStr">
        <is>
          <t>VARCHAR(100)</t>
        </is>
      </c>
      <c r="E2513" t="inlineStr">
        <is>
          <t>YES</t>
        </is>
      </c>
      <c r="F2513" t="inlineStr">
        <is>
          <t>抵押权利ID</t>
        </is>
      </c>
      <c r="H2513" t="inlineStr">
        <is>
          <t>VARCHAR</t>
        </is>
      </c>
      <c r="I2513" t="inlineStr">
        <is>
          <t>100</t>
        </is>
      </c>
    </row>
    <row r="2514">
      <c r="A2514" t="inlineStr">
        <is>
          <t>抵押物权属变化预警</t>
        </is>
      </c>
      <c r="B2514" t="inlineStr">
        <is>
          <t>CLR_OWNERSHIP_CHANGE_INFO</t>
        </is>
      </c>
      <c r="C2514" t="inlineStr">
        <is>
          <t>OWNERSHIPSTATUS</t>
        </is>
      </c>
      <c r="D2514" t="inlineStr">
        <is>
          <t>VARCHAR(2)</t>
        </is>
      </c>
      <c r="E2514" t="inlineStr">
        <is>
          <t>YES</t>
        </is>
      </c>
      <c r="F2514" t="inlineStr">
        <is>
          <t>权属状态</t>
        </is>
      </c>
      <c r="H2514" t="inlineStr">
        <is>
          <t>VARCHAR</t>
        </is>
      </c>
      <c r="I2514" t="inlineStr">
        <is>
          <t>2</t>
        </is>
      </c>
    </row>
    <row r="2515">
      <c r="A2515" t="inlineStr">
        <is>
          <t>抵押物权属变化预警</t>
        </is>
      </c>
      <c r="B2515" t="inlineStr">
        <is>
          <t>CLR_OWNERSHIP_CHANGE_INFO</t>
        </is>
      </c>
      <c r="C2515" t="inlineStr">
        <is>
          <t>MORTGAGETYPE</t>
        </is>
      </c>
      <c r="D2515" t="inlineStr">
        <is>
          <t>VARCHAR(100)</t>
        </is>
      </c>
      <c r="E2515" t="inlineStr">
        <is>
          <t>YES</t>
        </is>
      </c>
      <c r="F2515" t="inlineStr">
        <is>
          <t>不动产抵押类型</t>
        </is>
      </c>
      <c r="H2515" t="inlineStr">
        <is>
          <t>VARCHAR</t>
        </is>
      </c>
      <c r="I2515" t="inlineStr">
        <is>
          <t>100</t>
        </is>
      </c>
    </row>
    <row r="2516">
      <c r="A2516" t="inlineStr">
        <is>
          <t>抵押物权属变化预警</t>
        </is>
      </c>
      <c r="B2516" t="inlineStr">
        <is>
          <t>CLR_OWNERSHIP_CHANGE_INFO</t>
        </is>
      </c>
      <c r="C2516" t="inlineStr">
        <is>
          <t>BUSINESSNAME</t>
        </is>
      </c>
      <c r="D2516" t="inlineStr">
        <is>
          <t>VARCHAR(100)</t>
        </is>
      </c>
      <c r="E2516" t="inlineStr">
        <is>
          <t>YES</t>
        </is>
      </c>
      <c r="F2516" t="inlineStr">
        <is>
          <t>业务名称</t>
        </is>
      </c>
      <c r="H2516" t="inlineStr">
        <is>
          <t>VARCHAR</t>
        </is>
      </c>
      <c r="I2516" t="inlineStr">
        <is>
          <t>100</t>
        </is>
      </c>
    </row>
    <row r="2517">
      <c r="A2517" t="inlineStr">
        <is>
          <t>抵押物权属变化预警</t>
        </is>
      </c>
      <c r="B2517" t="inlineStr">
        <is>
          <t>CLR_OWNERSHIP_CHANGE_INFO</t>
        </is>
      </c>
      <c r="C2517" t="inlineStr">
        <is>
          <t>MSG</t>
        </is>
      </c>
      <c r="D2517" t="inlineStr">
        <is>
          <t>VARCHAR(200)</t>
        </is>
      </c>
      <c r="E2517" t="inlineStr">
        <is>
          <t>YES</t>
        </is>
      </c>
      <c r="F2517" t="inlineStr">
        <is>
          <t>变化信息内容</t>
        </is>
      </c>
      <c r="H2517" t="inlineStr">
        <is>
          <t>VARCHAR</t>
        </is>
      </c>
      <c r="I2517" t="inlineStr">
        <is>
          <t>200</t>
        </is>
      </c>
    </row>
    <row r="2518">
      <c r="A2518" t="inlineStr">
        <is>
          <t>抵押物权属变化预警</t>
        </is>
      </c>
      <c r="B2518" t="inlineStr">
        <is>
          <t>CLR_OWNERSHIP_CHANGE_INFO</t>
        </is>
      </c>
      <c r="C2518" t="inlineStr">
        <is>
          <t>SEIZUREORG</t>
        </is>
      </c>
      <c r="D2518" t="inlineStr">
        <is>
          <t>VARCHAR(100)</t>
        </is>
      </c>
      <c r="E2518" t="inlineStr">
        <is>
          <t>YES</t>
        </is>
      </c>
      <c r="F2518" t="inlineStr">
        <is>
          <t>查封机构</t>
        </is>
      </c>
      <c r="H2518" t="inlineStr">
        <is>
          <t>VARCHAR</t>
        </is>
      </c>
      <c r="I2518" t="inlineStr">
        <is>
          <t>100</t>
        </is>
      </c>
    </row>
    <row r="2519">
      <c r="A2519" t="inlineStr">
        <is>
          <t>抵押物权属变化预警</t>
        </is>
      </c>
      <c r="B2519" t="inlineStr">
        <is>
          <t>CLR_OWNERSHIP_CHANGE_INFO</t>
        </is>
      </c>
      <c r="C2519" t="inlineStr">
        <is>
          <t>MORTGAGEE</t>
        </is>
      </c>
      <c r="D2519" t="inlineStr">
        <is>
          <t>VARCHAR(50)</t>
        </is>
      </c>
      <c r="E2519" t="inlineStr">
        <is>
          <t>YES</t>
        </is>
      </c>
      <c r="F2519" t="inlineStr">
        <is>
          <t>抵押权人</t>
        </is>
      </c>
      <c r="H2519" t="inlineStr">
        <is>
          <t>VARCHAR</t>
        </is>
      </c>
      <c r="I2519" t="inlineStr">
        <is>
          <t>50</t>
        </is>
      </c>
    </row>
    <row r="2520">
      <c r="A2520" t="inlineStr">
        <is>
          <t>抵押物权属变化预警</t>
        </is>
      </c>
      <c r="B2520" t="inlineStr">
        <is>
          <t>CLR_OWNERSHIP_CHANGE_INFO</t>
        </is>
      </c>
      <c r="C2520" t="inlineStr">
        <is>
          <t>REGISTTIME</t>
        </is>
      </c>
      <c r="D2520" t="inlineStr">
        <is>
          <t>VARCHAR(30)</t>
        </is>
      </c>
      <c r="E2520" t="inlineStr">
        <is>
          <t>YES</t>
        </is>
      </c>
      <c r="F2520" t="inlineStr">
        <is>
          <t>登记时间</t>
        </is>
      </c>
      <c r="H2520" t="inlineStr">
        <is>
          <t>VARCHAR</t>
        </is>
      </c>
      <c r="I2520" t="inlineStr">
        <is>
          <t>30</t>
        </is>
      </c>
    </row>
    <row r="2521">
      <c r="A2521" t="inlineStr">
        <is>
          <t>抵押物权属变化预警</t>
        </is>
      </c>
      <c r="B2521" t="inlineStr">
        <is>
          <t>CLR_OWNERSHIP_CHANGE_INFO</t>
        </is>
      </c>
      <c r="C2521" t="inlineStr">
        <is>
          <t>CARDNO</t>
        </is>
      </c>
      <c r="D2521" t="inlineStr">
        <is>
          <t>VARCHAR(50)</t>
        </is>
      </c>
      <c r="E2521" t="inlineStr">
        <is>
          <t>YES</t>
        </is>
      </c>
      <c r="F2521" t="inlineStr">
        <is>
          <t>证件号</t>
        </is>
      </c>
      <c r="H2521" t="inlineStr">
        <is>
          <t>VARCHAR</t>
        </is>
      </c>
      <c r="I2521" t="inlineStr">
        <is>
          <t>50</t>
        </is>
      </c>
    </row>
    <row r="2522">
      <c r="A2522" t="inlineStr">
        <is>
          <t>抵押物权属变化预警</t>
        </is>
      </c>
      <c r="B2522" t="inlineStr">
        <is>
          <t>CLR_OWNERSHIP_CHANGE_INFO</t>
        </is>
      </c>
      <c r="C2522" t="inlineStr">
        <is>
          <t>HANDLEFLAG</t>
        </is>
      </c>
      <c r="D2522" t="inlineStr">
        <is>
          <t>VARCHAR(2)</t>
        </is>
      </c>
      <c r="E2522" t="inlineStr">
        <is>
          <t>YES</t>
        </is>
      </c>
      <c r="F2522" t="inlineStr">
        <is>
          <t>是否处理标志</t>
        </is>
      </c>
      <c r="H2522" t="inlineStr">
        <is>
          <t>VARCHAR</t>
        </is>
      </c>
      <c r="I2522" t="inlineStr">
        <is>
          <t>2</t>
        </is>
      </c>
    </row>
    <row r="2523">
      <c r="A2523" t="inlineStr">
        <is>
          <t>抵押物权属变化预警</t>
        </is>
      </c>
      <c r="B2523" t="inlineStr">
        <is>
          <t>CLR_OWNERSHIP_CHANGE_INFO</t>
        </is>
      </c>
      <c r="C2523" t="inlineStr">
        <is>
          <t>OPERATOR</t>
        </is>
      </c>
      <c r="D2523" t="inlineStr">
        <is>
          <t>VARCHAR(10)</t>
        </is>
      </c>
      <c r="E2523" t="inlineStr">
        <is>
          <t>YES</t>
        </is>
      </c>
      <c r="F2523" t="inlineStr">
        <is>
          <t>办件人</t>
        </is>
      </c>
      <c r="H2523" t="inlineStr">
        <is>
          <t>VARCHAR</t>
        </is>
      </c>
      <c r="I2523" t="inlineStr">
        <is>
          <t>10</t>
        </is>
      </c>
    </row>
    <row r="2524">
      <c r="A2524" t="inlineStr">
        <is>
          <t>抵押物权属变化预警</t>
        </is>
      </c>
      <c r="B2524" t="inlineStr">
        <is>
          <t>CLR_OWNERSHIP_CHANGE_INFO</t>
        </is>
      </c>
      <c r="C2524" t="inlineStr">
        <is>
          <t>OPERATORORG</t>
        </is>
      </c>
      <c r="D2524" t="inlineStr">
        <is>
          <t>VARCHAR(10)</t>
        </is>
      </c>
      <c r="E2524" t="inlineStr">
        <is>
          <t>YES</t>
        </is>
      </c>
      <c r="F2524" t="inlineStr">
        <is>
          <t>办件人所属机构</t>
        </is>
      </c>
      <c r="H2524" t="inlineStr">
        <is>
          <t>VARCHAR</t>
        </is>
      </c>
      <c r="I2524" t="inlineStr">
        <is>
          <t>10</t>
        </is>
      </c>
    </row>
    <row r="2525">
      <c r="A2525" t="inlineStr">
        <is>
          <t>抵押物权属变化预警</t>
        </is>
      </c>
      <c r="B2525" t="inlineStr">
        <is>
          <t>CLR_OWNERSHIP_CHANGE_INFO</t>
        </is>
      </c>
      <c r="C2525" t="inlineStr">
        <is>
          <t>REGISTDATE</t>
        </is>
      </c>
      <c r="D2525" t="inlineStr">
        <is>
          <t>VARCHAR(30)</t>
        </is>
      </c>
      <c r="E2525" t="inlineStr">
        <is>
          <t>YES</t>
        </is>
      </c>
      <c r="F2525" t="inlineStr">
        <is>
          <t>登记日期</t>
        </is>
      </c>
      <c r="H2525" t="inlineStr">
        <is>
          <t>VARCHAR</t>
        </is>
      </c>
      <c r="I2525" t="inlineStr">
        <is>
          <t>30</t>
        </is>
      </c>
    </row>
    <row r="2526">
      <c r="A2526" t="inlineStr">
        <is>
          <t>抵押物权属变化预警</t>
        </is>
      </c>
      <c r="B2526" t="inlineStr">
        <is>
          <t>CLR_OWNERSHIP_CHANGE_INFO</t>
        </is>
      </c>
      <c r="C2526" t="inlineStr">
        <is>
          <t>UPDATEDATE</t>
        </is>
      </c>
      <c r="D2526" t="inlineStr">
        <is>
          <t>VARCHAR(30)</t>
        </is>
      </c>
      <c r="E2526" t="inlineStr">
        <is>
          <t>YES</t>
        </is>
      </c>
      <c r="F2526" t="inlineStr">
        <is>
          <t>更新日期</t>
        </is>
      </c>
      <c r="H2526" t="inlineStr">
        <is>
          <t>VARCHAR</t>
        </is>
      </c>
      <c r="I2526" t="inlineStr">
        <is>
          <t>30</t>
        </is>
      </c>
    </row>
    <row r="2527">
      <c r="A2527" t="inlineStr">
        <is>
          <t>抵押物权属变化预警</t>
        </is>
      </c>
      <c r="B2527" t="inlineStr">
        <is>
          <t>CLR_OWNERSHIP_CHANGE_INFO</t>
        </is>
      </c>
      <c r="C2527" t="inlineStr">
        <is>
          <t>CLRID</t>
        </is>
      </c>
      <c r="D2527" t="inlineStr">
        <is>
          <t>VARCHAR(32)</t>
        </is>
      </c>
      <c r="E2527" t="inlineStr">
        <is>
          <t>YES</t>
        </is>
      </c>
      <c r="F2527" t="inlineStr">
        <is>
          <t>押品编号</t>
        </is>
      </c>
      <c r="H2527" t="inlineStr">
        <is>
          <t>VARCHAR</t>
        </is>
      </c>
      <c r="I2527" t="inlineStr">
        <is>
          <t>32</t>
        </is>
      </c>
    </row>
    <row r="2528">
      <c r="A2528" t="inlineStr">
        <is>
          <t>抵押物权属变化预警</t>
        </is>
      </c>
      <c r="B2528" t="inlineStr">
        <is>
          <t>CLR_OWNERSHIP_CHANGE_INFO</t>
        </is>
      </c>
      <c r="C2528" t="inlineStr">
        <is>
          <t>REGISTERRECORDID</t>
        </is>
      </c>
      <c r="D2528" t="inlineStr">
        <is>
          <t>VARCHAR(32)</t>
        </is>
      </c>
      <c r="E2528" t="inlineStr">
        <is>
          <t>YES</t>
        </is>
      </c>
      <c r="F2528" t="inlineStr">
        <is>
          <t>押权编号</t>
        </is>
      </c>
      <c r="H2528" t="inlineStr">
        <is>
          <t>VARCHAR</t>
        </is>
      </c>
      <c r="I2528" t="inlineStr">
        <is>
          <t>32</t>
        </is>
      </c>
    </row>
    <row r="2529">
      <c r="A2529" t="inlineStr">
        <is>
          <t>抵押物权属变化预警</t>
        </is>
      </c>
      <c r="B2529" t="inlineStr">
        <is>
          <t>CLR_OWNERSHIP_CHANGE_INFO</t>
        </is>
      </c>
      <c r="C2529" t="inlineStr">
        <is>
          <t>INPUTUSERID</t>
        </is>
      </c>
      <c r="D2529" t="inlineStr">
        <is>
          <t>VARCHAR(32)</t>
        </is>
      </c>
      <c r="E2529" t="inlineStr">
        <is>
          <t>YES</t>
        </is>
      </c>
      <c r="F2529" t="inlineStr">
        <is>
          <t>登记人</t>
        </is>
      </c>
      <c r="H2529" t="inlineStr">
        <is>
          <t>VARCHAR</t>
        </is>
      </c>
      <c r="I2529" t="inlineStr">
        <is>
          <t>32</t>
        </is>
      </c>
    </row>
    <row r="2530">
      <c r="A2530" t="inlineStr">
        <is>
          <t>抵押物权属变化预警</t>
        </is>
      </c>
      <c r="B2530" t="inlineStr">
        <is>
          <t>CLR_OWNERSHIP_CHANGE_INFO</t>
        </is>
      </c>
      <c r="C2530" t="inlineStr">
        <is>
          <t>INPUTORGID</t>
        </is>
      </c>
      <c r="D2530" t="inlineStr">
        <is>
          <t>VARCHAR(32)</t>
        </is>
      </c>
      <c r="E2530" t="inlineStr">
        <is>
          <t>YES</t>
        </is>
      </c>
      <c r="F2530" t="inlineStr">
        <is>
          <t>登记机构</t>
        </is>
      </c>
      <c r="H2530" t="inlineStr">
        <is>
          <t>VARCHAR</t>
        </is>
      </c>
      <c r="I2530" t="inlineStr">
        <is>
          <t>32</t>
        </is>
      </c>
    </row>
    <row r="2531">
      <c r="A2531" t="inlineStr">
        <is>
          <t>抵押物权属变化预警</t>
        </is>
      </c>
      <c r="B2531" t="inlineStr">
        <is>
          <t>CLR_OWNERSHIP_CHANGE_INFO</t>
        </is>
      </c>
      <c r="C2531" t="inlineStr">
        <is>
          <t>INPUTDATE</t>
        </is>
      </c>
      <c r="D2531" t="inlineStr">
        <is>
          <t>DATETIME</t>
        </is>
      </c>
      <c r="E2531" t="inlineStr">
        <is>
          <t>YES</t>
        </is>
      </c>
      <c r="F2531" t="inlineStr">
        <is>
          <t>登记日期</t>
        </is>
      </c>
      <c r="H2531" t="inlineStr">
        <is>
          <t>DATETIME</t>
        </is>
      </c>
    </row>
    <row r="2532">
      <c r="A2532" t="inlineStr">
        <is>
          <t>抵押物权属变化预警</t>
        </is>
      </c>
      <c r="B2532" t="inlineStr">
        <is>
          <t>CLR_OWNERSHIP_CHANGE_INFO</t>
        </is>
      </c>
      <c r="C2532" t="inlineStr">
        <is>
          <t>UPDATEUSERID</t>
        </is>
      </c>
      <c r="D2532" t="inlineStr">
        <is>
          <t>VARCHAR(32)</t>
        </is>
      </c>
      <c r="E2532" t="inlineStr">
        <is>
          <t>YES</t>
        </is>
      </c>
      <c r="F2532" t="inlineStr">
        <is>
          <t>更新人</t>
        </is>
      </c>
      <c r="H2532" t="inlineStr">
        <is>
          <t>VARCHAR</t>
        </is>
      </c>
      <c r="I2532" t="inlineStr">
        <is>
          <t>32</t>
        </is>
      </c>
    </row>
    <row r="2533">
      <c r="A2533" t="inlineStr">
        <is>
          <t>抵押物权属变化预警</t>
        </is>
      </c>
      <c r="B2533" t="inlineStr">
        <is>
          <t>CLR_OWNERSHIP_CHANGE_INFO</t>
        </is>
      </c>
      <c r="C2533" t="inlineStr">
        <is>
          <t>UPDATEORGID</t>
        </is>
      </c>
      <c r="D2533" t="inlineStr">
        <is>
          <t>VARCHAR(32)</t>
        </is>
      </c>
      <c r="E2533" t="inlineStr">
        <is>
          <t>YES</t>
        </is>
      </c>
      <c r="F2533" t="inlineStr">
        <is>
          <t>更新机构</t>
        </is>
      </c>
      <c r="H2533" t="inlineStr">
        <is>
          <t>VARCHAR</t>
        </is>
      </c>
      <c r="I2533" t="inlineStr">
        <is>
          <t>32</t>
        </is>
      </c>
    </row>
    <row r="2534">
      <c r="A2534" t="inlineStr">
        <is>
          <t>抵押物权属变化预警</t>
        </is>
      </c>
      <c r="B2534" t="inlineStr">
        <is>
          <t>CLR_OWNERSHIP_CHANGE_INFO</t>
        </is>
      </c>
      <c r="C2534" t="inlineStr">
        <is>
          <t>UPDATEDATE</t>
        </is>
      </c>
      <c r="D2534" t="inlineStr">
        <is>
          <t>DATETIME</t>
        </is>
      </c>
      <c r="E2534" t="inlineStr">
        <is>
          <t>YES</t>
        </is>
      </c>
      <c r="F2534" t="inlineStr">
        <is>
          <t>更新日期</t>
        </is>
      </c>
      <c r="H2534" t="inlineStr">
        <is>
          <t>DATETIME</t>
        </is>
      </c>
    </row>
    <row r="2535">
      <c r="A2535" t="inlineStr">
        <is>
          <t>押品登记簿记录</t>
        </is>
      </c>
      <c r="B2535" t="inlineStr">
        <is>
          <t>CLR_CORE_REGISTER_INFO</t>
        </is>
      </c>
      <c r="C2535" t="inlineStr">
        <is>
          <t>SERIALNO</t>
        </is>
      </c>
      <c r="D2535" t="inlineStr">
        <is>
          <t>VARCHAR(32)</t>
        </is>
      </c>
      <c r="E2535" t="inlineStr">
        <is>
          <t>NO</t>
        </is>
      </c>
      <c r="F2535" t="inlineStr">
        <is>
          <t>流水号</t>
        </is>
      </c>
      <c r="H2535" t="inlineStr">
        <is>
          <t>VARCHAR</t>
        </is>
      </c>
      <c r="I2535" t="inlineStr">
        <is>
          <t>32</t>
        </is>
      </c>
    </row>
    <row r="2536">
      <c r="A2536" t="inlineStr">
        <is>
          <t>押品登记簿记录</t>
        </is>
      </c>
      <c r="B2536" t="inlineStr">
        <is>
          <t>CLR_CORE_REGISTER_INFO</t>
        </is>
      </c>
      <c r="C2536" t="inlineStr">
        <is>
          <t>CLRID</t>
        </is>
      </c>
      <c r="D2536" t="inlineStr">
        <is>
          <t>VARCHAR(32)</t>
        </is>
      </c>
      <c r="E2536" t="inlineStr">
        <is>
          <t>NO</t>
        </is>
      </c>
      <c r="F2536" t="inlineStr">
        <is>
          <t>押品编号</t>
        </is>
      </c>
      <c r="H2536" t="inlineStr">
        <is>
          <t>VARCHAR</t>
        </is>
      </c>
      <c r="I2536" t="inlineStr">
        <is>
          <t>32</t>
        </is>
      </c>
    </row>
    <row r="2537">
      <c r="A2537" t="inlineStr">
        <is>
          <t>押品登记簿记录</t>
        </is>
      </c>
      <c r="B2537" t="inlineStr">
        <is>
          <t>CLR_CORE_REGISTER_INFO</t>
        </is>
      </c>
      <c r="C2537" t="inlineStr">
        <is>
          <t>CLRNAME</t>
        </is>
      </c>
      <c r="D2537" t="inlineStr">
        <is>
          <t>VARCHAR(32)</t>
        </is>
      </c>
      <c r="E2537" t="inlineStr">
        <is>
          <t>YES</t>
        </is>
      </c>
      <c r="F2537" t="inlineStr">
        <is>
          <t>押品名称</t>
        </is>
      </c>
      <c r="H2537" t="inlineStr">
        <is>
          <t>VARCHAR</t>
        </is>
      </c>
      <c r="I2537" t="inlineStr">
        <is>
          <t>32</t>
        </is>
      </c>
    </row>
    <row r="2538">
      <c r="A2538" t="inlineStr">
        <is>
          <t>押品登记簿记录</t>
        </is>
      </c>
      <c r="B2538" t="inlineStr">
        <is>
          <t>CLR_CORE_REGISTER_INFO</t>
        </is>
      </c>
      <c r="C2538" t="inlineStr">
        <is>
          <t>CLRTYPEID</t>
        </is>
      </c>
      <c r="D2538" t="inlineStr">
        <is>
          <t>VARCHAR(32)</t>
        </is>
      </c>
      <c r="E2538" t="inlineStr">
        <is>
          <t>YES</t>
        </is>
      </c>
      <c r="F2538" t="inlineStr">
        <is>
          <t>押品类型</t>
        </is>
      </c>
      <c r="H2538" t="inlineStr">
        <is>
          <t>VARCHAR</t>
        </is>
      </c>
      <c r="I2538" t="inlineStr">
        <is>
          <t>32</t>
        </is>
      </c>
    </row>
    <row r="2539">
      <c r="A2539" t="inlineStr">
        <is>
          <t>押品登记簿记录</t>
        </is>
      </c>
      <c r="B2539" t="inlineStr">
        <is>
          <t>CLR_CORE_REGISTER_INFO</t>
        </is>
      </c>
      <c r="C2539" t="inlineStr">
        <is>
          <t>VOUCHTYPE</t>
        </is>
      </c>
      <c r="D2539" t="inlineStr">
        <is>
          <t>VARCHAR(32)</t>
        </is>
      </c>
      <c r="E2539" t="inlineStr">
        <is>
          <t>YES</t>
        </is>
      </c>
      <c r="F2539" t="inlineStr">
        <is>
          <t>担保方式</t>
        </is>
      </c>
      <c r="H2539" t="inlineStr">
        <is>
          <t>VARCHAR</t>
        </is>
      </c>
      <c r="I2539" t="inlineStr">
        <is>
          <t>32</t>
        </is>
      </c>
    </row>
    <row r="2540">
      <c r="A2540" t="inlineStr">
        <is>
          <t>押品登记簿记录</t>
        </is>
      </c>
      <c r="B2540" t="inlineStr">
        <is>
          <t>CLR_CORE_REGISTER_INFO</t>
        </is>
      </c>
      <c r="C2540" t="inlineStr">
        <is>
          <t>INOUTWHTYPE</t>
        </is>
      </c>
      <c r="D2540" t="inlineStr">
        <is>
          <t>VARCHAR(9)</t>
        </is>
      </c>
      <c r="E2540" t="inlineStr">
        <is>
          <t>YES</t>
        </is>
      </c>
      <c r="F2540" t="inlineStr">
        <is>
          <t>申请类型</t>
        </is>
      </c>
      <c r="H2540" t="inlineStr">
        <is>
          <t>VARCHAR</t>
        </is>
      </c>
      <c r="I2540" t="inlineStr">
        <is>
          <t>9</t>
        </is>
      </c>
    </row>
    <row r="2541">
      <c r="A2541" t="inlineStr">
        <is>
          <t>押品登记簿记录</t>
        </is>
      </c>
      <c r="B2541" t="inlineStr">
        <is>
          <t>CLR_CORE_REGISTER_INFO</t>
        </is>
      </c>
      <c r="C2541" t="inlineStr">
        <is>
          <t>APPLYDATE</t>
        </is>
      </c>
      <c r="D2541" t="inlineStr">
        <is>
          <t>VARCHAR(24)</t>
        </is>
      </c>
      <c r="E2541" t="inlineStr">
        <is>
          <t>YES</t>
        </is>
      </c>
      <c r="F2541" t="inlineStr">
        <is>
          <t>申请日期</t>
        </is>
      </c>
      <c r="H2541" t="inlineStr">
        <is>
          <t>VARCHAR</t>
        </is>
      </c>
      <c r="I2541" t="inlineStr">
        <is>
          <t>24</t>
        </is>
      </c>
    </row>
    <row r="2542">
      <c r="A2542" t="inlineStr">
        <is>
          <t>押品登记簿记录</t>
        </is>
      </c>
      <c r="B2542" t="inlineStr">
        <is>
          <t>CLR_CORE_REGISTER_INFO</t>
        </is>
      </c>
      <c r="C2542" t="inlineStr">
        <is>
          <t>AMOUNT</t>
        </is>
      </c>
      <c r="D2542" t="inlineStr">
        <is>
          <t>DECIMAL(24,6)</t>
        </is>
      </c>
      <c r="E2542" t="inlineStr">
        <is>
          <t>YES</t>
        </is>
      </c>
      <c r="F2542" t="inlineStr">
        <is>
          <t>记账金额</t>
        </is>
      </c>
      <c r="H2542" t="inlineStr">
        <is>
          <t>DECIMAL</t>
        </is>
      </c>
      <c r="I2542" t="inlineStr">
        <is>
          <t>24,6</t>
        </is>
      </c>
    </row>
    <row r="2543">
      <c r="A2543" t="inlineStr">
        <is>
          <t>押品登记簿记录</t>
        </is>
      </c>
      <c r="B2543" t="inlineStr">
        <is>
          <t>CLR_CORE_REGISTER_INFO</t>
        </is>
      </c>
      <c r="C2543" t="inlineStr">
        <is>
          <t>STATUS</t>
        </is>
      </c>
      <c r="D2543" t="inlineStr">
        <is>
          <t>VARCHAR(24)</t>
        </is>
      </c>
      <c r="E2543" t="inlineStr">
        <is>
          <t>YES</t>
        </is>
      </c>
      <c r="F2543" t="inlineStr">
        <is>
          <t>记账状态</t>
        </is>
      </c>
      <c r="H2543" t="inlineStr">
        <is>
          <t>VARCHAR</t>
        </is>
      </c>
      <c r="I2543" t="inlineStr">
        <is>
          <t>24</t>
        </is>
      </c>
    </row>
    <row r="2544">
      <c r="A2544" t="inlineStr">
        <is>
          <t>押品登记簿记录</t>
        </is>
      </c>
      <c r="B2544" t="inlineStr">
        <is>
          <t>CLR_CORE_REGISTER_INFO</t>
        </is>
      </c>
      <c r="C2544" t="inlineStr">
        <is>
          <t>SAVETYPE</t>
        </is>
      </c>
      <c r="D2544" t="inlineStr">
        <is>
          <t>VARCHAR(24)</t>
        </is>
      </c>
      <c r="E2544" t="inlineStr">
        <is>
          <t>YES</t>
        </is>
      </c>
      <c r="F2544" t="inlineStr">
        <is>
          <t>押品介质</t>
        </is>
      </c>
      <c r="H2544" t="inlineStr">
        <is>
          <t>VARCHAR</t>
        </is>
      </c>
      <c r="I2544" t="inlineStr">
        <is>
          <t>24</t>
        </is>
      </c>
    </row>
    <row r="2545">
      <c r="A2545" t="inlineStr">
        <is>
          <t>押品登记簿记录</t>
        </is>
      </c>
      <c r="B2545" t="inlineStr">
        <is>
          <t>CLR_CORE_REGISTER_INFO</t>
        </is>
      </c>
      <c r="C2545" t="inlineStr">
        <is>
          <t>ORGNAME</t>
        </is>
      </c>
      <c r="D2545" t="inlineStr">
        <is>
          <t>VARCHAR(32)</t>
        </is>
      </c>
      <c r="E2545" t="inlineStr">
        <is>
          <t>YES</t>
        </is>
      </c>
      <c r="F2545" t="inlineStr">
        <is>
          <t>机构名称</t>
        </is>
      </c>
      <c r="H2545" t="inlineStr">
        <is>
          <t>VARCHAR</t>
        </is>
      </c>
      <c r="I2545" t="inlineStr">
        <is>
          <t>32</t>
        </is>
      </c>
    </row>
    <row r="2546">
      <c r="A2546" t="inlineStr">
        <is>
          <t>押品登记簿记录</t>
        </is>
      </c>
      <c r="B2546" t="inlineStr">
        <is>
          <t>CLR_CORE_REGISTER_INFO</t>
        </is>
      </c>
      <c r="C2546" t="inlineStr">
        <is>
          <t>ORGID</t>
        </is>
      </c>
      <c r="D2546" t="inlineStr">
        <is>
          <t>VARCHAR(32)</t>
        </is>
      </c>
      <c r="E2546" t="inlineStr">
        <is>
          <t>YES</t>
        </is>
      </c>
      <c r="F2546" t="inlineStr">
        <is>
          <t>机构编号</t>
        </is>
      </c>
      <c r="H2546" t="inlineStr">
        <is>
          <t>VARCHAR</t>
        </is>
      </c>
      <c r="I2546" t="inlineStr">
        <is>
          <t>32</t>
        </is>
      </c>
    </row>
    <row r="2547">
      <c r="A2547" t="inlineStr">
        <is>
          <t>押品登记簿记录</t>
        </is>
      </c>
      <c r="B2547" t="inlineStr">
        <is>
          <t>CLR_CORE_REGISTER_INFO</t>
        </is>
      </c>
      <c r="C2547" t="inlineStr">
        <is>
          <t>INPUTUSER</t>
        </is>
      </c>
      <c r="D2547" t="inlineStr">
        <is>
          <t>VARCHAR(32)</t>
        </is>
      </c>
      <c r="E2547" t="inlineStr">
        <is>
          <t>YES</t>
        </is>
      </c>
      <c r="F2547" t="inlineStr">
        <is>
          <t>登记人</t>
        </is>
      </c>
      <c r="H2547" t="inlineStr">
        <is>
          <t>VARCHAR</t>
        </is>
      </c>
      <c r="I2547" t="inlineStr">
        <is>
          <t>32</t>
        </is>
      </c>
    </row>
    <row r="2548">
      <c r="A2548" t="inlineStr">
        <is>
          <t>押品登记簿记录</t>
        </is>
      </c>
      <c r="B2548" t="inlineStr">
        <is>
          <t>CLR_CORE_REGISTER_INFO</t>
        </is>
      </c>
      <c r="C2548" t="inlineStr">
        <is>
          <t>INPUTORG</t>
        </is>
      </c>
      <c r="D2548" t="inlineStr">
        <is>
          <t>VARCHAR(32)</t>
        </is>
      </c>
      <c r="E2548" t="inlineStr">
        <is>
          <t>YES</t>
        </is>
      </c>
      <c r="F2548" t="inlineStr">
        <is>
          <t>登记机构</t>
        </is>
      </c>
      <c r="H2548" t="inlineStr">
        <is>
          <t>VARCHAR</t>
        </is>
      </c>
      <c r="I2548" t="inlineStr">
        <is>
          <t>32</t>
        </is>
      </c>
    </row>
    <row r="2549">
      <c r="A2549" t="inlineStr">
        <is>
          <t>押品登记簿记录</t>
        </is>
      </c>
      <c r="B2549" t="inlineStr">
        <is>
          <t>CLR_CORE_REGISTER_INFO</t>
        </is>
      </c>
      <c r="C2549" t="inlineStr">
        <is>
          <t>INPUTTIME</t>
        </is>
      </c>
      <c r="D2549" t="inlineStr">
        <is>
          <t>DATETIME</t>
        </is>
      </c>
      <c r="E2549" t="inlineStr">
        <is>
          <t>YES</t>
        </is>
      </c>
      <c r="F2549" t="inlineStr">
        <is>
          <t>登记时间</t>
        </is>
      </c>
      <c r="H2549" t="inlineStr">
        <is>
          <t>DATETIME</t>
        </is>
      </c>
    </row>
    <row r="2550">
      <c r="A2550" t="inlineStr">
        <is>
          <t>押品登记簿记录</t>
        </is>
      </c>
      <c r="B2550" t="inlineStr">
        <is>
          <t>CLR_CORE_REGISTER_INFO</t>
        </is>
      </c>
      <c r="C2550" t="inlineStr">
        <is>
          <t>UPDATEUSER</t>
        </is>
      </c>
      <c r="D2550" t="inlineStr">
        <is>
          <t>VARCHAR(32)</t>
        </is>
      </c>
      <c r="E2550" t="inlineStr">
        <is>
          <t>YES</t>
        </is>
      </c>
      <c r="F2550" t="inlineStr">
        <is>
          <t>更新人</t>
        </is>
      </c>
      <c r="H2550" t="inlineStr">
        <is>
          <t>VARCHAR</t>
        </is>
      </c>
      <c r="I2550" t="inlineStr">
        <is>
          <t>32</t>
        </is>
      </c>
    </row>
    <row r="2551">
      <c r="A2551" t="inlineStr">
        <is>
          <t>押品登记簿记录</t>
        </is>
      </c>
      <c r="B2551" t="inlineStr">
        <is>
          <t>CLR_CORE_REGISTER_INFO</t>
        </is>
      </c>
      <c r="C2551" t="inlineStr">
        <is>
          <t>UPDATETIME</t>
        </is>
      </c>
      <c r="D2551" t="inlineStr">
        <is>
          <t>DATETIME</t>
        </is>
      </c>
      <c r="E2551" t="inlineStr">
        <is>
          <t>YES</t>
        </is>
      </c>
      <c r="F2551" t="inlineStr">
        <is>
          <t>更新时间</t>
        </is>
      </c>
      <c r="H2551" t="inlineStr">
        <is>
          <t>DATETIME</t>
        </is>
      </c>
    </row>
    <row r="2552">
      <c r="A2552" t="inlineStr">
        <is>
          <t>押品登记簿记录</t>
        </is>
      </c>
      <c r="B2552" t="inlineStr">
        <is>
          <t>CLR_CORE_REGISTER_INFO</t>
        </is>
      </c>
      <c r="C2552" t="inlineStr">
        <is>
          <t>UPDATEUSERID</t>
        </is>
      </c>
      <c r="D2552" t="inlineStr">
        <is>
          <t>VARCHAR(32)</t>
        </is>
      </c>
      <c r="E2552" t="inlineStr">
        <is>
          <t>YES</t>
        </is>
      </c>
      <c r="F2552" t="inlineStr">
        <is>
          <t>更新人编号</t>
        </is>
      </c>
      <c r="H2552" t="inlineStr">
        <is>
          <t>VARCHAR</t>
        </is>
      </c>
      <c r="I2552" t="inlineStr">
        <is>
          <t>32</t>
        </is>
      </c>
    </row>
    <row r="2553">
      <c r="A2553" t="inlineStr">
        <is>
          <t>押品登记簿记录</t>
        </is>
      </c>
      <c r="B2553" t="inlineStr">
        <is>
          <t>CLR_CORE_REGISTER_INFO</t>
        </is>
      </c>
      <c r="C2553" t="inlineStr">
        <is>
          <t>UPDATEORGID</t>
        </is>
      </c>
      <c r="D2553" t="inlineStr">
        <is>
          <t>VARCHAR(32)</t>
        </is>
      </c>
      <c r="E2553" t="inlineStr">
        <is>
          <t>YES</t>
        </is>
      </c>
      <c r="F2553" t="inlineStr">
        <is>
          <t>更新机构</t>
        </is>
      </c>
      <c r="H2553" t="inlineStr">
        <is>
          <t>VARCHAR</t>
        </is>
      </c>
      <c r="I2553" t="inlineStr">
        <is>
          <t>32</t>
        </is>
      </c>
    </row>
    <row r="2554">
      <c r="A2554" t="inlineStr">
        <is>
          <t>押品登记簿记录</t>
        </is>
      </c>
      <c r="B2554" t="inlineStr">
        <is>
          <t>CLR_CORE_REGISTER_INFO</t>
        </is>
      </c>
      <c r="C2554" t="inlineStr">
        <is>
          <t>INPUTORGID</t>
        </is>
      </c>
      <c r="D2554" t="inlineStr">
        <is>
          <t>VARCHAR(32)</t>
        </is>
      </c>
      <c r="E2554" t="inlineStr">
        <is>
          <t>YES</t>
        </is>
      </c>
      <c r="F2554" t="inlineStr">
        <is>
          <t>登记机构编号</t>
        </is>
      </c>
      <c r="H2554" t="inlineStr">
        <is>
          <t>VARCHAR</t>
        </is>
      </c>
      <c r="I2554" t="inlineStr">
        <is>
          <t>32</t>
        </is>
      </c>
    </row>
    <row r="2555">
      <c r="A2555" t="inlineStr">
        <is>
          <t>押品登记簿记录</t>
        </is>
      </c>
      <c r="B2555" t="inlineStr">
        <is>
          <t>CLR_CORE_REGISTER_INFO</t>
        </is>
      </c>
      <c r="C2555" t="inlineStr">
        <is>
          <t>INPUTUSERID</t>
        </is>
      </c>
      <c r="D2555" t="inlineStr">
        <is>
          <t>VARCHAR(32)</t>
        </is>
      </c>
      <c r="E2555" t="inlineStr">
        <is>
          <t>YES</t>
        </is>
      </c>
      <c r="F2555" t="inlineStr">
        <is>
          <t>登记人编号</t>
        </is>
      </c>
      <c r="H2555" t="inlineStr">
        <is>
          <t>VARCHAR</t>
        </is>
      </c>
      <c r="I2555" t="inlineStr">
        <is>
          <t>32</t>
        </is>
      </c>
    </row>
    <row r="2556">
      <c r="A2556" t="inlineStr">
        <is>
          <t>押品登记簿记录</t>
        </is>
      </c>
      <c r="B2556" t="inlineStr">
        <is>
          <t>CLR_CORE_REGISTER_INFO</t>
        </is>
      </c>
      <c r="C2556" t="inlineStr">
        <is>
          <t>TRADENO</t>
        </is>
      </c>
      <c r="D2556" t="inlineStr">
        <is>
          <t>VARCHAR(32)</t>
        </is>
      </c>
      <c r="E2556" t="inlineStr">
        <is>
          <t>YES</t>
        </is>
      </c>
      <c r="F2556" t="inlineStr">
        <is>
          <t>交易流水号（核心返回）</t>
        </is>
      </c>
      <c r="H2556" t="inlineStr">
        <is>
          <t>VARCHAR</t>
        </is>
      </c>
      <c r="I2556" t="inlineStr">
        <is>
          <t>32</t>
        </is>
      </c>
    </row>
    <row r="2557">
      <c r="A2557" t="inlineStr">
        <is>
          <t>押品登记簿记录</t>
        </is>
      </c>
      <c r="B2557" t="inlineStr">
        <is>
          <t>CLR_CORE_REGISTER_INFO</t>
        </is>
      </c>
      <c r="C2557" t="inlineStr">
        <is>
          <t>TRADETYPE</t>
        </is>
      </c>
      <c r="D2557" t="inlineStr">
        <is>
          <t>VARCHAR(8)</t>
        </is>
      </c>
      <c r="E2557" t="inlineStr">
        <is>
          <t>YES</t>
        </is>
      </c>
      <c r="F2557" t="inlineStr">
        <is>
          <t>交易科目</t>
        </is>
      </c>
      <c r="H2557" t="inlineStr">
        <is>
          <t>VARCHAR</t>
        </is>
      </c>
      <c r="I2557" t="inlineStr">
        <is>
          <t>8</t>
        </is>
      </c>
    </row>
    <row r="2558">
      <c r="A2558" t="inlineStr">
        <is>
          <t>押品登记簿记录</t>
        </is>
      </c>
    </row>
    <row r="2559">
      <c r="A2559" t="inlineStr">
        <is>
          <t>权证包登记簿信息</t>
        </is>
      </c>
      <c r="B2559" t="inlineStr">
        <is>
          <t>CLR_CORE_REGISTER_PACKAGE</t>
        </is>
      </c>
      <c r="C2559" t="inlineStr">
        <is>
          <t>SERIALNO</t>
        </is>
      </c>
      <c r="D2559" t="inlineStr">
        <is>
          <t>VARCHAR(32)</t>
        </is>
      </c>
      <c r="E2559" t="inlineStr">
        <is>
          <t>NO</t>
        </is>
      </c>
      <c r="F2559" t="inlineStr">
        <is>
          <t>流水号</t>
        </is>
      </c>
      <c r="H2559" t="inlineStr">
        <is>
          <t>VARCHAR</t>
        </is>
      </c>
      <c r="I2559" t="inlineStr">
        <is>
          <t>32</t>
        </is>
      </c>
    </row>
    <row r="2560">
      <c r="A2560" t="inlineStr">
        <is>
          <t>权证包登记簿信息</t>
        </is>
      </c>
      <c r="B2560" t="inlineStr">
        <is>
          <t>CLR_CORE_REGISTER_PACKAGE</t>
        </is>
      </c>
      <c r="C2560" t="inlineStr">
        <is>
          <t>PACKAGEID</t>
        </is>
      </c>
      <c r="D2560" t="inlineStr">
        <is>
          <t>VARCHAR(32)</t>
        </is>
      </c>
      <c r="E2560" t="inlineStr">
        <is>
          <t>NO</t>
        </is>
      </c>
      <c r="F2560" t="inlineStr">
        <is>
          <t>封包编号</t>
        </is>
      </c>
      <c r="H2560" t="inlineStr">
        <is>
          <t>VARCHAR</t>
        </is>
      </c>
      <c r="I2560" t="inlineStr">
        <is>
          <t>32</t>
        </is>
      </c>
    </row>
    <row r="2561">
      <c r="A2561" t="inlineStr">
        <is>
          <t>权证包登记簿信息</t>
        </is>
      </c>
      <c r="B2561" t="inlineStr">
        <is>
          <t>CLR_CORE_REGISTER_PACKAGE</t>
        </is>
      </c>
      <c r="C2561" t="inlineStr">
        <is>
          <t>CERTRIGHTNUM</t>
        </is>
      </c>
      <c r="D2561" t="inlineStr">
        <is>
          <t>VARCHAR(32)</t>
        </is>
      </c>
      <c r="E2561" t="inlineStr">
        <is>
          <t>YES</t>
        </is>
      </c>
      <c r="F2561" t="inlineStr">
        <is>
          <t>保内权证数量</t>
        </is>
      </c>
      <c r="H2561" t="inlineStr">
        <is>
          <t>VARCHAR</t>
        </is>
      </c>
      <c r="I2561" t="inlineStr">
        <is>
          <t>32</t>
        </is>
      </c>
    </row>
    <row r="2562">
      <c r="A2562" t="inlineStr">
        <is>
          <t>权证包登记簿信息</t>
        </is>
      </c>
      <c r="B2562" t="inlineStr">
        <is>
          <t>CLR_CORE_REGISTER_PACKAGE</t>
        </is>
      </c>
      <c r="C2562" t="inlineStr">
        <is>
          <t>STATUS</t>
        </is>
      </c>
      <c r="D2562" t="inlineStr">
        <is>
          <t>VARCHAR(32)</t>
        </is>
      </c>
      <c r="E2562" t="inlineStr">
        <is>
          <t>YES</t>
        </is>
      </c>
      <c r="F2562" t="inlineStr">
        <is>
          <t>封包状态</t>
        </is>
      </c>
      <c r="H2562" t="inlineStr">
        <is>
          <t>VARCHAR</t>
        </is>
      </c>
      <c r="I2562" t="inlineStr">
        <is>
          <t>32</t>
        </is>
      </c>
    </row>
    <row r="2563">
      <c r="A2563" t="inlineStr">
        <is>
          <t>权证包登记簿信息</t>
        </is>
      </c>
      <c r="B2563" t="inlineStr">
        <is>
          <t>CLR_CORE_REGISTER_PACKAGE</t>
        </is>
      </c>
      <c r="C2563" t="inlineStr">
        <is>
          <t>ORGNAME</t>
        </is>
      </c>
      <c r="D2563" t="inlineStr">
        <is>
          <t>VARCHAR(32)</t>
        </is>
      </c>
      <c r="E2563" t="inlineStr">
        <is>
          <t>YES</t>
        </is>
      </c>
      <c r="F2563" t="inlineStr">
        <is>
          <t>账务机构名称</t>
        </is>
      </c>
      <c r="H2563" t="inlineStr">
        <is>
          <t>VARCHAR</t>
        </is>
      </c>
      <c r="I2563" t="inlineStr">
        <is>
          <t>32</t>
        </is>
      </c>
    </row>
    <row r="2564">
      <c r="A2564" t="inlineStr">
        <is>
          <t>权证包登记簿信息</t>
        </is>
      </c>
      <c r="B2564" t="inlineStr">
        <is>
          <t>CLR_CORE_REGISTER_PACKAGE</t>
        </is>
      </c>
      <c r="C2564" t="inlineStr">
        <is>
          <t>ORGID</t>
        </is>
      </c>
      <c r="D2564" t="inlineStr">
        <is>
          <t>VARCHAR(32)</t>
        </is>
      </c>
      <c r="E2564" t="inlineStr">
        <is>
          <t>YES</t>
        </is>
      </c>
      <c r="F2564" t="inlineStr">
        <is>
          <t>账务机构编号</t>
        </is>
      </c>
      <c r="H2564" t="inlineStr">
        <is>
          <t>VARCHAR</t>
        </is>
      </c>
      <c r="I2564" t="inlineStr">
        <is>
          <t>32</t>
        </is>
      </c>
    </row>
    <row r="2565">
      <c r="A2565" t="inlineStr">
        <is>
          <t>权证包登记簿信息</t>
        </is>
      </c>
      <c r="B2565" t="inlineStr">
        <is>
          <t>CLR_CORE_REGISTER_PACKAGE</t>
        </is>
      </c>
      <c r="C2565" t="inlineStr">
        <is>
          <t>INPUTUSER</t>
        </is>
      </c>
      <c r="D2565" t="inlineStr">
        <is>
          <t>VARCHAR(32)</t>
        </is>
      </c>
      <c r="E2565" t="inlineStr">
        <is>
          <t>YES</t>
        </is>
      </c>
      <c r="F2565" t="inlineStr">
        <is>
          <t>登记人</t>
        </is>
      </c>
      <c r="H2565" t="inlineStr">
        <is>
          <t>VARCHAR</t>
        </is>
      </c>
      <c r="I2565" t="inlineStr">
        <is>
          <t>32</t>
        </is>
      </c>
    </row>
    <row r="2566">
      <c r="A2566" t="inlineStr">
        <is>
          <t>权证包登记簿信息</t>
        </is>
      </c>
      <c r="B2566" t="inlineStr">
        <is>
          <t>CLR_CORE_REGISTER_PACKAGE</t>
        </is>
      </c>
      <c r="C2566" t="inlineStr">
        <is>
          <t>INPUTORG</t>
        </is>
      </c>
      <c r="D2566" t="inlineStr">
        <is>
          <t>VARCHAR(32)</t>
        </is>
      </c>
      <c r="E2566" t="inlineStr">
        <is>
          <t>YES</t>
        </is>
      </c>
      <c r="F2566" t="inlineStr">
        <is>
          <t>登记机构</t>
        </is>
      </c>
      <c r="H2566" t="inlineStr">
        <is>
          <t>VARCHAR</t>
        </is>
      </c>
      <c r="I2566" t="inlineStr">
        <is>
          <t>32</t>
        </is>
      </c>
    </row>
    <row r="2567">
      <c r="A2567" t="inlineStr">
        <is>
          <t>权证包登记簿信息</t>
        </is>
      </c>
      <c r="B2567" t="inlineStr">
        <is>
          <t>CLR_CORE_REGISTER_PACKAGE</t>
        </is>
      </c>
      <c r="C2567" t="inlineStr">
        <is>
          <t>INPUTTIME</t>
        </is>
      </c>
      <c r="D2567" t="inlineStr">
        <is>
          <t>DATETIME</t>
        </is>
      </c>
      <c r="E2567" t="inlineStr">
        <is>
          <t>YES</t>
        </is>
      </c>
      <c r="F2567" t="inlineStr">
        <is>
          <t>登记时间</t>
        </is>
      </c>
      <c r="H2567" t="inlineStr">
        <is>
          <t>DATETIME</t>
        </is>
      </c>
    </row>
    <row r="2568">
      <c r="A2568" t="inlineStr">
        <is>
          <t>权证包登记簿信息</t>
        </is>
      </c>
      <c r="B2568" t="inlineStr">
        <is>
          <t>CLR_CORE_REGISTER_PACKAGE</t>
        </is>
      </c>
      <c r="C2568" t="inlineStr">
        <is>
          <t>UPDATEUSER</t>
        </is>
      </c>
      <c r="D2568" t="inlineStr">
        <is>
          <t>VARCHAR(32)</t>
        </is>
      </c>
      <c r="E2568" t="inlineStr">
        <is>
          <t>YES</t>
        </is>
      </c>
      <c r="F2568" t="inlineStr">
        <is>
          <t>更新人</t>
        </is>
      </c>
      <c r="H2568" t="inlineStr">
        <is>
          <t>VARCHAR</t>
        </is>
      </c>
      <c r="I2568" t="inlineStr">
        <is>
          <t>32</t>
        </is>
      </c>
    </row>
    <row r="2569">
      <c r="A2569" t="inlineStr">
        <is>
          <t>权证包登记簿信息</t>
        </is>
      </c>
      <c r="B2569" t="inlineStr">
        <is>
          <t>CLR_CORE_REGISTER_PACKAGE</t>
        </is>
      </c>
      <c r="C2569" t="inlineStr">
        <is>
          <t>UPDATETIME</t>
        </is>
      </c>
      <c r="D2569" t="inlineStr">
        <is>
          <t>DATETIME</t>
        </is>
      </c>
      <c r="E2569" t="inlineStr">
        <is>
          <t>YES</t>
        </is>
      </c>
      <c r="F2569" t="inlineStr">
        <is>
          <t>更新时间</t>
        </is>
      </c>
      <c r="H2569" t="inlineStr">
        <is>
          <t>DATETIME</t>
        </is>
      </c>
    </row>
    <row r="2570">
      <c r="A2570" t="inlineStr">
        <is>
          <t>权证包登记簿信息</t>
        </is>
      </c>
      <c r="B2570" t="inlineStr">
        <is>
          <t>CLR_CORE_REGISTER_PACKAGE</t>
        </is>
      </c>
      <c r="C2570" t="inlineStr">
        <is>
          <t>UPDATEUSERID</t>
        </is>
      </c>
      <c r="D2570" t="inlineStr">
        <is>
          <t>VARCHAR(32)</t>
        </is>
      </c>
      <c r="E2570" t="inlineStr">
        <is>
          <t>YES</t>
        </is>
      </c>
      <c r="F2570" t="inlineStr">
        <is>
          <t>更新人编号</t>
        </is>
      </c>
      <c r="H2570" t="inlineStr">
        <is>
          <t>VARCHAR</t>
        </is>
      </c>
      <c r="I2570" t="inlineStr">
        <is>
          <t>32</t>
        </is>
      </c>
    </row>
    <row r="2571">
      <c r="A2571" t="inlineStr">
        <is>
          <t>权证包登记簿信息</t>
        </is>
      </c>
      <c r="B2571" t="inlineStr">
        <is>
          <t>CLR_CORE_REGISTER_PACKAGE</t>
        </is>
      </c>
      <c r="C2571" t="inlineStr">
        <is>
          <t>UPDATEORGID</t>
        </is>
      </c>
      <c r="D2571" t="inlineStr">
        <is>
          <t>VARCHAR(32)</t>
        </is>
      </c>
      <c r="E2571" t="inlineStr">
        <is>
          <t>YES</t>
        </is>
      </c>
      <c r="F2571" t="inlineStr">
        <is>
          <t>更新机构</t>
        </is>
      </c>
      <c r="H2571" t="inlineStr">
        <is>
          <t>VARCHAR</t>
        </is>
      </c>
      <c r="I2571" t="inlineStr">
        <is>
          <t>32</t>
        </is>
      </c>
    </row>
    <row r="2572">
      <c r="A2572" t="inlineStr">
        <is>
          <t>权证包登记簿信息</t>
        </is>
      </c>
      <c r="B2572" t="inlineStr">
        <is>
          <t>CLR_CORE_REGISTER_PACKAGE</t>
        </is>
      </c>
      <c r="C2572" t="inlineStr">
        <is>
          <t>INPUTORGID</t>
        </is>
      </c>
      <c r="D2572" t="inlineStr">
        <is>
          <t>VARCHAR(32)</t>
        </is>
      </c>
      <c r="E2572" t="inlineStr">
        <is>
          <t>YES</t>
        </is>
      </c>
      <c r="F2572" t="inlineStr">
        <is>
          <t>登记机构编号</t>
        </is>
      </c>
      <c r="H2572" t="inlineStr">
        <is>
          <t>VARCHAR</t>
        </is>
      </c>
      <c r="I2572" t="inlineStr">
        <is>
          <t>32</t>
        </is>
      </c>
    </row>
    <row r="2573">
      <c r="A2573" t="inlineStr">
        <is>
          <t>权证包登记簿信息</t>
        </is>
      </c>
      <c r="B2573" t="inlineStr">
        <is>
          <t>CLR_CORE_REGISTER_PACKAGE</t>
        </is>
      </c>
      <c r="C2573" t="inlineStr">
        <is>
          <t>INPUTUSERID</t>
        </is>
      </c>
      <c r="D2573" t="inlineStr">
        <is>
          <t>VARCHAR(32)</t>
        </is>
      </c>
      <c r="E2573" t="inlineStr">
        <is>
          <t>YES</t>
        </is>
      </c>
      <c r="F2573" t="inlineStr">
        <is>
          <t>登记人编号</t>
        </is>
      </c>
      <c r="H2573" t="inlineStr">
        <is>
          <t>VARCHAR</t>
        </is>
      </c>
      <c r="I2573" t="inlineStr">
        <is>
          <t>32</t>
        </is>
      </c>
    </row>
    <row r="2574">
      <c r="A2574" t="inlineStr">
        <is>
          <t>权证包登记簿信息</t>
        </is>
      </c>
      <c r="B2574" t="inlineStr">
        <is>
          <t>CLR_CORE_REGISTER_PACKAGE</t>
        </is>
      </c>
      <c r="C2574" t="inlineStr">
        <is>
          <t>TRADENO</t>
        </is>
      </c>
      <c r="D2574" t="inlineStr">
        <is>
          <t>VARCHAR(32)</t>
        </is>
      </c>
      <c r="E2574" t="inlineStr">
        <is>
          <t>YES</t>
        </is>
      </c>
      <c r="F2574" t="inlineStr">
        <is>
          <t>交易流水号（核心返回）</t>
        </is>
      </c>
      <c r="H2574" t="inlineStr">
        <is>
          <t>VARCHAR</t>
        </is>
      </c>
      <c r="I2574" t="inlineStr">
        <is>
          <t>32</t>
        </is>
      </c>
    </row>
    <row r="2575">
      <c r="A2575" t="inlineStr">
        <is>
          <t>权证包登记簿信息</t>
        </is>
      </c>
      <c r="B2575" t="inlineStr">
        <is>
          <t>CLR_CORE_REGISTER_PACKAGE</t>
        </is>
      </c>
      <c r="C2575" t="inlineStr">
        <is>
          <t>TRADETYPE</t>
        </is>
      </c>
      <c r="D2575" t="inlineStr">
        <is>
          <t>VARCHAR(8)</t>
        </is>
      </c>
      <c r="E2575" t="inlineStr">
        <is>
          <t>YES</t>
        </is>
      </c>
      <c r="F2575" t="inlineStr">
        <is>
          <t>交易科目</t>
        </is>
      </c>
      <c r="H2575" t="inlineStr">
        <is>
          <t>VARCHAR</t>
        </is>
      </c>
      <c r="I2575" t="inlineStr">
        <is>
          <t>8</t>
        </is>
      </c>
    </row>
    <row r="2576">
      <c r="A2576" t="inlineStr">
        <is>
          <t>风险缓释明细</t>
        </is>
      </c>
      <c r="B2576" t="inlineStr">
        <is>
          <t>CLR_CORE_REGISTER_INFO</t>
        </is>
      </c>
      <c r="C2576" t="inlineStr">
        <is>
          <t>CONTRACTNO</t>
        </is>
      </c>
      <c r="D2576" t="inlineStr">
        <is>
          <t>VARCHAR（40）</t>
        </is>
      </c>
      <c r="E2576" t="inlineStr">
        <is>
          <t>YES</t>
        </is>
      </c>
      <c r="F2576" t="inlineStr">
        <is>
          <t>业务合同编号</t>
        </is>
      </c>
      <c r="H2576" t="inlineStr">
        <is>
          <t>VARCHAR</t>
        </is>
      </c>
      <c r="I2576" t="inlineStr">
        <is>
          <t>40</t>
        </is>
      </c>
    </row>
    <row r="2577">
      <c r="A2577" t="inlineStr">
        <is>
          <t>风险缓释明细</t>
        </is>
      </c>
      <c r="B2577" t="inlineStr">
        <is>
          <t>CLR_CORE_REGISTER_INFO</t>
        </is>
      </c>
      <c r="C2577" t="inlineStr">
        <is>
          <t>ASSIGNEDGNTVALUE</t>
        </is>
      </c>
      <c r="D2577" t="inlineStr">
        <is>
          <t>DECIMAL（24,6）</t>
        </is>
      </c>
      <c r="E2577" t="inlineStr">
        <is>
          <t>YES</t>
        </is>
      </c>
      <c r="F2577" t="inlineStr">
        <is>
          <t>分配给业务的有效担保价值（元）</t>
        </is>
      </c>
      <c r="H2577" t="inlineStr">
        <is>
          <t>DECIMAL</t>
        </is>
      </c>
      <c r="I2577" t="inlineStr">
        <is>
          <t>24,6</t>
        </is>
      </c>
    </row>
    <row r="2578">
      <c r="A2578" t="inlineStr">
        <is>
          <t>风险缓释明细</t>
        </is>
      </c>
      <c r="B2578" t="inlineStr">
        <is>
          <t>CLR_CORE_REGISTER_INFO</t>
        </is>
      </c>
      <c r="C2578" t="inlineStr">
        <is>
          <t>SUFFIVALUERATIO</t>
        </is>
      </c>
      <c r="D2578" t="inlineStr">
        <is>
          <t>VARCHAR（40）</t>
        </is>
      </c>
      <c r="E2578" t="inlineStr">
        <is>
          <t>YES</t>
        </is>
      </c>
      <c r="F2578" t="inlineStr">
        <is>
          <t>足值率（%）</t>
        </is>
      </c>
      <c r="H2578" t="inlineStr">
        <is>
          <t>VARCHAR</t>
        </is>
      </c>
      <c r="I2578" t="inlineStr">
        <is>
          <t>40</t>
        </is>
      </c>
    </row>
    <row r="2579">
      <c r="A2579" t="inlineStr">
        <is>
          <t>风险缓释明细</t>
        </is>
      </c>
      <c r="B2579" t="inlineStr">
        <is>
          <t>CLR_CORE_REGISTER_INFO</t>
        </is>
      </c>
      <c r="C2579" t="inlineStr">
        <is>
          <t>ISSUFFI</t>
        </is>
      </c>
      <c r="D2579" t="inlineStr">
        <is>
          <t>VARCHAR（10）</t>
        </is>
      </c>
      <c r="E2579" t="inlineStr">
        <is>
          <t>YES</t>
        </is>
      </c>
      <c r="F2579" t="inlineStr">
        <is>
          <t>是否足值</t>
        </is>
      </c>
      <c r="H2579" t="inlineStr">
        <is>
          <t>VARCHAR</t>
        </is>
      </c>
      <c r="I2579" t="inlineStr">
        <is>
          <t>10</t>
        </is>
      </c>
    </row>
    <row r="2580">
      <c r="A2580" t="inlineStr">
        <is>
          <t>风险缓释明细</t>
        </is>
      </c>
      <c r="B2580" t="inlineStr">
        <is>
          <t>CLR_CORE_REGISTER_INFO</t>
        </is>
      </c>
      <c r="C2580" t="inlineStr">
        <is>
          <t>CLRID</t>
        </is>
      </c>
      <c r="D2580" t="inlineStr">
        <is>
          <t>VARCHAR（40）</t>
        </is>
      </c>
      <c r="E2580" t="inlineStr">
        <is>
          <t>YES</t>
        </is>
      </c>
      <c r="F2580" t="inlineStr">
        <is>
          <t>押品编号</t>
        </is>
      </c>
      <c r="H2580" t="inlineStr">
        <is>
          <t>VARCHAR</t>
        </is>
      </c>
      <c r="I2580" t="inlineStr">
        <is>
          <t>40</t>
        </is>
      </c>
    </row>
    <row r="2581">
      <c r="A2581" t="inlineStr">
        <is>
          <t>风险缓释明细</t>
        </is>
      </c>
      <c r="B2581" t="inlineStr">
        <is>
          <t>CLR_CORE_REGISTER_INFO</t>
        </is>
      </c>
      <c r="C2581" t="inlineStr">
        <is>
          <t>ASSIGNEDBALANCE</t>
        </is>
      </c>
      <c r="D2581" t="inlineStr">
        <is>
          <t>DECIMAL（24,6）</t>
        </is>
      </c>
      <c r="E2581" t="inlineStr">
        <is>
          <t>YES</t>
        </is>
      </c>
      <c r="F2581" t="inlineStr">
        <is>
          <t>分配给押品的业务金额</t>
        </is>
      </c>
      <c r="H2581" t="inlineStr">
        <is>
          <t>DECIMAL</t>
        </is>
      </c>
      <c r="I2581" t="inlineStr">
        <is>
          <t>24,6</t>
        </is>
      </c>
    </row>
    <row r="2582">
      <c r="A2582" t="inlineStr">
        <is>
          <t>风险缓释明细</t>
        </is>
      </c>
      <c r="B2582" t="inlineStr">
        <is>
          <t>CLR_CORE_REGISTER_INFO</t>
        </is>
      </c>
      <c r="C2582" t="inlineStr">
        <is>
          <t>COLLATERALRATIO</t>
        </is>
      </c>
      <c r="D2582" t="inlineStr">
        <is>
          <t>VARCHAR（10）</t>
        </is>
      </c>
      <c r="E2582" t="inlineStr">
        <is>
          <t>YES</t>
        </is>
      </c>
      <c r="F2582" t="inlineStr">
        <is>
          <t>价值分配率（%）</t>
        </is>
      </c>
      <c r="H2582" t="inlineStr">
        <is>
          <t>VARCHAR</t>
        </is>
      </c>
      <c r="I2582" t="inlineStr">
        <is>
          <t>10</t>
        </is>
      </c>
    </row>
    <row r="2583">
      <c r="A2583" t="inlineStr">
        <is>
          <t>风险缓释明细</t>
        </is>
      </c>
      <c r="B2583" t="inlineStr">
        <is>
          <t>CLR_CORE_REGISTER_INFO</t>
        </is>
      </c>
      <c r="C2583" t="inlineStr">
        <is>
          <t>MITIGATIONMONTH</t>
        </is>
      </c>
      <c r="D2583" t="inlineStr">
        <is>
          <t>VARCHAR(12)</t>
        </is>
      </c>
      <c r="E2583" t="inlineStr">
        <is>
          <t>YES</t>
        </is>
      </c>
      <c r="F2583" t="inlineStr">
        <is>
          <t>价值分配时间</t>
        </is>
      </c>
      <c r="H2583" t="inlineStr">
        <is>
          <t>VARCHAR</t>
        </is>
      </c>
      <c r="I2583" t="inlineStr">
        <is>
          <t>12</t>
        </is>
      </c>
    </row>
    <row r="2584">
      <c r="A2584" t="inlineStr">
        <is>
          <t>风险缓释明细</t>
        </is>
      </c>
      <c r="B2584" t="inlineStr">
        <is>
          <t>CLR_CORE_REGISTER_INFO</t>
        </is>
      </c>
      <c r="C2584" t="inlineStr">
        <is>
          <t>INPUTUSER</t>
        </is>
      </c>
      <c r="D2584" t="inlineStr">
        <is>
          <t>VARCHAR(32)</t>
        </is>
      </c>
      <c r="E2584" t="inlineStr">
        <is>
          <t>YES</t>
        </is>
      </c>
      <c r="F2584" t="inlineStr">
        <is>
          <t>登记人</t>
        </is>
      </c>
      <c r="H2584" t="inlineStr">
        <is>
          <t>VARCHAR</t>
        </is>
      </c>
      <c r="I2584" t="inlineStr">
        <is>
          <t>32</t>
        </is>
      </c>
    </row>
    <row r="2585">
      <c r="A2585" t="inlineStr">
        <is>
          <t>风险缓释明细</t>
        </is>
      </c>
      <c r="B2585" t="inlineStr">
        <is>
          <t>CLR_CORE_REGISTER_INFO</t>
        </is>
      </c>
      <c r="C2585" t="inlineStr">
        <is>
          <t>INPUTORG</t>
        </is>
      </c>
      <c r="D2585" t="inlineStr">
        <is>
          <t>VARCHAR(32)</t>
        </is>
      </c>
      <c r="E2585" t="inlineStr">
        <is>
          <t>YES</t>
        </is>
      </c>
      <c r="F2585" t="inlineStr">
        <is>
          <t>登记机构</t>
        </is>
      </c>
      <c r="H2585" t="inlineStr">
        <is>
          <t>VARCHAR</t>
        </is>
      </c>
      <c r="I2585" t="inlineStr">
        <is>
          <t>32</t>
        </is>
      </c>
    </row>
    <row r="2586">
      <c r="A2586" t="inlineStr">
        <is>
          <t>风险缓释明细</t>
        </is>
      </c>
      <c r="B2586" t="inlineStr">
        <is>
          <t>CLR_CORE_REGISTER_INFO</t>
        </is>
      </c>
      <c r="C2586" t="inlineStr">
        <is>
          <t>INPUTTIME</t>
        </is>
      </c>
      <c r="D2586" t="inlineStr">
        <is>
          <t>DATETIME</t>
        </is>
      </c>
      <c r="E2586" t="inlineStr">
        <is>
          <t>YES</t>
        </is>
      </c>
      <c r="F2586" t="inlineStr">
        <is>
          <t>登记时间</t>
        </is>
      </c>
      <c r="H2586" t="inlineStr">
        <is>
          <t>DATETIME</t>
        </is>
      </c>
    </row>
    <row r="2587">
      <c r="A2587" t="inlineStr">
        <is>
          <t>风险缓释明细</t>
        </is>
      </c>
      <c r="B2587" t="inlineStr">
        <is>
          <t>CLR_CORE_REGISTER_INFO</t>
        </is>
      </c>
      <c r="C2587" t="inlineStr">
        <is>
          <t>UPDATEUSER</t>
        </is>
      </c>
      <c r="D2587" t="inlineStr">
        <is>
          <t>VARCHAR(32)</t>
        </is>
      </c>
      <c r="E2587" t="inlineStr">
        <is>
          <t>YES</t>
        </is>
      </c>
      <c r="F2587" t="inlineStr">
        <is>
          <t>更新人</t>
        </is>
      </c>
      <c r="H2587" t="inlineStr">
        <is>
          <t>VARCHAR</t>
        </is>
      </c>
      <c r="I2587" t="inlineStr">
        <is>
          <t>32</t>
        </is>
      </c>
    </row>
    <row r="2588">
      <c r="A2588" t="inlineStr">
        <is>
          <t>风险缓释明细</t>
        </is>
      </c>
      <c r="B2588" t="inlineStr">
        <is>
          <t>CLR_CORE_REGISTER_INFO</t>
        </is>
      </c>
      <c r="C2588" t="inlineStr">
        <is>
          <t>UPDATETIME</t>
        </is>
      </c>
      <c r="D2588" t="inlineStr">
        <is>
          <t>DATETIME</t>
        </is>
      </c>
      <c r="E2588" t="inlineStr">
        <is>
          <t>YES</t>
        </is>
      </c>
      <c r="F2588" t="inlineStr">
        <is>
          <t>更新时间</t>
        </is>
      </c>
      <c r="H2588" t="inlineStr">
        <is>
          <t>DATETIME</t>
        </is>
      </c>
    </row>
    <row r="2589">
      <c r="A2589" t="inlineStr">
        <is>
          <t>风险缓释明细</t>
        </is>
      </c>
      <c r="B2589" t="inlineStr">
        <is>
          <t>CLR_CORE_REGISTER_INFO</t>
        </is>
      </c>
      <c r="C2589" t="inlineStr">
        <is>
          <t>UPDATEUSERID</t>
        </is>
      </c>
      <c r="D2589" t="inlineStr">
        <is>
          <t>VARCHAR(32)</t>
        </is>
      </c>
      <c r="E2589" t="inlineStr">
        <is>
          <t>YES</t>
        </is>
      </c>
      <c r="F2589" t="inlineStr">
        <is>
          <t>更新人编号</t>
        </is>
      </c>
      <c r="H2589" t="inlineStr">
        <is>
          <t>VARCHAR</t>
        </is>
      </c>
      <c r="I2589" t="inlineStr">
        <is>
          <t>32</t>
        </is>
      </c>
    </row>
    <row r="2590">
      <c r="A2590" t="inlineStr">
        <is>
          <t>风险缓释明细</t>
        </is>
      </c>
      <c r="B2590" t="inlineStr">
        <is>
          <t>CLR_CORE_REGISTER_INFO</t>
        </is>
      </c>
      <c r="C2590" t="inlineStr">
        <is>
          <t>UPDATEORGID</t>
        </is>
      </c>
      <c r="D2590" t="inlineStr">
        <is>
          <t>VARCHAR(32)</t>
        </is>
      </c>
      <c r="E2590" t="inlineStr">
        <is>
          <t>YES</t>
        </is>
      </c>
      <c r="F2590" t="inlineStr">
        <is>
          <t>更新机构</t>
        </is>
      </c>
      <c r="H2590" t="inlineStr">
        <is>
          <t>VARCHAR</t>
        </is>
      </c>
      <c r="I2590" t="inlineStr">
        <is>
          <t>32</t>
        </is>
      </c>
    </row>
    <row r="2591">
      <c r="A2591" t="inlineStr">
        <is>
          <t>风险缓释明细</t>
        </is>
      </c>
      <c r="B2591" t="inlineStr">
        <is>
          <t>CLR_CORE_REGISTER_INFO</t>
        </is>
      </c>
      <c r="C2591" t="inlineStr">
        <is>
          <t>INPUTORGID</t>
        </is>
      </c>
      <c r="D2591" t="inlineStr">
        <is>
          <t>VARCHAR(32)</t>
        </is>
      </c>
      <c r="E2591" t="inlineStr">
        <is>
          <t>YES</t>
        </is>
      </c>
      <c r="F2591" t="inlineStr">
        <is>
          <t>登记机构编号</t>
        </is>
      </c>
      <c r="H2591" t="inlineStr">
        <is>
          <t>VARCHAR</t>
        </is>
      </c>
      <c r="I2591" t="inlineStr">
        <is>
          <t>32</t>
        </is>
      </c>
    </row>
    <row r="2592">
      <c r="A2592" t="inlineStr">
        <is>
          <t>风险缓释明细</t>
        </is>
      </c>
      <c r="B2592" t="inlineStr">
        <is>
          <t>CLR_CORE_REGISTER_INFO</t>
        </is>
      </c>
      <c r="C2592" t="inlineStr">
        <is>
          <t>INPUTUSERID</t>
        </is>
      </c>
      <c r="D2592" t="inlineStr">
        <is>
          <t>VARCHAR(32)</t>
        </is>
      </c>
      <c r="E2592" t="inlineStr">
        <is>
          <t>YES</t>
        </is>
      </c>
      <c r="F2592" t="inlineStr">
        <is>
          <t>登记人编号</t>
        </is>
      </c>
      <c r="H2592" t="inlineStr">
        <is>
          <t>VARCHAR</t>
        </is>
      </c>
      <c r="I2592" t="inlineStr">
        <is>
          <t>32</t>
        </is>
      </c>
    </row>
    <row r="2593">
      <c r="A2593" t="inlineStr">
        <is>
          <t>风险缓释业务汇总</t>
        </is>
      </c>
      <c r="B2593" t="inlineStr">
        <is>
          <t>RISK_MITIGATION_BIZ</t>
        </is>
      </c>
      <c r="C2593" t="inlineStr">
        <is>
          <t>SERIALNO</t>
        </is>
      </c>
      <c r="D2593" t="inlineStr">
        <is>
          <t>VARCHAR(32)</t>
        </is>
      </c>
      <c r="E2593" t="inlineStr">
        <is>
          <t>NO</t>
        </is>
      </c>
      <c r="F2593" t="inlineStr">
        <is>
          <t>流水号</t>
        </is>
      </c>
      <c r="H2593" t="inlineStr">
        <is>
          <t>VARCHAR</t>
        </is>
      </c>
      <c r="I2593" t="inlineStr">
        <is>
          <t>32</t>
        </is>
      </c>
    </row>
    <row r="2594">
      <c r="A2594" t="inlineStr">
        <is>
          <t>风险缓释业务汇总</t>
        </is>
      </c>
      <c r="B2594" t="inlineStr">
        <is>
          <t>RISK_MITIGATION_BIZ</t>
        </is>
      </c>
      <c r="C2594" t="inlineStr">
        <is>
          <t>CONTRACTNO</t>
        </is>
      </c>
      <c r="D2594" t="inlineStr">
        <is>
          <t>VARCHAR（40）</t>
        </is>
      </c>
      <c r="E2594" t="inlineStr">
        <is>
          <t>NO</t>
        </is>
      </c>
      <c r="F2594" t="inlineStr">
        <is>
          <t>业务合同编号</t>
        </is>
      </c>
      <c r="H2594" t="inlineStr">
        <is>
          <t>VARCHAR</t>
        </is>
      </c>
      <c r="I2594" t="inlineStr">
        <is>
          <t>40</t>
        </is>
      </c>
    </row>
    <row r="2595">
      <c r="A2595" t="inlineStr">
        <is>
          <t>风险缓释业务汇总</t>
        </is>
      </c>
      <c r="B2595" t="inlineStr">
        <is>
          <t>RISK_MITIGATION_BIZ</t>
        </is>
      </c>
      <c r="C2595" t="inlineStr">
        <is>
          <t>CUSTOMERID</t>
        </is>
      </c>
      <c r="D2595" t="inlineStr">
        <is>
          <t>VARCHAR（40）</t>
        </is>
      </c>
      <c r="E2595" t="inlineStr">
        <is>
          <t>NO</t>
        </is>
      </c>
      <c r="F2595" t="inlineStr">
        <is>
          <t>客户编号</t>
        </is>
      </c>
      <c r="H2595" t="inlineStr">
        <is>
          <t>VARCHAR</t>
        </is>
      </c>
      <c r="I2595" t="inlineStr">
        <is>
          <t>40</t>
        </is>
      </c>
    </row>
    <row r="2596">
      <c r="A2596" t="inlineStr">
        <is>
          <t>风险缓释业务汇总</t>
        </is>
      </c>
      <c r="B2596" t="inlineStr">
        <is>
          <t>RISK_MITIGATION_BIZ</t>
        </is>
      </c>
      <c r="C2596" t="inlineStr">
        <is>
          <t>CUSTOMERNAME</t>
        </is>
      </c>
      <c r="D2596" t="inlineStr">
        <is>
          <t>VARCHAR（80）</t>
        </is>
      </c>
      <c r="E2596" t="inlineStr">
        <is>
          <t>NO</t>
        </is>
      </c>
      <c r="F2596" t="inlineStr">
        <is>
          <t>客户名称</t>
        </is>
      </c>
      <c r="H2596" t="inlineStr">
        <is>
          <t>VARCHAR</t>
        </is>
      </c>
      <c r="I2596" t="inlineStr">
        <is>
          <t>80</t>
        </is>
      </c>
    </row>
    <row r="2597">
      <c r="A2597" t="inlineStr">
        <is>
          <t>风险缓释业务汇总</t>
        </is>
      </c>
      <c r="B2597" t="inlineStr">
        <is>
          <t>RISK_MITIGATION_BIZ</t>
        </is>
      </c>
      <c r="C2597" t="inlineStr">
        <is>
          <t>PRODUCTID</t>
        </is>
      </c>
      <c r="D2597" t="inlineStr">
        <is>
          <t>VARCHAR（20）</t>
        </is>
      </c>
      <c r="E2597" t="inlineStr">
        <is>
          <t>NO</t>
        </is>
      </c>
      <c r="F2597" t="inlineStr">
        <is>
          <t>业务品种/业务类型</t>
        </is>
      </c>
      <c r="H2597" t="inlineStr">
        <is>
          <t>VARCHAR</t>
        </is>
      </c>
      <c r="I2597" t="inlineStr">
        <is>
          <t>20</t>
        </is>
      </c>
    </row>
    <row r="2598">
      <c r="A2598" t="inlineStr">
        <is>
          <t>风险缓释业务汇总</t>
        </is>
      </c>
      <c r="B2598" t="inlineStr">
        <is>
          <t>RISK_MITIGATION_BIZ</t>
        </is>
      </c>
      <c r="C2598" t="inlineStr">
        <is>
          <t>VOUCHTYPE</t>
        </is>
      </c>
      <c r="D2598" t="inlineStr">
        <is>
          <t>VARCHAR（10）</t>
        </is>
      </c>
      <c r="E2598" t="inlineStr">
        <is>
          <t>YES</t>
        </is>
      </c>
      <c r="F2598" t="inlineStr">
        <is>
          <t>主担保方式</t>
        </is>
      </c>
      <c r="H2598" t="inlineStr">
        <is>
          <t>VARCHAR</t>
        </is>
      </c>
      <c r="I2598" t="inlineStr">
        <is>
          <t>10</t>
        </is>
      </c>
    </row>
    <row r="2599">
      <c r="A2599" t="inlineStr">
        <is>
          <t>风险缓释业务汇总</t>
        </is>
      </c>
      <c r="B2599" t="inlineStr">
        <is>
          <t>RISK_MITIGATION_BIZ</t>
        </is>
      </c>
      <c r="C2599" t="inlineStr">
        <is>
          <t>CURRENCY</t>
        </is>
      </c>
      <c r="D2599" t="inlineStr">
        <is>
          <t>VARCHAR（10）</t>
        </is>
      </c>
      <c r="E2599" t="inlineStr">
        <is>
          <t>YES</t>
        </is>
      </c>
      <c r="F2599" t="inlineStr">
        <is>
          <t>业务合同币种</t>
        </is>
      </c>
      <c r="H2599" t="inlineStr">
        <is>
          <t>VARCHAR</t>
        </is>
      </c>
      <c r="I2599" t="inlineStr">
        <is>
          <t>10</t>
        </is>
      </c>
    </row>
    <row r="2600">
      <c r="A2600" t="inlineStr">
        <is>
          <t>风险缓释业务汇总</t>
        </is>
      </c>
      <c r="B2600" t="inlineStr">
        <is>
          <t>RISK_MITIGATION_BIZ</t>
        </is>
      </c>
      <c r="C2600" t="inlineStr">
        <is>
          <t>BUSINESSSUM</t>
        </is>
      </c>
      <c r="D2600" t="inlineStr">
        <is>
          <t>DECIMAL（24,6）</t>
        </is>
      </c>
      <c r="E2600" t="inlineStr">
        <is>
          <t>YES</t>
        </is>
      </c>
      <c r="F2600" t="inlineStr">
        <is>
          <t>业务合同金额</t>
        </is>
      </c>
      <c r="H2600" t="inlineStr">
        <is>
          <t>DECIMAL</t>
        </is>
      </c>
      <c r="I2600" t="inlineStr">
        <is>
          <t>24,6</t>
        </is>
      </c>
    </row>
    <row r="2601">
      <c r="A2601" t="inlineStr">
        <is>
          <t>风险缓释业务汇总</t>
        </is>
      </c>
      <c r="B2601" t="inlineStr">
        <is>
          <t>RISK_MITIGATION_BIZ</t>
        </is>
      </c>
      <c r="C2601" t="inlineStr">
        <is>
          <t>BALANCE</t>
        </is>
      </c>
      <c r="D2601" t="inlineStr">
        <is>
          <t>DECIMAL（24,6）</t>
        </is>
      </c>
      <c r="E2601" t="inlineStr">
        <is>
          <t>YES</t>
        </is>
      </c>
      <c r="F2601" t="inlineStr">
        <is>
          <t>业务合同余额</t>
        </is>
      </c>
      <c r="H2601" t="inlineStr">
        <is>
          <t>DECIMAL</t>
        </is>
      </c>
      <c r="I2601" t="inlineStr">
        <is>
          <t>24,6</t>
        </is>
      </c>
    </row>
    <row r="2602">
      <c r="A2602" t="inlineStr">
        <is>
          <t>风险缓释业务汇总</t>
        </is>
      </c>
      <c r="B2602" t="inlineStr">
        <is>
          <t>RISK_MITIGATION_BIZ</t>
        </is>
      </c>
      <c r="C2602" t="inlineStr">
        <is>
          <t>STARTDATE</t>
        </is>
      </c>
      <c r="D2602" t="inlineStr">
        <is>
          <t>VARCHAR（20）</t>
        </is>
      </c>
      <c r="E2602" t="inlineStr">
        <is>
          <t>YES</t>
        </is>
      </c>
      <c r="F2602" t="inlineStr">
        <is>
          <t>合同起始日</t>
        </is>
      </c>
      <c r="H2602" t="inlineStr">
        <is>
          <t>VARCHAR</t>
        </is>
      </c>
      <c r="I2602" t="inlineStr">
        <is>
          <t>20</t>
        </is>
      </c>
    </row>
    <row r="2603">
      <c r="A2603" t="inlineStr">
        <is>
          <t>风险缓释业务汇总</t>
        </is>
      </c>
      <c r="B2603" t="inlineStr">
        <is>
          <t>RISK_MITIGATION_BIZ</t>
        </is>
      </c>
      <c r="C2603" t="inlineStr">
        <is>
          <t>TERMDAY</t>
        </is>
      </c>
      <c r="D2603" t="inlineStr">
        <is>
          <t>VARCHAR（20）</t>
        </is>
      </c>
      <c r="E2603" t="inlineStr">
        <is>
          <t>YES</t>
        </is>
      </c>
      <c r="F2603" t="inlineStr">
        <is>
          <t>合同到期日</t>
        </is>
      </c>
      <c r="H2603" t="inlineStr">
        <is>
          <t>VARCHAR</t>
        </is>
      </c>
      <c r="I2603" t="inlineStr">
        <is>
          <t>20</t>
        </is>
      </c>
    </row>
    <row r="2604">
      <c r="A2604" t="inlineStr">
        <is>
          <t>风险缓释业务汇总</t>
        </is>
      </c>
      <c r="B2604" t="inlineStr">
        <is>
          <t>RISK_MITIGATION_BIZ</t>
        </is>
      </c>
      <c r="C2604" t="inlineStr">
        <is>
          <t>ASSIGNEDGNTVALUE</t>
        </is>
      </c>
      <c r="D2604" t="inlineStr">
        <is>
          <t>DECIMAL（24,6）</t>
        </is>
      </c>
      <c r="E2604" t="inlineStr">
        <is>
          <t>NO</t>
        </is>
      </c>
      <c r="F2604" t="inlineStr">
        <is>
          <t>分配给业务的有效担保价值（元）</t>
        </is>
      </c>
      <c r="H2604" t="inlineStr">
        <is>
          <t>DECIMAL</t>
        </is>
      </c>
      <c r="I2604" t="inlineStr">
        <is>
          <t>24,6</t>
        </is>
      </c>
    </row>
    <row r="2605">
      <c r="A2605" t="inlineStr">
        <is>
          <t>风险缓释业务汇总</t>
        </is>
      </c>
      <c r="B2605" t="inlineStr">
        <is>
          <t>RISK_MITIGATION_BIZ</t>
        </is>
      </c>
      <c r="C2605" t="inlineStr">
        <is>
          <t>SUFFIVALUERATIO</t>
        </is>
      </c>
      <c r="D2605" t="inlineStr">
        <is>
          <t>DECIMAL（18,8）</t>
        </is>
      </c>
      <c r="E2605" t="inlineStr">
        <is>
          <t>NO</t>
        </is>
      </c>
      <c r="F2605" t="inlineStr">
        <is>
          <t>足值率（%）</t>
        </is>
      </c>
      <c r="H2605" t="inlineStr">
        <is>
          <t>DECIMAL</t>
        </is>
      </c>
      <c r="I2605" t="inlineStr">
        <is>
          <t>18,8</t>
        </is>
      </c>
    </row>
    <row r="2606">
      <c r="A2606" t="inlineStr">
        <is>
          <t>风险缓释业务汇总</t>
        </is>
      </c>
      <c r="B2606" t="inlineStr">
        <is>
          <t>RISK_MITIGATION_BIZ</t>
        </is>
      </c>
      <c r="C2606" t="inlineStr">
        <is>
          <t>ISENOUGH</t>
        </is>
      </c>
      <c r="D2606" t="inlineStr">
        <is>
          <t>VARCHAR（10）</t>
        </is>
      </c>
      <c r="E2606" t="inlineStr">
        <is>
          <t>NO</t>
        </is>
      </c>
      <c r="F2606" t="inlineStr">
        <is>
          <t>是否足值</t>
        </is>
      </c>
      <c r="H2606" t="inlineStr">
        <is>
          <t>VARCHAR</t>
        </is>
      </c>
      <c r="I2606" t="inlineStr">
        <is>
          <t>10</t>
        </is>
      </c>
    </row>
    <row r="2607">
      <c r="A2607" t="inlineStr">
        <is>
          <t>风险缓释业务汇总</t>
        </is>
      </c>
      <c r="B2607" t="inlineStr">
        <is>
          <t>RISK_MITIGATION_BIZ</t>
        </is>
      </c>
      <c r="C2607" t="inlineStr">
        <is>
          <t>MITIGATIONMONTH</t>
        </is>
      </c>
      <c r="D2607" t="inlineStr">
        <is>
          <t>VARCHAR(12)</t>
        </is>
      </c>
      <c r="E2607" t="inlineStr">
        <is>
          <t>NO</t>
        </is>
      </c>
      <c r="F2607" t="inlineStr">
        <is>
          <t>价值分配时间</t>
        </is>
      </c>
      <c r="H2607" t="inlineStr">
        <is>
          <t>VARCHAR</t>
        </is>
      </c>
      <c r="I2607" t="inlineStr">
        <is>
          <t>12</t>
        </is>
      </c>
    </row>
    <row r="2608">
      <c r="A2608" t="inlineStr">
        <is>
          <t>风险缓释业务汇总</t>
        </is>
      </c>
      <c r="B2608" t="inlineStr">
        <is>
          <t>RISK_MITIGATION_BIZ</t>
        </is>
      </c>
      <c r="C2608" t="inlineStr">
        <is>
          <t>OPERATEUSERID</t>
        </is>
      </c>
      <c r="D2608" t="inlineStr">
        <is>
          <t>VARCHAR（80）</t>
        </is>
      </c>
      <c r="E2608" t="inlineStr">
        <is>
          <t>NO</t>
        </is>
      </c>
      <c r="F2608" t="inlineStr">
        <is>
          <t>合同管理人</t>
        </is>
      </c>
      <c r="H2608" t="inlineStr">
        <is>
          <t>VARCHAR</t>
        </is>
      </c>
      <c r="I2608" t="inlineStr">
        <is>
          <t>80</t>
        </is>
      </c>
    </row>
    <row r="2609">
      <c r="A2609" t="inlineStr">
        <is>
          <t>风险缓释业务汇总</t>
        </is>
      </c>
      <c r="B2609" t="inlineStr">
        <is>
          <t>RISK_MITIGATION_BIZ</t>
        </is>
      </c>
      <c r="C2609" t="inlineStr">
        <is>
          <t>OPERATEORGID</t>
        </is>
      </c>
      <c r="D2609" t="inlineStr">
        <is>
          <t>VARCHAR（80）</t>
        </is>
      </c>
      <c r="E2609" t="inlineStr">
        <is>
          <t>NO</t>
        </is>
      </c>
      <c r="F2609" t="inlineStr">
        <is>
          <t>管户机构</t>
        </is>
      </c>
      <c r="H2609" t="inlineStr">
        <is>
          <t>VARCHAR</t>
        </is>
      </c>
      <c r="I2609" t="inlineStr">
        <is>
          <t>80</t>
        </is>
      </c>
    </row>
    <row r="2610">
      <c r="A2610" t="inlineStr">
        <is>
          <t>风险缓释业务汇总</t>
        </is>
      </c>
      <c r="B2610" t="inlineStr">
        <is>
          <t>RISK_MITIGATION_BIZ</t>
        </is>
      </c>
      <c r="C2610" t="inlineStr">
        <is>
          <t>SOURCE</t>
        </is>
      </c>
      <c r="D2610" t="inlineStr">
        <is>
          <t>VARCHAR（40）</t>
        </is>
      </c>
      <c r="E2610" t="inlineStr">
        <is>
          <t>NO</t>
        </is>
      </c>
      <c r="F2610" t="inlineStr">
        <is>
          <t>系统来源</t>
        </is>
      </c>
      <c r="H2610" t="inlineStr">
        <is>
          <t>VARCHAR</t>
        </is>
      </c>
      <c r="I2610" t="inlineStr">
        <is>
          <t>40</t>
        </is>
      </c>
    </row>
    <row r="2611">
      <c r="A2611" t="inlineStr">
        <is>
          <t>风险缓释业务汇总</t>
        </is>
      </c>
      <c r="B2611" t="inlineStr">
        <is>
          <t>RISK_MITIGATION_BIZ</t>
        </is>
      </c>
      <c r="C2611" t="inlineStr">
        <is>
          <t>INPUTUSER</t>
        </is>
      </c>
      <c r="D2611" t="inlineStr">
        <is>
          <t>VARCHAR(32)</t>
        </is>
      </c>
      <c r="E2611" t="inlineStr">
        <is>
          <t>YES</t>
        </is>
      </c>
      <c r="F2611" t="inlineStr">
        <is>
          <t>登记人</t>
        </is>
      </c>
      <c r="H2611" t="inlineStr">
        <is>
          <t>VARCHAR</t>
        </is>
      </c>
      <c r="I2611" t="inlineStr">
        <is>
          <t>32</t>
        </is>
      </c>
    </row>
    <row r="2612">
      <c r="A2612" t="inlineStr">
        <is>
          <t>风险缓释业务汇总</t>
        </is>
      </c>
      <c r="B2612" t="inlineStr">
        <is>
          <t>RISK_MITIGATION_BIZ</t>
        </is>
      </c>
      <c r="C2612" t="inlineStr">
        <is>
          <t>INPUTORG</t>
        </is>
      </c>
      <c r="D2612" t="inlineStr">
        <is>
          <t>VARCHAR(32)</t>
        </is>
      </c>
      <c r="E2612" t="inlineStr">
        <is>
          <t>YES</t>
        </is>
      </c>
      <c r="F2612" t="inlineStr">
        <is>
          <t>登记机构</t>
        </is>
      </c>
      <c r="H2612" t="inlineStr">
        <is>
          <t>VARCHAR</t>
        </is>
      </c>
      <c r="I2612" t="inlineStr">
        <is>
          <t>32</t>
        </is>
      </c>
    </row>
    <row r="2613">
      <c r="A2613" t="inlineStr">
        <is>
          <t>风险缓释业务汇总</t>
        </is>
      </c>
      <c r="B2613" t="inlineStr">
        <is>
          <t>RISK_MITIGATION_BIZ</t>
        </is>
      </c>
      <c r="C2613" t="inlineStr">
        <is>
          <t>INPUTTIME</t>
        </is>
      </c>
      <c r="D2613" t="inlineStr">
        <is>
          <t>DATETIME</t>
        </is>
      </c>
      <c r="E2613" t="inlineStr">
        <is>
          <t>YES</t>
        </is>
      </c>
      <c r="F2613" t="inlineStr">
        <is>
          <t>登记时间</t>
        </is>
      </c>
      <c r="H2613" t="inlineStr">
        <is>
          <t>DATETIME</t>
        </is>
      </c>
    </row>
    <row r="2614">
      <c r="A2614" t="inlineStr">
        <is>
          <t>风险缓释业务汇总</t>
        </is>
      </c>
      <c r="B2614" t="inlineStr">
        <is>
          <t>RISK_MITIGATION_BIZ</t>
        </is>
      </c>
      <c r="C2614" t="inlineStr">
        <is>
          <t>UPDATEUSER</t>
        </is>
      </c>
      <c r="D2614" t="inlineStr">
        <is>
          <t>VARCHAR(32)</t>
        </is>
      </c>
      <c r="E2614" t="inlineStr">
        <is>
          <t>YES</t>
        </is>
      </c>
      <c r="F2614" t="inlineStr">
        <is>
          <t>更新人</t>
        </is>
      </c>
      <c r="H2614" t="inlineStr">
        <is>
          <t>VARCHAR</t>
        </is>
      </c>
      <c r="I2614" t="inlineStr">
        <is>
          <t>32</t>
        </is>
      </c>
    </row>
    <row r="2615">
      <c r="A2615" t="inlineStr">
        <is>
          <t>风险缓释业务汇总</t>
        </is>
      </c>
      <c r="B2615" t="inlineStr">
        <is>
          <t>RISK_MITIGATION_BIZ</t>
        </is>
      </c>
      <c r="C2615" t="inlineStr">
        <is>
          <t>UPDATETIME</t>
        </is>
      </c>
      <c r="D2615" t="inlineStr">
        <is>
          <t>DATETIME</t>
        </is>
      </c>
      <c r="E2615" t="inlineStr">
        <is>
          <t>YES</t>
        </is>
      </c>
      <c r="F2615" t="inlineStr">
        <is>
          <t>更新时间</t>
        </is>
      </c>
      <c r="H2615" t="inlineStr">
        <is>
          <t>DATETIME</t>
        </is>
      </c>
    </row>
    <row r="2616">
      <c r="A2616" t="inlineStr">
        <is>
          <t>风险缓释业务汇总</t>
        </is>
      </c>
      <c r="B2616" t="inlineStr">
        <is>
          <t>RISK_MITIGATION_BIZ</t>
        </is>
      </c>
      <c r="C2616" t="inlineStr">
        <is>
          <t>UPDATEUSERID</t>
        </is>
      </c>
      <c r="D2616" t="inlineStr">
        <is>
          <t>VARCHAR(32)</t>
        </is>
      </c>
      <c r="E2616" t="inlineStr">
        <is>
          <t>YES</t>
        </is>
      </c>
      <c r="F2616" t="inlineStr">
        <is>
          <t>更新人编号</t>
        </is>
      </c>
      <c r="H2616" t="inlineStr">
        <is>
          <t>VARCHAR</t>
        </is>
      </c>
      <c r="I2616" t="inlineStr">
        <is>
          <t>32</t>
        </is>
      </c>
    </row>
    <row r="2617">
      <c r="A2617" t="inlineStr">
        <is>
          <t>风险缓释业务汇总</t>
        </is>
      </c>
      <c r="B2617" t="inlineStr">
        <is>
          <t>RISK_MITIGATION_BIZ</t>
        </is>
      </c>
      <c r="C2617" t="inlineStr">
        <is>
          <t>UPDATEORGID</t>
        </is>
      </c>
      <c r="D2617" t="inlineStr">
        <is>
          <t>VARCHAR(32)</t>
        </is>
      </c>
      <c r="E2617" t="inlineStr">
        <is>
          <t>YES</t>
        </is>
      </c>
      <c r="F2617" t="inlineStr">
        <is>
          <t>更新机构</t>
        </is>
      </c>
      <c r="H2617" t="inlineStr">
        <is>
          <t>VARCHAR</t>
        </is>
      </c>
      <c r="I2617" t="inlineStr">
        <is>
          <t>32</t>
        </is>
      </c>
    </row>
    <row r="2618">
      <c r="A2618" t="inlineStr">
        <is>
          <t>风险缓释业务汇总</t>
        </is>
      </c>
      <c r="B2618" t="inlineStr">
        <is>
          <t>RISK_MITIGATION_BIZ</t>
        </is>
      </c>
      <c r="C2618" t="inlineStr">
        <is>
          <t>INPUTORGID</t>
        </is>
      </c>
      <c r="D2618" t="inlineStr">
        <is>
          <t>VARCHAR(32)</t>
        </is>
      </c>
      <c r="E2618" t="inlineStr">
        <is>
          <t>YES</t>
        </is>
      </c>
      <c r="F2618" t="inlineStr">
        <is>
          <t>登记机构编号</t>
        </is>
      </c>
      <c r="H2618" t="inlineStr">
        <is>
          <t>VARCHAR</t>
        </is>
      </c>
      <c r="I2618" t="inlineStr">
        <is>
          <t>32</t>
        </is>
      </c>
    </row>
    <row r="2619">
      <c r="A2619" t="inlineStr">
        <is>
          <t>风险缓释业务汇总</t>
        </is>
      </c>
      <c r="B2619" t="inlineStr">
        <is>
          <t>RISK_MITIGATION_BIZ</t>
        </is>
      </c>
      <c r="C2619" t="inlineStr">
        <is>
          <t>INPUTUSERID</t>
        </is>
      </c>
      <c r="D2619" t="inlineStr">
        <is>
          <t>VARCHAR(32)</t>
        </is>
      </c>
      <c r="E2619" t="inlineStr">
        <is>
          <t>YES</t>
        </is>
      </c>
      <c r="F2619" t="inlineStr">
        <is>
          <t>登记人编号</t>
        </is>
      </c>
      <c r="H2619" t="inlineStr">
        <is>
          <t>VARCHAR</t>
        </is>
      </c>
      <c r="I2619" t="inlineStr">
        <is>
          <t>32</t>
        </is>
      </c>
    </row>
    <row r="2620">
      <c r="A2620" t="inlineStr">
        <is>
          <t>风险缓释押品汇总</t>
        </is>
      </c>
      <c r="B2620" t="inlineStr">
        <is>
          <t>RISK_MITIGATION_CLR</t>
        </is>
      </c>
      <c r="C2620" t="inlineStr">
        <is>
          <t>CLRID</t>
        </is>
      </c>
      <c r="D2620" t="inlineStr">
        <is>
          <t>VARCHAR（40）</t>
        </is>
      </c>
      <c r="E2620" t="inlineStr">
        <is>
          <t>YES</t>
        </is>
      </c>
      <c r="F2620" t="inlineStr">
        <is>
          <t>押品编号</t>
        </is>
      </c>
      <c r="H2620" t="inlineStr">
        <is>
          <t>VARCHAR</t>
        </is>
      </c>
      <c r="I2620" t="inlineStr">
        <is>
          <t>40</t>
        </is>
      </c>
    </row>
    <row r="2621">
      <c r="A2621" t="inlineStr">
        <is>
          <t>风险缓释押品汇总</t>
        </is>
      </c>
      <c r="B2621" t="inlineStr">
        <is>
          <t>RISK_MITIGATION_CLR</t>
        </is>
      </c>
      <c r="C2621" t="inlineStr">
        <is>
          <t>CLRTYPEID</t>
        </is>
      </c>
      <c r="D2621" t="inlineStr">
        <is>
          <t>VARCHAR（10）</t>
        </is>
      </c>
      <c r="E2621" t="inlineStr">
        <is>
          <t>YES</t>
        </is>
      </c>
      <c r="F2621" t="inlineStr">
        <is>
          <t>押品类型</t>
        </is>
      </c>
      <c r="H2621" t="inlineStr">
        <is>
          <t>VARCHAR</t>
        </is>
      </c>
      <c r="I2621" t="inlineStr">
        <is>
          <t>10</t>
        </is>
      </c>
    </row>
    <row r="2622">
      <c r="A2622" t="inlineStr">
        <is>
          <t>风险缓释押品汇总</t>
        </is>
      </c>
      <c r="B2622" t="inlineStr">
        <is>
          <t>RISK_MITIGATION_CLR</t>
        </is>
      </c>
      <c r="C2622" t="inlineStr">
        <is>
          <t>CLROWNERID</t>
        </is>
      </c>
      <c r="D2622" t="inlineStr">
        <is>
          <t>VARCHAR（40）</t>
        </is>
      </c>
      <c r="E2622" t="inlineStr">
        <is>
          <t>YES</t>
        </is>
      </c>
      <c r="F2622" t="inlineStr">
        <is>
          <t>抵质押人编号</t>
        </is>
      </c>
      <c r="H2622" t="inlineStr">
        <is>
          <t>VARCHAR</t>
        </is>
      </c>
      <c r="I2622" t="inlineStr">
        <is>
          <t>40</t>
        </is>
      </c>
    </row>
    <row r="2623">
      <c r="A2623" t="inlineStr">
        <is>
          <t>风险缓释押品汇总</t>
        </is>
      </c>
      <c r="B2623" t="inlineStr">
        <is>
          <t>RISK_MITIGATION_CLR</t>
        </is>
      </c>
      <c r="C2623" t="inlineStr">
        <is>
          <t>CLROWNERNAME</t>
        </is>
      </c>
      <c r="D2623" t="inlineStr">
        <is>
          <t>VARCHAR（80）</t>
        </is>
      </c>
      <c r="E2623" t="inlineStr">
        <is>
          <t>YES</t>
        </is>
      </c>
      <c r="F2623" t="inlineStr">
        <is>
          <t>抵质押人名称</t>
        </is>
      </c>
      <c r="H2623" t="inlineStr">
        <is>
          <t>VARCHAR</t>
        </is>
      </c>
      <c r="I2623" t="inlineStr">
        <is>
          <t>80</t>
        </is>
      </c>
    </row>
    <row r="2624">
      <c r="A2624" t="inlineStr">
        <is>
          <t>风险缓释押品汇总</t>
        </is>
      </c>
      <c r="B2624" t="inlineStr">
        <is>
          <t>RISK_MITIGATION_CLR</t>
        </is>
      </c>
      <c r="C2624" t="inlineStr">
        <is>
          <t>CURREVALCCY</t>
        </is>
      </c>
      <c r="D2624" t="inlineStr">
        <is>
          <t>VARCHAR（10）</t>
        </is>
      </c>
      <c r="E2624" t="inlineStr">
        <is>
          <t>YES</t>
        </is>
      </c>
      <c r="F2624" t="inlineStr">
        <is>
          <t>最新认定价值币种</t>
        </is>
      </c>
      <c r="H2624" t="inlineStr">
        <is>
          <t>VARCHAR</t>
        </is>
      </c>
      <c r="I2624" t="inlineStr">
        <is>
          <t>10</t>
        </is>
      </c>
    </row>
    <row r="2625">
      <c r="A2625" t="inlineStr">
        <is>
          <t>风险缓释押品汇总</t>
        </is>
      </c>
      <c r="B2625" t="inlineStr">
        <is>
          <t>RISK_MITIGATION_CLR</t>
        </is>
      </c>
      <c r="C2625" t="inlineStr">
        <is>
          <t>CURREVALVALUE</t>
        </is>
      </c>
      <c r="D2625" t="inlineStr">
        <is>
          <t>DECIMAL(24,6)</t>
        </is>
      </c>
      <c r="E2625" t="inlineStr">
        <is>
          <t>YES</t>
        </is>
      </c>
      <c r="F2625" t="inlineStr">
        <is>
          <t>最新认定价值</t>
        </is>
      </c>
      <c r="H2625" t="inlineStr">
        <is>
          <t>DECIMAL</t>
        </is>
      </c>
      <c r="I2625" t="inlineStr">
        <is>
          <t>24,6</t>
        </is>
      </c>
    </row>
    <row r="2626">
      <c r="A2626" t="inlineStr">
        <is>
          <t>风险缓释押品汇总</t>
        </is>
      </c>
      <c r="B2626" t="inlineStr">
        <is>
          <t>RISK_MITIGATION_CLR</t>
        </is>
      </c>
      <c r="C2626" t="inlineStr">
        <is>
          <t>ASSIGNEDGNTVALUE</t>
        </is>
      </c>
      <c r="D2626" t="inlineStr">
        <is>
          <t>DECIMAL(24,6)</t>
        </is>
      </c>
      <c r="E2626" t="inlineStr">
        <is>
          <t>YES</t>
        </is>
      </c>
      <c r="F2626" t="inlineStr">
        <is>
          <t>参与缓释分配的价值</t>
        </is>
      </c>
      <c r="H2626" t="inlineStr">
        <is>
          <t>DECIMAL</t>
        </is>
      </c>
      <c r="I2626" t="inlineStr">
        <is>
          <t>24,6</t>
        </is>
      </c>
    </row>
    <row r="2627">
      <c r="A2627" t="inlineStr">
        <is>
          <t>风险缓释押品汇总</t>
        </is>
      </c>
      <c r="B2627" t="inlineStr">
        <is>
          <t>RISK_MITIGATION_CLR</t>
        </is>
      </c>
      <c r="C2627" t="inlineStr">
        <is>
          <t>CURREVALDATE</t>
        </is>
      </c>
      <c r="D2627" t="inlineStr">
        <is>
          <t>DATETIME</t>
        </is>
      </c>
      <c r="E2627" t="inlineStr">
        <is>
          <t>YES</t>
        </is>
      </c>
      <c r="F2627" t="inlineStr">
        <is>
          <t>最新价值认定日期</t>
        </is>
      </c>
      <c r="H2627" t="inlineStr">
        <is>
          <t>DATETIME</t>
        </is>
      </c>
    </row>
    <row r="2628">
      <c r="A2628" t="inlineStr">
        <is>
          <t>风险缓释押品汇总</t>
        </is>
      </c>
      <c r="B2628" t="inlineStr">
        <is>
          <t>RISK_MITIGATION_CLR</t>
        </is>
      </c>
      <c r="C2628" t="inlineStr">
        <is>
          <t>ASSIGNEDBALANCE</t>
        </is>
      </c>
      <c r="D2628" t="inlineStr">
        <is>
          <t>DECIMAL(24,6)</t>
        </is>
      </c>
      <c r="E2628" t="inlineStr">
        <is>
          <t>YES</t>
        </is>
      </c>
      <c r="F2628" t="inlineStr">
        <is>
          <t>分配给押品的业务金额</t>
        </is>
      </c>
      <c r="H2628" t="inlineStr">
        <is>
          <t>DECIMAL</t>
        </is>
      </c>
      <c r="I2628" t="inlineStr">
        <is>
          <t>24,6</t>
        </is>
      </c>
    </row>
    <row r="2629">
      <c r="A2629" t="inlineStr">
        <is>
          <t>风险缓释押品汇总</t>
        </is>
      </c>
      <c r="B2629" t="inlineStr">
        <is>
          <t>RISK_MITIGATION_CLR</t>
        </is>
      </c>
      <c r="C2629" t="inlineStr">
        <is>
          <t>COLLATERALRATIO</t>
        </is>
      </c>
      <c r="D2629" t="inlineStr">
        <is>
          <t>VARCHAR（10）</t>
        </is>
      </c>
      <c r="E2629" t="inlineStr">
        <is>
          <t>YES</t>
        </is>
      </c>
      <c r="F2629" t="inlineStr">
        <is>
          <t>价值分配率（%）</t>
        </is>
      </c>
      <c r="H2629" t="inlineStr">
        <is>
          <t>VARCHAR</t>
        </is>
      </c>
      <c r="I2629" t="inlineStr">
        <is>
          <t>10</t>
        </is>
      </c>
    </row>
    <row r="2630">
      <c r="A2630" t="inlineStr">
        <is>
          <t>风险缓释押品汇总</t>
        </is>
      </c>
      <c r="B2630" t="inlineStr">
        <is>
          <t>RISK_MITIGATION_CLR</t>
        </is>
      </c>
      <c r="C2630" t="inlineStr">
        <is>
          <t>MAXLTV</t>
        </is>
      </c>
      <c r="D2630" t="inlineStr">
        <is>
          <t>VARCHAR（10）</t>
        </is>
      </c>
      <c r="E2630" t="inlineStr">
        <is>
          <t>YES</t>
        </is>
      </c>
      <c r="F2630" t="inlineStr">
        <is>
          <t>最高/审批抵质押率（%）</t>
        </is>
      </c>
      <c r="H2630" t="inlineStr">
        <is>
          <t>VARCHAR</t>
        </is>
      </c>
      <c r="I2630" t="inlineStr">
        <is>
          <t>10</t>
        </is>
      </c>
    </row>
    <row r="2631">
      <c r="A2631" t="inlineStr">
        <is>
          <t>风险缓释押品汇总</t>
        </is>
      </c>
      <c r="B2631" t="inlineStr">
        <is>
          <t>RISK_MITIGATION_CLR</t>
        </is>
      </c>
      <c r="C2631" t="inlineStr">
        <is>
          <t>MORTGAGESTATUS</t>
        </is>
      </c>
      <c r="D2631" t="inlineStr">
        <is>
          <t>VARCHAR（10）</t>
        </is>
      </c>
      <c r="E2631" t="inlineStr">
        <is>
          <t>YES</t>
        </is>
      </c>
      <c r="F2631" t="inlineStr">
        <is>
          <t>押品抵质押状态</t>
        </is>
      </c>
      <c r="H2631" t="inlineStr">
        <is>
          <t>VARCHAR</t>
        </is>
      </c>
      <c r="I2631" t="inlineStr">
        <is>
          <t>10</t>
        </is>
      </c>
    </row>
    <row r="2632">
      <c r="A2632" t="inlineStr">
        <is>
          <t>风险缓释押品汇总</t>
        </is>
      </c>
      <c r="B2632" t="inlineStr">
        <is>
          <t>RISK_MITIGATION_CLR</t>
        </is>
      </c>
      <c r="C2632" t="inlineStr">
        <is>
          <t>MITIGATIONMONTH</t>
        </is>
      </c>
      <c r="D2632" t="inlineStr">
        <is>
          <t>DATETIME</t>
        </is>
      </c>
      <c r="E2632" t="inlineStr">
        <is>
          <t>YES</t>
        </is>
      </c>
      <c r="F2632" t="inlineStr">
        <is>
          <t>价值分配时间</t>
        </is>
      </c>
      <c r="H2632" t="inlineStr">
        <is>
          <t>DATETIME</t>
        </is>
      </c>
    </row>
    <row r="2633">
      <c r="A2633" t="inlineStr">
        <is>
          <t>风险缓释押品汇总</t>
        </is>
      </c>
      <c r="B2633" t="inlineStr">
        <is>
          <t>RISK_MITIGATION_CLR</t>
        </is>
      </c>
      <c r="C2633" t="inlineStr">
        <is>
          <t>INPUTORG</t>
        </is>
      </c>
      <c r="D2633" t="inlineStr">
        <is>
          <t>VARCHAR(32)</t>
        </is>
      </c>
      <c r="E2633" t="inlineStr">
        <is>
          <t>YES</t>
        </is>
      </c>
      <c r="F2633" t="inlineStr">
        <is>
          <t>登记机构</t>
        </is>
      </c>
      <c r="H2633" t="inlineStr">
        <is>
          <t>VARCHAR</t>
        </is>
      </c>
      <c r="I2633" t="inlineStr">
        <is>
          <t>32</t>
        </is>
      </c>
    </row>
    <row r="2634">
      <c r="A2634" t="inlineStr">
        <is>
          <t>风险缓释押品汇总</t>
        </is>
      </c>
      <c r="B2634" t="inlineStr">
        <is>
          <t>RISK_MITIGATION_CLR</t>
        </is>
      </c>
      <c r="C2634" t="inlineStr">
        <is>
          <t>INPUTTIME</t>
        </is>
      </c>
      <c r="D2634" t="inlineStr">
        <is>
          <t>DATETIME</t>
        </is>
      </c>
      <c r="E2634" t="inlineStr">
        <is>
          <t>YES</t>
        </is>
      </c>
      <c r="F2634" t="inlineStr">
        <is>
          <t>登记时间</t>
        </is>
      </c>
      <c r="H2634" t="inlineStr">
        <is>
          <t>DATETIME</t>
        </is>
      </c>
    </row>
    <row r="2635">
      <c r="A2635" t="inlineStr">
        <is>
          <t>风险缓释押品汇总</t>
        </is>
      </c>
      <c r="B2635" t="inlineStr">
        <is>
          <t>RISK_MITIGATION_CLR</t>
        </is>
      </c>
      <c r="C2635" t="inlineStr">
        <is>
          <t>UPDATEUSER</t>
        </is>
      </c>
      <c r="D2635" t="inlineStr">
        <is>
          <t>VARCHAR(32)</t>
        </is>
      </c>
      <c r="E2635" t="inlineStr">
        <is>
          <t>YES</t>
        </is>
      </c>
      <c r="F2635" t="inlineStr">
        <is>
          <t>更新人</t>
        </is>
      </c>
      <c r="H2635" t="inlineStr">
        <is>
          <t>VARCHAR</t>
        </is>
      </c>
      <c r="I2635" t="inlineStr">
        <is>
          <t>32</t>
        </is>
      </c>
    </row>
    <row r="2636">
      <c r="A2636" t="inlineStr">
        <is>
          <t>风险缓释押品汇总</t>
        </is>
      </c>
      <c r="B2636" t="inlineStr">
        <is>
          <t>RISK_MITIGATION_CLR</t>
        </is>
      </c>
      <c r="C2636" t="inlineStr">
        <is>
          <t>UPDATETIME</t>
        </is>
      </c>
      <c r="D2636" t="inlineStr">
        <is>
          <t>DATETIME</t>
        </is>
      </c>
      <c r="E2636" t="inlineStr">
        <is>
          <t>YES</t>
        </is>
      </c>
      <c r="F2636" t="inlineStr">
        <is>
          <t>更新时间</t>
        </is>
      </c>
      <c r="H2636" t="inlineStr">
        <is>
          <t>DATETIME</t>
        </is>
      </c>
    </row>
    <row r="2637">
      <c r="A2637" t="inlineStr">
        <is>
          <t>风险缓释押品汇总</t>
        </is>
      </c>
      <c r="B2637" t="inlineStr">
        <is>
          <t>RISK_MITIGATION_CLR</t>
        </is>
      </c>
      <c r="C2637" t="inlineStr">
        <is>
          <t>UPDATEUSERID</t>
        </is>
      </c>
      <c r="D2637" t="inlineStr">
        <is>
          <t>VARCHAR(32)</t>
        </is>
      </c>
      <c r="E2637" t="inlineStr">
        <is>
          <t>YES</t>
        </is>
      </c>
      <c r="F2637" t="inlineStr">
        <is>
          <t>更新人编号</t>
        </is>
      </c>
      <c r="H2637" t="inlineStr">
        <is>
          <t>VARCHAR</t>
        </is>
      </c>
      <c r="I2637" t="inlineStr">
        <is>
          <t>32</t>
        </is>
      </c>
    </row>
    <row r="2638">
      <c r="A2638" t="inlineStr">
        <is>
          <t>风险缓释押品汇总</t>
        </is>
      </c>
      <c r="B2638" t="inlineStr">
        <is>
          <t>RISK_MITIGATION_CLR</t>
        </is>
      </c>
      <c r="C2638" t="inlineStr">
        <is>
          <t>UPDATEORGID</t>
        </is>
      </c>
      <c r="D2638" t="inlineStr">
        <is>
          <t>VARCHAR(32)</t>
        </is>
      </c>
      <c r="E2638" t="inlineStr">
        <is>
          <t>YES</t>
        </is>
      </c>
      <c r="F2638" t="inlineStr">
        <is>
          <t>更新机构</t>
        </is>
      </c>
      <c r="H2638" t="inlineStr">
        <is>
          <t>VARCHAR</t>
        </is>
      </c>
      <c r="I2638" t="inlineStr">
        <is>
          <t>32</t>
        </is>
      </c>
    </row>
    <row r="2639">
      <c r="A2639" t="inlineStr">
        <is>
          <t>风险缓释押品汇总</t>
        </is>
      </c>
      <c r="B2639" t="inlineStr">
        <is>
          <t>RISK_MITIGATION_CLR</t>
        </is>
      </c>
      <c r="C2639" t="inlineStr">
        <is>
          <t>INPUTORGID</t>
        </is>
      </c>
      <c r="D2639" t="inlineStr">
        <is>
          <t>VARCHAR(32)</t>
        </is>
      </c>
      <c r="E2639" t="inlineStr">
        <is>
          <t>YES</t>
        </is>
      </c>
      <c r="F2639" t="inlineStr">
        <is>
          <t>登记机构编号</t>
        </is>
      </c>
      <c r="H2639" t="inlineStr">
        <is>
          <t>VARCHAR</t>
        </is>
      </c>
      <c r="I2639" t="inlineStr">
        <is>
          <t>32</t>
        </is>
      </c>
    </row>
    <row r="2640">
      <c r="A2640" t="inlineStr">
        <is>
          <t>风险缓释押品汇总</t>
        </is>
      </c>
      <c r="B2640" t="inlineStr">
        <is>
          <t>RISK_MITIGATION_CLR</t>
        </is>
      </c>
      <c r="C2640" t="inlineStr">
        <is>
          <t>INPUTUSERID</t>
        </is>
      </c>
      <c r="D2640" t="inlineStr">
        <is>
          <t>VARCHAR(32)</t>
        </is>
      </c>
      <c r="E2640" t="inlineStr">
        <is>
          <t>YES</t>
        </is>
      </c>
      <c r="F2640" t="inlineStr">
        <is>
          <t>登记人编号</t>
        </is>
      </c>
      <c r="H2640" t="inlineStr">
        <is>
          <t>VARCHAR</t>
        </is>
      </c>
      <c r="I2640" t="inlineStr">
        <is>
          <t>32</t>
        </is>
      </c>
    </row>
    <row r="2641">
      <c r="A2641" t="inlineStr">
        <is>
          <t>支付系统—行名行号表</t>
        </is>
      </c>
      <c r="B2641" t="inlineStr">
        <is>
          <t>CCMS_PARTYINF</t>
        </is>
      </c>
      <c r="C2641" t="inlineStr">
        <is>
          <t>PRCPTCD</t>
        </is>
      </c>
      <c r="D2641" t="inlineStr">
        <is>
          <t>VARCHAR(14)</t>
        </is>
      </c>
      <c r="E2641" t="inlineStr">
        <is>
          <t>NO</t>
        </is>
      </c>
      <c r="F2641" t="inlineStr">
        <is>
          <t>参与机构行号</t>
        </is>
      </c>
      <c r="H2641" t="inlineStr">
        <is>
          <t>VARCHAR</t>
        </is>
      </c>
      <c r="I2641" t="inlineStr">
        <is>
          <t>14</t>
        </is>
      </c>
    </row>
    <row r="2642">
      <c r="A2642" t="inlineStr">
        <is>
          <t>支付系统—行名行号表</t>
        </is>
      </c>
      <c r="B2642" t="inlineStr">
        <is>
          <t>CCMS_PARTYINF</t>
        </is>
      </c>
      <c r="C2642" t="inlineStr">
        <is>
          <t>PRCPTTP</t>
        </is>
      </c>
      <c r="D2642" t="inlineStr">
        <is>
          <t>VARCHAR(2)</t>
        </is>
      </c>
      <c r="E2642" t="inlineStr">
        <is>
          <t>YES</t>
        </is>
      </c>
      <c r="F2642" t="inlineStr">
        <is>
          <t>参与机构类别</t>
        </is>
      </c>
      <c r="H2642" t="inlineStr">
        <is>
          <t>VARCHAR</t>
        </is>
      </c>
      <c r="I2642" t="inlineStr">
        <is>
          <t>2</t>
        </is>
      </c>
    </row>
    <row r="2643">
      <c r="A2643" t="inlineStr">
        <is>
          <t>支付系统—行名行号表</t>
        </is>
      </c>
      <c r="B2643" t="inlineStr">
        <is>
          <t>CCMS_PARTYINF</t>
        </is>
      </c>
      <c r="C2643" t="inlineStr">
        <is>
          <t>BKCTGRYCD</t>
        </is>
      </c>
      <c r="D2643" t="inlineStr">
        <is>
          <t>VARCHAR(3)</t>
        </is>
      </c>
      <c r="E2643" t="inlineStr">
        <is>
          <t>YES</t>
        </is>
      </c>
      <c r="F2643" t="inlineStr">
        <is>
          <t>行别代码</t>
        </is>
      </c>
      <c r="H2643" t="inlineStr">
        <is>
          <t>VARCHAR</t>
        </is>
      </c>
      <c r="I2643" t="inlineStr">
        <is>
          <t>3</t>
        </is>
      </c>
    </row>
    <row r="2644">
      <c r="A2644" t="inlineStr">
        <is>
          <t>支付系统—行名行号表</t>
        </is>
      </c>
      <c r="B2644" t="inlineStr">
        <is>
          <t>CCMS_PARTYINF</t>
        </is>
      </c>
      <c r="C2644" t="inlineStr">
        <is>
          <t>SUBDRTBKCD</t>
        </is>
      </c>
      <c r="D2644" t="inlineStr">
        <is>
          <t>VARCHAR(14)</t>
        </is>
      </c>
      <c r="E2644" t="inlineStr">
        <is>
          <t>YES</t>
        </is>
      </c>
      <c r="F2644" t="inlineStr">
        <is>
          <t>所属清算行行号</t>
        </is>
      </c>
      <c r="H2644" t="inlineStr">
        <is>
          <t>VARCHAR</t>
        </is>
      </c>
      <c r="I2644" t="inlineStr">
        <is>
          <t>14</t>
        </is>
      </c>
    </row>
    <row r="2645">
      <c r="A2645" t="inlineStr">
        <is>
          <t>支付系统—行名行号表</t>
        </is>
      </c>
      <c r="B2645" t="inlineStr">
        <is>
          <t>CCMS_PARTYINF</t>
        </is>
      </c>
      <c r="C2645" t="inlineStr">
        <is>
          <t>SUBLGLPRSN</t>
        </is>
      </c>
      <c r="D2645" t="inlineStr">
        <is>
          <t>VARCHAR(35)</t>
        </is>
      </c>
      <c r="E2645" t="inlineStr">
        <is>
          <t>YES</t>
        </is>
      </c>
      <c r="F2645" t="inlineStr">
        <is>
          <t>所属法人</t>
        </is>
      </c>
      <c r="H2645" t="inlineStr">
        <is>
          <t>VARCHAR</t>
        </is>
      </c>
      <c r="I2645" t="inlineStr">
        <is>
          <t>35</t>
        </is>
      </c>
    </row>
    <row r="2646">
      <c r="A2646" t="inlineStr">
        <is>
          <t>支付系统—行名行号表</t>
        </is>
      </c>
      <c r="B2646" t="inlineStr">
        <is>
          <t>CCMS_PARTYINF</t>
        </is>
      </c>
      <c r="C2646" t="inlineStr">
        <is>
          <t>HGRPTCPT</t>
        </is>
      </c>
      <c r="D2646" t="inlineStr">
        <is>
          <t>VARCHAR(70)</t>
        </is>
      </c>
      <c r="E2646" t="inlineStr">
        <is>
          <t>YES</t>
        </is>
      </c>
      <c r="F2646" t="inlineStr">
        <is>
          <t>本行上级参与机构</t>
        </is>
      </c>
      <c r="H2646" t="inlineStr">
        <is>
          <t>VARCHAR</t>
        </is>
      </c>
      <c r="I2646" t="inlineStr">
        <is>
          <t>70</t>
        </is>
      </c>
    </row>
    <row r="2647">
      <c r="A2647" t="inlineStr">
        <is>
          <t>支付系统—行名行号表</t>
        </is>
      </c>
      <c r="B2647" t="inlineStr">
        <is>
          <t>CCMS_PARTYINF</t>
        </is>
      </c>
      <c r="C2647" t="inlineStr">
        <is>
          <t>BARBKCD</t>
        </is>
      </c>
      <c r="D2647" t="inlineStr">
        <is>
          <t>VARCHAR(14)</t>
        </is>
      </c>
      <c r="E2647" t="inlineStr">
        <is>
          <t>YES</t>
        </is>
      </c>
      <c r="F2647" t="inlineStr">
        <is>
          <t>承接行行号</t>
        </is>
      </c>
      <c r="H2647" t="inlineStr">
        <is>
          <t>VARCHAR</t>
        </is>
      </c>
      <c r="I2647" t="inlineStr">
        <is>
          <t>14</t>
        </is>
      </c>
    </row>
    <row r="2648">
      <c r="A2648" t="inlineStr">
        <is>
          <t>支付系统—行名行号表</t>
        </is>
      </c>
      <c r="B2648" t="inlineStr">
        <is>
          <t>CCMS_PARTYINF</t>
        </is>
      </c>
      <c r="C2648" t="inlineStr">
        <is>
          <t>CHRGBKCD</t>
        </is>
      </c>
      <c r="D2648" t="inlineStr">
        <is>
          <t>VARCHAR(14)</t>
        </is>
      </c>
      <c r="E2648" t="inlineStr">
        <is>
          <t>YES</t>
        </is>
      </c>
      <c r="F2648" t="inlineStr">
        <is>
          <t>管辖人行行号</t>
        </is>
      </c>
      <c r="H2648" t="inlineStr">
        <is>
          <t>VARCHAR</t>
        </is>
      </c>
      <c r="I2648" t="inlineStr">
        <is>
          <t>14</t>
        </is>
      </c>
    </row>
    <row r="2649">
      <c r="A2649" t="inlineStr">
        <is>
          <t>支付系统—行名行号表</t>
        </is>
      </c>
      <c r="B2649" t="inlineStr">
        <is>
          <t>CCMS_PARTYINF</t>
        </is>
      </c>
      <c r="C2649" t="inlineStr">
        <is>
          <t>SUBCCPCCD</t>
        </is>
      </c>
      <c r="D2649" t="inlineStr">
        <is>
          <t>VARCHAR(4)</t>
        </is>
      </c>
      <c r="E2649" t="inlineStr">
        <is>
          <t>YES</t>
        </is>
      </c>
      <c r="F2649" t="inlineStr">
        <is>
          <t>所属CCPC</t>
        </is>
      </c>
      <c r="H2649" t="inlineStr">
        <is>
          <t>VARCHAR</t>
        </is>
      </c>
      <c r="I2649" t="inlineStr">
        <is>
          <t>4</t>
        </is>
      </c>
    </row>
    <row r="2650">
      <c r="A2650" t="inlineStr">
        <is>
          <t>支付系统—行名行号表</t>
        </is>
      </c>
      <c r="B2650" t="inlineStr">
        <is>
          <t>CCMS_PARTYINF</t>
        </is>
      </c>
      <c r="C2650" t="inlineStr">
        <is>
          <t>CITYCD</t>
        </is>
      </c>
      <c r="D2650" t="inlineStr">
        <is>
          <t>VARCHAR(6)</t>
        </is>
      </c>
      <c r="E2650" t="inlineStr">
        <is>
          <t>YES</t>
        </is>
      </c>
      <c r="F2650" t="inlineStr">
        <is>
          <t>所在城市代码</t>
        </is>
      </c>
      <c r="H2650" t="inlineStr">
        <is>
          <t>VARCHAR</t>
        </is>
      </c>
      <c r="I2650" t="inlineStr">
        <is>
          <t>6</t>
        </is>
      </c>
    </row>
    <row r="2651">
      <c r="A2651" t="inlineStr">
        <is>
          <t>支付系统—行名行号表</t>
        </is>
      </c>
      <c r="B2651" t="inlineStr">
        <is>
          <t>CCMS_PARTYINF</t>
        </is>
      </c>
      <c r="C2651" t="inlineStr">
        <is>
          <t>PTCPTNM</t>
        </is>
      </c>
      <c r="D2651" t="inlineStr">
        <is>
          <t>VARCHAR(120)</t>
        </is>
      </c>
      <c r="E2651" t="inlineStr">
        <is>
          <t>YES</t>
        </is>
      </c>
      <c r="F2651" t="inlineStr">
        <is>
          <t>参与机构全称</t>
        </is>
      </c>
      <c r="H2651" t="inlineStr">
        <is>
          <t>VARCHAR</t>
        </is>
      </c>
      <c r="I2651" t="inlineStr">
        <is>
          <t>120</t>
        </is>
      </c>
    </row>
    <row r="2652">
      <c r="A2652" t="inlineStr">
        <is>
          <t>支付系统—行名行号表</t>
        </is>
      </c>
      <c r="B2652" t="inlineStr">
        <is>
          <t>CCMS_PARTYINF</t>
        </is>
      </c>
      <c r="C2652" t="inlineStr">
        <is>
          <t>PTCPTSHRTNM</t>
        </is>
      </c>
      <c r="D2652" t="inlineStr">
        <is>
          <t>VARCHAR(70)</t>
        </is>
      </c>
      <c r="E2652" t="inlineStr">
        <is>
          <t>YES</t>
        </is>
      </c>
      <c r="F2652" t="inlineStr">
        <is>
          <t>参与机构简称</t>
        </is>
      </c>
      <c r="H2652" t="inlineStr">
        <is>
          <t>VARCHAR</t>
        </is>
      </c>
      <c r="I2652" t="inlineStr">
        <is>
          <t>70</t>
        </is>
      </c>
    </row>
    <row r="2653">
      <c r="A2653" t="inlineStr">
        <is>
          <t>支付系统—行名行号表</t>
        </is>
      </c>
      <c r="B2653" t="inlineStr">
        <is>
          <t>CCMS_PARTYINF</t>
        </is>
      </c>
      <c r="C2653" t="inlineStr">
        <is>
          <t>JNTXSYSSGN</t>
        </is>
      </c>
      <c r="D2653" t="inlineStr">
        <is>
          <t>VARCHAR(10)</t>
        </is>
      </c>
      <c r="E2653" t="inlineStr">
        <is>
          <t>YES</t>
        </is>
      </c>
      <c r="F2653" t="inlineStr">
        <is>
          <t>加入业务系统标识</t>
        </is>
      </c>
      <c r="H2653" t="inlineStr">
        <is>
          <t>VARCHAR</t>
        </is>
      </c>
      <c r="I2653" t="inlineStr">
        <is>
          <t>10</t>
        </is>
      </c>
    </row>
    <row r="2654">
      <c r="A2654" t="inlineStr">
        <is>
          <t>支付系统—行名行号表</t>
        </is>
      </c>
      <c r="B2654" t="inlineStr">
        <is>
          <t>CCMS_PARTYINF</t>
        </is>
      </c>
      <c r="C2654" t="inlineStr">
        <is>
          <t>ADR</t>
        </is>
      </c>
      <c r="D2654" t="inlineStr">
        <is>
          <t>VARCHAR(512)</t>
        </is>
      </c>
      <c r="E2654" t="inlineStr">
        <is>
          <t>YES</t>
        </is>
      </c>
      <c r="F2654" t="inlineStr">
        <is>
          <t>地址</t>
        </is>
      </c>
      <c r="H2654" t="inlineStr">
        <is>
          <t>VARCHAR</t>
        </is>
      </c>
      <c r="I2654" t="inlineStr">
        <is>
          <t>512</t>
        </is>
      </c>
    </row>
    <row r="2655">
      <c r="A2655" t="inlineStr">
        <is>
          <t>支付系统—行名行号表</t>
        </is>
      </c>
      <c r="B2655" t="inlineStr">
        <is>
          <t>CCMS_PARTYINF</t>
        </is>
      </c>
      <c r="C2655" t="inlineStr">
        <is>
          <t>PSTCD</t>
        </is>
      </c>
      <c r="D2655" t="inlineStr">
        <is>
          <t>VARCHAR(6)</t>
        </is>
      </c>
      <c r="E2655" t="inlineStr">
        <is>
          <t>YES</t>
        </is>
      </c>
      <c r="F2655" t="inlineStr">
        <is>
          <t>邮编</t>
        </is>
      </c>
      <c r="H2655" t="inlineStr">
        <is>
          <t>VARCHAR</t>
        </is>
      </c>
      <c r="I2655" t="inlineStr">
        <is>
          <t>6</t>
        </is>
      </c>
    </row>
    <row r="2656">
      <c r="A2656" t="inlineStr">
        <is>
          <t>支付系统—行名行号表</t>
        </is>
      </c>
      <c r="B2656" t="inlineStr">
        <is>
          <t>CCMS_PARTYINF</t>
        </is>
      </c>
      <c r="C2656" t="inlineStr">
        <is>
          <t>TEL</t>
        </is>
      </c>
      <c r="D2656" t="inlineStr">
        <is>
          <t>VARCHAR(32)</t>
        </is>
      </c>
      <c r="E2656" t="inlineStr">
        <is>
          <t>YES</t>
        </is>
      </c>
      <c r="F2656" t="inlineStr">
        <is>
          <t>电话/电挂</t>
        </is>
      </c>
      <c r="H2656" t="inlineStr">
        <is>
          <t>VARCHAR</t>
        </is>
      </c>
      <c r="I2656" t="inlineStr">
        <is>
          <t>32</t>
        </is>
      </c>
    </row>
    <row r="2657">
      <c r="A2657" t="inlineStr">
        <is>
          <t>支付系统—行名行号表</t>
        </is>
      </c>
      <c r="B2657" t="inlineStr">
        <is>
          <t>CCMS_PARTYINF</t>
        </is>
      </c>
      <c r="C2657" t="inlineStr">
        <is>
          <t>EMAIL</t>
        </is>
      </c>
      <c r="D2657" t="inlineStr">
        <is>
          <t>VARCHAR(120)</t>
        </is>
      </c>
      <c r="E2657" t="inlineStr">
        <is>
          <t>YES</t>
        </is>
      </c>
      <c r="F2657" t="inlineStr">
        <is>
          <t>电子邮件地址</t>
        </is>
      </c>
      <c r="H2657" t="inlineStr">
        <is>
          <t>VARCHAR</t>
        </is>
      </c>
      <c r="I2657" t="inlineStr">
        <is>
          <t>120</t>
        </is>
      </c>
    </row>
    <row r="2658">
      <c r="A2658" t="inlineStr">
        <is>
          <t>支付系统—行名行号表</t>
        </is>
      </c>
      <c r="B2658" t="inlineStr">
        <is>
          <t>CCMS_PARTYINF</t>
        </is>
      </c>
      <c r="C2658" t="inlineStr">
        <is>
          <t>EXPDATE</t>
        </is>
      </c>
      <c r="D2658" t="inlineStr">
        <is>
          <t>VARCHAR(8)</t>
        </is>
      </c>
      <c r="E2658" t="inlineStr">
        <is>
          <t>YES</t>
        </is>
      </c>
      <c r="F2658" t="inlineStr">
        <is>
          <t>注销日期</t>
        </is>
      </c>
      <c r="H2658" t="inlineStr">
        <is>
          <t>VARCHAR</t>
        </is>
      </c>
      <c r="I2658" t="inlineStr">
        <is>
          <t>8</t>
        </is>
      </c>
    </row>
    <row r="2659">
      <c r="A2659" t="inlineStr">
        <is>
          <t>支付系统—行名行号表</t>
        </is>
      </c>
      <c r="B2659" t="inlineStr">
        <is>
          <t>CCMS_PARTYINF</t>
        </is>
      </c>
      <c r="C2659" t="inlineStr">
        <is>
          <t>RMKINF</t>
        </is>
      </c>
      <c r="D2659" t="inlineStr">
        <is>
          <t>VARCHAR(210)</t>
        </is>
      </c>
      <c r="E2659" t="inlineStr">
        <is>
          <t>YES</t>
        </is>
      </c>
      <c r="F2659" t="inlineStr">
        <is>
          <t>备注</t>
        </is>
      </c>
      <c r="H2659" t="inlineStr">
        <is>
          <t>VARCHAR</t>
        </is>
      </c>
      <c r="I2659" t="inlineStr">
        <is>
          <t>210</t>
        </is>
      </c>
    </row>
    <row r="2660">
      <c r="A2660" t="inlineStr">
        <is>
          <t>支付系统—行名行号表</t>
        </is>
      </c>
      <c r="B2660" t="inlineStr">
        <is>
          <t>CCMS_PARTYINF</t>
        </is>
      </c>
      <c r="C2660" t="inlineStr">
        <is>
          <t>UPDDT</t>
        </is>
      </c>
      <c r="D2660" t="inlineStr">
        <is>
          <t>VARCHAR(8)</t>
        </is>
      </c>
      <c r="E2660" t="inlineStr">
        <is>
          <t>YES</t>
        </is>
      </c>
      <c r="F2660" t="inlineStr">
        <is>
          <t>更新日期</t>
        </is>
      </c>
      <c r="H2660" t="inlineStr">
        <is>
          <t>VARCHAR</t>
        </is>
      </c>
      <c r="I2660" t="inlineStr">
        <is>
          <t>8</t>
        </is>
      </c>
    </row>
    <row r="2661">
      <c r="A2661" t="inlineStr">
        <is>
          <t>支付系统—行名行号表</t>
        </is>
      </c>
      <c r="B2661" t="inlineStr">
        <is>
          <t>CCMS_PARTYINF</t>
        </is>
      </c>
      <c r="C2661" t="inlineStr">
        <is>
          <t>UPDTM</t>
        </is>
      </c>
      <c r="D2661" t="inlineStr">
        <is>
          <t>VARCHAR(8)</t>
        </is>
      </c>
      <c r="E2661" t="inlineStr">
        <is>
          <t>YES</t>
        </is>
      </c>
      <c r="F2661" t="inlineStr">
        <is>
          <t>更新时间</t>
        </is>
      </c>
      <c r="H2661" t="inlineStr">
        <is>
          <t>VARCHAR</t>
        </is>
      </c>
      <c r="I2661" t="inlineStr">
        <is>
          <t>8</t>
        </is>
      </c>
    </row>
    <row r="2662">
      <c r="A2662" t="inlineStr">
        <is>
          <t>支付系统—行名行号表</t>
        </is>
      </c>
      <c r="B2662" t="inlineStr">
        <is>
          <t>CCMS_PARTYINF</t>
        </is>
      </c>
      <c r="C2662" t="inlineStr">
        <is>
          <t>MKINFO1</t>
        </is>
      </c>
      <c r="D2662" t="inlineStr">
        <is>
          <t>VARCHAR(4)</t>
        </is>
      </c>
      <c r="E2662" t="inlineStr">
        <is>
          <t>YES</t>
        </is>
      </c>
      <c r="F2662" t="inlineStr">
        <is>
          <t>备用字段1</t>
        </is>
      </c>
      <c r="H2662" t="inlineStr">
        <is>
          <t>VARCHAR</t>
        </is>
      </c>
      <c r="I2662" t="inlineStr">
        <is>
          <t>4</t>
        </is>
      </c>
    </row>
    <row r="2663">
      <c r="A2663" t="inlineStr">
        <is>
          <t>支付系统—行名行号表</t>
        </is>
      </c>
      <c r="B2663" t="inlineStr">
        <is>
          <t>CCMS_PARTYINF</t>
        </is>
      </c>
      <c r="C2663" t="inlineStr">
        <is>
          <t>MKINFO2</t>
        </is>
      </c>
      <c r="D2663" t="inlineStr">
        <is>
          <t>VARCHAR(10)</t>
        </is>
      </c>
      <c r="E2663" t="inlineStr">
        <is>
          <t>YES</t>
        </is>
      </c>
      <c r="F2663" t="inlineStr">
        <is>
          <t>备用字段2</t>
        </is>
      </c>
      <c r="H2663" t="inlineStr">
        <is>
          <t>VARCHAR</t>
        </is>
      </c>
      <c r="I2663" t="inlineStr">
        <is>
          <t>10</t>
        </is>
      </c>
    </row>
    <row r="2664">
      <c r="A2664" t="inlineStr">
        <is>
          <t>支付系统—行名行号表</t>
        </is>
      </c>
      <c r="B2664" t="inlineStr">
        <is>
          <t>CCMS_PARTYINF</t>
        </is>
      </c>
      <c r="C2664" t="inlineStr">
        <is>
          <t>CREATETS</t>
        </is>
      </c>
      <c r="D2664" t="inlineStr">
        <is>
          <t>TIMESTAMP(10)</t>
        </is>
      </c>
      <c r="E2664" t="inlineStr">
        <is>
          <t>YES</t>
        </is>
      </c>
      <c r="F2664" t="inlineStr">
        <is>
          <t>创建时间</t>
        </is>
      </c>
      <c r="H2664" t="inlineStr">
        <is>
          <t>TIMESTAMP</t>
        </is>
      </c>
      <c r="I2664" t="inlineStr">
        <is>
          <t>10</t>
        </is>
      </c>
    </row>
    <row r="2665">
      <c r="A2665" t="inlineStr">
        <is>
          <t>支付系统—行名行号表</t>
        </is>
      </c>
      <c r="B2665" t="inlineStr">
        <is>
          <t>CCMS_PARTYINF</t>
        </is>
      </c>
      <c r="C2665" t="inlineStr">
        <is>
          <t>UPDATETS</t>
        </is>
      </c>
      <c r="D2665" t="inlineStr">
        <is>
          <t>TIMESTAMP(10)</t>
        </is>
      </c>
      <c r="E2665" t="inlineStr">
        <is>
          <t>YES</t>
        </is>
      </c>
      <c r="F2665" t="inlineStr">
        <is>
          <t>更新时间2</t>
        </is>
      </c>
      <c r="H2665" t="inlineStr">
        <is>
          <t>TIMESTAMP</t>
        </is>
      </c>
      <c r="I2665" t="inlineStr">
        <is>
          <t>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142857142857141" defaultRowHeight="15.2"/>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C2:AA147"/>
  <sheetViews>
    <sheetView topLeftCell="B1" workbookViewId="0">
      <pane ySplit="2" topLeftCell="A6" activePane="bottomLeft" state="frozen"/>
      <selection activeCell="A1" sqref="A1"/>
      <selection pane="bottomLeft" activeCell="D11" sqref="D11:F11"/>
    </sheetView>
  </sheetViews>
  <sheetFormatPr baseColWidth="8" defaultColWidth="9.142857142857141" defaultRowHeight="15.2"/>
  <cols>
    <col width="24.2857142857143" customWidth="1" style="170" min="3" max="3"/>
    <col width="24.2857142857143" customWidth="1" style="170" min="7" max="7"/>
    <col width="12.6428571428571" customWidth="1" style="170" min="13" max="13"/>
    <col width="28.6428571428571" customWidth="1" style="170" min="17" max="17"/>
    <col width="9.142857142857141" customWidth="1" style="84" min="18" max="18"/>
    <col width="20.2857142857143" customWidth="1" style="170" min="19" max="19"/>
    <col width="12.7857142857143" customWidth="1" style="170" min="20" max="23"/>
    <col width="9.142857142857141" customWidth="1" style="84" min="25" max="25"/>
  </cols>
  <sheetData>
    <row r="2" ht="16.8" customHeight="1" s="170">
      <c r="K2" s="113" t="inlineStr">
        <is>
          <t>EQ</t>
        </is>
      </c>
    </row>
    <row r="3">
      <c r="S3" s="2" t="inlineStr">
        <is>
          <t>列名</t>
        </is>
      </c>
      <c r="T3" s="2" t="inlineStr">
        <is>
          <t>长度</t>
        </is>
      </c>
      <c r="U3" s="2" t="n"/>
      <c r="V3" s="2" t="inlineStr">
        <is>
          <t>注释</t>
        </is>
      </c>
      <c r="W3" s="2" t="inlineStr">
        <is>
          <t>码值</t>
        </is>
      </c>
      <c r="X3" s="2" t="inlineStr">
        <is>
          <t>备注</t>
        </is>
      </c>
      <c r="AA3" s="2" t="inlineStr">
        <is>
          <t>备注</t>
        </is>
      </c>
    </row>
    <row r="4" ht="16" customHeight="1" s="170">
      <c r="C4" s="38" t="inlineStr">
        <is>
          <t>开始票据区间</t>
        </is>
      </c>
      <c r="D4" s="37" t="inlineStr">
        <is>
          <t>BILLRANGESTART</t>
        </is>
      </c>
      <c r="E4" s="37" t="inlineStr">
        <is>
          <t>varchar(20)</t>
        </is>
      </c>
      <c r="F4" s="37" t="inlineStr">
        <is>
          <t>YES</t>
        </is>
      </c>
      <c r="G4" s="38" t="inlineStr">
        <is>
          <t>开始票据区间</t>
        </is>
      </c>
      <c r="H4" s="37" t="n"/>
      <c r="I4" s="37" t="n"/>
      <c r="N4">
        <f>O4&amp;P4&amp;Q4</f>
        <v/>
      </c>
      <c r="O4" s="177" t="inlineStr">
        <is>
          <t>=IFERROR(VLOOKUP(</t>
        </is>
      </c>
      <c r="P4" s="135" t="inlineStr">
        <is>
          <t>V4</t>
        </is>
      </c>
      <c r="Q4" s="177" t="inlineStr">
        <is>
          <t>,新增字段查找!C4:I500,2,FALSE),"")</t>
        </is>
      </c>
      <c r="S4">
        <f>IFERROR(VLOOKUP(V4,新增字段查找!C4:I500,2,FALSE),"")</f>
        <v/>
      </c>
      <c r="T4">
        <f>IFERROR(VLOOKUP(V4,新增字段查找!C4:I500,3,FALSE),"")</f>
        <v/>
      </c>
      <c r="U4" t="inlineStr">
        <is>
          <t>YES</t>
        </is>
      </c>
      <c r="V4" s="102" t="inlineStr">
        <is>
          <t>客户名称</t>
        </is>
      </c>
      <c r="W4">
        <f>IFERROR(VLOOKUP(V4,新增字段查找!C4:I500,6,FALSE),"")</f>
        <v/>
      </c>
      <c r="X4">
        <f>IFERROR(VLOOKUP(V4,新增字段查找!C4:I500,7,FALSE),"")</f>
        <v/>
      </c>
      <c r="AA4">
        <f>IFERROR(VLOOKUP(P4,新增字段查找!C4:I37,7,FALSE),"")</f>
        <v/>
      </c>
    </row>
    <row r="5" ht="16" customHeight="1" s="170">
      <c r="C5" s="38" t="inlineStr">
        <is>
          <t>截止票据区间</t>
        </is>
      </c>
      <c r="D5" s="37" t="inlineStr">
        <is>
          <t>BILLRANGEEND</t>
        </is>
      </c>
      <c r="E5" s="37" t="inlineStr">
        <is>
          <t>varchar(20)</t>
        </is>
      </c>
      <c r="F5" s="37" t="inlineStr">
        <is>
          <t>YES</t>
        </is>
      </c>
      <c r="G5" s="38" t="inlineStr">
        <is>
          <t>截止票据区间</t>
        </is>
      </c>
      <c r="H5" s="37" t="n"/>
      <c r="I5" s="37" t="n"/>
      <c r="M5">
        <f>VLOOKUP("YES",F4:G37,2,FALSE)</f>
        <v/>
      </c>
      <c r="N5">
        <f>O5&amp;P5&amp;Q5</f>
        <v/>
      </c>
      <c r="O5" s="177" t="inlineStr">
        <is>
          <t>=IFERROR(VLOOKUP(</t>
        </is>
      </c>
      <c r="P5" s="135" t="inlineStr">
        <is>
          <t>V5</t>
        </is>
      </c>
      <c r="Q5" s="177" t="inlineStr">
        <is>
          <t>,新增字段查找!C4:I500,2,FALSE),"")</t>
        </is>
      </c>
      <c r="S5">
        <f>IFERROR(VLOOKUP(V5,新增字段查找!C4:I500,2,FALSE),"")</f>
        <v/>
      </c>
      <c r="T5">
        <f>IFERROR(VLOOKUP(V5,新增字段查找!C4:I500,3,FALSE),"")</f>
        <v/>
      </c>
      <c r="U5" t="inlineStr">
        <is>
          <t>YES</t>
        </is>
      </c>
      <c r="V5" s="102" t="inlineStr">
        <is>
          <t>客户号</t>
        </is>
      </c>
      <c r="W5">
        <f>IFERROR(VLOOKUP(V5,新增字段查找!C4:I500,6,FALSE),"")</f>
        <v/>
      </c>
      <c r="X5">
        <f>IFERROR(VLOOKUP(V5,新增字段查找!C4:I500,7,FALSE),"")</f>
        <v/>
      </c>
      <c r="AA5">
        <f>IFERROR(VLOOKUP(P5,新增字段查找!C4:I37,7,FALSE),"")</f>
        <v/>
      </c>
    </row>
    <row r="6" ht="28" customHeight="1" s="170">
      <c r="C6" s="119" t="inlineStr">
        <is>
          <t>冻结止付编号</t>
        </is>
      </c>
      <c r="D6" s="97" t="inlineStr">
        <is>
          <t>FRZNO</t>
        </is>
      </c>
      <c r="E6" s="97" t="inlineStr">
        <is>
          <t>varchar(32)</t>
        </is>
      </c>
      <c r="F6" s="118" t="inlineStr">
        <is>
          <t>YES</t>
        </is>
      </c>
      <c r="G6" s="119" t="inlineStr">
        <is>
          <t>冻结止付编号</t>
        </is>
      </c>
      <c r="H6" s="97" t="n"/>
      <c r="I6" s="97" t="n"/>
      <c r="N6">
        <f>O6&amp;P6&amp;Q6</f>
        <v/>
      </c>
      <c r="O6" s="177" t="inlineStr">
        <is>
          <t>=IFERROR(VLOOKUP(</t>
        </is>
      </c>
      <c r="P6" s="135" t="inlineStr">
        <is>
          <t>V6</t>
        </is>
      </c>
      <c r="Q6" s="177" t="inlineStr">
        <is>
          <t>,新增字段查找!C4:I500,2,FALSE),"")</t>
        </is>
      </c>
      <c r="S6">
        <f>IFERROR(VLOOKUP(V6,新增字段查找!C4:I500,2,FALSE),"")</f>
        <v/>
      </c>
      <c r="T6">
        <f>IFERROR(VLOOKUP(V6,新增字段查找!C4:I500,3,FALSE),"")</f>
        <v/>
      </c>
      <c r="U6" t="inlineStr">
        <is>
          <t>YES</t>
        </is>
      </c>
      <c r="V6" s="135" t="inlineStr">
        <is>
          <t>项目立项批文文号</t>
        </is>
      </c>
      <c r="W6">
        <f>IFERROR(VLOOKUP(V6,新增字段查找!C4:I500,6,FALSE),"")</f>
        <v/>
      </c>
      <c r="X6">
        <f>IFERROR(VLOOKUP(V6,新增字段查找!C4:I500,7,FALSE),"")</f>
        <v/>
      </c>
      <c r="AA6">
        <f>IFERROR(VLOOKUP(P6,新增字段查找!C4:I37,7,FALSE),"")</f>
        <v/>
      </c>
    </row>
    <row r="7" ht="16" customHeight="1" s="170">
      <c r="C7" s="82" t="inlineStr">
        <is>
          <t>存单介质/票据介质</t>
        </is>
      </c>
      <c r="D7" s="60" t="inlineStr">
        <is>
          <t>BILLMEDIUM</t>
        </is>
      </c>
      <c r="E7" s="65" t="inlineStr">
        <is>
          <t>varchar(6)</t>
        </is>
      </c>
      <c r="F7" s="65" t="inlineStr">
        <is>
          <t>YES</t>
        </is>
      </c>
      <c r="G7" s="82" t="inlineStr">
        <is>
          <t>存单介质/票据介质</t>
        </is>
      </c>
      <c r="H7" s="60" t="n"/>
      <c r="I7" s="60" t="inlineStr">
        <is>
          <t>1-纸质、2-电子</t>
        </is>
      </c>
      <c r="N7">
        <f>O7&amp;P7&amp;Q7</f>
        <v/>
      </c>
      <c r="O7" s="177" t="inlineStr">
        <is>
          <t>=IFERROR(VLOOKUP(</t>
        </is>
      </c>
      <c r="P7" s="135" t="inlineStr">
        <is>
          <t>V7</t>
        </is>
      </c>
      <c r="Q7" s="177" t="inlineStr">
        <is>
          <t>,新增字段查找!C4:I500,2,FALSE),"")</t>
        </is>
      </c>
      <c r="S7">
        <f>IFERROR(VLOOKUP(V7,新增字段查找!C4:I500,2,FALSE),"")</f>
        <v/>
      </c>
      <c r="T7">
        <f>IFERROR(VLOOKUP(V7,新增字段查找!C4:I500,3,FALSE),"")</f>
        <v/>
      </c>
      <c r="U7" t="inlineStr">
        <is>
          <t>YES</t>
        </is>
      </c>
      <c r="V7" s="135" t="inlineStr">
        <is>
          <t>收费权确认文号</t>
        </is>
      </c>
      <c r="W7">
        <f>IFERROR(VLOOKUP(V7,新增字段查找!C4:I500,6,FALSE),"")</f>
        <v/>
      </c>
      <c r="X7">
        <f>IFERROR(VLOOKUP(V7,新增字段查找!C4:I500,7,FALSE),"")</f>
        <v/>
      </c>
      <c r="AA7">
        <f>IFERROR(VLOOKUP(P7,新增字段查找!C4:I37,7,FALSE),"")</f>
        <v/>
      </c>
    </row>
    <row r="8" ht="16" customHeight="1" s="170">
      <c r="C8" s="82" t="inlineStr">
        <is>
          <t>质押物登记情况</t>
        </is>
      </c>
      <c r="D8" s="60" t="inlineStr">
        <is>
          <t>REGISTERINFO</t>
        </is>
      </c>
      <c r="E8" s="60" t="inlineStr">
        <is>
          <t>varchar(500)</t>
        </is>
      </c>
      <c r="F8" s="65" t="inlineStr">
        <is>
          <t>YES</t>
        </is>
      </c>
      <c r="G8" s="82" t="inlineStr">
        <is>
          <t>质押物登记情况</t>
        </is>
      </c>
      <c r="H8" s="60" t="n"/>
      <c r="I8" s="60" t="n"/>
      <c r="N8">
        <f>O8&amp;P8&amp;Q8</f>
        <v/>
      </c>
      <c r="O8" s="177" t="inlineStr">
        <is>
          <t>=IFERROR(VLOOKUP(</t>
        </is>
      </c>
      <c r="P8" s="135" t="inlineStr">
        <is>
          <t>V8</t>
        </is>
      </c>
      <c r="Q8" s="177" t="inlineStr">
        <is>
          <t>,新增字段查找!C4:I500,2,FALSE),"")</t>
        </is>
      </c>
      <c r="S8">
        <f>IFERROR(VLOOKUP(V8,新增字段查找!C4:I500,2,FALSE),"")</f>
        <v/>
      </c>
      <c r="T8">
        <f>IFERROR(VLOOKUP(V8,新增字段查找!C4:I500,3,FALSE),"")</f>
        <v/>
      </c>
      <c r="U8" t="inlineStr">
        <is>
          <t>YES</t>
        </is>
      </c>
      <c r="V8" s="135" t="inlineStr">
        <is>
          <t>可质押批复文号</t>
        </is>
      </c>
      <c r="W8">
        <f>IFERROR(VLOOKUP(V8,新增字段查找!C4:I500,6,FALSE),"")</f>
        <v/>
      </c>
      <c r="X8">
        <f>IFERROR(VLOOKUP(V8,新增字段查找!C4:I500,7,FALSE),"")</f>
        <v/>
      </c>
      <c r="AA8">
        <f>IFERROR(VLOOKUP(P8,新增字段查找!C4:I37,7,FALSE),"")</f>
        <v/>
      </c>
    </row>
    <row r="9" ht="46" customHeight="1" s="170">
      <c r="C9" s="82" t="inlineStr">
        <is>
          <t>冻结状态/冻结类型</t>
        </is>
      </c>
      <c r="D9" s="60" t="inlineStr">
        <is>
          <t>FRZSTATUS</t>
        </is>
      </c>
      <c r="E9" s="65" t="inlineStr">
        <is>
          <t>varchar(6)</t>
        </is>
      </c>
      <c r="F9" s="65" t="inlineStr">
        <is>
          <t>YES</t>
        </is>
      </c>
      <c r="G9" s="82" t="inlineStr">
        <is>
          <t>冻结状态/冻结类型</t>
        </is>
      </c>
      <c r="H9" s="60" t="n"/>
      <c r="I9" s="66" t="inlineStr">
        <is>
          <t>冻结类型：1.冻结
2.未冻结</t>
        </is>
      </c>
      <c r="N9">
        <f>O9&amp;P9&amp;Q9</f>
        <v/>
      </c>
      <c r="O9" s="177" t="inlineStr">
        <is>
          <t>=IFERROR(VLOOKUP(</t>
        </is>
      </c>
      <c r="P9" s="135" t="inlineStr">
        <is>
          <t>V9</t>
        </is>
      </c>
      <c r="Q9" s="177" t="inlineStr">
        <is>
          <t>,新增字段查找!C4:I500,2,FALSE),"")</t>
        </is>
      </c>
      <c r="S9">
        <f>IFERROR(VLOOKUP(V9,新增字段查找!C4:I500,2,FALSE),"")</f>
        <v/>
      </c>
      <c r="T9">
        <f>IFERROR(VLOOKUP(V9,新增字段查找!C4:I500,3,FALSE),"")</f>
        <v/>
      </c>
      <c r="U9" t="inlineStr">
        <is>
          <t>YES</t>
        </is>
      </c>
      <c r="V9" s="135" t="inlineStr">
        <is>
          <t>币种</t>
        </is>
      </c>
      <c r="W9">
        <f>IFERROR(VLOOKUP(V9,新增字段查找!C4:I500,6,FALSE),"")</f>
        <v/>
      </c>
      <c r="X9">
        <f>IFERROR(VLOOKUP(V9,新增字段查找!C4:I500,7,FALSE),"")</f>
        <v/>
      </c>
      <c r="AA9">
        <f>IFERROR(VLOOKUP(P9,新增字段查找!C4:I37,7,FALSE),"")</f>
        <v/>
      </c>
    </row>
    <row r="10" ht="16" customHeight="1" s="170">
      <c r="C10" s="82" t="inlineStr">
        <is>
          <t>支出类型</t>
        </is>
      </c>
      <c r="D10" s="60" t="inlineStr">
        <is>
          <t>PAYOUTTYPE</t>
        </is>
      </c>
      <c r="E10" s="65" t="inlineStr">
        <is>
          <t>varchar(6)</t>
        </is>
      </c>
      <c r="F10" s="65" t="inlineStr">
        <is>
          <t>YES</t>
        </is>
      </c>
      <c r="G10" s="82" t="inlineStr">
        <is>
          <t>支出类型</t>
        </is>
      </c>
      <c r="H10" s="60" t="n"/>
      <c r="I10" s="60" t="inlineStr">
        <is>
          <t>01 -密码  、  02- 证件 、03 -印鉴</t>
        </is>
      </c>
      <c r="N10">
        <f>O10&amp;P10&amp;Q10</f>
        <v/>
      </c>
      <c r="O10" s="177" t="inlineStr">
        <is>
          <t>=IFERROR(VLOOKUP(</t>
        </is>
      </c>
      <c r="P10" s="135" t="inlineStr">
        <is>
          <t>V10</t>
        </is>
      </c>
      <c r="Q10" s="177" t="inlineStr">
        <is>
          <t>,新增字段查找!C4:I500,2,FALSE),"")</t>
        </is>
      </c>
      <c r="S10">
        <f>IFERROR(VLOOKUP(V10,新增字段查找!C4:I500,2,FALSE),"")</f>
        <v/>
      </c>
      <c r="T10">
        <f>IFERROR(VLOOKUP(V10,新增字段查找!C4:I500,3,FALSE),"")</f>
        <v/>
      </c>
      <c r="U10" t="inlineStr">
        <is>
          <t>YES</t>
        </is>
      </c>
      <c r="V10" s="135" t="inlineStr">
        <is>
          <t>权利取得价值</t>
        </is>
      </c>
      <c r="W10">
        <f>IFERROR(VLOOKUP(V10,新增字段查找!C4:I500,6,FALSE),"")</f>
        <v/>
      </c>
      <c r="X10">
        <f>IFERROR(VLOOKUP(V10,新增字段查找!C4:I500,7,FALSE),"")</f>
        <v/>
      </c>
      <c r="AA10">
        <f>IFERROR(VLOOKUP(P10,新增字段查找!C4:I37,7,FALSE),"")</f>
        <v/>
      </c>
    </row>
    <row r="11" ht="16" customHeight="1" s="170">
      <c r="C11" s="82" t="inlineStr">
        <is>
          <t>出质人贷款卡号</t>
        </is>
      </c>
      <c r="D11" s="60" t="inlineStr">
        <is>
          <t>LOANCARDNO</t>
        </is>
      </c>
      <c r="E11" s="60" t="inlineStr">
        <is>
          <t>varchar(32)</t>
        </is>
      </c>
      <c r="F11" s="65" t="inlineStr">
        <is>
          <t>YES</t>
        </is>
      </c>
      <c r="G11" s="82" t="inlineStr">
        <is>
          <t>出质人贷款卡号</t>
        </is>
      </c>
      <c r="H11" s="60" t="n"/>
      <c r="I11" s="60" t="n"/>
      <c r="N11">
        <f>O11&amp;P11&amp;Q11</f>
        <v/>
      </c>
      <c r="O11" s="177" t="inlineStr">
        <is>
          <t>=IFERROR(VLOOKUP(</t>
        </is>
      </c>
      <c r="P11" s="135" t="inlineStr">
        <is>
          <t>V11</t>
        </is>
      </c>
      <c r="Q11" s="177" t="inlineStr">
        <is>
          <t>,新增字段查找!C4:I500,2,FALSE),"")</t>
        </is>
      </c>
      <c r="S11">
        <f>IFERROR(VLOOKUP(V11,新增字段查找!C4:I500,2,FALSE),"")</f>
        <v/>
      </c>
      <c r="T11">
        <f>IFERROR(VLOOKUP(V11,新增字段查找!C4:I500,3,FALSE),"")</f>
        <v/>
      </c>
      <c r="U11" t="inlineStr">
        <is>
          <t>YES</t>
        </is>
      </c>
      <c r="V11" s="136" t="inlineStr">
        <is>
          <t>是否在人行应收账款系统登记</t>
        </is>
      </c>
      <c r="W11">
        <f>IFERROR(VLOOKUP(V11,新增字段查找!C4:I500,6,FALSE),"")</f>
        <v/>
      </c>
      <c r="X11">
        <f>IFERROR(VLOOKUP(V11,新增字段查找!C4:I500,7,FALSE),"")</f>
        <v/>
      </c>
      <c r="AA11">
        <f>IFERROR(VLOOKUP(P11,新增字段查找!C4:I37,7,FALSE),"")</f>
        <v/>
      </c>
    </row>
    <row r="12" ht="16" customHeight="1" s="170">
      <c r="C12" s="82" t="inlineStr">
        <is>
          <t>款项</t>
        </is>
      </c>
      <c r="D12" s="60" t="inlineStr">
        <is>
          <t>SELLAGRENO</t>
        </is>
      </c>
      <c r="E12" s="60" t="inlineStr">
        <is>
          <t>varchar(32)</t>
        </is>
      </c>
      <c r="F12" s="65" t="inlineStr">
        <is>
          <t>YES</t>
        </is>
      </c>
      <c r="G12" s="82" t="inlineStr">
        <is>
          <t>款项</t>
        </is>
      </c>
      <c r="H12" s="60" t="n"/>
      <c r="I12" s="60" t="n"/>
      <c r="N12">
        <f>O12&amp;P12&amp;Q12</f>
        <v/>
      </c>
      <c r="O12" s="177" t="inlineStr">
        <is>
          <t>=IFERROR(VLOOKUP(</t>
        </is>
      </c>
      <c r="P12" s="135" t="inlineStr">
        <is>
          <t>V12</t>
        </is>
      </c>
      <c r="Q12" s="177" t="inlineStr">
        <is>
          <t>,新增字段查找!C4:I500,2,FALSE),"")</t>
        </is>
      </c>
      <c r="S12">
        <f>IFERROR(VLOOKUP(V12,新增字段查找!C4:I500,2,FALSE),"")</f>
        <v/>
      </c>
      <c r="T12">
        <f>IFERROR(VLOOKUP(V12,新增字段查找!C4:I500,3,FALSE),"")</f>
        <v/>
      </c>
      <c r="U12" t="inlineStr">
        <is>
          <t>YES</t>
        </is>
      </c>
      <c r="V12" s="136" t="inlineStr">
        <is>
          <t>贷款卡卡号/出质人贷款卡卡号</t>
        </is>
      </c>
      <c r="W12">
        <f>IFERROR(VLOOKUP(V12,新增字段查找!C4:I500,6,FALSE),"")</f>
        <v/>
      </c>
      <c r="X12">
        <f>IFERROR(VLOOKUP(V12,新增字段查找!C4:I500,7,FALSE),"")</f>
        <v/>
      </c>
      <c r="AA12">
        <f>IFERROR(VLOOKUP(P12,新增字段查找!C4:I37,7,FALSE),"")</f>
        <v/>
      </c>
    </row>
    <row r="13" ht="16" customHeight="1" s="170">
      <c r="C13" s="82" t="inlineStr">
        <is>
          <t>预计变现值</t>
        </is>
      </c>
      <c r="D13" s="60" t="inlineStr">
        <is>
          <t>REALIZATIONVALUE</t>
        </is>
      </c>
      <c r="E13" s="65" t="inlineStr">
        <is>
          <t>decimal(24,6)</t>
        </is>
      </c>
      <c r="F13" s="65" t="inlineStr">
        <is>
          <t>YES</t>
        </is>
      </c>
      <c r="G13" s="82" t="inlineStr">
        <is>
          <t>预计变现值</t>
        </is>
      </c>
      <c r="H13" s="60" t="n"/>
      <c r="I13" s="60" t="n"/>
      <c r="K13">
        <f>I14</f>
        <v/>
      </c>
      <c r="N13">
        <f>O13&amp;P13&amp;Q13</f>
        <v/>
      </c>
      <c r="O13" s="177" t="inlineStr">
        <is>
          <t>=IFERROR(VLOOKUP(</t>
        </is>
      </c>
      <c r="P13" s="135" t="inlineStr">
        <is>
          <t>V13</t>
        </is>
      </c>
      <c r="Q13" s="177" t="inlineStr">
        <is>
          <t>,新增字段查找!C4:I500,2,FALSE),"")</t>
        </is>
      </c>
      <c r="S13">
        <f>IFERROR(VLOOKUP(V13,新增字段查找!C4:I500,2,FALSE),"")</f>
        <v/>
      </c>
      <c r="T13">
        <f>IFERROR(VLOOKUP(V13,新增字段查找!C4:I500,3,FALSE),"")</f>
        <v/>
      </c>
      <c r="U13" t="inlineStr">
        <is>
          <t>YES</t>
        </is>
      </c>
      <c r="V13" s="136" t="inlineStr">
        <is>
          <t>是否需要约定回款路径</t>
        </is>
      </c>
      <c r="W13">
        <f>IFERROR(VLOOKUP(V13,新增字段查找!C4:I500,6,FALSE),"")</f>
        <v/>
      </c>
      <c r="X13">
        <f>IFERROR(VLOOKUP(V13,新增字段查找!C4:I500,7,FALSE),"")</f>
        <v/>
      </c>
      <c r="AA13">
        <f>IFERROR(VLOOKUP(P13,新增字段查找!C4:I37,7,FALSE),"")</f>
        <v/>
      </c>
    </row>
    <row r="14" ht="16" customHeight="1" s="170">
      <c r="C14" s="82" t="inlineStr">
        <is>
          <t>预计变现成本</t>
        </is>
      </c>
      <c r="D14" s="60" t="inlineStr">
        <is>
          <t>REALIZATIONCOST</t>
        </is>
      </c>
      <c r="E14" s="65" t="inlineStr">
        <is>
          <t>decimal(24,6)</t>
        </is>
      </c>
      <c r="F14" s="65" t="inlineStr">
        <is>
          <t>YES</t>
        </is>
      </c>
      <c r="G14" s="82" t="inlineStr">
        <is>
          <t>预计变现成本</t>
        </is>
      </c>
      <c r="H14" s="60" t="n"/>
      <c r="I14" s="60" t="n"/>
      <c r="N14">
        <f>O14&amp;P14&amp;Q14</f>
        <v/>
      </c>
      <c r="O14" s="177" t="inlineStr">
        <is>
          <t>=IFERROR(VLOOKUP(</t>
        </is>
      </c>
      <c r="P14" s="135" t="inlineStr">
        <is>
          <t>V14</t>
        </is>
      </c>
      <c r="Q14" s="177" t="inlineStr">
        <is>
          <t>,新增字段查找!C4:I500,2,FALSE),"")</t>
        </is>
      </c>
      <c r="S14">
        <f>IFERROR(VLOOKUP(V14,新增字段查找!C4:I500,2,FALSE),"")</f>
        <v/>
      </c>
      <c r="T14">
        <f>IFERROR(VLOOKUP(V14,新增字段查找!C4:I500,3,FALSE),"")</f>
        <v/>
      </c>
      <c r="U14" t="inlineStr">
        <is>
          <t>YES</t>
        </is>
      </c>
      <c r="V14" s="136" t="inlineStr">
        <is>
          <t>帐龄</t>
        </is>
      </c>
      <c r="W14">
        <f>IFERROR(VLOOKUP(V14,新增字段查找!C4:I500,6,FALSE),"")</f>
        <v/>
      </c>
      <c r="X14">
        <f>IFERROR(VLOOKUP(V14,新增字段查找!C4:I500,7,FALSE),"")</f>
        <v/>
      </c>
      <c r="AA14">
        <f>IFERROR(VLOOKUP(P14,新增字段查找!C4:I37,7,FALSE),"")</f>
        <v/>
      </c>
    </row>
    <row r="15" ht="16" customHeight="1" s="170">
      <c r="C15" s="99" t="inlineStr">
        <is>
          <t>是否我行存单</t>
        </is>
      </c>
      <c r="D15" s="60" t="inlineStr">
        <is>
          <t>ISOWNDEPOSIT</t>
        </is>
      </c>
      <c r="E15" s="65" t="inlineStr">
        <is>
          <t>varchar(6)</t>
        </is>
      </c>
      <c r="F15" s="65" t="inlineStr">
        <is>
          <t>YES</t>
        </is>
      </c>
      <c r="G15" s="99" t="inlineStr">
        <is>
          <t>是否我行存单</t>
        </is>
      </c>
      <c r="H15" s="60" t="n"/>
      <c r="I15" s="60" t="n"/>
      <c r="N15">
        <f>O15&amp;P15&amp;Q15</f>
        <v/>
      </c>
      <c r="O15" s="177" t="inlineStr">
        <is>
          <t>=IFERROR(VLOOKUP(</t>
        </is>
      </c>
      <c r="P15" s="135" t="inlineStr">
        <is>
          <t>V15</t>
        </is>
      </c>
      <c r="Q15" s="177" t="inlineStr">
        <is>
          <t>,新增字段查找!C4:I500,2,FALSE),"")</t>
        </is>
      </c>
      <c r="S15">
        <f>IFERROR(VLOOKUP(V15,新增字段查找!C4:I500,2,FALSE),"")</f>
        <v/>
      </c>
      <c r="T15">
        <f>IFERROR(VLOOKUP(V15,新增字段查找!C4:I500,3,FALSE),"")</f>
        <v/>
      </c>
      <c r="U15" t="inlineStr">
        <is>
          <t>YES</t>
        </is>
      </c>
      <c r="V15" s="102" t="inlineStr">
        <is>
          <t>应收账款渠道类型</t>
        </is>
      </c>
      <c r="W15">
        <f>IFERROR(VLOOKUP(V15,新增字段查找!C4:I500,6,FALSE),"")</f>
        <v/>
      </c>
      <c r="X15">
        <f>IFERROR(VLOOKUP(V15,新增字段查找!C4:I500,7,FALSE),"")</f>
        <v/>
      </c>
      <c r="AA15">
        <f>IFERROR(VLOOKUP(P15,新增字段查找!C4:I37,7,FALSE),"")</f>
        <v/>
      </c>
    </row>
    <row r="16" ht="16" customHeight="1" s="170">
      <c r="C16" s="59" t="inlineStr">
        <is>
          <t>保证金比例/持有股权比例</t>
        </is>
      </c>
      <c r="D16" s="60" t="inlineStr">
        <is>
          <t>MARGINRATIO</t>
        </is>
      </c>
      <c r="E16" s="65" t="inlineStr">
        <is>
          <t>decimal(18,8)</t>
        </is>
      </c>
      <c r="F16" s="65" t="inlineStr">
        <is>
          <t>YES</t>
        </is>
      </c>
      <c r="G16" s="59" t="inlineStr">
        <is>
          <t>保证金比例/持有股权比例</t>
        </is>
      </c>
      <c r="H16" s="60" t="n"/>
      <c r="I16" s="60" t="n"/>
      <c r="N16">
        <f>O16&amp;P16&amp;Q16</f>
        <v/>
      </c>
      <c r="O16" s="177" t="inlineStr">
        <is>
          <t>=IFERROR(VLOOKUP(</t>
        </is>
      </c>
      <c r="P16" s="135" t="inlineStr">
        <is>
          <t>V16</t>
        </is>
      </c>
      <c r="Q16" s="177" t="inlineStr">
        <is>
          <t>,新增字段查找!C4:I500,2,FALSE),"")</t>
        </is>
      </c>
      <c r="S16">
        <f>IFERROR(VLOOKUP(V16,新增字段查找!C4:I500,2,FALSE),"")</f>
        <v/>
      </c>
      <c r="T16">
        <f>IFERROR(VLOOKUP(V16,新增字段查找!C4:I500,3,FALSE),"")</f>
        <v/>
      </c>
      <c r="U16" t="inlineStr">
        <is>
          <t>YES</t>
        </is>
      </c>
      <c r="V16" s="102" t="inlineStr">
        <is>
          <t>预计变现值</t>
        </is>
      </c>
      <c r="W16">
        <f>IFERROR(VLOOKUP(V16,新增字段查找!C4:I500,6,FALSE),"")</f>
        <v/>
      </c>
      <c r="X16">
        <f>IFERROR(VLOOKUP(V16,新增字段查找!C4:I500,7,FALSE),"")</f>
        <v/>
      </c>
      <c r="AA16">
        <f>IFERROR(VLOOKUP(P16,新增字段查找!C4:I37,7,FALSE),"")</f>
        <v/>
      </c>
    </row>
    <row r="17" ht="46" customHeight="1" s="170">
      <c r="C17" s="59" t="inlineStr">
        <is>
          <t>其他特别约定</t>
        </is>
      </c>
      <c r="D17" s="111" t="inlineStr">
        <is>
          <t>OTHERAGREEMENTS</t>
        </is>
      </c>
      <c r="E17" s="60" t="inlineStr">
        <is>
          <t>varchar(200)</t>
        </is>
      </c>
      <c r="F17" s="65" t="inlineStr">
        <is>
          <t>YES</t>
        </is>
      </c>
      <c r="G17" s="59" t="inlineStr">
        <is>
          <t>其他特别约定</t>
        </is>
      </c>
      <c r="H17" s="60" t="n"/>
      <c r="I17" s="60" t="n"/>
      <c r="N17">
        <f>O17&amp;P17&amp;Q17</f>
        <v/>
      </c>
      <c r="O17" s="177" t="inlineStr">
        <is>
          <t>=IFERROR(VLOOKUP(</t>
        </is>
      </c>
      <c r="P17" s="135" t="inlineStr">
        <is>
          <t>V17</t>
        </is>
      </c>
      <c r="Q17" s="177" t="inlineStr">
        <is>
          <t>,新增字段查找!C4:I500,2,FALSE),"")</t>
        </is>
      </c>
      <c r="S17">
        <f>IFERROR(VLOOKUP(V17,新增字段查找!C4:I500,2,FALSE),"")</f>
        <v/>
      </c>
      <c r="T17">
        <f>IFERROR(VLOOKUP(V17,新增字段查找!C4:I500,3,FALSE),"")</f>
        <v/>
      </c>
      <c r="U17" t="inlineStr">
        <is>
          <t>YES</t>
        </is>
      </c>
      <c r="V17" s="102" t="inlineStr">
        <is>
          <t>预计变现成本</t>
        </is>
      </c>
      <c r="W17">
        <f>IFERROR(VLOOKUP(V17,新增字段查找!C4:I500,6,FALSE),"")</f>
        <v/>
      </c>
      <c r="X17">
        <f>IFERROR(VLOOKUP(V17,新增字段查找!C4:I500,7,FALSE),"")</f>
        <v/>
      </c>
      <c r="AA17">
        <f>IFERROR(VLOOKUP(P17,新增字段查找!C4:I37,7,FALSE),"")</f>
        <v/>
      </c>
    </row>
    <row r="18" ht="46" customHeight="1" s="170">
      <c r="C18" s="60" t="inlineStr">
        <is>
          <t>核保时间</t>
        </is>
      </c>
      <c r="D18" s="111" t="inlineStr">
        <is>
          <t>UNDERWRITINGDATE</t>
        </is>
      </c>
      <c r="E18" s="65" t="inlineStr">
        <is>
          <t>datetime</t>
        </is>
      </c>
      <c r="F18" s="65" t="inlineStr">
        <is>
          <t>YES</t>
        </is>
      </c>
      <c r="G18" s="60" t="inlineStr">
        <is>
          <t>核保时间</t>
        </is>
      </c>
      <c r="H18" s="60" t="n"/>
      <c r="I18" s="60" t="n"/>
      <c r="N18">
        <f>O18&amp;P18&amp;Q18</f>
        <v/>
      </c>
      <c r="O18" s="177" t="inlineStr">
        <is>
          <t>=IFERROR(VLOOKUP(</t>
        </is>
      </c>
      <c r="P18" s="135" t="inlineStr">
        <is>
          <t>V18</t>
        </is>
      </c>
      <c r="Q18" s="177" t="inlineStr">
        <is>
          <t>,新增字段查找!C4:I500,2,FALSE),"")</t>
        </is>
      </c>
      <c r="S18">
        <f>IFERROR(VLOOKUP(V18,新增字段查找!C4:I500,2,FALSE),"")</f>
        <v/>
      </c>
      <c r="T18">
        <f>IFERROR(VLOOKUP(V18,新增字段查找!C4:I500,3,FALSE),"")</f>
        <v/>
      </c>
      <c r="U18" t="inlineStr">
        <is>
          <t>YES</t>
        </is>
      </c>
      <c r="V18" s="112" t="inlineStr">
        <is>
          <t>权证号码</t>
        </is>
      </c>
      <c r="W18">
        <f>IFERROR(VLOOKUP(V18,新增字段查找!C4:I500,6,FALSE),"")</f>
        <v/>
      </c>
      <c r="X18">
        <f>IFERROR(VLOOKUP(V18,新增字段查找!C4:I500,7,FALSE),"")</f>
        <v/>
      </c>
      <c r="AA18">
        <f>IFERROR(VLOOKUP(P18,新增字段查找!C4:I37,7,FALSE),"")</f>
        <v/>
      </c>
    </row>
    <row r="19" ht="31" customHeight="1" s="170">
      <c r="C19" s="59" t="inlineStr">
        <is>
          <t>核保人</t>
        </is>
      </c>
      <c r="D19" s="111" t="inlineStr">
        <is>
          <t>UNDERWRITER</t>
        </is>
      </c>
      <c r="E19" s="60" t="inlineStr">
        <is>
          <t>varchar(32)</t>
        </is>
      </c>
      <c r="F19" s="65" t="inlineStr">
        <is>
          <t>YES</t>
        </is>
      </c>
      <c r="G19" s="59" t="inlineStr">
        <is>
          <t>核保人</t>
        </is>
      </c>
      <c r="H19" s="60" t="n"/>
      <c r="I19" s="60" t="n"/>
      <c r="N19">
        <f>O19&amp;P19&amp;Q19</f>
        <v/>
      </c>
      <c r="O19" s="177" t="inlineStr">
        <is>
          <t>=IFERROR(VLOOKUP(</t>
        </is>
      </c>
      <c r="P19" s="135" t="inlineStr">
        <is>
          <t>V19</t>
        </is>
      </c>
      <c r="Q19" s="177" t="inlineStr">
        <is>
          <t>,新增字段查找!C4:I500,2,FALSE),"")</t>
        </is>
      </c>
      <c r="S19">
        <f>IFERROR(VLOOKUP(V19,新增字段查找!C4:I500,2,FALSE),"")</f>
        <v/>
      </c>
      <c r="T19">
        <f>IFERROR(VLOOKUP(V19,新增字段查找!C4:I500,3,FALSE),"")</f>
        <v/>
      </c>
      <c r="U19" t="inlineStr">
        <is>
          <t>YES</t>
        </is>
      </c>
      <c r="V19" s="102" t="inlineStr">
        <is>
          <t>买方客户号</t>
        </is>
      </c>
      <c r="W19">
        <f>IFERROR(VLOOKUP(V19,新增字段查找!C4:I500,6,FALSE),"")</f>
        <v/>
      </c>
      <c r="X19">
        <f>IFERROR(VLOOKUP(V19,新增字段查找!C4:I500,7,FALSE),"")</f>
        <v/>
      </c>
      <c r="AA19">
        <f>IFERROR(VLOOKUP(P19,新增字段查找!C4:I37,7,FALSE),"")</f>
        <v/>
      </c>
    </row>
    <row r="20" ht="46" customHeight="1" s="170">
      <c r="C20" s="59" t="inlineStr">
        <is>
          <t>接待人姓名</t>
        </is>
      </c>
      <c r="D20" s="111" t="inlineStr">
        <is>
          <t>RECEPTIONISTNAME</t>
        </is>
      </c>
      <c r="E20" s="60" t="inlineStr">
        <is>
          <t>varchar(32)</t>
        </is>
      </c>
      <c r="F20" s="65" t="inlineStr">
        <is>
          <t>YES</t>
        </is>
      </c>
      <c r="G20" s="59" t="inlineStr">
        <is>
          <t>接待人姓名</t>
        </is>
      </c>
      <c r="H20" s="60" t="n"/>
      <c r="I20" s="60" t="n"/>
      <c r="N20">
        <f>O20&amp;P20&amp;Q20</f>
        <v/>
      </c>
      <c r="O20" s="177" t="inlineStr">
        <is>
          <t>=IFERROR(VLOOKUP(</t>
        </is>
      </c>
      <c r="P20" s="135" t="inlineStr">
        <is>
          <t>V20</t>
        </is>
      </c>
      <c r="Q20" s="177" t="inlineStr">
        <is>
          <t>,新增字段查找!C4:I500,2,FALSE),"")</t>
        </is>
      </c>
      <c r="S20">
        <f>IFERROR(VLOOKUP(V20,新增字段查找!C4:I500,2,FALSE),"")</f>
        <v/>
      </c>
      <c r="T20">
        <f>IFERROR(VLOOKUP(V20,新增字段查找!C4:I500,3,FALSE),"")</f>
        <v/>
      </c>
      <c r="U20" t="inlineStr">
        <is>
          <t>YES</t>
        </is>
      </c>
      <c r="V20" s="102" t="inlineStr">
        <is>
          <t>MDM核心企业编码</t>
        </is>
      </c>
      <c r="W20">
        <f>IFERROR(VLOOKUP(V20,新增字段查找!C4:I500,6,FALSE),"")</f>
        <v/>
      </c>
      <c r="X20">
        <f>IFERROR(VLOOKUP(V20,新增字段查找!C4:I500,7,FALSE),"")</f>
        <v/>
      </c>
      <c r="AA20">
        <f>IFERROR(VLOOKUP(P20,新增字段查找!C4:I37,7,FALSE),"")</f>
        <v/>
      </c>
    </row>
    <row r="21" ht="46" customHeight="1" s="170">
      <c r="C21" s="59" t="inlineStr">
        <is>
          <t>接待人职务</t>
        </is>
      </c>
      <c r="D21" s="111" t="inlineStr">
        <is>
          <t>RECEPTIONISTPOSITION</t>
        </is>
      </c>
      <c r="E21" s="60" t="inlineStr">
        <is>
          <t>varchar(32)</t>
        </is>
      </c>
      <c r="F21" s="65" t="inlineStr">
        <is>
          <t>YES</t>
        </is>
      </c>
      <c r="G21" s="59" t="inlineStr">
        <is>
          <t>接待人职务</t>
        </is>
      </c>
      <c r="H21" s="60" t="n"/>
      <c r="I21" s="60" t="n"/>
      <c r="N21">
        <f>O21&amp;P21&amp;Q21</f>
        <v/>
      </c>
      <c r="O21" s="177" t="inlineStr">
        <is>
          <t>=IFERROR(VLOOKUP(</t>
        </is>
      </c>
      <c r="P21" s="135" t="inlineStr">
        <is>
          <t>V21</t>
        </is>
      </c>
      <c r="Q21" s="177" t="inlineStr">
        <is>
          <t>,新增字段查找!C4:I500,2,FALSE),"")</t>
        </is>
      </c>
      <c r="S21">
        <f>IFERROR(VLOOKUP(V21,新增字段查找!C4:I500,2,FALSE),"")</f>
        <v/>
      </c>
      <c r="T21">
        <f>IFERROR(VLOOKUP(V21,新增字段查找!C4:I500,3,FALSE),"")</f>
        <v/>
      </c>
      <c r="U21" t="inlineStr">
        <is>
          <t>YES</t>
        </is>
      </c>
      <c r="V21" s="102" t="inlineStr">
        <is>
          <t>卖方客户号</t>
        </is>
      </c>
      <c r="W21">
        <f>IFERROR(VLOOKUP(V21,新增字段查找!C4:I500,6,FALSE),"")</f>
        <v/>
      </c>
      <c r="X21">
        <f>IFERROR(VLOOKUP(V21,新增字段查找!C4:I500,7,FALSE),"")</f>
        <v/>
      </c>
      <c r="AA21">
        <f>IFERROR(VLOOKUP(P21,新增字段查找!C4:I37,7,FALSE),"")</f>
        <v/>
      </c>
    </row>
    <row r="22" ht="46" customHeight="1" s="170">
      <c r="C22" s="59" t="inlineStr">
        <is>
          <t>担保意见</t>
        </is>
      </c>
      <c r="D22" s="111" t="inlineStr">
        <is>
          <t>GUARANTEEOPINION</t>
        </is>
      </c>
      <c r="E22" s="60" t="inlineStr">
        <is>
          <t>varchar(200)</t>
        </is>
      </c>
      <c r="F22" s="65" t="inlineStr">
        <is>
          <t>YES</t>
        </is>
      </c>
      <c r="G22" s="59" t="inlineStr">
        <is>
          <t>担保意见</t>
        </is>
      </c>
      <c r="H22" s="60" t="n"/>
      <c r="I22" s="60" t="n"/>
      <c r="N22">
        <f>O22&amp;P22&amp;Q22</f>
        <v/>
      </c>
      <c r="O22" s="177" t="inlineStr">
        <is>
          <t>=IFERROR(VLOOKUP(</t>
        </is>
      </c>
      <c r="P22" s="135" t="inlineStr">
        <is>
          <t>V22</t>
        </is>
      </c>
      <c r="Q22" s="177" t="inlineStr">
        <is>
          <t>,新增字段查找!C4:I500,2,FALSE),"")</t>
        </is>
      </c>
      <c r="S22">
        <f>IFERROR(VLOOKUP(V22,新增字段查找!C4:I500,2,FALSE),"")</f>
        <v/>
      </c>
      <c r="T22">
        <f>IFERROR(VLOOKUP(V22,新增字段查找!C4:I500,3,FALSE),"")</f>
        <v/>
      </c>
      <c r="U22" t="inlineStr">
        <is>
          <t>YES</t>
        </is>
      </c>
      <c r="V22" s="102" t="inlineStr">
        <is>
          <t>应收账款已结算金额及其他扣除项</t>
        </is>
      </c>
      <c r="W22">
        <f>IFERROR(VLOOKUP(V22,新增字段查找!C4:I500,6,FALSE),"")</f>
        <v/>
      </c>
      <c r="X22">
        <f>IFERROR(VLOOKUP(V22,新增字段查找!C4:I500,7,FALSE),"")</f>
        <v/>
      </c>
      <c r="AA22">
        <f>IFERROR(VLOOKUP(P22,新增字段查找!C4:I37,7,FALSE),"")</f>
        <v/>
      </c>
    </row>
    <row r="23" ht="31" customHeight="1" s="170">
      <c r="C23" s="59" t="inlineStr">
        <is>
          <t>债券利率类型</t>
        </is>
      </c>
      <c r="D23" s="111" t="inlineStr">
        <is>
          <t>RATETYPE</t>
        </is>
      </c>
      <c r="E23" s="60" t="inlineStr">
        <is>
          <t>varchar(6)</t>
        </is>
      </c>
      <c r="F23" s="65" t="inlineStr">
        <is>
          <t>YES</t>
        </is>
      </c>
      <c r="G23" s="59" t="inlineStr">
        <is>
          <t>债券利率类型</t>
        </is>
      </c>
      <c r="H23" s="60" t="n"/>
      <c r="I23" s="60" t="n"/>
      <c r="N23">
        <f>O23&amp;P23&amp;Q23</f>
        <v/>
      </c>
      <c r="O23" s="177" t="inlineStr">
        <is>
          <t>=IFERROR(VLOOKUP(</t>
        </is>
      </c>
      <c r="P23" s="135" t="inlineStr">
        <is>
          <t>V23</t>
        </is>
      </c>
      <c r="Q23" s="177" t="inlineStr">
        <is>
          <t>,新增字段查找!C4:I500,2,FALSE),"")</t>
        </is>
      </c>
      <c r="S23">
        <f>IFERROR(VLOOKUP(V23,新增字段查找!C4:I500,2,FALSE),"")</f>
        <v/>
      </c>
      <c r="T23">
        <f>IFERROR(VLOOKUP(V23,新增字段查找!C4:I500,3,FALSE),"")</f>
        <v/>
      </c>
      <c r="U23" t="inlineStr">
        <is>
          <t>YES</t>
        </is>
      </c>
      <c r="V23" s="102" t="inlineStr">
        <is>
          <t>应收账款转让申请号</t>
        </is>
      </c>
      <c r="W23">
        <f>IFERROR(VLOOKUP(V23,新增字段查找!C4:I500,6,FALSE),"")</f>
        <v/>
      </c>
      <c r="X23">
        <f>IFERROR(VLOOKUP(V23,新增字段查找!C4:I500,7,FALSE),"")</f>
        <v/>
      </c>
      <c r="AA23">
        <f>IFERROR(VLOOKUP(P23,新增字段查找!C4:I37,7,FALSE),"")</f>
        <v/>
      </c>
    </row>
    <row r="24" ht="61" customHeight="1" s="170">
      <c r="C24" s="99" t="inlineStr">
        <is>
          <t>是否需要办理止付</t>
        </is>
      </c>
      <c r="D24" s="111" t="inlineStr">
        <is>
          <t>ISSTOPPAYMENTREQUIRED</t>
        </is>
      </c>
      <c r="E24" s="60" t="inlineStr">
        <is>
          <t>varchar(6)</t>
        </is>
      </c>
      <c r="F24" s="65" t="inlineStr">
        <is>
          <t>YES</t>
        </is>
      </c>
      <c r="G24" s="99" t="inlineStr">
        <is>
          <t>是否需要办理止付</t>
        </is>
      </c>
      <c r="H24" s="60" t="n"/>
      <c r="I24" s="60" t="n"/>
      <c r="N24">
        <f>O24&amp;P24&amp;Q24</f>
        <v/>
      </c>
      <c r="O24" s="177" t="inlineStr">
        <is>
          <t>=IFERROR(VLOOKUP(</t>
        </is>
      </c>
      <c r="P24" s="135" t="inlineStr">
        <is>
          <t>V24</t>
        </is>
      </c>
      <c r="Q24" s="177" t="inlineStr">
        <is>
          <t>,新增字段查找!C4:I500,2,FALSE),"")</t>
        </is>
      </c>
      <c r="S24">
        <f>IFERROR(VLOOKUP(V24,新增字段查找!C4:I500,2,FALSE),"")</f>
        <v/>
      </c>
      <c r="T24">
        <f>IFERROR(VLOOKUP(V24,新增字段查找!C4:I500,3,FALSE),"")</f>
        <v/>
      </c>
      <c r="U24" t="inlineStr">
        <is>
          <t>YES</t>
        </is>
      </c>
      <c r="V24" s="102" t="inlineStr">
        <is>
          <t>应收账款转让申请时间</t>
        </is>
      </c>
      <c r="W24">
        <f>IFERROR(VLOOKUP(V24,新增字段查找!C4:I500,6,FALSE),"")</f>
        <v/>
      </c>
      <c r="X24">
        <f>IFERROR(VLOOKUP(V24,新增字段查找!C4:I500,7,FALSE),"")</f>
        <v/>
      </c>
      <c r="AA24">
        <f>IFERROR(VLOOKUP(P24,新增字段查找!C4:I37,7,FALSE),"")</f>
        <v/>
      </c>
    </row>
    <row r="25" ht="46" customHeight="1" s="170">
      <c r="C25" s="60" t="inlineStr">
        <is>
          <t>付款行名称</t>
        </is>
      </c>
      <c r="D25" s="111" t="inlineStr">
        <is>
          <t>PAYINGBANKNAME</t>
        </is>
      </c>
      <c r="E25" s="60" t="inlineStr">
        <is>
          <t>varchar(32)</t>
        </is>
      </c>
      <c r="F25" s="65" t="inlineStr">
        <is>
          <t>YES</t>
        </is>
      </c>
      <c r="G25" s="60" t="inlineStr">
        <is>
          <t>付款行名称</t>
        </is>
      </c>
      <c r="H25" s="60" t="n"/>
      <c r="I25" s="60" t="n"/>
      <c r="N25">
        <f>O25&amp;P25&amp;Q25</f>
        <v/>
      </c>
      <c r="O25" s="177" t="inlineStr">
        <is>
          <t>=IFERROR(VLOOKUP(</t>
        </is>
      </c>
      <c r="P25" s="135" t="inlineStr">
        <is>
          <t>V25</t>
        </is>
      </c>
      <c r="Q25" s="177" t="inlineStr">
        <is>
          <t>,新增字段查找!C4:I500,2,FALSE),"")</t>
        </is>
      </c>
      <c r="S25">
        <f>IFERROR(VLOOKUP(V25,新增字段查找!C4:I500,2,FALSE),"")</f>
        <v/>
      </c>
      <c r="T25">
        <f>IFERROR(VLOOKUP(V25,新增字段查找!C4:I500,3,FALSE),"")</f>
        <v/>
      </c>
      <c r="U25" t="inlineStr">
        <is>
          <t>YES</t>
        </is>
      </c>
      <c r="V25" s="102" t="inlineStr">
        <is>
          <t>融资卖方额度号</t>
        </is>
      </c>
      <c r="W25">
        <f>IFERROR(VLOOKUP(V25,新增字段查找!C4:I500,6,FALSE),"")</f>
        <v/>
      </c>
      <c r="X25">
        <f>IFERROR(VLOOKUP(V25,新增字段查找!C4:I500,7,FALSE),"")</f>
        <v/>
      </c>
      <c r="AA25">
        <f>IFERROR(VLOOKUP(P25,新增字段查找!C4:I37,7,FALSE),"")</f>
        <v/>
      </c>
    </row>
    <row r="26" ht="61" customHeight="1" s="170">
      <c r="C26" s="82" t="inlineStr">
        <is>
          <t>是否具有真实的商品交易背景</t>
        </is>
      </c>
      <c r="D26" s="111" t="inlineStr">
        <is>
          <t>HASREALTRADEBACKGROUND</t>
        </is>
      </c>
      <c r="E26" s="60" t="inlineStr">
        <is>
          <t>varchar(6)</t>
        </is>
      </c>
      <c r="F26" s="65" t="inlineStr">
        <is>
          <t>YES</t>
        </is>
      </c>
      <c r="G26" s="82" t="inlineStr">
        <is>
          <t>是否具有真实的商品交易背景</t>
        </is>
      </c>
      <c r="H26" s="60" t="n"/>
      <c r="I26" s="60" t="n"/>
      <c r="N26">
        <f>O26&amp;P26&amp;Q26</f>
        <v/>
      </c>
      <c r="O26" s="177" t="inlineStr">
        <is>
          <t>=IFERROR(VLOOKUP(</t>
        </is>
      </c>
      <c r="P26" s="135" t="inlineStr">
        <is>
          <t>V26</t>
        </is>
      </c>
      <c r="Q26" s="177" t="inlineStr">
        <is>
          <t>,新增字段查找!C4:I500,2,FALSE),"")</t>
        </is>
      </c>
      <c r="S26">
        <f>IFERROR(VLOOKUP(V26,新增字段查找!C4:I500,2,FALSE),"")</f>
        <v/>
      </c>
      <c r="T26">
        <f>IFERROR(VLOOKUP(V26,新增字段查找!C4:I500,3,FALSE),"")</f>
        <v/>
      </c>
      <c r="U26" t="inlineStr">
        <is>
          <t>YES</t>
        </is>
      </c>
      <c r="V26" s="137" t="inlineStr">
        <is>
          <t>单笔/池</t>
        </is>
      </c>
      <c r="W26">
        <f>IFERROR(VLOOKUP(V26,新增字段查找!C4:I500,6,FALSE),"")</f>
        <v/>
      </c>
      <c r="X26">
        <f>IFERROR(VLOOKUP(V26,新增字段查找!C4:I500,7,FALSE),"")</f>
        <v/>
      </c>
      <c r="AA26">
        <f>IFERROR(VLOOKUP(P26,新增字段查找!C4:I37,7,FALSE),"")</f>
        <v/>
      </c>
    </row>
    <row r="27" ht="31" customHeight="1" s="170">
      <c r="C27" s="82" t="inlineStr">
        <is>
          <t>托收收款保证金账号</t>
        </is>
      </c>
      <c r="D27" s="111" t="inlineStr">
        <is>
          <t>MARGINACCOUNT</t>
        </is>
      </c>
      <c r="E27" s="60" t="inlineStr">
        <is>
          <t>varchar(32)</t>
        </is>
      </c>
      <c r="F27" s="65" t="inlineStr">
        <is>
          <t>YES</t>
        </is>
      </c>
      <c r="G27" s="82" t="inlineStr">
        <is>
          <t>托收收款保证金账号</t>
        </is>
      </c>
      <c r="H27" s="60" t="n"/>
      <c r="I27" s="60" t="n"/>
      <c r="N27">
        <f>O27&amp;P27&amp;Q27</f>
        <v/>
      </c>
      <c r="O27" s="177" t="inlineStr">
        <is>
          <t>=IFERROR(VLOOKUP(</t>
        </is>
      </c>
      <c r="P27" s="135" t="inlineStr">
        <is>
          <t>V27</t>
        </is>
      </c>
      <c r="Q27" s="177" t="inlineStr">
        <is>
          <t>,新增字段查找!C4:I500,2,FALSE),"")</t>
        </is>
      </c>
      <c r="S27">
        <f>IFERROR(VLOOKUP(V27,新增字段查找!C4:I500,2,FALSE),"")</f>
        <v/>
      </c>
      <c r="T27">
        <f>IFERROR(VLOOKUP(V27,新增字段查找!C4:I500,3,FALSE),"")</f>
        <v/>
      </c>
      <c r="U27" t="inlineStr">
        <is>
          <t>YES</t>
        </is>
      </c>
      <c r="V27" s="137" t="inlineStr">
        <is>
          <t>池编号</t>
        </is>
      </c>
      <c r="W27">
        <f>IFERROR(VLOOKUP(V27,新增字段查找!C4:I500,6,FALSE),"")</f>
        <v/>
      </c>
      <c r="X27">
        <f>IFERROR(VLOOKUP(V27,新增字段查找!C4:I500,7,FALSE),"")</f>
        <v/>
      </c>
      <c r="AA27">
        <f>IFERROR(VLOOKUP(P27,新增字段查找!C4:I37,7,FALSE),"")</f>
        <v/>
      </c>
    </row>
    <row r="28" ht="31" customHeight="1" s="170">
      <c r="C28" s="82" t="inlineStr">
        <is>
          <t>上市公司是否盈利</t>
        </is>
      </c>
      <c r="D28" s="111" t="inlineStr">
        <is>
          <t>ISPROFITABLE</t>
        </is>
      </c>
      <c r="E28" s="60" t="inlineStr">
        <is>
          <t>varchar(6)</t>
        </is>
      </c>
      <c r="F28" s="65" t="inlineStr">
        <is>
          <t>YES</t>
        </is>
      </c>
      <c r="G28" s="82" t="inlineStr">
        <is>
          <t>上市公司是否盈利</t>
        </is>
      </c>
      <c r="H28" s="60" t="n"/>
      <c r="I28" s="60" t="n"/>
      <c r="N28">
        <f>O28&amp;P28&amp;Q28</f>
        <v/>
      </c>
      <c r="O28" s="177" t="inlineStr">
        <is>
          <t>=IFERROR(VLOOKUP(</t>
        </is>
      </c>
      <c r="P28" s="135" t="inlineStr">
        <is>
          <t>V28</t>
        </is>
      </c>
      <c r="Q28" s="177" t="inlineStr">
        <is>
          <t>,新增字段查找!C4:I500,2,FALSE),"")</t>
        </is>
      </c>
      <c r="S28">
        <f>IFERROR(VLOOKUP(V28,新增字段查找!C4:I500,2,FALSE),"")</f>
        <v/>
      </c>
      <c r="T28">
        <f>IFERROR(VLOOKUP(V28,新增字段查找!C4:I500,3,FALSE),"")</f>
        <v/>
      </c>
      <c r="U28" t="inlineStr">
        <is>
          <t>YES</t>
        </is>
      </c>
      <c r="V28" s="102" t="inlineStr">
        <is>
          <t>期限（天）</t>
        </is>
      </c>
      <c r="W28">
        <f>IFERROR(VLOOKUP(V28,新增字段查找!C4:I500,6,FALSE),"")</f>
        <v/>
      </c>
      <c r="X28">
        <f>IFERROR(VLOOKUP(V28,新增字段查找!C4:I500,7,FALSE),"")</f>
        <v/>
      </c>
      <c r="AA28">
        <f>IFERROR(VLOOKUP(P28,新增字段查找!C4:I37,7,FALSE),"")</f>
        <v/>
      </c>
    </row>
    <row r="29" ht="31" customHeight="1" s="170">
      <c r="C29" s="82" t="inlineStr">
        <is>
          <t>质押基金份额占总额</t>
        </is>
      </c>
      <c r="D29" s="111" t="inlineStr">
        <is>
          <t>SHARERATIO</t>
        </is>
      </c>
      <c r="E29" s="60" t="inlineStr">
        <is>
          <t>decimal(18,8)</t>
        </is>
      </c>
      <c r="F29" s="65" t="inlineStr">
        <is>
          <t>YES</t>
        </is>
      </c>
      <c r="G29" s="82" t="inlineStr">
        <is>
          <t>质押基金份额占总额</t>
        </is>
      </c>
      <c r="H29" s="60" t="n"/>
      <c r="I29" s="60" t="n"/>
      <c r="N29">
        <f>O29&amp;P29&amp;Q29</f>
        <v/>
      </c>
      <c r="O29" s="177" t="inlineStr">
        <is>
          <t>=IFERROR(VLOOKUP(</t>
        </is>
      </c>
      <c r="P29" s="135" t="inlineStr">
        <is>
          <t>V29</t>
        </is>
      </c>
      <c r="Q29" s="177" t="inlineStr">
        <is>
          <t>,新增字段查找!C4:I500,2,FALSE),"")</t>
        </is>
      </c>
      <c r="S29">
        <f>IFERROR(VLOOKUP(V29,新增字段查找!C4:I500,2,FALSE),"")</f>
        <v/>
      </c>
      <c r="T29">
        <f>IFERROR(VLOOKUP(V29,新增字段查找!C4:I500,3,FALSE),"")</f>
        <v/>
      </c>
      <c r="U29" t="inlineStr">
        <is>
          <t>YES</t>
        </is>
      </c>
      <c r="V29" s="102" t="inlineStr">
        <is>
          <t>具体单位名称</t>
        </is>
      </c>
      <c r="W29">
        <f>IFERROR(VLOOKUP(V29,新增字段查找!C4:I500,6,FALSE),"")</f>
        <v/>
      </c>
      <c r="X29">
        <f>IFERROR(VLOOKUP(V29,新增字段查找!C4:I500,7,FALSE),"")</f>
        <v/>
      </c>
      <c r="AA29">
        <f>IFERROR(VLOOKUP(P29,新增字段查找!C4:I37,7,FALSE),"")</f>
        <v/>
      </c>
    </row>
    <row r="30" ht="46" customHeight="1" s="170">
      <c r="C30" s="99" t="inlineStr">
        <is>
          <t>保单现金价值确认部门</t>
        </is>
      </c>
      <c r="D30" s="111" t="inlineStr">
        <is>
          <t>CONFIRMDEPARTMENT</t>
        </is>
      </c>
      <c r="E30" s="60" t="inlineStr">
        <is>
          <t>varchar(32)</t>
        </is>
      </c>
      <c r="F30" s="65" t="inlineStr">
        <is>
          <t>YES</t>
        </is>
      </c>
      <c r="G30" s="99" t="inlineStr">
        <is>
          <t>保单现金价值确认部门</t>
        </is>
      </c>
      <c r="H30" s="60" t="n"/>
      <c r="I30" s="60" t="n"/>
      <c r="N30">
        <f>O30&amp;P30&amp;Q30</f>
        <v/>
      </c>
      <c r="O30" s="177" t="inlineStr">
        <is>
          <t>=IFERROR(VLOOKUP(</t>
        </is>
      </c>
      <c r="P30" s="135" t="inlineStr">
        <is>
          <t>V30</t>
        </is>
      </c>
      <c r="Q30" s="177" t="inlineStr">
        <is>
          <t>,新增字段查找!C4:I500,2,FALSE),"")</t>
        </is>
      </c>
      <c r="S30">
        <f>IFERROR(VLOOKUP(V30,新增字段查找!C4:I500,2,FALSE),"")</f>
        <v/>
      </c>
      <c r="T30">
        <f>IFERROR(VLOOKUP(V30,新增字段查找!C4:I500,3,FALSE),"")</f>
        <v/>
      </c>
      <c r="U30" t="inlineStr">
        <is>
          <t>YES</t>
        </is>
      </c>
      <c r="V30" s="102" t="inlineStr">
        <is>
          <t>发票完整性</t>
        </is>
      </c>
      <c r="W30">
        <f>IFERROR(VLOOKUP(V30,新增字段查找!C4:I500,6,FALSE),"")</f>
        <v/>
      </c>
      <c r="X30">
        <f>IFERROR(VLOOKUP(V30,新增字段查找!C4:I500,7,FALSE),"")</f>
        <v/>
      </c>
      <c r="AA30">
        <f>IFERROR(VLOOKUP(P30,新增字段查找!C4:I37,7,FALSE),"")</f>
        <v/>
      </c>
    </row>
    <row r="31" ht="31" customHeight="1" s="170">
      <c r="C31" s="82" t="inlineStr">
        <is>
          <t>保险费交缴期限</t>
        </is>
      </c>
      <c r="D31" s="111" t="inlineStr">
        <is>
          <t>PAYMENTPERIOD</t>
        </is>
      </c>
      <c r="E31" s="60" t="inlineStr">
        <is>
          <t>datetime</t>
        </is>
      </c>
      <c r="F31" s="65" t="inlineStr">
        <is>
          <t>YES</t>
        </is>
      </c>
      <c r="G31" s="82" t="inlineStr">
        <is>
          <t>保险费交缴期限</t>
        </is>
      </c>
      <c r="H31" s="60" t="n"/>
      <c r="I31" s="60" t="n"/>
      <c r="N31">
        <f>O31&amp;P31&amp;Q31</f>
        <v/>
      </c>
      <c r="O31" s="177" t="inlineStr">
        <is>
          <t>=IFERROR(VLOOKUP(</t>
        </is>
      </c>
      <c r="P31" s="135" t="inlineStr">
        <is>
          <t>V31</t>
        </is>
      </c>
      <c r="Q31" s="177" t="inlineStr">
        <is>
          <t>,新增字段查找!C4:I500,2,FALSE),"")</t>
        </is>
      </c>
      <c r="S31">
        <f>IFERROR(VLOOKUP(V31,新增字段查找!C4:I500,2,FALSE),"")</f>
        <v/>
      </c>
      <c r="T31">
        <f>IFERROR(VLOOKUP(V31,新增字段查找!C4:I500,3,FALSE),"")</f>
        <v/>
      </c>
      <c r="U31" t="inlineStr">
        <is>
          <t>YES</t>
        </is>
      </c>
      <c r="V31" s="102" t="inlineStr">
        <is>
          <t>质押合同编号</t>
        </is>
      </c>
      <c r="W31">
        <f>IFERROR(VLOOKUP(V31,新增字段查找!C4:I500,6,FALSE),"")</f>
        <v/>
      </c>
      <c r="X31">
        <f>IFERROR(VLOOKUP(V31,新增字段查找!C4:I500,7,FALSE),"")</f>
        <v/>
      </c>
      <c r="AA31">
        <f>IFERROR(VLOOKUP(P31,新增字段查找!C4:I37,7,FALSE),"")</f>
        <v/>
      </c>
    </row>
    <row r="32" ht="41" customHeight="1" s="170">
      <c r="C32" s="59" t="inlineStr">
        <is>
          <t>理财质押范围</t>
        </is>
      </c>
      <c r="D32" s="111" t="inlineStr">
        <is>
          <t>PLEDGESCOPE</t>
        </is>
      </c>
      <c r="E32" s="60" t="inlineStr">
        <is>
          <t>varchar(6)</t>
        </is>
      </c>
      <c r="F32" s="65" t="inlineStr">
        <is>
          <t>YES</t>
        </is>
      </c>
      <c r="G32" s="59" t="inlineStr">
        <is>
          <t>理财质押范围</t>
        </is>
      </c>
      <c r="H32" s="60" t="n"/>
      <c r="I32" s="100" t="inlineStr">
        <is>
          <t>01 本金、02 本金及未来收益</t>
        </is>
      </c>
      <c r="N32">
        <f>O32&amp;P32&amp;Q32</f>
        <v/>
      </c>
      <c r="O32" s="177" t="inlineStr">
        <is>
          <t>=IFERROR(VLOOKUP(</t>
        </is>
      </c>
      <c r="P32" s="135" t="inlineStr">
        <is>
          <t>V32</t>
        </is>
      </c>
      <c r="Q32" s="177" t="inlineStr">
        <is>
          <t>,新增字段查找!C4:I500,2,FALSE),"")</t>
        </is>
      </c>
      <c r="S32">
        <f>IFERROR(VLOOKUP(V32,新增字段查找!C4:I500,2,FALSE),"")</f>
        <v/>
      </c>
      <c r="T32">
        <f>IFERROR(VLOOKUP(V32,新增字段查找!C4:I500,3,FALSE),"")</f>
        <v/>
      </c>
      <c r="U32" t="inlineStr">
        <is>
          <t>YES</t>
        </is>
      </c>
      <c r="V32" s="102" t="inlineStr">
        <is>
          <t>合同名称</t>
        </is>
      </c>
      <c r="W32">
        <f>IFERROR(VLOOKUP(V32,新增字段查找!C4:I500,6,FALSE),"")</f>
        <v/>
      </c>
      <c r="X32">
        <f>IFERROR(VLOOKUP(V32,新增字段查找!C4:I500,7,FALSE),"")</f>
        <v/>
      </c>
      <c r="AA32">
        <f>IFERROR(VLOOKUP(P32,新增字段查找!C4:I37,7,FALSE),"")</f>
        <v/>
      </c>
    </row>
    <row r="33" ht="46" customHeight="1" s="170">
      <c r="C33" s="99" t="inlineStr">
        <is>
          <t>受益凭证</t>
        </is>
      </c>
      <c r="D33" s="111" t="inlineStr">
        <is>
          <t>BENEFICIARYCERTIFICATE</t>
        </is>
      </c>
      <c r="E33" s="60" t="inlineStr">
        <is>
          <t>varchar(50)</t>
        </is>
      </c>
      <c r="F33" s="65" t="inlineStr">
        <is>
          <t>YES</t>
        </is>
      </c>
      <c r="G33" s="99" t="inlineStr">
        <is>
          <t>受益凭证</t>
        </is>
      </c>
      <c r="H33" s="60" t="n"/>
      <c r="I33" s="60" t="n"/>
      <c r="N33">
        <f>O33&amp;P33&amp;Q33</f>
        <v/>
      </c>
      <c r="O33" s="177" t="inlineStr">
        <is>
          <t>=IFERROR(VLOOKUP(</t>
        </is>
      </c>
      <c r="P33" s="135" t="inlineStr">
        <is>
          <t>V33</t>
        </is>
      </c>
      <c r="Q33" s="177" t="inlineStr">
        <is>
          <t>,新增字段查找!C4:I500,2,FALSE),"")</t>
        </is>
      </c>
      <c r="S33">
        <f>IFERROR(VLOOKUP(V33,新增字段查找!C4:I500,2,FALSE),"")</f>
        <v/>
      </c>
      <c r="T33">
        <f>IFERROR(VLOOKUP(V33,新增字段查找!C4:I500,3,FALSE),"")</f>
        <v/>
      </c>
      <c r="U33" t="inlineStr">
        <is>
          <t>YES</t>
        </is>
      </c>
      <c r="V33" s="102" t="inlineStr">
        <is>
          <t>贷款企业法人代表姓名</t>
        </is>
      </c>
      <c r="W33">
        <f>IFERROR(VLOOKUP(V33,新增字段查找!C4:I500,6,FALSE),"")</f>
        <v/>
      </c>
      <c r="X33">
        <f>IFERROR(VLOOKUP(V33,新增字段查找!C4:I500,7,FALSE),"")</f>
        <v/>
      </c>
      <c r="AA33">
        <f>IFERROR(VLOOKUP(P33,新增字段查找!C4:I37,7,FALSE),"")</f>
        <v/>
      </c>
    </row>
    <row r="34" ht="61" customHeight="1" s="170">
      <c r="C34" s="99" t="inlineStr">
        <is>
          <t>是否保本型</t>
        </is>
      </c>
      <c r="D34" s="111" t="inlineStr">
        <is>
          <t>ISPRINCIPALGUARANTEED</t>
        </is>
      </c>
      <c r="E34" s="60" t="inlineStr">
        <is>
          <t>varchar(6)</t>
        </is>
      </c>
      <c r="F34" s="65" t="inlineStr">
        <is>
          <t>YES</t>
        </is>
      </c>
      <c r="G34" s="99" t="inlineStr">
        <is>
          <t>是否保本型</t>
        </is>
      </c>
      <c r="H34" s="60" t="n"/>
      <c r="I34" s="60" t="n"/>
      <c r="N34">
        <f>O34&amp;P34&amp;Q34</f>
        <v/>
      </c>
      <c r="O34" s="177" t="inlineStr">
        <is>
          <t>=IFERROR(VLOOKUP(</t>
        </is>
      </c>
      <c r="P34" s="135" t="inlineStr">
        <is>
          <t>V34</t>
        </is>
      </c>
      <c r="Q34" s="177" t="inlineStr">
        <is>
          <t>,新增字段查找!C4:I500,2,FALSE),"")</t>
        </is>
      </c>
      <c r="S34">
        <f>IFERROR(VLOOKUP(V34,新增字段查找!C4:I500,2,FALSE),"")</f>
        <v/>
      </c>
      <c r="T34">
        <f>IFERROR(VLOOKUP(V34,新增字段查找!C4:I500,3,FALSE),"")</f>
        <v/>
      </c>
      <c r="U34" t="inlineStr">
        <is>
          <t>YES</t>
        </is>
      </c>
      <c r="V34" s="102" t="inlineStr">
        <is>
          <t>纸质合同相对人名称</t>
        </is>
      </c>
      <c r="W34">
        <f>IFERROR(VLOOKUP(V34,新增字段查找!C4:I500,6,FALSE),"")</f>
        <v/>
      </c>
      <c r="X34">
        <f>IFERROR(VLOOKUP(V34,新增字段查找!C4:I500,7,FALSE),"")</f>
        <v/>
      </c>
      <c r="AA34">
        <f>IFERROR(VLOOKUP(P34,新增字段查找!C4:I37,7,FALSE),"")</f>
        <v/>
      </c>
    </row>
    <row r="35" ht="31" customHeight="1" s="170">
      <c r="C35" s="99" t="inlineStr">
        <is>
          <t>户主/姓名</t>
        </is>
      </c>
      <c r="D35" s="111" t="inlineStr">
        <is>
          <t>ACCOUNTNAME</t>
        </is>
      </c>
      <c r="E35" s="60" t="inlineStr">
        <is>
          <t>varchar(32)</t>
        </is>
      </c>
      <c r="F35" s="65" t="inlineStr">
        <is>
          <t>YES</t>
        </is>
      </c>
      <c r="G35" s="99" t="inlineStr">
        <is>
          <t>户主/姓名</t>
        </is>
      </c>
      <c r="H35" s="60" t="n"/>
      <c r="I35" s="60" t="n"/>
      <c r="N35">
        <f>O35&amp;P35&amp;Q35</f>
        <v/>
      </c>
      <c r="O35" s="177" t="inlineStr">
        <is>
          <t>=IFERROR(VLOOKUP(</t>
        </is>
      </c>
      <c r="P35" s="135" t="inlineStr">
        <is>
          <t>V35</t>
        </is>
      </c>
      <c r="Q35" s="177" t="inlineStr">
        <is>
          <t>,新增字段查找!C4:I500,2,FALSE),"")</t>
        </is>
      </c>
      <c r="S35">
        <f>IFERROR(VLOOKUP(V35,新增字段查找!C4:I500,2,FALSE),"")</f>
        <v/>
      </c>
      <c r="T35">
        <f>IFERROR(VLOOKUP(V35,新增字段查找!C4:I500,3,FALSE),"")</f>
        <v/>
      </c>
      <c r="U35" t="inlineStr">
        <is>
          <t>YES</t>
        </is>
      </c>
      <c r="V35" s="102" t="inlineStr">
        <is>
          <t>合同签订日期</t>
        </is>
      </c>
      <c r="W35">
        <f>IFERROR(VLOOKUP(V35,新增字段查找!C4:I500,6,FALSE),"")</f>
        <v/>
      </c>
      <c r="X35">
        <f>IFERROR(VLOOKUP(V35,新增字段查找!C4:I500,7,FALSE),"")</f>
        <v/>
      </c>
      <c r="AA35">
        <f>IFERROR(VLOOKUP(P35,新增字段查找!C4:I37,7,FALSE),"")</f>
        <v/>
      </c>
    </row>
    <row r="36" ht="31" customHeight="1" s="170">
      <c r="C36" s="99" t="inlineStr">
        <is>
          <t>权利凭证编号</t>
        </is>
      </c>
      <c r="D36" s="111" t="inlineStr">
        <is>
          <t>RIGHTCERTNO</t>
        </is>
      </c>
      <c r="E36" s="60" t="inlineStr">
        <is>
          <t>varchar(32)</t>
        </is>
      </c>
      <c r="F36" s="65" t="inlineStr">
        <is>
          <t>YES</t>
        </is>
      </c>
      <c r="G36" s="99" t="inlineStr">
        <is>
          <t>权利凭证编号</t>
        </is>
      </c>
      <c r="H36" s="60" t="n"/>
      <c r="I36" s="60" t="n"/>
      <c r="V36" s="102" t="inlineStr">
        <is>
          <t>客户名称</t>
        </is>
      </c>
    </row>
    <row r="37" ht="46" customHeight="1" s="170">
      <c r="C37" s="99" t="inlineStr">
        <is>
          <t>质押到期日期</t>
        </is>
      </c>
      <c r="D37" s="111" t="inlineStr">
        <is>
          <t>PLEDGEEXPIRATIONDATE</t>
        </is>
      </c>
      <c r="E37" s="60" t="inlineStr">
        <is>
          <t>datetime</t>
        </is>
      </c>
      <c r="F37" s="65" t="inlineStr">
        <is>
          <t>YES</t>
        </is>
      </c>
      <c r="G37" s="99" t="inlineStr">
        <is>
          <t>质押到期日期</t>
        </is>
      </c>
      <c r="H37" s="60" t="n"/>
      <c r="I37" s="60" t="n"/>
      <c r="V37" s="102" t="inlineStr">
        <is>
          <t>客户号</t>
        </is>
      </c>
    </row>
    <row r="38" ht="28" customHeight="1" s="170">
      <c r="C38" s="100" t="inlineStr">
        <is>
          <t>权利人贷款卡号</t>
        </is>
      </c>
      <c r="D38" s="60" t="inlineStr">
        <is>
          <t>LOANCARDNO</t>
        </is>
      </c>
      <c r="E38" s="60" t="inlineStr">
        <is>
          <t>varchar(32)</t>
        </is>
      </c>
      <c r="F38" s="65" t="inlineStr">
        <is>
          <t>YES</t>
        </is>
      </c>
      <c r="G38" s="100" t="inlineStr">
        <is>
          <t>权利人贷款卡号</t>
        </is>
      </c>
      <c r="H38" s="60" t="n"/>
      <c r="I38" s="60" t="n"/>
      <c r="V38" s="135" t="inlineStr">
        <is>
          <t>项目立项批文文号</t>
        </is>
      </c>
    </row>
    <row r="39" ht="16" customHeight="1" s="170">
      <c r="C39" s="100" t="inlineStr">
        <is>
          <t>设备现状</t>
        </is>
      </c>
      <c r="D39" s="60" t="inlineStr">
        <is>
          <t>EQUIPSTATUS</t>
        </is>
      </c>
      <c r="E39" s="60" t="inlineStr">
        <is>
          <t>varchar(6)</t>
        </is>
      </c>
      <c r="F39" s="65" t="inlineStr">
        <is>
          <t>YES</t>
        </is>
      </c>
      <c r="G39" s="100" t="inlineStr">
        <is>
          <t>设备现状</t>
        </is>
      </c>
      <c r="H39" s="60" t="n"/>
      <c r="I39" s="60" t="inlineStr">
        <is>
          <t xml:space="preserve">01 -出租、02-占用、03-闲置、04-自用、05-其他 </t>
        </is>
      </c>
      <c r="V39" s="135" t="inlineStr">
        <is>
          <t>收费权确认文号</t>
        </is>
      </c>
    </row>
    <row r="40">
      <c r="C40" s="100" t="inlineStr">
        <is>
          <t>抵押物说明</t>
        </is>
      </c>
      <c r="D40" s="60" t="inlineStr">
        <is>
          <t>GUARANTYDESCRIPT</t>
        </is>
      </c>
      <c r="E40" s="60" t="inlineStr">
        <is>
          <t>varchar(800)</t>
        </is>
      </c>
      <c r="F40" s="65" t="inlineStr">
        <is>
          <t>YES</t>
        </is>
      </c>
      <c r="G40" s="100" t="inlineStr">
        <is>
          <t>抵押物说明</t>
        </is>
      </c>
      <c r="H40" s="60" t="n"/>
      <c r="I40" s="60" t="n"/>
      <c r="V40" s="135" t="inlineStr">
        <is>
          <t>可质押批复文号</t>
        </is>
      </c>
    </row>
    <row r="41">
      <c r="C41" s="99" t="inlineStr">
        <is>
          <t>权证号</t>
        </is>
      </c>
      <c r="D41" s="60" t="inlineStr">
        <is>
          <t>GUARANTYRIGHTID</t>
        </is>
      </c>
      <c r="E41" s="60" t="inlineStr">
        <is>
          <t>varchar(800)</t>
        </is>
      </c>
      <c r="F41" s="65" t="inlineStr">
        <is>
          <t>YES</t>
        </is>
      </c>
      <c r="G41" s="99" t="inlineStr">
        <is>
          <t>权证号</t>
        </is>
      </c>
      <c r="H41" s="60" t="n"/>
      <c r="I41" s="60" t="n"/>
      <c r="V41" s="135" t="inlineStr">
        <is>
          <t>币种</t>
        </is>
      </c>
    </row>
    <row r="42">
      <c r="C42" s="99" t="inlineStr">
        <is>
          <t>是否部分抵押</t>
        </is>
      </c>
      <c r="D42" s="60" t="inlineStr">
        <is>
          <t>ISPARTMORTGAGED</t>
        </is>
      </c>
      <c r="E42" s="60" t="inlineStr">
        <is>
          <t>varchar(6)</t>
        </is>
      </c>
      <c r="F42" s="65" t="inlineStr">
        <is>
          <t>YES</t>
        </is>
      </c>
      <c r="G42" s="99" t="inlineStr">
        <is>
          <t>是否部分抵押</t>
        </is>
      </c>
      <c r="H42" s="60" t="n"/>
      <c r="I42" s="60" t="n"/>
      <c r="V42" s="135" t="inlineStr">
        <is>
          <t>权利取得价值</t>
        </is>
      </c>
    </row>
    <row r="43">
      <c r="C43" s="99" t="inlineStr">
        <is>
          <t>预计变现值</t>
        </is>
      </c>
      <c r="D43" s="60" t="inlineStr">
        <is>
          <t>REALIZATIONVALUE</t>
        </is>
      </c>
      <c r="E43" s="60" t="inlineStr">
        <is>
          <t>decimal(24,6)</t>
        </is>
      </c>
      <c r="F43" s="65" t="inlineStr">
        <is>
          <t>YES</t>
        </is>
      </c>
      <c r="G43" s="99" t="inlineStr">
        <is>
          <t>预计变现值</t>
        </is>
      </c>
      <c r="H43" s="60" t="n"/>
      <c r="I43" s="60" t="n"/>
    </row>
    <row r="44">
      <c r="C44" s="99" t="inlineStr">
        <is>
          <t>预计变现成本</t>
        </is>
      </c>
      <c r="D44" s="60" t="inlineStr">
        <is>
          <t>REALIZATIONCOST</t>
        </is>
      </c>
      <c r="E44" s="60" t="inlineStr">
        <is>
          <t>decimal(24,6)</t>
        </is>
      </c>
      <c r="F44" s="65" t="inlineStr">
        <is>
          <t>YES</t>
        </is>
      </c>
      <c r="G44" s="99" t="inlineStr">
        <is>
          <t>预计变现成本</t>
        </is>
      </c>
      <c r="H44" s="60" t="n"/>
      <c r="I44" s="60" t="n"/>
    </row>
    <row r="45">
      <c r="C45" s="99" t="inlineStr">
        <is>
          <t>他项权证号</t>
        </is>
      </c>
      <c r="D45" s="65" t="inlineStr">
        <is>
          <t>OTHERSRIGHTID</t>
        </is>
      </c>
      <c r="E45" s="65" t="inlineStr">
        <is>
          <t>varchar(100)</t>
        </is>
      </c>
      <c r="F45" s="65" t="inlineStr">
        <is>
          <t>YES</t>
        </is>
      </c>
      <c r="G45" s="99" t="inlineStr">
        <is>
          <t>他项权证号</t>
        </is>
      </c>
      <c r="H45" s="60" t="n"/>
      <c r="I45" s="60" t="n"/>
    </row>
    <row r="46" ht="46" customHeight="1" s="170">
      <c r="C46" s="100" t="inlineStr">
        <is>
          <t>是否有车辆购置附加税证</t>
        </is>
      </c>
      <c r="D46" s="111" t="inlineStr">
        <is>
          <t>HASVEHICLEBUYTAX</t>
        </is>
      </c>
      <c r="E46" s="60" t="inlineStr">
        <is>
          <t>varchar(6)</t>
        </is>
      </c>
      <c r="F46" s="65" t="inlineStr">
        <is>
          <t>YES</t>
        </is>
      </c>
      <c r="G46" s="100" t="inlineStr">
        <is>
          <t>是否有车辆购置附加税证</t>
        </is>
      </c>
      <c r="H46" s="60" t="n"/>
      <c r="I46" s="60" t="n"/>
    </row>
    <row r="47" ht="46" customHeight="1" s="170">
      <c r="C47" s="100" t="inlineStr">
        <is>
          <t>是否有当年车船使用税证</t>
        </is>
      </c>
      <c r="D47" s="111" t="inlineStr">
        <is>
          <t>HASVEHICLEUSETAX</t>
        </is>
      </c>
      <c r="E47" s="60" t="inlineStr">
        <is>
          <t>varchar(6)</t>
        </is>
      </c>
      <c r="F47" s="65" t="inlineStr">
        <is>
          <t>YES</t>
        </is>
      </c>
      <c r="G47" s="100" t="inlineStr">
        <is>
          <t>是否有当年车船使用税证</t>
        </is>
      </c>
      <c r="H47" s="60" t="n"/>
      <c r="I47" s="60" t="n"/>
    </row>
    <row r="48">
      <c r="C48" s="99" t="inlineStr">
        <is>
          <t>取得他项权证时间</t>
        </is>
      </c>
      <c r="D48" s="65" t="inlineStr">
        <is>
          <t>OTHERSRIGHTDATE</t>
        </is>
      </c>
      <c r="E48" s="60" t="inlineStr">
        <is>
          <t>datetime</t>
        </is>
      </c>
      <c r="F48" s="65" t="inlineStr">
        <is>
          <t>YES</t>
        </is>
      </c>
      <c r="G48" s="99" t="inlineStr">
        <is>
          <t>取得他项权证时间</t>
        </is>
      </c>
      <c r="H48" s="60" t="n"/>
      <c r="I48" s="60" t="n"/>
    </row>
    <row r="49">
      <c r="C49" s="100" t="inlineStr">
        <is>
          <t>抵押物登记情况</t>
        </is>
      </c>
      <c r="D49" s="60" t="inlineStr">
        <is>
          <t>REGISTERINFO</t>
        </is>
      </c>
      <c r="E49" s="60" t="inlineStr">
        <is>
          <t>varchar(500)</t>
        </is>
      </c>
      <c r="F49" s="65" t="inlineStr">
        <is>
          <t>YES</t>
        </is>
      </c>
      <c r="G49" s="100" t="inlineStr">
        <is>
          <t>抵押物登记情况</t>
        </is>
      </c>
      <c r="H49" s="60" t="n"/>
      <c r="I49" s="60" t="n"/>
    </row>
    <row r="50" ht="46" customHeight="1" s="170">
      <c r="C50" s="100" t="inlineStr">
        <is>
          <t>此抵押物是否当前申请所购/所抵资产</t>
        </is>
      </c>
      <c r="D50" s="111" t="inlineStr">
        <is>
          <t>ISMORTGAGEDSELF</t>
        </is>
      </c>
      <c r="E50" s="60" t="inlineStr">
        <is>
          <t>varchar(6)</t>
        </is>
      </c>
      <c r="F50" s="65" t="inlineStr">
        <is>
          <t>YES</t>
        </is>
      </c>
      <c r="G50" s="100" t="inlineStr">
        <is>
          <t>此抵押物是否当前申请所购/所抵资产</t>
        </is>
      </c>
      <c r="H50" s="60" t="n"/>
      <c r="I50" s="60" t="n"/>
    </row>
    <row r="51" ht="31" customHeight="1" s="170">
      <c r="C51" s="100" t="inlineStr">
        <is>
          <t>底盘编号</t>
        </is>
      </c>
      <c r="D51" s="111" t="inlineStr">
        <is>
          <t>CHASSISNUMBER</t>
        </is>
      </c>
      <c r="E51" s="60" t="inlineStr">
        <is>
          <t>varchar(50)</t>
        </is>
      </c>
      <c r="F51" s="65" t="inlineStr">
        <is>
          <t>YES</t>
        </is>
      </c>
      <c r="G51" s="100" t="inlineStr">
        <is>
          <t>底盘编号</t>
        </is>
      </c>
      <c r="H51" s="60" t="n"/>
      <c r="I51" s="60" t="n"/>
    </row>
    <row r="52" ht="46" customHeight="1" s="170">
      <c r="C52" s="100" t="inlineStr">
        <is>
          <t>合格证编号</t>
        </is>
      </c>
      <c r="D52" s="111" t="inlineStr">
        <is>
          <t>CERTIFICATENUMBER</t>
        </is>
      </c>
      <c r="E52" s="60" t="inlineStr">
        <is>
          <t>varchar(50)</t>
        </is>
      </c>
      <c r="F52" s="65" t="inlineStr">
        <is>
          <t>YES</t>
        </is>
      </c>
      <c r="G52" s="100" t="inlineStr">
        <is>
          <t>合格证编号</t>
        </is>
      </c>
      <c r="H52" s="60" t="n"/>
      <c r="I52" s="60" t="n"/>
    </row>
    <row r="53" ht="31" customHeight="1" s="170">
      <c r="C53" s="100" t="inlineStr">
        <is>
          <t>机动车登记证编号</t>
        </is>
      </c>
      <c r="D53" s="111" t="inlineStr">
        <is>
          <t>VEHICLECERT</t>
        </is>
      </c>
      <c r="E53" s="60" t="inlineStr">
        <is>
          <t>varchar(50)</t>
        </is>
      </c>
      <c r="F53" s="65" t="inlineStr">
        <is>
          <t>YES</t>
        </is>
      </c>
      <c r="G53" s="100" t="inlineStr">
        <is>
          <t>机动车登记证编号</t>
        </is>
      </c>
      <c r="H53" s="60" t="n"/>
      <c r="I53" s="60" t="n"/>
    </row>
    <row r="54" ht="31" customHeight="1" s="170">
      <c r="C54" s="100" t="inlineStr">
        <is>
          <t>车龄</t>
        </is>
      </c>
      <c r="D54" s="111" t="inlineStr">
        <is>
          <t>VEHICLEAGE</t>
        </is>
      </c>
      <c r="E54" s="112" t="inlineStr">
        <is>
          <t>INTEGER(4)</t>
        </is>
      </c>
      <c r="F54" s="65" t="inlineStr">
        <is>
          <t>YES</t>
        </is>
      </c>
      <c r="G54" s="100" t="inlineStr">
        <is>
          <t>车龄</t>
        </is>
      </c>
      <c r="H54" s="60" t="n"/>
      <c r="I54" s="60" t="n"/>
    </row>
    <row r="55" ht="31" customHeight="1" s="170">
      <c r="C55" s="100" t="inlineStr">
        <is>
          <t>车辆性质</t>
        </is>
      </c>
      <c r="D55" s="111" t="inlineStr">
        <is>
          <t>VEHICLENATURE</t>
        </is>
      </c>
      <c r="E55" s="60" t="inlineStr">
        <is>
          <t>varchar(10)</t>
        </is>
      </c>
      <c r="F55" s="65" t="inlineStr">
        <is>
          <t>YES</t>
        </is>
      </c>
      <c r="G55" s="100" t="inlineStr">
        <is>
          <t>车辆性质</t>
        </is>
      </c>
      <c r="H55" s="60" t="n"/>
      <c r="I55" s="60" t="n"/>
    </row>
    <row r="56" ht="16" customHeight="1" s="170">
      <c r="C56" s="100" t="inlineStr">
        <is>
          <t>购买用途</t>
        </is>
      </c>
      <c r="D56" s="111" t="inlineStr">
        <is>
          <t>USAGE</t>
        </is>
      </c>
      <c r="E56" s="60" t="inlineStr">
        <is>
          <t>varchar(10)</t>
        </is>
      </c>
      <c r="F56" s="65" t="inlineStr">
        <is>
          <t>YES</t>
        </is>
      </c>
      <c r="G56" s="100" t="inlineStr">
        <is>
          <t>购买用途</t>
        </is>
      </c>
      <c r="H56" s="60" t="n"/>
      <c r="I56" s="60" t="n"/>
    </row>
    <row r="57" ht="46" customHeight="1" s="170">
      <c r="C57" s="100" t="inlineStr">
        <is>
          <t>营运许可证号</t>
        </is>
      </c>
      <c r="D57" s="111" t="inlineStr">
        <is>
          <t>OPERATIONLICENSE</t>
        </is>
      </c>
      <c r="E57" s="60" t="inlineStr">
        <is>
          <t>varchar(200)</t>
        </is>
      </c>
      <c r="F57" s="65" t="inlineStr">
        <is>
          <t>YES</t>
        </is>
      </c>
      <c r="G57" s="100" t="inlineStr">
        <is>
          <t>营运许可证号</t>
        </is>
      </c>
      <c r="H57" s="60" t="n"/>
      <c r="I57" s="60" t="n"/>
    </row>
    <row r="58" ht="31" customHeight="1" s="170">
      <c r="C58" s="100" t="inlineStr">
        <is>
          <t>销售协议编号</t>
        </is>
      </c>
      <c r="D58" s="111" t="inlineStr">
        <is>
          <t>SALESNUMBER</t>
        </is>
      </c>
      <c r="E58" s="60" t="inlineStr">
        <is>
          <t>varchar(50)</t>
        </is>
      </c>
      <c r="F58" s="65" t="inlineStr">
        <is>
          <t>YES</t>
        </is>
      </c>
      <c r="G58" s="100" t="inlineStr">
        <is>
          <t>销售协议编号</t>
        </is>
      </c>
      <c r="H58" s="60" t="n"/>
      <c r="I58" s="60" t="n"/>
    </row>
    <row r="59" ht="31" customHeight="1" s="170">
      <c r="C59" s="100" t="inlineStr">
        <is>
          <t>首付款</t>
        </is>
      </c>
      <c r="D59" s="111" t="inlineStr">
        <is>
          <t>DOWNPAYMENT</t>
        </is>
      </c>
      <c r="E59" s="60" t="inlineStr">
        <is>
          <t>decimal(24,6)</t>
        </is>
      </c>
      <c r="F59" s="65" t="inlineStr">
        <is>
          <t>YES</t>
        </is>
      </c>
      <c r="G59" s="100" t="inlineStr">
        <is>
          <t>首付款</t>
        </is>
      </c>
      <c r="H59" s="60" t="n"/>
      <c r="I59" s="60" t="n"/>
    </row>
    <row r="60" ht="31" customHeight="1" s="170">
      <c r="C60" s="100" t="inlineStr">
        <is>
          <t>提车日期</t>
        </is>
      </c>
      <c r="D60" s="111" t="inlineStr">
        <is>
          <t>VEHICLEDATE</t>
        </is>
      </c>
      <c r="E60" s="60" t="inlineStr">
        <is>
          <t>datetime</t>
        </is>
      </c>
      <c r="F60" s="65" t="inlineStr">
        <is>
          <t>YES</t>
        </is>
      </c>
      <c r="G60" s="100" t="inlineStr">
        <is>
          <t>提车日期</t>
        </is>
      </c>
      <c r="H60" s="60" t="n"/>
      <c r="I60" s="60" t="n"/>
    </row>
    <row r="61">
      <c r="C61" s="99" t="inlineStr">
        <is>
          <t>支出类型</t>
        </is>
      </c>
      <c r="D61" s="60" t="inlineStr">
        <is>
          <t>PAYOUTTYPE</t>
        </is>
      </c>
      <c r="E61" s="60" t="inlineStr">
        <is>
          <t>varchar(6)</t>
        </is>
      </c>
      <c r="F61" s="65" t="inlineStr">
        <is>
          <t>YES</t>
        </is>
      </c>
      <c r="G61" s="99" t="inlineStr">
        <is>
          <t>支出类型</t>
        </is>
      </c>
      <c r="H61" s="60" t="n"/>
      <c r="I61" s="60" t="inlineStr">
        <is>
          <t>01 -密码  、  02- 证件 、03 -印鉴</t>
        </is>
      </c>
    </row>
    <row r="62" ht="31" customHeight="1" s="170">
      <c r="C62" s="100" t="inlineStr">
        <is>
          <t>年检是否正常</t>
        </is>
      </c>
      <c r="D62" s="111" t="inlineStr">
        <is>
          <t>ISANNUALTEST</t>
        </is>
      </c>
      <c r="E62" s="60" t="inlineStr">
        <is>
          <t>varchar(6)</t>
        </is>
      </c>
      <c r="F62" s="65" t="inlineStr">
        <is>
          <t>YES</t>
        </is>
      </c>
      <c r="G62" s="100" t="inlineStr">
        <is>
          <t>年检是否正常</t>
        </is>
      </c>
      <c r="H62" s="60" t="n"/>
      <c r="I62" s="60" t="n"/>
    </row>
    <row r="63" ht="31" customHeight="1" s="170">
      <c r="C63" s="99" t="inlineStr">
        <is>
          <t>运输工具类型</t>
        </is>
      </c>
      <c r="D63" s="111" t="inlineStr">
        <is>
          <t>VEHICLETYPE</t>
        </is>
      </c>
      <c r="E63" s="60" t="inlineStr">
        <is>
          <t>varchar(200)</t>
        </is>
      </c>
      <c r="F63" s="65" t="inlineStr">
        <is>
          <t>YES</t>
        </is>
      </c>
      <c r="G63" s="99" t="inlineStr">
        <is>
          <t>运输工具类型</t>
        </is>
      </c>
      <c r="H63" s="60" t="n"/>
      <c r="I63" s="60" t="n"/>
    </row>
    <row r="64" ht="31" customHeight="1" s="170">
      <c r="C64" s="99" t="inlineStr">
        <is>
          <t>船籍</t>
        </is>
      </c>
      <c r="D64" s="111" t="inlineStr">
        <is>
          <t>SHIPNATIONALITY</t>
        </is>
      </c>
      <c r="E64" s="60" t="inlineStr">
        <is>
          <t>varchar(32)</t>
        </is>
      </c>
      <c r="F64" s="65" t="inlineStr">
        <is>
          <t>YES</t>
        </is>
      </c>
      <c r="G64" s="99" t="inlineStr">
        <is>
          <t>船籍</t>
        </is>
      </c>
      <c r="H64" s="60" t="n"/>
      <c r="I64" s="60" t="n"/>
    </row>
    <row r="65" ht="31" customHeight="1" s="170">
      <c r="C65" s="99" t="inlineStr">
        <is>
          <t>是否有航运证</t>
        </is>
      </c>
      <c r="D65" s="111" t="inlineStr">
        <is>
          <t>ISSHIPPINGCERT</t>
        </is>
      </c>
      <c r="E65" s="60" t="inlineStr">
        <is>
          <t>varchar(6)</t>
        </is>
      </c>
      <c r="F65" s="65" t="inlineStr">
        <is>
          <t>YES</t>
        </is>
      </c>
      <c r="G65" s="99" t="inlineStr">
        <is>
          <t>是否有航运证</t>
        </is>
      </c>
      <c r="H65" s="60" t="n"/>
      <c r="I65" s="60" t="n"/>
    </row>
    <row r="66" ht="16" customHeight="1" s="170">
      <c r="C66" s="99" t="inlineStr">
        <is>
          <t>已行驶里程数</t>
        </is>
      </c>
      <c r="D66" s="111" t="inlineStr">
        <is>
          <t>MILEAGE</t>
        </is>
      </c>
      <c r="E66" s="60" t="inlineStr">
        <is>
          <t>decimal(24,6)</t>
        </is>
      </c>
      <c r="F66" s="65" t="inlineStr">
        <is>
          <t>YES</t>
        </is>
      </c>
      <c r="G66" s="99" t="inlineStr">
        <is>
          <t>已行驶里程数</t>
        </is>
      </c>
      <c r="H66" s="60" t="n"/>
      <c r="I66" s="60" t="n"/>
    </row>
    <row r="67" ht="31" customHeight="1" s="170">
      <c r="C67" s="99" t="inlineStr">
        <is>
          <t>权利人</t>
        </is>
      </c>
      <c r="D67" s="111" t="inlineStr">
        <is>
          <t>RIGHTHOLDER</t>
        </is>
      </c>
      <c r="E67" s="60" t="inlineStr">
        <is>
          <t>varchar(80)</t>
        </is>
      </c>
      <c r="F67" s="65" t="inlineStr">
        <is>
          <t>YES</t>
        </is>
      </c>
      <c r="G67" s="99" t="inlineStr">
        <is>
          <t>权利人</t>
        </is>
      </c>
      <c r="H67" s="60" t="n"/>
      <c r="I67" s="60" t="n"/>
    </row>
    <row r="68">
      <c r="C68" s="100" t="inlineStr">
        <is>
          <t>出质人贷款卡号</t>
        </is>
      </c>
      <c r="D68" s="60" t="inlineStr">
        <is>
          <t>LOANCARDNO</t>
        </is>
      </c>
      <c r="E68" s="60" t="inlineStr">
        <is>
          <t>varchar(32)</t>
        </is>
      </c>
      <c r="F68" s="60" t="inlineStr">
        <is>
          <t>YES</t>
        </is>
      </c>
      <c r="G68" s="100" t="inlineStr">
        <is>
          <t>出质人贷款卡号</t>
        </is>
      </c>
      <c r="H68" s="60" t="n"/>
      <c r="I68" s="60" t="n"/>
      <c r="J68" s="60" t="n"/>
    </row>
    <row r="69">
      <c r="C69" s="100" t="inlineStr">
        <is>
          <t>质押物数量</t>
        </is>
      </c>
      <c r="D69" s="60" t="inlineStr">
        <is>
          <t>GUARANTYAMOUNT</t>
        </is>
      </c>
      <c r="E69" s="60" t="inlineStr">
        <is>
          <t>decimal(24,6)</t>
        </is>
      </c>
      <c r="F69" s="60" t="inlineStr">
        <is>
          <t>YES</t>
        </is>
      </c>
      <c r="G69" s="100" t="inlineStr">
        <is>
          <t>质押物数量</t>
        </is>
      </c>
      <c r="H69" s="60" t="n"/>
      <c r="I69" s="60" t="n"/>
      <c r="J69" s="60" t="n"/>
    </row>
    <row r="70">
      <c r="C70" s="99" t="inlineStr">
        <is>
          <t>权证号</t>
        </is>
      </c>
      <c r="D70" s="60" t="inlineStr">
        <is>
          <t>GUARANTYRIGHTID</t>
        </is>
      </c>
      <c r="E70" s="60" t="inlineStr">
        <is>
          <t>varchar(800)</t>
        </is>
      </c>
      <c r="F70" s="60" t="inlineStr">
        <is>
          <t>YES</t>
        </is>
      </c>
      <c r="G70" s="99" t="inlineStr">
        <is>
          <t>权证号</t>
        </is>
      </c>
      <c r="H70" s="60" t="n"/>
      <c r="I70" s="60" t="n"/>
      <c r="J70" s="60" t="n"/>
    </row>
    <row r="71">
      <c r="C71" s="100" t="inlineStr">
        <is>
          <t>存货价值</t>
        </is>
      </c>
      <c r="D71" s="60" t="inlineStr">
        <is>
          <t>GUARANTYVALUE</t>
        </is>
      </c>
      <c r="E71" s="60" t="inlineStr">
        <is>
          <t>decimal(24,6)</t>
        </is>
      </c>
      <c r="F71" s="60" t="inlineStr">
        <is>
          <t>YES</t>
        </is>
      </c>
      <c r="G71" s="100" t="inlineStr">
        <is>
          <t>存货价值</t>
        </is>
      </c>
      <c r="H71" s="60" t="n"/>
      <c r="I71" s="60" t="n"/>
      <c r="J71" s="60" t="n"/>
    </row>
    <row r="72">
      <c r="C72" s="100" t="inlineStr">
        <is>
          <t>质押物原币种</t>
        </is>
      </c>
      <c r="D72" s="37" t="inlineStr">
        <is>
          <t>CURRENCY</t>
        </is>
      </c>
      <c r="E72" s="37" t="inlineStr">
        <is>
          <t>varchar(18)</t>
        </is>
      </c>
      <c r="F72" s="37" t="inlineStr">
        <is>
          <t>YES</t>
        </is>
      </c>
      <c r="G72" s="100" t="inlineStr">
        <is>
          <t>质押物原币种</t>
        </is>
      </c>
      <c r="H72" s="110">
        <f>HYPERLINK("#码值映射清单!B2469","Currency")</f>
        <v/>
      </c>
      <c r="I72" s="37" t="n"/>
      <c r="J72" s="60" t="n"/>
    </row>
    <row r="73">
      <c r="C73" s="100" t="inlineStr">
        <is>
          <t>质押物原价值</t>
        </is>
      </c>
      <c r="D73" s="60" t="inlineStr">
        <is>
          <t>ORIGINALVALUE</t>
        </is>
      </c>
      <c r="E73" s="60" t="inlineStr">
        <is>
          <t>decimal(24,6)</t>
        </is>
      </c>
      <c r="F73" s="60" t="inlineStr">
        <is>
          <t>YES</t>
        </is>
      </c>
      <c r="G73" s="100" t="inlineStr">
        <is>
          <t>质押物原价值</t>
        </is>
      </c>
      <c r="H73" s="60" t="n"/>
      <c r="I73" s="60" t="n"/>
      <c r="J73" s="60" t="n"/>
    </row>
    <row r="74">
      <c r="C74" s="100" t="inlineStr">
        <is>
          <t>预计变现值</t>
        </is>
      </c>
      <c r="D74" s="60" t="inlineStr">
        <is>
          <t>REALIZATIONVALUE</t>
        </is>
      </c>
      <c r="E74" s="60" t="inlineStr">
        <is>
          <t>decimal(24,6)</t>
        </is>
      </c>
      <c r="F74" s="60" t="inlineStr">
        <is>
          <t>YES</t>
        </is>
      </c>
      <c r="G74" s="100" t="inlineStr">
        <is>
          <t>预计变现值</t>
        </is>
      </c>
      <c r="H74" s="60" t="n"/>
      <c r="I74" s="60" t="n"/>
      <c r="J74" s="60" t="n"/>
    </row>
    <row r="75">
      <c r="C75" s="99" t="inlineStr">
        <is>
          <t>预计变现成本</t>
        </is>
      </c>
      <c r="D75" s="60" t="inlineStr">
        <is>
          <t>REALIZATIONCOST</t>
        </is>
      </c>
      <c r="E75" s="60" t="inlineStr">
        <is>
          <t>decimal(24,6)</t>
        </is>
      </c>
      <c r="F75" s="60" t="inlineStr">
        <is>
          <t>YES</t>
        </is>
      </c>
      <c r="G75" s="99" t="inlineStr">
        <is>
          <t>预计变现成本</t>
        </is>
      </c>
      <c r="H75" s="60" t="n"/>
      <c r="I75" s="60" t="n"/>
      <c r="J75" s="60" t="n"/>
    </row>
    <row r="76">
      <c r="C76" s="100" t="inlineStr">
        <is>
          <t>货物购入价值</t>
        </is>
      </c>
      <c r="D76" s="60" t="inlineStr">
        <is>
          <t>PURCHASEDVALUE</t>
        </is>
      </c>
      <c r="E76" s="60" t="inlineStr">
        <is>
          <t>decimal(24,6)</t>
        </is>
      </c>
      <c r="F76" s="60" t="inlineStr">
        <is>
          <t>YES</t>
        </is>
      </c>
      <c r="G76" s="100" t="inlineStr">
        <is>
          <t>货物购入价值</t>
        </is>
      </c>
      <c r="H76" s="60" t="n"/>
      <c r="I76" s="60" t="n"/>
      <c r="J76" s="60" t="n"/>
    </row>
    <row r="77">
      <c r="C77" s="100" t="inlineStr">
        <is>
          <t>存放地点/提货地点</t>
        </is>
      </c>
      <c r="D77" s="60" t="inlineStr">
        <is>
          <t>STORAGELOCATION</t>
        </is>
      </c>
      <c r="E77" s="60" t="inlineStr">
        <is>
          <t>varchar(200)</t>
        </is>
      </c>
      <c r="F77" s="60" t="inlineStr">
        <is>
          <t>YES</t>
        </is>
      </c>
      <c r="G77" s="100" t="inlineStr">
        <is>
          <t>存放地点/提货地点</t>
        </is>
      </c>
      <c r="H77" s="60" t="n"/>
      <c r="I77" s="60" t="n"/>
      <c r="J77" s="60" t="n"/>
    </row>
    <row r="78">
      <c r="C78" s="99" t="inlineStr">
        <is>
          <t>供应商名称</t>
        </is>
      </c>
      <c r="D78" s="37" t="inlineStr">
        <is>
          <t>SUPPLIERNAME</t>
        </is>
      </c>
      <c r="E78" s="60" t="inlineStr">
        <is>
          <t>varchar(80)</t>
        </is>
      </c>
      <c r="F78" s="60" t="inlineStr">
        <is>
          <t>YES</t>
        </is>
      </c>
      <c r="G78" s="99" t="inlineStr">
        <is>
          <t>供应商名称</t>
        </is>
      </c>
      <c r="H78" s="60" t="n"/>
      <c r="I78" s="60" t="n"/>
      <c r="J78" s="60" t="n"/>
    </row>
    <row r="79">
      <c r="C79" s="99" t="inlineStr">
        <is>
          <t>应退未退税金额</t>
        </is>
      </c>
      <c r="D79" s="60" t="inlineStr">
        <is>
          <t>DUETAX</t>
        </is>
      </c>
      <c r="E79" s="60" t="inlineStr">
        <is>
          <t>decimal(24,6)</t>
        </is>
      </c>
      <c r="F79" s="60" t="inlineStr">
        <is>
          <t>YES</t>
        </is>
      </c>
      <c r="G79" s="99" t="inlineStr">
        <is>
          <t>应退未退税金额</t>
        </is>
      </c>
      <c r="H79" s="60" t="n"/>
      <c r="I79" s="60" t="n"/>
      <c r="J79" s="60" t="n"/>
    </row>
    <row r="80">
      <c r="C80" s="59" t="inlineStr">
        <is>
          <t>活畜种类</t>
        </is>
      </c>
      <c r="D80" s="60" t="inlineStr">
        <is>
          <t>LIVESTOCKTYPE</t>
        </is>
      </c>
      <c r="E80" s="60" t="inlineStr">
        <is>
          <t>varchar(32)</t>
        </is>
      </c>
      <c r="F80" s="60" t="inlineStr">
        <is>
          <t>YES</t>
        </is>
      </c>
      <c r="G80" s="59" t="inlineStr">
        <is>
          <t>活畜种类</t>
        </is>
      </c>
      <c r="H80" s="60" t="n"/>
      <c r="I80" s="60" t="n"/>
      <c r="J80" s="60" t="n"/>
    </row>
    <row r="81">
      <c r="C81" s="59" t="inlineStr">
        <is>
          <t>权利人</t>
        </is>
      </c>
      <c r="D81" s="60" t="inlineStr">
        <is>
          <t>RIGHTHOLDER</t>
        </is>
      </c>
      <c r="E81" s="60" t="inlineStr">
        <is>
          <t>varchar(80)</t>
        </is>
      </c>
      <c r="F81" s="60" t="inlineStr">
        <is>
          <t>YES</t>
        </is>
      </c>
      <c r="G81" s="59" t="inlineStr">
        <is>
          <t>权利人</t>
        </is>
      </c>
      <c r="H81" s="60" t="n"/>
      <c r="I81" s="60" t="n"/>
      <c r="J81" s="60" t="n"/>
    </row>
    <row r="82">
      <c r="C82" s="59" t="inlineStr">
        <is>
          <t>矿区地址/注册地址</t>
        </is>
      </c>
      <c r="D82" s="60" t="inlineStr">
        <is>
          <t>MININGADDRESS</t>
        </is>
      </c>
      <c r="E82" s="60" t="inlineStr">
        <is>
          <t>varchar(32)</t>
        </is>
      </c>
      <c r="F82" s="60" t="inlineStr">
        <is>
          <t>YES</t>
        </is>
      </c>
      <c r="G82" s="59" t="inlineStr">
        <is>
          <t>矿区地址/注册地址</t>
        </is>
      </c>
      <c r="H82" s="60" t="inlineStr"/>
      <c r="I82" s="60" t="inlineStr"/>
    </row>
    <row r="83">
      <c r="C83" s="82" t="inlineStr">
        <is>
          <t>我行抵押权顺位</t>
        </is>
      </c>
      <c r="D83" s="60" t="inlineStr">
        <is>
          <t>RIGHTSRANK</t>
        </is>
      </c>
      <c r="E83" s="99" t="inlineStr">
        <is>
          <t>INTEGER(4)</t>
        </is>
      </c>
      <c r="F83" s="60" t="inlineStr">
        <is>
          <t>YES</t>
        </is>
      </c>
      <c r="G83" s="82" t="inlineStr">
        <is>
          <t>我行抵押权顺位</t>
        </is>
      </c>
      <c r="H83" s="60" t="inlineStr"/>
      <c r="I83" s="60" t="inlineStr"/>
    </row>
    <row r="84">
      <c r="C84" s="100" t="inlineStr">
        <is>
          <t>权利人贷款卡号</t>
        </is>
      </c>
      <c r="D84" s="60" t="inlineStr">
        <is>
          <t>LOANCARDNO</t>
        </is>
      </c>
      <c r="E84" s="60" t="inlineStr">
        <is>
          <t>varchar(32)</t>
        </is>
      </c>
      <c r="F84" s="60" t="inlineStr">
        <is>
          <t>YES</t>
        </is>
      </c>
      <c r="G84" s="100" t="inlineStr">
        <is>
          <t>权利人贷款卡号</t>
        </is>
      </c>
      <c r="H84" s="60" t="n"/>
      <c r="I84" s="60" t="n"/>
    </row>
    <row r="85">
      <c r="C85" s="100" t="inlineStr">
        <is>
          <t>已交采矿权价款</t>
        </is>
      </c>
      <c r="D85" s="60" t="inlineStr">
        <is>
          <t>AMOUNTPAID</t>
        </is>
      </c>
      <c r="E85" s="60" t="inlineStr">
        <is>
          <t>decimal(24,6)</t>
        </is>
      </c>
      <c r="F85" s="60" t="inlineStr">
        <is>
          <t>YES</t>
        </is>
      </c>
      <c r="G85" s="100" t="inlineStr">
        <is>
          <t>已交采矿权价款</t>
        </is>
      </c>
      <c r="H85" s="60" t="n"/>
      <c r="I85" s="60" t="n"/>
    </row>
    <row r="86">
      <c r="C86" s="100" t="inlineStr">
        <is>
          <t>已交采矿权价款折合煤炭吨数</t>
        </is>
      </c>
      <c r="D86" s="60" t="inlineStr">
        <is>
          <t>COALTONNAGE</t>
        </is>
      </c>
      <c r="E86" s="60" t="inlineStr">
        <is>
          <t>decimal(24,6)</t>
        </is>
      </c>
      <c r="F86" s="60" t="inlineStr">
        <is>
          <t>YES</t>
        </is>
      </c>
      <c r="G86" s="100" t="inlineStr">
        <is>
          <t>已交采矿权价款折合煤炭吨数</t>
        </is>
      </c>
      <c r="H86" s="60" t="n"/>
      <c r="I86" s="60" t="n"/>
    </row>
    <row r="87">
      <c r="C87" s="100" t="inlineStr">
        <is>
          <t>开采层号</t>
        </is>
      </c>
      <c r="D87" s="60" t="inlineStr">
        <is>
          <t>MININGSEAMNO</t>
        </is>
      </c>
      <c r="E87" s="60" t="inlineStr">
        <is>
          <t>varchar(40)</t>
        </is>
      </c>
      <c r="F87" s="60" t="inlineStr">
        <is>
          <t>YES</t>
        </is>
      </c>
      <c r="G87" s="100" t="inlineStr">
        <is>
          <t>开采层号</t>
        </is>
      </c>
      <c r="H87" s="60" t="n"/>
      <c r="I87" s="60" t="n"/>
    </row>
    <row r="88">
      <c r="C88" s="100" t="inlineStr">
        <is>
          <t>安全生产许可证编号</t>
        </is>
      </c>
      <c r="D88" s="60" t="inlineStr">
        <is>
          <t>SAFECERTNO</t>
        </is>
      </c>
      <c r="E88" s="60" t="inlineStr">
        <is>
          <t>varchar(40)</t>
        </is>
      </c>
      <c r="F88" s="60" t="inlineStr">
        <is>
          <t>YES</t>
        </is>
      </c>
      <c r="G88" s="100" t="inlineStr">
        <is>
          <t>安全生产许可证编号</t>
        </is>
      </c>
      <c r="H88" s="60" t="n"/>
      <c r="I88" s="60" t="n"/>
    </row>
    <row r="89">
      <c r="C89" s="100" t="inlineStr">
        <is>
          <t>安全生产许可证有效期</t>
        </is>
      </c>
      <c r="D89" s="60" t="inlineStr">
        <is>
          <t>SAFECERTPERIOD</t>
        </is>
      </c>
      <c r="E89" s="60" t="inlineStr">
        <is>
          <t>varchar(10)</t>
        </is>
      </c>
      <c r="F89" s="60" t="inlineStr">
        <is>
          <t>YES</t>
        </is>
      </c>
      <c r="G89" s="100" t="inlineStr">
        <is>
          <t>安全生产许可证有效期</t>
        </is>
      </c>
      <c r="H89" s="60" t="n"/>
      <c r="I89" s="60" t="n"/>
    </row>
    <row r="90">
      <c r="C90" s="100" t="inlineStr">
        <is>
          <t>煤炭生产许可证编号</t>
        </is>
      </c>
      <c r="D90" s="60" t="inlineStr">
        <is>
          <t>COALPRDNO</t>
        </is>
      </c>
      <c r="E90" s="60" t="inlineStr">
        <is>
          <t>varchar(40)</t>
        </is>
      </c>
      <c r="F90" s="60" t="inlineStr">
        <is>
          <t>YES</t>
        </is>
      </c>
      <c r="G90" s="100" t="inlineStr">
        <is>
          <t>煤炭生产许可证编号</t>
        </is>
      </c>
      <c r="H90" s="60" t="n"/>
      <c r="I90" s="60" t="n"/>
    </row>
    <row r="91">
      <c r="C91" s="100" t="inlineStr">
        <is>
          <t>煤炭生产许可证有效期</t>
        </is>
      </c>
      <c r="D91" s="60" t="inlineStr">
        <is>
          <t>COALPRDPERIOD</t>
        </is>
      </c>
      <c r="E91" s="60" t="inlineStr">
        <is>
          <t>varchar(10)</t>
        </is>
      </c>
      <c r="F91" s="60" t="inlineStr">
        <is>
          <t>YES</t>
        </is>
      </c>
      <c r="G91" s="100" t="inlineStr">
        <is>
          <t>煤炭生产许可证有效期</t>
        </is>
      </c>
      <c r="H91" s="60" t="n"/>
      <c r="I91" s="60" t="n"/>
    </row>
    <row r="92">
      <c r="C92" s="100" t="inlineStr">
        <is>
          <t>《矿产资源评审备案证明》编号</t>
        </is>
      </c>
      <c r="D92" s="60" t="inlineStr">
        <is>
          <t>FILENO1</t>
        </is>
      </c>
      <c r="E92" s="60" t="inlineStr">
        <is>
          <t>varchar(40)</t>
        </is>
      </c>
      <c r="F92" s="60" t="inlineStr">
        <is>
          <t>YES</t>
        </is>
      </c>
      <c r="G92" s="100" t="inlineStr">
        <is>
          <t>《矿产资源评审备案证明》编号</t>
        </is>
      </c>
      <c r="H92" s="60" t="n"/>
      <c r="I92" s="60" t="n"/>
    </row>
    <row r="93" ht="28" customHeight="1" s="170">
      <c r="C93" s="100" t="inlineStr">
        <is>
          <t>《矿产资源评审备案证明》评审基准日</t>
        </is>
      </c>
      <c r="D93" s="60" t="inlineStr">
        <is>
          <t>FILEDATE1</t>
        </is>
      </c>
      <c r="E93" s="60" t="inlineStr">
        <is>
          <t>varchar(10)</t>
        </is>
      </c>
      <c r="F93" s="60" t="inlineStr">
        <is>
          <t>YES</t>
        </is>
      </c>
      <c r="G93" s="100" t="inlineStr">
        <is>
          <t>《矿产资源评审备案证明》评审基准日</t>
        </is>
      </c>
      <c r="H93" s="60" t="n"/>
      <c r="I93" s="60" t="n"/>
    </row>
    <row r="94">
      <c r="C94" s="100" t="inlineStr">
        <is>
          <t>《资源储量核实报告》编号</t>
        </is>
      </c>
      <c r="D94" s="60" t="inlineStr">
        <is>
          <t>FILENO2</t>
        </is>
      </c>
      <c r="E94" s="60" t="inlineStr">
        <is>
          <t>varchar(40)</t>
        </is>
      </c>
      <c r="F94" s="60" t="inlineStr">
        <is>
          <t>YES</t>
        </is>
      </c>
      <c r="G94" s="100" t="inlineStr">
        <is>
          <t>《资源储量核实报告》编号</t>
        </is>
      </c>
      <c r="H94" s="60" t="n"/>
      <c r="I94" s="60" t="n"/>
    </row>
    <row r="95">
      <c r="C95" s="100" t="inlineStr">
        <is>
          <t>《资源储量核实报告》提交日期</t>
        </is>
      </c>
      <c r="D95" s="60" t="inlineStr">
        <is>
          <t>FILEDATE2</t>
        </is>
      </c>
      <c r="E95" s="60" t="inlineStr">
        <is>
          <t>varchar(10)</t>
        </is>
      </c>
      <c r="F95" s="60" t="inlineStr">
        <is>
          <t>YES</t>
        </is>
      </c>
      <c r="G95" s="100" t="inlineStr">
        <is>
          <t>《资源储量核实报告》提交日期</t>
        </is>
      </c>
      <c r="H95" s="60" t="n"/>
      <c r="I95" s="60" t="n"/>
    </row>
    <row r="96" ht="28" customHeight="1" s="170">
      <c r="C96" s="100" t="inlineStr">
        <is>
          <t>《占用矿产资源储量登记证》编号</t>
        </is>
      </c>
      <c r="D96" s="60" t="inlineStr">
        <is>
          <t>FILENO3</t>
        </is>
      </c>
      <c r="E96" s="60" t="inlineStr">
        <is>
          <t>varchar(40)</t>
        </is>
      </c>
      <c r="F96" s="60" t="inlineStr">
        <is>
          <t>YES</t>
        </is>
      </c>
      <c r="G96" s="100" t="inlineStr">
        <is>
          <t>《占用矿产资源储量登记证》编号</t>
        </is>
      </c>
      <c r="H96" s="60" t="n"/>
      <c r="I96" s="60" t="n"/>
    </row>
    <row r="97">
      <c r="C97" s="100" t="inlineStr">
        <is>
          <t>资产状况</t>
        </is>
      </c>
      <c r="D97" s="60" t="inlineStr">
        <is>
          <t>ASSETSTATUS</t>
        </is>
      </c>
      <c r="E97" s="60" t="inlineStr">
        <is>
          <t>varchar(40)</t>
        </is>
      </c>
      <c r="F97" s="60" t="inlineStr">
        <is>
          <t>YES</t>
        </is>
      </c>
      <c r="G97" s="100" t="inlineStr">
        <is>
          <t>资产状况</t>
        </is>
      </c>
      <c r="H97" s="60" t="n"/>
      <c r="I97" s="60" t="n"/>
    </row>
    <row r="98">
      <c r="C98" s="99" t="inlineStr">
        <is>
          <t>是否部分抵押</t>
        </is>
      </c>
      <c r="D98" s="60" t="inlineStr">
        <is>
          <t>ISPARTMORTGAGED</t>
        </is>
      </c>
      <c r="E98" s="60" t="inlineStr">
        <is>
          <t>varchar(6)</t>
        </is>
      </c>
      <c r="F98" s="60" t="inlineStr">
        <is>
          <t>YES</t>
        </is>
      </c>
      <c r="G98" s="99" t="inlineStr">
        <is>
          <t>是否部分抵押</t>
        </is>
      </c>
      <c r="H98" s="60" t="n"/>
      <c r="I98" s="60" t="n"/>
    </row>
    <row r="99">
      <c r="C99" s="99" t="inlineStr">
        <is>
          <t>权利说明</t>
        </is>
      </c>
      <c r="D99" s="60" t="inlineStr">
        <is>
          <t>GUARANTYDESCRIBE</t>
        </is>
      </c>
      <c r="E99" s="60" t="inlineStr">
        <is>
          <t>varchar(200)</t>
        </is>
      </c>
      <c r="F99" s="60" t="inlineStr">
        <is>
          <t>YES</t>
        </is>
      </c>
      <c r="G99" s="99" t="inlineStr">
        <is>
          <t>权利说明</t>
        </is>
      </c>
      <c r="H99" s="60" t="n"/>
      <c r="I99" s="60" t="n"/>
    </row>
    <row r="100">
      <c r="C100" s="99" t="inlineStr">
        <is>
          <t>预计变现值</t>
        </is>
      </c>
      <c r="D100" s="60" t="inlineStr">
        <is>
          <t>REALIZATIONVALUE</t>
        </is>
      </c>
      <c r="E100" s="60" t="inlineStr">
        <is>
          <t>decimal(24,6)</t>
        </is>
      </c>
      <c r="F100" s="60" t="inlineStr">
        <is>
          <t>YES</t>
        </is>
      </c>
      <c r="G100" s="99" t="inlineStr">
        <is>
          <t>预计变现值</t>
        </is>
      </c>
      <c r="H100" s="60" t="n"/>
      <c r="I100" s="60" t="n"/>
    </row>
    <row r="101">
      <c r="C101" s="99" t="inlineStr">
        <is>
          <t>预计变现成本</t>
        </is>
      </c>
      <c r="D101" s="60" t="inlineStr">
        <is>
          <t>REALIZATIONCOST</t>
        </is>
      </c>
      <c r="E101" s="60" t="inlineStr">
        <is>
          <t>decimal(24,6)</t>
        </is>
      </c>
      <c r="F101" s="60" t="inlineStr">
        <is>
          <t>YES</t>
        </is>
      </c>
      <c r="G101" s="99" t="inlineStr">
        <is>
          <t>预计变现成本</t>
        </is>
      </c>
      <c r="H101" s="60" t="n"/>
      <c r="I101" s="60" t="n"/>
    </row>
    <row r="102">
      <c r="C102" s="59" t="inlineStr">
        <is>
          <t>勘察单位</t>
        </is>
      </c>
      <c r="D102" s="60" t="inlineStr">
        <is>
          <t>SURVEYINGUNIT</t>
        </is>
      </c>
      <c r="E102" s="60" t="inlineStr">
        <is>
          <t>varchar(32)</t>
        </is>
      </c>
      <c r="F102" s="60" t="inlineStr">
        <is>
          <t>YES</t>
        </is>
      </c>
      <c r="G102" s="59" t="inlineStr">
        <is>
          <t>勘察单位</t>
        </is>
      </c>
      <c r="H102" s="60" t="inlineStr"/>
      <c r="I102" s="60" t="inlineStr"/>
    </row>
    <row r="103">
      <c r="C103" s="59" t="inlineStr">
        <is>
          <t>林地使用权人/海域使用权人</t>
        </is>
      </c>
      <c r="D103" s="60" t="inlineStr">
        <is>
          <t>RIGHTHOLDER</t>
        </is>
      </c>
      <c r="E103" s="60" t="inlineStr">
        <is>
          <t>varchar(80)</t>
        </is>
      </c>
      <c r="F103" s="60" t="inlineStr">
        <is>
          <t>YES</t>
        </is>
      </c>
      <c r="G103" s="59" t="inlineStr">
        <is>
          <t>林地使用权人/海域使用权人</t>
        </is>
      </c>
      <c r="H103" s="60" t="inlineStr"/>
      <c r="I103" s="60" t="inlineStr"/>
    </row>
    <row r="104" ht="92" customHeight="1" s="170">
      <c r="C104" s="59" t="inlineStr">
        <is>
          <t>资产用途</t>
        </is>
      </c>
      <c r="D104" s="60" t="inlineStr">
        <is>
          <t>ASSETPURPOSE</t>
        </is>
      </c>
      <c r="E104" s="60" t="inlineStr">
        <is>
          <t>varchar(6)</t>
        </is>
      </c>
      <c r="F104" s="60" t="inlineStr">
        <is>
          <t>YES</t>
        </is>
      </c>
      <c r="G104" s="59" t="inlineStr">
        <is>
          <t>资产用途</t>
        </is>
      </c>
      <c r="H104" s="60" t="inlineStr"/>
      <c r="I104" s="111" t="inlineStr">
        <is>
          <t>01-种植业、02-林业、03-畜牧业、04-渔业生产、05-其他</t>
        </is>
      </c>
    </row>
    <row r="105">
      <c r="C105" s="59" t="inlineStr">
        <is>
          <t>发证机关</t>
        </is>
      </c>
      <c r="D105" s="60" t="inlineStr">
        <is>
          <t>ISSUINGAUTHORITY</t>
        </is>
      </c>
      <c r="E105" s="60" t="inlineStr">
        <is>
          <t>varchar(32)</t>
        </is>
      </c>
      <c r="F105" s="60" t="inlineStr">
        <is>
          <t>YES</t>
        </is>
      </c>
      <c r="G105" s="59" t="inlineStr">
        <is>
          <t>发证机关</t>
        </is>
      </c>
      <c r="H105" s="60" t="inlineStr"/>
      <c r="I105" s="60" t="inlineStr"/>
    </row>
    <row r="106">
      <c r="C106" s="59" t="inlineStr">
        <is>
          <t>发证日期</t>
        </is>
      </c>
      <c r="D106" s="60" t="inlineStr">
        <is>
          <t>ISSUINGDATE</t>
        </is>
      </c>
      <c r="E106" s="60" t="inlineStr">
        <is>
          <t>datetime</t>
        </is>
      </c>
      <c r="F106" s="60" t="inlineStr">
        <is>
          <t>YES</t>
        </is>
      </c>
      <c r="G106" s="59" t="inlineStr">
        <is>
          <t>发证日期</t>
        </is>
      </c>
      <c r="H106" s="60" t="inlineStr"/>
      <c r="I106" s="60" t="inlineStr"/>
    </row>
    <row r="107">
      <c r="C107" s="59" t="inlineStr">
        <is>
          <t>生产经营场所地址</t>
        </is>
      </c>
      <c r="D107" s="60" t="inlineStr">
        <is>
          <t>PRDADDRESS</t>
        </is>
      </c>
      <c r="E107" s="60" t="inlineStr">
        <is>
          <t>varchar(80)</t>
        </is>
      </c>
      <c r="F107" s="60" t="inlineStr">
        <is>
          <t>YES</t>
        </is>
      </c>
      <c r="G107" s="59" t="inlineStr">
        <is>
          <t>生产经营场所地址</t>
        </is>
      </c>
      <c r="H107" s="60" t="inlineStr"/>
      <c r="I107" s="60" t="inlineStr"/>
    </row>
    <row r="108">
      <c r="C108" s="59" t="inlineStr">
        <is>
          <t>权利地域范围</t>
        </is>
      </c>
      <c r="D108" s="60" t="inlineStr">
        <is>
          <t>RIGHTSGEOSCOPE</t>
        </is>
      </c>
      <c r="E108" s="60" t="inlineStr">
        <is>
          <t>varchar(80)</t>
        </is>
      </c>
      <c r="F108" s="60" t="inlineStr">
        <is>
          <t>YES</t>
        </is>
      </c>
      <c r="G108" s="59" t="inlineStr">
        <is>
          <t>权利地域范围</t>
        </is>
      </c>
      <c r="H108" s="60" t="inlineStr"/>
      <c r="I108" s="60" t="inlineStr"/>
    </row>
    <row r="109">
      <c r="C109" s="59" t="inlineStr">
        <is>
          <t>是否双证合一</t>
        </is>
      </c>
      <c r="D109" s="60" t="inlineStr">
        <is>
          <t>ISCOMBINEDCERT</t>
        </is>
      </c>
      <c r="E109" s="60" t="inlineStr">
        <is>
          <t>varchar(6)</t>
        </is>
      </c>
      <c r="F109" s="60" t="n"/>
      <c r="G109" s="59" t="inlineStr">
        <is>
          <t>是否双证合一</t>
        </is>
      </c>
      <c r="H109" s="60" t="n"/>
      <c r="I109" s="60" t="n"/>
    </row>
    <row r="110">
      <c r="C110" s="59" t="inlineStr">
        <is>
          <t>所属土地宗地号</t>
        </is>
      </c>
      <c r="D110" s="60" t="inlineStr">
        <is>
          <t>LANDNO</t>
        </is>
      </c>
      <c r="E110" s="60" t="inlineStr">
        <is>
          <t>varchar(32)</t>
        </is>
      </c>
      <c r="F110" s="60" t="n"/>
      <c r="G110" s="59" t="inlineStr">
        <is>
          <t>所属土地宗地号</t>
        </is>
      </c>
      <c r="H110" s="60" t="n"/>
      <c r="I110" s="60" t="n"/>
    </row>
    <row r="111">
      <c r="C111" s="59" t="inlineStr">
        <is>
          <t>配套设施情况</t>
        </is>
      </c>
      <c r="D111" s="60" t="inlineStr">
        <is>
          <t>FACILITIES</t>
        </is>
      </c>
      <c r="E111" s="60" t="inlineStr">
        <is>
          <t>varchar(200)</t>
        </is>
      </c>
      <c r="F111" s="60" t="n"/>
      <c r="G111" s="59" t="inlineStr">
        <is>
          <t>配套设施情况</t>
        </is>
      </c>
      <c r="H111" s="60" t="n"/>
      <c r="I111" s="60" t="n"/>
    </row>
    <row r="112">
      <c r="C112" s="59" t="inlineStr">
        <is>
          <t>商标注册地址</t>
        </is>
      </c>
      <c r="D112" s="69" t="inlineStr">
        <is>
          <t>TRADEMARKADDRESS</t>
        </is>
      </c>
      <c r="E112" s="60" t="inlineStr">
        <is>
          <t>varchar(100)</t>
        </is>
      </c>
      <c r="F112" s="60" t="inlineStr">
        <is>
          <t>YES</t>
        </is>
      </c>
      <c r="G112" s="59" t="inlineStr">
        <is>
          <t>商标注册地址</t>
        </is>
      </c>
      <c r="H112" s="60" t="inlineStr"/>
      <c r="I112" s="60" t="inlineStr"/>
    </row>
    <row r="113">
      <c r="C113" s="100" t="inlineStr">
        <is>
          <t>出质人贷款卡号</t>
        </is>
      </c>
      <c r="D113" s="60" t="inlineStr">
        <is>
          <t>LOANCARDNO</t>
        </is>
      </c>
      <c r="E113" s="60" t="inlineStr">
        <is>
          <t>varchar(32)</t>
        </is>
      </c>
      <c r="F113" s="60" t="inlineStr">
        <is>
          <t>YES</t>
        </is>
      </c>
      <c r="G113" s="100" t="inlineStr">
        <is>
          <t>出质人贷款卡号</t>
        </is>
      </c>
      <c r="H113" s="60" t="n"/>
      <c r="I113" s="60" t="n"/>
    </row>
    <row r="114" ht="16" customHeight="1" s="170">
      <c r="C114" s="100" t="inlineStr">
        <is>
          <t>收费权类型</t>
        </is>
      </c>
      <c r="D114" s="60" t="inlineStr">
        <is>
          <t>GUARANTYSUBTYPE</t>
        </is>
      </c>
      <c r="E114" s="60" t="inlineStr">
        <is>
          <t>varchar(6)</t>
        </is>
      </c>
      <c r="F114" s="60" t="inlineStr">
        <is>
          <t>YES</t>
        </is>
      </c>
      <c r="G114" s="100" t="inlineStr">
        <is>
          <t>收费权类型</t>
        </is>
      </c>
      <c r="H114" s="60" t="n"/>
      <c r="I114" s="60" t="inlineStr">
        <is>
          <t>1 -商标专用权、2- 专利权、3-著作权</t>
        </is>
      </c>
    </row>
    <row r="115">
      <c r="C115" s="100" t="inlineStr">
        <is>
          <t>币种</t>
        </is>
      </c>
      <c r="D115" s="60" t="inlineStr">
        <is>
          <t>CURRENCY</t>
        </is>
      </c>
      <c r="E115" s="60" t="inlineStr">
        <is>
          <t>varchar(18)</t>
        </is>
      </c>
      <c r="F115" s="60" t="inlineStr">
        <is>
          <t>YES</t>
        </is>
      </c>
      <c r="G115" s="100" t="inlineStr">
        <is>
          <t>币种</t>
        </is>
      </c>
      <c r="H115" s="106">
        <f>HYPERLINK("#码值映射清单!B2469","Currency")</f>
        <v/>
      </c>
      <c r="I115" s="60" t="n"/>
    </row>
    <row r="116">
      <c r="C116" s="99" t="inlineStr">
        <is>
          <t>权利证明文件</t>
        </is>
      </c>
      <c r="D116" s="60" t="inlineStr">
        <is>
          <t>RIGHTCERTDOC</t>
        </is>
      </c>
      <c r="E116" s="60" t="inlineStr">
        <is>
          <t>varchar(200)</t>
        </is>
      </c>
      <c r="F116" s="60" t="inlineStr">
        <is>
          <t>YES</t>
        </is>
      </c>
      <c r="G116" s="99" t="inlineStr">
        <is>
          <t>权利证明文件</t>
        </is>
      </c>
      <c r="H116" s="60" t="n"/>
      <c r="I116" s="60" t="n"/>
    </row>
    <row r="117">
      <c r="C117" s="99" t="inlineStr">
        <is>
          <t>预计变现值</t>
        </is>
      </c>
      <c r="D117" s="60" t="inlineStr">
        <is>
          <t>REALIZATIONVALUE</t>
        </is>
      </c>
      <c r="E117" s="60" t="inlineStr">
        <is>
          <t>decimal(24,6)</t>
        </is>
      </c>
      <c r="F117" s="60" t="inlineStr">
        <is>
          <t>YES</t>
        </is>
      </c>
      <c r="G117" s="99" t="inlineStr">
        <is>
          <t>预计变现值</t>
        </is>
      </c>
      <c r="H117" s="60" t="n"/>
      <c r="I117" s="60" t="n"/>
    </row>
    <row r="118">
      <c r="C118" s="99" t="inlineStr">
        <is>
          <t>预计变现成本</t>
        </is>
      </c>
      <c r="D118" s="60" t="inlineStr">
        <is>
          <t>REALIZATIONCOST</t>
        </is>
      </c>
      <c r="E118" s="60" t="inlineStr">
        <is>
          <t>decimal(24,6)</t>
        </is>
      </c>
      <c r="F118" s="60" t="inlineStr">
        <is>
          <t>YES</t>
        </is>
      </c>
      <c r="G118" s="99" t="inlineStr">
        <is>
          <t>预计变现成本</t>
        </is>
      </c>
      <c r="H118" s="60" t="n"/>
      <c r="I118" s="60" t="n"/>
    </row>
    <row r="119">
      <c r="C119" s="59" t="inlineStr">
        <is>
          <t>专利距离保护期届满时间（年）</t>
        </is>
      </c>
      <c r="D119" s="60" t="inlineStr">
        <is>
          <t>PATENTREMAIN</t>
        </is>
      </c>
      <c r="E119" s="60" t="inlineStr">
        <is>
          <t>integer(4)</t>
        </is>
      </c>
      <c r="F119" s="60" t="inlineStr">
        <is>
          <t>YES</t>
        </is>
      </c>
      <c r="G119" s="59" t="inlineStr">
        <is>
          <t>专利距离保护期届满时间（年）</t>
        </is>
      </c>
      <c r="H119" s="60" t="inlineStr"/>
      <c r="I119" s="60" t="inlineStr"/>
    </row>
    <row r="120">
      <c r="C120" s="59" t="inlineStr">
        <is>
          <t>著作权权利范围</t>
        </is>
      </c>
      <c r="D120" s="60" t="inlineStr">
        <is>
          <t>COPYRIGHTSCOPE</t>
        </is>
      </c>
      <c r="E120" s="60" t="inlineStr">
        <is>
          <t>varchar(200)</t>
        </is>
      </c>
      <c r="F120" s="60" t="inlineStr">
        <is>
          <t>YES</t>
        </is>
      </c>
      <c r="G120" s="59" t="inlineStr">
        <is>
          <t>著作权权利范围</t>
        </is>
      </c>
      <c r="H120" s="60" t="inlineStr"/>
      <c r="I120" s="60" t="inlineStr"/>
    </row>
    <row r="121">
      <c r="C121" s="59" t="inlineStr">
        <is>
          <t>是否按揭</t>
        </is>
      </c>
      <c r="D121" s="60" t="inlineStr">
        <is>
          <t>ISMORTGAGE</t>
        </is>
      </c>
      <c r="E121" s="60" t="inlineStr">
        <is>
          <t>varchar(6)</t>
        </is>
      </c>
      <c r="F121" s="60" t="inlineStr">
        <is>
          <t>YES</t>
        </is>
      </c>
      <c r="G121" s="59" t="inlineStr">
        <is>
          <t>是否按揭</t>
        </is>
      </c>
      <c r="H121" s="60" t="inlineStr"/>
      <c r="I121" s="60" t="inlineStr"/>
    </row>
    <row r="122">
      <c r="C122" s="59" t="inlineStr">
        <is>
          <t>所在国家</t>
        </is>
      </c>
      <c r="D122" s="60" t="inlineStr">
        <is>
          <t>COUNTRY</t>
        </is>
      </c>
      <c r="E122" s="60" t="inlineStr">
        <is>
          <t>varchar(6)</t>
        </is>
      </c>
      <c r="F122" s="60" t="inlineStr">
        <is>
          <t>YES</t>
        </is>
      </c>
      <c r="G122" s="59" t="inlineStr">
        <is>
          <t>所在国家</t>
        </is>
      </c>
      <c r="H122" s="60" t="inlineStr"/>
      <c r="I122" s="60" t="inlineStr"/>
    </row>
    <row r="123">
      <c r="C123" s="100" t="inlineStr">
        <is>
          <t>预抵押登记完成时间</t>
        </is>
      </c>
      <c r="D123" s="60" t="inlineStr">
        <is>
          <t>PREMORTGAGEDTIME</t>
        </is>
      </c>
      <c r="E123" s="104" t="inlineStr">
        <is>
          <t>datetime</t>
        </is>
      </c>
      <c r="F123" s="60" t="inlineStr">
        <is>
          <t>YES</t>
        </is>
      </c>
      <c r="G123" s="100" t="inlineStr">
        <is>
          <t>预抵押登记完成时间</t>
        </is>
      </c>
      <c r="H123" s="60" t="inlineStr"/>
      <c r="I123" s="60" t="inlineStr"/>
    </row>
    <row r="124">
      <c r="C124" s="100" t="inlineStr">
        <is>
          <t>交易价值</t>
        </is>
      </c>
      <c r="D124" s="60" t="inlineStr">
        <is>
          <t>TRADEVALUE</t>
        </is>
      </c>
      <c r="E124" s="60" t="inlineStr">
        <is>
          <t>decimal(24,6)</t>
        </is>
      </c>
      <c r="F124" s="60" t="inlineStr">
        <is>
          <t>YES</t>
        </is>
      </c>
      <c r="G124" s="100" t="inlineStr">
        <is>
          <t>交易价值</t>
        </is>
      </c>
      <c r="H124" s="60" t="inlineStr"/>
      <c r="I124" s="60" t="inlineStr"/>
    </row>
    <row r="125">
      <c r="C125" s="100" t="inlineStr">
        <is>
          <t>币种</t>
        </is>
      </c>
      <c r="D125" s="60" t="inlineStr">
        <is>
          <t>CURRENCY</t>
        </is>
      </c>
      <c r="E125" s="60" t="inlineStr">
        <is>
          <t>varchar(18)</t>
        </is>
      </c>
      <c r="F125" s="60" t="inlineStr">
        <is>
          <t>YES</t>
        </is>
      </c>
      <c r="G125" s="100" t="inlineStr">
        <is>
          <t>币种</t>
        </is>
      </c>
      <c r="H125" s="106">
        <f>HYPERLINK("#码值映射清单!B2469","Currency")</f>
        <v/>
      </c>
      <c r="I125" s="60" t="n"/>
    </row>
    <row r="126">
      <c r="C126" s="100" t="inlineStr">
        <is>
          <t>已付房款</t>
        </is>
      </c>
      <c r="D126" s="60" t="inlineStr">
        <is>
          <t>PAYMENTPAID</t>
        </is>
      </c>
      <c r="E126" s="60" t="inlineStr">
        <is>
          <t>decimal(24,6)</t>
        </is>
      </c>
      <c r="F126" s="60" t="inlineStr">
        <is>
          <t>YES</t>
        </is>
      </c>
      <c r="G126" s="100" t="inlineStr">
        <is>
          <t>已付房款</t>
        </is>
      </c>
      <c r="H126" s="60" t="inlineStr"/>
      <c r="I126" s="60" t="n"/>
    </row>
    <row r="127">
      <c r="C127" s="100" t="inlineStr">
        <is>
          <t>贷款卡号/权利人贷款卡号</t>
        </is>
      </c>
      <c r="D127" s="60" t="inlineStr">
        <is>
          <t>LOANCARDNO</t>
        </is>
      </c>
      <c r="E127" s="60" t="inlineStr">
        <is>
          <t>varchar(32)</t>
        </is>
      </c>
      <c r="F127" s="60" t="inlineStr">
        <is>
          <t>YES</t>
        </is>
      </c>
      <c r="G127" s="100" t="inlineStr">
        <is>
          <t>贷款卡号/权利人贷款卡号</t>
        </is>
      </c>
      <c r="H127" s="60" t="inlineStr"/>
      <c r="I127" s="60" t="n"/>
    </row>
    <row r="128">
      <c r="C128" s="100" t="inlineStr">
        <is>
          <t>抵押物登记情况</t>
        </is>
      </c>
      <c r="D128" s="60" t="inlineStr">
        <is>
          <t>REGISTERINFO</t>
        </is>
      </c>
      <c r="E128" s="60" t="inlineStr">
        <is>
          <t>varchar(500)</t>
        </is>
      </c>
      <c r="F128" s="60" t="inlineStr">
        <is>
          <t>YES</t>
        </is>
      </c>
      <c r="G128" s="100" t="inlineStr">
        <is>
          <t>抵押物登记情况</t>
        </is>
      </c>
      <c r="H128" s="60" t="n"/>
      <c r="I128" s="60" t="n"/>
    </row>
    <row r="129" ht="28" customHeight="1" s="170">
      <c r="C129" s="100" t="inlineStr">
        <is>
          <t>此抵押物是否当前申请所购/所抵资产</t>
        </is>
      </c>
      <c r="D129" s="60" t="inlineStr">
        <is>
          <t>ISMORTGAGEDSELF</t>
        </is>
      </c>
      <c r="E129" s="105" t="inlineStr">
        <is>
          <t>varchar(6)</t>
        </is>
      </c>
      <c r="F129" s="60" t="inlineStr">
        <is>
          <t>YES</t>
        </is>
      </c>
      <c r="G129" s="100" t="inlineStr">
        <is>
          <t>此抵押物是否当前申请所购/所抵资产</t>
        </is>
      </c>
      <c r="H129" s="60" t="n"/>
      <c r="I129" s="60" t="n"/>
    </row>
    <row r="130">
      <c r="C130" s="100" t="inlineStr">
        <is>
          <t>房产与经办机构是否在同一城市</t>
        </is>
      </c>
      <c r="D130" s="60" t="inlineStr">
        <is>
          <t>ISSAMECITY</t>
        </is>
      </c>
      <c r="E130" s="105" t="inlineStr">
        <is>
          <t>varchar(6)</t>
        </is>
      </c>
      <c r="F130" s="60" t="inlineStr">
        <is>
          <t>YES</t>
        </is>
      </c>
      <c r="G130" s="100" t="inlineStr">
        <is>
          <t>房产与经办机构是否在同一城市</t>
        </is>
      </c>
      <c r="H130" s="60" t="n"/>
      <c r="I130" s="60" t="n"/>
    </row>
    <row r="131">
      <c r="C131" s="100" t="inlineStr">
        <is>
          <t>第几套住房</t>
        </is>
      </c>
      <c r="D131" s="60" t="inlineStr">
        <is>
          <t>HOUSEORDER</t>
        </is>
      </c>
      <c r="E131" s="105" t="inlineStr">
        <is>
          <t>varchar(6)</t>
        </is>
      </c>
      <c r="F131" s="60" t="inlineStr">
        <is>
          <t>YES</t>
        </is>
      </c>
      <c r="G131" s="100" t="inlineStr">
        <is>
          <t>第几套住房</t>
        </is>
      </c>
      <c r="H131" s="60" t="n"/>
      <c r="I131" s="60" t="n"/>
    </row>
    <row r="132">
      <c r="C132" s="100" t="inlineStr">
        <is>
          <t>房龄</t>
        </is>
      </c>
      <c r="D132" s="60" t="inlineStr">
        <is>
          <t>HOUSEAGE</t>
        </is>
      </c>
      <c r="E132" s="105" t="inlineStr">
        <is>
          <t>varchar(6)</t>
        </is>
      </c>
      <c r="F132" s="60" t="inlineStr">
        <is>
          <t>YES</t>
        </is>
      </c>
      <c r="G132" s="100" t="inlineStr">
        <is>
          <t>房龄</t>
        </is>
      </c>
      <c r="H132" s="60" t="n"/>
      <c r="I132" s="60" t="n"/>
    </row>
    <row r="133" ht="28" customHeight="1" s="170">
      <c r="C133" s="100" t="inlineStr">
        <is>
          <t>土地使用权单位</t>
        </is>
      </c>
      <c r="D133" s="60" t="inlineStr">
        <is>
          <t>LANDUSERIGHTUNIT</t>
        </is>
      </c>
      <c r="E133" s="105" t="inlineStr">
        <is>
          <t>varchar(200)</t>
        </is>
      </c>
      <c r="F133" s="60" t="inlineStr">
        <is>
          <t>YES</t>
        </is>
      </c>
      <c r="G133" s="100" t="inlineStr">
        <is>
          <t>土地使用权单位</t>
        </is>
      </c>
      <c r="H133" s="60" t="n"/>
      <c r="I133" s="60" t="n"/>
    </row>
    <row r="134" ht="28" customHeight="1" s="170">
      <c r="C134" s="100" t="inlineStr">
        <is>
          <t>土地他项使用权利证号</t>
        </is>
      </c>
      <c r="D134" s="60" t="inlineStr">
        <is>
          <t>LANDOTHERRIGHTCERT</t>
        </is>
      </c>
      <c r="E134" s="105" t="inlineStr">
        <is>
          <t>varchar(80)</t>
        </is>
      </c>
      <c r="F134" s="60" t="inlineStr">
        <is>
          <t>YES</t>
        </is>
      </c>
      <c r="G134" s="100" t="inlineStr">
        <is>
          <t>土地他项使用权利证号</t>
        </is>
      </c>
      <c r="H134" s="60" t="n"/>
      <c r="I134" s="60" t="n"/>
    </row>
    <row r="135" ht="28" customHeight="1" s="170">
      <c r="C135" s="100" t="inlineStr">
        <is>
          <t>地段</t>
        </is>
      </c>
      <c r="D135" s="60" t="inlineStr">
        <is>
          <t>LOCATION</t>
        </is>
      </c>
      <c r="E135" s="105" t="inlineStr">
        <is>
          <t>varchar(200)</t>
        </is>
      </c>
      <c r="F135" s="60" t="inlineStr">
        <is>
          <t>YES</t>
        </is>
      </c>
      <c r="G135" s="100" t="inlineStr">
        <is>
          <t>地段</t>
        </is>
      </c>
      <c r="H135" s="60" t="n"/>
      <c r="I135" s="60" t="n"/>
    </row>
    <row r="136" ht="28" customHeight="1" s="170">
      <c r="C136" s="100" t="inlineStr">
        <is>
          <t>抵押物入账情况</t>
        </is>
      </c>
      <c r="D136" s="60" t="inlineStr">
        <is>
          <t>MORTGAGEDACCOUNTINGSTATUS</t>
        </is>
      </c>
      <c r="E136" s="105" t="inlineStr">
        <is>
          <t>varchar(100)</t>
        </is>
      </c>
      <c r="F136" s="60" t="inlineStr">
        <is>
          <t>YES</t>
        </is>
      </c>
      <c r="G136" s="100" t="inlineStr">
        <is>
          <t>抵押物入账情况</t>
        </is>
      </c>
      <c r="H136" s="60" t="n"/>
      <c r="I136" s="60" t="n"/>
    </row>
    <row r="137" ht="28" customHeight="1" s="170">
      <c r="C137" s="100" t="inlineStr">
        <is>
          <t>房屋他项权证书编号</t>
        </is>
      </c>
      <c r="D137" s="60" t="inlineStr">
        <is>
          <t>HOUSEOTHERRIGHTCERT</t>
        </is>
      </c>
      <c r="E137" s="105" t="inlineStr">
        <is>
          <t>varchar(40)</t>
        </is>
      </c>
      <c r="F137" s="60" t="inlineStr">
        <is>
          <t>YES</t>
        </is>
      </c>
      <c r="G137" s="100" t="inlineStr">
        <is>
          <t>房屋他项权证书编号</t>
        </is>
      </c>
      <c r="H137" s="60" t="n"/>
      <c r="I137" s="60" t="n"/>
    </row>
    <row r="138">
      <c r="C138" s="100" t="inlineStr">
        <is>
          <t>取得他项权证时间</t>
        </is>
      </c>
      <c r="D138" s="60" t="inlineStr">
        <is>
          <t>OTHERSRIGHTDATE</t>
        </is>
      </c>
      <c r="E138" s="60" t="inlineStr">
        <is>
          <t>datetime</t>
        </is>
      </c>
      <c r="F138" s="60" t="inlineStr">
        <is>
          <t>YES</t>
        </is>
      </c>
      <c r="G138" s="100" t="inlineStr">
        <is>
          <t>取得他项权证时间</t>
        </is>
      </c>
      <c r="H138" s="60" t="n"/>
      <c r="I138" s="60" t="n"/>
    </row>
    <row r="139">
      <c r="C139" s="100" t="inlineStr">
        <is>
          <t>是否部分抵押</t>
        </is>
      </c>
      <c r="D139" s="60" t="inlineStr">
        <is>
          <t>ISPARTMORTGAGED</t>
        </is>
      </c>
      <c r="E139" s="60" t="inlineStr">
        <is>
          <t>varchar(6)</t>
        </is>
      </c>
      <c r="F139" s="60" t="inlineStr">
        <is>
          <t>YES</t>
        </is>
      </c>
      <c r="G139" s="100" t="inlineStr">
        <is>
          <t>是否部分抵押</t>
        </is>
      </c>
      <c r="H139" s="60" t="n"/>
      <c r="I139" s="60" t="n"/>
    </row>
    <row r="140">
      <c r="C140" s="100" t="inlineStr">
        <is>
          <t>抵押物说明</t>
        </is>
      </c>
      <c r="D140" s="60" t="inlineStr">
        <is>
          <t>GUARANTYDESCRIPT</t>
        </is>
      </c>
      <c r="E140" s="60" t="inlineStr">
        <is>
          <t>varchar(800)</t>
        </is>
      </c>
      <c r="F140" s="60" t="inlineStr">
        <is>
          <t>YES</t>
        </is>
      </c>
      <c r="G140" s="100" t="inlineStr">
        <is>
          <t>抵押物说明</t>
        </is>
      </c>
      <c r="H140" s="60" t="n"/>
      <c r="I140" s="60" t="n"/>
    </row>
    <row r="141">
      <c r="C141" s="100" t="inlineStr">
        <is>
          <t>预计变现值</t>
        </is>
      </c>
      <c r="D141" s="60" t="inlineStr">
        <is>
          <t>REALIZATIONVALUE</t>
        </is>
      </c>
      <c r="E141" s="60" t="inlineStr">
        <is>
          <t>decimal(24,6)</t>
        </is>
      </c>
      <c r="F141" s="60" t="inlineStr">
        <is>
          <t>YES</t>
        </is>
      </c>
      <c r="G141" s="100" t="inlineStr">
        <is>
          <t>预计变现值</t>
        </is>
      </c>
      <c r="H141" s="60" t="n"/>
      <c r="I141" s="60" t="n"/>
    </row>
    <row r="142">
      <c r="C142" s="100" t="inlineStr">
        <is>
          <t>预计变现成本</t>
        </is>
      </c>
      <c r="D142" s="60" t="inlineStr">
        <is>
          <t>REALIZATIONCOST</t>
        </is>
      </c>
      <c r="E142" s="60" t="inlineStr">
        <is>
          <t>decimal(24,6)</t>
        </is>
      </c>
      <c r="F142" s="60" t="inlineStr">
        <is>
          <t>YES</t>
        </is>
      </c>
      <c r="G142" s="100" t="inlineStr">
        <is>
          <t>预计变现成本</t>
        </is>
      </c>
      <c r="H142" s="60" t="n"/>
      <c r="I142" s="60" t="n"/>
    </row>
    <row r="143">
      <c r="C143" s="59" t="inlineStr">
        <is>
          <t>所属土地宗地号</t>
        </is>
      </c>
      <c r="D143" s="60" t="inlineStr">
        <is>
          <t>LANDNO</t>
        </is>
      </c>
      <c r="E143" s="60" t="inlineStr">
        <is>
          <t>varchar(32)</t>
        </is>
      </c>
      <c r="F143" s="60" t="inlineStr">
        <is>
          <t>YES</t>
        </is>
      </c>
      <c r="G143" s="59" t="inlineStr">
        <is>
          <t>所属土地宗地号</t>
        </is>
      </c>
      <c r="H143" s="60" t="n"/>
      <c r="I143" s="60" t="n"/>
    </row>
    <row r="144">
      <c r="C144" s="59" t="inlineStr">
        <is>
          <t>地上有无附着物</t>
        </is>
      </c>
      <c r="D144" s="60" t="inlineStr">
        <is>
          <t>HASLANDATTACHMENT</t>
        </is>
      </c>
      <c r="E144" s="60" t="inlineStr">
        <is>
          <t>varchar(6)</t>
        </is>
      </c>
      <c r="F144" s="60" t="inlineStr">
        <is>
          <t>YES</t>
        </is>
      </c>
      <c r="G144" s="59" t="inlineStr">
        <is>
          <t>地上有无附着物</t>
        </is>
      </c>
      <c r="H144" s="60" t="inlineStr"/>
      <c r="I144" s="60" t="inlineStr"/>
    </row>
    <row r="145">
      <c r="C145" s="99" t="inlineStr">
        <is>
          <t>是否连带地上定着物</t>
        </is>
      </c>
      <c r="D145" s="60" t="inlineStr">
        <is>
          <t>HASLANDFIXTURE</t>
        </is>
      </c>
      <c r="E145" s="60" t="inlineStr">
        <is>
          <t>varchar(6)</t>
        </is>
      </c>
      <c r="F145" s="60" t="inlineStr">
        <is>
          <t>YES</t>
        </is>
      </c>
      <c r="G145" s="99" t="inlineStr">
        <is>
          <t>是否连带地上定着物</t>
        </is>
      </c>
      <c r="H145" s="60" t="inlineStr"/>
      <c r="I145" s="60" t="inlineStr"/>
    </row>
    <row r="146" ht="16" customHeight="1" s="170">
      <c r="C146" s="59" t="inlineStr">
        <is>
          <t>土地性质</t>
        </is>
      </c>
      <c r="D146" s="60" t="inlineStr">
        <is>
          <t>LANDNATURE</t>
        </is>
      </c>
      <c r="E146" s="60" t="inlineStr">
        <is>
          <t>varchar(6)</t>
        </is>
      </c>
      <c r="F146" s="60" t="inlineStr">
        <is>
          <t>YES</t>
        </is>
      </c>
      <c r="G146" s="59" t="inlineStr">
        <is>
          <t>土地性质</t>
        </is>
      </c>
      <c r="H146" s="60" t="inlineStr"/>
      <c r="I146" s="60" t="inlineStr">
        <is>
          <t>01 -出让、02-划拔、03-其他</t>
        </is>
      </c>
    </row>
    <row r="147">
      <c r="C147" s="59" t="inlineStr">
        <is>
          <t>已完成工程量</t>
        </is>
      </c>
      <c r="D147" s="60" t="inlineStr">
        <is>
          <t>WORKCOMPLETED</t>
        </is>
      </c>
      <c r="E147" s="59" t="inlineStr">
        <is>
          <t>varchar(200)</t>
        </is>
      </c>
      <c r="F147" s="60" t="inlineStr">
        <is>
          <t>YES</t>
        </is>
      </c>
      <c r="G147" s="59" t="inlineStr">
        <is>
          <t>已完成工程量</t>
        </is>
      </c>
      <c r="H147" s="60" t="inlineStr"/>
      <c r="I147" s="60" t="inlineStr"/>
    </row>
  </sheetData>
  <hyperlinks>
    <hyperlink ref="K2" location="clr_asset_others_equipment!A1" display="EQ"/>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13703"/>
  <sheetViews>
    <sheetView topLeftCell="A4116" zoomScaleSheetLayoutView="60" workbookViewId="0">
      <selection activeCell="E4161" sqref="E4161"/>
    </sheetView>
  </sheetViews>
  <sheetFormatPr baseColWidth="8" defaultColWidth="9.142857142857141" defaultRowHeight="15.2"/>
  <cols>
    <col width="19.5357142857143" customWidth="1" style="170" min="2" max="5"/>
    <col width="30.5" customWidth="1" style="170" min="9" max="9"/>
  </cols>
  <sheetData>
    <row r="2">
      <c r="B2" s="13" t="inlineStr">
        <is>
          <t>CODENO</t>
        </is>
      </c>
      <c r="C2" s="13" t="inlineStr">
        <is>
          <t>CODENAME</t>
        </is>
      </c>
      <c r="D2" s="13" t="inlineStr">
        <is>
          <t>ITEMNO</t>
        </is>
      </c>
      <c r="E2" s="13" t="inlineStr">
        <is>
          <t>ITEMNAME</t>
        </is>
      </c>
    </row>
    <row r="3" ht="15.95" customHeight="1" s="170">
      <c r="B3" s="122" t="inlineStr">
        <is>
          <t>码值：IndView</t>
        </is>
      </c>
    </row>
    <row r="4">
      <c r="B4" s="24" t="inlineStr">
        <is>
          <t>IndView</t>
        </is>
      </c>
      <c r="C4" s="24" t="inlineStr">
        <is>
          <t>个人客户详情视图</t>
        </is>
      </c>
      <c r="D4" s="24" t="inlineStr">
        <is>
          <t>010</t>
        </is>
      </c>
      <c r="E4" s="24" t="inlineStr">
        <is>
          <t>客户基本信息</t>
        </is>
      </c>
    </row>
    <row r="5">
      <c r="B5" s="24" t="inlineStr">
        <is>
          <t>IndView</t>
        </is>
      </c>
      <c r="C5" s="24" t="inlineStr">
        <is>
          <t>个人客户详情视图</t>
        </is>
      </c>
      <c r="D5" s="24" t="inlineStr">
        <is>
          <t>010010</t>
        </is>
      </c>
      <c r="E5" s="24" t="inlineStr">
        <is>
          <t>个人概况</t>
        </is>
      </c>
    </row>
    <row r="6">
      <c r="B6" s="24" t="inlineStr">
        <is>
          <t>IndView</t>
        </is>
      </c>
      <c r="C6" s="24" t="inlineStr">
        <is>
          <t>个人客户详情视图</t>
        </is>
      </c>
      <c r="D6" s="24" t="inlineStr">
        <is>
          <t>010015</t>
        </is>
      </c>
      <c r="E6" s="24" t="inlineStr">
        <is>
          <t>农户基本情况</t>
        </is>
      </c>
    </row>
    <row r="7">
      <c r="B7" s="24" t="inlineStr">
        <is>
          <t>IndView</t>
        </is>
      </c>
      <c r="C7" s="24" t="inlineStr">
        <is>
          <t>个人客户详情视图</t>
        </is>
      </c>
      <c r="D7" s="24" t="inlineStr">
        <is>
          <t>010020</t>
        </is>
      </c>
      <c r="E7" s="24" t="inlineStr">
        <is>
          <t>个人经营企业信息</t>
        </is>
      </c>
    </row>
    <row r="8">
      <c r="B8" s="24" t="inlineStr">
        <is>
          <t>IndView</t>
        </is>
      </c>
      <c r="C8" s="24" t="inlineStr">
        <is>
          <t>个人客户详情视图</t>
        </is>
      </c>
      <c r="D8" s="24" t="inlineStr">
        <is>
          <t>010030</t>
        </is>
      </c>
      <c r="E8" s="24" t="inlineStr">
        <is>
          <t>个人摊位厂房信息</t>
        </is>
      </c>
    </row>
    <row r="9">
      <c r="B9" s="24" t="inlineStr">
        <is>
          <t>IndView</t>
        </is>
      </c>
      <c r="C9" s="24" t="inlineStr">
        <is>
          <t>个人客户详情视图</t>
        </is>
      </c>
      <c r="D9" s="24" t="inlineStr">
        <is>
          <t>010040</t>
        </is>
      </c>
      <c r="E9" s="24" t="inlineStr">
        <is>
          <t>家庭成员信息</t>
        </is>
      </c>
    </row>
    <row r="10">
      <c r="B10" s="24" t="inlineStr">
        <is>
          <t>IndView</t>
        </is>
      </c>
      <c r="C10" s="24" t="inlineStr">
        <is>
          <t>个人客户详情视图</t>
        </is>
      </c>
      <c r="D10" s="24" t="inlineStr">
        <is>
          <t>010050</t>
        </is>
      </c>
      <c r="E10" s="24" t="inlineStr">
        <is>
          <t>个人学业履历</t>
        </is>
      </c>
    </row>
    <row r="11">
      <c r="B11" s="24" t="inlineStr">
        <is>
          <t>IndView</t>
        </is>
      </c>
      <c r="C11" s="24" t="inlineStr">
        <is>
          <t>个人客户详情视图</t>
        </is>
      </c>
      <c r="D11" s="24" t="inlineStr">
        <is>
          <t>010060</t>
        </is>
      </c>
      <c r="E11" s="24" t="inlineStr">
        <is>
          <t>个人工作履历</t>
        </is>
      </c>
    </row>
    <row r="12">
      <c r="B12" s="24" t="inlineStr">
        <is>
          <t>IndView</t>
        </is>
      </c>
      <c r="C12" s="24" t="inlineStr">
        <is>
          <t>个人客户详情视图</t>
        </is>
      </c>
      <c r="D12" s="24" t="inlineStr">
        <is>
          <t>010070</t>
        </is>
      </c>
      <c r="E12" s="24" t="inlineStr">
        <is>
          <t>客户涉诉信息</t>
        </is>
      </c>
    </row>
    <row r="13">
      <c r="B13" s="24" t="inlineStr">
        <is>
          <t>IndView</t>
        </is>
      </c>
      <c r="C13" s="24" t="inlineStr">
        <is>
          <t>个人客户详情视图</t>
        </is>
      </c>
      <c r="D13" s="24" t="inlineStr">
        <is>
          <t>010080</t>
        </is>
      </c>
      <c r="E13" s="24" t="inlineStr">
        <is>
          <t>客户大事记</t>
        </is>
      </c>
    </row>
    <row r="14">
      <c r="B14" s="24" t="inlineStr">
        <is>
          <t>IndView</t>
        </is>
      </c>
      <c r="C14" s="24" t="inlineStr">
        <is>
          <t>个人客户详情视图</t>
        </is>
      </c>
      <c r="D14" s="24" t="inlineStr">
        <is>
          <t>010090</t>
        </is>
      </c>
      <c r="E14" s="24" t="inlineStr">
        <is>
          <t>客户关联关系图谱</t>
        </is>
      </c>
    </row>
    <row r="15">
      <c r="B15" s="24" t="inlineStr">
        <is>
          <t>IndView</t>
        </is>
      </c>
      <c r="C15" s="24" t="inlineStr">
        <is>
          <t>个人客户详情视图</t>
        </is>
      </c>
      <c r="D15" s="24" t="inlineStr">
        <is>
          <t>010100</t>
        </is>
      </c>
      <c r="E15" s="24" t="inlineStr">
        <is>
          <t>客户担保关联图谱</t>
        </is>
      </c>
    </row>
    <row r="16">
      <c r="B16" s="24" t="inlineStr">
        <is>
          <t>IndView</t>
        </is>
      </c>
      <c r="C16" s="24" t="inlineStr">
        <is>
          <t>个人客户详情视图</t>
        </is>
      </c>
      <c r="D16" s="24" t="inlineStr">
        <is>
          <t>020</t>
        </is>
      </c>
      <c r="E16" s="24" t="inlineStr">
        <is>
          <t>客户财务信息</t>
        </is>
      </c>
    </row>
    <row r="17">
      <c r="B17" s="24" t="inlineStr">
        <is>
          <t>IndView</t>
        </is>
      </c>
      <c r="C17" s="24" t="inlineStr">
        <is>
          <t>个人客户详情视图</t>
        </is>
      </c>
      <c r="D17" s="24" t="inlineStr">
        <is>
          <t>020010</t>
        </is>
      </c>
      <c r="E17" s="24" t="inlineStr">
        <is>
          <t>财务报表录入</t>
        </is>
      </c>
    </row>
    <row r="18">
      <c r="B18" s="24" t="inlineStr">
        <is>
          <t>IndView</t>
        </is>
      </c>
      <c r="C18" s="24" t="inlineStr">
        <is>
          <t>个人客户详情视图</t>
        </is>
      </c>
      <c r="D18" s="24" t="inlineStr">
        <is>
          <t>020020</t>
        </is>
      </c>
      <c r="E18" s="24" t="inlineStr">
        <is>
          <t>财务报表变更</t>
        </is>
      </c>
    </row>
    <row r="19">
      <c r="B19" s="24" t="inlineStr">
        <is>
          <t>IndView</t>
        </is>
      </c>
      <c r="C19" s="24" t="inlineStr">
        <is>
          <t>个人客户详情视图</t>
        </is>
      </c>
      <c r="D19" s="24" t="inlineStr">
        <is>
          <t>020030</t>
        </is>
      </c>
      <c r="E19" s="24" t="inlineStr">
        <is>
          <t>财务分析</t>
        </is>
      </c>
    </row>
    <row r="20">
      <c r="B20" s="24" t="inlineStr">
        <is>
          <t>IndView</t>
        </is>
      </c>
      <c r="C20" s="24" t="inlineStr">
        <is>
          <t>个人客户详情视图</t>
        </is>
      </c>
      <c r="D20" s="24" t="inlineStr">
        <is>
          <t>020030010</t>
        </is>
      </c>
      <c r="E20" s="24" t="inlineStr">
        <is>
          <t>趋势分析</t>
        </is>
      </c>
    </row>
    <row r="21">
      <c r="B21" s="24" t="inlineStr">
        <is>
          <t>IndView</t>
        </is>
      </c>
      <c r="C21" s="24" t="inlineStr">
        <is>
          <t>个人客户详情视图</t>
        </is>
      </c>
      <c r="D21" s="24" t="inlineStr">
        <is>
          <t>020030020</t>
        </is>
      </c>
      <c r="E21" s="24" t="inlineStr">
        <is>
          <t>结构分析</t>
        </is>
      </c>
    </row>
    <row r="22">
      <c r="B22" s="24" t="inlineStr">
        <is>
          <t>IndView</t>
        </is>
      </c>
      <c r="C22" s="24" t="inlineStr">
        <is>
          <t>个人客户详情视图</t>
        </is>
      </c>
      <c r="D22" s="24" t="inlineStr">
        <is>
          <t>020030030</t>
        </is>
      </c>
      <c r="E22" s="24" t="inlineStr">
        <is>
          <t>杜邦分析</t>
        </is>
      </c>
    </row>
    <row r="23">
      <c r="B23" s="24" t="inlineStr">
        <is>
          <t>IndView</t>
        </is>
      </c>
      <c r="C23" s="24" t="inlineStr">
        <is>
          <t>个人客户详情视图</t>
        </is>
      </c>
      <c r="D23" s="24" t="inlineStr">
        <is>
          <t>020040</t>
        </is>
      </c>
      <c r="E23" s="24" t="inlineStr">
        <is>
          <t>财务预警</t>
        </is>
      </c>
    </row>
    <row r="24">
      <c r="B24" s="24" t="inlineStr">
        <is>
          <t>IndView</t>
        </is>
      </c>
      <c r="C24" s="24" t="inlineStr">
        <is>
          <t>个人客户详情视图</t>
        </is>
      </c>
      <c r="D24" s="24" t="inlineStr">
        <is>
          <t>020040010</t>
        </is>
      </c>
      <c r="E24" s="24" t="inlineStr">
        <is>
          <t>财务检测</t>
        </is>
      </c>
    </row>
    <row r="25">
      <c r="B25" s="24" t="inlineStr">
        <is>
          <t>IndView</t>
        </is>
      </c>
      <c r="C25" s="24" t="inlineStr">
        <is>
          <t>个人客户详情视图</t>
        </is>
      </c>
      <c r="D25" s="24" t="inlineStr">
        <is>
          <t>020040020</t>
        </is>
      </c>
      <c r="E25" s="24" t="inlineStr">
        <is>
          <t>财务反欺诈识别</t>
        </is>
      </c>
    </row>
    <row r="26">
      <c r="B26" s="24" t="inlineStr">
        <is>
          <t>IndView</t>
        </is>
      </c>
      <c r="C26" s="24" t="inlineStr">
        <is>
          <t>个人客户详情视图</t>
        </is>
      </c>
      <c r="D26" s="24" t="inlineStr">
        <is>
          <t>030</t>
        </is>
      </c>
      <c r="E26" s="24" t="inlineStr">
        <is>
          <t>个人资产与负债信息</t>
        </is>
      </c>
    </row>
    <row r="27">
      <c r="B27" s="24" t="inlineStr">
        <is>
          <t>IndView</t>
        </is>
      </c>
      <c r="C27" s="24" t="inlineStr">
        <is>
          <t>个人客户详情视图</t>
        </is>
      </c>
      <c r="D27" s="24" t="inlineStr">
        <is>
          <t>030010</t>
        </is>
      </c>
      <c r="E27" s="24" t="inlineStr">
        <is>
          <t>社会保险</t>
        </is>
      </c>
    </row>
    <row r="28">
      <c r="B28" s="24" t="inlineStr">
        <is>
          <t>IndView</t>
        </is>
      </c>
      <c r="C28" s="24" t="inlineStr">
        <is>
          <t>个人客户详情视图</t>
        </is>
      </c>
      <c r="D28" s="24" t="inlineStr">
        <is>
          <t>030020</t>
        </is>
      </c>
      <c r="E28" s="24" t="inlineStr">
        <is>
          <t>财产保险</t>
        </is>
      </c>
    </row>
    <row r="29">
      <c r="B29" s="24" t="inlineStr">
        <is>
          <t>IndView</t>
        </is>
      </c>
      <c r="C29" s="24" t="inlineStr">
        <is>
          <t>个人客户详情视图</t>
        </is>
      </c>
      <c r="D29" s="24" t="inlineStr">
        <is>
          <t>030030</t>
        </is>
      </c>
      <c r="E29" s="24" t="inlineStr">
        <is>
          <t>人寿保险</t>
        </is>
      </c>
    </row>
    <row r="30">
      <c r="B30" s="24" t="inlineStr">
        <is>
          <t>IndView</t>
        </is>
      </c>
      <c r="C30" s="24" t="inlineStr">
        <is>
          <t>个人客户详情视图</t>
        </is>
      </c>
      <c r="D30" s="24" t="inlineStr">
        <is>
          <t>030040</t>
        </is>
      </c>
      <c r="E30" s="24" t="inlineStr">
        <is>
          <t>房屋资产</t>
        </is>
      </c>
    </row>
    <row r="31">
      <c r="B31" s="24" t="inlineStr">
        <is>
          <t>IndView</t>
        </is>
      </c>
      <c r="C31" s="24" t="inlineStr">
        <is>
          <t>个人客户详情视图</t>
        </is>
      </c>
      <c r="D31" s="24" t="inlineStr">
        <is>
          <t>030050</t>
        </is>
      </c>
      <c r="E31" s="24" t="inlineStr">
        <is>
          <t>车辆资产</t>
        </is>
      </c>
    </row>
    <row r="32">
      <c r="B32" s="24" t="inlineStr">
        <is>
          <t>IndView</t>
        </is>
      </c>
      <c r="C32" s="24" t="inlineStr">
        <is>
          <t>个人客户详情视图</t>
        </is>
      </c>
      <c r="D32" s="24" t="inlineStr">
        <is>
          <t>030060</t>
        </is>
      </c>
      <c r="E32" s="24" t="inlineStr">
        <is>
          <t>持有股票</t>
        </is>
      </c>
    </row>
    <row r="33">
      <c r="B33" s="24" t="inlineStr">
        <is>
          <t>IndView</t>
        </is>
      </c>
      <c r="C33" s="24" t="inlineStr">
        <is>
          <t>个人客户详情视图</t>
        </is>
      </c>
      <c r="D33" s="24" t="inlineStr">
        <is>
          <t>030070</t>
        </is>
      </c>
      <c r="E33" s="24" t="inlineStr">
        <is>
          <t>持有债券</t>
        </is>
      </c>
    </row>
    <row r="34">
      <c r="B34" s="24" t="inlineStr">
        <is>
          <t>IndView</t>
        </is>
      </c>
      <c r="C34" s="24" t="inlineStr">
        <is>
          <t>个人客户详情视图</t>
        </is>
      </c>
      <c r="D34" s="24" t="inlineStr">
        <is>
          <t>030080</t>
        </is>
      </c>
      <c r="E34" s="24" t="inlineStr">
        <is>
          <t>投资企业</t>
        </is>
      </c>
    </row>
    <row r="35">
      <c r="B35" s="24" t="inlineStr">
        <is>
          <t>IndView</t>
        </is>
      </c>
      <c r="C35" s="24" t="inlineStr">
        <is>
          <t>个人客户详情视图</t>
        </is>
      </c>
      <c r="D35" s="24" t="inlineStr">
        <is>
          <t>030090</t>
        </is>
      </c>
      <c r="E35" s="24" t="inlineStr">
        <is>
          <t>纳税信息</t>
        </is>
      </c>
    </row>
    <row r="36">
      <c r="B36" s="24" t="inlineStr">
        <is>
          <t>IndView</t>
        </is>
      </c>
      <c r="C36" s="24" t="inlineStr">
        <is>
          <t>个人客户详情视图</t>
        </is>
      </c>
      <c r="D36" s="24" t="inlineStr">
        <is>
          <t>030100</t>
        </is>
      </c>
      <c r="E36" s="24" t="inlineStr">
        <is>
          <t>无形资产</t>
        </is>
      </c>
    </row>
    <row r="37">
      <c r="B37" s="24" t="inlineStr">
        <is>
          <t>IndView</t>
        </is>
      </c>
      <c r="C37" s="24" t="inlineStr">
        <is>
          <t>个人客户详情视图</t>
        </is>
      </c>
      <c r="D37" s="24" t="inlineStr">
        <is>
          <t>030110</t>
        </is>
      </c>
      <c r="E37" s="24" t="inlineStr">
        <is>
          <t>其他资产</t>
        </is>
      </c>
    </row>
    <row r="38">
      <c r="B38" s="24" t="inlineStr">
        <is>
          <t>IndView</t>
        </is>
      </c>
      <c r="C38" s="24" t="inlineStr">
        <is>
          <t>个人客户详情视图</t>
        </is>
      </c>
      <c r="D38" s="24" t="inlineStr">
        <is>
          <t>030120</t>
        </is>
      </c>
      <c r="E38" s="24" t="inlineStr">
        <is>
          <t>负债信息</t>
        </is>
      </c>
    </row>
    <row r="39">
      <c r="B39" s="24" t="inlineStr">
        <is>
          <t>IndView</t>
        </is>
      </c>
      <c r="C39" s="24" t="inlineStr">
        <is>
          <t>个人客户详情视图</t>
        </is>
      </c>
      <c r="D39" s="24" t="inlineStr">
        <is>
          <t>040</t>
        </is>
      </c>
      <c r="E39" s="24" t="inlineStr">
        <is>
          <t>客户提供相关资料</t>
        </is>
      </c>
    </row>
    <row r="40">
      <c r="B40" s="24" t="inlineStr">
        <is>
          <t>IndView</t>
        </is>
      </c>
      <c r="C40" s="24" t="inlineStr">
        <is>
          <t>个人客户详情视图</t>
        </is>
      </c>
      <c r="D40" s="24" t="inlineStr">
        <is>
          <t>040010</t>
        </is>
      </c>
      <c r="E40" s="24" t="inlineStr">
        <is>
          <t>资料信息</t>
        </is>
      </c>
    </row>
    <row r="41">
      <c r="B41" s="24" t="inlineStr">
        <is>
          <t>IndView</t>
        </is>
      </c>
      <c r="C41" s="24" t="inlineStr">
        <is>
          <t>个人客户详情视图</t>
        </is>
      </c>
      <c r="D41" s="24" t="inlineStr">
        <is>
          <t>050</t>
        </is>
      </c>
      <c r="E41" s="24" t="inlineStr">
        <is>
          <t>客户评价信息</t>
        </is>
      </c>
    </row>
    <row r="42">
      <c r="B42" s="24" t="inlineStr">
        <is>
          <t>IndView</t>
        </is>
      </c>
      <c r="C42" s="24" t="inlineStr">
        <is>
          <t>个人客户详情视图</t>
        </is>
      </c>
      <c r="D42" s="24" t="inlineStr">
        <is>
          <t>050010</t>
        </is>
      </c>
      <c r="E42" s="24" t="inlineStr">
        <is>
          <t>客户情况分析</t>
        </is>
      </c>
    </row>
    <row r="43">
      <c r="B43" s="24" t="inlineStr">
        <is>
          <t>IndView</t>
        </is>
      </c>
      <c r="C43" s="24" t="inlineStr">
        <is>
          <t>个人客户详情视图</t>
        </is>
      </c>
      <c r="D43" s="24" t="inlineStr">
        <is>
          <t>110</t>
        </is>
      </c>
      <c r="E43" s="24" t="inlineStr">
        <is>
          <t>其他信息</t>
        </is>
      </c>
    </row>
    <row r="44">
      <c r="B44" s="24" t="inlineStr">
        <is>
          <t>IndView</t>
        </is>
      </c>
      <c r="C44" s="24" t="inlineStr">
        <is>
          <t>个人客户详情视图</t>
        </is>
      </c>
      <c r="D44" s="24" t="inlineStr">
        <is>
          <t>110010</t>
        </is>
      </c>
      <c r="E44" s="24" t="inlineStr">
        <is>
          <t>客户信息维护记录</t>
        </is>
      </c>
    </row>
    <row r="45">
      <c r="B45" s="24" t="inlineStr">
        <is>
          <t>IndView</t>
        </is>
      </c>
      <c r="C45" s="24" t="inlineStr">
        <is>
          <t>个人客户详情视图</t>
        </is>
      </c>
      <c r="D45" s="24" t="inlineStr">
        <is>
          <t>110020</t>
        </is>
      </c>
      <c r="E45" s="24" t="inlineStr">
        <is>
          <t>客户管户变更记录</t>
        </is>
      </c>
    </row>
    <row r="46">
      <c r="B46" s="24" t="inlineStr">
        <is>
          <t>IndView</t>
        </is>
      </c>
      <c r="C46" s="24" t="inlineStr">
        <is>
          <t>个人客户详情视图</t>
        </is>
      </c>
      <c r="D46" s="24" t="inlineStr">
        <is>
          <t>110030</t>
        </is>
      </c>
      <c r="E46" s="24" t="inlineStr">
        <is>
          <t>客户引入记录</t>
        </is>
      </c>
    </row>
    <row r="47" ht="15.95" customHeight="1" s="170">
      <c r="B47" s="122" t="inlineStr">
        <is>
          <t>码值：文化水平</t>
        </is>
      </c>
    </row>
    <row r="48">
      <c r="B48" s="24" t="inlineStr">
        <is>
          <t>文化水平</t>
        </is>
      </c>
      <c r="C48" s="24" t="inlineStr">
        <is>
          <t>文化水平</t>
        </is>
      </c>
      <c r="D48" s="24" t="inlineStr">
        <is>
          <t>1</t>
        </is>
      </c>
      <c r="E48" s="24" t="inlineStr">
        <is>
          <t>初中</t>
        </is>
      </c>
    </row>
    <row r="49">
      <c r="B49" s="24" t="inlineStr">
        <is>
          <t>文化水平</t>
        </is>
      </c>
      <c r="C49" s="24" t="inlineStr">
        <is>
          <t>文化水平</t>
        </is>
      </c>
      <c r="D49" s="24" t="inlineStr">
        <is>
          <t>2</t>
        </is>
      </c>
      <c r="E49" s="24" t="inlineStr">
        <is>
          <t>高中</t>
        </is>
      </c>
    </row>
    <row r="50">
      <c r="B50" s="24" t="inlineStr">
        <is>
          <t>文化水平</t>
        </is>
      </c>
      <c r="C50" s="24" t="inlineStr">
        <is>
          <t>文化水平</t>
        </is>
      </c>
      <c r="D50" s="24" t="inlineStr">
        <is>
          <t>3</t>
        </is>
      </c>
      <c r="E50" s="24" t="inlineStr">
        <is>
          <t>大专</t>
        </is>
      </c>
    </row>
    <row r="51">
      <c r="B51" s="24" t="inlineStr">
        <is>
          <t>文化水平</t>
        </is>
      </c>
      <c r="C51" s="24" t="inlineStr">
        <is>
          <t>文化水平</t>
        </is>
      </c>
      <c r="D51" s="24" t="inlineStr">
        <is>
          <t>4</t>
        </is>
      </c>
      <c r="E51" s="24" t="inlineStr">
        <is>
          <t>本科及以上</t>
        </is>
      </c>
    </row>
    <row r="52" ht="15.95" customHeight="1" s="170">
      <c r="B52" s="122" t="inlineStr">
        <is>
          <t>码值：CountryRisk</t>
        </is>
      </c>
    </row>
    <row r="53">
      <c r="B53" s="24" t="inlineStr">
        <is>
          <t>CountryRisk</t>
        </is>
      </c>
      <c r="C53" s="24" t="inlineStr">
        <is>
          <t>国别风险</t>
        </is>
      </c>
      <c r="D53" s="24" t="inlineStr">
        <is>
          <t>CountryRisk01</t>
        </is>
      </c>
      <c r="E53" s="24" t="inlineStr">
        <is>
          <t>中国</t>
        </is>
      </c>
    </row>
    <row r="54">
      <c r="B54" s="24" t="inlineStr">
        <is>
          <t>CountryRisk</t>
        </is>
      </c>
      <c r="C54" s="24" t="inlineStr">
        <is>
          <t>国别风险</t>
        </is>
      </c>
      <c r="D54" s="24" t="inlineStr">
        <is>
          <t>CountryRisk02</t>
        </is>
      </c>
      <c r="E54" s="24" t="inlineStr">
        <is>
          <t>港澳台</t>
        </is>
      </c>
    </row>
    <row r="55">
      <c r="B55" s="24" t="inlineStr">
        <is>
          <t>CountryRisk</t>
        </is>
      </c>
      <c r="C55" s="24" t="inlineStr">
        <is>
          <t>国别风险</t>
        </is>
      </c>
      <c r="D55" s="24" t="inlineStr">
        <is>
          <t>CountryRisk03</t>
        </is>
      </c>
      <c r="E55" s="24" t="inlineStr">
        <is>
          <t>欧洲</t>
        </is>
      </c>
    </row>
    <row r="56">
      <c r="B56" s="24" t="inlineStr">
        <is>
          <t>CountryRisk</t>
        </is>
      </c>
      <c r="C56" s="24" t="inlineStr">
        <is>
          <t>国别风险</t>
        </is>
      </c>
      <c r="D56" s="24" t="inlineStr">
        <is>
          <t>CountryRisk04</t>
        </is>
      </c>
      <c r="E56" s="24" t="inlineStr">
        <is>
          <t>美国</t>
        </is>
      </c>
    </row>
    <row r="57">
      <c r="B57" s="24" t="inlineStr">
        <is>
          <t>CountryRisk</t>
        </is>
      </c>
      <c r="C57" s="24" t="inlineStr">
        <is>
          <t>国别风险</t>
        </is>
      </c>
      <c r="D57" s="24" t="inlineStr">
        <is>
          <t>CountryRisk05</t>
        </is>
      </c>
      <c r="E57" s="24" t="inlineStr">
        <is>
          <t>日本</t>
        </is>
      </c>
    </row>
    <row r="58">
      <c r="B58" s="24" t="inlineStr">
        <is>
          <t>CountryRisk</t>
        </is>
      </c>
      <c r="C58" s="24" t="inlineStr">
        <is>
          <t>国别风险</t>
        </is>
      </c>
      <c r="D58" s="24" t="inlineStr">
        <is>
          <t>CountryRisk06</t>
        </is>
      </c>
      <c r="E58" s="24" t="inlineStr">
        <is>
          <t>新加坡</t>
        </is>
      </c>
    </row>
    <row r="59">
      <c r="B59" s="24" t="inlineStr">
        <is>
          <t>CountryRisk</t>
        </is>
      </c>
      <c r="C59" s="24" t="inlineStr">
        <is>
          <t>国别风险</t>
        </is>
      </c>
      <c r="D59" s="24" t="inlineStr">
        <is>
          <t>CountryRisk07</t>
        </is>
      </c>
      <c r="E59" s="24" t="inlineStr">
        <is>
          <t>东南亚其他国家</t>
        </is>
      </c>
    </row>
    <row r="60">
      <c r="B60" s="24" t="inlineStr">
        <is>
          <t>CountryRisk</t>
        </is>
      </c>
      <c r="C60" s="24" t="inlineStr">
        <is>
          <t>国别风险</t>
        </is>
      </c>
      <c r="D60" s="24" t="inlineStr">
        <is>
          <t>CountryRisk08</t>
        </is>
      </c>
      <c r="E60" s="24" t="inlineStr">
        <is>
          <t>澳洲</t>
        </is>
      </c>
    </row>
    <row r="61">
      <c r="B61" s="24" t="inlineStr">
        <is>
          <t>CountryRisk</t>
        </is>
      </c>
      <c r="C61" s="24" t="inlineStr">
        <is>
          <t>国别风险</t>
        </is>
      </c>
      <c r="D61" s="24" t="inlineStr">
        <is>
          <t>CountryRisk09</t>
        </is>
      </c>
      <c r="E61" s="24" t="inlineStr">
        <is>
          <t>北美</t>
        </is>
      </c>
    </row>
    <row r="62">
      <c r="B62" s="24" t="inlineStr">
        <is>
          <t>CountryRisk</t>
        </is>
      </c>
      <c r="C62" s="24" t="inlineStr">
        <is>
          <t>国别风险</t>
        </is>
      </c>
      <c r="D62" s="24" t="inlineStr">
        <is>
          <t>CountryRisk10</t>
        </is>
      </c>
      <c r="E62" s="24" t="inlineStr">
        <is>
          <t>其他</t>
        </is>
      </c>
    </row>
    <row r="63" ht="15.95" customHeight="1" s="170">
      <c r="B63" s="122" t="inlineStr">
        <is>
          <t>码值：FamilyStatus</t>
        </is>
      </c>
    </row>
    <row r="64">
      <c r="B64" s="24" t="inlineStr">
        <is>
          <t>FamilyStatus</t>
        </is>
      </c>
      <c r="C64" s="24" t="inlineStr">
        <is>
          <t>居住状况</t>
        </is>
      </c>
      <c r="D64" s="24" t="inlineStr">
        <is>
          <t>1</t>
        </is>
      </c>
      <c r="E64" s="24" t="inlineStr">
        <is>
          <t>自置</t>
        </is>
      </c>
    </row>
    <row r="65">
      <c r="B65" s="24" t="inlineStr">
        <is>
          <t>FamilyStatus</t>
        </is>
      </c>
      <c r="C65" s="24" t="inlineStr">
        <is>
          <t>居住状况</t>
        </is>
      </c>
      <c r="D65" s="24" t="inlineStr">
        <is>
          <t>2</t>
        </is>
      </c>
      <c r="E65" s="24" t="inlineStr">
        <is>
          <t>按揭</t>
        </is>
      </c>
    </row>
    <row r="66">
      <c r="B66" s="24" t="inlineStr">
        <is>
          <t>FamilyStatus</t>
        </is>
      </c>
      <c r="C66" s="24" t="inlineStr">
        <is>
          <t>居住状况</t>
        </is>
      </c>
      <c r="D66" s="24" t="inlineStr">
        <is>
          <t>3</t>
        </is>
      </c>
      <c r="E66" s="24" t="inlineStr">
        <is>
          <t>亲属楼宇</t>
        </is>
      </c>
    </row>
    <row r="67">
      <c r="B67" s="24" t="inlineStr">
        <is>
          <t>FamilyStatus</t>
        </is>
      </c>
      <c r="C67" s="24" t="inlineStr">
        <is>
          <t>居住状况</t>
        </is>
      </c>
      <c r="D67" s="24" t="inlineStr">
        <is>
          <t>4</t>
        </is>
      </c>
      <c r="E67" s="24" t="inlineStr">
        <is>
          <t>集体宿舍</t>
        </is>
      </c>
    </row>
    <row r="68">
      <c r="B68" s="24" t="inlineStr">
        <is>
          <t>FamilyStatus</t>
        </is>
      </c>
      <c r="C68" s="24" t="inlineStr">
        <is>
          <t>居住状况</t>
        </is>
      </c>
      <c r="D68" s="24" t="inlineStr">
        <is>
          <t>5</t>
        </is>
      </c>
      <c r="E68" s="24" t="inlineStr">
        <is>
          <t>租房</t>
        </is>
      </c>
    </row>
    <row r="69">
      <c r="B69" s="24" t="inlineStr">
        <is>
          <t>FamilyStatus</t>
        </is>
      </c>
      <c r="C69" s="24" t="inlineStr">
        <is>
          <t>居住状况</t>
        </is>
      </c>
      <c r="D69" s="24" t="inlineStr">
        <is>
          <t>6</t>
        </is>
      </c>
      <c r="E69" s="24" t="inlineStr">
        <is>
          <t>共有住宅</t>
        </is>
      </c>
    </row>
    <row r="70">
      <c r="B70" s="24" t="inlineStr">
        <is>
          <t>FamilyStatus</t>
        </is>
      </c>
      <c r="C70" s="24" t="inlineStr">
        <is>
          <t>居住状况</t>
        </is>
      </c>
      <c r="D70" s="24" t="inlineStr">
        <is>
          <t>7</t>
        </is>
      </c>
      <c r="E70" s="24" t="inlineStr">
        <is>
          <t>其他</t>
        </is>
      </c>
    </row>
    <row r="71">
      <c r="B71" s="24" t="inlineStr">
        <is>
          <t>FamilyStatus</t>
        </is>
      </c>
      <c r="C71" s="24" t="inlineStr">
        <is>
          <t>居住状况</t>
        </is>
      </c>
      <c r="D71" s="24" t="inlineStr">
        <is>
          <t>9</t>
        </is>
      </c>
      <c r="E71" s="24" t="inlineStr">
        <is>
          <t>未知</t>
        </is>
      </c>
    </row>
    <row r="72" ht="15.95" customHeight="1" s="170">
      <c r="B72" s="122" t="inlineStr">
        <is>
          <t>码值：KeepType</t>
        </is>
      </c>
    </row>
    <row r="73">
      <c r="B73" s="24" t="inlineStr">
        <is>
          <t>KeepType</t>
        </is>
      </c>
      <c r="C73" s="24" t="inlineStr">
        <is>
          <t>存货类型</t>
        </is>
      </c>
      <c r="D73" s="24" t="inlineStr">
        <is>
          <t>01</t>
        </is>
      </c>
      <c r="E73" s="24" t="inlineStr">
        <is>
          <t>原材料</t>
        </is>
      </c>
    </row>
    <row r="74">
      <c r="B74" s="24" t="inlineStr">
        <is>
          <t>KeepType</t>
        </is>
      </c>
      <c r="C74" s="24" t="inlineStr">
        <is>
          <t>存货类型</t>
        </is>
      </c>
      <c r="D74" s="24" t="inlineStr">
        <is>
          <t>02</t>
        </is>
      </c>
      <c r="E74" s="24" t="inlineStr">
        <is>
          <t>产成品</t>
        </is>
      </c>
    </row>
    <row r="75">
      <c r="B75" s="24" t="inlineStr">
        <is>
          <t>KeepType</t>
        </is>
      </c>
      <c r="C75" s="24" t="inlineStr">
        <is>
          <t>存货类型</t>
        </is>
      </c>
      <c r="D75" s="24" t="inlineStr">
        <is>
          <t>03</t>
        </is>
      </c>
      <c r="E75" s="24" t="inlineStr">
        <is>
          <t>在产品</t>
        </is>
      </c>
    </row>
    <row r="76">
      <c r="B76" s="24" t="inlineStr">
        <is>
          <t>KeepType</t>
        </is>
      </c>
      <c r="C76" s="24" t="inlineStr">
        <is>
          <t>存货类型</t>
        </is>
      </c>
      <c r="D76" s="24" t="inlineStr">
        <is>
          <t>06</t>
        </is>
      </c>
      <c r="E76" s="24" t="inlineStr">
        <is>
          <t>其他</t>
        </is>
      </c>
    </row>
    <row r="77" ht="15.95" customHeight="1" s="170">
      <c r="B77" s="122" t="inlineStr">
        <is>
          <t>码值：DemoInternetCompanyType</t>
        </is>
      </c>
    </row>
    <row r="78">
      <c r="B78" s="24" t="inlineStr">
        <is>
          <t>DemoInternetCompanyType</t>
        </is>
      </c>
      <c r="C78" s="24" t="n"/>
      <c r="D78" s="24" t="inlineStr">
        <is>
          <t>01</t>
        </is>
      </c>
      <c r="E78" s="24" t="inlineStr">
        <is>
          <t>互联网公司</t>
        </is>
      </c>
    </row>
    <row r="79">
      <c r="B79" s="24" t="inlineStr">
        <is>
          <t>DemoInternetCompanyType</t>
        </is>
      </c>
      <c r="C79" s="24" t="n"/>
      <c r="D79" s="24" t="inlineStr">
        <is>
          <t>0101</t>
        </is>
      </c>
      <c r="E79" s="24" t="inlineStr">
        <is>
          <t>树图</t>
        </is>
      </c>
    </row>
    <row r="80" ht="15.95" customHeight="1" s="170">
      <c r="B80" s="122" t="inlineStr">
        <is>
          <t>码值：PProjectView</t>
        </is>
      </c>
    </row>
    <row r="81">
      <c r="B81" s="24" t="inlineStr">
        <is>
          <t>PProjectView</t>
        </is>
      </c>
      <c r="C81" s="24" t="inlineStr">
        <is>
          <t>合作方项目申请树图</t>
        </is>
      </c>
      <c r="D81" s="24" t="inlineStr">
        <is>
          <t>0010</t>
        </is>
      </c>
      <c r="E81" s="24" t="inlineStr">
        <is>
          <t>合作项目基本信息</t>
        </is>
      </c>
    </row>
    <row r="82">
      <c r="B82" s="24" t="inlineStr">
        <is>
          <t>PProjectView</t>
        </is>
      </c>
      <c r="C82" s="24" t="inlineStr">
        <is>
          <t>合作方项目申请树图</t>
        </is>
      </c>
      <c r="D82" s="24" t="inlineStr">
        <is>
          <t>0020</t>
        </is>
      </c>
      <c r="E82" s="24" t="inlineStr">
        <is>
          <t>项目额度信息</t>
        </is>
      </c>
    </row>
    <row r="83">
      <c r="B83" s="24" t="inlineStr">
        <is>
          <t>PProjectView</t>
        </is>
      </c>
      <c r="C83" s="24" t="inlineStr">
        <is>
          <t>合作方项目申请树图</t>
        </is>
      </c>
      <c r="D83" s="24" t="inlineStr">
        <is>
          <t>0030</t>
        </is>
      </c>
      <c r="E83" s="24" t="inlineStr">
        <is>
          <t>担保额度信息</t>
        </is>
      </c>
    </row>
    <row r="84">
      <c r="B84" s="24" t="inlineStr">
        <is>
          <t>PProjectView</t>
        </is>
      </c>
      <c r="C84" s="24" t="inlineStr">
        <is>
          <t>合作方项目申请树图</t>
        </is>
      </c>
      <c r="D84" s="24" t="inlineStr">
        <is>
          <t>0040</t>
        </is>
      </c>
      <c r="E84" s="24" t="inlineStr">
        <is>
          <t>保证金信息</t>
        </is>
      </c>
    </row>
    <row r="85">
      <c r="B85" s="24" t="inlineStr">
        <is>
          <t>PProjectView</t>
        </is>
      </c>
      <c r="C85" s="24" t="inlineStr">
        <is>
          <t>合作方项目申请树图</t>
        </is>
      </c>
      <c r="D85" s="24" t="inlineStr">
        <is>
          <t>0050</t>
        </is>
      </c>
      <c r="E85" s="24" t="inlineStr">
        <is>
          <t>其他合作方</t>
        </is>
      </c>
    </row>
    <row r="86">
      <c r="B86" s="24" t="inlineStr">
        <is>
          <t>PProjectView</t>
        </is>
      </c>
      <c r="C86" s="24" t="inlineStr">
        <is>
          <t>合作方项目申请树图</t>
        </is>
      </c>
      <c r="D86" s="24" t="inlineStr">
        <is>
          <t>0060</t>
        </is>
      </c>
      <c r="E86" s="24" t="inlineStr">
        <is>
          <t>项下业务要求</t>
        </is>
      </c>
    </row>
    <row r="87">
      <c r="B87" s="24" t="inlineStr">
        <is>
          <t>PProjectView</t>
        </is>
      </c>
      <c r="C87" s="24" t="inlineStr">
        <is>
          <t>合作方项目申请树图</t>
        </is>
      </c>
      <c r="D87" s="24" t="inlineStr">
        <is>
          <t>0070</t>
        </is>
      </c>
      <c r="E87" s="24" t="inlineStr">
        <is>
          <t>附属信息</t>
        </is>
      </c>
    </row>
    <row r="88">
      <c r="B88" s="24" t="inlineStr">
        <is>
          <t>PProjectView</t>
        </is>
      </c>
      <c r="C88" s="24" t="inlineStr">
        <is>
          <t>合作方项目申请树图</t>
        </is>
      </c>
      <c r="D88" s="24" t="inlineStr">
        <is>
          <t>007010</t>
        </is>
      </c>
      <c r="E88" s="24" t="inlineStr">
        <is>
          <t>设备信息</t>
        </is>
      </c>
    </row>
    <row r="89">
      <c r="B89" s="24" t="inlineStr">
        <is>
          <t>PProjectView</t>
        </is>
      </c>
      <c r="C89" s="24" t="inlineStr">
        <is>
          <t>合作方项目申请树图</t>
        </is>
      </c>
      <c r="D89" s="24" t="inlineStr">
        <is>
          <t>007020</t>
        </is>
      </c>
      <c r="E89" s="24" t="inlineStr">
        <is>
          <t>车辆信息</t>
        </is>
      </c>
    </row>
    <row r="90">
      <c r="B90" s="24" t="inlineStr">
        <is>
          <t>PProjectView</t>
        </is>
      </c>
      <c r="C90" s="24" t="inlineStr">
        <is>
          <t>合作方项目申请树图</t>
        </is>
      </c>
      <c r="D90" s="24" t="inlineStr">
        <is>
          <t>007030</t>
        </is>
      </c>
      <c r="E90" s="24" t="inlineStr">
        <is>
          <t>楼盘信息</t>
        </is>
      </c>
    </row>
    <row r="91">
      <c r="B91" s="24" t="inlineStr">
        <is>
          <t>PProjectView</t>
        </is>
      </c>
      <c r="C91" s="24" t="inlineStr">
        <is>
          <t>合作方项目申请树图</t>
        </is>
      </c>
      <c r="D91" s="24" t="inlineStr">
        <is>
          <t>0080</t>
        </is>
      </c>
      <c r="E91" s="24" t="inlineStr">
        <is>
          <t>其他重要信息</t>
        </is>
      </c>
    </row>
    <row r="92" ht="15.95" customHeight="1" s="170">
      <c r="B92" s="122" t="inlineStr">
        <is>
          <t>码值：DepositAccountType</t>
        </is>
      </c>
    </row>
    <row r="93">
      <c r="B93" s="24" t="inlineStr">
        <is>
          <t>DepositAccountType</t>
        </is>
      </c>
      <c r="C93" s="24" t="inlineStr">
        <is>
          <t>存款账户类型</t>
        </is>
      </c>
      <c r="D93" s="24" t="inlineStr">
        <is>
          <t>01</t>
        </is>
      </c>
      <c r="E93" s="24" t="inlineStr">
        <is>
          <t>卡</t>
        </is>
      </c>
    </row>
    <row r="94">
      <c r="B94" s="24" t="inlineStr">
        <is>
          <t>DepositAccountType</t>
        </is>
      </c>
      <c r="C94" s="24" t="inlineStr">
        <is>
          <t>存款账户类型</t>
        </is>
      </c>
      <c r="D94" s="24" t="inlineStr">
        <is>
          <t>02</t>
        </is>
      </c>
      <c r="E94" s="24" t="inlineStr">
        <is>
          <t>折</t>
        </is>
      </c>
    </row>
    <row r="95" ht="15.95" customHeight="1" s="170">
      <c r="B95" s="122" t="inlineStr">
        <is>
          <t>码值：LAWVALIDITYTYPE</t>
        </is>
      </c>
    </row>
    <row r="96">
      <c r="B96" s="24" t="inlineStr">
        <is>
          <t>LAWVALIDITYTYPE</t>
        </is>
      </c>
      <c r="C96" s="24" t="inlineStr">
        <is>
          <t>法律有效性</t>
        </is>
      </c>
      <c r="D96" s="24" t="inlineStr">
        <is>
          <t>01</t>
        </is>
      </c>
      <c r="E96" s="24" t="inlineStr">
        <is>
          <t>担保合法且手续完整</t>
        </is>
      </c>
    </row>
    <row r="97">
      <c r="B97" s="24" t="inlineStr">
        <is>
          <t>LAWVALIDITYTYPE</t>
        </is>
      </c>
      <c r="C97" s="24" t="inlineStr">
        <is>
          <t>法律有效性</t>
        </is>
      </c>
      <c r="D97" s="24" t="inlineStr">
        <is>
          <t>02</t>
        </is>
      </c>
      <c r="E97" s="24" t="inlineStr">
        <is>
          <t>担保不合法或手续不完整</t>
        </is>
      </c>
    </row>
    <row r="98" ht="15.95" customHeight="1" s="170">
      <c r="B98" s="122" t="inlineStr">
        <is>
          <t>码值：ReserveSingleView</t>
        </is>
      </c>
    </row>
    <row r="99">
      <c r="B99" s="24" t="inlineStr">
        <is>
          <t>ReserveSingleView</t>
        </is>
      </c>
      <c r="C99" s="24" t="inlineStr">
        <is>
          <t>减值计提详情树图</t>
        </is>
      </c>
      <c r="D99" s="24" t="inlineStr">
        <is>
          <t>010010</t>
        </is>
      </c>
      <c r="E99" s="24" t="inlineStr">
        <is>
          <t>减值计提信息</t>
        </is>
      </c>
    </row>
    <row r="100">
      <c r="B100" s="24" t="inlineStr">
        <is>
          <t>ReserveSingleView</t>
        </is>
      </c>
      <c r="C100" s="24" t="inlineStr">
        <is>
          <t>减值计提详情树图</t>
        </is>
      </c>
      <c r="D100" s="24" t="inlineStr">
        <is>
          <t>010020</t>
        </is>
      </c>
      <c r="E100" s="24" t="inlineStr">
        <is>
          <t>拨备计提历史</t>
        </is>
      </c>
    </row>
    <row r="101">
      <c r="B101" s="24" t="inlineStr">
        <is>
          <t>ReserveSingleView</t>
        </is>
      </c>
      <c r="C101" s="24" t="inlineStr">
        <is>
          <t>减值计提详情树图</t>
        </is>
      </c>
      <c r="D101" s="24" t="inlineStr">
        <is>
          <t>010030</t>
        </is>
      </c>
      <c r="E101" s="24" t="inlineStr">
        <is>
          <t>影像资料</t>
        </is>
      </c>
    </row>
    <row r="102" ht="15.95" customHeight="1" s="170">
      <c r="B102" s="122" t="inlineStr">
        <is>
          <t>码值：创新能力</t>
        </is>
      </c>
    </row>
    <row r="103">
      <c r="B103" s="24" t="inlineStr">
        <is>
          <t>创新能力</t>
        </is>
      </c>
      <c r="C103" s="24" t="inlineStr">
        <is>
          <t>创新能力</t>
        </is>
      </c>
      <c r="D103" s="24" t="inlineStr">
        <is>
          <t>01</t>
        </is>
      </c>
      <c r="E103" s="24" t="inlineStr">
        <is>
          <t>公司的创新能力极强，有很多还未应用的已申请专利，且研发费用占比远高于同业水平</t>
        </is>
      </c>
    </row>
    <row r="104">
      <c r="B104" s="24" t="inlineStr">
        <is>
          <t>创新能力</t>
        </is>
      </c>
      <c r="C104" s="24" t="inlineStr">
        <is>
          <t>创新能力</t>
        </is>
      </c>
      <c r="D104" s="24" t="inlineStr">
        <is>
          <t>02</t>
        </is>
      </c>
      <c r="E104" s="24" t="inlineStr">
        <is>
          <t>公司的创新能力极强，且研发费用占比高于同业水平</t>
        </is>
      </c>
    </row>
    <row r="105">
      <c r="B105" s="24" t="inlineStr">
        <is>
          <t>创新能力</t>
        </is>
      </c>
      <c r="C105" s="24" t="inlineStr">
        <is>
          <t>创新能力</t>
        </is>
      </c>
      <c r="D105" s="24" t="inlineStr">
        <is>
          <t>03</t>
        </is>
      </c>
      <c r="E105" s="24" t="inlineStr">
        <is>
          <t>公司的创新能力一般，且研发费用占比基本持平于同业水平</t>
        </is>
      </c>
    </row>
    <row r="106">
      <c r="B106" s="24" t="inlineStr">
        <is>
          <t>创新能力</t>
        </is>
      </c>
      <c r="C106" s="24" t="inlineStr">
        <is>
          <t>创新能力</t>
        </is>
      </c>
      <c r="D106" s="24" t="inlineStr">
        <is>
          <t>04</t>
        </is>
      </c>
      <c r="E106" s="24" t="inlineStr">
        <is>
          <t>公司的创新能力差，且研发费用占比低于同业水平</t>
        </is>
      </c>
    </row>
    <row r="107" ht="15.95" customHeight="1" s="170">
      <c r="B107" s="122" t="inlineStr">
        <is>
          <t>码值：ScoreLevel</t>
        </is>
      </c>
    </row>
    <row r="108">
      <c r="B108" s="24" t="inlineStr">
        <is>
          <t>ScoreLevel</t>
        </is>
      </c>
      <c r="C108" s="24" t="inlineStr">
        <is>
          <t>客户信用等级</t>
        </is>
      </c>
      <c r="D108" s="24" t="inlineStr">
        <is>
          <t>010</t>
        </is>
      </c>
      <c r="E108" s="24" t="inlineStr">
        <is>
          <t>AAA</t>
        </is>
      </c>
    </row>
    <row r="109">
      <c r="B109" s="24" t="inlineStr">
        <is>
          <t>ScoreLevel</t>
        </is>
      </c>
      <c r="C109" s="24" t="inlineStr">
        <is>
          <t>客户信用等级</t>
        </is>
      </c>
      <c r="D109" s="24" t="inlineStr">
        <is>
          <t>020</t>
        </is>
      </c>
      <c r="E109" s="24" t="inlineStr">
        <is>
          <t>AA+</t>
        </is>
      </c>
    </row>
    <row r="110">
      <c r="B110" s="24" t="inlineStr">
        <is>
          <t>ScoreLevel</t>
        </is>
      </c>
      <c r="C110" s="24" t="inlineStr">
        <is>
          <t>客户信用等级</t>
        </is>
      </c>
      <c r="D110" s="24" t="inlineStr">
        <is>
          <t>030</t>
        </is>
      </c>
      <c r="E110" s="24" t="inlineStr">
        <is>
          <t>AA</t>
        </is>
      </c>
    </row>
    <row r="111">
      <c r="B111" s="24" t="inlineStr">
        <is>
          <t>ScoreLevel</t>
        </is>
      </c>
      <c r="C111" s="24" t="inlineStr">
        <is>
          <t>客户信用等级</t>
        </is>
      </c>
      <c r="D111" s="24" t="inlineStr">
        <is>
          <t>040</t>
        </is>
      </c>
      <c r="E111" s="24" t="inlineStr">
        <is>
          <t>AA-</t>
        </is>
      </c>
    </row>
    <row r="112">
      <c r="B112" s="24" t="inlineStr">
        <is>
          <t>ScoreLevel</t>
        </is>
      </c>
      <c r="C112" s="24" t="inlineStr">
        <is>
          <t>客户信用等级</t>
        </is>
      </c>
      <c r="D112" s="24" t="inlineStr">
        <is>
          <t>050</t>
        </is>
      </c>
      <c r="E112" s="24" t="inlineStr">
        <is>
          <t>A+</t>
        </is>
      </c>
    </row>
    <row r="113">
      <c r="B113" s="24" t="inlineStr">
        <is>
          <t>ScoreLevel</t>
        </is>
      </c>
      <c r="C113" s="24" t="inlineStr">
        <is>
          <t>客户信用等级</t>
        </is>
      </c>
      <c r="D113" s="24" t="inlineStr">
        <is>
          <t>060</t>
        </is>
      </c>
      <c r="E113" s="24" t="inlineStr">
        <is>
          <t>A</t>
        </is>
      </c>
    </row>
    <row r="114">
      <c r="B114" s="24" t="inlineStr">
        <is>
          <t>ScoreLevel</t>
        </is>
      </c>
      <c r="C114" s="24" t="inlineStr">
        <is>
          <t>客户信用等级</t>
        </is>
      </c>
      <c r="D114" s="24" t="inlineStr">
        <is>
          <t>070</t>
        </is>
      </c>
      <c r="E114" s="24" t="inlineStr">
        <is>
          <t>A-</t>
        </is>
      </c>
    </row>
    <row r="115">
      <c r="B115" s="24" t="inlineStr">
        <is>
          <t>ScoreLevel</t>
        </is>
      </c>
      <c r="C115" s="24" t="inlineStr">
        <is>
          <t>客户信用等级</t>
        </is>
      </c>
      <c r="D115" s="24" t="inlineStr">
        <is>
          <t>080</t>
        </is>
      </c>
      <c r="E115" s="24" t="inlineStr">
        <is>
          <t>BBB+</t>
        </is>
      </c>
    </row>
    <row r="116">
      <c r="B116" s="24" t="inlineStr">
        <is>
          <t>ScoreLevel</t>
        </is>
      </c>
      <c r="C116" s="24" t="inlineStr">
        <is>
          <t>客户信用等级</t>
        </is>
      </c>
      <c r="D116" s="24" t="inlineStr">
        <is>
          <t>090</t>
        </is>
      </c>
      <c r="E116" s="24" t="inlineStr">
        <is>
          <t>BBB</t>
        </is>
      </c>
    </row>
    <row r="117">
      <c r="B117" s="24" t="inlineStr">
        <is>
          <t>ScoreLevel</t>
        </is>
      </c>
      <c r="C117" s="24" t="inlineStr">
        <is>
          <t>客户信用等级</t>
        </is>
      </c>
      <c r="D117" s="24" t="inlineStr">
        <is>
          <t>100</t>
        </is>
      </c>
      <c r="E117" s="24" t="inlineStr">
        <is>
          <t>BBB-</t>
        </is>
      </c>
    </row>
    <row r="118">
      <c r="B118" s="24" t="inlineStr">
        <is>
          <t>ScoreLevel</t>
        </is>
      </c>
      <c r="C118" s="24" t="inlineStr">
        <is>
          <t>客户信用等级</t>
        </is>
      </c>
      <c r="D118" s="24" t="inlineStr">
        <is>
          <t>110</t>
        </is>
      </c>
      <c r="E118" s="24" t="inlineStr">
        <is>
          <t>BB+</t>
        </is>
      </c>
    </row>
    <row r="119">
      <c r="B119" s="24" t="inlineStr">
        <is>
          <t>ScoreLevel</t>
        </is>
      </c>
      <c r="C119" s="24" t="inlineStr">
        <is>
          <t>客户信用等级</t>
        </is>
      </c>
      <c r="D119" s="24" t="inlineStr">
        <is>
          <t>120</t>
        </is>
      </c>
      <c r="E119" s="24" t="inlineStr">
        <is>
          <t>BB</t>
        </is>
      </c>
    </row>
    <row r="120">
      <c r="B120" s="24" t="inlineStr">
        <is>
          <t>ScoreLevel</t>
        </is>
      </c>
      <c r="C120" s="24" t="inlineStr">
        <is>
          <t>客户信用等级</t>
        </is>
      </c>
      <c r="D120" s="24" t="inlineStr">
        <is>
          <t>130</t>
        </is>
      </c>
      <c r="E120" s="24" t="inlineStr">
        <is>
          <t>BB-</t>
        </is>
      </c>
    </row>
    <row r="121">
      <c r="B121" s="24" t="inlineStr">
        <is>
          <t>ScoreLevel</t>
        </is>
      </c>
      <c r="C121" s="24" t="inlineStr">
        <is>
          <t>客户信用等级</t>
        </is>
      </c>
      <c r="D121" s="24" t="inlineStr">
        <is>
          <t>140</t>
        </is>
      </c>
      <c r="E121" s="24" t="inlineStr">
        <is>
          <t>B+</t>
        </is>
      </c>
    </row>
    <row r="122">
      <c r="B122" s="24" t="inlineStr">
        <is>
          <t>ScoreLevel</t>
        </is>
      </c>
      <c r="C122" s="24" t="inlineStr">
        <is>
          <t>客户信用等级</t>
        </is>
      </c>
      <c r="D122" s="24" t="inlineStr">
        <is>
          <t>150</t>
        </is>
      </c>
      <c r="E122" s="24" t="inlineStr">
        <is>
          <t>B</t>
        </is>
      </c>
    </row>
    <row r="123">
      <c r="B123" s="24" t="inlineStr">
        <is>
          <t>ScoreLevel</t>
        </is>
      </c>
      <c r="C123" s="24" t="inlineStr">
        <is>
          <t>客户信用等级</t>
        </is>
      </c>
      <c r="D123" s="24" t="inlineStr">
        <is>
          <t>160</t>
        </is>
      </c>
      <c r="E123" s="24" t="inlineStr">
        <is>
          <t>B-</t>
        </is>
      </c>
    </row>
    <row r="124">
      <c r="B124" s="24" t="inlineStr">
        <is>
          <t>ScoreLevel</t>
        </is>
      </c>
      <c r="C124" s="24" t="inlineStr">
        <is>
          <t>客户信用等级</t>
        </is>
      </c>
      <c r="D124" s="24" t="inlineStr">
        <is>
          <t>170</t>
        </is>
      </c>
      <c r="E124" s="24" t="inlineStr">
        <is>
          <t>X</t>
        </is>
      </c>
    </row>
    <row r="125">
      <c r="B125" s="24" t="inlineStr">
        <is>
          <t>ScoreLevel</t>
        </is>
      </c>
      <c r="C125" s="24" t="inlineStr">
        <is>
          <t>客户信用等级</t>
        </is>
      </c>
      <c r="D125" s="24" t="inlineStr">
        <is>
          <t>180</t>
        </is>
      </c>
      <c r="E125" s="24" t="inlineStr">
        <is>
          <t>无</t>
        </is>
      </c>
    </row>
    <row r="126" ht="15.95" customHeight="1" s="170">
      <c r="B126" s="122" t="inlineStr">
        <is>
          <t>码值：AccountFlag</t>
        </is>
      </c>
    </row>
    <row r="127">
      <c r="B127" s="24" t="inlineStr">
        <is>
          <t>AccountFlag</t>
        </is>
      </c>
      <c r="C127" s="24" t="inlineStr">
        <is>
          <t>存款账号性质</t>
        </is>
      </c>
      <c r="D127" s="24" t="inlineStr">
        <is>
          <t>1</t>
        </is>
      </c>
      <c r="E127" s="24" t="inlineStr">
        <is>
          <t>本行存款账户</t>
        </is>
      </c>
    </row>
    <row r="128">
      <c r="B128" s="24" t="inlineStr">
        <is>
          <t>AccountFlag</t>
        </is>
      </c>
      <c r="C128" s="24" t="inlineStr">
        <is>
          <t>存款账号性质</t>
        </is>
      </c>
      <c r="D128" s="24" t="inlineStr">
        <is>
          <t>2</t>
        </is>
      </c>
      <c r="E128" s="24" t="inlineStr">
        <is>
          <t>他行账户</t>
        </is>
      </c>
    </row>
    <row r="129">
      <c r="B129" s="24" t="inlineStr">
        <is>
          <t>AccountFlag</t>
        </is>
      </c>
      <c r="C129" s="24" t="inlineStr">
        <is>
          <t>存款账号性质</t>
        </is>
      </c>
      <c r="D129" s="24" t="inlineStr">
        <is>
          <t>3</t>
        </is>
      </c>
      <c r="E129" s="24" t="inlineStr">
        <is>
          <t>本行信用卡账户</t>
        </is>
      </c>
    </row>
    <row r="130">
      <c r="B130" s="24" t="inlineStr">
        <is>
          <t>AccountFlag</t>
        </is>
      </c>
      <c r="C130" s="24" t="inlineStr">
        <is>
          <t>存款账号性质</t>
        </is>
      </c>
      <c r="D130" s="24" t="inlineStr">
        <is>
          <t>4</t>
        </is>
      </c>
      <c r="E130" s="24" t="inlineStr">
        <is>
          <t>第三方账户</t>
        </is>
      </c>
    </row>
    <row r="131">
      <c r="B131" s="24" t="inlineStr">
        <is>
          <t>AccountFlag</t>
        </is>
      </c>
      <c r="C131" s="24" t="inlineStr">
        <is>
          <t>存款账号性质</t>
        </is>
      </c>
      <c r="D131" s="24" t="inlineStr">
        <is>
          <t>5</t>
        </is>
      </c>
      <c r="E131" s="24" t="inlineStr">
        <is>
          <t>内部账户</t>
        </is>
      </c>
    </row>
    <row r="132" ht="15.95" customHeight="1" s="170">
      <c r="B132" s="122" t="inlineStr">
        <is>
          <t>码值：GroupForkView</t>
        </is>
      </c>
    </row>
    <row r="133">
      <c r="B133" s="24" t="inlineStr">
        <is>
          <t>GroupForkView</t>
        </is>
      </c>
      <c r="C133" s="24" t="inlineStr">
        <is>
          <t>集团详情</t>
        </is>
      </c>
      <c r="D133" s="24" t="inlineStr">
        <is>
          <t>010</t>
        </is>
      </c>
      <c r="E133" s="24" t="inlineStr">
        <is>
          <t>集团客户基本情况</t>
        </is>
      </c>
    </row>
    <row r="134">
      <c r="B134" s="24" t="inlineStr">
        <is>
          <t>GroupForkView</t>
        </is>
      </c>
      <c r="C134" s="24" t="inlineStr">
        <is>
          <t>集团详情</t>
        </is>
      </c>
      <c r="D134" s="24" t="inlineStr">
        <is>
          <t>020</t>
        </is>
      </c>
      <c r="E134" s="24" t="inlineStr">
        <is>
          <t>集团家谱</t>
        </is>
      </c>
    </row>
    <row r="135">
      <c r="B135" s="24" t="inlineStr">
        <is>
          <t>GroupForkView</t>
        </is>
      </c>
      <c r="C135" s="24" t="inlineStr">
        <is>
          <t>集团详情</t>
        </is>
      </c>
      <c r="D135" s="24" t="inlineStr">
        <is>
          <t>030</t>
        </is>
      </c>
      <c r="E135" s="24" t="inlineStr">
        <is>
          <t>集团家谱历次已认定版本</t>
        </is>
      </c>
    </row>
    <row r="136">
      <c r="B136" s="24" t="inlineStr">
        <is>
          <t>GroupForkView</t>
        </is>
      </c>
      <c r="C136" s="24" t="inlineStr">
        <is>
          <t>集团详情</t>
        </is>
      </c>
      <c r="D136" s="24" t="inlineStr">
        <is>
          <t>040</t>
        </is>
      </c>
      <c r="E136" s="24" t="inlineStr">
        <is>
          <t>集团家谱复核意见</t>
        </is>
      </c>
    </row>
    <row r="137">
      <c r="B137" s="24" t="inlineStr">
        <is>
          <t>GroupForkView</t>
        </is>
      </c>
      <c r="C137" s="24" t="inlineStr">
        <is>
          <t>集团详情</t>
        </is>
      </c>
      <c r="D137" s="24" t="inlineStr">
        <is>
          <t>050</t>
        </is>
      </c>
      <c r="E137" s="24" t="inlineStr">
        <is>
          <t>集团家谱最新已认定成员</t>
        </is>
      </c>
    </row>
    <row r="138">
      <c r="B138" s="24" t="inlineStr">
        <is>
          <t>GroupForkView</t>
        </is>
      </c>
      <c r="C138" s="24" t="inlineStr">
        <is>
          <t>集团详情</t>
        </is>
      </c>
      <c r="D138" s="24" t="inlineStr">
        <is>
          <t>060</t>
        </is>
      </c>
      <c r="E138" s="24" t="inlineStr">
        <is>
          <t>集团变更历史</t>
        </is>
      </c>
    </row>
    <row r="139">
      <c r="B139" s="24" t="inlineStr">
        <is>
          <t>GroupForkView</t>
        </is>
      </c>
      <c r="C139" s="24" t="inlineStr">
        <is>
          <t>集团详情</t>
        </is>
      </c>
      <c r="D139" s="24" t="inlineStr">
        <is>
          <t>070</t>
        </is>
      </c>
      <c r="E139" s="24" t="inlineStr">
        <is>
          <t>财务信息</t>
        </is>
      </c>
    </row>
    <row r="140">
      <c r="B140" s="24" t="inlineStr">
        <is>
          <t>GroupForkView</t>
        </is>
      </c>
      <c r="C140" s="24" t="inlineStr">
        <is>
          <t>集团详情</t>
        </is>
      </c>
      <c r="D140" s="24" t="inlineStr">
        <is>
          <t>080</t>
        </is>
      </c>
      <c r="E140" s="24" t="inlineStr">
        <is>
          <t>集团授信额度</t>
        </is>
      </c>
    </row>
    <row r="141">
      <c r="B141" s="24" t="inlineStr">
        <is>
          <t>GroupForkView</t>
        </is>
      </c>
      <c r="C141" s="24" t="inlineStr">
        <is>
          <t>集团详情</t>
        </is>
      </c>
      <c r="D141" s="24" t="inlineStr">
        <is>
          <t>090</t>
        </is>
      </c>
      <c r="E141" s="24" t="inlineStr">
        <is>
          <t>集团额度切分</t>
        </is>
      </c>
    </row>
    <row r="142" ht="15.95" customHeight="1" s="170">
      <c r="B142" s="122" t="inlineStr">
        <is>
          <t>码值：RiskType</t>
        </is>
      </c>
    </row>
    <row r="143">
      <c r="B143" s="24" t="inlineStr">
        <is>
          <t>RiskType</t>
        </is>
      </c>
      <c r="C143" s="24" t="n"/>
      <c r="D143" s="24" t="inlineStr">
        <is>
          <t>01</t>
        </is>
      </c>
      <c r="E143" s="24" t="inlineStr">
        <is>
          <t>一般风险</t>
        </is>
      </c>
    </row>
    <row r="144">
      <c r="B144" s="24" t="inlineStr">
        <is>
          <t>RiskType</t>
        </is>
      </c>
      <c r="C144" s="24" t="n"/>
      <c r="D144" s="24" t="inlineStr">
        <is>
          <t>02</t>
        </is>
      </c>
      <c r="E144" s="24" t="inlineStr">
        <is>
          <t>低风险</t>
        </is>
      </c>
    </row>
    <row r="145" ht="15.95" customHeight="1" s="170">
      <c r="B145" s="122" t="inlineStr">
        <is>
          <t>码值：RealtyNature</t>
        </is>
      </c>
    </row>
    <row r="146">
      <c r="B146" s="24" t="inlineStr">
        <is>
          <t>RealtyNature</t>
        </is>
      </c>
      <c r="C146" s="24" t="inlineStr">
        <is>
          <t>房产状况</t>
        </is>
      </c>
      <c r="D146" s="24" t="inlineStr">
        <is>
          <t>1</t>
        </is>
      </c>
      <c r="E146" s="24" t="inlineStr">
        <is>
          <t>自购商品房</t>
        </is>
      </c>
    </row>
    <row r="147">
      <c r="B147" s="24" t="inlineStr">
        <is>
          <t>RealtyNature</t>
        </is>
      </c>
      <c r="C147" s="24" t="inlineStr">
        <is>
          <t>房产状况</t>
        </is>
      </c>
      <c r="D147" s="24" t="inlineStr">
        <is>
          <t>2</t>
        </is>
      </c>
      <c r="E147" s="24" t="inlineStr">
        <is>
          <t>自建房</t>
        </is>
      </c>
    </row>
    <row r="148">
      <c r="B148" s="24" t="inlineStr">
        <is>
          <t>RealtyNature</t>
        </is>
      </c>
      <c r="C148" s="24" t="inlineStr">
        <is>
          <t>房产状况</t>
        </is>
      </c>
      <c r="D148" s="24" t="inlineStr">
        <is>
          <t>3</t>
        </is>
      </c>
      <c r="E148" s="24" t="inlineStr">
        <is>
          <t>单位福利房</t>
        </is>
      </c>
    </row>
    <row r="149">
      <c r="B149" s="24" t="inlineStr">
        <is>
          <t>RealtyNature</t>
        </is>
      </c>
      <c r="C149" s="24" t="inlineStr">
        <is>
          <t>房产状况</t>
        </is>
      </c>
      <c r="D149" s="24" t="inlineStr">
        <is>
          <t>4</t>
        </is>
      </c>
      <c r="E149" s="24" t="inlineStr">
        <is>
          <t>其他房屋</t>
        </is>
      </c>
    </row>
    <row r="150" ht="15.95" customHeight="1" s="170">
      <c r="B150" s="122" t="inlineStr">
        <is>
          <t>码值：SCompetitiveness</t>
        </is>
      </c>
    </row>
    <row r="151">
      <c r="B151" s="24" t="inlineStr">
        <is>
          <t>SCompetitiveness</t>
        </is>
      </c>
      <c r="C151" s="24" t="inlineStr">
        <is>
          <t>信用等级评估统一导入</t>
        </is>
      </c>
      <c r="D151" s="24" t="inlineStr">
        <is>
          <t>01</t>
        </is>
      </c>
      <c r="E151" s="24" t="inlineStr">
        <is>
          <t>211院校</t>
        </is>
      </c>
    </row>
    <row r="152">
      <c r="B152" s="24" t="inlineStr">
        <is>
          <t>SCompetitiveness</t>
        </is>
      </c>
      <c r="C152" s="24" t="inlineStr">
        <is>
          <t>信用等级评估统一导入</t>
        </is>
      </c>
      <c r="D152" s="24" t="inlineStr">
        <is>
          <t>02</t>
        </is>
      </c>
      <c r="E152" s="24" t="inlineStr">
        <is>
          <t>其他高等院校、高职以及省属重点中学</t>
        </is>
      </c>
    </row>
    <row r="153">
      <c r="B153" s="24" t="inlineStr">
        <is>
          <t>SCompetitiveness</t>
        </is>
      </c>
      <c r="C153" s="24" t="inlineStr">
        <is>
          <t>信用等级评估统一导入</t>
        </is>
      </c>
      <c r="D153" s="24" t="inlineStr">
        <is>
          <t>03</t>
        </is>
      </c>
      <c r="E153" s="24" t="inlineStr">
        <is>
          <t>市属重点中学</t>
        </is>
      </c>
    </row>
    <row r="154">
      <c r="B154" s="24" t="inlineStr">
        <is>
          <t>SCompetitiveness</t>
        </is>
      </c>
      <c r="C154" s="24" t="inlineStr">
        <is>
          <t>信用等级评估统一导入</t>
        </is>
      </c>
      <c r="D154" s="24" t="inlineStr">
        <is>
          <t>04</t>
        </is>
      </c>
      <c r="E154" s="24" t="inlineStr">
        <is>
          <t>市属重点小学</t>
        </is>
      </c>
    </row>
    <row r="155">
      <c r="B155" s="24" t="inlineStr">
        <is>
          <t>SCompetitiveness</t>
        </is>
      </c>
      <c r="C155" s="24" t="inlineStr">
        <is>
          <t>信用等级评估统一导入</t>
        </is>
      </c>
      <c r="D155" s="24" t="inlineStr">
        <is>
          <t>05</t>
        </is>
      </c>
      <c r="E155" s="24" t="inlineStr">
        <is>
          <t>其他院校</t>
        </is>
      </c>
    </row>
    <row r="156" ht="15.95" customHeight="1" s="170">
      <c r="B156" s="122" t="inlineStr">
        <is>
          <t>码值：Status</t>
        </is>
      </c>
    </row>
    <row r="157">
      <c r="B157" s="24" t="inlineStr">
        <is>
          <t>Status</t>
        </is>
      </c>
      <c r="C157" s="24" t="inlineStr">
        <is>
          <t>状态</t>
        </is>
      </c>
      <c r="D157" s="24" t="inlineStr">
        <is>
          <t>1</t>
        </is>
      </c>
      <c r="E157" s="24" t="inlineStr">
        <is>
          <t>生效</t>
        </is>
      </c>
    </row>
    <row r="158">
      <c r="B158" s="24" t="inlineStr">
        <is>
          <t>Status</t>
        </is>
      </c>
      <c r="C158" s="24" t="inlineStr">
        <is>
          <t>状态</t>
        </is>
      </c>
      <c r="D158" s="24" t="inlineStr">
        <is>
          <t>2</t>
        </is>
      </c>
      <c r="E158" s="24" t="inlineStr">
        <is>
          <t>失效</t>
        </is>
      </c>
    </row>
    <row r="159" ht="15.95" customHeight="1" s="170">
      <c r="B159" s="122" t="inlineStr">
        <is>
          <t>码值：经营者行业经验</t>
        </is>
      </c>
    </row>
    <row r="160">
      <c r="B160" s="24" t="inlineStr">
        <is>
          <t>经营者行业经验</t>
        </is>
      </c>
      <c r="C160" s="24" t="inlineStr">
        <is>
          <t>经营者行业经验</t>
        </is>
      </c>
      <c r="D160" s="24" t="inlineStr">
        <is>
          <t>1</t>
        </is>
      </c>
      <c r="E160" s="24" t="inlineStr">
        <is>
          <t>5年以上（含）</t>
        </is>
      </c>
    </row>
    <row r="161">
      <c r="B161" s="24" t="inlineStr">
        <is>
          <t>经营者行业经验</t>
        </is>
      </c>
      <c r="C161" s="24" t="inlineStr">
        <is>
          <t>经营者行业经验</t>
        </is>
      </c>
      <c r="D161" s="24" t="inlineStr">
        <is>
          <t>2</t>
        </is>
      </c>
      <c r="E161" s="24" t="inlineStr">
        <is>
          <t>3（含）-5年</t>
        </is>
      </c>
    </row>
    <row r="162">
      <c r="B162" s="24" t="inlineStr">
        <is>
          <t>经营者行业经验</t>
        </is>
      </c>
      <c r="C162" s="24" t="inlineStr">
        <is>
          <t>经营者行业经验</t>
        </is>
      </c>
      <c r="D162" s="24" t="inlineStr">
        <is>
          <t>3</t>
        </is>
      </c>
      <c r="E162" s="24" t="inlineStr">
        <is>
          <t>1（含）-3年</t>
        </is>
      </c>
    </row>
    <row r="163">
      <c r="B163" s="24" t="inlineStr">
        <is>
          <t>经营者行业经验</t>
        </is>
      </c>
      <c r="C163" s="24" t="inlineStr">
        <is>
          <t>经营者行业经验</t>
        </is>
      </c>
      <c r="D163" s="24" t="inlineStr">
        <is>
          <t>4</t>
        </is>
      </c>
      <c r="E163" s="24" t="inlineStr">
        <is>
          <t>0（含）-1年</t>
        </is>
      </c>
    </row>
    <row r="164" ht="15.95" customHeight="1" s="170">
      <c r="B164" s="122" t="inlineStr">
        <is>
          <t>码值：ClassifyAdjustMain</t>
        </is>
      </c>
    </row>
    <row r="165">
      <c r="B165" s="24" t="inlineStr">
        <is>
          <t>ClassifyAdjustMain</t>
        </is>
      </c>
      <c r="C165" s="24" t="inlineStr">
        <is>
          <t>风险调整申请主树图</t>
        </is>
      </c>
      <c r="D165" s="24" t="inlineStr">
        <is>
          <t>1010</t>
        </is>
      </c>
      <c r="E165" s="24" t="inlineStr">
        <is>
          <t>待处理申请</t>
        </is>
      </c>
    </row>
    <row r="166">
      <c r="B166" s="24" t="inlineStr">
        <is>
          <t>ClassifyAdjustMain</t>
        </is>
      </c>
      <c r="C166" s="24" t="inlineStr">
        <is>
          <t>风险调整申请主树图</t>
        </is>
      </c>
      <c r="D166" s="24" t="inlineStr">
        <is>
          <t>1020</t>
        </is>
      </c>
      <c r="E166" s="24" t="inlineStr">
        <is>
          <t>认定中的申请</t>
        </is>
      </c>
    </row>
    <row r="167">
      <c r="B167" s="24" t="inlineStr">
        <is>
          <t>ClassifyAdjustMain</t>
        </is>
      </c>
      <c r="C167" s="24" t="inlineStr">
        <is>
          <t>风险调整申请主树图</t>
        </is>
      </c>
      <c r="D167" s="24" t="inlineStr">
        <is>
          <t>1040</t>
        </is>
      </c>
      <c r="E167" s="24" t="inlineStr">
        <is>
          <t>认定通过的申请</t>
        </is>
      </c>
    </row>
    <row r="168">
      <c r="B168" s="24" t="inlineStr">
        <is>
          <t>ClassifyAdjustMain</t>
        </is>
      </c>
      <c r="C168" s="24" t="inlineStr">
        <is>
          <t>风险调整申请主树图</t>
        </is>
      </c>
      <c r="D168" s="24" t="inlineStr">
        <is>
          <t>1050</t>
        </is>
      </c>
      <c r="E168" s="24" t="inlineStr">
        <is>
          <t>否决的申请</t>
        </is>
      </c>
    </row>
    <row r="169" ht="15.95" customHeight="1" s="170">
      <c r="B169" s="122" t="inlineStr">
        <is>
          <t>码值：Escrow</t>
        </is>
      </c>
    </row>
    <row r="170">
      <c r="B170" s="24" t="inlineStr">
        <is>
          <t>Escrow</t>
        </is>
      </c>
      <c r="C170" s="24" t="inlineStr">
        <is>
          <t>监管/专用账户</t>
        </is>
      </c>
      <c r="D170" s="24" t="inlineStr">
        <is>
          <t>01</t>
        </is>
      </c>
      <c r="E170" s="24" t="inlineStr">
        <is>
          <t>不限</t>
        </is>
      </c>
    </row>
    <row r="171">
      <c r="B171" s="24" t="inlineStr">
        <is>
          <t>Escrow</t>
        </is>
      </c>
      <c r="C171" s="24" t="inlineStr">
        <is>
          <t>监管/专用账户</t>
        </is>
      </c>
      <c r="D171" s="24" t="inlineStr">
        <is>
          <t>02</t>
        </is>
      </c>
      <c r="E171" s="24" t="inlineStr">
        <is>
          <t>常用的行名</t>
        </is>
      </c>
    </row>
    <row r="172">
      <c r="B172" s="24" t="inlineStr">
        <is>
          <t>Escrow</t>
        </is>
      </c>
      <c r="C172" s="24" t="inlineStr">
        <is>
          <t>监管/专用账户</t>
        </is>
      </c>
      <c r="D172" s="24" t="inlineStr">
        <is>
          <t>03</t>
        </is>
      </c>
      <c r="E172" s="24" t="inlineStr">
        <is>
          <t>其他</t>
        </is>
      </c>
    </row>
    <row r="173" ht="15.95" customHeight="1" s="170">
      <c r="B173" s="122" t="inlineStr">
        <is>
          <t>码值：SignalStatus</t>
        </is>
      </c>
    </row>
    <row r="174">
      <c r="B174" s="24" t="inlineStr">
        <is>
          <t>SignalStatus</t>
        </is>
      </c>
      <c r="C174" s="24" t="inlineStr">
        <is>
          <t>预警状态</t>
        </is>
      </c>
      <c r="D174" s="24" t="inlineStr">
        <is>
          <t>10</t>
        </is>
      </c>
      <c r="E174" s="24" t="inlineStr">
        <is>
          <t>调查</t>
        </is>
      </c>
    </row>
    <row r="175">
      <c r="B175" s="24" t="inlineStr">
        <is>
          <t>SignalStatus</t>
        </is>
      </c>
      <c r="C175" s="24" t="inlineStr">
        <is>
          <t>预警状态</t>
        </is>
      </c>
      <c r="D175" s="24" t="inlineStr">
        <is>
          <t>15</t>
        </is>
      </c>
      <c r="E175" s="24" t="inlineStr">
        <is>
          <t>分发</t>
        </is>
      </c>
    </row>
    <row r="176">
      <c r="B176" s="24" t="inlineStr">
        <is>
          <t>SignalStatus</t>
        </is>
      </c>
      <c r="C176" s="24" t="inlineStr">
        <is>
          <t>预警状态</t>
        </is>
      </c>
      <c r="D176" s="24" t="inlineStr">
        <is>
          <t>20</t>
        </is>
      </c>
      <c r="E176" s="24" t="inlineStr">
        <is>
          <t>审批</t>
        </is>
      </c>
    </row>
    <row r="177">
      <c r="B177" s="24" t="inlineStr">
        <is>
          <t>SignalStatus</t>
        </is>
      </c>
      <c r="C177" s="24" t="inlineStr">
        <is>
          <t>预警状态</t>
        </is>
      </c>
      <c r="D177" s="24" t="inlineStr">
        <is>
          <t>30</t>
        </is>
      </c>
      <c r="E177" s="24" t="inlineStr">
        <is>
          <t>批准</t>
        </is>
      </c>
    </row>
    <row r="178">
      <c r="B178" s="24" t="inlineStr">
        <is>
          <t>SignalStatus</t>
        </is>
      </c>
      <c r="C178" s="24" t="inlineStr">
        <is>
          <t>预警状态</t>
        </is>
      </c>
      <c r="D178" s="24" t="inlineStr">
        <is>
          <t>40</t>
        </is>
      </c>
      <c r="E178" s="24" t="inlineStr">
        <is>
          <t>否决</t>
        </is>
      </c>
    </row>
    <row r="179" ht="15.95" customHeight="1" s="170">
      <c r="B179" s="122" t="inlineStr">
        <is>
          <t>码值：GuarantyClassify</t>
        </is>
      </c>
    </row>
    <row r="180">
      <c r="B180" s="24" t="inlineStr">
        <is>
          <t>GuarantyClassify</t>
        </is>
      </c>
      <c r="C180" s="24" t="inlineStr">
        <is>
          <t>担保类型</t>
        </is>
      </c>
      <c r="D180" s="24" t="inlineStr">
        <is>
          <t>010</t>
        </is>
      </c>
      <c r="E180" s="24" t="inlineStr">
        <is>
          <t>阶段性担保</t>
        </is>
      </c>
    </row>
    <row r="181">
      <c r="B181" s="24" t="inlineStr">
        <is>
          <t>GuarantyClassify</t>
        </is>
      </c>
      <c r="C181" s="24" t="inlineStr">
        <is>
          <t>担保类型</t>
        </is>
      </c>
      <c r="D181" s="24" t="inlineStr">
        <is>
          <t>020</t>
        </is>
      </c>
      <c r="E181" s="24" t="inlineStr">
        <is>
          <t>全程担保</t>
        </is>
      </c>
    </row>
    <row r="182">
      <c r="B182" s="24" t="inlineStr">
        <is>
          <t>GuarantyClassify</t>
        </is>
      </c>
      <c r="C182" s="24" t="inlineStr">
        <is>
          <t>担保类型</t>
        </is>
      </c>
      <c r="D182" s="24" t="inlineStr">
        <is>
          <t>030</t>
        </is>
      </c>
      <c r="E182" s="24" t="inlineStr">
        <is>
          <t>其它</t>
        </is>
      </c>
    </row>
    <row r="183" ht="15.95" customHeight="1" s="170">
      <c r="B183" s="122" t="inlineStr">
        <is>
          <t>码值：PrdApplyMain</t>
        </is>
      </c>
    </row>
    <row r="184">
      <c r="B184" s="24" t="inlineStr">
        <is>
          <t>PrdApplyMain</t>
        </is>
      </c>
      <c r="C184" s="24" t="inlineStr">
        <is>
          <t>产品申请主树图</t>
        </is>
      </c>
      <c r="D184" s="24" t="inlineStr">
        <is>
          <t>1010,1030</t>
        </is>
      </c>
      <c r="E184" s="24" t="inlineStr">
        <is>
          <t>待处理</t>
        </is>
      </c>
    </row>
    <row r="185">
      <c r="B185" s="24" t="inlineStr">
        <is>
          <t>PrdApplyMain</t>
        </is>
      </c>
      <c r="C185" s="24" t="inlineStr">
        <is>
          <t>产品申请主树图</t>
        </is>
      </c>
      <c r="D185" s="24" t="inlineStr">
        <is>
          <t>1020</t>
        </is>
      </c>
      <c r="E185" s="24" t="inlineStr">
        <is>
          <t>审批中</t>
        </is>
      </c>
    </row>
    <row r="186">
      <c r="B186" s="24" t="inlineStr">
        <is>
          <t>PrdApplyMain</t>
        </is>
      </c>
      <c r="C186" s="24" t="inlineStr">
        <is>
          <t>产品申请主树图</t>
        </is>
      </c>
      <c r="D186" s="24" t="inlineStr">
        <is>
          <t>1040,1050</t>
        </is>
      </c>
      <c r="E186" s="24" t="inlineStr">
        <is>
          <t>处理完成</t>
        </is>
      </c>
    </row>
    <row r="187" ht="15.95" customHeight="1" s="170">
      <c r="B187" s="122" t="inlineStr">
        <is>
          <t>码值：行业分类</t>
        </is>
      </c>
    </row>
    <row r="188">
      <c r="B188" s="24" t="inlineStr">
        <is>
          <t>行业分类</t>
        </is>
      </c>
      <c r="C188" s="24" t="inlineStr">
        <is>
          <t>行业分类</t>
        </is>
      </c>
      <c r="D188" s="24" t="inlineStr">
        <is>
          <t>1</t>
        </is>
      </c>
      <c r="E188" s="24" t="inlineStr">
        <is>
          <t>制造业</t>
        </is>
      </c>
    </row>
    <row r="189">
      <c r="B189" s="24" t="inlineStr">
        <is>
          <t>行业分类</t>
        </is>
      </c>
      <c r="C189" s="24" t="inlineStr">
        <is>
          <t>行业分类</t>
        </is>
      </c>
      <c r="D189" s="24" t="inlineStr">
        <is>
          <t>2</t>
        </is>
      </c>
      <c r="E189" s="24" t="inlineStr">
        <is>
          <t>服务业</t>
        </is>
      </c>
    </row>
    <row r="190">
      <c r="B190" s="24" t="inlineStr">
        <is>
          <t>行业分类</t>
        </is>
      </c>
      <c r="C190" s="24" t="inlineStr">
        <is>
          <t>行业分类</t>
        </is>
      </c>
      <c r="D190" s="24" t="inlineStr">
        <is>
          <t>3</t>
        </is>
      </c>
      <c r="E190" s="24" t="inlineStr">
        <is>
          <t>贸易</t>
        </is>
      </c>
    </row>
    <row r="191">
      <c r="B191" s="24" t="inlineStr">
        <is>
          <t>行业分类</t>
        </is>
      </c>
      <c r="C191" s="24" t="inlineStr">
        <is>
          <t>行业分类</t>
        </is>
      </c>
      <c r="D191" s="24" t="inlineStr">
        <is>
          <t>4</t>
        </is>
      </c>
      <c r="E191" s="24" t="inlineStr">
        <is>
          <t>房地产及相关</t>
        </is>
      </c>
    </row>
    <row r="192">
      <c r="B192" s="24" t="inlineStr">
        <is>
          <t>行业分类</t>
        </is>
      </c>
      <c r="C192" s="24" t="inlineStr">
        <is>
          <t>行业分类</t>
        </is>
      </c>
      <c r="D192" s="24" t="inlineStr">
        <is>
          <t>5</t>
        </is>
      </c>
      <c r="E192" s="24" t="inlineStr">
        <is>
          <t>其他</t>
        </is>
      </c>
    </row>
    <row r="193" ht="15.95" customHeight="1" s="170">
      <c r="B193" s="122" t="inlineStr">
        <is>
          <t>码值：地方排名</t>
        </is>
      </c>
    </row>
    <row r="194">
      <c r="B194" s="24" t="inlineStr">
        <is>
          <t>地方排名</t>
        </is>
      </c>
      <c r="C194" s="24" t="inlineStr">
        <is>
          <t>地方排名</t>
        </is>
      </c>
      <c r="D194" s="24" t="inlineStr">
        <is>
          <t>1</t>
        </is>
      </c>
      <c r="E194" s="24" t="inlineStr">
        <is>
          <t>前5名</t>
        </is>
      </c>
    </row>
    <row r="195">
      <c r="B195" s="24" t="inlineStr">
        <is>
          <t>地方排名</t>
        </is>
      </c>
      <c r="C195" s="24" t="inlineStr">
        <is>
          <t>地方排名</t>
        </is>
      </c>
      <c r="D195" s="24" t="inlineStr">
        <is>
          <t>2</t>
        </is>
      </c>
      <c r="E195" s="24" t="inlineStr">
        <is>
          <t>前10名</t>
        </is>
      </c>
    </row>
    <row r="196">
      <c r="B196" s="24" t="inlineStr">
        <is>
          <t>地方排名</t>
        </is>
      </c>
      <c r="C196" s="24" t="inlineStr">
        <is>
          <t>地方排名</t>
        </is>
      </c>
      <c r="D196" s="24" t="inlineStr">
        <is>
          <t>3</t>
        </is>
      </c>
      <c r="E196" s="24" t="inlineStr">
        <is>
          <t>10名之外</t>
        </is>
      </c>
    </row>
    <row r="197" ht="15.95" customHeight="1" s="170">
      <c r="B197" s="122" t="inlineStr">
        <is>
          <t>码值：TelType</t>
        </is>
      </c>
    </row>
    <row r="198">
      <c r="B198" s="24" t="inlineStr">
        <is>
          <t>TelType</t>
        </is>
      </c>
      <c r="C198" s="24" t="inlineStr">
        <is>
          <t>电话类型</t>
        </is>
      </c>
      <c r="D198" s="24" t="inlineStr">
        <is>
          <t>010</t>
        </is>
      </c>
      <c r="E198" s="24" t="inlineStr">
        <is>
          <t>手机</t>
        </is>
      </c>
    </row>
    <row r="199">
      <c r="B199" s="24" t="inlineStr">
        <is>
          <t>TelType</t>
        </is>
      </c>
      <c r="C199" s="24" t="inlineStr">
        <is>
          <t>电话类型</t>
        </is>
      </c>
      <c r="D199" s="24" t="inlineStr">
        <is>
          <t>020</t>
        </is>
      </c>
      <c r="E199" s="24" t="inlineStr">
        <is>
          <t>家庭电话</t>
        </is>
      </c>
    </row>
    <row r="200">
      <c r="B200" s="24" t="inlineStr">
        <is>
          <t>TelType</t>
        </is>
      </c>
      <c r="C200" s="24" t="inlineStr">
        <is>
          <t>电话类型</t>
        </is>
      </c>
      <c r="D200" s="24" t="inlineStr">
        <is>
          <t>030</t>
        </is>
      </c>
      <c r="E200" s="24" t="inlineStr">
        <is>
          <t>办公电话</t>
        </is>
      </c>
    </row>
    <row r="201">
      <c r="B201" s="24" t="inlineStr">
        <is>
          <t>TelType</t>
        </is>
      </c>
      <c r="C201" s="24" t="inlineStr">
        <is>
          <t>电话类型</t>
        </is>
      </c>
      <c r="D201" s="24" t="inlineStr">
        <is>
          <t>040</t>
        </is>
      </c>
      <c r="E201" s="24" t="inlineStr">
        <is>
          <t>其他</t>
        </is>
      </c>
    </row>
    <row r="202" ht="15.95" customHeight="1" s="170">
      <c r="B202" s="122" t="inlineStr">
        <is>
          <t>码值：上市情况</t>
        </is>
      </c>
    </row>
    <row r="203">
      <c r="B203" s="24" t="inlineStr">
        <is>
          <t>上市情况</t>
        </is>
      </c>
      <c r="C203" s="24" t="inlineStr">
        <is>
          <t>上市情况</t>
        </is>
      </c>
      <c r="D203" s="24" t="inlineStr">
        <is>
          <t>1</t>
        </is>
      </c>
      <c r="E203" s="24" t="inlineStr">
        <is>
          <t>上市有配股</t>
        </is>
      </c>
    </row>
    <row r="204">
      <c r="B204" s="24" t="inlineStr">
        <is>
          <t>上市情况</t>
        </is>
      </c>
      <c r="C204" s="24" t="inlineStr">
        <is>
          <t>上市情况</t>
        </is>
      </c>
      <c r="D204" s="24" t="inlineStr">
        <is>
          <t>2</t>
        </is>
      </c>
      <c r="E204" s="24" t="inlineStr">
        <is>
          <t>上市无配股</t>
        </is>
      </c>
    </row>
    <row r="205">
      <c r="B205" s="24" t="inlineStr">
        <is>
          <t>上市情况</t>
        </is>
      </c>
      <c r="C205" s="24" t="inlineStr">
        <is>
          <t>上市情况</t>
        </is>
      </c>
      <c r="D205" s="24" t="inlineStr">
        <is>
          <t>3</t>
        </is>
      </c>
      <c r="E205" s="24" t="inlineStr">
        <is>
          <t>未上市</t>
        </is>
      </c>
    </row>
    <row r="206" ht="15.95" customHeight="1" s="170">
      <c r="B206" s="122" t="inlineStr">
        <is>
          <t>码值：MarginAccountType</t>
        </is>
      </c>
    </row>
    <row r="207">
      <c r="B207" s="24" t="inlineStr">
        <is>
          <t>MarginAccountType</t>
        </is>
      </c>
      <c r="C207" s="24" t="inlineStr">
        <is>
          <t>保证金账户类型</t>
        </is>
      </c>
      <c r="D207" s="24" t="inlineStr">
        <is>
          <t>01</t>
        </is>
      </c>
      <c r="E207" s="24" t="inlineStr">
        <is>
          <t>定期账户</t>
        </is>
      </c>
    </row>
    <row r="208">
      <c r="B208" s="24" t="inlineStr">
        <is>
          <t>MarginAccountType</t>
        </is>
      </c>
      <c r="C208" s="24" t="inlineStr">
        <is>
          <t>保证金账户类型</t>
        </is>
      </c>
      <c r="D208" s="24" t="inlineStr">
        <is>
          <t>02</t>
        </is>
      </c>
      <c r="E208" s="24" t="inlineStr">
        <is>
          <t>活期账户</t>
        </is>
      </c>
    </row>
    <row r="209" ht="15.95" customHeight="1" s="170">
      <c r="B209" s="122" t="inlineStr">
        <is>
          <t>码值：SpecialCustomerType</t>
        </is>
      </c>
    </row>
    <row r="210">
      <c r="B210" s="24" t="inlineStr">
        <is>
          <t>SpecialCustomerType</t>
        </is>
      </c>
      <c r="C210" s="24" t="inlineStr">
        <is>
          <t>特殊客户</t>
        </is>
      </c>
      <c r="D210" s="24" t="inlineStr">
        <is>
          <t>10</t>
        </is>
      </c>
      <c r="E210" s="24" t="inlineStr">
        <is>
          <t>警示类客户名单</t>
        </is>
      </c>
    </row>
    <row r="211">
      <c r="B211" s="24" t="inlineStr">
        <is>
          <t>SpecialCustomerType</t>
        </is>
      </c>
      <c r="C211" s="24" t="inlineStr">
        <is>
          <t>特殊客户</t>
        </is>
      </c>
      <c r="D211" s="24" t="inlineStr">
        <is>
          <t>1020</t>
        </is>
      </c>
      <c r="E211" s="24" t="inlineStr">
        <is>
          <t>人行黑名单</t>
        </is>
      </c>
    </row>
    <row r="212">
      <c r="B212" s="24" t="inlineStr">
        <is>
          <t>SpecialCustomerType</t>
        </is>
      </c>
      <c r="C212" s="24" t="inlineStr">
        <is>
          <t>特殊客户</t>
        </is>
      </c>
      <c r="D212" s="24" t="inlineStr">
        <is>
          <t>1040</t>
        </is>
      </c>
      <c r="E212" s="24" t="inlineStr">
        <is>
          <t>银监会黑名单</t>
        </is>
      </c>
    </row>
    <row r="213">
      <c r="B213" s="24" t="inlineStr">
        <is>
          <t>SpecialCustomerType</t>
        </is>
      </c>
      <c r="C213" s="24" t="inlineStr">
        <is>
          <t>特殊客户</t>
        </is>
      </c>
      <c r="D213" s="24" t="inlineStr">
        <is>
          <t>1050</t>
        </is>
      </c>
      <c r="E213" s="24" t="inlineStr">
        <is>
          <t>产能过剩客户名单</t>
        </is>
      </c>
    </row>
    <row r="214">
      <c r="B214" s="24" t="inlineStr">
        <is>
          <t>SpecialCustomerType</t>
        </is>
      </c>
      <c r="C214" s="24" t="inlineStr">
        <is>
          <t>特殊客户</t>
        </is>
      </c>
      <c r="D214" s="24" t="inlineStr">
        <is>
          <t>20</t>
        </is>
      </c>
      <c r="E214" s="24" t="inlineStr">
        <is>
          <t>我行关联方名单</t>
        </is>
      </c>
    </row>
    <row r="215">
      <c r="B215" s="24" t="inlineStr">
        <is>
          <t>SpecialCustomerType</t>
        </is>
      </c>
      <c r="C215" s="24" t="inlineStr">
        <is>
          <t>特殊客户</t>
        </is>
      </c>
      <c r="D215" s="24" t="inlineStr">
        <is>
          <t>2002</t>
        </is>
      </c>
      <c r="E215" s="24" t="inlineStr">
        <is>
          <t>本行股东名单</t>
        </is>
      </c>
    </row>
    <row r="216">
      <c r="B216" s="24" t="inlineStr">
        <is>
          <t>SpecialCustomerType</t>
        </is>
      </c>
      <c r="C216" s="24" t="inlineStr">
        <is>
          <t>特殊客户</t>
        </is>
      </c>
      <c r="D216" s="24" t="inlineStr">
        <is>
          <t>2010</t>
        </is>
      </c>
      <c r="E216" s="24" t="inlineStr">
        <is>
          <t>5%以上本行股东关联方名单</t>
        </is>
      </c>
    </row>
    <row r="217">
      <c r="B217" s="24" t="inlineStr">
        <is>
          <t>SpecialCustomerType</t>
        </is>
      </c>
      <c r="C217" s="24" t="inlineStr">
        <is>
          <t>特殊客户</t>
        </is>
      </c>
      <c r="D217" s="24" t="inlineStr">
        <is>
          <t>2020</t>
        </is>
      </c>
      <c r="E217" s="24" t="inlineStr">
        <is>
          <t>本行内部人名单</t>
        </is>
      </c>
    </row>
    <row r="218">
      <c r="B218" s="24" t="inlineStr">
        <is>
          <t>SpecialCustomerType</t>
        </is>
      </c>
      <c r="C218" s="24" t="inlineStr">
        <is>
          <t>特殊客户</t>
        </is>
      </c>
      <c r="D218" s="24" t="inlineStr">
        <is>
          <t>2030</t>
        </is>
      </c>
      <c r="E218" s="24" t="inlineStr">
        <is>
          <t>本行内部人关联方名单</t>
        </is>
      </c>
    </row>
    <row r="219">
      <c r="B219" s="24" t="inlineStr">
        <is>
          <t>SpecialCustomerType</t>
        </is>
      </c>
      <c r="C219" s="24" t="inlineStr">
        <is>
          <t>特殊客户</t>
        </is>
      </c>
      <c r="D219" s="24" t="inlineStr">
        <is>
          <t>40</t>
        </is>
      </c>
      <c r="E219" s="24" t="inlineStr">
        <is>
          <t>关注类客户名单</t>
        </is>
      </c>
    </row>
    <row r="220">
      <c r="B220" s="24" t="inlineStr">
        <is>
          <t>SpecialCustomerType</t>
        </is>
      </c>
      <c r="C220" s="24" t="inlineStr">
        <is>
          <t>特殊客户</t>
        </is>
      </c>
      <c r="D220" s="24" t="inlineStr">
        <is>
          <t>4010</t>
        </is>
      </c>
      <c r="E220" s="24" t="inlineStr">
        <is>
          <t>政府类客户名单</t>
        </is>
      </c>
    </row>
    <row r="221">
      <c r="B221" s="24" t="inlineStr">
        <is>
          <t>SpecialCustomerType</t>
        </is>
      </c>
      <c r="C221" s="24" t="inlineStr">
        <is>
          <t>特殊客户</t>
        </is>
      </c>
      <c r="D221" s="24" t="inlineStr">
        <is>
          <t>4020</t>
        </is>
      </c>
      <c r="E221" s="24" t="inlineStr">
        <is>
          <t>融资平台客户（银监口径）名单</t>
        </is>
      </c>
    </row>
    <row r="222">
      <c r="B222" s="24" t="inlineStr">
        <is>
          <t>SpecialCustomerType</t>
        </is>
      </c>
      <c r="C222" s="24" t="inlineStr">
        <is>
          <t>特殊客户</t>
        </is>
      </c>
      <c r="D222" s="24" t="inlineStr">
        <is>
          <t>4030</t>
        </is>
      </c>
      <c r="E222" s="24" t="inlineStr">
        <is>
          <t>融资平台客户（人行口径）名单</t>
        </is>
      </c>
    </row>
    <row r="223">
      <c r="B223" s="24" t="inlineStr">
        <is>
          <t>SpecialCustomerType</t>
        </is>
      </c>
      <c r="C223" s="24" t="inlineStr">
        <is>
          <t>特殊客户</t>
        </is>
      </c>
      <c r="D223" s="24" t="inlineStr">
        <is>
          <t>50</t>
        </is>
      </c>
      <c r="E223" s="24" t="inlineStr">
        <is>
          <t>营销类客户名单</t>
        </is>
      </c>
    </row>
    <row r="224">
      <c r="B224" s="24" t="inlineStr">
        <is>
          <t>SpecialCustomerType</t>
        </is>
      </c>
      <c r="C224" s="24" t="inlineStr">
        <is>
          <t>特殊客户</t>
        </is>
      </c>
      <c r="D224" s="24" t="inlineStr">
        <is>
          <t>5010</t>
        </is>
      </c>
      <c r="E224" s="24" t="inlineStr">
        <is>
          <t>上市公司名单</t>
        </is>
      </c>
    </row>
    <row r="225">
      <c r="B225" s="24" t="inlineStr">
        <is>
          <t>SpecialCustomerType</t>
        </is>
      </c>
      <c r="C225" s="24" t="inlineStr">
        <is>
          <t>特殊客户</t>
        </is>
      </c>
      <c r="D225" s="24" t="inlineStr">
        <is>
          <t>5020</t>
        </is>
      </c>
      <c r="E225" s="24" t="inlineStr">
        <is>
          <t>500强企业名单</t>
        </is>
      </c>
    </row>
    <row r="226">
      <c r="B226" s="24" t="inlineStr">
        <is>
          <t>SpecialCustomerType</t>
        </is>
      </c>
      <c r="C226" s="24" t="inlineStr">
        <is>
          <t>特殊客户</t>
        </is>
      </c>
      <c r="D226" s="24" t="inlineStr">
        <is>
          <t>5021</t>
        </is>
      </c>
      <c r="E226" s="24" t="inlineStr">
        <is>
          <t>主动营销客户名单</t>
        </is>
      </c>
    </row>
    <row r="227">
      <c r="B227" s="24" t="inlineStr">
        <is>
          <t>SpecialCustomerType</t>
        </is>
      </c>
      <c r="C227" s="24" t="inlineStr">
        <is>
          <t>特殊客户</t>
        </is>
      </c>
      <c r="D227" s="24" t="inlineStr">
        <is>
          <t>5030</t>
        </is>
      </c>
      <c r="E227" s="24" t="inlineStr">
        <is>
          <t>特别核准客户名单</t>
        </is>
      </c>
    </row>
    <row r="228">
      <c r="B228" s="24" t="inlineStr">
        <is>
          <t>SpecialCustomerType</t>
        </is>
      </c>
      <c r="C228" s="24" t="inlineStr">
        <is>
          <t>特殊客户</t>
        </is>
      </c>
      <c r="D228" s="24" t="inlineStr">
        <is>
          <t>5040</t>
        </is>
      </c>
      <c r="E228" s="24" t="inlineStr">
        <is>
          <t>绿色通道客户名单</t>
        </is>
      </c>
    </row>
    <row r="229">
      <c r="B229" s="24" t="inlineStr">
        <is>
          <t>SpecialCustomerType</t>
        </is>
      </c>
      <c r="C229" s="24" t="inlineStr">
        <is>
          <t>特殊客户</t>
        </is>
      </c>
      <c r="D229" s="24" t="inlineStr">
        <is>
          <t>6010</t>
        </is>
      </c>
      <c r="E229" s="24" t="inlineStr">
        <is>
          <t>产能过剩行业名单</t>
        </is>
      </c>
    </row>
    <row r="230" ht="15.95" customHeight="1" s="170">
      <c r="B230" s="122" t="inlineStr">
        <is>
          <t>码值：MergerRole</t>
        </is>
      </c>
    </row>
    <row r="231">
      <c r="B231" s="24" t="inlineStr">
        <is>
          <t>MergerRole</t>
        </is>
      </c>
      <c r="C231" s="24" t="inlineStr">
        <is>
          <t>并购角色</t>
        </is>
      </c>
      <c r="D231" s="24" t="inlineStr">
        <is>
          <t>010</t>
        </is>
      </c>
      <c r="E231" s="24" t="inlineStr">
        <is>
          <t>收购方</t>
        </is>
      </c>
    </row>
    <row r="232">
      <c r="B232" s="24" t="inlineStr">
        <is>
          <t>MergerRole</t>
        </is>
      </c>
      <c r="C232" s="24" t="inlineStr">
        <is>
          <t>并购角色</t>
        </is>
      </c>
      <c r="D232" s="24" t="inlineStr">
        <is>
          <t>020</t>
        </is>
      </c>
      <c r="E232" s="24" t="inlineStr">
        <is>
          <t>被收购方</t>
        </is>
      </c>
    </row>
    <row r="233" ht="15.95" customHeight="1" s="170">
      <c r="B233" s="122" t="inlineStr">
        <is>
          <t>码值：EvaluateMode</t>
        </is>
      </c>
    </row>
    <row r="234">
      <c r="B234" s="24" t="inlineStr">
        <is>
          <t>EvaluateMode</t>
        </is>
      </c>
      <c r="C234" s="24" t="inlineStr">
        <is>
          <t>最新估值方式</t>
        </is>
      </c>
      <c r="D234" s="24" t="inlineStr">
        <is>
          <t>01</t>
        </is>
      </c>
      <c r="E234" s="24" t="inlineStr">
        <is>
          <t>内部评估</t>
        </is>
      </c>
    </row>
    <row r="235">
      <c r="B235" s="24" t="inlineStr">
        <is>
          <t>EvaluateMode</t>
        </is>
      </c>
      <c r="C235" s="24" t="inlineStr">
        <is>
          <t>最新估值方式</t>
        </is>
      </c>
      <c r="D235" s="24" t="inlineStr">
        <is>
          <t>02</t>
        </is>
      </c>
      <c r="E235" s="24" t="inlineStr">
        <is>
          <t>外部评估</t>
        </is>
      </c>
    </row>
    <row r="236">
      <c r="B236" s="24" t="inlineStr">
        <is>
          <t>EvaluateMode</t>
        </is>
      </c>
      <c r="C236" s="24" t="inlineStr">
        <is>
          <t>最新估值方式</t>
        </is>
      </c>
      <c r="D236" s="24" t="inlineStr">
        <is>
          <t>03</t>
        </is>
      </c>
      <c r="E236" s="24" t="inlineStr">
        <is>
          <t>内外部综合评估</t>
        </is>
      </c>
    </row>
    <row r="237">
      <c r="B237" s="24" t="inlineStr">
        <is>
          <t>EvaluateMode</t>
        </is>
      </c>
      <c r="C237" s="24" t="inlineStr">
        <is>
          <t>最新估值方式</t>
        </is>
      </c>
      <c r="D237" s="24" t="inlineStr">
        <is>
          <t>04</t>
        </is>
      </c>
      <c r="E237" s="24" t="inlineStr">
        <is>
          <t>直接评估法</t>
        </is>
      </c>
    </row>
    <row r="238" ht="15.95" customHeight="1" s="170">
      <c r="B238" s="122" t="inlineStr">
        <is>
          <t>码值：ContractMain</t>
        </is>
      </c>
    </row>
    <row r="239">
      <c r="B239" s="24" t="inlineStr">
        <is>
          <t>ContractMain</t>
        </is>
      </c>
      <c r="C239" s="24" t="inlineStr">
        <is>
          <t>我的台账主界面</t>
        </is>
      </c>
      <c r="D239" s="24" t="inlineStr">
        <is>
          <t>010</t>
        </is>
      </c>
      <c r="E239" s="24" t="inlineStr">
        <is>
          <t>未终结业务</t>
        </is>
      </c>
    </row>
    <row r="240">
      <c r="B240" s="24" t="inlineStr">
        <is>
          <t>ContractMain</t>
        </is>
      </c>
      <c r="C240" s="24" t="inlineStr">
        <is>
          <t>我的台账主界面</t>
        </is>
      </c>
      <c r="D240" s="24" t="inlineStr">
        <is>
          <t>010010</t>
        </is>
      </c>
      <c r="E240" s="24" t="inlineStr">
        <is>
          <t>表内未终结业务</t>
        </is>
      </c>
    </row>
    <row r="241">
      <c r="B241" s="24" t="inlineStr">
        <is>
          <t>ContractMain</t>
        </is>
      </c>
      <c r="C241" s="24" t="inlineStr">
        <is>
          <t>我的台账主界面</t>
        </is>
      </c>
      <c r="D241" s="24" t="inlineStr">
        <is>
          <t>010020</t>
        </is>
      </c>
      <c r="E241" s="24" t="inlineStr">
        <is>
          <t>表外未终结业务</t>
        </is>
      </c>
    </row>
    <row r="242">
      <c r="B242" s="24" t="inlineStr">
        <is>
          <t>ContractMain</t>
        </is>
      </c>
      <c r="C242" s="24" t="inlineStr">
        <is>
          <t>我的台账主界面</t>
        </is>
      </c>
      <c r="D242" s="24" t="inlineStr">
        <is>
          <t>020</t>
        </is>
      </c>
      <c r="E242" s="24" t="inlineStr">
        <is>
          <t>已终结的业务</t>
        </is>
      </c>
    </row>
    <row r="243">
      <c r="B243" s="24" t="inlineStr">
        <is>
          <t>ContractMain</t>
        </is>
      </c>
      <c r="C243" s="24" t="inlineStr">
        <is>
          <t>我的台账主界面</t>
        </is>
      </c>
      <c r="D243" s="24" t="inlineStr">
        <is>
          <t>020010</t>
        </is>
      </c>
      <c r="E243" s="24" t="inlineStr">
        <is>
          <t>表内已终结业务</t>
        </is>
      </c>
    </row>
    <row r="244">
      <c r="B244" s="24" t="inlineStr">
        <is>
          <t>ContractMain</t>
        </is>
      </c>
      <c r="C244" s="24" t="inlineStr">
        <is>
          <t>我的台账主界面</t>
        </is>
      </c>
      <c r="D244" s="24" t="inlineStr">
        <is>
          <t>020020</t>
        </is>
      </c>
      <c r="E244" s="24" t="inlineStr">
        <is>
          <t>表外已终结业务</t>
        </is>
      </c>
    </row>
    <row r="245">
      <c r="B245" s="24" t="inlineStr">
        <is>
          <t>ContractMain</t>
        </is>
      </c>
      <c r="C245" s="24" t="inlineStr">
        <is>
          <t>我的台账主界面</t>
        </is>
      </c>
      <c r="D245" s="24" t="inlineStr">
        <is>
          <t>030</t>
        </is>
      </c>
      <c r="E245" s="24" t="inlineStr">
        <is>
          <t>已移交保全业务</t>
        </is>
      </c>
    </row>
    <row r="246">
      <c r="B246" s="24" t="inlineStr">
        <is>
          <t>ContractMain</t>
        </is>
      </c>
      <c r="C246" s="24" t="inlineStr">
        <is>
          <t>我的台账主界面</t>
        </is>
      </c>
      <c r="D246" s="24" t="inlineStr">
        <is>
          <t>030010</t>
        </is>
      </c>
      <c r="E246" s="24" t="inlineStr">
        <is>
          <t>未终结业务</t>
        </is>
      </c>
    </row>
    <row r="247">
      <c r="B247" s="24" t="inlineStr">
        <is>
          <t>ContractMain</t>
        </is>
      </c>
      <c r="C247" s="24" t="inlineStr">
        <is>
          <t>我的台账主界面</t>
        </is>
      </c>
      <c r="D247" s="24" t="inlineStr">
        <is>
          <t>030010010</t>
        </is>
      </c>
      <c r="E247" s="24" t="inlineStr">
        <is>
          <t>表内未终结业务</t>
        </is>
      </c>
    </row>
    <row r="248">
      <c r="B248" s="24" t="inlineStr">
        <is>
          <t>ContractMain</t>
        </is>
      </c>
      <c r="C248" s="24" t="inlineStr">
        <is>
          <t>我的台账主界面</t>
        </is>
      </c>
      <c r="D248" s="24" t="inlineStr">
        <is>
          <t>030010020</t>
        </is>
      </c>
      <c r="E248" s="24" t="inlineStr">
        <is>
          <t>表外未终结业务</t>
        </is>
      </c>
    </row>
    <row r="249">
      <c r="B249" s="24" t="inlineStr">
        <is>
          <t>ContractMain</t>
        </is>
      </c>
      <c r="C249" s="24" t="inlineStr">
        <is>
          <t>我的台账主界面</t>
        </is>
      </c>
      <c r="D249" s="24" t="inlineStr">
        <is>
          <t>030020</t>
        </is>
      </c>
      <c r="E249" s="24" t="inlineStr">
        <is>
          <t>已终结的业务</t>
        </is>
      </c>
    </row>
    <row r="250">
      <c r="B250" s="24" t="inlineStr">
        <is>
          <t>ContractMain</t>
        </is>
      </c>
      <c r="C250" s="24" t="inlineStr">
        <is>
          <t>我的台账主界面</t>
        </is>
      </c>
      <c r="D250" s="24" t="inlineStr">
        <is>
          <t>030020010</t>
        </is>
      </c>
      <c r="E250" s="24" t="inlineStr">
        <is>
          <t>表内已终结业务</t>
        </is>
      </c>
    </row>
    <row r="251">
      <c r="B251" s="24" t="inlineStr">
        <is>
          <t>ContractMain</t>
        </is>
      </c>
      <c r="C251" s="24" t="inlineStr">
        <is>
          <t>我的台账主界面</t>
        </is>
      </c>
      <c r="D251" s="24" t="inlineStr">
        <is>
          <t>030020020</t>
        </is>
      </c>
      <c r="E251" s="24" t="inlineStr">
        <is>
          <t>表外已终结业务</t>
        </is>
      </c>
    </row>
    <row r="252" ht="15.95" customHeight="1" s="170">
      <c r="B252" s="122" t="inlineStr">
        <is>
          <t>码值：SegRPTAmountFlag</t>
        </is>
      </c>
    </row>
    <row r="253">
      <c r="B253" s="24" t="inlineStr">
        <is>
          <t>SegRPTAmountFlag</t>
        </is>
      </c>
      <c r="C253" s="24" t="inlineStr">
        <is>
          <t>区段指定金额标识</t>
        </is>
      </c>
      <c r="D253" s="24" t="inlineStr">
        <is>
          <t>1</t>
        </is>
      </c>
      <c r="E253" s="24" t="inlineStr">
        <is>
          <t>贷款余额</t>
        </is>
      </c>
    </row>
    <row r="254">
      <c r="B254" s="24" t="inlineStr">
        <is>
          <t>SegRPTAmountFlag</t>
        </is>
      </c>
      <c r="C254" s="24" t="inlineStr">
        <is>
          <t>区段指定金额标识</t>
        </is>
      </c>
      <c r="D254" s="24" t="inlineStr">
        <is>
          <t>2</t>
        </is>
      </c>
      <c r="E254" s="24" t="inlineStr">
        <is>
          <t>指定区段归还本金</t>
        </is>
      </c>
    </row>
    <row r="255">
      <c r="B255" s="24" t="inlineStr">
        <is>
          <t>SegRPTAmountFlag</t>
        </is>
      </c>
      <c r="C255" s="24" t="inlineStr">
        <is>
          <t>区段指定金额标识</t>
        </is>
      </c>
      <c r="D255" s="24" t="inlineStr">
        <is>
          <t>3</t>
        </is>
      </c>
      <c r="E255" s="24" t="inlineStr">
        <is>
          <t>指定每期还款额</t>
        </is>
      </c>
    </row>
    <row r="256">
      <c r="B256" s="24" t="inlineStr">
        <is>
          <t>SegRPTAmountFlag</t>
        </is>
      </c>
      <c r="C256" s="24" t="inlineStr">
        <is>
          <t>区段指定金额标识</t>
        </is>
      </c>
      <c r="D256" s="24" t="inlineStr">
        <is>
          <t>4</t>
        </is>
      </c>
      <c r="E256" s="24" t="inlineStr">
        <is>
          <t>尾款金额</t>
        </is>
      </c>
    </row>
    <row r="257" ht="15.95" customHeight="1" s="170">
      <c r="B257" s="122" t="inlineStr">
        <is>
          <t>码值：StrucType</t>
        </is>
      </c>
    </row>
    <row r="258">
      <c r="B258" s="24" t="inlineStr">
        <is>
          <t>StrucType</t>
        </is>
      </c>
      <c r="C258" s="24" t="inlineStr">
        <is>
          <t>建筑类型</t>
        </is>
      </c>
      <c r="D258" s="24" t="inlineStr">
        <is>
          <t>00</t>
        </is>
      </c>
      <c r="E258" s="24" t="inlineStr">
        <is>
          <t>其他</t>
        </is>
      </c>
    </row>
    <row r="259">
      <c r="B259" s="24" t="inlineStr">
        <is>
          <t>StrucType</t>
        </is>
      </c>
      <c r="C259" s="24" t="inlineStr">
        <is>
          <t>建筑类型</t>
        </is>
      </c>
      <c r="D259" s="24" t="inlineStr">
        <is>
          <t>10</t>
        </is>
      </c>
      <c r="E259" s="24" t="inlineStr">
        <is>
          <t>多层</t>
        </is>
      </c>
    </row>
    <row r="260">
      <c r="B260" s="24" t="inlineStr">
        <is>
          <t>StrucType</t>
        </is>
      </c>
      <c r="C260" s="24" t="inlineStr">
        <is>
          <t>建筑类型</t>
        </is>
      </c>
      <c r="D260" s="24" t="inlineStr">
        <is>
          <t>11</t>
        </is>
      </c>
      <c r="E260" s="24" t="inlineStr">
        <is>
          <t>小高层</t>
        </is>
      </c>
    </row>
    <row r="261">
      <c r="B261" s="24" t="inlineStr">
        <is>
          <t>StrucType</t>
        </is>
      </c>
      <c r="C261" s="24" t="inlineStr">
        <is>
          <t>建筑类型</t>
        </is>
      </c>
      <c r="D261" s="24" t="inlineStr">
        <is>
          <t>12</t>
        </is>
      </c>
      <c r="E261" s="24" t="inlineStr">
        <is>
          <t>超高层</t>
        </is>
      </c>
    </row>
    <row r="262">
      <c r="B262" s="24" t="inlineStr">
        <is>
          <t>StrucType</t>
        </is>
      </c>
      <c r="C262" s="24" t="inlineStr">
        <is>
          <t>建筑类型</t>
        </is>
      </c>
      <c r="D262" s="24" t="inlineStr">
        <is>
          <t>13</t>
        </is>
      </c>
      <c r="E262" s="24" t="inlineStr">
        <is>
          <t xml:space="preserve">高层  </t>
        </is>
      </c>
    </row>
    <row r="263">
      <c r="B263" s="24" t="inlineStr">
        <is>
          <t>StrucType</t>
        </is>
      </c>
      <c r="C263" s="24" t="inlineStr">
        <is>
          <t>建筑类型</t>
        </is>
      </c>
      <c r="D263" s="24" t="inlineStr">
        <is>
          <t>14</t>
        </is>
      </c>
      <c r="E263" s="24" t="inlineStr">
        <is>
          <t xml:space="preserve">花园洋房  </t>
        </is>
      </c>
    </row>
    <row r="264">
      <c r="B264" s="24" t="inlineStr">
        <is>
          <t>StrucType</t>
        </is>
      </c>
      <c r="C264" s="24" t="inlineStr">
        <is>
          <t>建筑类型</t>
        </is>
      </c>
      <c r="D264" s="24" t="inlineStr">
        <is>
          <t>15</t>
        </is>
      </c>
      <c r="E264" s="24" t="inlineStr">
        <is>
          <t xml:space="preserve">老洋房  </t>
        </is>
      </c>
    </row>
    <row r="265">
      <c r="B265" s="24" t="inlineStr">
        <is>
          <t>StrucType</t>
        </is>
      </c>
      <c r="C265" s="24" t="inlineStr">
        <is>
          <t>建筑类型</t>
        </is>
      </c>
      <c r="D265" s="24" t="inlineStr">
        <is>
          <t>16</t>
        </is>
      </c>
      <c r="E265" s="24" t="inlineStr">
        <is>
          <t xml:space="preserve">四合院  </t>
        </is>
      </c>
    </row>
    <row r="266">
      <c r="B266" s="24" t="inlineStr">
        <is>
          <t>StrucType</t>
        </is>
      </c>
      <c r="C266" s="24" t="inlineStr">
        <is>
          <t>建筑类型</t>
        </is>
      </c>
      <c r="D266" s="24" t="inlineStr">
        <is>
          <t>17</t>
        </is>
      </c>
      <c r="E266" s="24" t="inlineStr">
        <is>
          <t xml:space="preserve">独栋  </t>
        </is>
      </c>
    </row>
    <row r="267">
      <c r="B267" s="24" t="inlineStr">
        <is>
          <t>StrucType</t>
        </is>
      </c>
      <c r="C267" s="24" t="inlineStr">
        <is>
          <t>建筑类型</t>
        </is>
      </c>
      <c r="D267" s="24" t="inlineStr">
        <is>
          <t>18</t>
        </is>
      </c>
      <c r="E267" s="24" t="inlineStr">
        <is>
          <t>双拼</t>
        </is>
      </c>
    </row>
    <row r="268">
      <c r="B268" s="24" t="inlineStr">
        <is>
          <t>StrucType</t>
        </is>
      </c>
      <c r="C268" s="24" t="inlineStr">
        <is>
          <t>建筑类型</t>
        </is>
      </c>
      <c r="D268" s="24" t="inlineStr">
        <is>
          <t>19</t>
        </is>
      </c>
      <c r="E268" s="24" t="inlineStr">
        <is>
          <t>联排</t>
        </is>
      </c>
    </row>
    <row r="269">
      <c r="B269" s="24" t="inlineStr">
        <is>
          <t>StrucType</t>
        </is>
      </c>
      <c r="C269" s="24" t="inlineStr">
        <is>
          <t>建筑类型</t>
        </is>
      </c>
      <c r="D269" s="24" t="inlineStr">
        <is>
          <t>20</t>
        </is>
      </c>
      <c r="E269" s="24" t="inlineStr">
        <is>
          <t>叠加</t>
        </is>
      </c>
    </row>
    <row r="270" ht="15.95" customHeight="1" s="170">
      <c r="B270" s="122" t="inlineStr">
        <is>
          <t>码值：CheckFormat</t>
        </is>
      </c>
    </row>
    <row r="271">
      <c r="B271" s="24" t="inlineStr">
        <is>
          <t>CheckFormat</t>
        </is>
      </c>
      <c r="C271" s="24" t="inlineStr">
        <is>
          <t>检查格式</t>
        </is>
      </c>
      <c r="D271" s="24" t="inlineStr">
        <is>
          <t>1</t>
        </is>
      </c>
      <c r="E271" s="24" t="inlineStr">
        <is>
          <t>字符串</t>
        </is>
      </c>
    </row>
    <row r="272">
      <c r="B272" s="24" t="inlineStr">
        <is>
          <t>CheckFormat</t>
        </is>
      </c>
      <c r="C272" s="24" t="inlineStr">
        <is>
          <t>检查格式</t>
        </is>
      </c>
      <c r="D272" s="24" t="inlineStr">
        <is>
          <t>14</t>
        </is>
      </c>
      <c r="E272" s="24" t="inlineStr">
        <is>
          <t>小数点后4位</t>
        </is>
      </c>
    </row>
    <row r="273">
      <c r="B273" s="24" t="inlineStr">
        <is>
          <t>CheckFormat</t>
        </is>
      </c>
      <c r="C273" s="24" t="inlineStr">
        <is>
          <t>检查格式</t>
        </is>
      </c>
      <c r="D273" s="24" t="inlineStr">
        <is>
          <t>16</t>
        </is>
      </c>
      <c r="E273" s="24" t="inlineStr">
        <is>
          <t>小数点后6位</t>
        </is>
      </c>
    </row>
    <row r="274">
      <c r="B274" s="24" t="inlineStr">
        <is>
          <t>CheckFormat</t>
        </is>
      </c>
      <c r="C274" s="24" t="inlineStr">
        <is>
          <t>检查格式</t>
        </is>
      </c>
      <c r="D274" s="24" t="inlineStr">
        <is>
          <t>2</t>
        </is>
      </c>
      <c r="E274" s="24" t="inlineStr">
        <is>
          <t>数字</t>
        </is>
      </c>
    </row>
    <row r="275">
      <c r="B275" s="24" t="inlineStr">
        <is>
          <t>CheckFormat</t>
        </is>
      </c>
      <c r="C275" s="24" t="inlineStr">
        <is>
          <t>检查格式</t>
        </is>
      </c>
      <c r="D275" s="24" t="inlineStr">
        <is>
          <t>3</t>
        </is>
      </c>
      <c r="E275" s="24" t="inlineStr">
        <is>
          <t>日期</t>
        </is>
      </c>
    </row>
    <row r="276">
      <c r="B276" s="24" t="inlineStr">
        <is>
          <t>CheckFormat</t>
        </is>
      </c>
      <c r="C276" s="24" t="inlineStr">
        <is>
          <t>检查格式</t>
        </is>
      </c>
      <c r="D276" s="24" t="inlineStr">
        <is>
          <t>4</t>
        </is>
      </c>
      <c r="E276" s="24" t="inlineStr">
        <is>
          <t>时间</t>
        </is>
      </c>
    </row>
    <row r="277">
      <c r="B277" s="24" t="inlineStr">
        <is>
          <t>CheckFormat</t>
        </is>
      </c>
      <c r="C277" s="24" t="inlineStr">
        <is>
          <t>检查格式</t>
        </is>
      </c>
      <c r="D277" s="24" t="inlineStr">
        <is>
          <t>5</t>
        </is>
      </c>
      <c r="E277" s="24" t="inlineStr">
        <is>
          <t>整数</t>
        </is>
      </c>
    </row>
    <row r="278" ht="15.95" customHeight="1" s="170">
      <c r="B278" s="122" t="inlineStr">
        <is>
          <t>码值：CreditApplyMain</t>
        </is>
      </c>
    </row>
    <row r="279">
      <c r="B279" s="24" t="inlineStr">
        <is>
          <t>CreditApplyMain</t>
        </is>
      </c>
      <c r="C279" s="24" t="inlineStr">
        <is>
          <t>授信申请主树图</t>
        </is>
      </c>
      <c r="D279" s="24" t="inlineStr">
        <is>
          <t>1010</t>
        </is>
      </c>
      <c r="E279" s="24" t="inlineStr">
        <is>
          <t>待处理申请</t>
        </is>
      </c>
    </row>
    <row r="280">
      <c r="B280" s="24" t="inlineStr">
        <is>
          <t>CreditApplyMain</t>
        </is>
      </c>
      <c r="C280" s="24" t="inlineStr">
        <is>
          <t>授信申请主树图</t>
        </is>
      </c>
      <c r="D280" s="24" t="inlineStr">
        <is>
          <t>1020</t>
        </is>
      </c>
      <c r="E280" s="24" t="inlineStr">
        <is>
          <t>审查审批中申请</t>
        </is>
      </c>
    </row>
    <row r="281">
      <c r="B281" s="24" t="inlineStr">
        <is>
          <t>CreditApplyMain</t>
        </is>
      </c>
      <c r="C281" s="24" t="inlineStr">
        <is>
          <t>授信申请主树图</t>
        </is>
      </c>
      <c r="D281" s="24" t="inlineStr">
        <is>
          <t>1030</t>
        </is>
      </c>
      <c r="E281" s="24" t="inlineStr">
        <is>
          <t>退回补充资料申请</t>
        </is>
      </c>
    </row>
    <row r="282">
      <c r="B282" s="24" t="inlineStr">
        <is>
          <t>CreditApplyMain</t>
        </is>
      </c>
      <c r="C282" s="24" t="inlineStr">
        <is>
          <t>授信申请主树图</t>
        </is>
      </c>
      <c r="D282" s="24" t="inlineStr">
        <is>
          <t>1040</t>
        </is>
      </c>
      <c r="E282" s="24" t="inlineStr">
        <is>
          <t>审批通过申请</t>
        </is>
      </c>
    </row>
    <row r="283">
      <c r="B283" s="24" t="inlineStr">
        <is>
          <t>CreditApplyMain</t>
        </is>
      </c>
      <c r="C283" s="24" t="inlineStr">
        <is>
          <t>授信申请主树图</t>
        </is>
      </c>
      <c r="D283" s="24" t="inlineStr">
        <is>
          <t>1050</t>
        </is>
      </c>
      <c r="E283" s="24" t="inlineStr">
        <is>
          <t>被否决申请</t>
        </is>
      </c>
    </row>
    <row r="284">
      <c r="B284" s="24" t="inlineStr">
        <is>
          <t>CreditApplyMain</t>
        </is>
      </c>
      <c r="C284" s="24" t="inlineStr">
        <is>
          <t>授信申请主树图</t>
        </is>
      </c>
      <c r="D284" s="24" t="inlineStr">
        <is>
          <t>1060</t>
        </is>
      </c>
      <c r="E284" s="24" t="inlineStr">
        <is>
          <t>已归档申请</t>
        </is>
      </c>
    </row>
    <row r="285" ht="15.95" customHeight="1" s="170">
      <c r="B285" s="122" t="inlineStr">
        <is>
          <t>码值：关联企业风险状况1</t>
        </is>
      </c>
    </row>
    <row r="286">
      <c r="B286" s="24" t="inlineStr">
        <is>
          <t>关联企业风险状况1</t>
        </is>
      </c>
      <c r="C286" s="24" t="inlineStr">
        <is>
          <t>关联企业风险状况1</t>
        </is>
      </c>
      <c r="D286" s="24" t="inlineStr">
        <is>
          <t>01</t>
        </is>
      </c>
      <c r="E286" s="24" t="inlineStr">
        <is>
          <t>无关联企业。</t>
        </is>
      </c>
    </row>
    <row r="287">
      <c r="B287" s="24" t="inlineStr">
        <is>
          <t>关联企业风险状况1</t>
        </is>
      </c>
      <c r="C287" s="24" t="inlineStr">
        <is>
          <t>关联企业风险状况1</t>
        </is>
      </c>
      <c r="D287" s="24" t="inlineStr">
        <is>
          <t>02</t>
        </is>
      </c>
      <c r="E287" s="24" t="inlineStr">
        <is>
          <t>关联企业风险程度很低。</t>
        </is>
      </c>
    </row>
    <row r="288">
      <c r="B288" s="24" t="inlineStr">
        <is>
          <t>关联企业风险状况1</t>
        </is>
      </c>
      <c r="C288" s="24" t="inlineStr">
        <is>
          <t>关联企业风险状况1</t>
        </is>
      </c>
      <c r="D288" s="24" t="inlineStr">
        <is>
          <t>03</t>
        </is>
      </c>
      <c r="E288" s="24" t="inlineStr">
        <is>
          <t>关联企业存在一定风险。</t>
        </is>
      </c>
    </row>
    <row r="289">
      <c r="B289" s="24" t="inlineStr">
        <is>
          <t>关联企业风险状况1</t>
        </is>
      </c>
      <c r="C289" s="24" t="inlineStr">
        <is>
          <t>关联企业风险状况1</t>
        </is>
      </c>
      <c r="D289" s="24" t="inlineStr">
        <is>
          <t>04</t>
        </is>
      </c>
      <c r="E289" s="24" t="inlineStr">
        <is>
          <t>关联企业风险较高</t>
        </is>
      </c>
    </row>
    <row r="290">
      <c r="B290" s="24" t="inlineStr">
        <is>
          <t>关联企业风险状况1</t>
        </is>
      </c>
      <c r="C290" s="24" t="inlineStr">
        <is>
          <t>关联企业风险状况1</t>
        </is>
      </c>
      <c r="D290" s="24" t="inlineStr">
        <is>
          <t>05</t>
        </is>
      </c>
      <c r="E290" s="24" t="inlineStr">
        <is>
          <t>关联企业风险急剧上升或关联企业在各银行出现违约</t>
        </is>
      </c>
    </row>
    <row r="291" ht="15.95" customHeight="1" s="170">
      <c r="B291" s="122" t="inlineStr">
        <is>
          <t>码值：TaxpayerType</t>
        </is>
      </c>
    </row>
    <row r="292">
      <c r="B292" s="24" t="inlineStr">
        <is>
          <t>TaxpayerType</t>
        </is>
      </c>
      <c r="C292" s="24" t="inlineStr">
        <is>
          <t>纳税人类型</t>
        </is>
      </c>
      <c r="D292" s="24" t="inlineStr">
        <is>
          <t>01</t>
        </is>
      </c>
      <c r="E292" s="24" t="inlineStr">
        <is>
          <t>增值税一般纳税人</t>
        </is>
      </c>
    </row>
    <row r="293">
      <c r="B293" s="24" t="inlineStr">
        <is>
          <t>TaxpayerType</t>
        </is>
      </c>
      <c r="C293" s="24" t="inlineStr">
        <is>
          <t>纳税人类型</t>
        </is>
      </c>
      <c r="D293" s="24" t="inlineStr">
        <is>
          <t>02</t>
        </is>
      </c>
      <c r="E293" s="24" t="inlineStr">
        <is>
          <t>增值税小规模纳税人</t>
        </is>
      </c>
    </row>
    <row r="294">
      <c r="B294" s="24" t="inlineStr">
        <is>
          <t>TaxpayerType</t>
        </is>
      </c>
      <c r="C294" s="24" t="inlineStr">
        <is>
          <t>纳税人类型</t>
        </is>
      </c>
      <c r="D294" s="24" t="inlineStr">
        <is>
          <t>03</t>
        </is>
      </c>
      <c r="E294" s="24" t="inlineStr">
        <is>
          <t>行政事业单位</t>
        </is>
      </c>
    </row>
    <row r="295">
      <c r="B295" s="24" t="inlineStr">
        <is>
          <t>TaxpayerType</t>
        </is>
      </c>
      <c r="C295" s="24" t="inlineStr">
        <is>
          <t>纳税人类型</t>
        </is>
      </c>
      <c r="D295" s="24" t="inlineStr">
        <is>
          <t>04</t>
        </is>
      </c>
      <c r="E295" s="24" t="inlineStr">
        <is>
          <t>境外同业</t>
        </is>
      </c>
    </row>
    <row r="296">
      <c r="B296" s="24" t="inlineStr">
        <is>
          <t>TaxpayerType</t>
        </is>
      </c>
      <c r="C296" s="24" t="inlineStr">
        <is>
          <t>纳税人类型</t>
        </is>
      </c>
      <c r="D296" s="24" t="inlineStr">
        <is>
          <t>05</t>
        </is>
      </c>
      <c r="E296" s="24" t="inlineStr">
        <is>
          <t>境外其他机构</t>
        </is>
      </c>
    </row>
    <row r="297" ht="15.95" customHeight="1" s="170">
      <c r="B297" s="122" t="inlineStr">
        <is>
          <t>码值：LineControlMode</t>
        </is>
      </c>
    </row>
    <row r="298">
      <c r="B298" s="24" t="inlineStr">
        <is>
          <t>LineControlMode</t>
        </is>
      </c>
      <c r="C298" s="24" t="inlineStr">
        <is>
          <t>额度管控模式</t>
        </is>
      </c>
      <c r="D298" s="24" t="inlineStr">
        <is>
          <t>Full</t>
        </is>
      </c>
      <c r="E298" s="24" t="inlineStr">
        <is>
          <t>全额分配</t>
        </is>
      </c>
    </row>
    <row r="299">
      <c r="B299" s="24" t="inlineStr">
        <is>
          <t>LineControlMode</t>
        </is>
      </c>
      <c r="C299" s="24" t="inlineStr">
        <is>
          <t>额度管控模式</t>
        </is>
      </c>
      <c r="D299" s="24" t="inlineStr">
        <is>
          <t>Over</t>
        </is>
      </c>
      <c r="E299" s="24" t="inlineStr">
        <is>
          <t>超额分配</t>
        </is>
      </c>
    </row>
    <row r="300" ht="15.95" customHeight="1" s="170">
      <c r="B300" s="122" t="inlineStr">
        <is>
          <t>码值：SScaleAndDebtLevel</t>
        </is>
      </c>
    </row>
    <row r="301">
      <c r="B301" s="24" t="inlineStr">
        <is>
          <t>SScaleAndDebtLevel</t>
        </is>
      </c>
      <c r="C301" s="24" t="inlineStr">
        <is>
          <t>信用等级评估统一导入</t>
        </is>
      </c>
      <c r="D301" s="24" t="inlineStr">
        <is>
          <t>01</t>
        </is>
      </c>
      <c r="E301" s="24" t="inlineStr">
        <is>
          <t>在校学生人数在3000人以上，在校学生人均贷款余额在30000元以下</t>
        </is>
      </c>
    </row>
    <row r="302">
      <c r="B302" s="24" t="inlineStr">
        <is>
          <t>SScaleAndDebtLevel</t>
        </is>
      </c>
      <c r="C302" s="24" t="inlineStr">
        <is>
          <t>信用等级评估统一导入</t>
        </is>
      </c>
      <c r="D302" s="24" t="inlineStr">
        <is>
          <t>02</t>
        </is>
      </c>
      <c r="E302" s="24" t="inlineStr">
        <is>
          <t>在校学生人数在3000人以上，在校学生人均贷款余额超过30000元</t>
        </is>
      </c>
    </row>
    <row r="303">
      <c r="B303" s="24" t="inlineStr">
        <is>
          <t>SScaleAndDebtLevel</t>
        </is>
      </c>
      <c r="C303" s="24" t="inlineStr">
        <is>
          <t>信用等级评估统一导入</t>
        </is>
      </c>
      <c r="D303" s="24" t="inlineStr">
        <is>
          <t>03</t>
        </is>
      </c>
      <c r="E303" s="24" t="inlineStr">
        <is>
          <t>在校学生人数在1000-3000之间</t>
        </is>
      </c>
    </row>
    <row r="304">
      <c r="B304" s="24" t="inlineStr">
        <is>
          <t>SScaleAndDebtLevel</t>
        </is>
      </c>
      <c r="C304" s="24" t="inlineStr">
        <is>
          <t>信用等级评估统一导入</t>
        </is>
      </c>
      <c r="D304" s="24" t="inlineStr">
        <is>
          <t>04</t>
        </is>
      </c>
      <c r="E304" s="24" t="inlineStr">
        <is>
          <t>在校学生人数低于1000</t>
        </is>
      </c>
    </row>
    <row r="305" ht="15.95" customHeight="1" s="170">
      <c r="B305" s="122" t="inlineStr">
        <is>
          <t>码值：政府对其支持程度</t>
        </is>
      </c>
    </row>
    <row r="306">
      <c r="B306" s="24" t="inlineStr">
        <is>
          <t>政府对其支持程度</t>
        </is>
      </c>
      <c r="C306" s="24" t="inlineStr">
        <is>
          <t>政府对其支持程度</t>
        </is>
      </c>
      <c r="D306" s="24" t="inlineStr">
        <is>
          <t>1</t>
        </is>
      </c>
      <c r="E306" s="24" t="inlineStr">
        <is>
          <t>政府对其贷款承诺还本付息</t>
        </is>
      </c>
    </row>
    <row r="307">
      <c r="B307" s="24" t="inlineStr">
        <is>
          <t>政府对其支持程度</t>
        </is>
      </c>
      <c r="C307" s="24" t="inlineStr">
        <is>
          <t>政府对其支持程度</t>
        </is>
      </c>
      <c r="D307" s="24" t="inlineStr">
        <is>
          <t>2</t>
        </is>
      </c>
      <c r="E307" s="24" t="inlineStr">
        <is>
          <t>政府协调还本付息</t>
        </is>
      </c>
    </row>
    <row r="308">
      <c r="B308" s="24" t="inlineStr">
        <is>
          <t>政府对其支持程度</t>
        </is>
      </c>
      <c r="C308" s="24" t="inlineStr">
        <is>
          <t>政府对其支持程度</t>
        </is>
      </c>
      <c r="D308" s="24" t="inlineStr">
        <is>
          <t>3</t>
        </is>
      </c>
      <c r="E308" s="24" t="inlineStr">
        <is>
          <t>政府给予贴息</t>
        </is>
      </c>
    </row>
    <row r="309">
      <c r="B309" s="24" t="inlineStr">
        <is>
          <t>政府对其支持程度</t>
        </is>
      </c>
      <c r="C309" s="24" t="inlineStr">
        <is>
          <t>政府对其支持程度</t>
        </is>
      </c>
      <c r="D309" s="24" t="inlineStr">
        <is>
          <t>4</t>
        </is>
      </c>
      <c r="E309" s="24" t="inlineStr">
        <is>
          <t>政府无实质性还贷承诺</t>
        </is>
      </c>
    </row>
    <row r="310" ht="15.95" customHeight="1" s="170">
      <c r="B310" s="122" t="inlineStr">
        <is>
          <t>码值：EducationExperience</t>
        </is>
      </c>
    </row>
    <row r="311">
      <c r="B311" s="24" t="inlineStr">
        <is>
          <t>EducationExperience</t>
        </is>
      </c>
      <c r="C311" s="24" t="inlineStr">
        <is>
          <t>学历</t>
        </is>
      </c>
      <c r="D311" s="24" t="inlineStr">
        <is>
          <t>10</t>
        </is>
      </c>
      <c r="E311" s="24" t="inlineStr">
        <is>
          <t>研究生</t>
        </is>
      </c>
    </row>
    <row r="312">
      <c r="B312" s="24" t="inlineStr">
        <is>
          <t>EducationExperience</t>
        </is>
      </c>
      <c r="C312" s="24" t="inlineStr">
        <is>
          <t>学历</t>
        </is>
      </c>
      <c r="D312" s="24" t="inlineStr">
        <is>
          <t>20</t>
        </is>
      </c>
      <c r="E312" s="24" t="inlineStr">
        <is>
          <t>大学本科</t>
        </is>
      </c>
    </row>
    <row r="313">
      <c r="B313" s="24" t="inlineStr">
        <is>
          <t>EducationExperience</t>
        </is>
      </c>
      <c r="C313" s="24" t="inlineStr">
        <is>
          <t>学历</t>
        </is>
      </c>
      <c r="D313" s="24" t="inlineStr">
        <is>
          <t>30</t>
        </is>
      </c>
      <c r="E313" s="24" t="inlineStr">
        <is>
          <t>大学专科</t>
        </is>
      </c>
    </row>
    <row r="314">
      <c r="B314" s="24" t="inlineStr">
        <is>
          <t>EducationExperience</t>
        </is>
      </c>
      <c r="C314" s="24" t="inlineStr">
        <is>
          <t>学历</t>
        </is>
      </c>
      <c r="D314" s="24" t="inlineStr">
        <is>
          <t>40</t>
        </is>
      </c>
      <c r="E314" s="24" t="inlineStr">
        <is>
          <t>中专/中等技校</t>
        </is>
      </c>
    </row>
    <row r="315">
      <c r="B315" s="24" t="inlineStr">
        <is>
          <t>EducationExperience</t>
        </is>
      </c>
      <c r="C315" s="24" t="inlineStr">
        <is>
          <t>学历</t>
        </is>
      </c>
      <c r="D315" s="24" t="inlineStr">
        <is>
          <t>50</t>
        </is>
      </c>
      <c r="E315" s="24" t="inlineStr">
        <is>
          <t>技术学校</t>
        </is>
      </c>
    </row>
    <row r="316">
      <c r="B316" s="24" t="inlineStr">
        <is>
          <t>EducationExperience</t>
        </is>
      </c>
      <c r="C316" s="24" t="inlineStr">
        <is>
          <t>学历</t>
        </is>
      </c>
      <c r="D316" s="24" t="inlineStr">
        <is>
          <t>60</t>
        </is>
      </c>
      <c r="E316" s="24" t="inlineStr">
        <is>
          <t>高中</t>
        </is>
      </c>
    </row>
    <row r="317">
      <c r="B317" s="24" t="inlineStr">
        <is>
          <t>EducationExperience</t>
        </is>
      </c>
      <c r="C317" s="24" t="inlineStr">
        <is>
          <t>学历</t>
        </is>
      </c>
      <c r="D317" s="24" t="inlineStr">
        <is>
          <t>70</t>
        </is>
      </c>
      <c r="E317" s="24" t="inlineStr">
        <is>
          <t>初中</t>
        </is>
      </c>
    </row>
    <row r="318">
      <c r="B318" s="24" t="inlineStr">
        <is>
          <t>EducationExperience</t>
        </is>
      </c>
      <c r="C318" s="24" t="inlineStr">
        <is>
          <t>学历</t>
        </is>
      </c>
      <c r="D318" s="24" t="inlineStr">
        <is>
          <t>80</t>
        </is>
      </c>
      <c r="E318" s="24" t="inlineStr">
        <is>
          <t>小学</t>
        </is>
      </c>
    </row>
    <row r="319">
      <c r="B319" s="24" t="inlineStr">
        <is>
          <t>EducationExperience</t>
        </is>
      </c>
      <c r="C319" s="24" t="inlineStr">
        <is>
          <t>学历</t>
        </is>
      </c>
      <c r="D319" s="24" t="inlineStr">
        <is>
          <t>90</t>
        </is>
      </c>
      <c r="E319" s="24" t="inlineStr">
        <is>
          <t>文盲或半文盲</t>
        </is>
      </c>
    </row>
    <row r="320">
      <c r="B320" s="24" t="inlineStr">
        <is>
          <t>EducationExperience</t>
        </is>
      </c>
      <c r="C320" s="24" t="inlineStr">
        <is>
          <t>学历</t>
        </is>
      </c>
      <c r="D320" s="24" t="inlineStr">
        <is>
          <t>99</t>
        </is>
      </c>
      <c r="E320" s="24" t="inlineStr">
        <is>
          <t>未知</t>
        </is>
      </c>
    </row>
    <row r="321" ht="15.95" customHeight="1" s="170">
      <c r="B321" s="122" t="inlineStr">
        <is>
          <t>码值：CertType</t>
        </is>
      </c>
    </row>
    <row r="322">
      <c r="B322" s="24" t="inlineStr">
        <is>
          <t>CertType</t>
        </is>
      </c>
      <c r="C322" s="24" t="inlineStr">
        <is>
          <t>证件类型</t>
        </is>
      </c>
      <c r="D322" s="24" t="inlineStr">
        <is>
          <t>Ent01</t>
        </is>
      </c>
      <c r="E322" s="24" t="inlineStr">
        <is>
          <t>统一社会信用代码</t>
        </is>
      </c>
    </row>
    <row r="323">
      <c r="B323" s="24" t="inlineStr">
        <is>
          <t>CertType</t>
        </is>
      </c>
      <c r="C323" s="24" t="inlineStr">
        <is>
          <t>证件类型</t>
        </is>
      </c>
      <c r="D323" s="24" t="inlineStr">
        <is>
          <t>Ent02</t>
        </is>
      </c>
      <c r="E323" s="24" t="inlineStr">
        <is>
          <t>组织机构代码</t>
        </is>
      </c>
    </row>
    <row r="324">
      <c r="B324" s="24" t="inlineStr">
        <is>
          <t>CertType</t>
        </is>
      </c>
      <c r="C324" s="24" t="inlineStr">
        <is>
          <t>证件类型</t>
        </is>
      </c>
      <c r="D324" s="24" t="inlineStr">
        <is>
          <t>Ent03</t>
        </is>
      </c>
      <c r="E324" s="24" t="inlineStr">
        <is>
          <t>香港注册代码</t>
        </is>
      </c>
    </row>
    <row r="325">
      <c r="B325" s="24" t="inlineStr">
        <is>
          <t>CertType</t>
        </is>
      </c>
      <c r="C325" s="24" t="inlineStr">
        <is>
          <t>证件类型</t>
        </is>
      </c>
      <c r="D325" s="24" t="inlineStr">
        <is>
          <t>Ent04</t>
        </is>
      </c>
      <c r="E325" s="24" t="inlineStr">
        <is>
          <t>澳门注册代码</t>
        </is>
      </c>
    </row>
    <row r="326">
      <c r="B326" s="24" t="inlineStr">
        <is>
          <t>CertType</t>
        </is>
      </c>
      <c r="C326" s="24" t="inlineStr">
        <is>
          <t>证件类型</t>
        </is>
      </c>
      <c r="D326" s="24" t="inlineStr">
        <is>
          <t>Ent05</t>
        </is>
      </c>
      <c r="E326" s="24" t="inlineStr">
        <is>
          <t>台湾注册代码</t>
        </is>
      </c>
    </row>
    <row r="327">
      <c r="B327" s="24" t="inlineStr">
        <is>
          <t>CertType</t>
        </is>
      </c>
      <c r="C327" s="24" t="inlineStr">
        <is>
          <t>证件类型</t>
        </is>
      </c>
      <c r="D327" s="24" t="inlineStr">
        <is>
          <t>Ent06</t>
        </is>
      </c>
      <c r="E327" s="24" t="inlineStr">
        <is>
          <t>境外机构注册代码</t>
        </is>
      </c>
    </row>
    <row r="328">
      <c r="B328" s="24" t="inlineStr">
        <is>
          <t>CertType</t>
        </is>
      </c>
      <c r="C328" s="24" t="inlineStr">
        <is>
          <t>证件类型</t>
        </is>
      </c>
      <c r="D328" s="24" t="inlineStr">
        <is>
          <t>Ent07</t>
        </is>
      </c>
      <c r="E328" s="24" t="inlineStr">
        <is>
          <t>其他</t>
        </is>
      </c>
    </row>
    <row r="329">
      <c r="B329" s="24" t="inlineStr">
        <is>
          <t>CertType</t>
        </is>
      </c>
      <c r="C329" s="24" t="inlineStr">
        <is>
          <t>证件类型</t>
        </is>
      </c>
      <c r="D329" s="24" t="inlineStr">
        <is>
          <t>Fina01</t>
        </is>
      </c>
      <c r="E329" s="24" t="inlineStr">
        <is>
          <t>统一社会信用代码</t>
        </is>
      </c>
    </row>
    <row r="330">
      <c r="B330" s="24" t="inlineStr">
        <is>
          <t>CertType</t>
        </is>
      </c>
      <c r="C330" s="24" t="inlineStr">
        <is>
          <t>证件类型</t>
        </is>
      </c>
      <c r="D330" s="24" t="inlineStr">
        <is>
          <t>Fina02</t>
        </is>
      </c>
      <c r="E330" s="24" t="inlineStr">
        <is>
          <t>组织机构代码</t>
        </is>
      </c>
    </row>
    <row r="331">
      <c r="B331" s="24" t="inlineStr">
        <is>
          <t>CertType</t>
        </is>
      </c>
      <c r="C331" s="24" t="inlineStr">
        <is>
          <t>证件类型</t>
        </is>
      </c>
      <c r="D331" s="24" t="inlineStr">
        <is>
          <t>Fina03</t>
        </is>
      </c>
      <c r="E331" s="24" t="inlineStr">
        <is>
          <t>SWIFT号码</t>
        </is>
      </c>
    </row>
    <row r="332">
      <c r="B332" s="24" t="inlineStr">
        <is>
          <t>CertType</t>
        </is>
      </c>
      <c r="C332" s="24" t="inlineStr">
        <is>
          <t>证件类型</t>
        </is>
      </c>
      <c r="D332" s="24" t="inlineStr">
        <is>
          <t>Fina04</t>
        </is>
      </c>
      <c r="E332" s="24" t="inlineStr">
        <is>
          <t>外管编号</t>
        </is>
      </c>
    </row>
    <row r="333">
      <c r="B333" s="24" t="inlineStr">
        <is>
          <t>CertType</t>
        </is>
      </c>
      <c r="C333" s="24" t="inlineStr">
        <is>
          <t>证件类型</t>
        </is>
      </c>
      <c r="D333" s="24" t="inlineStr">
        <is>
          <t>Fina05</t>
        </is>
      </c>
      <c r="E333" s="24" t="inlineStr">
        <is>
          <t>其他</t>
        </is>
      </c>
    </row>
    <row r="334">
      <c r="B334" s="24" t="inlineStr">
        <is>
          <t>CertType</t>
        </is>
      </c>
      <c r="C334" s="24" t="inlineStr">
        <is>
          <t>证件类型</t>
        </is>
      </c>
      <c r="D334" s="24" t="inlineStr">
        <is>
          <t>Ind01</t>
        </is>
      </c>
      <c r="E334" s="24" t="inlineStr">
        <is>
          <t>身份证</t>
        </is>
      </c>
    </row>
    <row r="335">
      <c r="B335" s="24" t="inlineStr">
        <is>
          <t>CertType</t>
        </is>
      </c>
      <c r="C335" s="24" t="inlineStr">
        <is>
          <t>证件类型</t>
        </is>
      </c>
      <c r="D335" s="24" t="inlineStr">
        <is>
          <t>Ind02</t>
        </is>
      </c>
      <c r="E335" s="24" t="inlineStr">
        <is>
          <t>军官证</t>
        </is>
      </c>
    </row>
    <row r="336">
      <c r="B336" s="24" t="inlineStr">
        <is>
          <t>CertType</t>
        </is>
      </c>
      <c r="C336" s="24" t="inlineStr">
        <is>
          <t>证件类型</t>
        </is>
      </c>
      <c r="D336" s="24" t="inlineStr">
        <is>
          <t>Ind03</t>
        </is>
      </c>
      <c r="E336" s="24" t="inlineStr">
        <is>
          <t>士兵证</t>
        </is>
      </c>
    </row>
    <row r="337">
      <c r="B337" s="24" t="inlineStr">
        <is>
          <t>CertType</t>
        </is>
      </c>
      <c r="C337" s="24" t="inlineStr">
        <is>
          <t>证件类型</t>
        </is>
      </c>
      <c r="D337" s="24" t="inlineStr">
        <is>
          <t>Ind04</t>
        </is>
      </c>
      <c r="E337" s="24" t="inlineStr">
        <is>
          <t>警官证</t>
        </is>
      </c>
    </row>
    <row r="338">
      <c r="B338" s="24" t="inlineStr">
        <is>
          <t>CertType</t>
        </is>
      </c>
      <c r="C338" s="24" t="inlineStr">
        <is>
          <t>证件类型</t>
        </is>
      </c>
      <c r="D338" s="24" t="inlineStr">
        <is>
          <t>Ind05</t>
        </is>
      </c>
      <c r="E338" s="24" t="inlineStr">
        <is>
          <t>港澳居民来往内地通行证</t>
        </is>
      </c>
    </row>
    <row r="339">
      <c r="B339" s="24" t="inlineStr">
        <is>
          <t>CertType</t>
        </is>
      </c>
      <c r="C339" s="24" t="inlineStr">
        <is>
          <t>证件类型</t>
        </is>
      </c>
      <c r="D339" s="24" t="inlineStr">
        <is>
          <t>Ind06</t>
        </is>
      </c>
      <c r="E339" s="24" t="inlineStr">
        <is>
          <t>台湾同胞来往内地通行证</t>
        </is>
      </c>
    </row>
    <row r="340">
      <c r="B340" s="24" t="inlineStr">
        <is>
          <t>CertType</t>
        </is>
      </c>
      <c r="C340" s="24" t="inlineStr">
        <is>
          <t>证件类型</t>
        </is>
      </c>
      <c r="D340" s="24" t="inlineStr">
        <is>
          <t>Ind07</t>
        </is>
      </c>
      <c r="E340" s="24" t="inlineStr">
        <is>
          <t>外国人居留证</t>
        </is>
      </c>
    </row>
    <row r="341" ht="15.95" customHeight="1" s="170">
      <c r="B341" s="122" t="inlineStr">
        <is>
          <t>码值：RelatedTransation</t>
        </is>
      </c>
    </row>
    <row r="342">
      <c r="B342" s="24" t="inlineStr">
        <is>
          <t>RelatedTransation</t>
        </is>
      </c>
      <c r="C342" s="24" t="inlineStr">
        <is>
          <t>信用等级评估统一导入</t>
        </is>
      </c>
      <c r="D342" s="24" t="inlineStr">
        <is>
          <t>01</t>
        </is>
      </c>
      <c r="E342" s="24" t="inlineStr">
        <is>
          <t>关联交易的资金往来和商品交易明晰，交易价格公允或者无关联交易</t>
        </is>
      </c>
    </row>
    <row r="343">
      <c r="B343" s="24" t="inlineStr">
        <is>
          <t>RelatedTransation</t>
        </is>
      </c>
      <c r="C343" s="24" t="inlineStr">
        <is>
          <t>信用等级评估统一导入</t>
        </is>
      </c>
      <c r="D343" s="24" t="inlineStr">
        <is>
          <t>02</t>
        </is>
      </c>
      <c r="E343" s="24" t="inlineStr">
        <is>
          <t>关联交易严重且价格显失公允</t>
        </is>
      </c>
    </row>
    <row r="344" ht="15.95" customHeight="1" s="170">
      <c r="B344" s="122" t="inlineStr">
        <is>
          <t>码值：授信结构</t>
        </is>
      </c>
    </row>
    <row r="345">
      <c r="B345" s="24" t="inlineStr">
        <is>
          <t>授信结构</t>
        </is>
      </c>
      <c r="C345" s="24" t="inlineStr">
        <is>
          <t>授信结构</t>
        </is>
      </c>
      <c r="D345" s="24" t="inlineStr">
        <is>
          <t>01</t>
        </is>
      </c>
      <c r="E345" s="24" t="inlineStr">
        <is>
          <t>集团公司采用集团授信，母公司对子公司债务承担完全连带责任</t>
        </is>
      </c>
    </row>
    <row r="346">
      <c r="B346" s="24" t="inlineStr">
        <is>
          <t>授信结构</t>
        </is>
      </c>
      <c r="C346" s="24" t="inlineStr">
        <is>
          <t>授信结构</t>
        </is>
      </c>
      <c r="D346" s="24" t="inlineStr">
        <is>
          <t>02</t>
        </is>
      </c>
      <c r="E346" s="24" t="inlineStr">
        <is>
          <t>采用单独授信，母公司对子公司债务只承担有限责任</t>
        </is>
      </c>
    </row>
    <row r="347">
      <c r="B347" s="24" t="inlineStr">
        <is>
          <t>授信结构</t>
        </is>
      </c>
      <c r="C347" s="24" t="inlineStr">
        <is>
          <t>授信结构</t>
        </is>
      </c>
      <c r="D347" s="24" t="inlineStr">
        <is>
          <t>03</t>
        </is>
      </c>
      <c r="E347" s="24" t="inlineStr">
        <is>
          <t>虽然为子母公司关系，但是母公司对子公司债务不承担责任</t>
        </is>
      </c>
    </row>
    <row r="348">
      <c r="B348" s="24" t="inlineStr">
        <is>
          <t>授信结构</t>
        </is>
      </c>
      <c r="C348" s="24" t="inlineStr">
        <is>
          <t>授信结构</t>
        </is>
      </c>
      <c r="D348" s="24" t="inlineStr">
        <is>
          <t>04</t>
        </is>
      </c>
      <c r="E348" s="24" t="inlineStr">
        <is>
          <t>非子母公司关系</t>
        </is>
      </c>
    </row>
    <row r="349" ht="15.95" customHeight="1" s="170">
      <c r="B349" s="122" t="inlineStr">
        <is>
          <t>码值：PrepayInterestDaysFlag</t>
        </is>
      </c>
    </row>
    <row r="350">
      <c r="B350" s="24" t="inlineStr">
        <is>
          <t>PrepayInterestDaysFlag</t>
        </is>
      </c>
      <c r="C350" s="24" t="inlineStr">
        <is>
          <t>提前还款利息计算时点选项</t>
        </is>
      </c>
      <c r="D350" s="24" t="inlineStr">
        <is>
          <t>1</t>
        </is>
      </c>
      <c r="E350" s="24" t="inlineStr">
        <is>
          <t>按实际交易日收取</t>
        </is>
      </c>
    </row>
    <row r="351">
      <c r="B351" s="24" t="inlineStr">
        <is>
          <t>PrepayInterestDaysFlag</t>
        </is>
      </c>
      <c r="C351" s="24" t="inlineStr">
        <is>
          <t>提前还款利息计算时点选项</t>
        </is>
      </c>
      <c r="D351" s="24" t="inlineStr">
        <is>
          <t>2</t>
        </is>
      </c>
      <c r="E351" s="24" t="inlineStr">
        <is>
          <t>按照下一还款日</t>
        </is>
      </c>
    </row>
    <row r="352">
      <c r="B352" s="24" t="inlineStr">
        <is>
          <t>PrepayInterestDaysFlag</t>
        </is>
      </c>
      <c r="C352" s="24" t="inlineStr">
        <is>
          <t>提前还款利息计算时点选项</t>
        </is>
      </c>
      <c r="D352" s="24" t="inlineStr">
        <is>
          <t>3</t>
        </is>
      </c>
      <c r="E352" s="24" t="inlineStr">
        <is>
          <t>只还本不还息</t>
        </is>
      </c>
    </row>
    <row r="353" ht="15.95" customHeight="1" s="170">
      <c r="B353" s="122" t="inlineStr">
        <is>
          <t>码值：宾馆服务投资环境</t>
        </is>
      </c>
    </row>
    <row r="354">
      <c r="B354" s="24" t="inlineStr">
        <is>
          <t>宾馆服务投资环境</t>
        </is>
      </c>
      <c r="C354" s="24" t="inlineStr">
        <is>
          <t>宾馆服务投资环境</t>
        </is>
      </c>
      <c r="D354" s="24" t="inlineStr">
        <is>
          <t>1</t>
        </is>
      </c>
      <c r="E354" s="24" t="inlineStr">
        <is>
          <t>好</t>
        </is>
      </c>
    </row>
    <row r="355">
      <c r="B355" s="24" t="inlineStr">
        <is>
          <t>宾馆服务投资环境</t>
        </is>
      </c>
      <c r="C355" s="24" t="inlineStr">
        <is>
          <t>宾馆服务投资环境</t>
        </is>
      </c>
      <c r="D355" s="24" t="inlineStr">
        <is>
          <t>2</t>
        </is>
      </c>
      <c r="E355" s="24" t="inlineStr">
        <is>
          <t>较好</t>
        </is>
      </c>
    </row>
    <row r="356">
      <c r="B356" s="24" t="inlineStr">
        <is>
          <t>宾馆服务投资环境</t>
        </is>
      </c>
      <c r="C356" s="24" t="inlineStr">
        <is>
          <t>宾馆服务投资环境</t>
        </is>
      </c>
      <c r="D356" s="24" t="inlineStr">
        <is>
          <t>3</t>
        </is>
      </c>
      <c r="E356" s="24" t="inlineStr">
        <is>
          <t>一般</t>
        </is>
      </c>
    </row>
    <row r="357" ht="15.95" customHeight="1" s="170">
      <c r="B357" s="122" t="inlineStr">
        <is>
          <t>码值：FundCalBase</t>
        </is>
      </c>
    </row>
    <row r="358">
      <c r="B358" s="24" t="inlineStr">
        <is>
          <t>FundCalBase</t>
        </is>
      </c>
      <c r="C358" s="24" t="inlineStr">
        <is>
          <t>保证金计算基础</t>
        </is>
      </c>
      <c r="D358" s="24" t="inlineStr">
        <is>
          <t>010</t>
        </is>
      </c>
      <c r="E358" s="24" t="inlineStr">
        <is>
          <t>贷款本金</t>
        </is>
      </c>
    </row>
    <row r="359">
      <c r="B359" s="24" t="inlineStr">
        <is>
          <t>FundCalBase</t>
        </is>
      </c>
      <c r="C359" s="24" t="inlineStr">
        <is>
          <t>保证金计算基础</t>
        </is>
      </c>
      <c r="D359" s="24" t="inlineStr">
        <is>
          <t>020</t>
        </is>
      </c>
      <c r="E359" s="24" t="inlineStr">
        <is>
          <t>贷款余额</t>
        </is>
      </c>
    </row>
    <row r="360">
      <c r="B360" s="24" t="inlineStr">
        <is>
          <t>FundCalBase</t>
        </is>
      </c>
      <c r="C360" s="24" t="inlineStr">
        <is>
          <t>保证金计算基础</t>
        </is>
      </c>
      <c r="D360" s="24" t="inlineStr">
        <is>
          <t>030</t>
        </is>
      </c>
      <c r="E360" s="24" t="inlineStr">
        <is>
          <t>购买价格</t>
        </is>
      </c>
    </row>
    <row r="361">
      <c r="B361" s="24" t="inlineStr">
        <is>
          <t>FundCalBase</t>
        </is>
      </c>
      <c r="C361" s="24" t="inlineStr">
        <is>
          <t>保证金计算基础</t>
        </is>
      </c>
      <c r="D361" s="24" t="inlineStr">
        <is>
          <t>040</t>
        </is>
      </c>
      <c r="E361" s="24" t="inlineStr">
        <is>
          <t>预存定额保证金</t>
        </is>
      </c>
    </row>
    <row r="362">
      <c r="B362" s="24" t="inlineStr">
        <is>
          <t>FundCalBase</t>
        </is>
      </c>
      <c r="C362" s="24" t="inlineStr">
        <is>
          <t>保证金计算基础</t>
        </is>
      </c>
      <c r="D362" s="24" t="inlineStr">
        <is>
          <t>050</t>
        </is>
      </c>
      <c r="E362" s="24" t="inlineStr">
        <is>
          <t>项目额度</t>
        </is>
      </c>
    </row>
    <row r="363">
      <c r="B363" s="24" t="inlineStr">
        <is>
          <t>FundCalBase</t>
        </is>
      </c>
      <c r="C363" s="24" t="inlineStr">
        <is>
          <t>保证金计算基础</t>
        </is>
      </c>
      <c r="D363" s="24" t="inlineStr">
        <is>
          <t>060</t>
        </is>
      </c>
      <c r="E363" s="24" t="inlineStr">
        <is>
          <t>担保额度</t>
        </is>
      </c>
    </row>
    <row r="364" ht="15.95" customHeight="1" s="170">
      <c r="B364" s="122" t="inlineStr">
        <is>
          <t>码值：BookInContractApplySMEMain</t>
        </is>
      </c>
    </row>
    <row r="365">
      <c r="B365" s="24" t="inlineStr">
        <is>
          <t>BookInContractApplySMEMain</t>
        </is>
      </c>
      <c r="C365" s="24" t="inlineStr">
        <is>
          <t>小微批复合同登记申请主树图</t>
        </is>
      </c>
      <c r="D365" s="24" t="inlineStr">
        <is>
          <t>1010</t>
        </is>
      </c>
      <c r="E365" s="24" t="inlineStr">
        <is>
          <t>待处理</t>
        </is>
      </c>
    </row>
    <row r="366">
      <c r="B366" s="24" t="inlineStr">
        <is>
          <t>BookInContractApplySMEMain</t>
        </is>
      </c>
      <c r="C366" s="24" t="inlineStr">
        <is>
          <t>小微批复合同登记申请主树图</t>
        </is>
      </c>
      <c r="D366" s="24" t="inlineStr">
        <is>
          <t>1020</t>
        </is>
      </c>
      <c r="E366" s="24" t="inlineStr">
        <is>
          <t>审批中</t>
        </is>
      </c>
    </row>
    <row r="367">
      <c r="B367" s="24" t="inlineStr">
        <is>
          <t>BookInContractApplySMEMain</t>
        </is>
      </c>
      <c r="C367" s="24" t="inlineStr">
        <is>
          <t>小微批复合同登记申请主树图</t>
        </is>
      </c>
      <c r="D367" s="24" t="inlineStr">
        <is>
          <t>1040,1050</t>
        </is>
      </c>
      <c r="E367" s="24" t="inlineStr">
        <is>
          <t>处理完成</t>
        </is>
      </c>
    </row>
    <row r="368" ht="15.95" customHeight="1" s="170">
      <c r="B368" s="122" t="inlineStr">
        <is>
          <t>码值：SInstitutionLevel</t>
        </is>
      </c>
    </row>
    <row r="369">
      <c r="B369" s="24" t="inlineStr">
        <is>
          <t>SInstitutionLevel</t>
        </is>
      </c>
      <c r="C369" s="24" t="inlineStr">
        <is>
          <t>信用等级评估统一导入</t>
        </is>
      </c>
      <c r="D369" s="24" t="inlineStr">
        <is>
          <t>01</t>
        </is>
      </c>
      <c r="E369" s="24" t="inlineStr">
        <is>
          <t>部属院校</t>
        </is>
      </c>
    </row>
    <row r="370">
      <c r="B370" s="24" t="inlineStr">
        <is>
          <t>SInstitutionLevel</t>
        </is>
      </c>
      <c r="C370" s="24" t="inlineStr">
        <is>
          <t>信用等级评估统一导入</t>
        </is>
      </c>
      <c r="D370" s="24" t="inlineStr">
        <is>
          <t>02</t>
        </is>
      </c>
      <c r="E370" s="24" t="inlineStr">
        <is>
          <t>省或直辖市属院校</t>
        </is>
      </c>
    </row>
    <row r="371">
      <c r="B371" s="24" t="inlineStr">
        <is>
          <t>SInstitutionLevel</t>
        </is>
      </c>
      <c r="C371" s="24" t="inlineStr">
        <is>
          <t>信用等级评估统一导入</t>
        </is>
      </c>
      <c r="D371" s="24" t="inlineStr">
        <is>
          <t>03</t>
        </is>
      </c>
      <c r="E371" s="24" t="inlineStr">
        <is>
          <t>市属</t>
        </is>
      </c>
    </row>
    <row r="372">
      <c r="B372" s="24" t="inlineStr">
        <is>
          <t>SInstitutionLevel</t>
        </is>
      </c>
      <c r="C372" s="24" t="inlineStr">
        <is>
          <t>信用等级评估统一导入</t>
        </is>
      </c>
      <c r="D372" s="24" t="inlineStr">
        <is>
          <t>04</t>
        </is>
      </c>
      <c r="E372" s="24" t="inlineStr">
        <is>
          <t>其他</t>
        </is>
      </c>
    </row>
    <row r="373" ht="15.95" customHeight="1" s="170">
      <c r="B373" s="122" t="inlineStr">
        <is>
          <t>码值：UnionEditViewTree</t>
        </is>
      </c>
    </row>
    <row r="374">
      <c r="B374" s="24" t="inlineStr">
        <is>
          <t>UnionEditViewTree</t>
        </is>
      </c>
      <c r="C374" s="24" t="inlineStr">
        <is>
          <t>客户群详情视图</t>
        </is>
      </c>
      <c r="D374" s="24" t="inlineStr">
        <is>
          <t>010</t>
        </is>
      </c>
      <c r="E374" s="24" t="inlineStr">
        <is>
          <t>客户群信息</t>
        </is>
      </c>
    </row>
    <row r="375">
      <c r="B375" s="24" t="inlineStr">
        <is>
          <t>UnionEditViewTree</t>
        </is>
      </c>
      <c r="C375" s="24" t="inlineStr">
        <is>
          <t>客户群详情视图</t>
        </is>
      </c>
      <c r="D375" s="24" t="inlineStr">
        <is>
          <t>020</t>
        </is>
      </c>
      <c r="E375" s="24" t="inlineStr">
        <is>
          <t>客户群成员信息</t>
        </is>
      </c>
    </row>
    <row r="376">
      <c r="B376" s="24" t="inlineStr">
        <is>
          <t>UnionEditViewTree</t>
        </is>
      </c>
      <c r="C376" s="24" t="inlineStr">
        <is>
          <t>客户群详情视图</t>
        </is>
      </c>
      <c r="D376" s="24" t="inlineStr">
        <is>
          <t>030</t>
        </is>
      </c>
      <c r="E376" s="24" t="inlineStr">
        <is>
          <t>客户群额度信息</t>
        </is>
      </c>
    </row>
    <row r="377">
      <c r="B377" s="24" t="inlineStr">
        <is>
          <t>UnionEditViewTree</t>
        </is>
      </c>
      <c r="C377" s="24" t="inlineStr">
        <is>
          <t>客户群详情视图</t>
        </is>
      </c>
      <c r="D377" s="24" t="inlineStr">
        <is>
          <t>040</t>
        </is>
      </c>
      <c r="E377" s="24" t="inlineStr">
        <is>
          <t>客户群关联项目</t>
        </is>
      </c>
    </row>
    <row r="378">
      <c r="B378" s="24" t="inlineStr">
        <is>
          <t>UnionEditViewTree</t>
        </is>
      </c>
      <c r="C378" s="24" t="inlineStr">
        <is>
          <t>客户群详情视图</t>
        </is>
      </c>
      <c r="D378" s="24" t="inlineStr">
        <is>
          <t>050</t>
        </is>
      </c>
      <c r="E378" s="24" t="inlineStr">
        <is>
          <t>成员授信信息</t>
        </is>
      </c>
    </row>
    <row r="379">
      <c r="B379" s="24" t="inlineStr">
        <is>
          <t>UnionEditViewTree</t>
        </is>
      </c>
      <c r="C379" s="24" t="inlineStr">
        <is>
          <t>客户群详情视图</t>
        </is>
      </c>
      <c r="D379" s="24" t="inlineStr">
        <is>
          <t>0500010</t>
        </is>
      </c>
      <c r="E379" s="24" t="inlineStr">
        <is>
          <t>成员授信额度信息</t>
        </is>
      </c>
    </row>
    <row r="380">
      <c r="B380" s="24" t="inlineStr">
        <is>
          <t>UnionEditViewTree</t>
        </is>
      </c>
      <c r="C380" s="24" t="inlineStr">
        <is>
          <t>客户群详情视图</t>
        </is>
      </c>
      <c r="D380" s="24" t="inlineStr">
        <is>
          <t>0500020</t>
        </is>
      </c>
      <c r="E380" s="24" t="inlineStr">
        <is>
          <t>成员未结清授信业务</t>
        </is>
      </c>
    </row>
    <row r="381">
      <c r="B381" s="24" t="inlineStr">
        <is>
          <t>UnionEditViewTree</t>
        </is>
      </c>
      <c r="C381" s="24" t="inlineStr">
        <is>
          <t>客户群详情视图</t>
        </is>
      </c>
      <c r="D381" s="24" t="inlineStr">
        <is>
          <t>0500030</t>
        </is>
      </c>
      <c r="E381" s="24" t="inlineStr">
        <is>
          <t>成员已结清授信业务</t>
        </is>
      </c>
    </row>
    <row r="382">
      <c r="B382" s="24" t="inlineStr">
        <is>
          <t>UnionEditViewTree</t>
        </is>
      </c>
      <c r="C382" s="24" t="inlineStr">
        <is>
          <t>客户群详情视图</t>
        </is>
      </c>
      <c r="D382" s="24" t="inlineStr">
        <is>
          <t>0500040</t>
        </is>
      </c>
      <c r="E382" s="24" t="inlineStr">
        <is>
          <t>成员提供担保情况</t>
        </is>
      </c>
    </row>
    <row r="383">
      <c r="B383" s="24" t="inlineStr">
        <is>
          <t>UnionEditViewTree</t>
        </is>
      </c>
      <c r="C383" s="24" t="inlineStr">
        <is>
          <t>客户群详情视图</t>
        </is>
      </c>
      <c r="D383" s="24" t="inlineStr">
        <is>
          <t>0500050</t>
        </is>
      </c>
      <c r="E383" s="24" t="inlineStr">
        <is>
          <t>成员被担保情况</t>
        </is>
      </c>
    </row>
    <row r="384" ht="15.95" customHeight="1" s="170">
      <c r="B384" s="122" t="inlineStr">
        <is>
          <t>码值：OperateType</t>
        </is>
      </c>
    </row>
    <row r="385">
      <c r="B385" s="24" t="inlineStr">
        <is>
          <t>OperateType</t>
        </is>
      </c>
      <c r="C385" s="24" t="inlineStr">
        <is>
          <t>操作方式</t>
        </is>
      </c>
      <c r="D385" s="24" t="inlineStr">
        <is>
          <t>01</t>
        </is>
      </c>
      <c r="E385" s="24" t="inlineStr">
        <is>
          <t>普通贷款</t>
        </is>
      </c>
    </row>
    <row r="386">
      <c r="B386" s="24" t="inlineStr">
        <is>
          <t>OperateType</t>
        </is>
      </c>
      <c r="C386" s="24" t="inlineStr">
        <is>
          <t>操作方式</t>
        </is>
      </c>
      <c r="D386" s="24" t="inlineStr">
        <is>
          <t>02</t>
        </is>
      </c>
      <c r="E386" s="24" t="inlineStr">
        <is>
          <t>银团贷款</t>
        </is>
      </c>
    </row>
    <row r="387">
      <c r="B387" s="24" t="inlineStr">
        <is>
          <t>OperateType</t>
        </is>
      </c>
      <c r="C387" s="24" t="inlineStr">
        <is>
          <t>操作方式</t>
        </is>
      </c>
      <c r="D387" s="24" t="inlineStr">
        <is>
          <t>03</t>
        </is>
      </c>
      <c r="E387" s="24" t="inlineStr">
        <is>
          <t>行内银团贷款</t>
        </is>
      </c>
    </row>
    <row r="388">
      <c r="B388" s="24" t="inlineStr">
        <is>
          <t>OperateType</t>
        </is>
      </c>
      <c r="C388" s="24" t="inlineStr">
        <is>
          <t>操作方式</t>
        </is>
      </c>
      <c r="D388" s="24" t="inlineStr">
        <is>
          <t>04</t>
        </is>
      </c>
      <c r="E388" s="24" t="inlineStr">
        <is>
          <t>银团&amp;行内银团贷款</t>
        </is>
      </c>
    </row>
    <row r="389" ht="15.95" customHeight="1" s="170">
      <c r="B389" s="122" t="inlineStr">
        <is>
          <t>码值：ButtonSetCredit</t>
        </is>
      </c>
    </row>
    <row r="390">
      <c r="B390" s="24" t="inlineStr">
        <is>
          <t>ButtonSetCredit</t>
        </is>
      </c>
      <c r="C390" s="24" t="inlineStr">
        <is>
          <t>授信申请按钮组</t>
        </is>
      </c>
      <c r="D390" s="24" t="inlineStr">
        <is>
          <t>backStep</t>
        </is>
      </c>
      <c r="E390" s="24" t="inlineStr">
        <is>
          <t>退回前一步</t>
        </is>
      </c>
    </row>
    <row r="391">
      <c r="B391" s="24" t="inlineStr">
        <is>
          <t>ButtonSetCredit</t>
        </is>
      </c>
      <c r="C391" s="24" t="inlineStr">
        <is>
          <t>授信申请按钮组</t>
        </is>
      </c>
      <c r="D391" s="24" t="inlineStr">
        <is>
          <t>doSubmit</t>
        </is>
      </c>
      <c r="E391" s="24" t="inlineStr">
        <is>
          <t>提交</t>
        </is>
      </c>
    </row>
    <row r="392">
      <c r="B392" s="24" t="inlineStr">
        <is>
          <t>ButtonSetCredit</t>
        </is>
      </c>
      <c r="C392" s="24" t="inlineStr">
        <is>
          <t>授信申请按钮组</t>
        </is>
      </c>
      <c r="D392" s="24" t="inlineStr">
        <is>
          <t>readme</t>
        </is>
      </c>
      <c r="E392" s="24" t="inlineStr">
        <is>
          <t>备注</t>
        </is>
      </c>
    </row>
    <row r="393">
      <c r="B393" s="24" t="inlineStr">
        <is>
          <t>ButtonSetCredit</t>
        </is>
      </c>
      <c r="C393" s="24" t="inlineStr">
        <is>
          <t>授信申请按钮组</t>
        </is>
      </c>
      <c r="D393" s="24" t="inlineStr">
        <is>
          <t>riskSkan</t>
        </is>
      </c>
      <c r="E393" s="24" t="inlineStr">
        <is>
          <t>检测业务风险</t>
        </is>
      </c>
    </row>
    <row r="394">
      <c r="B394" s="24" t="inlineStr">
        <is>
          <t>ButtonSetCredit</t>
        </is>
      </c>
      <c r="C394" s="24" t="inlineStr">
        <is>
          <t>授信申请按钮组</t>
        </is>
      </c>
      <c r="D394" s="24" t="inlineStr">
        <is>
          <t>signApplyOpinion</t>
        </is>
      </c>
      <c r="E394" s="24" t="inlineStr">
        <is>
          <t>签署意见</t>
        </is>
      </c>
    </row>
    <row r="395">
      <c r="B395" s="24" t="inlineStr">
        <is>
          <t>ButtonSetCredit</t>
        </is>
      </c>
      <c r="C395" s="24" t="inlineStr">
        <is>
          <t>授信申请按钮组</t>
        </is>
      </c>
      <c r="D395" s="24" t="inlineStr">
        <is>
          <t>signTaskOpinion</t>
        </is>
      </c>
      <c r="E395" s="24" t="inlineStr">
        <is>
          <t>签署意见</t>
        </is>
      </c>
    </row>
    <row r="396">
      <c r="B396" s="24" t="inlineStr">
        <is>
          <t>ButtonSetCredit</t>
        </is>
      </c>
      <c r="C396" s="24" t="inlineStr">
        <is>
          <t>授信申请按钮组</t>
        </is>
      </c>
      <c r="D396" s="24" t="inlineStr">
        <is>
          <t>viewFlowGraph</t>
        </is>
      </c>
      <c r="E396" s="24" t="inlineStr">
        <is>
          <t>流程图形展示</t>
        </is>
      </c>
    </row>
    <row r="397" ht="15.95" customHeight="1" s="170">
      <c r="B397" s="122" t="inlineStr">
        <is>
          <t>码值：ImageTree</t>
        </is>
      </c>
    </row>
    <row r="398">
      <c r="B398" s="24" t="inlineStr">
        <is>
          <t>ImageTree</t>
        </is>
      </c>
      <c r="C398" s="24" t="inlineStr">
        <is>
          <t>业务资料清单管理</t>
        </is>
      </c>
      <c r="D398" s="24" t="inlineStr">
        <is>
          <t>10</t>
        </is>
      </c>
      <c r="E398" s="24" t="inlineStr">
        <is>
          <t>影像管理</t>
        </is>
      </c>
    </row>
    <row r="399" ht="15.95" customHeight="1" s="170">
      <c r="B399" s="122" t="inlineStr">
        <is>
          <t>码值：CreditLimitUnderIndApproveMain</t>
        </is>
      </c>
    </row>
    <row r="400">
      <c r="B400" s="24" t="inlineStr">
        <is>
          <t>CreditLimitUnderIndApproveMain</t>
        </is>
      </c>
      <c r="C400" s="24" t="inlineStr">
        <is>
          <t> </t>
        </is>
      </c>
      <c r="D400" s="24" t="inlineStr">
        <is>
          <t>N</t>
        </is>
      </c>
      <c r="E400" s="24" t="inlineStr">
        <is>
          <t>待办任务</t>
        </is>
      </c>
    </row>
    <row r="401">
      <c r="B401" s="24" t="inlineStr">
        <is>
          <t>CreditLimitUnderIndApproveMain</t>
        </is>
      </c>
      <c r="C401" s="24" t="inlineStr">
        <is>
          <t> </t>
        </is>
      </c>
      <c r="D401" s="24" t="inlineStr">
        <is>
          <t>Y</t>
        </is>
      </c>
      <c r="E401" s="24" t="inlineStr">
        <is>
          <t>已办任务</t>
        </is>
      </c>
    </row>
    <row r="402" ht="15.95" customHeight="1" s="170">
      <c r="B402" s="122" t="inlineStr">
        <is>
          <t>码值：StallNature</t>
        </is>
      </c>
    </row>
    <row r="403">
      <c r="B403" s="24" t="inlineStr">
        <is>
          <t>StallNature</t>
        </is>
      </c>
      <c r="C403" s="24" t="inlineStr">
        <is>
          <t>摊位/厂房性质</t>
        </is>
      </c>
      <c r="D403" s="24" t="inlineStr">
        <is>
          <t>10</t>
        </is>
      </c>
      <c r="E403" s="24" t="inlineStr">
        <is>
          <t>租赁</t>
        </is>
      </c>
    </row>
    <row r="404">
      <c r="B404" s="24" t="inlineStr">
        <is>
          <t>StallNature</t>
        </is>
      </c>
      <c r="C404" s="24" t="inlineStr">
        <is>
          <t>摊位/厂房性质</t>
        </is>
      </c>
      <c r="D404" s="24" t="inlineStr">
        <is>
          <t>20</t>
        </is>
      </c>
      <c r="E404" s="24" t="inlineStr">
        <is>
          <t>自有</t>
        </is>
      </c>
    </row>
    <row r="405" ht="15.95" customHeight="1" s="170">
      <c r="B405" s="122" t="inlineStr">
        <is>
          <t>码值：建设进度</t>
        </is>
      </c>
    </row>
    <row r="406">
      <c r="B406" s="24" t="inlineStr">
        <is>
          <t>建设进度</t>
        </is>
      </c>
      <c r="C406" s="24" t="inlineStr">
        <is>
          <t>建设进度</t>
        </is>
      </c>
      <c r="D406" s="24" t="inlineStr">
        <is>
          <t>01</t>
        </is>
      </c>
      <c r="E406" s="24" t="inlineStr">
        <is>
          <t>已完工</t>
        </is>
      </c>
    </row>
    <row r="407">
      <c r="B407" s="24" t="inlineStr">
        <is>
          <t>建设进度</t>
        </is>
      </c>
      <c r="C407" s="24" t="inlineStr">
        <is>
          <t>建设进度</t>
        </is>
      </c>
      <c r="D407" s="24" t="inlineStr">
        <is>
          <t>02</t>
        </is>
      </c>
      <c r="E407" s="24" t="inlineStr">
        <is>
          <t>50%以上</t>
        </is>
      </c>
    </row>
    <row r="408">
      <c r="B408" s="24" t="inlineStr">
        <is>
          <t>建设进度</t>
        </is>
      </c>
      <c r="C408" s="24" t="inlineStr">
        <is>
          <t>建设进度</t>
        </is>
      </c>
      <c r="D408" s="24" t="inlineStr">
        <is>
          <t>03</t>
        </is>
      </c>
      <c r="E408" s="24" t="inlineStr">
        <is>
          <t>25%-50%</t>
        </is>
      </c>
    </row>
    <row r="409">
      <c r="B409" s="24" t="inlineStr">
        <is>
          <t>建设进度</t>
        </is>
      </c>
      <c r="C409" s="24" t="inlineStr">
        <is>
          <t>建设进度</t>
        </is>
      </c>
      <c r="D409" s="24" t="inlineStr">
        <is>
          <t>04</t>
        </is>
      </c>
      <c r="E409" s="24" t="inlineStr">
        <is>
          <t>25%以下</t>
        </is>
      </c>
    </row>
    <row r="410" ht="15.95" customHeight="1" s="170">
      <c r="B410" s="122" t="inlineStr">
        <is>
          <t>码值：销售水平</t>
        </is>
      </c>
    </row>
    <row r="411">
      <c r="B411" s="24" t="inlineStr">
        <is>
          <t>销售水平</t>
        </is>
      </c>
      <c r="C411" s="24" t="inlineStr">
        <is>
          <t>销售水平</t>
        </is>
      </c>
      <c r="D411" s="24" t="inlineStr">
        <is>
          <t>01</t>
        </is>
      </c>
      <c r="E411" s="24" t="inlineStr">
        <is>
          <t>已完工,项目销售（出租）&gt;=60%</t>
        </is>
      </c>
    </row>
    <row r="412">
      <c r="B412" s="24" t="inlineStr">
        <is>
          <t>销售水平</t>
        </is>
      </c>
      <c r="C412" s="24" t="inlineStr">
        <is>
          <t>销售水平</t>
        </is>
      </c>
      <c r="D412" s="24" t="inlineStr">
        <is>
          <t>02</t>
        </is>
      </c>
      <c r="E412" s="24" t="inlineStr">
        <is>
          <t>已完工,项目销售（出租）&gt;=30%,&lt;60%</t>
        </is>
      </c>
    </row>
    <row r="413">
      <c r="B413" s="24" t="inlineStr">
        <is>
          <t>销售水平</t>
        </is>
      </c>
      <c r="C413" s="24" t="inlineStr">
        <is>
          <t>销售水平</t>
        </is>
      </c>
      <c r="D413" s="24" t="inlineStr">
        <is>
          <t>03</t>
        </is>
      </c>
      <c r="E413" s="24" t="inlineStr">
        <is>
          <t>已完工,项目销售（出租）&lt;30%</t>
        </is>
      </c>
    </row>
    <row r="414">
      <c r="B414" s="24" t="inlineStr">
        <is>
          <t>销售水平</t>
        </is>
      </c>
      <c r="C414" s="24" t="inlineStr">
        <is>
          <t>销售水平</t>
        </is>
      </c>
      <c r="D414" s="24" t="inlineStr">
        <is>
          <t>04</t>
        </is>
      </c>
      <c r="E414" s="24" t="inlineStr">
        <is>
          <t>已完工,尚未销售</t>
        </is>
      </c>
    </row>
    <row r="415">
      <c r="B415" s="24" t="inlineStr">
        <is>
          <t>销售水平</t>
        </is>
      </c>
      <c r="C415" s="24" t="inlineStr">
        <is>
          <t>销售水平</t>
        </is>
      </c>
      <c r="D415" s="24" t="inlineStr">
        <is>
          <t>05</t>
        </is>
      </c>
      <c r="E415" s="24" t="inlineStr">
        <is>
          <t>在建,项目销售（出租）&gt;=30%</t>
        </is>
      </c>
    </row>
    <row r="416">
      <c r="B416" s="24" t="inlineStr">
        <is>
          <t>销售水平</t>
        </is>
      </c>
      <c r="C416" s="24" t="inlineStr">
        <is>
          <t>销售水平</t>
        </is>
      </c>
      <c r="D416" s="24" t="inlineStr">
        <is>
          <t>06</t>
        </is>
      </c>
      <c r="E416" s="24" t="inlineStr">
        <is>
          <t>在建,项目销售（出租）&lt;30%</t>
        </is>
      </c>
    </row>
    <row r="417">
      <c r="B417" s="24" t="inlineStr">
        <is>
          <t>销售水平</t>
        </is>
      </c>
      <c r="C417" s="24" t="inlineStr">
        <is>
          <t>销售水平</t>
        </is>
      </c>
      <c r="D417" s="24" t="inlineStr">
        <is>
          <t>07</t>
        </is>
      </c>
      <c r="E417" s="24" t="inlineStr">
        <is>
          <t>在建,尚未销售</t>
        </is>
      </c>
    </row>
    <row r="418" ht="15.95" customHeight="1" s="170">
      <c r="B418" s="122" t="inlineStr">
        <is>
          <t>码值：PricingPower</t>
        </is>
      </c>
    </row>
    <row r="419">
      <c r="B419" s="24" t="inlineStr">
        <is>
          <t>PricingPower</t>
        </is>
      </c>
      <c r="C419" s="24" t="inlineStr">
        <is>
          <t>信用等级评估统一导入</t>
        </is>
      </c>
      <c r="D419" s="24" t="inlineStr">
        <is>
          <t>01</t>
        </is>
      </c>
      <c r="E419" s="24" t="inlineStr">
        <is>
          <t>拥有完全定价权，对于约定费率的调整，没有任何法规或合同的障碍</t>
        </is>
      </c>
    </row>
    <row r="420">
      <c r="B420" s="24" t="inlineStr">
        <is>
          <t>PricingPower</t>
        </is>
      </c>
      <c r="C420" s="24" t="inlineStr">
        <is>
          <t>信用等级评估统一导入</t>
        </is>
      </c>
      <c r="D420" s="24" t="inlineStr">
        <is>
          <t>02</t>
        </is>
      </c>
      <c r="E420" s="24" t="inlineStr">
        <is>
          <t>有明确的定价机制，在定价机制范围内允许获得合理的投资资本回报，并且实践中可事实</t>
        </is>
      </c>
    </row>
    <row r="421">
      <c r="B421" s="24" t="inlineStr">
        <is>
          <t>PricingPower</t>
        </is>
      </c>
      <c r="C421" s="24" t="inlineStr">
        <is>
          <t>信用等级评估统一导入</t>
        </is>
      </c>
      <c r="D421" s="24" t="inlineStr">
        <is>
          <t>03</t>
        </is>
      </c>
      <c r="E421" s="24" t="inlineStr">
        <is>
          <t>有明确的定价机制，在定价机制范围内允许获得合理的投资资本回报，但落实有难度</t>
        </is>
      </c>
    </row>
    <row r="422">
      <c r="B422" s="24" t="inlineStr">
        <is>
          <t>PricingPower</t>
        </is>
      </c>
      <c r="C422" s="24" t="inlineStr">
        <is>
          <t>信用等级评估统一导入</t>
        </is>
      </c>
      <c r="D422" s="24" t="inlineStr">
        <is>
          <t>04</t>
        </is>
      </c>
      <c r="E422" s="24" t="inlineStr">
        <is>
          <t>收费机制都是由政府或第三方机构确定的，且不是按公平的投资回报标准来设定的</t>
        </is>
      </c>
    </row>
    <row r="423">
      <c r="B423" s="24" t="inlineStr">
        <is>
          <t>PricingPower</t>
        </is>
      </c>
      <c r="C423" s="24" t="inlineStr">
        <is>
          <t>信用等级评估统一导入</t>
        </is>
      </c>
      <c r="D423" s="24" t="inlineStr">
        <is>
          <t>05</t>
        </is>
      </c>
      <c r="E423" s="24" t="inlineStr">
        <is>
          <t>有过政府或第三方机构进行干预，并强制减收费用的历史，并对实体机构的财务状况产生不利影响</t>
        </is>
      </c>
    </row>
    <row r="424" ht="15.95" customHeight="1" s="170">
      <c r="B424" s="122" t="inlineStr">
        <is>
          <t>码值：科研经费的比重</t>
        </is>
      </c>
    </row>
    <row r="425">
      <c r="B425" s="24" t="inlineStr">
        <is>
          <t>科研经费的比重</t>
        </is>
      </c>
      <c r="C425" s="24" t="inlineStr">
        <is>
          <t>科研经费的比重</t>
        </is>
      </c>
      <c r="D425" s="24" t="inlineStr">
        <is>
          <t>1</t>
        </is>
      </c>
      <c r="E425" s="24" t="inlineStr">
        <is>
          <t>经费比重占销售收入5%及5%以上</t>
        </is>
      </c>
    </row>
    <row r="426">
      <c r="B426" s="24" t="inlineStr">
        <is>
          <t>科研经费的比重</t>
        </is>
      </c>
      <c r="C426" s="24" t="inlineStr">
        <is>
          <t>科研经费的比重</t>
        </is>
      </c>
      <c r="D426" s="24" t="inlineStr">
        <is>
          <t>2</t>
        </is>
      </c>
      <c r="E426" s="24" t="inlineStr">
        <is>
          <t>3%--5%</t>
        </is>
      </c>
    </row>
    <row r="427">
      <c r="B427" s="24" t="inlineStr">
        <is>
          <t>科研经费的比重</t>
        </is>
      </c>
      <c r="C427" s="24" t="inlineStr">
        <is>
          <t>科研经费的比重</t>
        </is>
      </c>
      <c r="D427" s="24" t="inlineStr">
        <is>
          <t>3</t>
        </is>
      </c>
      <c r="E427" s="24" t="inlineStr">
        <is>
          <t>3%以下</t>
        </is>
      </c>
    </row>
    <row r="428" ht="15.95" customHeight="1" s="170">
      <c r="B428" s="122" t="inlineStr">
        <is>
          <t>码值：GroundStatus</t>
        </is>
      </c>
    </row>
    <row r="429">
      <c r="B429" s="24" t="inlineStr">
        <is>
          <t>GroundStatus</t>
        </is>
      </c>
      <c r="C429" s="24" t="inlineStr">
        <is>
          <t>土地现状</t>
        </is>
      </c>
      <c r="D429" s="24" t="inlineStr">
        <is>
          <t>01</t>
        </is>
      </c>
      <c r="E429" s="24" t="inlineStr">
        <is>
          <t>出租</t>
        </is>
      </c>
    </row>
    <row r="430">
      <c r="B430" s="24" t="inlineStr">
        <is>
          <t>GroundStatus</t>
        </is>
      </c>
      <c r="C430" s="24" t="inlineStr">
        <is>
          <t>土地现状</t>
        </is>
      </c>
      <c r="D430" s="24" t="inlineStr">
        <is>
          <t>02</t>
        </is>
      </c>
      <c r="E430" s="24" t="inlineStr">
        <is>
          <t>占用</t>
        </is>
      </c>
    </row>
    <row r="431">
      <c r="B431" s="24" t="inlineStr">
        <is>
          <t>GroundStatus</t>
        </is>
      </c>
      <c r="C431" s="24" t="inlineStr">
        <is>
          <t>土地现状</t>
        </is>
      </c>
      <c r="D431" s="24" t="inlineStr">
        <is>
          <t>03</t>
        </is>
      </c>
      <c r="E431" s="24" t="inlineStr">
        <is>
          <t>闲置</t>
        </is>
      </c>
    </row>
    <row r="432">
      <c r="B432" s="24" t="inlineStr">
        <is>
          <t>GroundStatus</t>
        </is>
      </c>
      <c r="C432" s="24" t="inlineStr">
        <is>
          <t>土地现状</t>
        </is>
      </c>
      <c r="D432" s="24" t="inlineStr">
        <is>
          <t>04</t>
        </is>
      </c>
      <c r="E432" s="24" t="inlineStr">
        <is>
          <t>自用</t>
        </is>
      </c>
    </row>
    <row r="433">
      <c r="B433" s="24" t="inlineStr">
        <is>
          <t>GroundStatus</t>
        </is>
      </c>
      <c r="C433" s="24" t="inlineStr">
        <is>
          <t>土地现状</t>
        </is>
      </c>
      <c r="D433" s="24" t="inlineStr">
        <is>
          <t>05</t>
        </is>
      </c>
      <c r="E433" s="24" t="inlineStr">
        <is>
          <t>其他</t>
        </is>
      </c>
    </row>
    <row r="434" ht="15.95" customHeight="1" s="170">
      <c r="B434" s="122" t="inlineStr">
        <is>
          <t>码值：AccountBookType</t>
        </is>
      </c>
    </row>
    <row r="435">
      <c r="B435" s="24" t="inlineStr">
        <is>
          <t>AccountBookType</t>
        </is>
      </c>
      <c r="C435" s="24" t="inlineStr">
        <is>
          <t>台账类型</t>
        </is>
      </c>
      <c r="D435" s="24" t="inlineStr">
        <is>
          <t>01</t>
        </is>
      </c>
      <c r="E435" s="24" t="inlineStr">
        <is>
          <t>汇总</t>
        </is>
      </c>
    </row>
    <row r="436">
      <c r="B436" s="24" t="inlineStr">
        <is>
          <t>AccountBookType</t>
        </is>
      </c>
      <c r="C436" s="24" t="inlineStr">
        <is>
          <t>台账类型</t>
        </is>
      </c>
      <c r="D436" s="24" t="inlineStr">
        <is>
          <t>02</t>
        </is>
      </c>
      <c r="E436" s="24" t="inlineStr">
        <is>
          <t>明细</t>
        </is>
      </c>
    </row>
    <row r="437" ht="15.95" customHeight="1" s="170">
      <c r="B437" s="122" t="inlineStr">
        <is>
          <t>码值：CreditPutoutApplyFactoryMain</t>
        </is>
      </c>
    </row>
    <row r="438">
      <c r="B438" s="24" t="inlineStr">
        <is>
          <t>CreditPutoutApplyFactoryMain</t>
        </is>
      </c>
      <c r="C438" s="24" t="inlineStr">
        <is>
          <t>小微信贷工厂申请主树图</t>
        </is>
      </c>
      <c r="D438" s="24" t="inlineStr">
        <is>
          <t>1010</t>
        </is>
      </c>
      <c r="E438" s="24" t="inlineStr">
        <is>
          <t>待处理</t>
        </is>
      </c>
    </row>
    <row r="439">
      <c r="B439" s="24" t="inlineStr">
        <is>
          <t>CreditPutoutApplyFactoryMain</t>
        </is>
      </c>
      <c r="C439" s="24" t="inlineStr">
        <is>
          <t>小微信贷工厂申请主树图</t>
        </is>
      </c>
      <c r="D439" s="24" t="inlineStr">
        <is>
          <t>1020</t>
        </is>
      </c>
      <c r="E439" s="24" t="inlineStr">
        <is>
          <t>审批中</t>
        </is>
      </c>
    </row>
    <row r="440">
      <c r="B440" s="24" t="inlineStr">
        <is>
          <t>CreditPutoutApplyFactoryMain</t>
        </is>
      </c>
      <c r="C440" s="24" t="inlineStr">
        <is>
          <t>小微信贷工厂申请主树图</t>
        </is>
      </c>
      <c r="D440" s="24" t="inlineStr">
        <is>
          <t>1040,1050</t>
        </is>
      </c>
      <c r="E440" s="24" t="inlineStr">
        <is>
          <t>处理完成</t>
        </is>
      </c>
    </row>
    <row r="441" ht="15.95" customHeight="1" s="170">
      <c r="B441" s="122" t="inlineStr">
        <is>
          <t>码值：EvaluateModelType</t>
        </is>
      </c>
    </row>
    <row r="442">
      <c r="B442" s="24" t="inlineStr">
        <is>
          <t>EvaluateModelType</t>
        </is>
      </c>
      <c r="C442" s="24" t="inlineStr">
        <is>
          <t>系统评估模型名称</t>
        </is>
      </c>
      <c r="D442" s="24" t="inlineStr">
        <is>
          <t>010</t>
        </is>
      </c>
      <c r="E442" s="24" t="inlineStr">
        <is>
          <t>企业信用等级评估</t>
        </is>
      </c>
    </row>
    <row r="443">
      <c r="B443" s="24" t="inlineStr">
        <is>
          <t>EvaluateModelType</t>
        </is>
      </c>
      <c r="C443" s="24" t="inlineStr">
        <is>
          <t>系统评估模型名称</t>
        </is>
      </c>
      <c r="D443" s="24" t="inlineStr">
        <is>
          <t>012</t>
        </is>
      </c>
      <c r="E443" s="24" t="inlineStr">
        <is>
          <t>中小企业信用等级评估</t>
        </is>
      </c>
    </row>
    <row r="444">
      <c r="B444" s="24" t="inlineStr">
        <is>
          <t>EvaluateModelType</t>
        </is>
      </c>
      <c r="C444" s="24" t="inlineStr">
        <is>
          <t>系统评估模型名称</t>
        </is>
      </c>
      <c r="D444" s="24" t="inlineStr">
        <is>
          <t>015</t>
        </is>
      </c>
      <c r="E444" s="24" t="inlineStr">
        <is>
          <t>个人信用等级评估</t>
        </is>
      </c>
    </row>
    <row r="445">
      <c r="B445" s="24" t="inlineStr">
        <is>
          <t>EvaluateModelType</t>
        </is>
      </c>
      <c r="C445" s="24" t="inlineStr">
        <is>
          <t>系统评估模型名称</t>
        </is>
      </c>
      <c r="D445" s="24" t="inlineStr">
        <is>
          <t>017</t>
        </is>
      </c>
      <c r="E445" s="24" t="inlineStr">
        <is>
          <t>个体经营户信用等级评估</t>
        </is>
      </c>
    </row>
    <row r="446">
      <c r="B446" s="24" t="inlineStr">
        <is>
          <t>EvaluateModelType</t>
        </is>
      </c>
      <c r="C446" s="24" t="inlineStr">
        <is>
          <t>系统评估模型名称</t>
        </is>
      </c>
      <c r="D446" s="24" t="inlineStr">
        <is>
          <t>020</t>
        </is>
      </c>
      <c r="E446" s="24" t="inlineStr">
        <is>
          <t>风险分类</t>
        </is>
      </c>
    </row>
    <row r="447">
      <c r="B447" s="24" t="inlineStr">
        <is>
          <t>EvaluateModelType</t>
        </is>
      </c>
      <c r="C447" s="24" t="inlineStr">
        <is>
          <t>系统评估模型名称</t>
        </is>
      </c>
      <c r="D447" s="24" t="inlineStr">
        <is>
          <t>030</t>
        </is>
      </c>
      <c r="E447" s="24" t="inlineStr">
        <is>
          <t>风险度评估</t>
        </is>
      </c>
    </row>
    <row r="448">
      <c r="B448" s="24" t="inlineStr">
        <is>
          <t>EvaluateModelType</t>
        </is>
      </c>
      <c r="C448" s="24" t="inlineStr">
        <is>
          <t>系统评估模型名称</t>
        </is>
      </c>
      <c r="D448" s="24" t="inlineStr">
        <is>
          <t>070</t>
        </is>
      </c>
      <c r="E448" s="24" t="inlineStr">
        <is>
          <t>流动资金需求量测算</t>
        </is>
      </c>
    </row>
    <row r="449">
      <c r="B449" s="24" t="inlineStr">
        <is>
          <t>EvaluateModelType</t>
        </is>
      </c>
      <c r="C449" s="24" t="inlineStr">
        <is>
          <t>系统评估模型名称</t>
        </is>
      </c>
      <c r="D449" s="24" t="inlineStr">
        <is>
          <t>080</t>
        </is>
      </c>
      <c r="E449" s="24" t="inlineStr">
        <is>
          <t>最高综合授信限额</t>
        </is>
      </c>
    </row>
    <row r="450">
      <c r="B450" s="24" t="inlineStr">
        <is>
          <t>EvaluateModelType</t>
        </is>
      </c>
      <c r="C450" s="24" t="inlineStr">
        <is>
          <t>系统评估模型名称</t>
        </is>
      </c>
      <c r="D450" s="24" t="inlineStr">
        <is>
          <t>090</t>
        </is>
      </c>
      <c r="E450" s="24" t="inlineStr">
        <is>
          <t>中小企业资格认定</t>
        </is>
      </c>
    </row>
    <row r="451">
      <c r="B451" s="24" t="inlineStr">
        <is>
          <t>EvaluateModelType</t>
        </is>
      </c>
      <c r="C451" s="24" t="inlineStr">
        <is>
          <t>系统评估模型名称</t>
        </is>
      </c>
      <c r="D451" s="24" t="inlineStr">
        <is>
          <t>100</t>
        </is>
      </c>
      <c r="E451" s="24" t="inlineStr">
        <is>
          <t>押品外部评估机构评估</t>
        </is>
      </c>
    </row>
    <row r="452" ht="15.95" customHeight="1" s="170">
      <c r="B452" s="122" t="inlineStr">
        <is>
          <t>码值：WorkingExperience</t>
        </is>
      </c>
    </row>
    <row r="453">
      <c r="B453" s="24" t="inlineStr">
        <is>
          <t>WorkingExperience</t>
        </is>
      </c>
      <c r="C453" s="24" t="inlineStr">
        <is>
          <t>信用等级评估统一导入</t>
        </is>
      </c>
      <c r="D453" s="24" t="inlineStr">
        <is>
          <t>01</t>
        </is>
      </c>
      <c r="E453" s="24" t="inlineStr">
        <is>
          <t>主要领导人有过五个以上相关项目的成功领导人经验</t>
        </is>
      </c>
    </row>
    <row r="454">
      <c r="B454" s="24" t="inlineStr">
        <is>
          <t>WorkingExperience</t>
        </is>
      </c>
      <c r="C454" s="24" t="inlineStr">
        <is>
          <t>信用等级评估统一导入</t>
        </is>
      </c>
      <c r="D454" s="24" t="inlineStr">
        <is>
          <t>02</t>
        </is>
      </c>
      <c r="E454" s="24" t="inlineStr">
        <is>
          <t>主要领导人有过三个以上相关项目的成功领导人经验</t>
        </is>
      </c>
    </row>
    <row r="455">
      <c r="B455" s="24" t="inlineStr">
        <is>
          <t>WorkingExperience</t>
        </is>
      </c>
      <c r="C455" s="24" t="inlineStr">
        <is>
          <t>信用等级评估统一导入</t>
        </is>
      </c>
      <c r="D455" s="24" t="inlineStr">
        <is>
          <t>03</t>
        </is>
      </c>
      <c r="E455" s="24" t="inlineStr">
        <is>
          <t>主要领导人有过一个以上相关项目的成功领导人经验</t>
        </is>
      </c>
    </row>
    <row r="456">
      <c r="B456" s="24" t="inlineStr">
        <is>
          <t>WorkingExperience</t>
        </is>
      </c>
      <c r="C456" s="24" t="inlineStr">
        <is>
          <t>信用等级评估统一导入</t>
        </is>
      </c>
      <c r="D456" s="24" t="inlineStr">
        <is>
          <t>04</t>
        </is>
      </c>
      <c r="E456" s="24" t="inlineStr">
        <is>
          <t>主要领导人没有相关项目的成功领导人经验</t>
        </is>
      </c>
    </row>
    <row r="457" ht="15.95" customHeight="1" s="170">
      <c r="B457" s="122" t="inlineStr">
        <is>
          <t>码值：职称或最高学历</t>
        </is>
      </c>
    </row>
    <row r="458">
      <c r="B458" s="24" t="inlineStr">
        <is>
          <t>职称或最高学历</t>
        </is>
      </c>
      <c r="C458" s="24" t="inlineStr">
        <is>
          <t>职称或最高学历</t>
        </is>
      </c>
      <c r="D458" s="24" t="inlineStr">
        <is>
          <t>1</t>
        </is>
      </c>
      <c r="E458" s="24" t="inlineStr">
        <is>
          <t>高级职称或博士学位</t>
        </is>
      </c>
    </row>
    <row r="459">
      <c r="B459" s="24" t="inlineStr">
        <is>
          <t>职称或最高学历</t>
        </is>
      </c>
      <c r="C459" s="24" t="inlineStr">
        <is>
          <t>职称或最高学历</t>
        </is>
      </c>
      <c r="D459" s="24" t="inlineStr">
        <is>
          <t>2</t>
        </is>
      </c>
      <c r="E459" s="24" t="inlineStr">
        <is>
          <t>硕士或双学士学位</t>
        </is>
      </c>
    </row>
    <row r="460">
      <c r="B460" s="24" t="inlineStr">
        <is>
          <t>职称或最高学历</t>
        </is>
      </c>
      <c r="C460" s="24" t="inlineStr">
        <is>
          <t>职称或最高学历</t>
        </is>
      </c>
      <c r="D460" s="24" t="inlineStr">
        <is>
          <t>3</t>
        </is>
      </c>
      <c r="E460" s="24" t="inlineStr">
        <is>
          <t>中级职称或学士学位</t>
        </is>
      </c>
    </row>
    <row r="461">
      <c r="B461" s="24" t="inlineStr">
        <is>
          <t>职称或最高学历</t>
        </is>
      </c>
      <c r="C461" s="24" t="inlineStr">
        <is>
          <t>职称或最高学历</t>
        </is>
      </c>
      <c r="D461" s="24" t="inlineStr">
        <is>
          <t>4</t>
        </is>
      </c>
      <c r="E461" s="24" t="inlineStr">
        <is>
          <t>其它</t>
        </is>
      </c>
    </row>
    <row r="462" ht="15.95" customHeight="1" s="170">
      <c r="B462" s="122" t="inlineStr">
        <is>
          <t>码值：BatchType</t>
        </is>
      </c>
    </row>
    <row r="463">
      <c r="B463" s="24" t="inlineStr">
        <is>
          <t>BatchType</t>
        </is>
      </c>
      <c r="C463" s="24" t="inlineStr">
        <is>
          <t>批量上传类型</t>
        </is>
      </c>
      <c r="D463" s="24" t="inlineStr">
        <is>
          <t>01</t>
        </is>
      </c>
      <c r="E463" s="24" t="inlineStr">
        <is>
          <t>批量上传申请</t>
        </is>
      </c>
    </row>
    <row r="464">
      <c r="B464" s="24" t="inlineStr">
        <is>
          <t>BatchType</t>
        </is>
      </c>
      <c r="C464" s="24" t="inlineStr">
        <is>
          <t>批量上传类型</t>
        </is>
      </c>
      <c r="D464" s="24" t="inlineStr">
        <is>
          <t>02</t>
        </is>
      </c>
      <c r="E464" s="24" t="inlineStr">
        <is>
          <t>放款</t>
        </is>
      </c>
    </row>
    <row r="465">
      <c r="B465" s="24" t="inlineStr">
        <is>
          <t>BatchType</t>
        </is>
      </c>
      <c r="C465" s="24" t="inlineStr">
        <is>
          <t>批量上传类型</t>
        </is>
      </c>
      <c r="D465" s="24" t="inlineStr">
        <is>
          <t>03</t>
        </is>
      </c>
      <c r="E465" s="24" t="inlineStr">
        <is>
          <t>批量扣款</t>
        </is>
      </c>
    </row>
    <row r="466" ht="15.95" customHeight="1" s="170">
      <c r="B466" s="122" t="inlineStr">
        <is>
          <t>码值：ApprovePaymentMain</t>
        </is>
      </c>
    </row>
    <row r="467">
      <c r="B467" s="24" t="inlineStr">
        <is>
          <t>ApprovePaymentMain</t>
        </is>
      </c>
      <c r="C467" s="24" t="inlineStr">
        <is>
          <t>支付业务申请审批判断</t>
        </is>
      </c>
      <c r="D467" s="24" t="inlineStr">
        <is>
          <t>N</t>
        </is>
      </c>
      <c r="E467" s="24" t="inlineStr">
        <is>
          <t>当前工作</t>
        </is>
      </c>
    </row>
    <row r="468">
      <c r="B468" s="24" t="inlineStr">
        <is>
          <t>ApprovePaymentMain</t>
        </is>
      </c>
      <c r="C468" s="24" t="inlineStr">
        <is>
          <t>支付业务申请审批判断</t>
        </is>
      </c>
      <c r="D468" s="24" t="inlineStr">
        <is>
          <t>Y</t>
        </is>
      </c>
      <c r="E468" s="24" t="inlineStr">
        <is>
          <t>已完成工作</t>
        </is>
      </c>
    </row>
    <row r="469" ht="15.95" customHeight="1" s="170">
      <c r="B469" s="122" t="inlineStr">
        <is>
          <t>码值：KnowledgeCatalog</t>
        </is>
      </c>
    </row>
    <row r="470">
      <c r="B470" s="24" t="inlineStr">
        <is>
          <t>KnowledgeCatalog</t>
        </is>
      </c>
      <c r="C470" s="24" t="inlineStr">
        <is>
          <t>营销信息管理</t>
        </is>
      </c>
      <c r="D470" s="24" t="inlineStr">
        <is>
          <t>01</t>
        </is>
      </c>
      <c r="E470" s="24" t="inlineStr">
        <is>
          <t>宏观信息</t>
        </is>
      </c>
    </row>
    <row r="471">
      <c r="B471" s="24" t="inlineStr">
        <is>
          <t>KnowledgeCatalog</t>
        </is>
      </c>
      <c r="C471" s="24" t="inlineStr">
        <is>
          <t>营销信息管理</t>
        </is>
      </c>
      <c r="D471" s="24" t="inlineStr">
        <is>
          <t>010101</t>
        </is>
      </c>
      <c r="E471" s="24" t="inlineStr">
        <is>
          <t>重要新闻</t>
        </is>
      </c>
    </row>
    <row r="472">
      <c r="B472" s="24" t="inlineStr">
        <is>
          <t>KnowledgeCatalog</t>
        </is>
      </c>
      <c r="C472" s="24" t="inlineStr">
        <is>
          <t>营销信息管理</t>
        </is>
      </c>
      <c r="D472" s="24" t="inlineStr">
        <is>
          <t>010102</t>
        </is>
      </c>
      <c r="E472" s="24" t="inlineStr">
        <is>
          <t>政策法规</t>
        </is>
      </c>
    </row>
    <row r="473">
      <c r="B473" s="24" t="inlineStr">
        <is>
          <t>KnowledgeCatalog</t>
        </is>
      </c>
      <c r="C473" s="24" t="inlineStr">
        <is>
          <t>营销信息管理</t>
        </is>
      </c>
      <c r="D473" s="24" t="inlineStr">
        <is>
          <t>010103</t>
        </is>
      </c>
      <c r="E473" s="24" t="inlineStr">
        <is>
          <t>统计数据</t>
        </is>
      </c>
    </row>
    <row r="474">
      <c r="B474" s="24" t="inlineStr">
        <is>
          <t>KnowledgeCatalog</t>
        </is>
      </c>
      <c r="C474" s="24" t="inlineStr">
        <is>
          <t>营销信息管理</t>
        </is>
      </c>
      <c r="D474" s="24" t="inlineStr">
        <is>
          <t>010104</t>
        </is>
      </c>
      <c r="E474" s="24" t="inlineStr">
        <is>
          <t>综合分析</t>
        </is>
      </c>
    </row>
    <row r="475">
      <c r="B475" s="24" t="inlineStr">
        <is>
          <t>KnowledgeCatalog</t>
        </is>
      </c>
      <c r="C475" s="24" t="inlineStr">
        <is>
          <t>营销信息管理</t>
        </is>
      </c>
      <c r="D475" s="24" t="inlineStr">
        <is>
          <t>010105</t>
        </is>
      </c>
      <c r="E475" s="24" t="inlineStr">
        <is>
          <t>其它信息</t>
        </is>
      </c>
    </row>
    <row r="476">
      <c r="B476" s="24" t="inlineStr">
        <is>
          <t>KnowledgeCatalog</t>
        </is>
      </c>
      <c r="C476" s="24" t="inlineStr">
        <is>
          <t>营销信息管理</t>
        </is>
      </c>
      <c r="D476" s="24" t="inlineStr">
        <is>
          <t>010201</t>
        </is>
      </c>
      <c r="E476" s="24" t="inlineStr">
        <is>
          <t>重要新闻</t>
        </is>
      </c>
    </row>
    <row r="477">
      <c r="B477" s="24" t="inlineStr">
        <is>
          <t>KnowledgeCatalog</t>
        </is>
      </c>
      <c r="C477" s="24" t="inlineStr">
        <is>
          <t>营销信息管理</t>
        </is>
      </c>
      <c r="D477" s="24" t="inlineStr">
        <is>
          <t>0103</t>
        </is>
      </c>
      <c r="E477" s="24" t="inlineStr">
        <is>
          <t>本市</t>
        </is>
      </c>
    </row>
    <row r="478">
      <c r="B478" s="24" t="inlineStr">
        <is>
          <t>KnowledgeCatalog</t>
        </is>
      </c>
      <c r="C478" s="24" t="inlineStr">
        <is>
          <t>营销信息管理</t>
        </is>
      </c>
      <c r="D478" s="24" t="inlineStr">
        <is>
          <t>010301</t>
        </is>
      </c>
      <c r="E478" s="24" t="inlineStr">
        <is>
          <t>重要新闻</t>
        </is>
      </c>
    </row>
    <row r="479">
      <c r="B479" s="24" t="inlineStr">
        <is>
          <t>KnowledgeCatalog</t>
        </is>
      </c>
      <c r="C479" s="24" t="inlineStr">
        <is>
          <t>营销信息管理</t>
        </is>
      </c>
      <c r="D479" s="24" t="inlineStr">
        <is>
          <t>010302</t>
        </is>
      </c>
      <c r="E479" s="24" t="inlineStr">
        <is>
          <t>政策法规</t>
        </is>
      </c>
    </row>
    <row r="480">
      <c r="B480" s="24" t="inlineStr">
        <is>
          <t>KnowledgeCatalog</t>
        </is>
      </c>
      <c r="C480" s="24" t="inlineStr">
        <is>
          <t>营销信息管理</t>
        </is>
      </c>
      <c r="D480" s="24" t="inlineStr">
        <is>
          <t>010303</t>
        </is>
      </c>
      <c r="E480" s="24" t="inlineStr">
        <is>
          <t>其它信息</t>
        </is>
      </c>
    </row>
    <row r="481">
      <c r="B481" s="24" t="inlineStr">
        <is>
          <t>KnowledgeCatalog</t>
        </is>
      </c>
      <c r="C481" s="24" t="inlineStr">
        <is>
          <t>营销信息管理</t>
        </is>
      </c>
      <c r="D481" s="24" t="inlineStr">
        <is>
          <t>02</t>
        </is>
      </c>
      <c r="E481" s="24" t="inlineStr">
        <is>
          <t>行业信息</t>
        </is>
      </c>
    </row>
    <row r="482">
      <c r="B482" s="24" t="inlineStr">
        <is>
          <t>KnowledgeCatalog</t>
        </is>
      </c>
      <c r="C482" s="24" t="inlineStr">
        <is>
          <t>营销信息管理</t>
        </is>
      </c>
      <c r="D482" s="24" t="inlineStr">
        <is>
          <t>0201</t>
        </is>
      </c>
      <c r="E482" s="24" t="inlineStr">
        <is>
          <t>农、林、牧、渔业</t>
        </is>
      </c>
    </row>
    <row r="483">
      <c r="B483" s="24" t="inlineStr">
        <is>
          <t>KnowledgeCatalog</t>
        </is>
      </c>
      <c r="C483" s="24" t="inlineStr">
        <is>
          <t>营销信息管理</t>
        </is>
      </c>
      <c r="D483" s="24" t="inlineStr">
        <is>
          <t>0202</t>
        </is>
      </c>
      <c r="E483" s="24" t="inlineStr">
        <is>
          <t>采掘业</t>
        </is>
      </c>
    </row>
    <row r="484">
      <c r="B484" s="24" t="inlineStr">
        <is>
          <t>KnowledgeCatalog</t>
        </is>
      </c>
      <c r="C484" s="24" t="inlineStr">
        <is>
          <t>营销信息管理</t>
        </is>
      </c>
      <c r="D484" s="24" t="inlineStr">
        <is>
          <t>0203</t>
        </is>
      </c>
      <c r="E484" s="24" t="inlineStr">
        <is>
          <t>制造业</t>
        </is>
      </c>
    </row>
    <row r="485">
      <c r="B485" s="24" t="inlineStr">
        <is>
          <t>KnowledgeCatalog</t>
        </is>
      </c>
      <c r="C485" s="24" t="inlineStr">
        <is>
          <t>营销信息管理</t>
        </is>
      </c>
      <c r="D485" s="24" t="inlineStr">
        <is>
          <t>03</t>
        </is>
      </c>
      <c r="E485" s="24" t="inlineStr">
        <is>
          <t>金融信息</t>
        </is>
      </c>
    </row>
    <row r="486">
      <c r="B486" s="24" t="inlineStr">
        <is>
          <t>KnowledgeCatalog</t>
        </is>
      </c>
      <c r="C486" s="24" t="inlineStr">
        <is>
          <t>营销信息管理</t>
        </is>
      </c>
      <c r="D486" s="24" t="inlineStr">
        <is>
          <t>0301</t>
        </is>
      </c>
      <c r="E486" s="24" t="inlineStr">
        <is>
          <t>全部</t>
        </is>
      </c>
    </row>
    <row r="487">
      <c r="B487" s="24" t="inlineStr">
        <is>
          <t>KnowledgeCatalog</t>
        </is>
      </c>
      <c r="C487" s="24" t="inlineStr">
        <is>
          <t>营销信息管理</t>
        </is>
      </c>
      <c r="D487" s="24" t="inlineStr">
        <is>
          <t>030101</t>
        </is>
      </c>
      <c r="E487" s="24" t="inlineStr">
        <is>
          <t>新闻动态</t>
        </is>
      </c>
    </row>
    <row r="488">
      <c r="B488" s="24" t="inlineStr">
        <is>
          <t>KnowledgeCatalog</t>
        </is>
      </c>
      <c r="C488" s="24" t="inlineStr">
        <is>
          <t>营销信息管理</t>
        </is>
      </c>
      <c r="D488" s="24" t="inlineStr">
        <is>
          <t>030102</t>
        </is>
      </c>
      <c r="E488" s="24" t="inlineStr">
        <is>
          <t>业务创新</t>
        </is>
      </c>
    </row>
    <row r="489">
      <c r="B489" s="24" t="inlineStr">
        <is>
          <t>KnowledgeCatalog</t>
        </is>
      </c>
      <c r="C489" s="24" t="inlineStr">
        <is>
          <t>营销信息管理</t>
        </is>
      </c>
      <c r="D489" s="24" t="inlineStr">
        <is>
          <t>030103</t>
        </is>
      </c>
      <c r="E489" s="24" t="inlineStr">
        <is>
          <t>统计数据</t>
        </is>
      </c>
    </row>
    <row r="490">
      <c r="B490" s="24" t="inlineStr">
        <is>
          <t>KnowledgeCatalog</t>
        </is>
      </c>
      <c r="C490" s="24" t="inlineStr">
        <is>
          <t>营销信息管理</t>
        </is>
      </c>
      <c r="D490" s="24" t="inlineStr">
        <is>
          <t>0302</t>
        </is>
      </c>
      <c r="E490" s="24" t="inlineStr">
        <is>
          <t>混业</t>
        </is>
      </c>
    </row>
    <row r="491">
      <c r="B491" s="24" t="inlineStr">
        <is>
          <t>KnowledgeCatalog</t>
        </is>
      </c>
      <c r="C491" s="24" t="inlineStr">
        <is>
          <t>营销信息管理</t>
        </is>
      </c>
      <c r="D491" s="24" t="inlineStr">
        <is>
          <t>030201</t>
        </is>
      </c>
      <c r="E491" s="24" t="inlineStr">
        <is>
          <t>新闻动态</t>
        </is>
      </c>
    </row>
    <row r="492">
      <c r="B492" s="24" t="inlineStr">
        <is>
          <t>KnowledgeCatalog</t>
        </is>
      </c>
      <c r="C492" s="24" t="inlineStr">
        <is>
          <t>营销信息管理</t>
        </is>
      </c>
      <c r="D492" s="24" t="inlineStr">
        <is>
          <t>030202</t>
        </is>
      </c>
      <c r="E492" s="24" t="inlineStr">
        <is>
          <t>业务创新</t>
        </is>
      </c>
    </row>
    <row r="493">
      <c r="B493" s="24" t="inlineStr">
        <is>
          <t>KnowledgeCatalog</t>
        </is>
      </c>
      <c r="C493" s="24" t="inlineStr">
        <is>
          <t>营销信息管理</t>
        </is>
      </c>
      <c r="D493" s="24" t="inlineStr">
        <is>
          <t>0303</t>
        </is>
      </c>
      <c r="E493" s="24" t="inlineStr">
        <is>
          <t>银行</t>
        </is>
      </c>
    </row>
    <row r="494">
      <c r="B494" s="24" t="inlineStr">
        <is>
          <t>KnowledgeCatalog</t>
        </is>
      </c>
      <c r="C494" s="24" t="inlineStr">
        <is>
          <t>营销信息管理</t>
        </is>
      </c>
      <c r="D494" s="24" t="inlineStr">
        <is>
          <t>0304</t>
        </is>
      </c>
      <c r="E494" s="24" t="inlineStr">
        <is>
          <t>证券</t>
        </is>
      </c>
    </row>
    <row r="495">
      <c r="B495" s="24" t="inlineStr">
        <is>
          <t>KnowledgeCatalog</t>
        </is>
      </c>
      <c r="C495" s="24" t="inlineStr">
        <is>
          <t>营销信息管理</t>
        </is>
      </c>
      <c r="D495" s="24" t="inlineStr">
        <is>
          <t>0305</t>
        </is>
      </c>
      <c r="E495" s="24" t="inlineStr">
        <is>
          <t>保险</t>
        </is>
      </c>
    </row>
    <row r="496">
      <c r="B496" s="24" t="inlineStr">
        <is>
          <t>KnowledgeCatalog</t>
        </is>
      </c>
      <c r="C496" s="24" t="inlineStr">
        <is>
          <t>营销信息管理</t>
        </is>
      </c>
      <c r="D496" s="24" t="inlineStr">
        <is>
          <t>0306</t>
        </is>
      </c>
      <c r="E496" s="24" t="inlineStr">
        <is>
          <t>租赁</t>
        </is>
      </c>
    </row>
    <row r="497">
      <c r="B497" s="24" t="inlineStr">
        <is>
          <t>KnowledgeCatalog</t>
        </is>
      </c>
      <c r="C497" s="24" t="inlineStr">
        <is>
          <t>营销信息管理</t>
        </is>
      </c>
      <c r="D497" s="24" t="inlineStr">
        <is>
          <t>0307</t>
        </is>
      </c>
      <c r="E497" s="24" t="inlineStr">
        <is>
          <t>信托</t>
        </is>
      </c>
    </row>
    <row r="498">
      <c r="B498" s="24" t="inlineStr">
        <is>
          <t>KnowledgeCatalog</t>
        </is>
      </c>
      <c r="C498" s="24" t="inlineStr">
        <is>
          <t>营销信息管理</t>
        </is>
      </c>
      <c r="D498" s="24" t="inlineStr">
        <is>
          <t>0308</t>
        </is>
      </c>
      <c r="E498" s="24" t="inlineStr">
        <is>
          <t>其它</t>
        </is>
      </c>
    </row>
    <row r="499">
      <c r="B499" s="24" t="inlineStr">
        <is>
          <t>KnowledgeCatalog</t>
        </is>
      </c>
      <c r="C499" s="24" t="inlineStr">
        <is>
          <t>营销信息管理</t>
        </is>
      </c>
      <c r="D499" s="24" t="inlineStr">
        <is>
          <t>04</t>
        </is>
      </c>
      <c r="E499" s="24" t="inlineStr">
        <is>
          <t>本行信息</t>
        </is>
      </c>
    </row>
    <row r="500">
      <c r="B500" s="24" t="inlineStr">
        <is>
          <t>KnowledgeCatalog</t>
        </is>
      </c>
      <c r="C500" s="24" t="inlineStr">
        <is>
          <t>营销信息管理</t>
        </is>
      </c>
      <c r="D500" s="24" t="inlineStr">
        <is>
          <t>05</t>
        </is>
      </c>
      <c r="E500" s="24" t="inlineStr">
        <is>
          <t>客户营销信息</t>
        </is>
      </c>
    </row>
    <row r="501">
      <c r="B501" s="24" t="inlineStr">
        <is>
          <t>KnowledgeCatalog</t>
        </is>
      </c>
      <c r="C501" s="24" t="inlineStr">
        <is>
          <t>营销信息管理</t>
        </is>
      </c>
      <c r="D501" s="24" t="inlineStr">
        <is>
          <t>06</t>
        </is>
      </c>
      <c r="E501" s="24" t="inlineStr">
        <is>
          <t>项目信息</t>
        </is>
      </c>
    </row>
    <row r="502">
      <c r="B502" s="24" t="inlineStr">
        <is>
          <t>KnowledgeCatalog</t>
        </is>
      </c>
      <c r="C502" s="24" t="inlineStr">
        <is>
          <t>营销信息管理</t>
        </is>
      </c>
      <c r="D502" s="24" t="inlineStr">
        <is>
          <t>07</t>
        </is>
      </c>
      <c r="E502" s="24" t="inlineStr">
        <is>
          <t>制度规范</t>
        </is>
      </c>
    </row>
    <row r="503">
      <c r="B503" s="24" t="inlineStr">
        <is>
          <t>KnowledgeCatalog</t>
        </is>
      </c>
      <c r="C503" s="24" t="inlineStr">
        <is>
          <t>营销信息管理</t>
        </is>
      </c>
      <c r="D503" s="24" t="inlineStr">
        <is>
          <t>08</t>
        </is>
      </c>
      <c r="E503" s="24" t="inlineStr">
        <is>
          <t>本行营销活动</t>
        </is>
      </c>
    </row>
    <row r="504">
      <c r="B504" s="24" t="inlineStr">
        <is>
          <t>KnowledgeCatalog</t>
        </is>
      </c>
      <c r="C504" s="24" t="inlineStr">
        <is>
          <t>营销信息管理</t>
        </is>
      </c>
      <c r="D504" s="24" t="inlineStr">
        <is>
          <t>09</t>
        </is>
      </c>
      <c r="E504" s="24" t="inlineStr">
        <is>
          <t>返回</t>
        </is>
      </c>
    </row>
    <row r="505" ht="15.95" customHeight="1" s="170">
      <c r="B505" s="122" t="inlineStr">
        <is>
          <t>码值：DOClass</t>
        </is>
      </c>
    </row>
    <row r="506">
      <c r="B506" s="24" t="inlineStr">
        <is>
          <t>DOClass</t>
        </is>
      </c>
      <c r="C506" s="24" t="inlineStr">
        <is>
          <t>数据对象类别</t>
        </is>
      </c>
      <c r="D506" s="24" t="inlineStr">
        <is>
          <t>10</t>
        </is>
      </c>
      <c r="E506" s="24" t="inlineStr">
        <is>
          <t>表</t>
        </is>
      </c>
    </row>
    <row r="507">
      <c r="B507" s="24" t="inlineStr">
        <is>
          <t>DOClass</t>
        </is>
      </c>
      <c r="C507" s="24" t="inlineStr">
        <is>
          <t>数据对象类别</t>
        </is>
      </c>
      <c r="D507" s="24" t="inlineStr">
        <is>
          <t>20</t>
        </is>
      </c>
      <c r="E507" s="24" t="inlineStr">
        <is>
          <t>视图</t>
        </is>
      </c>
    </row>
    <row r="508">
      <c r="B508" s="24" t="inlineStr">
        <is>
          <t>DOClass</t>
        </is>
      </c>
      <c r="C508" s="24" t="inlineStr">
        <is>
          <t>数据对象类别</t>
        </is>
      </c>
      <c r="D508" s="24" t="inlineStr">
        <is>
          <t>30</t>
        </is>
      </c>
      <c r="E508" s="24" t="inlineStr">
        <is>
          <t>SQL</t>
        </is>
      </c>
    </row>
    <row r="509" ht="15.95" customHeight="1" s="170">
      <c r="B509" s="122" t="inlineStr">
        <is>
          <t>码值：FundInvestmentType</t>
        </is>
      </c>
    </row>
    <row r="510">
      <c r="B510" s="24" t="inlineStr">
        <is>
          <t>FundInvestmentType</t>
        </is>
      </c>
      <c r="C510" s="24" t="inlineStr">
        <is>
          <t>基金投资类型</t>
        </is>
      </c>
      <c r="D510" s="24" t="inlineStr">
        <is>
          <t>01</t>
        </is>
      </c>
      <c r="E510" s="24" t="inlineStr">
        <is>
          <t>股票基金</t>
        </is>
      </c>
    </row>
    <row r="511">
      <c r="B511" s="24" t="inlineStr">
        <is>
          <t>FundInvestmentType</t>
        </is>
      </c>
      <c r="C511" s="24" t="inlineStr">
        <is>
          <t>基金投资类型</t>
        </is>
      </c>
      <c r="D511" s="24" t="inlineStr">
        <is>
          <t>02</t>
        </is>
      </c>
      <c r="E511" s="24" t="inlineStr">
        <is>
          <t>债券基金</t>
        </is>
      </c>
    </row>
    <row r="512">
      <c r="B512" s="24" t="inlineStr">
        <is>
          <t>FundInvestmentType</t>
        </is>
      </c>
      <c r="C512" s="24" t="inlineStr">
        <is>
          <t>基金投资类型</t>
        </is>
      </c>
      <c r="D512" s="24" t="inlineStr">
        <is>
          <t>03</t>
        </is>
      </c>
      <c r="E512" s="24" t="inlineStr">
        <is>
          <t>货币市场基金</t>
        </is>
      </c>
    </row>
    <row r="513">
      <c r="B513" s="24" t="inlineStr">
        <is>
          <t>FundInvestmentType</t>
        </is>
      </c>
      <c r="C513" s="24" t="inlineStr">
        <is>
          <t>基金投资类型</t>
        </is>
      </c>
      <c r="D513" s="24" t="inlineStr">
        <is>
          <t>04</t>
        </is>
      </c>
      <c r="E513" s="24" t="inlineStr">
        <is>
          <t>期货基金</t>
        </is>
      </c>
    </row>
    <row r="514">
      <c r="B514" s="24" t="inlineStr">
        <is>
          <t>FundInvestmentType</t>
        </is>
      </c>
      <c r="C514" s="24" t="inlineStr">
        <is>
          <t>基金投资类型</t>
        </is>
      </c>
      <c r="D514" s="24" t="inlineStr">
        <is>
          <t>05</t>
        </is>
      </c>
      <c r="E514" s="24" t="inlineStr">
        <is>
          <t>其他</t>
        </is>
      </c>
    </row>
    <row r="515" ht="15.95" customHeight="1" s="170">
      <c r="B515" s="122" t="inlineStr">
        <is>
          <t>码值：AgencyApplyMain</t>
        </is>
      </c>
    </row>
    <row r="516">
      <c r="B516" s="24" t="inlineStr">
        <is>
          <t>AgencyApplyMain</t>
        </is>
      </c>
      <c r="C516" s="24" t="inlineStr">
        <is>
          <t>评价调查申请主树图</t>
        </is>
      </c>
      <c r="D516" s="24" t="inlineStr">
        <is>
          <t>1010</t>
        </is>
      </c>
      <c r="E516" s="24" t="inlineStr">
        <is>
          <t>待处理申请</t>
        </is>
      </c>
    </row>
    <row r="517">
      <c r="B517" s="24" t="inlineStr">
        <is>
          <t>AgencyApplyMain</t>
        </is>
      </c>
      <c r="C517" s="24" t="inlineStr">
        <is>
          <t>评价调查申请主树图</t>
        </is>
      </c>
      <c r="D517" s="24" t="inlineStr">
        <is>
          <t>1020</t>
        </is>
      </c>
      <c r="E517" s="24" t="inlineStr">
        <is>
          <t>审批中</t>
        </is>
      </c>
    </row>
    <row r="518">
      <c r="B518" s="24" t="inlineStr">
        <is>
          <t>AgencyApplyMain</t>
        </is>
      </c>
      <c r="C518" s="24" t="inlineStr">
        <is>
          <t>评价调查申请主树图</t>
        </is>
      </c>
      <c r="D518" s="24" t="inlineStr">
        <is>
          <t>1040,1050</t>
        </is>
      </c>
      <c r="E518" s="24" t="inlineStr">
        <is>
          <t>处理完成</t>
        </is>
      </c>
    </row>
    <row r="519" ht="15.95" customHeight="1" s="170">
      <c r="B519" s="122" t="inlineStr">
        <is>
          <t>码值：增加的总产品数</t>
        </is>
      </c>
    </row>
    <row r="520">
      <c r="B520" s="24" t="inlineStr">
        <is>
          <t>增加的总产品数</t>
        </is>
      </c>
      <c r="C520" s="24" t="inlineStr">
        <is>
          <t>增加的总产品数</t>
        </is>
      </c>
      <c r="D520" s="24" t="inlineStr">
        <is>
          <t>1</t>
        </is>
      </c>
      <c r="E520" s="24" t="inlineStr">
        <is>
          <t>-1</t>
        </is>
      </c>
    </row>
    <row r="521">
      <c r="B521" s="24" t="inlineStr">
        <is>
          <t>增加的总产品数</t>
        </is>
      </c>
      <c r="C521" s="24" t="inlineStr">
        <is>
          <t>增加的总产品数</t>
        </is>
      </c>
      <c r="D521" s="24" t="inlineStr">
        <is>
          <t>2</t>
        </is>
      </c>
      <c r="E521" s="24" t="inlineStr">
        <is>
          <t>0</t>
        </is>
      </c>
    </row>
    <row r="522">
      <c r="B522" s="24" t="inlineStr">
        <is>
          <t>增加的总产品数</t>
        </is>
      </c>
      <c r="C522" s="24" t="inlineStr">
        <is>
          <t>增加的总产品数</t>
        </is>
      </c>
      <c r="D522" s="24" t="inlineStr">
        <is>
          <t>3</t>
        </is>
      </c>
      <c r="E522" s="24" t="inlineStr">
        <is>
          <t>1</t>
        </is>
      </c>
    </row>
    <row r="523">
      <c r="B523" s="24" t="inlineStr">
        <is>
          <t>增加的总产品数</t>
        </is>
      </c>
      <c r="C523" s="24" t="inlineStr">
        <is>
          <t>增加的总产品数</t>
        </is>
      </c>
      <c r="D523" s="24" t="inlineStr">
        <is>
          <t>4</t>
        </is>
      </c>
      <c r="E523" s="24" t="inlineStr">
        <is>
          <t>2</t>
        </is>
      </c>
    </row>
    <row r="524" ht="15.95" customHeight="1" s="170">
      <c r="B524" s="122" t="inlineStr">
        <is>
          <t>码值：EdocModelStatus</t>
        </is>
      </c>
    </row>
    <row r="525">
      <c r="B525" s="24" t="inlineStr">
        <is>
          <t>EdocModelStatus</t>
        </is>
      </c>
      <c r="C525" s="24" t="inlineStr">
        <is>
          <t>电子合同模板类型</t>
        </is>
      </c>
      <c r="D525" s="24" t="inlineStr">
        <is>
          <t>DISABLE</t>
        </is>
      </c>
      <c r="E525" s="24" t="inlineStr">
        <is>
          <t>不可用</t>
        </is>
      </c>
    </row>
    <row r="526">
      <c r="B526" s="24" t="inlineStr">
        <is>
          <t>EdocModelStatus</t>
        </is>
      </c>
      <c r="C526" s="24" t="inlineStr">
        <is>
          <t>电子合同模板类型</t>
        </is>
      </c>
      <c r="D526" s="24" t="inlineStr">
        <is>
          <t>ENABLE</t>
        </is>
      </c>
      <c r="E526" s="24" t="inlineStr">
        <is>
          <t>正常</t>
        </is>
      </c>
    </row>
    <row r="527">
      <c r="B527" s="24" t="inlineStr">
        <is>
          <t>EdocModelStatus</t>
        </is>
      </c>
      <c r="C527" s="24" t="inlineStr">
        <is>
          <t>电子合同模板类型</t>
        </is>
      </c>
      <c r="D527" s="24" t="inlineStr">
        <is>
          <t>HISTORY</t>
        </is>
      </c>
      <c r="E527" s="24" t="inlineStr">
        <is>
          <t>作废</t>
        </is>
      </c>
    </row>
    <row r="528">
      <c r="B528" s="24" t="inlineStr">
        <is>
          <t>EdocModelStatus</t>
        </is>
      </c>
      <c r="C528" s="24" t="inlineStr">
        <is>
          <t>电子合同模板类型</t>
        </is>
      </c>
      <c r="D528" s="24" t="inlineStr">
        <is>
          <t>PAUSE</t>
        </is>
      </c>
      <c r="E528" s="24" t="inlineStr">
        <is>
          <t>停用</t>
        </is>
      </c>
    </row>
    <row r="529" ht="15.95" customHeight="1" s="170">
      <c r="B529" s="122" t="inlineStr">
        <is>
          <t>码值：MarketCompetitionStatus</t>
        </is>
      </c>
    </row>
    <row r="530">
      <c r="B530" s="24" t="inlineStr">
        <is>
          <t>MarketCompetitionStatus</t>
        </is>
      </c>
      <c r="C530" s="24" t="inlineStr">
        <is>
          <t>信用等级评估统一导入</t>
        </is>
      </c>
      <c r="D530" s="24" t="inlineStr">
        <is>
          <t>1</t>
        </is>
      </c>
      <c r="E530" s="24" t="inlineStr">
        <is>
          <t>垄断</t>
        </is>
      </c>
    </row>
    <row r="531">
      <c r="B531" s="24" t="inlineStr">
        <is>
          <t>MarketCompetitionStatus</t>
        </is>
      </c>
      <c r="C531" s="24" t="inlineStr">
        <is>
          <t>信用等级评估统一导入</t>
        </is>
      </c>
      <c r="D531" s="24" t="inlineStr">
        <is>
          <t>2</t>
        </is>
      </c>
      <c r="E531" s="24" t="inlineStr">
        <is>
          <t>一般</t>
        </is>
      </c>
    </row>
    <row r="532">
      <c r="B532" s="24" t="inlineStr">
        <is>
          <t>MarketCompetitionStatus</t>
        </is>
      </c>
      <c r="C532" s="24" t="inlineStr">
        <is>
          <t>信用等级评估统一导入</t>
        </is>
      </c>
      <c r="D532" s="24" t="inlineStr">
        <is>
          <t>3</t>
        </is>
      </c>
      <c r="E532" s="24" t="inlineStr">
        <is>
          <t>激烈</t>
        </is>
      </c>
    </row>
    <row r="533" ht="15.95" customHeight="1" s="170">
      <c r="B533" s="122" t="inlineStr">
        <is>
          <t>码值：IndCreditRecord</t>
        </is>
      </c>
    </row>
    <row r="534">
      <c r="B534" s="24" t="inlineStr">
        <is>
          <t>IndCreditRecord</t>
        </is>
      </c>
      <c r="C534" s="24" t="inlineStr">
        <is>
          <t>信用等级评估统一导入</t>
        </is>
      </c>
      <c r="D534" s="24" t="inlineStr">
        <is>
          <t>01</t>
        </is>
      </c>
      <c r="E534" s="24" t="inlineStr">
        <is>
          <t>无记录</t>
        </is>
      </c>
    </row>
    <row r="535">
      <c r="B535" s="24" t="inlineStr">
        <is>
          <t>IndCreditRecord</t>
        </is>
      </c>
      <c r="C535" s="24" t="inlineStr">
        <is>
          <t>信用等级评估统一导入</t>
        </is>
      </c>
      <c r="D535" s="24" t="inlineStr">
        <is>
          <t>02</t>
        </is>
      </c>
      <c r="E535" s="24" t="inlineStr">
        <is>
          <t>无失信</t>
        </is>
      </c>
    </row>
    <row r="536">
      <c r="B536" s="24" t="inlineStr">
        <is>
          <t>IndCreditRecord</t>
        </is>
      </c>
      <c r="C536" s="24" t="inlineStr">
        <is>
          <t>信用等级评估统一导入</t>
        </is>
      </c>
      <c r="D536" s="24" t="inlineStr">
        <is>
          <t>03</t>
        </is>
      </c>
      <c r="E536" s="24" t="inlineStr">
        <is>
          <t>有失信记录</t>
        </is>
      </c>
    </row>
    <row r="537" ht="15.95" customHeight="1" s="170">
      <c r="B537" s="122" t="inlineStr">
        <is>
          <t>码值：AuditQueryDetail</t>
        </is>
      </c>
    </row>
    <row r="538">
      <c r="B538" s="24" t="inlineStr">
        <is>
          <t>AuditQueryDetail</t>
        </is>
      </c>
      <c r="C538" s="24" t="inlineStr">
        <is>
          <t>安全审计主树图</t>
        </is>
      </c>
      <c r="D538" s="24" t="inlineStr">
        <is>
          <t>010</t>
        </is>
      </c>
      <c r="E538" s="24" t="inlineStr">
        <is>
          <t>安全信息汇总</t>
        </is>
      </c>
    </row>
    <row r="539">
      <c r="B539" s="24" t="inlineStr">
        <is>
          <t>AuditQueryDetail</t>
        </is>
      </c>
      <c r="C539" s="24" t="inlineStr">
        <is>
          <t>安全审计主树图</t>
        </is>
      </c>
      <c r="D539" s="24" t="inlineStr">
        <is>
          <t>020</t>
        </is>
      </c>
      <c r="E539" s="24" t="inlineStr">
        <is>
          <t>用户登陆情况</t>
        </is>
      </c>
    </row>
    <row r="540">
      <c r="B540" s="24" t="inlineStr">
        <is>
          <t>AuditQueryDetail</t>
        </is>
      </c>
      <c r="C540" s="24" t="inlineStr">
        <is>
          <t>安全审计主树图</t>
        </is>
      </c>
      <c r="D540" s="24" t="inlineStr">
        <is>
          <t>030</t>
        </is>
      </c>
      <c r="E540" s="24" t="inlineStr">
        <is>
          <t>当日页面访问情况</t>
        </is>
      </c>
    </row>
    <row r="541">
      <c r="B541" s="24" t="inlineStr">
        <is>
          <t>AuditQueryDetail</t>
        </is>
      </c>
      <c r="C541" s="24" t="inlineStr">
        <is>
          <t>安全审计主树图</t>
        </is>
      </c>
      <c r="D541" s="24" t="inlineStr">
        <is>
          <t>040</t>
        </is>
      </c>
      <c r="E541" s="24" t="inlineStr">
        <is>
          <t>历史页面访问情况</t>
        </is>
      </c>
    </row>
    <row r="542">
      <c r="B542" s="24" t="inlineStr">
        <is>
          <t>AuditQueryDetail</t>
        </is>
      </c>
      <c r="C542" s="24" t="inlineStr">
        <is>
          <t>安全审计主树图</t>
        </is>
      </c>
      <c r="D542" s="24" t="inlineStr">
        <is>
          <t>050</t>
        </is>
      </c>
      <c r="E542" s="24" t="inlineStr">
        <is>
          <t>用户角色变更情况</t>
        </is>
      </c>
    </row>
    <row r="543">
      <c r="B543" s="24" t="inlineStr">
        <is>
          <t>AuditQueryDetail</t>
        </is>
      </c>
      <c r="C543" s="24" t="inlineStr">
        <is>
          <t>安全审计主树图</t>
        </is>
      </c>
      <c r="D543" s="24" t="inlineStr">
        <is>
          <t>055</t>
        </is>
      </c>
      <c r="E543" s="24" t="inlineStr">
        <is>
          <t>用户登录信息一览</t>
        </is>
      </c>
    </row>
    <row r="544">
      <c r="B544" s="24" t="inlineStr">
        <is>
          <t>AuditQueryDetail</t>
        </is>
      </c>
      <c r="C544" s="24" t="inlineStr">
        <is>
          <t>安全审计主树图</t>
        </is>
      </c>
      <c r="D544" s="24" t="inlineStr">
        <is>
          <t>060</t>
        </is>
      </c>
      <c r="E544" s="24" t="inlineStr">
        <is>
          <t>安全选项设置</t>
        </is>
      </c>
    </row>
    <row r="545">
      <c r="B545" s="24" t="inlineStr">
        <is>
          <t>AuditQueryDetail</t>
        </is>
      </c>
      <c r="C545" s="24" t="inlineStr">
        <is>
          <t>安全审计主树图</t>
        </is>
      </c>
      <c r="D545" s="24" t="inlineStr">
        <is>
          <t>06010</t>
        </is>
      </c>
      <c r="E545" s="24" t="inlineStr">
        <is>
          <t>密码校验规则</t>
        </is>
      </c>
    </row>
    <row r="546">
      <c r="B546" s="24" t="inlineStr">
        <is>
          <t>AuditQueryDetail</t>
        </is>
      </c>
      <c r="C546" s="24" t="inlineStr">
        <is>
          <t>安全审计主树图</t>
        </is>
      </c>
      <c r="D546" s="24" t="inlineStr">
        <is>
          <t>06030</t>
        </is>
      </c>
      <c r="E546" s="24" t="inlineStr">
        <is>
          <t>强制更新规则</t>
        </is>
      </c>
    </row>
    <row r="547">
      <c r="B547" s="24" t="inlineStr">
        <is>
          <t>AuditQueryDetail</t>
        </is>
      </c>
      <c r="C547" s="24" t="inlineStr">
        <is>
          <t>安全审计主树图</t>
        </is>
      </c>
      <c r="D547" s="24" t="inlineStr">
        <is>
          <t>06040</t>
        </is>
      </c>
      <c r="E547" s="24" t="inlineStr">
        <is>
          <t>错误锁定设置</t>
        </is>
      </c>
    </row>
    <row r="548">
      <c r="B548" s="24" t="inlineStr">
        <is>
          <t>AuditQueryDetail</t>
        </is>
      </c>
      <c r="C548" s="24" t="inlineStr">
        <is>
          <t>安全审计主树图</t>
        </is>
      </c>
      <c r="D548" s="24" t="inlineStr">
        <is>
          <t>06050</t>
        </is>
      </c>
      <c r="E548" s="24" t="inlineStr">
        <is>
          <t>用户角色设置</t>
        </is>
      </c>
    </row>
    <row r="549">
      <c r="B549" s="24" t="inlineStr">
        <is>
          <t>AuditQueryDetail</t>
        </is>
      </c>
      <c r="C549" s="24" t="inlineStr">
        <is>
          <t>安全审计主树图</t>
        </is>
      </c>
      <c r="D549" s="24" t="inlineStr">
        <is>
          <t>065</t>
        </is>
      </c>
      <c r="E549" s="24" t="inlineStr">
        <is>
          <t>安全选项查看</t>
        </is>
      </c>
    </row>
    <row r="550">
      <c r="B550" s="24" t="inlineStr">
        <is>
          <t>AuditQueryDetail</t>
        </is>
      </c>
      <c r="C550" s="24" t="inlineStr">
        <is>
          <t>安全审计主树图</t>
        </is>
      </c>
      <c r="D550" s="24" t="inlineStr">
        <is>
          <t>070</t>
        </is>
      </c>
      <c r="E550" s="24" t="inlineStr">
        <is>
          <t>安全选项变更情况</t>
        </is>
      </c>
    </row>
    <row r="551" ht="15.95" customHeight="1" s="170">
      <c r="B551" s="122" t="inlineStr">
        <is>
          <t>码值：CorpusPayMethod</t>
        </is>
      </c>
    </row>
    <row r="552">
      <c r="B552" s="24" t="inlineStr">
        <is>
          <t>CorpusPayMethod</t>
        </is>
      </c>
      <c r="C552" s="24" t="inlineStr">
        <is>
          <t>还款方式</t>
        </is>
      </c>
      <c r="D552" s="24" t="inlineStr">
        <is>
          <t>RPT-01</t>
        </is>
      </c>
      <c r="E552" s="24" t="inlineStr">
        <is>
          <t>等额本息</t>
        </is>
      </c>
    </row>
    <row r="553">
      <c r="B553" s="24" t="inlineStr">
        <is>
          <t>CorpusPayMethod</t>
        </is>
      </c>
      <c r="C553" s="24" t="inlineStr">
        <is>
          <t>还款方式</t>
        </is>
      </c>
      <c r="D553" s="24" t="inlineStr">
        <is>
          <t>RPT-02</t>
        </is>
      </c>
      <c r="E553" s="24" t="inlineStr">
        <is>
          <t>等额本金</t>
        </is>
      </c>
    </row>
    <row r="554">
      <c r="B554" s="24" t="inlineStr">
        <is>
          <t>CorpusPayMethod</t>
        </is>
      </c>
      <c r="C554" s="24" t="inlineStr">
        <is>
          <t>还款方式</t>
        </is>
      </c>
      <c r="D554" s="24" t="inlineStr">
        <is>
          <t>RPT-03</t>
        </is>
      </c>
      <c r="E554" s="24" t="inlineStr">
        <is>
          <t>一次还本付息</t>
        </is>
      </c>
    </row>
    <row r="555">
      <c r="B555" s="24" t="inlineStr">
        <is>
          <t>CorpusPayMethod</t>
        </is>
      </c>
      <c r="C555" s="24" t="inlineStr">
        <is>
          <t>还款方式</t>
        </is>
      </c>
      <c r="D555" s="24" t="inlineStr">
        <is>
          <t>RPT-04</t>
        </is>
      </c>
      <c r="E555" s="24" t="inlineStr">
        <is>
          <t>按期付息一次还本</t>
        </is>
      </c>
    </row>
    <row r="556">
      <c r="B556" s="24" t="inlineStr">
        <is>
          <t>CorpusPayMethod</t>
        </is>
      </c>
      <c r="C556" s="24" t="inlineStr">
        <is>
          <t>还款方式</t>
        </is>
      </c>
      <c r="D556" s="24" t="inlineStr">
        <is>
          <t>RPT-05</t>
        </is>
      </c>
      <c r="E556" s="24" t="inlineStr">
        <is>
          <t>等额递增/递减</t>
        </is>
      </c>
    </row>
    <row r="557">
      <c r="B557" s="24" t="inlineStr">
        <is>
          <t>CorpusPayMethod</t>
        </is>
      </c>
      <c r="C557" s="24" t="inlineStr">
        <is>
          <t>还款方式</t>
        </is>
      </c>
      <c r="D557" s="24" t="inlineStr">
        <is>
          <t>RPT-06</t>
        </is>
      </c>
      <c r="E557" s="24" t="inlineStr">
        <is>
          <t>等比递增/递减</t>
        </is>
      </c>
    </row>
    <row r="558" ht="15.95" customHeight="1" s="170">
      <c r="B558" s="122" t="inlineStr">
        <is>
          <t>码值：ProjectDetail</t>
        </is>
      </c>
    </row>
    <row r="559">
      <c r="B559" s="24" t="inlineStr">
        <is>
          <t>ProjectDetail</t>
        </is>
      </c>
      <c r="C559" s="24" t="inlineStr">
        <is>
          <t>项目信息</t>
        </is>
      </c>
      <c r="D559" s="24" t="inlineStr">
        <is>
          <t>01</t>
        </is>
      </c>
      <c r="E559" s="24" t="inlineStr">
        <is>
          <t>项目概况</t>
        </is>
      </c>
    </row>
    <row r="560">
      <c r="B560" s="24" t="inlineStr">
        <is>
          <t>ProjectDetail</t>
        </is>
      </c>
      <c r="C560" s="24" t="inlineStr">
        <is>
          <t>项目信息</t>
        </is>
      </c>
      <c r="D560" s="24" t="inlineStr">
        <is>
          <t>02</t>
        </is>
      </c>
      <c r="E560" s="24" t="inlineStr">
        <is>
          <t>项目资金来源</t>
        </is>
      </c>
    </row>
    <row r="561">
      <c r="B561" s="24" t="inlineStr">
        <is>
          <t>ProjectDetail</t>
        </is>
      </c>
      <c r="C561" s="24" t="inlineStr">
        <is>
          <t>项目信息</t>
        </is>
      </c>
      <c r="D561" s="24" t="inlineStr">
        <is>
          <t>03</t>
        </is>
      </c>
      <c r="E561" s="24" t="inlineStr">
        <is>
          <t>项目进展情况</t>
        </is>
      </c>
    </row>
    <row r="562">
      <c r="B562" s="24" t="inlineStr">
        <is>
          <t>ProjectDetail</t>
        </is>
      </c>
      <c r="C562" s="24" t="inlineStr">
        <is>
          <t>项目信息</t>
        </is>
      </c>
      <c r="D562" s="24" t="inlineStr">
        <is>
          <t>04</t>
        </is>
      </c>
      <c r="E562" s="24" t="inlineStr">
        <is>
          <t>项目投入产出概算</t>
        </is>
      </c>
    </row>
    <row r="563">
      <c r="B563" s="24" t="inlineStr">
        <is>
          <t>ProjectDetail</t>
        </is>
      </c>
      <c r="C563" s="24" t="inlineStr">
        <is>
          <t>项目信息</t>
        </is>
      </c>
      <c r="D563" s="24" t="inlineStr">
        <is>
          <t>05</t>
        </is>
      </c>
      <c r="E563" s="24" t="inlineStr">
        <is>
          <t>返回</t>
        </is>
      </c>
    </row>
    <row r="564" ht="15.95" customHeight="1" s="170">
      <c r="B564" s="122" t="inlineStr">
        <is>
          <t>码值：LoanBusinessStatus</t>
        </is>
      </c>
    </row>
    <row r="565">
      <c r="B565" s="24" t="inlineStr">
        <is>
          <t>LoanBusinessStatus</t>
        </is>
      </c>
      <c r="C565" s="24" t="inlineStr">
        <is>
          <t>业务状态</t>
        </is>
      </c>
      <c r="D565" s="24" t="inlineStr">
        <is>
          <t>0</t>
        </is>
      </c>
      <c r="E565" s="24" t="inlineStr">
        <is>
          <t>正常</t>
        </is>
      </c>
    </row>
    <row r="566">
      <c r="B566" s="24" t="inlineStr">
        <is>
          <t>LoanBusinessStatus</t>
        </is>
      </c>
      <c r="C566" s="24" t="inlineStr">
        <is>
          <t>业务状态</t>
        </is>
      </c>
      <c r="D566" s="24" t="inlineStr">
        <is>
          <t>1</t>
        </is>
      </c>
      <c r="E566" s="24" t="inlineStr">
        <is>
          <t>已核销</t>
        </is>
      </c>
    </row>
    <row r="567">
      <c r="B567" s="24" t="inlineStr">
        <is>
          <t>LoanBusinessStatus</t>
        </is>
      </c>
      <c r="C567" s="24" t="inlineStr">
        <is>
          <t>业务状态</t>
        </is>
      </c>
      <c r="D567" s="24" t="inlineStr">
        <is>
          <t>2</t>
        </is>
      </c>
      <c r="E567" s="24" t="inlineStr">
        <is>
          <t>已售出</t>
        </is>
      </c>
    </row>
    <row r="568" ht="15.95" customHeight="1" s="170">
      <c r="B568" s="122" t="inlineStr">
        <is>
          <t>码值：LoadGuarantyApply1Main</t>
        </is>
      </c>
    </row>
    <row r="569">
      <c r="B569" s="24" t="inlineStr">
        <is>
          <t>LoadGuarantyApply1Main</t>
        </is>
      </c>
      <c r="C569" s="24" t="inlineStr">
        <is>
          <t>LoadGuaranty申请主树图</t>
        </is>
      </c>
      <c r="D569" s="24" t="inlineStr">
        <is>
          <t>1010</t>
        </is>
      </c>
      <c r="E569" s="24" t="inlineStr">
        <is>
          <t>待处理的申请</t>
        </is>
      </c>
    </row>
    <row r="570">
      <c r="B570" s="24" t="inlineStr">
        <is>
          <t>LoadGuarantyApply1Main</t>
        </is>
      </c>
      <c r="C570" s="24" t="inlineStr">
        <is>
          <t>LoadGuaranty申请主树图</t>
        </is>
      </c>
      <c r="D570" s="24" t="inlineStr">
        <is>
          <t>1020</t>
        </is>
      </c>
      <c r="E570" s="24" t="inlineStr">
        <is>
          <t>审查审批中的申请</t>
        </is>
      </c>
    </row>
    <row r="571">
      <c r="B571" s="24" t="inlineStr">
        <is>
          <t>LoadGuarantyApply1Main</t>
        </is>
      </c>
      <c r="C571" s="24" t="inlineStr">
        <is>
          <t>LoadGuaranty申请主树图</t>
        </is>
      </c>
      <c r="D571" s="24" t="inlineStr">
        <is>
          <t>1030</t>
        </is>
      </c>
      <c r="E571" s="24" t="inlineStr">
        <is>
          <t>审批通过的申请</t>
        </is>
      </c>
    </row>
    <row r="572">
      <c r="B572" s="24" t="inlineStr">
        <is>
          <t>LoadGuarantyApply1Main</t>
        </is>
      </c>
      <c r="C572" s="24" t="inlineStr">
        <is>
          <t>LoadGuaranty申请主树图</t>
        </is>
      </c>
      <c r="D572" s="24" t="inlineStr">
        <is>
          <t>1040</t>
        </is>
      </c>
      <c r="E572" s="24" t="inlineStr">
        <is>
          <t>被否决的申请</t>
        </is>
      </c>
    </row>
    <row r="573" ht="15.95" customHeight="1" s="170">
      <c r="B573" s="122" t="inlineStr">
        <is>
          <t>码值：RateAdjustType</t>
        </is>
      </c>
    </row>
    <row r="574">
      <c r="B574" s="24" t="inlineStr">
        <is>
          <t>RateAdjustType</t>
        </is>
      </c>
      <c r="C574" s="24" t="inlineStr">
        <is>
          <t>利率调整方式</t>
        </is>
      </c>
      <c r="D574" s="24" t="inlineStr">
        <is>
          <t>01</t>
        </is>
      </c>
      <c r="E574" s="24" t="inlineStr">
        <is>
          <t>立即</t>
        </is>
      </c>
    </row>
    <row r="575">
      <c r="B575" s="24" t="inlineStr">
        <is>
          <t>RateAdjustType</t>
        </is>
      </c>
      <c r="C575" s="24" t="inlineStr">
        <is>
          <t>利率调整方式</t>
        </is>
      </c>
      <c r="D575" s="24" t="inlineStr">
        <is>
          <t>02</t>
        </is>
      </c>
      <c r="E575" s="24" t="inlineStr">
        <is>
          <t>次年初</t>
        </is>
      </c>
    </row>
    <row r="576">
      <c r="B576" s="24" t="inlineStr">
        <is>
          <t>RateAdjustType</t>
        </is>
      </c>
      <c r="C576" s="24" t="inlineStr">
        <is>
          <t>利率调整方式</t>
        </is>
      </c>
      <c r="D576" s="24" t="inlineStr">
        <is>
          <t>03</t>
        </is>
      </c>
      <c r="E576" s="24" t="inlineStr">
        <is>
          <t>次年对月对日</t>
        </is>
      </c>
    </row>
    <row r="577">
      <c r="B577" s="24" t="inlineStr">
        <is>
          <t>RateAdjustType</t>
        </is>
      </c>
      <c r="C577" s="24" t="inlineStr">
        <is>
          <t>利率调整方式</t>
        </is>
      </c>
      <c r="D577" s="24" t="inlineStr">
        <is>
          <t>04</t>
        </is>
      </c>
      <c r="E577" s="24" t="inlineStr">
        <is>
          <t>按月调</t>
        </is>
      </c>
    </row>
    <row r="578">
      <c r="B578" s="24" t="inlineStr">
        <is>
          <t>RateAdjustType</t>
        </is>
      </c>
      <c r="C578" s="24" t="inlineStr">
        <is>
          <t>利率调整方式</t>
        </is>
      </c>
      <c r="D578" s="24" t="inlineStr">
        <is>
          <t>05</t>
        </is>
      </c>
      <c r="E578" s="24" t="inlineStr">
        <is>
          <t>下一还款日调整</t>
        </is>
      </c>
    </row>
    <row r="579" ht="15.95" customHeight="1" s="170">
      <c r="B579" s="122" t="inlineStr">
        <is>
          <t>码值：VoucherPrintMain</t>
        </is>
      </c>
    </row>
    <row r="580">
      <c r="B580" s="24" t="inlineStr">
        <is>
          <t>VoucherPrintMain</t>
        </is>
      </c>
      <c r="C580" s="24" t="inlineStr">
        <is>
          <t>凭证打印主树图</t>
        </is>
      </c>
      <c r="D580" s="24" t="inlineStr">
        <is>
          <t>0010</t>
        </is>
      </c>
      <c r="E580" s="24" t="inlineStr">
        <is>
          <t>会计凭证</t>
        </is>
      </c>
    </row>
    <row r="581">
      <c r="B581" s="24" t="inlineStr">
        <is>
          <t>VoucherPrintMain</t>
        </is>
      </c>
      <c r="C581" s="24" t="inlineStr">
        <is>
          <t>凭证打印主树图</t>
        </is>
      </c>
      <c r="D581" s="24" t="inlineStr">
        <is>
          <t>0020</t>
        </is>
      </c>
      <c r="E581" s="24" t="inlineStr">
        <is>
          <t>还款凭证</t>
        </is>
      </c>
    </row>
    <row r="582">
      <c r="B582" s="24" t="inlineStr">
        <is>
          <t>VoucherPrintMain</t>
        </is>
      </c>
      <c r="C582" s="24" t="inlineStr">
        <is>
          <t>凭证打印主树图</t>
        </is>
      </c>
      <c r="D582" s="24" t="inlineStr">
        <is>
          <t>0030</t>
        </is>
      </c>
      <c r="E582" s="24" t="inlineStr">
        <is>
          <t>还款计划</t>
        </is>
      </c>
    </row>
    <row r="583">
      <c r="B583" s="24" t="inlineStr">
        <is>
          <t>VoucherPrintMain</t>
        </is>
      </c>
      <c r="C583" s="24" t="inlineStr">
        <is>
          <t>凭证打印主树图</t>
        </is>
      </c>
      <c r="D583" s="24" t="inlineStr">
        <is>
          <t>0040</t>
        </is>
      </c>
      <c r="E583" s="24" t="inlineStr">
        <is>
          <t>借据打印</t>
        </is>
      </c>
    </row>
    <row r="584" ht="15.95" customHeight="1" s="170">
      <c r="B584" s="122" t="inlineStr">
        <is>
          <t>码值：RelatedEnterpriseCondition</t>
        </is>
      </c>
    </row>
    <row r="585">
      <c r="B585" s="24" t="inlineStr">
        <is>
          <t>RelatedEnterpriseCondition</t>
        </is>
      </c>
      <c r="C585" s="24" t="inlineStr">
        <is>
          <t>信用等级评估统一导入</t>
        </is>
      </c>
      <c r="D585" s="24" t="inlineStr">
        <is>
          <t>01</t>
        </is>
      </c>
      <c r="E585" s="24" t="inlineStr">
        <is>
          <t>无关联企业</t>
        </is>
      </c>
    </row>
    <row r="586">
      <c r="B586" s="24" t="inlineStr">
        <is>
          <t>RelatedEnterpriseCondition</t>
        </is>
      </c>
      <c r="C586" s="24" t="inlineStr">
        <is>
          <t>信用等级评估统一导入</t>
        </is>
      </c>
      <c r="D586" s="24" t="inlineStr">
        <is>
          <t>02</t>
        </is>
      </c>
      <c r="E586" s="24" t="inlineStr">
        <is>
          <t>关联企业风险程度很低</t>
        </is>
      </c>
    </row>
    <row r="587">
      <c r="B587" s="24" t="inlineStr">
        <is>
          <t>RelatedEnterpriseCondition</t>
        </is>
      </c>
      <c r="C587" s="24" t="inlineStr">
        <is>
          <t>信用等级评估统一导入</t>
        </is>
      </c>
      <c r="D587" s="24" t="inlineStr">
        <is>
          <t>03</t>
        </is>
      </c>
      <c r="E587" s="24" t="inlineStr">
        <is>
          <t>关联企业存在一定风险</t>
        </is>
      </c>
    </row>
    <row r="588">
      <c r="B588" s="24" t="inlineStr">
        <is>
          <t>RelatedEnterpriseCondition</t>
        </is>
      </c>
      <c r="C588" s="24" t="inlineStr">
        <is>
          <t>信用等级评估统一导入</t>
        </is>
      </c>
      <c r="D588" s="24" t="inlineStr">
        <is>
          <t>04</t>
        </is>
      </c>
      <c r="E588" s="24" t="inlineStr">
        <is>
          <t>关联企业风险较高</t>
        </is>
      </c>
    </row>
    <row r="589">
      <c r="B589" s="24" t="inlineStr">
        <is>
          <t>RelatedEnterpriseCondition</t>
        </is>
      </c>
      <c r="C589" s="24" t="inlineStr">
        <is>
          <t>信用等级评估统一导入</t>
        </is>
      </c>
      <c r="D589" s="24" t="inlineStr">
        <is>
          <t>05</t>
        </is>
      </c>
      <c r="E589" s="24" t="inlineStr">
        <is>
          <t>关联企业风险急剧上升或关联企业在各银行出现违约</t>
        </is>
      </c>
    </row>
    <row r="590" ht="15.95" customHeight="1" s="170">
      <c r="B590" s="122" t="inlineStr">
        <is>
          <t>码值：BailType</t>
        </is>
      </c>
    </row>
    <row r="591">
      <c r="B591" s="24" t="inlineStr">
        <is>
          <t>BailType</t>
        </is>
      </c>
      <c r="C591" s="24" t="inlineStr">
        <is>
          <t>保证金类型</t>
        </is>
      </c>
      <c r="D591" s="24" t="inlineStr">
        <is>
          <t>010</t>
        </is>
      </c>
      <c r="E591" s="24" t="inlineStr">
        <is>
          <t>活期</t>
        </is>
      </c>
    </row>
    <row r="592">
      <c r="B592" s="24" t="inlineStr">
        <is>
          <t>BailType</t>
        </is>
      </c>
      <c r="C592" s="24" t="inlineStr">
        <is>
          <t>保证金类型</t>
        </is>
      </c>
      <c r="D592" s="24" t="inlineStr">
        <is>
          <t>020</t>
        </is>
      </c>
      <c r="E592" s="24" t="inlineStr">
        <is>
          <t>定期</t>
        </is>
      </c>
    </row>
    <row r="593" ht="15.95" customHeight="1" s="170">
      <c r="B593" s="122" t="inlineStr">
        <is>
          <t>码值：COLLATERALSTATUS</t>
        </is>
      </c>
    </row>
    <row r="594">
      <c r="B594" s="24" t="inlineStr">
        <is>
          <t>COLLATERALSTATUS</t>
        </is>
      </c>
      <c r="C594" s="24" t="inlineStr">
        <is>
          <t>押品类型</t>
        </is>
      </c>
      <c r="D594" s="24" t="inlineStr">
        <is>
          <t>01</t>
        </is>
      </c>
      <c r="E594" s="24" t="inlineStr">
        <is>
          <t>临时</t>
        </is>
      </c>
    </row>
    <row r="595">
      <c r="B595" s="24" t="inlineStr">
        <is>
          <t>COLLATERALSTATUS</t>
        </is>
      </c>
      <c r="C595" s="24" t="inlineStr">
        <is>
          <t>押品类型</t>
        </is>
      </c>
      <c r="D595" s="24" t="inlineStr">
        <is>
          <t>02</t>
        </is>
      </c>
      <c r="E595" s="24" t="inlineStr">
        <is>
          <t>生效</t>
        </is>
      </c>
    </row>
    <row r="596">
      <c r="B596" s="24" t="inlineStr">
        <is>
          <t>COLLATERALSTATUS</t>
        </is>
      </c>
      <c r="C596" s="24" t="inlineStr">
        <is>
          <t>押品类型</t>
        </is>
      </c>
      <c r="D596" s="24" t="inlineStr">
        <is>
          <t>03</t>
        </is>
      </c>
      <c r="E596" s="24" t="inlineStr">
        <is>
          <t>落实担保</t>
        </is>
      </c>
    </row>
    <row r="597">
      <c r="B597" s="24" t="inlineStr">
        <is>
          <t>COLLATERALSTATUS</t>
        </is>
      </c>
      <c r="C597" s="24" t="inlineStr">
        <is>
          <t>押品类型</t>
        </is>
      </c>
      <c r="D597" s="24" t="inlineStr">
        <is>
          <t>04</t>
        </is>
      </c>
      <c r="E597" s="24" t="inlineStr">
        <is>
          <t>解除担保</t>
        </is>
      </c>
    </row>
    <row r="598">
      <c r="B598" s="24" t="inlineStr">
        <is>
          <t>COLLATERALSTATUS</t>
        </is>
      </c>
      <c r="C598" s="24" t="inlineStr">
        <is>
          <t>押品类型</t>
        </is>
      </c>
      <c r="D598" s="24" t="inlineStr">
        <is>
          <t>05</t>
        </is>
      </c>
      <c r="E598" s="24" t="inlineStr">
        <is>
          <t>终结</t>
        </is>
      </c>
    </row>
    <row r="599">
      <c r="B599" s="24" t="inlineStr">
        <is>
          <t>COLLATERALSTATUS</t>
        </is>
      </c>
      <c r="C599" s="24" t="inlineStr">
        <is>
          <t>押品类型</t>
        </is>
      </c>
      <c r="D599" s="24" t="inlineStr">
        <is>
          <t>06</t>
        </is>
      </c>
      <c r="E599" s="24" t="inlineStr">
        <is>
          <t>处置</t>
        </is>
      </c>
    </row>
    <row r="600" ht="15.95" customHeight="1" s="170">
      <c r="B600" s="122" t="inlineStr">
        <is>
          <t>码值：TermType</t>
        </is>
      </c>
    </row>
    <row r="601">
      <c r="B601" s="24" t="inlineStr">
        <is>
          <t>TermType</t>
        </is>
      </c>
      <c r="C601" s="24" t="inlineStr">
        <is>
          <t>期限申请类型</t>
        </is>
      </c>
      <c r="D601" s="24" t="inlineStr">
        <is>
          <t>01</t>
        </is>
      </c>
      <c r="E601" s="24" t="inlineStr">
        <is>
          <t>基础参数</t>
        </is>
      </c>
    </row>
    <row r="602">
      <c r="B602" s="24" t="inlineStr">
        <is>
          <t>TermType</t>
        </is>
      </c>
      <c r="C602" s="24" t="inlineStr">
        <is>
          <t>期限申请类型</t>
        </is>
      </c>
      <c r="D602" s="24" t="inlineStr">
        <is>
          <t>02</t>
        </is>
      </c>
      <c r="E602" s="24" t="inlineStr">
        <is>
          <t>关联参数</t>
        </is>
      </c>
    </row>
    <row r="603" ht="15.95" customHeight="1" s="170">
      <c r="B603" s="122" t="inlineStr">
        <is>
          <t>码值：SMECreditAge</t>
        </is>
      </c>
    </row>
    <row r="604">
      <c r="B604" s="24" t="inlineStr">
        <is>
          <t>SMECreditAge</t>
        </is>
      </c>
      <c r="C604" s="24" t="inlineStr">
        <is>
          <t>年龄</t>
        </is>
      </c>
      <c r="D604" s="24" t="inlineStr">
        <is>
          <t>01</t>
        </is>
      </c>
      <c r="E604" s="24" t="inlineStr">
        <is>
          <t>18(含)－30周岁</t>
        </is>
      </c>
    </row>
    <row r="605">
      <c r="B605" s="24" t="inlineStr">
        <is>
          <t>SMECreditAge</t>
        </is>
      </c>
      <c r="C605" s="24" t="inlineStr">
        <is>
          <t>年龄</t>
        </is>
      </c>
      <c r="D605" s="24" t="inlineStr">
        <is>
          <t>02</t>
        </is>
      </c>
      <c r="E605" s="24" t="inlineStr">
        <is>
          <t>30(含)－45周岁</t>
        </is>
      </c>
    </row>
    <row r="606">
      <c r="B606" s="24" t="inlineStr">
        <is>
          <t>SMECreditAge</t>
        </is>
      </c>
      <c r="C606" s="24" t="inlineStr">
        <is>
          <t>年龄</t>
        </is>
      </c>
      <c r="D606" s="24" t="inlineStr">
        <is>
          <t>03</t>
        </is>
      </c>
      <c r="E606" s="24" t="inlineStr">
        <is>
          <t>45(含)－60周岁</t>
        </is>
      </c>
    </row>
    <row r="607">
      <c r="B607" s="24" t="inlineStr">
        <is>
          <t>SMECreditAge</t>
        </is>
      </c>
      <c r="C607" s="24" t="inlineStr">
        <is>
          <t>年龄</t>
        </is>
      </c>
      <c r="D607" s="24" t="inlineStr">
        <is>
          <t>04</t>
        </is>
      </c>
      <c r="E607" s="24" t="inlineStr">
        <is>
          <t>60(含)周岁以上</t>
        </is>
      </c>
    </row>
    <row r="608" ht="15.95" customHeight="1" s="170">
      <c r="B608" s="122" t="inlineStr">
        <is>
          <t>码值：事业单位级别</t>
        </is>
      </c>
    </row>
    <row r="609">
      <c r="B609" s="24" t="inlineStr">
        <is>
          <t>事业单位级别</t>
        </is>
      </c>
      <c r="C609" s="24" t="inlineStr">
        <is>
          <t>事业单位级别</t>
        </is>
      </c>
      <c r="D609" s="24" t="inlineStr">
        <is>
          <t>101</t>
        </is>
      </c>
      <c r="E609" s="24" t="inlineStr">
        <is>
          <t>通用--中央属/部属</t>
        </is>
      </c>
    </row>
    <row r="610">
      <c r="B610" s="24" t="inlineStr">
        <is>
          <t>事业单位级别</t>
        </is>
      </c>
      <c r="C610" s="24" t="inlineStr">
        <is>
          <t>事业单位级别</t>
        </is>
      </c>
      <c r="D610" s="24" t="inlineStr">
        <is>
          <t>102</t>
        </is>
      </c>
      <c r="E610" s="24" t="inlineStr">
        <is>
          <t>通用--省/直辖市/计划单列市/发达市级所属（发达市为全国GDP排名前50强的城市）</t>
        </is>
      </c>
    </row>
    <row r="611">
      <c r="B611" s="24" t="inlineStr">
        <is>
          <t>事业单位级别</t>
        </is>
      </c>
      <c r="C611" s="24" t="inlineStr">
        <is>
          <t>事业单位级别</t>
        </is>
      </c>
      <c r="D611" s="24" t="inlineStr">
        <is>
          <t>103</t>
        </is>
      </c>
      <c r="E611" s="24" t="inlineStr">
        <is>
          <t>通用--地市级/发达县、区级（百强县）</t>
        </is>
      </c>
    </row>
    <row r="612">
      <c r="B612" s="24" t="inlineStr">
        <is>
          <t>事业单位级别</t>
        </is>
      </c>
      <c r="C612" s="24" t="inlineStr">
        <is>
          <t>事业单位级别</t>
        </is>
      </c>
      <c r="D612" s="24" t="inlineStr">
        <is>
          <t>104</t>
        </is>
      </c>
      <c r="E612" s="24" t="inlineStr">
        <is>
          <t>通用--县/区级所属</t>
        </is>
      </c>
    </row>
    <row r="613">
      <c r="B613" s="24" t="inlineStr">
        <is>
          <t>事业单位级别</t>
        </is>
      </c>
      <c r="C613" s="24" t="inlineStr">
        <is>
          <t>事业单位级别</t>
        </is>
      </c>
      <c r="D613" s="24" t="inlineStr">
        <is>
          <t>105</t>
        </is>
      </c>
      <c r="E613" s="24" t="inlineStr">
        <is>
          <t>通用--其他</t>
        </is>
      </c>
    </row>
    <row r="614">
      <c r="B614" s="24" t="inlineStr">
        <is>
          <t>事业单位级别</t>
        </is>
      </c>
      <c r="C614" s="24" t="inlineStr">
        <is>
          <t>事业单位级别</t>
        </is>
      </c>
      <c r="D614" s="24" t="inlineStr">
        <is>
          <t>201</t>
        </is>
      </c>
      <c r="E614" s="24" t="inlineStr">
        <is>
          <t>学校--部属院校</t>
        </is>
      </c>
    </row>
    <row r="615">
      <c r="B615" s="24" t="inlineStr">
        <is>
          <t>事业单位级别</t>
        </is>
      </c>
      <c r="C615" s="24" t="inlineStr">
        <is>
          <t>事业单位级别</t>
        </is>
      </c>
      <c r="D615" s="24" t="inlineStr">
        <is>
          <t>202</t>
        </is>
      </c>
      <c r="E615" s="24" t="inlineStr">
        <is>
          <t>学校--省或直辖市属院校</t>
        </is>
      </c>
    </row>
    <row r="616">
      <c r="B616" s="24" t="inlineStr">
        <is>
          <t>事业单位级别</t>
        </is>
      </c>
      <c r="C616" s="24" t="inlineStr">
        <is>
          <t>事业单位级别</t>
        </is>
      </c>
      <c r="D616" s="24" t="inlineStr">
        <is>
          <t>203</t>
        </is>
      </c>
      <c r="E616" s="24" t="inlineStr">
        <is>
          <t>学校--市属</t>
        </is>
      </c>
    </row>
    <row r="617">
      <c r="B617" s="24" t="inlineStr">
        <is>
          <t>事业单位级别</t>
        </is>
      </c>
      <c r="C617" s="24" t="inlineStr">
        <is>
          <t>事业单位级别</t>
        </is>
      </c>
      <c r="D617" s="24" t="inlineStr">
        <is>
          <t>204</t>
        </is>
      </c>
      <c r="E617" s="24" t="inlineStr">
        <is>
          <t>学校--其他</t>
        </is>
      </c>
    </row>
    <row r="618">
      <c r="B618" s="24" t="inlineStr">
        <is>
          <t>事业单位级别</t>
        </is>
      </c>
      <c r="C618" s="24" t="inlineStr">
        <is>
          <t>事业单位级别</t>
        </is>
      </c>
      <c r="D618" s="24" t="inlineStr">
        <is>
          <t>301</t>
        </is>
      </c>
      <c r="E618" s="24" t="inlineStr">
        <is>
          <t>医院--卫生部直属医院</t>
        </is>
      </c>
    </row>
    <row r="619">
      <c r="B619" s="24" t="inlineStr">
        <is>
          <t>事业单位级别</t>
        </is>
      </c>
      <c r="C619" s="24" t="inlineStr">
        <is>
          <t>事业单位级别</t>
        </is>
      </c>
      <c r="D619" s="24" t="inlineStr">
        <is>
          <t>302</t>
        </is>
      </c>
      <c r="E619" s="24" t="inlineStr">
        <is>
          <t>医院--直辖市或省级医院或985、211院校附属医院或军区直属医院</t>
        </is>
      </c>
    </row>
    <row r="620">
      <c r="B620" s="24" t="inlineStr">
        <is>
          <t>事业单位级别</t>
        </is>
      </c>
      <c r="C620" s="24" t="inlineStr">
        <is>
          <t>事业单位级别</t>
        </is>
      </c>
      <c r="D620" s="24" t="inlineStr">
        <is>
          <t>303</t>
        </is>
      </c>
      <c r="E620" s="24" t="inlineStr">
        <is>
          <t>医院--市级医院或一般医学院附属医院</t>
        </is>
      </c>
    </row>
    <row r="621">
      <c r="B621" s="24" t="inlineStr">
        <is>
          <t>事业单位级别</t>
        </is>
      </c>
      <c r="C621" s="24" t="inlineStr">
        <is>
          <t>事业单位级别</t>
        </is>
      </c>
      <c r="D621" s="24" t="inlineStr">
        <is>
          <t>304</t>
        </is>
      </c>
      <c r="E621" s="24" t="inlineStr">
        <is>
          <t>医院--县级医院</t>
        </is>
      </c>
    </row>
    <row r="622">
      <c r="B622" s="24" t="inlineStr">
        <is>
          <t>事业单位级别</t>
        </is>
      </c>
      <c r="C622" s="24" t="inlineStr">
        <is>
          <t>事业单位级别</t>
        </is>
      </c>
      <c r="D622" s="24" t="inlineStr">
        <is>
          <t>305</t>
        </is>
      </c>
      <c r="E622" s="24" t="inlineStr">
        <is>
          <t>医院--其他</t>
        </is>
      </c>
    </row>
    <row r="623" ht="15.95" customHeight="1" s="170">
      <c r="B623" s="122" t="inlineStr">
        <is>
          <t>码值：AdjustRateType</t>
        </is>
      </c>
    </row>
    <row r="624">
      <c r="B624" s="24" t="inlineStr">
        <is>
          <t>AdjustRateType</t>
        </is>
      </c>
      <c r="C624" s="24" t="inlineStr">
        <is>
          <t>利率调整方式</t>
        </is>
      </c>
      <c r="D624" s="24" t="inlineStr">
        <is>
          <t>1</t>
        </is>
      </c>
      <c r="E624" s="24" t="inlineStr">
        <is>
          <t>立即</t>
        </is>
      </c>
    </row>
    <row r="625">
      <c r="B625" s="24" t="inlineStr">
        <is>
          <t>AdjustRateType</t>
        </is>
      </c>
      <c r="C625" s="24" t="inlineStr">
        <is>
          <t>利率调整方式</t>
        </is>
      </c>
      <c r="D625" s="24" t="inlineStr">
        <is>
          <t>2</t>
        </is>
      </c>
      <c r="E625" s="24" t="inlineStr">
        <is>
          <t>次年初</t>
        </is>
      </c>
    </row>
    <row r="626">
      <c r="B626" s="24" t="inlineStr">
        <is>
          <t>AdjustRateType</t>
        </is>
      </c>
      <c r="C626" s="24" t="inlineStr">
        <is>
          <t>利率调整方式</t>
        </is>
      </c>
      <c r="D626" s="24" t="inlineStr">
        <is>
          <t>3</t>
        </is>
      </c>
      <c r="E626" s="24" t="inlineStr">
        <is>
          <t>次年对月对日</t>
        </is>
      </c>
    </row>
    <row r="627">
      <c r="B627" s="24" t="inlineStr">
        <is>
          <t>AdjustRateType</t>
        </is>
      </c>
      <c r="C627" s="24" t="inlineStr">
        <is>
          <t>利率调整方式</t>
        </is>
      </c>
      <c r="D627" s="24" t="inlineStr">
        <is>
          <t>4</t>
        </is>
      </c>
      <c r="E627" s="24" t="inlineStr">
        <is>
          <t>按月调</t>
        </is>
      </c>
    </row>
    <row r="628">
      <c r="B628" s="24" t="inlineStr">
        <is>
          <t>AdjustRateType</t>
        </is>
      </c>
      <c r="C628" s="24" t="inlineStr">
        <is>
          <t>利率调整方式</t>
        </is>
      </c>
      <c r="D628" s="24" t="inlineStr">
        <is>
          <t>5</t>
        </is>
      </c>
      <c r="E628" s="24" t="inlineStr">
        <is>
          <t>下一还款日调整</t>
        </is>
      </c>
    </row>
    <row r="629">
      <c r="B629" s="24" t="inlineStr">
        <is>
          <t>AdjustRateType</t>
        </is>
      </c>
      <c r="C629" s="24" t="inlineStr">
        <is>
          <t>利率调整方式</t>
        </is>
      </c>
      <c r="D629" s="24" t="inlineStr">
        <is>
          <t>6</t>
        </is>
      </c>
      <c r="E629" s="24" t="inlineStr">
        <is>
          <t>次年首个还款日调整</t>
        </is>
      </c>
    </row>
    <row r="630">
      <c r="B630" s="24" t="inlineStr">
        <is>
          <t>AdjustRateType</t>
        </is>
      </c>
      <c r="C630" s="24" t="inlineStr">
        <is>
          <t>利率调整方式</t>
        </is>
      </c>
      <c r="D630" s="24" t="inlineStr">
        <is>
          <t>7</t>
        </is>
      </c>
      <c r="E630" s="24" t="inlineStr">
        <is>
          <t>不调整</t>
        </is>
      </c>
    </row>
    <row r="631">
      <c r="B631" s="24" t="inlineStr">
        <is>
          <t>AdjustRateType</t>
        </is>
      </c>
      <c r="C631" s="24" t="inlineStr">
        <is>
          <t>利率调整方式</t>
        </is>
      </c>
      <c r="D631" s="24" t="inlineStr">
        <is>
          <t>8</t>
        </is>
      </c>
      <c r="E631" s="24" t="inlineStr">
        <is>
          <t>手工指定调整日</t>
        </is>
      </c>
    </row>
    <row r="632" ht="15.95" customHeight="1" s="170">
      <c r="B632" s="122" t="inlineStr">
        <is>
          <t>码值：DT</t>
        </is>
      </c>
    </row>
    <row r="633">
      <c r="B633" s="24" t="inlineStr">
        <is>
          <t>DT</t>
        </is>
      </c>
      <c r="C633" s="24" t="inlineStr">
        <is>
          <t>数据字段类型</t>
        </is>
      </c>
      <c r="D633" s="24" t="inlineStr">
        <is>
          <t>1</t>
        </is>
      </c>
      <c r="E633" s="24" t="inlineStr">
        <is>
          <t>String</t>
        </is>
      </c>
    </row>
    <row r="634">
      <c r="B634" s="24" t="inlineStr">
        <is>
          <t>DT</t>
        </is>
      </c>
      <c r="C634" s="24" t="inlineStr">
        <is>
          <t>数据字段类型</t>
        </is>
      </c>
      <c r="D634" s="24" t="inlineStr">
        <is>
          <t>2</t>
        </is>
      </c>
      <c r="E634" s="24" t="inlineStr">
        <is>
          <t>Double</t>
        </is>
      </c>
    </row>
    <row r="635" ht="15.95" customHeight="1" s="170">
      <c r="B635" s="122" t="inlineStr">
        <is>
          <t>码值：CheckFrequency</t>
        </is>
      </c>
    </row>
    <row r="636">
      <c r="B636" s="24" t="inlineStr">
        <is>
          <t>CheckFrequency</t>
        </is>
      </c>
      <c r="C636" s="24" t="inlineStr">
        <is>
          <t>检查频率</t>
        </is>
      </c>
      <c r="D636" s="24" t="inlineStr">
        <is>
          <t>10</t>
        </is>
      </c>
      <c r="E636" s="24" t="inlineStr">
        <is>
          <t>年</t>
        </is>
      </c>
    </row>
    <row r="637">
      <c r="B637" s="24" t="inlineStr">
        <is>
          <t>CheckFrequency</t>
        </is>
      </c>
      <c r="C637" s="24" t="inlineStr">
        <is>
          <t>检查频率</t>
        </is>
      </c>
      <c r="D637" s="24" t="inlineStr">
        <is>
          <t>20</t>
        </is>
      </c>
      <c r="E637" s="24" t="inlineStr">
        <is>
          <t>季度</t>
        </is>
      </c>
    </row>
    <row r="638">
      <c r="B638" s="24" t="inlineStr">
        <is>
          <t>CheckFrequency</t>
        </is>
      </c>
      <c r="C638" s="24" t="inlineStr">
        <is>
          <t>检查频率</t>
        </is>
      </c>
      <c r="D638" s="24" t="inlineStr">
        <is>
          <t>30</t>
        </is>
      </c>
      <c r="E638" s="24" t="inlineStr">
        <is>
          <t>月</t>
        </is>
      </c>
    </row>
    <row r="639">
      <c r="B639" s="24" t="inlineStr">
        <is>
          <t>CheckFrequency</t>
        </is>
      </c>
      <c r="C639" s="24" t="inlineStr">
        <is>
          <t>检查频率</t>
        </is>
      </c>
      <c r="D639" s="24" t="inlineStr">
        <is>
          <t>40</t>
        </is>
      </c>
      <c r="E639" s="24" t="inlineStr">
        <is>
          <t>日</t>
        </is>
      </c>
    </row>
    <row r="640" ht="15.95" customHeight="1" s="170">
      <c r="B640" s="122" t="inlineStr">
        <is>
          <t>码值：ComponentParameterMethodType</t>
        </is>
      </c>
    </row>
    <row r="641">
      <c r="B641" s="24" t="inlineStr">
        <is>
          <t>ComponentParameterMethodType</t>
        </is>
      </c>
      <c r="C641" s="24" t="inlineStr">
        <is>
          <t>业务组件参数取值方式</t>
        </is>
      </c>
      <c r="D641" s="24" t="inlineStr">
        <is>
          <t>AmarScript</t>
        </is>
      </c>
      <c r="E641" s="24" t="inlineStr">
        <is>
          <t>AmarScript</t>
        </is>
      </c>
    </row>
    <row r="642">
      <c r="B642" s="24" t="inlineStr">
        <is>
          <t>ComponentParameterMethodType</t>
        </is>
      </c>
      <c r="C642" s="24" t="inlineStr">
        <is>
          <t>业务组件参数取值方式</t>
        </is>
      </c>
      <c r="D642" s="24" t="inlineStr">
        <is>
          <t>JBO</t>
        </is>
      </c>
      <c r="E642" s="24" t="inlineStr">
        <is>
          <t>JBO对象</t>
        </is>
      </c>
    </row>
    <row r="643">
      <c r="B643" s="24" t="inlineStr">
        <is>
          <t>ComponentParameterMethodType</t>
        </is>
      </c>
      <c r="C643" s="24" t="inlineStr">
        <is>
          <t>业务组件参数取值方式</t>
        </is>
      </c>
      <c r="D643" s="24" t="inlineStr">
        <is>
          <t>Java</t>
        </is>
      </c>
      <c r="E643" s="24" t="inlineStr">
        <is>
          <t>Java方法</t>
        </is>
      </c>
    </row>
    <row r="644">
      <c r="B644" s="24" t="inlineStr">
        <is>
          <t>ComponentParameterMethodType</t>
        </is>
      </c>
      <c r="C644" s="24" t="inlineStr">
        <is>
          <t>业务组件参数取值方式</t>
        </is>
      </c>
      <c r="D644" s="24" t="inlineStr">
        <is>
          <t>Nothing</t>
        </is>
      </c>
      <c r="E644" s="24" t="inlineStr">
        <is>
          <t>无</t>
        </is>
      </c>
    </row>
    <row r="645">
      <c r="B645" s="24" t="inlineStr">
        <is>
          <t>ComponentParameterMethodType</t>
        </is>
      </c>
      <c r="C645" s="24" t="inlineStr">
        <is>
          <t>业务组件参数取值方式</t>
        </is>
      </c>
      <c r="D645" s="24" t="inlineStr">
        <is>
          <t>SQL</t>
        </is>
      </c>
      <c r="E645" s="24" t="inlineStr">
        <is>
          <t>SQL查询</t>
        </is>
      </c>
    </row>
    <row r="646" ht="15.95" customHeight="1" s="170">
      <c r="B646" s="122" t="inlineStr">
        <is>
          <t>码值：PDAInfoList</t>
        </is>
      </c>
    </row>
    <row r="647">
      <c r="B647" s="24" t="inlineStr">
        <is>
          <t>PDAInfoList</t>
        </is>
      </c>
      <c r="C647" s="24" t="inlineStr">
        <is>
          <t>抵债资产详情树状菜单</t>
        </is>
      </c>
      <c r="D647" s="24" t="inlineStr">
        <is>
          <t>01</t>
        </is>
      </c>
      <c r="E647" s="24" t="inlineStr">
        <is>
          <t>资产基本信息</t>
        </is>
      </c>
    </row>
    <row r="648">
      <c r="B648" s="24" t="inlineStr">
        <is>
          <t>PDAInfoList</t>
        </is>
      </c>
      <c r="C648" s="24" t="inlineStr">
        <is>
          <t>抵债资产详情树状菜单</t>
        </is>
      </c>
      <c r="D648" s="24" t="inlineStr">
        <is>
          <t>02</t>
        </is>
      </c>
      <c r="E648" s="24" t="inlineStr">
        <is>
          <t>对应合同信息</t>
        </is>
      </c>
    </row>
    <row r="649">
      <c r="B649" s="24" t="inlineStr">
        <is>
          <t>PDAInfoList</t>
        </is>
      </c>
      <c r="C649" s="24" t="inlineStr">
        <is>
          <t>抵债资产详情树状菜单</t>
        </is>
      </c>
      <c r="D649" s="24" t="inlineStr">
        <is>
          <t>03</t>
        </is>
      </c>
      <c r="E649" s="24" t="inlineStr">
        <is>
          <t>保险信息记录</t>
        </is>
      </c>
    </row>
    <row r="650">
      <c r="B650" s="24" t="inlineStr">
        <is>
          <t>PDAInfoList</t>
        </is>
      </c>
      <c r="C650" s="24" t="inlineStr">
        <is>
          <t>抵债资产详情树状菜单</t>
        </is>
      </c>
      <c r="D650" s="24" t="inlineStr">
        <is>
          <t>06</t>
        </is>
      </c>
      <c r="E650" s="24" t="inlineStr">
        <is>
          <t>价值评估记录</t>
        </is>
      </c>
    </row>
    <row r="651">
      <c r="B651" s="24" t="inlineStr">
        <is>
          <t>PDAInfoList</t>
        </is>
      </c>
      <c r="C651" s="24" t="inlineStr">
        <is>
          <t>抵债资产详情树状菜单</t>
        </is>
      </c>
      <c r="D651" s="24" t="inlineStr">
        <is>
          <t>08</t>
        </is>
      </c>
      <c r="E651" s="24" t="inlineStr">
        <is>
          <t>价值变动记录</t>
        </is>
      </c>
    </row>
    <row r="652">
      <c r="B652" s="24" t="inlineStr">
        <is>
          <t>PDAInfoList</t>
        </is>
      </c>
      <c r="C652" s="24" t="inlineStr">
        <is>
          <t>抵债资产详情树状菜单</t>
        </is>
      </c>
      <c r="D652" s="24" t="inlineStr">
        <is>
          <t>10</t>
        </is>
      </c>
      <c r="E652" s="24" t="inlineStr">
        <is>
          <t>抵债资产处置台帐</t>
        </is>
      </c>
    </row>
    <row r="653">
      <c r="B653" s="24" t="inlineStr">
        <is>
          <t>PDAInfoList</t>
        </is>
      </c>
      <c r="C653" s="24" t="inlineStr">
        <is>
          <t>抵债资产详情树状菜单</t>
        </is>
      </c>
      <c r="D653" s="24" t="inlineStr">
        <is>
          <t>11</t>
        </is>
      </c>
      <c r="E653" s="24" t="inlineStr">
        <is>
          <t>抵债资产出租台帐</t>
        </is>
      </c>
    </row>
    <row r="654">
      <c r="B654" s="24" t="inlineStr">
        <is>
          <t>PDAInfoList</t>
        </is>
      </c>
      <c r="C654" s="24" t="inlineStr">
        <is>
          <t>抵债资产详情树状菜单</t>
        </is>
      </c>
      <c r="D654" s="24" t="inlineStr">
        <is>
          <t>12</t>
        </is>
      </c>
      <c r="E654" s="24" t="inlineStr">
        <is>
          <t>抵债资产收现台帐</t>
        </is>
      </c>
    </row>
    <row r="655">
      <c r="B655" s="24" t="inlineStr">
        <is>
          <t>PDAInfoList</t>
        </is>
      </c>
      <c r="C655" s="24" t="inlineStr">
        <is>
          <t>抵债资产详情树状菜单</t>
        </is>
      </c>
      <c r="D655" s="24" t="inlineStr">
        <is>
          <t>15</t>
        </is>
      </c>
      <c r="E655" s="24" t="inlineStr">
        <is>
          <t>相关费用台帐</t>
        </is>
      </c>
    </row>
    <row r="656">
      <c r="B656" s="24" t="inlineStr">
        <is>
          <t>PDAInfoList</t>
        </is>
      </c>
      <c r="C656" s="24" t="inlineStr">
        <is>
          <t>抵债资产详情树状菜单</t>
        </is>
      </c>
      <c r="D656" s="24" t="inlineStr">
        <is>
          <t>16</t>
        </is>
      </c>
      <c r="E656" s="24" t="inlineStr">
        <is>
          <t>待处理抵债资产科目余额变动台帐</t>
        </is>
      </c>
    </row>
    <row r="657">
      <c r="B657" s="24" t="inlineStr">
        <is>
          <t>PDAInfoList</t>
        </is>
      </c>
      <c r="C657" s="24" t="inlineStr">
        <is>
          <t>抵债资产详情树状菜单</t>
        </is>
      </c>
      <c r="D657" s="24" t="inlineStr">
        <is>
          <t>18</t>
        </is>
      </c>
      <c r="E657" s="24" t="inlineStr">
        <is>
          <t>贷款余额变动台帐</t>
        </is>
      </c>
    </row>
    <row r="658">
      <c r="B658" s="24" t="inlineStr">
        <is>
          <t>PDAInfoList</t>
        </is>
      </c>
      <c r="C658" s="24" t="inlineStr">
        <is>
          <t>抵债资产详情树状菜单</t>
        </is>
      </c>
      <c r="D658" s="24" t="inlineStr">
        <is>
          <t>19</t>
        </is>
      </c>
      <c r="E658" s="24" t="inlineStr">
        <is>
          <t>文档资料管理</t>
        </is>
      </c>
    </row>
    <row r="659">
      <c r="B659" s="24" t="inlineStr">
        <is>
          <t>PDAInfoList</t>
        </is>
      </c>
      <c r="C659" s="24" t="inlineStr">
        <is>
          <t>抵债资产详情树状菜单</t>
        </is>
      </c>
      <c r="D659" s="24" t="inlineStr">
        <is>
          <t>25</t>
        </is>
      </c>
      <c r="E659" s="24" t="inlineStr">
        <is>
          <t>抵债资产五级分类</t>
        </is>
      </c>
    </row>
    <row r="660" ht="15.95" customHeight="1" s="170">
      <c r="B660" s="122" t="inlineStr">
        <is>
          <t>码值：PartnerAccessFlowAMain</t>
        </is>
      </c>
    </row>
    <row r="661">
      <c r="B661" s="24" t="inlineStr">
        <is>
          <t>PartnerAccessFlowAMain</t>
        </is>
      </c>
      <c r="C661" s="24" t="inlineStr">
        <is>
          <t>合作方准入申请主树图</t>
        </is>
      </c>
      <c r="D661" s="24" t="inlineStr">
        <is>
          <t>1010</t>
        </is>
      </c>
      <c r="E661" s="24" t="inlineStr">
        <is>
          <t>待处理</t>
        </is>
      </c>
    </row>
    <row r="662">
      <c r="B662" s="24" t="inlineStr">
        <is>
          <t>PartnerAccessFlowAMain</t>
        </is>
      </c>
      <c r="C662" s="24" t="inlineStr">
        <is>
          <t>合作方准入申请主树图</t>
        </is>
      </c>
      <c r="D662" s="24" t="inlineStr">
        <is>
          <t>1020</t>
        </is>
      </c>
      <c r="E662" s="24" t="inlineStr">
        <is>
          <t>审批中</t>
        </is>
      </c>
    </row>
    <row r="663">
      <c r="B663" s="24" t="inlineStr">
        <is>
          <t>PartnerAccessFlowAMain</t>
        </is>
      </c>
      <c r="C663" s="24" t="inlineStr">
        <is>
          <t>合作方准入申请主树图</t>
        </is>
      </c>
      <c r="D663" s="24" t="inlineStr">
        <is>
          <t>1040,1050</t>
        </is>
      </c>
      <c r="E663" s="24" t="inlineStr">
        <is>
          <t>处理完成</t>
        </is>
      </c>
    </row>
    <row r="664">
      <c r="B664" s="24" t="inlineStr">
        <is>
          <t>PartnerAccessFlowAMain</t>
        </is>
      </c>
      <c r="C664" s="24" t="inlineStr">
        <is>
          <t>合作方准入申请主树图</t>
        </is>
      </c>
      <c r="D664" s="24" t="inlineStr">
        <is>
          <t>N</t>
        </is>
      </c>
      <c r="E664" s="24" t="inlineStr">
        <is>
          <t>当前工作</t>
        </is>
      </c>
    </row>
    <row r="665">
      <c r="B665" s="24" t="inlineStr">
        <is>
          <t>PartnerAccessFlowAMain</t>
        </is>
      </c>
      <c r="C665" s="24" t="inlineStr">
        <is>
          <t>合作方准入申请主树图</t>
        </is>
      </c>
      <c r="D665" s="24" t="inlineStr">
        <is>
          <t>Y</t>
        </is>
      </c>
      <c r="E665" s="24" t="inlineStr">
        <is>
          <t>已完成工作</t>
        </is>
      </c>
    </row>
    <row r="666" ht="15.95" customHeight="1" s="170">
      <c r="B666" s="122" t="inlineStr">
        <is>
          <t>码值：ProductCompetitive</t>
        </is>
      </c>
    </row>
    <row r="667">
      <c r="B667" s="24" t="inlineStr">
        <is>
          <t>ProductCompetitive</t>
        </is>
      </c>
      <c r="C667" s="24" t="inlineStr">
        <is>
          <t>信用等级评估统一导入</t>
        </is>
      </c>
      <c r="D667" s="24" t="inlineStr">
        <is>
          <t>01</t>
        </is>
      </c>
      <c r="E667" s="24" t="inlineStr">
        <is>
          <t>产品在市场上有唯一地位，并且没有替代品</t>
        </is>
      </c>
    </row>
    <row r="668">
      <c r="B668" s="24" t="inlineStr">
        <is>
          <t>ProductCompetitive</t>
        </is>
      </c>
      <c r="C668" s="24" t="inlineStr">
        <is>
          <t>信用等级评估统一导入</t>
        </is>
      </c>
      <c r="D668" s="24" t="inlineStr">
        <is>
          <t>02</t>
        </is>
      </c>
      <c r="E668" s="24" t="inlineStr">
        <is>
          <t>产品在市场上同类产品的竞争对手少于三家。替代品及其市场难于形成和进入</t>
        </is>
      </c>
    </row>
    <row r="669">
      <c r="B669" s="24" t="inlineStr">
        <is>
          <t>ProductCompetitive</t>
        </is>
      </c>
      <c r="C669" s="24" t="inlineStr">
        <is>
          <t>信用等级评估统一导入</t>
        </is>
      </c>
      <c r="D669" s="24" t="inlineStr">
        <is>
          <t>03</t>
        </is>
      </c>
      <c r="E669" s="24" t="inlineStr">
        <is>
          <t>产品在市场上没有唯一地位，竞争对少较多。替代品及其市场易于形成和进入</t>
        </is>
      </c>
    </row>
    <row r="670" ht="15.95" customHeight="1" s="170">
      <c r="B670" s="122" t="inlineStr">
        <is>
          <t>码值：NPAReformView</t>
        </is>
      </c>
    </row>
    <row r="671">
      <c r="B671" s="24" t="inlineStr">
        <is>
          <t>NPAReformView</t>
        </is>
      </c>
      <c r="C671" s="24" t="inlineStr">
        <is>
          <t>不良资产重组详情树图</t>
        </is>
      </c>
      <c r="D671" s="24" t="inlineStr">
        <is>
          <t>01</t>
        </is>
      </c>
      <c r="E671" s="24" t="inlineStr">
        <is>
          <t>业务基本信息</t>
        </is>
      </c>
    </row>
    <row r="672">
      <c r="B672" s="24" t="inlineStr">
        <is>
          <t>NPAReformView</t>
        </is>
      </c>
      <c r="C672" s="24" t="inlineStr">
        <is>
          <t>不良资产重组详情树图</t>
        </is>
      </c>
      <c r="D672" s="24" t="inlineStr">
        <is>
          <t>02</t>
        </is>
      </c>
      <c r="E672" s="24" t="inlineStr">
        <is>
          <t>拟重组贷款合同</t>
        </is>
      </c>
    </row>
    <row r="673">
      <c r="B673" s="24" t="inlineStr">
        <is>
          <t>NPAReformView</t>
        </is>
      </c>
      <c r="C673" s="24" t="inlineStr">
        <is>
          <t>不良资产重组详情树图</t>
        </is>
      </c>
      <c r="D673" s="24" t="inlineStr">
        <is>
          <t>03</t>
        </is>
      </c>
      <c r="E673" s="24" t="inlineStr">
        <is>
          <t>相关文档信息</t>
        </is>
      </c>
    </row>
    <row r="674" ht="15.95" customHeight="1" s="170">
      <c r="B674" s="122" t="inlineStr">
        <is>
          <t>码值：社会保险</t>
        </is>
      </c>
    </row>
    <row r="675">
      <c r="B675" s="24" t="inlineStr">
        <is>
          <t>社会保险</t>
        </is>
      </c>
      <c r="C675" s="24" t="inlineStr">
        <is>
          <t>社会保险</t>
        </is>
      </c>
      <c r="D675" s="24" t="inlineStr">
        <is>
          <t>1</t>
        </is>
      </c>
      <c r="E675" s="24" t="inlineStr">
        <is>
          <t>有</t>
        </is>
      </c>
    </row>
    <row r="676">
      <c r="B676" s="24" t="inlineStr">
        <is>
          <t>社会保险</t>
        </is>
      </c>
      <c r="C676" s="24" t="inlineStr">
        <is>
          <t>社会保险</t>
        </is>
      </c>
      <c r="D676" s="24" t="inlineStr">
        <is>
          <t>2</t>
        </is>
      </c>
      <c r="E676" s="24" t="inlineStr">
        <is>
          <t>无</t>
        </is>
      </c>
    </row>
    <row r="677" ht="15.95" customHeight="1" s="170">
      <c r="B677" s="122" t="inlineStr">
        <is>
          <t>码值：KnowledgeType</t>
        </is>
      </c>
    </row>
    <row r="678">
      <c r="B678" s="24" t="inlineStr">
        <is>
          <t>KnowledgeType</t>
        </is>
      </c>
      <c r="C678" s="24" t="inlineStr">
        <is>
          <t>信息相关业务类型</t>
        </is>
      </c>
      <c r="D678" s="24" t="inlineStr">
        <is>
          <t>01</t>
        </is>
      </c>
      <c r="E678" s="24" t="inlineStr">
        <is>
          <t>综合</t>
        </is>
      </c>
    </row>
    <row r="679">
      <c r="B679" s="24" t="inlineStr">
        <is>
          <t>KnowledgeType</t>
        </is>
      </c>
      <c r="C679" s="24" t="inlineStr">
        <is>
          <t>信息相关业务类型</t>
        </is>
      </c>
      <c r="D679" s="24" t="inlineStr">
        <is>
          <t>02</t>
        </is>
      </c>
      <c r="E679" s="24" t="inlineStr">
        <is>
          <t>个人</t>
        </is>
      </c>
    </row>
    <row r="680">
      <c r="B680" s="24" t="inlineStr">
        <is>
          <t>KnowledgeType</t>
        </is>
      </c>
      <c r="C680" s="24" t="inlineStr">
        <is>
          <t>信息相关业务类型</t>
        </is>
      </c>
      <c r="D680" s="24" t="inlineStr">
        <is>
          <t>03</t>
        </is>
      </c>
      <c r="E680" s="24" t="inlineStr">
        <is>
          <t>对公</t>
        </is>
      </c>
    </row>
    <row r="681">
      <c r="B681" s="24" t="inlineStr">
        <is>
          <t>KnowledgeType</t>
        </is>
      </c>
      <c r="C681" s="24" t="inlineStr">
        <is>
          <t>信息相关业务类型</t>
        </is>
      </c>
      <c r="D681" s="24" t="inlineStr">
        <is>
          <t>04</t>
        </is>
      </c>
      <c r="E681" s="24" t="inlineStr">
        <is>
          <t>全部</t>
        </is>
      </c>
    </row>
    <row r="682" ht="15.95" customHeight="1" s="170">
      <c r="B682" s="122" t="inlineStr">
        <is>
          <t>码值：RepayType</t>
        </is>
      </c>
    </row>
    <row r="683">
      <c r="B683" s="24" t="inlineStr">
        <is>
          <t>RepayType</t>
        </is>
      </c>
      <c r="C683" s="24" t="inlineStr">
        <is>
          <t>还款方式</t>
        </is>
      </c>
      <c r="D683" s="24" t="inlineStr">
        <is>
          <t>RPT-01</t>
        </is>
      </c>
      <c r="E683" s="24" t="inlineStr">
        <is>
          <t>等额本息</t>
        </is>
      </c>
    </row>
    <row r="684">
      <c r="B684" s="24" t="inlineStr">
        <is>
          <t>RepayType</t>
        </is>
      </c>
      <c r="C684" s="24" t="inlineStr">
        <is>
          <t>还款方式</t>
        </is>
      </c>
      <c r="D684" s="24" t="inlineStr">
        <is>
          <t>RPT-02</t>
        </is>
      </c>
      <c r="E684" s="24" t="inlineStr">
        <is>
          <t>等额本金</t>
        </is>
      </c>
    </row>
    <row r="685">
      <c r="B685" s="24" t="inlineStr">
        <is>
          <t>RepayType</t>
        </is>
      </c>
      <c r="C685" s="24" t="inlineStr">
        <is>
          <t>还款方式</t>
        </is>
      </c>
      <c r="D685" s="24" t="inlineStr">
        <is>
          <t>RPT-03</t>
        </is>
      </c>
      <c r="E685" s="24" t="inlineStr">
        <is>
          <t>一次还本付息</t>
        </is>
      </c>
    </row>
    <row r="686">
      <c r="B686" s="24" t="inlineStr">
        <is>
          <t>RepayType</t>
        </is>
      </c>
      <c r="C686" s="24" t="inlineStr">
        <is>
          <t>还款方式</t>
        </is>
      </c>
      <c r="D686" s="24" t="inlineStr">
        <is>
          <t>RPT-04</t>
        </is>
      </c>
      <c r="E686" s="24" t="inlineStr">
        <is>
          <t>按期付息一次还本</t>
        </is>
      </c>
    </row>
    <row r="687">
      <c r="B687" s="24" t="inlineStr">
        <is>
          <t>RepayType</t>
        </is>
      </c>
      <c r="C687" s="24" t="inlineStr">
        <is>
          <t>还款方式</t>
        </is>
      </c>
      <c r="D687" s="24" t="inlineStr">
        <is>
          <t>RPT-05</t>
        </is>
      </c>
      <c r="E687" s="24" t="inlineStr">
        <is>
          <t>等额递增/递减</t>
        </is>
      </c>
    </row>
    <row r="688">
      <c r="B688" s="24" t="inlineStr">
        <is>
          <t>RepayType</t>
        </is>
      </c>
      <c r="C688" s="24" t="inlineStr">
        <is>
          <t>还款方式</t>
        </is>
      </c>
      <c r="D688" s="24" t="inlineStr">
        <is>
          <t>RPT-06</t>
        </is>
      </c>
      <c r="E688" s="24" t="inlineStr">
        <is>
          <t>等比递增/递减</t>
        </is>
      </c>
    </row>
    <row r="689">
      <c r="B689" s="24" t="inlineStr">
        <is>
          <t>RepayType</t>
        </is>
      </c>
      <c r="C689" s="24" t="inlineStr">
        <is>
          <t>还款方式</t>
        </is>
      </c>
      <c r="D689" s="24" t="inlineStr">
        <is>
          <t>RPT-07</t>
        </is>
      </c>
      <c r="E689" s="24" t="inlineStr">
        <is>
          <t>无忧月供-等额</t>
        </is>
      </c>
    </row>
    <row r="690">
      <c r="B690" s="24" t="inlineStr">
        <is>
          <t>RepayType</t>
        </is>
      </c>
      <c r="C690" s="24" t="inlineStr">
        <is>
          <t>还款方式</t>
        </is>
      </c>
      <c r="D690" s="24" t="inlineStr">
        <is>
          <t>RPT-08</t>
        </is>
      </c>
      <c r="E690" s="24" t="inlineStr">
        <is>
          <t>无忧月供-等本</t>
        </is>
      </c>
    </row>
    <row r="691">
      <c r="B691" s="24" t="inlineStr">
        <is>
          <t>RepayType</t>
        </is>
      </c>
      <c r="C691" s="24" t="inlineStr">
        <is>
          <t>还款方式</t>
        </is>
      </c>
      <c r="D691" s="24" t="inlineStr">
        <is>
          <t>RPT-09</t>
        </is>
      </c>
      <c r="E691" s="24" t="inlineStr">
        <is>
          <t>尾款等额还款</t>
        </is>
      </c>
    </row>
    <row r="692">
      <c r="B692" s="24" t="inlineStr">
        <is>
          <t>RepayType</t>
        </is>
      </c>
      <c r="C692" s="24" t="inlineStr">
        <is>
          <t>还款方式</t>
        </is>
      </c>
      <c r="D692" s="24" t="inlineStr">
        <is>
          <t>RPT-10</t>
        </is>
      </c>
      <c r="E692" s="24" t="inlineStr">
        <is>
          <t>尾款等本还款</t>
        </is>
      </c>
    </row>
    <row r="693">
      <c r="B693" s="24" t="inlineStr">
        <is>
          <t>RepayType</t>
        </is>
      </c>
      <c r="C693" s="24" t="inlineStr">
        <is>
          <t>还款方式</t>
        </is>
      </c>
      <c r="D693" s="24" t="inlineStr">
        <is>
          <t>RPT-11</t>
        </is>
      </c>
      <c r="E693" s="24" t="inlineStr">
        <is>
          <t>快速双周供（等额）</t>
        </is>
      </c>
    </row>
    <row r="694">
      <c r="B694" s="24" t="inlineStr">
        <is>
          <t>RepayType</t>
        </is>
      </c>
      <c r="C694" s="24" t="inlineStr">
        <is>
          <t>还款方式</t>
        </is>
      </c>
      <c r="D694" s="24" t="inlineStr">
        <is>
          <t>RPT-12</t>
        </is>
      </c>
      <c r="E694" s="24" t="inlineStr">
        <is>
          <t>快速双周供（等本）</t>
        </is>
      </c>
    </row>
    <row r="695">
      <c r="B695" s="24" t="inlineStr">
        <is>
          <t>RepayType</t>
        </is>
      </c>
      <c r="C695" s="24" t="inlineStr">
        <is>
          <t>还款方式</t>
        </is>
      </c>
      <c r="D695" s="24" t="inlineStr">
        <is>
          <t>RPT-13</t>
        </is>
      </c>
      <c r="E695" s="24" t="inlineStr">
        <is>
          <t>等额平息</t>
        </is>
      </c>
    </row>
    <row r="696">
      <c r="B696" s="24" t="inlineStr">
        <is>
          <t>RepayType</t>
        </is>
      </c>
      <c r="C696" s="24" t="inlineStr">
        <is>
          <t>还款方式</t>
        </is>
      </c>
      <c r="D696" s="24" t="inlineStr">
        <is>
          <t>RPT-14</t>
        </is>
      </c>
      <c r="E696" s="24" t="inlineStr">
        <is>
          <t>指定还款额</t>
        </is>
      </c>
    </row>
    <row r="697">
      <c r="B697" s="24" t="inlineStr">
        <is>
          <t>RepayType</t>
        </is>
      </c>
      <c r="C697" s="24" t="inlineStr">
        <is>
          <t>还款方式</t>
        </is>
      </c>
      <c r="D697" s="24" t="inlineStr">
        <is>
          <t>RPT-19</t>
        </is>
      </c>
      <c r="E697" s="24" t="inlineStr">
        <is>
          <t>自定义方式还款</t>
        </is>
      </c>
    </row>
    <row r="698">
      <c r="B698" s="24" t="inlineStr">
        <is>
          <t>RepayType</t>
        </is>
      </c>
      <c r="C698" s="24" t="inlineStr">
        <is>
          <t>还款方式</t>
        </is>
      </c>
      <c r="D698" s="24" t="inlineStr">
        <is>
          <t>RPT-20</t>
        </is>
      </c>
      <c r="E698" s="24" t="inlineStr">
        <is>
          <t>灵活等额本息</t>
        </is>
      </c>
    </row>
    <row r="699" ht="15.95" customHeight="1" s="170">
      <c r="B699" s="122" t="inlineStr">
        <is>
          <t>码值：SimpleForkFlowApplMain</t>
        </is>
      </c>
    </row>
    <row r="700">
      <c r="B700" s="24" t="inlineStr">
        <is>
          <t>SimpleForkFlowApplMain</t>
        </is>
      </c>
      <c r="C700" s="24" t="n"/>
      <c r="D700" s="24" t="inlineStr">
        <is>
          <t>1010</t>
        </is>
      </c>
      <c r="E700" s="24" t="inlineStr">
        <is>
          <t>申请阶段1010</t>
        </is>
      </c>
    </row>
    <row r="701">
      <c r="B701" s="24" t="inlineStr">
        <is>
          <t>SimpleForkFlowApplMain</t>
        </is>
      </c>
      <c r="C701" s="24" t="n"/>
      <c r="D701" s="24" t="inlineStr">
        <is>
          <t>1020</t>
        </is>
      </c>
      <c r="E701" s="24" t="inlineStr">
        <is>
          <t>申请阶段1020</t>
        </is>
      </c>
    </row>
    <row r="702">
      <c r="B702" s="24" t="inlineStr">
        <is>
          <t>SimpleForkFlowApplMain</t>
        </is>
      </c>
      <c r="C702" s="24" t="n"/>
      <c r="D702" s="24" t="inlineStr">
        <is>
          <t>1040</t>
        </is>
      </c>
      <c r="E702" s="24" t="inlineStr">
        <is>
          <t>申请阶段1040</t>
        </is>
      </c>
    </row>
    <row r="703" ht="15.95" customHeight="1" s="170">
      <c r="B703" s="122" t="inlineStr">
        <is>
          <t>码值：DrawnInterestType</t>
        </is>
      </c>
    </row>
    <row r="704">
      <c r="B704" s="24" t="inlineStr">
        <is>
          <t>DrawnInterestType</t>
        </is>
      </c>
      <c r="C704" s="24" t="inlineStr">
        <is>
          <t>收息方式</t>
        </is>
      </c>
      <c r="D704" s="24" t="inlineStr">
        <is>
          <t>01</t>
        </is>
      </c>
      <c r="E704" s="24" t="inlineStr">
        <is>
          <t>正常收息</t>
        </is>
      </c>
    </row>
    <row r="705">
      <c r="B705" s="24" t="inlineStr">
        <is>
          <t>DrawnInterestType</t>
        </is>
      </c>
      <c r="C705" s="24" t="inlineStr">
        <is>
          <t>收息方式</t>
        </is>
      </c>
      <c r="D705" s="24" t="inlineStr">
        <is>
          <t>02</t>
        </is>
      </c>
      <c r="E705" s="24" t="inlineStr">
        <is>
          <t>后收利息</t>
        </is>
      </c>
    </row>
    <row r="706" ht="15.95" customHeight="1" s="170">
      <c r="B706" s="122" t="inlineStr">
        <is>
          <t>码值：TransactionFlag</t>
        </is>
      </c>
    </row>
    <row r="707">
      <c r="B707" s="24" t="inlineStr">
        <is>
          <t>TransactionFlag</t>
        </is>
      </c>
      <c r="C707" s="24" t="inlineStr">
        <is>
          <t>交易标志</t>
        </is>
      </c>
      <c r="D707" s="24" t="inlineStr">
        <is>
          <t>0</t>
        </is>
      </c>
      <c r="E707" s="24" t="inlineStr">
        <is>
          <t>正常交易</t>
        </is>
      </c>
    </row>
    <row r="708">
      <c r="B708" s="24" t="inlineStr">
        <is>
          <t>TransactionFlag</t>
        </is>
      </c>
      <c r="C708" s="24" t="inlineStr">
        <is>
          <t>交易标志</t>
        </is>
      </c>
      <c r="D708" s="24" t="inlineStr">
        <is>
          <t>1</t>
        </is>
      </c>
      <c r="E708" s="24" t="inlineStr">
        <is>
          <t>冲销交易</t>
        </is>
      </c>
    </row>
    <row r="709">
      <c r="B709" s="24" t="inlineStr">
        <is>
          <t>TransactionFlag</t>
        </is>
      </c>
      <c r="C709" s="24" t="inlineStr">
        <is>
          <t>交易标志</t>
        </is>
      </c>
      <c r="D709" s="24" t="inlineStr">
        <is>
          <t>2</t>
        </is>
      </c>
      <c r="E709" s="24" t="inlineStr">
        <is>
          <t>被冲销交易</t>
        </is>
      </c>
    </row>
    <row r="710">
      <c r="B710" s="24" t="inlineStr">
        <is>
          <t>TransactionFlag</t>
        </is>
      </c>
      <c r="C710" s="24" t="inlineStr">
        <is>
          <t>交易标志</t>
        </is>
      </c>
      <c r="D710" s="24" t="inlineStr">
        <is>
          <t>3</t>
        </is>
      </c>
      <c r="E710" s="24" t="inlineStr">
        <is>
          <t>特殊交易</t>
        </is>
      </c>
    </row>
    <row r="711" ht="15.95" customHeight="1" s="170">
      <c r="B711" s="122" t="inlineStr">
        <is>
          <t>码值：CompanyNature</t>
        </is>
      </c>
    </row>
    <row r="712">
      <c r="B712" s="24" t="inlineStr">
        <is>
          <t>CompanyNature</t>
        </is>
      </c>
      <c r="C712" s="24" t="inlineStr">
        <is>
          <t>单位性质</t>
        </is>
      </c>
      <c r="D712" s="24" t="inlineStr">
        <is>
          <t>01</t>
        </is>
      </c>
      <c r="E712" s="24" t="inlineStr">
        <is>
          <t>事业、机关</t>
        </is>
      </c>
    </row>
    <row r="713">
      <c r="B713" s="24" t="inlineStr">
        <is>
          <t>CompanyNature</t>
        </is>
      </c>
      <c r="C713" s="24" t="inlineStr">
        <is>
          <t>单位性质</t>
        </is>
      </c>
      <c r="D713" s="24" t="inlineStr">
        <is>
          <t>02</t>
        </is>
      </c>
      <c r="E713" s="24" t="inlineStr">
        <is>
          <t>军队</t>
        </is>
      </c>
    </row>
    <row r="714">
      <c r="B714" s="24" t="inlineStr">
        <is>
          <t>CompanyNature</t>
        </is>
      </c>
      <c r="C714" s="24" t="inlineStr">
        <is>
          <t>单位性质</t>
        </is>
      </c>
      <c r="D714" s="24" t="inlineStr">
        <is>
          <t>03</t>
        </is>
      </c>
      <c r="E714" s="24" t="inlineStr">
        <is>
          <t>国有企业</t>
        </is>
      </c>
    </row>
    <row r="715">
      <c r="B715" s="24" t="inlineStr">
        <is>
          <t>CompanyNature</t>
        </is>
      </c>
      <c r="C715" s="24" t="inlineStr">
        <is>
          <t>单位性质</t>
        </is>
      </c>
      <c r="D715" s="24" t="inlineStr">
        <is>
          <t>04</t>
        </is>
      </c>
      <c r="E715" s="24" t="inlineStr">
        <is>
          <t>集体企业</t>
        </is>
      </c>
    </row>
    <row r="716">
      <c r="B716" s="24" t="inlineStr">
        <is>
          <t>CompanyNature</t>
        </is>
      </c>
      <c r="C716" s="24" t="inlineStr">
        <is>
          <t>单位性质</t>
        </is>
      </c>
      <c r="D716" s="24" t="inlineStr">
        <is>
          <t>05</t>
        </is>
      </c>
      <c r="E716" s="24" t="inlineStr">
        <is>
          <t>三资企业</t>
        </is>
      </c>
    </row>
    <row r="717">
      <c r="B717" s="24" t="inlineStr">
        <is>
          <t>CompanyNature</t>
        </is>
      </c>
      <c r="C717" s="24" t="inlineStr">
        <is>
          <t>单位性质</t>
        </is>
      </c>
      <c r="D717" s="24" t="inlineStr">
        <is>
          <t>06</t>
        </is>
      </c>
      <c r="E717" s="24" t="inlineStr">
        <is>
          <t>个人独资企业</t>
        </is>
      </c>
    </row>
    <row r="718">
      <c r="B718" s="24" t="inlineStr">
        <is>
          <t>CompanyNature</t>
        </is>
      </c>
      <c r="C718" s="24" t="inlineStr">
        <is>
          <t>单位性质</t>
        </is>
      </c>
      <c r="D718" s="24" t="inlineStr">
        <is>
          <t>07</t>
        </is>
      </c>
      <c r="E718" s="24" t="inlineStr">
        <is>
          <t>个体</t>
        </is>
      </c>
    </row>
    <row r="719">
      <c r="B719" s="24" t="inlineStr">
        <is>
          <t>CompanyNature</t>
        </is>
      </c>
      <c r="C719" s="24" t="inlineStr">
        <is>
          <t>单位性质</t>
        </is>
      </c>
      <c r="D719" s="24" t="inlineStr">
        <is>
          <t>08</t>
        </is>
      </c>
      <c r="E719" s="24" t="inlineStr">
        <is>
          <t>其他</t>
        </is>
      </c>
    </row>
    <row r="720">
      <c r="B720" s="24" t="inlineStr">
        <is>
          <t>CompanyNature</t>
        </is>
      </c>
      <c r="C720" s="24" t="inlineStr">
        <is>
          <t>单位性质</t>
        </is>
      </c>
      <c r="D720" s="24" t="inlineStr">
        <is>
          <t>09</t>
        </is>
      </c>
      <c r="E720" s="24" t="inlineStr">
        <is>
          <t>境内银行金融机构</t>
        </is>
      </c>
    </row>
    <row r="721">
      <c r="B721" s="24" t="inlineStr">
        <is>
          <t>CompanyNature</t>
        </is>
      </c>
      <c r="C721" s="24" t="inlineStr">
        <is>
          <t>单位性质</t>
        </is>
      </c>
      <c r="D721" s="24" t="inlineStr">
        <is>
          <t>10</t>
        </is>
      </c>
      <c r="E721" s="24" t="inlineStr">
        <is>
          <t>境内非银行金融机构</t>
        </is>
      </c>
    </row>
    <row r="722">
      <c r="B722" s="24" t="inlineStr">
        <is>
          <t>CompanyNature</t>
        </is>
      </c>
      <c r="C722" s="24" t="inlineStr">
        <is>
          <t>单位性质</t>
        </is>
      </c>
      <c r="D722" s="24" t="inlineStr">
        <is>
          <t>11</t>
        </is>
      </c>
      <c r="E722" s="24" t="inlineStr">
        <is>
          <t>境外银行金融机构</t>
        </is>
      </c>
    </row>
    <row r="723">
      <c r="B723" s="24" t="inlineStr">
        <is>
          <t>CompanyNature</t>
        </is>
      </c>
      <c r="C723" s="24" t="inlineStr">
        <is>
          <t>单位性质</t>
        </is>
      </c>
      <c r="D723" s="24" t="inlineStr">
        <is>
          <t>12</t>
        </is>
      </c>
      <c r="E723" s="24" t="inlineStr">
        <is>
          <t xml:space="preserve">境外非银行金融机构 </t>
        </is>
      </c>
    </row>
    <row r="724" ht="15.95" customHeight="1" s="170">
      <c r="B724" s="122" t="inlineStr">
        <is>
          <t>码值：IMAssetType</t>
        </is>
      </c>
    </row>
    <row r="725">
      <c r="B725" s="24" t="inlineStr">
        <is>
          <t>IMAssetType</t>
        </is>
      </c>
      <c r="C725" s="24" t="inlineStr">
        <is>
          <t>无形资产类型</t>
        </is>
      </c>
      <c r="D725" s="24" t="inlineStr">
        <is>
          <t>10</t>
        </is>
      </c>
      <c r="E725" s="24" t="inlineStr">
        <is>
          <t>专利权</t>
        </is>
      </c>
    </row>
    <row r="726">
      <c r="B726" s="24" t="inlineStr">
        <is>
          <t>IMAssetType</t>
        </is>
      </c>
      <c r="C726" s="24" t="inlineStr">
        <is>
          <t>无形资产类型</t>
        </is>
      </c>
      <c r="D726" s="24" t="inlineStr">
        <is>
          <t>20</t>
        </is>
      </c>
      <c r="E726" s="24" t="inlineStr">
        <is>
          <t>商标权</t>
        </is>
      </c>
    </row>
    <row r="727">
      <c r="B727" s="24" t="inlineStr">
        <is>
          <t>IMAssetType</t>
        </is>
      </c>
      <c r="C727" s="24" t="inlineStr">
        <is>
          <t>无形资产类型</t>
        </is>
      </c>
      <c r="D727" s="24" t="inlineStr">
        <is>
          <t>30</t>
        </is>
      </c>
      <c r="E727" s="24" t="inlineStr">
        <is>
          <t>著作权</t>
        </is>
      </c>
    </row>
    <row r="728">
      <c r="B728" s="24" t="inlineStr">
        <is>
          <t>IMAssetType</t>
        </is>
      </c>
      <c r="C728" s="24" t="inlineStr">
        <is>
          <t>无形资产类型</t>
        </is>
      </c>
      <c r="D728" s="24" t="inlineStr">
        <is>
          <t>40</t>
        </is>
      </c>
      <c r="E728" s="24" t="inlineStr">
        <is>
          <t>其他</t>
        </is>
      </c>
    </row>
    <row r="729" ht="15.95" customHeight="1" s="170">
      <c r="B729" s="122" t="inlineStr">
        <is>
          <t>码值：SMECreditAbility</t>
        </is>
      </c>
    </row>
    <row r="730">
      <c r="B730" s="24" t="inlineStr">
        <is>
          <t>SMECreditAbility</t>
        </is>
      </c>
      <c r="C730" s="24" t="inlineStr">
        <is>
          <t>管理能力</t>
        </is>
      </c>
      <c r="D730" s="24" t="inlineStr">
        <is>
          <t>010</t>
        </is>
      </c>
      <c r="E730" s="24" t="inlineStr">
        <is>
          <t>强</t>
        </is>
      </c>
    </row>
    <row r="731">
      <c r="B731" s="24" t="inlineStr">
        <is>
          <t>SMECreditAbility</t>
        </is>
      </c>
      <c r="C731" s="24" t="inlineStr">
        <is>
          <t>管理能力</t>
        </is>
      </c>
      <c r="D731" s="24" t="inlineStr">
        <is>
          <t>020</t>
        </is>
      </c>
      <c r="E731" s="24" t="inlineStr">
        <is>
          <t>一般</t>
        </is>
      </c>
    </row>
    <row r="732">
      <c r="B732" s="24" t="inlineStr">
        <is>
          <t>SMECreditAbility</t>
        </is>
      </c>
      <c r="C732" s="24" t="inlineStr">
        <is>
          <t>管理能力</t>
        </is>
      </c>
      <c r="D732" s="24" t="inlineStr">
        <is>
          <t>030</t>
        </is>
      </c>
      <c r="E732" s="24" t="inlineStr">
        <is>
          <t>弱</t>
        </is>
      </c>
    </row>
    <row r="733" ht="15.95" customHeight="1" s="170">
      <c r="B733" s="122" t="inlineStr">
        <is>
          <t>码值：SubjectSubCategory</t>
        </is>
      </c>
    </row>
    <row r="734">
      <c r="B734" s="24" t="inlineStr">
        <is>
          <t>SubjectSubCategory</t>
        </is>
      </c>
      <c r="C734" s="24" t="inlineStr">
        <is>
          <t>科目子类别</t>
        </is>
      </c>
      <c r="D734" s="24" t="inlineStr">
        <is>
          <t>共同</t>
        </is>
      </c>
      <c r="E734" s="24" t="inlineStr">
        <is>
          <t>共同</t>
        </is>
      </c>
    </row>
    <row r="735">
      <c r="B735" s="24" t="inlineStr">
        <is>
          <t>SubjectSubCategory</t>
        </is>
      </c>
      <c r="C735" s="24" t="inlineStr">
        <is>
          <t>科目子类别</t>
        </is>
      </c>
      <c r="D735" s="24" t="inlineStr">
        <is>
          <t>其他收入</t>
        </is>
      </c>
      <c r="E735" s="24" t="inlineStr">
        <is>
          <t>其他收入</t>
        </is>
      </c>
    </row>
    <row r="736">
      <c r="B736" s="24" t="inlineStr">
        <is>
          <t>SubjectSubCategory</t>
        </is>
      </c>
      <c r="C736" s="24" t="inlineStr">
        <is>
          <t>科目子类别</t>
        </is>
      </c>
      <c r="D736" s="24" t="inlineStr">
        <is>
          <t>其他费用</t>
        </is>
      </c>
      <c r="E736" s="24" t="inlineStr">
        <is>
          <t>其他费用</t>
        </is>
      </c>
    </row>
    <row r="737">
      <c r="B737" s="24" t="inlineStr">
        <is>
          <t>SubjectSubCategory</t>
        </is>
      </c>
      <c r="C737" s="24" t="inlineStr">
        <is>
          <t>科目子类别</t>
        </is>
      </c>
      <c r="D737" s="24" t="inlineStr">
        <is>
          <t>固定资产</t>
        </is>
      </c>
      <c r="E737" s="24" t="inlineStr">
        <is>
          <t>固定资产</t>
        </is>
      </c>
    </row>
    <row r="738">
      <c r="B738" s="24" t="inlineStr">
        <is>
          <t>SubjectSubCategory</t>
        </is>
      </c>
      <c r="C738" s="24" t="inlineStr">
        <is>
          <t>科目子类别</t>
        </is>
      </c>
      <c r="D738" s="24" t="inlineStr">
        <is>
          <t>坏账准备</t>
        </is>
      </c>
      <c r="E738" s="24" t="inlineStr">
        <is>
          <t>坏账准备</t>
        </is>
      </c>
    </row>
    <row r="739">
      <c r="B739" s="24" t="inlineStr">
        <is>
          <t>SubjectSubCategory</t>
        </is>
      </c>
      <c r="C739" s="24" t="inlineStr">
        <is>
          <t>科目子类别</t>
        </is>
      </c>
      <c r="D739" s="24" t="inlineStr">
        <is>
          <t>存货</t>
        </is>
      </c>
      <c r="E739" s="24" t="inlineStr">
        <is>
          <t>存货</t>
        </is>
      </c>
    </row>
    <row r="740">
      <c r="B740" s="24" t="inlineStr">
        <is>
          <t>SubjectSubCategory</t>
        </is>
      </c>
      <c r="C740" s="24" t="inlineStr">
        <is>
          <t>科目子类别</t>
        </is>
      </c>
      <c r="D740" s="24" t="inlineStr">
        <is>
          <t>收入</t>
        </is>
      </c>
      <c r="E740" s="24" t="inlineStr">
        <is>
          <t>收入</t>
        </is>
      </c>
    </row>
    <row r="741">
      <c r="B741" s="24" t="inlineStr">
        <is>
          <t>SubjectSubCategory</t>
        </is>
      </c>
      <c r="C741" s="24" t="inlineStr">
        <is>
          <t>科目子类别</t>
        </is>
      </c>
      <c r="D741" s="24" t="inlineStr">
        <is>
          <t>流动负债</t>
        </is>
      </c>
      <c r="E741" s="24" t="inlineStr">
        <is>
          <t>流动负债</t>
        </is>
      </c>
    </row>
    <row r="742">
      <c r="B742" s="24" t="inlineStr">
        <is>
          <t>SubjectSubCategory</t>
        </is>
      </c>
      <c r="C742" s="24" t="inlineStr">
        <is>
          <t>科目子类别</t>
        </is>
      </c>
      <c r="D742" s="24" t="inlineStr">
        <is>
          <t>流动资产</t>
        </is>
      </c>
      <c r="E742" s="24" t="inlineStr">
        <is>
          <t>流动资产</t>
        </is>
      </c>
    </row>
    <row r="743">
      <c r="B743" s="24" t="inlineStr">
        <is>
          <t>SubjectSubCategory</t>
        </is>
      </c>
      <c r="C743" s="24" t="inlineStr">
        <is>
          <t>科目子类别</t>
        </is>
      </c>
      <c r="D743" s="24" t="inlineStr">
        <is>
          <t>现金</t>
        </is>
      </c>
      <c r="E743" s="24" t="inlineStr">
        <is>
          <t>现金</t>
        </is>
      </c>
    </row>
    <row r="744">
      <c r="B744" s="24" t="inlineStr">
        <is>
          <t>SubjectSubCategory</t>
        </is>
      </c>
      <c r="C744" s="24" t="inlineStr">
        <is>
          <t>科目子类别</t>
        </is>
      </c>
      <c r="D744" s="24" t="inlineStr">
        <is>
          <t>生产成本</t>
        </is>
      </c>
      <c r="E744" s="24" t="inlineStr">
        <is>
          <t>生产成本</t>
        </is>
      </c>
    </row>
    <row r="745">
      <c r="B745" s="24" t="inlineStr">
        <is>
          <t>SubjectSubCategory</t>
        </is>
      </c>
      <c r="C745" s="24" t="inlineStr">
        <is>
          <t>科目子类别</t>
        </is>
      </c>
      <c r="D745" s="24" t="inlineStr">
        <is>
          <t>累计折旧</t>
        </is>
      </c>
      <c r="E745" s="24" t="inlineStr">
        <is>
          <t>累计折旧</t>
        </is>
      </c>
    </row>
    <row r="746">
      <c r="B746" s="24" t="inlineStr">
        <is>
          <t>SubjectSubCategory</t>
        </is>
      </c>
      <c r="C746" s="24" t="inlineStr">
        <is>
          <t>科目子类别</t>
        </is>
      </c>
      <c r="D746" s="24" t="inlineStr">
        <is>
          <t>累计盈余</t>
        </is>
      </c>
      <c r="E746" s="24" t="inlineStr">
        <is>
          <t>累计盈余</t>
        </is>
      </c>
    </row>
    <row r="747">
      <c r="B747" s="24" t="inlineStr">
        <is>
          <t>SubjectSubCategory</t>
        </is>
      </c>
      <c r="C747" s="24" t="inlineStr">
        <is>
          <t>科目子类别</t>
        </is>
      </c>
      <c r="D747" s="24" t="inlineStr">
        <is>
          <t>费用</t>
        </is>
      </c>
      <c r="E747" s="24" t="inlineStr">
        <is>
          <t>费用</t>
        </is>
      </c>
    </row>
    <row r="748">
      <c r="B748" s="24" t="inlineStr">
        <is>
          <t>SubjectSubCategory</t>
        </is>
      </c>
      <c r="C748" s="24" t="inlineStr">
        <is>
          <t>科目子类别</t>
        </is>
      </c>
      <c r="D748" s="24" t="inlineStr">
        <is>
          <t>资本</t>
        </is>
      </c>
      <c r="E748" s="24" t="inlineStr">
        <is>
          <t>资本</t>
        </is>
      </c>
    </row>
    <row r="749">
      <c r="B749" s="24" t="inlineStr">
        <is>
          <t>SubjectSubCategory</t>
        </is>
      </c>
      <c r="C749" s="24" t="inlineStr">
        <is>
          <t>科目子类别</t>
        </is>
      </c>
      <c r="D749" s="24" t="inlineStr">
        <is>
          <t>银行存款</t>
        </is>
      </c>
      <c r="E749" s="24" t="inlineStr">
        <is>
          <t>银行存款</t>
        </is>
      </c>
    </row>
    <row r="750">
      <c r="B750" s="24" t="inlineStr">
        <is>
          <t>SubjectSubCategory</t>
        </is>
      </c>
      <c r="C750" s="24" t="inlineStr">
        <is>
          <t>科目子类别</t>
        </is>
      </c>
      <c r="D750" s="24" t="inlineStr">
        <is>
          <t>销售成本</t>
        </is>
      </c>
      <c r="E750" s="24" t="inlineStr">
        <is>
          <t>销售成本</t>
        </is>
      </c>
    </row>
    <row r="751">
      <c r="B751" s="24" t="inlineStr">
        <is>
          <t>SubjectSubCategory</t>
        </is>
      </c>
      <c r="C751" s="24" t="inlineStr">
        <is>
          <t>科目子类别</t>
        </is>
      </c>
      <c r="D751" s="24" t="inlineStr">
        <is>
          <t>非流动负债</t>
        </is>
      </c>
      <c r="E751" s="24" t="inlineStr">
        <is>
          <t>非流动负债</t>
        </is>
      </c>
    </row>
    <row r="752">
      <c r="B752" s="24" t="inlineStr">
        <is>
          <t>SubjectSubCategory</t>
        </is>
      </c>
      <c r="C752" s="24" t="inlineStr">
        <is>
          <t>科目子类别</t>
        </is>
      </c>
      <c r="D752" s="24" t="inlineStr">
        <is>
          <t>非流动资产</t>
        </is>
      </c>
      <c r="E752" s="24" t="inlineStr">
        <is>
          <t>非流动资产</t>
        </is>
      </c>
    </row>
    <row r="753" ht="15.95" customHeight="1" s="170">
      <c r="B753" s="122" t="inlineStr">
        <is>
          <t>码值：DoNameManager</t>
        </is>
      </c>
    </row>
    <row r="754">
      <c r="B754" s="24" t="inlineStr">
        <is>
          <t>DoNameManager</t>
        </is>
      </c>
      <c r="C754" s="24" t="inlineStr">
        <is>
          <t>虚拟字段取值方法</t>
        </is>
      </c>
      <c r="D754" s="24" t="inlineStr">
        <is>
          <t>CustomerID</t>
        </is>
      </c>
      <c r="E754" s="24" t="inlineStr">
        <is>
          <t>CustomerName</t>
        </is>
      </c>
    </row>
    <row r="755">
      <c r="B755" s="24" t="inlineStr">
        <is>
          <t>DoNameManager</t>
        </is>
      </c>
      <c r="C755" s="24" t="inlineStr">
        <is>
          <t>虚拟字段取值方法</t>
        </is>
      </c>
      <c r="D755" s="24" t="inlineStr">
        <is>
          <t>InputOrgID</t>
        </is>
      </c>
      <c r="E755" s="24" t="inlineStr">
        <is>
          <t>InputOrgName</t>
        </is>
      </c>
    </row>
    <row r="756">
      <c r="B756" s="24" t="inlineStr">
        <is>
          <t>DoNameManager</t>
        </is>
      </c>
      <c r="C756" s="24" t="inlineStr">
        <is>
          <t>虚拟字段取值方法</t>
        </is>
      </c>
      <c r="D756" s="24" t="inlineStr">
        <is>
          <t>InputUserID</t>
        </is>
      </c>
      <c r="E756" s="24" t="inlineStr">
        <is>
          <t>InputUserName</t>
        </is>
      </c>
    </row>
    <row r="757">
      <c r="B757" s="24" t="inlineStr">
        <is>
          <t>DoNameManager</t>
        </is>
      </c>
      <c r="C757" s="24" t="inlineStr">
        <is>
          <t>虚拟字段取值方法</t>
        </is>
      </c>
      <c r="D757" s="24" t="inlineStr">
        <is>
          <t>ProjectId</t>
        </is>
      </c>
      <c r="E757" s="24" t="inlineStr">
        <is>
          <t>ProjectName</t>
        </is>
      </c>
    </row>
    <row r="758" ht="15.95" customHeight="1" s="170">
      <c r="B758" s="122" t="inlineStr">
        <is>
          <t>码值：SavingMode</t>
        </is>
      </c>
    </row>
    <row r="759">
      <c r="B759" s="24" t="inlineStr">
        <is>
          <t>SavingMode</t>
        </is>
      </c>
      <c r="C759" s="24" t="inlineStr">
        <is>
          <t>存单类型押品模板</t>
        </is>
      </c>
      <c r="D759" s="24" t="inlineStr">
        <is>
          <t>01</t>
        </is>
      </c>
      <c r="E759" s="24" t="inlineStr">
        <is>
          <t>活期储蓄</t>
        </is>
      </c>
    </row>
    <row r="760">
      <c r="B760" s="24" t="inlineStr">
        <is>
          <t>SavingMode</t>
        </is>
      </c>
      <c r="C760" s="24" t="inlineStr">
        <is>
          <t>存单类型押品模板</t>
        </is>
      </c>
      <c r="D760" s="24" t="inlineStr">
        <is>
          <t>02</t>
        </is>
      </c>
      <c r="E760" s="24" t="inlineStr">
        <is>
          <t>整存整取</t>
        </is>
      </c>
    </row>
    <row r="761">
      <c r="B761" s="24" t="inlineStr">
        <is>
          <t>SavingMode</t>
        </is>
      </c>
      <c r="C761" s="24" t="inlineStr">
        <is>
          <t>存单类型押品模板</t>
        </is>
      </c>
      <c r="D761" s="24" t="inlineStr">
        <is>
          <t>03</t>
        </is>
      </c>
      <c r="E761" s="24" t="inlineStr">
        <is>
          <t>零存整取</t>
        </is>
      </c>
    </row>
    <row r="762">
      <c r="B762" s="24" t="inlineStr">
        <is>
          <t>SavingMode</t>
        </is>
      </c>
      <c r="C762" s="24" t="inlineStr">
        <is>
          <t>存单类型押品模板</t>
        </is>
      </c>
      <c r="D762" s="24" t="inlineStr">
        <is>
          <t>04</t>
        </is>
      </c>
      <c r="E762" s="24" t="inlineStr">
        <is>
          <t>整存零取</t>
        </is>
      </c>
    </row>
    <row r="763">
      <c r="B763" s="24" t="inlineStr">
        <is>
          <t>SavingMode</t>
        </is>
      </c>
      <c r="C763" s="24" t="inlineStr">
        <is>
          <t>存单类型押品模板</t>
        </is>
      </c>
      <c r="D763" s="24" t="inlineStr">
        <is>
          <t>05</t>
        </is>
      </c>
      <c r="E763" s="24" t="inlineStr">
        <is>
          <t>存本取息</t>
        </is>
      </c>
    </row>
    <row r="764">
      <c r="B764" s="24" t="inlineStr">
        <is>
          <t>SavingMode</t>
        </is>
      </c>
      <c r="C764" s="24" t="inlineStr">
        <is>
          <t>存单类型押品模板</t>
        </is>
      </c>
      <c r="D764" s="24" t="inlineStr">
        <is>
          <t>06</t>
        </is>
      </c>
      <c r="E764" s="24" t="inlineStr">
        <is>
          <t>定活两便</t>
        </is>
      </c>
    </row>
    <row r="765">
      <c r="B765" s="24" t="inlineStr">
        <is>
          <t>SavingMode</t>
        </is>
      </c>
      <c r="C765" s="24" t="inlineStr">
        <is>
          <t>存单类型押品模板</t>
        </is>
      </c>
      <c r="D765" s="24" t="inlineStr">
        <is>
          <t>07</t>
        </is>
      </c>
      <c r="E765" s="24" t="inlineStr">
        <is>
          <t>通知存款</t>
        </is>
      </c>
    </row>
    <row r="766">
      <c r="B766" s="24" t="inlineStr">
        <is>
          <t>SavingMode</t>
        </is>
      </c>
      <c r="C766" s="24" t="inlineStr">
        <is>
          <t>存单类型押品模板</t>
        </is>
      </c>
      <c r="D766" s="24" t="inlineStr">
        <is>
          <t>90</t>
        </is>
      </c>
      <c r="E766" s="24" t="inlineStr">
        <is>
          <t>其他</t>
        </is>
      </c>
    </row>
    <row r="767" ht="15.95" customHeight="1" s="170">
      <c r="B767" s="122" t="inlineStr">
        <is>
          <t>码值：CopyrightScope</t>
        </is>
      </c>
    </row>
    <row r="768">
      <c r="B768" s="24" t="inlineStr">
        <is>
          <t>CopyrightScope</t>
        </is>
      </c>
      <c r="C768" s="24" t="inlineStr">
        <is>
          <t>著作权权利范围</t>
        </is>
      </c>
      <c r="D768" s="24" t="inlineStr">
        <is>
          <t>01</t>
        </is>
      </c>
      <c r="E768" s="24" t="inlineStr">
        <is>
          <t>全部权利</t>
        </is>
      </c>
    </row>
    <row r="769">
      <c r="B769" s="24" t="inlineStr">
        <is>
          <t>CopyrightScope</t>
        </is>
      </c>
      <c r="C769" s="24" t="inlineStr">
        <is>
          <t>著作权权利范围</t>
        </is>
      </c>
      <c r="D769" s="24" t="inlineStr">
        <is>
          <t>02</t>
        </is>
      </c>
      <c r="E769" s="24" t="inlineStr">
        <is>
          <t>发表权</t>
        </is>
      </c>
    </row>
    <row r="770">
      <c r="B770" s="24" t="inlineStr">
        <is>
          <t>CopyrightScope</t>
        </is>
      </c>
      <c r="C770" s="24" t="inlineStr">
        <is>
          <t>著作权权利范围</t>
        </is>
      </c>
      <c r="D770" s="24" t="inlineStr">
        <is>
          <t>03</t>
        </is>
      </c>
      <c r="E770" s="24" t="inlineStr">
        <is>
          <t>署名权</t>
        </is>
      </c>
    </row>
    <row r="771">
      <c r="B771" s="24" t="inlineStr">
        <is>
          <t>CopyrightScope</t>
        </is>
      </c>
      <c r="C771" s="24" t="inlineStr">
        <is>
          <t>著作权权利范围</t>
        </is>
      </c>
      <c r="D771" s="24" t="inlineStr">
        <is>
          <t>04</t>
        </is>
      </c>
      <c r="E771" s="24" t="inlineStr">
        <is>
          <t>修改权</t>
        </is>
      </c>
    </row>
    <row r="772">
      <c r="B772" s="24" t="inlineStr">
        <is>
          <t>CopyrightScope</t>
        </is>
      </c>
      <c r="C772" s="24" t="inlineStr">
        <is>
          <t>著作权权利范围</t>
        </is>
      </c>
      <c r="D772" s="24" t="inlineStr">
        <is>
          <t>05</t>
        </is>
      </c>
      <c r="E772" s="24" t="inlineStr">
        <is>
          <t>保护作品完整权</t>
        </is>
      </c>
    </row>
    <row r="773">
      <c r="B773" s="24" t="inlineStr">
        <is>
          <t>CopyrightScope</t>
        </is>
      </c>
      <c r="C773" s="24" t="inlineStr">
        <is>
          <t>著作权权利范围</t>
        </is>
      </c>
      <c r="D773" s="24" t="inlineStr">
        <is>
          <t>06</t>
        </is>
      </c>
      <c r="E773" s="24" t="inlineStr">
        <is>
          <t>使用权</t>
        </is>
      </c>
    </row>
    <row r="774">
      <c r="B774" s="24" t="inlineStr">
        <is>
          <t>CopyrightScope</t>
        </is>
      </c>
      <c r="C774" s="24" t="inlineStr">
        <is>
          <t>著作权权利范围</t>
        </is>
      </c>
      <c r="D774" s="24" t="inlineStr">
        <is>
          <t>07</t>
        </is>
      </c>
      <c r="E774" s="24" t="inlineStr">
        <is>
          <t>财产权</t>
        </is>
      </c>
    </row>
    <row r="775">
      <c r="B775" s="24" t="inlineStr">
        <is>
          <t>CopyrightScope</t>
        </is>
      </c>
      <c r="C775" s="24" t="inlineStr">
        <is>
          <t>著作权权利范围</t>
        </is>
      </c>
      <c r="D775" s="24" t="inlineStr">
        <is>
          <t>90</t>
        </is>
      </c>
      <c r="E775" s="24" t="inlineStr">
        <is>
          <t>其他</t>
        </is>
      </c>
    </row>
    <row r="776" ht="15.95" customHeight="1" s="170">
      <c r="B776" s="122" t="inlineStr">
        <is>
          <t>码值：ClrOwnerType</t>
        </is>
      </c>
    </row>
    <row r="777">
      <c r="B777" s="24" t="inlineStr">
        <is>
          <t>ClrOwnerType</t>
        </is>
      </c>
      <c r="C777" s="24" t="inlineStr">
        <is>
          <t>权属人类型</t>
        </is>
      </c>
      <c r="D777" s="24" t="inlineStr">
        <is>
          <t>01</t>
        </is>
      </c>
      <c r="E777" s="24" t="inlineStr">
        <is>
          <t>一般法人单位</t>
        </is>
      </c>
    </row>
    <row r="778">
      <c r="B778" s="24" t="inlineStr">
        <is>
          <t>ClrOwnerType</t>
        </is>
      </c>
      <c r="C778" s="24" t="inlineStr">
        <is>
          <t>权属人类型</t>
        </is>
      </c>
      <c r="D778" s="24" t="inlineStr">
        <is>
          <t>02</t>
        </is>
      </c>
      <c r="E778" s="24" t="inlineStr">
        <is>
          <t>专业担保公司</t>
        </is>
      </c>
    </row>
    <row r="779">
      <c r="B779" s="24" t="inlineStr">
        <is>
          <t>ClrOwnerType</t>
        </is>
      </c>
      <c r="C779" s="24" t="inlineStr">
        <is>
          <t>权属人类型</t>
        </is>
      </c>
      <c r="D779" s="24" t="inlineStr">
        <is>
          <t>03</t>
        </is>
      </c>
      <c r="E779" s="24" t="inlineStr">
        <is>
          <t>银行</t>
        </is>
      </c>
    </row>
    <row r="780">
      <c r="B780" s="24" t="inlineStr">
        <is>
          <t>ClrOwnerType</t>
        </is>
      </c>
      <c r="C780" s="24" t="inlineStr">
        <is>
          <t>权属人类型</t>
        </is>
      </c>
      <c r="D780" s="24" t="inlineStr">
        <is>
          <t>04</t>
        </is>
      </c>
      <c r="E780" s="24" t="inlineStr">
        <is>
          <t>保险公司</t>
        </is>
      </c>
    </row>
    <row r="781">
      <c r="B781" s="24" t="inlineStr">
        <is>
          <t>ClrOwnerType</t>
        </is>
      </c>
      <c r="C781" s="24" t="inlineStr">
        <is>
          <t>权属人类型</t>
        </is>
      </c>
      <c r="D781" s="24" t="inlineStr">
        <is>
          <t>05</t>
        </is>
      </c>
      <c r="E781" s="24" t="inlineStr">
        <is>
          <t>证券公司</t>
        </is>
      </c>
    </row>
    <row r="782">
      <c r="B782" s="24" t="inlineStr">
        <is>
          <t>ClrOwnerType</t>
        </is>
      </c>
      <c r="C782" s="24" t="inlineStr">
        <is>
          <t>权属人类型</t>
        </is>
      </c>
      <c r="D782" s="24" t="inlineStr">
        <is>
          <t>06</t>
        </is>
      </c>
      <c r="E782" s="24" t="inlineStr">
        <is>
          <t>自然人</t>
        </is>
      </c>
    </row>
    <row r="783">
      <c r="B783" s="24" t="inlineStr">
        <is>
          <t>ClrOwnerType</t>
        </is>
      </c>
      <c r="C783" s="24" t="inlineStr">
        <is>
          <t>权属人类型</t>
        </is>
      </c>
      <c r="D783" s="24" t="inlineStr">
        <is>
          <t>90</t>
        </is>
      </c>
      <c r="E783" s="24" t="inlineStr">
        <is>
          <t>其他</t>
        </is>
      </c>
    </row>
    <row r="784" ht="15.95" customHeight="1" s="170">
      <c r="B784" s="122" t="inlineStr">
        <is>
          <t>码值：ViewSetManage</t>
        </is>
      </c>
    </row>
    <row r="785">
      <c r="B785" s="24" t="inlineStr">
        <is>
          <t>ViewSetManage</t>
        </is>
      </c>
      <c r="C785" s="24" t="inlineStr">
        <is>
          <t>展示Tab配置管理</t>
        </is>
      </c>
      <c r="D785" s="24" t="inlineStr">
        <is>
          <t>InputApplyDetail2</t>
        </is>
      </c>
      <c r="E785" s="24" t="inlineStr">
        <is>
          <t>录入附属申请信息</t>
        </is>
      </c>
    </row>
    <row r="786">
      <c r="B786" s="24" t="inlineStr">
        <is>
          <t>ViewSetManage</t>
        </is>
      </c>
      <c r="C786" s="24" t="inlineStr">
        <is>
          <t>展示Tab配置管理</t>
        </is>
      </c>
      <c r="D786" s="24" t="inlineStr">
        <is>
          <t>genReport</t>
        </is>
      </c>
      <c r="E786" s="24" t="inlineStr">
        <is>
          <t>制作调查报告</t>
        </is>
      </c>
    </row>
    <row r="787">
      <c r="B787" s="24" t="inlineStr">
        <is>
          <t>ViewSetManage</t>
        </is>
      </c>
      <c r="C787" s="24" t="inlineStr">
        <is>
          <t>展示Tab配置管理</t>
        </is>
      </c>
      <c r="D787" s="24" t="inlineStr">
        <is>
          <t>inputApplyDetail</t>
        </is>
      </c>
      <c r="E787" s="24" t="inlineStr">
        <is>
          <t>录入申请信息</t>
        </is>
      </c>
    </row>
    <row r="788">
      <c r="B788" s="24" t="inlineStr">
        <is>
          <t>ViewSetManage</t>
        </is>
      </c>
      <c r="C788" s="24" t="inlineStr">
        <is>
          <t>展示Tab配置管理</t>
        </is>
      </c>
      <c r="D788" s="24" t="inlineStr">
        <is>
          <t>inputApproveDetail</t>
        </is>
      </c>
      <c r="E788" s="24" t="inlineStr">
        <is>
          <t>登记批复意见</t>
        </is>
      </c>
    </row>
    <row r="789">
      <c r="B789" s="24" t="inlineStr">
        <is>
          <t>ViewSetManage</t>
        </is>
      </c>
      <c r="C789" s="24" t="inlineStr">
        <is>
          <t>展示Tab配置管理</t>
        </is>
      </c>
      <c r="D789" s="24" t="inlineStr">
        <is>
          <t>inputCustomerDetail</t>
        </is>
      </c>
      <c r="E789" s="24" t="inlineStr">
        <is>
          <t>完善客户信息</t>
        </is>
      </c>
    </row>
    <row r="790">
      <c r="B790" s="24" t="inlineStr">
        <is>
          <t>ViewSetManage</t>
        </is>
      </c>
      <c r="C790" s="24" t="inlineStr">
        <is>
          <t>展示Tab配置管理</t>
        </is>
      </c>
      <c r="D790" s="24" t="inlineStr">
        <is>
          <t>readme</t>
        </is>
      </c>
      <c r="E790" s="24" t="inlineStr">
        <is>
          <t>默认标题</t>
        </is>
      </c>
    </row>
    <row r="791">
      <c r="B791" s="24" t="inlineStr">
        <is>
          <t>ViewSetManage</t>
        </is>
      </c>
      <c r="C791" s="24" t="inlineStr">
        <is>
          <t>展示Tab配置管理</t>
        </is>
      </c>
      <c r="D791" s="24" t="inlineStr">
        <is>
          <t>recordProblem</t>
        </is>
      </c>
      <c r="E791" s="24" t="inlineStr">
        <is>
          <t>Apply@确认记录问题@Approve@记录问题</t>
        </is>
      </c>
    </row>
    <row r="792">
      <c r="B792" s="24" t="inlineStr">
        <is>
          <t>ViewSetManage</t>
        </is>
      </c>
      <c r="C792" s="24" t="inlineStr">
        <is>
          <t>展示Tab配置管理</t>
        </is>
      </c>
      <c r="D792" s="24" t="inlineStr">
        <is>
          <t>riskSkan</t>
        </is>
      </c>
      <c r="E792" s="24" t="inlineStr">
        <is>
          <t>检测业务风险</t>
        </is>
      </c>
    </row>
    <row r="793">
      <c r="B793" s="24" t="inlineStr">
        <is>
          <t>ViewSetManage</t>
        </is>
      </c>
      <c r="C793" s="24" t="inlineStr">
        <is>
          <t>展示Tab配置管理</t>
        </is>
      </c>
      <c r="D793" s="24" t="inlineStr">
        <is>
          <t>scanImage</t>
        </is>
      </c>
      <c r="E793" s="24" t="inlineStr">
        <is>
          <t>影像资料</t>
        </is>
      </c>
    </row>
    <row r="794">
      <c r="B794" s="24" t="inlineStr">
        <is>
          <t>ViewSetManage</t>
        </is>
      </c>
      <c r="C794" s="24" t="inlineStr">
        <is>
          <t>展示Tab配置管理</t>
        </is>
      </c>
      <c r="D794" s="24" t="inlineStr">
        <is>
          <t>signApplyOpinion</t>
        </is>
      </c>
      <c r="E794" s="24" t="inlineStr">
        <is>
          <t>签署意见</t>
        </is>
      </c>
    </row>
    <row r="795">
      <c r="B795" s="24" t="inlineStr">
        <is>
          <t>ViewSetManage</t>
        </is>
      </c>
      <c r="C795" s="24" t="inlineStr">
        <is>
          <t>展示Tab配置管理</t>
        </is>
      </c>
      <c r="D795" s="24" t="inlineStr">
        <is>
          <t>signTaskOpinion</t>
        </is>
      </c>
      <c r="E795" s="24" t="inlineStr">
        <is>
          <t>签署意见</t>
        </is>
      </c>
    </row>
    <row r="796">
      <c r="B796" s="24" t="inlineStr">
        <is>
          <t>ViewSetManage</t>
        </is>
      </c>
      <c r="C796" s="24" t="inlineStr">
        <is>
          <t>展示Tab配置管理</t>
        </is>
      </c>
      <c r="D796" s="24" t="inlineStr">
        <is>
          <t>viewApplyDetail</t>
        </is>
      </c>
      <c r="E796" s="24" t="inlineStr">
        <is>
          <t>查看申请信息</t>
        </is>
      </c>
    </row>
    <row r="797">
      <c r="B797" s="24" t="inlineStr">
        <is>
          <t>ViewSetManage</t>
        </is>
      </c>
      <c r="C797" s="24" t="inlineStr">
        <is>
          <t>展示Tab配置管理</t>
        </is>
      </c>
      <c r="D797" s="24" t="inlineStr">
        <is>
          <t>viewApplyDetail2</t>
        </is>
      </c>
      <c r="E797" s="24" t="inlineStr">
        <is>
          <t>查看附属申请信息</t>
        </is>
      </c>
    </row>
    <row r="798">
      <c r="B798" s="24" t="inlineStr">
        <is>
          <t>ViewSetManage</t>
        </is>
      </c>
      <c r="C798" s="24" t="inlineStr">
        <is>
          <t>展示Tab配置管理</t>
        </is>
      </c>
      <c r="D798" s="24" t="inlineStr">
        <is>
          <t>viewApplyFlowOpinions</t>
        </is>
      </c>
      <c r="E798" s="24" t="inlineStr">
        <is>
          <t>查看各级意见</t>
        </is>
      </c>
    </row>
    <row r="799">
      <c r="B799" s="24" t="inlineStr">
        <is>
          <t>ViewSetManage</t>
        </is>
      </c>
      <c r="C799" s="24" t="inlineStr">
        <is>
          <t>展示Tab配置管理</t>
        </is>
      </c>
      <c r="D799" s="24" t="inlineStr">
        <is>
          <t>viewApproveDetail</t>
        </is>
      </c>
      <c r="E799" s="24" t="inlineStr">
        <is>
          <t>批复意见详情</t>
        </is>
      </c>
    </row>
    <row r="800">
      <c r="B800" s="24" t="inlineStr">
        <is>
          <t>ViewSetManage</t>
        </is>
      </c>
      <c r="C800" s="24" t="inlineStr">
        <is>
          <t>展示Tab配置管理</t>
        </is>
      </c>
      <c r="D800" s="24" t="inlineStr">
        <is>
          <t>viewGroupDetail</t>
        </is>
      </c>
      <c r="E800" s="24" t="inlineStr">
        <is>
          <t>客户所在集团详情</t>
        </is>
      </c>
    </row>
    <row r="801">
      <c r="B801" s="24" t="inlineStr">
        <is>
          <t>ViewSetManage</t>
        </is>
      </c>
      <c r="C801" s="24" t="inlineStr">
        <is>
          <t>展示Tab配置管理</t>
        </is>
      </c>
      <c r="D801" s="24" t="inlineStr">
        <is>
          <t>viewHistoryOpinion</t>
        </is>
      </c>
      <c r="E801" s="24" t="inlineStr">
        <is>
          <t>历史审批业务</t>
        </is>
      </c>
    </row>
    <row r="802">
      <c r="B802" s="24" t="inlineStr">
        <is>
          <t>ViewSetManage</t>
        </is>
      </c>
      <c r="C802" s="24" t="inlineStr">
        <is>
          <t>展示Tab配置管理</t>
        </is>
      </c>
      <c r="D802" s="24" t="inlineStr">
        <is>
          <t>viewReport</t>
        </is>
      </c>
      <c r="E802" s="24" t="inlineStr">
        <is>
          <t>查看调查报告</t>
        </is>
      </c>
    </row>
    <row r="803" ht="15.95" customHeight="1" s="170">
      <c r="B803" s="122" t="inlineStr">
        <is>
          <t>码值：PrecatoryType</t>
        </is>
      </c>
    </row>
    <row r="804">
      <c r="B804" s="24" t="inlineStr">
        <is>
          <t>PrecatoryType</t>
        </is>
      </c>
      <c r="C804" s="24" t="inlineStr">
        <is>
          <t>委托贷款类型</t>
        </is>
      </c>
      <c r="D804" s="24" t="inlineStr">
        <is>
          <t>1</t>
        </is>
      </c>
      <c r="E804" s="24" t="inlineStr">
        <is>
          <t>政府</t>
        </is>
      </c>
    </row>
    <row r="805">
      <c r="B805" s="24" t="inlineStr">
        <is>
          <t>PrecatoryType</t>
        </is>
      </c>
      <c r="C805" s="24" t="inlineStr">
        <is>
          <t>委托贷款类型</t>
        </is>
      </c>
      <c r="D805" s="24" t="inlineStr">
        <is>
          <t>2</t>
        </is>
      </c>
      <c r="E805" s="24" t="inlineStr">
        <is>
          <t>央行</t>
        </is>
      </c>
    </row>
    <row r="806">
      <c r="B806" s="24" t="inlineStr">
        <is>
          <t>PrecatoryType</t>
        </is>
      </c>
      <c r="C806" s="24" t="inlineStr">
        <is>
          <t>委托贷款类型</t>
        </is>
      </c>
      <c r="D806" s="24" t="inlineStr">
        <is>
          <t>3</t>
        </is>
      </c>
      <c r="E806" s="24" t="inlineStr">
        <is>
          <t>企业</t>
        </is>
      </c>
    </row>
    <row r="807">
      <c r="B807" s="24" t="inlineStr">
        <is>
          <t>PrecatoryType</t>
        </is>
      </c>
      <c r="C807" s="24" t="inlineStr">
        <is>
          <t>委托贷款类型</t>
        </is>
      </c>
      <c r="D807" s="24" t="inlineStr">
        <is>
          <t>4</t>
        </is>
      </c>
      <c r="E807" s="24" t="inlineStr">
        <is>
          <t>个人</t>
        </is>
      </c>
    </row>
    <row r="808">
      <c r="B808" s="24" t="inlineStr">
        <is>
          <t>PrecatoryType</t>
        </is>
      </c>
      <c r="C808" s="24" t="inlineStr">
        <is>
          <t>委托贷款类型</t>
        </is>
      </c>
      <c r="D808" s="24" t="inlineStr">
        <is>
          <t>5</t>
        </is>
      </c>
      <c r="E808" s="24" t="inlineStr">
        <is>
          <t>其它</t>
        </is>
      </c>
    </row>
    <row r="809" ht="15.95" customHeight="1" s="170">
      <c r="B809" s="122" t="inlineStr">
        <is>
          <t>码值：FinanceClApplyView</t>
        </is>
      </c>
    </row>
    <row r="810">
      <c r="B810" s="24" t="inlineStr">
        <is>
          <t>FinanceClApplyView</t>
        </is>
      </c>
      <c r="C810" s="24" t="inlineStr">
        <is>
          <t>同业单一授信申请视图</t>
        </is>
      </c>
      <c r="D810" s="24" t="inlineStr">
        <is>
          <t>010</t>
        </is>
      </c>
      <c r="E810" s="24" t="inlineStr">
        <is>
          <t>基本信息</t>
        </is>
      </c>
    </row>
    <row r="811">
      <c r="B811" s="24" t="inlineStr">
        <is>
          <t>FinanceClApplyView</t>
        </is>
      </c>
      <c r="C811" s="24" t="inlineStr">
        <is>
          <t>同业单一授信申请视图</t>
        </is>
      </c>
      <c r="D811" s="24" t="inlineStr">
        <is>
          <t>020</t>
        </is>
      </c>
      <c r="E811" s="24" t="inlineStr">
        <is>
          <t>共同申请人</t>
        </is>
      </c>
    </row>
    <row r="812">
      <c r="B812" s="24" t="inlineStr">
        <is>
          <t>FinanceClApplyView</t>
        </is>
      </c>
      <c r="C812" s="24" t="inlineStr">
        <is>
          <t>同业单一授信申请视图</t>
        </is>
      </c>
      <c r="D812" s="24" t="inlineStr">
        <is>
          <t>030</t>
        </is>
      </c>
      <c r="E812" s="24" t="inlineStr">
        <is>
          <t>担保信息</t>
        </is>
      </c>
    </row>
    <row r="813">
      <c r="B813" s="24" t="inlineStr">
        <is>
          <t>FinanceClApplyView</t>
        </is>
      </c>
      <c r="C813" s="24" t="inlineStr">
        <is>
          <t>同业单一授信申请视图</t>
        </is>
      </c>
      <c r="D813" s="24" t="inlineStr">
        <is>
          <t>030010</t>
        </is>
      </c>
      <c r="E813" s="24" t="inlineStr">
        <is>
          <t>保证信息</t>
        </is>
      </c>
    </row>
    <row r="814">
      <c r="B814" s="24" t="inlineStr">
        <is>
          <t>FinanceClApplyView</t>
        </is>
      </c>
      <c r="C814" s="24" t="inlineStr">
        <is>
          <t>同业单一授信申请视图</t>
        </is>
      </c>
      <c r="D814" s="24" t="inlineStr">
        <is>
          <t>030030</t>
        </is>
      </c>
      <c r="E814" s="24" t="inlineStr">
        <is>
          <t>质押信息</t>
        </is>
      </c>
    </row>
    <row r="815">
      <c r="B815" s="24" t="inlineStr">
        <is>
          <t>FinanceClApplyView</t>
        </is>
      </c>
      <c r="C815" s="24" t="inlineStr">
        <is>
          <t>同业单一授信申请视图</t>
        </is>
      </c>
      <c r="D815" s="24" t="inlineStr">
        <is>
          <t>030040</t>
        </is>
      </c>
      <c r="E815" s="24" t="inlineStr">
        <is>
          <t>引入最高额担保合同</t>
        </is>
      </c>
    </row>
    <row r="816">
      <c r="B816" s="24" t="inlineStr">
        <is>
          <t>FinanceClApplyView</t>
        </is>
      </c>
      <c r="C816" s="24" t="inlineStr">
        <is>
          <t>同业单一授信申请视图</t>
        </is>
      </c>
      <c r="D816" s="24" t="inlineStr">
        <is>
          <t>03020</t>
        </is>
      </c>
      <c r="E816" s="24" t="inlineStr">
        <is>
          <t>抵押信息</t>
        </is>
      </c>
    </row>
    <row r="817">
      <c r="B817" s="24" t="inlineStr">
        <is>
          <t>FinanceClApplyView</t>
        </is>
      </c>
      <c r="C817" s="24" t="inlineStr">
        <is>
          <t>同业单一授信申请视图</t>
        </is>
      </c>
      <c r="D817" s="24" t="inlineStr">
        <is>
          <t>040</t>
        </is>
      </c>
      <c r="E817" s="24" t="inlineStr">
        <is>
          <t>业务文档信息</t>
        </is>
      </c>
    </row>
    <row r="818" ht="15.95" customHeight="1" s="170">
      <c r="B818" s="122" t="inlineStr">
        <is>
          <t>码值：IndustryPolicy</t>
        </is>
      </c>
    </row>
    <row r="819">
      <c r="B819" s="24" t="inlineStr">
        <is>
          <t>IndustryPolicy</t>
        </is>
      </c>
      <c r="C819" s="24" t="inlineStr">
        <is>
          <t>信用等级评估统一导入</t>
        </is>
      </c>
      <c r="D819" s="24" t="inlineStr">
        <is>
          <t>01</t>
        </is>
      </c>
      <c r="E819" s="24" t="inlineStr">
        <is>
          <t>鼓励发展</t>
        </is>
      </c>
    </row>
    <row r="820">
      <c r="B820" s="24" t="inlineStr">
        <is>
          <t>IndustryPolicy</t>
        </is>
      </c>
      <c r="C820" s="24" t="inlineStr">
        <is>
          <t>信用等级评估统一导入</t>
        </is>
      </c>
      <c r="D820" s="24" t="inlineStr">
        <is>
          <t>02</t>
        </is>
      </c>
      <c r="E820" s="24" t="inlineStr">
        <is>
          <t>一般态度</t>
        </is>
      </c>
    </row>
    <row r="821">
      <c r="B821" s="24" t="inlineStr">
        <is>
          <t>IndustryPolicy</t>
        </is>
      </c>
      <c r="C821" s="24" t="inlineStr">
        <is>
          <t>信用等级评估统一导入</t>
        </is>
      </c>
      <c r="D821" s="24" t="inlineStr">
        <is>
          <t>03</t>
        </is>
      </c>
      <c r="E821" s="24" t="inlineStr">
        <is>
          <t>限制发展</t>
        </is>
      </c>
    </row>
    <row r="822">
      <c r="B822" s="24" t="inlineStr">
        <is>
          <t>IndustryPolicy</t>
        </is>
      </c>
      <c r="C822" s="24" t="inlineStr">
        <is>
          <t>信用等级评估统一导入</t>
        </is>
      </c>
      <c r="D822" s="24" t="inlineStr">
        <is>
          <t>04</t>
        </is>
      </c>
      <c r="E822" s="24" t="inlineStr">
        <is>
          <t>要求淘汰</t>
        </is>
      </c>
    </row>
    <row r="823" ht="15.95" customHeight="1" s="170">
      <c r="B823" s="122" t="inlineStr">
        <is>
          <t>码值：PersonType1</t>
        </is>
      </c>
    </row>
    <row r="824">
      <c r="B824" s="24" t="inlineStr">
        <is>
          <t>PersonType1</t>
        </is>
      </c>
      <c r="C824" s="24" t="inlineStr">
        <is>
          <t>代理人类型</t>
        </is>
      </c>
      <c r="D824" s="24" t="inlineStr">
        <is>
          <t>01</t>
        </is>
      </c>
      <c r="E824" s="24" t="inlineStr">
        <is>
          <t>我行员工</t>
        </is>
      </c>
    </row>
    <row r="825">
      <c r="B825" s="24" t="inlineStr">
        <is>
          <t>PersonType1</t>
        </is>
      </c>
      <c r="C825" s="24" t="inlineStr">
        <is>
          <t>代理人类型</t>
        </is>
      </c>
      <c r="D825" s="24" t="inlineStr">
        <is>
          <t>02</t>
        </is>
      </c>
      <c r="E825" s="24" t="inlineStr">
        <is>
          <t>外聘律师</t>
        </is>
      </c>
    </row>
    <row r="826" ht="15.95" customHeight="1" s="170">
      <c r="B826" s="122" t="inlineStr">
        <is>
          <t>码值：EvaluateApplyMain</t>
        </is>
      </c>
    </row>
    <row r="827">
      <c r="B827" s="24" t="inlineStr">
        <is>
          <t>EvaluateApplyMain</t>
        </is>
      </c>
      <c r="C827" s="24" t="inlineStr">
        <is>
          <t>信用等级认定申请主树图</t>
        </is>
      </c>
      <c r="D827" s="24" t="inlineStr">
        <is>
          <t>1010</t>
        </is>
      </c>
      <c r="E827" s="24" t="inlineStr">
        <is>
          <t>待处理申请</t>
        </is>
      </c>
    </row>
    <row r="828">
      <c r="B828" s="24" t="inlineStr">
        <is>
          <t>EvaluateApplyMain</t>
        </is>
      </c>
      <c r="C828" s="24" t="inlineStr">
        <is>
          <t>信用等级认定申请主树图</t>
        </is>
      </c>
      <c r="D828" s="24" t="inlineStr">
        <is>
          <t>1020</t>
        </is>
      </c>
      <c r="E828" s="24" t="inlineStr">
        <is>
          <t>审查中申请</t>
        </is>
      </c>
    </row>
    <row r="829">
      <c r="B829" s="24" t="inlineStr">
        <is>
          <t>EvaluateApplyMain</t>
        </is>
      </c>
      <c r="C829" s="24" t="inlineStr">
        <is>
          <t>信用等级认定申请主树图</t>
        </is>
      </c>
      <c r="D829" s="24" t="inlineStr">
        <is>
          <t>1030</t>
        </is>
      </c>
      <c r="E829" s="24" t="inlineStr">
        <is>
          <t>审批通过申请</t>
        </is>
      </c>
    </row>
    <row r="830">
      <c r="B830" s="24" t="inlineStr">
        <is>
          <t>EvaluateApplyMain</t>
        </is>
      </c>
      <c r="C830" s="24" t="inlineStr">
        <is>
          <t>信用等级认定申请主树图</t>
        </is>
      </c>
      <c r="D830" s="24" t="inlineStr">
        <is>
          <t>1030,1040</t>
        </is>
      </c>
      <c r="E830" s="24" t="inlineStr">
        <is>
          <t>处理完成</t>
        </is>
      </c>
    </row>
    <row r="831" ht="15.95" customHeight="1" s="170">
      <c r="B831" s="122" t="inlineStr">
        <is>
          <t>码值：JobAge</t>
        </is>
      </c>
    </row>
    <row r="832">
      <c r="B832" s="24" t="inlineStr">
        <is>
          <t>JobAge</t>
        </is>
      </c>
      <c r="C832" s="24" t="inlineStr">
        <is>
          <t>信用等级评估统一导入</t>
        </is>
      </c>
      <c r="D832" s="24" t="inlineStr">
        <is>
          <t>01</t>
        </is>
      </c>
      <c r="E832" s="24" t="inlineStr">
        <is>
          <t>5年及5年以上</t>
        </is>
      </c>
    </row>
    <row r="833">
      <c r="B833" s="24" t="inlineStr">
        <is>
          <t>JobAge</t>
        </is>
      </c>
      <c r="C833" s="24" t="inlineStr">
        <is>
          <t>信用等级评估统一导入</t>
        </is>
      </c>
      <c r="D833" s="24" t="inlineStr">
        <is>
          <t>02</t>
        </is>
      </c>
      <c r="E833" s="24" t="inlineStr">
        <is>
          <t>1年至5年</t>
        </is>
      </c>
    </row>
    <row r="834">
      <c r="B834" s="24" t="inlineStr">
        <is>
          <t>JobAge</t>
        </is>
      </c>
      <c r="C834" s="24" t="inlineStr">
        <is>
          <t>信用等级评估统一导入</t>
        </is>
      </c>
      <c r="D834" s="24" t="inlineStr">
        <is>
          <t>03</t>
        </is>
      </c>
      <c r="E834" s="24" t="inlineStr">
        <is>
          <t>1年以内</t>
        </is>
      </c>
    </row>
    <row r="835" ht="15.95" customHeight="1" s="170">
      <c r="B835" s="122" t="inlineStr">
        <is>
          <t>码值：国家产业政策</t>
        </is>
      </c>
    </row>
    <row r="836">
      <c r="B836" s="24" t="inlineStr">
        <is>
          <t>国家产业政策</t>
        </is>
      </c>
      <c r="C836" s="24" t="inlineStr">
        <is>
          <t>国家产业政策</t>
        </is>
      </c>
      <c r="D836" s="24" t="inlineStr">
        <is>
          <t>1</t>
        </is>
      </c>
      <c r="E836" s="24" t="inlineStr">
        <is>
          <t>鼓励发展</t>
        </is>
      </c>
    </row>
    <row r="837">
      <c r="B837" s="24" t="inlineStr">
        <is>
          <t>国家产业政策</t>
        </is>
      </c>
      <c r="C837" s="24" t="inlineStr">
        <is>
          <t>国家产业政策</t>
        </is>
      </c>
      <c r="D837" s="24" t="inlineStr">
        <is>
          <t>2</t>
        </is>
      </c>
      <c r="E837" s="24" t="inlineStr">
        <is>
          <t>一般态度</t>
        </is>
      </c>
    </row>
    <row r="838">
      <c r="B838" s="24" t="inlineStr">
        <is>
          <t>国家产业政策</t>
        </is>
      </c>
      <c r="C838" s="24" t="inlineStr">
        <is>
          <t>国家产业政策</t>
        </is>
      </c>
      <c r="D838" s="24" t="inlineStr">
        <is>
          <t>3</t>
        </is>
      </c>
      <c r="E838" s="24" t="inlineStr">
        <is>
          <t>限制发展</t>
        </is>
      </c>
    </row>
    <row r="839">
      <c r="B839" s="24" t="inlineStr">
        <is>
          <t>国家产业政策</t>
        </is>
      </c>
      <c r="C839" s="24" t="inlineStr">
        <is>
          <t>国家产业政策</t>
        </is>
      </c>
      <c r="D839" s="24" t="inlineStr">
        <is>
          <t>4</t>
        </is>
      </c>
      <c r="E839" s="24" t="inlineStr">
        <is>
          <t>要求淘汰</t>
        </is>
      </c>
    </row>
    <row r="840" ht="15.95" customHeight="1" s="170">
      <c r="B840" s="122" t="inlineStr">
        <is>
          <t>码值：RepaySource</t>
        </is>
      </c>
    </row>
    <row r="841">
      <c r="B841" s="24" t="inlineStr">
        <is>
          <t>RepaySource</t>
        </is>
      </c>
      <c r="C841" s="24" t="inlineStr">
        <is>
          <t>还款来源</t>
        </is>
      </c>
      <c r="D841" s="24" t="inlineStr">
        <is>
          <t>01</t>
        </is>
      </c>
      <c r="E841" s="24" t="inlineStr">
        <is>
          <t>企业通过自身经营产生现金流偿还</t>
        </is>
      </c>
    </row>
    <row r="842">
      <c r="B842" s="24" t="inlineStr">
        <is>
          <t>RepaySource</t>
        </is>
      </c>
      <c r="C842" s="24" t="inlineStr">
        <is>
          <t>还款来源</t>
        </is>
      </c>
      <c r="D842" s="24" t="inlineStr">
        <is>
          <t>02</t>
        </is>
      </c>
      <c r="E842" s="24" t="inlineStr">
        <is>
          <t>其他</t>
        </is>
      </c>
    </row>
    <row r="843" ht="15.95" customHeight="1" s="170">
      <c r="B843" s="122" t="inlineStr">
        <is>
          <t>码值：政府的支持能力</t>
        </is>
      </c>
    </row>
    <row r="844">
      <c r="B844" s="24" t="inlineStr">
        <is>
          <t>政府的支持能力</t>
        </is>
      </c>
      <c r="C844" s="24" t="inlineStr">
        <is>
          <t>政府的支持能力</t>
        </is>
      </c>
      <c r="D844" s="24" t="inlineStr">
        <is>
          <t>01</t>
        </is>
      </c>
      <c r="E844" s="24" t="inlineStr">
        <is>
          <t>客户所属政府或主管部门为中央级别；或人均可支配收入水平居全国前列，且地方本级财政总收入位居全国前列。</t>
        </is>
      </c>
    </row>
    <row r="845">
      <c r="B845" s="24" t="inlineStr">
        <is>
          <t>政府的支持能力</t>
        </is>
      </c>
      <c r="C845" s="24" t="inlineStr">
        <is>
          <t>政府的支持能力</t>
        </is>
      </c>
      <c r="D845" s="24" t="inlineStr">
        <is>
          <t>02</t>
        </is>
      </c>
      <c r="E845" s="24" t="inlineStr">
        <is>
          <t>客户所在地方人均可支配收入水平居全国中游，且地方本级财政总收入位居全国前列。</t>
        </is>
      </c>
    </row>
    <row r="846">
      <c r="B846" s="24" t="inlineStr">
        <is>
          <t>政府的支持能力</t>
        </is>
      </c>
      <c r="C846" s="24" t="inlineStr">
        <is>
          <t>政府的支持能力</t>
        </is>
      </c>
      <c r="D846" s="24" t="inlineStr">
        <is>
          <t>03</t>
        </is>
      </c>
      <c r="E846" s="24" t="inlineStr">
        <is>
          <t>客户所在地方人均可支配收入水平居全国中游，且地方本级财政总收入位居全国中游。</t>
        </is>
      </c>
    </row>
    <row r="847">
      <c r="B847" s="24" t="inlineStr">
        <is>
          <t>政府的支持能力</t>
        </is>
      </c>
      <c r="C847" s="24" t="inlineStr">
        <is>
          <t>政府的支持能力</t>
        </is>
      </c>
      <c r="D847" s="24" t="inlineStr">
        <is>
          <t>04</t>
        </is>
      </c>
      <c r="E847" s="24" t="inlineStr">
        <is>
          <t>客户所在地方人均可支配收入水平居全国下游，且地方本级财政总收入位居全国中游。</t>
        </is>
      </c>
    </row>
    <row r="848">
      <c r="B848" s="24" t="inlineStr">
        <is>
          <t>政府的支持能力</t>
        </is>
      </c>
      <c r="C848" s="24" t="inlineStr">
        <is>
          <t>政府的支持能力</t>
        </is>
      </c>
      <c r="D848" s="24" t="inlineStr">
        <is>
          <t>05</t>
        </is>
      </c>
      <c r="E848" s="24" t="inlineStr">
        <is>
          <t>客户所在地方人均可支配收入水平居全国下游，且地方本级财政总收入位居全国下游。</t>
        </is>
      </c>
    </row>
    <row r="849" ht="15.95" customHeight="1" s="170">
      <c r="B849" s="122" t="inlineStr">
        <is>
          <t>码值：YesOrNo</t>
        </is>
      </c>
    </row>
    <row r="850">
      <c r="B850" s="24" t="inlineStr">
        <is>
          <t>YesOrNo</t>
        </is>
      </c>
      <c r="C850" s="24" t="inlineStr">
        <is>
          <t>是否</t>
        </is>
      </c>
      <c r="D850" s="24" t="inlineStr">
        <is>
          <t>01</t>
        </is>
      </c>
      <c r="E850" s="24" t="inlineStr">
        <is>
          <t>是</t>
        </is>
      </c>
    </row>
    <row r="851">
      <c r="B851" s="24" t="inlineStr">
        <is>
          <t>YesOrNo</t>
        </is>
      </c>
      <c r="C851" s="24" t="inlineStr">
        <is>
          <t>是否</t>
        </is>
      </c>
      <c r="D851" s="24" t="inlineStr">
        <is>
          <t>02</t>
        </is>
      </c>
      <c r="E851" s="24" t="inlineStr">
        <is>
          <t>否</t>
        </is>
      </c>
    </row>
    <row r="852" ht="15.95" customHeight="1" s="170">
      <c r="B852" s="122" t="inlineStr">
        <is>
          <t>码值：HCompetitiveness</t>
        </is>
      </c>
    </row>
    <row r="853">
      <c r="B853" s="24" t="inlineStr">
        <is>
          <t>HCompetitiveness</t>
        </is>
      </c>
      <c r="C853" s="24" t="inlineStr">
        <is>
          <t>信用等级评估统一导入</t>
        </is>
      </c>
      <c r="D853" s="24" t="inlineStr">
        <is>
          <t>01</t>
        </is>
      </c>
      <c r="E853" s="24" t="inlineStr">
        <is>
          <t>三级特等或三级甲等</t>
        </is>
      </c>
    </row>
    <row r="854">
      <c r="B854" s="24" t="inlineStr">
        <is>
          <t>HCompetitiveness</t>
        </is>
      </c>
      <c r="C854" s="24" t="inlineStr">
        <is>
          <t>信用等级评估统一导入</t>
        </is>
      </c>
      <c r="D854" s="24" t="inlineStr">
        <is>
          <t>02</t>
        </is>
      </c>
      <c r="E854" s="24" t="inlineStr">
        <is>
          <t>三级乙等</t>
        </is>
      </c>
    </row>
    <row r="855">
      <c r="B855" s="24" t="inlineStr">
        <is>
          <t>HCompetitiveness</t>
        </is>
      </c>
      <c r="C855" s="24" t="inlineStr">
        <is>
          <t>信用等级评估统一导入</t>
        </is>
      </c>
      <c r="D855" s="24" t="inlineStr">
        <is>
          <t>03</t>
        </is>
      </c>
      <c r="E855" s="24" t="inlineStr">
        <is>
          <t>三级丙等</t>
        </is>
      </c>
    </row>
    <row r="856">
      <c r="B856" s="24" t="inlineStr">
        <is>
          <t>HCompetitiveness</t>
        </is>
      </c>
      <c r="C856" s="24" t="inlineStr">
        <is>
          <t>信用等级评估统一导入</t>
        </is>
      </c>
      <c r="D856" s="24" t="inlineStr">
        <is>
          <t>04</t>
        </is>
      </c>
      <c r="E856" s="24" t="inlineStr">
        <is>
          <t>二级甲等</t>
        </is>
      </c>
    </row>
    <row r="857">
      <c r="B857" s="24" t="inlineStr">
        <is>
          <t>HCompetitiveness</t>
        </is>
      </c>
      <c r="C857" s="24" t="inlineStr">
        <is>
          <t>信用等级评估统一导入</t>
        </is>
      </c>
      <c r="D857" s="24" t="inlineStr">
        <is>
          <t>05</t>
        </is>
      </c>
      <c r="E857" s="24" t="inlineStr">
        <is>
          <t>其他医院</t>
        </is>
      </c>
    </row>
    <row r="858" ht="15.95" customHeight="1" s="170">
      <c r="B858" s="122" t="inlineStr">
        <is>
          <t>码值：ChargeCycle</t>
        </is>
      </c>
    </row>
    <row r="859">
      <c r="B859" s="24" t="inlineStr">
        <is>
          <t>ChargeCycle</t>
        </is>
      </c>
      <c r="C859" s="24" t="inlineStr">
        <is>
          <t>收费周期</t>
        </is>
      </c>
      <c r="D859" s="24" t="inlineStr">
        <is>
          <t>01</t>
        </is>
      </c>
      <c r="E859" s="24" t="inlineStr">
        <is>
          <t>年</t>
        </is>
      </c>
    </row>
    <row r="860">
      <c r="B860" s="24" t="inlineStr">
        <is>
          <t>ChargeCycle</t>
        </is>
      </c>
      <c r="C860" s="24" t="inlineStr">
        <is>
          <t>收费周期</t>
        </is>
      </c>
      <c r="D860" s="24" t="inlineStr">
        <is>
          <t>02</t>
        </is>
      </c>
      <c r="E860" s="24" t="inlineStr">
        <is>
          <t>半年</t>
        </is>
      </c>
    </row>
    <row r="861">
      <c r="B861" s="24" t="inlineStr">
        <is>
          <t>ChargeCycle</t>
        </is>
      </c>
      <c r="C861" s="24" t="inlineStr">
        <is>
          <t>收费周期</t>
        </is>
      </c>
      <c r="D861" s="24" t="inlineStr">
        <is>
          <t>03</t>
        </is>
      </c>
      <c r="E861" s="24" t="inlineStr">
        <is>
          <t>季</t>
        </is>
      </c>
    </row>
    <row r="862">
      <c r="B862" s="24" t="inlineStr">
        <is>
          <t>ChargeCycle</t>
        </is>
      </c>
      <c r="C862" s="24" t="inlineStr">
        <is>
          <t>收费周期</t>
        </is>
      </c>
      <c r="D862" s="24" t="inlineStr">
        <is>
          <t>04</t>
        </is>
      </c>
      <c r="E862" s="24" t="inlineStr">
        <is>
          <t>月</t>
        </is>
      </c>
    </row>
    <row r="863">
      <c r="B863" s="24" t="inlineStr">
        <is>
          <t>ChargeCycle</t>
        </is>
      </c>
      <c r="C863" s="24" t="inlineStr">
        <is>
          <t>收费周期</t>
        </is>
      </c>
      <c r="D863" s="24" t="inlineStr">
        <is>
          <t>05</t>
        </is>
      </c>
      <c r="E863" s="24" t="inlineStr">
        <is>
          <t>日</t>
        </is>
      </c>
    </row>
    <row r="864" ht="15.95" customHeight="1" s="170">
      <c r="B864" s="122" t="inlineStr">
        <is>
          <t>码值：财政投融资窗口</t>
        </is>
      </c>
    </row>
    <row r="865">
      <c r="B865" s="24" t="inlineStr">
        <is>
          <t>财政投融资窗口</t>
        </is>
      </c>
      <c r="C865" s="24" t="inlineStr">
        <is>
          <t>财政投融资窗口</t>
        </is>
      </c>
      <c r="D865" s="24" t="inlineStr">
        <is>
          <t>1</t>
        </is>
      </c>
      <c r="E865" s="24" t="inlineStr">
        <is>
          <t>是省级(直辖市)以上财政投融资窗口企业</t>
        </is>
      </c>
    </row>
    <row r="866">
      <c r="B866" s="24" t="inlineStr">
        <is>
          <t>财政投融资窗口</t>
        </is>
      </c>
      <c r="C866" s="24" t="inlineStr">
        <is>
          <t>财政投融资窗口</t>
        </is>
      </c>
      <c r="D866" s="24" t="inlineStr">
        <is>
          <t>2</t>
        </is>
      </c>
      <c r="E866" s="24" t="inlineStr">
        <is>
          <t>是市级(直辖市区级)财政投融资窗口企业</t>
        </is>
      </c>
    </row>
    <row r="867">
      <c r="B867" s="24" t="inlineStr">
        <is>
          <t>财政投融资窗口</t>
        </is>
      </c>
      <c r="C867" s="24" t="inlineStr">
        <is>
          <t>财政投融资窗口</t>
        </is>
      </c>
      <c r="D867" s="24" t="inlineStr">
        <is>
          <t>3</t>
        </is>
      </c>
      <c r="E867" s="24" t="inlineStr">
        <is>
          <t>是县级财政投融资窗口企业</t>
        </is>
      </c>
    </row>
    <row r="868">
      <c r="B868" s="24" t="inlineStr">
        <is>
          <t>财政投融资窗口</t>
        </is>
      </c>
      <c r="C868" s="24" t="inlineStr">
        <is>
          <t>财政投融资窗口</t>
        </is>
      </c>
      <c r="D868" s="24" t="inlineStr">
        <is>
          <t>4</t>
        </is>
      </c>
      <c r="E868" s="24" t="inlineStr">
        <is>
          <t>以上都不是</t>
        </is>
      </c>
    </row>
    <row r="869" ht="15.95" customHeight="1" s="170">
      <c r="B869" s="122" t="inlineStr">
        <is>
          <t>码值：偿债资金来源情况</t>
        </is>
      </c>
    </row>
    <row r="870">
      <c r="B870" s="24" t="inlineStr">
        <is>
          <t>偿债资金来源情况</t>
        </is>
      </c>
      <c r="C870" s="24" t="inlineStr">
        <is>
          <t>偿债资金来源情况</t>
        </is>
      </c>
      <c r="D870" s="24" t="inlineStr">
        <is>
          <t>01</t>
        </is>
      </c>
      <c r="E870" s="24" t="inlineStr">
        <is>
          <t>已列入财政预算</t>
        </is>
      </c>
    </row>
    <row r="871">
      <c r="B871" s="24" t="inlineStr">
        <is>
          <t>偿债资金来源情况</t>
        </is>
      </c>
      <c r="C871" s="24" t="inlineStr">
        <is>
          <t>偿债资金来源情况</t>
        </is>
      </c>
      <c r="D871" s="24" t="inlineStr">
        <is>
          <t>02</t>
        </is>
      </c>
      <c r="E871" s="24" t="inlineStr">
        <is>
          <t>已列入偿债基金</t>
        </is>
      </c>
    </row>
    <row r="872">
      <c r="B872" s="24" t="inlineStr">
        <is>
          <t>偿债资金来源情况</t>
        </is>
      </c>
      <c r="C872" s="24" t="inlineStr">
        <is>
          <t>偿债资金来源情况</t>
        </is>
      </c>
      <c r="D872" s="24" t="inlineStr">
        <is>
          <t>03</t>
        </is>
      </c>
      <c r="E872" s="24" t="inlineStr">
        <is>
          <t>上两者皆有</t>
        </is>
      </c>
    </row>
    <row r="873">
      <c r="B873" s="24" t="inlineStr">
        <is>
          <t>偿债资金来源情况</t>
        </is>
      </c>
      <c r="C873" s="24" t="inlineStr">
        <is>
          <t>偿债资金来源情况</t>
        </is>
      </c>
      <c r="D873" s="24" t="inlineStr">
        <is>
          <t>04</t>
        </is>
      </c>
      <c r="E873" s="24" t="inlineStr">
        <is>
          <t>上两者皆无</t>
        </is>
      </c>
    </row>
    <row r="874" ht="15.95" customHeight="1" s="170">
      <c r="B874" s="122" t="inlineStr">
        <is>
          <t>码值：TRAFFICCONDITIONTYPE</t>
        </is>
      </c>
    </row>
    <row r="875">
      <c r="B875" s="24" t="inlineStr">
        <is>
          <t>TRAFFICCONDITIONTYPE</t>
        </is>
      </c>
      <c r="C875" s="24" t="inlineStr">
        <is>
          <t>交通条件</t>
        </is>
      </c>
      <c r="D875" s="24" t="inlineStr">
        <is>
          <t>01</t>
        </is>
      </c>
      <c r="E875" s="24" t="inlineStr">
        <is>
          <t>交通十分便捷</t>
        </is>
      </c>
    </row>
    <row r="876">
      <c r="B876" s="24" t="inlineStr">
        <is>
          <t>TRAFFICCONDITIONTYPE</t>
        </is>
      </c>
      <c r="C876" s="24" t="inlineStr">
        <is>
          <t>交通条件</t>
        </is>
      </c>
      <c r="D876" s="24" t="inlineStr">
        <is>
          <t>02</t>
        </is>
      </c>
      <c r="E876" s="24" t="inlineStr">
        <is>
          <t>交通一般</t>
        </is>
      </c>
    </row>
    <row r="877">
      <c r="B877" s="24" t="inlineStr">
        <is>
          <t>TRAFFICCONDITIONTYPE</t>
        </is>
      </c>
      <c r="C877" s="24" t="inlineStr">
        <is>
          <t>交通条件</t>
        </is>
      </c>
      <c r="D877" s="24" t="inlineStr">
        <is>
          <t>03</t>
        </is>
      </c>
      <c r="E877" s="24" t="inlineStr">
        <is>
          <t>交通不便捷</t>
        </is>
      </c>
    </row>
    <row r="878" ht="15.95" customHeight="1" s="170">
      <c r="B878" s="122" t="inlineStr">
        <is>
          <t>码值：PaySource</t>
        </is>
      </c>
    </row>
    <row r="879">
      <c r="B879" s="24" t="inlineStr">
        <is>
          <t>PaySource</t>
        </is>
      </c>
      <c r="C879" s="24" t="inlineStr">
        <is>
          <t>还款来源</t>
        </is>
      </c>
      <c r="D879" s="24" t="inlineStr">
        <is>
          <t>01</t>
        </is>
      </c>
      <c r="E879" s="24" t="inlineStr">
        <is>
          <t>销售收入</t>
        </is>
      </c>
    </row>
    <row r="880">
      <c r="B880" s="24" t="inlineStr">
        <is>
          <t>PaySource</t>
        </is>
      </c>
      <c r="C880" s="24" t="inlineStr">
        <is>
          <t>还款来源</t>
        </is>
      </c>
      <c r="D880" s="24" t="inlineStr">
        <is>
          <t>02</t>
        </is>
      </c>
      <c r="E880" s="24" t="inlineStr">
        <is>
          <t>租赁收入</t>
        </is>
      </c>
    </row>
    <row r="881">
      <c r="B881" s="24" t="inlineStr">
        <is>
          <t>PaySource</t>
        </is>
      </c>
      <c r="C881" s="24" t="inlineStr">
        <is>
          <t>还款来源</t>
        </is>
      </c>
      <c r="D881" s="24" t="inlineStr">
        <is>
          <t>03</t>
        </is>
      </c>
      <c r="E881" s="24" t="inlineStr">
        <is>
          <t>投资收益</t>
        </is>
      </c>
    </row>
    <row r="882">
      <c r="B882" s="24" t="inlineStr">
        <is>
          <t>PaySource</t>
        </is>
      </c>
      <c r="C882" s="24" t="inlineStr">
        <is>
          <t>还款来源</t>
        </is>
      </c>
      <c r="D882" s="24" t="inlineStr">
        <is>
          <t>04</t>
        </is>
      </c>
      <c r="E882" s="24" t="inlineStr">
        <is>
          <t>项目收入</t>
        </is>
      </c>
    </row>
    <row r="883">
      <c r="B883" s="24" t="inlineStr">
        <is>
          <t>PaySource</t>
        </is>
      </c>
      <c r="C883" s="24" t="inlineStr">
        <is>
          <t>还款来源</t>
        </is>
      </c>
      <c r="D883" s="24" t="inlineStr">
        <is>
          <t>05</t>
        </is>
      </c>
      <c r="E883" s="24" t="inlineStr">
        <is>
          <t>承兑托收款</t>
        </is>
      </c>
    </row>
    <row r="884">
      <c r="B884" s="24" t="inlineStr">
        <is>
          <t>PaySource</t>
        </is>
      </c>
      <c r="C884" s="24" t="inlineStr">
        <is>
          <t>还款来源</t>
        </is>
      </c>
      <c r="D884" s="24" t="inlineStr">
        <is>
          <t>06</t>
        </is>
      </c>
      <c r="E884" s="24" t="inlineStr">
        <is>
          <t>其他</t>
        </is>
      </c>
    </row>
    <row r="885" ht="15.95" customHeight="1" s="170">
      <c r="B885" s="122" t="inlineStr">
        <is>
          <t>码值：AssureMain</t>
        </is>
      </c>
    </row>
    <row r="886">
      <c r="B886" s="24" t="inlineStr">
        <is>
          <t>AssureMain</t>
        </is>
      </c>
      <c r="C886" s="24" t="inlineStr">
        <is>
          <t>担保合同管理</t>
        </is>
      </c>
      <c r="D886" s="24" t="inlineStr">
        <is>
          <t>010</t>
        </is>
      </c>
      <c r="E886" s="24" t="inlineStr">
        <is>
          <t>有效的担保合同信息</t>
        </is>
      </c>
    </row>
    <row r="887">
      <c r="B887" s="24" t="inlineStr">
        <is>
          <t>AssureMain</t>
        </is>
      </c>
      <c r="C887" s="24" t="inlineStr">
        <is>
          <t>担保合同管理</t>
        </is>
      </c>
      <c r="D887" s="24" t="inlineStr">
        <is>
          <t>010010</t>
        </is>
      </c>
      <c r="E887" s="24" t="inlineStr">
        <is>
          <t>一般担保合同</t>
        </is>
      </c>
    </row>
    <row r="888">
      <c r="B888" s="24" t="inlineStr">
        <is>
          <t>AssureMain</t>
        </is>
      </c>
      <c r="C888" s="24" t="inlineStr">
        <is>
          <t>担保合同管理</t>
        </is>
      </c>
      <c r="D888" s="24" t="inlineStr">
        <is>
          <t>010015</t>
        </is>
      </c>
      <c r="E888" s="24" t="inlineStr">
        <is>
          <t>一般担保合同</t>
        </is>
      </c>
    </row>
    <row r="889">
      <c r="B889" s="24" t="inlineStr">
        <is>
          <t>AssureMain</t>
        </is>
      </c>
      <c r="C889" s="24" t="inlineStr">
        <is>
          <t>担保合同管理</t>
        </is>
      </c>
      <c r="D889" s="24" t="inlineStr">
        <is>
          <t>010020</t>
        </is>
      </c>
      <c r="E889" s="24" t="inlineStr">
        <is>
          <t>最高额担保合同</t>
        </is>
      </c>
    </row>
    <row r="890">
      <c r="B890" s="24" t="inlineStr">
        <is>
          <t>AssureMain</t>
        </is>
      </c>
      <c r="C890" s="24" t="inlineStr">
        <is>
          <t>担保合同管理</t>
        </is>
      </c>
      <c r="D890" s="24" t="inlineStr">
        <is>
          <t>010025</t>
        </is>
      </c>
      <c r="E890" s="24" t="inlineStr">
        <is>
          <t>最高额担保合同</t>
        </is>
      </c>
    </row>
    <row r="891">
      <c r="B891" s="24" t="inlineStr">
        <is>
          <t>AssureMain</t>
        </is>
      </c>
      <c r="C891" s="24" t="inlineStr">
        <is>
          <t>担保合同管理</t>
        </is>
      </c>
      <c r="D891" s="24" t="inlineStr">
        <is>
          <t>020</t>
        </is>
      </c>
      <c r="E891" s="24" t="inlineStr">
        <is>
          <t>失效的担保合同信息</t>
        </is>
      </c>
    </row>
    <row r="892">
      <c r="B892" s="24" t="inlineStr">
        <is>
          <t>AssureMain</t>
        </is>
      </c>
      <c r="C892" s="24" t="inlineStr">
        <is>
          <t>担保合同管理</t>
        </is>
      </c>
      <c r="D892" s="24" t="inlineStr">
        <is>
          <t>020010</t>
        </is>
      </c>
      <c r="E892" s="24" t="inlineStr">
        <is>
          <t>一般担保合同</t>
        </is>
      </c>
    </row>
    <row r="893">
      <c r="B893" s="24" t="inlineStr">
        <is>
          <t>AssureMain</t>
        </is>
      </c>
      <c r="C893" s="24" t="inlineStr">
        <is>
          <t>担保合同管理</t>
        </is>
      </c>
      <c r="D893" s="24" t="inlineStr">
        <is>
          <t>020015</t>
        </is>
      </c>
      <c r="E893" s="24" t="inlineStr">
        <is>
          <t>一般担保合同</t>
        </is>
      </c>
    </row>
    <row r="894">
      <c r="B894" s="24" t="inlineStr">
        <is>
          <t>AssureMain</t>
        </is>
      </c>
      <c r="C894" s="24" t="inlineStr">
        <is>
          <t>担保合同管理</t>
        </is>
      </c>
      <c r="D894" s="24" t="inlineStr">
        <is>
          <t>020020</t>
        </is>
      </c>
      <c r="E894" s="24" t="inlineStr">
        <is>
          <t>最高额担保合同</t>
        </is>
      </c>
    </row>
    <row r="895">
      <c r="B895" s="24" t="inlineStr">
        <is>
          <t>AssureMain</t>
        </is>
      </c>
      <c r="C895" s="24" t="inlineStr">
        <is>
          <t>担保合同管理</t>
        </is>
      </c>
      <c r="D895" s="24" t="inlineStr">
        <is>
          <t>020025</t>
        </is>
      </c>
      <c r="E895" s="24" t="inlineStr">
        <is>
          <t>最高额担保合同</t>
        </is>
      </c>
    </row>
    <row r="896" ht="15.95" customHeight="1" s="170">
      <c r="B896" s="122" t="inlineStr">
        <is>
          <t>码值：FloorHeight</t>
        </is>
      </c>
    </row>
    <row r="897">
      <c r="B897" s="24" t="inlineStr">
        <is>
          <t>FloorHeight</t>
        </is>
      </c>
      <c r="C897" s="24" t="inlineStr">
        <is>
          <t>房产层高</t>
        </is>
      </c>
      <c r="D897" s="24" t="inlineStr">
        <is>
          <t>01</t>
        </is>
      </c>
      <c r="E897" s="24" t="inlineStr">
        <is>
          <t>2.2米以下</t>
        </is>
      </c>
    </row>
    <row r="898">
      <c r="B898" s="24" t="inlineStr">
        <is>
          <t>FloorHeight</t>
        </is>
      </c>
      <c r="C898" s="24" t="inlineStr">
        <is>
          <t>房产层高</t>
        </is>
      </c>
      <c r="D898" s="24" t="inlineStr">
        <is>
          <t>02</t>
        </is>
      </c>
      <c r="E898" s="24" t="inlineStr">
        <is>
          <t>2.2~2.7米</t>
        </is>
      </c>
    </row>
    <row r="899">
      <c r="B899" s="24" t="inlineStr">
        <is>
          <t>FloorHeight</t>
        </is>
      </c>
      <c r="C899" s="24" t="inlineStr">
        <is>
          <t>房产层高</t>
        </is>
      </c>
      <c r="D899" s="24" t="inlineStr">
        <is>
          <t>03</t>
        </is>
      </c>
      <c r="E899" s="24" t="inlineStr">
        <is>
          <t>2.7~3.5米</t>
        </is>
      </c>
    </row>
    <row r="900">
      <c r="B900" s="24" t="inlineStr">
        <is>
          <t>FloorHeight</t>
        </is>
      </c>
      <c r="C900" s="24" t="inlineStr">
        <is>
          <t>房产层高</t>
        </is>
      </c>
      <c r="D900" s="24" t="inlineStr">
        <is>
          <t>04</t>
        </is>
      </c>
      <c r="E900" s="24" t="inlineStr">
        <is>
          <t>3.5米以上</t>
        </is>
      </c>
    </row>
    <row r="901" ht="15.95" customHeight="1" s="170">
      <c r="B901" s="122" t="inlineStr">
        <is>
          <t>码值：CreditFlow_barApproveMain</t>
        </is>
      </c>
    </row>
    <row r="902">
      <c r="B902" s="24" t="inlineStr">
        <is>
          <t>CreditFlow_barApproveMain</t>
        </is>
      </c>
      <c r="C902" s="24" t="inlineStr">
        <is>
          <t>授信业务申请审批判断</t>
        </is>
      </c>
      <c r="D902" s="24" t="inlineStr">
        <is>
          <t>N</t>
        </is>
      </c>
      <c r="E902" s="24" t="inlineStr">
        <is>
          <t>当前工作</t>
        </is>
      </c>
    </row>
    <row r="903">
      <c r="B903" s="24" t="inlineStr">
        <is>
          <t>CreditFlow_barApproveMain</t>
        </is>
      </c>
      <c r="C903" s="24" t="inlineStr">
        <is>
          <t>授信业务申请审批判断</t>
        </is>
      </c>
      <c r="D903" s="24" t="inlineStr">
        <is>
          <t>Y</t>
        </is>
      </c>
      <c r="E903" s="24" t="inlineStr">
        <is>
          <t>已完成工作</t>
        </is>
      </c>
    </row>
    <row r="904">
      <c r="B904" s="24" t="inlineStr">
        <is>
          <t>CreditFlow_barApproveMain</t>
        </is>
      </c>
      <c r="C904" s="24" t="inlineStr">
        <is>
          <t>授信业务申请审批判断</t>
        </is>
      </c>
      <c r="D904" s="24" t="inlineStr">
        <is>
          <t>当前工作/已完成工作</t>
        </is>
      </c>
      <c r="E904" s="24" t="inlineStr">
        <is>
          <t>阶段名称</t>
        </is>
      </c>
    </row>
    <row r="905" ht="15.95" customHeight="1" s="170">
      <c r="B905" s="122" t="inlineStr">
        <is>
          <t>码值：ManageArea</t>
        </is>
      </c>
    </row>
    <row r="906">
      <c r="B906" s="24" t="inlineStr">
        <is>
          <t>ManageArea</t>
        </is>
      </c>
      <c r="C906" s="24" t="inlineStr">
        <is>
          <t>金融机构经营区域范围</t>
        </is>
      </c>
      <c r="D906" s="24" t="inlineStr">
        <is>
          <t>01</t>
        </is>
      </c>
      <c r="E906" s="24" t="inlineStr">
        <is>
          <t>区域性</t>
        </is>
      </c>
    </row>
    <row r="907">
      <c r="B907" s="24" t="inlineStr">
        <is>
          <t>ManageArea</t>
        </is>
      </c>
      <c r="C907" s="24" t="inlineStr">
        <is>
          <t>金融机构经营区域范围</t>
        </is>
      </c>
      <c r="D907" s="24" t="inlineStr">
        <is>
          <t>02</t>
        </is>
      </c>
      <c r="E907" s="24" t="inlineStr">
        <is>
          <t>全国性</t>
        </is>
      </c>
    </row>
    <row r="908">
      <c r="B908" s="24" t="inlineStr">
        <is>
          <t>ManageArea</t>
        </is>
      </c>
      <c r="C908" s="24" t="inlineStr">
        <is>
          <t>金融机构经营区域范围</t>
        </is>
      </c>
      <c r="D908" s="24" t="inlineStr">
        <is>
          <t>03</t>
        </is>
      </c>
      <c r="E908" s="24" t="inlineStr">
        <is>
          <t>全球性</t>
        </is>
      </c>
    </row>
    <row r="909" ht="15.95" customHeight="1" s="170">
      <c r="B909" s="122" t="inlineStr">
        <is>
          <t>码值：SimplePoolApplyMain</t>
        </is>
      </c>
    </row>
    <row r="910">
      <c r="B910" s="24" t="inlineStr">
        <is>
          <t>SimplePoolApplyMain</t>
        </is>
      </c>
      <c r="C910" s="24" t="inlineStr">
        <is>
          <t>简单任务池主树图</t>
        </is>
      </c>
      <c r="D910" s="24" t="inlineStr">
        <is>
          <t>1010</t>
        </is>
      </c>
      <c r="E910" s="24" t="inlineStr">
        <is>
          <t>待提交</t>
        </is>
      </c>
    </row>
    <row r="911">
      <c r="B911" s="24" t="inlineStr">
        <is>
          <t>SimplePoolApplyMain</t>
        </is>
      </c>
      <c r="C911" s="24" t="inlineStr">
        <is>
          <t>简单任务池主树图</t>
        </is>
      </c>
      <c r="D911" s="24" t="inlineStr">
        <is>
          <t>1020</t>
        </is>
      </c>
      <c r="E911" s="24" t="inlineStr">
        <is>
          <t>审批中</t>
        </is>
      </c>
    </row>
    <row r="912">
      <c r="B912" s="24" t="inlineStr">
        <is>
          <t>SimplePoolApplyMain</t>
        </is>
      </c>
      <c r="C912" s="24" t="inlineStr">
        <is>
          <t>简单任务池主树图</t>
        </is>
      </c>
      <c r="D912" s="24" t="inlineStr">
        <is>
          <t>1040</t>
        </is>
      </c>
      <c r="E912" s="24" t="inlineStr">
        <is>
          <t>已审批</t>
        </is>
      </c>
    </row>
    <row r="913">
      <c r="B913" s="24" t="inlineStr">
        <is>
          <t>SimplePoolApplyMain</t>
        </is>
      </c>
      <c r="C913" s="24" t="inlineStr">
        <is>
          <t>简单任务池主树图</t>
        </is>
      </c>
      <c r="D913" s="24" t="inlineStr">
        <is>
          <t>1050</t>
        </is>
      </c>
      <c r="E913" s="24" t="inlineStr">
        <is>
          <t>已否决</t>
        </is>
      </c>
    </row>
    <row r="914" ht="15.95" customHeight="1" s="170">
      <c r="B914" s="122" t="inlineStr">
        <is>
          <t>码值：商业设施所处地理位置</t>
        </is>
      </c>
    </row>
    <row r="915">
      <c r="B915" s="24" t="inlineStr">
        <is>
          <t>商业设施所处地理位置</t>
        </is>
      </c>
      <c r="C915" s="24" t="inlineStr">
        <is>
          <t>商业设施所处地理位置</t>
        </is>
      </c>
      <c r="D915" s="24" t="inlineStr">
        <is>
          <t>1</t>
        </is>
      </c>
      <c r="E915" s="24" t="inlineStr">
        <is>
          <t>地处闹市区</t>
        </is>
      </c>
    </row>
    <row r="916">
      <c r="B916" s="24" t="inlineStr">
        <is>
          <t>商业设施所处地理位置</t>
        </is>
      </c>
      <c r="C916" s="24" t="inlineStr">
        <is>
          <t>商业设施所处地理位置</t>
        </is>
      </c>
      <c r="D916" s="24" t="inlineStr">
        <is>
          <t>2</t>
        </is>
      </c>
      <c r="E916" s="24" t="inlineStr">
        <is>
          <t>一般</t>
        </is>
      </c>
    </row>
    <row r="917">
      <c r="B917" s="24" t="inlineStr">
        <is>
          <t>商业设施所处地理位置</t>
        </is>
      </c>
      <c r="C917" s="24" t="inlineStr">
        <is>
          <t>商业设施所处地理位置</t>
        </is>
      </c>
      <c r="D917" s="24" t="inlineStr">
        <is>
          <t>3</t>
        </is>
      </c>
      <c r="E917" s="24" t="inlineStr">
        <is>
          <t>较差</t>
        </is>
      </c>
    </row>
    <row r="918" ht="15.95" customHeight="1" s="170">
      <c r="B918" s="122" t="inlineStr">
        <is>
          <t>码值：OwnerStatus</t>
        </is>
      </c>
    </row>
    <row r="919">
      <c r="B919" s="24" t="inlineStr">
        <is>
          <t>OwnerStatus</t>
        </is>
      </c>
      <c r="C919" s="24" t="inlineStr">
        <is>
          <t>权属人状况</t>
        </is>
      </c>
      <c r="D919" s="24" t="inlineStr">
        <is>
          <t>0</t>
        </is>
      </c>
      <c r="E919" s="24" t="inlineStr">
        <is>
          <t>异常</t>
        </is>
      </c>
    </row>
    <row r="920">
      <c r="B920" s="24" t="inlineStr">
        <is>
          <t>OwnerStatus</t>
        </is>
      </c>
      <c r="C920" s="24" t="inlineStr">
        <is>
          <t>权属人状况</t>
        </is>
      </c>
      <c r="D920" s="24" t="inlineStr">
        <is>
          <t>1</t>
        </is>
      </c>
      <c r="E920" s="24" t="inlineStr">
        <is>
          <t>正常</t>
        </is>
      </c>
    </row>
    <row r="921" ht="15.95" customHeight="1" s="170">
      <c r="B921" s="122" t="inlineStr">
        <is>
          <t>码值：EvalOccurType</t>
        </is>
      </c>
    </row>
    <row r="922">
      <c r="B922" s="24" t="inlineStr">
        <is>
          <t>EvalOccurType</t>
        </is>
      </c>
      <c r="C922" s="24" t="inlineStr">
        <is>
          <t>评估方式</t>
        </is>
      </c>
      <c r="D922" s="24" t="inlineStr">
        <is>
          <t>01</t>
        </is>
      </c>
      <c r="E922" s="24" t="inlineStr">
        <is>
          <t>贷前评估</t>
        </is>
      </c>
    </row>
    <row r="923">
      <c r="B923" s="24" t="inlineStr">
        <is>
          <t>EvalOccurType</t>
        </is>
      </c>
      <c r="C923" s="24" t="inlineStr">
        <is>
          <t>评估方式</t>
        </is>
      </c>
      <c r="D923" s="24" t="inlineStr">
        <is>
          <t>02</t>
        </is>
      </c>
      <c r="E923" s="24" t="inlineStr">
        <is>
          <t>贷后重估</t>
        </is>
      </c>
    </row>
    <row r="924" ht="15.95" customHeight="1" s="170">
      <c r="B924" s="122" t="inlineStr">
        <is>
          <t>码值：LawsuitAssetsType</t>
        </is>
      </c>
    </row>
    <row r="925">
      <c r="B925" s="24" t="inlineStr">
        <is>
          <t>LawsuitAssetsType</t>
        </is>
      </c>
      <c r="C925" s="24" t="inlineStr">
        <is>
          <t>查封资产类型</t>
        </is>
      </c>
      <c r="D925" s="24" t="inlineStr">
        <is>
          <t>01</t>
        </is>
      </c>
      <c r="E925" s="24" t="inlineStr">
        <is>
          <t>帐户类</t>
        </is>
      </c>
    </row>
    <row r="926">
      <c r="B926" s="24" t="inlineStr">
        <is>
          <t>LawsuitAssetsType</t>
        </is>
      </c>
      <c r="C926" s="24" t="inlineStr">
        <is>
          <t>查封资产类型</t>
        </is>
      </c>
      <c r="D926" s="24" t="inlineStr">
        <is>
          <t>02</t>
        </is>
      </c>
      <c r="E926" s="24" t="inlineStr">
        <is>
          <t>房产类</t>
        </is>
      </c>
    </row>
    <row r="927">
      <c r="B927" s="24" t="inlineStr">
        <is>
          <t>LawsuitAssetsType</t>
        </is>
      </c>
      <c r="C927" s="24" t="inlineStr">
        <is>
          <t>查封资产类型</t>
        </is>
      </c>
      <c r="D927" s="24" t="inlineStr">
        <is>
          <t>03</t>
        </is>
      </c>
      <c r="E927" s="24" t="inlineStr">
        <is>
          <t>土地类</t>
        </is>
      </c>
    </row>
    <row r="928">
      <c r="B928" s="24" t="inlineStr">
        <is>
          <t>LawsuitAssetsType</t>
        </is>
      </c>
      <c r="C928" s="24" t="inlineStr">
        <is>
          <t>查封资产类型</t>
        </is>
      </c>
      <c r="D928" s="24" t="inlineStr">
        <is>
          <t>04</t>
        </is>
      </c>
      <c r="E928" s="24" t="inlineStr">
        <is>
          <t>交通工具运输类</t>
        </is>
      </c>
    </row>
    <row r="929">
      <c r="B929" s="24" t="inlineStr">
        <is>
          <t>LawsuitAssetsType</t>
        </is>
      </c>
      <c r="C929" s="24" t="inlineStr">
        <is>
          <t>查封资产类型</t>
        </is>
      </c>
      <c r="D929" s="24" t="inlineStr">
        <is>
          <t>05</t>
        </is>
      </c>
      <c r="E929" s="24" t="inlineStr">
        <is>
          <t>机器设备类</t>
        </is>
      </c>
    </row>
    <row r="930">
      <c r="B930" s="24" t="inlineStr">
        <is>
          <t>LawsuitAssetsType</t>
        </is>
      </c>
      <c r="C930" s="24" t="inlineStr">
        <is>
          <t>查封资产类型</t>
        </is>
      </c>
      <c r="D930" s="24" t="inlineStr">
        <is>
          <t>06</t>
        </is>
      </c>
      <c r="E930" s="24" t="inlineStr">
        <is>
          <t>有价证券类</t>
        </is>
      </c>
    </row>
    <row r="931">
      <c r="B931" s="24" t="inlineStr">
        <is>
          <t>LawsuitAssetsType</t>
        </is>
      </c>
      <c r="C931" s="24" t="inlineStr">
        <is>
          <t>查封资产类型</t>
        </is>
      </c>
      <c r="D931" s="24" t="inlineStr">
        <is>
          <t>07</t>
        </is>
      </c>
      <c r="E931" s="24" t="inlineStr">
        <is>
          <t>收益类</t>
        </is>
      </c>
    </row>
    <row r="932">
      <c r="B932" s="24" t="inlineStr">
        <is>
          <t>LawsuitAssetsType</t>
        </is>
      </c>
      <c r="C932" s="24" t="inlineStr">
        <is>
          <t>查封资产类型</t>
        </is>
      </c>
      <c r="D932" s="24" t="inlineStr">
        <is>
          <t>08</t>
        </is>
      </c>
      <c r="E932" s="24" t="inlineStr">
        <is>
          <t>物资类</t>
        </is>
      </c>
    </row>
    <row r="933">
      <c r="B933" s="24" t="inlineStr">
        <is>
          <t>LawsuitAssetsType</t>
        </is>
      </c>
      <c r="C933" s="24" t="inlineStr">
        <is>
          <t>查封资产类型</t>
        </is>
      </c>
      <c r="D933" s="24" t="inlineStr">
        <is>
          <t>09</t>
        </is>
      </c>
      <c r="E933" s="24" t="inlineStr">
        <is>
          <t>其他类</t>
        </is>
      </c>
    </row>
    <row r="934" ht="15.95" customHeight="1" s="170">
      <c r="B934" s="122" t="inlineStr">
        <is>
          <t>码值：技术及服务专业化水准</t>
        </is>
      </c>
    </row>
    <row r="935">
      <c r="B935" s="24" t="inlineStr">
        <is>
          <t>技术及服务专业化水准</t>
        </is>
      </c>
      <c r="C935" s="24" t="inlineStr">
        <is>
          <t>技术及服务专业化水准</t>
        </is>
      </c>
      <c r="D935" s="24" t="inlineStr">
        <is>
          <t>1</t>
        </is>
      </c>
      <c r="E935" s="24" t="inlineStr">
        <is>
          <t>高</t>
        </is>
      </c>
    </row>
    <row r="936">
      <c r="B936" s="24" t="inlineStr">
        <is>
          <t>技术及服务专业化水准</t>
        </is>
      </c>
      <c r="C936" s="24" t="inlineStr">
        <is>
          <t>技术及服务专业化水准</t>
        </is>
      </c>
      <c r="D936" s="24" t="inlineStr">
        <is>
          <t>2</t>
        </is>
      </c>
      <c r="E936" s="24" t="inlineStr">
        <is>
          <t>中</t>
        </is>
      </c>
    </row>
    <row r="937">
      <c r="B937" s="24" t="inlineStr">
        <is>
          <t>技术及服务专业化水准</t>
        </is>
      </c>
      <c r="C937" s="24" t="inlineStr">
        <is>
          <t>技术及服务专业化水准</t>
        </is>
      </c>
      <c r="D937" s="24" t="inlineStr">
        <is>
          <t>3</t>
        </is>
      </c>
      <c r="E937" s="24" t="inlineStr">
        <is>
          <t>低</t>
        </is>
      </c>
    </row>
    <row r="938" ht="15.95" customHeight="1" s="170">
      <c r="B938" s="122" t="inlineStr">
        <is>
          <t>码值：CreditLimitUnderIndMain</t>
        </is>
      </c>
    </row>
    <row r="939">
      <c r="B939" s="24" t="inlineStr">
        <is>
          <t>CreditLimitUnderIndMain</t>
        </is>
      </c>
      <c r="C939" s="24" t="inlineStr">
        <is>
          <t>个人额度项下授信申请</t>
        </is>
      </c>
      <c r="D939" s="24" t="inlineStr">
        <is>
          <t>1010</t>
        </is>
      </c>
      <c r="E939" s="24" t="inlineStr">
        <is>
          <t>待处理</t>
        </is>
      </c>
    </row>
    <row r="940">
      <c r="B940" s="24" t="inlineStr">
        <is>
          <t>CreditLimitUnderIndMain</t>
        </is>
      </c>
      <c r="C940" s="24" t="inlineStr">
        <is>
          <t>个人额度项下授信申请</t>
        </is>
      </c>
      <c r="D940" s="24" t="inlineStr">
        <is>
          <t>1020</t>
        </is>
      </c>
      <c r="E940" s="24" t="inlineStr">
        <is>
          <t>审批中</t>
        </is>
      </c>
    </row>
    <row r="941">
      <c r="B941" s="24" t="inlineStr">
        <is>
          <t>CreditLimitUnderIndMain</t>
        </is>
      </c>
      <c r="C941" s="24" t="inlineStr">
        <is>
          <t>个人额度项下授信申请</t>
        </is>
      </c>
      <c r="D941" s="24" t="inlineStr">
        <is>
          <t>1040,1050</t>
        </is>
      </c>
      <c r="E941" s="24" t="inlineStr">
        <is>
          <t>处理完成</t>
        </is>
      </c>
    </row>
    <row r="942" ht="15.95" customHeight="1" s="170">
      <c r="B942" s="122" t="inlineStr">
        <is>
          <t>码值：DeliveryWay</t>
        </is>
      </c>
    </row>
    <row r="943">
      <c r="B943" s="24" t="inlineStr">
        <is>
          <t>DeliveryWay</t>
        </is>
      </c>
      <c r="C943" s="24" t="inlineStr">
        <is>
          <t>发货方式</t>
        </is>
      </c>
      <c r="D943" s="24" t="inlineStr">
        <is>
          <t>010</t>
        </is>
      </c>
      <c r="E943" s="24" t="inlineStr">
        <is>
          <t>按数量</t>
        </is>
      </c>
    </row>
    <row r="944">
      <c r="B944" s="24" t="inlineStr">
        <is>
          <t>DeliveryWay</t>
        </is>
      </c>
      <c r="C944" s="24" t="inlineStr">
        <is>
          <t>发货方式</t>
        </is>
      </c>
      <c r="D944" s="24" t="inlineStr">
        <is>
          <t>020</t>
        </is>
      </c>
      <c r="E944" s="24" t="inlineStr">
        <is>
          <t>按价值</t>
        </is>
      </c>
    </row>
    <row r="945" ht="15.95" customHeight="1" s="170">
      <c r="B945" s="122" t="inlineStr">
        <is>
          <t>码值：WasteOccurType</t>
        </is>
      </c>
    </row>
    <row r="946">
      <c r="B946" s="24" t="inlineStr">
        <is>
          <t>WasteOccurType</t>
        </is>
      </c>
      <c r="C946" s="24" t="inlineStr">
        <is>
          <t>流水发生类型</t>
        </is>
      </c>
      <c r="D946" s="24" t="inlineStr">
        <is>
          <t>0</t>
        </is>
      </c>
      <c r="E946" s="24" t="inlineStr">
        <is>
          <t>正常</t>
        </is>
      </c>
    </row>
    <row r="947">
      <c r="B947" s="24" t="inlineStr">
        <is>
          <t>WasteOccurType</t>
        </is>
      </c>
      <c r="C947" s="24" t="inlineStr">
        <is>
          <t>流水发生类型</t>
        </is>
      </c>
      <c r="D947" s="24" t="inlineStr">
        <is>
          <t>1</t>
        </is>
      </c>
      <c r="E947" s="24" t="inlineStr">
        <is>
          <t>逾期/表内</t>
        </is>
      </c>
    </row>
    <row r="948">
      <c r="B948" s="24" t="inlineStr">
        <is>
          <t>WasteOccurType</t>
        </is>
      </c>
      <c r="C948" s="24" t="inlineStr">
        <is>
          <t>流水发生类型</t>
        </is>
      </c>
      <c r="D948" s="24" t="inlineStr">
        <is>
          <t>2</t>
        </is>
      </c>
      <c r="E948" s="24" t="inlineStr">
        <is>
          <t>呆滞/表外</t>
        </is>
      </c>
    </row>
    <row r="949">
      <c r="B949" s="24" t="inlineStr">
        <is>
          <t>WasteOccurType</t>
        </is>
      </c>
      <c r="C949" s="24" t="inlineStr">
        <is>
          <t>流水发生类型</t>
        </is>
      </c>
      <c r="D949" s="24" t="inlineStr">
        <is>
          <t>3</t>
        </is>
      </c>
      <c r="E949" s="24" t="inlineStr">
        <is>
          <t>呆帐/坏帐</t>
        </is>
      </c>
    </row>
    <row r="950">
      <c r="B950" s="24" t="inlineStr">
        <is>
          <t>WasteOccurType</t>
        </is>
      </c>
      <c r="C950" s="24" t="inlineStr">
        <is>
          <t>流水发生类型</t>
        </is>
      </c>
      <c r="D950" s="24" t="inlineStr">
        <is>
          <t>4</t>
        </is>
      </c>
      <c r="E950" s="24" t="inlineStr">
        <is>
          <t>提前</t>
        </is>
      </c>
    </row>
    <row r="951" ht="15.95" customHeight="1" s="170">
      <c r="B951" s="122" t="inlineStr">
        <is>
          <t>码值：逾期情况</t>
        </is>
      </c>
    </row>
    <row r="952">
      <c r="B952" s="24" t="inlineStr">
        <is>
          <t>逾期情况</t>
        </is>
      </c>
      <c r="C952" s="24" t="inlineStr">
        <is>
          <t>逾期情况</t>
        </is>
      </c>
      <c r="D952" s="24" t="inlineStr">
        <is>
          <t>1</t>
        </is>
      </c>
      <c r="E952" s="24" t="inlineStr">
        <is>
          <t>无逾期</t>
        </is>
      </c>
    </row>
    <row r="953">
      <c r="B953" s="24" t="inlineStr">
        <is>
          <t>逾期情况</t>
        </is>
      </c>
      <c r="C953" s="24" t="inlineStr">
        <is>
          <t>逾期情况</t>
        </is>
      </c>
      <c r="D953" s="24" t="inlineStr">
        <is>
          <t>2</t>
        </is>
      </c>
      <c r="E953" s="24" t="inlineStr">
        <is>
          <t>曾有逾期而目前没有</t>
        </is>
      </c>
    </row>
    <row r="954">
      <c r="B954" s="24" t="inlineStr">
        <is>
          <t>逾期情况</t>
        </is>
      </c>
      <c r="C954" s="24" t="inlineStr">
        <is>
          <t>逾期情况</t>
        </is>
      </c>
      <c r="D954" s="24" t="inlineStr">
        <is>
          <t>3</t>
        </is>
      </c>
      <c r="E954" s="24" t="inlineStr">
        <is>
          <t>逾期1年以内</t>
        </is>
      </c>
    </row>
    <row r="955">
      <c r="B955" s="24" t="inlineStr">
        <is>
          <t>逾期情况</t>
        </is>
      </c>
      <c r="C955" s="24" t="inlineStr">
        <is>
          <t>逾期情况</t>
        </is>
      </c>
      <c r="D955" s="24" t="inlineStr">
        <is>
          <t>4</t>
        </is>
      </c>
      <c r="E955" s="24" t="inlineStr">
        <is>
          <t>在两家及两家以上银行逾期</t>
        </is>
      </c>
    </row>
    <row r="956">
      <c r="B956" s="24" t="inlineStr">
        <is>
          <t>逾期情况</t>
        </is>
      </c>
      <c r="C956" s="24" t="inlineStr">
        <is>
          <t>逾期情况</t>
        </is>
      </c>
      <c r="D956" s="24" t="inlineStr">
        <is>
          <t>5</t>
        </is>
      </c>
      <c r="E956" s="24" t="inlineStr">
        <is>
          <t>逾期1年以上</t>
        </is>
      </c>
    </row>
    <row r="957" ht="15.95" customHeight="1" s="170">
      <c r="B957" s="122" t="inlineStr">
        <is>
          <t>码值：EnterpriseView</t>
        </is>
      </c>
    </row>
    <row r="958">
      <c r="B958" s="24" t="inlineStr">
        <is>
          <t>EnterpriseView</t>
        </is>
      </c>
      <c r="C958" s="24" t="inlineStr">
        <is>
          <t>公司客户详情视图</t>
        </is>
      </c>
      <c r="D958" s="24" t="inlineStr">
        <is>
          <t>010</t>
        </is>
      </c>
      <c r="E958" s="24" t="inlineStr">
        <is>
          <t>客户基本信息</t>
        </is>
      </c>
    </row>
    <row r="959">
      <c r="B959" s="24" t="inlineStr">
        <is>
          <t>EnterpriseView</t>
        </is>
      </c>
      <c r="C959" s="24" t="inlineStr">
        <is>
          <t>公司客户详情视图</t>
        </is>
      </c>
      <c r="D959" s="24" t="inlineStr">
        <is>
          <t>010010</t>
        </is>
      </c>
      <c r="E959" s="24" t="inlineStr">
        <is>
          <t>企业概况</t>
        </is>
      </c>
    </row>
    <row r="960">
      <c r="B960" s="24" t="inlineStr">
        <is>
          <t>EnterpriseView</t>
        </is>
      </c>
      <c r="C960" s="24" t="inlineStr">
        <is>
          <t>公司客户详情视图</t>
        </is>
      </c>
      <c r="D960" s="24" t="inlineStr">
        <is>
          <t>010020</t>
        </is>
      </c>
      <c r="E960" s="24" t="inlineStr">
        <is>
          <t>高管信息</t>
        </is>
      </c>
    </row>
    <row r="961">
      <c r="B961" s="24" t="inlineStr">
        <is>
          <t>EnterpriseView</t>
        </is>
      </c>
      <c r="C961" s="24" t="inlineStr">
        <is>
          <t>公司客户详情视图</t>
        </is>
      </c>
      <c r="D961" s="24" t="inlineStr">
        <is>
          <t>010030</t>
        </is>
      </c>
      <c r="E961" s="24" t="inlineStr">
        <is>
          <t>法人代表家族成员信息</t>
        </is>
      </c>
    </row>
    <row r="962">
      <c r="B962" s="24" t="inlineStr">
        <is>
          <t>EnterpriseView</t>
        </is>
      </c>
      <c r="C962" s="24" t="inlineStr">
        <is>
          <t>公司客户详情视图</t>
        </is>
      </c>
      <c r="D962" s="24" t="inlineStr">
        <is>
          <t>010040</t>
        </is>
      </c>
      <c r="E962" s="24" t="inlineStr">
        <is>
          <t>股东情况</t>
        </is>
      </c>
    </row>
    <row r="963">
      <c r="B963" s="24" t="inlineStr">
        <is>
          <t>EnterpriseView</t>
        </is>
      </c>
      <c r="C963" s="24" t="inlineStr">
        <is>
          <t>公司客户详情视图</t>
        </is>
      </c>
      <c r="D963" s="24" t="inlineStr">
        <is>
          <t>010050</t>
        </is>
      </c>
      <c r="E963" s="24" t="inlineStr">
        <is>
          <t>对外股权投资情况</t>
        </is>
      </c>
    </row>
    <row r="964">
      <c r="B964" s="24" t="inlineStr">
        <is>
          <t>EnterpriseView</t>
        </is>
      </c>
      <c r="C964" s="24" t="inlineStr">
        <is>
          <t>公司客户详情视图</t>
        </is>
      </c>
      <c r="D964" s="24" t="inlineStr">
        <is>
          <t>010060</t>
        </is>
      </c>
      <c r="E964" s="24" t="inlineStr">
        <is>
          <t>上下游关联方情况</t>
        </is>
      </c>
    </row>
    <row r="965">
      <c r="B965" s="24" t="inlineStr">
        <is>
          <t>EnterpriseView</t>
        </is>
      </c>
      <c r="C965" s="24" t="inlineStr">
        <is>
          <t>公司客户详情视图</t>
        </is>
      </c>
      <c r="D965" s="24" t="inlineStr">
        <is>
          <t>010070</t>
        </is>
      </c>
      <c r="E965" s="24" t="inlineStr">
        <is>
          <t>所属集团信息</t>
        </is>
      </c>
    </row>
    <row r="966">
      <c r="B966" s="24" t="inlineStr">
        <is>
          <t>EnterpriseView</t>
        </is>
      </c>
      <c r="C966" s="24" t="inlineStr">
        <is>
          <t>公司客户详情视图</t>
        </is>
      </c>
      <c r="D966" s="24" t="inlineStr">
        <is>
          <t>010080</t>
        </is>
      </c>
      <c r="E966" s="24" t="inlineStr">
        <is>
          <t>所属客户群信息</t>
        </is>
      </c>
    </row>
    <row r="967">
      <c r="B967" s="24" t="inlineStr">
        <is>
          <t>EnterpriseView</t>
        </is>
      </c>
      <c r="C967" s="24" t="inlineStr">
        <is>
          <t>公司客户详情视图</t>
        </is>
      </c>
      <c r="D967" s="24" t="inlineStr">
        <is>
          <t>010090</t>
        </is>
      </c>
      <c r="E967" s="24" t="inlineStr">
        <is>
          <t>股票发行信息</t>
        </is>
      </c>
    </row>
    <row r="968">
      <c r="B968" s="24" t="inlineStr">
        <is>
          <t>EnterpriseView</t>
        </is>
      </c>
      <c r="C968" s="24" t="inlineStr">
        <is>
          <t>公司客户详情视图</t>
        </is>
      </c>
      <c r="D968" s="24" t="inlineStr">
        <is>
          <t>010100</t>
        </is>
      </c>
      <c r="E968" s="24" t="inlineStr">
        <is>
          <t>债券发行信息</t>
        </is>
      </c>
    </row>
    <row r="969">
      <c r="B969" s="24" t="inlineStr">
        <is>
          <t>EnterpriseView</t>
        </is>
      </c>
      <c r="C969" s="24" t="inlineStr">
        <is>
          <t>公司客户详情视图</t>
        </is>
      </c>
      <c r="D969" s="24" t="inlineStr">
        <is>
          <t>010110</t>
        </is>
      </c>
      <c r="E969" s="24" t="inlineStr">
        <is>
          <t>客户资质与认证信息</t>
        </is>
      </c>
    </row>
    <row r="970">
      <c r="B970" s="24" t="inlineStr">
        <is>
          <t>EnterpriseView</t>
        </is>
      </c>
      <c r="C970" s="24" t="inlineStr">
        <is>
          <t>公司客户详情视图</t>
        </is>
      </c>
      <c r="D970" s="24" t="inlineStr">
        <is>
          <t>010110010</t>
        </is>
      </c>
      <c r="E970" s="24" t="inlineStr">
        <is>
          <t>房地产资质情况</t>
        </is>
      </c>
    </row>
    <row r="971">
      <c r="B971" s="24" t="inlineStr">
        <is>
          <t>EnterpriseView</t>
        </is>
      </c>
      <c r="C971" s="24" t="inlineStr">
        <is>
          <t>公司客户详情视图</t>
        </is>
      </c>
      <c r="D971" s="24" t="inlineStr">
        <is>
          <t>010110020</t>
        </is>
      </c>
      <c r="E971" s="24" t="inlineStr">
        <is>
          <t>进出口贸易情况</t>
        </is>
      </c>
    </row>
    <row r="972">
      <c r="B972" s="24" t="inlineStr">
        <is>
          <t>EnterpriseView</t>
        </is>
      </c>
      <c r="C972" s="24" t="inlineStr">
        <is>
          <t>公司客户详情视图</t>
        </is>
      </c>
      <c r="D972" s="24" t="inlineStr">
        <is>
          <t>010110030</t>
        </is>
      </c>
      <c r="E972" s="24" t="inlineStr">
        <is>
          <t>特许经营行业情况</t>
        </is>
      </c>
    </row>
    <row r="973">
      <c r="B973" s="24" t="inlineStr">
        <is>
          <t>EnterpriseView</t>
        </is>
      </c>
      <c r="C973" s="24" t="inlineStr">
        <is>
          <t>公司客户详情视图</t>
        </is>
      </c>
      <c r="D973" s="24" t="inlineStr">
        <is>
          <t>010110040</t>
        </is>
      </c>
      <c r="E973" s="24" t="inlineStr">
        <is>
          <t>相关认证信息</t>
        </is>
      </c>
    </row>
    <row r="974">
      <c r="B974" s="24" t="inlineStr">
        <is>
          <t>EnterpriseView</t>
        </is>
      </c>
      <c r="C974" s="24" t="inlineStr">
        <is>
          <t>公司客户详情视图</t>
        </is>
      </c>
      <c r="D974" s="24" t="inlineStr">
        <is>
          <t>010115</t>
        </is>
      </c>
      <c r="E974" s="24" t="inlineStr">
        <is>
          <t>资产信息</t>
        </is>
      </c>
    </row>
    <row r="975">
      <c r="B975" s="24" t="inlineStr">
        <is>
          <t>EnterpriseView</t>
        </is>
      </c>
      <c r="C975" s="24" t="inlineStr">
        <is>
          <t>公司客户详情视图</t>
        </is>
      </c>
      <c r="D975" s="24" t="inlineStr">
        <is>
          <t>010120</t>
        </is>
      </c>
      <c r="E975" s="24" t="inlineStr">
        <is>
          <t>涉诉信息</t>
        </is>
      </c>
    </row>
    <row r="976">
      <c r="B976" s="24" t="inlineStr">
        <is>
          <t>EnterpriseView</t>
        </is>
      </c>
      <c r="C976" s="24" t="inlineStr">
        <is>
          <t>公司客户详情视图</t>
        </is>
      </c>
      <c r="D976" s="24" t="inlineStr">
        <is>
          <t>010130</t>
        </is>
      </c>
      <c r="E976" s="24" t="inlineStr">
        <is>
          <t>大事记信息</t>
        </is>
      </c>
    </row>
    <row r="977">
      <c r="B977" s="24" t="inlineStr">
        <is>
          <t>EnterpriseView</t>
        </is>
      </c>
      <c r="C977" s="24" t="inlineStr">
        <is>
          <t>公司客户详情视图</t>
        </is>
      </c>
      <c r="D977" s="24" t="inlineStr">
        <is>
          <t>010140</t>
        </is>
      </c>
      <c r="E977" s="24" t="inlineStr">
        <is>
          <t>参与项目情况</t>
        </is>
      </c>
    </row>
    <row r="978">
      <c r="B978" s="24" t="inlineStr">
        <is>
          <t>EnterpriseView</t>
        </is>
      </c>
      <c r="C978" s="24" t="inlineStr">
        <is>
          <t>公司客户详情视图</t>
        </is>
      </c>
      <c r="D978" s="24" t="inlineStr">
        <is>
          <t>010150</t>
        </is>
      </c>
      <c r="E978" s="24" t="inlineStr">
        <is>
          <t>客户提供相关资料</t>
        </is>
      </c>
    </row>
    <row r="979">
      <c r="B979" s="24" t="inlineStr">
        <is>
          <t>EnterpriseView</t>
        </is>
      </c>
      <c r="C979" s="24" t="inlineStr">
        <is>
          <t>公司客户详情视图</t>
        </is>
      </c>
      <c r="D979" s="24" t="inlineStr">
        <is>
          <t>030</t>
        </is>
      </c>
      <c r="E979" s="24" t="inlineStr">
        <is>
          <t>客户财务信息</t>
        </is>
      </c>
    </row>
    <row r="980">
      <c r="B980" s="24" t="inlineStr">
        <is>
          <t>EnterpriseView</t>
        </is>
      </c>
      <c r="C980" s="24" t="inlineStr">
        <is>
          <t>公司客户详情视图</t>
        </is>
      </c>
      <c r="D980" s="24" t="inlineStr">
        <is>
          <t>030010</t>
        </is>
      </c>
      <c r="E980" s="24" t="inlineStr">
        <is>
          <t>财务报表</t>
        </is>
      </c>
    </row>
    <row r="981">
      <c r="B981" s="24" t="inlineStr">
        <is>
          <t>EnterpriseView</t>
        </is>
      </c>
      <c r="C981" s="24" t="inlineStr">
        <is>
          <t>公司客户详情视图</t>
        </is>
      </c>
      <c r="D981" s="24" t="inlineStr">
        <is>
          <t>040</t>
        </is>
      </c>
      <c r="E981" s="24" t="inlineStr">
        <is>
          <t>客户关联信息</t>
        </is>
      </c>
    </row>
    <row r="982">
      <c r="B982" s="24" t="inlineStr">
        <is>
          <t>EnterpriseView</t>
        </is>
      </c>
      <c r="C982" s="24" t="inlineStr">
        <is>
          <t>公司客户详情视图</t>
        </is>
      </c>
      <c r="D982" s="24" t="inlineStr">
        <is>
          <t>040010</t>
        </is>
      </c>
      <c r="E982" s="24" t="inlineStr">
        <is>
          <t>关联客户一览表</t>
        </is>
      </c>
    </row>
    <row r="983">
      <c r="B983" s="24" t="inlineStr">
        <is>
          <t>EnterpriseView</t>
        </is>
      </c>
      <c r="C983" s="24" t="inlineStr">
        <is>
          <t>公司客户详情视图</t>
        </is>
      </c>
      <c r="D983" s="24" t="inlineStr">
        <is>
          <t>040020</t>
        </is>
      </c>
      <c r="E983" s="24" t="inlineStr">
        <is>
          <t>关联关系图谱</t>
        </is>
      </c>
    </row>
    <row r="984">
      <c r="B984" s="24" t="inlineStr">
        <is>
          <t>EnterpriseView</t>
        </is>
      </c>
      <c r="C984" s="24" t="inlineStr">
        <is>
          <t>公司客户详情视图</t>
        </is>
      </c>
      <c r="D984" s="24" t="inlineStr">
        <is>
          <t>040030</t>
        </is>
      </c>
      <c r="E984" s="24" t="inlineStr">
        <is>
          <t>担保关系智能搜索</t>
        </is>
      </c>
    </row>
    <row r="985">
      <c r="B985" s="24" t="inlineStr">
        <is>
          <t>EnterpriseView</t>
        </is>
      </c>
      <c r="C985" s="24" t="inlineStr">
        <is>
          <t>公司客户详情视图</t>
        </is>
      </c>
      <c r="D985" s="24" t="inlineStr">
        <is>
          <t>050</t>
        </is>
      </c>
      <c r="E985" s="24" t="inlineStr">
        <is>
          <t>客户授信一览</t>
        </is>
      </c>
    </row>
    <row r="986">
      <c r="B986" s="24" t="inlineStr">
        <is>
          <t>EnterpriseView</t>
        </is>
      </c>
      <c r="C986" s="24" t="inlineStr">
        <is>
          <t>公司客户详情视图</t>
        </is>
      </c>
      <c r="D986" s="24" t="inlineStr">
        <is>
          <t>050010</t>
        </is>
      </c>
      <c r="E986" s="24" t="inlineStr">
        <is>
          <t>在我行的业务活动</t>
        </is>
      </c>
    </row>
    <row r="987">
      <c r="B987" s="24" t="inlineStr">
        <is>
          <t>EnterpriseView</t>
        </is>
      </c>
      <c r="C987" s="24" t="inlineStr">
        <is>
          <t>公司客户详情视图</t>
        </is>
      </c>
      <c r="D987" s="24" t="inlineStr">
        <is>
          <t>050010010</t>
        </is>
      </c>
      <c r="E987" s="24" t="inlineStr">
        <is>
          <t>统一授信视图</t>
        </is>
      </c>
    </row>
    <row r="988">
      <c r="B988" s="24" t="inlineStr">
        <is>
          <t>EnterpriseView</t>
        </is>
      </c>
      <c r="C988" s="24" t="inlineStr">
        <is>
          <t>公司客户详情视图</t>
        </is>
      </c>
      <c r="D988" s="24" t="inlineStr">
        <is>
          <t>050010020</t>
        </is>
      </c>
      <c r="E988" s="24" t="inlineStr">
        <is>
          <t>授信业务一览表</t>
        </is>
      </c>
    </row>
    <row r="989">
      <c r="B989" s="24" t="inlineStr">
        <is>
          <t>EnterpriseView</t>
        </is>
      </c>
      <c r="C989" s="24" t="inlineStr">
        <is>
          <t>公司客户详情视图</t>
        </is>
      </c>
      <c r="D989" s="24" t="inlineStr">
        <is>
          <t>050010030</t>
        </is>
      </c>
      <c r="E989" s="24" t="inlineStr">
        <is>
          <t>授信业务进行情况</t>
        </is>
      </c>
    </row>
    <row r="990">
      <c r="B990" s="24" t="inlineStr">
        <is>
          <t>EnterpriseView</t>
        </is>
      </c>
      <c r="C990" s="24" t="inlineStr">
        <is>
          <t>公司客户详情视图</t>
        </is>
      </c>
      <c r="D990" s="24" t="inlineStr">
        <is>
          <t>050010040</t>
        </is>
      </c>
      <c r="E990" s="24" t="inlineStr">
        <is>
          <t>未结清授信业务情况</t>
        </is>
      </c>
    </row>
    <row r="991">
      <c r="B991" s="24" t="inlineStr">
        <is>
          <t>EnterpriseView</t>
        </is>
      </c>
      <c r="C991" s="24" t="inlineStr">
        <is>
          <t>公司客户详情视图</t>
        </is>
      </c>
      <c r="D991" s="24" t="inlineStr">
        <is>
          <t>050010050</t>
        </is>
      </c>
      <c r="E991" s="24" t="inlineStr">
        <is>
          <t>已结清授信业务情况</t>
        </is>
      </c>
    </row>
    <row r="992">
      <c r="B992" s="24" t="inlineStr">
        <is>
          <t>EnterpriseView</t>
        </is>
      </c>
      <c r="C992" s="24" t="inlineStr">
        <is>
          <t>公司客户详情视图</t>
        </is>
      </c>
      <c r="D992" s="24" t="inlineStr">
        <is>
          <t>050010060</t>
        </is>
      </c>
      <c r="E992" s="24" t="inlineStr">
        <is>
          <t>为本行客户提供担保情况</t>
        </is>
      </c>
    </row>
    <row r="993">
      <c r="B993" s="24" t="inlineStr">
        <is>
          <t>EnterpriseView</t>
        </is>
      </c>
      <c r="C993" s="24" t="inlineStr">
        <is>
          <t>公司客户详情视图</t>
        </is>
      </c>
      <c r="D993" s="24" t="inlineStr">
        <is>
          <t>050010070</t>
        </is>
      </c>
      <c r="E993" s="24" t="inlineStr">
        <is>
          <t>被本行客户担保情况</t>
        </is>
      </c>
    </row>
    <row r="994">
      <c r="B994" s="24" t="inlineStr">
        <is>
          <t>EnterpriseView</t>
        </is>
      </c>
      <c r="C994" s="24" t="inlineStr">
        <is>
          <t>公司客户详情视图</t>
        </is>
      </c>
      <c r="D994" s="24" t="inlineStr">
        <is>
          <t>050010080</t>
        </is>
      </c>
      <c r="E994" s="24" t="inlineStr">
        <is>
          <t>客户在我行涉诉情况</t>
        </is>
      </c>
    </row>
    <row r="995">
      <c r="B995" s="24" t="inlineStr">
        <is>
          <t>EnterpriseView</t>
        </is>
      </c>
      <c r="C995" s="24" t="inlineStr">
        <is>
          <t>公司客户详情视图</t>
        </is>
      </c>
      <c r="D995" s="24" t="inlineStr">
        <is>
          <t>050020</t>
        </is>
      </c>
      <c r="E995" s="24" t="inlineStr">
        <is>
          <t>在其他金融机构业务活动</t>
        </is>
      </c>
    </row>
    <row r="996">
      <c r="B996" s="24" t="inlineStr">
        <is>
          <t>EnterpriseView</t>
        </is>
      </c>
      <c r="C996" s="24" t="inlineStr">
        <is>
          <t>公司客户详情视图</t>
        </is>
      </c>
      <c r="D996" s="24" t="inlineStr">
        <is>
          <t>060</t>
        </is>
      </c>
      <c r="E996" s="24" t="inlineStr">
        <is>
          <t>客户评价信息</t>
        </is>
      </c>
    </row>
    <row r="997">
      <c r="B997" s="24" t="inlineStr">
        <is>
          <t>EnterpriseView</t>
        </is>
      </c>
      <c r="C997" s="24" t="inlineStr">
        <is>
          <t>公司客户详情视图</t>
        </is>
      </c>
      <c r="D997" s="24" t="inlineStr">
        <is>
          <t>060010</t>
        </is>
      </c>
      <c r="E997" s="24" t="inlineStr">
        <is>
          <t>客户情况分析</t>
        </is>
      </c>
    </row>
    <row r="998">
      <c r="B998" s="24" t="inlineStr">
        <is>
          <t>EnterpriseView</t>
        </is>
      </c>
      <c r="C998" s="24" t="inlineStr">
        <is>
          <t>公司客户详情视图</t>
        </is>
      </c>
      <c r="D998" s="24" t="inlineStr">
        <is>
          <t>060020</t>
        </is>
      </c>
      <c r="E998" s="24" t="inlineStr">
        <is>
          <t>客户评级信息</t>
        </is>
      </c>
    </row>
    <row r="999">
      <c r="B999" s="24" t="inlineStr">
        <is>
          <t>EnterpriseView</t>
        </is>
      </c>
      <c r="C999" s="24" t="inlineStr">
        <is>
          <t>公司客户详情视图</t>
        </is>
      </c>
      <c r="D999" s="24" t="inlineStr">
        <is>
          <t>060030</t>
        </is>
      </c>
      <c r="E999" s="24" t="inlineStr">
        <is>
          <t>对客户工作与维护</t>
        </is>
      </c>
    </row>
    <row r="1000">
      <c r="B1000" s="24" t="inlineStr">
        <is>
          <t>EnterpriseView</t>
        </is>
      </c>
      <c r="C1000" s="24" t="inlineStr">
        <is>
          <t>公司客户详情视图</t>
        </is>
      </c>
      <c r="D1000" s="24" t="inlineStr">
        <is>
          <t>060030010</t>
        </is>
      </c>
      <c r="E1000" s="24" t="inlineStr">
        <is>
          <t>客户走访记录</t>
        </is>
      </c>
    </row>
    <row r="1001">
      <c r="B1001" s="24" t="inlineStr">
        <is>
          <t>EnterpriseView</t>
        </is>
      </c>
      <c r="C1001" s="24" t="inlineStr">
        <is>
          <t>公司客户详情视图</t>
        </is>
      </c>
      <c r="D1001" s="24" t="inlineStr">
        <is>
          <t>060030020</t>
        </is>
      </c>
      <c r="E1001" s="24" t="inlineStr">
        <is>
          <t>客户调查记录</t>
        </is>
      </c>
    </row>
    <row r="1002">
      <c r="B1002" s="24" t="inlineStr">
        <is>
          <t>EnterpriseView</t>
        </is>
      </c>
      <c r="C1002" s="24" t="inlineStr">
        <is>
          <t>公司客户详情视图</t>
        </is>
      </c>
      <c r="D1002" s="24" t="inlineStr">
        <is>
          <t>060030030</t>
        </is>
      </c>
      <c r="E1002" s="24" t="inlineStr">
        <is>
          <t>侧面打听记录</t>
        </is>
      </c>
    </row>
    <row r="1003">
      <c r="B1003" s="24" t="inlineStr">
        <is>
          <t>EnterpriseView</t>
        </is>
      </c>
      <c r="C1003" s="24" t="inlineStr">
        <is>
          <t>公司客户详情视图</t>
        </is>
      </c>
      <c r="D1003" s="24" t="inlineStr">
        <is>
          <t>070</t>
        </is>
      </c>
      <c r="E1003" s="24" t="inlineStr">
        <is>
          <t>客户外部信息</t>
        </is>
      </c>
    </row>
    <row r="1004">
      <c r="B1004" s="24" t="inlineStr">
        <is>
          <t>EnterpriseView</t>
        </is>
      </c>
      <c r="C1004" s="24" t="inlineStr">
        <is>
          <t>公司客户详情视图</t>
        </is>
      </c>
      <c r="D1004" s="24" t="inlineStr">
        <is>
          <t>070010</t>
        </is>
      </c>
      <c r="E1004" s="24" t="inlineStr">
        <is>
          <t>客户征信信息</t>
        </is>
      </c>
    </row>
    <row r="1005">
      <c r="B1005" s="24" t="inlineStr">
        <is>
          <t>EnterpriseView</t>
        </is>
      </c>
      <c r="C1005" s="24" t="inlineStr">
        <is>
          <t>公司客户详情视图</t>
        </is>
      </c>
      <c r="D1005" s="24" t="inlineStr">
        <is>
          <t>070010010</t>
        </is>
      </c>
      <c r="E1005" s="24" t="inlineStr">
        <is>
          <t>征信信息查询</t>
        </is>
      </c>
    </row>
    <row r="1006">
      <c r="B1006" s="24" t="inlineStr">
        <is>
          <t>EnterpriseView</t>
        </is>
      </c>
      <c r="C1006" s="24" t="inlineStr">
        <is>
          <t>公司客户详情视图</t>
        </is>
      </c>
      <c r="D1006" s="24" t="inlineStr">
        <is>
          <t>070010020</t>
        </is>
      </c>
      <c r="E1006" s="24" t="inlineStr">
        <is>
          <t>征信数据分析</t>
        </is>
      </c>
    </row>
    <row r="1007">
      <c r="B1007" s="24" t="inlineStr">
        <is>
          <t>EnterpriseView</t>
        </is>
      </c>
      <c r="C1007" s="24" t="inlineStr">
        <is>
          <t>公司客户详情视图</t>
        </is>
      </c>
      <c r="D1007" s="24" t="inlineStr">
        <is>
          <t>070020</t>
        </is>
      </c>
      <c r="E1007" s="24" t="inlineStr">
        <is>
          <t>客户外部数据</t>
        </is>
      </c>
    </row>
    <row r="1008">
      <c r="B1008" s="24" t="inlineStr">
        <is>
          <t>EnterpriseView</t>
        </is>
      </c>
      <c r="C1008" s="24" t="inlineStr">
        <is>
          <t>公司客户详情视图</t>
        </is>
      </c>
      <c r="D1008" s="24" t="inlineStr">
        <is>
          <t>070020010</t>
        </is>
      </c>
      <c r="E1008" s="24" t="inlineStr">
        <is>
          <t>工商数据信息</t>
        </is>
      </c>
    </row>
    <row r="1009">
      <c r="B1009" s="24" t="inlineStr">
        <is>
          <t>EnterpriseView</t>
        </is>
      </c>
      <c r="C1009" s="24" t="inlineStr">
        <is>
          <t>公司客户详情视图</t>
        </is>
      </c>
      <c r="D1009" s="24" t="inlineStr">
        <is>
          <t>070020020</t>
        </is>
      </c>
      <c r="E1009" s="24" t="inlineStr">
        <is>
          <t>诉讼数据信息</t>
        </is>
      </c>
    </row>
    <row r="1010">
      <c r="B1010" s="24" t="inlineStr">
        <is>
          <t>EnterpriseView</t>
        </is>
      </c>
      <c r="C1010" s="24" t="inlineStr">
        <is>
          <t>公司客户详情视图</t>
        </is>
      </c>
      <c r="D1010" s="24" t="inlineStr">
        <is>
          <t>070020030</t>
        </is>
      </c>
      <c r="E1010" s="24" t="inlineStr">
        <is>
          <t>舆情数据信息</t>
        </is>
      </c>
    </row>
    <row r="1011">
      <c r="B1011" s="24" t="inlineStr">
        <is>
          <t>EnterpriseView</t>
        </is>
      </c>
      <c r="C1011" s="24" t="inlineStr">
        <is>
          <t>公司客户详情视图</t>
        </is>
      </c>
      <c r="D1011" s="24" t="inlineStr">
        <is>
          <t>070020040</t>
        </is>
      </c>
      <c r="E1011" s="24" t="inlineStr">
        <is>
          <t>税务数据信息</t>
        </is>
      </c>
    </row>
    <row r="1012">
      <c r="B1012" s="24" t="inlineStr">
        <is>
          <t>EnterpriseView</t>
        </is>
      </c>
      <c r="C1012" s="24" t="inlineStr">
        <is>
          <t>公司客户详情视图</t>
        </is>
      </c>
      <c r="D1012" s="24" t="inlineStr">
        <is>
          <t>070020050</t>
        </is>
      </c>
      <c r="E1012" s="24" t="inlineStr">
        <is>
          <t>环保数据信息</t>
        </is>
      </c>
    </row>
    <row r="1013">
      <c r="B1013" s="24" t="inlineStr">
        <is>
          <t>EnterpriseView</t>
        </is>
      </c>
      <c r="C1013" s="24" t="inlineStr">
        <is>
          <t>公司客户详情视图</t>
        </is>
      </c>
      <c r="D1013" s="24" t="inlineStr">
        <is>
          <t>080</t>
        </is>
      </c>
      <c r="E1013" s="24" t="inlineStr">
        <is>
          <t>客户监控信息</t>
        </is>
      </c>
    </row>
    <row r="1014">
      <c r="B1014" s="24" t="inlineStr">
        <is>
          <t>EnterpriseView</t>
        </is>
      </c>
      <c r="C1014" s="24" t="inlineStr">
        <is>
          <t>公司客户详情视图</t>
        </is>
      </c>
      <c r="D1014" s="24" t="inlineStr">
        <is>
          <t>080010</t>
        </is>
      </c>
      <c r="E1014" s="24" t="inlineStr">
        <is>
          <t>资产分类信息</t>
        </is>
      </c>
    </row>
    <row r="1015">
      <c r="B1015" s="24" t="inlineStr">
        <is>
          <t>EnterpriseView</t>
        </is>
      </c>
      <c r="C1015" s="24" t="inlineStr">
        <is>
          <t>公司客户详情视图</t>
        </is>
      </c>
      <c r="D1015" s="24" t="inlineStr">
        <is>
          <t>080020</t>
        </is>
      </c>
      <c r="E1015" s="24" t="inlineStr">
        <is>
          <t>贷后检查信息</t>
        </is>
      </c>
    </row>
    <row r="1016">
      <c r="B1016" s="24" t="inlineStr">
        <is>
          <t>EnterpriseView</t>
        </is>
      </c>
      <c r="C1016" s="24" t="inlineStr">
        <is>
          <t>公司客户详情视图</t>
        </is>
      </c>
      <c r="D1016" s="24" t="inlineStr">
        <is>
          <t>080030</t>
        </is>
      </c>
      <c r="E1016" s="24" t="inlineStr">
        <is>
          <t>风险预警信息</t>
        </is>
      </c>
    </row>
    <row r="1017">
      <c r="B1017" s="24" t="inlineStr">
        <is>
          <t>EnterpriseView</t>
        </is>
      </c>
      <c r="C1017" s="24" t="inlineStr">
        <is>
          <t>公司客户详情视图</t>
        </is>
      </c>
      <c r="D1017" s="24" t="inlineStr">
        <is>
          <t>090</t>
        </is>
      </c>
      <c r="E1017" s="24" t="inlineStr">
        <is>
          <t>客户其他信息</t>
        </is>
      </c>
    </row>
    <row r="1018">
      <c r="B1018" s="24" t="inlineStr">
        <is>
          <t>EnterpriseView</t>
        </is>
      </c>
      <c r="C1018" s="24" t="inlineStr">
        <is>
          <t>公司客户详情视图</t>
        </is>
      </c>
      <c r="D1018" s="24" t="inlineStr">
        <is>
          <t>090010</t>
        </is>
      </c>
      <c r="E1018" s="24" t="inlineStr">
        <is>
          <t>客户三表信息</t>
        </is>
      </c>
    </row>
    <row r="1019">
      <c r="B1019" s="24" t="inlineStr">
        <is>
          <t>EnterpriseView</t>
        </is>
      </c>
      <c r="C1019" s="24" t="inlineStr">
        <is>
          <t>公司客户详情视图</t>
        </is>
      </c>
      <c r="D1019" s="24" t="inlineStr">
        <is>
          <t>090020</t>
        </is>
      </c>
      <c r="E1019" s="24" t="inlineStr">
        <is>
          <t>客户转移记录</t>
        </is>
      </c>
    </row>
    <row r="1020">
      <c r="B1020" s="24" t="inlineStr">
        <is>
          <t>EnterpriseView</t>
        </is>
      </c>
      <c r="C1020" s="24" t="inlineStr">
        <is>
          <t>公司客户详情视图</t>
        </is>
      </c>
      <c r="D1020" s="24" t="inlineStr">
        <is>
          <t>090030</t>
        </is>
      </c>
      <c r="E1020" s="24" t="inlineStr">
        <is>
          <t>客户信息维护记录</t>
        </is>
      </c>
    </row>
    <row r="1021">
      <c r="B1021" s="24" t="inlineStr">
        <is>
          <t>EnterpriseView</t>
        </is>
      </c>
      <c r="C1021" s="24" t="inlineStr">
        <is>
          <t>公司客户详情视图</t>
        </is>
      </c>
      <c r="D1021" s="24" t="inlineStr">
        <is>
          <t>090040</t>
        </is>
      </c>
      <c r="E1021" s="24" t="inlineStr">
        <is>
          <t>客户企业规模变更记录</t>
        </is>
      </c>
    </row>
    <row r="1022" ht="15.95" customHeight="1" s="170">
      <c r="B1022" s="122" t="inlineStr">
        <is>
          <t>码值：CreditType</t>
        </is>
      </c>
    </row>
    <row r="1023">
      <c r="B1023" s="24" t="inlineStr">
        <is>
          <t>CreditType</t>
        </is>
      </c>
      <c r="C1023" s="24" t="inlineStr">
        <is>
          <t>信贷业务种类</t>
        </is>
      </c>
      <c r="D1023" s="24" t="inlineStr">
        <is>
          <t>1</t>
        </is>
      </c>
      <c r="E1023" s="24" t="inlineStr">
        <is>
          <t>贷款业务</t>
        </is>
      </c>
    </row>
    <row r="1024">
      <c r="B1024" s="24" t="inlineStr">
        <is>
          <t>CreditType</t>
        </is>
      </c>
      <c r="C1024" s="24" t="inlineStr">
        <is>
          <t>信贷业务种类</t>
        </is>
      </c>
      <c r="D1024" s="24" t="inlineStr">
        <is>
          <t>11</t>
        </is>
      </c>
      <c r="E1024" s="24" t="inlineStr">
        <is>
          <t>流动资金贷款</t>
        </is>
      </c>
    </row>
    <row r="1025">
      <c r="B1025" s="24" t="inlineStr">
        <is>
          <t>CreditType</t>
        </is>
      </c>
      <c r="C1025" s="24" t="inlineStr">
        <is>
          <t>信贷业务种类</t>
        </is>
      </c>
      <c r="D1025" s="24" t="inlineStr">
        <is>
          <t>12</t>
        </is>
      </c>
      <c r="E1025" s="24" t="inlineStr">
        <is>
          <t>固定资产贷款</t>
        </is>
      </c>
    </row>
    <row r="1026">
      <c r="B1026" s="24" t="inlineStr">
        <is>
          <t>CreditType</t>
        </is>
      </c>
      <c r="C1026" s="24" t="inlineStr">
        <is>
          <t>信贷业务种类</t>
        </is>
      </c>
      <c r="D1026" s="24" t="inlineStr">
        <is>
          <t>13</t>
        </is>
      </c>
      <c r="E1026" s="24" t="inlineStr">
        <is>
          <t>境外筹资转贷</t>
        </is>
      </c>
    </row>
    <row r="1027">
      <c r="B1027" s="24" t="inlineStr">
        <is>
          <t>CreditType</t>
        </is>
      </c>
      <c r="C1027" s="24" t="inlineStr">
        <is>
          <t>信贷业务种类</t>
        </is>
      </c>
      <c r="D1027" s="24" t="inlineStr">
        <is>
          <t>14</t>
        </is>
      </c>
      <c r="E1027" s="24" t="inlineStr">
        <is>
          <t>买方信贷</t>
        </is>
      </c>
    </row>
    <row r="1028">
      <c r="B1028" s="24" t="inlineStr">
        <is>
          <t>CreditType</t>
        </is>
      </c>
      <c r="C1028" s="24" t="inlineStr">
        <is>
          <t>信贷业务种类</t>
        </is>
      </c>
      <c r="D1028" s="24" t="inlineStr">
        <is>
          <t>15</t>
        </is>
      </c>
      <c r="E1028" s="24" t="inlineStr">
        <is>
          <t>出口卖方信贷</t>
        </is>
      </c>
    </row>
    <row r="1029">
      <c r="B1029" s="24" t="inlineStr">
        <is>
          <t>CreditType</t>
        </is>
      </c>
      <c r="C1029" s="24" t="inlineStr">
        <is>
          <t>信贷业务种类</t>
        </is>
      </c>
      <c r="D1029" s="24" t="inlineStr">
        <is>
          <t>16</t>
        </is>
      </c>
      <c r="E1029" s="24" t="inlineStr">
        <is>
          <t>项目融资</t>
        </is>
      </c>
    </row>
    <row r="1030">
      <c r="B1030" s="24" t="inlineStr">
        <is>
          <t>CreditType</t>
        </is>
      </c>
      <c r="C1030" s="24" t="inlineStr">
        <is>
          <t>信贷业务种类</t>
        </is>
      </c>
      <c r="D1030" s="24" t="inlineStr">
        <is>
          <t>17</t>
        </is>
      </c>
      <c r="E1030" s="24" t="inlineStr">
        <is>
          <t>其他贷款</t>
        </is>
      </c>
    </row>
    <row r="1031">
      <c r="B1031" s="24" t="inlineStr">
        <is>
          <t>CreditType</t>
        </is>
      </c>
      <c r="C1031" s="24" t="inlineStr">
        <is>
          <t>信贷业务种类</t>
        </is>
      </c>
      <c r="D1031" s="24" t="inlineStr">
        <is>
          <t>2</t>
        </is>
      </c>
      <c r="E1031" s="24" t="inlineStr">
        <is>
          <t>保理业务</t>
        </is>
      </c>
    </row>
    <row r="1032">
      <c r="B1032" s="24" t="inlineStr">
        <is>
          <t>CreditType</t>
        </is>
      </c>
      <c r="C1032" s="24" t="inlineStr">
        <is>
          <t>信贷业务种类</t>
        </is>
      </c>
      <c r="D1032" s="24" t="inlineStr">
        <is>
          <t>21</t>
        </is>
      </c>
      <c r="E1032" s="24" t="inlineStr">
        <is>
          <t>出口保理融资</t>
        </is>
      </c>
    </row>
    <row r="1033">
      <c r="B1033" s="24" t="inlineStr">
        <is>
          <t>CreditType</t>
        </is>
      </c>
      <c r="C1033" s="24" t="inlineStr">
        <is>
          <t>信贷业务种类</t>
        </is>
      </c>
      <c r="D1033" s="24" t="inlineStr">
        <is>
          <t>22</t>
        </is>
      </c>
      <c r="E1033" s="24" t="inlineStr">
        <is>
          <t>进口保理</t>
        </is>
      </c>
    </row>
    <row r="1034">
      <c r="B1034" s="24" t="inlineStr">
        <is>
          <t>CreditType</t>
        </is>
      </c>
      <c r="C1034" s="24" t="inlineStr">
        <is>
          <t>信贷业务种类</t>
        </is>
      </c>
      <c r="D1034" s="24" t="inlineStr">
        <is>
          <t>23</t>
        </is>
      </c>
      <c r="E1034" s="24" t="inlineStr">
        <is>
          <t>国内卖方保理融资</t>
        </is>
      </c>
    </row>
    <row r="1035">
      <c r="B1035" s="24" t="inlineStr">
        <is>
          <t>CreditType</t>
        </is>
      </c>
      <c r="C1035" s="24" t="inlineStr">
        <is>
          <t>信贷业务种类</t>
        </is>
      </c>
      <c r="D1035" s="24" t="inlineStr">
        <is>
          <t>24</t>
        </is>
      </c>
      <c r="E1035" s="24" t="inlineStr">
        <is>
          <t>国内买方保理</t>
        </is>
      </c>
    </row>
    <row r="1036">
      <c r="B1036" s="24" t="inlineStr">
        <is>
          <t>CreditType</t>
        </is>
      </c>
      <c r="C1036" s="24" t="inlineStr">
        <is>
          <t>信贷业务种类</t>
        </is>
      </c>
      <c r="D1036" s="24" t="inlineStr">
        <is>
          <t>3</t>
        </is>
      </c>
      <c r="E1036" s="24" t="inlineStr">
        <is>
          <t>票据贴现业务</t>
        </is>
      </c>
    </row>
    <row r="1037">
      <c r="B1037" s="24" t="inlineStr">
        <is>
          <t>CreditType</t>
        </is>
      </c>
      <c r="C1037" s="24" t="inlineStr">
        <is>
          <t>信贷业务种类</t>
        </is>
      </c>
      <c r="D1037" s="24" t="inlineStr">
        <is>
          <t>31</t>
        </is>
      </c>
      <c r="E1037" s="24" t="inlineStr">
        <is>
          <t>银行承兑汇票贴现</t>
        </is>
      </c>
    </row>
    <row r="1038">
      <c r="B1038" s="24" t="inlineStr">
        <is>
          <t>CreditType</t>
        </is>
      </c>
      <c r="C1038" s="24" t="inlineStr">
        <is>
          <t>信贷业务种类</t>
        </is>
      </c>
      <c r="D1038" s="24" t="inlineStr">
        <is>
          <t>32</t>
        </is>
      </c>
      <c r="E1038" s="24" t="inlineStr">
        <is>
          <t>商业承兑汇票贴现</t>
        </is>
      </c>
    </row>
    <row r="1039">
      <c r="B1039" s="24" t="inlineStr">
        <is>
          <t>CreditType</t>
        </is>
      </c>
      <c r="C1039" s="24" t="inlineStr">
        <is>
          <t>信贷业务种类</t>
        </is>
      </c>
      <c r="D1039" s="24" t="inlineStr">
        <is>
          <t>4</t>
        </is>
      </c>
      <c r="E1039" s="24" t="inlineStr">
        <is>
          <t>贸易融资业务</t>
        </is>
      </c>
    </row>
    <row r="1040">
      <c r="B1040" s="24" t="inlineStr">
        <is>
          <t>CreditType</t>
        </is>
      </c>
      <c r="C1040" s="24" t="inlineStr">
        <is>
          <t>信贷业务种类</t>
        </is>
      </c>
      <c r="D1040" s="24" t="inlineStr">
        <is>
          <t>411</t>
        </is>
      </c>
      <c r="E1040" s="24" t="inlineStr">
        <is>
          <t>进口押汇</t>
        </is>
      </c>
    </row>
    <row r="1041">
      <c r="B1041" s="24" t="inlineStr">
        <is>
          <t>CreditType</t>
        </is>
      </c>
      <c r="C1041" s="24" t="inlineStr">
        <is>
          <t>信贷业务种类</t>
        </is>
      </c>
      <c r="D1041" s="24" t="inlineStr">
        <is>
          <t>421</t>
        </is>
      </c>
      <c r="E1041" s="24" t="inlineStr">
        <is>
          <t>打包放款</t>
        </is>
      </c>
    </row>
    <row r="1042">
      <c r="B1042" s="24" t="inlineStr">
        <is>
          <t>CreditType</t>
        </is>
      </c>
      <c r="C1042" s="24" t="inlineStr">
        <is>
          <t>信贷业务种类</t>
        </is>
      </c>
      <c r="D1042" s="24" t="inlineStr">
        <is>
          <t>422</t>
        </is>
      </c>
      <c r="E1042" s="24" t="inlineStr">
        <is>
          <t>出口押汇</t>
        </is>
      </c>
    </row>
    <row r="1043">
      <c r="B1043" s="24" t="inlineStr">
        <is>
          <t>CreditType</t>
        </is>
      </c>
      <c r="C1043" s="24" t="inlineStr">
        <is>
          <t>信贷业务种类</t>
        </is>
      </c>
      <c r="D1043" s="24" t="inlineStr">
        <is>
          <t>423</t>
        </is>
      </c>
      <c r="E1043" s="24" t="inlineStr">
        <is>
          <t>贴现</t>
        </is>
      </c>
    </row>
    <row r="1044">
      <c r="B1044" s="24" t="inlineStr">
        <is>
          <t>CreditType</t>
        </is>
      </c>
      <c r="C1044" s="24" t="inlineStr">
        <is>
          <t>信贷业务种类</t>
        </is>
      </c>
      <c r="D1044" s="24" t="inlineStr">
        <is>
          <t>424</t>
        </is>
      </c>
      <c r="E1044" s="24" t="inlineStr">
        <is>
          <t>福费廷</t>
        </is>
      </c>
    </row>
    <row r="1045">
      <c r="B1045" s="24" t="inlineStr">
        <is>
          <t>CreditType</t>
        </is>
      </c>
      <c r="C1045" s="24" t="inlineStr">
        <is>
          <t>信贷业务种类</t>
        </is>
      </c>
      <c r="D1045" s="24" t="inlineStr">
        <is>
          <t>5</t>
        </is>
      </c>
      <c r="E1045" s="24" t="inlineStr">
        <is>
          <t>信用证业务</t>
        </is>
      </c>
    </row>
    <row r="1046">
      <c r="B1046" s="24" t="inlineStr">
        <is>
          <t>CreditType</t>
        </is>
      </c>
      <c r="C1046" s="24" t="inlineStr">
        <is>
          <t>信贷业务种类</t>
        </is>
      </c>
      <c r="D1046" s="24" t="inlineStr">
        <is>
          <t>6</t>
        </is>
      </c>
      <c r="E1046" s="24" t="inlineStr">
        <is>
          <t>保函业务</t>
        </is>
      </c>
    </row>
    <row r="1047">
      <c r="B1047" s="24" t="inlineStr">
        <is>
          <t>CreditType</t>
        </is>
      </c>
      <c r="C1047" s="24" t="inlineStr">
        <is>
          <t>信贷业务种类</t>
        </is>
      </c>
      <c r="D1047" s="24" t="inlineStr">
        <is>
          <t>61</t>
        </is>
      </c>
      <c r="E1047" s="24" t="inlineStr">
        <is>
          <t>融资类保函</t>
        </is>
      </c>
    </row>
    <row r="1048">
      <c r="B1048" s="24" t="inlineStr">
        <is>
          <t>CreditType</t>
        </is>
      </c>
      <c r="C1048" s="24" t="inlineStr">
        <is>
          <t>信贷业务种类</t>
        </is>
      </c>
      <c r="D1048" s="24" t="inlineStr">
        <is>
          <t>62</t>
        </is>
      </c>
      <c r="E1048" s="24" t="inlineStr">
        <is>
          <t>非融资类保函</t>
        </is>
      </c>
    </row>
    <row r="1049">
      <c r="B1049" s="24" t="inlineStr">
        <is>
          <t>CreditType</t>
        </is>
      </c>
      <c r="C1049" s="24" t="inlineStr">
        <is>
          <t>信贷业务种类</t>
        </is>
      </c>
      <c r="D1049" s="24" t="inlineStr">
        <is>
          <t>7</t>
        </is>
      </c>
      <c r="E1049" s="24" t="inlineStr">
        <is>
          <t>承兑汇票业务</t>
        </is>
      </c>
    </row>
    <row r="1050">
      <c r="B1050" s="24" t="inlineStr">
        <is>
          <t>CreditType</t>
        </is>
      </c>
      <c r="C1050" s="24" t="inlineStr">
        <is>
          <t>信贷业务种类</t>
        </is>
      </c>
      <c r="D1050" s="24" t="inlineStr">
        <is>
          <t>8</t>
        </is>
      </c>
      <c r="E1050" s="24" t="inlineStr">
        <is>
          <t>授信业务</t>
        </is>
      </c>
    </row>
    <row r="1051">
      <c r="B1051" s="24" t="inlineStr">
        <is>
          <t>CreditType</t>
        </is>
      </c>
      <c r="C1051" s="24" t="inlineStr">
        <is>
          <t>信贷业务种类</t>
        </is>
      </c>
      <c r="D1051" s="24" t="inlineStr">
        <is>
          <t>9</t>
        </is>
      </c>
      <c r="E1051" s="24" t="inlineStr">
        <is>
          <t>垫款业务</t>
        </is>
      </c>
    </row>
    <row r="1052">
      <c r="B1052" s="24" t="inlineStr">
        <is>
          <t>CreditType</t>
        </is>
      </c>
      <c r="C1052" s="24" t="inlineStr">
        <is>
          <t>信贷业务种类</t>
        </is>
      </c>
      <c r="D1052" s="24" t="inlineStr">
        <is>
          <t>91</t>
        </is>
      </c>
      <c r="E1052" s="24" t="inlineStr">
        <is>
          <t>保函垫款</t>
        </is>
      </c>
    </row>
    <row r="1053">
      <c r="B1053" s="24" t="inlineStr">
        <is>
          <t>CreditType</t>
        </is>
      </c>
      <c r="C1053" s="24" t="inlineStr">
        <is>
          <t>信贷业务种类</t>
        </is>
      </c>
      <c r="D1053" s="24" t="inlineStr">
        <is>
          <t>92</t>
        </is>
      </c>
      <c r="E1053" s="24" t="inlineStr">
        <is>
          <t>承兑汇票垫款</t>
        </is>
      </c>
    </row>
    <row r="1054">
      <c r="B1054" s="24" t="inlineStr">
        <is>
          <t>CreditType</t>
        </is>
      </c>
      <c r="C1054" s="24" t="inlineStr">
        <is>
          <t>信贷业务种类</t>
        </is>
      </c>
      <c r="D1054" s="24" t="inlineStr">
        <is>
          <t>93</t>
        </is>
      </c>
      <c r="E1054" s="24" t="inlineStr">
        <is>
          <t>信用证垫款</t>
        </is>
      </c>
    </row>
    <row r="1055">
      <c r="B1055" s="24" t="inlineStr">
        <is>
          <t>CreditType</t>
        </is>
      </c>
      <c r="C1055" s="24" t="inlineStr">
        <is>
          <t>信贷业务种类</t>
        </is>
      </c>
      <c r="D1055" s="24" t="inlineStr">
        <is>
          <t>94</t>
        </is>
      </c>
      <c r="E1055" s="24" t="inlineStr">
        <is>
          <t>保理垫款</t>
        </is>
      </c>
    </row>
    <row r="1056">
      <c r="B1056" s="24" t="inlineStr">
        <is>
          <t>CreditType</t>
        </is>
      </c>
      <c r="C1056" s="24" t="inlineStr">
        <is>
          <t>信贷业务种类</t>
        </is>
      </c>
      <c r="D1056" s="24" t="inlineStr">
        <is>
          <t>99</t>
        </is>
      </c>
      <c r="E1056" s="24" t="inlineStr">
        <is>
          <t>其他垫款</t>
        </is>
      </c>
    </row>
    <row r="1057" ht="15.95" customHeight="1" s="170">
      <c r="B1057" s="122" t="inlineStr">
        <is>
          <t>码值：法律保障</t>
        </is>
      </c>
    </row>
    <row r="1058">
      <c r="B1058" s="24" t="inlineStr">
        <is>
          <t>法律保障</t>
        </is>
      </c>
      <c r="C1058" s="24" t="inlineStr">
        <is>
          <t>法律保障</t>
        </is>
      </c>
      <c r="D1058" s="24" t="inlineStr">
        <is>
          <t>1</t>
        </is>
      </c>
      <c r="E1058" s="24" t="inlineStr">
        <is>
          <t>完善</t>
        </is>
      </c>
    </row>
    <row r="1059">
      <c r="B1059" s="24" t="inlineStr">
        <is>
          <t>法律保障</t>
        </is>
      </c>
      <c r="C1059" s="24" t="inlineStr">
        <is>
          <t>法律保障</t>
        </is>
      </c>
      <c r="D1059" s="24" t="inlineStr">
        <is>
          <t>2</t>
        </is>
      </c>
      <c r="E1059" s="24" t="inlineStr">
        <is>
          <t>较完善</t>
        </is>
      </c>
    </row>
    <row r="1060">
      <c r="B1060" s="24" t="inlineStr">
        <is>
          <t>法律保障</t>
        </is>
      </c>
      <c r="C1060" s="24" t="inlineStr">
        <is>
          <t>法律保障</t>
        </is>
      </c>
      <c r="D1060" s="24" t="inlineStr">
        <is>
          <t>3</t>
        </is>
      </c>
      <c r="E1060" s="24" t="inlineStr">
        <is>
          <t>较差</t>
        </is>
      </c>
    </row>
    <row r="1061" ht="15.95" customHeight="1" s="170">
      <c r="B1061" s="122" t="inlineStr">
        <is>
          <t>码值：Age</t>
        </is>
      </c>
    </row>
    <row r="1062">
      <c r="B1062" s="24" t="inlineStr">
        <is>
          <t>Age</t>
        </is>
      </c>
      <c r="C1062" s="24" t="inlineStr">
        <is>
          <t>信用等级评估统一导入</t>
        </is>
      </c>
      <c r="D1062" s="24" t="inlineStr">
        <is>
          <t>01</t>
        </is>
      </c>
      <c r="E1062" s="24" t="inlineStr">
        <is>
          <t>18(含)－30周岁</t>
        </is>
      </c>
    </row>
    <row r="1063">
      <c r="B1063" s="24" t="inlineStr">
        <is>
          <t>Age</t>
        </is>
      </c>
      <c r="C1063" s="24" t="inlineStr">
        <is>
          <t>信用等级评估统一导入</t>
        </is>
      </c>
      <c r="D1063" s="24" t="inlineStr">
        <is>
          <t>02</t>
        </is>
      </c>
      <c r="E1063" s="24" t="inlineStr">
        <is>
          <t>30(含)－45周岁</t>
        </is>
      </c>
    </row>
    <row r="1064">
      <c r="B1064" s="24" t="inlineStr">
        <is>
          <t>Age</t>
        </is>
      </c>
      <c r="C1064" s="24" t="inlineStr">
        <is>
          <t>信用等级评估统一导入</t>
        </is>
      </c>
      <c r="D1064" s="24" t="inlineStr">
        <is>
          <t>03</t>
        </is>
      </c>
      <c r="E1064" s="24" t="inlineStr">
        <is>
          <t>45(含)－60周岁</t>
        </is>
      </c>
    </row>
    <row r="1065">
      <c r="B1065" s="24" t="inlineStr">
        <is>
          <t>Age</t>
        </is>
      </c>
      <c r="C1065" s="24" t="inlineStr">
        <is>
          <t>信用等级评估统一导入</t>
        </is>
      </c>
      <c r="D1065" s="24" t="inlineStr">
        <is>
          <t>04</t>
        </is>
      </c>
      <c r="E1065" s="24" t="inlineStr">
        <is>
          <t>60(含)周岁以上</t>
        </is>
      </c>
    </row>
    <row r="1066" ht="15.95" customHeight="1" s="170">
      <c r="B1066" s="122" t="inlineStr">
        <is>
          <t>码值：CashAbilityType</t>
        </is>
      </c>
    </row>
    <row r="1067">
      <c r="B1067" s="24" t="inlineStr">
        <is>
          <t>CashAbilityType</t>
        </is>
      </c>
      <c r="C1067" s="24" t="inlineStr">
        <is>
          <t>变现能力</t>
        </is>
      </c>
      <c r="D1067" s="24" t="inlineStr">
        <is>
          <t>010</t>
        </is>
      </c>
      <c r="E1067" s="24" t="inlineStr">
        <is>
          <t>通用且变现容易</t>
        </is>
      </c>
    </row>
    <row r="1068">
      <c r="B1068" s="24" t="inlineStr">
        <is>
          <t>CashAbilityType</t>
        </is>
      </c>
      <c r="C1068" s="24" t="inlineStr">
        <is>
          <t>变现能力</t>
        </is>
      </c>
      <c r="D1068" s="24" t="inlineStr">
        <is>
          <t>020</t>
        </is>
      </c>
      <c r="E1068" s="24" t="inlineStr">
        <is>
          <t>通用且变现容易</t>
        </is>
      </c>
    </row>
    <row r="1069">
      <c r="B1069" s="24" t="inlineStr">
        <is>
          <t>CashAbilityType</t>
        </is>
      </c>
      <c r="C1069" s="24" t="inlineStr">
        <is>
          <t>变现能力</t>
        </is>
      </c>
      <c r="D1069" s="24" t="inlineStr">
        <is>
          <t>030</t>
        </is>
      </c>
      <c r="E1069" s="24" t="inlineStr">
        <is>
          <t>专用性强</t>
        </is>
      </c>
    </row>
    <row r="1070" ht="15.95" customHeight="1" s="170">
      <c r="B1070" s="122" t="inlineStr">
        <is>
          <t>码值：BillType</t>
        </is>
      </c>
    </row>
    <row r="1071">
      <c r="B1071" s="24" t="inlineStr">
        <is>
          <t>BillType</t>
        </is>
      </c>
      <c r="C1071" s="24" t="inlineStr">
        <is>
          <t>票据种类</t>
        </is>
      </c>
      <c r="D1071" s="24" t="inlineStr">
        <is>
          <t>01</t>
        </is>
      </c>
      <c r="E1071" s="24" t="inlineStr">
        <is>
          <t>纸票</t>
        </is>
      </c>
    </row>
    <row r="1072">
      <c r="B1072" s="24" t="inlineStr">
        <is>
          <t>BillType</t>
        </is>
      </c>
      <c r="C1072" s="24" t="inlineStr">
        <is>
          <t>票据种类</t>
        </is>
      </c>
      <c r="D1072" s="24" t="inlineStr">
        <is>
          <t>02</t>
        </is>
      </c>
      <c r="E1072" s="24" t="inlineStr">
        <is>
          <t>电票</t>
        </is>
      </c>
    </row>
    <row r="1073" ht="15.95" customHeight="1" s="170">
      <c r="B1073" s="122" t="inlineStr">
        <is>
          <t>码值：ReclaimType</t>
        </is>
      </c>
    </row>
    <row r="1074">
      <c r="B1074" s="24" t="inlineStr">
        <is>
          <t>ReclaimType</t>
        </is>
      </c>
      <c r="C1074" s="24" t="inlineStr">
        <is>
          <t>贷款回收方式</t>
        </is>
      </c>
      <c r="D1074" s="24" t="inlineStr">
        <is>
          <t>10</t>
        </is>
      </c>
      <c r="E1074" s="24" t="inlineStr">
        <is>
          <t>催收现金收回</t>
        </is>
      </c>
    </row>
    <row r="1075">
      <c r="B1075" s="24" t="inlineStr">
        <is>
          <t>ReclaimType</t>
        </is>
      </c>
      <c r="C1075" s="24" t="inlineStr">
        <is>
          <t>贷款回收方式</t>
        </is>
      </c>
      <c r="D1075" s="24" t="inlineStr">
        <is>
          <t>1001</t>
        </is>
      </c>
      <c r="E1075" s="24" t="inlineStr">
        <is>
          <t>借款人还款</t>
        </is>
      </c>
    </row>
    <row r="1076">
      <c r="B1076" s="24" t="inlineStr">
        <is>
          <t>ReclaimType</t>
        </is>
      </c>
      <c r="C1076" s="24" t="inlineStr">
        <is>
          <t>贷款回收方式</t>
        </is>
      </c>
      <c r="D1076" s="24" t="inlineStr">
        <is>
          <t>1002</t>
        </is>
      </c>
      <c r="E1076" s="24" t="inlineStr">
        <is>
          <t>担保人还款</t>
        </is>
      </c>
    </row>
    <row r="1077">
      <c r="B1077" s="24" t="inlineStr">
        <is>
          <t>ReclaimType</t>
        </is>
      </c>
      <c r="C1077" s="24" t="inlineStr">
        <is>
          <t>贷款回收方式</t>
        </is>
      </c>
      <c r="D1077" s="24" t="inlineStr">
        <is>
          <t>1003</t>
        </is>
      </c>
      <c r="E1077" s="24" t="inlineStr">
        <is>
          <t>第三方还款</t>
        </is>
      </c>
    </row>
    <row r="1078">
      <c r="B1078" s="24" t="inlineStr">
        <is>
          <t>ReclaimType</t>
        </is>
      </c>
      <c r="C1078" s="24" t="inlineStr">
        <is>
          <t>贷款回收方式</t>
        </is>
      </c>
      <c r="D1078" s="24" t="inlineStr">
        <is>
          <t>20</t>
        </is>
      </c>
      <c r="E1078" s="24" t="inlineStr">
        <is>
          <t>清收现金收回</t>
        </is>
      </c>
    </row>
    <row r="1079">
      <c r="B1079" s="24" t="inlineStr">
        <is>
          <t>ReclaimType</t>
        </is>
      </c>
      <c r="C1079" s="24" t="inlineStr">
        <is>
          <t>贷款回收方式</t>
        </is>
      </c>
      <c r="D1079" s="24" t="inlineStr">
        <is>
          <t>2001</t>
        </is>
      </c>
      <c r="E1079" s="24" t="inlineStr">
        <is>
          <t>诉讼还款</t>
        </is>
      </c>
    </row>
    <row r="1080">
      <c r="B1080" s="24" t="inlineStr">
        <is>
          <t>ReclaimType</t>
        </is>
      </c>
      <c r="C1080" s="24" t="inlineStr">
        <is>
          <t>贷款回收方式</t>
        </is>
      </c>
      <c r="D1080" s="24" t="inlineStr">
        <is>
          <t>2002</t>
        </is>
      </c>
      <c r="E1080" s="24" t="inlineStr">
        <is>
          <t>执行还款</t>
        </is>
      </c>
    </row>
    <row r="1081">
      <c r="B1081" s="24" t="inlineStr">
        <is>
          <t>ReclaimType</t>
        </is>
      </c>
      <c r="C1081" s="24" t="inlineStr">
        <is>
          <t>贷款回收方式</t>
        </is>
      </c>
      <c r="D1081" s="24" t="inlineStr">
        <is>
          <t>30</t>
        </is>
      </c>
      <c r="E1081" s="24" t="inlineStr">
        <is>
          <t>表外抵债资产处置现金收回</t>
        </is>
      </c>
    </row>
    <row r="1082">
      <c r="B1082" s="24" t="inlineStr">
        <is>
          <t>ReclaimType</t>
        </is>
      </c>
      <c r="C1082" s="24" t="inlineStr">
        <is>
          <t>贷款回收方式</t>
        </is>
      </c>
      <c r="D1082" s="24" t="inlineStr">
        <is>
          <t>3001</t>
        </is>
      </c>
      <c r="E1082" s="24" t="inlineStr">
        <is>
          <t>出租收入还款</t>
        </is>
      </c>
    </row>
    <row r="1083">
      <c r="B1083" s="24" t="inlineStr">
        <is>
          <t>ReclaimType</t>
        </is>
      </c>
      <c r="C1083" s="24" t="inlineStr">
        <is>
          <t>贷款回收方式</t>
        </is>
      </c>
      <c r="D1083" s="24" t="inlineStr">
        <is>
          <t>3002</t>
        </is>
      </c>
      <c r="E1083" s="24" t="inlineStr">
        <is>
          <t>出售收入还款</t>
        </is>
      </c>
    </row>
    <row r="1084">
      <c r="B1084" s="24" t="inlineStr">
        <is>
          <t>ReclaimType</t>
        </is>
      </c>
      <c r="C1084" s="24" t="inlineStr">
        <is>
          <t>贷款回收方式</t>
        </is>
      </c>
      <c r="D1084" s="24" t="inlineStr">
        <is>
          <t>40</t>
        </is>
      </c>
      <c r="E1084" s="24" t="inlineStr">
        <is>
          <t>其他帐务销账</t>
        </is>
      </c>
    </row>
    <row r="1085">
      <c r="B1085" s="24" t="inlineStr">
        <is>
          <t>ReclaimType</t>
        </is>
      </c>
      <c r="C1085" s="24" t="inlineStr">
        <is>
          <t>贷款回收方式</t>
        </is>
      </c>
      <c r="D1085" s="24" t="inlineStr">
        <is>
          <t>4001</t>
        </is>
      </c>
      <c r="E1085" s="24" t="inlineStr">
        <is>
          <t>债务重组</t>
        </is>
      </c>
    </row>
    <row r="1086">
      <c r="B1086" s="24" t="inlineStr">
        <is>
          <t>ReclaimType</t>
        </is>
      </c>
      <c r="C1086" s="24" t="inlineStr">
        <is>
          <t>贷款回收方式</t>
        </is>
      </c>
      <c r="D1086" s="24" t="inlineStr">
        <is>
          <t>4002</t>
        </is>
      </c>
      <c r="E1086" s="24" t="inlineStr">
        <is>
          <t>抵债资产入帐</t>
        </is>
      </c>
    </row>
    <row r="1087">
      <c r="B1087" s="24" t="inlineStr">
        <is>
          <t>ReclaimType</t>
        </is>
      </c>
      <c r="C1087" s="24" t="inlineStr">
        <is>
          <t>贷款回收方式</t>
        </is>
      </c>
      <c r="D1087" s="24" t="inlineStr">
        <is>
          <t>4003</t>
        </is>
      </c>
      <c r="E1087" s="24" t="inlineStr">
        <is>
          <t>债权减免</t>
        </is>
      </c>
    </row>
    <row r="1088">
      <c r="B1088" s="24" t="inlineStr">
        <is>
          <t>ReclaimType</t>
        </is>
      </c>
      <c r="C1088" s="24" t="inlineStr">
        <is>
          <t>贷款回收方式</t>
        </is>
      </c>
      <c r="D1088" s="24" t="inlineStr">
        <is>
          <t>4004</t>
        </is>
      </c>
      <c r="E1088" s="24" t="inlineStr">
        <is>
          <t>有追索权核销</t>
        </is>
      </c>
    </row>
    <row r="1089">
      <c r="B1089" s="24" t="inlineStr">
        <is>
          <t>ReclaimType</t>
        </is>
      </c>
      <c r="C1089" s="24" t="inlineStr">
        <is>
          <t>贷款回收方式</t>
        </is>
      </c>
      <c r="D1089" s="24" t="inlineStr">
        <is>
          <t>4005</t>
        </is>
      </c>
      <c r="E1089" s="24" t="inlineStr">
        <is>
          <t>无追索权核销</t>
        </is>
      </c>
    </row>
    <row r="1090" ht="15.95" customHeight="1" s="170">
      <c r="B1090" s="122" t="inlineStr">
        <is>
          <t>码值：SynthesisManage</t>
        </is>
      </c>
    </row>
    <row r="1091">
      <c r="B1091" s="24" t="inlineStr">
        <is>
          <t>SynthesisManage</t>
        </is>
      </c>
      <c r="C1091" s="24" t="inlineStr">
        <is>
          <t>综合信息管理</t>
        </is>
      </c>
      <c r="D1091" s="24" t="inlineStr">
        <is>
          <t>010</t>
        </is>
      </c>
      <c r="E1091" s="24" t="inlineStr">
        <is>
          <t>汇率管理</t>
        </is>
      </c>
    </row>
    <row r="1092">
      <c r="B1092" s="24" t="inlineStr">
        <is>
          <t>SynthesisManage</t>
        </is>
      </c>
      <c r="C1092" s="24" t="inlineStr">
        <is>
          <t>综合信息管理</t>
        </is>
      </c>
      <c r="D1092" s="24" t="inlineStr">
        <is>
          <t>015</t>
        </is>
      </c>
      <c r="E1092" s="24" t="inlineStr">
        <is>
          <t>利率管理</t>
        </is>
      </c>
    </row>
    <row r="1093">
      <c r="B1093" s="24" t="inlineStr">
        <is>
          <t>SynthesisManage</t>
        </is>
      </c>
      <c r="C1093" s="24" t="inlineStr">
        <is>
          <t>综合信息管理</t>
        </is>
      </c>
      <c r="D1093" s="24" t="inlineStr">
        <is>
          <t>020</t>
        </is>
      </c>
      <c r="E1093" s="24" t="inlineStr">
        <is>
          <t>节假日管理</t>
        </is>
      </c>
    </row>
    <row r="1094">
      <c r="B1094" s="24" t="inlineStr">
        <is>
          <t>SynthesisManage</t>
        </is>
      </c>
      <c r="C1094" s="24" t="inlineStr">
        <is>
          <t>综合信息管理</t>
        </is>
      </c>
      <c r="D1094" s="24" t="inlineStr">
        <is>
          <t>020010</t>
        </is>
      </c>
      <c r="E1094" s="24" t="inlineStr">
        <is>
          <t>大陆</t>
        </is>
      </c>
    </row>
    <row r="1095">
      <c r="B1095" s="24" t="inlineStr">
        <is>
          <t>SynthesisManage</t>
        </is>
      </c>
      <c r="C1095" s="24" t="inlineStr">
        <is>
          <t>综合信息管理</t>
        </is>
      </c>
      <c r="D1095" s="24" t="inlineStr">
        <is>
          <t>020020</t>
        </is>
      </c>
      <c r="E1095" s="24" t="inlineStr">
        <is>
          <t>香港</t>
        </is>
      </c>
    </row>
    <row r="1096">
      <c r="B1096" s="24" t="inlineStr">
        <is>
          <t>SynthesisManage</t>
        </is>
      </c>
      <c r="C1096" s="24" t="inlineStr">
        <is>
          <t>综合信息管理</t>
        </is>
      </c>
      <c r="D1096" s="24" t="inlineStr">
        <is>
          <t>020030</t>
        </is>
      </c>
      <c r="E1096" s="24" t="inlineStr">
        <is>
          <t>澳门</t>
        </is>
      </c>
    </row>
    <row r="1097">
      <c r="B1097" s="24" t="inlineStr">
        <is>
          <t>SynthesisManage</t>
        </is>
      </c>
      <c r="C1097" s="24" t="inlineStr">
        <is>
          <t>综合信息管理</t>
        </is>
      </c>
      <c r="D1097" s="24" t="inlineStr">
        <is>
          <t>040</t>
        </is>
      </c>
      <c r="E1097" s="24" t="inlineStr">
        <is>
          <t>变更客户信息</t>
        </is>
      </c>
    </row>
    <row r="1098">
      <c r="B1098" s="24" t="inlineStr">
        <is>
          <t>SynthesisManage</t>
        </is>
      </c>
      <c r="C1098" s="24" t="inlineStr">
        <is>
          <t>综合信息管理</t>
        </is>
      </c>
      <c r="D1098" s="24" t="inlineStr">
        <is>
          <t>050</t>
        </is>
      </c>
      <c r="E1098" s="24" t="inlineStr">
        <is>
          <t>客户交接</t>
        </is>
      </c>
    </row>
    <row r="1099">
      <c r="B1099" s="24" t="inlineStr">
        <is>
          <t>SynthesisManage</t>
        </is>
      </c>
      <c r="C1099" s="24" t="inlineStr">
        <is>
          <t>综合信息管理</t>
        </is>
      </c>
      <c r="D1099" s="24" t="inlineStr">
        <is>
          <t>060</t>
        </is>
      </c>
      <c r="E1099" s="24" t="inlineStr">
        <is>
          <t>合同转移</t>
        </is>
      </c>
    </row>
    <row r="1100">
      <c r="B1100" s="24" t="inlineStr">
        <is>
          <t>SynthesisManage</t>
        </is>
      </c>
      <c r="C1100" s="24" t="inlineStr">
        <is>
          <t>综合信息管理</t>
        </is>
      </c>
      <c r="D1100" s="24" t="inlineStr">
        <is>
          <t>090</t>
        </is>
      </c>
      <c r="E1100" s="24" t="inlineStr">
        <is>
          <t>无效客户清理</t>
        </is>
      </c>
    </row>
    <row r="1101">
      <c r="B1101" s="24" t="inlineStr">
        <is>
          <t>SynthesisManage</t>
        </is>
      </c>
      <c r="C1101" s="24" t="inlineStr">
        <is>
          <t>综合信息管理</t>
        </is>
      </c>
      <c r="D1101" s="24" t="inlineStr">
        <is>
          <t>100</t>
        </is>
      </c>
      <c r="E1101" s="24" t="inlineStr">
        <is>
          <t>通知管理</t>
        </is>
      </c>
    </row>
    <row r="1102">
      <c r="B1102" s="24" t="inlineStr">
        <is>
          <t>SynthesisManage</t>
        </is>
      </c>
      <c r="C1102" s="24" t="inlineStr">
        <is>
          <t>综合信息管理</t>
        </is>
      </c>
      <c r="D1102" s="24" t="inlineStr">
        <is>
          <t>130</t>
        </is>
      </c>
      <c r="E1102" s="24" t="inlineStr">
        <is>
          <t>待处理业务转授权</t>
        </is>
      </c>
    </row>
    <row r="1103">
      <c r="B1103" s="24" t="inlineStr">
        <is>
          <t>SynthesisManage</t>
        </is>
      </c>
      <c r="C1103" s="24" t="inlineStr">
        <is>
          <t>综合信息管理</t>
        </is>
      </c>
      <c r="D1103" s="24" t="inlineStr">
        <is>
          <t>135</t>
        </is>
      </c>
      <c r="E1103" s="24" t="inlineStr">
        <is>
          <t>岗位转授权</t>
        </is>
      </c>
    </row>
    <row r="1104">
      <c r="B1104" s="24" t="inlineStr">
        <is>
          <t>SynthesisManage</t>
        </is>
      </c>
      <c r="C1104" s="24" t="inlineStr">
        <is>
          <t>综合信息管理</t>
        </is>
      </c>
      <c r="D1104" s="24" t="inlineStr">
        <is>
          <t>170</t>
        </is>
      </c>
      <c r="E1104" s="24" t="inlineStr">
        <is>
          <t>授信限额集中度</t>
        </is>
      </c>
    </row>
    <row r="1105" ht="15.95" customHeight="1" s="170">
      <c r="B1105" s="122" t="inlineStr">
        <is>
          <t>码值：SMECreditPolicy</t>
        </is>
      </c>
    </row>
    <row r="1106">
      <c r="B1106" s="24" t="inlineStr">
        <is>
          <t>SMECreditPolicy</t>
        </is>
      </c>
      <c r="C1106" s="24" t="inlineStr">
        <is>
          <t>行业政策</t>
        </is>
      </c>
      <c r="D1106" s="24" t="inlineStr">
        <is>
          <t>01</t>
        </is>
      </c>
      <c r="E1106" s="24" t="inlineStr">
        <is>
          <t>鼓励发展</t>
        </is>
      </c>
    </row>
    <row r="1107">
      <c r="B1107" s="24" t="inlineStr">
        <is>
          <t>SMECreditPolicy</t>
        </is>
      </c>
      <c r="C1107" s="24" t="inlineStr">
        <is>
          <t>行业政策</t>
        </is>
      </c>
      <c r="D1107" s="24" t="inlineStr">
        <is>
          <t>02</t>
        </is>
      </c>
      <c r="E1107" s="24" t="inlineStr">
        <is>
          <t>一般态度</t>
        </is>
      </c>
    </row>
    <row r="1108">
      <c r="B1108" s="24" t="inlineStr">
        <is>
          <t>SMECreditPolicy</t>
        </is>
      </c>
      <c r="C1108" s="24" t="inlineStr">
        <is>
          <t>行业政策</t>
        </is>
      </c>
      <c r="D1108" s="24" t="inlineStr">
        <is>
          <t>03</t>
        </is>
      </c>
      <c r="E1108" s="24" t="inlineStr">
        <is>
          <t>限制发展</t>
        </is>
      </c>
    </row>
    <row r="1109">
      <c r="B1109" s="24" t="inlineStr">
        <is>
          <t>SMECreditPolicy</t>
        </is>
      </c>
      <c r="C1109" s="24" t="inlineStr">
        <is>
          <t>行业政策</t>
        </is>
      </c>
      <c r="D1109" s="24" t="inlineStr">
        <is>
          <t>04</t>
        </is>
      </c>
      <c r="E1109" s="24" t="inlineStr">
        <is>
          <t>要求淘汰</t>
        </is>
      </c>
    </row>
    <row r="1110" ht="15.95" customHeight="1" s="170">
      <c r="B1110" s="122" t="inlineStr">
        <is>
          <t>码值：IsInUse</t>
        </is>
      </c>
    </row>
    <row r="1111">
      <c r="B1111" s="24" t="inlineStr">
        <is>
          <t>IsInUse</t>
        </is>
      </c>
      <c r="C1111" s="24" t="inlineStr">
        <is>
          <t>是否有效</t>
        </is>
      </c>
      <c r="D1111" s="24" t="inlineStr">
        <is>
          <t>0</t>
        </is>
      </c>
      <c r="E1111" s="24" t="inlineStr">
        <is>
          <t>锁定</t>
        </is>
      </c>
    </row>
    <row r="1112">
      <c r="B1112" s="24" t="inlineStr">
        <is>
          <t>IsInUse</t>
        </is>
      </c>
      <c r="C1112" s="24" t="inlineStr">
        <is>
          <t>是否有效</t>
        </is>
      </c>
      <c r="D1112" s="24" t="inlineStr">
        <is>
          <t>1</t>
        </is>
      </c>
      <c r="E1112" s="24" t="inlineStr">
        <is>
          <t>正常</t>
        </is>
      </c>
    </row>
    <row r="1113">
      <c r="B1113" s="24" t="inlineStr">
        <is>
          <t>IsInUse</t>
        </is>
      </c>
      <c r="C1113" s="24" t="inlineStr">
        <is>
          <t>是否有效</t>
        </is>
      </c>
      <c r="D1113" s="24" t="inlineStr">
        <is>
          <t>2</t>
        </is>
      </c>
      <c r="E1113" s="24" t="inlineStr">
        <is>
          <t>停用</t>
        </is>
      </c>
    </row>
    <row r="1114" ht="15.95" customHeight="1" s="170">
      <c r="B1114" s="122" t="inlineStr">
        <is>
          <t>码值：DataLeadMode</t>
        </is>
      </c>
    </row>
    <row r="1115">
      <c r="B1115" s="24" t="inlineStr">
        <is>
          <t>DataLeadMode</t>
        </is>
      </c>
      <c r="C1115" s="24" t="inlineStr">
        <is>
          <t>数据导入方式</t>
        </is>
      </c>
      <c r="D1115" s="24" t="inlineStr">
        <is>
          <t>010</t>
        </is>
      </c>
      <c r="E1115" s="24" t="inlineStr">
        <is>
          <t>人工登记</t>
        </is>
      </c>
    </row>
    <row r="1116">
      <c r="B1116" s="24" t="inlineStr">
        <is>
          <t>DataLeadMode</t>
        </is>
      </c>
      <c r="C1116" s="24" t="inlineStr">
        <is>
          <t>数据导入方式</t>
        </is>
      </c>
      <c r="D1116" s="24" t="inlineStr">
        <is>
          <t>020</t>
        </is>
      </c>
      <c r="E1116" s="24" t="inlineStr">
        <is>
          <t>系统批量</t>
        </is>
      </c>
    </row>
    <row r="1117" ht="15.95" customHeight="1" s="170">
      <c r="B1117" s="122" t="inlineStr">
        <is>
          <t>码值：LoanWay</t>
        </is>
      </c>
    </row>
    <row r="1118">
      <c r="B1118" s="24" t="inlineStr">
        <is>
          <t>LoanWay</t>
        </is>
      </c>
      <c r="C1118" s="24" t="inlineStr">
        <is>
          <t>借贷(收付)方向</t>
        </is>
      </c>
      <c r="D1118" s="24" t="inlineStr">
        <is>
          <t>0</t>
        </is>
      </c>
      <c r="E1118" s="24" t="inlineStr">
        <is>
          <t>借</t>
        </is>
      </c>
    </row>
    <row r="1119">
      <c r="B1119" s="24" t="inlineStr">
        <is>
          <t>LoanWay</t>
        </is>
      </c>
      <c r="C1119" s="24" t="inlineStr">
        <is>
          <t>借贷(收付)方向</t>
        </is>
      </c>
      <c r="D1119" s="24" t="inlineStr">
        <is>
          <t>1</t>
        </is>
      </c>
      <c r="E1119" s="24" t="inlineStr">
        <is>
          <t>贷</t>
        </is>
      </c>
    </row>
    <row r="1120">
      <c r="B1120" s="24" t="inlineStr">
        <is>
          <t>LoanWay</t>
        </is>
      </c>
      <c r="C1120" s="24" t="inlineStr">
        <is>
          <t>借贷(收付)方向</t>
        </is>
      </c>
      <c r="D1120" s="24" t="inlineStr">
        <is>
          <t>2</t>
        </is>
      </c>
      <c r="E1120" s="24" t="inlineStr">
        <is>
          <t>收</t>
        </is>
      </c>
    </row>
    <row r="1121">
      <c r="B1121" s="24" t="inlineStr">
        <is>
          <t>LoanWay</t>
        </is>
      </c>
      <c r="C1121" s="24" t="inlineStr">
        <is>
          <t>借贷(收付)方向</t>
        </is>
      </c>
      <c r="D1121" s="24" t="inlineStr">
        <is>
          <t>3</t>
        </is>
      </c>
      <c r="E1121" s="24" t="inlineStr">
        <is>
          <t>付</t>
        </is>
      </c>
    </row>
    <row r="1122" ht="15.95" customHeight="1" s="170">
      <c r="B1122" s="122" t="inlineStr">
        <is>
          <t>码值：关联交易情况</t>
        </is>
      </c>
    </row>
    <row r="1123">
      <c r="B1123" s="24" t="inlineStr">
        <is>
          <t>关联交易情况</t>
        </is>
      </c>
      <c r="C1123" s="24" t="inlineStr">
        <is>
          <t>关联交易情况</t>
        </is>
      </c>
      <c r="D1123" s="24" t="inlineStr">
        <is>
          <t>01</t>
        </is>
      </c>
      <c r="E1123" s="24" t="inlineStr">
        <is>
          <t>关联交易的资金往来和商品交易明晰，交易价格公允或者无关联交易</t>
        </is>
      </c>
    </row>
    <row r="1124">
      <c r="B1124" s="24" t="inlineStr">
        <is>
          <t>关联交易情况</t>
        </is>
      </c>
      <c r="C1124" s="24" t="inlineStr">
        <is>
          <t>关联交易情况</t>
        </is>
      </c>
      <c r="D1124" s="24" t="inlineStr">
        <is>
          <t>02</t>
        </is>
      </c>
      <c r="E1124" s="24" t="inlineStr">
        <is>
          <t>关联交易和资金往来存在一定问题，关联交易在营业收入中的占比达到25%</t>
        </is>
      </c>
    </row>
    <row r="1125">
      <c r="B1125" s="24" t="inlineStr">
        <is>
          <t>关联交易情况</t>
        </is>
      </c>
      <c r="C1125" s="24" t="inlineStr">
        <is>
          <t>关联交易情况</t>
        </is>
      </c>
      <c r="D1125" s="24" t="inlineStr">
        <is>
          <t>03</t>
        </is>
      </c>
      <c r="E1125" s="24" t="inlineStr">
        <is>
          <t>关联交易和资金往来存在一定问题，关联交易在营业收入中的占比达到50%</t>
        </is>
      </c>
    </row>
    <row r="1126">
      <c r="B1126" s="24" t="inlineStr">
        <is>
          <t>关联交易情况</t>
        </is>
      </c>
      <c r="C1126" s="24" t="inlineStr">
        <is>
          <t>关联交易情况</t>
        </is>
      </c>
      <c r="D1126" s="24" t="inlineStr">
        <is>
          <t>04</t>
        </is>
      </c>
      <c r="E1126" s="24" t="inlineStr">
        <is>
          <t>关联交易和资金往来存在一定问题，营业收入主要来自于关联方</t>
        </is>
      </c>
    </row>
    <row r="1127" ht="15.95" customHeight="1" s="170">
      <c r="B1127" s="122" t="inlineStr">
        <is>
          <t>码值：StressAnalysis</t>
        </is>
      </c>
    </row>
    <row r="1128">
      <c r="B1128" s="24" t="inlineStr">
        <is>
          <t>StressAnalysis</t>
        </is>
      </c>
      <c r="C1128" s="24" t="inlineStr">
        <is>
          <t>信用等级评估统一导入</t>
        </is>
      </c>
      <c r="D1128" s="24" t="inlineStr">
        <is>
          <t>01</t>
        </is>
      </c>
      <c r="E1128" s="24" t="inlineStr">
        <is>
          <t>当经济和行业面临持续、严重的问题时，项目仍能偿还债务。</t>
        </is>
      </c>
    </row>
    <row r="1129">
      <c r="B1129" s="24" t="inlineStr">
        <is>
          <t>StressAnalysis</t>
        </is>
      </c>
      <c r="C1129" s="24" t="inlineStr">
        <is>
          <t>信用等级评估统一导入</t>
        </is>
      </c>
      <c r="D1129" s="24" t="inlineStr">
        <is>
          <t>02</t>
        </is>
      </c>
      <c r="E1129" s="24" t="inlineStr">
        <is>
          <t>当经济和行业面临一般问题时，项目能偿还债务。只有当经济发生严重问题时，项目才可能违约。</t>
        </is>
      </c>
    </row>
    <row r="1130">
      <c r="B1130" s="24" t="inlineStr">
        <is>
          <t>StressAnalysis</t>
        </is>
      </c>
      <c r="C1130" s="24" t="inlineStr">
        <is>
          <t>信用等级评估统一导入</t>
        </is>
      </c>
      <c r="D1130" s="24" t="inlineStr">
        <is>
          <t>03</t>
        </is>
      </c>
      <c r="E1130" s="24" t="inlineStr">
        <is>
          <t>项目易受经济周期中常见的负面影响，可能在正常的低谷期违约。</t>
        </is>
      </c>
    </row>
    <row r="1131">
      <c r="B1131" s="24" t="inlineStr">
        <is>
          <t>StressAnalysis</t>
        </is>
      </c>
      <c r="C1131" s="24" t="inlineStr">
        <is>
          <t>信用等级评估统一导入</t>
        </is>
      </c>
      <c r="D1131" s="24" t="inlineStr">
        <is>
          <t>04</t>
        </is>
      </c>
      <c r="E1131" s="24" t="inlineStr">
        <is>
          <t>如果情况不好转，项目可能违约。</t>
        </is>
      </c>
    </row>
    <row r="1132" ht="15.95" customHeight="1" s="170">
      <c r="B1132" s="122" t="inlineStr">
        <is>
          <t>码值：GuarantyList</t>
        </is>
      </c>
    </row>
    <row r="1133">
      <c r="B1133" s="24" t="inlineStr">
        <is>
          <t>GuarantyList</t>
        </is>
      </c>
      <c r="C1133" s="24" t="inlineStr">
        <is>
          <t>抵质押物列表</t>
        </is>
      </c>
      <c r="D1133" s="24" t="inlineStr">
        <is>
          <t>010</t>
        </is>
      </c>
      <c r="E1133" s="24" t="inlineStr">
        <is>
          <t>抵押类型</t>
        </is>
      </c>
    </row>
    <row r="1134">
      <c r="B1134" s="24" t="inlineStr">
        <is>
          <t>GuarantyList</t>
        </is>
      </c>
      <c r="C1134" s="24" t="inlineStr">
        <is>
          <t>抵质押物列表</t>
        </is>
      </c>
      <c r="D1134" s="24" t="inlineStr">
        <is>
          <t>010010</t>
        </is>
      </c>
      <c r="E1134" s="24" t="inlineStr">
        <is>
          <t>抵押-房产</t>
        </is>
      </c>
    </row>
    <row r="1135">
      <c r="B1135" s="24" t="inlineStr">
        <is>
          <t>GuarantyList</t>
        </is>
      </c>
      <c r="C1135" s="24" t="inlineStr">
        <is>
          <t>抵质押物列表</t>
        </is>
      </c>
      <c r="D1135" s="24" t="inlineStr">
        <is>
          <t>010020</t>
        </is>
      </c>
      <c r="E1135" s="24" t="inlineStr">
        <is>
          <t>抵押-土地</t>
        </is>
      </c>
    </row>
    <row r="1136">
      <c r="B1136" s="24" t="inlineStr">
        <is>
          <t>GuarantyList</t>
        </is>
      </c>
      <c r="C1136" s="24" t="inlineStr">
        <is>
          <t>抵质押物列表</t>
        </is>
      </c>
      <c r="D1136" s="24" t="inlineStr">
        <is>
          <t>010025</t>
        </is>
      </c>
      <c r="E1136" s="24" t="inlineStr">
        <is>
          <t>抵押-在建工程</t>
        </is>
      </c>
    </row>
    <row r="1137">
      <c r="B1137" s="24" t="inlineStr">
        <is>
          <t>GuarantyList</t>
        </is>
      </c>
      <c r="C1137" s="24" t="inlineStr">
        <is>
          <t>抵质押物列表</t>
        </is>
      </c>
      <c r="D1137" s="24" t="inlineStr">
        <is>
          <t>010030</t>
        </is>
      </c>
      <c r="E1137" s="24" t="inlineStr">
        <is>
          <t>抵押-交通工具</t>
        </is>
      </c>
    </row>
    <row r="1138">
      <c r="B1138" s="24" t="inlineStr">
        <is>
          <t>GuarantyList</t>
        </is>
      </c>
      <c r="C1138" s="24" t="inlineStr">
        <is>
          <t>抵质押物列表</t>
        </is>
      </c>
      <c r="D1138" s="24" t="inlineStr">
        <is>
          <t>010040</t>
        </is>
      </c>
      <c r="E1138" s="24" t="inlineStr">
        <is>
          <t>抵押-设备</t>
        </is>
      </c>
    </row>
    <row r="1139">
      <c r="B1139" s="24" t="inlineStr">
        <is>
          <t>GuarantyList</t>
        </is>
      </c>
      <c r="C1139" s="24" t="inlineStr">
        <is>
          <t>抵质押物列表</t>
        </is>
      </c>
      <c r="D1139" s="24" t="inlineStr">
        <is>
          <t>010050</t>
        </is>
      </c>
      <c r="E1139" s="24" t="inlineStr">
        <is>
          <t>抵押-其他</t>
        </is>
      </c>
    </row>
    <row r="1140">
      <c r="B1140" s="24" t="inlineStr">
        <is>
          <t>GuarantyList</t>
        </is>
      </c>
      <c r="C1140" s="24" t="inlineStr">
        <is>
          <t>抵质押物列表</t>
        </is>
      </c>
      <c r="D1140" s="24" t="inlineStr">
        <is>
          <t>020</t>
        </is>
      </c>
      <c r="E1140" s="24" t="inlineStr">
        <is>
          <t>质押类型</t>
        </is>
      </c>
    </row>
    <row r="1141">
      <c r="B1141" s="24" t="inlineStr">
        <is>
          <t>GuarantyList</t>
        </is>
      </c>
      <c r="C1141" s="24" t="inlineStr">
        <is>
          <t>抵质押物列表</t>
        </is>
      </c>
      <c r="D1141" s="24" t="inlineStr">
        <is>
          <t>020010</t>
        </is>
      </c>
      <c r="E1141" s="24" t="inlineStr">
        <is>
          <t>质押-我行存单</t>
        </is>
      </c>
    </row>
    <row r="1142">
      <c r="B1142" s="24" t="inlineStr">
        <is>
          <t>GuarantyList</t>
        </is>
      </c>
      <c r="C1142" s="24" t="inlineStr">
        <is>
          <t>抵质押物列表</t>
        </is>
      </c>
      <c r="D1142" s="24" t="inlineStr">
        <is>
          <t>020015</t>
        </is>
      </c>
      <c r="E1142" s="24" t="inlineStr">
        <is>
          <t>质押-他行存单</t>
        </is>
      </c>
    </row>
    <row r="1143">
      <c r="B1143" s="24" t="inlineStr">
        <is>
          <t>GuarantyList</t>
        </is>
      </c>
      <c r="C1143" s="24" t="inlineStr">
        <is>
          <t>抵质押物列表</t>
        </is>
      </c>
      <c r="D1143" s="24" t="inlineStr">
        <is>
          <t>020020</t>
        </is>
      </c>
      <c r="E1143" s="24" t="inlineStr">
        <is>
          <t>质押-基金</t>
        </is>
      </c>
    </row>
    <row r="1144">
      <c r="B1144" s="24" t="inlineStr">
        <is>
          <t>GuarantyList</t>
        </is>
      </c>
      <c r="C1144" s="24" t="inlineStr">
        <is>
          <t>抵质押物列表</t>
        </is>
      </c>
      <c r="D1144" s="24" t="inlineStr">
        <is>
          <t>020030</t>
        </is>
      </c>
      <c r="E1144" s="24" t="inlineStr">
        <is>
          <t>质押-黄金</t>
        </is>
      </c>
    </row>
    <row r="1145">
      <c r="B1145" s="24" t="inlineStr">
        <is>
          <t>GuarantyList</t>
        </is>
      </c>
      <c r="C1145" s="24" t="inlineStr">
        <is>
          <t>抵质押物列表</t>
        </is>
      </c>
      <c r="D1145" s="24" t="inlineStr">
        <is>
          <t>020040</t>
        </is>
      </c>
      <c r="E1145" s="24" t="inlineStr">
        <is>
          <t>质押-国库券</t>
        </is>
      </c>
    </row>
    <row r="1146">
      <c r="B1146" s="24" t="inlineStr">
        <is>
          <t>GuarantyList</t>
        </is>
      </c>
      <c r="C1146" s="24" t="inlineStr">
        <is>
          <t>抵质押物列表</t>
        </is>
      </c>
      <c r="D1146" s="24" t="inlineStr">
        <is>
          <t>020050</t>
        </is>
      </c>
      <c r="E1146" s="24" t="inlineStr">
        <is>
          <t>质押-出口退税</t>
        </is>
      </c>
    </row>
    <row r="1147">
      <c r="B1147" s="24" t="inlineStr">
        <is>
          <t>GuarantyList</t>
        </is>
      </c>
      <c r="C1147" s="24" t="inlineStr">
        <is>
          <t>抵质押物列表</t>
        </is>
      </c>
      <c r="D1147" s="24" t="inlineStr">
        <is>
          <t>020060</t>
        </is>
      </c>
      <c r="E1147" s="24" t="inlineStr">
        <is>
          <t>质押-保单</t>
        </is>
      </c>
    </row>
    <row r="1148">
      <c r="B1148" s="24" t="inlineStr">
        <is>
          <t>GuarantyList</t>
        </is>
      </c>
      <c r="C1148" s="24" t="inlineStr">
        <is>
          <t>抵质押物列表</t>
        </is>
      </c>
      <c r="D1148" s="24" t="inlineStr">
        <is>
          <t>020070</t>
        </is>
      </c>
      <c r="E1148" s="24" t="inlineStr">
        <is>
          <t>质押-城市重点建设债券</t>
        </is>
      </c>
    </row>
    <row r="1149">
      <c r="B1149" s="24" t="inlineStr">
        <is>
          <t>GuarantyList</t>
        </is>
      </c>
      <c r="C1149" s="24" t="inlineStr">
        <is>
          <t>抵质押物列表</t>
        </is>
      </c>
      <c r="D1149" s="24" t="inlineStr">
        <is>
          <t>020080</t>
        </is>
      </c>
      <c r="E1149" s="24" t="inlineStr">
        <is>
          <t>质押-信用证</t>
        </is>
      </c>
    </row>
    <row r="1150">
      <c r="B1150" s="24" t="inlineStr">
        <is>
          <t>GuarantyList</t>
        </is>
      </c>
      <c r="C1150" s="24" t="inlineStr">
        <is>
          <t>抵质押物列表</t>
        </is>
      </c>
      <c r="D1150" s="24" t="inlineStr">
        <is>
          <t>020090</t>
        </is>
      </c>
      <c r="E1150" s="24" t="inlineStr">
        <is>
          <t>质押-备用信用证</t>
        </is>
      </c>
    </row>
    <row r="1151">
      <c r="B1151" s="24" t="inlineStr">
        <is>
          <t>GuarantyList</t>
        </is>
      </c>
      <c r="C1151" s="24" t="inlineStr">
        <is>
          <t>抵质押物列表</t>
        </is>
      </c>
      <c r="D1151" s="24" t="inlineStr">
        <is>
          <t>020100</t>
        </is>
      </c>
      <c r="E1151" s="24" t="inlineStr">
        <is>
          <t>质押-外汇</t>
        </is>
      </c>
    </row>
    <row r="1152">
      <c r="B1152" s="24" t="inlineStr">
        <is>
          <t>GuarantyList</t>
        </is>
      </c>
      <c r="C1152" s="24" t="inlineStr">
        <is>
          <t>抵质押物列表</t>
        </is>
      </c>
      <c r="D1152" s="24" t="inlineStr">
        <is>
          <t>020110</t>
        </is>
      </c>
      <c r="E1152" s="24" t="inlineStr">
        <is>
          <t>质押-仓单</t>
        </is>
      </c>
    </row>
    <row r="1153">
      <c r="B1153" s="24" t="inlineStr">
        <is>
          <t>GuarantyList</t>
        </is>
      </c>
      <c r="C1153" s="24" t="inlineStr">
        <is>
          <t>抵质押物列表</t>
        </is>
      </c>
      <c r="D1153" s="24" t="inlineStr">
        <is>
          <t>020120</t>
        </is>
      </c>
      <c r="E1153" s="24" t="inlineStr">
        <is>
          <t>质押-提单</t>
        </is>
      </c>
    </row>
    <row r="1154">
      <c r="B1154" s="24" t="inlineStr">
        <is>
          <t>GuarantyList</t>
        </is>
      </c>
      <c r="C1154" s="24" t="inlineStr">
        <is>
          <t>抵质押物列表</t>
        </is>
      </c>
      <c r="D1154" s="24" t="inlineStr">
        <is>
          <t>020130</t>
        </is>
      </c>
      <c r="E1154" s="24" t="inlineStr">
        <is>
          <t>质押-交通工具</t>
        </is>
      </c>
    </row>
    <row r="1155">
      <c r="B1155" s="24" t="inlineStr">
        <is>
          <t>GuarantyList</t>
        </is>
      </c>
      <c r="C1155" s="24" t="inlineStr">
        <is>
          <t>抵质押物列表</t>
        </is>
      </c>
      <c r="D1155" s="24" t="inlineStr">
        <is>
          <t>020140</t>
        </is>
      </c>
      <c r="E1155" s="24" t="inlineStr">
        <is>
          <t>质押-汽车合格证</t>
        </is>
      </c>
    </row>
    <row r="1156">
      <c r="B1156" s="24" t="inlineStr">
        <is>
          <t>GuarantyList</t>
        </is>
      </c>
      <c r="C1156" s="24" t="inlineStr">
        <is>
          <t>抵质押物列表</t>
        </is>
      </c>
      <c r="D1156" s="24" t="inlineStr">
        <is>
          <t>020150</t>
        </is>
      </c>
      <c r="E1156" s="24" t="inlineStr">
        <is>
          <t>质押-企业债券</t>
        </is>
      </c>
    </row>
    <row r="1157">
      <c r="B1157" s="24" t="inlineStr">
        <is>
          <t>GuarantyList</t>
        </is>
      </c>
      <c r="C1157" s="24" t="inlineStr">
        <is>
          <t>抵质押物列表</t>
        </is>
      </c>
      <c r="D1157" s="24" t="inlineStr">
        <is>
          <t>020160</t>
        </is>
      </c>
      <c r="E1157" s="24" t="inlineStr">
        <is>
          <t>质押-上市公司法人股</t>
        </is>
      </c>
    </row>
    <row r="1158">
      <c r="B1158" s="24" t="inlineStr">
        <is>
          <t>GuarantyList</t>
        </is>
      </c>
      <c r="C1158" s="24" t="inlineStr">
        <is>
          <t>抵质押物列表</t>
        </is>
      </c>
      <c r="D1158" s="24" t="inlineStr">
        <is>
          <t>020170</t>
        </is>
      </c>
      <c r="E1158" s="24" t="inlineStr">
        <is>
          <t>质押-上市公司流通股</t>
        </is>
      </c>
    </row>
    <row r="1159">
      <c r="B1159" s="24" t="inlineStr">
        <is>
          <t>GuarantyList</t>
        </is>
      </c>
      <c r="C1159" s="24" t="inlineStr">
        <is>
          <t>抵质押物列表</t>
        </is>
      </c>
      <c r="D1159" s="24" t="inlineStr">
        <is>
          <t>020180</t>
        </is>
      </c>
      <c r="E1159" s="24" t="inlineStr">
        <is>
          <t>质押-非上市公司股权</t>
        </is>
      </c>
    </row>
    <row r="1160">
      <c r="B1160" s="24" t="inlineStr">
        <is>
          <t>GuarantyList</t>
        </is>
      </c>
      <c r="C1160" s="24" t="inlineStr">
        <is>
          <t>抵质押物列表</t>
        </is>
      </c>
      <c r="D1160" s="24" t="inlineStr">
        <is>
          <t>020190</t>
        </is>
      </c>
      <c r="E1160" s="24" t="inlineStr">
        <is>
          <t>质押-应收帐款</t>
        </is>
      </c>
    </row>
    <row r="1161">
      <c r="B1161" s="24" t="inlineStr">
        <is>
          <t>GuarantyList</t>
        </is>
      </c>
      <c r="C1161" s="24" t="inlineStr">
        <is>
          <t>抵质押物列表</t>
        </is>
      </c>
      <c r="D1161" s="24" t="inlineStr">
        <is>
          <t>020210</t>
        </is>
      </c>
      <c r="E1161" s="24" t="inlineStr">
        <is>
          <t>质押-银行承兑汇票</t>
        </is>
      </c>
    </row>
    <row r="1162">
      <c r="B1162" s="24" t="inlineStr">
        <is>
          <t>GuarantyList</t>
        </is>
      </c>
      <c r="C1162" s="24" t="inlineStr">
        <is>
          <t>抵质押物列表</t>
        </is>
      </c>
      <c r="D1162" s="24" t="inlineStr">
        <is>
          <t>020220</t>
        </is>
      </c>
      <c r="E1162" s="24" t="inlineStr">
        <is>
          <t>质押-汇票、本票、支票</t>
        </is>
      </c>
    </row>
    <row r="1163">
      <c r="B1163" s="24" t="inlineStr">
        <is>
          <t>GuarantyList</t>
        </is>
      </c>
      <c r="C1163" s="24" t="inlineStr">
        <is>
          <t>抵质押物列表</t>
        </is>
      </c>
      <c r="D1163" s="24" t="inlineStr">
        <is>
          <t>020230</t>
        </is>
      </c>
      <c r="E1163" s="24" t="inlineStr">
        <is>
          <t>质押-其他动产</t>
        </is>
      </c>
    </row>
    <row r="1164">
      <c r="B1164" s="24" t="inlineStr">
        <is>
          <t>GuarantyList</t>
        </is>
      </c>
      <c r="C1164" s="24" t="inlineStr">
        <is>
          <t>抵质押物列表</t>
        </is>
      </c>
      <c r="D1164" s="24" t="inlineStr">
        <is>
          <t>020250</t>
        </is>
      </c>
      <c r="E1164" s="24" t="inlineStr">
        <is>
          <t>质押-其他可转让的权利</t>
        </is>
      </c>
    </row>
    <row r="1165">
      <c r="B1165" s="24" t="inlineStr">
        <is>
          <t>GuarantyList</t>
        </is>
      </c>
      <c r="C1165" s="24" t="inlineStr">
        <is>
          <t>抵质押物列表</t>
        </is>
      </c>
      <c r="D1165" s="24" t="inlineStr">
        <is>
          <t>020260</t>
        </is>
      </c>
      <c r="E1165" s="24" t="inlineStr">
        <is>
          <t>质押-其他</t>
        </is>
      </c>
    </row>
    <row r="1166">
      <c r="B1166" s="24" t="inlineStr">
        <is>
          <t>GuarantyList</t>
        </is>
      </c>
      <c r="C1166" s="24" t="inlineStr">
        <is>
          <t>抵质押物列表</t>
        </is>
      </c>
      <c r="D1166" s="24" t="inlineStr">
        <is>
          <t>030</t>
        </is>
      </c>
      <c r="E1166" s="24" t="inlineStr">
        <is>
          <t>保证</t>
        </is>
      </c>
    </row>
    <row r="1167">
      <c r="B1167" s="24" t="inlineStr">
        <is>
          <t>GuarantyList</t>
        </is>
      </c>
      <c r="C1167" s="24" t="inlineStr">
        <is>
          <t>抵质押物列表</t>
        </is>
      </c>
      <c r="D1167" s="24" t="inlineStr">
        <is>
          <t>030010</t>
        </is>
      </c>
      <c r="E1167" s="24" t="inlineStr">
        <is>
          <t>保证-保证</t>
        </is>
      </c>
    </row>
    <row r="1168">
      <c r="B1168" s="24" t="inlineStr">
        <is>
          <t>GuarantyList</t>
        </is>
      </c>
      <c r="C1168" s="24" t="inlineStr">
        <is>
          <t>抵质押物列表</t>
        </is>
      </c>
      <c r="D1168" s="24" t="inlineStr">
        <is>
          <t>030020</t>
        </is>
      </c>
      <c r="E1168" s="24" t="inlineStr">
        <is>
          <t>保证-履约保险保证</t>
        </is>
      </c>
    </row>
    <row r="1169">
      <c r="B1169" s="24" t="inlineStr">
        <is>
          <t>GuarantyList</t>
        </is>
      </c>
      <c r="C1169" s="24" t="inlineStr">
        <is>
          <t>抵质押物列表</t>
        </is>
      </c>
      <c r="D1169" s="24" t="inlineStr">
        <is>
          <t>030030</t>
        </is>
      </c>
      <c r="E1169" s="24" t="inlineStr">
        <is>
          <t>保证-保函保证</t>
        </is>
      </c>
    </row>
    <row r="1170">
      <c r="B1170" s="24" t="inlineStr">
        <is>
          <t>GuarantyList</t>
        </is>
      </c>
      <c r="C1170" s="24" t="inlineStr">
        <is>
          <t>抵质押物列表</t>
        </is>
      </c>
      <c r="D1170" s="24" t="inlineStr">
        <is>
          <t>030040</t>
        </is>
      </c>
      <c r="E1170" s="24" t="inlineStr">
        <is>
          <t>保证-保证金保证</t>
        </is>
      </c>
    </row>
    <row r="1171" ht="15.95" customHeight="1" s="170">
      <c r="B1171" s="122" t="inlineStr">
        <is>
          <t>码值：OccurStyle</t>
        </is>
      </c>
    </row>
    <row r="1172">
      <c r="B1172" s="24" t="inlineStr">
        <is>
          <t>OccurStyle</t>
        </is>
      </c>
      <c r="C1172" s="24" t="inlineStr">
        <is>
          <t>抵债资产相关费用发生方式</t>
        </is>
      </c>
      <c r="D1172" s="24" t="inlineStr">
        <is>
          <t>01</t>
        </is>
      </c>
      <c r="E1172" s="24" t="inlineStr">
        <is>
          <t>抵债资产接受</t>
        </is>
      </c>
    </row>
    <row r="1173">
      <c r="B1173" s="24" t="inlineStr">
        <is>
          <t>OccurStyle</t>
        </is>
      </c>
      <c r="C1173" s="24" t="inlineStr">
        <is>
          <t>抵债资产相关费用发生方式</t>
        </is>
      </c>
      <c r="D1173" s="24" t="inlineStr">
        <is>
          <t>02</t>
        </is>
      </c>
      <c r="E1173" s="24" t="inlineStr">
        <is>
          <t>抵债资产经营</t>
        </is>
      </c>
    </row>
    <row r="1174">
      <c r="B1174" s="24" t="inlineStr">
        <is>
          <t>OccurStyle</t>
        </is>
      </c>
      <c r="C1174" s="24" t="inlineStr">
        <is>
          <t>抵债资产相关费用发生方式</t>
        </is>
      </c>
      <c r="D1174" s="24" t="inlineStr">
        <is>
          <t>03</t>
        </is>
      </c>
      <c r="E1174" s="24" t="inlineStr">
        <is>
          <t>抵债资产处置</t>
        </is>
      </c>
    </row>
    <row r="1175" ht="15.95" customHeight="1" s="170">
      <c r="B1175" s="122" t="inlineStr">
        <is>
          <t>码值：FamilyMapStatus</t>
        </is>
      </c>
    </row>
    <row r="1176">
      <c r="B1176" s="24" t="inlineStr">
        <is>
          <t>FamilyMapStatus</t>
        </is>
      </c>
      <c r="C1176" s="24" t="inlineStr">
        <is>
          <t>家谱家谱复核状态</t>
        </is>
      </c>
      <c r="D1176" s="24" t="inlineStr">
        <is>
          <t>0</t>
        </is>
      </c>
      <c r="E1176" s="24" t="inlineStr">
        <is>
          <t>草稿</t>
        </is>
      </c>
    </row>
    <row r="1177">
      <c r="B1177" s="24" t="inlineStr">
        <is>
          <t>FamilyMapStatus</t>
        </is>
      </c>
      <c r="C1177" s="24" t="inlineStr">
        <is>
          <t>家谱家谱复核状态</t>
        </is>
      </c>
      <c r="D1177" s="24" t="inlineStr">
        <is>
          <t>1</t>
        </is>
      </c>
      <c r="E1177" s="24" t="inlineStr">
        <is>
          <t>审核中</t>
        </is>
      </c>
    </row>
    <row r="1178">
      <c r="B1178" s="24" t="inlineStr">
        <is>
          <t>FamilyMapStatus</t>
        </is>
      </c>
      <c r="C1178" s="24" t="inlineStr">
        <is>
          <t>家谱家谱复核状态</t>
        </is>
      </c>
      <c r="D1178" s="24" t="inlineStr">
        <is>
          <t>2</t>
        </is>
      </c>
      <c r="E1178" s="24" t="inlineStr">
        <is>
          <t>已认定</t>
        </is>
      </c>
    </row>
    <row r="1179">
      <c r="B1179" s="24" t="inlineStr">
        <is>
          <t>FamilyMapStatus</t>
        </is>
      </c>
      <c r="C1179" s="24" t="inlineStr">
        <is>
          <t>家谱家谱复核状态</t>
        </is>
      </c>
      <c r="D1179" s="24" t="inlineStr">
        <is>
          <t>3</t>
        </is>
      </c>
      <c r="E1179" s="24" t="inlineStr">
        <is>
          <t>审核退回</t>
        </is>
      </c>
    </row>
    <row r="1180">
      <c r="B1180" s="24" t="inlineStr">
        <is>
          <t>FamilyMapStatus</t>
        </is>
      </c>
      <c r="C1180" s="24" t="inlineStr">
        <is>
          <t>家谱家谱复核状态</t>
        </is>
      </c>
      <c r="D1180" s="24" t="inlineStr">
        <is>
          <t>8</t>
        </is>
      </c>
      <c r="E1180" s="24" t="inlineStr">
        <is>
          <t>未处理</t>
        </is>
      </c>
    </row>
    <row r="1181">
      <c r="B1181" s="24" t="inlineStr">
        <is>
          <t>FamilyMapStatus</t>
        </is>
      </c>
      <c r="C1181" s="24" t="inlineStr">
        <is>
          <t>家谱家谱复核状态</t>
        </is>
      </c>
      <c r="D1181" s="24" t="inlineStr">
        <is>
          <t>9</t>
        </is>
      </c>
      <c r="E1181" s="24" t="inlineStr">
        <is>
          <t>已处理</t>
        </is>
      </c>
    </row>
    <row r="1182" ht="15.95" customHeight="1" s="170">
      <c r="B1182" s="122" t="inlineStr">
        <is>
          <t>码值：InspectLimitSum</t>
        </is>
      </c>
    </row>
    <row r="1183">
      <c r="B1183" s="24" t="inlineStr">
        <is>
          <t>InspectLimitSum</t>
        </is>
      </c>
      <c r="C1183" s="24" t="inlineStr">
        <is>
          <t>银监局监管限额管理</t>
        </is>
      </c>
      <c r="D1183" s="24" t="inlineStr">
        <is>
          <t>010</t>
        </is>
      </c>
      <c r="E1183" s="24" t="inlineStr">
        <is>
          <t>集团客户监管限额</t>
        </is>
      </c>
    </row>
    <row r="1184">
      <c r="B1184" s="24" t="inlineStr">
        <is>
          <t>InspectLimitSum</t>
        </is>
      </c>
      <c r="C1184" s="24" t="inlineStr">
        <is>
          <t>银监局监管限额管理</t>
        </is>
      </c>
      <c r="D1184" s="24" t="inlineStr">
        <is>
          <t>020</t>
        </is>
      </c>
      <c r="E1184" s="24" t="inlineStr">
        <is>
          <t>单一客户监管限额</t>
        </is>
      </c>
    </row>
    <row r="1185" ht="15.95" customHeight="1" s="170">
      <c r="B1185" s="122" t="inlineStr">
        <is>
          <t>码值：NewYesNo</t>
        </is>
      </c>
    </row>
    <row r="1186">
      <c r="B1186" s="24" t="inlineStr">
        <is>
          <t>NewYesNo</t>
        </is>
      </c>
      <c r="C1186" s="24" t="inlineStr">
        <is>
          <t>NewYesNo</t>
        </is>
      </c>
      <c r="D1186" s="24" t="inlineStr">
        <is>
          <t>N</t>
        </is>
      </c>
      <c r="E1186" s="24" t="inlineStr">
        <is>
          <t>否</t>
        </is>
      </c>
    </row>
    <row r="1187">
      <c r="B1187" s="24" t="inlineStr">
        <is>
          <t>NewYesNo</t>
        </is>
      </c>
      <c r="C1187" s="24" t="inlineStr">
        <is>
          <t>NewYesNo</t>
        </is>
      </c>
      <c r="D1187" s="24" t="inlineStr">
        <is>
          <t>Y</t>
        </is>
      </c>
      <c r="E1187" s="24" t="inlineStr">
        <is>
          <t>是</t>
        </is>
      </c>
    </row>
    <row r="1188" ht="15.95" customHeight="1" s="170">
      <c r="B1188" s="122" t="inlineStr">
        <is>
          <t>码值：国家政策</t>
        </is>
      </c>
    </row>
    <row r="1189">
      <c r="B1189" s="24" t="inlineStr">
        <is>
          <t>国家政策</t>
        </is>
      </c>
      <c r="C1189" s="24" t="inlineStr">
        <is>
          <t>国家政策</t>
        </is>
      </c>
      <c r="D1189" s="24" t="inlineStr">
        <is>
          <t>1</t>
        </is>
      </c>
      <c r="E1189" s="24" t="inlineStr">
        <is>
          <t>鼓励发展</t>
        </is>
      </c>
    </row>
    <row r="1190">
      <c r="B1190" s="24" t="inlineStr">
        <is>
          <t>国家政策</t>
        </is>
      </c>
      <c r="C1190" s="24" t="inlineStr">
        <is>
          <t>国家政策</t>
        </is>
      </c>
      <c r="D1190" s="24" t="inlineStr">
        <is>
          <t>2</t>
        </is>
      </c>
      <c r="E1190" s="24" t="inlineStr">
        <is>
          <t>一般态度</t>
        </is>
      </c>
    </row>
    <row r="1191">
      <c r="B1191" s="24" t="inlineStr">
        <is>
          <t>国家政策</t>
        </is>
      </c>
      <c r="C1191" s="24" t="inlineStr">
        <is>
          <t>国家政策</t>
        </is>
      </c>
      <c r="D1191" s="24" t="inlineStr">
        <is>
          <t>3</t>
        </is>
      </c>
      <c r="E1191" s="24" t="inlineStr">
        <is>
          <t>限制发展</t>
        </is>
      </c>
    </row>
    <row r="1192" ht="15.95" customHeight="1" s="170">
      <c r="B1192" s="122" t="inlineStr">
        <is>
          <t>码值：RCObjectType</t>
        </is>
      </c>
    </row>
    <row r="1193">
      <c r="B1193" s="24" t="inlineStr">
        <is>
          <t>RCObjectType</t>
        </is>
      </c>
      <c r="C1193" s="24" t="inlineStr">
        <is>
          <t>五级分类业务对象</t>
        </is>
      </c>
      <c r="D1193" s="24" t="inlineStr">
        <is>
          <t>BusinessContract</t>
        </is>
      </c>
      <c r="E1193" s="24" t="inlineStr">
        <is>
          <t>合同</t>
        </is>
      </c>
    </row>
    <row r="1194">
      <c r="B1194" s="24" t="inlineStr">
        <is>
          <t>RCObjectType</t>
        </is>
      </c>
      <c r="C1194" s="24" t="inlineStr">
        <is>
          <t>五级分类业务对象</t>
        </is>
      </c>
      <c r="D1194" s="24" t="inlineStr">
        <is>
          <t>BusinessDuebill</t>
        </is>
      </c>
      <c r="E1194" s="24" t="inlineStr">
        <is>
          <t>借据</t>
        </is>
      </c>
    </row>
    <row r="1195" ht="15.95" customHeight="1" s="170">
      <c r="B1195" s="122" t="inlineStr">
        <is>
          <t>码值：UnionType</t>
        </is>
      </c>
    </row>
    <row r="1196">
      <c r="B1196" s="24" t="inlineStr">
        <is>
          <t>UnionType</t>
        </is>
      </c>
      <c r="C1196" s="24" t="inlineStr">
        <is>
          <t>客户群类型</t>
        </is>
      </c>
      <c r="D1196" s="24" t="inlineStr">
        <is>
          <t>01</t>
        </is>
      </c>
      <c r="E1196" s="24" t="inlineStr">
        <is>
          <t>联保体</t>
        </is>
      </c>
    </row>
    <row r="1197">
      <c r="B1197" s="24" t="inlineStr">
        <is>
          <t>UnionType</t>
        </is>
      </c>
      <c r="C1197" s="24" t="inlineStr">
        <is>
          <t>客户群类型</t>
        </is>
      </c>
      <c r="D1197" s="24" t="inlineStr">
        <is>
          <t>0110</t>
        </is>
      </c>
      <c r="E1197" s="24" t="inlineStr">
        <is>
          <t>对公联保体</t>
        </is>
      </c>
    </row>
    <row r="1198">
      <c r="B1198" s="24" t="inlineStr">
        <is>
          <t>UnionType</t>
        </is>
      </c>
      <c r="C1198" s="24" t="inlineStr">
        <is>
          <t>客户群类型</t>
        </is>
      </c>
      <c r="D1198" s="24" t="inlineStr">
        <is>
          <t>0120</t>
        </is>
      </c>
      <c r="E1198" s="24" t="inlineStr">
        <is>
          <t>个人联保体</t>
        </is>
      </c>
    </row>
    <row r="1199">
      <c r="B1199" s="24" t="inlineStr">
        <is>
          <t>UnionType</t>
        </is>
      </c>
      <c r="C1199" s="24" t="inlineStr">
        <is>
          <t>客户群类型</t>
        </is>
      </c>
      <c r="D1199" s="24" t="inlineStr">
        <is>
          <t>02</t>
        </is>
      </c>
      <c r="E1199" s="24" t="inlineStr">
        <is>
          <t>互助基金</t>
        </is>
      </c>
    </row>
    <row r="1200">
      <c r="B1200" s="24" t="inlineStr">
        <is>
          <t>UnionType</t>
        </is>
      </c>
      <c r="C1200" s="24" t="inlineStr">
        <is>
          <t>客户群类型</t>
        </is>
      </c>
      <c r="D1200" s="24" t="inlineStr">
        <is>
          <t>03</t>
        </is>
      </c>
      <c r="E1200" s="24" t="inlineStr">
        <is>
          <t>供应链群</t>
        </is>
      </c>
    </row>
    <row r="1201">
      <c r="B1201" s="24" t="inlineStr">
        <is>
          <t>UnionType</t>
        </is>
      </c>
      <c r="C1201" s="24" t="inlineStr">
        <is>
          <t>客户群类型</t>
        </is>
      </c>
      <c r="D1201" s="24" t="inlineStr">
        <is>
          <t>04</t>
        </is>
      </c>
      <c r="E1201" s="24" t="inlineStr">
        <is>
          <t>商圈/商会</t>
        </is>
      </c>
    </row>
    <row r="1202" ht="15.95" customHeight="1" s="170">
      <c r="B1202" s="122" t="inlineStr">
        <is>
          <t>码值：SMECreditMarry</t>
        </is>
      </c>
    </row>
    <row r="1203">
      <c r="B1203" s="24" t="inlineStr">
        <is>
          <t>SMECreditMarry</t>
        </is>
      </c>
      <c r="C1203" s="24" t="inlineStr">
        <is>
          <t>婚姻状况</t>
        </is>
      </c>
      <c r="D1203" s="24" t="inlineStr">
        <is>
          <t>01</t>
        </is>
      </c>
      <c r="E1203" s="24" t="inlineStr">
        <is>
          <t>已婚有子女</t>
        </is>
      </c>
    </row>
    <row r="1204">
      <c r="B1204" s="24" t="inlineStr">
        <is>
          <t>SMECreditMarry</t>
        </is>
      </c>
      <c r="C1204" s="24" t="inlineStr">
        <is>
          <t>婚姻状况</t>
        </is>
      </c>
      <c r="D1204" s="24" t="inlineStr">
        <is>
          <t>02</t>
        </is>
      </c>
      <c r="E1204" s="24" t="inlineStr">
        <is>
          <t>已婚无子女</t>
        </is>
      </c>
    </row>
    <row r="1205">
      <c r="B1205" s="24" t="inlineStr">
        <is>
          <t>SMECreditMarry</t>
        </is>
      </c>
      <c r="C1205" s="24" t="inlineStr">
        <is>
          <t>婚姻状况</t>
        </is>
      </c>
      <c r="D1205" s="24" t="inlineStr">
        <is>
          <t>03</t>
        </is>
      </c>
      <c r="E1205" s="24" t="inlineStr">
        <is>
          <t>未婚</t>
        </is>
      </c>
    </row>
    <row r="1206">
      <c r="B1206" s="24" t="inlineStr">
        <is>
          <t>SMECreditMarry</t>
        </is>
      </c>
      <c r="C1206" s="24" t="inlineStr">
        <is>
          <t>婚姻状况</t>
        </is>
      </c>
      <c r="D1206" s="24" t="inlineStr">
        <is>
          <t>04</t>
        </is>
      </c>
      <c r="E1206" s="24" t="inlineStr">
        <is>
          <t>其他</t>
        </is>
      </c>
    </row>
    <row r="1207" ht="15.95" customHeight="1" s="170">
      <c r="B1207" s="122" t="inlineStr">
        <is>
          <t>码值：HeadShip</t>
        </is>
      </c>
    </row>
    <row r="1208">
      <c r="B1208" s="24" t="inlineStr">
        <is>
          <t>HeadShip</t>
        </is>
      </c>
      <c r="C1208" s="24" t="inlineStr">
        <is>
          <t>职务</t>
        </is>
      </c>
      <c r="D1208" s="24" t="inlineStr">
        <is>
          <t>1</t>
        </is>
      </c>
      <c r="E1208" s="24" t="inlineStr">
        <is>
          <t>高级领导(行政级别局级及局级以上领导或大公司高级管理人员)</t>
        </is>
      </c>
    </row>
    <row r="1209">
      <c r="B1209" s="24" t="inlineStr">
        <is>
          <t>HeadShip</t>
        </is>
      </c>
      <c r="C1209" s="24" t="inlineStr">
        <is>
          <t>职务</t>
        </is>
      </c>
      <c r="D1209" s="24" t="inlineStr">
        <is>
          <t>2</t>
        </is>
      </c>
      <c r="E1209" s="24" t="inlineStr">
        <is>
          <t>中级领导(行政级别局级以下领导或大公司中级管理人员)</t>
        </is>
      </c>
    </row>
    <row r="1210">
      <c r="B1210" s="24" t="inlineStr">
        <is>
          <t>HeadShip</t>
        </is>
      </c>
      <c r="C1210" s="24" t="inlineStr">
        <is>
          <t>职务</t>
        </is>
      </c>
      <c r="D1210" s="24" t="inlineStr">
        <is>
          <t>3</t>
        </is>
      </c>
      <c r="E1210" s="24" t="inlineStr">
        <is>
          <t>一般员工</t>
        </is>
      </c>
    </row>
    <row r="1211">
      <c r="B1211" s="24" t="inlineStr">
        <is>
          <t>HeadShip</t>
        </is>
      </c>
      <c r="C1211" s="24" t="inlineStr">
        <is>
          <t>职务</t>
        </is>
      </c>
      <c r="D1211" s="24" t="inlineStr">
        <is>
          <t>4</t>
        </is>
      </c>
      <c r="E1211" s="24" t="inlineStr">
        <is>
          <t>其他</t>
        </is>
      </c>
    </row>
    <row r="1212">
      <c r="B1212" s="24" t="inlineStr">
        <is>
          <t>HeadShip</t>
        </is>
      </c>
      <c r="C1212" s="24" t="inlineStr">
        <is>
          <t>职务</t>
        </is>
      </c>
      <c r="D1212" s="24" t="inlineStr">
        <is>
          <t>9</t>
        </is>
      </c>
      <c r="E1212" s="24" t="inlineStr">
        <is>
          <t>未知</t>
        </is>
      </c>
    </row>
    <row r="1213" ht="15.95" customHeight="1" s="170">
      <c r="B1213" s="122" t="inlineStr">
        <is>
          <t>码值：HourseFormat</t>
        </is>
      </c>
    </row>
    <row r="1214">
      <c r="B1214" s="24" t="inlineStr">
        <is>
          <t>HourseFormat</t>
        </is>
      </c>
      <c r="C1214" s="24" t="inlineStr">
        <is>
          <t>房屋形式</t>
        </is>
      </c>
      <c r="D1214" s="24" t="inlineStr">
        <is>
          <t>01</t>
        </is>
      </c>
      <c r="E1214" s="24" t="inlineStr">
        <is>
          <t>期房</t>
        </is>
      </c>
    </row>
    <row r="1215">
      <c r="B1215" s="24" t="inlineStr">
        <is>
          <t>HourseFormat</t>
        </is>
      </c>
      <c r="C1215" s="24" t="inlineStr">
        <is>
          <t>房屋形式</t>
        </is>
      </c>
      <c r="D1215" s="24" t="inlineStr">
        <is>
          <t>02</t>
        </is>
      </c>
      <c r="E1215" s="24" t="inlineStr">
        <is>
          <t>现房</t>
        </is>
      </c>
    </row>
    <row r="1216">
      <c r="B1216" s="24" t="inlineStr">
        <is>
          <t>HourseFormat</t>
        </is>
      </c>
      <c r="C1216" s="24" t="inlineStr">
        <is>
          <t>房屋形式</t>
        </is>
      </c>
      <c r="D1216" s="24" t="inlineStr">
        <is>
          <t>03</t>
        </is>
      </c>
      <c r="E1216" s="24" t="inlineStr">
        <is>
          <t>其他</t>
        </is>
      </c>
    </row>
    <row r="1217" ht="15.95" customHeight="1" s="170">
      <c r="B1217" s="122" t="inlineStr">
        <is>
          <t>码值：RentType</t>
        </is>
      </c>
    </row>
    <row r="1218">
      <c r="B1218" s="24" t="inlineStr">
        <is>
          <t>RentType</t>
        </is>
      </c>
      <c r="C1218" s="24" t="inlineStr">
        <is>
          <t>租赁形式</t>
        </is>
      </c>
      <c r="D1218" s="24" t="inlineStr">
        <is>
          <t>01</t>
        </is>
      </c>
      <c r="E1218" s="24" t="inlineStr">
        <is>
          <t>整体出租</t>
        </is>
      </c>
    </row>
    <row r="1219">
      <c r="B1219" s="24" t="inlineStr">
        <is>
          <t>RentType</t>
        </is>
      </c>
      <c r="C1219" s="24" t="inlineStr">
        <is>
          <t>租赁形式</t>
        </is>
      </c>
      <c r="D1219" s="24" t="inlineStr">
        <is>
          <t>02</t>
        </is>
      </c>
      <c r="E1219" s="24" t="inlineStr">
        <is>
          <t>零售出租</t>
        </is>
      </c>
    </row>
    <row r="1220">
      <c r="B1220" s="24" t="inlineStr">
        <is>
          <t>RentType</t>
        </is>
      </c>
      <c r="C1220" s="24" t="inlineStr">
        <is>
          <t>租赁形式</t>
        </is>
      </c>
      <c r="D1220" s="24" t="inlineStr">
        <is>
          <t>90</t>
        </is>
      </c>
      <c r="E1220" s="24" t="inlineStr">
        <is>
          <t>其他</t>
        </is>
      </c>
    </row>
    <row r="1221" ht="15.95" customHeight="1" s="170">
      <c r="B1221" s="122" t="inlineStr">
        <is>
          <t>码值：对政府的重要性</t>
        </is>
      </c>
    </row>
    <row r="1222">
      <c r="B1222" s="24" t="inlineStr">
        <is>
          <t>对政府的重要性</t>
        </is>
      </c>
      <c r="C1222" s="24" t="inlineStr">
        <is>
          <t>对政府的重要性</t>
        </is>
      </c>
      <c r="D1222" s="24" t="inlineStr">
        <is>
          <t>01</t>
        </is>
      </c>
      <c r="E1222" s="24" t="inlineStr">
        <is>
          <t>事业单位可能是“旗舰”国家公司</t>
        </is>
      </c>
    </row>
    <row r="1223">
      <c r="B1223" s="24" t="inlineStr">
        <is>
          <t>对政府的重要性</t>
        </is>
      </c>
      <c r="C1223" s="24" t="inlineStr">
        <is>
          <t>对政府的重要性</t>
        </is>
      </c>
      <c r="D1223" s="24" t="inlineStr">
        <is>
          <t>02</t>
        </is>
      </c>
      <c r="E1223" s="24" t="inlineStr">
        <is>
          <t>违约对当地政府声誉影响较大</t>
        </is>
      </c>
    </row>
    <row r="1224">
      <c r="B1224" s="24" t="inlineStr">
        <is>
          <t>对政府的重要性</t>
        </is>
      </c>
      <c r="C1224" s="24" t="inlineStr">
        <is>
          <t>对政府的重要性</t>
        </is>
      </c>
      <c r="D1224" s="24" t="inlineStr">
        <is>
          <t>03</t>
        </is>
      </c>
      <c r="E1224" s="24" t="inlineStr">
        <is>
          <t>重要性较低，对于政府沒有策略意义</t>
        </is>
      </c>
    </row>
    <row r="1225" ht="15.95" customHeight="1" s="170">
      <c r="B1225" s="122" t="inlineStr">
        <is>
          <t>码值：DmsOptionType</t>
        </is>
      </c>
    </row>
    <row r="1226">
      <c r="B1226" s="24" t="inlineStr">
        <is>
          <t>DmsOptionType</t>
        </is>
      </c>
      <c r="C1226" s="24" t="inlineStr">
        <is>
          <t>维度取值范围</t>
        </is>
      </c>
      <c r="D1226" s="24" t="inlineStr">
        <is>
          <t>code</t>
        </is>
      </c>
      <c r="E1226" s="24" t="inlineStr">
        <is>
          <t>Code代码</t>
        </is>
      </c>
    </row>
    <row r="1227">
      <c r="B1227" s="24" t="inlineStr">
        <is>
          <t>DmsOptionType</t>
        </is>
      </c>
      <c r="C1227" s="24" t="inlineStr">
        <is>
          <t>维度取值范围</t>
        </is>
      </c>
      <c r="D1227" s="24" t="inlineStr">
        <is>
          <t>json</t>
        </is>
      </c>
      <c r="E1227" s="24" t="inlineStr">
        <is>
          <t>json数组</t>
        </is>
      </c>
    </row>
    <row r="1228">
      <c r="B1228" s="24" t="inlineStr">
        <is>
          <t>DmsOptionType</t>
        </is>
      </c>
      <c r="C1228" s="24" t="inlineStr">
        <is>
          <t>维度取值范围</t>
        </is>
      </c>
      <c r="D1228" s="24" t="inlineStr">
        <is>
          <t>sql</t>
        </is>
      </c>
      <c r="E1228" s="24" t="inlineStr">
        <is>
          <t>JBOQL查询</t>
        </is>
      </c>
    </row>
    <row r="1229" ht="15.95" customHeight="1" s="170">
      <c r="B1229" s="122" t="inlineStr">
        <is>
          <t>码值：VouchType1</t>
        </is>
      </c>
    </row>
    <row r="1230">
      <c r="B1230" s="24" t="inlineStr">
        <is>
          <t>VouchType1</t>
        </is>
      </c>
      <c r="C1230" s="24" t="inlineStr">
        <is>
          <t>担保方式</t>
        </is>
      </c>
      <c r="D1230" s="24" t="inlineStr">
        <is>
          <t>005</t>
        </is>
      </c>
      <c r="E1230" s="24" t="inlineStr">
        <is>
          <t>信用</t>
        </is>
      </c>
    </row>
    <row r="1231">
      <c r="B1231" s="24" t="inlineStr">
        <is>
          <t>VouchType1</t>
        </is>
      </c>
      <c r="C1231" s="24" t="inlineStr">
        <is>
          <t>担保方式</t>
        </is>
      </c>
      <c r="D1231" s="24" t="inlineStr">
        <is>
          <t>010</t>
        </is>
      </c>
      <c r="E1231" s="24" t="inlineStr">
        <is>
          <t>保证</t>
        </is>
      </c>
    </row>
    <row r="1232">
      <c r="B1232" s="24" t="inlineStr">
        <is>
          <t>VouchType1</t>
        </is>
      </c>
      <c r="C1232" s="24" t="inlineStr">
        <is>
          <t>担保方式</t>
        </is>
      </c>
      <c r="D1232" s="24" t="inlineStr">
        <is>
          <t>020</t>
        </is>
      </c>
      <c r="E1232" s="24" t="inlineStr">
        <is>
          <t>抵押</t>
        </is>
      </c>
    </row>
    <row r="1233">
      <c r="B1233" s="24" t="inlineStr">
        <is>
          <t>VouchType1</t>
        </is>
      </c>
      <c r="C1233" s="24" t="inlineStr">
        <is>
          <t>担保方式</t>
        </is>
      </c>
      <c r="D1233" s="24" t="inlineStr">
        <is>
          <t>040</t>
        </is>
      </c>
      <c r="E1233" s="24" t="inlineStr">
        <is>
          <t>质押</t>
        </is>
      </c>
    </row>
    <row r="1234" ht="15.95" customHeight="1" s="170">
      <c r="B1234" s="122" t="inlineStr">
        <is>
          <t>码值：TimelinessOfGovermentSupport</t>
        </is>
      </c>
    </row>
    <row r="1235">
      <c r="B1235" s="24" t="inlineStr">
        <is>
          <t>TimelinessOfGovermentSupport</t>
        </is>
      </c>
      <c r="C1235" s="24" t="inlineStr">
        <is>
          <t>信用等级评估统一导入</t>
        </is>
      </c>
      <c r="D1235" s="24" t="inlineStr">
        <is>
          <t>01</t>
        </is>
      </c>
      <c r="E1235" s="24" t="inlineStr">
        <is>
          <t>能够及时获得支持</t>
        </is>
      </c>
    </row>
    <row r="1236">
      <c r="B1236" s="24" t="inlineStr">
        <is>
          <t>TimelinessOfGovermentSupport</t>
        </is>
      </c>
      <c r="C1236" s="24" t="inlineStr">
        <is>
          <t>信用等级评估统一导入</t>
        </is>
      </c>
      <c r="D1236" s="24" t="inlineStr">
        <is>
          <t>02</t>
        </is>
      </c>
      <c r="E1236" s="24" t="inlineStr">
        <is>
          <t>內部流程明确，但支持程序可能受到复杂的机制（例如多重行政机关）或外部干预（例如立法）的影响</t>
        </is>
      </c>
    </row>
    <row r="1237">
      <c r="B1237" s="24" t="inlineStr">
        <is>
          <t>TimelinessOfGovermentSupport</t>
        </is>
      </c>
      <c r="C1237" s="24" t="inlineStr">
        <is>
          <t>信用等级评估统一导入</t>
        </is>
      </c>
      <c r="D1237" s="24" t="inlineStr">
        <is>
          <t>03</t>
        </is>
      </c>
      <c r="E1237" s="24" t="inlineStr">
        <is>
          <t>政府支持存在重大的阻碍力量（例如官僚化的程序、不明确或及其政治化的机制等）</t>
        </is>
      </c>
    </row>
    <row r="1238" ht="15.95" customHeight="1" s="170">
      <c r="B1238" s="122" t="inlineStr">
        <is>
          <t>码值：商业融资情况</t>
        </is>
      </c>
    </row>
    <row r="1239">
      <c r="B1239" s="24" t="inlineStr">
        <is>
          <t>商业融资情况</t>
        </is>
      </c>
      <c r="C1239" s="24" t="inlineStr">
        <is>
          <t>商业融资情况</t>
        </is>
      </c>
      <c r="D1239" s="24" t="inlineStr">
        <is>
          <t>1</t>
        </is>
      </c>
      <c r="E1239" s="24" t="inlineStr">
        <is>
          <t>主动取得商业信用</t>
        </is>
      </c>
    </row>
    <row r="1240">
      <c r="B1240" s="24" t="inlineStr">
        <is>
          <t>商业融资情况</t>
        </is>
      </c>
      <c r="C1240" s="24" t="inlineStr">
        <is>
          <t>商业融资情况</t>
        </is>
      </c>
      <c r="D1240" s="24" t="inlineStr">
        <is>
          <t>2</t>
        </is>
      </c>
      <c r="E1240" s="24" t="inlineStr">
        <is>
          <t>不主动取得商业信用</t>
        </is>
      </c>
    </row>
    <row r="1241" ht="15.95" customHeight="1" s="170">
      <c r="B1241" s="122" t="inlineStr">
        <is>
          <t>码值：承包商资质</t>
        </is>
      </c>
    </row>
    <row r="1242">
      <c r="B1242" s="24" t="inlineStr">
        <is>
          <t>承包商资质</t>
        </is>
      </c>
      <c r="C1242" s="24" t="inlineStr">
        <is>
          <t>承包商资质</t>
        </is>
      </c>
      <c r="D1242" s="24" t="inlineStr">
        <is>
          <t>01</t>
        </is>
      </c>
      <c r="E1242" s="24" t="inlineStr">
        <is>
          <t>特级</t>
        </is>
      </c>
    </row>
    <row r="1243">
      <c r="B1243" s="24" t="inlineStr">
        <is>
          <t>承包商资质</t>
        </is>
      </c>
      <c r="C1243" s="24" t="inlineStr">
        <is>
          <t>承包商资质</t>
        </is>
      </c>
      <c r="D1243" s="24" t="inlineStr">
        <is>
          <t>02</t>
        </is>
      </c>
      <c r="E1243" s="24" t="inlineStr">
        <is>
          <t>一级</t>
        </is>
      </c>
    </row>
    <row r="1244">
      <c r="B1244" s="24" t="inlineStr">
        <is>
          <t>承包商资质</t>
        </is>
      </c>
      <c r="C1244" s="24" t="inlineStr">
        <is>
          <t>承包商资质</t>
        </is>
      </c>
      <c r="D1244" s="24" t="inlineStr">
        <is>
          <t>03</t>
        </is>
      </c>
      <c r="E1244" s="24" t="inlineStr">
        <is>
          <t>二级</t>
        </is>
      </c>
    </row>
    <row r="1245">
      <c r="B1245" s="24" t="inlineStr">
        <is>
          <t>承包商资质</t>
        </is>
      </c>
      <c r="C1245" s="24" t="inlineStr">
        <is>
          <t>承包商资质</t>
        </is>
      </c>
      <c r="D1245" s="24" t="inlineStr">
        <is>
          <t>04</t>
        </is>
      </c>
      <c r="E1245" s="24" t="inlineStr">
        <is>
          <t>其他（或没有提供）</t>
        </is>
      </c>
    </row>
    <row r="1246" ht="15.95" customHeight="1" s="170">
      <c r="B1246" s="122" t="inlineStr">
        <is>
          <t>码值：LoadGuarantyAppro2Main</t>
        </is>
      </c>
    </row>
    <row r="1247">
      <c r="B1247" s="24" t="inlineStr">
        <is>
          <t>LoadGuarantyAppro2Main</t>
        </is>
      </c>
      <c r="C1247" s="24" t="inlineStr">
        <is>
          <t>LoadGuaranty审批主树图</t>
        </is>
      </c>
      <c r="D1247" s="24" t="inlineStr">
        <is>
          <t>N</t>
        </is>
      </c>
      <c r="E1247" s="24" t="inlineStr">
        <is>
          <t>当前工作</t>
        </is>
      </c>
    </row>
    <row r="1248">
      <c r="B1248" s="24" t="inlineStr">
        <is>
          <t>LoadGuarantyAppro2Main</t>
        </is>
      </c>
      <c r="C1248" s="24" t="inlineStr">
        <is>
          <t>LoadGuaranty审批主树图</t>
        </is>
      </c>
      <c r="D1248" s="24" t="inlineStr">
        <is>
          <t>Y</t>
        </is>
      </c>
      <c r="E1248" s="24" t="inlineStr">
        <is>
          <t>已完成工作</t>
        </is>
      </c>
    </row>
    <row r="1249" ht="15.95" customHeight="1" s="170">
      <c r="B1249" s="122" t="inlineStr">
        <is>
          <t>码值：SeqFlag</t>
        </is>
      </c>
    </row>
    <row r="1250">
      <c r="B1250" s="24" t="inlineStr">
        <is>
          <t>SeqFlag</t>
        </is>
      </c>
      <c r="C1250" s="24" t="inlineStr">
        <is>
          <t>扣款顺序约定</t>
        </is>
      </c>
      <c r="D1250" s="24" t="inlineStr">
        <is>
          <t>01</t>
        </is>
      </c>
      <c r="E1250" s="24" t="inlineStr">
        <is>
          <t>正常贷款扣款顺序</t>
        </is>
      </c>
    </row>
    <row r="1251">
      <c r="B1251" s="24" t="inlineStr">
        <is>
          <t>SeqFlag</t>
        </is>
      </c>
      <c r="C1251" s="24" t="inlineStr">
        <is>
          <t>扣款顺序约定</t>
        </is>
      </c>
      <c r="D1251" s="24" t="inlineStr">
        <is>
          <t>02</t>
        </is>
      </c>
      <c r="E1251" s="24" t="inlineStr">
        <is>
          <t>不良贷款扣款顺序</t>
        </is>
      </c>
    </row>
    <row r="1252">
      <c r="B1252" s="24" t="inlineStr">
        <is>
          <t>SeqFlag</t>
        </is>
      </c>
      <c r="C1252" s="24" t="inlineStr">
        <is>
          <t>扣款顺序约定</t>
        </is>
      </c>
      <c r="D1252" s="24" t="inlineStr">
        <is>
          <t>03</t>
        </is>
      </c>
      <c r="E1252" s="24" t="inlineStr">
        <is>
          <t>指定还款金额还款</t>
        </is>
      </c>
    </row>
    <row r="1253" ht="15.95" customHeight="1" s="170">
      <c r="B1253" s="122" t="inlineStr">
        <is>
          <t>码值：FirstInstalmentFlag</t>
        </is>
      </c>
    </row>
    <row r="1254">
      <c r="B1254" s="24" t="inlineStr">
        <is>
          <t>FirstInstalmentFlag</t>
        </is>
      </c>
      <c r="C1254" s="24" t="inlineStr">
        <is>
          <t>首次还款约定</t>
        </is>
      </c>
      <c r="D1254" s="24" t="inlineStr">
        <is>
          <t>01</t>
        </is>
      </c>
      <c r="E1254" s="24" t="inlineStr">
        <is>
          <t>最早放款当月开始还款</t>
        </is>
      </c>
    </row>
    <row r="1255">
      <c r="B1255" s="24" t="inlineStr">
        <is>
          <t>FirstInstalmentFlag</t>
        </is>
      </c>
      <c r="C1255" s="24" t="inlineStr">
        <is>
          <t>首次还款约定</t>
        </is>
      </c>
      <c r="D1255" s="24" t="inlineStr">
        <is>
          <t>02</t>
        </is>
      </c>
      <c r="E1255" s="24" t="inlineStr">
        <is>
          <t>最早放款下月开始还款</t>
        </is>
      </c>
    </row>
    <row r="1256" ht="15.95" customHeight="1" s="170">
      <c r="B1256" s="122" t="inlineStr">
        <is>
          <t>码值：CaseList</t>
        </is>
      </c>
    </row>
    <row r="1257">
      <c r="B1257" s="24" t="inlineStr">
        <is>
          <t>CaseList</t>
        </is>
      </c>
      <c r="C1257" s="24" t="inlineStr">
        <is>
          <t>法律事务</t>
        </is>
      </c>
      <c r="D1257" s="24" t="inlineStr">
        <is>
          <t>010</t>
        </is>
      </c>
      <c r="E1257" s="24" t="inlineStr">
        <is>
          <t>诉讼前案件</t>
        </is>
      </c>
    </row>
    <row r="1258">
      <c r="B1258" s="24" t="inlineStr">
        <is>
          <t>CaseList</t>
        </is>
      </c>
      <c r="C1258" s="24" t="inlineStr">
        <is>
          <t>法律事务</t>
        </is>
      </c>
      <c r="D1258" s="24" t="inlineStr">
        <is>
          <t>020</t>
        </is>
      </c>
      <c r="E1258" s="24" t="inlineStr">
        <is>
          <t>诉讼中案件</t>
        </is>
      </c>
    </row>
    <row r="1259">
      <c r="B1259" s="24" t="inlineStr">
        <is>
          <t>CaseList</t>
        </is>
      </c>
      <c r="C1259" s="24" t="inlineStr">
        <is>
          <t>法律事务</t>
        </is>
      </c>
      <c r="D1259" s="24" t="inlineStr">
        <is>
          <t>025</t>
        </is>
      </c>
      <c r="E1259" s="24" t="inlineStr">
        <is>
          <t>待执行案件</t>
        </is>
      </c>
    </row>
    <row r="1260">
      <c r="B1260" s="24" t="inlineStr">
        <is>
          <t>CaseList</t>
        </is>
      </c>
      <c r="C1260" s="24" t="inlineStr">
        <is>
          <t>法律事务</t>
        </is>
      </c>
      <c r="D1260" s="24" t="inlineStr">
        <is>
          <t>030</t>
        </is>
      </c>
      <c r="E1260" s="24" t="inlineStr">
        <is>
          <t>执行中案件</t>
        </is>
      </c>
    </row>
    <row r="1261">
      <c r="B1261" s="24" t="inlineStr">
        <is>
          <t>CaseList</t>
        </is>
      </c>
      <c r="C1261" s="24" t="inlineStr">
        <is>
          <t>法律事务</t>
        </is>
      </c>
      <c r="D1261" s="24" t="inlineStr">
        <is>
          <t>040</t>
        </is>
      </c>
      <c r="E1261" s="24" t="inlineStr">
        <is>
          <t>已归档案件</t>
        </is>
      </c>
    </row>
    <row r="1262" ht="15.95" customHeight="1" s="170">
      <c r="B1262" s="122" t="inlineStr">
        <is>
          <t>码值：CreditPutoutApplyFinaMain</t>
        </is>
      </c>
    </row>
    <row r="1263">
      <c r="B1263" s="24" t="inlineStr">
        <is>
          <t>CreditPutoutApplyFinaMain</t>
        </is>
      </c>
      <c r="C1263" s="24" t="inlineStr">
        <is>
          <t>同业放贷申请主树图</t>
        </is>
      </c>
      <c r="D1263" s="24" t="inlineStr">
        <is>
          <t>1010</t>
        </is>
      </c>
      <c r="E1263" s="24" t="inlineStr">
        <is>
          <t>待处理</t>
        </is>
      </c>
    </row>
    <row r="1264">
      <c r="B1264" s="24" t="inlineStr">
        <is>
          <t>CreditPutoutApplyFinaMain</t>
        </is>
      </c>
      <c r="C1264" s="24" t="inlineStr">
        <is>
          <t>同业放贷申请主树图</t>
        </is>
      </c>
      <c r="D1264" s="24" t="inlineStr">
        <is>
          <t>1020</t>
        </is>
      </c>
      <c r="E1264" s="24" t="inlineStr">
        <is>
          <t>审批中</t>
        </is>
      </c>
    </row>
    <row r="1265">
      <c r="B1265" s="24" t="inlineStr">
        <is>
          <t>CreditPutoutApplyFinaMain</t>
        </is>
      </c>
      <c r="C1265" s="24" t="inlineStr">
        <is>
          <t>同业放贷申请主树图</t>
        </is>
      </c>
      <c r="D1265" s="24" t="inlineStr">
        <is>
          <t>1040,1050</t>
        </is>
      </c>
      <c r="E1265" s="24" t="inlineStr">
        <is>
          <t>处理完成</t>
        </is>
      </c>
    </row>
    <row r="1266" ht="15.95" customHeight="1" s="170">
      <c r="B1266" s="122" t="inlineStr">
        <is>
          <t>码值：融资能力</t>
        </is>
      </c>
    </row>
    <row r="1267">
      <c r="B1267" s="24" t="inlineStr">
        <is>
          <t>融资能力</t>
        </is>
      </c>
      <c r="C1267" s="24" t="inlineStr">
        <is>
          <t>融资能力</t>
        </is>
      </c>
      <c r="D1267" s="24" t="inlineStr">
        <is>
          <t>1</t>
        </is>
      </c>
      <c r="E1267" s="24" t="inlineStr">
        <is>
          <t>强</t>
        </is>
      </c>
    </row>
    <row r="1268">
      <c r="B1268" s="24" t="inlineStr">
        <is>
          <t>融资能力</t>
        </is>
      </c>
      <c r="C1268" s="24" t="inlineStr">
        <is>
          <t>融资能力</t>
        </is>
      </c>
      <c r="D1268" s="24" t="inlineStr">
        <is>
          <t>2</t>
        </is>
      </c>
      <c r="E1268" s="24" t="inlineStr">
        <is>
          <t>一般</t>
        </is>
      </c>
    </row>
    <row r="1269">
      <c r="B1269" s="24" t="inlineStr">
        <is>
          <t>融资能力</t>
        </is>
      </c>
      <c r="C1269" s="24" t="inlineStr">
        <is>
          <t>融资能力</t>
        </is>
      </c>
      <c r="D1269" s="24" t="inlineStr">
        <is>
          <t>3</t>
        </is>
      </c>
      <c r="E1269" s="24" t="inlineStr">
        <is>
          <t>弱</t>
        </is>
      </c>
    </row>
    <row r="1270" ht="15.95" customHeight="1" s="170">
      <c r="B1270" s="122" t="inlineStr">
        <is>
          <t>码值：成长性</t>
        </is>
      </c>
    </row>
    <row r="1271">
      <c r="B1271" s="24" t="inlineStr">
        <is>
          <t>成长性</t>
        </is>
      </c>
      <c r="C1271" s="24" t="inlineStr">
        <is>
          <t>成长性</t>
        </is>
      </c>
      <c r="D1271" s="24" t="inlineStr">
        <is>
          <t>1</t>
        </is>
      </c>
      <c r="E1271" s="24" t="inlineStr">
        <is>
          <t>主营业务收入，净利润连续三年增长(增幅5%以上)</t>
        </is>
      </c>
    </row>
    <row r="1272">
      <c r="B1272" s="24" t="inlineStr">
        <is>
          <t>成长性</t>
        </is>
      </c>
      <c r="C1272" s="24" t="inlineStr">
        <is>
          <t>成长性</t>
        </is>
      </c>
      <c r="D1272" s="24" t="inlineStr">
        <is>
          <t>2</t>
        </is>
      </c>
      <c r="E1272" s="24" t="inlineStr">
        <is>
          <t>主营业务收入，净利润连续三年持平(上下幅度5%以内)</t>
        </is>
      </c>
    </row>
    <row r="1273">
      <c r="B1273" s="24" t="inlineStr">
        <is>
          <t>成长性</t>
        </is>
      </c>
      <c r="C1273" s="24" t="inlineStr">
        <is>
          <t>成长性</t>
        </is>
      </c>
      <c r="D1273" s="24" t="inlineStr">
        <is>
          <t>3</t>
        </is>
      </c>
      <c r="E1273" s="24" t="inlineStr">
        <is>
          <t>主营业务收入，净利润连续三年下降(降幅5%以内)</t>
        </is>
      </c>
    </row>
    <row r="1274" ht="15.95" customHeight="1" s="170">
      <c r="B1274" s="122" t="inlineStr">
        <is>
          <t>码值：PartnerProjectChangeApprMain</t>
        </is>
      </c>
    </row>
    <row r="1275">
      <c r="B1275" s="24" t="inlineStr">
        <is>
          <t>PartnerProjectChangeApprMain</t>
        </is>
      </c>
      <c r="C1275" s="24" t="inlineStr">
        <is>
          <t>合作项目变更审批主树图</t>
        </is>
      </c>
      <c r="D1275" s="24" t="inlineStr">
        <is>
          <t>N</t>
        </is>
      </c>
      <c r="E1275" s="24" t="inlineStr">
        <is>
          <t>待办任务</t>
        </is>
      </c>
    </row>
    <row r="1276">
      <c r="B1276" s="24" t="inlineStr">
        <is>
          <t>PartnerProjectChangeApprMain</t>
        </is>
      </c>
      <c r="C1276" s="24" t="inlineStr">
        <is>
          <t>合作项目变更审批主树图</t>
        </is>
      </c>
      <c r="D1276" s="24" t="inlineStr">
        <is>
          <t>Y</t>
        </is>
      </c>
      <c r="E1276" s="24" t="inlineStr">
        <is>
          <t>已办任务</t>
        </is>
      </c>
    </row>
    <row r="1277" ht="15.95" customHeight="1" s="170">
      <c r="B1277" s="122" t="inlineStr">
        <is>
          <t>码值：SMEcogState</t>
        </is>
      </c>
    </row>
    <row r="1278">
      <c r="B1278" s="24" t="inlineStr">
        <is>
          <t>SMEcogState</t>
        </is>
      </c>
      <c r="C1278" s="24" t="inlineStr">
        <is>
          <t>中小企业认定状态</t>
        </is>
      </c>
      <c r="D1278" s="24" t="inlineStr">
        <is>
          <t>0</t>
        </is>
      </c>
      <c r="E1278" s="24" t="inlineStr">
        <is>
          <t>未认定</t>
        </is>
      </c>
    </row>
    <row r="1279">
      <c r="B1279" s="24" t="inlineStr">
        <is>
          <t>SMEcogState</t>
        </is>
      </c>
      <c r="C1279" s="24" t="inlineStr">
        <is>
          <t>中小企业认定状态</t>
        </is>
      </c>
      <c r="D1279" s="24" t="inlineStr">
        <is>
          <t>1</t>
        </is>
      </c>
      <c r="E1279" s="24" t="inlineStr">
        <is>
          <t>已认定</t>
        </is>
      </c>
    </row>
    <row r="1280">
      <c r="B1280" s="24" t="inlineStr">
        <is>
          <t>SMEcogState</t>
        </is>
      </c>
      <c r="C1280" s="24" t="inlineStr">
        <is>
          <t>中小企业认定状态</t>
        </is>
      </c>
      <c r="D1280" s="24" t="inlineStr">
        <is>
          <t>2</t>
        </is>
      </c>
      <c r="E1280" s="24" t="inlineStr">
        <is>
          <t>已否决</t>
        </is>
      </c>
    </row>
    <row r="1281">
      <c r="B1281" s="24" t="inlineStr">
        <is>
          <t>SMEcogState</t>
        </is>
      </c>
      <c r="C1281" s="24" t="inlineStr">
        <is>
          <t>中小企业认定状态</t>
        </is>
      </c>
      <c r="D1281" s="24" t="inlineStr">
        <is>
          <t>3</t>
        </is>
      </c>
      <c r="E1281" s="24" t="inlineStr">
        <is>
          <t>认定中</t>
        </is>
      </c>
    </row>
    <row r="1282" ht="15.95" customHeight="1" s="170">
      <c r="B1282" s="122" t="inlineStr">
        <is>
          <t>码值：StrengthSupport</t>
        </is>
      </c>
    </row>
    <row r="1283">
      <c r="B1283" s="24" t="inlineStr">
        <is>
          <t>StrengthSupport</t>
        </is>
      </c>
      <c r="C1283" s="24" t="inlineStr">
        <is>
          <t>信用等级评估统一导入</t>
        </is>
      </c>
      <c r="D1283" s="24" t="inlineStr">
        <is>
          <t>01</t>
        </is>
      </c>
      <c r="E1283" s="24" t="inlineStr">
        <is>
          <t>&gt;=50%</t>
        </is>
      </c>
    </row>
    <row r="1284">
      <c r="B1284" s="24" t="inlineStr">
        <is>
          <t>StrengthSupport</t>
        </is>
      </c>
      <c r="C1284" s="24" t="inlineStr">
        <is>
          <t>信用等级评估统一导入</t>
        </is>
      </c>
      <c r="D1284" s="24" t="inlineStr">
        <is>
          <t>02</t>
        </is>
      </c>
      <c r="E1284" s="24" t="inlineStr">
        <is>
          <t>&gt;=30,&lt;50%</t>
        </is>
      </c>
    </row>
    <row r="1285">
      <c r="B1285" s="24" t="inlineStr">
        <is>
          <t>StrengthSupport</t>
        </is>
      </c>
      <c r="C1285" s="24" t="inlineStr">
        <is>
          <t>信用等级评估统一导入</t>
        </is>
      </c>
      <c r="D1285" s="24" t="inlineStr">
        <is>
          <t>03</t>
        </is>
      </c>
      <c r="E1285" s="24" t="inlineStr">
        <is>
          <t>&gt;=20,&lt;30%</t>
        </is>
      </c>
    </row>
    <row r="1286">
      <c r="B1286" s="24" t="inlineStr">
        <is>
          <t>StrengthSupport</t>
        </is>
      </c>
      <c r="C1286" s="24" t="inlineStr">
        <is>
          <t>信用等级评估统一导入</t>
        </is>
      </c>
      <c r="D1286" s="24" t="inlineStr">
        <is>
          <t>04</t>
        </is>
      </c>
      <c r="E1286" s="24" t="inlineStr">
        <is>
          <t>低于20%</t>
        </is>
      </c>
    </row>
    <row r="1287" ht="15.95" customHeight="1" s="170">
      <c r="B1287" s="122" t="inlineStr">
        <is>
          <t>码值：HoldGainMode</t>
        </is>
      </c>
    </row>
    <row r="1288">
      <c r="B1288" s="24" t="inlineStr">
        <is>
          <t>HoldGainMode</t>
        </is>
      </c>
      <c r="C1288" s="24" t="inlineStr">
        <is>
          <t>土地取得方式</t>
        </is>
      </c>
      <c r="D1288" s="24" t="inlineStr">
        <is>
          <t>01</t>
        </is>
      </c>
      <c r="E1288" s="24" t="inlineStr">
        <is>
          <t>划拨</t>
        </is>
      </c>
    </row>
    <row r="1289">
      <c r="B1289" s="24" t="inlineStr">
        <is>
          <t>HoldGainMode</t>
        </is>
      </c>
      <c r="C1289" s="24" t="inlineStr">
        <is>
          <t>土地取得方式</t>
        </is>
      </c>
      <c r="D1289" s="24" t="inlineStr">
        <is>
          <t>02</t>
        </is>
      </c>
      <c r="E1289" s="24" t="inlineStr">
        <is>
          <t>出让</t>
        </is>
      </c>
    </row>
    <row r="1290" ht="15.95" customHeight="1" s="170">
      <c r="B1290" s="122" t="inlineStr">
        <is>
          <t>码值：ImplementationOfFunds</t>
        </is>
      </c>
    </row>
    <row r="1291">
      <c r="B1291" s="24" t="inlineStr">
        <is>
          <t>ImplementationOfFunds</t>
        </is>
      </c>
      <c r="C1291" s="24" t="inlineStr">
        <is>
          <t>信用等级评估统一导入</t>
        </is>
      </c>
      <c r="D1291" s="24" t="inlineStr">
        <is>
          <t>01</t>
        </is>
      </c>
      <c r="E1291" s="24" t="inlineStr">
        <is>
          <t>项目资金已根据项目进度要求全部落实，且项目资金中的自有资本金已完全到位</t>
        </is>
      </c>
    </row>
    <row r="1292">
      <c r="B1292" s="24" t="inlineStr">
        <is>
          <t>ImplementationOfFunds</t>
        </is>
      </c>
      <c r="C1292" s="24" t="inlineStr">
        <is>
          <t>信用等级评估统一导入</t>
        </is>
      </c>
      <c r="D1292" s="24" t="inlineStr">
        <is>
          <t>02</t>
        </is>
      </c>
      <c r="E1292" s="24" t="inlineStr">
        <is>
          <t>项目资金已根据项目进度要求全部落实，但尚有部分自有资本金未到位</t>
        </is>
      </c>
    </row>
    <row r="1293">
      <c r="B1293" s="24" t="inlineStr">
        <is>
          <t>ImplementationOfFunds</t>
        </is>
      </c>
      <c r="C1293" s="24" t="inlineStr">
        <is>
          <t>信用等级评估统一导入</t>
        </is>
      </c>
      <c r="D1293" s="24" t="inlineStr">
        <is>
          <t>03</t>
        </is>
      </c>
      <c r="E1293" s="24" t="inlineStr">
        <is>
          <t>项目资金部分缺口需靠未来项目滚动运作以弥补，预期基本不存在问题</t>
        </is>
      </c>
    </row>
    <row r="1294">
      <c r="B1294" s="24" t="inlineStr">
        <is>
          <t>ImplementationOfFunds</t>
        </is>
      </c>
      <c r="C1294" s="24" t="inlineStr">
        <is>
          <t>信用等级评估统一导入</t>
        </is>
      </c>
      <c r="D1294" s="24" t="inlineStr">
        <is>
          <t>04</t>
        </is>
      </c>
      <c r="E1294" s="24" t="inlineStr">
        <is>
          <t>项目资金仍有未落实的缺口</t>
        </is>
      </c>
    </row>
    <row r="1295" ht="15.95" customHeight="1" s="170">
      <c r="B1295" s="122" t="inlineStr">
        <is>
          <t>码值：RuleType</t>
        </is>
      </c>
    </row>
    <row r="1296">
      <c r="B1296" s="24" t="inlineStr">
        <is>
          <t>RuleType</t>
        </is>
      </c>
      <c r="C1296" s="24" t="inlineStr">
        <is>
          <t>规则类型</t>
        </is>
      </c>
      <c r="D1296" s="24" t="inlineStr">
        <is>
          <t>Abnormal</t>
        </is>
      </c>
      <c r="E1296" s="24" t="inlineStr">
        <is>
          <t>异常</t>
        </is>
      </c>
    </row>
    <row r="1297">
      <c r="B1297" s="24" t="inlineStr">
        <is>
          <t>RuleType</t>
        </is>
      </c>
      <c r="C1297" s="24" t="inlineStr">
        <is>
          <t>规则类型</t>
        </is>
      </c>
      <c r="D1297" s="24" t="inlineStr">
        <is>
          <t>Warning</t>
        </is>
      </c>
      <c r="E1297" s="24" t="inlineStr">
        <is>
          <t>预警</t>
        </is>
      </c>
    </row>
    <row r="1298" ht="15.95" customHeight="1" s="170">
      <c r="B1298" s="122" t="inlineStr">
        <is>
          <t>码值：WorksCreationMode</t>
        </is>
      </c>
    </row>
    <row r="1299">
      <c r="B1299" s="24" t="inlineStr">
        <is>
          <t>WorksCreationMode</t>
        </is>
      </c>
      <c r="C1299" s="24" t="inlineStr">
        <is>
          <t>作品创作形式</t>
        </is>
      </c>
      <c r="D1299" s="24" t="inlineStr">
        <is>
          <t>01</t>
        </is>
      </c>
      <c r="E1299" s="24" t="inlineStr">
        <is>
          <t>原创</t>
        </is>
      </c>
    </row>
    <row r="1300">
      <c r="B1300" s="24" t="inlineStr">
        <is>
          <t>WorksCreationMode</t>
        </is>
      </c>
      <c r="C1300" s="24" t="inlineStr">
        <is>
          <t>作品创作形式</t>
        </is>
      </c>
      <c r="D1300" s="24" t="inlineStr">
        <is>
          <t>02</t>
        </is>
      </c>
      <c r="E1300" s="24" t="inlineStr">
        <is>
          <t>改编</t>
        </is>
      </c>
    </row>
    <row r="1301">
      <c r="B1301" s="24" t="inlineStr">
        <is>
          <t>WorksCreationMode</t>
        </is>
      </c>
      <c r="C1301" s="24" t="inlineStr">
        <is>
          <t>作品创作形式</t>
        </is>
      </c>
      <c r="D1301" s="24" t="inlineStr">
        <is>
          <t>03</t>
        </is>
      </c>
      <c r="E1301" s="24" t="inlineStr">
        <is>
          <t>翻译</t>
        </is>
      </c>
    </row>
    <row r="1302">
      <c r="B1302" s="24" t="inlineStr">
        <is>
          <t>WorksCreationMode</t>
        </is>
      </c>
      <c r="C1302" s="24" t="inlineStr">
        <is>
          <t>作品创作形式</t>
        </is>
      </c>
      <c r="D1302" s="24" t="inlineStr">
        <is>
          <t>04</t>
        </is>
      </c>
      <c r="E1302" s="24" t="inlineStr">
        <is>
          <t>注释</t>
        </is>
      </c>
    </row>
    <row r="1303">
      <c r="B1303" s="24" t="inlineStr">
        <is>
          <t>WorksCreationMode</t>
        </is>
      </c>
      <c r="C1303" s="24" t="inlineStr">
        <is>
          <t>作品创作形式</t>
        </is>
      </c>
      <c r="D1303" s="24" t="inlineStr">
        <is>
          <t>05</t>
        </is>
      </c>
      <c r="E1303" s="24" t="inlineStr">
        <is>
          <t>整理</t>
        </is>
      </c>
    </row>
    <row r="1304">
      <c r="B1304" s="24" t="inlineStr">
        <is>
          <t>WorksCreationMode</t>
        </is>
      </c>
      <c r="C1304" s="24" t="inlineStr">
        <is>
          <t>作品创作形式</t>
        </is>
      </c>
      <c r="D1304" s="24" t="inlineStr">
        <is>
          <t>90</t>
        </is>
      </c>
      <c r="E1304" s="24" t="inlineStr">
        <is>
          <t>其他</t>
        </is>
      </c>
    </row>
    <row r="1305" ht="15.95" customHeight="1" s="170">
      <c r="B1305" s="122" t="inlineStr">
        <is>
          <t>码值：RelativeAccount</t>
        </is>
      </c>
    </row>
    <row r="1306">
      <c r="B1306" s="24" t="inlineStr">
        <is>
          <t>RelativeAccount</t>
        </is>
      </c>
      <c r="C1306" s="24" t="inlineStr">
        <is>
          <t>关联帐户关系</t>
        </is>
      </c>
      <c r="D1306" s="24" t="inlineStr">
        <is>
          <t>010</t>
        </is>
      </c>
      <c r="E1306" s="24" t="inlineStr">
        <is>
          <t>本人</t>
        </is>
      </c>
    </row>
    <row r="1307">
      <c r="B1307" s="24" t="inlineStr">
        <is>
          <t>RelativeAccount</t>
        </is>
      </c>
      <c r="C1307" s="24" t="inlineStr">
        <is>
          <t>关联帐户关系</t>
        </is>
      </c>
      <c r="D1307" s="24" t="inlineStr">
        <is>
          <t>020</t>
        </is>
      </c>
      <c r="E1307" s="24" t="inlineStr">
        <is>
          <t>夫妻</t>
        </is>
      </c>
    </row>
    <row r="1308">
      <c r="B1308" s="24" t="inlineStr">
        <is>
          <t>RelativeAccount</t>
        </is>
      </c>
      <c r="C1308" s="24" t="inlineStr">
        <is>
          <t>关联帐户关系</t>
        </is>
      </c>
      <c r="D1308" s="24" t="inlineStr">
        <is>
          <t>030</t>
        </is>
      </c>
      <c r="E1308" s="24" t="inlineStr">
        <is>
          <t>兄妹</t>
        </is>
      </c>
    </row>
    <row r="1309">
      <c r="B1309" s="24" t="inlineStr">
        <is>
          <t>RelativeAccount</t>
        </is>
      </c>
      <c r="C1309" s="24" t="inlineStr">
        <is>
          <t>关联帐户关系</t>
        </is>
      </c>
      <c r="D1309" s="24" t="inlineStr">
        <is>
          <t>040</t>
        </is>
      </c>
      <c r="E1309" s="24" t="inlineStr">
        <is>
          <t>父母</t>
        </is>
      </c>
    </row>
    <row r="1310">
      <c r="B1310" s="24" t="inlineStr">
        <is>
          <t>RelativeAccount</t>
        </is>
      </c>
      <c r="C1310" s="24" t="inlineStr">
        <is>
          <t>关联帐户关系</t>
        </is>
      </c>
      <c r="D1310" s="24" t="inlineStr">
        <is>
          <t>050</t>
        </is>
      </c>
      <c r="E1310" s="24" t="inlineStr">
        <is>
          <t>子女</t>
        </is>
      </c>
    </row>
    <row r="1311">
      <c r="B1311" s="24" t="inlineStr">
        <is>
          <t>RelativeAccount</t>
        </is>
      </c>
      <c r="C1311" s="24" t="inlineStr">
        <is>
          <t>关联帐户关系</t>
        </is>
      </c>
      <c r="D1311" s="24" t="inlineStr">
        <is>
          <t>060</t>
        </is>
      </c>
      <c r="E1311" s="24" t="inlineStr">
        <is>
          <t>亲戚</t>
        </is>
      </c>
    </row>
    <row r="1312">
      <c r="B1312" s="24" t="inlineStr">
        <is>
          <t>RelativeAccount</t>
        </is>
      </c>
      <c r="C1312" s="24" t="inlineStr">
        <is>
          <t>关联帐户关系</t>
        </is>
      </c>
      <c r="D1312" s="24" t="inlineStr">
        <is>
          <t>070</t>
        </is>
      </c>
      <c r="E1312" s="24" t="inlineStr">
        <is>
          <t>公司帐户</t>
        </is>
      </c>
    </row>
    <row r="1313">
      <c r="B1313" s="24" t="inlineStr">
        <is>
          <t>RelativeAccount</t>
        </is>
      </c>
      <c r="C1313" s="24" t="inlineStr">
        <is>
          <t>关联帐户关系</t>
        </is>
      </c>
      <c r="D1313" s="24" t="inlineStr">
        <is>
          <t>080</t>
        </is>
      </c>
      <c r="E1313" s="24" t="inlineStr">
        <is>
          <t>股东</t>
        </is>
      </c>
    </row>
    <row r="1314">
      <c r="B1314" s="24" t="inlineStr">
        <is>
          <t>RelativeAccount</t>
        </is>
      </c>
      <c r="C1314" s="24" t="inlineStr">
        <is>
          <t>关联帐户关系</t>
        </is>
      </c>
      <c r="D1314" s="24" t="inlineStr">
        <is>
          <t>999</t>
        </is>
      </c>
      <c r="E1314" s="24" t="inlineStr">
        <is>
          <t>其他</t>
        </is>
      </c>
    </row>
    <row r="1315" ht="15.95" customHeight="1" s="170">
      <c r="B1315" s="122" t="inlineStr">
        <is>
          <t>码值：项目性质</t>
        </is>
      </c>
    </row>
    <row r="1316">
      <c r="B1316" s="24" t="inlineStr">
        <is>
          <t>项目性质</t>
        </is>
      </c>
      <c r="C1316" s="24" t="inlineStr">
        <is>
          <t>项目性质</t>
        </is>
      </c>
      <c r="D1316" s="24" t="inlineStr">
        <is>
          <t>1</t>
        </is>
      </c>
      <c r="E1316" s="24" t="inlineStr">
        <is>
          <t>安居工程</t>
        </is>
      </c>
    </row>
    <row r="1317">
      <c r="B1317" s="24" t="inlineStr">
        <is>
          <t>项目性质</t>
        </is>
      </c>
      <c r="C1317" s="24" t="inlineStr">
        <is>
          <t>项目性质</t>
        </is>
      </c>
      <c r="D1317" s="24" t="inlineStr">
        <is>
          <t>2</t>
        </is>
      </c>
      <c r="E1317" s="24" t="inlineStr">
        <is>
          <t>普通住宅</t>
        </is>
      </c>
    </row>
    <row r="1318">
      <c r="B1318" s="24" t="inlineStr">
        <is>
          <t>项目性质</t>
        </is>
      </c>
      <c r="C1318" s="24" t="inlineStr">
        <is>
          <t>项目性质</t>
        </is>
      </c>
      <c r="D1318" s="24" t="inlineStr">
        <is>
          <t>3</t>
        </is>
      </c>
      <c r="E1318" s="24" t="inlineStr">
        <is>
          <t>高档住宅</t>
        </is>
      </c>
    </row>
    <row r="1319">
      <c r="B1319" s="24" t="inlineStr">
        <is>
          <t>项目性质</t>
        </is>
      </c>
      <c r="C1319" s="24" t="inlineStr">
        <is>
          <t>项目性质</t>
        </is>
      </c>
      <c r="D1319" s="24" t="inlineStr">
        <is>
          <t>4</t>
        </is>
      </c>
      <c r="E1319" s="24" t="inlineStr">
        <is>
          <t>别墅</t>
        </is>
      </c>
    </row>
    <row r="1320">
      <c r="B1320" s="24" t="inlineStr">
        <is>
          <t>项目性质</t>
        </is>
      </c>
      <c r="C1320" s="24" t="inlineStr">
        <is>
          <t>项目性质</t>
        </is>
      </c>
      <c r="D1320" s="24" t="inlineStr">
        <is>
          <t>5</t>
        </is>
      </c>
      <c r="E1320" s="24" t="inlineStr">
        <is>
          <t>商住楼</t>
        </is>
      </c>
    </row>
    <row r="1321">
      <c r="B1321" s="24" t="inlineStr">
        <is>
          <t>项目性质</t>
        </is>
      </c>
      <c r="C1321" s="24" t="inlineStr">
        <is>
          <t>项目性质</t>
        </is>
      </c>
      <c r="D1321" s="24" t="inlineStr">
        <is>
          <t>6</t>
        </is>
      </c>
      <c r="E1321" s="24" t="inlineStr">
        <is>
          <t>写字楼</t>
        </is>
      </c>
    </row>
    <row r="1322">
      <c r="B1322" s="24" t="inlineStr">
        <is>
          <t>项目性质</t>
        </is>
      </c>
      <c r="C1322" s="24" t="inlineStr">
        <is>
          <t>项目性质</t>
        </is>
      </c>
      <c r="D1322" s="24" t="inlineStr">
        <is>
          <t>7</t>
        </is>
      </c>
      <c r="E1322" s="24" t="inlineStr">
        <is>
          <t>楼堂馆所</t>
        </is>
      </c>
    </row>
    <row r="1323">
      <c r="B1323" s="24" t="inlineStr">
        <is>
          <t>项目性质</t>
        </is>
      </c>
      <c r="C1323" s="24" t="inlineStr">
        <is>
          <t>项目性质</t>
        </is>
      </c>
      <c r="D1323" s="24" t="inlineStr">
        <is>
          <t>8</t>
        </is>
      </c>
      <c r="E1323" s="24" t="inlineStr">
        <is>
          <t>其他</t>
        </is>
      </c>
    </row>
    <row r="1324" ht="15.95" customHeight="1" s="170">
      <c r="B1324" s="122" t="inlineStr">
        <is>
          <t>码值：SimplePoolFlowApprMain</t>
        </is>
      </c>
    </row>
    <row r="1325">
      <c r="B1325" s="24" t="inlineStr">
        <is>
          <t>SimplePoolFlowApprMain</t>
        </is>
      </c>
      <c r="C1325" s="24" t="n"/>
      <c r="D1325" s="24" t="inlineStr">
        <is>
          <t>N</t>
        </is>
      </c>
      <c r="E1325" s="24" t="inlineStr">
        <is>
          <t>当前工作</t>
        </is>
      </c>
    </row>
    <row r="1326">
      <c r="B1326" s="24" t="inlineStr">
        <is>
          <t>SimplePoolFlowApprMain</t>
        </is>
      </c>
      <c r="C1326" s="24" t="n"/>
      <c r="D1326" s="24" t="inlineStr">
        <is>
          <t>Y</t>
        </is>
      </c>
      <c r="E1326" s="24" t="inlineStr">
        <is>
          <t>已完成工作</t>
        </is>
      </c>
    </row>
    <row r="1327" ht="15.95" customHeight="1" s="170">
      <c r="B1327" s="122" t="inlineStr">
        <is>
          <t>码值：客户概况</t>
        </is>
      </c>
    </row>
    <row r="1328">
      <c r="B1328" s="24" t="inlineStr">
        <is>
          <t>客户概况</t>
        </is>
      </c>
      <c r="C1328" s="24" t="inlineStr">
        <is>
          <t>客户概况</t>
        </is>
      </c>
      <c r="D1328" s="24" t="inlineStr">
        <is>
          <t>01</t>
        </is>
      </c>
      <c r="E1328" s="24" t="inlineStr">
        <is>
          <t>项目预期服务对象范围很广（大于五个省）</t>
        </is>
      </c>
    </row>
    <row r="1329">
      <c r="B1329" s="24" t="inlineStr">
        <is>
          <t>客户概况</t>
        </is>
      </c>
      <c r="C1329" s="24" t="inlineStr">
        <is>
          <t>客户概况</t>
        </is>
      </c>
      <c r="D1329" s="24" t="inlineStr">
        <is>
          <t>02</t>
        </is>
      </c>
      <c r="E1329" s="24" t="inlineStr">
        <is>
          <t>项目预期服务对象范围广（大于三个省）</t>
        </is>
      </c>
    </row>
    <row r="1330">
      <c r="B1330" s="24" t="inlineStr">
        <is>
          <t>客户概况</t>
        </is>
      </c>
      <c r="C1330" s="24" t="inlineStr">
        <is>
          <t>客户概况</t>
        </is>
      </c>
      <c r="D1330" s="24" t="inlineStr">
        <is>
          <t>03</t>
        </is>
      </c>
      <c r="E1330" s="24" t="inlineStr">
        <is>
          <t>项目预期服务对象范围一般（大于一个省）</t>
        </is>
      </c>
    </row>
    <row r="1331">
      <c r="B1331" s="24" t="inlineStr">
        <is>
          <t>客户概况</t>
        </is>
      </c>
      <c r="C1331" s="24" t="inlineStr">
        <is>
          <t>客户概况</t>
        </is>
      </c>
      <c r="D1331" s="24" t="inlineStr">
        <is>
          <t>04</t>
        </is>
      </c>
      <c r="E1331" s="24" t="inlineStr">
        <is>
          <t>项目预期服务对象范围在一个省内</t>
        </is>
      </c>
    </row>
    <row r="1332">
      <c r="B1332" s="24" t="inlineStr">
        <is>
          <t>客户概况</t>
        </is>
      </c>
      <c r="C1332" s="24" t="inlineStr">
        <is>
          <t>客户概况</t>
        </is>
      </c>
      <c r="D1332" s="24" t="inlineStr">
        <is>
          <t>05</t>
        </is>
      </c>
      <c r="E1332" s="24" t="inlineStr">
        <is>
          <t>项目预期服务对象范围在一个地级市之内</t>
        </is>
      </c>
    </row>
    <row r="1333" ht="15.95" customHeight="1" s="170">
      <c r="B1333" s="122" t="inlineStr">
        <is>
          <t>码值：ModuleBelong</t>
        </is>
      </c>
    </row>
    <row r="1334">
      <c r="B1334" s="24" t="inlineStr">
        <is>
          <t>ModuleBelong</t>
        </is>
      </c>
      <c r="C1334" s="24" t="inlineStr">
        <is>
          <t>数据表所属模块</t>
        </is>
      </c>
      <c r="D1334" s="24" t="inlineStr">
        <is>
          <t>1</t>
        </is>
      </c>
      <c r="E1334" s="24" t="inlineStr">
        <is>
          <t>系统框架</t>
        </is>
      </c>
    </row>
    <row r="1335">
      <c r="B1335" s="24" t="inlineStr">
        <is>
          <t>ModuleBelong</t>
        </is>
      </c>
      <c r="C1335" s="24" t="inlineStr">
        <is>
          <t>数据表所属模块</t>
        </is>
      </c>
      <c r="D1335" s="24" t="inlineStr">
        <is>
          <t>10</t>
        </is>
      </c>
      <c r="E1335" s="24" t="inlineStr">
        <is>
          <t>资产保全</t>
        </is>
      </c>
    </row>
    <row r="1336">
      <c r="B1336" s="24" t="inlineStr">
        <is>
          <t>ModuleBelong</t>
        </is>
      </c>
      <c r="C1336" s="24" t="inlineStr">
        <is>
          <t>数据表所属模块</t>
        </is>
      </c>
      <c r="D1336" s="24" t="inlineStr">
        <is>
          <t>11</t>
        </is>
      </c>
      <c r="E1336" s="24" t="inlineStr">
        <is>
          <t>额度管理</t>
        </is>
      </c>
    </row>
    <row r="1337">
      <c r="B1337" s="24" t="inlineStr">
        <is>
          <t>ModuleBelong</t>
        </is>
      </c>
      <c r="C1337" s="24" t="inlineStr">
        <is>
          <t>数据表所属模块</t>
        </is>
      </c>
      <c r="D1337" s="24" t="inlineStr">
        <is>
          <t>12</t>
        </is>
      </c>
      <c r="E1337" s="24" t="inlineStr">
        <is>
          <t>押品管理</t>
        </is>
      </c>
    </row>
    <row r="1338">
      <c r="B1338" s="24" t="inlineStr">
        <is>
          <t>ModuleBelong</t>
        </is>
      </c>
      <c r="C1338" s="24" t="inlineStr">
        <is>
          <t>数据表所属模块</t>
        </is>
      </c>
      <c r="D1338" s="24" t="inlineStr">
        <is>
          <t>13</t>
        </is>
      </c>
      <c r="E1338" s="24" t="inlineStr">
        <is>
          <t>集团管理</t>
        </is>
      </c>
    </row>
    <row r="1339">
      <c r="B1339" s="24" t="inlineStr">
        <is>
          <t>ModuleBelong</t>
        </is>
      </c>
      <c r="C1339" s="24" t="inlineStr">
        <is>
          <t>数据表所属模块</t>
        </is>
      </c>
      <c r="D1339" s="24" t="inlineStr">
        <is>
          <t>14</t>
        </is>
      </c>
      <c r="E1339" s="24" t="inlineStr">
        <is>
          <t>票据国结</t>
        </is>
      </c>
    </row>
    <row r="1340">
      <c r="B1340" s="24" t="inlineStr">
        <is>
          <t>ModuleBelong</t>
        </is>
      </c>
      <c r="C1340" s="24" t="inlineStr">
        <is>
          <t>数据表所属模块</t>
        </is>
      </c>
      <c r="D1340" s="24" t="inlineStr">
        <is>
          <t>15</t>
        </is>
      </c>
      <c r="E1340" s="24" t="inlineStr">
        <is>
          <t>小企业授信</t>
        </is>
      </c>
    </row>
    <row r="1341">
      <c r="B1341" s="24" t="inlineStr">
        <is>
          <t>ModuleBelong</t>
        </is>
      </c>
      <c r="C1341" s="24" t="inlineStr">
        <is>
          <t>数据表所属模块</t>
        </is>
      </c>
      <c r="D1341" s="24" t="inlineStr">
        <is>
          <t>16</t>
        </is>
      </c>
      <c r="E1341" s="24" t="inlineStr">
        <is>
          <t>个贷业务</t>
        </is>
      </c>
    </row>
    <row r="1342">
      <c r="B1342" s="24" t="inlineStr">
        <is>
          <t>ModuleBelong</t>
        </is>
      </c>
      <c r="C1342" s="24" t="inlineStr">
        <is>
          <t>数据表所属模块</t>
        </is>
      </c>
      <c r="D1342" s="24" t="inlineStr">
        <is>
          <t>17</t>
        </is>
      </c>
      <c r="E1342" s="24" t="inlineStr">
        <is>
          <t>金融市场</t>
        </is>
      </c>
    </row>
    <row r="1343">
      <c r="B1343" s="24" t="inlineStr">
        <is>
          <t>ModuleBelong</t>
        </is>
      </c>
      <c r="C1343" s="24" t="inlineStr">
        <is>
          <t>数据表所属模块</t>
        </is>
      </c>
      <c r="D1343" s="24" t="inlineStr">
        <is>
          <t>18</t>
        </is>
      </c>
      <c r="E1343" s="24" t="inlineStr">
        <is>
          <t>信贷授权和工作流管理</t>
        </is>
      </c>
    </row>
    <row r="1344">
      <c r="B1344" s="24" t="inlineStr">
        <is>
          <t>ModuleBelong</t>
        </is>
      </c>
      <c r="C1344" s="24" t="inlineStr">
        <is>
          <t>数据表所属模块</t>
        </is>
      </c>
      <c r="D1344" s="24" t="inlineStr">
        <is>
          <t>19</t>
        </is>
      </c>
      <c r="E1344" s="24" t="inlineStr">
        <is>
          <t>统计分析体系</t>
        </is>
      </c>
    </row>
    <row r="1345">
      <c r="B1345" s="24" t="inlineStr">
        <is>
          <t>ModuleBelong</t>
        </is>
      </c>
      <c r="C1345" s="24" t="inlineStr">
        <is>
          <t>数据表所属模块</t>
        </is>
      </c>
      <c r="D1345" s="24" t="inlineStr">
        <is>
          <t>2</t>
        </is>
      </c>
      <c r="E1345" s="24" t="inlineStr">
        <is>
          <t>客户管理</t>
        </is>
      </c>
    </row>
    <row r="1346">
      <c r="B1346" s="24" t="inlineStr">
        <is>
          <t>ModuleBelong</t>
        </is>
      </c>
      <c r="C1346" s="24" t="inlineStr">
        <is>
          <t>数据表所属模块</t>
        </is>
      </c>
      <c r="D1346" s="24" t="inlineStr">
        <is>
          <t>20</t>
        </is>
      </c>
      <c r="E1346" s="24" t="inlineStr">
        <is>
          <t>信用风险量化工具</t>
        </is>
      </c>
    </row>
    <row r="1347">
      <c r="B1347" s="24" t="inlineStr">
        <is>
          <t>ModuleBelong</t>
        </is>
      </c>
      <c r="C1347" s="24" t="inlineStr">
        <is>
          <t>数据表所属模块</t>
        </is>
      </c>
      <c r="D1347" s="24" t="inlineStr">
        <is>
          <t>3</t>
        </is>
      </c>
      <c r="E1347" s="24" t="inlineStr">
        <is>
          <t>授信流程</t>
        </is>
      </c>
    </row>
    <row r="1348">
      <c r="B1348" s="24" t="inlineStr">
        <is>
          <t>ModuleBelong</t>
        </is>
      </c>
      <c r="C1348" s="24" t="inlineStr">
        <is>
          <t>数据表所属模块</t>
        </is>
      </c>
      <c r="D1348" s="24" t="inlineStr">
        <is>
          <t>4</t>
        </is>
      </c>
      <c r="E1348" s="24" t="inlineStr">
        <is>
          <t>产品管理</t>
        </is>
      </c>
    </row>
    <row r="1349">
      <c r="B1349" s="24" t="inlineStr">
        <is>
          <t>ModuleBelong</t>
        </is>
      </c>
      <c r="C1349" s="24" t="inlineStr">
        <is>
          <t>数据表所属模块</t>
        </is>
      </c>
      <c r="D1349" s="24" t="inlineStr">
        <is>
          <t>5</t>
        </is>
      </c>
      <c r="E1349" s="24" t="inlineStr">
        <is>
          <t>授信申请与审批</t>
        </is>
      </c>
    </row>
    <row r="1350">
      <c r="B1350" s="24" t="inlineStr">
        <is>
          <t>ModuleBelong</t>
        </is>
      </c>
      <c r="C1350" s="24" t="inlineStr">
        <is>
          <t>数据表所属模块</t>
        </is>
      </c>
      <c r="D1350" s="24" t="inlineStr">
        <is>
          <t>6</t>
        </is>
      </c>
      <c r="E1350" s="24" t="inlineStr">
        <is>
          <t>授信执行</t>
        </is>
      </c>
    </row>
    <row r="1351">
      <c r="B1351" s="24" t="inlineStr">
        <is>
          <t>ModuleBelong</t>
        </is>
      </c>
      <c r="C1351" s="24" t="inlineStr">
        <is>
          <t>数据表所属模块</t>
        </is>
      </c>
      <c r="D1351" s="24" t="inlineStr">
        <is>
          <t>7</t>
        </is>
      </c>
      <c r="E1351" s="24" t="inlineStr">
        <is>
          <t>授信后管理</t>
        </is>
      </c>
    </row>
    <row r="1352">
      <c r="B1352" s="24" t="inlineStr">
        <is>
          <t>ModuleBelong</t>
        </is>
      </c>
      <c r="C1352" s="24" t="inlineStr">
        <is>
          <t>数据表所属模块</t>
        </is>
      </c>
      <c r="D1352" s="24" t="inlineStr">
        <is>
          <t>8</t>
        </is>
      </c>
      <c r="E1352" s="24" t="inlineStr">
        <is>
          <t>风险预警</t>
        </is>
      </c>
    </row>
    <row r="1353">
      <c r="B1353" s="24" t="inlineStr">
        <is>
          <t>ModuleBelong</t>
        </is>
      </c>
      <c r="C1353" s="24" t="inlineStr">
        <is>
          <t>数据表所属模块</t>
        </is>
      </c>
      <c r="D1353" s="24" t="inlineStr">
        <is>
          <t>9</t>
        </is>
      </c>
      <c r="E1353" s="24" t="inlineStr">
        <is>
          <t>风险拨备</t>
        </is>
      </c>
    </row>
    <row r="1354" ht="15.95" customHeight="1" s="170">
      <c r="B1354" s="122" t="inlineStr">
        <is>
          <t>码值：USESTATUS</t>
        </is>
      </c>
    </row>
    <row r="1355">
      <c r="B1355" s="24" t="inlineStr">
        <is>
          <t>USESTATUS</t>
        </is>
      </c>
      <c r="C1355" s="24" t="inlineStr">
        <is>
          <t>使用现状</t>
        </is>
      </c>
      <c r="D1355" s="24" t="inlineStr">
        <is>
          <t>01</t>
        </is>
      </c>
      <c r="E1355" s="24" t="inlineStr">
        <is>
          <t>出租</t>
        </is>
      </c>
    </row>
    <row r="1356">
      <c r="B1356" s="24" t="inlineStr">
        <is>
          <t>USESTATUS</t>
        </is>
      </c>
      <c r="C1356" s="24" t="inlineStr">
        <is>
          <t>使用现状</t>
        </is>
      </c>
      <c r="D1356" s="24" t="inlineStr">
        <is>
          <t>02</t>
        </is>
      </c>
      <c r="E1356" s="24" t="inlineStr">
        <is>
          <t>自用</t>
        </is>
      </c>
    </row>
    <row r="1357">
      <c r="B1357" s="24" t="inlineStr">
        <is>
          <t>USESTATUS</t>
        </is>
      </c>
      <c r="C1357" s="24" t="inlineStr">
        <is>
          <t>使用现状</t>
        </is>
      </c>
      <c r="D1357" s="24" t="inlineStr">
        <is>
          <t>03</t>
        </is>
      </c>
      <c r="E1357" s="24" t="inlineStr">
        <is>
          <t>闲置</t>
        </is>
      </c>
    </row>
    <row r="1358">
      <c r="B1358" s="24" t="inlineStr">
        <is>
          <t>USESTATUS</t>
        </is>
      </c>
      <c r="C1358" s="24" t="inlineStr">
        <is>
          <t>使用现状</t>
        </is>
      </c>
      <c r="D1358" s="24" t="inlineStr">
        <is>
          <t>04</t>
        </is>
      </c>
      <c r="E1358" s="24" t="inlineStr">
        <is>
          <t>其他</t>
        </is>
      </c>
    </row>
    <row r="1359" ht="15.95" customHeight="1" s="170">
      <c r="B1359" s="122" t="inlineStr">
        <is>
          <t>码值：员工学科多样性</t>
        </is>
      </c>
    </row>
    <row r="1360">
      <c r="B1360" s="24" t="inlineStr">
        <is>
          <t>员工学科多样性</t>
        </is>
      </c>
      <c r="C1360" s="24" t="inlineStr">
        <is>
          <t>员工学科多样性</t>
        </is>
      </c>
      <c r="D1360" s="24" t="inlineStr">
        <is>
          <t>1</t>
        </is>
      </c>
      <c r="E1360" s="24" t="inlineStr">
        <is>
          <t>多样</t>
        </is>
      </c>
    </row>
    <row r="1361">
      <c r="B1361" s="24" t="inlineStr">
        <is>
          <t>员工学科多样性</t>
        </is>
      </c>
      <c r="C1361" s="24" t="inlineStr">
        <is>
          <t>员工学科多样性</t>
        </is>
      </c>
      <c r="D1361" s="24" t="inlineStr">
        <is>
          <t>2</t>
        </is>
      </c>
      <c r="E1361" s="24" t="inlineStr">
        <is>
          <t>较多样</t>
        </is>
      </c>
    </row>
    <row r="1362">
      <c r="B1362" s="24" t="inlineStr">
        <is>
          <t>员工学科多样性</t>
        </is>
      </c>
      <c r="C1362" s="24" t="inlineStr">
        <is>
          <t>员工学科多样性</t>
        </is>
      </c>
      <c r="D1362" s="24" t="inlineStr">
        <is>
          <t>3</t>
        </is>
      </c>
      <c r="E1362" s="24" t="inlineStr">
        <is>
          <t>单一</t>
        </is>
      </c>
    </row>
    <row r="1363" ht="15.95" customHeight="1" s="170">
      <c r="B1363" s="122" t="inlineStr">
        <is>
          <t>码值：商业保险</t>
        </is>
      </c>
    </row>
    <row r="1364">
      <c r="B1364" s="24" t="inlineStr">
        <is>
          <t>商业保险</t>
        </is>
      </c>
      <c r="C1364" s="24" t="inlineStr">
        <is>
          <t>商业保险</t>
        </is>
      </c>
      <c r="D1364" s="24" t="inlineStr">
        <is>
          <t>1</t>
        </is>
      </c>
      <c r="E1364" s="24" t="inlineStr">
        <is>
          <t>有</t>
        </is>
      </c>
    </row>
    <row r="1365">
      <c r="B1365" s="24" t="inlineStr">
        <is>
          <t>商业保险</t>
        </is>
      </c>
      <c r="C1365" s="24" t="inlineStr">
        <is>
          <t>商业保险</t>
        </is>
      </c>
      <c r="D1365" s="24" t="inlineStr">
        <is>
          <t>2</t>
        </is>
      </c>
      <c r="E1365" s="24" t="inlineStr">
        <is>
          <t>无</t>
        </is>
      </c>
    </row>
    <row r="1366" ht="15.95" customHeight="1" s="170">
      <c r="B1366" s="122" t="inlineStr">
        <is>
          <t>码值：BaseRateType</t>
        </is>
      </c>
    </row>
    <row r="1367">
      <c r="B1367" s="24" t="inlineStr">
        <is>
          <t>BaseRateType</t>
        </is>
      </c>
      <c r="C1367" s="24" t="inlineStr">
        <is>
          <t>基准利率类型</t>
        </is>
      </c>
      <c r="D1367" s="24" t="inlineStr">
        <is>
          <t>01</t>
        </is>
      </c>
      <c r="E1367" s="24" t="inlineStr">
        <is>
          <t>正常利率</t>
        </is>
      </c>
    </row>
    <row r="1368">
      <c r="B1368" s="24" t="inlineStr">
        <is>
          <t>BaseRateType</t>
        </is>
      </c>
      <c r="C1368" s="24" t="inlineStr">
        <is>
          <t>基准利率类型</t>
        </is>
      </c>
      <c r="D1368" s="24" t="inlineStr">
        <is>
          <t>010</t>
        </is>
      </c>
      <c r="E1368" s="24" t="inlineStr">
        <is>
          <t>人行基准利率</t>
        </is>
      </c>
    </row>
    <row r="1369">
      <c r="B1369" s="24" t="inlineStr">
        <is>
          <t>BaseRateType</t>
        </is>
      </c>
      <c r="C1369" s="24" t="inlineStr">
        <is>
          <t>基准利率类型</t>
        </is>
      </c>
      <c r="D1369" s="24" t="inlineStr">
        <is>
          <t>020</t>
        </is>
      </c>
      <c r="E1369" s="24" t="inlineStr">
        <is>
          <t>公积金基准利率</t>
        </is>
      </c>
    </row>
    <row r="1370">
      <c r="B1370" s="24" t="inlineStr">
        <is>
          <t>BaseRateType</t>
        </is>
      </c>
      <c r="C1370" s="24" t="inlineStr">
        <is>
          <t>基准利率类型</t>
        </is>
      </c>
      <c r="D1370" s="24" t="inlineStr">
        <is>
          <t>025</t>
        </is>
      </c>
      <c r="E1370" s="24" t="inlineStr">
        <is>
          <t>LPR市场利率</t>
        </is>
      </c>
    </row>
    <row r="1371">
      <c r="B1371" s="24" t="inlineStr">
        <is>
          <t>BaseRateType</t>
        </is>
      </c>
      <c r="C1371" s="24" t="inlineStr">
        <is>
          <t>基准利率类型</t>
        </is>
      </c>
      <c r="D1371" s="24" t="inlineStr">
        <is>
          <t>030</t>
        </is>
      </c>
      <c r="E1371" s="24" t="inlineStr">
        <is>
          <t>贴现利率</t>
        </is>
      </c>
    </row>
    <row r="1372">
      <c r="B1372" s="24" t="inlineStr">
        <is>
          <t>BaseRateType</t>
        </is>
      </c>
      <c r="C1372" s="24" t="inlineStr">
        <is>
          <t>基准利率类型</t>
        </is>
      </c>
      <c r="D1372" s="24" t="inlineStr">
        <is>
          <t>040</t>
        </is>
      </c>
      <c r="E1372" s="24" t="inlineStr">
        <is>
          <t>Libor</t>
        </is>
      </c>
    </row>
    <row r="1373">
      <c r="B1373" s="24" t="inlineStr">
        <is>
          <t>BaseRateType</t>
        </is>
      </c>
      <c r="C1373" s="24" t="inlineStr">
        <is>
          <t>基准利率类型</t>
        </is>
      </c>
      <c r="D1373" s="24" t="inlineStr">
        <is>
          <t>050</t>
        </is>
      </c>
      <c r="E1373" s="24" t="inlineStr">
        <is>
          <t>Hibor</t>
        </is>
      </c>
    </row>
    <row r="1374">
      <c r="B1374" s="24" t="inlineStr">
        <is>
          <t>BaseRateType</t>
        </is>
      </c>
      <c r="C1374" s="24" t="inlineStr">
        <is>
          <t>基准利率类型</t>
        </is>
      </c>
      <c r="D1374" s="24" t="inlineStr">
        <is>
          <t>060</t>
        </is>
      </c>
      <c r="E1374" s="24" t="inlineStr">
        <is>
          <t>Sibor</t>
        </is>
      </c>
    </row>
    <row r="1375" ht="15.95" customHeight="1" s="170">
      <c r="B1375" s="122" t="inlineStr">
        <is>
          <t>码值：AccountCodeDirection</t>
        </is>
      </c>
    </row>
    <row r="1376">
      <c r="B1376" s="24" t="inlineStr">
        <is>
          <t>AccountCodeDirection</t>
        </is>
      </c>
      <c r="C1376" s="24" t="inlineStr">
        <is>
          <t>科目余额方向</t>
        </is>
      </c>
      <c r="D1376" s="24" t="inlineStr">
        <is>
          <t>B</t>
        </is>
      </c>
      <c r="E1376" s="24" t="inlineStr">
        <is>
          <t>双向</t>
        </is>
      </c>
    </row>
    <row r="1377">
      <c r="B1377" s="24" t="inlineStr">
        <is>
          <t>AccountCodeDirection</t>
        </is>
      </c>
      <c r="C1377" s="24" t="inlineStr">
        <is>
          <t>科目余额方向</t>
        </is>
      </c>
      <c r="D1377" s="24" t="inlineStr">
        <is>
          <t>C</t>
        </is>
      </c>
      <c r="E1377" s="24" t="inlineStr">
        <is>
          <t>贷</t>
        </is>
      </c>
    </row>
    <row r="1378">
      <c r="B1378" s="24" t="inlineStr">
        <is>
          <t>AccountCodeDirection</t>
        </is>
      </c>
      <c r="C1378" s="24" t="inlineStr">
        <is>
          <t>科目余额方向</t>
        </is>
      </c>
      <c r="D1378" s="24" t="inlineStr">
        <is>
          <t>D</t>
        </is>
      </c>
      <c r="E1378" s="24" t="inlineStr">
        <is>
          <t>借</t>
        </is>
      </c>
    </row>
    <row r="1379">
      <c r="B1379" s="24" t="inlineStr">
        <is>
          <t>AccountCodeDirection</t>
        </is>
      </c>
      <c r="C1379" s="24" t="inlineStr">
        <is>
          <t>科目余额方向</t>
        </is>
      </c>
      <c r="D1379" s="24" t="inlineStr">
        <is>
          <t>P</t>
        </is>
      </c>
      <c r="E1379" s="24" t="inlineStr">
        <is>
          <t>付</t>
        </is>
      </c>
    </row>
    <row r="1380">
      <c r="B1380" s="24" t="inlineStr">
        <is>
          <t>AccountCodeDirection</t>
        </is>
      </c>
      <c r="C1380" s="24" t="inlineStr">
        <is>
          <t>科目余额方向</t>
        </is>
      </c>
      <c r="D1380" s="24" t="inlineStr">
        <is>
          <t>R</t>
        </is>
      </c>
      <c r="E1380" s="24" t="inlineStr">
        <is>
          <t>收</t>
        </is>
      </c>
    </row>
    <row r="1381" ht="15.95" customHeight="1" s="170">
      <c r="B1381" s="122" t="inlineStr">
        <is>
          <t>码值：GuarantyGroundUse</t>
        </is>
      </c>
    </row>
    <row r="1382">
      <c r="B1382" s="24" t="inlineStr">
        <is>
          <t>GuarantyGroundUse</t>
        </is>
      </c>
      <c r="C1382" s="24" t="inlineStr">
        <is>
          <t>担保土地用途</t>
        </is>
      </c>
      <c r="D1382" s="24" t="inlineStr">
        <is>
          <t>01</t>
        </is>
      </c>
      <c r="E1382" s="24" t="inlineStr">
        <is>
          <t>商业</t>
        </is>
      </c>
    </row>
    <row r="1383">
      <c r="B1383" s="24" t="inlineStr">
        <is>
          <t>GuarantyGroundUse</t>
        </is>
      </c>
      <c r="C1383" s="24" t="inlineStr">
        <is>
          <t>担保土地用途</t>
        </is>
      </c>
      <c r="D1383" s="24" t="inlineStr">
        <is>
          <t>02</t>
        </is>
      </c>
      <c r="E1383" s="24" t="inlineStr">
        <is>
          <t>工业</t>
        </is>
      </c>
    </row>
    <row r="1384">
      <c r="B1384" s="24" t="inlineStr">
        <is>
          <t>GuarantyGroundUse</t>
        </is>
      </c>
      <c r="C1384" s="24" t="inlineStr">
        <is>
          <t>担保土地用途</t>
        </is>
      </c>
      <c r="D1384" s="24" t="inlineStr">
        <is>
          <t>03</t>
        </is>
      </c>
      <c r="E1384" s="24" t="inlineStr">
        <is>
          <t>农业</t>
        </is>
      </c>
    </row>
    <row r="1385">
      <c r="B1385" s="24" t="inlineStr">
        <is>
          <t>GuarantyGroundUse</t>
        </is>
      </c>
      <c r="C1385" s="24" t="inlineStr">
        <is>
          <t>担保土地用途</t>
        </is>
      </c>
      <c r="D1385" s="24" t="inlineStr">
        <is>
          <t>04</t>
        </is>
      </c>
      <c r="E1385" s="24" t="inlineStr">
        <is>
          <t>商住</t>
        </is>
      </c>
    </row>
    <row r="1386">
      <c r="B1386" s="24" t="inlineStr">
        <is>
          <t>GuarantyGroundUse</t>
        </is>
      </c>
      <c r="C1386" s="24" t="inlineStr">
        <is>
          <t>担保土地用途</t>
        </is>
      </c>
      <c r="D1386" s="24" t="inlineStr">
        <is>
          <t>05</t>
        </is>
      </c>
      <c r="E1386" s="24" t="inlineStr">
        <is>
          <t>综合</t>
        </is>
      </c>
    </row>
    <row r="1387">
      <c r="B1387" s="24" t="inlineStr">
        <is>
          <t>GuarantyGroundUse</t>
        </is>
      </c>
      <c r="C1387" s="24" t="inlineStr">
        <is>
          <t>担保土地用途</t>
        </is>
      </c>
      <c r="D1387" s="24" t="inlineStr">
        <is>
          <t>06</t>
        </is>
      </c>
      <c r="E1387" s="24" t="inlineStr">
        <is>
          <t>住宅</t>
        </is>
      </c>
    </row>
    <row r="1388">
      <c r="B1388" s="24" t="inlineStr">
        <is>
          <t>GuarantyGroundUse</t>
        </is>
      </c>
      <c r="C1388" s="24" t="inlineStr">
        <is>
          <t>担保土地用途</t>
        </is>
      </c>
      <c r="D1388" s="24" t="inlineStr">
        <is>
          <t>07</t>
        </is>
      </c>
      <c r="E1388" s="24" t="inlineStr">
        <is>
          <t>其他</t>
        </is>
      </c>
    </row>
    <row r="1389" ht="15.95" customHeight="1" s="170">
      <c r="B1389" s="122" t="inlineStr">
        <is>
          <t>码值：PolicyStatus</t>
        </is>
      </c>
    </row>
    <row r="1390">
      <c r="B1390" s="24" t="inlineStr">
        <is>
          <t>PolicyStatus</t>
        </is>
      </c>
      <c r="C1390" s="24" t="inlineStr">
        <is>
          <t>是否有效</t>
        </is>
      </c>
      <c r="D1390" s="24" t="inlineStr">
        <is>
          <t>1</t>
        </is>
      </c>
      <c r="E1390" s="24" t="inlineStr">
        <is>
          <t>生效</t>
        </is>
      </c>
    </row>
    <row r="1391">
      <c r="B1391" s="24" t="inlineStr">
        <is>
          <t>PolicyStatus</t>
        </is>
      </c>
      <c r="C1391" s="24" t="inlineStr">
        <is>
          <t>是否有效</t>
        </is>
      </c>
      <c r="D1391" s="24" t="inlineStr">
        <is>
          <t>2</t>
        </is>
      </c>
      <c r="E1391" s="24" t="inlineStr">
        <is>
          <t>失效</t>
        </is>
      </c>
    </row>
    <row r="1392">
      <c r="B1392" s="24" t="inlineStr">
        <is>
          <t>PolicyStatus</t>
        </is>
      </c>
      <c r="C1392" s="24" t="inlineStr">
        <is>
          <t>是否有效</t>
        </is>
      </c>
      <c r="D1392" s="24" t="inlineStr">
        <is>
          <t>3</t>
        </is>
      </c>
      <c r="E1392" s="24" t="inlineStr">
        <is>
          <t>未生效</t>
        </is>
      </c>
    </row>
    <row r="1393" ht="15.95" customHeight="1" s="170">
      <c r="B1393" s="122" t="inlineStr">
        <is>
          <t>码值：欠息情况</t>
        </is>
      </c>
    </row>
    <row r="1394">
      <c r="B1394" s="24" t="inlineStr">
        <is>
          <t>欠息情况</t>
        </is>
      </c>
      <c r="C1394" s="24" t="inlineStr">
        <is>
          <t>欠息情况</t>
        </is>
      </c>
      <c r="D1394" s="24" t="inlineStr">
        <is>
          <t>1</t>
        </is>
      </c>
      <c r="E1394" s="24" t="inlineStr">
        <is>
          <t>1年度内，无欠息</t>
        </is>
      </c>
    </row>
    <row r="1395">
      <c r="B1395" s="24" t="inlineStr">
        <is>
          <t>欠息情况</t>
        </is>
      </c>
      <c r="C1395" s="24" t="inlineStr">
        <is>
          <t>欠息情况</t>
        </is>
      </c>
      <c r="D1395" s="24" t="inlineStr">
        <is>
          <t>2</t>
        </is>
      </c>
      <c r="E1395" s="24" t="inlineStr">
        <is>
          <t>曾有欠息而目前没有</t>
        </is>
      </c>
    </row>
    <row r="1396">
      <c r="B1396" s="24" t="inlineStr">
        <is>
          <t>欠息情况</t>
        </is>
      </c>
      <c r="C1396" s="24" t="inlineStr">
        <is>
          <t>欠息情况</t>
        </is>
      </c>
      <c r="D1396" s="24" t="inlineStr">
        <is>
          <t>3</t>
        </is>
      </c>
      <c r="E1396" s="24" t="inlineStr">
        <is>
          <t>目前有欠息</t>
        </is>
      </c>
    </row>
    <row r="1397">
      <c r="B1397" s="24" t="inlineStr">
        <is>
          <t>欠息情况</t>
        </is>
      </c>
      <c r="C1397" s="24" t="inlineStr">
        <is>
          <t>欠息情况</t>
        </is>
      </c>
      <c r="D1397" s="24" t="inlineStr">
        <is>
          <t>4</t>
        </is>
      </c>
      <c r="E1397" s="24" t="inlineStr">
        <is>
          <t>连续2个季度欠息</t>
        </is>
      </c>
    </row>
    <row r="1398">
      <c r="B1398" s="24" t="inlineStr">
        <is>
          <t>欠息情况</t>
        </is>
      </c>
      <c r="C1398" s="24" t="inlineStr">
        <is>
          <t>欠息情况</t>
        </is>
      </c>
      <c r="D1398" s="24" t="inlineStr">
        <is>
          <t>5</t>
        </is>
      </c>
      <c r="E1398" s="24" t="inlineStr">
        <is>
          <t>连续1年以上欠息</t>
        </is>
      </c>
    </row>
    <row r="1399" ht="15.95" customHeight="1" s="170">
      <c r="B1399" s="122" t="inlineStr">
        <is>
          <t>码值：ApprovePutOutMain</t>
        </is>
      </c>
    </row>
    <row r="1400">
      <c r="B1400" s="24" t="inlineStr">
        <is>
          <t>ApprovePutOutMain</t>
        </is>
      </c>
      <c r="C1400" s="24" t="inlineStr">
        <is>
          <t>授信业务出帐审批判断</t>
        </is>
      </c>
      <c r="D1400" s="24" t="inlineStr">
        <is>
          <t>N</t>
        </is>
      </c>
      <c r="E1400" s="24" t="inlineStr">
        <is>
          <t>当前工作</t>
        </is>
      </c>
    </row>
    <row r="1401">
      <c r="B1401" s="24" t="inlineStr">
        <is>
          <t>ApprovePutOutMain</t>
        </is>
      </c>
      <c r="C1401" s="24" t="inlineStr">
        <is>
          <t>授信业务出帐审批判断</t>
        </is>
      </c>
      <c r="D1401" s="24" t="inlineStr">
        <is>
          <t>Y</t>
        </is>
      </c>
      <c r="E1401" s="24" t="inlineStr">
        <is>
          <t>已完成工作</t>
        </is>
      </c>
    </row>
    <row r="1402">
      <c r="B1402" s="24" t="inlineStr">
        <is>
          <t>ApprovePutOutMain</t>
        </is>
      </c>
      <c r="C1402" s="24" t="inlineStr">
        <is>
          <t>授信业务出帐审批判断</t>
        </is>
      </c>
      <c r="D1402" s="24" t="inlineStr">
        <is>
          <t>当前工作/已完成工作</t>
        </is>
      </c>
      <c r="E1402" s="24" t="inlineStr">
        <is>
          <t>阶段名称</t>
        </is>
      </c>
    </row>
    <row r="1403" ht="15.95" customHeight="1" s="170">
      <c r="B1403" s="122" t="inlineStr">
        <is>
          <t>码值：ReverseTransCode</t>
        </is>
      </c>
    </row>
    <row r="1404">
      <c r="B1404" s="24" t="inlineStr">
        <is>
          <t>ReverseTransCode</t>
        </is>
      </c>
      <c r="C1404" s="24" t="inlineStr">
        <is>
          <t>反冲交易</t>
        </is>
      </c>
      <c r="D1404" s="24" t="inlineStr">
        <is>
          <t>ReverseForwardRepay</t>
        </is>
      </c>
      <c r="E1404" s="24" t="inlineStr">
        <is>
          <t>冲提前还款</t>
        </is>
      </c>
    </row>
    <row r="1405">
      <c r="B1405" s="24" t="inlineStr">
        <is>
          <t>ReverseTransCode</t>
        </is>
      </c>
      <c r="C1405" s="24" t="inlineStr">
        <is>
          <t>反冲交易</t>
        </is>
      </c>
      <c r="D1405" s="24" t="inlineStr">
        <is>
          <t>ReversePutout</t>
        </is>
      </c>
      <c r="E1405" s="24" t="inlineStr">
        <is>
          <t>冲放款</t>
        </is>
      </c>
    </row>
    <row r="1406">
      <c r="B1406" s="24" t="inlineStr">
        <is>
          <t>ReverseTransCode</t>
        </is>
      </c>
      <c r="C1406" s="24" t="inlineStr">
        <is>
          <t>反冲交易</t>
        </is>
      </c>
      <c r="D1406" s="24" t="inlineStr">
        <is>
          <t>ReverseRepay</t>
        </is>
      </c>
      <c r="E1406" s="24" t="inlineStr">
        <is>
          <t>冲还款</t>
        </is>
      </c>
    </row>
    <row r="1407" ht="15.95" customHeight="1" s="170">
      <c r="B1407" s="122" t="inlineStr">
        <is>
          <t>码值：TransactionOffApplyMain</t>
        </is>
      </c>
    </row>
    <row r="1408">
      <c r="B1408" s="24" t="inlineStr">
        <is>
          <t>TransactionOffApplyMain</t>
        </is>
      </c>
      <c r="C1408" s="24" t="inlineStr">
        <is>
          <t>交易申请主树图</t>
        </is>
      </c>
      <c r="D1408" s="24" t="inlineStr">
        <is>
          <t>010</t>
        </is>
      </c>
      <c r="E1408" s="24" t="inlineStr">
        <is>
          <t>待处理</t>
        </is>
      </c>
    </row>
    <row r="1409">
      <c r="B1409" s="24" t="inlineStr">
        <is>
          <t>TransactionOffApplyMain</t>
        </is>
      </c>
      <c r="C1409" s="24" t="inlineStr">
        <is>
          <t>交易申请主树图</t>
        </is>
      </c>
      <c r="D1409" s="24" t="inlineStr">
        <is>
          <t>020</t>
        </is>
      </c>
      <c r="E1409" s="24" t="inlineStr">
        <is>
          <t>复核中</t>
        </is>
      </c>
    </row>
    <row r="1410">
      <c r="B1410" s="24" t="inlineStr">
        <is>
          <t>TransactionOffApplyMain</t>
        </is>
      </c>
      <c r="C1410" s="24" t="inlineStr">
        <is>
          <t>交易申请主树图</t>
        </is>
      </c>
      <c r="D1410" s="24" t="inlineStr">
        <is>
          <t>030</t>
        </is>
      </c>
      <c r="E1410" s="24" t="inlineStr">
        <is>
          <t>已复核</t>
        </is>
      </c>
    </row>
    <row r="1411">
      <c r="B1411" s="24" t="inlineStr">
        <is>
          <t>TransactionOffApplyMain</t>
        </is>
      </c>
      <c r="C1411" s="24" t="inlineStr">
        <is>
          <t>交易申请主树图</t>
        </is>
      </c>
      <c r="D1411" s="24" t="inlineStr">
        <is>
          <t>10</t>
        </is>
      </c>
      <c r="E1411" s="24" t="inlineStr">
        <is>
          <t>树型菜单中文名称</t>
        </is>
      </c>
    </row>
    <row r="1412" ht="15.95" customHeight="1" s="170">
      <c r="B1412" s="122" t="inlineStr">
        <is>
          <t>码值：AccountDesc</t>
        </is>
      </c>
    </row>
    <row r="1413">
      <c r="B1413" s="24" t="inlineStr">
        <is>
          <t>AccountDesc</t>
        </is>
      </c>
      <c r="C1413" s="24" t="inlineStr">
        <is>
          <t>费用的帐务处理</t>
        </is>
      </c>
      <c r="D1413" s="24" t="inlineStr">
        <is>
          <t>01</t>
        </is>
      </c>
      <c r="E1413" s="24" t="inlineStr">
        <is>
          <t>列为当期费用</t>
        </is>
      </c>
    </row>
    <row r="1414">
      <c r="B1414" s="24" t="inlineStr">
        <is>
          <t>AccountDesc</t>
        </is>
      </c>
      <c r="C1414" s="24" t="inlineStr">
        <is>
          <t>费用的帐务处理</t>
        </is>
      </c>
      <c r="D1414" s="24" t="inlineStr">
        <is>
          <t>02</t>
        </is>
      </c>
      <c r="E1414" s="24" t="inlineStr">
        <is>
          <t>列为营业外支出</t>
        </is>
      </c>
    </row>
    <row r="1415">
      <c r="B1415" s="24" t="inlineStr">
        <is>
          <t>AccountDesc</t>
        </is>
      </c>
      <c r="C1415" s="24" t="inlineStr">
        <is>
          <t>费用的帐务处理</t>
        </is>
      </c>
      <c r="D1415" s="24" t="inlineStr">
        <is>
          <t>03</t>
        </is>
      </c>
      <c r="E1415" s="24" t="inlineStr">
        <is>
          <t>抵扣处置收入</t>
        </is>
      </c>
    </row>
    <row r="1416">
      <c r="B1416" s="24" t="inlineStr">
        <is>
          <t>AccountDesc</t>
        </is>
      </c>
      <c r="C1416" s="24" t="inlineStr">
        <is>
          <t>费用的帐务处理</t>
        </is>
      </c>
      <c r="D1416" s="24" t="inlineStr">
        <is>
          <t>04</t>
        </is>
      </c>
      <c r="E1416" s="24" t="inlineStr">
        <is>
          <t>其他</t>
        </is>
      </c>
    </row>
    <row r="1417" ht="15.95" customHeight="1" s="170">
      <c r="B1417" s="122" t="inlineStr">
        <is>
          <t>码值：HOUSENATURE</t>
        </is>
      </c>
    </row>
    <row r="1418">
      <c r="B1418" s="24" t="inlineStr">
        <is>
          <t>HOUSENATURE</t>
        </is>
      </c>
      <c r="C1418" s="24" t="inlineStr">
        <is>
          <t>房屋性质</t>
        </is>
      </c>
      <c r="D1418" s="24" t="inlineStr">
        <is>
          <t>01</t>
        </is>
      </c>
      <c r="E1418" s="24" t="inlineStr">
        <is>
          <t>商品房</t>
        </is>
      </c>
    </row>
    <row r="1419">
      <c r="B1419" s="24" t="inlineStr">
        <is>
          <t>HOUSENATURE</t>
        </is>
      </c>
      <c r="C1419" s="24" t="inlineStr">
        <is>
          <t>房屋性质</t>
        </is>
      </c>
      <c r="D1419" s="24" t="inlineStr">
        <is>
          <t>02</t>
        </is>
      </c>
      <c r="E1419" s="24" t="inlineStr">
        <is>
          <t>成本价购买住房</t>
        </is>
      </c>
    </row>
    <row r="1420">
      <c r="B1420" s="24" t="inlineStr">
        <is>
          <t>HOUSENATURE</t>
        </is>
      </c>
      <c r="C1420" s="24" t="inlineStr">
        <is>
          <t>房屋性质</t>
        </is>
      </c>
      <c r="D1420" s="24" t="inlineStr">
        <is>
          <t>03</t>
        </is>
      </c>
      <c r="E1420" s="24" t="inlineStr">
        <is>
          <t>优惠价购买住房</t>
        </is>
      </c>
    </row>
    <row r="1421" ht="15.95" customHeight="1" s="170">
      <c r="B1421" s="122" t="inlineStr">
        <is>
          <t>码值：MyNobleMetalType</t>
        </is>
      </c>
    </row>
    <row r="1422">
      <c r="B1422" s="24" t="inlineStr">
        <is>
          <t>MyNobleMetalType</t>
        </is>
      </c>
      <c r="C1422" s="24" t="inlineStr">
        <is>
          <t>贵金属品种</t>
        </is>
      </c>
      <c r="D1422" s="24" t="inlineStr">
        <is>
          <t>01</t>
        </is>
      </c>
      <c r="E1422" s="24" t="inlineStr">
        <is>
          <t>Au99.95</t>
        </is>
      </c>
    </row>
    <row r="1423">
      <c r="B1423" s="24" t="inlineStr">
        <is>
          <t>MyNobleMetalType</t>
        </is>
      </c>
      <c r="C1423" s="24" t="inlineStr">
        <is>
          <t>贵金属品种</t>
        </is>
      </c>
      <c r="D1423" s="24" t="inlineStr">
        <is>
          <t>02</t>
        </is>
      </c>
      <c r="E1423" s="24" t="inlineStr">
        <is>
          <t>Au99.99</t>
        </is>
      </c>
    </row>
    <row r="1424">
      <c r="B1424" s="24" t="inlineStr">
        <is>
          <t>MyNobleMetalType</t>
        </is>
      </c>
      <c r="C1424" s="24" t="inlineStr">
        <is>
          <t>贵金属品种</t>
        </is>
      </c>
      <c r="D1424" s="24" t="inlineStr">
        <is>
          <t>03</t>
        </is>
      </c>
      <c r="E1424" s="24" t="inlineStr">
        <is>
          <t>Au100g</t>
        </is>
      </c>
    </row>
    <row r="1425">
      <c r="B1425" s="24" t="inlineStr">
        <is>
          <t>MyNobleMetalType</t>
        </is>
      </c>
      <c r="C1425" s="24" t="inlineStr">
        <is>
          <t>贵金属品种</t>
        </is>
      </c>
      <c r="D1425" s="24" t="inlineStr">
        <is>
          <t>04</t>
        </is>
      </c>
      <c r="E1425" s="24" t="inlineStr">
        <is>
          <t>Ag99.9</t>
        </is>
      </c>
    </row>
    <row r="1426">
      <c r="B1426" s="24" t="inlineStr">
        <is>
          <t>MyNobleMetalType</t>
        </is>
      </c>
      <c r="C1426" s="24" t="inlineStr">
        <is>
          <t>贵金属品种</t>
        </is>
      </c>
      <c r="D1426" s="24" t="inlineStr">
        <is>
          <t>05</t>
        </is>
      </c>
      <c r="E1426" s="24" t="inlineStr">
        <is>
          <t>Ag99.99</t>
        </is>
      </c>
    </row>
    <row r="1427">
      <c r="B1427" s="24" t="inlineStr">
        <is>
          <t>MyNobleMetalType</t>
        </is>
      </c>
      <c r="C1427" s="24" t="inlineStr">
        <is>
          <t>贵金属品种</t>
        </is>
      </c>
      <c r="D1427" s="24" t="inlineStr">
        <is>
          <t>06</t>
        </is>
      </c>
      <c r="E1427" s="24" t="inlineStr">
        <is>
          <t>Pt99.95</t>
        </is>
      </c>
    </row>
    <row r="1428">
      <c r="B1428" s="24" t="inlineStr">
        <is>
          <t>MyNobleMetalType</t>
        </is>
      </c>
      <c r="C1428" s="24" t="inlineStr">
        <is>
          <t>贵金属品种</t>
        </is>
      </c>
      <c r="D1428" s="24" t="inlineStr">
        <is>
          <t>07</t>
        </is>
      </c>
      <c r="E1428" s="24" t="inlineStr">
        <is>
          <t>其他</t>
        </is>
      </c>
    </row>
    <row r="1429" ht="15.95" customHeight="1" s="170">
      <c r="B1429" s="122" t="inlineStr">
        <is>
          <t>码值：ApproveStatus</t>
        </is>
      </c>
    </row>
    <row r="1430">
      <c r="B1430" s="24" t="inlineStr">
        <is>
          <t>ApproveStatus</t>
        </is>
      </c>
      <c r="C1430" s="24" t="inlineStr">
        <is>
          <t>合作方准入审批状态</t>
        </is>
      </c>
      <c r="D1430" s="24" t="inlineStr">
        <is>
          <t>Approving</t>
        </is>
      </c>
      <c r="E1430" s="24" t="inlineStr">
        <is>
          <t>审批中</t>
        </is>
      </c>
    </row>
    <row r="1431">
      <c r="B1431" s="24" t="inlineStr">
        <is>
          <t>ApproveStatus</t>
        </is>
      </c>
      <c r="C1431" s="24" t="inlineStr">
        <is>
          <t>合作方准入审批状态</t>
        </is>
      </c>
      <c r="D1431" s="24" t="inlineStr">
        <is>
          <t>Backorigin</t>
        </is>
      </c>
      <c r="E1431" s="24" t="inlineStr">
        <is>
          <t>退回修改资料</t>
        </is>
      </c>
    </row>
    <row r="1432">
      <c r="B1432" s="24" t="inlineStr">
        <is>
          <t>ApproveStatus</t>
        </is>
      </c>
      <c r="C1432" s="24" t="inlineStr">
        <is>
          <t>合作方准入审批状态</t>
        </is>
      </c>
      <c r="D1432" s="24" t="inlineStr">
        <is>
          <t>Backtrack</t>
        </is>
      </c>
      <c r="E1432" s="24" t="inlineStr">
        <is>
          <t>原路退回修改</t>
        </is>
      </c>
    </row>
    <row r="1433">
      <c r="B1433" s="24" t="inlineStr">
        <is>
          <t>ApproveStatus</t>
        </is>
      </c>
      <c r="C1433" s="24" t="inlineStr">
        <is>
          <t>合作方准入审批状态</t>
        </is>
      </c>
      <c r="D1433" s="24" t="inlineStr">
        <is>
          <t>Finished</t>
        </is>
      </c>
      <c r="E1433" s="24" t="inlineStr">
        <is>
          <t>审批通过</t>
        </is>
      </c>
    </row>
    <row r="1434">
      <c r="B1434" s="24" t="inlineStr">
        <is>
          <t>ApproveStatus</t>
        </is>
      </c>
      <c r="C1434" s="24" t="inlineStr">
        <is>
          <t>合作方准入审批状态</t>
        </is>
      </c>
      <c r="D1434" s="24" t="inlineStr">
        <is>
          <t>Invalid</t>
        </is>
      </c>
      <c r="E1434" s="24" t="inlineStr">
        <is>
          <t>作废</t>
        </is>
      </c>
    </row>
    <row r="1435">
      <c r="B1435" s="24" t="inlineStr">
        <is>
          <t>ApproveStatus</t>
        </is>
      </c>
      <c r="C1435" s="24" t="inlineStr">
        <is>
          <t>合作方准入审批状态</t>
        </is>
      </c>
      <c r="D1435" s="24" t="inlineStr">
        <is>
          <t>Presubmit</t>
        </is>
      </c>
      <c r="E1435" s="24" t="inlineStr">
        <is>
          <t>未提交</t>
        </is>
      </c>
    </row>
    <row r="1436">
      <c r="B1436" s="24" t="inlineStr">
        <is>
          <t>ApproveStatus</t>
        </is>
      </c>
      <c r="C1436" s="24" t="inlineStr">
        <is>
          <t>合作方准入审批状态</t>
        </is>
      </c>
      <c r="D1436" s="24" t="inlineStr">
        <is>
          <t>Reject</t>
        </is>
      </c>
      <c r="E1436" s="24" t="inlineStr">
        <is>
          <t>拒绝</t>
        </is>
      </c>
    </row>
    <row r="1437" ht="15.95" customHeight="1" s="170">
      <c r="B1437" s="122" t="inlineStr">
        <is>
          <t>码值：LCTermType</t>
        </is>
      </c>
    </row>
    <row r="1438">
      <c r="B1438" s="24" t="inlineStr">
        <is>
          <t>LCTermType</t>
        </is>
      </c>
      <c r="C1438" s="24" t="inlineStr">
        <is>
          <t>信用证期限类型</t>
        </is>
      </c>
      <c r="D1438" s="24" t="inlineStr">
        <is>
          <t>01</t>
        </is>
      </c>
      <c r="E1438" s="24" t="inlineStr">
        <is>
          <t>即期</t>
        </is>
      </c>
    </row>
    <row r="1439">
      <c r="B1439" s="24" t="inlineStr">
        <is>
          <t>LCTermType</t>
        </is>
      </c>
      <c r="C1439" s="24" t="inlineStr">
        <is>
          <t>信用证期限类型</t>
        </is>
      </c>
      <c r="D1439" s="24" t="inlineStr">
        <is>
          <t>02</t>
        </is>
      </c>
      <c r="E1439" s="24" t="inlineStr">
        <is>
          <t>&lt;90天</t>
        </is>
      </c>
    </row>
    <row r="1440">
      <c r="B1440" s="24" t="inlineStr">
        <is>
          <t>LCTermType</t>
        </is>
      </c>
      <c r="C1440" s="24" t="inlineStr">
        <is>
          <t>信用证期限类型</t>
        </is>
      </c>
      <c r="D1440" s="24" t="inlineStr">
        <is>
          <t>03</t>
        </is>
      </c>
      <c r="E1440" s="24" t="inlineStr">
        <is>
          <t>90-180天</t>
        </is>
      </c>
    </row>
    <row r="1441">
      <c r="B1441" s="24" t="inlineStr">
        <is>
          <t>LCTermType</t>
        </is>
      </c>
      <c r="C1441" s="24" t="inlineStr">
        <is>
          <t>信用证期限类型</t>
        </is>
      </c>
      <c r="D1441" s="24" t="inlineStr">
        <is>
          <t>04</t>
        </is>
      </c>
      <c r="E1441" s="24" t="inlineStr">
        <is>
          <t>180-360天</t>
        </is>
      </c>
    </row>
    <row r="1442">
      <c r="B1442" s="24" t="inlineStr">
        <is>
          <t>LCTermType</t>
        </is>
      </c>
      <c r="C1442" s="24" t="inlineStr">
        <is>
          <t>信用证期限类型</t>
        </is>
      </c>
      <c r="D1442" s="24" t="inlineStr">
        <is>
          <t>05</t>
        </is>
      </c>
      <c r="E1442" s="24" t="inlineStr">
        <is>
          <t>&gt;360天</t>
        </is>
      </c>
    </row>
    <row r="1443" ht="15.95" customHeight="1" s="170">
      <c r="B1443" s="122" t="inlineStr">
        <is>
          <t>码值：ReinforceIndEconomicView</t>
        </is>
      </c>
    </row>
    <row r="1444">
      <c r="B1444" s="24" t="inlineStr">
        <is>
          <t>ReinforceIndEconomicView</t>
        </is>
      </c>
      <c r="C1444" s="24" t="inlineStr">
        <is>
          <t>补登个体经营户视图</t>
        </is>
      </c>
      <c r="D1444" s="24" t="inlineStr">
        <is>
          <t>010</t>
        </is>
      </c>
      <c r="E1444" s="24" t="inlineStr">
        <is>
          <t>个体经营户基本信息</t>
        </is>
      </c>
    </row>
    <row r="1445">
      <c r="B1445" s="24" t="inlineStr">
        <is>
          <t>ReinforceIndEconomicView</t>
        </is>
      </c>
      <c r="C1445" s="24" t="inlineStr">
        <is>
          <t>补登个体经营户视图</t>
        </is>
      </c>
      <c r="D1445" s="24" t="inlineStr">
        <is>
          <t>010010</t>
        </is>
      </c>
      <c r="E1445" s="24" t="inlineStr">
        <is>
          <t>个人概况</t>
        </is>
      </c>
    </row>
    <row r="1446">
      <c r="B1446" s="24" t="inlineStr">
        <is>
          <t>ReinforceIndEconomicView</t>
        </is>
      </c>
      <c r="C1446" s="24" t="inlineStr">
        <is>
          <t>补登个体经营户视图</t>
        </is>
      </c>
      <c r="D1446" s="24" t="inlineStr">
        <is>
          <t>010015</t>
        </is>
      </c>
      <c r="E1446" s="24" t="inlineStr">
        <is>
          <t>个体经营户企业信息</t>
        </is>
      </c>
    </row>
    <row r="1447" ht="15.95" customHeight="1" s="170">
      <c r="B1447" s="122" t="inlineStr">
        <is>
          <t>码值：CustomerTable</t>
        </is>
      </c>
    </row>
    <row r="1448">
      <c r="B1448" s="24" t="inlineStr">
        <is>
          <t>CustomerTable</t>
        </is>
      </c>
      <c r="C1448" s="24" t="inlineStr">
        <is>
          <t>客户合并需处理表</t>
        </is>
      </c>
      <c r="D1448" s="24" t="inlineStr">
        <is>
          <t>0010</t>
        </is>
      </c>
      <c r="E1448" s="24" t="inlineStr">
        <is>
          <t>申请信息表（客户合并）</t>
        </is>
      </c>
    </row>
    <row r="1449">
      <c r="B1449" s="24" t="inlineStr">
        <is>
          <t>CustomerTable</t>
        </is>
      </c>
      <c r="C1449" s="24" t="inlineStr">
        <is>
          <t>客户合并需处理表</t>
        </is>
      </c>
      <c r="D1449" s="24" t="inlineStr">
        <is>
          <t>0020</t>
        </is>
      </c>
      <c r="E1449" s="24" t="inlineStr">
        <is>
          <t>合同信息表（客户合并）</t>
        </is>
      </c>
    </row>
    <row r="1450">
      <c r="B1450" s="24" t="inlineStr">
        <is>
          <t>CustomerTable</t>
        </is>
      </c>
      <c r="C1450" s="24" t="inlineStr">
        <is>
          <t>客户合并需处理表</t>
        </is>
      </c>
      <c r="D1450" s="24" t="inlineStr">
        <is>
          <t>0030</t>
        </is>
      </c>
      <c r="E1450" s="24" t="inlineStr">
        <is>
          <t>批复表（客户合并）</t>
        </is>
      </c>
    </row>
    <row r="1451">
      <c r="B1451" s="24" t="inlineStr">
        <is>
          <t>CustomerTable</t>
        </is>
      </c>
      <c r="C1451" s="24" t="inlineStr">
        <is>
          <t>客户合并需处理表</t>
        </is>
      </c>
      <c r="D1451" s="24" t="inlineStr">
        <is>
          <t>0040</t>
        </is>
      </c>
      <c r="E1451" s="24" t="inlineStr">
        <is>
          <t>出账表（客户合并）</t>
        </is>
      </c>
    </row>
    <row r="1452" ht="15.95" customHeight="1" s="170">
      <c r="B1452" s="122" t="inlineStr">
        <is>
          <t>码值：AlarmType</t>
        </is>
      </c>
    </row>
    <row r="1453">
      <c r="B1453" s="24" t="inlineStr">
        <is>
          <t>AlarmType</t>
        </is>
      </c>
      <c r="C1453" s="24" t="n"/>
      <c r="D1453" s="24" t="inlineStr">
        <is>
          <t>10</t>
        </is>
      </c>
      <c r="E1453" s="24" t="inlineStr">
        <is>
          <t>JAVA</t>
        </is>
      </c>
    </row>
    <row r="1454">
      <c r="B1454" s="24" t="inlineStr">
        <is>
          <t>AlarmType</t>
        </is>
      </c>
      <c r="C1454" s="24" t="n"/>
      <c r="D1454" s="24" t="inlineStr">
        <is>
          <t>20</t>
        </is>
      </c>
      <c r="E1454" s="24" t="inlineStr">
        <is>
          <t>SQL</t>
        </is>
      </c>
    </row>
    <row r="1455">
      <c r="B1455" s="24" t="inlineStr">
        <is>
          <t>AlarmType</t>
        </is>
      </c>
      <c r="C1455" s="24" t="n"/>
      <c r="D1455" s="24" t="inlineStr">
        <is>
          <t>30</t>
        </is>
      </c>
      <c r="E1455" s="24" t="inlineStr">
        <is>
          <t>AmarScript</t>
        </is>
      </c>
    </row>
    <row r="1456" ht="15.95" customHeight="1" s="170">
      <c r="B1456" s="122" t="inlineStr">
        <is>
          <t>码值：RuleAction</t>
        </is>
      </c>
    </row>
    <row r="1457">
      <c r="B1457" s="24" t="inlineStr">
        <is>
          <t>RuleAction</t>
        </is>
      </c>
      <c r="C1457" s="24" t="inlineStr">
        <is>
          <t>规则动作定义</t>
        </is>
      </c>
      <c r="D1457" s="24" t="inlineStr">
        <is>
          <t>break</t>
        </is>
      </c>
      <c r="E1457" s="24" t="inlineStr">
        <is>
          <t>判断终止(break)</t>
        </is>
      </c>
    </row>
    <row r="1458">
      <c r="B1458" s="24" t="inlineStr">
        <is>
          <t>RuleAction</t>
        </is>
      </c>
      <c r="C1458" s="24" t="inlineStr">
        <is>
          <t>规则动作定义</t>
        </is>
      </c>
      <c r="D1458" s="24" t="inlineStr">
        <is>
          <t>continue</t>
        </is>
      </c>
      <c r="E1458" s="24" t="inlineStr">
        <is>
          <t>判断继续(continue)</t>
        </is>
      </c>
    </row>
    <row r="1459" ht="15.95" customHeight="1" s="170">
      <c r="B1459" s="122" t="inlineStr">
        <is>
          <t>码值：投资控股投资人背景</t>
        </is>
      </c>
    </row>
    <row r="1460">
      <c r="B1460" s="24" t="inlineStr">
        <is>
          <t>投资控股投资人背景</t>
        </is>
      </c>
      <c r="C1460" s="24" t="inlineStr">
        <is>
          <t>投资控股投资人背景</t>
        </is>
      </c>
      <c r="D1460" s="24" t="inlineStr">
        <is>
          <t>1</t>
        </is>
      </c>
      <c r="E1460" s="24" t="inlineStr">
        <is>
          <t>世界500强企业</t>
        </is>
      </c>
    </row>
    <row r="1461">
      <c r="B1461" s="24" t="inlineStr">
        <is>
          <t>投资控股投资人背景</t>
        </is>
      </c>
      <c r="C1461" s="24" t="inlineStr">
        <is>
          <t>投资控股投资人背景</t>
        </is>
      </c>
      <c r="D1461" s="24" t="inlineStr">
        <is>
          <t>2</t>
        </is>
      </c>
      <c r="E1461" s="24" t="inlineStr">
        <is>
          <t>省级(直辖市)以上财政出资</t>
        </is>
      </c>
    </row>
    <row r="1462">
      <c r="B1462" s="24" t="inlineStr">
        <is>
          <t>投资控股投资人背景</t>
        </is>
      </c>
      <c r="C1462" s="24" t="inlineStr">
        <is>
          <t>投资控股投资人背景</t>
        </is>
      </c>
      <c r="D1462" s="24" t="inlineStr">
        <is>
          <t>3</t>
        </is>
      </c>
      <c r="E1462" s="24" t="inlineStr">
        <is>
          <t>欧美企业</t>
        </is>
      </c>
    </row>
    <row r="1463">
      <c r="B1463" s="24" t="inlineStr">
        <is>
          <t>投资控股投资人背景</t>
        </is>
      </c>
      <c r="C1463" s="24" t="inlineStr">
        <is>
          <t>投资控股投资人背景</t>
        </is>
      </c>
      <c r="D1463" s="24" t="inlineStr">
        <is>
          <t>4</t>
        </is>
      </c>
      <c r="E1463" s="24" t="inlineStr">
        <is>
          <t>市级(直辖市区级)财政出资</t>
        </is>
      </c>
    </row>
    <row r="1464">
      <c r="B1464" s="24" t="inlineStr">
        <is>
          <t>投资控股投资人背景</t>
        </is>
      </c>
      <c r="C1464" s="24" t="inlineStr">
        <is>
          <t>投资控股投资人背景</t>
        </is>
      </c>
      <c r="D1464" s="24" t="inlineStr">
        <is>
          <t>5</t>
        </is>
      </c>
      <c r="E1464" s="24" t="inlineStr">
        <is>
          <t>其他外商</t>
        </is>
      </c>
    </row>
    <row r="1465">
      <c r="B1465" s="24" t="inlineStr">
        <is>
          <t>投资控股投资人背景</t>
        </is>
      </c>
      <c r="C1465" s="24" t="inlineStr">
        <is>
          <t>投资控股投资人背景</t>
        </is>
      </c>
      <c r="D1465" s="24" t="inlineStr">
        <is>
          <t>6</t>
        </is>
      </c>
      <c r="E1465" s="24" t="inlineStr">
        <is>
          <t>上市公司</t>
        </is>
      </c>
    </row>
    <row r="1466">
      <c r="B1466" s="24" t="inlineStr">
        <is>
          <t>投资控股投资人背景</t>
        </is>
      </c>
      <c r="C1466" s="24" t="inlineStr">
        <is>
          <t>投资控股投资人背景</t>
        </is>
      </c>
      <c r="D1466" s="24" t="inlineStr">
        <is>
          <t>7</t>
        </is>
      </c>
      <c r="E1466" s="24" t="inlineStr">
        <is>
          <t>其他</t>
        </is>
      </c>
    </row>
    <row r="1467">
      <c r="B1467" s="24" t="inlineStr">
        <is>
          <t>投资控股投资人背景</t>
        </is>
      </c>
      <c r="C1467" s="24" t="inlineStr">
        <is>
          <t>投资控股投资人背景</t>
        </is>
      </c>
      <c r="D1467" s="24" t="inlineStr">
        <is>
          <t>8</t>
        </is>
      </c>
      <c r="E1467" s="24" t="inlineStr">
        <is>
          <t>全部由私人出资，股东人数小于等于4人，且净资产在500万以下</t>
        </is>
      </c>
    </row>
    <row r="1468" ht="15.95" customHeight="1" s="170">
      <c r="B1468" s="122" t="inlineStr">
        <is>
          <t>码值：竞争力</t>
        </is>
      </c>
    </row>
    <row r="1469">
      <c r="B1469" s="24" t="inlineStr">
        <is>
          <t>竞争力</t>
        </is>
      </c>
      <c r="C1469" s="24" t="inlineStr">
        <is>
          <t>竞争力</t>
        </is>
      </c>
      <c r="D1469" s="24" t="inlineStr">
        <is>
          <t>101</t>
        </is>
      </c>
      <c r="E1469" s="24" t="inlineStr">
        <is>
          <t>通用--客户获得所在行业最高等级的资质认证，近3年事业收入连年增长，业绩在同行业中处于领先地位</t>
        </is>
      </c>
    </row>
    <row r="1470">
      <c r="B1470" s="24" t="inlineStr">
        <is>
          <t>竞争力</t>
        </is>
      </c>
      <c r="C1470" s="24" t="inlineStr">
        <is>
          <t>竞争力</t>
        </is>
      </c>
      <c r="D1470" s="24" t="inlineStr">
        <is>
          <t>102</t>
        </is>
      </c>
      <c r="E1470" s="24" t="inlineStr">
        <is>
          <t>通用--客户在本省区认知接受程度很高，最近2年收入增长为正，业绩在同行业中处于上游</t>
        </is>
      </c>
    </row>
    <row r="1471">
      <c r="B1471" s="24" t="inlineStr">
        <is>
          <t>竞争力</t>
        </is>
      </c>
      <c r="C1471" s="24" t="inlineStr">
        <is>
          <t>竞争力</t>
        </is>
      </c>
      <c r="D1471" s="24" t="inlineStr">
        <is>
          <t>103</t>
        </is>
      </c>
      <c r="E1471" s="24" t="inlineStr">
        <is>
          <t>通用--客户在本地区内有一定知名度，去年的收入增长为正，业绩接近行业平均水平</t>
        </is>
      </c>
    </row>
    <row r="1472">
      <c r="B1472" s="24" t="inlineStr">
        <is>
          <t>竞争力</t>
        </is>
      </c>
      <c r="C1472" s="24" t="inlineStr">
        <is>
          <t>竞争力</t>
        </is>
      </c>
      <c r="D1472" s="24" t="inlineStr">
        <is>
          <t>104</t>
        </is>
      </c>
      <c r="E1472" s="24" t="inlineStr">
        <is>
          <t>通用--客户在本地区内没有知名度，去年为负，但此前为正，业绩明显低于行业平均水平</t>
        </is>
      </c>
    </row>
    <row r="1473">
      <c r="B1473" s="24" t="inlineStr">
        <is>
          <t>竞争力</t>
        </is>
      </c>
      <c r="C1473" s="24" t="inlineStr">
        <is>
          <t>竞争力</t>
        </is>
      </c>
      <c r="D1473" s="24" t="inlineStr">
        <is>
          <t>105</t>
        </is>
      </c>
      <c r="E1473" s="24" t="inlineStr">
        <is>
          <t>通用--客户事业收入连年下降，亏损严重</t>
        </is>
      </c>
    </row>
    <row r="1474">
      <c r="B1474" s="24" t="inlineStr">
        <is>
          <t>竞争力</t>
        </is>
      </c>
      <c r="C1474" s="24" t="inlineStr">
        <is>
          <t>竞争力</t>
        </is>
      </c>
      <c r="D1474" s="24" t="inlineStr">
        <is>
          <t>201</t>
        </is>
      </c>
      <c r="E1474" s="24" t="inlineStr">
        <is>
          <t>学校--211院校</t>
        </is>
      </c>
    </row>
    <row r="1475">
      <c r="B1475" s="24" t="inlineStr">
        <is>
          <t>竞争力</t>
        </is>
      </c>
      <c r="C1475" s="24" t="inlineStr">
        <is>
          <t>竞争力</t>
        </is>
      </c>
      <c r="D1475" s="24" t="inlineStr">
        <is>
          <t>202</t>
        </is>
      </c>
      <c r="E1475" s="24" t="inlineStr">
        <is>
          <t>学校--其他高等院校、高职以及省属重点中学</t>
        </is>
      </c>
    </row>
    <row r="1476">
      <c r="B1476" s="24" t="inlineStr">
        <is>
          <t>竞争力</t>
        </is>
      </c>
      <c r="C1476" s="24" t="inlineStr">
        <is>
          <t>竞争力</t>
        </is>
      </c>
      <c r="D1476" s="24" t="inlineStr">
        <is>
          <t>203</t>
        </is>
      </c>
      <c r="E1476" s="24" t="inlineStr">
        <is>
          <t>学校--市属重点中学</t>
        </is>
      </c>
    </row>
    <row r="1477">
      <c r="B1477" s="24" t="inlineStr">
        <is>
          <t>竞争力</t>
        </is>
      </c>
      <c r="C1477" s="24" t="inlineStr">
        <is>
          <t>竞争力</t>
        </is>
      </c>
      <c r="D1477" s="24" t="inlineStr">
        <is>
          <t>204</t>
        </is>
      </c>
      <c r="E1477" s="24" t="inlineStr">
        <is>
          <t>学校--市属重点小学</t>
        </is>
      </c>
    </row>
    <row r="1478">
      <c r="B1478" s="24" t="inlineStr">
        <is>
          <t>竞争力</t>
        </is>
      </c>
      <c r="C1478" s="24" t="inlineStr">
        <is>
          <t>竞争力</t>
        </is>
      </c>
      <c r="D1478" s="24" t="inlineStr">
        <is>
          <t>205</t>
        </is>
      </c>
      <c r="E1478" s="24" t="inlineStr">
        <is>
          <t>学校--其他院校</t>
        </is>
      </c>
    </row>
    <row r="1479">
      <c r="B1479" s="24" t="inlineStr">
        <is>
          <t>竞争力</t>
        </is>
      </c>
      <c r="C1479" s="24" t="inlineStr">
        <is>
          <t>竞争力</t>
        </is>
      </c>
      <c r="D1479" s="24" t="inlineStr">
        <is>
          <t>301</t>
        </is>
      </c>
      <c r="E1479" s="24" t="inlineStr">
        <is>
          <t>医院--三级特等或三级甲等</t>
        </is>
      </c>
    </row>
    <row r="1480">
      <c r="B1480" s="24" t="inlineStr">
        <is>
          <t>竞争力</t>
        </is>
      </c>
      <c r="C1480" s="24" t="inlineStr">
        <is>
          <t>竞争力</t>
        </is>
      </c>
      <c r="D1480" s="24" t="inlineStr">
        <is>
          <t>302</t>
        </is>
      </c>
      <c r="E1480" s="24" t="inlineStr">
        <is>
          <t>医院--三级乙等</t>
        </is>
      </c>
    </row>
    <row r="1481">
      <c r="B1481" s="24" t="inlineStr">
        <is>
          <t>竞争力</t>
        </is>
      </c>
      <c r="C1481" s="24" t="inlineStr">
        <is>
          <t>竞争力</t>
        </is>
      </c>
      <c r="D1481" s="24" t="inlineStr">
        <is>
          <t>303</t>
        </is>
      </c>
      <c r="E1481" s="24" t="inlineStr">
        <is>
          <t>医院--三级丙等</t>
        </is>
      </c>
    </row>
    <row r="1482">
      <c r="B1482" s="24" t="inlineStr">
        <is>
          <t>竞争力</t>
        </is>
      </c>
      <c r="C1482" s="24" t="inlineStr">
        <is>
          <t>竞争力</t>
        </is>
      </c>
      <c r="D1482" s="24" t="inlineStr">
        <is>
          <t>304</t>
        </is>
      </c>
      <c r="E1482" s="24" t="inlineStr">
        <is>
          <t>医院--二级甲等</t>
        </is>
      </c>
    </row>
    <row r="1483">
      <c r="B1483" s="24" t="inlineStr">
        <is>
          <t>竞争力</t>
        </is>
      </c>
      <c r="C1483" s="24" t="inlineStr">
        <is>
          <t>竞争力</t>
        </is>
      </c>
      <c r="D1483" s="24" t="inlineStr">
        <is>
          <t>305</t>
        </is>
      </c>
      <c r="E1483" s="24" t="inlineStr">
        <is>
          <t>医院--其他医院</t>
        </is>
      </c>
    </row>
    <row r="1484" ht="15.95" customHeight="1" s="170">
      <c r="B1484" s="122" t="inlineStr">
        <is>
          <t>码值：EvalMethod</t>
        </is>
      </c>
    </row>
    <row r="1485">
      <c r="B1485" s="24" t="inlineStr">
        <is>
          <t>EvalMethod</t>
        </is>
      </c>
      <c r="C1485" s="24" t="inlineStr">
        <is>
          <t>评估方法</t>
        </is>
      </c>
      <c r="D1485" s="24" t="inlineStr">
        <is>
          <t>01</t>
        </is>
      </c>
      <c r="E1485" s="24" t="inlineStr">
        <is>
          <t>成本法</t>
        </is>
      </c>
    </row>
    <row r="1486">
      <c r="B1486" s="24" t="inlineStr">
        <is>
          <t>EvalMethod</t>
        </is>
      </c>
      <c r="C1486" s="24" t="inlineStr">
        <is>
          <t>评估方法</t>
        </is>
      </c>
      <c r="D1486" s="24" t="inlineStr">
        <is>
          <t>02</t>
        </is>
      </c>
      <c r="E1486" s="24" t="inlineStr">
        <is>
          <t>市场法</t>
        </is>
      </c>
    </row>
    <row r="1487">
      <c r="B1487" s="24" t="inlineStr">
        <is>
          <t>EvalMethod</t>
        </is>
      </c>
      <c r="C1487" s="24" t="inlineStr">
        <is>
          <t>评估方法</t>
        </is>
      </c>
      <c r="D1487" s="24" t="inlineStr">
        <is>
          <t>03</t>
        </is>
      </c>
      <c r="E1487" s="24" t="inlineStr">
        <is>
          <t>收益法</t>
        </is>
      </c>
    </row>
    <row r="1488">
      <c r="B1488" s="24" t="inlineStr">
        <is>
          <t>EvalMethod</t>
        </is>
      </c>
      <c r="C1488" s="24" t="inlineStr">
        <is>
          <t>评估方法</t>
        </is>
      </c>
      <c r="D1488" s="24" t="inlineStr">
        <is>
          <t>04</t>
        </is>
      </c>
      <c r="E1488" s="24" t="inlineStr">
        <is>
          <t>面值法</t>
        </is>
      </c>
    </row>
    <row r="1489">
      <c r="B1489" s="24" t="inlineStr">
        <is>
          <t>EvalMethod</t>
        </is>
      </c>
      <c r="C1489" s="24" t="inlineStr">
        <is>
          <t>评估方法</t>
        </is>
      </c>
      <c r="D1489" s="24" t="inlineStr">
        <is>
          <t>05</t>
        </is>
      </c>
      <c r="E1489" s="24" t="inlineStr">
        <is>
          <t>市值法</t>
        </is>
      </c>
    </row>
    <row r="1490">
      <c r="B1490" s="24" t="inlineStr">
        <is>
          <t>EvalMethod</t>
        </is>
      </c>
      <c r="C1490" s="24" t="inlineStr">
        <is>
          <t>评估方法</t>
        </is>
      </c>
      <c r="D1490" s="24" t="inlineStr">
        <is>
          <t>06</t>
        </is>
      </c>
      <c r="E1490" s="24" t="inlineStr">
        <is>
          <t>清算价格法</t>
        </is>
      </c>
    </row>
    <row r="1491">
      <c r="B1491" s="24" t="inlineStr">
        <is>
          <t>EvalMethod</t>
        </is>
      </c>
      <c r="C1491" s="24" t="inlineStr">
        <is>
          <t>评估方法</t>
        </is>
      </c>
      <c r="D1491" s="24" t="inlineStr">
        <is>
          <t>07</t>
        </is>
      </c>
      <c r="E1491" s="24" t="inlineStr">
        <is>
          <t>审计每股净资产</t>
        </is>
      </c>
    </row>
    <row r="1492">
      <c r="B1492" s="24" t="inlineStr">
        <is>
          <t>EvalMethod</t>
        </is>
      </c>
      <c r="C1492" s="24" t="inlineStr">
        <is>
          <t>评估方法</t>
        </is>
      </c>
      <c r="D1492" s="24" t="inlineStr">
        <is>
          <t>08</t>
        </is>
      </c>
      <c r="E1492" s="24" t="inlineStr">
        <is>
          <t>市场法与收益法孰低</t>
        </is>
      </c>
    </row>
    <row r="1493">
      <c r="B1493" s="24" t="inlineStr">
        <is>
          <t>EvalMethod</t>
        </is>
      </c>
      <c r="C1493" s="24" t="inlineStr">
        <is>
          <t>评估方法</t>
        </is>
      </c>
      <c r="D1493" s="24" t="inlineStr">
        <is>
          <t>09</t>
        </is>
      </c>
      <c r="E1493" s="24" t="inlineStr">
        <is>
          <t>市场法与历史成本法孰低</t>
        </is>
      </c>
    </row>
    <row r="1494">
      <c r="B1494" s="24" t="inlineStr">
        <is>
          <t>EvalMethod</t>
        </is>
      </c>
      <c r="C1494" s="24" t="inlineStr">
        <is>
          <t>评估方法</t>
        </is>
      </c>
      <c r="D1494" s="24" t="inlineStr">
        <is>
          <t>10</t>
        </is>
      </c>
      <c r="E1494" s="24" t="inlineStr">
        <is>
          <t>历史成本法</t>
        </is>
      </c>
    </row>
    <row r="1495">
      <c r="B1495" s="24" t="inlineStr">
        <is>
          <t>EvalMethod</t>
        </is>
      </c>
      <c r="C1495" s="24" t="inlineStr">
        <is>
          <t>评估方法</t>
        </is>
      </c>
      <c r="D1495" s="24" t="inlineStr">
        <is>
          <t>11</t>
        </is>
      </c>
      <c r="E1495" s="24" t="inlineStr">
        <is>
          <t>面值法</t>
        </is>
      </c>
    </row>
    <row r="1496">
      <c r="B1496" s="24" t="inlineStr">
        <is>
          <t>EvalMethod</t>
        </is>
      </c>
      <c r="C1496" s="24" t="inlineStr">
        <is>
          <t>评估方法</t>
        </is>
      </c>
      <c r="D1496" s="24" t="inlineStr">
        <is>
          <t>12</t>
        </is>
      </c>
      <c r="E1496" s="24" t="inlineStr">
        <is>
          <t>市值法与历史成本法孰低</t>
        </is>
      </c>
    </row>
    <row r="1497">
      <c r="B1497" s="24" t="inlineStr">
        <is>
          <t>EvalMethod</t>
        </is>
      </c>
      <c r="C1497" s="24" t="inlineStr">
        <is>
          <t>评估方法</t>
        </is>
      </c>
      <c r="D1497" s="24" t="inlineStr">
        <is>
          <t>13</t>
        </is>
      </c>
      <c r="E1497" s="24" t="inlineStr">
        <is>
          <t>市场法与重置成本法孰低</t>
        </is>
      </c>
    </row>
    <row r="1498">
      <c r="B1498" s="24" t="inlineStr">
        <is>
          <t>EvalMethod</t>
        </is>
      </c>
      <c r="C1498" s="24" t="inlineStr">
        <is>
          <t>评估方法</t>
        </is>
      </c>
      <c r="D1498" s="24" t="inlineStr">
        <is>
          <t>14</t>
        </is>
      </c>
      <c r="E1498" s="24" t="inlineStr">
        <is>
          <t>历史成本法或收益法</t>
        </is>
      </c>
    </row>
    <row r="1499">
      <c r="B1499" s="24" t="inlineStr">
        <is>
          <t>EvalMethod</t>
        </is>
      </c>
      <c r="C1499" s="24" t="inlineStr">
        <is>
          <t>评估方法</t>
        </is>
      </c>
      <c r="D1499" s="24" t="inlineStr">
        <is>
          <t>15</t>
        </is>
      </c>
      <c r="E1499" s="24" t="inlineStr">
        <is>
          <t>面值法或收益法</t>
        </is>
      </c>
    </row>
    <row r="1500">
      <c r="B1500" s="24" t="inlineStr">
        <is>
          <t>EvalMethod</t>
        </is>
      </c>
      <c r="C1500" s="24" t="inlineStr">
        <is>
          <t>评估方法</t>
        </is>
      </c>
      <c r="D1500" s="24" t="inlineStr">
        <is>
          <t>16</t>
        </is>
      </c>
      <c r="E1500" s="24" t="inlineStr">
        <is>
          <t>适当方法</t>
        </is>
      </c>
    </row>
    <row r="1501" ht="15.95" customHeight="1" s="170">
      <c r="B1501" s="122" t="inlineStr">
        <is>
          <t>码值：ManagementStyle</t>
        </is>
      </c>
    </row>
    <row r="1502">
      <c r="B1502" s="24" t="inlineStr">
        <is>
          <t>ManagementStyle</t>
        </is>
      </c>
      <c r="C1502" s="24" t="inlineStr">
        <is>
          <t>信用等级评估统一导入</t>
        </is>
      </c>
      <c r="D1502" s="24" t="inlineStr">
        <is>
          <t>01</t>
        </is>
      </c>
      <c r="E1502" s="24" t="inlineStr">
        <is>
          <t>公司关注最低获利能力水平，能够从战略角度平衡安全性和盈利性，且公司能够平衡好各利益方的利益；相比同业，财务政策非常保守，杠杠水平较低，现金流充足。</t>
        </is>
      </c>
    </row>
    <row r="1503">
      <c r="B1503" s="24" t="inlineStr">
        <is>
          <t>ManagementStyle</t>
        </is>
      </c>
      <c r="C1503" s="24" t="inlineStr">
        <is>
          <t>信用等级评估统一导入</t>
        </is>
      </c>
      <c r="D1503" s="24" t="inlineStr">
        <is>
          <t>02</t>
        </is>
      </c>
      <c r="E1503" s="24" t="inlineStr">
        <is>
          <t>公司关注盈利，为了保持市场份额增长和公司正常扩张，甚至愿意在一定程度上牺牲盈利，但不会为此而破坏财务安全。较之同业，公司财务战略管理水平较高。杠杆率较行业水平更保守，现金流充足。</t>
        </is>
      </c>
    </row>
    <row r="1504">
      <c r="B1504" s="24" t="inlineStr">
        <is>
          <t>ManagementStyle</t>
        </is>
      </c>
      <c r="C1504" s="24" t="inlineStr">
        <is>
          <t>信用等级评估统一导入</t>
        </is>
      </c>
      <c r="D1504" s="24" t="inlineStr">
        <is>
          <t>03</t>
        </is>
      </c>
      <c r="E1504" s="24" t="inlineStr">
        <is>
          <t>公司主要关注盈利，同时兼顾市场份额增长和公司正常扩张，并且不会为此而破坏财务安全。较之同业，公司财务战略管理水平一般。杠杆率和产生现金流的能力一般。</t>
        </is>
      </c>
    </row>
    <row r="1505">
      <c r="B1505" s="24" t="inlineStr">
        <is>
          <t>ManagementStyle</t>
        </is>
      </c>
      <c r="C1505" s="24" t="inlineStr">
        <is>
          <t>信用等级评估统一导入</t>
        </is>
      </c>
      <c r="D1505" s="24" t="inlineStr">
        <is>
          <t>04</t>
        </is>
      </c>
      <c r="E1505" s="24" t="inlineStr">
        <is>
          <t>在追求公司市场份额增长或正常扩张的前提下，公司重点关注盈利，且愿意大幅牺牲财务安全性，但对公司流动性不构成威胁。财务战略管理水平低于市场标准，财务杠杆高于行业标准，产生现金流的能力有限。</t>
        </is>
      </c>
    </row>
    <row r="1506">
      <c r="B1506" s="24" t="inlineStr">
        <is>
          <t>ManagementStyle</t>
        </is>
      </c>
      <c r="C1506" s="24" t="inlineStr">
        <is>
          <t>信用等级评估统一导入</t>
        </is>
      </c>
      <c r="D1506" s="24" t="inlineStr">
        <is>
          <t>05</t>
        </is>
      </c>
      <c r="E1506" s="24" t="inlineStr">
        <is>
          <t>公司战略目标短期，过分关注盈利而忽视了市场份额增长或正常的业务扩张，面对挑战和机遇存在投机心理。</t>
        </is>
      </c>
    </row>
    <row r="1507" ht="15.95" customHeight="1" s="170">
      <c r="B1507" s="122" t="inlineStr">
        <is>
          <t>码值：GroupCreditType</t>
        </is>
      </c>
    </row>
    <row r="1508">
      <c r="B1508" s="24" t="inlineStr">
        <is>
          <t>GroupCreditType</t>
        </is>
      </c>
      <c r="C1508" s="24" t="inlineStr">
        <is>
          <t>集团类型</t>
        </is>
      </c>
      <c r="D1508" s="24" t="inlineStr">
        <is>
          <t>01</t>
        </is>
      </c>
      <c r="E1508" s="24" t="inlineStr">
        <is>
          <t>A类</t>
        </is>
      </c>
    </row>
    <row r="1509">
      <c r="B1509" s="24" t="inlineStr">
        <is>
          <t>GroupCreditType</t>
        </is>
      </c>
      <c r="C1509" s="24" t="inlineStr">
        <is>
          <t>集团类型</t>
        </is>
      </c>
      <c r="D1509" s="24" t="inlineStr">
        <is>
          <t>02</t>
        </is>
      </c>
      <c r="E1509" s="24" t="inlineStr">
        <is>
          <t>B类</t>
        </is>
      </c>
    </row>
    <row r="1510" ht="15.95" customHeight="1" s="170">
      <c r="B1510" s="122" t="inlineStr">
        <is>
          <t>码值：SaleStyle</t>
        </is>
      </c>
    </row>
    <row r="1511">
      <c r="B1511" s="24" t="inlineStr">
        <is>
          <t>SaleStyle</t>
        </is>
      </c>
      <c r="C1511" s="24" t="inlineStr">
        <is>
          <t>出售方式</t>
        </is>
      </c>
      <c r="D1511" s="24" t="inlineStr">
        <is>
          <t>01</t>
        </is>
      </c>
      <c r="E1511" s="24" t="inlineStr">
        <is>
          <t>拍卖</t>
        </is>
      </c>
    </row>
    <row r="1512">
      <c r="B1512" s="24" t="inlineStr">
        <is>
          <t>SaleStyle</t>
        </is>
      </c>
      <c r="C1512" s="24" t="inlineStr">
        <is>
          <t>出售方式</t>
        </is>
      </c>
      <c r="D1512" s="24" t="inlineStr">
        <is>
          <t>02</t>
        </is>
      </c>
      <c r="E1512" s="24" t="inlineStr">
        <is>
          <t>变卖</t>
        </is>
      </c>
    </row>
    <row r="1513" ht="15.95" customHeight="1" s="170">
      <c r="B1513" s="122" t="inlineStr">
        <is>
          <t>码值：RateModel</t>
        </is>
      </c>
    </row>
    <row r="1514">
      <c r="B1514" s="24" t="inlineStr">
        <is>
          <t>RateModel</t>
        </is>
      </c>
      <c r="C1514" s="24" t="inlineStr">
        <is>
          <t>利率模式</t>
        </is>
      </c>
      <c r="D1514" s="24" t="inlineStr">
        <is>
          <t>01</t>
        </is>
      </c>
      <c r="E1514" s="24" t="inlineStr">
        <is>
          <t>固定利率</t>
        </is>
      </c>
    </row>
    <row r="1515">
      <c r="B1515" s="24" t="inlineStr">
        <is>
          <t>RateModel</t>
        </is>
      </c>
      <c r="C1515" s="24" t="inlineStr">
        <is>
          <t>利率模式</t>
        </is>
      </c>
      <c r="D1515" s="24" t="inlineStr">
        <is>
          <t>02</t>
        </is>
      </c>
      <c r="E1515" s="24" t="inlineStr">
        <is>
          <t>浮动利率</t>
        </is>
      </c>
    </row>
    <row r="1516" ht="15.95" customHeight="1" s="170">
      <c r="B1516" s="122" t="inlineStr">
        <is>
          <t>码值：DECORATIONSTATUS</t>
        </is>
      </c>
    </row>
    <row r="1517">
      <c r="B1517" s="24" t="inlineStr">
        <is>
          <t>DECORATIONSTATUS</t>
        </is>
      </c>
      <c r="C1517" s="24" t="inlineStr">
        <is>
          <t>装修状况</t>
        </is>
      </c>
      <c r="D1517" s="24" t="inlineStr">
        <is>
          <t>01</t>
        </is>
      </c>
      <c r="E1517" s="24" t="inlineStr">
        <is>
          <t>精装</t>
        </is>
      </c>
    </row>
    <row r="1518">
      <c r="B1518" s="24" t="inlineStr">
        <is>
          <t>DECORATIONSTATUS</t>
        </is>
      </c>
      <c r="C1518" s="24" t="inlineStr">
        <is>
          <t>装修状况</t>
        </is>
      </c>
      <c r="D1518" s="24" t="inlineStr">
        <is>
          <t>02</t>
        </is>
      </c>
      <c r="E1518" s="24" t="inlineStr">
        <is>
          <t>简装</t>
        </is>
      </c>
    </row>
    <row r="1519">
      <c r="B1519" s="24" t="inlineStr">
        <is>
          <t>DECORATIONSTATUS</t>
        </is>
      </c>
      <c r="C1519" s="24" t="inlineStr">
        <is>
          <t>装修状况</t>
        </is>
      </c>
      <c r="D1519" s="24" t="inlineStr">
        <is>
          <t>03</t>
        </is>
      </c>
      <c r="E1519" s="24" t="inlineStr">
        <is>
          <t>毛坯</t>
        </is>
      </c>
    </row>
    <row r="1520" ht="15.95" customHeight="1" s="170">
      <c r="B1520" s="122" t="inlineStr">
        <is>
          <t>码值：LimitNewView</t>
        </is>
      </c>
    </row>
    <row r="1521">
      <c r="B1521" s="24" t="inlineStr">
        <is>
          <t>LimitNewView</t>
        </is>
      </c>
      <c r="C1521" s="24" t="inlineStr">
        <is>
          <t>公司单一授信额度</t>
        </is>
      </c>
      <c r="D1521" s="24" t="inlineStr">
        <is>
          <t>0010</t>
        </is>
      </c>
      <c r="E1521" s="24" t="inlineStr">
        <is>
          <t>基本信息</t>
        </is>
      </c>
    </row>
    <row r="1522">
      <c r="B1522" s="24" t="inlineStr">
        <is>
          <t>LimitNewView</t>
        </is>
      </c>
      <c r="C1522" s="24" t="inlineStr">
        <is>
          <t>公司单一授信额度</t>
        </is>
      </c>
      <c r="D1522" s="24" t="inlineStr">
        <is>
          <t>0020</t>
        </is>
      </c>
      <c r="E1522" s="24" t="inlineStr">
        <is>
          <t>融资方案</t>
        </is>
      </c>
    </row>
    <row r="1523">
      <c r="B1523" s="24" t="inlineStr">
        <is>
          <t>LimitNewView</t>
        </is>
      </c>
      <c r="C1523" s="24" t="inlineStr">
        <is>
          <t>公司单一授信额度</t>
        </is>
      </c>
      <c r="D1523" s="24" t="inlineStr">
        <is>
          <t>002010</t>
        </is>
      </c>
      <c r="E1523" s="24" t="inlineStr">
        <is>
          <t>综合授信额度</t>
        </is>
      </c>
    </row>
    <row r="1524">
      <c r="B1524" s="24" t="inlineStr">
        <is>
          <t>LimitNewView</t>
        </is>
      </c>
      <c r="C1524" s="24" t="inlineStr">
        <is>
          <t>公司单一授信额度</t>
        </is>
      </c>
      <c r="D1524" s="24" t="inlineStr">
        <is>
          <t>002020</t>
        </is>
      </c>
      <c r="E1524" s="24" t="inlineStr">
        <is>
          <t>专项额度</t>
        </is>
      </c>
    </row>
    <row r="1525">
      <c r="B1525" s="24" t="inlineStr">
        <is>
          <t>LimitNewView</t>
        </is>
      </c>
      <c r="C1525" s="24" t="inlineStr">
        <is>
          <t>公司单一授信额度</t>
        </is>
      </c>
      <c r="D1525" s="24" t="inlineStr">
        <is>
          <t>002030</t>
        </is>
      </c>
      <c r="E1525" s="24" t="inlineStr">
        <is>
          <t>低风险额度</t>
        </is>
      </c>
    </row>
    <row r="1526">
      <c r="B1526" s="24" t="inlineStr">
        <is>
          <t>LimitNewView</t>
        </is>
      </c>
      <c r="C1526" s="24" t="inlineStr">
        <is>
          <t>公司单一授信额度</t>
        </is>
      </c>
      <c r="D1526" s="24" t="inlineStr">
        <is>
          <t>002040</t>
        </is>
      </c>
      <c r="E1526" s="24" t="inlineStr">
        <is>
          <t>集团额度</t>
        </is>
      </c>
    </row>
    <row r="1527">
      <c r="B1527" s="24" t="inlineStr">
        <is>
          <t>LimitNewView</t>
        </is>
      </c>
      <c r="C1527" s="24" t="inlineStr">
        <is>
          <t>公司单一授信额度</t>
        </is>
      </c>
      <c r="D1527" s="24" t="inlineStr">
        <is>
          <t>0030</t>
        </is>
      </c>
      <c r="E1527" s="24" t="inlineStr">
        <is>
          <t>限额测算</t>
        </is>
      </c>
    </row>
    <row r="1528">
      <c r="B1528" s="24" t="inlineStr">
        <is>
          <t>LimitNewView</t>
        </is>
      </c>
      <c r="C1528" s="24" t="inlineStr">
        <is>
          <t>公司单一授信额度</t>
        </is>
      </c>
      <c r="D1528" s="24" t="inlineStr">
        <is>
          <t>0040</t>
        </is>
      </c>
      <c r="E1528" s="24" t="inlineStr">
        <is>
          <t>流动资金测算</t>
        </is>
      </c>
    </row>
    <row r="1529">
      <c r="B1529" s="24" t="inlineStr">
        <is>
          <t>LimitNewView</t>
        </is>
      </c>
      <c r="C1529" s="24" t="inlineStr">
        <is>
          <t>公司单一授信额度</t>
        </is>
      </c>
      <c r="D1529" s="24" t="inlineStr">
        <is>
          <t>0050</t>
        </is>
      </c>
      <c r="E1529" s="24" t="inlineStr">
        <is>
          <t>业务文档信息</t>
        </is>
      </c>
    </row>
    <row r="1530" ht="15.95" customHeight="1" s="170">
      <c r="B1530" s="122" t="inlineStr">
        <is>
          <t>码值：RealtyProjectType</t>
        </is>
      </c>
    </row>
    <row r="1531">
      <c r="B1531" s="24" t="inlineStr">
        <is>
          <t>RealtyProjectType</t>
        </is>
      </c>
      <c r="C1531" s="24" t="inlineStr">
        <is>
          <t>在建工程类型</t>
        </is>
      </c>
      <c r="D1531" s="24" t="inlineStr">
        <is>
          <t>01</t>
        </is>
      </c>
      <c r="E1531" s="24" t="inlineStr">
        <is>
          <t>商业用房地产</t>
        </is>
      </c>
    </row>
    <row r="1532">
      <c r="B1532" s="24" t="inlineStr">
        <is>
          <t>RealtyProjectType</t>
        </is>
      </c>
      <c r="C1532" s="24" t="inlineStr">
        <is>
          <t>在建工程类型</t>
        </is>
      </c>
      <c r="D1532" s="24" t="inlineStr">
        <is>
          <t>02</t>
        </is>
      </c>
      <c r="E1532" s="24" t="inlineStr">
        <is>
          <t>农业用房地产</t>
        </is>
      </c>
    </row>
    <row r="1533">
      <c r="B1533" s="24" t="inlineStr">
        <is>
          <t>RealtyProjectType</t>
        </is>
      </c>
      <c r="C1533" s="24" t="inlineStr">
        <is>
          <t>在建工程类型</t>
        </is>
      </c>
      <c r="D1533" s="24" t="inlineStr">
        <is>
          <t>03</t>
        </is>
      </c>
      <c r="E1533" s="24" t="inlineStr">
        <is>
          <t>工业用房地产</t>
        </is>
      </c>
    </row>
    <row r="1534">
      <c r="B1534" s="24" t="inlineStr">
        <is>
          <t>RealtyProjectType</t>
        </is>
      </c>
      <c r="C1534" s="24" t="inlineStr">
        <is>
          <t>在建工程类型</t>
        </is>
      </c>
      <c r="D1534" s="24" t="inlineStr">
        <is>
          <t>04</t>
        </is>
      </c>
      <c r="E1534" s="24" t="inlineStr">
        <is>
          <t>商住用房地产</t>
        </is>
      </c>
    </row>
    <row r="1535">
      <c r="B1535" s="24" t="inlineStr">
        <is>
          <t>RealtyProjectType</t>
        </is>
      </c>
      <c r="C1535" s="24" t="inlineStr">
        <is>
          <t>在建工程类型</t>
        </is>
      </c>
      <c r="D1535" s="24" t="inlineStr">
        <is>
          <t>05</t>
        </is>
      </c>
      <c r="E1535" s="24" t="inlineStr">
        <is>
          <t>综合类房地产</t>
        </is>
      </c>
    </row>
    <row r="1536">
      <c r="B1536" s="24" t="inlineStr">
        <is>
          <t>RealtyProjectType</t>
        </is>
      </c>
      <c r="C1536" s="24" t="inlineStr">
        <is>
          <t>在建工程类型</t>
        </is>
      </c>
      <c r="D1536" s="24" t="inlineStr">
        <is>
          <t>06</t>
        </is>
      </c>
      <c r="E1536" s="24" t="inlineStr">
        <is>
          <t>住宅</t>
        </is>
      </c>
    </row>
    <row r="1537">
      <c r="B1537" s="24" t="inlineStr">
        <is>
          <t>RealtyProjectType</t>
        </is>
      </c>
      <c r="C1537" s="24" t="inlineStr">
        <is>
          <t>在建工程类型</t>
        </is>
      </c>
      <c r="D1537" s="24" t="inlineStr">
        <is>
          <t>90</t>
        </is>
      </c>
      <c r="E1537" s="24" t="inlineStr">
        <is>
          <t>其他</t>
        </is>
      </c>
    </row>
    <row r="1538" ht="15.95" customHeight="1" s="170">
      <c r="B1538" s="122" t="inlineStr">
        <is>
          <t>码值：AssumptionOperator</t>
        </is>
      </c>
    </row>
    <row r="1539">
      <c r="B1539" s="24" t="inlineStr">
        <is>
          <t>AssumptionOperator</t>
        </is>
      </c>
      <c r="C1539" s="24" t="inlineStr">
        <is>
          <t>授权维度比较符</t>
        </is>
      </c>
      <c r="D1539" s="24" t="inlineStr">
        <is>
          <t>containsall</t>
        </is>
      </c>
      <c r="E1539" s="24" t="inlineStr">
        <is>
          <t>包含全部</t>
        </is>
      </c>
    </row>
    <row r="1540">
      <c r="B1540" s="24" t="inlineStr">
        <is>
          <t>AssumptionOperator</t>
        </is>
      </c>
      <c r="C1540" s="24" t="inlineStr">
        <is>
          <t>授权维度比较符</t>
        </is>
      </c>
      <c r="D1540" s="24" t="inlineStr">
        <is>
          <t>containsone</t>
        </is>
      </c>
      <c r="E1540" s="24" t="inlineStr">
        <is>
          <t>包含其一</t>
        </is>
      </c>
    </row>
    <row r="1541">
      <c r="B1541" s="24" t="inlineStr">
        <is>
          <t>AssumptionOperator</t>
        </is>
      </c>
      <c r="C1541" s="24" t="inlineStr">
        <is>
          <t>授权维度比较符</t>
        </is>
      </c>
      <c r="D1541" s="24" t="inlineStr">
        <is>
          <t>eq</t>
        </is>
      </c>
      <c r="E1541" s="24" t="inlineStr">
        <is>
          <t>等于</t>
        </is>
      </c>
    </row>
    <row r="1542">
      <c r="B1542" s="24" t="inlineStr">
        <is>
          <t>AssumptionOperator</t>
        </is>
      </c>
      <c r="C1542" s="24" t="inlineStr">
        <is>
          <t>授权维度比较符</t>
        </is>
      </c>
      <c r="D1542" s="24" t="inlineStr">
        <is>
          <t>gt</t>
        </is>
      </c>
      <c r="E1542" s="24" t="inlineStr">
        <is>
          <t>大于</t>
        </is>
      </c>
    </row>
    <row r="1543">
      <c r="B1543" s="24" t="inlineStr">
        <is>
          <t>AssumptionOperator</t>
        </is>
      </c>
      <c r="C1543" s="24" t="inlineStr">
        <is>
          <t>授权维度比较符</t>
        </is>
      </c>
      <c r="D1543" s="24" t="inlineStr">
        <is>
          <t>gteq</t>
        </is>
      </c>
      <c r="E1543" s="24" t="inlineStr">
        <is>
          <t>大于等于</t>
        </is>
      </c>
    </row>
    <row r="1544">
      <c r="B1544" s="24" t="inlineStr">
        <is>
          <t>AssumptionOperator</t>
        </is>
      </c>
      <c r="C1544" s="24" t="inlineStr">
        <is>
          <t>授权维度比较符</t>
        </is>
      </c>
      <c r="D1544" s="24" t="inlineStr">
        <is>
          <t>ignore</t>
        </is>
      </c>
      <c r="E1544" s="24" t="inlineStr">
        <is>
          <t>忽略</t>
        </is>
      </c>
    </row>
    <row r="1545">
      <c r="B1545" s="24" t="inlineStr">
        <is>
          <t>AssumptionOperator</t>
        </is>
      </c>
      <c r="C1545" s="24" t="inlineStr">
        <is>
          <t>授权维度比较符</t>
        </is>
      </c>
      <c r="D1545" s="24" t="inlineStr">
        <is>
          <t>in</t>
        </is>
      </c>
      <c r="E1545" s="24" t="inlineStr">
        <is>
          <t>在...其中</t>
        </is>
      </c>
    </row>
    <row r="1546">
      <c r="B1546" s="24" t="inlineStr">
        <is>
          <t>AssumptionOperator</t>
        </is>
      </c>
      <c r="C1546" s="24" t="inlineStr">
        <is>
          <t>授权维度比较符</t>
        </is>
      </c>
      <c r="D1546" s="24" t="inlineStr">
        <is>
          <t>likes</t>
        </is>
      </c>
      <c r="E1546" s="24" t="inlineStr">
        <is>
          <t>隶属于(like)</t>
        </is>
      </c>
    </row>
    <row r="1547">
      <c r="B1547" s="24" t="inlineStr">
        <is>
          <t>AssumptionOperator</t>
        </is>
      </c>
      <c r="C1547" s="24" t="inlineStr">
        <is>
          <t>授权维度比较符</t>
        </is>
      </c>
      <c r="D1547" s="24" t="inlineStr">
        <is>
          <t>limits</t>
        </is>
      </c>
      <c r="E1547" s="24" t="inlineStr">
        <is>
          <t>局限于</t>
        </is>
      </c>
    </row>
    <row r="1548">
      <c r="B1548" s="24" t="inlineStr">
        <is>
          <t>AssumptionOperator</t>
        </is>
      </c>
      <c r="C1548" s="24" t="inlineStr">
        <is>
          <t>授权维度比较符</t>
        </is>
      </c>
      <c r="D1548" s="24" t="inlineStr">
        <is>
          <t>lt</t>
        </is>
      </c>
      <c r="E1548" s="24" t="inlineStr">
        <is>
          <t>小于</t>
        </is>
      </c>
    </row>
    <row r="1549">
      <c r="B1549" s="24" t="inlineStr">
        <is>
          <t>AssumptionOperator</t>
        </is>
      </c>
      <c r="C1549" s="24" t="inlineStr">
        <is>
          <t>授权维度比较符</t>
        </is>
      </c>
      <c r="D1549" s="24" t="inlineStr">
        <is>
          <t>lteq</t>
        </is>
      </c>
      <c r="E1549" s="24" t="inlineStr">
        <is>
          <t>小于等于</t>
        </is>
      </c>
    </row>
    <row r="1550">
      <c r="B1550" s="24" t="inlineStr">
        <is>
          <t>AssumptionOperator</t>
        </is>
      </c>
      <c r="C1550" s="24" t="inlineStr">
        <is>
          <t>授权维度比较符</t>
        </is>
      </c>
      <c r="D1550" s="24" t="inlineStr">
        <is>
          <t>notcontains</t>
        </is>
      </c>
      <c r="E1550" s="24" t="inlineStr">
        <is>
          <t>不包含其一</t>
        </is>
      </c>
    </row>
    <row r="1551">
      <c r="B1551" s="24" t="inlineStr">
        <is>
          <t>AssumptionOperator</t>
        </is>
      </c>
      <c r="C1551" s="24" t="inlineStr">
        <is>
          <t>授权维度比较符</t>
        </is>
      </c>
      <c r="D1551" s="24" t="inlineStr">
        <is>
          <t>notcontainsAny</t>
        </is>
      </c>
      <c r="E1551" s="24" t="inlineStr">
        <is>
          <t>不包含所有</t>
        </is>
      </c>
    </row>
    <row r="1552">
      <c r="B1552" s="24" t="inlineStr">
        <is>
          <t>AssumptionOperator</t>
        </is>
      </c>
      <c r="C1552" s="24" t="inlineStr">
        <is>
          <t>授权维度比较符</t>
        </is>
      </c>
      <c r="D1552" s="24" t="inlineStr">
        <is>
          <t>noteq</t>
        </is>
      </c>
      <c r="E1552" s="24" t="inlineStr">
        <is>
          <t>不等于</t>
        </is>
      </c>
    </row>
    <row r="1553">
      <c r="B1553" s="24" t="inlineStr">
        <is>
          <t>AssumptionOperator</t>
        </is>
      </c>
      <c r="C1553" s="24" t="inlineStr">
        <is>
          <t>授权维度比较符</t>
        </is>
      </c>
      <c r="D1553" s="24" t="inlineStr">
        <is>
          <t>notin</t>
        </is>
      </c>
      <c r="E1553" s="24" t="inlineStr">
        <is>
          <t>不在...其中</t>
        </is>
      </c>
    </row>
    <row r="1554">
      <c r="B1554" s="24" t="inlineStr">
        <is>
          <t>AssumptionOperator</t>
        </is>
      </c>
      <c r="C1554" s="24" t="inlineStr">
        <is>
          <t>授权维度比较符</t>
        </is>
      </c>
      <c r="D1554" s="24" t="inlineStr">
        <is>
          <t>notlikes</t>
        </is>
      </c>
      <c r="E1554" s="24" t="inlineStr">
        <is>
          <t>不隶属于(not like)</t>
        </is>
      </c>
    </row>
    <row r="1555">
      <c r="B1555" s="24" t="inlineStr">
        <is>
          <t>AssumptionOperator</t>
        </is>
      </c>
      <c r="C1555" s="24" t="inlineStr">
        <is>
          <t>授权维度比较符</t>
        </is>
      </c>
      <c r="D1555" s="24" t="inlineStr">
        <is>
          <t>unlimits</t>
        </is>
      </c>
      <c r="E1555" s="24" t="inlineStr">
        <is>
          <t>不局限于</t>
        </is>
      </c>
    </row>
    <row r="1556" ht="15.95" customHeight="1" s="170">
      <c r="B1556" s="122" t="inlineStr">
        <is>
          <t>码值：ReportSituation</t>
        </is>
      </c>
    </row>
    <row r="1557">
      <c r="B1557" s="24" t="inlineStr">
        <is>
          <t>ReportSituation</t>
        </is>
      </c>
      <c r="C1557" s="24" t="inlineStr">
        <is>
          <t>信用等级评估统一导入</t>
        </is>
      </c>
      <c r="D1557" s="24" t="inlineStr">
        <is>
          <t>1</t>
        </is>
      </c>
      <c r="E1557" s="24" t="inlineStr">
        <is>
          <t>报表未经审计</t>
        </is>
      </c>
    </row>
    <row r="1558">
      <c r="B1558" s="24" t="inlineStr">
        <is>
          <t>ReportSituation</t>
        </is>
      </c>
      <c r="C1558" s="24" t="inlineStr">
        <is>
          <t>信用等级评估统一导入</t>
        </is>
      </c>
      <c r="D1558" s="24" t="inlineStr">
        <is>
          <t>2</t>
        </is>
      </c>
      <c r="E1558" s="24" t="inlineStr">
        <is>
          <t>审计后，持保留意见</t>
        </is>
      </c>
    </row>
    <row r="1559">
      <c r="B1559" s="24" t="inlineStr">
        <is>
          <t>ReportSituation</t>
        </is>
      </c>
      <c r="C1559" s="24" t="inlineStr">
        <is>
          <t>信用等级评估统一导入</t>
        </is>
      </c>
      <c r="D1559" s="24" t="inlineStr">
        <is>
          <t>3</t>
        </is>
      </c>
      <c r="E1559" s="24" t="inlineStr">
        <is>
          <t>审计后，否定或拒绝表示意见</t>
        </is>
      </c>
    </row>
    <row r="1560">
      <c r="B1560" s="24" t="inlineStr">
        <is>
          <t>ReportSituation</t>
        </is>
      </c>
      <c r="C1560" s="24" t="inlineStr">
        <is>
          <t>信用等级评估统一导入</t>
        </is>
      </c>
      <c r="D1560" s="24" t="inlineStr">
        <is>
          <t>4</t>
        </is>
      </c>
      <c r="E1560" s="24" t="inlineStr">
        <is>
          <t>其他</t>
        </is>
      </c>
    </row>
    <row r="1561" ht="15.95" customHeight="1" s="170">
      <c r="B1561" s="122" t="inlineStr">
        <is>
          <t>码值：DrawingType</t>
        </is>
      </c>
    </row>
    <row r="1562">
      <c r="B1562" s="24" t="inlineStr">
        <is>
          <t>DrawingType</t>
        </is>
      </c>
      <c r="C1562" s="24" t="inlineStr">
        <is>
          <t>提款方式</t>
        </is>
      </c>
      <c r="D1562" s="24" t="inlineStr">
        <is>
          <t>01</t>
        </is>
      </c>
      <c r="E1562" s="24" t="inlineStr">
        <is>
          <t>一次提款</t>
        </is>
      </c>
    </row>
    <row r="1563">
      <c r="B1563" s="24" t="inlineStr">
        <is>
          <t>DrawingType</t>
        </is>
      </c>
      <c r="C1563" s="24" t="inlineStr">
        <is>
          <t>提款方式</t>
        </is>
      </c>
      <c r="D1563" s="24" t="inlineStr">
        <is>
          <t>02</t>
        </is>
      </c>
      <c r="E1563" s="24" t="inlineStr">
        <is>
          <t>分次提款</t>
        </is>
      </c>
    </row>
    <row r="1564" ht="15.95" customHeight="1" s="170">
      <c r="B1564" s="122" t="inlineStr">
        <is>
          <t>码值：RateType</t>
        </is>
      </c>
    </row>
    <row r="1565">
      <c r="B1565" s="24" t="inlineStr">
        <is>
          <t>RateType</t>
        </is>
      </c>
      <c r="C1565" s="24" t="inlineStr">
        <is>
          <t>利率类型</t>
        </is>
      </c>
      <c r="D1565" s="24" t="inlineStr">
        <is>
          <t>01</t>
        </is>
      </c>
      <c r="E1565" s="24" t="inlineStr">
        <is>
          <t>贷款利率</t>
        </is>
      </c>
    </row>
    <row r="1566">
      <c r="B1566" s="24" t="inlineStr">
        <is>
          <t>RateType</t>
        </is>
      </c>
      <c r="C1566" s="24" t="inlineStr">
        <is>
          <t>利率类型</t>
        </is>
      </c>
      <c r="D1566" s="24" t="inlineStr">
        <is>
          <t>02</t>
        </is>
      </c>
      <c r="E1566" s="24" t="inlineStr">
        <is>
          <t>罚息利率</t>
        </is>
      </c>
    </row>
    <row r="1567">
      <c r="B1567" s="24" t="inlineStr">
        <is>
          <t>RateType</t>
        </is>
      </c>
      <c r="C1567" s="24" t="inlineStr">
        <is>
          <t>利率类型</t>
        </is>
      </c>
      <c r="D1567" s="24" t="inlineStr">
        <is>
          <t>AssetRate</t>
        </is>
      </c>
      <c r="E1567" s="24" t="inlineStr">
        <is>
          <t>总资产增长率</t>
        </is>
      </c>
    </row>
    <row r="1568">
      <c r="B1568" s="24" t="inlineStr">
        <is>
          <t>RateType</t>
        </is>
      </c>
      <c r="C1568" s="24" t="inlineStr">
        <is>
          <t>利率类型</t>
        </is>
      </c>
      <c r="D1568" s="24" t="inlineStr">
        <is>
          <t>IncomeRate</t>
        </is>
      </c>
      <c r="E1568" s="24" t="inlineStr">
        <is>
          <t>营业收入增长率</t>
        </is>
      </c>
    </row>
    <row r="1569">
      <c r="B1569" s="24" t="inlineStr">
        <is>
          <t>RateType</t>
        </is>
      </c>
      <c r="C1569" s="24" t="inlineStr">
        <is>
          <t>利率类型</t>
        </is>
      </c>
      <c r="D1569" s="24" t="inlineStr">
        <is>
          <t>RightsRate</t>
        </is>
      </c>
      <c r="E1569" s="24" t="inlineStr">
        <is>
          <t>股东权益增长率</t>
        </is>
      </c>
    </row>
    <row r="1570" ht="15.95" customHeight="1" s="170">
      <c r="B1570" s="122" t="inlineStr">
        <is>
          <t>码值：AccountAge</t>
        </is>
      </c>
    </row>
    <row r="1571">
      <c r="B1571" s="24" t="inlineStr">
        <is>
          <t>AccountAge</t>
        </is>
      </c>
      <c r="C1571" s="24" t="inlineStr">
        <is>
          <t>账龄</t>
        </is>
      </c>
      <c r="D1571" s="24" t="inlineStr">
        <is>
          <t>00</t>
        </is>
      </c>
      <c r="E1571" s="24" t="inlineStr">
        <is>
          <t>未到期</t>
        </is>
      </c>
    </row>
    <row r="1572">
      <c r="B1572" s="24" t="inlineStr">
        <is>
          <t>AccountAge</t>
        </is>
      </c>
      <c r="C1572" s="24" t="inlineStr">
        <is>
          <t>账龄</t>
        </is>
      </c>
      <c r="D1572" s="24" t="inlineStr">
        <is>
          <t>01</t>
        </is>
      </c>
      <c r="E1572" s="24" t="inlineStr">
        <is>
          <t>1年以内</t>
        </is>
      </c>
    </row>
    <row r="1573">
      <c r="B1573" s="24" t="inlineStr">
        <is>
          <t>AccountAge</t>
        </is>
      </c>
      <c r="C1573" s="24" t="inlineStr">
        <is>
          <t>账龄</t>
        </is>
      </c>
      <c r="D1573" s="24" t="inlineStr">
        <is>
          <t>02</t>
        </is>
      </c>
      <c r="E1573" s="24" t="inlineStr">
        <is>
          <t>1~2年</t>
        </is>
      </c>
    </row>
    <row r="1574">
      <c r="B1574" s="24" t="inlineStr">
        <is>
          <t>AccountAge</t>
        </is>
      </c>
      <c r="C1574" s="24" t="inlineStr">
        <is>
          <t>账龄</t>
        </is>
      </c>
      <c r="D1574" s="24" t="inlineStr">
        <is>
          <t>03</t>
        </is>
      </c>
      <c r="E1574" s="24" t="inlineStr">
        <is>
          <t>2~3年</t>
        </is>
      </c>
    </row>
    <row r="1575">
      <c r="B1575" s="24" t="inlineStr">
        <is>
          <t>AccountAge</t>
        </is>
      </c>
      <c r="C1575" s="24" t="inlineStr">
        <is>
          <t>账龄</t>
        </is>
      </c>
      <c r="D1575" s="24" t="inlineStr">
        <is>
          <t>04</t>
        </is>
      </c>
      <c r="E1575" s="24" t="inlineStr">
        <is>
          <t>3~5年</t>
        </is>
      </c>
    </row>
    <row r="1576">
      <c r="B1576" s="24" t="inlineStr">
        <is>
          <t>AccountAge</t>
        </is>
      </c>
      <c r="C1576" s="24" t="inlineStr">
        <is>
          <t>账龄</t>
        </is>
      </c>
      <c r="D1576" s="24" t="inlineStr">
        <is>
          <t>05</t>
        </is>
      </c>
      <c r="E1576" s="24" t="inlineStr">
        <is>
          <t>5年以上</t>
        </is>
      </c>
    </row>
    <row r="1577" ht="15.95" customHeight="1" s="170">
      <c r="B1577" s="122" t="inlineStr">
        <is>
          <t>码值：UniqueSuitScope</t>
        </is>
      </c>
    </row>
    <row r="1578">
      <c r="B1578" s="24" t="inlineStr">
        <is>
          <t>UniqueSuitScope</t>
        </is>
      </c>
      <c r="C1578" s="24" t="inlineStr">
        <is>
          <t>唯一性适用范围</t>
        </is>
      </c>
      <c r="D1578" s="24" t="inlineStr">
        <is>
          <t>01</t>
        </is>
      </c>
      <c r="E1578" s="24" t="inlineStr">
        <is>
          <t>全行</t>
        </is>
      </c>
    </row>
    <row r="1579">
      <c r="B1579" s="24" t="inlineStr">
        <is>
          <t>UniqueSuitScope</t>
        </is>
      </c>
      <c r="C1579" s="24" t="inlineStr">
        <is>
          <t>唯一性适用范围</t>
        </is>
      </c>
      <c r="D1579" s="24" t="inlineStr">
        <is>
          <t>02</t>
        </is>
      </c>
      <c r="E1579" s="24" t="inlineStr">
        <is>
          <t>分支行</t>
        </is>
      </c>
    </row>
    <row r="1580">
      <c r="B1580" s="24" t="inlineStr">
        <is>
          <t>UniqueSuitScope</t>
        </is>
      </c>
      <c r="C1580" s="24" t="inlineStr">
        <is>
          <t>唯一性适用范围</t>
        </is>
      </c>
      <c r="D1580" s="24" t="inlineStr">
        <is>
          <t>03</t>
        </is>
      </c>
      <c r="E1580" s="24" t="inlineStr">
        <is>
          <t>网点</t>
        </is>
      </c>
    </row>
    <row r="1581" ht="15.95" customHeight="1" s="170">
      <c r="B1581" s="122" t="inlineStr">
        <is>
          <t>码值：股权结构</t>
        </is>
      </c>
    </row>
    <row r="1582">
      <c r="B1582" s="24" t="inlineStr">
        <is>
          <t>股权结构</t>
        </is>
      </c>
      <c r="C1582" s="24" t="inlineStr">
        <is>
          <t>股权结构</t>
        </is>
      </c>
      <c r="D1582" s="24" t="inlineStr">
        <is>
          <t>01</t>
        </is>
      </c>
      <c r="E1582" s="24" t="inlineStr">
        <is>
          <t>国有独资</t>
        </is>
      </c>
    </row>
    <row r="1583">
      <c r="B1583" s="24" t="inlineStr">
        <is>
          <t>股权结构</t>
        </is>
      </c>
      <c r="C1583" s="24" t="inlineStr">
        <is>
          <t>股权结构</t>
        </is>
      </c>
      <c r="D1583" s="24" t="inlineStr">
        <is>
          <t>02</t>
        </is>
      </c>
      <c r="E1583" s="24" t="inlineStr">
        <is>
          <t>政府控股</t>
        </is>
      </c>
    </row>
    <row r="1584" ht="15.95" customHeight="1" s="170">
      <c r="B1584" s="122" t="inlineStr">
        <is>
          <t>码值：CorpusPayMethod1</t>
        </is>
      </c>
    </row>
    <row r="1585">
      <c r="B1585" s="24" t="inlineStr">
        <is>
          <t>CorpusPayMethod1</t>
        </is>
      </c>
      <c r="C1585" s="24" t="inlineStr">
        <is>
          <t>法人按揭还款方式</t>
        </is>
      </c>
      <c r="D1585" s="24" t="inlineStr">
        <is>
          <t>1</t>
        </is>
      </c>
      <c r="E1585" s="24" t="inlineStr">
        <is>
          <t>等额本息还款</t>
        </is>
      </c>
    </row>
    <row r="1586">
      <c r="B1586" s="24" t="inlineStr">
        <is>
          <t>CorpusPayMethod1</t>
        </is>
      </c>
      <c r="C1586" s="24" t="inlineStr">
        <is>
          <t>法人按揭还款方式</t>
        </is>
      </c>
      <c r="D1586" s="24" t="inlineStr">
        <is>
          <t>2</t>
        </is>
      </c>
      <c r="E1586" s="24" t="inlineStr">
        <is>
          <t>等额本金还款</t>
        </is>
      </c>
    </row>
    <row r="1587">
      <c r="B1587" s="24" t="inlineStr">
        <is>
          <t>CorpusPayMethod1</t>
        </is>
      </c>
      <c r="C1587" s="24" t="inlineStr">
        <is>
          <t>法人按揭还款方式</t>
        </is>
      </c>
      <c r="D1587" s="24" t="inlineStr">
        <is>
          <t>3</t>
        </is>
      </c>
      <c r="E1587" s="24" t="inlineStr">
        <is>
          <t>一次还本付息</t>
        </is>
      </c>
    </row>
    <row r="1588">
      <c r="B1588" s="24" t="inlineStr">
        <is>
          <t>CorpusPayMethod1</t>
        </is>
      </c>
      <c r="C1588" s="24" t="inlineStr">
        <is>
          <t>法人按揭还款方式</t>
        </is>
      </c>
      <c r="D1588" s="24" t="inlineStr">
        <is>
          <t>4</t>
        </is>
      </c>
      <c r="E1588" s="24" t="inlineStr">
        <is>
          <t>分次付息一次还本</t>
        </is>
      </c>
    </row>
    <row r="1589" ht="15.95" customHeight="1" s="170">
      <c r="B1589" s="122" t="inlineStr">
        <is>
          <t>码值：企业部门设置</t>
        </is>
      </c>
    </row>
    <row r="1590">
      <c r="B1590" s="24" t="inlineStr">
        <is>
          <t>企业部门设置</t>
        </is>
      </c>
      <c r="C1590" s="24" t="inlineStr">
        <is>
          <t>企业部门设置</t>
        </is>
      </c>
      <c r="D1590" s="24" t="inlineStr">
        <is>
          <t>1</t>
        </is>
      </c>
      <c r="E1590" s="24" t="inlineStr">
        <is>
          <t>齐全</t>
        </is>
      </c>
    </row>
    <row r="1591">
      <c r="B1591" s="24" t="inlineStr">
        <is>
          <t>企业部门设置</t>
        </is>
      </c>
      <c r="C1591" s="24" t="inlineStr">
        <is>
          <t>企业部门设置</t>
        </is>
      </c>
      <c r="D1591" s="24" t="inlineStr">
        <is>
          <t>2</t>
        </is>
      </c>
      <c r="E1591" s="24" t="inlineStr">
        <is>
          <t>一般</t>
        </is>
      </c>
    </row>
    <row r="1592">
      <c r="B1592" s="24" t="inlineStr">
        <is>
          <t>企业部门设置</t>
        </is>
      </c>
      <c r="C1592" s="24" t="inlineStr">
        <is>
          <t>企业部门设置</t>
        </is>
      </c>
      <c r="D1592" s="24" t="inlineStr">
        <is>
          <t>3</t>
        </is>
      </c>
      <c r="E1592" s="24" t="inlineStr">
        <is>
          <t>不齐全</t>
        </is>
      </c>
    </row>
    <row r="1593" ht="15.95" customHeight="1" s="170">
      <c r="B1593" s="122" t="inlineStr">
        <is>
          <t>码值：DemoSystemMain</t>
        </is>
      </c>
    </row>
    <row r="1594">
      <c r="B1594" s="24" t="inlineStr">
        <is>
          <t>DemoSystemMain</t>
        </is>
      </c>
      <c r="C1594" s="24" t="inlineStr">
        <is>
          <t>案例系统树图</t>
        </is>
      </c>
      <c r="D1594" s="24" t="inlineStr">
        <is>
          <t>0010</t>
        </is>
      </c>
      <c r="E1594" s="24" t="inlineStr">
        <is>
          <t>基础组件</t>
        </is>
      </c>
    </row>
    <row r="1595">
      <c r="B1595" s="24" t="inlineStr">
        <is>
          <t>DemoSystemMain</t>
        </is>
      </c>
      <c r="C1595" s="24" t="inlineStr">
        <is>
          <t>案例系统树图</t>
        </is>
      </c>
      <c r="D1595" s="24" t="inlineStr">
        <is>
          <t>00100010</t>
        </is>
      </c>
      <c r="E1595" s="24" t="inlineStr">
        <is>
          <t>List页面</t>
        </is>
      </c>
    </row>
    <row r="1596">
      <c r="B1596" s="24" t="inlineStr">
        <is>
          <t>DemoSystemMain</t>
        </is>
      </c>
      <c r="C1596" s="24" t="inlineStr">
        <is>
          <t>案例系统树图</t>
        </is>
      </c>
      <c r="D1596" s="24" t="inlineStr">
        <is>
          <t>001000100010</t>
        </is>
      </c>
      <c r="E1596" s="24" t="inlineStr">
        <is>
          <t>单选List页面</t>
        </is>
      </c>
    </row>
    <row r="1597">
      <c r="B1597" s="24" t="inlineStr">
        <is>
          <t>DemoSystemMain</t>
        </is>
      </c>
      <c r="C1597" s="24" t="inlineStr">
        <is>
          <t>案例系统树图</t>
        </is>
      </c>
      <c r="D1597" s="24" t="inlineStr">
        <is>
          <t>001000100020</t>
        </is>
      </c>
      <c r="E1597" s="24" t="inlineStr">
        <is>
          <t>多选List页面</t>
        </is>
      </c>
    </row>
    <row r="1598">
      <c r="B1598" s="24" t="inlineStr">
        <is>
          <t>DemoSystemMain</t>
        </is>
      </c>
      <c r="C1598" s="24" t="inlineStr">
        <is>
          <t>案例系统树图</t>
        </is>
      </c>
      <c r="D1598" s="24" t="inlineStr">
        <is>
          <t>001000100030</t>
        </is>
      </c>
      <c r="E1598" s="24" t="inlineStr">
        <is>
          <t>自定义服务List页面</t>
        </is>
      </c>
    </row>
    <row r="1599">
      <c r="B1599" s="24" t="inlineStr">
        <is>
          <t>DemoSystemMain</t>
        </is>
      </c>
      <c r="C1599" s="24" t="inlineStr">
        <is>
          <t>案例系统树图</t>
        </is>
      </c>
      <c r="D1599" s="24" t="inlineStr">
        <is>
          <t>001000100040</t>
        </is>
      </c>
      <c r="E1599" s="24" t="inlineStr">
        <is>
          <t>简单列表[不锁定表头和列]</t>
        </is>
      </c>
    </row>
    <row r="1600">
      <c r="B1600" s="24" t="inlineStr">
        <is>
          <t>DemoSystemMain</t>
        </is>
      </c>
      <c r="C1600" s="24" t="inlineStr">
        <is>
          <t>案例系统树图</t>
        </is>
      </c>
      <c r="D1600" s="24" t="inlineStr">
        <is>
          <t>001000100050</t>
        </is>
      </c>
      <c r="E1600" s="24" t="inlineStr">
        <is>
          <t>可编辑List页面</t>
        </is>
      </c>
    </row>
    <row r="1601">
      <c r="B1601" s="24" t="inlineStr">
        <is>
          <t>DemoSystemMain</t>
        </is>
      </c>
      <c r="C1601" s="24" t="inlineStr">
        <is>
          <t>案例系统树图</t>
        </is>
      </c>
      <c r="D1601" s="24" t="inlineStr">
        <is>
          <t>001000100060</t>
        </is>
      </c>
      <c r="E1601" s="24" t="inlineStr">
        <is>
          <t>列表汇总</t>
        </is>
      </c>
    </row>
    <row r="1602">
      <c r="B1602" s="24" t="inlineStr">
        <is>
          <t>DemoSystemMain</t>
        </is>
      </c>
      <c r="C1602" s="24" t="inlineStr">
        <is>
          <t>案例系统树图</t>
        </is>
      </c>
      <c r="D1602" s="24" t="inlineStr">
        <is>
          <t>001000100070</t>
        </is>
      </c>
      <c r="E1602" s="24" t="inlineStr">
        <is>
          <t>自定义列表样式</t>
        </is>
      </c>
    </row>
    <row r="1603">
      <c r="B1603" s="24" t="inlineStr">
        <is>
          <t>DemoSystemMain</t>
        </is>
      </c>
      <c r="C1603" s="24" t="inlineStr">
        <is>
          <t>案例系统树图</t>
        </is>
      </c>
      <c r="D1603" s="24" t="inlineStr">
        <is>
          <t>001000100080</t>
        </is>
      </c>
      <c r="E1603" s="24" t="inlineStr">
        <is>
          <t>自定义HTML事件</t>
        </is>
      </c>
    </row>
    <row r="1604">
      <c r="B1604" s="24" t="inlineStr">
        <is>
          <t>DemoSystemMain</t>
        </is>
      </c>
      <c r="C1604" s="24" t="inlineStr">
        <is>
          <t>案例系统树图</t>
        </is>
      </c>
      <c r="D1604" s="24" t="inlineStr">
        <is>
          <t>001000100090</t>
        </is>
      </c>
      <c r="E1604" s="24" t="inlineStr">
        <is>
          <t>自定义联动菜单</t>
        </is>
      </c>
    </row>
    <row r="1605">
      <c r="B1605" s="24" t="inlineStr">
        <is>
          <t>DemoSystemMain</t>
        </is>
      </c>
      <c r="C1605" s="24" t="inlineStr">
        <is>
          <t>案例系统树图</t>
        </is>
      </c>
      <c r="D1605" s="24" t="inlineStr">
        <is>
          <t>001000100100</t>
        </is>
      </c>
      <c r="E1605" s="24" t="inlineStr">
        <is>
          <t>每行放自定义按钮</t>
        </is>
      </c>
    </row>
    <row r="1606">
      <c r="B1606" s="24" t="inlineStr">
        <is>
          <t>DemoSystemMain</t>
        </is>
      </c>
      <c r="C1606" s="24" t="inlineStr">
        <is>
          <t>案例系统树图</t>
        </is>
      </c>
      <c r="D1606" s="24" t="inlineStr">
        <is>
          <t>001000100110</t>
        </is>
      </c>
      <c r="E1606" s="24" t="inlineStr">
        <is>
          <t>列表自定义过滤条件</t>
        </is>
      </c>
    </row>
    <row r="1607">
      <c r="B1607" s="24" t="inlineStr">
        <is>
          <t>DemoSystemMain</t>
        </is>
      </c>
      <c r="C1607" s="24" t="inlineStr">
        <is>
          <t>案例系统树图</t>
        </is>
      </c>
      <c r="D1607" s="24" t="inlineStr">
        <is>
          <t>001000100120</t>
        </is>
      </c>
      <c r="E1607" s="24" t="inlineStr">
        <is>
          <t>列表多选翻页</t>
        </is>
      </c>
    </row>
    <row r="1608">
      <c r="B1608" s="24" t="inlineStr">
        <is>
          <t>DemoSystemMain</t>
        </is>
      </c>
      <c r="C1608" s="24" t="inlineStr">
        <is>
          <t>案例系统树图</t>
        </is>
      </c>
      <c r="D1608" s="24" t="inlineStr">
        <is>
          <t>00100020</t>
        </is>
      </c>
      <c r="E1608" s="24" t="inlineStr">
        <is>
          <t>Info页面</t>
        </is>
      </c>
    </row>
    <row r="1609">
      <c r="B1609" s="24" t="inlineStr">
        <is>
          <t>DemoSystemMain</t>
        </is>
      </c>
      <c r="C1609" s="24" t="inlineStr">
        <is>
          <t>案例系统树图</t>
        </is>
      </c>
      <c r="D1609" s="24" t="inlineStr">
        <is>
          <t>001000200010</t>
        </is>
      </c>
      <c r="E1609" s="24" t="inlineStr">
        <is>
          <t>简单info页面</t>
        </is>
      </c>
    </row>
    <row r="1610">
      <c r="B1610" s="24" t="inlineStr">
        <is>
          <t>DemoSystemMain</t>
        </is>
      </c>
      <c r="C1610" s="24" t="inlineStr">
        <is>
          <t>案例系统树图</t>
        </is>
      </c>
      <c r="D1610" s="24" t="inlineStr">
        <is>
          <t>001000200020</t>
        </is>
      </c>
      <c r="E1610" s="24" t="inlineStr">
        <is>
          <t>自定义HTML事件</t>
        </is>
      </c>
    </row>
    <row r="1611">
      <c r="B1611" s="24" t="inlineStr">
        <is>
          <t>DemoSystemMain</t>
        </is>
      </c>
      <c r="C1611" s="24" t="inlineStr">
        <is>
          <t>案例系统树图</t>
        </is>
      </c>
      <c r="D1611" s="24" t="inlineStr">
        <is>
          <t>001000200030</t>
        </is>
      </c>
      <c r="E1611" s="24" t="inlineStr">
        <is>
          <t>界面分组</t>
        </is>
      </c>
    </row>
    <row r="1612">
      <c r="B1612" s="24" t="inlineStr">
        <is>
          <t>DemoSystemMain</t>
        </is>
      </c>
      <c r="C1612" s="24" t="inlineStr">
        <is>
          <t>案例系统树图</t>
        </is>
      </c>
      <c r="D1612" s="24" t="inlineStr">
        <is>
          <t>001000200040</t>
        </is>
      </c>
      <c r="E1612" s="24" t="inlineStr">
        <is>
          <t>特殊js脚本</t>
        </is>
      </c>
    </row>
    <row r="1613">
      <c r="B1613" s="24" t="inlineStr">
        <is>
          <t>DemoSystemMain</t>
        </is>
      </c>
      <c r="C1613" s="24" t="inlineStr">
        <is>
          <t>案例系统树图</t>
        </is>
      </c>
      <c r="D1613" s="24" t="inlineStr">
        <is>
          <t>001000200050</t>
        </is>
      </c>
      <c r="E1613" s="24" t="inlineStr">
        <is>
          <t>前后统一自定义校验</t>
        </is>
      </c>
    </row>
    <row r="1614">
      <c r="B1614" s="24" t="inlineStr">
        <is>
          <t>DemoSystemMain</t>
        </is>
      </c>
      <c r="C1614" s="24" t="inlineStr">
        <is>
          <t>案例系统树图</t>
        </is>
      </c>
      <c r="D1614" s="24" t="inlineStr">
        <is>
          <t>001000200060</t>
        </is>
      </c>
      <c r="E1614" s="24" t="inlineStr">
        <is>
          <t>自定义联动菜单</t>
        </is>
      </c>
    </row>
    <row r="1615">
      <c r="B1615" s="24" t="inlineStr">
        <is>
          <t>DemoSystemMain</t>
        </is>
      </c>
      <c r="C1615" s="24" t="inlineStr">
        <is>
          <t>案例系统树图</t>
        </is>
      </c>
      <c r="D1615" s="24" t="inlineStr">
        <is>
          <t>001000200070</t>
        </is>
      </c>
      <c r="E1615" s="24" t="inlineStr">
        <is>
          <t>复合页面</t>
        </is>
      </c>
    </row>
    <row r="1616">
      <c r="B1616" s="24" t="inlineStr">
        <is>
          <t>DemoSystemMain</t>
        </is>
      </c>
      <c r="C1616" s="24" t="inlineStr">
        <is>
          <t>案例系统树图</t>
        </is>
      </c>
      <c r="D1616" s="24" t="inlineStr">
        <is>
          <t>001000200080</t>
        </is>
      </c>
      <c r="E1616" s="24" t="inlineStr">
        <is>
          <t>12列模式Info</t>
        </is>
      </c>
    </row>
    <row r="1617">
      <c r="B1617" s="24" t="inlineStr">
        <is>
          <t>DemoSystemMain</t>
        </is>
      </c>
      <c r="C1617" s="24" t="inlineStr">
        <is>
          <t>案例系统树图</t>
        </is>
      </c>
      <c r="D1617" s="24" t="inlineStr">
        <is>
          <t>00100030</t>
        </is>
      </c>
      <c r="E1617" s="24" t="inlineStr">
        <is>
          <t>树图页面</t>
        </is>
      </c>
    </row>
    <row r="1618">
      <c r="B1618" s="24" t="inlineStr">
        <is>
          <t>DemoSystemMain</t>
        </is>
      </c>
      <c r="C1618" s="24" t="inlineStr">
        <is>
          <t>案例系统树图</t>
        </is>
      </c>
      <c r="D1618" s="24" t="inlineStr">
        <is>
          <t>001000300010</t>
        </is>
      </c>
      <c r="E1618" s="24" t="inlineStr">
        <is>
          <t>服务构造树图</t>
        </is>
      </c>
    </row>
    <row r="1619">
      <c r="B1619" s="24" t="inlineStr">
        <is>
          <t>DemoSystemMain</t>
        </is>
      </c>
      <c r="C1619" s="24" t="inlineStr">
        <is>
          <t>案例系统树图</t>
        </is>
      </c>
      <c r="D1619" s="24" t="inlineStr">
        <is>
          <t>001000300020</t>
        </is>
      </c>
      <c r="E1619" s="24" t="inlineStr">
        <is>
          <t>代码表生成树图</t>
        </is>
      </c>
    </row>
    <row r="1620">
      <c r="B1620" s="24" t="inlineStr">
        <is>
          <t>DemoSystemMain</t>
        </is>
      </c>
      <c r="C1620" s="24" t="inlineStr">
        <is>
          <t>案例系统树图</t>
        </is>
      </c>
      <c r="D1620" s="24" t="inlineStr">
        <is>
          <t>001000300030</t>
        </is>
      </c>
      <c r="E1620" s="24" t="inlineStr">
        <is>
          <t>页面构造树图</t>
        </is>
      </c>
    </row>
    <row r="1621">
      <c r="B1621" s="24" t="inlineStr">
        <is>
          <t>DemoSystemMain</t>
        </is>
      </c>
      <c r="C1621" s="24" t="inlineStr">
        <is>
          <t>案例系统树图</t>
        </is>
      </c>
      <c r="D1621" s="24" t="inlineStr">
        <is>
          <t>00100040</t>
        </is>
      </c>
      <c r="E1621" s="24" t="inlineStr">
        <is>
          <t>Tab页面</t>
        </is>
      </c>
    </row>
    <row r="1622">
      <c r="B1622" s="24" t="inlineStr">
        <is>
          <t>DemoSystemMain</t>
        </is>
      </c>
      <c r="C1622" s="24" t="inlineStr">
        <is>
          <t>案例系统树图</t>
        </is>
      </c>
      <c r="D1622" s="24" t="inlineStr">
        <is>
          <t>00100050</t>
        </is>
      </c>
      <c r="E1622" s="24" t="inlineStr">
        <is>
          <t>Strip页面</t>
        </is>
      </c>
    </row>
    <row r="1623">
      <c r="B1623" s="24" t="inlineStr">
        <is>
          <t>DemoSystemMain</t>
        </is>
      </c>
      <c r="C1623" s="24" t="inlineStr">
        <is>
          <t>案例系统树图</t>
        </is>
      </c>
      <c r="D1623" s="24" t="inlineStr">
        <is>
          <t>00100060</t>
        </is>
      </c>
      <c r="E1623" s="24" t="inlineStr">
        <is>
          <t>联动页面</t>
        </is>
      </c>
    </row>
    <row r="1624">
      <c r="B1624" s="24" t="inlineStr">
        <is>
          <t>DemoSystemMain</t>
        </is>
      </c>
      <c r="C1624" s="24" t="inlineStr">
        <is>
          <t>案例系统树图</t>
        </is>
      </c>
      <c r="D1624" s="24" t="inlineStr">
        <is>
          <t>001000600010</t>
        </is>
      </c>
      <c r="E1624" s="24" t="inlineStr">
        <is>
          <t>上下联动</t>
        </is>
      </c>
    </row>
    <row r="1625">
      <c r="B1625" s="24" t="inlineStr">
        <is>
          <t>DemoSystemMain</t>
        </is>
      </c>
      <c r="C1625" s="24" t="inlineStr">
        <is>
          <t>案例系统树图</t>
        </is>
      </c>
      <c r="D1625" s="24" t="inlineStr">
        <is>
          <t>001000600020</t>
        </is>
      </c>
      <c r="E1625" s="24" t="inlineStr">
        <is>
          <t>左右联动</t>
        </is>
      </c>
    </row>
    <row r="1626">
      <c r="B1626" s="24" t="inlineStr">
        <is>
          <t>DemoSystemMain</t>
        </is>
      </c>
      <c r="C1626" s="24" t="inlineStr">
        <is>
          <t>案例系统树图</t>
        </is>
      </c>
      <c r="D1626" s="24" t="inlineStr">
        <is>
          <t>001000600030</t>
        </is>
      </c>
      <c r="E1626" s="24" t="inlineStr">
        <is>
          <t>上下区域</t>
        </is>
      </c>
    </row>
    <row r="1627">
      <c r="B1627" s="24" t="inlineStr">
        <is>
          <t>DemoSystemMain</t>
        </is>
      </c>
      <c r="C1627" s="24" t="inlineStr">
        <is>
          <t>案例系统树图</t>
        </is>
      </c>
      <c r="D1627" s="24" t="inlineStr">
        <is>
          <t>001000600040</t>
        </is>
      </c>
      <c r="E1627" s="24" t="inlineStr">
        <is>
          <t>左右区域</t>
        </is>
      </c>
    </row>
    <row r="1628">
      <c r="B1628" s="24" t="inlineStr">
        <is>
          <t>DemoSystemMain</t>
        </is>
      </c>
      <c r="C1628" s="24" t="inlineStr">
        <is>
          <t>案例系统树图</t>
        </is>
      </c>
      <c r="D1628" s="24" t="inlineStr">
        <is>
          <t>00100070</t>
        </is>
      </c>
      <c r="E1628" s="24" t="inlineStr">
        <is>
          <t>按钮</t>
        </is>
      </c>
    </row>
    <row r="1629">
      <c r="B1629" s="24" t="inlineStr">
        <is>
          <t>DemoSystemMain</t>
        </is>
      </c>
      <c r="C1629" s="24" t="inlineStr">
        <is>
          <t>案例系统树图</t>
        </is>
      </c>
      <c r="D1629" s="24" t="inlineStr">
        <is>
          <t>00100080</t>
        </is>
      </c>
      <c r="E1629" s="24" t="inlineStr">
        <is>
          <t>日历选择</t>
        </is>
      </c>
    </row>
    <row r="1630">
      <c r="B1630" s="24" t="inlineStr">
        <is>
          <t>DemoSystemMain</t>
        </is>
      </c>
      <c r="C1630" s="24" t="inlineStr">
        <is>
          <t>案例系统树图</t>
        </is>
      </c>
      <c r="D1630" s="24" t="inlineStr">
        <is>
          <t>00100090</t>
        </is>
      </c>
      <c r="E1630" s="24" t="inlineStr">
        <is>
          <t>向导组件</t>
        </is>
      </c>
    </row>
    <row r="1631">
      <c r="B1631" s="24" t="inlineStr">
        <is>
          <t>DemoSystemMain</t>
        </is>
      </c>
      <c r="C1631" s="24" t="inlineStr">
        <is>
          <t>案例系统树图</t>
        </is>
      </c>
      <c r="D1631" s="24" t="inlineStr">
        <is>
          <t>0020</t>
        </is>
      </c>
      <c r="E1631" s="24" t="inlineStr">
        <is>
          <t>外部组件</t>
        </is>
      </c>
    </row>
    <row r="1632">
      <c r="B1632" s="24" t="inlineStr">
        <is>
          <t>DemoSystemMain</t>
        </is>
      </c>
      <c r="C1632" s="24" t="inlineStr">
        <is>
          <t>案例系统树图</t>
        </is>
      </c>
      <c r="D1632" s="24" t="inlineStr">
        <is>
          <t>00200010</t>
        </is>
      </c>
      <c r="E1632" s="24" t="inlineStr">
        <is>
          <t>Echarts</t>
        </is>
      </c>
    </row>
    <row r="1633">
      <c r="B1633" s="24" t="inlineStr">
        <is>
          <t>DemoSystemMain</t>
        </is>
      </c>
      <c r="C1633" s="24" t="inlineStr">
        <is>
          <t>案例系统树图</t>
        </is>
      </c>
      <c r="D1633" s="24" t="inlineStr">
        <is>
          <t>002000100010</t>
        </is>
      </c>
      <c r="E1633" s="24" t="inlineStr">
        <is>
          <t>标准柱状图</t>
        </is>
      </c>
    </row>
    <row r="1634">
      <c r="B1634" s="24" t="inlineStr">
        <is>
          <t>DemoSystemMain</t>
        </is>
      </c>
      <c r="C1634" s="24" t="inlineStr">
        <is>
          <t>案例系统树图</t>
        </is>
      </c>
      <c r="D1634" s="24" t="inlineStr">
        <is>
          <t>002000100020</t>
        </is>
      </c>
      <c r="E1634" s="24" t="inlineStr">
        <is>
          <t>堆积柱状图</t>
        </is>
      </c>
    </row>
    <row r="1635">
      <c r="B1635" s="24" t="inlineStr">
        <is>
          <t>DemoSystemMain</t>
        </is>
      </c>
      <c r="C1635" s="24" t="inlineStr">
        <is>
          <t>案例系统树图</t>
        </is>
      </c>
      <c r="D1635" s="24" t="inlineStr">
        <is>
          <t>002000100030</t>
        </is>
      </c>
      <c r="E1635" s="24" t="inlineStr">
        <is>
          <t>标准条形图</t>
        </is>
      </c>
    </row>
    <row r="1636">
      <c r="B1636" s="24" t="inlineStr">
        <is>
          <t>DemoSystemMain</t>
        </is>
      </c>
      <c r="C1636" s="24" t="inlineStr">
        <is>
          <t>案例系统树图</t>
        </is>
      </c>
      <c r="D1636" s="24" t="inlineStr">
        <is>
          <t>002000100040</t>
        </is>
      </c>
      <c r="E1636" s="24" t="inlineStr">
        <is>
          <t>旋风条形图</t>
        </is>
      </c>
    </row>
    <row r="1637">
      <c r="B1637" s="24" t="inlineStr">
        <is>
          <t>DemoSystemMain</t>
        </is>
      </c>
      <c r="C1637" s="24" t="inlineStr">
        <is>
          <t>案例系统树图</t>
        </is>
      </c>
      <c r="D1637" s="24" t="inlineStr">
        <is>
          <t>002000100050</t>
        </is>
      </c>
      <c r="E1637" s="24" t="inlineStr">
        <is>
          <t>标准折线图</t>
        </is>
      </c>
    </row>
    <row r="1638">
      <c r="B1638" s="24" t="inlineStr">
        <is>
          <t>DemoSystemMain</t>
        </is>
      </c>
      <c r="C1638" s="24" t="inlineStr">
        <is>
          <t>案例系统树图</t>
        </is>
      </c>
      <c r="D1638" s="24" t="inlineStr">
        <is>
          <t>002000100060</t>
        </is>
      </c>
      <c r="E1638" s="24" t="inlineStr">
        <is>
          <t>标准面积图</t>
        </is>
      </c>
    </row>
    <row r="1639">
      <c r="B1639" s="24" t="inlineStr">
        <is>
          <t>DemoSystemMain</t>
        </is>
      </c>
      <c r="C1639" s="24" t="inlineStr">
        <is>
          <t>案例系统树图</t>
        </is>
      </c>
      <c r="D1639" s="24" t="inlineStr">
        <is>
          <t>002000100070</t>
        </is>
      </c>
      <c r="E1639" s="24" t="inlineStr">
        <is>
          <t>标准饼图</t>
        </is>
      </c>
    </row>
    <row r="1640">
      <c r="B1640" s="24" t="inlineStr">
        <is>
          <t>DemoSystemMain</t>
        </is>
      </c>
      <c r="C1640" s="24" t="inlineStr">
        <is>
          <t>案例系统树图</t>
        </is>
      </c>
      <c r="D1640" s="24" t="inlineStr">
        <is>
          <t>00200020</t>
        </is>
      </c>
      <c r="E1640" s="24" t="inlineStr">
        <is>
          <t>jsp导出word</t>
        </is>
      </c>
    </row>
    <row r="1641">
      <c r="B1641" s="24" t="inlineStr">
        <is>
          <t>DemoSystemMain</t>
        </is>
      </c>
      <c r="C1641" s="24" t="inlineStr">
        <is>
          <t>案例系统树图</t>
        </is>
      </c>
      <c r="D1641" s="24" t="inlineStr">
        <is>
          <t>0030</t>
        </is>
      </c>
      <c r="E1641" s="24" t="inlineStr">
        <is>
          <t>自定义服务DEMO</t>
        </is>
      </c>
    </row>
    <row r="1642">
      <c r="B1642" s="24" t="inlineStr">
        <is>
          <t>DemoSystemMain</t>
        </is>
      </c>
      <c r="C1642" s="24" t="inlineStr">
        <is>
          <t>案例系统树图</t>
        </is>
      </c>
      <c r="D1642" s="24" t="inlineStr">
        <is>
          <t>00300010</t>
        </is>
      </c>
      <c r="E1642" s="24" t="inlineStr">
        <is>
          <t>自定义服务排序DEMO</t>
        </is>
      </c>
    </row>
    <row r="1643" ht="15.95" customHeight="1" s="170">
      <c r="B1643" s="122" t="inlineStr">
        <is>
          <t>码值：Projectkind</t>
        </is>
      </c>
    </row>
    <row r="1644">
      <c r="B1644" s="24" t="inlineStr">
        <is>
          <t>Projectkind</t>
        </is>
      </c>
      <c r="C1644" s="24" t="inlineStr">
        <is>
          <t>项目性质</t>
        </is>
      </c>
      <c r="D1644" s="24" t="inlineStr">
        <is>
          <t>01</t>
        </is>
      </c>
      <c r="E1644" s="24" t="inlineStr">
        <is>
          <t>新建</t>
        </is>
      </c>
    </row>
    <row r="1645">
      <c r="B1645" s="24" t="inlineStr">
        <is>
          <t>Projectkind</t>
        </is>
      </c>
      <c r="C1645" s="24" t="inlineStr">
        <is>
          <t>项目性质</t>
        </is>
      </c>
      <c r="D1645" s="24" t="inlineStr">
        <is>
          <t>02</t>
        </is>
      </c>
      <c r="E1645" s="24" t="inlineStr">
        <is>
          <t>扩建</t>
        </is>
      </c>
    </row>
    <row r="1646">
      <c r="B1646" s="24" t="inlineStr">
        <is>
          <t>Projectkind</t>
        </is>
      </c>
      <c r="C1646" s="24" t="inlineStr">
        <is>
          <t>项目性质</t>
        </is>
      </c>
      <c r="D1646" s="24" t="inlineStr">
        <is>
          <t>03</t>
        </is>
      </c>
      <c r="E1646" s="24" t="inlineStr">
        <is>
          <t>改建</t>
        </is>
      </c>
    </row>
    <row r="1647">
      <c r="B1647" s="24" t="inlineStr">
        <is>
          <t>Projectkind</t>
        </is>
      </c>
      <c r="C1647" s="24" t="inlineStr">
        <is>
          <t>项目性质</t>
        </is>
      </c>
      <c r="D1647" s="24" t="inlineStr">
        <is>
          <t>04</t>
        </is>
      </c>
      <c r="E1647" s="24" t="inlineStr">
        <is>
          <t>恢复</t>
        </is>
      </c>
    </row>
    <row r="1648">
      <c r="B1648" s="24" t="inlineStr">
        <is>
          <t>Projectkind</t>
        </is>
      </c>
      <c r="C1648" s="24" t="inlineStr">
        <is>
          <t>项目性质</t>
        </is>
      </c>
      <c r="D1648" s="24" t="inlineStr">
        <is>
          <t>05</t>
        </is>
      </c>
      <c r="E1648" s="24" t="inlineStr">
        <is>
          <t>重建</t>
        </is>
      </c>
    </row>
    <row r="1649" ht="15.95" customHeight="1" s="170">
      <c r="B1649" s="122" t="inlineStr">
        <is>
          <t>码值：ClassifyApproveMain</t>
        </is>
      </c>
    </row>
    <row r="1650">
      <c r="B1650" s="24" t="inlineStr">
        <is>
          <t>ClassifyApproveMain</t>
        </is>
      </c>
      <c r="C1650" s="24" t="inlineStr">
        <is>
          <t>五级分类审批树图</t>
        </is>
      </c>
      <c r="D1650" s="24" t="inlineStr">
        <is>
          <t>N</t>
        </is>
      </c>
      <c r="E1650" s="24" t="inlineStr">
        <is>
          <t>当前工作</t>
        </is>
      </c>
    </row>
    <row r="1651">
      <c r="B1651" s="24" t="inlineStr">
        <is>
          <t>ClassifyApproveMain</t>
        </is>
      </c>
      <c r="C1651" s="24" t="inlineStr">
        <is>
          <t>五级分类审批树图</t>
        </is>
      </c>
      <c r="D1651" s="24" t="inlineStr">
        <is>
          <t>Y</t>
        </is>
      </c>
      <c r="E1651" s="24" t="inlineStr">
        <is>
          <t>已完成工作</t>
        </is>
      </c>
    </row>
    <row r="1652">
      <c r="B1652" s="24" t="inlineStr">
        <is>
          <t>ClassifyApproveMain</t>
        </is>
      </c>
      <c r="C1652" s="24" t="inlineStr">
        <is>
          <t>五级分类审批树图</t>
        </is>
      </c>
      <c r="D1652" s="24" t="inlineStr">
        <is>
          <t>当前工作/已完成工作</t>
        </is>
      </c>
      <c r="E1652" s="24" t="inlineStr">
        <is>
          <t>阶段名称</t>
        </is>
      </c>
    </row>
    <row r="1653" ht="15.95" customHeight="1" s="170">
      <c r="B1653" s="122" t="inlineStr">
        <is>
          <t>码值：FlowCatalogView</t>
        </is>
      </c>
    </row>
    <row r="1654">
      <c r="B1654" s="24" t="inlineStr">
        <is>
          <t>FlowCatalogView</t>
        </is>
      </c>
      <c r="C1654" s="24" t="inlineStr">
        <is>
          <t>流程记录视图</t>
        </is>
      </c>
      <c r="D1654" s="24" t="inlineStr">
        <is>
          <t>0010</t>
        </is>
      </c>
      <c r="E1654" s="24" t="inlineStr">
        <is>
          <t>基本信息</t>
        </is>
      </c>
    </row>
    <row r="1655">
      <c r="B1655" s="24" t="inlineStr">
        <is>
          <t>FlowCatalogView</t>
        </is>
      </c>
      <c r="C1655" s="24" t="inlineStr">
        <is>
          <t>流程记录视图</t>
        </is>
      </c>
      <c r="D1655" s="24" t="inlineStr">
        <is>
          <t>0020</t>
        </is>
      </c>
      <c r="E1655" s="24" t="inlineStr">
        <is>
          <t>流程模型列表</t>
        </is>
      </c>
    </row>
    <row r="1656" ht="15.95" customHeight="1" s="170">
      <c r="B1656" s="122" t="inlineStr">
        <is>
          <t>码值：RightModifyMain</t>
        </is>
      </c>
    </row>
    <row r="1657">
      <c r="B1657" s="24" t="inlineStr">
        <is>
          <t>RightModifyMain</t>
        </is>
      </c>
      <c r="C1657" s="24" t="inlineStr">
        <is>
          <t>客户管户权管理主页面</t>
        </is>
      </c>
      <c r="D1657" s="24" t="inlineStr">
        <is>
          <t>01</t>
        </is>
      </c>
      <c r="E1657" s="24" t="inlineStr">
        <is>
          <t>待处理的申请</t>
        </is>
      </c>
    </row>
    <row r="1658">
      <c r="B1658" s="24" t="inlineStr">
        <is>
          <t>RightModifyMain</t>
        </is>
      </c>
      <c r="C1658" s="24" t="inlineStr">
        <is>
          <t>客户管户权管理主页面</t>
        </is>
      </c>
      <c r="D1658" s="24" t="inlineStr">
        <is>
          <t>02</t>
        </is>
      </c>
      <c r="E1658" s="24" t="inlineStr">
        <is>
          <t>客户管户操作</t>
        </is>
      </c>
    </row>
    <row r="1659" ht="15.95" customHeight="1" s="170">
      <c r="B1659" s="122" t="inlineStr">
        <is>
          <t>码值：SingleRiskReserveMain</t>
        </is>
      </c>
    </row>
    <row r="1660">
      <c r="B1660" s="24" t="inlineStr">
        <is>
          <t>SingleRiskReserveMain</t>
        </is>
      </c>
      <c r="C1660" s="24" t="inlineStr">
        <is>
          <t>单项减值计提申请</t>
        </is>
      </c>
      <c r="D1660" s="24" t="inlineStr">
        <is>
          <t>1010</t>
        </is>
      </c>
      <c r="E1660" s="24" t="inlineStr">
        <is>
          <t>待处理</t>
        </is>
      </c>
    </row>
    <row r="1661">
      <c r="B1661" s="24" t="inlineStr">
        <is>
          <t>SingleRiskReserveMain</t>
        </is>
      </c>
      <c r="C1661" s="24" t="inlineStr">
        <is>
          <t>单项减值计提申请</t>
        </is>
      </c>
      <c r="D1661" s="24" t="inlineStr">
        <is>
          <t>1020</t>
        </is>
      </c>
      <c r="E1661" s="24" t="inlineStr">
        <is>
          <t>审批中</t>
        </is>
      </c>
    </row>
    <row r="1662">
      <c r="B1662" s="24" t="inlineStr">
        <is>
          <t>SingleRiskReserveMain</t>
        </is>
      </c>
      <c r="C1662" s="24" t="inlineStr">
        <is>
          <t>单项减值计提申请</t>
        </is>
      </c>
      <c r="D1662" s="24" t="inlineStr">
        <is>
          <t>1040,1050</t>
        </is>
      </c>
      <c r="E1662" s="24" t="inlineStr">
        <is>
          <t>处理完成</t>
        </is>
      </c>
    </row>
    <row r="1663" ht="15.95" customHeight="1" s="170">
      <c r="B1663" s="122" t="inlineStr">
        <is>
          <t>码值：BookInContractApplyEntMain</t>
        </is>
      </c>
    </row>
    <row r="1664">
      <c r="B1664" s="24" t="inlineStr">
        <is>
          <t>BookInContractApplyEntMain</t>
        </is>
      </c>
      <c r="C1664" s="24" t="inlineStr">
        <is>
          <t>大中批复合同登记申请主树图</t>
        </is>
      </c>
      <c r="D1664" s="24" t="inlineStr">
        <is>
          <t>1010</t>
        </is>
      </c>
      <c r="E1664" s="24" t="inlineStr">
        <is>
          <t>待处理</t>
        </is>
      </c>
    </row>
    <row r="1665">
      <c r="B1665" s="24" t="inlineStr">
        <is>
          <t>BookInContractApplyEntMain</t>
        </is>
      </c>
      <c r="C1665" s="24" t="inlineStr">
        <is>
          <t>大中批复合同登记申请主树图</t>
        </is>
      </c>
      <c r="D1665" s="24" t="inlineStr">
        <is>
          <t>1020</t>
        </is>
      </c>
      <c r="E1665" s="24" t="inlineStr">
        <is>
          <t>审批中</t>
        </is>
      </c>
    </row>
    <row r="1666">
      <c r="B1666" s="24" t="inlineStr">
        <is>
          <t>BookInContractApplyEntMain</t>
        </is>
      </c>
      <c r="C1666" s="24" t="inlineStr">
        <is>
          <t>大中批复合同登记申请主树图</t>
        </is>
      </c>
      <c r="D1666" s="24" t="inlineStr">
        <is>
          <t>1040,1050</t>
        </is>
      </c>
      <c r="E1666" s="24" t="inlineStr">
        <is>
          <t>处理完成</t>
        </is>
      </c>
    </row>
    <row r="1667" ht="15.95" customHeight="1" s="170">
      <c r="B1667" s="122" t="inlineStr">
        <is>
          <t>码值：CarriagePaymentType</t>
        </is>
      </c>
    </row>
    <row r="1668">
      <c r="B1668" s="24" t="inlineStr">
        <is>
          <t>CarriagePaymentType</t>
        </is>
      </c>
      <c r="C1668" s="24" t="inlineStr">
        <is>
          <t>运费支付类型</t>
        </is>
      </c>
      <c r="D1668" s="24" t="inlineStr">
        <is>
          <t>01</t>
        </is>
      </c>
      <c r="E1668" s="24" t="inlineStr">
        <is>
          <t>预付</t>
        </is>
      </c>
    </row>
    <row r="1669">
      <c r="B1669" s="24" t="inlineStr">
        <is>
          <t>CarriagePaymentType</t>
        </is>
      </c>
      <c r="C1669" s="24" t="inlineStr">
        <is>
          <t>运费支付类型</t>
        </is>
      </c>
      <c r="D1669" s="24" t="inlineStr">
        <is>
          <t>02</t>
        </is>
      </c>
      <c r="E1669" s="24" t="inlineStr">
        <is>
          <t>到付</t>
        </is>
      </c>
    </row>
    <row r="1670" ht="15.95" customHeight="1" s="170">
      <c r="B1670" s="122" t="inlineStr">
        <is>
          <t>码值：MsgType</t>
        </is>
      </c>
    </row>
    <row r="1671">
      <c r="B1671" s="24" t="inlineStr">
        <is>
          <t>MsgType</t>
        </is>
      </c>
      <c r="C1671" s="24" t="inlineStr">
        <is>
          <t>系统警示信息</t>
        </is>
      </c>
      <c r="D1671" s="24" t="inlineStr">
        <is>
          <t>0010</t>
        </is>
      </c>
      <c r="E1671" s="24" t="inlineStr">
        <is>
          <t>未处理的Java常用异常</t>
        </is>
      </c>
    </row>
    <row r="1672">
      <c r="B1672" s="24" t="inlineStr">
        <is>
          <t>MsgType</t>
        </is>
      </c>
      <c r="C1672" s="24" t="inlineStr">
        <is>
          <t>系统警示信息</t>
        </is>
      </c>
      <c r="D1672" s="24" t="inlineStr">
        <is>
          <t>0020</t>
        </is>
      </c>
      <c r="E1672" s="24" t="inlineStr">
        <is>
          <t>ARE系统信息代码</t>
        </is>
      </c>
    </row>
    <row r="1673">
      <c r="B1673" s="24" t="inlineStr">
        <is>
          <t>MsgType</t>
        </is>
      </c>
      <c r="C1673" s="24" t="inlineStr">
        <is>
          <t>系统警示信息</t>
        </is>
      </c>
      <c r="D1673" s="24" t="inlineStr">
        <is>
          <t>0030</t>
        </is>
      </c>
      <c r="E1673" s="24" t="inlineStr">
        <is>
          <t>AWE系统信息代码</t>
        </is>
      </c>
    </row>
    <row r="1674">
      <c r="B1674" s="24" t="inlineStr">
        <is>
          <t>MsgType</t>
        </is>
      </c>
      <c r="C1674" s="24" t="inlineStr">
        <is>
          <t>系统警示信息</t>
        </is>
      </c>
      <c r="D1674" s="24" t="inlineStr">
        <is>
          <t>0040</t>
        </is>
      </c>
      <c r="E1674" s="24" t="inlineStr">
        <is>
          <t>DataWindow信息代码</t>
        </is>
      </c>
    </row>
    <row r="1675">
      <c r="B1675" s="24" t="inlineStr">
        <is>
          <t>MsgType</t>
        </is>
      </c>
      <c r="C1675" s="24" t="inlineStr">
        <is>
          <t>系统警示信息</t>
        </is>
      </c>
      <c r="D1675" s="24" t="inlineStr">
        <is>
          <t>0050</t>
        </is>
      </c>
      <c r="E1675" s="24" t="inlineStr">
        <is>
          <t>业务层面信息代码</t>
        </is>
      </c>
    </row>
    <row r="1676" ht="15.95" customHeight="1" s="170">
      <c r="B1676" s="122" t="inlineStr">
        <is>
          <t>码值：从业年限</t>
        </is>
      </c>
    </row>
    <row r="1677">
      <c r="B1677" s="24" t="inlineStr">
        <is>
          <t>从业年限</t>
        </is>
      </c>
      <c r="C1677" s="24" t="inlineStr">
        <is>
          <t>从业年限</t>
        </is>
      </c>
      <c r="D1677" s="24" t="inlineStr">
        <is>
          <t>1</t>
        </is>
      </c>
      <c r="E1677" s="24" t="inlineStr">
        <is>
          <t>5年及5年以上</t>
        </is>
      </c>
    </row>
    <row r="1678">
      <c r="B1678" s="24" t="inlineStr">
        <is>
          <t>从业年限</t>
        </is>
      </c>
      <c r="C1678" s="24" t="inlineStr">
        <is>
          <t>从业年限</t>
        </is>
      </c>
      <c r="D1678" s="24" t="inlineStr">
        <is>
          <t>2</t>
        </is>
      </c>
      <c r="E1678" s="24" t="inlineStr">
        <is>
          <t>1年至5年</t>
        </is>
      </c>
    </row>
    <row r="1679">
      <c r="B1679" s="24" t="inlineStr">
        <is>
          <t>从业年限</t>
        </is>
      </c>
      <c r="C1679" s="24" t="inlineStr">
        <is>
          <t>从业年限</t>
        </is>
      </c>
      <c r="D1679" s="24" t="inlineStr">
        <is>
          <t>3</t>
        </is>
      </c>
      <c r="E1679" s="24" t="inlineStr">
        <is>
          <t>1年以内</t>
        </is>
      </c>
    </row>
    <row r="1680" ht="15.95" customHeight="1" s="170">
      <c r="B1680" s="122" t="inlineStr">
        <is>
          <t>码值：BusinessInspectMain</t>
        </is>
      </c>
    </row>
    <row r="1681">
      <c r="B1681" s="24" t="inlineStr">
        <is>
          <t>BusinessInspectMain</t>
        </is>
      </c>
      <c r="C1681" s="24" t="inlineStr">
        <is>
          <t>贷后检查主界面</t>
        </is>
      </c>
      <c r="D1681" s="24" t="inlineStr">
        <is>
          <t>01</t>
        </is>
      </c>
      <c r="E1681" s="24" t="inlineStr">
        <is>
          <t>贷后检查报告</t>
        </is>
      </c>
    </row>
    <row r="1682">
      <c r="B1682" s="24" t="inlineStr">
        <is>
          <t>BusinessInspectMain</t>
        </is>
      </c>
      <c r="C1682" s="24" t="inlineStr">
        <is>
          <t>贷后检查主界面</t>
        </is>
      </c>
      <c r="D1682" s="24" t="inlineStr">
        <is>
          <t>01010</t>
        </is>
      </c>
      <c r="E1682" s="24" t="inlineStr">
        <is>
          <t>贷款用途检查报告</t>
        </is>
      </c>
    </row>
    <row r="1683">
      <c r="B1683" s="24" t="inlineStr">
        <is>
          <t>BusinessInspectMain</t>
        </is>
      </c>
      <c r="C1683" s="24" t="inlineStr">
        <is>
          <t>贷后检查主界面</t>
        </is>
      </c>
      <c r="D1683" s="24" t="inlineStr">
        <is>
          <t>01010010</t>
        </is>
      </c>
      <c r="E1683" s="24" t="inlineStr">
        <is>
          <t>未完成</t>
        </is>
      </c>
    </row>
    <row r="1684">
      <c r="B1684" s="24" t="inlineStr">
        <is>
          <t>BusinessInspectMain</t>
        </is>
      </c>
      <c r="C1684" s="24" t="inlineStr">
        <is>
          <t>贷后检查主界面</t>
        </is>
      </c>
      <c r="D1684" s="24" t="inlineStr">
        <is>
          <t>01010020</t>
        </is>
      </c>
      <c r="E1684" s="24" t="inlineStr">
        <is>
          <t>已完成</t>
        </is>
      </c>
    </row>
    <row r="1685">
      <c r="B1685" s="24" t="inlineStr">
        <is>
          <t>BusinessInspectMain</t>
        </is>
      </c>
      <c r="C1685" s="24" t="inlineStr">
        <is>
          <t>贷后检查主界面</t>
        </is>
      </c>
      <c r="D1685" s="24" t="inlineStr">
        <is>
          <t>01020</t>
        </is>
      </c>
      <c r="E1685" s="24" t="inlineStr">
        <is>
          <t>客户检查报告</t>
        </is>
      </c>
    </row>
    <row r="1686">
      <c r="B1686" s="24" t="inlineStr">
        <is>
          <t>BusinessInspectMain</t>
        </is>
      </c>
      <c r="C1686" s="24" t="inlineStr">
        <is>
          <t>贷后检查主界面</t>
        </is>
      </c>
      <c r="D1686" s="24" t="inlineStr">
        <is>
          <t>01020010</t>
        </is>
      </c>
      <c r="E1686" s="24" t="inlineStr">
        <is>
          <t>未完成</t>
        </is>
      </c>
    </row>
    <row r="1687">
      <c r="B1687" s="24" t="inlineStr">
        <is>
          <t>BusinessInspectMain</t>
        </is>
      </c>
      <c r="C1687" s="24" t="inlineStr">
        <is>
          <t>贷后检查主界面</t>
        </is>
      </c>
      <c r="D1687" s="24" t="inlineStr">
        <is>
          <t>01020020</t>
        </is>
      </c>
      <c r="E1687" s="24" t="inlineStr">
        <is>
          <t>已完成</t>
        </is>
      </c>
    </row>
    <row r="1688">
      <c r="B1688" s="24" t="inlineStr">
        <is>
          <t>BusinessInspectMain</t>
        </is>
      </c>
      <c r="C1688" s="24" t="inlineStr">
        <is>
          <t>贷后检查主界面</t>
        </is>
      </c>
      <c r="D1688" s="24" t="inlineStr">
        <is>
          <t>02</t>
        </is>
      </c>
      <c r="E1688" s="24" t="inlineStr">
        <is>
          <t>检查工作管理</t>
        </is>
      </c>
    </row>
    <row r="1689">
      <c r="B1689" s="24" t="inlineStr">
        <is>
          <t>BusinessInspectMain</t>
        </is>
      </c>
      <c r="C1689" s="24" t="inlineStr">
        <is>
          <t>贷后检查主界面</t>
        </is>
      </c>
      <c r="D1689" s="24" t="inlineStr">
        <is>
          <t>02010</t>
        </is>
      </c>
      <c r="E1689" s="24" t="inlineStr">
        <is>
          <t>贷款用途检查报告查询</t>
        </is>
      </c>
    </row>
    <row r="1690">
      <c r="B1690" s="24" t="inlineStr">
        <is>
          <t>BusinessInspectMain</t>
        </is>
      </c>
      <c r="C1690" s="24" t="inlineStr">
        <is>
          <t>贷后检查主界面</t>
        </is>
      </c>
      <c r="D1690" s="24" t="inlineStr">
        <is>
          <t>02020</t>
        </is>
      </c>
      <c r="E1690" s="24" t="inlineStr">
        <is>
          <t>客户检查报告查询</t>
        </is>
      </c>
    </row>
    <row r="1691">
      <c r="B1691" s="24" t="inlineStr">
        <is>
          <t>BusinessInspectMain</t>
        </is>
      </c>
      <c r="C1691" s="24" t="inlineStr">
        <is>
          <t>贷后检查主界面</t>
        </is>
      </c>
      <c r="D1691" s="24" t="inlineStr">
        <is>
          <t>02030</t>
        </is>
      </c>
      <c r="E1691" s="24" t="inlineStr">
        <is>
          <t>信贷管理检查记录</t>
        </is>
      </c>
    </row>
    <row r="1692" ht="15.95" customHeight="1" s="170">
      <c r="B1692" s="122" t="inlineStr">
        <is>
          <t>码值：VouchClass</t>
        </is>
      </c>
    </row>
    <row r="1693">
      <c r="B1693" s="24" t="inlineStr">
        <is>
          <t>VouchClass</t>
        </is>
      </c>
      <c r="C1693" s="24" t="inlineStr">
        <is>
          <t>担保形式</t>
        </is>
      </c>
      <c r="D1693" s="24" t="inlineStr">
        <is>
          <t>1</t>
        </is>
      </c>
      <c r="E1693" s="24" t="inlineStr">
        <is>
          <t>多人联保</t>
        </is>
      </c>
    </row>
    <row r="1694">
      <c r="B1694" s="24" t="inlineStr">
        <is>
          <t>VouchClass</t>
        </is>
      </c>
      <c r="C1694" s="24" t="inlineStr">
        <is>
          <t>担保形式</t>
        </is>
      </c>
      <c r="D1694" s="24" t="inlineStr">
        <is>
          <t>2</t>
        </is>
      </c>
      <c r="E1694" s="24" t="inlineStr">
        <is>
          <t>多人分保</t>
        </is>
      </c>
    </row>
    <row r="1695">
      <c r="B1695" s="24" t="inlineStr">
        <is>
          <t>VouchClass</t>
        </is>
      </c>
      <c r="C1695" s="24" t="inlineStr">
        <is>
          <t>担保形式</t>
        </is>
      </c>
      <c r="D1695" s="24" t="inlineStr">
        <is>
          <t>3</t>
        </is>
      </c>
      <c r="E1695" s="24" t="inlineStr">
        <is>
          <t>单人担保</t>
        </is>
      </c>
    </row>
    <row r="1696" ht="15.95" customHeight="1" s="170">
      <c r="B1696" s="122" t="inlineStr">
        <is>
          <t>码值：IncomeStability</t>
        </is>
      </c>
    </row>
    <row r="1697">
      <c r="B1697" s="24" t="inlineStr">
        <is>
          <t>IncomeStability</t>
        </is>
      </c>
      <c r="C1697" s="24" t="inlineStr">
        <is>
          <t>信用等级评估统一导入</t>
        </is>
      </c>
      <c r="D1697" s="24" t="inlineStr">
        <is>
          <t>01</t>
        </is>
      </c>
      <c r="E1697" s="24" t="inlineStr">
        <is>
          <t>1000元以下(含1000元)</t>
        </is>
      </c>
    </row>
    <row r="1698">
      <c r="B1698" s="24" t="inlineStr">
        <is>
          <t>IncomeStability</t>
        </is>
      </c>
      <c r="C1698" s="24" t="inlineStr">
        <is>
          <t>信用等级评估统一导入</t>
        </is>
      </c>
      <c r="D1698" s="24" t="inlineStr">
        <is>
          <t>02</t>
        </is>
      </c>
      <c r="E1698" s="24" t="inlineStr">
        <is>
          <t>1000元－3000元(含3000元)</t>
        </is>
      </c>
    </row>
    <row r="1699">
      <c r="B1699" s="24" t="inlineStr">
        <is>
          <t>IncomeStability</t>
        </is>
      </c>
      <c r="C1699" s="24" t="inlineStr">
        <is>
          <t>信用等级评估统一导入</t>
        </is>
      </c>
      <c r="D1699" s="24" t="inlineStr">
        <is>
          <t>03</t>
        </is>
      </c>
      <c r="E1699" s="24" t="inlineStr">
        <is>
          <t>3000元－5000元(含5000元)</t>
        </is>
      </c>
    </row>
    <row r="1700">
      <c r="B1700" s="24" t="inlineStr">
        <is>
          <t>IncomeStability</t>
        </is>
      </c>
      <c r="C1700" s="24" t="inlineStr">
        <is>
          <t>信用等级评估统一导入</t>
        </is>
      </c>
      <c r="D1700" s="24" t="inlineStr">
        <is>
          <t>04</t>
        </is>
      </c>
      <c r="E1700" s="24" t="inlineStr">
        <is>
          <t>5000元以上</t>
        </is>
      </c>
    </row>
    <row r="1701" ht="15.95" customHeight="1" s="170">
      <c r="B1701" s="122" t="inlineStr">
        <is>
          <t>码值：LimitApproveNewView</t>
        </is>
      </c>
    </row>
    <row r="1702">
      <c r="B1702" s="24" t="inlineStr">
        <is>
          <t>LimitApproveNewView</t>
        </is>
      </c>
      <c r="C1702" s="24" t="inlineStr">
        <is>
          <t>公司单一授信批复</t>
        </is>
      </c>
      <c r="D1702" s="24" t="inlineStr">
        <is>
          <t>0010</t>
        </is>
      </c>
      <c r="E1702" s="24" t="inlineStr">
        <is>
          <t>基本信息</t>
        </is>
      </c>
    </row>
    <row r="1703">
      <c r="B1703" s="24" t="inlineStr">
        <is>
          <t>LimitApproveNewView</t>
        </is>
      </c>
      <c r="C1703" s="24" t="inlineStr">
        <is>
          <t>公司单一授信批复</t>
        </is>
      </c>
      <c r="D1703" s="24" t="inlineStr">
        <is>
          <t>0020</t>
        </is>
      </c>
      <c r="E1703" s="24" t="inlineStr">
        <is>
          <t>融资方案</t>
        </is>
      </c>
    </row>
    <row r="1704">
      <c r="B1704" s="24" t="inlineStr">
        <is>
          <t>LimitApproveNewView</t>
        </is>
      </c>
      <c r="C1704" s="24" t="inlineStr">
        <is>
          <t>公司单一授信批复</t>
        </is>
      </c>
      <c r="D1704" s="24" t="inlineStr">
        <is>
          <t>002010</t>
        </is>
      </c>
      <c r="E1704" s="24" t="inlineStr">
        <is>
          <t>综合授信额度</t>
        </is>
      </c>
    </row>
    <row r="1705">
      <c r="B1705" s="24" t="inlineStr">
        <is>
          <t>LimitApproveNewView</t>
        </is>
      </c>
      <c r="C1705" s="24" t="inlineStr">
        <is>
          <t>公司单一授信批复</t>
        </is>
      </c>
      <c r="D1705" s="24" t="inlineStr">
        <is>
          <t>002020</t>
        </is>
      </c>
      <c r="E1705" s="24" t="inlineStr">
        <is>
          <t>专项额度</t>
        </is>
      </c>
    </row>
    <row r="1706">
      <c r="B1706" s="24" t="inlineStr">
        <is>
          <t>LimitApproveNewView</t>
        </is>
      </c>
      <c r="C1706" s="24" t="inlineStr">
        <is>
          <t>公司单一授信批复</t>
        </is>
      </c>
      <c r="D1706" s="24" t="inlineStr">
        <is>
          <t>002030</t>
        </is>
      </c>
      <c r="E1706" s="24" t="inlineStr">
        <is>
          <t>低风险额度</t>
        </is>
      </c>
    </row>
    <row r="1707">
      <c r="B1707" s="24" t="inlineStr">
        <is>
          <t>LimitApproveNewView</t>
        </is>
      </c>
      <c r="C1707" s="24" t="inlineStr">
        <is>
          <t>公司单一授信批复</t>
        </is>
      </c>
      <c r="D1707" s="24" t="inlineStr">
        <is>
          <t>002040</t>
        </is>
      </c>
      <c r="E1707" s="24" t="inlineStr">
        <is>
          <t>集团额度</t>
        </is>
      </c>
    </row>
    <row r="1708">
      <c r="B1708" s="24" t="inlineStr">
        <is>
          <t>LimitApproveNewView</t>
        </is>
      </c>
      <c r="C1708" s="24" t="inlineStr">
        <is>
          <t>公司单一授信批复</t>
        </is>
      </c>
      <c r="D1708" s="24" t="inlineStr">
        <is>
          <t>0030</t>
        </is>
      </c>
      <c r="E1708" s="24" t="inlineStr">
        <is>
          <t>限额测算</t>
        </is>
      </c>
    </row>
    <row r="1709">
      <c r="B1709" s="24" t="inlineStr">
        <is>
          <t>LimitApproveNewView</t>
        </is>
      </c>
      <c r="C1709" s="24" t="inlineStr">
        <is>
          <t>公司单一授信批复</t>
        </is>
      </c>
      <c r="D1709" s="24" t="inlineStr">
        <is>
          <t>0040</t>
        </is>
      </c>
      <c r="E1709" s="24" t="inlineStr">
        <is>
          <t>流动资金测算</t>
        </is>
      </c>
    </row>
    <row r="1710">
      <c r="B1710" s="24" t="inlineStr">
        <is>
          <t>LimitApproveNewView</t>
        </is>
      </c>
      <c r="C1710" s="24" t="inlineStr">
        <is>
          <t>公司单一授信批复</t>
        </is>
      </c>
      <c r="D1710" s="24" t="inlineStr">
        <is>
          <t>0050</t>
        </is>
      </c>
      <c r="E1710" s="24" t="inlineStr">
        <is>
          <t>业务文档信息</t>
        </is>
      </c>
    </row>
    <row r="1711" ht="15.95" customHeight="1" s="170">
      <c r="B1711" s="122" t="inlineStr">
        <is>
          <t>码值：ColEditStyle</t>
        </is>
      </c>
    </row>
    <row r="1712">
      <c r="B1712" s="24" t="inlineStr">
        <is>
          <t>ColEditStyle</t>
        </is>
      </c>
      <c r="C1712" s="24" t="inlineStr">
        <is>
          <t>编辑形式</t>
        </is>
      </c>
      <c r="D1712" s="24" t="inlineStr">
        <is>
          <t>1</t>
        </is>
      </c>
      <c r="E1712" s="24" t="inlineStr">
        <is>
          <t>文本框</t>
        </is>
      </c>
    </row>
    <row r="1713">
      <c r="B1713" s="24" t="inlineStr">
        <is>
          <t>ColEditStyle</t>
        </is>
      </c>
      <c r="C1713" s="24" t="inlineStr">
        <is>
          <t>编辑形式</t>
        </is>
      </c>
      <c r="D1713" s="24" t="inlineStr">
        <is>
          <t>10</t>
        </is>
      </c>
      <c r="E1713" s="24" t="inlineStr">
        <is>
          <t>密码框</t>
        </is>
      </c>
    </row>
    <row r="1714">
      <c r="B1714" s="24" t="inlineStr">
        <is>
          <t>ColEditStyle</t>
        </is>
      </c>
      <c r="C1714" s="24" t="inlineStr">
        <is>
          <t>编辑形式</t>
        </is>
      </c>
      <c r="D1714" s="24" t="inlineStr">
        <is>
          <t>2</t>
        </is>
      </c>
      <c r="E1714" s="24" t="inlineStr">
        <is>
          <t>选择框</t>
        </is>
      </c>
    </row>
    <row r="1715">
      <c r="B1715" s="24" t="inlineStr">
        <is>
          <t>ColEditStyle</t>
        </is>
      </c>
      <c r="C1715" s="24" t="inlineStr">
        <is>
          <t>编辑形式</t>
        </is>
      </c>
      <c r="D1715" s="24" t="inlineStr">
        <is>
          <t>21</t>
        </is>
      </c>
      <c r="E1715" s="24" t="inlineStr">
        <is>
          <t>扁平下拉选择</t>
        </is>
      </c>
    </row>
    <row r="1716">
      <c r="B1716" s="24" t="inlineStr">
        <is>
          <t>ColEditStyle</t>
        </is>
      </c>
      <c r="C1716" s="24" t="inlineStr">
        <is>
          <t>编辑形式</t>
        </is>
      </c>
      <c r="D1716" s="24" t="inlineStr">
        <is>
          <t>3</t>
        </is>
      </c>
      <c r="E1716" s="24" t="inlineStr">
        <is>
          <t>备注框</t>
        </is>
      </c>
    </row>
    <row r="1717">
      <c r="B1717" s="24" t="inlineStr">
        <is>
          <t>ColEditStyle</t>
        </is>
      </c>
      <c r="C1717" s="24" t="inlineStr">
        <is>
          <t>编辑形式</t>
        </is>
      </c>
      <c r="D1717" s="24" t="inlineStr">
        <is>
          <t>31</t>
        </is>
      </c>
      <c r="E1717" s="24" t="inlineStr">
        <is>
          <t>富文本编辑框</t>
        </is>
      </c>
    </row>
    <row r="1718">
      <c r="B1718" s="24" t="inlineStr">
        <is>
          <t>ColEditStyle</t>
        </is>
      </c>
      <c r="C1718" s="24" t="inlineStr">
        <is>
          <t>编辑形式</t>
        </is>
      </c>
      <c r="D1718" s="24" t="inlineStr">
        <is>
          <t>5</t>
        </is>
      </c>
      <c r="E1718" s="24" t="inlineStr">
        <is>
          <t>单选框(横向)</t>
        </is>
      </c>
    </row>
    <row r="1719">
      <c r="B1719" s="24" t="inlineStr">
        <is>
          <t>ColEditStyle</t>
        </is>
      </c>
      <c r="C1719" s="24" t="inlineStr">
        <is>
          <t>编辑形式</t>
        </is>
      </c>
      <c r="D1719" s="24" t="inlineStr">
        <is>
          <t>6</t>
        </is>
      </c>
      <c r="E1719" s="24" t="inlineStr">
        <is>
          <t>单选框(竖向)</t>
        </is>
      </c>
    </row>
    <row r="1720">
      <c r="B1720" s="24" t="inlineStr">
        <is>
          <t>ColEditStyle</t>
        </is>
      </c>
      <c r="C1720" s="24" t="inlineStr">
        <is>
          <t>编辑形式</t>
        </is>
      </c>
      <c r="D1720" s="24" t="inlineStr">
        <is>
          <t>7</t>
        </is>
      </c>
      <c r="E1720" s="24" t="inlineStr">
        <is>
          <t>复选框</t>
        </is>
      </c>
    </row>
    <row r="1721">
      <c r="B1721" s="24" t="inlineStr">
        <is>
          <t>ColEditStyle</t>
        </is>
      </c>
      <c r="C1721" s="24" t="inlineStr">
        <is>
          <t>编辑形式</t>
        </is>
      </c>
      <c r="D1721" s="24" t="inlineStr">
        <is>
          <t>8</t>
        </is>
      </c>
      <c r="E1721" s="24" t="inlineStr">
        <is>
          <t>选择对话框</t>
        </is>
      </c>
    </row>
    <row r="1722" ht="15.95" customHeight="1" s="170">
      <c r="B1722" s="122" t="inlineStr">
        <is>
          <t>码值：ProfessionExpectations</t>
        </is>
      </c>
    </row>
    <row r="1723">
      <c r="B1723" s="24" t="inlineStr">
        <is>
          <t>ProfessionExpectations</t>
        </is>
      </c>
      <c r="C1723" s="24" t="inlineStr">
        <is>
          <t>信用等级评估统一导入</t>
        </is>
      </c>
      <c r="D1723" s="24" t="inlineStr">
        <is>
          <t>01</t>
        </is>
      </c>
      <c r="E1723" s="24" t="inlineStr">
        <is>
          <t>新兴的萌芽期行业</t>
        </is>
      </c>
    </row>
    <row r="1724">
      <c r="B1724" s="24" t="inlineStr">
        <is>
          <t>ProfessionExpectations</t>
        </is>
      </c>
      <c r="C1724" s="24" t="inlineStr">
        <is>
          <t>信用等级评估统一导入</t>
        </is>
      </c>
      <c r="D1724" s="24" t="inlineStr">
        <is>
          <t>02</t>
        </is>
      </c>
      <c r="E1724" s="24" t="inlineStr">
        <is>
          <t>早期高增长行业</t>
        </is>
      </c>
    </row>
    <row r="1725">
      <c r="B1725" s="24" t="inlineStr">
        <is>
          <t>ProfessionExpectations</t>
        </is>
      </c>
      <c r="C1725" s="24" t="inlineStr">
        <is>
          <t>信用等级评估统一导入</t>
        </is>
      </c>
      <c r="D1725" s="24" t="inlineStr">
        <is>
          <t>03</t>
        </is>
      </c>
      <c r="E1725" s="24" t="inlineStr">
        <is>
          <t>趋于成熟的高增长行业</t>
        </is>
      </c>
    </row>
    <row r="1726">
      <c r="B1726" s="24" t="inlineStr">
        <is>
          <t>ProfessionExpectations</t>
        </is>
      </c>
      <c r="C1726" s="24" t="inlineStr">
        <is>
          <t>信用等级评估统一导入</t>
        </is>
      </c>
      <c r="D1726" s="24" t="inlineStr">
        <is>
          <t>04</t>
        </is>
      </c>
      <c r="E1726" s="24" t="inlineStr">
        <is>
          <t>稳定的成熟期行业</t>
        </is>
      </c>
    </row>
    <row r="1727">
      <c r="B1727" s="24" t="inlineStr">
        <is>
          <t>ProfessionExpectations</t>
        </is>
      </c>
      <c r="C1727" s="24" t="inlineStr">
        <is>
          <t>信用等级评估统一导入</t>
        </is>
      </c>
      <c r="D1727" s="24" t="inlineStr">
        <is>
          <t>05</t>
        </is>
      </c>
      <c r="E1727" s="24" t="inlineStr">
        <is>
          <t>衰退期行业</t>
        </is>
      </c>
    </row>
    <row r="1728">
      <c r="B1728" s="24" t="inlineStr">
        <is>
          <t>ProfessionExpectations</t>
        </is>
      </c>
      <c r="C1728" s="24" t="inlineStr">
        <is>
          <t>信用等级评估统一导入</t>
        </is>
      </c>
      <c r="D1728" s="24" t="inlineStr">
        <is>
          <t>06</t>
        </is>
      </c>
      <c r="E1728" s="24" t="inlineStr">
        <is>
          <t>所处行业正进行重大转变</t>
        </is>
      </c>
    </row>
    <row r="1729" ht="15.95" customHeight="1" s="170">
      <c r="B1729" s="122" t="inlineStr">
        <is>
          <t>码值：管理能力</t>
        </is>
      </c>
    </row>
    <row r="1730">
      <c r="B1730" s="24" t="inlineStr">
        <is>
          <t>管理能力</t>
        </is>
      </c>
      <c r="C1730" s="24" t="inlineStr">
        <is>
          <t>管理能力</t>
        </is>
      </c>
      <c r="D1730" s="24" t="inlineStr">
        <is>
          <t>1</t>
        </is>
      </c>
      <c r="E1730" s="24" t="inlineStr">
        <is>
          <t>强</t>
        </is>
      </c>
    </row>
    <row r="1731">
      <c r="B1731" s="24" t="inlineStr">
        <is>
          <t>管理能力</t>
        </is>
      </c>
      <c r="C1731" s="24" t="inlineStr">
        <is>
          <t>管理能力</t>
        </is>
      </c>
      <c r="D1731" s="24" t="inlineStr">
        <is>
          <t>2</t>
        </is>
      </c>
      <c r="E1731" s="24" t="inlineStr">
        <is>
          <t>一般</t>
        </is>
      </c>
    </row>
    <row r="1732">
      <c r="B1732" s="24" t="inlineStr">
        <is>
          <t>管理能力</t>
        </is>
      </c>
      <c r="C1732" s="24" t="inlineStr">
        <is>
          <t>管理能力</t>
        </is>
      </c>
      <c r="D1732" s="24" t="inlineStr">
        <is>
          <t>3</t>
        </is>
      </c>
      <c r="E1732" s="24" t="inlineStr">
        <is>
          <t>弱</t>
        </is>
      </c>
    </row>
    <row r="1733" ht="15.95" customHeight="1" s="170">
      <c r="B1733" s="122" t="inlineStr">
        <is>
          <t>码值：资金落实情况</t>
        </is>
      </c>
    </row>
    <row r="1734">
      <c r="B1734" s="24" t="inlineStr">
        <is>
          <t>资金落实情况</t>
        </is>
      </c>
      <c r="C1734" s="24" t="inlineStr">
        <is>
          <t>资金落实情况</t>
        </is>
      </c>
      <c r="D1734" s="24" t="inlineStr">
        <is>
          <t>01</t>
        </is>
      </c>
      <c r="E1734" s="24" t="inlineStr">
        <is>
          <t>项目资金已根据项目进度要求全部落实，且项目资金中的自有资本金已完全到位</t>
        </is>
      </c>
    </row>
    <row r="1735">
      <c r="B1735" s="24" t="inlineStr">
        <is>
          <t>资金落实情况</t>
        </is>
      </c>
      <c r="C1735" s="24" t="inlineStr">
        <is>
          <t>资金落实情况</t>
        </is>
      </c>
      <c r="D1735" s="24" t="inlineStr">
        <is>
          <t>02</t>
        </is>
      </c>
      <c r="E1735" s="24" t="inlineStr">
        <is>
          <t>项目资金已根据项目进度要求全部落实，但尚有部分自有资本金未到位</t>
        </is>
      </c>
    </row>
    <row r="1736">
      <c r="B1736" s="24" t="inlineStr">
        <is>
          <t>资金落实情况</t>
        </is>
      </c>
      <c r="C1736" s="24" t="inlineStr">
        <is>
          <t>资金落实情况</t>
        </is>
      </c>
      <c r="D1736" s="24" t="inlineStr">
        <is>
          <t>03</t>
        </is>
      </c>
      <c r="E1736" s="24" t="inlineStr">
        <is>
          <t>项目资金部分缺口需靠未来项目滚动运作以弥补，预期基本不存在问题</t>
        </is>
      </c>
    </row>
    <row r="1737">
      <c r="B1737" s="24" t="inlineStr">
        <is>
          <t>资金落实情况</t>
        </is>
      </c>
      <c r="C1737" s="24" t="inlineStr">
        <is>
          <t>资金落实情况</t>
        </is>
      </c>
      <c r="D1737" s="24" t="inlineStr">
        <is>
          <t>04</t>
        </is>
      </c>
      <c r="E1737" s="24" t="inlineStr">
        <is>
          <t>项目资金仍有未落实的缺口</t>
        </is>
      </c>
    </row>
    <row r="1738" ht="15.95" customHeight="1" s="170">
      <c r="B1738" s="122" t="inlineStr">
        <is>
          <t>码值：ValueVolattlityType</t>
        </is>
      </c>
    </row>
    <row r="1739">
      <c r="B1739" s="24" t="inlineStr">
        <is>
          <t>ValueVolattlityType</t>
        </is>
      </c>
      <c r="C1739" s="24" t="inlineStr">
        <is>
          <t>价值波动性</t>
        </is>
      </c>
      <c r="D1739" s="24" t="inlineStr">
        <is>
          <t>01</t>
        </is>
      </c>
      <c r="E1739" s="24" t="inlineStr">
        <is>
          <t>价值波动大</t>
        </is>
      </c>
    </row>
    <row r="1740">
      <c r="B1740" s="24" t="inlineStr">
        <is>
          <t>ValueVolattlityType</t>
        </is>
      </c>
      <c r="C1740" s="24" t="inlineStr">
        <is>
          <t>价值波动性</t>
        </is>
      </c>
      <c r="D1740" s="24" t="inlineStr">
        <is>
          <t>02</t>
        </is>
      </c>
      <c r="E1740" s="24" t="inlineStr">
        <is>
          <t>价值波动中</t>
        </is>
      </c>
    </row>
    <row r="1741">
      <c r="B1741" s="24" t="inlineStr">
        <is>
          <t>ValueVolattlityType</t>
        </is>
      </c>
      <c r="C1741" s="24" t="inlineStr">
        <is>
          <t>价值波动性</t>
        </is>
      </c>
      <c r="D1741" s="24" t="inlineStr">
        <is>
          <t>03</t>
        </is>
      </c>
      <c r="E1741" s="24" t="inlineStr">
        <is>
          <t>有升值潜力或波动小</t>
        </is>
      </c>
    </row>
    <row r="1742" ht="15.95" customHeight="1" s="170">
      <c r="B1742" s="122" t="inlineStr">
        <is>
          <t>码值：OccurType</t>
        </is>
      </c>
    </row>
    <row r="1743">
      <c r="B1743" s="24" t="inlineStr">
        <is>
          <t>OccurType</t>
        </is>
      </c>
      <c r="C1743" s="24" t="inlineStr">
        <is>
          <t>发生类型</t>
        </is>
      </c>
      <c r="D1743" s="24" t="inlineStr">
        <is>
          <t>0100</t>
        </is>
      </c>
      <c r="E1743" s="24" t="inlineStr">
        <is>
          <t>新增</t>
        </is>
      </c>
    </row>
    <row r="1744">
      <c r="B1744" s="24" t="inlineStr">
        <is>
          <t>OccurType</t>
        </is>
      </c>
      <c r="C1744" s="24" t="inlineStr">
        <is>
          <t>发生类型</t>
        </is>
      </c>
      <c r="D1744" s="24" t="inlineStr">
        <is>
          <t>0101</t>
        </is>
      </c>
      <c r="E1744" s="24" t="inlineStr">
        <is>
          <t>变更</t>
        </is>
      </c>
    </row>
    <row r="1745">
      <c r="B1745" s="24" t="inlineStr">
        <is>
          <t>OccurType</t>
        </is>
      </c>
      <c r="C1745" s="24" t="inlineStr">
        <is>
          <t>发生类型</t>
        </is>
      </c>
      <c r="D1745" s="24" t="inlineStr">
        <is>
          <t>0102</t>
        </is>
      </c>
      <c r="E1745" s="24" t="inlineStr">
        <is>
          <t>额度续作</t>
        </is>
      </c>
    </row>
    <row r="1746">
      <c r="B1746" s="24" t="inlineStr">
        <is>
          <t>OccurType</t>
        </is>
      </c>
      <c r="C1746" s="24" t="inlineStr">
        <is>
          <t>发生类型</t>
        </is>
      </c>
      <c r="D1746" s="24" t="inlineStr">
        <is>
          <t>0200</t>
        </is>
      </c>
      <c r="E1746" s="24" t="inlineStr">
        <is>
          <t>新发生</t>
        </is>
      </c>
    </row>
    <row r="1747">
      <c r="B1747" s="24" t="inlineStr">
        <is>
          <t>OccurType</t>
        </is>
      </c>
      <c r="C1747" s="24" t="inlineStr">
        <is>
          <t>发生类型</t>
        </is>
      </c>
      <c r="D1747" s="24" t="inlineStr">
        <is>
          <t>0201</t>
        </is>
      </c>
      <c r="E1747" s="24" t="inlineStr">
        <is>
          <t>展期</t>
        </is>
      </c>
    </row>
    <row r="1748">
      <c r="B1748" s="24" t="inlineStr">
        <is>
          <t>OccurType</t>
        </is>
      </c>
      <c r="C1748" s="24" t="inlineStr">
        <is>
          <t>发生类型</t>
        </is>
      </c>
      <c r="D1748" s="24" t="inlineStr">
        <is>
          <t>0202</t>
        </is>
      </c>
      <c r="E1748" s="24" t="inlineStr">
        <is>
          <t>借新还旧</t>
        </is>
      </c>
    </row>
    <row r="1749">
      <c r="B1749" s="24" t="inlineStr">
        <is>
          <t>OccurType</t>
        </is>
      </c>
      <c r="C1749" s="24" t="inlineStr">
        <is>
          <t>发生类型</t>
        </is>
      </c>
      <c r="D1749" s="24" t="inlineStr">
        <is>
          <t>0203</t>
        </is>
      </c>
      <c r="E1749" s="24" t="inlineStr">
        <is>
          <t>还旧借新</t>
        </is>
      </c>
    </row>
    <row r="1750">
      <c r="B1750" s="24" t="inlineStr">
        <is>
          <t>OccurType</t>
        </is>
      </c>
      <c r="C1750" s="24" t="inlineStr">
        <is>
          <t>发生类型</t>
        </is>
      </c>
      <c r="D1750" s="24" t="inlineStr">
        <is>
          <t>0204</t>
        </is>
      </c>
      <c r="E1750" s="24" t="inlineStr">
        <is>
          <t>资产重组</t>
        </is>
      </c>
    </row>
    <row r="1751" ht="15.95" customHeight="1" s="170">
      <c r="B1751" s="122" t="inlineStr">
        <is>
          <t>码值：NoticeType</t>
        </is>
      </c>
    </row>
    <row r="1752">
      <c r="B1752" s="24" t="inlineStr">
        <is>
          <t>NoticeType</t>
        </is>
      </c>
      <c r="C1752" s="24" t="inlineStr">
        <is>
          <t>通知方式</t>
        </is>
      </c>
      <c r="D1752" s="24" t="inlineStr">
        <is>
          <t>Email</t>
        </is>
      </c>
      <c r="E1752" s="24" t="inlineStr">
        <is>
          <t>邮件</t>
        </is>
      </c>
    </row>
    <row r="1753">
      <c r="B1753" s="24" t="inlineStr">
        <is>
          <t>NoticeType</t>
        </is>
      </c>
      <c r="C1753" s="24" t="inlineStr">
        <is>
          <t>通知方式</t>
        </is>
      </c>
      <c r="D1753" s="24" t="inlineStr">
        <is>
          <t>SMS</t>
        </is>
      </c>
      <c r="E1753" s="24" t="inlineStr">
        <is>
          <t>短信</t>
        </is>
      </c>
    </row>
    <row r="1754">
      <c r="B1754" s="24" t="inlineStr">
        <is>
          <t>NoticeType</t>
        </is>
      </c>
      <c r="C1754" s="24" t="inlineStr">
        <is>
          <t>通知方式</t>
        </is>
      </c>
      <c r="D1754" s="24" t="inlineStr">
        <is>
          <t>Task</t>
        </is>
      </c>
      <c r="E1754" s="24" t="inlineStr">
        <is>
          <t>任务提示</t>
        </is>
      </c>
    </row>
    <row r="1755" ht="15.95" customHeight="1" s="170">
      <c r="B1755" s="122" t="inlineStr">
        <is>
          <t>码值：OccurSubjectName</t>
        </is>
      </c>
    </row>
    <row r="1756">
      <c r="B1756" s="24" t="inlineStr">
        <is>
          <t>OccurSubjectName</t>
        </is>
      </c>
      <c r="C1756" s="24" t="inlineStr">
        <is>
          <t>发生摘要</t>
        </is>
      </c>
      <c r="D1756" s="24" t="inlineStr">
        <is>
          <t>0</t>
        </is>
      </c>
      <c r="E1756" s="24" t="inlineStr">
        <is>
          <t>本金</t>
        </is>
      </c>
    </row>
    <row r="1757">
      <c r="B1757" s="24" t="inlineStr">
        <is>
          <t>OccurSubjectName</t>
        </is>
      </c>
      <c r="C1757" s="24" t="inlineStr">
        <is>
          <t>发生摘要</t>
        </is>
      </c>
      <c r="D1757" s="24" t="inlineStr">
        <is>
          <t>1</t>
        </is>
      </c>
      <c r="E1757" s="24" t="inlineStr">
        <is>
          <t>利息</t>
        </is>
      </c>
    </row>
    <row r="1758">
      <c r="B1758" s="24" t="inlineStr">
        <is>
          <t>OccurSubjectName</t>
        </is>
      </c>
      <c r="C1758" s="24" t="inlineStr">
        <is>
          <t>发生摘要</t>
        </is>
      </c>
      <c r="D1758" s="24" t="inlineStr">
        <is>
          <t>3</t>
        </is>
      </c>
      <c r="E1758" s="24" t="inlineStr">
        <is>
          <t>罚金</t>
        </is>
      </c>
    </row>
    <row r="1759" ht="15.95" customHeight="1" s="170">
      <c r="B1759" s="122" t="inlineStr">
        <is>
          <t>码值：ProfessionPolicy01</t>
        </is>
      </c>
    </row>
    <row r="1760">
      <c r="B1760" s="24" t="inlineStr">
        <is>
          <t>ProfessionPolicy01</t>
        </is>
      </c>
      <c r="C1760" s="24" t="inlineStr">
        <is>
          <t>信用等级评估统一导入</t>
        </is>
      </c>
      <c r="D1760" s="24" t="inlineStr">
        <is>
          <t>01</t>
        </is>
      </c>
      <c r="E1760" s="24" t="inlineStr">
        <is>
          <t>国家产业政策鼓励行业，受宏观经济波动影响小，行业发展前景广阔</t>
        </is>
      </c>
    </row>
    <row r="1761">
      <c r="B1761" s="24" t="inlineStr">
        <is>
          <t>ProfessionPolicy01</t>
        </is>
      </c>
      <c r="C1761" s="24" t="inlineStr">
        <is>
          <t>信用等级评估统一导入</t>
        </is>
      </c>
      <c r="D1761" s="24" t="inlineStr">
        <is>
          <t>02</t>
        </is>
      </c>
      <c r="E1761" s="24" t="inlineStr">
        <is>
          <t>国家产业政策中性行业，受宏观经济波动影响小，行业发展前景稳定</t>
        </is>
      </c>
    </row>
    <row r="1762">
      <c r="B1762" s="24" t="inlineStr">
        <is>
          <t>ProfessionPolicy01</t>
        </is>
      </c>
      <c r="C1762" s="24" t="inlineStr">
        <is>
          <t>信用等级评估统一导入</t>
        </is>
      </c>
      <c r="D1762" s="24" t="inlineStr">
        <is>
          <t>03</t>
        </is>
      </c>
      <c r="E1762" s="24" t="inlineStr">
        <is>
          <t>国家产业政策中性行业，受宏观经济周期影响大，行业发展不确定性较大</t>
        </is>
      </c>
    </row>
    <row r="1763">
      <c r="B1763" s="24" t="inlineStr">
        <is>
          <t>ProfessionPolicy01</t>
        </is>
      </c>
      <c r="C1763" s="24" t="inlineStr">
        <is>
          <t>信用等级评估统一导入</t>
        </is>
      </c>
      <c r="D1763" s="24" t="inlineStr">
        <is>
          <t>04</t>
        </is>
      </c>
      <c r="E1763" s="24" t="inlineStr">
        <is>
          <t>国家产业政策限制行业，或者萌芽期行业，发展前景暗淡或者不明朗</t>
        </is>
      </c>
    </row>
    <row r="1764" ht="15.95" customHeight="1" s="170">
      <c r="B1764" s="122" t="inlineStr">
        <is>
          <t>码值：SMApplyLimitMain</t>
        </is>
      </c>
    </row>
    <row r="1765">
      <c r="B1765" s="24" t="inlineStr">
        <is>
          <t>SMApplyLimitMain</t>
        </is>
      </c>
      <c r="C1765" s="24" t="inlineStr">
        <is>
          <t> </t>
        </is>
      </c>
      <c r="D1765" s="24" t="inlineStr">
        <is>
          <t>1010</t>
        </is>
      </c>
      <c r="E1765" s="24" t="inlineStr">
        <is>
          <t>待处理</t>
        </is>
      </c>
    </row>
    <row r="1766">
      <c r="B1766" s="24" t="inlineStr">
        <is>
          <t>SMApplyLimitMain</t>
        </is>
      </c>
      <c r="C1766" s="24" t="inlineStr">
        <is>
          <t> </t>
        </is>
      </c>
      <c r="D1766" s="24" t="inlineStr">
        <is>
          <t>1020</t>
        </is>
      </c>
      <c r="E1766" s="24" t="inlineStr">
        <is>
          <t>审批中</t>
        </is>
      </c>
    </row>
    <row r="1767">
      <c r="B1767" s="24" t="inlineStr">
        <is>
          <t>SMApplyLimitMain</t>
        </is>
      </c>
      <c r="C1767" s="24" t="inlineStr">
        <is>
          <t> </t>
        </is>
      </c>
      <c r="D1767" s="24" t="inlineStr">
        <is>
          <t>1040,1050</t>
        </is>
      </c>
      <c r="E1767" s="24" t="inlineStr">
        <is>
          <t>处理完成</t>
        </is>
      </c>
    </row>
    <row r="1768" ht="15.95" customHeight="1" s="170">
      <c r="B1768" s="122" t="inlineStr">
        <is>
          <t>码值：SurroundProperty</t>
        </is>
      </c>
    </row>
    <row r="1769">
      <c r="B1769" s="24" t="inlineStr">
        <is>
          <t>SurroundProperty</t>
        </is>
      </c>
      <c r="C1769" s="24" t="inlineStr">
        <is>
          <t>信用等级评估统一导入</t>
        </is>
      </c>
      <c r="D1769" s="24" t="inlineStr">
        <is>
          <t>01</t>
        </is>
      </c>
      <c r="E1769" s="24" t="inlineStr">
        <is>
          <t>项目所在地区周边楼盘销售情况强劲</t>
        </is>
      </c>
    </row>
    <row r="1770">
      <c r="B1770" s="24" t="inlineStr">
        <is>
          <t>SurroundProperty</t>
        </is>
      </c>
      <c r="C1770" s="24" t="inlineStr">
        <is>
          <t>信用等级评估统一导入</t>
        </is>
      </c>
      <c r="D1770" s="24" t="inlineStr">
        <is>
          <t>02</t>
        </is>
      </c>
      <c r="E1770" s="24" t="inlineStr">
        <is>
          <t>项目所在地区周边楼盘销售情况一般</t>
        </is>
      </c>
    </row>
    <row r="1771">
      <c r="B1771" s="24" t="inlineStr">
        <is>
          <t>SurroundProperty</t>
        </is>
      </c>
      <c r="C1771" s="24" t="inlineStr">
        <is>
          <t>信用等级评估统一导入</t>
        </is>
      </c>
      <c r="D1771" s="24" t="inlineStr">
        <is>
          <t>03</t>
        </is>
      </c>
      <c r="E1771" s="24" t="inlineStr">
        <is>
          <t>所在城市没有同类型的楼盘 或 项目所在地区周边楼盘销售情况薄弱</t>
        </is>
      </c>
    </row>
    <row r="1772" ht="15.95" customHeight="1" s="170">
      <c r="B1772" s="122" t="inlineStr">
        <is>
          <t>码值：CommercialRealtyType</t>
        </is>
      </c>
    </row>
    <row r="1773">
      <c r="B1773" s="24" t="inlineStr">
        <is>
          <t>CommercialRealtyType</t>
        </is>
      </c>
      <c r="C1773" s="24" t="inlineStr">
        <is>
          <t>房产类型</t>
        </is>
      </c>
      <c r="D1773" s="24" t="inlineStr">
        <is>
          <t>01</t>
        </is>
      </c>
      <c r="E1773" s="24" t="inlineStr">
        <is>
          <t>商铺</t>
        </is>
      </c>
    </row>
    <row r="1774">
      <c r="B1774" s="24" t="inlineStr">
        <is>
          <t>CommercialRealtyType</t>
        </is>
      </c>
      <c r="C1774" s="24" t="inlineStr">
        <is>
          <t>房产类型</t>
        </is>
      </c>
      <c r="D1774" s="24" t="inlineStr">
        <is>
          <t>02</t>
        </is>
      </c>
      <c r="E1774" s="24" t="inlineStr">
        <is>
          <t>商场</t>
        </is>
      </c>
    </row>
    <row r="1775">
      <c r="B1775" s="24" t="inlineStr">
        <is>
          <t>CommercialRealtyType</t>
        </is>
      </c>
      <c r="C1775" s="24" t="inlineStr">
        <is>
          <t>房产类型</t>
        </is>
      </c>
      <c r="D1775" s="24" t="inlineStr">
        <is>
          <t>03</t>
        </is>
      </c>
      <c r="E1775" s="24" t="inlineStr">
        <is>
          <t>宾馆</t>
        </is>
      </c>
    </row>
    <row r="1776">
      <c r="B1776" s="24" t="inlineStr">
        <is>
          <t>CommercialRealtyType</t>
        </is>
      </c>
      <c r="C1776" s="24" t="inlineStr">
        <is>
          <t>房产类型</t>
        </is>
      </c>
      <c r="D1776" s="24" t="inlineStr">
        <is>
          <t>04</t>
        </is>
      </c>
      <c r="E1776" s="24" t="inlineStr">
        <is>
          <t>商住两用房</t>
        </is>
      </c>
    </row>
    <row r="1777">
      <c r="B1777" s="24" t="inlineStr">
        <is>
          <t>CommercialRealtyType</t>
        </is>
      </c>
      <c r="C1777" s="24" t="inlineStr">
        <is>
          <t>房产类型</t>
        </is>
      </c>
      <c r="D1777" s="24" t="inlineStr">
        <is>
          <t>05</t>
        </is>
      </c>
      <c r="E1777" s="24" t="inlineStr">
        <is>
          <t>写字楼</t>
        </is>
      </c>
    </row>
    <row r="1778">
      <c r="B1778" s="24" t="inlineStr">
        <is>
          <t>CommercialRealtyType</t>
        </is>
      </c>
      <c r="C1778" s="24" t="inlineStr">
        <is>
          <t>房产类型</t>
        </is>
      </c>
      <c r="D1778" s="24" t="inlineStr">
        <is>
          <t>90</t>
        </is>
      </c>
      <c r="E1778" s="24" t="inlineStr">
        <is>
          <t>其他</t>
        </is>
      </c>
    </row>
    <row r="1779" ht="15.95" customHeight="1" s="170">
      <c r="B1779" s="122" t="inlineStr">
        <is>
          <t>码值：PartnerType</t>
        </is>
      </c>
    </row>
    <row r="1780">
      <c r="B1780" s="24" t="inlineStr">
        <is>
          <t>PartnerType</t>
        </is>
      </c>
      <c r="C1780" s="24" t="inlineStr">
        <is>
          <t>合作方客户类型</t>
        </is>
      </c>
      <c r="D1780" s="24" t="inlineStr">
        <is>
          <t>10</t>
        </is>
      </c>
      <c r="E1780" s="24" t="inlineStr">
        <is>
          <t>资源类合作方</t>
        </is>
      </c>
    </row>
    <row r="1781">
      <c r="B1781" s="24" t="inlineStr">
        <is>
          <t>PartnerType</t>
        </is>
      </c>
      <c r="C1781" s="24" t="inlineStr">
        <is>
          <t>合作方客户类型</t>
        </is>
      </c>
      <c r="D1781" s="24" t="inlineStr">
        <is>
          <t>20</t>
        </is>
      </c>
      <c r="E1781" s="24" t="inlineStr">
        <is>
          <t>担保类合作方</t>
        </is>
      </c>
    </row>
    <row r="1782">
      <c r="B1782" s="24" t="inlineStr">
        <is>
          <t>PartnerType</t>
        </is>
      </c>
      <c r="C1782" s="24" t="inlineStr">
        <is>
          <t>合作方客户类型</t>
        </is>
      </c>
      <c r="D1782" s="24" t="inlineStr">
        <is>
          <t>30</t>
        </is>
      </c>
      <c r="E1782" s="24" t="inlineStr">
        <is>
          <t>服务类合作方</t>
        </is>
      </c>
    </row>
    <row r="1783">
      <c r="B1783" s="24" t="inlineStr">
        <is>
          <t>PartnerType</t>
        </is>
      </c>
      <c r="C1783" s="24" t="inlineStr">
        <is>
          <t>合作方客户类型</t>
        </is>
      </c>
      <c r="D1783" s="24" t="inlineStr">
        <is>
          <t>40</t>
        </is>
      </c>
      <c r="E1783" s="24" t="inlineStr">
        <is>
          <t>委托类合作方</t>
        </is>
      </c>
    </row>
    <row r="1784" ht="15.95" customHeight="1" s="170">
      <c r="B1784" s="122" t="inlineStr">
        <is>
          <t>码值：TakePartRole</t>
        </is>
      </c>
    </row>
    <row r="1785">
      <c r="B1785" s="24" t="inlineStr">
        <is>
          <t>TakePartRole</t>
        </is>
      </c>
      <c r="C1785" s="24" t="inlineStr">
        <is>
          <t>案件法院方人员参与角色</t>
        </is>
      </c>
      <c r="D1785" s="24" t="inlineStr">
        <is>
          <t>01</t>
        </is>
      </c>
      <c r="E1785" s="24" t="inlineStr">
        <is>
          <t>法院院长</t>
        </is>
      </c>
    </row>
    <row r="1786">
      <c r="B1786" s="24" t="inlineStr">
        <is>
          <t>TakePartRole</t>
        </is>
      </c>
      <c r="C1786" s="24" t="inlineStr">
        <is>
          <t>案件法院方人员参与角色</t>
        </is>
      </c>
      <c r="D1786" s="24" t="inlineStr">
        <is>
          <t>02</t>
        </is>
      </c>
      <c r="E1786" s="24" t="inlineStr">
        <is>
          <t>审判长</t>
        </is>
      </c>
    </row>
    <row r="1787">
      <c r="B1787" s="24" t="inlineStr">
        <is>
          <t>TakePartRole</t>
        </is>
      </c>
      <c r="C1787" s="24" t="inlineStr">
        <is>
          <t>案件法院方人员参与角色</t>
        </is>
      </c>
      <c r="D1787" s="24" t="inlineStr">
        <is>
          <t>03</t>
        </is>
      </c>
      <c r="E1787" s="24" t="inlineStr">
        <is>
          <t>审判人员</t>
        </is>
      </c>
    </row>
    <row r="1788">
      <c r="B1788" s="24" t="inlineStr">
        <is>
          <t>TakePartRole</t>
        </is>
      </c>
      <c r="C1788" s="24" t="inlineStr">
        <is>
          <t>案件法院方人员参与角色</t>
        </is>
      </c>
      <c r="D1788" s="24" t="inlineStr">
        <is>
          <t>04</t>
        </is>
      </c>
      <c r="E1788" s="24" t="inlineStr">
        <is>
          <t>书记员</t>
        </is>
      </c>
    </row>
    <row r="1789">
      <c r="B1789" s="24" t="inlineStr">
        <is>
          <t>TakePartRole</t>
        </is>
      </c>
      <c r="C1789" s="24" t="inlineStr">
        <is>
          <t>案件法院方人员参与角色</t>
        </is>
      </c>
      <c r="D1789" s="24" t="inlineStr">
        <is>
          <t>05</t>
        </is>
      </c>
      <c r="E1789" s="24" t="inlineStr">
        <is>
          <t>合议庭成员</t>
        </is>
      </c>
    </row>
    <row r="1790">
      <c r="B1790" s="24" t="inlineStr">
        <is>
          <t>TakePartRole</t>
        </is>
      </c>
      <c r="C1790" s="24" t="inlineStr">
        <is>
          <t>案件法院方人员参与角色</t>
        </is>
      </c>
      <c r="D1790" s="24" t="inlineStr">
        <is>
          <t>06</t>
        </is>
      </c>
      <c r="E1790" s="24" t="inlineStr">
        <is>
          <t>执行法官</t>
        </is>
      </c>
    </row>
    <row r="1791">
      <c r="B1791" s="24" t="inlineStr">
        <is>
          <t>TakePartRole</t>
        </is>
      </c>
      <c r="C1791" s="24" t="inlineStr">
        <is>
          <t>案件法院方人员参与角色</t>
        </is>
      </c>
      <c r="D1791" s="24" t="inlineStr">
        <is>
          <t>07</t>
        </is>
      </c>
      <c r="E1791" s="24" t="inlineStr">
        <is>
          <t>其他</t>
        </is>
      </c>
    </row>
    <row r="1792" ht="15.95" customHeight="1" s="170">
      <c r="B1792" s="122" t="inlineStr">
        <is>
          <t>码值：CopyrightSource</t>
        </is>
      </c>
    </row>
    <row r="1793">
      <c r="B1793" s="24" t="inlineStr">
        <is>
          <t>CopyrightSource</t>
        </is>
      </c>
      <c r="C1793" s="24" t="inlineStr">
        <is>
          <t>著作权取得方式</t>
        </is>
      </c>
      <c r="D1793" s="24" t="inlineStr">
        <is>
          <t>01</t>
        </is>
      </c>
      <c r="E1793" s="24" t="inlineStr">
        <is>
          <t>原始</t>
        </is>
      </c>
    </row>
    <row r="1794">
      <c r="B1794" s="24" t="inlineStr">
        <is>
          <t>CopyrightSource</t>
        </is>
      </c>
      <c r="C1794" s="24" t="inlineStr">
        <is>
          <t>著作权取得方式</t>
        </is>
      </c>
      <c r="D1794" s="24" t="inlineStr">
        <is>
          <t>02</t>
        </is>
      </c>
      <c r="E1794" s="24" t="inlineStr">
        <is>
          <t>赠与</t>
        </is>
      </c>
    </row>
    <row r="1795">
      <c r="B1795" s="24" t="inlineStr">
        <is>
          <t>CopyrightSource</t>
        </is>
      </c>
      <c r="C1795" s="24" t="inlineStr">
        <is>
          <t>著作权取得方式</t>
        </is>
      </c>
      <c r="D1795" s="24" t="inlineStr">
        <is>
          <t>03</t>
        </is>
      </c>
      <c r="E1795" s="24" t="inlineStr">
        <is>
          <t>继承</t>
        </is>
      </c>
    </row>
    <row r="1796">
      <c r="B1796" s="24" t="inlineStr">
        <is>
          <t>CopyrightSource</t>
        </is>
      </c>
      <c r="C1796" s="24" t="inlineStr">
        <is>
          <t>著作权取得方式</t>
        </is>
      </c>
      <c r="D1796" s="24" t="inlineStr">
        <is>
          <t>04</t>
        </is>
      </c>
      <c r="E1796" s="24" t="inlineStr">
        <is>
          <t>遗赠</t>
        </is>
      </c>
    </row>
    <row r="1797">
      <c r="B1797" s="24" t="inlineStr">
        <is>
          <t>CopyrightSource</t>
        </is>
      </c>
      <c r="C1797" s="24" t="inlineStr">
        <is>
          <t>著作权取得方式</t>
        </is>
      </c>
      <c r="D1797" s="24" t="inlineStr">
        <is>
          <t>90</t>
        </is>
      </c>
      <c r="E1797" s="24" t="inlineStr">
        <is>
          <t>其他</t>
        </is>
      </c>
    </row>
    <row r="1798" ht="15.95" customHeight="1" s="170">
      <c r="B1798" s="122" t="inlineStr">
        <is>
          <t>码值：TabStrip</t>
        </is>
      </c>
    </row>
    <row r="1799">
      <c r="B1799" s="24" t="inlineStr">
        <is>
          <t>TabStrip</t>
        </is>
      </c>
      <c r="C1799" s="24" t="inlineStr">
        <is>
          <t>工作台</t>
        </is>
      </c>
      <c r="D1799" s="24" t="inlineStr">
        <is>
          <t>005</t>
        </is>
      </c>
      <c r="E1799" s="24" t="inlineStr">
        <is>
          <t>欢&amp;nbsp;&amp;nbsp;&amp;nbsp;迎</t>
        </is>
      </c>
    </row>
    <row r="1800">
      <c r="B1800" s="24" t="inlineStr">
        <is>
          <t>TabStrip</t>
        </is>
      </c>
      <c r="C1800" s="24" t="inlineStr">
        <is>
          <t>工作台</t>
        </is>
      </c>
      <c r="D1800" s="24" t="inlineStr">
        <is>
          <t>010</t>
        </is>
      </c>
      <c r="E1800" s="24" t="inlineStr">
        <is>
          <t>日常工作提示</t>
        </is>
      </c>
    </row>
    <row r="1801">
      <c r="B1801" s="24" t="inlineStr">
        <is>
          <t>TabStrip</t>
        </is>
      </c>
      <c r="C1801" s="24" t="inlineStr">
        <is>
          <t>工作台</t>
        </is>
      </c>
      <c r="D1801" s="24" t="inlineStr">
        <is>
          <t>020</t>
        </is>
      </c>
      <c r="E1801" s="24" t="inlineStr">
        <is>
          <t>业务提示和预警</t>
        </is>
      </c>
    </row>
    <row r="1802">
      <c r="B1802" s="24" t="inlineStr">
        <is>
          <t>TabStrip</t>
        </is>
      </c>
      <c r="C1802" s="24" t="inlineStr">
        <is>
          <t>工作台</t>
        </is>
      </c>
      <c r="D1802" s="24" t="inlineStr">
        <is>
          <t>030</t>
        </is>
      </c>
      <c r="E1802" s="24" t="inlineStr">
        <is>
          <t>工作计划/笔记</t>
        </is>
      </c>
    </row>
    <row r="1803">
      <c r="B1803" s="24" t="inlineStr">
        <is>
          <t>TabStrip</t>
        </is>
      </c>
      <c r="C1803" s="24" t="inlineStr">
        <is>
          <t>工作台</t>
        </is>
      </c>
      <c r="D1803" s="24" t="inlineStr">
        <is>
          <t>040</t>
        </is>
      </c>
      <c r="E1803" s="24" t="inlineStr">
        <is>
          <t>重点信息链接</t>
        </is>
      </c>
    </row>
    <row r="1804" ht="15.95" customHeight="1" s="170">
      <c r="B1804" s="122" t="inlineStr">
        <is>
          <t>码值：BondType</t>
        </is>
      </c>
    </row>
    <row r="1805">
      <c r="B1805" s="24" t="inlineStr">
        <is>
          <t>BondType</t>
        </is>
      </c>
      <c r="C1805" s="24" t="inlineStr">
        <is>
          <t>债券类型</t>
        </is>
      </c>
      <c r="D1805" s="24" t="inlineStr">
        <is>
          <t>01</t>
        </is>
      </c>
      <c r="E1805" s="24" t="inlineStr">
        <is>
          <t>企业债券</t>
        </is>
      </c>
    </row>
    <row r="1806">
      <c r="B1806" s="24" t="inlineStr">
        <is>
          <t>BondType</t>
        </is>
      </c>
      <c r="C1806" s="24" t="inlineStr">
        <is>
          <t>债券类型</t>
        </is>
      </c>
      <c r="D1806" s="24" t="inlineStr">
        <is>
          <t>02</t>
        </is>
      </c>
      <c r="E1806" s="24" t="inlineStr">
        <is>
          <t>公司债券</t>
        </is>
      </c>
    </row>
    <row r="1807">
      <c r="B1807" s="24" t="inlineStr">
        <is>
          <t>BondType</t>
        </is>
      </c>
      <c r="C1807" s="24" t="inlineStr">
        <is>
          <t>债券类型</t>
        </is>
      </c>
      <c r="D1807" s="24" t="inlineStr">
        <is>
          <t>03</t>
        </is>
      </c>
      <c r="E1807" s="24" t="inlineStr">
        <is>
          <t>金融债券</t>
        </is>
      </c>
    </row>
    <row r="1808">
      <c r="B1808" s="24" t="inlineStr">
        <is>
          <t>BondType</t>
        </is>
      </c>
      <c r="C1808" s="24" t="inlineStr">
        <is>
          <t>债券类型</t>
        </is>
      </c>
      <c r="D1808" s="24" t="inlineStr">
        <is>
          <t>04</t>
        </is>
      </c>
      <c r="E1808" s="24" t="inlineStr">
        <is>
          <t>可转换(公司)债券</t>
        </is>
      </c>
    </row>
    <row r="1809">
      <c r="B1809" s="24" t="inlineStr">
        <is>
          <t>BondType</t>
        </is>
      </c>
      <c r="C1809" s="24" t="inlineStr">
        <is>
          <t>债券类型</t>
        </is>
      </c>
      <c r="D1809" s="24" t="inlineStr">
        <is>
          <t>05</t>
        </is>
      </c>
      <c r="E1809" s="24" t="inlineStr">
        <is>
          <t>国际债券</t>
        </is>
      </c>
    </row>
    <row r="1810">
      <c r="B1810" s="24" t="inlineStr">
        <is>
          <t>BondType</t>
        </is>
      </c>
      <c r="C1810" s="24" t="inlineStr">
        <is>
          <t>债券类型</t>
        </is>
      </c>
      <c r="D1810" s="24" t="inlineStr">
        <is>
          <t>06</t>
        </is>
      </c>
      <c r="E1810" s="24" t="inlineStr">
        <is>
          <t>离岸债券</t>
        </is>
      </c>
    </row>
    <row r="1811" ht="15.95" customHeight="1" s="170">
      <c r="B1811" s="122" t="inlineStr">
        <is>
          <t>码值：GroupCustomerCreditView</t>
        </is>
      </c>
    </row>
    <row r="1812">
      <c r="B1812" s="24" t="inlineStr">
        <is>
          <t>GroupCustomerCreditView</t>
        </is>
      </c>
      <c r="C1812" s="24" t="inlineStr">
        <is>
          <t>集团授信状况</t>
        </is>
      </c>
      <c r="D1812" s="24" t="inlineStr">
        <is>
          <t>010</t>
        </is>
      </c>
      <c r="E1812" s="24" t="inlineStr">
        <is>
          <t>集团授信信息</t>
        </is>
      </c>
    </row>
    <row r="1813">
      <c r="B1813" s="24" t="inlineStr">
        <is>
          <t>GroupCustomerCreditView</t>
        </is>
      </c>
      <c r="C1813" s="24" t="inlineStr">
        <is>
          <t>集团授信状况</t>
        </is>
      </c>
      <c r="D1813" s="24" t="inlineStr">
        <is>
          <t>010010</t>
        </is>
      </c>
      <c r="E1813" s="24" t="inlineStr">
        <is>
          <t>集团授信信息</t>
        </is>
      </c>
    </row>
    <row r="1814">
      <c r="B1814" s="24" t="inlineStr">
        <is>
          <t>GroupCustomerCreditView</t>
        </is>
      </c>
      <c r="C1814" s="24" t="inlineStr">
        <is>
          <t>集团授信状况</t>
        </is>
      </c>
      <c r="D1814" s="24" t="inlineStr">
        <is>
          <t>020</t>
        </is>
      </c>
      <c r="E1814" s="24" t="inlineStr">
        <is>
          <t>集团担保信息</t>
        </is>
      </c>
    </row>
    <row r="1815">
      <c r="B1815" s="24" t="inlineStr">
        <is>
          <t>GroupCustomerCreditView</t>
        </is>
      </c>
      <c r="C1815" s="24" t="inlineStr">
        <is>
          <t>集团授信状况</t>
        </is>
      </c>
      <c r="D1815" s="24" t="inlineStr">
        <is>
          <t>020010</t>
        </is>
      </c>
      <c r="E1815" s="24" t="inlineStr">
        <is>
          <t>集团内担保信息</t>
        </is>
      </c>
    </row>
    <row r="1816">
      <c r="B1816" s="24" t="inlineStr">
        <is>
          <t>GroupCustomerCreditView</t>
        </is>
      </c>
      <c r="C1816" s="24" t="inlineStr">
        <is>
          <t>集团授信状况</t>
        </is>
      </c>
      <c r="D1816" s="24" t="inlineStr">
        <is>
          <t>020020</t>
        </is>
      </c>
      <c r="E1816" s="24" t="inlineStr">
        <is>
          <t>接受集团外客户担保信息</t>
        </is>
      </c>
    </row>
    <row r="1817">
      <c r="B1817" s="24" t="inlineStr">
        <is>
          <t>GroupCustomerCreditView</t>
        </is>
      </c>
      <c r="C1817" s="24" t="inlineStr">
        <is>
          <t>集团授信状况</t>
        </is>
      </c>
      <c r="D1817" s="24" t="inlineStr">
        <is>
          <t>020030</t>
        </is>
      </c>
      <c r="E1817" s="24" t="inlineStr">
        <is>
          <t>为集团外客户担保信息</t>
        </is>
      </c>
    </row>
    <row r="1818" ht="15.95" customHeight="1" s="170">
      <c r="B1818" s="122" t="inlineStr">
        <is>
          <t>码值：DebtServiceFund</t>
        </is>
      </c>
    </row>
    <row r="1819">
      <c r="B1819" s="24" t="inlineStr">
        <is>
          <t>DebtServiceFund</t>
        </is>
      </c>
      <c r="C1819" s="24" t="inlineStr">
        <is>
          <t>信用等级评估统一导入</t>
        </is>
      </c>
      <c r="D1819" s="24" t="inlineStr">
        <is>
          <t>01</t>
        </is>
      </c>
      <c r="E1819" s="24" t="inlineStr">
        <is>
          <t>无相应的偿债基金，但列入财政预算</t>
        </is>
      </c>
    </row>
    <row r="1820">
      <c r="B1820" s="24" t="inlineStr">
        <is>
          <t>DebtServiceFund</t>
        </is>
      </c>
      <c r="C1820" s="24" t="inlineStr">
        <is>
          <t>信用等级评估统一导入</t>
        </is>
      </c>
      <c r="D1820" s="24" t="inlineStr">
        <is>
          <t>02</t>
        </is>
      </c>
      <c r="E1820" s="24" t="inlineStr">
        <is>
          <t>国有土地使用权出让金收入</t>
        </is>
      </c>
    </row>
    <row r="1821">
      <c r="B1821" s="24" t="inlineStr">
        <is>
          <t>DebtServiceFund</t>
        </is>
      </c>
      <c r="C1821" s="24" t="inlineStr">
        <is>
          <t>信用等级评估统一导入</t>
        </is>
      </c>
      <c r="D1821" s="24" t="inlineStr">
        <is>
          <t>03</t>
        </is>
      </c>
      <c r="E1821" s="24" t="inlineStr">
        <is>
          <t>市级城建税收入</t>
        </is>
      </c>
    </row>
    <row r="1822">
      <c r="B1822" s="24" t="inlineStr">
        <is>
          <t>DebtServiceFund</t>
        </is>
      </c>
      <c r="C1822" s="24" t="inlineStr">
        <is>
          <t>信用等级评估统一导入</t>
        </is>
      </c>
      <c r="D1822" s="24" t="inlineStr">
        <is>
          <t>04</t>
        </is>
      </c>
      <c r="E1822" s="24" t="inlineStr">
        <is>
          <t>城市基础设施相关资产的转让收入</t>
        </is>
      </c>
    </row>
    <row r="1823">
      <c r="B1823" s="24" t="inlineStr">
        <is>
          <t>DebtServiceFund</t>
        </is>
      </c>
      <c r="C1823" s="24" t="inlineStr">
        <is>
          <t>信用等级评估统一导入</t>
        </is>
      </c>
      <c r="D1823" s="24" t="inlineStr">
        <is>
          <t>05</t>
        </is>
      </c>
      <c r="E1823" s="24" t="inlineStr">
        <is>
          <t>特许经营权转让收入</t>
        </is>
      </c>
    </row>
    <row r="1824">
      <c r="B1824" s="24" t="inlineStr">
        <is>
          <t>DebtServiceFund</t>
        </is>
      </c>
      <c r="C1824" s="24" t="inlineStr">
        <is>
          <t>信用等级评估统一导入</t>
        </is>
      </c>
      <c r="D1824" s="24" t="inlineStr">
        <is>
          <t>06</t>
        </is>
      </c>
      <c r="E1824" s="24" t="inlineStr">
        <is>
          <t>其他</t>
        </is>
      </c>
    </row>
    <row r="1825">
      <c r="B1825" s="24" t="inlineStr">
        <is>
          <t>DebtServiceFund</t>
        </is>
      </c>
      <c r="C1825" s="24" t="inlineStr">
        <is>
          <t>信用等级评估统一导入</t>
        </is>
      </c>
      <c r="D1825" s="24" t="inlineStr">
        <is>
          <t>07</t>
        </is>
      </c>
      <c r="E1825" s="24" t="inlineStr">
        <is>
          <t>无相应的偿债基金，且未列入财政预算</t>
        </is>
      </c>
    </row>
    <row r="1826" ht="15.95" customHeight="1" s="170">
      <c r="B1826" s="122" t="inlineStr">
        <is>
          <t>码值：DunAcknowledge</t>
        </is>
      </c>
    </row>
    <row r="1827">
      <c r="B1827" s="24" t="inlineStr">
        <is>
          <t>DunAcknowledge</t>
        </is>
      </c>
      <c r="C1827" s="24" t="inlineStr">
        <is>
          <t>反馈方式</t>
        </is>
      </c>
      <c r="D1827" s="24" t="inlineStr">
        <is>
          <t>01</t>
        </is>
      </c>
      <c r="E1827" s="24" t="inlineStr">
        <is>
          <t>回执</t>
        </is>
      </c>
    </row>
    <row r="1828">
      <c r="B1828" s="24" t="inlineStr">
        <is>
          <t>DunAcknowledge</t>
        </is>
      </c>
      <c r="C1828" s="24" t="inlineStr">
        <is>
          <t>反馈方式</t>
        </is>
      </c>
      <c r="D1828" s="24" t="inlineStr">
        <is>
          <t>02</t>
        </is>
      </c>
      <c r="E1828" s="24" t="inlineStr">
        <is>
          <t>其他</t>
        </is>
      </c>
    </row>
    <row r="1829" ht="15.95" customHeight="1" s="170">
      <c r="B1829" s="122" t="inlineStr">
        <is>
          <t>码值：EventType</t>
        </is>
      </c>
    </row>
    <row r="1830">
      <c r="B1830" s="24" t="inlineStr">
        <is>
          <t>EventType</t>
        </is>
      </c>
      <c r="C1830" s="24" t="inlineStr">
        <is>
          <t>大事记类型</t>
        </is>
      </c>
      <c r="D1830" s="24" t="inlineStr">
        <is>
          <t>0103</t>
        </is>
      </c>
      <c r="E1830" s="24" t="inlineStr">
        <is>
          <t>企业管理体制变化、超过所有者权益15%以上的收购、兼并或投资信息</t>
        </is>
      </c>
    </row>
    <row r="1831">
      <c r="B1831" s="24" t="inlineStr">
        <is>
          <t>EventType</t>
        </is>
      </c>
      <c r="C1831" s="24" t="inlineStr">
        <is>
          <t>大事记类型</t>
        </is>
      </c>
      <c r="D1831" s="24" t="inlineStr">
        <is>
          <t>0104</t>
        </is>
      </c>
      <c r="E1831" s="24" t="inlineStr">
        <is>
          <t>企业重大诉讼案件</t>
        </is>
      </c>
    </row>
    <row r="1832">
      <c r="B1832" s="24" t="inlineStr">
        <is>
          <t>EventType</t>
        </is>
      </c>
      <c r="C1832" s="24" t="inlineStr">
        <is>
          <t>大事记类型</t>
        </is>
      </c>
      <c r="D1832" s="24" t="inlineStr">
        <is>
          <t>0105</t>
        </is>
      </c>
      <c r="E1832" s="24" t="inlineStr">
        <is>
          <t>企业报表严重不实或未能提供</t>
        </is>
      </c>
    </row>
    <row r="1833">
      <c r="B1833" s="24" t="inlineStr">
        <is>
          <t>EventType</t>
        </is>
      </c>
      <c r="C1833" s="24" t="inlineStr">
        <is>
          <t>大事记类型</t>
        </is>
      </c>
      <c r="D1833" s="24" t="inlineStr">
        <is>
          <t>0106</t>
        </is>
      </c>
      <c r="E1833" s="24" t="inlineStr">
        <is>
          <t>企业申请贷款展期或借新还旧等</t>
        </is>
      </c>
    </row>
    <row r="1834">
      <c r="B1834" s="24" t="inlineStr">
        <is>
          <t>EventType</t>
        </is>
      </c>
      <c r="C1834" s="24" t="inlineStr">
        <is>
          <t>大事记类型</t>
        </is>
      </c>
      <c r="D1834" s="24" t="inlineStr">
        <is>
          <t>0107</t>
        </is>
      </c>
      <c r="E1834" s="24" t="inlineStr">
        <is>
          <t>贷款抵、质押物的价值发生巨大变化，或我行对抵押物失去控制</t>
        </is>
      </c>
    </row>
    <row r="1835">
      <c r="B1835" s="24" t="inlineStr">
        <is>
          <t>EventType</t>
        </is>
      </c>
      <c r="C1835" s="24" t="inlineStr">
        <is>
          <t>大事记类型</t>
        </is>
      </c>
      <c r="D1835" s="24" t="inlineStr">
        <is>
          <t>0108</t>
        </is>
      </c>
      <c r="E1835" s="24" t="inlineStr">
        <is>
          <t>担保人发生重大事件、如管理层变动，财务状况恶化等</t>
        </is>
      </c>
    </row>
    <row r="1836">
      <c r="B1836" s="24" t="inlineStr">
        <is>
          <t>EventType</t>
        </is>
      </c>
      <c r="C1836" s="24" t="inlineStr">
        <is>
          <t>大事记类型</t>
        </is>
      </c>
      <c r="D1836" s="24" t="inlineStr">
        <is>
          <t>0109</t>
        </is>
      </c>
      <c r="E1836" s="24" t="inlineStr">
        <is>
          <t>宏观经济、市场、行业等外部环境发生巨大变化</t>
        </is>
      </c>
    </row>
    <row r="1837">
      <c r="B1837" s="24" t="inlineStr">
        <is>
          <t>EventType</t>
        </is>
      </c>
      <c r="C1837" s="24" t="inlineStr">
        <is>
          <t>大事记类型</t>
        </is>
      </c>
      <c r="D1837" s="24" t="inlineStr">
        <is>
          <t>0201</t>
        </is>
      </c>
      <c r="E1837" s="24" t="inlineStr">
        <is>
          <t>离婚</t>
        </is>
      </c>
    </row>
    <row r="1838">
      <c r="B1838" s="24" t="inlineStr">
        <is>
          <t>EventType</t>
        </is>
      </c>
      <c r="C1838" s="24" t="inlineStr">
        <is>
          <t>大事记类型</t>
        </is>
      </c>
      <c r="D1838" s="24" t="inlineStr">
        <is>
          <t>0202</t>
        </is>
      </c>
      <c r="E1838" s="24" t="inlineStr">
        <is>
          <t>诉讼</t>
        </is>
      </c>
    </row>
    <row r="1839">
      <c r="B1839" s="24" t="inlineStr">
        <is>
          <t>EventType</t>
        </is>
      </c>
      <c r="C1839" s="24" t="inlineStr">
        <is>
          <t>大事记类型</t>
        </is>
      </c>
      <c r="D1839" s="24" t="inlineStr">
        <is>
          <t>0203</t>
        </is>
      </c>
      <c r="E1839" s="24" t="inlineStr">
        <is>
          <t>下岗</t>
        </is>
      </c>
    </row>
    <row r="1840">
      <c r="B1840" s="24" t="inlineStr">
        <is>
          <t>EventType</t>
        </is>
      </c>
      <c r="C1840" s="24" t="inlineStr">
        <is>
          <t>大事记类型</t>
        </is>
      </c>
      <c r="D1840" s="24" t="inlineStr">
        <is>
          <t>0204</t>
        </is>
      </c>
      <c r="E1840" s="24" t="inlineStr">
        <is>
          <t>个人控制企业发生重大变化</t>
        </is>
      </c>
    </row>
    <row r="1841">
      <c r="B1841" s="24" t="inlineStr">
        <is>
          <t>EventType</t>
        </is>
      </c>
      <c r="C1841" s="24" t="inlineStr">
        <is>
          <t>大事记类型</t>
        </is>
      </c>
      <c r="D1841" s="24" t="inlineStr">
        <is>
          <t>0205</t>
        </is>
      </c>
      <c r="E1841" s="24" t="inlineStr">
        <is>
          <t>重大疾病</t>
        </is>
      </c>
    </row>
    <row r="1842">
      <c r="B1842" s="24" t="inlineStr">
        <is>
          <t>EventType</t>
        </is>
      </c>
      <c r="C1842" s="24" t="inlineStr">
        <is>
          <t>大事记类型</t>
        </is>
      </c>
      <c r="D1842" s="24" t="inlineStr">
        <is>
          <t>0206</t>
        </is>
      </c>
      <c r="E1842" s="24" t="inlineStr">
        <is>
          <t>财产继承</t>
        </is>
      </c>
    </row>
    <row r="1843">
      <c r="B1843" s="24" t="inlineStr">
        <is>
          <t>EventType</t>
        </is>
      </c>
      <c r="C1843" s="24" t="inlineStr">
        <is>
          <t>大事记类型</t>
        </is>
      </c>
      <c r="D1843" s="24" t="inlineStr">
        <is>
          <t>0207</t>
        </is>
      </c>
      <c r="E1843" s="24" t="inlineStr">
        <is>
          <t>其他</t>
        </is>
      </c>
    </row>
    <row r="1844" ht="15.95" customHeight="1" s="170">
      <c r="B1844" s="122" t="inlineStr">
        <is>
          <t>码值：ColTypeStatus</t>
        </is>
      </c>
    </row>
    <row r="1845">
      <c r="B1845" s="24" t="inlineStr">
        <is>
          <t>ColTypeStatus</t>
        </is>
      </c>
      <c r="C1845" s="24" t="inlineStr">
        <is>
          <t>押品类型状态</t>
        </is>
      </c>
      <c r="D1845" s="24" t="inlineStr">
        <is>
          <t>01</t>
        </is>
      </c>
      <c r="E1845" s="24" t="inlineStr">
        <is>
          <t>是</t>
        </is>
      </c>
    </row>
    <row r="1846">
      <c r="B1846" s="24" t="inlineStr">
        <is>
          <t>ColTypeStatus</t>
        </is>
      </c>
      <c r="C1846" s="24" t="inlineStr">
        <is>
          <t>押品类型状态</t>
        </is>
      </c>
      <c r="D1846" s="24" t="inlineStr">
        <is>
          <t>02</t>
        </is>
      </c>
      <c r="E1846" s="24" t="inlineStr">
        <is>
          <t>否</t>
        </is>
      </c>
    </row>
    <row r="1847" ht="15.95" customHeight="1" s="170">
      <c r="B1847" s="122" t="inlineStr">
        <is>
          <t>码值：内部控制</t>
        </is>
      </c>
    </row>
    <row r="1848">
      <c r="B1848" s="24" t="inlineStr">
        <is>
          <t>内部控制</t>
        </is>
      </c>
      <c r="C1848" s="24" t="inlineStr">
        <is>
          <t>内部控制</t>
        </is>
      </c>
      <c r="D1848" s="24" t="inlineStr">
        <is>
          <t>01</t>
        </is>
      </c>
      <c r="E1848" s="24" t="inlineStr">
        <is>
          <t>企业有完善的内部控制体系，有成熟的内审部门对企业运作定期审查，且已经形成基于COSO的内部控制体系</t>
        </is>
      </c>
    </row>
    <row r="1849">
      <c r="B1849" s="24" t="inlineStr">
        <is>
          <t>内部控制</t>
        </is>
      </c>
      <c r="C1849" s="24" t="inlineStr">
        <is>
          <t>内部控制</t>
        </is>
      </c>
      <c r="D1849" s="24" t="inlineStr">
        <is>
          <t>02</t>
        </is>
      </c>
      <c r="E1849" s="24" t="inlineStr">
        <is>
          <t>企业有较好的内部控制体系，有内审部门对企业运作各个环节定期审查，且形成相应的报告体系</t>
        </is>
      </c>
    </row>
    <row r="1850">
      <c r="B1850" s="24" t="inlineStr">
        <is>
          <t>内部控制</t>
        </is>
      </c>
      <c r="C1850" s="24" t="inlineStr">
        <is>
          <t>内部控制</t>
        </is>
      </c>
      <c r="D1850" s="24" t="inlineStr">
        <is>
          <t>03</t>
        </is>
      </c>
      <c r="E1850" s="24" t="inlineStr">
        <is>
          <t>企业有内部控制体系，有内审部门的设置，但是未能形成相应的定期报告体系</t>
        </is>
      </c>
    </row>
    <row r="1851">
      <c r="B1851" s="24" t="inlineStr">
        <is>
          <t>内部控制</t>
        </is>
      </c>
      <c r="C1851" s="24" t="inlineStr">
        <is>
          <t>内部控制</t>
        </is>
      </c>
      <c r="D1851" s="24" t="inlineStr">
        <is>
          <t>04</t>
        </is>
      </c>
      <c r="E1851" s="24" t="inlineStr">
        <is>
          <t>企业没有内部控制体系</t>
        </is>
      </c>
    </row>
    <row r="1852" ht="15.95" customHeight="1" s="170">
      <c r="B1852" s="122" t="inlineStr">
        <is>
          <t>码值：管理风格</t>
        </is>
      </c>
    </row>
    <row r="1853">
      <c r="B1853" s="24" t="inlineStr">
        <is>
          <t>管理风格</t>
        </is>
      </c>
      <c r="C1853" s="24" t="inlineStr">
        <is>
          <t>管理风格</t>
        </is>
      </c>
      <c r="D1853" s="24" t="inlineStr">
        <is>
          <t>01</t>
        </is>
      </c>
      <c r="E1853" s="24" t="inlineStr">
        <is>
          <t>公司关注最低获利能力水平，能够从战略角度平衡安全性和盈利性，且公司能够平衡好各利益方的利益；相比同业，财务政策非常保守，杠杠水平较低，现金流充足。</t>
        </is>
      </c>
    </row>
    <row r="1854">
      <c r="B1854" s="24" t="inlineStr">
        <is>
          <t>管理风格</t>
        </is>
      </c>
      <c r="C1854" s="24" t="inlineStr">
        <is>
          <t>管理风格</t>
        </is>
      </c>
      <c r="D1854" s="24" t="inlineStr">
        <is>
          <t>02</t>
        </is>
      </c>
      <c r="E1854" s="24" t="inlineStr">
        <is>
          <t>公司关注盈利，为保持市场份额增长和公司正常扩张，愿意在一定程度上牺牲盈利，但不会为此而破坏财务安全。较之同业，公司财务战略管理水平较高。</t>
        </is>
      </c>
    </row>
    <row r="1855">
      <c r="B1855" s="24" t="inlineStr">
        <is>
          <t>管理风格</t>
        </is>
      </c>
      <c r="C1855" s="24" t="inlineStr">
        <is>
          <t>管理风格</t>
        </is>
      </c>
      <c r="D1855" s="24" t="inlineStr">
        <is>
          <t>03</t>
        </is>
      </c>
      <c r="E1855" s="24" t="inlineStr">
        <is>
          <t>公司主要关注盈利，同时兼顾市场份额增长和公司正常扩张，并且不会为此而破坏财务安全。较之同业，公司财务战略管理水平一般。</t>
        </is>
      </c>
    </row>
    <row r="1856">
      <c r="B1856" s="24" t="inlineStr">
        <is>
          <t>管理风格</t>
        </is>
      </c>
      <c r="C1856" s="24" t="inlineStr">
        <is>
          <t>管理风格</t>
        </is>
      </c>
      <c r="D1856" s="24" t="inlineStr">
        <is>
          <t>04</t>
        </is>
      </c>
      <c r="E1856" s="24" t="inlineStr">
        <is>
          <t>在追求公司市场份额增长或正常扩张的前提下，公司重点关注盈利，且愿意大幅牺牲财务安全性，但对公司流动性不构成威胁。财务战略管理水平低于市场标准</t>
        </is>
      </c>
    </row>
    <row r="1857">
      <c r="B1857" s="24" t="inlineStr">
        <is>
          <t>管理风格</t>
        </is>
      </c>
      <c r="C1857" s="24" t="inlineStr">
        <is>
          <t>管理风格</t>
        </is>
      </c>
      <c r="D1857" s="24" t="inlineStr">
        <is>
          <t>05</t>
        </is>
      </c>
      <c r="E1857" s="24" t="inlineStr">
        <is>
          <t>公司战略目标短期，过分关注盈利而忽视了市场份额增长或正常的业务扩张，面对挑战和机遇存在投机心理。</t>
        </is>
      </c>
    </row>
    <row r="1858" ht="15.95" customHeight="1" s="170">
      <c r="B1858" s="122" t="inlineStr">
        <is>
          <t>码值：-139976395-18650586</t>
        </is>
      </c>
    </row>
    <row r="1859">
      <c r="B1859" s="24" t="inlineStr">
        <is>
          <t>-139976395-18650586</t>
        </is>
      </c>
      <c r="C1859" s="24" t="inlineStr">
        <is>
          <t>-139976395-18650586</t>
        </is>
      </c>
      <c r="D1859" s="24" t="inlineStr">
        <is>
          <t>1020</t>
        </is>
      </c>
      <c r="E1859" s="24" t="inlineStr">
        <is>
          <t>申请阶段1020</t>
        </is>
      </c>
    </row>
    <row r="1860">
      <c r="B1860" s="24" t="inlineStr">
        <is>
          <t>-139976395-18650586</t>
        </is>
      </c>
      <c r="C1860" s="24" t="inlineStr">
        <is>
          <t>-139976395-18650586</t>
        </is>
      </c>
      <c r="D1860" s="24" t="inlineStr">
        <is>
          <t>1040</t>
        </is>
      </c>
      <c r="E1860" s="24" t="inlineStr">
        <is>
          <t>申请阶段1040</t>
        </is>
      </c>
    </row>
    <row r="1861">
      <c r="B1861" s="24" t="inlineStr">
        <is>
          <t>-139976395-18650586</t>
        </is>
      </c>
      <c r="C1861" s="24" t="inlineStr">
        <is>
          <t>-139976395-18650586</t>
        </is>
      </c>
      <c r="D1861" s="24" t="inlineStr">
        <is>
          <t>1050</t>
        </is>
      </c>
      <c r="E1861" s="24" t="inlineStr">
        <is>
          <t>申请阶段1050</t>
        </is>
      </c>
    </row>
    <row r="1862" ht="15.95" customHeight="1" s="170">
      <c r="B1862" s="122" t="inlineStr">
        <is>
          <t>码值：InvoiceDrawApplyMain</t>
        </is>
      </c>
    </row>
    <row r="1863">
      <c r="B1863" s="24" t="inlineStr">
        <is>
          <t>InvoiceDrawApplyMain</t>
        </is>
      </c>
      <c r="C1863" s="24" t="inlineStr">
        <is>
          <t>开票主树图</t>
        </is>
      </c>
      <c r="D1863" s="24" t="inlineStr">
        <is>
          <t>1010</t>
        </is>
      </c>
      <c r="E1863" s="24" t="inlineStr">
        <is>
          <t>开票申请</t>
        </is>
      </c>
    </row>
    <row r="1864">
      <c r="B1864" s="24" t="inlineStr">
        <is>
          <t>InvoiceDrawApplyMain</t>
        </is>
      </c>
      <c r="C1864" s="24" t="inlineStr">
        <is>
          <t>开票主树图</t>
        </is>
      </c>
      <c r="D1864" s="24" t="inlineStr">
        <is>
          <t>1020</t>
        </is>
      </c>
      <c r="E1864" s="24" t="inlineStr">
        <is>
          <t>开票审核</t>
        </is>
      </c>
    </row>
    <row r="1865">
      <c r="B1865" s="24" t="inlineStr">
        <is>
          <t>InvoiceDrawApplyMain</t>
        </is>
      </c>
      <c r="C1865" s="24" t="inlineStr">
        <is>
          <t>开票主树图</t>
        </is>
      </c>
      <c r="D1865" s="24" t="inlineStr">
        <is>
          <t>1040</t>
        </is>
      </c>
      <c r="E1865" s="24" t="inlineStr">
        <is>
          <t>已批准</t>
        </is>
      </c>
    </row>
    <row r="1866">
      <c r="B1866" s="24" t="inlineStr">
        <is>
          <t>InvoiceDrawApplyMain</t>
        </is>
      </c>
      <c r="C1866" s="24" t="inlineStr">
        <is>
          <t>开票主树图</t>
        </is>
      </c>
      <c r="D1866" s="24" t="inlineStr">
        <is>
          <t>1050</t>
        </is>
      </c>
      <c r="E1866" s="24" t="inlineStr">
        <is>
          <t>已否决</t>
        </is>
      </c>
    </row>
    <row r="1867" ht="15.95" customHeight="1" s="170">
      <c r="B1867" s="122" t="inlineStr">
        <is>
          <t>码值：GuarantyType</t>
        </is>
      </c>
    </row>
    <row r="1868">
      <c r="B1868" s="24" t="inlineStr">
        <is>
          <t>GuarantyType</t>
        </is>
      </c>
      <c r="C1868" s="24" t="inlineStr">
        <is>
          <t>担保类型</t>
        </is>
      </c>
      <c r="D1868" s="24" t="inlineStr">
        <is>
          <t>010</t>
        </is>
      </c>
      <c r="E1868" s="24" t="inlineStr">
        <is>
          <t>一般担保</t>
        </is>
      </c>
    </row>
    <row r="1869">
      <c r="B1869" s="24" t="inlineStr">
        <is>
          <t>GuarantyType</t>
        </is>
      </c>
      <c r="C1869" s="24" t="inlineStr">
        <is>
          <t>担保类型</t>
        </is>
      </c>
      <c r="D1869" s="24" t="inlineStr">
        <is>
          <t>020</t>
        </is>
      </c>
      <c r="E1869" s="24" t="inlineStr">
        <is>
          <t>最高额担保</t>
        </is>
      </c>
    </row>
    <row r="1870" ht="15.95" customHeight="1" s="170">
      <c r="B1870" s="122" t="inlineStr">
        <is>
          <t>码值：FamilyVersionApproveView</t>
        </is>
      </c>
    </row>
    <row r="1871">
      <c r="B1871" s="24" t="inlineStr">
        <is>
          <t>FamilyVersionApproveView</t>
        </is>
      </c>
      <c r="C1871" s="24" t="inlineStr">
        <is>
          <t>集团家谱复核视图</t>
        </is>
      </c>
      <c r="D1871" s="24" t="inlineStr">
        <is>
          <t>10</t>
        </is>
      </c>
      <c r="E1871" s="24" t="inlineStr">
        <is>
          <t>待处理</t>
        </is>
      </c>
    </row>
    <row r="1872">
      <c r="B1872" s="24" t="inlineStr">
        <is>
          <t>FamilyVersionApproveView</t>
        </is>
      </c>
      <c r="C1872" s="24" t="inlineStr">
        <is>
          <t>集团家谱复核视图</t>
        </is>
      </c>
      <c r="D1872" s="24" t="inlineStr">
        <is>
          <t>20</t>
        </is>
      </c>
      <c r="E1872" s="24" t="inlineStr">
        <is>
          <t>已处理</t>
        </is>
      </c>
    </row>
    <row r="1873" ht="15.95" customHeight="1" s="170">
      <c r="B1873" s="122" t="inlineStr">
        <is>
          <t>码值：FlowControlMain</t>
        </is>
      </c>
    </row>
    <row r="1874">
      <c r="B1874" s="24" t="inlineStr">
        <is>
          <t>FlowControlMain</t>
        </is>
      </c>
      <c r="C1874" s="24" t="inlineStr">
        <is>
          <t>流程监控</t>
        </is>
      </c>
      <c r="D1874" s="24" t="inlineStr">
        <is>
          <t>010</t>
        </is>
      </c>
      <c r="E1874" s="24" t="inlineStr">
        <is>
          <t>在办业务</t>
        </is>
      </c>
    </row>
    <row r="1875">
      <c r="B1875" s="24" t="inlineStr">
        <is>
          <t>FlowControlMain</t>
        </is>
      </c>
      <c r="C1875" s="24" t="inlineStr">
        <is>
          <t>流程监控</t>
        </is>
      </c>
      <c r="D1875" s="24" t="inlineStr">
        <is>
          <t>020</t>
        </is>
      </c>
      <c r="E1875" s="24" t="inlineStr">
        <is>
          <t>已办业务</t>
        </is>
      </c>
    </row>
    <row r="1876" ht="15.95" customHeight="1" s="170">
      <c r="B1876" s="122" t="inlineStr">
        <is>
          <t>码值：RightCertStatus</t>
        </is>
      </c>
    </row>
    <row r="1877">
      <c r="B1877" s="24" t="inlineStr">
        <is>
          <t>RightCertStatus</t>
        </is>
      </c>
      <c r="C1877" s="24" t="inlineStr">
        <is>
          <t>权证出入库状态</t>
        </is>
      </c>
      <c r="D1877" s="24" t="inlineStr">
        <is>
          <t>01</t>
        </is>
      </c>
      <c r="E1877" s="24" t="inlineStr">
        <is>
          <t>未入库</t>
        </is>
      </c>
    </row>
    <row r="1878">
      <c r="B1878" s="74" t="inlineStr">
        <is>
          <t>RightCertStatus</t>
        </is>
      </c>
      <c r="C1878" s="77" t="inlineStr">
        <is>
          <t>权证出入库状态</t>
        </is>
      </c>
      <c r="D1878" s="74" t="inlineStr">
        <is>
          <t>02</t>
        </is>
      </c>
      <c r="E1878" s="77" t="inlineStr">
        <is>
          <t>待入库</t>
        </is>
      </c>
    </row>
    <row r="1879">
      <c r="B1879" s="24" t="inlineStr">
        <is>
          <t>RightCertStatus</t>
        </is>
      </c>
      <c r="C1879" s="24" t="inlineStr">
        <is>
          <t>权证出入库状态</t>
        </is>
      </c>
      <c r="D1879" s="24" t="inlineStr">
        <is>
          <t>02</t>
        </is>
      </c>
      <c r="E1879" s="24" t="inlineStr">
        <is>
          <t>已入库</t>
        </is>
      </c>
    </row>
    <row r="1880">
      <c r="B1880" s="74" t="inlineStr">
        <is>
          <t>RightCertStatus</t>
        </is>
      </c>
      <c r="C1880" s="77" t="inlineStr">
        <is>
          <t>权证出入库状态</t>
        </is>
      </c>
      <c r="D1880" s="74" t="inlineStr">
        <is>
          <t>04</t>
        </is>
      </c>
      <c r="E1880" s="77" t="inlineStr">
        <is>
          <t>待出库</t>
        </is>
      </c>
    </row>
    <row r="1881">
      <c r="B1881" s="74" t="inlineStr">
        <is>
          <t>RightCertStatus</t>
        </is>
      </c>
      <c r="C1881" s="77" t="inlineStr">
        <is>
          <t>权证出入库状态</t>
        </is>
      </c>
      <c r="D1881" s="74" t="inlineStr">
        <is>
          <t>05</t>
        </is>
      </c>
      <c r="E1881" s="77" t="inlineStr">
        <is>
          <t>待回库</t>
        </is>
      </c>
    </row>
    <row r="1882">
      <c r="B1882" s="46" t="inlineStr">
        <is>
          <t>RightCertStatus</t>
        </is>
      </c>
      <c r="C1882" s="49" t="inlineStr">
        <is>
          <t>权证出入库状态</t>
        </is>
      </c>
      <c r="D1882" s="123" t="inlineStr">
        <is>
          <t>03</t>
        </is>
      </c>
      <c r="E1882" s="49" t="inlineStr">
        <is>
          <t>借用</t>
        </is>
      </c>
      <c r="F1882" s="2" t="inlineStr">
        <is>
          <t>改为临时出库</t>
        </is>
      </c>
    </row>
    <row r="1883">
      <c r="B1883" s="74" t="inlineStr">
        <is>
          <t>RightCertStatus</t>
        </is>
      </c>
      <c r="C1883" s="77" t="inlineStr">
        <is>
          <t>权证出入库状态</t>
        </is>
      </c>
      <c r="D1883" s="74" t="inlineStr">
        <is>
          <t>07</t>
        </is>
      </c>
      <c r="E1883" s="77" t="inlineStr">
        <is>
          <t>特殊出库</t>
        </is>
      </c>
    </row>
    <row r="1884">
      <c r="B1884" s="24" t="inlineStr">
        <is>
          <t>RightCertStatus</t>
        </is>
      </c>
      <c r="C1884" s="24" t="inlineStr">
        <is>
          <t>权证出入库状态</t>
        </is>
      </c>
      <c r="D1884" s="124" t="inlineStr">
        <is>
          <t>04</t>
        </is>
      </c>
      <c r="E1884" s="24" t="inlineStr">
        <is>
          <t>已出库</t>
        </is>
      </c>
    </row>
    <row r="1885" ht="15.95" customHeight="1" s="170">
      <c r="B1885" s="122" t="inlineStr">
        <is>
          <t>码值：应收帐款风险</t>
        </is>
      </c>
    </row>
    <row r="1886">
      <c r="B1886" s="24" t="inlineStr">
        <is>
          <t>应收帐款风险</t>
        </is>
      </c>
      <c r="C1886" s="24" t="inlineStr">
        <is>
          <t>应收帐款风险</t>
        </is>
      </c>
      <c r="D1886" s="24" t="inlineStr">
        <is>
          <t>01</t>
        </is>
      </c>
      <c r="E1886" s="24" t="inlineStr">
        <is>
          <t>超过180天的应收账款余额占应收账款比例小于10%</t>
        </is>
      </c>
    </row>
    <row r="1887">
      <c r="B1887" s="24" t="inlineStr">
        <is>
          <t>应收帐款风险</t>
        </is>
      </c>
      <c r="C1887" s="24" t="inlineStr">
        <is>
          <t>应收帐款风险</t>
        </is>
      </c>
      <c r="D1887" s="24" t="inlineStr">
        <is>
          <t>02</t>
        </is>
      </c>
      <c r="E1887" s="24" t="inlineStr">
        <is>
          <t>超过180天的应收账款余额占应收账款比例小于30%</t>
        </is>
      </c>
    </row>
    <row r="1888">
      <c r="B1888" s="24" t="inlineStr">
        <is>
          <t>应收帐款风险</t>
        </is>
      </c>
      <c r="C1888" s="24" t="inlineStr">
        <is>
          <t>应收帐款风险</t>
        </is>
      </c>
      <c r="D1888" s="24" t="inlineStr">
        <is>
          <t>03</t>
        </is>
      </c>
      <c r="E1888" s="24" t="inlineStr">
        <is>
          <t>超过180天的应收账款余额占应收账款比例小于50%</t>
        </is>
      </c>
    </row>
    <row r="1889">
      <c r="B1889" s="24" t="inlineStr">
        <is>
          <t>应收帐款风险</t>
        </is>
      </c>
      <c r="C1889" s="24" t="inlineStr">
        <is>
          <t>应收帐款风险</t>
        </is>
      </c>
      <c r="D1889" s="24" t="inlineStr">
        <is>
          <t>04</t>
        </is>
      </c>
      <c r="E1889" s="24" t="inlineStr">
        <is>
          <t>超过365天的应收账款余额占应收账款比例小于30%</t>
        </is>
      </c>
    </row>
    <row r="1890">
      <c r="B1890" s="24" t="inlineStr">
        <is>
          <t>应收帐款风险</t>
        </is>
      </c>
      <c r="C1890" s="24" t="inlineStr">
        <is>
          <t>应收帐款风险</t>
        </is>
      </c>
      <c r="D1890" s="24" t="inlineStr">
        <is>
          <t>05</t>
        </is>
      </c>
      <c r="E1890" s="24" t="inlineStr">
        <is>
          <t>超过365天的应收账款余额占应收账款比例小于50%</t>
        </is>
      </c>
    </row>
    <row r="1891" ht="15.95" customHeight="1" s="170">
      <c r="B1891" s="122" t="inlineStr">
        <is>
          <t>码值：FundType</t>
        </is>
      </c>
    </row>
    <row r="1892">
      <c r="B1892" s="24" t="inlineStr">
        <is>
          <t>FundType</t>
        </is>
      </c>
      <c r="C1892" s="24" t="inlineStr">
        <is>
          <t>基金类型</t>
        </is>
      </c>
      <c r="D1892" s="24" t="inlineStr">
        <is>
          <t>01</t>
        </is>
      </c>
      <c r="E1892" s="24" t="inlineStr">
        <is>
          <t>债券型开放式基金</t>
        </is>
      </c>
    </row>
    <row r="1893">
      <c r="B1893" s="24" t="inlineStr">
        <is>
          <t>FundType</t>
        </is>
      </c>
      <c r="C1893" s="24" t="inlineStr">
        <is>
          <t>基金类型</t>
        </is>
      </c>
      <c r="D1893" s="24" t="inlineStr">
        <is>
          <t>02</t>
        </is>
      </c>
      <c r="E1893" s="24" t="inlineStr">
        <is>
          <t>货币市场型开放式基金</t>
        </is>
      </c>
    </row>
    <row r="1894">
      <c r="B1894" s="24" t="inlineStr">
        <is>
          <t>FundType</t>
        </is>
      </c>
      <c r="C1894" s="24" t="inlineStr">
        <is>
          <t>基金类型</t>
        </is>
      </c>
      <c r="D1894" s="24" t="inlineStr">
        <is>
          <t>03</t>
        </is>
      </c>
      <c r="E1894" s="24" t="inlineStr">
        <is>
          <t>其他</t>
        </is>
      </c>
    </row>
    <row r="1895" ht="15.95" customHeight="1" s="170">
      <c r="B1895" s="122" t="inlineStr">
        <is>
          <t>码值：CompanyQualification</t>
        </is>
      </c>
    </row>
    <row r="1896">
      <c r="B1896" s="24" t="inlineStr">
        <is>
          <t>CompanyQualification</t>
        </is>
      </c>
      <c r="C1896" s="24" t="inlineStr">
        <is>
          <t>信用等级评估统一导入</t>
        </is>
      </c>
      <c r="D1896" s="24" t="inlineStr">
        <is>
          <t>01</t>
        </is>
      </c>
      <c r="E1896" s="24" t="inlineStr">
        <is>
          <t>一级房地产企业</t>
        </is>
      </c>
    </row>
    <row r="1897">
      <c r="B1897" s="24" t="inlineStr">
        <is>
          <t>CompanyQualification</t>
        </is>
      </c>
      <c r="C1897" s="24" t="inlineStr">
        <is>
          <t>信用等级评估统一导入</t>
        </is>
      </c>
      <c r="D1897" s="24" t="inlineStr">
        <is>
          <t>02</t>
        </is>
      </c>
      <c r="E1897" s="24" t="inlineStr">
        <is>
          <t>二级以上房地产企业</t>
        </is>
      </c>
    </row>
    <row r="1898">
      <c r="B1898" s="24" t="inlineStr">
        <is>
          <t>CompanyQualification</t>
        </is>
      </c>
      <c r="C1898" s="24" t="inlineStr">
        <is>
          <t>信用等级评估统一导入</t>
        </is>
      </c>
      <c r="D1898" s="24" t="inlineStr">
        <is>
          <t>03</t>
        </is>
      </c>
      <c r="E1898" s="24" t="inlineStr">
        <is>
          <t>二级以下房地产企业</t>
        </is>
      </c>
    </row>
    <row r="1899">
      <c r="B1899" s="24" t="inlineStr">
        <is>
          <t>CompanyQualification</t>
        </is>
      </c>
      <c r="C1899" s="24" t="inlineStr">
        <is>
          <t>信用等级评估统一导入</t>
        </is>
      </c>
      <c r="D1899" s="24" t="inlineStr">
        <is>
          <t>04</t>
        </is>
      </c>
      <c r="E1899" s="24" t="inlineStr">
        <is>
          <t>其他企业</t>
        </is>
      </c>
    </row>
    <row r="1900" ht="15.95" customHeight="1" s="170">
      <c r="B1900" s="122" t="inlineStr">
        <is>
          <t>码值：TransformApplyMain</t>
        </is>
      </c>
    </row>
    <row r="1901">
      <c r="B1901" s="24" t="inlineStr">
        <is>
          <t>TransformApplyMain</t>
        </is>
      </c>
      <c r="C1901" s="24" t="inlineStr">
        <is>
          <t>担保变更申请主树图</t>
        </is>
      </c>
      <c r="D1901" s="24" t="inlineStr">
        <is>
          <t>1010</t>
        </is>
      </c>
      <c r="E1901" s="24" t="inlineStr">
        <is>
          <t>待处理申请</t>
        </is>
      </c>
    </row>
    <row r="1902">
      <c r="B1902" s="24" t="inlineStr">
        <is>
          <t>TransformApplyMain</t>
        </is>
      </c>
      <c r="C1902" s="24" t="inlineStr">
        <is>
          <t>担保变更申请主树图</t>
        </is>
      </c>
      <c r="D1902" s="24" t="inlineStr">
        <is>
          <t>1020</t>
        </is>
      </c>
      <c r="E1902" s="24" t="inlineStr">
        <is>
          <t>审查审批中申请</t>
        </is>
      </c>
    </row>
    <row r="1903">
      <c r="B1903" s="24" t="inlineStr">
        <is>
          <t>TransformApplyMain</t>
        </is>
      </c>
      <c r="C1903" s="24" t="inlineStr">
        <is>
          <t>担保变更申请主树图</t>
        </is>
      </c>
      <c r="D1903" s="24" t="inlineStr">
        <is>
          <t>1030</t>
        </is>
      </c>
      <c r="E1903" s="24" t="inlineStr">
        <is>
          <t>退回补充资料申请</t>
        </is>
      </c>
    </row>
    <row r="1904">
      <c r="B1904" s="24" t="inlineStr">
        <is>
          <t>TransformApplyMain</t>
        </is>
      </c>
      <c r="C1904" s="24" t="inlineStr">
        <is>
          <t>担保变更申请主树图</t>
        </is>
      </c>
      <c r="D1904" s="24" t="inlineStr">
        <is>
          <t>1040</t>
        </is>
      </c>
      <c r="E1904" s="24" t="inlineStr">
        <is>
          <t>审批通过申请</t>
        </is>
      </c>
    </row>
    <row r="1905">
      <c r="B1905" s="24" t="inlineStr">
        <is>
          <t>TransformApplyMain</t>
        </is>
      </c>
      <c r="C1905" s="24" t="inlineStr">
        <is>
          <t>担保变更申请主树图</t>
        </is>
      </c>
      <c r="D1905" s="24" t="inlineStr">
        <is>
          <t>1050</t>
        </is>
      </c>
      <c r="E1905" s="24" t="inlineStr">
        <is>
          <t>被否决申请</t>
        </is>
      </c>
    </row>
    <row r="1906" ht="15.95" customHeight="1" s="170">
      <c r="B1906" s="122" t="inlineStr">
        <is>
          <t>码值：施工控股投资人背景</t>
        </is>
      </c>
    </row>
    <row r="1907">
      <c r="B1907" s="24" t="inlineStr">
        <is>
          <t>施工控股投资人背景</t>
        </is>
      </c>
      <c r="C1907" s="24" t="inlineStr">
        <is>
          <t>施工控股投资人背景</t>
        </is>
      </c>
      <c r="D1907" s="24" t="inlineStr">
        <is>
          <t>1</t>
        </is>
      </c>
      <c r="E1907" s="24" t="inlineStr">
        <is>
          <t>国际著名企业在华投资且外方投资金额在3000万美金以上</t>
        </is>
      </c>
    </row>
    <row r="1908">
      <c r="B1908" s="24" t="inlineStr">
        <is>
          <t>施工控股投资人背景</t>
        </is>
      </c>
      <c r="C1908" s="24" t="inlineStr">
        <is>
          <t>施工控股投资人背景</t>
        </is>
      </c>
      <c r="D1908" s="24" t="inlineStr">
        <is>
          <t>2</t>
        </is>
      </c>
      <c r="E1908" s="24" t="inlineStr">
        <is>
          <t>中央级企业</t>
        </is>
      </c>
    </row>
    <row r="1909">
      <c r="B1909" s="24" t="inlineStr">
        <is>
          <t>施工控股投资人背景</t>
        </is>
      </c>
      <c r="C1909" s="24" t="inlineStr">
        <is>
          <t>施工控股投资人背景</t>
        </is>
      </c>
      <c r="D1909" s="24" t="inlineStr">
        <is>
          <t>3</t>
        </is>
      </c>
      <c r="E1909" s="24" t="inlineStr">
        <is>
          <t>其他外商</t>
        </is>
      </c>
    </row>
    <row r="1910">
      <c r="B1910" s="24" t="inlineStr">
        <is>
          <t>施工控股投资人背景</t>
        </is>
      </c>
      <c r="C1910" s="24" t="inlineStr">
        <is>
          <t>施工控股投资人背景</t>
        </is>
      </c>
      <c r="D1910" s="24" t="inlineStr">
        <is>
          <t>4</t>
        </is>
      </c>
      <c r="E1910" s="24" t="inlineStr">
        <is>
          <t>上市公司</t>
        </is>
      </c>
    </row>
    <row r="1911">
      <c r="B1911" s="24" t="inlineStr">
        <is>
          <t>施工控股投资人背景</t>
        </is>
      </c>
      <c r="C1911" s="24" t="inlineStr">
        <is>
          <t>施工控股投资人背景</t>
        </is>
      </c>
      <c r="D1911" s="24" t="inlineStr">
        <is>
          <t>5</t>
        </is>
      </c>
      <c r="E1911" s="24" t="inlineStr">
        <is>
          <t>其他</t>
        </is>
      </c>
    </row>
    <row r="1912">
      <c r="B1912" s="24" t="inlineStr">
        <is>
          <t>施工控股投资人背景</t>
        </is>
      </c>
      <c r="C1912" s="24" t="inlineStr">
        <is>
          <t>施工控股投资人背景</t>
        </is>
      </c>
      <c r="D1912" s="24" t="inlineStr">
        <is>
          <t>6</t>
        </is>
      </c>
      <c r="E1912" s="24" t="inlineStr">
        <is>
          <t>全部由私人出资，股东人数小于等于4人、且净资产在500万以下</t>
        </is>
      </c>
    </row>
    <row r="1913" ht="15.95" customHeight="1" s="170">
      <c r="B1913" s="122" t="inlineStr">
        <is>
          <t>码值：经营管理目标</t>
        </is>
      </c>
    </row>
    <row r="1914">
      <c r="B1914" s="24" t="inlineStr">
        <is>
          <t>经营管理目标</t>
        </is>
      </c>
      <c r="C1914" s="24" t="inlineStr">
        <is>
          <t>经营管理目标</t>
        </is>
      </c>
      <c r="D1914" s="24" t="inlineStr">
        <is>
          <t>1</t>
        </is>
      </c>
      <c r="E1914" s="24" t="inlineStr">
        <is>
          <t>有</t>
        </is>
      </c>
    </row>
    <row r="1915">
      <c r="B1915" s="24" t="inlineStr">
        <is>
          <t>经营管理目标</t>
        </is>
      </c>
      <c r="C1915" s="24" t="inlineStr">
        <is>
          <t>经营管理目标</t>
        </is>
      </c>
      <c r="D1915" s="24" t="inlineStr">
        <is>
          <t>2</t>
        </is>
      </c>
      <c r="E1915" s="24" t="inlineStr">
        <is>
          <t>无</t>
        </is>
      </c>
    </row>
    <row r="1916" ht="15.95" customHeight="1" s="170">
      <c r="B1916" s="122" t="inlineStr">
        <is>
          <t>码值：TakePartRole1</t>
        </is>
      </c>
    </row>
    <row r="1917">
      <c r="B1917" s="24" t="inlineStr">
        <is>
          <t>TakePartRole1</t>
        </is>
      </c>
      <c r="C1917" s="24" t="inlineStr">
        <is>
          <t>案件当事人参与角色</t>
        </is>
      </c>
      <c r="D1917" s="24" t="inlineStr">
        <is>
          <t>01</t>
        </is>
      </c>
      <c r="E1917" s="24" t="inlineStr">
        <is>
          <t>原告</t>
        </is>
      </c>
    </row>
    <row r="1918">
      <c r="B1918" s="24" t="inlineStr">
        <is>
          <t>TakePartRole1</t>
        </is>
      </c>
      <c r="C1918" s="24" t="inlineStr">
        <is>
          <t>案件当事人参与角色</t>
        </is>
      </c>
      <c r="D1918" s="24" t="inlineStr">
        <is>
          <t>02</t>
        </is>
      </c>
      <c r="E1918" s="24" t="inlineStr">
        <is>
          <t>被告</t>
        </is>
      </c>
    </row>
    <row r="1919">
      <c r="B1919" s="24" t="inlineStr">
        <is>
          <t>TakePartRole1</t>
        </is>
      </c>
      <c r="C1919" s="24" t="inlineStr">
        <is>
          <t>案件当事人参与角色</t>
        </is>
      </c>
      <c r="D1919" s="24" t="inlineStr">
        <is>
          <t>03</t>
        </is>
      </c>
      <c r="E1919" s="24" t="inlineStr">
        <is>
          <t>上诉人</t>
        </is>
      </c>
    </row>
    <row r="1920">
      <c r="B1920" s="24" t="inlineStr">
        <is>
          <t>TakePartRole1</t>
        </is>
      </c>
      <c r="C1920" s="24" t="inlineStr">
        <is>
          <t>案件当事人参与角色</t>
        </is>
      </c>
      <c r="D1920" s="24" t="inlineStr">
        <is>
          <t>04</t>
        </is>
      </c>
      <c r="E1920" s="24" t="inlineStr">
        <is>
          <t>被上诉人</t>
        </is>
      </c>
    </row>
    <row r="1921">
      <c r="B1921" s="24" t="inlineStr">
        <is>
          <t>TakePartRole1</t>
        </is>
      </c>
      <c r="C1921" s="24" t="inlineStr">
        <is>
          <t>案件当事人参与角色</t>
        </is>
      </c>
      <c r="D1921" s="24" t="inlineStr">
        <is>
          <t>05</t>
        </is>
      </c>
      <c r="E1921" s="24" t="inlineStr">
        <is>
          <t>申请人</t>
        </is>
      </c>
    </row>
    <row r="1922">
      <c r="B1922" s="24" t="inlineStr">
        <is>
          <t>TakePartRole1</t>
        </is>
      </c>
      <c r="C1922" s="24" t="inlineStr">
        <is>
          <t>案件当事人参与角色</t>
        </is>
      </c>
      <c r="D1922" s="24" t="inlineStr">
        <is>
          <t>06</t>
        </is>
      </c>
      <c r="E1922" s="24" t="inlineStr">
        <is>
          <t>被申请人</t>
        </is>
      </c>
    </row>
    <row r="1923">
      <c r="B1923" s="24" t="inlineStr">
        <is>
          <t>TakePartRole1</t>
        </is>
      </c>
      <c r="C1923" s="24" t="inlineStr">
        <is>
          <t>案件当事人参与角色</t>
        </is>
      </c>
      <c r="D1923" s="24" t="inlineStr">
        <is>
          <t>07</t>
        </is>
      </c>
      <c r="E1923" s="24" t="inlineStr">
        <is>
          <t>第三人</t>
        </is>
      </c>
    </row>
    <row r="1924" ht="15.95" customHeight="1" s="170">
      <c r="B1924" s="122" t="inlineStr">
        <is>
          <t>码值：贷款分期偿还计划</t>
        </is>
      </c>
    </row>
    <row r="1925">
      <c r="B1925" s="24" t="inlineStr">
        <is>
          <t>贷款分期偿还计划</t>
        </is>
      </c>
      <c r="C1925" s="24" t="inlineStr">
        <is>
          <t>贷款分期偿还计划</t>
        </is>
      </c>
      <c r="D1925" s="24" t="inlineStr">
        <is>
          <t>01</t>
        </is>
      </c>
      <c r="E1925" s="24" t="inlineStr">
        <is>
          <t>贷款分期偿还计划 债务本息定期等额偿还</t>
        </is>
      </c>
    </row>
    <row r="1926">
      <c r="B1926" s="24" t="inlineStr">
        <is>
          <t>贷款分期偿还计划</t>
        </is>
      </c>
      <c r="C1926" s="24" t="inlineStr">
        <is>
          <t>贷款分期偿还计划</t>
        </is>
      </c>
      <c r="D1926" s="24" t="inlineStr">
        <is>
          <t>02</t>
        </is>
      </c>
      <c r="E1926" s="24" t="inlineStr">
        <is>
          <t>债务本息定期等额偿还，但有20%-50%的部分到期一次性偿还</t>
        </is>
      </c>
    </row>
    <row r="1927">
      <c r="B1927" s="24" t="inlineStr">
        <is>
          <t>贷款分期偿还计划</t>
        </is>
      </c>
      <c r="C1927" s="24" t="inlineStr">
        <is>
          <t>贷款分期偿还计划</t>
        </is>
      </c>
      <c r="D1927" s="24" t="inlineStr">
        <is>
          <t>03</t>
        </is>
      </c>
      <c r="E1927" s="24" t="inlineStr">
        <is>
          <t>债务本息定期等额偿还，但有大于等于50%的部分到期一次性偿还</t>
        </is>
      </c>
    </row>
    <row r="1928">
      <c r="B1928" s="24" t="inlineStr">
        <is>
          <t>贷款分期偿还计划</t>
        </is>
      </c>
      <c r="C1928" s="24" t="inlineStr">
        <is>
          <t>贷款分期偿还计划</t>
        </is>
      </c>
      <c r="D1928" s="24" t="inlineStr">
        <is>
          <t>04</t>
        </is>
      </c>
      <c r="E1928" s="24" t="inlineStr">
        <is>
          <t>到期一次性偿还，或债务本息定期等额偿还，但有超过80%的部分到期一次性偿还</t>
        </is>
      </c>
    </row>
    <row r="1929" ht="15.95" customHeight="1" s="170">
      <c r="B1929" s="122" t="inlineStr">
        <is>
          <t>码值：核心管理层从业年限</t>
        </is>
      </c>
    </row>
    <row r="1930">
      <c r="B1930" s="24" t="inlineStr">
        <is>
          <t>核心管理层从业年限</t>
        </is>
      </c>
      <c r="C1930" s="24" t="inlineStr">
        <is>
          <t>核心管理层从业年限</t>
        </is>
      </c>
      <c r="D1930" s="24" t="inlineStr">
        <is>
          <t>01</t>
        </is>
      </c>
      <c r="E1930" s="24" t="inlineStr">
        <is>
          <t>15年以上</t>
        </is>
      </c>
    </row>
    <row r="1931">
      <c r="B1931" s="24" t="inlineStr">
        <is>
          <t>核心管理层从业年限</t>
        </is>
      </c>
      <c r="C1931" s="24" t="inlineStr">
        <is>
          <t>核心管理层从业年限</t>
        </is>
      </c>
      <c r="D1931" s="24" t="inlineStr">
        <is>
          <t>02</t>
        </is>
      </c>
      <c r="E1931" s="24" t="inlineStr">
        <is>
          <t>7-15年</t>
        </is>
      </c>
    </row>
    <row r="1932">
      <c r="B1932" s="24" t="inlineStr">
        <is>
          <t>核心管理层从业年限</t>
        </is>
      </c>
      <c r="C1932" s="24" t="inlineStr">
        <is>
          <t>核心管理层从业年限</t>
        </is>
      </c>
      <c r="D1932" s="24" t="inlineStr">
        <is>
          <t>03</t>
        </is>
      </c>
      <c r="E1932" s="24" t="inlineStr">
        <is>
          <t>3-7年</t>
        </is>
      </c>
    </row>
    <row r="1933">
      <c r="B1933" s="24" t="inlineStr">
        <is>
          <t>核心管理层从业年限</t>
        </is>
      </c>
      <c r="C1933" s="24" t="inlineStr">
        <is>
          <t>核心管理层从业年限</t>
        </is>
      </c>
      <c r="D1933" s="24" t="inlineStr">
        <is>
          <t>04</t>
        </is>
      </c>
      <c r="E1933" s="24" t="inlineStr">
        <is>
          <t>3年以下</t>
        </is>
      </c>
    </row>
    <row r="1934" ht="15.95" customHeight="1" s="170">
      <c r="B1934" s="122" t="inlineStr">
        <is>
          <t>码值：DepositType</t>
        </is>
      </c>
    </row>
    <row r="1935">
      <c r="B1935" s="24" t="inlineStr">
        <is>
          <t>DepositType</t>
        </is>
      </c>
      <c r="C1935" s="24" t="inlineStr">
        <is>
          <t>外汇存款</t>
        </is>
      </c>
      <c r="D1935" s="24" t="inlineStr">
        <is>
          <t>01</t>
        </is>
      </c>
      <c r="E1935" s="24" t="inlineStr">
        <is>
          <t>个人本币</t>
        </is>
      </c>
    </row>
    <row r="1936">
      <c r="B1936" s="24" t="inlineStr">
        <is>
          <t>DepositType</t>
        </is>
      </c>
      <c r="C1936" s="24" t="inlineStr">
        <is>
          <t>外汇存款</t>
        </is>
      </c>
      <c r="D1936" s="24" t="inlineStr">
        <is>
          <t>02</t>
        </is>
      </c>
      <c r="E1936" s="24" t="inlineStr">
        <is>
          <t>个人外币</t>
        </is>
      </c>
    </row>
    <row r="1937">
      <c r="B1937" s="24" t="inlineStr">
        <is>
          <t>DepositType</t>
        </is>
      </c>
      <c r="C1937" s="24" t="inlineStr">
        <is>
          <t>外汇存款</t>
        </is>
      </c>
      <c r="D1937" s="24" t="inlineStr">
        <is>
          <t>03</t>
        </is>
      </c>
      <c r="E1937" s="24" t="inlineStr">
        <is>
          <t>单位本币</t>
        </is>
      </c>
    </row>
    <row r="1938">
      <c r="B1938" s="24" t="inlineStr">
        <is>
          <t>DepositType</t>
        </is>
      </c>
      <c r="C1938" s="24" t="inlineStr">
        <is>
          <t>外汇存款</t>
        </is>
      </c>
      <c r="D1938" s="24" t="inlineStr">
        <is>
          <t>04</t>
        </is>
      </c>
      <c r="E1938" s="24" t="inlineStr">
        <is>
          <t>单位外币</t>
        </is>
      </c>
    </row>
    <row r="1939">
      <c r="B1939" s="24" t="inlineStr">
        <is>
          <t>DepositType</t>
        </is>
      </c>
      <c r="C1939" s="24" t="inlineStr">
        <is>
          <t>外汇存款</t>
        </is>
      </c>
      <c r="D1939" s="24" t="inlineStr">
        <is>
          <t>05</t>
        </is>
      </c>
      <c r="E1939" s="24" t="inlineStr">
        <is>
          <t>其它</t>
        </is>
      </c>
    </row>
    <row r="1940" ht="15.95" customHeight="1" s="170">
      <c r="B1940" s="122" t="inlineStr">
        <is>
          <t>码值：ReserveIndication</t>
        </is>
      </c>
    </row>
    <row r="1941">
      <c r="B1941" s="24" t="inlineStr">
        <is>
          <t>ReserveIndication</t>
        </is>
      </c>
      <c r="C1941" s="24" t="inlineStr">
        <is>
          <t>减值迹象</t>
        </is>
      </c>
      <c r="D1941" s="24" t="inlineStr">
        <is>
          <t>10</t>
        </is>
      </c>
      <c r="E1941" s="24" t="inlineStr">
        <is>
          <t>借款人是否发生严重财务困难，无法按合同约定以经营现金流归还贷款，需依靠出售经营性固定资产、拍卖抵押（质）物、履行担保等方式偿还借款</t>
        </is>
      </c>
    </row>
    <row r="1942">
      <c r="B1942" s="24" t="inlineStr">
        <is>
          <t>ReserveIndication</t>
        </is>
      </c>
      <c r="C1942" s="24" t="inlineStr">
        <is>
          <t>减值迹象</t>
        </is>
      </c>
      <c r="D1942" s="24" t="inlineStr">
        <is>
          <t>20</t>
        </is>
      </c>
      <c r="E1942" s="24" t="inlineStr">
        <is>
          <t>贷款还款来源主要取决于抵押（质）物的使用价值的情形下，押品使用价值是否发生明显恶化</t>
        </is>
      </c>
    </row>
    <row r="1943">
      <c r="B1943" s="24" t="inlineStr">
        <is>
          <t>ReserveIndication</t>
        </is>
      </c>
      <c r="C1943" s="24" t="inlineStr">
        <is>
          <t>减值迹象</t>
        </is>
      </c>
      <c r="D1943" s="24" t="inlineStr">
        <is>
          <t>30</t>
        </is>
      </c>
      <c r="E1943" s="24" t="inlineStr">
        <is>
          <t>担保人为还款重要保证的情况下（如基建项目贷款和集团贷款等），担保人代偿能力是否明显不足</t>
        </is>
      </c>
    </row>
    <row r="1944">
      <c r="B1944" s="24" t="inlineStr">
        <is>
          <t>ReserveIndication</t>
        </is>
      </c>
      <c r="C1944" s="24" t="inlineStr">
        <is>
          <t>减值迹象</t>
        </is>
      </c>
      <c r="D1944" s="24" t="inlineStr">
        <is>
          <t>40</t>
        </is>
      </c>
      <c r="E1944" s="24" t="inlineStr">
        <is>
          <t>借款本金或利息是否已发生逾期</t>
        </is>
      </c>
    </row>
    <row r="1945">
      <c r="B1945" s="24" t="inlineStr">
        <is>
          <t>ReserveIndication</t>
        </is>
      </c>
      <c r="C1945" s="24" t="inlineStr">
        <is>
          <t>减值迹象</t>
        </is>
      </c>
      <c r="D1945" s="24" t="inlineStr">
        <is>
          <t>50</t>
        </is>
      </c>
      <c r="E1945" s="24" t="inlineStr">
        <is>
          <t>借款人是否违反合同约定，如未按合同规定用款等，并使贷款发生实质性风险</t>
        </is>
      </c>
    </row>
    <row r="1946">
      <c r="B1946" s="24" t="inlineStr">
        <is>
          <t>ReserveIndication</t>
        </is>
      </c>
      <c r="C1946" s="24" t="inlineStr">
        <is>
          <t>减值迹象</t>
        </is>
      </c>
      <c r="D1946" s="24" t="inlineStr">
        <is>
          <t>60</t>
        </is>
      </c>
      <c r="E1946" s="24" t="inlineStr">
        <is>
          <t>我行是否出于政策、法律或经济等方面因素的考虑，对借款人作出让步</t>
        </is>
      </c>
    </row>
    <row r="1947">
      <c r="B1947" s="24" t="inlineStr">
        <is>
          <t>ReserveIndication</t>
        </is>
      </c>
      <c r="C1947" s="24" t="inlineStr">
        <is>
          <t>减值迹象</t>
        </is>
      </c>
      <c r="D1947" s="24" t="inlineStr">
        <is>
          <t>70</t>
        </is>
      </c>
      <c r="E1947" s="24" t="inlineStr">
        <is>
          <t>上市公司是否因负面因素被国内外证券交易所暂停上市</t>
        </is>
      </c>
    </row>
    <row r="1948">
      <c r="B1948" s="24" t="inlineStr">
        <is>
          <t>ReserveIndication</t>
        </is>
      </c>
      <c r="C1948" s="24" t="inlineStr">
        <is>
          <t>减值迹象</t>
        </is>
      </c>
      <c r="D1948" s="24" t="inlineStr">
        <is>
          <t>80</t>
        </is>
      </c>
      <c r="E1948" s="24" t="inlineStr">
        <is>
          <t>是否有其他表明该贷款发生减值的迹象</t>
        </is>
      </c>
    </row>
    <row r="1949" ht="15.95" customHeight="1" s="170">
      <c r="B1949" s="122" t="inlineStr">
        <is>
          <t>码值：BillResource</t>
        </is>
      </c>
    </row>
    <row r="1950">
      <c r="B1950" s="24" t="inlineStr">
        <is>
          <t>BillResource</t>
        </is>
      </c>
      <c r="C1950" s="24" t="inlineStr">
        <is>
          <t>票据来源</t>
        </is>
      </c>
      <c r="D1950" s="24" t="inlineStr">
        <is>
          <t>0</t>
        </is>
      </c>
      <c r="E1950" s="24" t="inlineStr">
        <is>
          <t>同城</t>
        </is>
      </c>
    </row>
    <row r="1951">
      <c r="B1951" s="24" t="inlineStr">
        <is>
          <t>BillResource</t>
        </is>
      </c>
      <c r="C1951" s="24" t="inlineStr">
        <is>
          <t>票据来源</t>
        </is>
      </c>
      <c r="D1951" s="24" t="inlineStr">
        <is>
          <t>1</t>
        </is>
      </c>
      <c r="E1951" s="24" t="inlineStr">
        <is>
          <t>异地</t>
        </is>
      </c>
    </row>
    <row r="1952" ht="15.95" customHeight="1" s="170">
      <c r="B1952" s="122" t="inlineStr">
        <is>
          <t>码值：AgentType</t>
        </is>
      </c>
    </row>
    <row r="1953">
      <c r="B1953" s="24" t="inlineStr">
        <is>
          <t>AgentType</t>
        </is>
      </c>
      <c r="C1953" s="24" t="inlineStr">
        <is>
          <t>代理方式</t>
        </is>
      </c>
      <c r="D1953" s="24" t="inlineStr">
        <is>
          <t>01</t>
        </is>
      </c>
      <c r="E1953" s="24" t="inlineStr">
        <is>
          <t>自行代理</t>
        </is>
      </c>
    </row>
    <row r="1954">
      <c r="B1954" s="24" t="inlineStr">
        <is>
          <t>AgentType</t>
        </is>
      </c>
      <c r="C1954" s="24" t="inlineStr">
        <is>
          <t>代理方式</t>
        </is>
      </c>
      <c r="D1954" s="24" t="inlineStr">
        <is>
          <t>02</t>
        </is>
      </c>
      <c r="E1954" s="24" t="inlineStr">
        <is>
          <t>外聘代理人一般代理</t>
        </is>
      </c>
    </row>
    <row r="1955">
      <c r="B1955" s="24" t="inlineStr">
        <is>
          <t>AgentType</t>
        </is>
      </c>
      <c r="C1955" s="24" t="inlineStr">
        <is>
          <t>代理方式</t>
        </is>
      </c>
      <c r="D1955" s="24" t="inlineStr">
        <is>
          <t>03</t>
        </is>
      </c>
      <c r="E1955" s="24" t="inlineStr">
        <is>
          <t>外聘代理人风险代理</t>
        </is>
      </c>
    </row>
    <row r="1956" ht="15.95" customHeight="1" s="170">
      <c r="B1956" s="122" t="inlineStr">
        <is>
          <t>码值：NPAChangeList</t>
        </is>
      </c>
    </row>
    <row r="1957">
      <c r="B1957" s="24" t="inlineStr">
        <is>
          <t>NPAChangeList</t>
        </is>
      </c>
      <c r="C1957" s="24" t="inlineStr">
        <is>
          <t>不良资产管理人变更主界面树状菜单</t>
        </is>
      </c>
      <c r="D1957" s="24" t="inlineStr">
        <is>
          <t>010</t>
        </is>
      </c>
      <c r="E1957" s="24" t="inlineStr">
        <is>
          <t>客户移交变更</t>
        </is>
      </c>
    </row>
    <row r="1958">
      <c r="B1958" s="24" t="inlineStr">
        <is>
          <t>NPAChangeList</t>
        </is>
      </c>
      <c r="C1958" s="24" t="inlineStr">
        <is>
          <t>不良资产管理人变更主界面树状菜单</t>
        </is>
      </c>
      <c r="D1958" s="24" t="inlineStr">
        <is>
          <t>020</t>
        </is>
      </c>
      <c r="E1958" s="24" t="inlineStr">
        <is>
          <t>审批移交变更</t>
        </is>
      </c>
    </row>
    <row r="1959" ht="15.95" customHeight="1" s="170">
      <c r="B1959" s="122" t="inlineStr">
        <is>
          <t>码值：ArgStatus</t>
        </is>
      </c>
    </row>
    <row r="1960">
      <c r="B1960" s="24" t="inlineStr">
        <is>
          <t>ArgStatus</t>
        </is>
      </c>
      <c r="C1960" s="24" t="n"/>
      <c r="D1960" s="24" t="inlineStr">
        <is>
          <t>0</t>
        </is>
      </c>
      <c r="E1960" s="24" t="inlineStr">
        <is>
          <t>锁定</t>
        </is>
      </c>
    </row>
    <row r="1961">
      <c r="B1961" s="24" t="inlineStr">
        <is>
          <t>ArgStatus</t>
        </is>
      </c>
      <c r="C1961" s="24" t="n"/>
      <c r="D1961" s="24" t="inlineStr">
        <is>
          <t>1</t>
        </is>
      </c>
      <c r="E1961" s="24" t="inlineStr">
        <is>
          <t>正常</t>
        </is>
      </c>
    </row>
    <row r="1962">
      <c r="B1962" s="24" t="inlineStr">
        <is>
          <t>ArgStatus</t>
        </is>
      </c>
      <c r="C1962" s="24" t="n"/>
      <c r="D1962" s="24" t="inlineStr">
        <is>
          <t>2</t>
        </is>
      </c>
      <c r="E1962" s="24" t="inlineStr">
        <is>
          <t>停用</t>
        </is>
      </c>
    </row>
    <row r="1963" ht="15.95" customHeight="1" s="170">
      <c r="B1963" s="122" t="inlineStr">
        <is>
          <t>码值：CatalogType</t>
        </is>
      </c>
    </row>
    <row r="1964">
      <c r="B1964" s="24" t="inlineStr">
        <is>
          <t>CatalogType</t>
        </is>
      </c>
      <c r="C1964" s="24" t="inlineStr">
        <is>
          <t>目录类型</t>
        </is>
      </c>
      <c r="D1964" s="24" t="inlineStr">
        <is>
          <t>LOOP</t>
        </is>
      </c>
      <c r="E1964" s="24" t="inlineStr">
        <is>
          <t>循环目录</t>
        </is>
      </c>
    </row>
    <row r="1965">
      <c r="B1965" s="24" t="inlineStr">
        <is>
          <t>CatalogType</t>
        </is>
      </c>
      <c r="C1965" s="24" t="inlineStr">
        <is>
          <t>目录类型</t>
        </is>
      </c>
      <c r="D1965" s="24" t="inlineStr">
        <is>
          <t>TEXT</t>
        </is>
      </c>
      <c r="E1965" s="24" t="inlineStr">
        <is>
          <t>正文</t>
        </is>
      </c>
    </row>
    <row r="1966" ht="15.95" customHeight="1" s="170">
      <c r="B1966" s="122" t="inlineStr">
        <is>
          <t>码值：EntProfileView</t>
        </is>
      </c>
    </row>
    <row r="1967">
      <c r="B1967" s="24" t="inlineStr">
        <is>
          <t>EntProfileView</t>
        </is>
      </c>
      <c r="C1967" s="24" t="inlineStr">
        <is>
          <t>公司客户统一视图</t>
        </is>
      </c>
      <c r="D1967" s="24" t="inlineStr">
        <is>
          <t>010</t>
        </is>
      </c>
      <c r="E1967" s="24" t="inlineStr">
        <is>
          <t>客户概况</t>
        </is>
      </c>
    </row>
    <row r="1968">
      <c r="B1968" s="24" t="inlineStr">
        <is>
          <t>EntProfileView</t>
        </is>
      </c>
      <c r="C1968" s="24" t="inlineStr">
        <is>
          <t>公司客户统一视图</t>
        </is>
      </c>
      <c r="D1968" s="24" t="inlineStr">
        <is>
          <t>020</t>
        </is>
      </c>
      <c r="E1968" s="24" t="inlineStr">
        <is>
          <t>客户评级情况</t>
        </is>
      </c>
    </row>
    <row r="1969">
      <c r="B1969" s="24" t="inlineStr">
        <is>
          <t>EntProfileView</t>
        </is>
      </c>
      <c r="C1969" s="24" t="inlineStr">
        <is>
          <t>公司客户统一视图</t>
        </is>
      </c>
      <c r="D1969" s="24" t="inlineStr">
        <is>
          <t>030</t>
        </is>
      </c>
      <c r="E1969" s="24" t="inlineStr">
        <is>
          <t>最近重大变更事项</t>
        </is>
      </c>
    </row>
    <row r="1970">
      <c r="B1970" s="24" t="inlineStr">
        <is>
          <t>EntProfileView</t>
        </is>
      </c>
      <c r="C1970" s="24" t="inlineStr">
        <is>
          <t>公司客户统一视图</t>
        </is>
      </c>
      <c r="D1970" s="24" t="inlineStr">
        <is>
          <t>040</t>
        </is>
      </c>
      <c r="E1970" s="24" t="inlineStr">
        <is>
          <t>股票及债券发行图谱</t>
        </is>
      </c>
    </row>
    <row r="1971">
      <c r="B1971" s="24" t="inlineStr">
        <is>
          <t>EntProfileView</t>
        </is>
      </c>
      <c r="C1971" s="24" t="inlineStr">
        <is>
          <t>公司客户统一视图</t>
        </is>
      </c>
      <c r="D1971" s="24" t="inlineStr">
        <is>
          <t>050</t>
        </is>
      </c>
      <c r="E1971" s="24" t="inlineStr">
        <is>
          <t>所属集团家谱</t>
        </is>
      </c>
    </row>
    <row r="1972">
      <c r="B1972" s="24" t="inlineStr">
        <is>
          <t>EntProfileView</t>
        </is>
      </c>
      <c r="C1972" s="24" t="inlineStr">
        <is>
          <t>公司客户统一视图</t>
        </is>
      </c>
      <c r="D1972" s="24" t="inlineStr">
        <is>
          <t>060</t>
        </is>
      </c>
      <c r="E1972" s="24" t="inlineStr">
        <is>
          <t>客户名单制情况</t>
        </is>
      </c>
    </row>
    <row r="1973">
      <c r="B1973" s="24" t="inlineStr">
        <is>
          <t>EntProfileView</t>
        </is>
      </c>
      <c r="C1973" s="24" t="inlineStr">
        <is>
          <t>公司客户统一视图</t>
        </is>
      </c>
      <c r="D1973" s="24" t="inlineStr">
        <is>
          <t>070</t>
        </is>
      </c>
      <c r="E1973" s="24" t="inlineStr">
        <is>
          <t>客户贡献度信息</t>
        </is>
      </c>
    </row>
    <row r="1974">
      <c r="B1974" s="24" t="inlineStr">
        <is>
          <t>EntProfileView</t>
        </is>
      </c>
      <c r="C1974" s="24" t="inlineStr">
        <is>
          <t>公司客户统一视图</t>
        </is>
      </c>
      <c r="D1974" s="24" t="inlineStr">
        <is>
          <t>080</t>
        </is>
      </c>
      <c r="E1974" s="24" t="inlineStr">
        <is>
          <t>客户关联关系图谱</t>
        </is>
      </c>
    </row>
    <row r="1975">
      <c r="B1975" s="24" t="inlineStr">
        <is>
          <t>EntProfileView</t>
        </is>
      </c>
      <c r="C1975" s="24" t="inlineStr">
        <is>
          <t>公司客户统一视图</t>
        </is>
      </c>
      <c r="D1975" s="24" t="inlineStr">
        <is>
          <t>090</t>
        </is>
      </c>
      <c r="E1975" s="24" t="inlineStr">
        <is>
          <t>财务信息</t>
        </is>
      </c>
    </row>
    <row r="1976">
      <c r="B1976" s="24" t="inlineStr">
        <is>
          <t>EntProfileView</t>
        </is>
      </c>
      <c r="C1976" s="24" t="inlineStr">
        <is>
          <t>公司客户统一视图</t>
        </is>
      </c>
      <c r="D1976" s="24" t="inlineStr">
        <is>
          <t>100</t>
        </is>
      </c>
      <c r="E1976" s="24" t="inlineStr">
        <is>
          <t>授信申报情况</t>
        </is>
      </c>
    </row>
    <row r="1977">
      <c r="B1977" s="24" t="inlineStr">
        <is>
          <t>EntProfileView</t>
        </is>
      </c>
      <c r="C1977" s="24" t="inlineStr">
        <is>
          <t>公司客户统一视图</t>
        </is>
      </c>
      <c r="D1977" s="24" t="inlineStr">
        <is>
          <t>110</t>
        </is>
      </c>
      <c r="E1977" s="24" t="inlineStr">
        <is>
          <t>贷后检查</t>
        </is>
      </c>
    </row>
    <row r="1978">
      <c r="B1978" s="24" t="inlineStr">
        <is>
          <t>EntProfileView</t>
        </is>
      </c>
      <c r="C1978" s="24" t="inlineStr">
        <is>
          <t>公司客户统一视图</t>
        </is>
      </c>
      <c r="D1978" s="24" t="inlineStr">
        <is>
          <t>120</t>
        </is>
      </c>
      <c r="E1978" s="24" t="inlineStr">
        <is>
          <t>预警信息</t>
        </is>
      </c>
    </row>
    <row r="1979">
      <c r="B1979" s="24" t="inlineStr">
        <is>
          <t>EntProfileView</t>
        </is>
      </c>
      <c r="C1979" s="24" t="inlineStr">
        <is>
          <t>公司客户统一视图</t>
        </is>
      </c>
      <c r="D1979" s="24" t="inlineStr">
        <is>
          <t>130</t>
        </is>
      </c>
      <c r="E1979" s="24" t="inlineStr">
        <is>
          <t>风险分类信息</t>
        </is>
      </c>
    </row>
    <row r="1980" ht="15.95" customHeight="1" s="170">
      <c r="B1980" s="122" t="inlineStr">
        <is>
          <t>码值：PopSelectSourceType</t>
        </is>
      </c>
    </row>
    <row r="1981">
      <c r="B1981" s="24" t="inlineStr">
        <is>
          <t>PopSelectSourceType</t>
        </is>
      </c>
      <c r="C1981" s="24" t="inlineStr">
        <is>
          <t>PopSelectSourceType</t>
        </is>
      </c>
      <c r="D1981" s="24" t="inlineStr">
        <is>
          <t>JSFunc</t>
        </is>
      </c>
      <c r="E1981" s="24" t="inlineStr">
        <is>
          <t>JS函数</t>
        </is>
      </c>
    </row>
    <row r="1982">
      <c r="B1982" s="24" t="inlineStr">
        <is>
          <t>PopSelectSourceType</t>
        </is>
      </c>
      <c r="C1982" s="24" t="inlineStr">
        <is>
          <t>PopSelectSourceType</t>
        </is>
      </c>
      <c r="D1982" s="24" t="inlineStr">
        <is>
          <t>SelectCatalog</t>
        </is>
      </c>
      <c r="E1982" s="24" t="inlineStr">
        <is>
          <t>选择对话配置</t>
        </is>
      </c>
    </row>
    <row r="1983" ht="15.95" customHeight="1" s="170">
      <c r="B1983" s="122" t="inlineStr">
        <is>
          <t>码值：ContractType</t>
        </is>
      </c>
    </row>
    <row r="1984">
      <c r="B1984" s="24" t="inlineStr">
        <is>
          <t>ContractType</t>
        </is>
      </c>
      <c r="C1984" s="24" t="inlineStr">
        <is>
          <t>合同类型</t>
        </is>
      </c>
      <c r="D1984" s="24" t="inlineStr">
        <is>
          <t>01</t>
        </is>
      </c>
      <c r="E1984" s="24" t="inlineStr">
        <is>
          <t>真实合同</t>
        </is>
      </c>
    </row>
    <row r="1985">
      <c r="B1985" s="24" t="inlineStr">
        <is>
          <t>ContractType</t>
        </is>
      </c>
      <c r="C1985" s="24" t="inlineStr">
        <is>
          <t>合同类型</t>
        </is>
      </c>
      <c r="D1985" s="24" t="inlineStr">
        <is>
          <t>02</t>
        </is>
      </c>
      <c r="E1985" s="24" t="inlineStr">
        <is>
          <t>虚拟合同</t>
        </is>
      </c>
    </row>
    <row r="1986" ht="15.95" customHeight="1" s="170">
      <c r="B1986" s="122" t="inlineStr">
        <is>
          <t>码值：资质等级</t>
        </is>
      </c>
    </row>
    <row r="1987">
      <c r="B1987" s="24" t="inlineStr">
        <is>
          <t>资质等级</t>
        </is>
      </c>
      <c r="C1987" s="24" t="inlineStr">
        <is>
          <t>资质等级</t>
        </is>
      </c>
      <c r="D1987" s="24" t="inlineStr">
        <is>
          <t>1</t>
        </is>
      </c>
      <c r="E1987" s="24" t="inlineStr">
        <is>
          <t>一级</t>
        </is>
      </c>
    </row>
    <row r="1988">
      <c r="B1988" s="24" t="inlineStr">
        <is>
          <t>资质等级</t>
        </is>
      </c>
      <c r="C1988" s="24" t="inlineStr">
        <is>
          <t>资质等级</t>
        </is>
      </c>
      <c r="D1988" s="24" t="inlineStr">
        <is>
          <t>2</t>
        </is>
      </c>
      <c r="E1988" s="24" t="inlineStr">
        <is>
          <t>二级</t>
        </is>
      </c>
    </row>
    <row r="1989">
      <c r="B1989" s="24" t="inlineStr">
        <is>
          <t>资质等级</t>
        </is>
      </c>
      <c r="C1989" s="24" t="inlineStr">
        <is>
          <t>资质等级</t>
        </is>
      </c>
      <c r="D1989" s="24" t="inlineStr">
        <is>
          <t>3</t>
        </is>
      </c>
      <c r="E1989" s="24" t="inlineStr">
        <is>
          <t>三级</t>
        </is>
      </c>
    </row>
    <row r="1990">
      <c r="B1990" s="24" t="inlineStr">
        <is>
          <t>资质等级</t>
        </is>
      </c>
      <c r="C1990" s="24" t="inlineStr">
        <is>
          <t>资质等级</t>
        </is>
      </c>
      <c r="D1990" s="24" t="inlineStr">
        <is>
          <t>4</t>
        </is>
      </c>
      <c r="E1990" s="24" t="inlineStr">
        <is>
          <t>无等级</t>
        </is>
      </c>
    </row>
    <row r="1991" ht="15.95" customHeight="1" s="170">
      <c r="B1991" s="122" t="inlineStr">
        <is>
          <t>码值：QualificationGrade</t>
        </is>
      </c>
    </row>
    <row r="1992">
      <c r="B1992" s="24" t="inlineStr">
        <is>
          <t>QualificationGrade</t>
        </is>
      </c>
      <c r="C1992" s="24" t="inlineStr">
        <is>
          <t>开发资质</t>
        </is>
      </c>
      <c r="D1992" s="24" t="inlineStr">
        <is>
          <t>010</t>
        </is>
      </c>
      <c r="E1992" s="24" t="inlineStr">
        <is>
          <t>一级资质</t>
        </is>
      </c>
    </row>
    <row r="1993">
      <c r="B1993" s="24" t="inlineStr">
        <is>
          <t>QualificationGrade</t>
        </is>
      </c>
      <c r="C1993" s="24" t="inlineStr">
        <is>
          <t>开发资质</t>
        </is>
      </c>
      <c r="D1993" s="24" t="inlineStr">
        <is>
          <t>020</t>
        </is>
      </c>
      <c r="E1993" s="24" t="inlineStr">
        <is>
          <t>二级资质</t>
        </is>
      </c>
    </row>
    <row r="1994">
      <c r="B1994" s="24" t="inlineStr">
        <is>
          <t>QualificationGrade</t>
        </is>
      </c>
      <c r="C1994" s="24" t="inlineStr">
        <is>
          <t>开发资质</t>
        </is>
      </c>
      <c r="D1994" s="24" t="inlineStr">
        <is>
          <t>030</t>
        </is>
      </c>
      <c r="E1994" s="24" t="inlineStr">
        <is>
          <t>三级资质</t>
        </is>
      </c>
    </row>
    <row r="1995">
      <c r="B1995" s="24" t="inlineStr">
        <is>
          <t>QualificationGrade</t>
        </is>
      </c>
      <c r="C1995" s="24" t="inlineStr">
        <is>
          <t>开发资质</t>
        </is>
      </c>
      <c r="D1995" s="24" t="inlineStr">
        <is>
          <t>040</t>
        </is>
      </c>
      <c r="E1995" s="24" t="inlineStr">
        <is>
          <t>四级资质</t>
        </is>
      </c>
    </row>
    <row r="1996" ht="15.95" customHeight="1" s="170">
      <c r="B1996" s="122" t="inlineStr">
        <is>
          <t>码值：旅游业分类</t>
        </is>
      </c>
    </row>
    <row r="1997">
      <c r="B1997" s="24" t="inlineStr">
        <is>
          <t>旅游业分类</t>
        </is>
      </c>
      <c r="C1997" s="24" t="inlineStr">
        <is>
          <t>旅游业分类</t>
        </is>
      </c>
      <c r="D1997" s="24" t="inlineStr">
        <is>
          <t>1</t>
        </is>
      </c>
      <c r="E1997" s="24" t="inlineStr">
        <is>
          <t>旅行社</t>
        </is>
      </c>
    </row>
    <row r="1998">
      <c r="B1998" s="24" t="inlineStr">
        <is>
          <t>旅游业分类</t>
        </is>
      </c>
      <c r="C1998" s="24" t="inlineStr">
        <is>
          <t>旅游业分类</t>
        </is>
      </c>
      <c r="D1998" s="24" t="inlineStr">
        <is>
          <t>2</t>
        </is>
      </c>
      <c r="E1998" s="24" t="inlineStr">
        <is>
          <t>景点开发公司</t>
        </is>
      </c>
    </row>
    <row r="1999" ht="15.95" customHeight="1" s="170">
      <c r="B1999" s="122" t="inlineStr">
        <is>
          <t>码值：CultureLevel</t>
        </is>
      </c>
    </row>
    <row r="2000">
      <c r="B2000" s="24" t="inlineStr">
        <is>
          <t>CultureLevel</t>
        </is>
      </c>
      <c r="C2000" s="24" t="inlineStr">
        <is>
          <t>信用等级评估统一导入</t>
        </is>
      </c>
      <c r="D2000" s="24" t="inlineStr">
        <is>
          <t>01</t>
        </is>
      </c>
      <c r="E2000" s="24" t="inlineStr">
        <is>
          <t>初中</t>
        </is>
      </c>
    </row>
    <row r="2001">
      <c r="B2001" s="24" t="inlineStr">
        <is>
          <t>CultureLevel</t>
        </is>
      </c>
      <c r="C2001" s="24" t="inlineStr">
        <is>
          <t>信用等级评估统一导入</t>
        </is>
      </c>
      <c r="D2001" s="24" t="inlineStr">
        <is>
          <t>02</t>
        </is>
      </c>
      <c r="E2001" s="24" t="inlineStr">
        <is>
          <t>高中</t>
        </is>
      </c>
    </row>
    <row r="2002">
      <c r="B2002" s="24" t="inlineStr">
        <is>
          <t>CultureLevel</t>
        </is>
      </c>
      <c r="C2002" s="24" t="inlineStr">
        <is>
          <t>信用等级评估统一导入</t>
        </is>
      </c>
      <c r="D2002" s="24" t="inlineStr">
        <is>
          <t>03</t>
        </is>
      </c>
      <c r="E2002" s="24" t="inlineStr">
        <is>
          <t>大专</t>
        </is>
      </c>
    </row>
    <row r="2003">
      <c r="B2003" s="24" t="inlineStr">
        <is>
          <t>CultureLevel</t>
        </is>
      </c>
      <c r="C2003" s="24" t="inlineStr">
        <is>
          <t>信用等级评估统一导入</t>
        </is>
      </c>
      <c r="D2003" s="24" t="inlineStr">
        <is>
          <t>04</t>
        </is>
      </c>
      <c r="E2003" s="24" t="inlineStr">
        <is>
          <t>本科及以上</t>
        </is>
      </c>
    </row>
    <row r="2004" ht="15.95" customHeight="1" s="170">
      <c r="B2004" s="122" t="inlineStr">
        <is>
          <t>码值：EnterpriseViewBack</t>
        </is>
      </c>
    </row>
    <row r="2005">
      <c r="B2005" s="24" t="inlineStr">
        <is>
          <t>EnterpriseViewBack</t>
        </is>
      </c>
      <c r="C2005" s="24" t="inlineStr">
        <is>
          <t>公司客户详情视图</t>
        </is>
      </c>
      <c r="D2005" s="24" t="inlineStr">
        <is>
          <t>010</t>
        </is>
      </c>
      <c r="E2005" s="24" t="inlineStr">
        <is>
          <t>客户基本信息</t>
        </is>
      </c>
    </row>
    <row r="2006">
      <c r="B2006" s="24" t="inlineStr">
        <is>
          <t>EnterpriseViewBack</t>
        </is>
      </c>
      <c r="C2006" s="24" t="inlineStr">
        <is>
          <t>公司客户详情视图</t>
        </is>
      </c>
      <c r="D2006" s="24" t="inlineStr">
        <is>
          <t>010010</t>
        </is>
      </c>
      <c r="E2006" s="24" t="inlineStr">
        <is>
          <t>客户概况</t>
        </is>
      </c>
    </row>
    <row r="2007">
      <c r="B2007" s="24" t="inlineStr">
        <is>
          <t>EnterpriseViewBack</t>
        </is>
      </c>
      <c r="C2007" s="24" t="inlineStr">
        <is>
          <t>公司客户详情视图</t>
        </is>
      </c>
      <c r="D2007" s="24" t="inlineStr">
        <is>
          <t>010020</t>
        </is>
      </c>
      <c r="E2007" s="24" t="inlineStr">
        <is>
          <t>客户高管信息</t>
        </is>
      </c>
    </row>
    <row r="2008">
      <c r="B2008" s="24" t="inlineStr">
        <is>
          <t>EnterpriseViewBack</t>
        </is>
      </c>
      <c r="C2008" s="24" t="inlineStr">
        <is>
          <t>公司客户详情视图</t>
        </is>
      </c>
      <c r="D2008" s="24" t="inlineStr">
        <is>
          <t>010025</t>
        </is>
      </c>
      <c r="E2008" s="24" t="inlineStr">
        <is>
          <t>法人代表家族成员信息</t>
        </is>
      </c>
    </row>
    <row r="2009">
      <c r="B2009" s="24" t="inlineStr">
        <is>
          <t>EnterpriseViewBack</t>
        </is>
      </c>
      <c r="C2009" s="24" t="inlineStr">
        <is>
          <t>公司客户详情视图</t>
        </is>
      </c>
      <c r="D2009" s="24" t="inlineStr">
        <is>
          <t>010030</t>
        </is>
      </c>
      <c r="E2009" s="24" t="inlineStr">
        <is>
          <t>股东情况</t>
        </is>
      </c>
    </row>
    <row r="2010">
      <c r="B2010" s="24" t="inlineStr">
        <is>
          <t>EnterpriseViewBack</t>
        </is>
      </c>
      <c r="C2010" s="24" t="inlineStr">
        <is>
          <t>公司客户详情视图</t>
        </is>
      </c>
      <c r="D2010" s="24" t="inlineStr">
        <is>
          <t>010040</t>
        </is>
      </c>
      <c r="E2010" s="24" t="inlineStr">
        <is>
          <t>对外股权投资情况</t>
        </is>
      </c>
    </row>
    <row r="2011">
      <c r="B2011" s="24" t="inlineStr">
        <is>
          <t>EnterpriseViewBack</t>
        </is>
      </c>
      <c r="C2011" s="24" t="inlineStr">
        <is>
          <t>公司客户详情视图</t>
        </is>
      </c>
      <c r="D2011" s="24" t="inlineStr">
        <is>
          <t>010050</t>
        </is>
      </c>
      <c r="E2011" s="24" t="inlineStr">
        <is>
          <t>上下游关联方情况</t>
        </is>
      </c>
    </row>
    <row r="2012">
      <c r="B2012" s="24" t="inlineStr">
        <is>
          <t>EnterpriseViewBack</t>
        </is>
      </c>
      <c r="C2012" s="24" t="inlineStr">
        <is>
          <t>公司客户详情视图</t>
        </is>
      </c>
      <c r="D2012" s="24" t="inlineStr">
        <is>
          <t>010055</t>
        </is>
      </c>
      <c r="E2012" s="24" t="inlineStr">
        <is>
          <t>所属集团信息</t>
        </is>
      </c>
    </row>
    <row r="2013">
      <c r="B2013" s="24" t="inlineStr">
        <is>
          <t>EnterpriseViewBack</t>
        </is>
      </c>
      <c r="C2013" s="24" t="inlineStr">
        <is>
          <t>公司客户详情视图</t>
        </is>
      </c>
      <c r="D2013" s="24" t="inlineStr">
        <is>
          <t>010060</t>
        </is>
      </c>
      <c r="E2013" s="24" t="inlineStr">
        <is>
          <t>股票发行信息</t>
        </is>
      </c>
    </row>
    <row r="2014">
      <c r="B2014" s="24" t="inlineStr">
        <is>
          <t>EnterpriseViewBack</t>
        </is>
      </c>
      <c r="C2014" s="24" t="inlineStr">
        <is>
          <t>公司客户详情视图</t>
        </is>
      </c>
      <c r="D2014" s="24" t="inlineStr">
        <is>
          <t>010070</t>
        </is>
      </c>
      <c r="E2014" s="24" t="inlineStr">
        <is>
          <t>债券发行信息</t>
        </is>
      </c>
    </row>
    <row r="2015">
      <c r="B2015" s="24" t="inlineStr">
        <is>
          <t>EnterpriseViewBack</t>
        </is>
      </c>
      <c r="C2015" s="24" t="inlineStr">
        <is>
          <t>公司客户详情视图</t>
        </is>
      </c>
      <c r="D2015" s="24" t="inlineStr">
        <is>
          <t>010080</t>
        </is>
      </c>
      <c r="E2015" s="24" t="inlineStr">
        <is>
          <t>客户资质与认证信息</t>
        </is>
      </c>
    </row>
    <row r="2016">
      <c r="B2016" s="24" t="inlineStr">
        <is>
          <t>EnterpriseViewBack</t>
        </is>
      </c>
      <c r="C2016" s="24" t="inlineStr">
        <is>
          <t>公司客户详情视图</t>
        </is>
      </c>
      <c r="D2016" s="24" t="inlineStr">
        <is>
          <t>010080010</t>
        </is>
      </c>
      <c r="E2016" s="24" t="inlineStr">
        <is>
          <t>房地产资质情况</t>
        </is>
      </c>
    </row>
    <row r="2017">
      <c r="B2017" s="24" t="inlineStr">
        <is>
          <t>EnterpriseViewBack</t>
        </is>
      </c>
      <c r="C2017" s="24" t="inlineStr">
        <is>
          <t>公司客户详情视图</t>
        </is>
      </c>
      <c r="D2017" s="24" t="inlineStr">
        <is>
          <t>010080020</t>
        </is>
      </c>
      <c r="E2017" s="24" t="inlineStr">
        <is>
          <t>进出口贸易情况</t>
        </is>
      </c>
    </row>
    <row r="2018">
      <c r="B2018" s="24" t="inlineStr">
        <is>
          <t>EnterpriseViewBack</t>
        </is>
      </c>
      <c r="C2018" s="24" t="inlineStr">
        <is>
          <t>公司客户详情视图</t>
        </is>
      </c>
      <c r="D2018" s="24" t="inlineStr">
        <is>
          <t>010080030</t>
        </is>
      </c>
      <c r="E2018" s="24" t="inlineStr">
        <is>
          <t>特许经营行业情况</t>
        </is>
      </c>
    </row>
    <row r="2019">
      <c r="B2019" s="24" t="inlineStr">
        <is>
          <t>EnterpriseViewBack</t>
        </is>
      </c>
      <c r="C2019" s="24" t="inlineStr">
        <is>
          <t>公司客户详情视图</t>
        </is>
      </c>
      <c r="D2019" s="24" t="inlineStr">
        <is>
          <t>010080040</t>
        </is>
      </c>
      <c r="E2019" s="24" t="inlineStr">
        <is>
          <t>相关认证信息</t>
        </is>
      </c>
    </row>
    <row r="2020">
      <c r="B2020" s="24" t="inlineStr">
        <is>
          <t>EnterpriseViewBack</t>
        </is>
      </c>
      <c r="C2020" s="24" t="inlineStr">
        <is>
          <t>公司客户详情视图</t>
        </is>
      </c>
      <c r="D2020" s="24" t="inlineStr">
        <is>
          <t>010085</t>
        </is>
      </c>
      <c r="E2020" s="24" t="inlineStr">
        <is>
          <t>客户涉诉信息</t>
        </is>
      </c>
    </row>
    <row r="2021">
      <c r="B2021" s="24" t="inlineStr">
        <is>
          <t>EnterpriseViewBack</t>
        </is>
      </c>
      <c r="C2021" s="24" t="inlineStr">
        <is>
          <t>公司客户详情视图</t>
        </is>
      </c>
      <c r="D2021" s="24" t="inlineStr">
        <is>
          <t>010090</t>
        </is>
      </c>
      <c r="E2021" s="24" t="inlineStr">
        <is>
          <t>客户大事记</t>
        </is>
      </c>
    </row>
    <row r="2022">
      <c r="B2022" s="24" t="inlineStr">
        <is>
          <t>EnterpriseViewBack</t>
        </is>
      </c>
      <c r="C2022" s="24" t="inlineStr">
        <is>
          <t>公司客户详情视图</t>
        </is>
      </c>
      <c r="D2022" s="24" t="inlineStr">
        <is>
          <t>010100</t>
        </is>
      </c>
      <c r="E2022" s="24" t="inlineStr">
        <is>
          <t>参与项目情况</t>
        </is>
      </c>
    </row>
    <row r="2023">
      <c r="B2023" s="24" t="inlineStr">
        <is>
          <t>EnterpriseViewBack</t>
        </is>
      </c>
      <c r="C2023" s="24" t="inlineStr">
        <is>
          <t>公司客户详情视图</t>
        </is>
      </c>
      <c r="D2023" s="24" t="inlineStr">
        <is>
          <t>010110</t>
        </is>
      </c>
      <c r="E2023" s="24" t="inlineStr">
        <is>
          <t>客户提供相关资料</t>
        </is>
      </c>
    </row>
    <row r="2024">
      <c r="B2024" s="24" t="inlineStr">
        <is>
          <t>EnterpriseViewBack</t>
        </is>
      </c>
      <c r="C2024" s="24" t="inlineStr">
        <is>
          <t>公司客户详情视图</t>
        </is>
      </c>
      <c r="D2024" s="24" t="inlineStr">
        <is>
          <t>020</t>
        </is>
      </c>
      <c r="E2024" s="24" t="inlineStr">
        <is>
          <t>客户财务信息</t>
        </is>
      </c>
    </row>
    <row r="2025">
      <c r="B2025" s="24" t="inlineStr">
        <is>
          <t>EnterpriseViewBack</t>
        </is>
      </c>
      <c r="C2025" s="24" t="inlineStr">
        <is>
          <t>公司客户详情视图</t>
        </is>
      </c>
      <c r="D2025" s="24" t="inlineStr">
        <is>
          <t>020005</t>
        </is>
      </c>
      <c r="E2025" s="24" t="inlineStr">
        <is>
          <t>财务报表模板下载</t>
        </is>
      </c>
    </row>
    <row r="2026">
      <c r="B2026" s="24" t="inlineStr">
        <is>
          <t>EnterpriseViewBack</t>
        </is>
      </c>
      <c r="C2026" s="24" t="inlineStr">
        <is>
          <t>公司客户详情视图</t>
        </is>
      </c>
      <c r="D2026" s="24" t="inlineStr">
        <is>
          <t>020010</t>
        </is>
      </c>
      <c r="E2026" s="24" t="inlineStr">
        <is>
          <t>财务报表</t>
        </is>
      </c>
    </row>
    <row r="2027">
      <c r="B2027" s="24" t="inlineStr">
        <is>
          <t>EnterpriseViewBack</t>
        </is>
      </c>
      <c r="C2027" s="24" t="inlineStr">
        <is>
          <t>公司客户详情视图</t>
        </is>
      </c>
      <c r="D2027" s="24" t="inlineStr">
        <is>
          <t>020020</t>
        </is>
      </c>
      <c r="E2027" s="24" t="inlineStr">
        <is>
          <t>客户资产与负债明细</t>
        </is>
      </c>
    </row>
    <row r="2028">
      <c r="B2028" s="24" t="inlineStr">
        <is>
          <t>EnterpriseViewBack</t>
        </is>
      </c>
      <c r="C2028" s="24" t="inlineStr">
        <is>
          <t>公司客户详情视图</t>
        </is>
      </c>
      <c r="D2028" s="24" t="inlineStr">
        <is>
          <t>020020010</t>
        </is>
      </c>
      <c r="E2028" s="24" t="inlineStr">
        <is>
          <t>应收应付账款信息</t>
        </is>
      </c>
    </row>
    <row r="2029">
      <c r="B2029" s="24" t="inlineStr">
        <is>
          <t>EnterpriseViewBack</t>
        </is>
      </c>
      <c r="C2029" s="24" t="inlineStr">
        <is>
          <t>公司客户详情视图</t>
        </is>
      </c>
      <c r="D2029" s="24" t="inlineStr">
        <is>
          <t>020020020</t>
        </is>
      </c>
      <c r="E2029" s="24" t="inlineStr">
        <is>
          <t>存货信息</t>
        </is>
      </c>
    </row>
    <row r="2030">
      <c r="B2030" s="24" t="inlineStr">
        <is>
          <t>EnterpriseViewBack</t>
        </is>
      </c>
      <c r="C2030" s="24" t="inlineStr">
        <is>
          <t>公司客户详情视图</t>
        </is>
      </c>
      <c r="D2030" s="24" t="inlineStr">
        <is>
          <t>020020030</t>
        </is>
      </c>
      <c r="E2030" s="24" t="inlineStr">
        <is>
          <t>固定资产信息</t>
        </is>
      </c>
    </row>
    <row r="2031">
      <c r="B2031" s="24" t="inlineStr">
        <is>
          <t>EnterpriseViewBack</t>
        </is>
      </c>
      <c r="C2031" s="24" t="inlineStr">
        <is>
          <t>公司客户详情视图</t>
        </is>
      </c>
      <c r="D2031" s="24" t="inlineStr">
        <is>
          <t>020020035</t>
        </is>
      </c>
      <c r="E2031" s="24" t="inlineStr">
        <is>
          <t>无形资产信息</t>
        </is>
      </c>
    </row>
    <row r="2032">
      <c r="B2032" s="24" t="inlineStr">
        <is>
          <t>EnterpriseViewBack</t>
        </is>
      </c>
      <c r="C2032" s="24" t="inlineStr">
        <is>
          <t>公司客户详情视图</t>
        </is>
      </c>
      <c r="D2032" s="24" t="inlineStr">
        <is>
          <t>020020040</t>
        </is>
      </c>
      <c r="E2032" s="24" t="inlineStr">
        <is>
          <t>持有股票信息</t>
        </is>
      </c>
    </row>
    <row r="2033">
      <c r="B2033" s="24" t="inlineStr">
        <is>
          <t>EnterpriseViewBack</t>
        </is>
      </c>
      <c r="C2033" s="24" t="inlineStr">
        <is>
          <t>公司客户详情视图</t>
        </is>
      </c>
      <c r="D2033" s="24" t="inlineStr">
        <is>
          <t>020020050</t>
        </is>
      </c>
      <c r="E2033" s="24" t="inlineStr">
        <is>
          <t>持有债券信息</t>
        </is>
      </c>
    </row>
    <row r="2034">
      <c r="B2034" s="24" t="inlineStr">
        <is>
          <t>EnterpriseViewBack</t>
        </is>
      </c>
      <c r="C2034" s="24" t="inlineStr">
        <is>
          <t>公司客户详情视图</t>
        </is>
      </c>
      <c r="D2034" s="24" t="inlineStr">
        <is>
          <t>020020060</t>
        </is>
      </c>
      <c r="E2034" s="24" t="inlineStr">
        <is>
          <t>纳税信息</t>
        </is>
      </c>
    </row>
    <row r="2035">
      <c r="B2035" s="24" t="inlineStr">
        <is>
          <t>EnterpriseViewBack</t>
        </is>
      </c>
      <c r="C2035" s="24" t="inlineStr">
        <is>
          <t>公司客户详情视图</t>
        </is>
      </c>
      <c r="D2035" s="24" t="inlineStr">
        <is>
          <t>040</t>
        </is>
      </c>
      <c r="E2035" s="24" t="inlineStr">
        <is>
          <t>客户关联信息</t>
        </is>
      </c>
    </row>
    <row r="2036">
      <c r="B2036" s="24" t="inlineStr">
        <is>
          <t>EnterpriseViewBack</t>
        </is>
      </c>
      <c r="C2036" s="24" t="inlineStr">
        <is>
          <t>公司客户详情视图</t>
        </is>
      </c>
      <c r="D2036" s="24" t="inlineStr">
        <is>
          <t>040010</t>
        </is>
      </c>
      <c r="E2036" s="24" t="inlineStr">
        <is>
          <t>资金关联方业务信息</t>
        </is>
      </c>
    </row>
    <row r="2037">
      <c r="B2037" s="24" t="inlineStr">
        <is>
          <t>EnterpriseViewBack</t>
        </is>
      </c>
      <c r="C2037" s="24" t="inlineStr">
        <is>
          <t>公司客户详情视图</t>
        </is>
      </c>
      <c r="D2037" s="24" t="inlineStr">
        <is>
          <t>040010010</t>
        </is>
      </c>
      <c r="E2037" s="24" t="inlineStr">
        <is>
          <t>授信额度信息</t>
        </is>
      </c>
    </row>
    <row r="2038">
      <c r="B2038" s="24" t="inlineStr">
        <is>
          <t>EnterpriseViewBack</t>
        </is>
      </c>
      <c r="C2038" s="24" t="inlineStr">
        <is>
          <t>公司客户详情视图</t>
        </is>
      </c>
      <c r="D2038" s="24" t="inlineStr">
        <is>
          <t>040010020</t>
        </is>
      </c>
      <c r="E2038" s="24" t="inlineStr">
        <is>
          <t>未结清授信业务情况</t>
        </is>
      </c>
    </row>
    <row r="2039">
      <c r="B2039" s="24" t="inlineStr">
        <is>
          <t>EnterpriseViewBack</t>
        </is>
      </c>
      <c r="C2039" s="24" t="inlineStr">
        <is>
          <t>公司客户详情视图</t>
        </is>
      </c>
      <c r="D2039" s="24" t="inlineStr">
        <is>
          <t>040010030</t>
        </is>
      </c>
      <c r="E2039" s="24" t="inlineStr">
        <is>
          <t>已结清授信业务情况</t>
        </is>
      </c>
    </row>
    <row r="2040">
      <c r="B2040" s="24" t="inlineStr">
        <is>
          <t>EnterpriseViewBack</t>
        </is>
      </c>
      <c r="C2040" s="24" t="inlineStr">
        <is>
          <t>公司客户详情视图</t>
        </is>
      </c>
      <c r="D2040" s="24" t="inlineStr">
        <is>
          <t>040010040</t>
        </is>
      </c>
      <c r="E2040" s="24" t="inlineStr">
        <is>
          <t>为本行客户提供担保情况</t>
        </is>
      </c>
    </row>
    <row r="2041">
      <c r="B2041" s="24" t="inlineStr">
        <is>
          <t>EnterpriseViewBack</t>
        </is>
      </c>
      <c r="C2041" s="24" t="inlineStr">
        <is>
          <t>公司客户详情视图</t>
        </is>
      </c>
      <c r="D2041" s="24" t="inlineStr">
        <is>
          <t>040010050</t>
        </is>
      </c>
      <c r="E2041" s="24" t="inlineStr">
        <is>
          <t>被本行客户担保情况</t>
        </is>
      </c>
    </row>
    <row r="2042">
      <c r="B2042" s="24" t="inlineStr">
        <is>
          <t>EnterpriseViewBack</t>
        </is>
      </c>
      <c r="C2042" s="24" t="inlineStr">
        <is>
          <t>公司客户详情视图</t>
        </is>
      </c>
      <c r="D2042" s="24" t="inlineStr">
        <is>
          <t>040010060</t>
        </is>
      </c>
      <c r="E2042" s="24" t="inlineStr">
        <is>
          <t>业务申请情况</t>
        </is>
      </c>
    </row>
    <row r="2043">
      <c r="B2043" s="24" t="inlineStr">
        <is>
          <t>EnterpriseViewBack</t>
        </is>
      </c>
      <c r="C2043" s="24" t="inlineStr">
        <is>
          <t>公司客户详情视图</t>
        </is>
      </c>
      <c r="D2043" s="24" t="inlineStr">
        <is>
          <t>040020</t>
        </is>
      </c>
      <c r="E2043" s="24" t="inlineStr">
        <is>
          <t>关联关系智能搜索</t>
        </is>
      </c>
    </row>
    <row r="2044">
      <c r="B2044" s="24" t="inlineStr">
        <is>
          <t>EnterpriseViewBack</t>
        </is>
      </c>
      <c r="C2044" s="24" t="inlineStr">
        <is>
          <t>公司客户详情视图</t>
        </is>
      </c>
      <c r="D2044" s="24" t="inlineStr">
        <is>
          <t>040030</t>
        </is>
      </c>
      <c r="E2044" s="24" t="inlineStr">
        <is>
          <t>担保关系智能搜索</t>
        </is>
      </c>
    </row>
    <row r="2045">
      <c r="B2045" s="24" t="inlineStr">
        <is>
          <t>EnterpriseViewBack</t>
        </is>
      </c>
      <c r="C2045" s="24" t="inlineStr">
        <is>
          <t>公司客户详情视图</t>
        </is>
      </c>
      <c r="D2045" s="24" t="inlineStr">
        <is>
          <t>050</t>
        </is>
      </c>
      <c r="E2045" s="24" t="inlineStr">
        <is>
          <t>客户信用信息</t>
        </is>
      </c>
    </row>
    <row r="2046">
      <c r="B2046" s="24" t="inlineStr">
        <is>
          <t>EnterpriseViewBack</t>
        </is>
      </c>
      <c r="C2046" s="24" t="inlineStr">
        <is>
          <t>公司客户详情视图</t>
        </is>
      </c>
      <c r="D2046" s="24" t="inlineStr">
        <is>
          <t>050010</t>
        </is>
      </c>
      <c r="E2046" s="24" t="inlineStr">
        <is>
          <t>授信额度信息</t>
        </is>
      </c>
    </row>
    <row r="2047">
      <c r="B2047" s="24" t="inlineStr">
        <is>
          <t>EnterpriseViewBack</t>
        </is>
      </c>
      <c r="C2047" s="24" t="inlineStr">
        <is>
          <t>公司客户详情视图</t>
        </is>
      </c>
      <c r="D2047" s="24" t="inlineStr">
        <is>
          <t>050020</t>
        </is>
      </c>
      <c r="E2047" s="24" t="inlineStr">
        <is>
          <t>未结清授信业务情况</t>
        </is>
      </c>
    </row>
    <row r="2048">
      <c r="B2048" s="24" t="inlineStr">
        <is>
          <t>EnterpriseViewBack</t>
        </is>
      </c>
      <c r="C2048" s="24" t="inlineStr">
        <is>
          <t>公司客户详情视图</t>
        </is>
      </c>
      <c r="D2048" s="24" t="inlineStr">
        <is>
          <t>050030</t>
        </is>
      </c>
      <c r="E2048" s="24" t="inlineStr">
        <is>
          <t>已结清授信业务情况</t>
        </is>
      </c>
    </row>
    <row r="2049">
      <c r="B2049" s="24" t="inlineStr">
        <is>
          <t>EnterpriseViewBack</t>
        </is>
      </c>
      <c r="C2049" s="24" t="inlineStr">
        <is>
          <t>公司客户详情视图</t>
        </is>
      </c>
      <c r="D2049" s="24" t="inlineStr">
        <is>
          <t>050040</t>
        </is>
      </c>
      <c r="E2049" s="24" t="inlineStr">
        <is>
          <t>为本行客户提供担保情况</t>
        </is>
      </c>
    </row>
    <row r="2050">
      <c r="B2050" s="24" t="inlineStr">
        <is>
          <t>EnterpriseViewBack</t>
        </is>
      </c>
      <c r="C2050" s="24" t="inlineStr">
        <is>
          <t>公司客户详情视图</t>
        </is>
      </c>
      <c r="D2050" s="24" t="inlineStr">
        <is>
          <t>050050</t>
        </is>
      </c>
      <c r="E2050" s="24" t="inlineStr">
        <is>
          <t>被本行客户担保情况</t>
        </is>
      </c>
    </row>
    <row r="2051">
      <c r="B2051" s="24" t="inlineStr">
        <is>
          <t>EnterpriseViewBack</t>
        </is>
      </c>
      <c r="C2051" s="24" t="inlineStr">
        <is>
          <t>公司客户详情视图</t>
        </is>
      </c>
      <c r="D2051" s="24" t="inlineStr">
        <is>
          <t>050060</t>
        </is>
      </c>
      <c r="E2051" s="24" t="inlineStr">
        <is>
          <t>业务申请情况</t>
        </is>
      </c>
    </row>
    <row r="2052">
      <c r="B2052" s="24" t="inlineStr">
        <is>
          <t>EnterpriseViewBack</t>
        </is>
      </c>
      <c r="C2052" s="24" t="inlineStr">
        <is>
          <t>公司客户详情视图</t>
        </is>
      </c>
      <c r="D2052" s="24" t="inlineStr">
        <is>
          <t>050070</t>
        </is>
      </c>
      <c r="E2052" s="24" t="inlineStr">
        <is>
          <t>客户在我行涉诉情况</t>
        </is>
      </c>
    </row>
    <row r="2053">
      <c r="B2053" s="24" t="inlineStr">
        <is>
          <t>EnterpriseViewBack</t>
        </is>
      </c>
      <c r="C2053" s="24" t="inlineStr">
        <is>
          <t>公司客户详情视图</t>
        </is>
      </c>
      <c r="D2053" s="24" t="inlineStr">
        <is>
          <t>050080</t>
        </is>
      </c>
      <c r="E2053" s="24" t="inlineStr">
        <is>
          <t>在其他金融机构业务活动</t>
        </is>
      </c>
    </row>
    <row r="2054">
      <c r="B2054" s="24" t="inlineStr">
        <is>
          <t>EnterpriseViewBack</t>
        </is>
      </c>
      <c r="C2054" s="24" t="inlineStr">
        <is>
          <t>公司客户详情视图</t>
        </is>
      </c>
      <c r="D2054" s="24" t="inlineStr">
        <is>
          <t>050090</t>
        </is>
      </c>
      <c r="E2054" s="24" t="inlineStr">
        <is>
          <t>客户征信信息</t>
        </is>
      </c>
    </row>
    <row r="2055">
      <c r="B2055" s="24" t="inlineStr">
        <is>
          <t>EnterpriseViewBack</t>
        </is>
      </c>
      <c r="C2055" s="24" t="inlineStr">
        <is>
          <t>公司客户详情视图</t>
        </is>
      </c>
      <c r="D2055" s="24" t="inlineStr">
        <is>
          <t>080</t>
        </is>
      </c>
      <c r="E2055" s="24" t="inlineStr">
        <is>
          <t>客户信用分析</t>
        </is>
      </c>
    </row>
    <row r="2056">
      <c r="B2056" s="24" t="inlineStr">
        <is>
          <t>EnterpriseViewBack</t>
        </is>
      </c>
      <c r="C2056" s="24" t="inlineStr">
        <is>
          <t>公司客户详情视图</t>
        </is>
      </c>
      <c r="D2056" s="24" t="inlineStr">
        <is>
          <t>080010</t>
        </is>
      </c>
      <c r="E2056" s="24" t="inlineStr">
        <is>
          <t>财务分析</t>
        </is>
      </c>
    </row>
    <row r="2057">
      <c r="B2057" s="24" t="inlineStr">
        <is>
          <t>EnterpriseViewBack</t>
        </is>
      </c>
      <c r="C2057" s="24" t="inlineStr">
        <is>
          <t>公司客户详情视图</t>
        </is>
      </c>
      <c r="D2057" s="24" t="inlineStr">
        <is>
          <t>080015</t>
        </is>
      </c>
      <c r="E2057" s="24" t="inlineStr">
        <is>
          <t>现金流预测</t>
        </is>
      </c>
    </row>
    <row r="2058">
      <c r="B2058" s="24" t="inlineStr">
        <is>
          <t>EnterpriseViewBack</t>
        </is>
      </c>
      <c r="C2058" s="24" t="inlineStr">
        <is>
          <t>公司客户详情视图</t>
        </is>
      </c>
      <c r="D2058" s="24" t="inlineStr">
        <is>
          <t>080020</t>
        </is>
      </c>
      <c r="E2058" s="24" t="inlineStr">
        <is>
          <t>客户情况分析</t>
        </is>
      </c>
    </row>
    <row r="2059">
      <c r="B2059" s="24" t="inlineStr">
        <is>
          <t>EnterpriseViewBack</t>
        </is>
      </c>
      <c r="C2059" s="24" t="inlineStr">
        <is>
          <t>公司客户详情视图</t>
        </is>
      </c>
      <c r="D2059" s="24" t="inlineStr">
        <is>
          <t>080030</t>
        </is>
      </c>
      <c r="E2059" s="24" t="inlineStr">
        <is>
          <t>客户信用等级评估</t>
        </is>
      </c>
    </row>
    <row r="2060">
      <c r="B2060" s="24" t="inlineStr">
        <is>
          <t>EnterpriseViewBack</t>
        </is>
      </c>
      <c r="C2060" s="24" t="inlineStr">
        <is>
          <t>公司客户详情视图</t>
        </is>
      </c>
      <c r="D2060" s="24" t="inlineStr">
        <is>
          <t>080040</t>
        </is>
      </c>
      <c r="E2060" s="24" t="inlineStr">
        <is>
          <t>风险预警信号</t>
        </is>
      </c>
    </row>
    <row r="2061">
      <c r="B2061" s="24" t="inlineStr">
        <is>
          <t>EnterpriseViewBack</t>
        </is>
      </c>
      <c r="C2061" s="24" t="inlineStr">
        <is>
          <t>公司客户详情视图</t>
        </is>
      </c>
      <c r="D2061" s="24" t="inlineStr">
        <is>
          <t>080050</t>
        </is>
      </c>
      <c r="E2061" s="24" t="inlineStr">
        <is>
          <t>最高授信限额参考</t>
        </is>
      </c>
    </row>
    <row r="2062">
      <c r="B2062" s="24" t="inlineStr">
        <is>
          <t>EnterpriseViewBack</t>
        </is>
      </c>
      <c r="C2062" s="24" t="inlineStr">
        <is>
          <t>公司客户详情视图</t>
        </is>
      </c>
      <c r="D2062" s="24" t="inlineStr">
        <is>
          <t>080060</t>
        </is>
      </c>
      <c r="E2062" s="24" t="inlineStr">
        <is>
          <t>流动资金需求量测算</t>
        </is>
      </c>
    </row>
    <row r="2063">
      <c r="B2063" s="24" t="inlineStr">
        <is>
          <t>EnterpriseViewBack</t>
        </is>
      </c>
      <c r="C2063" s="24" t="inlineStr">
        <is>
          <t>公司客户详情视图</t>
        </is>
      </c>
      <c r="D2063" s="24" t="inlineStr">
        <is>
          <t>080070</t>
        </is>
      </c>
      <c r="E2063" s="24" t="inlineStr">
        <is>
          <t>客户评级信息</t>
        </is>
      </c>
    </row>
    <row r="2064">
      <c r="B2064" s="24" t="inlineStr">
        <is>
          <t>EnterpriseViewBack</t>
        </is>
      </c>
      <c r="C2064" s="24" t="inlineStr">
        <is>
          <t>公司客户详情视图</t>
        </is>
      </c>
      <c r="D2064" s="24" t="inlineStr">
        <is>
          <t>080080</t>
        </is>
      </c>
      <c r="E2064" s="24" t="inlineStr">
        <is>
          <t>风险度评级</t>
        </is>
      </c>
    </row>
    <row r="2065">
      <c r="B2065" s="24" t="inlineStr">
        <is>
          <t>EnterpriseViewBack</t>
        </is>
      </c>
      <c r="C2065" s="24" t="inlineStr">
        <is>
          <t>公司客户详情视图</t>
        </is>
      </c>
      <c r="D2065" s="24" t="inlineStr">
        <is>
          <t>090</t>
        </is>
      </c>
      <c r="E2065" s="24" t="inlineStr">
        <is>
          <t>对客户工作与维护</t>
        </is>
      </c>
    </row>
    <row r="2066">
      <c r="B2066" s="24" t="inlineStr">
        <is>
          <t>EnterpriseViewBack</t>
        </is>
      </c>
      <c r="C2066" s="24" t="inlineStr">
        <is>
          <t>公司客户详情视图</t>
        </is>
      </c>
      <c r="D2066" s="24" t="inlineStr">
        <is>
          <t>090020</t>
        </is>
      </c>
      <c r="E2066" s="24" t="inlineStr">
        <is>
          <t>客户经理工作笔记</t>
        </is>
      </c>
    </row>
    <row r="2067">
      <c r="B2067" s="24" t="inlineStr">
        <is>
          <t>EnterpriseViewBack</t>
        </is>
      </c>
      <c r="C2067" s="24" t="inlineStr">
        <is>
          <t>公司客户详情视图</t>
        </is>
      </c>
      <c r="D2067" s="24" t="inlineStr">
        <is>
          <t>100</t>
        </is>
      </c>
      <c r="E2067" s="24" t="inlineStr">
        <is>
          <t>管户权一览</t>
        </is>
      </c>
    </row>
    <row r="2068">
      <c r="B2068" s="24" t="inlineStr">
        <is>
          <t>EnterpriseViewBack</t>
        </is>
      </c>
      <c r="C2068" s="24" t="inlineStr">
        <is>
          <t>公司客户详情视图</t>
        </is>
      </c>
      <c r="D2068" s="24" t="inlineStr">
        <is>
          <t>110</t>
        </is>
      </c>
      <c r="E2068" s="24" t="inlineStr">
        <is>
          <t>其他信息</t>
        </is>
      </c>
    </row>
    <row r="2069">
      <c r="B2069" s="24" t="inlineStr">
        <is>
          <t>EnterpriseViewBack</t>
        </is>
      </c>
      <c r="C2069" s="24" t="inlineStr">
        <is>
          <t>公司客户详情视图</t>
        </is>
      </c>
      <c r="D2069" s="24" t="inlineStr">
        <is>
          <t>110010</t>
        </is>
      </c>
      <c r="E2069" s="24" t="inlineStr">
        <is>
          <t>客户信息维护记录</t>
        </is>
      </c>
    </row>
    <row r="2070">
      <c r="B2070" s="24" t="inlineStr">
        <is>
          <t>EnterpriseViewBack</t>
        </is>
      </c>
      <c r="C2070" s="24" t="inlineStr">
        <is>
          <t>公司客户详情视图</t>
        </is>
      </c>
      <c r="D2070" s="24" t="inlineStr">
        <is>
          <t>110020</t>
        </is>
      </c>
      <c r="E2070" s="24" t="inlineStr">
        <is>
          <t>客户管户变更记录</t>
        </is>
      </c>
    </row>
    <row r="2071">
      <c r="B2071" s="24" t="inlineStr">
        <is>
          <t>EnterpriseViewBack</t>
        </is>
      </c>
      <c r="C2071" s="24" t="inlineStr">
        <is>
          <t>公司客户详情视图</t>
        </is>
      </c>
      <c r="D2071" s="24" t="inlineStr">
        <is>
          <t>110030</t>
        </is>
      </c>
      <c r="E2071" s="24" t="inlineStr">
        <is>
          <t>客户引入记录</t>
        </is>
      </c>
    </row>
    <row r="2072" ht="15.95" customHeight="1" s="170">
      <c r="B2072" s="122" t="inlineStr">
        <is>
          <t>码值：VOUCHTYPE1</t>
        </is>
      </c>
    </row>
    <row r="2073">
      <c r="B2073" s="24" t="inlineStr">
        <is>
          <t>VOUCHTYPE1</t>
        </is>
      </c>
      <c r="C2073" s="24" t="inlineStr">
        <is>
          <t>担保方式</t>
        </is>
      </c>
      <c r="D2073" s="24" t="inlineStr">
        <is>
          <t>005</t>
        </is>
      </c>
      <c r="E2073" s="24" t="inlineStr">
        <is>
          <t>信用</t>
        </is>
      </c>
    </row>
    <row r="2074">
      <c r="B2074" s="24" t="inlineStr">
        <is>
          <t>VOUCHTYPE1</t>
        </is>
      </c>
      <c r="C2074" s="24" t="inlineStr">
        <is>
          <t>担保方式</t>
        </is>
      </c>
      <c r="D2074" s="24" t="inlineStr">
        <is>
          <t>010</t>
        </is>
      </c>
      <c r="E2074" s="24" t="inlineStr">
        <is>
          <t>保证</t>
        </is>
      </c>
    </row>
    <row r="2075">
      <c r="B2075" s="24" t="inlineStr">
        <is>
          <t>VOUCHTYPE1</t>
        </is>
      </c>
      <c r="C2075" s="24" t="inlineStr">
        <is>
          <t>担保方式</t>
        </is>
      </c>
      <c r="D2075" s="24" t="inlineStr">
        <is>
          <t>020</t>
        </is>
      </c>
      <c r="E2075" s="24" t="inlineStr">
        <is>
          <t>抵押</t>
        </is>
      </c>
    </row>
    <row r="2076">
      <c r="B2076" s="24" t="inlineStr">
        <is>
          <t>VOUCHTYPE1</t>
        </is>
      </c>
      <c r="C2076" s="24" t="inlineStr">
        <is>
          <t>担保方式</t>
        </is>
      </c>
      <c r="D2076" s="24" t="inlineStr">
        <is>
          <t>040</t>
        </is>
      </c>
      <c r="E2076" s="24" t="inlineStr">
        <is>
          <t>质押</t>
        </is>
      </c>
    </row>
    <row r="2077" ht="15.95" customHeight="1" s="170">
      <c r="B2077" s="122" t="inlineStr">
        <is>
          <t>码值：技术及服务手段多样性</t>
        </is>
      </c>
    </row>
    <row r="2078">
      <c r="B2078" s="24" t="inlineStr">
        <is>
          <t>技术及服务手段多样性</t>
        </is>
      </c>
      <c r="C2078" s="24" t="inlineStr">
        <is>
          <t>技术及服务手段多样性</t>
        </is>
      </c>
      <c r="D2078" s="24" t="inlineStr">
        <is>
          <t>1</t>
        </is>
      </c>
      <c r="E2078" s="24" t="inlineStr">
        <is>
          <t>多样</t>
        </is>
      </c>
    </row>
    <row r="2079">
      <c r="B2079" s="24" t="inlineStr">
        <is>
          <t>技术及服务手段多样性</t>
        </is>
      </c>
      <c r="C2079" s="24" t="inlineStr">
        <is>
          <t>技术及服务手段多样性</t>
        </is>
      </c>
      <c r="D2079" s="24" t="inlineStr">
        <is>
          <t>2</t>
        </is>
      </c>
      <c r="E2079" s="24" t="inlineStr">
        <is>
          <t>较多样</t>
        </is>
      </c>
    </row>
    <row r="2080">
      <c r="B2080" s="24" t="inlineStr">
        <is>
          <t>技术及服务手段多样性</t>
        </is>
      </c>
      <c r="C2080" s="24" t="inlineStr">
        <is>
          <t>技术及服务手段多样性</t>
        </is>
      </c>
      <c r="D2080" s="24" t="inlineStr">
        <is>
          <t>3</t>
        </is>
      </c>
      <c r="E2080" s="24" t="inlineStr">
        <is>
          <t>少</t>
        </is>
      </c>
    </row>
    <row r="2081" ht="15.95" customHeight="1" s="170">
      <c r="B2081" s="122" t="inlineStr">
        <is>
          <t>码值：服务质量</t>
        </is>
      </c>
    </row>
    <row r="2082">
      <c r="B2082" s="24" t="inlineStr">
        <is>
          <t>服务质量</t>
        </is>
      </c>
      <c r="C2082" s="24" t="inlineStr">
        <is>
          <t>服务质量</t>
        </is>
      </c>
      <c r="D2082" s="24" t="inlineStr">
        <is>
          <t>1</t>
        </is>
      </c>
      <c r="E2082" s="24" t="inlineStr">
        <is>
          <t>好</t>
        </is>
      </c>
    </row>
    <row r="2083">
      <c r="B2083" s="24" t="inlineStr">
        <is>
          <t>服务质量</t>
        </is>
      </c>
      <c r="C2083" s="24" t="inlineStr">
        <is>
          <t>服务质量</t>
        </is>
      </c>
      <c r="D2083" s="24" t="inlineStr">
        <is>
          <t>2</t>
        </is>
      </c>
      <c r="E2083" s="24" t="inlineStr">
        <is>
          <t>一般</t>
        </is>
      </c>
    </row>
    <row r="2084">
      <c r="B2084" s="24" t="inlineStr">
        <is>
          <t>服务质量</t>
        </is>
      </c>
      <c r="C2084" s="24" t="inlineStr">
        <is>
          <t>服务质量</t>
        </is>
      </c>
      <c r="D2084" s="24" t="inlineStr">
        <is>
          <t>3</t>
        </is>
      </c>
      <c r="E2084" s="24" t="inlineStr">
        <is>
          <t>差</t>
        </is>
      </c>
    </row>
    <row r="2085" ht="15.95" customHeight="1" s="170">
      <c r="B2085" s="122" t="inlineStr">
        <is>
          <t>码值：BookInContractUnderApplyIndMain</t>
        </is>
      </c>
    </row>
    <row r="2086">
      <c r="B2086" s="24" t="inlineStr">
        <is>
          <t>BookInContractUnderApplyIndMain</t>
        </is>
      </c>
      <c r="C2086" s="24" t="inlineStr">
        <is>
          <t>个人额度项下合同登记申请主树图</t>
        </is>
      </c>
      <c r="D2086" s="24" t="inlineStr">
        <is>
          <t>1010</t>
        </is>
      </c>
      <c r="E2086" s="24" t="inlineStr">
        <is>
          <t>待处理</t>
        </is>
      </c>
    </row>
    <row r="2087">
      <c r="B2087" s="24" t="inlineStr">
        <is>
          <t>BookInContractUnderApplyIndMain</t>
        </is>
      </c>
      <c r="C2087" s="24" t="inlineStr">
        <is>
          <t>个人额度项下合同登记申请主树图</t>
        </is>
      </c>
      <c r="D2087" s="24" t="inlineStr">
        <is>
          <t>1020</t>
        </is>
      </c>
      <c r="E2087" s="24" t="inlineStr">
        <is>
          <t>审批中</t>
        </is>
      </c>
    </row>
    <row r="2088">
      <c r="B2088" s="24" t="inlineStr">
        <is>
          <t>BookInContractUnderApplyIndMain</t>
        </is>
      </c>
      <c r="C2088" s="24" t="inlineStr">
        <is>
          <t>个人额度项下合同登记申请主树图</t>
        </is>
      </c>
      <c r="D2088" s="24" t="inlineStr">
        <is>
          <t>1040,1050</t>
        </is>
      </c>
      <c r="E2088" s="24" t="inlineStr">
        <is>
          <t>处理完成</t>
        </is>
      </c>
    </row>
    <row r="2089" ht="15.95" customHeight="1" s="170">
      <c r="B2089" s="122" t="inlineStr">
        <is>
          <t>码值：ClDrawnApplySMEMain</t>
        </is>
      </c>
    </row>
    <row r="2090">
      <c r="B2090" s="24" t="inlineStr">
        <is>
          <t>ClDrawnApplySMEMain</t>
        </is>
      </c>
      <c r="C2090" s="24" t="inlineStr">
        <is>
          <t>小微额度提用申请主树图</t>
        </is>
      </c>
      <c r="D2090" s="24" t="inlineStr">
        <is>
          <t>1010</t>
        </is>
      </c>
      <c r="E2090" s="24" t="inlineStr">
        <is>
          <t>待处理</t>
        </is>
      </c>
    </row>
    <row r="2091">
      <c r="B2091" s="24" t="inlineStr">
        <is>
          <t>ClDrawnApplySMEMain</t>
        </is>
      </c>
      <c r="C2091" s="24" t="inlineStr">
        <is>
          <t>小微额度提用申请主树图</t>
        </is>
      </c>
      <c r="D2091" s="24" t="inlineStr">
        <is>
          <t>1020</t>
        </is>
      </c>
      <c r="E2091" s="24" t="inlineStr">
        <is>
          <t>审批中</t>
        </is>
      </c>
    </row>
    <row r="2092">
      <c r="B2092" s="24" t="inlineStr">
        <is>
          <t>ClDrawnApplySMEMain</t>
        </is>
      </c>
      <c r="C2092" s="24" t="inlineStr">
        <is>
          <t>小微额度提用申请主树图</t>
        </is>
      </c>
      <c r="D2092" s="24" t="inlineStr">
        <is>
          <t>1040,1050</t>
        </is>
      </c>
      <c r="E2092" s="24" t="inlineStr">
        <is>
          <t>处理完成</t>
        </is>
      </c>
    </row>
    <row r="2093" ht="15.95" customHeight="1" s="170">
      <c r="B2093" s="122" t="inlineStr">
        <is>
          <t>码值：UnLoadGuarantyApp1Main</t>
        </is>
      </c>
    </row>
    <row r="2094">
      <c r="B2094" s="24" t="inlineStr">
        <is>
          <t>UnLoadGuarantyApp1Main</t>
        </is>
      </c>
      <c r="C2094" s="24" t="inlineStr">
        <is>
          <t>UnLoadGuaranty申请主树图</t>
        </is>
      </c>
      <c r="D2094" s="24" t="inlineStr">
        <is>
          <t>1010</t>
        </is>
      </c>
      <c r="E2094" s="24" t="inlineStr">
        <is>
          <t>待处理的申请</t>
        </is>
      </c>
    </row>
    <row r="2095">
      <c r="B2095" s="24" t="inlineStr">
        <is>
          <t>UnLoadGuarantyApp1Main</t>
        </is>
      </c>
      <c r="C2095" s="24" t="inlineStr">
        <is>
          <t>UnLoadGuaranty申请主树图</t>
        </is>
      </c>
      <c r="D2095" s="24" t="inlineStr">
        <is>
          <t>1020</t>
        </is>
      </c>
      <c r="E2095" s="24" t="inlineStr">
        <is>
          <t>审查审批中的申请</t>
        </is>
      </c>
    </row>
    <row r="2096">
      <c r="B2096" s="24" t="inlineStr">
        <is>
          <t>UnLoadGuarantyApp1Main</t>
        </is>
      </c>
      <c r="C2096" s="24" t="inlineStr">
        <is>
          <t>UnLoadGuaranty申请主树图</t>
        </is>
      </c>
      <c r="D2096" s="24" t="inlineStr">
        <is>
          <t>1030</t>
        </is>
      </c>
      <c r="E2096" s="24" t="inlineStr">
        <is>
          <t>审批通过的申请</t>
        </is>
      </c>
    </row>
    <row r="2097">
      <c r="B2097" s="24" t="inlineStr">
        <is>
          <t>UnLoadGuarantyApp1Main</t>
        </is>
      </c>
      <c r="C2097" s="24" t="inlineStr">
        <is>
          <t>UnLoadGuaranty申请主树图</t>
        </is>
      </c>
      <c r="D2097" s="24" t="inlineStr">
        <is>
          <t>1040</t>
        </is>
      </c>
      <c r="E2097" s="24" t="inlineStr">
        <is>
          <t>被否决的申请</t>
        </is>
      </c>
    </row>
    <row r="2098" ht="15.95" customHeight="1" s="170">
      <c r="B2098" s="122" t="inlineStr">
        <is>
          <t>码值：PublicCatalogStatus</t>
        </is>
      </c>
    </row>
    <row r="2099">
      <c r="B2099" s="24" t="inlineStr">
        <is>
          <t>PublicCatalogStatus</t>
        </is>
      </c>
      <c r="C2099" s="24" t="inlineStr">
        <is>
          <t>目录状态</t>
        </is>
      </c>
      <c r="D2099" s="24" t="inlineStr">
        <is>
          <t>COMPLETE</t>
        </is>
      </c>
      <c r="E2099" s="24" t="inlineStr">
        <is>
          <t>已完成</t>
        </is>
      </c>
    </row>
    <row r="2100">
      <c r="B2100" s="24" t="inlineStr">
        <is>
          <t>PublicCatalogStatus</t>
        </is>
      </c>
      <c r="C2100" s="24" t="inlineStr">
        <is>
          <t>目录状态</t>
        </is>
      </c>
      <c r="D2100" s="24" t="inlineStr">
        <is>
          <t>EDITING</t>
        </is>
      </c>
      <c r="E2100" s="24" t="inlineStr">
        <is>
          <t>未完成</t>
        </is>
      </c>
    </row>
    <row r="2101" ht="15.95" customHeight="1" s="170">
      <c r="B2101" s="122" t="inlineStr">
        <is>
          <t>码值：分店数量</t>
        </is>
      </c>
    </row>
    <row r="2102">
      <c r="B2102" s="24" t="inlineStr">
        <is>
          <t>分店数量</t>
        </is>
      </c>
      <c r="C2102" s="24" t="inlineStr">
        <is>
          <t>分店数量</t>
        </is>
      </c>
      <c r="D2102" s="24" t="inlineStr">
        <is>
          <t>1</t>
        </is>
      </c>
      <c r="E2102" s="24" t="inlineStr">
        <is>
          <t>10家以上</t>
        </is>
      </c>
    </row>
    <row r="2103">
      <c r="B2103" s="24" t="inlineStr">
        <is>
          <t>分店数量</t>
        </is>
      </c>
      <c r="C2103" s="24" t="inlineStr">
        <is>
          <t>分店数量</t>
        </is>
      </c>
      <c r="D2103" s="24" t="inlineStr">
        <is>
          <t>2</t>
        </is>
      </c>
      <c r="E2103" s="24" t="inlineStr">
        <is>
          <t>3家以上</t>
        </is>
      </c>
    </row>
    <row r="2104">
      <c r="B2104" s="24" t="inlineStr">
        <is>
          <t>分店数量</t>
        </is>
      </c>
      <c r="C2104" s="24" t="inlineStr">
        <is>
          <t>分店数量</t>
        </is>
      </c>
      <c r="D2104" s="24" t="inlineStr">
        <is>
          <t>3</t>
        </is>
      </c>
      <c r="E2104" s="24" t="inlineStr">
        <is>
          <t>1家至3家</t>
        </is>
      </c>
    </row>
    <row r="2105">
      <c r="B2105" s="24" t="inlineStr">
        <is>
          <t>分店数量</t>
        </is>
      </c>
      <c r="C2105" s="24" t="inlineStr">
        <is>
          <t>分店数量</t>
        </is>
      </c>
      <c r="D2105" s="24" t="inlineStr">
        <is>
          <t>4</t>
        </is>
      </c>
      <c r="E2105" s="24" t="inlineStr">
        <is>
          <t>无分店</t>
        </is>
      </c>
    </row>
    <row r="2106" ht="15.95" customHeight="1" s="170">
      <c r="B2106" s="122" t="inlineStr">
        <is>
          <t>码值：ControlInvertorRelation</t>
        </is>
      </c>
    </row>
    <row r="2107">
      <c r="B2107" s="24" t="inlineStr">
        <is>
          <t>ControlInvertorRelation</t>
        </is>
      </c>
      <c r="C2107" s="24" t="inlineStr">
        <is>
          <t>信用等级评估统一导入</t>
        </is>
      </c>
      <c r="D2107" s="24" t="inlineStr">
        <is>
          <t>1</t>
        </is>
      </c>
      <c r="E2107" s="24" t="inlineStr">
        <is>
          <t>为其贷款提供担保</t>
        </is>
      </c>
    </row>
    <row r="2108">
      <c r="B2108" s="24" t="inlineStr">
        <is>
          <t>ControlInvertorRelation</t>
        </is>
      </c>
      <c r="C2108" s="24" t="inlineStr">
        <is>
          <t>信用等级评估统一导入</t>
        </is>
      </c>
      <c r="D2108" s="24" t="inlineStr">
        <is>
          <t>2</t>
        </is>
      </c>
      <c r="E2108" s="24" t="inlineStr">
        <is>
          <t>为经营、销售提供支持</t>
        </is>
      </c>
    </row>
    <row r="2109">
      <c r="B2109" s="24" t="inlineStr">
        <is>
          <t>ControlInvertorRelation</t>
        </is>
      </c>
      <c r="C2109" s="24" t="inlineStr">
        <is>
          <t>信用等级评估统一导入</t>
        </is>
      </c>
      <c r="D2109" s="24" t="inlineStr">
        <is>
          <t>3</t>
        </is>
      </c>
      <c r="E2109" s="24" t="inlineStr">
        <is>
          <t>与其关系松散</t>
        </is>
      </c>
    </row>
    <row r="2110" ht="15.95" customHeight="1" s="170">
      <c r="B2110" s="122" t="inlineStr">
        <is>
          <t>码值：SMECreditCAbility</t>
        </is>
      </c>
    </row>
    <row r="2111">
      <c r="B2111" s="24" t="inlineStr">
        <is>
          <t>SMECreditCAbility</t>
        </is>
      </c>
      <c r="C2111" s="24" t="inlineStr">
        <is>
          <t>固定资产变现能力</t>
        </is>
      </c>
      <c r="D2111" s="24" t="inlineStr">
        <is>
          <t>01</t>
        </is>
      </c>
      <c r="E2111" s="24" t="inlineStr">
        <is>
          <t>强</t>
        </is>
      </c>
    </row>
    <row r="2112">
      <c r="B2112" s="24" t="inlineStr">
        <is>
          <t>SMECreditCAbility</t>
        </is>
      </c>
      <c r="C2112" s="24" t="inlineStr">
        <is>
          <t>固定资产变现能力</t>
        </is>
      </c>
      <c r="D2112" s="24" t="inlineStr">
        <is>
          <t>02</t>
        </is>
      </c>
      <c r="E2112" s="24" t="inlineStr">
        <is>
          <t>弱</t>
        </is>
      </c>
    </row>
    <row r="2113" ht="15.95" customHeight="1" s="170">
      <c r="B2113" s="122" t="inlineStr">
        <is>
          <t>码值：PaymentFlowMain</t>
        </is>
      </c>
    </row>
    <row r="2114">
      <c r="B2114" s="24" t="inlineStr">
        <is>
          <t>PaymentFlowMain</t>
        </is>
      </c>
      <c r="C2114" s="24" t="inlineStr">
        <is>
          <t>支付流水树图</t>
        </is>
      </c>
      <c r="D2114" s="24" t="inlineStr">
        <is>
          <t>010</t>
        </is>
      </c>
      <c r="E2114" s="24" t="inlineStr">
        <is>
          <t>处理中的支付</t>
        </is>
      </c>
    </row>
    <row r="2115">
      <c r="B2115" s="24" t="inlineStr">
        <is>
          <t>PaymentFlowMain</t>
        </is>
      </c>
      <c r="C2115" s="24" t="inlineStr">
        <is>
          <t>支付流水树图</t>
        </is>
      </c>
      <c r="D2115" s="24" t="inlineStr">
        <is>
          <t>020</t>
        </is>
      </c>
      <c r="E2115" s="24" t="inlineStr">
        <is>
          <t>已完成的支付</t>
        </is>
      </c>
    </row>
    <row r="2116">
      <c r="B2116" s="24" t="inlineStr">
        <is>
          <t>PaymentFlowMain</t>
        </is>
      </c>
      <c r="C2116" s="24" t="inlineStr">
        <is>
          <t>支付流水树图</t>
        </is>
      </c>
      <c r="D2116" s="24" t="inlineStr">
        <is>
          <t>02010</t>
        </is>
      </c>
      <c r="E2116" s="24" t="inlineStr">
        <is>
          <t>借款人自主支付</t>
        </is>
      </c>
    </row>
    <row r="2117">
      <c r="B2117" s="24" t="inlineStr">
        <is>
          <t>PaymentFlowMain</t>
        </is>
      </c>
      <c r="C2117" s="24" t="inlineStr">
        <is>
          <t>支付流水树图</t>
        </is>
      </c>
      <c r="D2117" s="24" t="inlineStr">
        <is>
          <t>02020</t>
        </is>
      </c>
      <c r="E2117" s="24" t="inlineStr">
        <is>
          <t>贷款人受托支付</t>
        </is>
      </c>
    </row>
    <row r="2118">
      <c r="B2118" s="24" t="inlineStr">
        <is>
          <t>PaymentFlowMain</t>
        </is>
      </c>
      <c r="C2118" s="24" t="inlineStr">
        <is>
          <t>支付流水树图</t>
        </is>
      </c>
      <c r="D2118" s="24" t="inlineStr">
        <is>
          <t>030</t>
        </is>
      </c>
      <c r="E2118" s="24" t="inlineStr">
        <is>
          <t>失败的支付</t>
        </is>
      </c>
    </row>
    <row r="2119">
      <c r="B2119" s="24" t="inlineStr">
        <is>
          <t>PaymentFlowMain</t>
        </is>
      </c>
      <c r="C2119" s="24" t="inlineStr">
        <is>
          <t>支付流水树图</t>
        </is>
      </c>
      <c r="D2119" s="24" t="inlineStr">
        <is>
          <t>03010</t>
        </is>
      </c>
      <c r="E2119" s="24" t="inlineStr">
        <is>
          <t>借款人自主支付</t>
        </is>
      </c>
    </row>
    <row r="2120">
      <c r="B2120" s="24" t="inlineStr">
        <is>
          <t>PaymentFlowMain</t>
        </is>
      </c>
      <c r="C2120" s="24" t="inlineStr">
        <is>
          <t>支付流水树图</t>
        </is>
      </c>
      <c r="D2120" s="24" t="inlineStr">
        <is>
          <t>03020</t>
        </is>
      </c>
      <c r="E2120" s="24" t="inlineStr">
        <is>
          <t>贷款人受托支付</t>
        </is>
      </c>
    </row>
    <row r="2121" ht="15.95" customHeight="1" s="170">
      <c r="B2121" s="122" t="inlineStr">
        <is>
          <t>码值：施工企业产权制度</t>
        </is>
      </c>
    </row>
    <row r="2122">
      <c r="B2122" s="24" t="inlineStr">
        <is>
          <t>施工企业产权制度</t>
        </is>
      </c>
      <c r="C2122" s="24" t="inlineStr">
        <is>
          <t>施工企业产权制度</t>
        </is>
      </c>
      <c r="D2122" s="24" t="inlineStr">
        <is>
          <t>1</t>
        </is>
      </c>
      <c r="E2122" s="24" t="inlineStr">
        <is>
          <t>国际著名企业在华投资或外方投资金额在2000万美金以上</t>
        </is>
      </c>
    </row>
    <row r="2123">
      <c r="B2123" s="24" t="inlineStr">
        <is>
          <t>施工企业产权制度</t>
        </is>
      </c>
      <c r="C2123" s="24" t="inlineStr">
        <is>
          <t>施工企业产权制度</t>
        </is>
      </c>
      <c r="D2123" s="24" t="inlineStr">
        <is>
          <t>2</t>
        </is>
      </c>
      <c r="E2123" s="24" t="inlineStr">
        <is>
          <t>上市股份有限公司</t>
        </is>
      </c>
    </row>
    <row r="2124">
      <c r="B2124" s="24" t="inlineStr">
        <is>
          <t>施工企业产权制度</t>
        </is>
      </c>
      <c r="C2124" s="24" t="inlineStr">
        <is>
          <t>施工企业产权制度</t>
        </is>
      </c>
      <c r="D2124" s="24" t="inlineStr">
        <is>
          <t>3</t>
        </is>
      </c>
      <c r="E2124" s="24" t="inlineStr">
        <is>
          <t>未上市股份有限公司</t>
        </is>
      </c>
    </row>
    <row r="2125">
      <c r="B2125" s="24" t="inlineStr">
        <is>
          <t>施工企业产权制度</t>
        </is>
      </c>
      <c r="C2125" s="24" t="inlineStr">
        <is>
          <t>施工企业产权制度</t>
        </is>
      </c>
      <c r="D2125" s="24" t="inlineStr">
        <is>
          <t>4</t>
        </is>
      </c>
      <c r="E2125" s="24" t="inlineStr">
        <is>
          <t>有限责任公司</t>
        </is>
      </c>
    </row>
    <row r="2126">
      <c r="B2126" s="24" t="inlineStr">
        <is>
          <t>施工企业产权制度</t>
        </is>
      </c>
      <c r="C2126" s="24" t="inlineStr">
        <is>
          <t>施工企业产权制度</t>
        </is>
      </c>
      <c r="D2126" s="24" t="inlineStr">
        <is>
          <t>5</t>
        </is>
      </c>
      <c r="E2126" s="24" t="inlineStr">
        <is>
          <t>未经股份制改造的国有企业</t>
        </is>
      </c>
    </row>
    <row r="2127">
      <c r="B2127" s="24" t="inlineStr">
        <is>
          <t>施工企业产权制度</t>
        </is>
      </c>
      <c r="C2127" s="24" t="inlineStr">
        <is>
          <t>施工企业产权制度</t>
        </is>
      </c>
      <c r="D2127" s="24" t="inlineStr">
        <is>
          <t>6</t>
        </is>
      </c>
      <c r="E2127" s="24" t="inlineStr">
        <is>
          <t>其他</t>
        </is>
      </c>
    </row>
    <row r="2128" ht="15.95" customHeight="1" s="170">
      <c r="B2128" s="122" t="inlineStr">
        <is>
          <t>码值：ExamineSiteSelecting</t>
        </is>
      </c>
    </row>
    <row r="2129">
      <c r="B2129" s="24" t="inlineStr">
        <is>
          <t>ExamineSiteSelecting</t>
        </is>
      </c>
      <c r="C2129" s="24" t="inlineStr">
        <is>
          <t>信用等级评估统一导入</t>
        </is>
      </c>
      <c r="D2129" s="24" t="inlineStr">
        <is>
          <t>01</t>
        </is>
      </c>
      <c r="E2129" s="24" t="inlineStr">
        <is>
          <t>已获全部批文</t>
        </is>
      </c>
    </row>
    <row r="2130">
      <c r="B2130" s="24" t="inlineStr">
        <is>
          <t>ExamineSiteSelecting</t>
        </is>
      </c>
      <c r="C2130" s="24" t="inlineStr">
        <is>
          <t>信用等级评估统一导入</t>
        </is>
      </c>
      <c r="D2130" s="24" t="inlineStr">
        <is>
          <t>02</t>
        </is>
      </c>
      <c r="E2130" s="24" t="inlineStr">
        <is>
          <t>一些事项尚待批准但获批可能性很大</t>
        </is>
      </c>
    </row>
    <row r="2131">
      <c r="B2131" s="24" t="inlineStr">
        <is>
          <t>ExamineSiteSelecting</t>
        </is>
      </c>
      <c r="C2131" s="24" t="inlineStr">
        <is>
          <t>信用等级评估统一导入</t>
        </is>
      </c>
      <c r="D2131" s="24" t="inlineStr">
        <is>
          <t>03</t>
        </is>
      </c>
      <c r="E2131" s="24" t="inlineStr">
        <is>
          <t>一些事项尚待批准但审批程序明确，审批只是例行公事</t>
        </is>
      </c>
    </row>
    <row r="2132">
      <c r="B2132" s="24" t="inlineStr">
        <is>
          <t>ExamineSiteSelecting</t>
        </is>
      </c>
      <c r="C2132" s="24" t="inlineStr">
        <is>
          <t>信用等级评估统一导入</t>
        </is>
      </c>
      <c r="D2132" s="24" t="inlineStr">
        <is>
          <t>04</t>
        </is>
      </c>
      <c r="E2132" s="24" t="inlineStr">
        <is>
          <t>尚未获得关键批件，审批并非例行公事，可能还要满足其他一些重要条件</t>
        </is>
      </c>
    </row>
    <row r="2133" ht="15.95" customHeight="1" s="170">
      <c r="B2133" s="122" t="inlineStr">
        <is>
          <t>码值：地块规划</t>
        </is>
      </c>
    </row>
    <row r="2134">
      <c r="B2134" s="24" t="inlineStr">
        <is>
          <t>地块规划</t>
        </is>
      </c>
      <c r="C2134" s="24" t="inlineStr">
        <is>
          <t>地块规划</t>
        </is>
      </c>
      <c r="D2134" s="24" t="inlineStr">
        <is>
          <t>1</t>
        </is>
      </c>
      <c r="E2134" s="24" t="inlineStr">
        <is>
          <t>有重大规划前景</t>
        </is>
      </c>
    </row>
    <row r="2135">
      <c r="B2135" s="24" t="inlineStr">
        <is>
          <t>地块规划</t>
        </is>
      </c>
      <c r="C2135" s="24" t="inlineStr">
        <is>
          <t>地块规划</t>
        </is>
      </c>
      <c r="D2135" s="24" t="inlineStr">
        <is>
          <t>2</t>
        </is>
      </c>
      <c r="E2135" s="24" t="inlineStr">
        <is>
          <t>目前无</t>
        </is>
      </c>
    </row>
    <row r="2136" ht="15.95" customHeight="1" s="170">
      <c r="B2136" s="122" t="inlineStr">
        <is>
          <t>码值：FundAppropriation</t>
        </is>
      </c>
    </row>
    <row r="2137">
      <c r="B2137" s="24" t="inlineStr">
        <is>
          <t>FundAppropriation</t>
        </is>
      </c>
      <c r="C2137" s="24" t="inlineStr">
        <is>
          <t>信用等级评估统一导入</t>
        </is>
      </c>
      <c r="D2137" s="24" t="inlineStr">
        <is>
          <t>01</t>
        </is>
      </c>
      <c r="E2137" s="24" t="inlineStr">
        <is>
          <t>有融资资金专户，专项用于拨付投融资项目资金，并接受第三方监管</t>
        </is>
      </c>
    </row>
    <row r="2138">
      <c r="B2138" s="24" t="inlineStr">
        <is>
          <t>FundAppropriation</t>
        </is>
      </c>
      <c r="C2138" s="24" t="inlineStr">
        <is>
          <t>信用等级评估统一导入</t>
        </is>
      </c>
      <c r="D2138" s="24" t="inlineStr">
        <is>
          <t>02</t>
        </is>
      </c>
      <c r="E2138" s="24" t="inlineStr">
        <is>
          <t>资金拨付实行联合会审制度，且项目建设资金的拨付实行比例控制</t>
        </is>
      </c>
    </row>
    <row r="2139">
      <c r="B2139" s="24" t="inlineStr">
        <is>
          <t>FundAppropriation</t>
        </is>
      </c>
      <c r="C2139" s="24" t="inlineStr">
        <is>
          <t>信用等级评估统一导入</t>
        </is>
      </c>
      <c r="D2139" s="24" t="inlineStr">
        <is>
          <t>03</t>
        </is>
      </c>
      <c r="E2139" s="24" t="inlineStr">
        <is>
          <t>资金拨付实行联合会审制度</t>
        </is>
      </c>
    </row>
    <row r="2140">
      <c r="B2140" s="24" t="inlineStr">
        <is>
          <t>FundAppropriation</t>
        </is>
      </c>
      <c r="C2140" s="24" t="inlineStr">
        <is>
          <t>信用等级评估统一导入</t>
        </is>
      </c>
      <c r="D2140" s="24" t="inlineStr">
        <is>
          <t>04</t>
        </is>
      </c>
      <c r="E2140" s="24" t="inlineStr">
        <is>
          <t>无资金拨付相关制度</t>
        </is>
      </c>
    </row>
    <row r="2141" ht="15.95" customHeight="1" s="170">
      <c r="B2141" s="122" t="inlineStr">
        <is>
          <t>码值：报表情况</t>
        </is>
      </c>
    </row>
    <row r="2142">
      <c r="B2142" s="24" t="inlineStr">
        <is>
          <t>报表情况</t>
        </is>
      </c>
      <c r="C2142" s="24" t="inlineStr">
        <is>
          <t>报表情况</t>
        </is>
      </c>
      <c r="D2142" s="24" t="inlineStr">
        <is>
          <t>1</t>
        </is>
      </c>
      <c r="E2142" s="24" t="inlineStr">
        <is>
          <t>报表未经审计</t>
        </is>
      </c>
    </row>
    <row r="2143">
      <c r="B2143" s="24" t="inlineStr">
        <is>
          <t>报表情况</t>
        </is>
      </c>
      <c r="C2143" s="24" t="inlineStr">
        <is>
          <t>报表情况</t>
        </is>
      </c>
      <c r="D2143" s="24" t="inlineStr">
        <is>
          <t>2</t>
        </is>
      </c>
      <c r="E2143" s="24" t="inlineStr">
        <is>
          <t>审计后，持保留意见</t>
        </is>
      </c>
    </row>
    <row r="2144">
      <c r="B2144" s="24" t="inlineStr">
        <is>
          <t>报表情况</t>
        </is>
      </c>
      <c r="C2144" s="24" t="inlineStr">
        <is>
          <t>报表情况</t>
        </is>
      </c>
      <c r="D2144" s="24" t="inlineStr">
        <is>
          <t>3</t>
        </is>
      </c>
      <c r="E2144" s="24" t="inlineStr">
        <is>
          <t>审计后，否定或拒绝表示意见</t>
        </is>
      </c>
    </row>
    <row r="2145">
      <c r="B2145" s="24" t="inlineStr">
        <is>
          <t>报表情况</t>
        </is>
      </c>
      <c r="C2145" s="24" t="inlineStr">
        <is>
          <t>报表情况</t>
        </is>
      </c>
      <c r="D2145" s="24" t="inlineStr">
        <is>
          <t>4</t>
        </is>
      </c>
      <c r="E2145" s="24" t="inlineStr">
        <is>
          <t>其他</t>
        </is>
      </c>
    </row>
    <row r="2146" ht="15.95" customHeight="1" s="170">
      <c r="B2146" s="122" t="inlineStr">
        <is>
          <t>码值：ProjectSubType</t>
        </is>
      </c>
    </row>
    <row r="2147">
      <c r="B2147" s="24" t="inlineStr">
        <is>
          <t>ProjectSubType</t>
        </is>
      </c>
      <c r="C2147" s="24" t="inlineStr">
        <is>
          <t>固定资产投资类项目类型</t>
        </is>
      </c>
      <c r="D2147" s="24" t="inlineStr">
        <is>
          <t>01</t>
        </is>
      </c>
      <c r="E2147" s="24" t="inlineStr">
        <is>
          <t>基本建设</t>
        </is>
      </c>
    </row>
    <row r="2148">
      <c r="B2148" s="24" t="inlineStr">
        <is>
          <t>ProjectSubType</t>
        </is>
      </c>
      <c r="C2148" s="24" t="inlineStr">
        <is>
          <t>固定资产投资类项目类型</t>
        </is>
      </c>
      <c r="D2148" s="24" t="inlineStr">
        <is>
          <t>02</t>
        </is>
      </c>
      <c r="E2148" s="24" t="inlineStr">
        <is>
          <t>技术改造</t>
        </is>
      </c>
    </row>
    <row r="2149">
      <c r="B2149" s="24" t="inlineStr">
        <is>
          <t>ProjectSubType</t>
        </is>
      </c>
      <c r="C2149" s="24" t="inlineStr">
        <is>
          <t>固定资产投资类项目类型</t>
        </is>
      </c>
      <c r="D2149" s="24" t="inlineStr">
        <is>
          <t>03</t>
        </is>
      </c>
      <c r="E2149" s="24" t="inlineStr">
        <is>
          <t>科技开发</t>
        </is>
      </c>
    </row>
    <row r="2150">
      <c r="B2150" s="24" t="inlineStr">
        <is>
          <t>ProjectSubType</t>
        </is>
      </c>
      <c r="C2150" s="24" t="inlineStr">
        <is>
          <t>固定资产投资类项目类型</t>
        </is>
      </c>
      <c r="D2150" s="24" t="inlineStr">
        <is>
          <t>04</t>
        </is>
      </c>
      <c r="E2150" s="24" t="inlineStr">
        <is>
          <t>其它</t>
        </is>
      </c>
    </row>
    <row r="2151" ht="15.95" customHeight="1" s="170">
      <c r="B2151" s="122" t="inlineStr">
        <is>
          <t>码值：RelativeType</t>
        </is>
      </c>
    </row>
    <row r="2152">
      <c r="B2152" s="24" t="inlineStr">
        <is>
          <t>RelativeType</t>
        </is>
      </c>
      <c r="C2152" s="24" t="inlineStr">
        <is>
          <t>集团客户和借款人关系</t>
        </is>
      </c>
      <c r="D2152" s="24" t="inlineStr">
        <is>
          <t>00</t>
        </is>
      </c>
      <c r="E2152" s="24" t="inlineStr">
        <is>
          <t>源公司自身</t>
        </is>
      </c>
    </row>
    <row r="2153">
      <c r="B2153" s="24" t="inlineStr">
        <is>
          <t>RelativeType</t>
        </is>
      </c>
      <c r="C2153" s="24" t="inlineStr">
        <is>
          <t>集团客户和借款人关系</t>
        </is>
      </c>
      <c r="D2153" s="24" t="inlineStr">
        <is>
          <t>01</t>
        </is>
      </c>
      <c r="E2153" s="24" t="inlineStr">
        <is>
          <t>控制源公司50％以上股权</t>
        </is>
      </c>
    </row>
    <row r="2154">
      <c r="B2154" s="24" t="inlineStr">
        <is>
          <t>RelativeType</t>
        </is>
      </c>
      <c r="C2154" s="24" t="inlineStr">
        <is>
          <t>集团客户和借款人关系</t>
        </is>
      </c>
      <c r="D2154" s="24" t="inlineStr">
        <is>
          <t>02</t>
        </is>
      </c>
      <c r="E2154" s="24" t="inlineStr">
        <is>
          <t>其他集团关系</t>
        </is>
      </c>
    </row>
    <row r="2155">
      <c r="B2155" s="24" t="inlineStr">
        <is>
          <t>RelativeType</t>
        </is>
      </c>
      <c r="C2155" s="24" t="inlineStr">
        <is>
          <t>集团客户和借款人关系</t>
        </is>
      </c>
      <c r="D2155" s="24" t="inlineStr">
        <is>
          <t>03</t>
        </is>
      </c>
      <c r="E2155" s="24" t="inlineStr">
        <is>
          <t>为源公司第一大股东</t>
        </is>
      </c>
    </row>
    <row r="2156">
      <c r="B2156" s="24" t="inlineStr">
        <is>
          <t>RelativeType</t>
        </is>
      </c>
      <c r="C2156" s="24" t="inlineStr">
        <is>
          <t>集团客户和借款人关系</t>
        </is>
      </c>
      <c r="D2156" s="24" t="inlineStr">
        <is>
          <t>04</t>
        </is>
      </c>
      <c r="E2156" s="24" t="inlineStr">
        <is>
          <t>合并财务报表</t>
        </is>
      </c>
    </row>
    <row r="2157">
      <c r="B2157" s="24" t="inlineStr">
        <is>
          <t>RelativeType</t>
        </is>
      </c>
      <c r="C2157" s="24" t="inlineStr">
        <is>
          <t>集团客户和借款人关系</t>
        </is>
      </c>
      <c r="D2157" s="24" t="inlineStr">
        <is>
          <t>05</t>
        </is>
      </c>
      <c r="E2157" s="24" t="inlineStr">
        <is>
          <t>源公司控制其50％以上股权</t>
        </is>
      </c>
    </row>
    <row r="2158">
      <c r="B2158" s="24" t="inlineStr">
        <is>
          <t>RelativeType</t>
        </is>
      </c>
      <c r="C2158" s="24" t="inlineStr">
        <is>
          <t>集团客户和借款人关系</t>
        </is>
      </c>
      <c r="D2158" s="24" t="inlineStr">
        <is>
          <t>06</t>
        </is>
      </c>
      <c r="E2158" s="24" t="inlineStr">
        <is>
          <t>源公司为其第一大股东</t>
        </is>
      </c>
    </row>
    <row r="2159">
      <c r="B2159" s="24" t="inlineStr">
        <is>
          <t>RelativeType</t>
        </is>
      </c>
      <c r="C2159" s="24" t="inlineStr">
        <is>
          <t>集团客户和借款人关系</t>
        </is>
      </c>
      <c r="D2159" s="24" t="inlineStr">
        <is>
          <t>07</t>
        </is>
      </c>
      <c r="E2159" s="24" t="inlineStr">
        <is>
          <t>同一法人代表</t>
        </is>
      </c>
    </row>
    <row r="2160">
      <c r="B2160" s="24" t="inlineStr">
        <is>
          <t>RelativeType</t>
        </is>
      </c>
      <c r="C2160" s="24" t="inlineStr">
        <is>
          <t>集团客户和借款人关系</t>
        </is>
      </c>
      <c r="D2160" s="24" t="inlineStr">
        <is>
          <t>99</t>
        </is>
      </c>
      <c r="E2160" s="24" t="inlineStr">
        <is>
          <t>集团主体</t>
        </is>
      </c>
    </row>
    <row r="2161" ht="15.95" customHeight="1" s="170">
      <c r="B2161" s="122" t="inlineStr">
        <is>
          <t>码值：RecordType</t>
        </is>
      </c>
    </row>
    <row r="2162">
      <c r="B2162" s="24" t="inlineStr">
        <is>
          <t>RecordType</t>
        </is>
      </c>
      <c r="C2162" s="24" t="inlineStr">
        <is>
          <t>记录类型</t>
        </is>
      </c>
      <c r="D2162" s="24" t="inlineStr">
        <is>
          <t>0010</t>
        </is>
      </c>
      <c r="E2162" s="24" t="inlineStr">
        <is>
          <t>文档资料缺少</t>
        </is>
      </c>
    </row>
    <row r="2163">
      <c r="B2163" s="24" t="inlineStr">
        <is>
          <t>RecordType</t>
        </is>
      </c>
      <c r="C2163" s="24" t="inlineStr">
        <is>
          <t>记录类型</t>
        </is>
      </c>
      <c r="D2163" s="24" t="inlineStr">
        <is>
          <t>0020</t>
        </is>
      </c>
      <c r="E2163" s="24" t="inlineStr">
        <is>
          <t>申请信息错误</t>
        </is>
      </c>
    </row>
    <row r="2164">
      <c r="B2164" s="24" t="inlineStr">
        <is>
          <t>RecordType</t>
        </is>
      </c>
      <c r="C2164" s="24" t="inlineStr">
        <is>
          <t>记录类型</t>
        </is>
      </c>
      <c r="D2164" s="24" t="inlineStr">
        <is>
          <t>0030</t>
        </is>
      </c>
      <c r="E2164" s="24" t="inlineStr">
        <is>
          <t>影像资料缺少</t>
        </is>
      </c>
    </row>
    <row r="2165" ht="15.95" customHeight="1" s="170">
      <c r="B2165" s="122" t="inlineStr">
        <is>
          <t>码值：服务区域多元化</t>
        </is>
      </c>
    </row>
    <row r="2166">
      <c r="B2166" s="24" t="inlineStr">
        <is>
          <t>服务区域多元化</t>
        </is>
      </c>
      <c r="C2166" s="24" t="inlineStr">
        <is>
          <t>服务区域多元化</t>
        </is>
      </c>
      <c r="D2166" s="24" t="inlineStr">
        <is>
          <t>01</t>
        </is>
      </c>
      <c r="E2166" s="24" t="inlineStr">
        <is>
          <t>产品或服务销售范围大于4个省份或直辖市</t>
        </is>
      </c>
    </row>
    <row r="2167">
      <c r="B2167" s="24" t="inlineStr">
        <is>
          <t>服务区域多元化</t>
        </is>
      </c>
      <c r="C2167" s="24" t="inlineStr">
        <is>
          <t>服务区域多元化</t>
        </is>
      </c>
      <c r="D2167" s="24" t="inlineStr">
        <is>
          <t>02</t>
        </is>
      </c>
      <c r="E2167" s="24" t="inlineStr">
        <is>
          <t>产品或服务销售范围在2至3个省或直辖市范围内</t>
        </is>
      </c>
    </row>
    <row r="2168">
      <c r="B2168" s="24" t="inlineStr">
        <is>
          <t>服务区域多元化</t>
        </is>
      </c>
      <c r="C2168" s="24" t="inlineStr">
        <is>
          <t>服务区域多元化</t>
        </is>
      </c>
      <c r="D2168" s="24" t="inlineStr">
        <is>
          <t>03</t>
        </is>
      </c>
      <c r="E2168" s="24" t="inlineStr">
        <is>
          <t>产品或服务销售范围在1个省或直辖市内</t>
        </is>
      </c>
    </row>
    <row r="2169">
      <c r="B2169" s="24" t="inlineStr">
        <is>
          <t>服务区域多元化</t>
        </is>
      </c>
      <c r="C2169" s="24" t="inlineStr">
        <is>
          <t>服务区域多元化</t>
        </is>
      </c>
      <c r="D2169" s="24" t="inlineStr">
        <is>
          <t>04</t>
        </is>
      </c>
      <c r="E2169" s="24" t="inlineStr">
        <is>
          <t xml:space="preserve">产品或服务销售范围在1个地级市之内　</t>
        </is>
      </c>
    </row>
    <row r="2170" ht="15.95" customHeight="1" s="170">
      <c r="B2170" s="122" t="inlineStr">
        <is>
          <t>码值：SalesLevel</t>
        </is>
      </c>
    </row>
    <row r="2171">
      <c r="B2171" s="24" t="inlineStr">
        <is>
          <t>SalesLevel</t>
        </is>
      </c>
      <c r="C2171" s="24" t="inlineStr">
        <is>
          <t>信用等级评估统一导入</t>
        </is>
      </c>
      <c r="D2171" s="24" t="inlineStr">
        <is>
          <t>01</t>
        </is>
      </c>
      <c r="E2171" s="24" t="inlineStr">
        <is>
          <t>&gt;=60%</t>
        </is>
      </c>
    </row>
    <row r="2172">
      <c r="B2172" s="24" t="inlineStr">
        <is>
          <t>SalesLevel</t>
        </is>
      </c>
      <c r="C2172" s="24" t="inlineStr">
        <is>
          <t>信用等级评估统一导入</t>
        </is>
      </c>
      <c r="D2172" s="24" t="inlineStr">
        <is>
          <t>02</t>
        </is>
      </c>
      <c r="E2172" s="24" t="inlineStr">
        <is>
          <t>&gt;=30%,&lt;60%</t>
        </is>
      </c>
    </row>
    <row r="2173">
      <c r="B2173" s="24" t="inlineStr">
        <is>
          <t>SalesLevel</t>
        </is>
      </c>
      <c r="C2173" s="24" t="inlineStr">
        <is>
          <t>信用等级评估统一导入</t>
        </is>
      </c>
      <c r="D2173" s="24" t="inlineStr">
        <is>
          <t>03</t>
        </is>
      </c>
      <c r="E2173" s="24" t="inlineStr">
        <is>
          <t>&lt;30%</t>
        </is>
      </c>
    </row>
    <row r="2174">
      <c r="B2174" s="24" t="inlineStr">
        <is>
          <t>SalesLevel</t>
        </is>
      </c>
      <c r="C2174" s="24" t="inlineStr">
        <is>
          <t>信用等级评估统一导入</t>
        </is>
      </c>
      <c r="D2174" s="24" t="inlineStr">
        <is>
          <t>04</t>
        </is>
      </c>
      <c r="E2174" s="24" t="inlineStr">
        <is>
          <t>尚未销售</t>
        </is>
      </c>
    </row>
    <row r="2175">
      <c r="B2175" s="24" t="inlineStr">
        <is>
          <t>SalesLevel</t>
        </is>
      </c>
      <c r="C2175" s="24" t="inlineStr">
        <is>
          <t>信用等级评估统一导入</t>
        </is>
      </c>
      <c r="D2175" s="24" t="inlineStr">
        <is>
          <t>05</t>
        </is>
      </c>
      <c r="E2175" s="24" t="inlineStr">
        <is>
          <t>&gt;=30%</t>
        </is>
      </c>
    </row>
    <row r="2176">
      <c r="B2176" s="24" t="inlineStr">
        <is>
          <t>SalesLevel</t>
        </is>
      </c>
      <c r="C2176" s="24" t="inlineStr">
        <is>
          <t>信用等级评估统一导入</t>
        </is>
      </c>
      <c r="D2176" s="24" t="inlineStr">
        <is>
          <t>06</t>
        </is>
      </c>
      <c r="E2176" s="24" t="inlineStr">
        <is>
          <t>&lt;30%</t>
        </is>
      </c>
    </row>
    <row r="2177">
      <c r="B2177" s="24" t="inlineStr">
        <is>
          <t>SalesLevel</t>
        </is>
      </c>
      <c r="C2177" s="24" t="inlineStr">
        <is>
          <t>信用等级评估统一导入</t>
        </is>
      </c>
      <c r="D2177" s="24" t="inlineStr">
        <is>
          <t>07</t>
        </is>
      </c>
      <c r="E2177" s="24" t="inlineStr">
        <is>
          <t>尚未销售</t>
        </is>
      </c>
    </row>
    <row r="2178" ht="15.95" customHeight="1" s="170">
      <c r="B2178" s="122" t="inlineStr">
        <is>
          <t>码值：技术力量</t>
        </is>
      </c>
    </row>
    <row r="2179">
      <c r="B2179" s="24" t="inlineStr">
        <is>
          <t>技术力量</t>
        </is>
      </c>
      <c r="C2179" s="24" t="inlineStr">
        <is>
          <t>技术力量</t>
        </is>
      </c>
      <c r="D2179" s="24" t="inlineStr">
        <is>
          <t>1</t>
        </is>
      </c>
      <c r="E2179" s="24" t="inlineStr">
        <is>
          <t>好</t>
        </is>
      </c>
    </row>
    <row r="2180">
      <c r="B2180" s="24" t="inlineStr">
        <is>
          <t>技术力量</t>
        </is>
      </c>
      <c r="C2180" s="24" t="inlineStr">
        <is>
          <t>技术力量</t>
        </is>
      </c>
      <c r="D2180" s="24" t="inlineStr">
        <is>
          <t>2</t>
        </is>
      </c>
      <c r="E2180" s="24" t="inlineStr">
        <is>
          <t>一般</t>
        </is>
      </c>
    </row>
    <row r="2181">
      <c r="B2181" s="24" t="inlineStr">
        <is>
          <t>技术力量</t>
        </is>
      </c>
      <c r="C2181" s="24" t="inlineStr">
        <is>
          <t>技术力量</t>
        </is>
      </c>
      <c r="D2181" s="24" t="inlineStr">
        <is>
          <t>3</t>
        </is>
      </c>
      <c r="E2181" s="24" t="inlineStr">
        <is>
          <t>较差</t>
        </is>
      </c>
    </row>
    <row r="2182" ht="15.95" customHeight="1" s="170">
      <c r="B2182" s="122" t="inlineStr">
        <is>
          <t>码值：ControlInvertorBack</t>
        </is>
      </c>
    </row>
    <row r="2183">
      <c r="B2183" s="24" t="inlineStr">
        <is>
          <t>ControlInvertorBack</t>
        </is>
      </c>
      <c r="C2183" s="24" t="inlineStr">
        <is>
          <t>信用等级评估统一导入</t>
        </is>
      </c>
      <c r="D2183" s="24" t="inlineStr">
        <is>
          <t>1</t>
        </is>
      </c>
      <c r="E2183" s="24" t="inlineStr">
        <is>
          <t>世界500强企业</t>
        </is>
      </c>
    </row>
    <row r="2184">
      <c r="B2184" s="24" t="inlineStr">
        <is>
          <t>ControlInvertorBack</t>
        </is>
      </c>
      <c r="C2184" s="24" t="inlineStr">
        <is>
          <t>信用等级评估统一导入</t>
        </is>
      </c>
      <c r="D2184" s="24" t="inlineStr">
        <is>
          <t>2</t>
        </is>
      </c>
      <c r="E2184" s="24" t="inlineStr">
        <is>
          <t>中央级企业</t>
        </is>
      </c>
    </row>
    <row r="2185">
      <c r="B2185" s="24" t="inlineStr">
        <is>
          <t>ControlInvertorBack</t>
        </is>
      </c>
      <c r="C2185" s="24" t="inlineStr">
        <is>
          <t>信用等级评估统一导入</t>
        </is>
      </c>
      <c r="D2185" s="24" t="inlineStr">
        <is>
          <t>3</t>
        </is>
      </c>
      <c r="E2185" s="24" t="inlineStr">
        <is>
          <t>欧美合资企业</t>
        </is>
      </c>
    </row>
    <row r="2186">
      <c r="B2186" s="24" t="inlineStr">
        <is>
          <t>ControlInvertorBack</t>
        </is>
      </c>
      <c r="C2186" s="24" t="inlineStr">
        <is>
          <t>信用等级评估统一导入</t>
        </is>
      </c>
      <c r="D2186" s="24" t="inlineStr">
        <is>
          <t>4</t>
        </is>
      </c>
      <c r="E2186" s="24" t="inlineStr">
        <is>
          <t>其他外商</t>
        </is>
      </c>
    </row>
    <row r="2187">
      <c r="B2187" s="24" t="inlineStr">
        <is>
          <t>ControlInvertorBack</t>
        </is>
      </c>
      <c r="C2187" s="24" t="inlineStr">
        <is>
          <t>信用等级评估统一导入</t>
        </is>
      </c>
      <c r="D2187" s="24" t="inlineStr">
        <is>
          <t>5</t>
        </is>
      </c>
      <c r="E2187" s="24" t="inlineStr">
        <is>
          <t>上市公司</t>
        </is>
      </c>
    </row>
    <row r="2188">
      <c r="B2188" s="24" t="inlineStr">
        <is>
          <t>ControlInvertorBack</t>
        </is>
      </c>
      <c r="C2188" s="24" t="inlineStr">
        <is>
          <t>信用等级评估统一导入</t>
        </is>
      </c>
      <c r="D2188" s="24" t="inlineStr">
        <is>
          <t>6</t>
        </is>
      </c>
      <c r="E2188" s="24" t="inlineStr">
        <is>
          <t>其他</t>
        </is>
      </c>
    </row>
    <row r="2189">
      <c r="B2189" s="24" t="inlineStr">
        <is>
          <t>ControlInvertorBack</t>
        </is>
      </c>
      <c r="C2189" s="24" t="inlineStr">
        <is>
          <t>信用等级评估统一导入</t>
        </is>
      </c>
      <c r="D2189" s="24" t="inlineStr">
        <is>
          <t>7</t>
        </is>
      </c>
      <c r="E2189" s="24" t="inlineStr">
        <is>
          <t>全部由私人出资，股东人数小于等于4人、且净资产在500万以下</t>
        </is>
      </c>
    </row>
    <row r="2190" ht="15.95" customHeight="1" s="170">
      <c r="B2190" s="122" t="inlineStr">
        <is>
          <t>码值：EvaluateQualificationType</t>
        </is>
      </c>
    </row>
    <row r="2191">
      <c r="B2191" s="24" t="inlineStr">
        <is>
          <t>EvaluateQualificationType</t>
        </is>
      </c>
      <c r="C2191" s="24" t="inlineStr">
        <is>
          <t>评估资质类型</t>
        </is>
      </c>
      <c r="D2191" s="24" t="inlineStr">
        <is>
          <t>AppraisalOrg0101</t>
        </is>
      </c>
      <c r="E2191" s="24" t="inlineStr">
        <is>
          <t>资产评估(准入)</t>
        </is>
      </c>
    </row>
    <row r="2192">
      <c r="B2192" s="24" t="inlineStr">
        <is>
          <t>EvaluateQualificationType</t>
        </is>
      </c>
      <c r="C2192" s="24" t="inlineStr">
        <is>
          <t>评估资质类型</t>
        </is>
      </c>
      <c r="D2192" s="24" t="inlineStr">
        <is>
          <t>AppraisalOrg0102</t>
        </is>
      </c>
      <c r="E2192" s="24" t="inlineStr">
        <is>
          <t>房地产评估(准入)</t>
        </is>
      </c>
    </row>
    <row r="2193">
      <c r="B2193" s="24" t="inlineStr">
        <is>
          <t>EvaluateQualificationType</t>
        </is>
      </c>
      <c r="C2193" s="24" t="inlineStr">
        <is>
          <t>评估资质类型</t>
        </is>
      </c>
      <c r="D2193" s="24" t="inlineStr">
        <is>
          <t>AppraisalOrg0103</t>
        </is>
      </c>
      <c r="E2193" s="24" t="inlineStr">
        <is>
          <t>土地评估(准入)</t>
        </is>
      </c>
    </row>
    <row r="2194">
      <c r="B2194" s="24" t="inlineStr">
        <is>
          <t>EvaluateQualificationType</t>
        </is>
      </c>
      <c r="C2194" s="24" t="inlineStr">
        <is>
          <t>评估资质类型</t>
        </is>
      </c>
      <c r="D2194" s="24" t="inlineStr">
        <is>
          <t>AppraisalOrg0104</t>
        </is>
      </c>
      <c r="E2194" s="24" t="inlineStr">
        <is>
          <t>其他资产评估(准入)</t>
        </is>
      </c>
    </row>
    <row r="2195">
      <c r="B2195" s="24" t="inlineStr">
        <is>
          <t>EvaluateQualificationType</t>
        </is>
      </c>
      <c r="C2195" s="24" t="inlineStr">
        <is>
          <t>评估资质类型</t>
        </is>
      </c>
      <c r="D2195" s="24" t="inlineStr">
        <is>
          <t>AppraisalOrg0201</t>
        </is>
      </c>
      <c r="E2195" s="24" t="inlineStr">
        <is>
          <t>资产评估(年审)</t>
        </is>
      </c>
    </row>
    <row r="2196">
      <c r="B2196" s="24" t="inlineStr">
        <is>
          <t>EvaluateQualificationType</t>
        </is>
      </c>
      <c r="C2196" s="24" t="inlineStr">
        <is>
          <t>评估资质类型</t>
        </is>
      </c>
      <c r="D2196" s="24" t="inlineStr">
        <is>
          <t>AppraisalOrg0202</t>
        </is>
      </c>
      <c r="E2196" s="24" t="inlineStr">
        <is>
          <t>房地产评估(年审)</t>
        </is>
      </c>
    </row>
    <row r="2197">
      <c r="B2197" s="24" t="inlineStr">
        <is>
          <t>EvaluateQualificationType</t>
        </is>
      </c>
      <c r="C2197" s="24" t="inlineStr">
        <is>
          <t>评估资质类型</t>
        </is>
      </c>
      <c r="D2197" s="24" t="inlineStr">
        <is>
          <t>AppraisalOrg0203</t>
        </is>
      </c>
      <c r="E2197" s="24" t="inlineStr">
        <is>
          <t>土地评估(年审)</t>
        </is>
      </c>
    </row>
    <row r="2198">
      <c r="B2198" s="24" t="inlineStr">
        <is>
          <t>EvaluateQualificationType</t>
        </is>
      </c>
      <c r="C2198" s="24" t="inlineStr">
        <is>
          <t>评估资质类型</t>
        </is>
      </c>
      <c r="D2198" s="24" t="inlineStr">
        <is>
          <t>AppraisalOrg0204</t>
        </is>
      </c>
      <c r="E2198" s="24" t="inlineStr">
        <is>
          <t>其他资产评估(年审)</t>
        </is>
      </c>
    </row>
    <row r="2199">
      <c r="B2199" s="24" t="inlineStr">
        <is>
          <t>EvaluateQualificationType</t>
        </is>
      </c>
      <c r="C2199" s="24" t="inlineStr">
        <is>
          <t>评估资质类型</t>
        </is>
      </c>
      <c r="D2199" s="24" t="inlineStr">
        <is>
          <t>AppraisalOrg03</t>
        </is>
      </c>
      <c r="E2199" s="24" t="inlineStr">
        <is>
          <t>特殊评估</t>
        </is>
      </c>
    </row>
    <row r="2200" ht="15.95" customHeight="1" s="170">
      <c r="B2200" s="122" t="inlineStr">
        <is>
          <t>码值：税收政策</t>
        </is>
      </c>
    </row>
    <row r="2201">
      <c r="B2201" s="24" t="inlineStr">
        <is>
          <t>税收政策</t>
        </is>
      </c>
      <c r="C2201" s="24" t="inlineStr">
        <is>
          <t>税收政策</t>
        </is>
      </c>
      <c r="D2201" s="24" t="inlineStr">
        <is>
          <t>1</t>
        </is>
      </c>
      <c r="E2201" s="24" t="inlineStr">
        <is>
          <t>优惠政策</t>
        </is>
      </c>
    </row>
    <row r="2202">
      <c r="B2202" s="24" t="inlineStr">
        <is>
          <t>税收政策</t>
        </is>
      </c>
      <c r="C2202" s="24" t="inlineStr">
        <is>
          <t>税收政策</t>
        </is>
      </c>
      <c r="D2202" s="24" t="inlineStr">
        <is>
          <t>2</t>
        </is>
      </c>
      <c r="E2202" s="24" t="inlineStr">
        <is>
          <t>一般政策</t>
        </is>
      </c>
    </row>
    <row r="2203">
      <c r="B2203" s="24" t="inlineStr">
        <is>
          <t>税收政策</t>
        </is>
      </c>
      <c r="C2203" s="24" t="inlineStr">
        <is>
          <t>税收政策</t>
        </is>
      </c>
      <c r="D2203" s="24" t="inlineStr">
        <is>
          <t>3</t>
        </is>
      </c>
      <c r="E2203" s="24" t="inlineStr">
        <is>
          <t>惩罚政策</t>
        </is>
      </c>
    </row>
    <row r="2204" ht="15.95" customHeight="1" s="170">
      <c r="B2204" s="122" t="inlineStr">
        <is>
          <t>码值：UseOfProcessds</t>
        </is>
      </c>
    </row>
    <row r="2205">
      <c r="B2205" s="24" t="inlineStr">
        <is>
          <t>UseOfProcessds</t>
        </is>
      </c>
      <c r="C2205" s="24" t="inlineStr">
        <is>
          <t>信用等级评估统一导入</t>
        </is>
      </c>
      <c r="D2205" s="24" t="inlineStr">
        <is>
          <t>01</t>
        </is>
      </c>
      <c r="E2205" s="24" t="inlineStr">
        <is>
          <t>用于自身经营</t>
        </is>
      </c>
    </row>
    <row r="2206">
      <c r="B2206" s="24" t="inlineStr">
        <is>
          <t>UseOfProcessds</t>
        </is>
      </c>
      <c r="C2206" s="24" t="inlineStr">
        <is>
          <t>信用等级评估统一导入</t>
        </is>
      </c>
      <c r="D2206" s="24" t="inlineStr">
        <is>
          <t>02</t>
        </is>
      </c>
      <c r="E2206" s="24" t="inlineStr">
        <is>
          <t>用于政府项目投资</t>
        </is>
      </c>
    </row>
    <row r="2207">
      <c r="B2207" s="24" t="inlineStr">
        <is>
          <t>UseOfProcessds</t>
        </is>
      </c>
      <c r="C2207" s="24" t="inlineStr">
        <is>
          <t>信用等级评估统一导入</t>
        </is>
      </c>
      <c r="D2207" s="24" t="inlineStr">
        <is>
          <t>03</t>
        </is>
      </c>
      <c r="E2207" s="24" t="inlineStr">
        <is>
          <t>其他</t>
        </is>
      </c>
    </row>
    <row r="2208" ht="15.95" customHeight="1" s="170">
      <c r="B2208" s="122" t="inlineStr">
        <is>
          <t>码值：RelatedTransationStatus</t>
        </is>
      </c>
    </row>
    <row r="2209">
      <c r="B2209" s="24" t="inlineStr">
        <is>
          <t>RelatedTransationStatus</t>
        </is>
      </c>
      <c r="C2209" s="24" t="inlineStr">
        <is>
          <t>信用等级评估统一导入</t>
        </is>
      </c>
      <c r="D2209" s="24" t="inlineStr">
        <is>
          <t>01</t>
        </is>
      </c>
      <c r="E2209" s="24" t="inlineStr">
        <is>
          <t>关联交易的资金往来和商品交易明晰，交易价格公允或者无关联交易</t>
        </is>
      </c>
    </row>
    <row r="2210">
      <c r="B2210" s="24" t="inlineStr">
        <is>
          <t>RelatedTransationStatus</t>
        </is>
      </c>
      <c r="C2210" s="24" t="inlineStr">
        <is>
          <t>信用等级评估统一导入</t>
        </is>
      </c>
      <c r="D2210" s="24" t="inlineStr">
        <is>
          <t>02</t>
        </is>
      </c>
      <c r="E2210" s="24" t="inlineStr">
        <is>
          <t>关联交易和资金往来存在一定问题，关联交易在营业收入中的占比达到25%</t>
        </is>
      </c>
    </row>
    <row r="2211">
      <c r="B2211" s="24" t="inlineStr">
        <is>
          <t>RelatedTransationStatus</t>
        </is>
      </c>
      <c r="C2211" s="24" t="inlineStr">
        <is>
          <t>信用等级评估统一导入</t>
        </is>
      </c>
      <c r="D2211" s="24" t="inlineStr">
        <is>
          <t>03</t>
        </is>
      </c>
      <c r="E2211" s="24" t="inlineStr">
        <is>
          <t>关联交易和资金往来存在一定问题，关联交易在营业收入中的占比达到50%</t>
        </is>
      </c>
    </row>
    <row r="2212">
      <c r="B2212" s="24" t="inlineStr">
        <is>
          <t>RelatedTransationStatus</t>
        </is>
      </c>
      <c r="C2212" s="24" t="inlineStr">
        <is>
          <t>信用等级评估统一导入</t>
        </is>
      </c>
      <c r="D2212" s="24" t="inlineStr">
        <is>
          <t>04</t>
        </is>
      </c>
      <c r="E2212" s="24" t="inlineStr">
        <is>
          <t>关联交易和资金往来存在一定问题，营业收入主要来自于关联方</t>
        </is>
      </c>
    </row>
    <row r="2213" ht="15.95" customHeight="1" s="170">
      <c r="B2213" s="122" t="inlineStr">
        <is>
          <t>码值：ReceivableRisk</t>
        </is>
      </c>
    </row>
    <row r="2214">
      <c r="B2214" s="24" t="inlineStr">
        <is>
          <t>ReceivableRisk</t>
        </is>
      </c>
      <c r="C2214" s="24" t="inlineStr">
        <is>
          <t>信用等级评估统一导入</t>
        </is>
      </c>
      <c r="D2214" s="24" t="inlineStr">
        <is>
          <t>01</t>
        </is>
      </c>
      <c r="E2214" s="24" t="inlineStr">
        <is>
          <t xml:space="preserve">超过90天的应收账款余额占应收账款比例小于10%
</t>
        </is>
      </c>
    </row>
    <row r="2215">
      <c r="B2215" s="24" t="inlineStr">
        <is>
          <t>ReceivableRisk</t>
        </is>
      </c>
      <c r="C2215" s="24" t="inlineStr">
        <is>
          <t>信用等级评估统一导入</t>
        </is>
      </c>
      <c r="D2215" s="24" t="inlineStr">
        <is>
          <t>02</t>
        </is>
      </c>
      <c r="E2215" s="24" t="inlineStr">
        <is>
          <t>超过90天的应收账款余额占应收账款比例小于30%</t>
        </is>
      </c>
    </row>
    <row r="2216">
      <c r="B2216" s="24" t="inlineStr">
        <is>
          <t>ReceivableRisk</t>
        </is>
      </c>
      <c r="C2216" s="24" t="inlineStr">
        <is>
          <t>信用等级评估统一导入</t>
        </is>
      </c>
      <c r="D2216" s="24" t="inlineStr">
        <is>
          <t>03</t>
        </is>
      </c>
      <c r="E2216" s="24" t="inlineStr">
        <is>
          <t>超过90天的应收账款余额占应收账款比例小于50%</t>
        </is>
      </c>
    </row>
    <row r="2217">
      <c r="B2217" s="24" t="inlineStr">
        <is>
          <t>ReceivableRisk</t>
        </is>
      </c>
      <c r="C2217" s="24" t="inlineStr">
        <is>
          <t>信用等级评估统一导入</t>
        </is>
      </c>
      <c r="D2217" s="24" t="inlineStr">
        <is>
          <t>04</t>
        </is>
      </c>
      <c r="E2217" s="24" t="inlineStr">
        <is>
          <t>超过120天的应收账款余额占应收账款比例小于30%</t>
        </is>
      </c>
    </row>
    <row r="2218">
      <c r="B2218" s="24" t="inlineStr">
        <is>
          <t>ReceivableRisk</t>
        </is>
      </c>
      <c r="C2218" s="24" t="inlineStr">
        <is>
          <t>信用等级评估统一导入</t>
        </is>
      </c>
      <c r="D2218" s="24" t="inlineStr">
        <is>
          <t>05</t>
        </is>
      </c>
      <c r="E2218" s="24" t="inlineStr">
        <is>
          <t>超过120天的应收账款余额占应收账款比例小于50%</t>
        </is>
      </c>
    </row>
    <row r="2219" ht="15.95" customHeight="1" s="170">
      <c r="B2219" s="122" t="inlineStr">
        <is>
          <t>码值：支持力度</t>
        </is>
      </c>
    </row>
    <row r="2220">
      <c r="B2220" s="24" t="inlineStr">
        <is>
          <t>支持力度</t>
        </is>
      </c>
      <c r="C2220" s="24" t="inlineStr">
        <is>
          <t>支持力度</t>
        </is>
      </c>
      <c r="D2220" s="24" t="inlineStr">
        <is>
          <t>01</t>
        </is>
      </c>
      <c r="E2220" s="24" t="inlineStr">
        <is>
          <t>&gt;=50%</t>
        </is>
      </c>
    </row>
    <row r="2221">
      <c r="B2221" s="24" t="inlineStr">
        <is>
          <t>支持力度</t>
        </is>
      </c>
      <c r="C2221" s="24" t="inlineStr">
        <is>
          <t>支持力度</t>
        </is>
      </c>
      <c r="D2221" s="24" t="inlineStr">
        <is>
          <t>02</t>
        </is>
      </c>
      <c r="E2221" s="24" t="inlineStr">
        <is>
          <t>&gt;=30,&lt;50%</t>
        </is>
      </c>
    </row>
    <row r="2222">
      <c r="B2222" s="24" t="inlineStr">
        <is>
          <t>支持力度</t>
        </is>
      </c>
      <c r="C2222" s="24" t="inlineStr">
        <is>
          <t>支持力度</t>
        </is>
      </c>
      <c r="D2222" s="24" t="inlineStr">
        <is>
          <t>03</t>
        </is>
      </c>
      <c r="E2222" s="24" t="inlineStr">
        <is>
          <t>&gt;=20,&lt;30%</t>
        </is>
      </c>
    </row>
    <row r="2223">
      <c r="B2223" s="24" t="inlineStr">
        <is>
          <t>支持力度</t>
        </is>
      </c>
      <c r="C2223" s="24" t="inlineStr">
        <is>
          <t>支持力度</t>
        </is>
      </c>
      <c r="D2223" s="24" t="inlineStr">
        <is>
          <t>04</t>
        </is>
      </c>
      <c r="E2223" s="24" t="inlineStr">
        <is>
          <t>&lt;20%</t>
        </is>
      </c>
    </row>
    <row r="2224" ht="15.95" customHeight="1" s="170">
      <c r="B2224" s="122" t="inlineStr">
        <is>
          <t>码值：SMEIndustryType</t>
        </is>
      </c>
    </row>
    <row r="2225">
      <c r="B2225" s="24" t="inlineStr">
        <is>
          <t>SMEIndustryType</t>
        </is>
      </c>
      <c r="C2225" s="24" t="inlineStr">
        <is>
          <t>中小企业客户类型</t>
        </is>
      </c>
      <c r="D2225" s="24" t="inlineStr">
        <is>
          <t>010</t>
        </is>
      </c>
      <c r="E2225" s="24" t="inlineStr">
        <is>
          <t>工业企业</t>
        </is>
      </c>
    </row>
    <row r="2226">
      <c r="B2226" s="24" t="inlineStr">
        <is>
          <t>SMEIndustryType</t>
        </is>
      </c>
      <c r="C2226" s="24" t="inlineStr">
        <is>
          <t>中小企业客户类型</t>
        </is>
      </c>
      <c r="D2226" s="24" t="inlineStr">
        <is>
          <t>020</t>
        </is>
      </c>
      <c r="E2226" s="24" t="inlineStr">
        <is>
          <t>建筑业企业</t>
        </is>
      </c>
    </row>
    <row r="2227">
      <c r="B2227" s="24" t="inlineStr">
        <is>
          <t>SMEIndustryType</t>
        </is>
      </c>
      <c r="C2227" s="24" t="inlineStr">
        <is>
          <t>中小企业客户类型</t>
        </is>
      </c>
      <c r="D2227" s="24" t="inlineStr">
        <is>
          <t>030</t>
        </is>
      </c>
      <c r="E2227" s="24" t="inlineStr">
        <is>
          <t>批发业企业</t>
        </is>
      </c>
    </row>
    <row r="2228">
      <c r="B2228" s="24" t="inlineStr">
        <is>
          <t>SMEIndustryType</t>
        </is>
      </c>
      <c r="C2228" s="24" t="inlineStr">
        <is>
          <t>中小企业客户类型</t>
        </is>
      </c>
      <c r="D2228" s="24" t="inlineStr">
        <is>
          <t>040</t>
        </is>
      </c>
      <c r="E2228" s="24" t="inlineStr">
        <is>
          <t>零售业企业</t>
        </is>
      </c>
    </row>
    <row r="2229">
      <c r="B2229" s="24" t="inlineStr">
        <is>
          <t>SMEIndustryType</t>
        </is>
      </c>
      <c r="C2229" s="24" t="inlineStr">
        <is>
          <t>中小企业客户类型</t>
        </is>
      </c>
      <c r="D2229" s="24" t="inlineStr">
        <is>
          <t>050</t>
        </is>
      </c>
      <c r="E2229" s="24" t="inlineStr">
        <is>
          <t>交通运输业企业</t>
        </is>
      </c>
    </row>
    <row r="2230">
      <c r="B2230" s="24" t="inlineStr">
        <is>
          <t>SMEIndustryType</t>
        </is>
      </c>
      <c r="C2230" s="24" t="inlineStr">
        <is>
          <t>中小企业客户类型</t>
        </is>
      </c>
      <c r="D2230" s="24" t="inlineStr">
        <is>
          <t>060</t>
        </is>
      </c>
      <c r="E2230" s="24" t="inlineStr">
        <is>
          <t>邮政业企业</t>
        </is>
      </c>
    </row>
    <row r="2231">
      <c r="B2231" s="24" t="inlineStr">
        <is>
          <t>SMEIndustryType</t>
        </is>
      </c>
      <c r="C2231" s="24" t="inlineStr">
        <is>
          <t>中小企业客户类型</t>
        </is>
      </c>
      <c r="D2231" s="24" t="inlineStr">
        <is>
          <t>070</t>
        </is>
      </c>
      <c r="E2231" s="24" t="inlineStr">
        <is>
          <t>住宿和餐馆业企业</t>
        </is>
      </c>
    </row>
    <row r="2232">
      <c r="B2232" s="24" t="inlineStr">
        <is>
          <t>SMEIndustryType</t>
        </is>
      </c>
      <c r="C2232" s="24" t="inlineStr">
        <is>
          <t>中小企业客户类型</t>
        </is>
      </c>
      <c r="D2232" s="24" t="inlineStr">
        <is>
          <t>080</t>
        </is>
      </c>
      <c r="E2232" s="24" t="inlineStr">
        <is>
          <t>农林牧渔企业</t>
        </is>
      </c>
    </row>
    <row r="2233">
      <c r="B2233" s="24" t="inlineStr">
        <is>
          <t>SMEIndustryType</t>
        </is>
      </c>
      <c r="C2233" s="24" t="inlineStr">
        <is>
          <t>中小企业客户类型</t>
        </is>
      </c>
      <c r="D2233" s="24" t="inlineStr">
        <is>
          <t>090</t>
        </is>
      </c>
      <c r="E2233" s="24" t="inlineStr">
        <is>
          <t>仓储企业</t>
        </is>
      </c>
    </row>
    <row r="2234">
      <c r="B2234" s="24" t="inlineStr">
        <is>
          <t>SMEIndustryType</t>
        </is>
      </c>
      <c r="C2234" s="24" t="inlineStr">
        <is>
          <t>中小企业客户类型</t>
        </is>
      </c>
      <c r="D2234" s="24" t="inlineStr">
        <is>
          <t>100</t>
        </is>
      </c>
      <c r="E2234" s="24" t="inlineStr">
        <is>
          <t>房产企业</t>
        </is>
      </c>
    </row>
    <row r="2235">
      <c r="B2235" s="24" t="inlineStr">
        <is>
          <t>SMEIndustryType</t>
        </is>
      </c>
      <c r="C2235" s="24" t="inlineStr">
        <is>
          <t>中小企业客户类型</t>
        </is>
      </c>
      <c r="D2235" s="24" t="inlineStr">
        <is>
          <t>110</t>
        </is>
      </c>
      <c r="E2235" s="24" t="inlineStr">
        <is>
          <t>金融企业</t>
        </is>
      </c>
    </row>
    <row r="2236">
      <c r="B2236" s="24" t="inlineStr">
        <is>
          <t>SMEIndustryType</t>
        </is>
      </c>
      <c r="C2236" s="24" t="inlineStr">
        <is>
          <t>中小企业客户类型</t>
        </is>
      </c>
      <c r="D2236" s="24" t="inlineStr">
        <is>
          <t>120</t>
        </is>
      </c>
      <c r="E2236" s="24" t="inlineStr">
        <is>
          <t>地质勘察和水利环境管理企业</t>
        </is>
      </c>
    </row>
    <row r="2237">
      <c r="B2237" s="24" t="inlineStr">
        <is>
          <t>SMEIndustryType</t>
        </is>
      </c>
      <c r="C2237" s="24" t="inlineStr">
        <is>
          <t>中小企业客户类型</t>
        </is>
      </c>
      <c r="D2237" s="24" t="inlineStr">
        <is>
          <t>130</t>
        </is>
      </c>
      <c r="E2237" s="24" t="inlineStr">
        <is>
          <t>文体、娱乐企业</t>
        </is>
      </c>
    </row>
    <row r="2238">
      <c r="B2238" s="24" t="inlineStr">
        <is>
          <t>SMEIndustryType</t>
        </is>
      </c>
      <c r="C2238" s="24" t="inlineStr">
        <is>
          <t>中小企业客户类型</t>
        </is>
      </c>
      <c r="D2238" s="24" t="inlineStr">
        <is>
          <t>140</t>
        </is>
      </c>
      <c r="E2238" s="24" t="inlineStr">
        <is>
          <t>信息传输企业</t>
        </is>
      </c>
    </row>
    <row r="2239">
      <c r="B2239" s="24" t="inlineStr">
        <is>
          <t>SMEIndustryType</t>
        </is>
      </c>
      <c r="C2239" s="24" t="inlineStr">
        <is>
          <t>中小企业客户类型</t>
        </is>
      </c>
      <c r="D2239" s="24" t="inlineStr">
        <is>
          <t>150</t>
        </is>
      </c>
      <c r="E2239" s="24" t="inlineStr">
        <is>
          <t>计算机服务及软件企业</t>
        </is>
      </c>
    </row>
    <row r="2240">
      <c r="B2240" s="24" t="inlineStr">
        <is>
          <t>SMEIndustryType</t>
        </is>
      </c>
      <c r="C2240" s="24" t="inlineStr">
        <is>
          <t>中小企业客户类型</t>
        </is>
      </c>
      <c r="D2240" s="24" t="inlineStr">
        <is>
          <t>160</t>
        </is>
      </c>
      <c r="E2240" s="24" t="inlineStr">
        <is>
          <t>租赁企业</t>
        </is>
      </c>
    </row>
    <row r="2241">
      <c r="B2241" s="24" t="inlineStr">
        <is>
          <t>SMEIndustryType</t>
        </is>
      </c>
      <c r="C2241" s="24" t="inlineStr">
        <is>
          <t>中小企业客户类型</t>
        </is>
      </c>
      <c r="D2241" s="24" t="inlineStr">
        <is>
          <t>170</t>
        </is>
      </c>
      <c r="E2241" s="24" t="inlineStr">
        <is>
          <t>商务及科技服务企业</t>
        </is>
      </c>
    </row>
    <row r="2242">
      <c r="B2242" s="24" t="inlineStr">
        <is>
          <t>SMEIndustryType</t>
        </is>
      </c>
      <c r="C2242" s="24" t="inlineStr">
        <is>
          <t>中小企业客户类型</t>
        </is>
      </c>
      <c r="D2242" s="24" t="inlineStr">
        <is>
          <t>180</t>
        </is>
      </c>
      <c r="E2242" s="24" t="inlineStr">
        <is>
          <t>居民服务企业</t>
        </is>
      </c>
    </row>
    <row r="2243">
      <c r="B2243" s="24" t="inlineStr">
        <is>
          <t>SMEIndustryType</t>
        </is>
      </c>
      <c r="C2243" s="24" t="inlineStr">
        <is>
          <t>中小企业客户类型</t>
        </is>
      </c>
      <c r="D2243" s="24" t="inlineStr">
        <is>
          <t>990</t>
        </is>
      </c>
      <c r="E2243" s="24" t="inlineStr">
        <is>
          <t>其他企业</t>
        </is>
      </c>
    </row>
    <row r="2244" ht="15.95" customHeight="1" s="170">
      <c r="B2244" s="122" t="inlineStr">
        <is>
          <t>码值：FinanceBelong</t>
        </is>
      </c>
    </row>
    <row r="2245">
      <c r="B2245" s="24" t="inlineStr">
        <is>
          <t>FinanceBelong</t>
        </is>
      </c>
      <c r="C2245" s="24" t="inlineStr">
        <is>
          <t>财务报表类型</t>
        </is>
      </c>
      <c r="D2245" s="24" t="inlineStr">
        <is>
          <t>000</t>
        </is>
      </c>
      <c r="E2245" s="24" t="inlineStr">
        <is>
          <t>通用财务报表</t>
        </is>
      </c>
    </row>
    <row r="2246">
      <c r="B2246" s="24" t="inlineStr">
        <is>
          <t>FinanceBelong</t>
        </is>
      </c>
      <c r="C2246" s="24" t="inlineStr">
        <is>
          <t>财务报表类型</t>
        </is>
      </c>
      <c r="D2246" s="24" t="inlineStr">
        <is>
          <t>019</t>
        </is>
      </c>
      <c r="E2246" s="24" t="inlineStr">
        <is>
          <t>事业类单位财务报表</t>
        </is>
      </c>
    </row>
    <row r="2247">
      <c r="B2247" s="24" t="inlineStr">
        <is>
          <t>FinanceBelong</t>
        </is>
      </c>
      <c r="C2247" s="24" t="inlineStr">
        <is>
          <t>财务报表类型</t>
        </is>
      </c>
      <c r="D2247" s="24" t="inlineStr">
        <is>
          <t>020</t>
        </is>
      </c>
      <c r="E2247" s="24" t="inlineStr">
        <is>
          <t>新会计准则报表</t>
        </is>
      </c>
    </row>
    <row r="2248">
      <c r="B2248" s="24" t="inlineStr">
        <is>
          <t>FinanceBelong</t>
        </is>
      </c>
      <c r="C2248" s="24" t="inlineStr">
        <is>
          <t>财务报表类型</t>
        </is>
      </c>
      <c r="D2248" s="24" t="inlineStr">
        <is>
          <t>050</t>
        </is>
      </c>
      <c r="E2248" s="24" t="inlineStr">
        <is>
          <t>个体经营户财务报表</t>
        </is>
      </c>
    </row>
    <row r="2249">
      <c r="B2249" s="24" t="inlineStr">
        <is>
          <t>FinanceBelong</t>
        </is>
      </c>
      <c r="C2249" s="24" t="inlineStr">
        <is>
          <t>财务报表类型</t>
        </is>
      </c>
      <c r="D2249" s="24" t="inlineStr">
        <is>
          <t>060</t>
        </is>
      </c>
      <c r="E2249" s="24" t="inlineStr">
        <is>
          <t>保险公司财务报表</t>
        </is>
      </c>
    </row>
    <row r="2250">
      <c r="B2250" s="24" t="inlineStr">
        <is>
          <t>FinanceBelong</t>
        </is>
      </c>
      <c r="C2250" s="24" t="inlineStr">
        <is>
          <t>财务报表类型</t>
        </is>
      </c>
      <c r="D2250" s="24" t="inlineStr">
        <is>
          <t>070</t>
        </is>
      </c>
      <c r="E2250" s="24" t="inlineStr">
        <is>
          <t>财务公司新准则财务报表</t>
        </is>
      </c>
    </row>
    <row r="2251">
      <c r="B2251" s="24" t="inlineStr">
        <is>
          <t>FinanceBelong</t>
        </is>
      </c>
      <c r="C2251" s="24" t="inlineStr">
        <is>
          <t>财务报表类型</t>
        </is>
      </c>
      <c r="D2251" s="24" t="inlineStr">
        <is>
          <t>080</t>
        </is>
      </c>
      <c r="E2251" s="24" t="inlineStr">
        <is>
          <t>担保公司财务报表</t>
        </is>
      </c>
    </row>
    <row r="2252">
      <c r="B2252" s="24" t="inlineStr">
        <is>
          <t>FinanceBelong</t>
        </is>
      </c>
      <c r="C2252" s="24" t="inlineStr">
        <is>
          <t>财务报表类型</t>
        </is>
      </c>
      <c r="D2252" s="24" t="inlineStr">
        <is>
          <t>090</t>
        </is>
      </c>
      <c r="E2252" s="24" t="inlineStr">
        <is>
          <t>外资银行财务报表</t>
        </is>
      </c>
    </row>
    <row r="2253">
      <c r="B2253" s="24" t="inlineStr">
        <is>
          <t>FinanceBelong</t>
        </is>
      </c>
      <c r="C2253" s="24" t="inlineStr">
        <is>
          <t>财务报表类型</t>
        </is>
      </c>
      <c r="D2253" s="24" t="inlineStr">
        <is>
          <t>100</t>
        </is>
      </c>
      <c r="E2253" s="24" t="inlineStr">
        <is>
          <t>信托公司新准则财务报表</t>
        </is>
      </c>
    </row>
    <row r="2254">
      <c r="B2254" s="24" t="inlineStr">
        <is>
          <t>FinanceBelong</t>
        </is>
      </c>
      <c r="C2254" s="24" t="inlineStr">
        <is>
          <t>财务报表类型</t>
        </is>
      </c>
      <c r="D2254" s="24" t="inlineStr">
        <is>
          <t>110</t>
        </is>
      </c>
      <c r="E2254" s="24" t="inlineStr">
        <is>
          <t>证券公司新准则财务报表</t>
        </is>
      </c>
    </row>
    <row r="2255">
      <c r="B2255" s="24" t="inlineStr">
        <is>
          <t>FinanceBelong</t>
        </is>
      </c>
      <c r="C2255" s="24" t="inlineStr">
        <is>
          <t>财务报表类型</t>
        </is>
      </c>
      <c r="D2255" s="24" t="inlineStr">
        <is>
          <t>120</t>
        </is>
      </c>
      <c r="E2255" s="24" t="inlineStr">
        <is>
          <t>中资银行新准则财务报表</t>
        </is>
      </c>
    </row>
    <row r="2256">
      <c r="B2256" s="24" t="inlineStr">
        <is>
          <t>FinanceBelong</t>
        </is>
      </c>
      <c r="C2256" s="24" t="inlineStr">
        <is>
          <t>财务报表类型</t>
        </is>
      </c>
      <c r="D2256" s="24" t="inlineStr">
        <is>
          <t>130</t>
        </is>
      </c>
      <c r="E2256" s="24" t="inlineStr">
        <is>
          <t>中小学报表</t>
        </is>
      </c>
    </row>
    <row r="2257">
      <c r="B2257" s="24" t="inlineStr">
        <is>
          <t>FinanceBelong</t>
        </is>
      </c>
      <c r="C2257" s="24" t="inlineStr">
        <is>
          <t>财务报表类型</t>
        </is>
      </c>
      <c r="D2257" s="24" t="inlineStr">
        <is>
          <t>140</t>
        </is>
      </c>
      <c r="E2257" s="24" t="inlineStr">
        <is>
          <t>高校报表</t>
        </is>
      </c>
    </row>
    <row r="2258">
      <c r="B2258" s="24" t="inlineStr">
        <is>
          <t>FinanceBelong</t>
        </is>
      </c>
      <c r="C2258" s="24" t="inlineStr">
        <is>
          <t>财务报表类型</t>
        </is>
      </c>
      <c r="D2258" s="24" t="inlineStr">
        <is>
          <t>150</t>
        </is>
      </c>
      <c r="E2258" s="24" t="inlineStr">
        <is>
          <t>医疗卫生行业报表</t>
        </is>
      </c>
    </row>
    <row r="2259" ht="15.95" customHeight="1" s="170">
      <c r="B2259" s="122" t="inlineStr">
        <is>
          <t>码值：ClrTableName</t>
        </is>
      </c>
    </row>
    <row r="2260">
      <c r="B2260" s="24" t="inlineStr">
        <is>
          <t>ClrTableName</t>
        </is>
      </c>
      <c r="C2260" s="24" t="inlineStr">
        <is>
          <t>押品表名</t>
        </is>
      </c>
      <c r="D2260" s="24" t="inlineStr">
        <is>
          <t>CLR_ASSET_FINANCE</t>
        </is>
      </c>
      <c r="E2260" s="24" t="inlineStr">
        <is>
          <t>金融类质押品表</t>
        </is>
      </c>
    </row>
    <row r="2261">
      <c r="B2261" s="24" t="inlineStr">
        <is>
          <t>ClrTableName</t>
        </is>
      </c>
      <c r="C2261" s="24" t="inlineStr">
        <is>
          <t>押品表名</t>
        </is>
      </c>
      <c r="D2261" s="24" t="inlineStr">
        <is>
          <t>CLR_ASSET_OTHERS_EQUIPMENT</t>
        </is>
      </c>
      <c r="E2261" s="24" t="inlineStr">
        <is>
          <t>交通和机械设备表</t>
        </is>
      </c>
    </row>
    <row r="2262">
      <c r="B2262" s="24" t="inlineStr">
        <is>
          <t>ClrTableName</t>
        </is>
      </c>
      <c r="C2262" s="24" t="inlineStr">
        <is>
          <t>押品表名</t>
        </is>
      </c>
      <c r="D2262" s="24" t="inlineStr">
        <is>
          <t>CLR_ASSET_OTHERS_INVENTORY</t>
        </is>
      </c>
      <c r="E2262" s="24" t="inlineStr">
        <is>
          <t>实物存货/贷权/出口退税账户表</t>
        </is>
      </c>
    </row>
    <row r="2263">
      <c r="B2263" s="24" t="inlineStr">
        <is>
          <t>ClrTableName</t>
        </is>
      </c>
      <c r="C2263" s="24" t="inlineStr">
        <is>
          <t>押品表名</t>
        </is>
      </c>
      <c r="D2263" s="24" t="inlineStr">
        <is>
          <t>CLR_ASSET_OTHERS_RESOURCE</t>
        </is>
      </c>
      <c r="E2263" s="24" t="inlineStr">
        <is>
          <t>资源资产表</t>
        </is>
      </c>
    </row>
    <row r="2264">
      <c r="B2264" s="24" t="inlineStr">
        <is>
          <t>ClrTableName</t>
        </is>
      </c>
      <c r="C2264" s="24" t="inlineStr">
        <is>
          <t>押品表名</t>
        </is>
      </c>
      <c r="D2264" s="24" t="inlineStr">
        <is>
          <t>CLR_ASSET_OTHERS_SBC</t>
        </is>
      </c>
      <c r="E2264" s="24" t="inlineStr">
        <is>
          <t>特殊建筑构造物表</t>
        </is>
      </c>
    </row>
    <row r="2265">
      <c r="B2265" s="24" t="inlineStr">
        <is>
          <t>ClrTableName</t>
        </is>
      </c>
      <c r="C2265" s="24" t="inlineStr">
        <is>
          <t>押品表名</t>
        </is>
      </c>
      <c r="D2265" s="24" t="inlineStr">
        <is>
          <t>CLR_ASSET_OTHERS_TLPR</t>
        </is>
      </c>
      <c r="E2265" s="24" t="inlineStr">
        <is>
          <t>可转让知识产权中的财产权表</t>
        </is>
      </c>
    </row>
    <row r="2266">
      <c r="B2266" s="24" t="inlineStr">
        <is>
          <t>ClrTableName</t>
        </is>
      </c>
      <c r="C2266" s="24" t="inlineStr">
        <is>
          <t>押品表名</t>
        </is>
      </c>
      <c r="D2266" s="24" t="inlineStr">
        <is>
          <t>CLR_ASSET_REALTY</t>
        </is>
      </c>
      <c r="E2266" s="24" t="inlineStr">
        <is>
          <t>房地产/土地使用权/在建工程表</t>
        </is>
      </c>
    </row>
    <row r="2267">
      <c r="B2267" s="24" t="inlineStr">
        <is>
          <t>ClrTableName</t>
        </is>
      </c>
      <c r="C2267" s="24" t="inlineStr">
        <is>
          <t>押品表名</t>
        </is>
      </c>
      <c r="D2267" s="24" t="inlineStr">
        <is>
          <t>CLR_ASSET_RECEIVABLE</t>
        </is>
      </c>
      <c r="E2267" s="24" t="inlineStr">
        <is>
          <t>应收账款表</t>
        </is>
      </c>
    </row>
    <row r="2268" ht="15.95" customHeight="1" s="170">
      <c r="B2268" s="122" t="inlineStr">
        <is>
          <t>码值：AccountType</t>
        </is>
      </c>
    </row>
    <row r="2269">
      <c r="B2269" s="24" t="inlineStr">
        <is>
          <t>AccountType</t>
        </is>
      </c>
      <c r="C2269" s="24" t="inlineStr">
        <is>
          <t>账号类型</t>
        </is>
      </c>
      <c r="D2269" s="24" t="inlineStr">
        <is>
          <t>0</t>
        </is>
      </c>
      <c r="E2269" s="24" t="inlineStr">
        <is>
          <t>卡</t>
        </is>
      </c>
    </row>
    <row r="2270">
      <c r="B2270" s="24" t="inlineStr">
        <is>
          <t>AccountType</t>
        </is>
      </c>
      <c r="C2270" s="24" t="inlineStr">
        <is>
          <t>账号类型</t>
        </is>
      </c>
      <c r="D2270" s="24" t="inlineStr">
        <is>
          <t>010</t>
        </is>
      </c>
      <c r="E2270" s="24" t="inlineStr">
        <is>
          <t>存款帐户</t>
        </is>
      </c>
    </row>
    <row r="2271">
      <c r="B2271" s="24" t="inlineStr">
        <is>
          <t>AccountType</t>
        </is>
      </c>
      <c r="C2271" s="24" t="inlineStr">
        <is>
          <t>账号类型</t>
        </is>
      </c>
      <c r="D2271" s="24" t="inlineStr">
        <is>
          <t>020</t>
        </is>
      </c>
      <c r="E2271" s="24" t="inlineStr">
        <is>
          <t>贷款帐户</t>
        </is>
      </c>
    </row>
    <row r="2272">
      <c r="B2272" s="24" t="inlineStr">
        <is>
          <t>AccountType</t>
        </is>
      </c>
      <c r="C2272" s="24" t="inlineStr">
        <is>
          <t>账号类型</t>
        </is>
      </c>
      <c r="D2272" s="24" t="inlineStr">
        <is>
          <t>1</t>
        </is>
      </c>
      <c r="E2272" s="24" t="inlineStr">
        <is>
          <t>折</t>
        </is>
      </c>
    </row>
    <row r="2273">
      <c r="B2273" s="24" t="inlineStr">
        <is>
          <t>AccountType</t>
        </is>
      </c>
      <c r="C2273" s="24" t="inlineStr">
        <is>
          <t>账号类型</t>
        </is>
      </c>
      <c r="D2273" s="24" t="inlineStr">
        <is>
          <t>4</t>
        </is>
      </c>
      <c r="E2273" s="24" t="inlineStr">
        <is>
          <t>暂无</t>
        </is>
      </c>
    </row>
    <row r="2274">
      <c r="B2274" s="24" t="inlineStr">
        <is>
          <t>AccountType</t>
        </is>
      </c>
      <c r="C2274" s="24" t="inlineStr">
        <is>
          <t>账号类型</t>
        </is>
      </c>
      <c r="D2274" s="24" t="inlineStr">
        <is>
          <t>5</t>
        </is>
      </c>
      <c r="E2274" s="24" t="inlineStr">
        <is>
          <t>行外账户</t>
        </is>
      </c>
    </row>
    <row r="2275">
      <c r="B2275" s="24" t="inlineStr">
        <is>
          <t>AccountType</t>
        </is>
      </c>
      <c r="C2275" s="24" t="inlineStr">
        <is>
          <t>账号类型</t>
        </is>
      </c>
      <c r="D2275" s="24" t="inlineStr">
        <is>
          <t>7</t>
        </is>
      </c>
      <c r="E2275" s="24" t="inlineStr">
        <is>
          <t>其他行内账户</t>
        </is>
      </c>
    </row>
    <row r="2276">
      <c r="B2276" s="24" t="inlineStr">
        <is>
          <t>AccountType</t>
        </is>
      </c>
      <c r="C2276" s="24" t="inlineStr">
        <is>
          <t>账号类型</t>
        </is>
      </c>
      <c r="D2276" s="24" t="inlineStr">
        <is>
          <t>8</t>
        </is>
      </c>
      <c r="E2276" s="24" t="inlineStr">
        <is>
          <t>内部账户</t>
        </is>
      </c>
    </row>
    <row r="2277" ht="15.95" customHeight="1" s="170">
      <c r="B2277" s="122" t="inlineStr">
        <is>
          <t>码值：ProductServiceSupply</t>
        </is>
      </c>
    </row>
    <row r="2278">
      <c r="B2278" s="24" t="inlineStr">
        <is>
          <t>ProductServiceSupply</t>
        </is>
      </c>
      <c r="C2278" s="24" t="inlineStr">
        <is>
          <t>信用等级评估统一导入</t>
        </is>
      </c>
      <c r="D2278" s="24" t="inlineStr">
        <is>
          <t>01</t>
        </is>
      </c>
      <c r="E2278" s="24" t="inlineStr">
        <is>
          <t>大</t>
        </is>
      </c>
    </row>
    <row r="2279">
      <c r="B2279" s="24" t="inlineStr">
        <is>
          <t>ProductServiceSupply</t>
        </is>
      </c>
      <c r="C2279" s="24" t="inlineStr">
        <is>
          <t>信用等级评估统一导入</t>
        </is>
      </c>
      <c r="D2279" s="24" t="inlineStr">
        <is>
          <t>02</t>
        </is>
      </c>
      <c r="E2279" s="24" t="inlineStr">
        <is>
          <t>一般</t>
        </is>
      </c>
    </row>
    <row r="2280">
      <c r="B2280" s="24" t="inlineStr">
        <is>
          <t>ProductServiceSupply</t>
        </is>
      </c>
      <c r="C2280" s="24" t="inlineStr">
        <is>
          <t>信用等级评估统一导入</t>
        </is>
      </c>
      <c r="D2280" s="24" t="inlineStr">
        <is>
          <t>03</t>
        </is>
      </c>
      <c r="E2280" s="24" t="inlineStr">
        <is>
          <t>小</t>
        </is>
      </c>
    </row>
    <row r="2281" ht="15.95" customHeight="1" s="170">
      <c r="B2281" s="122" t="inlineStr">
        <is>
          <t>码值：CreditSingleIndUndMain</t>
        </is>
      </c>
    </row>
    <row r="2282">
      <c r="B2282" s="24" t="inlineStr">
        <is>
          <t>CreditSingleIndUndMain</t>
        </is>
      </c>
      <c r="C2282" s="24" t="n"/>
      <c r="D2282" s="24" t="inlineStr">
        <is>
          <t>N</t>
        </is>
      </c>
      <c r="E2282" s="24" t="inlineStr">
        <is>
          <t>当前工作</t>
        </is>
      </c>
    </row>
    <row r="2283">
      <c r="B2283" s="24" t="inlineStr">
        <is>
          <t>CreditSingleIndUndMain</t>
        </is>
      </c>
      <c r="C2283" s="24" t="n"/>
      <c r="D2283" s="24" t="inlineStr">
        <is>
          <t>Y</t>
        </is>
      </c>
      <c r="E2283" s="24" t="inlineStr">
        <is>
          <t>已完成工作</t>
        </is>
      </c>
    </row>
    <row r="2284" ht="15.95" customHeight="1" s="170">
      <c r="B2284" s="122" t="inlineStr">
        <is>
          <t>码值：AcceptReceiptInfo</t>
        </is>
      </c>
    </row>
    <row r="2285">
      <c r="B2285" s="24" t="inlineStr">
        <is>
          <t>AcceptReceiptInfo</t>
        </is>
      </c>
      <c r="C2285" s="24" t="inlineStr">
        <is>
          <t>接收银行账单方式</t>
        </is>
      </c>
      <c r="D2285" s="24" t="inlineStr">
        <is>
          <t>0010</t>
        </is>
      </c>
      <c r="E2285" s="24" t="inlineStr">
        <is>
          <t>电子对账单</t>
        </is>
      </c>
    </row>
    <row r="2286">
      <c r="B2286" s="24" t="inlineStr">
        <is>
          <t>AcceptReceiptInfo</t>
        </is>
      </c>
      <c r="C2286" s="24" t="inlineStr">
        <is>
          <t>接收银行账单方式</t>
        </is>
      </c>
      <c r="D2286" s="24" t="inlineStr">
        <is>
          <t>0020</t>
        </is>
      </c>
      <c r="E2286" s="24" t="inlineStr">
        <is>
          <t>纸质对账单</t>
        </is>
      </c>
    </row>
    <row r="2287" ht="15.95" customHeight="1" s="170">
      <c r="B2287" s="122" t="inlineStr">
        <is>
          <t>码值：SMECreditSAbility</t>
        </is>
      </c>
    </row>
    <row r="2288">
      <c r="B2288" s="24" t="inlineStr">
        <is>
          <t>SMECreditSAbility</t>
        </is>
      </c>
      <c r="C2288" s="24" t="inlineStr">
        <is>
          <t>股东实力</t>
        </is>
      </c>
      <c r="D2288" s="24" t="inlineStr">
        <is>
          <t>01</t>
        </is>
      </c>
      <c r="E2288" s="24" t="inlineStr">
        <is>
          <t>强</t>
        </is>
      </c>
    </row>
    <row r="2289">
      <c r="B2289" s="24" t="inlineStr">
        <is>
          <t>SMECreditSAbility</t>
        </is>
      </c>
      <c r="C2289" s="24" t="inlineStr">
        <is>
          <t>股东实力</t>
        </is>
      </c>
      <c r="D2289" s="24" t="inlineStr">
        <is>
          <t>02</t>
        </is>
      </c>
      <c r="E2289" s="24" t="inlineStr">
        <is>
          <t>一般</t>
        </is>
      </c>
    </row>
    <row r="2290">
      <c r="B2290" s="24" t="inlineStr">
        <is>
          <t>SMECreditSAbility</t>
        </is>
      </c>
      <c r="C2290" s="24" t="inlineStr">
        <is>
          <t>股东实力</t>
        </is>
      </c>
      <c r="D2290" s="24" t="inlineStr">
        <is>
          <t>03</t>
        </is>
      </c>
      <c r="E2290" s="24" t="inlineStr">
        <is>
          <t>弱</t>
        </is>
      </c>
    </row>
    <row r="2291" ht="15.95" customHeight="1" s="170">
      <c r="B2291" s="122" t="inlineStr">
        <is>
          <t>码值：QuickQueryList</t>
        </is>
      </c>
    </row>
    <row r="2292">
      <c r="B2292" s="24" t="inlineStr">
        <is>
          <t>QuickQueryList</t>
        </is>
      </c>
      <c r="C2292" s="24" t="inlineStr">
        <is>
          <t>快速查询</t>
        </is>
      </c>
      <c r="D2292" s="24" t="inlineStr">
        <is>
          <t>010</t>
        </is>
      </c>
      <c r="E2292" s="24" t="inlineStr">
        <is>
          <t>信贷系统快速查询</t>
        </is>
      </c>
    </row>
    <row r="2293">
      <c r="B2293" s="24" t="inlineStr">
        <is>
          <t>QuickQueryList</t>
        </is>
      </c>
      <c r="C2293" s="24" t="inlineStr">
        <is>
          <t>快速查询</t>
        </is>
      </c>
      <c r="D2293" s="24" t="inlineStr">
        <is>
          <t>01001</t>
        </is>
      </c>
      <c r="E2293" s="24" t="inlineStr">
        <is>
          <t>客户信息快速查询</t>
        </is>
      </c>
    </row>
    <row r="2294">
      <c r="B2294" s="24" t="inlineStr">
        <is>
          <t>QuickQueryList</t>
        </is>
      </c>
      <c r="C2294" s="24" t="inlineStr">
        <is>
          <t>快速查询</t>
        </is>
      </c>
      <c r="D2294" s="24" t="inlineStr">
        <is>
          <t>0100101</t>
        </is>
      </c>
      <c r="E2294" s="24" t="inlineStr">
        <is>
          <t>大型企业快速查询</t>
        </is>
      </c>
    </row>
    <row r="2295">
      <c r="B2295" s="24" t="inlineStr">
        <is>
          <t>QuickQueryList</t>
        </is>
      </c>
      <c r="C2295" s="24" t="inlineStr">
        <is>
          <t>快速查询</t>
        </is>
      </c>
      <c r="D2295" s="24" t="inlineStr">
        <is>
          <t>0100102</t>
        </is>
      </c>
      <c r="E2295" s="24" t="inlineStr">
        <is>
          <t>集团客户快速查询</t>
        </is>
      </c>
    </row>
    <row r="2296">
      <c r="B2296" s="24" t="inlineStr">
        <is>
          <t>QuickQueryList</t>
        </is>
      </c>
      <c r="C2296" s="24" t="inlineStr">
        <is>
          <t>快速查询</t>
        </is>
      </c>
      <c r="D2296" s="24" t="inlineStr">
        <is>
          <t>0100103</t>
        </is>
      </c>
      <c r="E2296" s="24" t="inlineStr">
        <is>
          <t>个人客户快速查询</t>
        </is>
      </c>
    </row>
    <row r="2297">
      <c r="B2297" s="24" t="inlineStr">
        <is>
          <t>QuickQueryList</t>
        </is>
      </c>
      <c r="C2297" s="24" t="inlineStr">
        <is>
          <t>快速查询</t>
        </is>
      </c>
      <c r="D2297" s="24" t="inlineStr">
        <is>
          <t>0100104</t>
        </is>
      </c>
      <c r="E2297" s="24" t="inlineStr">
        <is>
          <t>中小企业快速查询</t>
        </is>
      </c>
    </row>
    <row r="2298">
      <c r="B2298" s="24" t="inlineStr">
        <is>
          <t>QuickQueryList</t>
        </is>
      </c>
      <c r="C2298" s="24" t="inlineStr">
        <is>
          <t>快速查询</t>
        </is>
      </c>
      <c r="D2298" s="24" t="inlineStr">
        <is>
          <t>0100105</t>
        </is>
      </c>
      <c r="E2298" s="24" t="inlineStr">
        <is>
          <t>同业客户快速查询</t>
        </is>
      </c>
    </row>
    <row r="2299">
      <c r="B2299" s="24" t="inlineStr">
        <is>
          <t>QuickQueryList</t>
        </is>
      </c>
      <c r="C2299" s="24" t="inlineStr">
        <is>
          <t>快速查询</t>
        </is>
      </c>
      <c r="D2299" s="24" t="inlineStr">
        <is>
          <t>0100106</t>
        </is>
      </c>
      <c r="E2299" s="24" t="inlineStr">
        <is>
          <t>个体经营户快速查询</t>
        </is>
      </c>
    </row>
    <row r="2300">
      <c r="B2300" s="24" t="inlineStr">
        <is>
          <t>QuickQueryList</t>
        </is>
      </c>
      <c r="C2300" s="24" t="inlineStr">
        <is>
          <t>快速查询</t>
        </is>
      </c>
      <c r="D2300" s="24" t="inlineStr">
        <is>
          <t>0100107</t>
        </is>
      </c>
      <c r="E2300" s="24" t="inlineStr">
        <is>
          <t>信用等级评估快速查询</t>
        </is>
      </c>
    </row>
    <row r="2301">
      <c r="B2301" s="24" t="inlineStr">
        <is>
          <t>QuickQueryList</t>
        </is>
      </c>
      <c r="C2301" s="24" t="inlineStr">
        <is>
          <t>快速查询</t>
        </is>
      </c>
      <c r="D2301" s="24" t="inlineStr">
        <is>
          <t>0100108</t>
        </is>
      </c>
      <c r="E2301" s="24" t="inlineStr">
        <is>
          <t>公司客户快速查询</t>
        </is>
      </c>
    </row>
    <row r="2302">
      <c r="B2302" s="24" t="inlineStr">
        <is>
          <t>QuickQueryList</t>
        </is>
      </c>
      <c r="C2302" s="24" t="inlineStr">
        <is>
          <t>快速查询</t>
        </is>
      </c>
      <c r="D2302" s="24" t="inlineStr">
        <is>
          <t>0100109</t>
        </is>
      </c>
      <c r="E2302" s="24" t="inlineStr">
        <is>
          <t>个人客户快速查询</t>
        </is>
      </c>
    </row>
    <row r="2303">
      <c r="B2303" s="24" t="inlineStr">
        <is>
          <t>QuickQueryList</t>
        </is>
      </c>
      <c r="C2303" s="24" t="inlineStr">
        <is>
          <t>快速查询</t>
        </is>
      </c>
      <c r="D2303" s="24" t="inlineStr">
        <is>
          <t>0100110</t>
        </is>
      </c>
      <c r="E2303" s="24" t="inlineStr">
        <is>
          <t>合作方快速查询</t>
        </is>
      </c>
    </row>
    <row r="2304">
      <c r="B2304" s="24" t="inlineStr">
        <is>
          <t>QuickQueryList</t>
        </is>
      </c>
      <c r="C2304" s="24" t="inlineStr">
        <is>
          <t>快速查询</t>
        </is>
      </c>
      <c r="D2304" s="24" t="inlineStr">
        <is>
          <t>0100111</t>
        </is>
      </c>
      <c r="E2304" s="24" t="inlineStr">
        <is>
          <t>客户群快速查询</t>
        </is>
      </c>
    </row>
    <row r="2305">
      <c r="B2305" s="24" t="inlineStr">
        <is>
          <t>QuickQueryList</t>
        </is>
      </c>
      <c r="C2305" s="24" t="inlineStr">
        <is>
          <t>快速查询</t>
        </is>
      </c>
      <c r="D2305" s="24" t="inlineStr">
        <is>
          <t>0100112</t>
        </is>
      </c>
      <c r="E2305" s="24" t="inlineStr">
        <is>
          <t>名单制客户快速查询</t>
        </is>
      </c>
    </row>
    <row r="2306">
      <c r="B2306" s="24" t="inlineStr">
        <is>
          <t>QuickQueryList</t>
        </is>
      </c>
      <c r="C2306" s="24" t="inlineStr">
        <is>
          <t>快速查询</t>
        </is>
      </c>
      <c r="D2306" s="24" t="inlineStr">
        <is>
          <t>01002</t>
        </is>
      </c>
      <c r="E2306" s="24" t="inlineStr">
        <is>
          <t>授信申请审批信息快速查询</t>
        </is>
      </c>
    </row>
    <row r="2307">
      <c r="B2307" s="24" t="inlineStr">
        <is>
          <t>QuickQueryList</t>
        </is>
      </c>
      <c r="C2307" s="24" t="inlineStr">
        <is>
          <t>快速查询</t>
        </is>
      </c>
      <c r="D2307" s="24" t="inlineStr">
        <is>
          <t>0100201</t>
        </is>
      </c>
      <c r="E2307" s="24" t="inlineStr">
        <is>
          <t>申请信息快速查询</t>
        </is>
      </c>
    </row>
    <row r="2308">
      <c r="B2308" s="24" t="inlineStr">
        <is>
          <t>QuickQueryList</t>
        </is>
      </c>
      <c r="C2308" s="24" t="inlineStr">
        <is>
          <t>快速查询</t>
        </is>
      </c>
      <c r="D2308" s="24" t="inlineStr">
        <is>
          <t>0100202</t>
        </is>
      </c>
      <c r="E2308" s="24" t="inlineStr">
        <is>
          <t>最终审批意见快速查询</t>
        </is>
      </c>
    </row>
    <row r="2309">
      <c r="B2309" s="24" t="inlineStr">
        <is>
          <t>QuickQueryList</t>
        </is>
      </c>
      <c r="C2309" s="24" t="inlineStr">
        <is>
          <t>快速查询</t>
        </is>
      </c>
      <c r="D2309" s="24" t="inlineStr">
        <is>
          <t>0100212</t>
        </is>
      </c>
      <c r="E2309" s="24" t="inlineStr">
        <is>
          <t>最终审批意见快速查询</t>
        </is>
      </c>
    </row>
    <row r="2310">
      <c r="B2310" s="24" t="inlineStr">
        <is>
          <t>QuickQueryList</t>
        </is>
      </c>
      <c r="C2310" s="24" t="inlineStr">
        <is>
          <t>快速查询</t>
        </is>
      </c>
      <c r="D2310" s="24" t="inlineStr">
        <is>
          <t>01003</t>
        </is>
      </c>
      <c r="E2310" s="24" t="inlineStr">
        <is>
          <t>签约放款快速查询</t>
        </is>
      </c>
    </row>
    <row r="2311">
      <c r="B2311" s="24" t="inlineStr">
        <is>
          <t>QuickQueryList</t>
        </is>
      </c>
      <c r="C2311" s="24" t="inlineStr">
        <is>
          <t>快速查询</t>
        </is>
      </c>
      <c r="D2311" s="24" t="inlineStr">
        <is>
          <t>0100301</t>
        </is>
      </c>
      <c r="E2311" s="24" t="inlineStr">
        <is>
          <t>业务合同信息快速查询</t>
        </is>
      </c>
    </row>
    <row r="2312">
      <c r="B2312" s="24" t="inlineStr">
        <is>
          <t>QuickQueryList</t>
        </is>
      </c>
      <c r="C2312" s="24" t="inlineStr">
        <is>
          <t>快速查询</t>
        </is>
      </c>
      <c r="D2312" s="24" t="inlineStr">
        <is>
          <t>0100302</t>
        </is>
      </c>
      <c r="E2312" s="24" t="inlineStr">
        <is>
          <t>借据信息快速查询</t>
        </is>
      </c>
    </row>
    <row r="2313">
      <c r="B2313" s="24" t="inlineStr">
        <is>
          <t>QuickQueryList</t>
        </is>
      </c>
      <c r="C2313" s="24" t="inlineStr">
        <is>
          <t>快速查询</t>
        </is>
      </c>
      <c r="D2313" s="24" t="inlineStr">
        <is>
          <t>01004</t>
        </is>
      </c>
      <c r="E2313" s="24" t="inlineStr">
        <is>
          <t>贷后信息快速查询</t>
        </is>
      </c>
    </row>
    <row r="2314">
      <c r="B2314" s="24" t="inlineStr">
        <is>
          <t>QuickQueryList</t>
        </is>
      </c>
      <c r="C2314" s="24" t="inlineStr">
        <is>
          <t>快速查询</t>
        </is>
      </c>
      <c r="D2314" s="24" t="inlineStr">
        <is>
          <t>0100401</t>
        </is>
      </c>
      <c r="E2314" s="24" t="inlineStr">
        <is>
          <t>贷款用途检查报告查询</t>
        </is>
      </c>
    </row>
    <row r="2315">
      <c r="B2315" s="24" t="inlineStr">
        <is>
          <t>QuickQueryList</t>
        </is>
      </c>
      <c r="C2315" s="24" t="inlineStr">
        <is>
          <t>快速查询</t>
        </is>
      </c>
      <c r="D2315" s="24" t="inlineStr">
        <is>
          <t>0100402</t>
        </is>
      </c>
      <c r="E2315" s="24" t="inlineStr">
        <is>
          <t>客户检查报告查询</t>
        </is>
      </c>
    </row>
    <row r="2316">
      <c r="B2316" s="24" t="inlineStr">
        <is>
          <t>QuickQueryList</t>
        </is>
      </c>
      <c r="C2316" s="24" t="inlineStr">
        <is>
          <t>快速查询</t>
        </is>
      </c>
      <c r="D2316" s="24" t="inlineStr">
        <is>
          <t>0100403</t>
        </is>
      </c>
      <c r="E2316" s="24" t="inlineStr">
        <is>
          <t>资产风险分类快速查询</t>
        </is>
      </c>
    </row>
    <row r="2317">
      <c r="B2317" s="24" t="inlineStr">
        <is>
          <t>QuickQueryList</t>
        </is>
      </c>
      <c r="C2317" s="24" t="inlineStr">
        <is>
          <t>快速查询</t>
        </is>
      </c>
      <c r="D2317" s="24" t="inlineStr">
        <is>
          <t>01006</t>
        </is>
      </c>
      <c r="E2317" s="24" t="inlineStr">
        <is>
          <t>流程监控</t>
        </is>
      </c>
    </row>
    <row r="2318">
      <c r="B2318" s="24" t="inlineStr">
        <is>
          <t>QuickQueryList</t>
        </is>
      </c>
      <c r="C2318" s="24" t="inlineStr">
        <is>
          <t>快速查询</t>
        </is>
      </c>
      <c r="D2318" s="24" t="inlineStr">
        <is>
          <t>0100601</t>
        </is>
      </c>
      <c r="E2318" s="24" t="inlineStr">
        <is>
          <t>在办业务</t>
        </is>
      </c>
    </row>
    <row r="2319">
      <c r="B2319" s="24" t="inlineStr">
        <is>
          <t>QuickQueryList</t>
        </is>
      </c>
      <c r="C2319" s="24" t="inlineStr">
        <is>
          <t>快速查询</t>
        </is>
      </c>
      <c r="D2319" s="24" t="inlineStr">
        <is>
          <t>0100602</t>
        </is>
      </c>
      <c r="E2319" s="24" t="inlineStr">
        <is>
          <t>办结业务</t>
        </is>
      </c>
    </row>
    <row r="2320">
      <c r="B2320" s="24" t="inlineStr">
        <is>
          <t>QuickQueryList</t>
        </is>
      </c>
      <c r="C2320" s="24" t="inlineStr">
        <is>
          <t>快速查询</t>
        </is>
      </c>
      <c r="D2320" s="24" t="inlineStr">
        <is>
          <t>01007</t>
        </is>
      </c>
      <c r="E2320" s="24" t="inlineStr">
        <is>
          <t>预警信息快速查询</t>
        </is>
      </c>
    </row>
    <row r="2321">
      <c r="B2321" s="24" t="inlineStr">
        <is>
          <t>QuickQueryList</t>
        </is>
      </c>
      <c r="C2321" s="24" t="inlineStr">
        <is>
          <t>快速查询</t>
        </is>
      </c>
      <c r="D2321" s="24" t="inlineStr">
        <is>
          <t>0100701</t>
        </is>
      </c>
      <c r="E2321" s="24" t="inlineStr">
        <is>
          <t>预警信号汇总表</t>
        </is>
      </c>
    </row>
    <row r="2322">
      <c r="B2322" s="24" t="inlineStr">
        <is>
          <t>QuickQueryList</t>
        </is>
      </c>
      <c r="C2322" s="24" t="inlineStr">
        <is>
          <t>快速查询</t>
        </is>
      </c>
      <c r="D2322" s="24" t="inlineStr">
        <is>
          <t>01008</t>
        </is>
      </c>
      <c r="E2322" s="24" t="inlineStr">
        <is>
          <t>押品信息快速查询</t>
        </is>
      </c>
    </row>
    <row r="2323">
      <c r="B2323" s="24" t="inlineStr">
        <is>
          <t>QuickQueryList</t>
        </is>
      </c>
      <c r="C2323" s="24" t="inlineStr">
        <is>
          <t>快速查询</t>
        </is>
      </c>
      <c r="D2323" s="24" t="inlineStr">
        <is>
          <t>0100801</t>
        </is>
      </c>
      <c r="E2323" s="24" t="inlineStr">
        <is>
          <t>担保合同信息快速查询</t>
        </is>
      </c>
    </row>
    <row r="2324">
      <c r="B2324" s="24" t="inlineStr">
        <is>
          <t>QuickQueryList</t>
        </is>
      </c>
      <c r="C2324" s="24" t="inlineStr">
        <is>
          <t>快速查询</t>
        </is>
      </c>
      <c r="D2324" s="24" t="inlineStr">
        <is>
          <t>0100802</t>
        </is>
      </c>
      <c r="E2324" s="24" t="inlineStr">
        <is>
          <t>抵质押物快速查询</t>
        </is>
      </c>
    </row>
    <row r="2325">
      <c r="B2325" s="24" t="inlineStr">
        <is>
          <t>QuickQueryList</t>
        </is>
      </c>
      <c r="C2325" s="24" t="inlineStr">
        <is>
          <t>快速查询</t>
        </is>
      </c>
      <c r="D2325" s="24" t="inlineStr">
        <is>
          <t>01009</t>
        </is>
      </c>
      <c r="E2325" s="24" t="inlineStr">
        <is>
          <t>贷款余额快速查询</t>
        </is>
      </c>
    </row>
    <row r="2326">
      <c r="B2326" s="24" t="inlineStr">
        <is>
          <t>QuickQueryList</t>
        </is>
      </c>
      <c r="C2326" s="24" t="inlineStr">
        <is>
          <t>快速查询</t>
        </is>
      </c>
      <c r="D2326" s="24" t="inlineStr">
        <is>
          <t>0100901</t>
        </is>
      </c>
      <c r="E2326" s="24" t="inlineStr">
        <is>
          <t>表内业务贷款余额</t>
        </is>
      </c>
    </row>
    <row r="2327">
      <c r="B2327" s="24" t="inlineStr">
        <is>
          <t>QuickQueryList</t>
        </is>
      </c>
      <c r="C2327" s="24" t="inlineStr">
        <is>
          <t>快速查询</t>
        </is>
      </c>
      <c r="D2327" s="24" t="inlineStr">
        <is>
          <t>0100902</t>
        </is>
      </c>
      <c r="E2327" s="24" t="inlineStr">
        <is>
          <t>表外/中间业务贷款余额</t>
        </is>
      </c>
    </row>
    <row r="2328">
      <c r="B2328" s="24" t="inlineStr">
        <is>
          <t>QuickQueryList</t>
        </is>
      </c>
      <c r="C2328" s="24" t="inlineStr">
        <is>
          <t>快速查询</t>
        </is>
      </c>
      <c r="D2328" s="24" t="inlineStr">
        <is>
          <t>0100903</t>
        </is>
      </c>
      <c r="E2328" s="24" t="inlineStr">
        <is>
          <t>累放累收信息查询</t>
        </is>
      </c>
    </row>
    <row r="2329">
      <c r="B2329" s="24" t="inlineStr">
        <is>
          <t>QuickQueryList</t>
        </is>
      </c>
      <c r="C2329" s="24" t="inlineStr">
        <is>
          <t>快速查询</t>
        </is>
      </c>
      <c r="D2329" s="24" t="inlineStr">
        <is>
          <t>01010</t>
        </is>
      </c>
      <c r="E2329" s="24" t="inlineStr">
        <is>
          <t>其他查询</t>
        </is>
      </c>
    </row>
    <row r="2330">
      <c r="B2330" s="24" t="inlineStr">
        <is>
          <t>QuickQueryList</t>
        </is>
      </c>
      <c r="C2330" s="24" t="inlineStr">
        <is>
          <t>快速查询</t>
        </is>
      </c>
      <c r="D2330" s="24" t="inlineStr">
        <is>
          <t>0101001</t>
        </is>
      </c>
      <c r="E2330" s="24" t="inlineStr">
        <is>
          <t>按揭贷款快速查询</t>
        </is>
      </c>
    </row>
    <row r="2331">
      <c r="B2331" s="24" t="inlineStr">
        <is>
          <t>QuickQueryList</t>
        </is>
      </c>
      <c r="C2331" s="24" t="inlineStr">
        <is>
          <t>快速查询</t>
        </is>
      </c>
      <c r="D2331" s="24" t="inlineStr">
        <is>
          <t>0101002</t>
        </is>
      </c>
      <c r="E2331" s="24" t="inlineStr">
        <is>
          <t>展期台帐快速查询</t>
        </is>
      </c>
    </row>
    <row r="2332">
      <c r="B2332" s="24" t="inlineStr">
        <is>
          <t>QuickQueryList</t>
        </is>
      </c>
      <c r="C2332" s="24" t="inlineStr">
        <is>
          <t>快速查询</t>
        </is>
      </c>
      <c r="D2332" s="24" t="inlineStr">
        <is>
          <t>0101003</t>
        </is>
      </c>
      <c r="E2332" s="24" t="inlineStr">
        <is>
          <t>贴现余额快速查询</t>
        </is>
      </c>
    </row>
    <row r="2333">
      <c r="B2333" s="24" t="inlineStr">
        <is>
          <t>QuickQueryList</t>
        </is>
      </c>
      <c r="C2333" s="24" t="inlineStr">
        <is>
          <t>快速查询</t>
        </is>
      </c>
      <c r="D2333" s="24" t="inlineStr">
        <is>
          <t>0101004</t>
        </is>
      </c>
      <c r="E2333" s="24" t="inlineStr">
        <is>
          <t>业务量统计查询</t>
        </is>
      </c>
    </row>
    <row r="2334">
      <c r="B2334" s="24" t="inlineStr">
        <is>
          <t>QuickQueryList</t>
        </is>
      </c>
      <c r="C2334" s="24" t="inlineStr">
        <is>
          <t>快速查询</t>
        </is>
      </c>
      <c r="D2334" s="24" t="inlineStr">
        <is>
          <t>050</t>
        </is>
      </c>
      <c r="E2334" s="24" t="inlineStr">
        <is>
          <t>资产保全快速查询</t>
        </is>
      </c>
    </row>
    <row r="2335">
      <c r="B2335" s="24" t="inlineStr">
        <is>
          <t>QuickQueryList</t>
        </is>
      </c>
      <c r="C2335" s="24" t="inlineStr">
        <is>
          <t>快速查询</t>
        </is>
      </c>
      <c r="D2335" s="24" t="inlineStr">
        <is>
          <t>05001</t>
        </is>
      </c>
      <c r="E2335" s="24" t="inlineStr">
        <is>
          <t>不良资产快速查询</t>
        </is>
      </c>
    </row>
    <row r="2336">
      <c r="B2336" s="24" t="inlineStr">
        <is>
          <t>QuickQueryList</t>
        </is>
      </c>
      <c r="C2336" s="24" t="inlineStr">
        <is>
          <t>快速查询</t>
        </is>
      </c>
      <c r="D2336" s="24" t="inlineStr">
        <is>
          <t>05002</t>
        </is>
      </c>
      <c r="E2336" s="24" t="inlineStr">
        <is>
          <t>催收函快速查询</t>
        </is>
      </c>
    </row>
    <row r="2337">
      <c r="B2337" s="24" t="inlineStr">
        <is>
          <t>QuickQueryList</t>
        </is>
      </c>
      <c r="C2337" s="24" t="inlineStr">
        <is>
          <t>快速查询</t>
        </is>
      </c>
      <c r="D2337" s="24" t="inlineStr">
        <is>
          <t>05003</t>
        </is>
      </c>
      <c r="E2337" s="24" t="inlineStr">
        <is>
          <t>重组方案快速查询</t>
        </is>
      </c>
    </row>
    <row r="2338">
      <c r="B2338" s="24" t="inlineStr">
        <is>
          <t>QuickQueryList</t>
        </is>
      </c>
      <c r="C2338" s="24" t="inlineStr">
        <is>
          <t>快速查询</t>
        </is>
      </c>
      <c r="D2338" s="24" t="inlineStr">
        <is>
          <t>05005</t>
        </is>
      </c>
      <c r="E2338" s="24" t="inlineStr">
        <is>
          <t>法律事务快速查询</t>
        </is>
      </c>
    </row>
    <row r="2339">
      <c r="B2339" s="24" t="inlineStr">
        <is>
          <t>QuickQueryList</t>
        </is>
      </c>
      <c r="C2339" s="24" t="inlineStr">
        <is>
          <t>快速查询</t>
        </is>
      </c>
      <c r="D2339" s="24" t="inlineStr">
        <is>
          <t>05006</t>
        </is>
      </c>
      <c r="E2339" s="24" t="inlineStr">
        <is>
          <t>抵债资产快速查询</t>
        </is>
      </c>
    </row>
    <row r="2340" ht="15.95" customHeight="1" s="170">
      <c r="B2340" s="122" t="inlineStr">
        <is>
          <t>码值：RePrinFreq</t>
        </is>
      </c>
    </row>
    <row r="2341">
      <c r="B2341" s="24" t="inlineStr">
        <is>
          <t>RePrinFreq</t>
        </is>
      </c>
      <c r="C2341" s="24" t="inlineStr">
        <is>
          <t>还款频率</t>
        </is>
      </c>
      <c r="D2341" s="24" t="inlineStr">
        <is>
          <t>1</t>
        </is>
      </c>
      <c r="E2341" s="24" t="inlineStr">
        <is>
          <t>按月</t>
        </is>
      </c>
    </row>
    <row r="2342">
      <c r="B2342" s="24" t="inlineStr">
        <is>
          <t>RePrinFreq</t>
        </is>
      </c>
      <c r="C2342" s="24" t="inlineStr">
        <is>
          <t>还款频率</t>
        </is>
      </c>
      <c r="D2342" s="24" t="inlineStr">
        <is>
          <t>2</t>
        </is>
      </c>
      <c r="E2342" s="24" t="inlineStr">
        <is>
          <t>按季</t>
        </is>
      </c>
    </row>
    <row r="2343">
      <c r="B2343" s="24" t="inlineStr">
        <is>
          <t>RePrinFreq</t>
        </is>
      </c>
      <c r="C2343" s="24" t="inlineStr">
        <is>
          <t>还款频率</t>
        </is>
      </c>
      <c r="D2343" s="24" t="inlineStr">
        <is>
          <t>3</t>
        </is>
      </c>
      <c r="E2343" s="24" t="inlineStr">
        <is>
          <t>一次</t>
        </is>
      </c>
    </row>
    <row r="2344">
      <c r="B2344" s="24" t="inlineStr">
        <is>
          <t>RePrinFreq</t>
        </is>
      </c>
      <c r="C2344" s="24" t="inlineStr">
        <is>
          <t>还款频率</t>
        </is>
      </c>
      <c r="D2344" s="24" t="inlineStr">
        <is>
          <t>4</t>
        </is>
      </c>
      <c r="E2344" s="24" t="inlineStr">
        <is>
          <t>按半年</t>
        </is>
      </c>
    </row>
    <row r="2345">
      <c r="B2345" s="24" t="inlineStr">
        <is>
          <t>RePrinFreq</t>
        </is>
      </c>
      <c r="C2345" s="24" t="inlineStr">
        <is>
          <t>还款频率</t>
        </is>
      </c>
      <c r="D2345" s="24" t="inlineStr">
        <is>
          <t>5</t>
        </is>
      </c>
      <c r="E2345" s="24" t="inlineStr">
        <is>
          <t>按年</t>
        </is>
      </c>
    </row>
    <row r="2346">
      <c r="B2346" s="24" t="inlineStr">
        <is>
          <t>RePrinFreq</t>
        </is>
      </c>
      <c r="C2346" s="24" t="inlineStr">
        <is>
          <t>还款频率</t>
        </is>
      </c>
      <c r="D2346" s="24" t="inlineStr">
        <is>
          <t>7</t>
        </is>
      </c>
      <c r="E2346" s="24" t="inlineStr">
        <is>
          <t>按双周</t>
        </is>
      </c>
    </row>
    <row r="2347" ht="15.95" customHeight="1" s="170">
      <c r="B2347" s="122" t="inlineStr">
        <is>
          <t>码值：AgencyKind</t>
        </is>
      </c>
    </row>
    <row r="2348">
      <c r="B2348" s="24" t="inlineStr">
        <is>
          <t>AgencyKind</t>
        </is>
      </c>
      <c r="C2348" s="24" t="inlineStr">
        <is>
          <t>代理性质</t>
        </is>
      </c>
      <c r="D2348" s="24" t="inlineStr">
        <is>
          <t>010</t>
        </is>
      </c>
      <c r="E2348" s="24" t="inlineStr">
        <is>
          <t>个人</t>
        </is>
      </c>
    </row>
    <row r="2349">
      <c r="B2349" s="24" t="inlineStr">
        <is>
          <t>AgencyKind</t>
        </is>
      </c>
      <c r="C2349" s="24" t="inlineStr">
        <is>
          <t>代理性质</t>
        </is>
      </c>
      <c r="D2349" s="24" t="inlineStr">
        <is>
          <t>020</t>
        </is>
      </c>
      <c r="E2349" s="24" t="inlineStr">
        <is>
          <t>合伙</t>
        </is>
      </c>
    </row>
    <row r="2350">
      <c r="B2350" s="24" t="inlineStr">
        <is>
          <t>AgencyKind</t>
        </is>
      </c>
      <c r="C2350" s="24" t="inlineStr">
        <is>
          <t>代理性质</t>
        </is>
      </c>
      <c r="D2350" s="24" t="inlineStr">
        <is>
          <t>030</t>
        </is>
      </c>
      <c r="E2350" s="24" t="inlineStr">
        <is>
          <t>合作</t>
        </is>
      </c>
    </row>
    <row r="2351">
      <c r="B2351" s="24" t="inlineStr">
        <is>
          <t>AgencyKind</t>
        </is>
      </c>
      <c r="C2351" s="24" t="inlineStr">
        <is>
          <t>代理性质</t>
        </is>
      </c>
      <c r="D2351" s="24" t="inlineStr">
        <is>
          <t>040</t>
        </is>
      </c>
      <c r="E2351" s="24" t="inlineStr">
        <is>
          <t>国有</t>
        </is>
      </c>
    </row>
    <row r="2352">
      <c r="B2352" s="24" t="inlineStr">
        <is>
          <t>AgencyKind</t>
        </is>
      </c>
      <c r="C2352" s="24" t="inlineStr">
        <is>
          <t>代理性质</t>
        </is>
      </c>
      <c r="D2352" s="24" t="inlineStr">
        <is>
          <t>050</t>
        </is>
      </c>
      <c r="E2352" s="24" t="inlineStr">
        <is>
          <t>股份</t>
        </is>
      </c>
    </row>
    <row r="2353">
      <c r="B2353" s="24" t="inlineStr">
        <is>
          <t>AgencyKind</t>
        </is>
      </c>
      <c r="C2353" s="24" t="inlineStr">
        <is>
          <t>代理性质</t>
        </is>
      </c>
      <c r="D2353" s="24" t="inlineStr">
        <is>
          <t>060</t>
        </is>
      </c>
      <c r="E2353" s="24" t="inlineStr">
        <is>
          <t>有限</t>
        </is>
      </c>
    </row>
    <row r="2354" ht="15.95" customHeight="1" s="170">
      <c r="B2354" s="122" t="inlineStr">
        <is>
          <t>码值：IndestryExperience</t>
        </is>
      </c>
    </row>
    <row r="2355">
      <c r="B2355" s="24" t="inlineStr">
        <is>
          <t>IndestryExperience</t>
        </is>
      </c>
      <c r="C2355" s="24" t="inlineStr">
        <is>
          <t>信用等级评估统一导入</t>
        </is>
      </c>
      <c r="D2355" s="24" t="inlineStr">
        <is>
          <t>1</t>
        </is>
      </c>
      <c r="E2355" s="24" t="inlineStr">
        <is>
          <t>3个及3个以上</t>
        </is>
      </c>
    </row>
    <row r="2356">
      <c r="B2356" s="24" t="inlineStr">
        <is>
          <t>IndestryExperience</t>
        </is>
      </c>
      <c r="C2356" s="24" t="inlineStr">
        <is>
          <t>信用等级评估统一导入</t>
        </is>
      </c>
      <c r="D2356" s="24" t="inlineStr">
        <is>
          <t>2</t>
        </is>
      </c>
      <c r="E2356" s="24" t="inlineStr">
        <is>
          <t>2个</t>
        </is>
      </c>
    </row>
    <row r="2357">
      <c r="B2357" s="24" t="inlineStr">
        <is>
          <t>IndestryExperience</t>
        </is>
      </c>
      <c r="C2357" s="24" t="inlineStr">
        <is>
          <t>信用等级评估统一导入</t>
        </is>
      </c>
      <c r="D2357" s="24" t="inlineStr">
        <is>
          <t>3</t>
        </is>
      </c>
      <c r="E2357" s="24" t="inlineStr">
        <is>
          <t>1个</t>
        </is>
      </c>
    </row>
    <row r="2358" ht="15.95" customHeight="1" s="170">
      <c r="B2358" s="122" t="inlineStr">
        <is>
          <t>码值：FinishType</t>
        </is>
      </c>
    </row>
    <row r="2359">
      <c r="B2359" s="24" t="inlineStr">
        <is>
          <t>FinishType</t>
        </is>
      </c>
      <c r="C2359" s="24" t="inlineStr">
        <is>
          <t>终结类型</t>
        </is>
      </c>
      <c r="D2359" s="24" t="inlineStr">
        <is>
          <t>010</t>
        </is>
      </c>
      <c r="E2359" s="24" t="inlineStr">
        <is>
          <t>净收回/兑付</t>
        </is>
      </c>
    </row>
    <row r="2360">
      <c r="B2360" s="24" t="inlineStr">
        <is>
          <t>FinishType</t>
        </is>
      </c>
      <c r="C2360" s="24" t="inlineStr">
        <is>
          <t>终结类型</t>
        </is>
      </c>
      <c r="D2360" s="24" t="inlineStr">
        <is>
          <t>020</t>
        </is>
      </c>
      <c r="E2360" s="24" t="inlineStr">
        <is>
          <t>借新还旧</t>
        </is>
      </c>
    </row>
    <row r="2361">
      <c r="B2361" s="24" t="inlineStr">
        <is>
          <t>FinishType</t>
        </is>
      </c>
      <c r="C2361" s="24" t="inlineStr">
        <is>
          <t>终结类型</t>
        </is>
      </c>
      <c r="D2361" s="24" t="inlineStr">
        <is>
          <t>030</t>
        </is>
      </c>
      <c r="E2361" s="24" t="inlineStr">
        <is>
          <t>还旧借新</t>
        </is>
      </c>
    </row>
    <row r="2362">
      <c r="B2362" s="24" t="inlineStr">
        <is>
          <t>FinishType</t>
        </is>
      </c>
      <c r="C2362" s="24" t="inlineStr">
        <is>
          <t>终结类型</t>
        </is>
      </c>
      <c r="D2362" s="24" t="inlineStr">
        <is>
          <t>040</t>
        </is>
      </c>
      <c r="E2362" s="24" t="inlineStr">
        <is>
          <t>债务重组</t>
        </is>
      </c>
    </row>
    <row r="2363">
      <c r="B2363" s="24" t="inlineStr">
        <is>
          <t>FinishType</t>
        </is>
      </c>
      <c r="C2363" s="24" t="inlineStr">
        <is>
          <t>终结类型</t>
        </is>
      </c>
      <c r="D2363" s="24" t="inlineStr">
        <is>
          <t>050</t>
        </is>
      </c>
      <c r="E2363" s="24" t="inlineStr">
        <is>
          <t>售出</t>
        </is>
      </c>
    </row>
    <row r="2364">
      <c r="B2364" s="24" t="inlineStr">
        <is>
          <t>FinishType</t>
        </is>
      </c>
      <c r="C2364" s="24" t="inlineStr">
        <is>
          <t>终结类型</t>
        </is>
      </c>
      <c r="D2364" s="24" t="inlineStr">
        <is>
          <t>060</t>
        </is>
      </c>
      <c r="E2364" s="24" t="inlineStr">
        <is>
          <t>核销</t>
        </is>
      </c>
    </row>
    <row r="2365">
      <c r="B2365" s="24" t="inlineStr">
        <is>
          <t>FinishType</t>
        </is>
      </c>
      <c r="C2365" s="24" t="inlineStr">
        <is>
          <t>终结类型</t>
        </is>
      </c>
      <c r="D2365" s="24" t="inlineStr">
        <is>
          <t>0601</t>
        </is>
      </c>
      <c r="E2365" s="24" t="inlineStr">
        <is>
          <t>有追索权核销</t>
        </is>
      </c>
    </row>
    <row r="2366">
      <c r="B2366" s="24" t="inlineStr">
        <is>
          <t>FinishType</t>
        </is>
      </c>
      <c r="C2366" s="24" t="inlineStr">
        <is>
          <t>终结类型</t>
        </is>
      </c>
      <c r="D2366" s="24" t="inlineStr">
        <is>
          <t>0602</t>
        </is>
      </c>
      <c r="E2366" s="24" t="inlineStr">
        <is>
          <t>无追索权核销</t>
        </is>
      </c>
    </row>
    <row r="2367">
      <c r="B2367" s="24" t="inlineStr">
        <is>
          <t>FinishType</t>
        </is>
      </c>
      <c r="C2367" s="24" t="inlineStr">
        <is>
          <t>终结类型</t>
        </is>
      </c>
      <c r="D2367" s="24" t="inlineStr">
        <is>
          <t>070</t>
        </is>
      </c>
      <c r="E2367" s="24" t="inlineStr">
        <is>
          <t>转贴现(卖出)</t>
        </is>
      </c>
    </row>
    <row r="2368">
      <c r="B2368" s="24" t="inlineStr">
        <is>
          <t>FinishType</t>
        </is>
      </c>
      <c r="C2368" s="24" t="inlineStr">
        <is>
          <t>终结类型</t>
        </is>
      </c>
      <c r="D2368" s="24" t="inlineStr">
        <is>
          <t>080</t>
        </is>
      </c>
      <c r="E2368" s="24" t="inlineStr">
        <is>
          <t>再贴现</t>
        </is>
      </c>
    </row>
    <row r="2369">
      <c r="B2369" s="24" t="inlineStr">
        <is>
          <t>FinishType</t>
        </is>
      </c>
      <c r="C2369" s="24" t="inlineStr">
        <is>
          <t>终结类型</t>
        </is>
      </c>
      <c r="D2369" s="24" t="inlineStr">
        <is>
          <t>090</t>
        </is>
      </c>
      <c r="E2369" s="24" t="inlineStr">
        <is>
          <t>逆回购</t>
        </is>
      </c>
    </row>
    <row r="2370">
      <c r="B2370" s="24" t="inlineStr">
        <is>
          <t>FinishType</t>
        </is>
      </c>
      <c r="C2370" s="24" t="inlineStr">
        <is>
          <t>终结类型</t>
        </is>
      </c>
      <c r="D2370" s="24" t="inlineStr">
        <is>
          <t>100</t>
        </is>
      </c>
      <c r="E2370" s="24" t="inlineStr">
        <is>
          <t>发生垫款(表外业务)</t>
        </is>
      </c>
    </row>
    <row r="2371" ht="15.95" customHeight="1" s="170">
      <c r="B2371" s="122" t="inlineStr">
        <is>
          <t>码值：ClrStatus</t>
        </is>
      </c>
    </row>
    <row r="2372">
      <c r="B2372" s="24" t="inlineStr">
        <is>
          <t>ClrStatus</t>
        </is>
      </c>
      <c r="C2372" s="24" t="inlineStr">
        <is>
          <t>押品状态</t>
        </is>
      </c>
      <c r="D2372" s="24" t="inlineStr">
        <is>
          <t>01</t>
        </is>
      </c>
      <c r="E2372" s="24" t="inlineStr">
        <is>
          <t>正常</t>
        </is>
      </c>
    </row>
    <row r="2373">
      <c r="B2373" s="24" t="inlineStr">
        <is>
          <t>ClrStatus</t>
        </is>
      </c>
      <c r="C2373" s="24" t="inlineStr">
        <is>
          <t>押品状态</t>
        </is>
      </c>
      <c r="D2373" s="24" t="inlineStr">
        <is>
          <t>02</t>
        </is>
      </c>
      <c r="E2373" s="77" t="inlineStr">
        <is>
          <t>冻结</t>
        </is>
      </c>
    </row>
    <row r="2374">
      <c r="B2374" s="24" t="inlineStr">
        <is>
          <t>ClrStatus</t>
        </is>
      </c>
      <c r="C2374" s="24" t="inlineStr">
        <is>
          <t>押品状态</t>
        </is>
      </c>
      <c r="D2374" s="24" t="inlineStr">
        <is>
          <t>03</t>
        </is>
      </c>
      <c r="E2374" s="24" t="inlineStr">
        <is>
          <t>已处置</t>
        </is>
      </c>
    </row>
    <row r="2375">
      <c r="B2375" s="24" t="inlineStr">
        <is>
          <t>ClrStatus</t>
        </is>
      </c>
      <c r="C2375" s="24" t="inlineStr">
        <is>
          <t>押品状态</t>
        </is>
      </c>
      <c r="D2375" s="24" t="inlineStr">
        <is>
          <t>04</t>
        </is>
      </c>
      <c r="E2375" s="77" t="inlineStr">
        <is>
          <t>已作废</t>
        </is>
      </c>
    </row>
    <row r="2376" ht="15.95" customHeight="1" s="170">
      <c r="B2376" s="122" t="inlineStr">
        <is>
          <t>码值：EdocParamType</t>
        </is>
      </c>
    </row>
    <row r="2377">
      <c r="B2377" s="24" t="inlineStr">
        <is>
          <t>EdocParamType</t>
        </is>
      </c>
      <c r="C2377" s="24" t="inlineStr">
        <is>
          <t>电子合同参数类型</t>
        </is>
      </c>
      <c r="D2377" s="24" t="inlineStr">
        <is>
          <t>PICTURE</t>
        </is>
      </c>
      <c r="E2377" s="24" t="inlineStr">
        <is>
          <t>图片</t>
        </is>
      </c>
    </row>
    <row r="2378">
      <c r="B2378" s="24" t="inlineStr">
        <is>
          <t>EdocParamType</t>
        </is>
      </c>
      <c r="C2378" s="24" t="inlineStr">
        <is>
          <t>电子合同参数类型</t>
        </is>
      </c>
      <c r="D2378" s="24" t="inlineStr">
        <is>
          <t>TABLE</t>
        </is>
      </c>
      <c r="E2378" s="24" t="inlineStr">
        <is>
          <t>表格</t>
        </is>
      </c>
    </row>
    <row r="2379">
      <c r="B2379" s="24" t="inlineStr">
        <is>
          <t>EdocParamType</t>
        </is>
      </c>
      <c r="C2379" s="24" t="inlineStr">
        <is>
          <t>电子合同参数类型</t>
        </is>
      </c>
      <c r="D2379" s="24" t="inlineStr">
        <is>
          <t>TEXT</t>
        </is>
      </c>
      <c r="E2379" s="24" t="inlineStr">
        <is>
          <t>文字</t>
        </is>
      </c>
    </row>
    <row r="2380">
      <c r="B2380" s="24" t="inlineStr">
        <is>
          <t>EdocParamType</t>
        </is>
      </c>
      <c r="C2380" s="24" t="inlineStr">
        <is>
          <t>电子合同参数类型</t>
        </is>
      </c>
      <c r="D2380" s="24" t="inlineStr">
        <is>
          <t>TEXTAREA</t>
        </is>
      </c>
      <c r="E2380" s="24" t="inlineStr">
        <is>
          <t>文字区域</t>
        </is>
      </c>
    </row>
    <row r="2381" ht="15.95" customHeight="1" s="170">
      <c r="B2381" s="122" t="inlineStr">
        <is>
          <t>码值：CreditSingleUnderFMain</t>
        </is>
      </c>
    </row>
    <row r="2382">
      <c r="B2382" s="24" t="inlineStr">
        <is>
          <t>CreditSingleUnderFMain</t>
        </is>
      </c>
      <c r="C2382" s="24" t="n"/>
      <c r="D2382" s="24" t="inlineStr">
        <is>
          <t>N</t>
        </is>
      </c>
      <c r="E2382" s="24" t="inlineStr">
        <is>
          <t>当前工作</t>
        </is>
      </c>
    </row>
    <row r="2383">
      <c r="B2383" s="24" t="inlineStr">
        <is>
          <t>CreditSingleUnderFMain</t>
        </is>
      </c>
      <c r="C2383" s="24" t="n"/>
      <c r="D2383" s="24" t="inlineStr">
        <is>
          <t>Y</t>
        </is>
      </c>
      <c r="E2383" s="24" t="inlineStr">
        <is>
          <t>已完成工作</t>
        </is>
      </c>
    </row>
    <row r="2384" ht="15.95" customHeight="1" s="170">
      <c r="B2384" s="122" t="inlineStr">
        <is>
          <t>码值：TechnologyAdvancement</t>
        </is>
      </c>
    </row>
    <row r="2385">
      <c r="B2385" s="24" t="inlineStr">
        <is>
          <t>TechnologyAdvancement</t>
        </is>
      </c>
      <c r="C2385" s="24" t="inlineStr">
        <is>
          <t>信用等级评估统一导入</t>
        </is>
      </c>
      <c r="D2385" s="24" t="inlineStr">
        <is>
          <t>01</t>
        </is>
      </c>
      <c r="E2385" s="24" t="inlineStr">
        <is>
          <t>技术和设计完全可靠，并且市场上没有出现更领先的技术</t>
        </is>
      </c>
    </row>
    <row r="2386">
      <c r="B2386" s="24" t="inlineStr">
        <is>
          <t>TechnologyAdvancement</t>
        </is>
      </c>
      <c r="C2386" s="24" t="inlineStr">
        <is>
          <t>信用等级评估统一导入</t>
        </is>
      </c>
      <c r="D2386" s="24" t="inlineStr">
        <is>
          <t>02</t>
        </is>
      </c>
      <c r="E2386" s="24" t="inlineStr">
        <is>
          <t>技术和设计可靠</t>
        </is>
      </c>
    </row>
    <row r="2387">
      <c r="B2387" s="24" t="inlineStr">
        <is>
          <t>TechnologyAdvancement</t>
        </is>
      </c>
      <c r="C2387" s="24" t="inlineStr">
        <is>
          <t>信用等级评估统一导入</t>
        </is>
      </c>
      <c r="D2387" s="24" t="inlineStr">
        <is>
          <t>03</t>
        </is>
      </c>
      <c r="E2387" s="24" t="inlineStr">
        <is>
          <t>技术和设计不可靠/存在技术问题和/或设计复杂</t>
        </is>
      </c>
    </row>
    <row r="2388" ht="15.95" customHeight="1" s="170">
      <c r="B2388" s="122" t="inlineStr">
        <is>
          <t>码值：GroundCharacter</t>
        </is>
      </c>
    </row>
    <row r="2389">
      <c r="B2389" s="24" t="inlineStr">
        <is>
          <t>GroundCharacter</t>
        </is>
      </c>
      <c r="C2389" s="24" t="inlineStr">
        <is>
          <t>土地权使用性质</t>
        </is>
      </c>
      <c r="D2389" s="24" t="inlineStr">
        <is>
          <t>01</t>
        </is>
      </c>
      <c r="E2389" s="24" t="inlineStr">
        <is>
          <t>划拨</t>
        </is>
      </c>
    </row>
    <row r="2390">
      <c r="B2390" s="24" t="inlineStr">
        <is>
          <t>GroundCharacter</t>
        </is>
      </c>
      <c r="C2390" s="24" t="inlineStr">
        <is>
          <t>土地权使用性质</t>
        </is>
      </c>
      <c r="D2390" s="24" t="inlineStr">
        <is>
          <t>02</t>
        </is>
      </c>
      <c r="E2390" s="24" t="inlineStr">
        <is>
          <t>集体</t>
        </is>
      </c>
    </row>
    <row r="2391">
      <c r="B2391" s="24" t="inlineStr">
        <is>
          <t>GroundCharacter</t>
        </is>
      </c>
      <c r="C2391" s="24" t="inlineStr">
        <is>
          <t>土地权使用性质</t>
        </is>
      </c>
      <c r="D2391" s="24" t="inlineStr">
        <is>
          <t>03</t>
        </is>
      </c>
      <c r="E2391" s="24" t="inlineStr">
        <is>
          <t>出让</t>
        </is>
      </c>
    </row>
    <row r="2392" ht="15.95" customHeight="1" s="170">
      <c r="B2392" s="122" t="inlineStr">
        <is>
          <t>码值：CommercialInsurance</t>
        </is>
      </c>
    </row>
    <row r="2393">
      <c r="B2393" s="24" t="inlineStr">
        <is>
          <t>CommercialInsurance</t>
        </is>
      </c>
      <c r="C2393" s="24" t="inlineStr">
        <is>
          <t>信用等级评估统一导入</t>
        </is>
      </c>
      <c r="D2393" s="24" t="inlineStr">
        <is>
          <t>01</t>
        </is>
      </c>
      <c r="E2393" s="24" t="inlineStr">
        <is>
          <t>有</t>
        </is>
      </c>
    </row>
    <row r="2394">
      <c r="B2394" s="24" t="inlineStr">
        <is>
          <t>CommercialInsurance</t>
        </is>
      </c>
      <c r="C2394" s="24" t="inlineStr">
        <is>
          <t>信用等级评估统一导入</t>
        </is>
      </c>
      <c r="D2394" s="24" t="inlineStr">
        <is>
          <t>02</t>
        </is>
      </c>
      <c r="E2394" s="24" t="inlineStr">
        <is>
          <t>无</t>
        </is>
      </c>
    </row>
    <row r="2395" ht="15.95" customHeight="1" s="170">
      <c r="B2395" s="122" t="inlineStr">
        <is>
          <t>码值：技术及服务的先进性</t>
        </is>
      </c>
    </row>
    <row r="2396">
      <c r="B2396" s="24" t="inlineStr">
        <is>
          <t>技术及服务的先进性</t>
        </is>
      </c>
      <c r="C2396" s="24" t="inlineStr">
        <is>
          <t>技术及服务的先进性</t>
        </is>
      </c>
      <c r="D2396" s="24" t="inlineStr">
        <is>
          <t>1</t>
        </is>
      </c>
      <c r="E2396" s="24" t="inlineStr">
        <is>
          <t>先进</t>
        </is>
      </c>
    </row>
    <row r="2397">
      <c r="B2397" s="24" t="inlineStr">
        <is>
          <t>技术及服务的先进性</t>
        </is>
      </c>
      <c r="C2397" s="24" t="inlineStr">
        <is>
          <t>技术及服务的先进性</t>
        </is>
      </c>
      <c r="D2397" s="24" t="inlineStr">
        <is>
          <t>2</t>
        </is>
      </c>
      <c r="E2397" s="24" t="inlineStr">
        <is>
          <t>较先进</t>
        </is>
      </c>
    </row>
    <row r="2398">
      <c r="B2398" s="24" t="inlineStr">
        <is>
          <t>技术及服务的先进性</t>
        </is>
      </c>
      <c r="C2398" s="24" t="inlineStr">
        <is>
          <t>技术及服务的先进性</t>
        </is>
      </c>
      <c r="D2398" s="24" t="inlineStr">
        <is>
          <t>3</t>
        </is>
      </c>
      <c r="E2398" s="24" t="inlineStr">
        <is>
          <t>落后</t>
        </is>
      </c>
    </row>
    <row r="2399" ht="15.95" customHeight="1" s="170">
      <c r="B2399" s="122" t="inlineStr">
        <is>
          <t>码值：BondStockType</t>
        </is>
      </c>
    </row>
    <row r="2400">
      <c r="B2400" s="24" t="inlineStr">
        <is>
          <t>BondStockType</t>
        </is>
      </c>
      <c r="C2400" s="24" t="inlineStr">
        <is>
          <t>债券上市类别</t>
        </is>
      </c>
      <c r="D2400" s="24" t="inlineStr">
        <is>
          <t>01</t>
        </is>
      </c>
      <c r="E2400" s="24" t="inlineStr">
        <is>
          <t>上市债券</t>
        </is>
      </c>
    </row>
    <row r="2401">
      <c r="B2401" s="24" t="inlineStr">
        <is>
          <t>BondStockType</t>
        </is>
      </c>
      <c r="C2401" s="24" t="inlineStr">
        <is>
          <t>债券上市类别</t>
        </is>
      </c>
      <c r="D2401" s="24" t="inlineStr">
        <is>
          <t>02</t>
        </is>
      </c>
      <c r="E2401" s="24" t="inlineStr">
        <is>
          <t>非上市债券</t>
        </is>
      </c>
    </row>
    <row r="2402" ht="15.95" customHeight="1" s="170">
      <c r="B2402" s="122" t="inlineStr">
        <is>
          <t>码值：在本行信用记录</t>
        </is>
      </c>
    </row>
    <row r="2403">
      <c r="B2403" s="24" t="inlineStr">
        <is>
          <t>在本行信用记录</t>
        </is>
      </c>
      <c r="C2403" s="24" t="inlineStr">
        <is>
          <t>在本行信用记录</t>
        </is>
      </c>
      <c r="D2403" s="24" t="inlineStr">
        <is>
          <t>1</t>
        </is>
      </c>
      <c r="E2403" s="24" t="inlineStr">
        <is>
          <t>无记录</t>
        </is>
      </c>
    </row>
    <row r="2404">
      <c r="B2404" s="24" t="inlineStr">
        <is>
          <t>在本行信用记录</t>
        </is>
      </c>
      <c r="C2404" s="24" t="inlineStr">
        <is>
          <t>在本行信用记录</t>
        </is>
      </c>
      <c r="D2404" s="24" t="inlineStr">
        <is>
          <t>2</t>
        </is>
      </c>
      <c r="E2404" s="24" t="inlineStr">
        <is>
          <t>无失信</t>
        </is>
      </c>
    </row>
    <row r="2405">
      <c r="B2405" s="24" t="inlineStr">
        <is>
          <t>在本行信用记录</t>
        </is>
      </c>
      <c r="C2405" s="24" t="inlineStr">
        <is>
          <t>在本行信用记录</t>
        </is>
      </c>
      <c r="D2405" s="24" t="inlineStr">
        <is>
          <t>3</t>
        </is>
      </c>
      <c r="E2405" s="24" t="inlineStr">
        <is>
          <t>有失信记录</t>
        </is>
      </c>
    </row>
    <row r="2406" ht="15.95" customHeight="1" s="170">
      <c r="B2406" s="122" t="inlineStr">
        <is>
          <t>码值：sGeographicPosition</t>
        </is>
      </c>
    </row>
    <row r="2407">
      <c r="B2407" s="24" t="inlineStr">
        <is>
          <t>sGeographicPosition</t>
        </is>
      </c>
      <c r="C2407" s="24" t="inlineStr">
        <is>
          <t>信用等级评估统一导入</t>
        </is>
      </c>
      <c r="D2407" s="24" t="inlineStr">
        <is>
          <t>01</t>
        </is>
      </c>
      <c r="E2407" s="24" t="inlineStr">
        <is>
          <t>直辖市</t>
        </is>
      </c>
    </row>
    <row r="2408">
      <c r="B2408" s="24" t="inlineStr">
        <is>
          <t>sGeographicPosition</t>
        </is>
      </c>
      <c r="C2408" s="24" t="inlineStr">
        <is>
          <t>信用等级评估统一导入</t>
        </is>
      </c>
      <c r="D2408" s="24" t="inlineStr">
        <is>
          <t>02</t>
        </is>
      </c>
      <c r="E2408" s="24" t="inlineStr">
        <is>
          <t>副省级及省会城市</t>
        </is>
      </c>
    </row>
    <row r="2409">
      <c r="B2409" s="24" t="inlineStr">
        <is>
          <t>sGeographicPosition</t>
        </is>
      </c>
      <c r="C2409" s="24" t="inlineStr">
        <is>
          <t>信用等级评估统一导入</t>
        </is>
      </c>
      <c r="D2409" s="24" t="inlineStr">
        <is>
          <t>03</t>
        </is>
      </c>
      <c r="E2409" s="24" t="inlineStr">
        <is>
          <t>地级市（包括相当于地级市级别的行政单位，例如直辖市的区</t>
        </is>
      </c>
    </row>
    <row r="2410">
      <c r="B2410" s="24" t="inlineStr">
        <is>
          <t>sGeographicPosition</t>
        </is>
      </c>
      <c r="C2410" s="24" t="inlineStr">
        <is>
          <t>信用等级评估统一导入</t>
        </is>
      </c>
      <c r="D2410" s="24" t="inlineStr">
        <is>
          <t>04</t>
        </is>
      </c>
      <c r="E2410" s="24" t="inlineStr">
        <is>
          <t>其他</t>
        </is>
      </c>
    </row>
    <row r="2411" ht="15.95" customHeight="1" s="170">
      <c r="B2411" s="122" t="inlineStr">
        <is>
          <t>码值：Document</t>
        </is>
      </c>
    </row>
    <row r="2412">
      <c r="B2412" s="24" t="inlineStr">
        <is>
          <t>Document</t>
        </is>
      </c>
      <c r="C2412" s="24" t="inlineStr">
        <is>
          <t>文档管理</t>
        </is>
      </c>
      <c r="D2412" s="24" t="inlineStr">
        <is>
          <t>010</t>
        </is>
      </c>
      <c r="E2412" s="24" t="inlineStr">
        <is>
          <t>客户相关文档</t>
        </is>
      </c>
    </row>
    <row r="2413">
      <c r="B2413" s="24" t="inlineStr">
        <is>
          <t>Document</t>
        </is>
      </c>
      <c r="C2413" s="24" t="inlineStr">
        <is>
          <t>文档管理</t>
        </is>
      </c>
      <c r="D2413" s="24" t="inlineStr">
        <is>
          <t>020</t>
        </is>
      </c>
      <c r="E2413" s="24" t="inlineStr">
        <is>
          <t>业务相关文档</t>
        </is>
      </c>
    </row>
    <row r="2414">
      <c r="B2414" s="24" t="inlineStr">
        <is>
          <t>Document</t>
        </is>
      </c>
      <c r="C2414" s="24" t="inlineStr">
        <is>
          <t>文档管理</t>
        </is>
      </c>
      <c r="D2414" s="24" t="inlineStr">
        <is>
          <t>020010</t>
        </is>
      </c>
      <c r="E2414" s="24" t="inlineStr">
        <is>
          <t>申请相关文档</t>
        </is>
      </c>
    </row>
    <row r="2415">
      <c r="B2415" s="24" t="inlineStr">
        <is>
          <t>Document</t>
        </is>
      </c>
      <c r="C2415" s="24" t="inlineStr">
        <is>
          <t>文档管理</t>
        </is>
      </c>
      <c r="D2415" s="24" t="inlineStr">
        <is>
          <t>020020</t>
        </is>
      </c>
      <c r="E2415" s="24" t="inlineStr">
        <is>
          <t>批复相关文档</t>
        </is>
      </c>
    </row>
    <row r="2416">
      <c r="B2416" s="24" t="inlineStr">
        <is>
          <t>Document</t>
        </is>
      </c>
      <c r="C2416" s="24" t="inlineStr">
        <is>
          <t>文档管理</t>
        </is>
      </c>
      <c r="D2416" s="24" t="inlineStr">
        <is>
          <t>020030</t>
        </is>
      </c>
      <c r="E2416" s="24" t="inlineStr">
        <is>
          <t>合同相关文档</t>
        </is>
      </c>
    </row>
    <row r="2417">
      <c r="B2417" s="24" t="inlineStr">
        <is>
          <t>Document</t>
        </is>
      </c>
      <c r="C2417" s="24" t="inlineStr">
        <is>
          <t>文档管理</t>
        </is>
      </c>
      <c r="D2417" s="24" t="inlineStr">
        <is>
          <t>030</t>
        </is>
      </c>
      <c r="E2417" s="24" t="inlineStr">
        <is>
          <t>资产保全相关文档</t>
        </is>
      </c>
    </row>
    <row r="2418">
      <c r="B2418" s="24" t="inlineStr">
        <is>
          <t>Document</t>
        </is>
      </c>
      <c r="C2418" s="24" t="inlineStr">
        <is>
          <t>文档管理</t>
        </is>
      </c>
      <c r="D2418" s="24" t="inlineStr">
        <is>
          <t>030010</t>
        </is>
      </c>
      <c r="E2418" s="24" t="inlineStr">
        <is>
          <t>重组方案相关文档</t>
        </is>
      </c>
    </row>
    <row r="2419">
      <c r="B2419" s="24" t="inlineStr">
        <is>
          <t>Document</t>
        </is>
      </c>
      <c r="C2419" s="24" t="inlineStr">
        <is>
          <t>文档管理</t>
        </is>
      </c>
      <c r="D2419" s="24" t="inlineStr">
        <is>
          <t>030020</t>
        </is>
      </c>
      <c r="E2419" s="24" t="inlineStr">
        <is>
          <t>法律诉讼相关文档</t>
        </is>
      </c>
    </row>
    <row r="2420">
      <c r="B2420" s="24" t="inlineStr">
        <is>
          <t>Document</t>
        </is>
      </c>
      <c r="C2420" s="24" t="inlineStr">
        <is>
          <t>文档管理</t>
        </is>
      </c>
      <c r="D2420" s="24" t="inlineStr">
        <is>
          <t>030030</t>
        </is>
      </c>
      <c r="E2420" s="24" t="inlineStr">
        <is>
          <t>抵债资产相关文档</t>
        </is>
      </c>
    </row>
    <row r="2421">
      <c r="B2421" s="24" t="inlineStr">
        <is>
          <t>Document</t>
        </is>
      </c>
      <c r="C2421" s="24" t="inlineStr">
        <is>
          <t>文档管理</t>
        </is>
      </c>
      <c r="D2421" s="24" t="inlineStr">
        <is>
          <t>040</t>
        </is>
      </c>
      <c r="E2421" s="24" t="inlineStr">
        <is>
          <t>其它文档</t>
        </is>
      </c>
    </row>
    <row r="2422" ht="15.95" customHeight="1" s="170">
      <c r="B2422" s="122" t="inlineStr">
        <is>
          <t>码值：ShiftType</t>
        </is>
      </c>
    </row>
    <row r="2423">
      <c r="B2423" s="24" t="inlineStr">
        <is>
          <t>ShiftType</t>
        </is>
      </c>
      <c r="C2423" s="24" t="inlineStr">
        <is>
          <t>移交类型</t>
        </is>
      </c>
      <c r="D2423" s="24" t="inlineStr">
        <is>
          <t>01</t>
        </is>
      </c>
      <c r="E2423" s="24" t="inlineStr">
        <is>
          <t>审批移交</t>
        </is>
      </c>
    </row>
    <row r="2424">
      <c r="B2424" s="24" t="inlineStr">
        <is>
          <t>ShiftType</t>
        </is>
      </c>
      <c r="C2424" s="24" t="inlineStr">
        <is>
          <t>移交类型</t>
        </is>
      </c>
      <c r="D2424" s="24" t="inlineStr">
        <is>
          <t>02</t>
        </is>
      </c>
      <c r="E2424" s="24" t="inlineStr">
        <is>
          <t>客户移交</t>
        </is>
      </c>
    </row>
    <row r="2425" ht="15.95" customHeight="1" s="170">
      <c r="B2425" s="122" t="inlineStr">
        <is>
          <t>码值：额度使用率</t>
        </is>
      </c>
    </row>
    <row r="2426">
      <c r="B2426" s="24" t="inlineStr">
        <is>
          <t>额度使用率</t>
        </is>
      </c>
      <c r="C2426" s="24" t="inlineStr">
        <is>
          <t>额度使用率</t>
        </is>
      </c>
      <c r="D2426" s="24" t="inlineStr">
        <is>
          <t>1</t>
        </is>
      </c>
      <c r="E2426" s="24" t="inlineStr">
        <is>
          <t>&gt;=0.9</t>
        </is>
      </c>
    </row>
    <row r="2427">
      <c r="B2427" s="24" t="inlineStr">
        <is>
          <t>额度使用率</t>
        </is>
      </c>
      <c r="C2427" s="24" t="inlineStr">
        <is>
          <t>额度使用率</t>
        </is>
      </c>
      <c r="D2427" s="24" t="inlineStr">
        <is>
          <t>2</t>
        </is>
      </c>
      <c r="E2427" s="24" t="inlineStr">
        <is>
          <t>(0.9,0.75]</t>
        </is>
      </c>
    </row>
    <row r="2428">
      <c r="B2428" s="24" t="inlineStr">
        <is>
          <t>额度使用率</t>
        </is>
      </c>
      <c r="C2428" s="24" t="inlineStr">
        <is>
          <t>额度使用率</t>
        </is>
      </c>
      <c r="D2428" s="24" t="inlineStr">
        <is>
          <t>3</t>
        </is>
      </c>
      <c r="E2428" s="24" t="inlineStr">
        <is>
          <t>(0.75,0.5]</t>
        </is>
      </c>
    </row>
    <row r="2429">
      <c r="B2429" s="24" t="inlineStr">
        <is>
          <t>额度使用率</t>
        </is>
      </c>
      <c r="C2429" s="24" t="inlineStr">
        <is>
          <t>额度使用率</t>
        </is>
      </c>
      <c r="D2429" s="24" t="inlineStr">
        <is>
          <t>4</t>
        </is>
      </c>
      <c r="E2429" s="24" t="inlineStr">
        <is>
          <t>&lt;=0.5</t>
        </is>
      </c>
    </row>
    <row r="2430" ht="15.95" customHeight="1" s="170">
      <c r="B2430" s="122" t="inlineStr">
        <is>
          <t>码值：GroupIrregularCheckMain</t>
        </is>
      </c>
    </row>
    <row r="2431">
      <c r="B2431" s="24" t="inlineStr">
        <is>
          <t>GroupIrregularCheckMain</t>
        </is>
      </c>
      <c r="C2431" s="24" t="inlineStr">
        <is>
          <t>集团公司客户不定期贷后检查申请</t>
        </is>
      </c>
      <c r="D2431" s="24" t="inlineStr">
        <is>
          <t>1010</t>
        </is>
      </c>
      <c r="E2431" s="24" t="inlineStr">
        <is>
          <t>待处理</t>
        </is>
      </c>
    </row>
    <row r="2432">
      <c r="B2432" s="24" t="inlineStr">
        <is>
          <t>GroupIrregularCheckMain</t>
        </is>
      </c>
      <c r="C2432" s="24" t="inlineStr">
        <is>
          <t>集团公司客户不定期贷后检查申请</t>
        </is>
      </c>
      <c r="D2432" s="24" t="inlineStr">
        <is>
          <t>1020</t>
        </is>
      </c>
      <c r="E2432" s="24" t="inlineStr">
        <is>
          <t>审批中</t>
        </is>
      </c>
    </row>
    <row r="2433">
      <c r="B2433" s="24" t="inlineStr">
        <is>
          <t>GroupIrregularCheckMain</t>
        </is>
      </c>
      <c r="C2433" s="24" t="inlineStr">
        <is>
          <t>集团公司客户不定期贷后检查申请</t>
        </is>
      </c>
      <c r="D2433" s="24" t="inlineStr">
        <is>
          <t>1040,1050</t>
        </is>
      </c>
      <c r="E2433" s="24" t="inlineStr">
        <is>
          <t>处理完成</t>
        </is>
      </c>
    </row>
    <row r="2434" ht="15.95" customHeight="1" s="170">
      <c r="B2434" s="122" t="inlineStr">
        <is>
          <t>码值：ParamDisplayTypeName</t>
        </is>
      </c>
    </row>
    <row r="2435">
      <c r="B2435" s="24" t="inlineStr">
        <is>
          <t>ParamDisplayTypeName</t>
        </is>
      </c>
      <c r="C2435" s="24" t="inlineStr">
        <is>
          <t>输入形式</t>
        </is>
      </c>
      <c r="D2435" s="24" t="inlineStr">
        <is>
          <t>HORIZONTAL_CHECKBOX</t>
        </is>
      </c>
      <c r="E2435" s="24" t="inlineStr">
        <is>
          <t>横向多选框</t>
        </is>
      </c>
    </row>
    <row r="2436">
      <c r="B2436" s="24" t="inlineStr">
        <is>
          <t>ParamDisplayTypeName</t>
        </is>
      </c>
      <c r="C2436" s="24" t="inlineStr">
        <is>
          <t>输入形式</t>
        </is>
      </c>
      <c r="D2436" s="24" t="inlineStr">
        <is>
          <t>HORIZONTAL_RADIO</t>
        </is>
      </c>
      <c r="E2436" s="24" t="inlineStr">
        <is>
          <t>横向单选按钮</t>
        </is>
      </c>
    </row>
    <row r="2437">
      <c r="B2437" s="24" t="inlineStr">
        <is>
          <t>ParamDisplayTypeName</t>
        </is>
      </c>
      <c r="C2437" s="24" t="inlineStr">
        <is>
          <t>输入形式</t>
        </is>
      </c>
      <c r="D2437" s="24" t="inlineStr">
        <is>
          <t>OTHER</t>
        </is>
      </c>
      <c r="E2437" s="24" t="inlineStr">
        <is>
          <t>其他</t>
        </is>
      </c>
    </row>
    <row r="2438">
      <c r="B2438" s="24" t="inlineStr">
        <is>
          <t>ParamDisplayTypeName</t>
        </is>
      </c>
      <c r="C2438" s="24" t="inlineStr">
        <is>
          <t>输入形式</t>
        </is>
      </c>
      <c r="D2438" s="24" t="inlineStr">
        <is>
          <t>SELECT</t>
        </is>
      </c>
      <c r="E2438" s="24" t="inlineStr">
        <is>
          <t>下拉框</t>
        </is>
      </c>
    </row>
    <row r="2439">
      <c r="B2439" s="24" t="inlineStr">
        <is>
          <t>ParamDisplayTypeName</t>
        </is>
      </c>
      <c r="C2439" s="24" t="inlineStr">
        <is>
          <t>输入形式</t>
        </is>
      </c>
      <c r="D2439" s="24" t="inlineStr">
        <is>
          <t>TABLE</t>
        </is>
      </c>
      <c r="E2439" s="24" t="inlineStr">
        <is>
          <t>表格</t>
        </is>
      </c>
    </row>
    <row r="2440">
      <c r="B2440" s="24" t="inlineStr">
        <is>
          <t>ParamDisplayTypeName</t>
        </is>
      </c>
      <c r="C2440" s="24" t="inlineStr">
        <is>
          <t>输入形式</t>
        </is>
      </c>
      <c r="D2440" s="24" t="inlineStr">
        <is>
          <t>TEXTAREA</t>
        </is>
      </c>
      <c r="E2440" s="24" t="inlineStr">
        <is>
          <t>文字区域</t>
        </is>
      </c>
    </row>
    <row r="2441">
      <c r="B2441" s="24" t="inlineStr">
        <is>
          <t>ParamDisplayTypeName</t>
        </is>
      </c>
      <c r="C2441" s="24" t="inlineStr">
        <is>
          <t>输入形式</t>
        </is>
      </c>
      <c r="D2441" s="24" t="inlineStr">
        <is>
          <t>VERTICAL_CHECKBOX</t>
        </is>
      </c>
      <c r="E2441" s="24" t="inlineStr">
        <is>
          <t>纵向多选框</t>
        </is>
      </c>
    </row>
    <row r="2442">
      <c r="B2442" s="24" t="inlineStr">
        <is>
          <t>ParamDisplayTypeName</t>
        </is>
      </c>
      <c r="C2442" s="24" t="inlineStr">
        <is>
          <t>输入形式</t>
        </is>
      </c>
      <c r="D2442" s="24" t="inlineStr">
        <is>
          <t>VERTICAL_RADIO</t>
        </is>
      </c>
      <c r="E2442" s="24" t="inlineStr">
        <is>
          <t>纵向单选按钮</t>
        </is>
      </c>
    </row>
    <row r="2443" ht="15.95" customHeight="1" s="170">
      <c r="B2443" s="122" t="inlineStr">
        <is>
          <t>码值：CounterpartyType</t>
        </is>
      </c>
    </row>
    <row r="2444">
      <c r="B2444" s="24" t="inlineStr">
        <is>
          <t>CounterpartyType</t>
        </is>
      </c>
      <c r="C2444" s="24" t="inlineStr">
        <is>
          <t>交易对手类型</t>
        </is>
      </c>
      <c r="D2444" s="24" t="inlineStr">
        <is>
          <t>01</t>
        </is>
      </c>
      <c r="E2444" s="24" t="inlineStr">
        <is>
          <t>境内同业-银行</t>
        </is>
      </c>
    </row>
    <row r="2445">
      <c r="B2445" s="24" t="inlineStr">
        <is>
          <t>CounterpartyType</t>
        </is>
      </c>
      <c r="C2445" s="24" t="inlineStr">
        <is>
          <t>交易对手类型</t>
        </is>
      </c>
      <c r="D2445" s="24" t="inlineStr">
        <is>
          <t>02</t>
        </is>
      </c>
      <c r="E2445" s="24" t="inlineStr">
        <is>
          <t>境内同业-非银行金融机构</t>
        </is>
      </c>
    </row>
    <row r="2446">
      <c r="B2446" s="24" t="inlineStr">
        <is>
          <t>CounterpartyType</t>
        </is>
      </c>
      <c r="C2446" s="24" t="inlineStr">
        <is>
          <t>交易对手类型</t>
        </is>
      </c>
      <c r="D2446" s="24" t="inlineStr">
        <is>
          <t>03</t>
        </is>
      </c>
      <c r="E2446" s="24" t="inlineStr">
        <is>
          <t>境内非同业-机构</t>
        </is>
      </c>
    </row>
    <row r="2447">
      <c r="B2447" s="24" t="inlineStr">
        <is>
          <t>CounterpartyType</t>
        </is>
      </c>
      <c r="C2447" s="24" t="inlineStr">
        <is>
          <t>交易对手类型</t>
        </is>
      </c>
      <c r="D2447" s="24" t="inlineStr">
        <is>
          <t>04</t>
        </is>
      </c>
      <c r="E2447" s="24" t="inlineStr">
        <is>
          <t>境内非同业-个体工商户</t>
        </is>
      </c>
    </row>
    <row r="2448">
      <c r="B2448" s="24" t="inlineStr">
        <is>
          <t>CounterpartyType</t>
        </is>
      </c>
      <c r="C2448" s="24" t="inlineStr">
        <is>
          <t>交易对手类型</t>
        </is>
      </c>
      <c r="D2448" s="24" t="inlineStr">
        <is>
          <t>05</t>
        </is>
      </c>
      <c r="E2448" s="24" t="inlineStr">
        <is>
          <t>境内非同业-个人</t>
        </is>
      </c>
    </row>
    <row r="2449">
      <c r="B2449" s="24" t="inlineStr">
        <is>
          <t>CounterpartyType</t>
        </is>
      </c>
      <c r="C2449" s="24" t="inlineStr">
        <is>
          <t>交易对手类型</t>
        </is>
      </c>
      <c r="D2449" s="24" t="inlineStr">
        <is>
          <t>06</t>
        </is>
      </c>
      <c r="E2449" s="24" t="inlineStr">
        <is>
          <t>境外</t>
        </is>
      </c>
    </row>
    <row r="2450">
      <c r="B2450" s="24" t="inlineStr">
        <is>
          <t>CounterpartyType</t>
        </is>
      </c>
      <c r="C2450" s="24" t="inlineStr">
        <is>
          <t>交易对手类型</t>
        </is>
      </c>
      <c r="D2450" s="24" t="inlineStr">
        <is>
          <t>07</t>
        </is>
      </c>
      <c r="E2450" s="24" t="inlineStr">
        <is>
          <t>行政事业单位</t>
        </is>
      </c>
    </row>
    <row r="2451" ht="15.95" customHeight="1" s="170">
      <c r="B2451" s="122" t="inlineStr">
        <is>
          <t>码值：FinanceDisposeView</t>
        </is>
      </c>
    </row>
    <row r="2452">
      <c r="B2452" s="24" t="inlineStr">
        <is>
          <t>FinanceDisposeView</t>
        </is>
      </c>
      <c r="C2452" s="24" t="inlineStr">
        <is>
          <t>财务报表配置树图</t>
        </is>
      </c>
      <c r="D2452" s="24" t="inlineStr">
        <is>
          <t>0010</t>
        </is>
      </c>
      <c r="E2452" s="24" t="inlineStr">
        <is>
          <t>财务报表配置</t>
        </is>
      </c>
    </row>
    <row r="2453">
      <c r="B2453" s="24" t="inlineStr">
        <is>
          <t>FinanceDisposeView</t>
        </is>
      </c>
      <c r="C2453" s="24" t="inlineStr">
        <is>
          <t>财务报表配置树图</t>
        </is>
      </c>
      <c r="D2453" s="24" t="inlineStr">
        <is>
          <t>0020</t>
        </is>
      </c>
      <c r="E2453" s="24" t="inlineStr">
        <is>
          <t>会计科目维护</t>
        </is>
      </c>
    </row>
    <row r="2454" ht="15.95" customHeight="1" s="170">
      <c r="B2454" s="122" t="inlineStr">
        <is>
          <t>码值：PLASTUSTATUS</t>
        </is>
      </c>
    </row>
    <row r="2455">
      <c r="B2455" s="24" t="inlineStr">
        <is>
          <t>PLASTUSTATUS</t>
        </is>
      </c>
      <c r="C2455" s="24" t="inlineStr">
        <is>
          <t>平面结构优劣度</t>
        </is>
      </c>
      <c r="D2455" s="24" t="inlineStr">
        <is>
          <t>01</t>
        </is>
      </c>
      <c r="E2455" s="24" t="inlineStr">
        <is>
          <t>合理</t>
        </is>
      </c>
    </row>
    <row r="2456">
      <c r="B2456" s="24" t="inlineStr">
        <is>
          <t>PLASTUSTATUS</t>
        </is>
      </c>
      <c r="C2456" s="24" t="inlineStr">
        <is>
          <t>平面结构优劣度</t>
        </is>
      </c>
      <c r="D2456" s="24" t="inlineStr">
        <is>
          <t>02</t>
        </is>
      </c>
      <c r="E2456" s="24" t="inlineStr">
        <is>
          <t>较合理</t>
        </is>
      </c>
    </row>
    <row r="2457">
      <c r="B2457" s="24" t="inlineStr">
        <is>
          <t>PLASTUSTATUS</t>
        </is>
      </c>
      <c r="C2457" s="24" t="inlineStr">
        <is>
          <t>平面结构优劣度</t>
        </is>
      </c>
      <c r="D2457" s="24" t="inlineStr">
        <is>
          <t>03</t>
        </is>
      </c>
      <c r="E2457" s="24" t="inlineStr">
        <is>
          <t>较不合理</t>
        </is>
      </c>
    </row>
    <row r="2458">
      <c r="B2458" s="24" t="inlineStr">
        <is>
          <t>PLASTUSTATUS</t>
        </is>
      </c>
      <c r="C2458" s="24" t="inlineStr">
        <is>
          <t>平面结构优劣度</t>
        </is>
      </c>
      <c r="D2458" s="24" t="inlineStr">
        <is>
          <t>04</t>
        </is>
      </c>
      <c r="E2458" s="24" t="inlineStr">
        <is>
          <t>不合理</t>
        </is>
      </c>
    </row>
    <row r="2459" ht="15.95" customHeight="1" s="170">
      <c r="B2459" s="122" t="inlineStr">
        <is>
          <t>码值：LocalGovernmentLevel</t>
        </is>
      </c>
    </row>
    <row r="2460">
      <c r="B2460" s="24" t="inlineStr">
        <is>
          <t>LocalGovernmentLevel</t>
        </is>
      </c>
      <c r="C2460" s="24" t="inlineStr">
        <is>
          <t>信用等级评估统一导入</t>
        </is>
      </c>
      <c r="D2460" s="24" t="inlineStr">
        <is>
          <t>01</t>
        </is>
      </c>
      <c r="E2460" s="24" t="inlineStr">
        <is>
          <t>直辖市</t>
        </is>
      </c>
    </row>
    <row r="2461">
      <c r="B2461" s="24" t="inlineStr">
        <is>
          <t>LocalGovernmentLevel</t>
        </is>
      </c>
      <c r="C2461" s="24" t="inlineStr">
        <is>
          <t>信用等级评估统一导入</t>
        </is>
      </c>
      <c r="D2461" s="24" t="inlineStr">
        <is>
          <t>02</t>
        </is>
      </c>
      <c r="E2461" s="24" t="inlineStr">
        <is>
          <t>副省级及省会城市</t>
        </is>
      </c>
    </row>
    <row r="2462">
      <c r="B2462" s="24" t="inlineStr">
        <is>
          <t>LocalGovernmentLevel</t>
        </is>
      </c>
      <c r="C2462" s="24" t="inlineStr">
        <is>
          <t>信用等级评估统一导入</t>
        </is>
      </c>
      <c r="D2462" s="24" t="inlineStr">
        <is>
          <t>03</t>
        </is>
      </c>
      <c r="E2462" s="24" t="inlineStr">
        <is>
          <t>地级市</t>
        </is>
      </c>
    </row>
    <row r="2463">
      <c r="B2463" s="24" t="inlineStr">
        <is>
          <t>LocalGovernmentLevel</t>
        </is>
      </c>
      <c r="C2463" s="24" t="inlineStr">
        <is>
          <t>信用等级评估统一导入</t>
        </is>
      </c>
      <c r="D2463" s="24" t="inlineStr">
        <is>
          <t>04</t>
        </is>
      </c>
      <c r="E2463" s="24" t="inlineStr">
        <is>
          <t>县级市</t>
        </is>
      </c>
    </row>
    <row r="2464">
      <c r="B2464" s="24" t="inlineStr">
        <is>
          <t>LocalGovernmentLevel</t>
        </is>
      </c>
      <c r="C2464" s="24" t="inlineStr">
        <is>
          <t>信用等级评估统一导入</t>
        </is>
      </c>
      <c r="D2464" s="24" t="inlineStr">
        <is>
          <t>05</t>
        </is>
      </c>
      <c r="E2464" s="24" t="inlineStr">
        <is>
          <t>乡镇政府</t>
        </is>
      </c>
    </row>
    <row r="2465" ht="15.95" customHeight="1" s="170">
      <c r="B2465" s="122" t="inlineStr">
        <is>
          <t>码值：RealtyAuthLevel</t>
        </is>
      </c>
    </row>
    <row r="2466">
      <c r="B2466" s="24" t="inlineStr">
        <is>
          <t>RealtyAuthLevel</t>
        </is>
      </c>
      <c r="C2466" s="24" t="inlineStr">
        <is>
          <t>合作方开发资质</t>
        </is>
      </c>
      <c r="D2466" s="24" t="inlineStr">
        <is>
          <t>01</t>
        </is>
      </c>
      <c r="E2466" s="24" t="inlineStr">
        <is>
          <t>一级</t>
        </is>
      </c>
    </row>
    <row r="2467">
      <c r="B2467" s="24" t="inlineStr">
        <is>
          <t>RealtyAuthLevel</t>
        </is>
      </c>
      <c r="C2467" s="24" t="inlineStr">
        <is>
          <t>合作方开发资质</t>
        </is>
      </c>
      <c r="D2467" s="24" t="inlineStr">
        <is>
          <t>02</t>
        </is>
      </c>
      <c r="E2467" s="24" t="inlineStr">
        <is>
          <t>二级</t>
        </is>
      </c>
    </row>
    <row r="2468">
      <c r="B2468" s="24" t="inlineStr">
        <is>
          <t>RealtyAuthLevel</t>
        </is>
      </c>
      <c r="C2468" s="24" t="inlineStr">
        <is>
          <t>合作方开发资质</t>
        </is>
      </c>
      <c r="D2468" s="24" t="inlineStr">
        <is>
          <t>03</t>
        </is>
      </c>
      <c r="E2468" s="24" t="inlineStr">
        <is>
          <t>三级</t>
        </is>
      </c>
    </row>
    <row r="2469" ht="15.95" customHeight="1" s="170">
      <c r="B2469" s="122" t="inlineStr">
        <is>
          <t>码值：Currency</t>
        </is>
      </c>
    </row>
    <row r="2470">
      <c r="B2470" s="24" t="inlineStr">
        <is>
          <t>Currency</t>
        </is>
      </c>
      <c r="C2470" s="24" t="inlineStr">
        <is>
          <t>币种</t>
        </is>
      </c>
      <c r="D2470" s="24" t="inlineStr">
        <is>
          <t>AED</t>
        </is>
      </c>
      <c r="E2470" s="24" t="inlineStr">
        <is>
          <t>阿联酋迪拉姆</t>
        </is>
      </c>
    </row>
    <row r="2471">
      <c r="B2471" s="24" t="inlineStr">
        <is>
          <t>Currency</t>
        </is>
      </c>
      <c r="C2471" s="24" t="inlineStr">
        <is>
          <t>币种</t>
        </is>
      </c>
      <c r="D2471" s="24" t="inlineStr">
        <is>
          <t>ALL</t>
        </is>
      </c>
      <c r="E2471" s="24" t="inlineStr">
        <is>
          <t>阿尔尼亚列克</t>
        </is>
      </c>
    </row>
    <row r="2472">
      <c r="B2472" s="24" t="inlineStr">
        <is>
          <t>Currency</t>
        </is>
      </c>
      <c r="C2472" s="24" t="inlineStr">
        <is>
          <t>币种</t>
        </is>
      </c>
      <c r="D2472" s="24" t="inlineStr">
        <is>
          <t>ATS</t>
        </is>
      </c>
      <c r="E2472" s="24" t="inlineStr">
        <is>
          <t>奥地利先令</t>
        </is>
      </c>
    </row>
    <row r="2473">
      <c r="B2473" s="24" t="inlineStr">
        <is>
          <t>Currency</t>
        </is>
      </c>
      <c r="C2473" s="24" t="inlineStr">
        <is>
          <t>币种</t>
        </is>
      </c>
      <c r="D2473" s="24" t="inlineStr">
        <is>
          <t>AUD</t>
        </is>
      </c>
      <c r="E2473" s="24" t="inlineStr">
        <is>
          <t>澳大利亚元</t>
        </is>
      </c>
    </row>
    <row r="2474">
      <c r="B2474" s="24" t="inlineStr">
        <is>
          <t>Currency</t>
        </is>
      </c>
      <c r="C2474" s="24" t="inlineStr">
        <is>
          <t>币种</t>
        </is>
      </c>
      <c r="D2474" s="24" t="inlineStr">
        <is>
          <t>BDT</t>
        </is>
      </c>
      <c r="E2474" s="24" t="inlineStr">
        <is>
          <t>孟加拉国塔卡</t>
        </is>
      </c>
    </row>
    <row r="2475">
      <c r="B2475" s="24" t="inlineStr">
        <is>
          <t>Currency</t>
        </is>
      </c>
      <c r="C2475" s="24" t="inlineStr">
        <is>
          <t>币种</t>
        </is>
      </c>
      <c r="D2475" s="24" t="inlineStr">
        <is>
          <t>BEF</t>
        </is>
      </c>
      <c r="E2475" s="24" t="inlineStr">
        <is>
          <t>比利时法郎</t>
        </is>
      </c>
    </row>
    <row r="2476">
      <c r="B2476" s="24" t="inlineStr">
        <is>
          <t>Currency</t>
        </is>
      </c>
      <c r="C2476" s="24" t="inlineStr">
        <is>
          <t>币种</t>
        </is>
      </c>
      <c r="D2476" s="24" t="inlineStr">
        <is>
          <t>BGL</t>
        </is>
      </c>
      <c r="E2476" s="24" t="inlineStr">
        <is>
          <t>保加利亚列瓦</t>
        </is>
      </c>
    </row>
    <row r="2477">
      <c r="B2477" s="24" t="inlineStr">
        <is>
          <t>Currency</t>
        </is>
      </c>
      <c r="C2477" s="24" t="inlineStr">
        <is>
          <t>币种</t>
        </is>
      </c>
      <c r="D2477" s="24" t="inlineStr">
        <is>
          <t>BHD</t>
        </is>
      </c>
      <c r="E2477" s="24" t="inlineStr">
        <is>
          <t>巴林第纳尔</t>
        </is>
      </c>
    </row>
    <row r="2478">
      <c r="B2478" s="24" t="inlineStr">
        <is>
          <t>Currency</t>
        </is>
      </c>
      <c r="C2478" s="24" t="inlineStr">
        <is>
          <t>币种</t>
        </is>
      </c>
      <c r="D2478" s="24" t="inlineStr">
        <is>
          <t>BIF</t>
        </is>
      </c>
      <c r="E2478" s="24" t="inlineStr">
        <is>
          <t>布隆迪法郎</t>
        </is>
      </c>
    </row>
    <row r="2479">
      <c r="B2479" s="24" t="inlineStr">
        <is>
          <t>Currency</t>
        </is>
      </c>
      <c r="C2479" s="24" t="inlineStr">
        <is>
          <t>币种</t>
        </is>
      </c>
      <c r="D2479" s="24" t="inlineStr">
        <is>
          <t>BRL</t>
        </is>
      </c>
      <c r="E2479" s="24" t="inlineStr">
        <is>
          <t>巴西里亚尔</t>
        </is>
      </c>
    </row>
    <row r="2480">
      <c r="B2480" s="24" t="inlineStr">
        <is>
          <t>Currency</t>
        </is>
      </c>
      <c r="C2480" s="24" t="inlineStr">
        <is>
          <t>币种</t>
        </is>
      </c>
      <c r="D2480" s="24" t="inlineStr">
        <is>
          <t>BUK</t>
        </is>
      </c>
      <c r="E2480" s="24" t="inlineStr">
        <is>
          <t>缅甸币</t>
        </is>
      </c>
    </row>
    <row r="2481">
      <c r="B2481" s="24" t="inlineStr">
        <is>
          <t>Currency</t>
        </is>
      </c>
      <c r="C2481" s="24" t="inlineStr">
        <is>
          <t>币种</t>
        </is>
      </c>
      <c r="D2481" s="24" t="inlineStr">
        <is>
          <t>BWP</t>
        </is>
      </c>
      <c r="E2481" s="24" t="inlineStr">
        <is>
          <t>博茨瓦纳普拉</t>
        </is>
      </c>
    </row>
    <row r="2482">
      <c r="B2482" s="24" t="inlineStr">
        <is>
          <t>Currency</t>
        </is>
      </c>
      <c r="C2482" s="24" t="inlineStr">
        <is>
          <t>币种</t>
        </is>
      </c>
      <c r="D2482" s="24" t="inlineStr">
        <is>
          <t>CAD</t>
        </is>
      </c>
      <c r="E2482" s="24" t="inlineStr">
        <is>
          <t>加拿大元</t>
        </is>
      </c>
    </row>
    <row r="2483">
      <c r="B2483" s="24" t="inlineStr">
        <is>
          <t>Currency</t>
        </is>
      </c>
      <c r="C2483" s="24" t="inlineStr">
        <is>
          <t>币种</t>
        </is>
      </c>
      <c r="D2483" s="24" t="inlineStr">
        <is>
          <t>CFC</t>
        </is>
      </c>
      <c r="E2483" s="24" t="inlineStr">
        <is>
          <t>记帐法国法郎</t>
        </is>
      </c>
    </row>
    <row r="2484">
      <c r="B2484" s="24" t="inlineStr">
        <is>
          <t>Currency</t>
        </is>
      </c>
      <c r="C2484" s="24" t="inlineStr">
        <is>
          <t>币种</t>
        </is>
      </c>
      <c r="D2484" s="24" t="inlineStr">
        <is>
          <t>CHF</t>
        </is>
      </c>
      <c r="E2484" s="24" t="inlineStr">
        <is>
          <t>瑞士法郎</t>
        </is>
      </c>
    </row>
    <row r="2485">
      <c r="B2485" s="24" t="inlineStr">
        <is>
          <t>Currency</t>
        </is>
      </c>
      <c r="C2485" s="24" t="inlineStr">
        <is>
          <t>币种</t>
        </is>
      </c>
      <c r="D2485" s="24" t="inlineStr">
        <is>
          <t>CNY</t>
        </is>
      </c>
      <c r="E2485" s="24" t="inlineStr">
        <is>
          <t>人民币</t>
        </is>
      </c>
    </row>
    <row r="2486">
      <c r="B2486" s="24" t="inlineStr">
        <is>
          <t>Currency</t>
        </is>
      </c>
      <c r="C2486" s="24" t="inlineStr">
        <is>
          <t>币种</t>
        </is>
      </c>
      <c r="D2486" s="24" t="inlineStr">
        <is>
          <t>CPS</t>
        </is>
      </c>
      <c r="E2486" s="24" t="inlineStr">
        <is>
          <t>记帐英镑</t>
        </is>
      </c>
    </row>
    <row r="2487">
      <c r="B2487" s="24" t="inlineStr">
        <is>
          <t>Currency</t>
        </is>
      </c>
      <c r="C2487" s="24" t="inlineStr">
        <is>
          <t>币种</t>
        </is>
      </c>
      <c r="D2487" s="24" t="inlineStr">
        <is>
          <t>CSF</t>
        </is>
      </c>
      <c r="E2487" s="24" t="inlineStr">
        <is>
          <t>记帐瑞士法郎</t>
        </is>
      </c>
    </row>
    <row r="2488">
      <c r="B2488" s="24" t="inlineStr">
        <is>
          <t>Currency</t>
        </is>
      </c>
      <c r="C2488" s="24" t="inlineStr">
        <is>
          <t>币种</t>
        </is>
      </c>
      <c r="D2488" s="24" t="inlineStr">
        <is>
          <t>CSK</t>
        </is>
      </c>
      <c r="E2488" s="24" t="inlineStr">
        <is>
          <t>捷克克朗</t>
        </is>
      </c>
    </row>
    <row r="2489">
      <c r="B2489" s="24" t="inlineStr">
        <is>
          <t>Currency</t>
        </is>
      </c>
      <c r="C2489" s="24" t="inlineStr">
        <is>
          <t>币种</t>
        </is>
      </c>
      <c r="D2489" s="24" t="inlineStr">
        <is>
          <t>CUR</t>
        </is>
      </c>
      <c r="E2489" s="24" t="inlineStr">
        <is>
          <t>清算卢布</t>
        </is>
      </c>
    </row>
    <row r="2490">
      <c r="B2490" s="24" t="inlineStr">
        <is>
          <t>Currency</t>
        </is>
      </c>
      <c r="C2490" s="24" t="inlineStr">
        <is>
          <t>币种</t>
        </is>
      </c>
      <c r="D2490" s="24" t="inlineStr">
        <is>
          <t>CUS</t>
        </is>
      </c>
      <c r="E2490" s="24" t="inlineStr">
        <is>
          <t>记帐美元</t>
        </is>
      </c>
    </row>
    <row r="2491">
      <c r="B2491" s="24" t="inlineStr">
        <is>
          <t>Currency</t>
        </is>
      </c>
      <c r="C2491" s="24" t="inlineStr">
        <is>
          <t>币种</t>
        </is>
      </c>
      <c r="D2491" s="24" t="inlineStr">
        <is>
          <t>CYP</t>
        </is>
      </c>
      <c r="E2491" s="24" t="inlineStr">
        <is>
          <t>塞浦路斯镑</t>
        </is>
      </c>
    </row>
    <row r="2492">
      <c r="B2492" s="24" t="inlineStr">
        <is>
          <t>Currency</t>
        </is>
      </c>
      <c r="C2492" s="24" t="inlineStr">
        <is>
          <t>币种</t>
        </is>
      </c>
      <c r="D2492" s="24" t="inlineStr">
        <is>
          <t>DEM</t>
        </is>
      </c>
      <c r="E2492" s="24" t="inlineStr">
        <is>
          <t>德国马克</t>
        </is>
      </c>
    </row>
    <row r="2493">
      <c r="B2493" s="24" t="inlineStr">
        <is>
          <t>Currency</t>
        </is>
      </c>
      <c r="C2493" s="24" t="inlineStr">
        <is>
          <t>币种</t>
        </is>
      </c>
      <c r="D2493" s="24" t="inlineStr">
        <is>
          <t>DKK</t>
        </is>
      </c>
      <c r="E2493" s="24" t="inlineStr">
        <is>
          <t>丹麦克朗</t>
        </is>
      </c>
    </row>
    <row r="2494">
      <c r="B2494" s="24" t="inlineStr">
        <is>
          <t>Currency</t>
        </is>
      </c>
      <c r="C2494" s="24" t="inlineStr">
        <is>
          <t>币种</t>
        </is>
      </c>
      <c r="D2494" s="24" t="inlineStr">
        <is>
          <t>DZD</t>
        </is>
      </c>
      <c r="E2494" s="24" t="inlineStr">
        <is>
          <t>阿尔及利亚第纳</t>
        </is>
      </c>
    </row>
    <row r="2495">
      <c r="B2495" s="24" t="inlineStr">
        <is>
          <t>Currency</t>
        </is>
      </c>
      <c r="C2495" s="24" t="inlineStr">
        <is>
          <t>币种</t>
        </is>
      </c>
      <c r="D2495" s="24" t="inlineStr">
        <is>
          <t>EGP</t>
        </is>
      </c>
      <c r="E2495" s="24" t="inlineStr">
        <is>
          <t>埃及镑</t>
        </is>
      </c>
    </row>
    <row r="2496">
      <c r="B2496" s="24" t="inlineStr">
        <is>
          <t>Currency</t>
        </is>
      </c>
      <c r="C2496" s="24" t="inlineStr">
        <is>
          <t>币种</t>
        </is>
      </c>
      <c r="D2496" s="24" t="inlineStr">
        <is>
          <t>ESP</t>
        </is>
      </c>
      <c r="E2496" s="24" t="inlineStr">
        <is>
          <t>西班牙比塞塔</t>
        </is>
      </c>
    </row>
    <row r="2497">
      <c r="B2497" s="24" t="inlineStr">
        <is>
          <t>Currency</t>
        </is>
      </c>
      <c r="C2497" s="24" t="inlineStr">
        <is>
          <t>币种</t>
        </is>
      </c>
      <c r="D2497" s="24" t="inlineStr">
        <is>
          <t>ETB</t>
        </is>
      </c>
      <c r="E2497" s="24" t="inlineStr">
        <is>
          <t>埃塞俄比亚比尔</t>
        </is>
      </c>
    </row>
    <row r="2498">
      <c r="B2498" s="24" t="inlineStr">
        <is>
          <t>Currency</t>
        </is>
      </c>
      <c r="C2498" s="24" t="inlineStr">
        <is>
          <t>币种</t>
        </is>
      </c>
      <c r="D2498" s="24" t="inlineStr">
        <is>
          <t>EUR</t>
        </is>
      </c>
      <c r="E2498" s="24" t="inlineStr">
        <is>
          <t>欧元</t>
        </is>
      </c>
    </row>
    <row r="2499">
      <c r="B2499" s="24" t="inlineStr">
        <is>
          <t>Currency</t>
        </is>
      </c>
      <c r="C2499" s="24" t="inlineStr">
        <is>
          <t>币种</t>
        </is>
      </c>
      <c r="D2499" s="24" t="inlineStr">
        <is>
          <t>FIM</t>
        </is>
      </c>
      <c r="E2499" s="24" t="inlineStr">
        <is>
          <t>芬兰马克</t>
        </is>
      </c>
    </row>
    <row r="2500">
      <c r="B2500" s="24" t="inlineStr">
        <is>
          <t>Currency</t>
        </is>
      </c>
      <c r="C2500" s="24" t="inlineStr">
        <is>
          <t>币种</t>
        </is>
      </c>
      <c r="D2500" s="24" t="inlineStr">
        <is>
          <t>FRF</t>
        </is>
      </c>
      <c r="E2500" s="24" t="inlineStr">
        <is>
          <t>法国法郎</t>
        </is>
      </c>
    </row>
    <row r="2501">
      <c r="B2501" s="24" t="inlineStr">
        <is>
          <t>Currency</t>
        </is>
      </c>
      <c r="C2501" s="24" t="inlineStr">
        <is>
          <t>币种</t>
        </is>
      </c>
      <c r="D2501" s="24" t="inlineStr">
        <is>
          <t>GBP</t>
        </is>
      </c>
      <c r="E2501" s="24" t="inlineStr">
        <is>
          <t>英镑</t>
        </is>
      </c>
    </row>
    <row r="2502">
      <c r="B2502" s="24" t="inlineStr">
        <is>
          <t>Currency</t>
        </is>
      </c>
      <c r="C2502" s="24" t="inlineStr">
        <is>
          <t>币种</t>
        </is>
      </c>
      <c r="D2502" s="24" t="inlineStr">
        <is>
          <t>GHC</t>
        </is>
      </c>
      <c r="E2502" s="24" t="inlineStr">
        <is>
          <t>加纳塞地</t>
        </is>
      </c>
    </row>
    <row r="2503">
      <c r="B2503" s="24" t="inlineStr">
        <is>
          <t>Currency</t>
        </is>
      </c>
      <c r="C2503" s="24" t="inlineStr">
        <is>
          <t>币种</t>
        </is>
      </c>
      <c r="D2503" s="24" t="inlineStr">
        <is>
          <t>GNS</t>
        </is>
      </c>
      <c r="E2503" s="24" t="inlineStr">
        <is>
          <t>几内亚西里</t>
        </is>
      </c>
    </row>
    <row r="2504">
      <c r="B2504" s="24" t="inlineStr">
        <is>
          <t>Currency</t>
        </is>
      </c>
      <c r="C2504" s="24" t="inlineStr">
        <is>
          <t>币种</t>
        </is>
      </c>
      <c r="D2504" s="24" t="inlineStr">
        <is>
          <t>GRD</t>
        </is>
      </c>
      <c r="E2504" s="24" t="inlineStr">
        <is>
          <t>希腊德拉马克</t>
        </is>
      </c>
    </row>
    <row r="2505">
      <c r="B2505" s="24" t="inlineStr">
        <is>
          <t>Currency</t>
        </is>
      </c>
      <c r="C2505" s="24" t="inlineStr">
        <is>
          <t>币种</t>
        </is>
      </c>
      <c r="D2505" s="24" t="inlineStr">
        <is>
          <t>HKD</t>
        </is>
      </c>
      <c r="E2505" s="24" t="inlineStr">
        <is>
          <t>港币</t>
        </is>
      </c>
    </row>
    <row r="2506">
      <c r="B2506" s="24" t="inlineStr">
        <is>
          <t>Currency</t>
        </is>
      </c>
      <c r="C2506" s="24" t="inlineStr">
        <is>
          <t>币种</t>
        </is>
      </c>
      <c r="D2506" s="24" t="inlineStr">
        <is>
          <t>HUF</t>
        </is>
      </c>
      <c r="E2506" s="24" t="inlineStr">
        <is>
          <t>匈牙利福林</t>
        </is>
      </c>
    </row>
    <row r="2507">
      <c r="B2507" s="24" t="inlineStr">
        <is>
          <t>Currency</t>
        </is>
      </c>
      <c r="C2507" s="24" t="inlineStr">
        <is>
          <t>币种</t>
        </is>
      </c>
      <c r="D2507" s="24" t="inlineStr">
        <is>
          <t>IDR</t>
        </is>
      </c>
      <c r="E2507" s="24" t="inlineStr">
        <is>
          <t>印度尼西亚卢比</t>
        </is>
      </c>
    </row>
    <row r="2508">
      <c r="B2508" s="24" t="inlineStr">
        <is>
          <t>Currency</t>
        </is>
      </c>
      <c r="C2508" s="24" t="inlineStr">
        <is>
          <t>币种</t>
        </is>
      </c>
      <c r="D2508" s="24" t="inlineStr">
        <is>
          <t>INR</t>
        </is>
      </c>
      <c r="E2508" s="24" t="inlineStr">
        <is>
          <t>印度罗比</t>
        </is>
      </c>
    </row>
    <row r="2509">
      <c r="B2509" s="24" t="inlineStr">
        <is>
          <t>Currency</t>
        </is>
      </c>
      <c r="C2509" s="24" t="inlineStr">
        <is>
          <t>币种</t>
        </is>
      </c>
      <c r="D2509" s="24" t="inlineStr">
        <is>
          <t>IQD</t>
        </is>
      </c>
      <c r="E2509" s="24" t="inlineStr">
        <is>
          <t>伊拉克地纳尔</t>
        </is>
      </c>
    </row>
    <row r="2510">
      <c r="B2510" s="24" t="inlineStr">
        <is>
          <t>Currency</t>
        </is>
      </c>
      <c r="C2510" s="24" t="inlineStr">
        <is>
          <t>币种</t>
        </is>
      </c>
      <c r="D2510" s="24" t="inlineStr">
        <is>
          <t>IRR</t>
        </is>
      </c>
      <c r="E2510" s="24" t="inlineStr">
        <is>
          <t>伊朗里亚尔</t>
        </is>
      </c>
    </row>
    <row r="2511">
      <c r="B2511" s="24" t="inlineStr">
        <is>
          <t>Currency</t>
        </is>
      </c>
      <c r="C2511" s="24" t="inlineStr">
        <is>
          <t>币种</t>
        </is>
      </c>
      <c r="D2511" s="24" t="inlineStr">
        <is>
          <t>ITL</t>
        </is>
      </c>
      <c r="E2511" s="24" t="inlineStr">
        <is>
          <t>意大利里拉</t>
        </is>
      </c>
    </row>
    <row r="2512">
      <c r="B2512" s="24" t="inlineStr">
        <is>
          <t>Currency</t>
        </is>
      </c>
      <c r="C2512" s="24" t="inlineStr">
        <is>
          <t>币种</t>
        </is>
      </c>
      <c r="D2512" s="24" t="inlineStr">
        <is>
          <t>JOD</t>
        </is>
      </c>
      <c r="E2512" s="24" t="inlineStr">
        <is>
          <t>约旦第纳尔</t>
        </is>
      </c>
    </row>
    <row r="2513">
      <c r="B2513" s="24" t="inlineStr">
        <is>
          <t>Currency</t>
        </is>
      </c>
      <c r="C2513" s="24" t="inlineStr">
        <is>
          <t>币种</t>
        </is>
      </c>
      <c r="D2513" s="24" t="inlineStr">
        <is>
          <t>JPY</t>
        </is>
      </c>
      <c r="E2513" s="24" t="inlineStr">
        <is>
          <t>日元</t>
        </is>
      </c>
    </row>
    <row r="2514">
      <c r="B2514" s="24" t="inlineStr">
        <is>
          <t>Currency</t>
        </is>
      </c>
      <c r="C2514" s="24" t="inlineStr">
        <is>
          <t>币种</t>
        </is>
      </c>
      <c r="D2514" s="24" t="inlineStr">
        <is>
          <t>KES</t>
        </is>
      </c>
      <c r="E2514" s="24" t="inlineStr">
        <is>
          <t>肯尼亚先令</t>
        </is>
      </c>
    </row>
    <row r="2515">
      <c r="B2515" s="24" t="inlineStr">
        <is>
          <t>Currency</t>
        </is>
      </c>
      <c r="C2515" s="24" t="inlineStr">
        <is>
          <t>币种</t>
        </is>
      </c>
      <c r="D2515" s="24" t="inlineStr">
        <is>
          <t>KPW</t>
        </is>
      </c>
      <c r="E2515" s="24" t="inlineStr">
        <is>
          <t>朝鲜币</t>
        </is>
      </c>
    </row>
    <row r="2516">
      <c r="B2516" s="24" t="inlineStr">
        <is>
          <t>Currency</t>
        </is>
      </c>
      <c r="C2516" s="24" t="inlineStr">
        <is>
          <t>币种</t>
        </is>
      </c>
      <c r="D2516" s="24" t="inlineStr">
        <is>
          <t>KRW</t>
        </is>
      </c>
      <c r="E2516" s="24" t="inlineStr">
        <is>
          <t>韩元</t>
        </is>
      </c>
    </row>
    <row r="2517">
      <c r="B2517" s="24" t="inlineStr">
        <is>
          <t>Currency</t>
        </is>
      </c>
      <c r="C2517" s="24" t="inlineStr">
        <is>
          <t>币种</t>
        </is>
      </c>
      <c r="D2517" s="24" t="inlineStr">
        <is>
          <t>KWD</t>
        </is>
      </c>
      <c r="E2517" s="24" t="inlineStr">
        <is>
          <t>科威特第纳尔</t>
        </is>
      </c>
    </row>
    <row r="2518">
      <c r="B2518" s="24" t="inlineStr">
        <is>
          <t>Currency</t>
        </is>
      </c>
      <c r="C2518" s="24" t="inlineStr">
        <is>
          <t>币种</t>
        </is>
      </c>
      <c r="D2518" s="24" t="inlineStr">
        <is>
          <t>LKR</t>
        </is>
      </c>
      <c r="E2518" s="24" t="inlineStr">
        <is>
          <t>斯里兰卡卢比</t>
        </is>
      </c>
    </row>
    <row r="2519">
      <c r="B2519" s="24" t="inlineStr">
        <is>
          <t>Currency</t>
        </is>
      </c>
      <c r="C2519" s="24" t="inlineStr">
        <is>
          <t>币种</t>
        </is>
      </c>
      <c r="D2519" s="24" t="inlineStr">
        <is>
          <t>LYD</t>
        </is>
      </c>
      <c r="E2519" s="24" t="inlineStr">
        <is>
          <t>利比亚第纳尔</t>
        </is>
      </c>
    </row>
    <row r="2520">
      <c r="B2520" s="24" t="inlineStr">
        <is>
          <t>Currency</t>
        </is>
      </c>
      <c r="C2520" s="24" t="inlineStr">
        <is>
          <t>币种</t>
        </is>
      </c>
      <c r="D2520" s="24" t="inlineStr">
        <is>
          <t>MAD</t>
        </is>
      </c>
      <c r="E2520" s="24" t="inlineStr">
        <is>
          <t>摩洛哥地拉姆</t>
        </is>
      </c>
    </row>
    <row r="2521">
      <c r="B2521" s="24" t="inlineStr">
        <is>
          <t>Currency</t>
        </is>
      </c>
      <c r="C2521" s="24" t="inlineStr">
        <is>
          <t>币种</t>
        </is>
      </c>
      <c r="D2521" s="24" t="inlineStr">
        <is>
          <t>MGF</t>
        </is>
      </c>
      <c r="E2521" s="24" t="inlineStr">
        <is>
          <t>马达加斯加法郎</t>
        </is>
      </c>
    </row>
    <row r="2522">
      <c r="B2522" s="24" t="inlineStr">
        <is>
          <t>Currency</t>
        </is>
      </c>
      <c r="C2522" s="24" t="inlineStr">
        <is>
          <t>币种</t>
        </is>
      </c>
      <c r="D2522" s="24" t="inlineStr">
        <is>
          <t>MLF</t>
        </is>
      </c>
      <c r="E2522" s="24" t="inlineStr">
        <is>
          <t>马里法郎</t>
        </is>
      </c>
    </row>
    <row r="2523">
      <c r="B2523" s="24" t="inlineStr">
        <is>
          <t>Currency</t>
        </is>
      </c>
      <c r="C2523" s="24" t="inlineStr">
        <is>
          <t>币种</t>
        </is>
      </c>
      <c r="D2523" s="24" t="inlineStr">
        <is>
          <t>MNT</t>
        </is>
      </c>
      <c r="E2523" s="24" t="inlineStr">
        <is>
          <t>蒙古图格里克</t>
        </is>
      </c>
    </row>
    <row r="2524">
      <c r="B2524" s="24" t="inlineStr">
        <is>
          <t>Currency</t>
        </is>
      </c>
      <c r="C2524" s="24" t="inlineStr">
        <is>
          <t>币种</t>
        </is>
      </c>
      <c r="D2524" s="24" t="inlineStr">
        <is>
          <t>MOP</t>
        </is>
      </c>
      <c r="E2524" s="24" t="inlineStr">
        <is>
          <t>澳门元</t>
        </is>
      </c>
    </row>
    <row r="2525">
      <c r="B2525" s="24" t="inlineStr">
        <is>
          <t>Currency</t>
        </is>
      </c>
      <c r="C2525" s="24" t="inlineStr">
        <is>
          <t>币种</t>
        </is>
      </c>
      <c r="D2525" s="24" t="inlineStr">
        <is>
          <t>MUR</t>
        </is>
      </c>
      <c r="E2525" s="24" t="inlineStr">
        <is>
          <t>毛里求斯卢比</t>
        </is>
      </c>
    </row>
    <row r="2526">
      <c r="B2526" s="24" t="inlineStr">
        <is>
          <t>Currency</t>
        </is>
      </c>
      <c r="C2526" s="24" t="inlineStr">
        <is>
          <t>币种</t>
        </is>
      </c>
      <c r="D2526" s="24" t="inlineStr">
        <is>
          <t>MXP</t>
        </is>
      </c>
      <c r="E2526" s="24" t="inlineStr">
        <is>
          <t>墨西哥比索</t>
        </is>
      </c>
    </row>
    <row r="2527">
      <c r="B2527" s="24" t="inlineStr">
        <is>
          <t>Currency</t>
        </is>
      </c>
      <c r="C2527" s="24" t="inlineStr">
        <is>
          <t>币种</t>
        </is>
      </c>
      <c r="D2527" s="24" t="inlineStr">
        <is>
          <t>MYR</t>
        </is>
      </c>
      <c r="E2527" s="24" t="inlineStr">
        <is>
          <t>马来西亚林吉特</t>
        </is>
      </c>
    </row>
    <row r="2528">
      <c r="B2528" s="24" t="inlineStr">
        <is>
          <t>Currency</t>
        </is>
      </c>
      <c r="C2528" s="24" t="inlineStr">
        <is>
          <t>币种</t>
        </is>
      </c>
      <c r="D2528" s="24" t="inlineStr">
        <is>
          <t>NGN</t>
        </is>
      </c>
      <c r="E2528" s="24" t="inlineStr">
        <is>
          <t>尼日利亚奈拉</t>
        </is>
      </c>
    </row>
    <row r="2529">
      <c r="B2529" s="24" t="inlineStr">
        <is>
          <t>Currency</t>
        </is>
      </c>
      <c r="C2529" s="24" t="inlineStr">
        <is>
          <t>币种</t>
        </is>
      </c>
      <c r="D2529" s="24" t="inlineStr">
        <is>
          <t>NLG</t>
        </is>
      </c>
      <c r="E2529" s="24" t="inlineStr">
        <is>
          <t>荷兰盾</t>
        </is>
      </c>
    </row>
    <row r="2530">
      <c r="B2530" s="24" t="inlineStr">
        <is>
          <t>Currency</t>
        </is>
      </c>
      <c r="C2530" s="24" t="inlineStr">
        <is>
          <t>币种</t>
        </is>
      </c>
      <c r="D2530" s="24" t="inlineStr">
        <is>
          <t>NOK</t>
        </is>
      </c>
      <c r="E2530" s="24" t="inlineStr">
        <is>
          <t>挪威克朗</t>
        </is>
      </c>
    </row>
    <row r="2531">
      <c r="B2531" s="24" t="inlineStr">
        <is>
          <t>Currency</t>
        </is>
      </c>
      <c r="C2531" s="24" t="inlineStr">
        <is>
          <t>币种</t>
        </is>
      </c>
      <c r="D2531" s="24" t="inlineStr">
        <is>
          <t>NPR</t>
        </is>
      </c>
      <c r="E2531" s="24" t="inlineStr">
        <is>
          <t>尼泊尔卢比</t>
        </is>
      </c>
    </row>
    <row r="2532">
      <c r="B2532" s="24" t="inlineStr">
        <is>
          <t>Currency</t>
        </is>
      </c>
      <c r="C2532" s="24" t="inlineStr">
        <is>
          <t>币种</t>
        </is>
      </c>
      <c r="D2532" s="24" t="inlineStr">
        <is>
          <t>NZD</t>
        </is>
      </c>
      <c r="E2532" s="24" t="inlineStr">
        <is>
          <t>新西兰元</t>
        </is>
      </c>
    </row>
    <row r="2533">
      <c r="B2533" s="24" t="inlineStr">
        <is>
          <t>Currency</t>
        </is>
      </c>
      <c r="C2533" s="24" t="inlineStr">
        <is>
          <t>币种</t>
        </is>
      </c>
      <c r="D2533" s="24" t="inlineStr">
        <is>
          <t>PGK</t>
        </is>
      </c>
      <c r="E2533" s="24" t="inlineStr">
        <is>
          <t>巴布亚新基那</t>
        </is>
      </c>
    </row>
    <row r="2534">
      <c r="B2534" s="24" t="inlineStr">
        <is>
          <t>Currency</t>
        </is>
      </c>
      <c r="C2534" s="24" t="inlineStr">
        <is>
          <t>币种</t>
        </is>
      </c>
      <c r="D2534" s="24" t="inlineStr">
        <is>
          <t>PHP</t>
        </is>
      </c>
      <c r="E2534" s="24" t="inlineStr">
        <is>
          <t>菲律宾比索</t>
        </is>
      </c>
    </row>
    <row r="2535">
      <c r="B2535" s="24" t="inlineStr">
        <is>
          <t>Currency</t>
        </is>
      </c>
      <c r="C2535" s="24" t="inlineStr">
        <is>
          <t>币种</t>
        </is>
      </c>
      <c r="D2535" s="24" t="inlineStr">
        <is>
          <t>PKR</t>
        </is>
      </c>
      <c r="E2535" s="24" t="inlineStr">
        <is>
          <t>巴基斯坦卢比</t>
        </is>
      </c>
    </row>
    <row r="2536">
      <c r="B2536" s="24" t="inlineStr">
        <is>
          <t>Currency</t>
        </is>
      </c>
      <c r="C2536" s="24" t="inlineStr">
        <is>
          <t>币种</t>
        </is>
      </c>
      <c r="D2536" s="24" t="inlineStr">
        <is>
          <t>PLZ</t>
        </is>
      </c>
      <c r="E2536" s="24" t="inlineStr">
        <is>
          <t>波兰兹罗提</t>
        </is>
      </c>
    </row>
    <row r="2537">
      <c r="B2537" s="24" t="inlineStr">
        <is>
          <t>Currency</t>
        </is>
      </c>
      <c r="C2537" s="24" t="inlineStr">
        <is>
          <t>币种</t>
        </is>
      </c>
      <c r="D2537" s="24" t="inlineStr">
        <is>
          <t>ROL</t>
        </is>
      </c>
      <c r="E2537" s="24" t="inlineStr">
        <is>
          <t>罗马尼亚列依</t>
        </is>
      </c>
    </row>
    <row r="2538">
      <c r="B2538" s="24" t="inlineStr">
        <is>
          <t>Currency</t>
        </is>
      </c>
      <c r="C2538" s="24" t="inlineStr">
        <is>
          <t>币种</t>
        </is>
      </c>
      <c r="D2538" s="24" t="inlineStr">
        <is>
          <t>RUB</t>
        </is>
      </c>
      <c r="E2538" s="24" t="inlineStr">
        <is>
          <t>俄国卢布</t>
        </is>
      </c>
    </row>
    <row r="2539">
      <c r="B2539" s="24" t="inlineStr">
        <is>
          <t>Currency</t>
        </is>
      </c>
      <c r="C2539" s="24" t="inlineStr">
        <is>
          <t>币种</t>
        </is>
      </c>
      <c r="D2539" s="24" t="inlineStr">
        <is>
          <t>RWF</t>
        </is>
      </c>
      <c r="E2539" s="24" t="inlineStr">
        <is>
          <t>卢旺达法郎</t>
        </is>
      </c>
    </row>
    <row r="2540">
      <c r="B2540" s="24" t="inlineStr">
        <is>
          <t>Currency</t>
        </is>
      </c>
      <c r="C2540" s="24" t="inlineStr">
        <is>
          <t>币种</t>
        </is>
      </c>
      <c r="D2540" s="24" t="inlineStr">
        <is>
          <t>SCR</t>
        </is>
      </c>
      <c r="E2540" s="24" t="inlineStr">
        <is>
          <t>塞舌尔卢比</t>
        </is>
      </c>
    </row>
    <row r="2541">
      <c r="B2541" s="24" t="inlineStr">
        <is>
          <t>Currency</t>
        </is>
      </c>
      <c r="C2541" s="24" t="inlineStr">
        <is>
          <t>币种</t>
        </is>
      </c>
      <c r="D2541" s="24" t="inlineStr">
        <is>
          <t>SDP</t>
        </is>
      </c>
      <c r="E2541" s="24" t="inlineStr">
        <is>
          <t>苏丹镑</t>
        </is>
      </c>
    </row>
    <row r="2542">
      <c r="B2542" s="24" t="inlineStr">
        <is>
          <t>Currency</t>
        </is>
      </c>
      <c r="C2542" s="24" t="inlineStr">
        <is>
          <t>币种</t>
        </is>
      </c>
      <c r="D2542" s="24" t="inlineStr">
        <is>
          <t>SEK</t>
        </is>
      </c>
      <c r="E2542" s="24" t="inlineStr">
        <is>
          <t>瑞典克朗</t>
        </is>
      </c>
    </row>
    <row r="2543">
      <c r="B2543" s="24" t="inlineStr">
        <is>
          <t>Currency</t>
        </is>
      </c>
      <c r="C2543" s="24" t="inlineStr">
        <is>
          <t>币种</t>
        </is>
      </c>
      <c r="D2543" s="24" t="inlineStr">
        <is>
          <t>SGD</t>
        </is>
      </c>
      <c r="E2543" s="24" t="inlineStr">
        <is>
          <t>新加坡元</t>
        </is>
      </c>
    </row>
    <row r="2544">
      <c r="B2544" s="24" t="inlineStr">
        <is>
          <t>Currency</t>
        </is>
      </c>
      <c r="C2544" s="24" t="inlineStr">
        <is>
          <t>币种</t>
        </is>
      </c>
      <c r="D2544" s="24" t="inlineStr">
        <is>
          <t>SLL</t>
        </is>
      </c>
      <c r="E2544" s="24" t="inlineStr">
        <is>
          <t>塞拉利昂</t>
        </is>
      </c>
    </row>
    <row r="2545">
      <c r="B2545" s="24" t="inlineStr">
        <is>
          <t>Currency</t>
        </is>
      </c>
      <c r="C2545" s="24" t="inlineStr">
        <is>
          <t>币种</t>
        </is>
      </c>
      <c r="D2545" s="24" t="inlineStr">
        <is>
          <t>SUR</t>
        </is>
      </c>
      <c r="E2545" s="24" t="inlineStr">
        <is>
          <t>苏联卢布</t>
        </is>
      </c>
    </row>
    <row r="2546">
      <c r="B2546" s="24" t="inlineStr">
        <is>
          <t>Currency</t>
        </is>
      </c>
      <c r="C2546" s="24" t="inlineStr">
        <is>
          <t>币种</t>
        </is>
      </c>
      <c r="D2546" s="24" t="inlineStr">
        <is>
          <t>SYP</t>
        </is>
      </c>
      <c r="E2546" s="24" t="inlineStr">
        <is>
          <t>叙利亚镑</t>
        </is>
      </c>
    </row>
    <row r="2547">
      <c r="B2547" s="24" t="inlineStr">
        <is>
          <t>Currency</t>
        </is>
      </c>
      <c r="C2547" s="24" t="inlineStr">
        <is>
          <t>币种</t>
        </is>
      </c>
      <c r="D2547" s="24" t="inlineStr">
        <is>
          <t>THB</t>
        </is>
      </c>
      <c r="E2547" s="24" t="inlineStr">
        <is>
          <t>泰国铢</t>
        </is>
      </c>
    </row>
    <row r="2548">
      <c r="B2548" s="24" t="inlineStr">
        <is>
          <t>Currency</t>
        </is>
      </c>
      <c r="C2548" s="24" t="inlineStr">
        <is>
          <t>币种</t>
        </is>
      </c>
      <c r="D2548" s="24" t="inlineStr">
        <is>
          <t>TND</t>
        </is>
      </c>
      <c r="E2548" s="24" t="inlineStr">
        <is>
          <t>突尼斯第纳尔</t>
        </is>
      </c>
    </row>
    <row r="2549">
      <c r="B2549" s="24" t="inlineStr">
        <is>
          <t>Currency</t>
        </is>
      </c>
      <c r="C2549" s="24" t="inlineStr">
        <is>
          <t>币种</t>
        </is>
      </c>
      <c r="D2549" s="24" t="inlineStr">
        <is>
          <t>TRL</t>
        </is>
      </c>
      <c r="E2549" s="24" t="inlineStr">
        <is>
          <t>土耳其里拉</t>
        </is>
      </c>
    </row>
    <row r="2550">
      <c r="B2550" s="24" t="inlineStr">
        <is>
          <t>Currency</t>
        </is>
      </c>
      <c r="C2550" s="24" t="inlineStr">
        <is>
          <t>币种</t>
        </is>
      </c>
      <c r="D2550" s="24" t="inlineStr">
        <is>
          <t>TWD</t>
        </is>
      </c>
      <c r="E2550" s="24" t="inlineStr">
        <is>
          <t>台湾元</t>
        </is>
      </c>
    </row>
    <row r="2551">
      <c r="B2551" s="24" t="inlineStr">
        <is>
          <t>Currency</t>
        </is>
      </c>
      <c r="C2551" s="24" t="inlineStr">
        <is>
          <t>币种</t>
        </is>
      </c>
      <c r="D2551" s="24" t="inlineStr">
        <is>
          <t>TZS</t>
        </is>
      </c>
      <c r="E2551" s="24" t="inlineStr">
        <is>
          <t>坦桑尼亚先令</t>
        </is>
      </c>
    </row>
    <row r="2552">
      <c r="B2552" s="24" t="inlineStr">
        <is>
          <t>Currency</t>
        </is>
      </c>
      <c r="C2552" s="24" t="inlineStr">
        <is>
          <t>币种</t>
        </is>
      </c>
      <c r="D2552" s="24" t="inlineStr">
        <is>
          <t>UDM</t>
        </is>
      </c>
      <c r="E2552" s="24" t="inlineStr">
        <is>
          <t>蒙古美元</t>
        </is>
      </c>
    </row>
    <row r="2553">
      <c r="B2553" s="24" t="inlineStr">
        <is>
          <t>Currency</t>
        </is>
      </c>
      <c r="C2553" s="24" t="inlineStr">
        <is>
          <t>币种</t>
        </is>
      </c>
      <c r="D2553" s="24" t="inlineStr">
        <is>
          <t>USD</t>
        </is>
      </c>
      <c r="E2553" s="24" t="inlineStr">
        <is>
          <t>美元</t>
        </is>
      </c>
    </row>
    <row r="2554">
      <c r="B2554" s="24" t="inlineStr">
        <is>
          <t>Currency</t>
        </is>
      </c>
      <c r="C2554" s="24" t="inlineStr">
        <is>
          <t>币种</t>
        </is>
      </c>
      <c r="D2554" s="24" t="inlineStr">
        <is>
          <t>VND</t>
        </is>
      </c>
      <c r="E2554" s="24" t="inlineStr">
        <is>
          <t>越南盾</t>
        </is>
      </c>
    </row>
    <row r="2555">
      <c r="B2555" s="24" t="inlineStr">
        <is>
          <t>Currency</t>
        </is>
      </c>
      <c r="C2555" s="24" t="inlineStr">
        <is>
          <t>币种</t>
        </is>
      </c>
      <c r="D2555" s="24" t="inlineStr">
        <is>
          <t>XAG</t>
        </is>
      </c>
      <c r="E2555" s="24" t="inlineStr">
        <is>
          <t>白银</t>
        </is>
      </c>
    </row>
    <row r="2556">
      <c r="B2556" s="24" t="inlineStr">
        <is>
          <t>Currency</t>
        </is>
      </c>
      <c r="C2556" s="24" t="inlineStr">
        <is>
          <t>币种</t>
        </is>
      </c>
      <c r="D2556" s="24" t="inlineStr">
        <is>
          <t>XAU</t>
        </is>
      </c>
      <c r="E2556" s="24" t="inlineStr">
        <is>
          <t>黄金</t>
        </is>
      </c>
    </row>
    <row r="2557">
      <c r="B2557" s="24" t="inlineStr">
        <is>
          <t>Currency</t>
        </is>
      </c>
      <c r="C2557" s="24" t="inlineStr">
        <is>
          <t>币种</t>
        </is>
      </c>
      <c r="D2557" s="24" t="inlineStr">
        <is>
          <t>XDR</t>
        </is>
      </c>
      <c r="E2557" s="24" t="inlineStr">
        <is>
          <t>特别提款权</t>
        </is>
      </c>
    </row>
    <row r="2558">
      <c r="B2558" s="24" t="inlineStr">
        <is>
          <t>Currency</t>
        </is>
      </c>
      <c r="C2558" s="24" t="inlineStr">
        <is>
          <t>币种</t>
        </is>
      </c>
      <c r="D2558" s="24" t="inlineStr">
        <is>
          <t>XEU</t>
        </is>
      </c>
      <c r="E2558" s="24" t="inlineStr">
        <is>
          <t>欧洲货币单位</t>
        </is>
      </c>
    </row>
    <row r="2559">
      <c r="B2559" s="24" t="inlineStr">
        <is>
          <t>Currency</t>
        </is>
      </c>
      <c r="C2559" s="24" t="inlineStr">
        <is>
          <t>币种</t>
        </is>
      </c>
      <c r="D2559" s="24" t="inlineStr">
        <is>
          <t>XOF</t>
        </is>
      </c>
      <c r="E2559" s="24" t="inlineStr">
        <is>
          <t>西非共同体法郎</t>
        </is>
      </c>
    </row>
    <row r="2560">
      <c r="B2560" s="24" t="inlineStr">
        <is>
          <t>Currency</t>
        </is>
      </c>
      <c r="C2560" s="24" t="inlineStr">
        <is>
          <t>币种</t>
        </is>
      </c>
      <c r="D2560" s="24" t="inlineStr">
        <is>
          <t>YER</t>
        </is>
      </c>
      <c r="E2560" s="24" t="inlineStr">
        <is>
          <t>也门里亚尔</t>
        </is>
      </c>
    </row>
    <row r="2561">
      <c r="B2561" s="24" t="inlineStr">
        <is>
          <t>Currency</t>
        </is>
      </c>
      <c r="C2561" s="24" t="inlineStr">
        <is>
          <t>币种</t>
        </is>
      </c>
      <c r="D2561" s="24" t="inlineStr">
        <is>
          <t>ZMK</t>
        </is>
      </c>
      <c r="E2561" s="24" t="inlineStr">
        <is>
          <t>赞比亚克瓦查</t>
        </is>
      </c>
    </row>
    <row r="2562" ht="15.95" customHeight="1" s="170">
      <c r="B2562" s="122" t="inlineStr">
        <is>
          <t>码值：TransactionCode</t>
        </is>
      </c>
    </row>
    <row r="2563">
      <c r="B2563" s="24" t="inlineStr">
        <is>
          <t>TransactionCode</t>
        </is>
      </c>
      <c r="C2563" s="24" t="inlineStr">
        <is>
          <t>交易代码</t>
        </is>
      </c>
      <c r="D2563" s="24" t="inlineStr">
        <is>
          <t>P001</t>
        </is>
      </c>
      <c r="E2563" s="24" t="inlineStr">
        <is>
          <t>贷款发放</t>
        </is>
      </c>
    </row>
    <row r="2564">
      <c r="B2564" s="24" t="inlineStr">
        <is>
          <t>TransactionCode</t>
        </is>
      </c>
      <c r="C2564" s="24" t="inlineStr">
        <is>
          <t>交易代码</t>
        </is>
      </c>
      <c r="D2564" s="24" t="inlineStr">
        <is>
          <t>P002</t>
        </is>
      </c>
      <c r="E2564" s="24" t="inlineStr">
        <is>
          <t>贷款发放冲销</t>
        </is>
      </c>
    </row>
    <row r="2565">
      <c r="B2565" s="24" t="inlineStr">
        <is>
          <t>TransactionCode</t>
        </is>
      </c>
      <c r="C2565" s="24" t="inlineStr">
        <is>
          <t>交易代码</t>
        </is>
      </c>
      <c r="D2565" s="24" t="inlineStr">
        <is>
          <t>P003</t>
        </is>
      </c>
      <c r="E2565" s="24" t="inlineStr">
        <is>
          <t>贷款展期</t>
        </is>
      </c>
    </row>
    <row r="2566">
      <c r="B2566" s="24" t="inlineStr">
        <is>
          <t>TransactionCode</t>
        </is>
      </c>
      <c r="C2566" s="24" t="inlineStr">
        <is>
          <t>交易代码</t>
        </is>
      </c>
      <c r="D2566" s="24" t="inlineStr">
        <is>
          <t>P004</t>
        </is>
      </c>
      <c r="E2566" s="24" t="inlineStr">
        <is>
          <t>贷款展期冲销</t>
        </is>
      </c>
    </row>
    <row r="2567">
      <c r="B2567" s="24" t="inlineStr">
        <is>
          <t>TransactionCode</t>
        </is>
      </c>
      <c r="C2567" s="24" t="inlineStr">
        <is>
          <t>交易代码</t>
        </is>
      </c>
      <c r="D2567" s="24" t="inlineStr">
        <is>
          <t>P005</t>
        </is>
      </c>
      <c r="E2567" s="24" t="inlineStr">
        <is>
          <t>承兑汇票出帐</t>
        </is>
      </c>
    </row>
    <row r="2568">
      <c r="B2568" s="24" t="inlineStr">
        <is>
          <t>TransactionCode</t>
        </is>
      </c>
      <c r="C2568" s="24" t="inlineStr">
        <is>
          <t>交易代码</t>
        </is>
      </c>
      <c r="D2568" s="24" t="inlineStr">
        <is>
          <t>P006</t>
        </is>
      </c>
      <c r="E2568" s="24" t="inlineStr">
        <is>
          <t>承兑汇票出帐冲销</t>
        </is>
      </c>
    </row>
    <row r="2569">
      <c r="B2569" s="24" t="inlineStr">
        <is>
          <t>TransactionCode</t>
        </is>
      </c>
      <c r="C2569" s="24" t="inlineStr">
        <is>
          <t>交易代码</t>
        </is>
      </c>
      <c r="D2569" s="24" t="inlineStr">
        <is>
          <t>P007</t>
        </is>
      </c>
      <c r="E2569" s="24" t="inlineStr">
        <is>
          <t>保函出帐</t>
        </is>
      </c>
    </row>
    <row r="2570">
      <c r="B2570" s="24" t="inlineStr">
        <is>
          <t>TransactionCode</t>
        </is>
      </c>
      <c r="C2570" s="24" t="inlineStr">
        <is>
          <t>交易代码</t>
        </is>
      </c>
      <c r="D2570" s="24" t="inlineStr">
        <is>
          <t>P008</t>
        </is>
      </c>
      <c r="E2570" s="24" t="inlineStr">
        <is>
          <t>保函出帐冲销</t>
        </is>
      </c>
    </row>
    <row r="2571">
      <c r="B2571" s="24" t="inlineStr">
        <is>
          <t>TransactionCode</t>
        </is>
      </c>
      <c r="C2571" s="24" t="inlineStr">
        <is>
          <t>交易代码</t>
        </is>
      </c>
      <c r="D2571" s="24" t="inlineStr">
        <is>
          <t>P009</t>
        </is>
      </c>
      <c r="E2571" s="24" t="inlineStr">
        <is>
          <t>贴现出帐</t>
        </is>
      </c>
    </row>
    <row r="2572">
      <c r="B2572" s="24" t="inlineStr">
        <is>
          <t>TransactionCode</t>
        </is>
      </c>
      <c r="C2572" s="24" t="inlineStr">
        <is>
          <t>交易代码</t>
        </is>
      </c>
      <c r="D2572" s="24" t="inlineStr">
        <is>
          <t>P010</t>
        </is>
      </c>
      <c r="E2572" s="24" t="inlineStr">
        <is>
          <t>贴现出帐冲销</t>
        </is>
      </c>
    </row>
    <row r="2573">
      <c r="B2573" s="24" t="inlineStr">
        <is>
          <t>TransactionCode</t>
        </is>
      </c>
      <c r="C2573" s="24" t="inlineStr">
        <is>
          <t>交易代码</t>
        </is>
      </c>
      <c r="D2573" s="24" t="inlineStr">
        <is>
          <t>Q001</t>
        </is>
      </c>
      <c r="E2573" s="24" t="inlineStr">
        <is>
          <t>客户开户查询</t>
        </is>
      </c>
    </row>
    <row r="2574">
      <c r="B2574" s="24" t="inlineStr">
        <is>
          <t>TransactionCode</t>
        </is>
      </c>
      <c r="C2574" s="24" t="inlineStr">
        <is>
          <t>交易代码</t>
        </is>
      </c>
      <c r="D2574" s="24" t="inlineStr">
        <is>
          <t>Q002</t>
        </is>
      </c>
      <c r="E2574" s="24" t="inlineStr">
        <is>
          <t>根据借据号查询借据余额</t>
        </is>
      </c>
    </row>
    <row r="2575" ht="15.95" customHeight="1" s="170">
      <c r="B2575" s="122" t="inlineStr">
        <is>
          <t>码值：BondMode</t>
        </is>
      </c>
    </row>
    <row r="2576">
      <c r="B2576" s="24" t="inlineStr">
        <is>
          <t>BondMode</t>
        </is>
      </c>
      <c r="C2576" s="24" t="inlineStr">
        <is>
          <t>债券形态</t>
        </is>
      </c>
      <c r="D2576" s="24" t="inlineStr">
        <is>
          <t>01</t>
        </is>
      </c>
      <c r="E2576" s="24" t="inlineStr">
        <is>
          <t>记名债券</t>
        </is>
      </c>
    </row>
    <row r="2577">
      <c r="B2577" s="24" t="inlineStr">
        <is>
          <t>BondMode</t>
        </is>
      </c>
      <c r="C2577" s="24" t="inlineStr">
        <is>
          <t>债券形态</t>
        </is>
      </c>
      <c r="D2577" s="24" t="inlineStr">
        <is>
          <t>1010</t>
        </is>
      </c>
      <c r="E2577" s="24" t="inlineStr">
        <is>
          <t>记名债券-记账式债券</t>
        </is>
      </c>
    </row>
    <row r="2578">
      <c r="B2578" s="24" t="inlineStr">
        <is>
          <t>BondMode</t>
        </is>
      </c>
      <c r="C2578" s="24" t="inlineStr">
        <is>
          <t>债券形态</t>
        </is>
      </c>
      <c r="D2578" s="24" t="inlineStr">
        <is>
          <t>1020</t>
        </is>
      </c>
      <c r="E2578" s="24" t="inlineStr">
        <is>
          <t>记名债券-凭证式债券</t>
        </is>
      </c>
    </row>
    <row r="2579">
      <c r="B2579" s="24" t="inlineStr">
        <is>
          <t>BondMode</t>
        </is>
      </c>
      <c r="C2579" s="24" t="inlineStr">
        <is>
          <t>债券形态</t>
        </is>
      </c>
      <c r="D2579" s="24" t="inlineStr">
        <is>
          <t>20</t>
        </is>
      </c>
      <c r="E2579" s="24" t="inlineStr">
        <is>
          <t>不记名债券</t>
        </is>
      </c>
    </row>
    <row r="2580">
      <c r="B2580" s="24" t="inlineStr">
        <is>
          <t>BondMode</t>
        </is>
      </c>
      <c r="C2580" s="24" t="inlineStr">
        <is>
          <t>债券形态</t>
        </is>
      </c>
      <c r="D2580" s="24" t="inlineStr">
        <is>
          <t>90</t>
        </is>
      </c>
      <c r="E2580" s="24" t="inlineStr">
        <is>
          <t>其他</t>
        </is>
      </c>
    </row>
    <row r="2581" ht="15.95" customHeight="1" s="170">
      <c r="B2581" s="122" t="inlineStr">
        <is>
          <t>码值：行业关联度</t>
        </is>
      </c>
    </row>
    <row r="2582">
      <c r="B2582" s="24" t="inlineStr">
        <is>
          <t>行业关联度</t>
        </is>
      </c>
      <c r="C2582" s="24" t="inlineStr">
        <is>
          <t>行业关联度</t>
        </is>
      </c>
      <c r="D2582" s="24" t="inlineStr">
        <is>
          <t>1</t>
        </is>
      </c>
      <c r="E2582" s="24" t="inlineStr">
        <is>
          <t>强</t>
        </is>
      </c>
    </row>
    <row r="2583">
      <c r="B2583" s="24" t="inlineStr">
        <is>
          <t>行业关联度</t>
        </is>
      </c>
      <c r="C2583" s="24" t="inlineStr">
        <is>
          <t>行业关联度</t>
        </is>
      </c>
      <c r="D2583" s="24" t="inlineStr">
        <is>
          <t>2</t>
        </is>
      </c>
      <c r="E2583" s="24" t="inlineStr">
        <is>
          <t>较强</t>
        </is>
      </c>
    </row>
    <row r="2584">
      <c r="B2584" s="24" t="inlineStr">
        <is>
          <t>行业关联度</t>
        </is>
      </c>
      <c r="C2584" s="24" t="inlineStr">
        <is>
          <t>行业关联度</t>
        </is>
      </c>
      <c r="D2584" s="24" t="inlineStr">
        <is>
          <t>3</t>
        </is>
      </c>
      <c r="E2584" s="24" t="inlineStr">
        <is>
          <t>无</t>
        </is>
      </c>
    </row>
    <row r="2585" ht="15.95" customHeight="1" s="170">
      <c r="B2585" s="122" t="inlineStr">
        <is>
          <t>码值：LimitUniqueType</t>
        </is>
      </c>
    </row>
    <row r="2586">
      <c r="B2586" s="24" t="inlineStr">
        <is>
          <t>LimitUniqueType</t>
        </is>
      </c>
      <c r="C2586" s="24" t="inlineStr">
        <is>
          <t>额度唯一类型</t>
        </is>
      </c>
      <c r="D2586" s="24" t="inlineStr">
        <is>
          <t>01</t>
        </is>
      </c>
      <c r="E2586" s="24" t="inlineStr">
        <is>
          <t>全行唯一</t>
        </is>
      </c>
    </row>
    <row r="2587">
      <c r="B2587" s="24" t="inlineStr">
        <is>
          <t>LimitUniqueType</t>
        </is>
      </c>
      <c r="C2587" s="24" t="inlineStr">
        <is>
          <t>额度唯一类型</t>
        </is>
      </c>
      <c r="D2587" s="24" t="inlineStr">
        <is>
          <t>02</t>
        </is>
      </c>
      <c r="E2587" s="24" t="inlineStr">
        <is>
          <t>分行唯一</t>
        </is>
      </c>
    </row>
    <row r="2588">
      <c r="B2588" s="24" t="inlineStr">
        <is>
          <t>LimitUniqueType</t>
        </is>
      </c>
      <c r="C2588" s="24" t="inlineStr">
        <is>
          <t>额度唯一类型</t>
        </is>
      </c>
      <c r="D2588" s="24" t="inlineStr">
        <is>
          <t>03</t>
        </is>
      </c>
      <c r="E2588" s="24" t="inlineStr">
        <is>
          <t>支行唯一</t>
        </is>
      </c>
    </row>
    <row r="2589" ht="15.95" customHeight="1" s="170">
      <c r="B2589" s="122" t="inlineStr">
        <is>
          <t>码值：ReserveApplyView</t>
        </is>
      </c>
    </row>
    <row r="2590">
      <c r="B2590" s="24" t="inlineStr">
        <is>
          <t>ReserveApplyView</t>
        </is>
      </c>
      <c r="C2590" s="24" t="inlineStr">
        <is>
          <t>减值计提详情树图</t>
        </is>
      </c>
      <c r="D2590" s="24" t="inlineStr">
        <is>
          <t>010010</t>
        </is>
      </c>
      <c r="E2590" s="24" t="inlineStr">
        <is>
          <t>减值计提信息</t>
        </is>
      </c>
    </row>
    <row r="2591">
      <c r="B2591" s="24" t="inlineStr">
        <is>
          <t>ReserveApplyView</t>
        </is>
      </c>
      <c r="C2591" s="24" t="inlineStr">
        <is>
          <t>减值计提详情树图</t>
        </is>
      </c>
      <c r="D2591" s="24" t="inlineStr">
        <is>
          <t>010020</t>
        </is>
      </c>
      <c r="E2591" s="24" t="inlineStr">
        <is>
          <t>现金流预测</t>
        </is>
      </c>
    </row>
    <row r="2592">
      <c r="B2592" s="24" t="inlineStr">
        <is>
          <t>ReserveApplyView</t>
        </is>
      </c>
      <c r="C2592" s="24" t="inlineStr">
        <is>
          <t>减值计提详情树图</t>
        </is>
      </c>
      <c r="D2592" s="24" t="inlineStr">
        <is>
          <t>010030</t>
        </is>
      </c>
      <c r="E2592" s="24" t="inlineStr">
        <is>
          <t>影像资料</t>
        </is>
      </c>
    </row>
    <row r="2593" ht="15.95" customHeight="1" s="170">
      <c r="B2593" s="122" t="inlineStr">
        <is>
          <t>码值：增加的总余额</t>
        </is>
      </c>
    </row>
    <row r="2594">
      <c r="B2594" s="24" t="inlineStr">
        <is>
          <t>增加的总余额</t>
        </is>
      </c>
      <c r="C2594" s="24" t="inlineStr">
        <is>
          <t>增加的总余额</t>
        </is>
      </c>
      <c r="D2594" s="24" t="inlineStr">
        <is>
          <t>1</t>
        </is>
      </c>
      <c r="E2594" s="24" t="inlineStr">
        <is>
          <t>下降</t>
        </is>
      </c>
    </row>
    <row r="2595">
      <c r="B2595" s="24" t="inlineStr">
        <is>
          <t>增加的总余额</t>
        </is>
      </c>
      <c r="C2595" s="24" t="inlineStr">
        <is>
          <t>增加的总余额</t>
        </is>
      </c>
      <c r="D2595" s="24" t="inlineStr">
        <is>
          <t>2</t>
        </is>
      </c>
      <c r="E2595" s="24" t="inlineStr">
        <is>
          <t>保持一样</t>
        </is>
      </c>
    </row>
    <row r="2596">
      <c r="B2596" s="24" t="inlineStr">
        <is>
          <t>增加的总余额</t>
        </is>
      </c>
      <c r="C2596" s="24" t="inlineStr">
        <is>
          <t>增加的总余额</t>
        </is>
      </c>
      <c r="D2596" s="24" t="inlineStr">
        <is>
          <t>3</t>
        </is>
      </c>
      <c r="E2596" s="24" t="inlineStr">
        <is>
          <t>增加</t>
        </is>
      </c>
    </row>
    <row r="2597" ht="15.95" customHeight="1" s="170">
      <c r="B2597" s="122" t="inlineStr">
        <is>
          <t>码值：CreditLineType</t>
        </is>
      </c>
    </row>
    <row r="2598">
      <c r="B2598" s="24" t="inlineStr">
        <is>
          <t>CreditLineType</t>
        </is>
      </c>
      <c r="C2598" s="24" t="inlineStr">
        <is>
          <t>授信额度类型</t>
        </is>
      </c>
      <c r="D2598" s="24" t="inlineStr">
        <is>
          <t>010</t>
        </is>
      </c>
      <c r="E2598" s="24" t="inlineStr">
        <is>
          <t>对公综合授信额度</t>
        </is>
      </c>
    </row>
    <row r="2599">
      <c r="B2599" s="24" t="inlineStr">
        <is>
          <t>CreditLineType</t>
        </is>
      </c>
      <c r="C2599" s="24" t="inlineStr">
        <is>
          <t>授信额度类型</t>
        </is>
      </c>
      <c r="D2599" s="24" t="inlineStr">
        <is>
          <t>020</t>
        </is>
      </c>
      <c r="E2599" s="24" t="inlineStr">
        <is>
          <t>个人综合授信额度</t>
        </is>
      </c>
    </row>
    <row r="2600">
      <c r="B2600" s="24" t="inlineStr">
        <is>
          <t>CreditLineType</t>
        </is>
      </c>
      <c r="C2600" s="24" t="inlineStr">
        <is>
          <t>授信额度类型</t>
        </is>
      </c>
      <c r="D2600" s="24" t="inlineStr">
        <is>
          <t>030</t>
        </is>
      </c>
      <c r="E2600" s="24" t="inlineStr">
        <is>
          <t>集团综合授信额度</t>
        </is>
      </c>
    </row>
    <row r="2601">
      <c r="B2601" s="24" t="inlineStr">
        <is>
          <t>CreditLineType</t>
        </is>
      </c>
      <c r="C2601" s="24" t="inlineStr">
        <is>
          <t>授信额度类型</t>
        </is>
      </c>
      <c r="D2601" s="24" t="inlineStr">
        <is>
          <t>4132451325</t>
        </is>
      </c>
      <c r="E2601" s="24" t="inlineStr">
        <is>
          <t>fasdgh</t>
        </is>
      </c>
    </row>
    <row r="2602" ht="15.95" customHeight="1" s="170">
      <c r="B2602" s="122" t="inlineStr">
        <is>
          <t>码值：EntIndustryType</t>
        </is>
      </c>
    </row>
    <row r="2603">
      <c r="B2603" s="24" t="inlineStr">
        <is>
          <t>EntIndustryType</t>
        </is>
      </c>
      <c r="C2603" s="24" t="inlineStr">
        <is>
          <t>企业行业分类</t>
        </is>
      </c>
      <c r="D2603" s="24" t="inlineStr">
        <is>
          <t>02010</t>
        </is>
      </c>
      <c r="E2603" s="24" t="inlineStr">
        <is>
          <t>农、林、牧、渔业</t>
        </is>
      </c>
    </row>
    <row r="2604">
      <c r="B2604" s="24" t="inlineStr">
        <is>
          <t>EntIndustryType</t>
        </is>
      </c>
      <c r="C2604" s="24" t="inlineStr">
        <is>
          <t>企业行业分类</t>
        </is>
      </c>
      <c r="D2604" s="24" t="inlineStr">
        <is>
          <t>02020</t>
        </is>
      </c>
      <c r="E2604" s="24" t="inlineStr">
        <is>
          <t>工业</t>
        </is>
      </c>
    </row>
    <row r="2605">
      <c r="B2605" s="24" t="inlineStr">
        <is>
          <t>EntIndustryType</t>
        </is>
      </c>
      <c r="C2605" s="24" t="inlineStr">
        <is>
          <t>企业行业分类</t>
        </is>
      </c>
      <c r="D2605" s="24" t="inlineStr">
        <is>
          <t>02030</t>
        </is>
      </c>
      <c r="E2605" s="24" t="inlineStr">
        <is>
          <t>建筑业</t>
        </is>
      </c>
    </row>
    <row r="2606">
      <c r="B2606" s="24" t="inlineStr">
        <is>
          <t>EntIndustryType</t>
        </is>
      </c>
      <c r="C2606" s="24" t="inlineStr">
        <is>
          <t>企业行业分类</t>
        </is>
      </c>
      <c r="D2606" s="24" t="inlineStr">
        <is>
          <t>02040</t>
        </is>
      </c>
      <c r="E2606" s="24" t="inlineStr">
        <is>
          <t>批发业</t>
        </is>
      </c>
    </row>
    <row r="2607">
      <c r="B2607" s="24" t="inlineStr">
        <is>
          <t>EntIndustryType</t>
        </is>
      </c>
      <c r="C2607" s="24" t="inlineStr">
        <is>
          <t>企业行业分类</t>
        </is>
      </c>
      <c r="D2607" s="24" t="inlineStr">
        <is>
          <t>02050</t>
        </is>
      </c>
      <c r="E2607" s="24" t="inlineStr">
        <is>
          <t>零售业</t>
        </is>
      </c>
    </row>
    <row r="2608">
      <c r="B2608" s="24" t="inlineStr">
        <is>
          <t>EntIndustryType</t>
        </is>
      </c>
      <c r="C2608" s="24" t="inlineStr">
        <is>
          <t>企业行业分类</t>
        </is>
      </c>
      <c r="D2608" s="24" t="inlineStr">
        <is>
          <t>02060</t>
        </is>
      </c>
      <c r="E2608" s="24" t="inlineStr">
        <is>
          <t>交通运输业</t>
        </is>
      </c>
    </row>
    <row r="2609">
      <c r="B2609" s="24" t="inlineStr">
        <is>
          <t>EntIndustryType</t>
        </is>
      </c>
      <c r="C2609" s="24" t="inlineStr">
        <is>
          <t>企业行业分类</t>
        </is>
      </c>
      <c r="D2609" s="24" t="inlineStr">
        <is>
          <t>02070</t>
        </is>
      </c>
      <c r="E2609" s="24" t="inlineStr">
        <is>
          <t>仓储业</t>
        </is>
      </c>
    </row>
    <row r="2610">
      <c r="B2610" s="24" t="inlineStr">
        <is>
          <t>EntIndustryType</t>
        </is>
      </c>
      <c r="C2610" s="24" t="inlineStr">
        <is>
          <t>企业行业分类</t>
        </is>
      </c>
      <c r="D2610" s="24" t="inlineStr">
        <is>
          <t>02080</t>
        </is>
      </c>
      <c r="E2610" s="24" t="inlineStr">
        <is>
          <t>邮政业</t>
        </is>
      </c>
    </row>
    <row r="2611">
      <c r="B2611" s="24" t="inlineStr">
        <is>
          <t>EntIndustryType</t>
        </is>
      </c>
      <c r="C2611" s="24" t="inlineStr">
        <is>
          <t>企业行业分类</t>
        </is>
      </c>
      <c r="D2611" s="24" t="inlineStr">
        <is>
          <t>02090</t>
        </is>
      </c>
      <c r="E2611" s="24" t="inlineStr">
        <is>
          <t>住宿业</t>
        </is>
      </c>
    </row>
    <row r="2612">
      <c r="B2612" s="24" t="inlineStr">
        <is>
          <t>EntIndustryType</t>
        </is>
      </c>
      <c r="C2612" s="24" t="inlineStr">
        <is>
          <t>企业行业分类</t>
        </is>
      </c>
      <c r="D2612" s="24" t="inlineStr">
        <is>
          <t>02100</t>
        </is>
      </c>
      <c r="E2612" s="24" t="inlineStr">
        <is>
          <t>餐饮业</t>
        </is>
      </c>
    </row>
    <row r="2613">
      <c r="B2613" s="24" t="inlineStr">
        <is>
          <t>EntIndustryType</t>
        </is>
      </c>
      <c r="C2613" s="24" t="inlineStr">
        <is>
          <t>企业行业分类</t>
        </is>
      </c>
      <c r="D2613" s="24" t="inlineStr">
        <is>
          <t>02110</t>
        </is>
      </c>
      <c r="E2613" s="24" t="inlineStr">
        <is>
          <t>信息传输业</t>
        </is>
      </c>
    </row>
    <row r="2614">
      <c r="B2614" s="24" t="inlineStr">
        <is>
          <t>EntIndustryType</t>
        </is>
      </c>
      <c r="C2614" s="24" t="inlineStr">
        <is>
          <t>企业行业分类</t>
        </is>
      </c>
      <c r="D2614" s="24" t="inlineStr">
        <is>
          <t>02120</t>
        </is>
      </c>
      <c r="E2614" s="24" t="inlineStr">
        <is>
          <t>软件和信息技术服务业</t>
        </is>
      </c>
    </row>
    <row r="2615">
      <c r="B2615" s="24" t="inlineStr">
        <is>
          <t>EntIndustryType</t>
        </is>
      </c>
      <c r="C2615" s="24" t="inlineStr">
        <is>
          <t>企业行业分类</t>
        </is>
      </c>
      <c r="D2615" s="24" t="inlineStr">
        <is>
          <t>02130</t>
        </is>
      </c>
      <c r="E2615" s="24" t="inlineStr">
        <is>
          <t>房地产开发运营</t>
        </is>
      </c>
    </row>
    <row r="2616">
      <c r="B2616" s="24" t="inlineStr">
        <is>
          <t>EntIndustryType</t>
        </is>
      </c>
      <c r="C2616" s="24" t="inlineStr">
        <is>
          <t>企业行业分类</t>
        </is>
      </c>
      <c r="D2616" s="24" t="inlineStr">
        <is>
          <t>02140</t>
        </is>
      </c>
      <c r="E2616" s="24" t="inlineStr">
        <is>
          <t>物业管理</t>
        </is>
      </c>
    </row>
    <row r="2617">
      <c r="B2617" s="24" t="inlineStr">
        <is>
          <t>EntIndustryType</t>
        </is>
      </c>
      <c r="C2617" s="24" t="inlineStr">
        <is>
          <t>企业行业分类</t>
        </is>
      </c>
      <c r="D2617" s="24" t="inlineStr">
        <is>
          <t>02150</t>
        </is>
      </c>
      <c r="E2617" s="24" t="inlineStr">
        <is>
          <t>租赁和商务服务业</t>
        </is>
      </c>
    </row>
    <row r="2618">
      <c r="B2618" s="24" t="inlineStr">
        <is>
          <t>EntIndustryType</t>
        </is>
      </c>
      <c r="C2618" s="24" t="inlineStr">
        <is>
          <t>企业行业分类</t>
        </is>
      </c>
      <c r="D2618" s="24" t="inlineStr">
        <is>
          <t>02160</t>
        </is>
      </c>
      <c r="E2618" s="24" t="inlineStr">
        <is>
          <t>其他未列明行业</t>
        </is>
      </c>
    </row>
    <row r="2619" ht="15.95" customHeight="1" s="170">
      <c r="B2619" s="122" t="inlineStr">
        <is>
          <t>码值：FundsType</t>
        </is>
      </c>
    </row>
    <row r="2620">
      <c r="B2620" s="24" t="inlineStr">
        <is>
          <t>FundsType</t>
        </is>
      </c>
      <c r="C2620" s="24" t="inlineStr">
        <is>
          <t>帐款类型</t>
        </is>
      </c>
      <c r="D2620" s="24" t="inlineStr">
        <is>
          <t>01</t>
        </is>
      </c>
      <c r="E2620" s="24" t="inlineStr">
        <is>
          <t>应收</t>
        </is>
      </c>
    </row>
    <row r="2621">
      <c r="B2621" s="24" t="inlineStr">
        <is>
          <t>FundsType</t>
        </is>
      </c>
      <c r="C2621" s="24" t="inlineStr">
        <is>
          <t>帐款类型</t>
        </is>
      </c>
      <c r="D2621" s="24" t="inlineStr">
        <is>
          <t>02</t>
        </is>
      </c>
      <c r="E2621" s="24" t="inlineStr">
        <is>
          <t>其他应收</t>
        </is>
      </c>
    </row>
    <row r="2622">
      <c r="B2622" s="24" t="inlineStr">
        <is>
          <t>FundsType</t>
        </is>
      </c>
      <c r="C2622" s="24" t="inlineStr">
        <is>
          <t>帐款类型</t>
        </is>
      </c>
      <c r="D2622" s="24" t="inlineStr">
        <is>
          <t>03</t>
        </is>
      </c>
      <c r="E2622" s="24" t="inlineStr">
        <is>
          <t>应付</t>
        </is>
      </c>
    </row>
    <row r="2623">
      <c r="B2623" s="24" t="inlineStr">
        <is>
          <t>FundsType</t>
        </is>
      </c>
      <c r="C2623" s="24" t="inlineStr">
        <is>
          <t>帐款类型</t>
        </is>
      </c>
      <c r="D2623" s="24" t="inlineStr">
        <is>
          <t>04</t>
        </is>
      </c>
      <c r="E2623" s="24" t="inlineStr">
        <is>
          <t>其他应付</t>
        </is>
      </c>
    </row>
    <row r="2624">
      <c r="B2624" s="24" t="inlineStr">
        <is>
          <t>FundsType</t>
        </is>
      </c>
      <c r="C2624" s="24" t="inlineStr">
        <is>
          <t>帐款类型</t>
        </is>
      </c>
      <c r="D2624" s="24" t="inlineStr">
        <is>
          <t>05</t>
        </is>
      </c>
      <c r="E2624" s="24" t="inlineStr">
        <is>
          <t>预收</t>
        </is>
      </c>
    </row>
    <row r="2625">
      <c r="B2625" s="24" t="inlineStr">
        <is>
          <t>FundsType</t>
        </is>
      </c>
      <c r="C2625" s="24" t="inlineStr">
        <is>
          <t>帐款类型</t>
        </is>
      </c>
      <c r="D2625" s="24" t="inlineStr">
        <is>
          <t>06</t>
        </is>
      </c>
      <c r="E2625" s="24" t="inlineStr">
        <is>
          <t>预付</t>
        </is>
      </c>
    </row>
    <row r="2626" ht="15.95" customHeight="1" s="170">
      <c r="B2626" s="122" t="inlineStr">
        <is>
          <t>码值：OrgNature</t>
        </is>
      </c>
    </row>
    <row r="2627">
      <c r="B2627" s="24" t="inlineStr">
        <is>
          <t>OrgNature</t>
        </is>
      </c>
      <c r="C2627" s="24" t="inlineStr">
        <is>
          <t>客户类型</t>
        </is>
      </c>
      <c r="D2627" s="24" t="inlineStr">
        <is>
          <t>01</t>
        </is>
      </c>
      <c r="E2627" s="24" t="inlineStr">
        <is>
          <t>法人企业</t>
        </is>
      </c>
    </row>
    <row r="2628">
      <c r="B2628" s="24" t="inlineStr">
        <is>
          <t>OrgNature</t>
        </is>
      </c>
      <c r="C2628" s="24" t="inlineStr">
        <is>
          <t>客户类型</t>
        </is>
      </c>
      <c r="D2628" s="24" t="inlineStr">
        <is>
          <t>02</t>
        </is>
      </c>
      <c r="E2628" s="24" t="inlineStr">
        <is>
          <t>非法人企业</t>
        </is>
      </c>
    </row>
    <row r="2629">
      <c r="B2629" s="24" t="inlineStr">
        <is>
          <t>OrgNature</t>
        </is>
      </c>
      <c r="C2629" s="24" t="inlineStr">
        <is>
          <t>客户类型</t>
        </is>
      </c>
      <c r="D2629" s="24" t="inlineStr">
        <is>
          <t>03</t>
        </is>
      </c>
      <c r="E2629" s="24" t="inlineStr">
        <is>
          <t>个体工商户</t>
        </is>
      </c>
    </row>
    <row r="2630">
      <c r="B2630" s="24" t="inlineStr">
        <is>
          <t>OrgNature</t>
        </is>
      </c>
      <c r="C2630" s="24" t="inlineStr">
        <is>
          <t>客户类型</t>
        </is>
      </c>
      <c r="D2630" s="24" t="inlineStr">
        <is>
          <t>04</t>
        </is>
      </c>
      <c r="E2630" s="24" t="inlineStr">
        <is>
          <t>事业单位</t>
        </is>
      </c>
    </row>
    <row r="2631">
      <c r="B2631" s="24" t="inlineStr">
        <is>
          <t>OrgNature</t>
        </is>
      </c>
      <c r="C2631" s="24" t="inlineStr">
        <is>
          <t>客户类型</t>
        </is>
      </c>
      <c r="D2631" s="24" t="inlineStr">
        <is>
          <t>05</t>
        </is>
      </c>
      <c r="E2631" s="24" t="inlineStr">
        <is>
          <t>社会团体</t>
        </is>
      </c>
    </row>
    <row r="2632">
      <c r="B2632" s="24" t="inlineStr">
        <is>
          <t>OrgNature</t>
        </is>
      </c>
      <c r="C2632" s="24" t="inlineStr">
        <is>
          <t>客户类型</t>
        </is>
      </c>
      <c r="D2632" s="24" t="inlineStr">
        <is>
          <t>06</t>
        </is>
      </c>
      <c r="E2632" s="24" t="inlineStr">
        <is>
          <t>党政机关</t>
        </is>
      </c>
    </row>
    <row r="2633">
      <c r="B2633" s="24" t="inlineStr">
        <is>
          <t>OrgNature</t>
        </is>
      </c>
      <c r="C2633" s="24" t="inlineStr">
        <is>
          <t>客户类型</t>
        </is>
      </c>
      <c r="D2633" s="24" t="inlineStr">
        <is>
          <t>07</t>
        </is>
      </c>
      <c r="E2633" s="24" t="inlineStr">
        <is>
          <t>金融机构</t>
        </is>
      </c>
    </row>
    <row r="2634">
      <c r="B2634" s="24" t="inlineStr">
        <is>
          <t>OrgNature</t>
        </is>
      </c>
      <c r="C2634" s="24" t="inlineStr">
        <is>
          <t>客户类型</t>
        </is>
      </c>
      <c r="D2634" s="24" t="inlineStr">
        <is>
          <t>99</t>
        </is>
      </c>
      <c r="E2634" s="24" t="inlineStr">
        <is>
          <t>其他</t>
        </is>
      </c>
    </row>
    <row r="2635" ht="15.95" customHeight="1" s="170">
      <c r="B2635" s="122" t="inlineStr">
        <is>
          <t>码值：BusinessScope</t>
        </is>
      </c>
    </row>
    <row r="2636">
      <c r="B2636" s="24" t="inlineStr">
        <is>
          <t>BusinessScope</t>
        </is>
      </c>
      <c r="C2636" s="24" t="n"/>
      <c r="D2636" s="24" t="inlineStr">
        <is>
          <t>01</t>
        </is>
      </c>
      <c r="E2636" s="24" t="inlineStr">
        <is>
          <t>收费权</t>
        </is>
      </c>
    </row>
    <row r="2637">
      <c r="B2637" s="24" t="inlineStr">
        <is>
          <t>BusinessScope</t>
        </is>
      </c>
      <c r="C2637" s="24" t="n"/>
      <c r="D2637" s="24" t="inlineStr">
        <is>
          <t>02</t>
        </is>
      </c>
      <c r="E2637" s="24" t="inlineStr">
        <is>
          <t>广告经营权</t>
        </is>
      </c>
    </row>
    <row r="2638">
      <c r="B2638" s="24" t="inlineStr">
        <is>
          <t>BusinessScope</t>
        </is>
      </c>
      <c r="C2638" s="24" t="n"/>
      <c r="D2638" s="24" t="inlineStr">
        <is>
          <t>03</t>
        </is>
      </c>
      <c r="E2638" s="24" t="inlineStr">
        <is>
          <t>服务设施经营权</t>
        </is>
      </c>
    </row>
    <row r="2639" ht="15.95" customHeight="1" s="170">
      <c r="B2639" s="122" t="inlineStr">
        <is>
          <t>码值：ProductType</t>
        </is>
      </c>
    </row>
    <row r="2640">
      <c r="B2640" s="24" t="inlineStr">
        <is>
          <t>ProductType</t>
        </is>
      </c>
      <c r="C2640" s="24" t="inlineStr">
        <is>
          <t>产品类型</t>
        </is>
      </c>
      <c r="D2640" s="24" t="inlineStr">
        <is>
          <t>01</t>
        </is>
      </c>
      <c r="E2640" s="24" t="inlineStr">
        <is>
          <t>基础产品</t>
        </is>
      </c>
    </row>
    <row r="2641">
      <c r="B2641" s="24" t="inlineStr">
        <is>
          <t>ProductType</t>
        </is>
      </c>
      <c r="C2641" s="24" t="inlineStr">
        <is>
          <t>产品类型</t>
        </is>
      </c>
      <c r="D2641" s="24" t="inlineStr">
        <is>
          <t>02</t>
        </is>
      </c>
      <c r="E2641" s="24" t="inlineStr">
        <is>
          <t>方案产品</t>
        </is>
      </c>
    </row>
    <row r="2642" ht="15.95" customHeight="1" s="170">
      <c r="B2642" s="122" t="inlineStr">
        <is>
          <t>码值：ProjectProgressType</t>
        </is>
      </c>
    </row>
    <row r="2643">
      <c r="B2643" s="24" t="inlineStr">
        <is>
          <t>ProjectProgressType</t>
        </is>
      </c>
      <c r="C2643" s="24" t="inlineStr">
        <is>
          <t>项目进度</t>
        </is>
      </c>
      <c r="D2643" s="24" t="inlineStr">
        <is>
          <t>10</t>
        </is>
      </c>
      <c r="E2643" s="24" t="inlineStr">
        <is>
          <t>启动过程</t>
        </is>
      </c>
    </row>
    <row r="2644">
      <c r="B2644" s="24" t="inlineStr">
        <is>
          <t>ProjectProgressType</t>
        </is>
      </c>
      <c r="C2644" s="24" t="inlineStr">
        <is>
          <t>项目进度</t>
        </is>
      </c>
      <c r="D2644" s="24" t="inlineStr">
        <is>
          <t>20</t>
        </is>
      </c>
      <c r="E2644" s="24" t="inlineStr">
        <is>
          <t>计划过程</t>
        </is>
      </c>
    </row>
    <row r="2645">
      <c r="B2645" s="24" t="inlineStr">
        <is>
          <t>ProjectProgressType</t>
        </is>
      </c>
      <c r="C2645" s="24" t="inlineStr">
        <is>
          <t>项目进度</t>
        </is>
      </c>
      <c r="D2645" s="24" t="inlineStr">
        <is>
          <t>30</t>
        </is>
      </c>
      <c r="E2645" s="24" t="inlineStr">
        <is>
          <t>执行过程</t>
        </is>
      </c>
    </row>
    <row r="2646">
      <c r="B2646" s="24" t="inlineStr">
        <is>
          <t>ProjectProgressType</t>
        </is>
      </c>
      <c r="C2646" s="24" t="inlineStr">
        <is>
          <t>项目进度</t>
        </is>
      </c>
      <c r="D2646" s="24" t="inlineStr">
        <is>
          <t>40</t>
        </is>
      </c>
      <c r="E2646" s="24" t="inlineStr">
        <is>
          <t>控制过程</t>
        </is>
      </c>
    </row>
    <row r="2647">
      <c r="B2647" s="24" t="inlineStr">
        <is>
          <t>ProjectProgressType</t>
        </is>
      </c>
      <c r="C2647" s="24" t="inlineStr">
        <is>
          <t>项目进度</t>
        </is>
      </c>
      <c r="D2647" s="24" t="inlineStr">
        <is>
          <t>50</t>
        </is>
      </c>
      <c r="E2647" s="24" t="inlineStr">
        <is>
          <t>收尾过程</t>
        </is>
      </c>
    </row>
    <row r="2648" ht="15.95" customHeight="1" s="170">
      <c r="B2648" s="122" t="inlineStr">
        <is>
          <t>码值：ButtonSetBC</t>
        </is>
      </c>
    </row>
    <row r="2649">
      <c r="B2649" s="24" t="inlineStr">
        <is>
          <t>ButtonSetBC</t>
        </is>
      </c>
      <c r="C2649" s="24" t="inlineStr">
        <is>
          <t>合同阶段按钮组</t>
        </is>
      </c>
      <c r="D2649" s="24" t="inlineStr">
        <is>
          <t>backStep</t>
        </is>
      </c>
      <c r="E2649" s="24" t="inlineStr">
        <is>
          <t>回退任务</t>
        </is>
      </c>
    </row>
    <row r="2650">
      <c r="B2650" s="24" t="inlineStr">
        <is>
          <t>ButtonSetBC</t>
        </is>
      </c>
      <c r="C2650" s="24" t="inlineStr">
        <is>
          <t>合同阶段按钮组</t>
        </is>
      </c>
      <c r="D2650" s="24" t="inlineStr">
        <is>
          <t>cancelApply</t>
        </is>
      </c>
      <c r="E2650" s="24" t="inlineStr">
        <is>
          <t>取消申请</t>
        </is>
      </c>
    </row>
    <row r="2651">
      <c r="B2651" s="24" t="inlineStr">
        <is>
          <t>ButtonSetBC</t>
        </is>
      </c>
      <c r="C2651" s="24" t="inlineStr">
        <is>
          <t>合同阶段按钮组</t>
        </is>
      </c>
      <c r="D2651" s="24" t="inlineStr">
        <is>
          <t>completeTask</t>
        </is>
      </c>
      <c r="E2651" s="24" t="inlineStr">
        <is>
          <t>提交任务</t>
        </is>
      </c>
    </row>
    <row r="2652">
      <c r="B2652" s="24" t="inlineStr">
        <is>
          <t>ButtonSetBC</t>
        </is>
      </c>
      <c r="C2652" s="24" t="inlineStr">
        <is>
          <t>合同阶段按钮组</t>
        </is>
      </c>
      <c r="D2652" s="24" t="inlineStr">
        <is>
          <t>creditCheck</t>
        </is>
      </c>
      <c r="E2652" s="24" t="inlineStr">
        <is>
          <t>额度检查</t>
        </is>
      </c>
    </row>
    <row r="2653">
      <c r="B2653" s="24" t="inlineStr">
        <is>
          <t>ButtonSetBC</t>
        </is>
      </c>
      <c r="C2653" s="24" t="inlineStr">
        <is>
          <t>合同阶段按钮组</t>
        </is>
      </c>
      <c r="D2653" s="24" t="inlineStr">
        <is>
          <t>invalid</t>
        </is>
      </c>
      <c r="E2653" s="24" t="inlineStr">
        <is>
          <t>作废</t>
        </is>
      </c>
    </row>
    <row r="2654">
      <c r="B2654" s="24" t="inlineStr">
        <is>
          <t>ButtonSetBC</t>
        </is>
      </c>
      <c r="C2654" s="24" t="inlineStr">
        <is>
          <t>合同阶段按钮组</t>
        </is>
      </c>
      <c r="D2654" s="24" t="inlineStr">
        <is>
          <t>newApply</t>
        </is>
      </c>
      <c r="E2654" s="24" t="inlineStr">
        <is>
          <t>登记合同</t>
        </is>
      </c>
    </row>
    <row r="2655">
      <c r="B2655" s="24" t="inlineStr">
        <is>
          <t>ButtonSetBC</t>
        </is>
      </c>
      <c r="C2655" s="24" t="inlineStr">
        <is>
          <t>合同阶段按钮组</t>
        </is>
      </c>
      <c r="D2655" s="24" t="inlineStr">
        <is>
          <t>signOpinion</t>
        </is>
      </c>
      <c r="E2655" s="24" t="inlineStr">
        <is>
          <t>签署意见</t>
        </is>
      </c>
    </row>
    <row r="2656">
      <c r="B2656" s="24" t="inlineStr">
        <is>
          <t>ButtonSetBC</t>
        </is>
      </c>
      <c r="C2656" s="24" t="inlineStr">
        <is>
          <t>合同阶段按钮组</t>
        </is>
      </c>
      <c r="D2656" s="24" t="inlineStr">
        <is>
          <t>takeBack</t>
        </is>
      </c>
      <c r="E2656" s="24" t="inlineStr">
        <is>
          <t>主动撤回</t>
        </is>
      </c>
    </row>
    <row r="2657">
      <c r="B2657" s="24" t="inlineStr">
        <is>
          <t>ButtonSetBC</t>
        </is>
      </c>
      <c r="C2657" s="24" t="inlineStr">
        <is>
          <t>合同阶段按钮组</t>
        </is>
      </c>
      <c r="D2657" s="24" t="inlineStr">
        <is>
          <t>viewContract</t>
        </is>
      </c>
      <c r="E2657" s="24" t="inlineStr">
        <is>
          <t>合同详情</t>
        </is>
      </c>
    </row>
    <row r="2658">
      <c r="B2658" s="24" t="inlineStr">
        <is>
          <t>ButtonSetBC</t>
        </is>
      </c>
      <c r="C2658" s="24" t="inlineStr">
        <is>
          <t>合同阶段按钮组</t>
        </is>
      </c>
      <c r="D2658" s="24" t="inlineStr">
        <is>
          <t>viewOpinions</t>
        </is>
      </c>
      <c r="E2658" s="24" t="inlineStr">
        <is>
          <t>查看意见</t>
        </is>
      </c>
    </row>
    <row r="2659" ht="15.95" customHeight="1" s="170">
      <c r="B2659" s="122" t="inlineStr">
        <is>
          <t>码值：IsAgree</t>
        </is>
      </c>
    </row>
    <row r="2660">
      <c r="B2660" s="24" t="inlineStr">
        <is>
          <t>IsAgree</t>
        </is>
      </c>
      <c r="C2660" s="24" t="inlineStr">
        <is>
          <t>是否允许</t>
        </is>
      </c>
      <c r="D2660" s="24" t="inlineStr">
        <is>
          <t>0</t>
        </is>
      </c>
      <c r="E2660" s="24" t="inlineStr">
        <is>
          <t>允许</t>
        </is>
      </c>
    </row>
    <row r="2661">
      <c r="B2661" s="24" t="inlineStr">
        <is>
          <t>IsAgree</t>
        </is>
      </c>
      <c r="C2661" s="24" t="inlineStr">
        <is>
          <t>是否允许</t>
        </is>
      </c>
      <c r="D2661" s="24" t="inlineStr">
        <is>
          <t>1</t>
        </is>
      </c>
      <c r="E2661" s="24" t="inlineStr">
        <is>
          <t>不允许</t>
        </is>
      </c>
    </row>
    <row r="2662" ht="15.95" customHeight="1" s="170">
      <c r="B2662" s="122" t="inlineStr">
        <is>
          <t>码值：HouseAttribute</t>
        </is>
      </c>
    </row>
    <row r="2663">
      <c r="B2663" s="24" t="inlineStr">
        <is>
          <t>HouseAttribute</t>
        </is>
      </c>
      <c r="C2663" s="24" t="inlineStr">
        <is>
          <t>房屋性质</t>
        </is>
      </c>
      <c r="D2663" s="24" t="inlineStr">
        <is>
          <t>01</t>
        </is>
      </c>
      <c r="E2663" s="24" t="inlineStr">
        <is>
          <t>商品住房</t>
        </is>
      </c>
    </row>
    <row r="2664">
      <c r="B2664" s="24" t="inlineStr">
        <is>
          <t>HouseAttribute</t>
        </is>
      </c>
      <c r="C2664" s="24" t="inlineStr">
        <is>
          <t>房屋性质</t>
        </is>
      </c>
      <c r="D2664" s="24" t="inlineStr">
        <is>
          <t>02</t>
        </is>
      </c>
      <c r="E2664" s="24" t="inlineStr">
        <is>
          <t>经济适用住房</t>
        </is>
      </c>
    </row>
    <row r="2665">
      <c r="B2665" s="24" t="inlineStr">
        <is>
          <t>HouseAttribute</t>
        </is>
      </c>
      <c r="C2665" s="24" t="inlineStr">
        <is>
          <t>房屋性质</t>
        </is>
      </c>
      <c r="D2665" s="24" t="inlineStr">
        <is>
          <t>03</t>
        </is>
      </c>
      <c r="E2665" s="24" t="inlineStr">
        <is>
          <t>限价商品住房</t>
        </is>
      </c>
    </row>
    <row r="2666">
      <c r="B2666" s="24" t="inlineStr">
        <is>
          <t>HouseAttribute</t>
        </is>
      </c>
      <c r="C2666" s="24" t="inlineStr">
        <is>
          <t>房屋性质</t>
        </is>
      </c>
      <c r="D2666" s="24" t="inlineStr">
        <is>
          <t>04</t>
        </is>
      </c>
      <c r="E2666" s="24" t="inlineStr">
        <is>
          <t>别墅</t>
        </is>
      </c>
    </row>
    <row r="2667">
      <c r="B2667" s="24" t="inlineStr">
        <is>
          <t>HouseAttribute</t>
        </is>
      </c>
      <c r="C2667" s="24" t="inlineStr">
        <is>
          <t>房屋性质</t>
        </is>
      </c>
      <c r="D2667" s="24" t="inlineStr">
        <is>
          <t>05</t>
        </is>
      </c>
      <c r="E2667" s="24" t="inlineStr">
        <is>
          <t>车位</t>
        </is>
      </c>
    </row>
    <row r="2668">
      <c r="B2668" s="24" t="inlineStr">
        <is>
          <t>HouseAttribute</t>
        </is>
      </c>
      <c r="C2668" s="24" t="inlineStr">
        <is>
          <t>房屋性质</t>
        </is>
      </c>
      <c r="D2668" s="24" t="inlineStr">
        <is>
          <t>06</t>
        </is>
      </c>
      <c r="E2668" s="24" t="inlineStr">
        <is>
          <t>其他</t>
        </is>
      </c>
    </row>
    <row r="2669" ht="15.95" customHeight="1" s="170">
      <c r="B2669" s="122" t="inlineStr">
        <is>
          <t>码值：LimitShareType</t>
        </is>
      </c>
    </row>
    <row r="2670">
      <c r="B2670" s="24" t="inlineStr">
        <is>
          <t>LimitShareType</t>
        </is>
      </c>
      <c r="C2670" s="24" t="inlineStr">
        <is>
          <t>额度共享方式</t>
        </is>
      </c>
      <c r="D2670" s="24" t="inlineStr">
        <is>
          <t>01</t>
        </is>
      </c>
      <c r="E2670" s="24" t="inlineStr">
        <is>
          <t>不共享</t>
        </is>
      </c>
    </row>
    <row r="2671">
      <c r="B2671" s="24" t="inlineStr">
        <is>
          <t>LimitShareType</t>
        </is>
      </c>
      <c r="C2671" s="24" t="inlineStr">
        <is>
          <t>额度共享方式</t>
        </is>
      </c>
      <c r="D2671" s="24" t="inlineStr">
        <is>
          <t>02</t>
        </is>
      </c>
      <c r="E2671" s="24" t="inlineStr">
        <is>
          <t>串用</t>
        </is>
      </c>
    </row>
    <row r="2672">
      <c r="B2672" s="24" t="inlineStr">
        <is>
          <t>LimitShareType</t>
        </is>
      </c>
      <c r="C2672" s="24" t="inlineStr">
        <is>
          <t>额度共享方式</t>
        </is>
      </c>
      <c r="D2672" s="24" t="inlineStr">
        <is>
          <t>03</t>
        </is>
      </c>
      <c r="E2672" s="24" t="inlineStr">
        <is>
          <t>超额切分</t>
        </is>
      </c>
    </row>
    <row r="2673" ht="15.95" customHeight="1" s="170">
      <c r="B2673" s="122" t="inlineStr">
        <is>
          <t>码值：ClrEnterApproveMain</t>
        </is>
      </c>
    </row>
    <row r="2674">
      <c r="B2674" s="24" t="inlineStr">
        <is>
          <t>ClrEnterApproveMain</t>
        </is>
      </c>
      <c r="C2674" s="24" t="inlineStr">
        <is>
          <t>ClrEnter审批主树图</t>
        </is>
      </c>
      <c r="D2674" s="24" t="inlineStr">
        <is>
          <t>N</t>
        </is>
      </c>
      <c r="E2674" s="24" t="inlineStr">
        <is>
          <t>待办任务</t>
        </is>
      </c>
    </row>
    <row r="2675">
      <c r="B2675" s="24" t="inlineStr">
        <is>
          <t>ClrEnterApproveMain</t>
        </is>
      </c>
      <c r="C2675" s="24" t="inlineStr">
        <is>
          <t>ClrEnter审批主树图</t>
        </is>
      </c>
      <c r="D2675" s="24" t="inlineStr">
        <is>
          <t>Y</t>
        </is>
      </c>
      <c r="E2675" s="24" t="inlineStr">
        <is>
          <t>已办任务</t>
        </is>
      </c>
    </row>
    <row r="2676" ht="15.95" customHeight="1" s="170">
      <c r="B2676" s="122" t="inlineStr">
        <is>
          <t>码值：PartnerEntType</t>
        </is>
      </c>
    </row>
    <row r="2677">
      <c r="B2677" s="24" t="inlineStr">
        <is>
          <t>PartnerEntType</t>
        </is>
      </c>
      <c r="C2677" s="24" t="inlineStr">
        <is>
          <t>合作方公司客户类型</t>
        </is>
      </c>
      <c r="D2677" s="24" t="inlineStr">
        <is>
          <t>1010</t>
        </is>
      </c>
      <c r="E2677" s="24" t="inlineStr">
        <is>
          <t>房地产开发商</t>
        </is>
      </c>
    </row>
    <row r="2678">
      <c r="B2678" s="24" t="inlineStr">
        <is>
          <t>PartnerEntType</t>
        </is>
      </c>
      <c r="C2678" s="24" t="inlineStr">
        <is>
          <t>合作方公司客户类型</t>
        </is>
      </c>
      <c r="D2678" s="24" t="inlineStr">
        <is>
          <t>1020</t>
        </is>
      </c>
      <c r="E2678" s="24" t="inlineStr">
        <is>
          <t>一手楼销售代理商</t>
        </is>
      </c>
    </row>
    <row r="2679">
      <c r="B2679" s="24" t="inlineStr">
        <is>
          <t>PartnerEntType</t>
        </is>
      </c>
      <c r="C2679" s="24" t="inlineStr">
        <is>
          <t>合作方公司客户类型</t>
        </is>
      </c>
      <c r="D2679" s="24" t="inlineStr">
        <is>
          <t>1030</t>
        </is>
      </c>
      <c r="E2679" s="24" t="inlineStr">
        <is>
          <t>二手楼中介</t>
        </is>
      </c>
    </row>
    <row r="2680">
      <c r="B2680" s="24" t="inlineStr">
        <is>
          <t>PartnerEntType</t>
        </is>
      </c>
      <c r="C2680" s="24" t="inlineStr">
        <is>
          <t>合作方公司客户类型</t>
        </is>
      </c>
      <c r="D2680" s="24" t="inlineStr">
        <is>
          <t>1040</t>
        </is>
      </c>
      <c r="E2680" s="24" t="inlineStr">
        <is>
          <t>汽车经销商</t>
        </is>
      </c>
    </row>
    <row r="2681">
      <c r="B2681" s="24" t="inlineStr">
        <is>
          <t>PartnerEntType</t>
        </is>
      </c>
      <c r="C2681" s="24" t="inlineStr">
        <is>
          <t>合作方公司客户类型</t>
        </is>
      </c>
      <c r="D2681" s="24" t="inlineStr">
        <is>
          <t>1050</t>
        </is>
      </c>
      <c r="E2681" s="24" t="inlineStr">
        <is>
          <t>汽车生产商</t>
        </is>
      </c>
    </row>
    <row r="2682">
      <c r="B2682" s="24" t="inlineStr">
        <is>
          <t>PartnerEntType</t>
        </is>
      </c>
      <c r="C2682" s="24" t="inlineStr">
        <is>
          <t>合作方公司客户类型</t>
        </is>
      </c>
      <c r="D2682" s="24" t="inlineStr">
        <is>
          <t>2010</t>
        </is>
      </c>
      <c r="E2682" s="24" t="inlineStr">
        <is>
          <t>专业担保公司</t>
        </is>
      </c>
    </row>
    <row r="2683">
      <c r="B2683" s="24" t="inlineStr">
        <is>
          <t>PartnerEntType</t>
        </is>
      </c>
      <c r="C2683" s="24" t="inlineStr">
        <is>
          <t>合作方公司客户类型</t>
        </is>
      </c>
      <c r="D2683" s="24" t="inlineStr">
        <is>
          <t>2020</t>
        </is>
      </c>
      <c r="E2683" s="24" t="inlineStr">
        <is>
          <t>保险公司</t>
        </is>
      </c>
    </row>
    <row r="2684">
      <c r="B2684" s="24" t="inlineStr">
        <is>
          <t>PartnerEntType</t>
        </is>
      </c>
      <c r="C2684" s="24" t="inlineStr">
        <is>
          <t>合作方公司客户类型</t>
        </is>
      </c>
      <c r="D2684" s="24" t="inlineStr">
        <is>
          <t>2030</t>
        </is>
      </c>
      <c r="E2684" s="24" t="inlineStr">
        <is>
          <t>其他担保机构</t>
        </is>
      </c>
    </row>
    <row r="2685">
      <c r="B2685" s="24" t="inlineStr">
        <is>
          <t>PartnerEntType</t>
        </is>
      </c>
      <c r="C2685" s="24" t="inlineStr">
        <is>
          <t>合作方公司客户类型</t>
        </is>
      </c>
      <c r="D2685" s="24" t="inlineStr">
        <is>
          <t>3010</t>
        </is>
      </c>
      <c r="E2685" s="24" t="inlineStr">
        <is>
          <t>房地产评估机构</t>
        </is>
      </c>
    </row>
    <row r="2686">
      <c r="B2686" s="24" t="inlineStr">
        <is>
          <t>PartnerEntType</t>
        </is>
      </c>
      <c r="C2686" s="24" t="inlineStr">
        <is>
          <t>合作方公司客户类型</t>
        </is>
      </c>
      <c r="D2686" s="24" t="inlineStr">
        <is>
          <t>3020</t>
        </is>
      </c>
      <c r="E2686" s="24" t="inlineStr">
        <is>
          <t>按揭服务公司</t>
        </is>
      </c>
    </row>
    <row r="2687">
      <c r="B2687" s="24" t="inlineStr">
        <is>
          <t>PartnerEntType</t>
        </is>
      </c>
      <c r="C2687" s="24" t="inlineStr">
        <is>
          <t>合作方公司客户类型</t>
        </is>
      </c>
      <c r="D2687" s="24" t="inlineStr">
        <is>
          <t>3030</t>
        </is>
      </c>
      <c r="E2687" s="24" t="inlineStr">
        <is>
          <t>催收公司</t>
        </is>
      </c>
    </row>
    <row r="2688">
      <c r="B2688" s="24" t="inlineStr">
        <is>
          <t>PartnerEntType</t>
        </is>
      </c>
      <c r="C2688" s="24" t="inlineStr">
        <is>
          <t>合作方公司客户类型</t>
        </is>
      </c>
      <c r="D2688" s="24" t="inlineStr">
        <is>
          <t>3040</t>
        </is>
      </c>
      <c r="E2688" s="24" t="inlineStr">
        <is>
          <t>律师事务所</t>
        </is>
      </c>
    </row>
    <row r="2689">
      <c r="B2689" s="24" t="inlineStr">
        <is>
          <t>PartnerEntType</t>
        </is>
      </c>
      <c r="C2689" s="24" t="inlineStr">
        <is>
          <t>合作方公司客户类型</t>
        </is>
      </c>
      <c r="D2689" s="24" t="inlineStr">
        <is>
          <t>4010</t>
        </is>
      </c>
      <c r="E2689" s="24" t="inlineStr">
        <is>
          <t>委托公司</t>
        </is>
      </c>
    </row>
    <row r="2690">
      <c r="B2690" s="24" t="inlineStr">
        <is>
          <t>PartnerEntType</t>
        </is>
      </c>
      <c r="C2690" s="24" t="inlineStr">
        <is>
          <t>合作方公司客户类型</t>
        </is>
      </c>
      <c r="D2690" s="24" t="inlineStr">
        <is>
          <t>4020</t>
        </is>
      </c>
      <c r="E2690" s="24" t="inlineStr">
        <is>
          <t>委托人</t>
        </is>
      </c>
    </row>
    <row r="2691" ht="15.95" customHeight="1" s="170">
      <c r="B2691" s="122" t="inlineStr">
        <is>
          <t>码值：MessageOrigin</t>
        </is>
      </c>
    </row>
    <row r="2692">
      <c r="B2692" s="24" t="inlineStr">
        <is>
          <t>MessageOrigin</t>
        </is>
      </c>
      <c r="C2692" s="24" t="inlineStr">
        <is>
          <t>消息源</t>
        </is>
      </c>
      <c r="D2692" s="24" t="inlineStr">
        <is>
          <t>01</t>
        </is>
      </c>
      <c r="E2692" s="24" t="inlineStr">
        <is>
          <t>贷后监控活动</t>
        </is>
      </c>
    </row>
    <row r="2693">
      <c r="B2693" s="24" t="inlineStr">
        <is>
          <t>MessageOrigin</t>
        </is>
      </c>
      <c r="C2693" s="24" t="inlineStr">
        <is>
          <t>消息源</t>
        </is>
      </c>
      <c r="D2693" s="24" t="inlineStr">
        <is>
          <t>02</t>
        </is>
      </c>
      <c r="E2693" s="24" t="inlineStr">
        <is>
          <t>关注媒体</t>
        </is>
      </c>
    </row>
    <row r="2694">
      <c r="B2694" s="24" t="inlineStr">
        <is>
          <t>MessageOrigin</t>
        </is>
      </c>
      <c r="C2694" s="24" t="inlineStr">
        <is>
          <t>消息源</t>
        </is>
      </c>
      <c r="D2694" s="24" t="inlineStr">
        <is>
          <t>03</t>
        </is>
      </c>
      <c r="E2694" s="24" t="inlineStr">
        <is>
          <t>研究分析</t>
        </is>
      </c>
    </row>
    <row r="2695">
      <c r="B2695" s="24" t="inlineStr">
        <is>
          <t>MessageOrigin</t>
        </is>
      </c>
      <c r="C2695" s="24" t="inlineStr">
        <is>
          <t>消息源</t>
        </is>
      </c>
      <c r="D2695" s="24" t="inlineStr">
        <is>
          <t>04</t>
        </is>
      </c>
      <c r="E2695" s="24" t="inlineStr">
        <is>
          <t>金融监管机构披露</t>
        </is>
      </c>
    </row>
    <row r="2696">
      <c r="B2696" s="24" t="inlineStr">
        <is>
          <t>MessageOrigin</t>
        </is>
      </c>
      <c r="C2696" s="24" t="inlineStr">
        <is>
          <t>消息源</t>
        </is>
      </c>
      <c r="D2696" s="24" t="inlineStr">
        <is>
          <t>99</t>
        </is>
      </c>
      <c r="E2696" s="24" t="inlineStr">
        <is>
          <t>其他</t>
        </is>
      </c>
    </row>
    <row r="2697" ht="15.95" customHeight="1" s="170">
      <c r="B2697" s="122" t="inlineStr">
        <is>
          <t>码值：质量管理</t>
        </is>
      </c>
    </row>
    <row r="2698">
      <c r="B2698" s="24" t="inlineStr">
        <is>
          <t>质量管理</t>
        </is>
      </c>
      <c r="C2698" s="24" t="inlineStr">
        <is>
          <t>质量管理</t>
        </is>
      </c>
      <c r="D2698" s="24" t="inlineStr">
        <is>
          <t>1</t>
        </is>
      </c>
      <c r="E2698" s="24" t="inlineStr">
        <is>
          <t>有</t>
        </is>
      </c>
    </row>
    <row r="2699">
      <c r="B2699" s="24" t="inlineStr">
        <is>
          <t>质量管理</t>
        </is>
      </c>
      <c r="C2699" s="24" t="inlineStr">
        <is>
          <t>质量管理</t>
        </is>
      </c>
      <c r="D2699" s="24" t="inlineStr">
        <is>
          <t>2</t>
        </is>
      </c>
      <c r="E2699" s="24" t="inlineStr">
        <is>
          <t>无</t>
        </is>
      </c>
    </row>
    <row r="2700" ht="15.95" customHeight="1" s="170">
      <c r="B2700" s="122" t="inlineStr">
        <is>
          <t>码值：ParamDisplayType</t>
        </is>
      </c>
    </row>
    <row r="2701">
      <c r="B2701" s="24" t="inlineStr">
        <is>
          <t>ParamDisplayType</t>
        </is>
      </c>
      <c r="C2701" s="24" t="inlineStr">
        <is>
          <t>电子合同参数展现形式</t>
        </is>
      </c>
      <c r="D2701" s="24" t="inlineStr">
        <is>
          <t>CHNNUM</t>
        </is>
      </c>
      <c r="E2701" s="24" t="inlineStr">
        <is>
          <t>中文数字</t>
        </is>
      </c>
    </row>
    <row r="2702">
      <c r="B2702" s="24" t="inlineStr">
        <is>
          <t>ParamDisplayType</t>
        </is>
      </c>
      <c r="C2702" s="24" t="inlineStr">
        <is>
          <t>电子合同参数展现形式</t>
        </is>
      </c>
      <c r="D2702" s="24" t="inlineStr">
        <is>
          <t>NUM</t>
        </is>
      </c>
      <c r="E2702" s="24" t="inlineStr">
        <is>
          <t>阿拉伯数字</t>
        </is>
      </c>
    </row>
    <row r="2703">
      <c r="B2703" s="24" t="inlineStr">
        <is>
          <t>ParamDisplayType</t>
        </is>
      </c>
      <c r="C2703" s="24" t="inlineStr">
        <is>
          <t>电子合同参数展现形式</t>
        </is>
      </c>
      <c r="D2703" s="24" t="inlineStr">
        <is>
          <t>NUM_2_DECIMAL</t>
        </is>
      </c>
      <c r="E2703" s="24" t="inlineStr">
        <is>
          <t>数字(2位小数)</t>
        </is>
      </c>
    </row>
    <row r="2704">
      <c r="B2704" s="24" t="inlineStr">
        <is>
          <t>ParamDisplayType</t>
        </is>
      </c>
      <c r="C2704" s="24" t="inlineStr">
        <is>
          <t>电子合同参数展现形式</t>
        </is>
      </c>
      <c r="D2704" s="24" t="inlineStr">
        <is>
          <t>NUM_4_DECIMAL</t>
        </is>
      </c>
      <c r="E2704" s="24" t="inlineStr">
        <is>
          <t>数字(4位小数)</t>
        </is>
      </c>
    </row>
    <row r="2705">
      <c r="B2705" s="24" t="inlineStr">
        <is>
          <t>ParamDisplayType</t>
        </is>
      </c>
      <c r="C2705" s="24" t="inlineStr">
        <is>
          <t>电子合同参数展现形式</t>
        </is>
      </c>
      <c r="D2705" s="24" t="inlineStr">
        <is>
          <t>PIC</t>
        </is>
      </c>
      <c r="E2705" s="24" t="inlineStr">
        <is>
          <t>图片</t>
        </is>
      </c>
    </row>
    <row r="2706">
      <c r="B2706" s="24" t="inlineStr">
        <is>
          <t>ParamDisplayType</t>
        </is>
      </c>
      <c r="C2706" s="24" t="inlineStr">
        <is>
          <t>电子合同参数展现形式</t>
        </is>
      </c>
      <c r="D2706" s="24" t="inlineStr">
        <is>
          <t>TABLE</t>
        </is>
      </c>
      <c r="E2706" s="24" t="inlineStr">
        <is>
          <t>表格</t>
        </is>
      </c>
    </row>
    <row r="2707">
      <c r="B2707" s="24" t="inlineStr">
        <is>
          <t>ParamDisplayType</t>
        </is>
      </c>
      <c r="C2707" s="24" t="inlineStr">
        <is>
          <t>电子合同参数展现形式</t>
        </is>
      </c>
      <c r="D2707" s="24" t="inlineStr">
        <is>
          <t>TEXT</t>
        </is>
      </c>
      <c r="E2707" s="24" t="inlineStr">
        <is>
          <t>文字</t>
        </is>
      </c>
    </row>
    <row r="2708" ht="15.95" customHeight="1" s="170">
      <c r="B2708" s="122" t="inlineStr">
        <is>
          <t>码值：SEGRTPAmountFlag</t>
        </is>
      </c>
    </row>
    <row r="2709">
      <c r="B2709" s="24" t="inlineStr">
        <is>
          <t>SEGRTPAmountFlag</t>
        </is>
      </c>
      <c r="C2709" s="24" t="inlineStr">
        <is>
          <t>区段金额标示</t>
        </is>
      </c>
      <c r="D2709" s="24" t="inlineStr">
        <is>
          <t>1</t>
        </is>
      </c>
      <c r="E2709" s="24" t="inlineStr">
        <is>
          <t>贷款余额</t>
        </is>
      </c>
    </row>
    <row r="2710">
      <c r="B2710" s="24" t="inlineStr">
        <is>
          <t>SEGRTPAmountFlag</t>
        </is>
      </c>
      <c r="C2710" s="24" t="inlineStr">
        <is>
          <t>区段金额标示</t>
        </is>
      </c>
      <c r="D2710" s="24" t="inlineStr">
        <is>
          <t>2</t>
        </is>
      </c>
      <c r="E2710" s="24" t="inlineStr">
        <is>
          <t>指定金额</t>
        </is>
      </c>
    </row>
    <row r="2711">
      <c r="B2711" s="24" t="inlineStr">
        <is>
          <t>SEGRTPAmountFlag</t>
        </is>
      </c>
      <c r="C2711" s="24" t="inlineStr">
        <is>
          <t>区段金额标示</t>
        </is>
      </c>
      <c r="D2711" s="24" t="inlineStr">
        <is>
          <t>3</t>
        </is>
      </c>
      <c r="E2711" s="24" t="inlineStr">
        <is>
          <t>指定每期还款额</t>
        </is>
      </c>
    </row>
    <row r="2712" ht="15.95" customHeight="1" s="170">
      <c r="B2712" s="122" t="inlineStr">
        <is>
          <t>码值：CapitalPurposeIndCheckMain</t>
        </is>
      </c>
    </row>
    <row r="2713">
      <c r="B2713" s="24" t="inlineStr">
        <is>
          <t>CapitalPurposeIndCheckMain</t>
        </is>
      </c>
      <c r="C2713" s="24" t="inlineStr">
        <is>
          <t>个人资金用途监控申请主树图</t>
        </is>
      </c>
      <c r="D2713" s="24" t="inlineStr">
        <is>
          <t>1010</t>
        </is>
      </c>
      <c r="E2713" s="24" t="inlineStr">
        <is>
          <t>待处理</t>
        </is>
      </c>
    </row>
    <row r="2714">
      <c r="B2714" s="24" t="inlineStr">
        <is>
          <t>CapitalPurposeIndCheckMain</t>
        </is>
      </c>
      <c r="C2714" s="24" t="inlineStr">
        <is>
          <t>个人资金用途监控申请主树图</t>
        </is>
      </c>
      <c r="D2714" s="24" t="inlineStr">
        <is>
          <t>1020</t>
        </is>
      </c>
      <c r="E2714" s="24" t="inlineStr">
        <is>
          <t>审批中</t>
        </is>
      </c>
    </row>
    <row r="2715">
      <c r="B2715" s="24" t="inlineStr">
        <is>
          <t>CapitalPurposeIndCheckMain</t>
        </is>
      </c>
      <c r="C2715" s="24" t="inlineStr">
        <is>
          <t>个人资金用途监控申请主树图</t>
        </is>
      </c>
      <c r="D2715" s="24" t="inlineStr">
        <is>
          <t>1040,1050</t>
        </is>
      </c>
      <c r="E2715" s="24" t="inlineStr">
        <is>
          <t>处理完成</t>
        </is>
      </c>
    </row>
    <row r="2716" ht="15.95" customHeight="1" s="170">
      <c r="B2716" s="122" t="inlineStr">
        <is>
          <t>码值：AmountType</t>
        </is>
      </c>
    </row>
    <row r="2717">
      <c r="B2717" s="24" t="inlineStr">
        <is>
          <t>AmountType</t>
        </is>
      </c>
      <c r="C2717" s="24" t="inlineStr">
        <is>
          <t>金额类型</t>
        </is>
      </c>
      <c r="D2717" s="24" t="inlineStr">
        <is>
          <t>1</t>
        </is>
      </c>
      <c r="E2717" s="24" t="inlineStr">
        <is>
          <t>本金</t>
        </is>
      </c>
    </row>
    <row r="2718">
      <c r="B2718" s="24" t="inlineStr">
        <is>
          <t>AmountType</t>
        </is>
      </c>
      <c r="C2718" s="24" t="inlineStr">
        <is>
          <t>金额类型</t>
        </is>
      </c>
      <c r="D2718" s="24" t="inlineStr">
        <is>
          <t>2</t>
        </is>
      </c>
      <c r="E2718" s="24" t="inlineStr">
        <is>
          <t>本金+利息</t>
        </is>
      </c>
    </row>
    <row r="2719" ht="15.95" customHeight="1" s="170">
      <c r="B2719" s="122" t="inlineStr">
        <is>
          <t>码值：LoginOne</t>
        </is>
      </c>
    </row>
    <row r="2720">
      <c r="B2720" s="24" t="inlineStr">
        <is>
          <t>LoginOne</t>
        </is>
      </c>
      <c r="C2720" s="24" t="inlineStr">
        <is>
          <t>单点登录</t>
        </is>
      </c>
      <c r="D2720" s="24" t="inlineStr">
        <is>
          <t>10</t>
        </is>
      </c>
      <c r="E2720" s="24" t="inlineStr">
        <is>
          <t>是否启用单点登录</t>
        </is>
      </c>
    </row>
    <row r="2721" ht="15.95" customHeight="1" s="170">
      <c r="B2721" s="122" t="inlineStr">
        <is>
          <t>码值：直接认定风险度</t>
        </is>
      </c>
    </row>
    <row r="2722">
      <c r="B2722" s="24" t="inlineStr">
        <is>
          <t>直接认定风险度</t>
        </is>
      </c>
      <c r="C2722" s="24" t="inlineStr">
        <is>
          <t>直接认定风险度</t>
        </is>
      </c>
      <c r="D2722" s="24" t="inlineStr">
        <is>
          <t>01</t>
        </is>
      </c>
      <c r="E2722" s="24" t="inlineStr">
        <is>
          <t>1)	不直接认定</t>
        </is>
      </c>
    </row>
    <row r="2723">
      <c r="B2723" s="24" t="inlineStr">
        <is>
          <t>直接认定风险度</t>
        </is>
      </c>
      <c r="C2723" s="24" t="inlineStr">
        <is>
          <t>直接认定风险度</t>
        </is>
      </c>
      <c r="D2723" s="24" t="inlineStr">
        <is>
          <t>02</t>
        </is>
      </c>
      <c r="E2723" s="24" t="inlineStr">
        <is>
          <t>2)	逾期1－3个月，或欠息3－6个月</t>
        </is>
      </c>
    </row>
    <row r="2724">
      <c r="B2724" s="24" t="inlineStr">
        <is>
          <t>直接认定风险度</t>
        </is>
      </c>
      <c r="C2724" s="24" t="inlineStr">
        <is>
          <t>直接认定风险度</t>
        </is>
      </c>
      <c r="D2724" s="24" t="inlineStr">
        <is>
          <t>03</t>
        </is>
      </c>
      <c r="E2724" s="24" t="inlineStr">
        <is>
          <t>3)	表外业务发生垫款3个月以内</t>
        </is>
      </c>
    </row>
    <row r="2725">
      <c r="B2725" s="24" t="inlineStr">
        <is>
          <t>直接认定风险度</t>
        </is>
      </c>
      <c r="C2725" s="24" t="inlineStr">
        <is>
          <t>直接认定风险度</t>
        </is>
      </c>
      <c r="D2725" s="24" t="inlineStr">
        <is>
          <t>04</t>
        </is>
      </c>
      <c r="E2725" s="24" t="inlineStr">
        <is>
          <t>4)	贷款风险分类为次级</t>
        </is>
      </c>
    </row>
    <row r="2726">
      <c r="B2726" s="24" t="inlineStr">
        <is>
          <t>直接认定风险度</t>
        </is>
      </c>
      <c r="C2726" s="24" t="inlineStr">
        <is>
          <t>直接认定风险度</t>
        </is>
      </c>
      <c r="D2726" s="24" t="inlineStr">
        <is>
          <t>05</t>
        </is>
      </c>
      <c r="E2726" s="24" t="inlineStr">
        <is>
          <t>5)	逾期3－6个月，或欠息6－9个月</t>
        </is>
      </c>
    </row>
    <row r="2727">
      <c r="B2727" s="24" t="inlineStr">
        <is>
          <t>直接认定风险度</t>
        </is>
      </c>
      <c r="C2727" s="24" t="inlineStr">
        <is>
          <t>直接认定风险度</t>
        </is>
      </c>
      <c r="D2727" s="24" t="inlineStr">
        <is>
          <t>06</t>
        </is>
      </c>
      <c r="E2727" s="24" t="inlineStr">
        <is>
          <t>6)	表外业务发生垫款3－6个月</t>
        </is>
      </c>
    </row>
    <row r="2728">
      <c r="B2728" s="24" t="inlineStr">
        <is>
          <t>直接认定风险度</t>
        </is>
      </c>
      <c r="C2728" s="24" t="inlineStr">
        <is>
          <t>直接认定风险度</t>
        </is>
      </c>
      <c r="D2728" s="24" t="inlineStr">
        <is>
          <t>07</t>
        </is>
      </c>
      <c r="E2728" s="24" t="inlineStr">
        <is>
          <t>7)	逾期6个月以上，或欠息9个月以上</t>
        </is>
      </c>
    </row>
    <row r="2729">
      <c r="B2729" s="24" t="inlineStr">
        <is>
          <t>直接认定风险度</t>
        </is>
      </c>
      <c r="C2729" s="24" t="inlineStr">
        <is>
          <t>直接认定风险度</t>
        </is>
      </c>
      <c r="D2729" s="24" t="inlineStr">
        <is>
          <t>08</t>
        </is>
      </c>
      <c r="E2729" s="24" t="inlineStr">
        <is>
          <t>8)	表外业务发生垫款6个月以上</t>
        </is>
      </c>
    </row>
    <row r="2730">
      <c r="B2730" s="24" t="inlineStr">
        <is>
          <t>直接认定风险度</t>
        </is>
      </c>
      <c r="C2730" s="24" t="inlineStr">
        <is>
          <t>直接认定风险度</t>
        </is>
      </c>
      <c r="D2730" s="24" t="inlineStr">
        <is>
          <t>09</t>
        </is>
      </c>
      <c r="E2730" s="24" t="inlineStr">
        <is>
          <t>9)	贷款风险分类为可疑</t>
        </is>
      </c>
    </row>
    <row r="2731">
      <c r="B2731" s="24" t="inlineStr">
        <is>
          <t>直接认定风险度</t>
        </is>
      </c>
      <c r="C2731" s="24" t="inlineStr">
        <is>
          <t>直接认定风险度</t>
        </is>
      </c>
      <c r="D2731" s="24" t="inlineStr">
        <is>
          <t>10</t>
        </is>
      </c>
      <c r="E2731" s="24" t="inlineStr">
        <is>
          <t>10)	贷款风险分类为损失</t>
        </is>
      </c>
    </row>
    <row r="2732" ht="15.95" customHeight="1" s="170">
      <c r="B2732" s="122" t="inlineStr">
        <is>
          <t>码值：GuarantyGroundAttribute</t>
        </is>
      </c>
    </row>
    <row r="2733">
      <c r="B2733" s="24" t="inlineStr">
        <is>
          <t>GuarantyGroundAttribute</t>
        </is>
      </c>
      <c r="C2733" s="24" t="inlineStr">
        <is>
          <t>担保土地性质</t>
        </is>
      </c>
      <c r="D2733" s="24" t="inlineStr">
        <is>
          <t>01</t>
        </is>
      </c>
      <c r="E2733" s="24" t="inlineStr">
        <is>
          <t>出让</t>
        </is>
      </c>
    </row>
    <row r="2734">
      <c r="B2734" s="24" t="inlineStr">
        <is>
          <t>GuarantyGroundAttribute</t>
        </is>
      </c>
      <c r="C2734" s="24" t="inlineStr">
        <is>
          <t>担保土地性质</t>
        </is>
      </c>
      <c r="D2734" s="24" t="inlineStr">
        <is>
          <t>02</t>
        </is>
      </c>
      <c r="E2734" s="24" t="inlineStr">
        <is>
          <t>划拔</t>
        </is>
      </c>
    </row>
    <row r="2735">
      <c r="B2735" s="24" t="inlineStr">
        <is>
          <t>GuarantyGroundAttribute</t>
        </is>
      </c>
      <c r="C2735" s="24" t="inlineStr">
        <is>
          <t>担保土地性质</t>
        </is>
      </c>
      <c r="D2735" s="24" t="inlineStr">
        <is>
          <t>03</t>
        </is>
      </c>
      <c r="E2735" s="24" t="inlineStr">
        <is>
          <t>其他</t>
        </is>
      </c>
    </row>
    <row r="2736" ht="15.95" customHeight="1" s="170">
      <c r="B2736" s="122" t="inlineStr">
        <is>
          <t>码值：RelateType</t>
        </is>
      </c>
    </row>
    <row r="2737">
      <c r="B2737" s="24" t="inlineStr">
        <is>
          <t>RelateType</t>
        </is>
      </c>
      <c r="C2737" s="24" t="inlineStr">
        <is>
          <t>相关性</t>
        </is>
      </c>
      <c r="D2737" s="24" t="inlineStr">
        <is>
          <t>01</t>
        </is>
      </c>
      <c r="E2737" s="24" t="inlineStr">
        <is>
          <t>无相关</t>
        </is>
      </c>
    </row>
    <row r="2738">
      <c r="B2738" s="24" t="inlineStr">
        <is>
          <t>RelateType</t>
        </is>
      </c>
      <c r="C2738" s="24" t="inlineStr">
        <is>
          <t>相关性</t>
        </is>
      </c>
      <c r="D2738" s="24" t="inlineStr">
        <is>
          <t>02</t>
        </is>
      </c>
      <c r="E2738" s="24" t="inlineStr">
        <is>
          <t>一定相关性</t>
        </is>
      </c>
    </row>
    <row r="2739">
      <c r="B2739" s="24" t="inlineStr">
        <is>
          <t>RelateType</t>
        </is>
      </c>
      <c r="C2739" s="24" t="inlineStr">
        <is>
          <t>相关性</t>
        </is>
      </c>
      <c r="D2739" s="24" t="inlineStr">
        <is>
          <t>03</t>
        </is>
      </c>
      <c r="E2739" s="24" t="inlineStr">
        <is>
          <t>完全相关</t>
        </is>
      </c>
    </row>
    <row r="2740" ht="15.95" customHeight="1" s="170">
      <c r="B2740" s="122" t="inlineStr">
        <is>
          <t>码值：CargoType</t>
        </is>
      </c>
    </row>
    <row r="2741">
      <c r="B2741" s="24" t="inlineStr">
        <is>
          <t>CargoType</t>
        </is>
      </c>
      <c r="C2741" s="24" t="inlineStr">
        <is>
          <t>货物类型</t>
        </is>
      </c>
      <c r="D2741" s="24" t="inlineStr">
        <is>
          <t>01</t>
        </is>
      </c>
      <c r="E2741" s="24" t="inlineStr">
        <is>
          <t>黑色金属</t>
        </is>
      </c>
    </row>
    <row r="2742">
      <c r="B2742" s="24" t="inlineStr">
        <is>
          <t>CargoType</t>
        </is>
      </c>
      <c r="C2742" s="24" t="inlineStr">
        <is>
          <t>货物类型</t>
        </is>
      </c>
      <c r="D2742" s="24" t="inlineStr">
        <is>
          <t>02</t>
        </is>
      </c>
      <c r="E2742" s="24" t="inlineStr">
        <is>
          <t>有色金属</t>
        </is>
      </c>
    </row>
    <row r="2743">
      <c r="B2743" s="24" t="inlineStr">
        <is>
          <t>CargoType</t>
        </is>
      </c>
      <c r="C2743" s="24" t="inlineStr">
        <is>
          <t>货物类型</t>
        </is>
      </c>
      <c r="D2743" s="24" t="inlineStr">
        <is>
          <t>03</t>
        </is>
      </c>
      <c r="E2743" s="24" t="inlineStr">
        <is>
          <t>化工产品</t>
        </is>
      </c>
    </row>
    <row r="2744">
      <c r="B2744" s="24" t="inlineStr">
        <is>
          <t>CargoType</t>
        </is>
      </c>
      <c r="C2744" s="24" t="inlineStr">
        <is>
          <t>货物类型</t>
        </is>
      </c>
      <c r="D2744" s="24" t="inlineStr">
        <is>
          <t>04</t>
        </is>
      </c>
      <c r="E2744" s="24" t="inlineStr">
        <is>
          <t>能源油品</t>
        </is>
      </c>
    </row>
    <row r="2745">
      <c r="B2745" s="24" t="inlineStr">
        <is>
          <t>CargoType</t>
        </is>
      </c>
      <c r="C2745" s="24" t="inlineStr">
        <is>
          <t>货物类型</t>
        </is>
      </c>
      <c r="D2745" s="24" t="inlineStr">
        <is>
          <t>05</t>
        </is>
      </c>
      <c r="E2745" s="24" t="inlineStr">
        <is>
          <t>农产品</t>
        </is>
      </c>
    </row>
    <row r="2746">
      <c r="B2746" s="24" t="inlineStr">
        <is>
          <t>CargoType</t>
        </is>
      </c>
      <c r="C2746" s="24" t="inlineStr">
        <is>
          <t>货物类型</t>
        </is>
      </c>
      <c r="D2746" s="24" t="inlineStr">
        <is>
          <t>06</t>
        </is>
      </c>
      <c r="E2746" s="24" t="inlineStr">
        <is>
          <t>煤炭</t>
        </is>
      </c>
    </row>
    <row r="2747">
      <c r="B2747" s="24" t="inlineStr">
        <is>
          <t>CargoType</t>
        </is>
      </c>
      <c r="C2747" s="24" t="inlineStr">
        <is>
          <t>货物类型</t>
        </is>
      </c>
      <c r="D2747" s="24" t="inlineStr">
        <is>
          <t>07</t>
        </is>
      </c>
      <c r="E2747" s="24" t="inlineStr">
        <is>
          <t>木材</t>
        </is>
      </c>
    </row>
    <row r="2748">
      <c r="B2748" s="24" t="inlineStr">
        <is>
          <t>CargoType</t>
        </is>
      </c>
      <c r="C2748" s="24" t="inlineStr">
        <is>
          <t>货物类型</t>
        </is>
      </c>
      <c r="D2748" s="24" t="inlineStr">
        <is>
          <t>08</t>
        </is>
      </c>
      <c r="E2748" s="24" t="inlineStr">
        <is>
          <t>成品纸</t>
        </is>
      </c>
    </row>
    <row r="2749">
      <c r="B2749" s="24" t="inlineStr">
        <is>
          <t>CargoType</t>
        </is>
      </c>
      <c r="C2749" s="24" t="inlineStr">
        <is>
          <t>货物类型</t>
        </is>
      </c>
      <c r="D2749" s="24" t="inlineStr">
        <is>
          <t>09</t>
        </is>
      </c>
      <c r="E2749" s="24" t="inlineStr">
        <is>
          <t>白色家电</t>
        </is>
      </c>
    </row>
    <row r="2750">
      <c r="B2750" s="24" t="inlineStr">
        <is>
          <t>CargoType</t>
        </is>
      </c>
      <c r="C2750" s="24" t="inlineStr">
        <is>
          <t>货物类型</t>
        </is>
      </c>
      <c r="D2750" s="24" t="inlineStr">
        <is>
          <t>10</t>
        </is>
      </c>
      <c r="E2750" s="24" t="inlineStr">
        <is>
          <t>实物黄金</t>
        </is>
      </c>
    </row>
    <row r="2751">
      <c r="B2751" s="24" t="inlineStr">
        <is>
          <t>CargoType</t>
        </is>
      </c>
      <c r="C2751" s="24" t="inlineStr">
        <is>
          <t>货物类型</t>
        </is>
      </c>
      <c r="D2751" s="24" t="inlineStr">
        <is>
          <t>90</t>
        </is>
      </c>
      <c r="E2751" s="24" t="inlineStr">
        <is>
          <t>其他</t>
        </is>
      </c>
    </row>
    <row r="2752" ht="15.95" customHeight="1" s="170">
      <c r="B2752" s="122" t="inlineStr">
        <is>
          <t>码值：TrueFalse</t>
        </is>
      </c>
    </row>
    <row r="2753">
      <c r="B2753" s="24" t="inlineStr">
        <is>
          <t>TrueFalse</t>
        </is>
      </c>
      <c r="C2753" s="24" t="inlineStr">
        <is>
          <t>是否</t>
        </is>
      </c>
      <c r="D2753" s="24" t="inlineStr">
        <is>
          <t>0</t>
        </is>
      </c>
      <c r="E2753" s="24" t="inlineStr">
        <is>
          <t>否</t>
        </is>
      </c>
    </row>
    <row r="2754">
      <c r="B2754" s="24" t="inlineStr">
        <is>
          <t>TrueFalse</t>
        </is>
      </c>
      <c r="C2754" s="24" t="inlineStr">
        <is>
          <t>是否</t>
        </is>
      </c>
      <c r="D2754" s="24" t="inlineStr">
        <is>
          <t>1</t>
        </is>
      </c>
      <c r="E2754" s="24" t="inlineStr">
        <is>
          <t>是</t>
        </is>
      </c>
    </row>
    <row r="2755" ht="15.95" customHeight="1" s="170">
      <c r="B2755" s="122" t="inlineStr">
        <is>
          <t>码值：营销策略及措施</t>
        </is>
      </c>
    </row>
    <row r="2756">
      <c r="B2756" s="24" t="inlineStr">
        <is>
          <t>营销策略及措施</t>
        </is>
      </c>
      <c r="C2756" s="24" t="inlineStr">
        <is>
          <t>营销策略及措施</t>
        </is>
      </c>
      <c r="D2756" s="24" t="inlineStr">
        <is>
          <t>1</t>
        </is>
      </c>
      <c r="E2756" s="24" t="inlineStr">
        <is>
          <t>有</t>
        </is>
      </c>
    </row>
    <row r="2757">
      <c r="B2757" s="24" t="inlineStr">
        <is>
          <t>营销策略及措施</t>
        </is>
      </c>
      <c r="C2757" s="24" t="inlineStr">
        <is>
          <t>营销策略及措施</t>
        </is>
      </c>
      <c r="D2757" s="24" t="inlineStr">
        <is>
          <t>2</t>
        </is>
      </c>
      <c r="E2757" s="24" t="inlineStr">
        <is>
          <t>无</t>
        </is>
      </c>
    </row>
    <row r="2758" ht="15.95" customHeight="1" s="170">
      <c r="B2758" s="122" t="inlineStr">
        <is>
          <t>码值：AssureType</t>
        </is>
      </c>
    </row>
    <row r="2759">
      <c r="B2759" s="24" t="inlineStr">
        <is>
          <t>AssureType</t>
        </is>
      </c>
      <c r="C2759" s="24" t="inlineStr">
        <is>
          <t>保函类型</t>
        </is>
      </c>
      <c r="D2759" s="24" t="inlineStr">
        <is>
          <t>010</t>
        </is>
      </c>
      <c r="E2759" s="24" t="inlineStr">
        <is>
          <t>开立保函授信</t>
        </is>
      </c>
    </row>
    <row r="2760">
      <c r="B2760" s="24" t="inlineStr">
        <is>
          <t>AssureType</t>
        </is>
      </c>
      <c r="C2760" s="24" t="inlineStr">
        <is>
          <t>保函类型</t>
        </is>
      </c>
      <c r="D2760" s="24" t="inlineStr">
        <is>
          <t>01010</t>
        </is>
      </c>
      <c r="E2760" s="24" t="inlineStr">
        <is>
          <t>融资类保函</t>
        </is>
      </c>
    </row>
    <row r="2761">
      <c r="B2761" s="24" t="inlineStr">
        <is>
          <t>AssureType</t>
        </is>
      </c>
      <c r="C2761" s="24" t="inlineStr">
        <is>
          <t>保函类型</t>
        </is>
      </c>
      <c r="D2761" s="24" t="inlineStr">
        <is>
          <t>0101010</t>
        </is>
      </c>
      <c r="E2761" s="24" t="inlineStr">
        <is>
          <t>借款偿还保函</t>
        </is>
      </c>
    </row>
    <row r="2762">
      <c r="B2762" s="24" t="inlineStr">
        <is>
          <t>AssureType</t>
        </is>
      </c>
      <c r="C2762" s="24" t="inlineStr">
        <is>
          <t>保函类型</t>
        </is>
      </c>
      <c r="D2762" s="24" t="inlineStr">
        <is>
          <t>0101020</t>
        </is>
      </c>
      <c r="E2762" s="24" t="inlineStr">
        <is>
          <t>透支归还保函</t>
        </is>
      </c>
    </row>
    <row r="2763">
      <c r="B2763" s="24" t="inlineStr">
        <is>
          <t>AssureType</t>
        </is>
      </c>
      <c r="C2763" s="24" t="inlineStr">
        <is>
          <t>保函类型</t>
        </is>
      </c>
      <c r="D2763" s="24" t="inlineStr">
        <is>
          <t>0101030</t>
        </is>
      </c>
      <c r="E2763" s="24" t="inlineStr">
        <is>
          <t>银行授信额度保函</t>
        </is>
      </c>
    </row>
    <row r="2764">
      <c r="B2764" s="24" t="inlineStr">
        <is>
          <t>AssureType</t>
        </is>
      </c>
      <c r="C2764" s="24" t="inlineStr">
        <is>
          <t>保函类型</t>
        </is>
      </c>
      <c r="D2764" s="24" t="inlineStr">
        <is>
          <t>0101040</t>
        </is>
      </c>
      <c r="E2764" s="24" t="inlineStr">
        <is>
          <t>有价证券发行担保</t>
        </is>
      </c>
    </row>
    <row r="2765">
      <c r="B2765" s="24" t="inlineStr">
        <is>
          <t>AssureType</t>
        </is>
      </c>
      <c r="C2765" s="24" t="inlineStr">
        <is>
          <t>保函类型</t>
        </is>
      </c>
      <c r="D2765" s="24" t="inlineStr">
        <is>
          <t>0101050</t>
        </is>
      </c>
      <c r="E2765" s="24" t="inlineStr">
        <is>
          <t>租金偿还保函</t>
        </is>
      </c>
    </row>
    <row r="2766">
      <c r="B2766" s="24" t="inlineStr">
        <is>
          <t>AssureType</t>
        </is>
      </c>
      <c r="C2766" s="24" t="inlineStr">
        <is>
          <t>保函类型</t>
        </is>
      </c>
      <c r="D2766" s="24" t="inlineStr">
        <is>
          <t>0101060</t>
        </is>
      </c>
      <c r="E2766" s="24" t="inlineStr">
        <is>
          <t>补偿贸易保函</t>
        </is>
      </c>
    </row>
    <row r="2767">
      <c r="B2767" s="24" t="inlineStr">
        <is>
          <t>AssureType</t>
        </is>
      </c>
      <c r="C2767" s="24" t="inlineStr">
        <is>
          <t>保函类型</t>
        </is>
      </c>
      <c r="D2767" s="24" t="inlineStr">
        <is>
          <t>0101070</t>
        </is>
      </c>
      <c r="E2767" s="24" t="inlineStr">
        <is>
          <t>其他融资性保函</t>
        </is>
      </c>
    </row>
    <row r="2768">
      <c r="B2768" s="24" t="inlineStr">
        <is>
          <t>AssureType</t>
        </is>
      </c>
      <c r="C2768" s="24" t="inlineStr">
        <is>
          <t>保函类型</t>
        </is>
      </c>
      <c r="D2768" s="24" t="inlineStr">
        <is>
          <t>01020</t>
        </is>
      </c>
      <c r="E2768" s="24" t="inlineStr">
        <is>
          <t>非融资类保函</t>
        </is>
      </c>
    </row>
    <row r="2769">
      <c r="B2769" s="24" t="inlineStr">
        <is>
          <t>AssureType</t>
        </is>
      </c>
      <c r="C2769" s="24" t="inlineStr">
        <is>
          <t>保函类型</t>
        </is>
      </c>
      <c r="D2769" s="24" t="inlineStr">
        <is>
          <t>0102010</t>
        </is>
      </c>
      <c r="E2769" s="24" t="inlineStr">
        <is>
          <t>投标保函</t>
        </is>
      </c>
    </row>
    <row r="2770">
      <c r="B2770" s="24" t="inlineStr">
        <is>
          <t>AssureType</t>
        </is>
      </c>
      <c r="C2770" s="24" t="inlineStr">
        <is>
          <t>保函类型</t>
        </is>
      </c>
      <c r="D2770" s="24" t="inlineStr">
        <is>
          <t>0102020</t>
        </is>
      </c>
      <c r="E2770" s="24" t="inlineStr">
        <is>
          <t>履约保函</t>
        </is>
      </c>
    </row>
    <row r="2771">
      <c r="B2771" s="24" t="inlineStr">
        <is>
          <t>AssureType</t>
        </is>
      </c>
      <c r="C2771" s="24" t="inlineStr">
        <is>
          <t>保函类型</t>
        </is>
      </c>
      <c r="D2771" s="24" t="inlineStr">
        <is>
          <t>0102030</t>
        </is>
      </c>
      <c r="E2771" s="24" t="inlineStr">
        <is>
          <t>预付款保函</t>
        </is>
      </c>
    </row>
    <row r="2772">
      <c r="B2772" s="24" t="inlineStr">
        <is>
          <t>AssureType</t>
        </is>
      </c>
      <c r="C2772" s="24" t="inlineStr">
        <is>
          <t>保函类型</t>
        </is>
      </c>
      <c r="D2772" s="24" t="inlineStr">
        <is>
          <t>0102040</t>
        </is>
      </c>
      <c r="E2772" s="24" t="inlineStr">
        <is>
          <t>质量维修保函</t>
        </is>
      </c>
    </row>
    <row r="2773">
      <c r="B2773" s="24" t="inlineStr">
        <is>
          <t>AssureType</t>
        </is>
      </c>
      <c r="C2773" s="24" t="inlineStr">
        <is>
          <t>保函类型</t>
        </is>
      </c>
      <c r="D2773" s="24" t="inlineStr">
        <is>
          <t>0102050</t>
        </is>
      </c>
      <c r="E2773" s="24" t="inlineStr">
        <is>
          <t>付款保函</t>
        </is>
      </c>
    </row>
    <row r="2774">
      <c r="B2774" s="24" t="inlineStr">
        <is>
          <t>AssureType</t>
        </is>
      </c>
      <c r="C2774" s="24" t="inlineStr">
        <is>
          <t>保函类型</t>
        </is>
      </c>
      <c r="D2774" s="24" t="inlineStr">
        <is>
          <t>0102060</t>
        </is>
      </c>
      <c r="E2774" s="24" t="inlineStr">
        <is>
          <t>关税保付保函</t>
        </is>
      </c>
    </row>
    <row r="2775">
      <c r="B2775" s="24" t="inlineStr">
        <is>
          <t>AssureType</t>
        </is>
      </c>
      <c r="C2775" s="24" t="inlineStr">
        <is>
          <t>保函类型</t>
        </is>
      </c>
      <c r="D2775" s="24" t="inlineStr">
        <is>
          <t>0102070</t>
        </is>
      </c>
      <c r="E2775" s="24" t="inlineStr">
        <is>
          <t>承包工程保函</t>
        </is>
      </c>
    </row>
    <row r="2776">
      <c r="B2776" s="24" t="inlineStr">
        <is>
          <t>AssureType</t>
        </is>
      </c>
      <c r="C2776" s="24" t="inlineStr">
        <is>
          <t>保函类型</t>
        </is>
      </c>
      <c r="D2776" s="24" t="inlineStr">
        <is>
          <t>0102080</t>
        </is>
      </c>
      <c r="E2776" s="24" t="inlineStr">
        <is>
          <t>海事保函</t>
        </is>
      </c>
    </row>
    <row r="2777">
      <c r="B2777" s="24" t="inlineStr">
        <is>
          <t>AssureType</t>
        </is>
      </c>
      <c r="C2777" s="24" t="inlineStr">
        <is>
          <t>保函类型</t>
        </is>
      </c>
      <c r="D2777" s="24" t="inlineStr">
        <is>
          <t>0102090</t>
        </is>
      </c>
      <c r="E2777" s="24" t="inlineStr">
        <is>
          <t>诉讼保函</t>
        </is>
      </c>
    </row>
    <row r="2778">
      <c r="B2778" s="24" t="inlineStr">
        <is>
          <t>AssureType</t>
        </is>
      </c>
      <c r="C2778" s="24" t="inlineStr">
        <is>
          <t>保函类型</t>
        </is>
      </c>
      <c r="D2778" s="24" t="inlineStr">
        <is>
          <t>0102091</t>
        </is>
      </c>
      <c r="E2778" s="24" t="inlineStr">
        <is>
          <t>留置金保函</t>
        </is>
      </c>
    </row>
    <row r="2779">
      <c r="B2779" s="24" t="inlineStr">
        <is>
          <t>AssureType</t>
        </is>
      </c>
      <c r="C2779" s="24" t="inlineStr">
        <is>
          <t>保函类型</t>
        </is>
      </c>
      <c r="D2779" s="24" t="inlineStr">
        <is>
          <t>0102092</t>
        </is>
      </c>
      <c r="E2779" s="24" t="inlineStr">
        <is>
          <t>加工装配业务进口保函</t>
        </is>
      </c>
    </row>
    <row r="2780">
      <c r="B2780" s="24" t="inlineStr">
        <is>
          <t>AssureType</t>
        </is>
      </c>
      <c r="C2780" s="24" t="inlineStr">
        <is>
          <t>保函类型</t>
        </is>
      </c>
      <c r="D2780" s="24" t="inlineStr">
        <is>
          <t>0102093</t>
        </is>
      </c>
      <c r="E2780" s="24" t="inlineStr">
        <is>
          <t>补偿贸易保函</t>
        </is>
      </c>
    </row>
    <row r="2781">
      <c r="B2781" s="24" t="inlineStr">
        <is>
          <t>AssureType</t>
        </is>
      </c>
      <c r="C2781" s="24" t="inlineStr">
        <is>
          <t>保函类型</t>
        </is>
      </c>
      <c r="D2781" s="24" t="inlineStr">
        <is>
          <t>0102094</t>
        </is>
      </c>
      <c r="E2781" s="24" t="inlineStr">
        <is>
          <t>其他非融资性保函</t>
        </is>
      </c>
    </row>
    <row r="2782">
      <c r="B2782" s="24" t="inlineStr">
        <is>
          <t>AssureType</t>
        </is>
      </c>
      <c r="C2782" s="24" t="inlineStr">
        <is>
          <t>保函类型</t>
        </is>
      </c>
      <c r="D2782" s="24" t="inlineStr">
        <is>
          <t>01030</t>
        </is>
      </c>
      <c r="E2782" s="24" t="inlineStr">
        <is>
          <t>其他类保函</t>
        </is>
      </c>
    </row>
    <row r="2783" ht="15.95" customHeight="1" s="170">
      <c r="B2783" s="122" t="inlineStr">
        <is>
          <t>码值：全国排名</t>
        </is>
      </c>
    </row>
    <row r="2784">
      <c r="B2784" s="24" t="inlineStr">
        <is>
          <t>全国排名</t>
        </is>
      </c>
      <c r="C2784" s="24" t="inlineStr">
        <is>
          <t>全国排名</t>
        </is>
      </c>
      <c r="D2784" s="24" t="inlineStr">
        <is>
          <t>1</t>
        </is>
      </c>
      <c r="E2784" s="24" t="inlineStr">
        <is>
          <t>是前50强</t>
        </is>
      </c>
    </row>
    <row r="2785">
      <c r="B2785" s="24" t="inlineStr">
        <is>
          <t>全国排名</t>
        </is>
      </c>
      <c r="C2785" s="24" t="inlineStr">
        <is>
          <t>全国排名</t>
        </is>
      </c>
      <c r="D2785" s="24" t="inlineStr">
        <is>
          <t>2</t>
        </is>
      </c>
      <c r="E2785" s="24" t="inlineStr">
        <is>
          <t>不是前50强</t>
        </is>
      </c>
    </row>
    <row r="2786" ht="15.95" customHeight="1" s="170">
      <c r="B2786" s="122" t="inlineStr">
        <is>
          <t>码值：Growth</t>
        </is>
      </c>
    </row>
    <row r="2787">
      <c r="B2787" s="24" t="inlineStr">
        <is>
          <t>Growth</t>
        </is>
      </c>
      <c r="C2787" s="24" t="inlineStr">
        <is>
          <t>信用等级评估统一导入</t>
        </is>
      </c>
      <c r="D2787" s="24" t="inlineStr">
        <is>
          <t>1</t>
        </is>
      </c>
      <c r="E2787" s="24" t="inlineStr">
        <is>
          <t>主营业务收入，净利润连续三年增长(增幅5%以上)</t>
        </is>
      </c>
    </row>
    <row r="2788">
      <c r="B2788" s="24" t="inlineStr">
        <is>
          <t>Growth</t>
        </is>
      </c>
      <c r="C2788" s="24" t="inlineStr">
        <is>
          <t>信用等级评估统一导入</t>
        </is>
      </c>
      <c r="D2788" s="24" t="inlineStr">
        <is>
          <t>2</t>
        </is>
      </c>
      <c r="E2788" s="24" t="inlineStr">
        <is>
          <t>主营业务收入，净利润连续三年持平(上下幅度5%以内)</t>
        </is>
      </c>
    </row>
    <row r="2789">
      <c r="B2789" s="24" t="inlineStr">
        <is>
          <t>Growth</t>
        </is>
      </c>
      <c r="C2789" s="24" t="inlineStr">
        <is>
          <t>信用等级评估统一导入</t>
        </is>
      </c>
      <c r="D2789" s="24" t="inlineStr">
        <is>
          <t>3</t>
        </is>
      </c>
      <c r="E2789" s="24" t="inlineStr">
        <is>
          <t>主营业务收入，净利润连续三年下降(降幅5%以内)</t>
        </is>
      </c>
    </row>
    <row r="2790" ht="15.95" customHeight="1" s="170">
      <c r="B2790" s="122" t="inlineStr">
        <is>
          <t>码值：DataInputMain</t>
        </is>
      </c>
    </row>
    <row r="2791">
      <c r="B2791" s="24" t="inlineStr">
        <is>
          <t>DataInputMain</t>
        </is>
      </c>
      <c r="C2791" s="24" t="inlineStr">
        <is>
          <t>数据补登主界面</t>
        </is>
      </c>
      <c r="D2791" s="24" t="inlineStr">
        <is>
          <t>010</t>
        </is>
      </c>
      <c r="E2791" s="24" t="inlineStr">
        <is>
          <t>信贷业务数据</t>
        </is>
      </c>
    </row>
    <row r="2792">
      <c r="B2792" s="24" t="inlineStr">
        <is>
          <t>DataInputMain</t>
        </is>
      </c>
      <c r="C2792" s="24" t="inlineStr">
        <is>
          <t>数据补登主界面</t>
        </is>
      </c>
      <c r="D2792" s="24" t="inlineStr">
        <is>
          <t>010010</t>
        </is>
      </c>
      <c r="E2792" s="24" t="inlineStr">
        <is>
          <t>需补登信贷业务</t>
        </is>
      </c>
    </row>
    <row r="2793">
      <c r="B2793" s="24" t="inlineStr">
        <is>
          <t>DataInputMain</t>
        </is>
      </c>
      <c r="C2793" s="24" t="inlineStr">
        <is>
          <t>数据补登主界面</t>
        </is>
      </c>
      <c r="D2793" s="24" t="inlineStr">
        <is>
          <t>010020</t>
        </is>
      </c>
      <c r="E2793" s="24" t="inlineStr">
        <is>
          <t>补登完成信贷业务</t>
        </is>
      </c>
    </row>
    <row r="2794">
      <c r="B2794" s="24" t="inlineStr">
        <is>
          <t>DataInputMain</t>
        </is>
      </c>
      <c r="C2794" s="24" t="inlineStr">
        <is>
          <t>数据补登主界面</t>
        </is>
      </c>
      <c r="D2794" s="24" t="inlineStr">
        <is>
          <t>010050</t>
        </is>
      </c>
      <c r="E2794" s="24" t="inlineStr">
        <is>
          <t>信贷业务补登统计</t>
        </is>
      </c>
    </row>
    <row r="2795">
      <c r="B2795" s="24" t="inlineStr">
        <is>
          <t>DataInputMain</t>
        </is>
      </c>
      <c r="C2795" s="24" t="inlineStr">
        <is>
          <t>数据补登主界面</t>
        </is>
      </c>
      <c r="D2795" s="24" t="inlineStr">
        <is>
          <t>010060</t>
        </is>
      </c>
      <c r="E2795" s="24" t="inlineStr">
        <is>
          <t>已合并合同查询</t>
        </is>
      </c>
    </row>
    <row r="2796" ht="15.95" customHeight="1" s="170">
      <c r="B2796" s="122" t="inlineStr">
        <is>
          <t>码值：个人全年收入</t>
        </is>
      </c>
    </row>
    <row r="2797">
      <c r="B2797" s="24" t="inlineStr">
        <is>
          <t>个人全年收入</t>
        </is>
      </c>
      <c r="C2797" s="24" t="inlineStr">
        <is>
          <t>个人全年收入</t>
        </is>
      </c>
      <c r="D2797" s="24" t="inlineStr">
        <is>
          <t>1</t>
        </is>
      </c>
      <c r="E2797" s="24" t="inlineStr">
        <is>
          <t>5万元以上</t>
        </is>
      </c>
    </row>
    <row r="2798">
      <c r="B2798" s="24" t="inlineStr">
        <is>
          <t>个人全年收入</t>
        </is>
      </c>
      <c r="C2798" s="24" t="inlineStr">
        <is>
          <t>个人全年收入</t>
        </is>
      </c>
      <c r="D2798" s="24" t="inlineStr">
        <is>
          <t>2</t>
        </is>
      </c>
      <c r="E2798" s="24" t="inlineStr">
        <is>
          <t xml:space="preserve">3万元－5万元(含5万元) </t>
        </is>
      </c>
    </row>
    <row r="2799">
      <c r="B2799" s="24" t="inlineStr">
        <is>
          <t>个人全年收入</t>
        </is>
      </c>
      <c r="C2799" s="24" t="inlineStr">
        <is>
          <t>个人全年收入</t>
        </is>
      </c>
      <c r="D2799" s="24" t="inlineStr">
        <is>
          <t>3</t>
        </is>
      </c>
      <c r="E2799" s="24" t="inlineStr">
        <is>
          <t xml:space="preserve">3万元以下(含3万元) </t>
        </is>
      </c>
    </row>
    <row r="2800" ht="15.95" customHeight="1" s="170">
      <c r="B2800" s="122" t="inlineStr">
        <is>
          <t>码值：场所</t>
        </is>
      </c>
    </row>
    <row r="2801">
      <c r="B2801" s="24" t="inlineStr">
        <is>
          <t>场所</t>
        </is>
      </c>
      <c r="C2801" s="24" t="inlineStr">
        <is>
          <t>场所</t>
        </is>
      </c>
      <c r="D2801" s="24" t="inlineStr">
        <is>
          <t>01</t>
        </is>
      </c>
      <c r="E2801" s="24" t="inlineStr">
        <is>
          <t>房地产位于非常优越的地段，周边地段均价大于该城市/地区总体均价的两倍</t>
        </is>
      </c>
    </row>
    <row r="2802">
      <c r="B2802" s="24" t="inlineStr">
        <is>
          <t>场所</t>
        </is>
      </c>
      <c r="C2802" s="24" t="inlineStr">
        <is>
          <t>场所</t>
        </is>
      </c>
      <c r="D2802" s="24" t="inlineStr">
        <is>
          <t>02</t>
        </is>
      </c>
      <c r="E2802" s="24" t="inlineStr">
        <is>
          <t>房地产位于优越的地段，周边地段均价小于该城市/地区总体均价的两倍但仍高于均价</t>
        </is>
      </c>
    </row>
    <row r="2803">
      <c r="B2803" s="24" t="inlineStr">
        <is>
          <t>场所</t>
        </is>
      </c>
      <c r="C2803" s="24" t="inlineStr">
        <is>
          <t>场所</t>
        </is>
      </c>
      <c r="D2803" s="24" t="inlineStr">
        <is>
          <t>03</t>
        </is>
      </c>
      <c r="E2803" s="24" t="inlineStr">
        <is>
          <t>周边地段均价与该城市/地区总体均价相当</t>
        </is>
      </c>
    </row>
    <row r="2804">
      <c r="B2804" s="24" t="inlineStr">
        <is>
          <t>场所</t>
        </is>
      </c>
      <c r="C2804" s="24" t="inlineStr">
        <is>
          <t>场所</t>
        </is>
      </c>
      <c r="D2804" s="24" t="inlineStr">
        <is>
          <t>04</t>
        </is>
      </c>
      <c r="E2804" s="24" t="inlineStr">
        <is>
          <t>房地产位置缺乏比较优势，周边地段均价低于该城市/地区的总体均价</t>
        </is>
      </c>
    </row>
    <row r="2805" ht="15.95" customHeight="1" s="170">
      <c r="B2805" s="122" t="inlineStr">
        <is>
          <t>码值：ClewAndAlarmMain</t>
        </is>
      </c>
    </row>
    <row r="2806">
      <c r="B2806" s="24" t="inlineStr">
        <is>
          <t>ClewAndAlarmMain</t>
        </is>
      </c>
      <c r="C2806" s="24" t="inlineStr">
        <is>
          <t>业务提示和预警</t>
        </is>
      </c>
      <c r="D2806" s="24" t="inlineStr">
        <is>
          <t>01</t>
        </is>
      </c>
      <c r="E2806" s="24" t="inlineStr">
        <is>
          <t>业务提示</t>
        </is>
      </c>
    </row>
    <row r="2807">
      <c r="B2807" s="24" t="inlineStr">
        <is>
          <t>ClewAndAlarmMain</t>
        </is>
      </c>
      <c r="C2807" s="24" t="inlineStr">
        <is>
          <t>业务提示和预警</t>
        </is>
      </c>
      <c r="D2807" s="24" t="inlineStr">
        <is>
          <t>010010</t>
        </is>
      </c>
      <c r="E2807" s="24" t="inlineStr">
        <is>
          <t>7天内到期业务(含第7天)</t>
        </is>
      </c>
    </row>
    <row r="2808">
      <c r="B2808" s="24" t="inlineStr">
        <is>
          <t>ClewAndAlarmMain</t>
        </is>
      </c>
      <c r="C2808" s="24" t="inlineStr">
        <is>
          <t>业务提示和预警</t>
        </is>
      </c>
      <c r="D2808" s="24" t="inlineStr">
        <is>
          <t>010020</t>
        </is>
      </c>
      <c r="E2808" s="24" t="inlineStr">
        <is>
          <t>15天内到期业务(含第15天)</t>
        </is>
      </c>
    </row>
    <row r="2809">
      <c r="B2809" s="24" t="inlineStr">
        <is>
          <t>ClewAndAlarmMain</t>
        </is>
      </c>
      <c r="C2809" s="24" t="inlineStr">
        <is>
          <t>业务提示和预警</t>
        </is>
      </c>
      <c r="D2809" s="24" t="inlineStr">
        <is>
          <t>010030</t>
        </is>
      </c>
      <c r="E2809" s="24" t="inlineStr">
        <is>
          <t>30天内到期业务(含第30天)</t>
        </is>
      </c>
    </row>
    <row r="2810">
      <c r="B2810" s="24" t="inlineStr">
        <is>
          <t>ClewAndAlarmMain</t>
        </is>
      </c>
      <c r="C2810" s="24" t="inlineStr">
        <is>
          <t>业务提示和预警</t>
        </is>
      </c>
      <c r="D2810" s="24" t="inlineStr">
        <is>
          <t>02</t>
        </is>
      </c>
      <c r="E2810" s="24" t="inlineStr">
        <is>
          <t>预警信息</t>
        </is>
      </c>
    </row>
    <row r="2811">
      <c r="B2811" s="24" t="inlineStr">
        <is>
          <t>ClewAndAlarmMain</t>
        </is>
      </c>
      <c r="C2811" s="24" t="inlineStr">
        <is>
          <t>业务提示和预警</t>
        </is>
      </c>
      <c r="D2811" s="24" t="inlineStr">
        <is>
          <t>020010</t>
        </is>
      </c>
      <c r="E2811" s="24" t="inlineStr">
        <is>
          <t>待预警检查的预警信号</t>
        </is>
      </c>
    </row>
    <row r="2812">
      <c r="B2812" s="24" t="inlineStr">
        <is>
          <t>ClewAndAlarmMain</t>
        </is>
      </c>
      <c r="C2812" s="24" t="inlineStr">
        <is>
          <t>业务提示和预警</t>
        </is>
      </c>
      <c r="D2812" s="24" t="inlineStr">
        <is>
          <t>020020</t>
        </is>
      </c>
      <c r="E2812" s="24" t="inlineStr">
        <is>
          <t>已完成预警检查的预警信号</t>
        </is>
      </c>
    </row>
    <row r="2813" ht="15.95" customHeight="1" s="170">
      <c r="B2813" s="122" t="inlineStr">
        <is>
          <t>码值：ColAlign</t>
        </is>
      </c>
    </row>
    <row r="2814">
      <c r="B2814" s="24" t="inlineStr">
        <is>
          <t>ColAlign</t>
        </is>
      </c>
      <c r="C2814" s="24" t="inlineStr">
        <is>
          <t>对齐方式</t>
        </is>
      </c>
      <c r="D2814" s="24" t="inlineStr">
        <is>
          <t>1</t>
        </is>
      </c>
      <c r="E2814" s="24" t="inlineStr">
        <is>
          <t>左</t>
        </is>
      </c>
    </row>
    <row r="2815">
      <c r="B2815" s="24" t="inlineStr">
        <is>
          <t>ColAlign</t>
        </is>
      </c>
      <c r="C2815" s="24" t="inlineStr">
        <is>
          <t>对齐方式</t>
        </is>
      </c>
      <c r="D2815" s="24" t="inlineStr">
        <is>
          <t>2</t>
        </is>
      </c>
      <c r="E2815" s="24" t="inlineStr">
        <is>
          <t>中</t>
        </is>
      </c>
    </row>
    <row r="2816">
      <c r="B2816" s="24" t="inlineStr">
        <is>
          <t>ColAlign</t>
        </is>
      </c>
      <c r="C2816" s="24" t="inlineStr">
        <is>
          <t>对齐方式</t>
        </is>
      </c>
      <c r="D2816" s="24" t="inlineStr">
        <is>
          <t>3</t>
        </is>
      </c>
      <c r="E2816" s="24" t="inlineStr">
        <is>
          <t>右</t>
        </is>
      </c>
    </row>
    <row r="2817" ht="15.95" customHeight="1" s="170">
      <c r="B2817" s="122" t="inlineStr">
        <is>
          <t>码值：DebitSituation</t>
        </is>
      </c>
    </row>
    <row r="2818">
      <c r="B2818" s="24" t="inlineStr">
        <is>
          <t>DebitSituation</t>
        </is>
      </c>
      <c r="C2818" s="24" t="inlineStr">
        <is>
          <t>信用等级评估统一导入</t>
        </is>
      </c>
      <c r="D2818" s="24" t="inlineStr">
        <is>
          <t>1</t>
        </is>
      </c>
      <c r="E2818" s="24" t="inlineStr">
        <is>
          <t>1年度内，无欠息</t>
        </is>
      </c>
    </row>
    <row r="2819">
      <c r="B2819" s="24" t="inlineStr">
        <is>
          <t>DebitSituation</t>
        </is>
      </c>
      <c r="C2819" s="24" t="inlineStr">
        <is>
          <t>信用等级评估统一导入</t>
        </is>
      </c>
      <c r="D2819" s="24" t="inlineStr">
        <is>
          <t>2</t>
        </is>
      </c>
      <c r="E2819" s="24" t="inlineStr">
        <is>
          <t>曾有欠息而目前没有</t>
        </is>
      </c>
    </row>
    <row r="2820">
      <c r="B2820" s="24" t="inlineStr">
        <is>
          <t>DebitSituation</t>
        </is>
      </c>
      <c r="C2820" s="24" t="inlineStr">
        <is>
          <t>信用等级评估统一导入</t>
        </is>
      </c>
      <c r="D2820" s="24" t="inlineStr">
        <is>
          <t>3</t>
        </is>
      </c>
      <c r="E2820" s="24" t="inlineStr">
        <is>
          <t>目前有欠息</t>
        </is>
      </c>
    </row>
    <row r="2821">
      <c r="B2821" s="24" t="inlineStr">
        <is>
          <t>DebitSituation</t>
        </is>
      </c>
      <c r="C2821" s="24" t="inlineStr">
        <is>
          <t>信用等级评估统一导入</t>
        </is>
      </c>
      <c r="D2821" s="24" t="inlineStr">
        <is>
          <t>4</t>
        </is>
      </c>
      <c r="E2821" s="24" t="inlineStr">
        <is>
          <t>连续2个季度欠息</t>
        </is>
      </c>
    </row>
    <row r="2822">
      <c r="B2822" s="24" t="inlineStr">
        <is>
          <t>DebitSituation</t>
        </is>
      </c>
      <c r="C2822" s="24" t="inlineStr">
        <is>
          <t>信用等级评估统一导入</t>
        </is>
      </c>
      <c r="D2822" s="24" t="inlineStr">
        <is>
          <t>5</t>
        </is>
      </c>
      <c r="E2822" s="24" t="inlineStr">
        <is>
          <t>连续1年以上欠息</t>
        </is>
      </c>
    </row>
    <row r="2823" ht="15.95" customHeight="1" s="170">
      <c r="B2823" s="122" t="inlineStr">
        <is>
          <t>码值：RelativeMonth</t>
        </is>
      </c>
    </row>
    <row r="2824">
      <c r="B2824" s="24" t="inlineStr">
        <is>
          <t>RelativeMonth</t>
        </is>
      </c>
      <c r="C2824" s="24" t="inlineStr">
        <is>
          <t>报表会计月份</t>
        </is>
      </c>
      <c r="D2824" s="24" t="inlineStr">
        <is>
          <t>上年同期</t>
        </is>
      </c>
      <c r="E2824" s="24" t="inlineStr">
        <is>
          <t>上年同期</t>
        </is>
      </c>
    </row>
    <row r="2825">
      <c r="B2825" s="24" t="inlineStr">
        <is>
          <t>RelativeMonth</t>
        </is>
      </c>
      <c r="C2825" s="24" t="inlineStr">
        <is>
          <t>报表会计月份</t>
        </is>
      </c>
      <c r="D2825" s="24" t="inlineStr">
        <is>
          <t>上年年初</t>
        </is>
      </c>
      <c r="E2825" s="24" t="inlineStr">
        <is>
          <t>上年年初</t>
        </is>
      </c>
    </row>
    <row r="2826">
      <c r="B2826" s="24" t="inlineStr">
        <is>
          <t>RelativeMonth</t>
        </is>
      </c>
      <c r="C2826" s="24" t="inlineStr">
        <is>
          <t>报表会计月份</t>
        </is>
      </c>
      <c r="D2826" s="24" t="inlineStr">
        <is>
          <t>上年年末</t>
        </is>
      </c>
      <c r="E2826" s="24" t="inlineStr">
        <is>
          <t>上年年末</t>
        </is>
      </c>
    </row>
    <row r="2827">
      <c r="B2827" s="24" t="inlineStr">
        <is>
          <t>RelativeMonth</t>
        </is>
      </c>
      <c r="C2827" s="24" t="inlineStr">
        <is>
          <t>报表会计月份</t>
        </is>
      </c>
      <c r="D2827" s="24" t="inlineStr">
        <is>
          <t>上期</t>
        </is>
      </c>
      <c r="E2827" s="24" t="inlineStr">
        <is>
          <t>上期</t>
        </is>
      </c>
    </row>
    <row r="2828">
      <c r="B2828" s="24" t="inlineStr">
        <is>
          <t>RelativeMonth</t>
        </is>
      </c>
      <c r="C2828" s="24" t="inlineStr">
        <is>
          <t>报表会计月份</t>
        </is>
      </c>
      <c r="D2828" s="24" t="inlineStr">
        <is>
          <t>前年同期</t>
        </is>
      </c>
      <c r="E2828" s="24" t="inlineStr">
        <is>
          <t>前年同期</t>
        </is>
      </c>
    </row>
    <row r="2829">
      <c r="B2829" s="24" t="inlineStr">
        <is>
          <t>RelativeMonth</t>
        </is>
      </c>
      <c r="C2829" s="24" t="inlineStr">
        <is>
          <t>报表会计月份</t>
        </is>
      </c>
      <c r="D2829" s="24" t="inlineStr">
        <is>
          <t>前年年初</t>
        </is>
      </c>
      <c r="E2829" s="24" t="inlineStr">
        <is>
          <t>前年年初</t>
        </is>
      </c>
    </row>
    <row r="2830">
      <c r="B2830" s="24" t="inlineStr">
        <is>
          <t>RelativeMonth</t>
        </is>
      </c>
      <c r="C2830" s="24" t="inlineStr">
        <is>
          <t>报表会计月份</t>
        </is>
      </c>
      <c r="D2830" s="24" t="inlineStr">
        <is>
          <t>前年年末</t>
        </is>
      </c>
      <c r="E2830" s="24" t="inlineStr">
        <is>
          <t>前年年末</t>
        </is>
      </c>
    </row>
    <row r="2831">
      <c r="B2831" s="24" t="inlineStr">
        <is>
          <t>RelativeMonth</t>
        </is>
      </c>
      <c r="C2831" s="24" t="inlineStr">
        <is>
          <t>报表会计月份</t>
        </is>
      </c>
      <c r="D2831" s="24" t="inlineStr">
        <is>
          <t>年初</t>
        </is>
      </c>
      <c r="E2831" s="24" t="inlineStr">
        <is>
          <t>年初</t>
        </is>
      </c>
    </row>
    <row r="2832">
      <c r="B2832" s="24" t="inlineStr">
        <is>
          <t>RelativeMonth</t>
        </is>
      </c>
      <c r="C2832" s="24" t="inlineStr">
        <is>
          <t>报表会计月份</t>
        </is>
      </c>
      <c r="D2832" s="24" t="inlineStr">
        <is>
          <t>当期</t>
        </is>
      </c>
      <c r="E2832" s="24" t="inlineStr">
        <is>
          <t>当期</t>
        </is>
      </c>
    </row>
    <row r="2833">
      <c r="B2833" s="24" t="inlineStr">
        <is>
          <t>RelativeMonth</t>
        </is>
      </c>
      <c r="C2833" s="24" t="inlineStr">
        <is>
          <t>报表会计月份</t>
        </is>
      </c>
      <c r="D2833" s="24" t="inlineStr">
        <is>
          <t>本年上期</t>
        </is>
      </c>
      <c r="E2833" s="24" t="inlineStr">
        <is>
          <t>本年上期</t>
        </is>
      </c>
    </row>
    <row r="2834" ht="15.95" customHeight="1" s="170">
      <c r="B2834" s="122" t="inlineStr">
        <is>
          <t>码值：产品更新换代</t>
        </is>
      </c>
    </row>
    <row r="2835">
      <c r="B2835" s="24" t="inlineStr">
        <is>
          <t>产品更新换代</t>
        </is>
      </c>
      <c r="C2835" s="24" t="inlineStr">
        <is>
          <t>产品更新换代</t>
        </is>
      </c>
      <c r="D2835" s="24" t="inlineStr">
        <is>
          <t>1</t>
        </is>
      </c>
      <c r="E2835" s="24" t="inlineStr">
        <is>
          <t>快</t>
        </is>
      </c>
    </row>
    <row r="2836">
      <c r="B2836" s="24" t="inlineStr">
        <is>
          <t>产品更新换代</t>
        </is>
      </c>
      <c r="C2836" s="24" t="inlineStr">
        <is>
          <t>产品更新换代</t>
        </is>
      </c>
      <c r="D2836" s="24" t="inlineStr">
        <is>
          <t>2</t>
        </is>
      </c>
      <c r="E2836" s="24" t="inlineStr">
        <is>
          <t>一般</t>
        </is>
      </c>
    </row>
    <row r="2837">
      <c r="B2837" s="24" t="inlineStr">
        <is>
          <t>产品更新换代</t>
        </is>
      </c>
      <c r="C2837" s="24" t="inlineStr">
        <is>
          <t>产品更新换代</t>
        </is>
      </c>
      <c r="D2837" s="24" t="inlineStr">
        <is>
          <t>3</t>
        </is>
      </c>
      <c r="E2837" s="24" t="inlineStr">
        <is>
          <t>能力较差</t>
        </is>
      </c>
    </row>
    <row r="2838" ht="15.95" customHeight="1" s="170">
      <c r="B2838" s="122" t="inlineStr">
        <is>
          <t>码值：BLType</t>
        </is>
      </c>
    </row>
    <row r="2839">
      <c r="B2839" s="24" t="inlineStr">
        <is>
          <t>BLType</t>
        </is>
      </c>
      <c r="C2839" s="24" t="inlineStr">
        <is>
          <t>保理类型</t>
        </is>
      </c>
      <c r="D2839" s="24" t="inlineStr">
        <is>
          <t>01</t>
        </is>
      </c>
      <c r="E2839" s="24" t="inlineStr">
        <is>
          <t>回购</t>
        </is>
      </c>
    </row>
    <row r="2840">
      <c r="B2840" s="24" t="inlineStr">
        <is>
          <t>BLType</t>
        </is>
      </c>
      <c r="C2840" s="24" t="inlineStr">
        <is>
          <t>保理类型</t>
        </is>
      </c>
      <c r="D2840" s="24" t="inlineStr">
        <is>
          <t>02</t>
        </is>
      </c>
      <c r="E2840" s="24" t="inlineStr">
        <is>
          <t>买断型</t>
        </is>
      </c>
    </row>
    <row r="2841" ht="15.95" customHeight="1" s="170">
      <c r="B2841" s="122" t="inlineStr">
        <is>
          <t>码值：各项目批件取得情况</t>
        </is>
      </c>
    </row>
    <row r="2842">
      <c r="B2842" s="24" t="inlineStr">
        <is>
          <t>各项目批件取得情况</t>
        </is>
      </c>
      <c r="C2842" s="24" t="inlineStr">
        <is>
          <t>各项目批件取得情况</t>
        </is>
      </c>
      <c r="D2842" s="24" t="inlineStr">
        <is>
          <t>1</t>
        </is>
      </c>
      <c r="E2842" s="24" t="inlineStr">
        <is>
          <t>齐全</t>
        </is>
      </c>
    </row>
    <row r="2843">
      <c r="B2843" s="24" t="inlineStr">
        <is>
          <t>各项目批件取得情况</t>
        </is>
      </c>
      <c r="C2843" s="24" t="inlineStr">
        <is>
          <t>各项目批件取得情况</t>
        </is>
      </c>
      <c r="D2843" s="24" t="inlineStr">
        <is>
          <t>2</t>
        </is>
      </c>
      <c r="E2843" s="24" t="inlineStr">
        <is>
          <t>不齐全</t>
        </is>
      </c>
    </row>
    <row r="2844" ht="15.95" customHeight="1" s="170">
      <c r="B2844" s="122" t="inlineStr">
        <is>
          <t>码值：ButtonSetEdoc</t>
        </is>
      </c>
    </row>
    <row r="2845">
      <c r="B2845" s="24" t="inlineStr">
        <is>
          <t>ButtonSetEdoc</t>
        </is>
      </c>
      <c r="C2845" s="24" t="inlineStr">
        <is>
          <t>电子合同申请按钮组</t>
        </is>
      </c>
      <c r="D2845" s="24" t="inlineStr">
        <is>
          <t>backStep</t>
        </is>
      </c>
      <c r="E2845" s="24" t="inlineStr">
        <is>
          <t>回退任务</t>
        </is>
      </c>
    </row>
    <row r="2846">
      <c r="B2846" s="24" t="inlineStr">
        <is>
          <t>ButtonSetEdoc</t>
        </is>
      </c>
      <c r="C2846" s="24" t="inlineStr">
        <is>
          <t>电子合同申请按钮组</t>
        </is>
      </c>
      <c r="D2846" s="24" t="inlineStr">
        <is>
          <t>cancelApply</t>
        </is>
      </c>
      <c r="E2846" s="24" t="inlineStr">
        <is>
          <t>取消申请</t>
        </is>
      </c>
    </row>
    <row r="2847">
      <c r="B2847" s="24" t="inlineStr">
        <is>
          <t>ButtonSetEdoc</t>
        </is>
      </c>
      <c r="C2847" s="24" t="inlineStr">
        <is>
          <t>电子合同申请按钮组</t>
        </is>
      </c>
      <c r="D2847" s="24" t="inlineStr">
        <is>
          <t>completeTask</t>
        </is>
      </c>
      <c r="E2847" s="24" t="inlineStr">
        <is>
          <t>提交申请</t>
        </is>
      </c>
    </row>
    <row r="2848">
      <c r="B2848" s="24" t="inlineStr">
        <is>
          <t>ButtonSetEdoc</t>
        </is>
      </c>
      <c r="C2848" s="24" t="inlineStr">
        <is>
          <t>电子合同申请按钮组</t>
        </is>
      </c>
      <c r="D2848" s="24" t="inlineStr">
        <is>
          <t>detailOpinion</t>
        </is>
      </c>
      <c r="E2848" s="24" t="inlineStr">
        <is>
          <t>查看意见</t>
        </is>
      </c>
    </row>
    <row r="2849">
      <c r="B2849" s="24" t="inlineStr">
        <is>
          <t>ButtonSetEdoc</t>
        </is>
      </c>
      <c r="C2849" s="24" t="inlineStr">
        <is>
          <t>电子合同申请按钮组</t>
        </is>
      </c>
      <c r="D2849" s="24" t="inlineStr">
        <is>
          <t>newApply</t>
        </is>
      </c>
      <c r="E2849" s="24" t="inlineStr">
        <is>
          <t>新增申请</t>
        </is>
      </c>
    </row>
    <row r="2850">
      <c r="B2850" s="24" t="inlineStr">
        <is>
          <t>ButtonSetEdoc</t>
        </is>
      </c>
      <c r="C2850" s="24" t="inlineStr">
        <is>
          <t>电子合同申请按钮组</t>
        </is>
      </c>
      <c r="D2850" s="24" t="inlineStr">
        <is>
          <t>signOpinion</t>
        </is>
      </c>
      <c r="E2850" s="24" t="inlineStr">
        <is>
          <t>签署意见</t>
        </is>
      </c>
    </row>
    <row r="2851">
      <c r="B2851" s="24" t="inlineStr">
        <is>
          <t>ButtonSetEdoc</t>
        </is>
      </c>
      <c r="C2851" s="24" t="inlineStr">
        <is>
          <t>电子合同申请按钮组</t>
        </is>
      </c>
      <c r="D2851" s="24" t="inlineStr">
        <is>
          <t>takeBack</t>
        </is>
      </c>
      <c r="E2851" s="24" t="inlineStr">
        <is>
          <t>主动撤回</t>
        </is>
      </c>
    </row>
    <row r="2852">
      <c r="B2852" s="24" t="inlineStr">
        <is>
          <t>ButtonSetEdoc</t>
        </is>
      </c>
      <c r="C2852" s="24" t="inlineStr">
        <is>
          <t>电子合同申请按钮组</t>
        </is>
      </c>
      <c r="D2852" s="24" t="inlineStr">
        <is>
          <t>viewDetail</t>
        </is>
      </c>
      <c r="E2852" s="24" t="inlineStr">
        <is>
          <t>申请详情</t>
        </is>
      </c>
    </row>
    <row r="2853" ht="15.95" customHeight="1" s="170">
      <c r="B2853" s="122" t="inlineStr">
        <is>
          <t>码值：ColEditSourceType</t>
        </is>
      </c>
    </row>
    <row r="2854">
      <c r="B2854" s="24" t="inlineStr">
        <is>
          <t>ColEditSourceType</t>
        </is>
      </c>
      <c r="C2854" s="24" t="inlineStr">
        <is>
          <t>下拉框来源</t>
        </is>
      </c>
      <c r="D2854" s="24" t="inlineStr">
        <is>
          <t>Code</t>
        </is>
      </c>
      <c r="E2854" s="24" t="inlineStr">
        <is>
          <t>代码</t>
        </is>
      </c>
    </row>
    <row r="2855">
      <c r="B2855" s="24" t="inlineStr">
        <is>
          <t>ColEditSourceType</t>
        </is>
      </c>
      <c r="C2855" s="24" t="inlineStr">
        <is>
          <t>下拉框来源</t>
        </is>
      </c>
      <c r="D2855" s="24" t="inlineStr">
        <is>
          <t>CodeTable</t>
        </is>
      </c>
      <c r="E2855" s="24" t="inlineStr">
        <is>
          <t>代码表</t>
        </is>
      </c>
    </row>
    <row r="2856">
      <c r="B2856" s="24" t="inlineStr">
        <is>
          <t>ColEditSourceType</t>
        </is>
      </c>
      <c r="C2856" s="24" t="inlineStr">
        <is>
          <t>下拉框来源</t>
        </is>
      </c>
      <c r="D2856" s="24" t="inlineStr">
        <is>
          <t>SQL</t>
        </is>
      </c>
      <c r="E2856" s="24" t="inlineStr">
        <is>
          <t>SQL</t>
        </is>
      </c>
    </row>
    <row r="2857" ht="15.95" customHeight="1" s="170">
      <c r="B2857" s="122" t="inlineStr">
        <is>
          <t>码值：ShareholdersType</t>
        </is>
      </c>
    </row>
    <row r="2858">
      <c r="B2858" s="24" t="inlineStr">
        <is>
          <t>ShareholdersType</t>
        </is>
      </c>
      <c r="C2858" s="24" t="inlineStr">
        <is>
          <t>信用等级评估统一导入</t>
        </is>
      </c>
      <c r="D2858" s="24" t="inlineStr">
        <is>
          <t>01</t>
        </is>
      </c>
      <c r="E2858" s="24" t="inlineStr">
        <is>
          <t>央企，或者世界五百强企业，或其直接控股企业</t>
        </is>
      </c>
    </row>
    <row r="2859">
      <c r="B2859" s="24" t="inlineStr">
        <is>
          <t>ShareholdersType</t>
        </is>
      </c>
      <c r="C2859" s="24" t="inlineStr">
        <is>
          <t>信用等级评估统一导入</t>
        </is>
      </c>
      <c r="D2859" s="24" t="inlineStr">
        <is>
          <t>02</t>
        </is>
      </c>
      <c r="E2859" s="24" t="inlineStr">
        <is>
          <t>上市公司(包括国内及国外上市公司,但不包括ST股或已停牌上市公司)，或者省（自治区、直辖市）属国有企业</t>
        </is>
      </c>
    </row>
    <row r="2860">
      <c r="B2860" s="24" t="inlineStr">
        <is>
          <t>ShareholdersType</t>
        </is>
      </c>
      <c r="C2860" s="24" t="inlineStr">
        <is>
          <t>信用等级评估统一导入</t>
        </is>
      </c>
      <c r="D2860" s="24" t="inlineStr">
        <is>
          <t>03</t>
        </is>
      </c>
      <c r="E2860" s="24" t="inlineStr">
        <is>
          <t>B类公司的直接控股子公司</t>
        </is>
      </c>
    </row>
    <row r="2861">
      <c r="B2861" s="24" t="inlineStr">
        <is>
          <t>ShareholdersType</t>
        </is>
      </c>
      <c r="C2861" s="24" t="inlineStr">
        <is>
          <t>信用等级评估统一导入</t>
        </is>
      </c>
      <c r="D2861" s="24" t="inlineStr">
        <is>
          <t>04</t>
        </is>
      </c>
      <c r="E2861" s="24" t="inlineStr">
        <is>
          <t>非上市股份有限公司</t>
        </is>
      </c>
    </row>
    <row r="2862">
      <c r="B2862" s="24" t="inlineStr">
        <is>
          <t>ShareholdersType</t>
        </is>
      </c>
      <c r="C2862" s="24" t="inlineStr">
        <is>
          <t>信用等级评估统一导入</t>
        </is>
      </c>
      <c r="D2862" s="24" t="inlineStr">
        <is>
          <t>05</t>
        </is>
      </c>
      <c r="E2862" s="24" t="inlineStr">
        <is>
          <t>个人或其他</t>
        </is>
      </c>
    </row>
    <row r="2863" ht="15.95" customHeight="1" s="170">
      <c r="B2863" s="122" t="inlineStr">
        <is>
          <t>码值：进取精神</t>
        </is>
      </c>
    </row>
    <row r="2864">
      <c r="B2864" s="24" t="inlineStr">
        <is>
          <t>进取精神</t>
        </is>
      </c>
      <c r="C2864" s="24" t="inlineStr">
        <is>
          <t>进取精神</t>
        </is>
      </c>
      <c r="D2864" s="24" t="inlineStr">
        <is>
          <t>1</t>
        </is>
      </c>
      <c r="E2864" s="24" t="inlineStr">
        <is>
          <t>好</t>
        </is>
      </c>
    </row>
    <row r="2865">
      <c r="B2865" s="24" t="inlineStr">
        <is>
          <t>进取精神</t>
        </is>
      </c>
      <c r="C2865" s="24" t="inlineStr">
        <is>
          <t>进取精神</t>
        </is>
      </c>
      <c r="D2865" s="24" t="inlineStr">
        <is>
          <t>2</t>
        </is>
      </c>
      <c r="E2865" s="24" t="inlineStr">
        <is>
          <t>较好</t>
        </is>
      </c>
    </row>
    <row r="2866">
      <c r="B2866" s="24" t="inlineStr">
        <is>
          <t>进取精神</t>
        </is>
      </c>
      <c r="C2866" s="24" t="inlineStr">
        <is>
          <t>进取精神</t>
        </is>
      </c>
      <c r="D2866" s="24" t="inlineStr">
        <is>
          <t>3</t>
        </is>
      </c>
      <c r="E2866" s="24" t="inlineStr">
        <is>
          <t>一般</t>
        </is>
      </c>
    </row>
    <row r="2867">
      <c r="B2867" s="24" t="inlineStr">
        <is>
          <t>进取精神</t>
        </is>
      </c>
      <c r="C2867" s="24" t="inlineStr">
        <is>
          <t>进取精神</t>
        </is>
      </c>
      <c r="D2867" s="24" t="inlineStr">
        <is>
          <t>4</t>
        </is>
      </c>
      <c r="E2867" s="24" t="inlineStr">
        <is>
          <t>较差</t>
        </is>
      </c>
    </row>
    <row r="2868" ht="15.95" customHeight="1" s="170">
      <c r="B2868" s="122" t="inlineStr">
        <is>
          <t>码值：BondInterestType</t>
        </is>
      </c>
    </row>
    <row r="2869">
      <c r="B2869" s="24" t="inlineStr">
        <is>
          <t>BondInterestType</t>
        </is>
      </c>
      <c r="C2869" s="24" t="inlineStr">
        <is>
          <t>债券利率类型</t>
        </is>
      </c>
      <c r="D2869" s="24" t="inlineStr">
        <is>
          <t>01</t>
        </is>
      </c>
      <c r="E2869" s="24" t="inlineStr">
        <is>
          <t>定息债券</t>
        </is>
      </c>
    </row>
    <row r="2870">
      <c r="B2870" s="24" t="inlineStr">
        <is>
          <t>BondInterestType</t>
        </is>
      </c>
      <c r="C2870" s="24" t="inlineStr">
        <is>
          <t>债券利率类型</t>
        </is>
      </c>
      <c r="D2870" s="24" t="inlineStr">
        <is>
          <t>02</t>
        </is>
      </c>
      <c r="E2870" s="24" t="inlineStr">
        <is>
          <t>浮息债券</t>
        </is>
      </c>
    </row>
    <row r="2871">
      <c r="B2871" s="24" t="inlineStr">
        <is>
          <t>BondInterestType</t>
        </is>
      </c>
      <c r="C2871" s="24" t="inlineStr">
        <is>
          <t>债券利率类型</t>
        </is>
      </c>
      <c r="D2871" s="24" t="inlineStr">
        <is>
          <t>03</t>
        </is>
      </c>
      <c r="E2871" s="24" t="inlineStr">
        <is>
          <t>零息债券(贴现债券)</t>
        </is>
      </c>
    </row>
    <row r="2872" ht="15.95" customHeight="1" s="170">
      <c r="B2872" s="122" t="inlineStr">
        <is>
          <t>码值：GovermentSupportLevel</t>
        </is>
      </c>
    </row>
    <row r="2873">
      <c r="B2873" s="24" t="inlineStr">
        <is>
          <t>GovermentSupportLevel</t>
        </is>
      </c>
      <c r="C2873" s="24" t="inlineStr">
        <is>
          <t>信用等级评估统一导入</t>
        </is>
      </c>
      <c r="D2873" s="24" t="inlineStr">
        <is>
          <t>01</t>
        </is>
      </c>
      <c r="E2873" s="24" t="inlineStr">
        <is>
          <t>项目对（主要是出口导向型的）国家具有重大战略性意义，政府支持强有力</t>
        </is>
      </c>
    </row>
    <row r="2874">
      <c r="B2874" s="24" t="inlineStr">
        <is>
          <t>GovermentSupportLevel</t>
        </is>
      </c>
      <c r="C2874" s="24" t="inlineStr">
        <is>
          <t>信用等级评估统一导入</t>
        </is>
      </c>
      <c r="D2874" s="24" t="inlineStr">
        <is>
          <t>02</t>
        </is>
      </c>
      <c r="E2874" s="24" t="inlineStr">
        <is>
          <t>项目对国家重要，政府支持程度较高</t>
        </is>
      </c>
    </row>
    <row r="2875">
      <c r="B2875" s="24" t="inlineStr">
        <is>
          <t>GovermentSupportLevel</t>
        </is>
      </c>
      <c r="C2875" s="24" t="inlineStr">
        <is>
          <t>信用等级评估统一导入</t>
        </is>
      </c>
      <c r="D2875" s="24" t="inlineStr">
        <is>
          <t>03</t>
        </is>
      </c>
      <c r="E2875" s="24" t="inlineStr">
        <is>
          <t>项目不具有战略意义，但毫无疑问对政府有利，政府可能未明确表示支持</t>
        </is>
      </c>
    </row>
    <row r="2876">
      <c r="B2876" s="24" t="inlineStr">
        <is>
          <t>GovermentSupportLevel</t>
        </is>
      </c>
      <c r="C2876" s="24" t="inlineStr">
        <is>
          <t>信用等级评估统一导入</t>
        </is>
      </c>
      <c r="D2876" s="24" t="inlineStr">
        <is>
          <t>04</t>
        </is>
      </c>
      <c r="E2876" s="24" t="inlineStr">
        <is>
          <t>项目对国家不重要。政府不支持或支持较弱</t>
        </is>
      </c>
    </row>
    <row r="2877" ht="15.95" customHeight="1" s="170">
      <c r="B2877" s="122" t="inlineStr">
        <is>
          <t>码值：在本市居住时间</t>
        </is>
      </c>
    </row>
    <row r="2878">
      <c r="B2878" s="24" t="inlineStr">
        <is>
          <t>在本市居住时间</t>
        </is>
      </c>
      <c r="C2878" s="24" t="inlineStr">
        <is>
          <t>在本市居住时间</t>
        </is>
      </c>
      <c r="D2878" s="24" t="inlineStr">
        <is>
          <t>1</t>
        </is>
      </c>
      <c r="E2878" s="24" t="inlineStr">
        <is>
          <t>1年以下(含1年)</t>
        </is>
      </c>
    </row>
    <row r="2879">
      <c r="B2879" s="24" t="inlineStr">
        <is>
          <t>在本市居住时间</t>
        </is>
      </c>
      <c r="C2879" s="24" t="inlineStr">
        <is>
          <t>在本市居住时间</t>
        </is>
      </c>
      <c r="D2879" s="24" t="inlineStr">
        <is>
          <t>2</t>
        </is>
      </c>
      <c r="E2879" s="24" t="inlineStr">
        <is>
          <t>1年以上－3年(含3年)</t>
        </is>
      </c>
    </row>
    <row r="2880">
      <c r="B2880" s="24" t="inlineStr">
        <is>
          <t>在本市居住时间</t>
        </is>
      </c>
      <c r="C2880" s="24" t="inlineStr">
        <is>
          <t>在本市居住时间</t>
        </is>
      </c>
      <c r="D2880" s="24" t="inlineStr">
        <is>
          <t>3</t>
        </is>
      </c>
      <c r="E2880" s="24" t="inlineStr">
        <is>
          <t>3年以上－5年(含5年)</t>
        </is>
      </c>
    </row>
    <row r="2881">
      <c r="B2881" s="24" t="inlineStr">
        <is>
          <t>在本市居住时间</t>
        </is>
      </c>
      <c r="C2881" s="24" t="inlineStr">
        <is>
          <t>在本市居住时间</t>
        </is>
      </c>
      <c r="D2881" s="24" t="inlineStr">
        <is>
          <t>4</t>
        </is>
      </c>
      <c r="E2881" s="24" t="inlineStr">
        <is>
          <t>5年以上</t>
        </is>
      </c>
    </row>
    <row r="2882" ht="15.95" customHeight="1" s="170">
      <c r="B2882" s="122" t="inlineStr">
        <is>
          <t>码值：BrrowAge</t>
        </is>
      </c>
    </row>
    <row r="2883">
      <c r="B2883" s="24" t="inlineStr">
        <is>
          <t>BrrowAge</t>
        </is>
      </c>
      <c r="C2883" s="24" t="inlineStr">
        <is>
          <t>信用等级评估统一导入</t>
        </is>
      </c>
      <c r="D2883" s="24" t="inlineStr">
        <is>
          <t>01</t>
        </is>
      </c>
      <c r="E2883" s="24" t="inlineStr">
        <is>
          <t>22岁以下(含22岁),55岁以上</t>
        </is>
      </c>
    </row>
    <row r="2884">
      <c r="B2884" s="24" t="inlineStr">
        <is>
          <t>BrrowAge</t>
        </is>
      </c>
      <c r="C2884" s="24" t="inlineStr">
        <is>
          <t>信用等级评估统一导入</t>
        </is>
      </c>
      <c r="D2884" s="24" t="inlineStr">
        <is>
          <t>02</t>
        </is>
      </c>
      <c r="E2884" s="24" t="inlineStr">
        <is>
          <t>22岁－25岁(含25岁),50岁－55岁(含55岁)</t>
        </is>
      </c>
    </row>
    <row r="2885">
      <c r="B2885" s="24" t="inlineStr">
        <is>
          <t>BrrowAge</t>
        </is>
      </c>
      <c r="C2885" s="24" t="inlineStr">
        <is>
          <t>信用等级评估统一导入</t>
        </is>
      </c>
      <c r="D2885" s="24" t="inlineStr">
        <is>
          <t>03</t>
        </is>
      </c>
      <c r="E2885" s="24" t="inlineStr">
        <is>
          <t>25岁－30岁(含30岁),45岁－50岁(含50岁)</t>
        </is>
      </c>
    </row>
    <row r="2886">
      <c r="B2886" s="24" t="inlineStr">
        <is>
          <t>BrrowAge</t>
        </is>
      </c>
      <c r="C2886" s="24" t="inlineStr">
        <is>
          <t>信用等级评估统一导入</t>
        </is>
      </c>
      <c r="D2886" s="24" t="inlineStr">
        <is>
          <t>04</t>
        </is>
      </c>
      <c r="E2886" s="24" t="inlineStr">
        <is>
          <t>30岁－35岁(含35岁)</t>
        </is>
      </c>
    </row>
    <row r="2887">
      <c r="B2887" s="24" t="inlineStr">
        <is>
          <t>BrrowAge</t>
        </is>
      </c>
      <c r="C2887" s="24" t="inlineStr">
        <is>
          <t>信用等级评估统一导入</t>
        </is>
      </c>
      <c r="D2887" s="24" t="inlineStr">
        <is>
          <t>05</t>
        </is>
      </c>
      <c r="E2887" s="24" t="inlineStr">
        <is>
          <t>35岁－45岁(含45岁)</t>
        </is>
      </c>
    </row>
    <row r="2888" ht="15.95" customHeight="1" s="170">
      <c r="B2888" s="122" t="inlineStr">
        <is>
          <t>码值：FinancingSource</t>
        </is>
      </c>
    </row>
    <row r="2889">
      <c r="B2889" s="24" t="inlineStr">
        <is>
          <t>FinancingSource</t>
        </is>
      </c>
      <c r="C2889" s="24" t="inlineStr">
        <is>
          <t>信用等级评估统一导入</t>
        </is>
      </c>
      <c r="D2889" s="24" t="inlineStr">
        <is>
          <t>01</t>
        </is>
      </c>
      <c r="E2889" s="24" t="inlineStr">
        <is>
          <t>平台自身盈利</t>
        </is>
      </c>
    </row>
    <row r="2890">
      <c r="B2890" s="24" t="inlineStr">
        <is>
          <t>FinancingSource</t>
        </is>
      </c>
      <c r="C2890" s="24" t="inlineStr">
        <is>
          <t>信用等级评估统一导入</t>
        </is>
      </c>
      <c r="D2890" s="24" t="inlineStr">
        <is>
          <t>02</t>
        </is>
      </c>
      <c r="E2890" s="24" t="inlineStr">
        <is>
          <t>投资项目收益</t>
        </is>
      </c>
    </row>
    <row r="2891">
      <c r="B2891" s="24" t="inlineStr">
        <is>
          <t>FinancingSource</t>
        </is>
      </c>
      <c r="C2891" s="24" t="inlineStr">
        <is>
          <t>信用等级评估统一导入</t>
        </is>
      </c>
      <c r="D2891" s="24" t="inlineStr">
        <is>
          <t>03</t>
        </is>
      </c>
      <c r="E2891" s="24" t="inlineStr">
        <is>
          <t>担保人偿还</t>
        </is>
      </c>
    </row>
    <row r="2892">
      <c r="B2892" s="24" t="inlineStr">
        <is>
          <t>FinancingSource</t>
        </is>
      </c>
      <c r="C2892" s="24" t="inlineStr">
        <is>
          <t>信用等级评估统一导入</t>
        </is>
      </c>
      <c r="D2892" s="24" t="inlineStr">
        <is>
          <t>04</t>
        </is>
      </c>
      <c r="E2892" s="24" t="inlineStr">
        <is>
          <t>质押物偿还</t>
        </is>
      </c>
    </row>
    <row r="2893">
      <c r="B2893" s="24" t="inlineStr">
        <is>
          <t>FinancingSource</t>
        </is>
      </c>
      <c r="C2893" s="24" t="inlineStr">
        <is>
          <t>信用等级评估统一导入</t>
        </is>
      </c>
      <c r="D2893" s="24" t="inlineStr">
        <is>
          <t>05</t>
        </is>
      </c>
      <c r="E2893" s="24" t="inlineStr">
        <is>
          <t>政府回购</t>
        </is>
      </c>
    </row>
    <row r="2894">
      <c r="B2894" s="24" t="inlineStr">
        <is>
          <t>FinancingSource</t>
        </is>
      </c>
      <c r="C2894" s="24" t="inlineStr">
        <is>
          <t>信用等级评估统一导入</t>
        </is>
      </c>
      <c r="D2894" s="24" t="inlineStr">
        <is>
          <t>06</t>
        </is>
      </c>
      <c r="E2894" s="24" t="inlineStr">
        <is>
          <t>其他</t>
        </is>
      </c>
    </row>
    <row r="2895" ht="15.95" customHeight="1" s="170">
      <c r="B2895" s="122" t="inlineStr">
        <is>
          <t>码值：StockHolderType</t>
        </is>
      </c>
    </row>
    <row r="2896">
      <c r="B2896" s="24" t="inlineStr">
        <is>
          <t>StockHolderType</t>
        </is>
      </c>
      <c r="C2896" s="24" t="inlineStr">
        <is>
          <t>股票持有类型</t>
        </is>
      </c>
      <c r="D2896" s="24" t="inlineStr">
        <is>
          <t>01</t>
        </is>
      </c>
      <c r="E2896" s="24" t="inlineStr">
        <is>
          <t>国家股</t>
        </is>
      </c>
    </row>
    <row r="2897">
      <c r="B2897" s="24" t="inlineStr">
        <is>
          <t>StockHolderType</t>
        </is>
      </c>
      <c r="C2897" s="24" t="inlineStr">
        <is>
          <t>股票持有类型</t>
        </is>
      </c>
      <c r="D2897" s="24" t="inlineStr">
        <is>
          <t>02</t>
        </is>
      </c>
      <c r="E2897" s="24" t="inlineStr">
        <is>
          <t>法人股</t>
        </is>
      </c>
    </row>
    <row r="2898">
      <c r="B2898" s="24" t="inlineStr">
        <is>
          <t>StockHolderType</t>
        </is>
      </c>
      <c r="C2898" s="24" t="inlineStr">
        <is>
          <t>股票持有类型</t>
        </is>
      </c>
      <c r="D2898" s="24" t="inlineStr">
        <is>
          <t>03</t>
        </is>
      </c>
      <c r="E2898" s="24" t="inlineStr">
        <is>
          <t>流通股</t>
        </is>
      </c>
    </row>
    <row r="2899">
      <c r="B2899" s="24" t="inlineStr">
        <is>
          <t>StockHolderType</t>
        </is>
      </c>
      <c r="C2899" s="24" t="inlineStr">
        <is>
          <t>股票持有类型</t>
        </is>
      </c>
      <c r="D2899" s="24" t="inlineStr">
        <is>
          <t>04</t>
        </is>
      </c>
      <c r="E2899" s="24" t="inlineStr">
        <is>
          <t>其他</t>
        </is>
      </c>
    </row>
    <row r="2900" ht="15.95" customHeight="1" s="170">
      <c r="B2900" s="122" t="inlineStr">
        <is>
          <t>码值：RelationStatus</t>
        </is>
      </c>
    </row>
    <row r="2901">
      <c r="B2901" s="24" t="inlineStr">
        <is>
          <t>RelationStatus</t>
        </is>
      </c>
      <c r="C2901" s="24" t="inlineStr">
        <is>
          <t>押品关联状态</t>
        </is>
      </c>
      <c r="D2901" s="24" t="inlineStr">
        <is>
          <t>01</t>
        </is>
      </c>
      <c r="E2901" s="24" t="inlineStr">
        <is>
          <t>有效</t>
        </is>
      </c>
    </row>
    <row r="2902">
      <c r="B2902" s="24" t="inlineStr">
        <is>
          <t>RelationStatus</t>
        </is>
      </c>
      <c r="C2902" s="24" t="inlineStr">
        <is>
          <t>押品关联状态</t>
        </is>
      </c>
      <c r="D2902" s="24" t="inlineStr">
        <is>
          <t>02</t>
        </is>
      </c>
      <c r="E2902" s="24" t="inlineStr">
        <is>
          <t>失效</t>
        </is>
      </c>
    </row>
    <row r="2903" ht="15.95" customHeight="1" s="170">
      <c r="B2903" s="122" t="inlineStr">
        <is>
          <t>码值：NewCustomerType</t>
        </is>
      </c>
    </row>
    <row r="2904">
      <c r="B2904" s="24" t="inlineStr">
        <is>
          <t>NewCustomerType</t>
        </is>
      </c>
      <c r="C2904" s="24" t="inlineStr">
        <is>
          <t>客户类型</t>
        </is>
      </c>
      <c r="D2904" s="24" t="inlineStr">
        <is>
          <t>01</t>
        </is>
      </c>
      <c r="E2904" s="24" t="inlineStr">
        <is>
          <t>冻结户</t>
        </is>
      </c>
    </row>
    <row r="2905">
      <c r="B2905" s="24" t="inlineStr">
        <is>
          <t>NewCustomerType</t>
        </is>
      </c>
      <c r="C2905" s="24" t="inlineStr">
        <is>
          <t>客户类型</t>
        </is>
      </c>
      <c r="D2905" s="24" t="inlineStr">
        <is>
          <t>02</t>
        </is>
      </c>
      <c r="E2905" s="24" t="inlineStr">
        <is>
          <t>慎贷户</t>
        </is>
      </c>
    </row>
    <row r="2906">
      <c r="B2906" s="24" t="inlineStr">
        <is>
          <t>NewCustomerType</t>
        </is>
      </c>
      <c r="C2906" s="24" t="inlineStr">
        <is>
          <t>客户类型</t>
        </is>
      </c>
      <c r="D2906" s="24" t="inlineStr">
        <is>
          <t>03</t>
        </is>
      </c>
      <c r="E2906" s="24" t="inlineStr">
        <is>
          <t>拒贷户</t>
        </is>
      </c>
    </row>
    <row r="2907">
      <c r="B2907" s="24" t="inlineStr">
        <is>
          <t>NewCustomerType</t>
        </is>
      </c>
      <c r="C2907" s="24" t="inlineStr">
        <is>
          <t>客户类型</t>
        </is>
      </c>
      <c r="D2907" s="24" t="inlineStr">
        <is>
          <t>04</t>
        </is>
      </c>
      <c r="E2907" s="24" t="inlineStr">
        <is>
          <t>预警户</t>
        </is>
      </c>
    </row>
    <row r="2908">
      <c r="B2908" s="24" t="inlineStr">
        <is>
          <t>NewCustomerType</t>
        </is>
      </c>
      <c r="C2908" s="24" t="inlineStr">
        <is>
          <t>客户类型</t>
        </is>
      </c>
      <c r="D2908" s="24" t="inlineStr">
        <is>
          <t>05</t>
        </is>
      </c>
      <c r="E2908" s="24" t="inlineStr">
        <is>
          <t>压缩退出户</t>
        </is>
      </c>
    </row>
    <row r="2909">
      <c r="B2909" s="24" t="inlineStr">
        <is>
          <t>NewCustomerType</t>
        </is>
      </c>
      <c r="C2909" s="24" t="inlineStr">
        <is>
          <t>客户类型</t>
        </is>
      </c>
      <c r="D2909" s="24" t="inlineStr">
        <is>
          <t>06</t>
        </is>
      </c>
      <c r="E2909" s="24" t="inlineStr">
        <is>
          <t>分类管理户</t>
        </is>
      </c>
    </row>
    <row r="2910" ht="15.95" customHeight="1" s="170">
      <c r="B2910" s="122" t="inlineStr">
        <is>
          <t>码值：ESTATEPURPOSETYPE</t>
        </is>
      </c>
    </row>
    <row r="2911">
      <c r="B2911" s="24" t="inlineStr">
        <is>
          <t>ESTATEPURPOSETYPE</t>
        </is>
      </c>
      <c r="C2911" s="24" t="inlineStr">
        <is>
          <t>房产用途</t>
        </is>
      </c>
      <c r="D2911" s="24" t="inlineStr">
        <is>
          <t>01</t>
        </is>
      </c>
      <c r="E2911" s="24" t="inlineStr">
        <is>
          <t>一般住房</t>
        </is>
      </c>
    </row>
    <row r="2912">
      <c r="B2912" s="24" t="inlineStr">
        <is>
          <t>ESTATEPURPOSETYPE</t>
        </is>
      </c>
      <c r="C2912" s="24" t="inlineStr">
        <is>
          <t>房产用途</t>
        </is>
      </c>
      <c r="D2912" s="24" t="inlineStr">
        <is>
          <t>02</t>
        </is>
      </c>
      <c r="E2912" s="24" t="inlineStr">
        <is>
          <t>公寓</t>
        </is>
      </c>
    </row>
    <row r="2913">
      <c r="B2913" s="24" t="inlineStr">
        <is>
          <t>ESTATEPURPOSETYPE</t>
        </is>
      </c>
      <c r="C2913" s="24" t="inlineStr">
        <is>
          <t>房产用途</t>
        </is>
      </c>
      <c r="D2913" s="24" t="inlineStr">
        <is>
          <t>03</t>
        </is>
      </c>
      <c r="E2913" s="24" t="inlineStr">
        <is>
          <t>商用房</t>
        </is>
      </c>
    </row>
    <row r="2914">
      <c r="B2914" s="24" t="inlineStr">
        <is>
          <t>ESTATEPURPOSETYPE</t>
        </is>
      </c>
      <c r="C2914" s="24" t="inlineStr">
        <is>
          <t>房产用途</t>
        </is>
      </c>
      <c r="D2914" s="24" t="inlineStr">
        <is>
          <t>04</t>
        </is>
      </c>
      <c r="E2914" s="24" t="inlineStr">
        <is>
          <t>商住两用房</t>
        </is>
      </c>
    </row>
    <row r="2915">
      <c r="B2915" s="24" t="inlineStr">
        <is>
          <t>ESTATEPURPOSETYPE</t>
        </is>
      </c>
      <c r="C2915" s="24" t="inlineStr">
        <is>
          <t>房产用途</t>
        </is>
      </c>
      <c r="D2915" s="24" t="inlineStr">
        <is>
          <t>05</t>
        </is>
      </c>
      <c r="E2915" s="24" t="inlineStr">
        <is>
          <t>厂房</t>
        </is>
      </c>
    </row>
    <row r="2916">
      <c r="B2916" s="24" t="inlineStr">
        <is>
          <t>ESTATEPURPOSETYPE</t>
        </is>
      </c>
      <c r="C2916" s="24" t="inlineStr">
        <is>
          <t>房产用途</t>
        </is>
      </c>
      <c r="D2916" s="24" t="inlineStr">
        <is>
          <t>06</t>
        </is>
      </c>
      <c r="E2916" s="24" t="inlineStr">
        <is>
          <t>车位</t>
        </is>
      </c>
    </row>
    <row r="2917">
      <c r="B2917" s="24" t="inlineStr">
        <is>
          <t>ESTATEPURPOSETYPE</t>
        </is>
      </c>
      <c r="C2917" s="24" t="inlineStr">
        <is>
          <t>房产用途</t>
        </is>
      </c>
      <c r="D2917" s="24" t="inlineStr">
        <is>
          <t>07</t>
        </is>
      </c>
      <c r="E2917" s="24" t="inlineStr">
        <is>
          <t>临街商铺</t>
        </is>
      </c>
    </row>
    <row r="2918">
      <c r="B2918" s="24" t="inlineStr">
        <is>
          <t>ESTATEPURPOSETYPE</t>
        </is>
      </c>
      <c r="C2918" s="24" t="inlineStr">
        <is>
          <t>房产用途</t>
        </is>
      </c>
      <c r="D2918" s="24" t="inlineStr">
        <is>
          <t>08</t>
        </is>
      </c>
      <c r="E2918" s="24" t="inlineStr">
        <is>
          <t>底商</t>
        </is>
      </c>
    </row>
    <row r="2919">
      <c r="B2919" s="24" t="inlineStr">
        <is>
          <t>ESTATEPURPOSETYPE</t>
        </is>
      </c>
      <c r="C2919" s="24" t="inlineStr">
        <is>
          <t>房产用途</t>
        </is>
      </c>
      <c r="D2919" s="24" t="inlineStr">
        <is>
          <t>09</t>
        </is>
      </c>
      <c r="E2919" s="24" t="inlineStr">
        <is>
          <t>社区商铺</t>
        </is>
      </c>
    </row>
    <row r="2920">
      <c r="B2920" s="24" t="inlineStr">
        <is>
          <t>ESTATEPURPOSETYPE</t>
        </is>
      </c>
      <c r="C2920" s="24" t="inlineStr">
        <is>
          <t>房产用途</t>
        </is>
      </c>
      <c r="D2920" s="24" t="inlineStr">
        <is>
          <t>10</t>
        </is>
      </c>
      <c r="E2920" s="24" t="inlineStr">
        <is>
          <t>商业街商铺</t>
        </is>
      </c>
    </row>
    <row r="2921" ht="15.95" customHeight="1" s="170">
      <c r="B2921" s="122" t="inlineStr">
        <is>
          <t>码值：ReserveFre</t>
        </is>
      </c>
    </row>
    <row r="2922">
      <c r="B2922" s="24" t="inlineStr">
        <is>
          <t>ReserveFre</t>
        </is>
      </c>
      <c r="C2922" s="24" t="inlineStr">
        <is>
          <t>计提频率</t>
        </is>
      </c>
      <c r="D2922" s="24" t="inlineStr">
        <is>
          <t>10</t>
        </is>
      </c>
      <c r="E2922" s="24" t="inlineStr">
        <is>
          <t>固定模式</t>
        </is>
      </c>
    </row>
    <row r="2923">
      <c r="B2923" s="24" t="inlineStr">
        <is>
          <t>ReserveFre</t>
        </is>
      </c>
      <c r="C2923" s="24" t="inlineStr">
        <is>
          <t>计提频率</t>
        </is>
      </c>
      <c r="D2923" s="24" t="inlineStr">
        <is>
          <t>20</t>
        </is>
      </c>
      <c r="E2923" s="24" t="inlineStr">
        <is>
          <t>随机模式</t>
        </is>
      </c>
    </row>
    <row r="2924" ht="15.95" customHeight="1" s="170">
      <c r="B2924" s="122" t="inlineStr">
        <is>
          <t>码值：对红利分配的限制</t>
        </is>
      </c>
    </row>
    <row r="2925">
      <c r="B2925" s="24" t="inlineStr">
        <is>
          <t>对红利分配的限制</t>
        </is>
      </c>
      <c r="C2925" s="24" t="inlineStr">
        <is>
          <t>对红利分配的限制</t>
        </is>
      </c>
      <c r="D2925" s="24" t="inlineStr">
        <is>
          <t>01</t>
        </is>
      </c>
      <c r="E2925" s="24" t="inlineStr">
        <is>
          <t>有不予分红或者贷款还清前不予分红的限制</t>
        </is>
      </c>
    </row>
    <row r="2926">
      <c r="B2926" s="24" t="inlineStr">
        <is>
          <t>对红利分配的限制</t>
        </is>
      </c>
      <c r="C2926" s="24" t="inlineStr">
        <is>
          <t>对红利分配的限制</t>
        </is>
      </c>
      <c r="D2926" s="24" t="inlineStr">
        <is>
          <t>02</t>
        </is>
      </c>
      <c r="E2926" s="24" t="inlineStr">
        <is>
          <t>有分红限制条款，虽然存在一定的早期分红，但比例和额度均不大</t>
        </is>
      </c>
    </row>
    <row r="2927">
      <c r="B2927" s="24" t="inlineStr">
        <is>
          <t>对红利分配的限制</t>
        </is>
      </c>
      <c r="C2927" s="24" t="inlineStr">
        <is>
          <t>对红利分配的限制</t>
        </is>
      </c>
      <c r="D2927" s="24" t="inlineStr">
        <is>
          <t>03</t>
        </is>
      </c>
      <c r="E2927" s="24" t="inlineStr">
        <is>
          <t>存在一定的早期大额分红</t>
        </is>
      </c>
    </row>
    <row r="2928">
      <c r="B2928" s="24" t="inlineStr">
        <is>
          <t>对红利分配的限制</t>
        </is>
      </c>
      <c r="C2928" s="24" t="inlineStr">
        <is>
          <t>对红利分配的限制</t>
        </is>
      </c>
      <c r="D2928" s="24" t="inlineStr">
        <is>
          <t>04</t>
        </is>
      </c>
      <c r="E2928" s="24" t="inlineStr">
        <is>
          <t>无分红限制条款</t>
        </is>
      </c>
    </row>
    <row r="2929">
      <c r="B2929" s="24" t="inlineStr">
        <is>
          <t>对红利分配的限制</t>
        </is>
      </c>
      <c r="C2929" s="24" t="inlineStr">
        <is>
          <t>对红利分配的限制</t>
        </is>
      </c>
      <c r="D2929" s="24" t="inlineStr">
        <is>
          <t>05</t>
        </is>
      </c>
      <c r="E2929" s="24" t="inlineStr">
        <is>
          <t>不适用</t>
        </is>
      </c>
    </row>
    <row r="2930" ht="15.95" customHeight="1" s="170">
      <c r="B2930" s="122" t="inlineStr">
        <is>
          <t>码值：ProvinceShare</t>
        </is>
      </c>
    </row>
    <row r="2931">
      <c r="B2931" s="24" t="inlineStr">
        <is>
          <t>ProvinceShare</t>
        </is>
      </c>
      <c r="C2931" s="24" t="inlineStr">
        <is>
          <t>信用等级评估统一导入</t>
        </is>
      </c>
      <c r="D2931" s="24" t="inlineStr">
        <is>
          <t>1</t>
        </is>
      </c>
      <c r="E2931" s="24" t="inlineStr">
        <is>
          <t>50%以上</t>
        </is>
      </c>
    </row>
    <row r="2932">
      <c r="B2932" s="24" t="inlineStr">
        <is>
          <t>ProvinceShare</t>
        </is>
      </c>
      <c r="C2932" s="24" t="inlineStr">
        <is>
          <t>信用等级评估统一导入</t>
        </is>
      </c>
      <c r="D2932" s="24" t="inlineStr">
        <is>
          <t>2</t>
        </is>
      </c>
      <c r="E2932" s="24" t="inlineStr">
        <is>
          <t>20%--50%</t>
        </is>
      </c>
    </row>
    <row r="2933">
      <c r="B2933" s="24" t="inlineStr">
        <is>
          <t>ProvinceShare</t>
        </is>
      </c>
      <c r="C2933" s="24" t="inlineStr">
        <is>
          <t>信用等级评估统一导入</t>
        </is>
      </c>
      <c r="D2933" s="24" t="inlineStr">
        <is>
          <t>3</t>
        </is>
      </c>
      <c r="E2933" s="24" t="inlineStr">
        <is>
          <t>10%--20%</t>
        </is>
      </c>
    </row>
    <row r="2934">
      <c r="B2934" s="24" t="inlineStr">
        <is>
          <t>ProvinceShare</t>
        </is>
      </c>
      <c r="C2934" s="24" t="inlineStr">
        <is>
          <t>信用等级评估统一导入</t>
        </is>
      </c>
      <c r="D2934" s="24" t="inlineStr">
        <is>
          <t>4</t>
        </is>
      </c>
      <c r="E2934" s="24" t="inlineStr">
        <is>
          <t>10%以下</t>
        </is>
      </c>
    </row>
    <row r="2935" ht="15.95" customHeight="1" s="170">
      <c r="B2935" s="122" t="inlineStr">
        <is>
          <t>码值：CreditApplyFactoryMain</t>
        </is>
      </c>
    </row>
    <row r="2936">
      <c r="B2936" s="24" t="inlineStr">
        <is>
          <t>CreditApplyFactoryMain</t>
        </is>
      </c>
      <c r="C2936" s="24" t="n"/>
      <c r="D2936" s="24" t="inlineStr">
        <is>
          <t>N</t>
        </is>
      </c>
      <c r="E2936" s="24" t="inlineStr">
        <is>
          <t>当前工作</t>
        </is>
      </c>
    </row>
    <row r="2937">
      <c r="B2937" s="24" t="inlineStr">
        <is>
          <t>CreditApplyFactoryMain</t>
        </is>
      </c>
      <c r="C2937" s="24" t="n"/>
      <c r="D2937" s="24" t="inlineStr">
        <is>
          <t>Y</t>
        </is>
      </c>
      <c r="E2937" s="24" t="inlineStr">
        <is>
          <t>已完成工作</t>
        </is>
      </c>
    </row>
    <row r="2938" ht="15.95" customHeight="1" s="170">
      <c r="B2938" s="122" t="inlineStr">
        <is>
          <t>码值：服务质量1</t>
        </is>
      </c>
    </row>
    <row r="2939">
      <c r="B2939" s="24" t="inlineStr">
        <is>
          <t>服务质量1</t>
        </is>
      </c>
      <c r="C2939" s="24" t="inlineStr">
        <is>
          <t>服务质量1</t>
        </is>
      </c>
      <c r="D2939" s="24" t="inlineStr">
        <is>
          <t>1</t>
        </is>
      </c>
      <c r="E2939" s="24" t="inlineStr">
        <is>
          <t>好</t>
        </is>
      </c>
    </row>
    <row r="2940">
      <c r="B2940" s="24" t="inlineStr">
        <is>
          <t>服务质量1</t>
        </is>
      </c>
      <c r="C2940" s="24" t="inlineStr">
        <is>
          <t>服务质量1</t>
        </is>
      </c>
      <c r="D2940" s="24" t="inlineStr">
        <is>
          <t>2</t>
        </is>
      </c>
      <c r="E2940" s="24" t="inlineStr">
        <is>
          <t>较好</t>
        </is>
      </c>
    </row>
    <row r="2941">
      <c r="B2941" s="24" t="inlineStr">
        <is>
          <t>服务质量1</t>
        </is>
      </c>
      <c r="C2941" s="24" t="inlineStr">
        <is>
          <t>服务质量1</t>
        </is>
      </c>
      <c r="D2941" s="24" t="inlineStr">
        <is>
          <t>3</t>
        </is>
      </c>
      <c r="E2941" s="24" t="inlineStr">
        <is>
          <t>一般</t>
        </is>
      </c>
    </row>
    <row r="2942">
      <c r="B2942" s="24" t="inlineStr">
        <is>
          <t>服务质量1</t>
        </is>
      </c>
      <c r="C2942" s="24" t="inlineStr">
        <is>
          <t>服务质量1</t>
        </is>
      </c>
      <c r="D2942" s="24" t="inlineStr">
        <is>
          <t>4</t>
        </is>
      </c>
      <c r="E2942" s="24" t="inlineStr">
        <is>
          <t>较差</t>
        </is>
      </c>
    </row>
    <row r="2943" ht="15.95" customHeight="1" s="170">
      <c r="B2943" s="122" t="inlineStr">
        <is>
          <t>码值：RightPointType</t>
        </is>
      </c>
    </row>
    <row r="2944">
      <c r="B2944" s="24" t="inlineStr">
        <is>
          <t>RightPointType</t>
        </is>
      </c>
      <c r="C2944" s="24" t="inlineStr">
        <is>
          <t>权限点类型</t>
        </is>
      </c>
      <c r="D2944" s="24" t="inlineStr">
        <is>
          <t>button</t>
        </is>
      </c>
      <c r="E2944" s="24" t="inlineStr">
        <is>
          <t>按钮</t>
        </is>
      </c>
    </row>
    <row r="2945">
      <c r="B2945" s="24" t="inlineStr">
        <is>
          <t>RightPointType</t>
        </is>
      </c>
      <c r="C2945" s="24" t="inlineStr">
        <is>
          <t>权限点类型</t>
        </is>
      </c>
      <c r="D2945" s="24" t="inlineStr">
        <is>
          <t>javemethod</t>
        </is>
      </c>
      <c r="E2945" s="24" t="inlineStr">
        <is>
          <t>Java方法</t>
        </is>
      </c>
    </row>
    <row r="2946">
      <c r="B2946" s="24" t="inlineStr">
        <is>
          <t>RightPointType</t>
        </is>
      </c>
      <c r="C2946" s="24" t="inlineStr">
        <is>
          <t>权限点类型</t>
        </is>
      </c>
      <c r="D2946" s="24" t="inlineStr">
        <is>
          <t>link</t>
        </is>
      </c>
      <c r="E2946" s="24" t="inlineStr">
        <is>
          <t>链接</t>
        </is>
      </c>
    </row>
    <row r="2947">
      <c r="B2947" s="24" t="inlineStr">
        <is>
          <t>RightPointType</t>
        </is>
      </c>
      <c r="C2947" s="24" t="inlineStr">
        <is>
          <t>权限点类型</t>
        </is>
      </c>
      <c r="D2947" s="24" t="inlineStr">
        <is>
          <t>tab</t>
        </is>
      </c>
      <c r="E2947" s="24" t="inlineStr">
        <is>
          <t>标签页</t>
        </is>
      </c>
    </row>
    <row r="2948" ht="15.95" customHeight="1" s="170">
      <c r="B2948" s="122" t="inlineStr">
        <is>
          <t>码值：家族实力</t>
        </is>
      </c>
    </row>
    <row r="2949">
      <c r="B2949" s="24" t="inlineStr">
        <is>
          <t>家族实力</t>
        </is>
      </c>
      <c r="C2949" s="24" t="inlineStr">
        <is>
          <t>家族实力</t>
        </is>
      </c>
      <c r="D2949" s="24" t="inlineStr">
        <is>
          <t>1</t>
        </is>
      </c>
      <c r="E2949" s="24" t="inlineStr">
        <is>
          <t>强</t>
        </is>
      </c>
    </row>
    <row r="2950">
      <c r="B2950" s="24" t="inlineStr">
        <is>
          <t>家族实力</t>
        </is>
      </c>
      <c r="C2950" s="24" t="inlineStr">
        <is>
          <t>家族实力</t>
        </is>
      </c>
      <c r="D2950" s="24" t="inlineStr">
        <is>
          <t>2</t>
        </is>
      </c>
      <c r="E2950" s="24" t="inlineStr">
        <is>
          <t>一般</t>
        </is>
      </c>
    </row>
    <row r="2951">
      <c r="B2951" s="24" t="inlineStr">
        <is>
          <t>家族实力</t>
        </is>
      </c>
      <c r="C2951" s="24" t="inlineStr">
        <is>
          <t>家族实力</t>
        </is>
      </c>
      <c r="D2951" s="24" t="inlineStr">
        <is>
          <t>3</t>
        </is>
      </c>
      <c r="E2951" s="24" t="inlineStr">
        <is>
          <t>弱</t>
        </is>
      </c>
    </row>
    <row r="2952" ht="15.95" customHeight="1" s="170">
      <c r="B2952" s="122" t="inlineStr">
        <is>
          <t>码值：EntScale</t>
        </is>
      </c>
    </row>
    <row r="2953">
      <c r="B2953" s="24" t="inlineStr">
        <is>
          <t>EntScale</t>
        </is>
      </c>
      <c r="C2953" s="24" t="inlineStr">
        <is>
          <t>企业规模</t>
        </is>
      </c>
      <c r="D2953" s="24" t="inlineStr">
        <is>
          <t>0110</t>
        </is>
      </c>
      <c r="E2953" s="24" t="inlineStr">
        <is>
          <t>大型企业</t>
        </is>
      </c>
    </row>
    <row r="2954">
      <c r="B2954" s="24" t="inlineStr">
        <is>
          <t>EntScale</t>
        </is>
      </c>
      <c r="C2954" s="24" t="inlineStr">
        <is>
          <t>企业规模</t>
        </is>
      </c>
      <c r="D2954" s="24" t="inlineStr">
        <is>
          <t>0120</t>
        </is>
      </c>
      <c r="E2954" s="24" t="inlineStr">
        <is>
          <t>中型企业</t>
        </is>
      </c>
    </row>
    <row r="2955">
      <c r="B2955" s="24" t="inlineStr">
        <is>
          <t>EntScale</t>
        </is>
      </c>
      <c r="C2955" s="24" t="inlineStr">
        <is>
          <t>企业规模</t>
        </is>
      </c>
      <c r="D2955" s="24" t="inlineStr">
        <is>
          <t>0130</t>
        </is>
      </c>
      <c r="E2955" s="24" t="inlineStr">
        <is>
          <t>小型企业</t>
        </is>
      </c>
    </row>
    <row r="2956">
      <c r="B2956" s="24" t="inlineStr">
        <is>
          <t>EntScale</t>
        </is>
      </c>
      <c r="C2956" s="24" t="inlineStr">
        <is>
          <t>企业规模</t>
        </is>
      </c>
      <c r="D2956" s="24" t="inlineStr">
        <is>
          <t>0140</t>
        </is>
      </c>
      <c r="E2956" s="24" t="inlineStr">
        <is>
          <t>微型企业</t>
        </is>
      </c>
    </row>
    <row r="2957" ht="15.95" customHeight="1" s="170">
      <c r="B2957" s="122" t="inlineStr">
        <is>
          <t>码值：UnLoadGuarantyApp2Main</t>
        </is>
      </c>
    </row>
    <row r="2958">
      <c r="B2958" s="24" t="inlineStr">
        <is>
          <t>UnLoadGuarantyApp2Main</t>
        </is>
      </c>
      <c r="C2958" s="24" t="inlineStr">
        <is>
          <t>UnLoadGuaranty审批主树图</t>
        </is>
      </c>
      <c r="D2958" s="24" t="inlineStr">
        <is>
          <t>N</t>
        </is>
      </c>
      <c r="E2958" s="24" t="inlineStr">
        <is>
          <t>当前工作</t>
        </is>
      </c>
    </row>
    <row r="2959">
      <c r="B2959" s="24" t="inlineStr">
        <is>
          <t>UnLoadGuarantyApp2Main</t>
        </is>
      </c>
      <c r="C2959" s="24" t="inlineStr">
        <is>
          <t>UnLoadGuaranty审批主树图</t>
        </is>
      </c>
      <c r="D2959" s="24" t="inlineStr">
        <is>
          <t>Y</t>
        </is>
      </c>
      <c r="E2959" s="24" t="inlineStr">
        <is>
          <t>已完成工作</t>
        </is>
      </c>
    </row>
    <row r="2960" ht="15.95" customHeight="1" s="170">
      <c r="B2960" s="122" t="inlineStr">
        <is>
          <t>码值：AssessFrequency</t>
        </is>
      </c>
    </row>
    <row r="2961">
      <c r="B2961" s="24" t="inlineStr">
        <is>
          <t>AssessFrequency</t>
        </is>
      </c>
      <c r="C2961" s="24" t="inlineStr">
        <is>
          <t>抵押物评估频率</t>
        </is>
      </c>
      <c r="D2961" s="24" t="inlineStr">
        <is>
          <t>0</t>
        </is>
      </c>
      <c r="E2961" s="24" t="inlineStr">
        <is>
          <t>评估频率&lt;=1 年</t>
        </is>
      </c>
    </row>
    <row r="2962">
      <c r="B2962" s="24" t="inlineStr">
        <is>
          <t>AssessFrequency</t>
        </is>
      </c>
      <c r="C2962" s="24" t="inlineStr">
        <is>
          <t>抵押物评估频率</t>
        </is>
      </c>
      <c r="D2962" s="24" t="inlineStr">
        <is>
          <t>1</t>
        </is>
      </c>
      <c r="E2962" s="24" t="inlineStr">
        <is>
          <t>评估频率&gt;1 年</t>
        </is>
      </c>
    </row>
    <row r="2963" ht="15.95" customHeight="1" s="170">
      <c r="B2963" s="122" t="inlineStr">
        <is>
          <t>码值：Occupation</t>
        </is>
      </c>
    </row>
    <row r="2964">
      <c r="B2964" s="24" t="inlineStr">
        <is>
          <t>Occupation</t>
        </is>
      </c>
      <c r="C2964" s="24" t="inlineStr">
        <is>
          <t>职业</t>
        </is>
      </c>
      <c r="D2964" s="24" t="inlineStr">
        <is>
          <t>0</t>
        </is>
      </c>
      <c r="E2964" s="24" t="inlineStr">
        <is>
          <t>国家机关、党群组织、企业、事业单位负责人</t>
        </is>
      </c>
    </row>
    <row r="2965">
      <c r="B2965" s="24" t="inlineStr">
        <is>
          <t>Occupation</t>
        </is>
      </c>
      <c r="C2965" s="24" t="inlineStr">
        <is>
          <t>职业</t>
        </is>
      </c>
      <c r="D2965" s="24" t="inlineStr">
        <is>
          <t>1</t>
        </is>
      </c>
      <c r="E2965" s="24" t="inlineStr">
        <is>
          <t>专业技术人员</t>
        </is>
      </c>
    </row>
    <row r="2966">
      <c r="B2966" s="24" t="inlineStr">
        <is>
          <t>Occupation</t>
        </is>
      </c>
      <c r="C2966" s="24" t="inlineStr">
        <is>
          <t>职业</t>
        </is>
      </c>
      <c r="D2966" s="24" t="inlineStr">
        <is>
          <t>3</t>
        </is>
      </c>
      <c r="E2966" s="24" t="inlineStr">
        <is>
          <t>办事人员和有关人员</t>
        </is>
      </c>
    </row>
    <row r="2967">
      <c r="B2967" s="24" t="inlineStr">
        <is>
          <t>Occupation</t>
        </is>
      </c>
      <c r="C2967" s="24" t="inlineStr">
        <is>
          <t>职业</t>
        </is>
      </c>
      <c r="D2967" s="24" t="inlineStr">
        <is>
          <t>4</t>
        </is>
      </c>
      <c r="E2967" s="24" t="inlineStr">
        <is>
          <t>商业、服务业人员</t>
        </is>
      </c>
    </row>
    <row r="2968">
      <c r="B2968" s="24" t="inlineStr">
        <is>
          <t>Occupation</t>
        </is>
      </c>
      <c r="C2968" s="24" t="inlineStr">
        <is>
          <t>职业</t>
        </is>
      </c>
      <c r="D2968" s="24" t="inlineStr">
        <is>
          <t>5</t>
        </is>
      </c>
      <c r="E2968" s="24" t="inlineStr">
        <is>
          <t>农、林、牧、渔、水利业生产人员</t>
        </is>
      </c>
    </row>
    <row r="2969">
      <c r="B2969" s="24" t="inlineStr">
        <is>
          <t>Occupation</t>
        </is>
      </c>
      <c r="C2969" s="24" t="inlineStr">
        <is>
          <t>职业</t>
        </is>
      </c>
      <c r="D2969" s="24" t="inlineStr">
        <is>
          <t>6</t>
        </is>
      </c>
      <c r="E2969" s="24" t="inlineStr">
        <is>
          <t>生产、运输设备操作人员及有关人员</t>
        </is>
      </c>
    </row>
    <row r="2970">
      <c r="B2970" s="24" t="inlineStr">
        <is>
          <t>Occupation</t>
        </is>
      </c>
      <c r="C2970" s="24" t="inlineStr">
        <is>
          <t>职业</t>
        </is>
      </c>
      <c r="D2970" s="24" t="inlineStr">
        <is>
          <t>7</t>
        </is>
      </c>
      <c r="E2970" s="24" t="inlineStr">
        <is>
          <t>大中型企业技术人员</t>
        </is>
      </c>
    </row>
    <row r="2971">
      <c r="B2971" s="24" t="inlineStr">
        <is>
          <t>Occupation</t>
        </is>
      </c>
      <c r="C2971" s="24" t="inlineStr">
        <is>
          <t>职业</t>
        </is>
      </c>
      <c r="D2971" s="24" t="inlineStr">
        <is>
          <t>X</t>
        </is>
      </c>
      <c r="E2971" s="24" t="inlineStr">
        <is>
          <t>军人</t>
        </is>
      </c>
    </row>
    <row r="2972">
      <c r="B2972" s="24" t="inlineStr">
        <is>
          <t>Occupation</t>
        </is>
      </c>
      <c r="C2972" s="24" t="inlineStr">
        <is>
          <t>职业</t>
        </is>
      </c>
      <c r="D2972" s="24" t="inlineStr">
        <is>
          <t>Y</t>
        </is>
      </c>
      <c r="E2972" s="24" t="inlineStr">
        <is>
          <t>不便分类的其他从业人员</t>
        </is>
      </c>
    </row>
    <row r="2973">
      <c r="B2973" s="24" t="inlineStr">
        <is>
          <t>Occupation</t>
        </is>
      </c>
      <c r="C2973" s="24" t="inlineStr">
        <is>
          <t>职业</t>
        </is>
      </c>
      <c r="D2973" s="24" t="inlineStr">
        <is>
          <t>Z</t>
        </is>
      </c>
      <c r="E2973" s="24" t="inlineStr">
        <is>
          <t>未知</t>
        </is>
      </c>
    </row>
    <row r="2974" ht="15.95" customHeight="1" s="170">
      <c r="B2974" s="122" t="inlineStr">
        <is>
          <t>码值：ReinforceEnterpriseView</t>
        </is>
      </c>
    </row>
    <row r="2975">
      <c r="B2975" s="24" t="inlineStr">
        <is>
          <t>ReinforceEnterpriseView</t>
        </is>
      </c>
      <c r="C2975" s="24" t="inlineStr">
        <is>
          <t>补登公司客户视图</t>
        </is>
      </c>
      <c r="D2975" s="24" t="inlineStr">
        <is>
          <t>010</t>
        </is>
      </c>
      <c r="E2975" s="24" t="inlineStr">
        <is>
          <t>客户基本信息</t>
        </is>
      </c>
    </row>
    <row r="2976">
      <c r="B2976" s="24" t="inlineStr">
        <is>
          <t>ReinforceEnterpriseView</t>
        </is>
      </c>
      <c r="C2976" s="24" t="inlineStr">
        <is>
          <t>补登公司客户视图</t>
        </is>
      </c>
      <c r="D2976" s="24" t="inlineStr">
        <is>
          <t>010010</t>
        </is>
      </c>
      <c r="E2976" s="24" t="inlineStr">
        <is>
          <t>客户概况</t>
        </is>
      </c>
    </row>
    <row r="2977">
      <c r="B2977" s="24" t="inlineStr">
        <is>
          <t>ReinforceEnterpriseView</t>
        </is>
      </c>
      <c r="C2977" s="24" t="inlineStr">
        <is>
          <t>补登公司客户视图</t>
        </is>
      </c>
      <c r="D2977" s="24" t="inlineStr">
        <is>
          <t>010020</t>
        </is>
      </c>
      <c r="E2977" s="24" t="inlineStr">
        <is>
          <t>客户高管信息</t>
        </is>
      </c>
    </row>
    <row r="2978">
      <c r="B2978" s="24" t="inlineStr">
        <is>
          <t>ReinforceEnterpriseView</t>
        </is>
      </c>
      <c r="C2978" s="24" t="inlineStr">
        <is>
          <t>补登公司客户视图</t>
        </is>
      </c>
      <c r="D2978" s="24" t="inlineStr">
        <is>
          <t>010030</t>
        </is>
      </c>
      <c r="E2978" s="24" t="inlineStr">
        <is>
          <t>股东情况</t>
        </is>
      </c>
    </row>
    <row r="2979">
      <c r="B2979" s="24" t="inlineStr">
        <is>
          <t>ReinforceEnterpriseView</t>
        </is>
      </c>
      <c r="C2979" s="24" t="inlineStr">
        <is>
          <t>补登公司客户视图</t>
        </is>
      </c>
      <c r="D2979" s="24" t="inlineStr">
        <is>
          <t>010040</t>
        </is>
      </c>
      <c r="E2979" s="24" t="inlineStr">
        <is>
          <t>对外股权投资情况</t>
        </is>
      </c>
    </row>
    <row r="2980" ht="15.95" customHeight="1" s="170">
      <c r="B2980" s="122" t="inlineStr">
        <is>
          <t>码值：AuthStatus</t>
        </is>
      </c>
    </row>
    <row r="2981">
      <c r="B2981" s="24" t="inlineStr">
        <is>
          <t>AuthStatus</t>
        </is>
      </c>
      <c r="C2981" s="24" t="inlineStr">
        <is>
          <t>是否有效</t>
        </is>
      </c>
      <c r="D2981" s="24" t="inlineStr">
        <is>
          <t>Effective</t>
        </is>
      </c>
      <c r="E2981" s="24" t="inlineStr">
        <is>
          <t>生效</t>
        </is>
      </c>
    </row>
    <row r="2982">
      <c r="B2982" s="24" t="inlineStr">
        <is>
          <t>AuthStatus</t>
        </is>
      </c>
      <c r="C2982" s="24" t="inlineStr">
        <is>
          <t>是否有效</t>
        </is>
      </c>
      <c r="D2982" s="24" t="inlineStr">
        <is>
          <t>Invalid</t>
        </is>
      </c>
      <c r="E2982" s="24" t="inlineStr">
        <is>
          <t>失效</t>
        </is>
      </c>
    </row>
    <row r="2983" ht="15.95" customHeight="1" s="170">
      <c r="B2983" s="122" t="inlineStr">
        <is>
          <t>码值：GroupTreeView</t>
        </is>
      </c>
    </row>
    <row r="2984">
      <c r="B2984" s="24" t="inlineStr">
        <is>
          <t>GroupTreeView</t>
        </is>
      </c>
      <c r="C2984" s="24" t="inlineStr">
        <is>
          <t>集团客户详情视图</t>
        </is>
      </c>
      <c r="D2984" s="24" t="inlineStr">
        <is>
          <t>010</t>
        </is>
      </c>
      <c r="E2984" s="24" t="inlineStr">
        <is>
          <t>集团概况</t>
        </is>
      </c>
    </row>
    <row r="2985">
      <c r="B2985" s="24" t="inlineStr">
        <is>
          <t>GroupTreeView</t>
        </is>
      </c>
      <c r="C2985" s="24" t="inlineStr">
        <is>
          <t>集团客户详情视图</t>
        </is>
      </c>
      <c r="D2985" s="24" t="inlineStr">
        <is>
          <t>020</t>
        </is>
      </c>
      <c r="E2985" s="24" t="inlineStr">
        <is>
          <t>集团家谱</t>
        </is>
      </c>
    </row>
    <row r="2986">
      <c r="B2986" s="24" t="inlineStr">
        <is>
          <t>GroupTreeView</t>
        </is>
      </c>
      <c r="C2986" s="24" t="inlineStr">
        <is>
          <t>集团客户详情视图</t>
        </is>
      </c>
      <c r="D2986" s="24" t="inlineStr">
        <is>
          <t>030</t>
        </is>
      </c>
      <c r="E2986" s="24" t="inlineStr">
        <is>
          <t>集团家谱最新已认定成员</t>
        </is>
      </c>
    </row>
    <row r="2987">
      <c r="B2987" s="24" t="inlineStr">
        <is>
          <t>GroupTreeView</t>
        </is>
      </c>
      <c r="C2987" s="24" t="inlineStr">
        <is>
          <t>集团客户详情视图</t>
        </is>
      </c>
      <c r="D2987" s="24" t="inlineStr">
        <is>
          <t>040</t>
        </is>
      </c>
      <c r="E2987" s="24" t="inlineStr">
        <is>
          <t>集团家谱历次已认定版本</t>
        </is>
      </c>
    </row>
    <row r="2988">
      <c r="B2988" s="24" t="inlineStr">
        <is>
          <t>GroupTreeView</t>
        </is>
      </c>
      <c r="C2988" s="24" t="inlineStr">
        <is>
          <t>集团客户详情视图</t>
        </is>
      </c>
      <c r="D2988" s="24" t="inlineStr">
        <is>
          <t>050</t>
        </is>
      </c>
      <c r="E2988" s="24" t="inlineStr">
        <is>
          <t>集团授信情况</t>
        </is>
      </c>
    </row>
    <row r="2989">
      <c r="B2989" s="24" t="inlineStr">
        <is>
          <t>GroupTreeView</t>
        </is>
      </c>
      <c r="C2989" s="24" t="inlineStr">
        <is>
          <t>集团客户详情视图</t>
        </is>
      </c>
      <c r="D2989" s="24" t="inlineStr">
        <is>
          <t>060</t>
        </is>
      </c>
      <c r="E2989" s="24" t="inlineStr">
        <is>
          <t>集团变更历史</t>
        </is>
      </c>
    </row>
    <row r="2990" ht="15.95" customHeight="1" s="170">
      <c r="B2990" s="122" t="inlineStr">
        <is>
          <t>码值：企业类型</t>
        </is>
      </c>
    </row>
    <row r="2991">
      <c r="B2991" s="24" t="inlineStr">
        <is>
          <t>企业类型</t>
        </is>
      </c>
      <c r="C2991" s="24" t="inlineStr">
        <is>
          <t>企业类型</t>
        </is>
      </c>
      <c r="D2991" s="24" t="inlineStr">
        <is>
          <t>1</t>
        </is>
      </c>
      <c r="E2991" s="24" t="inlineStr">
        <is>
          <t>大型百货零售</t>
        </is>
      </c>
    </row>
    <row r="2992">
      <c r="B2992" s="24" t="inlineStr">
        <is>
          <t>企业类型</t>
        </is>
      </c>
      <c r="C2992" s="24" t="inlineStr">
        <is>
          <t>企业类型</t>
        </is>
      </c>
      <c r="D2992" s="24" t="inlineStr">
        <is>
          <t>2</t>
        </is>
      </c>
      <c r="E2992" s="24" t="inlineStr">
        <is>
          <t>超市</t>
        </is>
      </c>
    </row>
    <row r="2993">
      <c r="B2993" s="24" t="inlineStr">
        <is>
          <t>企业类型</t>
        </is>
      </c>
      <c r="C2993" s="24" t="inlineStr">
        <is>
          <t>企业类型</t>
        </is>
      </c>
      <c r="D2993" s="24" t="inlineStr">
        <is>
          <t>3</t>
        </is>
      </c>
      <c r="E2993" s="24" t="inlineStr">
        <is>
          <t>一般零售</t>
        </is>
      </c>
    </row>
    <row r="2994">
      <c r="B2994" s="24" t="inlineStr">
        <is>
          <t>企业类型</t>
        </is>
      </c>
      <c r="C2994" s="24" t="inlineStr">
        <is>
          <t>企业类型</t>
        </is>
      </c>
      <c r="D2994" s="24" t="inlineStr">
        <is>
          <t>4</t>
        </is>
      </c>
      <c r="E2994" s="24" t="inlineStr">
        <is>
          <t>一般的物资流通</t>
        </is>
      </c>
    </row>
    <row r="2995">
      <c r="B2995" s="24" t="inlineStr">
        <is>
          <t>企业类型</t>
        </is>
      </c>
      <c r="C2995" s="24" t="inlineStr">
        <is>
          <t>企业类型</t>
        </is>
      </c>
      <c r="D2995" s="24" t="inlineStr">
        <is>
          <t>5</t>
        </is>
      </c>
      <c r="E2995" s="24" t="inlineStr">
        <is>
          <t>有专营权的物资流通</t>
        </is>
      </c>
    </row>
    <row r="2996">
      <c r="B2996" s="24" t="inlineStr">
        <is>
          <t>企业类型</t>
        </is>
      </c>
      <c r="C2996" s="24" t="inlineStr">
        <is>
          <t>企业类型</t>
        </is>
      </c>
      <c r="D2996" s="24" t="inlineStr">
        <is>
          <t>6</t>
        </is>
      </c>
      <c r="E2996" s="24" t="inlineStr">
        <is>
          <t>供销合作社</t>
        </is>
      </c>
    </row>
    <row r="2997">
      <c r="B2997" s="24" t="inlineStr">
        <is>
          <t>企业类型</t>
        </is>
      </c>
      <c r="C2997" s="24" t="inlineStr">
        <is>
          <t>企业类型</t>
        </is>
      </c>
      <c r="D2997" s="24" t="inlineStr">
        <is>
          <t>7</t>
        </is>
      </c>
      <c r="E2997" s="24" t="inlineStr">
        <is>
          <t>外贸</t>
        </is>
      </c>
    </row>
    <row r="2998" ht="15.95" customHeight="1" s="170">
      <c r="B2998" s="122" t="inlineStr">
        <is>
          <t>码值：OfficialCredent</t>
        </is>
      </c>
    </row>
    <row r="2999">
      <c r="B2999" s="24" t="inlineStr">
        <is>
          <t>OfficialCredent</t>
        </is>
      </c>
      <c r="C2999" s="24" t="inlineStr">
        <is>
          <t>信用等级评估统一导入</t>
        </is>
      </c>
      <c r="D2999" s="24" t="inlineStr">
        <is>
          <t>01</t>
        </is>
      </c>
      <c r="E2999" s="24" t="inlineStr">
        <is>
          <t>高级职称或博士学位</t>
        </is>
      </c>
    </row>
    <row r="3000">
      <c r="B3000" s="24" t="inlineStr">
        <is>
          <t>OfficialCredent</t>
        </is>
      </c>
      <c r="C3000" s="24" t="inlineStr">
        <is>
          <t>信用等级评估统一导入</t>
        </is>
      </c>
      <c r="D3000" s="24" t="inlineStr">
        <is>
          <t>02</t>
        </is>
      </c>
      <c r="E3000" s="24" t="inlineStr">
        <is>
          <t>硕士或双学士学位</t>
        </is>
      </c>
    </row>
    <row r="3001">
      <c r="B3001" s="24" t="inlineStr">
        <is>
          <t>OfficialCredent</t>
        </is>
      </c>
      <c r="C3001" s="24" t="inlineStr">
        <is>
          <t>信用等级评估统一导入</t>
        </is>
      </c>
      <c r="D3001" s="24" t="inlineStr">
        <is>
          <t>03</t>
        </is>
      </c>
      <c r="E3001" s="24" t="inlineStr">
        <is>
          <t>中级职称或学士学位</t>
        </is>
      </c>
    </row>
    <row r="3002">
      <c r="B3002" s="24" t="inlineStr">
        <is>
          <t>OfficialCredent</t>
        </is>
      </c>
      <c r="C3002" s="24" t="inlineStr">
        <is>
          <t>信用等级评估统一导入</t>
        </is>
      </c>
      <c r="D3002" s="24" t="inlineStr">
        <is>
          <t>04</t>
        </is>
      </c>
      <c r="E3002" s="24" t="inlineStr">
        <is>
          <t>其他</t>
        </is>
      </c>
    </row>
    <row r="3003" ht="15.95" customHeight="1" s="170">
      <c r="B3003" s="122" t="inlineStr">
        <is>
          <t>码值：BoardSetting</t>
        </is>
      </c>
    </row>
    <row r="3004">
      <c r="B3004" s="24" t="inlineStr">
        <is>
          <t>BoardSetting</t>
        </is>
      </c>
      <c r="C3004" s="24" t="inlineStr">
        <is>
          <t>信用等级评估统一导入</t>
        </is>
      </c>
      <c r="D3004" s="24" t="inlineStr">
        <is>
          <t>1</t>
        </is>
      </c>
      <c r="E3004" s="24" t="inlineStr">
        <is>
          <t>按规定设定</t>
        </is>
      </c>
    </row>
    <row r="3005">
      <c r="B3005" s="24" t="inlineStr">
        <is>
          <t>BoardSetting</t>
        </is>
      </c>
      <c r="C3005" s="24" t="inlineStr">
        <is>
          <t>信用等级评估统一导入</t>
        </is>
      </c>
      <c r="D3005" s="24" t="inlineStr">
        <is>
          <t>2</t>
        </is>
      </c>
      <c r="E3005" s="24" t="inlineStr">
        <is>
          <t>只设执行董事</t>
        </is>
      </c>
    </row>
    <row r="3006">
      <c r="B3006" s="24" t="inlineStr">
        <is>
          <t>BoardSetting</t>
        </is>
      </c>
      <c r="C3006" s="24" t="inlineStr">
        <is>
          <t>信用等级评估统一导入</t>
        </is>
      </c>
      <c r="D3006" s="24" t="inlineStr">
        <is>
          <t>3</t>
        </is>
      </c>
      <c r="E3006" s="24" t="inlineStr">
        <is>
          <t>无</t>
        </is>
      </c>
    </row>
    <row r="3007" ht="15.95" customHeight="1" s="170">
      <c r="B3007" s="122" t="inlineStr">
        <is>
          <t>码值：InOutRCReason</t>
        </is>
      </c>
      <c r="F3007" s="2" t="inlineStr">
        <is>
          <t>变更</t>
        </is>
      </c>
    </row>
    <row r="3008">
      <c r="B3008" s="46" t="inlineStr">
        <is>
          <t>InOutRCReason</t>
        </is>
      </c>
      <c r="C3008" s="46" t="inlineStr">
        <is>
          <t>权证出入库原因</t>
        </is>
      </c>
      <c r="D3008" s="46" t="inlineStr">
        <is>
          <t>010</t>
        </is>
      </c>
      <c r="E3008" s="46" t="inlineStr">
        <is>
          <t>入库</t>
        </is>
      </c>
      <c r="F3008" s="84" t="inlineStr">
        <is>
          <t>入库</t>
        </is>
      </c>
    </row>
    <row r="3009">
      <c r="B3009" s="46" t="inlineStr">
        <is>
          <t>InOutRCReason</t>
        </is>
      </c>
      <c r="C3009" s="46" t="inlineStr">
        <is>
          <t>权证出入库原因</t>
        </is>
      </c>
      <c r="D3009" s="46" t="inlineStr">
        <is>
          <t>020</t>
        </is>
      </c>
      <c r="E3009" s="46" t="inlineStr">
        <is>
          <t>机构变更</t>
        </is>
      </c>
      <c r="F3009" s="84" t="inlineStr">
        <is>
          <t>临时出库归还</t>
        </is>
      </c>
    </row>
    <row r="3010" ht="16" customHeight="1" s="170">
      <c r="B3010" s="46" t="inlineStr">
        <is>
          <t>InOutRCReason</t>
        </is>
      </c>
      <c r="C3010" s="46" t="inlineStr">
        <is>
          <t>权证出入库原因</t>
        </is>
      </c>
      <c r="D3010" s="46" t="inlineStr">
        <is>
          <t>030</t>
        </is>
      </c>
      <c r="E3010" s="46" t="inlineStr">
        <is>
          <t>借用归还</t>
        </is>
      </c>
      <c r="F3010" s="125" t="inlineStr">
        <is>
          <t>结清出库</t>
        </is>
      </c>
    </row>
    <row r="3011" ht="16" customHeight="1" s="170">
      <c r="B3011" s="46" t="inlineStr">
        <is>
          <t>InOutRCReason</t>
        </is>
      </c>
      <c r="C3011" s="46" t="inlineStr">
        <is>
          <t>权证出入库原因</t>
        </is>
      </c>
      <c r="D3011" s="46" t="inlineStr">
        <is>
          <t>040</t>
        </is>
      </c>
      <c r="E3011" s="46" t="inlineStr">
        <is>
          <t>权证借用</t>
        </is>
      </c>
      <c r="F3011" s="125" t="inlineStr">
        <is>
          <t>临时出库</t>
        </is>
      </c>
    </row>
    <row r="3012" ht="16" customHeight="1" s="170">
      <c r="B3012" s="46" t="inlineStr">
        <is>
          <t>InOutRCReason</t>
        </is>
      </c>
      <c r="C3012" s="46" t="inlineStr">
        <is>
          <t>权证出入库原因</t>
        </is>
      </c>
      <c r="D3012" s="46" t="inlineStr">
        <is>
          <t>060</t>
        </is>
      </c>
      <c r="E3012" s="46" t="inlineStr">
        <is>
          <t>诉讼</t>
        </is>
      </c>
      <c r="F3012" s="125" t="inlineStr">
        <is>
          <t>押品释放</t>
        </is>
      </c>
    </row>
    <row r="3013" ht="16" customHeight="1" s="170">
      <c r="B3013" s="46" t="inlineStr">
        <is>
          <t>InOutRCReason</t>
        </is>
      </c>
      <c r="C3013" s="46" t="inlineStr">
        <is>
          <t>权证出入库原因</t>
        </is>
      </c>
      <c r="D3013" s="46" t="inlineStr">
        <is>
          <t>070</t>
        </is>
      </c>
      <c r="E3013" s="46" t="inlineStr">
        <is>
          <t>结清出库</t>
        </is>
      </c>
      <c r="F3013" s="125" t="inlineStr">
        <is>
          <t>中途换证</t>
        </is>
      </c>
    </row>
    <row r="3014">
      <c r="B3014" s="24" t="inlineStr">
        <is>
          <t>InOutRCReason</t>
        </is>
      </c>
      <c r="C3014" s="24" t="inlineStr">
        <is>
          <t>权证出入库原因</t>
        </is>
      </c>
      <c r="D3014" s="24" t="inlineStr">
        <is>
          <t>080</t>
        </is>
      </c>
      <c r="E3014" s="24" t="inlineStr">
        <is>
          <t>押品释放</t>
        </is>
      </c>
    </row>
    <row r="3015">
      <c r="B3015" s="24" t="inlineStr">
        <is>
          <t>InOutRCReason</t>
        </is>
      </c>
      <c r="C3015" s="24" t="inlineStr">
        <is>
          <t>权证出入库原因</t>
        </is>
      </c>
      <c r="D3015" s="24" t="inlineStr">
        <is>
          <t>090</t>
        </is>
      </c>
      <c r="E3015" s="24" t="inlineStr">
        <is>
          <t>处置</t>
        </is>
      </c>
    </row>
    <row r="3016">
      <c r="B3016" s="24" t="inlineStr">
        <is>
          <t>InOutRCReason</t>
        </is>
      </c>
      <c r="C3016" s="24" t="inlineStr">
        <is>
          <t>权证出入库原因</t>
        </is>
      </c>
      <c r="D3016" s="24" t="inlineStr">
        <is>
          <t>100</t>
        </is>
      </c>
      <c r="E3016" s="24" t="inlineStr">
        <is>
          <t>托收</t>
        </is>
      </c>
    </row>
    <row r="3017">
      <c r="B3017" s="24" t="inlineStr">
        <is>
          <t>InOutRCReason</t>
        </is>
      </c>
      <c r="C3017" s="24" t="inlineStr">
        <is>
          <t>权证出入库原因</t>
        </is>
      </c>
      <c r="D3017" s="24" t="inlineStr">
        <is>
          <t>110</t>
        </is>
      </c>
      <c r="E3017" s="24" t="inlineStr">
        <is>
          <t>展期</t>
        </is>
      </c>
    </row>
    <row r="3018">
      <c r="B3018" s="24" t="inlineStr">
        <is>
          <t>InOutRCReason</t>
        </is>
      </c>
      <c r="C3018" s="24" t="inlineStr">
        <is>
          <t>权证出入库原因</t>
        </is>
      </c>
      <c r="D3018" s="24" t="inlineStr">
        <is>
          <t>120</t>
        </is>
      </c>
      <c r="E3018" s="24" t="inlineStr">
        <is>
          <t>其他</t>
        </is>
      </c>
    </row>
    <row r="3019" ht="15.95" customHeight="1" s="170">
      <c r="B3019" s="122" t="inlineStr">
        <is>
          <t>码值：SiteName</t>
        </is>
      </c>
    </row>
    <row r="3020">
      <c r="B3020" s="24" t="inlineStr">
        <is>
          <t>SiteName</t>
        </is>
      </c>
      <c r="C3020" s="24" t="inlineStr">
        <is>
          <t>地段/土地级别</t>
        </is>
      </c>
      <c r="D3020" s="24" t="inlineStr">
        <is>
          <t>01</t>
        </is>
      </c>
      <c r="E3020" s="24" t="inlineStr">
        <is>
          <t>一类</t>
        </is>
      </c>
    </row>
    <row r="3021">
      <c r="B3021" s="24" t="inlineStr">
        <is>
          <t>SiteName</t>
        </is>
      </c>
      <c r="C3021" s="24" t="inlineStr">
        <is>
          <t>地段/土地级别</t>
        </is>
      </c>
      <c r="D3021" s="24" t="inlineStr">
        <is>
          <t>02</t>
        </is>
      </c>
      <c r="E3021" s="24" t="inlineStr">
        <is>
          <t>二类</t>
        </is>
      </c>
    </row>
    <row r="3022">
      <c r="B3022" s="24" t="inlineStr">
        <is>
          <t>SiteName</t>
        </is>
      </c>
      <c r="C3022" s="24" t="inlineStr">
        <is>
          <t>地段/土地级别</t>
        </is>
      </c>
      <c r="D3022" s="24" t="inlineStr">
        <is>
          <t>03</t>
        </is>
      </c>
      <c r="E3022" s="24" t="inlineStr">
        <is>
          <t>其他</t>
        </is>
      </c>
    </row>
    <row r="3023" ht="15.95" customHeight="1" s="170">
      <c r="B3023" s="122" t="inlineStr">
        <is>
          <t>码值：ResumeIntType</t>
        </is>
      </c>
    </row>
    <row r="3024">
      <c r="B3024" s="24" t="inlineStr">
        <is>
          <t>ResumeIntType</t>
        </is>
      </c>
      <c r="C3024" s="24" t="inlineStr">
        <is>
          <t>计复息标志</t>
        </is>
      </c>
      <c r="D3024" s="24" t="inlineStr">
        <is>
          <t>0</t>
        </is>
      </c>
      <c r="E3024" s="24" t="inlineStr">
        <is>
          <t>不计复息</t>
        </is>
      </c>
    </row>
    <row r="3025">
      <c r="B3025" s="24" t="inlineStr">
        <is>
          <t>ResumeIntType</t>
        </is>
      </c>
      <c r="C3025" s="24" t="inlineStr">
        <is>
          <t>计复息标志</t>
        </is>
      </c>
      <c r="D3025" s="24" t="inlineStr">
        <is>
          <t>1</t>
        </is>
      </c>
      <c r="E3025" s="24" t="inlineStr">
        <is>
          <t>计复息</t>
        </is>
      </c>
    </row>
    <row r="3026" ht="15.95" customHeight="1" s="170">
      <c r="B3026" s="122" t="inlineStr">
        <is>
          <t>码值：FinanceView</t>
        </is>
      </c>
    </row>
    <row r="3027">
      <c r="B3027" s="24" t="inlineStr">
        <is>
          <t>FinanceView</t>
        </is>
      </c>
      <c r="C3027" s="24" t="inlineStr">
        <is>
          <t>财务分析树图</t>
        </is>
      </c>
      <c r="D3027" s="24" t="inlineStr">
        <is>
          <t>010</t>
        </is>
      </c>
      <c r="E3027" s="24" t="inlineStr">
        <is>
          <t>趋势分析</t>
        </is>
      </c>
    </row>
    <row r="3028">
      <c r="B3028" s="24" t="inlineStr">
        <is>
          <t>FinanceView</t>
        </is>
      </c>
      <c r="C3028" s="24" t="inlineStr">
        <is>
          <t>财务分析树图</t>
        </is>
      </c>
      <c r="D3028" s="24" t="inlineStr">
        <is>
          <t>020</t>
        </is>
      </c>
      <c r="E3028" s="24" t="inlineStr">
        <is>
          <t>结构分析</t>
        </is>
      </c>
    </row>
    <row r="3029">
      <c r="B3029" s="24" t="inlineStr">
        <is>
          <t>FinanceView</t>
        </is>
      </c>
      <c r="C3029" s="24" t="inlineStr">
        <is>
          <t>财务分析树图</t>
        </is>
      </c>
      <c r="D3029" s="24" t="inlineStr">
        <is>
          <t>030</t>
        </is>
      </c>
      <c r="E3029" s="24" t="inlineStr">
        <is>
          <t>杜邦分析</t>
        </is>
      </c>
    </row>
    <row r="3030" ht="15.95" customHeight="1" s="170">
      <c r="B3030" s="122" t="inlineStr">
        <is>
          <t>码值：OurRoleType</t>
        </is>
      </c>
    </row>
    <row r="3031">
      <c r="B3031" s="24" t="inlineStr">
        <is>
          <t>OurRoleType</t>
        </is>
      </c>
      <c r="C3031" s="24" t="inlineStr">
        <is>
          <t>额度控制类型</t>
        </is>
      </c>
      <c r="D3031" s="24" t="inlineStr">
        <is>
          <t>01</t>
        </is>
      </c>
      <c r="E3031" s="24" t="inlineStr">
        <is>
          <t>余额控制(即循环额度)</t>
        </is>
      </c>
    </row>
    <row r="3032">
      <c r="B3032" s="24" t="inlineStr">
        <is>
          <t>OurRoleType</t>
        </is>
      </c>
      <c r="C3032" s="24" t="inlineStr">
        <is>
          <t>额度控制类型</t>
        </is>
      </c>
      <c r="D3032" s="24" t="inlineStr">
        <is>
          <t>02</t>
        </is>
      </c>
      <c r="E3032" s="24" t="inlineStr">
        <is>
          <t>发生类控制(即非循环额度)</t>
        </is>
      </c>
    </row>
    <row r="3033">
      <c r="B3033" s="24" t="inlineStr">
        <is>
          <t>OurRoleType</t>
        </is>
      </c>
      <c r="C3033" s="24" t="inlineStr">
        <is>
          <t>额度控制类型</t>
        </is>
      </c>
      <c r="D3033" s="24" t="inlineStr">
        <is>
          <t>03</t>
        </is>
      </c>
      <c r="E3033" s="24" t="inlineStr">
        <is>
          <t>其他</t>
        </is>
      </c>
    </row>
    <row r="3034" ht="15.95" customHeight="1" s="170">
      <c r="B3034" s="122" t="inlineStr">
        <is>
          <t>码值：压力分析(项目融资)</t>
        </is>
      </c>
    </row>
    <row r="3035">
      <c r="B3035" s="24" t="inlineStr">
        <is>
          <t>压力分析(项目融资)</t>
        </is>
      </c>
      <c r="C3035" s="24" t="inlineStr">
        <is>
          <t>压力分析（项目融资）</t>
        </is>
      </c>
      <c r="D3035" s="24" t="inlineStr">
        <is>
          <t>01</t>
        </is>
      </c>
      <c r="E3035" s="24" t="inlineStr">
        <is>
          <t>当经济和行业面临持续、严重的问题时，项目仍能偿还债务。</t>
        </is>
      </c>
    </row>
    <row r="3036">
      <c r="B3036" s="24" t="inlineStr">
        <is>
          <t>压力分析(项目融资)</t>
        </is>
      </c>
      <c r="C3036" s="24" t="inlineStr">
        <is>
          <t>压力分析（项目融资）</t>
        </is>
      </c>
      <c r="D3036" s="24" t="inlineStr">
        <is>
          <t>02</t>
        </is>
      </c>
      <c r="E3036" s="24" t="inlineStr">
        <is>
          <t>当经济和行业面临一般问题时，项目能偿还债务。只有当经济发生严重问题时，项目才可能违约。</t>
        </is>
      </c>
    </row>
    <row r="3037">
      <c r="B3037" s="24" t="inlineStr">
        <is>
          <t>压力分析(项目融资)</t>
        </is>
      </c>
      <c r="C3037" s="24" t="inlineStr">
        <is>
          <t>压力分析（项目融资）</t>
        </is>
      </c>
      <c r="D3037" s="24" t="inlineStr">
        <is>
          <t>03</t>
        </is>
      </c>
      <c r="E3037" s="24" t="inlineStr">
        <is>
          <t>项目易受经济周期中常见的负面影响，可能在正常的低谷期违约。</t>
        </is>
      </c>
    </row>
    <row r="3038">
      <c r="B3038" s="24" t="inlineStr">
        <is>
          <t>压力分析(项目融资)</t>
        </is>
      </c>
      <c r="C3038" s="24" t="inlineStr">
        <is>
          <t>压力分析（项目融资）</t>
        </is>
      </c>
      <c r="D3038" s="24" t="inlineStr">
        <is>
          <t>04</t>
        </is>
      </c>
      <c r="E3038" s="24" t="inlineStr">
        <is>
          <t>如果情况不好转，项目可能违约。</t>
        </is>
      </c>
    </row>
    <row r="3039" ht="15.95" customHeight="1" s="170">
      <c r="B3039" s="122" t="inlineStr">
        <is>
          <t>码值：PurchasingContractSituation</t>
        </is>
      </c>
    </row>
    <row r="3040">
      <c r="B3040" s="24" t="inlineStr">
        <is>
          <t>PurchasingContractSituation</t>
        </is>
      </c>
      <c r="C3040" s="24" t="inlineStr">
        <is>
          <t>信用等级评估统一导入</t>
        </is>
      </c>
      <c r="D3040" s="24" t="inlineStr">
        <is>
          <t>01</t>
        </is>
      </c>
      <c r="E3040" s="24" t="inlineStr">
        <is>
          <t>承购方信誉卓著；合同终止条款完备；项目合同期限略微长于债务期限</t>
        </is>
      </c>
    </row>
    <row r="3041">
      <c r="B3041" s="24" t="inlineStr">
        <is>
          <t>PurchasingContractSituation</t>
        </is>
      </c>
      <c r="C3041" s="24" t="inlineStr">
        <is>
          <t>信用等级评估统一导入</t>
        </is>
      </c>
      <c r="D3041" s="24" t="inlineStr">
        <is>
          <t>02</t>
        </is>
      </c>
      <c r="E3041" s="24" t="inlineStr">
        <is>
          <t>承购方信誉良好；合同终止条款完备；项目合同期限长于债务期限</t>
        </is>
      </c>
    </row>
    <row r="3042">
      <c r="B3042" s="24" t="inlineStr">
        <is>
          <t>PurchasingContractSituation</t>
        </is>
      </c>
      <c r="C3042" s="24" t="inlineStr">
        <is>
          <t>信用等级评估统一导入</t>
        </is>
      </c>
      <c r="D3042" s="24" t="inlineStr">
        <is>
          <t>03</t>
        </is>
      </c>
      <c r="E3042" s="24" t="inlineStr">
        <is>
          <t>承购方信誉一般；合同对终止条款做一般规定；项目合同期限一般等于债务期限</t>
        </is>
      </c>
    </row>
    <row r="3043">
      <c r="B3043" s="24" t="inlineStr">
        <is>
          <t>PurchasingContractSituation</t>
        </is>
      </c>
      <c r="C3043" s="24" t="inlineStr">
        <is>
          <t>信用等级评估统一导入</t>
        </is>
      </c>
      <c r="D3043" s="24" t="inlineStr">
        <is>
          <t>04</t>
        </is>
      </c>
      <c r="E3043" s="24" t="inlineStr">
        <is>
          <t>承购方信誉较差；合同终止条款规定不全；项目合同期限不长于债务期限</t>
        </is>
      </c>
    </row>
    <row r="3044">
      <c r="B3044" s="24" t="inlineStr">
        <is>
          <t>PurchasingContractSituation</t>
        </is>
      </c>
      <c r="C3044" s="24" t="inlineStr">
        <is>
          <t>信用等级评估统一导入</t>
        </is>
      </c>
      <c r="D3044" s="24" t="inlineStr">
        <is>
          <t>05</t>
        </is>
      </c>
      <c r="E3044" s="24" t="inlineStr">
        <is>
          <t>项目产品即所产生的主要服务或商品在世界范围销售顺畅；即使市场价格增长率低于过去，产品也能按预定价格出售</t>
        </is>
      </c>
    </row>
    <row r="3045">
      <c r="B3045" s="24" t="inlineStr">
        <is>
          <t>PurchasingContractSituation</t>
        </is>
      </c>
      <c r="C3045" s="24" t="inlineStr">
        <is>
          <t>信用等级评估统一导入</t>
        </is>
      </c>
      <c r="D3045" s="24" t="inlineStr">
        <is>
          <t>06</t>
        </is>
      </c>
      <c r="E3045" s="24" t="inlineStr">
        <is>
          <t>项目产品即所产生的主要服务或商品在地区市场销售顺畅，即使市场价格增长率低于过去，产品也能按预定价格出售</t>
        </is>
      </c>
    </row>
    <row r="3046">
      <c r="B3046" s="24" t="inlineStr">
        <is>
          <t>PurchasingContractSituation</t>
        </is>
      </c>
      <c r="C3046" s="24" t="inlineStr">
        <is>
          <t>信用等级评估统一导入</t>
        </is>
      </c>
      <c r="D3046" s="24" t="inlineStr">
        <is>
          <t>07</t>
        </is>
      </c>
      <c r="E3046" s="24" t="inlineStr">
        <is>
          <t>商品销售范围有限且只能按比预定价格低的价格出售</t>
        </is>
      </c>
    </row>
    <row r="3047">
      <c r="B3047" s="24" t="inlineStr">
        <is>
          <t>PurchasingContractSituation</t>
        </is>
      </c>
      <c r="C3047" s="24" t="inlineStr">
        <is>
          <t>信用等级评估统一导入</t>
        </is>
      </c>
      <c r="D3047" s="24" t="inlineStr">
        <is>
          <t>08</t>
        </is>
      </c>
      <c r="E3047" s="24" t="inlineStr">
        <is>
          <t>项目产品只有一两个买家或者在有组织市场一般无法售出</t>
        </is>
      </c>
    </row>
    <row r="3048" ht="15.95" customHeight="1" s="170">
      <c r="B3048" s="122" t="inlineStr">
        <is>
          <t>码值：SocialInsurance</t>
        </is>
      </c>
    </row>
    <row r="3049">
      <c r="B3049" s="24" t="inlineStr">
        <is>
          <t>SocialInsurance</t>
        </is>
      </c>
      <c r="C3049" s="24" t="inlineStr">
        <is>
          <t>信用等级评估统一导入</t>
        </is>
      </c>
      <c r="D3049" s="24" t="inlineStr">
        <is>
          <t>01</t>
        </is>
      </c>
      <c r="E3049" s="24" t="inlineStr">
        <is>
          <t>有</t>
        </is>
      </c>
    </row>
    <row r="3050">
      <c r="B3050" s="24" t="inlineStr">
        <is>
          <t>SocialInsurance</t>
        </is>
      </c>
      <c r="C3050" s="24" t="inlineStr">
        <is>
          <t>信用等级评估统一导入</t>
        </is>
      </c>
      <c r="D3050" s="24" t="inlineStr">
        <is>
          <t>02</t>
        </is>
      </c>
      <c r="E3050" s="24" t="inlineStr">
        <is>
          <t>无</t>
        </is>
      </c>
    </row>
    <row r="3051" ht="15.95" customHeight="1" s="170">
      <c r="B3051" s="122" t="inlineStr">
        <is>
          <t>码值：经费来源稳定性</t>
        </is>
      </c>
    </row>
    <row r="3052">
      <c r="B3052" s="24" t="inlineStr">
        <is>
          <t>经费来源稳定性</t>
        </is>
      </c>
      <c r="C3052" s="24" t="inlineStr">
        <is>
          <t>经费来源稳定性</t>
        </is>
      </c>
      <c r="D3052" s="24" t="inlineStr">
        <is>
          <t>1</t>
        </is>
      </c>
      <c r="E3052" s="24" t="inlineStr">
        <is>
          <t>稳定</t>
        </is>
      </c>
    </row>
    <row r="3053">
      <c r="B3053" s="24" t="inlineStr">
        <is>
          <t>经费来源稳定性</t>
        </is>
      </c>
      <c r="C3053" s="24" t="inlineStr">
        <is>
          <t>经费来源稳定性</t>
        </is>
      </c>
      <c r="D3053" s="24" t="inlineStr">
        <is>
          <t>2</t>
        </is>
      </c>
      <c r="E3053" s="24" t="inlineStr">
        <is>
          <t>较稳定</t>
        </is>
      </c>
    </row>
    <row r="3054">
      <c r="B3054" s="24" t="inlineStr">
        <is>
          <t>经费来源稳定性</t>
        </is>
      </c>
      <c r="C3054" s="24" t="inlineStr">
        <is>
          <t>经费来源稳定性</t>
        </is>
      </c>
      <c r="D3054" s="24" t="inlineStr">
        <is>
          <t>3</t>
        </is>
      </c>
      <c r="E3054" s="24" t="inlineStr">
        <is>
          <t>不稳定</t>
        </is>
      </c>
    </row>
    <row r="3055" ht="15.95" customHeight="1" s="170">
      <c r="B3055" s="122" t="inlineStr">
        <is>
          <t>码值：ADVBailCalcbaseMent</t>
        </is>
      </c>
    </row>
    <row r="3056">
      <c r="B3056" s="24" t="inlineStr">
        <is>
          <t>ADVBailCalcbaseMent</t>
        </is>
      </c>
      <c r="C3056" s="24" t="inlineStr">
        <is>
          <t>预存定比保证金计算基础</t>
        </is>
      </c>
      <c r="D3056" s="24" t="inlineStr">
        <is>
          <t>010</t>
        </is>
      </c>
      <c r="E3056" s="24" t="inlineStr">
        <is>
          <t>项目额度总金额</t>
        </is>
      </c>
    </row>
    <row r="3057">
      <c r="B3057" s="24" t="inlineStr">
        <is>
          <t>ADVBailCalcbaseMent</t>
        </is>
      </c>
      <c r="C3057" s="24" t="inlineStr">
        <is>
          <t>预存定比保证金计算基础</t>
        </is>
      </c>
      <c r="D3057" s="24" t="inlineStr">
        <is>
          <t>020</t>
        </is>
      </c>
      <c r="E3057" s="24" t="inlineStr">
        <is>
          <t>担保额度总金额</t>
        </is>
      </c>
    </row>
    <row r="3058" ht="15.95" customHeight="1" s="170">
      <c r="B3058" s="122" t="inlineStr">
        <is>
          <t>码值：ButtonSetP</t>
        </is>
      </c>
    </row>
    <row r="3059">
      <c r="B3059" s="24" t="inlineStr">
        <is>
          <t>ButtonSetP</t>
        </is>
      </c>
      <c r="C3059" s="24" t="inlineStr">
        <is>
          <t>信贷政策按钮组</t>
        </is>
      </c>
      <c r="D3059" s="24" t="inlineStr">
        <is>
          <t>backStep</t>
        </is>
      </c>
      <c r="E3059" s="24" t="inlineStr">
        <is>
          <t>回退任务</t>
        </is>
      </c>
    </row>
    <row r="3060">
      <c r="B3060" s="24" t="inlineStr">
        <is>
          <t>ButtonSetP</t>
        </is>
      </c>
      <c r="C3060" s="24" t="inlineStr">
        <is>
          <t>信贷政策按钮组</t>
        </is>
      </c>
      <c r="D3060" s="24" t="inlineStr">
        <is>
          <t>cancelApply</t>
        </is>
      </c>
      <c r="E3060" s="24" t="inlineStr">
        <is>
          <t>取消申请</t>
        </is>
      </c>
    </row>
    <row r="3061">
      <c r="B3061" s="24" t="inlineStr">
        <is>
          <t>ButtonSetP</t>
        </is>
      </c>
      <c r="C3061" s="24" t="inlineStr">
        <is>
          <t>信贷政策按钮组</t>
        </is>
      </c>
      <c r="D3061" s="24" t="inlineStr">
        <is>
          <t>completeApply</t>
        </is>
      </c>
      <c r="E3061" s="24" t="inlineStr">
        <is>
          <t>提交申请</t>
        </is>
      </c>
    </row>
    <row r="3062">
      <c r="B3062" s="24" t="inlineStr">
        <is>
          <t>ButtonSetP</t>
        </is>
      </c>
      <c r="C3062" s="24" t="inlineStr">
        <is>
          <t>信贷政策按钮组</t>
        </is>
      </c>
      <c r="D3062" s="24" t="inlineStr">
        <is>
          <t>detailOpinion</t>
        </is>
      </c>
      <c r="E3062" s="24" t="inlineStr">
        <is>
          <t>查看意见</t>
        </is>
      </c>
    </row>
    <row r="3063">
      <c r="B3063" s="24" t="inlineStr">
        <is>
          <t>ButtonSetP</t>
        </is>
      </c>
      <c r="C3063" s="24" t="inlineStr">
        <is>
          <t>信贷政策按钮组</t>
        </is>
      </c>
      <c r="D3063" s="24" t="inlineStr">
        <is>
          <t>doSubmit</t>
        </is>
      </c>
      <c r="E3063" s="24" t="inlineStr">
        <is>
          <t>提交</t>
        </is>
      </c>
    </row>
    <row r="3064">
      <c r="B3064" s="24" t="inlineStr">
        <is>
          <t>ButtonSetP</t>
        </is>
      </c>
      <c r="C3064" s="24" t="inlineStr">
        <is>
          <t>信贷政策按钮组</t>
        </is>
      </c>
      <c r="D3064" s="24" t="inlineStr">
        <is>
          <t>newApply</t>
        </is>
      </c>
      <c r="E3064" s="24" t="inlineStr">
        <is>
          <t>新增申请</t>
        </is>
      </c>
    </row>
    <row r="3065">
      <c r="B3065" s="24" t="inlineStr">
        <is>
          <t>ButtonSetP</t>
        </is>
      </c>
      <c r="C3065" s="24" t="inlineStr">
        <is>
          <t>信贷政策按钮组</t>
        </is>
      </c>
      <c r="D3065" s="24" t="inlineStr">
        <is>
          <t>signOpinion</t>
        </is>
      </c>
      <c r="E3065" s="24" t="inlineStr">
        <is>
          <t>签署意见</t>
        </is>
      </c>
    </row>
    <row r="3066">
      <c r="B3066" s="24" t="inlineStr">
        <is>
          <t>ButtonSetP</t>
        </is>
      </c>
      <c r="C3066" s="24" t="inlineStr">
        <is>
          <t>信贷政策按钮组</t>
        </is>
      </c>
      <c r="D3066" s="24" t="inlineStr">
        <is>
          <t>takeBack</t>
        </is>
      </c>
      <c r="E3066" s="24" t="inlineStr">
        <is>
          <t>收回</t>
        </is>
      </c>
    </row>
    <row r="3067">
      <c r="B3067" s="24" t="inlineStr">
        <is>
          <t>ButtonSetP</t>
        </is>
      </c>
      <c r="C3067" s="24" t="inlineStr">
        <is>
          <t>信贷政策按钮组</t>
        </is>
      </c>
      <c r="D3067" s="24" t="inlineStr">
        <is>
          <t>viewApply</t>
        </is>
      </c>
      <c r="E3067" s="24" t="inlineStr">
        <is>
          <t>申请详情</t>
        </is>
      </c>
    </row>
    <row r="3068" ht="15.95" customHeight="1" s="170">
      <c r="B3068" s="122" t="inlineStr">
        <is>
          <t>码值：SelfUseFlag</t>
        </is>
      </c>
    </row>
    <row r="3069">
      <c r="B3069" s="24" t="inlineStr">
        <is>
          <t>SelfUseFlag</t>
        </is>
      </c>
      <c r="C3069" s="24" t="inlineStr">
        <is>
          <t>额度自用或他用</t>
        </is>
      </c>
      <c r="D3069" s="24" t="inlineStr">
        <is>
          <t>01</t>
        </is>
      </c>
      <c r="E3069" s="24" t="inlineStr">
        <is>
          <t>自用</t>
        </is>
      </c>
    </row>
    <row r="3070">
      <c r="B3070" s="24" t="inlineStr">
        <is>
          <t>SelfUseFlag</t>
        </is>
      </c>
      <c r="C3070" s="24" t="inlineStr">
        <is>
          <t>额度自用或他用</t>
        </is>
      </c>
      <c r="D3070" s="24" t="inlineStr">
        <is>
          <t>02</t>
        </is>
      </c>
      <c r="E3070" s="24" t="inlineStr">
        <is>
          <t>他用</t>
        </is>
      </c>
    </row>
    <row r="3071">
      <c r="B3071" s="24" t="inlineStr">
        <is>
          <t>SelfUseFlag</t>
        </is>
      </c>
      <c r="C3071" s="24" t="inlineStr">
        <is>
          <t>额度自用或他用</t>
        </is>
      </c>
      <c r="D3071" s="24" t="inlineStr">
        <is>
          <t>03</t>
        </is>
      </c>
      <c r="E3071" s="24" t="inlineStr">
        <is>
          <t>混用</t>
        </is>
      </c>
    </row>
    <row r="3072" ht="15.95" customHeight="1" s="170">
      <c r="B3072" s="122" t="inlineStr">
        <is>
          <t>码值：ApproveCreditMain</t>
        </is>
      </c>
    </row>
    <row r="3073">
      <c r="B3073" s="24" t="inlineStr">
        <is>
          <t>ApproveCreditMain</t>
        </is>
      </c>
      <c r="C3073" s="24" t="inlineStr">
        <is>
          <t>授信业务申请审批判断</t>
        </is>
      </c>
      <c r="D3073" s="24" t="inlineStr">
        <is>
          <t>N</t>
        </is>
      </c>
      <c r="E3073" s="24" t="inlineStr">
        <is>
          <t>当前工作</t>
        </is>
      </c>
    </row>
    <row r="3074">
      <c r="B3074" s="24" t="inlineStr">
        <is>
          <t>ApproveCreditMain</t>
        </is>
      </c>
      <c r="C3074" s="24" t="inlineStr">
        <is>
          <t>授信业务申请审批判断</t>
        </is>
      </c>
      <c r="D3074" s="24" t="inlineStr">
        <is>
          <t>Y</t>
        </is>
      </c>
      <c r="E3074" s="24" t="inlineStr">
        <is>
          <t>已完成工作</t>
        </is>
      </c>
    </row>
    <row r="3075">
      <c r="B3075" s="24" t="inlineStr">
        <is>
          <t>ApproveCreditMain</t>
        </is>
      </c>
      <c r="C3075" s="24" t="inlineStr">
        <is>
          <t>授信业务申请审批判断</t>
        </is>
      </c>
      <c r="D3075" s="24" t="inlineStr">
        <is>
          <t>当前工作/已完成工作</t>
        </is>
      </c>
      <c r="E3075" s="24" t="inlineStr">
        <is>
          <t>阶段名称</t>
        </is>
      </c>
    </row>
    <row r="3076" ht="15.95" customHeight="1" s="170">
      <c r="B3076" s="122" t="inlineStr">
        <is>
          <t>码值：CasePhase</t>
        </is>
      </c>
    </row>
    <row r="3077">
      <c r="B3077" s="24" t="inlineStr">
        <is>
          <t>CasePhase</t>
        </is>
      </c>
      <c r="C3077" s="24" t="inlineStr">
        <is>
          <t>诉讼阶段</t>
        </is>
      </c>
      <c r="D3077" s="24" t="inlineStr">
        <is>
          <t>010</t>
        </is>
      </c>
      <c r="E3077" s="24" t="inlineStr">
        <is>
          <t>诉讼前案件</t>
        </is>
      </c>
    </row>
    <row r="3078">
      <c r="B3078" s="24" t="inlineStr">
        <is>
          <t>CasePhase</t>
        </is>
      </c>
      <c r="C3078" s="24" t="inlineStr">
        <is>
          <t>诉讼阶段</t>
        </is>
      </c>
      <c r="D3078" s="24" t="inlineStr">
        <is>
          <t>020</t>
        </is>
      </c>
      <c r="E3078" s="24" t="inlineStr">
        <is>
          <t>诉讼中案件</t>
        </is>
      </c>
    </row>
    <row r="3079">
      <c r="B3079" s="24" t="inlineStr">
        <is>
          <t>CasePhase</t>
        </is>
      </c>
      <c r="C3079" s="24" t="inlineStr">
        <is>
          <t>诉讼阶段</t>
        </is>
      </c>
      <c r="D3079" s="24" t="inlineStr">
        <is>
          <t>025</t>
        </is>
      </c>
      <c r="E3079" s="24" t="inlineStr">
        <is>
          <t>待执行案件</t>
        </is>
      </c>
    </row>
    <row r="3080">
      <c r="B3080" s="24" t="inlineStr">
        <is>
          <t>CasePhase</t>
        </is>
      </c>
      <c r="C3080" s="24" t="inlineStr">
        <is>
          <t>诉讼阶段</t>
        </is>
      </c>
      <c r="D3080" s="24" t="inlineStr">
        <is>
          <t>030</t>
        </is>
      </c>
      <c r="E3080" s="24" t="inlineStr">
        <is>
          <t>执行中案件</t>
        </is>
      </c>
    </row>
    <row r="3081">
      <c r="B3081" s="24" t="inlineStr">
        <is>
          <t>CasePhase</t>
        </is>
      </c>
      <c r="C3081" s="24" t="inlineStr">
        <is>
          <t>诉讼阶段</t>
        </is>
      </c>
      <c r="D3081" s="24" t="inlineStr">
        <is>
          <t>040</t>
        </is>
      </c>
      <c r="E3081" s="24" t="inlineStr">
        <is>
          <t>归档案件</t>
        </is>
      </c>
    </row>
    <row r="3082" ht="15.95" customHeight="1" s="170">
      <c r="B3082" s="122" t="inlineStr">
        <is>
          <t>码值：MortgageStatus</t>
        </is>
      </c>
    </row>
    <row r="3083">
      <c r="B3083" s="24" t="inlineStr">
        <is>
          <t>MortgageStatus</t>
        </is>
      </c>
      <c r="C3083" s="24" t="inlineStr">
        <is>
          <t>房产抵押情况</t>
        </is>
      </c>
      <c r="D3083" s="24" t="inlineStr">
        <is>
          <t>1</t>
        </is>
      </c>
      <c r="E3083" s="24" t="inlineStr">
        <is>
          <t>无抵押</t>
        </is>
      </c>
    </row>
    <row r="3084">
      <c r="B3084" s="24" t="inlineStr">
        <is>
          <t>MortgageStatus</t>
        </is>
      </c>
      <c r="C3084" s="24" t="inlineStr">
        <is>
          <t>房产抵押情况</t>
        </is>
      </c>
      <c r="D3084" s="24" t="inlineStr">
        <is>
          <t>2</t>
        </is>
      </c>
      <c r="E3084" s="24" t="inlineStr">
        <is>
          <t>有抵押</t>
        </is>
      </c>
    </row>
    <row r="3085" ht="15.95" customHeight="1" s="170">
      <c r="B3085" s="122" t="inlineStr">
        <is>
          <t>码值：ButtonSetW</t>
        </is>
      </c>
    </row>
    <row r="3086">
      <c r="B3086" s="24" t="inlineStr">
        <is>
          <t>ButtonSetW</t>
        </is>
      </c>
      <c r="C3086" s="24" t="inlineStr">
        <is>
          <t>按钮组W（贷后管理）</t>
        </is>
      </c>
      <c r="D3086" s="24" t="inlineStr">
        <is>
          <t>archive</t>
        </is>
      </c>
      <c r="E3086" s="24" t="inlineStr">
        <is>
          <t>归档</t>
        </is>
      </c>
    </row>
    <row r="3087">
      <c r="B3087" s="24" t="inlineStr">
        <is>
          <t>ButtonSetW</t>
        </is>
      </c>
      <c r="C3087" s="24" t="inlineStr">
        <is>
          <t>按钮组W（贷后管理）</t>
        </is>
      </c>
      <c r="D3087" s="24" t="inlineStr">
        <is>
          <t>backStep</t>
        </is>
      </c>
      <c r="E3087" s="24" t="inlineStr">
        <is>
          <t>回退任务</t>
        </is>
      </c>
    </row>
    <row r="3088">
      <c r="B3088" s="24" t="inlineStr">
        <is>
          <t>ButtonSetW</t>
        </is>
      </c>
      <c r="C3088" s="24" t="inlineStr">
        <is>
          <t>按钮组W（贷后管理）</t>
        </is>
      </c>
      <c r="D3088" s="24" t="inlineStr">
        <is>
          <t>cancelClassify</t>
        </is>
      </c>
      <c r="E3088" s="24" t="inlineStr">
        <is>
          <t>取消申请</t>
        </is>
      </c>
    </row>
    <row r="3089">
      <c r="B3089" s="24" t="inlineStr">
        <is>
          <t>ButtonSetW</t>
        </is>
      </c>
      <c r="C3089" s="24" t="inlineStr">
        <is>
          <t>按钮组W（贷后管理）</t>
        </is>
      </c>
      <c r="D3089" s="24" t="inlineStr">
        <is>
          <t>checkReport</t>
        </is>
      </c>
      <c r="E3089" s="24" t="inlineStr">
        <is>
          <t>填写检查报告</t>
        </is>
      </c>
    </row>
    <row r="3090">
      <c r="B3090" s="24" t="inlineStr">
        <is>
          <t>ButtonSetW</t>
        </is>
      </c>
      <c r="C3090" s="24" t="inlineStr">
        <is>
          <t>按钮组W（贷后管理）</t>
        </is>
      </c>
      <c r="D3090" s="24" t="inlineStr">
        <is>
          <t>completeCheck</t>
        </is>
      </c>
      <c r="E3090" s="24" t="inlineStr">
        <is>
          <t>完成检查</t>
        </is>
      </c>
    </row>
    <row r="3091">
      <c r="B3091" s="24" t="inlineStr">
        <is>
          <t>ButtonSetW</t>
        </is>
      </c>
      <c r="C3091" s="24" t="inlineStr">
        <is>
          <t>按钮组W（贷后管理）</t>
        </is>
      </c>
      <c r="D3091" s="24" t="inlineStr">
        <is>
          <t>completeClassify</t>
        </is>
      </c>
      <c r="E3091" s="24" t="inlineStr">
        <is>
          <t>提交</t>
        </is>
      </c>
    </row>
    <row r="3092">
      <c r="B3092" s="24" t="inlineStr">
        <is>
          <t>ButtonSetW</t>
        </is>
      </c>
      <c r="C3092" s="24" t="inlineStr">
        <is>
          <t>按钮组W（贷后管理）</t>
        </is>
      </c>
      <c r="D3092" s="24" t="inlineStr">
        <is>
          <t>detailOpinion</t>
        </is>
      </c>
      <c r="E3092" s="24" t="inlineStr">
        <is>
          <t>查看意见</t>
        </is>
      </c>
    </row>
    <row r="3093">
      <c r="B3093" s="24" t="inlineStr">
        <is>
          <t>ButtonSetW</t>
        </is>
      </c>
      <c r="C3093" s="24" t="inlineStr">
        <is>
          <t>按钮组W（贷后管理）</t>
        </is>
      </c>
      <c r="D3093" s="24" t="inlineStr">
        <is>
          <t>feedbackSummary</t>
        </is>
      </c>
      <c r="E3093" s="24" t="inlineStr">
        <is>
          <t>反馈情况汇总</t>
        </is>
      </c>
    </row>
    <row r="3094">
      <c r="B3094" s="24" t="inlineStr">
        <is>
          <t>ButtonSetW</t>
        </is>
      </c>
      <c r="C3094" s="24" t="inlineStr">
        <is>
          <t>按钮组W（贷后管理）</t>
        </is>
      </c>
      <c r="D3094" s="24" t="inlineStr">
        <is>
          <t>newBtn</t>
        </is>
      </c>
      <c r="E3094" s="24" t="inlineStr">
        <is>
          <t>新增检查申请</t>
        </is>
      </c>
    </row>
    <row r="3095">
      <c r="B3095" s="24" t="inlineStr">
        <is>
          <t>ButtonSetW</t>
        </is>
      </c>
      <c r="C3095" s="24" t="inlineStr">
        <is>
          <t>按钮组W（贷后管理）</t>
        </is>
      </c>
      <c r="D3095" s="24" t="inlineStr">
        <is>
          <t>newClassify</t>
        </is>
      </c>
      <c r="E3095" s="24" t="inlineStr">
        <is>
          <t>新增申请</t>
        </is>
      </c>
    </row>
    <row r="3096">
      <c r="B3096" s="24" t="inlineStr">
        <is>
          <t>ButtonSetW</t>
        </is>
      </c>
      <c r="C3096" s="24" t="inlineStr">
        <is>
          <t>按钮组W（贷后管理）</t>
        </is>
      </c>
      <c r="D3096" s="24" t="inlineStr">
        <is>
          <t>reportBtn</t>
        </is>
      </c>
      <c r="E3096" s="24" t="inlineStr">
        <is>
          <t>检查报告预览</t>
        </is>
      </c>
    </row>
    <row r="3097">
      <c r="B3097" s="24" t="inlineStr">
        <is>
          <t>ButtonSetW</t>
        </is>
      </c>
      <c r="C3097" s="24" t="inlineStr">
        <is>
          <t>按钮组W（贷后管理）</t>
        </is>
      </c>
      <c r="D3097" s="24" t="inlineStr">
        <is>
          <t>signOpinion</t>
        </is>
      </c>
      <c r="E3097" s="24" t="inlineStr">
        <is>
          <t>签署意见</t>
        </is>
      </c>
    </row>
    <row r="3098">
      <c r="B3098" s="24" t="inlineStr">
        <is>
          <t>ButtonSetW</t>
        </is>
      </c>
      <c r="C3098" s="24" t="inlineStr">
        <is>
          <t>按钮组W（贷后管理）</t>
        </is>
      </c>
      <c r="D3098" s="24" t="inlineStr">
        <is>
          <t>submitBtn</t>
        </is>
      </c>
      <c r="E3098" s="24" t="inlineStr">
        <is>
          <t>提交任务</t>
        </is>
      </c>
    </row>
    <row r="3099">
      <c r="B3099" s="24" t="inlineStr">
        <is>
          <t>ButtonSetW</t>
        </is>
      </c>
      <c r="C3099" s="24" t="inlineStr">
        <is>
          <t>按钮组W（贷后管理）</t>
        </is>
      </c>
      <c r="D3099" s="24" t="inlineStr">
        <is>
          <t>submitW</t>
        </is>
      </c>
      <c r="E3099" s="24" t="inlineStr">
        <is>
          <t>提交申请</t>
        </is>
      </c>
    </row>
    <row r="3100">
      <c r="B3100" s="24" t="inlineStr">
        <is>
          <t>ButtonSetW</t>
        </is>
      </c>
      <c r="C3100" s="24" t="inlineStr">
        <is>
          <t>按钮组W（贷后管理）</t>
        </is>
      </c>
      <c r="D3100" s="24" t="inlineStr">
        <is>
          <t>viewApply</t>
        </is>
      </c>
      <c r="E3100" s="24" t="inlineStr">
        <is>
          <t>模型分类</t>
        </is>
      </c>
    </row>
    <row r="3101">
      <c r="B3101" s="24" t="inlineStr">
        <is>
          <t>ButtonSetW</t>
        </is>
      </c>
      <c r="C3101" s="24" t="inlineStr">
        <is>
          <t>按钮组W（贷后管理）</t>
        </is>
      </c>
      <c r="D3101" s="24" t="inlineStr">
        <is>
          <t>viewBtn</t>
        </is>
      </c>
      <c r="E3101" s="24" t="inlineStr">
        <is>
          <t>检查详情</t>
        </is>
      </c>
    </row>
    <row r="3102">
      <c r="B3102" s="24" t="inlineStr">
        <is>
          <t>ButtonSetW</t>
        </is>
      </c>
      <c r="C3102" s="24" t="inlineStr">
        <is>
          <t>按钮组W（贷后管理）</t>
        </is>
      </c>
      <c r="D3102" s="24" t="inlineStr">
        <is>
          <t>viewCheck</t>
        </is>
      </c>
      <c r="E3102" s="24" t="inlineStr">
        <is>
          <t>检查详情</t>
        </is>
      </c>
    </row>
    <row r="3103">
      <c r="B3103" s="24" t="inlineStr">
        <is>
          <t>ButtonSetW</t>
        </is>
      </c>
      <c r="C3103" s="24" t="inlineStr">
        <is>
          <t>按钮组W（贷后管理）</t>
        </is>
      </c>
      <c r="D3103" s="24" t="inlineStr">
        <is>
          <t>viewCustomer</t>
        </is>
      </c>
      <c r="E3103" s="24" t="inlineStr">
        <is>
          <t>客户详情</t>
        </is>
      </c>
    </row>
    <row r="3104">
      <c r="B3104" s="24" t="inlineStr">
        <is>
          <t>ButtonSetW</t>
        </is>
      </c>
      <c r="C3104" s="24" t="inlineStr">
        <is>
          <t>按钮组W（贷后管理）</t>
        </is>
      </c>
      <c r="D3104" s="24" t="inlineStr">
        <is>
          <t>viewFeedback</t>
        </is>
      </c>
      <c r="E3104" s="24" t="inlineStr">
        <is>
          <t>反馈情况</t>
        </is>
      </c>
    </row>
    <row r="3105">
      <c r="B3105" s="24" t="inlineStr">
        <is>
          <t>ButtonSetW</t>
        </is>
      </c>
      <c r="C3105" s="24" t="inlineStr">
        <is>
          <t>按钮组W（贷后管理）</t>
        </is>
      </c>
      <c r="D3105" s="24" t="inlineStr">
        <is>
          <t>viewProject</t>
        </is>
      </c>
      <c r="E3105" s="24" t="inlineStr">
        <is>
          <t>项目详情</t>
        </is>
      </c>
    </row>
    <row r="3106">
      <c r="B3106" s="24" t="inlineStr">
        <is>
          <t>ButtonSetW</t>
        </is>
      </c>
      <c r="C3106" s="24" t="inlineStr">
        <is>
          <t>按钮组W（贷后管理）</t>
        </is>
      </c>
      <c r="D3106" s="24" t="inlineStr">
        <is>
          <t>viewReport</t>
        </is>
      </c>
      <c r="E3106" s="24" t="inlineStr">
        <is>
          <t>检查报告预览</t>
        </is>
      </c>
    </row>
    <row r="3107" ht="15.95" customHeight="1" s="170">
      <c r="B3107" s="122" t="inlineStr">
        <is>
          <t>码值：PatentCopyrightType</t>
        </is>
      </c>
    </row>
    <row r="3108">
      <c r="B3108" s="24" t="inlineStr">
        <is>
          <t>PatentCopyrightType</t>
        </is>
      </c>
      <c r="C3108" s="24" t="inlineStr">
        <is>
          <t>专利权客体类型</t>
        </is>
      </c>
      <c r="D3108" s="24" t="inlineStr">
        <is>
          <t>01</t>
        </is>
      </c>
      <c r="E3108" s="24" t="inlineStr">
        <is>
          <t>发明专利</t>
        </is>
      </c>
    </row>
    <row r="3109">
      <c r="B3109" s="24" t="inlineStr">
        <is>
          <t>PatentCopyrightType</t>
        </is>
      </c>
      <c r="C3109" s="24" t="inlineStr">
        <is>
          <t>专利权客体类型</t>
        </is>
      </c>
      <c r="D3109" s="24" t="inlineStr">
        <is>
          <t>02</t>
        </is>
      </c>
      <c r="E3109" s="24" t="inlineStr">
        <is>
          <t>实用新型专利</t>
        </is>
      </c>
    </row>
    <row r="3110">
      <c r="B3110" s="24" t="inlineStr">
        <is>
          <t>PatentCopyrightType</t>
        </is>
      </c>
      <c r="C3110" s="24" t="inlineStr">
        <is>
          <t>专利权客体类型</t>
        </is>
      </c>
      <c r="D3110" s="24" t="inlineStr">
        <is>
          <t>03</t>
        </is>
      </c>
      <c r="E3110" s="24" t="inlineStr">
        <is>
          <t>外观设计专利</t>
        </is>
      </c>
    </row>
    <row r="3111" ht="15.95" customHeight="1" s="170">
      <c r="B3111" s="122" t="inlineStr">
        <is>
          <t>码值：企业的竞争力</t>
        </is>
      </c>
    </row>
    <row r="3112">
      <c r="B3112" s="24" t="inlineStr">
        <is>
          <t>企业的竞争力</t>
        </is>
      </c>
      <c r="C3112" s="24" t="inlineStr">
        <is>
          <t>企业的竞争力</t>
        </is>
      </c>
      <c r="D3112" s="24" t="inlineStr">
        <is>
          <t>1</t>
        </is>
      </c>
      <c r="E3112" s="24" t="inlineStr">
        <is>
          <t>垄断</t>
        </is>
      </c>
    </row>
    <row r="3113">
      <c r="B3113" s="24" t="inlineStr">
        <is>
          <t>企业的竞争力</t>
        </is>
      </c>
      <c r="C3113" s="24" t="inlineStr">
        <is>
          <t>企业的竞争力</t>
        </is>
      </c>
      <c r="D3113" s="24" t="inlineStr">
        <is>
          <t>2</t>
        </is>
      </c>
      <c r="E3113" s="24" t="inlineStr">
        <is>
          <t>一般</t>
        </is>
      </c>
    </row>
    <row r="3114">
      <c r="B3114" s="24" t="inlineStr">
        <is>
          <t>企业的竞争力</t>
        </is>
      </c>
      <c r="C3114" s="24" t="inlineStr">
        <is>
          <t>企业的竞争力</t>
        </is>
      </c>
      <c r="D3114" s="24" t="inlineStr">
        <is>
          <t>3</t>
        </is>
      </c>
      <c r="E3114" s="24" t="inlineStr">
        <is>
          <t>激烈</t>
        </is>
      </c>
    </row>
    <row r="3115" ht="15.95" customHeight="1" s="170">
      <c r="B3115" s="122" t="inlineStr">
        <is>
          <t>码值：LoanInstallmentPlan</t>
        </is>
      </c>
    </row>
    <row r="3116">
      <c r="B3116" s="24" t="inlineStr">
        <is>
          <t>LoanInstallmentPlan</t>
        </is>
      </c>
      <c r="C3116" s="24" t="inlineStr">
        <is>
          <t>信用等级评估统一导入</t>
        </is>
      </c>
      <c r="D3116" s="24" t="inlineStr">
        <is>
          <t>01</t>
        </is>
      </c>
      <c r="E3116" s="24" t="inlineStr">
        <is>
          <t>贷款分期偿还计划 债务本息定期等额偿还</t>
        </is>
      </c>
    </row>
    <row r="3117">
      <c r="B3117" s="24" t="inlineStr">
        <is>
          <t>LoanInstallmentPlan</t>
        </is>
      </c>
      <c r="C3117" s="24" t="inlineStr">
        <is>
          <t>信用等级评估统一导入</t>
        </is>
      </c>
      <c r="D3117" s="24" t="inlineStr">
        <is>
          <t>02</t>
        </is>
      </c>
      <c r="E3117" s="24" t="inlineStr">
        <is>
          <t>债务本息定期等额偿还，但有20%-50%的部分到期一次性偿还</t>
        </is>
      </c>
    </row>
    <row r="3118">
      <c r="B3118" s="24" t="inlineStr">
        <is>
          <t>LoanInstallmentPlan</t>
        </is>
      </c>
      <c r="C3118" s="24" t="inlineStr">
        <is>
          <t>信用等级评估统一导入</t>
        </is>
      </c>
      <c r="D3118" s="24" t="inlineStr">
        <is>
          <t>03</t>
        </is>
      </c>
      <c r="E3118" s="24" t="inlineStr">
        <is>
          <t>债务本息定期等额偿还，但有大于等于50%的部分到期一次性偿还</t>
        </is>
      </c>
    </row>
    <row r="3119">
      <c r="B3119" s="24" t="inlineStr">
        <is>
          <t>LoanInstallmentPlan</t>
        </is>
      </c>
      <c r="C3119" s="24" t="inlineStr">
        <is>
          <t>信用等级评估统一导入</t>
        </is>
      </c>
      <c r="D3119" s="24" t="inlineStr">
        <is>
          <t>04</t>
        </is>
      </c>
      <c r="E3119" s="24" t="inlineStr">
        <is>
          <t>到期一次性偿还，或债务本息定期等额偿还，但有超过80%的部分到期一次性偿还</t>
        </is>
      </c>
    </row>
    <row r="3120" ht="15.95" customHeight="1" s="170">
      <c r="B3120" s="122" t="inlineStr">
        <is>
          <t>码值：OperationMode</t>
        </is>
      </c>
    </row>
    <row r="3121">
      <c r="B3121" s="24" t="inlineStr">
        <is>
          <t>OperationMode</t>
        </is>
      </c>
      <c r="C3121" s="24" t="inlineStr">
        <is>
          <t>业务处理方式</t>
        </is>
      </c>
      <c r="D3121" s="24" t="inlineStr">
        <is>
          <t>010</t>
        </is>
      </c>
      <c r="E3121" s="24" t="inlineStr">
        <is>
          <t>包买</t>
        </is>
      </c>
    </row>
    <row r="3122">
      <c r="B3122" s="24" t="inlineStr">
        <is>
          <t>OperationMode</t>
        </is>
      </c>
      <c r="C3122" s="24" t="inlineStr">
        <is>
          <t>业务处理方式</t>
        </is>
      </c>
      <c r="D3122" s="24" t="inlineStr">
        <is>
          <t>020</t>
        </is>
      </c>
      <c r="E3122" s="24" t="inlineStr">
        <is>
          <t xml:space="preserve">	让渡</t>
        </is>
      </c>
    </row>
    <row r="3123">
      <c r="B3123" s="24" t="inlineStr">
        <is>
          <t>OperationMode</t>
        </is>
      </c>
      <c r="C3123" s="24" t="inlineStr">
        <is>
          <t>业务处理方式</t>
        </is>
      </c>
      <c r="D3123" s="24" t="inlineStr">
        <is>
          <t>030</t>
        </is>
      </c>
      <c r="E3123" s="24" t="inlineStr">
        <is>
          <t>风险参与</t>
        </is>
      </c>
    </row>
    <row r="3124" ht="15.95" customHeight="1" s="170">
      <c r="B3124" s="122" t="inlineStr">
        <is>
          <t>码值：ComponentFormat</t>
        </is>
      </c>
    </row>
    <row r="3125">
      <c r="B3125" s="24" t="inlineStr">
        <is>
          <t>ComponentFormat</t>
        </is>
      </c>
      <c r="C3125" s="24" t="inlineStr">
        <is>
          <t>组件展现形式</t>
        </is>
      </c>
      <c r="D3125" s="24" t="inlineStr">
        <is>
          <t>1</t>
        </is>
      </c>
      <c r="E3125" s="24" t="inlineStr">
        <is>
          <t>参数组</t>
        </is>
      </c>
    </row>
    <row r="3126">
      <c r="B3126" s="24" t="inlineStr">
        <is>
          <t>ComponentFormat</t>
        </is>
      </c>
      <c r="C3126" s="24" t="inlineStr">
        <is>
          <t>组件展现形式</t>
        </is>
      </c>
      <c r="D3126" s="24" t="inlineStr">
        <is>
          <t>2</t>
        </is>
      </c>
      <c r="E3126" s="24" t="inlineStr">
        <is>
          <t>决策表</t>
        </is>
      </c>
    </row>
    <row r="3127">
      <c r="B3127" s="24" t="inlineStr">
        <is>
          <t>ComponentFormat</t>
        </is>
      </c>
      <c r="C3127" s="24" t="inlineStr">
        <is>
          <t>组件展现形式</t>
        </is>
      </c>
      <c r="D3127" s="24" t="inlineStr">
        <is>
          <t>3</t>
        </is>
      </c>
      <c r="E3127" s="24" t="inlineStr">
        <is>
          <t>组合组件</t>
        </is>
      </c>
    </row>
    <row r="3128" ht="15.95" customHeight="1" s="170">
      <c r="B3128" s="122" t="inlineStr">
        <is>
          <t>码值：ButtonSetA</t>
        </is>
      </c>
    </row>
    <row r="3129">
      <c r="B3129" s="24" t="inlineStr">
        <is>
          <t>ButtonSetA</t>
        </is>
      </c>
      <c r="C3129" s="24" t="inlineStr">
        <is>
          <t>按钮组A</t>
        </is>
      </c>
      <c r="D3129" s="24" t="inlineStr">
        <is>
          <t>backStep</t>
        </is>
      </c>
      <c r="E3129" s="24" t="inlineStr">
        <is>
          <t>回退任务</t>
        </is>
      </c>
    </row>
    <row r="3130">
      <c r="B3130" s="24" t="inlineStr">
        <is>
          <t>ButtonSetA</t>
        </is>
      </c>
      <c r="C3130" s="24" t="inlineStr">
        <is>
          <t>按钮组A</t>
        </is>
      </c>
      <c r="D3130" s="24" t="inlineStr">
        <is>
          <t>bigDataRiskFunnel</t>
        </is>
      </c>
      <c r="E3130" s="24" t="inlineStr">
        <is>
          <t>大数据风险漏斗</t>
        </is>
      </c>
    </row>
    <row r="3131">
      <c r="B3131" s="24" t="inlineStr">
        <is>
          <t>ButtonSetA</t>
        </is>
      </c>
      <c r="C3131" s="24" t="inlineStr">
        <is>
          <t>按钮组A</t>
        </is>
      </c>
      <c r="D3131" s="24" t="inlineStr">
        <is>
          <t>cancelApply</t>
        </is>
      </c>
      <c r="E3131" s="24" t="inlineStr">
        <is>
          <t>取消申请</t>
        </is>
      </c>
    </row>
    <row r="3132">
      <c r="B3132" s="24" t="inlineStr">
        <is>
          <t>ButtonSetA</t>
        </is>
      </c>
      <c r="C3132" s="24" t="inlineStr">
        <is>
          <t>按钮组A</t>
        </is>
      </c>
      <c r="D3132" s="24" t="inlineStr">
        <is>
          <t>claimTask</t>
        </is>
      </c>
      <c r="E3132" s="24" t="inlineStr">
        <is>
          <t>认领任务</t>
        </is>
      </c>
    </row>
    <row r="3133">
      <c r="B3133" s="24" t="inlineStr">
        <is>
          <t>ButtonSetA</t>
        </is>
      </c>
      <c r="C3133" s="24" t="inlineStr">
        <is>
          <t>按钮组A</t>
        </is>
      </c>
      <c r="D3133" s="24" t="inlineStr">
        <is>
          <t>creditCheck</t>
        </is>
      </c>
      <c r="E3133" s="24" t="inlineStr">
        <is>
          <t>额度检查</t>
        </is>
      </c>
    </row>
    <row r="3134">
      <c r="B3134" s="24" t="inlineStr">
        <is>
          <t>ButtonSetA</t>
        </is>
      </c>
      <c r="C3134" s="24" t="inlineStr">
        <is>
          <t>按钮组A</t>
        </is>
      </c>
      <c r="D3134" s="24" t="inlineStr">
        <is>
          <t>delReport2</t>
        </is>
      </c>
      <c r="E3134" s="24" t="inlineStr">
        <is>
          <t>删除传统调查报告</t>
        </is>
      </c>
    </row>
    <row r="3135">
      <c r="B3135" s="24" t="inlineStr">
        <is>
          <t>ButtonSetA</t>
        </is>
      </c>
      <c r="C3135" s="24" t="inlineStr">
        <is>
          <t>按钮组A</t>
        </is>
      </c>
      <c r="D3135" s="24" t="inlineStr">
        <is>
          <t>doSubmit</t>
        </is>
      </c>
      <c r="E3135" s="24" t="inlineStr">
        <is>
          <t>提交任务</t>
        </is>
      </c>
    </row>
    <row r="3136">
      <c r="B3136" s="24" t="inlineStr">
        <is>
          <t>ButtonSetA</t>
        </is>
      </c>
      <c r="C3136" s="24" t="inlineStr">
        <is>
          <t>按钮组A</t>
        </is>
      </c>
      <c r="D3136" s="24" t="inlineStr">
        <is>
          <t>editReport</t>
        </is>
      </c>
      <c r="E3136" s="24" t="inlineStr">
        <is>
          <t>pageoffice填写调查报告</t>
        </is>
      </c>
    </row>
    <row r="3137">
      <c r="B3137" s="24" t="inlineStr">
        <is>
          <t>ButtonSetA</t>
        </is>
      </c>
      <c r="C3137" s="24" t="inlineStr">
        <is>
          <t>按钮组A</t>
        </is>
      </c>
      <c r="D3137" s="24" t="inlineStr">
        <is>
          <t>editReport2</t>
        </is>
      </c>
      <c r="E3137" s="24" t="inlineStr">
        <is>
          <t>填写传统调查报告</t>
        </is>
      </c>
    </row>
    <row r="3138">
      <c r="B3138" s="24" t="inlineStr">
        <is>
          <t>ButtonSetA</t>
        </is>
      </c>
      <c r="C3138" s="24" t="inlineStr">
        <is>
          <t>按钮组A</t>
        </is>
      </c>
      <c r="D3138" s="24" t="inlineStr">
        <is>
          <t>entReportQuery</t>
        </is>
      </c>
      <c r="E3138" s="24" t="inlineStr">
        <is>
          <t>智信尽调</t>
        </is>
      </c>
    </row>
    <row r="3139">
      <c r="B3139" s="24" t="inlineStr">
        <is>
          <t>ButtonSetA</t>
        </is>
      </c>
      <c r="C3139" s="24" t="inlineStr">
        <is>
          <t>按钮组A</t>
        </is>
      </c>
      <c r="D3139" s="24" t="inlineStr">
        <is>
          <t>invalid</t>
        </is>
      </c>
      <c r="E3139" s="24" t="inlineStr">
        <is>
          <t>作废</t>
        </is>
      </c>
    </row>
    <row r="3140">
      <c r="B3140" s="24" t="inlineStr">
        <is>
          <t>ButtonSetA</t>
        </is>
      </c>
      <c r="C3140" s="24" t="inlineStr">
        <is>
          <t>按钮组A</t>
        </is>
      </c>
      <c r="D3140" s="24" t="inlineStr">
        <is>
          <t>newApply</t>
        </is>
      </c>
      <c r="E3140" s="24" t="inlineStr">
        <is>
          <t>新增申请</t>
        </is>
      </c>
    </row>
    <row r="3141">
      <c r="B3141" s="24" t="inlineStr">
        <is>
          <t>ButtonSetA</t>
        </is>
      </c>
      <c r="C3141" s="24" t="inlineStr">
        <is>
          <t>按钮组A</t>
        </is>
      </c>
      <c r="D3141" s="24" t="inlineStr">
        <is>
          <t>newClassifyAdjustApply</t>
        </is>
      </c>
      <c r="E3141" s="24" t="inlineStr">
        <is>
          <t>新增发起</t>
        </is>
      </c>
    </row>
    <row r="3142">
      <c r="B3142" s="24" t="inlineStr">
        <is>
          <t>ButtonSetA</t>
        </is>
      </c>
      <c r="C3142" s="24" t="inlineStr">
        <is>
          <t>按钮组A</t>
        </is>
      </c>
      <c r="D3142" s="24" t="inlineStr">
        <is>
          <t>showReport2</t>
        </is>
      </c>
      <c r="E3142" s="24" t="inlineStr">
        <is>
          <t>查看传统调查报告</t>
        </is>
      </c>
    </row>
    <row r="3143">
      <c r="B3143" s="24" t="inlineStr">
        <is>
          <t>ButtonSetA</t>
        </is>
      </c>
      <c r="C3143" s="24" t="inlineStr">
        <is>
          <t>按钮组A</t>
        </is>
      </c>
      <c r="D3143" s="24" t="inlineStr">
        <is>
          <t>signOpinion</t>
        </is>
      </c>
      <c r="E3143" s="24" t="inlineStr">
        <is>
          <t>签署意见</t>
        </is>
      </c>
    </row>
    <row r="3144">
      <c r="B3144" s="24" t="inlineStr">
        <is>
          <t>ButtonSetA</t>
        </is>
      </c>
      <c r="C3144" s="24" t="inlineStr">
        <is>
          <t>按钮组A</t>
        </is>
      </c>
      <c r="D3144" s="24" t="inlineStr">
        <is>
          <t>takeBack</t>
        </is>
      </c>
      <c r="E3144" s="24" t="inlineStr">
        <is>
          <t>主动撤回</t>
        </is>
      </c>
    </row>
    <row r="3145">
      <c r="B3145" s="24" t="inlineStr">
        <is>
          <t>ButtonSetA</t>
        </is>
      </c>
      <c r="C3145" s="24" t="inlineStr">
        <is>
          <t>按钮组A</t>
        </is>
      </c>
      <c r="D3145" s="24" t="inlineStr">
        <is>
          <t>viewApply</t>
        </is>
      </c>
      <c r="E3145" s="24" t="inlineStr">
        <is>
          <t>申请详情</t>
        </is>
      </c>
    </row>
    <row r="3146">
      <c r="B3146" s="24" t="inlineStr">
        <is>
          <t>ButtonSetA</t>
        </is>
      </c>
      <c r="C3146" s="24" t="inlineStr">
        <is>
          <t>按钮组A</t>
        </is>
      </c>
      <c r="D3146" s="24" t="inlineStr">
        <is>
          <t>viewCustomer</t>
        </is>
      </c>
      <c r="E3146" s="24" t="inlineStr">
        <is>
          <t>客户统一视图</t>
        </is>
      </c>
    </row>
    <row r="3147">
      <c r="B3147" s="24" t="inlineStr">
        <is>
          <t>ButtonSetA</t>
        </is>
      </c>
      <c r="C3147" s="24" t="inlineStr">
        <is>
          <t>按钮组A</t>
        </is>
      </c>
      <c r="D3147" s="24" t="inlineStr">
        <is>
          <t>viewEntInfo</t>
        </is>
      </c>
      <c r="E3147" s="24" t="inlineStr">
        <is>
          <t>智数驱动</t>
        </is>
      </c>
    </row>
    <row r="3148">
      <c r="B3148" s="24" t="inlineStr">
        <is>
          <t>ButtonSetA</t>
        </is>
      </c>
      <c r="C3148" s="24" t="inlineStr">
        <is>
          <t>按钮组A</t>
        </is>
      </c>
      <c r="D3148" s="24" t="inlineStr">
        <is>
          <t>viewFlowGraph</t>
        </is>
      </c>
      <c r="E3148" s="24" t="inlineStr">
        <is>
          <t>查看流程图</t>
        </is>
      </c>
    </row>
    <row r="3149">
      <c r="B3149" s="24" t="inlineStr">
        <is>
          <t>ButtonSetA</t>
        </is>
      </c>
      <c r="C3149" s="24" t="inlineStr">
        <is>
          <t>按钮组A</t>
        </is>
      </c>
      <c r="D3149" s="24" t="inlineStr">
        <is>
          <t>viewOpinions</t>
        </is>
      </c>
      <c r="E3149" s="24" t="inlineStr">
        <is>
          <t>查看意见</t>
        </is>
      </c>
    </row>
    <row r="3150">
      <c r="B3150" s="24" t="inlineStr">
        <is>
          <t>ButtonSetA</t>
        </is>
      </c>
      <c r="C3150" s="24" t="inlineStr">
        <is>
          <t>按钮组A</t>
        </is>
      </c>
      <c r="D3150" s="24" t="inlineStr">
        <is>
          <t>viewShareholderMap</t>
        </is>
      </c>
      <c r="E3150" s="24" t="inlineStr">
        <is>
          <t>查看企业关联关系图谱</t>
        </is>
      </c>
    </row>
    <row r="3151">
      <c r="B3151" s="24" t="inlineStr">
        <is>
          <t>ButtonSetA</t>
        </is>
      </c>
      <c r="C3151" s="24" t="inlineStr">
        <is>
          <t>按钮组A</t>
        </is>
      </c>
      <c r="D3151" s="24" t="inlineStr">
        <is>
          <t>viewShareholderRightMap</t>
        </is>
      </c>
      <c r="E3151" s="24" t="inlineStr">
        <is>
          <t>智图云联</t>
        </is>
      </c>
    </row>
    <row r="3152" ht="15.95" customHeight="1" s="170">
      <c r="B3152" s="122" t="inlineStr">
        <is>
          <t>码值：HOUSENEWOLDTYPE</t>
        </is>
      </c>
    </row>
    <row r="3153">
      <c r="B3153" s="24" t="inlineStr">
        <is>
          <t>HOUSENEWOLDTYPE</t>
        </is>
      </c>
      <c r="C3153" s="24" t="inlineStr">
        <is>
          <t>房屋新旧</t>
        </is>
      </c>
      <c r="D3153" s="24" t="inlineStr">
        <is>
          <t>01</t>
        </is>
      </c>
      <c r="E3153" s="24" t="inlineStr">
        <is>
          <t>一手房</t>
        </is>
      </c>
    </row>
    <row r="3154">
      <c r="B3154" s="24" t="inlineStr">
        <is>
          <t>HOUSENEWOLDTYPE</t>
        </is>
      </c>
      <c r="C3154" s="24" t="inlineStr">
        <is>
          <t>房屋新旧</t>
        </is>
      </c>
      <c r="D3154" s="24" t="inlineStr">
        <is>
          <t>02</t>
        </is>
      </c>
      <c r="E3154" s="24" t="inlineStr">
        <is>
          <t>二手房</t>
        </is>
      </c>
    </row>
    <row r="3155" ht="15.95" customHeight="1" s="170">
      <c r="B3155" s="122" t="inlineStr">
        <is>
          <t>码值：ProjectApproveMain</t>
        </is>
      </c>
    </row>
    <row r="3156">
      <c r="B3156" s="24" t="inlineStr">
        <is>
          <t>ProjectApproveMain</t>
        </is>
      </c>
      <c r="C3156" s="24" t="inlineStr">
        <is>
          <t>Project审批主树图</t>
        </is>
      </c>
      <c r="D3156" s="24" t="inlineStr">
        <is>
          <t>N</t>
        </is>
      </c>
      <c r="E3156" s="24" t="inlineStr">
        <is>
          <t>当前工作</t>
        </is>
      </c>
    </row>
    <row r="3157">
      <c r="B3157" s="24" t="inlineStr">
        <is>
          <t>ProjectApproveMain</t>
        </is>
      </c>
      <c r="C3157" s="24" t="inlineStr">
        <is>
          <t>Project审批主树图</t>
        </is>
      </c>
      <c r="D3157" s="24" t="inlineStr">
        <is>
          <t>Y</t>
        </is>
      </c>
      <c r="E3157" s="24" t="inlineStr">
        <is>
          <t>已完成工作</t>
        </is>
      </c>
    </row>
    <row r="3158" ht="15.95" customHeight="1" s="170">
      <c r="B3158" s="122" t="inlineStr">
        <is>
          <t>码值：审批和选址</t>
        </is>
      </c>
    </row>
    <row r="3159">
      <c r="B3159" s="24" t="inlineStr">
        <is>
          <t>审批和选址</t>
        </is>
      </c>
      <c r="C3159" s="24" t="inlineStr">
        <is>
          <t>审批和选址</t>
        </is>
      </c>
      <c r="D3159" s="24" t="inlineStr">
        <is>
          <t>01</t>
        </is>
      </c>
      <c r="E3159" s="24" t="inlineStr">
        <is>
          <t>已获全部批文</t>
        </is>
      </c>
    </row>
    <row r="3160">
      <c r="B3160" s="24" t="inlineStr">
        <is>
          <t>审批和选址</t>
        </is>
      </c>
      <c r="C3160" s="24" t="inlineStr">
        <is>
          <t>审批和选址</t>
        </is>
      </c>
      <c r="D3160" s="24" t="inlineStr">
        <is>
          <t>02</t>
        </is>
      </c>
      <c r="E3160" s="24" t="inlineStr">
        <is>
          <t>一些事项尚待批准但获批可能性很大</t>
        </is>
      </c>
    </row>
    <row r="3161">
      <c r="B3161" s="24" t="inlineStr">
        <is>
          <t>审批和选址</t>
        </is>
      </c>
      <c r="C3161" s="24" t="inlineStr">
        <is>
          <t>审批和选址</t>
        </is>
      </c>
      <c r="D3161" s="24" t="inlineStr">
        <is>
          <t>03</t>
        </is>
      </c>
      <c r="E3161" s="24" t="inlineStr">
        <is>
          <t>一些事项尚待批准但审批程序明确，审批只是例行公事</t>
        </is>
      </c>
    </row>
    <row r="3162">
      <c r="B3162" s="24" t="inlineStr">
        <is>
          <t>审批和选址</t>
        </is>
      </c>
      <c r="C3162" s="24" t="inlineStr">
        <is>
          <t>审批和选址</t>
        </is>
      </c>
      <c r="D3162" s="24" t="inlineStr">
        <is>
          <t>04</t>
        </is>
      </c>
      <c r="E3162" s="24" t="inlineStr">
        <is>
          <t>尚未获得关键批件，审批并非例行公事，可能还要满足其他一些重要条件</t>
        </is>
      </c>
    </row>
    <row r="3163" ht="15.95" customHeight="1" s="170">
      <c r="B3163" s="122" t="inlineStr">
        <is>
          <t>码值：ButtonSetB</t>
        </is>
      </c>
    </row>
    <row r="3164">
      <c r="B3164" s="24" t="inlineStr">
        <is>
          <t>ButtonSetB</t>
        </is>
      </c>
      <c r="C3164" s="24" t="inlineStr">
        <is>
          <t>按钮组B（授信业务申请）</t>
        </is>
      </c>
      <c r="D3164" s="24" t="inlineStr">
        <is>
          <t>applyPlatform</t>
        </is>
      </c>
      <c r="E3164" s="24" t="inlineStr">
        <is>
          <t>任务详情</t>
        </is>
      </c>
    </row>
    <row r="3165">
      <c r="B3165" s="24" t="inlineStr">
        <is>
          <t>ButtonSetB</t>
        </is>
      </c>
      <c r="C3165" s="24" t="inlineStr">
        <is>
          <t>按钮组B（授信业务申请）</t>
        </is>
      </c>
      <c r="D3165" s="24" t="inlineStr">
        <is>
          <t>approvePlatform</t>
        </is>
      </c>
      <c r="E3165" s="24" t="inlineStr">
        <is>
          <t>任务详情</t>
        </is>
      </c>
    </row>
    <row r="3166">
      <c r="B3166" s="24" t="inlineStr">
        <is>
          <t>ButtonSetB</t>
        </is>
      </c>
      <c r="C3166" s="24" t="inlineStr">
        <is>
          <t>按钮组B（授信业务申请）</t>
        </is>
      </c>
      <c r="D3166" s="24" t="inlineStr">
        <is>
          <t>backStep</t>
        </is>
      </c>
      <c r="E3166" s="24" t="inlineStr">
        <is>
          <t>退回前一步</t>
        </is>
      </c>
    </row>
    <row r="3167">
      <c r="B3167" s="24" t="inlineStr">
        <is>
          <t>ButtonSetB</t>
        </is>
      </c>
      <c r="C3167" s="24" t="inlineStr">
        <is>
          <t>按钮组B（授信业务申请）</t>
        </is>
      </c>
      <c r="D3167" s="24" t="inlineStr">
        <is>
          <t>doSubmit</t>
        </is>
      </c>
      <c r="E3167" s="24" t="inlineStr">
        <is>
          <t>提交</t>
        </is>
      </c>
    </row>
    <row r="3168">
      <c r="B3168" s="24" t="inlineStr">
        <is>
          <t>ButtonSetB</t>
        </is>
      </c>
      <c r="C3168" s="24" t="inlineStr">
        <is>
          <t>按钮组B（授信业务申请）</t>
        </is>
      </c>
      <c r="D3168" s="24" t="inlineStr">
        <is>
          <t>flowHistory</t>
        </is>
      </c>
      <c r="E3168" s="24" t="inlineStr">
        <is>
          <t>查看流程历史记录</t>
        </is>
      </c>
    </row>
    <row r="3169">
      <c r="B3169" s="24" t="inlineStr">
        <is>
          <t>ButtonSetB</t>
        </is>
      </c>
      <c r="C3169" s="24" t="inlineStr">
        <is>
          <t>按钮组B（授信业务申请）</t>
        </is>
      </c>
      <c r="D3169" s="24" t="inlineStr">
        <is>
          <t>gatherOpinion</t>
        </is>
      </c>
      <c r="E3169" s="24" t="inlineStr">
        <is>
          <t>汇总意见</t>
        </is>
      </c>
    </row>
    <row r="3170">
      <c r="B3170" s="24" t="inlineStr">
        <is>
          <t>ButtonSetB</t>
        </is>
      </c>
      <c r="C3170" s="24" t="inlineStr">
        <is>
          <t>按钮组B（授信业务申请）</t>
        </is>
      </c>
      <c r="D3170" s="24" t="inlineStr">
        <is>
          <t>riskSkan</t>
        </is>
      </c>
      <c r="E3170" s="24" t="inlineStr">
        <is>
          <t>检测业务风险</t>
        </is>
      </c>
    </row>
    <row r="3171">
      <c r="B3171" s="24" t="inlineStr">
        <is>
          <t>ButtonSetB</t>
        </is>
      </c>
      <c r="C3171" s="24" t="inlineStr">
        <is>
          <t>按钮组B（授信业务申请）</t>
        </is>
      </c>
      <c r="D3171" s="24" t="inlineStr">
        <is>
          <t>selectApply</t>
        </is>
      </c>
      <c r="E3171" s="24" t="inlineStr">
        <is>
          <t>挑选审查申请</t>
        </is>
      </c>
    </row>
    <row r="3172">
      <c r="B3172" s="24" t="inlineStr">
        <is>
          <t>ButtonSetB</t>
        </is>
      </c>
      <c r="C3172" s="24" t="inlineStr">
        <is>
          <t>按钮组B（授信业务申请）</t>
        </is>
      </c>
      <c r="D3172" s="24" t="inlineStr">
        <is>
          <t>sendNotice</t>
        </is>
      </c>
      <c r="E3172" s="24" t="inlineStr">
        <is>
          <t>发送会议通知</t>
        </is>
      </c>
    </row>
    <row r="3173">
      <c r="B3173" s="24" t="inlineStr">
        <is>
          <t>ButtonSetB</t>
        </is>
      </c>
      <c r="C3173" s="24" t="inlineStr">
        <is>
          <t>按钮组B（授信业务申请）</t>
        </is>
      </c>
      <c r="D3173" s="24" t="inlineStr">
        <is>
          <t>signCheckOpinion</t>
        </is>
      </c>
      <c r="E3173" s="24" t="inlineStr">
        <is>
          <t>签署意见</t>
        </is>
      </c>
    </row>
    <row r="3174">
      <c r="B3174" s="24" t="inlineStr">
        <is>
          <t>ButtonSetB</t>
        </is>
      </c>
      <c r="C3174" s="24" t="inlineStr">
        <is>
          <t>按钮组B（授信业务申请）</t>
        </is>
      </c>
      <c r="D3174" s="24" t="inlineStr">
        <is>
          <t>takeBack</t>
        </is>
      </c>
      <c r="E3174" s="24" t="inlineStr">
        <is>
          <t>收回</t>
        </is>
      </c>
    </row>
    <row r="3175">
      <c r="B3175" s="24" t="inlineStr">
        <is>
          <t>ButtonSetB</t>
        </is>
      </c>
      <c r="C3175" s="24" t="inlineStr">
        <is>
          <t>按钮组B（授信业务申请）</t>
        </is>
      </c>
      <c r="D3175" s="24" t="inlineStr">
        <is>
          <t>viewApplyInfo</t>
        </is>
      </c>
      <c r="E3175" s="24" t="inlineStr">
        <is>
          <t>资料录入</t>
        </is>
      </c>
    </row>
    <row r="3176">
      <c r="B3176" s="24" t="inlineStr">
        <is>
          <t>ButtonSetB</t>
        </is>
      </c>
      <c r="C3176" s="24" t="inlineStr">
        <is>
          <t>按钮组B（授信业务申请）</t>
        </is>
      </c>
      <c r="D3176" s="24" t="inlineStr">
        <is>
          <t>viewDetail</t>
        </is>
      </c>
      <c r="E3176" s="24" t="inlineStr">
        <is>
          <t>申请详情</t>
        </is>
      </c>
    </row>
    <row r="3177">
      <c r="B3177" s="24" t="inlineStr">
        <is>
          <t>ButtonSetB</t>
        </is>
      </c>
      <c r="C3177" s="24" t="inlineStr">
        <is>
          <t>按钮组B（授信业务申请）</t>
        </is>
      </c>
      <c r="D3177" s="24" t="inlineStr">
        <is>
          <t>viewFlowGraph</t>
        </is>
      </c>
      <c r="E3177" s="24" t="inlineStr">
        <is>
          <t>流程图形展示</t>
        </is>
      </c>
    </row>
    <row r="3178">
      <c r="B3178" s="24" t="inlineStr">
        <is>
          <t>ButtonSetB</t>
        </is>
      </c>
      <c r="C3178" s="24" t="inlineStr">
        <is>
          <t>按钮组B（授信业务申请）</t>
        </is>
      </c>
      <c r="D3178" s="24" t="inlineStr">
        <is>
          <t>viewImage</t>
        </is>
      </c>
      <c r="E3178" s="24" t="inlineStr">
        <is>
          <t>资料扫描</t>
        </is>
      </c>
    </row>
    <row r="3179">
      <c r="B3179" s="24" t="inlineStr">
        <is>
          <t>ButtonSetB</t>
        </is>
      </c>
      <c r="C3179" s="24" t="inlineStr">
        <is>
          <t>按钮组B（授信业务申请）</t>
        </is>
      </c>
      <c r="D3179" s="24" t="inlineStr">
        <is>
          <t>viewOpinions</t>
        </is>
      </c>
      <c r="E3179" s="24" t="inlineStr">
        <is>
          <t>查看意见</t>
        </is>
      </c>
    </row>
    <row r="3180">
      <c r="B3180" s="24" t="inlineStr">
        <is>
          <t>ButtonSetB</t>
        </is>
      </c>
      <c r="C3180" s="24" t="inlineStr">
        <is>
          <t>按钮组B（授信业务申请）</t>
        </is>
      </c>
      <c r="D3180" s="24" t="inlineStr">
        <is>
          <t>viewReport</t>
        </is>
      </c>
      <c r="E3180" s="24" t="inlineStr">
        <is>
          <t>查看调查报告</t>
        </is>
      </c>
    </row>
    <row r="3181">
      <c r="B3181" s="24" t="inlineStr">
        <is>
          <t>ButtonSetB</t>
        </is>
      </c>
      <c r="C3181" s="24" t="inlineStr">
        <is>
          <t>按钮组B（授信业务申请）</t>
        </is>
      </c>
      <c r="D3181" s="24" t="inlineStr">
        <is>
          <t>viewTab</t>
        </is>
      </c>
      <c r="E3181" s="24" t="inlineStr">
        <is>
          <t>申请详情</t>
        </is>
      </c>
    </row>
    <row r="3182" ht="15.95" customHeight="1" s="170">
      <c r="B3182" s="122" t="inlineStr">
        <is>
          <t>码值：ButtonSetC</t>
        </is>
      </c>
    </row>
    <row r="3183">
      <c r="B3183" s="24" t="inlineStr">
        <is>
          <t>ButtonSetC</t>
        </is>
      </c>
      <c r="C3183" s="24" t="inlineStr">
        <is>
          <t>按钮组C（最终审批意见相关）</t>
        </is>
      </c>
      <c r="D3183" s="24" t="inlineStr">
        <is>
          <t>backStep</t>
        </is>
      </c>
      <c r="E3183" s="24" t="inlineStr">
        <is>
          <t>退回前一步</t>
        </is>
      </c>
    </row>
    <row r="3184">
      <c r="B3184" s="24" t="inlineStr">
        <is>
          <t>ButtonSetC</t>
        </is>
      </c>
      <c r="C3184" s="24" t="inlineStr">
        <is>
          <t>按钮组C（最终审批意见相关）</t>
        </is>
      </c>
      <c r="D3184" s="24" t="inlineStr">
        <is>
          <t>cancelApply</t>
        </is>
      </c>
      <c r="E3184" s="24" t="inlineStr">
        <is>
          <t>取消最终审批意见</t>
        </is>
      </c>
    </row>
    <row r="3185">
      <c r="B3185" s="24" t="inlineStr">
        <is>
          <t>ButtonSetC</t>
        </is>
      </c>
      <c r="C3185" s="24" t="inlineStr">
        <is>
          <t>按钮组C（最终审批意见相关）</t>
        </is>
      </c>
      <c r="D3185" s="24" t="inlineStr">
        <is>
          <t>doSubmit</t>
        </is>
      </c>
      <c r="E3185" s="24" t="inlineStr">
        <is>
          <t>提交</t>
        </is>
      </c>
    </row>
    <row r="3186">
      <c r="B3186" s="24" t="inlineStr">
        <is>
          <t>ButtonSetC</t>
        </is>
      </c>
      <c r="C3186" s="24" t="inlineStr">
        <is>
          <t>按钮组C（最终审批意见相关）</t>
        </is>
      </c>
      <c r="D3186" s="24" t="inlineStr">
        <is>
          <t>newApply</t>
        </is>
      </c>
      <c r="E3186" s="24" t="inlineStr">
        <is>
          <t>登记最终审批意见</t>
        </is>
      </c>
    </row>
    <row r="3187">
      <c r="B3187" s="24" t="inlineStr">
        <is>
          <t>ButtonSetC</t>
        </is>
      </c>
      <c r="C3187" s="24" t="inlineStr">
        <is>
          <t>按钮组C（最终审批意见相关）</t>
        </is>
      </c>
      <c r="D3187" s="24" t="inlineStr">
        <is>
          <t>newApplyWithNo</t>
        </is>
      </c>
      <c r="E3187" s="24" t="inlineStr">
        <is>
          <t>登记否决最终审批意见</t>
        </is>
      </c>
    </row>
    <row r="3188">
      <c r="B3188" s="24" t="inlineStr">
        <is>
          <t>ButtonSetC</t>
        </is>
      </c>
      <c r="C3188" s="24" t="inlineStr">
        <is>
          <t>按钮组C（最终审批意见相关）</t>
        </is>
      </c>
      <c r="D3188" s="24" t="inlineStr">
        <is>
          <t>print</t>
        </is>
      </c>
      <c r="E3188" s="24" t="inlineStr">
        <is>
          <t>打印最终审批意见</t>
        </is>
      </c>
    </row>
    <row r="3189">
      <c r="B3189" s="24" t="inlineStr">
        <is>
          <t>ButtonSetC</t>
        </is>
      </c>
      <c r="C3189" s="24" t="inlineStr">
        <is>
          <t>按钮组C（最终审批意见相关）</t>
        </is>
      </c>
      <c r="D3189" s="24" t="inlineStr">
        <is>
          <t>signOpinion</t>
        </is>
      </c>
      <c r="E3189" s="24" t="inlineStr">
        <is>
          <t>签署意见</t>
        </is>
      </c>
    </row>
    <row r="3190">
      <c r="B3190" s="24" t="inlineStr">
        <is>
          <t>ButtonSetC</t>
        </is>
      </c>
      <c r="C3190" s="24" t="inlineStr">
        <is>
          <t>按钮组C（最终审批意见相关）</t>
        </is>
      </c>
      <c r="D3190" s="24" t="inlineStr">
        <is>
          <t>takeBack</t>
        </is>
      </c>
      <c r="E3190" s="24" t="inlineStr">
        <is>
          <t>收回</t>
        </is>
      </c>
    </row>
    <row r="3191">
      <c r="B3191" s="24" t="inlineStr">
        <is>
          <t>ButtonSetC</t>
        </is>
      </c>
      <c r="C3191" s="24" t="inlineStr">
        <is>
          <t>按钮组C（最终审批意见相关）</t>
        </is>
      </c>
      <c r="D3191" s="24" t="inlineStr">
        <is>
          <t>viewDetail</t>
        </is>
      </c>
      <c r="E3191" s="24" t="inlineStr">
        <is>
          <t>最终审批意见详情</t>
        </is>
      </c>
    </row>
    <row r="3192">
      <c r="B3192" s="24" t="inlineStr">
        <is>
          <t>ButtonSetC</t>
        </is>
      </c>
      <c r="C3192" s="24" t="inlineStr">
        <is>
          <t>按钮组C（最终审批意见相关）</t>
        </is>
      </c>
      <c r="D3192" s="24" t="inlineStr">
        <is>
          <t>viewOpinions</t>
        </is>
      </c>
      <c r="E3192" s="24" t="inlineStr">
        <is>
          <t>查看意见</t>
        </is>
      </c>
    </row>
    <row r="3193">
      <c r="B3193" s="24" t="inlineStr">
        <is>
          <t>ButtonSetC</t>
        </is>
      </c>
      <c r="C3193" s="24" t="inlineStr">
        <is>
          <t>按钮组C（最终审批意见相关）</t>
        </is>
      </c>
      <c r="D3193" s="24" t="inlineStr">
        <is>
          <t>viewRefuse</t>
        </is>
      </c>
      <c r="E3193" s="24" t="inlineStr">
        <is>
          <t>查看拒绝理由</t>
        </is>
      </c>
    </row>
    <row r="3194">
      <c r="B3194" s="24" t="inlineStr">
        <is>
          <t>ButtonSetC</t>
        </is>
      </c>
      <c r="C3194" s="24" t="inlineStr">
        <is>
          <t>按钮组C（最终审批意见相关）</t>
        </is>
      </c>
      <c r="D3194" s="24" t="inlineStr">
        <is>
          <t>viewTab</t>
        </is>
      </c>
      <c r="E3194" s="24" t="inlineStr">
        <is>
          <t>最终审批意见详情</t>
        </is>
      </c>
    </row>
    <row r="3195">
      <c r="B3195" s="24" t="inlineStr">
        <is>
          <t>ButtonSetC</t>
        </is>
      </c>
      <c r="C3195" s="24" t="inlineStr">
        <is>
          <t>按钮组C（最终审批意见相关）</t>
        </is>
      </c>
      <c r="D3195" s="24" t="inlineStr">
        <is>
          <t>viewTask</t>
        </is>
      </c>
      <c r="E3195" s="24" t="inlineStr">
        <is>
          <t>打印审批意见</t>
        </is>
      </c>
    </row>
    <row r="3196" ht="15.95" customHeight="1" s="170">
      <c r="B3196" s="122" t="inlineStr">
        <is>
          <t>码值：企业进出口经营权</t>
        </is>
      </c>
    </row>
    <row r="3197">
      <c r="B3197" s="24" t="inlineStr">
        <is>
          <t>企业进出口经营权</t>
        </is>
      </c>
      <c r="C3197" s="24" t="inlineStr">
        <is>
          <t>企业进出口经营权</t>
        </is>
      </c>
      <c r="D3197" s="24" t="inlineStr">
        <is>
          <t>1</t>
        </is>
      </c>
      <c r="E3197" s="24" t="inlineStr">
        <is>
          <t>主营业务以内贸为主</t>
        </is>
      </c>
    </row>
    <row r="3198">
      <c r="B3198" s="24" t="inlineStr">
        <is>
          <t>企业进出口经营权</t>
        </is>
      </c>
      <c r="C3198" s="24" t="inlineStr">
        <is>
          <t>企业进出口经营权</t>
        </is>
      </c>
      <c r="D3198" s="24" t="inlineStr">
        <is>
          <t>2</t>
        </is>
      </c>
      <c r="E3198" s="24" t="inlineStr">
        <is>
          <t>主营业务以外贸为主，且有进出口经营权</t>
        </is>
      </c>
    </row>
    <row r="3199">
      <c r="B3199" s="24" t="inlineStr">
        <is>
          <t>企业进出口经营权</t>
        </is>
      </c>
      <c r="C3199" s="24" t="inlineStr">
        <is>
          <t>企业进出口经营权</t>
        </is>
      </c>
      <c r="D3199" s="24" t="inlineStr">
        <is>
          <t>3</t>
        </is>
      </c>
      <c r="E3199" s="24" t="inlineStr">
        <is>
          <t>主营业务以外贸为主，且无进出口经营权</t>
        </is>
      </c>
    </row>
    <row r="3200" ht="15.95" customHeight="1" s="170">
      <c r="B3200" s="122" t="inlineStr">
        <is>
          <t>码值：ButtonSetD</t>
        </is>
      </c>
    </row>
    <row r="3201">
      <c r="B3201" s="24" t="inlineStr">
        <is>
          <t>ButtonSetD</t>
        </is>
      </c>
      <c r="C3201" s="24" t="inlineStr">
        <is>
          <t>按钮组D</t>
        </is>
      </c>
      <c r="D3201" s="24" t="inlineStr">
        <is>
          <t>backStep</t>
        </is>
      </c>
      <c r="E3201" s="24" t="inlineStr">
        <is>
          <t>退回前一步</t>
        </is>
      </c>
    </row>
    <row r="3202">
      <c r="B3202" s="24" t="inlineStr">
        <is>
          <t>ButtonSetD</t>
        </is>
      </c>
      <c r="C3202" s="24" t="inlineStr">
        <is>
          <t>按钮组D</t>
        </is>
      </c>
      <c r="D3202" s="24" t="inlineStr">
        <is>
          <t>doSubmit</t>
        </is>
      </c>
      <c r="E3202" s="24" t="inlineStr">
        <is>
          <t>提交</t>
        </is>
      </c>
    </row>
    <row r="3203">
      <c r="B3203" s="24" t="inlineStr">
        <is>
          <t>ButtonSetD</t>
        </is>
      </c>
      <c r="C3203" s="24" t="inlineStr">
        <is>
          <t>按钮组D</t>
        </is>
      </c>
      <c r="D3203" s="24" t="inlineStr">
        <is>
          <t>signOpinion</t>
        </is>
      </c>
      <c r="E3203" s="24" t="inlineStr">
        <is>
          <t>签署意见</t>
        </is>
      </c>
    </row>
    <row r="3204">
      <c r="B3204" s="24" t="inlineStr">
        <is>
          <t>ButtonSetD</t>
        </is>
      </c>
      <c r="C3204" s="24" t="inlineStr">
        <is>
          <t>按钮组D</t>
        </is>
      </c>
      <c r="D3204" s="24" t="inlineStr">
        <is>
          <t>useDefine</t>
        </is>
      </c>
      <c r="E3204" s="24" t="inlineStr">
        <is>
          <t>自定义</t>
        </is>
      </c>
    </row>
    <row r="3205">
      <c r="B3205" s="24" t="inlineStr">
        <is>
          <t>ButtonSetD</t>
        </is>
      </c>
      <c r="C3205" s="24" t="inlineStr">
        <is>
          <t>按钮组D</t>
        </is>
      </c>
      <c r="D3205" s="24" t="inlineStr">
        <is>
          <t>viewDetail</t>
        </is>
      </c>
      <c r="E3205" s="24" t="inlineStr">
        <is>
          <t>最终审批意见详情</t>
        </is>
      </c>
    </row>
    <row r="3206">
      <c r="B3206" s="24" t="inlineStr">
        <is>
          <t>ButtonSetD</t>
        </is>
      </c>
      <c r="C3206" s="24" t="inlineStr">
        <is>
          <t>按钮组D</t>
        </is>
      </c>
      <c r="D3206" s="24" t="inlineStr">
        <is>
          <t>viewOpinions</t>
        </is>
      </c>
      <c r="E3206" s="24" t="inlineStr">
        <is>
          <t>查看意见</t>
        </is>
      </c>
    </row>
    <row r="3207">
      <c r="B3207" s="24" t="inlineStr">
        <is>
          <t>ButtonSetD</t>
        </is>
      </c>
      <c r="C3207" s="24" t="inlineStr">
        <is>
          <t>按钮组D</t>
        </is>
      </c>
      <c r="D3207" s="24" t="inlineStr">
        <is>
          <t>viewTab</t>
        </is>
      </c>
      <c r="E3207" s="24" t="inlineStr">
        <is>
          <t>最终审批意见详情</t>
        </is>
      </c>
    </row>
    <row r="3208" ht="15.95" customHeight="1" s="170">
      <c r="B3208" s="122" t="inlineStr">
        <is>
          <t>码值：FiscalSource</t>
        </is>
      </c>
    </row>
    <row r="3209">
      <c r="B3209" s="24" t="inlineStr">
        <is>
          <t>FiscalSource</t>
        </is>
      </c>
      <c r="C3209" s="24" t="inlineStr">
        <is>
          <t>财政补助收入来源</t>
        </is>
      </c>
      <c r="D3209" s="24" t="inlineStr">
        <is>
          <t>01</t>
        </is>
      </c>
      <c r="E3209" s="24" t="inlineStr">
        <is>
          <t>中央</t>
        </is>
      </c>
    </row>
    <row r="3210">
      <c r="B3210" s="24" t="inlineStr">
        <is>
          <t>FiscalSource</t>
        </is>
      </c>
      <c r="C3210" s="24" t="inlineStr">
        <is>
          <t>财政补助收入来源</t>
        </is>
      </c>
      <c r="D3210" s="24" t="inlineStr">
        <is>
          <t>02</t>
        </is>
      </c>
      <c r="E3210" s="24" t="inlineStr">
        <is>
          <t>省级</t>
        </is>
      </c>
    </row>
    <row r="3211">
      <c r="B3211" s="24" t="inlineStr">
        <is>
          <t>FiscalSource</t>
        </is>
      </c>
      <c r="C3211" s="24" t="inlineStr">
        <is>
          <t>财政补助收入来源</t>
        </is>
      </c>
      <c r="D3211" s="24" t="inlineStr">
        <is>
          <t>03</t>
        </is>
      </c>
      <c r="E3211" s="24" t="inlineStr">
        <is>
          <t>地市</t>
        </is>
      </c>
    </row>
    <row r="3212">
      <c r="B3212" s="24" t="inlineStr">
        <is>
          <t>FiscalSource</t>
        </is>
      </c>
      <c r="C3212" s="24" t="inlineStr">
        <is>
          <t>财政补助收入来源</t>
        </is>
      </c>
      <c r="D3212" s="24" t="inlineStr">
        <is>
          <t>04</t>
        </is>
      </c>
      <c r="E3212" s="24" t="inlineStr">
        <is>
          <t>区县</t>
        </is>
      </c>
    </row>
    <row r="3213">
      <c r="B3213" s="24" t="inlineStr">
        <is>
          <t>FiscalSource</t>
        </is>
      </c>
      <c r="C3213" s="24" t="inlineStr">
        <is>
          <t>财政补助收入来源</t>
        </is>
      </c>
      <c r="D3213" s="24" t="inlineStr">
        <is>
          <t>05</t>
        </is>
      </c>
      <c r="E3213" s="24" t="inlineStr">
        <is>
          <t>其他</t>
        </is>
      </c>
    </row>
    <row r="3214">
      <c r="B3214" s="24" t="inlineStr">
        <is>
          <t>FiscalSource</t>
        </is>
      </c>
      <c r="C3214" s="24" t="inlineStr">
        <is>
          <t>财政补助收入来源</t>
        </is>
      </c>
      <c r="D3214" s="24" t="inlineStr">
        <is>
          <t>06</t>
        </is>
      </c>
      <c r="E3214" s="24" t="inlineStr">
        <is>
          <t>无财政补助</t>
        </is>
      </c>
    </row>
    <row r="3215" ht="15.95" customHeight="1" s="170">
      <c r="B3215" s="122" t="inlineStr">
        <is>
          <t>码值：ButtonSetE</t>
        </is>
      </c>
    </row>
    <row r="3216">
      <c r="B3216" s="24" t="inlineStr">
        <is>
          <t>ButtonSetE</t>
        </is>
      </c>
      <c r="C3216" s="24" t="inlineStr">
        <is>
          <t>按钮组E（出帐相关）</t>
        </is>
      </c>
      <c r="D3216" s="24" t="inlineStr">
        <is>
          <t>SelectSubmit</t>
        </is>
      </c>
      <c r="E3216" s="24" t="inlineStr">
        <is>
          <t>多笔提交</t>
        </is>
      </c>
    </row>
    <row r="3217">
      <c r="B3217" s="24" t="inlineStr">
        <is>
          <t>ButtonSetE</t>
        </is>
      </c>
      <c r="C3217" s="24" t="inlineStr">
        <is>
          <t>按钮组E（出帐相关）</t>
        </is>
      </c>
      <c r="D3217" s="24" t="inlineStr">
        <is>
          <t>SelectedAll</t>
        </is>
      </c>
      <c r="E3217" s="24" t="inlineStr">
        <is>
          <t>全选</t>
        </is>
      </c>
    </row>
    <row r="3218">
      <c r="B3218" s="24" t="inlineStr">
        <is>
          <t>ButtonSetE</t>
        </is>
      </c>
      <c r="C3218" s="24" t="inlineStr">
        <is>
          <t>按钮组E（出帐相关）</t>
        </is>
      </c>
      <c r="D3218" s="24" t="inlineStr">
        <is>
          <t>SelectedBack</t>
        </is>
      </c>
      <c r="E3218" s="24" t="inlineStr">
        <is>
          <t>反选</t>
        </is>
      </c>
    </row>
    <row r="3219">
      <c r="B3219" s="24" t="inlineStr">
        <is>
          <t>ButtonSetE</t>
        </is>
      </c>
      <c r="C3219" s="24" t="inlineStr">
        <is>
          <t>按钮组E（出帐相关）</t>
        </is>
      </c>
      <c r="D3219" s="24" t="inlineStr">
        <is>
          <t>SelectedCancel</t>
        </is>
      </c>
      <c r="E3219" s="24" t="inlineStr">
        <is>
          <t>取消全选</t>
        </is>
      </c>
    </row>
    <row r="3220">
      <c r="B3220" s="24" t="inlineStr">
        <is>
          <t>ButtonSetE</t>
        </is>
      </c>
      <c r="C3220" s="24" t="inlineStr">
        <is>
          <t>按钮组E（出帐相关）</t>
        </is>
      </c>
      <c r="D3220" s="24" t="inlineStr">
        <is>
          <t>accounting</t>
        </is>
      </c>
      <c r="E3220" s="24" t="inlineStr">
        <is>
          <t>放款入账</t>
        </is>
      </c>
    </row>
    <row r="3221">
      <c r="B3221" s="24" t="inlineStr">
        <is>
          <t>ButtonSetE</t>
        </is>
      </c>
      <c r="C3221" s="24" t="inlineStr">
        <is>
          <t>按钮组E（出帐相关）</t>
        </is>
      </c>
      <c r="D3221" s="24" t="inlineStr">
        <is>
          <t>archive</t>
        </is>
      </c>
      <c r="E3221" s="24" t="inlineStr">
        <is>
          <t>归档</t>
        </is>
      </c>
    </row>
    <row r="3222">
      <c r="B3222" s="24" t="inlineStr">
        <is>
          <t>ButtonSetE</t>
        </is>
      </c>
      <c r="C3222" s="24" t="inlineStr">
        <is>
          <t>按钮组E（出帐相关）</t>
        </is>
      </c>
      <c r="D3222" s="24" t="inlineStr">
        <is>
          <t>backStep</t>
        </is>
      </c>
      <c r="E3222" s="24" t="inlineStr">
        <is>
          <t>退回前一步</t>
        </is>
      </c>
    </row>
    <row r="3223">
      <c r="B3223" s="24" t="inlineStr">
        <is>
          <t>ButtonSetE</t>
        </is>
      </c>
      <c r="C3223" s="24" t="inlineStr">
        <is>
          <t>按钮组E（出帐相关）</t>
        </is>
      </c>
      <c r="D3223" s="24" t="inlineStr">
        <is>
          <t>cancelApply</t>
        </is>
      </c>
      <c r="E3223" s="24" t="inlineStr">
        <is>
          <t>取消放贷</t>
        </is>
      </c>
    </row>
    <row r="3224">
      <c r="B3224" s="24" t="inlineStr">
        <is>
          <t>ButtonSetE</t>
        </is>
      </c>
      <c r="C3224" s="24" t="inlineStr">
        <is>
          <t>按钮组E（出帐相关）</t>
        </is>
      </c>
      <c r="D3224" s="24" t="inlineStr">
        <is>
          <t>cancelarch</t>
        </is>
      </c>
      <c r="E3224" s="24" t="inlineStr">
        <is>
          <t>取消归档</t>
        </is>
      </c>
    </row>
    <row r="3225">
      <c r="B3225" s="24" t="inlineStr">
        <is>
          <t>ButtonSetE</t>
        </is>
      </c>
      <c r="C3225" s="24" t="inlineStr">
        <is>
          <t>按钮组E（出帐相关）</t>
        </is>
      </c>
      <c r="D3225" s="24" t="inlineStr">
        <is>
          <t>contractDetail</t>
        </is>
      </c>
      <c r="E3225" s="24" t="inlineStr">
        <is>
          <t>合同详情</t>
        </is>
      </c>
    </row>
    <row r="3226">
      <c r="B3226" s="24" t="inlineStr">
        <is>
          <t>ButtonSetE</t>
        </is>
      </c>
      <c r="C3226" s="24" t="inlineStr">
        <is>
          <t>按钮组E（出帐相关）</t>
        </is>
      </c>
      <c r="D3226" s="24" t="inlineStr">
        <is>
          <t>doSubmit</t>
        </is>
      </c>
      <c r="E3226" s="24" t="inlineStr">
        <is>
          <t>提交</t>
        </is>
      </c>
    </row>
    <row r="3227">
      <c r="B3227" s="24" t="inlineStr">
        <is>
          <t>ButtonSetE</t>
        </is>
      </c>
      <c r="C3227" s="24" t="inlineStr">
        <is>
          <t>按钮组E（出帐相关）</t>
        </is>
      </c>
      <c r="D3227" s="24" t="inlineStr">
        <is>
          <t>imageScan</t>
        </is>
      </c>
      <c r="E3227" s="24" t="inlineStr">
        <is>
          <t>影像扫描</t>
        </is>
      </c>
    </row>
    <row r="3228">
      <c r="B3228" s="24" t="inlineStr">
        <is>
          <t>ButtonSetE</t>
        </is>
      </c>
      <c r="C3228" s="24" t="inlineStr">
        <is>
          <t>按钮组E（出帐相关）</t>
        </is>
      </c>
      <c r="D3228" s="24" t="inlineStr">
        <is>
          <t>newApply</t>
        </is>
      </c>
      <c r="E3228" s="24" t="inlineStr">
        <is>
          <t>新增放贷申请</t>
        </is>
      </c>
    </row>
    <row r="3229">
      <c r="B3229" s="24" t="inlineStr">
        <is>
          <t>ButtonSetE</t>
        </is>
      </c>
      <c r="C3229" s="24" t="inlineStr">
        <is>
          <t>按钮组E（出帐相关）</t>
        </is>
      </c>
      <c r="D3229" s="24" t="inlineStr">
        <is>
          <t>print</t>
        </is>
      </c>
      <c r="E3229" s="24" t="inlineStr">
        <is>
          <t>打印放贷通知书</t>
        </is>
      </c>
    </row>
    <row r="3230">
      <c r="B3230" s="24" t="inlineStr">
        <is>
          <t>ButtonSetE</t>
        </is>
      </c>
      <c r="C3230" s="24" t="inlineStr">
        <is>
          <t>按钮组E（出帐相关）</t>
        </is>
      </c>
      <c r="D3230" s="24" t="inlineStr">
        <is>
          <t>putOff</t>
        </is>
      </c>
      <c r="E3230" s="24" t="inlineStr">
        <is>
          <t>冲销实时交易</t>
        </is>
      </c>
    </row>
    <row r="3231">
      <c r="B3231" s="24" t="inlineStr">
        <is>
          <t>ButtonSetE</t>
        </is>
      </c>
      <c r="C3231" s="24" t="inlineStr">
        <is>
          <t>按钮组E（出帐相关）</t>
        </is>
      </c>
      <c r="D3231" s="24" t="inlineStr">
        <is>
          <t>putOut</t>
        </is>
      </c>
      <c r="E3231" s="24" t="inlineStr">
        <is>
          <t>发送实时交易</t>
        </is>
      </c>
    </row>
    <row r="3232">
      <c r="B3232" s="24" t="inlineStr">
        <is>
          <t>ButtonSetE</t>
        </is>
      </c>
      <c r="C3232" s="24" t="inlineStr">
        <is>
          <t>按钮组E（出帐相关）</t>
        </is>
      </c>
      <c r="D3232" s="24" t="inlineStr">
        <is>
          <t>sendPayment</t>
        </is>
      </c>
      <c r="E3232" s="24" t="inlineStr">
        <is>
          <t>发送支付交易</t>
        </is>
      </c>
    </row>
    <row r="3233">
      <c r="B3233" s="24" t="inlineStr">
        <is>
          <t>ButtonSetE</t>
        </is>
      </c>
      <c r="C3233" s="24" t="inlineStr">
        <is>
          <t>按钮组E（出帐相关）</t>
        </is>
      </c>
      <c r="D3233" s="24" t="inlineStr">
        <is>
          <t>signOpinion</t>
        </is>
      </c>
      <c r="E3233" s="24" t="inlineStr">
        <is>
          <t>签署意见</t>
        </is>
      </c>
    </row>
    <row r="3234">
      <c r="B3234" s="24" t="inlineStr">
        <is>
          <t>ButtonSetE</t>
        </is>
      </c>
      <c r="C3234" s="24" t="inlineStr">
        <is>
          <t>按钮组E（出帐相关）</t>
        </is>
      </c>
      <c r="D3234" s="24" t="inlineStr">
        <is>
          <t>takeBack</t>
        </is>
      </c>
      <c r="E3234" s="24" t="inlineStr">
        <is>
          <t>收回</t>
        </is>
      </c>
    </row>
    <row r="3235">
      <c r="B3235" s="24" t="inlineStr">
        <is>
          <t>ButtonSetE</t>
        </is>
      </c>
      <c r="C3235" s="24" t="inlineStr">
        <is>
          <t>按钮组E（出帐相关）</t>
        </is>
      </c>
      <c r="D3235" s="24" t="inlineStr">
        <is>
          <t>transToAfterLoan</t>
        </is>
      </c>
      <c r="E3235" s="24" t="inlineStr">
        <is>
          <t>转入贷后</t>
        </is>
      </c>
    </row>
    <row r="3236">
      <c r="B3236" s="24" t="inlineStr">
        <is>
          <t>ButtonSetE</t>
        </is>
      </c>
      <c r="C3236" s="24" t="inlineStr">
        <is>
          <t>按钮组E（出帐相关）</t>
        </is>
      </c>
      <c r="D3236" s="24" t="inlineStr">
        <is>
          <t>viewDetail</t>
        </is>
      </c>
      <c r="E3236" s="24" t="inlineStr">
        <is>
          <t>放贷详情</t>
        </is>
      </c>
    </row>
    <row r="3237">
      <c r="B3237" s="24" t="inlineStr">
        <is>
          <t>ButtonSetE</t>
        </is>
      </c>
      <c r="C3237" s="24" t="inlineStr">
        <is>
          <t>按钮组E（出帐相关）</t>
        </is>
      </c>
      <c r="D3237" s="24" t="inlineStr">
        <is>
          <t>viewOpinions</t>
        </is>
      </c>
      <c r="E3237" s="24" t="inlineStr">
        <is>
          <t>查看意见</t>
        </is>
      </c>
    </row>
    <row r="3238">
      <c r="B3238" s="24" t="inlineStr">
        <is>
          <t>ButtonSetE</t>
        </is>
      </c>
      <c r="C3238" s="24" t="inlineStr">
        <is>
          <t>按钮组E（出帐相关）</t>
        </is>
      </c>
      <c r="D3238" s="24" t="inlineStr">
        <is>
          <t>viewPayment</t>
        </is>
      </c>
      <c r="E3238" s="24" t="inlineStr">
        <is>
          <t>查看支付申请表</t>
        </is>
      </c>
    </row>
    <row r="3239">
      <c r="B3239" s="24" t="inlineStr">
        <is>
          <t>ButtonSetE</t>
        </is>
      </c>
      <c r="C3239" s="24" t="inlineStr">
        <is>
          <t>按钮组E（出帐相关）</t>
        </is>
      </c>
      <c r="D3239" s="24" t="inlineStr">
        <is>
          <t>viewTab</t>
        </is>
      </c>
      <c r="E3239" s="24" t="inlineStr">
        <is>
          <t>放贷详情</t>
        </is>
      </c>
    </row>
    <row r="3240" ht="15.95" customHeight="1" s="170">
      <c r="B3240" s="122" t="inlineStr">
        <is>
          <t>码值：ButtonSetF</t>
        </is>
      </c>
    </row>
    <row r="3241">
      <c r="B3241" s="24" t="inlineStr">
        <is>
          <t>ButtonSetF</t>
        </is>
      </c>
      <c r="C3241" s="24" t="inlineStr">
        <is>
          <t>按钮组F</t>
        </is>
      </c>
      <c r="D3241" s="24" t="inlineStr">
        <is>
          <t>BackApply</t>
        </is>
      </c>
      <c r="E3241" s="24" t="inlineStr">
        <is>
          <t>退回放贷申请人</t>
        </is>
      </c>
    </row>
    <row r="3242">
      <c r="B3242" s="24" t="inlineStr">
        <is>
          <t>ButtonSetF</t>
        </is>
      </c>
      <c r="C3242" s="24" t="inlineStr">
        <is>
          <t>按钮组F</t>
        </is>
      </c>
      <c r="D3242" s="24" t="inlineStr">
        <is>
          <t>ContractDetail</t>
        </is>
      </c>
      <c r="E3242" s="24" t="inlineStr">
        <is>
          <t>合同详情</t>
        </is>
      </c>
    </row>
    <row r="3243">
      <c r="B3243" s="24" t="inlineStr">
        <is>
          <t>ButtonSetF</t>
        </is>
      </c>
      <c r="C3243" s="24" t="inlineStr">
        <is>
          <t>按钮组F</t>
        </is>
      </c>
      <c r="D3243" s="24" t="inlineStr">
        <is>
          <t>SelectSignOpinion</t>
        </is>
      </c>
      <c r="E3243" s="24" t="inlineStr">
        <is>
          <t>签署意见</t>
        </is>
      </c>
    </row>
    <row r="3244">
      <c r="B3244" s="24" t="inlineStr">
        <is>
          <t>ButtonSetF</t>
        </is>
      </c>
      <c r="C3244" s="24" t="inlineStr">
        <is>
          <t>按钮组F</t>
        </is>
      </c>
      <c r="D3244" s="24" t="inlineStr">
        <is>
          <t>SelectSubmit</t>
        </is>
      </c>
      <c r="E3244" s="24" t="inlineStr">
        <is>
          <t>提交</t>
        </is>
      </c>
    </row>
    <row r="3245">
      <c r="B3245" s="24" t="inlineStr">
        <is>
          <t>ButtonSetF</t>
        </is>
      </c>
      <c r="C3245" s="24" t="inlineStr">
        <is>
          <t>按钮组F</t>
        </is>
      </c>
      <c r="D3245" s="24" t="inlineStr">
        <is>
          <t>SelectedAll</t>
        </is>
      </c>
      <c r="E3245" s="24" t="inlineStr">
        <is>
          <t>全选</t>
        </is>
      </c>
    </row>
    <row r="3246">
      <c r="B3246" s="24" t="inlineStr">
        <is>
          <t>ButtonSetF</t>
        </is>
      </c>
      <c r="C3246" s="24" t="inlineStr">
        <is>
          <t>按钮组F</t>
        </is>
      </c>
      <c r="D3246" s="24" t="inlineStr">
        <is>
          <t>SelectedBack</t>
        </is>
      </c>
      <c r="E3246" s="24" t="inlineStr">
        <is>
          <t>反选</t>
        </is>
      </c>
    </row>
    <row r="3247">
      <c r="B3247" s="24" t="inlineStr">
        <is>
          <t>ButtonSetF</t>
        </is>
      </c>
      <c r="C3247" s="24" t="inlineStr">
        <is>
          <t>按钮组F</t>
        </is>
      </c>
      <c r="D3247" s="24" t="inlineStr">
        <is>
          <t>SelectedCancel</t>
        </is>
      </c>
      <c r="E3247" s="24" t="inlineStr">
        <is>
          <t>取消全选</t>
        </is>
      </c>
    </row>
    <row r="3248">
      <c r="B3248" s="24" t="inlineStr">
        <is>
          <t>ButtonSetF</t>
        </is>
      </c>
      <c r="C3248" s="24" t="inlineStr">
        <is>
          <t>按钮组F</t>
        </is>
      </c>
      <c r="D3248" s="24" t="inlineStr">
        <is>
          <t>backStep</t>
        </is>
      </c>
      <c r="E3248" s="24" t="inlineStr">
        <is>
          <t>退回前一步</t>
        </is>
      </c>
    </row>
    <row r="3249">
      <c r="B3249" s="24" t="inlineStr">
        <is>
          <t>ButtonSetF</t>
        </is>
      </c>
      <c r="C3249" s="24" t="inlineStr">
        <is>
          <t>按钮组F</t>
        </is>
      </c>
      <c r="D3249" s="24" t="inlineStr">
        <is>
          <t>doSubmit</t>
        </is>
      </c>
      <c r="E3249" s="24" t="inlineStr">
        <is>
          <t>提交</t>
        </is>
      </c>
    </row>
    <row r="3250">
      <c r="B3250" s="24" t="inlineStr">
        <is>
          <t>ButtonSetF</t>
        </is>
      </c>
      <c r="C3250" s="24" t="inlineStr">
        <is>
          <t>按钮组F</t>
        </is>
      </c>
      <c r="D3250" s="24" t="inlineStr">
        <is>
          <t>print</t>
        </is>
      </c>
      <c r="E3250" s="24" t="inlineStr">
        <is>
          <t>打印放贷通知书</t>
        </is>
      </c>
    </row>
    <row r="3251">
      <c r="B3251" s="24" t="inlineStr">
        <is>
          <t>ButtonSetF</t>
        </is>
      </c>
      <c r="C3251" s="24" t="inlineStr">
        <is>
          <t>按钮组F</t>
        </is>
      </c>
      <c r="D3251" s="24" t="inlineStr">
        <is>
          <t>selectPutOut</t>
        </is>
      </c>
      <c r="E3251" s="24" t="inlineStr">
        <is>
          <t>挑选放贷申请</t>
        </is>
      </c>
    </row>
    <row r="3252">
      <c r="B3252" s="24" t="inlineStr">
        <is>
          <t>ButtonSetF</t>
        </is>
      </c>
      <c r="C3252" s="24" t="inlineStr">
        <is>
          <t>按钮组F</t>
        </is>
      </c>
      <c r="D3252" s="24" t="inlineStr">
        <is>
          <t>signOpinion</t>
        </is>
      </c>
      <c r="E3252" s="24" t="inlineStr">
        <is>
          <t>签署意见</t>
        </is>
      </c>
    </row>
    <row r="3253">
      <c r="B3253" s="24" t="inlineStr">
        <is>
          <t>ButtonSetF</t>
        </is>
      </c>
      <c r="C3253" s="24" t="inlineStr">
        <is>
          <t>按钮组F</t>
        </is>
      </c>
      <c r="D3253" s="24" t="inlineStr">
        <is>
          <t>userDefine</t>
        </is>
      </c>
      <c r="E3253" s="24" t="inlineStr">
        <is>
          <t>自定义</t>
        </is>
      </c>
    </row>
    <row r="3254">
      <c r="B3254" s="24" t="inlineStr">
        <is>
          <t>ButtonSetF</t>
        </is>
      </c>
      <c r="C3254" s="24" t="inlineStr">
        <is>
          <t>按钮组F</t>
        </is>
      </c>
      <c r="D3254" s="24" t="inlineStr">
        <is>
          <t>viewDetail</t>
        </is>
      </c>
      <c r="E3254" s="24" t="inlineStr">
        <is>
          <t>放贷详情</t>
        </is>
      </c>
    </row>
    <row r="3255">
      <c r="B3255" s="24" t="inlineStr">
        <is>
          <t>ButtonSetF</t>
        </is>
      </c>
      <c r="C3255" s="24" t="inlineStr">
        <is>
          <t>按钮组F</t>
        </is>
      </c>
      <c r="D3255" s="24" t="inlineStr">
        <is>
          <t>viewOpinions</t>
        </is>
      </c>
      <c r="E3255" s="24" t="inlineStr">
        <is>
          <t>查看意见</t>
        </is>
      </c>
    </row>
    <row r="3256">
      <c r="B3256" s="24" t="inlineStr">
        <is>
          <t>ButtonSetF</t>
        </is>
      </c>
      <c r="C3256" s="24" t="inlineStr">
        <is>
          <t>按钮组F</t>
        </is>
      </c>
      <c r="D3256" s="24" t="inlineStr">
        <is>
          <t>viewTab</t>
        </is>
      </c>
      <c r="E3256" s="24" t="inlineStr">
        <is>
          <t>放贷详情</t>
        </is>
      </c>
    </row>
    <row r="3257" ht="15.95" customHeight="1" s="170">
      <c r="B3257" s="122" t="inlineStr">
        <is>
          <t>码值：SMEConApplyMain</t>
        </is>
      </c>
    </row>
    <row r="3258">
      <c r="B3258" s="24" t="inlineStr">
        <is>
          <t>SMEConApplyMain</t>
        </is>
      </c>
      <c r="C3258" s="24" t="inlineStr">
        <is>
          <t>中小企业资格认定主树图</t>
        </is>
      </c>
      <c r="D3258" s="24" t="inlineStr">
        <is>
          <t>1010</t>
        </is>
      </c>
      <c r="E3258" s="24" t="inlineStr">
        <is>
          <t>待处理申请</t>
        </is>
      </c>
    </row>
    <row r="3259">
      <c r="B3259" s="24" t="inlineStr">
        <is>
          <t>SMEConApplyMain</t>
        </is>
      </c>
      <c r="C3259" s="24" t="inlineStr">
        <is>
          <t>中小企业资格认定主树图</t>
        </is>
      </c>
      <c r="D3259" s="24" t="inlineStr">
        <is>
          <t>1020</t>
        </is>
      </c>
      <c r="E3259" s="24" t="inlineStr">
        <is>
          <t>审查中申请</t>
        </is>
      </c>
    </row>
    <row r="3260">
      <c r="B3260" s="24" t="inlineStr">
        <is>
          <t>SMEConApplyMain</t>
        </is>
      </c>
      <c r="C3260" s="24" t="inlineStr">
        <is>
          <t>中小企业资格认定主树图</t>
        </is>
      </c>
      <c r="D3260" s="24" t="inlineStr">
        <is>
          <t>1040,1050</t>
        </is>
      </c>
      <c r="E3260" s="24" t="inlineStr">
        <is>
          <t>处理完成</t>
        </is>
      </c>
    </row>
    <row r="3261">
      <c r="B3261" s="24" t="inlineStr">
        <is>
          <t>SMEConApplyMain</t>
        </is>
      </c>
      <c r="C3261" s="24" t="inlineStr">
        <is>
          <t>中小企业资格认定主树图</t>
        </is>
      </c>
      <c r="D3261" s="24" t="inlineStr">
        <is>
          <t>1060</t>
        </is>
      </c>
      <c r="E3261" s="24" t="inlineStr">
        <is>
          <t>已归档申请</t>
        </is>
      </c>
    </row>
    <row r="3262" ht="15.95" customHeight="1" s="170">
      <c r="B3262" s="122" t="inlineStr">
        <is>
          <t>码值：ButtonSetG</t>
        </is>
      </c>
    </row>
    <row r="3263">
      <c r="B3263" s="24" t="inlineStr">
        <is>
          <t>ButtonSetG</t>
        </is>
      </c>
      <c r="C3263" s="24" t="inlineStr">
        <is>
          <t>按钮组G（中小企业资格认定）</t>
        </is>
      </c>
      <c r="D3263" s="24" t="inlineStr">
        <is>
          <t>archive</t>
        </is>
      </c>
      <c r="E3263" s="24" t="inlineStr">
        <is>
          <t>归档</t>
        </is>
      </c>
    </row>
    <row r="3264">
      <c r="B3264" s="24" t="inlineStr">
        <is>
          <t>ButtonSetG</t>
        </is>
      </c>
      <c r="C3264" s="24" t="inlineStr">
        <is>
          <t>按钮组G（中小企业资格认定）</t>
        </is>
      </c>
      <c r="D3264" s="24" t="inlineStr">
        <is>
          <t>backStep</t>
        </is>
      </c>
      <c r="E3264" s="24" t="inlineStr">
        <is>
          <t>退回前一步</t>
        </is>
      </c>
    </row>
    <row r="3265">
      <c r="B3265" s="24" t="inlineStr">
        <is>
          <t>ButtonSetG</t>
        </is>
      </c>
      <c r="C3265" s="24" t="inlineStr">
        <is>
          <t>按钮组G（中小企业资格认定）</t>
        </is>
      </c>
      <c r="D3265" s="24" t="inlineStr">
        <is>
          <t>cancelApply</t>
        </is>
      </c>
      <c r="E3265" s="24" t="inlineStr">
        <is>
          <t>取消任务</t>
        </is>
      </c>
    </row>
    <row r="3266">
      <c r="B3266" s="24" t="inlineStr">
        <is>
          <t>ButtonSetG</t>
        </is>
      </c>
      <c r="C3266" s="24" t="inlineStr">
        <is>
          <t>按钮组G（中小企业资格认定）</t>
        </is>
      </c>
      <c r="D3266" s="24" t="inlineStr">
        <is>
          <t>cancelarch</t>
        </is>
      </c>
      <c r="E3266" s="24" t="inlineStr">
        <is>
          <t>取消归档</t>
        </is>
      </c>
    </row>
    <row r="3267">
      <c r="B3267" s="24" t="inlineStr">
        <is>
          <t>ButtonSetG</t>
        </is>
      </c>
      <c r="C3267" s="24" t="inlineStr">
        <is>
          <t>按钮组G（中小企业资格认定）</t>
        </is>
      </c>
      <c r="D3267" s="24" t="inlineStr">
        <is>
          <t>doSubmit</t>
        </is>
      </c>
      <c r="E3267" s="24" t="inlineStr">
        <is>
          <t>提交任务</t>
        </is>
      </c>
    </row>
    <row r="3268">
      <c r="B3268" s="24" t="inlineStr">
        <is>
          <t>ButtonSetG</t>
        </is>
      </c>
      <c r="C3268" s="24" t="inlineStr">
        <is>
          <t>按钮组G（中小企业资格认定）</t>
        </is>
      </c>
      <c r="D3268" s="24" t="inlineStr">
        <is>
          <t>newApply</t>
        </is>
      </c>
      <c r="E3268" s="24" t="inlineStr">
        <is>
          <t>新增申请</t>
        </is>
      </c>
    </row>
    <row r="3269">
      <c r="B3269" s="24" t="inlineStr">
        <is>
          <t>ButtonSetG</t>
        </is>
      </c>
      <c r="C3269" s="24" t="inlineStr">
        <is>
          <t>按钮组G（中小企业资格认定）</t>
        </is>
      </c>
      <c r="D3269" s="24" t="inlineStr">
        <is>
          <t>signOpinion</t>
        </is>
      </c>
      <c r="E3269" s="24" t="inlineStr">
        <is>
          <t>签署意见</t>
        </is>
      </c>
    </row>
    <row r="3270">
      <c r="B3270" s="24" t="inlineStr">
        <is>
          <t>ButtonSetG</t>
        </is>
      </c>
      <c r="C3270" s="24" t="inlineStr">
        <is>
          <t>按钮组G（中小企业资格认定）</t>
        </is>
      </c>
      <c r="D3270" s="24" t="inlineStr">
        <is>
          <t>takeBack</t>
        </is>
      </c>
      <c r="E3270" s="24" t="inlineStr">
        <is>
          <t>收回</t>
        </is>
      </c>
    </row>
    <row r="3271">
      <c r="B3271" s="24" t="inlineStr">
        <is>
          <t>ButtonSetG</t>
        </is>
      </c>
      <c r="C3271" s="24" t="inlineStr">
        <is>
          <t>按钮组G（中小企业资格认定）</t>
        </is>
      </c>
      <c r="D3271" s="24" t="inlineStr">
        <is>
          <t>viewDetail</t>
        </is>
      </c>
      <c r="E3271" s="24" t="inlineStr">
        <is>
          <t>申请详情</t>
        </is>
      </c>
    </row>
    <row r="3272">
      <c r="B3272" s="24" t="inlineStr">
        <is>
          <t>ButtonSetG</t>
        </is>
      </c>
      <c r="C3272" s="24" t="inlineStr">
        <is>
          <t>按钮组G（中小企业资格认定）</t>
        </is>
      </c>
      <c r="D3272" s="24" t="inlineStr">
        <is>
          <t>viewOpinions</t>
        </is>
      </c>
      <c r="E3272" s="24" t="inlineStr">
        <is>
          <t>查看意见</t>
        </is>
      </c>
    </row>
    <row r="3273">
      <c r="B3273" s="24" t="inlineStr">
        <is>
          <t>ButtonSetG</t>
        </is>
      </c>
      <c r="C3273" s="24" t="inlineStr">
        <is>
          <t>按钮组G（中小企业资格认定）</t>
        </is>
      </c>
      <c r="D3273" s="24" t="inlineStr">
        <is>
          <t>viewTab</t>
        </is>
      </c>
      <c r="E3273" s="24" t="inlineStr">
        <is>
          <t>客户详情</t>
        </is>
      </c>
    </row>
    <row r="3274" ht="15.95" customHeight="1" s="170">
      <c r="B3274" s="122" t="inlineStr">
        <is>
          <t>码值：ButtonSetH</t>
        </is>
      </c>
    </row>
    <row r="3275">
      <c r="B3275" s="24" t="inlineStr">
        <is>
          <t>ButtonSetH</t>
        </is>
      </c>
      <c r="C3275" s="24" t="inlineStr">
        <is>
          <t>按钮组H</t>
        </is>
      </c>
      <c r="D3275" s="24" t="inlineStr">
        <is>
          <t>archive</t>
        </is>
      </c>
      <c r="E3275" s="24" t="inlineStr">
        <is>
          <t>归档</t>
        </is>
      </c>
    </row>
    <row r="3276">
      <c r="B3276" s="24" t="inlineStr">
        <is>
          <t>ButtonSetH</t>
        </is>
      </c>
      <c r="C3276" s="24" t="inlineStr">
        <is>
          <t>按钮组H</t>
        </is>
      </c>
      <c r="D3276" s="24" t="inlineStr">
        <is>
          <t>backStep</t>
        </is>
      </c>
      <c r="E3276" s="24" t="inlineStr">
        <is>
          <t>退回前一步</t>
        </is>
      </c>
    </row>
    <row r="3277">
      <c r="B3277" s="24" t="inlineStr">
        <is>
          <t>ButtonSetH</t>
        </is>
      </c>
      <c r="C3277" s="24" t="inlineStr">
        <is>
          <t>按钮组H</t>
        </is>
      </c>
      <c r="D3277" s="24" t="inlineStr">
        <is>
          <t>cancelApply</t>
        </is>
      </c>
      <c r="E3277" s="24" t="inlineStr">
        <is>
          <t>取消申请</t>
        </is>
      </c>
    </row>
    <row r="3278">
      <c r="B3278" s="24" t="inlineStr">
        <is>
          <t>ButtonSetH</t>
        </is>
      </c>
      <c r="C3278" s="24" t="inlineStr">
        <is>
          <t>按钮组H</t>
        </is>
      </c>
      <c r="D3278" s="24" t="inlineStr">
        <is>
          <t>cancelarch</t>
        </is>
      </c>
      <c r="E3278" s="24" t="inlineStr">
        <is>
          <t>取消归档</t>
        </is>
      </c>
    </row>
    <row r="3279">
      <c r="B3279" s="24" t="inlineStr">
        <is>
          <t>ButtonSetH</t>
        </is>
      </c>
      <c r="C3279" s="24" t="inlineStr">
        <is>
          <t>按钮组H</t>
        </is>
      </c>
      <c r="D3279" s="24" t="inlineStr">
        <is>
          <t>doSubmit</t>
        </is>
      </c>
      <c r="E3279" s="24" t="inlineStr">
        <is>
          <t>提交</t>
        </is>
      </c>
    </row>
    <row r="3280">
      <c r="B3280" s="24" t="inlineStr">
        <is>
          <t>ButtonSetH</t>
        </is>
      </c>
      <c r="C3280" s="24" t="inlineStr">
        <is>
          <t>按钮组H</t>
        </is>
      </c>
      <c r="D3280" s="24" t="inlineStr">
        <is>
          <t>newApply</t>
        </is>
      </c>
      <c r="E3280" s="24" t="inlineStr">
        <is>
          <t>新增申请</t>
        </is>
      </c>
    </row>
    <row r="3281">
      <c r="B3281" s="24" t="inlineStr">
        <is>
          <t>ButtonSetH</t>
        </is>
      </c>
      <c r="C3281" s="24" t="inlineStr">
        <is>
          <t>按钮组H</t>
        </is>
      </c>
      <c r="D3281" s="24" t="inlineStr">
        <is>
          <t>reportBtn</t>
        </is>
      </c>
      <c r="E3281" s="24" t="inlineStr">
        <is>
          <t>检查报告预览</t>
        </is>
      </c>
    </row>
    <row r="3282">
      <c r="B3282" s="24" t="inlineStr">
        <is>
          <t>ButtonSetH</t>
        </is>
      </c>
      <c r="C3282" s="24" t="inlineStr">
        <is>
          <t>按钮组H</t>
        </is>
      </c>
      <c r="D3282" s="24" t="inlineStr">
        <is>
          <t>signOpinion</t>
        </is>
      </c>
      <c r="E3282" s="24" t="inlineStr">
        <is>
          <t>签署意见</t>
        </is>
      </c>
    </row>
    <row r="3283">
      <c r="B3283" s="24" t="inlineStr">
        <is>
          <t>ButtonSetH</t>
        </is>
      </c>
      <c r="C3283" s="24" t="inlineStr">
        <is>
          <t>按钮组H</t>
        </is>
      </c>
      <c r="D3283" s="24" t="inlineStr">
        <is>
          <t>submitBtn</t>
        </is>
      </c>
      <c r="E3283" s="24" t="inlineStr">
        <is>
          <t>提交任务</t>
        </is>
      </c>
    </row>
    <row r="3284">
      <c r="B3284" s="24" t="inlineStr">
        <is>
          <t>ButtonSetH</t>
        </is>
      </c>
      <c r="C3284" s="24" t="inlineStr">
        <is>
          <t>按钮组H</t>
        </is>
      </c>
      <c r="D3284" s="24" t="inlineStr">
        <is>
          <t>viewBtn</t>
        </is>
      </c>
      <c r="E3284" s="24" t="inlineStr">
        <is>
          <t>检查详情</t>
        </is>
      </c>
    </row>
    <row r="3285">
      <c r="B3285" s="24" t="inlineStr">
        <is>
          <t>ButtonSetH</t>
        </is>
      </c>
      <c r="C3285" s="24" t="inlineStr">
        <is>
          <t>按钮组H</t>
        </is>
      </c>
      <c r="D3285" s="24" t="inlineStr">
        <is>
          <t>viewCustomer</t>
        </is>
      </c>
      <c r="E3285" s="24" t="inlineStr">
        <is>
          <t>客户详情</t>
        </is>
      </c>
    </row>
    <row r="3286">
      <c r="B3286" s="24" t="inlineStr">
        <is>
          <t>ButtonSetH</t>
        </is>
      </c>
      <c r="C3286" s="24" t="inlineStr">
        <is>
          <t>按钮组H</t>
        </is>
      </c>
      <c r="D3286" s="24" t="inlineStr">
        <is>
          <t>viewOpinions</t>
        </is>
      </c>
      <c r="E3286" s="24" t="inlineStr">
        <is>
          <t>查看意见</t>
        </is>
      </c>
    </row>
    <row r="3287">
      <c r="B3287" s="24" t="inlineStr">
        <is>
          <t>ButtonSetH</t>
        </is>
      </c>
      <c r="C3287" s="24" t="inlineStr">
        <is>
          <t>按钮组H</t>
        </is>
      </c>
      <c r="D3287" s="24" t="inlineStr">
        <is>
          <t>viewTab</t>
        </is>
      </c>
      <c r="E3287" s="24" t="inlineStr">
        <is>
          <t>申请详情</t>
        </is>
      </c>
    </row>
    <row r="3288" ht="15.95" customHeight="1" s="170">
      <c r="B3288" s="122" t="inlineStr">
        <is>
          <t>码值：ButtonSetI</t>
        </is>
      </c>
    </row>
    <row r="3289">
      <c r="B3289" s="24" t="inlineStr">
        <is>
          <t>ButtonSetI</t>
        </is>
      </c>
      <c r="C3289" s="24" t="inlineStr">
        <is>
          <t>按钮组I(信用等级认定)</t>
        </is>
      </c>
      <c r="D3289" s="24" t="inlineStr">
        <is>
          <t>backStep</t>
        </is>
      </c>
      <c r="E3289" s="24" t="inlineStr">
        <is>
          <t>退回前一步</t>
        </is>
      </c>
    </row>
    <row r="3290">
      <c r="B3290" s="24" t="inlineStr">
        <is>
          <t>ButtonSetI</t>
        </is>
      </c>
      <c r="C3290" s="24" t="inlineStr">
        <is>
          <t>按钮组I(信用等级认定)</t>
        </is>
      </c>
      <c r="D3290" s="24" t="inlineStr">
        <is>
          <t>cancelApply</t>
        </is>
      </c>
      <c r="E3290" s="24" t="inlineStr">
        <is>
          <t>取消任务</t>
        </is>
      </c>
    </row>
    <row r="3291">
      <c r="B3291" s="24" t="inlineStr">
        <is>
          <t>ButtonSetI</t>
        </is>
      </c>
      <c r="C3291" s="24" t="inlineStr">
        <is>
          <t>按钮组I(信用等级认定)</t>
        </is>
      </c>
      <c r="D3291" s="24" t="inlineStr">
        <is>
          <t>completeTask</t>
        </is>
      </c>
      <c r="E3291" s="24" t="inlineStr">
        <is>
          <t>提交任务</t>
        </is>
      </c>
    </row>
    <row r="3292">
      <c r="B3292" s="24" t="inlineStr">
        <is>
          <t>ButtonSetI</t>
        </is>
      </c>
      <c r="C3292" s="24" t="inlineStr">
        <is>
          <t>按钮组I(信用等级认定)</t>
        </is>
      </c>
      <c r="D3292" s="24" t="inlineStr">
        <is>
          <t>creditCheck</t>
        </is>
      </c>
      <c r="E3292" s="24" t="inlineStr">
        <is>
          <t>额度检查</t>
        </is>
      </c>
    </row>
    <row r="3293">
      <c r="B3293" s="24" t="inlineStr">
        <is>
          <t>ButtonSetI</t>
        </is>
      </c>
      <c r="C3293" s="24" t="inlineStr">
        <is>
          <t>按钮组I(信用等级认定)</t>
        </is>
      </c>
      <c r="D3293" s="24" t="inlineStr">
        <is>
          <t>detailModel</t>
        </is>
      </c>
      <c r="E3293" s="24" t="inlineStr">
        <is>
          <t>查看模型</t>
        </is>
      </c>
    </row>
    <row r="3294">
      <c r="B3294" s="24" t="inlineStr">
        <is>
          <t>ButtonSetI</t>
        </is>
      </c>
      <c r="C3294" s="24" t="inlineStr">
        <is>
          <t>按钮组I(信用等级认定)</t>
        </is>
      </c>
      <c r="D3294" s="24" t="inlineStr">
        <is>
          <t>detailOpinion</t>
        </is>
      </c>
      <c r="E3294" s="24" t="inlineStr">
        <is>
          <t>查看审批意见</t>
        </is>
      </c>
    </row>
    <row r="3295">
      <c r="B3295" s="24" t="inlineStr">
        <is>
          <t>ButtonSetI</t>
        </is>
      </c>
      <c r="C3295" s="24" t="inlineStr">
        <is>
          <t>按钮组I(信用等级认定)</t>
        </is>
      </c>
      <c r="D3295" s="24" t="inlineStr">
        <is>
          <t>doSubmit</t>
        </is>
      </c>
      <c r="E3295" s="24" t="inlineStr">
        <is>
          <t>提交任务</t>
        </is>
      </c>
    </row>
    <row r="3296">
      <c r="B3296" s="24" t="inlineStr">
        <is>
          <t>ButtonSetI</t>
        </is>
      </c>
      <c r="C3296" s="24" t="inlineStr">
        <is>
          <t>按钮组I(信用等级认定)</t>
        </is>
      </c>
      <c r="D3296" s="24" t="inlineStr">
        <is>
          <t>getCeiling</t>
        </is>
      </c>
      <c r="E3296" s="24" t="inlineStr">
        <is>
          <t>限额测算</t>
        </is>
      </c>
    </row>
    <row r="3297">
      <c r="B3297" s="24" t="inlineStr">
        <is>
          <t>ButtonSetI</t>
        </is>
      </c>
      <c r="C3297" s="24" t="inlineStr">
        <is>
          <t>按钮组I(信用等级认定)</t>
        </is>
      </c>
      <c r="D3297" s="24" t="inlineStr">
        <is>
          <t>newApply</t>
        </is>
      </c>
      <c r="E3297" s="24" t="inlineStr">
        <is>
          <t>新增申请</t>
        </is>
      </c>
    </row>
    <row r="3298">
      <c r="B3298" s="24" t="inlineStr">
        <is>
          <t>ButtonSetI</t>
        </is>
      </c>
      <c r="C3298" s="24" t="inlineStr">
        <is>
          <t>按钮组I(信用等级认定)</t>
        </is>
      </c>
      <c r="D3298" s="24" t="inlineStr">
        <is>
          <t>signOpinion</t>
        </is>
      </c>
      <c r="E3298" s="24" t="inlineStr">
        <is>
          <t>签署意见</t>
        </is>
      </c>
    </row>
    <row r="3299">
      <c r="B3299" s="24" t="inlineStr">
        <is>
          <t>ButtonSetI</t>
        </is>
      </c>
      <c r="C3299" s="24" t="inlineStr">
        <is>
          <t>按钮组I(信用等级认定)</t>
        </is>
      </c>
      <c r="D3299" s="24" t="inlineStr">
        <is>
          <t>viewApply</t>
        </is>
      </c>
      <c r="E3299" s="24" t="inlineStr">
        <is>
          <t>申请详情</t>
        </is>
      </c>
    </row>
    <row r="3300">
      <c r="B3300" s="24" t="inlineStr">
        <is>
          <t>ButtonSetI</t>
        </is>
      </c>
      <c r="C3300" s="24" t="inlineStr">
        <is>
          <t>按钮组I(信用等级认定)</t>
        </is>
      </c>
      <c r="D3300" s="24" t="inlineStr">
        <is>
          <t>viewCustomer</t>
        </is>
      </c>
      <c r="E3300" s="24" t="inlineStr">
        <is>
          <t>查看客户详情</t>
        </is>
      </c>
    </row>
    <row r="3301">
      <c r="B3301" s="24" t="inlineStr">
        <is>
          <t>ButtonSetI</t>
        </is>
      </c>
      <c r="C3301" s="24" t="inlineStr">
        <is>
          <t>按钮组I(信用等级认定)</t>
        </is>
      </c>
      <c r="D3301" s="24" t="inlineStr">
        <is>
          <t>viewDetail</t>
        </is>
      </c>
      <c r="E3301" s="24" t="inlineStr">
        <is>
          <t>模型评定</t>
        </is>
      </c>
    </row>
    <row r="3302">
      <c r="B3302" s="24" t="inlineStr">
        <is>
          <t>ButtonSetI</t>
        </is>
      </c>
      <c r="C3302" s="24" t="inlineStr">
        <is>
          <t>按钮组I(信用等级认定)</t>
        </is>
      </c>
      <c r="D3302" s="24" t="inlineStr">
        <is>
          <t>viewOpinions</t>
        </is>
      </c>
      <c r="E3302" s="24" t="inlineStr">
        <is>
          <t>查看意见</t>
        </is>
      </c>
    </row>
    <row r="3303">
      <c r="B3303" s="24" t="inlineStr">
        <is>
          <t>ButtonSetI</t>
        </is>
      </c>
      <c r="C3303" s="24" t="inlineStr">
        <is>
          <t>按钮组I(信用等级认定)</t>
        </is>
      </c>
      <c r="D3303" s="24" t="inlineStr">
        <is>
          <t>viewTab</t>
        </is>
      </c>
      <c r="E3303" s="24" t="inlineStr">
        <is>
          <t>申请详情</t>
        </is>
      </c>
    </row>
    <row r="3304" ht="15.95" customHeight="1" s="170">
      <c r="B3304" s="122" t="inlineStr">
        <is>
          <t>码值：GroupView</t>
        </is>
      </c>
    </row>
    <row r="3305">
      <c r="B3305" s="24" t="inlineStr">
        <is>
          <t>GroupView</t>
        </is>
      </c>
      <c r="C3305" s="24" t="inlineStr">
        <is>
          <t>关联集团详情视图</t>
        </is>
      </c>
      <c r="D3305" s="24" t="inlineStr">
        <is>
          <t>010</t>
        </is>
      </c>
      <c r="E3305" s="24" t="inlineStr">
        <is>
          <t>集团概况</t>
        </is>
      </c>
    </row>
    <row r="3306">
      <c r="B3306" s="24" t="inlineStr">
        <is>
          <t>GroupView</t>
        </is>
      </c>
      <c r="C3306" s="24" t="inlineStr">
        <is>
          <t>关联集团详情视图</t>
        </is>
      </c>
      <c r="D3306" s="24" t="inlineStr">
        <is>
          <t>020</t>
        </is>
      </c>
      <c r="E3306" s="24" t="inlineStr">
        <is>
          <t>集团家谱</t>
        </is>
      </c>
    </row>
    <row r="3307">
      <c r="B3307" s="24" t="inlineStr">
        <is>
          <t>GroupView</t>
        </is>
      </c>
      <c r="C3307" s="24" t="inlineStr">
        <is>
          <t>关联集团详情视图</t>
        </is>
      </c>
      <c r="D3307" s="24" t="inlineStr">
        <is>
          <t>030</t>
        </is>
      </c>
      <c r="E3307" s="24" t="inlineStr">
        <is>
          <t>集团家谱最新已认定成员</t>
        </is>
      </c>
    </row>
    <row r="3308">
      <c r="B3308" s="24" t="inlineStr">
        <is>
          <t>GroupView</t>
        </is>
      </c>
      <c r="C3308" s="24" t="inlineStr">
        <is>
          <t>关联集团详情视图</t>
        </is>
      </c>
      <c r="D3308" s="24" t="inlineStr">
        <is>
          <t>040</t>
        </is>
      </c>
      <c r="E3308" s="24" t="inlineStr">
        <is>
          <t>集团家谱历次已认定版本</t>
        </is>
      </c>
    </row>
    <row r="3309">
      <c r="B3309" s="24" t="inlineStr">
        <is>
          <t>GroupView</t>
        </is>
      </c>
      <c r="C3309" s="24" t="inlineStr">
        <is>
          <t>关联集团详情视图</t>
        </is>
      </c>
      <c r="D3309" s="24" t="inlineStr">
        <is>
          <t>050</t>
        </is>
      </c>
      <c r="E3309" s="24" t="inlineStr">
        <is>
          <t>集团授信情况</t>
        </is>
      </c>
    </row>
    <row r="3310">
      <c r="B3310" s="24" t="inlineStr">
        <is>
          <t>GroupView</t>
        </is>
      </c>
      <c r="C3310" s="24" t="inlineStr">
        <is>
          <t>关联集团详情视图</t>
        </is>
      </c>
      <c r="D3310" s="24" t="inlineStr">
        <is>
          <t>060</t>
        </is>
      </c>
      <c r="E3310" s="24" t="inlineStr">
        <is>
          <t>集团变更历史</t>
        </is>
      </c>
    </row>
    <row r="3311" ht="15.95" customHeight="1" s="170">
      <c r="B3311" s="122" t="inlineStr">
        <is>
          <t>码值：ButtonSetK</t>
        </is>
      </c>
    </row>
    <row r="3312">
      <c r="B3312" s="24" t="inlineStr">
        <is>
          <t>ButtonSetK</t>
        </is>
      </c>
      <c r="C3312" s="24" t="inlineStr">
        <is>
          <t>按钮组K(支付相关)</t>
        </is>
      </c>
      <c r="D3312" s="24" t="inlineStr">
        <is>
          <t>archive</t>
        </is>
      </c>
      <c r="E3312" s="24" t="inlineStr">
        <is>
          <t>归档</t>
        </is>
      </c>
    </row>
    <row r="3313">
      <c r="B3313" s="24" t="inlineStr">
        <is>
          <t>ButtonSetK</t>
        </is>
      </c>
      <c r="C3313" s="24" t="inlineStr">
        <is>
          <t>按钮组K(支付相关)</t>
        </is>
      </c>
      <c r="D3313" s="24" t="inlineStr">
        <is>
          <t>backStep</t>
        </is>
      </c>
      <c r="E3313" s="24" t="inlineStr">
        <is>
          <t>退回前一步</t>
        </is>
      </c>
    </row>
    <row r="3314">
      <c r="B3314" s="24" t="inlineStr">
        <is>
          <t>ButtonSetK</t>
        </is>
      </c>
      <c r="C3314" s="24" t="inlineStr">
        <is>
          <t>按钮组K(支付相关)</t>
        </is>
      </c>
      <c r="D3314" s="24" t="inlineStr">
        <is>
          <t>cancelApply</t>
        </is>
      </c>
      <c r="E3314" s="24" t="inlineStr">
        <is>
          <t>取消申请</t>
        </is>
      </c>
    </row>
    <row r="3315">
      <c r="B3315" s="24" t="inlineStr">
        <is>
          <t>ButtonSetK</t>
        </is>
      </c>
      <c r="C3315" s="24" t="inlineStr">
        <is>
          <t>按钮组K(支付相关)</t>
        </is>
      </c>
      <c r="D3315" s="24" t="inlineStr">
        <is>
          <t>cancelarch</t>
        </is>
      </c>
      <c r="E3315" s="24" t="inlineStr">
        <is>
          <t>取消归档</t>
        </is>
      </c>
    </row>
    <row r="3316">
      <c r="B3316" s="24" t="inlineStr">
        <is>
          <t>ButtonSetK</t>
        </is>
      </c>
      <c r="C3316" s="24" t="inlineStr">
        <is>
          <t>按钮组K(支付相关)</t>
        </is>
      </c>
      <c r="D3316" s="24" t="inlineStr">
        <is>
          <t>doSubmit</t>
        </is>
      </c>
      <c r="E3316" s="24" t="inlineStr">
        <is>
          <t>提交</t>
        </is>
      </c>
    </row>
    <row r="3317">
      <c r="B3317" s="24" t="inlineStr">
        <is>
          <t>ButtonSetK</t>
        </is>
      </c>
      <c r="C3317" s="24" t="inlineStr">
        <is>
          <t>按钮组K(支付相关)</t>
        </is>
      </c>
      <c r="D3317" s="24" t="inlineStr">
        <is>
          <t>newApply</t>
        </is>
      </c>
      <c r="E3317" s="24" t="inlineStr">
        <is>
          <t>新增支付申请</t>
        </is>
      </c>
    </row>
    <row r="3318">
      <c r="B3318" s="24" t="inlineStr">
        <is>
          <t>ButtonSetK</t>
        </is>
      </c>
      <c r="C3318" s="24" t="inlineStr">
        <is>
          <t>按钮组K(支付相关)</t>
        </is>
      </c>
      <c r="D3318" s="24" t="inlineStr">
        <is>
          <t>riskSkan</t>
        </is>
      </c>
      <c r="E3318" s="24" t="inlineStr">
        <is>
          <t>检测业务风险</t>
        </is>
      </c>
    </row>
    <row r="3319">
      <c r="B3319" s="24" t="inlineStr">
        <is>
          <t>ButtonSetK</t>
        </is>
      </c>
      <c r="C3319" s="24" t="inlineStr">
        <is>
          <t>按钮组K(支付相关)</t>
        </is>
      </c>
      <c r="D3319" s="24" t="inlineStr">
        <is>
          <t>signOpinion</t>
        </is>
      </c>
      <c r="E3319" s="24" t="inlineStr">
        <is>
          <t>签署意见</t>
        </is>
      </c>
    </row>
    <row r="3320">
      <c r="B3320" s="24" t="inlineStr">
        <is>
          <t>ButtonSetK</t>
        </is>
      </c>
      <c r="C3320" s="24" t="inlineStr">
        <is>
          <t>按钮组K(支付相关)</t>
        </is>
      </c>
      <c r="D3320" s="24" t="inlineStr">
        <is>
          <t>viewOpinions</t>
        </is>
      </c>
      <c r="E3320" s="24" t="inlineStr">
        <is>
          <t>查看意见</t>
        </is>
      </c>
    </row>
    <row r="3321">
      <c r="B3321" s="24" t="inlineStr">
        <is>
          <t>ButtonSetK</t>
        </is>
      </c>
      <c r="C3321" s="24" t="inlineStr">
        <is>
          <t>按钮组K(支付相关)</t>
        </is>
      </c>
      <c r="D3321" s="24" t="inlineStr">
        <is>
          <t>viewPayment</t>
        </is>
      </c>
      <c r="E3321" s="24" t="inlineStr">
        <is>
          <t>查看支付申请表</t>
        </is>
      </c>
    </row>
    <row r="3322">
      <c r="B3322" s="24" t="inlineStr">
        <is>
          <t>ButtonSetK</t>
        </is>
      </c>
      <c r="C3322" s="24" t="inlineStr">
        <is>
          <t>按钮组K(支付相关)</t>
        </is>
      </c>
      <c r="D3322" s="24" t="inlineStr">
        <is>
          <t>viewPutout</t>
        </is>
      </c>
      <c r="E3322" s="24" t="inlineStr">
        <is>
          <t>出帐详情</t>
        </is>
      </c>
    </row>
    <row r="3323">
      <c r="B3323" s="24" t="inlineStr">
        <is>
          <t>ButtonSetK</t>
        </is>
      </c>
      <c r="C3323" s="24" t="inlineStr">
        <is>
          <t>按钮组K(支付相关)</t>
        </is>
      </c>
      <c r="D3323" s="24" t="inlineStr">
        <is>
          <t>viewTab</t>
        </is>
      </c>
      <c r="E3323" s="24" t="inlineStr">
        <is>
          <t>支付申请详情</t>
        </is>
      </c>
    </row>
    <row r="3324" ht="15.95" customHeight="1" s="170">
      <c r="B3324" s="122" t="inlineStr">
        <is>
          <t>码值：ButtonSetM</t>
        </is>
      </c>
    </row>
    <row r="3325">
      <c r="B3325" s="24" t="inlineStr">
        <is>
          <t>ButtonSetM</t>
        </is>
      </c>
      <c r="C3325" s="24" t="inlineStr">
        <is>
          <t>按钮组M(五级分类)</t>
        </is>
      </c>
      <c r="D3325" s="24" t="inlineStr">
        <is>
          <t>backStep</t>
        </is>
      </c>
      <c r="E3325" s="24" t="inlineStr">
        <is>
          <t>退回前一步</t>
        </is>
      </c>
    </row>
    <row r="3326">
      <c r="B3326" s="24" t="inlineStr">
        <is>
          <t>ButtonSetM</t>
        </is>
      </c>
      <c r="C3326" s="24" t="inlineStr">
        <is>
          <t>按钮组M(五级分类)</t>
        </is>
      </c>
      <c r="D3326" s="24" t="inlineStr">
        <is>
          <t>cancelApply</t>
        </is>
      </c>
      <c r="E3326" s="24" t="inlineStr">
        <is>
          <t>取消分类</t>
        </is>
      </c>
    </row>
    <row r="3327">
      <c r="B3327" s="24" t="inlineStr">
        <is>
          <t>ButtonSetM</t>
        </is>
      </c>
      <c r="C3327" s="24" t="inlineStr">
        <is>
          <t>按钮组M(五级分类)</t>
        </is>
      </c>
      <c r="D3327" s="24" t="inlineStr">
        <is>
          <t>completeClassify</t>
        </is>
      </c>
      <c r="E3327" s="24" t="inlineStr">
        <is>
          <t>提交</t>
        </is>
      </c>
    </row>
    <row r="3328">
      <c r="B3328" s="24" t="inlineStr">
        <is>
          <t>ButtonSetM</t>
        </is>
      </c>
      <c r="C3328" s="24" t="inlineStr">
        <is>
          <t>按钮组M(五级分类)</t>
        </is>
      </c>
      <c r="D3328" s="24" t="inlineStr">
        <is>
          <t>detailFlow</t>
        </is>
      </c>
      <c r="E3328" s="24" t="inlineStr">
        <is>
          <t>流程查看</t>
        </is>
      </c>
    </row>
    <row r="3329">
      <c r="B3329" s="24" t="inlineStr">
        <is>
          <t>ButtonSetM</t>
        </is>
      </c>
      <c r="C3329" s="24" t="inlineStr">
        <is>
          <t>按钮组M(五级分类)</t>
        </is>
      </c>
      <c r="D3329" s="24" t="inlineStr">
        <is>
          <t>detailOpinion</t>
        </is>
      </c>
      <c r="E3329" s="24" t="inlineStr">
        <is>
          <t>查看意见</t>
        </is>
      </c>
    </row>
    <row r="3330">
      <c r="B3330" s="24" t="inlineStr">
        <is>
          <t>ButtonSetM</t>
        </is>
      </c>
      <c r="C3330" s="24" t="inlineStr">
        <is>
          <t>按钮组M(五级分类)</t>
        </is>
      </c>
      <c r="D3330" s="24" t="inlineStr">
        <is>
          <t>doSubmit</t>
        </is>
      </c>
      <c r="E3330" s="24" t="inlineStr">
        <is>
          <t>提交申请</t>
        </is>
      </c>
    </row>
    <row r="3331">
      <c r="B3331" s="24" t="inlineStr">
        <is>
          <t>ButtonSetM</t>
        </is>
      </c>
      <c r="C3331" s="24" t="inlineStr">
        <is>
          <t>按钮组M(五级分类)</t>
        </is>
      </c>
      <c r="D3331" s="24" t="inlineStr">
        <is>
          <t>modelClassify</t>
        </is>
      </c>
      <c r="E3331" s="24" t="inlineStr">
        <is>
          <t>分类详情</t>
        </is>
      </c>
    </row>
    <row r="3332">
      <c r="B3332" s="24" t="inlineStr">
        <is>
          <t>ButtonSetM</t>
        </is>
      </c>
      <c r="C3332" s="24" t="inlineStr">
        <is>
          <t>按钮组M(五级分类)</t>
        </is>
      </c>
      <c r="D3332" s="24" t="inlineStr">
        <is>
          <t>newClassify</t>
        </is>
      </c>
      <c r="E3332" s="24" t="inlineStr">
        <is>
          <t>新增分类</t>
        </is>
      </c>
    </row>
    <row r="3333">
      <c r="B3333" s="24" t="inlineStr">
        <is>
          <t>ButtonSetM</t>
        </is>
      </c>
      <c r="C3333" s="24" t="inlineStr">
        <is>
          <t>按钮组M(五级分类)</t>
        </is>
      </c>
      <c r="D3333" s="24" t="inlineStr">
        <is>
          <t>signOpinion</t>
        </is>
      </c>
      <c r="E3333" s="24" t="inlineStr">
        <is>
          <t>签署意见</t>
        </is>
      </c>
    </row>
    <row r="3334">
      <c r="B3334" s="24" t="inlineStr">
        <is>
          <t>ButtonSetM</t>
        </is>
      </c>
      <c r="C3334" s="24" t="inlineStr">
        <is>
          <t>按钮组M(五级分类)</t>
        </is>
      </c>
      <c r="D3334" s="24" t="inlineStr">
        <is>
          <t>takeBack</t>
        </is>
      </c>
      <c r="E3334" s="24" t="inlineStr">
        <is>
          <t>回退任务</t>
        </is>
      </c>
    </row>
    <row r="3335">
      <c r="B3335" s="24" t="inlineStr">
        <is>
          <t>ButtonSetM</t>
        </is>
      </c>
      <c r="C3335" s="24" t="inlineStr">
        <is>
          <t>按钮组M(五级分类)</t>
        </is>
      </c>
      <c r="D3335" s="24" t="inlineStr">
        <is>
          <t>viewDetail</t>
        </is>
      </c>
      <c r="E3335" s="24" t="inlineStr">
        <is>
          <t>模型分类</t>
        </is>
      </c>
    </row>
    <row r="3336">
      <c r="B3336" s="24" t="inlineStr">
        <is>
          <t>ButtonSetM</t>
        </is>
      </c>
      <c r="C3336" s="24" t="inlineStr">
        <is>
          <t>按钮组M(五级分类)</t>
        </is>
      </c>
      <c r="D3336" s="24" t="inlineStr">
        <is>
          <t>viewTab</t>
        </is>
      </c>
      <c r="E3336" s="24" t="inlineStr">
        <is>
          <t>申请详情</t>
        </is>
      </c>
    </row>
    <row r="3337" ht="15.95" customHeight="1" s="170">
      <c r="B3337" s="122" t="inlineStr">
        <is>
          <t>码值：ButtonSetN</t>
        </is>
      </c>
    </row>
    <row r="3338">
      <c r="B3338" s="24" t="inlineStr">
        <is>
          <t>ButtonSetN</t>
        </is>
      </c>
      <c r="C3338" s="24" t="inlineStr">
        <is>
          <t>按钮组N(单项认定申请、审查审)</t>
        </is>
      </c>
      <c r="D3338" s="24" t="inlineStr">
        <is>
          <t>archive</t>
        </is>
      </c>
      <c r="E3338" s="24" t="inlineStr">
        <is>
          <t>归档</t>
        </is>
      </c>
    </row>
    <row r="3339">
      <c r="B3339" s="24" t="inlineStr">
        <is>
          <t>ButtonSetN</t>
        </is>
      </c>
      <c r="C3339" s="24" t="inlineStr">
        <is>
          <t>按钮组N(单项认定申请、审查审)</t>
        </is>
      </c>
      <c r="D3339" s="24" t="inlineStr">
        <is>
          <t>backStep</t>
        </is>
      </c>
      <c r="E3339" s="24" t="inlineStr">
        <is>
          <t>退回前一步</t>
        </is>
      </c>
    </row>
    <row r="3340">
      <c r="B3340" s="24" t="inlineStr">
        <is>
          <t>ButtonSetN</t>
        </is>
      </c>
      <c r="C3340" s="24" t="inlineStr">
        <is>
          <t>按钮组N(单项认定申请、审查审)</t>
        </is>
      </c>
      <c r="D3340" s="24" t="inlineStr">
        <is>
          <t>calReserve</t>
        </is>
      </c>
      <c r="E3340" s="24" t="inlineStr">
        <is>
          <t>减值准备计算</t>
        </is>
      </c>
    </row>
    <row r="3341">
      <c r="B3341" s="24" t="inlineStr">
        <is>
          <t>ButtonSetN</t>
        </is>
      </c>
      <c r="C3341" s="24" t="inlineStr">
        <is>
          <t>按钮组N(单项认定申请、审查审)</t>
        </is>
      </c>
      <c r="D3341" s="24" t="inlineStr">
        <is>
          <t>cancelApply</t>
        </is>
      </c>
      <c r="E3341" s="24" t="inlineStr">
        <is>
          <t>取消申请</t>
        </is>
      </c>
    </row>
    <row r="3342">
      <c r="B3342" s="24" t="inlineStr">
        <is>
          <t>ButtonSetN</t>
        </is>
      </c>
      <c r="C3342" s="24" t="inlineStr">
        <is>
          <t>按钮组N(单项认定申请、审查审)</t>
        </is>
      </c>
      <c r="D3342" s="24" t="inlineStr">
        <is>
          <t>cancelarch</t>
        </is>
      </c>
      <c r="E3342" s="24" t="inlineStr">
        <is>
          <t>取消归档</t>
        </is>
      </c>
    </row>
    <row r="3343">
      <c r="B3343" s="24" t="inlineStr">
        <is>
          <t>ButtonSetN</t>
        </is>
      </c>
      <c r="C3343" s="24" t="inlineStr">
        <is>
          <t>按钮组N(单项认定申请、审查审)</t>
        </is>
      </c>
      <c r="D3343" s="24" t="inlineStr">
        <is>
          <t>changeCalculateFlag</t>
        </is>
      </c>
      <c r="E3343" s="24" t="inlineStr">
        <is>
          <t>单项计提转组合计提</t>
        </is>
      </c>
    </row>
    <row r="3344">
      <c r="B3344" s="24" t="inlineStr">
        <is>
          <t>ButtonSetN</t>
        </is>
      </c>
      <c r="C3344" s="24" t="inlineStr">
        <is>
          <t>按钮组N(单项认定申请、审查审)</t>
        </is>
      </c>
      <c r="D3344" s="24" t="inlineStr">
        <is>
          <t>doSubmit</t>
        </is>
      </c>
      <c r="E3344" s="24" t="inlineStr">
        <is>
          <t>认定提交</t>
        </is>
      </c>
    </row>
    <row r="3345">
      <c r="B3345" s="24" t="inlineStr">
        <is>
          <t>ButtonSetN</t>
        </is>
      </c>
      <c r="C3345" s="24" t="inlineStr">
        <is>
          <t>按钮组N(单项认定申请、审查审)</t>
        </is>
      </c>
      <c r="D3345" s="24" t="inlineStr">
        <is>
          <t>newApply</t>
        </is>
      </c>
      <c r="E3345" s="24" t="inlineStr">
        <is>
          <t>新增申请</t>
        </is>
      </c>
    </row>
    <row r="3346">
      <c r="B3346" s="24" t="inlineStr">
        <is>
          <t>ButtonSetN</t>
        </is>
      </c>
      <c r="C3346" s="24" t="inlineStr">
        <is>
          <t>按钮组N(单项认定申请、审查审)</t>
        </is>
      </c>
      <c r="D3346" s="24" t="inlineStr">
        <is>
          <t>predictInfo</t>
        </is>
      </c>
      <c r="E3346" s="24" t="inlineStr">
        <is>
          <t>预测未来现金流</t>
        </is>
      </c>
    </row>
    <row r="3347">
      <c r="B3347" s="24" t="inlineStr">
        <is>
          <t>ButtonSetN</t>
        </is>
      </c>
      <c r="C3347" s="24" t="inlineStr">
        <is>
          <t>按钮组N(单项认定申请、审查审)</t>
        </is>
      </c>
      <c r="D3347" s="24" t="inlineStr">
        <is>
          <t>signOpinion</t>
        </is>
      </c>
      <c r="E3347" s="24" t="inlineStr">
        <is>
          <t>签署意见</t>
        </is>
      </c>
    </row>
    <row r="3348">
      <c r="B3348" s="24" t="inlineStr">
        <is>
          <t>ButtonSetN</t>
        </is>
      </c>
      <c r="C3348" s="24" t="inlineStr">
        <is>
          <t>按钮组N(单项认定申请、审查审)</t>
        </is>
      </c>
      <c r="D3348" s="24" t="inlineStr">
        <is>
          <t>takeBack</t>
        </is>
      </c>
      <c r="E3348" s="24" t="inlineStr">
        <is>
          <t>收回</t>
        </is>
      </c>
    </row>
    <row r="3349">
      <c r="B3349" s="24" t="inlineStr">
        <is>
          <t>ButtonSetN</t>
        </is>
      </c>
      <c r="C3349" s="24" t="inlineStr">
        <is>
          <t>按钮组N(单项认定申请、审查审)</t>
        </is>
      </c>
      <c r="D3349" s="24" t="inlineStr">
        <is>
          <t>viewOpinions</t>
        </is>
      </c>
      <c r="E3349" s="24" t="inlineStr">
        <is>
          <t>查看意见</t>
        </is>
      </c>
    </row>
    <row r="3350">
      <c r="B3350" s="24" t="inlineStr">
        <is>
          <t>ButtonSetN</t>
        </is>
      </c>
      <c r="C3350" s="24" t="inlineStr">
        <is>
          <t>按钮组N(单项认定申请、审查审)</t>
        </is>
      </c>
      <c r="D3350" s="24" t="inlineStr">
        <is>
          <t>viewTab</t>
        </is>
      </c>
      <c r="E3350" s="24" t="inlineStr">
        <is>
          <t>申请详情</t>
        </is>
      </c>
    </row>
    <row r="3351" ht="15.95" customHeight="1" s="170">
      <c r="B3351" s="122" t="inlineStr">
        <is>
          <t>码值：CreditRecord</t>
        </is>
      </c>
    </row>
    <row r="3352">
      <c r="B3352" s="24" t="inlineStr">
        <is>
          <t>CreditRecord</t>
        </is>
      </c>
      <c r="C3352" s="24" t="inlineStr">
        <is>
          <t>信用记录</t>
        </is>
      </c>
      <c r="D3352" s="24" t="inlineStr">
        <is>
          <t>010</t>
        </is>
      </c>
      <c r="E3352" s="24" t="inlineStr">
        <is>
          <t>近三年有业务往来，无不良信用记录</t>
        </is>
      </c>
    </row>
    <row r="3353">
      <c r="B3353" s="24" t="inlineStr">
        <is>
          <t>CreditRecord</t>
        </is>
      </c>
      <c r="C3353" s="24" t="inlineStr">
        <is>
          <t>信用记录</t>
        </is>
      </c>
      <c r="D3353" s="24" t="inlineStr">
        <is>
          <t>020</t>
        </is>
      </c>
      <c r="E3353" s="24" t="inlineStr">
        <is>
          <t>近三年无业务往来，无记录</t>
        </is>
      </c>
    </row>
    <row r="3354">
      <c r="B3354" s="24" t="inlineStr">
        <is>
          <t>CreditRecord</t>
        </is>
      </c>
      <c r="C3354" s="24" t="inlineStr">
        <is>
          <t>信用记录</t>
        </is>
      </c>
      <c r="D3354" s="24" t="inlineStr">
        <is>
          <t>030</t>
        </is>
      </c>
      <c r="E3354" s="24" t="inlineStr">
        <is>
          <t>近三年有业务往来，仅有不可抗力形成的不良信用记录</t>
        </is>
      </c>
    </row>
    <row r="3355">
      <c r="B3355" s="24" t="inlineStr">
        <is>
          <t>CreditRecord</t>
        </is>
      </c>
      <c r="C3355" s="24" t="inlineStr">
        <is>
          <t>信用记录</t>
        </is>
      </c>
      <c r="D3355" s="24" t="inlineStr">
        <is>
          <t>040</t>
        </is>
      </c>
      <c r="E3355" s="24" t="inlineStr">
        <is>
          <t>近三年有业务往来，有一次以上（含）除不可抗力以外的因素形成的不良信用记录</t>
        </is>
      </c>
    </row>
    <row r="3356" ht="15.95" customHeight="1" s="170">
      <c r="B3356" s="122" t="inlineStr">
        <is>
          <t>码值：TaxType</t>
        </is>
      </c>
    </row>
    <row r="3357">
      <c r="B3357" s="24" t="inlineStr">
        <is>
          <t>TaxType</t>
        </is>
      </c>
      <c r="C3357" s="24" t="inlineStr">
        <is>
          <t>企业税种</t>
        </is>
      </c>
      <c r="D3357" s="24" t="inlineStr">
        <is>
          <t>010</t>
        </is>
      </c>
      <c r="E3357" s="24" t="inlineStr">
        <is>
          <t>个人所得税</t>
        </is>
      </c>
    </row>
    <row r="3358">
      <c r="B3358" s="24" t="inlineStr">
        <is>
          <t>TaxType</t>
        </is>
      </c>
      <c r="C3358" s="24" t="inlineStr">
        <is>
          <t>企业税种</t>
        </is>
      </c>
      <c r="D3358" s="24" t="inlineStr">
        <is>
          <t>020</t>
        </is>
      </c>
      <c r="E3358" s="24" t="inlineStr">
        <is>
          <t>印花税</t>
        </is>
      </c>
    </row>
    <row r="3359">
      <c r="B3359" s="24" t="inlineStr">
        <is>
          <t>TaxType</t>
        </is>
      </c>
      <c r="C3359" s="24" t="inlineStr">
        <is>
          <t>企业税种</t>
        </is>
      </c>
      <c r="D3359" s="24" t="inlineStr">
        <is>
          <t>030</t>
        </is>
      </c>
      <c r="E3359" s="24" t="inlineStr">
        <is>
          <t>房产税</t>
        </is>
      </c>
    </row>
    <row r="3360">
      <c r="B3360" s="24" t="inlineStr">
        <is>
          <t>TaxType</t>
        </is>
      </c>
      <c r="C3360" s="24" t="inlineStr">
        <is>
          <t>企业税种</t>
        </is>
      </c>
      <c r="D3360" s="24" t="inlineStr">
        <is>
          <t>040</t>
        </is>
      </c>
      <c r="E3360" s="24" t="inlineStr">
        <is>
          <t>营业税</t>
        </is>
      </c>
    </row>
    <row r="3361">
      <c r="B3361" s="24" t="inlineStr">
        <is>
          <t>TaxType</t>
        </is>
      </c>
      <c r="C3361" s="24" t="inlineStr">
        <is>
          <t>企业税种</t>
        </is>
      </c>
      <c r="D3361" s="24" t="inlineStr">
        <is>
          <t>050</t>
        </is>
      </c>
      <c r="E3361" s="24" t="inlineStr">
        <is>
          <t>车辆购置税</t>
        </is>
      </c>
    </row>
    <row r="3362">
      <c r="B3362" s="24" t="inlineStr">
        <is>
          <t>TaxType</t>
        </is>
      </c>
      <c r="C3362" s="24" t="inlineStr">
        <is>
          <t>企业税种</t>
        </is>
      </c>
      <c r="D3362" s="24" t="inlineStr">
        <is>
          <t>060</t>
        </is>
      </c>
      <c r="E3362" s="24" t="inlineStr">
        <is>
          <t>车船使用税</t>
        </is>
      </c>
    </row>
    <row r="3363">
      <c r="B3363" s="24" t="inlineStr">
        <is>
          <t>TaxType</t>
        </is>
      </c>
      <c r="C3363" s="24" t="inlineStr">
        <is>
          <t>企业税种</t>
        </is>
      </c>
      <c r="D3363" s="24" t="inlineStr">
        <is>
          <t>070</t>
        </is>
      </c>
      <c r="E3363" s="24" t="inlineStr">
        <is>
          <t>城镇土地使用税</t>
        </is>
      </c>
    </row>
    <row r="3364">
      <c r="B3364" s="24" t="inlineStr">
        <is>
          <t>TaxType</t>
        </is>
      </c>
      <c r="C3364" s="24" t="inlineStr">
        <is>
          <t>企业税种</t>
        </is>
      </c>
      <c r="D3364" s="24" t="inlineStr">
        <is>
          <t>080</t>
        </is>
      </c>
      <c r="E3364" s="24" t="inlineStr">
        <is>
          <t>土地增值税</t>
        </is>
      </c>
    </row>
    <row r="3365">
      <c r="B3365" s="24" t="inlineStr">
        <is>
          <t>TaxType</t>
        </is>
      </c>
      <c r="C3365" s="24" t="inlineStr">
        <is>
          <t>企业税种</t>
        </is>
      </c>
      <c r="D3365" s="24" t="inlineStr">
        <is>
          <t>090</t>
        </is>
      </c>
      <c r="E3365" s="24" t="inlineStr">
        <is>
          <t>农业税</t>
        </is>
      </c>
    </row>
    <row r="3366">
      <c r="B3366" s="24" t="inlineStr">
        <is>
          <t>TaxType</t>
        </is>
      </c>
      <c r="C3366" s="24" t="inlineStr">
        <is>
          <t>企业税种</t>
        </is>
      </c>
      <c r="D3366" s="24" t="inlineStr">
        <is>
          <t>100</t>
        </is>
      </c>
      <c r="E3366" s="24" t="inlineStr">
        <is>
          <t>耕地使用税</t>
        </is>
      </c>
    </row>
    <row r="3367">
      <c r="B3367" s="24" t="inlineStr">
        <is>
          <t>TaxType</t>
        </is>
      </c>
      <c r="C3367" s="24" t="inlineStr">
        <is>
          <t>企业税种</t>
        </is>
      </c>
      <c r="D3367" s="24" t="inlineStr">
        <is>
          <t>110</t>
        </is>
      </c>
      <c r="E3367" s="24" t="inlineStr">
        <is>
          <t>契税</t>
        </is>
      </c>
    </row>
    <row r="3368">
      <c r="B3368" s="24" t="inlineStr">
        <is>
          <t>TaxType</t>
        </is>
      </c>
      <c r="C3368" s="24" t="inlineStr">
        <is>
          <t>企业税种</t>
        </is>
      </c>
      <c r="D3368" s="24" t="inlineStr">
        <is>
          <t>120</t>
        </is>
      </c>
      <c r="E3368" s="24" t="inlineStr">
        <is>
          <t>其他</t>
        </is>
      </c>
    </row>
    <row r="3369" ht="15.95" customHeight="1" s="170">
      <c r="B3369" s="122" t="inlineStr">
        <is>
          <t>码值：RentStyle</t>
        </is>
      </c>
    </row>
    <row r="3370">
      <c r="B3370" s="24" t="inlineStr">
        <is>
          <t>RentStyle</t>
        </is>
      </c>
      <c r="C3370" s="24" t="inlineStr">
        <is>
          <t>租金缴纳方式</t>
        </is>
      </c>
      <c r="D3370" s="24" t="inlineStr">
        <is>
          <t>01</t>
        </is>
      </c>
      <c r="E3370" s="24" t="inlineStr">
        <is>
          <t>按月缴纳</t>
        </is>
      </c>
    </row>
    <row r="3371">
      <c r="B3371" s="24" t="inlineStr">
        <is>
          <t>RentStyle</t>
        </is>
      </c>
      <c r="C3371" s="24" t="inlineStr">
        <is>
          <t>租金缴纳方式</t>
        </is>
      </c>
      <c r="D3371" s="24" t="inlineStr">
        <is>
          <t>02</t>
        </is>
      </c>
      <c r="E3371" s="24" t="inlineStr">
        <is>
          <t>按季度缴纳</t>
        </is>
      </c>
    </row>
    <row r="3372">
      <c r="B3372" s="24" t="inlineStr">
        <is>
          <t>RentStyle</t>
        </is>
      </c>
      <c r="C3372" s="24" t="inlineStr">
        <is>
          <t>租金缴纳方式</t>
        </is>
      </c>
      <c r="D3372" s="24" t="inlineStr">
        <is>
          <t>03</t>
        </is>
      </c>
      <c r="E3372" s="24" t="inlineStr">
        <is>
          <t>按年缴纳</t>
        </is>
      </c>
    </row>
    <row r="3373" ht="15.95" customHeight="1" s="170">
      <c r="B3373" s="122" t="inlineStr">
        <is>
          <t>码值：SMECreditStorage</t>
        </is>
      </c>
    </row>
    <row r="3374">
      <c r="B3374" s="24" t="inlineStr">
        <is>
          <t>SMECreditStorage</t>
        </is>
      </c>
      <c r="C3374" s="24" t="inlineStr">
        <is>
          <t>库存积压</t>
        </is>
      </c>
      <c r="D3374" s="24" t="inlineStr">
        <is>
          <t>01</t>
        </is>
      </c>
      <c r="E3374" s="24" t="inlineStr">
        <is>
          <t>少</t>
        </is>
      </c>
    </row>
    <row r="3375">
      <c r="B3375" s="24" t="inlineStr">
        <is>
          <t>SMECreditStorage</t>
        </is>
      </c>
      <c r="C3375" s="24" t="inlineStr">
        <is>
          <t>库存积压</t>
        </is>
      </c>
      <c r="D3375" s="24" t="inlineStr">
        <is>
          <t>02</t>
        </is>
      </c>
      <c r="E3375" s="24" t="inlineStr">
        <is>
          <t>一般</t>
        </is>
      </c>
    </row>
    <row r="3376">
      <c r="B3376" s="24" t="inlineStr">
        <is>
          <t>SMECreditStorage</t>
        </is>
      </c>
      <c r="C3376" s="24" t="inlineStr">
        <is>
          <t>库存积压</t>
        </is>
      </c>
      <c r="D3376" s="24" t="inlineStr">
        <is>
          <t>03</t>
        </is>
      </c>
      <c r="E3376" s="24" t="inlineStr">
        <is>
          <t>多</t>
        </is>
      </c>
    </row>
    <row r="3377" ht="15.95" customHeight="1" s="170">
      <c r="B3377" s="122" t="inlineStr">
        <is>
          <t>码值：ReinforceCreditLineView</t>
        </is>
      </c>
    </row>
    <row r="3378">
      <c r="B3378" s="24" t="inlineStr">
        <is>
          <t>ReinforceCreditLineView</t>
        </is>
      </c>
      <c r="C3378" s="24" t="inlineStr">
        <is>
          <t>额度补登视图</t>
        </is>
      </c>
      <c r="D3378" s="24" t="inlineStr">
        <is>
          <t>010</t>
        </is>
      </c>
      <c r="E3378" s="24" t="inlineStr">
        <is>
          <t>基本信息</t>
        </is>
      </c>
    </row>
    <row r="3379">
      <c r="B3379" s="24" t="inlineStr">
        <is>
          <t>ReinforceCreditLineView</t>
        </is>
      </c>
      <c r="C3379" s="24" t="inlineStr">
        <is>
          <t>额度补登视图</t>
        </is>
      </c>
      <c r="D3379" s="24" t="inlineStr">
        <is>
          <t>020</t>
        </is>
      </c>
      <c r="E3379" s="24" t="inlineStr">
        <is>
          <t>授信额度分配</t>
        </is>
      </c>
    </row>
    <row r="3380">
      <c r="B3380" s="24" t="inlineStr">
        <is>
          <t>ReinforceCreditLineView</t>
        </is>
      </c>
      <c r="C3380" s="24" t="inlineStr">
        <is>
          <t>额度补登视图</t>
        </is>
      </c>
      <c r="D3380" s="24" t="inlineStr">
        <is>
          <t>030</t>
        </is>
      </c>
      <c r="E3380" s="24" t="inlineStr">
        <is>
          <t>集团成员额度分配</t>
        </is>
      </c>
    </row>
    <row r="3381">
      <c r="B3381" s="24" t="inlineStr">
        <is>
          <t>ReinforceCreditLineView</t>
        </is>
      </c>
      <c r="C3381" s="24" t="inlineStr">
        <is>
          <t>额度补登视图</t>
        </is>
      </c>
      <c r="D3381" s="24" t="inlineStr">
        <is>
          <t>040</t>
        </is>
      </c>
      <c r="E3381" s="24" t="inlineStr">
        <is>
          <t>担保信息</t>
        </is>
      </c>
    </row>
    <row r="3382">
      <c r="B3382" s="24" t="inlineStr">
        <is>
          <t>ReinforceCreditLineView</t>
        </is>
      </c>
      <c r="C3382" s="24" t="inlineStr">
        <is>
          <t>额度补登视图</t>
        </is>
      </c>
      <c r="D3382" s="24" t="inlineStr">
        <is>
          <t>040050</t>
        </is>
      </c>
      <c r="E3382" s="24" t="inlineStr">
        <is>
          <t>一般担保合同</t>
        </is>
      </c>
    </row>
    <row r="3383">
      <c r="B3383" s="24" t="inlineStr">
        <is>
          <t>ReinforceCreditLineView</t>
        </is>
      </c>
      <c r="C3383" s="24" t="inlineStr">
        <is>
          <t>额度补登视图</t>
        </is>
      </c>
      <c r="D3383" s="24" t="inlineStr">
        <is>
          <t>040060</t>
        </is>
      </c>
      <c r="E3383" s="24" t="inlineStr">
        <is>
          <t>最高额担保合同</t>
        </is>
      </c>
    </row>
    <row r="3384">
      <c r="B3384" s="24" t="inlineStr">
        <is>
          <t>ReinforceCreditLineView</t>
        </is>
      </c>
      <c r="C3384" s="24" t="inlineStr">
        <is>
          <t>额度补登视图</t>
        </is>
      </c>
      <c r="D3384" s="24" t="inlineStr">
        <is>
          <t>070</t>
        </is>
      </c>
      <c r="E3384" s="24" t="inlineStr">
        <is>
          <t>业务文档信息</t>
        </is>
      </c>
    </row>
    <row r="3385" ht="15.95" customHeight="1" s="170">
      <c r="B3385" s="122" t="inlineStr">
        <is>
          <t>码值：FinancialAllocationType</t>
        </is>
      </c>
    </row>
    <row r="3386">
      <c r="B3386" s="24" t="inlineStr">
        <is>
          <t>FinancialAllocationType</t>
        </is>
      </c>
      <c r="C3386" s="24" t="inlineStr">
        <is>
          <t>信用等级评估统一导入</t>
        </is>
      </c>
      <c r="D3386" s="24" t="inlineStr">
        <is>
          <t>01</t>
        </is>
      </c>
      <c r="E3386" s="24" t="inlineStr">
        <is>
          <t>全额拨款</t>
        </is>
      </c>
    </row>
    <row r="3387">
      <c r="B3387" s="24" t="inlineStr">
        <is>
          <t>FinancialAllocationType</t>
        </is>
      </c>
      <c r="C3387" s="24" t="inlineStr">
        <is>
          <t>信用等级评估统一导入</t>
        </is>
      </c>
      <c r="D3387" s="24" t="inlineStr">
        <is>
          <t>02</t>
        </is>
      </c>
      <c r="E3387" s="24" t="inlineStr">
        <is>
          <t>差额拨款</t>
        </is>
      </c>
    </row>
    <row r="3388">
      <c r="B3388" s="24" t="inlineStr">
        <is>
          <t>FinancialAllocationType</t>
        </is>
      </c>
      <c r="C3388" s="24" t="inlineStr">
        <is>
          <t>信用等级评估统一导入</t>
        </is>
      </c>
      <c r="D3388" s="24" t="inlineStr">
        <is>
          <t>03</t>
        </is>
      </c>
      <c r="E3388" s="24" t="inlineStr">
        <is>
          <t>自收自支</t>
        </is>
      </c>
    </row>
    <row r="3389" ht="15.95" customHeight="1" s="170">
      <c r="B3389" s="122" t="inlineStr">
        <is>
          <t>码值：BillMode</t>
        </is>
      </c>
    </row>
    <row r="3390">
      <c r="B3390" s="24" t="inlineStr">
        <is>
          <t>BillMode</t>
        </is>
      </c>
      <c r="C3390" s="24" t="inlineStr">
        <is>
          <t>票据类型</t>
        </is>
      </c>
      <c r="D3390" s="24" t="inlineStr">
        <is>
          <t>01</t>
        </is>
      </c>
      <c r="E3390" s="24" t="inlineStr">
        <is>
          <t>银行汇票</t>
        </is>
      </c>
    </row>
    <row r="3391">
      <c r="B3391" s="24" t="inlineStr">
        <is>
          <t>BillMode</t>
        </is>
      </c>
      <c r="C3391" s="24" t="inlineStr">
        <is>
          <t>票据类型</t>
        </is>
      </c>
      <c r="D3391" s="24" t="inlineStr">
        <is>
          <t>02</t>
        </is>
      </c>
      <c r="E3391" s="24" t="inlineStr">
        <is>
          <t>公共部门实体承兑汇票</t>
        </is>
      </c>
    </row>
    <row r="3392">
      <c r="B3392" s="24" t="inlineStr">
        <is>
          <t>BillMode</t>
        </is>
      </c>
      <c r="C3392" s="24" t="inlineStr">
        <is>
          <t>票据类型</t>
        </is>
      </c>
      <c r="D3392" s="24" t="inlineStr">
        <is>
          <t>03</t>
        </is>
      </c>
      <c r="E3392" s="24" t="inlineStr">
        <is>
          <t>银行本票</t>
        </is>
      </c>
    </row>
    <row r="3393">
      <c r="B3393" s="24" t="inlineStr">
        <is>
          <t>BillMode</t>
        </is>
      </c>
      <c r="C3393" s="24" t="inlineStr">
        <is>
          <t>票据类型</t>
        </is>
      </c>
      <c r="D3393" s="24" t="inlineStr">
        <is>
          <t>04</t>
        </is>
      </c>
      <c r="E3393" s="24" t="inlineStr">
        <is>
          <t>公共部门实体发行的本票</t>
        </is>
      </c>
    </row>
    <row r="3394">
      <c r="B3394" s="24" t="inlineStr">
        <is>
          <t>BillMode</t>
        </is>
      </c>
      <c r="C3394" s="24" t="inlineStr">
        <is>
          <t>票据类型</t>
        </is>
      </c>
      <c r="D3394" s="24" t="inlineStr">
        <is>
          <t>05</t>
        </is>
      </c>
      <c r="E3394" s="24" t="inlineStr">
        <is>
          <t>其他商业本票</t>
        </is>
      </c>
    </row>
    <row r="3395">
      <c r="B3395" s="24" t="inlineStr">
        <is>
          <t>BillMode</t>
        </is>
      </c>
      <c r="C3395" s="24" t="inlineStr">
        <is>
          <t>票据类型</t>
        </is>
      </c>
      <c r="D3395" s="24" t="inlineStr">
        <is>
          <t>06</t>
        </is>
      </c>
      <c r="E3395" s="24" t="inlineStr">
        <is>
          <t>支票</t>
        </is>
      </c>
    </row>
    <row r="3396">
      <c r="B3396" s="24" t="inlineStr">
        <is>
          <t>BillMode</t>
        </is>
      </c>
      <c r="C3396" s="24" t="inlineStr">
        <is>
          <t>票据类型</t>
        </is>
      </c>
      <c r="D3396" s="24" t="inlineStr">
        <is>
          <t>07</t>
        </is>
      </c>
      <c r="E3396" s="24" t="inlineStr">
        <is>
          <t>其他票据</t>
        </is>
      </c>
    </row>
    <row r="3397" ht="15.95" customHeight="1" s="170">
      <c r="B3397" s="122" t="inlineStr">
        <is>
          <t>码值：IndustrialRealtyIndependence</t>
        </is>
      </c>
    </row>
    <row r="3398">
      <c r="B3398" s="24" t="inlineStr">
        <is>
          <t>IndustrialRealtyIndependence</t>
        </is>
      </c>
      <c r="C3398" s="24" t="n"/>
      <c r="D3398" s="24" t="inlineStr">
        <is>
          <t>01</t>
        </is>
      </c>
      <c r="E3398" s="24" t="inlineStr">
        <is>
          <t>独院</t>
        </is>
      </c>
    </row>
    <row r="3399">
      <c r="B3399" s="24" t="inlineStr">
        <is>
          <t>IndustrialRealtyIndependence</t>
        </is>
      </c>
      <c r="C3399" s="24" t="n"/>
      <c r="D3399" s="24" t="inlineStr">
        <is>
          <t>02</t>
        </is>
      </c>
      <c r="E3399" s="24" t="inlineStr">
        <is>
          <t>部分楼栋出售</t>
        </is>
      </c>
    </row>
    <row r="3400">
      <c r="B3400" s="24" t="inlineStr">
        <is>
          <t>IndustrialRealtyIndependence</t>
        </is>
      </c>
      <c r="C3400" s="24" t="n"/>
      <c r="D3400" s="24" t="inlineStr">
        <is>
          <t>03</t>
        </is>
      </c>
      <c r="E3400" s="24" t="inlineStr">
        <is>
          <t>部分楼层出售</t>
        </is>
      </c>
    </row>
    <row r="3401" ht="15.95" customHeight="1" s="170">
      <c r="B3401" s="122" t="inlineStr">
        <is>
          <t>码值：ProjectType</t>
        </is>
      </c>
    </row>
    <row r="3402">
      <c r="B3402" s="24" t="inlineStr">
        <is>
          <t>ProjectType</t>
        </is>
      </c>
      <c r="C3402" s="24" t="inlineStr">
        <is>
          <t>客户参与项目类型</t>
        </is>
      </c>
      <c r="D3402" s="24" t="inlineStr">
        <is>
          <t>01</t>
        </is>
      </c>
      <c r="E3402" s="24" t="inlineStr">
        <is>
          <t>固定资产投资类项目</t>
        </is>
      </c>
    </row>
    <row r="3403">
      <c r="B3403" s="24" t="inlineStr">
        <is>
          <t>ProjectType</t>
        </is>
      </c>
      <c r="C3403" s="24" t="inlineStr">
        <is>
          <t>客户参与项目类型</t>
        </is>
      </c>
      <c r="D3403" s="24" t="inlineStr">
        <is>
          <t>02</t>
        </is>
      </c>
      <c r="E3403" s="24" t="inlineStr">
        <is>
          <t>房地产项目</t>
        </is>
      </c>
    </row>
    <row r="3404">
      <c r="B3404" s="24" t="inlineStr">
        <is>
          <t>ProjectType</t>
        </is>
      </c>
      <c r="C3404" s="24" t="inlineStr">
        <is>
          <t>客户参与项目类型</t>
        </is>
      </c>
      <c r="D3404" s="24" t="inlineStr">
        <is>
          <t>03</t>
        </is>
      </c>
      <c r="E3404" s="24" t="inlineStr">
        <is>
          <t>土地储备项目</t>
        </is>
      </c>
    </row>
    <row r="3405">
      <c r="B3405" s="24" t="inlineStr">
        <is>
          <t>ProjectType</t>
        </is>
      </c>
      <c r="C3405" s="24" t="inlineStr">
        <is>
          <t>客户参与项目类型</t>
        </is>
      </c>
      <c r="D3405" s="24" t="inlineStr">
        <is>
          <t>04</t>
        </is>
      </c>
      <c r="E3405" s="24" t="inlineStr">
        <is>
          <t>开发区项目</t>
        </is>
      </c>
    </row>
    <row r="3406">
      <c r="B3406" s="24" t="inlineStr">
        <is>
          <t>ProjectType</t>
        </is>
      </c>
      <c r="C3406" s="24" t="inlineStr">
        <is>
          <t>客户参与项目类型</t>
        </is>
      </c>
      <c r="D3406" s="24" t="inlineStr">
        <is>
          <t>05</t>
        </is>
      </c>
      <c r="E3406" s="24" t="inlineStr">
        <is>
          <t>其他项目</t>
        </is>
      </c>
    </row>
    <row r="3407" ht="15.95" customHeight="1" s="170">
      <c r="B3407" s="122" t="inlineStr">
        <is>
          <t>码值：ExtendPayMethod</t>
        </is>
      </c>
    </row>
    <row r="3408">
      <c r="B3408" s="24" t="inlineStr">
        <is>
          <t>ExtendPayMethod</t>
        </is>
      </c>
      <c r="C3408" s="24" t="inlineStr">
        <is>
          <t>宽限期付息方法</t>
        </is>
      </c>
      <c r="D3408" s="24" t="inlineStr">
        <is>
          <t>01</t>
        </is>
      </c>
      <c r="E3408" s="24" t="inlineStr">
        <is>
          <t>按月付息方法</t>
        </is>
      </c>
    </row>
    <row r="3409">
      <c r="B3409" s="24" t="inlineStr">
        <is>
          <t>ExtendPayMethod</t>
        </is>
      </c>
      <c r="C3409" s="24" t="inlineStr">
        <is>
          <t>宽限期付息方法</t>
        </is>
      </c>
      <c r="D3409" s="24" t="inlineStr">
        <is>
          <t>02</t>
        </is>
      </c>
      <c r="E3409" s="24" t="inlineStr">
        <is>
          <t>宽限期到期付息</t>
        </is>
      </c>
    </row>
    <row r="3410" ht="15.95" customHeight="1" s="170">
      <c r="B3410" s="122" t="inlineStr">
        <is>
          <t>码值：CognizanceResult</t>
        </is>
      </c>
    </row>
    <row r="3411">
      <c r="B3411" s="24" t="inlineStr">
        <is>
          <t>CognizanceResult</t>
        </is>
      </c>
      <c r="C3411" s="24" t="inlineStr">
        <is>
          <t>起诉受理结果</t>
        </is>
      </c>
      <c r="D3411" s="24" t="inlineStr">
        <is>
          <t>1001</t>
        </is>
      </c>
      <c r="E3411" s="24" t="inlineStr">
        <is>
          <t>受理</t>
        </is>
      </c>
    </row>
    <row r="3412">
      <c r="B3412" s="24" t="inlineStr">
        <is>
          <t>CognizanceResult</t>
        </is>
      </c>
      <c r="C3412" s="24" t="inlineStr">
        <is>
          <t>起诉受理结果</t>
        </is>
      </c>
      <c r="D3412" s="24" t="inlineStr">
        <is>
          <t>1002</t>
        </is>
      </c>
      <c r="E3412" s="24" t="inlineStr">
        <is>
          <t>不予受理</t>
        </is>
      </c>
    </row>
    <row r="3413">
      <c r="B3413" s="24" t="inlineStr">
        <is>
          <t>CognizanceResult</t>
        </is>
      </c>
      <c r="C3413" s="24" t="inlineStr">
        <is>
          <t>起诉受理结果</t>
        </is>
      </c>
      <c r="D3413" s="24" t="inlineStr">
        <is>
          <t>2001</t>
        </is>
      </c>
      <c r="E3413" s="24" t="inlineStr">
        <is>
          <t>判决我方胜诉</t>
        </is>
      </c>
    </row>
    <row r="3414">
      <c r="B3414" s="24" t="inlineStr">
        <is>
          <t>CognizanceResult</t>
        </is>
      </c>
      <c r="C3414" s="24" t="inlineStr">
        <is>
          <t>起诉受理结果</t>
        </is>
      </c>
      <c r="D3414" s="24" t="inlineStr">
        <is>
          <t>2002</t>
        </is>
      </c>
      <c r="E3414" s="24" t="inlineStr">
        <is>
          <t>判决我方败诉</t>
        </is>
      </c>
    </row>
    <row r="3415">
      <c r="B3415" s="24" t="inlineStr">
        <is>
          <t>CognizanceResult</t>
        </is>
      </c>
      <c r="C3415" s="24" t="inlineStr">
        <is>
          <t>起诉受理结果</t>
        </is>
      </c>
      <c r="D3415" s="24" t="inlineStr">
        <is>
          <t>2003</t>
        </is>
      </c>
      <c r="E3415" s="24" t="inlineStr">
        <is>
          <t>裁定我方撤诉</t>
        </is>
      </c>
    </row>
    <row r="3416">
      <c r="B3416" s="24" t="inlineStr">
        <is>
          <t>CognizanceResult</t>
        </is>
      </c>
      <c r="C3416" s="24" t="inlineStr">
        <is>
          <t>起诉受理结果</t>
        </is>
      </c>
      <c r="D3416" s="24" t="inlineStr">
        <is>
          <t>2004</t>
        </is>
      </c>
      <c r="E3416" s="24" t="inlineStr">
        <is>
          <t>裁定对方撤诉</t>
        </is>
      </c>
    </row>
    <row r="3417">
      <c r="B3417" s="24" t="inlineStr">
        <is>
          <t>CognizanceResult</t>
        </is>
      </c>
      <c r="C3417" s="24" t="inlineStr">
        <is>
          <t>起诉受理结果</t>
        </is>
      </c>
      <c r="D3417" s="24" t="inlineStr">
        <is>
          <t>2005</t>
        </is>
      </c>
      <c r="E3417" s="24" t="inlineStr">
        <is>
          <t>法院调解</t>
        </is>
      </c>
    </row>
    <row r="3418">
      <c r="B3418" s="24" t="inlineStr">
        <is>
          <t>CognizanceResult</t>
        </is>
      </c>
      <c r="C3418" s="24" t="inlineStr">
        <is>
          <t>起诉受理结果</t>
        </is>
      </c>
      <c r="D3418" s="24" t="inlineStr">
        <is>
          <t>2006</t>
        </is>
      </c>
      <c r="E3418" s="24" t="inlineStr">
        <is>
          <t>庭外和解后撤诉</t>
        </is>
      </c>
    </row>
    <row r="3419">
      <c r="B3419" s="24" t="inlineStr">
        <is>
          <t>CognizanceResult</t>
        </is>
      </c>
      <c r="C3419" s="24" t="inlineStr">
        <is>
          <t>起诉受理结果</t>
        </is>
      </c>
      <c r="D3419" s="24" t="inlineStr">
        <is>
          <t>2007</t>
        </is>
      </c>
      <c r="E3419" s="24" t="inlineStr">
        <is>
          <t>裁定发回重审</t>
        </is>
      </c>
    </row>
    <row r="3420">
      <c r="B3420" s="24" t="inlineStr">
        <is>
          <t>CognizanceResult</t>
        </is>
      </c>
      <c r="C3420" s="24" t="inlineStr">
        <is>
          <t>起诉受理结果</t>
        </is>
      </c>
      <c r="D3420" s="24" t="inlineStr">
        <is>
          <t>2008</t>
        </is>
      </c>
      <c r="E3420" s="24" t="inlineStr">
        <is>
          <t>裁定驳回起诉</t>
        </is>
      </c>
    </row>
    <row r="3421">
      <c r="B3421" s="24" t="inlineStr">
        <is>
          <t>CognizanceResult</t>
        </is>
      </c>
      <c r="C3421" s="24" t="inlineStr">
        <is>
          <t>起诉受理结果</t>
        </is>
      </c>
      <c r="D3421" s="24" t="inlineStr">
        <is>
          <t>3003</t>
        </is>
      </c>
      <c r="E3421" s="24" t="inlineStr">
        <is>
          <t>执行中</t>
        </is>
      </c>
    </row>
    <row r="3422">
      <c r="B3422" s="24" t="inlineStr">
        <is>
          <t>CognizanceResult</t>
        </is>
      </c>
      <c r="C3422" s="24" t="inlineStr">
        <is>
          <t>起诉受理结果</t>
        </is>
      </c>
      <c r="D3422" s="24" t="inlineStr">
        <is>
          <t>3005</t>
        </is>
      </c>
      <c r="E3422" s="24" t="inlineStr">
        <is>
          <t>执行中止</t>
        </is>
      </c>
    </row>
    <row r="3423">
      <c r="B3423" s="24" t="inlineStr">
        <is>
          <t>CognizanceResult</t>
        </is>
      </c>
      <c r="C3423" s="24" t="inlineStr">
        <is>
          <t>起诉受理结果</t>
        </is>
      </c>
      <c r="D3423" s="24" t="inlineStr">
        <is>
          <t>3006</t>
        </is>
      </c>
      <c r="E3423" s="24" t="inlineStr">
        <is>
          <t>执行终结</t>
        </is>
      </c>
    </row>
    <row r="3424">
      <c r="B3424" s="24" t="inlineStr">
        <is>
          <t>CognizanceResult</t>
        </is>
      </c>
      <c r="C3424" s="24" t="inlineStr">
        <is>
          <t>起诉受理结果</t>
        </is>
      </c>
      <c r="D3424" s="24" t="inlineStr">
        <is>
          <t>3007</t>
        </is>
      </c>
      <c r="E3424" s="24" t="inlineStr">
        <is>
          <t>申领债权凭证</t>
        </is>
      </c>
    </row>
    <row r="3425">
      <c r="B3425" s="24" t="inlineStr">
        <is>
          <t>CognizanceResult</t>
        </is>
      </c>
      <c r="C3425" s="24" t="inlineStr">
        <is>
          <t>起诉受理结果</t>
        </is>
      </c>
      <c r="D3425" s="24" t="inlineStr">
        <is>
          <t>3010</t>
        </is>
      </c>
      <c r="E3425" s="24" t="inlineStr">
        <is>
          <t>未审结</t>
        </is>
      </c>
    </row>
    <row r="3426">
      <c r="B3426" s="24" t="inlineStr">
        <is>
          <t>CognizanceResult</t>
        </is>
      </c>
      <c r="C3426" s="24" t="inlineStr">
        <is>
          <t>起诉受理结果</t>
        </is>
      </c>
      <c r="D3426" s="24" t="inlineStr">
        <is>
          <t>3020</t>
        </is>
      </c>
      <c r="E3426" s="24" t="inlineStr">
        <is>
          <t>胜诉</t>
        </is>
      </c>
    </row>
    <row r="3427">
      <c r="B3427" s="24" t="inlineStr">
        <is>
          <t>CognizanceResult</t>
        </is>
      </c>
      <c r="C3427" s="24" t="inlineStr">
        <is>
          <t>起诉受理结果</t>
        </is>
      </c>
      <c r="D3427" s="24" t="inlineStr">
        <is>
          <t>3030</t>
        </is>
      </c>
      <c r="E3427" s="24" t="inlineStr">
        <is>
          <t>败诉</t>
        </is>
      </c>
    </row>
    <row r="3428">
      <c r="B3428" s="24" t="inlineStr">
        <is>
          <t>CognizanceResult</t>
        </is>
      </c>
      <c r="C3428" s="24" t="inlineStr">
        <is>
          <t>起诉受理结果</t>
        </is>
      </c>
      <c r="D3428" s="24" t="inlineStr">
        <is>
          <t>3040</t>
        </is>
      </c>
      <c r="E3428" s="24" t="inlineStr">
        <is>
          <t>撤诉</t>
        </is>
      </c>
    </row>
    <row r="3429" ht="15.95" customHeight="1" s="170">
      <c r="B3429" s="122" t="inlineStr">
        <is>
          <t>码值：行业政策1</t>
        </is>
      </c>
    </row>
    <row r="3430">
      <c r="B3430" s="24" t="inlineStr">
        <is>
          <t>行业政策1</t>
        </is>
      </c>
      <c r="C3430" s="24" t="inlineStr">
        <is>
          <t>行业政策1</t>
        </is>
      </c>
      <c r="D3430" s="24" t="inlineStr">
        <is>
          <t>01</t>
        </is>
      </c>
      <c r="E3430" s="24" t="inlineStr">
        <is>
          <t>国家产业政策鼓励行业，受宏观经济波动影响小，行业发展前景广阔</t>
        </is>
      </c>
    </row>
    <row r="3431">
      <c r="B3431" s="24" t="inlineStr">
        <is>
          <t>行业政策1</t>
        </is>
      </c>
      <c r="C3431" s="24" t="inlineStr">
        <is>
          <t>行业政策1</t>
        </is>
      </c>
      <c r="D3431" s="24" t="inlineStr">
        <is>
          <t>02</t>
        </is>
      </c>
      <c r="E3431" s="24" t="inlineStr">
        <is>
          <t>国家产业政策中性行业，受宏观经济波动影响小，行业发展前景稳定</t>
        </is>
      </c>
    </row>
    <row r="3432">
      <c r="B3432" s="24" t="inlineStr">
        <is>
          <t>行业政策1</t>
        </is>
      </c>
      <c r="C3432" s="24" t="inlineStr">
        <is>
          <t>行业政策1</t>
        </is>
      </c>
      <c r="D3432" s="24" t="inlineStr">
        <is>
          <t>03</t>
        </is>
      </c>
      <c r="E3432" s="24" t="inlineStr">
        <is>
          <t>国家产业政策中性行业，受宏观经济周期影响大，行业发展不确定性较大</t>
        </is>
      </c>
    </row>
    <row r="3433">
      <c r="B3433" s="24" t="inlineStr">
        <is>
          <t>行业政策1</t>
        </is>
      </c>
      <c r="C3433" s="24" t="inlineStr">
        <is>
          <t>行业政策1</t>
        </is>
      </c>
      <c r="D3433" s="24" t="inlineStr">
        <is>
          <t>04</t>
        </is>
      </c>
      <c r="E3433" s="24" t="inlineStr">
        <is>
          <t>国家产业政策限制行业，或者萌芽期行业，发展前景暗淡或者不明朗</t>
        </is>
      </c>
    </row>
    <row r="3434" ht="15.95" customHeight="1" s="170">
      <c r="B3434" s="122" t="inlineStr">
        <is>
          <t>码值：BankType</t>
        </is>
      </c>
    </row>
    <row r="3435">
      <c r="B3435" s="24" t="inlineStr">
        <is>
          <t>BankType</t>
        </is>
      </c>
      <c r="C3435" s="24" t="inlineStr">
        <is>
          <t>银团贷款类型</t>
        </is>
      </c>
      <c r="D3435" s="24" t="inlineStr">
        <is>
          <t>0</t>
        </is>
      </c>
      <c r="E3435" s="24" t="inlineStr">
        <is>
          <t>参与行</t>
        </is>
      </c>
    </row>
    <row r="3436">
      <c r="B3436" s="24" t="inlineStr">
        <is>
          <t>BankType</t>
        </is>
      </c>
      <c r="C3436" s="24" t="inlineStr">
        <is>
          <t>银团贷款类型</t>
        </is>
      </c>
      <c r="D3436" s="24" t="inlineStr">
        <is>
          <t>1</t>
        </is>
      </c>
      <c r="E3436" s="24" t="inlineStr">
        <is>
          <t>主办行</t>
        </is>
      </c>
    </row>
    <row r="3437" ht="15.95" customHeight="1" s="170">
      <c r="B3437" s="122" t="inlineStr">
        <is>
          <t>码值：DunForm</t>
        </is>
      </c>
    </row>
    <row r="3438">
      <c r="B3438" s="24" t="inlineStr">
        <is>
          <t>DunForm</t>
        </is>
      </c>
      <c r="C3438" s="24" t="inlineStr">
        <is>
          <t>催收形式</t>
        </is>
      </c>
      <c r="D3438" s="24" t="inlineStr">
        <is>
          <t>01</t>
        </is>
      </c>
      <c r="E3438" s="24" t="inlineStr">
        <is>
          <t>催收函</t>
        </is>
      </c>
    </row>
    <row r="3439">
      <c r="B3439" s="24" t="inlineStr">
        <is>
          <t>DunForm</t>
        </is>
      </c>
      <c r="C3439" s="24" t="inlineStr">
        <is>
          <t>催收形式</t>
        </is>
      </c>
      <c r="D3439" s="24" t="inlineStr">
        <is>
          <t>02</t>
        </is>
      </c>
      <c r="E3439" s="24" t="inlineStr">
        <is>
          <t>回执</t>
        </is>
      </c>
    </row>
    <row r="3440">
      <c r="B3440" s="24" t="inlineStr">
        <is>
          <t>DunForm</t>
        </is>
      </c>
      <c r="C3440" s="24" t="inlineStr">
        <is>
          <t>催收形式</t>
        </is>
      </c>
      <c r="D3440" s="24" t="inlineStr">
        <is>
          <t>03</t>
        </is>
      </c>
      <c r="E3440" s="24" t="inlineStr">
        <is>
          <t>其他</t>
        </is>
      </c>
    </row>
    <row r="3441" ht="15.95" customHeight="1" s="170">
      <c r="B3441" s="122" t="inlineStr">
        <is>
          <t>码值：UserDefine</t>
        </is>
      </c>
    </row>
    <row r="3442">
      <c r="B3442" s="24" t="inlineStr">
        <is>
          <t>UserDefine</t>
        </is>
      </c>
      <c r="C3442" s="24" t="inlineStr">
        <is>
          <t>重点信息链接</t>
        </is>
      </c>
      <c r="D3442" s="24" t="inlineStr">
        <is>
          <t>01</t>
        </is>
      </c>
      <c r="E3442" s="24" t="inlineStr">
        <is>
          <t>重点客户</t>
        </is>
      </c>
    </row>
    <row r="3443">
      <c r="B3443" s="24" t="inlineStr">
        <is>
          <t>UserDefine</t>
        </is>
      </c>
      <c r="C3443" s="24" t="inlineStr">
        <is>
          <t>重点信息链接</t>
        </is>
      </c>
      <c r="D3443" s="24" t="inlineStr">
        <is>
          <t>02</t>
        </is>
      </c>
      <c r="E3443" s="24" t="inlineStr">
        <is>
          <t>重点合同</t>
        </is>
      </c>
    </row>
    <row r="3444" ht="15.95" customHeight="1" s="170">
      <c r="B3444" s="122" t="inlineStr">
        <is>
          <t>码值：省市占有率</t>
        </is>
      </c>
    </row>
    <row r="3445">
      <c r="B3445" s="24" t="inlineStr">
        <is>
          <t>省市占有率</t>
        </is>
      </c>
      <c r="C3445" s="24" t="inlineStr">
        <is>
          <t>省市占有率</t>
        </is>
      </c>
      <c r="D3445" s="24" t="inlineStr">
        <is>
          <t>1</t>
        </is>
      </c>
      <c r="E3445" s="24" t="inlineStr">
        <is>
          <t>50%以上</t>
        </is>
      </c>
    </row>
    <row r="3446">
      <c r="B3446" s="24" t="inlineStr">
        <is>
          <t>省市占有率</t>
        </is>
      </c>
      <c r="C3446" s="24" t="inlineStr">
        <is>
          <t>省市占有率</t>
        </is>
      </c>
      <c r="D3446" s="24" t="inlineStr">
        <is>
          <t>2</t>
        </is>
      </c>
      <c r="E3446" s="24" t="inlineStr">
        <is>
          <t>20%--50%</t>
        </is>
      </c>
    </row>
    <row r="3447">
      <c r="B3447" s="24" t="inlineStr">
        <is>
          <t>省市占有率</t>
        </is>
      </c>
      <c r="C3447" s="24" t="inlineStr">
        <is>
          <t>省市占有率</t>
        </is>
      </c>
      <c r="D3447" s="24" t="inlineStr">
        <is>
          <t>3</t>
        </is>
      </c>
      <c r="E3447" s="24" t="inlineStr">
        <is>
          <t>10%--20%</t>
        </is>
      </c>
    </row>
    <row r="3448">
      <c r="B3448" s="24" t="inlineStr">
        <is>
          <t>省市占有率</t>
        </is>
      </c>
      <c r="C3448" s="24" t="inlineStr">
        <is>
          <t>省市占有率</t>
        </is>
      </c>
      <c r="D3448" s="24" t="inlineStr">
        <is>
          <t>4</t>
        </is>
      </c>
      <c r="E3448" s="24" t="inlineStr">
        <is>
          <t>10%以下</t>
        </is>
      </c>
    </row>
    <row r="3449" ht="15.95" customHeight="1" s="170">
      <c r="B3449" s="122" t="inlineStr">
        <is>
          <t>码值：市场地位及份额</t>
        </is>
      </c>
    </row>
    <row r="3450">
      <c r="B3450" s="24" t="inlineStr">
        <is>
          <t>市场地位及份额</t>
        </is>
      </c>
      <c r="C3450" s="24" t="inlineStr">
        <is>
          <t>市场地位及份额</t>
        </is>
      </c>
      <c r="D3450" s="24" t="inlineStr">
        <is>
          <t>01</t>
        </is>
      </c>
      <c r="E3450" s="24" t="inlineStr">
        <is>
          <t>在其服务区域已形成实质性垄断或者寡头垄断，并且市场份额稳定</t>
        </is>
      </c>
    </row>
    <row r="3451">
      <c r="B3451" s="24" t="inlineStr">
        <is>
          <t>市场地位及份额</t>
        </is>
      </c>
      <c r="C3451" s="24" t="inlineStr">
        <is>
          <t>市场地位及份额</t>
        </is>
      </c>
      <c r="D3451" s="24" t="inlineStr">
        <is>
          <t>02</t>
        </is>
      </c>
      <c r="E3451" s="24" t="inlineStr">
        <is>
          <t>在其服务区域具有寡头垄断地位，但是由于受到竞争者一定程度的威胁，市场份额有下降趋势</t>
        </is>
      </c>
    </row>
    <row r="3452">
      <c r="B3452" s="24" t="inlineStr">
        <is>
          <t>市场地位及份额</t>
        </is>
      </c>
      <c r="C3452" s="24" t="inlineStr">
        <is>
          <t>市场地位及份额</t>
        </is>
      </c>
      <c r="D3452" s="24" t="inlineStr">
        <is>
          <t>03</t>
        </is>
      </c>
      <c r="E3452" s="24" t="inlineStr">
        <is>
          <t>在其服务区域内面临一定程度的竞争，但竞争中处于一定的优势地位（例如市场份额或者品牌知名度处于同业前10%）</t>
        </is>
      </c>
    </row>
    <row r="3453">
      <c r="B3453" s="24" t="inlineStr">
        <is>
          <t>市场地位及份额</t>
        </is>
      </c>
      <c r="C3453" s="24" t="inlineStr">
        <is>
          <t>市场地位及份额</t>
        </is>
      </c>
      <c r="D3453" s="24" t="inlineStr">
        <is>
          <t>04</t>
        </is>
      </c>
      <c r="E3453" s="24" t="inlineStr">
        <is>
          <t>在其服务区域内面临竞争，市场份额没有明显优势</t>
        </is>
      </c>
    </row>
    <row r="3454">
      <c r="B3454" s="24" t="inlineStr">
        <is>
          <t>市场地位及份额</t>
        </is>
      </c>
      <c r="C3454" s="24" t="inlineStr">
        <is>
          <t>市场地位及份额</t>
        </is>
      </c>
      <c r="D3454" s="24" t="inlineStr">
        <is>
          <t>05</t>
        </is>
      </c>
      <c r="E3454" s="24" t="inlineStr">
        <is>
          <t>答案难以判断</t>
        </is>
      </c>
    </row>
    <row r="3455" ht="15.95" customHeight="1" s="170">
      <c r="B3455" s="122" t="inlineStr">
        <is>
          <t>码值：ResidenceTime</t>
        </is>
      </c>
    </row>
    <row r="3456">
      <c r="B3456" s="24" t="inlineStr">
        <is>
          <t>ResidenceTime</t>
        </is>
      </c>
      <c r="C3456" s="24" t="inlineStr">
        <is>
          <t>信用等级评估统一导入</t>
        </is>
      </c>
      <c r="D3456" s="24" t="inlineStr">
        <is>
          <t>01</t>
        </is>
      </c>
      <c r="E3456" s="24" t="inlineStr">
        <is>
          <t>1年以下(含1年)</t>
        </is>
      </c>
    </row>
    <row r="3457">
      <c r="B3457" s="24" t="inlineStr">
        <is>
          <t>ResidenceTime</t>
        </is>
      </c>
      <c r="C3457" s="24" t="inlineStr">
        <is>
          <t>信用等级评估统一导入</t>
        </is>
      </c>
      <c r="D3457" s="24" t="inlineStr">
        <is>
          <t>02</t>
        </is>
      </c>
      <c r="E3457" s="24" t="inlineStr">
        <is>
          <t>1年以上－3年(含3年)</t>
        </is>
      </c>
    </row>
    <row r="3458">
      <c r="B3458" s="24" t="inlineStr">
        <is>
          <t>ResidenceTime</t>
        </is>
      </c>
      <c r="C3458" s="24" t="inlineStr">
        <is>
          <t>信用等级评估统一导入</t>
        </is>
      </c>
      <c r="D3458" s="24" t="inlineStr">
        <is>
          <t>03</t>
        </is>
      </c>
      <c r="E3458" s="24" t="inlineStr">
        <is>
          <t>3年以上－5年(含5年)</t>
        </is>
      </c>
    </row>
    <row r="3459">
      <c r="B3459" s="24" t="inlineStr">
        <is>
          <t>ResidenceTime</t>
        </is>
      </c>
      <c r="C3459" s="24" t="inlineStr">
        <is>
          <t>信用等级评估统一导入</t>
        </is>
      </c>
      <c r="D3459" s="24" t="inlineStr">
        <is>
          <t>04</t>
        </is>
      </c>
      <c r="E3459" s="24" t="inlineStr">
        <is>
          <t>5年以上</t>
        </is>
      </c>
    </row>
    <row r="3460" ht="15.95" customHeight="1" s="170">
      <c r="B3460" s="122" t="inlineStr">
        <is>
          <t>码值：FeeType</t>
        </is>
      </c>
    </row>
    <row r="3461">
      <c r="B3461" s="24" t="inlineStr">
        <is>
          <t>FeeType</t>
        </is>
      </c>
      <c r="C3461" s="24" t="inlineStr">
        <is>
          <t>费用类型</t>
        </is>
      </c>
      <c r="D3461" s="24" t="inlineStr">
        <is>
          <t>01</t>
        </is>
      </c>
      <c r="E3461" s="24" t="inlineStr">
        <is>
          <t>手续费</t>
        </is>
      </c>
    </row>
    <row r="3462">
      <c r="B3462" s="24" t="inlineStr">
        <is>
          <t>FeeType</t>
        </is>
      </c>
      <c r="C3462" s="24" t="inlineStr">
        <is>
          <t>费用类型</t>
        </is>
      </c>
      <c r="D3462" s="24" t="inlineStr">
        <is>
          <t>02</t>
        </is>
      </c>
      <c r="E3462" s="24" t="inlineStr">
        <is>
          <t>承兑费</t>
        </is>
      </c>
    </row>
    <row r="3463">
      <c r="B3463" s="24" t="inlineStr">
        <is>
          <t>FeeType</t>
        </is>
      </c>
      <c r="C3463" s="24" t="inlineStr">
        <is>
          <t>费用类型</t>
        </is>
      </c>
      <c r="D3463" s="24" t="inlineStr">
        <is>
          <t>03</t>
        </is>
      </c>
      <c r="E3463" s="24" t="inlineStr">
        <is>
          <t>其他费用</t>
        </is>
      </c>
    </row>
    <row r="3464" ht="15.95" customHeight="1" s="170">
      <c r="B3464" s="122" t="inlineStr">
        <is>
          <t>码值：IndustryCorrlation</t>
        </is>
      </c>
    </row>
    <row r="3465">
      <c r="B3465" s="24" t="inlineStr">
        <is>
          <t>IndustryCorrlation</t>
        </is>
      </c>
      <c r="C3465" s="24" t="inlineStr">
        <is>
          <t>信用等级评估统一导入</t>
        </is>
      </c>
      <c r="D3465" s="24" t="inlineStr">
        <is>
          <t>1</t>
        </is>
      </c>
      <c r="E3465" s="24" t="inlineStr">
        <is>
          <t>强</t>
        </is>
      </c>
    </row>
    <row r="3466">
      <c r="B3466" s="24" t="inlineStr">
        <is>
          <t>IndustryCorrlation</t>
        </is>
      </c>
      <c r="C3466" s="24" t="inlineStr">
        <is>
          <t>信用等级评估统一导入</t>
        </is>
      </c>
      <c r="D3466" s="24" t="inlineStr">
        <is>
          <t>2</t>
        </is>
      </c>
      <c r="E3466" s="24" t="inlineStr">
        <is>
          <t>较强</t>
        </is>
      </c>
    </row>
    <row r="3467">
      <c r="B3467" s="24" t="inlineStr">
        <is>
          <t>IndustryCorrlation</t>
        </is>
      </c>
      <c r="C3467" s="24" t="inlineStr">
        <is>
          <t>信用等级评估统一导入</t>
        </is>
      </c>
      <c r="D3467" s="24" t="inlineStr">
        <is>
          <t>3</t>
        </is>
      </c>
      <c r="E3467" s="24" t="inlineStr">
        <is>
          <t>无</t>
        </is>
      </c>
    </row>
    <row r="3468" ht="15.95" customHeight="1" s="170">
      <c r="B3468" s="122" t="inlineStr">
        <is>
          <t>码值：IndCreditOccupation</t>
        </is>
      </c>
    </row>
    <row r="3469">
      <c r="B3469" s="24" t="inlineStr">
        <is>
          <t>IndCreditOccupation</t>
        </is>
      </c>
      <c r="C3469" s="24" t="inlineStr">
        <is>
          <t>信用等级评估统一导入</t>
        </is>
      </c>
      <c r="D3469" s="24" t="inlineStr">
        <is>
          <t>01</t>
        </is>
      </c>
      <c r="E3469" s="24" t="inlineStr">
        <is>
          <t>国家公务员,职业律师,职业会计师,评估师,精算师</t>
        </is>
      </c>
    </row>
    <row r="3470">
      <c r="B3470" s="24" t="inlineStr">
        <is>
          <t>IndCreditOccupation</t>
        </is>
      </c>
      <c r="C3470" s="24" t="inlineStr">
        <is>
          <t>信用等级评估统一导入</t>
        </is>
      </c>
      <c r="D3470" s="24" t="inlineStr">
        <is>
          <t>02</t>
        </is>
      </c>
      <c r="E3470" s="24" t="inlineStr">
        <is>
          <t>国有独资垄断性企业(电信,水电气供应公司),金融业从业人员</t>
        </is>
      </c>
    </row>
    <row r="3471">
      <c r="B3471" s="24" t="inlineStr">
        <is>
          <t>IndCreditOccupation</t>
        </is>
      </c>
      <c r="C3471" s="24" t="inlineStr">
        <is>
          <t>信用等级评估统一导入</t>
        </is>
      </c>
      <c r="D3471" s="24" t="inlineStr">
        <is>
          <t>03</t>
        </is>
      </c>
      <c r="E3471" s="24" t="inlineStr">
        <is>
          <t>大中型企业管理人员</t>
        </is>
      </c>
    </row>
    <row r="3472">
      <c r="B3472" s="24" t="inlineStr">
        <is>
          <t>IndCreditOccupation</t>
        </is>
      </c>
      <c r="C3472" s="24" t="inlineStr">
        <is>
          <t>信用等级评估统一导入</t>
        </is>
      </c>
      <c r="D3472" s="24" t="inlineStr">
        <is>
          <t>04</t>
        </is>
      </c>
      <c r="E3472" s="24" t="inlineStr">
        <is>
          <t>大中型企业技术人员</t>
        </is>
      </c>
    </row>
    <row r="3473">
      <c r="B3473" s="24" t="inlineStr">
        <is>
          <t>IndCreditOccupation</t>
        </is>
      </c>
      <c r="C3473" s="24" t="inlineStr">
        <is>
          <t>信用等级评估统一导入</t>
        </is>
      </c>
      <c r="D3473" s="24" t="inlineStr">
        <is>
          <t>05</t>
        </is>
      </c>
      <c r="E3473" s="24" t="inlineStr">
        <is>
          <t>其它</t>
        </is>
      </c>
    </row>
    <row r="3474" ht="15.95" customHeight="1" s="170">
      <c r="B3474" s="122" t="inlineStr">
        <is>
          <t>码值：BUILDINGSTUCTTYPE</t>
        </is>
      </c>
    </row>
    <row r="3475">
      <c r="B3475" s="24" t="inlineStr">
        <is>
          <t>BUILDINGSTUCTTYPE</t>
        </is>
      </c>
      <c r="C3475" s="24" t="inlineStr">
        <is>
          <t>建筑结构</t>
        </is>
      </c>
      <c r="D3475" s="24" t="inlineStr">
        <is>
          <t>01</t>
        </is>
      </c>
      <c r="E3475" s="24" t="inlineStr">
        <is>
          <t>框架</t>
        </is>
      </c>
    </row>
    <row r="3476">
      <c r="B3476" s="24" t="inlineStr">
        <is>
          <t>BUILDINGSTUCTTYPE</t>
        </is>
      </c>
      <c r="C3476" s="24" t="inlineStr">
        <is>
          <t>建筑结构</t>
        </is>
      </c>
      <c r="D3476" s="24" t="inlineStr">
        <is>
          <t>02</t>
        </is>
      </c>
      <c r="E3476" s="24" t="inlineStr">
        <is>
          <t>框剪</t>
        </is>
      </c>
    </row>
    <row r="3477">
      <c r="B3477" s="24" t="inlineStr">
        <is>
          <t>BUILDINGSTUCTTYPE</t>
        </is>
      </c>
      <c r="C3477" s="24" t="inlineStr">
        <is>
          <t>建筑结构</t>
        </is>
      </c>
      <c r="D3477" s="24" t="inlineStr">
        <is>
          <t>03</t>
        </is>
      </c>
      <c r="E3477" s="24" t="inlineStr">
        <is>
          <t>砖混</t>
        </is>
      </c>
    </row>
    <row r="3478">
      <c r="B3478" s="24" t="inlineStr">
        <is>
          <t>BUILDINGSTUCTTYPE</t>
        </is>
      </c>
      <c r="C3478" s="24" t="inlineStr">
        <is>
          <t>建筑结构</t>
        </is>
      </c>
      <c r="D3478" s="24" t="inlineStr">
        <is>
          <t>04</t>
        </is>
      </c>
      <c r="E3478" s="24" t="inlineStr">
        <is>
          <t>简易</t>
        </is>
      </c>
    </row>
    <row r="3479" ht="15.95" customHeight="1" s="170">
      <c r="B3479" s="122" t="inlineStr">
        <is>
          <t>码值：EntFinanceState</t>
        </is>
      </c>
    </row>
    <row r="3480">
      <c r="B3480" s="24" t="inlineStr">
        <is>
          <t>EntFinanceState</t>
        </is>
      </c>
      <c r="C3480" s="24" t="inlineStr">
        <is>
          <t>企业财务状况</t>
        </is>
      </c>
      <c r="D3480" s="24" t="inlineStr">
        <is>
          <t>01</t>
        </is>
      </c>
      <c r="E3480" s="24" t="inlineStr">
        <is>
          <t>1、好：财务状况稳定，各项指标都很好，呈良性发展态势；</t>
        </is>
      </c>
    </row>
    <row r="3481">
      <c r="B3481" s="24" t="inlineStr">
        <is>
          <t>EntFinanceState</t>
        </is>
      </c>
      <c r="C3481" s="24" t="inlineStr">
        <is>
          <t>企业财务状况</t>
        </is>
      </c>
      <c r="D3481" s="24" t="inlineStr">
        <is>
          <t>02</t>
        </is>
      </c>
      <c r="E3481" s="24" t="inlineStr">
        <is>
          <t>2、较好：财务状况基本稳定，各项指标较好；</t>
        </is>
      </c>
    </row>
    <row r="3482">
      <c r="B3482" s="24" t="inlineStr">
        <is>
          <t>EntFinanceState</t>
        </is>
      </c>
      <c r="C3482" s="24" t="inlineStr">
        <is>
          <t>企业财务状况</t>
        </is>
      </c>
      <c r="D3482" s="24" t="inlineStr">
        <is>
          <t>03</t>
        </is>
      </c>
      <c r="E3482" s="24" t="inlineStr">
        <is>
          <t>3、一般：财务状况基本稳定，各项指标一般；</t>
        </is>
      </c>
    </row>
    <row r="3483">
      <c r="B3483" s="24" t="inlineStr">
        <is>
          <t>EntFinanceState</t>
        </is>
      </c>
      <c r="C3483" s="24" t="inlineStr">
        <is>
          <t>企业财务状况</t>
        </is>
      </c>
      <c r="D3483" s="24" t="inlineStr">
        <is>
          <t>04</t>
        </is>
      </c>
      <c r="E3483" s="24" t="inlineStr">
        <is>
          <t>4、较差：财务状况不稳定，报表有虚假成份，或利润与营业额呈下降趋势，或已出现亏损；</t>
        </is>
      </c>
    </row>
    <row r="3484">
      <c r="B3484" s="24" t="inlineStr">
        <is>
          <t>EntFinanceState</t>
        </is>
      </c>
      <c r="C3484" s="24" t="inlineStr">
        <is>
          <t>企业财务状况</t>
        </is>
      </c>
      <c r="D3484" s="24" t="inlineStr">
        <is>
          <t>05</t>
        </is>
      </c>
      <c r="E3484" s="24" t="inlineStr">
        <is>
          <t>5、差：财务状况很不稳定，报送虚假的财务报表或因财务管理原因无法报送报表，或出现严重亏损；</t>
        </is>
      </c>
    </row>
    <row r="3485" ht="15.95" customHeight="1" s="170">
      <c r="B3485" s="122" t="inlineStr">
        <is>
          <t>码值：SecurityAuditOption</t>
        </is>
      </c>
    </row>
    <row r="3486">
      <c r="B3486" s="24" t="inlineStr">
        <is>
          <t>SecurityAuditOption</t>
        </is>
      </c>
      <c r="C3486" s="24" t="inlineStr">
        <is>
          <t>安全审计规则</t>
        </is>
      </c>
      <c r="D3486" s="24" t="inlineStr">
        <is>
          <t>010</t>
        </is>
      </c>
      <c r="E3486" s="24" t="inlineStr">
        <is>
          <t>PWDCheckRule</t>
        </is>
      </c>
    </row>
    <row r="3487">
      <c r="B3487" s="24" t="inlineStr">
        <is>
          <t>SecurityAuditOption</t>
        </is>
      </c>
      <c r="C3487" s="24" t="inlineStr">
        <is>
          <t>安全审计规则</t>
        </is>
      </c>
      <c r="D3487" s="24" t="inlineStr">
        <is>
          <t>020</t>
        </is>
      </c>
      <c r="E3487" s="24" t="inlineStr">
        <is>
          <t>PWDExpiredDay</t>
        </is>
      </c>
    </row>
    <row r="3488">
      <c r="B3488" s="24" t="inlineStr">
        <is>
          <t>SecurityAuditOption</t>
        </is>
      </c>
      <c r="C3488" s="24" t="inlineStr">
        <is>
          <t>安全审计规则</t>
        </is>
      </c>
      <c r="D3488" s="24" t="inlineStr">
        <is>
          <t>030</t>
        </is>
      </c>
      <c r="E3488" s="24" t="inlineStr">
        <is>
          <t>PWDErrorTime</t>
        </is>
      </c>
    </row>
    <row r="3489">
      <c r="B3489" s="24" t="inlineStr">
        <is>
          <t>SecurityAuditOption</t>
        </is>
      </c>
      <c r="C3489" s="24" t="inlineStr">
        <is>
          <t>安全审计规则</t>
        </is>
      </c>
      <c r="D3489" s="24" t="inlineStr">
        <is>
          <t>040</t>
        </is>
      </c>
      <c r="E3489" s="24" t="inlineStr">
        <is>
          <t>IsLogonLog</t>
        </is>
      </c>
    </row>
    <row r="3490">
      <c r="B3490" s="24" t="inlineStr">
        <is>
          <t>SecurityAuditOption</t>
        </is>
      </c>
      <c r="C3490" s="24" t="inlineStr">
        <is>
          <t>安全审计规则</t>
        </is>
      </c>
      <c r="D3490" s="24" t="inlineStr">
        <is>
          <t>050</t>
        </is>
      </c>
      <c r="E3490" s="24" t="inlineStr">
        <is>
          <t>IsRuntimeLog</t>
        </is>
      </c>
    </row>
    <row r="3491">
      <c r="B3491" s="24" t="inlineStr">
        <is>
          <t>SecurityAuditOption</t>
        </is>
      </c>
      <c r="C3491" s="24" t="inlineStr">
        <is>
          <t>安全审计规则</t>
        </is>
      </c>
      <c r="D3491" s="24" t="inlineStr">
        <is>
          <t>060</t>
        </is>
      </c>
      <c r="E3491" s="24" t="inlineStr">
        <is>
          <t>IsDBLog</t>
        </is>
      </c>
    </row>
    <row r="3492">
      <c r="B3492" s="24" t="inlineStr">
        <is>
          <t>SecurityAuditOption</t>
        </is>
      </c>
      <c r="C3492" s="24" t="inlineStr">
        <is>
          <t>安全审计规则</t>
        </is>
      </c>
      <c r="D3492" s="24" t="inlineStr">
        <is>
          <t>070</t>
        </is>
      </c>
      <c r="E3492" s="24" t="inlineStr">
        <is>
          <t>IsDBAlterLog</t>
        </is>
      </c>
    </row>
    <row r="3493">
      <c r="B3493" s="24" t="inlineStr">
        <is>
          <t>SecurityAuditOption</t>
        </is>
      </c>
      <c r="C3493" s="24" t="inlineStr">
        <is>
          <t>安全审计规则</t>
        </is>
      </c>
      <c r="D3493" s="24" t="inlineStr">
        <is>
          <t>080</t>
        </is>
      </c>
      <c r="E3493" s="24" t="inlineStr">
        <is>
          <t>IsUserChangeLog</t>
        </is>
      </c>
    </row>
    <row r="3494" ht="15.95" customHeight="1" s="170">
      <c r="B3494" s="122" t="inlineStr">
        <is>
          <t>码值：BatchFinanceClApplyView</t>
        </is>
      </c>
    </row>
    <row r="3495">
      <c r="B3495" s="24" t="inlineStr">
        <is>
          <t>BatchFinanceClApplyView</t>
        </is>
      </c>
      <c r="C3495" s="24" t="inlineStr">
        <is>
          <t>同业批量授信申请视图</t>
        </is>
      </c>
      <c r="D3495" s="24" t="inlineStr">
        <is>
          <t>010</t>
        </is>
      </c>
      <c r="E3495" s="24" t="inlineStr">
        <is>
          <t>基本信息</t>
        </is>
      </c>
    </row>
    <row r="3496">
      <c r="B3496" s="24" t="inlineStr">
        <is>
          <t>BatchFinanceClApplyView</t>
        </is>
      </c>
      <c r="C3496" s="24" t="inlineStr">
        <is>
          <t>同业批量授信申请视图</t>
        </is>
      </c>
      <c r="D3496" s="24" t="inlineStr">
        <is>
          <t>020</t>
        </is>
      </c>
      <c r="E3496" s="24" t="inlineStr">
        <is>
          <t>业务文档信息</t>
        </is>
      </c>
    </row>
    <row r="3497" ht="15.95" customHeight="1" s="170">
      <c r="B3497" s="122" t="inlineStr">
        <is>
          <t>码值：NPAReformBDList</t>
        </is>
      </c>
    </row>
    <row r="3498">
      <c r="B3498" s="24" t="inlineStr">
        <is>
          <t>NPAReformBDList</t>
        </is>
      </c>
      <c r="C3498" s="24" t="inlineStr">
        <is>
          <t>重组方案详情视图</t>
        </is>
      </c>
      <c r="D3498" s="24" t="inlineStr">
        <is>
          <t>01</t>
        </is>
      </c>
      <c r="E3498" s="24" t="inlineStr">
        <is>
          <t>重组方案信息列表</t>
        </is>
      </c>
    </row>
    <row r="3499" ht="15.95" customHeight="1" s="170">
      <c r="B3499" s="122" t="inlineStr">
        <is>
          <t>码值：车辆信息</t>
        </is>
      </c>
    </row>
    <row r="3500">
      <c r="B3500" s="24" t="inlineStr">
        <is>
          <t>车辆信息</t>
        </is>
      </c>
      <c r="C3500" s="24" t="inlineStr">
        <is>
          <t>车辆信息</t>
        </is>
      </c>
      <c r="D3500" s="24" t="inlineStr">
        <is>
          <t>1</t>
        </is>
      </c>
      <c r="E3500" s="24" t="inlineStr">
        <is>
          <t>自购车辆</t>
        </is>
      </c>
    </row>
    <row r="3501">
      <c r="B3501" s="24" t="inlineStr">
        <is>
          <t>车辆信息</t>
        </is>
      </c>
      <c r="C3501" s="24" t="inlineStr">
        <is>
          <t>车辆信息</t>
        </is>
      </c>
      <c r="D3501" s="24" t="inlineStr">
        <is>
          <t>2</t>
        </is>
      </c>
      <c r="E3501" s="24" t="inlineStr">
        <is>
          <t>按揭购车</t>
        </is>
      </c>
    </row>
    <row r="3502">
      <c r="B3502" s="24" t="inlineStr">
        <is>
          <t>车辆信息</t>
        </is>
      </c>
      <c r="C3502" s="24" t="inlineStr">
        <is>
          <t>车辆信息</t>
        </is>
      </c>
      <c r="D3502" s="24" t="inlineStr">
        <is>
          <t>3</t>
        </is>
      </c>
      <c r="E3502" s="24" t="inlineStr">
        <is>
          <t>无车辆</t>
        </is>
      </c>
    </row>
    <row r="3503" ht="15.95" customHeight="1" s="170">
      <c r="B3503" s="122" t="inlineStr">
        <is>
          <t>码值：控股投资人背景</t>
        </is>
      </c>
    </row>
    <row r="3504">
      <c r="B3504" s="24" t="inlineStr">
        <is>
          <t>控股投资人背景</t>
        </is>
      </c>
      <c r="C3504" s="24" t="inlineStr">
        <is>
          <t>控股投资人背景</t>
        </is>
      </c>
      <c r="D3504" s="24" t="inlineStr">
        <is>
          <t>1</t>
        </is>
      </c>
      <c r="E3504" s="24" t="inlineStr">
        <is>
          <t>世界500强企业</t>
        </is>
      </c>
    </row>
    <row r="3505">
      <c r="B3505" s="24" t="inlineStr">
        <is>
          <t>控股投资人背景</t>
        </is>
      </c>
      <c r="C3505" s="24" t="inlineStr">
        <is>
          <t>控股投资人背景</t>
        </is>
      </c>
      <c r="D3505" s="24" t="inlineStr">
        <is>
          <t>2</t>
        </is>
      </c>
      <c r="E3505" s="24" t="inlineStr">
        <is>
          <t>中央级企业</t>
        </is>
      </c>
    </row>
    <row r="3506">
      <c r="B3506" s="24" t="inlineStr">
        <is>
          <t>控股投资人背景</t>
        </is>
      </c>
      <c r="C3506" s="24" t="inlineStr">
        <is>
          <t>控股投资人背景</t>
        </is>
      </c>
      <c r="D3506" s="24" t="inlineStr">
        <is>
          <t>3</t>
        </is>
      </c>
      <c r="E3506" s="24" t="inlineStr">
        <is>
          <t>欧美合资企业</t>
        </is>
      </c>
    </row>
    <row r="3507">
      <c r="B3507" s="24" t="inlineStr">
        <is>
          <t>控股投资人背景</t>
        </is>
      </c>
      <c r="C3507" s="24" t="inlineStr">
        <is>
          <t>控股投资人背景</t>
        </is>
      </c>
      <c r="D3507" s="24" t="inlineStr">
        <is>
          <t>4</t>
        </is>
      </c>
      <c r="E3507" s="24" t="inlineStr">
        <is>
          <t>其他外商</t>
        </is>
      </c>
    </row>
    <row r="3508">
      <c r="B3508" s="24" t="inlineStr">
        <is>
          <t>控股投资人背景</t>
        </is>
      </c>
      <c r="C3508" s="24" t="inlineStr">
        <is>
          <t>控股投资人背景</t>
        </is>
      </c>
      <c r="D3508" s="24" t="inlineStr">
        <is>
          <t>5</t>
        </is>
      </c>
      <c r="E3508" s="24" t="inlineStr">
        <is>
          <t>上市公司</t>
        </is>
      </c>
    </row>
    <row r="3509">
      <c r="B3509" s="24" t="inlineStr">
        <is>
          <t>控股投资人背景</t>
        </is>
      </c>
      <c r="C3509" s="24" t="inlineStr">
        <is>
          <t>控股投资人背景</t>
        </is>
      </c>
      <c r="D3509" s="24" t="inlineStr">
        <is>
          <t>6</t>
        </is>
      </c>
      <c r="E3509" s="24" t="inlineStr">
        <is>
          <t>其他</t>
        </is>
      </c>
    </row>
    <row r="3510">
      <c r="B3510" s="24" t="inlineStr">
        <is>
          <t>控股投资人背景</t>
        </is>
      </c>
      <c r="C3510" s="24" t="inlineStr">
        <is>
          <t>控股投资人背景</t>
        </is>
      </c>
      <c r="D3510" s="24" t="inlineStr">
        <is>
          <t>7</t>
        </is>
      </c>
      <c r="E3510" s="24" t="inlineStr">
        <is>
          <t>全部由私人出资，股东人数小于等于4人、且净资产在500万以下</t>
        </is>
      </c>
    </row>
    <row r="3511" ht="15.95" customHeight="1" s="170">
      <c r="B3511" s="122" t="inlineStr">
        <is>
          <t>码值：SMECreditQuality</t>
        </is>
      </c>
    </row>
    <row r="3512">
      <c r="B3512" s="24" t="inlineStr">
        <is>
          <t>SMECreditQuality</t>
        </is>
      </c>
      <c r="C3512" s="24" t="inlineStr">
        <is>
          <t>存货质量</t>
        </is>
      </c>
      <c r="D3512" s="24" t="inlineStr">
        <is>
          <t>010</t>
        </is>
      </c>
      <c r="E3512" s="24" t="inlineStr">
        <is>
          <t>高</t>
        </is>
      </c>
    </row>
    <row r="3513">
      <c r="B3513" s="24" t="inlineStr">
        <is>
          <t>SMECreditQuality</t>
        </is>
      </c>
      <c r="C3513" s="24" t="inlineStr">
        <is>
          <t>存货质量</t>
        </is>
      </c>
      <c r="D3513" s="24" t="inlineStr">
        <is>
          <t>020</t>
        </is>
      </c>
      <c r="E3513" s="24" t="inlineStr">
        <is>
          <t>一般</t>
        </is>
      </c>
    </row>
    <row r="3514">
      <c r="B3514" s="24" t="inlineStr">
        <is>
          <t>SMECreditQuality</t>
        </is>
      </c>
      <c r="C3514" s="24" t="inlineStr">
        <is>
          <t>存货质量</t>
        </is>
      </c>
      <c r="D3514" s="24" t="inlineStr">
        <is>
          <t>030</t>
        </is>
      </c>
      <c r="E3514" s="24" t="inlineStr">
        <is>
          <t>低</t>
        </is>
      </c>
    </row>
    <row r="3515" ht="15.95" customHeight="1" s="170">
      <c r="B3515" s="122" t="inlineStr">
        <is>
          <t>码值：BUILDINGFORM</t>
        </is>
      </c>
    </row>
    <row r="3516">
      <c r="B3516" s="24" t="inlineStr">
        <is>
          <t>BUILDINGFORM</t>
        </is>
      </c>
      <c r="C3516" s="24" t="inlineStr">
        <is>
          <t>建筑形式</t>
        </is>
      </c>
      <c r="D3516" s="24" t="inlineStr">
        <is>
          <t>01</t>
        </is>
      </c>
      <c r="E3516" s="24" t="inlineStr">
        <is>
          <t>独栋别墅</t>
        </is>
      </c>
    </row>
    <row r="3517">
      <c r="B3517" s="24" t="inlineStr">
        <is>
          <t>BUILDINGFORM</t>
        </is>
      </c>
      <c r="C3517" s="24" t="inlineStr">
        <is>
          <t>建筑形式</t>
        </is>
      </c>
      <c r="D3517" s="24" t="inlineStr">
        <is>
          <t>02</t>
        </is>
      </c>
      <c r="E3517" s="24" t="inlineStr">
        <is>
          <t>联排别墅</t>
        </is>
      </c>
    </row>
    <row r="3518">
      <c r="B3518" s="24" t="inlineStr">
        <is>
          <t>BUILDINGFORM</t>
        </is>
      </c>
      <c r="C3518" s="24" t="inlineStr">
        <is>
          <t>建筑形式</t>
        </is>
      </c>
      <c r="D3518" s="24" t="inlineStr">
        <is>
          <t>03</t>
        </is>
      </c>
      <c r="E3518" s="24" t="inlineStr">
        <is>
          <t>双拼别墅</t>
        </is>
      </c>
    </row>
    <row r="3519">
      <c r="B3519" s="24" t="inlineStr">
        <is>
          <t>BUILDINGFORM</t>
        </is>
      </c>
      <c r="C3519" s="24" t="inlineStr">
        <is>
          <t>建筑形式</t>
        </is>
      </c>
      <c r="D3519" s="24" t="inlineStr">
        <is>
          <t>04</t>
        </is>
      </c>
      <c r="E3519" s="24" t="inlineStr">
        <is>
          <t>叠拼别墅</t>
        </is>
      </c>
    </row>
    <row r="3520">
      <c r="B3520" s="24" t="inlineStr">
        <is>
          <t>BUILDINGFORM</t>
        </is>
      </c>
      <c r="C3520" s="24" t="inlineStr">
        <is>
          <t>建筑形式</t>
        </is>
      </c>
      <c r="D3520" s="24" t="inlineStr">
        <is>
          <t>05</t>
        </is>
      </c>
      <c r="E3520" s="24" t="inlineStr">
        <is>
          <t>高层板楼</t>
        </is>
      </c>
    </row>
    <row r="3521">
      <c r="B3521" s="24" t="inlineStr">
        <is>
          <t>BUILDINGFORM</t>
        </is>
      </c>
      <c r="C3521" s="24" t="inlineStr">
        <is>
          <t>建筑形式</t>
        </is>
      </c>
      <c r="D3521" s="24" t="inlineStr">
        <is>
          <t>06</t>
        </is>
      </c>
      <c r="E3521" s="24" t="inlineStr">
        <is>
          <t>高层塔楼</t>
        </is>
      </c>
    </row>
    <row r="3522">
      <c r="B3522" s="24" t="inlineStr">
        <is>
          <t>BUILDINGFORM</t>
        </is>
      </c>
      <c r="C3522" s="24" t="inlineStr">
        <is>
          <t>建筑形式</t>
        </is>
      </c>
      <c r="D3522" s="24" t="inlineStr">
        <is>
          <t>07</t>
        </is>
      </c>
      <c r="E3522" s="24" t="inlineStr">
        <is>
          <t>小高层板楼</t>
        </is>
      </c>
    </row>
    <row r="3523">
      <c r="B3523" s="24" t="inlineStr">
        <is>
          <t>BUILDINGFORM</t>
        </is>
      </c>
      <c r="C3523" s="24" t="inlineStr">
        <is>
          <t>建筑形式</t>
        </is>
      </c>
      <c r="D3523" s="24" t="inlineStr">
        <is>
          <t>08</t>
        </is>
      </c>
      <c r="E3523" s="24" t="inlineStr">
        <is>
          <t>多层板楼</t>
        </is>
      </c>
    </row>
    <row r="3524">
      <c r="B3524" s="24" t="inlineStr">
        <is>
          <t>BUILDINGFORM</t>
        </is>
      </c>
      <c r="C3524" s="24" t="inlineStr">
        <is>
          <t>建筑形式</t>
        </is>
      </c>
      <c r="D3524" s="24" t="inlineStr">
        <is>
          <t>09</t>
        </is>
      </c>
      <c r="E3524" s="24" t="inlineStr">
        <is>
          <t>板塔结合</t>
        </is>
      </c>
    </row>
    <row r="3525">
      <c r="B3525" s="24" t="inlineStr">
        <is>
          <t>BUILDINGFORM</t>
        </is>
      </c>
      <c r="C3525" s="24" t="inlineStr">
        <is>
          <t>建筑形式</t>
        </is>
      </c>
      <c r="D3525" s="24" t="inlineStr">
        <is>
          <t>10</t>
        </is>
      </c>
      <c r="E3525" s="24" t="inlineStr">
        <is>
          <t>其他形式</t>
        </is>
      </c>
    </row>
    <row r="3526" ht="15.95" customHeight="1" s="170">
      <c r="B3526" s="122" t="inlineStr">
        <is>
          <t>码值：BailPayMentType</t>
        </is>
      </c>
    </row>
    <row r="3527">
      <c r="B3527" s="24" t="inlineStr">
        <is>
          <t>BailPayMentType</t>
        </is>
      </c>
      <c r="C3527" s="24" t="inlineStr">
        <is>
          <t>保证金缴纳方式</t>
        </is>
      </c>
      <c r="D3527" s="24" t="inlineStr">
        <is>
          <t>010</t>
        </is>
      </c>
      <c r="E3527" s="24" t="inlineStr">
        <is>
          <t>按每笔贷款信息留存保证金</t>
        </is>
      </c>
    </row>
    <row r="3528">
      <c r="B3528" s="24" t="inlineStr">
        <is>
          <t>BailPayMentType</t>
        </is>
      </c>
      <c r="C3528" s="24" t="inlineStr">
        <is>
          <t>保证金缴纳方式</t>
        </is>
      </c>
      <c r="D3528" s="24" t="inlineStr">
        <is>
          <t>020</t>
        </is>
      </c>
      <c r="E3528" s="24" t="inlineStr">
        <is>
          <t>预存定额保证金</t>
        </is>
      </c>
    </row>
    <row r="3529">
      <c r="B3529" s="24" t="inlineStr">
        <is>
          <t>BailPayMentType</t>
        </is>
      </c>
      <c r="C3529" s="24" t="inlineStr">
        <is>
          <t>保证金缴纳方式</t>
        </is>
      </c>
      <c r="D3529" s="24" t="inlineStr">
        <is>
          <t>030</t>
        </is>
      </c>
      <c r="E3529" s="24" t="inlineStr">
        <is>
          <t>预存定比保证金</t>
        </is>
      </c>
    </row>
    <row r="3530" ht="15.95" customHeight="1" s="170">
      <c r="B3530" s="122" t="inlineStr">
        <is>
          <t>码值：ApproveApprovalMain</t>
        </is>
      </c>
    </row>
    <row r="3531">
      <c r="B3531" s="24" t="inlineStr">
        <is>
          <t>ApproveApprovalMain</t>
        </is>
      </c>
      <c r="C3531" s="24" t="inlineStr">
        <is>
          <t>授信业务批复审批判断</t>
        </is>
      </c>
      <c r="D3531" s="24" t="inlineStr">
        <is>
          <t>N</t>
        </is>
      </c>
      <c r="E3531" s="24" t="inlineStr">
        <is>
          <t>当前工作</t>
        </is>
      </c>
    </row>
    <row r="3532">
      <c r="B3532" s="24" t="inlineStr">
        <is>
          <t>ApproveApprovalMain</t>
        </is>
      </c>
      <c r="C3532" s="24" t="inlineStr">
        <is>
          <t>授信业务批复审批判断</t>
        </is>
      </c>
      <c r="D3532" s="24" t="inlineStr">
        <is>
          <t>Y</t>
        </is>
      </c>
      <c r="E3532" s="24" t="inlineStr">
        <is>
          <t>已完成工作</t>
        </is>
      </c>
    </row>
    <row r="3533">
      <c r="B3533" s="24" t="inlineStr">
        <is>
          <t>ApproveApprovalMain</t>
        </is>
      </c>
      <c r="C3533" s="24" t="inlineStr">
        <is>
          <t>授信业务批复审批判断</t>
        </is>
      </c>
      <c r="D3533" s="24" t="inlineStr">
        <is>
          <t>当前工作/已完成工作</t>
        </is>
      </c>
      <c r="E3533" s="24" t="inlineStr">
        <is>
          <t>阶段名称</t>
        </is>
      </c>
    </row>
    <row r="3534" ht="15.95" customHeight="1" s="170">
      <c r="B3534" s="122" t="inlineStr">
        <is>
          <t>码值：收入稳定性</t>
        </is>
      </c>
    </row>
    <row r="3535">
      <c r="B3535" s="24" t="inlineStr">
        <is>
          <t>收入稳定性</t>
        </is>
      </c>
      <c r="C3535" s="24" t="inlineStr">
        <is>
          <t>收入稳定性</t>
        </is>
      </c>
      <c r="D3535" s="24" t="inlineStr">
        <is>
          <t>1</t>
        </is>
      </c>
      <c r="E3535" s="24" t="inlineStr">
        <is>
          <t>稳定</t>
        </is>
      </c>
    </row>
    <row r="3536">
      <c r="B3536" s="24" t="inlineStr">
        <is>
          <t>收入稳定性</t>
        </is>
      </c>
      <c r="C3536" s="24" t="inlineStr">
        <is>
          <t>收入稳定性</t>
        </is>
      </c>
      <c r="D3536" s="24" t="inlineStr">
        <is>
          <t>2</t>
        </is>
      </c>
      <c r="E3536" s="24" t="inlineStr">
        <is>
          <t>较稳定</t>
        </is>
      </c>
    </row>
    <row r="3537">
      <c r="B3537" s="24" t="inlineStr">
        <is>
          <t>收入稳定性</t>
        </is>
      </c>
      <c r="C3537" s="24" t="inlineStr">
        <is>
          <t>收入稳定性</t>
        </is>
      </c>
      <c r="D3537" s="24" t="inlineStr">
        <is>
          <t>3</t>
        </is>
      </c>
      <c r="E3537" s="24" t="inlineStr">
        <is>
          <t>不稳定</t>
        </is>
      </c>
    </row>
    <row r="3538" ht="15.95" customHeight="1" s="170">
      <c r="B3538" s="122" t="inlineStr">
        <is>
          <t>码值：PDADailyList</t>
        </is>
      </c>
    </row>
    <row r="3539">
      <c r="B3539" s="24" t="inlineStr">
        <is>
          <t>PDADailyList</t>
        </is>
      </c>
      <c r="C3539" s="24" t="inlineStr">
        <is>
          <t>抵债资产日常管理树状菜单</t>
        </is>
      </c>
      <c r="D3539" s="24" t="inlineStr">
        <is>
          <t>01</t>
        </is>
      </c>
      <c r="E3539" s="24" t="inlineStr">
        <is>
          <t>待处置的资产</t>
        </is>
      </c>
    </row>
    <row r="3540">
      <c r="B3540" s="24" t="inlineStr">
        <is>
          <t>PDADailyList</t>
        </is>
      </c>
      <c r="C3540" s="24" t="inlineStr">
        <is>
          <t>抵债资产日常管理树状菜单</t>
        </is>
      </c>
      <c r="D3540" s="24" t="inlineStr">
        <is>
          <t>02</t>
        </is>
      </c>
      <c r="E3540" s="24" t="inlineStr">
        <is>
          <t>处置中的资产</t>
        </is>
      </c>
    </row>
    <row r="3541">
      <c r="B3541" s="24" t="inlineStr">
        <is>
          <t>PDADailyList</t>
        </is>
      </c>
      <c r="C3541" s="24" t="inlineStr">
        <is>
          <t>抵债资产日常管理树状菜单</t>
        </is>
      </c>
      <c r="D3541" s="24" t="inlineStr">
        <is>
          <t>0201</t>
        </is>
      </c>
      <c r="E3541" s="24" t="inlineStr">
        <is>
          <t>表内登记</t>
        </is>
      </c>
    </row>
    <row r="3542">
      <c r="B3542" s="24" t="inlineStr">
        <is>
          <t>PDADailyList</t>
        </is>
      </c>
      <c r="C3542" s="24" t="inlineStr">
        <is>
          <t>抵债资产日常管理树状菜单</t>
        </is>
      </c>
      <c r="D3542" s="24" t="inlineStr">
        <is>
          <t>0202</t>
        </is>
      </c>
      <c r="E3542" s="24" t="inlineStr">
        <is>
          <t>表外登记</t>
        </is>
      </c>
    </row>
    <row r="3543">
      <c r="B3543" s="24" t="inlineStr">
        <is>
          <t>PDADailyList</t>
        </is>
      </c>
      <c r="C3543" s="24" t="inlineStr">
        <is>
          <t>抵债资产日常管理树状菜单</t>
        </is>
      </c>
      <c r="D3543" s="24" t="inlineStr">
        <is>
          <t>03</t>
        </is>
      </c>
      <c r="E3543" s="24" t="inlineStr">
        <is>
          <t>处置终结的资产</t>
        </is>
      </c>
    </row>
    <row r="3544">
      <c r="B3544" s="24" t="inlineStr">
        <is>
          <t>PDADailyList</t>
        </is>
      </c>
      <c r="C3544" s="24" t="inlineStr">
        <is>
          <t>抵债资产日常管理树状菜单</t>
        </is>
      </c>
      <c r="D3544" s="24" t="inlineStr">
        <is>
          <t>0301</t>
        </is>
      </c>
      <c r="E3544" s="24" t="inlineStr">
        <is>
          <t>表内登记</t>
        </is>
      </c>
    </row>
    <row r="3545">
      <c r="B3545" s="24" t="inlineStr">
        <is>
          <t>PDADailyList</t>
        </is>
      </c>
      <c r="C3545" s="24" t="inlineStr">
        <is>
          <t>抵债资产日常管理树状菜单</t>
        </is>
      </c>
      <c r="D3545" s="24" t="inlineStr">
        <is>
          <t>0302</t>
        </is>
      </c>
      <c r="E3545" s="24" t="inlineStr">
        <is>
          <t>表外登记</t>
        </is>
      </c>
    </row>
    <row r="3546">
      <c r="B3546" s="24" t="inlineStr">
        <is>
          <t>PDADailyList</t>
        </is>
      </c>
      <c r="C3546" s="24" t="inlineStr">
        <is>
          <t>抵债资产日常管理树状菜单</t>
        </is>
      </c>
      <c r="D3546" s="24" t="inlineStr">
        <is>
          <t>04</t>
        </is>
      </c>
      <c r="E3546" s="24" t="inlineStr">
        <is>
          <t>返回</t>
        </is>
      </c>
    </row>
    <row r="3547" ht="15.95" customHeight="1" s="170">
      <c r="B3547" s="122" t="inlineStr">
        <is>
          <t>码值：母子公司银行授信结构</t>
        </is>
      </c>
    </row>
    <row r="3548">
      <c r="B3548" s="24" t="inlineStr">
        <is>
          <t>母子公司银行授信结构</t>
        </is>
      </c>
      <c r="C3548" s="24" t="inlineStr">
        <is>
          <t>母子公司银行授信结构</t>
        </is>
      </c>
      <c r="D3548" s="24" t="inlineStr">
        <is>
          <t>01</t>
        </is>
      </c>
      <c r="E3548" s="24" t="inlineStr">
        <is>
          <t>集团公司采用集团授信，母公司对子公司债务承担完全连带责任</t>
        </is>
      </c>
    </row>
    <row r="3549">
      <c r="B3549" s="24" t="inlineStr">
        <is>
          <t>母子公司银行授信结构</t>
        </is>
      </c>
      <c r="C3549" s="24" t="inlineStr">
        <is>
          <t>母子公司银行授信结构</t>
        </is>
      </c>
      <c r="D3549" s="24" t="inlineStr">
        <is>
          <t>02</t>
        </is>
      </c>
      <c r="E3549" s="24" t="inlineStr">
        <is>
          <t>采用单独授信，母公司对子公司债务只承担有限责任</t>
        </is>
      </c>
    </row>
    <row r="3550">
      <c r="B3550" s="24" t="inlineStr">
        <is>
          <t>母子公司银行授信结构</t>
        </is>
      </c>
      <c r="C3550" s="24" t="inlineStr">
        <is>
          <t>母子公司银行授信结构</t>
        </is>
      </c>
      <c r="D3550" s="24" t="inlineStr">
        <is>
          <t>03</t>
        </is>
      </c>
      <c r="E3550" s="24" t="inlineStr">
        <is>
          <t>虽然为子母公司关系，但是母公司对子公司债务不承担责任</t>
        </is>
      </c>
    </row>
    <row r="3551">
      <c r="B3551" s="24" t="inlineStr">
        <is>
          <t>母子公司银行授信结构</t>
        </is>
      </c>
      <c r="C3551" s="24" t="inlineStr">
        <is>
          <t>母子公司银行授信结构</t>
        </is>
      </c>
      <c r="D3551" s="24" t="inlineStr">
        <is>
          <t>04</t>
        </is>
      </c>
      <c r="E3551" s="24" t="inlineStr">
        <is>
          <t>非子母公司关系</t>
        </is>
      </c>
    </row>
    <row r="3552" ht="15.95" customHeight="1" s="170">
      <c r="B3552" s="122" t="inlineStr">
        <is>
          <t>码值：GuarantorRegularCheckApproveMain</t>
        </is>
      </c>
    </row>
    <row r="3553">
      <c r="B3553" s="24" t="inlineStr">
        <is>
          <t>GuarantorRegularCheckApproveMain</t>
        </is>
      </c>
      <c r="C3553" s="24" t="inlineStr">
        <is>
          <t>担保公司贷后检查审批</t>
        </is>
      </c>
      <c r="D3553" s="24" t="inlineStr">
        <is>
          <t>N</t>
        </is>
      </c>
      <c r="E3553" s="24" t="inlineStr">
        <is>
          <t>待办任务</t>
        </is>
      </c>
    </row>
    <row r="3554">
      <c r="B3554" s="24" t="inlineStr">
        <is>
          <t>GuarantorRegularCheckApproveMain</t>
        </is>
      </c>
      <c r="C3554" s="24" t="inlineStr">
        <is>
          <t>担保公司贷后检查审批</t>
        </is>
      </c>
      <c r="D3554" s="24" t="inlineStr">
        <is>
          <t>Y</t>
        </is>
      </c>
      <c r="E3554" s="24" t="inlineStr">
        <is>
          <t>已办任务</t>
        </is>
      </c>
    </row>
    <row r="3555">
      <c r="B3555" s="24" t="inlineStr">
        <is>
          <t>GuarantorRegularCheckApproveMain</t>
        </is>
      </c>
      <c r="C3555" s="24" t="inlineStr">
        <is>
          <t>担保公司贷后检查审批</t>
        </is>
      </c>
      <c r="D3555" s="24" t="inlineStr">
        <is>
          <t>当前工作/已完成工作</t>
        </is>
      </c>
      <c r="E3555" s="24" t="inlineStr">
        <is>
          <t>阶段名称</t>
        </is>
      </c>
    </row>
    <row r="3556" ht="15.95" customHeight="1" s="170">
      <c r="B3556" s="122" t="inlineStr">
        <is>
          <t>码值：股东类型</t>
        </is>
      </c>
    </row>
    <row r="3557">
      <c r="B3557" s="24" t="inlineStr">
        <is>
          <t>股东类型</t>
        </is>
      </c>
      <c r="C3557" s="24" t="inlineStr">
        <is>
          <t>股东类型</t>
        </is>
      </c>
      <c r="D3557" s="24" t="inlineStr">
        <is>
          <t>01</t>
        </is>
      </c>
      <c r="E3557" s="24" t="inlineStr">
        <is>
          <t>央企，或者世界五百强企业，或其直接控股企业</t>
        </is>
      </c>
    </row>
    <row r="3558">
      <c r="B3558" s="24" t="inlineStr">
        <is>
          <t>股东类型</t>
        </is>
      </c>
      <c r="C3558" s="24" t="inlineStr">
        <is>
          <t>股东类型</t>
        </is>
      </c>
      <c r="D3558" s="24" t="inlineStr">
        <is>
          <t>02</t>
        </is>
      </c>
      <c r="E3558" s="24" t="inlineStr">
        <is>
          <t>上市公司(包括国内及国外上市公司,但不包括ST股或已停牌上市公司)，或者省（自治区、直辖市）属国有企业</t>
        </is>
      </c>
    </row>
    <row r="3559">
      <c r="B3559" s="24" t="inlineStr">
        <is>
          <t>股东类型</t>
        </is>
      </c>
      <c r="C3559" s="24" t="inlineStr">
        <is>
          <t>股东类型</t>
        </is>
      </c>
      <c r="D3559" s="24" t="inlineStr">
        <is>
          <t>03</t>
        </is>
      </c>
      <c r="E3559" s="24" t="inlineStr">
        <is>
          <t>B类公司的直接控股子公司</t>
        </is>
      </c>
    </row>
    <row r="3560">
      <c r="B3560" s="24" t="inlineStr">
        <is>
          <t>股东类型</t>
        </is>
      </c>
      <c r="C3560" s="24" t="inlineStr">
        <is>
          <t>股东类型</t>
        </is>
      </c>
      <c r="D3560" s="24" t="inlineStr">
        <is>
          <t>04</t>
        </is>
      </c>
      <c r="E3560" s="24" t="inlineStr">
        <is>
          <t>非上市股份有限公司</t>
        </is>
      </c>
    </row>
    <row r="3561">
      <c r="B3561" s="24" t="inlineStr">
        <is>
          <t>股东类型</t>
        </is>
      </c>
      <c r="C3561" s="24" t="inlineStr">
        <is>
          <t>股东类型</t>
        </is>
      </c>
      <c r="D3561" s="24" t="inlineStr">
        <is>
          <t>05</t>
        </is>
      </c>
      <c r="E3561" s="24" t="inlineStr">
        <is>
          <t>个人或其他</t>
        </is>
      </c>
    </row>
    <row r="3562" ht="15.95" customHeight="1" s="170">
      <c r="B3562" s="122" t="inlineStr">
        <is>
          <t>码值：AccountBank</t>
        </is>
      </c>
    </row>
    <row r="3563">
      <c r="B3563" s="24" t="inlineStr">
        <is>
          <t>AccountBank</t>
        </is>
      </c>
      <c r="C3563" s="24" t="inlineStr">
        <is>
          <t>账户行</t>
        </is>
      </c>
      <c r="D3563" s="24" t="inlineStr">
        <is>
          <t>01</t>
        </is>
      </c>
      <c r="E3563" s="24" t="inlineStr">
        <is>
          <t>中国工商银行</t>
        </is>
      </c>
    </row>
    <row r="3564">
      <c r="B3564" s="24" t="inlineStr">
        <is>
          <t>AccountBank</t>
        </is>
      </c>
      <c r="C3564" s="24" t="inlineStr">
        <is>
          <t>账户行</t>
        </is>
      </c>
      <c r="D3564" s="24" t="inlineStr">
        <is>
          <t>02</t>
        </is>
      </c>
      <c r="E3564" s="24" t="inlineStr">
        <is>
          <t>中国农业银行</t>
        </is>
      </c>
    </row>
    <row r="3565">
      <c r="B3565" s="24" t="inlineStr">
        <is>
          <t>AccountBank</t>
        </is>
      </c>
      <c r="C3565" s="24" t="inlineStr">
        <is>
          <t>账户行</t>
        </is>
      </c>
      <c r="D3565" s="24" t="inlineStr">
        <is>
          <t>03</t>
        </is>
      </c>
      <c r="E3565" s="24" t="inlineStr">
        <is>
          <t>中国银行</t>
        </is>
      </c>
    </row>
    <row r="3566">
      <c r="B3566" s="24" t="inlineStr">
        <is>
          <t>AccountBank</t>
        </is>
      </c>
      <c r="C3566" s="24" t="inlineStr">
        <is>
          <t>账户行</t>
        </is>
      </c>
      <c r="D3566" s="24" t="inlineStr">
        <is>
          <t>04</t>
        </is>
      </c>
      <c r="E3566" s="24" t="inlineStr">
        <is>
          <t>中国建设银行</t>
        </is>
      </c>
    </row>
    <row r="3567">
      <c r="B3567" s="24" t="inlineStr">
        <is>
          <t>AccountBank</t>
        </is>
      </c>
      <c r="C3567" s="24" t="inlineStr">
        <is>
          <t>账户行</t>
        </is>
      </c>
      <c r="D3567" s="24" t="inlineStr">
        <is>
          <t>05</t>
        </is>
      </c>
      <c r="E3567" s="24" t="inlineStr">
        <is>
          <t>交通银行</t>
        </is>
      </c>
    </row>
    <row r="3568">
      <c r="B3568" s="24" t="inlineStr">
        <is>
          <t>AccountBank</t>
        </is>
      </c>
      <c r="C3568" s="24" t="inlineStr">
        <is>
          <t>账户行</t>
        </is>
      </c>
      <c r="D3568" s="24" t="inlineStr">
        <is>
          <t>06</t>
        </is>
      </c>
      <c r="E3568" s="24" t="inlineStr">
        <is>
          <t>中信银行</t>
        </is>
      </c>
    </row>
    <row r="3569">
      <c r="B3569" s="24" t="inlineStr">
        <is>
          <t>AccountBank</t>
        </is>
      </c>
      <c r="C3569" s="24" t="inlineStr">
        <is>
          <t>账户行</t>
        </is>
      </c>
      <c r="D3569" s="24" t="inlineStr">
        <is>
          <t>07</t>
        </is>
      </c>
      <c r="E3569" s="24" t="inlineStr">
        <is>
          <t>中国光大银行</t>
        </is>
      </c>
    </row>
    <row r="3570">
      <c r="B3570" s="24" t="inlineStr">
        <is>
          <t>AccountBank</t>
        </is>
      </c>
      <c r="C3570" s="24" t="inlineStr">
        <is>
          <t>账户行</t>
        </is>
      </c>
      <c r="D3570" s="24" t="inlineStr">
        <is>
          <t>08</t>
        </is>
      </c>
      <c r="E3570" s="24" t="inlineStr">
        <is>
          <t>华夏银行</t>
        </is>
      </c>
    </row>
    <row r="3571">
      <c r="B3571" s="24" t="inlineStr">
        <is>
          <t>AccountBank</t>
        </is>
      </c>
      <c r="C3571" s="24" t="inlineStr">
        <is>
          <t>账户行</t>
        </is>
      </c>
      <c r="D3571" s="24" t="inlineStr">
        <is>
          <t>09</t>
        </is>
      </c>
      <c r="E3571" s="24" t="inlineStr">
        <is>
          <t>广东发展银行</t>
        </is>
      </c>
    </row>
    <row r="3572">
      <c r="B3572" s="24" t="inlineStr">
        <is>
          <t>AccountBank</t>
        </is>
      </c>
      <c r="C3572" s="24" t="inlineStr">
        <is>
          <t>账户行</t>
        </is>
      </c>
      <c r="D3572" s="24" t="inlineStr">
        <is>
          <t>10</t>
        </is>
      </c>
      <c r="E3572" s="24" t="inlineStr">
        <is>
          <t>招商银行</t>
        </is>
      </c>
    </row>
    <row r="3573">
      <c r="B3573" s="24" t="inlineStr">
        <is>
          <t>AccountBank</t>
        </is>
      </c>
      <c r="C3573" s="24" t="inlineStr">
        <is>
          <t>账户行</t>
        </is>
      </c>
      <c r="D3573" s="24" t="inlineStr">
        <is>
          <t>11</t>
        </is>
      </c>
      <c r="E3573" s="24" t="inlineStr">
        <is>
          <t>深圳发展银行</t>
        </is>
      </c>
    </row>
    <row r="3574">
      <c r="B3574" s="24" t="inlineStr">
        <is>
          <t>AccountBank</t>
        </is>
      </c>
      <c r="C3574" s="24" t="inlineStr">
        <is>
          <t>账户行</t>
        </is>
      </c>
      <c r="D3574" s="24" t="inlineStr">
        <is>
          <t>12</t>
        </is>
      </c>
      <c r="E3574" s="24" t="inlineStr">
        <is>
          <t>兴业银行</t>
        </is>
      </c>
    </row>
    <row r="3575">
      <c r="B3575" s="24" t="inlineStr">
        <is>
          <t>AccountBank</t>
        </is>
      </c>
      <c r="C3575" s="24" t="inlineStr">
        <is>
          <t>账户行</t>
        </is>
      </c>
      <c r="D3575" s="24" t="inlineStr">
        <is>
          <t>13</t>
        </is>
      </c>
      <c r="E3575" s="24" t="inlineStr">
        <is>
          <t>中国民生银行</t>
        </is>
      </c>
    </row>
    <row r="3576">
      <c r="B3576" s="24" t="inlineStr">
        <is>
          <t>AccountBank</t>
        </is>
      </c>
      <c r="C3576" s="24" t="inlineStr">
        <is>
          <t>账户行</t>
        </is>
      </c>
      <c r="D3576" s="24" t="inlineStr">
        <is>
          <t>99</t>
        </is>
      </c>
      <c r="E3576" s="24" t="inlineStr">
        <is>
          <t>其他</t>
        </is>
      </c>
    </row>
    <row r="3577" ht="15.95" customHeight="1" s="170">
      <c r="B3577" s="122" t="inlineStr">
        <is>
          <t>码值：EntType</t>
        </is>
      </c>
    </row>
    <row r="3578">
      <c r="B3578" s="24" t="inlineStr">
        <is>
          <t>EntType</t>
        </is>
      </c>
      <c r="C3578" s="24" t="inlineStr">
        <is>
          <t>企业性质</t>
        </is>
      </c>
      <c r="D3578" s="24" t="inlineStr">
        <is>
          <t>0101</t>
        </is>
      </c>
      <c r="E3578" s="24" t="inlineStr">
        <is>
          <t>法人企业</t>
        </is>
      </c>
    </row>
    <row r="3579">
      <c r="B3579" s="24" t="inlineStr">
        <is>
          <t>EntType</t>
        </is>
      </c>
      <c r="C3579" s="24" t="inlineStr">
        <is>
          <t>企业性质</t>
        </is>
      </c>
      <c r="D3579" s="24" t="inlineStr">
        <is>
          <t>0102</t>
        </is>
      </c>
      <c r="E3579" s="24" t="inlineStr">
        <is>
          <t>非法人企业</t>
        </is>
      </c>
    </row>
    <row r="3580">
      <c r="B3580" s="24" t="inlineStr">
        <is>
          <t>EntType</t>
        </is>
      </c>
      <c r="C3580" s="24" t="inlineStr">
        <is>
          <t>企业性质</t>
        </is>
      </c>
      <c r="D3580" s="24" t="inlineStr">
        <is>
          <t>0103</t>
        </is>
      </c>
      <c r="E3580" s="24" t="inlineStr">
        <is>
          <t>事业单位</t>
        </is>
      </c>
    </row>
    <row r="3581">
      <c r="B3581" s="24" t="inlineStr">
        <is>
          <t>EntType</t>
        </is>
      </c>
      <c r="C3581" s="24" t="inlineStr">
        <is>
          <t>企业性质</t>
        </is>
      </c>
      <c r="D3581" s="24" t="inlineStr">
        <is>
          <t>0104</t>
        </is>
      </c>
      <c r="E3581" s="24" t="inlineStr">
        <is>
          <t>社会团体</t>
        </is>
      </c>
    </row>
    <row r="3582">
      <c r="B3582" s="24" t="inlineStr">
        <is>
          <t>EntType</t>
        </is>
      </c>
      <c r="C3582" s="24" t="inlineStr">
        <is>
          <t>企业性质</t>
        </is>
      </c>
      <c r="D3582" s="24" t="inlineStr">
        <is>
          <t>0105</t>
        </is>
      </c>
      <c r="E3582" s="24" t="inlineStr">
        <is>
          <t>党政机关</t>
        </is>
      </c>
    </row>
    <row r="3583">
      <c r="B3583" s="24" t="inlineStr">
        <is>
          <t>EntType</t>
        </is>
      </c>
      <c r="C3583" s="24" t="inlineStr">
        <is>
          <t>企业性质</t>
        </is>
      </c>
      <c r="D3583" s="24" t="inlineStr">
        <is>
          <t>0199</t>
        </is>
      </c>
      <c r="E3583" s="24" t="inlineStr">
        <is>
          <t>其他</t>
        </is>
      </c>
    </row>
    <row r="3584" ht="15.95" customHeight="1" s="170">
      <c r="B3584" s="122" t="inlineStr">
        <is>
          <t>码值：GroundPurpose</t>
        </is>
      </c>
    </row>
    <row r="3585">
      <c r="B3585" s="24" t="inlineStr">
        <is>
          <t>GroundPurpose</t>
        </is>
      </c>
      <c r="C3585" s="24" t="inlineStr">
        <is>
          <t>土地用途</t>
        </is>
      </c>
      <c r="D3585" s="24" t="inlineStr">
        <is>
          <t>01</t>
        </is>
      </c>
      <c r="E3585" s="24" t="inlineStr">
        <is>
          <t>工业</t>
        </is>
      </c>
    </row>
    <row r="3586">
      <c r="B3586" s="24" t="inlineStr">
        <is>
          <t>GroundPurpose</t>
        </is>
      </c>
      <c r="C3586" s="24" t="inlineStr">
        <is>
          <t>土地用途</t>
        </is>
      </c>
      <c r="D3586" s="24" t="inlineStr">
        <is>
          <t>02</t>
        </is>
      </c>
      <c r="E3586" s="24" t="inlineStr">
        <is>
          <t>商业</t>
        </is>
      </c>
    </row>
    <row r="3587">
      <c r="B3587" s="24" t="inlineStr">
        <is>
          <t>GroundPurpose</t>
        </is>
      </c>
      <c r="C3587" s="24" t="inlineStr">
        <is>
          <t>土地用途</t>
        </is>
      </c>
      <c r="D3587" s="24" t="inlineStr">
        <is>
          <t>03</t>
        </is>
      </c>
      <c r="E3587" s="24" t="inlineStr">
        <is>
          <t>农业</t>
        </is>
      </c>
    </row>
    <row r="3588">
      <c r="B3588" s="24" t="inlineStr">
        <is>
          <t>GroundPurpose</t>
        </is>
      </c>
      <c r="C3588" s="24" t="inlineStr">
        <is>
          <t>土地用途</t>
        </is>
      </c>
      <c r="D3588" s="24" t="inlineStr">
        <is>
          <t>04</t>
        </is>
      </c>
      <c r="E3588" s="24" t="inlineStr">
        <is>
          <t>其他</t>
        </is>
      </c>
    </row>
    <row r="3589" ht="15.95" customHeight="1" s="170">
      <c r="B3589" s="122" t="inlineStr">
        <is>
          <t>码值：ORIENTATIONS</t>
        </is>
      </c>
    </row>
    <row r="3590">
      <c r="B3590" s="24" t="inlineStr">
        <is>
          <t>ORIENTATIONS</t>
        </is>
      </c>
      <c r="C3590" s="24" t="inlineStr">
        <is>
          <t>朝向</t>
        </is>
      </c>
      <c r="D3590" s="24" t="inlineStr">
        <is>
          <t>01</t>
        </is>
      </c>
      <c r="E3590" s="24" t="inlineStr">
        <is>
          <t>东</t>
        </is>
      </c>
    </row>
    <row r="3591">
      <c r="B3591" s="24" t="inlineStr">
        <is>
          <t>ORIENTATIONS</t>
        </is>
      </c>
      <c r="C3591" s="24" t="inlineStr">
        <is>
          <t>朝向</t>
        </is>
      </c>
      <c r="D3591" s="24" t="inlineStr">
        <is>
          <t>02</t>
        </is>
      </c>
      <c r="E3591" s="24" t="inlineStr">
        <is>
          <t>西</t>
        </is>
      </c>
    </row>
    <row r="3592">
      <c r="B3592" s="24" t="inlineStr">
        <is>
          <t>ORIENTATIONS</t>
        </is>
      </c>
      <c r="C3592" s="24" t="inlineStr">
        <is>
          <t>朝向</t>
        </is>
      </c>
      <c r="D3592" s="24" t="inlineStr">
        <is>
          <t>03</t>
        </is>
      </c>
      <c r="E3592" s="24" t="inlineStr">
        <is>
          <t>南</t>
        </is>
      </c>
    </row>
    <row r="3593">
      <c r="B3593" s="24" t="inlineStr">
        <is>
          <t>ORIENTATIONS</t>
        </is>
      </c>
      <c r="C3593" s="24" t="inlineStr">
        <is>
          <t>朝向</t>
        </is>
      </c>
      <c r="D3593" s="24" t="inlineStr">
        <is>
          <t>04</t>
        </is>
      </c>
      <c r="E3593" s="24" t="inlineStr">
        <is>
          <t>北</t>
        </is>
      </c>
    </row>
    <row r="3594">
      <c r="B3594" s="24" t="inlineStr">
        <is>
          <t>ORIENTATIONS</t>
        </is>
      </c>
      <c r="C3594" s="24" t="inlineStr">
        <is>
          <t>朝向</t>
        </is>
      </c>
      <c r="D3594" s="24" t="inlineStr">
        <is>
          <t>05</t>
        </is>
      </c>
      <c r="E3594" s="24" t="inlineStr">
        <is>
          <t>东南</t>
        </is>
      </c>
    </row>
    <row r="3595">
      <c r="B3595" s="24" t="inlineStr">
        <is>
          <t>ORIENTATIONS</t>
        </is>
      </c>
      <c r="C3595" s="24" t="inlineStr">
        <is>
          <t>朝向</t>
        </is>
      </c>
      <c r="D3595" s="24" t="inlineStr">
        <is>
          <t>06</t>
        </is>
      </c>
      <c r="E3595" s="24" t="inlineStr">
        <is>
          <t>西南</t>
        </is>
      </c>
    </row>
    <row r="3596">
      <c r="B3596" s="24" t="inlineStr">
        <is>
          <t>ORIENTATIONS</t>
        </is>
      </c>
      <c r="C3596" s="24" t="inlineStr">
        <is>
          <t>朝向</t>
        </is>
      </c>
      <c r="D3596" s="24" t="inlineStr">
        <is>
          <t>07</t>
        </is>
      </c>
      <c r="E3596" s="24" t="inlineStr">
        <is>
          <t>东北</t>
        </is>
      </c>
    </row>
    <row r="3597">
      <c r="B3597" s="24" t="inlineStr">
        <is>
          <t>ORIENTATIONS</t>
        </is>
      </c>
      <c r="C3597" s="24" t="inlineStr">
        <is>
          <t>朝向</t>
        </is>
      </c>
      <c r="D3597" s="24" t="inlineStr">
        <is>
          <t>08</t>
        </is>
      </c>
      <c r="E3597" s="24" t="inlineStr">
        <is>
          <t>西北</t>
        </is>
      </c>
    </row>
    <row r="3598">
      <c r="B3598" s="24" t="inlineStr">
        <is>
          <t>ORIENTATIONS</t>
        </is>
      </c>
      <c r="C3598" s="24" t="inlineStr">
        <is>
          <t>朝向</t>
        </is>
      </c>
      <c r="D3598" s="24" t="inlineStr">
        <is>
          <t>09</t>
        </is>
      </c>
      <c r="E3598" s="24" t="inlineStr">
        <is>
          <t>南北通透</t>
        </is>
      </c>
    </row>
    <row r="3599" ht="15.95" customHeight="1" s="170">
      <c r="B3599" s="122" t="inlineStr">
        <is>
          <t>码值：RoadLevel</t>
        </is>
      </c>
    </row>
    <row r="3600">
      <c r="B3600" s="24" t="inlineStr">
        <is>
          <t>RoadLevel</t>
        </is>
      </c>
      <c r="C3600" s="24" t="n"/>
      <c r="D3600" s="24" t="inlineStr">
        <is>
          <t>01</t>
        </is>
      </c>
      <c r="E3600" s="24" t="inlineStr">
        <is>
          <t>高速公路</t>
        </is>
      </c>
    </row>
    <row r="3601">
      <c r="B3601" s="24" t="inlineStr">
        <is>
          <t>RoadLevel</t>
        </is>
      </c>
      <c r="C3601" s="24" t="n"/>
      <c r="D3601" s="24" t="inlineStr">
        <is>
          <t>02</t>
        </is>
      </c>
      <c r="E3601" s="24" t="inlineStr">
        <is>
          <t>一级公路</t>
        </is>
      </c>
    </row>
    <row r="3602">
      <c r="B3602" s="24" t="inlineStr">
        <is>
          <t>RoadLevel</t>
        </is>
      </c>
      <c r="C3602" s="24" t="n"/>
      <c r="D3602" s="24" t="inlineStr">
        <is>
          <t>03</t>
        </is>
      </c>
      <c r="E3602" s="24" t="inlineStr">
        <is>
          <t>二级公路</t>
        </is>
      </c>
    </row>
    <row r="3603">
      <c r="B3603" s="24" t="inlineStr">
        <is>
          <t>RoadLevel</t>
        </is>
      </c>
      <c r="C3603" s="24" t="n"/>
      <c r="D3603" s="24" t="inlineStr">
        <is>
          <t>04</t>
        </is>
      </c>
      <c r="E3603" s="24" t="inlineStr">
        <is>
          <t>三级公路</t>
        </is>
      </c>
    </row>
    <row r="3604">
      <c r="B3604" s="24" t="inlineStr">
        <is>
          <t>RoadLevel</t>
        </is>
      </c>
      <c r="C3604" s="24" t="n"/>
      <c r="D3604" s="24" t="inlineStr">
        <is>
          <t>05</t>
        </is>
      </c>
      <c r="E3604" s="24" t="inlineStr">
        <is>
          <t>四级公路</t>
        </is>
      </c>
    </row>
    <row r="3605">
      <c r="B3605" s="24" t="inlineStr">
        <is>
          <t>RoadLevel</t>
        </is>
      </c>
      <c r="C3605" s="24" t="n"/>
      <c r="D3605" s="24" t="inlineStr">
        <is>
          <t>90</t>
        </is>
      </c>
      <c r="E3605" s="24" t="inlineStr">
        <is>
          <t>其他</t>
        </is>
      </c>
    </row>
    <row r="3606" ht="15.95" customHeight="1" s="170">
      <c r="B3606" s="122" t="inlineStr">
        <is>
          <t>码值：偿债资金来源</t>
        </is>
      </c>
    </row>
    <row r="3607">
      <c r="B3607" s="24" t="inlineStr">
        <is>
          <t>偿债资金来源</t>
        </is>
      </c>
      <c r="C3607" s="24" t="inlineStr">
        <is>
          <t>偿债资金来源</t>
        </is>
      </c>
      <c r="D3607" s="24" t="inlineStr">
        <is>
          <t>01</t>
        </is>
      </c>
      <c r="E3607" s="24" t="inlineStr">
        <is>
          <t>平台自身盈利</t>
        </is>
      </c>
    </row>
    <row r="3608">
      <c r="B3608" s="24" t="inlineStr">
        <is>
          <t>偿债资金来源</t>
        </is>
      </c>
      <c r="C3608" s="24" t="inlineStr">
        <is>
          <t>偿债资金来源</t>
        </is>
      </c>
      <c r="D3608" s="24" t="inlineStr">
        <is>
          <t>02</t>
        </is>
      </c>
      <c r="E3608" s="24" t="inlineStr">
        <is>
          <t>投资项目收益</t>
        </is>
      </c>
    </row>
    <row r="3609">
      <c r="B3609" s="24" t="inlineStr">
        <is>
          <t>偿债资金来源</t>
        </is>
      </c>
      <c r="C3609" s="24" t="inlineStr">
        <is>
          <t>偿债资金来源</t>
        </is>
      </c>
      <c r="D3609" s="24" t="inlineStr">
        <is>
          <t>03</t>
        </is>
      </c>
      <c r="E3609" s="24" t="inlineStr">
        <is>
          <t>担保人偿还</t>
        </is>
      </c>
    </row>
    <row r="3610">
      <c r="B3610" s="24" t="inlineStr">
        <is>
          <t>偿债资金来源</t>
        </is>
      </c>
      <c r="C3610" s="24" t="inlineStr">
        <is>
          <t>偿债资金来源</t>
        </is>
      </c>
      <c r="D3610" s="24" t="inlineStr">
        <is>
          <t>04</t>
        </is>
      </c>
      <c r="E3610" s="24" t="inlineStr">
        <is>
          <t>质押物偿还</t>
        </is>
      </c>
    </row>
    <row r="3611">
      <c r="B3611" s="24" t="inlineStr">
        <is>
          <t>偿债资金来源</t>
        </is>
      </c>
      <c r="C3611" s="24" t="inlineStr">
        <is>
          <t>偿债资金来源</t>
        </is>
      </c>
      <c r="D3611" s="24" t="inlineStr">
        <is>
          <t>05</t>
        </is>
      </c>
      <c r="E3611" s="24" t="inlineStr">
        <is>
          <t>政府回购</t>
        </is>
      </c>
    </row>
    <row r="3612">
      <c r="B3612" s="24" t="inlineStr">
        <is>
          <t>偿债资金来源</t>
        </is>
      </c>
      <c r="C3612" s="24" t="inlineStr">
        <is>
          <t>偿债资金来源</t>
        </is>
      </c>
      <c r="D3612" s="24" t="inlineStr">
        <is>
          <t>06</t>
        </is>
      </c>
      <c r="E3612" s="24" t="inlineStr">
        <is>
          <t>其他</t>
        </is>
      </c>
    </row>
    <row r="3613" ht="15.95" customHeight="1" s="170">
      <c r="B3613" s="122" t="inlineStr">
        <is>
          <t>码值：ProductClassify</t>
        </is>
      </c>
    </row>
    <row r="3614">
      <c r="B3614" s="24" t="inlineStr">
        <is>
          <t>ProductClassify</t>
        </is>
      </c>
      <c r="C3614" s="24" t="inlineStr">
        <is>
          <t>产品所属大类</t>
        </is>
      </c>
      <c r="D3614" s="24" t="inlineStr">
        <is>
          <t>010</t>
        </is>
      </c>
      <c r="E3614" s="24" t="inlineStr">
        <is>
          <t>贷款融资类</t>
        </is>
      </c>
    </row>
    <row r="3615">
      <c r="B3615" s="24" t="inlineStr">
        <is>
          <t>ProductClassify</t>
        </is>
      </c>
      <c r="C3615" s="24" t="inlineStr">
        <is>
          <t>产品所属大类</t>
        </is>
      </c>
      <c r="D3615" s="24" t="inlineStr">
        <is>
          <t>020</t>
        </is>
      </c>
      <c r="E3615" s="24" t="inlineStr">
        <is>
          <t>贸易融资类</t>
        </is>
      </c>
    </row>
    <row r="3616">
      <c r="B3616" s="24" t="inlineStr">
        <is>
          <t>ProductClassify</t>
        </is>
      </c>
      <c r="C3616" s="24" t="inlineStr">
        <is>
          <t>产品所属大类</t>
        </is>
      </c>
      <c r="D3616" s="24" t="inlineStr">
        <is>
          <t>030</t>
        </is>
      </c>
      <c r="E3616" s="24" t="inlineStr">
        <is>
          <t>票据担保类</t>
        </is>
      </c>
    </row>
    <row r="3617">
      <c r="B3617" s="24" t="inlineStr">
        <is>
          <t>ProductClassify</t>
        </is>
      </c>
      <c r="C3617" s="24" t="inlineStr">
        <is>
          <t>产品所属大类</t>
        </is>
      </c>
      <c r="D3617" s="24" t="inlineStr">
        <is>
          <t>040</t>
        </is>
      </c>
      <c r="E3617" s="24" t="inlineStr">
        <is>
          <t>资金交易类</t>
        </is>
      </c>
    </row>
    <row r="3618">
      <c r="B3618" s="24" t="inlineStr">
        <is>
          <t>ProductClassify</t>
        </is>
      </c>
      <c r="C3618" s="24" t="inlineStr">
        <is>
          <t>产品所属大类</t>
        </is>
      </c>
      <c r="D3618" s="24" t="inlineStr">
        <is>
          <t>050</t>
        </is>
      </c>
      <c r="E3618" s="24" t="inlineStr">
        <is>
          <t>个人贷款类</t>
        </is>
      </c>
    </row>
    <row r="3619">
      <c r="B3619" s="24" t="inlineStr">
        <is>
          <t>ProductClassify</t>
        </is>
      </c>
      <c r="C3619" s="24" t="inlineStr">
        <is>
          <t>产品所属大类</t>
        </is>
      </c>
      <c r="D3619" s="24" t="inlineStr">
        <is>
          <t>060</t>
        </is>
      </c>
      <c r="E3619" s="24" t="inlineStr">
        <is>
          <t>同业投资类</t>
        </is>
      </c>
    </row>
    <row r="3620" ht="15.95" customHeight="1" s="170">
      <c r="B3620" s="122" t="inlineStr">
        <is>
          <t>码值：ResourceRightType</t>
        </is>
      </c>
    </row>
    <row r="3621">
      <c r="B3621" s="24" t="inlineStr">
        <is>
          <t>ResourceRightType</t>
        </is>
      </c>
      <c r="C3621" s="24" t="inlineStr">
        <is>
          <t>林地用途类型</t>
        </is>
      </c>
      <c r="D3621" s="24" t="inlineStr">
        <is>
          <t>01</t>
        </is>
      </c>
      <c r="E3621" s="24" t="inlineStr">
        <is>
          <t>承包</t>
        </is>
      </c>
    </row>
    <row r="3622">
      <c r="B3622" s="24" t="inlineStr">
        <is>
          <t>ResourceRightType</t>
        </is>
      </c>
      <c r="C3622" s="24" t="inlineStr">
        <is>
          <t>林地用途类型</t>
        </is>
      </c>
      <c r="D3622" s="24" t="inlineStr">
        <is>
          <t>02</t>
        </is>
      </c>
      <c r="E3622" s="24" t="inlineStr">
        <is>
          <t>租赁</t>
        </is>
      </c>
    </row>
    <row r="3623">
      <c r="B3623" s="24" t="inlineStr">
        <is>
          <t>ResourceRightType</t>
        </is>
      </c>
      <c r="C3623" s="24" t="inlineStr">
        <is>
          <t>林地用途类型</t>
        </is>
      </c>
      <c r="D3623" s="24" t="inlineStr">
        <is>
          <t>03</t>
        </is>
      </c>
      <c r="E3623" s="24" t="inlineStr">
        <is>
          <t>出让</t>
        </is>
      </c>
    </row>
    <row r="3624">
      <c r="B3624" s="24" t="inlineStr">
        <is>
          <t>ResourceRightType</t>
        </is>
      </c>
      <c r="C3624" s="24" t="inlineStr">
        <is>
          <t>林地用途类型</t>
        </is>
      </c>
      <c r="D3624" s="24" t="inlineStr">
        <is>
          <t>04</t>
        </is>
      </c>
      <c r="E3624" s="24" t="inlineStr">
        <is>
          <t>集体所有</t>
        </is>
      </c>
    </row>
    <row r="3625" ht="15.95" customHeight="1" s="170">
      <c r="B3625" s="122" t="inlineStr">
        <is>
          <t>码值：FinancingType</t>
        </is>
      </c>
    </row>
    <row r="3626">
      <c r="B3626" s="24" t="inlineStr">
        <is>
          <t>FinancingType</t>
        </is>
      </c>
      <c r="C3626" s="24" t="inlineStr">
        <is>
          <t>融资业务种类</t>
        </is>
      </c>
      <c r="D3626" s="24" t="inlineStr">
        <is>
          <t>10</t>
        </is>
      </c>
      <c r="E3626" s="24" t="inlineStr">
        <is>
          <t>短期贷款</t>
        </is>
      </c>
    </row>
    <row r="3627">
      <c r="B3627" s="24" t="inlineStr">
        <is>
          <t>FinancingType</t>
        </is>
      </c>
      <c r="C3627" s="24" t="inlineStr">
        <is>
          <t>融资业务种类</t>
        </is>
      </c>
      <c r="D3627" s="24" t="inlineStr">
        <is>
          <t>1011</t>
        </is>
      </c>
      <c r="E3627" s="24" t="inlineStr">
        <is>
          <t>短期流动资金贷款</t>
        </is>
      </c>
    </row>
    <row r="3628">
      <c r="B3628" s="24" t="inlineStr">
        <is>
          <t>FinancingType</t>
        </is>
      </c>
      <c r="C3628" s="24" t="inlineStr">
        <is>
          <t>融资业务种类</t>
        </is>
      </c>
      <c r="D3628" s="24" t="inlineStr">
        <is>
          <t>1019</t>
        </is>
      </c>
      <c r="E3628" s="24" t="inlineStr">
        <is>
          <t>短期其他贷款</t>
        </is>
      </c>
    </row>
    <row r="3629">
      <c r="B3629" s="24" t="inlineStr">
        <is>
          <t>FinancingType</t>
        </is>
      </c>
      <c r="C3629" s="24" t="inlineStr">
        <is>
          <t>融资业务种类</t>
        </is>
      </c>
      <c r="D3629" s="24" t="inlineStr">
        <is>
          <t>20</t>
        </is>
      </c>
      <c r="E3629" s="24" t="inlineStr">
        <is>
          <t>中期贷款</t>
        </is>
      </c>
    </row>
    <row r="3630">
      <c r="B3630" s="24" t="inlineStr">
        <is>
          <t>FinancingType</t>
        </is>
      </c>
      <c r="C3630" s="24" t="inlineStr">
        <is>
          <t>融资业务种类</t>
        </is>
      </c>
      <c r="D3630" s="24" t="inlineStr">
        <is>
          <t>2021</t>
        </is>
      </c>
      <c r="E3630" s="24" t="inlineStr">
        <is>
          <t>中期流动资金贷款</t>
        </is>
      </c>
    </row>
    <row r="3631">
      <c r="B3631" s="24" t="inlineStr">
        <is>
          <t>FinancingType</t>
        </is>
      </c>
      <c r="C3631" s="24" t="inlineStr">
        <is>
          <t>融资业务种类</t>
        </is>
      </c>
      <c r="D3631" s="24" t="inlineStr">
        <is>
          <t>2022</t>
        </is>
      </c>
      <c r="E3631" s="24" t="inlineStr">
        <is>
          <t>中期基建贷款</t>
        </is>
      </c>
    </row>
    <row r="3632">
      <c r="B3632" s="24" t="inlineStr">
        <is>
          <t>FinancingType</t>
        </is>
      </c>
      <c r="C3632" s="24" t="inlineStr">
        <is>
          <t>融资业务种类</t>
        </is>
      </c>
      <c r="D3632" s="24" t="inlineStr">
        <is>
          <t>2023</t>
        </is>
      </c>
      <c r="E3632" s="24" t="inlineStr">
        <is>
          <t>中期技改贷款</t>
        </is>
      </c>
    </row>
    <row r="3633">
      <c r="B3633" s="24" t="inlineStr">
        <is>
          <t>FinancingType</t>
        </is>
      </c>
      <c r="C3633" s="24" t="inlineStr">
        <is>
          <t>融资业务种类</t>
        </is>
      </c>
      <c r="D3633" s="24" t="inlineStr">
        <is>
          <t>2029</t>
        </is>
      </c>
      <c r="E3633" s="24" t="inlineStr">
        <is>
          <t>中期其他贷款</t>
        </is>
      </c>
    </row>
    <row r="3634">
      <c r="B3634" s="24" t="inlineStr">
        <is>
          <t>FinancingType</t>
        </is>
      </c>
      <c r="C3634" s="24" t="inlineStr">
        <is>
          <t>融资业务种类</t>
        </is>
      </c>
      <c r="D3634" s="24" t="inlineStr">
        <is>
          <t>30</t>
        </is>
      </c>
      <c r="E3634" s="24" t="inlineStr">
        <is>
          <t>长期贷款</t>
        </is>
      </c>
    </row>
    <row r="3635">
      <c r="B3635" s="24" t="inlineStr">
        <is>
          <t>FinancingType</t>
        </is>
      </c>
      <c r="C3635" s="24" t="inlineStr">
        <is>
          <t>融资业务种类</t>
        </is>
      </c>
      <c r="D3635" s="24" t="inlineStr">
        <is>
          <t>3031</t>
        </is>
      </c>
      <c r="E3635" s="24" t="inlineStr">
        <is>
          <t>长期基建贷款</t>
        </is>
      </c>
    </row>
    <row r="3636">
      <c r="B3636" s="24" t="inlineStr">
        <is>
          <t>FinancingType</t>
        </is>
      </c>
      <c r="C3636" s="24" t="inlineStr">
        <is>
          <t>融资业务种类</t>
        </is>
      </c>
      <c r="D3636" s="24" t="inlineStr">
        <is>
          <t>3032</t>
        </is>
      </c>
      <c r="E3636" s="24" t="inlineStr">
        <is>
          <t>长期技改贷款</t>
        </is>
      </c>
    </row>
    <row r="3637">
      <c r="B3637" s="24" t="inlineStr">
        <is>
          <t>FinancingType</t>
        </is>
      </c>
      <c r="C3637" s="24" t="inlineStr">
        <is>
          <t>融资业务种类</t>
        </is>
      </c>
      <c r="D3637" s="24" t="inlineStr">
        <is>
          <t>3039</t>
        </is>
      </c>
      <c r="E3637" s="24" t="inlineStr">
        <is>
          <t>长期其他贷款</t>
        </is>
      </c>
    </row>
    <row r="3638">
      <c r="B3638" s="24" t="inlineStr">
        <is>
          <t>FinancingType</t>
        </is>
      </c>
      <c r="C3638" s="24" t="inlineStr">
        <is>
          <t>融资业务种类</t>
        </is>
      </c>
      <c r="D3638" s="24" t="inlineStr">
        <is>
          <t>40</t>
        </is>
      </c>
      <c r="E3638" s="24" t="inlineStr">
        <is>
          <t>进口类</t>
        </is>
      </c>
    </row>
    <row r="3639">
      <c r="B3639" s="24" t="inlineStr">
        <is>
          <t>FinancingType</t>
        </is>
      </c>
      <c r="C3639" s="24" t="inlineStr">
        <is>
          <t>融资业务种类</t>
        </is>
      </c>
      <c r="D3639" s="24" t="inlineStr">
        <is>
          <t>4011</t>
        </is>
      </c>
      <c r="E3639" s="24" t="inlineStr">
        <is>
          <t>进口押汇</t>
        </is>
      </c>
    </row>
    <row r="3640">
      <c r="B3640" s="24" t="inlineStr">
        <is>
          <t>FinancingType</t>
        </is>
      </c>
      <c r="C3640" s="24" t="inlineStr">
        <is>
          <t>融资业务种类</t>
        </is>
      </c>
      <c r="D3640" s="24" t="inlineStr">
        <is>
          <t>50</t>
        </is>
      </c>
      <c r="E3640" s="24" t="inlineStr">
        <is>
          <t>出口类</t>
        </is>
      </c>
    </row>
    <row r="3641">
      <c r="B3641" s="24" t="inlineStr">
        <is>
          <t>FinancingType</t>
        </is>
      </c>
      <c r="C3641" s="24" t="inlineStr">
        <is>
          <t>融资业务种类</t>
        </is>
      </c>
      <c r="D3641" s="24" t="inlineStr">
        <is>
          <t>5021</t>
        </is>
      </c>
      <c r="E3641" s="24" t="inlineStr">
        <is>
          <t>打包放款</t>
        </is>
      </c>
    </row>
    <row r="3642">
      <c r="B3642" s="24" t="inlineStr">
        <is>
          <t>FinancingType</t>
        </is>
      </c>
      <c r="C3642" s="24" t="inlineStr">
        <is>
          <t>融资业务种类</t>
        </is>
      </c>
      <c r="D3642" s="24" t="inlineStr">
        <is>
          <t>5022</t>
        </is>
      </c>
      <c r="E3642" s="24" t="inlineStr">
        <is>
          <t>出口押汇</t>
        </is>
      </c>
    </row>
    <row r="3643">
      <c r="B3643" s="24" t="inlineStr">
        <is>
          <t>FinancingType</t>
        </is>
      </c>
      <c r="C3643" s="24" t="inlineStr">
        <is>
          <t>融资业务种类</t>
        </is>
      </c>
      <c r="D3643" s="24" t="inlineStr">
        <is>
          <t>5023</t>
        </is>
      </c>
      <c r="E3643" s="24" t="inlineStr">
        <is>
          <t>贴现</t>
        </is>
      </c>
    </row>
    <row r="3644">
      <c r="B3644" s="24" t="inlineStr">
        <is>
          <t>FinancingType</t>
        </is>
      </c>
      <c r="C3644" s="24" t="inlineStr">
        <is>
          <t>融资业务种类</t>
        </is>
      </c>
      <c r="D3644" s="24" t="inlineStr">
        <is>
          <t>5024</t>
        </is>
      </c>
      <c r="E3644" s="24" t="inlineStr">
        <is>
          <t>福费廷</t>
        </is>
      </c>
    </row>
    <row r="3645" ht="15.95" customHeight="1" s="170">
      <c r="B3645" s="122" t="inlineStr">
        <is>
          <t>码值：HInstitutionLevel</t>
        </is>
      </c>
    </row>
    <row r="3646">
      <c r="B3646" s="24" t="inlineStr">
        <is>
          <t>HInstitutionLevel</t>
        </is>
      </c>
      <c r="C3646" s="24" t="inlineStr">
        <is>
          <t>信用等级评估统一导入</t>
        </is>
      </c>
      <c r="D3646" s="24" t="inlineStr">
        <is>
          <t>01</t>
        </is>
      </c>
      <c r="E3646" s="24" t="inlineStr">
        <is>
          <t>卫生部直属医院</t>
        </is>
      </c>
    </row>
    <row r="3647">
      <c r="B3647" s="24" t="inlineStr">
        <is>
          <t>HInstitutionLevel</t>
        </is>
      </c>
      <c r="C3647" s="24" t="inlineStr">
        <is>
          <t>信用等级评估统一导入</t>
        </is>
      </c>
      <c r="D3647" s="24" t="inlineStr">
        <is>
          <t>02</t>
        </is>
      </c>
      <c r="E3647" s="24" t="inlineStr">
        <is>
          <t>直辖市或省级医院或985、211院校附属医院或军区直属医院</t>
        </is>
      </c>
    </row>
    <row r="3648">
      <c r="B3648" s="24" t="inlineStr">
        <is>
          <t>HInstitutionLevel</t>
        </is>
      </c>
      <c r="C3648" s="24" t="inlineStr">
        <is>
          <t>信用等级评估统一导入</t>
        </is>
      </c>
      <c r="D3648" s="24" t="inlineStr">
        <is>
          <t>03</t>
        </is>
      </c>
      <c r="E3648" s="24" t="inlineStr">
        <is>
          <t>市级医院或一般医学院附属医院</t>
        </is>
      </c>
    </row>
    <row r="3649">
      <c r="B3649" s="24" t="inlineStr">
        <is>
          <t>HInstitutionLevel</t>
        </is>
      </c>
      <c r="C3649" s="24" t="inlineStr">
        <is>
          <t>信用等级评估统一导入</t>
        </is>
      </c>
      <c r="D3649" s="24" t="inlineStr">
        <is>
          <t>04</t>
        </is>
      </c>
      <c r="E3649" s="24" t="inlineStr">
        <is>
          <t>县级医院</t>
        </is>
      </c>
    </row>
    <row r="3650">
      <c r="B3650" s="24" t="inlineStr">
        <is>
          <t>HInstitutionLevel</t>
        </is>
      </c>
      <c r="C3650" s="24" t="inlineStr">
        <is>
          <t>信用等级评估统一导入</t>
        </is>
      </c>
      <c r="D3650" s="24" t="inlineStr">
        <is>
          <t>05</t>
        </is>
      </c>
      <c r="E3650" s="24" t="inlineStr">
        <is>
          <t>其他</t>
        </is>
      </c>
    </row>
    <row r="3651" ht="15.95" customHeight="1" s="170">
      <c r="B3651" s="122" t="inlineStr">
        <is>
          <t>码值：PersonalRelation</t>
        </is>
      </c>
    </row>
    <row r="3652">
      <c r="B3652" s="24" t="inlineStr">
        <is>
          <t>PersonalRelation</t>
        </is>
      </c>
      <c r="C3652" s="24" t="inlineStr">
        <is>
          <t>个人关系类型</t>
        </is>
      </c>
      <c r="D3652" s="24" t="inlineStr">
        <is>
          <t>01</t>
        </is>
      </c>
      <c r="E3652" s="24" t="inlineStr">
        <is>
          <t>直系亲属</t>
        </is>
      </c>
    </row>
    <row r="3653">
      <c r="B3653" s="24" t="inlineStr">
        <is>
          <t>PersonalRelation</t>
        </is>
      </c>
      <c r="C3653" s="24" t="inlineStr">
        <is>
          <t>个人关系类型</t>
        </is>
      </c>
      <c r="D3653" s="24" t="inlineStr">
        <is>
          <t>02</t>
        </is>
      </c>
      <c r="E3653" s="24" t="inlineStr">
        <is>
          <t>亲戚</t>
        </is>
      </c>
    </row>
    <row r="3654">
      <c r="B3654" s="24" t="inlineStr">
        <is>
          <t>PersonalRelation</t>
        </is>
      </c>
      <c r="C3654" s="24" t="inlineStr">
        <is>
          <t>个人关系类型</t>
        </is>
      </c>
      <c r="D3654" s="24" t="inlineStr">
        <is>
          <t>03</t>
        </is>
      </c>
      <c r="E3654" s="24" t="inlineStr">
        <is>
          <t>朋友</t>
        </is>
      </c>
    </row>
    <row r="3655">
      <c r="B3655" s="24" t="inlineStr">
        <is>
          <t>PersonalRelation</t>
        </is>
      </c>
      <c r="C3655" s="24" t="inlineStr">
        <is>
          <t>个人关系类型</t>
        </is>
      </c>
      <c r="D3655" s="24" t="inlineStr">
        <is>
          <t>04</t>
        </is>
      </c>
      <c r="E3655" s="24" t="inlineStr">
        <is>
          <t>合伙人</t>
        </is>
      </c>
    </row>
    <row r="3656">
      <c r="B3656" s="24" t="inlineStr">
        <is>
          <t>PersonalRelation</t>
        </is>
      </c>
      <c r="C3656" s="24" t="inlineStr">
        <is>
          <t>个人关系类型</t>
        </is>
      </c>
      <c r="D3656" s="24" t="inlineStr">
        <is>
          <t>05</t>
        </is>
      </c>
      <c r="E3656" s="24" t="inlineStr">
        <is>
          <t>同事</t>
        </is>
      </c>
    </row>
    <row r="3657">
      <c r="B3657" s="24" t="inlineStr">
        <is>
          <t>PersonalRelation</t>
        </is>
      </c>
      <c r="C3657" s="24" t="inlineStr">
        <is>
          <t>个人关系类型</t>
        </is>
      </c>
      <c r="D3657" s="24" t="inlineStr">
        <is>
          <t>06</t>
        </is>
      </c>
      <c r="E3657" s="24" t="inlineStr">
        <is>
          <t>邻居</t>
        </is>
      </c>
    </row>
    <row r="3658">
      <c r="B3658" s="24" t="inlineStr">
        <is>
          <t>PersonalRelation</t>
        </is>
      </c>
      <c r="C3658" s="24" t="inlineStr">
        <is>
          <t>个人关系类型</t>
        </is>
      </c>
      <c r="D3658" s="24" t="inlineStr">
        <is>
          <t>07</t>
        </is>
      </c>
      <c r="E3658" s="24" t="inlineStr">
        <is>
          <t>其他</t>
        </is>
      </c>
    </row>
    <row r="3659" ht="15.95" customHeight="1" s="170">
      <c r="B3659" s="122" t="inlineStr">
        <is>
          <t>码值：SimpleMeetingApplyMain</t>
        </is>
      </c>
    </row>
    <row r="3660">
      <c r="B3660" s="24" t="inlineStr">
        <is>
          <t>SimpleMeetingApplyMain</t>
        </is>
      </c>
      <c r="C3660" s="24" t="inlineStr">
        <is>
          <t>简单贷审会主树图</t>
        </is>
      </c>
      <c r="D3660" s="24" t="inlineStr">
        <is>
          <t>1010</t>
        </is>
      </c>
      <c r="E3660" s="24" t="inlineStr">
        <is>
          <t>待提交</t>
        </is>
      </c>
    </row>
    <row r="3661">
      <c r="B3661" s="24" t="inlineStr">
        <is>
          <t>SimpleMeetingApplyMain</t>
        </is>
      </c>
      <c r="C3661" s="24" t="inlineStr">
        <is>
          <t>简单贷审会主树图</t>
        </is>
      </c>
      <c r="D3661" s="24" t="inlineStr">
        <is>
          <t>1020</t>
        </is>
      </c>
      <c r="E3661" s="24" t="inlineStr">
        <is>
          <t>审批中</t>
        </is>
      </c>
    </row>
    <row r="3662">
      <c r="B3662" s="24" t="inlineStr">
        <is>
          <t>SimpleMeetingApplyMain</t>
        </is>
      </c>
      <c r="C3662" s="24" t="inlineStr">
        <is>
          <t>简单贷审会主树图</t>
        </is>
      </c>
      <c r="D3662" s="24" t="inlineStr">
        <is>
          <t>1040</t>
        </is>
      </c>
      <c r="E3662" s="24" t="inlineStr">
        <is>
          <t>已通过</t>
        </is>
      </c>
    </row>
    <row r="3663">
      <c r="B3663" s="24" t="inlineStr">
        <is>
          <t>SimpleMeetingApplyMain</t>
        </is>
      </c>
      <c r="C3663" s="24" t="inlineStr">
        <is>
          <t>简单贷审会主树图</t>
        </is>
      </c>
      <c r="D3663" s="24" t="inlineStr">
        <is>
          <t>1050</t>
        </is>
      </c>
      <c r="E3663" s="24" t="inlineStr">
        <is>
          <t>已否决</t>
        </is>
      </c>
    </row>
    <row r="3664" ht="15.95" customHeight="1" s="170">
      <c r="B3664" s="122" t="inlineStr">
        <is>
          <t>码值：技术领先性</t>
        </is>
      </c>
    </row>
    <row r="3665">
      <c r="B3665" s="24" t="inlineStr">
        <is>
          <t>技术领先性</t>
        </is>
      </c>
      <c r="C3665" s="24" t="inlineStr">
        <is>
          <t>技术领先性</t>
        </is>
      </c>
      <c r="D3665" s="24" t="inlineStr">
        <is>
          <t>01</t>
        </is>
      </c>
      <c r="E3665" s="24" t="inlineStr">
        <is>
          <t>技术和设计完全可靠，并且市场上没有出现更领先的技术</t>
        </is>
      </c>
    </row>
    <row r="3666">
      <c r="B3666" s="24" t="inlineStr">
        <is>
          <t>技术领先性</t>
        </is>
      </c>
      <c r="C3666" s="24" t="inlineStr">
        <is>
          <t>技术领先性</t>
        </is>
      </c>
      <c r="D3666" s="24" t="inlineStr">
        <is>
          <t>02</t>
        </is>
      </c>
      <c r="E3666" s="24" t="inlineStr">
        <is>
          <t>技术和设计可靠</t>
        </is>
      </c>
    </row>
    <row r="3667">
      <c r="B3667" s="24" t="inlineStr">
        <is>
          <t>技术领先性</t>
        </is>
      </c>
      <c r="C3667" s="24" t="inlineStr">
        <is>
          <t>技术领先性</t>
        </is>
      </c>
      <c r="D3667" s="24" t="inlineStr">
        <is>
          <t>03</t>
        </is>
      </c>
      <c r="E3667" s="24" t="inlineStr">
        <is>
          <t>技术和设计不可靠/存在技术问题和/或设计复杂</t>
        </is>
      </c>
    </row>
    <row r="3668" ht="15.95" customHeight="1" s="170">
      <c r="B3668" s="122" t="inlineStr">
        <is>
          <t>码值：关联企业风险状况</t>
        </is>
      </c>
    </row>
    <row r="3669">
      <c r="B3669" s="24" t="inlineStr">
        <is>
          <t>关联企业风险状况</t>
        </is>
      </c>
      <c r="C3669" s="24" t="inlineStr">
        <is>
          <t>关联企业风险状况</t>
        </is>
      </c>
      <c r="D3669" s="24" t="inlineStr">
        <is>
          <t>01</t>
        </is>
      </c>
      <c r="E3669" s="24" t="inlineStr">
        <is>
          <t>无关联企业</t>
        </is>
      </c>
    </row>
    <row r="3670">
      <c r="B3670" s="24" t="inlineStr">
        <is>
          <t>关联企业风险状况</t>
        </is>
      </c>
      <c r="C3670" s="24" t="inlineStr">
        <is>
          <t>关联企业风险状况</t>
        </is>
      </c>
      <c r="D3670" s="24" t="inlineStr">
        <is>
          <t>02</t>
        </is>
      </c>
      <c r="E3670" s="24" t="inlineStr">
        <is>
          <t>关联企业风险程度很低</t>
        </is>
      </c>
    </row>
    <row r="3671">
      <c r="B3671" s="24" t="inlineStr">
        <is>
          <t>关联企业风险状况</t>
        </is>
      </c>
      <c r="C3671" s="24" t="inlineStr">
        <is>
          <t>关联企业风险状况</t>
        </is>
      </c>
      <c r="D3671" s="24" t="inlineStr">
        <is>
          <t>03</t>
        </is>
      </c>
      <c r="E3671" s="24" t="inlineStr">
        <is>
          <t>关联企业存在一定风险</t>
        </is>
      </c>
    </row>
    <row r="3672">
      <c r="B3672" s="24" t="inlineStr">
        <is>
          <t>关联企业风险状况</t>
        </is>
      </c>
      <c r="C3672" s="24" t="inlineStr">
        <is>
          <t>关联企业风险状况</t>
        </is>
      </c>
      <c r="D3672" s="24" t="inlineStr">
        <is>
          <t>04</t>
        </is>
      </c>
      <c r="E3672" s="24" t="inlineStr">
        <is>
          <t>关联企业风险较高</t>
        </is>
      </c>
    </row>
    <row r="3673">
      <c r="B3673" s="24" t="inlineStr">
        <is>
          <t>关联企业风险状况</t>
        </is>
      </c>
      <c r="C3673" s="24" t="inlineStr">
        <is>
          <t>关联企业风险状况</t>
        </is>
      </c>
      <c r="D3673" s="24" t="inlineStr">
        <is>
          <t>05</t>
        </is>
      </c>
      <c r="E3673" s="24" t="inlineStr">
        <is>
          <t>个人或其他</t>
        </is>
      </c>
    </row>
    <row r="3674" ht="15.95" customHeight="1" s="170">
      <c r="B3674" s="122" t="inlineStr">
        <is>
          <t>码值：Scope</t>
        </is>
      </c>
    </row>
    <row r="3675">
      <c r="B3675" s="24" t="inlineStr">
        <is>
          <t>Scope</t>
        </is>
      </c>
      <c r="C3675" s="24" t="inlineStr">
        <is>
          <t>企业规模</t>
        </is>
      </c>
      <c r="D3675" s="24" t="inlineStr">
        <is>
          <t>2</t>
        </is>
      </c>
      <c r="E3675" s="24" t="inlineStr">
        <is>
          <t>大型企业</t>
        </is>
      </c>
    </row>
    <row r="3676">
      <c r="B3676" s="24" t="inlineStr">
        <is>
          <t>Scope</t>
        </is>
      </c>
      <c r="C3676" s="24" t="inlineStr">
        <is>
          <t>企业规模</t>
        </is>
      </c>
      <c r="D3676" s="24" t="inlineStr">
        <is>
          <t>3</t>
        </is>
      </c>
      <c r="E3676" s="24" t="inlineStr">
        <is>
          <t>中型企业</t>
        </is>
      </c>
    </row>
    <row r="3677">
      <c r="B3677" s="24" t="inlineStr">
        <is>
          <t>Scope</t>
        </is>
      </c>
      <c r="C3677" s="24" t="inlineStr">
        <is>
          <t>企业规模</t>
        </is>
      </c>
      <c r="D3677" s="24" t="inlineStr">
        <is>
          <t>4</t>
        </is>
      </c>
      <c r="E3677" s="24" t="inlineStr">
        <is>
          <t>小型企业</t>
        </is>
      </c>
    </row>
    <row r="3678">
      <c r="B3678" s="24" t="inlineStr">
        <is>
          <t>Scope</t>
        </is>
      </c>
      <c r="C3678" s="24" t="inlineStr">
        <is>
          <t>企业规模</t>
        </is>
      </c>
      <c r="D3678" s="24" t="inlineStr">
        <is>
          <t>5</t>
        </is>
      </c>
      <c r="E3678" s="24" t="inlineStr">
        <is>
          <t>微型企业</t>
        </is>
      </c>
    </row>
    <row r="3679">
      <c r="B3679" s="24" t="inlineStr">
        <is>
          <t>Scope</t>
        </is>
      </c>
      <c r="C3679" s="24" t="inlineStr">
        <is>
          <t>企业规模</t>
        </is>
      </c>
      <c r="D3679" s="24" t="inlineStr">
        <is>
          <t>9</t>
        </is>
      </c>
      <c r="E3679" s="24" t="inlineStr">
        <is>
          <t>其他</t>
        </is>
      </c>
    </row>
    <row r="3680" ht="15.95" customHeight="1" s="170">
      <c r="B3680" s="122" t="inlineStr">
        <is>
          <t>码值：AgreeOrNot</t>
        </is>
      </c>
    </row>
    <row r="3681">
      <c r="B3681" s="24" t="inlineStr">
        <is>
          <t>AgreeOrNot</t>
        </is>
      </c>
      <c r="C3681" s="24" t="inlineStr">
        <is>
          <t>同意否决</t>
        </is>
      </c>
      <c r="D3681" s="24" t="inlineStr">
        <is>
          <t>同意</t>
        </is>
      </c>
      <c r="E3681" s="24" t="inlineStr">
        <is>
          <t>同意</t>
        </is>
      </c>
    </row>
    <row r="3682">
      <c r="B3682" s="24" t="inlineStr">
        <is>
          <t>AgreeOrNot</t>
        </is>
      </c>
      <c r="C3682" s="24" t="inlineStr">
        <is>
          <t>同意否决</t>
        </is>
      </c>
      <c r="D3682" s="24" t="inlineStr">
        <is>
          <t>否决</t>
        </is>
      </c>
      <c r="E3682" s="24" t="inlineStr">
        <is>
          <t>否决</t>
        </is>
      </c>
    </row>
    <row r="3683" ht="15.95" customHeight="1" s="170">
      <c r="B3683" s="122" t="inlineStr">
        <is>
          <t>码值：BatchClApplyView</t>
        </is>
      </c>
    </row>
    <row r="3684">
      <c r="B3684" s="24" t="inlineStr">
        <is>
          <t>BatchClApplyView</t>
        </is>
      </c>
      <c r="C3684" s="24" t="inlineStr">
        <is>
          <t>批量授信额度</t>
        </is>
      </c>
      <c r="D3684" s="24" t="inlineStr">
        <is>
          <t>0010</t>
        </is>
      </c>
      <c r="E3684" s="24" t="inlineStr">
        <is>
          <t>基本信息</t>
        </is>
      </c>
    </row>
    <row r="3685">
      <c r="B3685" s="24" t="inlineStr">
        <is>
          <t>BatchClApplyView</t>
        </is>
      </c>
      <c r="C3685" s="24" t="inlineStr">
        <is>
          <t>批量授信额度</t>
        </is>
      </c>
      <c r="D3685" s="24" t="inlineStr">
        <is>
          <t>0020</t>
        </is>
      </c>
      <c r="E3685" s="24" t="inlineStr">
        <is>
          <t>共同申请人</t>
        </is>
      </c>
    </row>
    <row r="3686">
      <c r="B3686" s="24" t="inlineStr">
        <is>
          <t>BatchClApplyView</t>
        </is>
      </c>
      <c r="C3686" s="24" t="inlineStr">
        <is>
          <t>批量授信额度</t>
        </is>
      </c>
      <c r="D3686" s="24" t="inlineStr">
        <is>
          <t>0030</t>
        </is>
      </c>
      <c r="E3686" s="24" t="inlineStr">
        <is>
          <t>担保信息</t>
        </is>
      </c>
    </row>
    <row r="3687">
      <c r="B3687" s="24" t="inlineStr">
        <is>
          <t>BatchClApplyView</t>
        </is>
      </c>
      <c r="C3687" s="24" t="inlineStr">
        <is>
          <t>批量授信额度</t>
        </is>
      </c>
      <c r="D3687" s="24" t="inlineStr">
        <is>
          <t>003010</t>
        </is>
      </c>
      <c r="E3687" s="24" t="inlineStr">
        <is>
          <t>保证信息</t>
        </is>
      </c>
    </row>
    <row r="3688">
      <c r="B3688" s="24" t="inlineStr">
        <is>
          <t>BatchClApplyView</t>
        </is>
      </c>
      <c r="C3688" s="24" t="inlineStr">
        <is>
          <t>批量授信额度</t>
        </is>
      </c>
      <c r="D3688" s="24" t="inlineStr">
        <is>
          <t>003020</t>
        </is>
      </c>
      <c r="E3688" s="24" t="inlineStr">
        <is>
          <t>抵押信息</t>
        </is>
      </c>
    </row>
    <row r="3689">
      <c r="B3689" s="24" t="inlineStr">
        <is>
          <t>BatchClApplyView</t>
        </is>
      </c>
      <c r="C3689" s="24" t="inlineStr">
        <is>
          <t>批量授信额度</t>
        </is>
      </c>
      <c r="D3689" s="24" t="inlineStr">
        <is>
          <t>003030</t>
        </is>
      </c>
      <c r="E3689" s="24" t="inlineStr">
        <is>
          <t>质押信息</t>
        </is>
      </c>
    </row>
    <row r="3690">
      <c r="B3690" s="24" t="inlineStr">
        <is>
          <t>BatchClApplyView</t>
        </is>
      </c>
      <c r="C3690" s="24" t="inlineStr">
        <is>
          <t>批量授信额度</t>
        </is>
      </c>
      <c r="D3690" s="24" t="inlineStr">
        <is>
          <t>003040</t>
        </is>
      </c>
      <c r="E3690" s="24" t="inlineStr">
        <is>
          <t>引入最高额担保合同</t>
        </is>
      </c>
    </row>
    <row r="3691">
      <c r="B3691" s="24" t="inlineStr">
        <is>
          <t>BatchClApplyView</t>
        </is>
      </c>
      <c r="C3691" s="24" t="inlineStr">
        <is>
          <t>批量授信额度</t>
        </is>
      </c>
      <c r="D3691" s="24" t="inlineStr">
        <is>
          <t>0040</t>
        </is>
      </c>
      <c r="E3691" s="24" t="inlineStr">
        <is>
          <t>业务文档信息</t>
        </is>
      </c>
    </row>
    <row r="3692" ht="15.95" customHeight="1" s="170">
      <c r="B3692" s="122" t="inlineStr">
        <is>
          <t>码值：ManagementTeamExperience</t>
        </is>
      </c>
    </row>
    <row r="3693">
      <c r="B3693" s="24" t="inlineStr">
        <is>
          <t>ManagementTeamExperience</t>
        </is>
      </c>
      <c r="C3693" s="24" t="inlineStr">
        <is>
          <t>信用等级评估统一导入</t>
        </is>
      </c>
      <c r="D3693" s="24" t="inlineStr">
        <is>
          <t>01</t>
        </is>
      </c>
      <c r="E3693" s="24" t="inlineStr">
        <is>
          <t>&gt; 10 年</t>
        </is>
      </c>
    </row>
    <row r="3694">
      <c r="B3694" s="24" t="inlineStr">
        <is>
          <t>ManagementTeamExperience</t>
        </is>
      </c>
      <c r="C3694" s="24" t="inlineStr">
        <is>
          <t>信用等级评估统一导入</t>
        </is>
      </c>
      <c r="D3694" s="24" t="inlineStr">
        <is>
          <t>02</t>
        </is>
      </c>
      <c r="E3694" s="24" t="inlineStr">
        <is>
          <t>3 - 10 年</t>
        </is>
      </c>
    </row>
    <row r="3695">
      <c r="B3695" s="24" t="inlineStr">
        <is>
          <t>ManagementTeamExperience</t>
        </is>
      </c>
      <c r="C3695" s="24" t="inlineStr">
        <is>
          <t>信用等级评估统一导入</t>
        </is>
      </c>
      <c r="D3695" s="24" t="inlineStr">
        <is>
          <t>03</t>
        </is>
      </c>
      <c r="E3695" s="24" t="inlineStr">
        <is>
          <t>1 - 2 年</t>
        </is>
      </c>
    </row>
    <row r="3696">
      <c r="B3696" s="24" t="inlineStr">
        <is>
          <t>ManagementTeamExperience</t>
        </is>
      </c>
      <c r="C3696" s="24" t="inlineStr">
        <is>
          <t>信用等级评估统一导入</t>
        </is>
      </c>
      <c r="D3696" s="24" t="inlineStr">
        <is>
          <t>04</t>
        </is>
      </c>
      <c r="E3696" s="24" t="inlineStr">
        <is>
          <t>对于行业很新，但有相关经验</t>
        </is>
      </c>
    </row>
    <row r="3697">
      <c r="B3697" s="24" t="inlineStr">
        <is>
          <t>ManagementTeamExperience</t>
        </is>
      </c>
      <c r="C3697" s="24" t="inlineStr">
        <is>
          <t>信用等级评估统一导入</t>
        </is>
      </c>
      <c r="D3697" s="24" t="inlineStr">
        <is>
          <t>05</t>
        </is>
      </c>
      <c r="E3697" s="24" t="inlineStr">
        <is>
          <t>对于行业很新，没有经验</t>
        </is>
      </c>
    </row>
    <row r="3698" ht="15.95" customHeight="1" s="170">
      <c r="B3698" s="122" t="inlineStr">
        <is>
          <t>码值：ReFreq</t>
        </is>
      </c>
    </row>
    <row r="3699">
      <c r="B3699" s="24" t="inlineStr">
        <is>
          <t>ReFreq</t>
        </is>
      </c>
      <c r="C3699" s="24" t="inlineStr">
        <is>
          <t>还款频率</t>
        </is>
      </c>
      <c r="D3699" s="24" t="inlineStr">
        <is>
          <t>01</t>
        </is>
      </c>
      <c r="E3699" s="24" t="inlineStr">
        <is>
          <t>日</t>
        </is>
      </c>
    </row>
    <row r="3700">
      <c r="B3700" s="24" t="inlineStr">
        <is>
          <t>ReFreq</t>
        </is>
      </c>
      <c r="C3700" s="24" t="inlineStr">
        <is>
          <t>还款频率</t>
        </is>
      </c>
      <c r="D3700" s="24" t="inlineStr">
        <is>
          <t>02</t>
        </is>
      </c>
      <c r="E3700" s="24" t="inlineStr">
        <is>
          <t>月</t>
        </is>
      </c>
    </row>
    <row r="3701" ht="15.95" customHeight="1" s="170">
      <c r="B3701" s="122" t="inlineStr">
        <is>
          <t>码值：FinaRunArea</t>
        </is>
      </c>
    </row>
    <row r="3702">
      <c r="B3702" s="24" t="inlineStr">
        <is>
          <t>FinaRunArea</t>
        </is>
      </c>
      <c r="C3702" s="24" t="inlineStr">
        <is>
          <t>金融机构经营区域范围</t>
        </is>
      </c>
      <c r="D3702" s="24" t="inlineStr">
        <is>
          <t>01</t>
        </is>
      </c>
      <c r="E3702" s="24" t="inlineStr">
        <is>
          <t>区域性</t>
        </is>
      </c>
    </row>
    <row r="3703">
      <c r="B3703" s="24" t="inlineStr">
        <is>
          <t>FinaRunArea</t>
        </is>
      </c>
      <c r="C3703" s="24" t="inlineStr">
        <is>
          <t>金融机构经营区域范围</t>
        </is>
      </c>
      <c r="D3703" s="24" t="inlineStr">
        <is>
          <t>02</t>
        </is>
      </c>
      <c r="E3703" s="24" t="inlineStr">
        <is>
          <t>全国性</t>
        </is>
      </c>
    </row>
    <row r="3704">
      <c r="B3704" s="24" t="inlineStr">
        <is>
          <t>FinaRunArea</t>
        </is>
      </c>
      <c r="C3704" s="24" t="inlineStr">
        <is>
          <t>金融机构经营区域范围</t>
        </is>
      </c>
      <c r="D3704" s="24" t="inlineStr">
        <is>
          <t>03</t>
        </is>
      </c>
      <c r="E3704" s="24" t="inlineStr">
        <is>
          <t>全球性</t>
        </is>
      </c>
    </row>
    <row r="3705" ht="15.95" customHeight="1" s="170">
      <c r="B3705" s="122" t="inlineStr">
        <is>
          <t>码值：LocationType</t>
        </is>
      </c>
    </row>
    <row r="3706">
      <c r="B3706" s="24" t="inlineStr">
        <is>
          <t>LocationType</t>
        </is>
      </c>
      <c r="C3706" s="24" t="inlineStr">
        <is>
          <t>调查实地类型</t>
        </is>
      </c>
      <c r="D3706" s="24" t="inlineStr">
        <is>
          <t>01</t>
        </is>
      </c>
      <c r="E3706" s="24" t="inlineStr">
        <is>
          <t>借款人经营地</t>
        </is>
      </c>
    </row>
    <row r="3707">
      <c r="B3707" s="24" t="inlineStr">
        <is>
          <t>LocationType</t>
        </is>
      </c>
      <c r="C3707" s="24" t="inlineStr">
        <is>
          <t>调查实地类型</t>
        </is>
      </c>
      <c r="D3707" s="24" t="inlineStr">
        <is>
          <t>02</t>
        </is>
      </c>
      <c r="E3707" s="24" t="inlineStr">
        <is>
          <t>担保人经营地</t>
        </is>
      </c>
    </row>
    <row r="3708">
      <c r="B3708" s="24" t="inlineStr">
        <is>
          <t>LocationType</t>
        </is>
      </c>
      <c r="C3708" s="24" t="inlineStr">
        <is>
          <t>调查实地类型</t>
        </is>
      </c>
      <c r="D3708" s="24" t="inlineStr">
        <is>
          <t>03</t>
        </is>
      </c>
      <c r="E3708" s="24" t="inlineStr">
        <is>
          <t>借款人住所</t>
        </is>
      </c>
    </row>
    <row r="3709">
      <c r="B3709" s="24" t="inlineStr">
        <is>
          <t>LocationType</t>
        </is>
      </c>
      <c r="C3709" s="24" t="inlineStr">
        <is>
          <t>调查实地类型</t>
        </is>
      </c>
      <c r="D3709" s="24" t="inlineStr">
        <is>
          <t>04</t>
        </is>
      </c>
      <c r="E3709" s="24" t="inlineStr">
        <is>
          <t>担保人住所</t>
        </is>
      </c>
    </row>
    <row r="3710" ht="15.95" customHeight="1" s="170">
      <c r="B3710" s="122" t="inlineStr">
        <is>
          <t>码值：NFinancingCapacity</t>
        </is>
      </c>
    </row>
    <row r="3711">
      <c r="B3711" s="24" t="inlineStr">
        <is>
          <t>NFinancingCapacity</t>
        </is>
      </c>
      <c r="C3711" s="24" t="inlineStr">
        <is>
          <t>信用等级评估统一导入</t>
        </is>
      </c>
      <c r="D3711" s="24" t="inlineStr">
        <is>
          <t>01</t>
        </is>
      </c>
      <c r="E3711" s="24" t="inlineStr">
        <is>
          <t>融资理念成熟，融资渠道多样。体现为，已经在境内外主要交易所上市，或者在工农中建交中的三家及以上银行有授信，或者成功在公开市场发行过债券</t>
        </is>
      </c>
    </row>
    <row r="3712">
      <c r="B3712" s="24" t="inlineStr">
        <is>
          <t>NFinancingCapacity</t>
        </is>
      </c>
      <c r="C3712" s="24" t="inlineStr">
        <is>
          <t>信用等级评估统一导入</t>
        </is>
      </c>
      <c r="D3712" s="24" t="inlineStr">
        <is>
          <t>02</t>
        </is>
      </c>
      <c r="E3712" s="24" t="inlineStr">
        <is>
          <t>融资理念较成熟，融资渠道较多样。体现为，已经进入上市辅导期，或者在我行以外的至少三家银行有授信</t>
        </is>
      </c>
    </row>
    <row r="3713">
      <c r="B3713" s="24" t="inlineStr">
        <is>
          <t>NFinancingCapacity</t>
        </is>
      </c>
      <c r="C3713" s="24" t="inlineStr">
        <is>
          <t>信用等级评估统一导入</t>
        </is>
      </c>
      <c r="D3713" s="24" t="inlineStr">
        <is>
          <t>03</t>
        </is>
      </c>
      <c r="E3713" s="24" t="inlineStr">
        <is>
          <t>公司有一些融资理念，且已经成功实现过外部资金融入。体现为，在我行以外的至少一家银行有授信，或者有风险投资或者类似资金入股</t>
        </is>
      </c>
    </row>
    <row r="3714">
      <c r="B3714" s="24" t="inlineStr">
        <is>
          <t>NFinancingCapacity</t>
        </is>
      </c>
      <c r="C3714" s="24" t="inlineStr">
        <is>
          <t>信用等级评估统一导入</t>
        </is>
      </c>
      <c r="D3714" s="24" t="inlineStr">
        <is>
          <t>04</t>
        </is>
      </c>
      <c r="E3714" s="24" t="inlineStr">
        <is>
          <t>公司融资理念不清晰，基本没有获得过股东以外的资金融入</t>
        </is>
      </c>
    </row>
    <row r="3715" ht="15.95" customHeight="1" s="170">
      <c r="B3715" s="122" t="inlineStr">
        <is>
          <t>码值：GiveType</t>
        </is>
      </c>
    </row>
    <row r="3716">
      <c r="B3716" s="24" t="inlineStr">
        <is>
          <t>GiveType</t>
        </is>
      </c>
      <c r="C3716" s="24" t="inlineStr">
        <is>
          <t>交单方式</t>
        </is>
      </c>
      <c r="D3716" s="24" t="inlineStr">
        <is>
          <t>010</t>
        </is>
      </c>
      <c r="E3716" s="24" t="inlineStr">
        <is>
          <t>D/P（付款交单）</t>
        </is>
      </c>
    </row>
    <row r="3717">
      <c r="B3717" s="24" t="inlineStr">
        <is>
          <t>GiveType</t>
        </is>
      </c>
      <c r="C3717" s="24" t="inlineStr">
        <is>
          <t>交单方式</t>
        </is>
      </c>
      <c r="D3717" s="24" t="inlineStr">
        <is>
          <t>020</t>
        </is>
      </c>
      <c r="E3717" s="24" t="inlineStr">
        <is>
          <t>D/A（承兑交单）</t>
        </is>
      </c>
    </row>
    <row r="3718" ht="15.95" customHeight="1" s="170">
      <c r="B3718" s="122" t="inlineStr">
        <is>
          <t>码值：IndustrialRealtyType</t>
        </is>
      </c>
    </row>
    <row r="3719">
      <c r="B3719" s="24" t="inlineStr">
        <is>
          <t>IndustrialRealtyType</t>
        </is>
      </c>
      <c r="C3719" s="24" t="n"/>
      <c r="D3719" s="24" t="inlineStr">
        <is>
          <t>01</t>
        </is>
      </c>
      <c r="E3719" s="24" t="inlineStr">
        <is>
          <t>标准工业厂房</t>
        </is>
      </c>
    </row>
    <row r="3720">
      <c r="B3720" s="24" t="inlineStr">
        <is>
          <t>IndustrialRealtyType</t>
        </is>
      </c>
      <c r="C3720" s="24" t="n"/>
      <c r="D3720" s="24" t="inlineStr">
        <is>
          <t>02</t>
        </is>
      </c>
      <c r="E3720" s="24" t="inlineStr">
        <is>
          <t>非标准工业厂房</t>
        </is>
      </c>
    </row>
    <row r="3721">
      <c r="B3721" s="24" t="inlineStr">
        <is>
          <t>IndustrialRealtyType</t>
        </is>
      </c>
      <c r="C3721" s="24" t="n"/>
      <c r="D3721" s="24" t="inlineStr">
        <is>
          <t>03</t>
        </is>
      </c>
      <c r="E3721" s="24" t="inlineStr">
        <is>
          <t>物流仓库</t>
        </is>
      </c>
    </row>
    <row r="3722">
      <c r="B3722" s="24" t="inlineStr">
        <is>
          <t>IndustrialRealtyType</t>
        </is>
      </c>
      <c r="C3722" s="24" t="n"/>
      <c r="D3722" s="24" t="inlineStr">
        <is>
          <t>90</t>
        </is>
      </c>
      <c r="E3722" s="24" t="inlineStr">
        <is>
          <t>其他</t>
        </is>
      </c>
    </row>
    <row r="3723" ht="15.95" customHeight="1" s="170">
      <c r="B3723" s="122" t="inlineStr">
        <is>
          <t>码值：DimensionType</t>
        </is>
      </c>
    </row>
    <row r="3724">
      <c r="B3724" s="24" t="inlineStr">
        <is>
          <t>DimensionType</t>
        </is>
      </c>
      <c r="C3724" s="24" t="inlineStr">
        <is>
          <t>授权维度类型</t>
        </is>
      </c>
      <c r="D3724" s="24" t="inlineStr">
        <is>
          <t>Integer</t>
        </is>
      </c>
      <c r="E3724" s="24" t="inlineStr">
        <is>
          <t>整数型</t>
        </is>
      </c>
    </row>
    <row r="3725">
      <c r="B3725" s="24" t="inlineStr">
        <is>
          <t>DimensionType</t>
        </is>
      </c>
      <c r="C3725" s="24" t="inlineStr">
        <is>
          <t>授权维度类型</t>
        </is>
      </c>
      <c r="D3725" s="24" t="inlineStr">
        <is>
          <t>Number</t>
        </is>
      </c>
      <c r="E3725" s="24" t="inlineStr">
        <is>
          <t>精度数</t>
        </is>
      </c>
    </row>
    <row r="3726">
      <c r="B3726" s="24" t="inlineStr">
        <is>
          <t>DimensionType</t>
        </is>
      </c>
      <c r="C3726" s="24" t="inlineStr">
        <is>
          <t>授权维度类型</t>
        </is>
      </c>
      <c r="D3726" s="24" t="inlineStr">
        <is>
          <t>String</t>
        </is>
      </c>
      <c r="E3726" s="24" t="inlineStr">
        <is>
          <t>字符型</t>
        </is>
      </c>
    </row>
    <row r="3727" ht="15.95" customHeight="1" s="170">
      <c r="B3727" s="122" t="inlineStr">
        <is>
          <t>码值：CreditPutoutApplyIndMain</t>
        </is>
      </c>
    </row>
    <row r="3728">
      <c r="B3728" s="24" t="inlineStr">
        <is>
          <t>CreditPutoutApplyIndMain</t>
        </is>
      </c>
      <c r="C3728" s="24" t="inlineStr">
        <is>
          <t>个人放贷申请主树图</t>
        </is>
      </c>
      <c r="D3728" s="24" t="inlineStr">
        <is>
          <t>1010</t>
        </is>
      </c>
      <c r="E3728" s="24" t="inlineStr">
        <is>
          <t>待处理</t>
        </is>
      </c>
    </row>
    <row r="3729">
      <c r="B3729" s="24" t="inlineStr">
        <is>
          <t>CreditPutoutApplyIndMain</t>
        </is>
      </c>
      <c r="C3729" s="24" t="inlineStr">
        <is>
          <t>个人放贷申请主树图</t>
        </is>
      </c>
      <c r="D3729" s="24" t="inlineStr">
        <is>
          <t>1020</t>
        </is>
      </c>
      <c r="E3729" s="24" t="inlineStr">
        <is>
          <t>审批中</t>
        </is>
      </c>
    </row>
    <row r="3730">
      <c r="B3730" s="24" t="inlineStr">
        <is>
          <t>CreditPutoutApplyIndMain</t>
        </is>
      </c>
      <c r="C3730" s="24" t="inlineStr">
        <is>
          <t>个人放贷申请主树图</t>
        </is>
      </c>
      <c r="D3730" s="24" t="inlineStr">
        <is>
          <t>1040,1050</t>
        </is>
      </c>
      <c r="E3730" s="24" t="inlineStr">
        <is>
          <t>处理完成</t>
        </is>
      </c>
    </row>
    <row r="3731" ht="15.95" customHeight="1" s="170">
      <c r="B3731" s="122" t="inlineStr">
        <is>
          <t>码值：SEGTermFlag</t>
        </is>
      </c>
    </row>
    <row r="3732">
      <c r="B3732" s="24" t="inlineStr">
        <is>
          <t>SEGTermFlag</t>
        </is>
      </c>
      <c r="C3732" s="24" t="inlineStr">
        <is>
          <t>区段执行标识</t>
        </is>
      </c>
      <c r="D3732" s="24" t="inlineStr">
        <is>
          <t>1</t>
        </is>
      </c>
      <c r="E3732" s="24" t="inlineStr">
        <is>
          <t>贷款期限</t>
        </is>
      </c>
    </row>
    <row r="3733">
      <c r="B3733" s="24" t="inlineStr">
        <is>
          <t>SEGTermFlag</t>
        </is>
      </c>
      <c r="C3733" s="24" t="inlineStr">
        <is>
          <t>区段执行标识</t>
        </is>
      </c>
      <c r="D3733" s="24" t="inlineStr">
        <is>
          <t>2</t>
        </is>
      </c>
      <c r="E3733" s="24" t="inlineStr">
        <is>
          <t>区段期限</t>
        </is>
      </c>
    </row>
    <row r="3734">
      <c r="B3734" s="24" t="inlineStr">
        <is>
          <t>SEGTermFlag</t>
        </is>
      </c>
      <c r="C3734" s="24" t="inlineStr">
        <is>
          <t>区段执行标识</t>
        </is>
      </c>
      <c r="D3734" s="24" t="inlineStr">
        <is>
          <t>3</t>
        </is>
      </c>
      <c r="E3734" s="24" t="inlineStr">
        <is>
          <t>指定期限</t>
        </is>
      </c>
    </row>
    <row r="3735" ht="15.95" customHeight="1" s="170">
      <c r="B3735" s="122" t="inlineStr">
        <is>
          <t>码值：ReserveView</t>
        </is>
      </c>
    </row>
    <row r="3736">
      <c r="B3736" s="24" t="inlineStr">
        <is>
          <t>ReserveView</t>
        </is>
      </c>
      <c r="C3736" s="24" t="inlineStr">
        <is>
          <t>减值计提详情树图</t>
        </is>
      </c>
      <c r="D3736" s="24" t="inlineStr">
        <is>
          <t>010010</t>
        </is>
      </c>
      <c r="E3736" s="24" t="inlineStr">
        <is>
          <t>减值计提信息</t>
        </is>
      </c>
    </row>
    <row r="3737">
      <c r="B3737" s="24" t="inlineStr">
        <is>
          <t>ReserveView</t>
        </is>
      </c>
      <c r="C3737" s="24" t="inlineStr">
        <is>
          <t>减值计提详情树图</t>
        </is>
      </c>
      <c r="D3737" s="24" t="inlineStr">
        <is>
          <t>010020</t>
        </is>
      </c>
      <c r="E3737" s="24" t="inlineStr">
        <is>
          <t>现金流预测</t>
        </is>
      </c>
    </row>
    <row r="3738">
      <c r="B3738" s="24" t="inlineStr">
        <is>
          <t>ReserveView</t>
        </is>
      </c>
      <c r="C3738" s="24" t="inlineStr">
        <is>
          <t>减值计提详情树图</t>
        </is>
      </c>
      <c r="D3738" s="24" t="inlineStr">
        <is>
          <t>010030</t>
        </is>
      </c>
      <c r="E3738" s="24" t="inlineStr">
        <is>
          <t>影像资料</t>
        </is>
      </c>
    </row>
    <row r="3739" ht="15.95" customHeight="1" s="170">
      <c r="B3739" s="122" t="inlineStr">
        <is>
          <t>码值：LimitCustomerType</t>
        </is>
      </c>
    </row>
    <row r="3740">
      <c r="B3740" s="24" t="inlineStr">
        <is>
          <t>LimitCustomerType</t>
        </is>
      </c>
      <c r="C3740" s="24" t="inlineStr">
        <is>
          <t>客户类型</t>
        </is>
      </c>
      <c r="D3740" s="24" t="inlineStr">
        <is>
          <t>Company</t>
        </is>
      </c>
      <c r="E3740" s="24" t="inlineStr">
        <is>
          <t>公司客户</t>
        </is>
      </c>
    </row>
    <row r="3741">
      <c r="B3741" s="24" t="inlineStr">
        <is>
          <t>LimitCustomerType</t>
        </is>
      </c>
      <c r="C3741" s="24" t="inlineStr">
        <is>
          <t>客户类型</t>
        </is>
      </c>
      <c r="D3741" s="24" t="inlineStr">
        <is>
          <t>CustomerGroup</t>
        </is>
      </c>
      <c r="E3741" s="24" t="inlineStr">
        <is>
          <t>客户群</t>
        </is>
      </c>
    </row>
    <row r="3742">
      <c r="B3742" s="24" t="inlineStr">
        <is>
          <t>LimitCustomerType</t>
        </is>
      </c>
      <c r="C3742" s="24" t="inlineStr">
        <is>
          <t>客户类型</t>
        </is>
      </c>
      <c r="D3742" s="24" t="inlineStr">
        <is>
          <t>Finance</t>
        </is>
      </c>
      <c r="E3742" s="24" t="inlineStr">
        <is>
          <t>同业客户</t>
        </is>
      </c>
    </row>
    <row r="3743">
      <c r="B3743" s="24" t="inlineStr">
        <is>
          <t>LimitCustomerType</t>
        </is>
      </c>
      <c r="C3743" s="24" t="inlineStr">
        <is>
          <t>客户类型</t>
        </is>
      </c>
      <c r="D3743" s="24" t="inlineStr">
        <is>
          <t>Group</t>
        </is>
      </c>
      <c r="E3743" s="24" t="inlineStr">
        <is>
          <t>集团客户</t>
        </is>
      </c>
    </row>
    <row r="3744">
      <c r="B3744" s="24" t="inlineStr">
        <is>
          <t>LimitCustomerType</t>
        </is>
      </c>
      <c r="C3744" s="24" t="inlineStr">
        <is>
          <t>客户类型</t>
        </is>
      </c>
      <c r="D3744" s="24" t="inlineStr">
        <is>
          <t>Single</t>
        </is>
      </c>
      <c r="E3744" s="24" t="inlineStr">
        <is>
          <t>个人客户</t>
        </is>
      </c>
    </row>
    <row r="3745" ht="15.95" customHeight="1" s="170">
      <c r="B3745" s="122" t="inlineStr">
        <is>
          <t>码值：ClassifyApplyMain</t>
        </is>
      </c>
    </row>
    <row r="3746">
      <c r="B3746" s="24" t="inlineStr">
        <is>
          <t>ClassifyApplyMain</t>
        </is>
      </c>
      <c r="C3746" s="24" t="inlineStr">
        <is>
          <t>五级分类申请主树图</t>
        </is>
      </c>
      <c r="D3746" s="24" t="inlineStr">
        <is>
          <t>1010</t>
        </is>
      </c>
      <c r="E3746" s="24" t="inlineStr">
        <is>
          <t>待处理申请</t>
        </is>
      </c>
    </row>
    <row r="3747">
      <c r="B3747" s="24" t="inlineStr">
        <is>
          <t>ClassifyApplyMain</t>
        </is>
      </c>
      <c r="C3747" s="24" t="inlineStr">
        <is>
          <t>五级分类申请主树图</t>
        </is>
      </c>
      <c r="D3747" s="24" t="inlineStr">
        <is>
          <t>1020</t>
        </is>
      </c>
      <c r="E3747" s="24" t="inlineStr">
        <is>
          <t>认定中的申请</t>
        </is>
      </c>
    </row>
    <row r="3748">
      <c r="B3748" s="24" t="inlineStr">
        <is>
          <t>ClassifyApplyMain</t>
        </is>
      </c>
      <c r="C3748" s="24" t="inlineStr">
        <is>
          <t>五级分类申请主树图</t>
        </is>
      </c>
      <c r="D3748" s="24" t="inlineStr">
        <is>
          <t>1030</t>
        </is>
      </c>
      <c r="E3748" s="24" t="inlineStr">
        <is>
          <t>认定通过的申请</t>
        </is>
      </c>
    </row>
    <row r="3749" ht="15.95" customHeight="1" s="170">
      <c r="B3749" s="122" t="inlineStr">
        <is>
          <t>码值：FinancingPlatFormPerson</t>
        </is>
      </c>
    </row>
    <row r="3750">
      <c r="B3750" s="24" t="inlineStr">
        <is>
          <t>FinancingPlatFormPerson</t>
        </is>
      </c>
      <c r="C3750" s="24" t="inlineStr">
        <is>
          <t>信用等级评估统一导入</t>
        </is>
      </c>
      <c r="D3750" s="24" t="inlineStr">
        <is>
          <t>01</t>
        </is>
      </c>
      <c r="E3750" s="24" t="inlineStr">
        <is>
          <t>政府机构（如：融资办）向融资平台派驻财务总监</t>
        </is>
      </c>
    </row>
    <row r="3751">
      <c r="B3751" s="24" t="inlineStr">
        <is>
          <t>FinancingPlatFormPerson</t>
        </is>
      </c>
      <c r="C3751" s="24" t="inlineStr">
        <is>
          <t>信用等级评估统一导入</t>
        </is>
      </c>
      <c r="D3751" s="24" t="inlineStr">
        <is>
          <t>02</t>
        </is>
      </c>
      <c r="E3751" s="24" t="inlineStr">
        <is>
          <t>财务总监为融资平台自身委任</t>
        </is>
      </c>
    </row>
    <row r="3752">
      <c r="B3752" s="24" t="inlineStr">
        <is>
          <t>FinancingPlatFormPerson</t>
        </is>
      </c>
      <c r="C3752" s="24" t="inlineStr">
        <is>
          <t>信用等级评估统一导入</t>
        </is>
      </c>
      <c r="D3752" s="24" t="inlineStr">
        <is>
          <t>03</t>
        </is>
      </c>
      <c r="E3752" s="24" t="inlineStr">
        <is>
          <t>无财务总监或其不能履行相应职责</t>
        </is>
      </c>
    </row>
    <row r="3753" ht="15.95" customHeight="1" s="170">
      <c r="B3753" s="122" t="inlineStr">
        <is>
          <t>码值：FinaTreeView</t>
        </is>
      </c>
    </row>
    <row r="3754">
      <c r="B3754" s="24" t="inlineStr">
        <is>
          <t>FinaTreeView</t>
        </is>
      </c>
      <c r="C3754" s="24" t="inlineStr">
        <is>
          <t>金融客户详情视图</t>
        </is>
      </c>
      <c r="D3754" s="24" t="inlineStr">
        <is>
          <t>010</t>
        </is>
      </c>
      <c r="E3754" s="24" t="inlineStr">
        <is>
          <t>客户基本信息</t>
        </is>
      </c>
    </row>
    <row r="3755">
      <c r="B3755" s="24" t="inlineStr">
        <is>
          <t>FinaTreeView</t>
        </is>
      </c>
      <c r="C3755" s="24" t="inlineStr">
        <is>
          <t>金融客户详情视图</t>
        </is>
      </c>
      <c r="D3755" s="24" t="inlineStr">
        <is>
          <t>010010</t>
        </is>
      </c>
      <c r="E3755" s="24" t="inlineStr">
        <is>
          <t>客户概况</t>
        </is>
      </c>
    </row>
    <row r="3756">
      <c r="B3756" s="24" t="inlineStr">
        <is>
          <t>FinaTreeView</t>
        </is>
      </c>
      <c r="C3756" s="24" t="inlineStr">
        <is>
          <t>金融客户详情视图</t>
        </is>
      </c>
      <c r="D3756" s="24" t="inlineStr">
        <is>
          <t>010020</t>
        </is>
      </c>
      <c r="E3756" s="24" t="inlineStr">
        <is>
          <t>高管信息</t>
        </is>
      </c>
    </row>
    <row r="3757">
      <c r="B3757" s="24" t="inlineStr">
        <is>
          <t>FinaTreeView</t>
        </is>
      </c>
      <c r="C3757" s="24" t="inlineStr">
        <is>
          <t>金融客户详情视图</t>
        </is>
      </c>
      <c r="D3757" s="24" t="inlineStr">
        <is>
          <t>010030</t>
        </is>
      </c>
      <c r="E3757" s="24" t="inlineStr">
        <is>
          <t>股东信息</t>
        </is>
      </c>
    </row>
    <row r="3758">
      <c r="B3758" s="24" t="inlineStr">
        <is>
          <t>FinaTreeView</t>
        </is>
      </c>
      <c r="C3758" s="24" t="inlineStr">
        <is>
          <t>金融客户详情视图</t>
        </is>
      </c>
      <c r="D3758" s="24" t="inlineStr">
        <is>
          <t>010040</t>
        </is>
      </c>
      <c r="E3758" s="24" t="inlineStr">
        <is>
          <t>对外股权投资信息</t>
        </is>
      </c>
    </row>
    <row r="3759">
      <c r="B3759" s="24" t="inlineStr">
        <is>
          <t>FinaTreeView</t>
        </is>
      </c>
      <c r="C3759" s="24" t="inlineStr">
        <is>
          <t>金融客户详情视图</t>
        </is>
      </c>
      <c r="D3759" s="24" t="inlineStr">
        <is>
          <t>010050</t>
        </is>
      </c>
      <c r="E3759" s="24" t="inlineStr">
        <is>
          <t>股票发行信息</t>
        </is>
      </c>
    </row>
    <row r="3760">
      <c r="B3760" s="24" t="inlineStr">
        <is>
          <t>FinaTreeView</t>
        </is>
      </c>
      <c r="C3760" s="24" t="inlineStr">
        <is>
          <t>金融客户详情视图</t>
        </is>
      </c>
      <c r="D3760" s="24" t="inlineStr">
        <is>
          <t>010060</t>
        </is>
      </c>
      <c r="E3760" s="24" t="inlineStr">
        <is>
          <t>债券发行信息</t>
        </is>
      </c>
    </row>
    <row r="3761">
      <c r="B3761" s="24" t="inlineStr">
        <is>
          <t>FinaTreeView</t>
        </is>
      </c>
      <c r="C3761" s="24" t="inlineStr">
        <is>
          <t>金融客户详情视图</t>
        </is>
      </c>
      <c r="D3761" s="24" t="inlineStr">
        <is>
          <t>010080</t>
        </is>
      </c>
      <c r="E3761" s="24" t="inlineStr">
        <is>
          <t>涉诉信息</t>
        </is>
      </c>
    </row>
    <row r="3762">
      <c r="B3762" s="24" t="inlineStr">
        <is>
          <t>FinaTreeView</t>
        </is>
      </c>
      <c r="C3762" s="24" t="inlineStr">
        <is>
          <t>金融客户详情视图</t>
        </is>
      </c>
      <c r="D3762" s="24" t="inlineStr">
        <is>
          <t>010090</t>
        </is>
      </c>
      <c r="E3762" s="24" t="inlineStr">
        <is>
          <t>大事记信息</t>
        </is>
      </c>
    </row>
    <row r="3763">
      <c r="B3763" s="24" t="inlineStr">
        <is>
          <t>FinaTreeView</t>
        </is>
      </c>
      <c r="C3763" s="24" t="inlineStr">
        <is>
          <t>金融客户详情视图</t>
        </is>
      </c>
      <c r="D3763" s="24" t="inlineStr">
        <is>
          <t>010100</t>
        </is>
      </c>
      <c r="E3763" s="24" t="inlineStr">
        <is>
          <t>客户关联关系图谱</t>
        </is>
      </c>
    </row>
    <row r="3764">
      <c r="B3764" s="24" t="inlineStr">
        <is>
          <t>FinaTreeView</t>
        </is>
      </c>
      <c r="C3764" s="24" t="inlineStr">
        <is>
          <t>金融客户详情视图</t>
        </is>
      </c>
      <c r="D3764" s="24" t="inlineStr">
        <is>
          <t>010110</t>
        </is>
      </c>
      <c r="E3764" s="24" t="inlineStr">
        <is>
          <t>客户担保关联图谱</t>
        </is>
      </c>
    </row>
    <row r="3765">
      <c r="B3765" s="24" t="inlineStr">
        <is>
          <t>FinaTreeView</t>
        </is>
      </c>
      <c r="C3765" s="24" t="inlineStr">
        <is>
          <t>金融客户详情视图</t>
        </is>
      </c>
      <c r="D3765" s="24" t="inlineStr">
        <is>
          <t>020</t>
        </is>
      </c>
      <c r="E3765" s="24" t="inlineStr">
        <is>
          <t>客户财务信息</t>
        </is>
      </c>
    </row>
    <row r="3766">
      <c r="B3766" s="24" t="inlineStr">
        <is>
          <t>FinaTreeView</t>
        </is>
      </c>
      <c r="C3766" s="24" t="inlineStr">
        <is>
          <t>金融客户详情视图</t>
        </is>
      </c>
      <c r="D3766" s="24" t="inlineStr">
        <is>
          <t>020010</t>
        </is>
      </c>
      <c r="E3766" s="24" t="inlineStr">
        <is>
          <t>财务报表</t>
        </is>
      </c>
    </row>
    <row r="3767">
      <c r="B3767" s="24" t="inlineStr">
        <is>
          <t>FinaTreeView</t>
        </is>
      </c>
      <c r="C3767" s="24" t="inlineStr">
        <is>
          <t>金融客户详情视图</t>
        </is>
      </c>
      <c r="D3767" s="24" t="inlineStr">
        <is>
          <t>020020</t>
        </is>
      </c>
      <c r="E3767" s="24" t="inlineStr">
        <is>
          <t>财务报表变更</t>
        </is>
      </c>
    </row>
    <row r="3768">
      <c r="B3768" s="24" t="inlineStr">
        <is>
          <t>FinaTreeView</t>
        </is>
      </c>
      <c r="C3768" s="24" t="inlineStr">
        <is>
          <t>金融客户详情视图</t>
        </is>
      </c>
      <c r="D3768" s="24" t="inlineStr">
        <is>
          <t>020030</t>
        </is>
      </c>
      <c r="E3768" s="24" t="inlineStr">
        <is>
          <t>财务分析</t>
        </is>
      </c>
    </row>
    <row r="3769">
      <c r="B3769" s="24" t="inlineStr">
        <is>
          <t>FinaTreeView</t>
        </is>
      </c>
      <c r="C3769" s="24" t="inlineStr">
        <is>
          <t>金融客户详情视图</t>
        </is>
      </c>
      <c r="D3769" s="24" t="inlineStr">
        <is>
          <t>020030010</t>
        </is>
      </c>
      <c r="E3769" s="24" t="inlineStr">
        <is>
          <t>趋势分析</t>
        </is>
      </c>
    </row>
    <row r="3770">
      <c r="B3770" s="24" t="inlineStr">
        <is>
          <t>FinaTreeView</t>
        </is>
      </c>
      <c r="C3770" s="24" t="inlineStr">
        <is>
          <t>金融客户详情视图</t>
        </is>
      </c>
      <c r="D3770" s="24" t="inlineStr">
        <is>
          <t>020030020</t>
        </is>
      </c>
      <c r="E3770" s="24" t="inlineStr">
        <is>
          <t>结构分析</t>
        </is>
      </c>
    </row>
    <row r="3771">
      <c r="B3771" s="24" t="inlineStr">
        <is>
          <t>FinaTreeView</t>
        </is>
      </c>
      <c r="C3771" s="24" t="inlineStr">
        <is>
          <t>金融客户详情视图</t>
        </is>
      </c>
      <c r="D3771" s="24" t="inlineStr">
        <is>
          <t>020030030</t>
        </is>
      </c>
      <c r="E3771" s="24" t="inlineStr">
        <is>
          <t>杜邦分析</t>
        </is>
      </c>
    </row>
    <row r="3772">
      <c r="B3772" s="24" t="inlineStr">
        <is>
          <t>FinaTreeView</t>
        </is>
      </c>
      <c r="C3772" s="24" t="inlineStr">
        <is>
          <t>金融客户详情视图</t>
        </is>
      </c>
      <c r="D3772" s="24" t="inlineStr">
        <is>
          <t>020040</t>
        </is>
      </c>
      <c r="E3772" s="24" t="inlineStr">
        <is>
          <t>财务预警</t>
        </is>
      </c>
    </row>
    <row r="3773">
      <c r="B3773" s="24" t="inlineStr">
        <is>
          <t>FinaTreeView</t>
        </is>
      </c>
      <c r="C3773" s="24" t="inlineStr">
        <is>
          <t>金融客户详情视图</t>
        </is>
      </c>
      <c r="D3773" s="24" t="inlineStr">
        <is>
          <t>020040010</t>
        </is>
      </c>
      <c r="E3773" s="24" t="inlineStr">
        <is>
          <t>财务检测</t>
        </is>
      </c>
    </row>
    <row r="3774">
      <c r="B3774" s="24" t="inlineStr">
        <is>
          <t>FinaTreeView</t>
        </is>
      </c>
      <c r="C3774" s="24" t="inlineStr">
        <is>
          <t>金融客户详情视图</t>
        </is>
      </c>
      <c r="D3774" s="24" t="inlineStr">
        <is>
          <t>020040020</t>
        </is>
      </c>
      <c r="E3774" s="24" t="inlineStr">
        <is>
          <t>财务反欺诈识别</t>
        </is>
      </c>
    </row>
    <row r="3775">
      <c r="B3775" s="24" t="inlineStr">
        <is>
          <t>FinaTreeView</t>
        </is>
      </c>
      <c r="C3775" s="24" t="inlineStr">
        <is>
          <t>金融客户详情视图</t>
        </is>
      </c>
      <c r="D3775" s="24" t="inlineStr">
        <is>
          <t>030</t>
        </is>
      </c>
      <c r="E3775" s="24" t="inlineStr">
        <is>
          <t>客户评价信息</t>
        </is>
      </c>
    </row>
    <row r="3776">
      <c r="B3776" s="24" t="inlineStr">
        <is>
          <t>FinaTreeView</t>
        </is>
      </c>
      <c r="C3776" s="24" t="inlineStr">
        <is>
          <t>金融客户详情视图</t>
        </is>
      </c>
      <c r="D3776" s="24" t="inlineStr">
        <is>
          <t>030010</t>
        </is>
      </c>
      <c r="E3776" s="24" t="inlineStr">
        <is>
          <t>客户情况分析</t>
        </is>
      </c>
    </row>
    <row r="3777">
      <c r="B3777" s="24" t="inlineStr">
        <is>
          <t>FinaTreeView</t>
        </is>
      </c>
      <c r="C3777" s="24" t="inlineStr">
        <is>
          <t>金融客户详情视图</t>
        </is>
      </c>
      <c r="D3777" s="24" t="inlineStr">
        <is>
          <t>040</t>
        </is>
      </c>
      <c r="E3777" s="24" t="inlineStr">
        <is>
          <t>客户影像资料</t>
        </is>
      </c>
    </row>
    <row r="3778">
      <c r="B3778" s="24" t="inlineStr">
        <is>
          <t>FinaTreeView</t>
        </is>
      </c>
      <c r="C3778" s="24" t="inlineStr">
        <is>
          <t>金融客户详情视图</t>
        </is>
      </c>
      <c r="D3778" s="24" t="inlineStr">
        <is>
          <t>040010</t>
        </is>
      </c>
      <c r="E3778" s="24" t="inlineStr">
        <is>
          <t>客户提供相关资料</t>
        </is>
      </c>
    </row>
    <row r="3779">
      <c r="B3779" s="24" t="inlineStr">
        <is>
          <t>FinaTreeView</t>
        </is>
      </c>
      <c r="C3779" s="24" t="inlineStr">
        <is>
          <t>金融客户详情视图</t>
        </is>
      </c>
      <c r="D3779" s="24" t="inlineStr">
        <is>
          <t>110</t>
        </is>
      </c>
      <c r="E3779" s="24" t="inlineStr">
        <is>
          <t>其他信息</t>
        </is>
      </c>
    </row>
    <row r="3780">
      <c r="B3780" s="24" t="inlineStr">
        <is>
          <t>FinaTreeView</t>
        </is>
      </c>
      <c r="C3780" s="24" t="inlineStr">
        <is>
          <t>金融客户详情视图</t>
        </is>
      </c>
      <c r="D3780" s="24" t="inlineStr">
        <is>
          <t>110010</t>
        </is>
      </c>
      <c r="E3780" s="24" t="inlineStr">
        <is>
          <t>客户信息维护记录</t>
        </is>
      </c>
    </row>
    <row r="3781">
      <c r="B3781" s="24" t="inlineStr">
        <is>
          <t>FinaTreeView</t>
        </is>
      </c>
      <c r="C3781" s="24" t="inlineStr">
        <is>
          <t>金融客户详情视图</t>
        </is>
      </c>
      <c r="D3781" s="24" t="inlineStr">
        <is>
          <t>110020</t>
        </is>
      </c>
      <c r="E3781" s="24" t="inlineStr">
        <is>
          <t>客户管户变更记录</t>
        </is>
      </c>
    </row>
    <row r="3782">
      <c r="B3782" s="24" t="inlineStr">
        <is>
          <t>FinaTreeView</t>
        </is>
      </c>
      <c r="C3782" s="24" t="inlineStr">
        <is>
          <t>金融客户详情视图</t>
        </is>
      </c>
      <c r="D3782" s="24" t="inlineStr">
        <is>
          <t>110030</t>
        </is>
      </c>
      <c r="E3782" s="24" t="inlineStr">
        <is>
          <t>客户引入记录</t>
        </is>
      </c>
    </row>
    <row r="3783" ht="15.95" customHeight="1" s="170">
      <c r="B3783" s="122" t="inlineStr">
        <is>
          <t>码值：VersionStatus</t>
        </is>
      </c>
    </row>
    <row r="3784">
      <c r="B3784" s="24" t="inlineStr">
        <is>
          <t>VersionStatus</t>
        </is>
      </c>
      <c r="C3784" s="24" t="inlineStr">
        <is>
          <t>版本状态</t>
        </is>
      </c>
      <c r="D3784" s="24" t="inlineStr">
        <is>
          <t>1</t>
        </is>
      </c>
      <c r="E3784" s="24" t="inlineStr">
        <is>
          <t>生效</t>
        </is>
      </c>
    </row>
    <row r="3785">
      <c r="B3785" s="24" t="inlineStr">
        <is>
          <t>VersionStatus</t>
        </is>
      </c>
      <c r="C3785" s="24" t="inlineStr">
        <is>
          <t>版本状态</t>
        </is>
      </c>
      <c r="D3785" s="24" t="inlineStr">
        <is>
          <t>2</t>
        </is>
      </c>
      <c r="E3785" s="24" t="inlineStr">
        <is>
          <t>失效</t>
        </is>
      </c>
    </row>
    <row r="3786">
      <c r="B3786" s="24" t="inlineStr">
        <is>
          <t>VersionStatus</t>
        </is>
      </c>
      <c r="C3786" s="24" t="inlineStr">
        <is>
          <t>版本状态</t>
        </is>
      </c>
      <c r="D3786" s="24" t="inlineStr">
        <is>
          <t>3</t>
        </is>
      </c>
      <c r="E3786" s="24" t="inlineStr">
        <is>
          <t>未生效</t>
        </is>
      </c>
    </row>
    <row r="3787">
      <c r="B3787" s="24" t="inlineStr">
        <is>
          <t>VersionStatus</t>
        </is>
      </c>
      <c r="C3787" s="24" t="inlineStr">
        <is>
          <t>版本状态</t>
        </is>
      </c>
      <c r="D3787" s="24" t="inlineStr">
        <is>
          <t>4</t>
        </is>
      </c>
      <c r="E3787" s="24" t="inlineStr">
        <is>
          <t>草稿</t>
        </is>
      </c>
    </row>
    <row r="3788" ht="15.95" customHeight="1" s="170">
      <c r="B3788" s="122" t="inlineStr">
        <is>
          <t>码值：供应商集中度</t>
        </is>
      </c>
    </row>
    <row r="3789">
      <c r="B3789" s="24" t="inlineStr">
        <is>
          <t>供应商集中度</t>
        </is>
      </c>
      <c r="C3789" s="24" t="inlineStr">
        <is>
          <t>供应商集中度</t>
        </is>
      </c>
      <c r="D3789" s="24" t="inlineStr">
        <is>
          <t>01</t>
        </is>
      </c>
      <c r="E3789" s="24" t="inlineStr">
        <is>
          <t>少于20%</t>
        </is>
      </c>
    </row>
    <row r="3790">
      <c r="B3790" s="24" t="inlineStr">
        <is>
          <t>供应商集中度</t>
        </is>
      </c>
      <c r="C3790" s="24" t="inlineStr">
        <is>
          <t>供应商集中度</t>
        </is>
      </c>
      <c r="D3790" s="24" t="inlineStr">
        <is>
          <t>02</t>
        </is>
      </c>
      <c r="E3790" s="24" t="inlineStr">
        <is>
          <t xml:space="preserve">20 到 30% </t>
        </is>
      </c>
    </row>
    <row r="3791">
      <c r="B3791" s="24" t="inlineStr">
        <is>
          <t>供应商集中度</t>
        </is>
      </c>
      <c r="C3791" s="24" t="inlineStr">
        <is>
          <t>供应商集中度</t>
        </is>
      </c>
      <c r="D3791" s="24" t="inlineStr">
        <is>
          <t>03</t>
        </is>
      </c>
      <c r="E3791" s="24" t="inlineStr">
        <is>
          <t xml:space="preserve">多于30到40% </t>
        </is>
      </c>
    </row>
    <row r="3792">
      <c r="B3792" s="24" t="inlineStr">
        <is>
          <t>供应商集中度</t>
        </is>
      </c>
      <c r="C3792" s="24" t="inlineStr">
        <is>
          <t>供应商集中度</t>
        </is>
      </c>
      <c r="D3792" s="24" t="inlineStr">
        <is>
          <t>04</t>
        </is>
      </c>
      <c r="E3792" s="24" t="inlineStr">
        <is>
          <t>多于40到60%</t>
        </is>
      </c>
    </row>
    <row r="3793">
      <c r="B3793" s="24" t="inlineStr">
        <is>
          <t>供应商集中度</t>
        </is>
      </c>
      <c r="C3793" s="24" t="inlineStr">
        <is>
          <t>供应商集中度</t>
        </is>
      </c>
      <c r="D3793" s="24" t="inlineStr">
        <is>
          <t>05</t>
        </is>
      </c>
      <c r="E3793" s="24" t="inlineStr">
        <is>
          <t>多于60%</t>
        </is>
      </c>
    </row>
    <row r="3794" ht="15.95" customHeight="1" s="170">
      <c r="B3794" s="122" t="inlineStr">
        <is>
          <t>码值：BookInContractApplyFinaMain</t>
        </is>
      </c>
    </row>
    <row r="3795">
      <c r="B3795" s="24" t="inlineStr">
        <is>
          <t>BookInContractApplyFinaMain</t>
        </is>
      </c>
      <c r="C3795" s="24" t="inlineStr">
        <is>
          <t>同业批复合同登记申请主树图</t>
        </is>
      </c>
      <c r="D3795" s="24" t="inlineStr">
        <is>
          <t>1010</t>
        </is>
      </c>
      <c r="E3795" s="24" t="inlineStr">
        <is>
          <t>待处理</t>
        </is>
      </c>
    </row>
    <row r="3796">
      <c r="B3796" s="24" t="inlineStr">
        <is>
          <t>BookInContractApplyFinaMain</t>
        </is>
      </c>
      <c r="C3796" s="24" t="inlineStr">
        <is>
          <t>同业批复合同登记申请主树图</t>
        </is>
      </c>
      <c r="D3796" s="24" t="inlineStr">
        <is>
          <t>1020</t>
        </is>
      </c>
      <c r="E3796" s="24" t="inlineStr">
        <is>
          <t>审批中</t>
        </is>
      </c>
    </row>
    <row r="3797">
      <c r="B3797" s="24" t="inlineStr">
        <is>
          <t>BookInContractApplyFinaMain</t>
        </is>
      </c>
      <c r="C3797" s="24" t="inlineStr">
        <is>
          <t>同业批复合同登记申请主树图</t>
        </is>
      </c>
      <c r="D3797" s="24" t="inlineStr">
        <is>
          <t>1040,1050</t>
        </is>
      </c>
      <c r="E3797" s="24" t="inlineStr">
        <is>
          <t>处理完成</t>
        </is>
      </c>
    </row>
    <row r="3798" ht="15.95" customHeight="1" s="170">
      <c r="B3798" s="122" t="inlineStr">
        <is>
          <t>码值：PartnerListView</t>
        </is>
      </c>
    </row>
    <row r="3799">
      <c r="B3799" s="24" t="inlineStr">
        <is>
          <t>PartnerListView</t>
        </is>
      </c>
      <c r="C3799" s="24" t="inlineStr">
        <is>
          <t>合作方列表视图</t>
        </is>
      </c>
      <c r="D3799" s="24" t="inlineStr">
        <is>
          <t>0000</t>
        </is>
      </c>
      <c r="E3799" s="24" t="inlineStr">
        <is>
          <t>合作方客户</t>
        </is>
      </c>
    </row>
    <row r="3800">
      <c r="B3800" s="24" t="inlineStr">
        <is>
          <t>PartnerListView</t>
        </is>
      </c>
      <c r="C3800" s="24" t="inlineStr">
        <is>
          <t>合作方列表视图</t>
        </is>
      </c>
      <c r="D3800" s="24" t="inlineStr">
        <is>
          <t>0010</t>
        </is>
      </c>
      <c r="E3800" s="24" t="inlineStr">
        <is>
          <t>房地产开发商</t>
        </is>
      </c>
    </row>
    <row r="3801">
      <c r="B3801" s="24" t="inlineStr">
        <is>
          <t>PartnerListView</t>
        </is>
      </c>
      <c r="C3801" s="24" t="inlineStr">
        <is>
          <t>合作方列表视图</t>
        </is>
      </c>
      <c r="D3801" s="24" t="inlineStr">
        <is>
          <t>0020</t>
        </is>
      </c>
      <c r="E3801" s="24" t="inlineStr">
        <is>
          <t>住房置业担保公司</t>
        </is>
      </c>
    </row>
    <row r="3802">
      <c r="B3802" s="24" t="inlineStr">
        <is>
          <t>PartnerListView</t>
        </is>
      </c>
      <c r="C3802" s="24" t="inlineStr">
        <is>
          <t>合作方列表视图</t>
        </is>
      </c>
      <c r="D3802" s="24" t="inlineStr">
        <is>
          <t>0030</t>
        </is>
      </c>
      <c r="E3802" s="24" t="inlineStr">
        <is>
          <t>担保公司</t>
        </is>
      </c>
    </row>
    <row r="3803">
      <c r="B3803" s="24" t="inlineStr">
        <is>
          <t>PartnerListView</t>
        </is>
      </c>
      <c r="C3803" s="24" t="inlineStr">
        <is>
          <t>合作方列表视图</t>
        </is>
      </c>
      <c r="D3803" s="24" t="inlineStr">
        <is>
          <t>0040</t>
        </is>
      </c>
      <c r="E3803" s="24" t="inlineStr">
        <is>
          <t>汽车经销商</t>
        </is>
      </c>
    </row>
    <row r="3804">
      <c r="B3804" s="24" t="inlineStr">
        <is>
          <t>PartnerListView</t>
        </is>
      </c>
      <c r="C3804" s="24" t="inlineStr">
        <is>
          <t>合作方列表视图</t>
        </is>
      </c>
      <c r="D3804" s="24" t="inlineStr">
        <is>
          <t>0050</t>
        </is>
      </c>
      <c r="E3804" s="24" t="inlineStr">
        <is>
          <t>房产中介</t>
        </is>
      </c>
    </row>
    <row r="3805">
      <c r="B3805" s="24" t="inlineStr">
        <is>
          <t>PartnerListView</t>
        </is>
      </c>
      <c r="C3805" s="24" t="inlineStr">
        <is>
          <t>合作方列表视图</t>
        </is>
      </c>
      <c r="D3805" s="24" t="inlineStr">
        <is>
          <t>0060</t>
        </is>
      </c>
      <c r="E3805" s="24" t="inlineStr">
        <is>
          <t>委托贷款合作方</t>
        </is>
      </c>
    </row>
    <row r="3806">
      <c r="B3806" s="24" t="inlineStr">
        <is>
          <t>PartnerListView</t>
        </is>
      </c>
      <c r="C3806" s="24" t="inlineStr">
        <is>
          <t>合作方列表视图</t>
        </is>
      </c>
      <c r="D3806" s="24" t="inlineStr">
        <is>
          <t>0070</t>
        </is>
      </c>
      <c r="E3806" s="24" t="inlineStr">
        <is>
          <t>市场经营/管理方</t>
        </is>
      </c>
    </row>
    <row r="3807">
      <c r="B3807" s="24" t="inlineStr">
        <is>
          <t>PartnerListView</t>
        </is>
      </c>
      <c r="C3807" s="24" t="inlineStr">
        <is>
          <t>合作方列表视图</t>
        </is>
      </c>
      <c r="D3807" s="24" t="inlineStr">
        <is>
          <t>0080</t>
        </is>
      </c>
      <c r="E3807" s="24" t="inlineStr">
        <is>
          <t>资产买卖合作方</t>
        </is>
      </c>
    </row>
    <row r="3808">
      <c r="B3808" s="24" t="inlineStr">
        <is>
          <t>PartnerListView</t>
        </is>
      </c>
      <c r="C3808" s="24" t="inlineStr">
        <is>
          <t>合作方列表视图</t>
        </is>
      </c>
      <c r="D3808" s="24" t="inlineStr">
        <is>
          <t>0090</t>
        </is>
      </c>
      <c r="E3808" s="24" t="inlineStr">
        <is>
          <t>保险公司</t>
        </is>
      </c>
    </row>
    <row r="3809">
      <c r="B3809" s="24" t="inlineStr">
        <is>
          <t>PartnerListView</t>
        </is>
      </c>
      <c r="C3809" s="24" t="inlineStr">
        <is>
          <t>合作方列表视图</t>
        </is>
      </c>
      <c r="D3809" s="24" t="inlineStr">
        <is>
          <t>0091</t>
        </is>
      </c>
      <c r="E3809" s="24" t="inlineStr">
        <is>
          <t>评估公司</t>
        </is>
      </c>
    </row>
    <row r="3810">
      <c r="B3810" s="24" t="inlineStr">
        <is>
          <t>PartnerListView</t>
        </is>
      </c>
      <c r="C3810" s="24" t="inlineStr">
        <is>
          <t>合作方列表视图</t>
        </is>
      </c>
      <c r="D3810" s="24" t="inlineStr">
        <is>
          <t>0092</t>
        </is>
      </c>
      <c r="E3810" s="24" t="inlineStr">
        <is>
          <t>公证公司</t>
        </is>
      </c>
    </row>
    <row r="3811">
      <c r="B3811" s="24" t="inlineStr">
        <is>
          <t>PartnerListView</t>
        </is>
      </c>
      <c r="C3811" s="24" t="inlineStr">
        <is>
          <t>合作方列表视图</t>
        </is>
      </c>
      <c r="D3811" s="24" t="inlineStr">
        <is>
          <t>0093</t>
        </is>
      </c>
      <c r="E3811" s="24" t="inlineStr">
        <is>
          <t>追索代理机构</t>
        </is>
      </c>
    </row>
    <row r="3812">
      <c r="B3812" s="24" t="inlineStr">
        <is>
          <t>PartnerListView</t>
        </is>
      </c>
      <c r="C3812" s="24" t="inlineStr">
        <is>
          <t>合作方列表视图</t>
        </is>
      </c>
      <c r="D3812" s="24" t="inlineStr">
        <is>
          <t>0094</t>
        </is>
      </c>
      <c r="E3812" s="24" t="inlineStr">
        <is>
          <t>其他合作方</t>
        </is>
      </c>
    </row>
    <row r="3813" ht="15.95" customHeight="1" s="170">
      <c r="B3813" s="122" t="inlineStr">
        <is>
          <t>码值：ECRReason</t>
        </is>
      </c>
    </row>
    <row r="3814">
      <c r="B3814" s="24" t="inlineStr">
        <is>
          <t>ECRReason</t>
        </is>
      </c>
      <c r="C3814" s="24" t="inlineStr">
        <is>
          <t>对公征信查询原因</t>
        </is>
      </c>
      <c r="D3814" s="24" t="inlineStr">
        <is>
          <t>01</t>
        </is>
      </c>
      <c r="E3814" s="24" t="inlineStr">
        <is>
          <t>贷前审查</t>
        </is>
      </c>
    </row>
    <row r="3815">
      <c r="B3815" s="24" t="inlineStr">
        <is>
          <t>ECRReason</t>
        </is>
      </c>
      <c r="C3815" s="24" t="inlineStr">
        <is>
          <t>对公征信查询原因</t>
        </is>
      </c>
      <c r="D3815" s="24" t="inlineStr">
        <is>
          <t>02</t>
        </is>
      </c>
      <c r="E3815" s="24" t="inlineStr">
        <is>
          <t>贷中操作</t>
        </is>
      </c>
    </row>
    <row r="3816">
      <c r="B3816" s="24" t="inlineStr">
        <is>
          <t>ECRReason</t>
        </is>
      </c>
      <c r="C3816" s="24" t="inlineStr">
        <is>
          <t>对公征信查询原因</t>
        </is>
      </c>
      <c r="D3816" s="24" t="inlineStr">
        <is>
          <t>03</t>
        </is>
      </c>
      <c r="E3816" s="24" t="inlineStr">
        <is>
          <t>贷后管理</t>
        </is>
      </c>
    </row>
    <row r="3817">
      <c r="B3817" s="24" t="inlineStr">
        <is>
          <t>ECRReason</t>
        </is>
      </c>
      <c r="C3817" s="24" t="inlineStr">
        <is>
          <t>对公征信查询原因</t>
        </is>
      </c>
      <c r="D3817" s="24" t="inlineStr">
        <is>
          <t>04</t>
        </is>
      </c>
      <c r="E3817" s="24" t="inlineStr">
        <is>
          <t>其他理由</t>
        </is>
      </c>
    </row>
    <row r="3818">
      <c r="B3818" s="24" t="inlineStr">
        <is>
          <t>ECRReason</t>
        </is>
      </c>
      <c r="C3818" s="24" t="inlineStr">
        <is>
          <t>对公征信查询原因</t>
        </is>
      </c>
      <c r="D3818" s="24" t="inlineStr">
        <is>
          <t>05</t>
        </is>
      </c>
      <c r="E3818" s="24" t="inlineStr">
        <is>
          <t>关联查询</t>
        </is>
      </c>
    </row>
    <row r="3819" ht="15.95" customHeight="1" s="170">
      <c r="B3819" s="122" t="inlineStr">
        <is>
          <t>码值：LineClass</t>
        </is>
      </c>
    </row>
    <row r="3820">
      <c r="B3820" s="24" t="inlineStr">
        <is>
          <t>LineClass</t>
        </is>
      </c>
      <c r="C3820" s="24" t="inlineStr">
        <is>
          <t>额度种类</t>
        </is>
      </c>
      <c r="D3820" s="24" t="inlineStr">
        <is>
          <t>01</t>
        </is>
      </c>
      <c r="E3820" s="24" t="inlineStr">
        <is>
          <t>综合额度</t>
        </is>
      </c>
    </row>
    <row r="3821">
      <c r="B3821" s="24" t="inlineStr">
        <is>
          <t>LineClass</t>
        </is>
      </c>
      <c r="C3821" s="24" t="inlineStr">
        <is>
          <t>额度种类</t>
        </is>
      </c>
      <c r="D3821" s="24" t="inlineStr">
        <is>
          <t>02</t>
        </is>
      </c>
      <c r="E3821" s="24" t="inlineStr">
        <is>
          <t>专项额度</t>
        </is>
      </c>
    </row>
    <row r="3822">
      <c r="B3822" s="24" t="inlineStr">
        <is>
          <t>LineClass</t>
        </is>
      </c>
      <c r="C3822" s="24" t="inlineStr">
        <is>
          <t>额度种类</t>
        </is>
      </c>
      <c r="D3822" s="24" t="inlineStr">
        <is>
          <t>03</t>
        </is>
      </c>
      <c r="E3822" s="24" t="inlineStr">
        <is>
          <t>低风险额度</t>
        </is>
      </c>
    </row>
    <row r="3823" ht="15.95" customHeight="1" s="170">
      <c r="B3823" s="122" t="inlineStr">
        <is>
          <t>码值：NationalMarketShare</t>
        </is>
      </c>
    </row>
    <row r="3824">
      <c r="B3824" s="24" t="inlineStr">
        <is>
          <t>NationalMarketShare</t>
        </is>
      </c>
      <c r="C3824" s="24" t="inlineStr">
        <is>
          <t>信用等级评估统一导入</t>
        </is>
      </c>
      <c r="D3824" s="24" t="inlineStr">
        <is>
          <t>1</t>
        </is>
      </c>
      <c r="E3824" s="24" t="inlineStr">
        <is>
          <t>20%以上</t>
        </is>
      </c>
    </row>
    <row r="3825">
      <c r="B3825" s="24" t="inlineStr">
        <is>
          <t>NationalMarketShare</t>
        </is>
      </c>
      <c r="C3825" s="24" t="inlineStr">
        <is>
          <t>信用等级评估统一导入</t>
        </is>
      </c>
      <c r="D3825" s="24" t="inlineStr">
        <is>
          <t>2</t>
        </is>
      </c>
      <c r="E3825" s="24" t="inlineStr">
        <is>
          <t>5%以上(含5%)</t>
        </is>
      </c>
    </row>
    <row r="3826">
      <c r="B3826" s="24" t="inlineStr">
        <is>
          <t>NationalMarketShare</t>
        </is>
      </c>
      <c r="C3826" s="24" t="inlineStr">
        <is>
          <t>信用等级评估统一导入</t>
        </is>
      </c>
      <c r="D3826" s="24" t="inlineStr">
        <is>
          <t>3</t>
        </is>
      </c>
      <c r="E3826" s="24" t="inlineStr">
        <is>
          <t>2%--5%</t>
        </is>
      </c>
    </row>
    <row r="3827">
      <c r="B3827" s="24" t="inlineStr">
        <is>
          <t>NationalMarketShare</t>
        </is>
      </c>
      <c r="C3827" s="24" t="inlineStr">
        <is>
          <t>信用等级评估统一导入</t>
        </is>
      </c>
      <c r="D3827" s="24" t="inlineStr">
        <is>
          <t>4</t>
        </is>
      </c>
      <c r="E3827" s="24" t="inlineStr">
        <is>
          <t>1%--2%</t>
        </is>
      </c>
    </row>
    <row r="3828">
      <c r="B3828" s="24" t="inlineStr">
        <is>
          <t>NationalMarketShare</t>
        </is>
      </c>
      <c r="C3828" s="24" t="inlineStr">
        <is>
          <t>信用等级评估统一导入</t>
        </is>
      </c>
      <c r="D3828" s="24" t="inlineStr">
        <is>
          <t>5</t>
        </is>
      </c>
      <c r="E3828" s="24" t="inlineStr">
        <is>
          <t>1%以下</t>
        </is>
      </c>
    </row>
    <row r="3829" ht="15.95" customHeight="1" s="170">
      <c r="B3829" s="122" t="inlineStr">
        <is>
          <t>码值：PartnerProjectApplChangeMain</t>
        </is>
      </c>
    </row>
    <row r="3830">
      <c r="B3830" s="24" t="inlineStr">
        <is>
          <t>PartnerProjectApplChangeMain</t>
        </is>
      </c>
      <c r="C3830" s="24" t="inlineStr">
        <is>
          <t>合作方项目变更申请主树图</t>
        </is>
      </c>
      <c r="D3830" s="24" t="inlineStr">
        <is>
          <t>1010</t>
        </is>
      </c>
      <c r="E3830" s="24" t="inlineStr">
        <is>
          <t>待处理</t>
        </is>
      </c>
    </row>
    <row r="3831">
      <c r="B3831" s="24" t="inlineStr">
        <is>
          <t>PartnerProjectApplChangeMain</t>
        </is>
      </c>
      <c r="C3831" s="24" t="inlineStr">
        <is>
          <t>合作方项目变更申请主树图</t>
        </is>
      </c>
      <c r="D3831" s="24" t="inlineStr">
        <is>
          <t>1020</t>
        </is>
      </c>
      <c r="E3831" s="24" t="inlineStr">
        <is>
          <t>审批中</t>
        </is>
      </c>
    </row>
    <row r="3832">
      <c r="B3832" s="24" t="inlineStr">
        <is>
          <t>PartnerProjectApplChangeMain</t>
        </is>
      </c>
      <c r="C3832" s="24" t="inlineStr">
        <is>
          <t>合作方项目变更申请主树图</t>
        </is>
      </c>
      <c r="D3832" s="24" t="inlineStr">
        <is>
          <t>1040,1050</t>
        </is>
      </c>
      <c r="E3832" s="24" t="inlineStr">
        <is>
          <t>处理完成</t>
        </is>
      </c>
    </row>
    <row r="3833" ht="15.95" customHeight="1" s="170">
      <c r="B3833" s="122" t="inlineStr">
        <is>
          <t>码值：RemitMode</t>
        </is>
      </c>
    </row>
    <row r="3834">
      <c r="B3834" s="24" t="inlineStr">
        <is>
          <t>RemitMode</t>
        </is>
      </c>
      <c r="C3834" s="24" t="inlineStr">
        <is>
          <t>汇款方式</t>
        </is>
      </c>
      <c r="D3834" s="24" t="inlineStr">
        <is>
          <t>010</t>
        </is>
      </c>
      <c r="E3834" s="24" t="inlineStr">
        <is>
          <t>T/T（电汇）</t>
        </is>
      </c>
    </row>
    <row r="3835">
      <c r="B3835" s="24" t="inlineStr">
        <is>
          <t>RemitMode</t>
        </is>
      </c>
      <c r="C3835" s="24" t="inlineStr">
        <is>
          <t>汇款方式</t>
        </is>
      </c>
      <c r="D3835" s="24" t="inlineStr">
        <is>
          <t>020</t>
        </is>
      </c>
      <c r="E3835" s="24" t="inlineStr">
        <is>
          <t>M/T（信汇）</t>
        </is>
      </c>
    </row>
    <row r="3836">
      <c r="B3836" s="24" t="inlineStr">
        <is>
          <t>RemitMode</t>
        </is>
      </c>
      <c r="C3836" s="24" t="inlineStr">
        <is>
          <t>汇款方式</t>
        </is>
      </c>
      <c r="D3836" s="24" t="inlineStr">
        <is>
          <t>030</t>
        </is>
      </c>
      <c r="E3836" s="24" t="inlineStr">
        <is>
          <t>D/D（票汇）</t>
        </is>
      </c>
    </row>
    <row r="3837" ht="15.95" customHeight="1" s="170">
      <c r="B3837" s="122" t="inlineStr">
        <is>
          <t>码值：EntInd</t>
        </is>
      </c>
    </row>
    <row r="3838">
      <c r="B3838" s="24" t="inlineStr">
        <is>
          <t>EntInd</t>
        </is>
      </c>
      <c r="C3838" s="24" t="inlineStr">
        <is>
          <t>对公业务/对私业务</t>
        </is>
      </c>
      <c r="D3838" s="24" t="inlineStr">
        <is>
          <t>1</t>
        </is>
      </c>
      <c r="E3838" s="24" t="inlineStr">
        <is>
          <t>对公业务</t>
        </is>
      </c>
    </row>
    <row r="3839">
      <c r="B3839" s="24" t="inlineStr">
        <is>
          <t>EntInd</t>
        </is>
      </c>
      <c r="C3839" s="24" t="inlineStr">
        <is>
          <t>对公业务/对私业务</t>
        </is>
      </c>
      <c r="D3839" s="24" t="inlineStr">
        <is>
          <t>2</t>
        </is>
      </c>
      <c r="E3839" s="24" t="inlineStr">
        <is>
          <t>对私业务</t>
        </is>
      </c>
    </row>
    <row r="3840" ht="15.95" customHeight="1" s="170">
      <c r="B3840" s="122" t="inlineStr">
        <is>
          <t>码值：AccountSource</t>
        </is>
      </c>
    </row>
    <row r="3841">
      <c r="B3841" s="24" t="inlineStr">
        <is>
          <t>AccountSource</t>
        </is>
      </c>
      <c r="C3841" s="24" t="inlineStr">
        <is>
          <t>帐号来源</t>
        </is>
      </c>
      <c r="D3841" s="24" t="inlineStr">
        <is>
          <t>010</t>
        </is>
      </c>
      <c r="E3841" s="24" t="inlineStr">
        <is>
          <t>合同登记</t>
        </is>
      </c>
    </row>
    <row r="3842">
      <c r="B3842" s="24" t="inlineStr">
        <is>
          <t>AccountSource</t>
        </is>
      </c>
      <c r="C3842" s="24" t="inlineStr">
        <is>
          <t>帐号来源</t>
        </is>
      </c>
      <c r="D3842" s="24" t="inlineStr">
        <is>
          <t>020</t>
        </is>
      </c>
      <c r="E3842" s="24" t="inlineStr">
        <is>
          <t>人工登记</t>
        </is>
      </c>
    </row>
    <row r="3843" ht="15.95" customHeight="1" s="170">
      <c r="B3843" s="122" t="inlineStr">
        <is>
          <t>码值：AssetAttribute</t>
        </is>
      </c>
    </row>
    <row r="3844">
      <c r="B3844" s="24" t="inlineStr">
        <is>
          <t>AssetAttribute</t>
        </is>
      </c>
      <c r="C3844" s="24" t="inlineStr">
        <is>
          <t>资产属性</t>
        </is>
      </c>
      <c r="D3844" s="24" t="inlineStr">
        <is>
          <t>01</t>
        </is>
      </c>
      <c r="E3844" s="24" t="inlineStr">
        <is>
          <t>抵债资产</t>
        </is>
      </c>
    </row>
    <row r="3845">
      <c r="B3845" s="24" t="inlineStr">
        <is>
          <t>AssetAttribute</t>
        </is>
      </c>
      <c r="C3845" s="24" t="inlineStr">
        <is>
          <t>资产属性</t>
        </is>
      </c>
      <c r="D3845" s="24" t="inlineStr">
        <is>
          <t>02</t>
        </is>
      </c>
      <c r="E3845" s="24" t="inlineStr">
        <is>
          <t>查封资产</t>
        </is>
      </c>
    </row>
    <row r="3846" ht="15.95" customHeight="1" s="170">
      <c r="B3846" s="122" t="inlineStr">
        <is>
          <t>码值：InspectType</t>
        </is>
      </c>
    </row>
    <row r="3847">
      <c r="B3847" s="24" t="inlineStr">
        <is>
          <t>InspectType</t>
        </is>
      </c>
      <c r="C3847" s="24" t="inlineStr">
        <is>
          <t>贷后检查</t>
        </is>
      </c>
      <c r="D3847" s="24" t="inlineStr">
        <is>
          <t>010</t>
        </is>
      </c>
      <c r="E3847" s="24" t="inlineStr">
        <is>
          <t>贷款用途检查报告</t>
        </is>
      </c>
    </row>
    <row r="3848">
      <c r="B3848" s="24" t="inlineStr">
        <is>
          <t>InspectType</t>
        </is>
      </c>
      <c r="C3848" s="24" t="inlineStr">
        <is>
          <t>贷后检查</t>
        </is>
      </c>
      <c r="D3848" s="24" t="inlineStr">
        <is>
          <t>010010</t>
        </is>
      </c>
      <c r="E3848" s="24" t="inlineStr">
        <is>
          <t>贷款用途检查报告</t>
        </is>
      </c>
    </row>
    <row r="3849">
      <c r="B3849" s="24" t="inlineStr">
        <is>
          <t>InspectType</t>
        </is>
      </c>
      <c r="C3849" s="24" t="inlineStr">
        <is>
          <t>贷后检查</t>
        </is>
      </c>
      <c r="D3849" s="24" t="inlineStr">
        <is>
          <t>010020</t>
        </is>
      </c>
      <c r="E3849" s="24" t="inlineStr">
        <is>
          <t>贷款用途检查报告</t>
        </is>
      </c>
    </row>
    <row r="3850">
      <c r="B3850" s="24" t="inlineStr">
        <is>
          <t>InspectType</t>
        </is>
      </c>
      <c r="C3850" s="24" t="inlineStr">
        <is>
          <t>贷后检查</t>
        </is>
      </c>
      <c r="D3850" s="24" t="inlineStr">
        <is>
          <t>020</t>
        </is>
      </c>
      <c r="E3850" s="24" t="inlineStr">
        <is>
          <t>贷后检查报告</t>
        </is>
      </c>
    </row>
    <row r="3851">
      <c r="B3851" s="24" t="inlineStr">
        <is>
          <t>InspectType</t>
        </is>
      </c>
      <c r="C3851" s="24" t="inlineStr">
        <is>
          <t>贷后检查</t>
        </is>
      </c>
      <c r="D3851" s="24" t="inlineStr">
        <is>
          <t>020010</t>
        </is>
      </c>
      <c r="E3851" s="24" t="inlineStr">
        <is>
          <t>贷后检查报告</t>
        </is>
      </c>
    </row>
    <row r="3852">
      <c r="B3852" s="24" t="inlineStr">
        <is>
          <t>InspectType</t>
        </is>
      </c>
      <c r="C3852" s="24" t="inlineStr">
        <is>
          <t>贷后检查</t>
        </is>
      </c>
      <c r="D3852" s="24" t="inlineStr">
        <is>
          <t>020020</t>
        </is>
      </c>
      <c r="E3852" s="24" t="inlineStr">
        <is>
          <t>贷后检查报告</t>
        </is>
      </c>
    </row>
    <row r="3853" ht="15.95" customHeight="1" s="170">
      <c r="B3853" s="122" t="inlineStr">
        <is>
          <t>码值：SubjectLevel</t>
        </is>
      </c>
    </row>
    <row r="3854">
      <c r="B3854" s="24" t="inlineStr">
        <is>
          <t>SubjectLevel</t>
        </is>
      </c>
      <c r="C3854" s="24" t="inlineStr">
        <is>
          <t>科目级别</t>
        </is>
      </c>
      <c r="D3854" s="24" t="inlineStr">
        <is>
          <t>1</t>
        </is>
      </c>
      <c r="E3854" s="24" t="inlineStr">
        <is>
          <t>1级</t>
        </is>
      </c>
    </row>
    <row r="3855">
      <c r="B3855" s="24" t="inlineStr">
        <is>
          <t>SubjectLevel</t>
        </is>
      </c>
      <c r="C3855" s="24" t="inlineStr">
        <is>
          <t>科目级别</t>
        </is>
      </c>
      <c r="D3855" s="24" t="inlineStr">
        <is>
          <t>2</t>
        </is>
      </c>
      <c r="E3855" s="24" t="inlineStr">
        <is>
          <t>2级</t>
        </is>
      </c>
    </row>
    <row r="3856">
      <c r="B3856" s="24" t="inlineStr">
        <is>
          <t>SubjectLevel</t>
        </is>
      </c>
      <c r="C3856" s="24" t="inlineStr">
        <is>
          <t>科目级别</t>
        </is>
      </c>
      <c r="D3856" s="24" t="inlineStr">
        <is>
          <t>3</t>
        </is>
      </c>
      <c r="E3856" s="24" t="inlineStr">
        <is>
          <t>3级</t>
        </is>
      </c>
    </row>
    <row r="3857" ht="15.95" customHeight="1" s="170">
      <c r="B3857" s="122" t="inlineStr">
        <is>
          <t>码值：AcceptMessageInfo</t>
        </is>
      </c>
    </row>
    <row r="3858">
      <c r="B3858" s="24" t="inlineStr">
        <is>
          <t>AcceptMessageInfo</t>
        </is>
      </c>
      <c r="C3858" s="24" t="inlineStr">
        <is>
          <t>接收银行信息方式</t>
        </is>
      </c>
      <c r="D3858" s="24" t="inlineStr">
        <is>
          <t>0010</t>
        </is>
      </c>
      <c r="E3858" s="24" t="inlineStr">
        <is>
          <t>电子邮件</t>
        </is>
      </c>
    </row>
    <row r="3859">
      <c r="B3859" s="24" t="inlineStr">
        <is>
          <t>AcceptMessageInfo</t>
        </is>
      </c>
      <c r="C3859" s="24" t="inlineStr">
        <is>
          <t>接收银行信息方式</t>
        </is>
      </c>
      <c r="D3859" s="24" t="inlineStr">
        <is>
          <t>0020</t>
        </is>
      </c>
      <c r="E3859" s="24" t="inlineStr">
        <is>
          <t>手机短信</t>
        </is>
      </c>
    </row>
    <row r="3860" ht="15.95" customHeight="1" s="170">
      <c r="B3860" s="122" t="inlineStr">
        <is>
          <t>码值：OperationStability</t>
        </is>
      </c>
    </row>
    <row r="3861">
      <c r="B3861" s="24" t="inlineStr">
        <is>
          <t>OperationStability</t>
        </is>
      </c>
      <c r="C3861" s="24" t="inlineStr">
        <is>
          <t>信用等级评估统一导入</t>
        </is>
      </c>
      <c r="D3861" s="24" t="inlineStr">
        <is>
          <t>01</t>
        </is>
      </c>
      <c r="E3861" s="24" t="inlineStr">
        <is>
          <t>长期稳定的优秀业绩记录</t>
        </is>
      </c>
    </row>
    <row r="3862">
      <c r="B3862" s="24" t="inlineStr">
        <is>
          <t>OperationStability</t>
        </is>
      </c>
      <c r="C3862" s="24" t="inlineStr">
        <is>
          <t>信用等级评估统一导入</t>
        </is>
      </c>
      <c r="D3862" s="24" t="inlineStr">
        <is>
          <t>02</t>
        </is>
      </c>
      <c r="E3862" s="24" t="inlineStr">
        <is>
          <t>长期稳定的良好业绩记录</t>
        </is>
      </c>
    </row>
    <row r="3863">
      <c r="B3863" s="24" t="inlineStr">
        <is>
          <t>OperationStability</t>
        </is>
      </c>
      <c r="C3863" s="24" t="inlineStr">
        <is>
          <t>信用等级评估统一导入</t>
        </is>
      </c>
      <c r="D3863" s="24" t="inlineStr">
        <is>
          <t>03</t>
        </is>
      </c>
      <c r="E3863" s="24" t="inlineStr">
        <is>
          <t>有限的业绩记录，当前的业绩高于或持平于预期</t>
        </is>
      </c>
    </row>
    <row r="3864">
      <c r="B3864" s="24" t="inlineStr">
        <is>
          <t>OperationStability</t>
        </is>
      </c>
      <c r="C3864" s="24" t="inlineStr">
        <is>
          <t>信用等级评估统一导入</t>
        </is>
      </c>
      <c r="D3864" s="24" t="inlineStr">
        <is>
          <t>04</t>
        </is>
      </c>
      <c r="E3864" s="24" t="inlineStr">
        <is>
          <t>业绩纪录不稳定且低于预期，业绩也会难以衡量，并缺乏历史数据</t>
        </is>
      </c>
    </row>
    <row r="3865">
      <c r="B3865" s="24" t="inlineStr">
        <is>
          <t>OperationStability</t>
        </is>
      </c>
      <c r="C3865" s="24" t="inlineStr">
        <is>
          <t>信用等级评估统一导入</t>
        </is>
      </c>
      <c r="D3865" s="24" t="inlineStr">
        <is>
          <t>05</t>
        </is>
      </c>
      <c r="E3865" s="24" t="inlineStr">
        <is>
          <t>很少业绩记录，或业绩记录极不稳定，或有数据的质量问题</t>
        </is>
      </c>
    </row>
    <row r="3866">
      <c r="B3866" s="24" t="inlineStr">
        <is>
          <t>OperationStability</t>
        </is>
      </c>
      <c r="C3866" s="24" t="inlineStr">
        <is>
          <t>信用等级评估统一导入</t>
        </is>
      </c>
      <c r="D3866" s="24" t="inlineStr">
        <is>
          <t>06</t>
        </is>
      </c>
      <c r="E3866" s="24" t="inlineStr">
        <is>
          <t>没有业绩记录或相关数据</t>
        </is>
      </c>
    </row>
    <row r="3867" ht="15.95" customHeight="1" s="170">
      <c r="B3867" s="122" t="inlineStr">
        <is>
          <t>码值：企业销售增长程度</t>
        </is>
      </c>
    </row>
    <row r="3868">
      <c r="B3868" s="24" t="inlineStr">
        <is>
          <t>企业销售增长程度</t>
        </is>
      </c>
      <c r="C3868" s="24" t="inlineStr">
        <is>
          <t>企业销售增长程度</t>
        </is>
      </c>
      <c r="D3868" s="24" t="inlineStr">
        <is>
          <t>1</t>
        </is>
      </c>
      <c r="E3868" s="24" t="inlineStr">
        <is>
          <t>连续2 年增长且平均增长20％（含）以上</t>
        </is>
      </c>
    </row>
    <row r="3869">
      <c r="B3869" s="24" t="inlineStr">
        <is>
          <t>企业销售增长程度</t>
        </is>
      </c>
      <c r="C3869" s="24" t="inlineStr">
        <is>
          <t>企业销售增长程度</t>
        </is>
      </c>
      <c r="D3869" s="24" t="inlineStr">
        <is>
          <t>2</t>
        </is>
      </c>
      <c r="E3869" s="24" t="inlineStr">
        <is>
          <t>连续2 年增长且平均增长10％（含）以上</t>
        </is>
      </c>
    </row>
    <row r="3870">
      <c r="B3870" s="24" t="inlineStr">
        <is>
          <t>企业销售增长程度</t>
        </is>
      </c>
      <c r="C3870" s="24" t="inlineStr">
        <is>
          <t>企业销售增长程度</t>
        </is>
      </c>
      <c r="D3870" s="24" t="inlineStr">
        <is>
          <t>3</t>
        </is>
      </c>
      <c r="E3870" s="24" t="inlineStr">
        <is>
          <t>连续2 年增长且平均增长5％（含）以上</t>
        </is>
      </c>
    </row>
    <row r="3871">
      <c r="B3871" s="24" t="inlineStr">
        <is>
          <t>企业销售增长程度</t>
        </is>
      </c>
      <c r="C3871" s="24" t="inlineStr">
        <is>
          <t>企业销售增长程度</t>
        </is>
      </c>
      <c r="D3871" s="24" t="inlineStr">
        <is>
          <t>4</t>
        </is>
      </c>
      <c r="E3871" s="24" t="inlineStr">
        <is>
          <t>其他</t>
        </is>
      </c>
    </row>
    <row r="3872" ht="15.95" customHeight="1" s="170">
      <c r="B3872" s="122" t="inlineStr">
        <is>
          <t>码值：主要控股股东类型</t>
        </is>
      </c>
    </row>
    <row r="3873">
      <c r="B3873" s="24" t="inlineStr">
        <is>
          <t>主要控股股东类型</t>
        </is>
      </c>
      <c r="C3873" s="24" t="inlineStr">
        <is>
          <t>主要控股股东类型</t>
        </is>
      </c>
      <c r="D3873" s="24" t="inlineStr">
        <is>
          <t>01</t>
        </is>
      </c>
      <c r="E3873" s="24" t="inlineStr">
        <is>
          <t>央企，或者世界五百强企业，或其直接控股的企业</t>
        </is>
      </c>
    </row>
    <row r="3874">
      <c r="B3874" s="24" t="inlineStr">
        <is>
          <t>主要控股股东类型</t>
        </is>
      </c>
      <c r="C3874" s="24" t="inlineStr">
        <is>
          <t>主要控股股东类型</t>
        </is>
      </c>
      <c r="D3874" s="24" t="inlineStr">
        <is>
          <t>02</t>
        </is>
      </c>
      <c r="E3874" s="24" t="inlineStr">
        <is>
          <t>上市公司(包括国内及国外上市公司,但不包括ST股或已停牌上市公司)，或者省（自治区、直辖市）属国有企业</t>
        </is>
      </c>
    </row>
    <row r="3875">
      <c r="B3875" s="24" t="inlineStr">
        <is>
          <t>主要控股股东类型</t>
        </is>
      </c>
      <c r="C3875" s="24" t="inlineStr">
        <is>
          <t>主要控股股东类型</t>
        </is>
      </c>
      <c r="D3875" s="24" t="inlineStr">
        <is>
          <t>03</t>
        </is>
      </c>
      <c r="E3875" s="24" t="inlineStr">
        <is>
          <t>C类公司的直接控股子公司</t>
        </is>
      </c>
    </row>
    <row r="3876">
      <c r="B3876" s="24" t="inlineStr">
        <is>
          <t>主要控股股东类型</t>
        </is>
      </c>
      <c r="C3876" s="24" t="inlineStr">
        <is>
          <t>主要控股股东类型</t>
        </is>
      </c>
      <c r="D3876" s="24" t="inlineStr">
        <is>
          <t>04</t>
        </is>
      </c>
      <c r="E3876" s="24" t="inlineStr">
        <is>
          <t>非上市股份有限公司</t>
        </is>
      </c>
    </row>
    <row r="3877">
      <c r="B3877" s="24" t="inlineStr">
        <is>
          <t>主要控股股东类型</t>
        </is>
      </c>
      <c r="C3877" s="24" t="inlineStr">
        <is>
          <t>主要控股股东类型</t>
        </is>
      </c>
      <c r="D3877" s="24" t="inlineStr">
        <is>
          <t>05</t>
        </is>
      </c>
      <c r="E3877" s="24" t="inlineStr">
        <is>
          <t>个人或其他</t>
        </is>
      </c>
    </row>
    <row r="3878" ht="15.95" customHeight="1" s="170">
      <c r="B3878" s="122" t="inlineStr">
        <is>
          <t>码值：市场竞争状态</t>
        </is>
      </c>
    </row>
    <row r="3879">
      <c r="B3879" s="24" t="inlineStr">
        <is>
          <t>市场竞争状态</t>
        </is>
      </c>
      <c r="C3879" s="24" t="inlineStr">
        <is>
          <t>市场竞争状态</t>
        </is>
      </c>
      <c r="D3879" s="24" t="inlineStr">
        <is>
          <t>1</t>
        </is>
      </c>
      <c r="E3879" s="24" t="inlineStr">
        <is>
          <t>垄断</t>
        </is>
      </c>
    </row>
    <row r="3880">
      <c r="B3880" s="24" t="inlineStr">
        <is>
          <t>市场竞争状态</t>
        </is>
      </c>
      <c r="C3880" s="24" t="inlineStr">
        <is>
          <t>市场竞争状态</t>
        </is>
      </c>
      <c r="D3880" s="24" t="inlineStr">
        <is>
          <t>2</t>
        </is>
      </c>
      <c r="E3880" s="24" t="inlineStr">
        <is>
          <t>一般</t>
        </is>
      </c>
    </row>
    <row r="3881">
      <c r="B3881" s="24" t="inlineStr">
        <is>
          <t>市场竞争状态</t>
        </is>
      </c>
      <c r="C3881" s="24" t="inlineStr">
        <is>
          <t>市场竞争状态</t>
        </is>
      </c>
      <c r="D3881" s="24" t="inlineStr">
        <is>
          <t>3</t>
        </is>
      </c>
      <c r="E3881" s="24" t="inlineStr">
        <is>
          <t>激烈</t>
        </is>
      </c>
    </row>
    <row r="3882" ht="15.95" customHeight="1" s="170">
      <c r="B3882" s="122" t="inlineStr">
        <is>
          <t>码值：公司资质</t>
        </is>
      </c>
    </row>
    <row r="3883">
      <c r="B3883" s="24" t="inlineStr">
        <is>
          <t>公司资质</t>
        </is>
      </c>
      <c r="C3883" s="24" t="inlineStr">
        <is>
          <t>公司资质</t>
        </is>
      </c>
      <c r="D3883" s="24" t="inlineStr">
        <is>
          <t>01</t>
        </is>
      </c>
      <c r="E3883" s="24" t="inlineStr">
        <is>
          <t>一级房地产企业</t>
        </is>
      </c>
    </row>
    <row r="3884">
      <c r="B3884" s="24" t="inlineStr">
        <is>
          <t>公司资质</t>
        </is>
      </c>
      <c r="C3884" s="24" t="inlineStr">
        <is>
          <t>公司资质</t>
        </is>
      </c>
      <c r="D3884" s="24" t="inlineStr">
        <is>
          <t>02</t>
        </is>
      </c>
      <c r="E3884" s="24" t="inlineStr">
        <is>
          <t>二级以上房地产企业</t>
        </is>
      </c>
    </row>
    <row r="3885">
      <c r="B3885" s="24" t="inlineStr">
        <is>
          <t>公司资质</t>
        </is>
      </c>
      <c r="C3885" s="24" t="inlineStr">
        <is>
          <t>公司资质</t>
        </is>
      </c>
      <c r="D3885" s="24" t="inlineStr">
        <is>
          <t>03</t>
        </is>
      </c>
      <c r="E3885" s="24" t="inlineStr">
        <is>
          <t>二级以下房地产企业</t>
        </is>
      </c>
    </row>
    <row r="3886">
      <c r="B3886" s="24" t="inlineStr">
        <is>
          <t>公司资质</t>
        </is>
      </c>
      <c r="C3886" s="24" t="inlineStr">
        <is>
          <t>公司资质</t>
        </is>
      </c>
      <c r="D3886" s="24" t="inlineStr">
        <is>
          <t>04</t>
        </is>
      </c>
      <c r="E3886" s="24" t="inlineStr">
        <is>
          <t>其他企业</t>
        </is>
      </c>
    </row>
    <row r="3887" ht="15.95" customHeight="1" s="170">
      <c r="B3887" s="122" t="inlineStr">
        <is>
          <t>码值：Stability</t>
        </is>
      </c>
    </row>
    <row r="3888">
      <c r="B3888" s="24" t="inlineStr">
        <is>
          <t>Stability</t>
        </is>
      </c>
      <c r="C3888" s="24" t="inlineStr">
        <is>
          <t>信用等级评估统一导入</t>
        </is>
      </c>
      <c r="D3888" s="24" t="inlineStr">
        <is>
          <t>01</t>
        </is>
      </c>
      <c r="E3888" s="24" t="inlineStr">
        <is>
          <t>弱</t>
        </is>
      </c>
    </row>
    <row r="3889">
      <c r="B3889" s="24" t="inlineStr">
        <is>
          <t>Stability</t>
        </is>
      </c>
      <c r="C3889" s="24" t="inlineStr">
        <is>
          <t>信用等级评估统一导入</t>
        </is>
      </c>
      <c r="D3889" s="24" t="inlineStr">
        <is>
          <t>02</t>
        </is>
      </c>
      <c r="E3889" s="24" t="inlineStr">
        <is>
          <t>强</t>
        </is>
      </c>
    </row>
    <row r="3890" ht="15.95" customHeight="1" s="170">
      <c r="B3890" s="122" t="inlineStr">
        <is>
          <t>码值：企业形象</t>
        </is>
      </c>
    </row>
    <row r="3891">
      <c r="B3891" s="24" t="inlineStr">
        <is>
          <t>企业形象</t>
        </is>
      </c>
      <c r="C3891" s="24" t="inlineStr">
        <is>
          <t>企业形象</t>
        </is>
      </c>
      <c r="D3891" s="24" t="inlineStr">
        <is>
          <t>1</t>
        </is>
      </c>
      <c r="E3891" s="24" t="inlineStr">
        <is>
          <t>著名品牌</t>
        </is>
      </c>
    </row>
    <row r="3892">
      <c r="B3892" s="24" t="inlineStr">
        <is>
          <t>企业形象</t>
        </is>
      </c>
      <c r="C3892" s="24" t="inlineStr">
        <is>
          <t>企业形象</t>
        </is>
      </c>
      <c r="D3892" s="24" t="inlineStr">
        <is>
          <t>2</t>
        </is>
      </c>
      <c r="E3892" s="24" t="inlineStr">
        <is>
          <t>未树立著名品牌形象</t>
        </is>
      </c>
    </row>
    <row r="3893" ht="15.95" customHeight="1" s="170">
      <c r="B3893" s="122" t="inlineStr">
        <is>
          <t>码值：EdocCodeMethod</t>
        </is>
      </c>
    </row>
    <row r="3894">
      <c r="B3894" s="24" t="inlineStr">
        <is>
          <t>EdocCodeMethod</t>
        </is>
      </c>
      <c r="C3894" s="24" t="inlineStr">
        <is>
          <t>电子合同编辑来源类型</t>
        </is>
      </c>
      <c r="D3894" s="24" t="inlineStr">
        <is>
          <t>CODE</t>
        </is>
      </c>
      <c r="E3894" s="24" t="inlineStr">
        <is>
          <t>代码</t>
        </is>
      </c>
    </row>
    <row r="3895">
      <c r="B3895" s="24" t="inlineStr">
        <is>
          <t>EdocCodeMethod</t>
        </is>
      </c>
      <c r="C3895" s="24" t="inlineStr">
        <is>
          <t>电子合同编辑来源类型</t>
        </is>
      </c>
      <c r="D3895" s="24" t="inlineStr">
        <is>
          <t>CODELIST</t>
        </is>
      </c>
      <c r="E3895" s="24" t="inlineStr">
        <is>
          <t>代码表</t>
        </is>
      </c>
    </row>
    <row r="3896">
      <c r="B3896" s="24" t="inlineStr">
        <is>
          <t>EdocCodeMethod</t>
        </is>
      </c>
      <c r="C3896" s="24" t="inlineStr">
        <is>
          <t>电子合同编辑来源类型</t>
        </is>
      </c>
      <c r="D3896" s="24" t="inlineStr">
        <is>
          <t>INPUT</t>
        </is>
      </c>
      <c r="E3896" s="24" t="inlineStr">
        <is>
          <t>手工输入</t>
        </is>
      </c>
    </row>
    <row r="3897" ht="15.95" customHeight="1" s="170">
      <c r="B3897" s="122" t="inlineStr">
        <is>
          <t>码值：地理位置(事业单位)</t>
        </is>
      </c>
    </row>
    <row r="3898">
      <c r="B3898" s="24" t="inlineStr">
        <is>
          <t>地理位置(事业单位)</t>
        </is>
      </c>
      <c r="C3898" s="24" t="inlineStr">
        <is>
          <t>地理位置(事业单位)</t>
        </is>
      </c>
      <c r="D3898" s="24" t="inlineStr">
        <is>
          <t>01</t>
        </is>
      </c>
      <c r="E3898" s="24" t="inlineStr">
        <is>
          <t>直辖市</t>
        </is>
      </c>
    </row>
    <row r="3899">
      <c r="B3899" s="24" t="inlineStr">
        <is>
          <t>地理位置(事业单位)</t>
        </is>
      </c>
      <c r="C3899" s="24" t="inlineStr">
        <is>
          <t>地理位置(事业单位)</t>
        </is>
      </c>
      <c r="D3899" s="24" t="inlineStr">
        <is>
          <t>02</t>
        </is>
      </c>
      <c r="E3899" s="24" t="inlineStr">
        <is>
          <t>副省级及省会城市</t>
        </is>
      </c>
    </row>
    <row r="3900">
      <c r="B3900" s="24" t="inlineStr">
        <is>
          <t>地理位置(事业单位)</t>
        </is>
      </c>
      <c r="C3900" s="24" t="inlineStr">
        <is>
          <t>地理位置(事业单位)</t>
        </is>
      </c>
      <c r="D3900" s="24" t="inlineStr">
        <is>
          <t>03</t>
        </is>
      </c>
      <c r="E3900" s="24" t="inlineStr">
        <is>
          <t>地级市（包括相当于地级市级别的行政单位，例如直辖市的区）</t>
        </is>
      </c>
    </row>
    <row r="3901">
      <c r="B3901" s="24" t="inlineStr">
        <is>
          <t>地理位置(事业单位)</t>
        </is>
      </c>
      <c r="C3901" s="24" t="inlineStr">
        <is>
          <t>地理位置(事业单位)</t>
        </is>
      </c>
      <c r="D3901" s="24" t="inlineStr">
        <is>
          <t>04</t>
        </is>
      </c>
      <c r="E3901" s="24" t="inlineStr">
        <is>
          <t>其他</t>
        </is>
      </c>
    </row>
    <row r="3902" ht="15.95" customHeight="1" s="170">
      <c r="B3902" s="122" t="inlineStr">
        <is>
          <t>码值：BuyoutType</t>
        </is>
      </c>
    </row>
    <row r="3903">
      <c r="B3903" s="24" t="inlineStr">
        <is>
          <t>BuyoutType</t>
        </is>
      </c>
      <c r="C3903" s="24" t="inlineStr">
        <is>
          <t>收购方式</t>
        </is>
      </c>
      <c r="D3903" s="24" t="inlineStr">
        <is>
          <t>010</t>
        </is>
      </c>
      <c r="E3903" s="24" t="inlineStr">
        <is>
          <t>协议转让</t>
        </is>
      </c>
    </row>
    <row r="3904">
      <c r="B3904" s="24" t="inlineStr">
        <is>
          <t>BuyoutType</t>
        </is>
      </c>
      <c r="C3904" s="24" t="inlineStr">
        <is>
          <t>收购方式</t>
        </is>
      </c>
      <c r="D3904" s="24" t="inlineStr">
        <is>
          <t>020</t>
        </is>
      </c>
      <c r="E3904" s="24" t="inlineStr">
        <is>
          <t>要约收购</t>
        </is>
      </c>
    </row>
    <row r="3905" ht="15.95" customHeight="1" s="170">
      <c r="B3905" s="122" t="inlineStr">
        <is>
          <t>码值：FundContractType</t>
        </is>
      </c>
    </row>
    <row r="3906">
      <c r="B3906" s="24" t="inlineStr">
        <is>
          <t>FundContractType</t>
        </is>
      </c>
      <c r="C3906" s="24" t="inlineStr">
        <is>
          <t>基金契约类型</t>
        </is>
      </c>
      <c r="D3906" s="24" t="inlineStr">
        <is>
          <t>01</t>
        </is>
      </c>
      <c r="E3906" s="24" t="inlineStr">
        <is>
          <t>开放式</t>
        </is>
      </c>
    </row>
    <row r="3907">
      <c r="B3907" s="24" t="inlineStr">
        <is>
          <t>FundContractType</t>
        </is>
      </c>
      <c r="C3907" s="24" t="inlineStr">
        <is>
          <t>基金契约类型</t>
        </is>
      </c>
      <c r="D3907" s="24" t="inlineStr">
        <is>
          <t>02</t>
        </is>
      </c>
      <c r="E3907" s="24" t="inlineStr">
        <is>
          <t>封闭式</t>
        </is>
      </c>
    </row>
    <row r="3908" ht="15.95" customHeight="1" s="170">
      <c r="B3908" s="122" t="inlineStr">
        <is>
          <t>码值：RulePriority</t>
        </is>
      </c>
    </row>
    <row r="3909">
      <c r="B3909" s="24" t="inlineStr">
        <is>
          <t>RulePriority</t>
        </is>
      </c>
      <c r="C3909" s="24" t="inlineStr">
        <is>
          <t>规则优先级</t>
        </is>
      </c>
      <c r="D3909" s="24" t="inlineStr">
        <is>
          <t>0</t>
        </is>
      </c>
      <c r="E3909" s="24" t="inlineStr">
        <is>
          <t>Level_0</t>
        </is>
      </c>
    </row>
    <row r="3910">
      <c r="B3910" s="24" t="inlineStr">
        <is>
          <t>RulePriority</t>
        </is>
      </c>
      <c r="C3910" s="24" t="inlineStr">
        <is>
          <t>规则优先级</t>
        </is>
      </c>
      <c r="D3910" s="24" t="inlineStr">
        <is>
          <t>1</t>
        </is>
      </c>
      <c r="E3910" s="24" t="inlineStr">
        <is>
          <t>Level_1</t>
        </is>
      </c>
    </row>
    <row r="3911">
      <c r="B3911" s="24" t="inlineStr">
        <is>
          <t>RulePriority</t>
        </is>
      </c>
      <c r="C3911" s="24" t="inlineStr">
        <is>
          <t>规则优先级</t>
        </is>
      </c>
      <c r="D3911" s="24" t="inlineStr">
        <is>
          <t>2</t>
        </is>
      </c>
      <c r="E3911" s="24" t="inlineStr">
        <is>
          <t>Level_2</t>
        </is>
      </c>
    </row>
    <row r="3912">
      <c r="B3912" s="24" t="inlineStr">
        <is>
          <t>RulePriority</t>
        </is>
      </c>
      <c r="C3912" s="24" t="inlineStr">
        <is>
          <t>规则优先级</t>
        </is>
      </c>
      <c r="D3912" s="24" t="inlineStr">
        <is>
          <t>3</t>
        </is>
      </c>
      <c r="E3912" s="24" t="inlineStr">
        <is>
          <t>Level_3</t>
        </is>
      </c>
    </row>
    <row r="3913">
      <c r="B3913" s="24" t="inlineStr">
        <is>
          <t>RulePriority</t>
        </is>
      </c>
      <c r="C3913" s="24" t="inlineStr">
        <is>
          <t>规则优先级</t>
        </is>
      </c>
      <c r="D3913" s="24" t="inlineStr">
        <is>
          <t>4</t>
        </is>
      </c>
      <c r="E3913" s="24" t="inlineStr">
        <is>
          <t>Level_4</t>
        </is>
      </c>
    </row>
    <row r="3914" ht="15.95" customHeight="1" s="170">
      <c r="B3914" s="122" t="inlineStr">
        <is>
          <t>码值：SMECreditBRecord</t>
        </is>
      </c>
    </row>
    <row r="3915">
      <c r="B3915" s="24" t="inlineStr">
        <is>
          <t>SMECreditBRecord</t>
        </is>
      </c>
      <c r="C3915" s="24" t="inlineStr">
        <is>
          <t>信用状况</t>
        </is>
      </c>
      <c r="D3915" s="24" t="inlineStr">
        <is>
          <t>010</t>
        </is>
      </c>
      <c r="E3915" s="24" t="inlineStr">
        <is>
          <t>无逾期记录</t>
        </is>
      </c>
    </row>
    <row r="3916">
      <c r="B3916" s="24" t="inlineStr">
        <is>
          <t>SMECreditBRecord</t>
        </is>
      </c>
      <c r="C3916" s="24" t="inlineStr">
        <is>
          <t>信用状况</t>
        </is>
      </c>
      <c r="D3916" s="24" t="inlineStr">
        <is>
          <t>020</t>
        </is>
      </c>
      <c r="E3916" s="24" t="inlineStr">
        <is>
          <t>无记录</t>
        </is>
      </c>
    </row>
    <row r="3917">
      <c r="B3917" s="24" t="inlineStr">
        <is>
          <t>SMECreditBRecord</t>
        </is>
      </c>
      <c r="C3917" s="24" t="inlineStr">
        <is>
          <t>信用状况</t>
        </is>
      </c>
      <c r="D3917" s="24" t="inlineStr">
        <is>
          <t>030</t>
        </is>
      </c>
      <c r="E3917" s="24" t="inlineStr">
        <is>
          <t>有逾期记录</t>
        </is>
      </c>
    </row>
    <row r="3918" ht="15.95" customHeight="1" s="170">
      <c r="B3918" s="122" t="inlineStr">
        <is>
          <t>码值：ComponentParameterOperator</t>
        </is>
      </c>
    </row>
    <row r="3919">
      <c r="B3919" s="24" t="inlineStr">
        <is>
          <t>ComponentParameterOperator</t>
        </is>
      </c>
      <c r="C3919" s="24" t="inlineStr">
        <is>
          <t>业务组件参数控制逻辑</t>
        </is>
      </c>
      <c r="D3919" s="24" t="inlineStr">
        <is>
          <t>EXCLUDEDVALUE</t>
        </is>
      </c>
      <c r="E3919" s="24" t="inlineStr">
        <is>
          <t>不可选择范围</t>
        </is>
      </c>
    </row>
    <row r="3920">
      <c r="B3920" s="24" t="inlineStr">
        <is>
          <t>ComponentParameterOperator</t>
        </is>
      </c>
      <c r="C3920" s="24" t="inlineStr">
        <is>
          <t>业务组件参数控制逻辑</t>
        </is>
      </c>
      <c r="D3920" s="24" t="inlineStr">
        <is>
          <t>MANDATORYVALUE</t>
        </is>
      </c>
      <c r="E3920" s="24" t="inlineStr">
        <is>
          <t>必选范围</t>
        </is>
      </c>
    </row>
    <row r="3921">
      <c r="B3921" s="24" t="inlineStr">
        <is>
          <t>ComponentParameterOperator</t>
        </is>
      </c>
      <c r="C3921" s="24" t="inlineStr">
        <is>
          <t>业务组件参数控制逻辑</t>
        </is>
      </c>
      <c r="D3921" s="24" t="inlineStr">
        <is>
          <t>MAXIMUMVALUE</t>
        </is>
      </c>
      <c r="E3921" s="24" t="inlineStr">
        <is>
          <t>最大值</t>
        </is>
      </c>
    </row>
    <row r="3922">
      <c r="B3922" s="24" t="inlineStr">
        <is>
          <t>ComponentParameterOperator</t>
        </is>
      </c>
      <c r="C3922" s="24" t="inlineStr">
        <is>
          <t>业务组件参数控制逻辑</t>
        </is>
      </c>
      <c r="D3922" s="24" t="inlineStr">
        <is>
          <t>MINIMUMVALUE</t>
        </is>
      </c>
      <c r="E3922" s="24" t="inlineStr">
        <is>
          <t>最小值</t>
        </is>
      </c>
    </row>
    <row r="3923">
      <c r="B3923" s="24" t="inlineStr">
        <is>
          <t>ComponentParameterOperator</t>
        </is>
      </c>
      <c r="C3923" s="24" t="inlineStr">
        <is>
          <t>业务组件参数控制逻辑</t>
        </is>
      </c>
      <c r="D3923" s="24" t="inlineStr">
        <is>
          <t>OPTIONALVALUE</t>
        </is>
      </c>
      <c r="E3923" s="24" t="inlineStr">
        <is>
          <t>可选范围</t>
        </is>
      </c>
    </row>
    <row r="3924">
      <c r="B3924" s="24" t="inlineStr">
        <is>
          <t>ComponentParameterOperator</t>
        </is>
      </c>
      <c r="C3924" s="24" t="inlineStr">
        <is>
          <t>业务组件参数控制逻辑</t>
        </is>
      </c>
      <c r="D3924" s="24" t="inlineStr">
        <is>
          <t>VALUE</t>
        </is>
      </c>
      <c r="E3924" s="24" t="inlineStr">
        <is>
          <t>指定值</t>
        </is>
      </c>
    </row>
    <row r="3925" ht="15.95" customHeight="1" s="170">
      <c r="B3925" s="122" t="inlineStr">
        <is>
          <t>码值：OtherBankCreditRecord</t>
        </is>
      </c>
    </row>
    <row r="3926">
      <c r="B3926" s="24" t="inlineStr">
        <is>
          <t>OtherBankCreditRecord</t>
        </is>
      </c>
      <c r="C3926" s="24" t="inlineStr">
        <is>
          <t>信用等级评估统一导入</t>
        </is>
      </c>
      <c r="D3926" s="24" t="inlineStr">
        <is>
          <t>01</t>
        </is>
      </c>
      <c r="E3926" s="24" t="inlineStr">
        <is>
          <t>无记录</t>
        </is>
      </c>
    </row>
    <row r="3927">
      <c r="B3927" s="24" t="inlineStr">
        <is>
          <t>OtherBankCreditRecord</t>
        </is>
      </c>
      <c r="C3927" s="24" t="inlineStr">
        <is>
          <t>信用等级评估统一导入</t>
        </is>
      </c>
      <c r="D3927" s="24" t="inlineStr">
        <is>
          <t>02</t>
        </is>
      </c>
      <c r="E3927" s="24" t="inlineStr">
        <is>
          <t>无失信</t>
        </is>
      </c>
    </row>
    <row r="3928">
      <c r="B3928" s="24" t="inlineStr">
        <is>
          <t>OtherBankCreditRecord</t>
        </is>
      </c>
      <c r="C3928" s="24" t="inlineStr">
        <is>
          <t>信用等级评估统一导入</t>
        </is>
      </c>
      <c r="D3928" s="24" t="inlineStr">
        <is>
          <t>03</t>
        </is>
      </c>
      <c r="E3928" s="24" t="inlineStr">
        <is>
          <t>有失信记录</t>
        </is>
      </c>
    </row>
    <row r="3929" ht="15.95" customHeight="1" s="170">
      <c r="B3929" s="122" t="inlineStr">
        <is>
          <t>码值：产品质量</t>
        </is>
      </c>
    </row>
    <row r="3930">
      <c r="B3930" s="24" t="inlineStr">
        <is>
          <t>产品质量</t>
        </is>
      </c>
      <c r="C3930" s="24" t="inlineStr">
        <is>
          <t>产品质量</t>
        </is>
      </c>
      <c r="D3930" s="24" t="inlineStr">
        <is>
          <t>1</t>
        </is>
      </c>
      <c r="E3930" s="24" t="inlineStr">
        <is>
          <t>好</t>
        </is>
      </c>
    </row>
    <row r="3931">
      <c r="B3931" s="24" t="inlineStr">
        <is>
          <t>产品质量</t>
        </is>
      </c>
      <c r="C3931" s="24" t="inlineStr">
        <is>
          <t>产品质量</t>
        </is>
      </c>
      <c r="D3931" s="24" t="inlineStr">
        <is>
          <t>2</t>
        </is>
      </c>
      <c r="E3931" s="24" t="inlineStr">
        <is>
          <t>较好</t>
        </is>
      </c>
    </row>
    <row r="3932">
      <c r="B3932" s="24" t="inlineStr">
        <is>
          <t>产品质量</t>
        </is>
      </c>
      <c r="C3932" s="24" t="inlineStr">
        <is>
          <t>产品质量</t>
        </is>
      </c>
      <c r="D3932" s="24" t="inlineStr">
        <is>
          <t>3</t>
        </is>
      </c>
      <c r="E3932" s="24" t="inlineStr">
        <is>
          <t>一般</t>
        </is>
      </c>
    </row>
    <row r="3933">
      <c r="B3933" s="24" t="inlineStr">
        <is>
          <t>产品质量</t>
        </is>
      </c>
      <c r="C3933" s="24" t="inlineStr">
        <is>
          <t>产品质量</t>
        </is>
      </c>
      <c r="D3933" s="24" t="inlineStr">
        <is>
          <t>4</t>
        </is>
      </c>
      <c r="E3933" s="24" t="inlineStr">
        <is>
          <t>较差</t>
        </is>
      </c>
    </row>
    <row r="3934" ht="15.95" customHeight="1" s="170">
      <c r="B3934" s="122" t="inlineStr">
        <is>
          <t>码值：DetailedType</t>
        </is>
      </c>
    </row>
    <row r="3935">
      <c r="B3935" s="24" t="inlineStr">
        <is>
          <t>DetailedType</t>
        </is>
      </c>
      <c r="C3935" s="24" t="inlineStr">
        <is>
          <t>查封资产性质</t>
        </is>
      </c>
      <c r="D3935" s="24" t="inlineStr">
        <is>
          <t>01</t>
        </is>
      </c>
      <c r="E3935" s="24" t="inlineStr">
        <is>
          <t>房产-住宅</t>
        </is>
      </c>
    </row>
    <row r="3936">
      <c r="B3936" s="24" t="inlineStr">
        <is>
          <t>DetailedType</t>
        </is>
      </c>
      <c r="C3936" s="24" t="inlineStr">
        <is>
          <t>查封资产性质</t>
        </is>
      </c>
      <c r="D3936" s="24" t="inlineStr">
        <is>
          <t>02</t>
        </is>
      </c>
      <c r="E3936" s="24" t="inlineStr">
        <is>
          <t>房产-厂房</t>
        </is>
      </c>
    </row>
    <row r="3937">
      <c r="B3937" s="24" t="inlineStr">
        <is>
          <t>DetailedType</t>
        </is>
      </c>
      <c r="C3937" s="24" t="inlineStr">
        <is>
          <t>查封资产性质</t>
        </is>
      </c>
      <c r="D3937" s="24" t="inlineStr">
        <is>
          <t>03</t>
        </is>
      </c>
      <c r="E3937" s="24" t="inlineStr">
        <is>
          <t>房产-商业用房</t>
        </is>
      </c>
    </row>
    <row r="3938">
      <c r="B3938" s="24" t="inlineStr">
        <is>
          <t>DetailedType</t>
        </is>
      </c>
      <c r="C3938" s="24" t="inlineStr">
        <is>
          <t>查封资产性质</t>
        </is>
      </c>
      <c r="D3938" s="24" t="inlineStr">
        <is>
          <t>04</t>
        </is>
      </c>
      <c r="E3938" s="24" t="inlineStr">
        <is>
          <t>房产-其他</t>
        </is>
      </c>
    </row>
    <row r="3939">
      <c r="B3939" s="24" t="inlineStr">
        <is>
          <t>DetailedType</t>
        </is>
      </c>
      <c r="C3939" s="24" t="inlineStr">
        <is>
          <t>查封资产性质</t>
        </is>
      </c>
      <c r="D3939" s="24" t="inlineStr">
        <is>
          <t>05</t>
        </is>
      </c>
      <c r="E3939" s="24" t="inlineStr">
        <is>
          <t>股权-流通股</t>
        </is>
      </c>
    </row>
    <row r="3940">
      <c r="B3940" s="24" t="inlineStr">
        <is>
          <t>DetailedType</t>
        </is>
      </c>
      <c r="C3940" s="24" t="inlineStr">
        <is>
          <t>查封资产性质</t>
        </is>
      </c>
      <c r="D3940" s="24" t="inlineStr">
        <is>
          <t>06</t>
        </is>
      </c>
      <c r="E3940" s="24" t="inlineStr">
        <is>
          <t>股权-国有股</t>
        </is>
      </c>
    </row>
    <row r="3941">
      <c r="B3941" s="24" t="inlineStr">
        <is>
          <t>DetailedType</t>
        </is>
      </c>
      <c r="C3941" s="24" t="inlineStr">
        <is>
          <t>查封资产性质</t>
        </is>
      </c>
      <c r="D3941" s="24" t="inlineStr">
        <is>
          <t>07</t>
        </is>
      </c>
      <c r="E3941" s="24" t="inlineStr">
        <is>
          <t>股权-法人股</t>
        </is>
      </c>
    </row>
    <row r="3942">
      <c r="B3942" s="24" t="inlineStr">
        <is>
          <t>DetailedType</t>
        </is>
      </c>
      <c r="C3942" s="24" t="inlineStr">
        <is>
          <t>查封资产性质</t>
        </is>
      </c>
      <c r="D3942" s="24" t="inlineStr">
        <is>
          <t>08</t>
        </is>
      </c>
      <c r="E3942" s="24" t="inlineStr">
        <is>
          <t>股权-外资股</t>
        </is>
      </c>
    </row>
    <row r="3943">
      <c r="B3943" s="24" t="inlineStr">
        <is>
          <t>DetailedType</t>
        </is>
      </c>
      <c r="C3943" s="24" t="inlineStr">
        <is>
          <t>查封资产性质</t>
        </is>
      </c>
      <c r="D3943" s="24" t="inlineStr">
        <is>
          <t>09</t>
        </is>
      </c>
      <c r="E3943" s="24" t="inlineStr">
        <is>
          <t>股权-其他</t>
        </is>
      </c>
    </row>
    <row r="3944" ht="15.95" customHeight="1" s="170">
      <c r="B3944" s="122" t="inlineStr">
        <is>
          <t>码值：InputType</t>
        </is>
      </c>
    </row>
    <row r="3945">
      <c r="B3945" s="24" t="inlineStr">
        <is>
          <t>InputType</t>
        </is>
      </c>
      <c r="C3945" s="24" t="inlineStr">
        <is>
          <t>输入类型</t>
        </is>
      </c>
      <c r="D3945" s="24" t="inlineStr">
        <is>
          <t>01</t>
        </is>
      </c>
      <c r="E3945" s="24" t="inlineStr">
        <is>
          <t>文本输入框</t>
        </is>
      </c>
    </row>
    <row r="3946">
      <c r="B3946" s="24" t="inlineStr">
        <is>
          <t>InputType</t>
        </is>
      </c>
      <c r="C3946" s="24" t="inlineStr">
        <is>
          <t>输入类型</t>
        </is>
      </c>
      <c r="D3946" s="24" t="inlineStr">
        <is>
          <t>02</t>
        </is>
      </c>
      <c r="E3946" s="24" t="inlineStr">
        <is>
          <t>文本区域输入框</t>
        </is>
      </c>
    </row>
    <row r="3947">
      <c r="B3947" s="24" t="inlineStr">
        <is>
          <t>InputType</t>
        </is>
      </c>
      <c r="C3947" s="24" t="inlineStr">
        <is>
          <t>输入类型</t>
        </is>
      </c>
      <c r="D3947" s="24" t="inlineStr">
        <is>
          <t>03</t>
        </is>
      </c>
      <c r="E3947" s="24" t="inlineStr">
        <is>
          <t>多选框</t>
        </is>
      </c>
    </row>
    <row r="3948">
      <c r="B3948" s="24" t="inlineStr">
        <is>
          <t>InputType</t>
        </is>
      </c>
      <c r="C3948" s="24" t="inlineStr">
        <is>
          <t>输入类型</t>
        </is>
      </c>
      <c r="D3948" s="24" t="inlineStr">
        <is>
          <t>04</t>
        </is>
      </c>
      <c r="E3948" s="24" t="inlineStr">
        <is>
          <t>单选框</t>
        </is>
      </c>
    </row>
    <row r="3949">
      <c r="B3949" s="24" t="inlineStr">
        <is>
          <t>InputType</t>
        </is>
      </c>
      <c r="C3949" s="24" t="inlineStr">
        <is>
          <t>输入类型</t>
        </is>
      </c>
      <c r="D3949" s="24" t="inlineStr">
        <is>
          <t>05</t>
        </is>
      </c>
      <c r="E3949" s="24" t="inlineStr">
        <is>
          <t>金额</t>
        </is>
      </c>
    </row>
    <row r="3950">
      <c r="B3950" s="24" t="inlineStr">
        <is>
          <t>InputType</t>
        </is>
      </c>
      <c r="C3950" s="24" t="inlineStr">
        <is>
          <t>输入类型</t>
        </is>
      </c>
      <c r="D3950" s="24" t="inlineStr">
        <is>
          <t>06</t>
        </is>
      </c>
      <c r="E3950" s="24" t="inlineStr">
        <is>
          <t>数字</t>
        </is>
      </c>
    </row>
    <row r="3951">
      <c r="B3951" s="24" t="inlineStr">
        <is>
          <t>InputType</t>
        </is>
      </c>
      <c r="C3951" s="24" t="inlineStr">
        <is>
          <t>输入类型</t>
        </is>
      </c>
      <c r="D3951" s="24" t="inlineStr">
        <is>
          <t>07</t>
        </is>
      </c>
      <c r="E3951" s="24" t="inlineStr">
        <is>
          <t>弹出框(单选)</t>
        </is>
      </c>
    </row>
    <row r="3952">
      <c r="B3952" s="24" t="inlineStr">
        <is>
          <t>InputType</t>
        </is>
      </c>
      <c r="C3952" s="24" t="inlineStr">
        <is>
          <t>输入类型</t>
        </is>
      </c>
      <c r="D3952" s="24" t="inlineStr">
        <is>
          <t>08</t>
        </is>
      </c>
      <c r="E3952" s="24" t="inlineStr">
        <is>
          <t>弹出框(多选)</t>
        </is>
      </c>
    </row>
    <row r="3953">
      <c r="B3953" s="24" t="inlineStr">
        <is>
          <t>InputType</t>
        </is>
      </c>
      <c r="C3953" s="24" t="inlineStr">
        <is>
          <t>输入类型</t>
        </is>
      </c>
      <c r="D3953" s="24" t="inlineStr">
        <is>
          <t>09</t>
        </is>
      </c>
      <c r="E3953" s="24" t="inlineStr">
        <is>
          <t>文档</t>
        </is>
      </c>
    </row>
    <row r="3954">
      <c r="B3954" s="24" t="inlineStr">
        <is>
          <t>InputType</t>
        </is>
      </c>
      <c r="C3954" s="24" t="inlineStr">
        <is>
          <t>输入类型</t>
        </is>
      </c>
      <c r="D3954" s="24" t="inlineStr">
        <is>
          <t>10</t>
        </is>
      </c>
      <c r="E3954" s="24" t="inlineStr">
        <is>
          <t>利率</t>
        </is>
      </c>
    </row>
    <row r="3955">
      <c r="B3955" s="24" t="inlineStr">
        <is>
          <t>InputType</t>
        </is>
      </c>
      <c r="C3955" s="24" t="inlineStr">
        <is>
          <t>输入类型</t>
        </is>
      </c>
      <c r="D3955" s="24" t="inlineStr">
        <is>
          <t>11</t>
        </is>
      </c>
      <c r="E3955" s="24" t="inlineStr">
        <is>
          <t>数据表</t>
        </is>
      </c>
    </row>
    <row r="3956">
      <c r="B3956" s="24" t="inlineStr">
        <is>
          <t>InputType</t>
        </is>
      </c>
      <c r="C3956" s="24" t="inlineStr">
        <is>
          <t>输入类型</t>
        </is>
      </c>
      <c r="D3956" s="24" t="inlineStr">
        <is>
          <t>12</t>
        </is>
      </c>
      <c r="E3956" s="24" t="inlineStr">
        <is>
          <t>其他</t>
        </is>
      </c>
    </row>
    <row r="3957" ht="15.95" customHeight="1" s="170">
      <c r="B3957" s="122" t="inlineStr">
        <is>
          <t>码值：OperationalLoanType</t>
        </is>
      </c>
    </row>
    <row r="3958">
      <c r="B3958" s="24" t="inlineStr">
        <is>
          <t>OperationalLoanType</t>
        </is>
      </c>
      <c r="C3958" s="24" t="inlineStr">
        <is>
          <t>个人经营性贷款分类</t>
        </is>
      </c>
      <c r="D3958" s="24" t="inlineStr">
        <is>
          <t>010</t>
        </is>
      </c>
      <c r="E3958" s="24" t="inlineStr">
        <is>
          <t>个体工商户</t>
        </is>
      </c>
    </row>
    <row r="3959">
      <c r="B3959" s="24" t="inlineStr">
        <is>
          <t>OperationalLoanType</t>
        </is>
      </c>
      <c r="C3959" s="24" t="inlineStr">
        <is>
          <t>个人经营性贷款分类</t>
        </is>
      </c>
      <c r="D3959" s="24" t="inlineStr">
        <is>
          <t>020</t>
        </is>
      </c>
      <c r="E3959" s="24" t="inlineStr">
        <is>
          <t>小微企业</t>
        </is>
      </c>
    </row>
    <row r="3960">
      <c r="B3960" s="24" t="inlineStr">
        <is>
          <t>OperationalLoanType</t>
        </is>
      </c>
      <c r="C3960" s="24" t="inlineStr">
        <is>
          <t>个人经营性贷款分类</t>
        </is>
      </c>
      <c r="D3960" s="24" t="inlineStr">
        <is>
          <t>030</t>
        </is>
      </c>
      <c r="E3960" s="24" t="inlineStr">
        <is>
          <t>其它</t>
        </is>
      </c>
    </row>
    <row r="3961" ht="15.95" customHeight="1" s="170">
      <c r="B3961" s="122" t="inlineStr">
        <is>
          <t>码值：DimensionTypeX</t>
        </is>
      </c>
    </row>
    <row r="3962">
      <c r="B3962" s="24" t="inlineStr">
        <is>
          <t>DimensionTypeX</t>
        </is>
      </c>
      <c r="C3962" s="24" t="inlineStr">
        <is>
          <t>授权维度类型</t>
        </is>
      </c>
      <c r="D3962" s="24" t="inlineStr">
        <is>
          <t>Integer</t>
        </is>
      </c>
      <c r="E3962" s="24" t="inlineStr">
        <is>
          <t>整数型</t>
        </is>
      </c>
    </row>
    <row r="3963">
      <c r="B3963" s="24" t="inlineStr">
        <is>
          <t>DimensionTypeX</t>
        </is>
      </c>
      <c r="C3963" s="24" t="inlineStr">
        <is>
          <t>授权维度类型</t>
        </is>
      </c>
      <c r="D3963" s="24" t="inlineStr">
        <is>
          <t>Number</t>
        </is>
      </c>
      <c r="E3963" s="24" t="inlineStr">
        <is>
          <t>精度数</t>
        </is>
      </c>
    </row>
    <row r="3964">
      <c r="B3964" s="24" t="inlineStr">
        <is>
          <t>DimensionTypeX</t>
        </is>
      </c>
      <c r="C3964" s="24" t="inlineStr">
        <is>
          <t>授权维度类型</t>
        </is>
      </c>
      <c r="D3964" s="24" t="inlineStr">
        <is>
          <t>String</t>
        </is>
      </c>
      <c r="E3964" s="24" t="inlineStr">
        <is>
          <t>字符型</t>
        </is>
      </c>
    </row>
    <row r="3965" ht="15.95" customHeight="1" s="170">
      <c r="B3965" s="122" t="inlineStr">
        <is>
          <t>码值：InputMethod</t>
        </is>
      </c>
    </row>
    <row r="3966">
      <c r="B3966" s="24" t="inlineStr">
        <is>
          <t>InputMethod</t>
        </is>
      </c>
      <c r="C3966" s="24" t="inlineStr">
        <is>
          <t>电子合同编辑来源</t>
        </is>
      </c>
      <c r="D3966" s="24" t="inlineStr">
        <is>
          <t>HORIZONTAL_CHECKBOX</t>
        </is>
      </c>
      <c r="E3966" s="24" t="inlineStr">
        <is>
          <t>横向多选框</t>
        </is>
      </c>
    </row>
    <row r="3967">
      <c r="B3967" s="24" t="inlineStr">
        <is>
          <t>InputMethod</t>
        </is>
      </c>
      <c r="C3967" s="24" t="inlineStr">
        <is>
          <t>电子合同编辑来源</t>
        </is>
      </c>
      <c r="D3967" s="24" t="inlineStr">
        <is>
          <t>HORIZONTAL_RADIO</t>
        </is>
      </c>
      <c r="E3967" s="24" t="inlineStr">
        <is>
          <t>横向单选按钮</t>
        </is>
      </c>
    </row>
    <row r="3968">
      <c r="B3968" s="24" t="inlineStr">
        <is>
          <t>InputMethod</t>
        </is>
      </c>
      <c r="C3968" s="24" t="inlineStr">
        <is>
          <t>电子合同编辑来源</t>
        </is>
      </c>
      <c r="D3968" s="24" t="inlineStr">
        <is>
          <t>SELECT</t>
        </is>
      </c>
      <c r="E3968" s="24" t="inlineStr">
        <is>
          <t>下拉框</t>
        </is>
      </c>
    </row>
    <row r="3969">
      <c r="B3969" s="24" t="inlineStr">
        <is>
          <t>InputMethod</t>
        </is>
      </c>
      <c r="C3969" s="24" t="inlineStr">
        <is>
          <t>电子合同编辑来源</t>
        </is>
      </c>
      <c r="D3969" s="24" t="inlineStr">
        <is>
          <t>TEXTAREA</t>
        </is>
      </c>
      <c r="E3969" s="24" t="inlineStr">
        <is>
          <t>文字区域</t>
        </is>
      </c>
    </row>
    <row r="3970">
      <c r="B3970" s="24" t="inlineStr">
        <is>
          <t>InputMethod</t>
        </is>
      </c>
      <c r="C3970" s="24" t="inlineStr">
        <is>
          <t>电子合同编辑来源</t>
        </is>
      </c>
      <c r="D3970" s="24" t="inlineStr">
        <is>
          <t>VERTICAL_CHECKBOX</t>
        </is>
      </c>
      <c r="E3970" s="24" t="inlineStr">
        <is>
          <t>纵向多选框</t>
        </is>
      </c>
    </row>
    <row r="3971">
      <c r="B3971" s="24" t="inlineStr">
        <is>
          <t>InputMethod</t>
        </is>
      </c>
      <c r="C3971" s="24" t="inlineStr">
        <is>
          <t>电子合同编辑来源</t>
        </is>
      </c>
      <c r="D3971" s="24" t="inlineStr">
        <is>
          <t>VERTICAL_RADIO</t>
        </is>
      </c>
      <c r="E3971" s="24" t="inlineStr">
        <is>
          <t>纵向单选按钮</t>
        </is>
      </c>
    </row>
    <row r="3972" ht="15.95" customHeight="1" s="170">
      <c r="B3972" s="122" t="inlineStr">
        <is>
          <t>码值：Liquidity</t>
        </is>
      </c>
    </row>
    <row r="3973">
      <c r="B3973" s="24" t="inlineStr">
        <is>
          <t>Liquidity</t>
        </is>
      </c>
      <c r="C3973" s="24" t="inlineStr">
        <is>
          <t>变现能力</t>
        </is>
      </c>
      <c r="D3973" s="24" t="inlineStr">
        <is>
          <t>0</t>
        </is>
      </c>
      <c r="E3973" s="24" t="inlineStr">
        <is>
          <t>流动性强，价格波动性小</t>
        </is>
      </c>
    </row>
    <row r="3974">
      <c r="B3974" s="24" t="inlineStr">
        <is>
          <t>Liquidity</t>
        </is>
      </c>
      <c r="C3974" s="24" t="inlineStr">
        <is>
          <t>变现能力</t>
        </is>
      </c>
      <c r="D3974" s="24" t="inlineStr">
        <is>
          <t>1</t>
        </is>
      </c>
      <c r="E3974" s="24" t="inlineStr">
        <is>
          <t>流动性强，价格波动性大</t>
        </is>
      </c>
    </row>
    <row r="3975">
      <c r="B3975" s="24" t="inlineStr">
        <is>
          <t>Liquidity</t>
        </is>
      </c>
      <c r="C3975" s="24" t="inlineStr">
        <is>
          <t>变现能力</t>
        </is>
      </c>
      <c r="D3975" s="24" t="inlineStr">
        <is>
          <t>2</t>
        </is>
      </c>
      <c r="E3975" s="24" t="inlineStr">
        <is>
          <t>流动性弱，价格波动性小</t>
        </is>
      </c>
    </row>
    <row r="3976">
      <c r="B3976" s="24" t="inlineStr">
        <is>
          <t>Liquidity</t>
        </is>
      </c>
      <c r="C3976" s="24" t="inlineStr">
        <is>
          <t>变现能力</t>
        </is>
      </c>
      <c r="D3976" s="24" t="inlineStr">
        <is>
          <t>3.</t>
        </is>
      </c>
      <c r="E3976" s="24" t="inlineStr">
        <is>
          <t>流动性弱，价格波动性大</t>
        </is>
      </c>
    </row>
    <row r="3977" ht="15.95" customHeight="1" s="170">
      <c r="B3977" s="122" t="inlineStr">
        <is>
          <t>码值：OverSituation</t>
        </is>
      </c>
    </row>
    <row r="3978">
      <c r="B3978" s="24" t="inlineStr">
        <is>
          <t>OverSituation</t>
        </is>
      </c>
      <c r="C3978" s="24" t="inlineStr">
        <is>
          <t>信用等级评估统一导入</t>
        </is>
      </c>
      <c r="D3978" s="24" t="inlineStr">
        <is>
          <t>1</t>
        </is>
      </c>
      <c r="E3978" s="24" t="inlineStr">
        <is>
          <t>无逾期</t>
        </is>
      </c>
    </row>
    <row r="3979">
      <c r="B3979" s="24" t="inlineStr">
        <is>
          <t>OverSituation</t>
        </is>
      </c>
      <c r="C3979" s="24" t="inlineStr">
        <is>
          <t>信用等级评估统一导入</t>
        </is>
      </c>
      <c r="D3979" s="24" t="inlineStr">
        <is>
          <t>2</t>
        </is>
      </c>
      <c r="E3979" s="24" t="inlineStr">
        <is>
          <t>曾有逾期而目前没有</t>
        </is>
      </c>
    </row>
    <row r="3980">
      <c r="B3980" s="24" t="inlineStr">
        <is>
          <t>OverSituation</t>
        </is>
      </c>
      <c r="C3980" s="24" t="inlineStr">
        <is>
          <t>信用等级评估统一导入</t>
        </is>
      </c>
      <c r="D3980" s="24" t="inlineStr">
        <is>
          <t>3</t>
        </is>
      </c>
      <c r="E3980" s="24" t="inlineStr">
        <is>
          <t>逾期1年以内</t>
        </is>
      </c>
    </row>
    <row r="3981">
      <c r="B3981" s="24" t="inlineStr">
        <is>
          <t>OverSituation</t>
        </is>
      </c>
      <c r="C3981" s="24" t="inlineStr">
        <is>
          <t>信用等级评估统一导入</t>
        </is>
      </c>
      <c r="D3981" s="24" t="inlineStr">
        <is>
          <t>4</t>
        </is>
      </c>
      <c r="E3981" s="24" t="inlineStr">
        <is>
          <t>在两家及两家以上银行逾期</t>
        </is>
      </c>
    </row>
    <row r="3982">
      <c r="B3982" s="24" t="inlineStr">
        <is>
          <t>OverSituation</t>
        </is>
      </c>
      <c r="C3982" s="24" t="inlineStr">
        <is>
          <t>信用等级评估统一导入</t>
        </is>
      </c>
      <c r="D3982" s="24" t="inlineStr">
        <is>
          <t>5</t>
        </is>
      </c>
      <c r="E3982" s="24" t="inlineStr">
        <is>
          <t>逾期1年以上</t>
        </is>
      </c>
    </row>
    <row r="3983" ht="15.95" customHeight="1" s="170">
      <c r="B3983" s="122" t="inlineStr">
        <is>
          <t>码值：IntraIndustryType</t>
        </is>
      </c>
    </row>
    <row r="3984">
      <c r="B3984" s="24" t="inlineStr">
        <is>
          <t>IntraIndustryType</t>
        </is>
      </c>
      <c r="C3984" s="24" t="inlineStr">
        <is>
          <t>行内行业投向</t>
        </is>
      </c>
      <c r="D3984" s="24" t="inlineStr">
        <is>
          <t>010</t>
        </is>
      </c>
      <c r="E3984" s="24" t="inlineStr">
        <is>
          <t>市政项目</t>
        </is>
      </c>
    </row>
    <row r="3985">
      <c r="B3985" s="24" t="inlineStr">
        <is>
          <t>IntraIndustryType</t>
        </is>
      </c>
      <c r="C3985" s="24" t="inlineStr">
        <is>
          <t>行内行业投向</t>
        </is>
      </c>
      <c r="D3985" s="24" t="inlineStr">
        <is>
          <t>020</t>
        </is>
      </c>
      <c r="E3985" s="24" t="inlineStr">
        <is>
          <t>园区</t>
        </is>
      </c>
    </row>
    <row r="3986">
      <c r="B3986" s="24" t="inlineStr">
        <is>
          <t>IntraIndustryType</t>
        </is>
      </c>
      <c r="C3986" s="24" t="inlineStr">
        <is>
          <t>行内行业投向</t>
        </is>
      </c>
      <c r="D3986" s="24" t="inlineStr">
        <is>
          <t>030</t>
        </is>
      </c>
      <c r="E3986" s="24" t="inlineStr">
        <is>
          <t>房地产</t>
        </is>
      </c>
    </row>
    <row r="3987">
      <c r="B3987" s="24" t="inlineStr">
        <is>
          <t>IntraIndustryType</t>
        </is>
      </c>
      <c r="C3987" s="24" t="inlineStr">
        <is>
          <t>行内行业投向</t>
        </is>
      </c>
      <c r="D3987" s="24" t="inlineStr">
        <is>
          <t>040</t>
        </is>
      </c>
      <c r="E3987" s="24" t="inlineStr">
        <is>
          <t>土地储备</t>
        </is>
      </c>
    </row>
    <row r="3988">
      <c r="B3988" s="24" t="inlineStr">
        <is>
          <t>IntraIndustryType</t>
        </is>
      </c>
      <c r="C3988" s="24" t="inlineStr">
        <is>
          <t>行内行业投向</t>
        </is>
      </c>
      <c r="D3988" s="24" t="inlineStr">
        <is>
          <t>050</t>
        </is>
      </c>
      <c r="E3988" s="24" t="inlineStr">
        <is>
          <t>建筑</t>
        </is>
      </c>
    </row>
    <row r="3989">
      <c r="B3989" s="24" t="inlineStr">
        <is>
          <t>IntraIndustryType</t>
        </is>
      </c>
      <c r="C3989" s="24" t="inlineStr">
        <is>
          <t>行内行业投向</t>
        </is>
      </c>
      <c r="D3989" s="24" t="inlineStr">
        <is>
          <t>060</t>
        </is>
      </c>
      <c r="E3989" s="24" t="inlineStr">
        <is>
          <t>商贸</t>
        </is>
      </c>
    </row>
    <row r="3990">
      <c r="B3990" s="24" t="inlineStr">
        <is>
          <t>IntraIndustryType</t>
        </is>
      </c>
      <c r="C3990" s="24" t="inlineStr">
        <is>
          <t>行内行业投向</t>
        </is>
      </c>
      <c r="D3990" s="24" t="inlineStr">
        <is>
          <t>070</t>
        </is>
      </c>
      <c r="E3990" s="24" t="inlineStr">
        <is>
          <t>机车及配件</t>
        </is>
      </c>
    </row>
    <row r="3991">
      <c r="B3991" s="24" t="inlineStr">
        <is>
          <t>IntraIndustryType</t>
        </is>
      </c>
      <c r="C3991" s="24" t="inlineStr">
        <is>
          <t>行内行业投向</t>
        </is>
      </c>
      <c r="D3991" s="24" t="inlineStr">
        <is>
          <t>080</t>
        </is>
      </c>
      <c r="E3991" s="24" t="inlineStr">
        <is>
          <t>摩托车及配件</t>
        </is>
      </c>
    </row>
    <row r="3992">
      <c r="B3992" s="24" t="inlineStr">
        <is>
          <t>IntraIndustryType</t>
        </is>
      </c>
      <c r="C3992" s="24" t="inlineStr">
        <is>
          <t>行内行业投向</t>
        </is>
      </c>
      <c r="D3992" s="24" t="inlineStr">
        <is>
          <t>090</t>
        </is>
      </c>
      <c r="E3992" s="24" t="inlineStr">
        <is>
          <t>文化教育</t>
        </is>
      </c>
    </row>
    <row r="3993">
      <c r="B3993" s="24" t="inlineStr">
        <is>
          <t>IntraIndustryType</t>
        </is>
      </c>
      <c r="C3993" s="24" t="inlineStr">
        <is>
          <t>行内行业投向</t>
        </is>
      </c>
      <c r="D3993" s="24" t="inlineStr">
        <is>
          <t>100</t>
        </is>
      </c>
      <c r="E3993" s="24" t="inlineStr">
        <is>
          <t>能源</t>
        </is>
      </c>
    </row>
    <row r="3994">
      <c r="B3994" s="24" t="inlineStr">
        <is>
          <t>IntraIndustryType</t>
        </is>
      </c>
      <c r="C3994" s="24" t="inlineStr">
        <is>
          <t>行内行业投向</t>
        </is>
      </c>
      <c r="D3994" s="24" t="inlineStr">
        <is>
          <t>110</t>
        </is>
      </c>
      <c r="E3994" s="24" t="inlineStr">
        <is>
          <t>水利</t>
        </is>
      </c>
    </row>
    <row r="3995">
      <c r="B3995" s="24" t="inlineStr">
        <is>
          <t>IntraIndustryType</t>
        </is>
      </c>
      <c r="C3995" s="24" t="inlineStr">
        <is>
          <t>行内行业投向</t>
        </is>
      </c>
      <c r="D3995" s="24" t="inlineStr">
        <is>
          <t>120</t>
        </is>
      </c>
      <c r="E3995" s="24" t="inlineStr">
        <is>
          <t>医药</t>
        </is>
      </c>
    </row>
    <row r="3996">
      <c r="B3996" s="24" t="inlineStr">
        <is>
          <t>IntraIndustryType</t>
        </is>
      </c>
      <c r="C3996" s="24" t="inlineStr">
        <is>
          <t>行内行业投向</t>
        </is>
      </c>
      <c r="D3996" s="24" t="inlineStr">
        <is>
          <t>130</t>
        </is>
      </c>
      <c r="E3996" s="24" t="inlineStr">
        <is>
          <t>信息</t>
        </is>
      </c>
    </row>
    <row r="3997">
      <c r="B3997" s="24" t="inlineStr">
        <is>
          <t>IntraIndustryType</t>
        </is>
      </c>
      <c r="C3997" s="24" t="inlineStr">
        <is>
          <t>行内行业投向</t>
        </is>
      </c>
      <c r="D3997" s="24" t="inlineStr">
        <is>
          <t>140</t>
        </is>
      </c>
      <c r="E3997" s="24" t="inlineStr">
        <is>
          <t>服务业</t>
        </is>
      </c>
    </row>
    <row r="3998">
      <c r="B3998" s="24" t="inlineStr">
        <is>
          <t>IntraIndustryType</t>
        </is>
      </c>
      <c r="C3998" s="24" t="inlineStr">
        <is>
          <t>行内行业投向</t>
        </is>
      </c>
      <c r="D3998" s="24" t="inlineStr">
        <is>
          <t>150</t>
        </is>
      </c>
      <c r="E3998" s="24" t="inlineStr">
        <is>
          <t>医疗卫生</t>
        </is>
      </c>
    </row>
    <row r="3999">
      <c r="B3999" s="24" t="inlineStr">
        <is>
          <t>IntraIndustryType</t>
        </is>
      </c>
      <c r="C3999" s="24" t="inlineStr">
        <is>
          <t>行内行业投向</t>
        </is>
      </c>
      <c r="D3999" s="24" t="inlineStr">
        <is>
          <t>160</t>
        </is>
      </c>
      <c r="E3999" s="24" t="inlineStr">
        <is>
          <t>建材</t>
        </is>
      </c>
    </row>
    <row r="4000">
      <c r="B4000" s="24" t="inlineStr">
        <is>
          <t>IntraIndustryType</t>
        </is>
      </c>
      <c r="C4000" s="24" t="inlineStr">
        <is>
          <t>行内行业投向</t>
        </is>
      </c>
      <c r="D4000" s="24" t="inlineStr">
        <is>
          <t>170</t>
        </is>
      </c>
      <c r="E4000" s="24" t="inlineStr">
        <is>
          <t>机械</t>
        </is>
      </c>
    </row>
    <row r="4001">
      <c r="B4001" s="24" t="inlineStr">
        <is>
          <t>IntraIndustryType</t>
        </is>
      </c>
      <c r="C4001" s="24" t="inlineStr">
        <is>
          <t>行内行业投向</t>
        </is>
      </c>
      <c r="D4001" s="24" t="inlineStr">
        <is>
          <t>180</t>
        </is>
      </c>
      <c r="E4001" s="24" t="inlineStr">
        <is>
          <t>运输</t>
        </is>
      </c>
    </row>
    <row r="4002">
      <c r="B4002" s="24" t="inlineStr">
        <is>
          <t>IntraIndustryType</t>
        </is>
      </c>
      <c r="C4002" s="24" t="inlineStr">
        <is>
          <t>行内行业投向</t>
        </is>
      </c>
      <c r="D4002" s="24" t="inlineStr">
        <is>
          <t>190</t>
        </is>
      </c>
      <c r="E4002" s="24" t="inlineStr">
        <is>
          <t>冶金</t>
        </is>
      </c>
    </row>
    <row r="4003">
      <c r="B4003" s="24" t="inlineStr">
        <is>
          <t>IntraIndustryType</t>
        </is>
      </c>
      <c r="C4003" s="24" t="inlineStr">
        <is>
          <t>行内行业投向</t>
        </is>
      </c>
      <c r="D4003" s="24" t="inlineStr">
        <is>
          <t>200</t>
        </is>
      </c>
      <c r="E4003" s="24" t="inlineStr">
        <is>
          <t>烟草</t>
        </is>
      </c>
    </row>
    <row r="4004">
      <c r="B4004" s="24" t="inlineStr">
        <is>
          <t>IntraIndustryType</t>
        </is>
      </c>
      <c r="C4004" s="24" t="inlineStr">
        <is>
          <t>行内行业投向</t>
        </is>
      </c>
      <c r="D4004" s="24" t="inlineStr">
        <is>
          <t>210</t>
        </is>
      </c>
      <c r="E4004" s="24" t="inlineStr">
        <is>
          <t>纺织</t>
        </is>
      </c>
    </row>
    <row r="4005">
      <c r="B4005" s="24" t="inlineStr">
        <is>
          <t>IntraIndustryType</t>
        </is>
      </c>
      <c r="C4005" s="24" t="inlineStr">
        <is>
          <t>行内行业投向</t>
        </is>
      </c>
      <c r="D4005" s="24" t="inlineStr">
        <is>
          <t>220</t>
        </is>
      </c>
      <c r="E4005" s="24" t="inlineStr">
        <is>
          <t>交通基础设施</t>
        </is>
      </c>
    </row>
    <row r="4006">
      <c r="B4006" s="24" t="inlineStr">
        <is>
          <t>IntraIndustryType</t>
        </is>
      </c>
      <c r="C4006" s="24" t="inlineStr">
        <is>
          <t>行内行业投向</t>
        </is>
      </c>
      <c r="D4006" s="24" t="inlineStr">
        <is>
          <t>230</t>
        </is>
      </c>
      <c r="E4006" s="24" t="inlineStr">
        <is>
          <t>化工</t>
        </is>
      </c>
    </row>
    <row r="4007">
      <c r="B4007" s="24" t="inlineStr">
        <is>
          <t>IntraIndustryType</t>
        </is>
      </c>
      <c r="C4007" s="24" t="inlineStr">
        <is>
          <t>行内行业投向</t>
        </is>
      </c>
      <c r="D4007" s="24" t="inlineStr">
        <is>
          <t>240</t>
        </is>
      </c>
      <c r="E4007" s="24" t="inlineStr">
        <is>
          <t>住房开发贷款</t>
        </is>
      </c>
    </row>
    <row r="4008">
      <c r="B4008" s="24" t="inlineStr">
        <is>
          <t>IntraIndustryType</t>
        </is>
      </c>
      <c r="C4008" s="24" t="inlineStr">
        <is>
          <t>行内行业投向</t>
        </is>
      </c>
      <c r="D4008" s="24" t="inlineStr">
        <is>
          <t>241</t>
        </is>
      </c>
      <c r="E4008" s="24" t="inlineStr">
        <is>
          <t>经济适用住房开发贷款</t>
        </is>
      </c>
    </row>
    <row r="4009">
      <c r="B4009" s="24" t="inlineStr">
        <is>
          <t>IntraIndustryType</t>
        </is>
      </c>
      <c r="C4009" s="24" t="inlineStr">
        <is>
          <t>行内行业投向</t>
        </is>
      </c>
      <c r="D4009" s="24" t="inlineStr">
        <is>
          <t>242</t>
        </is>
      </c>
      <c r="E4009" s="24" t="inlineStr">
        <is>
          <t>集资、合作建房贷款</t>
        </is>
      </c>
    </row>
    <row r="4010">
      <c r="B4010" s="24" t="inlineStr">
        <is>
          <t>IntraIndustryType</t>
        </is>
      </c>
      <c r="C4010" s="24" t="inlineStr">
        <is>
          <t>行内行业投向</t>
        </is>
      </c>
      <c r="D4010" s="24" t="inlineStr">
        <is>
          <t>243</t>
        </is>
      </c>
      <c r="E4010" s="24" t="inlineStr">
        <is>
          <t>廉租住房开发贷款</t>
        </is>
      </c>
    </row>
    <row r="4011">
      <c r="B4011" s="24" t="inlineStr">
        <is>
          <t>IntraIndustryType</t>
        </is>
      </c>
      <c r="C4011" s="24" t="inlineStr">
        <is>
          <t>行内行业投向</t>
        </is>
      </c>
      <c r="D4011" s="24" t="inlineStr">
        <is>
          <t>250</t>
        </is>
      </c>
      <c r="E4011" s="24" t="inlineStr">
        <is>
          <t>商业用房开发贷款</t>
        </is>
      </c>
    </row>
    <row r="4012">
      <c r="B4012" s="24" t="inlineStr">
        <is>
          <t>IntraIndustryType</t>
        </is>
      </c>
      <c r="C4012" s="24" t="inlineStr">
        <is>
          <t>行内行业投向</t>
        </is>
      </c>
      <c r="D4012" s="24" t="inlineStr">
        <is>
          <t>260</t>
        </is>
      </c>
      <c r="E4012" s="24" t="inlineStr">
        <is>
          <t>其他房产开发贷款</t>
        </is>
      </c>
    </row>
    <row r="4013">
      <c r="B4013" s="24" t="inlineStr">
        <is>
          <t>IntraIndustryType</t>
        </is>
      </c>
      <c r="C4013" s="24" t="inlineStr">
        <is>
          <t>行内行业投向</t>
        </is>
      </c>
      <c r="D4013" s="24" t="inlineStr">
        <is>
          <t>261</t>
        </is>
      </c>
      <c r="E4013" s="24" t="inlineStr">
        <is>
          <t>旧城改造贷款</t>
        </is>
      </c>
    </row>
    <row r="4014">
      <c r="B4014" s="24" t="inlineStr">
        <is>
          <t>IntraIndustryType</t>
        </is>
      </c>
      <c r="C4014" s="24" t="inlineStr">
        <is>
          <t>行内行业投向</t>
        </is>
      </c>
      <c r="D4014" s="24" t="inlineStr">
        <is>
          <t>262</t>
        </is>
      </c>
      <c r="E4014" s="24" t="inlineStr">
        <is>
          <t>工矿和棚户区改造建设贷款</t>
        </is>
      </c>
    </row>
    <row r="4015">
      <c r="B4015" s="24" t="inlineStr">
        <is>
          <t>IntraIndustryType</t>
        </is>
      </c>
      <c r="C4015" s="24" t="inlineStr">
        <is>
          <t>行内行业投向</t>
        </is>
      </c>
      <c r="D4015" s="24" t="inlineStr">
        <is>
          <t>263</t>
        </is>
      </c>
      <c r="E4015" s="24" t="inlineStr">
        <is>
          <t>公共租赁住房开发贷款</t>
        </is>
      </c>
    </row>
    <row r="4016">
      <c r="B4016" s="24" t="inlineStr">
        <is>
          <t>IntraIndustryType</t>
        </is>
      </c>
      <c r="C4016" s="24" t="inlineStr">
        <is>
          <t>行内行业投向</t>
        </is>
      </c>
      <c r="D4016" s="24" t="inlineStr">
        <is>
          <t>264</t>
        </is>
      </c>
      <c r="E4016" s="24" t="inlineStr">
        <is>
          <t>农民工公寓建设贷款</t>
        </is>
      </c>
    </row>
    <row r="4017">
      <c r="B4017" s="24" t="inlineStr">
        <is>
          <t>IntraIndustryType</t>
        </is>
      </c>
      <c r="C4017" s="24" t="inlineStr">
        <is>
          <t>行内行业投向</t>
        </is>
      </c>
      <c r="D4017" s="24" t="inlineStr">
        <is>
          <t>270</t>
        </is>
      </c>
      <c r="E4017" s="24" t="inlineStr">
        <is>
          <t>仪器仪表</t>
        </is>
      </c>
    </row>
    <row r="4018">
      <c r="B4018" s="24" t="inlineStr">
        <is>
          <t>IntraIndustryType</t>
        </is>
      </c>
      <c r="C4018" s="24" t="inlineStr">
        <is>
          <t>行内行业投向</t>
        </is>
      </c>
      <c r="D4018" s="24" t="inlineStr">
        <is>
          <t>280</t>
        </is>
      </c>
      <c r="E4018" s="24" t="inlineStr">
        <is>
          <t>环保</t>
        </is>
      </c>
    </row>
    <row r="4019">
      <c r="B4019" s="24" t="inlineStr">
        <is>
          <t>IntraIndustryType</t>
        </is>
      </c>
      <c r="C4019" s="24" t="inlineStr">
        <is>
          <t>行内行业投向</t>
        </is>
      </c>
      <c r="D4019" s="24" t="inlineStr">
        <is>
          <t>290</t>
        </is>
      </c>
      <c r="E4019" s="24" t="inlineStr">
        <is>
          <t>农业</t>
        </is>
      </c>
    </row>
    <row r="4020">
      <c r="B4020" s="24" t="inlineStr">
        <is>
          <t>IntraIndustryType</t>
        </is>
      </c>
      <c r="C4020" s="24" t="inlineStr">
        <is>
          <t>行内行业投向</t>
        </is>
      </c>
      <c r="D4020" s="24" t="inlineStr">
        <is>
          <t>300</t>
        </is>
      </c>
      <c r="E4020" s="24" t="inlineStr">
        <is>
          <t>印刷</t>
        </is>
      </c>
    </row>
    <row r="4021">
      <c r="B4021" s="24" t="inlineStr">
        <is>
          <t>IntraIndustryType</t>
        </is>
      </c>
      <c r="C4021" s="24" t="inlineStr">
        <is>
          <t>行内行业投向</t>
        </is>
      </c>
      <c r="D4021" s="24" t="inlineStr">
        <is>
          <t>310</t>
        </is>
      </c>
      <c r="E4021" s="24" t="inlineStr">
        <is>
          <t>钢贸</t>
        </is>
      </c>
    </row>
    <row r="4022">
      <c r="B4022" s="24" t="inlineStr">
        <is>
          <t>IntraIndustryType</t>
        </is>
      </c>
      <c r="C4022" s="24" t="inlineStr">
        <is>
          <t>行内行业投向</t>
        </is>
      </c>
      <c r="D4022" s="24" t="inlineStr">
        <is>
          <t>320</t>
        </is>
      </c>
      <c r="E4022" s="24" t="inlineStr">
        <is>
          <t>其他</t>
        </is>
      </c>
    </row>
    <row r="4023" ht="15.95" customHeight="1" s="170">
      <c r="B4023" s="122" t="inlineStr">
        <is>
          <t>码值：PaymentMode</t>
        </is>
      </c>
    </row>
    <row r="4024">
      <c r="B4024" s="24" t="inlineStr">
        <is>
          <t>PaymentMode</t>
        </is>
      </c>
      <c r="C4024" s="24" t="inlineStr">
        <is>
          <t>支付方式</t>
        </is>
      </c>
      <c r="D4024" s="24" t="inlineStr">
        <is>
          <t>010</t>
        </is>
      </c>
      <c r="E4024" s="24" t="inlineStr">
        <is>
          <t>自主支付</t>
        </is>
      </c>
    </row>
    <row r="4025">
      <c r="B4025" s="24" t="inlineStr">
        <is>
          <t>PaymentMode</t>
        </is>
      </c>
      <c r="C4025" s="24" t="inlineStr">
        <is>
          <t>支付方式</t>
        </is>
      </c>
      <c r="D4025" s="24" t="inlineStr">
        <is>
          <t>020</t>
        </is>
      </c>
      <c r="E4025" s="24" t="inlineStr">
        <is>
          <t>受托支付</t>
        </is>
      </c>
    </row>
    <row r="4026" ht="15.95" customHeight="1" s="170">
      <c r="B4026" s="122" t="inlineStr">
        <is>
          <t>码值：RegisterProcess</t>
        </is>
      </c>
    </row>
    <row r="4027">
      <c r="B4027" s="24" t="inlineStr">
        <is>
          <t>RegisterProcess</t>
        </is>
      </c>
      <c r="C4027" s="24" t="inlineStr">
        <is>
          <t>登记进度</t>
        </is>
      </c>
      <c r="D4027" s="24" t="inlineStr">
        <is>
          <t>01</t>
        </is>
      </c>
      <c r="E4027" s="24" t="inlineStr">
        <is>
          <t>已送件</t>
        </is>
      </c>
    </row>
    <row r="4028">
      <c r="B4028" s="24" t="inlineStr">
        <is>
          <t>RegisterProcess</t>
        </is>
      </c>
      <c r="C4028" s="24" t="inlineStr">
        <is>
          <t>登记进度</t>
        </is>
      </c>
      <c r="D4028" s="24" t="inlineStr">
        <is>
          <t>02</t>
        </is>
      </c>
      <c r="E4028" s="24" t="inlineStr">
        <is>
          <t>已取件</t>
        </is>
      </c>
    </row>
    <row r="4029" ht="15.95" customHeight="1" s="170">
      <c r="B4029" s="122" t="inlineStr">
        <is>
          <t>码值：Site</t>
        </is>
      </c>
    </row>
    <row r="4030">
      <c r="B4030" s="24" t="inlineStr">
        <is>
          <t>Site</t>
        </is>
      </c>
      <c r="C4030" s="24" t="inlineStr">
        <is>
          <t>信用等级评估统一导入</t>
        </is>
      </c>
      <c r="D4030" s="24" t="inlineStr">
        <is>
          <t>01</t>
        </is>
      </c>
      <c r="E4030" s="24" t="inlineStr">
        <is>
          <t>房地产位于非常优越的地段，周边地段均价大于该城市/地区总体均价的两倍</t>
        </is>
      </c>
    </row>
    <row r="4031">
      <c r="B4031" s="24" t="inlineStr">
        <is>
          <t>Site</t>
        </is>
      </c>
      <c r="C4031" s="24" t="inlineStr">
        <is>
          <t>信用等级评估统一导入</t>
        </is>
      </c>
      <c r="D4031" s="24" t="inlineStr">
        <is>
          <t>02</t>
        </is>
      </c>
      <c r="E4031" s="24" t="inlineStr">
        <is>
          <t>房地产位于优越的地段，周边地段均价小于该城市/地区总体均价的两倍但仍高于均价</t>
        </is>
      </c>
    </row>
    <row r="4032">
      <c r="B4032" s="24" t="inlineStr">
        <is>
          <t>Site</t>
        </is>
      </c>
      <c r="C4032" s="24" t="inlineStr">
        <is>
          <t>信用等级评估统一导入</t>
        </is>
      </c>
      <c r="D4032" s="24" t="inlineStr">
        <is>
          <t>03</t>
        </is>
      </c>
      <c r="E4032" s="24" t="inlineStr">
        <is>
          <t>周边地段均价与该城市/地区总体均价相当</t>
        </is>
      </c>
    </row>
    <row r="4033">
      <c r="B4033" s="24" t="inlineStr">
        <is>
          <t>Site</t>
        </is>
      </c>
      <c r="C4033" s="24" t="inlineStr">
        <is>
          <t>信用等级评估统一导入</t>
        </is>
      </c>
      <c r="D4033" s="24" t="inlineStr">
        <is>
          <t>04</t>
        </is>
      </c>
      <c r="E4033" s="24" t="inlineStr">
        <is>
          <t>房地产位置缺乏比较优势，周边地段均价低于该城市/地区的总体均价</t>
        </is>
      </c>
    </row>
    <row r="4034" ht="15.95" customHeight="1" s="170">
      <c r="B4034" s="122" t="inlineStr">
        <is>
          <t>码值：BalanceChangeType</t>
        </is>
      </c>
    </row>
    <row r="4035">
      <c r="B4035" s="24" t="inlineStr">
        <is>
          <t>BalanceChangeType</t>
        </is>
      </c>
      <c r="C4035" s="24" t="inlineStr">
        <is>
          <t>余额变动方向</t>
        </is>
      </c>
      <c r="D4035" s="24" t="inlineStr">
        <is>
          <t>01</t>
        </is>
      </c>
      <c r="E4035" s="24" t="inlineStr">
        <is>
          <t>减少</t>
        </is>
      </c>
    </row>
    <row r="4036">
      <c r="B4036" s="24" t="inlineStr">
        <is>
          <t>BalanceChangeType</t>
        </is>
      </c>
      <c r="C4036" s="24" t="inlineStr">
        <is>
          <t>余额变动方向</t>
        </is>
      </c>
      <c r="D4036" s="24" t="inlineStr">
        <is>
          <t>02</t>
        </is>
      </c>
      <c r="E4036" s="24" t="inlineStr">
        <is>
          <t>增加</t>
        </is>
      </c>
    </row>
    <row r="4037" ht="15.95" customHeight="1" s="170">
      <c r="B4037" s="122" t="inlineStr">
        <is>
          <t>码值：销售归行率</t>
        </is>
      </c>
    </row>
    <row r="4038">
      <c r="B4038" s="24" t="inlineStr">
        <is>
          <t>销售归行率</t>
        </is>
      </c>
      <c r="C4038" s="24" t="inlineStr">
        <is>
          <t>销售归行率</t>
        </is>
      </c>
      <c r="D4038" s="24" t="inlineStr">
        <is>
          <t>1</t>
        </is>
      </c>
      <c r="E4038" s="24" t="inlineStr">
        <is>
          <t>80％以上（含）</t>
        </is>
      </c>
    </row>
    <row r="4039">
      <c r="B4039" s="24" t="inlineStr">
        <is>
          <t>销售归行率</t>
        </is>
      </c>
      <c r="C4039" s="24" t="inlineStr">
        <is>
          <t>销售归行率</t>
        </is>
      </c>
      <c r="D4039" s="24" t="inlineStr">
        <is>
          <t>2</t>
        </is>
      </c>
      <c r="E4039" s="24" t="inlineStr">
        <is>
          <t>60％（含）-80％</t>
        </is>
      </c>
    </row>
    <row r="4040">
      <c r="B4040" s="24" t="inlineStr">
        <is>
          <t>销售归行率</t>
        </is>
      </c>
      <c r="C4040" s="24" t="inlineStr">
        <is>
          <t>销售归行率</t>
        </is>
      </c>
      <c r="D4040" s="24" t="inlineStr">
        <is>
          <t>3</t>
        </is>
      </c>
      <c r="E4040" s="24" t="inlineStr">
        <is>
          <t>20％（含）-60％</t>
        </is>
      </c>
    </row>
    <row r="4041">
      <c r="B4041" s="24" t="inlineStr">
        <is>
          <t>销售归行率</t>
        </is>
      </c>
      <c r="C4041" s="24" t="inlineStr">
        <is>
          <t>销售归行率</t>
        </is>
      </c>
      <c r="D4041" s="24" t="inlineStr">
        <is>
          <t>4</t>
        </is>
      </c>
      <c r="E4041" s="24" t="inlineStr">
        <is>
          <t>20％以下</t>
        </is>
      </c>
    </row>
    <row r="4042">
      <c r="B4042" s="24" t="inlineStr">
        <is>
          <t>销售归行率</t>
        </is>
      </c>
      <c r="C4042" s="24" t="inlineStr">
        <is>
          <t>销售归行率</t>
        </is>
      </c>
      <c r="D4042" s="24" t="inlineStr">
        <is>
          <t>5</t>
        </is>
      </c>
      <c r="E4042" s="24" t="inlineStr">
        <is>
          <t>0</t>
        </is>
      </c>
    </row>
    <row r="4043" ht="15.95" customHeight="1" s="170">
      <c r="B4043" s="122" t="inlineStr">
        <is>
          <t>码值：企业类型2</t>
        </is>
      </c>
    </row>
    <row r="4044">
      <c r="B4044" s="24" t="inlineStr">
        <is>
          <t>企业类型2</t>
        </is>
      </c>
      <c r="C4044" s="24" t="inlineStr">
        <is>
          <t>企业类型2</t>
        </is>
      </c>
      <c r="D4044" s="24" t="inlineStr">
        <is>
          <t>01</t>
        </is>
      </c>
      <c r="E4044" s="24" t="inlineStr">
        <is>
          <t>技术密集型</t>
        </is>
      </c>
    </row>
    <row r="4045">
      <c r="B4045" s="24" t="inlineStr">
        <is>
          <t>企业类型2</t>
        </is>
      </c>
      <c r="C4045" s="24" t="inlineStr">
        <is>
          <t>企业类型2</t>
        </is>
      </c>
      <c r="D4045" s="24" t="inlineStr">
        <is>
          <t>02</t>
        </is>
      </c>
      <c r="E4045" s="24" t="inlineStr">
        <is>
          <t>资本密集型</t>
        </is>
      </c>
    </row>
    <row r="4046">
      <c r="B4046" s="24" t="inlineStr">
        <is>
          <t>企业类型2</t>
        </is>
      </c>
      <c r="C4046" s="24" t="inlineStr">
        <is>
          <t>企业类型2</t>
        </is>
      </c>
      <c r="D4046" s="24" t="inlineStr">
        <is>
          <t>03</t>
        </is>
      </c>
      <c r="E4046" s="24" t="inlineStr">
        <is>
          <t>劳动密集型</t>
        </is>
      </c>
    </row>
    <row r="4047">
      <c r="B4047" s="24" t="inlineStr">
        <is>
          <t>企业类型2</t>
        </is>
      </c>
      <c r="C4047" s="24" t="inlineStr">
        <is>
          <t>企业类型2</t>
        </is>
      </c>
      <c r="D4047" s="24" t="inlineStr">
        <is>
          <t>04</t>
        </is>
      </c>
      <c r="E4047" s="24" t="inlineStr">
        <is>
          <t>答案难以判断</t>
        </is>
      </c>
    </row>
    <row r="4048" ht="15.95" customHeight="1" s="170">
      <c r="B4048" s="122" t="inlineStr">
        <is>
          <t>码值：企业类型1</t>
        </is>
      </c>
    </row>
    <row r="4049">
      <c r="B4049" s="24" t="inlineStr">
        <is>
          <t>企业类型1</t>
        </is>
      </c>
      <c r="C4049" s="24" t="inlineStr">
        <is>
          <t>企业类型1</t>
        </is>
      </c>
      <c r="D4049" s="24" t="inlineStr">
        <is>
          <t>01</t>
        </is>
      </c>
      <c r="E4049" s="24" t="inlineStr">
        <is>
          <t>央企，或者世界五百强企业,</t>
        </is>
      </c>
    </row>
    <row r="4050">
      <c r="B4050" s="24" t="inlineStr">
        <is>
          <t>企业类型1</t>
        </is>
      </c>
      <c r="C4050" s="24" t="inlineStr">
        <is>
          <t>企业类型1</t>
        </is>
      </c>
      <c r="D4050" s="24" t="inlineStr">
        <is>
          <t>02</t>
        </is>
      </c>
      <c r="E4050" s="24" t="inlineStr">
        <is>
          <t>央企控股的企业，或者世界五百强企业的控股企业</t>
        </is>
      </c>
    </row>
    <row r="4051">
      <c r="B4051" s="24" t="inlineStr">
        <is>
          <t>企业类型1</t>
        </is>
      </c>
      <c r="C4051" s="24" t="inlineStr">
        <is>
          <t>企业类型1</t>
        </is>
      </c>
      <c r="D4051" s="24" t="inlineStr">
        <is>
          <t>03</t>
        </is>
      </c>
      <c r="E4051" s="24" t="inlineStr">
        <is>
          <t>不属于A、B两类，但为上市公司(包括国内及国外上市公司,但不包括ST股或已摘牌上市公司)，或者省（自治区、直辖市）属国有企业</t>
        </is>
      </c>
    </row>
    <row r="4052">
      <c r="B4052" s="24" t="inlineStr">
        <is>
          <t>企业类型1</t>
        </is>
      </c>
      <c r="C4052" s="24" t="inlineStr">
        <is>
          <t>企业类型1</t>
        </is>
      </c>
      <c r="D4052" s="24" t="inlineStr">
        <is>
          <t>04</t>
        </is>
      </c>
      <c r="E4052" s="24" t="inlineStr">
        <is>
          <t>B、C两类公司的控股子公司</t>
        </is>
      </c>
    </row>
    <row r="4053">
      <c r="B4053" s="24" t="inlineStr">
        <is>
          <t>企业类型1</t>
        </is>
      </c>
      <c r="C4053" s="24" t="inlineStr">
        <is>
          <t>企业类型1</t>
        </is>
      </c>
      <c r="D4053" s="24" t="inlineStr">
        <is>
          <t>05</t>
        </is>
      </c>
      <c r="E4053" s="24" t="inlineStr">
        <is>
          <t>其他公司</t>
        </is>
      </c>
    </row>
    <row r="4054" ht="15.95" customHeight="1" s="170">
      <c r="B4054" s="122" t="inlineStr">
        <is>
          <t>码值：AlikeOrgType</t>
        </is>
      </c>
    </row>
    <row r="4055">
      <c r="B4055" s="24" t="inlineStr">
        <is>
          <t>AlikeOrgType</t>
        </is>
      </c>
      <c r="C4055" s="24" t="inlineStr">
        <is>
          <t>同业客户机构性质</t>
        </is>
      </c>
      <c r="D4055" s="24" t="inlineStr">
        <is>
          <t>0010</t>
        </is>
      </c>
      <c r="E4055" s="24" t="inlineStr">
        <is>
          <t>境内银行</t>
        </is>
      </c>
    </row>
    <row r="4056">
      <c r="B4056" s="24" t="inlineStr">
        <is>
          <t>AlikeOrgType</t>
        </is>
      </c>
      <c r="C4056" s="24" t="inlineStr">
        <is>
          <t>同业客户机构性质</t>
        </is>
      </c>
      <c r="D4056" s="24" t="inlineStr">
        <is>
          <t>0020</t>
        </is>
      </c>
      <c r="E4056" s="24" t="inlineStr">
        <is>
          <t>境内保险公司</t>
        </is>
      </c>
    </row>
    <row r="4057">
      <c r="B4057" s="24" t="inlineStr">
        <is>
          <t>AlikeOrgType</t>
        </is>
      </c>
      <c r="C4057" s="24" t="inlineStr">
        <is>
          <t>同业客户机构性质</t>
        </is>
      </c>
      <c r="D4057" s="24" t="inlineStr">
        <is>
          <t>0030</t>
        </is>
      </c>
      <c r="E4057" s="24" t="inlineStr">
        <is>
          <t>其他境内非银行同业</t>
        </is>
      </c>
    </row>
    <row r="4058">
      <c r="B4058" s="24" t="inlineStr">
        <is>
          <t>AlikeOrgType</t>
        </is>
      </c>
      <c r="C4058" s="24" t="inlineStr">
        <is>
          <t>同业客户机构性质</t>
        </is>
      </c>
      <c r="D4058" s="24" t="inlineStr">
        <is>
          <t>0040</t>
        </is>
      </c>
      <c r="E4058" s="24" t="inlineStr">
        <is>
          <t>境外银行</t>
        </is>
      </c>
    </row>
    <row r="4059">
      <c r="B4059" s="24" t="inlineStr">
        <is>
          <t>AlikeOrgType</t>
        </is>
      </c>
      <c r="C4059" s="24" t="inlineStr">
        <is>
          <t>同业客户机构性质</t>
        </is>
      </c>
      <c r="D4059" s="24" t="inlineStr">
        <is>
          <t>0050</t>
        </is>
      </c>
      <c r="E4059" s="24" t="inlineStr">
        <is>
          <t>境外机构</t>
        </is>
      </c>
    </row>
    <row r="4060" ht="15.95" customHeight="1" s="170">
      <c r="B4060" s="122" t="inlineStr">
        <is>
          <t>码值：InvoicePurpose</t>
        </is>
      </c>
    </row>
    <row r="4061">
      <c r="B4061" s="24" t="inlineStr">
        <is>
          <t>InvoicePurpose</t>
        </is>
      </c>
      <c r="C4061" s="24" t="inlineStr">
        <is>
          <t>票据用途</t>
        </is>
      </c>
      <c r="D4061" s="24" t="inlineStr">
        <is>
          <t>P01</t>
        </is>
      </c>
      <c r="E4061" s="24" t="inlineStr">
        <is>
          <t>本金</t>
        </is>
      </c>
    </row>
    <row r="4062">
      <c r="B4062" s="24" t="inlineStr">
        <is>
          <t>InvoicePurpose</t>
        </is>
      </c>
      <c r="C4062" s="24" t="inlineStr">
        <is>
          <t>票据用途</t>
        </is>
      </c>
      <c r="D4062" s="24" t="inlineStr">
        <is>
          <t>P02</t>
        </is>
      </c>
      <c r="E4062" s="24" t="inlineStr">
        <is>
          <t>利息</t>
        </is>
      </c>
    </row>
    <row r="4063">
      <c r="B4063" s="24" t="inlineStr">
        <is>
          <t>InvoicePurpose</t>
        </is>
      </c>
      <c r="C4063" s="24" t="inlineStr">
        <is>
          <t>票据用途</t>
        </is>
      </c>
      <c r="D4063" s="24" t="inlineStr">
        <is>
          <t>R01</t>
        </is>
      </c>
      <c r="E4063" s="24" t="inlineStr">
        <is>
          <t>采购</t>
        </is>
      </c>
    </row>
    <row r="4064">
      <c r="B4064" s="24" t="inlineStr">
        <is>
          <t>InvoicePurpose</t>
        </is>
      </c>
      <c r="C4064" s="24" t="inlineStr">
        <is>
          <t>票据用途</t>
        </is>
      </c>
      <c r="D4064" s="24" t="inlineStr">
        <is>
          <t>R02</t>
        </is>
      </c>
      <c r="E4064" s="24" t="inlineStr">
        <is>
          <t>融资</t>
        </is>
      </c>
    </row>
    <row r="4065" ht="15.95" customHeight="1" s="170">
      <c r="B4065" s="122" t="inlineStr">
        <is>
          <t>码值：BizContractStatus</t>
        </is>
      </c>
    </row>
    <row r="4066">
      <c r="B4066" s="24" t="inlineStr">
        <is>
          <t>BizContractStatus</t>
        </is>
      </c>
      <c r="C4066" s="24" t="inlineStr">
        <is>
          <t>BizContractStatus</t>
        </is>
      </c>
      <c r="D4066" s="24" t="inlineStr">
        <is>
          <t>310</t>
        </is>
      </c>
      <c r="E4066" s="24" t="inlineStr">
        <is>
          <t>未生效</t>
        </is>
      </c>
    </row>
    <row r="4067">
      <c r="B4067" s="24" t="inlineStr">
        <is>
          <t>BizContractStatus</t>
        </is>
      </c>
      <c r="C4067" s="24" t="inlineStr">
        <is>
          <t>BizContractStatus</t>
        </is>
      </c>
      <c r="D4067" s="24" t="inlineStr">
        <is>
          <t>320</t>
        </is>
      </c>
      <c r="E4067" s="24" t="inlineStr">
        <is>
          <t>已生效</t>
        </is>
      </c>
    </row>
    <row r="4068">
      <c r="B4068" s="24" t="inlineStr">
        <is>
          <t>BizContractStatus</t>
        </is>
      </c>
      <c r="C4068" s="24" t="inlineStr">
        <is>
          <t>BizContractStatus</t>
        </is>
      </c>
      <c r="D4068" s="24" t="inlineStr">
        <is>
          <t>330</t>
        </is>
      </c>
      <c r="E4068" s="24" t="inlineStr">
        <is>
          <t>部分冻结</t>
        </is>
      </c>
    </row>
    <row r="4069">
      <c r="B4069" s="24" t="inlineStr">
        <is>
          <t>BizContractStatus</t>
        </is>
      </c>
      <c r="C4069" s="24" t="inlineStr">
        <is>
          <t>BizContractStatus</t>
        </is>
      </c>
      <c r="D4069" s="24" t="inlineStr">
        <is>
          <t>340</t>
        </is>
      </c>
      <c r="E4069" s="24" t="inlineStr">
        <is>
          <t>全部冻结</t>
        </is>
      </c>
    </row>
    <row r="4070">
      <c r="B4070" s="24" t="inlineStr">
        <is>
          <t>BizContractStatus</t>
        </is>
      </c>
      <c r="C4070" s="24" t="inlineStr">
        <is>
          <t>BizContractStatus</t>
        </is>
      </c>
      <c r="D4070" s="24" t="inlineStr">
        <is>
          <t>350</t>
        </is>
      </c>
      <c r="E4070" s="24" t="inlineStr">
        <is>
          <t>解冻</t>
        </is>
      </c>
    </row>
    <row r="4071">
      <c r="B4071" s="24" t="inlineStr">
        <is>
          <t>BizContractStatus</t>
        </is>
      </c>
      <c r="C4071" s="24" t="inlineStr">
        <is>
          <t>BizContractStatus</t>
        </is>
      </c>
      <c r="D4071" s="24" t="inlineStr">
        <is>
          <t>360</t>
        </is>
      </c>
      <c r="E4071" s="24" t="inlineStr">
        <is>
          <t>已失效</t>
        </is>
      </c>
    </row>
    <row r="4072" ht="15.95" customHeight="1" s="170">
      <c r="B4072" s="122" t="inlineStr">
        <is>
          <t>码值：InsuranceType</t>
        </is>
      </c>
    </row>
    <row r="4073">
      <c r="B4073" s="24" t="inlineStr">
        <is>
          <t>InsuranceType</t>
        </is>
      </c>
      <c r="C4073" s="24" t="inlineStr">
        <is>
          <t>保险类型</t>
        </is>
      </c>
      <c r="D4073" s="24" t="inlineStr">
        <is>
          <t>1</t>
        </is>
      </c>
      <c r="E4073" s="24" t="inlineStr">
        <is>
          <t>地震险</t>
        </is>
      </c>
    </row>
    <row r="4074">
      <c r="B4074" s="24" t="inlineStr">
        <is>
          <t>InsuranceType</t>
        </is>
      </c>
      <c r="C4074" s="24" t="inlineStr">
        <is>
          <t>保险类型</t>
        </is>
      </c>
      <c r="D4074" s="24" t="inlineStr">
        <is>
          <t>10</t>
        </is>
      </c>
      <c r="E4074" s="24" t="inlineStr">
        <is>
          <t>公众责任险</t>
        </is>
      </c>
    </row>
    <row r="4075">
      <c r="B4075" s="24" t="inlineStr">
        <is>
          <t>InsuranceType</t>
        </is>
      </c>
      <c r="C4075" s="24" t="inlineStr">
        <is>
          <t>保险类型</t>
        </is>
      </c>
      <c r="D4075" s="24" t="inlineStr">
        <is>
          <t>11</t>
        </is>
      </c>
      <c r="E4075" s="24" t="inlineStr">
        <is>
          <t>财产险</t>
        </is>
      </c>
    </row>
    <row r="4076">
      <c r="B4076" s="24" t="inlineStr">
        <is>
          <t>InsuranceType</t>
        </is>
      </c>
      <c r="C4076" s="24" t="inlineStr">
        <is>
          <t>保险类型</t>
        </is>
      </c>
      <c r="D4076" s="24" t="inlineStr">
        <is>
          <t>12</t>
        </is>
      </c>
      <c r="E4076" s="24" t="inlineStr">
        <is>
          <t>个人抵押贷款房屋保险</t>
        </is>
      </c>
    </row>
    <row r="4077">
      <c r="B4077" s="24" t="inlineStr">
        <is>
          <t>InsuranceType</t>
        </is>
      </c>
      <c r="C4077" s="24" t="inlineStr">
        <is>
          <t>保险类型</t>
        </is>
      </c>
      <c r="D4077" s="24" t="inlineStr">
        <is>
          <t>13</t>
        </is>
      </c>
      <c r="E4077" s="24" t="inlineStr">
        <is>
          <t>第三者责任险</t>
        </is>
      </c>
    </row>
    <row r="4078">
      <c r="B4078" s="24" t="inlineStr">
        <is>
          <t>InsuranceType</t>
        </is>
      </c>
      <c r="C4078" s="24" t="inlineStr">
        <is>
          <t>保险类型</t>
        </is>
      </c>
      <c r="D4078" s="24" t="inlineStr">
        <is>
          <t>14</t>
        </is>
      </c>
      <c r="E4078" s="24" t="inlineStr">
        <is>
          <t>财产综合险及地震险</t>
        </is>
      </c>
    </row>
    <row r="4079">
      <c r="B4079" s="24" t="inlineStr">
        <is>
          <t>InsuranceType</t>
        </is>
      </c>
      <c r="C4079" s="24" t="inlineStr">
        <is>
          <t>保险类型</t>
        </is>
      </c>
      <c r="D4079" s="24" t="inlineStr">
        <is>
          <t>15</t>
        </is>
      </c>
      <c r="E4079" s="24" t="inlineStr">
        <is>
          <t>财产一切险及地震险</t>
        </is>
      </c>
    </row>
    <row r="4080">
      <c r="B4080" s="24" t="inlineStr">
        <is>
          <t>InsuranceType</t>
        </is>
      </c>
      <c r="C4080" s="24" t="inlineStr">
        <is>
          <t>保险类型</t>
        </is>
      </c>
      <c r="D4080" s="24" t="inlineStr">
        <is>
          <t>16</t>
        </is>
      </c>
      <c r="E4080" s="24" t="inlineStr">
        <is>
          <t>汽车损失及责任等保险</t>
        </is>
      </c>
    </row>
    <row r="4081">
      <c r="B4081" s="24" t="inlineStr">
        <is>
          <t>InsuranceType</t>
        </is>
      </c>
      <c r="C4081" s="24" t="inlineStr">
        <is>
          <t>保险类型</t>
        </is>
      </c>
      <c r="D4081" s="24" t="inlineStr">
        <is>
          <t>17</t>
        </is>
      </c>
      <c r="E4081" s="24" t="inlineStr">
        <is>
          <t>个人消费信贷保证保险</t>
        </is>
      </c>
    </row>
    <row r="4082">
      <c r="B4082" s="24" t="inlineStr">
        <is>
          <t>InsuranceType</t>
        </is>
      </c>
      <c r="C4082" s="24" t="inlineStr">
        <is>
          <t>保险类型</t>
        </is>
      </c>
      <c r="D4082" s="24" t="inlineStr">
        <is>
          <t>18</t>
        </is>
      </c>
      <c r="E4082" s="24" t="inlineStr">
        <is>
          <t>财产一切险及盗窃险</t>
        </is>
      </c>
    </row>
    <row r="4083">
      <c r="B4083" s="24" t="inlineStr">
        <is>
          <t>InsuranceType</t>
        </is>
      </c>
      <c r="C4083" s="24" t="inlineStr">
        <is>
          <t>保险类型</t>
        </is>
      </c>
      <c r="D4083" s="24" t="inlineStr">
        <is>
          <t>19</t>
        </is>
      </c>
      <c r="E4083" s="24" t="inlineStr">
        <is>
          <t>全车盗抢险</t>
        </is>
      </c>
    </row>
    <row r="4084">
      <c r="B4084" s="24" t="inlineStr">
        <is>
          <t>InsuranceType</t>
        </is>
      </c>
      <c r="C4084" s="24" t="inlineStr">
        <is>
          <t>保险类型</t>
        </is>
      </c>
      <c r="D4084" s="24" t="inlineStr">
        <is>
          <t>2</t>
        </is>
      </c>
      <c r="E4084" s="24" t="inlineStr">
        <is>
          <t>家庭财产险</t>
        </is>
      </c>
    </row>
    <row r="4085">
      <c r="B4085" s="24" t="inlineStr">
        <is>
          <t>InsuranceType</t>
        </is>
      </c>
      <c r="C4085" s="24" t="inlineStr">
        <is>
          <t>保险类型</t>
        </is>
      </c>
      <c r="D4085" s="24" t="inlineStr">
        <is>
          <t>20</t>
        </is>
      </c>
      <c r="E4085" s="24" t="inlineStr">
        <is>
          <t>车辆损失险</t>
        </is>
      </c>
    </row>
    <row r="4086">
      <c r="B4086" s="24" t="inlineStr">
        <is>
          <t>InsuranceType</t>
        </is>
      </c>
      <c r="C4086" s="24" t="inlineStr">
        <is>
          <t>保险类型</t>
        </is>
      </c>
      <c r="D4086" s="24" t="inlineStr">
        <is>
          <t>3</t>
        </is>
      </c>
      <c r="E4086" s="24" t="inlineStr">
        <is>
          <t>个人抵押商品住房综合险</t>
        </is>
      </c>
    </row>
    <row r="4087">
      <c r="B4087" s="24" t="inlineStr">
        <is>
          <t>InsuranceType</t>
        </is>
      </c>
      <c r="C4087" s="24" t="inlineStr">
        <is>
          <t>保险类型</t>
        </is>
      </c>
      <c r="D4087" s="24" t="inlineStr">
        <is>
          <t>4</t>
        </is>
      </c>
      <c r="E4087" s="24" t="inlineStr">
        <is>
          <t>财产及地震险</t>
        </is>
      </c>
    </row>
    <row r="4088">
      <c r="B4088" s="24" t="inlineStr">
        <is>
          <t>InsuranceType</t>
        </is>
      </c>
      <c r="C4088" s="24" t="inlineStr">
        <is>
          <t>保险类型</t>
        </is>
      </c>
      <c r="D4088" s="24" t="inlineStr">
        <is>
          <t>5</t>
        </is>
      </c>
      <c r="E4088" s="24" t="inlineStr">
        <is>
          <t>财产及家庭财产险</t>
        </is>
      </c>
    </row>
    <row r="4089">
      <c r="B4089" s="24" t="inlineStr">
        <is>
          <t>InsuranceType</t>
        </is>
      </c>
      <c r="C4089" s="24" t="inlineStr">
        <is>
          <t>保险类型</t>
        </is>
      </c>
      <c r="D4089" s="24" t="inlineStr">
        <is>
          <t>6</t>
        </is>
      </c>
      <c r="E4089" s="24" t="inlineStr">
        <is>
          <t>财产及公众责任险</t>
        </is>
      </c>
    </row>
    <row r="4090">
      <c r="B4090" s="24" t="inlineStr">
        <is>
          <t>InsuranceType</t>
        </is>
      </c>
      <c r="C4090" s="24" t="inlineStr">
        <is>
          <t>保险类型</t>
        </is>
      </c>
      <c r="D4090" s="24" t="inlineStr">
        <is>
          <t>7</t>
        </is>
      </c>
      <c r="E4090" s="24" t="inlineStr">
        <is>
          <t>财产一切险</t>
        </is>
      </c>
    </row>
    <row r="4091">
      <c r="B4091" s="24" t="inlineStr">
        <is>
          <t>InsuranceType</t>
        </is>
      </c>
      <c r="C4091" s="24" t="inlineStr">
        <is>
          <t>保险类型</t>
        </is>
      </c>
      <c r="D4091" s="24" t="inlineStr">
        <is>
          <t>8</t>
        </is>
      </c>
      <c r="E4091" s="24" t="inlineStr">
        <is>
          <t>住房按揭险</t>
        </is>
      </c>
    </row>
    <row r="4092">
      <c r="B4092" s="24" t="inlineStr">
        <is>
          <t>InsuranceType</t>
        </is>
      </c>
      <c r="C4092" s="24" t="inlineStr">
        <is>
          <t>保险类型</t>
        </is>
      </c>
      <c r="D4092" s="24" t="inlineStr">
        <is>
          <t>9</t>
        </is>
      </c>
      <c r="E4092" s="24" t="inlineStr">
        <is>
          <t>财产,家庭财产及公众责任险</t>
        </is>
      </c>
    </row>
    <row r="4093">
      <c r="B4093" s="24" t="inlineStr">
        <is>
          <t>InsuranceType</t>
        </is>
      </c>
      <c r="C4093" s="24" t="inlineStr">
        <is>
          <t>保险类型</t>
        </is>
      </c>
      <c r="D4093" s="24" t="inlineStr">
        <is>
          <t>险种代码</t>
        </is>
      </c>
      <c r="E4093" s="24" t="inlineStr">
        <is>
          <t>险种中文描述</t>
        </is>
      </c>
    </row>
    <row r="4094" ht="15.95" customHeight="1" s="170">
      <c r="B4094" s="122" t="inlineStr">
        <is>
          <t>码值：ClassifyResult</t>
        </is>
      </c>
    </row>
    <row r="4095">
      <c r="B4095" s="24" t="inlineStr">
        <is>
          <t>ClassifyResult</t>
        </is>
      </c>
      <c r="C4095" s="24" t="inlineStr">
        <is>
          <t>五级分类</t>
        </is>
      </c>
      <c r="D4095" s="24" t="inlineStr">
        <is>
          <t>01</t>
        </is>
      </c>
      <c r="E4095" s="24" t="inlineStr">
        <is>
          <t>正常</t>
        </is>
      </c>
    </row>
    <row r="4096">
      <c r="B4096" s="24" t="inlineStr">
        <is>
          <t>ClassifyResult</t>
        </is>
      </c>
      <c r="C4096" s="24" t="inlineStr">
        <is>
          <t>五级分类</t>
        </is>
      </c>
      <c r="D4096" s="24" t="inlineStr">
        <is>
          <t>02</t>
        </is>
      </c>
      <c r="E4096" s="24" t="inlineStr">
        <is>
          <t>关注</t>
        </is>
      </c>
    </row>
    <row r="4097">
      <c r="B4097" s="24" t="inlineStr">
        <is>
          <t>ClassifyResult</t>
        </is>
      </c>
      <c r="C4097" s="24" t="inlineStr">
        <is>
          <t>五级分类</t>
        </is>
      </c>
      <c r="D4097" s="24" t="inlineStr">
        <is>
          <t>03</t>
        </is>
      </c>
      <c r="E4097" s="24" t="inlineStr">
        <is>
          <t>次级</t>
        </is>
      </c>
    </row>
    <row r="4098">
      <c r="B4098" s="24" t="inlineStr">
        <is>
          <t>ClassifyResult</t>
        </is>
      </c>
      <c r="C4098" s="24" t="inlineStr">
        <is>
          <t>五级分类</t>
        </is>
      </c>
      <c r="D4098" s="24" t="inlineStr">
        <is>
          <t>04</t>
        </is>
      </c>
      <c r="E4098" s="24" t="inlineStr">
        <is>
          <t>可疑</t>
        </is>
      </c>
    </row>
    <row r="4099">
      <c r="B4099" s="24" t="inlineStr">
        <is>
          <t>ClassifyResult</t>
        </is>
      </c>
      <c r="C4099" s="24" t="inlineStr">
        <is>
          <t>五级分类</t>
        </is>
      </c>
      <c r="D4099" s="24" t="inlineStr">
        <is>
          <t>05</t>
        </is>
      </c>
      <c r="E4099" s="24" t="inlineStr">
        <is>
          <t>损失</t>
        </is>
      </c>
    </row>
    <row r="4100" ht="15.95" customHeight="1" s="170">
      <c r="B4100" s="122" t="inlineStr">
        <is>
          <t>码值：FinanceCertType</t>
        </is>
      </c>
    </row>
    <row r="4101">
      <c r="B4101" s="24" t="inlineStr">
        <is>
          <t>FinanceCertType</t>
        </is>
      </c>
      <c r="C4101" s="24" t="inlineStr">
        <is>
          <t>同业客户类型</t>
        </is>
      </c>
      <c r="D4101" s="24" t="inlineStr">
        <is>
          <t>Fina01</t>
        </is>
      </c>
      <c r="E4101" s="24" t="inlineStr">
        <is>
          <t>统一社会信用代码</t>
        </is>
      </c>
    </row>
    <row r="4102">
      <c r="B4102" s="24" t="inlineStr">
        <is>
          <t>FinanceCertType</t>
        </is>
      </c>
      <c r="C4102" s="24" t="inlineStr">
        <is>
          <t>同业客户类型</t>
        </is>
      </c>
      <c r="D4102" s="24" t="inlineStr">
        <is>
          <t>Fina02</t>
        </is>
      </c>
      <c r="E4102" s="24" t="inlineStr">
        <is>
          <t>组织机构代码</t>
        </is>
      </c>
    </row>
    <row r="4103">
      <c r="B4103" s="24" t="inlineStr">
        <is>
          <t>FinanceCertType</t>
        </is>
      </c>
      <c r="C4103" s="24" t="inlineStr">
        <is>
          <t>同业客户类型</t>
        </is>
      </c>
      <c r="D4103" s="24" t="inlineStr">
        <is>
          <t>Fina03</t>
        </is>
      </c>
      <c r="E4103" s="24" t="inlineStr">
        <is>
          <t>SWIFT号码</t>
        </is>
      </c>
    </row>
    <row r="4104">
      <c r="B4104" s="24" t="inlineStr">
        <is>
          <t>FinanceCertType</t>
        </is>
      </c>
      <c r="C4104" s="24" t="inlineStr">
        <is>
          <t>同业客户类型</t>
        </is>
      </c>
      <c r="D4104" s="24" t="inlineStr">
        <is>
          <t>Fina04</t>
        </is>
      </c>
      <c r="E4104" s="24" t="inlineStr">
        <is>
          <t>外管编号</t>
        </is>
      </c>
    </row>
    <row r="4105">
      <c r="B4105" s="24" t="inlineStr">
        <is>
          <t>FinanceCertType</t>
        </is>
      </c>
      <c r="C4105" s="24" t="inlineStr">
        <is>
          <t>同业客户类型</t>
        </is>
      </c>
      <c r="D4105" s="24" t="inlineStr">
        <is>
          <t>Fina05</t>
        </is>
      </c>
      <c r="E4105" s="24" t="inlineStr">
        <is>
          <t>其他</t>
        </is>
      </c>
    </row>
    <row r="4106" ht="15.95" customHeight="1" s="170">
      <c r="B4106" s="122" t="inlineStr">
        <is>
          <t>码值：OffSheetFlag</t>
        </is>
      </c>
    </row>
    <row r="4107">
      <c r="B4107" s="24" t="inlineStr">
        <is>
          <t>OffSheetFlag</t>
        </is>
      </c>
      <c r="C4107" s="24" t="inlineStr">
        <is>
          <t>对公表内/对公表外/个人表内/个人表外</t>
        </is>
      </c>
      <c r="D4107" s="24" t="inlineStr">
        <is>
          <t>EntOff</t>
        </is>
      </c>
      <c r="E4107" s="24" t="inlineStr">
        <is>
          <t>对公表外</t>
        </is>
      </c>
    </row>
    <row r="4108">
      <c r="B4108" s="24" t="inlineStr">
        <is>
          <t>OffSheetFlag</t>
        </is>
      </c>
      <c r="C4108" s="24" t="inlineStr">
        <is>
          <t>对公表内/对公表外/个人表内/个人表外</t>
        </is>
      </c>
      <c r="D4108" s="24" t="inlineStr">
        <is>
          <t>EntOn</t>
        </is>
      </c>
      <c r="E4108" s="24" t="inlineStr">
        <is>
          <t>对公表内</t>
        </is>
      </c>
    </row>
    <row r="4109">
      <c r="B4109" s="24" t="inlineStr">
        <is>
          <t>OffSheetFlag</t>
        </is>
      </c>
      <c r="C4109" s="24" t="inlineStr">
        <is>
          <t>对公表内/对公表外/个人表内/个人表外</t>
        </is>
      </c>
      <c r="D4109" s="24" t="inlineStr">
        <is>
          <t>IndOff</t>
        </is>
      </c>
      <c r="E4109" s="24" t="inlineStr">
        <is>
          <t>个人表外</t>
        </is>
      </c>
    </row>
    <row r="4110">
      <c r="B4110" s="24" t="inlineStr">
        <is>
          <t>OffSheetFlag</t>
        </is>
      </c>
      <c r="C4110" s="24" t="inlineStr">
        <is>
          <t>对公表内/对公表外/个人表内/个人表外</t>
        </is>
      </c>
      <c r="D4110" s="24" t="inlineStr">
        <is>
          <t>IndOn</t>
        </is>
      </c>
      <c r="E4110" s="24" t="inlineStr">
        <is>
          <t>个人表内</t>
        </is>
      </c>
    </row>
    <row r="4111" ht="15.95" customHeight="1" s="170">
      <c r="B4111" s="122" t="inlineStr">
        <is>
          <t>码值：负债收入比</t>
        </is>
      </c>
    </row>
    <row r="4112">
      <c r="B4112" s="24" t="inlineStr">
        <is>
          <t>负债收入比</t>
        </is>
      </c>
      <c r="C4112" s="24" t="inlineStr">
        <is>
          <t>负债收入比</t>
        </is>
      </c>
      <c r="D4112" s="24" t="inlineStr">
        <is>
          <t>1</t>
        </is>
      </c>
      <c r="E4112" s="24" t="inlineStr">
        <is>
          <t>制造业≦10%/贸易行业≦4%/服务行业≦15%/其他≦4%</t>
        </is>
      </c>
    </row>
    <row r="4113">
      <c r="B4113" s="24" t="inlineStr">
        <is>
          <t>负债收入比</t>
        </is>
      </c>
      <c r="C4113" s="24" t="inlineStr">
        <is>
          <t>负债收入比</t>
        </is>
      </c>
      <c r="D4113" s="24" t="inlineStr">
        <is>
          <t>2</t>
        </is>
      </c>
      <c r="E4113" s="24" t="inlineStr">
        <is>
          <t>10%﹤制造业≦15%/4%﹤贸易行业≦6%/15%﹤服务行业≦25%/4%﹤其他≦6%</t>
        </is>
      </c>
    </row>
    <row r="4114">
      <c r="B4114" s="24" t="inlineStr">
        <is>
          <t>负债收入比</t>
        </is>
      </c>
      <c r="C4114" s="24" t="inlineStr">
        <is>
          <t>负债收入比</t>
        </is>
      </c>
      <c r="D4114" s="24" t="inlineStr">
        <is>
          <t>3</t>
        </is>
      </c>
      <c r="E4114" s="24" t="inlineStr">
        <is>
          <t>15%﹤制造业≦20%/6%﹤贸易行业≦8%/25%﹤服务行业≦40%/6%﹤其他≦8%</t>
        </is>
      </c>
    </row>
    <row r="4115">
      <c r="B4115" s="24" t="inlineStr">
        <is>
          <t>负债收入比</t>
        </is>
      </c>
      <c r="C4115" s="24" t="inlineStr">
        <is>
          <t>负债收入比</t>
        </is>
      </c>
      <c r="D4115" s="24" t="inlineStr">
        <is>
          <t>4</t>
        </is>
      </c>
      <c r="E4115" s="24" t="inlineStr">
        <is>
          <t>20%﹤制造业≦30%/8%﹤贸易行业≦12%/40%﹤服务行业≦60%/8%﹤其他≦12%</t>
        </is>
      </c>
    </row>
    <row r="4116">
      <c r="B4116" s="24" t="inlineStr">
        <is>
          <t>负债收入比</t>
        </is>
      </c>
      <c r="C4116" s="24" t="inlineStr">
        <is>
          <t>负债收入比</t>
        </is>
      </c>
      <c r="D4116" s="24" t="inlineStr">
        <is>
          <t>5</t>
        </is>
      </c>
      <c r="E4116" s="24" t="inlineStr">
        <is>
          <t>制造业﹥30%/贸易行业﹥12%/服务行业﹥60%/其他﹥12%</t>
        </is>
      </c>
    </row>
    <row r="4117" ht="15.95" customHeight="1" s="170">
      <c r="B4117" s="122" t="inlineStr">
        <is>
          <t>码值：贷款申请人年龄</t>
        </is>
      </c>
    </row>
    <row r="4118">
      <c r="B4118" s="24" t="inlineStr">
        <is>
          <t>贷款申请人年龄</t>
        </is>
      </c>
      <c r="C4118" s="24" t="inlineStr">
        <is>
          <t>贷款申请人年龄</t>
        </is>
      </c>
      <c r="D4118" s="24" t="inlineStr">
        <is>
          <t>1</t>
        </is>
      </c>
      <c r="E4118" s="24" t="inlineStr">
        <is>
          <t>22岁以下(含22岁),55岁以上</t>
        </is>
      </c>
    </row>
    <row r="4119">
      <c r="B4119" s="24" t="inlineStr">
        <is>
          <t>贷款申请人年龄</t>
        </is>
      </c>
      <c r="C4119" s="24" t="inlineStr">
        <is>
          <t>贷款申请人年龄</t>
        </is>
      </c>
      <c r="D4119" s="24" t="inlineStr">
        <is>
          <t>2</t>
        </is>
      </c>
      <c r="E4119" s="24" t="inlineStr">
        <is>
          <t>22岁－25岁(含25岁),50岁－55岁(含55岁)</t>
        </is>
      </c>
    </row>
    <row r="4120">
      <c r="B4120" s="24" t="inlineStr">
        <is>
          <t>贷款申请人年龄</t>
        </is>
      </c>
      <c r="C4120" s="24" t="inlineStr">
        <is>
          <t>贷款申请人年龄</t>
        </is>
      </c>
      <c r="D4120" s="24" t="inlineStr">
        <is>
          <t>3</t>
        </is>
      </c>
      <c r="E4120" s="24" t="inlineStr">
        <is>
          <t>25岁－30岁(含30岁),45岁－50岁(含50岁)</t>
        </is>
      </c>
    </row>
    <row r="4121">
      <c r="B4121" s="24" t="inlineStr">
        <is>
          <t>贷款申请人年龄</t>
        </is>
      </c>
      <c r="C4121" s="24" t="inlineStr">
        <is>
          <t>贷款申请人年龄</t>
        </is>
      </c>
      <c r="D4121" s="24" t="inlineStr">
        <is>
          <t>4</t>
        </is>
      </c>
      <c r="E4121" s="24" t="inlineStr">
        <is>
          <t>30岁－35岁(含35岁)</t>
        </is>
      </c>
    </row>
    <row r="4122">
      <c r="B4122" s="24" t="inlineStr">
        <is>
          <t>贷款申请人年龄</t>
        </is>
      </c>
      <c r="C4122" s="24" t="inlineStr">
        <is>
          <t>贷款申请人年龄</t>
        </is>
      </c>
      <c r="D4122" s="24" t="inlineStr">
        <is>
          <t>5</t>
        </is>
      </c>
      <c r="E4122" s="24" t="inlineStr">
        <is>
          <t xml:space="preserve">35岁－45岁(含45岁) </t>
        </is>
      </c>
    </row>
    <row r="4123" ht="15.95" customHeight="1" s="170">
      <c r="B4123" s="122" t="inlineStr">
        <is>
          <t>码值：AppraisalApplyType</t>
        </is>
      </c>
    </row>
    <row r="4124">
      <c r="B4124" s="24" t="inlineStr">
        <is>
          <t>AppraisalApplyType</t>
        </is>
      </c>
      <c r="C4124" s="24" t="inlineStr">
        <is>
          <t>评估机构申请类型</t>
        </is>
      </c>
      <c r="D4124" s="24" t="inlineStr">
        <is>
          <t>AgencyAccessApply</t>
        </is>
      </c>
      <c r="E4124" s="24" t="inlineStr">
        <is>
          <t>准入申请</t>
        </is>
      </c>
    </row>
    <row r="4125">
      <c r="B4125" s="24" t="inlineStr">
        <is>
          <t>AppraisalApplyType</t>
        </is>
      </c>
      <c r="C4125" s="24" t="inlineStr">
        <is>
          <t>评估机构申请类型</t>
        </is>
      </c>
      <c r="D4125" s="24" t="inlineStr">
        <is>
          <t>AgencyAlertApply</t>
        </is>
      </c>
      <c r="E4125" s="24" t="inlineStr">
        <is>
          <t>警示信息申请</t>
        </is>
      </c>
    </row>
    <row r="4126">
      <c r="B4126" s="24" t="inlineStr">
        <is>
          <t>AppraisalApplyType</t>
        </is>
      </c>
      <c r="C4126" s="24" t="inlineStr">
        <is>
          <t>评估机构申请类型</t>
        </is>
      </c>
      <c r="D4126" s="24" t="inlineStr">
        <is>
          <t>AgencyBlackApply</t>
        </is>
      </c>
      <c r="E4126" s="24" t="inlineStr">
        <is>
          <t>黑名单信息申请</t>
        </is>
      </c>
    </row>
    <row r="4127">
      <c r="B4127" s="24" t="inlineStr">
        <is>
          <t>AppraisalApplyType</t>
        </is>
      </c>
      <c r="C4127" s="24" t="inlineStr">
        <is>
          <t>评估机构申请类型</t>
        </is>
      </c>
      <c r="D4127" s="24" t="inlineStr">
        <is>
          <t>AgencyEvaluateApply</t>
        </is>
      </c>
      <c r="E4127" s="24" t="inlineStr">
        <is>
          <t>评价调查申请</t>
        </is>
      </c>
    </row>
    <row r="4128">
      <c r="B4128" s="24" t="inlineStr">
        <is>
          <t>AppraisalApplyType</t>
        </is>
      </c>
      <c r="C4128" s="24" t="inlineStr">
        <is>
          <t>评估机构申请类型</t>
        </is>
      </c>
      <c r="D4128" s="24" t="inlineStr">
        <is>
          <t>AgencyExaminedApply</t>
        </is>
      </c>
      <c r="E4128" s="24" t="inlineStr">
        <is>
          <t>年审申请</t>
        </is>
      </c>
    </row>
    <row r="4129">
      <c r="B4129" s="24" t="inlineStr">
        <is>
          <t>AppraisalApplyType</t>
        </is>
      </c>
      <c r="C4129" s="24" t="inlineStr">
        <is>
          <t>评估机构申请类型</t>
        </is>
      </c>
      <c r="D4129" s="24" t="inlineStr">
        <is>
          <t>AgencyExitApply</t>
        </is>
      </c>
      <c r="E4129" s="24" t="inlineStr">
        <is>
          <t>退出申请</t>
        </is>
      </c>
    </row>
    <row r="4130">
      <c r="B4130" s="24" t="inlineStr">
        <is>
          <t>AppraisalApplyType</t>
        </is>
      </c>
      <c r="C4130" s="24" t="inlineStr">
        <is>
          <t>评估机构申请类型</t>
        </is>
      </c>
      <c r="D4130" s="24" t="inlineStr">
        <is>
          <t>AgencyRelieveAlertApply</t>
        </is>
      </c>
      <c r="E4130" s="24" t="inlineStr">
        <is>
          <t>警示信息解除申请</t>
        </is>
      </c>
    </row>
    <row r="4131">
      <c r="B4131" s="24" t="inlineStr">
        <is>
          <t>AppraisalApplyType</t>
        </is>
      </c>
      <c r="C4131" s="24" t="inlineStr">
        <is>
          <t>评估机构申请类型</t>
        </is>
      </c>
      <c r="D4131" s="24" t="inlineStr">
        <is>
          <t>AgencyRelieveBlackApply</t>
        </is>
      </c>
      <c r="E4131" s="24" t="inlineStr">
        <is>
          <t>黑名单信息解除申请</t>
        </is>
      </c>
    </row>
    <row r="4132" ht="15.95" customHeight="1" s="170">
      <c r="B4132" s="122" t="inlineStr">
        <is>
          <t>码值：AppraisalAssessType</t>
        </is>
      </c>
    </row>
    <row r="4133">
      <c r="B4133" s="24" t="inlineStr">
        <is>
          <t>AppraisalAssessType</t>
        </is>
      </c>
      <c r="C4133" s="24" t="inlineStr">
        <is>
          <t>评分码值</t>
        </is>
      </c>
      <c r="D4133" s="24" t="inlineStr">
        <is>
          <t>10</t>
        </is>
      </c>
      <c r="E4133" s="24" t="inlineStr">
        <is>
          <t>最高</t>
        </is>
      </c>
    </row>
    <row r="4134">
      <c r="B4134" s="24" t="inlineStr">
        <is>
          <t>AppraisalAssessType</t>
        </is>
      </c>
      <c r="C4134" s="24" t="inlineStr">
        <is>
          <t>评分码值</t>
        </is>
      </c>
      <c r="D4134" s="24" t="inlineStr">
        <is>
          <t>20</t>
        </is>
      </c>
      <c r="E4134" s="24" t="inlineStr">
        <is>
          <t>次之</t>
        </is>
      </c>
    </row>
    <row r="4135">
      <c r="B4135" s="24" t="inlineStr">
        <is>
          <t>AppraisalAssessType</t>
        </is>
      </c>
      <c r="C4135" s="24" t="inlineStr">
        <is>
          <t>评分码值</t>
        </is>
      </c>
      <c r="D4135" s="24" t="inlineStr">
        <is>
          <t>30</t>
        </is>
      </c>
      <c r="E4135" s="24" t="inlineStr">
        <is>
          <t>最末</t>
        </is>
      </c>
    </row>
    <row r="4136" ht="15.95" customHeight="1" s="170">
      <c r="B4136" s="122" t="inlineStr">
        <is>
          <t>码值：ProfessionalLife</t>
        </is>
      </c>
    </row>
    <row r="4137">
      <c r="B4137" s="24" t="inlineStr">
        <is>
          <t>ProfessionalLife</t>
        </is>
      </c>
      <c r="C4137" s="24" t="inlineStr">
        <is>
          <t>信用等级评估统一导入</t>
        </is>
      </c>
      <c r="D4137" s="24" t="inlineStr">
        <is>
          <t>01</t>
        </is>
      </c>
      <c r="E4137" s="24" t="inlineStr">
        <is>
          <t>1年以下(含1年)</t>
        </is>
      </c>
    </row>
    <row r="4138">
      <c r="B4138" s="24" t="inlineStr">
        <is>
          <t>ProfessionalLife</t>
        </is>
      </c>
      <c r="C4138" s="24" t="inlineStr">
        <is>
          <t>信用等级评估统一导入</t>
        </is>
      </c>
      <c r="D4138" s="24" t="inlineStr">
        <is>
          <t>02</t>
        </is>
      </c>
      <c r="E4138" s="24" t="inlineStr">
        <is>
          <t>1年以上－3年(含3年)</t>
        </is>
      </c>
    </row>
    <row r="4139">
      <c r="B4139" s="24" t="inlineStr">
        <is>
          <t>ProfessionalLife</t>
        </is>
      </c>
      <c r="C4139" s="24" t="inlineStr">
        <is>
          <t>信用等级评估统一导入</t>
        </is>
      </c>
      <c r="D4139" s="24" t="inlineStr">
        <is>
          <t>03</t>
        </is>
      </c>
      <c r="E4139" s="24" t="inlineStr">
        <is>
          <t>3年以上－5年(含5年)</t>
        </is>
      </c>
    </row>
    <row r="4140">
      <c r="B4140" s="24" t="inlineStr">
        <is>
          <t>ProfessionalLife</t>
        </is>
      </c>
      <c r="C4140" s="24" t="inlineStr">
        <is>
          <t>信用等级评估统一导入</t>
        </is>
      </c>
      <c r="D4140" s="24" t="inlineStr">
        <is>
          <t>04</t>
        </is>
      </c>
      <c r="E4140" s="24" t="inlineStr">
        <is>
          <t>5年以上－10年(含10年)</t>
        </is>
      </c>
    </row>
    <row r="4141">
      <c r="B4141" s="24" t="inlineStr">
        <is>
          <t>ProfessionalLife</t>
        </is>
      </c>
      <c r="C4141" s="24" t="inlineStr">
        <is>
          <t>信用等级评估统一导入</t>
        </is>
      </c>
      <c r="D4141" s="24" t="inlineStr">
        <is>
          <t>05</t>
        </is>
      </c>
      <c r="E4141" s="24" t="inlineStr">
        <is>
          <t>10年以上</t>
        </is>
      </c>
    </row>
    <row r="4142" ht="15.95" customHeight="1" s="170">
      <c r="B4142" s="122" t="inlineStr">
        <is>
          <t>码值：AcctLoanView</t>
        </is>
      </c>
    </row>
    <row r="4143">
      <c r="B4143" s="24" t="inlineStr">
        <is>
          <t>AcctLoanView</t>
        </is>
      </c>
      <c r="C4143" s="24" t="inlineStr">
        <is>
          <t>表内贷款账号信息树图</t>
        </is>
      </c>
      <c r="D4143" s="24" t="inlineStr">
        <is>
          <t>010</t>
        </is>
      </c>
      <c r="E4143" s="24" t="inlineStr">
        <is>
          <t>借据基本信息</t>
        </is>
      </c>
    </row>
    <row r="4144">
      <c r="B4144" s="24" t="inlineStr">
        <is>
          <t>AcctLoanView</t>
        </is>
      </c>
      <c r="C4144" s="24" t="inlineStr">
        <is>
          <t>表内贷款账号信息树图</t>
        </is>
      </c>
      <c r="D4144" s="24" t="inlineStr">
        <is>
          <t>020</t>
        </is>
      </c>
      <c r="E4144" s="24" t="inlineStr">
        <is>
          <t>还款信息</t>
        </is>
      </c>
    </row>
    <row r="4145">
      <c r="B4145" s="24" t="inlineStr">
        <is>
          <t>AcctLoanView</t>
        </is>
      </c>
      <c r="C4145" s="24" t="inlineStr">
        <is>
          <t>表内贷款账号信息树图</t>
        </is>
      </c>
      <c r="D4145" s="24" t="inlineStr">
        <is>
          <t>030</t>
        </is>
      </c>
      <c r="E4145" s="24" t="inlineStr">
        <is>
          <t>利率信息</t>
        </is>
      </c>
    </row>
    <row r="4146">
      <c r="B4146" s="24" t="inlineStr">
        <is>
          <t>AcctLoanView</t>
        </is>
      </c>
      <c r="C4146" s="24" t="inlineStr">
        <is>
          <t>表内贷款账号信息树图</t>
        </is>
      </c>
      <c r="D4146" s="24" t="inlineStr">
        <is>
          <t>040</t>
        </is>
      </c>
      <c r="E4146" s="24" t="inlineStr">
        <is>
          <t>罚息信息</t>
        </is>
      </c>
    </row>
    <row r="4147">
      <c r="B4147" s="24" t="inlineStr">
        <is>
          <t>AcctLoanView</t>
        </is>
      </c>
      <c r="C4147" s="24" t="inlineStr">
        <is>
          <t>表内贷款账号信息树图</t>
        </is>
      </c>
      <c r="D4147" s="24" t="inlineStr">
        <is>
          <t>050</t>
        </is>
      </c>
      <c r="E4147" s="24" t="inlineStr">
        <is>
          <t>账户信息</t>
        </is>
      </c>
    </row>
    <row r="4148">
      <c r="B4148" s="24" t="inlineStr">
        <is>
          <t>AcctLoanView</t>
        </is>
      </c>
      <c r="C4148" s="24" t="inlineStr">
        <is>
          <t>表内贷款账号信息树图</t>
        </is>
      </c>
      <c r="D4148" s="24" t="inlineStr">
        <is>
          <t>060</t>
        </is>
      </c>
      <c r="E4148" s="24" t="inlineStr">
        <is>
          <t>还款计划</t>
        </is>
      </c>
    </row>
    <row r="4149">
      <c r="B4149" s="24" t="inlineStr">
        <is>
          <t>AcctLoanView</t>
        </is>
      </c>
      <c r="C4149" s="24" t="inlineStr">
        <is>
          <t>表内贷款账号信息树图</t>
        </is>
      </c>
      <c r="D4149" s="24" t="inlineStr">
        <is>
          <t>070</t>
        </is>
      </c>
      <c r="E4149" s="24" t="inlineStr">
        <is>
          <t>利润分配信息</t>
        </is>
      </c>
    </row>
    <row r="4150">
      <c r="B4150" s="24" t="inlineStr">
        <is>
          <t>AcctLoanView</t>
        </is>
      </c>
      <c r="C4150" s="24" t="inlineStr">
        <is>
          <t>表内贷款账号信息树图</t>
        </is>
      </c>
      <c r="D4150" s="24" t="inlineStr">
        <is>
          <t>080</t>
        </is>
      </c>
      <c r="E4150" s="24" t="inlineStr">
        <is>
          <t>还款记录</t>
        </is>
      </c>
    </row>
    <row r="4151">
      <c r="B4151" s="24" t="inlineStr">
        <is>
          <t>AcctLoanView</t>
        </is>
      </c>
      <c r="C4151" s="24" t="inlineStr">
        <is>
          <t>表内贷款账号信息树图</t>
        </is>
      </c>
      <c r="D4151" s="24" t="inlineStr">
        <is>
          <t>090</t>
        </is>
      </c>
      <c r="E4151" s="24" t="inlineStr">
        <is>
          <t>交易记录</t>
        </is>
      </c>
    </row>
    <row r="4152">
      <c r="B4152" s="24" t="inlineStr">
        <is>
          <t>AcctLoanView</t>
        </is>
      </c>
      <c r="C4152" s="24" t="inlineStr">
        <is>
          <t>表内贷款账号信息树图</t>
        </is>
      </c>
      <c r="D4152" s="24" t="inlineStr">
        <is>
          <t>100</t>
        </is>
      </c>
      <c r="E4152" s="24" t="inlineStr">
        <is>
          <t>分账信息</t>
        </is>
      </c>
    </row>
    <row r="4153">
      <c r="B4153" s="24" t="inlineStr">
        <is>
          <t>AcctLoanView</t>
        </is>
      </c>
      <c r="C4153" s="24" t="inlineStr">
        <is>
          <t>表内贷款账号信息树图</t>
        </is>
      </c>
      <c r="D4153" s="24" t="inlineStr">
        <is>
          <t>110</t>
        </is>
      </c>
      <c r="E4153" s="24" t="inlineStr">
        <is>
          <t>计息信息</t>
        </is>
      </c>
    </row>
    <row r="4154" ht="15.95" customHeight="1" s="170">
      <c r="B4154" s="122" t="inlineStr">
        <is>
          <t>码值：OccupyRole</t>
        </is>
      </c>
    </row>
    <row r="4155">
      <c r="B4155" s="24" t="inlineStr">
        <is>
          <t>OccupyRole</t>
        </is>
      </c>
      <c r="C4155" s="24" t="inlineStr">
        <is>
          <t>占有角色</t>
        </is>
      </c>
      <c r="D4155" s="24" t="inlineStr">
        <is>
          <t>BelongGroup</t>
        </is>
      </c>
      <c r="E4155" s="24" t="inlineStr">
        <is>
          <t>所属集团</t>
        </is>
      </c>
    </row>
    <row r="4156">
      <c r="B4156" s="24" t="inlineStr">
        <is>
          <t>OccupyRole</t>
        </is>
      </c>
      <c r="C4156" s="24" t="inlineStr">
        <is>
          <t>占有角色</t>
        </is>
      </c>
      <c r="D4156" s="24" t="inlineStr">
        <is>
          <t>CarDealers</t>
        </is>
      </c>
      <c r="E4156" s="24" t="inlineStr">
        <is>
          <t>汽车经销商</t>
        </is>
      </c>
    </row>
    <row r="4157">
      <c r="B4157" s="24" t="inlineStr">
        <is>
          <t>OccupyRole</t>
        </is>
      </c>
      <c r="C4157" s="24" t="inlineStr">
        <is>
          <t>占有角色</t>
        </is>
      </c>
      <c r="D4157" s="24" t="inlineStr">
        <is>
          <t>CommerialTicketAcceptor</t>
        </is>
      </c>
      <c r="E4157" s="24" t="inlineStr">
        <is>
          <t>商票承兑人</t>
        </is>
      </c>
    </row>
    <row r="4158">
      <c r="B4158" s="24" t="inlineStr">
        <is>
          <t>OccupyRole</t>
        </is>
      </c>
      <c r="C4158" s="24" t="inlineStr">
        <is>
          <t>占有角色</t>
        </is>
      </c>
      <c r="D4158" s="24" t="inlineStr">
        <is>
          <t>Developers</t>
        </is>
      </c>
      <c r="E4158" s="24" t="inlineStr">
        <is>
          <t xml:space="preserve">开发商 </t>
        </is>
      </c>
    </row>
    <row r="4159">
      <c r="B4159" s="24" t="inlineStr">
        <is>
          <t>OccupyRole</t>
        </is>
      </c>
      <c r="C4159" s="24" t="inlineStr">
        <is>
          <t>占有角色</t>
        </is>
      </c>
      <c r="D4159" s="24" t="inlineStr">
        <is>
          <t>GuaranteeCompany</t>
        </is>
      </c>
      <c r="E4159" s="24" t="inlineStr">
        <is>
          <t xml:space="preserve">担保公司 </t>
        </is>
      </c>
    </row>
    <row r="4160">
      <c r="B4160" s="24" t="inlineStr">
        <is>
          <t>OccupyRole</t>
        </is>
      </c>
      <c r="C4160" s="24" t="inlineStr">
        <is>
          <t>占有角色</t>
        </is>
      </c>
      <c r="D4160" s="24" t="inlineStr">
        <is>
          <t>LetterOfCreditIssuingBank</t>
        </is>
      </c>
      <c r="E4160" s="24" t="inlineStr">
        <is>
          <t>信用证开证行</t>
        </is>
      </c>
    </row>
    <row r="4161">
      <c r="B4161" s="24" t="inlineStr">
        <is>
          <t>OccupyRole</t>
        </is>
      </c>
      <c r="C4161" s="24" t="inlineStr">
        <is>
          <t>占有角色</t>
        </is>
      </c>
      <c r="D4161" s="24" t="inlineStr">
        <is>
          <t>ReceivablesPayer</t>
        </is>
      </c>
      <c r="E4161" s="24" t="inlineStr">
        <is>
          <t>应收账款支付方</t>
        </is>
      </c>
    </row>
    <row r="4162">
      <c r="B4162" s="24" t="inlineStr">
        <is>
          <t>OccupyRole</t>
        </is>
      </c>
      <c r="C4162" s="24" t="inlineStr">
        <is>
          <t>占有角色</t>
        </is>
      </c>
      <c r="D4162" s="24" t="inlineStr">
        <is>
          <t>SilverAcceptanceBank</t>
        </is>
      </c>
      <c r="E4162" s="24" t="inlineStr">
        <is>
          <t>银票承兑行</t>
        </is>
      </c>
    </row>
    <row r="4163">
      <c r="B4163" s="24" t="inlineStr">
        <is>
          <t>OccupyRole</t>
        </is>
      </c>
      <c r="C4163" s="24" t="inlineStr">
        <is>
          <t>占有角色</t>
        </is>
      </c>
      <c r="D4163" s="24" t="inlineStr">
        <is>
          <t>TransactionObject</t>
        </is>
      </c>
      <c r="E4163" s="24" t="inlineStr">
        <is>
          <t>交易对象</t>
        </is>
      </c>
    </row>
    <row r="4164" ht="15.95" customHeight="1" s="170">
      <c r="B4164" s="122" t="inlineStr">
        <is>
          <t>码值：职业或工作种类</t>
        </is>
      </c>
    </row>
    <row r="4165">
      <c r="B4165" s="24" t="inlineStr">
        <is>
          <t>职业或工作种类</t>
        </is>
      </c>
      <c r="C4165" s="24" t="inlineStr">
        <is>
          <t>职业或工作种类</t>
        </is>
      </c>
      <c r="D4165" s="24" t="inlineStr">
        <is>
          <t>1</t>
        </is>
      </c>
      <c r="E4165" s="24" t="inlineStr">
        <is>
          <t>国家公务员,职业律师,职业会计师,评估师,精算师</t>
        </is>
      </c>
    </row>
    <row r="4166">
      <c r="B4166" s="24" t="inlineStr">
        <is>
          <t>职业或工作种类</t>
        </is>
      </c>
      <c r="C4166" s="24" t="inlineStr">
        <is>
          <t>职业或工作种类</t>
        </is>
      </c>
      <c r="D4166" s="24" t="inlineStr">
        <is>
          <t>2</t>
        </is>
      </c>
      <c r="E4166" s="24" t="inlineStr">
        <is>
          <t>国有独资垄断性企业(电信,水电气供应公司),金融业从业人员</t>
        </is>
      </c>
    </row>
    <row r="4167">
      <c r="B4167" s="24" t="inlineStr">
        <is>
          <t>职业或工作种类</t>
        </is>
      </c>
      <c r="C4167" s="24" t="inlineStr">
        <is>
          <t>职业或工作种类</t>
        </is>
      </c>
      <c r="D4167" s="24" t="inlineStr">
        <is>
          <t>3</t>
        </is>
      </c>
      <c r="E4167" s="24" t="inlineStr">
        <is>
          <t>大中型企业管理人员</t>
        </is>
      </c>
    </row>
    <row r="4168">
      <c r="B4168" s="24" t="inlineStr">
        <is>
          <t>职业或工作种类</t>
        </is>
      </c>
      <c r="C4168" s="24" t="inlineStr">
        <is>
          <t>职业或工作种类</t>
        </is>
      </c>
      <c r="D4168" s="24" t="inlineStr">
        <is>
          <t>4</t>
        </is>
      </c>
      <c r="E4168" s="24" t="inlineStr">
        <is>
          <t>大中型企业技术人员</t>
        </is>
      </c>
    </row>
    <row r="4169">
      <c r="B4169" s="24" t="inlineStr">
        <is>
          <t>职业或工作种类</t>
        </is>
      </c>
      <c r="C4169" s="24" t="inlineStr">
        <is>
          <t>职业或工作种类</t>
        </is>
      </c>
      <c r="D4169" s="24" t="inlineStr">
        <is>
          <t>5</t>
        </is>
      </c>
      <c r="E4169" s="24" t="inlineStr">
        <is>
          <t>其它</t>
        </is>
      </c>
    </row>
    <row r="4170" ht="15.95" customHeight="1" s="170">
      <c r="B4170" s="122" t="inlineStr">
        <is>
          <t>码值：ClrInfoView</t>
        </is>
      </c>
    </row>
    <row r="4171">
      <c r="B4171" s="24" t="inlineStr">
        <is>
          <t>ClrInfoView</t>
        </is>
      </c>
      <c r="C4171" s="24" t="inlineStr">
        <is>
          <t>押品详情树图</t>
        </is>
      </c>
      <c r="D4171" s="24" t="inlineStr">
        <is>
          <t>010</t>
        </is>
      </c>
      <c r="E4171" s="24" t="inlineStr">
        <is>
          <t>押品基本信息</t>
        </is>
      </c>
    </row>
    <row r="4172">
      <c r="B4172" s="24" t="inlineStr">
        <is>
          <t>ClrInfoView</t>
        </is>
      </c>
      <c r="C4172" s="24" t="inlineStr">
        <is>
          <t>押品详情树图</t>
        </is>
      </c>
      <c r="D4172" s="24" t="inlineStr">
        <is>
          <t>010010</t>
        </is>
      </c>
      <c r="E4172" s="24" t="inlineStr">
        <is>
          <t>基本信息</t>
        </is>
      </c>
    </row>
    <row r="4173">
      <c r="B4173" s="24" t="inlineStr">
        <is>
          <t>ClrInfoView</t>
        </is>
      </c>
      <c r="C4173" s="24" t="inlineStr">
        <is>
          <t>押品详情树图</t>
        </is>
      </c>
      <c r="D4173" s="24" t="inlineStr">
        <is>
          <t>010020</t>
        </is>
      </c>
      <c r="E4173" s="24" t="inlineStr">
        <is>
          <t>权属人信息</t>
        </is>
      </c>
    </row>
    <row r="4174">
      <c r="B4174" s="24" t="inlineStr">
        <is>
          <t>ClrInfoView</t>
        </is>
      </c>
      <c r="C4174" s="24" t="inlineStr">
        <is>
          <t>押品详情树图</t>
        </is>
      </c>
      <c r="D4174" s="24" t="inlineStr">
        <is>
          <t>010030</t>
        </is>
      </c>
      <c r="E4174" s="24" t="inlineStr">
        <is>
          <t>保险信息</t>
        </is>
      </c>
    </row>
    <row r="4175">
      <c r="B4175" s="24" t="inlineStr">
        <is>
          <t>ClrInfoView</t>
        </is>
      </c>
      <c r="C4175" s="24" t="inlineStr">
        <is>
          <t>押品详情树图</t>
        </is>
      </c>
      <c r="D4175" s="24" t="inlineStr">
        <is>
          <t>010040</t>
        </is>
      </c>
      <c r="E4175" s="24" t="inlineStr">
        <is>
          <t>合格性信息</t>
        </is>
      </c>
    </row>
    <row r="4176">
      <c r="B4176" s="24" t="inlineStr">
        <is>
          <t>ClrInfoView</t>
        </is>
      </c>
      <c r="C4176" s="24" t="inlineStr">
        <is>
          <t>押品详情树图</t>
        </is>
      </c>
      <c r="D4176" s="24" t="inlineStr">
        <is>
          <t>020</t>
        </is>
      </c>
      <c r="E4176" s="24" t="inlineStr">
        <is>
          <t>价值信息</t>
        </is>
      </c>
    </row>
    <row r="4177">
      <c r="B4177" s="24" t="inlineStr">
        <is>
          <t>ClrInfoView</t>
        </is>
      </c>
      <c r="C4177" s="24" t="inlineStr">
        <is>
          <t>押品详情树图</t>
        </is>
      </c>
      <c r="D4177" s="24" t="inlineStr">
        <is>
          <t>030</t>
        </is>
      </c>
      <c r="E4177" s="24" t="inlineStr">
        <is>
          <t>关联信息</t>
        </is>
      </c>
    </row>
    <row r="4178">
      <c r="B4178" s="24" t="inlineStr">
        <is>
          <t>ClrInfoView</t>
        </is>
      </c>
      <c r="C4178" s="24" t="inlineStr">
        <is>
          <t>押品详情树图</t>
        </is>
      </c>
      <c r="D4178" s="24" t="inlineStr">
        <is>
          <t>030010</t>
        </is>
      </c>
      <c r="E4178" s="24" t="inlineStr">
        <is>
          <t>关联担保信息</t>
        </is>
      </c>
    </row>
    <row r="4179">
      <c r="B4179" s="24" t="inlineStr">
        <is>
          <t>ClrInfoView</t>
        </is>
      </c>
      <c r="C4179" s="24" t="inlineStr">
        <is>
          <t>押品详情树图</t>
        </is>
      </c>
      <c r="D4179" s="24" t="inlineStr">
        <is>
          <t>030020</t>
        </is>
      </c>
      <c r="E4179" s="24" t="inlineStr">
        <is>
          <t>关联业务信息</t>
        </is>
      </c>
    </row>
    <row r="4180">
      <c r="B4180" s="24" t="inlineStr">
        <is>
          <t>ClrInfoView</t>
        </is>
      </c>
      <c r="C4180" s="24" t="inlineStr">
        <is>
          <t>押品详情树图</t>
        </is>
      </c>
      <c r="D4180" s="24" t="inlineStr">
        <is>
          <t>040</t>
        </is>
      </c>
      <c r="E4180" s="24" t="inlineStr">
        <is>
          <t>押品处置信息</t>
        </is>
      </c>
    </row>
    <row r="4181" ht="15.95" customHeight="1" s="170">
      <c r="B4181" s="122" t="inlineStr">
        <is>
          <t>码值：CLUseRule</t>
        </is>
      </c>
    </row>
    <row r="4182">
      <c r="B4182" s="24" t="inlineStr">
        <is>
          <t>CLUseRule</t>
        </is>
      </c>
      <c r="C4182" s="24" t="inlineStr">
        <is>
          <t>串用规则</t>
        </is>
      </c>
      <c r="D4182" s="24" t="inlineStr">
        <is>
          <t>10</t>
        </is>
      </c>
      <c r="E4182" s="24" t="inlineStr">
        <is>
          <t>不共享</t>
        </is>
      </c>
    </row>
    <row r="4183">
      <c r="B4183" s="24" t="inlineStr">
        <is>
          <t>CLUseRule</t>
        </is>
      </c>
      <c r="C4183" s="24" t="inlineStr">
        <is>
          <t>串用规则</t>
        </is>
      </c>
      <c r="D4183" s="24" t="inlineStr">
        <is>
          <t>20</t>
        </is>
      </c>
      <c r="E4183" s="24" t="inlineStr">
        <is>
          <t>串用共享</t>
        </is>
      </c>
    </row>
    <row r="4184">
      <c r="B4184" s="24" t="inlineStr">
        <is>
          <t>CLUseRule</t>
        </is>
      </c>
      <c r="C4184" s="24" t="inlineStr">
        <is>
          <t>串用规则</t>
        </is>
      </c>
      <c r="D4184" s="24" t="inlineStr">
        <is>
          <t>30</t>
        </is>
      </c>
      <c r="E4184" s="24" t="inlineStr">
        <is>
          <t>超额共享</t>
        </is>
      </c>
    </row>
    <row r="4185" ht="15.95" customHeight="1" s="170">
      <c r="B4185" s="122" t="inlineStr">
        <is>
          <t>码值：ReportType</t>
        </is>
      </c>
    </row>
    <row r="4186">
      <c r="B4186" s="24" t="inlineStr">
        <is>
          <t>ReportType</t>
        </is>
      </c>
      <c r="C4186" s="24" t="inlineStr">
        <is>
          <t>报告类型</t>
        </is>
      </c>
      <c r="D4186" s="24" t="inlineStr">
        <is>
          <t>ECR</t>
        </is>
      </c>
      <c r="E4186" s="24" t="inlineStr">
        <is>
          <t>对公征信报告</t>
        </is>
      </c>
    </row>
    <row r="4187">
      <c r="B4187" s="24" t="inlineStr">
        <is>
          <t>ReportType</t>
        </is>
      </c>
      <c r="C4187" s="24" t="inlineStr">
        <is>
          <t>报告类型</t>
        </is>
      </c>
      <c r="D4187" s="24" t="inlineStr">
        <is>
          <t>ICR</t>
        </is>
      </c>
      <c r="E4187" s="24" t="inlineStr">
        <is>
          <t>个人征信报告</t>
        </is>
      </c>
    </row>
    <row r="4188" ht="15.95" customHeight="1" s="170">
      <c r="B4188" s="122" t="inlineStr">
        <is>
          <t>码值：全国市场占有率</t>
        </is>
      </c>
    </row>
    <row r="4189">
      <c r="B4189" s="24" t="inlineStr">
        <is>
          <t>全国市场占有率</t>
        </is>
      </c>
      <c r="C4189" s="24" t="inlineStr">
        <is>
          <t>全国市场占有率</t>
        </is>
      </c>
      <c r="D4189" s="24" t="inlineStr">
        <is>
          <t>1</t>
        </is>
      </c>
      <c r="E4189" s="24" t="inlineStr">
        <is>
          <t>20%以上</t>
        </is>
      </c>
    </row>
    <row r="4190">
      <c r="B4190" s="24" t="inlineStr">
        <is>
          <t>全国市场占有率</t>
        </is>
      </c>
      <c r="C4190" s="24" t="inlineStr">
        <is>
          <t>全国市场占有率</t>
        </is>
      </c>
      <c r="D4190" s="24" t="inlineStr">
        <is>
          <t>2</t>
        </is>
      </c>
      <c r="E4190" s="24" t="inlineStr">
        <is>
          <t>5%以上(含5%)</t>
        </is>
      </c>
    </row>
    <row r="4191">
      <c r="B4191" s="24" t="inlineStr">
        <is>
          <t>全国市场占有率</t>
        </is>
      </c>
      <c r="C4191" s="24" t="inlineStr">
        <is>
          <t>全国市场占有率</t>
        </is>
      </c>
      <c r="D4191" s="24" t="inlineStr">
        <is>
          <t>3</t>
        </is>
      </c>
      <c r="E4191" s="24" t="inlineStr">
        <is>
          <t>2%--5%</t>
        </is>
      </c>
    </row>
    <row r="4192">
      <c r="B4192" s="24" t="inlineStr">
        <is>
          <t>全国市场占有率</t>
        </is>
      </c>
      <c r="C4192" s="24" t="inlineStr">
        <is>
          <t>全国市场占有率</t>
        </is>
      </c>
      <c r="D4192" s="24" t="inlineStr">
        <is>
          <t>4</t>
        </is>
      </c>
      <c r="E4192" s="24" t="inlineStr">
        <is>
          <t>1%--2%</t>
        </is>
      </c>
    </row>
    <row r="4193">
      <c r="B4193" s="24" t="inlineStr">
        <is>
          <t>全国市场占有率</t>
        </is>
      </c>
      <c r="C4193" s="24" t="inlineStr">
        <is>
          <t>全国市场占有率</t>
        </is>
      </c>
      <c r="D4193" s="24" t="inlineStr">
        <is>
          <t>5</t>
        </is>
      </c>
      <c r="E4193" s="24" t="inlineStr">
        <is>
          <t>1%以下</t>
        </is>
      </c>
    </row>
    <row r="4194" ht="15.95" customHeight="1" s="170">
      <c r="B4194" s="122" t="inlineStr">
        <is>
          <t>码值：InvestmentPolicy</t>
        </is>
      </c>
    </row>
    <row r="4195">
      <c r="B4195" s="24" t="inlineStr">
        <is>
          <t>InvestmentPolicy</t>
        </is>
      </c>
      <c r="C4195" s="24" t="inlineStr">
        <is>
          <t>信用等级评估统一导入</t>
        </is>
      </c>
      <c r="D4195" s="24" t="inlineStr">
        <is>
          <t>1</t>
        </is>
      </c>
      <c r="E4195" s="24" t="inlineStr">
        <is>
          <t>综合回报率在基贷率之上</t>
        </is>
      </c>
    </row>
    <row r="4196">
      <c r="B4196" s="24" t="inlineStr">
        <is>
          <t>InvestmentPolicy</t>
        </is>
      </c>
      <c r="C4196" s="24" t="inlineStr">
        <is>
          <t>信用等级评估统一导入</t>
        </is>
      </c>
      <c r="D4196" s="24" t="inlineStr">
        <is>
          <t>2</t>
        </is>
      </c>
      <c r="E4196" s="24" t="inlineStr">
        <is>
          <t>等于基贷率</t>
        </is>
      </c>
    </row>
    <row r="4197">
      <c r="B4197" s="24" t="inlineStr">
        <is>
          <t>InvestmentPolicy</t>
        </is>
      </c>
      <c r="C4197" s="24" t="inlineStr">
        <is>
          <t>信用等级评估统一导入</t>
        </is>
      </c>
      <c r="D4197" s="24" t="inlineStr">
        <is>
          <t>3</t>
        </is>
      </c>
      <c r="E4197" s="24" t="inlineStr">
        <is>
          <t>在基贷率之下</t>
        </is>
      </c>
    </row>
    <row r="4198">
      <c r="B4198" s="24" t="inlineStr">
        <is>
          <t>InvestmentPolicy</t>
        </is>
      </c>
      <c r="C4198" s="24" t="inlineStr">
        <is>
          <t>信用等级评估统一导入</t>
        </is>
      </c>
      <c r="D4198" s="24" t="inlineStr">
        <is>
          <t>4</t>
        </is>
      </c>
      <c r="E4198" s="24" t="inlineStr">
        <is>
          <t>综合回报率为负值</t>
        </is>
      </c>
    </row>
    <row r="4199">
      <c r="B4199" s="24" t="inlineStr">
        <is>
          <t>InvestmentPolicy</t>
        </is>
      </c>
      <c r="C4199" s="24" t="inlineStr">
        <is>
          <t>信用等级评估统一导入</t>
        </is>
      </c>
      <c r="D4199" s="24" t="inlineStr">
        <is>
          <t>5</t>
        </is>
      </c>
      <c r="E4199" s="24" t="inlineStr">
        <is>
          <t>无对外投资</t>
        </is>
      </c>
    </row>
    <row r="4200" ht="15.95" customHeight="1" s="170">
      <c r="B4200" s="122" t="inlineStr">
        <is>
          <t>码值：景点开发公司</t>
        </is>
      </c>
    </row>
    <row r="4201">
      <c r="B4201" s="24" t="inlineStr">
        <is>
          <t>景点开发公司</t>
        </is>
      </c>
      <c r="C4201" s="24" t="inlineStr">
        <is>
          <t>景点开发公司</t>
        </is>
      </c>
      <c r="D4201" s="24" t="inlineStr">
        <is>
          <t>1</t>
        </is>
      </c>
      <c r="E4201" s="24" t="inlineStr">
        <is>
          <t>国家级</t>
        </is>
      </c>
    </row>
    <row r="4202">
      <c r="B4202" s="24" t="inlineStr">
        <is>
          <t>景点开发公司</t>
        </is>
      </c>
      <c r="C4202" s="24" t="inlineStr">
        <is>
          <t>景点开发公司</t>
        </is>
      </c>
      <c r="D4202" s="24" t="inlineStr">
        <is>
          <t>2</t>
        </is>
      </c>
      <c r="E4202" s="24" t="inlineStr">
        <is>
          <t>其他</t>
        </is>
      </c>
    </row>
    <row r="4203" ht="15.95" customHeight="1" s="170">
      <c r="B4203" s="122" t="inlineStr">
        <is>
          <t>码值：DisplayType</t>
        </is>
      </c>
    </row>
    <row r="4204">
      <c r="B4204" s="24" t="inlineStr">
        <is>
          <t>DisplayType</t>
        </is>
      </c>
      <c r="C4204" s="24" t="inlineStr">
        <is>
          <t>展示类型</t>
        </is>
      </c>
      <c r="D4204" s="24" t="inlineStr">
        <is>
          <t>1</t>
        </is>
      </c>
      <c r="E4204" s="24" t="inlineStr">
        <is>
          <t>标签(tab)</t>
        </is>
      </c>
    </row>
    <row r="4205">
      <c r="B4205" s="24" t="inlineStr">
        <is>
          <t>DisplayType</t>
        </is>
      </c>
      <c r="C4205" s="24" t="inlineStr">
        <is>
          <t>展示类型</t>
        </is>
      </c>
      <c r="D4205" s="24" t="inlineStr">
        <is>
          <t>2</t>
        </is>
      </c>
      <c r="E4205" s="24" t="inlineStr">
        <is>
          <t>层叠(strip)</t>
        </is>
      </c>
    </row>
    <row r="4206" ht="15.95" customHeight="1" s="170">
      <c r="B4206" s="122" t="inlineStr">
        <is>
          <t>码值：职务年限</t>
        </is>
      </c>
    </row>
    <row r="4207">
      <c r="B4207" s="24" t="inlineStr">
        <is>
          <t>职务年限</t>
        </is>
      </c>
      <c r="C4207" s="24" t="inlineStr">
        <is>
          <t>职务年限</t>
        </is>
      </c>
      <c r="D4207" s="24" t="inlineStr">
        <is>
          <t>1</t>
        </is>
      </c>
      <c r="E4207" s="24" t="inlineStr">
        <is>
          <t>3年及3年以上</t>
        </is>
      </c>
    </row>
    <row r="4208">
      <c r="B4208" s="24" t="inlineStr">
        <is>
          <t>职务年限</t>
        </is>
      </c>
      <c r="C4208" s="24" t="inlineStr">
        <is>
          <t>职务年限</t>
        </is>
      </c>
      <c r="D4208" s="24" t="inlineStr">
        <is>
          <t>2</t>
        </is>
      </c>
      <c r="E4208" s="24" t="inlineStr">
        <is>
          <t>1年至3年</t>
        </is>
      </c>
    </row>
    <row r="4209">
      <c r="B4209" s="24" t="inlineStr">
        <is>
          <t>职务年限</t>
        </is>
      </c>
      <c r="C4209" s="24" t="inlineStr">
        <is>
          <t>职务年限</t>
        </is>
      </c>
      <c r="D4209" s="24" t="inlineStr">
        <is>
          <t>3</t>
        </is>
      </c>
      <c r="E4209" s="24" t="inlineStr">
        <is>
          <t>1年以下</t>
        </is>
      </c>
    </row>
    <row r="4210" ht="15.95" customHeight="1" s="170">
      <c r="B4210" s="122" t="inlineStr">
        <is>
          <t>码值：KeapOrder</t>
        </is>
      </c>
    </row>
    <row r="4211">
      <c r="B4211" s="24" t="inlineStr">
        <is>
          <t>KeapOrder</t>
        </is>
      </c>
      <c r="C4211" s="24" t="inlineStr">
        <is>
          <t>保证金到期扣款顺序</t>
        </is>
      </c>
      <c r="D4211" s="24" t="inlineStr">
        <is>
          <t>0</t>
        </is>
      </c>
      <c r="E4211" s="24" t="inlineStr">
        <is>
          <t>先扣保证金,后活期帐户</t>
        </is>
      </c>
    </row>
    <row r="4212">
      <c r="B4212" s="24" t="inlineStr">
        <is>
          <t>KeapOrder</t>
        </is>
      </c>
      <c r="C4212" s="24" t="inlineStr">
        <is>
          <t>保证金到期扣款顺序</t>
        </is>
      </c>
      <c r="D4212" s="24" t="inlineStr">
        <is>
          <t>1</t>
        </is>
      </c>
      <c r="E4212" s="24" t="inlineStr">
        <is>
          <t>先活期帐户,后保证金</t>
        </is>
      </c>
    </row>
    <row r="4213">
      <c r="B4213" s="24" t="inlineStr">
        <is>
          <t>KeapOrder</t>
        </is>
      </c>
      <c r="C4213" s="24" t="inlineStr">
        <is>
          <t>保证金到期扣款顺序</t>
        </is>
      </c>
      <c r="D4213" s="24" t="inlineStr">
        <is>
          <t>2</t>
        </is>
      </c>
      <c r="E4213" s="24" t="inlineStr">
        <is>
          <t>不关联</t>
        </is>
      </c>
    </row>
    <row r="4214" ht="15.95" customHeight="1" s="170">
      <c r="B4214" s="122" t="inlineStr">
        <is>
          <t>码值：FeeStatus</t>
        </is>
      </c>
    </row>
    <row r="4215">
      <c r="B4215" s="24" t="inlineStr">
        <is>
          <t>FeeStatus</t>
        </is>
      </c>
      <c r="C4215" s="24" t="inlineStr">
        <is>
          <t>费用状态</t>
        </is>
      </c>
      <c r="D4215" s="24" t="inlineStr">
        <is>
          <t>0</t>
        </is>
      </c>
      <c r="E4215" s="24" t="inlineStr">
        <is>
          <t>未生效</t>
        </is>
      </c>
    </row>
    <row r="4216">
      <c r="B4216" s="24" t="inlineStr">
        <is>
          <t>FeeStatus</t>
        </is>
      </c>
      <c r="C4216" s="24" t="inlineStr">
        <is>
          <t>费用状态</t>
        </is>
      </c>
      <c r="D4216" s="24" t="inlineStr">
        <is>
          <t>1</t>
        </is>
      </c>
      <c r="E4216" s="24" t="inlineStr">
        <is>
          <t>生效</t>
        </is>
      </c>
    </row>
    <row r="4217">
      <c r="B4217" s="24" t="inlineStr">
        <is>
          <t>FeeStatus</t>
        </is>
      </c>
      <c r="C4217" s="24" t="inlineStr">
        <is>
          <t>费用状态</t>
        </is>
      </c>
      <c r="D4217" s="24" t="inlineStr">
        <is>
          <t>2</t>
        </is>
      </c>
      <c r="E4217" s="24" t="inlineStr">
        <is>
          <t>无效</t>
        </is>
      </c>
    </row>
    <row r="4218">
      <c r="B4218" s="24" t="inlineStr">
        <is>
          <t>FeeStatus</t>
        </is>
      </c>
      <c r="C4218" s="24" t="inlineStr">
        <is>
          <t>费用状态</t>
        </is>
      </c>
      <c r="D4218" s="24" t="inlineStr">
        <is>
          <t>3</t>
        </is>
      </c>
      <c r="E4218" s="24" t="inlineStr">
        <is>
          <t>锁定</t>
        </is>
      </c>
    </row>
    <row r="4219" ht="15.95" customHeight="1" s="170">
      <c r="B4219" s="122" t="inlineStr">
        <is>
          <t>码值：CreditApplyGroupClMain</t>
        </is>
      </c>
    </row>
    <row r="4220">
      <c r="B4220" s="24" t="inlineStr">
        <is>
          <t>CreditApplyGroupClMain</t>
        </is>
      </c>
      <c r="C4220" s="24" t="n"/>
      <c r="D4220" s="24" t="inlineStr">
        <is>
          <t>1010</t>
        </is>
      </c>
      <c r="E4220" s="24" t="inlineStr">
        <is>
          <t>待处理</t>
        </is>
      </c>
    </row>
    <row r="4221">
      <c r="B4221" s="24" t="inlineStr">
        <is>
          <t>CreditApplyGroupClMain</t>
        </is>
      </c>
      <c r="C4221" s="24" t="n"/>
      <c r="D4221" s="24" t="inlineStr">
        <is>
          <t>1020</t>
        </is>
      </c>
      <c r="E4221" s="24" t="inlineStr">
        <is>
          <t>审批中</t>
        </is>
      </c>
    </row>
    <row r="4222">
      <c r="B4222" s="24" t="inlineStr">
        <is>
          <t>CreditApplyGroupClMain</t>
        </is>
      </c>
      <c r="C4222" s="24" t="n"/>
      <c r="D4222" s="24" t="inlineStr">
        <is>
          <t>1040,1050</t>
        </is>
      </c>
      <c r="E4222" s="24" t="inlineStr">
        <is>
          <t>处理完成</t>
        </is>
      </c>
    </row>
    <row r="4223" ht="15.95" customHeight="1" s="170">
      <c r="B4223" s="122" t="inlineStr">
        <is>
          <t>码值：CreditAlarmApplyMain</t>
        </is>
      </c>
    </row>
    <row r="4224">
      <c r="B4224" s="24" t="inlineStr">
        <is>
          <t>CreditAlarmApplyMain</t>
        </is>
      </c>
      <c r="C4224" s="24" t="inlineStr">
        <is>
          <t>风险预警树图</t>
        </is>
      </c>
      <c r="D4224" s="24" t="inlineStr">
        <is>
          <t>01</t>
        </is>
      </c>
      <c r="E4224" s="24" t="inlineStr">
        <is>
          <t>预警信号发起</t>
        </is>
      </c>
    </row>
    <row r="4225">
      <c r="B4225" s="24" t="inlineStr">
        <is>
          <t>CreditAlarmApplyMain</t>
        </is>
      </c>
      <c r="C4225" s="24" t="inlineStr">
        <is>
          <t>风险预警树图</t>
        </is>
      </c>
      <c r="D4225" s="24" t="inlineStr">
        <is>
          <t>01010</t>
        </is>
      </c>
      <c r="E4225" s="24" t="inlineStr">
        <is>
          <t>待处理的预警信号</t>
        </is>
      </c>
    </row>
    <row r="4226">
      <c r="B4226" s="24" t="inlineStr">
        <is>
          <t>CreditAlarmApplyMain</t>
        </is>
      </c>
      <c r="C4226" s="24" t="inlineStr">
        <is>
          <t>风险预警树图</t>
        </is>
      </c>
      <c r="D4226" s="24" t="inlineStr">
        <is>
          <t>01020</t>
        </is>
      </c>
      <c r="E4226" s="24" t="inlineStr">
        <is>
          <t>认定中的预警信号</t>
        </is>
      </c>
    </row>
    <row r="4227">
      <c r="B4227" s="24" t="inlineStr">
        <is>
          <t>CreditAlarmApplyMain</t>
        </is>
      </c>
      <c r="C4227" s="24" t="inlineStr">
        <is>
          <t>风险预警树图</t>
        </is>
      </c>
      <c r="D4227" s="24" t="inlineStr">
        <is>
          <t>01030</t>
        </is>
      </c>
      <c r="E4227" s="24" t="inlineStr">
        <is>
          <t>已批准的预警信号</t>
        </is>
      </c>
    </row>
    <row r="4228">
      <c r="B4228" s="24" t="inlineStr">
        <is>
          <t>CreditAlarmApplyMain</t>
        </is>
      </c>
      <c r="C4228" s="24" t="inlineStr">
        <is>
          <t>风险预警树图</t>
        </is>
      </c>
      <c r="D4228" s="24" t="inlineStr">
        <is>
          <t>01040</t>
        </is>
      </c>
      <c r="E4228" s="24" t="inlineStr">
        <is>
          <t>已否决的预警信号</t>
        </is>
      </c>
    </row>
    <row r="4229">
      <c r="B4229" s="24" t="inlineStr">
        <is>
          <t>CreditAlarmApplyMain</t>
        </is>
      </c>
      <c r="C4229" s="24" t="inlineStr">
        <is>
          <t>风险预警树图</t>
        </is>
      </c>
      <c r="D4229" s="24" t="inlineStr">
        <is>
          <t>02</t>
        </is>
      </c>
      <c r="E4229" s="24" t="inlineStr">
        <is>
          <t>预警信号解除</t>
        </is>
      </c>
    </row>
    <row r="4230">
      <c r="B4230" s="24" t="inlineStr">
        <is>
          <t>CreditAlarmApplyMain</t>
        </is>
      </c>
      <c r="C4230" s="24" t="inlineStr">
        <is>
          <t>风险预警树图</t>
        </is>
      </c>
      <c r="D4230" s="24" t="inlineStr">
        <is>
          <t>02010</t>
        </is>
      </c>
      <c r="E4230" s="24" t="inlineStr">
        <is>
          <t>待处理的预警信号</t>
        </is>
      </c>
    </row>
    <row r="4231">
      <c r="B4231" s="24" t="inlineStr">
        <is>
          <t>CreditAlarmApplyMain</t>
        </is>
      </c>
      <c r="C4231" s="24" t="inlineStr">
        <is>
          <t>风险预警树图</t>
        </is>
      </c>
      <c r="D4231" s="24" t="inlineStr">
        <is>
          <t>02020</t>
        </is>
      </c>
      <c r="E4231" s="24" t="inlineStr">
        <is>
          <t>认定中的预警信号</t>
        </is>
      </c>
    </row>
    <row r="4232">
      <c r="B4232" s="24" t="inlineStr">
        <is>
          <t>CreditAlarmApplyMain</t>
        </is>
      </c>
      <c r="C4232" s="24" t="inlineStr">
        <is>
          <t>风险预警树图</t>
        </is>
      </c>
      <c r="D4232" s="24" t="inlineStr">
        <is>
          <t>02030</t>
        </is>
      </c>
      <c r="E4232" s="24" t="inlineStr">
        <is>
          <t>已批准的预警信号</t>
        </is>
      </c>
    </row>
    <row r="4233">
      <c r="B4233" s="24" t="inlineStr">
        <is>
          <t>CreditAlarmApplyMain</t>
        </is>
      </c>
      <c r="C4233" s="24" t="inlineStr">
        <is>
          <t>风险预警树图</t>
        </is>
      </c>
      <c r="D4233" s="24" t="inlineStr">
        <is>
          <t>02040</t>
        </is>
      </c>
      <c r="E4233" s="24" t="inlineStr">
        <is>
          <t>已否决的预警信号</t>
        </is>
      </c>
    </row>
    <row r="4234" ht="15.95" customHeight="1" s="170">
      <c r="B4234" s="122" t="inlineStr">
        <is>
          <t>码值：MergerType</t>
        </is>
      </c>
    </row>
    <row r="4235">
      <c r="B4235" s="24" t="inlineStr">
        <is>
          <t>MergerType</t>
        </is>
      </c>
      <c r="C4235" s="24" t="inlineStr">
        <is>
          <t>并购类型</t>
        </is>
      </c>
      <c r="D4235" s="24" t="inlineStr">
        <is>
          <t>010</t>
        </is>
      </c>
      <c r="E4235" s="24" t="inlineStr">
        <is>
          <t>受让现有股权</t>
        </is>
      </c>
    </row>
    <row r="4236">
      <c r="B4236" s="24" t="inlineStr">
        <is>
          <t>MergerType</t>
        </is>
      </c>
      <c r="C4236" s="24" t="inlineStr">
        <is>
          <t>并购类型</t>
        </is>
      </c>
      <c r="D4236" s="24" t="inlineStr">
        <is>
          <t>020</t>
        </is>
      </c>
      <c r="E4236" s="24" t="inlineStr">
        <is>
          <t>认购新增股权</t>
        </is>
      </c>
    </row>
    <row r="4237">
      <c r="B4237" s="24" t="inlineStr">
        <is>
          <t>MergerType</t>
        </is>
      </c>
      <c r="C4237" s="24" t="inlineStr">
        <is>
          <t>并购类型</t>
        </is>
      </c>
      <c r="D4237" s="24" t="inlineStr">
        <is>
          <t>030</t>
        </is>
      </c>
      <c r="E4237" s="24" t="inlineStr">
        <is>
          <t>收购资产</t>
        </is>
      </c>
    </row>
    <row r="4238">
      <c r="B4238" s="24" t="inlineStr">
        <is>
          <t>MergerType</t>
        </is>
      </c>
      <c r="C4238" s="24" t="inlineStr">
        <is>
          <t>并购类型</t>
        </is>
      </c>
      <c r="D4238" s="24" t="inlineStr">
        <is>
          <t>040</t>
        </is>
      </c>
      <c r="E4238" s="24" t="inlineStr">
        <is>
          <t>承接债务</t>
        </is>
      </c>
    </row>
    <row r="4239">
      <c r="B4239" s="24" t="inlineStr">
        <is>
          <t>MergerType</t>
        </is>
      </c>
      <c r="C4239" s="24" t="inlineStr">
        <is>
          <t>并购类型</t>
        </is>
      </c>
      <c r="D4239" s="24" t="inlineStr">
        <is>
          <t>050</t>
        </is>
      </c>
      <c r="E4239" s="24" t="inlineStr">
        <is>
          <t>其他</t>
        </is>
      </c>
    </row>
    <row r="4240" ht="15.95" customHeight="1" s="170">
      <c r="B4240" s="122" t="inlineStr">
        <is>
          <t>码值：PaymentBasis</t>
        </is>
      </c>
    </row>
    <row r="4241">
      <c r="B4241" s="24" t="inlineStr">
        <is>
          <t>PaymentBasis</t>
        </is>
      </c>
      <c r="C4241" s="24" t="inlineStr">
        <is>
          <t>首付款依据</t>
        </is>
      </c>
      <c r="D4241" s="24" t="inlineStr">
        <is>
          <t>010</t>
        </is>
      </c>
      <c r="E4241" s="24" t="inlineStr">
        <is>
          <t>发票</t>
        </is>
      </c>
    </row>
    <row r="4242">
      <c r="B4242" s="24" t="inlineStr">
        <is>
          <t>PaymentBasis</t>
        </is>
      </c>
      <c r="C4242" s="24" t="inlineStr">
        <is>
          <t>首付款依据</t>
        </is>
      </c>
      <c r="D4242" s="24" t="inlineStr">
        <is>
          <t>020</t>
        </is>
      </c>
      <c r="E4242" s="24" t="inlineStr">
        <is>
          <t>收据</t>
        </is>
      </c>
    </row>
    <row r="4243">
      <c r="B4243" s="24" t="inlineStr">
        <is>
          <t>PaymentBasis</t>
        </is>
      </c>
      <c r="C4243" s="24" t="inlineStr">
        <is>
          <t>首付款依据</t>
        </is>
      </c>
      <c r="D4243" s="24" t="inlineStr">
        <is>
          <t>030</t>
        </is>
      </c>
      <c r="E4243" s="24" t="inlineStr">
        <is>
          <t>存款证明</t>
        </is>
      </c>
    </row>
    <row r="4244">
      <c r="B4244" s="24" t="inlineStr">
        <is>
          <t>PaymentBasis</t>
        </is>
      </c>
      <c r="C4244" s="24" t="inlineStr">
        <is>
          <t>首付款依据</t>
        </is>
      </c>
      <c r="D4244" s="24" t="inlineStr">
        <is>
          <t>040</t>
        </is>
      </c>
      <c r="E4244" s="24" t="inlineStr">
        <is>
          <t>进账单</t>
        </is>
      </c>
    </row>
    <row r="4245">
      <c r="B4245" s="24" t="inlineStr">
        <is>
          <t>PaymentBasis</t>
        </is>
      </c>
      <c r="C4245" s="24" t="inlineStr">
        <is>
          <t>首付款依据</t>
        </is>
      </c>
      <c r="D4245" s="24" t="inlineStr">
        <is>
          <t>050</t>
        </is>
      </c>
      <c r="E4245" s="24" t="inlineStr">
        <is>
          <t>POS单</t>
        </is>
      </c>
    </row>
    <row r="4246">
      <c r="B4246" s="24" t="inlineStr">
        <is>
          <t>PaymentBasis</t>
        </is>
      </c>
      <c r="C4246" s="24" t="inlineStr">
        <is>
          <t>首付款依据</t>
        </is>
      </c>
      <c r="D4246" s="24" t="inlineStr">
        <is>
          <t>060</t>
        </is>
      </c>
      <c r="E4246" s="24" t="inlineStr">
        <is>
          <t>其它</t>
        </is>
      </c>
    </row>
    <row r="4247" ht="15.95" customHeight="1" s="170">
      <c r="B4247" s="122" t="inlineStr">
        <is>
          <t>码值：FinancialAssets</t>
        </is>
      </c>
    </row>
    <row r="4248">
      <c r="B4248" s="24" t="inlineStr">
        <is>
          <t>FinancialAssets</t>
        </is>
      </c>
      <c r="C4248" s="24" t="inlineStr">
        <is>
          <t>信用等级评估统一导入</t>
        </is>
      </c>
      <c r="D4248" s="24" t="inlineStr">
        <is>
          <t>01</t>
        </is>
      </c>
      <c r="E4248" s="24" t="inlineStr">
        <is>
          <t xml:space="preserve">10万元以下(含10万元) </t>
        </is>
      </c>
    </row>
    <row r="4249">
      <c r="B4249" s="24" t="inlineStr">
        <is>
          <t>FinancialAssets</t>
        </is>
      </c>
      <c r="C4249" s="24" t="inlineStr">
        <is>
          <t>信用等级评估统一导入</t>
        </is>
      </c>
      <c r="D4249" s="24" t="inlineStr">
        <is>
          <t>02</t>
        </is>
      </c>
      <c r="E4249" s="24" t="inlineStr">
        <is>
          <t xml:space="preserve">10万元－30万元(含30万元)  </t>
        </is>
      </c>
    </row>
    <row r="4250">
      <c r="B4250" s="24" t="inlineStr">
        <is>
          <t>FinancialAssets</t>
        </is>
      </c>
      <c r="C4250" s="24" t="inlineStr">
        <is>
          <t>信用等级评估统一导入</t>
        </is>
      </c>
      <c r="D4250" s="24" t="inlineStr">
        <is>
          <t>03</t>
        </is>
      </c>
      <c r="E4250" s="24" t="inlineStr">
        <is>
          <t xml:space="preserve">30万元－50万元(含50万元) </t>
        </is>
      </c>
    </row>
    <row r="4251">
      <c r="B4251" s="24" t="inlineStr">
        <is>
          <t>FinancialAssets</t>
        </is>
      </c>
      <c r="C4251" s="24" t="inlineStr">
        <is>
          <t>信用等级评估统一导入</t>
        </is>
      </c>
      <c r="D4251" s="24" t="inlineStr">
        <is>
          <t>04</t>
        </is>
      </c>
      <c r="E4251" s="24" t="inlineStr">
        <is>
          <t>50万元以上</t>
        </is>
      </c>
    </row>
    <row r="4252" ht="15.95" customHeight="1" s="170">
      <c r="B4252" s="122" t="inlineStr">
        <is>
          <t>码值：AttachConvenType</t>
        </is>
      </c>
    </row>
    <row r="4253">
      <c r="B4253" s="24" t="inlineStr">
        <is>
          <t>AttachConvenType</t>
        </is>
      </c>
      <c r="C4253" s="24" t="inlineStr">
        <is>
          <t>查封便利性</t>
        </is>
      </c>
      <c r="D4253" s="24" t="inlineStr">
        <is>
          <t>01</t>
        </is>
      </c>
      <c r="E4253" s="24" t="inlineStr">
        <is>
          <t>无查封障碍的不动产，动产由我行监管</t>
        </is>
      </c>
    </row>
    <row r="4254">
      <c r="B4254" s="24" t="inlineStr">
        <is>
          <t>AttachConvenType</t>
        </is>
      </c>
      <c r="C4254" s="24" t="inlineStr">
        <is>
          <t>查封便利性</t>
        </is>
      </c>
      <c r="D4254" s="24" t="inlineStr">
        <is>
          <t>02</t>
        </is>
      </c>
      <c r="E4254" s="24" t="inlineStr">
        <is>
          <t>查封有一定障碍的不动产，动产存放地点相对固定但非我行监管</t>
        </is>
      </c>
    </row>
    <row r="4255">
      <c r="B4255" s="24" t="inlineStr">
        <is>
          <t>AttachConvenType</t>
        </is>
      </c>
      <c r="C4255" s="24" t="inlineStr">
        <is>
          <t>查封便利性</t>
        </is>
      </c>
      <c r="D4255" s="24" t="inlineStr">
        <is>
          <t>03</t>
        </is>
      </c>
      <c r="E4255" s="24" t="inlineStr">
        <is>
          <t>查封有障碍的不动产，动产存放地点难掌握和控制</t>
        </is>
      </c>
    </row>
    <row r="4256" ht="15.95" customHeight="1" s="170">
      <c r="B4256" s="122" t="inlineStr">
        <is>
          <t>码值：ChargeType</t>
        </is>
      </c>
    </row>
    <row r="4257">
      <c r="B4257" s="24" t="inlineStr">
        <is>
          <t>ChargeType</t>
        </is>
      </c>
      <c r="C4257" s="24" t="inlineStr">
        <is>
          <t>收费方式</t>
        </is>
      </c>
      <c r="D4257" s="24" t="inlineStr">
        <is>
          <t>1</t>
        </is>
      </c>
      <c r="E4257" s="24" t="inlineStr">
        <is>
          <t>一次性支付</t>
        </is>
      </c>
    </row>
    <row r="4258">
      <c r="B4258" s="24" t="inlineStr">
        <is>
          <t>ChargeType</t>
        </is>
      </c>
      <c r="C4258" s="24" t="inlineStr">
        <is>
          <t>收费方式</t>
        </is>
      </c>
      <c r="D4258" s="24" t="inlineStr">
        <is>
          <t>2</t>
        </is>
      </c>
      <c r="E4258" s="24" t="inlineStr">
        <is>
          <t>按月计收</t>
        </is>
      </c>
    </row>
    <row r="4259">
      <c r="B4259" s="24" t="inlineStr">
        <is>
          <t>ChargeType</t>
        </is>
      </c>
      <c r="C4259" s="24" t="inlineStr">
        <is>
          <t>收费方式</t>
        </is>
      </c>
      <c r="D4259" s="24" t="inlineStr">
        <is>
          <t>3</t>
        </is>
      </c>
      <c r="E4259" s="24" t="inlineStr">
        <is>
          <t>按季计收</t>
        </is>
      </c>
    </row>
    <row r="4260">
      <c r="B4260" s="24" t="inlineStr">
        <is>
          <t>ChargeType</t>
        </is>
      </c>
      <c r="C4260" s="24" t="inlineStr">
        <is>
          <t>收费方式</t>
        </is>
      </c>
      <c r="D4260" s="24" t="inlineStr">
        <is>
          <t>4</t>
        </is>
      </c>
      <c r="E4260" s="24" t="inlineStr">
        <is>
          <t>按半年计收</t>
        </is>
      </c>
    </row>
    <row r="4261">
      <c r="B4261" s="24" t="inlineStr">
        <is>
          <t>ChargeType</t>
        </is>
      </c>
      <c r="C4261" s="24" t="inlineStr">
        <is>
          <t>收费方式</t>
        </is>
      </c>
      <c r="D4261" s="24" t="inlineStr">
        <is>
          <t>5</t>
        </is>
      </c>
      <c r="E4261" s="24" t="inlineStr">
        <is>
          <t>按年计收</t>
        </is>
      </c>
    </row>
    <row r="4262" ht="15.95" customHeight="1" s="170">
      <c r="B4262" s="122" t="inlineStr">
        <is>
          <t>码值：CheckType</t>
        </is>
      </c>
    </row>
    <row r="4263">
      <c r="B4263" s="24" t="inlineStr">
        <is>
          <t>CheckType</t>
        </is>
      </c>
      <c r="C4263" s="24" t="inlineStr">
        <is>
          <t>校验类型</t>
        </is>
      </c>
      <c r="D4263" s="24" t="inlineStr">
        <is>
          <t>01</t>
        </is>
      </c>
      <c r="E4263" s="24" t="inlineStr">
        <is>
          <t>定期检查</t>
        </is>
      </c>
    </row>
    <row r="4264">
      <c r="B4264" s="24" t="inlineStr">
        <is>
          <t>CheckType</t>
        </is>
      </c>
      <c r="C4264" s="24" t="inlineStr">
        <is>
          <t>校验类型</t>
        </is>
      </c>
      <c r="D4264" s="24" t="inlineStr">
        <is>
          <t>02</t>
        </is>
      </c>
      <c r="E4264" s="24" t="inlineStr">
        <is>
          <t>不定期检查</t>
        </is>
      </c>
    </row>
    <row r="4265" ht="15.95" customHeight="1" s="170">
      <c r="B4265" s="122" t="inlineStr">
        <is>
          <t>码值：OrgType</t>
        </is>
      </c>
    </row>
    <row r="4266">
      <c r="B4266" s="24" t="inlineStr">
        <is>
          <t>OrgType</t>
        </is>
      </c>
      <c r="C4266" s="24" t="inlineStr">
        <is>
          <t>企业类型</t>
        </is>
      </c>
      <c r="D4266" s="24" t="inlineStr">
        <is>
          <t>100</t>
        </is>
      </c>
      <c r="E4266" s="24" t="inlineStr">
        <is>
          <t>内资企业</t>
        </is>
      </c>
    </row>
    <row r="4267">
      <c r="B4267" s="24" t="inlineStr">
        <is>
          <t>OrgType</t>
        </is>
      </c>
      <c r="C4267" s="24" t="inlineStr">
        <is>
          <t>企业类型</t>
        </is>
      </c>
      <c r="D4267" s="24" t="inlineStr">
        <is>
          <t>100110</t>
        </is>
      </c>
      <c r="E4267" s="24" t="inlineStr">
        <is>
          <t>国有企业</t>
        </is>
      </c>
    </row>
    <row r="4268">
      <c r="B4268" s="24" t="inlineStr">
        <is>
          <t>OrgType</t>
        </is>
      </c>
      <c r="C4268" s="24" t="inlineStr">
        <is>
          <t>企业类型</t>
        </is>
      </c>
      <c r="D4268" s="24" t="inlineStr">
        <is>
          <t>100120</t>
        </is>
      </c>
      <c r="E4268" s="24" t="inlineStr">
        <is>
          <t>集体企业</t>
        </is>
      </c>
    </row>
    <row r="4269">
      <c r="B4269" s="24" t="inlineStr">
        <is>
          <t>OrgType</t>
        </is>
      </c>
      <c r="C4269" s="24" t="inlineStr">
        <is>
          <t>企业类型</t>
        </is>
      </c>
      <c r="D4269" s="24" t="inlineStr">
        <is>
          <t>100130</t>
        </is>
      </c>
      <c r="E4269" s="24" t="inlineStr">
        <is>
          <t>股份合作企业</t>
        </is>
      </c>
    </row>
    <row r="4270">
      <c r="B4270" s="24" t="inlineStr">
        <is>
          <t>OrgType</t>
        </is>
      </c>
      <c r="C4270" s="24" t="inlineStr">
        <is>
          <t>企业类型</t>
        </is>
      </c>
      <c r="D4270" s="24" t="inlineStr">
        <is>
          <t>100140</t>
        </is>
      </c>
      <c r="E4270" s="24" t="inlineStr">
        <is>
          <t>联营企业</t>
        </is>
      </c>
    </row>
    <row r="4271">
      <c r="B4271" s="24" t="inlineStr">
        <is>
          <t>OrgType</t>
        </is>
      </c>
      <c r="C4271" s="24" t="inlineStr">
        <is>
          <t>企业类型</t>
        </is>
      </c>
      <c r="D4271" s="24" t="inlineStr">
        <is>
          <t>100150</t>
        </is>
      </c>
      <c r="E4271" s="24" t="inlineStr">
        <is>
          <t>有限责任公司</t>
        </is>
      </c>
    </row>
    <row r="4272">
      <c r="B4272" s="24" t="inlineStr">
        <is>
          <t>OrgType</t>
        </is>
      </c>
      <c r="C4272" s="24" t="inlineStr">
        <is>
          <t>企业类型</t>
        </is>
      </c>
      <c r="D4272" s="24" t="inlineStr">
        <is>
          <t>100160</t>
        </is>
      </c>
      <c r="E4272" s="24" t="inlineStr">
        <is>
          <t>股份有限公司</t>
        </is>
      </c>
    </row>
    <row r="4273">
      <c r="B4273" s="24" t="inlineStr">
        <is>
          <t>OrgType</t>
        </is>
      </c>
      <c r="C4273" s="24" t="inlineStr">
        <is>
          <t>企业类型</t>
        </is>
      </c>
      <c r="D4273" s="24" t="inlineStr">
        <is>
          <t>100170</t>
        </is>
      </c>
      <c r="E4273" s="24" t="inlineStr">
        <is>
          <t>私营企业</t>
        </is>
      </c>
    </row>
    <row r="4274">
      <c r="B4274" s="24" t="inlineStr">
        <is>
          <t>OrgType</t>
        </is>
      </c>
      <c r="C4274" s="24" t="inlineStr">
        <is>
          <t>企业类型</t>
        </is>
      </c>
      <c r="D4274" s="24" t="inlineStr">
        <is>
          <t>100170171</t>
        </is>
      </c>
      <c r="E4274" s="24" t="inlineStr">
        <is>
          <t>私营独资企业</t>
        </is>
      </c>
    </row>
    <row r="4275">
      <c r="B4275" s="24" t="inlineStr">
        <is>
          <t>OrgType</t>
        </is>
      </c>
      <c r="C4275" s="24" t="inlineStr">
        <is>
          <t>企业类型</t>
        </is>
      </c>
      <c r="D4275" s="24" t="inlineStr">
        <is>
          <t>100170174</t>
        </is>
      </c>
      <c r="E4275" s="24" t="inlineStr">
        <is>
          <t>私营有限责任公司</t>
        </is>
      </c>
    </row>
    <row r="4276">
      <c r="B4276" s="24" t="inlineStr">
        <is>
          <t>OrgType</t>
        </is>
      </c>
      <c r="C4276" s="24" t="inlineStr">
        <is>
          <t>企业类型</t>
        </is>
      </c>
      <c r="D4276" s="24" t="inlineStr">
        <is>
          <t>100190</t>
        </is>
      </c>
      <c r="E4276" s="24" t="inlineStr">
        <is>
          <t>其他企业</t>
        </is>
      </c>
    </row>
    <row r="4277">
      <c r="B4277" s="24" t="inlineStr">
        <is>
          <t>OrgType</t>
        </is>
      </c>
      <c r="C4277" s="24" t="inlineStr">
        <is>
          <t>企业类型</t>
        </is>
      </c>
      <c r="D4277" s="24" t="inlineStr">
        <is>
          <t>200</t>
        </is>
      </c>
      <c r="E4277" s="24" t="inlineStr">
        <is>
          <t>港、澳、台商投资企业</t>
        </is>
      </c>
    </row>
    <row r="4278">
      <c r="B4278" s="24" t="inlineStr">
        <is>
          <t>OrgType</t>
        </is>
      </c>
      <c r="C4278" s="24" t="inlineStr">
        <is>
          <t>企业类型</t>
        </is>
      </c>
      <c r="D4278" s="24" t="inlineStr">
        <is>
          <t>200210</t>
        </is>
      </c>
      <c r="E4278" s="24" t="inlineStr">
        <is>
          <t>合资经营企业(港或澳、台资)</t>
        </is>
      </c>
    </row>
    <row r="4279">
      <c r="B4279" s="24" t="inlineStr">
        <is>
          <t>OrgType</t>
        </is>
      </c>
      <c r="C4279" s="24" t="inlineStr">
        <is>
          <t>企业类型</t>
        </is>
      </c>
      <c r="D4279" s="24" t="inlineStr">
        <is>
          <t>200210211</t>
        </is>
      </c>
      <c r="E4279" s="24" t="inlineStr">
        <is>
          <t>港、澳与内地合资企业</t>
        </is>
      </c>
    </row>
    <row r="4280">
      <c r="B4280" s="24" t="inlineStr">
        <is>
          <t>OrgType</t>
        </is>
      </c>
      <c r="C4280" s="24" t="inlineStr">
        <is>
          <t>企业类型</t>
        </is>
      </c>
      <c r="D4280" s="24" t="inlineStr">
        <is>
          <t>200210212</t>
        </is>
      </c>
      <c r="E4280" s="24" t="inlineStr">
        <is>
          <t>台湾与内地合资企业</t>
        </is>
      </c>
    </row>
    <row r="4281">
      <c r="B4281" s="24" t="inlineStr">
        <is>
          <t>OrgType</t>
        </is>
      </c>
      <c r="C4281" s="24" t="inlineStr">
        <is>
          <t>企业类型</t>
        </is>
      </c>
      <c r="D4281" s="24" t="inlineStr">
        <is>
          <t>200220</t>
        </is>
      </c>
      <c r="E4281" s="24" t="inlineStr">
        <is>
          <t>合作经营企业(港或澳、台资)</t>
        </is>
      </c>
    </row>
    <row r="4282">
      <c r="B4282" s="24" t="inlineStr">
        <is>
          <t>OrgType</t>
        </is>
      </c>
      <c r="C4282" s="24" t="inlineStr">
        <is>
          <t>企业类型</t>
        </is>
      </c>
      <c r="D4282" s="24" t="inlineStr">
        <is>
          <t>200220221</t>
        </is>
      </c>
      <c r="E4282" s="24" t="inlineStr">
        <is>
          <t>港、澳与内地合作企业</t>
        </is>
      </c>
    </row>
    <row r="4283">
      <c r="B4283" s="24" t="inlineStr">
        <is>
          <t>OrgType</t>
        </is>
      </c>
      <c r="C4283" s="24" t="inlineStr">
        <is>
          <t>企业类型</t>
        </is>
      </c>
      <c r="D4283" s="24" t="inlineStr">
        <is>
          <t>200220222</t>
        </is>
      </c>
      <c r="E4283" s="24" t="inlineStr">
        <is>
          <t>台湾与内地合作企业</t>
        </is>
      </c>
    </row>
    <row r="4284">
      <c r="B4284" s="24" t="inlineStr">
        <is>
          <t>OrgType</t>
        </is>
      </c>
      <c r="C4284" s="24" t="inlineStr">
        <is>
          <t>企业类型</t>
        </is>
      </c>
      <c r="D4284" s="24" t="inlineStr">
        <is>
          <t>200230</t>
        </is>
      </c>
      <c r="E4284" s="24" t="inlineStr">
        <is>
          <t>港、澳、台商独资经营企业</t>
        </is>
      </c>
    </row>
    <row r="4285">
      <c r="B4285" s="24" t="inlineStr">
        <is>
          <t>OrgType</t>
        </is>
      </c>
      <c r="C4285" s="24" t="inlineStr">
        <is>
          <t>企业类型</t>
        </is>
      </c>
      <c r="D4285" s="24" t="inlineStr">
        <is>
          <t>200230231</t>
        </is>
      </c>
      <c r="E4285" s="24" t="inlineStr">
        <is>
          <t>港、澳独资经营企业</t>
        </is>
      </c>
    </row>
    <row r="4286">
      <c r="B4286" s="24" t="inlineStr">
        <is>
          <t>OrgType</t>
        </is>
      </c>
      <c r="C4286" s="24" t="inlineStr">
        <is>
          <t>企业类型</t>
        </is>
      </c>
      <c r="D4286" s="24" t="inlineStr">
        <is>
          <t>200230232</t>
        </is>
      </c>
      <c r="E4286" s="24" t="inlineStr">
        <is>
          <t>台湾独资经营企业</t>
        </is>
      </c>
    </row>
    <row r="4287">
      <c r="B4287" s="24" t="inlineStr">
        <is>
          <t>OrgType</t>
        </is>
      </c>
      <c r="C4287" s="24" t="inlineStr">
        <is>
          <t>企业类型</t>
        </is>
      </c>
      <c r="D4287" s="24" t="inlineStr">
        <is>
          <t>200240</t>
        </is>
      </c>
      <c r="E4287" s="24" t="inlineStr">
        <is>
          <t>港、澳、台商投资股份有限公司</t>
        </is>
      </c>
    </row>
    <row r="4288">
      <c r="B4288" s="24" t="inlineStr">
        <is>
          <t>OrgType</t>
        </is>
      </c>
      <c r="C4288" s="24" t="inlineStr">
        <is>
          <t>企业类型</t>
        </is>
      </c>
      <c r="D4288" s="24" t="inlineStr">
        <is>
          <t>200240241</t>
        </is>
      </c>
      <c r="E4288" s="24" t="inlineStr">
        <is>
          <t>港、澳投资股份有限公司</t>
        </is>
      </c>
    </row>
    <row r="4289">
      <c r="B4289" s="24" t="inlineStr">
        <is>
          <t>OrgType</t>
        </is>
      </c>
      <c r="C4289" s="24" t="inlineStr">
        <is>
          <t>企业类型</t>
        </is>
      </c>
      <c r="D4289" s="24" t="inlineStr">
        <is>
          <t>200240242</t>
        </is>
      </c>
      <c r="E4289" s="24" t="inlineStr">
        <is>
          <t>台商投资股份有限公司</t>
        </is>
      </c>
    </row>
    <row r="4290">
      <c r="B4290" s="24" t="inlineStr">
        <is>
          <t>OrgType</t>
        </is>
      </c>
      <c r="C4290" s="24" t="inlineStr">
        <is>
          <t>企业类型</t>
        </is>
      </c>
      <c r="D4290" s="24" t="inlineStr">
        <is>
          <t>300</t>
        </is>
      </c>
      <c r="E4290" s="24" t="inlineStr">
        <is>
          <t>外商投资企业</t>
        </is>
      </c>
    </row>
    <row r="4291">
      <c r="B4291" s="24" t="inlineStr">
        <is>
          <t>OrgType</t>
        </is>
      </c>
      <c r="C4291" s="24" t="inlineStr">
        <is>
          <t>企业类型</t>
        </is>
      </c>
      <c r="D4291" s="24" t="inlineStr">
        <is>
          <t>300310</t>
        </is>
      </c>
      <c r="E4291" s="24" t="inlineStr">
        <is>
          <t>中外合资经营企业</t>
        </is>
      </c>
    </row>
    <row r="4292">
      <c r="B4292" s="24" t="inlineStr">
        <is>
          <t>OrgType</t>
        </is>
      </c>
      <c r="C4292" s="24" t="inlineStr">
        <is>
          <t>企业类型</t>
        </is>
      </c>
      <c r="D4292" s="24" t="inlineStr">
        <is>
          <t>300320</t>
        </is>
      </c>
      <c r="E4292" s="24" t="inlineStr">
        <is>
          <t>中外合作经营企业</t>
        </is>
      </c>
    </row>
    <row r="4293">
      <c r="B4293" s="24" t="inlineStr">
        <is>
          <t>OrgType</t>
        </is>
      </c>
      <c r="C4293" s="24" t="inlineStr">
        <is>
          <t>企业类型</t>
        </is>
      </c>
      <c r="D4293" s="24" t="inlineStr">
        <is>
          <t>300330</t>
        </is>
      </c>
      <c r="E4293" s="24" t="inlineStr">
        <is>
          <t>外资(独资)企业</t>
        </is>
      </c>
    </row>
    <row r="4294">
      <c r="B4294" s="24" t="inlineStr">
        <is>
          <t>OrgType</t>
        </is>
      </c>
      <c r="C4294" s="24" t="inlineStr">
        <is>
          <t>企业类型</t>
        </is>
      </c>
      <c r="D4294" s="24" t="inlineStr">
        <is>
          <t>300340</t>
        </is>
      </c>
      <c r="E4294" s="24" t="inlineStr">
        <is>
          <t>外商投资股份有限公司</t>
        </is>
      </c>
    </row>
    <row r="4295">
      <c r="B4295" s="24" t="inlineStr">
        <is>
          <t>OrgType</t>
        </is>
      </c>
      <c r="C4295" s="24" t="inlineStr">
        <is>
          <t>企业类型</t>
        </is>
      </c>
      <c r="D4295" s="24" t="inlineStr">
        <is>
          <t>400</t>
        </is>
      </c>
      <c r="E4295" s="24" t="inlineStr">
        <is>
          <t>个体经营</t>
        </is>
      </c>
    </row>
    <row r="4296">
      <c r="B4296" s="24" t="inlineStr">
        <is>
          <t>OrgType</t>
        </is>
      </c>
      <c r="C4296" s="24" t="inlineStr">
        <is>
          <t>企业类型</t>
        </is>
      </c>
      <c r="D4296" s="24" t="inlineStr">
        <is>
          <t>400410</t>
        </is>
      </c>
      <c r="E4296" s="24" t="inlineStr">
        <is>
          <t>个体经营户</t>
        </is>
      </c>
    </row>
    <row r="4297">
      <c r="B4297" s="24" t="inlineStr">
        <is>
          <t>OrgType</t>
        </is>
      </c>
      <c r="C4297" s="24" t="inlineStr">
        <is>
          <t>企业类型</t>
        </is>
      </c>
      <c r="D4297" s="24" t="inlineStr">
        <is>
          <t>400420</t>
        </is>
      </c>
      <c r="E4297" s="24" t="inlineStr">
        <is>
          <t>个人合伙</t>
        </is>
      </c>
    </row>
    <row r="4298" ht="15.95" customHeight="1" s="170">
      <c r="B4298" s="122" t="inlineStr">
        <is>
          <t>码值：QualicationEnterpreneurs</t>
        </is>
      </c>
    </row>
    <row r="4299">
      <c r="B4299" s="24" t="inlineStr">
        <is>
          <t>QualicationEnterpreneurs</t>
        </is>
      </c>
      <c r="C4299" s="24" t="inlineStr">
        <is>
          <t>信用等级评估统一导入</t>
        </is>
      </c>
      <c r="D4299" s="24" t="inlineStr">
        <is>
          <t>01</t>
        </is>
      </c>
      <c r="E4299" s="24" t="inlineStr">
        <is>
          <t>特级</t>
        </is>
      </c>
    </row>
    <row r="4300">
      <c r="B4300" s="24" t="inlineStr">
        <is>
          <t>QualicationEnterpreneurs</t>
        </is>
      </c>
      <c r="C4300" s="24" t="inlineStr">
        <is>
          <t>信用等级评估统一导入</t>
        </is>
      </c>
      <c r="D4300" s="24" t="inlineStr">
        <is>
          <t>02</t>
        </is>
      </c>
      <c r="E4300" s="24" t="inlineStr">
        <is>
          <t>一级</t>
        </is>
      </c>
    </row>
    <row r="4301">
      <c r="B4301" s="24" t="inlineStr">
        <is>
          <t>QualicationEnterpreneurs</t>
        </is>
      </c>
      <c r="C4301" s="24" t="inlineStr">
        <is>
          <t>信用等级评估统一导入</t>
        </is>
      </c>
      <c r="D4301" s="24" t="inlineStr">
        <is>
          <t>03</t>
        </is>
      </c>
      <c r="E4301" s="24" t="inlineStr">
        <is>
          <t>二级</t>
        </is>
      </c>
    </row>
    <row r="4302">
      <c r="B4302" s="24" t="inlineStr">
        <is>
          <t>QualicationEnterpreneurs</t>
        </is>
      </c>
      <c r="C4302" s="24" t="inlineStr">
        <is>
          <t>信用等级评估统一导入</t>
        </is>
      </c>
      <c r="D4302" s="24" t="inlineStr">
        <is>
          <t>04</t>
        </is>
      </c>
      <c r="E4302" s="24" t="inlineStr">
        <is>
          <t>其他（或没有提供）</t>
        </is>
      </c>
    </row>
    <row r="4303" ht="15.95" customHeight="1" s="170">
      <c r="B4303" s="122" t="inlineStr">
        <is>
          <t>码值：AgencyAlertRules</t>
        </is>
      </c>
    </row>
    <row r="4304">
      <c r="B4304" s="24" t="inlineStr">
        <is>
          <t>AgencyAlertRules</t>
        </is>
      </c>
      <c r="C4304" s="24" t="inlineStr">
        <is>
          <t>警示规则</t>
        </is>
      </c>
      <c r="D4304" s="24" t="inlineStr">
        <is>
          <t>01</t>
        </is>
      </c>
      <c r="E4304" s="24" t="inlineStr">
        <is>
          <t>（一）评估执业资格等级被降级处分，或受到评估行业主管部门各种形式处分的；</t>
        </is>
      </c>
    </row>
    <row r="4305">
      <c r="B4305" s="24" t="inlineStr">
        <is>
          <t>AgencyAlertRules</t>
        </is>
      </c>
      <c r="C4305" s="24" t="inlineStr">
        <is>
          <t>警示规则</t>
        </is>
      </c>
      <c r="D4305" s="24" t="inlineStr">
        <is>
          <t>02</t>
        </is>
      </c>
      <c r="E4305" s="24" t="inlineStr">
        <is>
          <t>（二）评估收费不符合行业标准，受到有关管理部门查处和通报批评的；</t>
        </is>
      </c>
    </row>
    <row r="4306">
      <c r="B4306" s="24" t="inlineStr">
        <is>
          <t>AgencyAlertRules</t>
        </is>
      </c>
      <c r="C4306" s="24" t="inlineStr">
        <is>
          <t>警示规则</t>
        </is>
      </c>
      <c r="D4306" s="24" t="inlineStr">
        <is>
          <t>03</t>
        </is>
      </c>
      <c r="E4306" s="24" t="inlineStr">
        <is>
          <t>（三）出具的评估报告中未对抵（质）押品存在的明显风险进行揭示的；</t>
        </is>
      </c>
    </row>
    <row r="4307">
      <c r="B4307" s="24" t="inlineStr">
        <is>
          <t>AgencyAlertRules</t>
        </is>
      </c>
      <c r="C4307" s="24" t="inlineStr">
        <is>
          <t>警示规则</t>
        </is>
      </c>
      <c r="D4307" s="24" t="inlineStr">
        <is>
          <t>04</t>
        </is>
      </c>
      <c r="E4307" s="24" t="inlineStr">
        <is>
          <t>（四）评估机构未考虑基准日后事项对评估对象价值的影响，未对预期可能导致抵（质）押品价值 &lt;br/&gt;&amp;nbsp&amp;nbsp&amp;nbsp&amp;nbsp&amp;nbsp&amp;nbsp&amp;nbsp&amp;nbsp下跌的因素予以分析和说明，未对估价对象的变现能力进行分析的;</t>
        </is>
      </c>
    </row>
    <row r="4308">
      <c r="B4308" s="24" t="inlineStr">
        <is>
          <t>AgencyAlertRules</t>
        </is>
      </c>
      <c r="C4308" s="24" t="inlineStr">
        <is>
          <t>警示规则</t>
        </is>
      </c>
      <c r="D4308" s="24" t="inlineStr">
        <is>
          <t>05</t>
        </is>
      </c>
      <c r="E4308" s="24" t="inlineStr">
        <is>
          <t>（五）未能及时合理地回复本行相关人员对其出具的评估报告有关疑问的；</t>
        </is>
      </c>
    </row>
    <row r="4309">
      <c r="B4309" s="24" t="inlineStr">
        <is>
          <t>AgencyAlertRules</t>
        </is>
      </c>
      <c r="C4309" s="24" t="inlineStr">
        <is>
          <t>警示规则</t>
        </is>
      </c>
      <c r="D4309" s="24" t="inlineStr">
        <is>
          <t>06</t>
        </is>
      </c>
      <c r="E4309" s="24" t="inlineStr">
        <is>
          <t>（六）按规定向本行提供有关材料，或不按照本行管理制度要求对本行日常管理和检查不予配合的；</t>
        </is>
      </c>
    </row>
    <row r="4310">
      <c r="B4310" s="24" t="inlineStr">
        <is>
          <t>AgencyAlertRules</t>
        </is>
      </c>
      <c r="C4310" s="24" t="inlineStr">
        <is>
          <t>警示规则</t>
        </is>
      </c>
      <c r="D4310" s="24" t="inlineStr">
        <is>
          <t>07</t>
        </is>
      </c>
      <c r="E4310" s="24" t="inlineStr">
        <is>
          <t>（七）与被评估对象或授信客户有利害关系，或其他可能直接或间接影响评估质量的利害关系的；</t>
        </is>
      </c>
    </row>
    <row r="4311">
      <c r="B4311" s="24" t="inlineStr">
        <is>
          <t>AgencyAlertRules</t>
        </is>
      </c>
      <c r="C4311" s="24" t="inlineStr">
        <is>
          <t>警示规则</t>
        </is>
      </c>
      <c r="D4311" s="24" t="inlineStr">
        <is>
          <t>08</t>
        </is>
      </c>
      <c r="E4311" s="24" t="inlineStr">
        <is>
          <t>（八）分行相关部门或人员反映评估质量等存在问题的；</t>
        </is>
      </c>
    </row>
    <row r="4312" ht="15.95" customHeight="1" s="170">
      <c r="B4312" s="122" t="inlineStr">
        <is>
          <t>码值：旅行社</t>
        </is>
      </c>
    </row>
    <row r="4313">
      <c r="B4313" s="24" t="inlineStr">
        <is>
          <t>旅行社</t>
        </is>
      </c>
      <c r="C4313" s="24" t="inlineStr">
        <is>
          <t>旅行社</t>
        </is>
      </c>
      <c r="D4313" s="24" t="inlineStr">
        <is>
          <t>1</t>
        </is>
      </c>
      <c r="E4313" s="24" t="inlineStr">
        <is>
          <t>一级</t>
        </is>
      </c>
    </row>
    <row r="4314">
      <c r="B4314" s="24" t="inlineStr">
        <is>
          <t>旅行社</t>
        </is>
      </c>
      <c r="C4314" s="24" t="inlineStr">
        <is>
          <t>旅行社</t>
        </is>
      </c>
      <c r="D4314" s="24" t="inlineStr">
        <is>
          <t>2</t>
        </is>
      </c>
      <c r="E4314" s="24" t="inlineStr">
        <is>
          <t>全国旅游50强</t>
        </is>
      </c>
    </row>
    <row r="4315">
      <c r="B4315" s="24" t="inlineStr">
        <is>
          <t>旅行社</t>
        </is>
      </c>
      <c r="C4315" s="24" t="inlineStr">
        <is>
          <t>旅行社</t>
        </is>
      </c>
      <c r="D4315" s="24" t="inlineStr">
        <is>
          <t>3</t>
        </is>
      </c>
      <c r="E4315" s="24" t="inlineStr">
        <is>
          <t>其他</t>
        </is>
      </c>
    </row>
    <row r="4316" ht="15.95" customHeight="1" s="170">
      <c r="B4316" s="122" t="inlineStr">
        <is>
          <t>码值：NewFlowApproveMain</t>
        </is>
      </c>
    </row>
    <row r="4317">
      <c r="B4317" s="24" t="inlineStr">
        <is>
          <t>NewFlowApproveMain</t>
        </is>
      </c>
      <c r="C4317" s="24" t="n"/>
      <c r="D4317" s="24" t="inlineStr">
        <is>
          <t>N</t>
        </is>
      </c>
      <c r="E4317" s="24" t="inlineStr">
        <is>
          <t>当前工作</t>
        </is>
      </c>
    </row>
    <row r="4318">
      <c r="B4318" s="24" t="inlineStr">
        <is>
          <t>NewFlowApproveMain</t>
        </is>
      </c>
      <c r="C4318" s="24" t="n"/>
      <c r="D4318" s="24" t="inlineStr">
        <is>
          <t>Y</t>
        </is>
      </c>
      <c r="E4318" s="24" t="inlineStr">
        <is>
          <t>已完成工作</t>
        </is>
      </c>
    </row>
    <row r="4319" ht="15.95" customHeight="1" s="170">
      <c r="B4319" s="122" t="inlineStr">
        <is>
          <t>码值：TransactionApplyMain</t>
        </is>
      </c>
    </row>
    <row r="4320">
      <c r="B4320" s="24" t="inlineStr">
        <is>
          <t>TransactionApplyMain</t>
        </is>
      </c>
      <c r="C4320" s="24" t="inlineStr">
        <is>
          <t>贷款交易申请主树图</t>
        </is>
      </c>
      <c r="D4320" s="24" t="inlineStr">
        <is>
          <t>1010</t>
        </is>
      </c>
      <c r="E4320" s="24" t="inlineStr">
        <is>
          <t>待处理</t>
        </is>
      </c>
    </row>
    <row r="4321">
      <c r="B4321" s="24" t="inlineStr">
        <is>
          <t>TransactionApplyMain</t>
        </is>
      </c>
      <c r="C4321" s="24" t="inlineStr">
        <is>
          <t>贷款交易申请主树图</t>
        </is>
      </c>
      <c r="D4321" s="24" t="inlineStr">
        <is>
          <t>1020</t>
        </is>
      </c>
      <c r="E4321" s="24" t="inlineStr">
        <is>
          <t>复核中</t>
        </is>
      </c>
    </row>
    <row r="4322">
      <c r="B4322" s="24" t="inlineStr">
        <is>
          <t>TransactionApplyMain</t>
        </is>
      </c>
      <c r="C4322" s="24" t="inlineStr">
        <is>
          <t>贷款交易申请主树图</t>
        </is>
      </c>
      <c r="D4322" s="24" t="inlineStr">
        <is>
          <t>1040</t>
        </is>
      </c>
      <c r="E4322" s="24" t="inlineStr">
        <is>
          <t>已复核</t>
        </is>
      </c>
    </row>
    <row r="4323">
      <c r="B4323" s="24" t="inlineStr">
        <is>
          <t>TransactionApplyMain</t>
        </is>
      </c>
      <c r="C4323" s="24" t="inlineStr">
        <is>
          <t>贷款交易申请主树图</t>
        </is>
      </c>
      <c r="D4323" s="24" t="inlineStr">
        <is>
          <t>1050</t>
        </is>
      </c>
      <c r="E4323" s="24" t="inlineStr">
        <is>
          <t>被否决</t>
        </is>
      </c>
    </row>
    <row r="4324" ht="15.95" customHeight="1" s="170">
      <c r="B4324" s="122" t="inlineStr">
        <is>
          <t>码值：ListingCorpType</t>
        </is>
      </c>
    </row>
    <row r="4325">
      <c r="B4325" s="24" t="inlineStr">
        <is>
          <t>ListingCorpType</t>
        </is>
      </c>
      <c r="C4325" s="24" t="inlineStr">
        <is>
          <t>上市公司类型</t>
        </is>
      </c>
      <c r="D4325" s="24" t="inlineStr">
        <is>
          <t>2</t>
        </is>
      </c>
      <c r="E4325" s="24" t="inlineStr">
        <is>
          <t>非上市</t>
        </is>
      </c>
    </row>
    <row r="4326">
      <c r="B4326" s="24" t="inlineStr">
        <is>
          <t>ListingCorpType</t>
        </is>
      </c>
      <c r="C4326" s="24" t="inlineStr">
        <is>
          <t>上市公司类型</t>
        </is>
      </c>
      <c r="D4326" s="24" t="inlineStr">
        <is>
          <t>A</t>
        </is>
      </c>
      <c r="E4326" s="24" t="inlineStr">
        <is>
          <t>A股上市</t>
        </is>
      </c>
    </row>
    <row r="4327">
      <c r="B4327" s="24" t="inlineStr">
        <is>
          <t>ListingCorpType</t>
        </is>
      </c>
      <c r="C4327" s="24" t="inlineStr">
        <is>
          <t>上市公司类型</t>
        </is>
      </c>
      <c r="D4327" s="24" t="inlineStr">
        <is>
          <t>B</t>
        </is>
      </c>
      <c r="E4327" s="24" t="inlineStr">
        <is>
          <t>B股上市</t>
        </is>
      </c>
    </row>
    <row r="4328">
      <c r="B4328" s="24" t="inlineStr">
        <is>
          <t>ListingCorpType</t>
        </is>
      </c>
      <c r="C4328" s="24" t="inlineStr">
        <is>
          <t>上市公司类型</t>
        </is>
      </c>
      <c r="D4328" s="24" t="inlineStr">
        <is>
          <t>F</t>
        </is>
      </c>
      <c r="E4328" s="24" t="inlineStr">
        <is>
          <t>海外上市</t>
        </is>
      </c>
    </row>
    <row r="4329">
      <c r="B4329" s="24" t="inlineStr">
        <is>
          <t>ListingCorpType</t>
        </is>
      </c>
      <c r="C4329" s="24" t="inlineStr">
        <is>
          <t>上市公司类型</t>
        </is>
      </c>
      <c r="D4329" s="24" t="inlineStr">
        <is>
          <t>H</t>
        </is>
      </c>
      <c r="E4329" s="24" t="inlineStr">
        <is>
          <t>香港上市</t>
        </is>
      </c>
    </row>
    <row r="4330" ht="15.95" customHeight="1" s="170">
      <c r="B4330" s="122" t="inlineStr">
        <is>
          <t>码值：MergerDealType</t>
        </is>
      </c>
    </row>
    <row r="4331">
      <c r="B4331" s="24" t="inlineStr">
        <is>
          <t>MergerDealType</t>
        </is>
      </c>
      <c r="C4331" s="24" t="inlineStr">
        <is>
          <t>并购交易方式</t>
        </is>
      </c>
      <c r="D4331" s="24" t="inlineStr">
        <is>
          <t>010</t>
        </is>
      </c>
      <c r="E4331" s="24" t="inlineStr">
        <is>
          <t>合并</t>
        </is>
      </c>
    </row>
    <row r="4332">
      <c r="B4332" s="24" t="inlineStr">
        <is>
          <t>MergerDealType</t>
        </is>
      </c>
      <c r="C4332" s="24" t="inlineStr">
        <is>
          <t>并购交易方式</t>
        </is>
      </c>
      <c r="D4332" s="24" t="inlineStr">
        <is>
          <t>020</t>
        </is>
      </c>
      <c r="E4332" s="24" t="inlineStr">
        <is>
          <t>股权收购</t>
        </is>
      </c>
    </row>
    <row r="4333">
      <c r="B4333" s="24" t="inlineStr">
        <is>
          <t>MergerDealType</t>
        </is>
      </c>
      <c r="C4333" s="24" t="inlineStr">
        <is>
          <t>并购交易方式</t>
        </is>
      </c>
      <c r="D4333" s="24" t="inlineStr">
        <is>
          <t>030</t>
        </is>
      </c>
      <c r="E4333" s="24" t="inlineStr">
        <is>
          <t>资产收购</t>
        </is>
      </c>
    </row>
    <row r="4334" ht="15.95" customHeight="1" s="170">
      <c r="B4334" s="122" t="inlineStr">
        <is>
          <t>码值：决策机制</t>
        </is>
      </c>
    </row>
    <row r="4335">
      <c r="B4335" s="24" t="inlineStr">
        <is>
          <t>决策机制</t>
        </is>
      </c>
      <c r="C4335" s="24" t="inlineStr">
        <is>
          <t>决策机制</t>
        </is>
      </c>
      <c r="D4335" s="24" t="inlineStr">
        <is>
          <t>1</t>
        </is>
      </c>
      <c r="E4335" s="24" t="inlineStr">
        <is>
          <t>健全</t>
        </is>
      </c>
    </row>
    <row r="4336">
      <c r="B4336" s="24" t="inlineStr">
        <is>
          <t>决策机制</t>
        </is>
      </c>
      <c r="C4336" s="24" t="inlineStr">
        <is>
          <t>决策机制</t>
        </is>
      </c>
      <c r="D4336" s="24" t="inlineStr">
        <is>
          <t>2</t>
        </is>
      </c>
      <c r="E4336" s="24" t="inlineStr">
        <is>
          <t>不健全</t>
        </is>
      </c>
    </row>
    <row r="4337">
      <c r="B4337" s="24" t="inlineStr">
        <is>
          <t>决策机制</t>
        </is>
      </c>
      <c r="C4337" s="24" t="inlineStr">
        <is>
          <t>决策机制</t>
        </is>
      </c>
      <c r="D4337" s="24" t="inlineStr">
        <is>
          <t>3</t>
        </is>
      </c>
      <c r="E4337" s="24" t="inlineStr">
        <is>
          <t>无决策机制</t>
        </is>
      </c>
    </row>
    <row r="4338" ht="15.95" customHeight="1" s="170">
      <c r="B4338" s="122" t="inlineStr">
        <is>
          <t>码值：GuarantyBillType</t>
        </is>
      </c>
    </row>
    <row r="4339">
      <c r="B4339" s="24" t="inlineStr">
        <is>
          <t>GuarantyBillType</t>
        </is>
      </c>
      <c r="C4339" s="24" t="inlineStr">
        <is>
          <t>担保票据类型</t>
        </is>
      </c>
      <c r="D4339" s="24" t="inlineStr">
        <is>
          <t>01</t>
        </is>
      </c>
      <c r="E4339" s="24" t="inlineStr">
        <is>
          <t>汇票</t>
        </is>
      </c>
    </row>
    <row r="4340">
      <c r="B4340" s="24" t="inlineStr">
        <is>
          <t>GuarantyBillType</t>
        </is>
      </c>
      <c r="C4340" s="24" t="inlineStr">
        <is>
          <t>担保票据类型</t>
        </is>
      </c>
      <c r="D4340" s="24" t="inlineStr">
        <is>
          <t>02</t>
        </is>
      </c>
      <c r="E4340" s="24" t="inlineStr">
        <is>
          <t>本票</t>
        </is>
      </c>
    </row>
    <row r="4341">
      <c r="B4341" s="24" t="inlineStr">
        <is>
          <t>GuarantyBillType</t>
        </is>
      </c>
      <c r="C4341" s="24" t="inlineStr">
        <is>
          <t>担保票据类型</t>
        </is>
      </c>
      <c r="D4341" s="24" t="inlineStr">
        <is>
          <t>03</t>
        </is>
      </c>
      <c r="E4341" s="24" t="inlineStr">
        <is>
          <t>支票</t>
        </is>
      </c>
    </row>
    <row r="4342">
      <c r="B4342" s="24" t="inlineStr">
        <is>
          <t>GuarantyBillType</t>
        </is>
      </c>
      <c r="C4342" s="24" t="inlineStr">
        <is>
          <t>担保票据类型</t>
        </is>
      </c>
      <c r="D4342" s="24" t="inlineStr">
        <is>
          <t>04</t>
        </is>
      </c>
      <c r="E4342" s="24" t="inlineStr">
        <is>
          <t>其他票据</t>
        </is>
      </c>
    </row>
    <row r="4343" ht="15.95" customHeight="1" s="170">
      <c r="B4343" s="122" t="inlineStr">
        <is>
          <t>码值：总经理学历</t>
        </is>
      </c>
    </row>
    <row r="4344">
      <c r="B4344" s="24" t="inlineStr">
        <is>
          <t>总经理学历</t>
        </is>
      </c>
      <c r="C4344" s="24" t="inlineStr">
        <is>
          <t>总经理学历</t>
        </is>
      </c>
      <c r="D4344" s="24" t="inlineStr">
        <is>
          <t>1</t>
        </is>
      </c>
      <c r="E4344" s="24" t="inlineStr">
        <is>
          <t>研究生及研究生以上</t>
        </is>
      </c>
    </row>
    <row r="4345">
      <c r="B4345" s="24" t="inlineStr">
        <is>
          <t>总经理学历</t>
        </is>
      </c>
      <c r="C4345" s="24" t="inlineStr">
        <is>
          <t>总经理学历</t>
        </is>
      </c>
      <c r="D4345" s="24" t="inlineStr">
        <is>
          <t>2</t>
        </is>
      </c>
      <c r="E4345" s="24" t="inlineStr">
        <is>
          <t>本科生</t>
        </is>
      </c>
    </row>
    <row r="4346">
      <c r="B4346" s="24" t="inlineStr">
        <is>
          <t>总经理学历</t>
        </is>
      </c>
      <c r="C4346" s="24" t="inlineStr">
        <is>
          <t>总经理学历</t>
        </is>
      </c>
      <c r="D4346" s="24" t="inlineStr">
        <is>
          <t>3</t>
        </is>
      </c>
      <c r="E4346" s="24" t="inlineStr">
        <is>
          <t>大专及大专以下</t>
        </is>
      </c>
    </row>
    <row r="4347">
      <c r="B4347" s="24" t="inlineStr">
        <is>
          <t>总经理学历</t>
        </is>
      </c>
      <c r="C4347" s="24" t="inlineStr">
        <is>
          <t>总经理学历</t>
        </is>
      </c>
      <c r="D4347" s="24" t="inlineStr">
        <is>
          <t>4</t>
        </is>
      </c>
      <c r="E4347" s="24" t="inlineStr">
        <is>
          <t>博士</t>
        </is>
      </c>
    </row>
    <row r="4348">
      <c r="B4348" s="24" t="inlineStr">
        <is>
          <t>总经理学历</t>
        </is>
      </c>
      <c r="C4348" s="24" t="inlineStr">
        <is>
          <t>总经理学历</t>
        </is>
      </c>
      <c r="D4348" s="24" t="inlineStr">
        <is>
          <t>5</t>
        </is>
      </c>
      <c r="E4348" s="24" t="inlineStr">
        <is>
          <t>欧美名牌大学MBA</t>
        </is>
      </c>
    </row>
    <row r="4349">
      <c r="B4349" s="24" t="inlineStr">
        <is>
          <t>总经理学历</t>
        </is>
      </c>
      <c r="C4349" s="24" t="inlineStr">
        <is>
          <t>总经理学历</t>
        </is>
      </c>
      <c r="D4349" s="24" t="inlineStr">
        <is>
          <t>6</t>
        </is>
      </c>
      <c r="E4349" s="24" t="inlineStr">
        <is>
          <t>有外资投资银行工作经验</t>
        </is>
      </c>
    </row>
    <row r="4350" ht="15.95" customHeight="1" s="170">
      <c r="B4350" s="122" t="inlineStr">
        <is>
          <t>码值：BookInContractUnderApproveMain</t>
        </is>
      </c>
    </row>
    <row r="4351">
      <c r="B4351" s="24" t="inlineStr">
        <is>
          <t>BookInContractUnderApproveMain</t>
        </is>
      </c>
      <c r="C4351" s="24" t="inlineStr">
        <is>
          <t>额度项下合同登记审批主树图</t>
        </is>
      </c>
      <c r="D4351" s="24" t="inlineStr">
        <is>
          <t>N</t>
        </is>
      </c>
      <c r="E4351" s="24" t="inlineStr">
        <is>
          <t>待办任务</t>
        </is>
      </c>
    </row>
    <row r="4352">
      <c r="B4352" s="24" t="inlineStr">
        <is>
          <t>BookInContractUnderApproveMain</t>
        </is>
      </c>
      <c r="C4352" s="24" t="inlineStr">
        <is>
          <t>额度项下合同登记审批主树图</t>
        </is>
      </c>
      <c r="D4352" s="24" t="inlineStr">
        <is>
          <t>Y</t>
        </is>
      </c>
      <c r="E4352" s="24" t="inlineStr">
        <is>
          <t>已办任务</t>
        </is>
      </c>
    </row>
    <row r="4353" ht="15.95" customHeight="1" s="170">
      <c r="B4353" s="122" t="inlineStr">
        <is>
          <t>码值：决策能力</t>
        </is>
      </c>
    </row>
    <row r="4354">
      <c r="B4354" s="24" t="inlineStr">
        <is>
          <t>决策能力</t>
        </is>
      </c>
      <c r="C4354" s="24" t="inlineStr">
        <is>
          <t>决策能力</t>
        </is>
      </c>
      <c r="D4354" s="24" t="inlineStr">
        <is>
          <t>1</t>
        </is>
      </c>
      <c r="E4354" s="24" t="inlineStr">
        <is>
          <t>好</t>
        </is>
      </c>
    </row>
    <row r="4355">
      <c r="B4355" s="24" t="inlineStr">
        <is>
          <t>决策能力</t>
        </is>
      </c>
      <c r="C4355" s="24" t="inlineStr">
        <is>
          <t>决策能力</t>
        </is>
      </c>
      <c r="D4355" s="24" t="inlineStr">
        <is>
          <t>2</t>
        </is>
      </c>
      <c r="E4355" s="24" t="inlineStr">
        <is>
          <t>较好</t>
        </is>
      </c>
    </row>
    <row r="4356">
      <c r="B4356" s="24" t="inlineStr">
        <is>
          <t>决策能力</t>
        </is>
      </c>
      <c r="C4356" s="24" t="inlineStr">
        <is>
          <t>决策能力</t>
        </is>
      </c>
      <c r="D4356" s="24" t="inlineStr">
        <is>
          <t>3</t>
        </is>
      </c>
      <c r="E4356" s="24" t="inlineStr">
        <is>
          <t>一般</t>
        </is>
      </c>
    </row>
    <row r="4357">
      <c r="B4357" s="24" t="inlineStr">
        <is>
          <t>决策能力</t>
        </is>
      </c>
      <c r="C4357" s="24" t="inlineStr">
        <is>
          <t>决策能力</t>
        </is>
      </c>
      <c r="D4357" s="24" t="inlineStr">
        <is>
          <t>4</t>
        </is>
      </c>
      <c r="E4357" s="24" t="inlineStr">
        <is>
          <t>较差</t>
        </is>
      </c>
    </row>
    <row r="4358" ht="15.95" customHeight="1" s="170">
      <c r="B4358" s="122" t="inlineStr">
        <is>
          <t>码值：Classify</t>
        </is>
      </c>
    </row>
    <row r="4359">
      <c r="B4359" s="24" t="inlineStr">
        <is>
          <t>Classify</t>
        </is>
      </c>
      <c r="C4359" s="24" t="inlineStr">
        <is>
          <t>风险缓释分类</t>
        </is>
      </c>
      <c r="D4359" s="24" t="inlineStr">
        <is>
          <t>010</t>
        </is>
      </c>
      <c r="E4359" s="24" t="inlineStr">
        <is>
          <t>表内净额结算</t>
        </is>
      </c>
    </row>
    <row r="4360">
      <c r="B4360" s="24" t="inlineStr">
        <is>
          <t>Classify</t>
        </is>
      </c>
      <c r="C4360" s="24" t="inlineStr">
        <is>
          <t>风险缓释分类</t>
        </is>
      </c>
      <c r="D4360" s="24" t="inlineStr">
        <is>
          <t>020</t>
        </is>
      </c>
      <c r="E4360" s="24" t="inlineStr">
        <is>
          <t>金融质押品</t>
        </is>
      </c>
    </row>
    <row r="4361">
      <c r="B4361" s="24" t="inlineStr">
        <is>
          <t>Classify</t>
        </is>
      </c>
      <c r="C4361" s="24" t="inlineStr">
        <is>
          <t>风险缓释分类</t>
        </is>
      </c>
      <c r="D4361" s="24" t="inlineStr">
        <is>
          <t>030</t>
        </is>
      </c>
      <c r="E4361" s="24" t="inlineStr">
        <is>
          <t>应收帐款</t>
        </is>
      </c>
    </row>
    <row r="4362">
      <c r="B4362" s="24" t="inlineStr">
        <is>
          <t>Classify</t>
        </is>
      </c>
      <c r="C4362" s="24" t="inlineStr">
        <is>
          <t>风险缓释分类</t>
        </is>
      </c>
      <c r="D4362" s="24" t="inlineStr">
        <is>
          <t>040</t>
        </is>
      </c>
      <c r="E4362" s="24" t="inlineStr">
        <is>
          <t>房地产抵押</t>
        </is>
      </c>
    </row>
    <row r="4363">
      <c r="B4363" s="24" t="inlineStr">
        <is>
          <t>Classify</t>
        </is>
      </c>
      <c r="C4363" s="24" t="inlineStr">
        <is>
          <t>风险缓释分类</t>
        </is>
      </c>
      <c r="D4363" s="24" t="inlineStr">
        <is>
          <t>050</t>
        </is>
      </c>
      <c r="E4363" s="24" t="inlineStr">
        <is>
          <t>其它抵押品</t>
        </is>
      </c>
    </row>
    <row r="4364">
      <c r="B4364" s="24" t="inlineStr">
        <is>
          <t>Classify</t>
        </is>
      </c>
      <c r="C4364" s="24" t="inlineStr">
        <is>
          <t>风险缓释分类</t>
        </is>
      </c>
      <c r="D4364" s="24" t="inlineStr">
        <is>
          <t>060</t>
        </is>
      </c>
      <c r="E4364" s="24" t="inlineStr">
        <is>
          <t>保证</t>
        </is>
      </c>
    </row>
    <row r="4365">
      <c r="B4365" s="24" t="inlineStr">
        <is>
          <t>Classify</t>
        </is>
      </c>
      <c r="C4365" s="24" t="inlineStr">
        <is>
          <t>风险缓释分类</t>
        </is>
      </c>
      <c r="D4365" s="24" t="inlineStr">
        <is>
          <t>070</t>
        </is>
      </c>
      <c r="E4365" s="24" t="inlineStr">
        <is>
          <t>信用衍生工具</t>
        </is>
      </c>
    </row>
    <row r="4366" ht="15.95" customHeight="1" s="170">
      <c r="B4366" s="122" t="inlineStr">
        <is>
          <t>码值：IndEconomicView</t>
        </is>
      </c>
    </row>
    <row r="4367">
      <c r="B4367" s="24" t="inlineStr">
        <is>
          <t>IndEconomicView</t>
        </is>
      </c>
      <c r="C4367" s="24" t="inlineStr">
        <is>
          <t>个体经营户详情视图</t>
        </is>
      </c>
      <c r="D4367" s="24" t="inlineStr">
        <is>
          <t>010</t>
        </is>
      </c>
      <c r="E4367" s="24" t="inlineStr">
        <is>
          <t>个体经营户基本信息</t>
        </is>
      </c>
    </row>
    <row r="4368">
      <c r="B4368" s="24" t="inlineStr">
        <is>
          <t>IndEconomicView</t>
        </is>
      </c>
      <c r="C4368" s="24" t="inlineStr">
        <is>
          <t>个体经营户详情视图</t>
        </is>
      </c>
      <c r="D4368" s="24" t="inlineStr">
        <is>
          <t>010010</t>
        </is>
      </c>
      <c r="E4368" s="24" t="inlineStr">
        <is>
          <t>个人概况</t>
        </is>
      </c>
    </row>
    <row r="4369">
      <c r="B4369" s="24" t="inlineStr">
        <is>
          <t>IndEconomicView</t>
        </is>
      </c>
      <c r="C4369" s="24" t="inlineStr">
        <is>
          <t>个体经营户详情视图</t>
        </is>
      </c>
      <c r="D4369" s="24" t="inlineStr">
        <is>
          <t>010015</t>
        </is>
      </c>
      <c r="E4369" s="24" t="inlineStr">
        <is>
          <t>个体经营户企业信息</t>
        </is>
      </c>
    </row>
    <row r="4370">
      <c r="B4370" s="24" t="inlineStr">
        <is>
          <t>IndEconomicView</t>
        </is>
      </c>
      <c r="C4370" s="24" t="inlineStr">
        <is>
          <t>个体经营户详情视图</t>
        </is>
      </c>
      <c r="D4370" s="24" t="inlineStr">
        <is>
          <t>010030</t>
        </is>
      </c>
      <c r="E4370" s="24" t="inlineStr">
        <is>
          <t>个人学业履历</t>
        </is>
      </c>
    </row>
    <row r="4371">
      <c r="B4371" s="24" t="inlineStr">
        <is>
          <t>IndEconomicView</t>
        </is>
      </c>
      <c r="C4371" s="24" t="inlineStr">
        <is>
          <t>个体经营户详情视图</t>
        </is>
      </c>
      <c r="D4371" s="24" t="inlineStr">
        <is>
          <t>010040</t>
        </is>
      </c>
      <c r="E4371" s="24" t="inlineStr">
        <is>
          <t>个人工作履历</t>
        </is>
      </c>
    </row>
    <row r="4372">
      <c r="B4372" s="24" t="inlineStr">
        <is>
          <t>IndEconomicView</t>
        </is>
      </c>
      <c r="C4372" s="24" t="inlineStr">
        <is>
          <t>个体经营户详情视图</t>
        </is>
      </c>
      <c r="D4372" s="24" t="inlineStr">
        <is>
          <t>010180</t>
        </is>
      </c>
      <c r="E4372" s="24" t="inlineStr">
        <is>
          <t>个人摊位厂房信息</t>
        </is>
      </c>
    </row>
    <row r="4373">
      <c r="B4373" s="24" t="inlineStr">
        <is>
          <t>IndEconomicView</t>
        </is>
      </c>
      <c r="C4373" s="24" t="inlineStr">
        <is>
          <t>个体经营户详情视图</t>
        </is>
      </c>
      <c r="D4373" s="24" t="inlineStr">
        <is>
          <t>010190</t>
        </is>
      </c>
      <c r="E4373" s="24" t="inlineStr">
        <is>
          <t>个人账户存款信息</t>
        </is>
      </c>
    </row>
    <row r="4374">
      <c r="B4374" s="24" t="inlineStr">
        <is>
          <t>IndEconomicView</t>
        </is>
      </c>
      <c r="C4374" s="24" t="inlineStr">
        <is>
          <t>个体经营户详情视图</t>
        </is>
      </c>
      <c r="D4374" s="24" t="inlineStr">
        <is>
          <t>010240</t>
        </is>
      </c>
      <c r="E4374" s="24" t="inlineStr">
        <is>
          <t>个人房屋资产信息</t>
        </is>
      </c>
    </row>
    <row r="4375">
      <c r="B4375" s="24" t="inlineStr">
        <is>
          <t>IndEconomicView</t>
        </is>
      </c>
      <c r="C4375" s="24" t="inlineStr">
        <is>
          <t>个体经营户详情视图</t>
        </is>
      </c>
      <c r="D4375" s="24" t="inlineStr">
        <is>
          <t>010250</t>
        </is>
      </c>
      <c r="E4375" s="24" t="inlineStr">
        <is>
          <t>个人车辆资产信息</t>
        </is>
      </c>
    </row>
    <row r="4376">
      <c r="B4376" s="24" t="inlineStr">
        <is>
          <t>IndEconomicView</t>
        </is>
      </c>
      <c r="C4376" s="24" t="inlineStr">
        <is>
          <t>个体经营户详情视图</t>
        </is>
      </c>
      <c r="D4376" s="24" t="inlineStr">
        <is>
          <t>010950</t>
        </is>
      </c>
      <c r="E4376" s="24" t="inlineStr">
        <is>
          <t>个人大事记</t>
        </is>
      </c>
    </row>
    <row r="4377">
      <c r="B4377" s="24" t="inlineStr">
        <is>
          <t>IndEconomicView</t>
        </is>
      </c>
      <c r="C4377" s="24" t="inlineStr">
        <is>
          <t>个体经营户详情视图</t>
        </is>
      </c>
      <c r="D4377" s="24" t="inlineStr">
        <is>
          <t>010970</t>
        </is>
      </c>
      <c r="E4377" s="24" t="inlineStr">
        <is>
          <t>个人提供相关资料</t>
        </is>
      </c>
    </row>
    <row r="4378">
      <c r="B4378" s="24" t="inlineStr">
        <is>
          <t>IndEconomicView</t>
        </is>
      </c>
      <c r="C4378" s="24" t="inlineStr">
        <is>
          <t>个体经营户详情视图</t>
        </is>
      </c>
      <c r="D4378" s="24" t="inlineStr">
        <is>
          <t>010990</t>
        </is>
      </c>
      <c r="E4378" s="24" t="inlineStr">
        <is>
          <t>配偶或家庭主要成员情况</t>
        </is>
      </c>
    </row>
    <row r="4379">
      <c r="B4379" s="24" t="inlineStr">
        <is>
          <t>IndEconomicView</t>
        </is>
      </c>
      <c r="C4379" s="24" t="inlineStr">
        <is>
          <t>个体经营户详情视图</t>
        </is>
      </c>
      <c r="D4379" s="24" t="inlineStr">
        <is>
          <t>030</t>
        </is>
      </c>
      <c r="E4379" s="24" t="inlineStr">
        <is>
          <t>个体经营户财务信息</t>
        </is>
      </c>
    </row>
    <row r="4380">
      <c r="B4380" s="24" t="inlineStr">
        <is>
          <t>IndEconomicView</t>
        </is>
      </c>
      <c r="C4380" s="24" t="inlineStr">
        <is>
          <t>个体经营户详情视图</t>
        </is>
      </c>
      <c r="D4380" s="24" t="inlineStr">
        <is>
          <t>030010</t>
        </is>
      </c>
      <c r="E4380" s="24" t="inlineStr">
        <is>
          <t>财务报表</t>
        </is>
      </c>
    </row>
    <row r="4381">
      <c r="B4381" s="24" t="inlineStr">
        <is>
          <t>IndEconomicView</t>
        </is>
      </c>
      <c r="C4381" s="24" t="inlineStr">
        <is>
          <t>个体经营户详情视图</t>
        </is>
      </c>
      <c r="D4381" s="24" t="inlineStr">
        <is>
          <t>030020</t>
        </is>
      </c>
      <c r="E4381" s="24" t="inlineStr">
        <is>
          <t>个人资产与负债信息</t>
        </is>
      </c>
    </row>
    <row r="4382">
      <c r="B4382" s="24" t="inlineStr">
        <is>
          <t>IndEconomicView</t>
        </is>
      </c>
      <c r="C4382" s="24" t="inlineStr">
        <is>
          <t>个体经营户详情视图</t>
        </is>
      </c>
      <c r="D4382" s="24" t="inlineStr">
        <is>
          <t>030020010</t>
        </is>
      </c>
      <c r="E4382" s="24" t="inlineStr">
        <is>
          <t>社会保险情况</t>
        </is>
      </c>
    </row>
    <row r="4383">
      <c r="B4383" s="24" t="inlineStr">
        <is>
          <t>IndEconomicView</t>
        </is>
      </c>
      <c r="C4383" s="24" t="inlineStr">
        <is>
          <t>个体经营户详情视图</t>
        </is>
      </c>
      <c r="D4383" s="24" t="inlineStr">
        <is>
          <t>030020020</t>
        </is>
      </c>
      <c r="E4383" s="24" t="inlineStr">
        <is>
          <t>财产保险情况</t>
        </is>
      </c>
    </row>
    <row r="4384">
      <c r="B4384" s="24" t="inlineStr">
        <is>
          <t>IndEconomicView</t>
        </is>
      </c>
      <c r="C4384" s="24" t="inlineStr">
        <is>
          <t>个体经营户详情视图</t>
        </is>
      </c>
      <c r="D4384" s="24" t="inlineStr">
        <is>
          <t>030020030</t>
        </is>
      </c>
      <c r="E4384" s="24" t="inlineStr">
        <is>
          <t>人寿保险情况</t>
        </is>
      </c>
    </row>
    <row r="4385">
      <c r="B4385" s="24" t="inlineStr">
        <is>
          <t>IndEconomicView</t>
        </is>
      </c>
      <c r="C4385" s="24" t="inlineStr">
        <is>
          <t>个体经营户详情视图</t>
        </is>
      </c>
      <c r="D4385" s="24" t="inlineStr">
        <is>
          <t>030020060</t>
        </is>
      </c>
      <c r="E4385" s="24" t="inlineStr">
        <is>
          <t>持有股票信息</t>
        </is>
      </c>
    </row>
    <row r="4386">
      <c r="B4386" s="24" t="inlineStr">
        <is>
          <t>IndEconomicView</t>
        </is>
      </c>
      <c r="C4386" s="24" t="inlineStr">
        <is>
          <t>个体经营户详情视图</t>
        </is>
      </c>
      <c r="D4386" s="24" t="inlineStr">
        <is>
          <t>030020070</t>
        </is>
      </c>
      <c r="E4386" s="24" t="inlineStr">
        <is>
          <t>持有债券信息</t>
        </is>
      </c>
    </row>
    <row r="4387">
      <c r="B4387" s="24" t="inlineStr">
        <is>
          <t>IndEconomicView</t>
        </is>
      </c>
      <c r="C4387" s="24" t="inlineStr">
        <is>
          <t>个体经营户详情视图</t>
        </is>
      </c>
      <c r="D4387" s="24" t="inlineStr">
        <is>
          <t>030020080</t>
        </is>
      </c>
      <c r="E4387" s="24" t="inlineStr">
        <is>
          <t>投资企业情况</t>
        </is>
      </c>
    </row>
    <row r="4388">
      <c r="B4388" s="24" t="inlineStr">
        <is>
          <t>IndEconomicView</t>
        </is>
      </c>
      <c r="C4388" s="24" t="inlineStr">
        <is>
          <t>个体经营户详情视图</t>
        </is>
      </c>
      <c r="D4388" s="24" t="inlineStr">
        <is>
          <t>030020090</t>
        </is>
      </c>
      <c r="E4388" s="24" t="inlineStr">
        <is>
          <t>纳税信息</t>
        </is>
      </c>
    </row>
    <row r="4389">
      <c r="B4389" s="24" t="inlineStr">
        <is>
          <t>IndEconomicView</t>
        </is>
      </c>
      <c r="C4389" s="24" t="inlineStr">
        <is>
          <t>个体经营户详情视图</t>
        </is>
      </c>
      <c r="D4389" s="24" t="inlineStr">
        <is>
          <t>030020100</t>
        </is>
      </c>
      <c r="E4389" s="24" t="inlineStr">
        <is>
          <t>无形资产情况</t>
        </is>
      </c>
    </row>
    <row r="4390">
      <c r="B4390" s="24" t="inlineStr">
        <is>
          <t>IndEconomicView</t>
        </is>
      </c>
      <c r="C4390" s="24" t="inlineStr">
        <is>
          <t>个体经营户详情视图</t>
        </is>
      </c>
      <c r="D4390" s="24" t="inlineStr">
        <is>
          <t>030020110</t>
        </is>
      </c>
      <c r="E4390" s="24" t="inlineStr">
        <is>
          <t>其他资产情况</t>
        </is>
      </c>
    </row>
    <row r="4391">
      <c r="B4391" s="24" t="inlineStr">
        <is>
          <t>IndEconomicView</t>
        </is>
      </c>
      <c r="C4391" s="24" t="inlineStr">
        <is>
          <t>个体经营户详情视图</t>
        </is>
      </c>
      <c r="D4391" s="24" t="inlineStr">
        <is>
          <t>030020120</t>
        </is>
      </c>
      <c r="E4391" s="24" t="inlineStr">
        <is>
          <t>其他负债情况</t>
        </is>
      </c>
    </row>
    <row r="4392">
      <c r="B4392" s="24" t="inlineStr">
        <is>
          <t>IndEconomicView</t>
        </is>
      </c>
      <c r="C4392" s="24" t="inlineStr">
        <is>
          <t>个体经营户详情视图</t>
        </is>
      </c>
      <c r="D4392" s="24" t="inlineStr">
        <is>
          <t>040</t>
        </is>
      </c>
      <c r="E4392" s="24" t="inlineStr">
        <is>
          <t>个体经营客户评级信息</t>
        </is>
      </c>
    </row>
    <row r="4393">
      <c r="B4393" s="24" t="inlineStr">
        <is>
          <t>IndEconomicView</t>
        </is>
      </c>
      <c r="C4393" s="24" t="inlineStr">
        <is>
          <t>个体经营户详情视图</t>
        </is>
      </c>
      <c r="D4393" s="24" t="inlineStr">
        <is>
          <t>050</t>
        </is>
      </c>
      <c r="E4393" s="24" t="inlineStr">
        <is>
          <t>个人关联信息</t>
        </is>
      </c>
    </row>
    <row r="4394">
      <c r="B4394" s="24" t="inlineStr">
        <is>
          <t>IndEconomicView</t>
        </is>
      </c>
      <c r="C4394" s="24" t="inlineStr">
        <is>
          <t>个体经营户详情视图</t>
        </is>
      </c>
      <c r="D4394" s="24" t="inlineStr">
        <is>
          <t>050010</t>
        </is>
      </c>
      <c r="E4394" s="24" t="inlineStr">
        <is>
          <t>人员关联查询</t>
        </is>
      </c>
    </row>
    <row r="4395">
      <c r="B4395" s="24" t="inlineStr">
        <is>
          <t>IndEconomicView</t>
        </is>
      </c>
      <c r="C4395" s="24" t="inlineStr">
        <is>
          <t>个体经营户详情视图</t>
        </is>
      </c>
      <c r="D4395" s="24" t="inlineStr">
        <is>
          <t>050020</t>
        </is>
      </c>
      <c r="E4395" s="24" t="inlineStr">
        <is>
          <t>企业关联查询</t>
        </is>
      </c>
    </row>
    <row r="4396">
      <c r="B4396" s="24" t="inlineStr">
        <is>
          <t>IndEconomicView</t>
        </is>
      </c>
      <c r="C4396" s="24" t="inlineStr">
        <is>
          <t>个体经营户详情视图</t>
        </is>
      </c>
      <c r="D4396" s="24" t="inlineStr">
        <is>
          <t>050030</t>
        </is>
      </c>
      <c r="E4396" s="24" t="inlineStr">
        <is>
          <t>关联关系智能搜索</t>
        </is>
      </c>
    </row>
    <row r="4397">
      <c r="B4397" s="24" t="inlineStr">
        <is>
          <t>IndEconomicView</t>
        </is>
      </c>
      <c r="C4397" s="24" t="inlineStr">
        <is>
          <t>个体经营户详情视图</t>
        </is>
      </c>
      <c r="D4397" s="24" t="inlineStr">
        <is>
          <t>060</t>
        </is>
      </c>
      <c r="E4397" s="24" t="inlineStr">
        <is>
          <t>本行业务活动信息</t>
        </is>
      </c>
    </row>
    <row r="4398">
      <c r="B4398" s="24" t="inlineStr">
        <is>
          <t>IndEconomicView</t>
        </is>
      </c>
      <c r="C4398" s="24" t="inlineStr">
        <is>
          <t>个体经营户详情视图</t>
        </is>
      </c>
      <c r="D4398" s="24" t="inlineStr">
        <is>
          <t>060010</t>
        </is>
      </c>
      <c r="E4398" s="24" t="inlineStr">
        <is>
          <t>授信额度信息</t>
        </is>
      </c>
    </row>
    <row r="4399">
      <c r="B4399" s="24" t="inlineStr">
        <is>
          <t>IndEconomicView</t>
        </is>
      </c>
      <c r="C4399" s="24" t="inlineStr">
        <is>
          <t>个体经营户详情视图</t>
        </is>
      </c>
      <c r="D4399" s="24" t="inlineStr">
        <is>
          <t>060020</t>
        </is>
      </c>
      <c r="E4399" s="24" t="inlineStr">
        <is>
          <t>未结清授信业务情况</t>
        </is>
      </c>
    </row>
    <row r="4400">
      <c r="B4400" s="24" t="inlineStr">
        <is>
          <t>IndEconomicView</t>
        </is>
      </c>
      <c r="C4400" s="24" t="inlineStr">
        <is>
          <t>个体经营户详情视图</t>
        </is>
      </c>
      <c r="D4400" s="24" t="inlineStr">
        <is>
          <t>060030</t>
        </is>
      </c>
      <c r="E4400" s="24" t="inlineStr">
        <is>
          <t>已结清授信业务情况</t>
        </is>
      </c>
    </row>
    <row r="4401">
      <c r="B4401" s="24" t="inlineStr">
        <is>
          <t>IndEconomicView</t>
        </is>
      </c>
      <c r="C4401" s="24" t="inlineStr">
        <is>
          <t>个体经营户详情视图</t>
        </is>
      </c>
      <c r="D4401" s="24" t="inlineStr">
        <is>
          <t>060040</t>
        </is>
      </c>
      <c r="E4401" s="24" t="inlineStr">
        <is>
          <t>为本行客户提供担保情况</t>
        </is>
      </c>
    </row>
    <row r="4402">
      <c r="B4402" s="24" t="inlineStr">
        <is>
          <t>IndEconomicView</t>
        </is>
      </c>
      <c r="C4402" s="24" t="inlineStr">
        <is>
          <t>个体经营户详情视图</t>
        </is>
      </c>
      <c r="D4402" s="24" t="inlineStr">
        <is>
          <t>060050</t>
        </is>
      </c>
      <c r="E4402" s="24" t="inlineStr">
        <is>
          <t>被本行客户担保情况</t>
        </is>
      </c>
    </row>
    <row r="4403">
      <c r="B4403" s="24" t="inlineStr">
        <is>
          <t>IndEconomicView</t>
        </is>
      </c>
      <c r="C4403" s="24" t="inlineStr">
        <is>
          <t>个体经营户详情视图</t>
        </is>
      </c>
      <c r="D4403" s="24" t="inlineStr">
        <is>
          <t>060060</t>
        </is>
      </c>
      <c r="E4403" s="24" t="inlineStr">
        <is>
          <t>业务申请情况</t>
        </is>
      </c>
    </row>
    <row r="4404">
      <c r="B4404" s="24" t="inlineStr">
        <is>
          <t>IndEconomicView</t>
        </is>
      </c>
      <c r="C4404" s="24" t="inlineStr">
        <is>
          <t>个体经营户详情视图</t>
        </is>
      </c>
      <c r="D4404" s="24" t="inlineStr">
        <is>
          <t>060070</t>
        </is>
      </c>
      <c r="E4404" s="24" t="inlineStr">
        <is>
          <t>客户涉诉信息</t>
        </is>
      </c>
    </row>
    <row r="4405">
      <c r="B4405" s="24" t="inlineStr">
        <is>
          <t>IndEconomicView</t>
        </is>
      </c>
      <c r="C4405" s="24" t="inlineStr">
        <is>
          <t>个体经营户详情视图</t>
        </is>
      </c>
      <c r="D4405" s="24" t="inlineStr">
        <is>
          <t>070</t>
        </is>
      </c>
      <c r="E4405" s="24" t="inlineStr">
        <is>
          <t>在其他金融机构业务活动</t>
        </is>
      </c>
    </row>
    <row r="4406">
      <c r="B4406" s="24" t="inlineStr">
        <is>
          <t>IndEconomicView</t>
        </is>
      </c>
      <c r="C4406" s="24" t="inlineStr">
        <is>
          <t>个体经营户详情视图</t>
        </is>
      </c>
      <c r="D4406" s="24" t="inlineStr">
        <is>
          <t>080</t>
        </is>
      </c>
      <c r="E4406" s="24" t="inlineStr">
        <is>
          <t>客户信用信息</t>
        </is>
      </c>
    </row>
    <row r="4407">
      <c r="B4407" s="24" t="inlineStr">
        <is>
          <t>IndEconomicView</t>
        </is>
      </c>
      <c r="C4407" s="24" t="inlineStr">
        <is>
          <t>个体经营户详情视图</t>
        </is>
      </c>
      <c r="D4407" s="24" t="inlineStr">
        <is>
          <t>080010</t>
        </is>
      </c>
      <c r="E4407" s="24" t="inlineStr">
        <is>
          <t>客户征信信息</t>
        </is>
      </c>
    </row>
    <row r="4408">
      <c r="B4408" s="24" t="inlineStr">
        <is>
          <t>IndEconomicView</t>
        </is>
      </c>
      <c r="C4408" s="24" t="inlineStr">
        <is>
          <t>个体经营户详情视图</t>
        </is>
      </c>
      <c r="D4408" s="24" t="inlineStr">
        <is>
          <t>090</t>
        </is>
      </c>
      <c r="E4408" s="24" t="inlineStr">
        <is>
          <t>个人情况分析</t>
        </is>
      </c>
    </row>
    <row r="4409">
      <c r="B4409" s="24" t="inlineStr">
        <is>
          <t>IndEconomicView</t>
        </is>
      </c>
      <c r="C4409" s="24" t="inlineStr">
        <is>
          <t>个体经营户详情视图</t>
        </is>
      </c>
      <c r="D4409" s="24" t="inlineStr">
        <is>
          <t>100</t>
        </is>
      </c>
      <c r="E4409" s="24" t="inlineStr">
        <is>
          <t>对客户工作与维护</t>
        </is>
      </c>
    </row>
    <row r="4410">
      <c r="B4410" s="24" t="inlineStr">
        <is>
          <t>IndEconomicView</t>
        </is>
      </c>
      <c r="C4410" s="24" t="inlineStr">
        <is>
          <t>个体经营户详情视图</t>
        </is>
      </c>
      <c r="D4410" s="24" t="inlineStr">
        <is>
          <t>100010</t>
        </is>
      </c>
      <c r="E4410" s="24" t="inlineStr">
        <is>
          <t>客户经理工作笔记</t>
        </is>
      </c>
    </row>
    <row r="4411">
      <c r="B4411" s="24" t="inlineStr">
        <is>
          <t>IndEconomicView</t>
        </is>
      </c>
      <c r="C4411" s="24" t="inlineStr">
        <is>
          <t>个体经营户详情视图</t>
        </is>
      </c>
      <c r="D4411" s="24" t="inlineStr">
        <is>
          <t>100020</t>
        </is>
      </c>
      <c r="E4411" s="24" t="inlineStr">
        <is>
          <t>查看贷后检查情况</t>
        </is>
      </c>
    </row>
    <row r="4412">
      <c r="B4412" s="24" t="inlineStr">
        <is>
          <t>IndEconomicView</t>
        </is>
      </c>
      <c r="C4412" s="24" t="inlineStr">
        <is>
          <t>个体经营户详情视图</t>
        </is>
      </c>
      <c r="D4412" s="24" t="inlineStr">
        <is>
          <t>110</t>
        </is>
      </c>
      <c r="E4412" s="24" t="inlineStr">
        <is>
          <t>其他信息</t>
        </is>
      </c>
    </row>
    <row r="4413">
      <c r="B4413" s="24" t="inlineStr">
        <is>
          <t>IndEconomicView</t>
        </is>
      </c>
      <c r="C4413" s="24" t="inlineStr">
        <is>
          <t>个体经营户详情视图</t>
        </is>
      </c>
      <c r="D4413" s="24" t="inlineStr">
        <is>
          <t>110010</t>
        </is>
      </c>
      <c r="E4413" s="24" t="inlineStr">
        <is>
          <t>客户信息维护记录</t>
        </is>
      </c>
    </row>
    <row r="4414">
      <c r="B4414" s="24" t="inlineStr">
        <is>
          <t>IndEconomicView</t>
        </is>
      </c>
      <c r="C4414" s="24" t="inlineStr">
        <is>
          <t>个体经营户详情视图</t>
        </is>
      </c>
      <c r="D4414" s="24" t="inlineStr">
        <is>
          <t>110020</t>
        </is>
      </c>
      <c r="E4414" s="24" t="inlineStr">
        <is>
          <t>客户管户变更记录</t>
        </is>
      </c>
    </row>
    <row r="4415">
      <c r="B4415" s="24" t="inlineStr">
        <is>
          <t>IndEconomicView</t>
        </is>
      </c>
      <c r="C4415" s="24" t="inlineStr">
        <is>
          <t>个体经营户详情视图</t>
        </is>
      </c>
      <c r="D4415" s="24" t="inlineStr">
        <is>
          <t>110030</t>
        </is>
      </c>
      <c r="E4415" s="24" t="inlineStr">
        <is>
          <t>客户引入记录</t>
        </is>
      </c>
    </row>
    <row r="4416" ht="15.95" customHeight="1" s="170">
      <c r="B4416" s="122" t="inlineStr">
        <is>
          <t>码值：RiskAlarmApproveMain</t>
        </is>
      </c>
    </row>
    <row r="4417">
      <c r="B4417" s="24" t="inlineStr">
        <is>
          <t>RiskAlarmApproveMain</t>
        </is>
      </c>
      <c r="C4417" s="24" t="inlineStr">
        <is>
          <t>风险预警分发认定审批主树图</t>
        </is>
      </c>
      <c r="D4417" s="24" t="inlineStr">
        <is>
          <t>N</t>
        </is>
      </c>
      <c r="E4417" s="24" t="inlineStr">
        <is>
          <t>当前工作</t>
        </is>
      </c>
    </row>
    <row r="4418">
      <c r="B4418" s="24" t="inlineStr">
        <is>
          <t>RiskAlarmApproveMain</t>
        </is>
      </c>
      <c r="C4418" s="24" t="inlineStr">
        <is>
          <t>风险预警分发认定审批主树图</t>
        </is>
      </c>
      <c r="D4418" s="24" t="inlineStr">
        <is>
          <t>Y</t>
        </is>
      </c>
      <c r="E4418" s="24" t="inlineStr">
        <is>
          <t>已完成工作</t>
        </is>
      </c>
    </row>
    <row r="4419" ht="15.95" customHeight="1" s="170">
      <c r="B4419" s="122" t="inlineStr">
        <is>
          <t>码值：SMECreditSValue</t>
        </is>
      </c>
    </row>
    <row r="4420">
      <c r="B4420" s="24" t="inlineStr">
        <is>
          <t>SMECreditSValue</t>
        </is>
      </c>
      <c r="C4420" s="24" t="inlineStr">
        <is>
          <t>社会评价</t>
        </is>
      </c>
      <c r="D4420" s="24" t="inlineStr">
        <is>
          <t>01</t>
        </is>
      </c>
      <c r="E4420" s="24" t="inlineStr">
        <is>
          <t>好</t>
        </is>
      </c>
    </row>
    <row r="4421">
      <c r="B4421" s="24" t="inlineStr">
        <is>
          <t>SMECreditSValue</t>
        </is>
      </c>
      <c r="C4421" s="24" t="inlineStr">
        <is>
          <t>社会评价</t>
        </is>
      </c>
      <c r="D4421" s="24" t="inlineStr">
        <is>
          <t>02</t>
        </is>
      </c>
      <c r="E4421" s="24" t="inlineStr">
        <is>
          <t>一般</t>
        </is>
      </c>
    </row>
    <row r="4422">
      <c r="B4422" s="24" t="inlineStr">
        <is>
          <t>SMECreditSValue</t>
        </is>
      </c>
      <c r="C4422" s="24" t="inlineStr">
        <is>
          <t>社会评价</t>
        </is>
      </c>
      <c r="D4422" s="24" t="inlineStr">
        <is>
          <t>03</t>
        </is>
      </c>
      <c r="E4422" s="24" t="inlineStr">
        <is>
          <t>差</t>
        </is>
      </c>
    </row>
    <row r="4423" ht="15.95" customHeight="1" s="170">
      <c r="B4423" s="122" t="inlineStr">
        <is>
          <t>码值：GroupEventType</t>
        </is>
      </c>
    </row>
    <row r="4424">
      <c r="B4424" s="24" t="inlineStr">
        <is>
          <t>GroupEventType</t>
        </is>
      </c>
      <c r="C4424" s="24" t="inlineStr">
        <is>
          <t>集团变更历史</t>
        </is>
      </c>
      <c r="D4424" s="24" t="inlineStr">
        <is>
          <t>01</t>
        </is>
      </c>
      <c r="E4424" s="24" t="inlineStr">
        <is>
          <t>集团变更</t>
        </is>
      </c>
    </row>
    <row r="4425">
      <c r="B4425" s="24" t="inlineStr">
        <is>
          <t>GroupEventType</t>
        </is>
      </c>
      <c r="C4425" s="24" t="inlineStr">
        <is>
          <t>集团变更历史</t>
        </is>
      </c>
      <c r="D4425" s="24" t="inlineStr">
        <is>
          <t>02</t>
        </is>
      </c>
      <c r="E4425" s="24" t="inlineStr">
        <is>
          <t>业务主办行变更</t>
        </is>
      </c>
    </row>
    <row r="4426">
      <c r="B4426" s="24" t="inlineStr">
        <is>
          <t>GroupEventType</t>
        </is>
      </c>
      <c r="C4426" s="24" t="inlineStr">
        <is>
          <t>集团变更历史</t>
        </is>
      </c>
      <c r="D4426" s="24" t="inlineStr">
        <is>
          <t>03</t>
        </is>
      </c>
      <c r="E4426" s="24" t="inlineStr">
        <is>
          <t>集团成员变更</t>
        </is>
      </c>
    </row>
    <row r="4427">
      <c r="B4427" s="24" t="inlineStr">
        <is>
          <t>GroupEventType</t>
        </is>
      </c>
      <c r="C4427" s="24" t="inlineStr">
        <is>
          <t>集团变更历史</t>
        </is>
      </c>
      <c r="D4427" s="24" t="inlineStr">
        <is>
          <t>04</t>
        </is>
      </c>
      <c r="E4427" s="24" t="inlineStr">
        <is>
          <t>核心企业变更</t>
        </is>
      </c>
    </row>
    <row r="4428">
      <c r="B4428" s="24" t="inlineStr">
        <is>
          <t>GroupEventType</t>
        </is>
      </c>
      <c r="C4428" s="24" t="inlineStr">
        <is>
          <t>集团变更历史</t>
        </is>
      </c>
      <c r="D4428" s="24" t="inlineStr">
        <is>
          <t>05</t>
        </is>
      </c>
      <c r="E4428" s="24" t="inlineStr">
        <is>
          <t>名单是否集中总行管理</t>
        </is>
      </c>
    </row>
    <row r="4429" ht="15.95" customHeight="1" s="170">
      <c r="B4429" s="122" t="inlineStr">
        <is>
          <t>码值：Frontage</t>
        </is>
      </c>
    </row>
    <row r="4430">
      <c r="B4430" s="24" t="inlineStr">
        <is>
          <t>Frontage</t>
        </is>
      </c>
      <c r="C4430" s="24" t="inlineStr">
        <is>
          <t>临街情况</t>
        </is>
      </c>
      <c r="D4430" s="24" t="inlineStr">
        <is>
          <t>01</t>
        </is>
      </c>
      <c r="E4430" s="24" t="inlineStr">
        <is>
          <t>四面临街</t>
        </is>
      </c>
    </row>
    <row r="4431">
      <c r="B4431" s="24" t="inlineStr">
        <is>
          <t>Frontage</t>
        </is>
      </c>
      <c r="C4431" s="24" t="inlineStr">
        <is>
          <t>临街情况</t>
        </is>
      </c>
      <c r="D4431" s="24" t="inlineStr">
        <is>
          <t>02</t>
        </is>
      </c>
      <c r="E4431" s="24" t="inlineStr">
        <is>
          <t>三面临街</t>
        </is>
      </c>
    </row>
    <row r="4432">
      <c r="B4432" s="24" t="inlineStr">
        <is>
          <t>Frontage</t>
        </is>
      </c>
      <c r="C4432" s="24" t="inlineStr">
        <is>
          <t>临街情况</t>
        </is>
      </c>
      <c r="D4432" s="24" t="inlineStr">
        <is>
          <t>03</t>
        </is>
      </c>
      <c r="E4432" s="24" t="inlineStr">
        <is>
          <t>二面临街</t>
        </is>
      </c>
    </row>
    <row r="4433">
      <c r="B4433" s="24" t="inlineStr">
        <is>
          <t>Frontage</t>
        </is>
      </c>
      <c r="C4433" s="24" t="inlineStr">
        <is>
          <t>临街情况</t>
        </is>
      </c>
      <c r="D4433" s="24" t="inlineStr">
        <is>
          <t>04</t>
        </is>
      </c>
      <c r="E4433" s="24" t="inlineStr">
        <is>
          <t>一面临街</t>
        </is>
      </c>
    </row>
    <row r="4434">
      <c r="B4434" s="24" t="inlineStr">
        <is>
          <t>Frontage</t>
        </is>
      </c>
      <c r="C4434" s="24" t="inlineStr">
        <is>
          <t>临街情况</t>
        </is>
      </c>
      <c r="D4434" s="24" t="inlineStr">
        <is>
          <t>05</t>
        </is>
      </c>
      <c r="E4434" s="24" t="inlineStr">
        <is>
          <t>不临街</t>
        </is>
      </c>
    </row>
    <row r="4435" ht="15.95" customHeight="1" s="170">
      <c r="B4435" s="122" t="inlineStr">
        <is>
          <t>码值：ReserveParamView</t>
        </is>
      </c>
    </row>
    <row r="4436">
      <c r="B4436" s="24" t="inlineStr">
        <is>
          <t>ReserveParamView</t>
        </is>
      </c>
      <c r="C4436" s="24" t="inlineStr">
        <is>
          <t>减值计提参数配置树图</t>
        </is>
      </c>
      <c r="D4436" s="24" t="inlineStr">
        <is>
          <t>010</t>
        </is>
      </c>
      <c r="E4436" s="24" t="inlineStr">
        <is>
          <t>组合计提减值比例设置</t>
        </is>
      </c>
    </row>
    <row r="4437">
      <c r="B4437" s="24" t="inlineStr">
        <is>
          <t>ReserveParamView</t>
        </is>
      </c>
      <c r="C4437" s="24" t="inlineStr">
        <is>
          <t>减值计提参数配置树图</t>
        </is>
      </c>
      <c r="D4437" s="24" t="inlineStr">
        <is>
          <t>020</t>
        </is>
      </c>
      <c r="E4437" s="24" t="inlineStr">
        <is>
          <t>减值计提时间参数设置</t>
        </is>
      </c>
    </row>
    <row r="4438">
      <c r="B4438" s="24" t="inlineStr">
        <is>
          <t>ReserveParamView</t>
        </is>
      </c>
      <c r="C4438" s="24" t="inlineStr">
        <is>
          <t>减值计提参数配置树图</t>
        </is>
      </c>
      <c r="D4438" s="24" t="inlineStr">
        <is>
          <t>020010</t>
        </is>
      </c>
      <c r="E4438" s="24" t="inlineStr">
        <is>
          <t>组合计提计算时间</t>
        </is>
      </c>
    </row>
    <row r="4439">
      <c r="B4439" s="24" t="inlineStr">
        <is>
          <t>ReserveParamView</t>
        </is>
      </c>
      <c r="C4439" s="24" t="inlineStr">
        <is>
          <t>减值计提参数配置树图</t>
        </is>
      </c>
      <c r="D4439" s="24" t="inlineStr">
        <is>
          <t>020020</t>
        </is>
      </c>
      <c r="E4439" s="24" t="inlineStr">
        <is>
          <t>单项计提发起时间</t>
        </is>
      </c>
    </row>
    <row r="4440">
      <c r="B4440" s="24" t="inlineStr">
        <is>
          <t>ReserveParamView</t>
        </is>
      </c>
      <c r="C4440" s="24" t="inlineStr">
        <is>
          <t>减值计提参数配置树图</t>
        </is>
      </c>
      <c r="D4440" s="24" t="inlineStr">
        <is>
          <t>020030</t>
        </is>
      </c>
      <c r="E4440" s="24" t="inlineStr">
        <is>
          <t>减值周期</t>
        </is>
      </c>
    </row>
    <row r="4441" ht="15.95" customHeight="1" s="170">
      <c r="B4441" s="122" t="inlineStr">
        <is>
          <t>码值：CrqAccountTree</t>
        </is>
      </c>
    </row>
    <row r="4442">
      <c r="B4442" s="24" t="inlineStr">
        <is>
          <t>CrqAccountTree</t>
        </is>
      </c>
      <c r="C4442" s="24" t="inlineStr">
        <is>
          <t>征信帐号树图</t>
        </is>
      </c>
      <c r="D4442" s="24" t="inlineStr">
        <is>
          <t>010</t>
        </is>
      </c>
      <c r="E4442" s="24" t="inlineStr">
        <is>
          <t>征信查询帐号维护</t>
        </is>
      </c>
    </row>
    <row r="4443">
      <c r="B4443" s="24" t="inlineStr">
        <is>
          <t>CrqAccountTree</t>
        </is>
      </c>
      <c r="C4443" s="24" t="inlineStr">
        <is>
          <t>征信帐号树图</t>
        </is>
      </c>
      <c r="D4443" s="24" t="inlineStr">
        <is>
          <t>010010</t>
        </is>
      </c>
      <c r="E4443" s="24" t="inlineStr">
        <is>
          <t>公司征信</t>
        </is>
      </c>
    </row>
    <row r="4444">
      <c r="B4444" s="24" t="inlineStr">
        <is>
          <t>CrqAccountTree</t>
        </is>
      </c>
      <c r="C4444" s="24" t="inlineStr">
        <is>
          <t>征信帐号树图</t>
        </is>
      </c>
      <c r="D4444" s="24" t="inlineStr">
        <is>
          <t>010020</t>
        </is>
      </c>
      <c r="E4444" s="24" t="inlineStr">
        <is>
          <t>个人征信</t>
        </is>
      </c>
    </row>
    <row r="4445">
      <c r="B4445" s="24" t="inlineStr">
        <is>
          <t>CrqAccountTree</t>
        </is>
      </c>
      <c r="C4445" s="24" t="inlineStr">
        <is>
          <t>征信帐号树图</t>
        </is>
      </c>
      <c r="D4445" s="24" t="inlineStr">
        <is>
          <t>020</t>
        </is>
      </c>
      <c r="E4445" s="24" t="inlineStr">
        <is>
          <t>征信参数配置</t>
        </is>
      </c>
    </row>
    <row r="4446">
      <c r="B4446" s="24" t="inlineStr">
        <is>
          <t>CrqAccountTree</t>
        </is>
      </c>
      <c r="C4446" s="24" t="inlineStr">
        <is>
          <t>征信帐号树图</t>
        </is>
      </c>
      <c r="D4446" s="24" t="inlineStr">
        <is>
          <t>020010</t>
        </is>
      </c>
      <c r="E4446" s="24" t="inlineStr">
        <is>
          <t>征信参数配置</t>
        </is>
      </c>
    </row>
    <row r="4447" ht="15.95" customHeight="1" s="170">
      <c r="B4447" s="122" t="inlineStr">
        <is>
          <t>码值：NPALawsuitList</t>
        </is>
      </c>
    </row>
    <row r="4448">
      <c r="B4448" s="24" t="inlineStr">
        <is>
          <t>NPALawsuitList</t>
        </is>
      </c>
      <c r="C4448" s="24" t="inlineStr">
        <is>
          <t>查封资产树图</t>
        </is>
      </c>
      <c r="D4448" s="24" t="inlineStr">
        <is>
          <t>010</t>
        </is>
      </c>
      <c r="E4448" s="24" t="inlineStr">
        <is>
          <t>查封资产基本信息</t>
        </is>
      </c>
    </row>
    <row r="4449">
      <c r="B4449" s="24" t="inlineStr">
        <is>
          <t>NPALawsuitList</t>
        </is>
      </c>
      <c r="C4449" s="24" t="inlineStr">
        <is>
          <t>查封资产树图</t>
        </is>
      </c>
      <c r="D4449" s="24" t="inlineStr">
        <is>
          <t>020</t>
        </is>
      </c>
      <c r="E4449" s="24" t="inlineStr">
        <is>
          <t>价值评估记录</t>
        </is>
      </c>
    </row>
    <row r="4450">
      <c r="B4450" s="24" t="inlineStr">
        <is>
          <t>NPALawsuitList</t>
        </is>
      </c>
      <c r="C4450" s="24" t="inlineStr">
        <is>
          <t>查封资产树图</t>
        </is>
      </c>
      <c r="D4450" s="24" t="inlineStr">
        <is>
          <t>030</t>
        </is>
      </c>
      <c r="E4450" s="24" t="inlineStr">
        <is>
          <t>价值变更记录</t>
        </is>
      </c>
    </row>
    <row r="4451">
      <c r="B4451" s="24" t="inlineStr">
        <is>
          <t>NPALawsuitList</t>
        </is>
      </c>
      <c r="C4451" s="24" t="inlineStr">
        <is>
          <t>查封资产树图</t>
        </is>
      </c>
      <c r="D4451" s="24" t="inlineStr">
        <is>
          <t>060</t>
        </is>
      </c>
      <c r="E4451" s="24" t="inlineStr">
        <is>
          <t>资产定期监管信息</t>
        </is>
      </c>
    </row>
    <row r="4452" ht="15.95" customHeight="1" s="170">
      <c r="B4452" s="122" t="inlineStr">
        <is>
          <t>码值：ExampleTree</t>
        </is>
      </c>
    </row>
    <row r="4453">
      <c r="B4453" s="24" t="inlineStr">
        <is>
          <t>ExampleTree</t>
        </is>
      </c>
      <c r="C4453" s="24" t="inlineStr">
        <is>
          <t>ExampleTree</t>
        </is>
      </c>
      <c r="D4453" s="24" t="inlineStr">
        <is>
          <t>010</t>
        </is>
      </c>
      <c r="E4453" s="24" t="inlineStr">
        <is>
          <t>基本信息</t>
        </is>
      </c>
    </row>
    <row r="4454">
      <c r="B4454" s="24" t="inlineStr">
        <is>
          <t>ExampleTree</t>
        </is>
      </c>
      <c r="C4454" s="24" t="inlineStr">
        <is>
          <t>ExampleTree</t>
        </is>
      </c>
      <c r="D4454" s="24" t="inlineStr">
        <is>
          <t>020</t>
        </is>
      </c>
      <c r="E4454" s="24" t="inlineStr">
        <is>
          <t>其他信息</t>
        </is>
      </c>
    </row>
    <row r="4455">
      <c r="B4455" s="24" t="inlineStr">
        <is>
          <t>ExampleTree</t>
        </is>
      </c>
      <c r="C4455" s="24" t="inlineStr">
        <is>
          <t>ExampleTree</t>
        </is>
      </c>
      <c r="D4455" s="24" t="inlineStr">
        <is>
          <t>020010</t>
        </is>
      </c>
      <c r="E4455" s="24" t="inlineStr">
        <is>
          <t>其他信息1</t>
        </is>
      </c>
    </row>
    <row r="4456">
      <c r="B4456" s="24" t="inlineStr">
        <is>
          <t>ExampleTree</t>
        </is>
      </c>
      <c r="C4456" s="24" t="inlineStr">
        <is>
          <t>ExampleTree</t>
        </is>
      </c>
      <c r="D4456" s="24" t="inlineStr">
        <is>
          <t>020020</t>
        </is>
      </c>
      <c r="E4456" s="24" t="inlineStr">
        <is>
          <t>其他信息2</t>
        </is>
      </c>
    </row>
    <row r="4457">
      <c r="B4457" s="24" t="inlineStr">
        <is>
          <t>ExampleTree</t>
        </is>
      </c>
      <c r="C4457" s="24" t="inlineStr">
        <is>
          <t>ExampleTree</t>
        </is>
      </c>
      <c r="D4457" s="24" t="inlineStr">
        <is>
          <t>030</t>
        </is>
      </c>
      <c r="E4457" s="24" t="inlineStr">
        <is>
          <t>另外的信息</t>
        </is>
      </c>
    </row>
    <row r="4458" ht="15.95" customHeight="1" s="170">
      <c r="B4458" s="122" t="inlineStr">
        <is>
          <t>码值：LimitClass</t>
        </is>
      </c>
    </row>
    <row r="4459">
      <c r="B4459" s="24" t="inlineStr">
        <is>
          <t>LimitClass</t>
        </is>
      </c>
      <c r="C4459" s="24" t="inlineStr">
        <is>
          <t>额度算法</t>
        </is>
      </c>
      <c r="D4459" s="24" t="inlineStr">
        <is>
          <t>010</t>
        </is>
      </c>
      <c r="E4459" s="24" t="inlineStr">
        <is>
          <t>通用名义金额计算</t>
        </is>
      </c>
    </row>
    <row r="4460">
      <c r="B4460" s="24" t="inlineStr">
        <is>
          <t>LimitClass</t>
        </is>
      </c>
      <c r="C4460" s="24" t="inlineStr">
        <is>
          <t>额度算法</t>
        </is>
      </c>
      <c r="D4460" s="24" t="inlineStr">
        <is>
          <t>020</t>
        </is>
      </c>
      <c r="E4460" s="24" t="inlineStr">
        <is>
          <t>通用敞口金额计算</t>
        </is>
      </c>
    </row>
    <row r="4461">
      <c r="B4461" s="24" t="inlineStr">
        <is>
          <t>LimitClass</t>
        </is>
      </c>
      <c r="C4461" s="24" t="inlineStr">
        <is>
          <t>额度算法</t>
        </is>
      </c>
      <c r="D4461" s="24" t="inlineStr">
        <is>
          <t>030</t>
        </is>
      </c>
      <c r="E4461" s="24" t="inlineStr">
        <is>
          <t>委托贷款名义金额计算</t>
        </is>
      </c>
    </row>
    <row r="4462">
      <c r="B4462" s="24" t="inlineStr">
        <is>
          <t>LimitClass</t>
        </is>
      </c>
      <c r="C4462" s="24" t="inlineStr">
        <is>
          <t>额度算法</t>
        </is>
      </c>
      <c r="D4462" s="24" t="inlineStr">
        <is>
          <t>040</t>
        </is>
      </c>
      <c r="E4462" s="24" t="inlineStr">
        <is>
          <t>委托敞口计算</t>
        </is>
      </c>
    </row>
    <row r="4463" ht="15.95" customHeight="1" s="170">
      <c r="B4463" s="122" t="inlineStr">
        <is>
          <t>码值：SMECreditChannel</t>
        </is>
      </c>
    </row>
    <row r="4464">
      <c r="B4464" s="24" t="inlineStr">
        <is>
          <t>SMECreditChannel</t>
        </is>
      </c>
      <c r="C4464" s="24" t="inlineStr">
        <is>
          <t>销售渠道</t>
        </is>
      </c>
      <c r="D4464" s="24" t="inlineStr">
        <is>
          <t>01</t>
        </is>
      </c>
      <c r="E4464" s="24" t="inlineStr">
        <is>
          <t>单一</t>
        </is>
      </c>
    </row>
    <row r="4465">
      <c r="B4465" s="24" t="inlineStr">
        <is>
          <t>SMECreditChannel</t>
        </is>
      </c>
      <c r="C4465" s="24" t="inlineStr">
        <is>
          <t>销售渠道</t>
        </is>
      </c>
      <c r="D4465" s="24" t="inlineStr">
        <is>
          <t>02</t>
        </is>
      </c>
      <c r="E4465" s="24" t="inlineStr">
        <is>
          <t>多元化</t>
        </is>
      </c>
    </row>
    <row r="4466" ht="15.95" customHeight="1" s="170">
      <c r="B4466" s="122" t="inlineStr">
        <is>
          <t>码值：OffLoanView</t>
        </is>
      </c>
    </row>
    <row r="4467">
      <c r="B4467" s="24" t="inlineStr">
        <is>
          <t>OffLoanView</t>
        </is>
      </c>
      <c r="C4467" s="24" t="inlineStr">
        <is>
          <t>表外贷款账号信息树图</t>
        </is>
      </c>
      <c r="D4467" s="24" t="inlineStr">
        <is>
          <t>010</t>
        </is>
      </c>
      <c r="E4467" s="24" t="inlineStr">
        <is>
          <t>基本信息</t>
        </is>
      </c>
    </row>
    <row r="4468">
      <c r="B4468" s="24" t="inlineStr">
        <is>
          <t>OffLoanView</t>
        </is>
      </c>
      <c r="C4468" s="24" t="inlineStr">
        <is>
          <t>表外贷款账号信息树图</t>
        </is>
      </c>
      <c r="D4468" s="24" t="inlineStr">
        <is>
          <t>020</t>
        </is>
      </c>
      <c r="E4468" s="24" t="inlineStr">
        <is>
          <t>交易信息</t>
        </is>
      </c>
    </row>
    <row r="4469">
      <c r="B4469" s="24" t="inlineStr">
        <is>
          <t>OffLoanView</t>
        </is>
      </c>
      <c r="C4469" s="24" t="inlineStr">
        <is>
          <t>表外贷款账号信息树图</t>
        </is>
      </c>
      <c r="D4469" s="24" t="inlineStr">
        <is>
          <t>030</t>
        </is>
      </c>
      <c r="E4469" s="24" t="inlineStr">
        <is>
          <t>分账信息</t>
        </is>
      </c>
    </row>
    <row r="4470" ht="15.95" customHeight="1" s="170">
      <c r="B4470" s="122" t="inlineStr">
        <is>
          <t>码值：技术人员的比重</t>
        </is>
      </c>
    </row>
    <row r="4471">
      <c r="B4471" s="24" t="inlineStr">
        <is>
          <t>技术人员的比重</t>
        </is>
      </c>
      <c r="C4471" s="24" t="inlineStr">
        <is>
          <t>技术人员的比重</t>
        </is>
      </c>
      <c r="D4471" s="24" t="inlineStr">
        <is>
          <t>1</t>
        </is>
      </c>
      <c r="E4471" s="24" t="inlineStr">
        <is>
          <t>50%以上</t>
        </is>
      </c>
    </row>
    <row r="4472">
      <c r="B4472" s="24" t="inlineStr">
        <is>
          <t>技术人员的比重</t>
        </is>
      </c>
      <c r="C4472" s="24" t="inlineStr">
        <is>
          <t>技术人员的比重</t>
        </is>
      </c>
      <c r="D4472" s="24" t="inlineStr">
        <is>
          <t>2</t>
        </is>
      </c>
      <c r="E4472" s="24" t="inlineStr">
        <is>
          <t>30%--50%</t>
        </is>
      </c>
    </row>
    <row r="4473">
      <c r="B4473" s="24" t="inlineStr">
        <is>
          <t>技术人员的比重</t>
        </is>
      </c>
      <c r="C4473" s="24" t="inlineStr">
        <is>
          <t>技术人员的比重</t>
        </is>
      </c>
      <c r="D4473" s="24" t="inlineStr">
        <is>
          <t>3</t>
        </is>
      </c>
      <c r="E4473" s="24" t="inlineStr">
        <is>
          <t>20%--30%</t>
        </is>
      </c>
    </row>
    <row r="4474">
      <c r="B4474" s="24" t="inlineStr">
        <is>
          <t>技术人员的比重</t>
        </is>
      </c>
      <c r="C4474" s="24" t="inlineStr">
        <is>
          <t>技术人员的比重</t>
        </is>
      </c>
      <c r="D4474" s="24" t="inlineStr">
        <is>
          <t>4</t>
        </is>
      </c>
      <c r="E4474" s="24" t="inlineStr">
        <is>
          <t>10%--20%</t>
        </is>
      </c>
    </row>
    <row r="4475">
      <c r="B4475" s="24" t="inlineStr">
        <is>
          <t>技术人员的比重</t>
        </is>
      </c>
      <c r="C4475" s="24" t="inlineStr">
        <is>
          <t>技术人员的比重</t>
        </is>
      </c>
      <c r="D4475" s="24" t="inlineStr">
        <is>
          <t>5</t>
        </is>
      </c>
      <c r="E4475" s="24" t="inlineStr">
        <is>
          <t>10%以下</t>
        </is>
      </c>
    </row>
    <row r="4476" ht="15.95" customHeight="1" s="170">
      <c r="B4476" s="122" t="inlineStr">
        <is>
          <t>码值：经营者居住状况</t>
        </is>
      </c>
    </row>
    <row r="4477">
      <c r="B4477" s="24" t="inlineStr">
        <is>
          <t>经营者居住状况</t>
        </is>
      </c>
      <c r="C4477" s="24" t="inlineStr">
        <is>
          <t>经营者居住状况</t>
        </is>
      </c>
      <c r="D4477" s="24" t="inlineStr">
        <is>
          <t>1</t>
        </is>
      </c>
      <c r="E4477" s="24" t="inlineStr">
        <is>
          <t>自有住宅</t>
        </is>
      </c>
    </row>
    <row r="4478">
      <c r="B4478" s="24" t="inlineStr">
        <is>
          <t>经营者居住状况</t>
        </is>
      </c>
      <c r="C4478" s="24" t="inlineStr">
        <is>
          <t>经营者居住状况</t>
        </is>
      </c>
      <c r="D4478" s="24" t="inlineStr">
        <is>
          <t>2</t>
        </is>
      </c>
      <c r="E4478" s="24" t="inlineStr">
        <is>
          <t>按揭购房</t>
        </is>
      </c>
    </row>
    <row r="4479">
      <c r="B4479" s="24" t="inlineStr">
        <is>
          <t>经营者居住状况</t>
        </is>
      </c>
      <c r="C4479" s="24" t="inlineStr">
        <is>
          <t>经营者居住状况</t>
        </is>
      </c>
      <c r="D4479" s="24" t="inlineStr">
        <is>
          <t>3</t>
        </is>
      </c>
      <c r="E4479" s="24" t="inlineStr">
        <is>
          <t>租住</t>
        </is>
      </c>
    </row>
    <row r="4480">
      <c r="B4480" s="24" t="inlineStr">
        <is>
          <t>经营者居住状况</t>
        </is>
      </c>
      <c r="C4480" s="24" t="inlineStr">
        <is>
          <t>经营者居住状况</t>
        </is>
      </c>
      <c r="D4480" s="24" t="inlineStr">
        <is>
          <t>4</t>
        </is>
      </c>
      <c r="E4480" s="24" t="inlineStr">
        <is>
          <t>其他</t>
        </is>
      </c>
    </row>
    <row r="4481" ht="15.95" customHeight="1" s="170">
      <c r="B4481" s="122" t="inlineStr">
        <is>
          <t>码值：ItemCost</t>
        </is>
      </c>
    </row>
    <row r="4482">
      <c r="B4482" s="24" t="inlineStr">
        <is>
          <t>ItemCost</t>
        </is>
      </c>
      <c r="C4482" s="24" t="inlineStr">
        <is>
          <t>信用等级评估统一导入</t>
        </is>
      </c>
      <c r="D4482" s="24" t="inlineStr">
        <is>
          <t>01</t>
        </is>
      </c>
      <c r="E4482" s="24" t="inlineStr">
        <is>
          <t>项目拿地成本明显低于周边项目</t>
        </is>
      </c>
    </row>
    <row r="4483">
      <c r="B4483" s="24" t="inlineStr">
        <is>
          <t>ItemCost</t>
        </is>
      </c>
      <c r="C4483" s="24" t="inlineStr">
        <is>
          <t>信用等级评估统一导入</t>
        </is>
      </c>
      <c r="D4483" s="24" t="inlineStr">
        <is>
          <t>02</t>
        </is>
      </c>
      <c r="E4483" s="24" t="inlineStr">
        <is>
          <t>项目拿地成本与周边项目相差不大</t>
        </is>
      </c>
    </row>
    <row r="4484">
      <c r="B4484" s="24" t="inlineStr">
        <is>
          <t>ItemCost</t>
        </is>
      </c>
      <c r="C4484" s="24" t="inlineStr">
        <is>
          <t>信用等级评估统一导入</t>
        </is>
      </c>
      <c r="D4484" s="24" t="inlineStr">
        <is>
          <t>03</t>
        </is>
      </c>
      <c r="E4484" s="24" t="inlineStr">
        <is>
          <t>地王项目或拿地成本大大高于周边项目</t>
        </is>
      </c>
    </row>
    <row r="4485" ht="15.95" customHeight="1" s="170">
      <c r="B4485" s="122" t="inlineStr">
        <is>
          <t>码值：LeaderShipExperience</t>
        </is>
      </c>
    </row>
    <row r="4486">
      <c r="B4486" s="24" t="inlineStr">
        <is>
          <t>LeaderShipExperience</t>
        </is>
      </c>
      <c r="C4486" s="24" t="inlineStr">
        <is>
          <t>信用等级评估统一导入</t>
        </is>
      </c>
      <c r="D4486" s="24" t="inlineStr">
        <is>
          <t>01</t>
        </is>
      </c>
      <c r="E4486" s="24" t="inlineStr">
        <is>
          <t>主要领导人为本行业专家，具有15年以上丰富的从业经验</t>
        </is>
      </c>
    </row>
    <row r="4487">
      <c r="B4487" s="24" t="inlineStr">
        <is>
          <t>LeaderShipExperience</t>
        </is>
      </c>
      <c r="C4487" s="24" t="inlineStr">
        <is>
          <t>信用等级评估统一导入</t>
        </is>
      </c>
      <c r="D4487" s="24" t="inlineStr">
        <is>
          <t>02</t>
        </is>
      </c>
      <c r="E4487" s="24" t="inlineStr">
        <is>
          <t>主要领导人专业知识和经验较丰富，具有7-15年的从业经验</t>
        </is>
      </c>
    </row>
    <row r="4488">
      <c r="B4488" s="24" t="inlineStr">
        <is>
          <t>LeaderShipExperience</t>
        </is>
      </c>
      <c r="C4488" s="24" t="inlineStr">
        <is>
          <t>信用等级评估统一导入</t>
        </is>
      </c>
      <c r="D4488" s="24" t="inlineStr">
        <is>
          <t>03</t>
        </is>
      </c>
      <c r="E4488" s="24" t="inlineStr">
        <is>
          <t>主要领导人具有一定的专业知识和经验 ，具有3-7年的从业经验</t>
        </is>
      </c>
    </row>
    <row r="4489">
      <c r="B4489" s="24" t="inlineStr">
        <is>
          <t>LeaderShipExperience</t>
        </is>
      </c>
      <c r="C4489" s="24" t="inlineStr">
        <is>
          <t>信用等级评估统一导入</t>
        </is>
      </c>
      <c r="D4489" s="24" t="inlineStr">
        <is>
          <t>04</t>
        </is>
      </c>
      <c r="E4489" s="24" t="inlineStr">
        <is>
          <t>主要领导人对专业知识和经验较缺乏</t>
        </is>
      </c>
    </row>
    <row r="4490">
      <c r="B4490" s="24" t="inlineStr">
        <is>
          <t>LeaderShipExperience</t>
        </is>
      </c>
      <c r="C4490" s="24" t="inlineStr">
        <is>
          <t>信用等级评估统一导入</t>
        </is>
      </c>
      <c r="D4490" s="24" t="inlineStr">
        <is>
          <t>05</t>
        </is>
      </c>
      <c r="E4490" s="24" t="inlineStr">
        <is>
          <t>主要领导人不具备专业知识和经验</t>
        </is>
      </c>
    </row>
    <row r="4491" ht="15.95" customHeight="1" s="170">
      <c r="B4491" s="122" t="inlineStr">
        <is>
          <t>码值：RateUnit</t>
        </is>
      </c>
    </row>
    <row r="4492">
      <c r="B4492" s="24" t="inlineStr">
        <is>
          <t>RateUnit</t>
        </is>
      </c>
      <c r="C4492" s="24" t="inlineStr">
        <is>
          <t>利率管理</t>
        </is>
      </c>
      <c r="D4492" s="24" t="inlineStr">
        <is>
          <t>01</t>
        </is>
      </c>
      <c r="E4492" s="24" t="inlineStr">
        <is>
          <t>年利率(百分比)</t>
        </is>
      </c>
    </row>
    <row r="4493">
      <c r="B4493" s="24" t="inlineStr">
        <is>
          <t>RateUnit</t>
        </is>
      </c>
      <c r="C4493" s="24" t="inlineStr">
        <is>
          <t>利率管理</t>
        </is>
      </c>
      <c r="D4493" s="24" t="inlineStr">
        <is>
          <t>02</t>
        </is>
      </c>
      <c r="E4493" s="24" t="inlineStr">
        <is>
          <t>月利率(千分比)</t>
        </is>
      </c>
    </row>
    <row r="4494">
      <c r="B4494" s="24" t="inlineStr">
        <is>
          <t>RateUnit</t>
        </is>
      </c>
      <c r="C4494" s="24" t="inlineStr">
        <is>
          <t>利率管理</t>
        </is>
      </c>
      <c r="D4494" s="24" t="inlineStr">
        <is>
          <t>03</t>
        </is>
      </c>
      <c r="E4494" s="24" t="inlineStr">
        <is>
          <t>日利率(万分比)</t>
        </is>
      </c>
    </row>
    <row r="4495" ht="15.95" customHeight="1" s="170">
      <c r="B4495" s="122" t="inlineStr">
        <is>
          <t>码值：GuaranteeForm</t>
        </is>
      </c>
    </row>
    <row r="4496">
      <c r="B4496" s="24" t="inlineStr">
        <is>
          <t>GuaranteeForm</t>
        </is>
      </c>
      <c r="C4496" s="24" t="inlineStr">
        <is>
          <t>保证担保形式</t>
        </is>
      </c>
      <c r="D4496" s="24" t="inlineStr">
        <is>
          <t>01</t>
        </is>
      </c>
      <c r="E4496" s="24" t="inlineStr">
        <is>
          <t>单人担保</t>
        </is>
      </c>
    </row>
    <row r="4497">
      <c r="B4497" s="24" t="inlineStr">
        <is>
          <t>GuaranteeForm</t>
        </is>
      </c>
      <c r="C4497" s="24" t="inlineStr">
        <is>
          <t>保证担保形式</t>
        </is>
      </c>
      <c r="D4497" s="24" t="inlineStr">
        <is>
          <t>02</t>
        </is>
      </c>
      <c r="E4497" s="24" t="inlineStr">
        <is>
          <t>多人联保</t>
        </is>
      </c>
    </row>
    <row r="4498">
      <c r="B4498" s="24" t="inlineStr">
        <is>
          <t>GuaranteeForm</t>
        </is>
      </c>
      <c r="C4498" s="24" t="inlineStr">
        <is>
          <t>保证担保形式</t>
        </is>
      </c>
      <c r="D4498" s="24" t="inlineStr">
        <is>
          <t>03</t>
        </is>
      </c>
      <c r="E4498" s="24" t="inlineStr">
        <is>
          <t>多人分保</t>
        </is>
      </c>
    </row>
    <row r="4499" ht="15.95" customHeight="1" s="170">
      <c r="B4499" s="122" t="inlineStr">
        <is>
          <t>码值：CreditLevel</t>
        </is>
      </c>
    </row>
    <row r="4500">
      <c r="B4500" s="24" t="inlineStr">
        <is>
          <t>CreditLevel</t>
        </is>
      </c>
      <c r="C4500" s="24" t="inlineStr">
        <is>
          <t>客户信用等级</t>
        </is>
      </c>
      <c r="D4500" s="24" t="inlineStr">
        <is>
          <t>010</t>
        </is>
      </c>
      <c r="E4500" s="24" t="inlineStr">
        <is>
          <t>AAA</t>
        </is>
      </c>
    </row>
    <row r="4501">
      <c r="B4501" s="24" t="inlineStr">
        <is>
          <t>CreditLevel</t>
        </is>
      </c>
      <c r="C4501" s="24" t="inlineStr">
        <is>
          <t>客户信用等级</t>
        </is>
      </c>
      <c r="D4501" s="24" t="inlineStr">
        <is>
          <t>020</t>
        </is>
      </c>
      <c r="E4501" s="24" t="inlineStr">
        <is>
          <t>AA</t>
        </is>
      </c>
    </row>
    <row r="4502">
      <c r="B4502" s="24" t="inlineStr">
        <is>
          <t>CreditLevel</t>
        </is>
      </c>
      <c r="C4502" s="24" t="inlineStr">
        <is>
          <t>客户信用等级</t>
        </is>
      </c>
      <c r="D4502" s="24" t="inlineStr">
        <is>
          <t>030</t>
        </is>
      </c>
      <c r="E4502" s="24" t="inlineStr">
        <is>
          <t>A</t>
        </is>
      </c>
    </row>
    <row r="4503">
      <c r="B4503" s="24" t="inlineStr">
        <is>
          <t>CreditLevel</t>
        </is>
      </c>
      <c r="C4503" s="24" t="inlineStr">
        <is>
          <t>客户信用等级</t>
        </is>
      </c>
      <c r="D4503" s="24" t="inlineStr">
        <is>
          <t>040</t>
        </is>
      </c>
      <c r="E4503" s="24" t="inlineStr">
        <is>
          <t>BBB</t>
        </is>
      </c>
    </row>
    <row r="4504">
      <c r="B4504" s="24" t="inlineStr">
        <is>
          <t>CreditLevel</t>
        </is>
      </c>
      <c r="C4504" s="24" t="inlineStr">
        <is>
          <t>客户信用等级</t>
        </is>
      </c>
      <c r="D4504" s="24" t="inlineStr">
        <is>
          <t>050</t>
        </is>
      </c>
      <c r="E4504" s="24" t="inlineStr">
        <is>
          <t>BB</t>
        </is>
      </c>
    </row>
    <row r="4505">
      <c r="B4505" s="24" t="inlineStr">
        <is>
          <t>CreditLevel</t>
        </is>
      </c>
      <c r="C4505" s="24" t="inlineStr">
        <is>
          <t>客户信用等级</t>
        </is>
      </c>
      <c r="D4505" s="24" t="inlineStr">
        <is>
          <t>060</t>
        </is>
      </c>
      <c r="E4505" s="24" t="inlineStr">
        <is>
          <t>B</t>
        </is>
      </c>
    </row>
    <row r="4506">
      <c r="B4506" s="24" t="inlineStr">
        <is>
          <t>CreditLevel</t>
        </is>
      </c>
      <c r="C4506" s="24" t="inlineStr">
        <is>
          <t>客户信用等级</t>
        </is>
      </c>
      <c r="D4506" s="24" t="inlineStr">
        <is>
          <t>070</t>
        </is>
      </c>
      <c r="E4506" s="24" t="inlineStr">
        <is>
          <t>CCC</t>
        </is>
      </c>
    </row>
    <row r="4507">
      <c r="B4507" s="24" t="inlineStr">
        <is>
          <t>CreditLevel</t>
        </is>
      </c>
      <c r="C4507" s="24" t="inlineStr">
        <is>
          <t>客户信用等级</t>
        </is>
      </c>
      <c r="D4507" s="24" t="inlineStr">
        <is>
          <t>080</t>
        </is>
      </c>
      <c r="E4507" s="24" t="inlineStr">
        <is>
          <t>CC</t>
        </is>
      </c>
    </row>
    <row r="4508">
      <c r="B4508" s="24" t="inlineStr">
        <is>
          <t>CreditLevel</t>
        </is>
      </c>
      <c r="C4508" s="24" t="inlineStr">
        <is>
          <t>客户信用等级</t>
        </is>
      </c>
      <c r="D4508" s="24" t="inlineStr">
        <is>
          <t>090</t>
        </is>
      </c>
      <c r="E4508" s="24" t="inlineStr">
        <is>
          <t>C</t>
        </is>
      </c>
    </row>
    <row r="4509">
      <c r="B4509" s="24" t="inlineStr">
        <is>
          <t>CreditLevel</t>
        </is>
      </c>
      <c r="C4509" s="24" t="inlineStr">
        <is>
          <t>客户信用等级</t>
        </is>
      </c>
      <c r="D4509" s="24" t="inlineStr">
        <is>
          <t>100</t>
        </is>
      </c>
      <c r="E4509" s="24" t="inlineStr">
        <is>
          <t>D</t>
        </is>
      </c>
    </row>
    <row r="4510">
      <c r="B4510" s="24" t="inlineStr">
        <is>
          <t>CreditLevel</t>
        </is>
      </c>
      <c r="C4510" s="24" t="inlineStr">
        <is>
          <t>客户信用等级</t>
        </is>
      </c>
      <c r="D4510" s="24" t="inlineStr">
        <is>
          <t>A</t>
        </is>
      </c>
      <c r="E4510" s="24" t="inlineStr">
        <is>
          <t>A</t>
        </is>
      </c>
    </row>
    <row r="4511">
      <c r="B4511" s="24" t="inlineStr">
        <is>
          <t>CreditLevel</t>
        </is>
      </c>
      <c r="C4511" s="24" t="inlineStr">
        <is>
          <t>客户信用等级</t>
        </is>
      </c>
      <c r="D4511" s="24" t="inlineStr">
        <is>
          <t>AA</t>
        </is>
      </c>
      <c r="E4511" s="24" t="inlineStr">
        <is>
          <t>AA</t>
        </is>
      </c>
    </row>
    <row r="4512">
      <c r="B4512" s="24" t="inlineStr">
        <is>
          <t>CreditLevel</t>
        </is>
      </c>
      <c r="C4512" s="24" t="inlineStr">
        <is>
          <t>客户信用等级</t>
        </is>
      </c>
      <c r="D4512" s="24" t="inlineStr">
        <is>
          <t>AAA</t>
        </is>
      </c>
      <c r="E4512" s="24" t="inlineStr">
        <is>
          <t>AAA</t>
        </is>
      </c>
    </row>
    <row r="4513">
      <c r="B4513" s="24" t="inlineStr">
        <is>
          <t>CreditLevel</t>
        </is>
      </c>
      <c r="C4513" s="24" t="inlineStr">
        <is>
          <t>客户信用等级</t>
        </is>
      </c>
      <c r="D4513" s="24" t="inlineStr">
        <is>
          <t>B</t>
        </is>
      </c>
      <c r="E4513" s="24" t="inlineStr">
        <is>
          <t>B</t>
        </is>
      </c>
    </row>
    <row r="4514">
      <c r="B4514" s="24" t="inlineStr">
        <is>
          <t>CreditLevel</t>
        </is>
      </c>
      <c r="C4514" s="24" t="inlineStr">
        <is>
          <t>客户信用等级</t>
        </is>
      </c>
      <c r="D4514" s="24" t="inlineStr">
        <is>
          <t>BB</t>
        </is>
      </c>
      <c r="E4514" s="24" t="inlineStr">
        <is>
          <t>BB</t>
        </is>
      </c>
    </row>
    <row r="4515">
      <c r="B4515" s="24" t="inlineStr">
        <is>
          <t>CreditLevel</t>
        </is>
      </c>
      <c r="C4515" s="24" t="inlineStr">
        <is>
          <t>客户信用等级</t>
        </is>
      </c>
      <c r="D4515" s="24" t="inlineStr">
        <is>
          <t>BBB</t>
        </is>
      </c>
      <c r="E4515" s="24" t="inlineStr">
        <is>
          <t>BBB</t>
        </is>
      </c>
    </row>
    <row r="4516">
      <c r="B4516" s="24" t="inlineStr">
        <is>
          <t>CreditLevel</t>
        </is>
      </c>
      <c r="C4516" s="24" t="inlineStr">
        <is>
          <t>客户信用等级</t>
        </is>
      </c>
      <c r="D4516" s="24" t="inlineStr">
        <is>
          <t>C</t>
        </is>
      </c>
      <c r="E4516" s="24" t="inlineStr">
        <is>
          <t>C</t>
        </is>
      </c>
    </row>
    <row r="4517">
      <c r="B4517" s="24" t="inlineStr">
        <is>
          <t>CreditLevel</t>
        </is>
      </c>
      <c r="C4517" s="24" t="inlineStr">
        <is>
          <t>客户信用等级</t>
        </is>
      </c>
      <c r="D4517" s="24" t="inlineStr">
        <is>
          <t>CC</t>
        </is>
      </c>
      <c r="E4517" s="24" t="inlineStr">
        <is>
          <t>CC</t>
        </is>
      </c>
    </row>
    <row r="4518">
      <c r="B4518" s="24" t="inlineStr">
        <is>
          <t>CreditLevel</t>
        </is>
      </c>
      <c r="C4518" s="24" t="inlineStr">
        <is>
          <t>客户信用等级</t>
        </is>
      </c>
      <c r="D4518" s="24" t="inlineStr">
        <is>
          <t>CCC</t>
        </is>
      </c>
      <c r="E4518" s="24" t="inlineStr">
        <is>
          <t>CCC</t>
        </is>
      </c>
    </row>
    <row r="4519">
      <c r="B4519" s="24" t="inlineStr">
        <is>
          <t>CreditLevel</t>
        </is>
      </c>
      <c r="C4519" s="24" t="inlineStr">
        <is>
          <t>客户信用等级</t>
        </is>
      </c>
      <c r="D4519" s="24" t="inlineStr">
        <is>
          <t>D</t>
        </is>
      </c>
      <c r="E4519" s="24" t="inlineStr">
        <is>
          <t>D</t>
        </is>
      </c>
    </row>
    <row r="4520" ht="15.95" customHeight="1" s="170">
      <c r="B4520" s="122" t="inlineStr">
        <is>
          <t>码值：LandUseType</t>
        </is>
      </c>
    </row>
    <row r="4521">
      <c r="B4521" s="24" t="inlineStr">
        <is>
          <t>LandUseType</t>
        </is>
      </c>
      <c r="C4521" s="24" t="inlineStr">
        <is>
          <t>所属土地使用权类型</t>
        </is>
      </c>
      <c r="D4521" s="24" t="inlineStr">
        <is>
          <t>01</t>
        </is>
      </c>
      <c r="E4521" s="24" t="inlineStr">
        <is>
          <t>划拨</t>
        </is>
      </c>
    </row>
    <row r="4522">
      <c r="B4522" s="24" t="inlineStr">
        <is>
          <t>LandUseType</t>
        </is>
      </c>
      <c r="C4522" s="24" t="inlineStr">
        <is>
          <t>所属土地使用权类型</t>
        </is>
      </c>
      <c r="D4522" s="24" t="inlineStr">
        <is>
          <t>02</t>
        </is>
      </c>
      <c r="E4522" s="24" t="inlineStr">
        <is>
          <t>转让</t>
        </is>
      </c>
    </row>
    <row r="4523">
      <c r="B4523" s="24" t="inlineStr">
        <is>
          <t>LandUseType</t>
        </is>
      </c>
      <c r="C4523" s="24" t="inlineStr">
        <is>
          <t>所属土地使用权类型</t>
        </is>
      </c>
      <c r="D4523" s="24" t="inlineStr">
        <is>
          <t>03</t>
        </is>
      </c>
      <c r="E4523" s="24" t="inlineStr">
        <is>
          <t>出让</t>
        </is>
      </c>
    </row>
    <row r="4524" ht="15.95" customHeight="1" s="170">
      <c r="B4524" s="122" t="inlineStr">
        <is>
          <t>码值：PayType</t>
        </is>
      </c>
    </row>
    <row r="4525">
      <c r="B4525" s="24" t="inlineStr">
        <is>
          <t>PayType</t>
        </is>
      </c>
      <c r="C4525" s="24" t="inlineStr">
        <is>
          <t>抵债方式</t>
        </is>
      </c>
      <c r="D4525" s="24" t="inlineStr">
        <is>
          <t>01</t>
        </is>
      </c>
      <c r="E4525" s="24" t="inlineStr">
        <is>
          <t>协议抵债</t>
        </is>
      </c>
    </row>
    <row r="4526">
      <c r="B4526" s="24" t="inlineStr">
        <is>
          <t>PayType</t>
        </is>
      </c>
      <c r="C4526" s="24" t="inlineStr">
        <is>
          <t>抵债方式</t>
        </is>
      </c>
      <c r="D4526" s="24" t="inlineStr">
        <is>
          <t>02</t>
        </is>
      </c>
      <c r="E4526" s="24" t="inlineStr">
        <is>
          <t>法院裁定</t>
        </is>
      </c>
    </row>
    <row r="4527">
      <c r="B4527" s="24" t="inlineStr">
        <is>
          <t>PayType</t>
        </is>
      </c>
      <c r="C4527" s="24" t="inlineStr">
        <is>
          <t>抵债方式</t>
        </is>
      </c>
      <c r="D4527" s="24" t="inlineStr">
        <is>
          <t>03</t>
        </is>
      </c>
      <c r="E4527" s="24" t="inlineStr">
        <is>
          <t>破产受偿</t>
        </is>
      </c>
    </row>
    <row r="4528">
      <c r="B4528" s="24" t="inlineStr">
        <is>
          <t>PayType</t>
        </is>
      </c>
      <c r="C4528" s="24" t="inlineStr">
        <is>
          <t>抵债方式</t>
        </is>
      </c>
      <c r="D4528" s="24" t="inlineStr">
        <is>
          <t>04</t>
        </is>
      </c>
      <c r="E4528" s="24" t="inlineStr">
        <is>
          <t>法院调解</t>
        </is>
      </c>
    </row>
    <row r="4529">
      <c r="B4529" s="24" t="inlineStr">
        <is>
          <t>PayType</t>
        </is>
      </c>
      <c r="C4529" s="24" t="inlineStr">
        <is>
          <t>抵债方式</t>
        </is>
      </c>
      <c r="D4529" s="24" t="inlineStr">
        <is>
          <t>05</t>
        </is>
      </c>
      <c r="E4529" s="24" t="inlineStr">
        <is>
          <t>其他</t>
        </is>
      </c>
    </row>
    <row r="4530" ht="15.95" customHeight="1" s="170">
      <c r="B4530" s="122" t="inlineStr">
        <is>
          <t>码值：CopyrightOwnerShip</t>
        </is>
      </c>
    </row>
    <row r="4531">
      <c r="B4531" s="24" t="inlineStr">
        <is>
          <t>CopyrightOwnerShip</t>
        </is>
      </c>
      <c r="C4531" s="24" t="inlineStr">
        <is>
          <t>著作权享有关系</t>
        </is>
      </c>
      <c r="D4531" s="24" t="inlineStr">
        <is>
          <t>01</t>
        </is>
      </c>
      <c r="E4531" s="24" t="inlineStr">
        <is>
          <t>独有</t>
        </is>
      </c>
    </row>
    <row r="4532">
      <c r="B4532" s="24" t="inlineStr">
        <is>
          <t>CopyrightOwnerShip</t>
        </is>
      </c>
      <c r="C4532" s="24" t="inlineStr">
        <is>
          <t>著作权享有关系</t>
        </is>
      </c>
      <c r="D4532" s="24" t="inlineStr">
        <is>
          <t>02</t>
        </is>
      </c>
      <c r="E4532" s="24" t="inlineStr">
        <is>
          <t>共有</t>
        </is>
      </c>
    </row>
    <row r="4533" ht="15.95" customHeight="1" s="170">
      <c r="B4533" s="122" t="inlineStr">
        <is>
          <t>码值：DepositDrawType</t>
        </is>
      </c>
    </row>
    <row r="4534">
      <c r="B4534" s="24" t="inlineStr">
        <is>
          <t>DepositDrawType</t>
        </is>
      </c>
      <c r="C4534" s="24" t="inlineStr">
        <is>
          <t>存单支取方式</t>
        </is>
      </c>
      <c r="D4534" s="24" t="inlineStr">
        <is>
          <t>01</t>
        </is>
      </c>
      <c r="E4534" s="24" t="inlineStr">
        <is>
          <t>密码</t>
        </is>
      </c>
    </row>
    <row r="4535">
      <c r="B4535" s="24" t="inlineStr">
        <is>
          <t>DepositDrawType</t>
        </is>
      </c>
      <c r="C4535" s="24" t="inlineStr">
        <is>
          <t>存单支取方式</t>
        </is>
      </c>
      <c r="D4535" s="24" t="inlineStr">
        <is>
          <t>02</t>
        </is>
      </c>
      <c r="E4535" s="24" t="inlineStr">
        <is>
          <t>证件</t>
        </is>
      </c>
    </row>
    <row r="4536">
      <c r="B4536" s="24" t="inlineStr">
        <is>
          <t>DepositDrawType</t>
        </is>
      </c>
      <c r="C4536" s="24" t="inlineStr">
        <is>
          <t>存单支取方式</t>
        </is>
      </c>
      <c r="D4536" s="24" t="inlineStr">
        <is>
          <t>03</t>
        </is>
      </c>
      <c r="E4536" s="24" t="inlineStr">
        <is>
          <t>印鉴</t>
        </is>
      </c>
    </row>
    <row r="4537" ht="15.95" customHeight="1" s="170">
      <c r="B4537" s="122" t="inlineStr">
        <is>
          <t>码值：BookInContractUnderApplySMEMain</t>
        </is>
      </c>
    </row>
    <row r="4538">
      <c r="B4538" s="24" t="inlineStr">
        <is>
          <t>BookInContractUnderApplySMEMain</t>
        </is>
      </c>
      <c r="C4538" s="24" t="inlineStr">
        <is>
          <t>小微额度项下合同登记申请主树图</t>
        </is>
      </c>
      <c r="D4538" s="24" t="inlineStr">
        <is>
          <t>1010</t>
        </is>
      </c>
      <c r="E4538" s="24" t="inlineStr">
        <is>
          <t>待处理</t>
        </is>
      </c>
    </row>
    <row r="4539">
      <c r="B4539" s="24" t="inlineStr">
        <is>
          <t>BookInContractUnderApplySMEMain</t>
        </is>
      </c>
      <c r="C4539" s="24" t="inlineStr">
        <is>
          <t>小微额度项下合同登记申请主树图</t>
        </is>
      </c>
      <c r="D4539" s="24" t="inlineStr">
        <is>
          <t>1020</t>
        </is>
      </c>
      <c r="E4539" s="24" t="inlineStr">
        <is>
          <t>审批中</t>
        </is>
      </c>
    </row>
    <row r="4540">
      <c r="B4540" s="24" t="inlineStr">
        <is>
          <t>BookInContractUnderApplySMEMain</t>
        </is>
      </c>
      <c r="C4540" s="24" t="inlineStr">
        <is>
          <t>小微额度项下合同登记申请主树图</t>
        </is>
      </c>
      <c r="D4540" s="24" t="inlineStr">
        <is>
          <t>1040,1050</t>
        </is>
      </c>
      <c r="E4540" s="24" t="inlineStr">
        <is>
          <t>处理完成</t>
        </is>
      </c>
    </row>
    <row r="4541" ht="15.95" customHeight="1" s="170">
      <c r="B4541" s="122" t="inlineStr">
        <is>
          <t>码值：VehicleCodition</t>
        </is>
      </c>
    </row>
    <row r="4542">
      <c r="B4542" s="24" t="inlineStr">
        <is>
          <t>VehicleCodition</t>
        </is>
      </c>
      <c r="C4542" s="24" t="inlineStr">
        <is>
          <t>信用等级评估统一导入</t>
        </is>
      </c>
      <c r="D4542" s="24" t="inlineStr">
        <is>
          <t>01</t>
        </is>
      </c>
      <c r="E4542" s="24" t="inlineStr">
        <is>
          <t>自购车辆</t>
        </is>
      </c>
    </row>
    <row r="4543">
      <c r="B4543" s="24" t="inlineStr">
        <is>
          <t>VehicleCodition</t>
        </is>
      </c>
      <c r="C4543" s="24" t="inlineStr">
        <is>
          <t>信用等级评估统一导入</t>
        </is>
      </c>
      <c r="D4543" s="24" t="inlineStr">
        <is>
          <t>02</t>
        </is>
      </c>
      <c r="E4543" s="24" t="inlineStr">
        <is>
          <t xml:space="preserve">按揭购车 </t>
        </is>
      </c>
    </row>
    <row r="4544">
      <c r="B4544" s="24" t="inlineStr">
        <is>
          <t>VehicleCodition</t>
        </is>
      </c>
      <c r="C4544" s="24" t="inlineStr">
        <is>
          <t>信用等级评估统一导入</t>
        </is>
      </c>
      <c r="D4544" s="24" t="inlineStr">
        <is>
          <t>03</t>
        </is>
      </c>
      <c r="E4544" s="24" t="inlineStr">
        <is>
          <t>无车辆</t>
        </is>
      </c>
    </row>
    <row r="4545" ht="15.95" customHeight="1" s="170">
      <c r="B4545" s="122" t="inlineStr">
        <is>
          <t>码值：融资能力2</t>
        </is>
      </c>
    </row>
    <row r="4546">
      <c r="B4546" s="24" t="inlineStr">
        <is>
          <t>融资能力2</t>
        </is>
      </c>
      <c r="C4546" s="24" t="inlineStr">
        <is>
          <t>融资能力2</t>
        </is>
      </c>
      <c r="D4546" s="24" t="inlineStr">
        <is>
          <t>01</t>
        </is>
      </c>
      <c r="E4546" s="24" t="inlineStr">
        <is>
          <t>为两家以上银行（本行除外）授信对象</t>
        </is>
      </c>
    </row>
    <row r="4547">
      <c r="B4547" s="24" t="inlineStr">
        <is>
          <t>融资能力2</t>
        </is>
      </c>
      <c r="C4547" s="24" t="inlineStr">
        <is>
          <t>融资能力2</t>
        </is>
      </c>
      <c r="D4547" s="24" t="inlineStr">
        <is>
          <t>02</t>
        </is>
      </c>
      <c r="E4547" s="24" t="inlineStr">
        <is>
          <t>有另一家银行（本行除外）对该客户授信c</t>
        </is>
      </c>
    </row>
    <row r="4548">
      <c r="B4548" s="24" t="inlineStr">
        <is>
          <t>融资能力2</t>
        </is>
      </c>
      <c r="C4548" s="24" t="inlineStr">
        <is>
          <t>融资能力2</t>
        </is>
      </c>
      <c r="D4548" s="24" t="inlineStr">
        <is>
          <t>03</t>
        </is>
      </c>
      <c r="E4548" s="24" t="inlineStr">
        <is>
          <t>本行授信客户</t>
        </is>
      </c>
    </row>
    <row r="4549">
      <c r="B4549" s="24" t="inlineStr">
        <is>
          <t>融资能力2</t>
        </is>
      </c>
      <c r="C4549" s="24" t="inlineStr">
        <is>
          <t>融资能力2</t>
        </is>
      </c>
      <c r="D4549" s="24" t="inlineStr">
        <is>
          <t>04</t>
        </is>
      </c>
      <c r="E4549" s="24" t="inlineStr">
        <is>
          <t>没有银行对其授信</t>
        </is>
      </c>
    </row>
    <row r="4550" ht="15.95" customHeight="1" s="170">
      <c r="B4550" s="122" t="inlineStr">
        <is>
          <t>码值：TableName</t>
        </is>
      </c>
    </row>
    <row r="4551">
      <c r="B4551" s="24" t="inlineStr">
        <is>
          <t>TableName</t>
        </is>
      </c>
      <c r="C4551" s="24" t="inlineStr">
        <is>
          <t>业务数据表</t>
        </is>
      </c>
      <c r="D4551" s="24" t="inlineStr">
        <is>
          <t>01</t>
        </is>
      </c>
      <c r="E4551" s="24" t="inlineStr">
        <is>
          <t>ACCOUNT_INFO</t>
        </is>
      </c>
    </row>
    <row r="4552">
      <c r="B4552" s="24" t="inlineStr">
        <is>
          <t>TableName</t>
        </is>
      </c>
      <c r="C4552" s="24" t="inlineStr">
        <is>
          <t>业务数据表</t>
        </is>
      </c>
      <c r="D4552" s="24" t="inlineStr">
        <is>
          <t>02</t>
        </is>
      </c>
      <c r="E4552" s="24" t="inlineStr">
        <is>
          <t>ACCOUNT_WASTEBOOK</t>
        </is>
      </c>
    </row>
    <row r="4553">
      <c r="B4553" s="24" t="inlineStr">
        <is>
          <t>TableName</t>
        </is>
      </c>
      <c r="C4553" s="24" t="inlineStr">
        <is>
          <t>业务数据表</t>
        </is>
      </c>
      <c r="D4553" s="24" t="inlineStr">
        <is>
          <t>03</t>
        </is>
      </c>
      <c r="E4553" s="24" t="inlineStr">
        <is>
          <t>AGENCY_INFO</t>
        </is>
      </c>
    </row>
    <row r="4554">
      <c r="B4554" s="24" t="inlineStr">
        <is>
          <t>TableName</t>
        </is>
      </c>
      <c r="C4554" s="24" t="inlineStr">
        <is>
          <t>业务数据表</t>
        </is>
      </c>
      <c r="D4554" s="24" t="inlineStr">
        <is>
          <t>04</t>
        </is>
      </c>
      <c r="E4554" s="24" t="inlineStr">
        <is>
          <t>AGENT_INFO</t>
        </is>
      </c>
    </row>
    <row r="4555">
      <c r="B4555" s="24" t="inlineStr">
        <is>
          <t>TableName</t>
        </is>
      </c>
      <c r="C4555" s="24" t="inlineStr">
        <is>
          <t>业务数据表</t>
        </is>
      </c>
      <c r="D4555" s="24" t="inlineStr">
        <is>
          <t>05</t>
        </is>
      </c>
      <c r="E4555" s="24" t="inlineStr">
        <is>
          <t>APPLY_RELATIVE</t>
        </is>
      </c>
    </row>
    <row r="4556">
      <c r="B4556" s="24" t="inlineStr">
        <is>
          <t>TableName</t>
        </is>
      </c>
      <c r="C4556" s="24" t="inlineStr">
        <is>
          <t>业务数据表</t>
        </is>
      </c>
      <c r="D4556" s="24" t="inlineStr">
        <is>
          <t>06</t>
        </is>
      </c>
      <c r="E4556" s="24" t="inlineStr">
        <is>
          <t>APPROVE_RELATIVE</t>
        </is>
      </c>
    </row>
    <row r="4557">
      <c r="B4557" s="24" t="inlineStr">
        <is>
          <t>TableName</t>
        </is>
      </c>
      <c r="C4557" s="24" t="inlineStr">
        <is>
          <t>业务数据表</t>
        </is>
      </c>
      <c r="D4557" s="24" t="inlineStr">
        <is>
          <t>07</t>
        </is>
      </c>
      <c r="E4557" s="24" t="inlineStr">
        <is>
          <t>ASSET_BALANCE</t>
        </is>
      </c>
    </row>
    <row r="4558">
      <c r="B4558" s="24" t="inlineStr">
        <is>
          <t>TableName</t>
        </is>
      </c>
      <c r="C4558" s="24" t="inlineStr">
        <is>
          <t>业务数据表</t>
        </is>
      </c>
      <c r="D4558" s="24" t="inlineStr">
        <is>
          <t>08</t>
        </is>
      </c>
      <c r="E4558" s="24" t="inlineStr">
        <is>
          <t>ASSET_CONTRACT</t>
        </is>
      </c>
    </row>
    <row r="4559">
      <c r="B4559" s="24" t="inlineStr">
        <is>
          <t>TableName</t>
        </is>
      </c>
      <c r="C4559" s="24" t="inlineStr">
        <is>
          <t>业务数据表</t>
        </is>
      </c>
      <c r="D4559" s="24" t="inlineStr">
        <is>
          <t>09</t>
        </is>
      </c>
      <c r="E4559" s="24" t="inlineStr">
        <is>
          <t>ASSET_DISPOSITION</t>
        </is>
      </c>
    </row>
    <row r="4560">
      <c r="B4560" s="24" t="inlineStr">
        <is>
          <t>TableName</t>
        </is>
      </c>
      <c r="C4560" s="24" t="inlineStr">
        <is>
          <t>业务数据表</t>
        </is>
      </c>
      <c r="D4560" s="24" t="inlineStr">
        <is>
          <t>10</t>
        </is>
      </c>
      <c r="E4560" s="24" t="inlineStr">
        <is>
          <t>ASSET_INFO</t>
        </is>
      </c>
    </row>
    <row r="4561">
      <c r="B4561" s="24" t="inlineStr">
        <is>
          <t>TableName</t>
        </is>
      </c>
      <c r="C4561" s="24" t="inlineStr">
        <is>
          <t>业务数据表</t>
        </is>
      </c>
      <c r="D4561" s="24" t="inlineStr">
        <is>
          <t>100</t>
        </is>
      </c>
      <c r="E4561" s="24" t="inlineStr">
        <is>
          <t>IND_OASSET</t>
        </is>
      </c>
    </row>
    <row r="4562">
      <c r="B4562" s="24" t="inlineStr">
        <is>
          <t>TableName</t>
        </is>
      </c>
      <c r="C4562" s="24" t="inlineStr">
        <is>
          <t>业务数据表</t>
        </is>
      </c>
      <c r="D4562" s="24" t="inlineStr">
        <is>
          <t>101</t>
        </is>
      </c>
      <c r="E4562" s="24" t="inlineStr">
        <is>
          <t>IND_ODEBT</t>
        </is>
      </c>
    </row>
    <row r="4563">
      <c r="B4563" s="24" t="inlineStr">
        <is>
          <t>TableName</t>
        </is>
      </c>
      <c r="C4563" s="24" t="inlineStr">
        <is>
          <t>业务数据表</t>
        </is>
      </c>
      <c r="D4563" s="24" t="inlineStr">
        <is>
          <t>102</t>
        </is>
      </c>
      <c r="E4563" s="24" t="inlineStr">
        <is>
          <t>IND_RESUME</t>
        </is>
      </c>
    </row>
    <row r="4564">
      <c r="B4564" s="24" t="inlineStr">
        <is>
          <t>TableName</t>
        </is>
      </c>
      <c r="C4564" s="24" t="inlineStr">
        <is>
          <t>业务数据表</t>
        </is>
      </c>
      <c r="D4564" s="24" t="inlineStr">
        <is>
          <t>103</t>
        </is>
      </c>
      <c r="E4564" s="24" t="inlineStr">
        <is>
          <t>IND_SI</t>
        </is>
      </c>
    </row>
    <row r="4565">
      <c r="B4565" s="24" t="inlineStr">
        <is>
          <t>TableName</t>
        </is>
      </c>
      <c r="C4565" s="24" t="inlineStr">
        <is>
          <t>业务数据表</t>
        </is>
      </c>
      <c r="D4565" s="24" t="inlineStr">
        <is>
          <t>104</t>
        </is>
      </c>
      <c r="E4565" s="24" t="inlineStr">
        <is>
          <t>INSPECT_DATA</t>
        </is>
      </c>
    </row>
    <row r="4566">
      <c r="B4566" s="24" t="inlineStr">
        <is>
          <t>TableName</t>
        </is>
      </c>
      <c r="C4566" s="24" t="inlineStr">
        <is>
          <t>业务数据表</t>
        </is>
      </c>
      <c r="D4566" s="24" t="inlineStr">
        <is>
          <t>105</t>
        </is>
      </c>
      <c r="E4566" s="24" t="inlineStr">
        <is>
          <t>INSPECT_DETAIL</t>
        </is>
      </c>
    </row>
    <row r="4567">
      <c r="B4567" s="24" t="inlineStr">
        <is>
          <t>TableName</t>
        </is>
      </c>
      <c r="C4567" s="24" t="inlineStr">
        <is>
          <t>业务数据表</t>
        </is>
      </c>
      <c r="D4567" s="24" t="inlineStr">
        <is>
          <t>106</t>
        </is>
      </c>
      <c r="E4567" s="24" t="inlineStr">
        <is>
          <t>INSPECT_INFO</t>
        </is>
      </c>
    </row>
    <row r="4568">
      <c r="B4568" s="24" t="inlineStr">
        <is>
          <t>TableName</t>
        </is>
      </c>
      <c r="C4568" s="24" t="inlineStr">
        <is>
          <t>业务数据表</t>
        </is>
      </c>
      <c r="D4568" s="24" t="inlineStr">
        <is>
          <t>107</t>
        </is>
      </c>
      <c r="E4568" s="24" t="inlineStr">
        <is>
          <t>INSURANCE_INFO</t>
        </is>
      </c>
    </row>
    <row r="4569">
      <c r="B4569" s="24" t="inlineStr">
        <is>
          <t>TableName</t>
        </is>
      </c>
      <c r="C4569" s="24" t="inlineStr">
        <is>
          <t>业务数据表</t>
        </is>
      </c>
      <c r="D4569" s="24" t="inlineStr">
        <is>
          <t>108</t>
        </is>
      </c>
      <c r="E4569" s="24" t="inlineStr">
        <is>
          <t>INVOICE_INFO</t>
        </is>
      </c>
    </row>
    <row r="4570">
      <c r="B4570" s="24" t="inlineStr">
        <is>
          <t>TableName</t>
        </is>
      </c>
      <c r="C4570" s="24" t="inlineStr">
        <is>
          <t>业务数据表</t>
        </is>
      </c>
      <c r="D4570" s="24" t="inlineStr">
        <is>
          <t>109</t>
        </is>
      </c>
      <c r="E4570" s="24" t="inlineStr">
        <is>
          <t>KNOWLEDGE_CATALOG</t>
        </is>
      </c>
    </row>
    <row r="4571">
      <c r="B4571" s="24" t="inlineStr">
        <is>
          <t>TableName</t>
        </is>
      </c>
      <c r="C4571" s="24" t="inlineStr">
        <is>
          <t>业务数据表</t>
        </is>
      </c>
      <c r="D4571" s="24" t="inlineStr">
        <is>
          <t>11</t>
        </is>
      </c>
      <c r="E4571" s="24" t="inlineStr">
        <is>
          <t>BILL_INFO</t>
        </is>
      </c>
    </row>
    <row r="4572">
      <c r="B4572" s="24" t="inlineStr">
        <is>
          <t>TableName</t>
        </is>
      </c>
      <c r="C4572" s="24" t="inlineStr">
        <is>
          <t>业务数据表</t>
        </is>
      </c>
      <c r="D4572" s="24" t="inlineStr">
        <is>
          <t>110</t>
        </is>
      </c>
      <c r="E4572" s="24" t="inlineStr">
        <is>
          <t>LAWCASE_BOOK</t>
        </is>
      </c>
    </row>
    <row r="4573">
      <c r="B4573" s="24" t="inlineStr">
        <is>
          <t>TableName</t>
        </is>
      </c>
      <c r="C4573" s="24" t="inlineStr">
        <is>
          <t>业务数据表</t>
        </is>
      </c>
      <c r="D4573" s="24" t="inlineStr">
        <is>
          <t>111</t>
        </is>
      </c>
      <c r="E4573" s="24" t="inlineStr">
        <is>
          <t>LAWCASE_COGNIZANCE</t>
        </is>
      </c>
    </row>
    <row r="4574">
      <c r="B4574" s="24" t="inlineStr">
        <is>
          <t>TableName</t>
        </is>
      </c>
      <c r="C4574" s="24" t="inlineStr">
        <is>
          <t>业务数据表</t>
        </is>
      </c>
      <c r="D4574" s="24" t="inlineStr">
        <is>
          <t>112</t>
        </is>
      </c>
      <c r="E4574" s="24" t="inlineStr">
        <is>
          <t>LAWCASE_INFO</t>
        </is>
      </c>
    </row>
    <row r="4575">
      <c r="B4575" s="24" t="inlineStr">
        <is>
          <t>TableName</t>
        </is>
      </c>
      <c r="C4575" s="24" t="inlineStr">
        <is>
          <t>业务数据表</t>
        </is>
      </c>
      <c r="D4575" s="24" t="inlineStr">
        <is>
          <t>113</t>
        </is>
      </c>
      <c r="E4575" s="24" t="inlineStr">
        <is>
          <t>LAWCASE_PERSONS</t>
        </is>
      </c>
    </row>
    <row r="4576">
      <c r="B4576" s="24" t="inlineStr">
        <is>
          <t>TableName</t>
        </is>
      </c>
      <c r="C4576" s="24" t="inlineStr">
        <is>
          <t>业务数据表</t>
        </is>
      </c>
      <c r="D4576" s="24" t="inlineStr">
        <is>
          <t>114</t>
        </is>
      </c>
      <c r="E4576" s="24" t="inlineStr">
        <is>
          <t>LAWCASE_RELATIVE</t>
        </is>
      </c>
    </row>
    <row r="4577">
      <c r="B4577" s="24" t="inlineStr">
        <is>
          <t>TableName</t>
        </is>
      </c>
      <c r="C4577" s="24" t="inlineStr">
        <is>
          <t>业务数据表</t>
        </is>
      </c>
      <c r="D4577" s="24" t="inlineStr">
        <is>
          <t>115</t>
        </is>
      </c>
      <c r="E4577" s="24" t="inlineStr">
        <is>
          <t>LC_INFO</t>
        </is>
      </c>
    </row>
    <row r="4578">
      <c r="B4578" s="24" t="inlineStr">
        <is>
          <t>TableName</t>
        </is>
      </c>
      <c r="C4578" s="24" t="inlineStr">
        <is>
          <t>业务数据表</t>
        </is>
      </c>
      <c r="D4578" s="24" t="inlineStr">
        <is>
          <t>116</t>
        </is>
      </c>
      <c r="E4578" s="24" t="inlineStr">
        <is>
          <t>MANAGE_CHANGE</t>
        </is>
      </c>
    </row>
    <row r="4579">
      <c r="B4579" s="24" t="inlineStr">
        <is>
          <t>TableName</t>
        </is>
      </c>
      <c r="C4579" s="24" t="inlineStr">
        <is>
          <t>业务数据表</t>
        </is>
      </c>
      <c r="D4579" s="24" t="inlineStr">
        <is>
          <t>117</t>
        </is>
      </c>
      <c r="E4579" s="24" t="inlineStr">
        <is>
          <t>MANAGER_CHECKREPORT</t>
        </is>
      </c>
    </row>
    <row r="4580">
      <c r="B4580" s="24" t="inlineStr">
        <is>
          <t>TableName</t>
        </is>
      </c>
      <c r="C4580" s="24" t="inlineStr">
        <is>
          <t>业务数据表</t>
        </is>
      </c>
      <c r="D4580" s="24" t="inlineStr">
        <is>
          <t>118</t>
        </is>
      </c>
      <c r="E4580" s="24" t="inlineStr">
        <is>
          <t>OTHERCHANGE_INFO</t>
        </is>
      </c>
    </row>
    <row r="4581">
      <c r="B4581" s="24" t="inlineStr">
        <is>
          <t>TableName</t>
        </is>
      </c>
      <c r="C4581" s="24" t="inlineStr">
        <is>
          <t>业务数据表</t>
        </is>
      </c>
      <c r="D4581" s="24" t="inlineStr">
        <is>
          <t>119</t>
        </is>
      </c>
      <c r="E4581" s="24" t="inlineStr">
        <is>
          <t>PAYMENT_INFO</t>
        </is>
      </c>
    </row>
    <row r="4582">
      <c r="B4582" s="24" t="inlineStr">
        <is>
          <t>TableName</t>
        </is>
      </c>
      <c r="C4582" s="24" t="inlineStr">
        <is>
          <t>业务数据表</t>
        </is>
      </c>
      <c r="D4582" s="24" t="inlineStr">
        <is>
          <t>12</t>
        </is>
      </c>
      <c r="E4582" s="24" t="inlineStr">
        <is>
          <t>BUSINESS_APPLICANT</t>
        </is>
      </c>
    </row>
    <row r="4583">
      <c r="B4583" s="24" t="inlineStr">
        <is>
          <t>TableName</t>
        </is>
      </c>
      <c r="C4583" s="24" t="inlineStr">
        <is>
          <t>业务数据表</t>
        </is>
      </c>
      <c r="D4583" s="24" t="inlineStr">
        <is>
          <t>120</t>
        </is>
      </c>
      <c r="E4583" s="24" t="inlineStr">
        <is>
          <t>PROJECT_BUDGET</t>
        </is>
      </c>
    </row>
    <row r="4584">
      <c r="B4584" s="24" t="inlineStr">
        <is>
          <t>TableName</t>
        </is>
      </c>
      <c r="C4584" s="24" t="inlineStr">
        <is>
          <t>业务数据表</t>
        </is>
      </c>
      <c r="D4584" s="24" t="inlineStr">
        <is>
          <t>121</t>
        </is>
      </c>
      <c r="E4584" s="24" t="inlineStr">
        <is>
          <t>PROJECT_FUNDS</t>
        </is>
      </c>
    </row>
    <row r="4585">
      <c r="B4585" s="24" t="inlineStr">
        <is>
          <t>TableName</t>
        </is>
      </c>
      <c r="C4585" s="24" t="inlineStr">
        <is>
          <t>业务数据表</t>
        </is>
      </c>
      <c r="D4585" s="24" t="inlineStr">
        <is>
          <t>122</t>
        </is>
      </c>
      <c r="E4585" s="24" t="inlineStr">
        <is>
          <t>PROJECT_INFO</t>
        </is>
      </c>
    </row>
    <row r="4586">
      <c r="B4586" s="24" t="inlineStr">
        <is>
          <t>TableName</t>
        </is>
      </c>
      <c r="C4586" s="24" t="inlineStr">
        <is>
          <t>业务数据表</t>
        </is>
      </c>
      <c r="D4586" s="24" t="inlineStr">
        <is>
          <t>123</t>
        </is>
      </c>
      <c r="E4586" s="24" t="inlineStr">
        <is>
          <t>PROJECT_PROGRESS</t>
        </is>
      </c>
    </row>
    <row r="4587">
      <c r="B4587" s="24" t="inlineStr">
        <is>
          <t>TableName</t>
        </is>
      </c>
      <c r="C4587" s="24" t="inlineStr">
        <is>
          <t>业务数据表</t>
        </is>
      </c>
      <c r="D4587" s="24" t="inlineStr">
        <is>
          <t>124</t>
        </is>
      </c>
      <c r="E4587" s="24" t="inlineStr">
        <is>
          <t>PROJECT_RELATIVE</t>
        </is>
      </c>
    </row>
    <row r="4588">
      <c r="B4588" s="24" t="inlineStr">
        <is>
          <t>TableName</t>
        </is>
      </c>
      <c r="C4588" s="24" t="inlineStr">
        <is>
          <t>业务数据表</t>
        </is>
      </c>
      <c r="D4588" s="24" t="inlineStr">
        <is>
          <t>125</t>
        </is>
      </c>
      <c r="E4588" s="24" t="inlineStr">
        <is>
          <t>PUTOUT_RELATIVE</t>
        </is>
      </c>
    </row>
    <row r="4589">
      <c r="B4589" s="24" t="inlineStr">
        <is>
          <t>TableName</t>
        </is>
      </c>
      <c r="C4589" s="24" t="inlineStr">
        <is>
          <t>业务数据表</t>
        </is>
      </c>
      <c r="D4589" s="24" t="inlineStr">
        <is>
          <t>126</t>
        </is>
      </c>
      <c r="E4589" s="24" t="inlineStr">
        <is>
          <t>RATE_INFO</t>
        </is>
      </c>
    </row>
    <row r="4590">
      <c r="B4590" s="24" t="inlineStr">
        <is>
          <t>TableName</t>
        </is>
      </c>
      <c r="C4590" s="24" t="inlineStr">
        <is>
          <t>业务数据表</t>
        </is>
      </c>
      <c r="D4590" s="24" t="inlineStr">
        <is>
          <t>127</t>
        </is>
      </c>
      <c r="E4590" s="24" t="inlineStr">
        <is>
          <t>RECLAIM_INFO</t>
        </is>
      </c>
    </row>
    <row r="4591">
      <c r="B4591" s="24" t="inlineStr">
        <is>
          <t>TableName</t>
        </is>
      </c>
      <c r="C4591" s="24" t="inlineStr">
        <is>
          <t>业务数据表</t>
        </is>
      </c>
      <c r="D4591" s="24" t="inlineStr">
        <is>
          <t>128</t>
        </is>
      </c>
      <c r="E4591" s="24" t="inlineStr">
        <is>
          <t>REPORT_DATA</t>
        </is>
      </c>
    </row>
    <row r="4592">
      <c r="B4592" s="24" t="inlineStr">
        <is>
          <t>TableName</t>
        </is>
      </c>
      <c r="C4592" s="24" t="inlineStr">
        <is>
          <t>业务数据表</t>
        </is>
      </c>
      <c r="D4592" s="24" t="inlineStr">
        <is>
          <t>129</t>
        </is>
      </c>
      <c r="E4592" s="24" t="inlineStr">
        <is>
          <t>REPORT_RECORD</t>
        </is>
      </c>
    </row>
    <row r="4593">
      <c r="B4593" s="24" t="inlineStr">
        <is>
          <t>TableName</t>
        </is>
      </c>
      <c r="C4593" s="24" t="inlineStr">
        <is>
          <t>业务数据表</t>
        </is>
      </c>
      <c r="D4593" s="24" t="inlineStr">
        <is>
          <t>13</t>
        </is>
      </c>
      <c r="E4593" s="24" t="inlineStr">
        <is>
          <t>BUSINESS_APPLY</t>
        </is>
      </c>
    </row>
    <row r="4594">
      <c r="B4594" s="24" t="inlineStr">
        <is>
          <t>TableName</t>
        </is>
      </c>
      <c r="C4594" s="24" t="inlineStr">
        <is>
          <t>业务数据表</t>
        </is>
      </c>
      <c r="D4594" s="24" t="inlineStr">
        <is>
          <t>130</t>
        </is>
      </c>
      <c r="E4594" s="24" t="inlineStr">
        <is>
          <t>RESERVE_APPLY</t>
        </is>
      </c>
    </row>
    <row r="4595">
      <c r="B4595" s="24" t="inlineStr">
        <is>
          <t>TableName</t>
        </is>
      </c>
      <c r="C4595" s="24" t="inlineStr">
        <is>
          <t>业务数据表</t>
        </is>
      </c>
      <c r="D4595" s="24" t="inlineStr">
        <is>
          <t>131</t>
        </is>
      </c>
      <c r="E4595" s="24" t="inlineStr">
        <is>
          <t>RESERVE_COMPTOSIN</t>
        </is>
      </c>
    </row>
    <row r="4596">
      <c r="B4596" s="24" t="inlineStr">
        <is>
          <t>TableName</t>
        </is>
      </c>
      <c r="C4596" s="24" t="inlineStr">
        <is>
          <t>业务数据表</t>
        </is>
      </c>
      <c r="D4596" s="24" t="inlineStr">
        <is>
          <t>132</t>
        </is>
      </c>
      <c r="E4596" s="24" t="inlineStr">
        <is>
          <t>RESERVE_DETRANRATE</t>
        </is>
      </c>
    </row>
    <row r="4597">
      <c r="B4597" s="24" t="inlineStr">
        <is>
          <t>TableName</t>
        </is>
      </c>
      <c r="C4597" s="24" t="inlineStr">
        <is>
          <t>业务数据表</t>
        </is>
      </c>
      <c r="D4597" s="24" t="inlineStr">
        <is>
          <t>133</t>
        </is>
      </c>
      <c r="E4597" s="24" t="inlineStr">
        <is>
          <t>RESERVE_DUEBALANCE</t>
        </is>
      </c>
    </row>
    <row r="4598">
      <c r="B4598" s="24" t="inlineStr">
        <is>
          <t>TableName</t>
        </is>
      </c>
      <c r="C4598" s="24" t="inlineStr">
        <is>
          <t>业务数据表</t>
        </is>
      </c>
      <c r="D4598" s="24" t="inlineStr">
        <is>
          <t>134</t>
        </is>
      </c>
      <c r="E4598" s="24" t="inlineStr">
        <is>
          <t>RESERVE_ENTPARA</t>
        </is>
      </c>
    </row>
    <row r="4599">
      <c r="B4599" s="24" t="inlineStr">
        <is>
          <t>TableName</t>
        </is>
      </c>
      <c r="C4599" s="24" t="inlineStr">
        <is>
          <t>业务数据表</t>
        </is>
      </c>
      <c r="D4599" s="24" t="inlineStr">
        <is>
          <t>135</t>
        </is>
      </c>
      <c r="E4599" s="24" t="inlineStr">
        <is>
          <t>RESERVE_ERATE</t>
        </is>
      </c>
    </row>
    <row r="4600">
      <c r="B4600" s="24" t="inlineStr">
        <is>
          <t>TableName</t>
        </is>
      </c>
      <c r="C4600" s="24" t="inlineStr">
        <is>
          <t>业务数据表</t>
        </is>
      </c>
      <c r="D4600" s="24" t="inlineStr">
        <is>
          <t>136</t>
        </is>
      </c>
      <c r="E4600" s="24" t="inlineStr">
        <is>
          <t>RESERVE_FINISH</t>
        </is>
      </c>
    </row>
    <row r="4601">
      <c r="B4601" s="24" t="inlineStr">
        <is>
          <t>TableName</t>
        </is>
      </c>
      <c r="C4601" s="24" t="inlineStr">
        <is>
          <t>业务数据表</t>
        </is>
      </c>
      <c r="D4601" s="24" t="inlineStr">
        <is>
          <t>137</t>
        </is>
      </c>
      <c r="E4601" s="24" t="inlineStr">
        <is>
          <t>RESERVE_INDPARA</t>
        </is>
      </c>
    </row>
    <row r="4602">
      <c r="B4602" s="24" t="inlineStr">
        <is>
          <t>TableName</t>
        </is>
      </c>
      <c r="C4602" s="24" t="inlineStr">
        <is>
          <t>业务数据表</t>
        </is>
      </c>
      <c r="D4602" s="24" t="inlineStr">
        <is>
          <t>138</t>
        </is>
      </c>
      <c r="E4602" s="24" t="inlineStr">
        <is>
          <t>RESERVE_IRATE</t>
        </is>
      </c>
    </row>
    <row r="4603">
      <c r="B4603" s="24" t="inlineStr">
        <is>
          <t>TableName</t>
        </is>
      </c>
      <c r="C4603" s="24" t="inlineStr">
        <is>
          <t>业务数据表</t>
        </is>
      </c>
      <c r="D4603" s="24" t="inlineStr">
        <is>
          <t>139</t>
        </is>
      </c>
      <c r="E4603" s="24" t="inlineStr">
        <is>
          <t>RESERVE_LOSSRATE</t>
        </is>
      </c>
    </row>
    <row r="4604">
      <c r="B4604" s="24" t="inlineStr">
        <is>
          <t>TableName</t>
        </is>
      </c>
      <c r="C4604" s="24" t="inlineStr">
        <is>
          <t>业务数据表</t>
        </is>
      </c>
      <c r="D4604" s="24" t="inlineStr">
        <is>
          <t>14</t>
        </is>
      </c>
      <c r="E4604" s="24" t="inlineStr">
        <is>
          <t>BUSINESS_APPROVE</t>
        </is>
      </c>
    </row>
    <row r="4605">
      <c r="B4605" s="24" t="inlineStr">
        <is>
          <t>TableName</t>
        </is>
      </c>
      <c r="C4605" s="24" t="inlineStr">
        <is>
          <t>业务数据表</t>
        </is>
      </c>
      <c r="D4605" s="24" t="inlineStr">
        <is>
          <t>140</t>
        </is>
      </c>
      <c r="E4605" s="24" t="inlineStr">
        <is>
          <t>RESERVE_NCREDATA</t>
        </is>
      </c>
    </row>
    <row r="4606">
      <c r="B4606" s="24" t="inlineStr">
        <is>
          <t>TableName</t>
        </is>
      </c>
      <c r="C4606" s="24" t="inlineStr">
        <is>
          <t>业务数据表</t>
        </is>
      </c>
      <c r="D4606" s="24" t="inlineStr">
        <is>
          <t>141</t>
        </is>
      </c>
      <c r="E4606" s="24" t="inlineStr">
        <is>
          <t>RESERVE_PREDICTDATA</t>
        </is>
      </c>
    </row>
    <row r="4607">
      <c r="B4607" s="24" t="inlineStr">
        <is>
          <t>TableName</t>
        </is>
      </c>
      <c r="C4607" s="24" t="inlineStr">
        <is>
          <t>业务数据表</t>
        </is>
      </c>
      <c r="D4607" s="24" t="inlineStr">
        <is>
          <t>142</t>
        </is>
      </c>
      <c r="E4607" s="24" t="inlineStr">
        <is>
          <t>RESERVE_TOTAL</t>
        </is>
      </c>
    </row>
    <row r="4608">
      <c r="B4608" s="24" t="inlineStr">
        <is>
          <t>TableName</t>
        </is>
      </c>
      <c r="C4608" s="24" t="inlineStr">
        <is>
          <t>业务数据表</t>
        </is>
      </c>
      <c r="D4608" s="24" t="inlineStr">
        <is>
          <t>143</t>
        </is>
      </c>
      <c r="E4608" s="24" t="inlineStr">
        <is>
          <t>RESERVE_TRANDATA</t>
        </is>
      </c>
    </row>
    <row r="4609">
      <c r="B4609" s="24" t="inlineStr">
        <is>
          <t>TableName</t>
        </is>
      </c>
      <c r="C4609" s="24" t="inlineStr">
        <is>
          <t>业务数据表</t>
        </is>
      </c>
      <c r="D4609" s="24" t="inlineStr">
        <is>
          <t>144</t>
        </is>
      </c>
      <c r="E4609" s="24" t="inlineStr">
        <is>
          <t>RISK_CRITERIA</t>
        </is>
      </c>
    </row>
    <row r="4610">
      <c r="B4610" s="24" t="inlineStr">
        <is>
          <t>TableName</t>
        </is>
      </c>
      <c r="C4610" s="24" t="inlineStr">
        <is>
          <t>业务数据表</t>
        </is>
      </c>
      <c r="D4610" s="24" t="inlineStr">
        <is>
          <t>145</t>
        </is>
      </c>
      <c r="E4610" s="24" t="inlineStr">
        <is>
          <t>RISK_SIGNAL</t>
        </is>
      </c>
    </row>
    <row r="4611">
      <c r="B4611" s="24" t="inlineStr">
        <is>
          <t>TableName</t>
        </is>
      </c>
      <c r="C4611" s="24" t="inlineStr">
        <is>
          <t>业务数据表</t>
        </is>
      </c>
      <c r="D4611" s="24" t="inlineStr">
        <is>
          <t>146</t>
        </is>
      </c>
      <c r="E4611" s="24" t="inlineStr">
        <is>
          <t>RISKSIGNAL_OPINION</t>
        </is>
      </c>
    </row>
    <row r="4612">
      <c r="B4612" s="24" t="inlineStr">
        <is>
          <t>TableName</t>
        </is>
      </c>
      <c r="C4612" s="24" t="inlineStr">
        <is>
          <t>业务数据表</t>
        </is>
      </c>
      <c r="D4612" s="24" t="inlineStr">
        <is>
          <t>147</t>
        </is>
      </c>
      <c r="E4612" s="24" t="inlineStr">
        <is>
          <t>SADRE_ASSUMPTION</t>
        </is>
      </c>
    </row>
    <row r="4613">
      <c r="B4613" s="24" t="inlineStr">
        <is>
          <t>TableName</t>
        </is>
      </c>
      <c r="C4613" s="24" t="inlineStr">
        <is>
          <t>业务数据表</t>
        </is>
      </c>
      <c r="D4613" s="24" t="inlineStr">
        <is>
          <t>148</t>
        </is>
      </c>
      <c r="E4613" s="24" t="inlineStr">
        <is>
          <t>SADRE_DIMENSION</t>
        </is>
      </c>
    </row>
    <row r="4614">
      <c r="B4614" s="24" t="inlineStr">
        <is>
          <t>TableName</t>
        </is>
      </c>
      <c r="C4614" s="24" t="inlineStr">
        <is>
          <t>业务数据表</t>
        </is>
      </c>
      <c r="D4614" s="24" t="inlineStr">
        <is>
          <t>149</t>
        </is>
      </c>
      <c r="E4614" s="24" t="inlineStr">
        <is>
          <t>SADRE_RULESCENE</t>
        </is>
      </c>
    </row>
    <row r="4615">
      <c r="B4615" s="24" t="inlineStr">
        <is>
          <t>TableName</t>
        </is>
      </c>
      <c r="C4615" s="24" t="inlineStr">
        <is>
          <t>业务数据表</t>
        </is>
      </c>
      <c r="D4615" s="24" t="inlineStr">
        <is>
          <t>15</t>
        </is>
      </c>
      <c r="E4615" s="24" t="inlineStr">
        <is>
          <t>BUSINESS_CONTRACT</t>
        </is>
      </c>
    </row>
    <row r="4616">
      <c r="B4616" s="24" t="inlineStr">
        <is>
          <t>TableName</t>
        </is>
      </c>
      <c r="C4616" s="24" t="inlineStr">
        <is>
          <t>业务数据表</t>
        </is>
      </c>
      <c r="D4616" s="24" t="inlineStr">
        <is>
          <t>150</t>
        </is>
      </c>
      <c r="E4616" s="24" t="inlineStr">
        <is>
          <t>SADRE_SCENEGROUP</t>
        </is>
      </c>
    </row>
    <row r="4617">
      <c r="B4617" s="24" t="inlineStr">
        <is>
          <t>TableName</t>
        </is>
      </c>
      <c r="C4617" s="24" t="inlineStr">
        <is>
          <t>业务数据表</t>
        </is>
      </c>
      <c r="D4617" s="24" t="inlineStr">
        <is>
          <t>151</t>
        </is>
      </c>
      <c r="E4617" s="24" t="inlineStr">
        <is>
          <t>SADRE_SCENERELATIVE</t>
        </is>
      </c>
    </row>
    <row r="4618">
      <c r="B4618" s="24" t="inlineStr">
        <is>
          <t>TableName</t>
        </is>
      </c>
      <c r="C4618" s="24" t="inlineStr">
        <is>
          <t>业务数据表</t>
        </is>
      </c>
      <c r="D4618" s="24" t="inlineStr">
        <is>
          <t>152</t>
        </is>
      </c>
      <c r="E4618" s="24" t="inlineStr">
        <is>
          <t>SADRE_SYNONYMN</t>
        </is>
      </c>
    </row>
    <row r="4619">
      <c r="B4619" s="24" t="inlineStr">
        <is>
          <t>TableName</t>
        </is>
      </c>
      <c r="C4619" s="24" t="inlineStr">
        <is>
          <t>业务数据表</t>
        </is>
      </c>
      <c r="D4619" s="24" t="inlineStr">
        <is>
          <t>153</t>
        </is>
      </c>
      <c r="E4619" s="24" t="inlineStr">
        <is>
          <t>SME_APPLY</t>
        </is>
      </c>
    </row>
    <row r="4620">
      <c r="B4620" s="24" t="inlineStr">
        <is>
          <t>TableName</t>
        </is>
      </c>
      <c r="C4620" s="24" t="inlineStr">
        <is>
          <t>业务数据表</t>
        </is>
      </c>
      <c r="D4620" s="24" t="inlineStr">
        <is>
          <t>154</t>
        </is>
      </c>
      <c r="E4620" s="24" t="inlineStr">
        <is>
          <t>SME_CONFMODE</t>
        </is>
      </c>
    </row>
    <row r="4621">
      <c r="B4621" s="24" t="inlineStr">
        <is>
          <t>TableName</t>
        </is>
      </c>
      <c r="C4621" s="24" t="inlineStr">
        <is>
          <t>业务数据表</t>
        </is>
      </c>
      <c r="D4621" s="24" t="inlineStr">
        <is>
          <t>155</t>
        </is>
      </c>
      <c r="E4621" s="24" t="inlineStr">
        <is>
          <t>SME_CONSINFO</t>
        </is>
      </c>
    </row>
    <row r="4622">
      <c r="B4622" s="24" t="inlineStr">
        <is>
          <t>TableName</t>
        </is>
      </c>
      <c r="C4622" s="24" t="inlineStr">
        <is>
          <t>业务数据表</t>
        </is>
      </c>
      <c r="D4622" s="24" t="inlineStr">
        <is>
          <t>156</t>
        </is>
      </c>
      <c r="E4622" s="24" t="inlineStr">
        <is>
          <t>SME_CUSTACCO</t>
        </is>
      </c>
    </row>
    <row r="4623">
      <c r="B4623" s="24" t="inlineStr">
        <is>
          <t>TableName</t>
        </is>
      </c>
      <c r="C4623" s="24" t="inlineStr">
        <is>
          <t>业务数据表</t>
        </is>
      </c>
      <c r="D4623" s="24" t="inlineStr">
        <is>
          <t>157</t>
        </is>
      </c>
      <c r="E4623" s="24" t="inlineStr">
        <is>
          <t>SME_CUSTRELA</t>
        </is>
      </c>
    </row>
    <row r="4624">
      <c r="B4624" s="24" t="inlineStr">
        <is>
          <t>TableName</t>
        </is>
      </c>
      <c r="C4624" s="24" t="inlineStr">
        <is>
          <t>业务数据表</t>
        </is>
      </c>
      <c r="D4624" s="24" t="inlineStr">
        <is>
          <t>158</t>
        </is>
      </c>
      <c r="E4624" s="24" t="inlineStr">
        <is>
          <t>SME_INVEINFO</t>
        </is>
      </c>
    </row>
    <row r="4625">
      <c r="B4625" s="24" t="inlineStr">
        <is>
          <t>TableName</t>
        </is>
      </c>
      <c r="C4625" s="24" t="inlineStr">
        <is>
          <t>业务数据表</t>
        </is>
      </c>
      <c r="D4625" s="24" t="inlineStr">
        <is>
          <t>159</t>
        </is>
      </c>
      <c r="E4625" s="24" t="inlineStr">
        <is>
          <t>SUBJECT_HISTORY</t>
        </is>
      </c>
    </row>
    <row r="4626">
      <c r="B4626" s="24" t="inlineStr">
        <is>
          <t>TableName</t>
        </is>
      </c>
      <c r="C4626" s="24" t="inlineStr">
        <is>
          <t>业务数据表</t>
        </is>
      </c>
      <c r="D4626" s="24" t="inlineStr">
        <is>
          <t>16</t>
        </is>
      </c>
      <c r="E4626" s="24" t="inlineStr">
        <is>
          <t>BUSINESS_DUEBILL</t>
        </is>
      </c>
    </row>
    <row r="4627">
      <c r="B4627" s="24" t="inlineStr">
        <is>
          <t>TableName</t>
        </is>
      </c>
      <c r="C4627" s="24" t="inlineStr">
        <is>
          <t>业务数据表</t>
        </is>
      </c>
      <c r="D4627" s="24" t="inlineStr">
        <is>
          <t>160</t>
        </is>
      </c>
      <c r="E4627" s="24" t="inlineStr">
        <is>
          <t>TRANSFORM_RELATIVE</t>
        </is>
      </c>
    </row>
    <row r="4628">
      <c r="B4628" s="24" t="inlineStr">
        <is>
          <t>TableName</t>
        </is>
      </c>
      <c r="C4628" s="24" t="inlineStr">
        <is>
          <t>业务数据表</t>
        </is>
      </c>
      <c r="D4628" s="24" t="inlineStr">
        <is>
          <t>161</t>
        </is>
      </c>
      <c r="E4628" s="24" t="inlineStr">
        <is>
          <t>WORK_RECORD</t>
        </is>
      </c>
    </row>
    <row r="4629">
      <c r="B4629" s="24" t="inlineStr">
        <is>
          <t>TableName</t>
        </is>
      </c>
      <c r="C4629" s="24" t="inlineStr">
        <is>
          <t>业务数据表</t>
        </is>
      </c>
      <c r="D4629" s="24" t="inlineStr">
        <is>
          <t>17</t>
        </is>
      </c>
      <c r="E4629" s="24" t="inlineStr">
        <is>
          <t>BUSINESS_EXTENSION</t>
        </is>
      </c>
    </row>
    <row r="4630">
      <c r="B4630" s="24" t="inlineStr">
        <is>
          <t>TableName</t>
        </is>
      </c>
      <c r="C4630" s="24" t="inlineStr">
        <is>
          <t>业务数据表</t>
        </is>
      </c>
      <c r="D4630" s="24" t="inlineStr">
        <is>
          <t>18</t>
        </is>
      </c>
      <c r="E4630" s="24" t="inlineStr">
        <is>
          <t>BUSINESS_HISTORY</t>
        </is>
      </c>
    </row>
    <row r="4631">
      <c r="B4631" s="24" t="inlineStr">
        <is>
          <t>TableName</t>
        </is>
      </c>
      <c r="C4631" s="24" t="inlineStr">
        <is>
          <t>业务数据表</t>
        </is>
      </c>
      <c r="D4631" s="24" t="inlineStr">
        <is>
          <t>19</t>
        </is>
      </c>
      <c r="E4631" s="24" t="inlineStr">
        <is>
          <t>BUSINESS_PUTOUT</t>
        </is>
      </c>
    </row>
    <row r="4632">
      <c r="B4632" s="24" t="inlineStr">
        <is>
          <t>TableName</t>
        </is>
      </c>
      <c r="C4632" s="24" t="inlineStr">
        <is>
          <t>业务数据表</t>
        </is>
      </c>
      <c r="D4632" s="24" t="inlineStr">
        <is>
          <t>20</t>
        </is>
      </c>
      <c r="E4632" s="24" t="inlineStr">
        <is>
          <t>BUSINESS_SORT</t>
        </is>
      </c>
    </row>
    <row r="4633">
      <c r="B4633" s="24" t="inlineStr">
        <is>
          <t>TableName</t>
        </is>
      </c>
      <c r="C4633" s="24" t="inlineStr">
        <is>
          <t>业务数据表</t>
        </is>
      </c>
      <c r="D4633" s="24" t="inlineStr">
        <is>
          <t>21</t>
        </is>
      </c>
      <c r="E4633" s="24" t="inlineStr">
        <is>
          <t>BUSINESS_TYPE</t>
        </is>
      </c>
    </row>
    <row r="4634">
      <c r="B4634" s="24" t="inlineStr">
        <is>
          <t>TableName</t>
        </is>
      </c>
      <c r="C4634" s="24" t="inlineStr">
        <is>
          <t>业务数据表</t>
        </is>
      </c>
      <c r="D4634" s="24" t="inlineStr">
        <is>
          <t>22</t>
        </is>
      </c>
      <c r="E4634" s="24" t="inlineStr">
        <is>
          <t>BUSINESS_WASTEBOOK</t>
        </is>
      </c>
    </row>
    <row r="4635">
      <c r="B4635" s="24" t="inlineStr">
        <is>
          <t>TableName</t>
        </is>
      </c>
      <c r="C4635" s="24" t="inlineStr">
        <is>
          <t>业务数据表</t>
        </is>
      </c>
      <c r="D4635" s="24" t="inlineStr">
        <is>
          <t>23</t>
        </is>
      </c>
      <c r="E4635" s="24" t="inlineStr">
        <is>
          <t>CASHFLOW_DATA</t>
        </is>
      </c>
    </row>
    <row r="4636">
      <c r="B4636" s="24" t="inlineStr">
        <is>
          <t>TableName</t>
        </is>
      </c>
      <c r="C4636" s="24" t="inlineStr">
        <is>
          <t>业务数据表</t>
        </is>
      </c>
      <c r="D4636" s="24" t="inlineStr">
        <is>
          <t>24</t>
        </is>
      </c>
      <c r="E4636" s="24" t="inlineStr">
        <is>
          <t>CASHFLOW_PARAMETER</t>
        </is>
      </c>
    </row>
    <row r="4637">
      <c r="B4637" s="24" t="inlineStr">
        <is>
          <t>TableName</t>
        </is>
      </c>
      <c r="C4637" s="24" t="inlineStr">
        <is>
          <t>业务数据表</t>
        </is>
      </c>
      <c r="D4637" s="24" t="inlineStr">
        <is>
          <t>25</t>
        </is>
      </c>
      <c r="E4637" s="24" t="inlineStr">
        <is>
          <t>CASHFLOW_RECORD</t>
        </is>
      </c>
    </row>
    <row r="4638">
      <c r="B4638" s="24" t="inlineStr">
        <is>
          <t>TableName</t>
        </is>
      </c>
      <c r="C4638" s="24" t="inlineStr">
        <is>
          <t>业务数据表</t>
        </is>
      </c>
      <c r="D4638" s="24" t="inlineStr">
        <is>
          <t>26</t>
        </is>
      </c>
      <c r="E4638" s="24" t="inlineStr">
        <is>
          <t>CL_DIVIDE</t>
        </is>
      </c>
    </row>
    <row r="4639">
      <c r="B4639" s="24" t="inlineStr">
        <is>
          <t>TableName</t>
        </is>
      </c>
      <c r="C4639" s="24" t="inlineStr">
        <is>
          <t>业务数据表</t>
        </is>
      </c>
      <c r="D4639" s="24" t="inlineStr">
        <is>
          <t>27</t>
        </is>
      </c>
      <c r="E4639" s="24" t="inlineStr">
        <is>
          <t>CL_OCCUPY</t>
        </is>
      </c>
    </row>
    <row r="4640">
      <c r="B4640" s="24" t="inlineStr">
        <is>
          <t>TableName</t>
        </is>
      </c>
      <c r="C4640" s="24" t="inlineStr">
        <is>
          <t>业务数据表</t>
        </is>
      </c>
      <c r="D4640" s="24" t="inlineStr">
        <is>
          <t>28</t>
        </is>
      </c>
      <c r="E4640" s="24" t="inlineStr">
        <is>
          <t>CLASSIFY_DATA</t>
        </is>
      </c>
    </row>
    <row r="4641">
      <c r="B4641" s="24" t="inlineStr">
        <is>
          <t>TableName</t>
        </is>
      </c>
      <c r="C4641" s="24" t="inlineStr">
        <is>
          <t>业务数据表</t>
        </is>
      </c>
      <c r="D4641" s="24" t="inlineStr">
        <is>
          <t>29</t>
        </is>
      </c>
      <c r="E4641" s="24" t="inlineStr">
        <is>
          <t>CLASSIFY_RECORD</t>
        </is>
      </c>
    </row>
    <row r="4642">
      <c r="B4642" s="24" t="inlineStr">
        <is>
          <t>TableName</t>
        </is>
      </c>
      <c r="C4642" s="24" t="inlineStr">
        <is>
          <t>业务数据表</t>
        </is>
      </c>
      <c r="D4642" s="24" t="inlineStr">
        <is>
          <t>30</t>
        </is>
      </c>
      <c r="E4642" s="24" t="inlineStr">
        <is>
          <t>CODE_CATALOG</t>
        </is>
      </c>
    </row>
    <row r="4643">
      <c r="B4643" s="24" t="inlineStr">
        <is>
          <t>TableName</t>
        </is>
      </c>
      <c r="C4643" s="24" t="inlineStr">
        <is>
          <t>业务数据表</t>
        </is>
      </c>
      <c r="D4643" s="24" t="inlineStr">
        <is>
          <t>31</t>
        </is>
      </c>
      <c r="E4643" s="24" t="inlineStr">
        <is>
          <t>CODE_LIBRARY</t>
        </is>
      </c>
    </row>
    <row r="4644">
      <c r="B4644" s="24" t="inlineStr">
        <is>
          <t>TableName</t>
        </is>
      </c>
      <c r="C4644" s="24" t="inlineStr">
        <is>
          <t>业务数据表</t>
        </is>
      </c>
      <c r="D4644" s="24" t="inlineStr">
        <is>
          <t>32</t>
        </is>
      </c>
      <c r="E4644" s="24" t="inlineStr">
        <is>
          <t>CODE_LIBRARY1</t>
        </is>
      </c>
    </row>
    <row r="4645">
      <c r="B4645" s="24" t="inlineStr">
        <is>
          <t>TableName</t>
        </is>
      </c>
      <c r="C4645" s="24" t="inlineStr">
        <is>
          <t>业务数据表</t>
        </is>
      </c>
      <c r="D4645" s="24" t="inlineStr">
        <is>
          <t>33</t>
        </is>
      </c>
      <c r="E4645" s="24" t="inlineStr">
        <is>
          <t>CONCEDE_INFO</t>
        </is>
      </c>
    </row>
    <row r="4646">
      <c r="B4646" s="24" t="inlineStr">
        <is>
          <t>TableName</t>
        </is>
      </c>
      <c r="C4646" s="24" t="inlineStr">
        <is>
          <t>业务数据表</t>
        </is>
      </c>
      <c r="D4646" s="24" t="inlineStr">
        <is>
          <t>34</t>
        </is>
      </c>
      <c r="E4646" s="24" t="inlineStr">
        <is>
          <t>CONTRACT_INFO</t>
        </is>
      </c>
    </row>
    <row r="4647">
      <c r="B4647" s="24" t="inlineStr">
        <is>
          <t>TableName</t>
        </is>
      </c>
      <c r="C4647" s="24" t="inlineStr">
        <is>
          <t>业务数据表</t>
        </is>
      </c>
      <c r="D4647" s="24" t="inlineStr">
        <is>
          <t>35</t>
        </is>
      </c>
      <c r="E4647" s="24" t="inlineStr">
        <is>
          <t>CONTRACT_RELATIVE</t>
        </is>
      </c>
    </row>
    <row r="4648">
      <c r="B4648" s="24" t="inlineStr">
        <is>
          <t>TableName</t>
        </is>
      </c>
      <c r="C4648" s="24" t="inlineStr">
        <is>
          <t>业务数据表</t>
        </is>
      </c>
      <c r="D4648" s="24" t="inlineStr">
        <is>
          <t>36</t>
        </is>
      </c>
      <c r="E4648" s="24" t="inlineStr">
        <is>
          <t>COST_INFO</t>
        </is>
      </c>
    </row>
    <row r="4649">
      <c r="B4649" s="24" t="inlineStr">
        <is>
          <t>TableName</t>
        </is>
      </c>
      <c r="C4649" s="24" t="inlineStr">
        <is>
          <t>业务数据表</t>
        </is>
      </c>
      <c r="D4649" s="24" t="inlineStr">
        <is>
          <t>37</t>
        </is>
      </c>
      <c r="E4649" s="24" t="inlineStr">
        <is>
          <t>CREDIT_PROVE</t>
        </is>
      </c>
    </row>
    <row r="4650">
      <c r="B4650" s="24" t="inlineStr">
        <is>
          <t>TableName</t>
        </is>
      </c>
      <c r="C4650" s="24" t="inlineStr">
        <is>
          <t>业务数据表</t>
        </is>
      </c>
      <c r="D4650" s="24" t="inlineStr">
        <is>
          <t>38</t>
        </is>
      </c>
      <c r="E4650" s="24" t="inlineStr">
        <is>
          <t>CUSTOMER_ANARECORD</t>
        </is>
      </c>
    </row>
    <row r="4651">
      <c r="B4651" s="24" t="inlineStr">
        <is>
          <t>TableName</t>
        </is>
      </c>
      <c r="C4651" s="24" t="inlineStr">
        <is>
          <t>业务数据表</t>
        </is>
      </c>
      <c r="D4651" s="24" t="inlineStr">
        <is>
          <t>39</t>
        </is>
      </c>
      <c r="E4651" s="24" t="inlineStr">
        <is>
          <t>CUSTOMER_BELONG</t>
        </is>
      </c>
    </row>
    <row r="4652">
      <c r="B4652" s="24" t="inlineStr">
        <is>
          <t>TableName</t>
        </is>
      </c>
      <c r="C4652" s="24" t="inlineStr">
        <is>
          <t>业务数据表</t>
        </is>
      </c>
      <c r="D4652" s="24" t="inlineStr">
        <is>
          <t>40</t>
        </is>
      </c>
      <c r="E4652" s="24" t="inlineStr">
        <is>
          <t>CUSTOMER_BOND</t>
        </is>
      </c>
    </row>
    <row r="4653">
      <c r="B4653" s="24" t="inlineStr">
        <is>
          <t>TableName</t>
        </is>
      </c>
      <c r="C4653" s="24" t="inlineStr">
        <is>
          <t>业务数据表</t>
        </is>
      </c>
      <c r="D4653" s="24" t="inlineStr">
        <is>
          <t>41</t>
        </is>
      </c>
      <c r="E4653" s="24" t="inlineStr">
        <is>
          <t>CUSTOMER_CORE</t>
        </is>
      </c>
    </row>
    <row r="4654">
      <c r="B4654" s="24" t="inlineStr">
        <is>
          <t>TableName</t>
        </is>
      </c>
      <c r="C4654" s="24" t="inlineStr">
        <is>
          <t>业务数据表</t>
        </is>
      </c>
      <c r="D4654" s="24" t="inlineStr">
        <is>
          <t>42</t>
        </is>
      </c>
      <c r="E4654" s="24" t="inlineStr">
        <is>
          <t>CUSTOMER_CRM_CORE</t>
        </is>
      </c>
    </row>
    <row r="4655">
      <c r="B4655" s="24" t="inlineStr">
        <is>
          <t>TableName</t>
        </is>
      </c>
      <c r="C4655" s="24" t="inlineStr">
        <is>
          <t>业务数据表</t>
        </is>
      </c>
      <c r="D4655" s="24" t="inlineStr">
        <is>
          <t>43</t>
        </is>
      </c>
      <c r="E4655" s="24" t="inlineStr">
        <is>
          <t>CUSTOMER_FSRECORD</t>
        </is>
      </c>
    </row>
    <row r="4656">
      <c r="B4656" s="24" t="inlineStr">
        <is>
          <t>TableName</t>
        </is>
      </c>
      <c r="C4656" s="24" t="inlineStr">
        <is>
          <t>业务数据表</t>
        </is>
      </c>
      <c r="D4656" s="24" t="inlineStr">
        <is>
          <t>44</t>
        </is>
      </c>
      <c r="E4656" s="24" t="inlineStr">
        <is>
          <t>CUSTOMER_IMASSET</t>
        </is>
      </c>
    </row>
    <row r="4657">
      <c r="B4657" s="24" t="inlineStr">
        <is>
          <t>TableName</t>
        </is>
      </c>
      <c r="C4657" s="24" t="inlineStr">
        <is>
          <t>业务数据表</t>
        </is>
      </c>
      <c r="D4657" s="24" t="inlineStr">
        <is>
          <t>45</t>
        </is>
      </c>
      <c r="E4657" s="24" t="inlineStr">
        <is>
          <t>CUSTOMER_INFO</t>
        </is>
      </c>
    </row>
    <row r="4658">
      <c r="B4658" s="24" t="inlineStr">
        <is>
          <t>TableName</t>
        </is>
      </c>
      <c r="C4658" s="24" t="inlineStr">
        <is>
          <t>业务数据表</t>
        </is>
      </c>
      <c r="D4658" s="24" t="inlineStr">
        <is>
          <t>46</t>
        </is>
      </c>
      <c r="E4658" s="24" t="inlineStr">
        <is>
          <t>CUSTOMER_INFO_CHANGE</t>
        </is>
      </c>
    </row>
    <row r="4659">
      <c r="B4659" s="24" t="inlineStr">
        <is>
          <t>TableName</t>
        </is>
      </c>
      <c r="C4659" s="24" t="inlineStr">
        <is>
          <t>业务数据表</t>
        </is>
      </c>
      <c r="D4659" s="24" t="inlineStr">
        <is>
          <t>47</t>
        </is>
      </c>
      <c r="E4659" s="24" t="inlineStr">
        <is>
          <t>CUSTOMER_MEMO</t>
        </is>
      </c>
    </row>
    <row r="4660">
      <c r="B4660" s="24" t="inlineStr">
        <is>
          <t>TableName</t>
        </is>
      </c>
      <c r="C4660" s="24" t="inlineStr">
        <is>
          <t>业务数据表</t>
        </is>
      </c>
      <c r="D4660" s="24" t="inlineStr">
        <is>
          <t>48</t>
        </is>
      </c>
      <c r="E4660" s="24" t="inlineStr">
        <is>
          <t>CUSTOMER_MODEL</t>
        </is>
      </c>
    </row>
    <row r="4661">
      <c r="B4661" s="24" t="inlineStr">
        <is>
          <t>TableName</t>
        </is>
      </c>
      <c r="C4661" s="24" t="inlineStr">
        <is>
          <t>业务数据表</t>
        </is>
      </c>
      <c r="D4661" s="24" t="inlineStr">
        <is>
          <t>49</t>
        </is>
      </c>
      <c r="E4661" s="24" t="inlineStr">
        <is>
          <t>CUSTOMER_OACCOUNT</t>
        </is>
      </c>
    </row>
    <row r="4662">
      <c r="B4662" s="24" t="inlineStr">
        <is>
          <t>TableName</t>
        </is>
      </c>
      <c r="C4662" s="24" t="inlineStr">
        <is>
          <t>业务数据表</t>
        </is>
      </c>
      <c r="D4662" s="24" t="inlineStr">
        <is>
          <t>50</t>
        </is>
      </c>
      <c r="E4662" s="24" t="inlineStr">
        <is>
          <t>CUSTOMER_OACTIVITY</t>
        </is>
      </c>
    </row>
    <row r="4663">
      <c r="B4663" s="24" t="inlineStr">
        <is>
          <t>TableName</t>
        </is>
      </c>
      <c r="C4663" s="24" t="inlineStr">
        <is>
          <t>业务数据表</t>
        </is>
      </c>
      <c r="D4663" s="24" t="inlineStr">
        <is>
          <t>51</t>
        </is>
      </c>
      <c r="E4663" s="24" t="inlineStr">
        <is>
          <t>CUSTOMER_REALTY</t>
        </is>
      </c>
    </row>
    <row r="4664">
      <c r="B4664" s="24" t="inlineStr">
        <is>
          <t>TableName</t>
        </is>
      </c>
      <c r="C4664" s="24" t="inlineStr">
        <is>
          <t>业务数据表</t>
        </is>
      </c>
      <c r="D4664" s="24" t="inlineStr">
        <is>
          <t>52</t>
        </is>
      </c>
      <c r="E4664" s="24" t="inlineStr">
        <is>
          <t>CUSTOMER_RELATIVE</t>
        </is>
      </c>
    </row>
    <row r="4665">
      <c r="B4665" s="24" t="inlineStr">
        <is>
          <t>TableName</t>
        </is>
      </c>
      <c r="C4665" s="24" t="inlineStr">
        <is>
          <t>业务数据表</t>
        </is>
      </c>
      <c r="D4665" s="24" t="inlineStr">
        <is>
          <t>53</t>
        </is>
      </c>
      <c r="E4665" s="24" t="inlineStr">
        <is>
          <t>CUSTOMER_SPECIAL</t>
        </is>
      </c>
    </row>
    <row r="4666">
      <c r="B4666" s="24" t="inlineStr">
        <is>
          <t>TableName</t>
        </is>
      </c>
      <c r="C4666" s="24" t="inlineStr">
        <is>
          <t>业务数据表</t>
        </is>
      </c>
      <c r="D4666" s="24" t="inlineStr">
        <is>
          <t>54</t>
        </is>
      </c>
      <c r="E4666" s="24" t="inlineStr">
        <is>
          <t>CUSTOMER_STOCK</t>
        </is>
      </c>
    </row>
    <row r="4667">
      <c r="B4667" s="24" t="inlineStr">
        <is>
          <t>TableName</t>
        </is>
      </c>
      <c r="C4667" s="24" t="inlineStr">
        <is>
          <t>业务数据表</t>
        </is>
      </c>
      <c r="D4667" s="24" t="inlineStr">
        <is>
          <t>55</t>
        </is>
      </c>
      <c r="E4667" s="24" t="inlineStr">
        <is>
          <t>CUSTOMER_TAXPAYING</t>
        </is>
      </c>
    </row>
    <row r="4668">
      <c r="B4668" s="24" t="inlineStr">
        <is>
          <t>TableName</t>
        </is>
      </c>
      <c r="C4668" s="24" t="inlineStr">
        <is>
          <t>业务数据表</t>
        </is>
      </c>
      <c r="D4668" s="24" t="inlineStr">
        <is>
          <t>56</t>
        </is>
      </c>
      <c r="E4668" s="24" t="inlineStr">
        <is>
          <t>CUSTOMER_VEHICLE</t>
        </is>
      </c>
    </row>
    <row r="4669">
      <c r="B4669" s="24" t="inlineStr">
        <is>
          <t>TableName</t>
        </is>
      </c>
      <c r="C4669" s="24" t="inlineStr">
        <is>
          <t>业务数据表</t>
        </is>
      </c>
      <c r="D4669" s="24" t="inlineStr">
        <is>
          <t>57</t>
        </is>
      </c>
      <c r="E4669" s="24" t="inlineStr">
        <is>
          <t>DOC_LIBRARY</t>
        </is>
      </c>
    </row>
    <row r="4670">
      <c r="B4670" s="24" t="inlineStr">
        <is>
          <t>TableName</t>
        </is>
      </c>
      <c r="C4670" s="24" t="inlineStr">
        <is>
          <t>业务数据表</t>
        </is>
      </c>
      <c r="D4670" s="24" t="inlineStr">
        <is>
          <t>58</t>
        </is>
      </c>
      <c r="E4670" s="24" t="inlineStr">
        <is>
          <t>DOC_RELATIVE</t>
        </is>
      </c>
    </row>
    <row r="4671">
      <c r="B4671" s="24" t="inlineStr">
        <is>
          <t>TableName</t>
        </is>
      </c>
      <c r="C4671" s="24" t="inlineStr">
        <is>
          <t>业务数据表</t>
        </is>
      </c>
      <c r="D4671" s="24" t="inlineStr">
        <is>
          <t>59</t>
        </is>
      </c>
      <c r="E4671" s="24" t="inlineStr">
        <is>
          <t>DUN_INFO</t>
        </is>
      </c>
    </row>
    <row r="4672">
      <c r="B4672" s="24" t="inlineStr">
        <is>
          <t>TableName</t>
        </is>
      </c>
      <c r="C4672" s="24" t="inlineStr">
        <is>
          <t>业务数据表</t>
        </is>
      </c>
      <c r="D4672" s="24" t="inlineStr">
        <is>
          <t>60</t>
        </is>
      </c>
      <c r="E4672" s="24" t="inlineStr">
        <is>
          <t>DUTY_INFO</t>
        </is>
      </c>
    </row>
    <row r="4673">
      <c r="B4673" s="24" t="inlineStr">
        <is>
          <t>TableName</t>
        </is>
      </c>
      <c r="C4673" s="24" t="inlineStr">
        <is>
          <t>业务数据表</t>
        </is>
      </c>
      <c r="D4673" s="24" t="inlineStr">
        <is>
          <t>61</t>
        </is>
      </c>
      <c r="E4673" s="24" t="inlineStr">
        <is>
          <t>ENT_ASSETDEBT</t>
        </is>
      </c>
    </row>
    <row r="4674">
      <c r="B4674" s="24" t="inlineStr">
        <is>
          <t>TableName</t>
        </is>
      </c>
      <c r="C4674" s="24" t="inlineStr">
        <is>
          <t>业务数据表</t>
        </is>
      </c>
      <c r="D4674" s="24" t="inlineStr">
        <is>
          <t>62</t>
        </is>
      </c>
      <c r="E4674" s="24" t="inlineStr">
        <is>
          <t>ENT_AUTH</t>
        </is>
      </c>
    </row>
    <row r="4675">
      <c r="B4675" s="24" t="inlineStr">
        <is>
          <t>TableName</t>
        </is>
      </c>
      <c r="C4675" s="24" t="inlineStr">
        <is>
          <t>业务数据表</t>
        </is>
      </c>
      <c r="D4675" s="24" t="inlineStr">
        <is>
          <t>63</t>
        </is>
      </c>
      <c r="E4675" s="24" t="inlineStr">
        <is>
          <t>ENT_BONDISSUE</t>
        </is>
      </c>
    </row>
    <row r="4676">
      <c r="B4676" s="24" t="inlineStr">
        <is>
          <t>TableName</t>
        </is>
      </c>
      <c r="C4676" s="24" t="inlineStr">
        <is>
          <t>业务数据表</t>
        </is>
      </c>
      <c r="D4676" s="24" t="inlineStr">
        <is>
          <t>64</t>
        </is>
      </c>
      <c r="E4676" s="24" t="inlineStr">
        <is>
          <t>ENT_ENTRANCEAUTH</t>
        </is>
      </c>
    </row>
    <row r="4677">
      <c r="B4677" s="24" t="inlineStr">
        <is>
          <t>TableName</t>
        </is>
      </c>
      <c r="C4677" s="24" t="inlineStr">
        <is>
          <t>业务数据表</t>
        </is>
      </c>
      <c r="D4677" s="24" t="inlineStr">
        <is>
          <t>65</t>
        </is>
      </c>
      <c r="E4677" s="24" t="inlineStr">
        <is>
          <t>ENT_FIXEDASSETS</t>
        </is>
      </c>
    </row>
    <row r="4678">
      <c r="B4678" s="24" t="inlineStr">
        <is>
          <t>TableName</t>
        </is>
      </c>
      <c r="C4678" s="24" t="inlineStr">
        <is>
          <t>业务数据表</t>
        </is>
      </c>
      <c r="D4678" s="24" t="inlineStr">
        <is>
          <t>66</t>
        </is>
      </c>
      <c r="E4678" s="24" t="inlineStr">
        <is>
          <t>ENT_FOA</t>
        </is>
      </c>
    </row>
    <row r="4679">
      <c r="B4679" s="24" t="inlineStr">
        <is>
          <t>TableName</t>
        </is>
      </c>
      <c r="C4679" s="24" t="inlineStr">
        <is>
          <t>业务数据表</t>
        </is>
      </c>
      <c r="D4679" s="24" t="inlineStr">
        <is>
          <t>67</t>
        </is>
      </c>
      <c r="E4679" s="24" t="inlineStr">
        <is>
          <t>ENT_INFO</t>
        </is>
      </c>
    </row>
    <row r="4680">
      <c r="B4680" s="24" t="inlineStr">
        <is>
          <t>TableName</t>
        </is>
      </c>
      <c r="C4680" s="24" t="inlineStr">
        <is>
          <t>业务数据表</t>
        </is>
      </c>
      <c r="D4680" s="24" t="inlineStr">
        <is>
          <t>68</t>
        </is>
      </c>
      <c r="E4680" s="24" t="inlineStr">
        <is>
          <t>ENT_INVENTORY</t>
        </is>
      </c>
    </row>
    <row r="4681">
      <c r="B4681" s="24" t="inlineStr">
        <is>
          <t>TableName</t>
        </is>
      </c>
      <c r="C4681" s="24" t="inlineStr">
        <is>
          <t>业务数据表</t>
        </is>
      </c>
      <c r="D4681" s="24" t="inlineStr">
        <is>
          <t>69</t>
        </is>
      </c>
      <c r="E4681" s="24" t="inlineStr">
        <is>
          <t>ENT_IPO</t>
        </is>
      </c>
    </row>
    <row r="4682">
      <c r="B4682" s="24" t="inlineStr">
        <is>
          <t>TableName</t>
        </is>
      </c>
      <c r="C4682" s="24" t="inlineStr">
        <is>
          <t>业务数据表</t>
        </is>
      </c>
      <c r="D4682" s="24" t="inlineStr">
        <is>
          <t>70</t>
        </is>
      </c>
      <c r="E4682" s="24" t="inlineStr">
        <is>
          <t>ENT_REALTYAUTH</t>
        </is>
      </c>
    </row>
    <row r="4683">
      <c r="B4683" s="24" t="inlineStr">
        <is>
          <t>TableName</t>
        </is>
      </c>
      <c r="C4683" s="24" t="inlineStr">
        <is>
          <t>业务数据表</t>
        </is>
      </c>
      <c r="D4683" s="24" t="inlineStr">
        <is>
          <t>71</t>
        </is>
      </c>
      <c r="E4683" s="24" t="inlineStr">
        <is>
          <t>ERATE_INFO</t>
        </is>
      </c>
    </row>
    <row r="4684">
      <c r="B4684" s="24" t="inlineStr">
        <is>
          <t>TableName</t>
        </is>
      </c>
      <c r="C4684" s="24" t="inlineStr">
        <is>
          <t>业务数据表</t>
        </is>
      </c>
      <c r="D4684" s="24" t="inlineStr">
        <is>
          <t>72</t>
        </is>
      </c>
      <c r="E4684" s="24" t="inlineStr">
        <is>
          <t>EVALUATE_DATA</t>
        </is>
      </c>
    </row>
    <row r="4685">
      <c r="B4685" s="24" t="inlineStr">
        <is>
          <t>TableName</t>
        </is>
      </c>
      <c r="C4685" s="24" t="inlineStr">
        <is>
          <t>业务数据表</t>
        </is>
      </c>
      <c r="D4685" s="24" t="inlineStr">
        <is>
          <t>73</t>
        </is>
      </c>
      <c r="E4685" s="24" t="inlineStr">
        <is>
          <t>EVALUATE_INFO</t>
        </is>
      </c>
    </row>
    <row r="4686">
      <c r="B4686" s="24" t="inlineStr">
        <is>
          <t>TableName</t>
        </is>
      </c>
      <c r="C4686" s="24" t="inlineStr">
        <is>
          <t>业务数据表</t>
        </is>
      </c>
      <c r="D4686" s="24" t="inlineStr">
        <is>
          <t>74</t>
        </is>
      </c>
      <c r="E4686" s="24" t="inlineStr">
        <is>
          <t>EVALUATE_RECORD</t>
        </is>
      </c>
    </row>
    <row r="4687">
      <c r="B4687" s="24" t="inlineStr">
        <is>
          <t>TableName</t>
        </is>
      </c>
      <c r="C4687" s="24" t="inlineStr">
        <is>
          <t>业务数据表</t>
        </is>
      </c>
      <c r="D4687" s="24" t="inlineStr">
        <is>
          <t>75</t>
        </is>
      </c>
      <c r="E4687" s="24" t="inlineStr">
        <is>
          <t>FINANCE_DATA</t>
        </is>
      </c>
    </row>
    <row r="4688">
      <c r="B4688" s="24" t="inlineStr">
        <is>
          <t>TableName</t>
        </is>
      </c>
      <c r="C4688" s="24" t="inlineStr">
        <is>
          <t>业务数据表</t>
        </is>
      </c>
      <c r="D4688" s="24" t="inlineStr">
        <is>
          <t>76</t>
        </is>
      </c>
      <c r="E4688" s="24" t="inlineStr">
        <is>
          <t>FINANCE_RECORD</t>
        </is>
      </c>
    </row>
    <row r="4689">
      <c r="B4689" s="24" t="inlineStr">
        <is>
          <t>TableName</t>
        </is>
      </c>
      <c r="C4689" s="24" t="inlineStr">
        <is>
          <t>业务数据表</t>
        </is>
      </c>
      <c r="D4689" s="24" t="inlineStr">
        <is>
          <t>77</t>
        </is>
      </c>
      <c r="E4689" s="24" t="inlineStr">
        <is>
          <t>FLOW_OBJECT</t>
        </is>
      </c>
    </row>
    <row r="4690">
      <c r="B4690" s="24" t="inlineStr">
        <is>
          <t>TableName</t>
        </is>
      </c>
      <c r="C4690" s="24" t="inlineStr">
        <is>
          <t>业务数据表</t>
        </is>
      </c>
      <c r="D4690" s="24" t="inlineStr">
        <is>
          <t>78</t>
        </is>
      </c>
      <c r="E4690" s="24" t="inlineStr">
        <is>
          <t>FLOW_OPINION</t>
        </is>
      </c>
    </row>
    <row r="4691">
      <c r="B4691" s="24" t="inlineStr">
        <is>
          <t>TableName</t>
        </is>
      </c>
      <c r="C4691" s="24" t="inlineStr">
        <is>
          <t>业务数据表</t>
        </is>
      </c>
      <c r="D4691" s="24" t="inlineStr">
        <is>
          <t>79</t>
        </is>
      </c>
      <c r="E4691" s="24" t="inlineStr">
        <is>
          <t>FLOW_TASK</t>
        </is>
      </c>
    </row>
    <row r="4692">
      <c r="B4692" s="24" t="inlineStr">
        <is>
          <t>TableName</t>
        </is>
      </c>
      <c r="C4692" s="24" t="inlineStr">
        <is>
          <t>业务数据表</t>
        </is>
      </c>
      <c r="D4692" s="24" t="inlineStr">
        <is>
          <t>80</t>
        </is>
      </c>
      <c r="E4692" s="24" t="inlineStr">
        <is>
          <t>FLOW_TASK_CLOSED</t>
        </is>
      </c>
    </row>
    <row r="4693">
      <c r="B4693" s="24" t="inlineStr">
        <is>
          <t>TableName</t>
        </is>
      </c>
      <c r="C4693" s="24" t="inlineStr">
        <is>
          <t>业务数据表</t>
        </is>
      </c>
      <c r="D4693" s="24" t="inlineStr">
        <is>
          <t>81</t>
        </is>
      </c>
      <c r="E4693" s="24" t="inlineStr">
        <is>
          <t>FORMATDOC_DATA</t>
        </is>
      </c>
    </row>
    <row r="4694">
      <c r="B4694" s="24" t="inlineStr">
        <is>
          <t>TableName</t>
        </is>
      </c>
      <c r="C4694" s="24" t="inlineStr">
        <is>
          <t>业务数据表</t>
        </is>
      </c>
      <c r="D4694" s="24" t="inlineStr">
        <is>
          <t>82</t>
        </is>
      </c>
      <c r="E4694" s="24" t="inlineStr">
        <is>
          <t>FORMATDOC_RECORD</t>
        </is>
      </c>
    </row>
    <row r="4695">
      <c r="B4695" s="24" t="inlineStr">
        <is>
          <t>TableName</t>
        </is>
      </c>
      <c r="C4695" s="24" t="inlineStr">
        <is>
          <t>业务数据表</t>
        </is>
      </c>
      <c r="D4695" s="24" t="inlineStr">
        <is>
          <t>83</t>
        </is>
      </c>
      <c r="E4695" s="24" t="inlineStr">
        <is>
          <t>GROUP_EVENT</t>
        </is>
      </c>
    </row>
    <row r="4696">
      <c r="B4696" s="24" t="inlineStr">
        <is>
          <t>TableName</t>
        </is>
      </c>
      <c r="C4696" s="24" t="inlineStr">
        <is>
          <t>业务数据表</t>
        </is>
      </c>
      <c r="D4696" s="24" t="inlineStr">
        <is>
          <t>84</t>
        </is>
      </c>
      <c r="E4696" s="24" t="inlineStr">
        <is>
          <t>GROUP_FAMILY_MEMBER</t>
        </is>
      </c>
    </row>
    <row r="4697">
      <c r="B4697" s="24" t="inlineStr">
        <is>
          <t>TableName</t>
        </is>
      </c>
      <c r="C4697" s="24" t="inlineStr">
        <is>
          <t>业务数据表</t>
        </is>
      </c>
      <c r="D4697" s="24" t="inlineStr">
        <is>
          <t>85</t>
        </is>
      </c>
      <c r="E4697" s="24" t="inlineStr">
        <is>
          <t>GROUP_FAMILY_OPINION</t>
        </is>
      </c>
    </row>
    <row r="4698">
      <c r="B4698" s="24" t="inlineStr">
        <is>
          <t>TableName</t>
        </is>
      </c>
      <c r="C4698" s="24" t="inlineStr">
        <is>
          <t>业务数据表</t>
        </is>
      </c>
      <c r="D4698" s="24" t="inlineStr">
        <is>
          <t>86</t>
        </is>
      </c>
      <c r="E4698" s="24" t="inlineStr">
        <is>
          <t>GROUP_FAMILY_VERSION</t>
        </is>
      </c>
    </row>
    <row r="4699">
      <c r="B4699" s="24" t="inlineStr">
        <is>
          <t>TableName</t>
        </is>
      </c>
      <c r="C4699" s="24" t="inlineStr">
        <is>
          <t>业务数据表</t>
        </is>
      </c>
      <c r="D4699" s="24" t="inlineStr">
        <is>
          <t>87</t>
        </is>
      </c>
      <c r="E4699" s="24" t="inlineStr">
        <is>
          <t>GROUP_INFO</t>
        </is>
      </c>
    </row>
    <row r="4700">
      <c r="B4700" s="24" t="inlineStr">
        <is>
          <t>TableName</t>
        </is>
      </c>
      <c r="C4700" s="24" t="inlineStr">
        <is>
          <t>业务数据表</t>
        </is>
      </c>
      <c r="D4700" s="24" t="inlineStr">
        <is>
          <t>88</t>
        </is>
      </c>
      <c r="E4700" s="24" t="inlineStr">
        <is>
          <t>GROUP_MEMBER_RELATIVE</t>
        </is>
      </c>
    </row>
    <row r="4701">
      <c r="B4701" s="24" t="inlineStr">
        <is>
          <t>TableName</t>
        </is>
      </c>
      <c r="C4701" s="24" t="inlineStr">
        <is>
          <t>业务数据表</t>
        </is>
      </c>
      <c r="D4701" s="24" t="inlineStr">
        <is>
          <t>89</t>
        </is>
      </c>
      <c r="E4701" s="24" t="inlineStr">
        <is>
          <t>GROUP_RESULT</t>
        </is>
      </c>
    </row>
    <row r="4702">
      <c r="B4702" s="24" t="inlineStr">
        <is>
          <t>TableName</t>
        </is>
      </c>
      <c r="C4702" s="24" t="inlineStr">
        <is>
          <t>业务数据表</t>
        </is>
      </c>
      <c r="D4702" s="24" t="inlineStr">
        <is>
          <t>90</t>
        </is>
      </c>
      <c r="E4702" s="24" t="inlineStr">
        <is>
          <t>GROUP_SEARCH</t>
        </is>
      </c>
    </row>
    <row r="4703">
      <c r="B4703" s="24" t="inlineStr">
        <is>
          <t>TableName</t>
        </is>
      </c>
      <c r="C4703" s="24" t="inlineStr">
        <is>
          <t>业务数据表</t>
        </is>
      </c>
      <c r="D4703" s="24" t="inlineStr">
        <is>
          <t>91</t>
        </is>
      </c>
      <c r="E4703" s="24" t="inlineStr">
        <is>
          <t>GUARANTY_AUDIT</t>
        </is>
      </c>
    </row>
    <row r="4704">
      <c r="B4704" s="24" t="inlineStr">
        <is>
          <t>TableName</t>
        </is>
      </c>
      <c r="C4704" s="24" t="inlineStr">
        <is>
          <t>业务数据表</t>
        </is>
      </c>
      <c r="D4704" s="24" t="inlineStr">
        <is>
          <t>92</t>
        </is>
      </c>
      <c r="E4704" s="24" t="inlineStr">
        <is>
          <t>GUARANTY_CHANGE</t>
        </is>
      </c>
    </row>
    <row r="4705">
      <c r="B4705" s="24" t="inlineStr">
        <is>
          <t>TableName</t>
        </is>
      </c>
      <c r="C4705" s="24" t="inlineStr">
        <is>
          <t>业务数据表</t>
        </is>
      </c>
      <c r="D4705" s="24" t="inlineStr">
        <is>
          <t>93</t>
        </is>
      </c>
      <c r="E4705" s="24" t="inlineStr">
        <is>
          <t>GUARANTY_CONTRACT</t>
        </is>
      </c>
    </row>
    <row r="4706">
      <c r="B4706" s="24" t="inlineStr">
        <is>
          <t>TableName</t>
        </is>
      </c>
      <c r="C4706" s="24" t="inlineStr">
        <is>
          <t>业务数据表</t>
        </is>
      </c>
      <c r="D4706" s="24" t="inlineStr">
        <is>
          <t>94</t>
        </is>
      </c>
      <c r="E4706" s="24" t="inlineStr">
        <is>
          <t>GUARANTY_INFO</t>
        </is>
      </c>
    </row>
    <row r="4707">
      <c r="B4707" s="24" t="inlineStr">
        <is>
          <t>TableName</t>
        </is>
      </c>
      <c r="C4707" s="24" t="inlineStr">
        <is>
          <t>业务数据表</t>
        </is>
      </c>
      <c r="D4707" s="24" t="inlineStr">
        <is>
          <t>95</t>
        </is>
      </c>
      <c r="E4707" s="24" t="inlineStr">
        <is>
          <t>GUARANTY_RELATIVE</t>
        </is>
      </c>
    </row>
    <row r="4708">
      <c r="B4708" s="24" t="inlineStr">
        <is>
          <t>TableName</t>
        </is>
      </c>
      <c r="C4708" s="24" t="inlineStr">
        <is>
          <t>业务数据表</t>
        </is>
      </c>
      <c r="D4708" s="24" t="inlineStr">
        <is>
          <t>96</t>
        </is>
      </c>
      <c r="E4708" s="24" t="inlineStr">
        <is>
          <t>GUARANTY_TRANSFORM</t>
        </is>
      </c>
    </row>
    <row r="4709">
      <c r="B4709" s="24" t="inlineStr">
        <is>
          <t>TableName</t>
        </is>
      </c>
      <c r="C4709" s="24" t="inlineStr">
        <is>
          <t>业务数据表</t>
        </is>
      </c>
      <c r="D4709" s="24" t="inlineStr">
        <is>
          <t>97</t>
        </is>
      </c>
      <c r="E4709" s="24" t="inlineStr">
        <is>
          <t>IND_BI</t>
        </is>
      </c>
    </row>
    <row r="4710">
      <c r="B4710" s="24" t="inlineStr">
        <is>
          <t>TableName</t>
        </is>
      </c>
      <c r="C4710" s="24" t="inlineStr">
        <is>
          <t>业务数据表</t>
        </is>
      </c>
      <c r="D4710" s="24" t="inlineStr">
        <is>
          <t>98</t>
        </is>
      </c>
      <c r="E4710" s="24" t="inlineStr">
        <is>
          <t>IND_EDUCATION</t>
        </is>
      </c>
    </row>
    <row r="4711">
      <c r="B4711" s="24" t="inlineStr">
        <is>
          <t>TableName</t>
        </is>
      </c>
      <c r="C4711" s="24" t="inlineStr">
        <is>
          <t>业务数据表</t>
        </is>
      </c>
      <c r="D4711" s="24" t="inlineStr">
        <is>
          <t>99</t>
        </is>
      </c>
      <c r="E4711" s="24" t="inlineStr">
        <is>
          <t>IND_INFO</t>
        </is>
      </c>
    </row>
    <row r="4712" ht="15.95" customHeight="1" s="170">
      <c r="B4712" s="122" t="inlineStr">
        <is>
          <t>码值：融资能力1</t>
        </is>
      </c>
    </row>
    <row r="4713">
      <c r="B4713" s="24" t="inlineStr">
        <is>
          <t>融资能力1</t>
        </is>
      </c>
      <c r="C4713" s="24" t="inlineStr">
        <is>
          <t>融资能力1</t>
        </is>
      </c>
      <c r="D4713" s="24" t="inlineStr">
        <is>
          <t>01</t>
        </is>
      </c>
      <c r="E4713" s="24" t="inlineStr">
        <is>
          <t>融资理念成熟，融资渠道多样。体现为，已经在境内外主要交易所上市，或者在工农中建交中的三家及以上银行有授信，或者成功在公开市场发行过债券</t>
        </is>
      </c>
    </row>
    <row r="4714">
      <c r="B4714" s="24" t="inlineStr">
        <is>
          <t>融资能力1</t>
        </is>
      </c>
      <c r="C4714" s="24" t="inlineStr">
        <is>
          <t>融资能力1</t>
        </is>
      </c>
      <c r="D4714" s="24" t="inlineStr">
        <is>
          <t>02</t>
        </is>
      </c>
      <c r="E4714" s="24" t="inlineStr">
        <is>
          <t>融资理念较成熟，融资渠道较多样。体现为，已经进入上市辅导期，或者在我行以外的至少三家银行有授信</t>
        </is>
      </c>
    </row>
    <row r="4715">
      <c r="B4715" s="24" t="inlineStr">
        <is>
          <t>融资能力1</t>
        </is>
      </c>
      <c r="C4715" s="24" t="inlineStr">
        <is>
          <t>融资能力1</t>
        </is>
      </c>
      <c r="D4715" s="24" t="inlineStr">
        <is>
          <t>03</t>
        </is>
      </c>
      <c r="E4715" s="24" t="inlineStr">
        <is>
          <t>公司有一些融资理念，且已经成功实现过外部资金融入。体现为，在我行以外的至少一家银行有授信，或者有风险投资或者类似资金入股</t>
        </is>
      </c>
    </row>
    <row r="4716">
      <c r="B4716" s="24" t="inlineStr">
        <is>
          <t>融资能力1</t>
        </is>
      </c>
      <c r="C4716" s="24" t="inlineStr">
        <is>
          <t>融资能力1</t>
        </is>
      </c>
      <c r="D4716" s="24" t="inlineStr">
        <is>
          <t>04</t>
        </is>
      </c>
      <c r="E4716" s="24" t="inlineStr">
        <is>
          <t>公司融资理念不清晰，基本没有获得过股东以外的资金融入</t>
        </is>
      </c>
    </row>
    <row r="4717" ht="15.95" customHeight="1" s="170">
      <c r="B4717" s="122" t="inlineStr">
        <is>
          <t>码值：CreditSingleAppMain</t>
        </is>
      </c>
    </row>
    <row r="4718">
      <c r="B4718" s="24" t="inlineStr">
        <is>
          <t>CreditSingleAppMain</t>
        </is>
      </c>
      <c r="C4718" s="24" t="n"/>
      <c r="D4718" s="24" t="inlineStr">
        <is>
          <t>N</t>
        </is>
      </c>
      <c r="E4718" s="24" t="inlineStr">
        <is>
          <t>当前工作</t>
        </is>
      </c>
    </row>
    <row r="4719">
      <c r="B4719" s="24" t="inlineStr">
        <is>
          <t>CreditSingleAppMain</t>
        </is>
      </c>
      <c r="C4719" s="24" t="n"/>
      <c r="D4719" s="24" t="inlineStr">
        <is>
          <t>Y</t>
        </is>
      </c>
      <c r="E4719" s="24" t="inlineStr">
        <is>
          <t>已完成工作</t>
        </is>
      </c>
    </row>
    <row r="4720" ht="15.95" customHeight="1" s="170">
      <c r="B4720" s="122" t="inlineStr">
        <is>
          <t>码值：PaymentMethod</t>
        </is>
      </c>
    </row>
    <row r="4721">
      <c r="B4721" s="24" t="inlineStr">
        <is>
          <t>PaymentMethod</t>
        </is>
      </c>
      <c r="C4721" s="24" t="inlineStr">
        <is>
          <t>缴费方式</t>
        </is>
      </c>
      <c r="D4721" s="24" t="inlineStr">
        <is>
          <t>01</t>
        </is>
      </c>
      <c r="E4721" s="24" t="inlineStr">
        <is>
          <t>趸缴</t>
        </is>
      </c>
    </row>
    <row r="4722">
      <c r="B4722" s="24" t="inlineStr">
        <is>
          <t>PaymentMethod</t>
        </is>
      </c>
      <c r="C4722" s="24" t="inlineStr">
        <is>
          <t>缴费方式</t>
        </is>
      </c>
      <c r="D4722" s="24" t="inlineStr">
        <is>
          <t>02</t>
        </is>
      </c>
      <c r="E4722" s="24" t="inlineStr">
        <is>
          <t>分期缴付</t>
        </is>
      </c>
    </row>
    <row r="4723" ht="15.95" customHeight="1" s="170">
      <c r="B4723" s="122" t="inlineStr">
        <is>
          <t>码值：InputCreditView</t>
        </is>
      </c>
    </row>
    <row r="4724">
      <c r="B4724" s="24" t="inlineStr">
        <is>
          <t>InputCreditView</t>
        </is>
      </c>
      <c r="C4724" s="24" t="inlineStr">
        <is>
          <t>业务补登树图</t>
        </is>
      </c>
      <c r="D4724" s="24" t="inlineStr">
        <is>
          <t>010</t>
        </is>
      </c>
      <c r="E4724" s="24" t="inlineStr">
        <is>
          <t>基本信息</t>
        </is>
      </c>
    </row>
    <row r="4725">
      <c r="B4725" s="24" t="inlineStr">
        <is>
          <t>InputCreditView</t>
        </is>
      </c>
      <c r="C4725" s="24" t="inlineStr">
        <is>
          <t>业务补登树图</t>
        </is>
      </c>
      <c r="D4725" s="24" t="inlineStr">
        <is>
          <t>016</t>
        </is>
      </c>
      <c r="E4725" s="24" t="inlineStr">
        <is>
          <t>相关项目信息</t>
        </is>
      </c>
    </row>
    <row r="4726">
      <c r="B4726" s="24" t="inlineStr">
        <is>
          <t>InputCreditView</t>
        </is>
      </c>
      <c r="C4726" s="24" t="inlineStr">
        <is>
          <t>业务补登树图</t>
        </is>
      </c>
      <c r="D4726" s="24" t="inlineStr">
        <is>
          <t>018</t>
        </is>
      </c>
      <c r="E4726" s="24" t="inlineStr">
        <is>
          <t>关联业务信息</t>
        </is>
      </c>
    </row>
    <row r="4727">
      <c r="B4727" s="24" t="inlineStr">
        <is>
          <t>InputCreditView</t>
        </is>
      </c>
      <c r="C4727" s="24" t="inlineStr">
        <is>
          <t>业务补登树图</t>
        </is>
      </c>
      <c r="D4727" s="24" t="inlineStr">
        <is>
          <t>019</t>
        </is>
      </c>
      <c r="E4727" s="24" t="inlineStr">
        <is>
          <t>关联额度信息</t>
        </is>
      </c>
    </row>
    <row r="4728">
      <c r="B4728" s="24" t="inlineStr">
        <is>
          <t>InputCreditView</t>
        </is>
      </c>
      <c r="C4728" s="24" t="inlineStr">
        <is>
          <t>业务补登树图</t>
        </is>
      </c>
      <c r="D4728" s="24" t="inlineStr">
        <is>
          <t>041</t>
        </is>
      </c>
      <c r="E4728" s="24" t="inlineStr">
        <is>
          <t>担保合同信息</t>
        </is>
      </c>
    </row>
    <row r="4729">
      <c r="B4729" s="24" t="inlineStr">
        <is>
          <t>InputCreditView</t>
        </is>
      </c>
      <c r="C4729" s="24" t="inlineStr">
        <is>
          <t>业务补登树图</t>
        </is>
      </c>
      <c r="D4729" s="24" t="inlineStr">
        <is>
          <t>041050</t>
        </is>
      </c>
      <c r="E4729" s="24" t="inlineStr">
        <is>
          <t>一般担保合同</t>
        </is>
      </c>
    </row>
    <row r="4730">
      <c r="B4730" s="24" t="inlineStr">
        <is>
          <t>InputCreditView</t>
        </is>
      </c>
      <c r="C4730" s="24" t="inlineStr">
        <is>
          <t>业务补登树图</t>
        </is>
      </c>
      <c r="D4730" s="24" t="inlineStr">
        <is>
          <t>041060</t>
        </is>
      </c>
      <c r="E4730" s="24" t="inlineStr">
        <is>
          <t>最高额担保合同</t>
        </is>
      </c>
    </row>
    <row r="4731" ht="15.95" customHeight="1" s="170">
      <c r="B4731" s="122" t="inlineStr">
        <is>
          <t>码值：OwnerCustomerType</t>
        </is>
      </c>
    </row>
    <row r="4732">
      <c r="B4732" s="24" t="inlineStr">
        <is>
          <t>OwnerCustomerType</t>
        </is>
      </c>
      <c r="C4732" s="24" t="inlineStr">
        <is>
          <t>权属人客户类型</t>
        </is>
      </c>
      <c r="D4732" s="24" t="inlineStr">
        <is>
          <t>01</t>
        </is>
      </c>
      <c r="E4732" s="24" t="inlineStr">
        <is>
          <t>公司客户</t>
        </is>
      </c>
    </row>
    <row r="4733">
      <c r="B4733" s="24" t="inlineStr">
        <is>
          <t>OwnerCustomerType</t>
        </is>
      </c>
      <c r="C4733" s="24" t="inlineStr">
        <is>
          <t>权属人客户类型</t>
        </is>
      </c>
      <c r="D4733" s="24" t="inlineStr">
        <is>
          <t>03</t>
        </is>
      </c>
      <c r="E4733" s="24" t="inlineStr">
        <is>
          <t>个人客户</t>
        </is>
      </c>
    </row>
    <row r="4734">
      <c r="B4734" s="24" t="inlineStr">
        <is>
          <t>OwnerCustomerType</t>
        </is>
      </c>
      <c r="C4734" s="24" t="inlineStr">
        <is>
          <t>权属人客户类型</t>
        </is>
      </c>
      <c r="D4734" s="24" t="inlineStr">
        <is>
          <t>06</t>
        </is>
      </c>
      <c r="E4734" s="24" t="inlineStr">
        <is>
          <t>同业客户</t>
        </is>
      </c>
    </row>
    <row r="4735" ht="15.95" customHeight="1" s="170">
      <c r="B4735" s="122" t="inlineStr">
        <is>
          <t>码值：ButtonSet5J</t>
        </is>
      </c>
    </row>
    <row r="4736">
      <c r="B4736" s="24" t="inlineStr">
        <is>
          <t>ButtonSet5J</t>
        </is>
      </c>
      <c r="C4736" s="24" t="inlineStr">
        <is>
          <t>五级分类调整</t>
        </is>
      </c>
      <c r="D4736" s="24" t="inlineStr">
        <is>
          <t>cancelApply</t>
        </is>
      </c>
      <c r="E4736" s="24" t="inlineStr">
        <is>
          <t>取消申请</t>
        </is>
      </c>
    </row>
    <row r="4737">
      <c r="B4737" s="24" t="inlineStr">
        <is>
          <t>ButtonSet5J</t>
        </is>
      </c>
      <c r="C4737" s="24" t="inlineStr">
        <is>
          <t>五级分类调整</t>
        </is>
      </c>
      <c r="D4737" s="24" t="inlineStr">
        <is>
          <t>classifyResultAdjust</t>
        </is>
      </c>
      <c r="E4737" s="24" t="inlineStr">
        <is>
          <t>分类调整详情</t>
        </is>
      </c>
    </row>
    <row r="4738">
      <c r="B4738" s="24" t="inlineStr">
        <is>
          <t>ButtonSet5J</t>
        </is>
      </c>
      <c r="C4738" s="24" t="inlineStr">
        <is>
          <t>五级分类调整</t>
        </is>
      </c>
      <c r="D4738" s="24" t="inlineStr">
        <is>
          <t>completeClassify</t>
        </is>
      </c>
      <c r="E4738" s="24" t="inlineStr">
        <is>
          <t>提交申请</t>
        </is>
      </c>
    </row>
    <row r="4739">
      <c r="B4739" s="24" t="inlineStr">
        <is>
          <t>ButtonSet5J</t>
        </is>
      </c>
      <c r="C4739" s="24" t="inlineStr">
        <is>
          <t>五级分类调整</t>
        </is>
      </c>
      <c r="D4739" s="24" t="inlineStr">
        <is>
          <t>detailOpinion</t>
        </is>
      </c>
      <c r="E4739" s="24" t="inlineStr">
        <is>
          <t>查看意见</t>
        </is>
      </c>
    </row>
    <row r="4740">
      <c r="B4740" s="24" t="inlineStr">
        <is>
          <t>ButtonSet5J</t>
        </is>
      </c>
      <c r="C4740" s="24" t="inlineStr">
        <is>
          <t>五级分类调整</t>
        </is>
      </c>
      <c r="D4740" s="24" t="inlineStr">
        <is>
          <t>newClassifyAdjustApply</t>
        </is>
      </c>
      <c r="E4740" s="24" t="inlineStr">
        <is>
          <t>新增申请</t>
        </is>
      </c>
    </row>
    <row r="4741">
      <c r="B4741" s="24" t="inlineStr">
        <is>
          <t>ButtonSet5J</t>
        </is>
      </c>
      <c r="C4741" s="24" t="inlineStr">
        <is>
          <t>五级分类调整</t>
        </is>
      </c>
      <c r="D4741" s="24" t="inlineStr">
        <is>
          <t>signOpinion</t>
        </is>
      </c>
      <c r="E4741" s="24" t="inlineStr">
        <is>
          <t>签署意见</t>
        </is>
      </c>
    </row>
    <row r="4742" ht="15.95" customHeight="1" s="170">
      <c r="B4742" s="122" t="inlineStr">
        <is>
          <t>码值：CRQCertType</t>
        </is>
      </c>
    </row>
    <row r="4743">
      <c r="B4743" s="24" t="inlineStr">
        <is>
          <t>CRQCertType</t>
        </is>
      </c>
      <c r="C4743" s="24" t="inlineStr">
        <is>
          <t>征信个人客户证件类型</t>
        </is>
      </c>
      <c r="D4743" s="24" t="inlineStr">
        <is>
          <t>0</t>
        </is>
      </c>
      <c r="E4743" s="24" t="inlineStr">
        <is>
          <t>身份证</t>
        </is>
      </c>
    </row>
    <row r="4744">
      <c r="B4744" s="24" t="inlineStr">
        <is>
          <t>CRQCertType</t>
        </is>
      </c>
      <c r="C4744" s="24" t="inlineStr">
        <is>
          <t>征信个人客户证件类型</t>
        </is>
      </c>
      <c r="D4744" s="24" t="inlineStr">
        <is>
          <t>1</t>
        </is>
      </c>
      <c r="E4744" s="24" t="inlineStr">
        <is>
          <t>户口薄</t>
        </is>
      </c>
    </row>
    <row r="4745">
      <c r="B4745" s="24" t="inlineStr">
        <is>
          <t>CRQCertType</t>
        </is>
      </c>
      <c r="C4745" s="24" t="inlineStr">
        <is>
          <t>征信个人客户证件类型</t>
        </is>
      </c>
      <c r="D4745" s="24" t="inlineStr">
        <is>
          <t>2</t>
        </is>
      </c>
      <c r="E4745" s="24" t="inlineStr">
        <is>
          <t>护照</t>
        </is>
      </c>
    </row>
    <row r="4746">
      <c r="B4746" s="24" t="inlineStr">
        <is>
          <t>CRQCertType</t>
        </is>
      </c>
      <c r="C4746" s="24" t="inlineStr">
        <is>
          <t>征信个人客户证件类型</t>
        </is>
      </c>
      <c r="D4746" s="24" t="inlineStr">
        <is>
          <t>3</t>
        </is>
      </c>
      <c r="E4746" s="24" t="inlineStr">
        <is>
          <t>军官证</t>
        </is>
      </c>
    </row>
    <row r="4747">
      <c r="B4747" s="24" t="inlineStr">
        <is>
          <t>CRQCertType</t>
        </is>
      </c>
      <c r="C4747" s="24" t="inlineStr">
        <is>
          <t>征信个人客户证件类型</t>
        </is>
      </c>
      <c r="D4747" s="24" t="inlineStr">
        <is>
          <t>4</t>
        </is>
      </c>
      <c r="E4747" s="24" t="inlineStr">
        <is>
          <t>士兵证</t>
        </is>
      </c>
    </row>
    <row r="4748">
      <c r="B4748" s="24" t="inlineStr">
        <is>
          <t>CRQCertType</t>
        </is>
      </c>
      <c r="C4748" s="24" t="inlineStr">
        <is>
          <t>征信个人客户证件类型</t>
        </is>
      </c>
      <c r="D4748" s="24" t="inlineStr">
        <is>
          <t>5</t>
        </is>
      </c>
      <c r="E4748" s="24" t="inlineStr">
        <is>
          <t>港澳居民来往内地通行证</t>
        </is>
      </c>
    </row>
    <row r="4749">
      <c r="B4749" s="24" t="inlineStr">
        <is>
          <t>CRQCertType</t>
        </is>
      </c>
      <c r="C4749" s="24" t="inlineStr">
        <is>
          <t>征信个人客户证件类型</t>
        </is>
      </c>
      <c r="D4749" s="24" t="inlineStr">
        <is>
          <t>6</t>
        </is>
      </c>
      <c r="E4749" s="24" t="inlineStr">
        <is>
          <t>台湾同胞来往内地通行证</t>
        </is>
      </c>
    </row>
    <row r="4750">
      <c r="B4750" s="24" t="inlineStr">
        <is>
          <t>CRQCertType</t>
        </is>
      </c>
      <c r="C4750" s="24" t="inlineStr">
        <is>
          <t>征信个人客户证件类型</t>
        </is>
      </c>
      <c r="D4750" s="24" t="inlineStr">
        <is>
          <t>7</t>
        </is>
      </c>
      <c r="E4750" s="24" t="inlineStr">
        <is>
          <t>临时身份证</t>
        </is>
      </c>
    </row>
    <row r="4751">
      <c r="B4751" s="24" t="inlineStr">
        <is>
          <t>CRQCertType</t>
        </is>
      </c>
      <c r="C4751" s="24" t="inlineStr">
        <is>
          <t>征信个人客户证件类型</t>
        </is>
      </c>
      <c r="D4751" s="24" t="inlineStr">
        <is>
          <t>8</t>
        </is>
      </c>
      <c r="E4751" s="24" t="inlineStr">
        <is>
          <t>外国人居留证</t>
        </is>
      </c>
    </row>
    <row r="4752">
      <c r="B4752" s="24" t="inlineStr">
        <is>
          <t>CRQCertType</t>
        </is>
      </c>
      <c r="C4752" s="24" t="inlineStr">
        <is>
          <t>征信个人客户证件类型</t>
        </is>
      </c>
      <c r="D4752" s="24" t="inlineStr">
        <is>
          <t>9</t>
        </is>
      </c>
      <c r="E4752" s="24" t="inlineStr">
        <is>
          <t>警官证</t>
        </is>
      </c>
    </row>
    <row r="4753" ht="15.95" customHeight="1" s="170">
      <c r="B4753" s="122" t="inlineStr">
        <is>
          <t>码值：IssueDirection</t>
        </is>
      </c>
    </row>
    <row r="4754">
      <c r="B4754" s="24" t="inlineStr">
        <is>
          <t>IssueDirection</t>
        </is>
      </c>
      <c r="C4754" s="24" t="inlineStr">
        <is>
          <t>专项下发维度</t>
        </is>
      </c>
      <c r="D4754" s="24" t="inlineStr">
        <is>
          <t>01</t>
        </is>
      </c>
      <c r="E4754" s="24" t="inlineStr">
        <is>
          <t>按客户下发</t>
        </is>
      </c>
    </row>
    <row r="4755">
      <c r="B4755" s="24" t="inlineStr">
        <is>
          <t>IssueDirection</t>
        </is>
      </c>
      <c r="C4755" s="24" t="inlineStr">
        <is>
          <t>专项下发维度</t>
        </is>
      </c>
      <c r="D4755" s="24" t="inlineStr">
        <is>
          <t>02</t>
        </is>
      </c>
      <c r="E4755" s="24" t="inlineStr">
        <is>
          <t>按机构下发</t>
        </is>
      </c>
    </row>
    <row r="4756" ht="15.95" customHeight="1" s="170">
      <c r="B4756" s="122" t="inlineStr">
        <is>
          <t>码值：AcceptIntType</t>
        </is>
      </c>
    </row>
    <row r="4757">
      <c r="B4757" s="24" t="inlineStr">
        <is>
          <t>AcceptIntType</t>
        </is>
      </c>
      <c r="C4757" s="24" t="inlineStr">
        <is>
          <t>收息类型</t>
        </is>
      </c>
      <c r="D4757" s="24" t="inlineStr">
        <is>
          <t>0</t>
        </is>
      </c>
      <c r="E4757" s="24" t="inlineStr">
        <is>
          <t>计息不自动入帐</t>
        </is>
      </c>
    </row>
    <row r="4758">
      <c r="B4758" s="24" t="inlineStr">
        <is>
          <t>AcceptIntType</t>
        </is>
      </c>
      <c r="C4758" s="24" t="inlineStr">
        <is>
          <t>收息类型</t>
        </is>
      </c>
      <c r="D4758" s="24" t="inlineStr">
        <is>
          <t>1</t>
        </is>
      </c>
      <c r="E4758" s="24" t="inlineStr">
        <is>
          <t>计息自动入帐</t>
        </is>
      </c>
    </row>
    <row r="4759" ht="15.95" customHeight="1" s="170">
      <c r="B4759" s="122" t="inlineStr">
        <is>
          <t>码值：CreditApplyBatchClFlowMain</t>
        </is>
      </c>
    </row>
    <row r="4760">
      <c r="B4760" s="24" t="inlineStr">
        <is>
          <t>CreditApplyBatchClFlowMain</t>
        </is>
      </c>
      <c r="C4760" s="24" t="n"/>
      <c r="D4760" s="24" t="inlineStr">
        <is>
          <t>N</t>
        </is>
      </c>
      <c r="E4760" s="24" t="inlineStr">
        <is>
          <t>当前工作</t>
        </is>
      </c>
    </row>
    <row r="4761">
      <c r="B4761" s="24" t="inlineStr">
        <is>
          <t>CreditApplyBatchClFlowMain</t>
        </is>
      </c>
      <c r="C4761" s="24" t="n"/>
      <c r="D4761" s="24" t="inlineStr">
        <is>
          <t>Y</t>
        </is>
      </c>
      <c r="E4761" s="24" t="inlineStr">
        <is>
          <t>已完成工作</t>
        </is>
      </c>
    </row>
    <row r="4762" ht="15.95" customHeight="1" s="170">
      <c r="B4762" s="122" t="inlineStr">
        <is>
          <t>码值：OccurMode</t>
        </is>
      </c>
    </row>
    <row r="4763">
      <c r="B4763" s="24" t="inlineStr">
        <is>
          <t>OccurMode</t>
        </is>
      </c>
      <c r="C4763" s="24" t="inlineStr">
        <is>
          <t>发生方式</t>
        </is>
      </c>
      <c r="D4763" s="24" t="inlineStr">
        <is>
          <t>010</t>
        </is>
      </c>
      <c r="E4763" s="24" t="inlineStr">
        <is>
          <t>流入</t>
        </is>
      </c>
    </row>
    <row r="4764">
      <c r="B4764" s="24" t="inlineStr">
        <is>
          <t>OccurMode</t>
        </is>
      </c>
      <c r="C4764" s="24" t="inlineStr">
        <is>
          <t>发生方式</t>
        </is>
      </c>
      <c r="D4764" s="24" t="inlineStr">
        <is>
          <t>020</t>
        </is>
      </c>
      <c r="E4764" s="24" t="inlineStr">
        <is>
          <t>流出</t>
        </is>
      </c>
    </row>
    <row r="4765" ht="15.95" customHeight="1" s="170">
      <c r="B4765" s="122" t="inlineStr">
        <is>
          <t>码值：MoneyInType</t>
        </is>
      </c>
    </row>
    <row r="4766">
      <c r="B4766" s="24" t="inlineStr">
        <is>
          <t>MoneyInType</t>
        </is>
      </c>
      <c r="C4766" s="24" t="inlineStr">
        <is>
          <t>入账金额类型</t>
        </is>
      </c>
      <c r="D4766" s="24" t="inlineStr">
        <is>
          <t>01</t>
        </is>
      </c>
      <c r="E4766" s="24" t="inlineStr">
        <is>
          <t>评估价值</t>
        </is>
      </c>
    </row>
    <row r="4767">
      <c r="B4767" s="24" t="inlineStr">
        <is>
          <t>MoneyInType</t>
        </is>
      </c>
      <c r="C4767" s="24" t="inlineStr">
        <is>
          <t>入账金额类型</t>
        </is>
      </c>
      <c r="D4767" s="24" t="inlineStr">
        <is>
          <t>02</t>
        </is>
      </c>
      <c r="E4767" s="24" t="inlineStr">
        <is>
          <t>市值</t>
        </is>
      </c>
    </row>
    <row r="4768">
      <c r="B4768" s="24" t="inlineStr">
        <is>
          <t>MoneyInType</t>
        </is>
      </c>
      <c r="C4768" s="24" t="inlineStr">
        <is>
          <t>入账金额类型</t>
        </is>
      </c>
      <c r="D4768" s="24" t="inlineStr">
        <is>
          <t>03</t>
        </is>
      </c>
      <c r="E4768" s="24" t="inlineStr">
        <is>
          <t>面值</t>
        </is>
      </c>
    </row>
    <row r="4769" ht="15.95" customHeight="1" s="170">
      <c r="B4769" s="122" t="inlineStr">
        <is>
          <t>码值：CreditPutoutApplyEntMain</t>
        </is>
      </c>
    </row>
    <row r="4770">
      <c r="B4770" s="24" t="inlineStr">
        <is>
          <t>CreditPutoutApplyEntMain</t>
        </is>
      </c>
      <c r="C4770" s="24" t="inlineStr">
        <is>
          <t>大中放贷申请主树图</t>
        </is>
      </c>
      <c r="D4770" s="24" t="inlineStr">
        <is>
          <t>1010</t>
        </is>
      </c>
      <c r="E4770" s="24" t="inlineStr">
        <is>
          <t>待处理</t>
        </is>
      </c>
    </row>
    <row r="4771">
      <c r="B4771" s="24" t="inlineStr">
        <is>
          <t>CreditPutoutApplyEntMain</t>
        </is>
      </c>
      <c r="C4771" s="24" t="inlineStr">
        <is>
          <t>大中放贷申请主树图</t>
        </is>
      </c>
      <c r="D4771" s="24" t="inlineStr">
        <is>
          <t>1020</t>
        </is>
      </c>
      <c r="E4771" s="24" t="inlineStr">
        <is>
          <t>审批中</t>
        </is>
      </c>
    </row>
    <row r="4772">
      <c r="B4772" s="24" t="inlineStr">
        <is>
          <t>CreditPutoutApplyEntMain</t>
        </is>
      </c>
      <c r="C4772" s="24" t="inlineStr">
        <is>
          <t>大中放贷申请主树图</t>
        </is>
      </c>
      <c r="D4772" s="24" t="inlineStr">
        <is>
          <t>1040,1050</t>
        </is>
      </c>
      <c r="E4772" s="24" t="inlineStr">
        <is>
          <t>处理完成</t>
        </is>
      </c>
    </row>
    <row r="4773" ht="15.95" customHeight="1" s="170">
      <c r="B4773" s="122" t="inlineStr">
        <is>
          <t>码值：SMECreditCharge</t>
        </is>
      </c>
    </row>
    <row r="4774">
      <c r="B4774" s="24" t="inlineStr">
        <is>
          <t>SMECreditCharge</t>
        </is>
      </c>
      <c r="C4774" s="24" t="inlineStr">
        <is>
          <t>生产饱和度</t>
        </is>
      </c>
      <c r="D4774" s="24" t="inlineStr">
        <is>
          <t>01</t>
        </is>
      </c>
      <c r="E4774" s="24" t="inlineStr">
        <is>
          <t>饱和</t>
        </is>
      </c>
    </row>
    <row r="4775">
      <c r="B4775" s="24" t="inlineStr">
        <is>
          <t>SMECreditCharge</t>
        </is>
      </c>
      <c r="C4775" s="24" t="inlineStr">
        <is>
          <t>生产饱和度</t>
        </is>
      </c>
      <c r="D4775" s="24" t="inlineStr">
        <is>
          <t>02</t>
        </is>
      </c>
      <c r="E4775" s="24" t="inlineStr">
        <is>
          <t>一般</t>
        </is>
      </c>
    </row>
    <row r="4776">
      <c r="B4776" s="24" t="inlineStr">
        <is>
          <t>SMECreditCharge</t>
        </is>
      </c>
      <c r="C4776" s="24" t="inlineStr">
        <is>
          <t>生产饱和度</t>
        </is>
      </c>
      <c r="D4776" s="24" t="inlineStr">
        <is>
          <t>03</t>
        </is>
      </c>
      <c r="E4776" s="24" t="inlineStr">
        <is>
          <t>差</t>
        </is>
      </c>
    </row>
    <row r="4777" ht="15.95" customHeight="1" s="170">
      <c r="B4777" s="122" t="inlineStr">
        <is>
          <t>码值：LoanStatus</t>
        </is>
      </c>
    </row>
    <row r="4778">
      <c r="B4778" s="24" t="inlineStr">
        <is>
          <t>LoanStatus</t>
        </is>
      </c>
      <c r="C4778" s="24" t="inlineStr">
        <is>
          <t>贷款状态</t>
        </is>
      </c>
      <c r="D4778" s="24" t="inlineStr">
        <is>
          <t>0</t>
        </is>
      </c>
      <c r="E4778" s="24" t="inlineStr">
        <is>
          <t>正常</t>
        </is>
      </c>
    </row>
    <row r="4779">
      <c r="B4779" s="24" t="inlineStr">
        <is>
          <t>LoanStatus</t>
        </is>
      </c>
      <c r="C4779" s="24" t="inlineStr">
        <is>
          <t>贷款状态</t>
        </is>
      </c>
      <c r="D4779" s="24" t="inlineStr">
        <is>
          <t>1</t>
        </is>
      </c>
      <c r="E4779" s="24" t="inlineStr">
        <is>
          <t>逾期</t>
        </is>
      </c>
    </row>
    <row r="4780">
      <c r="B4780" s="24" t="inlineStr">
        <is>
          <t>LoanStatus</t>
        </is>
      </c>
      <c r="C4780" s="24" t="inlineStr">
        <is>
          <t>贷款状态</t>
        </is>
      </c>
      <c r="D4780" s="24" t="inlineStr">
        <is>
          <t>2</t>
        </is>
      </c>
      <c r="E4780" s="24" t="inlineStr">
        <is>
          <t>正常结清</t>
        </is>
      </c>
    </row>
    <row r="4781">
      <c r="B4781" s="24" t="inlineStr">
        <is>
          <t>LoanStatus</t>
        </is>
      </c>
      <c r="C4781" s="24" t="inlineStr">
        <is>
          <t>贷款状态</t>
        </is>
      </c>
      <c r="D4781" s="24" t="inlineStr">
        <is>
          <t>3</t>
        </is>
      </c>
      <c r="E4781" s="24" t="inlineStr">
        <is>
          <t>提前结清</t>
        </is>
      </c>
    </row>
    <row r="4782">
      <c r="B4782" s="24" t="inlineStr">
        <is>
          <t>LoanStatus</t>
        </is>
      </c>
      <c r="C4782" s="24" t="inlineStr">
        <is>
          <t>贷款状态</t>
        </is>
      </c>
      <c r="D4782" s="24" t="inlineStr">
        <is>
          <t>4</t>
        </is>
      </c>
      <c r="E4782" s="24" t="inlineStr">
        <is>
          <t>逾期结清</t>
        </is>
      </c>
    </row>
    <row r="4783">
      <c r="B4783" s="24" t="inlineStr">
        <is>
          <t>LoanStatus</t>
        </is>
      </c>
      <c r="C4783" s="24" t="inlineStr">
        <is>
          <t>贷款状态</t>
        </is>
      </c>
      <c r="D4783" s="24" t="inlineStr">
        <is>
          <t>5</t>
        </is>
      </c>
      <c r="E4783" s="24" t="inlineStr">
        <is>
          <t>已全部核销/已全部售出</t>
        </is>
      </c>
    </row>
    <row r="4784">
      <c r="B4784" s="24" t="inlineStr">
        <is>
          <t>LoanStatus</t>
        </is>
      </c>
      <c r="C4784" s="24" t="inlineStr">
        <is>
          <t>贷款状态</t>
        </is>
      </c>
      <c r="D4784" s="24" t="inlineStr">
        <is>
          <t>6</t>
        </is>
      </c>
      <c r="E4784" s="24" t="inlineStr">
        <is>
          <t>已冲销</t>
        </is>
      </c>
    </row>
    <row r="4785" ht="15.95" customHeight="1" s="170">
      <c r="B4785" s="122" t="inlineStr">
        <is>
          <t>码值：BondMarketType</t>
        </is>
      </c>
    </row>
    <row r="4786">
      <c r="B4786" s="24" t="inlineStr">
        <is>
          <t>BondMarketType</t>
        </is>
      </c>
      <c r="C4786" s="24" t="inlineStr">
        <is>
          <t>债券市场类型</t>
        </is>
      </c>
      <c r="D4786" s="24" t="inlineStr">
        <is>
          <t>01</t>
        </is>
      </c>
      <c r="E4786" s="24" t="inlineStr">
        <is>
          <t>银行间债券市场</t>
        </is>
      </c>
    </row>
    <row r="4787">
      <c r="B4787" s="24" t="inlineStr">
        <is>
          <t>BondMarketType</t>
        </is>
      </c>
      <c r="C4787" s="24" t="inlineStr">
        <is>
          <t>债券市场类型</t>
        </is>
      </c>
      <c r="D4787" s="24" t="inlineStr">
        <is>
          <t>02</t>
        </is>
      </c>
      <c r="E4787" s="24" t="inlineStr">
        <is>
          <t>交易所债券交易市场</t>
        </is>
      </c>
    </row>
    <row r="4788">
      <c r="B4788" s="24" t="inlineStr">
        <is>
          <t>BondMarketType</t>
        </is>
      </c>
      <c r="C4788" s="24" t="inlineStr">
        <is>
          <t>债券市场类型</t>
        </is>
      </c>
      <c r="D4788" s="24" t="inlineStr">
        <is>
          <t>03</t>
        </is>
      </c>
      <c r="E4788" s="24" t="inlineStr">
        <is>
          <t>柜台债券交易市场债券</t>
        </is>
      </c>
    </row>
    <row r="4789" ht="15.95" customHeight="1" s="170">
      <c r="B4789" s="122" t="inlineStr">
        <is>
          <t>码值：CreditFlow_barApplyMain</t>
        </is>
      </c>
    </row>
    <row r="4790">
      <c r="B4790" s="24" t="inlineStr">
        <is>
          <t>CreditFlow_barApplyMain</t>
        </is>
      </c>
      <c r="C4790" s="24" t="inlineStr">
        <is>
          <t>授信申请主树图</t>
        </is>
      </c>
      <c r="D4790" s="24" t="inlineStr">
        <is>
          <t>10</t>
        </is>
      </c>
      <c r="E4790" s="24" t="inlineStr">
        <is>
          <t>树型菜单中文名称</t>
        </is>
      </c>
    </row>
    <row r="4791">
      <c r="B4791" s="24" t="inlineStr">
        <is>
          <t>CreditFlow_barApplyMain</t>
        </is>
      </c>
      <c r="C4791" s="24" t="inlineStr">
        <is>
          <t>授信申请主树图</t>
        </is>
      </c>
      <c r="D4791" s="24" t="inlineStr">
        <is>
          <t>1010</t>
        </is>
      </c>
      <c r="E4791" s="24" t="inlineStr">
        <is>
          <t>待处理申请</t>
        </is>
      </c>
    </row>
    <row r="4792">
      <c r="B4792" s="24" t="inlineStr">
        <is>
          <t>CreditFlow_barApplyMain</t>
        </is>
      </c>
      <c r="C4792" s="24" t="inlineStr">
        <is>
          <t>授信申请主树图</t>
        </is>
      </c>
      <c r="D4792" s="24" t="inlineStr">
        <is>
          <t>1020</t>
        </is>
      </c>
      <c r="E4792" s="24" t="inlineStr">
        <is>
          <t>审查审批中申请</t>
        </is>
      </c>
    </row>
    <row r="4793">
      <c r="B4793" s="24" t="inlineStr">
        <is>
          <t>CreditFlow_barApplyMain</t>
        </is>
      </c>
      <c r="C4793" s="24" t="inlineStr">
        <is>
          <t>授信申请主树图</t>
        </is>
      </c>
      <c r="D4793" s="24" t="inlineStr">
        <is>
          <t>1030</t>
        </is>
      </c>
      <c r="E4793" s="24" t="inlineStr">
        <is>
          <t>退回补充资料申请</t>
        </is>
      </c>
    </row>
    <row r="4794">
      <c r="B4794" s="24" t="inlineStr">
        <is>
          <t>CreditFlow_barApplyMain</t>
        </is>
      </c>
      <c r="C4794" s="24" t="inlineStr">
        <is>
          <t>授信申请主树图</t>
        </is>
      </c>
      <c r="D4794" s="24" t="inlineStr">
        <is>
          <t>1040</t>
        </is>
      </c>
      <c r="E4794" s="24" t="inlineStr">
        <is>
          <t>审批通过申请</t>
        </is>
      </c>
    </row>
    <row r="4795">
      <c r="B4795" s="24" t="inlineStr">
        <is>
          <t>CreditFlow_barApplyMain</t>
        </is>
      </c>
      <c r="C4795" s="24" t="inlineStr">
        <is>
          <t>授信申请主树图</t>
        </is>
      </c>
      <c r="D4795" s="24" t="inlineStr">
        <is>
          <t>1050</t>
        </is>
      </c>
      <c r="E4795" s="24" t="inlineStr">
        <is>
          <t>被否决申请</t>
        </is>
      </c>
    </row>
    <row r="4796">
      <c r="B4796" s="24" t="inlineStr">
        <is>
          <t>CreditFlow_barApplyMain</t>
        </is>
      </c>
      <c r="C4796" s="24" t="inlineStr">
        <is>
          <t>授信申请主树图</t>
        </is>
      </c>
      <c r="D4796" s="24" t="inlineStr">
        <is>
          <t>1060</t>
        </is>
      </c>
      <c r="E4796" s="24" t="inlineStr">
        <is>
          <t>已归档申请</t>
        </is>
      </c>
    </row>
    <row r="4797" ht="15.95" customHeight="1" s="170">
      <c r="B4797" s="122" t="inlineStr">
        <is>
          <t>码值：FirstPaySource</t>
        </is>
      </c>
    </row>
    <row r="4798">
      <c r="B4798" s="24" t="inlineStr">
        <is>
          <t>FirstPaySource</t>
        </is>
      </c>
      <c r="C4798" s="24" t="inlineStr">
        <is>
          <t>首付款来源</t>
        </is>
      </c>
      <c r="D4798" s="24" t="inlineStr">
        <is>
          <t>01</t>
        </is>
      </c>
      <c r="E4798" s="24" t="inlineStr">
        <is>
          <t>自有资金</t>
        </is>
      </c>
    </row>
    <row r="4799">
      <c r="B4799" s="24" t="inlineStr">
        <is>
          <t>FirstPaySource</t>
        </is>
      </c>
      <c r="C4799" s="24" t="inlineStr">
        <is>
          <t>首付款来源</t>
        </is>
      </c>
      <c r="D4799" s="24" t="inlineStr">
        <is>
          <t>02</t>
        </is>
      </c>
      <c r="E4799" s="24" t="inlineStr">
        <is>
          <t>借款</t>
        </is>
      </c>
    </row>
    <row r="4800">
      <c r="B4800" s="24" t="inlineStr">
        <is>
          <t>FirstPaySource</t>
        </is>
      </c>
      <c r="C4800" s="24" t="inlineStr">
        <is>
          <t>首付款来源</t>
        </is>
      </c>
      <c r="D4800" s="24" t="inlineStr">
        <is>
          <t>03</t>
        </is>
      </c>
      <c r="E4800" s="24" t="inlineStr">
        <is>
          <t>其他</t>
        </is>
      </c>
    </row>
    <row r="4801" ht="15.95" customHeight="1" s="170">
      <c r="B4801" s="122" t="inlineStr">
        <is>
          <t>码值：IsOwnBank</t>
        </is>
      </c>
    </row>
    <row r="4802">
      <c r="B4802" s="24" t="inlineStr">
        <is>
          <t>IsOwnBank</t>
        </is>
      </c>
      <c r="C4802" s="24" t="inlineStr">
        <is>
          <t>本/他行账户标志位</t>
        </is>
      </c>
      <c r="D4802" s="24" t="inlineStr">
        <is>
          <t>010</t>
        </is>
      </c>
      <c r="E4802" s="24" t="inlineStr">
        <is>
          <t>本行账户</t>
        </is>
      </c>
    </row>
    <row r="4803">
      <c r="B4803" s="24" t="inlineStr">
        <is>
          <t>IsOwnBank</t>
        </is>
      </c>
      <c r="C4803" s="24" t="inlineStr">
        <is>
          <t>本/他行账户标志位</t>
        </is>
      </c>
      <c r="D4803" s="24" t="inlineStr">
        <is>
          <t>020</t>
        </is>
      </c>
      <c r="E4803" s="24" t="inlineStr">
        <is>
          <t>他行账户</t>
        </is>
      </c>
    </row>
    <row r="4804" ht="15.95" customHeight="1" s="170">
      <c r="B4804" s="122" t="inlineStr">
        <is>
          <t>码值：经济区域</t>
        </is>
      </c>
    </row>
    <row r="4805">
      <c r="B4805" s="24" t="inlineStr">
        <is>
          <t>经济区域</t>
        </is>
      </c>
      <c r="C4805" s="24" t="inlineStr">
        <is>
          <t>经济区域</t>
        </is>
      </c>
      <c r="D4805" s="24" t="inlineStr">
        <is>
          <t>2</t>
        </is>
      </c>
      <c r="E4805" s="24" t="inlineStr">
        <is>
          <t>北京</t>
        </is>
      </c>
    </row>
    <row r="4806">
      <c r="B4806" s="24" t="inlineStr">
        <is>
          <t>经济区域</t>
        </is>
      </c>
      <c r="C4806" s="24" t="inlineStr">
        <is>
          <t>经济区域</t>
        </is>
      </c>
      <c r="D4806" s="24" t="inlineStr">
        <is>
          <t>3</t>
        </is>
      </c>
      <c r="E4806" s="24" t="inlineStr">
        <is>
          <t>上海</t>
        </is>
      </c>
    </row>
    <row r="4807">
      <c r="B4807" s="24" t="inlineStr">
        <is>
          <t>经济区域</t>
        </is>
      </c>
      <c r="C4807" s="24" t="inlineStr">
        <is>
          <t>经济区域</t>
        </is>
      </c>
      <c r="D4807" s="24" t="inlineStr">
        <is>
          <t>4</t>
        </is>
      </c>
      <c r="E4807" s="24" t="inlineStr">
        <is>
          <t>杭州</t>
        </is>
      </c>
    </row>
    <row r="4808">
      <c r="B4808" s="24" t="inlineStr">
        <is>
          <t>经济区域</t>
        </is>
      </c>
      <c r="C4808" s="24" t="inlineStr">
        <is>
          <t>经济区域</t>
        </is>
      </c>
      <c r="D4808" s="24" t="inlineStr">
        <is>
          <t>5</t>
        </is>
      </c>
      <c r="E4808" s="24" t="inlineStr">
        <is>
          <t>南京</t>
        </is>
      </c>
    </row>
    <row r="4809">
      <c r="B4809" s="24" t="inlineStr">
        <is>
          <t>经济区域</t>
        </is>
      </c>
      <c r="C4809" s="24" t="inlineStr">
        <is>
          <t>经济区域</t>
        </is>
      </c>
      <c r="D4809" s="24" t="inlineStr">
        <is>
          <t>6</t>
        </is>
      </c>
      <c r="E4809" s="24" t="inlineStr">
        <is>
          <t>深圳</t>
        </is>
      </c>
    </row>
    <row r="4810">
      <c r="B4810" s="24" t="inlineStr">
        <is>
          <t>经济区域</t>
        </is>
      </c>
      <c r="C4810" s="24" t="inlineStr">
        <is>
          <t>经济区域</t>
        </is>
      </c>
      <c r="D4810" s="24" t="inlineStr">
        <is>
          <t>7</t>
        </is>
      </c>
      <c r="E4810" s="24" t="inlineStr">
        <is>
          <t>温州</t>
        </is>
      </c>
    </row>
    <row r="4811">
      <c r="B4811" s="24" t="inlineStr">
        <is>
          <t>经济区域</t>
        </is>
      </c>
      <c r="C4811" s="24" t="inlineStr">
        <is>
          <t>经济区域</t>
        </is>
      </c>
      <c r="D4811" s="24" t="inlineStr">
        <is>
          <t>8</t>
        </is>
      </c>
      <c r="E4811" s="24" t="inlineStr">
        <is>
          <t>其他</t>
        </is>
      </c>
    </row>
    <row r="4812" ht="15.95" customHeight="1" s="170">
      <c r="B4812" s="122" t="inlineStr">
        <is>
          <t>码值：LanguageType</t>
        </is>
      </c>
    </row>
    <row r="4813">
      <c r="B4813" s="24" t="inlineStr">
        <is>
          <t>LanguageType</t>
        </is>
      </c>
      <c r="C4813" s="24" t="inlineStr">
        <is>
          <t>语言类型</t>
        </is>
      </c>
      <c r="D4813" s="24" t="inlineStr">
        <is>
          <t>010</t>
        </is>
      </c>
      <c r="E4813" s="24" t="inlineStr">
        <is>
          <t>中文</t>
        </is>
      </c>
    </row>
    <row r="4814">
      <c r="B4814" s="24" t="inlineStr">
        <is>
          <t>LanguageType</t>
        </is>
      </c>
      <c r="C4814" s="24" t="inlineStr">
        <is>
          <t>语言类型</t>
        </is>
      </c>
      <c r="D4814" s="24" t="inlineStr">
        <is>
          <t>020</t>
        </is>
      </c>
      <c r="E4814" s="24" t="inlineStr">
        <is>
          <t>英文</t>
        </is>
      </c>
    </row>
    <row r="4815" ht="15.95" customHeight="1" s="170">
      <c r="B4815" s="122" t="inlineStr">
        <is>
          <t>码值：企业外观形象</t>
        </is>
      </c>
    </row>
    <row r="4816">
      <c r="B4816" s="24" t="inlineStr">
        <is>
          <t>企业外观形象</t>
        </is>
      </c>
      <c r="C4816" s="24" t="inlineStr">
        <is>
          <t>企业外观形象</t>
        </is>
      </c>
      <c r="D4816" s="24" t="inlineStr">
        <is>
          <t>1</t>
        </is>
      </c>
      <c r="E4816" s="24" t="inlineStr">
        <is>
          <t>好</t>
        </is>
      </c>
    </row>
    <row r="4817">
      <c r="B4817" s="24" t="inlineStr">
        <is>
          <t>企业外观形象</t>
        </is>
      </c>
      <c r="C4817" s="24" t="inlineStr">
        <is>
          <t>企业外观形象</t>
        </is>
      </c>
      <c r="D4817" s="24" t="inlineStr">
        <is>
          <t>2</t>
        </is>
      </c>
      <c r="E4817" s="24" t="inlineStr">
        <is>
          <t>一般</t>
        </is>
      </c>
    </row>
    <row r="4818">
      <c r="B4818" s="24" t="inlineStr">
        <is>
          <t>企业外观形象</t>
        </is>
      </c>
      <c r="C4818" s="24" t="inlineStr">
        <is>
          <t>企业外观形象</t>
        </is>
      </c>
      <c r="D4818" s="24" t="inlineStr">
        <is>
          <t>3</t>
        </is>
      </c>
      <c r="E4818" s="24" t="inlineStr">
        <is>
          <t>差</t>
        </is>
      </c>
    </row>
    <row r="4819" ht="15.95" customHeight="1" s="170">
      <c r="B4819" s="122" t="inlineStr">
        <is>
          <t>码值：SMECreditTax</t>
        </is>
      </c>
    </row>
    <row r="4820">
      <c r="B4820" s="24" t="inlineStr">
        <is>
          <t>SMECreditTax</t>
        </is>
      </c>
      <c r="C4820" s="24" t="inlineStr">
        <is>
          <t>税收政策</t>
        </is>
      </c>
      <c r="D4820" s="24" t="inlineStr">
        <is>
          <t>01</t>
        </is>
      </c>
      <c r="E4820" s="24" t="inlineStr">
        <is>
          <t>优惠政策</t>
        </is>
      </c>
    </row>
    <row r="4821">
      <c r="B4821" s="24" t="inlineStr">
        <is>
          <t>SMECreditTax</t>
        </is>
      </c>
      <c r="C4821" s="24" t="inlineStr">
        <is>
          <t>税收政策</t>
        </is>
      </c>
      <c r="D4821" s="24" t="inlineStr">
        <is>
          <t>02</t>
        </is>
      </c>
      <c r="E4821" s="24" t="inlineStr">
        <is>
          <t>一般政策</t>
        </is>
      </c>
    </row>
    <row r="4822">
      <c r="B4822" s="24" t="inlineStr">
        <is>
          <t>SMECreditTax</t>
        </is>
      </c>
      <c r="C4822" s="24" t="inlineStr">
        <is>
          <t>税收政策</t>
        </is>
      </c>
      <c r="D4822" s="24" t="inlineStr">
        <is>
          <t>03</t>
        </is>
      </c>
      <c r="E4822" s="24" t="inlineStr">
        <is>
          <t>惩罚政策</t>
        </is>
      </c>
    </row>
    <row r="4823" ht="15.95" customHeight="1" s="170">
      <c r="B4823" s="122" t="inlineStr">
        <is>
          <t>码值：BizApplyView</t>
        </is>
      </c>
    </row>
    <row r="4824">
      <c r="B4824" s="24" t="inlineStr">
        <is>
          <t>BizApplyView</t>
        </is>
      </c>
      <c r="C4824" s="24" t="inlineStr">
        <is>
          <t>授信申请树图</t>
        </is>
      </c>
      <c r="D4824" s="24" t="inlineStr">
        <is>
          <t>0010</t>
        </is>
      </c>
      <c r="E4824" s="24" t="inlineStr">
        <is>
          <t>基本信息</t>
        </is>
      </c>
    </row>
    <row r="4825">
      <c r="B4825" s="24" t="inlineStr">
        <is>
          <t>BizApplyView</t>
        </is>
      </c>
      <c r="C4825" s="24" t="inlineStr">
        <is>
          <t>授信申请树图</t>
        </is>
      </c>
      <c r="D4825" s="24" t="inlineStr">
        <is>
          <t>0020</t>
        </is>
      </c>
      <c r="E4825" s="24" t="inlineStr">
        <is>
          <t>关联额度信息</t>
        </is>
      </c>
    </row>
    <row r="4826">
      <c r="B4826" s="24" t="inlineStr">
        <is>
          <t>BizApplyView</t>
        </is>
      </c>
      <c r="C4826" s="24" t="inlineStr">
        <is>
          <t>授信申请树图</t>
        </is>
      </c>
      <c r="D4826" s="24" t="inlineStr">
        <is>
          <t>0030</t>
        </is>
      </c>
      <c r="E4826" s="24" t="inlineStr">
        <is>
          <t>关联项目信息</t>
        </is>
      </c>
    </row>
    <row r="4827">
      <c r="B4827" s="24" t="inlineStr">
        <is>
          <t>BizApplyView</t>
        </is>
      </c>
      <c r="C4827" s="24" t="inlineStr">
        <is>
          <t>授信申请树图</t>
        </is>
      </c>
      <c r="D4827" s="24" t="inlineStr">
        <is>
          <t>0040</t>
        </is>
      </c>
      <c r="E4827" s="24" t="inlineStr">
        <is>
          <t>关联票据信息</t>
        </is>
      </c>
    </row>
    <row r="4828">
      <c r="B4828" s="24" t="inlineStr">
        <is>
          <t>BizApplyView</t>
        </is>
      </c>
      <c r="C4828" s="24" t="inlineStr">
        <is>
          <t>授信申请树图</t>
        </is>
      </c>
      <c r="D4828" s="24" t="inlineStr">
        <is>
          <t>0050</t>
        </is>
      </c>
      <c r="E4828" s="24" t="inlineStr">
        <is>
          <t>共同申请人</t>
        </is>
      </c>
    </row>
    <row r="4829">
      <c r="B4829" s="24" t="inlineStr">
        <is>
          <t>BizApplyView</t>
        </is>
      </c>
      <c r="C4829" s="24" t="inlineStr">
        <is>
          <t>授信申请树图</t>
        </is>
      </c>
      <c r="D4829" s="24" t="inlineStr">
        <is>
          <t>0060</t>
        </is>
      </c>
      <c r="E4829" s="24" t="inlineStr">
        <is>
          <t>担保信息</t>
        </is>
      </c>
    </row>
    <row r="4830">
      <c r="B4830" s="24" t="inlineStr">
        <is>
          <t>BizApplyView</t>
        </is>
      </c>
      <c r="C4830" s="24" t="inlineStr">
        <is>
          <t>授信申请树图</t>
        </is>
      </c>
      <c r="D4830" s="24" t="inlineStr">
        <is>
          <t>006010</t>
        </is>
      </c>
      <c r="E4830" s="24" t="inlineStr">
        <is>
          <t>保证信息</t>
        </is>
      </c>
    </row>
    <row r="4831">
      <c r="B4831" s="24" t="inlineStr">
        <is>
          <t>BizApplyView</t>
        </is>
      </c>
      <c r="C4831" s="24" t="inlineStr">
        <is>
          <t>授信申请树图</t>
        </is>
      </c>
      <c r="D4831" s="24" t="inlineStr">
        <is>
          <t>006020</t>
        </is>
      </c>
      <c r="E4831" s="24" t="inlineStr">
        <is>
          <t>抵押信息</t>
        </is>
      </c>
    </row>
    <row r="4832">
      <c r="B4832" s="24" t="inlineStr">
        <is>
          <t>BizApplyView</t>
        </is>
      </c>
      <c r="C4832" s="24" t="inlineStr">
        <is>
          <t>授信申请树图</t>
        </is>
      </c>
      <c r="D4832" s="24" t="inlineStr">
        <is>
          <t>006030</t>
        </is>
      </c>
      <c r="E4832" s="24" t="inlineStr">
        <is>
          <t>质押信息</t>
        </is>
      </c>
    </row>
    <row r="4833">
      <c r="B4833" s="24" t="inlineStr">
        <is>
          <t>BizApplyView</t>
        </is>
      </c>
      <c r="C4833" s="24" t="inlineStr">
        <is>
          <t>授信申请树图</t>
        </is>
      </c>
      <c r="D4833" s="24" t="inlineStr">
        <is>
          <t>006040</t>
        </is>
      </c>
      <c r="E4833" s="24" t="inlineStr">
        <is>
          <t>引入最高额担保合同</t>
        </is>
      </c>
    </row>
    <row r="4834">
      <c r="B4834" s="24" t="inlineStr">
        <is>
          <t>BizApplyView</t>
        </is>
      </c>
      <c r="C4834" s="24" t="inlineStr">
        <is>
          <t>授信申请树图</t>
        </is>
      </c>
      <c r="D4834" s="24" t="inlineStr">
        <is>
          <t>0070</t>
        </is>
      </c>
      <c r="E4834" s="24" t="inlineStr">
        <is>
          <t>业务文档信息</t>
        </is>
      </c>
    </row>
    <row r="4835">
      <c r="B4835" s="24" t="inlineStr">
        <is>
          <t>BizApplyView</t>
        </is>
      </c>
      <c r="C4835" s="24" t="inlineStr">
        <is>
          <t>授信申请树图</t>
        </is>
      </c>
      <c r="D4835" s="24" t="inlineStr">
        <is>
          <t>0080</t>
        </is>
      </c>
      <c r="E4835" s="24" t="inlineStr">
        <is>
          <t>授信组织方式信息</t>
        </is>
      </c>
    </row>
    <row r="4836">
      <c r="B4836" s="24" t="inlineStr">
        <is>
          <t>BizApplyView</t>
        </is>
      </c>
      <c r="C4836" s="24" t="inlineStr">
        <is>
          <t>授信申请树图</t>
        </is>
      </c>
      <c r="D4836" s="24" t="inlineStr">
        <is>
          <t>0090</t>
        </is>
      </c>
      <c r="E4836" s="24" t="inlineStr">
        <is>
          <t>借据信息</t>
        </is>
      </c>
    </row>
    <row r="4837" ht="15.95" customHeight="1" s="170">
      <c r="B4837" s="122" t="inlineStr">
        <is>
          <t>码值：LandingLevel</t>
        </is>
      </c>
    </row>
    <row r="4838">
      <c r="B4838" s="24" t="inlineStr">
        <is>
          <t>LandingLevel</t>
        </is>
      </c>
      <c r="C4838" s="24" t="inlineStr">
        <is>
          <t>土地分级</t>
        </is>
      </c>
      <c r="D4838" s="24" t="inlineStr">
        <is>
          <t>01</t>
        </is>
      </c>
      <c r="E4838" s="24" t="inlineStr">
        <is>
          <t>一级</t>
        </is>
      </c>
    </row>
    <row r="4839">
      <c r="B4839" s="24" t="inlineStr">
        <is>
          <t>LandingLevel</t>
        </is>
      </c>
      <c r="C4839" s="24" t="inlineStr">
        <is>
          <t>土地分级</t>
        </is>
      </c>
      <c r="D4839" s="24" t="inlineStr">
        <is>
          <t>02</t>
        </is>
      </c>
      <c r="E4839" s="24" t="inlineStr">
        <is>
          <t>二级</t>
        </is>
      </c>
    </row>
    <row r="4840">
      <c r="B4840" s="24" t="inlineStr">
        <is>
          <t>LandingLevel</t>
        </is>
      </c>
      <c r="C4840" s="24" t="inlineStr">
        <is>
          <t>土地分级</t>
        </is>
      </c>
      <c r="D4840" s="24" t="inlineStr">
        <is>
          <t>03</t>
        </is>
      </c>
      <c r="E4840" s="24" t="inlineStr">
        <is>
          <t>三级</t>
        </is>
      </c>
    </row>
    <row r="4841">
      <c r="B4841" s="24" t="inlineStr">
        <is>
          <t>LandingLevel</t>
        </is>
      </c>
      <c r="C4841" s="24" t="inlineStr">
        <is>
          <t>土地分级</t>
        </is>
      </c>
      <c r="D4841" s="24" t="inlineStr">
        <is>
          <t>04</t>
        </is>
      </c>
      <c r="E4841" s="24" t="inlineStr">
        <is>
          <t>四级</t>
        </is>
      </c>
    </row>
    <row r="4842">
      <c r="B4842" s="24" t="inlineStr">
        <is>
          <t>LandingLevel</t>
        </is>
      </c>
      <c r="C4842" s="24" t="inlineStr">
        <is>
          <t>土地分级</t>
        </is>
      </c>
      <c r="D4842" s="24" t="inlineStr">
        <is>
          <t>05</t>
        </is>
      </c>
      <c r="E4842" s="24" t="inlineStr">
        <is>
          <t>五级</t>
        </is>
      </c>
    </row>
    <row r="4843">
      <c r="B4843" s="24" t="inlineStr">
        <is>
          <t>LandingLevel</t>
        </is>
      </c>
      <c r="C4843" s="24" t="inlineStr">
        <is>
          <t>土地分级</t>
        </is>
      </c>
      <c r="D4843" s="24" t="inlineStr">
        <is>
          <t>06</t>
        </is>
      </c>
      <c r="E4843" s="24" t="inlineStr">
        <is>
          <t>六级</t>
        </is>
      </c>
    </row>
    <row r="4844">
      <c r="B4844" s="24" t="inlineStr">
        <is>
          <t>LandingLevel</t>
        </is>
      </c>
      <c r="C4844" s="24" t="inlineStr">
        <is>
          <t>土地分级</t>
        </is>
      </c>
      <c r="D4844" s="24" t="inlineStr">
        <is>
          <t>07</t>
        </is>
      </c>
      <c r="E4844" s="24" t="inlineStr">
        <is>
          <t>七级</t>
        </is>
      </c>
    </row>
    <row r="4845">
      <c r="B4845" s="24" t="inlineStr">
        <is>
          <t>LandingLevel</t>
        </is>
      </c>
      <c r="C4845" s="24" t="inlineStr">
        <is>
          <t>土地分级</t>
        </is>
      </c>
      <c r="D4845" s="24" t="inlineStr">
        <is>
          <t>08</t>
        </is>
      </c>
      <c r="E4845" s="24" t="inlineStr">
        <is>
          <t>八级</t>
        </is>
      </c>
    </row>
    <row r="4846">
      <c r="B4846" s="24" t="inlineStr">
        <is>
          <t>LandingLevel</t>
        </is>
      </c>
      <c r="C4846" s="24" t="inlineStr">
        <is>
          <t>土地分级</t>
        </is>
      </c>
      <c r="D4846" s="24" t="inlineStr">
        <is>
          <t>09</t>
        </is>
      </c>
      <c r="E4846" s="24" t="inlineStr">
        <is>
          <t>九级</t>
        </is>
      </c>
    </row>
    <row r="4847">
      <c r="B4847" s="24" t="inlineStr">
        <is>
          <t>LandingLevel</t>
        </is>
      </c>
      <c r="C4847" s="24" t="inlineStr">
        <is>
          <t>土地分级</t>
        </is>
      </c>
      <c r="D4847" s="24" t="inlineStr">
        <is>
          <t>10</t>
        </is>
      </c>
      <c r="E4847" s="24" t="inlineStr">
        <is>
          <t>十级</t>
        </is>
      </c>
    </row>
    <row r="4848" ht="15.95" customHeight="1" s="170">
      <c r="B4848" s="122" t="inlineStr">
        <is>
          <t>码值：MonetaryUnit</t>
        </is>
      </c>
    </row>
    <row r="4849">
      <c r="B4849" s="24" t="inlineStr">
        <is>
          <t>MonetaryUnit</t>
        </is>
      </c>
      <c r="C4849" s="24" t="inlineStr">
        <is>
          <t>单位</t>
        </is>
      </c>
      <c r="D4849" s="24" t="inlineStr">
        <is>
          <t>1</t>
        </is>
      </c>
      <c r="E4849" s="24" t="inlineStr">
        <is>
          <t>元</t>
        </is>
      </c>
    </row>
    <row r="4850">
      <c r="B4850" s="24" t="inlineStr">
        <is>
          <t>MonetaryUnit</t>
        </is>
      </c>
      <c r="C4850" s="24" t="inlineStr">
        <is>
          <t>单位</t>
        </is>
      </c>
      <c r="D4850" s="24" t="inlineStr">
        <is>
          <t>1000</t>
        </is>
      </c>
      <c r="E4850" s="24" t="inlineStr">
        <is>
          <t>千</t>
        </is>
      </c>
    </row>
    <row r="4851">
      <c r="B4851" s="24" t="inlineStr">
        <is>
          <t>MonetaryUnit</t>
        </is>
      </c>
      <c r="C4851" s="24" t="inlineStr">
        <is>
          <t>单位</t>
        </is>
      </c>
      <c r="D4851" s="24" t="inlineStr">
        <is>
          <t>10000</t>
        </is>
      </c>
      <c r="E4851" s="24" t="inlineStr">
        <is>
          <t>万</t>
        </is>
      </c>
    </row>
    <row r="4852">
      <c r="B4852" s="24" t="inlineStr">
        <is>
          <t>MonetaryUnit</t>
        </is>
      </c>
      <c r="C4852" s="24" t="inlineStr">
        <is>
          <t>单位</t>
        </is>
      </c>
      <c r="D4852" s="24" t="inlineStr">
        <is>
          <t>100000</t>
        </is>
      </c>
      <c r="E4852" s="24" t="inlineStr">
        <is>
          <t>十万</t>
        </is>
      </c>
    </row>
    <row r="4853">
      <c r="B4853" s="24" t="inlineStr">
        <is>
          <t>MonetaryUnit</t>
        </is>
      </c>
      <c r="C4853" s="24" t="inlineStr">
        <is>
          <t>单位</t>
        </is>
      </c>
      <c r="D4853" s="24" t="inlineStr">
        <is>
          <t>1000000</t>
        </is>
      </c>
      <c r="E4853" s="24" t="inlineStr">
        <is>
          <t>百万</t>
        </is>
      </c>
    </row>
    <row r="4854">
      <c r="B4854" s="24" t="inlineStr">
        <is>
          <t>MonetaryUnit</t>
        </is>
      </c>
      <c r="C4854" s="24" t="inlineStr">
        <is>
          <t>单位</t>
        </is>
      </c>
      <c r="D4854" s="24" t="inlineStr">
        <is>
          <t>10000000</t>
        </is>
      </c>
      <c r="E4854" s="24" t="inlineStr">
        <is>
          <t>千万</t>
        </is>
      </c>
    </row>
    <row r="4855">
      <c r="B4855" s="24" t="inlineStr">
        <is>
          <t>MonetaryUnit</t>
        </is>
      </c>
      <c r="C4855" s="24" t="inlineStr">
        <is>
          <t>单位</t>
        </is>
      </c>
      <c r="D4855" s="24" t="inlineStr">
        <is>
          <t>100000000</t>
        </is>
      </c>
      <c r="E4855" s="24" t="inlineStr">
        <is>
          <t>亿</t>
        </is>
      </c>
    </row>
    <row r="4856" ht="15.95" customHeight="1" s="170">
      <c r="B4856" s="122" t="inlineStr">
        <is>
          <t>码值：SysParamManage</t>
        </is>
      </c>
    </row>
    <row r="4857">
      <c r="B4857" s="24" t="inlineStr">
        <is>
          <t>SysParamManage</t>
        </is>
      </c>
      <c r="C4857" s="24" t="inlineStr">
        <is>
          <t>系统参数配置</t>
        </is>
      </c>
      <c r="D4857" s="24" t="inlineStr">
        <is>
          <t>010</t>
        </is>
      </c>
      <c r="E4857" s="24" t="inlineStr">
        <is>
          <t>单用户登录配置</t>
        </is>
      </c>
    </row>
    <row r="4858">
      <c r="B4858" s="24" t="inlineStr">
        <is>
          <t>SysParamManage</t>
        </is>
      </c>
      <c r="C4858" s="24" t="inlineStr">
        <is>
          <t>系统参数配置</t>
        </is>
      </c>
      <c r="D4858" s="24" t="inlineStr">
        <is>
          <t>020</t>
        </is>
      </c>
      <c r="E4858" s="24" t="inlineStr">
        <is>
          <t>工作台配置</t>
        </is>
      </c>
    </row>
    <row r="4859">
      <c r="B4859" s="24" t="inlineStr">
        <is>
          <t>SysParamManage</t>
        </is>
      </c>
      <c r="C4859" s="24" t="inlineStr">
        <is>
          <t>系统参数配置</t>
        </is>
      </c>
      <c r="D4859" s="24" t="inlineStr">
        <is>
          <t>020010</t>
        </is>
      </c>
      <c r="E4859" s="24" t="inlineStr">
        <is>
          <t>任务</t>
        </is>
      </c>
    </row>
    <row r="4860">
      <c r="B4860" s="24" t="inlineStr">
        <is>
          <t>SysParamManage</t>
        </is>
      </c>
      <c r="C4860" s="24" t="inlineStr">
        <is>
          <t>系统参数配置</t>
        </is>
      </c>
      <c r="D4860" s="24" t="inlineStr">
        <is>
          <t>020020</t>
        </is>
      </c>
      <c r="E4860" s="24" t="inlineStr">
        <is>
          <t>提示</t>
        </is>
      </c>
    </row>
    <row r="4861">
      <c r="B4861" s="24" t="inlineStr">
        <is>
          <t>SysParamManage</t>
        </is>
      </c>
      <c r="C4861" s="24" t="inlineStr">
        <is>
          <t>系统参数配置</t>
        </is>
      </c>
      <c r="D4861" s="24" t="inlineStr">
        <is>
          <t>020030</t>
        </is>
      </c>
      <c r="E4861" s="24" t="inlineStr">
        <is>
          <t>预警</t>
        </is>
      </c>
    </row>
    <row r="4862">
      <c r="B4862" s="24" t="inlineStr">
        <is>
          <t>SysParamManage</t>
        </is>
      </c>
      <c r="C4862" s="24" t="inlineStr">
        <is>
          <t>系统参数配置</t>
        </is>
      </c>
      <c r="D4862" s="24" t="inlineStr">
        <is>
          <t>040</t>
        </is>
      </c>
      <c r="E4862" s="24" t="inlineStr">
        <is>
          <t>业务对象配置</t>
        </is>
      </c>
    </row>
    <row r="4863">
      <c r="B4863" s="24" t="inlineStr">
        <is>
          <t>SysParamManage</t>
        </is>
      </c>
      <c r="C4863" s="24" t="inlineStr">
        <is>
          <t>系统参数配置</t>
        </is>
      </c>
      <c r="D4863" s="24" t="inlineStr">
        <is>
          <t>050</t>
        </is>
      </c>
      <c r="E4863" s="24" t="inlineStr">
        <is>
          <t>格式化报告配置</t>
        </is>
      </c>
    </row>
    <row r="4864" ht="15.95" customHeight="1" s="170">
      <c r="B4864" s="122" t="inlineStr">
        <is>
          <t>码值：CustomerTypeInEI</t>
        </is>
      </c>
    </row>
    <row r="4865">
      <c r="B4865" s="24" t="inlineStr">
        <is>
          <t>CustomerTypeInEI</t>
        </is>
      </c>
      <c r="C4865" s="24" t="inlineStr">
        <is>
          <t>公司和个人客户类型</t>
        </is>
      </c>
      <c r="D4865" s="24" t="inlineStr">
        <is>
          <t>01</t>
        </is>
      </c>
      <c r="E4865" s="24" t="inlineStr">
        <is>
          <t>公司客户</t>
        </is>
      </c>
    </row>
    <row r="4866">
      <c r="B4866" s="24" t="inlineStr">
        <is>
          <t>CustomerTypeInEI</t>
        </is>
      </c>
      <c r="C4866" s="24" t="inlineStr">
        <is>
          <t>公司和个人客户类型</t>
        </is>
      </c>
      <c r="D4866" s="24" t="inlineStr">
        <is>
          <t>0110</t>
        </is>
      </c>
      <c r="E4866" s="24" t="inlineStr">
        <is>
          <t>大型企业</t>
        </is>
      </c>
    </row>
    <row r="4867">
      <c r="B4867" s="24" t="inlineStr">
        <is>
          <t>CustomerTypeInEI</t>
        </is>
      </c>
      <c r="C4867" s="24" t="inlineStr">
        <is>
          <t>公司和个人客户类型</t>
        </is>
      </c>
      <c r="D4867" s="24" t="inlineStr">
        <is>
          <t>0120</t>
        </is>
      </c>
      <c r="E4867" s="24" t="inlineStr">
        <is>
          <t>中小企业</t>
        </is>
      </c>
    </row>
    <row r="4868">
      <c r="B4868" s="24" t="inlineStr">
        <is>
          <t>CustomerTypeInEI</t>
        </is>
      </c>
      <c r="C4868" s="24" t="inlineStr">
        <is>
          <t>公司和个人客户类型</t>
        </is>
      </c>
      <c r="D4868" s="24" t="inlineStr">
        <is>
          <t>03</t>
        </is>
      </c>
      <c r="E4868" s="24" t="inlineStr">
        <is>
          <t>个人客户</t>
        </is>
      </c>
    </row>
    <row r="4869">
      <c r="B4869" s="24" t="inlineStr">
        <is>
          <t>CustomerTypeInEI</t>
        </is>
      </c>
      <c r="C4869" s="24" t="inlineStr">
        <is>
          <t>公司和个人客户类型</t>
        </is>
      </c>
      <c r="D4869" s="24" t="inlineStr">
        <is>
          <t>0310</t>
        </is>
      </c>
      <c r="E4869" s="24" t="inlineStr">
        <is>
          <t>个人客户</t>
        </is>
      </c>
    </row>
    <row r="4870">
      <c r="B4870" s="24" t="inlineStr">
        <is>
          <t>CustomerTypeInEI</t>
        </is>
      </c>
      <c r="C4870" s="24" t="inlineStr">
        <is>
          <t>公司和个人客户类型</t>
        </is>
      </c>
      <c r="D4870" s="24" t="inlineStr">
        <is>
          <t>0320</t>
        </is>
      </c>
      <c r="E4870" s="24" t="inlineStr">
        <is>
          <t>个体经营户</t>
        </is>
      </c>
    </row>
    <row r="4871" ht="15.95" customHeight="1" s="170">
      <c r="B4871" s="122" t="inlineStr">
        <is>
          <t>码值：身体状况</t>
        </is>
      </c>
    </row>
    <row r="4872">
      <c r="B4872" s="24" t="inlineStr">
        <is>
          <t>身体状况</t>
        </is>
      </c>
      <c r="C4872" s="24" t="inlineStr">
        <is>
          <t>身体状况</t>
        </is>
      </c>
      <c r="D4872" s="24" t="inlineStr">
        <is>
          <t>1</t>
        </is>
      </c>
      <c r="E4872" s="24" t="inlineStr">
        <is>
          <t>健康</t>
        </is>
      </c>
    </row>
    <row r="4873">
      <c r="B4873" s="24" t="inlineStr">
        <is>
          <t>身体状况</t>
        </is>
      </c>
      <c r="C4873" s="24" t="inlineStr">
        <is>
          <t>身体状况</t>
        </is>
      </c>
      <c r="D4873" s="24" t="inlineStr">
        <is>
          <t>2</t>
        </is>
      </c>
      <c r="E4873" s="24" t="inlineStr">
        <is>
          <t>不健康</t>
        </is>
      </c>
    </row>
    <row r="4874" ht="15.95" customHeight="1" s="170">
      <c r="B4874" s="122" t="inlineStr">
        <is>
          <t>码值：EntEventType</t>
        </is>
      </c>
    </row>
    <row r="4875">
      <c r="B4875" s="24" t="inlineStr">
        <is>
          <t>EntEventType</t>
        </is>
      </c>
      <c r="C4875" s="24" t="inlineStr">
        <is>
          <t>企业大事记</t>
        </is>
      </c>
      <c r="D4875" s="24" t="inlineStr">
        <is>
          <t>EET01</t>
        </is>
      </c>
      <c r="E4875" s="24" t="inlineStr">
        <is>
          <t>客户名称变更</t>
        </is>
      </c>
    </row>
    <row r="4876">
      <c r="B4876" s="24" t="inlineStr">
        <is>
          <t>EntEventType</t>
        </is>
      </c>
      <c r="C4876" s="24" t="inlineStr">
        <is>
          <t>企业大事记</t>
        </is>
      </c>
      <c r="D4876" s="24" t="inlineStr">
        <is>
          <t>EET02</t>
        </is>
      </c>
      <c r="E4876" s="24" t="inlineStr">
        <is>
          <t>法人代表变更</t>
        </is>
      </c>
    </row>
    <row r="4877">
      <c r="B4877" s="24" t="inlineStr">
        <is>
          <t>EntEventType</t>
        </is>
      </c>
      <c r="C4877" s="24" t="inlineStr">
        <is>
          <t>企业大事记</t>
        </is>
      </c>
      <c r="D4877" s="24" t="inlineStr">
        <is>
          <t>EET03</t>
        </is>
      </c>
      <c r="E4877" s="24" t="inlineStr">
        <is>
          <t>注册资本变更</t>
        </is>
      </c>
    </row>
    <row r="4878">
      <c r="B4878" s="24" t="inlineStr">
        <is>
          <t>EntEventType</t>
        </is>
      </c>
      <c r="C4878" s="24" t="inlineStr">
        <is>
          <t>企业大事记</t>
        </is>
      </c>
      <c r="D4878" s="24" t="inlineStr">
        <is>
          <t>EET04</t>
        </is>
      </c>
      <c r="E4878" s="24" t="inlineStr">
        <is>
          <t>股东信息变更</t>
        </is>
      </c>
    </row>
    <row r="4879">
      <c r="B4879" s="24" t="inlineStr">
        <is>
          <t>EntEventType</t>
        </is>
      </c>
      <c r="C4879" s="24" t="inlineStr">
        <is>
          <t>企业大事记</t>
        </is>
      </c>
      <c r="D4879" s="24" t="inlineStr">
        <is>
          <t>EET05</t>
        </is>
      </c>
      <c r="E4879" s="24" t="inlineStr">
        <is>
          <t>资产被查封，冻结</t>
        </is>
      </c>
    </row>
    <row r="4880">
      <c r="B4880" s="24" t="inlineStr">
        <is>
          <t>EntEventType</t>
        </is>
      </c>
      <c r="C4880" s="24" t="inlineStr">
        <is>
          <t>企业大事记</t>
        </is>
      </c>
      <c r="D4880" s="24" t="inlineStr">
        <is>
          <t>EET06</t>
        </is>
      </c>
      <c r="E4880" s="24" t="inlineStr">
        <is>
          <t>股权与资产重组</t>
        </is>
      </c>
    </row>
    <row r="4881">
      <c r="B4881" s="24" t="inlineStr">
        <is>
          <t>EntEventType</t>
        </is>
      </c>
      <c r="C4881" s="24" t="inlineStr">
        <is>
          <t>企业大事记</t>
        </is>
      </c>
      <c r="D4881" s="24" t="inlineStr">
        <is>
          <t>EET07</t>
        </is>
      </c>
      <c r="E4881" s="24" t="inlineStr">
        <is>
          <t>重大项目投资</t>
        </is>
      </c>
    </row>
    <row r="4882">
      <c r="B4882" s="24" t="inlineStr">
        <is>
          <t>EntEventType</t>
        </is>
      </c>
      <c r="C4882" s="24" t="inlineStr">
        <is>
          <t>企业大事记</t>
        </is>
      </c>
      <c r="D4882" s="24" t="inlineStr">
        <is>
          <t>EET08</t>
        </is>
      </c>
      <c r="E4882" s="24" t="inlineStr">
        <is>
          <t>被起诉</t>
        </is>
      </c>
    </row>
    <row r="4883">
      <c r="B4883" s="24" t="inlineStr">
        <is>
          <t>EntEventType</t>
        </is>
      </c>
      <c r="C4883" s="24" t="inlineStr">
        <is>
          <t>企业大事记</t>
        </is>
      </c>
      <c r="D4883" s="24" t="inlineStr">
        <is>
          <t>EET09</t>
        </is>
      </c>
      <c r="E4883" s="24" t="inlineStr">
        <is>
          <t>违规违法</t>
        </is>
      </c>
    </row>
    <row r="4884">
      <c r="B4884" s="24" t="inlineStr">
        <is>
          <t>EntEventType</t>
        </is>
      </c>
      <c r="C4884" s="24" t="inlineStr">
        <is>
          <t>企业大事记</t>
        </is>
      </c>
      <c r="D4884" s="24" t="inlineStr">
        <is>
          <t>EET10</t>
        </is>
      </c>
      <c r="E4884" s="24" t="inlineStr">
        <is>
          <t>逃废债</t>
        </is>
      </c>
    </row>
    <row r="4885">
      <c r="B4885" s="24" t="inlineStr">
        <is>
          <t>EntEventType</t>
        </is>
      </c>
      <c r="C4885" s="24" t="inlineStr">
        <is>
          <t>企业大事记</t>
        </is>
      </c>
      <c r="D4885" s="24" t="inlineStr">
        <is>
          <t>EET11</t>
        </is>
      </c>
      <c r="E4885" s="24" t="inlineStr">
        <is>
          <t>筹资融资大事</t>
        </is>
      </c>
    </row>
    <row r="4886">
      <c r="B4886" s="24" t="inlineStr">
        <is>
          <t>EntEventType</t>
        </is>
      </c>
      <c r="C4886" s="24" t="inlineStr">
        <is>
          <t>企业大事记</t>
        </is>
      </c>
      <c r="D4886" s="24" t="inlineStr">
        <is>
          <t>EET12</t>
        </is>
      </c>
      <c r="E4886" s="24" t="inlineStr">
        <is>
          <t>其他</t>
        </is>
      </c>
    </row>
    <row r="4887" ht="15.95" customHeight="1" s="170">
      <c r="B4887" s="122" t="inlineStr">
        <is>
          <t>码值：ProjectApply</t>
        </is>
      </c>
    </row>
    <row r="4888">
      <c r="B4888" s="24" t="inlineStr">
        <is>
          <t>ProjectApply</t>
        </is>
      </c>
      <c r="C4888" s="24" t="inlineStr">
        <is>
          <t>项目申请详情</t>
        </is>
      </c>
      <c r="D4888" s="24" t="inlineStr">
        <is>
          <t>0010</t>
        </is>
      </c>
      <c r="E4888" s="24" t="inlineStr">
        <is>
          <t>合作项目基本信息</t>
        </is>
      </c>
    </row>
    <row r="4889">
      <c r="B4889" s="24" t="inlineStr">
        <is>
          <t>ProjectApply</t>
        </is>
      </c>
      <c r="C4889" s="24" t="inlineStr">
        <is>
          <t>项目申请详情</t>
        </is>
      </c>
      <c r="D4889" s="24" t="inlineStr">
        <is>
          <t>0020</t>
        </is>
      </c>
      <c r="E4889" s="24" t="inlineStr">
        <is>
          <t>保证金信息</t>
        </is>
      </c>
    </row>
    <row r="4890">
      <c r="B4890" s="24" t="inlineStr">
        <is>
          <t>ProjectApply</t>
        </is>
      </c>
      <c r="C4890" s="24" t="inlineStr">
        <is>
          <t>项目申请详情</t>
        </is>
      </c>
      <c r="D4890" s="24" t="inlineStr">
        <is>
          <t>0030</t>
        </is>
      </c>
      <c r="E4890" s="24" t="inlineStr">
        <is>
          <t>委托信息</t>
        </is>
      </c>
    </row>
    <row r="4891">
      <c r="B4891" s="24" t="inlineStr">
        <is>
          <t>ProjectApply</t>
        </is>
      </c>
      <c r="C4891" s="24" t="inlineStr">
        <is>
          <t>项目申请详情</t>
        </is>
      </c>
      <c r="D4891" s="24" t="inlineStr">
        <is>
          <t>0040</t>
        </is>
      </c>
      <c r="E4891" s="24" t="inlineStr">
        <is>
          <t>经营权质押类合作信息</t>
        </is>
      </c>
    </row>
    <row r="4892">
      <c r="B4892" s="24" t="inlineStr">
        <is>
          <t>ProjectApply</t>
        </is>
      </c>
      <c r="C4892" s="24" t="inlineStr">
        <is>
          <t>项目申请详情</t>
        </is>
      </c>
      <c r="D4892" s="24" t="inlineStr">
        <is>
          <t>0050</t>
        </is>
      </c>
      <c r="E4892" s="24" t="inlineStr">
        <is>
          <t>资产买卖信息</t>
        </is>
      </c>
    </row>
    <row r="4893">
      <c r="B4893" s="24" t="inlineStr">
        <is>
          <t>ProjectApply</t>
        </is>
      </c>
      <c r="C4893" s="24" t="inlineStr">
        <is>
          <t>项目申请详情</t>
        </is>
      </c>
      <c r="D4893" s="24" t="inlineStr">
        <is>
          <t>0060</t>
        </is>
      </c>
      <c r="E4893" s="24" t="inlineStr">
        <is>
          <t>保险类合作信息</t>
        </is>
      </c>
    </row>
    <row r="4894">
      <c r="B4894" s="24" t="inlineStr">
        <is>
          <t>ProjectApply</t>
        </is>
      </c>
      <c r="C4894" s="24" t="inlineStr">
        <is>
          <t>项目申请详情</t>
        </is>
      </c>
      <c r="D4894" s="24" t="inlineStr">
        <is>
          <t>0070</t>
        </is>
      </c>
      <c r="E4894" s="24" t="inlineStr">
        <is>
          <t>交易对象收款账户信息</t>
        </is>
      </c>
    </row>
    <row r="4895">
      <c r="B4895" s="24" t="inlineStr">
        <is>
          <t>ProjectApply</t>
        </is>
      </c>
      <c r="C4895" s="24" t="inlineStr">
        <is>
          <t>项目申请详情</t>
        </is>
      </c>
      <c r="D4895" s="24" t="inlineStr">
        <is>
          <t>0080</t>
        </is>
      </c>
      <c r="E4895" s="24" t="inlineStr">
        <is>
          <t>检查清单</t>
        </is>
      </c>
    </row>
    <row r="4896">
      <c r="B4896" s="24" t="inlineStr">
        <is>
          <t>ProjectApply</t>
        </is>
      </c>
      <c r="C4896" s="24" t="inlineStr">
        <is>
          <t>项目申请详情</t>
        </is>
      </c>
      <c r="D4896" s="24" t="inlineStr">
        <is>
          <t>0090</t>
        </is>
      </c>
      <c r="E4896" s="24" t="inlineStr">
        <is>
          <t>配置方案产品</t>
        </is>
      </c>
    </row>
    <row r="4897">
      <c r="B4897" s="24" t="inlineStr">
        <is>
          <t>ProjectApply</t>
        </is>
      </c>
      <c r="C4897" s="24" t="inlineStr">
        <is>
          <t>项目申请详情</t>
        </is>
      </c>
      <c r="D4897" s="24" t="inlineStr">
        <is>
          <t>0100</t>
        </is>
      </c>
      <c r="E4897" s="24" t="inlineStr">
        <is>
          <t>担保额度信息</t>
        </is>
      </c>
    </row>
    <row r="4898">
      <c r="B4898" s="24" t="inlineStr">
        <is>
          <t>ProjectApply</t>
        </is>
      </c>
      <c r="C4898" s="24" t="inlineStr">
        <is>
          <t>项目申请详情</t>
        </is>
      </c>
      <c r="D4898" s="24" t="inlineStr">
        <is>
          <t>0110</t>
        </is>
      </c>
      <c r="E4898" s="24" t="inlineStr">
        <is>
          <t>项目额度信息</t>
        </is>
      </c>
    </row>
    <row r="4899">
      <c r="B4899" s="24" t="inlineStr">
        <is>
          <t>ProjectApply</t>
        </is>
      </c>
      <c r="C4899" s="24" t="inlineStr">
        <is>
          <t>项目申请详情</t>
        </is>
      </c>
      <c r="D4899" s="24" t="inlineStr">
        <is>
          <t>0120</t>
        </is>
      </c>
      <c r="E4899" s="24" t="inlineStr">
        <is>
          <t>附属信息</t>
        </is>
      </c>
    </row>
    <row r="4900">
      <c r="B4900" s="24" t="inlineStr">
        <is>
          <t>ProjectApply</t>
        </is>
      </c>
      <c r="C4900" s="24" t="inlineStr">
        <is>
          <t>项目申请详情</t>
        </is>
      </c>
      <c r="D4900" s="24" t="inlineStr">
        <is>
          <t>012010</t>
        </is>
      </c>
      <c r="E4900" s="24" t="inlineStr">
        <is>
          <t>设备信息</t>
        </is>
      </c>
    </row>
    <row r="4901">
      <c r="B4901" s="24" t="inlineStr">
        <is>
          <t>ProjectApply</t>
        </is>
      </c>
      <c r="C4901" s="24" t="inlineStr">
        <is>
          <t>项目申请详情</t>
        </is>
      </c>
      <c r="D4901" s="24" t="inlineStr">
        <is>
          <t>012020</t>
        </is>
      </c>
      <c r="E4901" s="24" t="inlineStr">
        <is>
          <t>车辆信息</t>
        </is>
      </c>
    </row>
    <row r="4902">
      <c r="B4902" s="24" t="inlineStr">
        <is>
          <t>ProjectApply</t>
        </is>
      </c>
      <c r="C4902" s="24" t="inlineStr">
        <is>
          <t>项目申请详情</t>
        </is>
      </c>
      <c r="D4902" s="24" t="inlineStr">
        <is>
          <t>012030</t>
        </is>
      </c>
      <c r="E4902" s="24" t="inlineStr">
        <is>
          <t>船只信息</t>
        </is>
      </c>
    </row>
    <row r="4903">
      <c r="B4903" s="24" t="inlineStr">
        <is>
          <t>ProjectApply</t>
        </is>
      </c>
      <c r="C4903" s="24" t="inlineStr">
        <is>
          <t>项目申请详情</t>
        </is>
      </c>
      <c r="D4903" s="24" t="inlineStr">
        <is>
          <t>012040</t>
        </is>
      </c>
      <c r="E4903" s="24" t="inlineStr">
        <is>
          <t>楼盘信息</t>
        </is>
      </c>
    </row>
    <row r="4904" ht="15.95" customHeight="1" s="170">
      <c r="B4904" s="122" t="inlineStr">
        <is>
          <t>码值：GuarantyStatus</t>
        </is>
      </c>
    </row>
    <row r="4905">
      <c r="B4905" s="24" t="inlineStr">
        <is>
          <t>GuarantyStatus</t>
        </is>
      </c>
      <c r="C4905" s="24" t="inlineStr">
        <is>
          <t>抵质押物有效标志</t>
        </is>
      </c>
      <c r="D4905" s="24" t="inlineStr">
        <is>
          <t>01</t>
        </is>
      </c>
      <c r="E4905" s="24" t="inlineStr">
        <is>
          <t>未入库</t>
        </is>
      </c>
    </row>
    <row r="4906">
      <c r="B4906" s="24" t="inlineStr">
        <is>
          <t>GuarantyStatus</t>
        </is>
      </c>
      <c r="C4906" s="24" t="inlineStr">
        <is>
          <t>抵质押物有效标志</t>
        </is>
      </c>
      <c r="D4906" s="24" t="inlineStr">
        <is>
          <t>010</t>
        </is>
      </c>
      <c r="E4906" s="24" t="inlineStr">
        <is>
          <t>未签合同</t>
        </is>
      </c>
    </row>
    <row r="4907">
      <c r="B4907" s="24" t="inlineStr">
        <is>
          <t>GuarantyStatus</t>
        </is>
      </c>
      <c r="C4907" s="24" t="inlineStr">
        <is>
          <t>抵质押物有效标志</t>
        </is>
      </c>
      <c r="D4907" s="24" t="inlineStr">
        <is>
          <t>02</t>
        </is>
      </c>
      <c r="E4907" s="24" t="inlineStr">
        <is>
          <t>入库</t>
        </is>
      </c>
    </row>
    <row r="4908">
      <c r="B4908" s="24" t="inlineStr">
        <is>
          <t>GuarantyStatus</t>
        </is>
      </c>
      <c r="C4908" s="24" t="inlineStr">
        <is>
          <t>抵质押物有效标志</t>
        </is>
      </c>
      <c r="D4908" s="24" t="inlineStr">
        <is>
          <t>020</t>
        </is>
      </c>
      <c r="E4908" s="24" t="inlineStr">
        <is>
          <t>已签合同</t>
        </is>
      </c>
    </row>
    <row r="4909">
      <c r="B4909" s="24" t="inlineStr">
        <is>
          <t>GuarantyStatus</t>
        </is>
      </c>
      <c r="C4909" s="24" t="inlineStr">
        <is>
          <t>抵质押物有效标志</t>
        </is>
      </c>
      <c r="D4909" s="24" t="inlineStr">
        <is>
          <t>03</t>
        </is>
      </c>
      <c r="E4909" s="24" t="inlineStr">
        <is>
          <t>临时出库</t>
        </is>
      </c>
    </row>
    <row r="4910">
      <c r="B4910" s="24" t="inlineStr">
        <is>
          <t>GuarantyStatus</t>
        </is>
      </c>
      <c r="C4910" s="24" t="inlineStr">
        <is>
          <t>抵质押物有效标志</t>
        </is>
      </c>
      <c r="D4910" s="24" t="inlineStr">
        <is>
          <t>030</t>
        </is>
      </c>
      <c r="E4910" s="24" t="inlineStr">
        <is>
          <t>已失效</t>
        </is>
      </c>
    </row>
    <row r="4911">
      <c r="B4911" s="24" t="inlineStr">
        <is>
          <t>GuarantyStatus</t>
        </is>
      </c>
      <c r="C4911" s="24" t="inlineStr">
        <is>
          <t>抵质押物有效标志</t>
        </is>
      </c>
      <c r="D4911" s="24" t="inlineStr">
        <is>
          <t>04</t>
        </is>
      </c>
      <c r="E4911" s="24" t="inlineStr">
        <is>
          <t>出库</t>
        </is>
      </c>
    </row>
    <row r="4912" ht="15.95" customHeight="1" s="170">
      <c r="B4912" s="122" t="inlineStr">
        <is>
          <t>码值：BusinessSource</t>
        </is>
      </c>
    </row>
    <row r="4913">
      <c r="B4913" s="24" t="inlineStr">
        <is>
          <t>BusinessSource</t>
        </is>
      </c>
      <c r="C4913" s="24" t="inlineStr">
        <is>
          <t>业务渠道</t>
        </is>
      </c>
      <c r="D4913" s="24" t="inlineStr">
        <is>
          <t>01</t>
        </is>
      </c>
      <c r="E4913" s="24" t="inlineStr">
        <is>
          <t>信贷系统</t>
        </is>
      </c>
    </row>
    <row r="4914">
      <c r="B4914" s="24" t="inlineStr">
        <is>
          <t>BusinessSource</t>
        </is>
      </c>
      <c r="C4914" s="24" t="inlineStr">
        <is>
          <t>业务渠道</t>
        </is>
      </c>
      <c r="D4914" s="24" t="inlineStr">
        <is>
          <t>0101</t>
        </is>
      </c>
      <c r="E4914" s="24" t="inlineStr">
        <is>
          <t>信贷系统</t>
        </is>
      </c>
    </row>
    <row r="4915">
      <c r="B4915" s="24" t="inlineStr">
        <is>
          <t>BusinessSource</t>
        </is>
      </c>
      <c r="C4915" s="24" t="inlineStr">
        <is>
          <t>业务渠道</t>
        </is>
      </c>
      <c r="D4915" s="24" t="inlineStr">
        <is>
          <t>02</t>
        </is>
      </c>
      <c r="E4915" s="24" t="inlineStr">
        <is>
          <t>网上用户</t>
        </is>
      </c>
    </row>
    <row r="4916" ht="15.95" customHeight="1" s="170">
      <c r="B4916" s="122" t="inlineStr">
        <is>
          <t>码值：在他行的信用记录</t>
        </is>
      </c>
    </row>
    <row r="4917">
      <c r="B4917" s="24" t="inlineStr">
        <is>
          <t>在他行的信用记录</t>
        </is>
      </c>
      <c r="C4917" s="24" t="inlineStr">
        <is>
          <t>在他行的信用记录</t>
        </is>
      </c>
      <c r="D4917" s="24" t="inlineStr">
        <is>
          <t>1</t>
        </is>
      </c>
      <c r="E4917" s="24" t="inlineStr">
        <is>
          <t>无记录</t>
        </is>
      </c>
    </row>
    <row r="4918">
      <c r="B4918" s="24" t="inlineStr">
        <is>
          <t>在他行的信用记录</t>
        </is>
      </c>
      <c r="C4918" s="24" t="inlineStr">
        <is>
          <t>在他行的信用记录</t>
        </is>
      </c>
      <c r="D4918" s="24" t="inlineStr">
        <is>
          <t>2</t>
        </is>
      </c>
      <c r="E4918" s="24" t="inlineStr">
        <is>
          <t>无失信</t>
        </is>
      </c>
    </row>
    <row r="4919">
      <c r="B4919" s="24" t="inlineStr">
        <is>
          <t>在他行的信用记录</t>
        </is>
      </c>
      <c r="C4919" s="24" t="inlineStr">
        <is>
          <t>在他行的信用记录</t>
        </is>
      </c>
      <c r="D4919" s="24" t="inlineStr">
        <is>
          <t>3</t>
        </is>
      </c>
      <c r="E4919" s="24" t="inlineStr">
        <is>
          <t>有失信记录</t>
        </is>
      </c>
    </row>
    <row r="4920" ht="15.95" customHeight="1" s="170">
      <c r="B4920" s="122" t="inlineStr">
        <is>
          <t>码值：是否</t>
        </is>
      </c>
    </row>
    <row r="4921">
      <c r="B4921" s="24" t="inlineStr">
        <is>
          <t>是否</t>
        </is>
      </c>
      <c r="C4921" s="24" t="inlineStr">
        <is>
          <t>是否</t>
        </is>
      </c>
      <c r="D4921" s="24" t="inlineStr">
        <is>
          <t>1</t>
        </is>
      </c>
      <c r="E4921" s="24" t="inlineStr">
        <is>
          <t>是</t>
        </is>
      </c>
    </row>
    <row r="4922">
      <c r="B4922" s="24" t="inlineStr">
        <is>
          <t>是否</t>
        </is>
      </c>
      <c r="C4922" s="24" t="inlineStr">
        <is>
          <t>是否</t>
        </is>
      </c>
      <c r="D4922" s="24" t="inlineStr">
        <is>
          <t>2</t>
        </is>
      </c>
      <c r="E4922" s="24" t="inlineStr">
        <is>
          <t>否</t>
        </is>
      </c>
    </row>
    <row r="4923" ht="15.95" customHeight="1" s="170">
      <c r="B4923" s="122" t="inlineStr">
        <is>
          <t>码值：ReportStatus</t>
        </is>
      </c>
    </row>
    <row r="4924">
      <c r="B4924" s="24" t="inlineStr">
        <is>
          <t>ReportStatus</t>
        </is>
      </c>
      <c r="C4924" s="24" t="inlineStr">
        <is>
          <t>报表状态</t>
        </is>
      </c>
      <c r="D4924" s="24" t="inlineStr">
        <is>
          <t>Finished</t>
        </is>
      </c>
      <c r="E4924" s="24" t="inlineStr">
        <is>
          <t>完成</t>
        </is>
      </c>
    </row>
    <row r="4925">
      <c r="B4925" s="24" t="inlineStr">
        <is>
          <t>ReportStatus</t>
        </is>
      </c>
      <c r="C4925" s="24" t="inlineStr">
        <is>
          <t>报表状态</t>
        </is>
      </c>
      <c r="D4925" s="24" t="inlineStr">
        <is>
          <t>Locked</t>
        </is>
      </c>
      <c r="E4925" s="24" t="inlineStr">
        <is>
          <t>锁定</t>
        </is>
      </c>
    </row>
    <row r="4926">
      <c r="B4926" s="24" t="inlineStr">
        <is>
          <t>ReportStatus</t>
        </is>
      </c>
      <c r="C4926" s="24" t="inlineStr">
        <is>
          <t>报表状态</t>
        </is>
      </c>
      <c r="D4926" s="24" t="inlineStr">
        <is>
          <t>Open</t>
        </is>
      </c>
      <c r="E4926" s="24" t="inlineStr">
        <is>
          <t>录入</t>
        </is>
      </c>
    </row>
    <row r="4927" ht="15.95" customHeight="1" s="170">
      <c r="B4927" s="122" t="inlineStr">
        <is>
          <t>码值：ViewTabBC</t>
        </is>
      </c>
    </row>
    <row r="4928">
      <c r="B4928" s="24" t="inlineStr">
        <is>
          <t>ViewTabBC</t>
        </is>
      </c>
      <c r="C4928" s="24" t="inlineStr">
        <is>
          <t>合同阶段任务tab</t>
        </is>
      </c>
      <c r="D4928" s="24" t="inlineStr">
        <is>
          <t>inputContractInfo</t>
        </is>
      </c>
      <c r="E4928" s="24" t="inlineStr">
        <is>
          <t>登记合同信息</t>
        </is>
      </c>
    </row>
    <row r="4929">
      <c r="B4929" s="24" t="inlineStr">
        <is>
          <t>ViewTabBC</t>
        </is>
      </c>
      <c r="C4929" s="24" t="inlineStr">
        <is>
          <t>合同阶段任务tab</t>
        </is>
      </c>
      <c r="D4929" s="24" t="inlineStr">
        <is>
          <t>scanImage</t>
        </is>
      </c>
      <c r="E4929" s="24" t="inlineStr">
        <is>
          <t>扫描合同资料</t>
        </is>
      </c>
    </row>
    <row r="4930">
      <c r="B4930" s="24" t="inlineStr">
        <is>
          <t>ViewTabBC</t>
        </is>
      </c>
      <c r="C4930" s="24" t="inlineStr">
        <is>
          <t>合同阶段任务tab</t>
        </is>
      </c>
      <c r="D4930" s="24" t="inlineStr">
        <is>
          <t>viewApplyDetail</t>
        </is>
      </c>
      <c r="E4930" s="24" t="inlineStr">
        <is>
          <t>查看申请信息</t>
        </is>
      </c>
    </row>
    <row r="4931">
      <c r="B4931" s="24" t="inlineStr">
        <is>
          <t>ViewTabBC</t>
        </is>
      </c>
      <c r="C4931" s="24" t="inlineStr">
        <is>
          <t>合同阶段任务tab</t>
        </is>
      </c>
      <c r="D4931" s="24" t="inlineStr">
        <is>
          <t>viewApplyDetail2</t>
        </is>
      </c>
      <c r="E4931" s="24" t="inlineStr">
        <is>
          <t>查看附属申请信息</t>
        </is>
      </c>
    </row>
    <row r="4932">
      <c r="B4932" s="24" t="inlineStr">
        <is>
          <t>ViewTabBC</t>
        </is>
      </c>
      <c r="C4932" s="24" t="inlineStr">
        <is>
          <t>合同阶段任务tab</t>
        </is>
      </c>
      <c r="D4932" s="24" t="inlineStr">
        <is>
          <t>viewCustomerDetail</t>
        </is>
      </c>
      <c r="E4932" s="24" t="inlineStr">
        <is>
          <t>查看客户信息</t>
        </is>
      </c>
    </row>
    <row r="4933">
      <c r="B4933" s="24" t="inlineStr">
        <is>
          <t>ViewTabBC</t>
        </is>
      </c>
      <c r="C4933" s="24" t="inlineStr">
        <is>
          <t>合同阶段任务tab</t>
        </is>
      </c>
      <c r="D4933" s="24" t="inlineStr">
        <is>
          <t>viewGroupDetail</t>
        </is>
      </c>
      <c r="E4933" s="24" t="inlineStr">
        <is>
          <t>查看客户所在集团详情</t>
        </is>
      </c>
    </row>
    <row r="4934">
      <c r="B4934" s="24" t="inlineStr">
        <is>
          <t>ViewTabBC</t>
        </is>
      </c>
      <c r="C4934" s="24" t="inlineStr">
        <is>
          <t>合同阶段任务tab</t>
        </is>
      </c>
      <c r="D4934" s="24" t="inlineStr">
        <is>
          <t>viewImage</t>
        </is>
      </c>
      <c r="E4934" s="24" t="inlineStr">
        <is>
          <t>查看扫描资料</t>
        </is>
      </c>
    </row>
    <row r="4935" ht="15.95" customHeight="1" s="170">
      <c r="B4935" s="122" t="inlineStr">
        <is>
          <t>码值：EffectStatus</t>
        </is>
      </c>
    </row>
    <row r="4936">
      <c r="B4936" s="24" t="inlineStr">
        <is>
          <t>EffectStatus</t>
        </is>
      </c>
      <c r="C4936" s="24" t="inlineStr">
        <is>
          <t>合作方客户生效状态</t>
        </is>
      </c>
      <c r="D4936" s="24" t="inlineStr">
        <is>
          <t>0</t>
        </is>
      </c>
      <c r="E4936" s="24" t="inlineStr">
        <is>
          <t>待生效</t>
        </is>
      </c>
    </row>
    <row r="4937">
      <c r="B4937" s="24" t="inlineStr">
        <is>
          <t>EffectStatus</t>
        </is>
      </c>
      <c r="C4937" s="24" t="inlineStr">
        <is>
          <t>合作方客户生效状态</t>
        </is>
      </c>
      <c r="D4937" s="24" t="inlineStr">
        <is>
          <t>1</t>
        </is>
      </c>
      <c r="E4937" s="24" t="inlineStr">
        <is>
          <t>生效</t>
        </is>
      </c>
    </row>
    <row r="4938">
      <c r="B4938" s="24" t="inlineStr">
        <is>
          <t>EffectStatus</t>
        </is>
      </c>
      <c r="C4938" s="24" t="inlineStr">
        <is>
          <t>合作方客户生效状态</t>
        </is>
      </c>
      <c r="D4938" s="24" t="inlineStr">
        <is>
          <t>2</t>
        </is>
      </c>
      <c r="E4938" s="24" t="inlineStr">
        <is>
          <t>已失效</t>
        </is>
      </c>
    </row>
    <row r="4939" ht="15.95" customHeight="1" s="170">
      <c r="B4939" s="122" t="inlineStr">
        <is>
          <t>码值：EntTreeView</t>
        </is>
      </c>
    </row>
    <row r="4940">
      <c r="B4940" s="24" t="inlineStr">
        <is>
          <t>EntTreeView</t>
        </is>
      </c>
      <c r="C4940" s="24" t="inlineStr">
        <is>
          <t>公司客户详情视图</t>
        </is>
      </c>
      <c r="D4940" s="24" t="inlineStr">
        <is>
          <t>010</t>
        </is>
      </c>
      <c r="E4940" s="24" t="inlineStr">
        <is>
          <t>客户基本信息</t>
        </is>
      </c>
    </row>
    <row r="4941">
      <c r="B4941" s="24" t="inlineStr">
        <is>
          <t>EntTreeView</t>
        </is>
      </c>
      <c r="C4941" s="24" t="inlineStr">
        <is>
          <t>公司客户详情视图</t>
        </is>
      </c>
      <c r="D4941" s="24" t="inlineStr">
        <is>
          <t>010010</t>
        </is>
      </c>
      <c r="E4941" s="24" t="inlineStr">
        <is>
          <t>企业概况</t>
        </is>
      </c>
    </row>
    <row r="4942">
      <c r="B4942" s="24" t="inlineStr">
        <is>
          <t>EntTreeView</t>
        </is>
      </c>
      <c r="C4942" s="24" t="inlineStr">
        <is>
          <t>公司客户详情视图</t>
        </is>
      </c>
      <c r="D4942" s="24" t="inlineStr">
        <is>
          <t>010020</t>
        </is>
      </c>
      <c r="E4942" s="24" t="inlineStr">
        <is>
          <t>高管信息</t>
        </is>
      </c>
    </row>
    <row r="4943">
      <c r="B4943" s="24" t="inlineStr">
        <is>
          <t>EntTreeView</t>
        </is>
      </c>
      <c r="C4943" s="24" t="inlineStr">
        <is>
          <t>公司客户详情视图</t>
        </is>
      </c>
      <c r="D4943" s="24" t="inlineStr">
        <is>
          <t>010030</t>
        </is>
      </c>
      <c r="E4943" s="24" t="inlineStr">
        <is>
          <t>股东信息</t>
        </is>
      </c>
    </row>
    <row r="4944">
      <c r="B4944" s="24" t="inlineStr">
        <is>
          <t>EntTreeView</t>
        </is>
      </c>
      <c r="C4944" s="24" t="inlineStr">
        <is>
          <t>公司客户详情视图</t>
        </is>
      </c>
      <c r="D4944" s="24" t="inlineStr">
        <is>
          <t>010040</t>
        </is>
      </c>
      <c r="E4944" s="24" t="inlineStr">
        <is>
          <t>对外股权投资信息</t>
        </is>
      </c>
    </row>
    <row r="4945">
      <c r="B4945" s="24" t="inlineStr">
        <is>
          <t>EntTreeView</t>
        </is>
      </c>
      <c r="C4945" s="24" t="inlineStr">
        <is>
          <t>公司客户详情视图</t>
        </is>
      </c>
      <c r="D4945" s="24" t="inlineStr">
        <is>
          <t>010050</t>
        </is>
      </c>
      <c r="E4945" s="24" t="inlineStr">
        <is>
          <t>股票发行信息</t>
        </is>
      </c>
    </row>
    <row r="4946">
      <c r="B4946" s="24" t="inlineStr">
        <is>
          <t>EntTreeView</t>
        </is>
      </c>
      <c r="C4946" s="24" t="inlineStr">
        <is>
          <t>公司客户详情视图</t>
        </is>
      </c>
      <c r="D4946" s="24" t="inlineStr">
        <is>
          <t>010060</t>
        </is>
      </c>
      <c r="E4946" s="24" t="inlineStr">
        <is>
          <t>债券发行信息</t>
        </is>
      </c>
    </row>
    <row r="4947">
      <c r="B4947" s="24" t="inlineStr">
        <is>
          <t>EntTreeView</t>
        </is>
      </c>
      <c r="C4947" s="24" t="inlineStr">
        <is>
          <t>公司客户详情视图</t>
        </is>
      </c>
      <c r="D4947" s="24" t="inlineStr">
        <is>
          <t>010070</t>
        </is>
      </c>
      <c r="E4947" s="24" t="inlineStr">
        <is>
          <t>资产信息</t>
        </is>
      </c>
    </row>
    <row r="4948">
      <c r="B4948" s="24" t="inlineStr">
        <is>
          <t>EntTreeView</t>
        </is>
      </c>
      <c r="C4948" s="24" t="inlineStr">
        <is>
          <t>公司客户详情视图</t>
        </is>
      </c>
      <c r="D4948" s="24" t="inlineStr">
        <is>
          <t>010080</t>
        </is>
      </c>
      <c r="E4948" s="24" t="inlineStr">
        <is>
          <t>涉诉信息</t>
        </is>
      </c>
    </row>
    <row r="4949">
      <c r="B4949" s="24" t="inlineStr">
        <is>
          <t>EntTreeView</t>
        </is>
      </c>
      <c r="C4949" s="24" t="inlineStr">
        <is>
          <t>公司客户详情视图</t>
        </is>
      </c>
      <c r="D4949" s="24" t="inlineStr">
        <is>
          <t>010090</t>
        </is>
      </c>
      <c r="E4949" s="24" t="inlineStr">
        <is>
          <t>大事记信息</t>
        </is>
      </c>
    </row>
    <row r="4950">
      <c r="B4950" s="24" t="inlineStr">
        <is>
          <t>EntTreeView</t>
        </is>
      </c>
      <c r="C4950" s="24" t="inlineStr">
        <is>
          <t>公司客户详情视图</t>
        </is>
      </c>
      <c r="D4950" s="24" t="inlineStr">
        <is>
          <t>010100</t>
        </is>
      </c>
      <c r="E4950" s="24" t="inlineStr">
        <is>
          <t>上下游关联方信息</t>
        </is>
      </c>
    </row>
    <row r="4951">
      <c r="B4951" s="24" t="inlineStr">
        <is>
          <t>EntTreeView</t>
        </is>
      </c>
      <c r="C4951" s="24" t="inlineStr">
        <is>
          <t>公司客户详情视图</t>
        </is>
      </c>
      <c r="D4951" s="24" t="inlineStr">
        <is>
          <t>010110</t>
        </is>
      </c>
      <c r="E4951" s="24" t="inlineStr">
        <is>
          <t>客户关联关系图谱</t>
        </is>
      </c>
    </row>
    <row r="4952">
      <c r="B4952" s="24" t="inlineStr">
        <is>
          <t>EntTreeView</t>
        </is>
      </c>
      <c r="C4952" s="24" t="inlineStr">
        <is>
          <t>公司客户详情视图</t>
        </is>
      </c>
      <c r="D4952" s="24" t="inlineStr">
        <is>
          <t>010120</t>
        </is>
      </c>
      <c r="E4952" s="24" t="inlineStr">
        <is>
          <t>客户担保关联图谱</t>
        </is>
      </c>
    </row>
    <row r="4953">
      <c r="B4953" s="24" t="inlineStr">
        <is>
          <t>EntTreeView</t>
        </is>
      </c>
      <c r="C4953" s="24" t="inlineStr">
        <is>
          <t>公司客户详情视图</t>
        </is>
      </c>
      <c r="D4953" s="24" t="inlineStr">
        <is>
          <t>020</t>
        </is>
      </c>
      <c r="E4953" s="24" t="inlineStr">
        <is>
          <t>客户财务信息</t>
        </is>
      </c>
    </row>
    <row r="4954">
      <c r="B4954" s="24" t="inlineStr">
        <is>
          <t>EntTreeView</t>
        </is>
      </c>
      <c r="C4954" s="24" t="inlineStr">
        <is>
          <t>公司客户详情视图</t>
        </is>
      </c>
      <c r="D4954" s="24" t="inlineStr">
        <is>
          <t>020010</t>
        </is>
      </c>
      <c r="E4954" s="24" t="inlineStr">
        <is>
          <t>财务报表录入</t>
        </is>
      </c>
    </row>
    <row r="4955">
      <c r="B4955" s="24" t="inlineStr">
        <is>
          <t>EntTreeView</t>
        </is>
      </c>
      <c r="C4955" s="24" t="inlineStr">
        <is>
          <t>公司客户详情视图</t>
        </is>
      </c>
      <c r="D4955" s="24" t="inlineStr">
        <is>
          <t>020020</t>
        </is>
      </c>
      <c r="E4955" s="24" t="inlineStr">
        <is>
          <t>财务报表变更</t>
        </is>
      </c>
    </row>
    <row r="4956">
      <c r="B4956" s="24" t="inlineStr">
        <is>
          <t>EntTreeView</t>
        </is>
      </c>
      <c r="C4956" s="24" t="inlineStr">
        <is>
          <t>公司客户详情视图</t>
        </is>
      </c>
      <c r="D4956" s="24" t="inlineStr">
        <is>
          <t>020030</t>
        </is>
      </c>
      <c r="E4956" s="24" t="inlineStr">
        <is>
          <t>财务分析</t>
        </is>
      </c>
    </row>
    <row r="4957">
      <c r="B4957" s="24" t="inlineStr">
        <is>
          <t>EntTreeView</t>
        </is>
      </c>
      <c r="C4957" s="24" t="inlineStr">
        <is>
          <t>公司客户详情视图</t>
        </is>
      </c>
      <c r="D4957" s="24" t="inlineStr">
        <is>
          <t>020030010</t>
        </is>
      </c>
      <c r="E4957" s="24" t="inlineStr">
        <is>
          <t>趋势分析</t>
        </is>
      </c>
    </row>
    <row r="4958">
      <c r="B4958" s="24" t="inlineStr">
        <is>
          <t>EntTreeView</t>
        </is>
      </c>
      <c r="C4958" s="24" t="inlineStr">
        <is>
          <t>公司客户详情视图</t>
        </is>
      </c>
      <c r="D4958" s="24" t="inlineStr">
        <is>
          <t>020030020</t>
        </is>
      </c>
      <c r="E4958" s="24" t="inlineStr">
        <is>
          <t>结构分析</t>
        </is>
      </c>
    </row>
    <row r="4959">
      <c r="B4959" s="24" t="inlineStr">
        <is>
          <t>EntTreeView</t>
        </is>
      </c>
      <c r="C4959" s="24" t="inlineStr">
        <is>
          <t>公司客户详情视图</t>
        </is>
      </c>
      <c r="D4959" s="24" t="inlineStr">
        <is>
          <t>020030030</t>
        </is>
      </c>
      <c r="E4959" s="24" t="inlineStr">
        <is>
          <t>杜邦分析</t>
        </is>
      </c>
    </row>
    <row r="4960">
      <c r="B4960" s="24" t="inlineStr">
        <is>
          <t>EntTreeView</t>
        </is>
      </c>
      <c r="C4960" s="24" t="inlineStr">
        <is>
          <t>公司客户详情视图</t>
        </is>
      </c>
      <c r="D4960" s="24" t="inlineStr">
        <is>
          <t>020040</t>
        </is>
      </c>
      <c r="E4960" s="24" t="inlineStr">
        <is>
          <t>财务预警</t>
        </is>
      </c>
    </row>
    <row r="4961">
      <c r="B4961" s="24" t="inlineStr">
        <is>
          <t>EntTreeView</t>
        </is>
      </c>
      <c r="C4961" s="24" t="inlineStr">
        <is>
          <t>公司客户详情视图</t>
        </is>
      </c>
      <c r="D4961" s="24" t="inlineStr">
        <is>
          <t>020040010</t>
        </is>
      </c>
      <c r="E4961" s="24" t="inlineStr">
        <is>
          <t>财务检测</t>
        </is>
      </c>
    </row>
    <row r="4962">
      <c r="B4962" s="24" t="inlineStr">
        <is>
          <t>EntTreeView</t>
        </is>
      </c>
      <c r="C4962" s="24" t="inlineStr">
        <is>
          <t>公司客户详情视图</t>
        </is>
      </c>
      <c r="D4962" s="24" t="inlineStr">
        <is>
          <t>020040020</t>
        </is>
      </c>
      <c r="E4962" s="24" t="inlineStr">
        <is>
          <t>财务反欺诈识别</t>
        </is>
      </c>
    </row>
    <row r="4963">
      <c r="B4963" s="24" t="inlineStr">
        <is>
          <t>EntTreeView</t>
        </is>
      </c>
      <c r="C4963" s="24" t="inlineStr">
        <is>
          <t>公司客户详情视图</t>
        </is>
      </c>
      <c r="D4963" s="24" t="inlineStr">
        <is>
          <t>030</t>
        </is>
      </c>
      <c r="E4963" s="24" t="inlineStr">
        <is>
          <t>客户资质与认证信息</t>
        </is>
      </c>
    </row>
    <row r="4964">
      <c r="B4964" s="24" t="inlineStr">
        <is>
          <t>EntTreeView</t>
        </is>
      </c>
      <c r="C4964" s="24" t="inlineStr">
        <is>
          <t>公司客户详情视图</t>
        </is>
      </c>
      <c r="D4964" s="24" t="inlineStr">
        <is>
          <t>030010</t>
        </is>
      </c>
      <c r="E4964" s="24" t="inlineStr">
        <is>
          <t>房地产资质信息</t>
        </is>
      </c>
    </row>
    <row r="4965">
      <c r="B4965" s="24" t="inlineStr">
        <is>
          <t>EntTreeView</t>
        </is>
      </c>
      <c r="C4965" s="24" t="inlineStr">
        <is>
          <t>公司客户详情视图</t>
        </is>
      </c>
      <c r="D4965" s="24" t="inlineStr">
        <is>
          <t>030020</t>
        </is>
      </c>
      <c r="E4965" s="24" t="inlineStr">
        <is>
          <t>进出口贸易信息</t>
        </is>
      </c>
    </row>
    <row r="4966">
      <c r="B4966" s="24" t="inlineStr">
        <is>
          <t>EntTreeView</t>
        </is>
      </c>
      <c r="C4966" s="24" t="inlineStr">
        <is>
          <t>公司客户详情视图</t>
        </is>
      </c>
      <c r="D4966" s="24" t="inlineStr">
        <is>
          <t>030030</t>
        </is>
      </c>
      <c r="E4966" s="24" t="inlineStr">
        <is>
          <t>特许经营行业信息</t>
        </is>
      </c>
    </row>
    <row r="4967">
      <c r="B4967" s="24" t="inlineStr">
        <is>
          <t>EntTreeView</t>
        </is>
      </c>
      <c r="C4967" s="24" t="inlineStr">
        <is>
          <t>公司客户详情视图</t>
        </is>
      </c>
      <c r="D4967" s="24" t="inlineStr">
        <is>
          <t>030040</t>
        </is>
      </c>
      <c r="E4967" s="24" t="inlineStr">
        <is>
          <t>相关认证信息</t>
        </is>
      </c>
    </row>
    <row r="4968">
      <c r="B4968" s="24" t="inlineStr">
        <is>
          <t>EntTreeView</t>
        </is>
      </c>
      <c r="C4968" s="24" t="inlineStr">
        <is>
          <t>公司客户详情视图</t>
        </is>
      </c>
      <c r="D4968" s="24" t="inlineStr">
        <is>
          <t>040</t>
        </is>
      </c>
      <c r="E4968" s="24" t="inlineStr">
        <is>
          <t>客户参与项目信息</t>
        </is>
      </c>
    </row>
    <row r="4969">
      <c r="B4969" s="24" t="inlineStr">
        <is>
          <t>EntTreeView</t>
        </is>
      </c>
      <c r="C4969" s="24" t="inlineStr">
        <is>
          <t>公司客户详情视图</t>
        </is>
      </c>
      <c r="D4969" s="24" t="inlineStr">
        <is>
          <t>040010</t>
        </is>
      </c>
      <c r="E4969" s="24" t="inlineStr">
        <is>
          <t>参与项目信息</t>
        </is>
      </c>
    </row>
    <row r="4970">
      <c r="B4970" s="24" t="inlineStr">
        <is>
          <t>EntTreeView</t>
        </is>
      </c>
      <c r="C4970" s="24" t="inlineStr">
        <is>
          <t>公司客户详情视图</t>
        </is>
      </c>
      <c r="D4970" s="24" t="inlineStr">
        <is>
          <t>050</t>
        </is>
      </c>
      <c r="E4970" s="24" t="inlineStr">
        <is>
          <t>客户影像资料</t>
        </is>
      </c>
    </row>
    <row r="4971">
      <c r="B4971" s="24" t="inlineStr">
        <is>
          <t>EntTreeView</t>
        </is>
      </c>
      <c r="C4971" s="24" t="inlineStr">
        <is>
          <t>公司客户详情视图</t>
        </is>
      </c>
      <c r="D4971" s="24" t="inlineStr">
        <is>
          <t>050010</t>
        </is>
      </c>
      <c r="E4971" s="24" t="inlineStr">
        <is>
          <t>客户提供相关资料</t>
        </is>
      </c>
    </row>
    <row r="4972">
      <c r="B4972" s="24" t="inlineStr">
        <is>
          <t>EntTreeView</t>
        </is>
      </c>
      <c r="C4972" s="24" t="inlineStr">
        <is>
          <t>公司客户详情视图</t>
        </is>
      </c>
      <c r="D4972" s="24" t="inlineStr">
        <is>
          <t>060</t>
        </is>
      </c>
      <c r="E4972" s="24" t="inlineStr">
        <is>
          <t>客户评价信息</t>
        </is>
      </c>
    </row>
    <row r="4973">
      <c r="B4973" s="24" t="inlineStr">
        <is>
          <t>EntTreeView</t>
        </is>
      </c>
      <c r="C4973" s="24" t="inlineStr">
        <is>
          <t>公司客户详情视图</t>
        </is>
      </c>
      <c r="D4973" s="24" t="inlineStr">
        <is>
          <t>060010</t>
        </is>
      </c>
      <c r="E4973" s="24" t="inlineStr">
        <is>
          <t>客户情况分析</t>
        </is>
      </c>
    </row>
    <row r="4974">
      <c r="B4974" s="24" t="inlineStr">
        <is>
          <t>EntTreeView</t>
        </is>
      </c>
      <c r="C4974" s="24" t="inlineStr">
        <is>
          <t>公司客户详情视图</t>
        </is>
      </c>
      <c r="D4974" s="24" t="inlineStr">
        <is>
          <t>060030</t>
        </is>
      </c>
      <c r="E4974" s="24" t="inlineStr">
        <is>
          <t>客户走访记录</t>
        </is>
      </c>
    </row>
    <row r="4975">
      <c r="B4975" s="24" t="inlineStr">
        <is>
          <t>EntTreeView</t>
        </is>
      </c>
      <c r="C4975" s="24" t="inlineStr">
        <is>
          <t>公司客户详情视图</t>
        </is>
      </c>
      <c r="D4975" s="24" t="inlineStr">
        <is>
          <t>060040</t>
        </is>
      </c>
      <c r="E4975" s="24" t="inlineStr">
        <is>
          <t>客户调查记录</t>
        </is>
      </c>
    </row>
    <row r="4976">
      <c r="B4976" s="24" t="inlineStr">
        <is>
          <t>EntTreeView</t>
        </is>
      </c>
      <c r="C4976" s="24" t="inlineStr">
        <is>
          <t>公司客户详情视图</t>
        </is>
      </c>
      <c r="D4976" s="24" t="inlineStr">
        <is>
          <t>060050</t>
        </is>
      </c>
      <c r="E4976" s="24" t="inlineStr">
        <is>
          <t>侧面打听记录</t>
        </is>
      </c>
    </row>
    <row r="4977">
      <c r="B4977" s="24" t="inlineStr">
        <is>
          <t>EntTreeView</t>
        </is>
      </c>
      <c r="C4977" s="24" t="inlineStr">
        <is>
          <t>公司客户详情视图</t>
        </is>
      </c>
      <c r="D4977" s="24" t="inlineStr">
        <is>
          <t>110</t>
        </is>
      </c>
      <c r="E4977" s="24" t="inlineStr">
        <is>
          <t>其他信息</t>
        </is>
      </c>
    </row>
    <row r="4978">
      <c r="B4978" s="24" t="inlineStr">
        <is>
          <t>EntTreeView</t>
        </is>
      </c>
      <c r="C4978" s="24" t="inlineStr">
        <is>
          <t>公司客户详情视图</t>
        </is>
      </c>
      <c r="D4978" s="24" t="inlineStr">
        <is>
          <t>110010</t>
        </is>
      </c>
      <c r="E4978" s="24" t="inlineStr">
        <is>
          <t>客户信息维护记录</t>
        </is>
      </c>
    </row>
    <row r="4979">
      <c r="B4979" s="24" t="inlineStr">
        <is>
          <t>EntTreeView</t>
        </is>
      </c>
      <c r="C4979" s="24" t="inlineStr">
        <is>
          <t>公司客户详情视图</t>
        </is>
      </c>
      <c r="D4979" s="24" t="inlineStr">
        <is>
          <t>110020</t>
        </is>
      </c>
      <c r="E4979" s="24" t="inlineStr">
        <is>
          <t>客户管户变更记录</t>
        </is>
      </c>
    </row>
    <row r="4980">
      <c r="B4980" s="24" t="inlineStr">
        <is>
          <t>EntTreeView</t>
        </is>
      </c>
      <c r="C4980" s="24" t="inlineStr">
        <is>
          <t>公司客户详情视图</t>
        </is>
      </c>
      <c r="D4980" s="24" t="inlineStr">
        <is>
          <t>110030</t>
        </is>
      </c>
      <c r="E4980" s="24" t="inlineStr">
        <is>
          <t>客户引入记录</t>
        </is>
      </c>
    </row>
    <row r="4981">
      <c r="B4981" s="24" t="inlineStr">
        <is>
          <t>EntTreeView</t>
        </is>
      </c>
      <c r="C4981" s="24" t="inlineStr">
        <is>
          <t>公司客户详情视图</t>
        </is>
      </c>
      <c r="D4981" s="24" t="inlineStr">
        <is>
          <t>200</t>
        </is>
      </c>
      <c r="E4981" s="24" t="inlineStr">
        <is>
          <t>外部信息视图</t>
        </is>
      </c>
    </row>
    <row r="4982">
      <c r="B4982" s="24" t="inlineStr">
        <is>
          <t>EntTreeView</t>
        </is>
      </c>
      <c r="C4982" s="24" t="inlineStr">
        <is>
          <t>公司客户详情视图</t>
        </is>
      </c>
      <c r="D4982" s="24" t="inlineStr">
        <is>
          <t>200010</t>
        </is>
      </c>
      <c r="E4982" s="24" t="inlineStr">
        <is>
          <t>基础信息</t>
        </is>
      </c>
    </row>
    <row r="4983">
      <c r="B4983" s="24" t="inlineStr">
        <is>
          <t>EntTreeView</t>
        </is>
      </c>
      <c r="C4983" s="24" t="inlineStr">
        <is>
          <t>公司客户详情视图</t>
        </is>
      </c>
      <c r="D4983" s="24" t="inlineStr">
        <is>
          <t>200020</t>
        </is>
      </c>
      <c r="E4983" s="24" t="inlineStr">
        <is>
          <t>投资信息</t>
        </is>
      </c>
    </row>
    <row r="4984">
      <c r="B4984" s="24" t="inlineStr">
        <is>
          <t>EntTreeView</t>
        </is>
      </c>
      <c r="C4984" s="24" t="inlineStr">
        <is>
          <t>公司客户详情视图</t>
        </is>
      </c>
      <c r="D4984" s="24" t="inlineStr">
        <is>
          <t>200030</t>
        </is>
      </c>
      <c r="E4984" s="24" t="inlineStr">
        <is>
          <t>法人关联</t>
        </is>
      </c>
    </row>
    <row r="4985">
      <c r="B4985" s="24" t="inlineStr">
        <is>
          <t>EntTreeView</t>
        </is>
      </c>
      <c r="C4985" s="24" t="inlineStr">
        <is>
          <t>公司客户详情视图</t>
        </is>
      </c>
      <c r="D4985" s="24" t="inlineStr">
        <is>
          <t>200040</t>
        </is>
      </c>
      <c r="E4985" s="24" t="inlineStr">
        <is>
          <t>涉诉信息</t>
        </is>
      </c>
    </row>
    <row r="4986">
      <c r="B4986" s="24" t="inlineStr">
        <is>
          <t>EntTreeView</t>
        </is>
      </c>
      <c r="C4986" s="24" t="inlineStr">
        <is>
          <t>公司客户详情视图</t>
        </is>
      </c>
      <c r="D4986" s="24" t="inlineStr">
        <is>
          <t>200050</t>
        </is>
      </c>
      <c r="E4986" s="24" t="inlineStr">
        <is>
          <t>舆情信息</t>
        </is>
      </c>
    </row>
    <row r="4987">
      <c r="B4987" s="24" t="inlineStr">
        <is>
          <t>EntTreeView</t>
        </is>
      </c>
      <c r="C4987" s="24" t="inlineStr">
        <is>
          <t>公司客户详情视图</t>
        </is>
      </c>
      <c r="D4987" s="24" t="inlineStr">
        <is>
          <t>200055</t>
        </is>
      </c>
      <c r="E4987" s="24" t="inlineStr">
        <is>
          <t>税务信息</t>
        </is>
      </c>
    </row>
    <row r="4988">
      <c r="B4988" s="24" t="inlineStr">
        <is>
          <t>EntTreeView</t>
        </is>
      </c>
      <c r="C4988" s="24" t="inlineStr">
        <is>
          <t>公司客户详情视图</t>
        </is>
      </c>
      <c r="D4988" s="24" t="inlineStr">
        <is>
          <t>200056</t>
        </is>
      </c>
      <c r="E4988" s="24" t="inlineStr">
        <is>
          <t>环保信息</t>
        </is>
      </c>
    </row>
    <row r="4989">
      <c r="B4989" s="24" t="inlineStr">
        <is>
          <t>EntTreeView</t>
        </is>
      </c>
      <c r="C4989" s="24" t="inlineStr">
        <is>
          <t>公司客户详情视图</t>
        </is>
      </c>
      <c r="D4989" s="24" t="inlineStr">
        <is>
          <t>200060</t>
        </is>
      </c>
      <c r="E4989" s="24" t="inlineStr">
        <is>
          <t>风险信息</t>
        </is>
      </c>
    </row>
    <row r="4990">
      <c r="B4990" s="24" t="inlineStr">
        <is>
          <t>EntTreeView</t>
        </is>
      </c>
      <c r="C4990" s="24" t="inlineStr">
        <is>
          <t>公司客户详情视图</t>
        </is>
      </c>
      <c r="D4990" s="24" t="inlineStr">
        <is>
          <t>200070</t>
        </is>
      </c>
      <c r="E4990" s="24" t="inlineStr">
        <is>
          <t>股权关联图谱</t>
        </is>
      </c>
    </row>
    <row r="4991">
      <c r="B4991" s="24" t="inlineStr">
        <is>
          <t>EntTreeView</t>
        </is>
      </c>
      <c r="C4991" s="24" t="inlineStr">
        <is>
          <t>公司客户详情视图</t>
        </is>
      </c>
      <c r="D4991" s="24" t="inlineStr">
        <is>
          <t>200080</t>
        </is>
      </c>
      <c r="E4991" s="24" t="inlineStr">
        <is>
          <t>全景关联图谱</t>
        </is>
      </c>
    </row>
    <row r="4992">
      <c r="B4992" s="24" t="inlineStr">
        <is>
          <t>EntTreeView</t>
        </is>
      </c>
      <c r="C4992" s="24" t="inlineStr">
        <is>
          <t>公司客户详情视图</t>
        </is>
      </c>
      <c r="D4992" s="24" t="inlineStr">
        <is>
          <t>210</t>
        </is>
      </c>
      <c r="E4992" s="24" t="inlineStr">
        <is>
          <t>企业信用报告管理</t>
        </is>
      </c>
    </row>
    <row r="4993">
      <c r="B4993" s="24" t="inlineStr">
        <is>
          <t>EntTreeView</t>
        </is>
      </c>
      <c r="C4993" s="24" t="inlineStr">
        <is>
          <t>公司客户详情视图</t>
        </is>
      </c>
      <c r="D4993" s="24" t="inlineStr">
        <is>
          <t>210010</t>
        </is>
      </c>
      <c r="E4993" s="24" t="inlineStr">
        <is>
          <t>企业信用报告管理</t>
        </is>
      </c>
    </row>
    <row r="4994" ht="15.95" customHeight="1" s="170">
      <c r="B4994" s="122" t="inlineStr">
        <is>
          <t>码值：PayFrequencyType</t>
        </is>
      </c>
    </row>
    <row r="4995">
      <c r="B4995" s="24" t="inlineStr">
        <is>
          <t>PayFrequencyType</t>
        </is>
      </c>
      <c r="C4995" s="24" t="inlineStr">
        <is>
          <t>还款周期</t>
        </is>
      </c>
      <c r="D4995" s="24" t="inlineStr">
        <is>
          <t>1</t>
        </is>
      </c>
      <c r="E4995" s="24" t="inlineStr">
        <is>
          <t>月</t>
        </is>
      </c>
    </row>
    <row r="4996">
      <c r="B4996" s="24" t="inlineStr">
        <is>
          <t>PayFrequencyType</t>
        </is>
      </c>
      <c r="C4996" s="24" t="inlineStr">
        <is>
          <t>还款周期</t>
        </is>
      </c>
      <c r="D4996" s="24" t="inlineStr">
        <is>
          <t>2</t>
        </is>
      </c>
      <c r="E4996" s="24" t="inlineStr">
        <is>
          <t>季</t>
        </is>
      </c>
    </row>
    <row r="4997">
      <c r="B4997" s="24" t="inlineStr">
        <is>
          <t>PayFrequencyType</t>
        </is>
      </c>
      <c r="C4997" s="24" t="inlineStr">
        <is>
          <t>还款周期</t>
        </is>
      </c>
      <c r="D4997" s="24" t="inlineStr">
        <is>
          <t>3</t>
        </is>
      </c>
      <c r="E4997" s="24" t="inlineStr">
        <is>
          <t>一次</t>
        </is>
      </c>
    </row>
    <row r="4998">
      <c r="B4998" s="24" t="inlineStr">
        <is>
          <t>PayFrequencyType</t>
        </is>
      </c>
      <c r="C4998" s="24" t="inlineStr">
        <is>
          <t>还款周期</t>
        </is>
      </c>
      <c r="D4998" s="24" t="inlineStr">
        <is>
          <t>4</t>
        </is>
      </c>
      <c r="E4998" s="24" t="inlineStr">
        <is>
          <t>半年</t>
        </is>
      </c>
    </row>
    <row r="4999">
      <c r="B4999" s="24" t="inlineStr">
        <is>
          <t>PayFrequencyType</t>
        </is>
      </c>
      <c r="C4999" s="24" t="inlineStr">
        <is>
          <t>还款周期</t>
        </is>
      </c>
      <c r="D4999" s="24" t="inlineStr">
        <is>
          <t>5</t>
        </is>
      </c>
      <c r="E4999" s="24" t="inlineStr">
        <is>
          <t>年</t>
        </is>
      </c>
    </row>
    <row r="5000">
      <c r="B5000" s="24" t="inlineStr">
        <is>
          <t>PayFrequencyType</t>
        </is>
      </c>
      <c r="C5000" s="24" t="inlineStr">
        <is>
          <t>还款周期</t>
        </is>
      </c>
      <c r="D5000" s="24" t="inlineStr">
        <is>
          <t>6</t>
        </is>
      </c>
      <c r="E5000" s="24" t="inlineStr">
        <is>
          <t>按指定周期</t>
        </is>
      </c>
    </row>
    <row r="5001">
      <c r="B5001" s="24" t="inlineStr">
        <is>
          <t>PayFrequencyType</t>
        </is>
      </c>
      <c r="C5001" s="24" t="inlineStr">
        <is>
          <t>还款周期</t>
        </is>
      </c>
      <c r="D5001" s="24" t="inlineStr">
        <is>
          <t>7</t>
        </is>
      </c>
      <c r="E5001" s="24" t="inlineStr">
        <is>
          <t>按双周</t>
        </is>
      </c>
    </row>
    <row r="5002">
      <c r="B5002" s="24" t="inlineStr">
        <is>
          <t>PayFrequencyType</t>
        </is>
      </c>
      <c r="C5002" s="24" t="inlineStr">
        <is>
          <t>还款周期</t>
        </is>
      </c>
      <c r="D5002" s="24" t="inlineStr">
        <is>
          <t>8</t>
        </is>
      </c>
      <c r="E5002" s="24" t="inlineStr">
        <is>
          <t>按季(固定)</t>
        </is>
      </c>
    </row>
    <row r="5003" ht="15.95" customHeight="1" s="170">
      <c r="B5003" s="122" t="inlineStr">
        <is>
          <t>码值：LandRightNature</t>
        </is>
      </c>
    </row>
    <row r="5004">
      <c r="B5004" s="24" t="inlineStr">
        <is>
          <t>LandRightNature</t>
        </is>
      </c>
      <c r="C5004" s="24" t="inlineStr">
        <is>
          <t>土地使用权类型</t>
        </is>
      </c>
      <c r="D5004" s="24" t="inlineStr">
        <is>
          <t>01</t>
        </is>
      </c>
      <c r="E5004" s="24" t="inlineStr">
        <is>
          <t>国有建设用地使用权</t>
        </is>
      </c>
    </row>
    <row r="5005">
      <c r="B5005" s="24" t="inlineStr">
        <is>
          <t>LandRightNature</t>
        </is>
      </c>
      <c r="C5005" s="24" t="inlineStr">
        <is>
          <t>土地使用权类型</t>
        </is>
      </c>
      <c r="D5005" s="24" t="inlineStr">
        <is>
          <t>02</t>
        </is>
      </c>
      <c r="E5005" s="24" t="inlineStr">
        <is>
          <t>集体建设用地使用权</t>
        </is>
      </c>
    </row>
    <row r="5006">
      <c r="B5006" s="24" t="inlineStr">
        <is>
          <t>LandRightNature</t>
        </is>
      </c>
      <c r="C5006" s="24" t="inlineStr">
        <is>
          <t>土地使用权类型</t>
        </is>
      </c>
      <c r="D5006" s="24" t="inlineStr">
        <is>
          <t>90</t>
        </is>
      </c>
      <c r="E5006" s="24" t="inlineStr">
        <is>
          <t>其他</t>
        </is>
      </c>
    </row>
    <row r="5007" ht="15.95" customHeight="1" s="170">
      <c r="B5007" s="122" t="inlineStr">
        <is>
          <t>码值：ReportPeriod</t>
        </is>
      </c>
    </row>
    <row r="5008">
      <c r="B5008" s="24" t="inlineStr">
        <is>
          <t>ReportPeriod</t>
        </is>
      </c>
      <c r="C5008" s="24" t="inlineStr">
        <is>
          <t>报表周期</t>
        </is>
      </c>
      <c r="D5008" s="24" t="inlineStr">
        <is>
          <t>Half_Year</t>
        </is>
      </c>
      <c r="E5008" s="24" t="inlineStr">
        <is>
          <t>半年报</t>
        </is>
      </c>
    </row>
    <row r="5009">
      <c r="B5009" s="24" t="inlineStr">
        <is>
          <t>ReportPeriod</t>
        </is>
      </c>
      <c r="C5009" s="24" t="inlineStr">
        <is>
          <t>报表周期</t>
        </is>
      </c>
      <c r="D5009" s="24" t="inlineStr">
        <is>
          <t>Month</t>
        </is>
      </c>
      <c r="E5009" s="24" t="inlineStr">
        <is>
          <t>月报</t>
        </is>
      </c>
    </row>
    <row r="5010">
      <c r="B5010" s="24" t="inlineStr">
        <is>
          <t>ReportPeriod</t>
        </is>
      </c>
      <c r="C5010" s="24" t="inlineStr">
        <is>
          <t>报表周期</t>
        </is>
      </c>
      <c r="D5010" s="24" t="inlineStr">
        <is>
          <t>Season</t>
        </is>
      </c>
      <c r="E5010" s="24" t="inlineStr">
        <is>
          <t>季报</t>
        </is>
      </c>
    </row>
    <row r="5011">
      <c r="B5011" s="24" t="inlineStr">
        <is>
          <t>ReportPeriod</t>
        </is>
      </c>
      <c r="C5011" s="24" t="inlineStr">
        <is>
          <t>报表周期</t>
        </is>
      </c>
      <c r="D5011" s="24" t="inlineStr">
        <is>
          <t>Year</t>
        </is>
      </c>
      <c r="E5011" s="24" t="inlineStr">
        <is>
          <t>年报</t>
        </is>
      </c>
    </row>
    <row r="5012" ht="15.95" customHeight="1" s="170">
      <c r="B5012" s="122" t="inlineStr">
        <is>
          <t>码值：WorkType</t>
        </is>
      </c>
    </row>
    <row r="5013">
      <c r="B5013" s="24" t="inlineStr">
        <is>
          <t>WorkType</t>
        </is>
      </c>
      <c r="C5013" s="24" t="inlineStr">
        <is>
          <t>工作类型</t>
        </is>
      </c>
      <c r="D5013" s="24" t="inlineStr">
        <is>
          <t>0103</t>
        </is>
      </c>
      <c r="E5013" s="24" t="inlineStr">
        <is>
          <t>内部管理</t>
        </is>
      </c>
    </row>
    <row r="5014">
      <c r="B5014" s="24" t="inlineStr">
        <is>
          <t>WorkType</t>
        </is>
      </c>
      <c r="C5014" s="24" t="inlineStr">
        <is>
          <t>工作类型</t>
        </is>
      </c>
      <c r="D5014" s="24" t="inlineStr">
        <is>
          <t>0301</t>
        </is>
      </c>
      <c r="E5014" s="24" t="inlineStr">
        <is>
          <t>上门催款</t>
        </is>
      </c>
    </row>
    <row r="5015">
      <c r="B5015" s="24" t="inlineStr">
        <is>
          <t>WorkType</t>
        </is>
      </c>
      <c r="C5015" s="24" t="inlineStr">
        <is>
          <t>工作类型</t>
        </is>
      </c>
      <c r="D5015" s="24" t="inlineStr">
        <is>
          <t>0302</t>
        </is>
      </c>
      <c r="E5015" s="24" t="inlineStr">
        <is>
          <t>电话催款</t>
        </is>
      </c>
    </row>
    <row r="5016">
      <c r="B5016" s="24" t="inlineStr">
        <is>
          <t>WorkType</t>
        </is>
      </c>
      <c r="C5016" s="24" t="inlineStr">
        <is>
          <t>工作类型</t>
        </is>
      </c>
      <c r="D5016" s="24" t="inlineStr">
        <is>
          <t>0303</t>
        </is>
      </c>
      <c r="E5016" s="24" t="inlineStr">
        <is>
          <t>拟定保全方案</t>
        </is>
      </c>
    </row>
    <row r="5017">
      <c r="B5017" s="24" t="inlineStr">
        <is>
          <t>WorkType</t>
        </is>
      </c>
      <c r="C5017" s="24" t="inlineStr">
        <is>
          <t>工作类型</t>
        </is>
      </c>
      <c r="D5017" s="24" t="inlineStr">
        <is>
          <t>0304</t>
        </is>
      </c>
      <c r="E5017" s="24" t="inlineStr">
        <is>
          <t>实施保全方案</t>
        </is>
      </c>
    </row>
    <row r="5018">
      <c r="B5018" s="24" t="inlineStr">
        <is>
          <t>WorkType</t>
        </is>
      </c>
      <c r="C5018" s="24" t="inlineStr">
        <is>
          <t>工作类型</t>
        </is>
      </c>
      <c r="D5018" s="24" t="inlineStr">
        <is>
          <t>0305</t>
        </is>
      </c>
      <c r="E5018" s="24" t="inlineStr">
        <is>
          <t>计划还款</t>
        </is>
      </c>
    </row>
    <row r="5019">
      <c r="B5019" s="24" t="inlineStr">
        <is>
          <t>WorkType</t>
        </is>
      </c>
      <c r="C5019" s="24" t="inlineStr">
        <is>
          <t>工作类型</t>
        </is>
      </c>
      <c r="D5019" s="24" t="inlineStr">
        <is>
          <t>0306</t>
        </is>
      </c>
      <c r="E5019" s="24" t="inlineStr">
        <is>
          <t>其他</t>
        </is>
      </c>
    </row>
    <row r="5020" ht="15.95" customHeight="1" s="170">
      <c r="B5020" s="122" t="inlineStr">
        <is>
          <t>码值：纳税情况</t>
        </is>
      </c>
    </row>
    <row r="5021">
      <c r="B5021" s="24" t="inlineStr">
        <is>
          <t>纳税情况</t>
        </is>
      </c>
      <c r="C5021" s="24" t="inlineStr">
        <is>
          <t>纳税情况</t>
        </is>
      </c>
      <c r="D5021" s="24" t="inlineStr">
        <is>
          <t>1</t>
        </is>
      </c>
      <c r="E5021" s="24" t="inlineStr">
        <is>
          <t>无纳税</t>
        </is>
      </c>
    </row>
    <row r="5022">
      <c r="B5022" s="24" t="inlineStr">
        <is>
          <t>纳税情况</t>
        </is>
      </c>
      <c r="C5022" s="24" t="inlineStr">
        <is>
          <t>纳税情况</t>
        </is>
      </c>
      <c r="D5022" s="24" t="inlineStr">
        <is>
          <t>2</t>
        </is>
      </c>
      <c r="E5022" s="24" t="inlineStr">
        <is>
          <t>按时足额纳税</t>
        </is>
      </c>
    </row>
    <row r="5023">
      <c r="B5023" s="24" t="inlineStr">
        <is>
          <t>纳税情况</t>
        </is>
      </c>
      <c r="C5023" s="24" t="inlineStr">
        <is>
          <t>纳税情况</t>
        </is>
      </c>
      <c r="D5023" s="24" t="inlineStr">
        <is>
          <t>3</t>
        </is>
      </c>
      <c r="E5023" s="24" t="inlineStr">
        <is>
          <t>有应纳未纳税款</t>
        </is>
      </c>
    </row>
    <row r="5024" ht="15.95" customHeight="1" s="170">
      <c r="B5024" s="122" t="inlineStr">
        <is>
          <t>码值：FlowDemoApproveMain</t>
        </is>
      </c>
    </row>
    <row r="5025">
      <c r="B5025" s="24" t="inlineStr">
        <is>
          <t>FlowDemoApproveMain</t>
        </is>
      </c>
      <c r="C5025" s="24" t="inlineStr">
        <is>
          <t>流程示例审批树图</t>
        </is>
      </c>
      <c r="D5025" s="24" t="inlineStr">
        <is>
          <t>N</t>
        </is>
      </c>
      <c r="E5025" s="24" t="inlineStr">
        <is>
          <t>当前工作</t>
        </is>
      </c>
    </row>
    <row r="5026">
      <c r="B5026" s="24" t="inlineStr">
        <is>
          <t>FlowDemoApproveMain</t>
        </is>
      </c>
      <c r="C5026" s="24" t="inlineStr">
        <is>
          <t>流程示例审批树图</t>
        </is>
      </c>
      <c r="D5026" s="24" t="inlineStr">
        <is>
          <t>Y</t>
        </is>
      </c>
      <c r="E5026" s="24" t="inlineStr">
        <is>
          <t>已完成工作</t>
        </is>
      </c>
    </row>
    <row r="5027">
      <c r="B5027" s="24" t="inlineStr">
        <is>
          <t>FlowDemoApproveMain</t>
        </is>
      </c>
      <c r="C5027" s="24" t="inlineStr">
        <is>
          <t>流程示例审批树图</t>
        </is>
      </c>
      <c r="D5027" s="24" t="inlineStr">
        <is>
          <t>当前工作/已完成工作</t>
        </is>
      </c>
      <c r="E5027" s="24" t="inlineStr">
        <is>
          <t>阶段名称</t>
        </is>
      </c>
    </row>
    <row r="5028" ht="15.95" customHeight="1" s="170">
      <c r="B5028" s="122" t="inlineStr">
        <is>
          <t>码值：现金销售成本比</t>
        </is>
      </c>
    </row>
    <row r="5029">
      <c r="B5029" s="24" t="inlineStr">
        <is>
          <t>现金销售成本比</t>
        </is>
      </c>
      <c r="C5029" s="24" t="inlineStr">
        <is>
          <t>现金销售成本比</t>
        </is>
      </c>
      <c r="D5029" s="24" t="inlineStr">
        <is>
          <t>1</t>
        </is>
      </c>
      <c r="E5029" s="24" t="inlineStr">
        <is>
          <t>&lt;=0.3</t>
        </is>
      </c>
    </row>
    <row r="5030">
      <c r="B5030" s="24" t="inlineStr">
        <is>
          <t>现金销售成本比</t>
        </is>
      </c>
      <c r="C5030" s="24" t="inlineStr">
        <is>
          <t>现金销售成本比</t>
        </is>
      </c>
      <c r="D5030" s="24" t="inlineStr">
        <is>
          <t>2</t>
        </is>
      </c>
      <c r="E5030" s="24" t="inlineStr">
        <is>
          <t>(0.3,0.6]</t>
        </is>
      </c>
    </row>
    <row r="5031">
      <c r="B5031" s="24" t="inlineStr">
        <is>
          <t>现金销售成本比</t>
        </is>
      </c>
      <c r="C5031" s="24" t="inlineStr">
        <is>
          <t>现金销售成本比</t>
        </is>
      </c>
      <c r="D5031" s="24" t="inlineStr">
        <is>
          <t>3</t>
        </is>
      </c>
      <c r="E5031" s="24" t="inlineStr">
        <is>
          <t>(0.6,0.9]</t>
        </is>
      </c>
    </row>
    <row r="5032">
      <c r="B5032" s="24" t="inlineStr">
        <is>
          <t>现金销售成本比</t>
        </is>
      </c>
      <c r="C5032" s="24" t="inlineStr">
        <is>
          <t>现金销售成本比</t>
        </is>
      </c>
      <c r="D5032" s="24" t="inlineStr">
        <is>
          <t>4</t>
        </is>
      </c>
      <c r="E5032" s="24" t="inlineStr">
        <is>
          <t>&gt;0.9</t>
        </is>
      </c>
    </row>
    <row r="5033" ht="15.95" customHeight="1" s="170">
      <c r="B5033" s="122" t="inlineStr">
        <is>
          <t>码值：EnterpriseProRight</t>
        </is>
      </c>
    </row>
    <row r="5034">
      <c r="B5034" s="24" t="inlineStr">
        <is>
          <t>EnterpriseProRight</t>
        </is>
      </c>
      <c r="C5034" s="24" t="inlineStr">
        <is>
          <t>信用等级评估统一导入</t>
        </is>
      </c>
      <c r="D5034" s="24" t="inlineStr">
        <is>
          <t>1</t>
        </is>
      </c>
      <c r="E5034" s="24" t="inlineStr">
        <is>
          <t>500强企业在华投资或外方投资额在2000万美金以上</t>
        </is>
      </c>
    </row>
    <row r="5035">
      <c r="B5035" s="24" t="inlineStr">
        <is>
          <t>EnterpriseProRight</t>
        </is>
      </c>
      <c r="C5035" s="24" t="inlineStr">
        <is>
          <t>信用等级评估统一导入</t>
        </is>
      </c>
      <c r="D5035" s="24" t="inlineStr">
        <is>
          <t>2</t>
        </is>
      </c>
      <c r="E5035" s="24" t="inlineStr">
        <is>
          <t>上市股份有限公司</t>
        </is>
      </c>
    </row>
    <row r="5036">
      <c r="B5036" s="24" t="inlineStr">
        <is>
          <t>EnterpriseProRight</t>
        </is>
      </c>
      <c r="C5036" s="24" t="inlineStr">
        <is>
          <t>信用等级评估统一导入</t>
        </is>
      </c>
      <c r="D5036" s="24" t="inlineStr">
        <is>
          <t>3</t>
        </is>
      </c>
      <c r="E5036" s="24" t="inlineStr">
        <is>
          <t>未上市股份有限公司</t>
        </is>
      </c>
    </row>
    <row r="5037">
      <c r="B5037" s="24" t="inlineStr">
        <is>
          <t>EnterpriseProRight</t>
        </is>
      </c>
      <c r="C5037" s="24" t="inlineStr">
        <is>
          <t>信用等级评估统一导入</t>
        </is>
      </c>
      <c r="D5037" s="24" t="inlineStr">
        <is>
          <t>4</t>
        </is>
      </c>
      <c r="E5037" s="24" t="inlineStr">
        <is>
          <t>有限责任公司</t>
        </is>
      </c>
    </row>
    <row r="5038">
      <c r="B5038" s="24" t="inlineStr">
        <is>
          <t>EnterpriseProRight</t>
        </is>
      </c>
      <c r="C5038" s="24" t="inlineStr">
        <is>
          <t>信用等级评估统一导入</t>
        </is>
      </c>
      <c r="D5038" s="24" t="inlineStr">
        <is>
          <t>5</t>
        </is>
      </c>
      <c r="E5038" s="24" t="inlineStr">
        <is>
          <t>未经股份制改造的国有企业</t>
        </is>
      </c>
    </row>
    <row r="5039">
      <c r="B5039" s="24" t="inlineStr">
        <is>
          <t>EnterpriseProRight</t>
        </is>
      </c>
      <c r="C5039" s="24" t="inlineStr">
        <is>
          <t>信用等级评估统一导入</t>
        </is>
      </c>
      <c r="D5039" s="24" t="inlineStr">
        <is>
          <t>6</t>
        </is>
      </c>
      <c r="E5039" s="24" t="inlineStr">
        <is>
          <t>其他</t>
        </is>
      </c>
    </row>
    <row r="5040" ht="15.95" customHeight="1" s="170">
      <c r="B5040" s="122" t="inlineStr">
        <is>
          <t>码值：EntRegularCheckMain</t>
        </is>
      </c>
    </row>
    <row r="5041">
      <c r="B5041" s="24" t="inlineStr">
        <is>
          <t>EntRegularCheckMain</t>
        </is>
      </c>
      <c r="C5041" s="24" t="inlineStr">
        <is>
          <t>单一公司客户贷后定期检查申请</t>
        </is>
      </c>
      <c r="D5041" s="24" t="inlineStr">
        <is>
          <t>1010</t>
        </is>
      </c>
      <c r="E5041" s="24" t="inlineStr">
        <is>
          <t>待处理</t>
        </is>
      </c>
    </row>
    <row r="5042">
      <c r="B5042" s="24" t="inlineStr">
        <is>
          <t>EntRegularCheckMain</t>
        </is>
      </c>
      <c r="C5042" s="24" t="inlineStr">
        <is>
          <t>单一公司客户贷后定期检查申请</t>
        </is>
      </c>
      <c r="D5042" s="24" t="inlineStr">
        <is>
          <t>1020</t>
        </is>
      </c>
      <c r="E5042" s="24" t="inlineStr">
        <is>
          <t>审批中</t>
        </is>
      </c>
    </row>
    <row r="5043">
      <c r="B5043" s="24" t="inlineStr">
        <is>
          <t>EntRegularCheckMain</t>
        </is>
      </c>
      <c r="C5043" s="24" t="inlineStr">
        <is>
          <t>单一公司客户贷后定期检查申请</t>
        </is>
      </c>
      <c r="D5043" s="24" t="inlineStr">
        <is>
          <t>1040,1050</t>
        </is>
      </c>
      <c r="E5043" s="24" t="inlineStr">
        <is>
          <t>处理完成</t>
        </is>
      </c>
    </row>
    <row r="5044" ht="15.95" customHeight="1" s="170">
      <c r="B5044" s="122" t="inlineStr">
        <is>
          <t>码值：HouseDecorDegree</t>
        </is>
      </c>
    </row>
    <row r="5045">
      <c r="B5045" s="24" t="inlineStr">
        <is>
          <t>HouseDecorDegree</t>
        </is>
      </c>
      <c r="C5045" s="24" t="inlineStr">
        <is>
          <t>房屋装修程度</t>
        </is>
      </c>
      <c r="D5045" s="24" t="inlineStr">
        <is>
          <t>1</t>
        </is>
      </c>
      <c r="E5045" s="24" t="inlineStr">
        <is>
          <t xml:space="preserve">毛坯/简装  </t>
        </is>
      </c>
    </row>
    <row r="5046">
      <c r="B5046" s="24" t="inlineStr">
        <is>
          <t>HouseDecorDegree</t>
        </is>
      </c>
      <c r="C5046" s="24" t="inlineStr">
        <is>
          <t>房屋装修程度</t>
        </is>
      </c>
      <c r="D5046" s="24" t="inlineStr">
        <is>
          <t>2</t>
        </is>
      </c>
      <c r="E5046" s="24" t="inlineStr">
        <is>
          <t xml:space="preserve">精装  </t>
        </is>
      </c>
    </row>
    <row r="5047">
      <c r="B5047" s="24" t="inlineStr">
        <is>
          <t>HouseDecorDegree</t>
        </is>
      </c>
      <c r="C5047" s="24" t="inlineStr">
        <is>
          <t>房屋装修程度</t>
        </is>
      </c>
      <c r="D5047" s="24" t="inlineStr">
        <is>
          <t>3</t>
        </is>
      </c>
      <c r="E5047" s="24" t="inlineStr">
        <is>
          <t>全装修</t>
        </is>
      </c>
    </row>
    <row r="5048">
      <c r="B5048" s="24" t="inlineStr">
        <is>
          <t>HouseDecorDegree</t>
        </is>
      </c>
      <c r="C5048" s="24" t="inlineStr">
        <is>
          <t>房屋装修程度</t>
        </is>
      </c>
      <c r="D5048" s="24" t="inlineStr">
        <is>
          <t>4</t>
        </is>
      </c>
      <c r="E5048" s="24" t="inlineStr">
        <is>
          <t>其他</t>
        </is>
      </c>
    </row>
    <row r="5049" ht="15.95" customHeight="1" s="170">
      <c r="B5049" s="122" t="inlineStr">
        <is>
          <t>码值：BusinessInputMain</t>
        </is>
      </c>
    </row>
    <row r="5050">
      <c r="B5050" s="24" t="inlineStr">
        <is>
          <t>BusinessInputMain</t>
        </is>
      </c>
      <c r="C5050" s="24" t="inlineStr">
        <is>
          <t>信贷业务补充登记主界面</t>
        </is>
      </c>
      <c r="D5050" s="24" t="inlineStr">
        <is>
          <t>010</t>
        </is>
      </c>
      <c r="E5050" s="24" t="inlineStr">
        <is>
          <t>需补登信贷业务</t>
        </is>
      </c>
    </row>
    <row r="5051">
      <c r="B5051" s="24" t="inlineStr">
        <is>
          <t>BusinessInputMain</t>
        </is>
      </c>
      <c r="C5051" s="24" t="inlineStr">
        <is>
          <t>信贷业务补充登记主界面</t>
        </is>
      </c>
      <c r="D5051" s="24" t="inlineStr">
        <is>
          <t>020</t>
        </is>
      </c>
      <c r="E5051" s="24" t="inlineStr">
        <is>
          <t>补登完成信贷业务</t>
        </is>
      </c>
    </row>
    <row r="5052">
      <c r="B5052" s="24" t="inlineStr">
        <is>
          <t>BusinessInputMain</t>
        </is>
      </c>
      <c r="C5052" s="24" t="inlineStr">
        <is>
          <t>信贷业务补充登记主界面</t>
        </is>
      </c>
      <c r="D5052" s="24" t="inlineStr">
        <is>
          <t>030</t>
        </is>
      </c>
      <c r="E5052" s="24" t="inlineStr">
        <is>
          <t>补登统计</t>
        </is>
      </c>
    </row>
    <row r="5053">
      <c r="B5053" s="24" t="inlineStr">
        <is>
          <t>BusinessInputMain</t>
        </is>
      </c>
      <c r="C5053" s="24" t="inlineStr">
        <is>
          <t>信贷业务补充登记主界面</t>
        </is>
      </c>
      <c r="D5053" s="24" t="inlineStr">
        <is>
          <t>03010</t>
        </is>
      </c>
      <c r="E5053" s="24" t="inlineStr">
        <is>
          <t>实时查询</t>
        </is>
      </c>
    </row>
    <row r="5054">
      <c r="B5054" s="24" t="inlineStr">
        <is>
          <t>BusinessInputMain</t>
        </is>
      </c>
      <c r="C5054" s="24" t="inlineStr">
        <is>
          <t>信贷业务补充登记主界面</t>
        </is>
      </c>
      <c r="D5054" s="24" t="inlineStr">
        <is>
          <t>03020</t>
        </is>
      </c>
      <c r="E5054" s="24" t="inlineStr">
        <is>
          <t>历史查询</t>
        </is>
      </c>
    </row>
    <row r="5055" ht="15.95" customHeight="1" s="170">
      <c r="B5055" s="122" t="inlineStr">
        <is>
          <t>码值：RetrialType</t>
        </is>
      </c>
    </row>
    <row r="5056">
      <c r="B5056" s="24" t="inlineStr">
        <is>
          <t>RetrialType</t>
        </is>
      </c>
      <c r="C5056" s="24" t="inlineStr">
        <is>
          <t>再审类别</t>
        </is>
      </c>
      <c r="D5056" s="24" t="inlineStr">
        <is>
          <t>01</t>
        </is>
      </c>
      <c r="E5056" s="24" t="inlineStr">
        <is>
          <t>提审</t>
        </is>
      </c>
    </row>
    <row r="5057">
      <c r="B5057" s="24" t="inlineStr">
        <is>
          <t>RetrialType</t>
        </is>
      </c>
      <c r="C5057" s="24" t="inlineStr">
        <is>
          <t>再审类别</t>
        </is>
      </c>
      <c r="D5057" s="24" t="inlineStr">
        <is>
          <t>02</t>
        </is>
      </c>
      <c r="E5057" s="24" t="inlineStr">
        <is>
          <t>发回重审</t>
        </is>
      </c>
    </row>
    <row r="5058">
      <c r="B5058" s="24" t="inlineStr">
        <is>
          <t>RetrialType</t>
        </is>
      </c>
      <c r="C5058" s="24" t="inlineStr">
        <is>
          <t>再审类别</t>
        </is>
      </c>
      <c r="D5058" s="24" t="inlineStr">
        <is>
          <t>03</t>
        </is>
      </c>
      <c r="E5058" s="24" t="inlineStr">
        <is>
          <t>指定再审</t>
        </is>
      </c>
    </row>
    <row r="5059" ht="15.95" customHeight="1" s="170">
      <c r="B5059" s="122" t="inlineStr">
        <is>
          <t>码值：TotalCertType</t>
        </is>
      </c>
    </row>
    <row r="5060">
      <c r="B5060" s="24" t="inlineStr">
        <is>
          <t>TotalCertType</t>
        </is>
      </c>
      <c r="C5060" s="24" t="inlineStr">
        <is>
          <t>证件类型</t>
        </is>
      </c>
      <c r="D5060" s="24" t="inlineStr">
        <is>
          <t>Ent01</t>
        </is>
      </c>
      <c r="E5060" s="24" t="inlineStr">
        <is>
          <t>统一社会信用代码</t>
        </is>
      </c>
    </row>
    <row r="5061">
      <c r="B5061" s="24" t="inlineStr">
        <is>
          <t>TotalCertType</t>
        </is>
      </c>
      <c r="C5061" s="24" t="inlineStr">
        <is>
          <t>证件类型</t>
        </is>
      </c>
      <c r="D5061" s="24" t="inlineStr">
        <is>
          <t>Ent02</t>
        </is>
      </c>
      <c r="E5061" s="24" t="inlineStr">
        <is>
          <t>组织机构代码</t>
        </is>
      </c>
    </row>
    <row r="5062">
      <c r="B5062" s="24" t="inlineStr">
        <is>
          <t>TotalCertType</t>
        </is>
      </c>
      <c r="C5062" s="24" t="inlineStr">
        <is>
          <t>证件类型</t>
        </is>
      </c>
      <c r="D5062" s="24" t="inlineStr">
        <is>
          <t>Ent03</t>
        </is>
      </c>
      <c r="E5062" s="24" t="inlineStr">
        <is>
          <t>香港注册代码</t>
        </is>
      </c>
    </row>
    <row r="5063">
      <c r="B5063" s="24" t="inlineStr">
        <is>
          <t>TotalCertType</t>
        </is>
      </c>
      <c r="C5063" s="24" t="inlineStr">
        <is>
          <t>证件类型</t>
        </is>
      </c>
      <c r="D5063" s="24" t="inlineStr">
        <is>
          <t>Ent04</t>
        </is>
      </c>
      <c r="E5063" s="24" t="inlineStr">
        <is>
          <t>澳门注册代码</t>
        </is>
      </c>
    </row>
    <row r="5064">
      <c r="B5064" s="24" t="inlineStr">
        <is>
          <t>TotalCertType</t>
        </is>
      </c>
      <c r="C5064" s="24" t="inlineStr">
        <is>
          <t>证件类型</t>
        </is>
      </c>
      <c r="D5064" s="24" t="inlineStr">
        <is>
          <t>Ent05</t>
        </is>
      </c>
      <c r="E5064" s="24" t="inlineStr">
        <is>
          <t>台湾注册代码</t>
        </is>
      </c>
    </row>
    <row r="5065">
      <c r="B5065" s="24" t="inlineStr">
        <is>
          <t>TotalCertType</t>
        </is>
      </c>
      <c r="C5065" s="24" t="inlineStr">
        <is>
          <t>证件类型</t>
        </is>
      </c>
      <c r="D5065" s="24" t="inlineStr">
        <is>
          <t>Ent06</t>
        </is>
      </c>
      <c r="E5065" s="24" t="inlineStr">
        <is>
          <t>境外机构注册代码</t>
        </is>
      </c>
    </row>
    <row r="5066">
      <c r="B5066" s="24" t="inlineStr">
        <is>
          <t>TotalCertType</t>
        </is>
      </c>
      <c r="C5066" s="24" t="inlineStr">
        <is>
          <t>证件类型</t>
        </is>
      </c>
      <c r="D5066" s="24" t="inlineStr">
        <is>
          <t>Ent07</t>
        </is>
      </c>
      <c r="E5066" s="24" t="inlineStr">
        <is>
          <t>其他</t>
        </is>
      </c>
    </row>
    <row r="5067">
      <c r="B5067" s="24" t="inlineStr">
        <is>
          <t>TotalCertType</t>
        </is>
      </c>
      <c r="C5067" s="24" t="inlineStr">
        <is>
          <t>证件类型</t>
        </is>
      </c>
      <c r="D5067" s="24" t="inlineStr">
        <is>
          <t>Fina01</t>
        </is>
      </c>
      <c r="E5067" s="24" t="inlineStr">
        <is>
          <t>统一社会信用代码</t>
        </is>
      </c>
    </row>
    <row r="5068">
      <c r="B5068" s="24" t="inlineStr">
        <is>
          <t>TotalCertType</t>
        </is>
      </c>
      <c r="C5068" s="24" t="inlineStr">
        <is>
          <t>证件类型</t>
        </is>
      </c>
      <c r="D5068" s="24" t="inlineStr">
        <is>
          <t>Fina02</t>
        </is>
      </c>
      <c r="E5068" s="24" t="inlineStr">
        <is>
          <t>组织机构代码</t>
        </is>
      </c>
    </row>
    <row r="5069">
      <c r="B5069" s="24" t="inlineStr">
        <is>
          <t>TotalCertType</t>
        </is>
      </c>
      <c r="C5069" s="24" t="inlineStr">
        <is>
          <t>证件类型</t>
        </is>
      </c>
      <c r="D5069" s="24" t="inlineStr">
        <is>
          <t>Fina03</t>
        </is>
      </c>
      <c r="E5069" s="24" t="inlineStr">
        <is>
          <t>SWIFT号码</t>
        </is>
      </c>
    </row>
    <row r="5070">
      <c r="B5070" s="24" t="inlineStr">
        <is>
          <t>TotalCertType</t>
        </is>
      </c>
      <c r="C5070" s="24" t="inlineStr">
        <is>
          <t>证件类型</t>
        </is>
      </c>
      <c r="D5070" s="24" t="inlineStr">
        <is>
          <t>Fina04</t>
        </is>
      </c>
      <c r="E5070" s="24" t="inlineStr">
        <is>
          <t>外管编号</t>
        </is>
      </c>
    </row>
    <row r="5071">
      <c r="B5071" s="24" t="inlineStr">
        <is>
          <t>TotalCertType</t>
        </is>
      </c>
      <c r="C5071" s="24" t="inlineStr">
        <is>
          <t>证件类型</t>
        </is>
      </c>
      <c r="D5071" s="24" t="inlineStr">
        <is>
          <t>Fina05</t>
        </is>
      </c>
      <c r="E5071" s="24" t="inlineStr">
        <is>
          <t>其他</t>
        </is>
      </c>
    </row>
    <row r="5072">
      <c r="B5072" s="24" t="inlineStr">
        <is>
          <t>TotalCertType</t>
        </is>
      </c>
      <c r="C5072" s="24" t="inlineStr">
        <is>
          <t>证件类型</t>
        </is>
      </c>
      <c r="D5072" s="24" t="inlineStr">
        <is>
          <t>Ind01</t>
        </is>
      </c>
      <c r="E5072" s="24" t="inlineStr">
        <is>
          <t>身份证</t>
        </is>
      </c>
    </row>
    <row r="5073">
      <c r="B5073" s="24" t="inlineStr">
        <is>
          <t>TotalCertType</t>
        </is>
      </c>
      <c r="C5073" s="24" t="inlineStr">
        <is>
          <t>证件类型</t>
        </is>
      </c>
      <c r="D5073" s="24" t="inlineStr">
        <is>
          <t>Ind02</t>
        </is>
      </c>
      <c r="E5073" s="24" t="inlineStr">
        <is>
          <t>军官证</t>
        </is>
      </c>
    </row>
    <row r="5074">
      <c r="B5074" s="24" t="inlineStr">
        <is>
          <t>TotalCertType</t>
        </is>
      </c>
      <c r="C5074" s="24" t="inlineStr">
        <is>
          <t>证件类型</t>
        </is>
      </c>
      <c r="D5074" s="24" t="inlineStr">
        <is>
          <t>Ind03</t>
        </is>
      </c>
      <c r="E5074" s="24" t="inlineStr">
        <is>
          <t>士兵证</t>
        </is>
      </c>
    </row>
    <row r="5075">
      <c r="B5075" s="24" t="inlineStr">
        <is>
          <t>TotalCertType</t>
        </is>
      </c>
      <c r="C5075" s="24" t="inlineStr">
        <is>
          <t>证件类型</t>
        </is>
      </c>
      <c r="D5075" s="24" t="inlineStr">
        <is>
          <t>Ind04</t>
        </is>
      </c>
      <c r="E5075" s="24" t="inlineStr">
        <is>
          <t>警官证</t>
        </is>
      </c>
    </row>
    <row r="5076">
      <c r="B5076" s="24" t="inlineStr">
        <is>
          <t>TotalCertType</t>
        </is>
      </c>
      <c r="C5076" s="24" t="inlineStr">
        <is>
          <t>证件类型</t>
        </is>
      </c>
      <c r="D5076" s="24" t="inlineStr">
        <is>
          <t>Ind05</t>
        </is>
      </c>
      <c r="E5076" s="24" t="inlineStr">
        <is>
          <t>港澳居民来往内地通行证</t>
        </is>
      </c>
    </row>
    <row r="5077">
      <c r="B5077" s="24" t="inlineStr">
        <is>
          <t>TotalCertType</t>
        </is>
      </c>
      <c r="C5077" s="24" t="inlineStr">
        <is>
          <t>证件类型</t>
        </is>
      </c>
      <c r="D5077" s="24" t="inlineStr">
        <is>
          <t>Ind06</t>
        </is>
      </c>
      <c r="E5077" s="24" t="inlineStr">
        <is>
          <t>台湾同胞来往内地通行证</t>
        </is>
      </c>
    </row>
    <row r="5078">
      <c r="B5078" s="24" t="inlineStr">
        <is>
          <t>TotalCertType</t>
        </is>
      </c>
      <c r="C5078" s="24" t="inlineStr">
        <is>
          <t>证件类型</t>
        </is>
      </c>
      <c r="D5078" s="24" t="inlineStr">
        <is>
          <t>Ind07</t>
        </is>
      </c>
      <c r="E5078" s="24" t="inlineStr">
        <is>
          <t>外国人居留证</t>
        </is>
      </c>
    </row>
    <row r="5079" ht="15.95" customHeight="1" s="170">
      <c r="B5079" s="122" t="inlineStr">
        <is>
          <t>码值：TransferType</t>
        </is>
      </c>
    </row>
    <row r="5080">
      <c r="B5080" s="24" t="inlineStr">
        <is>
          <t>TransferType</t>
        </is>
      </c>
      <c r="C5080" s="24" t="inlineStr">
        <is>
          <t>客户转移转让状态</t>
        </is>
      </c>
      <c r="D5080" s="24" t="inlineStr">
        <is>
          <t>10</t>
        </is>
      </c>
      <c r="E5080" s="24" t="inlineStr">
        <is>
          <t>未确认</t>
        </is>
      </c>
    </row>
    <row r="5081">
      <c r="B5081" s="24" t="inlineStr">
        <is>
          <t>TransferType</t>
        </is>
      </c>
      <c r="C5081" s="24" t="inlineStr">
        <is>
          <t>客户转移转让状态</t>
        </is>
      </c>
      <c r="D5081" s="24" t="inlineStr">
        <is>
          <t>20</t>
        </is>
      </c>
      <c r="E5081" s="24" t="inlineStr">
        <is>
          <t>已确认</t>
        </is>
      </c>
    </row>
    <row r="5082">
      <c r="B5082" s="24" t="inlineStr">
        <is>
          <t>TransferType</t>
        </is>
      </c>
      <c r="C5082" s="24" t="inlineStr">
        <is>
          <t>客户转移转让状态</t>
        </is>
      </c>
      <c r="D5082" s="24" t="inlineStr">
        <is>
          <t>30</t>
        </is>
      </c>
      <c r="E5082" s="24" t="inlineStr">
        <is>
          <t>已拒绝</t>
        </is>
      </c>
    </row>
    <row r="5083" ht="15.95" customHeight="1" s="170">
      <c r="B5083" s="122" t="inlineStr">
        <is>
          <t>码值：行业门槛</t>
        </is>
      </c>
    </row>
    <row r="5084">
      <c r="B5084" s="24" t="inlineStr">
        <is>
          <t>行业门槛</t>
        </is>
      </c>
      <c r="C5084" s="24" t="inlineStr">
        <is>
          <t>行业门槛</t>
        </is>
      </c>
      <c r="D5084" s="24" t="inlineStr">
        <is>
          <t>1</t>
        </is>
      </c>
      <c r="E5084" s="24" t="inlineStr">
        <is>
          <t>难</t>
        </is>
      </c>
    </row>
    <row r="5085">
      <c r="B5085" s="24" t="inlineStr">
        <is>
          <t>行业门槛</t>
        </is>
      </c>
      <c r="C5085" s="24" t="inlineStr">
        <is>
          <t>行业门槛</t>
        </is>
      </c>
      <c r="D5085" s="24" t="inlineStr">
        <is>
          <t>2</t>
        </is>
      </c>
      <c r="E5085" s="24" t="inlineStr">
        <is>
          <t>一般</t>
        </is>
      </c>
    </row>
    <row r="5086">
      <c r="B5086" s="24" t="inlineStr">
        <is>
          <t>行业门槛</t>
        </is>
      </c>
      <c r="C5086" s="24" t="inlineStr">
        <is>
          <t>行业门槛</t>
        </is>
      </c>
      <c r="D5086" s="24" t="inlineStr">
        <is>
          <t>3</t>
        </is>
      </c>
      <c r="E5086" s="24" t="inlineStr">
        <is>
          <t>容易</t>
        </is>
      </c>
    </row>
    <row r="5087" ht="15.95" customHeight="1" s="170">
      <c r="B5087" s="122" t="inlineStr">
        <is>
          <t>码值：BonusDevideLimitation</t>
        </is>
      </c>
    </row>
    <row r="5088">
      <c r="B5088" s="24" t="inlineStr">
        <is>
          <t>BonusDevideLimitation</t>
        </is>
      </c>
      <c r="C5088" s="24" t="inlineStr">
        <is>
          <t>信用等级评估统一导入</t>
        </is>
      </c>
      <c r="D5088" s="24" t="inlineStr">
        <is>
          <t>01</t>
        </is>
      </c>
      <c r="E5088" s="24" t="inlineStr">
        <is>
          <t>有不予分红或者贷款还清前不予分红的限制</t>
        </is>
      </c>
    </row>
    <row r="5089">
      <c r="B5089" s="24" t="inlineStr">
        <is>
          <t>BonusDevideLimitation</t>
        </is>
      </c>
      <c r="C5089" s="24" t="inlineStr">
        <is>
          <t>信用等级评估统一导入</t>
        </is>
      </c>
      <c r="D5089" s="24" t="inlineStr">
        <is>
          <t>02</t>
        </is>
      </c>
      <c r="E5089" s="24" t="inlineStr">
        <is>
          <t>有分红限制条款，虽然存在一定的早期分红，但比例和额度均不大</t>
        </is>
      </c>
    </row>
    <row r="5090">
      <c r="B5090" s="24" t="inlineStr">
        <is>
          <t>BonusDevideLimitation</t>
        </is>
      </c>
      <c r="C5090" s="24" t="inlineStr">
        <is>
          <t>信用等级评估统一导入</t>
        </is>
      </c>
      <c r="D5090" s="24" t="inlineStr">
        <is>
          <t>03</t>
        </is>
      </c>
      <c r="E5090" s="24" t="inlineStr">
        <is>
          <t>存在一定的早期大额分红</t>
        </is>
      </c>
    </row>
    <row r="5091">
      <c r="B5091" s="24" t="inlineStr">
        <is>
          <t>BonusDevideLimitation</t>
        </is>
      </c>
      <c r="C5091" s="24" t="inlineStr">
        <is>
          <t>信用等级评估统一导入</t>
        </is>
      </c>
      <c r="D5091" s="24" t="inlineStr">
        <is>
          <t>04</t>
        </is>
      </c>
      <c r="E5091" s="24" t="inlineStr">
        <is>
          <t>无分红限制条款</t>
        </is>
      </c>
    </row>
    <row r="5092">
      <c r="B5092" s="24" t="inlineStr">
        <is>
          <t>BonusDevideLimitation</t>
        </is>
      </c>
      <c r="C5092" s="24" t="inlineStr">
        <is>
          <t>信用等级评估统一导入</t>
        </is>
      </c>
      <c r="D5092" s="24" t="inlineStr">
        <is>
          <t>05</t>
        </is>
      </c>
      <c r="E5092" s="24" t="inlineStr">
        <is>
          <t>不适用</t>
        </is>
      </c>
    </row>
    <row r="5093" ht="15.95" customHeight="1" s="170">
      <c r="B5093" s="122" t="inlineStr">
        <is>
          <t>码值：AdjstType</t>
        </is>
      </c>
    </row>
    <row r="5094">
      <c r="B5094" s="24" t="inlineStr">
        <is>
          <t>AdjstType</t>
        </is>
      </c>
      <c r="C5094" s="24" t="inlineStr">
        <is>
          <t>调整类型</t>
        </is>
      </c>
      <c r="D5094" s="24" t="inlineStr">
        <is>
          <t>01</t>
        </is>
      </c>
      <c r="E5094" s="24" t="inlineStr">
        <is>
          <t>分类结果调整</t>
        </is>
      </c>
    </row>
    <row r="5095">
      <c r="B5095" s="24" t="inlineStr">
        <is>
          <t>AdjstType</t>
        </is>
      </c>
      <c r="C5095" s="24" t="inlineStr">
        <is>
          <t>调整类型</t>
        </is>
      </c>
      <c r="D5095" s="24" t="inlineStr">
        <is>
          <t>02</t>
        </is>
      </c>
      <c r="E5095" s="24" t="inlineStr">
        <is>
          <t>分类方式调整</t>
        </is>
      </c>
    </row>
    <row r="5096" ht="15.95" customHeight="1" s="170">
      <c r="B5096" s="122" t="inlineStr">
        <is>
          <t>码值：TechPost</t>
        </is>
      </c>
    </row>
    <row r="5097">
      <c r="B5097" s="24" t="inlineStr">
        <is>
          <t>TechPost</t>
        </is>
      </c>
      <c r="C5097" s="24" t="inlineStr">
        <is>
          <t>职称</t>
        </is>
      </c>
      <c r="D5097" s="24" t="inlineStr">
        <is>
          <t>0</t>
        </is>
      </c>
      <c r="E5097" s="24" t="inlineStr">
        <is>
          <t>无</t>
        </is>
      </c>
    </row>
    <row r="5098">
      <c r="B5098" s="24" t="inlineStr">
        <is>
          <t>TechPost</t>
        </is>
      </c>
      <c r="C5098" s="24" t="inlineStr">
        <is>
          <t>职称</t>
        </is>
      </c>
      <c r="D5098" s="24" t="inlineStr">
        <is>
          <t>1</t>
        </is>
      </c>
      <c r="E5098" s="24" t="inlineStr">
        <is>
          <t>高级</t>
        </is>
      </c>
    </row>
    <row r="5099">
      <c r="B5099" s="24" t="inlineStr">
        <is>
          <t>TechPost</t>
        </is>
      </c>
      <c r="C5099" s="24" t="inlineStr">
        <is>
          <t>职称</t>
        </is>
      </c>
      <c r="D5099" s="24" t="inlineStr">
        <is>
          <t>2</t>
        </is>
      </c>
      <c r="E5099" s="24" t="inlineStr">
        <is>
          <t>中级</t>
        </is>
      </c>
    </row>
    <row r="5100">
      <c r="B5100" s="24" t="inlineStr">
        <is>
          <t>TechPost</t>
        </is>
      </c>
      <c r="C5100" s="24" t="inlineStr">
        <is>
          <t>职称</t>
        </is>
      </c>
      <c r="D5100" s="24" t="inlineStr">
        <is>
          <t>3</t>
        </is>
      </c>
      <c r="E5100" s="24" t="inlineStr">
        <is>
          <t>初级</t>
        </is>
      </c>
    </row>
    <row r="5101">
      <c r="B5101" s="24" t="inlineStr">
        <is>
          <t>TechPost</t>
        </is>
      </c>
      <c r="C5101" s="24" t="inlineStr">
        <is>
          <t>职称</t>
        </is>
      </c>
      <c r="D5101" s="24" t="inlineStr">
        <is>
          <t>9</t>
        </is>
      </c>
      <c r="E5101" s="24" t="inlineStr">
        <is>
          <t>未知</t>
        </is>
      </c>
    </row>
    <row r="5102" ht="15.95" customHeight="1" s="170">
      <c r="B5102" s="122" t="inlineStr">
        <is>
          <t>码值：AssetType</t>
        </is>
      </c>
    </row>
    <row r="5103">
      <c r="B5103" s="24" t="inlineStr">
        <is>
          <t>AssetType</t>
        </is>
      </c>
      <c r="C5103" s="24" t="inlineStr">
        <is>
          <t>其它资产类型</t>
        </is>
      </c>
      <c r="D5103" s="24" t="inlineStr">
        <is>
          <t>10</t>
        </is>
      </c>
      <c r="E5103" s="24" t="inlineStr">
        <is>
          <t>现钞</t>
        </is>
      </c>
    </row>
    <row r="5104">
      <c r="B5104" s="24" t="inlineStr">
        <is>
          <t>AssetType</t>
        </is>
      </c>
      <c r="C5104" s="24" t="inlineStr">
        <is>
          <t>其它资产类型</t>
        </is>
      </c>
      <c r="D5104" s="24" t="inlineStr">
        <is>
          <t>100</t>
        </is>
      </c>
      <c r="E5104" s="24" t="inlineStr">
        <is>
          <t>家用电器</t>
        </is>
      </c>
    </row>
    <row r="5105">
      <c r="B5105" s="24" t="inlineStr">
        <is>
          <t>AssetType</t>
        </is>
      </c>
      <c r="C5105" s="24" t="inlineStr">
        <is>
          <t>其它资产类型</t>
        </is>
      </c>
      <c r="D5105" s="24" t="inlineStr">
        <is>
          <t>110</t>
        </is>
      </c>
      <c r="E5105" s="24" t="inlineStr">
        <is>
          <t>家具</t>
        </is>
      </c>
    </row>
    <row r="5106">
      <c r="B5106" s="24" t="inlineStr">
        <is>
          <t>AssetType</t>
        </is>
      </c>
      <c r="C5106" s="24" t="inlineStr">
        <is>
          <t>其它资产类型</t>
        </is>
      </c>
      <c r="D5106" s="24" t="inlineStr">
        <is>
          <t>120</t>
        </is>
      </c>
      <c r="E5106" s="24" t="inlineStr">
        <is>
          <t>其他</t>
        </is>
      </c>
    </row>
    <row r="5107">
      <c r="B5107" s="24" t="inlineStr">
        <is>
          <t>AssetType</t>
        </is>
      </c>
      <c r="C5107" s="24" t="inlineStr">
        <is>
          <t>其它资产类型</t>
        </is>
      </c>
      <c r="D5107" s="24" t="inlineStr">
        <is>
          <t>20</t>
        </is>
      </c>
      <c r="E5107" s="24" t="inlineStr">
        <is>
          <t>基金</t>
        </is>
      </c>
    </row>
    <row r="5108">
      <c r="B5108" s="24" t="inlineStr">
        <is>
          <t>AssetType</t>
        </is>
      </c>
      <c r="C5108" s="24" t="inlineStr">
        <is>
          <t>其它资产类型</t>
        </is>
      </c>
      <c r="D5108" s="24" t="inlineStr">
        <is>
          <t>30</t>
        </is>
      </c>
      <c r="E5108" s="24" t="inlineStr">
        <is>
          <t>期货</t>
        </is>
      </c>
    </row>
    <row r="5109">
      <c r="B5109" s="24" t="inlineStr">
        <is>
          <t>AssetType</t>
        </is>
      </c>
      <c r="C5109" s="24" t="inlineStr">
        <is>
          <t>其它资产类型</t>
        </is>
      </c>
      <c r="D5109" s="24" t="inlineStr">
        <is>
          <t>40</t>
        </is>
      </c>
      <c r="E5109" s="24" t="inlineStr">
        <is>
          <t>短期票券</t>
        </is>
      </c>
    </row>
    <row r="5110">
      <c r="B5110" s="24" t="inlineStr">
        <is>
          <t>AssetType</t>
        </is>
      </c>
      <c r="C5110" s="24" t="inlineStr">
        <is>
          <t>其它资产类型</t>
        </is>
      </c>
      <c r="D5110" s="24" t="inlineStr">
        <is>
          <t>50</t>
        </is>
      </c>
      <c r="E5110" s="24" t="inlineStr">
        <is>
          <t>个人借贷（借出）</t>
        </is>
      </c>
    </row>
    <row r="5111">
      <c r="B5111" s="24" t="inlineStr">
        <is>
          <t>AssetType</t>
        </is>
      </c>
      <c r="C5111" s="24" t="inlineStr">
        <is>
          <t>其它资产类型</t>
        </is>
      </c>
      <c r="D5111" s="24" t="inlineStr">
        <is>
          <t>60</t>
        </is>
      </c>
      <c r="E5111" s="24" t="inlineStr">
        <is>
          <t>遗产</t>
        </is>
      </c>
    </row>
    <row r="5112">
      <c r="B5112" s="24" t="inlineStr">
        <is>
          <t>AssetType</t>
        </is>
      </c>
      <c r="C5112" s="24" t="inlineStr">
        <is>
          <t>其它资产类型</t>
        </is>
      </c>
      <c r="D5112" s="24" t="inlineStr">
        <is>
          <t>70</t>
        </is>
      </c>
      <c r="E5112" s="24" t="inlineStr">
        <is>
          <t>赠予</t>
        </is>
      </c>
    </row>
    <row r="5113">
      <c r="B5113" s="24" t="inlineStr">
        <is>
          <t>AssetType</t>
        </is>
      </c>
      <c r="C5113" s="24" t="inlineStr">
        <is>
          <t>其它资产类型</t>
        </is>
      </c>
      <c r="D5113" s="24" t="inlineStr">
        <is>
          <t>80</t>
        </is>
      </c>
      <c r="E5113" s="24" t="inlineStr">
        <is>
          <t>赡养</t>
        </is>
      </c>
    </row>
    <row r="5114">
      <c r="B5114" s="24" t="inlineStr">
        <is>
          <t>AssetType</t>
        </is>
      </c>
      <c r="C5114" s="24" t="inlineStr">
        <is>
          <t>其它资产类型</t>
        </is>
      </c>
      <c r="D5114" s="24" t="inlineStr">
        <is>
          <t>90</t>
        </is>
      </c>
      <c r="E5114" s="24" t="inlineStr">
        <is>
          <t>收藏品</t>
        </is>
      </c>
    </row>
    <row r="5115">
      <c r="B5115" s="24" t="inlineStr">
        <is>
          <t>AssetType</t>
        </is>
      </c>
      <c r="C5115" s="24" t="inlineStr">
        <is>
          <t>其它资产类型</t>
        </is>
      </c>
      <c r="D5115" s="24" t="inlineStr">
        <is>
          <t>93</t>
        </is>
      </c>
      <c r="E5115" s="24" t="inlineStr">
        <is>
          <t>家用电器</t>
        </is>
      </c>
    </row>
    <row r="5116">
      <c r="B5116" s="24" t="inlineStr">
        <is>
          <t>AssetType</t>
        </is>
      </c>
      <c r="C5116" s="24" t="inlineStr">
        <is>
          <t>其它资产类型</t>
        </is>
      </c>
      <c r="D5116" s="24" t="inlineStr">
        <is>
          <t>95</t>
        </is>
      </c>
      <c r="E5116" s="24" t="inlineStr">
        <is>
          <t>家具</t>
        </is>
      </c>
    </row>
    <row r="5117">
      <c r="B5117" s="24" t="inlineStr">
        <is>
          <t>AssetType</t>
        </is>
      </c>
      <c r="C5117" s="24" t="inlineStr">
        <is>
          <t>其它资产类型</t>
        </is>
      </c>
      <c r="D5117" s="24" t="inlineStr">
        <is>
          <t>98</t>
        </is>
      </c>
      <c r="E5117" s="24" t="inlineStr">
        <is>
          <t>其他</t>
        </is>
      </c>
    </row>
    <row r="5118" ht="15.95" customHeight="1" s="170">
      <c r="B5118" s="122" t="inlineStr">
        <is>
          <t>码值：OpinionViwRightType</t>
        </is>
      </c>
    </row>
    <row r="5119">
      <c r="B5119" s="24" t="inlineStr">
        <is>
          <t>OpinionViwRightType</t>
        </is>
      </c>
      <c r="C5119" s="24" t="inlineStr">
        <is>
          <t>意见查看权限方式</t>
        </is>
      </c>
      <c r="D5119" s="24" t="inlineStr">
        <is>
          <t>all_except</t>
        </is>
      </c>
      <c r="E5119" s="24" t="inlineStr">
        <is>
          <t>all_except - 所有阶段承办人均能查看，除指定阶段外</t>
        </is>
      </c>
    </row>
    <row r="5120">
      <c r="B5120" s="24" t="inlineStr">
        <is>
          <t>OpinionViwRightType</t>
        </is>
      </c>
      <c r="C5120" s="24" t="inlineStr">
        <is>
          <t>意见查看权限方式</t>
        </is>
      </c>
      <c r="D5120" s="24" t="inlineStr">
        <is>
          <t>none_except</t>
        </is>
      </c>
      <c r="E5120" s="24" t="inlineStr">
        <is>
          <t>none_except - 所有阶段承办人均不能查看，除指定阶段外</t>
        </is>
      </c>
    </row>
    <row r="5121" ht="15.95" customHeight="1" s="170">
      <c r="B5121" s="122" t="inlineStr">
        <is>
          <t>码值：MemberType</t>
        </is>
      </c>
    </row>
    <row r="5122">
      <c r="B5122" s="24" t="inlineStr">
        <is>
          <t>MemberType</t>
        </is>
      </c>
      <c r="C5122" s="24" t="inlineStr">
        <is>
          <t>成员类型</t>
        </is>
      </c>
      <c r="D5122" s="24" t="inlineStr">
        <is>
          <t>01</t>
        </is>
      </c>
      <c r="E5122" s="24" t="inlineStr">
        <is>
          <t>核心企业</t>
        </is>
      </c>
    </row>
    <row r="5123">
      <c r="B5123" s="24" t="inlineStr">
        <is>
          <t>MemberType</t>
        </is>
      </c>
      <c r="C5123" s="24" t="inlineStr">
        <is>
          <t>成员类型</t>
        </is>
      </c>
      <c r="D5123" s="24" t="inlineStr">
        <is>
          <t>02</t>
        </is>
      </c>
      <c r="E5123" s="24" t="inlineStr">
        <is>
          <t>一般成员</t>
        </is>
      </c>
    </row>
    <row r="5124" ht="15.95" customHeight="1" s="170">
      <c r="B5124" s="122" t="inlineStr">
        <is>
          <t>码值：EvalModel</t>
        </is>
      </c>
    </row>
    <row r="5125">
      <c r="B5125" s="24" t="inlineStr">
        <is>
          <t>EvalModel</t>
        </is>
      </c>
      <c r="C5125" s="24" t="inlineStr">
        <is>
          <t>评估模型</t>
        </is>
      </c>
      <c r="D5125" s="24" t="inlineStr">
        <is>
          <t>M_CMG_BGYFSCF</t>
        </is>
      </c>
      <c r="E5125" s="24" t="inlineStr">
        <is>
          <t>办公用房市场法</t>
        </is>
      </c>
    </row>
    <row r="5126">
      <c r="B5126" s="24" t="inlineStr">
        <is>
          <t>EvalModel</t>
        </is>
      </c>
      <c r="C5126" s="24" t="inlineStr">
        <is>
          <t>评估模型</t>
        </is>
      </c>
      <c r="D5126" s="24" t="inlineStr">
        <is>
          <t>M_CMG_CKQL</t>
        </is>
      </c>
      <c r="E5126" s="24" t="inlineStr">
        <is>
          <t>采矿权</t>
        </is>
      </c>
    </row>
    <row r="5127">
      <c r="B5127" s="24" t="inlineStr">
        <is>
          <t>EvalModel</t>
        </is>
      </c>
      <c r="C5127" s="24" t="inlineStr">
        <is>
          <t>评估模型</t>
        </is>
      </c>
      <c r="D5127" s="24" t="inlineStr">
        <is>
          <t>M_CMG_FSSGQCWBBFXF</t>
        </is>
      </c>
      <c r="E5127" s="24" t="inlineStr">
        <is>
          <t>非上市股权财务报表分析法</t>
        </is>
      </c>
    </row>
    <row r="5128">
      <c r="B5128" s="24" t="inlineStr">
        <is>
          <t>EvalModel</t>
        </is>
      </c>
      <c r="C5128" s="24" t="inlineStr">
        <is>
          <t>评估模型</t>
        </is>
      </c>
      <c r="D5128" s="24" t="inlineStr">
        <is>
          <t>M_CMG_FSSGSGQZCJCF</t>
        </is>
      </c>
      <c r="E5128" s="24" t="inlineStr">
        <is>
          <t>非上市公司股权资产基础法</t>
        </is>
      </c>
    </row>
    <row r="5129">
      <c r="B5129" s="24" t="inlineStr">
        <is>
          <t>EvalModel</t>
        </is>
      </c>
      <c r="C5129" s="24" t="inlineStr">
        <is>
          <t>评估模型</t>
        </is>
      </c>
      <c r="D5129" s="24" t="inlineStr">
        <is>
          <t>M_CMG_GYYFSCF</t>
        </is>
      </c>
      <c r="E5129" s="24" t="inlineStr">
        <is>
          <t>工业用房市场法</t>
        </is>
      </c>
    </row>
    <row r="5130">
      <c r="B5130" s="24" t="inlineStr">
        <is>
          <t>EvalModel</t>
        </is>
      </c>
      <c r="C5130" s="24" t="inlineStr">
        <is>
          <t>评估模型</t>
        </is>
      </c>
      <c r="D5130" s="24" t="inlineStr">
        <is>
          <t>M_CMG_JQSBGCCBF</t>
        </is>
      </c>
      <c r="E5130" s="24" t="inlineStr">
        <is>
          <t>机器设备（国产）成本法</t>
        </is>
      </c>
    </row>
    <row r="5131">
      <c r="B5131" s="24" t="inlineStr">
        <is>
          <t>EvalModel</t>
        </is>
      </c>
      <c r="C5131" s="24" t="inlineStr">
        <is>
          <t>评估模型</t>
        </is>
      </c>
      <c r="D5131" s="24" t="inlineStr">
        <is>
          <t>M_CMG_JQSBJKCBF</t>
        </is>
      </c>
      <c r="E5131" s="24" t="inlineStr">
        <is>
          <t>机器设备（进口）成本法</t>
        </is>
      </c>
    </row>
    <row r="5132">
      <c r="B5132" s="24" t="inlineStr">
        <is>
          <t>EvalModel</t>
        </is>
      </c>
      <c r="C5132" s="24" t="inlineStr">
        <is>
          <t>评估模型</t>
        </is>
      </c>
      <c r="D5132" s="24" t="inlineStr">
        <is>
          <t>M_CMG_JQSBZJCBF</t>
        </is>
      </c>
      <c r="E5132" s="24" t="inlineStr">
        <is>
          <t>机器设备（自建）成本法</t>
        </is>
      </c>
    </row>
    <row r="5133">
      <c r="B5133" s="24" t="inlineStr">
        <is>
          <t>EvalModel</t>
        </is>
      </c>
      <c r="C5133" s="24" t="inlineStr">
        <is>
          <t>评估模型</t>
        </is>
      </c>
      <c r="D5133" s="24" t="inlineStr">
        <is>
          <t>M_CMG_JTYSSBCF</t>
        </is>
      </c>
      <c r="E5133" s="24" t="inlineStr">
        <is>
          <t>交通运输设备市场法</t>
        </is>
      </c>
    </row>
    <row r="5134">
      <c r="B5134" s="24" t="inlineStr">
        <is>
          <t>EvalModel</t>
        </is>
      </c>
      <c r="C5134" s="24" t="inlineStr">
        <is>
          <t>评估模型</t>
        </is>
      </c>
      <c r="D5134" s="24" t="inlineStr">
        <is>
          <t>M_CMG_JTYSSBGCCBF</t>
        </is>
      </c>
      <c r="E5134" s="24" t="inlineStr">
        <is>
          <t>交通运输设备（国产）成本法</t>
        </is>
      </c>
    </row>
    <row r="5135">
      <c r="B5135" s="24" t="inlineStr">
        <is>
          <t>EvalModel</t>
        </is>
      </c>
      <c r="C5135" s="24" t="inlineStr">
        <is>
          <t>评估模型</t>
        </is>
      </c>
      <c r="D5135" s="24" t="inlineStr">
        <is>
          <t>M_CMG_JTYSSBJKCBF</t>
        </is>
      </c>
      <c r="E5135" s="24" t="inlineStr">
        <is>
          <t>交通运输设备（进口）成本法</t>
        </is>
      </c>
    </row>
    <row r="5136">
      <c r="B5136" s="24" t="inlineStr">
        <is>
          <t>EvalModel</t>
        </is>
      </c>
      <c r="C5136" s="24" t="inlineStr">
        <is>
          <t>评估模型</t>
        </is>
      </c>
      <c r="D5136" s="24" t="inlineStr">
        <is>
          <t>M_CMG_JZYFSCF</t>
        </is>
      </c>
      <c r="E5136" s="24" t="inlineStr">
        <is>
          <t>居住用房市场法</t>
        </is>
      </c>
    </row>
    <row r="5137">
      <c r="B5137" s="24" t="inlineStr">
        <is>
          <t>EvalModel</t>
        </is>
      </c>
      <c r="C5137" s="24" t="inlineStr">
        <is>
          <t>评估模型</t>
        </is>
      </c>
      <c r="D5137" s="24" t="inlineStr">
        <is>
          <t>M_CMG_LDSCF</t>
        </is>
      </c>
      <c r="E5137" s="24" t="inlineStr">
        <is>
          <t>林地市场法</t>
        </is>
      </c>
    </row>
    <row r="5138">
      <c r="B5138" s="24" t="inlineStr">
        <is>
          <t>EvalModel</t>
        </is>
      </c>
      <c r="C5138" s="24" t="inlineStr">
        <is>
          <t>评估模型</t>
        </is>
      </c>
      <c r="D5138" s="24" t="inlineStr">
        <is>
          <t>M_CMG_LM</t>
        </is>
      </c>
      <c r="E5138" s="24" t="inlineStr">
        <is>
          <t>林木收益法</t>
        </is>
      </c>
    </row>
    <row r="5139">
      <c r="B5139" s="24" t="inlineStr">
        <is>
          <t>EvalModel</t>
        </is>
      </c>
      <c r="C5139" s="24" t="inlineStr">
        <is>
          <t>评估模型</t>
        </is>
      </c>
      <c r="D5139" s="24" t="inlineStr">
        <is>
          <t>M_CMG_PMJZF</t>
        </is>
      </c>
      <c r="E5139" s="24" t="inlineStr">
        <is>
          <t>票面价值法</t>
        </is>
      </c>
    </row>
    <row r="5140">
      <c r="B5140" s="24" t="inlineStr">
        <is>
          <t>EvalModel</t>
        </is>
      </c>
      <c r="C5140" s="24" t="inlineStr">
        <is>
          <t>评估模型</t>
        </is>
      </c>
      <c r="D5140" s="24" t="inlineStr">
        <is>
          <t>M_CMG_SYYFSCF</t>
        </is>
      </c>
      <c r="E5140" s="24" t="inlineStr">
        <is>
          <t>商业用房市场法</t>
        </is>
      </c>
    </row>
    <row r="5141">
      <c r="B5141" s="24" t="inlineStr">
        <is>
          <t>EvalModel</t>
        </is>
      </c>
      <c r="C5141" s="24" t="inlineStr">
        <is>
          <t>评估模型</t>
        </is>
      </c>
      <c r="D5141" s="24" t="inlineStr">
        <is>
          <t>M_CMG_TDJZDJXZF</t>
        </is>
      </c>
      <c r="E5141" s="24" t="inlineStr">
        <is>
          <t>土地基准地价修正法</t>
        </is>
      </c>
    </row>
    <row r="5142">
      <c r="B5142" s="24" t="inlineStr">
        <is>
          <t>EvalModel</t>
        </is>
      </c>
      <c r="C5142" s="24" t="inlineStr">
        <is>
          <t>评估模型</t>
        </is>
      </c>
      <c r="D5142" s="24" t="inlineStr">
        <is>
          <t>M_CMG_XXSJF</t>
        </is>
      </c>
      <c r="E5142" s="24" t="inlineStr">
        <is>
          <t>现行市价法</t>
        </is>
      </c>
    </row>
    <row r="5143">
      <c r="B5143" s="24" t="inlineStr">
        <is>
          <t>EvalModel</t>
        </is>
      </c>
      <c r="C5143" s="24" t="inlineStr">
        <is>
          <t>评估模型</t>
        </is>
      </c>
      <c r="D5143" s="24" t="inlineStr">
        <is>
          <t>M_CMG_YSZKZLFXF</t>
        </is>
      </c>
      <c r="E5143" s="24" t="inlineStr">
        <is>
          <t>应收款项账龄分析法</t>
        </is>
      </c>
    </row>
    <row r="5144">
      <c r="B5144" s="24" t="inlineStr">
        <is>
          <t>EvalModel</t>
        </is>
      </c>
      <c r="C5144" s="24" t="inlineStr">
        <is>
          <t>评估模型</t>
        </is>
      </c>
      <c r="D5144" s="24" t="inlineStr">
        <is>
          <t>M_CMG_ZJGCCBF</t>
        </is>
      </c>
      <c r="E5144" s="24" t="inlineStr">
        <is>
          <t>在建工程成本法</t>
        </is>
      </c>
    </row>
    <row r="5145">
      <c r="B5145" s="24" t="inlineStr">
        <is>
          <t>EvalModel</t>
        </is>
      </c>
      <c r="C5145" s="24" t="inlineStr">
        <is>
          <t>评估模型</t>
        </is>
      </c>
      <c r="D5145" s="24" t="inlineStr">
        <is>
          <t>M_CMG_ZJGCWGJDBFBF</t>
        </is>
      </c>
      <c r="E5145" s="24" t="inlineStr">
        <is>
          <t>在建工程完工进度百分比法</t>
        </is>
      </c>
    </row>
    <row r="5146" ht="15.95" customHeight="1" s="170">
      <c r="B5146" s="122" t="inlineStr">
        <is>
          <t>码值：Formation</t>
        </is>
      </c>
    </row>
    <row r="5147">
      <c r="B5147" s="24" t="inlineStr">
        <is>
          <t>Formation</t>
        </is>
      </c>
      <c r="C5147" s="24" t="inlineStr">
        <is>
          <t>编制</t>
        </is>
      </c>
      <c r="D5147" s="24" t="inlineStr">
        <is>
          <t>01</t>
        </is>
      </c>
      <c r="E5147" s="24" t="inlineStr">
        <is>
          <t>公务员</t>
        </is>
      </c>
    </row>
    <row r="5148">
      <c r="B5148" s="24" t="inlineStr">
        <is>
          <t>Formation</t>
        </is>
      </c>
      <c r="C5148" s="24" t="inlineStr">
        <is>
          <t>编制</t>
        </is>
      </c>
      <c r="D5148" s="24" t="inlineStr">
        <is>
          <t>02</t>
        </is>
      </c>
      <c r="E5148" s="24" t="inlineStr">
        <is>
          <t>教师、医生或其他事业单位编制人员</t>
        </is>
      </c>
    </row>
    <row r="5149">
      <c r="B5149" s="24" t="inlineStr">
        <is>
          <t>Formation</t>
        </is>
      </c>
      <c r="C5149" s="24" t="inlineStr">
        <is>
          <t>编制</t>
        </is>
      </c>
      <c r="D5149" s="24" t="inlineStr">
        <is>
          <t>03</t>
        </is>
      </c>
      <c r="E5149" s="24" t="inlineStr">
        <is>
          <t>企业单位的中高级管理人员</t>
        </is>
      </c>
    </row>
    <row r="5150" ht="15.95" customHeight="1" s="170">
      <c r="B5150" s="122" t="inlineStr">
        <is>
          <t>码值：YesNo</t>
        </is>
      </c>
    </row>
    <row r="5151">
      <c r="B5151" s="24" t="inlineStr">
        <is>
          <t>YesNo</t>
        </is>
      </c>
      <c r="C5151" s="24" t="inlineStr">
        <is>
          <t>是否</t>
        </is>
      </c>
      <c r="D5151" s="24" t="inlineStr">
        <is>
          <t>1</t>
        </is>
      </c>
      <c r="E5151" s="24" t="inlineStr">
        <is>
          <t>是</t>
        </is>
      </c>
    </row>
    <row r="5152">
      <c r="B5152" s="24" t="inlineStr">
        <is>
          <t>YesNo</t>
        </is>
      </c>
      <c r="C5152" s="24" t="inlineStr">
        <is>
          <t>是否</t>
        </is>
      </c>
      <c r="D5152" s="24" t="inlineStr">
        <is>
          <t>2</t>
        </is>
      </c>
      <c r="E5152" s="24" t="inlineStr">
        <is>
          <t>否</t>
        </is>
      </c>
    </row>
    <row r="5153" ht="15.95" customHeight="1" s="170">
      <c r="B5153" s="122" t="inlineStr">
        <is>
          <t>码值：PrePayAmtFlag</t>
        </is>
      </c>
    </row>
    <row r="5154">
      <c r="B5154" s="24" t="inlineStr">
        <is>
          <t>PrePayAmtFlag</t>
        </is>
      </c>
      <c r="C5154" s="24" t="inlineStr">
        <is>
          <t>提前还款金额类型</t>
        </is>
      </c>
      <c r="D5154" s="24" t="inlineStr">
        <is>
          <t>1</t>
        </is>
      </c>
      <c r="E5154" s="24" t="inlineStr">
        <is>
          <t>本金</t>
        </is>
      </c>
    </row>
    <row r="5155">
      <c r="B5155" s="24" t="inlineStr">
        <is>
          <t>PrePayAmtFlag</t>
        </is>
      </c>
      <c r="C5155" s="24" t="inlineStr">
        <is>
          <t>提前还款金额类型</t>
        </is>
      </c>
      <c r="D5155" s="24" t="inlineStr">
        <is>
          <t>2</t>
        </is>
      </c>
      <c r="E5155" s="24" t="inlineStr">
        <is>
          <t>本金+利息</t>
        </is>
      </c>
    </row>
    <row r="5156" ht="15.95" customHeight="1" s="170">
      <c r="B5156" s="122" t="inlineStr">
        <is>
          <t>码值：规模和负债水平</t>
        </is>
      </c>
    </row>
    <row r="5157">
      <c r="B5157" s="24" t="inlineStr">
        <is>
          <t>规模和负债水平</t>
        </is>
      </c>
      <c r="C5157" s="24" t="inlineStr">
        <is>
          <t>规模和负债水平</t>
        </is>
      </c>
      <c r="D5157" s="24" t="inlineStr">
        <is>
          <t>101</t>
        </is>
      </c>
      <c r="E5157" s="24" t="inlineStr">
        <is>
          <t>通用--在业务覆盖范围内没有直接竞争对手</t>
        </is>
      </c>
    </row>
    <row r="5158">
      <c r="B5158" s="24" t="inlineStr">
        <is>
          <t>规模和负债水平</t>
        </is>
      </c>
      <c r="C5158" s="24" t="inlineStr">
        <is>
          <t>规模和负债水平</t>
        </is>
      </c>
      <c r="D5158" s="24" t="inlineStr">
        <is>
          <t>102</t>
        </is>
      </c>
      <c r="E5158" s="24" t="inlineStr">
        <is>
          <t>通用--在业务覆盖范围内有1~2个直接竞争对手，但该单位现排名第一</t>
        </is>
      </c>
    </row>
    <row r="5159">
      <c r="B5159" s="24" t="inlineStr">
        <is>
          <t>规模和负债水平</t>
        </is>
      </c>
      <c r="C5159" s="24" t="inlineStr">
        <is>
          <t>规模和负债水平</t>
        </is>
      </c>
      <c r="D5159" s="24" t="inlineStr">
        <is>
          <t>103</t>
        </is>
      </c>
      <c r="E5159" s="24" t="inlineStr">
        <is>
          <t>通用--在业务覆盖范围内有5个以内直接竞争对手，但该单位现排名前三</t>
        </is>
      </c>
    </row>
    <row r="5160">
      <c r="B5160" s="24" t="inlineStr">
        <is>
          <t>规模和负债水平</t>
        </is>
      </c>
      <c r="C5160" s="24" t="inlineStr">
        <is>
          <t>规模和负债水平</t>
        </is>
      </c>
      <c r="D5160" s="24" t="inlineStr">
        <is>
          <t>104</t>
        </is>
      </c>
      <c r="E5160" s="24" t="inlineStr">
        <is>
          <t>通用--在业务覆盖范围内有5个以上直接竞争对手，且行业排名在前三</t>
        </is>
      </c>
    </row>
    <row r="5161">
      <c r="B5161" s="24" t="inlineStr">
        <is>
          <t>规模和负债水平</t>
        </is>
      </c>
      <c r="C5161" s="24" t="inlineStr">
        <is>
          <t>规模和负债水平</t>
        </is>
      </c>
      <c r="D5161" s="24" t="inlineStr">
        <is>
          <t>201</t>
        </is>
      </c>
      <c r="E5161" s="24" t="inlineStr">
        <is>
          <t>学校--在校学生人数在3000人以上，在校学生人均贷款余额在30000元以下</t>
        </is>
      </c>
    </row>
    <row r="5162">
      <c r="B5162" s="24" t="inlineStr">
        <is>
          <t>规模和负债水平</t>
        </is>
      </c>
      <c r="C5162" s="24" t="inlineStr">
        <is>
          <t>规模和负债水平</t>
        </is>
      </c>
      <c r="D5162" s="24" t="inlineStr">
        <is>
          <t>202</t>
        </is>
      </c>
      <c r="E5162" s="24" t="inlineStr">
        <is>
          <t>学校--在校学生人数在3000人以上，在校学生人均贷款余额超过30000元</t>
        </is>
      </c>
    </row>
    <row r="5163">
      <c r="B5163" s="24" t="inlineStr">
        <is>
          <t>规模和负债水平</t>
        </is>
      </c>
      <c r="C5163" s="24" t="inlineStr">
        <is>
          <t>规模和负债水平</t>
        </is>
      </c>
      <c r="D5163" s="24" t="inlineStr">
        <is>
          <t>203</t>
        </is>
      </c>
      <c r="E5163" s="24" t="inlineStr">
        <is>
          <t>学校--在校学生人数在1000-3000之间</t>
        </is>
      </c>
    </row>
    <row r="5164">
      <c r="B5164" s="24" t="inlineStr">
        <is>
          <t>规模和负债水平</t>
        </is>
      </c>
      <c r="C5164" s="24" t="inlineStr">
        <is>
          <t>规模和负债水平</t>
        </is>
      </c>
      <c r="D5164" s="24" t="inlineStr">
        <is>
          <t>204</t>
        </is>
      </c>
      <c r="E5164" s="24" t="inlineStr">
        <is>
          <t>学校--在校学生人数低于1000</t>
        </is>
      </c>
    </row>
    <row r="5165">
      <c r="B5165" s="24" t="inlineStr">
        <is>
          <t>规模和负债水平</t>
        </is>
      </c>
      <c r="C5165" s="24" t="inlineStr">
        <is>
          <t>规模和负债水平</t>
        </is>
      </c>
      <c r="D5165" s="24" t="inlineStr">
        <is>
          <t>301</t>
        </is>
      </c>
      <c r="E5165" s="24" t="inlineStr">
        <is>
          <t>医院--实际开放床位大于1000张，或者病床使用率超过90%</t>
        </is>
      </c>
    </row>
    <row r="5166">
      <c r="B5166" s="24" t="inlineStr">
        <is>
          <t>规模和负债水平</t>
        </is>
      </c>
      <c r="C5166" s="24" t="inlineStr">
        <is>
          <t>规模和负债水平</t>
        </is>
      </c>
      <c r="D5166" s="24" t="inlineStr">
        <is>
          <t>302</t>
        </is>
      </c>
      <c r="E5166" s="24" t="inlineStr">
        <is>
          <t>医院--实际开放床位500-1000张，或者病床使用率高于80%</t>
        </is>
      </c>
    </row>
    <row r="5167">
      <c r="B5167" s="24" t="inlineStr">
        <is>
          <t>规模和负债水平</t>
        </is>
      </c>
      <c r="C5167" s="24" t="inlineStr">
        <is>
          <t>规模和负债水平</t>
        </is>
      </c>
      <c r="D5167" s="24" t="inlineStr">
        <is>
          <t>303</t>
        </is>
      </c>
      <c r="E5167" s="24" t="inlineStr">
        <is>
          <t>医院--实际开放床位300-500，或者病床使用率高于70%</t>
        </is>
      </c>
    </row>
    <row r="5168">
      <c r="B5168" s="24" t="inlineStr">
        <is>
          <t>规模和负债水平</t>
        </is>
      </c>
      <c r="C5168" s="24" t="inlineStr">
        <is>
          <t>规模和负债水平</t>
        </is>
      </c>
      <c r="D5168" s="24" t="inlineStr">
        <is>
          <t>304</t>
        </is>
      </c>
      <c r="E5168" s="24" t="inlineStr">
        <is>
          <t>医院--其他</t>
        </is>
      </c>
    </row>
    <row r="5169" ht="15.95" customHeight="1" s="170">
      <c r="B5169" s="122" t="inlineStr">
        <is>
          <t>码值：CreditApplyLimitIndMain</t>
        </is>
      </c>
    </row>
    <row r="5170">
      <c r="B5170" s="24" t="inlineStr">
        <is>
          <t>CreditApplyLimitIndMain</t>
        </is>
      </c>
      <c r="C5170" s="24" t="inlineStr">
        <is>
          <t>个人额度申请授信</t>
        </is>
      </c>
      <c r="D5170" s="24" t="inlineStr">
        <is>
          <t>1010</t>
        </is>
      </c>
      <c r="E5170" s="24" t="inlineStr">
        <is>
          <t>待处理</t>
        </is>
      </c>
    </row>
    <row r="5171">
      <c r="B5171" s="24" t="inlineStr">
        <is>
          <t>CreditApplyLimitIndMain</t>
        </is>
      </c>
      <c r="C5171" s="24" t="inlineStr">
        <is>
          <t>个人额度申请授信</t>
        </is>
      </c>
      <c r="D5171" s="24" t="inlineStr">
        <is>
          <t>1020</t>
        </is>
      </c>
      <c r="E5171" s="24" t="inlineStr">
        <is>
          <t>审批中</t>
        </is>
      </c>
    </row>
    <row r="5172">
      <c r="B5172" s="24" t="inlineStr">
        <is>
          <t>CreditApplyLimitIndMain</t>
        </is>
      </c>
      <c r="C5172" s="24" t="inlineStr">
        <is>
          <t>个人额度申请授信</t>
        </is>
      </c>
      <c r="D5172" s="24" t="inlineStr">
        <is>
          <t>1040,1050</t>
        </is>
      </c>
      <c r="E5172" s="24" t="inlineStr">
        <is>
          <t>处理完成</t>
        </is>
      </c>
    </row>
    <row r="5173" ht="15.95" customHeight="1" s="170">
      <c r="B5173" s="122" t="inlineStr">
        <is>
          <t>码值：LawsuitPhase</t>
        </is>
      </c>
    </row>
    <row r="5174">
      <c r="B5174" s="24" t="inlineStr">
        <is>
          <t>LawsuitPhase</t>
        </is>
      </c>
      <c r="C5174" s="24" t="inlineStr">
        <is>
          <t>所属诉讼阶段</t>
        </is>
      </c>
      <c r="D5174" s="24" t="inlineStr">
        <is>
          <t>01</t>
        </is>
      </c>
      <c r="E5174" s="24" t="inlineStr">
        <is>
          <t>一审</t>
        </is>
      </c>
    </row>
    <row r="5175">
      <c r="B5175" s="24" t="inlineStr">
        <is>
          <t>LawsuitPhase</t>
        </is>
      </c>
      <c r="C5175" s="24" t="inlineStr">
        <is>
          <t>所属诉讼阶段</t>
        </is>
      </c>
      <c r="D5175" s="24" t="inlineStr">
        <is>
          <t>02</t>
        </is>
      </c>
      <c r="E5175" s="24" t="inlineStr">
        <is>
          <t>二审</t>
        </is>
      </c>
    </row>
    <row r="5176">
      <c r="B5176" s="24" t="inlineStr">
        <is>
          <t>LawsuitPhase</t>
        </is>
      </c>
      <c r="C5176" s="24" t="inlineStr">
        <is>
          <t>所属诉讼阶段</t>
        </is>
      </c>
      <c r="D5176" s="24" t="inlineStr">
        <is>
          <t>03</t>
        </is>
      </c>
      <c r="E5176" s="24" t="inlineStr">
        <is>
          <t>一审再审</t>
        </is>
      </c>
    </row>
    <row r="5177">
      <c r="B5177" s="24" t="inlineStr">
        <is>
          <t>LawsuitPhase</t>
        </is>
      </c>
      <c r="C5177" s="24" t="inlineStr">
        <is>
          <t>所属诉讼阶段</t>
        </is>
      </c>
      <c r="D5177" s="24" t="inlineStr">
        <is>
          <t>04</t>
        </is>
      </c>
      <c r="E5177" s="24" t="inlineStr">
        <is>
          <t>二审再审</t>
        </is>
      </c>
    </row>
    <row r="5178" ht="15.95" customHeight="1" s="170">
      <c r="B5178" s="122" t="inlineStr">
        <is>
          <t>码值：CreditApplyLimitIndApproveMain</t>
        </is>
      </c>
    </row>
    <row r="5179">
      <c r="B5179" s="24" t="inlineStr">
        <is>
          <t>CreditApplyLimitIndApproveMain</t>
        </is>
      </c>
      <c r="C5179" s="24" t="inlineStr">
        <is>
          <t>个人额度批复申请授信</t>
        </is>
      </c>
      <c r="D5179" s="24" t="inlineStr">
        <is>
          <t>N</t>
        </is>
      </c>
      <c r="E5179" s="24" t="inlineStr">
        <is>
          <t>待办任务</t>
        </is>
      </c>
    </row>
    <row r="5180">
      <c r="B5180" s="24" t="inlineStr">
        <is>
          <t>CreditApplyLimitIndApproveMain</t>
        </is>
      </c>
      <c r="C5180" s="24" t="inlineStr">
        <is>
          <t>个人额度批复申请授信</t>
        </is>
      </c>
      <c r="D5180" s="24" t="inlineStr">
        <is>
          <t>Y</t>
        </is>
      </c>
      <c r="E5180" s="24" t="inlineStr">
        <is>
          <t>已办任务</t>
        </is>
      </c>
    </row>
    <row r="5181" ht="15.95" customHeight="1" s="170">
      <c r="B5181" s="122" t="inlineStr">
        <is>
          <t>码值：OccurDirection</t>
        </is>
      </c>
    </row>
    <row r="5182">
      <c r="B5182" s="24" t="inlineStr">
        <is>
          <t>OccurDirection</t>
        </is>
      </c>
      <c r="C5182" s="24" t="inlineStr">
        <is>
          <t>发生方向</t>
        </is>
      </c>
      <c r="D5182" s="24" t="inlineStr">
        <is>
          <t>0</t>
        </is>
      </c>
      <c r="E5182" s="24" t="inlineStr">
        <is>
          <t>发放</t>
        </is>
      </c>
    </row>
    <row r="5183">
      <c r="B5183" s="24" t="inlineStr">
        <is>
          <t>OccurDirection</t>
        </is>
      </c>
      <c r="C5183" s="24" t="inlineStr">
        <is>
          <t>发生方向</t>
        </is>
      </c>
      <c r="D5183" s="24" t="inlineStr">
        <is>
          <t>1</t>
        </is>
      </c>
      <c r="E5183" s="24" t="inlineStr">
        <is>
          <t>回收</t>
        </is>
      </c>
    </row>
    <row r="5184" ht="15.95" customHeight="1" s="170">
      <c r="B5184" s="122" t="inlineStr">
        <is>
          <t>码值：担保类型</t>
        </is>
      </c>
    </row>
    <row r="5185">
      <c r="B5185" s="24" t="inlineStr">
        <is>
          <t>担保类型</t>
        </is>
      </c>
      <c r="C5185" s="24" t="inlineStr">
        <is>
          <t>担保类型</t>
        </is>
      </c>
      <c r="D5185" s="24" t="inlineStr">
        <is>
          <t>1</t>
        </is>
      </c>
      <c r="E5185" s="24" t="inlineStr">
        <is>
          <t>抵质押物，抵押率&lt;=70%</t>
        </is>
      </c>
    </row>
    <row r="5186">
      <c r="B5186" s="24" t="inlineStr">
        <is>
          <t>担保类型</t>
        </is>
      </c>
      <c r="C5186" s="24" t="inlineStr">
        <is>
          <t>担保类型</t>
        </is>
      </c>
      <c r="D5186" s="24" t="inlineStr">
        <is>
          <t>2</t>
        </is>
      </c>
      <c r="E5186" s="24" t="inlineStr">
        <is>
          <t>抵质押物＋一般保证（贷易融），抵押率&gt;70%</t>
        </is>
      </c>
    </row>
    <row r="5187">
      <c r="B5187" s="24" t="inlineStr">
        <is>
          <t>担保类型</t>
        </is>
      </c>
      <c r="C5187" s="24" t="inlineStr">
        <is>
          <t>担保类型</t>
        </is>
      </c>
      <c r="D5187" s="24" t="inlineStr">
        <is>
          <t>3</t>
        </is>
      </c>
      <c r="E5187" s="24" t="inlineStr">
        <is>
          <t>房产抵押＋企业主实际经营者夫妻双方连带责任担保（贷易融），抵押率&gt;70%</t>
        </is>
      </c>
    </row>
    <row r="5188">
      <c r="B5188" s="24" t="inlineStr">
        <is>
          <t>担保类型</t>
        </is>
      </c>
      <c r="C5188" s="24" t="inlineStr">
        <is>
          <t>担保类型</t>
        </is>
      </c>
      <c r="D5188" s="24" t="inlineStr">
        <is>
          <t>4</t>
        </is>
      </c>
      <c r="E5188" s="24" t="inlineStr">
        <is>
          <t>专业公司担保（友保融/联保融）</t>
        </is>
      </c>
    </row>
    <row r="5189">
      <c r="B5189" s="24" t="inlineStr">
        <is>
          <t>担保类型</t>
        </is>
      </c>
      <c r="C5189" s="24" t="inlineStr">
        <is>
          <t>担保类型</t>
        </is>
      </c>
      <c r="D5189" s="24" t="inlineStr">
        <is>
          <t>5</t>
        </is>
      </c>
      <c r="E5189" s="24" t="inlineStr">
        <is>
          <t>一般企业担保（友保融/联保融）</t>
        </is>
      </c>
    </row>
    <row r="5190">
      <c r="B5190" s="24" t="inlineStr">
        <is>
          <t>担保类型</t>
        </is>
      </c>
      <c r="C5190" s="24" t="inlineStr">
        <is>
          <t>担保类型</t>
        </is>
      </c>
      <c r="D5190" s="24" t="inlineStr">
        <is>
          <t>6</t>
        </is>
      </c>
      <c r="E5190" s="24" t="inlineStr">
        <is>
          <t>一般企业＋自然人保证（友保融/联保融）</t>
        </is>
      </c>
    </row>
    <row r="5191">
      <c r="B5191" s="24" t="inlineStr">
        <is>
          <t>担保类型</t>
        </is>
      </c>
      <c r="C5191" s="24" t="inlineStr">
        <is>
          <t>担保类型</t>
        </is>
      </c>
      <c r="D5191" s="24" t="inlineStr">
        <is>
          <t>7</t>
        </is>
      </c>
      <c r="E5191" s="24" t="inlineStr">
        <is>
          <t>自然人担保（友保融/联保融）</t>
        </is>
      </c>
    </row>
    <row r="5192">
      <c r="B5192" s="24" t="inlineStr">
        <is>
          <t>担保类型</t>
        </is>
      </c>
      <c r="C5192" s="24" t="inlineStr">
        <is>
          <t>担保类型</t>
        </is>
      </c>
      <c r="D5192" s="24" t="inlineStr">
        <is>
          <t>8</t>
        </is>
      </c>
      <c r="E5192" s="24" t="inlineStr">
        <is>
          <t>应收账款质押＋企业实际经营者夫妻双方连带责任保证（业链融）</t>
        </is>
      </c>
    </row>
    <row r="5193">
      <c r="B5193" s="24" t="inlineStr">
        <is>
          <t>担保类型</t>
        </is>
      </c>
      <c r="C5193" s="24" t="inlineStr">
        <is>
          <t>担保类型</t>
        </is>
      </c>
      <c r="D5193" s="24" t="inlineStr">
        <is>
          <t>9</t>
        </is>
      </c>
      <c r="E5193" s="24" t="inlineStr">
        <is>
          <t>信用＋企业实际经营者夫妻双方连带责任保证（诚信融/透易融）</t>
        </is>
      </c>
    </row>
    <row r="5194" ht="15.95" customHeight="1" s="170">
      <c r="B5194" s="122" t="inlineStr">
        <is>
          <t>码值：RiskClassifyApproveMain</t>
        </is>
      </c>
    </row>
    <row r="5195">
      <c r="B5195" s="24" t="inlineStr">
        <is>
          <t>RiskClassifyApproveMain</t>
        </is>
      </c>
      <c r="C5195" s="24" t="inlineStr">
        <is>
          <t>风险分类审批主树图</t>
        </is>
      </c>
      <c r="D5195" s="24" t="inlineStr">
        <is>
          <t>N</t>
        </is>
      </c>
      <c r="E5195" s="24" t="inlineStr">
        <is>
          <t>待办任务</t>
        </is>
      </c>
    </row>
    <row r="5196">
      <c r="B5196" s="24" t="inlineStr">
        <is>
          <t>RiskClassifyApproveMain</t>
        </is>
      </c>
      <c r="C5196" s="24" t="inlineStr">
        <is>
          <t>风险分类审批主树图</t>
        </is>
      </c>
      <c r="D5196" s="24" t="inlineStr">
        <is>
          <t>Y</t>
        </is>
      </c>
      <c r="E5196" s="24" t="inlineStr">
        <is>
          <t>已办任务</t>
        </is>
      </c>
    </row>
    <row r="5197" ht="15.95" customHeight="1" s="170">
      <c r="B5197" s="122" t="inlineStr">
        <is>
          <t>码值：BusinessStatus</t>
        </is>
      </c>
    </row>
    <row r="5198">
      <c r="B5198" s="24" t="inlineStr">
        <is>
          <t>BusinessStatus</t>
        </is>
      </c>
      <c r="C5198" s="24" t="inlineStr">
        <is>
          <t>四级分类</t>
        </is>
      </c>
      <c r="D5198" s="24" t="inlineStr">
        <is>
          <t>2021</t>
        </is>
      </c>
      <c r="E5198" s="24" t="inlineStr">
        <is>
          <t>逾期天数在30天及以下</t>
        </is>
      </c>
    </row>
    <row r="5199">
      <c r="B5199" s="24" t="inlineStr">
        <is>
          <t>BusinessStatus</t>
        </is>
      </c>
      <c r="C5199" s="24" t="inlineStr">
        <is>
          <t>四级分类</t>
        </is>
      </c>
      <c r="D5199" s="24" t="inlineStr">
        <is>
          <t>2022</t>
        </is>
      </c>
      <c r="E5199" s="24" t="inlineStr">
        <is>
          <t>逾期天数在90天以下</t>
        </is>
      </c>
    </row>
    <row r="5200">
      <c r="B5200" s="24" t="inlineStr">
        <is>
          <t>BusinessStatus</t>
        </is>
      </c>
      <c r="C5200" s="24" t="inlineStr">
        <is>
          <t>四级分类</t>
        </is>
      </c>
      <c r="D5200" s="24" t="inlineStr">
        <is>
          <t>2023</t>
        </is>
      </c>
      <c r="E5200" s="24" t="inlineStr">
        <is>
          <t>逾期90天(含90天)以上</t>
        </is>
      </c>
    </row>
    <row r="5201">
      <c r="B5201" s="24" t="inlineStr">
        <is>
          <t>BusinessStatus</t>
        </is>
      </c>
      <c r="C5201" s="24" t="inlineStr">
        <is>
          <t>四级分类</t>
        </is>
      </c>
      <c r="D5201" s="24" t="inlineStr">
        <is>
          <t>2024</t>
        </is>
      </c>
      <c r="E5201" s="24" t="inlineStr">
        <is>
          <t>逾期180天(含180天)以上</t>
        </is>
      </c>
    </row>
    <row r="5202">
      <c r="B5202" s="24" t="inlineStr">
        <is>
          <t>BusinessStatus</t>
        </is>
      </c>
      <c r="C5202" s="24" t="inlineStr">
        <is>
          <t>四级分类</t>
        </is>
      </c>
      <c r="D5202" s="24" t="inlineStr">
        <is>
          <t>2025</t>
        </is>
      </c>
      <c r="E5202" s="24" t="inlineStr">
        <is>
          <t>逾期360天(含360天)以上</t>
        </is>
      </c>
    </row>
    <row r="5203">
      <c r="B5203" s="24" t="inlineStr">
        <is>
          <t>BusinessStatus</t>
        </is>
      </c>
      <c r="C5203" s="24" t="inlineStr">
        <is>
          <t>四级分类</t>
        </is>
      </c>
      <c r="D5203" s="24" t="inlineStr">
        <is>
          <t>30</t>
        </is>
      </c>
      <c r="E5203" s="24" t="inlineStr">
        <is>
          <t>呆滞</t>
        </is>
      </c>
    </row>
    <row r="5204">
      <c r="B5204" s="24" t="inlineStr">
        <is>
          <t>BusinessStatus</t>
        </is>
      </c>
      <c r="C5204" s="24" t="inlineStr">
        <is>
          <t>四级分类</t>
        </is>
      </c>
      <c r="D5204" s="24" t="inlineStr">
        <is>
          <t>40</t>
        </is>
      </c>
      <c r="E5204" s="24" t="inlineStr">
        <is>
          <t>呆帐</t>
        </is>
      </c>
    </row>
    <row r="5205">
      <c r="B5205" s="24" t="inlineStr">
        <is>
          <t>BusinessStatus</t>
        </is>
      </c>
      <c r="C5205" s="24" t="inlineStr">
        <is>
          <t>四级分类</t>
        </is>
      </c>
      <c r="D5205" s="24" t="inlineStr">
        <is>
          <t>5</t>
        </is>
      </c>
      <c r="E5205" s="24" t="inlineStr">
        <is>
          <t>正常</t>
        </is>
      </c>
    </row>
    <row r="5206" ht="15.95" customHeight="1" s="170">
      <c r="B5206" s="122" t="inlineStr">
        <is>
          <t>码值：ImageType</t>
        </is>
      </c>
    </row>
    <row r="5207">
      <c r="B5207" s="24" t="inlineStr">
        <is>
          <t>ImageType</t>
        </is>
      </c>
      <c r="C5207" s="24" t="inlineStr">
        <is>
          <t>影像类型</t>
        </is>
      </c>
      <c r="D5207" s="24" t="inlineStr">
        <is>
          <t>010</t>
        </is>
      </c>
      <c r="E5207" s="24" t="inlineStr">
        <is>
          <t>业务档案</t>
        </is>
      </c>
    </row>
    <row r="5208">
      <c r="B5208" s="24" t="inlineStr">
        <is>
          <t>ImageType</t>
        </is>
      </c>
      <c r="C5208" s="24" t="inlineStr">
        <is>
          <t>影像类型</t>
        </is>
      </c>
      <c r="D5208" s="24" t="inlineStr">
        <is>
          <t>020</t>
        </is>
      </c>
      <c r="E5208" s="24" t="inlineStr">
        <is>
          <t>合作项目</t>
        </is>
      </c>
    </row>
    <row r="5209">
      <c r="B5209" s="24" t="inlineStr">
        <is>
          <t>ImageType</t>
        </is>
      </c>
      <c r="C5209" s="24" t="inlineStr">
        <is>
          <t>影像类型</t>
        </is>
      </c>
      <c r="D5209" s="24" t="inlineStr">
        <is>
          <t>10</t>
        </is>
      </c>
      <c r="E5209" s="24" t="inlineStr">
        <is>
          <t>档案管理</t>
        </is>
      </c>
    </row>
    <row r="5210" ht="15.95" customHeight="1" s="170">
      <c r="B5210" s="122" t="inlineStr">
        <is>
          <t>码值：ApproveApplyMain</t>
        </is>
      </c>
    </row>
    <row r="5211">
      <c r="B5211" s="24" t="inlineStr">
        <is>
          <t>ApproveApplyMain</t>
        </is>
      </c>
      <c r="C5211" s="24" t="inlineStr">
        <is>
          <t>最终审批意见主树图</t>
        </is>
      </c>
      <c r="D5211" s="24" t="inlineStr">
        <is>
          <t>10</t>
        </is>
      </c>
      <c r="E5211" s="24" t="inlineStr">
        <is>
          <t>树型菜单中文名称</t>
        </is>
      </c>
    </row>
    <row r="5212">
      <c r="B5212" s="24" t="inlineStr">
        <is>
          <t>ApproveApplyMain</t>
        </is>
      </c>
      <c r="C5212" s="24" t="inlineStr">
        <is>
          <t>最终审批意见主树图</t>
        </is>
      </c>
      <c r="D5212" s="24" t="inlineStr">
        <is>
          <t>1010</t>
        </is>
      </c>
      <c r="E5212" s="24" t="inlineStr">
        <is>
          <t>待提交复核最终审批意见</t>
        </is>
      </c>
    </row>
    <row r="5213">
      <c r="B5213" s="24" t="inlineStr">
        <is>
          <t>ApproveApplyMain</t>
        </is>
      </c>
      <c r="C5213" s="24" t="inlineStr">
        <is>
          <t>最终审批意见主树图</t>
        </is>
      </c>
      <c r="D5213" s="24" t="inlineStr">
        <is>
          <t>1020</t>
        </is>
      </c>
      <c r="E5213" s="24" t="inlineStr">
        <is>
          <t>复核中最终审批意见</t>
        </is>
      </c>
    </row>
    <row r="5214">
      <c r="B5214" s="24" t="inlineStr">
        <is>
          <t>ApproveApplyMain</t>
        </is>
      </c>
      <c r="C5214" s="24" t="inlineStr">
        <is>
          <t>最终审批意见主树图</t>
        </is>
      </c>
      <c r="D5214" s="24" t="inlineStr">
        <is>
          <t>1030</t>
        </is>
      </c>
      <c r="E5214" s="24" t="inlineStr">
        <is>
          <t>复核退回最终审批意见</t>
        </is>
      </c>
    </row>
    <row r="5215">
      <c r="B5215" s="24" t="inlineStr">
        <is>
          <t>ApproveApplyMain</t>
        </is>
      </c>
      <c r="C5215" s="24" t="inlineStr">
        <is>
          <t>最终审批意见主树图</t>
        </is>
      </c>
      <c r="D5215" s="24" t="inlineStr">
        <is>
          <t>1040</t>
        </is>
      </c>
      <c r="E5215" s="24" t="inlineStr">
        <is>
          <t>已复核的最终审批意见</t>
        </is>
      </c>
    </row>
    <row r="5216" ht="15.95" customHeight="1" s="170">
      <c r="B5216" s="122" t="inlineStr">
        <is>
          <t>码值：TransactionModel</t>
        </is>
      </c>
    </row>
    <row r="5217">
      <c r="B5217" s="24" t="inlineStr">
        <is>
          <t>TransactionModel</t>
        </is>
      </c>
      <c r="C5217" s="24" t="inlineStr">
        <is>
          <t>交易模式</t>
        </is>
      </c>
      <c r="D5217" s="24" t="inlineStr">
        <is>
          <t>01</t>
        </is>
      </c>
      <c r="E5217" s="24" t="inlineStr">
        <is>
          <t>现金</t>
        </is>
      </c>
    </row>
    <row r="5218">
      <c r="B5218" s="24" t="inlineStr">
        <is>
          <t>TransactionModel</t>
        </is>
      </c>
      <c r="C5218" s="24" t="inlineStr">
        <is>
          <t>交易模式</t>
        </is>
      </c>
      <c r="D5218" s="24" t="inlineStr">
        <is>
          <t>02</t>
        </is>
      </c>
      <c r="E5218" s="24" t="inlineStr">
        <is>
          <t>转账</t>
        </is>
      </c>
    </row>
    <row r="5219" ht="15.95" customHeight="1" s="170">
      <c r="B5219" s="122" t="inlineStr">
        <is>
          <t>码值：ApplyType</t>
        </is>
      </c>
    </row>
    <row r="5220">
      <c r="B5220" s="24" t="inlineStr">
        <is>
          <t>ApplyType</t>
        </is>
      </c>
      <c r="C5220" s="24" t="inlineStr">
        <is>
          <t>申请类型</t>
        </is>
      </c>
      <c r="D5220" s="24" t="inlineStr">
        <is>
          <t>AgencyAccessApply</t>
        </is>
      </c>
      <c r="E5220" s="24" t="inlineStr">
        <is>
          <t>新增准入申请</t>
        </is>
      </c>
    </row>
    <row r="5221">
      <c r="B5221" s="24" t="inlineStr">
        <is>
          <t>ApplyType</t>
        </is>
      </c>
      <c r="C5221" s="24" t="inlineStr">
        <is>
          <t>申请类型</t>
        </is>
      </c>
      <c r="D5221" s="24" t="inlineStr">
        <is>
          <t>AgencyAlertApply</t>
        </is>
      </c>
      <c r="E5221" s="24" t="inlineStr">
        <is>
          <t>新增警示申请</t>
        </is>
      </c>
    </row>
    <row r="5222">
      <c r="B5222" s="24" t="inlineStr">
        <is>
          <t>ApplyType</t>
        </is>
      </c>
      <c r="C5222" s="24" t="inlineStr">
        <is>
          <t>申请类型</t>
        </is>
      </c>
      <c r="D5222" s="24" t="inlineStr">
        <is>
          <t>AgencyBlackApply</t>
        </is>
      </c>
      <c r="E5222" s="24" t="inlineStr">
        <is>
          <t>新增黑名单申请</t>
        </is>
      </c>
    </row>
    <row r="5223">
      <c r="B5223" s="24" t="inlineStr">
        <is>
          <t>ApplyType</t>
        </is>
      </c>
      <c r="C5223" s="24" t="inlineStr">
        <is>
          <t>申请类型</t>
        </is>
      </c>
      <c r="D5223" s="24" t="inlineStr">
        <is>
          <t>AgencyEvaluateApply</t>
        </is>
      </c>
      <c r="E5223" s="24" t="inlineStr">
        <is>
          <t>评价调查申请</t>
        </is>
      </c>
    </row>
    <row r="5224">
      <c r="B5224" s="24" t="inlineStr">
        <is>
          <t>ApplyType</t>
        </is>
      </c>
      <c r="C5224" s="24" t="inlineStr">
        <is>
          <t>申请类型</t>
        </is>
      </c>
      <c r="D5224" s="24" t="inlineStr">
        <is>
          <t>AgencyExaminedApply</t>
        </is>
      </c>
      <c r="E5224" s="24" t="inlineStr">
        <is>
          <t>新增年审申请</t>
        </is>
      </c>
    </row>
    <row r="5225">
      <c r="B5225" s="24" t="inlineStr">
        <is>
          <t>ApplyType</t>
        </is>
      </c>
      <c r="C5225" s="24" t="inlineStr">
        <is>
          <t>申请类型</t>
        </is>
      </c>
      <c r="D5225" s="24" t="inlineStr">
        <is>
          <t>AgencyExitApply</t>
        </is>
      </c>
      <c r="E5225" s="24" t="inlineStr">
        <is>
          <t>新增退出申请</t>
        </is>
      </c>
    </row>
    <row r="5226">
      <c r="B5226" s="24" t="inlineStr">
        <is>
          <t>ApplyType</t>
        </is>
      </c>
      <c r="C5226" s="24" t="inlineStr">
        <is>
          <t>申请类型</t>
        </is>
      </c>
      <c r="D5226" s="24" t="inlineStr">
        <is>
          <t>AgencyRelieveAlertApply</t>
        </is>
      </c>
      <c r="E5226" s="24" t="inlineStr">
        <is>
          <t>新增警示信息解除申请</t>
        </is>
      </c>
    </row>
    <row r="5227">
      <c r="B5227" s="24" t="inlineStr">
        <is>
          <t>ApplyType</t>
        </is>
      </c>
      <c r="C5227" s="24" t="inlineStr">
        <is>
          <t>申请类型</t>
        </is>
      </c>
      <c r="D5227" s="24" t="inlineStr">
        <is>
          <t>AgencyRelieveBlackApply</t>
        </is>
      </c>
      <c r="E5227" s="24" t="inlineStr">
        <is>
          <t>新增黑名单解除申请</t>
        </is>
      </c>
    </row>
    <row r="5228">
      <c r="B5228" s="24" t="inlineStr">
        <is>
          <t>ApplyType</t>
        </is>
      </c>
      <c r="C5228" s="24" t="inlineStr">
        <is>
          <t>申请类型</t>
        </is>
      </c>
      <c r="D5228" s="24" t="inlineStr">
        <is>
          <t>ApplyType代码</t>
        </is>
      </c>
      <c r="E5228" s="24" t="inlineStr">
        <is>
          <t>ApplyType名称</t>
        </is>
      </c>
    </row>
    <row r="5229">
      <c r="B5229" s="24" t="inlineStr">
        <is>
          <t>ApplyType</t>
        </is>
      </c>
      <c r="C5229" s="24" t="inlineStr">
        <is>
          <t>申请类型</t>
        </is>
      </c>
      <c r="D5229" s="24" t="inlineStr">
        <is>
          <t>ApproveApply</t>
        </is>
      </c>
      <c r="E5229" s="24" t="inlineStr">
        <is>
          <t>最终审批意见登记</t>
        </is>
      </c>
    </row>
    <row r="5230">
      <c r="B5230" s="24" t="inlineStr">
        <is>
          <t>ApplyType</t>
        </is>
      </c>
      <c r="C5230" s="24" t="inlineStr">
        <is>
          <t>申请类型</t>
        </is>
      </c>
      <c r="D5230" s="24" t="inlineStr">
        <is>
          <t>BookInContractApplyEnt</t>
        </is>
      </c>
      <c r="E5230" s="24" t="inlineStr">
        <is>
          <t>大中批复合同登记申请</t>
        </is>
      </c>
    </row>
    <row r="5231">
      <c r="B5231" s="24" t="inlineStr">
        <is>
          <t>ApplyType</t>
        </is>
      </c>
      <c r="C5231" s="24" t="inlineStr">
        <is>
          <t>申请类型</t>
        </is>
      </c>
      <c r="D5231" s="24" t="inlineStr">
        <is>
          <t>BookInContractApplyFina</t>
        </is>
      </c>
      <c r="E5231" s="24" t="inlineStr">
        <is>
          <t>同业批复合同登记申请</t>
        </is>
      </c>
    </row>
    <row r="5232">
      <c r="B5232" s="24" t="inlineStr">
        <is>
          <t>ApplyType</t>
        </is>
      </c>
      <c r="C5232" s="24" t="inlineStr">
        <is>
          <t>申请类型</t>
        </is>
      </c>
      <c r="D5232" s="24" t="inlineStr">
        <is>
          <t>BookInContractApplyInd</t>
        </is>
      </c>
      <c r="E5232" s="24" t="inlineStr">
        <is>
          <t>个人批复合同登记申请</t>
        </is>
      </c>
    </row>
    <row r="5233">
      <c r="B5233" s="24" t="inlineStr">
        <is>
          <t>ApplyType</t>
        </is>
      </c>
      <c r="C5233" s="24" t="inlineStr">
        <is>
          <t>申请类型</t>
        </is>
      </c>
      <c r="D5233" s="24" t="inlineStr">
        <is>
          <t>BookInContractApplySME</t>
        </is>
      </c>
      <c r="E5233" s="24" t="inlineStr">
        <is>
          <t>小微批复合同登记申请</t>
        </is>
      </c>
    </row>
    <row r="5234">
      <c r="B5234" s="24" t="inlineStr">
        <is>
          <t>ApplyType</t>
        </is>
      </c>
      <c r="C5234" s="24" t="inlineStr">
        <is>
          <t>申请类型</t>
        </is>
      </c>
      <c r="D5234" s="24" t="inlineStr">
        <is>
          <t>BookInContractUnderApplyEnt</t>
        </is>
      </c>
      <c r="E5234" s="24" t="inlineStr">
        <is>
          <t>额度项下合同登记申请</t>
        </is>
      </c>
    </row>
    <row r="5235">
      <c r="B5235" s="24" t="inlineStr">
        <is>
          <t>ApplyType</t>
        </is>
      </c>
      <c r="C5235" s="24" t="inlineStr">
        <is>
          <t>申请类型</t>
        </is>
      </c>
      <c r="D5235" s="24" t="inlineStr">
        <is>
          <t>BookInContractUnderApplyFina</t>
        </is>
      </c>
      <c r="E5235" s="24" t="inlineStr">
        <is>
          <t>同业项下合同登记申请</t>
        </is>
      </c>
    </row>
    <row r="5236">
      <c r="B5236" s="24" t="inlineStr">
        <is>
          <t>ApplyType</t>
        </is>
      </c>
      <c r="C5236" s="24" t="inlineStr">
        <is>
          <t>申请类型</t>
        </is>
      </c>
      <c r="D5236" s="24" t="inlineStr">
        <is>
          <t>BookInContractUnderApplyInd</t>
        </is>
      </c>
      <c r="E5236" s="24" t="inlineStr">
        <is>
          <t>个人项下合同登记申请</t>
        </is>
      </c>
    </row>
    <row r="5237">
      <c r="B5237" s="24" t="inlineStr">
        <is>
          <t>ApplyType</t>
        </is>
      </c>
      <c r="C5237" s="24" t="inlineStr">
        <is>
          <t>申请类型</t>
        </is>
      </c>
      <c r="D5237" s="24" t="inlineStr">
        <is>
          <t>BookInContractUnderApplySME</t>
        </is>
      </c>
      <c r="E5237" s="24" t="inlineStr">
        <is>
          <t>小微项下合同登记申请</t>
        </is>
      </c>
    </row>
    <row r="5238">
      <c r="B5238" s="24" t="inlineStr">
        <is>
          <t>ApplyType</t>
        </is>
      </c>
      <c r="C5238" s="24" t="inlineStr">
        <is>
          <t>申请类型</t>
        </is>
      </c>
      <c r="D5238" s="24" t="inlineStr">
        <is>
          <t>CapitalPurposeCheck</t>
        </is>
      </c>
      <c r="E5238" s="24" t="inlineStr">
        <is>
          <t>资金用途检查申请</t>
        </is>
      </c>
    </row>
    <row r="5239">
      <c r="B5239" s="24" t="inlineStr">
        <is>
          <t>ApplyType</t>
        </is>
      </c>
      <c r="C5239" s="24" t="inlineStr">
        <is>
          <t>申请类型</t>
        </is>
      </c>
      <c r="D5239" s="24" t="inlineStr">
        <is>
          <t>CapitalPurposeIndCheck</t>
        </is>
      </c>
      <c r="E5239" s="24" t="inlineStr">
        <is>
          <t>个人资金用途检查申请</t>
        </is>
      </c>
    </row>
    <row r="5240">
      <c r="B5240" s="24" t="inlineStr">
        <is>
          <t>ApplyType</t>
        </is>
      </c>
      <c r="C5240" s="24" t="inlineStr">
        <is>
          <t>申请类型</t>
        </is>
      </c>
      <c r="D5240" s="24" t="inlineStr">
        <is>
          <t>CapitalPurposeMinCheck</t>
        </is>
      </c>
      <c r="E5240" s="24" t="inlineStr">
        <is>
          <t>小微资金用途检查申请</t>
        </is>
      </c>
    </row>
    <row r="5241">
      <c r="B5241" s="24" t="inlineStr">
        <is>
          <t>ApplyType</t>
        </is>
      </c>
      <c r="C5241" s="24" t="inlineStr">
        <is>
          <t>申请类型</t>
        </is>
      </c>
      <c r="D5241" s="24" t="inlineStr">
        <is>
          <t>ClDrawnApplyEnt</t>
        </is>
      </c>
      <c r="E5241" s="24" t="inlineStr">
        <is>
          <t>大中额度提用申请</t>
        </is>
      </c>
    </row>
    <row r="5242">
      <c r="B5242" s="24" t="inlineStr">
        <is>
          <t>ApplyType</t>
        </is>
      </c>
      <c r="C5242" s="24" t="inlineStr">
        <is>
          <t>申请类型</t>
        </is>
      </c>
      <c r="D5242" s="24" t="inlineStr">
        <is>
          <t>ClDrawnApplyFina</t>
        </is>
      </c>
      <c r="E5242" s="24" t="inlineStr">
        <is>
          <t>同业额度提用申请</t>
        </is>
      </c>
    </row>
    <row r="5243">
      <c r="B5243" s="24" t="inlineStr">
        <is>
          <t>ApplyType</t>
        </is>
      </c>
      <c r="C5243" s="24" t="inlineStr">
        <is>
          <t>申请类型</t>
        </is>
      </c>
      <c r="D5243" s="24" t="inlineStr">
        <is>
          <t>ClDrawnApplyInd</t>
        </is>
      </c>
      <c r="E5243" s="24" t="inlineStr">
        <is>
          <t>个人额度提用申请</t>
        </is>
      </c>
    </row>
    <row r="5244">
      <c r="B5244" s="24" t="inlineStr">
        <is>
          <t>ApplyType</t>
        </is>
      </c>
      <c r="C5244" s="24" t="inlineStr">
        <is>
          <t>申请类型</t>
        </is>
      </c>
      <c r="D5244" s="24" t="inlineStr">
        <is>
          <t>ClDrawnApplySME</t>
        </is>
      </c>
      <c r="E5244" s="24" t="inlineStr">
        <is>
          <t>小微额度提用申请</t>
        </is>
      </c>
    </row>
    <row r="5245">
      <c r="B5245" s="24" t="inlineStr">
        <is>
          <t>ApplyType</t>
        </is>
      </c>
      <c r="C5245" s="24" t="inlineStr">
        <is>
          <t>申请类型</t>
        </is>
      </c>
      <c r="D5245" s="24" t="inlineStr">
        <is>
          <t>ClassifyAdjust</t>
        </is>
      </c>
      <c r="E5245" s="24" t="inlineStr">
        <is>
          <t>风险调整申请</t>
        </is>
      </c>
    </row>
    <row r="5246">
      <c r="B5246" s="24" t="inlineStr">
        <is>
          <t>ApplyType</t>
        </is>
      </c>
      <c r="C5246" s="24" t="inlineStr">
        <is>
          <t>申请类型</t>
        </is>
      </c>
      <c r="D5246" s="24" t="inlineStr">
        <is>
          <t>ClassifyApply</t>
        </is>
      </c>
      <c r="E5246" s="24" t="inlineStr">
        <is>
          <t>五级分类认定申请</t>
        </is>
      </c>
    </row>
    <row r="5247">
      <c r="B5247" s="24" t="inlineStr">
        <is>
          <t>ApplyType</t>
        </is>
      </c>
      <c r="C5247" s="24" t="inlineStr">
        <is>
          <t>申请类型</t>
        </is>
      </c>
      <c r="D5247" s="24" t="inlineStr">
        <is>
          <t>ClrSimpleEvaluate</t>
        </is>
      </c>
      <c r="E5247" s="24" t="inlineStr">
        <is>
          <t>押品单笔估值申请</t>
        </is>
      </c>
    </row>
    <row r="5248">
      <c r="B5248" s="24" t="inlineStr">
        <is>
          <t>ApplyType</t>
        </is>
      </c>
      <c r="C5248" s="24" t="inlineStr">
        <is>
          <t>申请类型</t>
        </is>
      </c>
      <c r="D5248" s="24" t="inlineStr">
        <is>
          <t>CreditApplyBatchCl</t>
        </is>
      </c>
      <c r="E5248" s="24" t="inlineStr">
        <is>
          <t>批量授信申请</t>
        </is>
      </c>
    </row>
    <row r="5249">
      <c r="B5249" s="24" t="inlineStr">
        <is>
          <t>ApplyType</t>
        </is>
      </c>
      <c r="C5249" s="24" t="inlineStr">
        <is>
          <t>申请类型</t>
        </is>
      </c>
      <c r="D5249" s="24" t="inlineStr">
        <is>
          <t>CreditApplyBatchFinanceCl</t>
        </is>
      </c>
      <c r="E5249" s="24" t="inlineStr">
        <is>
          <t>同业客户批量授信申请流程</t>
        </is>
      </c>
    </row>
    <row r="5250">
      <c r="B5250" s="24" t="inlineStr">
        <is>
          <t>ApplyType</t>
        </is>
      </c>
      <c r="C5250" s="24" t="inlineStr">
        <is>
          <t>申请类型</t>
        </is>
      </c>
      <c r="D5250" s="24" t="inlineStr">
        <is>
          <t>CreditApplyBatchUnderCl</t>
        </is>
      </c>
      <c r="E5250" s="24" t="inlineStr">
        <is>
          <t>批量项下授信申请</t>
        </is>
      </c>
    </row>
    <row r="5251">
      <c r="B5251" s="24" t="inlineStr">
        <is>
          <t>ApplyType</t>
        </is>
      </c>
      <c r="C5251" s="24" t="inlineStr">
        <is>
          <t>申请类型</t>
        </is>
      </c>
      <c r="D5251" s="24" t="inlineStr">
        <is>
          <t>CreditApplyEnt</t>
        </is>
      </c>
      <c r="E5251" s="24" t="inlineStr">
        <is>
          <t>公司单笔授信</t>
        </is>
      </c>
    </row>
    <row r="5252">
      <c r="B5252" s="24" t="inlineStr">
        <is>
          <t>ApplyType</t>
        </is>
      </c>
      <c r="C5252" s="24" t="inlineStr">
        <is>
          <t>申请类型</t>
        </is>
      </c>
      <c r="D5252" s="24" t="inlineStr">
        <is>
          <t>CreditApplyFactory</t>
        </is>
      </c>
      <c r="E5252" s="24" t="inlineStr">
        <is>
          <t>授信工厂申请流程</t>
        </is>
      </c>
    </row>
    <row r="5253">
      <c r="B5253" s="24" t="inlineStr">
        <is>
          <t>ApplyType</t>
        </is>
      </c>
      <c r="C5253" s="24" t="inlineStr">
        <is>
          <t>申请类型</t>
        </is>
      </c>
      <c r="D5253" s="24" t="inlineStr">
        <is>
          <t>CreditApplyFinanceCl</t>
        </is>
      </c>
      <c r="E5253" s="24" t="inlineStr">
        <is>
          <t>同业客户授信申请流程</t>
        </is>
      </c>
    </row>
    <row r="5254">
      <c r="B5254" s="24" t="inlineStr">
        <is>
          <t>ApplyType</t>
        </is>
      </c>
      <c r="C5254" s="24" t="inlineStr">
        <is>
          <t>申请类型</t>
        </is>
      </c>
      <c r="D5254" s="24" t="inlineStr">
        <is>
          <t>CreditApplyGroupCl</t>
        </is>
      </c>
      <c r="E5254" s="24" t="inlineStr">
        <is>
          <t>集团授信申请</t>
        </is>
      </c>
    </row>
    <row r="5255">
      <c r="B5255" s="24" t="inlineStr">
        <is>
          <t>ApplyType</t>
        </is>
      </c>
      <c r="C5255" s="24" t="inlineStr">
        <is>
          <t>申请类型</t>
        </is>
      </c>
      <c r="D5255" s="24" t="inlineStr">
        <is>
          <t>CreditApplyInd</t>
        </is>
      </c>
      <c r="E5255" s="24" t="inlineStr">
        <is>
          <t>个人单笔授信申请</t>
        </is>
      </c>
    </row>
    <row r="5256">
      <c r="B5256" s="24" t="inlineStr">
        <is>
          <t>ApplyType</t>
        </is>
      </c>
      <c r="C5256" s="24" t="inlineStr">
        <is>
          <t>申请类型</t>
        </is>
      </c>
      <c r="D5256" s="24" t="inlineStr">
        <is>
          <t>CreditApplyIndCl</t>
        </is>
      </c>
      <c r="E5256" s="24" t="inlineStr">
        <is>
          <t>个人额度授信</t>
        </is>
      </c>
    </row>
    <row r="5257">
      <c r="B5257" s="24" t="inlineStr">
        <is>
          <t>ApplyType</t>
        </is>
      </c>
      <c r="C5257" s="24" t="inlineStr">
        <is>
          <t>申请类型</t>
        </is>
      </c>
      <c r="D5257" s="24" t="inlineStr">
        <is>
          <t>CreditApplyLimitInd</t>
        </is>
      </c>
      <c r="E5257" s="24" t="inlineStr">
        <is>
          <t>个人授信额度申请</t>
        </is>
      </c>
    </row>
    <row r="5258">
      <c r="B5258" s="24" t="inlineStr">
        <is>
          <t>ApplyType</t>
        </is>
      </c>
      <c r="C5258" s="24" t="inlineStr">
        <is>
          <t>申请类型</t>
        </is>
      </c>
      <c r="D5258" s="24" t="inlineStr">
        <is>
          <t>CreditApplySME</t>
        </is>
      </c>
      <c r="E5258" s="24" t="inlineStr">
        <is>
          <t>小微传统单笔授信申请</t>
        </is>
      </c>
    </row>
    <row r="5259">
      <c r="B5259" s="24" t="inlineStr">
        <is>
          <t>ApplyType</t>
        </is>
      </c>
      <c r="C5259" s="24" t="inlineStr">
        <is>
          <t>申请类型</t>
        </is>
      </c>
      <c r="D5259" s="24" t="inlineStr">
        <is>
          <t>CreditApplySMECl</t>
        </is>
      </c>
      <c r="E5259" s="24" t="inlineStr">
        <is>
          <t>小微传统单一授信申请</t>
        </is>
      </c>
    </row>
    <row r="5260">
      <c r="B5260" s="24" t="inlineStr">
        <is>
          <t>ApplyType</t>
        </is>
      </c>
      <c r="C5260" s="24" t="inlineStr">
        <is>
          <t>申请类型</t>
        </is>
      </c>
      <c r="D5260" s="24" t="inlineStr">
        <is>
          <t>CreditApplySMEUnderCl</t>
        </is>
      </c>
      <c r="E5260" s="24" t="inlineStr">
        <is>
          <t>小微传统额度项下授信</t>
        </is>
      </c>
    </row>
    <row r="5261">
      <c r="B5261" s="24" t="inlineStr">
        <is>
          <t>ApplyType</t>
        </is>
      </c>
      <c r="C5261" s="24" t="inlineStr">
        <is>
          <t>申请类型</t>
        </is>
      </c>
      <c r="D5261" s="24" t="inlineStr">
        <is>
          <t>CreditApplySingle</t>
        </is>
      </c>
      <c r="E5261" s="24" t="inlineStr">
        <is>
          <t>公司单一授信申请</t>
        </is>
      </c>
    </row>
    <row r="5262">
      <c r="B5262" s="24" t="inlineStr">
        <is>
          <t>ApplyType</t>
        </is>
      </c>
      <c r="C5262" s="24" t="inlineStr">
        <is>
          <t>申请类型</t>
        </is>
      </c>
      <c r="D5262" s="24" t="inlineStr">
        <is>
          <t>CreditApplySingleInd</t>
        </is>
      </c>
      <c r="E5262" s="24" t="inlineStr">
        <is>
          <t>个人单笔授信申请</t>
        </is>
      </c>
    </row>
    <row r="5263">
      <c r="B5263" s="24" t="inlineStr">
        <is>
          <t>ApplyType</t>
        </is>
      </c>
      <c r="C5263" s="24" t="inlineStr">
        <is>
          <t>申请类型</t>
        </is>
      </c>
      <c r="D5263" s="24" t="inlineStr">
        <is>
          <t>CreditApplySingleUnderCl</t>
        </is>
      </c>
      <c r="E5263" s="24" t="inlineStr">
        <is>
          <t>公司额度项下授信</t>
        </is>
      </c>
    </row>
    <row r="5264">
      <c r="B5264" s="24" t="inlineStr">
        <is>
          <t>ApplyType</t>
        </is>
      </c>
      <c r="C5264" s="24" t="inlineStr">
        <is>
          <t>申请类型</t>
        </is>
      </c>
      <c r="D5264" s="24" t="inlineStr">
        <is>
          <t>CreditApproveBatchCl</t>
        </is>
      </c>
      <c r="E5264" s="24" t="inlineStr">
        <is>
          <t>批量授信批复申请</t>
        </is>
      </c>
    </row>
    <row r="5265">
      <c r="B5265" s="24" t="inlineStr">
        <is>
          <t>ApplyType</t>
        </is>
      </c>
      <c r="C5265" s="24" t="inlineStr">
        <is>
          <t>申请类型</t>
        </is>
      </c>
      <c r="D5265" s="24" t="inlineStr">
        <is>
          <t>CreditApproveBatchFinanceCl</t>
        </is>
      </c>
      <c r="E5265" s="24" t="inlineStr">
        <is>
          <t>同业客户批量授信批复流程</t>
        </is>
      </c>
    </row>
    <row r="5266">
      <c r="B5266" s="24" t="inlineStr">
        <is>
          <t>ApplyType</t>
        </is>
      </c>
      <c r="C5266" s="24" t="inlineStr">
        <is>
          <t>申请类型</t>
        </is>
      </c>
      <c r="D5266" s="24" t="inlineStr">
        <is>
          <t>CreditApproveBatchUnderCl</t>
        </is>
      </c>
      <c r="E5266" s="24" t="inlineStr">
        <is>
          <t>批量项下授信批复申请</t>
        </is>
      </c>
    </row>
    <row r="5267">
      <c r="B5267" s="24" t="inlineStr">
        <is>
          <t>ApplyType</t>
        </is>
      </c>
      <c r="C5267" s="24" t="inlineStr">
        <is>
          <t>申请类型</t>
        </is>
      </c>
      <c r="D5267" s="24" t="inlineStr">
        <is>
          <t>CreditApproveEnt</t>
        </is>
      </c>
      <c r="E5267" s="24" t="inlineStr">
        <is>
          <t>公司单笔授信批复申请</t>
        </is>
      </c>
    </row>
    <row r="5268">
      <c r="B5268" s="24" t="inlineStr">
        <is>
          <t>ApplyType</t>
        </is>
      </c>
      <c r="C5268" s="24" t="inlineStr">
        <is>
          <t>申请类型</t>
        </is>
      </c>
      <c r="D5268" s="24" t="inlineStr">
        <is>
          <t>CreditApproveFinanceCl</t>
        </is>
      </c>
      <c r="E5268" s="24" t="inlineStr">
        <is>
          <t>同业客户单一授信批复流程</t>
        </is>
      </c>
    </row>
    <row r="5269">
      <c r="B5269" s="24" t="inlineStr">
        <is>
          <t>ApplyType</t>
        </is>
      </c>
      <c r="C5269" s="24" t="inlineStr">
        <is>
          <t>申请类型</t>
        </is>
      </c>
      <c r="D5269" s="24" t="inlineStr">
        <is>
          <t>CreditApproveGroup</t>
        </is>
      </c>
      <c r="E5269" s="24" t="inlineStr">
        <is>
          <t>集团授信批复申请</t>
        </is>
      </c>
    </row>
    <row r="5270">
      <c r="B5270" s="24" t="inlineStr">
        <is>
          <t>ApplyType</t>
        </is>
      </c>
      <c r="C5270" s="24" t="inlineStr">
        <is>
          <t>申请类型</t>
        </is>
      </c>
      <c r="D5270" s="24" t="inlineStr">
        <is>
          <t>CreditApproveLimitInd</t>
        </is>
      </c>
      <c r="E5270" s="24" t="inlineStr">
        <is>
          <t>个人额度批复申请</t>
        </is>
      </c>
    </row>
    <row r="5271">
      <c r="B5271" s="24" t="inlineStr">
        <is>
          <t>ApplyType</t>
        </is>
      </c>
      <c r="C5271" s="24" t="inlineStr">
        <is>
          <t>申请类型</t>
        </is>
      </c>
      <c r="D5271" s="24" t="inlineStr">
        <is>
          <t>CreditApproveLimitUnderInd</t>
        </is>
      </c>
      <c r="E5271" s="24" t="inlineStr">
        <is>
          <t>个人额度项下批复申请</t>
        </is>
      </c>
    </row>
    <row r="5272">
      <c r="B5272" s="24" t="inlineStr">
        <is>
          <t>ApplyType</t>
        </is>
      </c>
      <c r="C5272" s="24" t="inlineStr">
        <is>
          <t>申请类型</t>
        </is>
      </c>
      <c r="D5272" s="24" t="inlineStr">
        <is>
          <t>CreditApproveSingle</t>
        </is>
      </c>
      <c r="E5272" s="24" t="inlineStr">
        <is>
          <t>公司单一批复申请</t>
        </is>
      </c>
    </row>
    <row r="5273">
      <c r="B5273" s="24" t="inlineStr">
        <is>
          <t>ApplyType</t>
        </is>
      </c>
      <c r="C5273" s="24" t="inlineStr">
        <is>
          <t>申请类型</t>
        </is>
      </c>
      <c r="D5273" s="24" t="inlineStr">
        <is>
          <t>CreditApproveSingleInd</t>
        </is>
      </c>
      <c r="E5273" s="24" t="inlineStr">
        <is>
          <t>个人单笔授信批复申请</t>
        </is>
      </c>
    </row>
    <row r="5274">
      <c r="B5274" s="24" t="inlineStr">
        <is>
          <t>ApplyType</t>
        </is>
      </c>
      <c r="C5274" s="24" t="inlineStr">
        <is>
          <t>申请类型</t>
        </is>
      </c>
      <c r="D5274" s="24" t="inlineStr">
        <is>
          <t>CreditApproveSingleUnderCl</t>
        </is>
      </c>
      <c r="E5274" s="24" t="inlineStr">
        <is>
          <t>公司额度项下批复申请</t>
        </is>
      </c>
    </row>
    <row r="5275">
      <c r="B5275" s="24" t="inlineStr">
        <is>
          <t>ApplyType</t>
        </is>
      </c>
      <c r="C5275" s="24" t="inlineStr">
        <is>
          <t>申请类型</t>
        </is>
      </c>
      <c r="D5275" s="24" t="inlineStr">
        <is>
          <t>CreditClrInput</t>
        </is>
      </c>
      <c r="E5275" s="24" t="inlineStr">
        <is>
          <t>押品录入申请</t>
        </is>
      </c>
    </row>
    <row r="5276">
      <c r="B5276" s="24" t="inlineStr">
        <is>
          <t>ApplyType</t>
        </is>
      </c>
      <c r="C5276" s="24" t="inlineStr">
        <is>
          <t>申请类型</t>
        </is>
      </c>
      <c r="D5276" s="24" t="inlineStr">
        <is>
          <t>CreditCogApply</t>
        </is>
      </c>
      <c r="E5276" s="24" t="inlineStr">
        <is>
          <t>信用等级评估申请</t>
        </is>
      </c>
    </row>
    <row r="5277">
      <c r="B5277" s="24" t="inlineStr">
        <is>
          <t>ApplyType</t>
        </is>
      </c>
      <c r="C5277" s="24" t="inlineStr">
        <is>
          <t>申请类型</t>
        </is>
      </c>
      <c r="D5277" s="24" t="inlineStr">
        <is>
          <t>CreditFlow_barApply</t>
        </is>
      </c>
      <c r="E5277" s="24" t="inlineStr">
        <is>
          <t>授信额度申请</t>
        </is>
      </c>
    </row>
    <row r="5278">
      <c r="B5278" s="24" t="inlineStr">
        <is>
          <t>ApplyType</t>
        </is>
      </c>
      <c r="C5278" s="24" t="inlineStr">
        <is>
          <t>申请类型</t>
        </is>
      </c>
      <c r="D5278" s="24" t="inlineStr">
        <is>
          <t>CreditLimitUnderInd</t>
        </is>
      </c>
      <c r="E5278" s="24" t="inlineStr">
        <is>
          <t>个人额度项下授信申请</t>
        </is>
      </c>
    </row>
    <row r="5279">
      <c r="B5279" s="24" t="inlineStr">
        <is>
          <t>ApplyType</t>
        </is>
      </c>
      <c r="C5279" s="24" t="inlineStr">
        <is>
          <t>申请类型</t>
        </is>
      </c>
      <c r="D5279" s="24" t="inlineStr">
        <is>
          <t>CreditLineApply</t>
        </is>
      </c>
      <c r="E5279" s="24" t="inlineStr">
        <is>
          <t>授信额度申请</t>
        </is>
      </c>
    </row>
    <row r="5280">
      <c r="B5280" s="24" t="inlineStr">
        <is>
          <t>ApplyType</t>
        </is>
      </c>
      <c r="C5280" s="24" t="inlineStr">
        <is>
          <t>申请类型</t>
        </is>
      </c>
      <c r="D5280" s="24" t="inlineStr">
        <is>
          <t>CreditPutoutApplyEnt</t>
        </is>
      </c>
      <c r="E5280" s="24" t="inlineStr">
        <is>
          <t>大中放贷申请</t>
        </is>
      </c>
    </row>
    <row r="5281">
      <c r="B5281" s="24" t="inlineStr">
        <is>
          <t>ApplyType</t>
        </is>
      </c>
      <c r="C5281" s="24" t="inlineStr">
        <is>
          <t>申请类型</t>
        </is>
      </c>
      <c r="D5281" s="24" t="inlineStr">
        <is>
          <t>CreditPutoutApplyFactory</t>
        </is>
      </c>
      <c r="E5281" s="24" t="inlineStr">
        <is>
          <t>小微信贷工厂申请</t>
        </is>
      </c>
    </row>
    <row r="5282">
      <c r="B5282" s="24" t="inlineStr">
        <is>
          <t>ApplyType</t>
        </is>
      </c>
      <c r="C5282" s="24" t="inlineStr">
        <is>
          <t>申请类型</t>
        </is>
      </c>
      <c r="D5282" s="24" t="inlineStr">
        <is>
          <t>CreditPutoutApplyFina</t>
        </is>
      </c>
      <c r="E5282" s="24" t="inlineStr">
        <is>
          <t>同业放贷申请</t>
        </is>
      </c>
    </row>
    <row r="5283">
      <c r="B5283" s="24" t="inlineStr">
        <is>
          <t>ApplyType</t>
        </is>
      </c>
      <c r="C5283" s="24" t="inlineStr">
        <is>
          <t>申请类型</t>
        </is>
      </c>
      <c r="D5283" s="24" t="inlineStr">
        <is>
          <t>CreditPutoutApplyInd</t>
        </is>
      </c>
      <c r="E5283" s="24" t="inlineStr">
        <is>
          <t>个人放贷申请</t>
        </is>
      </c>
    </row>
    <row r="5284">
      <c r="B5284" s="24" t="inlineStr">
        <is>
          <t>ApplyType</t>
        </is>
      </c>
      <c r="C5284" s="24" t="inlineStr">
        <is>
          <t>申请类型</t>
        </is>
      </c>
      <c r="D5284" s="24" t="inlineStr">
        <is>
          <t>CreditPutoutApplySME</t>
        </is>
      </c>
      <c r="E5284" s="24" t="inlineStr">
        <is>
          <t>小微放贷申请</t>
        </is>
      </c>
    </row>
    <row r="5285">
      <c r="B5285" s="24" t="inlineStr">
        <is>
          <t>ApplyType</t>
        </is>
      </c>
      <c r="C5285" s="24" t="inlineStr">
        <is>
          <t>申请类型</t>
        </is>
      </c>
      <c r="D5285" s="24" t="inlineStr">
        <is>
          <t>CreditSMEApproveEnt</t>
        </is>
      </c>
      <c r="E5285" s="24" t="inlineStr">
        <is>
          <t>小微单笔授信批复申请</t>
        </is>
      </c>
    </row>
    <row r="5286">
      <c r="B5286" s="24" t="inlineStr">
        <is>
          <t>ApplyType</t>
        </is>
      </c>
      <c r="C5286" s="24" t="inlineStr">
        <is>
          <t>申请类型</t>
        </is>
      </c>
      <c r="D5286" s="24" t="inlineStr">
        <is>
          <t>CreditSMEApproveSingle</t>
        </is>
      </c>
      <c r="E5286" s="24" t="inlineStr">
        <is>
          <t>小微单一批复申请</t>
        </is>
      </c>
    </row>
    <row r="5287">
      <c r="B5287" s="24" t="inlineStr">
        <is>
          <t>ApplyType</t>
        </is>
      </c>
      <c r="C5287" s="24" t="inlineStr">
        <is>
          <t>申请类型</t>
        </is>
      </c>
      <c r="D5287" s="24" t="inlineStr">
        <is>
          <t>CreditSMEApproveSingleUnderCl</t>
        </is>
      </c>
      <c r="E5287" s="24" t="inlineStr">
        <is>
          <t>小微单一授信项下业务批复申请</t>
        </is>
      </c>
    </row>
    <row r="5288">
      <c r="B5288" s="24" t="inlineStr">
        <is>
          <t>ApplyType</t>
        </is>
      </c>
      <c r="C5288" s="24" t="inlineStr">
        <is>
          <t>申请类型</t>
        </is>
      </c>
      <c r="D5288" s="24" t="inlineStr">
        <is>
          <t>CreditTestFlowAppl</t>
        </is>
      </c>
      <c r="E5288" s="24" t="inlineStr">
        <is>
          <t>CreditTestFlowAppl</t>
        </is>
      </c>
    </row>
    <row r="5289">
      <c r="B5289" s="24" t="inlineStr">
        <is>
          <t>ApplyType</t>
        </is>
      </c>
      <c r="C5289" s="24" t="inlineStr">
        <is>
          <t>申请类型</t>
        </is>
      </c>
      <c r="D5289" s="24" t="inlineStr">
        <is>
          <t>CusAssetAndOwe</t>
        </is>
      </c>
      <c r="E5289" s="24" t="inlineStr">
        <is>
          <t>客户资产与负债明细</t>
        </is>
      </c>
    </row>
    <row r="5290">
      <c r="B5290" s="24" t="inlineStr">
        <is>
          <t>ApplyType</t>
        </is>
      </c>
      <c r="C5290" s="24" t="inlineStr">
        <is>
          <t>申请类型</t>
        </is>
      </c>
      <c r="D5290" s="24" t="inlineStr">
        <is>
          <t>DependentApply</t>
        </is>
      </c>
      <c r="E5290" s="24" t="inlineStr">
        <is>
          <t>额度项下业务申请</t>
        </is>
      </c>
    </row>
    <row r="5291">
      <c r="B5291" s="24" t="inlineStr">
        <is>
          <t>ApplyType</t>
        </is>
      </c>
      <c r="C5291" s="24" t="inlineStr">
        <is>
          <t>申请类型</t>
        </is>
      </c>
      <c r="D5291" s="24" t="inlineStr">
        <is>
          <t>EdocApply</t>
        </is>
      </c>
      <c r="E5291" s="24" t="inlineStr">
        <is>
          <t>电子合同模板申请</t>
        </is>
      </c>
    </row>
    <row r="5292">
      <c r="B5292" s="24" t="inlineStr">
        <is>
          <t>ApplyType</t>
        </is>
      </c>
      <c r="C5292" s="24" t="inlineStr">
        <is>
          <t>申请类型</t>
        </is>
      </c>
      <c r="D5292" s="24" t="inlineStr">
        <is>
          <t>ElectricContractM1</t>
        </is>
      </c>
      <c r="E5292" s="24" t="inlineStr">
        <is>
          <t>电子合同模板审批申请</t>
        </is>
      </c>
    </row>
    <row r="5293">
      <c r="B5293" s="24" t="inlineStr">
        <is>
          <t>ApplyType</t>
        </is>
      </c>
      <c r="C5293" s="24" t="inlineStr">
        <is>
          <t>申请类型</t>
        </is>
      </c>
      <c r="D5293" s="24" t="inlineStr">
        <is>
          <t>EntBackTransApply</t>
        </is>
      </c>
      <c r="E5293" s="24" t="inlineStr">
        <is>
          <t>反冲交易申请</t>
        </is>
      </c>
    </row>
    <row r="5294">
      <c r="B5294" s="24" t="inlineStr">
        <is>
          <t>ApplyType</t>
        </is>
      </c>
      <c r="C5294" s="24" t="inlineStr">
        <is>
          <t>申请类型</t>
        </is>
      </c>
      <c r="D5294" s="24" t="inlineStr">
        <is>
          <t>EntCreditApply</t>
        </is>
      </c>
      <c r="E5294" s="24" t="inlineStr">
        <is>
          <t>对公客户授信申请</t>
        </is>
      </c>
    </row>
    <row r="5295">
      <c r="B5295" s="24" t="inlineStr">
        <is>
          <t>ApplyType</t>
        </is>
      </c>
      <c r="C5295" s="24" t="inlineStr">
        <is>
          <t>申请类型</t>
        </is>
      </c>
      <c r="D5295" s="24" t="inlineStr">
        <is>
          <t>EntDepenApply</t>
        </is>
      </c>
      <c r="E5295" s="24" t="inlineStr">
        <is>
          <t>对公额度项下业务申请</t>
        </is>
      </c>
    </row>
    <row r="5296">
      <c r="B5296" s="24" t="inlineStr">
        <is>
          <t>ApplyType</t>
        </is>
      </c>
      <c r="C5296" s="24" t="inlineStr">
        <is>
          <t>申请类型</t>
        </is>
      </c>
      <c r="D5296" s="24" t="inlineStr">
        <is>
          <t>EntIrregularCheck</t>
        </is>
      </c>
      <c r="E5296" s="24" t="inlineStr">
        <is>
          <t>单一公司客户不定期贷后检查申请</t>
        </is>
      </c>
    </row>
    <row r="5297">
      <c r="B5297" s="24" t="inlineStr">
        <is>
          <t>ApplyType</t>
        </is>
      </c>
      <c r="C5297" s="24" t="inlineStr">
        <is>
          <t>申请类型</t>
        </is>
      </c>
      <c r="D5297" s="24" t="inlineStr">
        <is>
          <t>EntLimitApply</t>
        </is>
      </c>
      <c r="E5297" s="24" t="inlineStr">
        <is>
          <t>对公授信额度申请</t>
        </is>
      </c>
    </row>
    <row r="5298">
      <c r="B5298" s="24" t="inlineStr">
        <is>
          <t>ApplyType</t>
        </is>
      </c>
      <c r="C5298" s="24" t="inlineStr">
        <is>
          <t>申请类型</t>
        </is>
      </c>
      <c r="D5298" s="24" t="inlineStr">
        <is>
          <t>EntLoanApply</t>
        </is>
      </c>
      <c r="E5298" s="24" t="inlineStr">
        <is>
          <t>贷款交易申请</t>
        </is>
      </c>
    </row>
    <row r="5299">
      <c r="B5299" s="24" t="inlineStr">
        <is>
          <t>ApplyType</t>
        </is>
      </c>
      <c r="C5299" s="24" t="inlineStr">
        <is>
          <t>申请类型</t>
        </is>
      </c>
      <c r="D5299" s="24" t="inlineStr">
        <is>
          <t>EntLoanChangeApply</t>
        </is>
      </c>
      <c r="E5299" s="24" t="inlineStr">
        <is>
          <t>贷后变更申请</t>
        </is>
      </c>
    </row>
    <row r="5300">
      <c r="B5300" s="24" t="inlineStr">
        <is>
          <t>ApplyType</t>
        </is>
      </c>
      <c r="C5300" s="24" t="inlineStr">
        <is>
          <t>申请类型</t>
        </is>
      </c>
      <c r="D5300" s="24" t="inlineStr">
        <is>
          <t>EntOffLoanTransApply</t>
        </is>
      </c>
      <c r="E5300" s="24" t="inlineStr">
        <is>
          <t>表外业务申请</t>
        </is>
      </c>
    </row>
    <row r="5301">
      <c r="B5301" s="24" t="inlineStr">
        <is>
          <t>ApplyType</t>
        </is>
      </c>
      <c r="C5301" s="24" t="inlineStr">
        <is>
          <t>申请类型</t>
        </is>
      </c>
      <c r="D5301" s="24" t="inlineStr">
        <is>
          <t>EntRegularCheck</t>
        </is>
      </c>
      <c r="E5301" s="24" t="inlineStr">
        <is>
          <t>单一公司客户贷后定期检查申请</t>
        </is>
      </c>
    </row>
    <row r="5302">
      <c r="B5302" s="24" t="inlineStr">
        <is>
          <t>ApplyType</t>
        </is>
      </c>
      <c r="C5302" s="24" t="inlineStr">
        <is>
          <t>申请类型</t>
        </is>
      </c>
      <c r="D5302" s="24" t="inlineStr">
        <is>
          <t>EntSingleApply</t>
        </is>
      </c>
      <c r="E5302" s="24" t="inlineStr">
        <is>
          <t>对公单笔授信业务申请</t>
        </is>
      </c>
    </row>
    <row r="5303">
      <c r="B5303" s="24" t="inlineStr">
        <is>
          <t>ApplyType</t>
        </is>
      </c>
      <c r="C5303" s="24" t="inlineStr">
        <is>
          <t>申请类型</t>
        </is>
      </c>
      <c r="D5303" s="24" t="inlineStr">
        <is>
          <t>FinaApplyBatch</t>
        </is>
      </c>
      <c r="E5303" s="24" t="inlineStr">
        <is>
          <t>同业批量授信</t>
        </is>
      </c>
    </row>
    <row r="5304">
      <c r="B5304" s="24" t="inlineStr">
        <is>
          <t>ApplyType</t>
        </is>
      </c>
      <c r="C5304" s="24" t="inlineStr">
        <is>
          <t>申请类型</t>
        </is>
      </c>
      <c r="D5304" s="24" t="inlineStr">
        <is>
          <t>FinaApplySingle</t>
        </is>
      </c>
      <c r="E5304" s="24" t="inlineStr">
        <is>
          <t>同业单一授信</t>
        </is>
      </c>
    </row>
    <row r="5305">
      <c r="B5305" s="24" t="inlineStr">
        <is>
          <t>ApplyType</t>
        </is>
      </c>
      <c r="C5305" s="24" t="inlineStr">
        <is>
          <t>申请类型</t>
        </is>
      </c>
      <c r="D5305" s="24" t="inlineStr">
        <is>
          <t>FinanceBackTransApply</t>
        </is>
      </c>
      <c r="E5305" s="24" t="inlineStr">
        <is>
          <t>反冲交易申请</t>
        </is>
      </c>
    </row>
    <row r="5306">
      <c r="B5306" s="24" t="inlineStr">
        <is>
          <t>ApplyType</t>
        </is>
      </c>
      <c r="C5306" s="24" t="inlineStr">
        <is>
          <t>申请类型</t>
        </is>
      </c>
      <c r="D5306" s="24" t="inlineStr">
        <is>
          <t>FinanceLoanApply</t>
        </is>
      </c>
      <c r="E5306" s="24" t="inlineStr">
        <is>
          <t>贷款交易申请</t>
        </is>
      </c>
    </row>
    <row r="5307">
      <c r="B5307" s="24" t="inlineStr">
        <is>
          <t>ApplyType</t>
        </is>
      </c>
      <c r="C5307" s="24" t="inlineStr">
        <is>
          <t>申请类型</t>
        </is>
      </c>
      <c r="D5307" s="24" t="inlineStr">
        <is>
          <t>FinanceLoanChangeApply</t>
        </is>
      </c>
      <c r="E5307" s="24" t="inlineStr">
        <is>
          <t>贷后变更申请</t>
        </is>
      </c>
    </row>
    <row r="5308">
      <c r="B5308" s="24" t="inlineStr">
        <is>
          <t>ApplyType</t>
        </is>
      </c>
      <c r="C5308" s="24" t="inlineStr">
        <is>
          <t>申请类型</t>
        </is>
      </c>
      <c r="D5308" s="24" t="inlineStr">
        <is>
          <t>FinanceOffLoanTransApply</t>
        </is>
      </c>
      <c r="E5308" s="24" t="inlineStr">
        <is>
          <t>表外业务申请</t>
        </is>
      </c>
    </row>
    <row r="5309">
      <c r="B5309" s="24" t="inlineStr">
        <is>
          <t>ApplyType</t>
        </is>
      </c>
      <c r="C5309" s="24" t="inlineStr">
        <is>
          <t>申请类型</t>
        </is>
      </c>
      <c r="D5309" s="24" t="inlineStr">
        <is>
          <t>GroupIrregularCheck</t>
        </is>
      </c>
      <c r="E5309" s="24" t="inlineStr">
        <is>
          <t>集团公司客户不定期贷后检查申请</t>
        </is>
      </c>
    </row>
    <row r="5310">
      <c r="B5310" s="24" t="inlineStr">
        <is>
          <t>ApplyType</t>
        </is>
      </c>
      <c r="C5310" s="24" t="inlineStr">
        <is>
          <t>申请类型</t>
        </is>
      </c>
      <c r="D5310" s="24" t="inlineStr">
        <is>
          <t>GroupRegularCheck</t>
        </is>
      </c>
      <c r="E5310" s="24" t="inlineStr">
        <is>
          <t>集团公司客户贷定期后检查申请</t>
        </is>
      </c>
    </row>
    <row r="5311">
      <c r="B5311" s="24" t="inlineStr">
        <is>
          <t>ApplyType</t>
        </is>
      </c>
      <c r="C5311" s="24" t="inlineStr">
        <is>
          <t>申请类型</t>
        </is>
      </c>
      <c r="D5311" s="24" t="inlineStr">
        <is>
          <t>GuarantorRegularCheck</t>
        </is>
      </c>
      <c r="E5311" s="24" t="inlineStr">
        <is>
          <t>担保公司客户定期贷后检查申请</t>
        </is>
      </c>
    </row>
    <row r="5312">
      <c r="B5312" s="24" t="inlineStr">
        <is>
          <t>ApplyType</t>
        </is>
      </c>
      <c r="C5312" s="24" t="inlineStr">
        <is>
          <t>申请类型</t>
        </is>
      </c>
      <c r="D5312" s="24" t="inlineStr">
        <is>
          <t>GuarantyTransformApply</t>
        </is>
      </c>
      <c r="E5312" s="24" t="inlineStr">
        <is>
          <t>担保合同变更申请</t>
        </is>
      </c>
    </row>
    <row r="5313">
      <c r="B5313" s="24" t="inlineStr">
        <is>
          <t>ApplyType</t>
        </is>
      </c>
      <c r="C5313" s="24" t="inlineStr">
        <is>
          <t>申请类型</t>
        </is>
      </c>
      <c r="D5313" s="24" t="inlineStr">
        <is>
          <t>IndBackTransApply</t>
        </is>
      </c>
      <c r="E5313" s="24" t="inlineStr">
        <is>
          <t>反冲交易申请</t>
        </is>
      </c>
    </row>
    <row r="5314">
      <c r="B5314" s="24" t="inlineStr">
        <is>
          <t>ApplyType</t>
        </is>
      </c>
      <c r="C5314" s="24" t="inlineStr">
        <is>
          <t>申请类型</t>
        </is>
      </c>
      <c r="D5314" s="24" t="inlineStr">
        <is>
          <t>IndCreditApply</t>
        </is>
      </c>
      <c r="E5314" s="24" t="inlineStr">
        <is>
          <t>个人客户授信申请</t>
        </is>
      </c>
    </row>
    <row r="5315">
      <c r="B5315" s="24" t="inlineStr">
        <is>
          <t>ApplyType</t>
        </is>
      </c>
      <c r="C5315" s="24" t="inlineStr">
        <is>
          <t>申请类型</t>
        </is>
      </c>
      <c r="D5315" s="24" t="inlineStr">
        <is>
          <t>IndDepenApply</t>
        </is>
      </c>
      <c r="E5315" s="24" t="inlineStr">
        <is>
          <t>个人额度项下业务申请</t>
        </is>
      </c>
    </row>
    <row r="5316">
      <c r="B5316" s="24" t="inlineStr">
        <is>
          <t>ApplyType</t>
        </is>
      </c>
      <c r="C5316" s="24" t="inlineStr">
        <is>
          <t>申请类型</t>
        </is>
      </c>
      <c r="D5316" s="24" t="inlineStr">
        <is>
          <t>IndIrregularCheck</t>
        </is>
      </c>
      <c r="E5316" s="24" t="inlineStr">
        <is>
          <t>个人客户不定期贷后检查申请</t>
        </is>
      </c>
    </row>
    <row r="5317">
      <c r="B5317" s="24" t="inlineStr">
        <is>
          <t>ApplyType</t>
        </is>
      </c>
      <c r="C5317" s="24" t="inlineStr">
        <is>
          <t>申请类型</t>
        </is>
      </c>
      <c r="D5317" s="24" t="inlineStr">
        <is>
          <t>IndLimitApply</t>
        </is>
      </c>
      <c r="E5317" s="24" t="inlineStr">
        <is>
          <t>个人授信额度申请</t>
        </is>
      </c>
    </row>
    <row r="5318">
      <c r="B5318" s="24" t="inlineStr">
        <is>
          <t>ApplyType</t>
        </is>
      </c>
      <c r="C5318" s="24" t="inlineStr">
        <is>
          <t>申请类型</t>
        </is>
      </c>
      <c r="D5318" s="24" t="inlineStr">
        <is>
          <t>IndLoanApply</t>
        </is>
      </c>
      <c r="E5318" s="24" t="inlineStr">
        <is>
          <t>贷款交易申请</t>
        </is>
      </c>
    </row>
    <row r="5319">
      <c r="B5319" s="24" t="inlineStr">
        <is>
          <t>ApplyType</t>
        </is>
      </c>
      <c r="C5319" s="24" t="inlineStr">
        <is>
          <t>申请类型</t>
        </is>
      </c>
      <c r="D5319" s="24" t="inlineStr">
        <is>
          <t>IndLoanChangeApply</t>
        </is>
      </c>
      <c r="E5319" s="24" t="inlineStr">
        <is>
          <t>贷后变更申请</t>
        </is>
      </c>
    </row>
    <row r="5320">
      <c r="B5320" s="24" t="inlineStr">
        <is>
          <t>ApplyType</t>
        </is>
      </c>
      <c r="C5320" s="24" t="inlineStr">
        <is>
          <t>申请类型</t>
        </is>
      </c>
      <c r="D5320" s="24" t="inlineStr">
        <is>
          <t>IndOffLoanTransApply</t>
        </is>
      </c>
      <c r="E5320" s="24" t="inlineStr">
        <is>
          <t>表外业务申请</t>
        </is>
      </c>
    </row>
    <row r="5321">
      <c r="B5321" s="24" t="inlineStr">
        <is>
          <t>ApplyType</t>
        </is>
      </c>
      <c r="C5321" s="24" t="inlineStr">
        <is>
          <t>申请类型</t>
        </is>
      </c>
      <c r="D5321" s="24" t="inlineStr">
        <is>
          <t>IndRegularCheck</t>
        </is>
      </c>
      <c r="E5321" s="24" t="inlineStr">
        <is>
          <t>个人客户定期贷后检查申请</t>
        </is>
      </c>
    </row>
    <row r="5322">
      <c r="B5322" s="24" t="inlineStr">
        <is>
          <t>ApplyType</t>
        </is>
      </c>
      <c r="C5322" s="24" t="inlineStr">
        <is>
          <t>申请类型</t>
        </is>
      </c>
      <c r="D5322" s="24" t="inlineStr">
        <is>
          <t>IndSingleApply</t>
        </is>
      </c>
      <c r="E5322" s="24" t="inlineStr">
        <is>
          <t>个人单笔授信业务申请</t>
        </is>
      </c>
    </row>
    <row r="5323">
      <c r="B5323" s="24" t="inlineStr">
        <is>
          <t>ApplyType</t>
        </is>
      </c>
      <c r="C5323" s="24" t="inlineStr">
        <is>
          <t>申请类型</t>
        </is>
      </c>
      <c r="D5323" s="24" t="inlineStr">
        <is>
          <t>IndependentApply</t>
        </is>
      </c>
      <c r="E5323" s="24" t="inlineStr">
        <is>
          <t>单笔授信业务申请</t>
        </is>
      </c>
    </row>
    <row r="5324">
      <c r="B5324" s="24" t="inlineStr">
        <is>
          <t>ApplyType</t>
        </is>
      </c>
      <c r="C5324" s="24" t="inlineStr">
        <is>
          <t>申请类型</t>
        </is>
      </c>
      <c r="D5324" s="24" t="inlineStr">
        <is>
          <t>InvoiceDrawApply</t>
        </is>
      </c>
      <c r="E5324" s="24" t="inlineStr">
        <is>
          <t>开票申请</t>
        </is>
      </c>
    </row>
    <row r="5325">
      <c r="B5325" s="24" t="inlineStr">
        <is>
          <t>ApplyType</t>
        </is>
      </c>
      <c r="C5325" s="24" t="inlineStr">
        <is>
          <t>申请类型</t>
        </is>
      </c>
      <c r="D5325" s="24" t="inlineStr">
        <is>
          <t>InvoiceReceiptApply</t>
        </is>
      </c>
      <c r="E5325" s="24" t="inlineStr">
        <is>
          <t>收票申请</t>
        </is>
      </c>
    </row>
    <row r="5326">
      <c r="B5326" s="24" t="inlineStr">
        <is>
          <t>ApplyType</t>
        </is>
      </c>
      <c r="C5326" s="24" t="inlineStr">
        <is>
          <t>申请类型</t>
        </is>
      </c>
      <c r="D5326" s="24" t="inlineStr">
        <is>
          <t>LoadGuarantyApply1</t>
        </is>
      </c>
      <c r="E5326" s="24" t="inlineStr">
        <is>
          <t>押品入库申请</t>
        </is>
      </c>
    </row>
    <row r="5327">
      <c r="B5327" s="24" t="inlineStr">
        <is>
          <t>ApplyType</t>
        </is>
      </c>
      <c r="C5327" s="24" t="inlineStr">
        <is>
          <t>申请类型</t>
        </is>
      </c>
      <c r="D5327" s="24" t="inlineStr">
        <is>
          <t>NewFlowApply</t>
        </is>
      </c>
      <c r="E5327" s="24" t="inlineStr">
        <is>
          <t>NewFlowApply</t>
        </is>
      </c>
    </row>
    <row r="5328">
      <c r="B5328" s="24" t="inlineStr">
        <is>
          <t>ApplyType</t>
        </is>
      </c>
      <c r="C5328" s="24" t="inlineStr">
        <is>
          <t>申请类型</t>
        </is>
      </c>
      <c r="D5328" s="24" t="inlineStr">
        <is>
          <t>PartnerAccessFlowA</t>
        </is>
      </c>
      <c r="E5328" s="24" t="inlineStr">
        <is>
          <t>合作方准入申请</t>
        </is>
      </c>
    </row>
    <row r="5329">
      <c r="B5329" s="24" t="inlineStr">
        <is>
          <t>ApplyType</t>
        </is>
      </c>
      <c r="C5329" s="24" t="inlineStr">
        <is>
          <t>申请类型</t>
        </is>
      </c>
      <c r="D5329" s="24" t="inlineStr">
        <is>
          <t>PartnerProjChange</t>
        </is>
      </c>
      <c r="E5329" s="24" t="inlineStr">
        <is>
          <t>合作方项目变更申请</t>
        </is>
      </c>
    </row>
    <row r="5330">
      <c r="B5330" s="24" t="inlineStr">
        <is>
          <t>ApplyType</t>
        </is>
      </c>
      <c r="C5330" s="24" t="inlineStr">
        <is>
          <t>申请类型</t>
        </is>
      </c>
      <c r="D5330" s="24" t="inlineStr">
        <is>
          <t>PartnerProjectAppl</t>
        </is>
      </c>
      <c r="E5330" s="24" t="inlineStr">
        <is>
          <t>合作方项目申请</t>
        </is>
      </c>
    </row>
    <row r="5331">
      <c r="B5331" s="24" t="inlineStr">
        <is>
          <t>ApplyType</t>
        </is>
      </c>
      <c r="C5331" s="24" t="inlineStr">
        <is>
          <t>申请类型</t>
        </is>
      </c>
      <c r="D5331" s="24" t="inlineStr">
        <is>
          <t>PaymentApply</t>
        </is>
      </c>
      <c r="E5331" s="24" t="inlineStr">
        <is>
          <t>支付申请</t>
        </is>
      </c>
    </row>
    <row r="5332">
      <c r="B5332" s="24" t="inlineStr">
        <is>
          <t>ApplyType</t>
        </is>
      </c>
      <c r="C5332" s="24" t="inlineStr">
        <is>
          <t>申请类型</t>
        </is>
      </c>
      <c r="D5332" s="24" t="inlineStr">
        <is>
          <t>PrdApply</t>
        </is>
      </c>
      <c r="E5332" s="24" t="inlineStr">
        <is>
          <t>产品配置申请</t>
        </is>
      </c>
    </row>
    <row r="5333">
      <c r="B5333" s="24" t="inlineStr">
        <is>
          <t>ApplyType</t>
        </is>
      </c>
      <c r="C5333" s="24" t="inlineStr">
        <is>
          <t>申请类型</t>
        </is>
      </c>
      <c r="D5333" s="24" t="inlineStr">
        <is>
          <t>ProjectFlow1Apply</t>
        </is>
      </c>
      <c r="E5333" s="24" t="inlineStr">
        <is>
          <t>ProjectFlow1申请</t>
        </is>
      </c>
    </row>
    <row r="5334">
      <c r="B5334" s="24" t="inlineStr">
        <is>
          <t>ApplyType</t>
        </is>
      </c>
      <c r="C5334" s="24" t="inlineStr">
        <is>
          <t>申请类型</t>
        </is>
      </c>
      <c r="D5334" s="24" t="inlineStr">
        <is>
          <t>ProjectRegularCheck</t>
        </is>
      </c>
      <c r="E5334" s="24" t="inlineStr">
        <is>
          <t>合作项目贷后检查申请</t>
        </is>
      </c>
    </row>
    <row r="5335">
      <c r="B5335" s="24" t="inlineStr">
        <is>
          <t>ApplyType</t>
        </is>
      </c>
      <c r="C5335" s="24" t="inlineStr">
        <is>
          <t>申请类型</t>
        </is>
      </c>
      <c r="D5335" s="24" t="inlineStr">
        <is>
          <t>PutOutApply</t>
        </is>
      </c>
      <c r="E5335" s="24" t="inlineStr">
        <is>
          <t>放贷申请</t>
        </is>
      </c>
    </row>
    <row r="5336">
      <c r="B5336" s="24" t="inlineStr">
        <is>
          <t>ApplyType</t>
        </is>
      </c>
      <c r="C5336" s="24" t="inlineStr">
        <is>
          <t>申请类型</t>
        </is>
      </c>
      <c r="D5336" s="24" t="inlineStr">
        <is>
          <t>ReserveApply</t>
        </is>
      </c>
      <c r="E5336" s="24" t="inlineStr">
        <is>
          <t>单项计提减值准备认定申请</t>
        </is>
      </c>
    </row>
    <row r="5337">
      <c r="B5337" s="24" t="inlineStr">
        <is>
          <t>ApplyType</t>
        </is>
      </c>
      <c r="C5337" s="24" t="inlineStr">
        <is>
          <t>申请类型</t>
        </is>
      </c>
      <c r="D5337" s="24" t="inlineStr">
        <is>
          <t>RightCertInOutApply</t>
        </is>
      </c>
      <c r="E5337" s="24" t="inlineStr">
        <is>
          <t>权证出入库申请</t>
        </is>
      </c>
    </row>
    <row r="5338">
      <c r="B5338" s="24" t="inlineStr">
        <is>
          <t>ApplyType</t>
        </is>
      </c>
      <c r="C5338" s="24" t="inlineStr">
        <is>
          <t>申请类型</t>
        </is>
      </c>
      <c r="D5338" s="24" t="inlineStr">
        <is>
          <t>RiskAlarmApply</t>
        </is>
      </c>
      <c r="E5338" s="24" t="inlineStr">
        <is>
          <t>风险预警分发认定申请</t>
        </is>
      </c>
    </row>
    <row r="5339">
      <c r="B5339" s="24" t="inlineStr">
        <is>
          <t>ApplyType</t>
        </is>
      </c>
      <c r="C5339" s="24" t="inlineStr">
        <is>
          <t>申请类型</t>
        </is>
      </c>
      <c r="D5339" s="24" t="inlineStr">
        <is>
          <t>RiskClassify</t>
        </is>
      </c>
      <c r="E5339" s="24" t="inlineStr">
        <is>
          <t>风险分类申请</t>
        </is>
      </c>
    </row>
    <row r="5340">
      <c r="B5340" s="24" t="inlineStr">
        <is>
          <t>ApplyType</t>
        </is>
      </c>
      <c r="C5340" s="24" t="inlineStr">
        <is>
          <t>申请类型</t>
        </is>
      </c>
      <c r="D5340" s="24" t="inlineStr">
        <is>
          <t>SMApplyLimit</t>
        </is>
      </c>
      <c r="E5340" s="24" t="inlineStr">
        <is>
          <t>公司单一授信</t>
        </is>
      </c>
    </row>
    <row r="5341">
      <c r="B5341" s="24" t="inlineStr">
        <is>
          <t>ApplyType</t>
        </is>
      </c>
      <c r="C5341" s="24" t="inlineStr">
        <is>
          <t>申请类型</t>
        </is>
      </c>
      <c r="D5341" s="24" t="inlineStr">
        <is>
          <t>SMApplySingle</t>
        </is>
      </c>
      <c r="E5341" s="24" t="inlineStr">
        <is>
          <t>公司单笔授信</t>
        </is>
      </c>
    </row>
    <row r="5342">
      <c r="B5342" s="24" t="inlineStr">
        <is>
          <t>ApplyType</t>
        </is>
      </c>
      <c r="C5342" s="24" t="inlineStr">
        <is>
          <t>申请类型</t>
        </is>
      </c>
      <c r="D5342" s="24" t="inlineStr">
        <is>
          <t>SMApplyUnder</t>
        </is>
      </c>
      <c r="E5342" s="24" t="inlineStr">
        <is>
          <t>公司额度项下授信</t>
        </is>
      </c>
    </row>
    <row r="5343">
      <c r="B5343" s="24" t="inlineStr">
        <is>
          <t>ApplyType</t>
        </is>
      </c>
      <c r="C5343" s="24" t="inlineStr">
        <is>
          <t>申请类型</t>
        </is>
      </c>
      <c r="D5343" s="24" t="inlineStr">
        <is>
          <t>SMEBackTransApply</t>
        </is>
      </c>
      <c r="E5343" s="24" t="inlineStr">
        <is>
          <t>反冲交易申请</t>
        </is>
      </c>
    </row>
    <row r="5344">
      <c r="B5344" s="24" t="inlineStr">
        <is>
          <t>ApplyType</t>
        </is>
      </c>
      <c r="C5344" s="24" t="inlineStr">
        <is>
          <t>申请类型</t>
        </is>
      </c>
      <c r="D5344" s="24" t="inlineStr">
        <is>
          <t>SMEClassifyAdjust</t>
        </is>
      </c>
      <c r="E5344" s="24" t="inlineStr">
        <is>
          <t>风险调整申请</t>
        </is>
      </c>
    </row>
    <row r="5345">
      <c r="B5345" s="24" t="inlineStr">
        <is>
          <t>ApplyType</t>
        </is>
      </c>
      <c r="C5345" s="24" t="inlineStr">
        <is>
          <t>申请类型</t>
        </is>
      </c>
      <c r="D5345" s="24" t="inlineStr">
        <is>
          <t>SMEConApply</t>
        </is>
      </c>
      <c r="E5345" s="24" t="inlineStr">
        <is>
          <t>中小企业资格认定申请</t>
        </is>
      </c>
    </row>
    <row r="5346">
      <c r="B5346" s="24" t="inlineStr">
        <is>
          <t>ApplyType</t>
        </is>
      </c>
      <c r="C5346" s="24" t="inlineStr">
        <is>
          <t>申请类型</t>
        </is>
      </c>
      <c r="D5346" s="24" t="inlineStr">
        <is>
          <t>SMELoanApply</t>
        </is>
      </c>
      <c r="E5346" s="24" t="inlineStr">
        <is>
          <t>贷款交易申请</t>
        </is>
      </c>
    </row>
    <row r="5347">
      <c r="B5347" s="24" t="inlineStr">
        <is>
          <t>ApplyType</t>
        </is>
      </c>
      <c r="C5347" s="24" t="inlineStr">
        <is>
          <t>申请类型</t>
        </is>
      </c>
      <c r="D5347" s="24" t="inlineStr">
        <is>
          <t>SMELoanChangeApply</t>
        </is>
      </c>
      <c r="E5347" s="24" t="inlineStr">
        <is>
          <t>贷后变更申请</t>
        </is>
      </c>
    </row>
    <row r="5348">
      <c r="B5348" s="24" t="inlineStr">
        <is>
          <t>ApplyType</t>
        </is>
      </c>
      <c r="C5348" s="24" t="inlineStr">
        <is>
          <t>申请类型</t>
        </is>
      </c>
      <c r="D5348" s="24" t="inlineStr">
        <is>
          <t>SMEOffLoanTransApply</t>
        </is>
      </c>
      <c r="E5348" s="24" t="inlineStr">
        <is>
          <t>表外业务申请</t>
        </is>
      </c>
    </row>
    <row r="5349">
      <c r="B5349" s="24" t="inlineStr">
        <is>
          <t>ApplyType</t>
        </is>
      </c>
      <c r="C5349" s="24" t="inlineStr">
        <is>
          <t>申请类型</t>
        </is>
      </c>
      <c r="D5349" s="24" t="inlineStr">
        <is>
          <t>SimpleForkApply</t>
        </is>
      </c>
      <c r="E5349" s="24" t="inlineStr">
        <is>
          <t>简单并行流程申请</t>
        </is>
      </c>
    </row>
    <row r="5350">
      <c r="B5350" s="24" t="inlineStr">
        <is>
          <t>ApplyType</t>
        </is>
      </c>
      <c r="C5350" s="24" t="inlineStr">
        <is>
          <t>申请类型</t>
        </is>
      </c>
      <c r="D5350" s="24" t="inlineStr">
        <is>
          <t>SimpleForkFlowAppl</t>
        </is>
      </c>
      <c r="E5350" s="24" t="inlineStr">
        <is>
          <t>SimpleForkFlowAppl</t>
        </is>
      </c>
    </row>
    <row r="5351">
      <c r="B5351" s="24" t="inlineStr">
        <is>
          <t>ApplyType</t>
        </is>
      </c>
      <c r="C5351" s="24" t="inlineStr">
        <is>
          <t>申请类型</t>
        </is>
      </c>
      <c r="D5351" s="24" t="inlineStr">
        <is>
          <t>SimpleMeetingApply</t>
        </is>
      </c>
      <c r="E5351" s="24" t="inlineStr">
        <is>
          <t>简单贷审会</t>
        </is>
      </c>
    </row>
    <row r="5352">
      <c r="B5352" s="24" t="inlineStr">
        <is>
          <t>ApplyType</t>
        </is>
      </c>
      <c r="C5352" s="24" t="inlineStr">
        <is>
          <t>申请类型</t>
        </is>
      </c>
      <c r="D5352" s="24" t="inlineStr">
        <is>
          <t>SimpleMeetingFlowA</t>
        </is>
      </c>
      <c r="E5352" s="24" t="inlineStr">
        <is>
          <t>SimpleMeetingFlowA</t>
        </is>
      </c>
    </row>
    <row r="5353">
      <c r="B5353" s="24" t="inlineStr">
        <is>
          <t>ApplyType</t>
        </is>
      </c>
      <c r="C5353" s="24" t="inlineStr">
        <is>
          <t>申请类型</t>
        </is>
      </c>
      <c r="D5353" s="24" t="inlineStr">
        <is>
          <t>SimplePoolApply</t>
        </is>
      </c>
      <c r="E5353" s="24" t="inlineStr">
        <is>
          <t>简单任务池</t>
        </is>
      </c>
    </row>
    <row r="5354">
      <c r="B5354" s="24" t="inlineStr">
        <is>
          <t>ApplyType</t>
        </is>
      </c>
      <c r="C5354" s="24" t="inlineStr">
        <is>
          <t>申请类型</t>
        </is>
      </c>
      <c r="D5354" s="24" t="inlineStr">
        <is>
          <t>SimplePoolFlowAppl</t>
        </is>
      </c>
      <c r="E5354" s="24" t="inlineStr">
        <is>
          <t>SimplePoolFlowAppl</t>
        </is>
      </c>
    </row>
    <row r="5355">
      <c r="B5355" s="24" t="inlineStr">
        <is>
          <t>ApplyType</t>
        </is>
      </c>
      <c r="C5355" s="24" t="inlineStr">
        <is>
          <t>申请类型</t>
        </is>
      </c>
      <c r="D5355" s="24" t="inlineStr">
        <is>
          <t>SingleRiskReserve</t>
        </is>
      </c>
      <c r="E5355" s="24" t="inlineStr">
        <is>
          <t>单项减值计提申请</t>
        </is>
      </c>
    </row>
    <row r="5356">
      <c r="B5356" s="24" t="inlineStr">
        <is>
          <t>ApplyType</t>
        </is>
      </c>
      <c r="C5356" s="24" t="inlineStr">
        <is>
          <t>申请类型</t>
        </is>
      </c>
      <c r="D5356" s="24" t="inlineStr">
        <is>
          <t>SpecialCheck</t>
        </is>
      </c>
      <c r="E5356" s="24" t="inlineStr">
        <is>
          <t>专项检查申请</t>
        </is>
      </c>
    </row>
    <row r="5357">
      <c r="B5357" s="24" t="inlineStr">
        <is>
          <t>ApplyType</t>
        </is>
      </c>
      <c r="C5357" s="24" t="inlineStr">
        <is>
          <t>申请类型</t>
        </is>
      </c>
      <c r="D5357" s="24" t="inlineStr">
        <is>
          <t>TransformApply</t>
        </is>
      </c>
      <c r="E5357" s="24" t="inlineStr">
        <is>
          <t>担保合同变更申请</t>
        </is>
      </c>
    </row>
    <row r="5358">
      <c r="B5358" s="24" t="inlineStr">
        <is>
          <t>ApplyType</t>
        </is>
      </c>
      <c r="C5358" s="24" t="inlineStr">
        <is>
          <t>申请类型</t>
        </is>
      </c>
      <c r="D5358" s="24" t="inlineStr">
        <is>
          <t>UGBodyApply</t>
        </is>
      </c>
      <c r="E5358" s="24" t="inlineStr">
        <is>
          <t>联保体贷款申请</t>
        </is>
      </c>
    </row>
    <row r="5359">
      <c r="B5359" s="24" t="inlineStr">
        <is>
          <t>ApplyType</t>
        </is>
      </c>
      <c r="C5359" s="24" t="inlineStr">
        <is>
          <t>申请类型</t>
        </is>
      </c>
      <c r="D5359" s="24" t="inlineStr">
        <is>
          <t>UnLoadGuarantyApp1</t>
        </is>
      </c>
      <c r="E5359" s="24" t="inlineStr">
        <is>
          <t>押品出库申请</t>
        </is>
      </c>
    </row>
    <row r="5360">
      <c r="B5360" s="24" t="inlineStr">
        <is>
          <t>ApplyType</t>
        </is>
      </c>
      <c r="C5360" s="24" t="inlineStr">
        <is>
          <t>申请类型</t>
        </is>
      </c>
      <c r="D5360" s="24" t="inlineStr">
        <is>
          <t>UnPackApply</t>
        </is>
      </c>
      <c r="E5360" s="24" t="inlineStr">
        <is>
          <t>授信业务打包申请</t>
        </is>
      </c>
    </row>
    <row r="5361" ht="15.95" customHeight="1" s="170">
      <c r="B5361" s="122" t="inlineStr">
        <is>
          <t>码值：AppraisalFlowType</t>
        </is>
      </c>
    </row>
    <row r="5362">
      <c r="B5362" s="24" t="inlineStr">
        <is>
          <t>AppraisalFlowType</t>
        </is>
      </c>
      <c r="C5362" s="24" t="inlineStr">
        <is>
          <t>评估机构日常管理申请类型</t>
        </is>
      </c>
      <c r="D5362" s="24" t="inlineStr">
        <is>
          <t>AgencyAlertApply</t>
        </is>
      </c>
      <c r="E5362" s="24" t="inlineStr">
        <is>
          <t>警示信息申请</t>
        </is>
      </c>
    </row>
    <row r="5363">
      <c r="B5363" s="24" t="inlineStr">
        <is>
          <t>AppraisalFlowType</t>
        </is>
      </c>
      <c r="C5363" s="24" t="inlineStr">
        <is>
          <t>评估机构日常管理申请类型</t>
        </is>
      </c>
      <c r="D5363" s="24" t="inlineStr">
        <is>
          <t>AgencyBlackApply</t>
        </is>
      </c>
      <c r="E5363" s="24" t="inlineStr">
        <is>
          <t>黑名单信息申请</t>
        </is>
      </c>
    </row>
    <row r="5364">
      <c r="B5364" s="24" t="inlineStr">
        <is>
          <t>AppraisalFlowType</t>
        </is>
      </c>
      <c r="C5364" s="24" t="inlineStr">
        <is>
          <t>评估机构日常管理申请类型</t>
        </is>
      </c>
      <c r="D5364" s="24" t="inlineStr">
        <is>
          <t>AgencyEvaluateApply</t>
        </is>
      </c>
      <c r="E5364" s="24" t="inlineStr">
        <is>
          <t>评价调查申请</t>
        </is>
      </c>
    </row>
    <row r="5365">
      <c r="B5365" s="24" t="inlineStr">
        <is>
          <t>AppraisalFlowType</t>
        </is>
      </c>
      <c r="C5365" s="24" t="inlineStr">
        <is>
          <t>评估机构日常管理申请类型</t>
        </is>
      </c>
      <c r="D5365" s="24" t="inlineStr">
        <is>
          <t>AgencyExitApply</t>
        </is>
      </c>
      <c r="E5365" s="24" t="inlineStr">
        <is>
          <t>退出申请</t>
        </is>
      </c>
    </row>
    <row r="5366">
      <c r="B5366" s="24" t="inlineStr">
        <is>
          <t>AppraisalFlowType</t>
        </is>
      </c>
      <c r="C5366" s="24" t="inlineStr">
        <is>
          <t>评估机构日常管理申请类型</t>
        </is>
      </c>
      <c r="D5366" s="24" t="inlineStr">
        <is>
          <t>AgencyRelieveAlertApply</t>
        </is>
      </c>
      <c r="E5366" s="24" t="inlineStr">
        <is>
          <t>警示信息解除申请</t>
        </is>
      </c>
    </row>
    <row r="5367">
      <c r="B5367" s="24" t="inlineStr">
        <is>
          <t>AppraisalFlowType</t>
        </is>
      </c>
      <c r="C5367" s="24" t="inlineStr">
        <is>
          <t>评估机构日常管理申请类型</t>
        </is>
      </c>
      <c r="D5367" s="24" t="inlineStr">
        <is>
          <t>AgencyRelieveBlackApply</t>
        </is>
      </c>
      <c r="E5367" s="24" t="inlineStr">
        <is>
          <t>黑名单信息解除申请</t>
        </is>
      </c>
    </row>
    <row r="5368" ht="15.95" customHeight="1" s="170">
      <c r="B5368" s="122" t="inlineStr">
        <is>
          <t>码值：FitmentLevel</t>
        </is>
      </c>
    </row>
    <row r="5369">
      <c r="B5369" s="24" t="inlineStr">
        <is>
          <t>FitmentLevel</t>
        </is>
      </c>
      <c r="C5369" s="24" t="inlineStr">
        <is>
          <t>装修程度</t>
        </is>
      </c>
      <c r="D5369" s="24" t="inlineStr">
        <is>
          <t>01</t>
        </is>
      </c>
      <c r="E5369" s="24" t="inlineStr">
        <is>
          <t>毛坯房</t>
        </is>
      </c>
    </row>
    <row r="5370">
      <c r="B5370" s="24" t="inlineStr">
        <is>
          <t>FitmentLevel</t>
        </is>
      </c>
      <c r="C5370" s="24" t="inlineStr">
        <is>
          <t>装修程度</t>
        </is>
      </c>
      <c r="D5370" s="24" t="inlineStr">
        <is>
          <t>02</t>
        </is>
      </c>
      <c r="E5370" s="24" t="inlineStr">
        <is>
          <t>初装修</t>
        </is>
      </c>
    </row>
    <row r="5371">
      <c r="B5371" s="24" t="inlineStr">
        <is>
          <t>FitmentLevel</t>
        </is>
      </c>
      <c r="C5371" s="24" t="inlineStr">
        <is>
          <t>装修程度</t>
        </is>
      </c>
      <c r="D5371" s="24" t="inlineStr">
        <is>
          <t>03</t>
        </is>
      </c>
      <c r="E5371" s="24" t="inlineStr">
        <is>
          <t>精装修</t>
        </is>
      </c>
    </row>
    <row r="5372">
      <c r="B5372" s="24" t="inlineStr">
        <is>
          <t>FitmentLevel</t>
        </is>
      </c>
      <c r="C5372" s="24" t="inlineStr">
        <is>
          <t>装修程度</t>
        </is>
      </c>
      <c r="D5372" s="24" t="inlineStr">
        <is>
          <t>04</t>
        </is>
      </c>
      <c r="E5372" s="24" t="inlineStr">
        <is>
          <t>豪华装修</t>
        </is>
      </c>
    </row>
    <row r="5373">
      <c r="B5373" s="24" t="inlineStr">
        <is>
          <t>FitmentLevel</t>
        </is>
      </c>
      <c r="C5373" s="24" t="inlineStr">
        <is>
          <t>装修程度</t>
        </is>
      </c>
      <c r="D5373" s="24" t="inlineStr">
        <is>
          <t>90</t>
        </is>
      </c>
      <c r="E5373" s="24" t="inlineStr">
        <is>
          <t>其他</t>
        </is>
      </c>
    </row>
    <row r="5374" ht="15.95" customHeight="1" s="170">
      <c r="B5374" s="122" t="inlineStr">
        <is>
          <t>码值：工艺规程</t>
        </is>
      </c>
    </row>
    <row r="5375">
      <c r="B5375" s="24" t="inlineStr">
        <is>
          <t>工艺规程</t>
        </is>
      </c>
      <c r="C5375" s="24" t="inlineStr">
        <is>
          <t>工艺规程</t>
        </is>
      </c>
      <c r="D5375" s="24" t="inlineStr">
        <is>
          <t>1</t>
        </is>
      </c>
      <c r="E5375" s="24" t="inlineStr">
        <is>
          <t>有</t>
        </is>
      </c>
    </row>
    <row r="5376">
      <c r="B5376" s="24" t="inlineStr">
        <is>
          <t>工艺规程</t>
        </is>
      </c>
      <c r="C5376" s="24" t="inlineStr">
        <is>
          <t>工艺规程</t>
        </is>
      </c>
      <c r="D5376" s="24" t="inlineStr">
        <is>
          <t>2</t>
        </is>
      </c>
      <c r="E5376" s="24" t="inlineStr">
        <is>
          <t>无</t>
        </is>
      </c>
    </row>
    <row r="5377" ht="15.95" customHeight="1" s="170">
      <c r="B5377" s="122" t="inlineStr">
        <is>
          <t>码值：OffLoanCode</t>
        </is>
      </c>
    </row>
    <row r="5378">
      <c r="B5378" s="24" t="inlineStr">
        <is>
          <t>OffLoanCode</t>
        </is>
      </c>
      <c r="C5378" s="24" t="inlineStr">
        <is>
          <t>表外业务</t>
        </is>
      </c>
      <c r="D5378" s="24" t="inlineStr">
        <is>
          <t>AdvanceCash</t>
        </is>
      </c>
      <c r="E5378" s="24" t="inlineStr">
        <is>
          <t>表外垫款</t>
        </is>
      </c>
    </row>
    <row r="5379">
      <c r="B5379" s="24" t="inlineStr">
        <is>
          <t>OffLoanCode</t>
        </is>
      </c>
      <c r="C5379" s="24" t="inlineStr">
        <is>
          <t>表外业务</t>
        </is>
      </c>
      <c r="D5379" s="24" t="inlineStr">
        <is>
          <t>ChangeOffloan</t>
        </is>
      </c>
      <c r="E5379" s="24" t="inlineStr">
        <is>
          <t>表外修改</t>
        </is>
      </c>
    </row>
    <row r="5380">
      <c r="B5380" s="24" t="inlineStr">
        <is>
          <t>OffLoanCode</t>
        </is>
      </c>
      <c r="C5380" s="24" t="inlineStr">
        <is>
          <t>表外业务</t>
        </is>
      </c>
      <c r="D5380" s="24" t="inlineStr">
        <is>
          <t>ExtrafeeOffloan</t>
        </is>
      </c>
      <c r="E5380" s="24" t="inlineStr">
        <is>
          <t>表外手续费收取</t>
        </is>
      </c>
    </row>
    <row r="5381">
      <c r="B5381" s="24" t="inlineStr">
        <is>
          <t>OffLoanCode</t>
        </is>
      </c>
      <c r="C5381" s="24" t="inlineStr">
        <is>
          <t>表外业务</t>
        </is>
      </c>
      <c r="D5381" s="24" t="inlineStr">
        <is>
          <t>OffloanSquareUp</t>
        </is>
      </c>
      <c r="E5381" s="24" t="inlineStr">
        <is>
          <t>表外结清</t>
        </is>
      </c>
    </row>
    <row r="5382">
      <c r="B5382" s="24" t="inlineStr">
        <is>
          <t>OffLoanCode</t>
        </is>
      </c>
      <c r="C5382" s="24" t="inlineStr">
        <is>
          <t>表外业务</t>
        </is>
      </c>
      <c r="D5382" s="24" t="inlineStr">
        <is>
          <t>ReverseOffloan</t>
        </is>
      </c>
      <c r="E5382" s="24" t="inlineStr">
        <is>
          <t>表外手续费冲回</t>
        </is>
      </c>
    </row>
    <row r="5383" ht="15.95" customHeight="1" s="170">
      <c r="B5383" s="122" t="inlineStr">
        <is>
          <t>码值：PartnerProjStatus</t>
        </is>
      </c>
    </row>
    <row r="5384">
      <c r="B5384" s="24" t="inlineStr">
        <is>
          <t>PartnerProjStatus</t>
        </is>
      </c>
      <c r="C5384" s="24" t="n"/>
      <c r="D5384" s="24" t="inlineStr">
        <is>
          <t>01</t>
        </is>
      </c>
      <c r="E5384" s="24" t="inlineStr">
        <is>
          <t>待生效</t>
        </is>
      </c>
    </row>
    <row r="5385">
      <c r="B5385" s="24" t="inlineStr">
        <is>
          <t>PartnerProjStatus</t>
        </is>
      </c>
      <c r="C5385" s="24" t="n"/>
      <c r="D5385" s="24" t="inlineStr">
        <is>
          <t>02</t>
        </is>
      </c>
      <c r="E5385" s="24" t="inlineStr">
        <is>
          <t>生效</t>
        </is>
      </c>
    </row>
    <row r="5386">
      <c r="B5386" s="24" t="inlineStr">
        <is>
          <t>PartnerProjStatus</t>
        </is>
      </c>
      <c r="C5386" s="24" t="n"/>
      <c r="D5386" s="24" t="inlineStr">
        <is>
          <t>03</t>
        </is>
      </c>
      <c r="E5386" s="24" t="inlineStr">
        <is>
          <t>已失效</t>
        </is>
      </c>
    </row>
    <row r="5387" ht="15.95" customHeight="1" s="170">
      <c r="B5387" s="122" t="inlineStr">
        <is>
          <t>码值：家庭全年收入</t>
        </is>
      </c>
    </row>
    <row r="5388">
      <c r="B5388" s="24" t="inlineStr">
        <is>
          <t>家庭全年收入</t>
        </is>
      </c>
      <c r="C5388" s="24" t="inlineStr">
        <is>
          <t>家庭全年收入</t>
        </is>
      </c>
      <c r="D5388" s="24" t="inlineStr">
        <is>
          <t>1</t>
        </is>
      </c>
      <c r="E5388" s="24" t="inlineStr">
        <is>
          <t>10万元以上</t>
        </is>
      </c>
    </row>
    <row r="5389">
      <c r="B5389" s="24" t="inlineStr">
        <is>
          <t>家庭全年收入</t>
        </is>
      </c>
      <c r="C5389" s="24" t="inlineStr">
        <is>
          <t>家庭全年收入</t>
        </is>
      </c>
      <c r="D5389" s="24" t="inlineStr">
        <is>
          <t>2</t>
        </is>
      </c>
      <c r="E5389" s="24" t="inlineStr">
        <is>
          <t xml:space="preserve">6万元－10万元(含10万元) </t>
        </is>
      </c>
    </row>
    <row r="5390">
      <c r="B5390" s="24" t="inlineStr">
        <is>
          <t>家庭全年收入</t>
        </is>
      </c>
      <c r="C5390" s="24" t="inlineStr">
        <is>
          <t>家庭全年收入</t>
        </is>
      </c>
      <c r="D5390" s="24" t="inlineStr">
        <is>
          <t>3</t>
        </is>
      </c>
      <c r="E5390" s="24" t="inlineStr">
        <is>
          <t xml:space="preserve">6万元以下(含6万元) </t>
        </is>
      </c>
    </row>
    <row r="5391" ht="15.95" customHeight="1" s="170">
      <c r="B5391" s="122" t="inlineStr">
        <is>
          <t>码值：OperateType1</t>
        </is>
      </c>
    </row>
    <row r="5392">
      <c r="B5392" s="24" t="inlineStr">
        <is>
          <t>OperateType1</t>
        </is>
      </c>
      <c r="C5392" s="24" t="inlineStr">
        <is>
          <t>授信组织方式</t>
        </is>
      </c>
      <c r="D5392" s="24" t="inlineStr">
        <is>
          <t>01</t>
        </is>
      </c>
      <c r="E5392" s="24" t="inlineStr">
        <is>
          <t>普通贷款</t>
        </is>
      </c>
    </row>
    <row r="5393">
      <c r="B5393" s="24" t="inlineStr">
        <is>
          <t>OperateType1</t>
        </is>
      </c>
      <c r="C5393" s="24" t="inlineStr">
        <is>
          <t>授信组织方式</t>
        </is>
      </c>
      <c r="D5393" s="24" t="inlineStr">
        <is>
          <t>03</t>
        </is>
      </c>
      <c r="E5393" s="24" t="inlineStr">
        <is>
          <t>银团贷款</t>
        </is>
      </c>
    </row>
    <row r="5394" ht="15.95" customHeight="1" s="170">
      <c r="B5394" s="122" t="inlineStr">
        <is>
          <t>码值：IPOName</t>
        </is>
      </c>
    </row>
    <row r="5395">
      <c r="B5395" s="24" t="inlineStr">
        <is>
          <t>IPOName</t>
        </is>
      </c>
      <c r="C5395" s="24" t="inlineStr">
        <is>
          <t>上市地</t>
        </is>
      </c>
      <c r="D5395" s="24" t="inlineStr">
        <is>
          <t>01</t>
        </is>
      </c>
      <c r="E5395" s="24" t="inlineStr">
        <is>
          <t>上海</t>
        </is>
      </c>
    </row>
    <row r="5396">
      <c r="B5396" s="24" t="inlineStr">
        <is>
          <t>IPOName</t>
        </is>
      </c>
      <c r="C5396" s="24" t="inlineStr">
        <is>
          <t>上市地</t>
        </is>
      </c>
      <c r="D5396" s="24" t="inlineStr">
        <is>
          <t>02</t>
        </is>
      </c>
      <c r="E5396" s="24" t="inlineStr">
        <is>
          <t>深圳</t>
        </is>
      </c>
    </row>
    <row r="5397">
      <c r="B5397" s="24" t="inlineStr">
        <is>
          <t>IPOName</t>
        </is>
      </c>
      <c r="C5397" s="24" t="inlineStr">
        <is>
          <t>上市地</t>
        </is>
      </c>
      <c r="D5397" s="24" t="inlineStr">
        <is>
          <t>03</t>
        </is>
      </c>
      <c r="E5397" s="24" t="inlineStr">
        <is>
          <t>香港</t>
        </is>
      </c>
    </row>
    <row r="5398">
      <c r="B5398" s="24" t="inlineStr">
        <is>
          <t>IPOName</t>
        </is>
      </c>
      <c r="C5398" s="24" t="inlineStr">
        <is>
          <t>上市地</t>
        </is>
      </c>
      <c r="D5398" s="24" t="inlineStr">
        <is>
          <t>04</t>
        </is>
      </c>
      <c r="E5398" s="24" t="inlineStr">
        <is>
          <t>新加坡</t>
        </is>
      </c>
    </row>
    <row r="5399">
      <c r="B5399" s="24" t="inlineStr">
        <is>
          <t>IPOName</t>
        </is>
      </c>
      <c r="C5399" s="24" t="inlineStr">
        <is>
          <t>上市地</t>
        </is>
      </c>
      <c r="D5399" s="24" t="inlineStr">
        <is>
          <t>05</t>
        </is>
      </c>
      <c r="E5399" s="24" t="inlineStr">
        <is>
          <t>伦敦</t>
        </is>
      </c>
    </row>
    <row r="5400">
      <c r="B5400" s="24" t="inlineStr">
        <is>
          <t>IPOName</t>
        </is>
      </c>
      <c r="C5400" s="24" t="inlineStr">
        <is>
          <t>上市地</t>
        </is>
      </c>
      <c r="D5400" s="24" t="inlineStr">
        <is>
          <t>06</t>
        </is>
      </c>
      <c r="E5400" s="24" t="inlineStr">
        <is>
          <t>纽约</t>
        </is>
      </c>
    </row>
    <row r="5401">
      <c r="B5401" s="24" t="inlineStr">
        <is>
          <t>IPOName</t>
        </is>
      </c>
      <c r="C5401" s="24" t="inlineStr">
        <is>
          <t>上市地</t>
        </is>
      </c>
      <c r="D5401" s="24" t="inlineStr">
        <is>
          <t>07</t>
        </is>
      </c>
      <c r="E5401" s="24" t="inlineStr">
        <is>
          <t>东京</t>
        </is>
      </c>
    </row>
    <row r="5402">
      <c r="B5402" s="24" t="inlineStr">
        <is>
          <t>IPOName</t>
        </is>
      </c>
      <c r="C5402" s="24" t="inlineStr">
        <is>
          <t>上市地</t>
        </is>
      </c>
      <c r="D5402" s="24" t="inlineStr">
        <is>
          <t>99</t>
        </is>
      </c>
      <c r="E5402" s="24" t="inlineStr">
        <is>
          <t>其他</t>
        </is>
      </c>
    </row>
    <row r="5403" ht="15.95" customHeight="1" s="170">
      <c r="B5403" s="122" t="inlineStr">
        <is>
          <t>码值：LimitPeriod</t>
        </is>
      </c>
    </row>
    <row r="5404">
      <c r="B5404" s="24" t="inlineStr">
        <is>
          <t>LimitPeriod</t>
        </is>
      </c>
      <c r="C5404" s="24" t="inlineStr">
        <is>
          <t>占额度生效阶段</t>
        </is>
      </c>
      <c r="D5404" s="24" t="inlineStr">
        <is>
          <t>Applying</t>
        </is>
      </c>
      <c r="E5404" s="24" t="inlineStr">
        <is>
          <t>授信申请</t>
        </is>
      </c>
    </row>
    <row r="5405">
      <c r="B5405" s="24" t="inlineStr">
        <is>
          <t>LimitPeriod</t>
        </is>
      </c>
      <c r="C5405" s="24" t="inlineStr">
        <is>
          <t>占额度生效阶段</t>
        </is>
      </c>
      <c r="D5405" s="24" t="inlineStr">
        <is>
          <t>Approving</t>
        </is>
      </c>
      <c r="E5405" s="24" t="inlineStr">
        <is>
          <t>授信批复</t>
        </is>
      </c>
    </row>
    <row r="5406">
      <c r="B5406" s="24" t="inlineStr">
        <is>
          <t>LimitPeriod</t>
        </is>
      </c>
      <c r="C5406" s="24" t="inlineStr">
        <is>
          <t>占额度生效阶段</t>
        </is>
      </c>
      <c r="D5406" s="24" t="inlineStr">
        <is>
          <t>Contracted</t>
        </is>
      </c>
      <c r="E5406" s="24" t="inlineStr">
        <is>
          <t>合同/协议阶段</t>
        </is>
      </c>
    </row>
    <row r="5407">
      <c r="B5407" s="24" t="inlineStr">
        <is>
          <t>LimitPeriod</t>
        </is>
      </c>
      <c r="C5407" s="24" t="inlineStr">
        <is>
          <t>占额度生效阶段</t>
        </is>
      </c>
      <c r="D5407" s="24" t="inlineStr">
        <is>
          <t>LoanApplying</t>
        </is>
      </c>
      <c r="E5407" s="24" t="inlineStr">
        <is>
          <t>放贷申请</t>
        </is>
      </c>
    </row>
    <row r="5408" ht="15.95" customHeight="1" s="170">
      <c r="B5408" s="122" t="inlineStr">
        <is>
          <t>码值：服务素质</t>
        </is>
      </c>
    </row>
    <row r="5409">
      <c r="B5409" s="24" t="inlineStr">
        <is>
          <t>服务素质</t>
        </is>
      </c>
      <c r="C5409" s="24" t="inlineStr">
        <is>
          <t>服务素质</t>
        </is>
      </c>
      <c r="D5409" s="24" t="inlineStr">
        <is>
          <t>1</t>
        </is>
      </c>
      <c r="E5409" s="24" t="inlineStr">
        <is>
          <t>服务质量高、富有特色</t>
        </is>
      </c>
    </row>
    <row r="5410">
      <c r="B5410" s="24" t="inlineStr">
        <is>
          <t>服务素质</t>
        </is>
      </c>
      <c r="C5410" s="24" t="inlineStr">
        <is>
          <t>服务素质</t>
        </is>
      </c>
      <c r="D5410" s="24" t="inlineStr">
        <is>
          <t>2</t>
        </is>
      </c>
      <c r="E5410" s="24" t="inlineStr">
        <is>
          <t>服务质量一般、有一定特色</t>
        </is>
      </c>
    </row>
    <row r="5411">
      <c r="B5411" s="24" t="inlineStr">
        <is>
          <t>服务素质</t>
        </is>
      </c>
      <c r="C5411" s="24" t="inlineStr">
        <is>
          <t>服务素质</t>
        </is>
      </c>
      <c r="D5411" s="24" t="inlineStr">
        <is>
          <t>3</t>
        </is>
      </c>
      <c r="E5411" s="24" t="inlineStr">
        <is>
          <t>服务质量差，无特色</t>
        </is>
      </c>
    </row>
    <row r="5412" ht="15.95" customHeight="1" s="170">
      <c r="B5412" s="122" t="inlineStr">
        <is>
          <t>码值：SignalType</t>
        </is>
      </c>
    </row>
    <row r="5413">
      <c r="B5413" s="24" t="inlineStr">
        <is>
          <t>SignalType</t>
        </is>
      </c>
      <c r="C5413" s="24" t="inlineStr">
        <is>
          <t>预警类型</t>
        </is>
      </c>
      <c r="D5413" s="24" t="inlineStr">
        <is>
          <t>01</t>
        </is>
      </c>
      <c r="E5413" s="24" t="inlineStr">
        <is>
          <t>发起</t>
        </is>
      </c>
    </row>
    <row r="5414">
      <c r="B5414" s="24" t="inlineStr">
        <is>
          <t>SignalType</t>
        </is>
      </c>
      <c r="C5414" s="24" t="inlineStr">
        <is>
          <t>预警类型</t>
        </is>
      </c>
      <c r="D5414" s="24" t="inlineStr">
        <is>
          <t>02</t>
        </is>
      </c>
      <c r="E5414" s="24" t="inlineStr">
        <is>
          <t>解除</t>
        </is>
      </c>
    </row>
    <row r="5415" ht="15.95" customHeight="1" s="170">
      <c r="B5415" s="122" t="inlineStr">
        <is>
          <t>码值：CreditApplySingleAMain</t>
        </is>
      </c>
    </row>
    <row r="5416">
      <c r="B5416" s="24" t="inlineStr">
        <is>
          <t>CreditApplySingleAMain</t>
        </is>
      </c>
      <c r="C5416" s="24" t="n"/>
      <c r="D5416" s="24" t="inlineStr">
        <is>
          <t>N</t>
        </is>
      </c>
      <c r="E5416" s="24" t="inlineStr">
        <is>
          <t>当前工作</t>
        </is>
      </c>
    </row>
    <row r="5417">
      <c r="B5417" s="24" t="inlineStr">
        <is>
          <t>CreditApplySingleAMain</t>
        </is>
      </c>
      <c r="C5417" s="24" t="n"/>
      <c r="D5417" s="24" t="inlineStr">
        <is>
          <t>Y</t>
        </is>
      </c>
      <c r="E5417" s="24" t="inlineStr">
        <is>
          <t>已完成工作</t>
        </is>
      </c>
    </row>
    <row r="5418" ht="15.95" customHeight="1" s="170">
      <c r="B5418" s="122" t="inlineStr">
        <is>
          <t>码值：PartnerProjectApplMain</t>
        </is>
      </c>
    </row>
    <row r="5419">
      <c r="B5419" s="24" t="inlineStr">
        <is>
          <t>PartnerProjectApplMain</t>
        </is>
      </c>
      <c r="C5419" s="24" t="inlineStr">
        <is>
          <t>PartnerProject申请主树图</t>
        </is>
      </c>
      <c r="D5419" s="24" t="inlineStr">
        <is>
          <t>1010</t>
        </is>
      </c>
      <c r="E5419" s="24" t="inlineStr">
        <is>
          <t>待处理</t>
        </is>
      </c>
    </row>
    <row r="5420">
      <c r="B5420" s="24" t="inlineStr">
        <is>
          <t>PartnerProjectApplMain</t>
        </is>
      </c>
      <c r="C5420" s="24" t="inlineStr">
        <is>
          <t>PartnerProject申请主树图</t>
        </is>
      </c>
      <c r="D5420" s="24" t="inlineStr">
        <is>
          <t>1020</t>
        </is>
      </c>
      <c r="E5420" s="24" t="inlineStr">
        <is>
          <t>审批中</t>
        </is>
      </c>
    </row>
    <row r="5421">
      <c r="B5421" s="24" t="inlineStr">
        <is>
          <t>PartnerProjectApplMain</t>
        </is>
      </c>
      <c r="C5421" s="24" t="inlineStr">
        <is>
          <t>PartnerProject申请主树图</t>
        </is>
      </c>
      <c r="D5421" s="24" t="inlineStr">
        <is>
          <t>1040</t>
        </is>
      </c>
      <c r="E5421" s="24" t="inlineStr">
        <is>
          <t>处理完成</t>
        </is>
      </c>
    </row>
    <row r="5422">
      <c r="B5422" s="24" t="inlineStr">
        <is>
          <t>PartnerProjectApplMain</t>
        </is>
      </c>
      <c r="C5422" s="24" t="inlineStr">
        <is>
          <t>PartnerProject申请主树图</t>
        </is>
      </c>
      <c r="D5422" s="24" t="inlineStr">
        <is>
          <t>1050</t>
        </is>
      </c>
      <c r="E5422" s="24" t="inlineStr">
        <is>
          <t>已拒绝的合作项目</t>
        </is>
      </c>
    </row>
    <row r="5423" ht="15.95" customHeight="1" s="170">
      <c r="B5423" s="122" t="inlineStr">
        <is>
          <t>码值：WorkFieldFee</t>
        </is>
      </c>
    </row>
    <row r="5424">
      <c r="B5424" s="24" t="inlineStr">
        <is>
          <t>WorkFieldFee</t>
        </is>
      </c>
      <c r="C5424" s="24" t="inlineStr">
        <is>
          <t>经营场地所有权</t>
        </is>
      </c>
      <c r="D5424" s="24" t="inlineStr">
        <is>
          <t>1</t>
        </is>
      </c>
      <c r="E5424" s="24" t="inlineStr">
        <is>
          <t>自有</t>
        </is>
      </c>
    </row>
    <row r="5425">
      <c r="B5425" s="24" t="inlineStr">
        <is>
          <t>WorkFieldFee</t>
        </is>
      </c>
      <c r="C5425" s="24" t="inlineStr">
        <is>
          <t>经营场地所有权</t>
        </is>
      </c>
      <c r="D5425" s="24" t="inlineStr">
        <is>
          <t>2</t>
        </is>
      </c>
      <c r="E5425" s="24" t="inlineStr">
        <is>
          <t>租赁</t>
        </is>
      </c>
    </row>
    <row r="5426">
      <c r="B5426" s="24" t="inlineStr">
        <is>
          <t>WorkFieldFee</t>
        </is>
      </c>
      <c r="C5426" s="24" t="inlineStr">
        <is>
          <t>经营场地所有权</t>
        </is>
      </c>
      <c r="D5426" s="24" t="inlineStr">
        <is>
          <t>3</t>
        </is>
      </c>
      <c r="E5426" s="24" t="inlineStr">
        <is>
          <t>其他</t>
        </is>
      </c>
    </row>
    <row r="5427" ht="15.95" customHeight="1" s="170">
      <c r="B5427" s="122" t="inlineStr">
        <is>
          <t>码值：BankCardUsage</t>
        </is>
      </c>
    </row>
    <row r="5428">
      <c r="B5428" s="24" t="inlineStr">
        <is>
          <t>BankCardUsage</t>
        </is>
      </c>
      <c r="C5428" s="24" t="inlineStr">
        <is>
          <t>信用等级评估统一导入</t>
        </is>
      </c>
      <c r="D5428" s="24" t="inlineStr">
        <is>
          <t>01</t>
        </is>
      </c>
      <c r="E5428" s="24" t="inlineStr">
        <is>
          <t>未使用</t>
        </is>
      </c>
    </row>
    <row r="5429">
      <c r="B5429" s="24" t="inlineStr">
        <is>
          <t>BankCardUsage</t>
        </is>
      </c>
      <c r="C5429" s="24" t="inlineStr">
        <is>
          <t>信用等级评估统一导入</t>
        </is>
      </c>
      <c r="D5429" s="24" t="inlineStr">
        <is>
          <t>02</t>
        </is>
      </c>
      <c r="E5429" s="24" t="inlineStr">
        <is>
          <t>使用</t>
        </is>
      </c>
    </row>
    <row r="5430" ht="15.95" customHeight="1" s="170">
      <c r="B5430" s="122" t="inlineStr">
        <is>
          <t>码值：CreditApplySingleUnderClMain</t>
        </is>
      </c>
    </row>
    <row r="5431">
      <c r="B5431" s="24" t="inlineStr">
        <is>
          <t>CreditApplySingleUnderClMain</t>
        </is>
      </c>
      <c r="C5431" s="24" t="n"/>
      <c r="D5431" s="24" t="inlineStr">
        <is>
          <t>1010</t>
        </is>
      </c>
      <c r="E5431" s="24" t="inlineStr">
        <is>
          <t>待处理</t>
        </is>
      </c>
    </row>
    <row r="5432">
      <c r="B5432" s="24" t="inlineStr">
        <is>
          <t>CreditApplySingleUnderClMain</t>
        </is>
      </c>
      <c r="C5432" s="24" t="n"/>
      <c r="D5432" s="24" t="inlineStr">
        <is>
          <t>1020</t>
        </is>
      </c>
      <c r="E5432" s="24" t="inlineStr">
        <is>
          <t>审批中</t>
        </is>
      </c>
    </row>
    <row r="5433">
      <c r="B5433" s="24" t="inlineStr">
        <is>
          <t>CreditApplySingleUnderClMain</t>
        </is>
      </c>
      <c r="C5433" s="24" t="n"/>
      <c r="D5433" s="24" t="inlineStr">
        <is>
          <t>1040,1050</t>
        </is>
      </c>
      <c r="E5433" s="24" t="inlineStr">
        <is>
          <t>处理完成</t>
        </is>
      </c>
    </row>
    <row r="5434" ht="15.95" customHeight="1" s="170">
      <c r="B5434" s="122" t="inlineStr">
        <is>
          <t>码值：库存周转速度</t>
        </is>
      </c>
    </row>
    <row r="5435">
      <c r="B5435" s="24" t="inlineStr">
        <is>
          <t>库存周转速度</t>
        </is>
      </c>
      <c r="C5435" s="24" t="inlineStr">
        <is>
          <t>库存周转速度</t>
        </is>
      </c>
      <c r="D5435" s="24" t="inlineStr">
        <is>
          <t>1</t>
        </is>
      </c>
      <c r="E5435" s="24" t="inlineStr">
        <is>
          <t>快</t>
        </is>
      </c>
    </row>
    <row r="5436">
      <c r="B5436" s="24" t="inlineStr">
        <is>
          <t>库存周转速度</t>
        </is>
      </c>
      <c r="C5436" s="24" t="inlineStr">
        <is>
          <t>库存周转速度</t>
        </is>
      </c>
      <c r="D5436" s="24" t="inlineStr">
        <is>
          <t>2</t>
        </is>
      </c>
      <c r="E5436" s="24" t="inlineStr">
        <is>
          <t>一般</t>
        </is>
      </c>
    </row>
    <row r="5437">
      <c r="B5437" s="24" t="inlineStr">
        <is>
          <t>库存周转速度</t>
        </is>
      </c>
      <c r="C5437" s="24" t="inlineStr">
        <is>
          <t>库存周转速度</t>
        </is>
      </c>
      <c r="D5437" s="24" t="inlineStr">
        <is>
          <t>3</t>
        </is>
      </c>
      <c r="E5437" s="24" t="inlineStr">
        <is>
          <t>慢</t>
        </is>
      </c>
    </row>
    <row r="5438" ht="15.95" customHeight="1" s="170">
      <c r="B5438" s="122" t="inlineStr">
        <is>
          <t>码值：ResearchProportion</t>
        </is>
      </c>
    </row>
    <row r="5439">
      <c r="B5439" s="24" t="inlineStr">
        <is>
          <t>ResearchProportion</t>
        </is>
      </c>
      <c r="C5439" s="24" t="inlineStr">
        <is>
          <t>信用等级评估统一导入</t>
        </is>
      </c>
      <c r="D5439" s="24" t="inlineStr">
        <is>
          <t>1</t>
        </is>
      </c>
      <c r="E5439" s="24" t="inlineStr">
        <is>
          <t>经费比重占销售收入5%及5%以上</t>
        </is>
      </c>
    </row>
    <row r="5440">
      <c r="B5440" s="24" t="inlineStr">
        <is>
          <t>ResearchProportion</t>
        </is>
      </c>
      <c r="C5440" s="24" t="inlineStr">
        <is>
          <t>信用等级评估统一导入</t>
        </is>
      </c>
      <c r="D5440" s="24" t="inlineStr">
        <is>
          <t>2</t>
        </is>
      </c>
      <c r="E5440" s="24" t="inlineStr">
        <is>
          <t>3%--5%</t>
        </is>
      </c>
    </row>
    <row r="5441">
      <c r="B5441" s="24" t="inlineStr">
        <is>
          <t>ResearchProportion</t>
        </is>
      </c>
      <c r="C5441" s="24" t="inlineStr">
        <is>
          <t>信用等级评估统一导入</t>
        </is>
      </c>
      <c r="D5441" s="24" t="inlineStr">
        <is>
          <t>3</t>
        </is>
      </c>
      <c r="E5441" s="24" t="inlineStr">
        <is>
          <t>3%以下</t>
        </is>
      </c>
    </row>
    <row r="5442" ht="15.95" customHeight="1" s="170">
      <c r="B5442" s="122" t="inlineStr">
        <is>
          <t>码值：EnterpriseBelong</t>
        </is>
      </c>
    </row>
    <row r="5443">
      <c r="B5443" s="24" t="inlineStr">
        <is>
          <t>EnterpriseBelong</t>
        </is>
      </c>
      <c r="C5443" s="24" t="inlineStr">
        <is>
          <t>企业隶属关系</t>
        </is>
      </c>
      <c r="D5443" s="24" t="inlineStr">
        <is>
          <t>01</t>
        </is>
      </c>
      <c r="E5443" s="24" t="inlineStr">
        <is>
          <t>中央</t>
        </is>
      </c>
    </row>
    <row r="5444">
      <c r="B5444" s="24" t="inlineStr">
        <is>
          <t>EnterpriseBelong</t>
        </is>
      </c>
      <c r="C5444" s="24" t="inlineStr">
        <is>
          <t>企业隶属关系</t>
        </is>
      </c>
      <c r="D5444" s="24" t="inlineStr">
        <is>
          <t>02</t>
        </is>
      </c>
      <c r="E5444" s="24" t="inlineStr">
        <is>
          <t>省部属</t>
        </is>
      </c>
    </row>
    <row r="5445">
      <c r="B5445" s="24" t="inlineStr">
        <is>
          <t>EnterpriseBelong</t>
        </is>
      </c>
      <c r="C5445" s="24" t="inlineStr">
        <is>
          <t>企业隶属关系</t>
        </is>
      </c>
      <c r="D5445" s="24" t="inlineStr">
        <is>
          <t>03</t>
        </is>
      </c>
      <c r="E5445" s="24" t="inlineStr">
        <is>
          <t>市属</t>
        </is>
      </c>
    </row>
    <row r="5446">
      <c r="B5446" s="24" t="inlineStr">
        <is>
          <t>EnterpriseBelong</t>
        </is>
      </c>
      <c r="C5446" s="24" t="inlineStr">
        <is>
          <t>企业隶属关系</t>
        </is>
      </c>
      <c r="D5446" s="24" t="inlineStr">
        <is>
          <t>04</t>
        </is>
      </c>
      <c r="E5446" s="24" t="inlineStr">
        <is>
          <t>区、县属及以下</t>
        </is>
      </c>
    </row>
    <row r="5447" ht="15.95" customHeight="1" s="170">
      <c r="B5447" s="122" t="inlineStr">
        <is>
          <t>码值：CLControlType</t>
        </is>
      </c>
    </row>
    <row r="5448">
      <c r="B5448" s="24" t="inlineStr">
        <is>
          <t>CLControlType</t>
        </is>
      </c>
      <c r="C5448" s="24" t="inlineStr">
        <is>
          <t>控制类型</t>
        </is>
      </c>
      <c r="D5448" s="24" t="inlineStr">
        <is>
          <t>10</t>
        </is>
      </c>
      <c r="E5448" s="24" t="inlineStr">
        <is>
          <t>敞口</t>
        </is>
      </c>
    </row>
    <row r="5449">
      <c r="B5449" s="24" t="inlineStr">
        <is>
          <t>CLControlType</t>
        </is>
      </c>
      <c r="C5449" s="24" t="inlineStr">
        <is>
          <t>控制类型</t>
        </is>
      </c>
      <c r="D5449" s="24" t="inlineStr">
        <is>
          <t>20</t>
        </is>
      </c>
      <c r="E5449" s="24" t="inlineStr">
        <is>
          <t>金额</t>
        </is>
      </c>
    </row>
    <row r="5450" ht="15.95" customHeight="1" s="170">
      <c r="B5450" s="122" t="inlineStr">
        <is>
          <t>码值：产品、服务供求</t>
        </is>
      </c>
    </row>
    <row r="5451">
      <c r="B5451" s="24" t="inlineStr">
        <is>
          <t>产品、服务供求</t>
        </is>
      </c>
      <c r="C5451" s="24" t="inlineStr">
        <is>
          <t>产品、服务供求</t>
        </is>
      </c>
      <c r="D5451" s="24" t="inlineStr">
        <is>
          <t>1</t>
        </is>
      </c>
      <c r="E5451" s="24" t="inlineStr">
        <is>
          <t>大</t>
        </is>
      </c>
    </row>
    <row r="5452">
      <c r="B5452" s="24" t="inlineStr">
        <is>
          <t>产品、服务供求</t>
        </is>
      </c>
      <c r="C5452" s="24" t="inlineStr">
        <is>
          <t>产品、服务供求</t>
        </is>
      </c>
      <c r="D5452" s="24" t="inlineStr">
        <is>
          <t>2</t>
        </is>
      </c>
      <c r="E5452" s="24" t="inlineStr">
        <is>
          <t>一般</t>
        </is>
      </c>
    </row>
    <row r="5453">
      <c r="B5453" s="24" t="inlineStr">
        <is>
          <t>产品、服务供求</t>
        </is>
      </c>
      <c r="C5453" s="24" t="inlineStr">
        <is>
          <t>产品、服务供求</t>
        </is>
      </c>
      <c r="D5453" s="24" t="inlineStr">
        <is>
          <t>3</t>
        </is>
      </c>
      <c r="E5453" s="24" t="inlineStr">
        <is>
          <t>小</t>
        </is>
      </c>
    </row>
    <row r="5454" ht="15.95" customHeight="1" s="170">
      <c r="B5454" s="122" t="inlineStr">
        <is>
          <t>码值：CreditRecordAtBank</t>
        </is>
      </c>
    </row>
    <row r="5455">
      <c r="B5455" s="24" t="inlineStr">
        <is>
          <t>CreditRecordAtBank</t>
        </is>
      </c>
      <c r="C5455" s="24" t="inlineStr">
        <is>
          <t>信用等级评估统一导入</t>
        </is>
      </c>
      <c r="D5455" s="24" t="inlineStr">
        <is>
          <t>01</t>
        </is>
      </c>
      <c r="E5455" s="24" t="inlineStr">
        <is>
          <t>无记录</t>
        </is>
      </c>
    </row>
    <row r="5456">
      <c r="B5456" s="24" t="inlineStr">
        <is>
          <t>CreditRecordAtBank</t>
        </is>
      </c>
      <c r="C5456" s="24" t="inlineStr">
        <is>
          <t>信用等级评估统一导入</t>
        </is>
      </c>
      <c r="D5456" s="24" t="inlineStr">
        <is>
          <t>02</t>
        </is>
      </c>
      <c r="E5456" s="24" t="inlineStr">
        <is>
          <t>无失信</t>
        </is>
      </c>
    </row>
    <row r="5457">
      <c r="B5457" s="24" t="inlineStr">
        <is>
          <t>CreditRecordAtBank</t>
        </is>
      </c>
      <c r="C5457" s="24" t="inlineStr">
        <is>
          <t>信用等级评估统一导入</t>
        </is>
      </c>
      <c r="D5457" s="24" t="inlineStr">
        <is>
          <t>03</t>
        </is>
      </c>
      <c r="E5457" s="24" t="inlineStr">
        <is>
          <t>有失信记录</t>
        </is>
      </c>
    </row>
    <row r="5458" ht="15.95" customHeight="1" s="170">
      <c r="B5458" s="122" t="inlineStr">
        <is>
          <t>码值：DepartType</t>
        </is>
      </c>
    </row>
    <row r="5459">
      <c r="B5459" s="24" t="inlineStr">
        <is>
          <t>DepartType</t>
        </is>
      </c>
      <c r="C5459" s="24" t="inlineStr">
        <is>
          <t>受理机关类型</t>
        </is>
      </c>
      <c r="D5459" s="24" t="inlineStr">
        <is>
          <t>01</t>
        </is>
      </c>
      <c r="E5459" s="24" t="inlineStr">
        <is>
          <t>法院</t>
        </is>
      </c>
    </row>
    <row r="5460">
      <c r="B5460" s="24" t="inlineStr">
        <is>
          <t>DepartType</t>
        </is>
      </c>
      <c r="C5460" s="24" t="inlineStr">
        <is>
          <t>受理机关类型</t>
        </is>
      </c>
      <c r="D5460" s="24" t="inlineStr">
        <is>
          <t>02</t>
        </is>
      </c>
      <c r="E5460" s="24" t="inlineStr">
        <is>
          <t>仲裁机关</t>
        </is>
      </c>
    </row>
    <row r="5461">
      <c r="B5461" s="24" t="inlineStr">
        <is>
          <t>DepartType</t>
        </is>
      </c>
      <c r="C5461" s="24" t="inlineStr">
        <is>
          <t>受理机关类型</t>
        </is>
      </c>
      <c r="D5461" s="24" t="inlineStr">
        <is>
          <t>03</t>
        </is>
      </c>
      <c r="E5461" s="24" t="inlineStr">
        <is>
          <t>公证机关</t>
        </is>
      </c>
    </row>
    <row r="5462" ht="15.95" customHeight="1" s="170">
      <c r="B5462" s="122" t="inlineStr">
        <is>
          <t>码值：DevModel</t>
        </is>
      </c>
    </row>
    <row r="5463">
      <c r="B5463" s="24" t="inlineStr">
        <is>
          <t>DevModel</t>
        </is>
      </c>
      <c r="C5463" s="24" t="n"/>
      <c r="D5463" s="24" t="inlineStr">
        <is>
          <t>01</t>
        </is>
      </c>
      <c r="E5463" s="24" t="inlineStr">
        <is>
          <t>工业园区模式</t>
        </is>
      </c>
    </row>
    <row r="5464">
      <c r="B5464" s="24" t="inlineStr">
        <is>
          <t>DevModel</t>
        </is>
      </c>
      <c r="C5464" s="24" t="n"/>
      <c r="D5464" s="24" t="inlineStr">
        <is>
          <t>02</t>
        </is>
      </c>
      <c r="E5464" s="24" t="inlineStr">
        <is>
          <t>工业地产商模式</t>
        </is>
      </c>
    </row>
    <row r="5465">
      <c r="B5465" s="24" t="inlineStr">
        <is>
          <t>DevModel</t>
        </is>
      </c>
      <c r="C5465" s="24" t="n"/>
      <c r="D5465" s="24" t="inlineStr">
        <is>
          <t>03</t>
        </is>
      </c>
      <c r="E5465" s="24" t="inlineStr">
        <is>
          <t>主体企业引导模式</t>
        </is>
      </c>
    </row>
    <row r="5466">
      <c r="B5466" s="24" t="inlineStr">
        <is>
          <t>DevModel</t>
        </is>
      </c>
      <c r="C5466" s="24" t="n"/>
      <c r="D5466" s="24" t="inlineStr">
        <is>
          <t>04</t>
        </is>
      </c>
      <c r="E5466" s="24" t="inlineStr">
        <is>
          <t>综合模式</t>
        </is>
      </c>
    </row>
    <row r="5467">
      <c r="B5467" s="24" t="inlineStr">
        <is>
          <t>DevModel</t>
        </is>
      </c>
      <c r="C5467" s="24" t="n"/>
      <c r="D5467" s="24" t="inlineStr">
        <is>
          <t>05</t>
        </is>
      </c>
      <c r="E5467" s="24" t="inlineStr">
        <is>
          <t>私人业主开发模式</t>
        </is>
      </c>
    </row>
    <row r="5468">
      <c r="B5468" s="24" t="inlineStr">
        <is>
          <t>DevModel</t>
        </is>
      </c>
      <c r="C5468" s="24" t="n"/>
      <c r="D5468" s="24" t="inlineStr">
        <is>
          <t>90</t>
        </is>
      </c>
      <c r="E5468" s="24" t="inlineStr">
        <is>
          <t>其他</t>
        </is>
      </c>
    </row>
    <row r="5469" ht="15.95" customHeight="1" s="170">
      <c r="B5469" s="122" t="inlineStr">
        <is>
          <t>码值：Sex</t>
        </is>
      </c>
    </row>
    <row r="5470">
      <c r="B5470" s="24" t="inlineStr">
        <is>
          <t>Sex</t>
        </is>
      </c>
      <c r="C5470" s="24" t="inlineStr">
        <is>
          <t>性别</t>
        </is>
      </c>
      <c r="D5470" s="24" t="inlineStr">
        <is>
          <t>0</t>
        </is>
      </c>
      <c r="E5470" s="24" t="inlineStr">
        <is>
          <t>未知的性别</t>
        </is>
      </c>
    </row>
    <row r="5471">
      <c r="B5471" s="24" t="inlineStr">
        <is>
          <t>Sex</t>
        </is>
      </c>
      <c r="C5471" s="24" t="inlineStr">
        <is>
          <t>性别</t>
        </is>
      </c>
      <c r="D5471" s="24" t="inlineStr">
        <is>
          <t>1</t>
        </is>
      </c>
      <c r="E5471" s="24" t="inlineStr">
        <is>
          <t>男性</t>
        </is>
      </c>
    </row>
    <row r="5472">
      <c r="B5472" s="24" t="inlineStr">
        <is>
          <t>Sex</t>
        </is>
      </c>
      <c r="C5472" s="24" t="inlineStr">
        <is>
          <t>性别</t>
        </is>
      </c>
      <c r="D5472" s="24" t="inlineStr">
        <is>
          <t>2</t>
        </is>
      </c>
      <c r="E5472" s="24" t="inlineStr">
        <is>
          <t>女性</t>
        </is>
      </c>
    </row>
    <row r="5473">
      <c r="B5473" s="24" t="inlineStr">
        <is>
          <t>Sex</t>
        </is>
      </c>
      <c r="C5473" s="24" t="inlineStr">
        <is>
          <t>性别</t>
        </is>
      </c>
      <c r="D5473" s="24" t="inlineStr">
        <is>
          <t>9</t>
        </is>
      </c>
      <c r="E5473" s="24" t="inlineStr">
        <is>
          <t>未说明性别</t>
        </is>
      </c>
    </row>
    <row r="5474" ht="15.95" customHeight="1" s="170">
      <c r="B5474" s="122" t="inlineStr">
        <is>
          <t>码值：ActionCode</t>
        </is>
      </c>
    </row>
    <row r="5475">
      <c r="B5475" s="24" t="inlineStr">
        <is>
          <t>ActionCode</t>
        </is>
      </c>
      <c r="C5475" s="24" t="inlineStr">
        <is>
          <t>信贷处理方法</t>
        </is>
      </c>
      <c r="D5475" s="24" t="inlineStr">
        <is>
          <t>0</t>
        </is>
      </c>
      <c r="E5475" s="24" t="inlineStr">
        <is>
          <t>业务处理</t>
        </is>
      </c>
    </row>
    <row r="5476">
      <c r="B5476" s="24" t="inlineStr">
        <is>
          <t>ActionCode</t>
        </is>
      </c>
      <c r="C5476" s="24" t="inlineStr">
        <is>
          <t>信贷处理方法</t>
        </is>
      </c>
      <c r="D5476" s="24" t="inlineStr">
        <is>
          <t>0010</t>
        </is>
      </c>
      <c r="E5476" s="24" t="inlineStr">
        <is>
          <t>新增申请</t>
        </is>
      </c>
    </row>
    <row r="5477">
      <c r="B5477" s="24" t="inlineStr">
        <is>
          <t>ActionCode</t>
        </is>
      </c>
      <c r="C5477" s="24" t="inlineStr">
        <is>
          <t>信贷处理方法</t>
        </is>
      </c>
      <c r="D5477" s="24" t="inlineStr">
        <is>
          <t>0020</t>
        </is>
      </c>
      <c r="E5477" s="24" t="inlineStr">
        <is>
          <t>快速申请提交</t>
        </is>
      </c>
    </row>
    <row r="5478">
      <c r="B5478" s="24" t="inlineStr">
        <is>
          <t>ActionCode</t>
        </is>
      </c>
      <c r="C5478" s="24" t="inlineStr">
        <is>
          <t>信贷处理方法</t>
        </is>
      </c>
      <c r="D5478" s="24" t="inlineStr">
        <is>
          <t>0030</t>
        </is>
      </c>
      <c r="E5478" s="24" t="inlineStr">
        <is>
          <t>一般申请</t>
        </is>
      </c>
    </row>
    <row r="5479">
      <c r="B5479" s="24" t="inlineStr">
        <is>
          <t>ActionCode</t>
        </is>
      </c>
      <c r="C5479" s="24" t="inlineStr">
        <is>
          <t>信贷处理方法</t>
        </is>
      </c>
      <c r="D5479" s="24" t="inlineStr">
        <is>
          <t>0050</t>
        </is>
      </c>
      <c r="E5479" s="24" t="inlineStr">
        <is>
          <t>节假日日期初始化</t>
        </is>
      </c>
    </row>
    <row r="5480">
      <c r="B5480" s="24" t="inlineStr">
        <is>
          <t>ActionCode</t>
        </is>
      </c>
      <c r="C5480" s="24" t="inlineStr">
        <is>
          <t>信贷处理方法</t>
        </is>
      </c>
      <c r="D5480" s="24" t="inlineStr">
        <is>
          <t>2</t>
        </is>
      </c>
      <c r="E5480" s="24" t="inlineStr">
        <is>
          <t>客户相关处理</t>
        </is>
      </c>
    </row>
    <row r="5481">
      <c r="B5481" s="24" t="inlineStr">
        <is>
          <t>ActionCode</t>
        </is>
      </c>
      <c r="C5481" s="24" t="inlineStr">
        <is>
          <t>信贷处理方法</t>
        </is>
      </c>
      <c r="D5481" s="24" t="inlineStr">
        <is>
          <t>2010</t>
        </is>
      </c>
      <c r="E5481" s="24" t="inlineStr">
        <is>
          <t>客户合并</t>
        </is>
      </c>
    </row>
    <row r="5482">
      <c r="B5482" s="24" t="inlineStr">
        <is>
          <t>ActionCode</t>
        </is>
      </c>
      <c r="C5482" s="24" t="inlineStr">
        <is>
          <t>信贷处理方法</t>
        </is>
      </c>
      <c r="D5482" s="24" t="inlineStr">
        <is>
          <t>2020</t>
        </is>
      </c>
      <c r="E5482" s="24" t="inlineStr">
        <is>
          <t>客户新增(检查客户信息)</t>
        </is>
      </c>
    </row>
    <row r="5483">
      <c r="B5483" s="24" t="inlineStr">
        <is>
          <t>ActionCode</t>
        </is>
      </c>
      <c r="C5483" s="24" t="inlineStr">
        <is>
          <t>信贷处理方法</t>
        </is>
      </c>
      <c r="D5483" s="24" t="inlineStr">
        <is>
          <t>2030</t>
        </is>
      </c>
      <c r="E5483" s="24" t="inlineStr">
        <is>
          <t>新增合作方客户</t>
        </is>
      </c>
    </row>
    <row r="5484">
      <c r="B5484" s="24" t="inlineStr">
        <is>
          <t>ActionCode</t>
        </is>
      </c>
      <c r="C5484" s="24" t="inlineStr">
        <is>
          <t>信贷处理方法</t>
        </is>
      </c>
      <c r="D5484" s="24" t="inlineStr">
        <is>
          <t>2031</t>
        </is>
      </c>
      <c r="E5484" s="24" t="inlineStr">
        <is>
          <t>新增合作方客户(合作方客户新增关联)</t>
        </is>
      </c>
    </row>
    <row r="5485">
      <c r="B5485" s="24" t="inlineStr">
        <is>
          <t>ActionCode</t>
        </is>
      </c>
      <c r="C5485" s="24" t="inlineStr">
        <is>
          <t>信贷处理方法</t>
        </is>
      </c>
      <c r="D5485" s="24" t="inlineStr">
        <is>
          <t>5</t>
        </is>
      </c>
      <c r="E5485" s="24" t="inlineStr">
        <is>
          <t>额度相关</t>
        </is>
      </c>
    </row>
    <row r="5486">
      <c r="B5486" s="24" t="inlineStr">
        <is>
          <t>ActionCode</t>
        </is>
      </c>
      <c r="C5486" s="24" t="inlineStr">
        <is>
          <t>信贷处理方法</t>
        </is>
      </c>
      <c r="D5486" s="24" t="inlineStr">
        <is>
          <t>5010</t>
        </is>
      </c>
      <c r="E5486" s="24" t="inlineStr">
        <is>
          <t>删除额度分配</t>
        </is>
      </c>
    </row>
    <row r="5487">
      <c r="B5487" s="24" t="inlineStr">
        <is>
          <t>ActionCode</t>
        </is>
      </c>
      <c r="C5487" s="24" t="inlineStr">
        <is>
          <t>信贷处理方法</t>
        </is>
      </c>
      <c r="D5487" s="24" t="inlineStr">
        <is>
          <t>5020</t>
        </is>
      </c>
      <c r="E5487" s="24" t="inlineStr">
        <is>
          <t>额度结构初始化</t>
        </is>
      </c>
    </row>
    <row r="5488">
      <c r="B5488" s="24" t="inlineStr">
        <is>
          <t>ActionCode</t>
        </is>
      </c>
      <c r="C5488" s="24" t="inlineStr">
        <is>
          <t>信贷处理方法</t>
        </is>
      </c>
      <c r="D5488" s="24" t="inlineStr">
        <is>
          <t>9</t>
        </is>
      </c>
      <c r="E5488" s="24" t="inlineStr">
        <is>
          <t>系统相关</t>
        </is>
      </c>
    </row>
    <row r="5489">
      <c r="B5489" s="24" t="inlineStr">
        <is>
          <t>ActionCode</t>
        </is>
      </c>
      <c r="C5489" s="24" t="inlineStr">
        <is>
          <t>信贷处理方法</t>
        </is>
      </c>
      <c r="D5489" s="24" t="inlineStr">
        <is>
          <t>9010</t>
        </is>
      </c>
      <c r="E5489" s="24" t="inlineStr">
        <is>
          <t>影像初始化</t>
        </is>
      </c>
    </row>
    <row r="5490" ht="15.95" customHeight="1" s="170">
      <c r="B5490" s="122" t="inlineStr">
        <is>
          <t>码值：SimpleMeetingFlowAMain</t>
        </is>
      </c>
    </row>
    <row r="5491">
      <c r="B5491" s="24" t="inlineStr">
        <is>
          <t>SimpleMeetingFlowAMain</t>
        </is>
      </c>
      <c r="C5491" s="24" t="n"/>
      <c r="D5491" s="24" t="inlineStr">
        <is>
          <t>N</t>
        </is>
      </c>
      <c r="E5491" s="24" t="inlineStr">
        <is>
          <t>当前工作</t>
        </is>
      </c>
    </row>
    <row r="5492">
      <c r="B5492" s="24" t="inlineStr">
        <is>
          <t>SimpleMeetingFlowAMain</t>
        </is>
      </c>
      <c r="C5492" s="24" t="n"/>
      <c r="D5492" s="24" t="inlineStr">
        <is>
          <t>Y</t>
        </is>
      </c>
      <c r="E5492" s="24" t="inlineStr">
        <is>
          <t>已完成工作</t>
        </is>
      </c>
    </row>
    <row r="5493" ht="15.95" customHeight="1" s="170">
      <c r="B5493" s="122" t="inlineStr">
        <is>
          <t>码值：ReserveFlag</t>
        </is>
      </c>
    </row>
    <row r="5494">
      <c r="B5494" s="24" t="inlineStr">
        <is>
          <t>ReserveFlag</t>
        </is>
      </c>
      <c r="C5494" s="24" t="inlineStr">
        <is>
          <t>计提模式</t>
        </is>
      </c>
      <c r="D5494" s="24" t="inlineStr">
        <is>
          <t>10</t>
        </is>
      </c>
      <c r="E5494" s="24" t="inlineStr">
        <is>
          <t>组合计提</t>
        </is>
      </c>
    </row>
    <row r="5495">
      <c r="B5495" s="24" t="inlineStr">
        <is>
          <t>ReserveFlag</t>
        </is>
      </c>
      <c r="C5495" s="24" t="inlineStr">
        <is>
          <t>计提模式</t>
        </is>
      </c>
      <c r="D5495" s="24" t="inlineStr">
        <is>
          <t>20</t>
        </is>
      </c>
      <c r="E5495" s="24" t="inlineStr">
        <is>
          <t>单项计提</t>
        </is>
      </c>
    </row>
    <row r="5496" ht="15.95" customHeight="1" s="170">
      <c r="B5496" s="122" t="inlineStr">
        <is>
          <t>码值：clType</t>
        </is>
      </c>
    </row>
    <row r="5497">
      <c r="B5497" s="24" t="inlineStr">
        <is>
          <t>clType</t>
        </is>
      </c>
      <c r="C5497" s="24" t="inlineStr">
        <is>
          <t>额度品种</t>
        </is>
      </c>
      <c r="D5497" s="24" t="inlineStr">
        <is>
          <t>01</t>
        </is>
      </c>
      <c r="E5497" s="24" t="inlineStr">
        <is>
          <t>同业授信额度</t>
        </is>
      </c>
    </row>
    <row r="5498" ht="15.95" customHeight="1" s="170">
      <c r="B5498" s="122" t="inlineStr">
        <is>
          <t>码值：IntType</t>
        </is>
      </c>
    </row>
    <row r="5499">
      <c r="B5499" s="24" t="inlineStr">
        <is>
          <t>IntType</t>
        </is>
      </c>
      <c r="C5499" s="24" t="inlineStr">
        <is>
          <t>贴现付息方式</t>
        </is>
      </c>
      <c r="D5499" s="24" t="inlineStr">
        <is>
          <t>0</t>
        </is>
      </c>
      <c r="E5499" s="24" t="inlineStr">
        <is>
          <t>卖方付息</t>
        </is>
      </c>
    </row>
    <row r="5500">
      <c r="B5500" s="24" t="inlineStr">
        <is>
          <t>IntType</t>
        </is>
      </c>
      <c r="C5500" s="24" t="inlineStr">
        <is>
          <t>贴现付息方式</t>
        </is>
      </c>
      <c r="D5500" s="24" t="inlineStr">
        <is>
          <t>1</t>
        </is>
      </c>
      <c r="E5500" s="24" t="inlineStr">
        <is>
          <t>买方付息</t>
        </is>
      </c>
    </row>
    <row r="5501">
      <c r="B5501" s="24" t="inlineStr">
        <is>
          <t>IntType</t>
        </is>
      </c>
      <c r="C5501" s="24" t="inlineStr">
        <is>
          <t>贴现付息方式</t>
        </is>
      </c>
      <c r="D5501" s="24" t="inlineStr">
        <is>
          <t>2</t>
        </is>
      </c>
      <c r="E5501" s="24" t="inlineStr">
        <is>
          <t>协议付息</t>
        </is>
      </c>
    </row>
    <row r="5502" ht="15.95" customHeight="1" s="170">
      <c r="B5502" s="122" t="inlineStr">
        <is>
          <t>码值：项目定位</t>
        </is>
      </c>
    </row>
    <row r="5503">
      <c r="B5503" s="24" t="inlineStr">
        <is>
          <t>项目定位</t>
        </is>
      </c>
      <c r="C5503" s="24" t="inlineStr">
        <is>
          <t>项目定位</t>
        </is>
      </c>
      <c r="D5503" s="24" t="inlineStr">
        <is>
          <t>01</t>
        </is>
      </c>
      <c r="E5503" s="24" t="inlineStr">
        <is>
          <t>住宅建筑</t>
        </is>
      </c>
    </row>
    <row r="5504">
      <c r="B5504" s="24" t="inlineStr">
        <is>
          <t>项目定位</t>
        </is>
      </c>
      <c r="C5504" s="24" t="inlineStr">
        <is>
          <t>项目定位</t>
        </is>
      </c>
      <c r="D5504" s="24" t="inlineStr">
        <is>
          <t>02</t>
        </is>
      </c>
      <c r="E5504" s="24" t="inlineStr">
        <is>
          <t>办公写字楼</t>
        </is>
      </c>
    </row>
    <row r="5505">
      <c r="B5505" s="24" t="inlineStr">
        <is>
          <t>项目定位</t>
        </is>
      </c>
      <c r="C5505" s="24" t="inlineStr">
        <is>
          <t>项目定位</t>
        </is>
      </c>
      <c r="D5505" s="24" t="inlineStr">
        <is>
          <t>03</t>
        </is>
      </c>
      <c r="E5505" s="24" t="inlineStr">
        <is>
          <t>商用建筑/商铺/商场</t>
        </is>
      </c>
    </row>
    <row r="5506">
      <c r="B5506" s="24" t="inlineStr">
        <is>
          <t>项目定位</t>
        </is>
      </c>
      <c r="C5506" s="24" t="inlineStr">
        <is>
          <t>项目定位</t>
        </is>
      </c>
      <c r="D5506" s="24" t="inlineStr">
        <is>
          <t>04</t>
        </is>
      </c>
      <c r="E5506" s="24" t="inlineStr">
        <is>
          <t>酒店</t>
        </is>
      </c>
    </row>
    <row r="5507">
      <c r="B5507" s="24" t="inlineStr">
        <is>
          <t>项目定位</t>
        </is>
      </c>
      <c r="C5507" s="24" t="inlineStr">
        <is>
          <t>项目定位</t>
        </is>
      </c>
      <c r="D5507" s="24" t="inlineStr">
        <is>
          <t>05</t>
        </is>
      </c>
      <c r="E5507" s="24" t="inlineStr">
        <is>
          <t>仓库/工厂建筑</t>
        </is>
      </c>
    </row>
    <row r="5508">
      <c r="B5508" s="24" t="inlineStr">
        <is>
          <t>项目定位</t>
        </is>
      </c>
      <c r="C5508" s="24" t="inlineStr">
        <is>
          <t>项目定位</t>
        </is>
      </c>
      <c r="D5508" s="24" t="inlineStr">
        <is>
          <t>06</t>
        </is>
      </c>
      <c r="E5508" s="24" t="inlineStr">
        <is>
          <t>其他</t>
        </is>
      </c>
    </row>
    <row r="5509" ht="15.95" customHeight="1" s="170">
      <c r="B5509" s="122" t="inlineStr">
        <is>
          <t>码值：管理团队经验</t>
        </is>
      </c>
    </row>
    <row r="5510">
      <c r="B5510" s="24" t="inlineStr">
        <is>
          <t>管理团队经验</t>
        </is>
      </c>
      <c r="C5510" s="24" t="inlineStr">
        <is>
          <t>管理团队经验</t>
        </is>
      </c>
      <c r="D5510" s="24" t="inlineStr">
        <is>
          <t>01</t>
        </is>
      </c>
      <c r="E5510" s="24" t="inlineStr">
        <is>
          <t>&gt; 10 年</t>
        </is>
      </c>
    </row>
    <row r="5511">
      <c r="B5511" s="24" t="inlineStr">
        <is>
          <t>管理团队经验</t>
        </is>
      </c>
      <c r="C5511" s="24" t="inlineStr">
        <is>
          <t>管理团队经验</t>
        </is>
      </c>
      <c r="D5511" s="24" t="inlineStr">
        <is>
          <t>02</t>
        </is>
      </c>
      <c r="E5511" s="24" t="inlineStr">
        <is>
          <t>3 - 10 年</t>
        </is>
      </c>
    </row>
    <row r="5512">
      <c r="B5512" s="24" t="inlineStr">
        <is>
          <t>管理团队经验</t>
        </is>
      </c>
      <c r="C5512" s="24" t="inlineStr">
        <is>
          <t>管理团队经验</t>
        </is>
      </c>
      <c r="D5512" s="24" t="inlineStr">
        <is>
          <t>03</t>
        </is>
      </c>
      <c r="E5512" s="24" t="inlineStr">
        <is>
          <t>1 - 2 年</t>
        </is>
      </c>
    </row>
    <row r="5513">
      <c r="B5513" s="24" t="inlineStr">
        <is>
          <t>管理团队经验</t>
        </is>
      </c>
      <c r="C5513" s="24" t="inlineStr">
        <is>
          <t>管理团队经验</t>
        </is>
      </c>
      <c r="D5513" s="24" t="inlineStr">
        <is>
          <t>04</t>
        </is>
      </c>
      <c r="E5513" s="24" t="inlineStr">
        <is>
          <t>对于行业很新，但有相关经验</t>
        </is>
      </c>
    </row>
    <row r="5514">
      <c r="B5514" s="24" t="inlineStr">
        <is>
          <t>管理团队经验</t>
        </is>
      </c>
      <c r="C5514" s="24" t="inlineStr">
        <is>
          <t>管理团队经验</t>
        </is>
      </c>
      <c r="D5514" s="24" t="inlineStr">
        <is>
          <t>05</t>
        </is>
      </c>
      <c r="E5514" s="24" t="inlineStr">
        <is>
          <t>对于行业很新，没有经验</t>
        </is>
      </c>
    </row>
    <row r="5515" ht="15.95" customHeight="1" s="170">
      <c r="B5515" s="122" t="inlineStr">
        <is>
          <t>码值：现金流动负债比</t>
        </is>
      </c>
    </row>
    <row r="5516">
      <c r="B5516" s="24" t="inlineStr">
        <is>
          <t>现金流动负债比</t>
        </is>
      </c>
      <c r="C5516" s="24" t="inlineStr">
        <is>
          <t>现金流动负债比</t>
        </is>
      </c>
      <c r="D5516" s="24" t="inlineStr">
        <is>
          <t>1</t>
        </is>
      </c>
      <c r="E5516" s="24" t="inlineStr">
        <is>
          <t>&lt;=0.03</t>
        </is>
      </c>
    </row>
    <row r="5517">
      <c r="B5517" s="24" t="inlineStr">
        <is>
          <t>现金流动负债比</t>
        </is>
      </c>
      <c r="C5517" s="24" t="inlineStr">
        <is>
          <t>现金流动负债比</t>
        </is>
      </c>
      <c r="D5517" s="24" t="inlineStr">
        <is>
          <t>2</t>
        </is>
      </c>
      <c r="E5517" s="24" t="inlineStr">
        <is>
          <t>(0.03,0.07]</t>
        </is>
      </c>
    </row>
    <row r="5518">
      <c r="B5518" s="24" t="inlineStr">
        <is>
          <t>现金流动负债比</t>
        </is>
      </c>
      <c r="C5518" s="24" t="inlineStr">
        <is>
          <t>现金流动负债比</t>
        </is>
      </c>
      <c r="D5518" s="24" t="inlineStr">
        <is>
          <t>3</t>
        </is>
      </c>
      <c r="E5518" s="24" t="inlineStr">
        <is>
          <t>(0.07,0.13]</t>
        </is>
      </c>
    </row>
    <row r="5519">
      <c r="B5519" s="24" t="inlineStr">
        <is>
          <t>现金流动负债比</t>
        </is>
      </c>
      <c r="C5519" s="24" t="inlineStr">
        <is>
          <t>现金流动负债比</t>
        </is>
      </c>
      <c r="D5519" s="24" t="inlineStr">
        <is>
          <t>4</t>
        </is>
      </c>
      <c r="E5519" s="24" t="inlineStr">
        <is>
          <t>(0.13,0.25]</t>
        </is>
      </c>
    </row>
    <row r="5520">
      <c r="B5520" s="24" t="inlineStr">
        <is>
          <t>现金流动负债比</t>
        </is>
      </c>
      <c r="C5520" s="24" t="inlineStr">
        <is>
          <t>现金流动负债比</t>
        </is>
      </c>
      <c r="D5520" s="24" t="inlineStr">
        <is>
          <t>5</t>
        </is>
      </c>
      <c r="E5520" s="24" t="inlineStr">
        <is>
          <t>(0.25,0.50]</t>
        </is>
      </c>
    </row>
    <row r="5521">
      <c r="B5521" s="24" t="inlineStr">
        <is>
          <t>现金流动负债比</t>
        </is>
      </c>
      <c r="C5521" s="24" t="inlineStr">
        <is>
          <t>现金流动负债比</t>
        </is>
      </c>
      <c r="D5521" s="24" t="inlineStr">
        <is>
          <t>6</t>
        </is>
      </c>
      <c r="E5521" s="24" t="inlineStr">
        <is>
          <t>&gt;0.50</t>
        </is>
      </c>
    </row>
    <row r="5522" ht="15.95" customHeight="1" s="170">
      <c r="B5522" s="122" t="inlineStr">
        <is>
          <t>码值：CreditState</t>
        </is>
      </c>
    </row>
    <row r="5523">
      <c r="B5523" s="24" t="inlineStr">
        <is>
          <t>CreditState</t>
        </is>
      </c>
      <c r="C5523" s="24" t="inlineStr">
        <is>
          <t>业务状态</t>
        </is>
      </c>
      <c r="D5523" s="24" t="inlineStr">
        <is>
          <t>12</t>
        </is>
      </c>
      <c r="E5523" s="24" t="inlineStr">
        <is>
          <t>转化贷款</t>
        </is>
      </c>
    </row>
    <row r="5524">
      <c r="B5524" s="24" t="inlineStr">
        <is>
          <t>CreditState</t>
        </is>
      </c>
      <c r="C5524" s="24" t="inlineStr">
        <is>
          <t>业务状态</t>
        </is>
      </c>
      <c r="D5524" s="24" t="inlineStr">
        <is>
          <t>13</t>
        </is>
      </c>
      <c r="E5524" s="24" t="inlineStr">
        <is>
          <t>重组贷款</t>
        </is>
      </c>
    </row>
    <row r="5525">
      <c r="B5525" s="24" t="inlineStr">
        <is>
          <t>CreditState</t>
        </is>
      </c>
      <c r="C5525" s="24" t="inlineStr">
        <is>
          <t>业务状态</t>
        </is>
      </c>
      <c r="D5525" s="24" t="inlineStr">
        <is>
          <t>22</t>
        </is>
      </c>
      <c r="E5525" s="24" t="inlineStr">
        <is>
          <t>贴现结清</t>
        </is>
      </c>
    </row>
    <row r="5526">
      <c r="B5526" s="24" t="inlineStr">
        <is>
          <t>CreditState</t>
        </is>
      </c>
      <c r="C5526" s="24" t="inlineStr">
        <is>
          <t>业务状态</t>
        </is>
      </c>
      <c r="D5526" s="24" t="inlineStr">
        <is>
          <t>23</t>
        </is>
      </c>
      <c r="E5526" s="24" t="inlineStr">
        <is>
          <t>转贴现</t>
        </is>
      </c>
    </row>
    <row r="5527">
      <c r="B5527" s="24" t="inlineStr">
        <is>
          <t>CreditState</t>
        </is>
      </c>
      <c r="C5527" s="24" t="inlineStr">
        <is>
          <t>业务状态</t>
        </is>
      </c>
      <c r="D5527" s="24" t="inlineStr">
        <is>
          <t>32</t>
        </is>
      </c>
      <c r="E5527" s="24" t="inlineStr">
        <is>
          <t>汇票未用退回</t>
        </is>
      </c>
    </row>
    <row r="5528">
      <c r="B5528" s="24" t="inlineStr">
        <is>
          <t>CreditState</t>
        </is>
      </c>
      <c r="C5528" s="24" t="inlineStr">
        <is>
          <t>业务状态</t>
        </is>
      </c>
      <c r="D5528" s="24" t="inlineStr">
        <is>
          <t>33</t>
        </is>
      </c>
      <c r="E5528" s="24" t="inlineStr">
        <is>
          <t>汇票结清</t>
        </is>
      </c>
    </row>
    <row r="5529">
      <c r="B5529" s="24" t="inlineStr">
        <is>
          <t>CreditState</t>
        </is>
      </c>
      <c r="C5529" s="24" t="inlineStr">
        <is>
          <t>业务状态</t>
        </is>
      </c>
      <c r="D5529" s="24" t="inlineStr">
        <is>
          <t>42</t>
        </is>
      </c>
      <c r="E5529" s="24" t="inlineStr">
        <is>
          <t>信用证注销</t>
        </is>
      </c>
    </row>
    <row r="5530">
      <c r="B5530" s="24" t="inlineStr">
        <is>
          <t>CreditState</t>
        </is>
      </c>
      <c r="C5530" s="24" t="inlineStr">
        <is>
          <t>业务状态</t>
        </is>
      </c>
      <c r="D5530" s="24" t="inlineStr">
        <is>
          <t>5</t>
        </is>
      </c>
      <c r="E5530" s="24" t="inlineStr">
        <is>
          <t>正常</t>
        </is>
      </c>
    </row>
    <row r="5531">
      <c r="B5531" s="24" t="inlineStr">
        <is>
          <t>CreditState</t>
        </is>
      </c>
      <c r="C5531" s="24" t="inlineStr">
        <is>
          <t>业务状态</t>
        </is>
      </c>
      <c r="D5531" s="24" t="inlineStr">
        <is>
          <t>52</t>
        </is>
      </c>
      <c r="E5531" s="24" t="inlineStr">
        <is>
          <t>保函解除</t>
        </is>
      </c>
    </row>
    <row r="5532">
      <c r="B5532" s="24" t="inlineStr">
        <is>
          <t>CreditState</t>
        </is>
      </c>
      <c r="C5532" s="24" t="inlineStr">
        <is>
          <t>业务状态</t>
        </is>
      </c>
      <c r="D5532" s="24" t="inlineStr">
        <is>
          <t>62</t>
        </is>
      </c>
      <c r="E5532" s="24" t="inlineStr">
        <is>
          <t>保理逾期</t>
        </is>
      </c>
    </row>
    <row r="5533" ht="15.95" customHeight="1" s="170">
      <c r="B5533" s="122" t="inlineStr">
        <is>
          <t>码值：NPABookView</t>
        </is>
      </c>
    </row>
    <row r="5534">
      <c r="B5534" s="24" t="inlineStr">
        <is>
          <t>NPABookView</t>
        </is>
      </c>
      <c r="C5534" s="24" t="inlineStr">
        <is>
          <t>不良台帐管理</t>
        </is>
      </c>
      <c r="D5534" s="24" t="inlineStr">
        <is>
          <t>010</t>
        </is>
      </c>
      <c r="E5534" s="24" t="inlineStr">
        <is>
          <t>保全工作笔记管理</t>
        </is>
      </c>
    </row>
    <row r="5535">
      <c r="B5535" s="24" t="inlineStr">
        <is>
          <t>NPABookView</t>
        </is>
      </c>
      <c r="C5535" s="24" t="inlineStr">
        <is>
          <t>不良台帐管理</t>
        </is>
      </c>
      <c r="D5535" s="24" t="inlineStr">
        <is>
          <t>025</t>
        </is>
      </c>
      <c r="E5535" s="24" t="inlineStr">
        <is>
          <t>五级分类管理</t>
        </is>
      </c>
    </row>
    <row r="5536">
      <c r="B5536" s="24" t="inlineStr">
        <is>
          <t>NPABookView</t>
        </is>
      </c>
      <c r="C5536" s="24" t="inlineStr">
        <is>
          <t>不良台帐管理</t>
        </is>
      </c>
      <c r="D5536" s="24" t="inlineStr">
        <is>
          <t>025010</t>
        </is>
      </c>
      <c r="E5536" s="24" t="inlineStr">
        <is>
          <t>待完成分类</t>
        </is>
      </c>
    </row>
    <row r="5537">
      <c r="B5537" s="24" t="inlineStr">
        <is>
          <t>NPABookView</t>
        </is>
      </c>
      <c r="C5537" s="24" t="inlineStr">
        <is>
          <t>不良台帐管理</t>
        </is>
      </c>
      <c r="D5537" s="24" t="inlineStr">
        <is>
          <t>025020</t>
        </is>
      </c>
      <c r="E5537" s="24" t="inlineStr">
        <is>
          <t>已完成分类</t>
        </is>
      </c>
    </row>
    <row r="5538">
      <c r="B5538" s="24" t="inlineStr">
        <is>
          <t>NPABookView</t>
        </is>
      </c>
      <c r="C5538" s="24" t="inlineStr">
        <is>
          <t>不良台帐管理</t>
        </is>
      </c>
      <c r="D5538" s="24" t="inlineStr">
        <is>
          <t>025030</t>
        </is>
      </c>
      <c r="E5538" s="24" t="inlineStr">
        <is>
          <t>待完成分类</t>
        </is>
      </c>
    </row>
    <row r="5539">
      <c r="B5539" s="24" t="inlineStr">
        <is>
          <t>NPABookView</t>
        </is>
      </c>
      <c r="C5539" s="24" t="inlineStr">
        <is>
          <t>不良台帐管理</t>
        </is>
      </c>
      <c r="D5539" s="24" t="inlineStr">
        <is>
          <t>025040</t>
        </is>
      </c>
      <c r="E5539" s="24" t="inlineStr">
        <is>
          <t>已完成分类</t>
        </is>
      </c>
    </row>
    <row r="5540">
      <c r="B5540" s="24" t="inlineStr">
        <is>
          <t>NPABookView</t>
        </is>
      </c>
      <c r="C5540" s="24" t="inlineStr">
        <is>
          <t>不良台帐管理</t>
        </is>
      </c>
      <c r="D5540" s="24" t="inlineStr">
        <is>
          <t>050</t>
        </is>
      </c>
      <c r="E5540" s="24" t="inlineStr">
        <is>
          <t>债权让步记录</t>
        </is>
      </c>
    </row>
    <row r="5541">
      <c r="B5541" s="24" t="inlineStr">
        <is>
          <t>NPABookView</t>
        </is>
      </c>
      <c r="C5541" s="24" t="inlineStr">
        <is>
          <t>不良台帐管理</t>
        </is>
      </c>
      <c r="D5541" s="24" t="inlineStr">
        <is>
          <t>055</t>
        </is>
      </c>
      <c r="E5541" s="24" t="inlineStr">
        <is>
          <t>责任认定信息</t>
        </is>
      </c>
    </row>
    <row r="5542">
      <c r="B5542" s="24" t="inlineStr">
        <is>
          <t>NPABookView</t>
        </is>
      </c>
      <c r="C5542" s="24" t="inlineStr">
        <is>
          <t>不良台帐管理</t>
        </is>
      </c>
      <c r="D5542" s="24" t="inlineStr">
        <is>
          <t>060</t>
        </is>
      </c>
      <c r="E5542" s="24" t="inlineStr">
        <is>
          <t>放还款记录查询</t>
        </is>
      </c>
    </row>
    <row r="5543">
      <c r="B5543" s="24" t="inlineStr">
        <is>
          <t>NPABookView</t>
        </is>
      </c>
      <c r="C5543" s="24" t="inlineStr">
        <is>
          <t>不良台帐管理</t>
        </is>
      </c>
      <c r="D5543" s="24" t="inlineStr">
        <is>
          <t>060010</t>
        </is>
      </c>
      <c r="E5543" s="24" t="inlineStr">
        <is>
          <t>放款记录查询</t>
        </is>
      </c>
    </row>
    <row r="5544">
      <c r="B5544" s="24" t="inlineStr">
        <is>
          <t>NPABookView</t>
        </is>
      </c>
      <c r="C5544" s="24" t="inlineStr">
        <is>
          <t>不良台帐管理</t>
        </is>
      </c>
      <c r="D5544" s="24" t="inlineStr">
        <is>
          <t>060020</t>
        </is>
      </c>
      <c r="E5544" s="24" t="inlineStr">
        <is>
          <t>还款记录查询</t>
        </is>
      </c>
    </row>
    <row r="5545">
      <c r="B5545" s="24" t="inlineStr">
        <is>
          <t>NPABookView</t>
        </is>
      </c>
      <c r="C5545" s="24" t="inlineStr">
        <is>
          <t>不良台帐管理</t>
        </is>
      </c>
      <c r="D5545" s="24" t="inlineStr">
        <is>
          <t>065</t>
        </is>
      </c>
      <c r="E5545" s="24" t="inlineStr">
        <is>
          <t>核销后收现登记</t>
        </is>
      </c>
    </row>
    <row r="5546">
      <c r="B5546" s="24" t="inlineStr">
        <is>
          <t>NPABookView</t>
        </is>
      </c>
      <c r="C5546" s="24" t="inlineStr">
        <is>
          <t>不良台帐管理</t>
        </is>
      </c>
      <c r="D5546" s="24" t="inlineStr">
        <is>
          <t>070</t>
        </is>
      </c>
      <c r="E5546" s="24" t="inlineStr">
        <is>
          <t>保全物信息</t>
        </is>
      </c>
    </row>
    <row r="5547">
      <c r="B5547" s="24" t="inlineStr">
        <is>
          <t>NPABookView</t>
        </is>
      </c>
      <c r="C5547" s="24" t="inlineStr">
        <is>
          <t>不良台帐管理</t>
        </is>
      </c>
      <c r="D5547" s="24" t="inlineStr">
        <is>
          <t>070010</t>
        </is>
      </c>
      <c r="E5547" s="24" t="inlineStr">
        <is>
          <t>抵押信息</t>
        </is>
      </c>
    </row>
    <row r="5548">
      <c r="B5548" s="24" t="inlineStr">
        <is>
          <t>NPABookView</t>
        </is>
      </c>
      <c r="C5548" s="24" t="inlineStr">
        <is>
          <t>不良台帐管理</t>
        </is>
      </c>
      <c r="D5548" s="24" t="inlineStr">
        <is>
          <t>070020</t>
        </is>
      </c>
      <c r="E5548" s="24" t="inlineStr">
        <is>
          <t>质押信息</t>
        </is>
      </c>
    </row>
    <row r="5549">
      <c r="B5549" s="24" t="inlineStr">
        <is>
          <t>NPABookView</t>
        </is>
      </c>
      <c r="C5549" s="24" t="inlineStr">
        <is>
          <t>不良台帐管理</t>
        </is>
      </c>
      <c r="D5549" s="24" t="inlineStr">
        <is>
          <t>075</t>
        </is>
      </c>
      <c r="E5549" s="24" t="inlineStr">
        <is>
          <t>查封资产管理</t>
        </is>
      </c>
    </row>
    <row r="5550">
      <c r="B5550" s="24" t="inlineStr">
        <is>
          <t>NPABookView</t>
        </is>
      </c>
      <c r="C5550" s="24" t="inlineStr">
        <is>
          <t>不良台帐管理</t>
        </is>
      </c>
      <c r="D5550" s="24" t="inlineStr">
        <is>
          <t>075010</t>
        </is>
      </c>
      <c r="E5550" s="24" t="inlineStr">
        <is>
          <t>未退出查封的资产</t>
        </is>
      </c>
    </row>
    <row r="5551">
      <c r="B5551" s="24" t="inlineStr">
        <is>
          <t>NPABookView</t>
        </is>
      </c>
      <c r="C5551" s="24" t="inlineStr">
        <is>
          <t>不良台帐管理</t>
        </is>
      </c>
      <c r="D5551" s="24" t="inlineStr">
        <is>
          <t>075020</t>
        </is>
      </c>
      <c r="E5551" s="24" t="inlineStr">
        <is>
          <t>已退出查封的资产</t>
        </is>
      </c>
    </row>
    <row r="5552">
      <c r="B5552" s="24" t="inlineStr">
        <is>
          <t>NPABookView</t>
        </is>
      </c>
      <c r="C5552" s="24" t="inlineStr">
        <is>
          <t>不良台帐管理</t>
        </is>
      </c>
      <c r="D5552" s="24" t="inlineStr">
        <is>
          <t>080</t>
        </is>
      </c>
      <c r="E5552" s="24" t="inlineStr">
        <is>
          <t>涉诉信息</t>
        </is>
      </c>
    </row>
    <row r="5553">
      <c r="B5553" s="24" t="inlineStr">
        <is>
          <t>NPABookView</t>
        </is>
      </c>
      <c r="C5553" s="24" t="inlineStr">
        <is>
          <t>不良台帐管理</t>
        </is>
      </c>
      <c r="D5553" s="24" t="inlineStr">
        <is>
          <t>090</t>
        </is>
      </c>
      <c r="E5553" s="24" t="inlineStr">
        <is>
          <t>文档资料管理</t>
        </is>
      </c>
    </row>
    <row r="5554" ht="15.95" customHeight="1" s="170">
      <c r="B5554" s="122" t="inlineStr">
        <is>
          <t>码值：SimplePoolFlowApplMain</t>
        </is>
      </c>
    </row>
    <row r="5555">
      <c r="B5555" s="24" t="inlineStr">
        <is>
          <t>SimplePoolFlowApplMain</t>
        </is>
      </c>
      <c r="C5555" s="24" t="n"/>
      <c r="D5555" s="24" t="inlineStr">
        <is>
          <t>1010</t>
        </is>
      </c>
      <c r="E5555" s="24" t="inlineStr">
        <is>
          <t>申请阶段1010</t>
        </is>
      </c>
    </row>
    <row r="5556">
      <c r="B5556" s="24" t="inlineStr">
        <is>
          <t>SimplePoolFlowApplMain</t>
        </is>
      </c>
      <c r="C5556" s="24" t="n"/>
      <c r="D5556" s="24" t="inlineStr">
        <is>
          <t>1020</t>
        </is>
      </c>
      <c r="E5556" s="24" t="inlineStr">
        <is>
          <t>申请阶段1020</t>
        </is>
      </c>
    </row>
    <row r="5557">
      <c r="B5557" s="24" t="inlineStr">
        <is>
          <t>SimplePoolFlowApplMain</t>
        </is>
      </c>
      <c r="C5557" s="24" t="n"/>
      <c r="D5557" s="24" t="inlineStr">
        <is>
          <t>1040</t>
        </is>
      </c>
      <c r="E5557" s="24" t="inlineStr">
        <is>
          <t>申请阶段1040</t>
        </is>
      </c>
    </row>
    <row r="5558">
      <c r="B5558" s="24" t="inlineStr">
        <is>
          <t>SimplePoolFlowApplMain</t>
        </is>
      </c>
      <c r="C5558" s="24" t="n"/>
      <c r="D5558" s="24" t="inlineStr">
        <is>
          <t>1050</t>
        </is>
      </c>
      <c r="E5558" s="24" t="inlineStr">
        <is>
          <t>申请阶段1050</t>
        </is>
      </c>
    </row>
    <row r="5559" ht="15.95" customHeight="1" s="170">
      <c r="B5559" s="122" t="inlineStr">
        <is>
          <t>码值：StockType</t>
        </is>
      </c>
    </row>
    <row r="5560">
      <c r="B5560" s="24" t="inlineStr">
        <is>
          <t>StockType</t>
        </is>
      </c>
      <c r="C5560" s="24" t="inlineStr">
        <is>
          <t>股票类型</t>
        </is>
      </c>
      <c r="D5560" s="24" t="inlineStr">
        <is>
          <t>01</t>
        </is>
      </c>
      <c r="E5560" s="24" t="inlineStr">
        <is>
          <t>法人股</t>
        </is>
      </c>
    </row>
    <row r="5561">
      <c r="B5561" s="24" t="inlineStr">
        <is>
          <t>StockType</t>
        </is>
      </c>
      <c r="C5561" s="24" t="inlineStr">
        <is>
          <t>股票类型</t>
        </is>
      </c>
      <c r="D5561" s="24" t="inlineStr">
        <is>
          <t>02</t>
        </is>
      </c>
      <c r="E5561" s="24" t="inlineStr">
        <is>
          <t>流通股</t>
        </is>
      </c>
    </row>
    <row r="5562" ht="15.95" customHeight="1" s="170">
      <c r="B5562" s="122" t="inlineStr">
        <is>
          <t>码值：DataType</t>
        </is>
      </c>
    </row>
    <row r="5563">
      <c r="B5563" s="24" t="inlineStr">
        <is>
          <t>DataType</t>
        </is>
      </c>
      <c r="C5563" s="24" t="inlineStr">
        <is>
          <t>数据类型</t>
        </is>
      </c>
      <c r="D5563" s="24" t="inlineStr">
        <is>
          <t>Boolean</t>
        </is>
      </c>
      <c r="E5563" s="24" t="inlineStr">
        <is>
          <t>布尔值</t>
        </is>
      </c>
    </row>
    <row r="5564">
      <c r="B5564" s="24" t="inlineStr">
        <is>
          <t>DataType</t>
        </is>
      </c>
      <c r="C5564" s="24" t="inlineStr">
        <is>
          <t>数据类型</t>
        </is>
      </c>
      <c r="D5564" s="24" t="inlineStr">
        <is>
          <t>Boolean[]</t>
        </is>
      </c>
      <c r="E5564" s="24" t="inlineStr">
        <is>
          <t>布尔值数组</t>
        </is>
      </c>
    </row>
    <row r="5565">
      <c r="B5565" s="24" t="inlineStr">
        <is>
          <t>DataType</t>
        </is>
      </c>
      <c r="C5565" s="24" t="inlineStr">
        <is>
          <t>数据类型</t>
        </is>
      </c>
      <c r="D5565" s="24" t="inlineStr">
        <is>
          <t>Date</t>
        </is>
      </c>
      <c r="E5565" s="24" t="inlineStr">
        <is>
          <t>日期</t>
        </is>
      </c>
    </row>
    <row r="5566">
      <c r="B5566" s="24" t="inlineStr">
        <is>
          <t>DataType</t>
        </is>
      </c>
      <c r="C5566" s="24" t="inlineStr">
        <is>
          <t>数据类型</t>
        </is>
      </c>
      <c r="D5566" s="24" t="inlineStr">
        <is>
          <t>Date[]</t>
        </is>
      </c>
      <c r="E5566" s="24" t="inlineStr">
        <is>
          <t>日期数组</t>
        </is>
      </c>
    </row>
    <row r="5567">
      <c r="B5567" s="24" t="inlineStr">
        <is>
          <t>DataType</t>
        </is>
      </c>
      <c r="C5567" s="24" t="inlineStr">
        <is>
          <t>数据类型</t>
        </is>
      </c>
      <c r="D5567" s="24" t="inlineStr">
        <is>
          <t>Number</t>
        </is>
      </c>
      <c r="E5567" s="24" t="inlineStr">
        <is>
          <t>数字</t>
        </is>
      </c>
    </row>
    <row r="5568">
      <c r="B5568" s="24" t="inlineStr">
        <is>
          <t>DataType</t>
        </is>
      </c>
      <c r="C5568" s="24" t="inlineStr">
        <is>
          <t>数据类型</t>
        </is>
      </c>
      <c r="D5568" s="24" t="inlineStr">
        <is>
          <t>Number[]</t>
        </is>
      </c>
      <c r="E5568" s="24" t="inlineStr">
        <is>
          <t>数字数组</t>
        </is>
      </c>
    </row>
    <row r="5569">
      <c r="B5569" s="24" t="inlineStr">
        <is>
          <t>DataType</t>
        </is>
      </c>
      <c r="C5569" s="24" t="inlineStr">
        <is>
          <t>数据类型</t>
        </is>
      </c>
      <c r="D5569" s="24" t="inlineStr">
        <is>
          <t>String</t>
        </is>
      </c>
      <c r="E5569" s="24" t="inlineStr">
        <is>
          <t>字符串</t>
        </is>
      </c>
    </row>
    <row r="5570">
      <c r="B5570" s="24" t="inlineStr">
        <is>
          <t>DataType</t>
        </is>
      </c>
      <c r="C5570" s="24" t="inlineStr">
        <is>
          <t>数据类型</t>
        </is>
      </c>
      <c r="D5570" s="24" t="inlineStr">
        <is>
          <t>String[]</t>
        </is>
      </c>
      <c r="E5570" s="24" t="inlineStr">
        <is>
          <t>字符串数组</t>
        </is>
      </c>
    </row>
    <row r="5571" ht="15.95" customHeight="1" s="170">
      <c r="B5571" s="122" t="inlineStr">
        <is>
          <t>码值：ElectricContractM1Main</t>
        </is>
      </c>
    </row>
    <row r="5572">
      <c r="B5572" s="24" t="inlineStr">
        <is>
          <t>ElectricContractM1Main</t>
        </is>
      </c>
      <c r="C5572" s="24" t="inlineStr">
        <is>
          <t>ElectricContractModel申请主树图</t>
        </is>
      </c>
      <c r="D5572" s="24" t="inlineStr">
        <is>
          <t>1010</t>
        </is>
      </c>
      <c r="E5572" s="24" t="inlineStr">
        <is>
          <t>待提交审批模板</t>
        </is>
      </c>
    </row>
    <row r="5573">
      <c r="B5573" s="24" t="inlineStr">
        <is>
          <t>ElectricContractM1Main</t>
        </is>
      </c>
      <c r="C5573" s="24" t="inlineStr">
        <is>
          <t>ElectricContractModel申请主树图</t>
        </is>
      </c>
      <c r="D5573" s="24" t="inlineStr">
        <is>
          <t>1020</t>
        </is>
      </c>
      <c r="E5573" s="24" t="inlineStr">
        <is>
          <t>审批中的模板</t>
        </is>
      </c>
    </row>
    <row r="5574">
      <c r="B5574" s="24" t="inlineStr">
        <is>
          <t>ElectricContractM1Main</t>
        </is>
      </c>
      <c r="C5574" s="24" t="inlineStr">
        <is>
          <t>ElectricContractModel申请主树图</t>
        </is>
      </c>
      <c r="D5574" s="24" t="inlineStr">
        <is>
          <t>1040</t>
        </is>
      </c>
      <c r="E5574" s="24" t="inlineStr">
        <is>
          <t>通过的模板</t>
        </is>
      </c>
    </row>
    <row r="5575">
      <c r="B5575" s="24" t="inlineStr">
        <is>
          <t>ElectricContractM1Main</t>
        </is>
      </c>
      <c r="C5575" s="24" t="inlineStr">
        <is>
          <t>ElectricContractModel申请主树图</t>
        </is>
      </c>
      <c r="D5575" s="24" t="inlineStr">
        <is>
          <t>1050</t>
        </is>
      </c>
      <c r="E5575" s="24" t="inlineStr">
        <is>
          <t>否决的模板</t>
        </is>
      </c>
    </row>
    <row r="5576" ht="15.95" customHeight="1" s="170">
      <c r="B5576" s="122" t="inlineStr">
        <is>
          <t>码值：OffSheet</t>
        </is>
      </c>
    </row>
    <row r="5577">
      <c r="B5577" s="24" t="inlineStr">
        <is>
          <t>OffSheet</t>
        </is>
      </c>
      <c r="C5577" s="24" t="inlineStr">
        <is>
          <t>表内外属性</t>
        </is>
      </c>
      <c r="D5577" s="24" t="inlineStr">
        <is>
          <t>01</t>
        </is>
      </c>
      <c r="E5577" s="24" t="inlineStr">
        <is>
          <t>表内</t>
        </is>
      </c>
    </row>
    <row r="5578">
      <c r="B5578" s="24" t="inlineStr">
        <is>
          <t>OffSheet</t>
        </is>
      </c>
      <c r="C5578" s="24" t="inlineStr">
        <is>
          <t>表内外属性</t>
        </is>
      </c>
      <c r="D5578" s="24" t="inlineStr">
        <is>
          <t>02</t>
        </is>
      </c>
      <c r="E5578" s="24" t="inlineStr">
        <is>
          <t>表外</t>
        </is>
      </c>
    </row>
    <row r="5579">
      <c r="B5579" s="24" t="inlineStr">
        <is>
          <t>OffSheet</t>
        </is>
      </c>
      <c r="C5579" s="24" t="inlineStr">
        <is>
          <t>表内外属性</t>
        </is>
      </c>
      <c r="D5579" s="24" t="inlineStr">
        <is>
          <t>03</t>
        </is>
      </c>
      <c r="E5579" s="24" t="inlineStr">
        <is>
          <t>其他</t>
        </is>
      </c>
    </row>
    <row r="5580" ht="15.95" customHeight="1" s="170">
      <c r="B5580" s="122" t="inlineStr">
        <is>
          <t>码值：RelationShip</t>
        </is>
      </c>
    </row>
    <row r="5581">
      <c r="B5581" s="24" t="inlineStr">
        <is>
          <t>RelationShip</t>
        </is>
      </c>
      <c r="C5581" s="24" t="inlineStr">
        <is>
          <t>关联关系</t>
        </is>
      </c>
      <c r="D5581" s="24" t="inlineStr">
        <is>
          <t>01</t>
        </is>
      </c>
      <c r="E5581" s="24" t="inlineStr">
        <is>
          <t>高管</t>
        </is>
      </c>
    </row>
    <row r="5582">
      <c r="B5582" s="24" t="inlineStr">
        <is>
          <t>RelationShip</t>
        </is>
      </c>
      <c r="C5582" s="24" t="inlineStr">
        <is>
          <t>关联关系</t>
        </is>
      </c>
      <c r="D5582" s="24" t="inlineStr">
        <is>
          <t>0100</t>
        </is>
      </c>
      <c r="E5582" s="24" t="inlineStr">
        <is>
          <t>法人代表</t>
        </is>
      </c>
    </row>
    <row r="5583">
      <c r="B5583" s="24" t="inlineStr">
        <is>
          <t>RelationShip</t>
        </is>
      </c>
      <c r="C5583" s="24" t="inlineStr">
        <is>
          <t>关联关系</t>
        </is>
      </c>
      <c r="D5583" s="24" t="inlineStr">
        <is>
          <t>0101</t>
        </is>
      </c>
      <c r="E5583" s="24" t="inlineStr">
        <is>
          <t>公司董事长</t>
        </is>
      </c>
    </row>
    <row r="5584">
      <c r="B5584" s="24" t="inlineStr">
        <is>
          <t>RelationShip</t>
        </is>
      </c>
      <c r="C5584" s="24" t="inlineStr">
        <is>
          <t>关联关系</t>
        </is>
      </c>
      <c r="D5584" s="24" t="inlineStr">
        <is>
          <t>0102</t>
        </is>
      </c>
      <c r="E5584" s="24" t="inlineStr">
        <is>
          <t>公司总经理/厂长/CEO</t>
        </is>
      </c>
    </row>
    <row r="5585">
      <c r="B5585" s="24" t="inlineStr">
        <is>
          <t>RelationShip</t>
        </is>
      </c>
      <c r="C5585" s="24" t="inlineStr">
        <is>
          <t>关联关系</t>
        </is>
      </c>
      <c r="D5585" s="24" t="inlineStr">
        <is>
          <t>0103</t>
        </is>
      </c>
      <c r="E5585" s="24" t="inlineStr">
        <is>
          <t>财务主管/CFO</t>
        </is>
      </c>
    </row>
    <row r="5586">
      <c r="B5586" s="24" t="inlineStr">
        <is>
          <t>RelationShip</t>
        </is>
      </c>
      <c r="C5586" s="24" t="inlineStr">
        <is>
          <t>关联关系</t>
        </is>
      </c>
      <c r="D5586" s="24" t="inlineStr">
        <is>
          <t>0104</t>
        </is>
      </c>
      <c r="E5586" s="24" t="inlineStr">
        <is>
          <t>授权经办人</t>
        </is>
      </c>
    </row>
    <row r="5587">
      <c r="B5587" s="24" t="inlineStr">
        <is>
          <t>RelationShip</t>
        </is>
      </c>
      <c r="C5587" s="24" t="inlineStr">
        <is>
          <t>关联关系</t>
        </is>
      </c>
      <c r="D5587" s="24" t="inlineStr">
        <is>
          <t>0105</t>
        </is>
      </c>
      <c r="E5587" s="24" t="inlineStr">
        <is>
          <t>部门经理</t>
        </is>
      </c>
    </row>
    <row r="5588">
      <c r="B5588" s="24" t="inlineStr">
        <is>
          <t>RelationShip</t>
        </is>
      </c>
      <c r="C5588" s="24" t="inlineStr">
        <is>
          <t>关联关系</t>
        </is>
      </c>
      <c r="D5588" s="24" t="inlineStr">
        <is>
          <t>0106</t>
        </is>
      </c>
      <c r="E5588" s="24" t="inlineStr">
        <is>
          <t>董事</t>
        </is>
      </c>
    </row>
    <row r="5589">
      <c r="B5589" s="24" t="inlineStr">
        <is>
          <t>RelationShip</t>
        </is>
      </c>
      <c r="C5589" s="24" t="inlineStr">
        <is>
          <t>关联关系</t>
        </is>
      </c>
      <c r="D5589" s="24" t="inlineStr">
        <is>
          <t>0108</t>
        </is>
      </c>
      <c r="E5589" s="24" t="inlineStr">
        <is>
          <t>监事</t>
        </is>
      </c>
    </row>
    <row r="5590">
      <c r="B5590" s="24" t="inlineStr">
        <is>
          <t>RelationShip</t>
        </is>
      </c>
      <c r="C5590" s="24" t="inlineStr">
        <is>
          <t>关联关系</t>
        </is>
      </c>
      <c r="D5590" s="24" t="inlineStr">
        <is>
          <t>0109</t>
        </is>
      </c>
      <c r="E5590" s="24" t="inlineStr">
        <is>
          <t>实际控制人</t>
        </is>
      </c>
    </row>
    <row r="5591">
      <c r="B5591" s="24" t="inlineStr">
        <is>
          <t>RelationShip</t>
        </is>
      </c>
      <c r="C5591" s="24" t="inlineStr">
        <is>
          <t>关联关系</t>
        </is>
      </c>
      <c r="D5591" s="24" t="inlineStr">
        <is>
          <t>0110</t>
        </is>
      </c>
      <c r="E5591" s="24" t="inlineStr">
        <is>
          <t>其他</t>
        </is>
      </c>
    </row>
    <row r="5592">
      <c r="B5592" s="24" t="inlineStr">
        <is>
          <t>RelationShip</t>
        </is>
      </c>
      <c r="C5592" s="24" t="inlineStr">
        <is>
          <t>关联关系</t>
        </is>
      </c>
      <c r="D5592" s="24" t="inlineStr">
        <is>
          <t>02</t>
        </is>
      </c>
      <c r="E5592" s="24" t="inlineStr">
        <is>
          <t>资本构成</t>
        </is>
      </c>
    </row>
    <row r="5593">
      <c r="B5593" s="24" t="inlineStr">
        <is>
          <t>RelationShip</t>
        </is>
      </c>
      <c r="C5593" s="24" t="inlineStr">
        <is>
          <t>关联关系</t>
        </is>
      </c>
      <c r="D5593" s="24" t="inlineStr">
        <is>
          <t>0201</t>
        </is>
      </c>
      <c r="E5593" s="24" t="inlineStr">
        <is>
          <t>资金</t>
        </is>
      </c>
    </row>
    <row r="5594">
      <c r="B5594" s="24" t="inlineStr">
        <is>
          <t>RelationShip</t>
        </is>
      </c>
      <c r="C5594" s="24" t="inlineStr">
        <is>
          <t>关联关系</t>
        </is>
      </c>
      <c r="D5594" s="24" t="inlineStr">
        <is>
          <t>0202</t>
        </is>
      </c>
      <c r="E5594" s="24" t="inlineStr">
        <is>
          <t>技术</t>
        </is>
      </c>
    </row>
    <row r="5595">
      <c r="B5595" s="24" t="inlineStr">
        <is>
          <t>RelationShip</t>
        </is>
      </c>
      <c r="C5595" s="24" t="inlineStr">
        <is>
          <t>关联关系</t>
        </is>
      </c>
      <c r="D5595" s="24" t="inlineStr">
        <is>
          <t>0203</t>
        </is>
      </c>
      <c r="E5595" s="24" t="inlineStr">
        <is>
          <t>实物</t>
        </is>
      </c>
    </row>
    <row r="5596">
      <c r="B5596" s="24" t="inlineStr">
        <is>
          <t>RelationShip</t>
        </is>
      </c>
      <c r="C5596" s="24" t="inlineStr">
        <is>
          <t>关联关系</t>
        </is>
      </c>
      <c r="D5596" s="24" t="inlineStr">
        <is>
          <t>0204</t>
        </is>
      </c>
      <c r="E5596" s="24" t="inlineStr">
        <is>
          <t>权利</t>
        </is>
      </c>
    </row>
    <row r="5597">
      <c r="B5597" s="24" t="inlineStr">
        <is>
          <t>RelationShip</t>
        </is>
      </c>
      <c r="C5597" s="24" t="inlineStr">
        <is>
          <t>关联关系</t>
        </is>
      </c>
      <c r="D5597" s="24" t="inlineStr">
        <is>
          <t>0205</t>
        </is>
      </c>
      <c r="E5597" s="24" t="inlineStr">
        <is>
          <t>其他</t>
        </is>
      </c>
    </row>
    <row r="5598">
      <c r="B5598" s="24" t="inlineStr">
        <is>
          <t>RelationShip</t>
        </is>
      </c>
      <c r="C5598" s="24" t="inlineStr">
        <is>
          <t>关联关系</t>
        </is>
      </c>
      <c r="D5598" s="24" t="inlineStr">
        <is>
          <t>03</t>
        </is>
      </c>
      <c r="E5598" s="24" t="inlineStr">
        <is>
          <t>家庭关系</t>
        </is>
      </c>
    </row>
    <row r="5599">
      <c r="B5599" s="24" t="inlineStr">
        <is>
          <t>RelationShip</t>
        </is>
      </c>
      <c r="C5599" s="24" t="inlineStr">
        <is>
          <t>关联关系</t>
        </is>
      </c>
      <c r="D5599" s="24" t="inlineStr">
        <is>
          <t>0301</t>
        </is>
      </c>
      <c r="E5599" s="24" t="inlineStr">
        <is>
          <t>配偶</t>
        </is>
      </c>
    </row>
    <row r="5600">
      <c r="B5600" s="24" t="inlineStr">
        <is>
          <t>RelationShip</t>
        </is>
      </c>
      <c r="C5600" s="24" t="inlineStr">
        <is>
          <t>关联关系</t>
        </is>
      </c>
      <c r="D5600" s="24" t="inlineStr">
        <is>
          <t>0302</t>
        </is>
      </c>
      <c r="E5600" s="24" t="inlineStr">
        <is>
          <t>父母</t>
        </is>
      </c>
    </row>
    <row r="5601">
      <c r="B5601" s="24" t="inlineStr">
        <is>
          <t>RelationShip</t>
        </is>
      </c>
      <c r="C5601" s="24" t="inlineStr">
        <is>
          <t>关联关系</t>
        </is>
      </c>
      <c r="D5601" s="24" t="inlineStr">
        <is>
          <t>0303</t>
        </is>
      </c>
      <c r="E5601" s="24" t="inlineStr">
        <is>
          <t>子女</t>
        </is>
      </c>
    </row>
    <row r="5602">
      <c r="B5602" s="24" t="inlineStr">
        <is>
          <t>RelationShip</t>
        </is>
      </c>
      <c r="C5602" s="24" t="inlineStr">
        <is>
          <t>关联关系</t>
        </is>
      </c>
      <c r="D5602" s="24" t="inlineStr">
        <is>
          <t>0304</t>
        </is>
      </c>
      <c r="E5602" s="24" t="inlineStr">
        <is>
          <t>其他血亲</t>
        </is>
      </c>
    </row>
    <row r="5603">
      <c r="B5603" s="24" t="inlineStr">
        <is>
          <t>RelationShip</t>
        </is>
      </c>
      <c r="C5603" s="24" t="inlineStr">
        <is>
          <t>关联关系</t>
        </is>
      </c>
      <c r="D5603" s="24" t="inlineStr">
        <is>
          <t>0305</t>
        </is>
      </c>
      <c r="E5603" s="24" t="inlineStr">
        <is>
          <t>其他姻亲</t>
        </is>
      </c>
    </row>
    <row r="5604">
      <c r="B5604" s="24" t="inlineStr">
        <is>
          <t>RelationShip</t>
        </is>
      </c>
      <c r="C5604" s="24" t="inlineStr">
        <is>
          <t>关联关系</t>
        </is>
      </c>
      <c r="D5604" s="24" t="inlineStr">
        <is>
          <t>04</t>
        </is>
      </c>
      <c r="E5604" s="24" t="inlineStr">
        <is>
          <t>投资</t>
        </is>
      </c>
    </row>
    <row r="5605">
      <c r="B5605" s="24" t="inlineStr">
        <is>
          <t>RelationShip</t>
        </is>
      </c>
      <c r="C5605" s="24" t="inlineStr">
        <is>
          <t>关联关系</t>
        </is>
      </c>
      <c r="D5605" s="24" t="inlineStr">
        <is>
          <t>0401</t>
        </is>
      </c>
      <c r="E5605" s="24" t="inlineStr">
        <is>
          <t>资金(投资)</t>
        </is>
      </c>
    </row>
    <row r="5606">
      <c r="B5606" s="24" t="inlineStr">
        <is>
          <t>RelationShip</t>
        </is>
      </c>
      <c r="C5606" s="24" t="inlineStr">
        <is>
          <t>关联关系</t>
        </is>
      </c>
      <c r="D5606" s="24" t="inlineStr">
        <is>
          <t>0402</t>
        </is>
      </c>
      <c r="E5606" s="24" t="inlineStr">
        <is>
          <t>技术(投资)</t>
        </is>
      </c>
    </row>
    <row r="5607">
      <c r="B5607" s="24" t="inlineStr">
        <is>
          <t>RelationShip</t>
        </is>
      </c>
      <c r="C5607" s="24" t="inlineStr">
        <is>
          <t>关联关系</t>
        </is>
      </c>
      <c r="D5607" s="24" t="inlineStr">
        <is>
          <t>0403</t>
        </is>
      </c>
      <c r="E5607" s="24" t="inlineStr">
        <is>
          <t>实物(投资)</t>
        </is>
      </c>
    </row>
    <row r="5608">
      <c r="B5608" s="24" t="inlineStr">
        <is>
          <t>RelationShip</t>
        </is>
      </c>
      <c r="C5608" s="24" t="inlineStr">
        <is>
          <t>关联关系</t>
        </is>
      </c>
      <c r="D5608" s="24" t="inlineStr">
        <is>
          <t>0404</t>
        </is>
      </c>
      <c r="E5608" s="24" t="inlineStr">
        <is>
          <t>权利(投资)</t>
        </is>
      </c>
    </row>
    <row r="5609">
      <c r="B5609" s="24" t="inlineStr">
        <is>
          <t>RelationShip</t>
        </is>
      </c>
      <c r="C5609" s="24" t="inlineStr">
        <is>
          <t>关联关系</t>
        </is>
      </c>
      <c r="D5609" s="24" t="inlineStr">
        <is>
          <t>0405</t>
        </is>
      </c>
      <c r="E5609" s="24" t="inlineStr">
        <is>
          <t>其他(投资)</t>
        </is>
      </c>
    </row>
    <row r="5610">
      <c r="B5610" s="24" t="inlineStr">
        <is>
          <t>RelationShip</t>
        </is>
      </c>
      <c r="C5610" s="24" t="inlineStr">
        <is>
          <t>关联关系</t>
        </is>
      </c>
      <c r="D5610" s="24" t="inlineStr">
        <is>
          <t>05</t>
        </is>
      </c>
      <c r="E5610" s="24" t="inlineStr">
        <is>
          <t>上下游关系</t>
        </is>
      </c>
    </row>
    <row r="5611">
      <c r="B5611" s="24" t="inlineStr">
        <is>
          <t>RelationShip</t>
        </is>
      </c>
      <c r="C5611" s="24" t="inlineStr">
        <is>
          <t>关联关系</t>
        </is>
      </c>
      <c r="D5611" s="24" t="inlineStr">
        <is>
          <t>0501</t>
        </is>
      </c>
      <c r="E5611" s="24" t="inlineStr">
        <is>
          <t>供应商</t>
        </is>
      </c>
    </row>
    <row r="5612">
      <c r="B5612" s="24" t="inlineStr">
        <is>
          <t>RelationShip</t>
        </is>
      </c>
      <c r="C5612" s="24" t="inlineStr">
        <is>
          <t>关联关系</t>
        </is>
      </c>
      <c r="D5612" s="24" t="inlineStr">
        <is>
          <t>0502</t>
        </is>
      </c>
      <c r="E5612" s="24" t="inlineStr">
        <is>
          <t>销售商</t>
        </is>
      </c>
    </row>
    <row r="5613" ht="15.95" customHeight="1" s="170">
      <c r="B5613" s="122" t="inlineStr">
        <is>
          <t>码值：BizContractView</t>
        </is>
      </c>
    </row>
    <row r="5614">
      <c r="B5614" s="24" t="inlineStr">
        <is>
          <t>BizContractView</t>
        </is>
      </c>
      <c r="C5614" s="24" t="inlineStr">
        <is>
          <t>业务合同树图</t>
        </is>
      </c>
      <c r="D5614" s="24" t="inlineStr">
        <is>
          <t>0010</t>
        </is>
      </c>
      <c r="E5614" s="24" t="inlineStr">
        <is>
          <t>基本信息</t>
        </is>
      </c>
    </row>
    <row r="5615">
      <c r="B5615" s="24" t="inlineStr">
        <is>
          <t>BizContractView</t>
        </is>
      </c>
      <c r="C5615" s="24" t="inlineStr">
        <is>
          <t>业务合同树图</t>
        </is>
      </c>
      <c r="D5615" s="24" t="inlineStr">
        <is>
          <t>0020</t>
        </is>
      </c>
      <c r="E5615" s="24" t="inlineStr">
        <is>
          <t>关联额度信息</t>
        </is>
      </c>
    </row>
    <row r="5616">
      <c r="B5616" s="24" t="inlineStr">
        <is>
          <t>BizContractView</t>
        </is>
      </c>
      <c r="C5616" s="24" t="inlineStr">
        <is>
          <t>业务合同树图</t>
        </is>
      </c>
      <c r="D5616" s="24" t="inlineStr">
        <is>
          <t>0030</t>
        </is>
      </c>
      <c r="E5616" s="24" t="inlineStr">
        <is>
          <t>关联项目信息</t>
        </is>
      </c>
    </row>
    <row r="5617">
      <c r="B5617" s="24" t="inlineStr">
        <is>
          <t>BizContractView</t>
        </is>
      </c>
      <c r="C5617" s="24" t="inlineStr">
        <is>
          <t>业务合同树图</t>
        </is>
      </c>
      <c r="D5617" s="24" t="inlineStr">
        <is>
          <t>0040</t>
        </is>
      </c>
      <c r="E5617" s="24" t="inlineStr">
        <is>
          <t>关联票据信息</t>
        </is>
      </c>
    </row>
    <row r="5618">
      <c r="B5618" s="24" t="inlineStr">
        <is>
          <t>BizContractView</t>
        </is>
      </c>
      <c r="C5618" s="24" t="inlineStr">
        <is>
          <t>业务合同树图</t>
        </is>
      </c>
      <c r="D5618" s="24" t="inlineStr">
        <is>
          <t>0050</t>
        </is>
      </c>
      <c r="E5618" s="24" t="inlineStr">
        <is>
          <t>共同申请人</t>
        </is>
      </c>
    </row>
    <row r="5619">
      <c r="B5619" s="24" t="inlineStr">
        <is>
          <t>BizContractView</t>
        </is>
      </c>
      <c r="C5619" s="24" t="inlineStr">
        <is>
          <t>业务合同树图</t>
        </is>
      </c>
      <c r="D5619" s="24" t="inlineStr">
        <is>
          <t>0060</t>
        </is>
      </c>
      <c r="E5619" s="24" t="inlineStr">
        <is>
          <t>担保合同</t>
        </is>
      </c>
    </row>
    <row r="5620">
      <c r="B5620" s="24" t="inlineStr">
        <is>
          <t>BizContractView</t>
        </is>
      </c>
      <c r="C5620" s="24" t="inlineStr">
        <is>
          <t>业务合同树图</t>
        </is>
      </c>
      <c r="D5620" s="24" t="inlineStr">
        <is>
          <t>006010</t>
        </is>
      </c>
      <c r="E5620" s="24" t="inlineStr">
        <is>
          <t>一般担保合同</t>
        </is>
      </c>
    </row>
    <row r="5621">
      <c r="B5621" s="24" t="inlineStr">
        <is>
          <t>BizContractView</t>
        </is>
      </c>
      <c r="C5621" s="24" t="inlineStr">
        <is>
          <t>业务合同树图</t>
        </is>
      </c>
      <c r="D5621" s="24" t="inlineStr">
        <is>
          <t>006020</t>
        </is>
      </c>
      <c r="E5621" s="24" t="inlineStr">
        <is>
          <t>最高额担保合同</t>
        </is>
      </c>
    </row>
    <row r="5622">
      <c r="B5622" s="24" t="inlineStr">
        <is>
          <t>BizContractView</t>
        </is>
      </c>
      <c r="C5622" s="24" t="inlineStr">
        <is>
          <t>业务合同树图</t>
        </is>
      </c>
      <c r="D5622" s="24" t="inlineStr">
        <is>
          <t>0070</t>
        </is>
      </c>
      <c r="E5622" s="24" t="inlineStr">
        <is>
          <t>业务文档信息</t>
        </is>
      </c>
    </row>
    <row r="5623">
      <c r="B5623" s="24" t="inlineStr">
        <is>
          <t>BizContractView</t>
        </is>
      </c>
      <c r="C5623" s="24" t="inlineStr">
        <is>
          <t>业务合同树图</t>
        </is>
      </c>
      <c r="D5623" s="24" t="inlineStr">
        <is>
          <t>0080</t>
        </is>
      </c>
      <c r="E5623" s="24" t="inlineStr">
        <is>
          <t>授信组织方式信息</t>
        </is>
      </c>
    </row>
    <row r="5624">
      <c r="B5624" s="24" t="inlineStr">
        <is>
          <t>BizContractView</t>
        </is>
      </c>
      <c r="C5624" s="24" t="inlineStr">
        <is>
          <t>业务合同树图</t>
        </is>
      </c>
      <c r="D5624" s="24" t="inlineStr">
        <is>
          <t>0090</t>
        </is>
      </c>
      <c r="E5624" s="24" t="inlineStr">
        <is>
          <t>借据信息</t>
        </is>
      </c>
    </row>
    <row r="5625" ht="15.95" customHeight="1" s="170">
      <c r="B5625" s="122" t="inlineStr">
        <is>
          <t>码值：CreditApproveSingleIndMain</t>
        </is>
      </c>
    </row>
    <row r="5626">
      <c r="B5626" s="24" t="inlineStr">
        <is>
          <t>CreditApproveSingleIndMain</t>
        </is>
      </c>
      <c r="C5626" s="24" t="n"/>
      <c r="D5626" s="24" t="inlineStr">
        <is>
          <t>1010</t>
        </is>
      </c>
      <c r="E5626" s="24" t="inlineStr">
        <is>
          <t>待处理</t>
        </is>
      </c>
    </row>
    <row r="5627">
      <c r="B5627" s="24" t="inlineStr">
        <is>
          <t>CreditApproveSingleIndMain</t>
        </is>
      </c>
      <c r="C5627" s="24" t="n"/>
      <c r="D5627" s="24" t="inlineStr">
        <is>
          <t>1020</t>
        </is>
      </c>
      <c r="E5627" s="24" t="inlineStr">
        <is>
          <t>审批中</t>
        </is>
      </c>
    </row>
    <row r="5628">
      <c r="B5628" s="24" t="inlineStr">
        <is>
          <t>CreditApproveSingleIndMain</t>
        </is>
      </c>
      <c r="C5628" s="24" t="n"/>
      <c r="D5628" s="24" t="inlineStr">
        <is>
          <t>1040,1050</t>
        </is>
      </c>
      <c r="E5628" s="24" t="inlineStr">
        <is>
          <t>处理完成</t>
        </is>
      </c>
    </row>
    <row r="5629" ht="15.95" customHeight="1" s="170">
      <c r="B5629" s="122" t="inlineStr">
        <is>
          <t>码值：ProjectRegularCheckMain</t>
        </is>
      </c>
    </row>
    <row r="5630">
      <c r="B5630" s="24" t="inlineStr">
        <is>
          <t>ProjectRegularCheckMain</t>
        </is>
      </c>
      <c r="C5630" s="24" t="inlineStr">
        <is>
          <t>合作项目贷后检查申请</t>
        </is>
      </c>
      <c r="D5630" s="24" t="inlineStr">
        <is>
          <t>1010</t>
        </is>
      </c>
      <c r="E5630" s="24" t="inlineStr">
        <is>
          <t>待处理</t>
        </is>
      </c>
    </row>
    <row r="5631">
      <c r="B5631" s="24" t="inlineStr">
        <is>
          <t>ProjectRegularCheckMain</t>
        </is>
      </c>
      <c r="C5631" s="24" t="inlineStr">
        <is>
          <t>合作项目贷后检查申请</t>
        </is>
      </c>
      <c r="D5631" s="24" t="inlineStr">
        <is>
          <t>1020</t>
        </is>
      </c>
      <c r="E5631" s="24" t="inlineStr">
        <is>
          <t>审批中</t>
        </is>
      </c>
    </row>
    <row r="5632">
      <c r="B5632" s="24" t="inlineStr">
        <is>
          <t>ProjectRegularCheckMain</t>
        </is>
      </c>
      <c r="C5632" s="24" t="inlineStr">
        <is>
          <t>合作项目贷后检查申请</t>
        </is>
      </c>
      <c r="D5632" s="24" t="inlineStr">
        <is>
          <t>1040,1050</t>
        </is>
      </c>
      <c r="E5632" s="24" t="inlineStr">
        <is>
          <t>处理完成</t>
        </is>
      </c>
    </row>
    <row r="5633" ht="15.95" customHeight="1" s="170">
      <c r="B5633" s="122" t="inlineStr">
        <is>
          <t>码值：ProductionSupply</t>
        </is>
      </c>
    </row>
    <row r="5634">
      <c r="B5634" s="24" t="inlineStr">
        <is>
          <t>ProductionSupply</t>
        </is>
      </c>
      <c r="C5634" s="24" t="inlineStr">
        <is>
          <t>信用等级评估统一导入</t>
        </is>
      </c>
      <c r="D5634" s="24" t="inlineStr">
        <is>
          <t>1</t>
        </is>
      </c>
      <c r="E5634" s="24" t="inlineStr">
        <is>
          <t>6个部门齐全</t>
        </is>
      </c>
    </row>
    <row r="5635">
      <c r="B5635" s="24" t="inlineStr">
        <is>
          <t>ProductionSupply</t>
        </is>
      </c>
      <c r="C5635" s="24" t="inlineStr">
        <is>
          <t>信用等级评估统一导入</t>
        </is>
      </c>
      <c r="D5635" s="24" t="inlineStr">
        <is>
          <t>2</t>
        </is>
      </c>
      <c r="E5635" s="24" t="inlineStr">
        <is>
          <t>3个至5个</t>
        </is>
      </c>
    </row>
    <row r="5636">
      <c r="B5636" s="24" t="inlineStr">
        <is>
          <t>ProductionSupply</t>
        </is>
      </c>
      <c r="C5636" s="24" t="inlineStr">
        <is>
          <t>信用等级评估统一导入</t>
        </is>
      </c>
      <c r="D5636" s="24" t="inlineStr">
        <is>
          <t>3</t>
        </is>
      </c>
      <c r="E5636" s="24" t="inlineStr">
        <is>
          <t>3个以下</t>
        </is>
      </c>
    </row>
    <row r="5637" ht="15.95" customHeight="1" s="170">
      <c r="B5637" s="122" t="inlineStr">
        <is>
          <t>码值：CapitalPurposeMinCheckMain</t>
        </is>
      </c>
    </row>
    <row r="5638">
      <c r="B5638" s="24" t="inlineStr">
        <is>
          <t>CapitalPurposeMinCheckMain</t>
        </is>
      </c>
      <c r="C5638" s="24" t="inlineStr">
        <is>
          <t>小微资金用途检查申请</t>
        </is>
      </c>
      <c r="D5638" s="24" t="inlineStr">
        <is>
          <t>1010</t>
        </is>
      </c>
      <c r="E5638" s="24" t="inlineStr">
        <is>
          <t>待处理</t>
        </is>
      </c>
    </row>
    <row r="5639">
      <c r="B5639" s="24" t="inlineStr">
        <is>
          <t>CapitalPurposeMinCheckMain</t>
        </is>
      </c>
      <c r="C5639" s="24" t="inlineStr">
        <is>
          <t>小微资金用途检查申请</t>
        </is>
      </c>
      <c r="D5639" s="24" t="inlineStr">
        <is>
          <t>1020</t>
        </is>
      </c>
      <c r="E5639" s="24" t="inlineStr">
        <is>
          <t>审批中</t>
        </is>
      </c>
    </row>
    <row r="5640">
      <c r="B5640" s="24" t="inlineStr">
        <is>
          <t>CapitalPurposeMinCheckMain</t>
        </is>
      </c>
      <c r="C5640" s="24" t="inlineStr">
        <is>
          <t>小微资金用途检查申请</t>
        </is>
      </c>
      <c r="D5640" s="24" t="inlineStr">
        <is>
          <t>1040,1050</t>
        </is>
      </c>
      <c r="E5640" s="24" t="inlineStr">
        <is>
          <t>处理完成</t>
        </is>
      </c>
    </row>
    <row r="5641" ht="15.95" customHeight="1" s="170">
      <c r="B5641" s="122" t="inlineStr">
        <is>
          <t>码值：MethodType</t>
        </is>
      </c>
    </row>
    <row r="5642">
      <c r="B5642" s="24" t="inlineStr">
        <is>
          <t>MethodType</t>
        </is>
      </c>
      <c r="C5642" s="24" t="inlineStr">
        <is>
          <t>方法类型</t>
        </is>
      </c>
      <c r="D5642" s="24" t="inlineStr">
        <is>
          <t>Bizlet</t>
        </is>
      </c>
      <c r="E5642" s="24" t="inlineStr">
        <is>
          <t>Bizlet</t>
        </is>
      </c>
    </row>
    <row r="5643">
      <c r="B5643" s="24" t="inlineStr">
        <is>
          <t>MethodType</t>
        </is>
      </c>
      <c r="C5643" s="24" t="inlineStr">
        <is>
          <t>方法类型</t>
        </is>
      </c>
      <c r="D5643" s="24" t="inlineStr">
        <is>
          <t>Expression</t>
        </is>
      </c>
      <c r="E5643" s="24" t="inlineStr">
        <is>
          <t>表达式</t>
        </is>
      </c>
    </row>
    <row r="5644">
      <c r="B5644" s="24" t="inlineStr">
        <is>
          <t>MethodType</t>
        </is>
      </c>
      <c r="C5644" s="24" t="inlineStr">
        <is>
          <t>方法类型</t>
        </is>
      </c>
      <c r="D5644" s="24" t="inlineStr">
        <is>
          <t>Sql</t>
        </is>
      </c>
      <c r="E5644" s="24" t="inlineStr">
        <is>
          <t>Sql语句</t>
        </is>
      </c>
    </row>
    <row r="5645" ht="15.95" customHeight="1" s="170">
      <c r="B5645" s="122" t="inlineStr">
        <is>
          <t>码值：VehicleType</t>
        </is>
      </c>
    </row>
    <row r="5646">
      <c r="B5646" s="24" t="inlineStr">
        <is>
          <t>VehicleType</t>
        </is>
      </c>
      <c r="C5646" s="24" t="inlineStr">
        <is>
          <t>交通工具类型</t>
        </is>
      </c>
      <c r="D5646" s="24" t="inlineStr">
        <is>
          <t>010</t>
        </is>
      </c>
      <c r="E5646" s="24" t="inlineStr">
        <is>
          <t>大型客车</t>
        </is>
      </c>
    </row>
    <row r="5647">
      <c r="B5647" s="24" t="inlineStr">
        <is>
          <t>VehicleType</t>
        </is>
      </c>
      <c r="C5647" s="24" t="inlineStr">
        <is>
          <t>交通工具类型</t>
        </is>
      </c>
      <c r="D5647" s="24" t="inlineStr">
        <is>
          <t>020</t>
        </is>
      </c>
      <c r="E5647" s="24" t="inlineStr">
        <is>
          <t>牵引车</t>
        </is>
      </c>
    </row>
    <row r="5648">
      <c r="B5648" s="24" t="inlineStr">
        <is>
          <t>VehicleType</t>
        </is>
      </c>
      <c r="C5648" s="24" t="inlineStr">
        <is>
          <t>交通工具类型</t>
        </is>
      </c>
      <c r="D5648" s="24" t="inlineStr">
        <is>
          <t>030</t>
        </is>
      </c>
      <c r="E5648" s="24" t="inlineStr">
        <is>
          <t>城市公交车</t>
        </is>
      </c>
    </row>
    <row r="5649">
      <c r="B5649" s="24" t="inlineStr">
        <is>
          <t>VehicleType</t>
        </is>
      </c>
      <c r="C5649" s="24" t="inlineStr">
        <is>
          <t>交通工具类型</t>
        </is>
      </c>
      <c r="D5649" s="24" t="inlineStr">
        <is>
          <t>040</t>
        </is>
      </c>
      <c r="E5649" s="24" t="inlineStr">
        <is>
          <t>中型客车</t>
        </is>
      </c>
    </row>
    <row r="5650">
      <c r="B5650" s="24" t="inlineStr">
        <is>
          <t>VehicleType</t>
        </is>
      </c>
      <c r="C5650" s="24" t="inlineStr">
        <is>
          <t>交通工具类型</t>
        </is>
      </c>
      <c r="D5650" s="24" t="inlineStr">
        <is>
          <t>050</t>
        </is>
      </c>
      <c r="E5650" s="24" t="inlineStr">
        <is>
          <t>大型货车</t>
        </is>
      </c>
    </row>
    <row r="5651">
      <c r="B5651" s="24" t="inlineStr">
        <is>
          <t>VehicleType</t>
        </is>
      </c>
      <c r="C5651" s="24" t="inlineStr">
        <is>
          <t>交通工具类型</t>
        </is>
      </c>
      <c r="D5651" s="24" t="inlineStr">
        <is>
          <t>060</t>
        </is>
      </c>
      <c r="E5651" s="24" t="inlineStr">
        <is>
          <t>小型汽车</t>
        </is>
      </c>
    </row>
    <row r="5652">
      <c r="B5652" s="24" t="inlineStr">
        <is>
          <t>VehicleType</t>
        </is>
      </c>
      <c r="C5652" s="24" t="inlineStr">
        <is>
          <t>交通工具类型</t>
        </is>
      </c>
      <c r="D5652" s="24" t="inlineStr">
        <is>
          <t>070</t>
        </is>
      </c>
      <c r="E5652" s="24" t="inlineStr">
        <is>
          <t>小型自动挡汽车</t>
        </is>
      </c>
    </row>
    <row r="5653" ht="15.95" customHeight="1" s="170">
      <c r="B5653" s="122" t="inlineStr">
        <is>
          <t>码值：员工培训机制</t>
        </is>
      </c>
    </row>
    <row r="5654">
      <c r="B5654" s="24" t="inlineStr">
        <is>
          <t>员工培训机制</t>
        </is>
      </c>
      <c r="C5654" s="24" t="inlineStr">
        <is>
          <t>员工培训机制</t>
        </is>
      </c>
      <c r="D5654" s="24" t="inlineStr">
        <is>
          <t>1</t>
        </is>
      </c>
      <c r="E5654" s="24" t="inlineStr">
        <is>
          <t>健全</t>
        </is>
      </c>
    </row>
    <row r="5655">
      <c r="B5655" s="24" t="inlineStr">
        <is>
          <t>员工培训机制</t>
        </is>
      </c>
      <c r="C5655" s="24" t="inlineStr">
        <is>
          <t>员工培训机制</t>
        </is>
      </c>
      <c r="D5655" s="24" t="inlineStr">
        <is>
          <t>2</t>
        </is>
      </c>
      <c r="E5655" s="24" t="inlineStr">
        <is>
          <t>较健全</t>
        </is>
      </c>
    </row>
    <row r="5656">
      <c r="B5656" s="24" t="inlineStr">
        <is>
          <t>员工培训机制</t>
        </is>
      </c>
      <c r="C5656" s="24" t="inlineStr">
        <is>
          <t>员工培训机制</t>
        </is>
      </c>
      <c r="D5656" s="24" t="inlineStr">
        <is>
          <t>3</t>
        </is>
      </c>
      <c r="E5656" s="24" t="inlineStr">
        <is>
          <t>不健全</t>
        </is>
      </c>
    </row>
    <row r="5657" ht="15.95" customHeight="1" s="170">
      <c r="B5657" s="122" t="inlineStr">
        <is>
          <t>码值：HouseFiement</t>
        </is>
      </c>
    </row>
    <row r="5658">
      <c r="B5658" s="24" t="inlineStr">
        <is>
          <t>HouseFiement</t>
        </is>
      </c>
      <c r="C5658" s="24" t="inlineStr">
        <is>
          <t>房屋装修情况</t>
        </is>
      </c>
      <c r="D5658" s="24" t="inlineStr">
        <is>
          <t>01</t>
        </is>
      </c>
      <c r="E5658" s="24" t="inlineStr">
        <is>
          <t>豪装</t>
        </is>
      </c>
    </row>
    <row r="5659">
      <c r="B5659" s="24" t="inlineStr">
        <is>
          <t>HouseFiement</t>
        </is>
      </c>
      <c r="C5659" s="24" t="inlineStr">
        <is>
          <t>房屋装修情况</t>
        </is>
      </c>
      <c r="D5659" s="24" t="inlineStr">
        <is>
          <t>02</t>
        </is>
      </c>
      <c r="E5659" s="24" t="inlineStr">
        <is>
          <t>简装</t>
        </is>
      </c>
    </row>
    <row r="5660">
      <c r="B5660" s="24" t="inlineStr">
        <is>
          <t>HouseFiement</t>
        </is>
      </c>
      <c r="C5660" s="24" t="inlineStr">
        <is>
          <t>房屋装修情况</t>
        </is>
      </c>
      <c r="D5660" s="24" t="inlineStr">
        <is>
          <t>03</t>
        </is>
      </c>
      <c r="E5660" s="24" t="inlineStr">
        <is>
          <t>毛坯</t>
        </is>
      </c>
    </row>
    <row r="5661" ht="15.95" customHeight="1" s="170">
      <c r="B5661" s="122" t="inlineStr">
        <is>
          <t>码值：ProductStatus</t>
        </is>
      </c>
    </row>
    <row r="5662">
      <c r="B5662" s="24" t="inlineStr">
        <is>
          <t>ProductStatus</t>
        </is>
      </c>
      <c r="C5662" s="24" t="inlineStr">
        <is>
          <t>产品状态</t>
        </is>
      </c>
      <c r="D5662" s="24" t="inlineStr">
        <is>
          <t>1</t>
        </is>
      </c>
      <c r="E5662" s="24" t="inlineStr">
        <is>
          <t>生效</t>
        </is>
      </c>
    </row>
    <row r="5663">
      <c r="B5663" s="24" t="inlineStr">
        <is>
          <t>ProductStatus</t>
        </is>
      </c>
      <c r="C5663" s="24" t="inlineStr">
        <is>
          <t>产品状态</t>
        </is>
      </c>
      <c r="D5663" s="24" t="inlineStr">
        <is>
          <t>2</t>
        </is>
      </c>
      <c r="E5663" s="24" t="inlineStr">
        <is>
          <t>失效</t>
        </is>
      </c>
    </row>
    <row r="5664">
      <c r="B5664" s="24" t="inlineStr">
        <is>
          <t>ProductStatus</t>
        </is>
      </c>
      <c r="C5664" s="24" t="inlineStr">
        <is>
          <t>产品状态</t>
        </is>
      </c>
      <c r="D5664" s="24" t="inlineStr">
        <is>
          <t>3</t>
        </is>
      </c>
      <c r="E5664" s="24" t="inlineStr">
        <is>
          <t>未生效</t>
        </is>
      </c>
    </row>
    <row r="5665" ht="15.95" customHeight="1" s="170">
      <c r="B5665" s="122" t="inlineStr">
        <is>
          <t>码值：项目成本</t>
        </is>
      </c>
    </row>
    <row r="5666">
      <c r="B5666" s="24" t="inlineStr">
        <is>
          <t>项目成本</t>
        </is>
      </c>
      <c r="C5666" s="24" t="inlineStr">
        <is>
          <t>项目成本</t>
        </is>
      </c>
      <c r="D5666" s="24" t="inlineStr">
        <is>
          <t>01</t>
        </is>
      </c>
      <c r="E5666" s="24" t="inlineStr">
        <is>
          <t>项目拿地成本明显低于周边项目</t>
        </is>
      </c>
    </row>
    <row r="5667">
      <c r="B5667" s="24" t="inlineStr">
        <is>
          <t>项目成本</t>
        </is>
      </c>
      <c r="C5667" s="24" t="inlineStr">
        <is>
          <t>项目成本</t>
        </is>
      </c>
      <c r="D5667" s="24" t="inlineStr">
        <is>
          <t>02</t>
        </is>
      </c>
      <c r="E5667" s="24" t="inlineStr">
        <is>
          <t>项目拿地成本与周边项目相差不大</t>
        </is>
      </c>
    </row>
    <row r="5668">
      <c r="B5668" s="24" t="inlineStr">
        <is>
          <t>项目成本</t>
        </is>
      </c>
      <c r="C5668" s="24" t="inlineStr">
        <is>
          <t>项目成本</t>
        </is>
      </c>
      <c r="D5668" s="24" t="inlineStr">
        <is>
          <t>03</t>
        </is>
      </c>
      <c r="E5668" s="24" t="inlineStr">
        <is>
          <t>地王项目或拿地成本大大高于周边项目</t>
        </is>
      </c>
    </row>
    <row r="5669" ht="15.95" customHeight="1" s="170">
      <c r="B5669" s="122" t="inlineStr">
        <is>
          <t>码值：InterestPayType</t>
        </is>
      </c>
    </row>
    <row r="5670">
      <c r="B5670" s="24" t="inlineStr">
        <is>
          <t>InterestPayType</t>
        </is>
      </c>
      <c r="C5670" s="24" t="inlineStr">
        <is>
          <t>贴现付息方式</t>
        </is>
      </c>
      <c r="D5670" s="24" t="inlineStr">
        <is>
          <t>010</t>
        </is>
      </c>
      <c r="E5670" s="24" t="inlineStr">
        <is>
          <t>买方付息</t>
        </is>
      </c>
    </row>
    <row r="5671">
      <c r="B5671" s="24" t="inlineStr">
        <is>
          <t>InterestPayType</t>
        </is>
      </c>
      <c r="C5671" s="24" t="inlineStr">
        <is>
          <t>贴现付息方式</t>
        </is>
      </c>
      <c r="D5671" s="24" t="inlineStr">
        <is>
          <t>020</t>
        </is>
      </c>
      <c r="E5671" s="24" t="inlineStr">
        <is>
          <t>卖方付息</t>
        </is>
      </c>
    </row>
    <row r="5672">
      <c r="B5672" s="24" t="inlineStr">
        <is>
          <t>InterestPayType</t>
        </is>
      </c>
      <c r="C5672" s="24" t="inlineStr">
        <is>
          <t>贴现付息方式</t>
        </is>
      </c>
      <c r="D5672" s="24" t="inlineStr">
        <is>
          <t>030</t>
        </is>
      </c>
      <c r="E5672" s="24" t="inlineStr">
        <is>
          <t>协议付息</t>
        </is>
      </c>
    </row>
    <row r="5673" ht="15.95" customHeight="1" s="170">
      <c r="B5673" s="122" t="inlineStr">
        <is>
          <t>码值：RightRegOrgType</t>
        </is>
      </c>
    </row>
    <row r="5674">
      <c r="B5674" s="24" t="inlineStr">
        <is>
          <t>RightRegOrgType</t>
        </is>
      </c>
      <c r="C5674" s="24" t="inlineStr">
        <is>
          <t>登记机构类型</t>
        </is>
      </c>
      <c r="D5674" s="24" t="inlineStr">
        <is>
          <t>01</t>
        </is>
      </c>
      <c r="E5674" s="24" t="inlineStr">
        <is>
          <t>土地管理部门</t>
        </is>
      </c>
    </row>
    <row r="5675">
      <c r="B5675" s="24" t="inlineStr">
        <is>
          <t>RightRegOrgType</t>
        </is>
      </c>
      <c r="C5675" s="24" t="inlineStr">
        <is>
          <t>登记机构类型</t>
        </is>
      </c>
      <c r="D5675" s="24" t="inlineStr">
        <is>
          <t>02</t>
        </is>
      </c>
      <c r="E5675" s="24" t="inlineStr">
        <is>
          <t>房产管理部门</t>
        </is>
      </c>
    </row>
    <row r="5676">
      <c r="B5676" s="24" t="inlineStr">
        <is>
          <t>RightRegOrgType</t>
        </is>
      </c>
      <c r="C5676" s="24" t="inlineStr">
        <is>
          <t>登记机构类型</t>
        </is>
      </c>
      <c r="D5676" s="24" t="inlineStr">
        <is>
          <t>03</t>
        </is>
      </c>
      <c r="E5676" s="24" t="inlineStr">
        <is>
          <t>工商行政管理部门</t>
        </is>
      </c>
    </row>
    <row r="5677">
      <c r="B5677" s="24" t="inlineStr">
        <is>
          <t>RightRegOrgType</t>
        </is>
      </c>
      <c r="C5677" s="24" t="inlineStr">
        <is>
          <t>登记机构类型</t>
        </is>
      </c>
      <c r="D5677" s="24" t="inlineStr">
        <is>
          <t>04</t>
        </is>
      </c>
      <c r="E5677" s="24" t="inlineStr">
        <is>
          <t>林木主管部门</t>
        </is>
      </c>
    </row>
    <row r="5678">
      <c r="B5678" s="24" t="inlineStr">
        <is>
          <t>RightRegOrgType</t>
        </is>
      </c>
      <c r="C5678" s="24" t="inlineStr">
        <is>
          <t>登记机构类型</t>
        </is>
      </c>
      <c r="D5678" s="24" t="inlineStr">
        <is>
          <t>05</t>
        </is>
      </c>
      <c r="E5678" s="24" t="inlineStr">
        <is>
          <t>交通运输管理部门</t>
        </is>
      </c>
    </row>
    <row r="5679">
      <c r="B5679" s="24" t="inlineStr">
        <is>
          <t>RightRegOrgType</t>
        </is>
      </c>
      <c r="C5679" s="24" t="inlineStr">
        <is>
          <t>登记机构类型</t>
        </is>
      </c>
      <c r="D5679" s="24" t="inlineStr">
        <is>
          <t>06</t>
        </is>
      </c>
      <c r="E5679" s="24" t="inlineStr">
        <is>
          <t>公证部门</t>
        </is>
      </c>
    </row>
    <row r="5680">
      <c r="B5680" s="24" t="inlineStr">
        <is>
          <t>RightRegOrgType</t>
        </is>
      </c>
      <c r="C5680" s="24" t="inlineStr">
        <is>
          <t>登记机构类型</t>
        </is>
      </c>
      <c r="D5680" s="24" t="inlineStr">
        <is>
          <t>07</t>
        </is>
      </c>
      <c r="E5680" s="24" t="inlineStr">
        <is>
          <t>证券登记部门</t>
        </is>
      </c>
    </row>
    <row r="5681">
      <c r="B5681" s="24" t="inlineStr">
        <is>
          <t>RightRegOrgType</t>
        </is>
      </c>
      <c r="C5681" s="24" t="inlineStr">
        <is>
          <t>登记机构类型</t>
        </is>
      </c>
      <c r="D5681" s="24" t="inlineStr">
        <is>
          <t>08</t>
        </is>
      </c>
      <c r="E5681" s="24" t="inlineStr">
        <is>
          <t>农业行政主管部门</t>
        </is>
      </c>
    </row>
    <row r="5682">
      <c r="B5682" s="24" t="inlineStr">
        <is>
          <t>RightRegOrgType</t>
        </is>
      </c>
      <c r="C5682" s="24" t="inlineStr">
        <is>
          <t>登记机构类型</t>
        </is>
      </c>
      <c r="D5682" s="24" t="inlineStr">
        <is>
          <t>09</t>
        </is>
      </c>
      <c r="E5682" s="24" t="inlineStr">
        <is>
          <t>上海黄金交易所</t>
        </is>
      </c>
    </row>
    <row r="5683">
      <c r="B5683" s="24" t="inlineStr">
        <is>
          <t>RightRegOrgType</t>
        </is>
      </c>
      <c r="C5683" s="24" t="inlineStr">
        <is>
          <t>登记机构类型</t>
        </is>
      </c>
      <c r="D5683" s="24" t="inlineStr">
        <is>
          <t>10</t>
        </is>
      </c>
      <c r="E5683" s="24" t="inlineStr">
        <is>
          <t>海洋行政管理部门</t>
        </is>
      </c>
    </row>
    <row r="5684">
      <c r="B5684" s="24" t="inlineStr">
        <is>
          <t>RightRegOrgType</t>
        </is>
      </c>
      <c r="C5684" s="24" t="inlineStr">
        <is>
          <t>登记机构类型</t>
        </is>
      </c>
      <c r="D5684" s="24" t="inlineStr">
        <is>
          <t>11</t>
        </is>
      </c>
      <c r="E5684" s="24" t="inlineStr">
        <is>
          <t>国家知识产权局</t>
        </is>
      </c>
    </row>
    <row r="5685">
      <c r="B5685" s="24" t="inlineStr">
        <is>
          <t>RightRegOrgType</t>
        </is>
      </c>
      <c r="C5685" s="24" t="inlineStr">
        <is>
          <t>登记机构类型</t>
        </is>
      </c>
      <c r="D5685" s="24" t="inlineStr">
        <is>
          <t>12</t>
        </is>
      </c>
      <c r="E5685" s="24" t="inlineStr">
        <is>
          <t>商标局</t>
        </is>
      </c>
    </row>
    <row r="5686">
      <c r="B5686" s="24" t="inlineStr">
        <is>
          <t>RightRegOrgType</t>
        </is>
      </c>
      <c r="C5686" s="24" t="inlineStr">
        <is>
          <t>登记机构类型</t>
        </is>
      </c>
      <c r="D5686" s="24" t="inlineStr">
        <is>
          <t>13</t>
        </is>
      </c>
      <c r="E5686" s="24" t="inlineStr">
        <is>
          <t>版权局</t>
        </is>
      </c>
    </row>
    <row r="5687">
      <c r="B5687" s="24" t="inlineStr">
        <is>
          <t>RightRegOrgType</t>
        </is>
      </c>
      <c r="C5687" s="24" t="inlineStr">
        <is>
          <t>登记机构类型</t>
        </is>
      </c>
      <c r="D5687" s="24" t="inlineStr">
        <is>
          <t>14</t>
        </is>
      </c>
      <c r="E5687" s="24" t="inlineStr">
        <is>
          <t>其他部门</t>
        </is>
      </c>
    </row>
    <row r="5688" ht="15.95" customHeight="1" s="170">
      <c r="B5688" s="122" t="inlineStr">
        <is>
          <t>码值：BeneficialType</t>
        </is>
      </c>
    </row>
    <row r="5689">
      <c r="B5689" s="24" t="inlineStr">
        <is>
          <t>BeneficialType</t>
        </is>
      </c>
      <c r="C5689" s="24" t="inlineStr">
        <is>
          <t>自用_他用</t>
        </is>
      </c>
      <c r="D5689" s="24" t="inlineStr">
        <is>
          <t>1</t>
        </is>
      </c>
      <c r="E5689" s="24" t="inlineStr">
        <is>
          <t>自用</t>
        </is>
      </c>
    </row>
    <row r="5690">
      <c r="B5690" s="24" t="inlineStr">
        <is>
          <t>BeneficialType</t>
        </is>
      </c>
      <c r="C5690" s="24" t="inlineStr">
        <is>
          <t>自用_他用</t>
        </is>
      </c>
      <c r="D5690" s="24" t="inlineStr">
        <is>
          <t>2</t>
        </is>
      </c>
      <c r="E5690" s="24" t="inlineStr">
        <is>
          <t>他用</t>
        </is>
      </c>
    </row>
    <row r="5691" ht="15.95" customHeight="1" s="170">
      <c r="B5691" s="122" t="inlineStr">
        <is>
          <t>码值：CreditView</t>
        </is>
      </c>
    </row>
    <row r="5692">
      <c r="B5692" s="24" t="inlineStr">
        <is>
          <t>CreditView</t>
        </is>
      </c>
      <c r="C5692" s="24" t="inlineStr">
        <is>
          <t>业务树图</t>
        </is>
      </c>
      <c r="D5692" s="24" t="inlineStr">
        <is>
          <t>010</t>
        </is>
      </c>
      <c r="E5692" s="24" t="inlineStr">
        <is>
          <t>基本信息</t>
        </is>
      </c>
    </row>
    <row r="5693">
      <c r="B5693" s="24" t="inlineStr">
        <is>
          <t>CreditView</t>
        </is>
      </c>
      <c r="C5693" s="24" t="inlineStr">
        <is>
          <t>业务树图</t>
        </is>
      </c>
      <c r="D5693" s="24" t="inlineStr">
        <is>
          <t>016</t>
        </is>
      </c>
      <c r="E5693" s="24" t="inlineStr">
        <is>
          <t>相关项目信息</t>
        </is>
      </c>
    </row>
    <row r="5694">
      <c r="B5694" s="24" t="inlineStr">
        <is>
          <t>CreditView</t>
        </is>
      </c>
      <c r="C5694" s="24" t="inlineStr">
        <is>
          <t>业务树图</t>
        </is>
      </c>
      <c r="D5694" s="24" t="inlineStr">
        <is>
          <t>018</t>
        </is>
      </c>
      <c r="E5694" s="24" t="inlineStr">
        <is>
          <t>关联业务信息</t>
        </is>
      </c>
    </row>
    <row r="5695">
      <c r="B5695" s="24" t="inlineStr">
        <is>
          <t>CreditView</t>
        </is>
      </c>
      <c r="C5695" s="24" t="inlineStr">
        <is>
          <t>业务树图</t>
        </is>
      </c>
      <c r="D5695" s="24" t="inlineStr">
        <is>
          <t>019</t>
        </is>
      </c>
      <c r="E5695" s="24" t="inlineStr">
        <is>
          <t>关联额度信息</t>
        </is>
      </c>
    </row>
    <row r="5696">
      <c r="B5696" s="24" t="inlineStr">
        <is>
          <t>CreditView</t>
        </is>
      </c>
      <c r="C5696" s="24" t="inlineStr">
        <is>
          <t>业务树图</t>
        </is>
      </c>
      <c r="D5696" s="24" t="inlineStr">
        <is>
          <t>021</t>
        </is>
      </c>
      <c r="E5696" s="24" t="inlineStr">
        <is>
          <t>贴现票据信息</t>
        </is>
      </c>
    </row>
    <row r="5697">
      <c r="B5697" s="24" t="inlineStr">
        <is>
          <t>CreditView</t>
        </is>
      </c>
      <c r="C5697" s="24" t="inlineStr">
        <is>
          <t>业务树图</t>
        </is>
      </c>
      <c r="D5697" s="24" t="inlineStr">
        <is>
          <t>022</t>
        </is>
      </c>
      <c r="E5697" s="24" t="inlineStr">
        <is>
          <t>承兑票据信息</t>
        </is>
      </c>
    </row>
    <row r="5698">
      <c r="B5698" s="24" t="inlineStr">
        <is>
          <t>CreditView</t>
        </is>
      </c>
      <c r="C5698" s="24" t="inlineStr">
        <is>
          <t>业务树图</t>
        </is>
      </c>
      <c r="D5698" s="24" t="inlineStr">
        <is>
          <t>023</t>
        </is>
      </c>
      <c r="E5698" s="24" t="inlineStr">
        <is>
          <t>相关信用证信息</t>
        </is>
      </c>
    </row>
    <row r="5699">
      <c r="B5699" s="24" t="inlineStr">
        <is>
          <t>CreditView</t>
        </is>
      </c>
      <c r="C5699" s="24" t="inlineStr">
        <is>
          <t>业务树图</t>
        </is>
      </c>
      <c r="D5699" s="24" t="inlineStr">
        <is>
          <t>024</t>
        </is>
      </c>
      <c r="E5699" s="24" t="inlineStr">
        <is>
          <t>相关贸易合同信息</t>
        </is>
      </c>
    </row>
    <row r="5700">
      <c r="B5700" s="24" t="inlineStr">
        <is>
          <t>CreditView</t>
        </is>
      </c>
      <c r="C5700" s="24" t="inlineStr">
        <is>
          <t>业务树图</t>
        </is>
      </c>
      <c r="D5700" s="24" t="inlineStr">
        <is>
          <t>025</t>
        </is>
      </c>
      <c r="E5700" s="24" t="inlineStr">
        <is>
          <t>相关发票信息</t>
        </is>
      </c>
    </row>
    <row r="5701">
      <c r="B5701" s="24" t="inlineStr">
        <is>
          <t>CreditView</t>
        </is>
      </c>
      <c r="C5701" s="24" t="inlineStr">
        <is>
          <t>业务树图</t>
        </is>
      </c>
      <c r="D5701" s="24" t="inlineStr">
        <is>
          <t>026</t>
        </is>
      </c>
      <c r="E5701" s="24" t="inlineStr">
        <is>
          <t>额度项下业务信息</t>
        </is>
      </c>
    </row>
    <row r="5702">
      <c r="B5702" s="24" t="inlineStr">
        <is>
          <t>CreditView</t>
        </is>
      </c>
      <c r="C5702" s="24" t="inlineStr">
        <is>
          <t>业务树图</t>
        </is>
      </c>
      <c r="D5702" s="24" t="inlineStr">
        <is>
          <t>027</t>
        </is>
      </c>
      <c r="E5702" s="24" t="inlineStr">
        <is>
          <t>相关信用证信息</t>
        </is>
      </c>
    </row>
    <row r="5703">
      <c r="B5703" s="24" t="inlineStr">
        <is>
          <t>CreditView</t>
        </is>
      </c>
      <c r="C5703" s="24" t="inlineStr">
        <is>
          <t>业务树图</t>
        </is>
      </c>
      <c r="D5703" s="24" t="inlineStr">
        <is>
          <t>028</t>
        </is>
      </c>
      <c r="E5703" s="24" t="inlineStr">
        <is>
          <t>相关议付单据信息</t>
        </is>
      </c>
    </row>
    <row r="5704">
      <c r="B5704" s="24" t="inlineStr">
        <is>
          <t>CreditView</t>
        </is>
      </c>
      <c r="C5704" s="24" t="inlineStr">
        <is>
          <t>业务树图</t>
        </is>
      </c>
      <c r="D5704" s="24" t="inlineStr">
        <is>
          <t>029</t>
        </is>
      </c>
      <c r="E5704" s="24" t="inlineStr">
        <is>
          <t>相关贸易单据信息</t>
        </is>
      </c>
    </row>
    <row r="5705">
      <c r="B5705" s="24" t="inlineStr">
        <is>
          <t>CreditView</t>
        </is>
      </c>
      <c r="C5705" s="24" t="inlineStr">
        <is>
          <t>业务树图</t>
        </is>
      </c>
      <c r="D5705" s="24" t="inlineStr">
        <is>
          <t>032</t>
        </is>
      </c>
      <c r="E5705" s="24" t="inlineStr">
        <is>
          <t>共同申请人信息</t>
        </is>
      </c>
    </row>
    <row r="5706">
      <c r="B5706" s="24" t="inlineStr">
        <is>
          <t>CreditView</t>
        </is>
      </c>
      <c r="C5706" s="24" t="inlineStr">
        <is>
          <t>业务树图</t>
        </is>
      </c>
      <c r="D5706" s="24" t="inlineStr">
        <is>
          <t>035</t>
        </is>
      </c>
      <c r="E5706" s="24" t="inlineStr">
        <is>
          <t>相关出账信息</t>
        </is>
      </c>
    </row>
    <row r="5707">
      <c r="B5707" s="24" t="inlineStr">
        <is>
          <t>CreditView</t>
        </is>
      </c>
      <c r="C5707" s="24" t="inlineStr">
        <is>
          <t>业务树图</t>
        </is>
      </c>
      <c r="D5707" s="24" t="inlineStr">
        <is>
          <t>040</t>
        </is>
      </c>
      <c r="E5707" s="24" t="inlineStr">
        <is>
          <t>担保信息</t>
        </is>
      </c>
    </row>
    <row r="5708">
      <c r="B5708" s="24" t="inlineStr">
        <is>
          <t>CreditView</t>
        </is>
      </c>
      <c r="C5708" s="24" t="inlineStr">
        <is>
          <t>业务树图</t>
        </is>
      </c>
      <c r="D5708" s="24" t="inlineStr">
        <is>
          <t>040010</t>
        </is>
      </c>
      <c r="E5708" s="24" t="inlineStr">
        <is>
          <t>新增的担保信息</t>
        </is>
      </c>
    </row>
    <row r="5709">
      <c r="B5709" s="24" t="inlineStr">
        <is>
          <t>CreditView</t>
        </is>
      </c>
      <c r="C5709" s="24" t="inlineStr">
        <is>
          <t>业务树图</t>
        </is>
      </c>
      <c r="D5709" s="24" t="inlineStr">
        <is>
          <t>040015</t>
        </is>
      </c>
      <c r="E5709" s="24" t="inlineStr">
        <is>
          <t>新增的担保信息</t>
        </is>
      </c>
    </row>
    <row r="5710">
      <c r="B5710" s="24" t="inlineStr">
        <is>
          <t>CreditView</t>
        </is>
      </c>
      <c r="C5710" s="24" t="inlineStr">
        <is>
          <t>业务树图</t>
        </is>
      </c>
      <c r="D5710" s="24" t="inlineStr">
        <is>
          <t>040020</t>
        </is>
      </c>
      <c r="E5710" s="24" t="inlineStr">
        <is>
          <t>拟引入的担保合同</t>
        </is>
      </c>
    </row>
    <row r="5711">
      <c r="B5711" s="24" t="inlineStr">
        <is>
          <t>CreditView</t>
        </is>
      </c>
      <c r="C5711" s="24" t="inlineStr">
        <is>
          <t>业务树图</t>
        </is>
      </c>
      <c r="D5711" s="24" t="inlineStr">
        <is>
          <t>040025</t>
        </is>
      </c>
      <c r="E5711" s="24" t="inlineStr">
        <is>
          <t>拟引入的担保合同</t>
        </is>
      </c>
    </row>
    <row r="5712">
      <c r="B5712" s="24" t="inlineStr">
        <is>
          <t>CreditView</t>
        </is>
      </c>
      <c r="C5712" s="24" t="inlineStr">
        <is>
          <t>业务树图</t>
        </is>
      </c>
      <c r="D5712" s="24" t="inlineStr">
        <is>
          <t>040030</t>
        </is>
      </c>
      <c r="E5712" s="24" t="inlineStr">
        <is>
          <t>新增的担保信息</t>
        </is>
      </c>
    </row>
    <row r="5713">
      <c r="B5713" s="24" t="inlineStr">
        <is>
          <t>CreditView</t>
        </is>
      </c>
      <c r="C5713" s="24" t="inlineStr">
        <is>
          <t>业务树图</t>
        </is>
      </c>
      <c r="D5713" s="24" t="inlineStr">
        <is>
          <t>040035</t>
        </is>
      </c>
      <c r="E5713" s="24" t="inlineStr">
        <is>
          <t>新增的担保信息</t>
        </is>
      </c>
    </row>
    <row r="5714">
      <c r="B5714" s="24" t="inlineStr">
        <is>
          <t>CreditView</t>
        </is>
      </c>
      <c r="C5714" s="24" t="inlineStr">
        <is>
          <t>业务树图</t>
        </is>
      </c>
      <c r="D5714" s="24" t="inlineStr">
        <is>
          <t>040040</t>
        </is>
      </c>
      <c r="E5714" s="24" t="inlineStr">
        <is>
          <t>拟引入的担保合同</t>
        </is>
      </c>
    </row>
    <row r="5715">
      <c r="B5715" s="24" t="inlineStr">
        <is>
          <t>CreditView</t>
        </is>
      </c>
      <c r="C5715" s="24" t="inlineStr">
        <is>
          <t>业务树图</t>
        </is>
      </c>
      <c r="D5715" s="24" t="inlineStr">
        <is>
          <t>040045</t>
        </is>
      </c>
      <c r="E5715" s="24" t="inlineStr">
        <is>
          <t>拟引入的担保合同</t>
        </is>
      </c>
    </row>
    <row r="5716">
      <c r="B5716" s="24" t="inlineStr">
        <is>
          <t>CreditView</t>
        </is>
      </c>
      <c r="C5716" s="24" t="inlineStr">
        <is>
          <t>业务树图</t>
        </is>
      </c>
      <c r="D5716" s="24" t="inlineStr">
        <is>
          <t>041</t>
        </is>
      </c>
      <c r="E5716" s="24" t="inlineStr">
        <is>
          <t>担保合同信息</t>
        </is>
      </c>
    </row>
    <row r="5717">
      <c r="B5717" s="24" t="inlineStr">
        <is>
          <t>CreditView</t>
        </is>
      </c>
      <c r="C5717" s="24" t="inlineStr">
        <is>
          <t>业务树图</t>
        </is>
      </c>
      <c r="D5717" s="24" t="inlineStr">
        <is>
          <t>041050</t>
        </is>
      </c>
      <c r="E5717" s="24" t="inlineStr">
        <is>
          <t>一般担保合同</t>
        </is>
      </c>
    </row>
    <row r="5718">
      <c r="B5718" s="24" t="inlineStr">
        <is>
          <t>CreditView</t>
        </is>
      </c>
      <c r="C5718" s="24" t="inlineStr">
        <is>
          <t>业务树图</t>
        </is>
      </c>
      <c r="D5718" s="24" t="inlineStr">
        <is>
          <t>041055</t>
        </is>
      </c>
      <c r="E5718" s="24" t="inlineStr">
        <is>
          <t>一般担保合同</t>
        </is>
      </c>
    </row>
    <row r="5719">
      <c r="B5719" s="24" t="inlineStr">
        <is>
          <t>CreditView</t>
        </is>
      </c>
      <c r="C5719" s="24" t="inlineStr">
        <is>
          <t>业务树图</t>
        </is>
      </c>
      <c r="D5719" s="24" t="inlineStr">
        <is>
          <t>041060</t>
        </is>
      </c>
      <c r="E5719" s="24" t="inlineStr">
        <is>
          <t>最高额担保合同</t>
        </is>
      </c>
    </row>
    <row r="5720">
      <c r="B5720" s="24" t="inlineStr">
        <is>
          <t>CreditView</t>
        </is>
      </c>
      <c r="C5720" s="24" t="inlineStr">
        <is>
          <t>业务树图</t>
        </is>
      </c>
      <c r="D5720" s="24" t="inlineStr">
        <is>
          <t>041065</t>
        </is>
      </c>
      <c r="E5720" s="24" t="inlineStr">
        <is>
          <t>最高额担保合同</t>
        </is>
      </c>
    </row>
    <row r="5721">
      <c r="B5721" s="24" t="inlineStr">
        <is>
          <t>CreditView</t>
        </is>
      </c>
      <c r="C5721" s="24" t="inlineStr">
        <is>
          <t>业务树图</t>
        </is>
      </c>
      <c r="D5721" s="24" t="inlineStr">
        <is>
          <t>041090</t>
        </is>
      </c>
      <c r="E5721" s="24" t="inlineStr">
        <is>
          <t>变更申请历史记录</t>
        </is>
      </c>
    </row>
    <row r="5722">
      <c r="B5722" s="24" t="inlineStr">
        <is>
          <t>CreditView</t>
        </is>
      </c>
      <c r="C5722" s="24" t="inlineStr">
        <is>
          <t>业务树图</t>
        </is>
      </c>
      <c r="D5722" s="24" t="inlineStr">
        <is>
          <t>050</t>
        </is>
      </c>
      <c r="E5722" s="24" t="inlineStr">
        <is>
          <t>借据信息</t>
        </is>
      </c>
    </row>
    <row r="5723">
      <c r="B5723" s="24" t="inlineStr">
        <is>
          <t>CreditView</t>
        </is>
      </c>
      <c r="C5723" s="24" t="inlineStr">
        <is>
          <t>业务树图</t>
        </is>
      </c>
      <c r="D5723" s="24" t="inlineStr">
        <is>
          <t>060</t>
        </is>
      </c>
      <c r="E5723" s="24" t="inlineStr">
        <is>
          <t>借还款记录</t>
        </is>
      </c>
    </row>
    <row r="5724">
      <c r="B5724" s="24" t="inlineStr">
        <is>
          <t>CreditView</t>
        </is>
      </c>
      <c r="C5724" s="24" t="inlineStr">
        <is>
          <t>业务树图</t>
        </is>
      </c>
      <c r="D5724" s="24" t="inlineStr">
        <is>
          <t>070</t>
        </is>
      </c>
      <c r="E5724" s="24" t="inlineStr">
        <is>
          <t>业务文档信息</t>
        </is>
      </c>
    </row>
    <row r="5725">
      <c r="B5725" s="24" t="inlineStr">
        <is>
          <t>CreditView</t>
        </is>
      </c>
      <c r="C5725" s="24" t="inlineStr">
        <is>
          <t>业务树图</t>
        </is>
      </c>
      <c r="D5725" s="24" t="inlineStr">
        <is>
          <t>080</t>
        </is>
      </c>
      <c r="E5725" s="24" t="inlineStr">
        <is>
          <t>风险度评估</t>
        </is>
      </c>
    </row>
    <row r="5726">
      <c r="B5726" s="24" t="inlineStr">
        <is>
          <t>CreditView</t>
        </is>
      </c>
      <c r="C5726" s="24" t="inlineStr">
        <is>
          <t>业务树图</t>
        </is>
      </c>
      <c r="D5726" s="24" t="inlineStr">
        <is>
          <t>090</t>
        </is>
      </c>
      <c r="E5726" s="24" t="inlineStr">
        <is>
          <t>流动资金需求量测算</t>
        </is>
      </c>
    </row>
    <row r="5727">
      <c r="B5727" s="24" t="inlineStr">
        <is>
          <t>CreditView</t>
        </is>
      </c>
      <c r="C5727" s="24" t="inlineStr">
        <is>
          <t>业务树图</t>
        </is>
      </c>
      <c r="D5727" s="24" t="inlineStr">
        <is>
          <t>100</t>
        </is>
      </c>
      <c r="E5727" s="24" t="inlineStr">
        <is>
          <t>首笔申请信息</t>
        </is>
      </c>
    </row>
    <row r="5728" ht="15.95" customHeight="1" s="170">
      <c r="B5728" s="122" t="inlineStr">
        <is>
          <t>码值：DocRelativeTreeNo</t>
        </is>
      </c>
    </row>
    <row r="5729">
      <c r="B5729" s="24" t="inlineStr">
        <is>
          <t>DocRelativeTreeNo</t>
        </is>
      </c>
      <c r="C5729" s="24" t="inlineStr">
        <is>
          <t>文件映射的业务结点</t>
        </is>
      </c>
      <c r="D5729" s="24" t="inlineStr">
        <is>
          <t>010</t>
        </is>
      </c>
      <c r="E5729" s="24" t="inlineStr">
        <is>
          <t>申请基本信息</t>
        </is>
      </c>
    </row>
    <row r="5730">
      <c r="B5730" s="24" t="inlineStr">
        <is>
          <t>DocRelativeTreeNo</t>
        </is>
      </c>
      <c r="C5730" s="24" t="inlineStr">
        <is>
          <t>文件映射的业务结点</t>
        </is>
      </c>
      <c r="D5730" s="24" t="inlineStr">
        <is>
          <t>020</t>
        </is>
      </c>
      <c r="E5730" s="24" t="inlineStr">
        <is>
          <t>担保信息</t>
        </is>
      </c>
    </row>
    <row r="5731">
      <c r="B5731" s="24" t="inlineStr">
        <is>
          <t>DocRelativeTreeNo</t>
        </is>
      </c>
      <c r="C5731" s="24" t="inlineStr">
        <is>
          <t>文件映射的业务结点</t>
        </is>
      </c>
      <c r="D5731" s="24" t="inlineStr">
        <is>
          <t>030</t>
        </is>
      </c>
      <c r="E5731" s="24" t="inlineStr">
        <is>
          <t>客户基本信息</t>
        </is>
      </c>
    </row>
    <row r="5732" ht="15.95" customHeight="1" s="170">
      <c r="B5732" s="122" t="inlineStr">
        <is>
          <t>码值：Arbitrate</t>
        </is>
      </c>
    </row>
    <row r="5733">
      <c r="B5733" s="24" t="inlineStr">
        <is>
          <t>Arbitrate</t>
        </is>
      </c>
      <c r="C5733" s="24" t="inlineStr">
        <is>
          <t>公证效力</t>
        </is>
      </c>
      <c r="D5733" s="24" t="inlineStr">
        <is>
          <t>010</t>
        </is>
      </c>
      <c r="E5733" s="24" t="inlineStr">
        <is>
          <t>有强制执行效力</t>
        </is>
      </c>
    </row>
    <row r="5734">
      <c r="B5734" s="24" t="inlineStr">
        <is>
          <t>Arbitrate</t>
        </is>
      </c>
      <c r="C5734" s="24" t="inlineStr">
        <is>
          <t>公证效力</t>
        </is>
      </c>
      <c r="D5734" s="24" t="inlineStr">
        <is>
          <t>020</t>
        </is>
      </c>
      <c r="E5734" s="24" t="inlineStr">
        <is>
          <t>无强制执行效力</t>
        </is>
      </c>
    </row>
    <row r="5735" ht="15.95" customHeight="1" s="170">
      <c r="B5735" s="122" t="inlineStr">
        <is>
          <t>码值：CPProjectType</t>
        </is>
      </c>
    </row>
    <row r="5736">
      <c r="B5736" s="24" t="inlineStr">
        <is>
          <t>CPProjectType</t>
        </is>
      </c>
      <c r="C5736" s="24" t="inlineStr">
        <is>
          <t>项目类型</t>
        </is>
      </c>
      <c r="D5736" s="24" t="inlineStr">
        <is>
          <t>01</t>
        </is>
      </c>
      <c r="E5736" s="24" t="inlineStr">
        <is>
          <t>一手按揭楼盘项目</t>
        </is>
      </c>
    </row>
    <row r="5737">
      <c r="B5737" s="24" t="inlineStr">
        <is>
          <t>CPProjectType</t>
        </is>
      </c>
      <c r="C5737" s="24" t="inlineStr">
        <is>
          <t>项目类型</t>
        </is>
      </c>
      <c r="D5737" s="24" t="inlineStr">
        <is>
          <t>02</t>
        </is>
      </c>
      <c r="E5737" s="24" t="inlineStr">
        <is>
          <t>二手楼项目</t>
        </is>
      </c>
    </row>
    <row r="5738">
      <c r="B5738" s="24" t="inlineStr">
        <is>
          <t>CPProjectType</t>
        </is>
      </c>
      <c r="C5738" s="24" t="inlineStr">
        <is>
          <t>项目类型</t>
        </is>
      </c>
      <c r="D5738" s="24" t="inlineStr">
        <is>
          <t>03</t>
        </is>
      </c>
      <c r="E5738" s="24" t="inlineStr">
        <is>
          <t>交通工具类项目</t>
        </is>
      </c>
    </row>
    <row r="5739">
      <c r="B5739" s="24" t="inlineStr">
        <is>
          <t>CPProjectType</t>
        </is>
      </c>
      <c r="C5739" s="24" t="inlineStr">
        <is>
          <t>项目类型</t>
        </is>
      </c>
      <c r="D5739" s="24" t="inlineStr">
        <is>
          <t>04</t>
        </is>
      </c>
      <c r="E5739" s="24" t="inlineStr">
        <is>
          <t>设备类项目</t>
        </is>
      </c>
    </row>
    <row r="5740">
      <c r="B5740" s="24" t="inlineStr">
        <is>
          <t>CPProjectType</t>
        </is>
      </c>
      <c r="C5740" s="24" t="inlineStr">
        <is>
          <t>项目类型</t>
        </is>
      </c>
      <c r="D5740" s="24" t="inlineStr">
        <is>
          <t>05</t>
        </is>
      </c>
      <c r="E5740" s="24" t="inlineStr">
        <is>
          <t>专业担保合作项目</t>
        </is>
      </c>
    </row>
    <row r="5741">
      <c r="B5741" s="24" t="inlineStr">
        <is>
          <t>CPProjectType</t>
        </is>
      </c>
      <c r="C5741" s="24" t="inlineStr">
        <is>
          <t>项目类型</t>
        </is>
      </c>
      <c r="D5741" s="24" t="inlineStr">
        <is>
          <t>06</t>
        </is>
      </c>
      <c r="E5741" s="24" t="inlineStr">
        <is>
          <t>经营权质押类合作项目</t>
        </is>
      </c>
    </row>
    <row r="5742">
      <c r="B5742" s="24" t="inlineStr">
        <is>
          <t>CPProjectType</t>
        </is>
      </c>
      <c r="C5742" s="24" t="inlineStr">
        <is>
          <t>项目类型</t>
        </is>
      </c>
      <c r="D5742" s="24" t="inlineStr">
        <is>
          <t>07</t>
        </is>
      </c>
      <c r="E5742" s="24" t="inlineStr">
        <is>
          <t>委托类合作项目</t>
        </is>
      </c>
    </row>
    <row r="5743">
      <c r="B5743" s="24" t="inlineStr">
        <is>
          <t>CPProjectType</t>
        </is>
      </c>
      <c r="C5743" s="24" t="inlineStr">
        <is>
          <t>项目类型</t>
        </is>
      </c>
      <c r="D5743" s="24" t="inlineStr">
        <is>
          <t>08</t>
        </is>
      </c>
      <c r="E5743" s="24" t="inlineStr">
        <is>
          <t>资产买卖类合作项目</t>
        </is>
      </c>
    </row>
    <row r="5744">
      <c r="B5744" s="24" t="inlineStr">
        <is>
          <t>CPProjectType</t>
        </is>
      </c>
      <c r="C5744" s="24" t="inlineStr">
        <is>
          <t>项目类型</t>
        </is>
      </c>
      <c r="D5744" s="24" t="inlineStr">
        <is>
          <t>09</t>
        </is>
      </c>
      <c r="E5744" s="24" t="inlineStr">
        <is>
          <t>保险公司合作项目</t>
        </is>
      </c>
    </row>
    <row r="5745">
      <c r="B5745" s="24" t="inlineStr">
        <is>
          <t>CPProjectType</t>
        </is>
      </c>
      <c r="C5745" s="24" t="inlineStr">
        <is>
          <t>项目类型</t>
        </is>
      </c>
      <c r="D5745" s="24" t="inlineStr">
        <is>
          <t>10</t>
        </is>
      </c>
      <c r="E5745" s="24" t="inlineStr">
        <is>
          <t>三方共保合作项目</t>
        </is>
      </c>
    </row>
    <row r="5746">
      <c r="B5746" s="24" t="inlineStr">
        <is>
          <t>CPProjectType</t>
        </is>
      </c>
      <c r="C5746" s="24" t="inlineStr">
        <is>
          <t>项目类型</t>
        </is>
      </c>
      <c r="D5746" s="24" t="inlineStr">
        <is>
          <t>11</t>
        </is>
      </c>
      <c r="E5746" s="24" t="inlineStr">
        <is>
          <t>其他合作项目</t>
        </is>
      </c>
    </row>
    <row r="5747" ht="15.95" customHeight="1" s="170">
      <c r="B5747" s="122" t="inlineStr">
        <is>
          <t>码值：ComponentParameterCodeSource</t>
        </is>
      </c>
    </row>
    <row r="5748">
      <c r="B5748" s="24" t="inlineStr">
        <is>
          <t>ComponentParameterCodeSource</t>
        </is>
      </c>
      <c r="C5748" s="24" t="inlineStr">
        <is>
          <t>业务组件参数选项来源</t>
        </is>
      </c>
      <c r="D5748" s="24" t="inlineStr">
        <is>
          <t>Code</t>
        </is>
      </c>
      <c r="E5748" s="24" t="inlineStr">
        <is>
          <t>代码库</t>
        </is>
      </c>
    </row>
    <row r="5749">
      <c r="B5749" s="24" t="inlineStr">
        <is>
          <t>ComponentParameterCodeSource</t>
        </is>
      </c>
      <c r="C5749" s="24" t="inlineStr">
        <is>
          <t>业务组件参数选项来源</t>
        </is>
      </c>
      <c r="D5749" s="24" t="inlineStr">
        <is>
          <t>CodeTable</t>
        </is>
      </c>
      <c r="E5749" s="24" t="inlineStr">
        <is>
          <t>代码表</t>
        </is>
      </c>
    </row>
    <row r="5750">
      <c r="B5750" s="24" t="inlineStr">
        <is>
          <t>ComponentParameterCodeSource</t>
        </is>
      </c>
      <c r="C5750" s="24" t="inlineStr">
        <is>
          <t>业务组件参数选项来源</t>
        </is>
      </c>
      <c r="D5750" s="24" t="inlineStr">
        <is>
          <t>JBO</t>
        </is>
      </c>
      <c r="E5750" s="24" t="inlineStr">
        <is>
          <t>JBO查询</t>
        </is>
      </c>
    </row>
    <row r="5751">
      <c r="B5751" s="24" t="inlineStr">
        <is>
          <t>ComponentParameterCodeSource</t>
        </is>
      </c>
      <c r="C5751" s="24" t="inlineStr">
        <is>
          <t>业务组件参数选项来源</t>
        </is>
      </c>
      <c r="D5751" s="24" t="inlineStr">
        <is>
          <t>Java</t>
        </is>
      </c>
      <c r="E5751" s="24" t="inlineStr">
        <is>
          <t>Java</t>
        </is>
      </c>
    </row>
    <row r="5752">
      <c r="B5752" s="24" t="inlineStr">
        <is>
          <t>ComponentParameterCodeSource</t>
        </is>
      </c>
      <c r="C5752" s="24" t="inlineStr">
        <is>
          <t>业务组件参数选项来源</t>
        </is>
      </c>
      <c r="D5752" s="24" t="inlineStr">
        <is>
          <t>SQL</t>
        </is>
      </c>
      <c r="E5752" s="24" t="inlineStr">
        <is>
          <t>SQL查询</t>
        </is>
      </c>
    </row>
    <row r="5753">
      <c r="B5753" s="24" t="inlineStr">
        <is>
          <t>ComponentParameterCodeSource</t>
        </is>
      </c>
      <c r="C5753" s="24" t="inlineStr">
        <is>
          <t>业务组件参数选项来源</t>
        </is>
      </c>
      <c r="D5753" s="24" t="inlineStr">
        <is>
          <t>XML</t>
        </is>
      </c>
      <c r="E5753" s="24" t="inlineStr">
        <is>
          <t>XML文件</t>
        </is>
      </c>
    </row>
    <row r="5754" ht="15.95" customHeight="1" s="170">
      <c r="B5754" s="122" t="inlineStr">
        <is>
          <t>码值：CreditApproveIndMain</t>
        </is>
      </c>
    </row>
    <row r="5755">
      <c r="B5755" s="24" t="inlineStr">
        <is>
          <t>CreditApproveIndMain</t>
        </is>
      </c>
      <c r="C5755" s="24" t="n"/>
      <c r="D5755" s="24" t="inlineStr">
        <is>
          <t>1010</t>
        </is>
      </c>
      <c r="E5755" s="24" t="inlineStr">
        <is>
          <t>申请阶段1010</t>
        </is>
      </c>
    </row>
    <row r="5756">
      <c r="B5756" s="24" t="inlineStr">
        <is>
          <t>CreditApproveIndMain</t>
        </is>
      </c>
      <c r="C5756" s="24" t="n"/>
      <c r="D5756" s="24" t="inlineStr">
        <is>
          <t>1020</t>
        </is>
      </c>
      <c r="E5756" s="24" t="inlineStr">
        <is>
          <t>申请阶段1020</t>
        </is>
      </c>
    </row>
    <row r="5757">
      <c r="B5757" s="24" t="inlineStr">
        <is>
          <t>CreditApproveIndMain</t>
        </is>
      </c>
      <c r="C5757" s="24" t="n"/>
      <c r="D5757" s="24" t="inlineStr">
        <is>
          <t>1040</t>
        </is>
      </c>
      <c r="E5757" s="24" t="inlineStr">
        <is>
          <t>申请阶段1040</t>
        </is>
      </c>
    </row>
    <row r="5758">
      <c r="B5758" s="24" t="inlineStr">
        <is>
          <t>CreditApproveIndMain</t>
        </is>
      </c>
      <c r="C5758" s="24" t="n"/>
      <c r="D5758" s="24" t="inlineStr">
        <is>
          <t>1050</t>
        </is>
      </c>
      <c r="E5758" s="24" t="inlineStr">
        <is>
          <t>申请阶段1050</t>
        </is>
      </c>
    </row>
    <row r="5759" ht="15.95" customHeight="1" s="170">
      <c r="B5759" s="122" t="inlineStr">
        <is>
          <t>码值：TermApplyType</t>
        </is>
      </c>
    </row>
    <row r="5760">
      <c r="B5760" s="24" t="inlineStr">
        <is>
          <t>TermApplyType</t>
        </is>
      </c>
      <c r="C5760" s="24" t="inlineStr">
        <is>
          <t>期限申请类型</t>
        </is>
      </c>
      <c r="D5760" s="24" t="inlineStr">
        <is>
          <t>01</t>
        </is>
      </c>
      <c r="E5760" s="24" t="inlineStr">
        <is>
          <t>固定期限</t>
        </is>
      </c>
    </row>
    <row r="5761">
      <c r="B5761" s="24" t="inlineStr">
        <is>
          <t>TermApplyType</t>
        </is>
      </c>
      <c r="C5761" s="24" t="inlineStr">
        <is>
          <t>期限申请类型</t>
        </is>
      </c>
      <c r="D5761" s="24" t="inlineStr">
        <is>
          <t>02</t>
        </is>
      </c>
      <c r="E5761" s="24" t="inlineStr">
        <is>
          <t>固定到期日</t>
        </is>
      </c>
    </row>
    <row r="5762" ht="15.95" customHeight="1" s="170">
      <c r="B5762" s="122" t="inlineStr">
        <is>
          <t>码值：LawValidity</t>
        </is>
      </c>
    </row>
    <row r="5763">
      <c r="B5763" s="24" t="inlineStr">
        <is>
          <t>LawValidity</t>
        </is>
      </c>
      <c r="C5763" s="24" t="inlineStr">
        <is>
          <t>法律有效性</t>
        </is>
      </c>
      <c r="D5763" s="24" t="inlineStr">
        <is>
          <t>010</t>
        </is>
      </c>
      <c r="E5763" s="24" t="inlineStr">
        <is>
          <t>担保合法且手续完整</t>
        </is>
      </c>
    </row>
    <row r="5764">
      <c r="B5764" s="24" t="inlineStr">
        <is>
          <t>LawValidity</t>
        </is>
      </c>
      <c r="C5764" s="24" t="inlineStr">
        <is>
          <t>法律有效性</t>
        </is>
      </c>
      <c r="D5764" s="24" t="inlineStr">
        <is>
          <t>020</t>
        </is>
      </c>
      <c r="E5764" s="24" t="inlineStr">
        <is>
          <t>担保合法且手续不完整</t>
        </is>
      </c>
    </row>
    <row r="5765" ht="15.95" customHeight="1" s="170">
      <c r="B5765" s="122" t="inlineStr">
        <is>
          <t>码值：SMECreditPhase</t>
        </is>
      </c>
    </row>
    <row r="5766">
      <c r="B5766" s="24" t="inlineStr">
        <is>
          <t>SMECreditPhase</t>
        </is>
      </c>
      <c r="C5766" s="24" t="inlineStr">
        <is>
          <t>行业发展阶段</t>
        </is>
      </c>
      <c r="D5766" s="24" t="inlineStr">
        <is>
          <t>01</t>
        </is>
      </c>
      <c r="E5766" s="24" t="inlineStr">
        <is>
          <t>初创期</t>
        </is>
      </c>
    </row>
    <row r="5767">
      <c r="B5767" s="24" t="inlineStr">
        <is>
          <t>SMECreditPhase</t>
        </is>
      </c>
      <c r="C5767" s="24" t="inlineStr">
        <is>
          <t>行业发展阶段</t>
        </is>
      </c>
      <c r="D5767" s="24" t="inlineStr">
        <is>
          <t>02</t>
        </is>
      </c>
      <c r="E5767" s="24" t="inlineStr">
        <is>
          <t>成长期</t>
        </is>
      </c>
    </row>
    <row r="5768">
      <c r="B5768" s="24" t="inlineStr">
        <is>
          <t>SMECreditPhase</t>
        </is>
      </c>
      <c r="C5768" s="24" t="inlineStr">
        <is>
          <t>行业发展阶段</t>
        </is>
      </c>
      <c r="D5768" s="24" t="inlineStr">
        <is>
          <t>03</t>
        </is>
      </c>
      <c r="E5768" s="24" t="inlineStr">
        <is>
          <t>成熟期</t>
        </is>
      </c>
    </row>
    <row r="5769">
      <c r="B5769" s="24" t="inlineStr">
        <is>
          <t>SMECreditPhase</t>
        </is>
      </c>
      <c r="C5769" s="24" t="inlineStr">
        <is>
          <t>行业发展阶段</t>
        </is>
      </c>
      <c r="D5769" s="24" t="inlineStr">
        <is>
          <t>04</t>
        </is>
      </c>
      <c r="E5769" s="24" t="inlineStr">
        <is>
          <t>衰退期</t>
        </is>
      </c>
    </row>
    <row r="5770" ht="15.95" customHeight="1" s="170">
      <c r="B5770" s="122" t="inlineStr">
        <is>
          <t>码值：ButtonSetPA</t>
        </is>
      </c>
    </row>
    <row r="5771">
      <c r="B5771" s="24" t="inlineStr">
        <is>
          <t>ButtonSetPA</t>
        </is>
      </c>
      <c r="C5771" s="24" t="inlineStr">
        <is>
          <t>放款阶段按钮组</t>
        </is>
      </c>
      <c r="D5771" s="24" t="inlineStr">
        <is>
          <t>backStep</t>
        </is>
      </c>
      <c r="E5771" s="24" t="inlineStr">
        <is>
          <t>回退任务</t>
        </is>
      </c>
    </row>
    <row r="5772">
      <c r="B5772" s="24" t="inlineStr">
        <is>
          <t>ButtonSetPA</t>
        </is>
      </c>
      <c r="C5772" s="24" t="inlineStr">
        <is>
          <t>放款阶段按钮组</t>
        </is>
      </c>
      <c r="D5772" s="24" t="inlineStr">
        <is>
          <t>cancelApply</t>
        </is>
      </c>
      <c r="E5772" s="24" t="inlineStr">
        <is>
          <t>取消任务</t>
        </is>
      </c>
    </row>
    <row r="5773">
      <c r="B5773" s="24" t="inlineStr">
        <is>
          <t>ButtonSetPA</t>
        </is>
      </c>
      <c r="C5773" s="24" t="inlineStr">
        <is>
          <t>放款阶段按钮组</t>
        </is>
      </c>
      <c r="D5773" s="24" t="inlineStr">
        <is>
          <t>completeTask</t>
        </is>
      </c>
      <c r="E5773" s="24" t="inlineStr">
        <is>
          <t>提交任务</t>
        </is>
      </c>
    </row>
    <row r="5774">
      <c r="B5774" s="24" t="inlineStr">
        <is>
          <t>ButtonSetPA</t>
        </is>
      </c>
      <c r="C5774" s="24" t="inlineStr">
        <is>
          <t>放款阶段按钮组</t>
        </is>
      </c>
      <c r="D5774" s="24" t="inlineStr">
        <is>
          <t>creditCheck</t>
        </is>
      </c>
      <c r="E5774" s="24" t="inlineStr">
        <is>
          <t>额度检查</t>
        </is>
      </c>
    </row>
    <row r="5775">
      <c r="B5775" s="24" t="inlineStr">
        <is>
          <t>ButtonSetPA</t>
        </is>
      </c>
      <c r="C5775" s="24" t="inlineStr">
        <is>
          <t>放款阶段按钮组</t>
        </is>
      </c>
      <c r="D5775" s="24" t="inlineStr">
        <is>
          <t>newApply</t>
        </is>
      </c>
      <c r="E5775" s="24" t="inlineStr">
        <is>
          <t>新增放贷</t>
        </is>
      </c>
    </row>
    <row r="5776">
      <c r="B5776" s="24" t="inlineStr">
        <is>
          <t>ButtonSetPA</t>
        </is>
      </c>
      <c r="C5776" s="24" t="inlineStr">
        <is>
          <t>放款阶段按钮组</t>
        </is>
      </c>
      <c r="D5776" s="24" t="inlineStr">
        <is>
          <t>newPutout</t>
        </is>
      </c>
      <c r="E5776" s="24" t="inlineStr">
        <is>
          <t>新增提用</t>
        </is>
      </c>
    </row>
    <row r="5777">
      <c r="B5777" s="24" t="inlineStr">
        <is>
          <t>ButtonSetPA</t>
        </is>
      </c>
      <c r="C5777" s="24" t="inlineStr">
        <is>
          <t>放款阶段按钮组</t>
        </is>
      </c>
      <c r="D5777" s="24" t="inlineStr">
        <is>
          <t>signOpinion</t>
        </is>
      </c>
      <c r="E5777" s="24" t="inlineStr">
        <is>
          <t>签署意见</t>
        </is>
      </c>
    </row>
    <row r="5778">
      <c r="B5778" s="24" t="inlineStr">
        <is>
          <t>ButtonSetPA</t>
        </is>
      </c>
      <c r="C5778" s="24" t="inlineStr">
        <is>
          <t>放款阶段按钮组</t>
        </is>
      </c>
      <c r="D5778" s="24" t="inlineStr">
        <is>
          <t>takeBack</t>
        </is>
      </c>
      <c r="E5778" s="24" t="inlineStr">
        <is>
          <t>撤回</t>
        </is>
      </c>
    </row>
    <row r="5779">
      <c r="B5779" s="24" t="inlineStr">
        <is>
          <t>ButtonSetPA</t>
        </is>
      </c>
      <c r="C5779" s="24" t="inlineStr">
        <is>
          <t>放款阶段按钮组</t>
        </is>
      </c>
      <c r="D5779" s="24" t="inlineStr">
        <is>
          <t>transToAfterLoan</t>
        </is>
      </c>
      <c r="E5779" s="24" t="inlineStr">
        <is>
          <t>转入贷后</t>
        </is>
      </c>
    </row>
    <row r="5780">
      <c r="B5780" s="24" t="inlineStr">
        <is>
          <t>ButtonSetPA</t>
        </is>
      </c>
      <c r="C5780" s="24" t="inlineStr">
        <is>
          <t>放款阶段按钮组</t>
        </is>
      </c>
      <c r="D5780" s="24" t="inlineStr">
        <is>
          <t>viewApply</t>
        </is>
      </c>
      <c r="E5780" s="24" t="inlineStr">
        <is>
          <t>放贷详情</t>
        </is>
      </c>
    </row>
    <row r="5781">
      <c r="B5781" s="24" t="inlineStr">
        <is>
          <t>ButtonSetPA</t>
        </is>
      </c>
      <c r="C5781" s="24" t="inlineStr">
        <is>
          <t>放款阶段按钮组</t>
        </is>
      </c>
      <c r="D5781" s="24" t="inlineStr">
        <is>
          <t>viewOpinions</t>
        </is>
      </c>
      <c r="E5781" s="24" t="inlineStr">
        <is>
          <t>查看意见</t>
        </is>
      </c>
    </row>
    <row r="5782">
      <c r="B5782" s="24" t="inlineStr">
        <is>
          <t>ButtonSetPA</t>
        </is>
      </c>
      <c r="C5782" s="24" t="inlineStr">
        <is>
          <t>放款阶段按钮组</t>
        </is>
      </c>
      <c r="D5782" s="24" t="inlineStr">
        <is>
          <t>viewPutout</t>
        </is>
      </c>
      <c r="E5782" s="24" t="inlineStr">
        <is>
          <t>提用详情</t>
        </is>
      </c>
    </row>
    <row r="5783" ht="15.95" customHeight="1" s="170">
      <c r="B5783" s="122" t="inlineStr">
        <is>
          <t>码值：ReformInstitutioanl</t>
        </is>
      </c>
    </row>
    <row r="5784">
      <c r="B5784" s="24" t="inlineStr">
        <is>
          <t>ReformInstitutioanl</t>
        </is>
      </c>
      <c r="C5784" s="24" t="inlineStr">
        <is>
          <t>信用等级评估统一导入</t>
        </is>
      </c>
      <c r="D5784" s="24" t="inlineStr">
        <is>
          <t>01</t>
        </is>
      </c>
      <c r="E5784" s="24" t="inlineStr">
        <is>
          <t>建立了完善的事业法人制度，确立了非政府，非企业的独立事业主体，制定了社会公益事业的发展目标，拥有必要的权利和财产，独立承担相应的责任</t>
        </is>
      </c>
    </row>
    <row r="5785">
      <c r="B5785" s="24" t="inlineStr">
        <is>
          <t>ReformInstitutioanl</t>
        </is>
      </c>
      <c r="C5785" s="24" t="inlineStr">
        <is>
          <t>信用等级评估统一导入</t>
        </is>
      </c>
      <c r="D5785" s="24" t="inlineStr">
        <is>
          <t>02</t>
        </is>
      </c>
      <c r="E5785" s="24" t="inlineStr">
        <is>
          <t>基本建立了完善的事业法人制度，确立了非政府，非企业的独立事业主体，制定了社会公益事业的发展目标，但产权关系还不明晰，能独立承担相应的责任</t>
        </is>
      </c>
    </row>
    <row r="5786">
      <c r="B5786" s="24" t="inlineStr">
        <is>
          <t>ReformInstitutioanl</t>
        </is>
      </c>
      <c r="C5786" s="24" t="inlineStr">
        <is>
          <t>信用等级评估统一导入</t>
        </is>
      </c>
      <c r="D5786" s="24" t="inlineStr">
        <is>
          <t>03</t>
        </is>
      </c>
      <c r="E5786" s="24" t="inlineStr">
        <is>
          <t>正在进行事业法人制度改革，逐步确立非政府，非企业的独立事业主体，正在制定社会公益事业的发展目标，但产权关系还不明晰，不能独立承担相应的责任</t>
        </is>
      </c>
    </row>
    <row r="5787">
      <c r="B5787" s="24" t="inlineStr">
        <is>
          <t>ReformInstitutioanl</t>
        </is>
      </c>
      <c r="C5787" s="24" t="inlineStr">
        <is>
          <t>信用等级评估统一导入</t>
        </is>
      </c>
      <c r="D5787" s="24" t="inlineStr">
        <is>
          <t>04</t>
        </is>
      </c>
      <c r="E5787" s="24" t="inlineStr">
        <is>
          <t>未建立事业法人制度，依然沿用过去的行政制度，产权关系混乱，没有独立的权利和财产，不能独立承担相应的责任</t>
        </is>
      </c>
    </row>
    <row r="5788" ht="15.95" customHeight="1" s="170">
      <c r="B5788" s="122" t="inlineStr">
        <is>
          <t>码值：地方产业政策</t>
        </is>
      </c>
    </row>
    <row r="5789">
      <c r="B5789" s="24" t="inlineStr">
        <is>
          <t>地方产业政策</t>
        </is>
      </c>
      <c r="C5789" s="24" t="inlineStr">
        <is>
          <t>地方产业政策</t>
        </is>
      </c>
      <c r="D5789" s="24" t="inlineStr">
        <is>
          <t>1</t>
        </is>
      </c>
      <c r="E5789" s="24" t="inlineStr">
        <is>
          <t>被当地列为支柱产业</t>
        </is>
      </c>
    </row>
    <row r="5790">
      <c r="B5790" s="24" t="inlineStr">
        <is>
          <t>地方产业政策</t>
        </is>
      </c>
      <c r="C5790" s="24" t="inlineStr">
        <is>
          <t>地方产业政策</t>
        </is>
      </c>
      <c r="D5790" s="24" t="inlineStr">
        <is>
          <t>2</t>
        </is>
      </c>
      <c r="E5790" s="24" t="inlineStr">
        <is>
          <t>一般</t>
        </is>
      </c>
    </row>
    <row r="5791" ht="15.95" customHeight="1" s="170">
      <c r="B5791" s="122" t="inlineStr">
        <is>
          <t>码值：InsuranceCompany</t>
        </is>
      </c>
    </row>
    <row r="5792">
      <c r="B5792" s="24" t="inlineStr">
        <is>
          <t>InsuranceCompany</t>
        </is>
      </c>
      <c r="C5792" s="24" t="inlineStr">
        <is>
          <t>保险机构</t>
        </is>
      </c>
      <c r="D5792" s="24" t="inlineStr">
        <is>
          <t>0010</t>
        </is>
      </c>
      <c r="E5792" s="24" t="inlineStr">
        <is>
          <t>中国人寿保险股份有限公司</t>
        </is>
      </c>
    </row>
    <row r="5793">
      <c r="B5793" s="24" t="inlineStr">
        <is>
          <t>InsuranceCompany</t>
        </is>
      </c>
      <c r="C5793" s="24" t="inlineStr">
        <is>
          <t>保险机构</t>
        </is>
      </c>
      <c r="D5793" s="24" t="inlineStr">
        <is>
          <t>0020</t>
        </is>
      </c>
      <c r="E5793" s="24" t="inlineStr">
        <is>
          <t>中国太平洋人寿保险股份有限公司</t>
        </is>
      </c>
    </row>
    <row r="5794">
      <c r="B5794" s="24" t="inlineStr">
        <is>
          <t>InsuranceCompany</t>
        </is>
      </c>
      <c r="C5794" s="24" t="inlineStr">
        <is>
          <t>保险机构</t>
        </is>
      </c>
      <c r="D5794" s="24" t="inlineStr">
        <is>
          <t>0030</t>
        </is>
      </c>
      <c r="E5794" s="24" t="inlineStr">
        <is>
          <t>泰康人寿保险股份有限公司</t>
        </is>
      </c>
    </row>
    <row r="5795">
      <c r="B5795" s="24" t="inlineStr">
        <is>
          <t>InsuranceCompany</t>
        </is>
      </c>
      <c r="C5795" s="24" t="inlineStr">
        <is>
          <t>保险机构</t>
        </is>
      </c>
      <c r="D5795" s="24" t="inlineStr">
        <is>
          <t>0040</t>
        </is>
      </c>
      <c r="E5795" s="24" t="inlineStr">
        <is>
          <t>新华人寿保险股份有限公司</t>
        </is>
      </c>
    </row>
    <row r="5796">
      <c r="B5796" s="24" t="inlineStr">
        <is>
          <t>InsuranceCompany</t>
        </is>
      </c>
      <c r="C5796" s="24" t="inlineStr">
        <is>
          <t>保险机构</t>
        </is>
      </c>
      <c r="D5796" s="24" t="inlineStr">
        <is>
          <t>0050</t>
        </is>
      </c>
      <c r="E5796" s="24" t="inlineStr">
        <is>
          <t>民生人寿保险股份有限公司</t>
        </is>
      </c>
    </row>
    <row r="5797">
      <c r="B5797" s="24" t="inlineStr">
        <is>
          <t>InsuranceCompany</t>
        </is>
      </c>
      <c r="C5797" s="24" t="inlineStr">
        <is>
          <t>保险机构</t>
        </is>
      </c>
      <c r="D5797" s="24" t="inlineStr">
        <is>
          <t>0060</t>
        </is>
      </c>
      <c r="E5797" s="24" t="inlineStr">
        <is>
          <t>中国平安人寿保险股份有限公司</t>
        </is>
      </c>
    </row>
    <row r="5798">
      <c r="B5798" s="24" t="inlineStr">
        <is>
          <t>InsuranceCompany</t>
        </is>
      </c>
      <c r="C5798" s="24" t="inlineStr">
        <is>
          <t>保险机构</t>
        </is>
      </c>
      <c r="D5798" s="24" t="inlineStr">
        <is>
          <t>0070</t>
        </is>
      </c>
      <c r="E5798" s="24" t="inlineStr">
        <is>
          <t>太平人寿保险有限公司</t>
        </is>
      </c>
    </row>
    <row r="5799">
      <c r="B5799" s="24" t="inlineStr">
        <is>
          <t>InsuranceCompany</t>
        </is>
      </c>
      <c r="C5799" s="24" t="inlineStr">
        <is>
          <t>保险机构</t>
        </is>
      </c>
      <c r="D5799" s="24" t="inlineStr">
        <is>
          <t>0080</t>
        </is>
      </c>
      <c r="E5799" s="24" t="inlineStr">
        <is>
          <t>生命人寿保险股份有限公司</t>
        </is>
      </c>
    </row>
    <row r="5800">
      <c r="B5800" s="24" t="inlineStr">
        <is>
          <t>InsuranceCompany</t>
        </is>
      </c>
      <c r="C5800" s="24" t="inlineStr">
        <is>
          <t>保险机构</t>
        </is>
      </c>
      <c r="D5800" s="24" t="inlineStr">
        <is>
          <t>0090</t>
        </is>
      </c>
      <c r="E5800" s="24" t="inlineStr">
        <is>
          <t>合众人寿保险股份有限公司</t>
        </is>
      </c>
    </row>
    <row r="5801">
      <c r="B5801" s="24" t="inlineStr">
        <is>
          <t>InsuranceCompany</t>
        </is>
      </c>
      <c r="C5801" s="24" t="inlineStr">
        <is>
          <t>保险机构</t>
        </is>
      </c>
      <c r="D5801" s="24" t="inlineStr">
        <is>
          <t>0100</t>
        </is>
      </c>
      <c r="E5801" s="24" t="inlineStr">
        <is>
          <t>长城人寿保险股份有限公司</t>
        </is>
      </c>
    </row>
    <row r="5802">
      <c r="B5802" s="24" t="inlineStr">
        <is>
          <t>InsuranceCompany</t>
        </is>
      </c>
      <c r="C5802" s="24" t="inlineStr">
        <is>
          <t>保险机构</t>
        </is>
      </c>
      <c r="D5802" s="24" t="inlineStr">
        <is>
          <t>0110</t>
        </is>
      </c>
      <c r="E5802" s="24" t="inlineStr">
        <is>
          <t>中国人民人寿保险股份有限公司</t>
        </is>
      </c>
    </row>
    <row r="5803">
      <c r="B5803" s="24" t="inlineStr">
        <is>
          <t>InsuranceCompany</t>
        </is>
      </c>
      <c r="C5803" s="24" t="inlineStr">
        <is>
          <t>保险机构</t>
        </is>
      </c>
      <c r="D5803" s="24" t="inlineStr">
        <is>
          <t>0120</t>
        </is>
      </c>
      <c r="E5803" s="24" t="inlineStr">
        <is>
          <t>中国人民健康保险股份有限公司</t>
        </is>
      </c>
    </row>
    <row r="5804">
      <c r="B5804" s="24" t="inlineStr">
        <is>
          <t>InsuranceCompany</t>
        </is>
      </c>
      <c r="C5804" s="24" t="inlineStr">
        <is>
          <t>保险机构</t>
        </is>
      </c>
      <c r="D5804" s="24" t="inlineStr">
        <is>
          <t>0130</t>
        </is>
      </c>
      <c r="E5804" s="24" t="inlineStr">
        <is>
          <t>平安健康保险股份有限公司</t>
        </is>
      </c>
    </row>
    <row r="5805">
      <c r="B5805" s="24" t="inlineStr">
        <is>
          <t>InsuranceCompany</t>
        </is>
      </c>
      <c r="C5805" s="24" t="inlineStr">
        <is>
          <t>保险机构</t>
        </is>
      </c>
      <c r="D5805" s="24" t="inlineStr">
        <is>
          <t>0140</t>
        </is>
      </c>
      <c r="E5805" s="24" t="inlineStr">
        <is>
          <t>太平养老保险股份有限公司</t>
        </is>
      </c>
    </row>
    <row r="5806">
      <c r="B5806" s="24" t="inlineStr">
        <is>
          <t>InsuranceCompany</t>
        </is>
      </c>
      <c r="C5806" s="24" t="inlineStr">
        <is>
          <t>保险机构</t>
        </is>
      </c>
      <c r="D5806" s="24" t="inlineStr">
        <is>
          <t>0150</t>
        </is>
      </c>
      <c r="E5806" s="24" t="inlineStr">
        <is>
          <t>平安养老保险股份有限公司</t>
        </is>
      </c>
    </row>
    <row r="5807">
      <c r="B5807" s="24" t="inlineStr">
        <is>
          <t>InsuranceCompany</t>
        </is>
      </c>
      <c r="C5807" s="24" t="inlineStr">
        <is>
          <t>保险机构</t>
        </is>
      </c>
      <c r="D5807" s="24" t="inlineStr">
        <is>
          <t>0160</t>
        </is>
      </c>
      <c r="E5807" s="24" t="inlineStr">
        <is>
          <t>信诚人寿保险股份公司</t>
        </is>
      </c>
    </row>
    <row r="5808">
      <c r="B5808" s="24" t="inlineStr">
        <is>
          <t>InsuranceCompany</t>
        </is>
      </c>
      <c r="C5808" s="24" t="inlineStr">
        <is>
          <t>保险机构</t>
        </is>
      </c>
      <c r="D5808" s="24" t="inlineStr">
        <is>
          <t>0170</t>
        </is>
      </c>
      <c r="E5808" s="24" t="inlineStr">
        <is>
          <t>华泰人寿保险股份有限公司</t>
        </is>
      </c>
    </row>
    <row r="5809">
      <c r="B5809" s="24" t="inlineStr">
        <is>
          <t>InsuranceCompany</t>
        </is>
      </c>
      <c r="C5809" s="24" t="inlineStr">
        <is>
          <t>保险机构</t>
        </is>
      </c>
      <c r="D5809" s="24" t="inlineStr">
        <is>
          <t>0180</t>
        </is>
      </c>
      <c r="E5809" s="24" t="inlineStr">
        <is>
          <t>正德人寿保险股份有限公司</t>
        </is>
      </c>
    </row>
    <row r="5810">
      <c r="B5810" s="24" t="inlineStr">
        <is>
          <t>InsuranceCompany</t>
        </is>
      </c>
      <c r="C5810" s="24" t="inlineStr">
        <is>
          <t>保险机构</t>
        </is>
      </c>
      <c r="D5810" s="24" t="inlineStr">
        <is>
          <t>0190</t>
        </is>
      </c>
      <c r="E5810" s="24" t="inlineStr">
        <is>
          <t>嘉禾人寿保险股份有限公司</t>
        </is>
      </c>
    </row>
    <row r="5811">
      <c r="B5811" s="24" t="inlineStr">
        <is>
          <t>InsuranceCompany</t>
        </is>
      </c>
      <c r="C5811" s="24" t="inlineStr">
        <is>
          <t>保险机构</t>
        </is>
      </c>
      <c r="D5811" s="24" t="inlineStr">
        <is>
          <t>0200</t>
        </is>
      </c>
      <c r="E5811" s="24" t="inlineStr">
        <is>
          <t>信泰人寿保险股份有限公司</t>
        </is>
      </c>
    </row>
    <row r="5812">
      <c r="B5812" s="24" t="inlineStr">
        <is>
          <t>InsuranceCompany</t>
        </is>
      </c>
      <c r="C5812" s="24" t="inlineStr">
        <is>
          <t>保险机构</t>
        </is>
      </c>
      <c r="D5812" s="24" t="inlineStr">
        <is>
          <t>0210</t>
        </is>
      </c>
      <c r="E5812" s="24" t="inlineStr">
        <is>
          <t>瑞福德健康保险股份有限公司</t>
        </is>
      </c>
    </row>
    <row r="5813">
      <c r="B5813" s="24" t="inlineStr">
        <is>
          <t>InsuranceCompany</t>
        </is>
      </c>
      <c r="C5813" s="24" t="inlineStr">
        <is>
          <t>保险机构</t>
        </is>
      </c>
      <c r="D5813" s="24" t="inlineStr">
        <is>
          <t>0220</t>
        </is>
      </c>
      <c r="E5813" s="24" t="inlineStr">
        <is>
          <t>泰康养老保险股份有限公司</t>
        </is>
      </c>
    </row>
    <row r="5814">
      <c r="B5814" s="24" t="inlineStr">
        <is>
          <t>InsuranceCompany</t>
        </is>
      </c>
      <c r="C5814" s="24" t="inlineStr">
        <is>
          <t>保险机构</t>
        </is>
      </c>
      <c r="D5814" s="24" t="inlineStr">
        <is>
          <t>0240</t>
        </is>
      </c>
      <c r="E5814" s="24" t="inlineStr">
        <is>
          <t>中国人寿养老保险股份有限公司</t>
        </is>
      </c>
    </row>
    <row r="5815">
      <c r="B5815" s="24" t="inlineStr">
        <is>
          <t>InsuranceCompany</t>
        </is>
      </c>
      <c r="C5815" s="24" t="inlineStr">
        <is>
          <t>保险机构</t>
        </is>
      </c>
      <c r="D5815" s="24" t="inlineStr">
        <is>
          <t>0250</t>
        </is>
      </c>
      <c r="E5815" s="24" t="inlineStr">
        <is>
          <t>长江养老保险股份有限公司</t>
        </is>
      </c>
    </row>
    <row r="5816">
      <c r="B5816" s="24" t="inlineStr">
        <is>
          <t>InsuranceCompany</t>
        </is>
      </c>
      <c r="C5816" s="24" t="inlineStr">
        <is>
          <t>保险机构</t>
        </is>
      </c>
      <c r="D5816" s="24" t="inlineStr">
        <is>
          <t>0260</t>
        </is>
      </c>
      <c r="E5816" s="24" t="inlineStr">
        <is>
          <t>中国人寿保险(海外)股份有限公司</t>
        </is>
      </c>
    </row>
    <row r="5817">
      <c r="B5817" s="24" t="inlineStr">
        <is>
          <t>InsuranceCompany</t>
        </is>
      </c>
      <c r="C5817" s="24" t="inlineStr">
        <is>
          <t>保险机构</t>
        </is>
      </c>
      <c r="D5817" s="24" t="inlineStr">
        <is>
          <t>0270</t>
        </is>
      </c>
      <c r="E5817" s="24" t="inlineStr">
        <is>
          <t>华夏人寿保险股份有限公司</t>
        </is>
      </c>
    </row>
    <row r="5818">
      <c r="B5818" s="24" t="inlineStr">
        <is>
          <t>InsuranceCompany</t>
        </is>
      </c>
      <c r="C5818" s="24" t="inlineStr">
        <is>
          <t>保险机构</t>
        </is>
      </c>
      <c r="D5818" s="24" t="inlineStr">
        <is>
          <t>0280</t>
        </is>
      </c>
      <c r="E5818" s="24" t="inlineStr">
        <is>
          <t>国泰人寿保险有限责任公司</t>
        </is>
      </c>
    </row>
    <row r="5819">
      <c r="B5819" s="24" t="inlineStr">
        <is>
          <t>InsuranceCompany</t>
        </is>
      </c>
      <c r="C5819" s="24" t="inlineStr">
        <is>
          <t>保险机构</t>
        </is>
      </c>
      <c r="D5819" s="24" t="inlineStr">
        <is>
          <t>0290</t>
        </is>
      </c>
      <c r="E5819" s="24" t="inlineStr">
        <is>
          <t>金盛人寿保险有限公司</t>
        </is>
      </c>
    </row>
    <row r="5820">
      <c r="B5820" s="24" t="inlineStr">
        <is>
          <t>InsuranceCompany</t>
        </is>
      </c>
      <c r="C5820" s="24" t="inlineStr">
        <is>
          <t>保险机构</t>
        </is>
      </c>
      <c r="D5820" s="24" t="inlineStr">
        <is>
          <t>0300</t>
        </is>
      </c>
      <c r="E5820" s="24" t="inlineStr">
        <is>
          <t>中宏人寿保险有限公司</t>
        </is>
      </c>
    </row>
    <row r="5821">
      <c r="B5821" s="24" t="inlineStr">
        <is>
          <t>InsuranceCompany</t>
        </is>
      </c>
      <c r="C5821" s="24" t="inlineStr">
        <is>
          <t>保险机构</t>
        </is>
      </c>
      <c r="D5821" s="24" t="inlineStr">
        <is>
          <t>0310</t>
        </is>
      </c>
      <c r="E5821" s="24" t="inlineStr">
        <is>
          <t>太平洋安泰人寿保险有限公司</t>
        </is>
      </c>
    </row>
    <row r="5822">
      <c r="B5822" s="24" t="inlineStr">
        <is>
          <t>InsuranceCompany</t>
        </is>
      </c>
      <c r="C5822" s="24" t="inlineStr">
        <is>
          <t>保险机构</t>
        </is>
      </c>
      <c r="D5822" s="24" t="inlineStr">
        <is>
          <t>0320</t>
        </is>
      </c>
      <c r="E5822" s="24" t="inlineStr">
        <is>
          <t>中德安联人寿保险有限公司</t>
        </is>
      </c>
    </row>
    <row r="5823">
      <c r="B5823" s="24" t="inlineStr">
        <is>
          <t>InsuranceCompany</t>
        </is>
      </c>
      <c r="C5823" s="24" t="inlineStr">
        <is>
          <t>保险机构</t>
        </is>
      </c>
      <c r="D5823" s="24" t="inlineStr">
        <is>
          <t>0330</t>
        </is>
      </c>
      <c r="E5823" s="24" t="inlineStr">
        <is>
          <t>美国友邦保险有限公司上海分公司</t>
        </is>
      </c>
    </row>
    <row r="5824">
      <c r="B5824" s="24" t="inlineStr">
        <is>
          <t>InsuranceCompany</t>
        </is>
      </c>
      <c r="C5824" s="24" t="inlineStr">
        <is>
          <t>保险机构</t>
        </is>
      </c>
      <c r="D5824" s="24" t="inlineStr">
        <is>
          <t>0340</t>
        </is>
      </c>
      <c r="E5824" s="24" t="inlineStr">
        <is>
          <t>光大永明人寿保险有限公司</t>
        </is>
      </c>
    </row>
    <row r="5825">
      <c r="B5825" s="24" t="inlineStr">
        <is>
          <t>InsuranceCompany</t>
        </is>
      </c>
      <c r="C5825" s="24" t="inlineStr">
        <is>
          <t>保险机构</t>
        </is>
      </c>
      <c r="D5825" s="24" t="inlineStr">
        <is>
          <t>0350</t>
        </is>
      </c>
      <c r="E5825" s="24" t="inlineStr">
        <is>
          <t>海尔纽约人寿保险有限公司</t>
        </is>
      </c>
    </row>
    <row r="5826">
      <c r="B5826" s="24" t="inlineStr">
        <is>
          <t>InsuranceCompany</t>
        </is>
      </c>
      <c r="C5826" s="24" t="inlineStr">
        <is>
          <t>保险机构</t>
        </is>
      </c>
      <c r="D5826" s="24" t="inlineStr">
        <is>
          <t>0360</t>
        </is>
      </c>
      <c r="E5826" s="24" t="inlineStr">
        <is>
          <t>联泰大都会人寿保险有限公司</t>
        </is>
      </c>
    </row>
    <row r="5827">
      <c r="B5827" s="24" t="inlineStr">
        <is>
          <t>InsuranceCompany</t>
        </is>
      </c>
      <c r="C5827" s="24" t="inlineStr">
        <is>
          <t>保险机构</t>
        </is>
      </c>
      <c r="D5827" s="24" t="inlineStr">
        <is>
          <t>0370</t>
        </is>
      </c>
      <c r="E5827" s="24" t="inlineStr">
        <is>
          <t>中新大东方人寿保险有限公司</t>
        </is>
      </c>
    </row>
    <row r="5828">
      <c r="B5828" s="24" t="inlineStr">
        <is>
          <t>InsuranceCompany</t>
        </is>
      </c>
      <c r="C5828" s="24" t="inlineStr">
        <is>
          <t>保险机构</t>
        </is>
      </c>
      <c r="D5828" s="24" t="inlineStr">
        <is>
          <t>0380</t>
        </is>
      </c>
      <c r="E5828" s="24" t="inlineStr">
        <is>
          <t>中意人寿保险有限公司</t>
        </is>
      </c>
    </row>
    <row r="5829">
      <c r="B5829" s="24" t="inlineStr">
        <is>
          <t>InsuranceCompany</t>
        </is>
      </c>
      <c r="C5829" s="24" t="inlineStr">
        <is>
          <t>保险机构</t>
        </is>
      </c>
      <c r="D5829" s="24" t="inlineStr">
        <is>
          <t>0390</t>
        </is>
      </c>
      <c r="E5829" s="24" t="inlineStr">
        <is>
          <t>首创安泰人寿保险有限公司</t>
        </is>
      </c>
    </row>
    <row r="5830">
      <c r="B5830" s="24" t="inlineStr">
        <is>
          <t>InsuranceCompany</t>
        </is>
      </c>
      <c r="C5830" s="24" t="inlineStr">
        <is>
          <t>保险机构</t>
        </is>
      </c>
      <c r="D5830" s="24" t="inlineStr">
        <is>
          <t>0400</t>
        </is>
      </c>
      <c r="E5830" s="24" t="inlineStr">
        <is>
          <t>中英人寿保险有限公司</t>
        </is>
      </c>
    </row>
    <row r="5831">
      <c r="B5831" s="24" t="inlineStr">
        <is>
          <t>InsuranceCompany</t>
        </is>
      </c>
      <c r="C5831" s="24" t="inlineStr">
        <is>
          <t>保险机构</t>
        </is>
      </c>
      <c r="D5831" s="24" t="inlineStr">
        <is>
          <t>0410</t>
        </is>
      </c>
      <c r="E5831" s="24" t="inlineStr">
        <is>
          <t>瑞泰人寿保险有限公司</t>
        </is>
      </c>
    </row>
    <row r="5832">
      <c r="B5832" s="24" t="inlineStr">
        <is>
          <t>InsuranceCompany</t>
        </is>
      </c>
      <c r="C5832" s="24" t="inlineStr">
        <is>
          <t>保险机构</t>
        </is>
      </c>
      <c r="D5832" s="24" t="inlineStr">
        <is>
          <t>0420</t>
        </is>
      </c>
      <c r="E5832" s="24" t="inlineStr">
        <is>
          <t>招商信诺人寿保险有限公司</t>
        </is>
      </c>
    </row>
    <row r="5833">
      <c r="B5833" s="24" t="inlineStr">
        <is>
          <t>InsuranceCompany</t>
        </is>
      </c>
      <c r="C5833" s="24" t="inlineStr">
        <is>
          <t>保险机构</t>
        </is>
      </c>
      <c r="D5833" s="24" t="inlineStr">
        <is>
          <t>0430</t>
        </is>
      </c>
      <c r="E5833" s="24" t="inlineStr">
        <is>
          <t>中法人寿保险有限责任公司</t>
        </is>
      </c>
    </row>
    <row r="5834">
      <c r="B5834" s="24" t="inlineStr">
        <is>
          <t>InsuranceCompany</t>
        </is>
      </c>
      <c r="C5834" s="24" t="inlineStr">
        <is>
          <t>保险机构</t>
        </is>
      </c>
      <c r="D5834" s="24" t="inlineStr">
        <is>
          <t>0440</t>
        </is>
      </c>
      <c r="E5834" s="24" t="inlineStr">
        <is>
          <t>恒安标准人寿保险有限公司</t>
        </is>
      </c>
    </row>
    <row r="5835">
      <c r="B5835" s="24" t="inlineStr">
        <is>
          <t>InsuranceCompany</t>
        </is>
      </c>
      <c r="C5835" s="24" t="inlineStr">
        <is>
          <t>保险机构</t>
        </is>
      </c>
      <c r="D5835" s="24" t="inlineStr">
        <is>
          <t>0450</t>
        </is>
      </c>
      <c r="E5835" s="24" t="inlineStr">
        <is>
          <t>海康人寿保险有限公司</t>
        </is>
      </c>
    </row>
    <row r="5836">
      <c r="B5836" s="24" t="inlineStr">
        <is>
          <t>InsuranceCompany</t>
        </is>
      </c>
      <c r="C5836" s="24" t="inlineStr">
        <is>
          <t>保险机构</t>
        </is>
      </c>
      <c r="D5836" s="24" t="inlineStr">
        <is>
          <t>9990</t>
        </is>
      </c>
      <c r="E5836" s="24" t="inlineStr">
        <is>
          <t>其他</t>
        </is>
      </c>
    </row>
    <row r="5837" ht="15.95" customHeight="1" s="170">
      <c r="B5837" s="122" t="inlineStr">
        <is>
          <t>码值：OccurPhase</t>
        </is>
      </c>
    </row>
    <row r="5838">
      <c r="B5838" s="24" t="inlineStr">
        <is>
          <t>OccurPhase</t>
        </is>
      </c>
      <c r="C5838" s="24" t="inlineStr">
        <is>
          <t>费用发生阶段</t>
        </is>
      </c>
      <c r="D5838" s="24" t="inlineStr">
        <is>
          <t>01</t>
        </is>
      </c>
      <c r="E5838" s="24" t="inlineStr">
        <is>
          <t>诉前</t>
        </is>
      </c>
    </row>
    <row r="5839">
      <c r="B5839" s="24" t="inlineStr">
        <is>
          <t>OccurPhase</t>
        </is>
      </c>
      <c r="C5839" s="24" t="inlineStr">
        <is>
          <t>费用发生阶段</t>
        </is>
      </c>
      <c r="D5839" s="24" t="inlineStr">
        <is>
          <t>02</t>
        </is>
      </c>
      <c r="E5839" s="24" t="inlineStr">
        <is>
          <t>一审</t>
        </is>
      </c>
    </row>
    <row r="5840">
      <c r="B5840" s="24" t="inlineStr">
        <is>
          <t>OccurPhase</t>
        </is>
      </c>
      <c r="C5840" s="24" t="inlineStr">
        <is>
          <t>费用发生阶段</t>
        </is>
      </c>
      <c r="D5840" s="24" t="inlineStr">
        <is>
          <t>03</t>
        </is>
      </c>
      <c r="E5840" s="24" t="inlineStr">
        <is>
          <t>二审</t>
        </is>
      </c>
    </row>
    <row r="5841">
      <c r="B5841" s="24" t="inlineStr">
        <is>
          <t>OccurPhase</t>
        </is>
      </c>
      <c r="C5841" s="24" t="inlineStr">
        <is>
          <t>费用发生阶段</t>
        </is>
      </c>
      <c r="D5841" s="24" t="inlineStr">
        <is>
          <t>04</t>
        </is>
      </c>
      <c r="E5841" s="24" t="inlineStr">
        <is>
          <t>再审</t>
        </is>
      </c>
    </row>
    <row r="5842">
      <c r="B5842" s="24" t="inlineStr">
        <is>
          <t>OccurPhase</t>
        </is>
      </c>
      <c r="C5842" s="24" t="inlineStr">
        <is>
          <t>费用发生阶段</t>
        </is>
      </c>
      <c r="D5842" s="24" t="inlineStr">
        <is>
          <t>05</t>
        </is>
      </c>
      <c r="E5842" s="24" t="inlineStr">
        <is>
          <t>执行</t>
        </is>
      </c>
    </row>
    <row r="5843" ht="15.95" customHeight="1" s="170">
      <c r="B5843" s="122" t="inlineStr">
        <is>
          <t>码值：FundsProvided</t>
        </is>
      </c>
    </row>
    <row r="5844">
      <c r="B5844" s="24" t="inlineStr">
        <is>
          <t>FundsProvided</t>
        </is>
      </c>
      <c r="C5844" s="24" t="inlineStr">
        <is>
          <t>资金来源</t>
        </is>
      </c>
      <c r="D5844" s="24" t="inlineStr">
        <is>
          <t>010</t>
        </is>
      </c>
      <c r="E5844" s="24" t="inlineStr">
        <is>
          <t>自有资金</t>
        </is>
      </c>
    </row>
    <row r="5845">
      <c r="B5845" s="24" t="inlineStr">
        <is>
          <t>FundsProvided</t>
        </is>
      </c>
      <c r="C5845" s="24" t="inlineStr">
        <is>
          <t>资金来源</t>
        </is>
      </c>
      <c r="D5845" s="24" t="inlineStr">
        <is>
          <t>020</t>
        </is>
      </c>
      <c r="E5845" s="24" t="inlineStr">
        <is>
          <t>借款</t>
        </is>
      </c>
    </row>
    <row r="5846">
      <c r="B5846" s="24" t="inlineStr">
        <is>
          <t>FundsProvided</t>
        </is>
      </c>
      <c r="C5846" s="24" t="inlineStr">
        <is>
          <t>资金来源</t>
        </is>
      </c>
      <c r="D5846" s="24" t="inlineStr">
        <is>
          <t>030</t>
        </is>
      </c>
      <c r="E5846" s="24" t="inlineStr">
        <is>
          <t>其它</t>
        </is>
      </c>
    </row>
    <row r="5847" ht="15.95" customHeight="1" s="170">
      <c r="B5847" s="122" t="inlineStr">
        <is>
          <t>码值：PutOutApplyMain</t>
        </is>
      </c>
    </row>
    <row r="5848">
      <c r="B5848" s="24" t="inlineStr">
        <is>
          <t>PutOutApplyMain</t>
        </is>
      </c>
      <c r="C5848" s="24" t="inlineStr">
        <is>
          <t>出账管理主树图</t>
        </is>
      </c>
      <c r="D5848" s="24" t="inlineStr">
        <is>
          <t>10</t>
        </is>
      </c>
      <c r="E5848" s="24" t="inlineStr">
        <is>
          <t>树型菜单中文名称</t>
        </is>
      </c>
    </row>
    <row r="5849">
      <c r="B5849" s="24" t="inlineStr">
        <is>
          <t>PutOutApplyMain</t>
        </is>
      </c>
      <c r="C5849" s="24" t="inlineStr">
        <is>
          <t>出账管理主树图</t>
        </is>
      </c>
      <c r="D5849" s="24" t="inlineStr">
        <is>
          <t>1010</t>
        </is>
      </c>
      <c r="E5849" s="24" t="inlineStr">
        <is>
          <t>待提交审核的放贷</t>
        </is>
      </c>
    </row>
    <row r="5850">
      <c r="B5850" s="24" t="inlineStr">
        <is>
          <t>PutOutApplyMain</t>
        </is>
      </c>
      <c r="C5850" s="24" t="inlineStr">
        <is>
          <t>出账管理主树图</t>
        </is>
      </c>
      <c r="D5850" s="24" t="inlineStr">
        <is>
          <t>1020</t>
        </is>
      </c>
      <c r="E5850" s="24" t="inlineStr">
        <is>
          <t>审核复核中放贷</t>
        </is>
      </c>
    </row>
    <row r="5851">
      <c r="B5851" s="24" t="inlineStr">
        <is>
          <t>PutOutApplyMain</t>
        </is>
      </c>
      <c r="C5851" s="24" t="inlineStr">
        <is>
          <t>出账管理主树图</t>
        </is>
      </c>
      <c r="D5851" s="24" t="inlineStr">
        <is>
          <t>1030</t>
        </is>
      </c>
      <c r="E5851" s="24" t="inlineStr">
        <is>
          <t>退回补充资料的放贷</t>
        </is>
      </c>
    </row>
    <row r="5852">
      <c r="B5852" s="24" t="inlineStr">
        <is>
          <t>PutOutApplyMain</t>
        </is>
      </c>
      <c r="C5852" s="24" t="inlineStr">
        <is>
          <t>出账管理主树图</t>
        </is>
      </c>
      <c r="D5852" s="24" t="inlineStr">
        <is>
          <t>1040</t>
        </is>
      </c>
      <c r="E5852" s="24" t="inlineStr">
        <is>
          <t>复核通过的放贷</t>
        </is>
      </c>
    </row>
    <row r="5853">
      <c r="B5853" s="24" t="inlineStr">
        <is>
          <t>PutOutApplyMain</t>
        </is>
      </c>
      <c r="C5853" s="24" t="inlineStr">
        <is>
          <t>出账管理主树图</t>
        </is>
      </c>
      <c r="D5853" s="24" t="inlineStr">
        <is>
          <t>1060</t>
        </is>
      </c>
      <c r="E5853" s="24" t="inlineStr">
        <is>
          <t>已归档放贷</t>
        </is>
      </c>
    </row>
    <row r="5854" ht="15.95" customHeight="1" s="170">
      <c r="B5854" s="122" t="inlineStr">
        <is>
          <t>码值：STREETSTATUS</t>
        </is>
      </c>
    </row>
    <row r="5855">
      <c r="B5855" s="24" t="inlineStr">
        <is>
          <t>STREETSTATUS</t>
        </is>
      </c>
      <c r="C5855" s="24" t="inlineStr">
        <is>
          <t>临街状况</t>
        </is>
      </c>
      <c r="D5855" s="24" t="inlineStr">
        <is>
          <t>01</t>
        </is>
      </c>
      <c r="E5855" s="24" t="inlineStr">
        <is>
          <t>繁华商业区</t>
        </is>
      </c>
    </row>
    <row r="5856">
      <c r="B5856" s="24" t="inlineStr">
        <is>
          <t>STREETSTATUS</t>
        </is>
      </c>
      <c r="C5856" s="24" t="inlineStr">
        <is>
          <t>临街状况</t>
        </is>
      </c>
      <c r="D5856" s="24" t="inlineStr">
        <is>
          <t>02</t>
        </is>
      </c>
      <c r="E5856" s="24" t="inlineStr">
        <is>
          <t>普通地段</t>
        </is>
      </c>
    </row>
    <row r="5857">
      <c r="B5857" s="24" t="inlineStr">
        <is>
          <t>STREETSTATUS</t>
        </is>
      </c>
      <c r="C5857" s="24" t="inlineStr">
        <is>
          <t>临街状况</t>
        </is>
      </c>
      <c r="D5857" s="24" t="inlineStr">
        <is>
          <t>03</t>
        </is>
      </c>
      <c r="E5857" s="24" t="inlineStr">
        <is>
          <t>偏远地段</t>
        </is>
      </c>
    </row>
    <row r="5858" ht="15.95" customHeight="1" s="170">
      <c r="B5858" s="122" t="inlineStr">
        <is>
          <t>码值：SubjectCategory</t>
        </is>
      </c>
    </row>
    <row r="5859">
      <c r="B5859" s="24" t="inlineStr">
        <is>
          <t>SubjectCategory</t>
        </is>
      </c>
      <c r="C5859" s="24" t="inlineStr">
        <is>
          <t>科目类别</t>
        </is>
      </c>
      <c r="D5859" s="24" t="inlineStr">
        <is>
          <t>事业单位收入支出类</t>
        </is>
      </c>
      <c r="E5859" s="24" t="inlineStr">
        <is>
          <t>事业单位收入支出类</t>
        </is>
      </c>
    </row>
    <row r="5860">
      <c r="B5860" s="24" t="inlineStr">
        <is>
          <t>SubjectCategory</t>
        </is>
      </c>
      <c r="C5860" s="24" t="inlineStr">
        <is>
          <t>科目类别</t>
        </is>
      </c>
      <c r="D5860" s="24" t="inlineStr">
        <is>
          <t>共同类</t>
        </is>
      </c>
      <c r="E5860" s="24" t="inlineStr">
        <is>
          <t>共同类</t>
        </is>
      </c>
    </row>
    <row r="5861">
      <c r="B5861" s="24" t="inlineStr">
        <is>
          <t>SubjectCategory</t>
        </is>
      </c>
      <c r="C5861" s="24" t="inlineStr">
        <is>
          <t>科目类别</t>
        </is>
      </c>
      <c r="D5861" s="24" t="inlineStr">
        <is>
          <t>成本类</t>
        </is>
      </c>
      <c r="E5861" s="24" t="inlineStr">
        <is>
          <t>成本类</t>
        </is>
      </c>
    </row>
    <row r="5862">
      <c r="B5862" s="24" t="inlineStr">
        <is>
          <t>SubjectCategory</t>
        </is>
      </c>
      <c r="C5862" s="24" t="inlineStr">
        <is>
          <t>科目类别</t>
        </is>
      </c>
      <c r="D5862" s="24" t="inlineStr">
        <is>
          <t>所有者权益类</t>
        </is>
      </c>
      <c r="E5862" s="24" t="inlineStr">
        <is>
          <t>所有者权益类</t>
        </is>
      </c>
    </row>
    <row r="5863">
      <c r="B5863" s="24" t="inlineStr">
        <is>
          <t>SubjectCategory</t>
        </is>
      </c>
      <c r="C5863" s="24" t="inlineStr">
        <is>
          <t>科目类别</t>
        </is>
      </c>
      <c r="D5863" s="24" t="inlineStr">
        <is>
          <t>损益类</t>
        </is>
      </c>
      <c r="E5863" s="24" t="inlineStr">
        <is>
          <t>损益类</t>
        </is>
      </c>
    </row>
    <row r="5864">
      <c r="B5864" s="24" t="inlineStr">
        <is>
          <t>SubjectCategory</t>
        </is>
      </c>
      <c r="C5864" s="24" t="inlineStr">
        <is>
          <t>科目类别</t>
        </is>
      </c>
      <c r="D5864" s="24" t="inlineStr">
        <is>
          <t>现金流量类</t>
        </is>
      </c>
      <c r="E5864" s="24" t="inlineStr">
        <is>
          <t>现金流量类</t>
        </is>
      </c>
    </row>
    <row r="5865">
      <c r="B5865" s="24" t="inlineStr">
        <is>
          <t>SubjectCategory</t>
        </is>
      </c>
      <c r="C5865" s="24" t="inlineStr">
        <is>
          <t>科目类别</t>
        </is>
      </c>
      <c r="D5865" s="24" t="inlineStr">
        <is>
          <t>负债类</t>
        </is>
      </c>
      <c r="E5865" s="24" t="inlineStr">
        <is>
          <t>负债类</t>
        </is>
      </c>
    </row>
    <row r="5866">
      <c r="B5866" s="24" t="inlineStr">
        <is>
          <t>SubjectCategory</t>
        </is>
      </c>
      <c r="C5866" s="24" t="inlineStr">
        <is>
          <t>科目类别</t>
        </is>
      </c>
      <c r="D5866" s="24" t="inlineStr">
        <is>
          <t>财务指标类</t>
        </is>
      </c>
      <c r="E5866" s="24" t="inlineStr">
        <is>
          <t>财务指标类</t>
        </is>
      </c>
    </row>
    <row r="5867">
      <c r="B5867" s="24" t="inlineStr">
        <is>
          <t>SubjectCategory</t>
        </is>
      </c>
      <c r="C5867" s="24" t="inlineStr">
        <is>
          <t>科目类别</t>
        </is>
      </c>
      <c r="D5867" s="24" t="inlineStr">
        <is>
          <t>资产类</t>
        </is>
      </c>
      <c r="E5867" s="24" t="inlineStr">
        <is>
          <t>资产类</t>
        </is>
      </c>
    </row>
    <row r="5868" ht="15.95" customHeight="1" s="170">
      <c r="B5868" s="122" t="inlineStr">
        <is>
          <t>码值：ChangeType</t>
        </is>
      </c>
    </row>
    <row r="5869">
      <c r="B5869" s="24" t="inlineStr">
        <is>
          <t>ChangeType</t>
        </is>
      </c>
      <c r="C5869" s="24" t="inlineStr">
        <is>
          <t>变更类型</t>
        </is>
      </c>
      <c r="D5869" s="24" t="inlineStr">
        <is>
          <t>010</t>
        </is>
      </c>
      <c r="E5869" s="24" t="inlineStr">
        <is>
          <t>价值变更</t>
        </is>
      </c>
    </row>
    <row r="5870">
      <c r="B5870" s="24" t="inlineStr">
        <is>
          <t>ChangeType</t>
        </is>
      </c>
      <c r="C5870" s="24" t="inlineStr">
        <is>
          <t>变更类型</t>
        </is>
      </c>
      <c r="D5870" s="24" t="inlineStr">
        <is>
          <t>020</t>
        </is>
      </c>
      <c r="E5870" s="24" t="inlineStr">
        <is>
          <t>信息变更</t>
        </is>
      </c>
    </row>
    <row r="5871">
      <c r="B5871" s="24" t="inlineStr">
        <is>
          <t>ChangeType</t>
        </is>
      </c>
      <c r="C5871" s="24" t="inlineStr">
        <is>
          <t>变更类型</t>
        </is>
      </c>
      <c r="D5871" s="24" t="inlineStr">
        <is>
          <t>030</t>
        </is>
      </c>
      <c r="E5871" s="24" t="inlineStr">
        <is>
          <t>他项权证变更</t>
        </is>
      </c>
    </row>
    <row r="5872" ht="15.95" customHeight="1" s="170">
      <c r="B5872" s="122" t="inlineStr">
        <is>
          <t>码值：DisplayMethod</t>
        </is>
      </c>
    </row>
    <row r="5873">
      <c r="B5873" s="24" t="inlineStr">
        <is>
          <t>DisplayMethod</t>
        </is>
      </c>
      <c r="C5873" s="24" t="inlineStr">
        <is>
          <t>报表显示属性</t>
        </is>
      </c>
      <c r="D5873" s="24" t="inlineStr">
        <is>
          <t>1</t>
        </is>
      </c>
      <c r="E5873" s="24" t="inlineStr">
        <is>
          <t>单列双值</t>
        </is>
      </c>
    </row>
    <row r="5874">
      <c r="B5874" s="24" t="inlineStr">
        <is>
          <t>DisplayMethod</t>
        </is>
      </c>
      <c r="C5874" s="24" t="inlineStr">
        <is>
          <t>报表显示属性</t>
        </is>
      </c>
      <c r="D5874" s="24" t="inlineStr">
        <is>
          <t>2</t>
        </is>
      </c>
      <c r="E5874" s="24" t="inlineStr">
        <is>
          <t>双列双值</t>
        </is>
      </c>
    </row>
    <row r="5875">
      <c r="B5875" s="24" t="inlineStr">
        <is>
          <t>DisplayMethod</t>
        </is>
      </c>
      <c r="C5875" s="24" t="inlineStr">
        <is>
          <t>报表显示属性</t>
        </is>
      </c>
      <c r="D5875" s="24" t="inlineStr">
        <is>
          <t>3</t>
        </is>
      </c>
      <c r="E5875" s="24" t="inlineStr">
        <is>
          <t>单列单值</t>
        </is>
      </c>
    </row>
    <row r="5876" ht="15.95" customHeight="1" s="170">
      <c r="B5876" s="122" t="inlineStr">
        <is>
          <t>码值：TransStatus</t>
        </is>
      </c>
    </row>
    <row r="5877">
      <c r="B5877" s="24" t="inlineStr">
        <is>
          <t>TransStatus</t>
        </is>
      </c>
      <c r="C5877" s="24" t="inlineStr">
        <is>
          <t>交易状态</t>
        </is>
      </c>
      <c r="D5877" s="24" t="inlineStr">
        <is>
          <t>0</t>
        </is>
      </c>
      <c r="E5877" s="24" t="inlineStr">
        <is>
          <t>待处理</t>
        </is>
      </c>
    </row>
    <row r="5878">
      <c r="B5878" s="24" t="inlineStr">
        <is>
          <t>TransStatus</t>
        </is>
      </c>
      <c r="C5878" s="24" t="inlineStr">
        <is>
          <t>交易状态</t>
        </is>
      </c>
      <c r="D5878" s="24" t="inlineStr">
        <is>
          <t>1</t>
        </is>
      </c>
      <c r="E5878" s="24" t="inlineStr">
        <is>
          <t>已执行</t>
        </is>
      </c>
    </row>
    <row r="5879">
      <c r="B5879" s="24" t="inlineStr">
        <is>
          <t>TransStatus</t>
        </is>
      </c>
      <c r="C5879" s="24" t="inlineStr">
        <is>
          <t>交易状态</t>
        </is>
      </c>
      <c r="D5879" s="24" t="inlineStr">
        <is>
          <t>2</t>
        </is>
      </c>
      <c r="E5879" s="24" t="inlineStr">
        <is>
          <t>已反冲</t>
        </is>
      </c>
    </row>
    <row r="5880">
      <c r="B5880" s="24" t="inlineStr">
        <is>
          <t>TransStatus</t>
        </is>
      </c>
      <c r="C5880" s="24" t="inlineStr">
        <is>
          <t>交易状态</t>
        </is>
      </c>
      <c r="D5880" s="24" t="inlineStr">
        <is>
          <t>3</t>
        </is>
      </c>
      <c r="E5880" s="24" t="inlineStr">
        <is>
          <t>待执行</t>
        </is>
      </c>
    </row>
    <row r="5881">
      <c r="B5881" s="24" t="inlineStr">
        <is>
          <t>TransStatus</t>
        </is>
      </c>
      <c r="C5881" s="24" t="inlineStr">
        <is>
          <t>交易状态</t>
        </is>
      </c>
      <c r="D5881" s="24" t="inlineStr">
        <is>
          <t>4</t>
        </is>
      </c>
      <c r="E5881" s="24" t="inlineStr">
        <is>
          <t>已取消</t>
        </is>
      </c>
    </row>
    <row r="5882" ht="15.95" customHeight="1" s="170">
      <c r="B5882" s="122" t="inlineStr">
        <is>
          <t>码值：InvoiceReceiptApproveMain</t>
        </is>
      </c>
    </row>
    <row r="5883">
      <c r="B5883" s="24" t="inlineStr">
        <is>
          <t>InvoiceReceiptApproveMain</t>
        </is>
      </c>
      <c r="C5883" s="24" t="inlineStr">
        <is>
          <t>收票审批主树图</t>
        </is>
      </c>
      <c r="D5883" s="24" t="inlineStr">
        <is>
          <t>N</t>
        </is>
      </c>
      <c r="E5883" s="24" t="inlineStr">
        <is>
          <t>当前工作</t>
        </is>
      </c>
    </row>
    <row r="5884">
      <c r="B5884" s="24" t="inlineStr">
        <is>
          <t>InvoiceReceiptApproveMain</t>
        </is>
      </c>
      <c r="C5884" s="24" t="inlineStr">
        <is>
          <t>收票审批主树图</t>
        </is>
      </c>
      <c r="D5884" s="24" t="inlineStr">
        <is>
          <t>Y</t>
        </is>
      </c>
      <c r="E5884" s="24" t="inlineStr">
        <is>
          <t>已完成工作</t>
        </is>
      </c>
    </row>
    <row r="5885" ht="15.95" customHeight="1" s="170">
      <c r="B5885" s="122" t="inlineStr">
        <is>
          <t>码值：RiskAlarmApplyMain</t>
        </is>
      </c>
    </row>
    <row r="5886">
      <c r="B5886" s="24" t="inlineStr">
        <is>
          <t>RiskAlarmApplyMain</t>
        </is>
      </c>
      <c r="C5886" s="24" t="inlineStr">
        <is>
          <t>风险预警分发认定申请主树图</t>
        </is>
      </c>
      <c r="D5886" s="24" t="inlineStr">
        <is>
          <t>1010</t>
        </is>
      </c>
      <c r="E5886" s="24" t="inlineStr">
        <is>
          <t>待处理的申请</t>
        </is>
      </c>
    </row>
    <row r="5887">
      <c r="B5887" s="24" t="inlineStr">
        <is>
          <t>RiskAlarmApplyMain</t>
        </is>
      </c>
      <c r="C5887" s="24" t="inlineStr">
        <is>
          <t>风险预警分发认定申请主树图</t>
        </is>
      </c>
      <c r="D5887" s="24" t="inlineStr">
        <is>
          <t>1020</t>
        </is>
      </c>
      <c r="E5887" s="24" t="inlineStr">
        <is>
          <t>审查审批中的申请</t>
        </is>
      </c>
    </row>
    <row r="5888">
      <c r="B5888" s="24" t="inlineStr">
        <is>
          <t>RiskAlarmApplyMain</t>
        </is>
      </c>
      <c r="C5888" s="24" t="inlineStr">
        <is>
          <t>风险预警分发认定申请主树图</t>
        </is>
      </c>
      <c r="D5888" s="24" t="inlineStr">
        <is>
          <t>1040</t>
        </is>
      </c>
      <c r="E5888" s="24" t="inlineStr">
        <is>
          <t>审批通过的申请</t>
        </is>
      </c>
    </row>
    <row r="5889">
      <c r="B5889" s="24" t="inlineStr">
        <is>
          <t>RiskAlarmApplyMain</t>
        </is>
      </c>
      <c r="C5889" s="24" t="inlineStr">
        <is>
          <t>风险预警分发认定申请主树图</t>
        </is>
      </c>
      <c r="D5889" s="24" t="inlineStr">
        <is>
          <t>1050</t>
        </is>
      </c>
      <c r="E5889" s="24" t="inlineStr">
        <is>
          <t>被否决的申请</t>
        </is>
      </c>
    </row>
    <row r="5890" ht="15.95" customHeight="1" s="170">
      <c r="B5890" s="122" t="inlineStr">
        <is>
          <t>码值：CorporateImage</t>
        </is>
      </c>
    </row>
    <row r="5891">
      <c r="B5891" s="24" t="inlineStr">
        <is>
          <t>CorporateImage</t>
        </is>
      </c>
      <c r="C5891" s="24" t="inlineStr">
        <is>
          <t>信用等级评估统一导入</t>
        </is>
      </c>
      <c r="D5891" s="24" t="inlineStr">
        <is>
          <t>01</t>
        </is>
      </c>
      <c r="E5891" s="24" t="inlineStr">
        <is>
          <t>好</t>
        </is>
      </c>
    </row>
    <row r="5892">
      <c r="B5892" s="24" t="inlineStr">
        <is>
          <t>CorporateImage</t>
        </is>
      </c>
      <c r="C5892" s="24" t="inlineStr">
        <is>
          <t>信用等级评估统一导入</t>
        </is>
      </c>
      <c r="D5892" s="24" t="inlineStr">
        <is>
          <t>02</t>
        </is>
      </c>
      <c r="E5892" s="24" t="inlineStr">
        <is>
          <t>一般</t>
        </is>
      </c>
    </row>
    <row r="5893">
      <c r="B5893" s="24" t="inlineStr">
        <is>
          <t>CorporateImage</t>
        </is>
      </c>
      <c r="C5893" s="24" t="inlineStr">
        <is>
          <t>信用等级评估统一导入</t>
        </is>
      </c>
      <c r="D5893" s="24" t="inlineStr">
        <is>
          <t>03</t>
        </is>
      </c>
      <c r="E5893" s="24" t="inlineStr">
        <is>
          <t>差</t>
        </is>
      </c>
    </row>
    <row r="5894" ht="15.95" customHeight="1" s="170">
      <c r="B5894" s="122" t="inlineStr">
        <is>
          <t>码值：FinancingCapacity</t>
        </is>
      </c>
    </row>
    <row r="5895">
      <c r="B5895" s="24" t="inlineStr">
        <is>
          <t>FinancingCapacity</t>
        </is>
      </c>
      <c r="C5895" s="24" t="inlineStr">
        <is>
          <t>信用等级评估统一导入</t>
        </is>
      </c>
      <c r="D5895" s="24" t="inlineStr">
        <is>
          <t>01</t>
        </is>
      </c>
      <c r="E5895" s="24" t="inlineStr">
        <is>
          <t>强</t>
        </is>
      </c>
    </row>
    <row r="5896">
      <c r="B5896" s="24" t="inlineStr">
        <is>
          <t>FinancingCapacity</t>
        </is>
      </c>
      <c r="C5896" s="24" t="inlineStr">
        <is>
          <t>信用等级评估统一导入</t>
        </is>
      </c>
      <c r="D5896" s="24" t="inlineStr">
        <is>
          <t>02</t>
        </is>
      </c>
      <c r="E5896" s="24" t="inlineStr">
        <is>
          <t>一般</t>
        </is>
      </c>
    </row>
    <row r="5897">
      <c r="B5897" s="24" t="inlineStr">
        <is>
          <t>FinancingCapacity</t>
        </is>
      </c>
      <c r="C5897" s="24" t="inlineStr">
        <is>
          <t>信用等级评估统一导入</t>
        </is>
      </c>
      <c r="D5897" s="24" t="inlineStr">
        <is>
          <t>03</t>
        </is>
      </c>
      <c r="E5897" s="24" t="inlineStr">
        <is>
          <t>弱</t>
        </is>
      </c>
    </row>
    <row r="5898" ht="15.95" customHeight="1" s="170">
      <c r="B5898" s="122" t="inlineStr">
        <is>
          <t>码值：客户多元化</t>
        </is>
      </c>
    </row>
    <row r="5899">
      <c r="B5899" s="24" t="inlineStr">
        <is>
          <t>客户多元化</t>
        </is>
      </c>
      <c r="C5899" s="24" t="inlineStr">
        <is>
          <t>客户多元化</t>
        </is>
      </c>
      <c r="D5899" s="24" t="inlineStr">
        <is>
          <t>01</t>
        </is>
      </c>
      <c r="E5899" s="24" t="inlineStr">
        <is>
          <t>50%的营业收入来自于至少5家客户，且合作关系稳定（两年以上合作关系）</t>
        </is>
      </c>
    </row>
    <row r="5900">
      <c r="B5900" s="24" t="inlineStr">
        <is>
          <t>客户多元化</t>
        </is>
      </c>
      <c r="C5900" s="24" t="inlineStr">
        <is>
          <t>客户多元化</t>
        </is>
      </c>
      <c r="D5900" s="24" t="inlineStr">
        <is>
          <t>02</t>
        </is>
      </c>
      <c r="E5900" s="24" t="inlineStr">
        <is>
          <t>50%的销售收入来自于3-4家企业</t>
        </is>
      </c>
    </row>
    <row r="5901">
      <c r="B5901" s="24" t="inlineStr">
        <is>
          <t>客户多元化</t>
        </is>
      </c>
      <c r="C5901" s="24" t="inlineStr">
        <is>
          <t>客户多元化</t>
        </is>
      </c>
      <c r="D5901" s="24" t="inlineStr">
        <is>
          <t>03</t>
        </is>
      </c>
      <c r="E5901" s="24" t="inlineStr">
        <is>
          <t>50%的销售收入来自于1-2家企业</t>
        </is>
      </c>
    </row>
    <row r="5902">
      <c r="B5902" s="24" t="inlineStr">
        <is>
          <t>客户多元化</t>
        </is>
      </c>
      <c r="C5902" s="24" t="inlineStr">
        <is>
          <t>客户多元化</t>
        </is>
      </c>
      <c r="D5902" s="24" t="inlineStr">
        <is>
          <t>04</t>
        </is>
      </c>
      <c r="E5902" s="24" t="inlineStr">
        <is>
          <t>50%的销售收入来自于零售市场，客户群非常分散</t>
        </is>
      </c>
    </row>
    <row r="5903" ht="15.95" customHeight="1" s="170">
      <c r="B5903" s="122" t="inlineStr">
        <is>
          <t>码值：IndType</t>
        </is>
      </c>
    </row>
    <row r="5904">
      <c r="B5904" s="24" t="inlineStr">
        <is>
          <t>IndType</t>
        </is>
      </c>
      <c r="C5904" s="24" t="inlineStr">
        <is>
          <t>个人客户类型</t>
        </is>
      </c>
      <c r="D5904" s="24" t="inlineStr">
        <is>
          <t>0310</t>
        </is>
      </c>
      <c r="E5904" s="24" t="inlineStr">
        <is>
          <t>自然人客户</t>
        </is>
      </c>
    </row>
    <row r="5905">
      <c r="B5905" s="24" t="inlineStr">
        <is>
          <t>IndType</t>
        </is>
      </c>
      <c r="C5905" s="24" t="inlineStr">
        <is>
          <t>个人客户类型</t>
        </is>
      </c>
      <c r="D5905" s="24" t="inlineStr">
        <is>
          <t>0320</t>
        </is>
      </c>
      <c r="E5905" s="24" t="inlineStr">
        <is>
          <t>个体经营户</t>
        </is>
      </c>
    </row>
    <row r="5906">
      <c r="B5906" s="24" t="inlineStr">
        <is>
          <t>IndType</t>
        </is>
      </c>
      <c r="C5906" s="24" t="inlineStr">
        <is>
          <t>个人客户类型</t>
        </is>
      </c>
      <c r="D5906" s="24" t="inlineStr">
        <is>
          <t>0330</t>
        </is>
      </c>
      <c r="E5906" s="24" t="inlineStr">
        <is>
          <t>农户客户</t>
        </is>
      </c>
    </row>
    <row r="5907" ht="15.95" customHeight="1" s="170">
      <c r="B5907" s="122" t="inlineStr">
        <is>
          <t>码值：PrdApproveMain</t>
        </is>
      </c>
    </row>
    <row r="5908">
      <c r="B5908" s="24" t="inlineStr">
        <is>
          <t>PrdApproveMain</t>
        </is>
      </c>
      <c r="C5908" s="24" t="inlineStr">
        <is>
          <t>产品配置审批主树图</t>
        </is>
      </c>
      <c r="D5908" s="24" t="inlineStr">
        <is>
          <t>N</t>
        </is>
      </c>
      <c r="E5908" s="24" t="inlineStr">
        <is>
          <t>待办任务</t>
        </is>
      </c>
    </row>
    <row r="5909">
      <c r="B5909" s="24" t="inlineStr">
        <is>
          <t>PrdApproveMain</t>
        </is>
      </c>
      <c r="C5909" s="24" t="inlineStr">
        <is>
          <t>产品配置审批主树图</t>
        </is>
      </c>
      <c r="D5909" s="24" t="inlineStr">
        <is>
          <t>Y</t>
        </is>
      </c>
      <c r="E5909" s="24" t="inlineStr">
        <is>
          <t>已办任务</t>
        </is>
      </c>
    </row>
    <row r="5910" ht="15.95" customHeight="1" s="170">
      <c r="B5910" s="122" t="inlineStr">
        <is>
          <t>码值：EntIrregularCheckMain</t>
        </is>
      </c>
    </row>
    <row r="5911">
      <c r="B5911" s="24" t="inlineStr">
        <is>
          <t>EntIrregularCheckMain</t>
        </is>
      </c>
      <c r="C5911" s="24" t="inlineStr">
        <is>
          <t>单一公司客户贷后不定期检查申请</t>
        </is>
      </c>
      <c r="D5911" s="24" t="inlineStr">
        <is>
          <t>1010</t>
        </is>
      </c>
      <c r="E5911" s="24" t="inlineStr">
        <is>
          <t>待处理</t>
        </is>
      </c>
    </row>
    <row r="5912">
      <c r="B5912" s="24" t="inlineStr">
        <is>
          <t>EntIrregularCheckMain</t>
        </is>
      </c>
      <c r="C5912" s="24" t="inlineStr">
        <is>
          <t>单一公司客户贷后不定期检查申请</t>
        </is>
      </c>
      <c r="D5912" s="24" t="inlineStr">
        <is>
          <t>1020</t>
        </is>
      </c>
      <c r="E5912" s="24" t="inlineStr">
        <is>
          <t>审批中</t>
        </is>
      </c>
    </row>
    <row r="5913">
      <c r="B5913" s="24" t="inlineStr">
        <is>
          <t>EntIrregularCheckMain</t>
        </is>
      </c>
      <c r="C5913" s="24" t="inlineStr">
        <is>
          <t>单一公司客户贷后不定期检查申请</t>
        </is>
      </c>
      <c r="D5913" s="24" t="inlineStr">
        <is>
          <t>1040,1050</t>
        </is>
      </c>
      <c r="E5913" s="24" t="inlineStr">
        <is>
          <t>处理完成</t>
        </is>
      </c>
    </row>
    <row r="5914" ht="15.95" customHeight="1" s="170">
      <c r="B5914" s="122" t="inlineStr">
        <is>
          <t>码值：BondRating</t>
        </is>
      </c>
    </row>
    <row r="5915">
      <c r="B5915" s="24" t="inlineStr">
        <is>
          <t>BondRating</t>
        </is>
      </c>
      <c r="C5915" s="24" t="inlineStr">
        <is>
          <t>债券评级</t>
        </is>
      </c>
      <c r="D5915" s="24" t="inlineStr">
        <is>
          <t>01</t>
        </is>
      </c>
      <c r="E5915" s="24" t="inlineStr">
        <is>
          <t>AAA</t>
        </is>
      </c>
    </row>
    <row r="5916">
      <c r="B5916" s="24" t="inlineStr">
        <is>
          <t>BondRating</t>
        </is>
      </c>
      <c r="C5916" s="24" t="inlineStr">
        <is>
          <t>债券评级</t>
        </is>
      </c>
      <c r="D5916" s="24" t="inlineStr">
        <is>
          <t>02</t>
        </is>
      </c>
      <c r="E5916" s="24" t="inlineStr">
        <is>
          <t>AA</t>
        </is>
      </c>
    </row>
    <row r="5917">
      <c r="B5917" s="24" t="inlineStr">
        <is>
          <t>BondRating</t>
        </is>
      </c>
      <c r="C5917" s="24" t="inlineStr">
        <is>
          <t>债券评级</t>
        </is>
      </c>
      <c r="D5917" s="24" t="inlineStr">
        <is>
          <t>03</t>
        </is>
      </c>
      <c r="E5917" s="24" t="inlineStr">
        <is>
          <t>A</t>
        </is>
      </c>
    </row>
    <row r="5918">
      <c r="B5918" s="24" t="inlineStr">
        <is>
          <t>BondRating</t>
        </is>
      </c>
      <c r="C5918" s="24" t="inlineStr">
        <is>
          <t>债券评级</t>
        </is>
      </c>
      <c r="D5918" s="24" t="inlineStr">
        <is>
          <t>11</t>
        </is>
      </c>
      <c r="E5918" s="24" t="inlineStr">
        <is>
          <t>BBB</t>
        </is>
      </c>
    </row>
    <row r="5919">
      <c r="B5919" s="24" t="inlineStr">
        <is>
          <t>BondRating</t>
        </is>
      </c>
      <c r="C5919" s="24" t="inlineStr">
        <is>
          <t>债券评级</t>
        </is>
      </c>
      <c r="D5919" s="24" t="inlineStr">
        <is>
          <t>12</t>
        </is>
      </c>
      <c r="E5919" s="24" t="inlineStr">
        <is>
          <t>BB</t>
        </is>
      </c>
    </row>
    <row r="5920">
      <c r="B5920" s="24" t="inlineStr">
        <is>
          <t>BondRating</t>
        </is>
      </c>
      <c r="C5920" s="24" t="inlineStr">
        <is>
          <t>债券评级</t>
        </is>
      </c>
      <c r="D5920" s="24" t="inlineStr">
        <is>
          <t>13</t>
        </is>
      </c>
      <c r="E5920" s="24" t="inlineStr">
        <is>
          <t>B</t>
        </is>
      </c>
    </row>
    <row r="5921">
      <c r="B5921" s="24" t="inlineStr">
        <is>
          <t>BondRating</t>
        </is>
      </c>
      <c r="C5921" s="24" t="inlineStr">
        <is>
          <t>债券评级</t>
        </is>
      </c>
      <c r="D5921" s="24" t="inlineStr">
        <is>
          <t>21</t>
        </is>
      </c>
      <c r="E5921" s="24" t="inlineStr">
        <is>
          <t>CCC</t>
        </is>
      </c>
    </row>
    <row r="5922">
      <c r="B5922" s="24" t="inlineStr">
        <is>
          <t>BondRating</t>
        </is>
      </c>
      <c r="C5922" s="24" t="inlineStr">
        <is>
          <t>债券评级</t>
        </is>
      </c>
      <c r="D5922" s="24" t="inlineStr">
        <is>
          <t>22</t>
        </is>
      </c>
      <c r="E5922" s="24" t="inlineStr">
        <is>
          <t>CC</t>
        </is>
      </c>
    </row>
    <row r="5923">
      <c r="B5923" s="24" t="inlineStr">
        <is>
          <t>BondRating</t>
        </is>
      </c>
      <c r="C5923" s="24" t="inlineStr">
        <is>
          <t>债券评级</t>
        </is>
      </c>
      <c r="D5923" s="24" t="inlineStr">
        <is>
          <t>23</t>
        </is>
      </c>
      <c r="E5923" s="24" t="inlineStr">
        <is>
          <t>C</t>
        </is>
      </c>
    </row>
    <row r="5924" ht="15.95" customHeight="1" s="170">
      <c r="B5924" s="122" t="inlineStr">
        <is>
          <t>码值：GuarantyStyle</t>
        </is>
      </c>
    </row>
    <row r="5925">
      <c r="B5925" s="24" t="inlineStr">
        <is>
          <t>GuarantyStyle</t>
        </is>
      </c>
      <c r="C5925" s="24" t="inlineStr">
        <is>
          <t>担保方式</t>
        </is>
      </c>
      <c r="D5925" s="24" t="inlineStr">
        <is>
          <t>01</t>
        </is>
      </c>
      <c r="E5925" s="24" t="inlineStr">
        <is>
          <t>抵押</t>
        </is>
      </c>
    </row>
    <row r="5926">
      <c r="B5926" s="24" t="inlineStr">
        <is>
          <t>GuarantyStyle</t>
        </is>
      </c>
      <c r="C5926" s="24" t="inlineStr">
        <is>
          <t>担保方式</t>
        </is>
      </c>
      <c r="D5926" s="24" t="inlineStr">
        <is>
          <t>02</t>
        </is>
      </c>
      <c r="E5926" s="24" t="inlineStr">
        <is>
          <t>质押</t>
        </is>
      </c>
    </row>
    <row r="5927">
      <c r="B5927" s="24" t="inlineStr">
        <is>
          <t>GuarantyStyle</t>
        </is>
      </c>
      <c r="C5927" s="24" t="inlineStr">
        <is>
          <t>担保方式</t>
        </is>
      </c>
      <c r="D5927" s="24" t="inlineStr">
        <is>
          <t>03</t>
        </is>
      </c>
      <c r="E5927" s="24" t="inlineStr">
        <is>
          <t>保证</t>
        </is>
      </c>
    </row>
    <row r="5928" ht="15.95" customHeight="1" s="170">
      <c r="B5928" s="122" t="inlineStr">
        <is>
          <t>码值：OtherIndBusinessType</t>
        </is>
      </c>
    </row>
    <row r="5929">
      <c r="B5929" s="24" t="inlineStr">
        <is>
          <t>OtherIndBusinessType</t>
        </is>
      </c>
      <c r="C5929" s="24" t="inlineStr">
        <is>
          <t>个人他行业务品种</t>
        </is>
      </c>
      <c r="D5929" s="24" t="inlineStr">
        <is>
          <t>01</t>
        </is>
      </c>
      <c r="E5929" s="24" t="inlineStr">
        <is>
          <t>个人业务</t>
        </is>
      </c>
    </row>
    <row r="5930" ht="15.95" customHeight="1" s="170">
      <c r="B5930" s="122" t="inlineStr">
        <is>
          <t>码值：抵押资产</t>
        </is>
      </c>
    </row>
    <row r="5931">
      <c r="B5931" s="24" t="inlineStr">
        <is>
          <t>抵押资产</t>
        </is>
      </c>
      <c r="C5931" s="24" t="inlineStr">
        <is>
          <t>抵押资产</t>
        </is>
      </c>
      <c r="D5931" s="24" t="inlineStr">
        <is>
          <t>01</t>
        </is>
      </c>
      <c r="E5931" s="24" t="inlineStr">
        <is>
          <t>对起动项目的全部资产、合同、批文和账户拥有手续完全完备的优先担保权益</t>
        </is>
      </c>
    </row>
    <row r="5932">
      <c r="B5932" s="24" t="inlineStr">
        <is>
          <t>抵押资产</t>
        </is>
      </c>
      <c r="C5932" s="24" t="inlineStr">
        <is>
          <t>抵押资产</t>
        </is>
      </c>
      <c r="D5932" s="24" t="inlineStr">
        <is>
          <t>02</t>
        </is>
      </c>
      <c r="E5932" s="24" t="inlineStr">
        <is>
          <t>对起动项目的全部资产、合同、批文和账户拥有手续较完备的优先担保权益</t>
        </is>
      </c>
    </row>
    <row r="5933">
      <c r="B5933" s="24" t="inlineStr">
        <is>
          <t>抵押资产</t>
        </is>
      </c>
      <c r="C5933" s="24" t="inlineStr">
        <is>
          <t>抵押资产</t>
        </is>
      </c>
      <c r="D5933" s="24" t="inlineStr">
        <is>
          <t>03</t>
        </is>
      </c>
      <c r="E5933" s="24" t="inlineStr">
        <is>
          <t>对起动项目的全部资产、合同、批文和账户拥有一般性的担保权益</t>
        </is>
      </c>
    </row>
    <row r="5934">
      <c r="B5934" s="24" t="inlineStr">
        <is>
          <t>抵押资产</t>
        </is>
      </c>
      <c r="C5934" s="24" t="inlineStr">
        <is>
          <t>抵押资产</t>
        </is>
      </c>
      <c r="D5934" s="24" t="inlineStr">
        <is>
          <t>04</t>
        </is>
      </c>
      <c r="E5934" s="24" t="inlineStr">
        <is>
          <t>对贷款人几乎未提供担保；抵押条款对银行不利</t>
        </is>
      </c>
    </row>
    <row r="5935" ht="15.95" customHeight="1" s="170">
      <c r="B5935" s="122" t="inlineStr">
        <is>
          <t>码值：ShadinessReason</t>
        </is>
      </c>
    </row>
    <row r="5936">
      <c r="B5936" s="24" t="inlineStr">
        <is>
          <t>ShadinessReason</t>
        </is>
      </c>
      <c r="C5936" s="24" t="inlineStr">
        <is>
          <t>贷款可疑原因</t>
        </is>
      </c>
      <c r="D5936" s="24" t="inlineStr">
        <is>
          <t>1</t>
        </is>
      </c>
      <c r="E5936" s="24" t="inlineStr">
        <is>
          <t>借款人虽已破产或已经法院裁决，但没有按国务院规定办理破产手续或不符合国务院关于规范破产有关文件规定，有以破产的形式逃废银行债务嫌疑的</t>
        </is>
      </c>
    </row>
    <row r="5937">
      <c r="B5937" s="24" t="inlineStr">
        <is>
          <t>ShadinessReason</t>
        </is>
      </c>
      <c r="C5937" s="24" t="inlineStr">
        <is>
          <t>贷款可疑原因</t>
        </is>
      </c>
      <c r="D5937" s="24" t="inlineStr">
        <is>
          <t>2</t>
        </is>
      </c>
      <c r="E5937" s="24" t="inlineStr">
        <is>
          <t>借款人通过重组、租赁、转让、承包等名目逃废银行债务，债权银行尚未依法起诉追索的贷款</t>
        </is>
      </c>
    </row>
    <row r="5938">
      <c r="B5938" s="24" t="inlineStr">
        <is>
          <t>ShadinessReason</t>
        </is>
      </c>
      <c r="C5938" s="24" t="inlineStr">
        <is>
          <t>贷款可疑原因</t>
        </is>
      </c>
      <c r="D5938" s="24" t="inlineStr">
        <is>
          <t>3</t>
        </is>
      </c>
      <c r="E5938" s="24" t="inlineStr">
        <is>
          <t>地方政府及其有关部门决定关闭或注销，有行政干预逃废银行债务嫌疑的</t>
        </is>
      </c>
    </row>
    <row r="5939">
      <c r="B5939" s="24" t="inlineStr">
        <is>
          <t>ShadinessReason</t>
        </is>
      </c>
      <c r="C5939" s="24" t="inlineStr">
        <is>
          <t>贷款可疑原因</t>
        </is>
      </c>
      <c r="D5939" s="24" t="inlineStr">
        <is>
          <t>4</t>
        </is>
      </c>
      <c r="E5939" s="24" t="inlineStr">
        <is>
          <t>借款人虽已资不抵债，但领导班子和职工基本稳定，大部分生产活动仍在进行</t>
        </is>
      </c>
    </row>
    <row r="5940">
      <c r="B5940" s="24" t="inlineStr">
        <is>
          <t>ShadinessReason</t>
        </is>
      </c>
      <c r="C5940" s="24" t="inlineStr">
        <is>
          <t>贷款可疑原因</t>
        </is>
      </c>
      <c r="D5940" s="24" t="inlineStr">
        <is>
          <t>5</t>
        </is>
      </c>
      <c r="E5940" s="24" t="inlineStr">
        <is>
          <t>在未彻底清查之前，银行违规从事账外经营形成的风险贷款</t>
        </is>
      </c>
    </row>
    <row r="5941" ht="15.95" customHeight="1" s="170">
      <c r="B5941" s="122" t="inlineStr">
        <is>
          <t>码值：投资策略</t>
        </is>
      </c>
    </row>
    <row r="5942">
      <c r="B5942" s="24" t="inlineStr">
        <is>
          <t>投资策略</t>
        </is>
      </c>
      <c r="C5942" s="24" t="inlineStr">
        <is>
          <t>投资策略</t>
        </is>
      </c>
      <c r="D5942" s="24" t="inlineStr">
        <is>
          <t>1</t>
        </is>
      </c>
      <c r="E5942" s="24" t="inlineStr">
        <is>
          <t>综合回报率在基贷率之上</t>
        </is>
      </c>
    </row>
    <row r="5943">
      <c r="B5943" s="24" t="inlineStr">
        <is>
          <t>投资策略</t>
        </is>
      </c>
      <c r="C5943" s="24" t="inlineStr">
        <is>
          <t>投资策略</t>
        </is>
      </c>
      <c r="D5943" s="24" t="inlineStr">
        <is>
          <t>2</t>
        </is>
      </c>
      <c r="E5943" s="24" t="inlineStr">
        <is>
          <t>等于基贷率</t>
        </is>
      </c>
    </row>
    <row r="5944">
      <c r="B5944" s="24" t="inlineStr">
        <is>
          <t>投资策略</t>
        </is>
      </c>
      <c r="C5944" s="24" t="inlineStr">
        <is>
          <t>投资策略</t>
        </is>
      </c>
      <c r="D5944" s="24" t="inlineStr">
        <is>
          <t>3</t>
        </is>
      </c>
      <c r="E5944" s="24" t="inlineStr">
        <is>
          <t>在基贷率之下</t>
        </is>
      </c>
    </row>
    <row r="5945">
      <c r="B5945" s="24" t="inlineStr">
        <is>
          <t>投资策略</t>
        </is>
      </c>
      <c r="C5945" s="24" t="inlineStr">
        <is>
          <t>投资策略</t>
        </is>
      </c>
      <c r="D5945" s="24" t="inlineStr">
        <is>
          <t>4</t>
        </is>
      </c>
      <c r="E5945" s="24" t="inlineStr">
        <is>
          <t>综合回报率为负值</t>
        </is>
      </c>
    </row>
    <row r="5946">
      <c r="B5946" s="24" t="inlineStr">
        <is>
          <t>投资策略</t>
        </is>
      </c>
      <c r="C5946" s="24" t="inlineStr">
        <is>
          <t>投资策略</t>
        </is>
      </c>
      <c r="D5946" s="24" t="inlineStr">
        <is>
          <t>5</t>
        </is>
      </c>
      <c r="E5946" s="24" t="inlineStr">
        <is>
          <t>无对外投资</t>
        </is>
      </c>
    </row>
    <row r="5947" ht="15.95" customHeight="1" s="170">
      <c r="B5947" s="122" t="inlineStr">
        <is>
          <t>码值：ProjectLevel</t>
        </is>
      </c>
    </row>
    <row r="5948">
      <c r="B5948" s="24" t="inlineStr">
        <is>
          <t>ProjectLevel</t>
        </is>
      </c>
      <c r="C5948" s="24" t="inlineStr">
        <is>
          <t>项目级别</t>
        </is>
      </c>
      <c r="D5948" s="24" t="inlineStr">
        <is>
          <t>01</t>
        </is>
      </c>
      <c r="E5948" s="24" t="inlineStr">
        <is>
          <t>国家重点项目</t>
        </is>
      </c>
    </row>
    <row r="5949">
      <c r="B5949" s="24" t="inlineStr">
        <is>
          <t>ProjectLevel</t>
        </is>
      </c>
      <c r="C5949" s="24" t="inlineStr">
        <is>
          <t>项目级别</t>
        </is>
      </c>
      <c r="D5949" s="24" t="inlineStr">
        <is>
          <t>02</t>
        </is>
      </c>
      <c r="E5949" s="24" t="inlineStr">
        <is>
          <t>国家预备重点项目</t>
        </is>
      </c>
    </row>
    <row r="5950">
      <c r="B5950" s="24" t="inlineStr">
        <is>
          <t>ProjectLevel</t>
        </is>
      </c>
      <c r="C5950" s="24" t="inlineStr">
        <is>
          <t>项目级别</t>
        </is>
      </c>
      <c r="D5950" s="24" t="inlineStr">
        <is>
          <t>03</t>
        </is>
      </c>
      <c r="E5950" s="24" t="inlineStr">
        <is>
          <t>国家项目</t>
        </is>
      </c>
    </row>
    <row r="5951">
      <c r="B5951" s="24" t="inlineStr">
        <is>
          <t>ProjectLevel</t>
        </is>
      </c>
      <c r="C5951" s="24" t="inlineStr">
        <is>
          <t>项目级别</t>
        </is>
      </c>
      <c r="D5951" s="24" t="inlineStr">
        <is>
          <t>04</t>
        </is>
      </c>
      <c r="E5951" s="24" t="inlineStr">
        <is>
          <t>省级重点项目</t>
        </is>
      </c>
    </row>
    <row r="5952">
      <c r="B5952" s="24" t="inlineStr">
        <is>
          <t>ProjectLevel</t>
        </is>
      </c>
      <c r="C5952" s="24" t="inlineStr">
        <is>
          <t>项目级别</t>
        </is>
      </c>
      <c r="D5952" s="24" t="inlineStr">
        <is>
          <t>05</t>
        </is>
      </c>
      <c r="E5952" s="24" t="inlineStr">
        <is>
          <t>省级预备重点项目</t>
        </is>
      </c>
    </row>
    <row r="5953">
      <c r="B5953" s="24" t="inlineStr">
        <is>
          <t>ProjectLevel</t>
        </is>
      </c>
      <c r="C5953" s="24" t="inlineStr">
        <is>
          <t>项目级别</t>
        </is>
      </c>
      <c r="D5953" s="24" t="inlineStr">
        <is>
          <t>06</t>
        </is>
      </c>
      <c r="E5953" s="24" t="inlineStr">
        <is>
          <t>省级项目</t>
        </is>
      </c>
    </row>
    <row r="5954">
      <c r="B5954" s="24" t="inlineStr">
        <is>
          <t>ProjectLevel</t>
        </is>
      </c>
      <c r="C5954" s="24" t="inlineStr">
        <is>
          <t>项目级别</t>
        </is>
      </c>
      <c r="D5954" s="24" t="inlineStr">
        <is>
          <t>07</t>
        </is>
      </c>
      <c r="E5954" s="24" t="inlineStr">
        <is>
          <t>地市级重点项目</t>
        </is>
      </c>
    </row>
    <row r="5955">
      <c r="B5955" s="24" t="inlineStr">
        <is>
          <t>ProjectLevel</t>
        </is>
      </c>
      <c r="C5955" s="24" t="inlineStr">
        <is>
          <t>项目级别</t>
        </is>
      </c>
      <c r="D5955" s="24" t="inlineStr">
        <is>
          <t>08</t>
        </is>
      </c>
      <c r="E5955" s="24" t="inlineStr">
        <is>
          <t>地市级预备重点项目</t>
        </is>
      </c>
    </row>
    <row r="5956">
      <c r="B5956" s="24" t="inlineStr">
        <is>
          <t>ProjectLevel</t>
        </is>
      </c>
      <c r="C5956" s="24" t="inlineStr">
        <is>
          <t>项目级别</t>
        </is>
      </c>
      <c r="D5956" s="24" t="inlineStr">
        <is>
          <t>09</t>
        </is>
      </c>
      <c r="E5956" s="24" t="inlineStr">
        <is>
          <t>地市级项目</t>
        </is>
      </c>
    </row>
    <row r="5957">
      <c r="B5957" s="24" t="inlineStr">
        <is>
          <t>ProjectLevel</t>
        </is>
      </c>
      <c r="C5957" s="24" t="inlineStr">
        <is>
          <t>项目级别</t>
        </is>
      </c>
      <c r="D5957" s="24" t="inlineStr">
        <is>
          <t>10</t>
        </is>
      </c>
      <c r="E5957" s="24" t="inlineStr">
        <is>
          <t>一般项目</t>
        </is>
      </c>
    </row>
    <row r="5958" ht="15.95" customHeight="1" s="170">
      <c r="B5958" s="122" t="inlineStr">
        <is>
          <t>码值：AccountIndicator</t>
        </is>
      </c>
    </row>
    <row r="5959">
      <c r="B5959" s="24" t="inlineStr">
        <is>
          <t>AccountIndicator</t>
        </is>
      </c>
      <c r="C5959" s="24" t="inlineStr">
        <is>
          <t>账户性质(系统内使用)</t>
        </is>
      </c>
      <c r="D5959" s="24" t="inlineStr">
        <is>
          <t>00</t>
        </is>
      </c>
      <c r="E5959" s="24" t="inlineStr">
        <is>
          <t>放款账号</t>
        </is>
      </c>
    </row>
    <row r="5960">
      <c r="B5960" s="24" t="inlineStr">
        <is>
          <t>AccountIndicator</t>
        </is>
      </c>
      <c r="C5960" s="24" t="inlineStr">
        <is>
          <t>账户性质(系统内使用)</t>
        </is>
      </c>
      <c r="D5960" s="24" t="inlineStr">
        <is>
          <t>01</t>
        </is>
      </c>
      <c r="E5960" s="24" t="inlineStr">
        <is>
          <t>还款账号</t>
        </is>
      </c>
    </row>
    <row r="5961">
      <c r="B5961" s="24" t="inlineStr">
        <is>
          <t>AccountIndicator</t>
        </is>
      </c>
      <c r="C5961" s="24" t="inlineStr">
        <is>
          <t>账户性质(系统内使用)</t>
        </is>
      </c>
      <c r="D5961" s="24" t="inlineStr">
        <is>
          <t>02</t>
        </is>
      </c>
      <c r="E5961" s="24" t="inlineStr">
        <is>
          <t>委托人存款账号（发放和回收本息）</t>
        </is>
      </c>
    </row>
    <row r="5962">
      <c r="B5962" s="24" t="inlineStr">
        <is>
          <t>AccountIndicator</t>
        </is>
      </c>
      <c r="C5962" s="24" t="inlineStr">
        <is>
          <t>账户性质(系统内使用)</t>
        </is>
      </c>
      <c r="D5962" s="24" t="inlineStr">
        <is>
          <t>03</t>
        </is>
      </c>
      <c r="E5962" s="24" t="inlineStr">
        <is>
          <t>委托人委托存款账号</t>
        </is>
      </c>
    </row>
    <row r="5963">
      <c r="B5963" s="24" t="inlineStr">
        <is>
          <t>AccountIndicator</t>
        </is>
      </c>
      <c r="C5963" s="24" t="inlineStr">
        <is>
          <t>账户性质(系统内使用)</t>
        </is>
      </c>
      <c r="D5963" s="24" t="inlineStr">
        <is>
          <t>04</t>
        </is>
      </c>
      <c r="E5963" s="24" t="inlineStr">
        <is>
          <t>收款账号（代收代付）</t>
        </is>
      </c>
    </row>
    <row r="5964" ht="15.95" customHeight="1" s="170">
      <c r="B5964" s="122" t="inlineStr">
        <is>
          <t>码值：监事会设置</t>
        </is>
      </c>
    </row>
    <row r="5965">
      <c r="B5965" s="24" t="inlineStr">
        <is>
          <t>监事会设置</t>
        </is>
      </c>
      <c r="C5965" s="24" t="inlineStr">
        <is>
          <t>监事会设置</t>
        </is>
      </c>
      <c r="D5965" s="24" t="inlineStr">
        <is>
          <t>1</t>
        </is>
      </c>
      <c r="E5965" s="24" t="inlineStr">
        <is>
          <t>按规定设定</t>
        </is>
      </c>
    </row>
    <row r="5966">
      <c r="B5966" s="24" t="inlineStr">
        <is>
          <t>监事会设置</t>
        </is>
      </c>
      <c r="C5966" s="24" t="inlineStr">
        <is>
          <t>监事会设置</t>
        </is>
      </c>
      <c r="D5966" s="24" t="inlineStr">
        <is>
          <t>2</t>
        </is>
      </c>
      <c r="E5966" s="24" t="inlineStr">
        <is>
          <t>只设一名监事</t>
        </is>
      </c>
    </row>
    <row r="5967">
      <c r="B5967" s="24" t="inlineStr">
        <is>
          <t>监事会设置</t>
        </is>
      </c>
      <c r="C5967" s="24" t="inlineStr">
        <is>
          <t>监事会设置</t>
        </is>
      </c>
      <c r="D5967" s="24" t="inlineStr">
        <is>
          <t>3</t>
        </is>
      </c>
      <c r="E5967" s="24" t="inlineStr">
        <is>
          <t>无</t>
        </is>
      </c>
    </row>
    <row r="5968" ht="15.95" customHeight="1" s="170">
      <c r="B5968" s="122" t="inlineStr">
        <is>
          <t>码值：LimitControlType</t>
        </is>
      </c>
    </row>
    <row r="5969">
      <c r="B5969" s="24" t="inlineStr">
        <is>
          <t>LimitControlType</t>
        </is>
      </c>
      <c r="C5969" s="24" t="inlineStr">
        <is>
          <t>金额控制方式</t>
        </is>
      </c>
      <c r="D5969" s="24" t="inlineStr">
        <is>
          <t>01</t>
        </is>
      </c>
      <c r="E5969" s="24" t="inlineStr">
        <is>
          <t>发生额</t>
        </is>
      </c>
    </row>
    <row r="5970">
      <c r="B5970" s="24" t="inlineStr">
        <is>
          <t>LimitControlType</t>
        </is>
      </c>
      <c r="C5970" s="24" t="inlineStr">
        <is>
          <t>金额控制方式</t>
        </is>
      </c>
      <c r="D5970" s="24" t="inlineStr">
        <is>
          <t>02</t>
        </is>
      </c>
      <c r="E5970" s="24" t="inlineStr">
        <is>
          <t>余额</t>
        </is>
      </c>
    </row>
    <row r="5971">
      <c r="B5971" s="24" t="inlineStr">
        <is>
          <t>LimitControlType</t>
        </is>
      </c>
      <c r="C5971" s="24" t="inlineStr">
        <is>
          <t>金额控制方式</t>
        </is>
      </c>
      <c r="D5971" s="24" t="inlineStr">
        <is>
          <t>03</t>
        </is>
      </c>
      <c r="E5971" s="24" t="inlineStr">
        <is>
          <t>敞口</t>
        </is>
      </c>
    </row>
    <row r="5972">
      <c r="B5972" s="24" t="inlineStr">
        <is>
          <t>LimitControlType</t>
        </is>
      </c>
      <c r="C5972" s="24" t="inlineStr">
        <is>
          <t>金额控制方式</t>
        </is>
      </c>
      <c r="D5972" s="24" t="inlineStr">
        <is>
          <t>04</t>
        </is>
      </c>
      <c r="E5972" s="24" t="inlineStr">
        <is>
          <t>发生额+敞口</t>
        </is>
      </c>
    </row>
    <row r="5973">
      <c r="B5973" s="24" t="inlineStr">
        <is>
          <t>LimitControlType</t>
        </is>
      </c>
      <c r="C5973" s="24" t="inlineStr">
        <is>
          <t>金额控制方式</t>
        </is>
      </c>
      <c r="D5973" s="24" t="inlineStr">
        <is>
          <t>05</t>
        </is>
      </c>
      <c r="E5973" s="24" t="inlineStr">
        <is>
          <t>余额+敞口</t>
        </is>
      </c>
    </row>
    <row r="5974" ht="15.95" customHeight="1" s="170">
      <c r="B5974" s="122" t="inlineStr">
        <is>
          <t>码值：BookInContractApplyIndMain</t>
        </is>
      </c>
    </row>
    <row r="5975">
      <c r="B5975" s="24" t="inlineStr">
        <is>
          <t>BookInContractApplyIndMain</t>
        </is>
      </c>
      <c r="C5975" s="24" t="inlineStr">
        <is>
          <t>个人批复合同登记申请主树图</t>
        </is>
      </c>
      <c r="D5975" s="24" t="inlineStr">
        <is>
          <t>1010</t>
        </is>
      </c>
      <c r="E5975" s="24" t="inlineStr">
        <is>
          <t>待处理</t>
        </is>
      </c>
    </row>
    <row r="5976">
      <c r="B5976" s="24" t="inlineStr">
        <is>
          <t>BookInContractApplyIndMain</t>
        </is>
      </c>
      <c r="C5976" s="24" t="inlineStr">
        <is>
          <t>个人批复合同登记申请主树图</t>
        </is>
      </c>
      <c r="D5976" s="24" t="inlineStr">
        <is>
          <t>1020</t>
        </is>
      </c>
      <c r="E5976" s="24" t="inlineStr">
        <is>
          <t>审批中</t>
        </is>
      </c>
    </row>
    <row r="5977">
      <c r="B5977" s="24" t="inlineStr">
        <is>
          <t>BookInContractApplyIndMain</t>
        </is>
      </c>
      <c r="C5977" s="24" t="inlineStr">
        <is>
          <t>个人批复合同登记申请主树图</t>
        </is>
      </c>
      <c r="D5977" s="24" t="inlineStr">
        <is>
          <t>1040,1050</t>
        </is>
      </c>
      <c r="E5977" s="24" t="inlineStr">
        <is>
          <t>处理完成</t>
        </is>
      </c>
    </row>
    <row r="5978" ht="15.95" customHeight="1" s="170">
      <c r="B5978" s="122" t="inlineStr">
        <is>
          <t>码值：WorksType</t>
        </is>
      </c>
    </row>
    <row r="5979">
      <c r="B5979" s="24" t="inlineStr">
        <is>
          <t>WorksType</t>
        </is>
      </c>
      <c r="C5979" s="24" t="inlineStr">
        <is>
          <t>作品类别</t>
        </is>
      </c>
      <c r="D5979" s="24" t="inlineStr">
        <is>
          <t>01</t>
        </is>
      </c>
      <c r="E5979" s="24" t="inlineStr">
        <is>
          <t>文字作品</t>
        </is>
      </c>
    </row>
    <row r="5980">
      <c r="B5980" s="24" t="inlineStr">
        <is>
          <t>WorksType</t>
        </is>
      </c>
      <c r="C5980" s="24" t="inlineStr">
        <is>
          <t>作品类别</t>
        </is>
      </c>
      <c r="D5980" s="24" t="inlineStr">
        <is>
          <t>02</t>
        </is>
      </c>
      <c r="E5980" s="24" t="inlineStr">
        <is>
          <t>口述作品</t>
        </is>
      </c>
    </row>
    <row r="5981">
      <c r="B5981" s="24" t="inlineStr">
        <is>
          <t>WorksType</t>
        </is>
      </c>
      <c r="C5981" s="24" t="inlineStr">
        <is>
          <t>作品类别</t>
        </is>
      </c>
      <c r="D5981" s="24" t="inlineStr">
        <is>
          <t>03</t>
        </is>
      </c>
      <c r="E5981" s="24" t="inlineStr">
        <is>
          <t>音乐、戏剧、曲艺、舞蹈、杂技艺术作品</t>
        </is>
      </c>
    </row>
    <row r="5982">
      <c r="B5982" s="24" t="inlineStr">
        <is>
          <t>WorksType</t>
        </is>
      </c>
      <c r="C5982" s="24" t="inlineStr">
        <is>
          <t>作品类别</t>
        </is>
      </c>
      <c r="D5982" s="24" t="inlineStr">
        <is>
          <t>04</t>
        </is>
      </c>
      <c r="E5982" s="24" t="inlineStr">
        <is>
          <t>美术、建筑作品</t>
        </is>
      </c>
    </row>
    <row r="5983">
      <c r="B5983" s="24" t="inlineStr">
        <is>
          <t>WorksType</t>
        </is>
      </c>
      <c r="C5983" s="24" t="inlineStr">
        <is>
          <t>作品类别</t>
        </is>
      </c>
      <c r="D5983" s="24" t="inlineStr">
        <is>
          <t>05</t>
        </is>
      </c>
      <c r="E5983" s="24" t="inlineStr">
        <is>
          <t>摄影作品</t>
        </is>
      </c>
    </row>
    <row r="5984">
      <c r="B5984" s="24" t="inlineStr">
        <is>
          <t>WorksType</t>
        </is>
      </c>
      <c r="C5984" s="24" t="inlineStr">
        <is>
          <t>作品类别</t>
        </is>
      </c>
      <c r="D5984" s="24" t="inlineStr">
        <is>
          <t>06</t>
        </is>
      </c>
      <c r="E5984" s="24" t="inlineStr">
        <is>
          <t>电影作品或以类似摄制电影方法创作的作品</t>
        </is>
      </c>
    </row>
    <row r="5985">
      <c r="B5985" s="24" t="inlineStr">
        <is>
          <t>WorksType</t>
        </is>
      </c>
      <c r="C5985" s="24" t="inlineStr">
        <is>
          <t>作品类别</t>
        </is>
      </c>
      <c r="D5985" s="24" t="inlineStr">
        <is>
          <t>07</t>
        </is>
      </c>
      <c r="E5985" s="24" t="inlineStr">
        <is>
          <t>工程设计图、产品设计图、地图、示意图等图形作品和模型作品</t>
        </is>
      </c>
    </row>
    <row r="5986">
      <c r="B5986" s="24" t="inlineStr">
        <is>
          <t>WorksType</t>
        </is>
      </c>
      <c r="C5986" s="24" t="inlineStr">
        <is>
          <t>作品类别</t>
        </is>
      </c>
      <c r="D5986" s="24" t="inlineStr">
        <is>
          <t>08</t>
        </is>
      </c>
      <c r="E5986" s="24" t="inlineStr">
        <is>
          <t>计算机软件</t>
        </is>
      </c>
    </row>
    <row r="5987">
      <c r="B5987" s="24" t="inlineStr">
        <is>
          <t>WorksType</t>
        </is>
      </c>
      <c r="C5987" s="24" t="inlineStr">
        <is>
          <t>作品类别</t>
        </is>
      </c>
      <c r="D5987" s="24" t="inlineStr">
        <is>
          <t>09</t>
        </is>
      </c>
      <c r="E5987" s="24" t="inlineStr">
        <is>
          <t>法律、行政法规规定的作品</t>
        </is>
      </c>
    </row>
    <row r="5988">
      <c r="B5988" s="24" t="inlineStr">
        <is>
          <t>WorksType</t>
        </is>
      </c>
      <c r="C5988" s="24" t="inlineStr">
        <is>
          <t>作品类别</t>
        </is>
      </c>
      <c r="D5988" s="24" t="inlineStr">
        <is>
          <t>90</t>
        </is>
      </c>
      <c r="E5988" s="24" t="inlineStr">
        <is>
          <t>其他</t>
        </is>
      </c>
    </row>
    <row r="5989" ht="15.95" customHeight="1" s="170">
      <c r="B5989" s="122" t="inlineStr">
        <is>
          <t>码值：TakePartPhase</t>
        </is>
      </c>
    </row>
    <row r="5990">
      <c r="B5990" s="24" t="inlineStr">
        <is>
          <t>TakePartPhase</t>
        </is>
      </c>
      <c r="C5990" s="24" t="inlineStr">
        <is>
          <t>案件相关人参与阶段</t>
        </is>
      </c>
      <c r="D5990" s="24" t="inlineStr">
        <is>
          <t>01</t>
        </is>
      </c>
      <c r="E5990" s="24" t="inlineStr">
        <is>
          <t>一审</t>
        </is>
      </c>
    </row>
    <row r="5991">
      <c r="B5991" s="24" t="inlineStr">
        <is>
          <t>TakePartPhase</t>
        </is>
      </c>
      <c r="C5991" s="24" t="inlineStr">
        <is>
          <t>案件相关人参与阶段</t>
        </is>
      </c>
      <c r="D5991" s="24" t="inlineStr">
        <is>
          <t>02</t>
        </is>
      </c>
      <c r="E5991" s="24" t="inlineStr">
        <is>
          <t>二审</t>
        </is>
      </c>
    </row>
    <row r="5992">
      <c r="B5992" s="24" t="inlineStr">
        <is>
          <t>TakePartPhase</t>
        </is>
      </c>
      <c r="C5992" s="24" t="inlineStr">
        <is>
          <t>案件相关人参与阶段</t>
        </is>
      </c>
      <c r="D5992" s="24" t="inlineStr">
        <is>
          <t>03</t>
        </is>
      </c>
      <c r="E5992" s="24" t="inlineStr">
        <is>
          <t>再审</t>
        </is>
      </c>
    </row>
    <row r="5993">
      <c r="B5993" s="24" t="inlineStr">
        <is>
          <t>TakePartPhase</t>
        </is>
      </c>
      <c r="C5993" s="24" t="inlineStr">
        <is>
          <t>案件相关人参与阶段</t>
        </is>
      </c>
      <c r="D5993" s="24" t="inlineStr">
        <is>
          <t>04</t>
        </is>
      </c>
      <c r="E5993" s="24" t="inlineStr">
        <is>
          <t>执行</t>
        </is>
      </c>
    </row>
    <row r="5994">
      <c r="B5994" s="24" t="inlineStr">
        <is>
          <t>TakePartPhase</t>
        </is>
      </c>
      <c r="C5994" s="24" t="inlineStr">
        <is>
          <t>案件相关人参与阶段</t>
        </is>
      </c>
      <c r="D5994" s="24" t="inlineStr">
        <is>
          <t>05</t>
        </is>
      </c>
      <c r="E5994" s="24" t="inlineStr">
        <is>
          <t>全程</t>
        </is>
      </c>
    </row>
    <row r="5995" ht="15.95" customHeight="1" s="170">
      <c r="B5995" s="122" t="inlineStr">
        <is>
          <t>码值：BigDataSwitch</t>
        </is>
      </c>
    </row>
    <row r="5996">
      <c r="B5996" s="24" t="inlineStr">
        <is>
          <t>BigDataSwitch</t>
        </is>
      </c>
      <c r="C5996" s="24" t="inlineStr">
        <is>
          <t>大数据开关</t>
        </is>
      </c>
      <c r="D5996" s="24" t="inlineStr">
        <is>
          <t>1</t>
        </is>
      </c>
      <c r="E5996" s="24" t="inlineStr">
        <is>
          <t>大数据开关</t>
        </is>
      </c>
    </row>
    <row r="5997" ht="15.95" customHeight="1" s="170">
      <c r="B5997" s="122" t="inlineStr">
        <is>
          <t>码值：RateAdjustCyc</t>
        </is>
      </c>
    </row>
    <row r="5998">
      <c r="B5998" s="24" t="inlineStr">
        <is>
          <t>RateAdjustCyc</t>
        </is>
      </c>
      <c r="C5998" s="24" t="inlineStr">
        <is>
          <t>利率调整周期</t>
        </is>
      </c>
      <c r="D5998" s="24" t="inlineStr">
        <is>
          <t>1</t>
        </is>
      </c>
      <c r="E5998" s="24" t="inlineStr">
        <is>
          <t>1个月</t>
        </is>
      </c>
    </row>
    <row r="5999">
      <c r="B5999" s="24" t="inlineStr">
        <is>
          <t>RateAdjustCyc</t>
        </is>
      </c>
      <c r="C5999" s="24" t="inlineStr">
        <is>
          <t>利率调整周期</t>
        </is>
      </c>
      <c r="D5999" s="24" t="inlineStr">
        <is>
          <t>2</t>
        </is>
      </c>
      <c r="E5999" s="24" t="inlineStr">
        <is>
          <t>3个月</t>
        </is>
      </c>
    </row>
    <row r="6000">
      <c r="B6000" s="24" t="inlineStr">
        <is>
          <t>RateAdjustCyc</t>
        </is>
      </c>
      <c r="C6000" s="24" t="inlineStr">
        <is>
          <t>利率调整周期</t>
        </is>
      </c>
      <c r="D6000" s="24" t="inlineStr">
        <is>
          <t>3</t>
        </is>
      </c>
      <c r="E6000" s="24" t="inlineStr">
        <is>
          <t>6个月</t>
        </is>
      </c>
    </row>
    <row r="6001" ht="15.95" customHeight="1" s="170">
      <c r="B6001" s="122" t="inlineStr">
        <is>
          <t>码值：CustomerScale</t>
        </is>
      </c>
    </row>
    <row r="6002">
      <c r="B6002" s="24" t="inlineStr">
        <is>
          <t>CustomerScale</t>
        </is>
      </c>
      <c r="C6002" s="24" t="inlineStr">
        <is>
          <t>公司企业类型</t>
        </is>
      </c>
      <c r="D6002" s="24" t="inlineStr">
        <is>
          <t>010</t>
        </is>
      </c>
      <c r="E6002" s="24" t="inlineStr">
        <is>
          <t>公司客户</t>
        </is>
      </c>
    </row>
    <row r="6003">
      <c r="B6003" s="24" t="inlineStr">
        <is>
          <t>CustomerScale</t>
        </is>
      </c>
      <c r="C6003" s="24" t="inlineStr">
        <is>
          <t>公司企业类型</t>
        </is>
      </c>
      <c r="D6003" s="24" t="inlineStr">
        <is>
          <t>02</t>
        </is>
      </c>
      <c r="E6003" s="24" t="inlineStr">
        <is>
          <t>中小企业客户</t>
        </is>
      </c>
    </row>
    <row r="6004" ht="15.95" customHeight="1" s="170">
      <c r="B6004" s="122" t="inlineStr">
        <is>
          <t>码值：在该领域的地位</t>
        </is>
      </c>
    </row>
    <row r="6005">
      <c r="B6005" s="24" t="inlineStr">
        <is>
          <t>在该领域的地位</t>
        </is>
      </c>
      <c r="C6005" s="24" t="inlineStr">
        <is>
          <t>在该领域的地位</t>
        </is>
      </c>
      <c r="D6005" s="24" t="inlineStr">
        <is>
          <t>1</t>
        </is>
      </c>
      <c r="E6005" s="24" t="inlineStr">
        <is>
          <t>高</t>
        </is>
      </c>
    </row>
    <row r="6006">
      <c r="B6006" s="24" t="inlineStr">
        <is>
          <t>在该领域的地位</t>
        </is>
      </c>
      <c r="C6006" s="24" t="inlineStr">
        <is>
          <t>在该领域的地位</t>
        </is>
      </c>
      <c r="D6006" s="24" t="inlineStr">
        <is>
          <t>2</t>
        </is>
      </c>
      <c r="E6006" s="24" t="inlineStr">
        <is>
          <t>中</t>
        </is>
      </c>
    </row>
    <row r="6007">
      <c r="B6007" s="24" t="inlineStr">
        <is>
          <t>在该领域的地位</t>
        </is>
      </c>
      <c r="C6007" s="24" t="inlineStr">
        <is>
          <t>在该领域的地位</t>
        </is>
      </c>
      <c r="D6007" s="24" t="inlineStr">
        <is>
          <t>3</t>
        </is>
      </c>
      <c r="E6007" s="24" t="inlineStr">
        <is>
          <t>低</t>
        </is>
      </c>
    </row>
    <row r="6008" ht="15.95" customHeight="1" s="170">
      <c r="B6008" s="122" t="inlineStr">
        <is>
          <t>码值：LandRightSource</t>
        </is>
      </c>
    </row>
    <row r="6009">
      <c r="B6009" s="24" t="inlineStr">
        <is>
          <t>LandRightSource</t>
        </is>
      </c>
      <c r="C6009" s="24" t="inlineStr">
        <is>
          <t>土地取得方式</t>
        </is>
      </c>
      <c r="D6009" s="24" t="inlineStr">
        <is>
          <t>01</t>
        </is>
      </c>
      <c r="E6009" s="24" t="inlineStr">
        <is>
          <t>招标出让</t>
        </is>
      </c>
    </row>
    <row r="6010">
      <c r="B6010" s="24" t="inlineStr">
        <is>
          <t>LandRightSource</t>
        </is>
      </c>
      <c r="C6010" s="24" t="inlineStr">
        <is>
          <t>土地取得方式</t>
        </is>
      </c>
      <c r="D6010" s="24" t="inlineStr">
        <is>
          <t>02</t>
        </is>
      </c>
      <c r="E6010" s="24" t="inlineStr">
        <is>
          <t>拍卖出让</t>
        </is>
      </c>
    </row>
    <row r="6011">
      <c r="B6011" s="24" t="inlineStr">
        <is>
          <t>LandRightSource</t>
        </is>
      </c>
      <c r="C6011" s="24" t="inlineStr">
        <is>
          <t>土地取得方式</t>
        </is>
      </c>
      <c r="D6011" s="24" t="inlineStr">
        <is>
          <t>03</t>
        </is>
      </c>
      <c r="E6011" s="24" t="inlineStr">
        <is>
          <t>挂牌出让</t>
        </is>
      </c>
    </row>
    <row r="6012">
      <c r="B6012" s="24" t="inlineStr">
        <is>
          <t>LandRightSource</t>
        </is>
      </c>
      <c r="C6012" s="24" t="inlineStr">
        <is>
          <t>土地取得方式</t>
        </is>
      </c>
      <c r="D6012" s="24" t="inlineStr">
        <is>
          <t>04</t>
        </is>
      </c>
      <c r="E6012" s="24" t="inlineStr">
        <is>
          <t>协议出让</t>
        </is>
      </c>
    </row>
    <row r="6013">
      <c r="B6013" s="24" t="inlineStr">
        <is>
          <t>LandRightSource</t>
        </is>
      </c>
      <c r="C6013" s="24" t="inlineStr">
        <is>
          <t>土地取得方式</t>
        </is>
      </c>
      <c r="D6013" s="24" t="inlineStr">
        <is>
          <t>05</t>
        </is>
      </c>
      <c r="E6013" s="24" t="inlineStr">
        <is>
          <t>划拨</t>
        </is>
      </c>
    </row>
    <row r="6014">
      <c r="B6014" s="24" t="inlineStr">
        <is>
          <t>LandRightSource</t>
        </is>
      </c>
      <c r="C6014" s="24" t="inlineStr">
        <is>
          <t>土地取得方式</t>
        </is>
      </c>
      <c r="D6014" s="24" t="inlineStr">
        <is>
          <t>06</t>
        </is>
      </c>
      <c r="E6014" s="24" t="inlineStr">
        <is>
          <t>转让</t>
        </is>
      </c>
    </row>
    <row r="6015">
      <c r="B6015" s="24" t="inlineStr">
        <is>
          <t>LandRightSource</t>
        </is>
      </c>
      <c r="C6015" s="24" t="inlineStr">
        <is>
          <t>土地取得方式</t>
        </is>
      </c>
      <c r="D6015" s="24" t="inlineStr">
        <is>
          <t>90</t>
        </is>
      </c>
      <c r="E6015" s="24" t="inlineStr">
        <is>
          <t>其他</t>
        </is>
      </c>
    </row>
    <row r="6016" ht="15.95" customHeight="1" s="170">
      <c r="B6016" s="122" t="inlineStr">
        <is>
          <t>码值：LoanTransCode</t>
        </is>
      </c>
    </row>
    <row r="6017">
      <c r="B6017" s="24" t="inlineStr">
        <is>
          <t>LoanTransCode</t>
        </is>
      </c>
      <c r="C6017" s="24" t="inlineStr">
        <is>
          <t>贷款交易</t>
        </is>
      </c>
      <c r="D6017" s="24" t="inlineStr">
        <is>
          <t>CommonRepay</t>
        </is>
      </c>
      <c r="E6017" s="24" t="inlineStr">
        <is>
          <t>一般还款</t>
        </is>
      </c>
    </row>
    <row r="6018">
      <c r="B6018" s="24" t="inlineStr">
        <is>
          <t>LoanTransCode</t>
        </is>
      </c>
      <c r="C6018" s="24" t="inlineStr">
        <is>
          <t>贷款交易</t>
        </is>
      </c>
      <c r="D6018" s="24" t="inlineStr">
        <is>
          <t>ForwardRepay</t>
        </is>
      </c>
      <c r="E6018" s="24" t="inlineStr">
        <is>
          <t>提前还款</t>
        </is>
      </c>
    </row>
    <row r="6019">
      <c r="B6019" s="24" t="inlineStr">
        <is>
          <t>LoanTransCode</t>
        </is>
      </c>
      <c r="C6019" s="24" t="inlineStr">
        <is>
          <t>贷款交易</t>
        </is>
      </c>
      <c r="D6019" s="24" t="inlineStr">
        <is>
          <t>LoanWriteoffhx</t>
        </is>
      </c>
      <c r="E6019" s="24" t="inlineStr">
        <is>
          <t>贷款核销</t>
        </is>
      </c>
    </row>
    <row r="6020">
      <c r="B6020" s="24" t="inlineStr">
        <is>
          <t>LoanTransCode</t>
        </is>
      </c>
      <c r="C6020" s="24" t="inlineStr">
        <is>
          <t>贷款交易</t>
        </is>
      </c>
      <c r="D6020" s="24" t="inlineStr">
        <is>
          <t>LoanWriteoffsc</t>
        </is>
      </c>
      <c r="E6020" s="24" t="inlineStr">
        <is>
          <t>贷款售出</t>
        </is>
      </c>
    </row>
    <row r="6021">
      <c r="B6021" s="24" t="inlineStr">
        <is>
          <t>LoanTransCode</t>
        </is>
      </c>
      <c r="C6021" s="24" t="inlineStr">
        <is>
          <t>贷款交易</t>
        </is>
      </c>
      <c r="D6021" s="24" t="inlineStr">
        <is>
          <t>SpecialRepay</t>
        </is>
      </c>
      <c r="E6021" s="24" t="inlineStr">
        <is>
          <t>特殊还款</t>
        </is>
      </c>
    </row>
    <row r="6022" ht="15.95" customHeight="1" s="170">
      <c r="B6022" s="122" t="inlineStr">
        <is>
          <t>码值：FamliyAbility</t>
        </is>
      </c>
    </row>
    <row r="6023">
      <c r="B6023" s="24" t="inlineStr">
        <is>
          <t>FamliyAbility</t>
        </is>
      </c>
      <c r="C6023" s="24" t="inlineStr">
        <is>
          <t>信用等级评估统一导入</t>
        </is>
      </c>
      <c r="D6023" s="24" t="inlineStr">
        <is>
          <t>01</t>
        </is>
      </c>
      <c r="E6023" s="24" t="inlineStr">
        <is>
          <t>强</t>
        </is>
      </c>
    </row>
    <row r="6024">
      <c r="B6024" s="24" t="inlineStr">
        <is>
          <t>FamliyAbility</t>
        </is>
      </c>
      <c r="C6024" s="24" t="inlineStr">
        <is>
          <t>信用等级评估统一导入</t>
        </is>
      </c>
      <c r="D6024" s="24" t="inlineStr">
        <is>
          <t>02</t>
        </is>
      </c>
      <c r="E6024" s="24" t="inlineStr">
        <is>
          <t>一般</t>
        </is>
      </c>
    </row>
    <row r="6025">
      <c r="B6025" s="24" t="inlineStr">
        <is>
          <t>FamliyAbility</t>
        </is>
      </c>
      <c r="C6025" s="24" t="inlineStr">
        <is>
          <t>信用等级评估统一导入</t>
        </is>
      </c>
      <c r="D6025" s="24" t="inlineStr">
        <is>
          <t>03</t>
        </is>
      </c>
      <c r="E6025" s="24" t="inlineStr">
        <is>
          <t>弱</t>
        </is>
      </c>
    </row>
    <row r="6026" ht="15.95" customHeight="1" s="170">
      <c r="B6026" s="122" t="inlineStr">
        <is>
          <t>码值：母公司/子公司支持结构</t>
        </is>
      </c>
    </row>
    <row r="6027">
      <c r="B6027" s="24" t="inlineStr">
        <is>
          <t>母公司/子公司支持结构</t>
        </is>
      </c>
      <c r="C6027" s="24" t="inlineStr">
        <is>
          <t>母公司/子公司支持结构</t>
        </is>
      </c>
      <c r="D6027" s="24" t="inlineStr">
        <is>
          <t>01</t>
        </is>
      </c>
      <c r="E6027" s="24" t="inlineStr">
        <is>
          <t>集团公司采用集团授信，母公司对子公司债务承担完全连带责任</t>
        </is>
      </c>
    </row>
    <row r="6028">
      <c r="B6028" s="24" t="inlineStr">
        <is>
          <t>母公司/子公司支持结构</t>
        </is>
      </c>
      <c r="C6028" s="24" t="inlineStr">
        <is>
          <t>母公司/子公司支持结构</t>
        </is>
      </c>
      <c r="D6028" s="24" t="inlineStr">
        <is>
          <t>02</t>
        </is>
      </c>
      <c r="E6028" s="24" t="inlineStr">
        <is>
          <t>采用单独授信，母公司对子公司债务只承担有限责任</t>
        </is>
      </c>
    </row>
    <row r="6029">
      <c r="B6029" s="24" t="inlineStr">
        <is>
          <t>母公司/子公司支持结构</t>
        </is>
      </c>
      <c r="C6029" s="24" t="inlineStr">
        <is>
          <t>母公司/子公司支持结构</t>
        </is>
      </c>
      <c r="D6029" s="24" t="inlineStr">
        <is>
          <t>03</t>
        </is>
      </c>
      <c r="E6029" s="24" t="inlineStr">
        <is>
          <t>虽然母公司在法律上不对借款人承担连带责任，但是借款人对母公司收入、业务或者战略具有重要地位，因此母公司对其具有隐性担保</t>
        </is>
      </c>
    </row>
    <row r="6030">
      <c r="B6030" s="24" t="inlineStr">
        <is>
          <t>母公司/子公司支持结构</t>
        </is>
      </c>
      <c r="C6030" s="24" t="inlineStr">
        <is>
          <t>母公司/子公司支持结构</t>
        </is>
      </c>
      <c r="D6030" s="24" t="inlineStr">
        <is>
          <t>04</t>
        </is>
      </c>
      <c r="E6030" s="24" t="inlineStr">
        <is>
          <t>或者虽然存在母子公司关系，但是母公司对子公司债务不承担责任；</t>
        </is>
      </c>
    </row>
    <row r="6031">
      <c r="B6031" s="24" t="inlineStr">
        <is>
          <t>母公司/子公司支持结构</t>
        </is>
      </c>
      <c r="C6031" s="24" t="inlineStr">
        <is>
          <t>母公司/子公司支持结构</t>
        </is>
      </c>
      <c r="D6031" s="24" t="inlineStr">
        <is>
          <t>05</t>
        </is>
      </c>
      <c r="E6031" s="24" t="inlineStr">
        <is>
          <t>不存在母子公司关系；</t>
        </is>
      </c>
    </row>
    <row r="6032" ht="15.95" customHeight="1" s="170">
      <c r="B6032" s="122" t="inlineStr">
        <is>
          <t>码值：AssetStatus</t>
        </is>
      </c>
    </row>
    <row r="6033">
      <c r="B6033" s="24" t="inlineStr">
        <is>
          <t>AssetStatus</t>
        </is>
      </c>
      <c r="C6033" s="24" t="inlineStr">
        <is>
          <t>抵债资产处置现状</t>
        </is>
      </c>
      <c r="D6033" s="24" t="inlineStr">
        <is>
          <t>01</t>
        </is>
      </c>
      <c r="E6033" s="24" t="inlineStr">
        <is>
          <t>未批准</t>
        </is>
      </c>
    </row>
    <row r="6034">
      <c r="B6034" s="24" t="inlineStr">
        <is>
          <t>AssetStatus</t>
        </is>
      </c>
      <c r="C6034" s="24" t="inlineStr">
        <is>
          <t>抵债资产处置现状</t>
        </is>
      </c>
      <c r="D6034" s="24" t="inlineStr">
        <is>
          <t>02</t>
        </is>
      </c>
      <c r="E6034" s="24" t="inlineStr">
        <is>
          <t>待处置</t>
        </is>
      </c>
    </row>
    <row r="6035">
      <c r="B6035" s="24" t="inlineStr">
        <is>
          <t>AssetStatus</t>
        </is>
      </c>
      <c r="C6035" s="24" t="inlineStr">
        <is>
          <t>抵债资产处置现状</t>
        </is>
      </c>
      <c r="D6035" s="24" t="inlineStr">
        <is>
          <t>03</t>
        </is>
      </c>
      <c r="E6035" s="24" t="inlineStr">
        <is>
          <t>处置中</t>
        </is>
      </c>
    </row>
    <row r="6036">
      <c r="B6036" s="24" t="inlineStr">
        <is>
          <t>AssetStatus</t>
        </is>
      </c>
      <c r="C6036" s="24" t="inlineStr">
        <is>
          <t>抵债资产处置现状</t>
        </is>
      </c>
      <c r="D6036" s="24" t="inlineStr">
        <is>
          <t>04</t>
        </is>
      </c>
      <c r="E6036" s="24" t="inlineStr">
        <is>
          <t>处置终结</t>
        </is>
      </c>
    </row>
    <row r="6037" ht="15.95" customHeight="1" s="170">
      <c r="B6037" s="122" t="inlineStr">
        <is>
          <t>码值：Type1</t>
        </is>
      </c>
    </row>
    <row r="6038">
      <c r="B6038" s="24" t="inlineStr">
        <is>
          <t>Type1</t>
        </is>
      </c>
      <c r="C6038" s="24" t="inlineStr">
        <is>
          <t>系统内外</t>
        </is>
      </c>
      <c r="D6038" s="24" t="inlineStr">
        <is>
          <t>0</t>
        </is>
      </c>
      <c r="E6038" s="24" t="inlineStr">
        <is>
          <t>系统外</t>
        </is>
      </c>
    </row>
    <row r="6039">
      <c r="B6039" s="24" t="inlineStr">
        <is>
          <t>Type1</t>
        </is>
      </c>
      <c r="C6039" s="24" t="inlineStr">
        <is>
          <t>系统内外</t>
        </is>
      </c>
      <c r="D6039" s="24" t="inlineStr">
        <is>
          <t>1</t>
        </is>
      </c>
      <c r="E6039" s="24" t="inlineStr">
        <is>
          <t>系统内</t>
        </is>
      </c>
    </row>
    <row r="6040" ht="15.95" customHeight="1" s="170">
      <c r="B6040" s="122" t="inlineStr">
        <is>
          <t>码值：TypeOfFinancingPlatform</t>
        </is>
      </c>
    </row>
    <row r="6041">
      <c r="B6041" s="24" t="inlineStr">
        <is>
          <t>TypeOfFinancingPlatform</t>
        </is>
      </c>
      <c r="C6041" s="24" t="inlineStr">
        <is>
          <t>信用等级评估统一导入</t>
        </is>
      </c>
      <c r="D6041" s="24" t="inlineStr">
        <is>
          <t>01</t>
        </is>
      </c>
      <c r="E6041" s="24" t="inlineStr">
        <is>
          <t>融资平台公司因承担公益性项目建设举借、主要依靠财政性资金偿还的债务</t>
        </is>
      </c>
    </row>
    <row r="6042">
      <c r="B6042" s="24" t="inlineStr">
        <is>
          <t>TypeOfFinancingPlatform</t>
        </is>
      </c>
      <c r="C6042" s="24" t="inlineStr">
        <is>
          <t>信用等级评估统一导入</t>
        </is>
      </c>
      <c r="D6042" s="24" t="inlineStr">
        <is>
          <t>02</t>
        </is>
      </c>
      <c r="E6042" s="24" t="inlineStr">
        <is>
          <t>融资平台公司因承担公益性项目建设举借、项目本身有稳定经营性收入并主要依靠自身收益偿还的债务</t>
        </is>
      </c>
    </row>
    <row r="6043">
      <c r="B6043" s="24" t="inlineStr">
        <is>
          <t>TypeOfFinancingPlatform</t>
        </is>
      </c>
      <c r="C6043" s="24" t="inlineStr">
        <is>
          <t>信用等级评估统一导入</t>
        </is>
      </c>
      <c r="D6043" s="24" t="inlineStr">
        <is>
          <t>03</t>
        </is>
      </c>
      <c r="E6043" s="24" t="inlineStr">
        <is>
          <t>融资平台公司因承担非公益性项目建设举借的债务</t>
        </is>
      </c>
    </row>
    <row r="6044">
      <c r="B6044" s="24" t="inlineStr">
        <is>
          <t>TypeOfFinancingPlatform</t>
        </is>
      </c>
      <c r="C6044" s="24" t="inlineStr">
        <is>
          <t>信用等级评估统一导入</t>
        </is>
      </c>
      <c r="D6044" s="24" t="inlineStr">
        <is>
          <t>04</t>
        </is>
      </c>
      <c r="E6044" s="24" t="inlineStr">
        <is>
          <t>兼有上述类型</t>
        </is>
      </c>
    </row>
    <row r="6045" ht="15.95" customHeight="1" s="170">
      <c r="B6045" s="122" t="inlineStr">
        <is>
          <t>码值：SMECreditPlace</t>
        </is>
      </c>
    </row>
    <row r="6046">
      <c r="B6046" s="24" t="inlineStr">
        <is>
          <t>SMECreditPlace</t>
        </is>
      </c>
      <c r="C6046" s="24" t="inlineStr">
        <is>
          <t>固定经营场所</t>
        </is>
      </c>
      <c r="D6046" s="24" t="inlineStr">
        <is>
          <t>01</t>
        </is>
      </c>
      <c r="E6046" s="24" t="inlineStr">
        <is>
          <t>自有</t>
        </is>
      </c>
    </row>
    <row r="6047">
      <c r="B6047" s="24" t="inlineStr">
        <is>
          <t>SMECreditPlace</t>
        </is>
      </c>
      <c r="C6047" s="24" t="inlineStr">
        <is>
          <t>固定经营场所</t>
        </is>
      </c>
      <c r="D6047" s="24" t="inlineStr">
        <is>
          <t>02</t>
        </is>
      </c>
      <c r="E6047" s="24" t="inlineStr">
        <is>
          <t>租赁</t>
        </is>
      </c>
    </row>
    <row r="6048">
      <c r="B6048" s="24" t="inlineStr">
        <is>
          <t>SMECreditPlace</t>
        </is>
      </c>
      <c r="C6048" s="24" t="inlineStr">
        <is>
          <t>固定经营场所</t>
        </is>
      </c>
      <c r="D6048" s="24" t="inlineStr">
        <is>
          <t>03</t>
        </is>
      </c>
      <c r="E6048" s="24" t="inlineStr">
        <is>
          <t>无</t>
        </is>
      </c>
    </row>
    <row r="6049" ht="15.95" customHeight="1" s="170">
      <c r="B6049" s="122" t="inlineStr">
        <is>
          <t>码值：Language</t>
        </is>
      </c>
    </row>
    <row r="6050">
      <c r="B6050" s="24" t="inlineStr">
        <is>
          <t>Language</t>
        </is>
      </c>
      <c r="C6050" s="24" t="inlineStr">
        <is>
          <t>语言类型</t>
        </is>
      </c>
      <c r="D6050" s="24" t="inlineStr">
        <is>
          <t>en</t>
        </is>
      </c>
      <c r="E6050" s="24" t="inlineStr">
        <is>
          <t>English</t>
        </is>
      </c>
    </row>
    <row r="6051">
      <c r="B6051" s="24" t="inlineStr">
        <is>
          <t>Language</t>
        </is>
      </c>
      <c r="C6051" s="24" t="inlineStr">
        <is>
          <t>语言类型</t>
        </is>
      </c>
      <c r="D6051" s="24" t="inlineStr">
        <is>
          <t>tw</t>
        </is>
      </c>
      <c r="E6051" s="24" t="inlineStr">
        <is>
          <t>繁体</t>
        </is>
      </c>
    </row>
    <row r="6052">
      <c r="B6052" s="24" t="inlineStr">
        <is>
          <t>Language</t>
        </is>
      </c>
      <c r="C6052" s="24" t="inlineStr">
        <is>
          <t>语言类型</t>
        </is>
      </c>
      <c r="D6052" s="24" t="inlineStr">
        <is>
          <t>zh</t>
        </is>
      </c>
      <c r="E6052" s="24" t="inlineStr">
        <is>
          <t>简体</t>
        </is>
      </c>
    </row>
    <row r="6053">
      <c r="B6053" s="24" t="inlineStr">
        <is>
          <t>Language</t>
        </is>
      </c>
      <c r="C6053" s="24" t="inlineStr">
        <is>
          <t>语言类型</t>
        </is>
      </c>
      <c r="D6053" s="24" t="inlineStr">
        <is>
          <t>语言标识</t>
        </is>
      </c>
      <c r="E6053" s="24" t="inlineStr">
        <is>
          <t>语言名称</t>
        </is>
      </c>
    </row>
    <row r="6054" ht="15.95" customHeight="1" s="170">
      <c r="B6054" s="122" t="inlineStr">
        <is>
          <t>码值：TransactionOffApproveMain</t>
        </is>
      </c>
    </row>
    <row r="6055">
      <c r="B6055" s="24" t="inlineStr">
        <is>
          <t>TransactionOffApproveMain</t>
        </is>
      </c>
      <c r="C6055" s="24" t="inlineStr">
        <is>
          <t>交易复核主树图</t>
        </is>
      </c>
      <c r="D6055" s="24" t="inlineStr">
        <is>
          <t>N</t>
        </is>
      </c>
      <c r="E6055" s="24" t="inlineStr">
        <is>
          <t>当前工作</t>
        </is>
      </c>
    </row>
    <row r="6056">
      <c r="B6056" s="24" t="inlineStr">
        <is>
          <t>TransactionOffApproveMain</t>
        </is>
      </c>
      <c r="C6056" s="24" t="inlineStr">
        <is>
          <t>交易复核主树图</t>
        </is>
      </c>
      <c r="D6056" s="24" t="inlineStr">
        <is>
          <t>Y</t>
        </is>
      </c>
      <c r="E6056" s="24" t="inlineStr">
        <is>
          <t>已完成工作</t>
        </is>
      </c>
    </row>
    <row r="6057">
      <c r="B6057" s="24" t="inlineStr">
        <is>
          <t>TransactionOffApproveMain</t>
        </is>
      </c>
      <c r="C6057" s="24" t="inlineStr">
        <is>
          <t>交易复核主树图</t>
        </is>
      </c>
      <c r="D6057" s="24" t="inlineStr">
        <is>
          <t>当前工作/已完成工作</t>
        </is>
      </c>
      <c r="E6057" s="24" t="inlineStr">
        <is>
          <t>阶段名称</t>
        </is>
      </c>
    </row>
    <row r="6058" ht="15.95" customHeight="1" s="170">
      <c r="B6058" s="122" t="inlineStr">
        <is>
          <t>码值：SegTermID</t>
        </is>
      </c>
    </row>
    <row r="6059">
      <c r="B6059" s="24" t="inlineStr">
        <is>
          <t>SegTermID</t>
        </is>
      </c>
      <c r="C6059" s="24" t="inlineStr">
        <is>
          <t>还款方式</t>
        </is>
      </c>
      <c r="D6059" s="24" t="inlineStr">
        <is>
          <t>RPT-19-01</t>
        </is>
      </c>
      <c r="E6059" s="24" t="inlineStr">
        <is>
          <t>等额本息</t>
        </is>
      </c>
    </row>
    <row r="6060">
      <c r="B6060" s="24" t="inlineStr">
        <is>
          <t>SegTermID</t>
        </is>
      </c>
      <c r="C6060" s="24" t="inlineStr">
        <is>
          <t>还款方式</t>
        </is>
      </c>
      <c r="D6060" s="24" t="inlineStr">
        <is>
          <t>RPT-19-02</t>
        </is>
      </c>
      <c r="E6060" s="24" t="inlineStr">
        <is>
          <t>等额本金</t>
        </is>
      </c>
    </row>
    <row r="6061">
      <c r="B6061" s="24" t="inlineStr">
        <is>
          <t>SegTermID</t>
        </is>
      </c>
      <c r="C6061" s="24" t="inlineStr">
        <is>
          <t>还款方式</t>
        </is>
      </c>
      <c r="D6061" s="24" t="inlineStr">
        <is>
          <t>RPT-19-03</t>
        </is>
      </c>
      <c r="E6061" s="24" t="inlineStr">
        <is>
          <t>一次还本付息</t>
        </is>
      </c>
    </row>
    <row r="6062">
      <c r="B6062" s="24" t="inlineStr">
        <is>
          <t>SegTermID</t>
        </is>
      </c>
      <c r="C6062" s="24" t="inlineStr">
        <is>
          <t>还款方式</t>
        </is>
      </c>
      <c r="D6062" s="24" t="inlineStr">
        <is>
          <t>RPT-19-04</t>
        </is>
      </c>
      <c r="E6062" s="24" t="inlineStr">
        <is>
          <t>按期付息一次还本</t>
        </is>
      </c>
    </row>
    <row r="6063" ht="15.95" customHeight="1" s="170">
      <c r="B6063" s="122" t="inlineStr">
        <is>
          <t>码值：LCType</t>
        </is>
      </c>
    </row>
    <row r="6064">
      <c r="B6064" s="24" t="inlineStr">
        <is>
          <t>LCType</t>
        </is>
      </c>
      <c r="C6064" s="24" t="inlineStr">
        <is>
          <t>信用证类型</t>
        </is>
      </c>
      <c r="D6064" s="24" t="inlineStr">
        <is>
          <t>01</t>
        </is>
      </c>
      <c r="E6064" s="24" t="inlineStr">
        <is>
          <t>普通</t>
        </is>
      </c>
    </row>
    <row r="6065">
      <c r="B6065" s="24" t="inlineStr">
        <is>
          <t>LCType</t>
        </is>
      </c>
      <c r="C6065" s="24" t="inlineStr">
        <is>
          <t>信用证类型</t>
        </is>
      </c>
      <c r="D6065" s="24" t="inlineStr">
        <is>
          <t>02</t>
        </is>
      </c>
      <c r="E6065" s="24" t="inlineStr">
        <is>
          <t>转让</t>
        </is>
      </c>
    </row>
    <row r="6066">
      <c r="B6066" s="24" t="inlineStr">
        <is>
          <t>LCType</t>
        </is>
      </c>
      <c r="C6066" s="24" t="inlineStr">
        <is>
          <t>信用证类型</t>
        </is>
      </c>
      <c r="D6066" s="24" t="inlineStr">
        <is>
          <t>03</t>
        </is>
      </c>
      <c r="E6066" s="24" t="inlineStr">
        <is>
          <t>背对背</t>
        </is>
      </c>
    </row>
    <row r="6067">
      <c r="B6067" s="24" t="inlineStr">
        <is>
          <t>LCType</t>
        </is>
      </c>
      <c r="C6067" s="24" t="inlineStr">
        <is>
          <t>信用证类型</t>
        </is>
      </c>
      <c r="D6067" s="24" t="inlineStr">
        <is>
          <t>04</t>
        </is>
      </c>
      <c r="E6067" s="24" t="inlineStr">
        <is>
          <t>循环</t>
        </is>
      </c>
    </row>
    <row r="6068">
      <c r="B6068" s="24" t="inlineStr">
        <is>
          <t>LCType</t>
        </is>
      </c>
      <c r="C6068" s="24" t="inlineStr">
        <is>
          <t>信用证类型</t>
        </is>
      </c>
      <c r="D6068" s="24" t="inlineStr">
        <is>
          <t>05</t>
        </is>
      </c>
      <c r="E6068" s="24" t="inlineStr">
        <is>
          <t>对开</t>
        </is>
      </c>
    </row>
    <row r="6069">
      <c r="B6069" s="24" t="inlineStr">
        <is>
          <t>LCType</t>
        </is>
      </c>
      <c r="C6069" s="24" t="inlineStr">
        <is>
          <t>信用证类型</t>
        </is>
      </c>
      <c r="D6069" s="24" t="inlineStr">
        <is>
          <t>06</t>
        </is>
      </c>
      <c r="E6069" s="24" t="inlineStr">
        <is>
          <t>其它</t>
        </is>
      </c>
    </row>
    <row r="6070" ht="15.95" customHeight="1" s="170">
      <c r="B6070" s="122" t="inlineStr">
        <is>
          <t>码值：HousePay</t>
        </is>
      </c>
    </row>
    <row r="6071">
      <c r="B6071" s="24" t="inlineStr">
        <is>
          <t>HousePay</t>
        </is>
      </c>
      <c r="C6071" s="24" t="inlineStr">
        <is>
          <t>房屋抵债情况</t>
        </is>
      </c>
      <c r="D6071" s="24" t="inlineStr">
        <is>
          <t>01</t>
        </is>
      </c>
      <c r="E6071" s="24" t="inlineStr">
        <is>
          <t>无抵债</t>
        </is>
      </c>
    </row>
    <row r="6072">
      <c r="B6072" s="24" t="inlineStr">
        <is>
          <t>HousePay</t>
        </is>
      </c>
      <c r="C6072" s="24" t="inlineStr">
        <is>
          <t>房屋抵债情况</t>
        </is>
      </c>
      <c r="D6072" s="24" t="inlineStr">
        <is>
          <t>02</t>
        </is>
      </c>
      <c r="E6072" s="24" t="inlineStr">
        <is>
          <t>有抵债</t>
        </is>
      </c>
    </row>
    <row r="6073" ht="15.95" customHeight="1" s="170">
      <c r="B6073" s="122" t="inlineStr">
        <is>
          <t>码值：资金拨付</t>
        </is>
      </c>
    </row>
    <row r="6074">
      <c r="B6074" s="24" t="inlineStr">
        <is>
          <t>资金拨付</t>
        </is>
      </c>
      <c r="C6074" s="24" t="inlineStr">
        <is>
          <t>资金拨付</t>
        </is>
      </c>
      <c r="D6074" s="24" t="inlineStr">
        <is>
          <t>01</t>
        </is>
      </c>
      <c r="E6074" s="24" t="inlineStr">
        <is>
          <t>有融资资金专户，专项用于拨付投融资项目资金，并接受第三方监管</t>
        </is>
      </c>
    </row>
    <row r="6075">
      <c r="B6075" s="24" t="inlineStr">
        <is>
          <t>资金拨付</t>
        </is>
      </c>
      <c r="C6075" s="24" t="inlineStr">
        <is>
          <t>资金拨付</t>
        </is>
      </c>
      <c r="D6075" s="24" t="inlineStr">
        <is>
          <t>02</t>
        </is>
      </c>
      <c r="E6075" s="24" t="inlineStr">
        <is>
          <t>资金拨付实行联合会审制度，且项目建设资金的拨付实行比例控制</t>
        </is>
      </c>
    </row>
    <row r="6076">
      <c r="B6076" s="24" t="inlineStr">
        <is>
          <t>资金拨付</t>
        </is>
      </c>
      <c r="C6076" s="24" t="inlineStr">
        <is>
          <t>资金拨付</t>
        </is>
      </c>
      <c r="D6076" s="24" t="inlineStr">
        <is>
          <t>03</t>
        </is>
      </c>
      <c r="E6076" s="24" t="inlineStr">
        <is>
          <t>资金拨付实行联合会审制度</t>
        </is>
      </c>
    </row>
    <row r="6077">
      <c r="B6077" s="24" t="inlineStr">
        <is>
          <t>资金拨付</t>
        </is>
      </c>
      <c r="C6077" s="24" t="inlineStr">
        <is>
          <t>资金拨付</t>
        </is>
      </c>
      <c r="D6077" s="24" t="inlineStr">
        <is>
          <t>04</t>
        </is>
      </c>
      <c r="E6077" s="24" t="inlineStr">
        <is>
          <t>无资金拨付相关制度</t>
        </is>
      </c>
    </row>
    <row r="6078" ht="15.95" customHeight="1" s="170">
      <c r="B6078" s="122" t="inlineStr">
        <is>
          <t>码值：ModelStatus</t>
        </is>
      </c>
    </row>
    <row r="6079">
      <c r="B6079" s="24" t="inlineStr">
        <is>
          <t>ModelStatus</t>
        </is>
      </c>
      <c r="C6079" s="24" t="inlineStr">
        <is>
          <t>模板状态</t>
        </is>
      </c>
      <c r="D6079" s="24" t="inlineStr">
        <is>
          <t>DISABLE</t>
        </is>
      </c>
      <c r="E6079" s="24" t="inlineStr">
        <is>
          <t>不可用</t>
        </is>
      </c>
    </row>
    <row r="6080">
      <c r="B6080" s="24" t="inlineStr">
        <is>
          <t>ModelStatus</t>
        </is>
      </c>
      <c r="C6080" s="24" t="inlineStr">
        <is>
          <t>模板状态</t>
        </is>
      </c>
      <c r="D6080" s="24" t="inlineStr">
        <is>
          <t>ENABLE</t>
        </is>
      </c>
      <c r="E6080" s="24" t="inlineStr">
        <is>
          <t>正常</t>
        </is>
      </c>
    </row>
    <row r="6081">
      <c r="B6081" s="24" t="inlineStr">
        <is>
          <t>ModelStatus</t>
        </is>
      </c>
      <c r="C6081" s="24" t="inlineStr">
        <is>
          <t>模板状态</t>
        </is>
      </c>
      <c r="D6081" s="24" t="inlineStr">
        <is>
          <t>HISTORY</t>
        </is>
      </c>
      <c r="E6081" s="24" t="inlineStr">
        <is>
          <t>历史</t>
        </is>
      </c>
    </row>
    <row r="6082">
      <c r="B6082" s="24" t="inlineStr">
        <is>
          <t>ModelStatus</t>
        </is>
      </c>
      <c r="C6082" s="24" t="inlineStr">
        <is>
          <t>模板状态</t>
        </is>
      </c>
      <c r="D6082" s="24" t="inlineStr">
        <is>
          <t>PAUSE</t>
        </is>
      </c>
      <c r="E6082" s="24" t="inlineStr">
        <is>
          <t>停用</t>
        </is>
      </c>
    </row>
    <row r="6083" ht="15.95" customHeight="1" s="170">
      <c r="B6083" s="122" t="inlineStr">
        <is>
          <t>码值：风险度系数</t>
        </is>
      </c>
    </row>
    <row r="6084">
      <c r="B6084" s="24" t="inlineStr">
        <is>
          <t>风险度系数</t>
        </is>
      </c>
      <c r="C6084" s="24" t="inlineStr">
        <is>
          <t>风险度系数</t>
        </is>
      </c>
      <c r="D6084" s="24" t="inlineStr">
        <is>
          <t>01</t>
        </is>
      </c>
      <c r="E6084" s="24" t="inlineStr">
        <is>
          <t>1)  不调整</t>
        </is>
      </c>
    </row>
    <row r="6085">
      <c r="B6085" s="24" t="inlineStr">
        <is>
          <t>风险度系数</t>
        </is>
      </c>
      <c r="C6085" s="24" t="inlineStr">
        <is>
          <t>风险度系数</t>
        </is>
      </c>
      <c r="D6085" s="24" t="inlineStr">
        <is>
          <t>02</t>
        </is>
      </c>
      <c r="E6085" s="24" t="inlineStr">
        <is>
          <t>2)  贷款风险分类为关注</t>
        </is>
      </c>
    </row>
    <row r="6086">
      <c r="B6086" s="24" t="inlineStr">
        <is>
          <t>风险度系数</t>
        </is>
      </c>
      <c r="C6086" s="24" t="inlineStr">
        <is>
          <t>风险度系数</t>
        </is>
      </c>
      <c r="D6086" s="24" t="inlineStr">
        <is>
          <t>03</t>
        </is>
      </c>
      <c r="E6086" s="24" t="inlineStr">
        <is>
          <t>3)  逾期1个月（含）以内，或欠息3个月（含）以内</t>
        </is>
      </c>
    </row>
    <row r="6087" ht="15.95" customHeight="1" s="170">
      <c r="B6087" s="122" t="inlineStr">
        <is>
          <t>码值：CertInputOrgType</t>
        </is>
      </c>
    </row>
    <row r="6088">
      <c r="B6088" s="24" t="inlineStr">
        <is>
          <t>CertInputOrgType</t>
        </is>
      </c>
      <c r="C6088" s="24" t="inlineStr">
        <is>
          <t>机关类型</t>
        </is>
      </c>
      <c r="D6088" s="24" t="inlineStr">
        <is>
          <t>01</t>
        </is>
      </c>
      <c r="E6088" s="24" t="inlineStr">
        <is>
          <t>土地管理部门</t>
        </is>
      </c>
    </row>
    <row r="6089">
      <c r="B6089" s="24" t="inlineStr">
        <is>
          <t>CertInputOrgType</t>
        </is>
      </c>
      <c r="C6089" s="24" t="inlineStr">
        <is>
          <t>机关类型</t>
        </is>
      </c>
      <c r="D6089" s="24" t="inlineStr">
        <is>
          <t>02</t>
        </is>
      </c>
      <c r="E6089" s="24" t="inlineStr">
        <is>
          <t>房屋建筑管理部门</t>
        </is>
      </c>
    </row>
    <row r="6090">
      <c r="B6090" s="24" t="inlineStr">
        <is>
          <t>CertInputOrgType</t>
        </is>
      </c>
      <c r="C6090" s="24" t="inlineStr">
        <is>
          <t>机关类型</t>
        </is>
      </c>
      <c r="D6090" s="24" t="inlineStr">
        <is>
          <t>03</t>
        </is>
      </c>
      <c r="E6090" s="24" t="inlineStr">
        <is>
          <t>林木管理部门</t>
        </is>
      </c>
    </row>
    <row r="6091">
      <c r="B6091" s="24" t="inlineStr">
        <is>
          <t>CertInputOrgType</t>
        </is>
      </c>
      <c r="C6091" s="24" t="inlineStr">
        <is>
          <t>机关类型</t>
        </is>
      </c>
      <c r="D6091" s="24" t="inlineStr">
        <is>
          <t>04</t>
        </is>
      </c>
      <c r="E6091" s="24" t="inlineStr">
        <is>
          <t>运输工具的管理部门</t>
        </is>
      </c>
    </row>
    <row r="6092">
      <c r="B6092" s="24" t="inlineStr">
        <is>
          <t>CertInputOrgType</t>
        </is>
      </c>
      <c r="C6092" s="24" t="inlineStr">
        <is>
          <t>机关类型</t>
        </is>
      </c>
      <c r="D6092" s="24" t="inlineStr">
        <is>
          <t>05</t>
        </is>
      </c>
      <c r="E6092" s="24" t="inlineStr">
        <is>
          <t>工商行政管理部门</t>
        </is>
      </c>
    </row>
    <row r="6093">
      <c r="B6093" s="24" t="inlineStr">
        <is>
          <t>CertInputOrgType</t>
        </is>
      </c>
      <c r="C6093" s="24" t="inlineStr">
        <is>
          <t>机关类型</t>
        </is>
      </c>
      <c r="D6093" s="24" t="inlineStr">
        <is>
          <t>06</t>
        </is>
      </c>
      <c r="E6093" s="24" t="inlineStr">
        <is>
          <t>其他管理部门</t>
        </is>
      </c>
    </row>
    <row r="6094" ht="15.95" customHeight="1" s="170">
      <c r="B6094" s="122" t="inlineStr">
        <is>
          <t>码值：HaveNot</t>
        </is>
      </c>
    </row>
    <row r="6095">
      <c r="B6095" s="24" t="inlineStr">
        <is>
          <t>HaveNot</t>
        </is>
      </c>
      <c r="C6095" s="24" t="inlineStr">
        <is>
          <t>有无</t>
        </is>
      </c>
      <c r="D6095" s="24" t="inlineStr">
        <is>
          <t>1</t>
        </is>
      </c>
      <c r="E6095" s="24" t="inlineStr">
        <is>
          <t>有</t>
        </is>
      </c>
    </row>
    <row r="6096">
      <c r="B6096" s="24" t="inlineStr">
        <is>
          <t>HaveNot</t>
        </is>
      </c>
      <c r="C6096" s="24" t="inlineStr">
        <is>
          <t>有无</t>
        </is>
      </c>
      <c r="D6096" s="24" t="inlineStr">
        <is>
          <t>2</t>
        </is>
      </c>
      <c r="E6096" s="24" t="inlineStr">
        <is>
          <t>无</t>
        </is>
      </c>
    </row>
    <row r="6097" ht="15.95" customHeight="1" s="170">
      <c r="B6097" s="122" t="inlineStr">
        <is>
          <t>码值：ClassifyCognMain</t>
        </is>
      </c>
    </row>
    <row r="6098">
      <c r="B6098" s="24" t="inlineStr">
        <is>
          <t>ClassifyCognMain</t>
        </is>
      </c>
      <c r="C6098" s="24" t="inlineStr">
        <is>
          <t>五级分类认定主界面</t>
        </is>
      </c>
      <c r="D6098" s="24" t="inlineStr">
        <is>
          <t>010</t>
        </is>
      </c>
      <c r="E6098" s="24" t="inlineStr">
        <is>
          <t>按合同分类</t>
        </is>
      </c>
    </row>
    <row r="6099">
      <c r="B6099" s="24" t="inlineStr">
        <is>
          <t>ClassifyCognMain</t>
        </is>
      </c>
      <c r="C6099" s="24" t="inlineStr">
        <is>
          <t>五级分类认定主界面</t>
        </is>
      </c>
      <c r="D6099" s="24" t="inlineStr">
        <is>
          <t>010010</t>
        </is>
      </c>
      <c r="E6099" s="24" t="inlineStr">
        <is>
          <t>需认定资产风险分类</t>
        </is>
      </c>
    </row>
    <row r="6100">
      <c r="B6100" s="24" t="inlineStr">
        <is>
          <t>ClassifyCognMain</t>
        </is>
      </c>
      <c r="C6100" s="24" t="inlineStr">
        <is>
          <t>五级分类认定主界面</t>
        </is>
      </c>
      <c r="D6100" s="24" t="inlineStr">
        <is>
          <t>010020</t>
        </is>
      </c>
      <c r="E6100" s="24" t="inlineStr">
        <is>
          <t>已认定资产风险分类</t>
        </is>
      </c>
    </row>
    <row r="6101">
      <c r="B6101" s="24" t="inlineStr">
        <is>
          <t>ClassifyCognMain</t>
        </is>
      </c>
      <c r="C6101" s="24" t="inlineStr">
        <is>
          <t>五级分类认定主界面</t>
        </is>
      </c>
      <c r="D6101" s="24" t="inlineStr">
        <is>
          <t>020</t>
        </is>
      </c>
      <c r="E6101" s="24" t="inlineStr">
        <is>
          <t>按借据分类</t>
        </is>
      </c>
    </row>
    <row r="6102">
      <c r="B6102" s="24" t="inlineStr">
        <is>
          <t>ClassifyCognMain</t>
        </is>
      </c>
      <c r="C6102" s="24" t="inlineStr">
        <is>
          <t>五级分类认定主界面</t>
        </is>
      </c>
      <c r="D6102" s="24" t="inlineStr">
        <is>
          <t>020010</t>
        </is>
      </c>
      <c r="E6102" s="24" t="inlineStr">
        <is>
          <t>需认定资产风险分类</t>
        </is>
      </c>
    </row>
    <row r="6103">
      <c r="B6103" s="24" t="inlineStr">
        <is>
          <t>ClassifyCognMain</t>
        </is>
      </c>
      <c r="C6103" s="24" t="inlineStr">
        <is>
          <t>五级分类认定主界面</t>
        </is>
      </c>
      <c r="D6103" s="24" t="inlineStr">
        <is>
          <t>020020</t>
        </is>
      </c>
      <c r="E6103" s="24" t="inlineStr">
        <is>
          <t>已认定资产风险分类</t>
        </is>
      </c>
    </row>
    <row r="6104" ht="15.95" customHeight="1" s="170">
      <c r="B6104" s="122" t="inlineStr">
        <is>
          <t>码值：ComponentType</t>
        </is>
      </c>
    </row>
    <row r="6105">
      <c r="B6105" s="24" t="inlineStr">
        <is>
          <t>ComponentType</t>
        </is>
      </c>
      <c r="C6105" s="24" t="inlineStr">
        <is>
          <t>组件类型</t>
        </is>
      </c>
      <c r="D6105" s="24" t="inlineStr">
        <is>
          <t>01</t>
        </is>
      </c>
      <c r="E6105" s="24" t="inlineStr">
        <is>
          <t>基础组件</t>
        </is>
      </c>
    </row>
    <row r="6106">
      <c r="B6106" s="24" t="inlineStr">
        <is>
          <t>ComponentType</t>
        </is>
      </c>
      <c r="C6106" s="24" t="inlineStr">
        <is>
          <t>组件类型</t>
        </is>
      </c>
      <c r="D6106" s="24" t="inlineStr">
        <is>
          <t>02</t>
        </is>
      </c>
      <c r="E6106" s="24" t="inlineStr">
        <is>
          <t>关联组件</t>
        </is>
      </c>
    </row>
    <row r="6107">
      <c r="B6107" s="24" t="inlineStr">
        <is>
          <t>ComponentType</t>
        </is>
      </c>
      <c r="C6107" s="24" t="inlineStr">
        <is>
          <t>组件类型</t>
        </is>
      </c>
      <c r="D6107" s="24" t="inlineStr">
        <is>
          <t>Batch</t>
        </is>
      </c>
      <c r="E6107" s="24" t="inlineStr">
        <is>
          <t>批量程序</t>
        </is>
      </c>
    </row>
    <row r="6108">
      <c r="B6108" s="24" t="inlineStr">
        <is>
          <t>ComponentType</t>
        </is>
      </c>
      <c r="C6108" s="24" t="inlineStr">
        <is>
          <t>组件类型</t>
        </is>
      </c>
      <c r="D6108" s="24" t="inlineStr">
        <is>
          <t>Free</t>
        </is>
      </c>
      <c r="E6108" s="24" t="inlineStr">
        <is>
          <t>自定义</t>
        </is>
      </c>
    </row>
    <row r="6109">
      <c r="B6109" s="24" t="inlineStr">
        <is>
          <t>ComponentType</t>
        </is>
      </c>
      <c r="C6109" s="24" t="inlineStr">
        <is>
          <t>组件类型</t>
        </is>
      </c>
      <c r="D6109" s="24" t="inlineStr">
        <is>
          <t>MainWindow</t>
        </is>
      </c>
      <c r="E6109" s="24" t="inlineStr">
        <is>
          <t>模块主页面</t>
        </is>
      </c>
    </row>
    <row r="6110">
      <c r="B6110" s="24" t="inlineStr">
        <is>
          <t>ComponentType</t>
        </is>
      </c>
      <c r="C6110" s="24" t="inlineStr">
        <is>
          <t>组件类型</t>
        </is>
      </c>
      <c r="D6110" s="24" t="inlineStr">
        <is>
          <t>ObjectViewer</t>
        </is>
      </c>
      <c r="E6110" s="24" t="inlineStr">
        <is>
          <t>对象容器</t>
        </is>
      </c>
    </row>
    <row r="6111">
      <c r="B6111" s="24" t="inlineStr">
        <is>
          <t>ComponentType</t>
        </is>
      </c>
      <c r="C6111" s="24" t="inlineStr">
        <is>
          <t>组件类型</t>
        </is>
      </c>
      <c r="D6111" s="24" t="inlineStr">
        <is>
          <t>Pagelet</t>
        </is>
      </c>
      <c r="E6111" s="24" t="inlineStr">
        <is>
          <t>单页面</t>
        </is>
      </c>
    </row>
    <row r="6112">
      <c r="B6112" s="24" t="inlineStr">
        <is>
          <t>ComponentType</t>
        </is>
      </c>
      <c r="C6112" s="24" t="inlineStr">
        <is>
          <t>组件类型</t>
        </is>
      </c>
      <c r="D6112" s="24" t="inlineStr">
        <is>
          <t>Report</t>
        </is>
      </c>
      <c r="E6112" s="24" t="inlineStr">
        <is>
          <t>报表</t>
        </is>
      </c>
    </row>
    <row r="6113">
      <c r="B6113" s="24" t="inlineStr">
        <is>
          <t>ComponentType</t>
        </is>
      </c>
      <c r="C6113" s="24" t="inlineStr">
        <is>
          <t>组件类型</t>
        </is>
      </c>
      <c r="D6113" s="24" t="inlineStr">
        <is>
          <t>SP</t>
        </is>
      </c>
      <c r="E6113" s="24" t="inlineStr">
        <is>
          <t>存储过程</t>
        </is>
      </c>
    </row>
    <row r="6114">
      <c r="B6114" s="24" t="inlineStr">
        <is>
          <t>ComponentType</t>
        </is>
      </c>
      <c r="C6114" s="24" t="inlineStr">
        <is>
          <t>组件类型</t>
        </is>
      </c>
      <c r="D6114" s="24" t="inlineStr">
        <is>
          <t>SimpleEdit</t>
        </is>
      </c>
      <c r="E6114" s="24" t="inlineStr">
        <is>
          <t>简单增删改</t>
        </is>
      </c>
    </row>
    <row r="6115">
      <c r="B6115" s="24" t="inlineStr">
        <is>
          <t>ComponentType</t>
        </is>
      </c>
      <c r="C6115" s="24" t="inlineStr">
        <is>
          <t>组件类型</t>
        </is>
      </c>
      <c r="D6115" s="24" t="inlineStr">
        <is>
          <t>Tab</t>
        </is>
      </c>
      <c r="E6115" s="24" t="inlineStr">
        <is>
          <t>标签</t>
        </is>
      </c>
    </row>
    <row r="6116">
      <c r="B6116" s="24" t="inlineStr">
        <is>
          <t>ComponentType</t>
        </is>
      </c>
      <c r="C6116" s="24" t="inlineStr">
        <is>
          <t>组件类型</t>
        </is>
      </c>
      <c r="D6116" s="24" t="inlineStr">
        <is>
          <t>View</t>
        </is>
      </c>
      <c r="E6116" s="24" t="inlineStr">
        <is>
          <t>视图</t>
        </is>
      </c>
    </row>
    <row r="6117">
      <c r="B6117" s="24" t="inlineStr">
        <is>
          <t>ComponentType</t>
        </is>
      </c>
      <c r="C6117" s="24" t="inlineStr">
        <is>
          <t>组件类型</t>
        </is>
      </c>
      <c r="D6117" s="24" t="inlineStr">
        <is>
          <t>Wizard</t>
        </is>
      </c>
      <c r="E6117" s="24" t="inlineStr">
        <is>
          <t>向导</t>
        </is>
      </c>
    </row>
    <row r="6118" ht="15.95" customHeight="1" s="170">
      <c r="B6118" s="122" t="inlineStr">
        <is>
          <t>码值：PartnerStatus</t>
        </is>
      </c>
    </row>
    <row r="6119">
      <c r="B6119" s="24" t="inlineStr">
        <is>
          <t>PartnerStatus</t>
        </is>
      </c>
      <c r="C6119" s="24" t="inlineStr">
        <is>
          <t>合作方状态</t>
        </is>
      </c>
      <c r="D6119" s="24" t="inlineStr">
        <is>
          <t>1</t>
        </is>
      </c>
      <c r="E6119" s="24" t="inlineStr">
        <is>
          <t>正常</t>
        </is>
      </c>
    </row>
    <row r="6120">
      <c r="B6120" s="24" t="inlineStr">
        <is>
          <t>PartnerStatus</t>
        </is>
      </c>
      <c r="C6120" s="24" t="inlineStr">
        <is>
          <t>合作方状态</t>
        </is>
      </c>
      <c r="D6120" s="24" t="inlineStr">
        <is>
          <t>2</t>
        </is>
      </c>
      <c r="E6120" s="24" t="inlineStr">
        <is>
          <t>停用</t>
        </is>
      </c>
    </row>
    <row r="6121" ht="15.95" customHeight="1" s="170">
      <c r="B6121" s="122" t="inlineStr">
        <is>
          <t>码值：LandTransFeesStatus</t>
        </is>
      </c>
    </row>
    <row r="6122">
      <c r="B6122" s="24" t="inlineStr">
        <is>
          <t>LandTransFeesStatus</t>
        </is>
      </c>
      <c r="C6122" s="24" t="inlineStr">
        <is>
          <t>土地出让金缴纳状态</t>
        </is>
      </c>
      <c r="D6122" s="24" t="inlineStr">
        <is>
          <t>01</t>
        </is>
      </c>
      <c r="E6122" s="24" t="inlineStr">
        <is>
          <t>未缴纳</t>
        </is>
      </c>
    </row>
    <row r="6123">
      <c r="B6123" s="24" t="inlineStr">
        <is>
          <t>LandTransFeesStatus</t>
        </is>
      </c>
      <c r="C6123" s="24" t="inlineStr">
        <is>
          <t>土地出让金缴纳状态</t>
        </is>
      </c>
      <c r="D6123" s="24" t="inlineStr">
        <is>
          <t>02</t>
        </is>
      </c>
      <c r="E6123" s="24" t="inlineStr">
        <is>
          <t>部分缴纳</t>
        </is>
      </c>
    </row>
    <row r="6124">
      <c r="B6124" s="24" t="inlineStr">
        <is>
          <t>LandTransFeesStatus</t>
        </is>
      </c>
      <c r="C6124" s="24" t="inlineStr">
        <is>
          <t>土地出让金缴纳状态</t>
        </is>
      </c>
      <c r="D6124" s="24" t="inlineStr">
        <is>
          <t>03</t>
        </is>
      </c>
      <c r="E6124" s="24" t="inlineStr">
        <is>
          <t>全额缴纳</t>
        </is>
      </c>
    </row>
    <row r="6125">
      <c r="B6125" s="24" t="inlineStr">
        <is>
          <t>LandTransFeesStatus</t>
        </is>
      </c>
      <c r="C6125" s="24" t="inlineStr">
        <is>
          <t>土地出让金缴纳状态</t>
        </is>
      </c>
      <c r="D6125" s="24" t="inlineStr">
        <is>
          <t>90</t>
        </is>
      </c>
      <c r="E6125" s="24" t="inlineStr">
        <is>
          <t>其他</t>
        </is>
      </c>
    </row>
    <row r="6126" ht="15.95" customHeight="1" s="170">
      <c r="B6126" s="122" t="inlineStr">
        <is>
          <t>码值：CashBackType2</t>
        </is>
      </c>
    </row>
    <row r="6127">
      <c r="B6127" s="24" t="inlineStr">
        <is>
          <t>CashBackType2</t>
        </is>
      </c>
      <c r="C6127" s="24" t="inlineStr">
        <is>
          <t>不良资产收回方式</t>
        </is>
      </c>
      <c r="D6127" s="24" t="inlineStr">
        <is>
          <t>01</t>
        </is>
      </c>
      <c r="E6127" s="24" t="inlineStr">
        <is>
          <t>正常清收</t>
        </is>
      </c>
    </row>
    <row r="6128">
      <c r="B6128" s="24" t="inlineStr">
        <is>
          <t>CashBackType2</t>
        </is>
      </c>
      <c r="C6128" s="24" t="inlineStr">
        <is>
          <t>不良资产收回方式</t>
        </is>
      </c>
      <c r="D6128" s="24" t="inlineStr">
        <is>
          <t>02</t>
        </is>
      </c>
      <c r="E6128" s="24" t="inlineStr">
        <is>
          <t>诉讼</t>
        </is>
      </c>
    </row>
    <row r="6129">
      <c r="B6129" s="24" t="inlineStr">
        <is>
          <t>CashBackType2</t>
        </is>
      </c>
      <c r="C6129" s="24" t="inlineStr">
        <is>
          <t>不良资产收回方式</t>
        </is>
      </c>
      <c r="D6129" s="24" t="inlineStr">
        <is>
          <t>03</t>
        </is>
      </c>
      <c r="E6129" s="24" t="inlineStr">
        <is>
          <t>和解</t>
        </is>
      </c>
    </row>
    <row r="6130">
      <c r="B6130" s="24" t="inlineStr">
        <is>
          <t>CashBackType2</t>
        </is>
      </c>
      <c r="C6130" s="24" t="inlineStr">
        <is>
          <t>不良资产收回方式</t>
        </is>
      </c>
      <c r="D6130" s="24" t="inlineStr">
        <is>
          <t>04</t>
        </is>
      </c>
      <c r="E6130" s="24" t="inlineStr">
        <is>
          <t>债权减让</t>
        </is>
      </c>
    </row>
    <row r="6131">
      <c r="B6131" s="24" t="inlineStr">
        <is>
          <t>CashBackType2</t>
        </is>
      </c>
      <c r="C6131" s="24" t="inlineStr">
        <is>
          <t>不良资产收回方式</t>
        </is>
      </c>
      <c r="D6131" s="24" t="inlineStr">
        <is>
          <t>05</t>
        </is>
      </c>
      <c r="E6131" s="24" t="inlineStr">
        <is>
          <t>其他</t>
        </is>
      </c>
    </row>
    <row r="6132" ht="15.95" customHeight="1" s="170">
      <c r="B6132" s="122" t="inlineStr">
        <is>
          <t>码值：CashBackType1</t>
        </is>
      </c>
    </row>
    <row r="6133">
      <c r="B6133" s="24" t="inlineStr">
        <is>
          <t>CashBackType1</t>
        </is>
      </c>
      <c r="C6133" s="24" t="inlineStr">
        <is>
          <t>抵债资产收回方式</t>
        </is>
      </c>
      <c r="D6133" s="24" t="inlineStr">
        <is>
          <t>01</t>
        </is>
      </c>
      <c r="E6133" s="24" t="inlineStr">
        <is>
          <t>租金收入</t>
        </is>
      </c>
    </row>
    <row r="6134">
      <c r="B6134" s="24" t="inlineStr">
        <is>
          <t>CashBackType1</t>
        </is>
      </c>
      <c r="C6134" s="24" t="inlineStr">
        <is>
          <t>抵债资产收回方式</t>
        </is>
      </c>
      <c r="D6134" s="24" t="inlineStr">
        <is>
          <t>02</t>
        </is>
      </c>
      <c r="E6134" s="24" t="inlineStr">
        <is>
          <t>出售收现</t>
        </is>
      </c>
    </row>
    <row r="6135">
      <c r="B6135" s="24" t="inlineStr">
        <is>
          <t>CashBackType1</t>
        </is>
      </c>
      <c r="C6135" s="24" t="inlineStr">
        <is>
          <t>抵债资产收回方式</t>
        </is>
      </c>
      <c r="D6135" s="24" t="inlineStr">
        <is>
          <t>03</t>
        </is>
      </c>
      <c r="E6135" s="24" t="inlineStr">
        <is>
          <t>转固定资产</t>
        </is>
      </c>
    </row>
    <row r="6136">
      <c r="B6136" s="24" t="inlineStr">
        <is>
          <t>CashBackType1</t>
        </is>
      </c>
      <c r="C6136" s="24" t="inlineStr">
        <is>
          <t>抵债资产收回方式</t>
        </is>
      </c>
      <c r="D6136" s="24" t="inlineStr">
        <is>
          <t>04</t>
        </is>
      </c>
      <c r="E6136" s="24" t="inlineStr">
        <is>
          <t>协议转让收现</t>
        </is>
      </c>
    </row>
    <row r="6137">
      <c r="B6137" s="24" t="inlineStr">
        <is>
          <t>CashBackType1</t>
        </is>
      </c>
      <c r="C6137" s="24" t="inlineStr">
        <is>
          <t>抵债资产收回方式</t>
        </is>
      </c>
      <c r="D6137" s="24" t="inlineStr">
        <is>
          <t>05</t>
        </is>
      </c>
      <c r="E6137" s="24" t="inlineStr">
        <is>
          <t>其他收现</t>
        </is>
      </c>
    </row>
    <row r="6138" ht="15.95" customHeight="1" s="170">
      <c r="B6138" s="122" t="inlineStr">
        <is>
          <t>码值：承购合同的情况</t>
        </is>
      </c>
    </row>
    <row r="6139">
      <c r="B6139" s="24" t="inlineStr">
        <is>
          <t>承购合同的情况</t>
        </is>
      </c>
      <c r="C6139" s="24" t="inlineStr">
        <is>
          <t>承购合同的情况</t>
        </is>
      </c>
      <c r="D6139" s="24" t="inlineStr">
        <is>
          <t>101</t>
        </is>
      </c>
      <c r="E6139" s="24" t="inlineStr">
        <is>
          <t>承购方信誉卓著；合同终止条款完备；项目合同期限略微长于债务期限</t>
        </is>
      </c>
    </row>
    <row r="6140">
      <c r="B6140" s="24" t="inlineStr">
        <is>
          <t>承购合同的情况</t>
        </is>
      </c>
      <c r="C6140" s="24" t="inlineStr">
        <is>
          <t>承购合同的情况</t>
        </is>
      </c>
      <c r="D6140" s="24" t="inlineStr">
        <is>
          <t>102</t>
        </is>
      </c>
      <c r="E6140" s="24" t="inlineStr">
        <is>
          <t>承购方信誉良好；合同终止条款完备；项目合同期限长于债务期限</t>
        </is>
      </c>
    </row>
    <row r="6141">
      <c r="B6141" s="24" t="inlineStr">
        <is>
          <t>承购合同的情况</t>
        </is>
      </c>
      <c r="C6141" s="24" t="inlineStr">
        <is>
          <t>承购合同的情况</t>
        </is>
      </c>
      <c r="D6141" s="24" t="inlineStr">
        <is>
          <t>103</t>
        </is>
      </c>
      <c r="E6141" s="24" t="inlineStr">
        <is>
          <t>承购方信誉一般；合同对终止条款做一般规定；项目合同期限一般等于债务期限</t>
        </is>
      </c>
    </row>
    <row r="6142">
      <c r="B6142" s="24" t="inlineStr">
        <is>
          <t>承购合同的情况</t>
        </is>
      </c>
      <c r="C6142" s="24" t="inlineStr">
        <is>
          <t>承购合同的情况</t>
        </is>
      </c>
      <c r="D6142" s="24" t="inlineStr">
        <is>
          <t>104</t>
        </is>
      </c>
      <c r="E6142" s="24" t="inlineStr">
        <is>
          <t>承购方信誉较差；合同终止条款规定不全；项目合同期限不长于债务期限</t>
        </is>
      </c>
    </row>
    <row r="6143">
      <c r="B6143" s="24" t="inlineStr">
        <is>
          <t>承购合同的情况</t>
        </is>
      </c>
      <c r="C6143" s="24" t="inlineStr">
        <is>
          <t>承购合同的情况</t>
        </is>
      </c>
      <c r="D6143" s="24" t="inlineStr">
        <is>
          <t>201</t>
        </is>
      </c>
      <c r="E6143" s="24" t="inlineStr">
        <is>
          <t>项目产品即所产生的主要服务或商品在世界范围销售顺畅；即使市场价格增长率低于过去，产品也能按预定价格出售</t>
        </is>
      </c>
    </row>
    <row r="6144">
      <c r="B6144" s="24" t="inlineStr">
        <is>
          <t>承购合同的情况</t>
        </is>
      </c>
      <c r="C6144" s="24" t="inlineStr">
        <is>
          <t>承购合同的情况</t>
        </is>
      </c>
      <c r="D6144" s="24" t="inlineStr">
        <is>
          <t>202</t>
        </is>
      </c>
      <c r="E6144" s="24" t="inlineStr">
        <is>
          <t>项目产品即所产生的主要服务或商品在地区市场销售顺畅，即使市场价格增长率低于过去，产品也能按预定价格出售</t>
        </is>
      </c>
    </row>
    <row r="6145">
      <c r="B6145" s="24" t="inlineStr">
        <is>
          <t>承购合同的情况</t>
        </is>
      </c>
      <c r="C6145" s="24" t="inlineStr">
        <is>
          <t>承购合同的情况</t>
        </is>
      </c>
      <c r="D6145" s="24" t="inlineStr">
        <is>
          <t>203</t>
        </is>
      </c>
      <c r="E6145" s="24" t="inlineStr">
        <is>
          <t>商品销售范围有限且只能按比预定价格低的价格出售</t>
        </is>
      </c>
    </row>
    <row r="6146">
      <c r="B6146" s="24" t="inlineStr">
        <is>
          <t>承购合同的情况</t>
        </is>
      </c>
      <c r="C6146" s="24" t="inlineStr">
        <is>
          <t>承购合同的情况</t>
        </is>
      </c>
      <c r="D6146" s="24" t="inlineStr">
        <is>
          <t>204</t>
        </is>
      </c>
      <c r="E6146" s="24" t="inlineStr">
        <is>
          <t>项目产品只有一两个买家或者在有组织市场一般无法售出</t>
        </is>
      </c>
    </row>
    <row r="6147" ht="15.95" customHeight="1" s="170">
      <c r="B6147" s="122" t="inlineStr">
        <is>
          <t>码值：Select_j</t>
        </is>
      </c>
    </row>
    <row r="6148">
      <c r="B6148" s="24" t="inlineStr">
        <is>
          <t>Select_j</t>
        </is>
      </c>
      <c r="C6148" s="24" t="inlineStr">
        <is>
          <t>公司客户详情视图</t>
        </is>
      </c>
      <c r="D6148" s="24" t="inlineStr">
        <is>
          <t>01</t>
        </is>
      </c>
      <c r="E6148" s="24" t="inlineStr">
        <is>
          <t>选项1</t>
        </is>
      </c>
    </row>
    <row r="6149">
      <c r="B6149" s="24" t="inlineStr">
        <is>
          <t>Select_j</t>
        </is>
      </c>
      <c r="C6149" s="24" t="inlineStr">
        <is>
          <t>公司客户详情视图</t>
        </is>
      </c>
      <c r="D6149" s="24" t="inlineStr">
        <is>
          <t>02</t>
        </is>
      </c>
      <c r="E6149" s="24" t="inlineStr">
        <is>
          <t>选项2</t>
        </is>
      </c>
    </row>
    <row r="6150" ht="15.95" customHeight="1" s="170">
      <c r="B6150" s="122" t="inlineStr">
        <is>
          <t>码值：LawCasePhase</t>
        </is>
      </c>
    </row>
    <row r="6151">
      <c r="B6151" s="24" t="inlineStr">
        <is>
          <t>LawCasePhase</t>
        </is>
      </c>
      <c r="C6151" s="24" t="inlineStr">
        <is>
          <t>案件转入阶段</t>
        </is>
      </c>
      <c r="D6151" s="24" t="inlineStr">
        <is>
          <t>020</t>
        </is>
      </c>
      <c r="E6151" s="24" t="inlineStr">
        <is>
          <t>诉讼中</t>
        </is>
      </c>
    </row>
    <row r="6152">
      <c r="B6152" s="24" t="inlineStr">
        <is>
          <t>LawCasePhase</t>
        </is>
      </c>
      <c r="C6152" s="24" t="inlineStr">
        <is>
          <t>案件转入阶段</t>
        </is>
      </c>
      <c r="D6152" s="24" t="inlineStr">
        <is>
          <t>025</t>
        </is>
      </c>
      <c r="E6152" s="24" t="inlineStr">
        <is>
          <t>待执行</t>
        </is>
      </c>
    </row>
    <row r="6153">
      <c r="B6153" s="24" t="inlineStr">
        <is>
          <t>LawCasePhase</t>
        </is>
      </c>
      <c r="C6153" s="24" t="inlineStr">
        <is>
          <t>案件转入阶段</t>
        </is>
      </c>
      <c r="D6153" s="24" t="inlineStr">
        <is>
          <t>030</t>
        </is>
      </c>
      <c r="E6153" s="24" t="inlineStr">
        <is>
          <t>执行中</t>
        </is>
      </c>
    </row>
    <row r="6154" ht="15.95" customHeight="1" s="170">
      <c r="B6154" s="122" t="inlineStr">
        <is>
          <t>码值：SMECreditRequest</t>
        </is>
      </c>
    </row>
    <row r="6155">
      <c r="B6155" s="24" t="inlineStr">
        <is>
          <t>SMECreditRequest</t>
        </is>
      </c>
      <c r="C6155" s="24" t="inlineStr">
        <is>
          <t>产品、服务需求</t>
        </is>
      </c>
      <c r="D6155" s="24" t="inlineStr">
        <is>
          <t>01</t>
        </is>
      </c>
      <c r="E6155" s="24" t="inlineStr">
        <is>
          <t>供不应求</t>
        </is>
      </c>
    </row>
    <row r="6156">
      <c r="B6156" s="24" t="inlineStr">
        <is>
          <t>SMECreditRequest</t>
        </is>
      </c>
      <c r="C6156" s="24" t="inlineStr">
        <is>
          <t>产品、服务需求</t>
        </is>
      </c>
      <c r="D6156" s="24" t="inlineStr">
        <is>
          <t>02</t>
        </is>
      </c>
      <c r="E6156" s="24" t="inlineStr">
        <is>
          <t>供求平衡</t>
        </is>
      </c>
    </row>
    <row r="6157">
      <c r="B6157" s="24" t="inlineStr">
        <is>
          <t>SMECreditRequest</t>
        </is>
      </c>
      <c r="C6157" s="24" t="inlineStr">
        <is>
          <t>产品、服务需求</t>
        </is>
      </c>
      <c r="D6157" s="24" t="inlineStr">
        <is>
          <t>03</t>
        </is>
      </c>
      <c r="E6157" s="24" t="inlineStr">
        <is>
          <t>供过于求</t>
        </is>
      </c>
    </row>
    <row r="6158" ht="15.95" customHeight="1" s="170">
      <c r="B6158" s="122" t="inlineStr">
        <is>
          <t>码值：FlowMain</t>
        </is>
      </c>
    </row>
    <row r="6159">
      <c r="B6159" s="24" t="inlineStr">
        <is>
          <t>FlowMain</t>
        </is>
      </c>
      <c r="C6159" s="24" t="inlineStr">
        <is>
          <t>流程查询主页面</t>
        </is>
      </c>
      <c r="D6159" s="24" t="inlineStr">
        <is>
          <t>010</t>
        </is>
      </c>
      <c r="E6159" s="24" t="inlineStr">
        <is>
          <t>授信业务流程查询</t>
        </is>
      </c>
    </row>
    <row r="6160">
      <c r="B6160" s="24" t="inlineStr">
        <is>
          <t>FlowMain</t>
        </is>
      </c>
      <c r="C6160" s="24" t="inlineStr">
        <is>
          <t>流程查询主页面</t>
        </is>
      </c>
      <c r="D6160" s="24" t="inlineStr">
        <is>
          <t>020</t>
        </is>
      </c>
      <c r="E6160" s="24" t="inlineStr">
        <is>
          <t>最终审批意见查询</t>
        </is>
      </c>
    </row>
    <row r="6161">
      <c r="B6161" s="24" t="inlineStr">
        <is>
          <t>FlowMain</t>
        </is>
      </c>
      <c r="C6161" s="24" t="inlineStr">
        <is>
          <t>流程查询主页面</t>
        </is>
      </c>
      <c r="D6161" s="24" t="inlineStr">
        <is>
          <t>030</t>
        </is>
      </c>
      <c r="E6161" s="24" t="inlineStr">
        <is>
          <t>放贷流程查询</t>
        </is>
      </c>
    </row>
    <row r="6162" ht="15.95" customHeight="1" s="170">
      <c r="B6162" s="122" t="inlineStr">
        <is>
          <t>码值：RateFloatType</t>
        </is>
      </c>
    </row>
    <row r="6163">
      <c r="B6163" s="24" t="inlineStr">
        <is>
          <t>RateFloatType</t>
        </is>
      </c>
      <c r="C6163" s="24" t="inlineStr">
        <is>
          <t>利率浮动方式</t>
        </is>
      </c>
      <c r="D6163" s="24" t="inlineStr">
        <is>
          <t>01</t>
        </is>
      </c>
      <c r="E6163" s="24" t="inlineStr">
        <is>
          <t>浮动点</t>
        </is>
      </c>
    </row>
    <row r="6164">
      <c r="B6164" s="24" t="inlineStr">
        <is>
          <t>RateFloatType</t>
        </is>
      </c>
      <c r="C6164" s="24" t="inlineStr">
        <is>
          <t>利率浮动方式</t>
        </is>
      </c>
      <c r="D6164" s="24" t="inlineStr">
        <is>
          <t>02</t>
        </is>
      </c>
      <c r="E6164" s="24" t="inlineStr">
        <is>
          <t>浮动比</t>
        </is>
      </c>
    </row>
    <row r="6165">
      <c r="B6165" s="24" t="inlineStr">
        <is>
          <t>RateFloatType</t>
        </is>
      </c>
      <c r="C6165" s="24" t="inlineStr">
        <is>
          <t>利率浮动方式</t>
        </is>
      </c>
      <c r="D6165" s="24" t="inlineStr">
        <is>
          <t>03</t>
        </is>
      </c>
      <c r="E6165" s="24" t="inlineStr">
        <is>
          <t>BP</t>
        </is>
      </c>
    </row>
    <row r="6166" ht="15.95" customHeight="1" s="170">
      <c r="B6166" s="122" t="inlineStr">
        <is>
          <t>码值：学历</t>
        </is>
      </c>
    </row>
    <row r="6167">
      <c r="B6167" s="24" t="inlineStr">
        <is>
          <t>学历</t>
        </is>
      </c>
      <c r="C6167" s="24" t="inlineStr">
        <is>
          <t>学历</t>
        </is>
      </c>
      <c r="D6167" s="24" t="inlineStr">
        <is>
          <t>1</t>
        </is>
      </c>
      <c r="E6167" s="24" t="inlineStr">
        <is>
          <t>研究生及研究生以下</t>
        </is>
      </c>
    </row>
    <row r="6168">
      <c r="B6168" s="24" t="inlineStr">
        <is>
          <t>学历</t>
        </is>
      </c>
      <c r="C6168" s="24" t="inlineStr">
        <is>
          <t>学历</t>
        </is>
      </c>
      <c r="D6168" s="24" t="inlineStr">
        <is>
          <t>2</t>
        </is>
      </c>
      <c r="E6168" s="24" t="inlineStr">
        <is>
          <t>本科</t>
        </is>
      </c>
    </row>
    <row r="6169">
      <c r="B6169" s="24" t="inlineStr">
        <is>
          <t>学历</t>
        </is>
      </c>
      <c r="C6169" s="24" t="inlineStr">
        <is>
          <t>学历</t>
        </is>
      </c>
      <c r="D6169" s="24" t="inlineStr">
        <is>
          <t>3</t>
        </is>
      </c>
      <c r="E6169" s="24" t="inlineStr">
        <is>
          <t>本科以下</t>
        </is>
      </c>
    </row>
    <row r="6170" ht="15.95" customHeight="1" s="170">
      <c r="B6170" s="122" t="inlineStr">
        <is>
          <t>码值：BIType</t>
        </is>
      </c>
    </row>
    <row r="6171">
      <c r="B6171" s="24" t="inlineStr">
        <is>
          <t>BIType</t>
        </is>
      </c>
      <c r="C6171" s="24" t="inlineStr">
        <is>
          <t>保险类型</t>
        </is>
      </c>
      <c r="D6171" s="24" t="inlineStr">
        <is>
          <t>01</t>
        </is>
      </c>
      <c r="E6171" s="24" t="inlineStr">
        <is>
          <t>财产保险</t>
        </is>
      </c>
    </row>
    <row r="6172">
      <c r="B6172" s="24" t="inlineStr">
        <is>
          <t>BIType</t>
        </is>
      </c>
      <c r="C6172" s="24" t="inlineStr">
        <is>
          <t>保险类型</t>
        </is>
      </c>
      <c r="D6172" s="24" t="inlineStr">
        <is>
          <t>02</t>
        </is>
      </c>
      <c r="E6172" s="24" t="inlineStr">
        <is>
          <t>人寿保险</t>
        </is>
      </c>
    </row>
    <row r="6173" ht="15.95" customHeight="1" s="170">
      <c r="B6173" s="122" t="inlineStr">
        <is>
          <t>码值：ElectricContractM2Main</t>
        </is>
      </c>
    </row>
    <row r="6174">
      <c r="B6174" s="24" t="inlineStr">
        <is>
          <t>ElectricContractM2Main</t>
        </is>
      </c>
      <c r="C6174" s="24" t="inlineStr">
        <is>
          <t>ElectricContractModel审批主树图</t>
        </is>
      </c>
      <c r="D6174" s="24" t="inlineStr">
        <is>
          <t>N</t>
        </is>
      </c>
      <c r="E6174" s="24" t="inlineStr">
        <is>
          <t>当前工作</t>
        </is>
      </c>
    </row>
    <row r="6175">
      <c r="B6175" s="24" t="inlineStr">
        <is>
          <t>ElectricContractM2Main</t>
        </is>
      </c>
      <c r="C6175" s="24" t="inlineStr">
        <is>
          <t>ElectricContractModel审批主树图</t>
        </is>
      </c>
      <c r="D6175" s="24" t="inlineStr">
        <is>
          <t>Y</t>
        </is>
      </c>
      <c r="E6175" s="24" t="inlineStr">
        <is>
          <t>已完成工作</t>
        </is>
      </c>
    </row>
    <row r="6176" ht="15.95" customHeight="1" s="170">
      <c r="B6176" s="122" t="inlineStr">
        <is>
          <t>码值：PriorityClaim</t>
        </is>
      </c>
    </row>
    <row r="6177">
      <c r="B6177" s="24" t="inlineStr">
        <is>
          <t>PriorityClaim</t>
        </is>
      </c>
      <c r="C6177" s="24" t="inlineStr">
        <is>
          <t>优先受偿权</t>
        </is>
      </c>
      <c r="D6177" s="24" t="inlineStr">
        <is>
          <t>1</t>
        </is>
      </c>
      <c r="E6177" s="24" t="inlineStr">
        <is>
          <t>优先</t>
        </is>
      </c>
    </row>
    <row r="6178">
      <c r="B6178" s="24" t="inlineStr">
        <is>
          <t>PriorityClaim</t>
        </is>
      </c>
      <c r="C6178" s="24" t="inlineStr">
        <is>
          <t>优先受偿权</t>
        </is>
      </c>
      <c r="D6178" s="24" t="inlineStr">
        <is>
          <t>2</t>
        </is>
      </c>
      <c r="E6178" s="24" t="inlineStr">
        <is>
          <t>次优先</t>
        </is>
      </c>
    </row>
    <row r="6179" ht="15.95" customHeight="1" s="170">
      <c r="B6179" s="122" t="inlineStr">
        <is>
          <t>码值：最大逾期天数</t>
        </is>
      </c>
    </row>
    <row r="6180">
      <c r="B6180" s="24" t="inlineStr">
        <is>
          <t>最大逾期天数</t>
        </is>
      </c>
      <c r="C6180" s="24" t="inlineStr">
        <is>
          <t>最大逾期天数</t>
        </is>
      </c>
      <c r="D6180" s="24" t="inlineStr">
        <is>
          <t>1</t>
        </is>
      </c>
      <c r="E6180" s="24" t="inlineStr">
        <is>
          <t>(60,90]</t>
        </is>
      </c>
    </row>
    <row r="6181">
      <c r="B6181" s="24" t="inlineStr">
        <is>
          <t>最大逾期天数</t>
        </is>
      </c>
      <c r="C6181" s="24" t="inlineStr">
        <is>
          <t>最大逾期天数</t>
        </is>
      </c>
      <c r="D6181" s="24" t="inlineStr">
        <is>
          <t>2</t>
        </is>
      </c>
      <c r="E6181" s="24" t="inlineStr">
        <is>
          <t>(30,60]</t>
        </is>
      </c>
    </row>
    <row r="6182">
      <c r="B6182" s="24" t="inlineStr">
        <is>
          <t>最大逾期天数</t>
        </is>
      </c>
      <c r="C6182" s="24" t="inlineStr">
        <is>
          <t>最大逾期天数</t>
        </is>
      </c>
      <c r="D6182" s="24" t="inlineStr">
        <is>
          <t>3</t>
        </is>
      </c>
      <c r="E6182" s="24" t="inlineStr">
        <is>
          <t>(0,30]</t>
        </is>
      </c>
    </row>
    <row r="6183">
      <c r="B6183" s="24" t="inlineStr">
        <is>
          <t>最大逾期天数</t>
        </is>
      </c>
      <c r="C6183" s="24" t="inlineStr">
        <is>
          <t>最大逾期天数</t>
        </is>
      </c>
      <c r="D6183" s="24" t="inlineStr">
        <is>
          <t>4</t>
        </is>
      </c>
      <c r="E6183" s="24" t="inlineStr">
        <is>
          <t>0</t>
        </is>
      </c>
    </row>
    <row r="6184" ht="15.95" customHeight="1" s="170">
      <c r="B6184" s="122" t="inlineStr">
        <is>
          <t>码值：PrepayInterestBaseFlag</t>
        </is>
      </c>
    </row>
    <row r="6185">
      <c r="B6185" s="24" t="inlineStr">
        <is>
          <t>PrepayInterestBaseFlag</t>
        </is>
      </c>
      <c r="C6185" s="24" t="inlineStr">
        <is>
          <t>提前还款利息计算基础选项</t>
        </is>
      </c>
      <c r="D6185" s="24" t="inlineStr">
        <is>
          <t>1</t>
        </is>
      </c>
      <c r="E6185" s="24" t="inlineStr">
        <is>
          <t>按还款本金计息</t>
        </is>
      </c>
    </row>
    <row r="6186">
      <c r="B6186" s="24" t="inlineStr">
        <is>
          <t>PrepayInterestBaseFlag</t>
        </is>
      </c>
      <c r="C6186" s="24" t="inlineStr">
        <is>
          <t>提前还款利息计算基础选项</t>
        </is>
      </c>
      <c r="D6186" s="24" t="inlineStr">
        <is>
          <t>2</t>
        </is>
      </c>
      <c r="E6186" s="24" t="inlineStr">
        <is>
          <t>按贷款余额计息</t>
        </is>
      </c>
    </row>
    <row r="6187" ht="15.95" customHeight="1" s="170">
      <c r="B6187" s="122" t="inlineStr">
        <is>
          <t>码值：人财物产供销部门设置</t>
        </is>
      </c>
    </row>
    <row r="6188">
      <c r="B6188" s="24" t="inlineStr">
        <is>
          <t>人财物产供销部门设置</t>
        </is>
      </c>
      <c r="C6188" s="24" t="inlineStr">
        <is>
          <t>人财物产供销部门设置</t>
        </is>
      </c>
      <c r="D6188" s="24" t="inlineStr">
        <is>
          <t>1</t>
        </is>
      </c>
      <c r="E6188" s="24" t="inlineStr">
        <is>
          <t>6个部门齐全</t>
        </is>
      </c>
    </row>
    <row r="6189">
      <c r="B6189" s="24" t="inlineStr">
        <is>
          <t>人财物产供销部门设置</t>
        </is>
      </c>
      <c r="C6189" s="24" t="inlineStr">
        <is>
          <t>人财物产供销部门设置</t>
        </is>
      </c>
      <c r="D6189" s="24" t="inlineStr">
        <is>
          <t>2</t>
        </is>
      </c>
      <c r="E6189" s="24" t="inlineStr">
        <is>
          <t>3个至5个</t>
        </is>
      </c>
    </row>
    <row r="6190">
      <c r="B6190" s="24" t="inlineStr">
        <is>
          <t>人财物产供销部门设置</t>
        </is>
      </c>
      <c r="C6190" s="24" t="inlineStr">
        <is>
          <t>人财物产供销部门设置</t>
        </is>
      </c>
      <c r="D6190" s="24" t="inlineStr">
        <is>
          <t>3</t>
        </is>
      </c>
      <c r="E6190" s="24" t="inlineStr">
        <is>
          <t>3个以下</t>
        </is>
      </c>
    </row>
    <row r="6191" ht="15.95" customHeight="1" s="170">
      <c r="B6191" s="122" t="inlineStr">
        <is>
          <t>码值：InstitutionLevel</t>
        </is>
      </c>
    </row>
    <row r="6192">
      <c r="B6192" s="24" t="inlineStr">
        <is>
          <t>InstitutionLevel</t>
        </is>
      </c>
      <c r="C6192" s="24" t="inlineStr">
        <is>
          <t>信用等级评估统一导入</t>
        </is>
      </c>
      <c r="D6192" s="24" t="inlineStr">
        <is>
          <t>01</t>
        </is>
      </c>
      <c r="E6192" s="24" t="inlineStr">
        <is>
          <t>中央属/部属</t>
        </is>
      </c>
    </row>
    <row r="6193">
      <c r="B6193" s="24" t="inlineStr">
        <is>
          <t>InstitutionLevel</t>
        </is>
      </c>
      <c r="C6193" s="24" t="inlineStr">
        <is>
          <t>信用等级评估统一导入</t>
        </is>
      </c>
      <c r="D6193" s="24" t="inlineStr">
        <is>
          <t>02</t>
        </is>
      </c>
      <c r="E6193" s="24" t="inlineStr">
        <is>
          <t>省/直辖市/计划单列市/发达市级所属（发达市为全国GDP排名前50强的城市）</t>
        </is>
      </c>
    </row>
    <row r="6194">
      <c r="B6194" s="24" t="inlineStr">
        <is>
          <t>InstitutionLevel</t>
        </is>
      </c>
      <c r="C6194" s="24" t="inlineStr">
        <is>
          <t>信用等级评估统一导入</t>
        </is>
      </c>
      <c r="D6194" s="24" t="inlineStr">
        <is>
          <t>03</t>
        </is>
      </c>
      <c r="E6194" s="24" t="inlineStr">
        <is>
          <t>地市级/发达县、区级（百强县）</t>
        </is>
      </c>
    </row>
    <row r="6195">
      <c r="B6195" s="24" t="inlineStr">
        <is>
          <t>InstitutionLevel</t>
        </is>
      </c>
      <c r="C6195" s="24" t="inlineStr">
        <is>
          <t>信用等级评估统一导入</t>
        </is>
      </c>
      <c r="D6195" s="24" t="inlineStr">
        <is>
          <t>04</t>
        </is>
      </c>
      <c r="E6195" s="24" t="inlineStr">
        <is>
          <t>县/区级所属</t>
        </is>
      </c>
    </row>
    <row r="6196">
      <c r="B6196" s="24" t="inlineStr">
        <is>
          <t>InstitutionLevel</t>
        </is>
      </c>
      <c r="C6196" s="24" t="inlineStr">
        <is>
          <t>信用等级评估统一导入</t>
        </is>
      </c>
      <c r="D6196" s="24" t="inlineStr">
        <is>
          <t>05</t>
        </is>
      </c>
      <c r="E6196" s="24" t="inlineStr">
        <is>
          <t>其他</t>
        </is>
      </c>
    </row>
    <row r="6197" ht="15.95" customHeight="1" s="170">
      <c r="B6197" s="122" t="inlineStr">
        <is>
          <t>码值：DemoListMain</t>
        </is>
      </c>
    </row>
    <row r="6198">
      <c r="B6198" s="24" t="inlineStr">
        <is>
          <t>DemoListMain</t>
        </is>
      </c>
      <c r="C6198" s="24" t="n"/>
      <c r="D6198" s="24" t="inlineStr">
        <is>
          <t>01</t>
        </is>
      </c>
      <c r="E6198" s="24" t="inlineStr">
        <is>
          <t>list页面</t>
        </is>
      </c>
    </row>
    <row r="6199">
      <c r="B6199" s="24" t="inlineStr">
        <is>
          <t>DemoListMain</t>
        </is>
      </c>
      <c r="C6199" s="24" t="n"/>
      <c r="D6199" s="24" t="inlineStr">
        <is>
          <t>0101</t>
        </is>
      </c>
      <c r="E6199" s="24" t="inlineStr">
        <is>
          <t>单选list页面</t>
        </is>
      </c>
    </row>
    <row r="6200">
      <c r="B6200" s="24" t="inlineStr">
        <is>
          <t>DemoListMain</t>
        </is>
      </c>
      <c r="C6200" s="24" t="n"/>
      <c r="D6200" s="24" t="inlineStr">
        <is>
          <t>0102</t>
        </is>
      </c>
      <c r="E6200" s="24" t="inlineStr">
        <is>
          <t>多选list页面</t>
        </is>
      </c>
    </row>
    <row r="6201">
      <c r="B6201" s="24" t="inlineStr">
        <is>
          <t>DemoListMain</t>
        </is>
      </c>
      <c r="C6201" s="24" t="n"/>
      <c r="D6201" s="24" t="inlineStr">
        <is>
          <t>0103</t>
        </is>
      </c>
      <c r="E6201" s="24" t="inlineStr">
        <is>
          <t>自定义模板list页面</t>
        </is>
      </c>
    </row>
    <row r="6202" ht="15.95" customHeight="1" s="170">
      <c r="B6202" s="122" t="inlineStr">
        <is>
          <t>码值：NewFlowApplyMain</t>
        </is>
      </c>
    </row>
    <row r="6203">
      <c r="B6203" s="24" t="inlineStr">
        <is>
          <t>NewFlowApplyMain</t>
        </is>
      </c>
      <c r="C6203" s="24" t="n"/>
      <c r="D6203" s="24" t="inlineStr">
        <is>
          <t>1010</t>
        </is>
      </c>
      <c r="E6203" s="24" t="inlineStr">
        <is>
          <t>申请阶段1010</t>
        </is>
      </c>
    </row>
    <row r="6204">
      <c r="B6204" s="24" t="inlineStr">
        <is>
          <t>NewFlowApplyMain</t>
        </is>
      </c>
      <c r="C6204" s="24" t="n"/>
      <c r="D6204" s="24" t="inlineStr">
        <is>
          <t>1020</t>
        </is>
      </c>
      <c r="E6204" s="24" t="inlineStr">
        <is>
          <t>申请阶段1020</t>
        </is>
      </c>
    </row>
    <row r="6205">
      <c r="B6205" s="24" t="inlineStr">
        <is>
          <t>NewFlowApplyMain</t>
        </is>
      </c>
      <c r="C6205" s="24" t="n"/>
      <c r="D6205" s="24" t="inlineStr">
        <is>
          <t>1030</t>
        </is>
      </c>
      <c r="E6205" s="24" t="inlineStr">
        <is>
          <t>申请阶段1030</t>
        </is>
      </c>
    </row>
    <row r="6206">
      <c r="B6206" s="24" t="inlineStr">
        <is>
          <t>NewFlowApplyMain</t>
        </is>
      </c>
      <c r="C6206" s="24" t="n"/>
      <c r="D6206" s="24" t="inlineStr">
        <is>
          <t>1040</t>
        </is>
      </c>
      <c r="E6206" s="24" t="inlineStr">
        <is>
          <t>申请阶段1040</t>
        </is>
      </c>
    </row>
    <row r="6207">
      <c r="B6207" s="24" t="inlineStr">
        <is>
          <t>NewFlowApplyMain</t>
        </is>
      </c>
      <c r="C6207" s="24" t="n"/>
      <c r="D6207" s="24" t="inlineStr">
        <is>
          <t>1050</t>
        </is>
      </c>
      <c r="E6207" s="24" t="inlineStr">
        <is>
          <t>申请阶段1050</t>
        </is>
      </c>
    </row>
    <row r="6208" ht="15.95" customHeight="1" s="170">
      <c r="B6208" s="122" t="inlineStr">
        <is>
          <t>码值：CooperateMode</t>
        </is>
      </c>
    </row>
    <row r="6209">
      <c r="B6209" s="24" t="inlineStr">
        <is>
          <t>CooperateMode</t>
        </is>
      </c>
      <c r="C6209" s="24" t="inlineStr">
        <is>
          <t>合作模式</t>
        </is>
      </c>
      <c r="D6209" s="24" t="inlineStr">
        <is>
          <t>1</t>
        </is>
      </c>
      <c r="E6209" s="24" t="inlineStr">
        <is>
          <t>经销商模式</t>
        </is>
      </c>
    </row>
    <row r="6210">
      <c r="B6210" s="24" t="inlineStr">
        <is>
          <t>CooperateMode</t>
        </is>
      </c>
      <c r="C6210" s="24" t="inlineStr">
        <is>
          <t>合作模式</t>
        </is>
      </c>
      <c r="D6210" s="24" t="inlineStr">
        <is>
          <t>2</t>
        </is>
      </c>
      <c r="E6210" s="24" t="inlineStr">
        <is>
          <t>生产商模式</t>
        </is>
      </c>
    </row>
    <row r="6211">
      <c r="B6211" s="24" t="inlineStr">
        <is>
          <t>CooperateMode</t>
        </is>
      </c>
      <c r="C6211" s="24" t="inlineStr">
        <is>
          <t>合作模式</t>
        </is>
      </c>
      <c r="D6211" s="24" t="inlineStr">
        <is>
          <t>3</t>
        </is>
      </c>
      <c r="E6211" s="24" t="inlineStr">
        <is>
          <t>经销商+生产商模式</t>
        </is>
      </c>
    </row>
    <row r="6212" ht="15.95" customHeight="1" s="170">
      <c r="B6212" s="122" t="inlineStr">
        <is>
          <t>码值：HouseholdAnnualIncome</t>
        </is>
      </c>
    </row>
    <row r="6213">
      <c r="B6213" s="24" t="inlineStr">
        <is>
          <t>HouseholdAnnualIncome</t>
        </is>
      </c>
      <c r="C6213" s="24" t="inlineStr">
        <is>
          <t>信用等级评估统一导入</t>
        </is>
      </c>
      <c r="D6213" s="24" t="inlineStr">
        <is>
          <t>01</t>
        </is>
      </c>
      <c r="E6213" s="24" t="inlineStr">
        <is>
          <t>10万元以上</t>
        </is>
      </c>
    </row>
    <row r="6214">
      <c r="B6214" s="24" t="inlineStr">
        <is>
          <t>HouseholdAnnualIncome</t>
        </is>
      </c>
      <c r="C6214" s="24" t="inlineStr">
        <is>
          <t>信用等级评估统一导入</t>
        </is>
      </c>
      <c r="D6214" s="24" t="inlineStr">
        <is>
          <t>02</t>
        </is>
      </c>
      <c r="E6214" s="24" t="inlineStr">
        <is>
          <t xml:space="preserve">6万元－10万元(含6万元) </t>
        </is>
      </c>
    </row>
    <row r="6215">
      <c r="B6215" s="24" t="inlineStr">
        <is>
          <t>HouseholdAnnualIncome</t>
        </is>
      </c>
      <c r="C6215" s="24" t="inlineStr">
        <is>
          <t>信用等级评估统一导入</t>
        </is>
      </c>
      <c r="D6215" s="24" t="inlineStr">
        <is>
          <t>03</t>
        </is>
      </c>
      <c r="E6215" s="24" t="inlineStr">
        <is>
          <t xml:space="preserve">6万元以下(含3万元) </t>
        </is>
      </c>
    </row>
    <row r="6216" ht="15.95" customHeight="1" s="170">
      <c r="B6216" s="122" t="inlineStr">
        <is>
          <t>码值：SignalChannel</t>
        </is>
      </c>
    </row>
    <row r="6217">
      <c r="B6217" s="24" t="inlineStr">
        <is>
          <t>SignalChannel</t>
        </is>
      </c>
      <c r="C6217" s="24" t="inlineStr">
        <is>
          <t>预警渠道</t>
        </is>
      </c>
      <c r="D6217" s="24" t="inlineStr">
        <is>
          <t>01</t>
        </is>
      </c>
      <c r="E6217" s="24" t="inlineStr">
        <is>
          <t>录入</t>
        </is>
      </c>
    </row>
    <row r="6218">
      <c r="B6218" s="24" t="inlineStr">
        <is>
          <t>SignalChannel</t>
        </is>
      </c>
      <c r="C6218" s="24" t="inlineStr">
        <is>
          <t>预警渠道</t>
        </is>
      </c>
      <c r="D6218" s="24" t="inlineStr">
        <is>
          <t>02</t>
        </is>
      </c>
      <c r="E6218" s="24" t="inlineStr">
        <is>
          <t>自动</t>
        </is>
      </c>
    </row>
    <row r="6219" ht="15.95" customHeight="1" s="170">
      <c r="B6219" s="122" t="inlineStr">
        <is>
          <t>码值：BookInContractUnderApplyEntMain</t>
        </is>
      </c>
    </row>
    <row r="6220">
      <c r="B6220" s="24" t="inlineStr">
        <is>
          <t>BookInContractUnderApplyEntMain</t>
        </is>
      </c>
      <c r="C6220" s="24" t="inlineStr">
        <is>
          <t>大中额度项下合同登记申请主树图</t>
        </is>
      </c>
      <c r="D6220" s="24" t="inlineStr">
        <is>
          <t>1010</t>
        </is>
      </c>
      <c r="E6220" s="24" t="inlineStr">
        <is>
          <t>待处理</t>
        </is>
      </c>
    </row>
    <row r="6221">
      <c r="B6221" s="24" t="inlineStr">
        <is>
          <t>BookInContractUnderApplyEntMain</t>
        </is>
      </c>
      <c r="C6221" s="24" t="inlineStr">
        <is>
          <t>大中额度项下合同登记申请主树图</t>
        </is>
      </c>
      <c r="D6221" s="24" t="inlineStr">
        <is>
          <t>1020</t>
        </is>
      </c>
      <c r="E6221" s="24" t="inlineStr">
        <is>
          <t>审批中</t>
        </is>
      </c>
    </row>
    <row r="6222">
      <c r="B6222" s="24" t="inlineStr">
        <is>
          <t>BookInContractUnderApplyEntMain</t>
        </is>
      </c>
      <c r="C6222" s="24" t="inlineStr">
        <is>
          <t>大中额度项下合同登记申请主树图</t>
        </is>
      </c>
      <c r="D6222" s="24" t="inlineStr">
        <is>
          <t>1040,1050</t>
        </is>
      </c>
      <c r="E6222" s="24" t="inlineStr">
        <is>
          <t>处理完成</t>
        </is>
      </c>
    </row>
    <row r="6223" ht="15.95" customHeight="1" s="170">
      <c r="B6223" s="122" t="inlineStr">
        <is>
          <t>码值：ButtonSetIR</t>
        </is>
      </c>
    </row>
    <row r="6224">
      <c r="B6224" s="24" t="inlineStr">
        <is>
          <t>ButtonSetIR</t>
        </is>
      </c>
      <c r="C6224" s="24" t="inlineStr">
        <is>
          <t>流程按钮（发票）</t>
        </is>
      </c>
      <c r="D6224" s="24" t="inlineStr">
        <is>
          <t>cancelApply</t>
        </is>
      </c>
      <c r="E6224" s="24" t="inlineStr">
        <is>
          <t>取消申请</t>
        </is>
      </c>
    </row>
    <row r="6225">
      <c r="B6225" s="24" t="inlineStr">
        <is>
          <t>ButtonSetIR</t>
        </is>
      </c>
      <c r="C6225" s="24" t="inlineStr">
        <is>
          <t>流程按钮（发票）</t>
        </is>
      </c>
      <c r="D6225" s="24" t="inlineStr">
        <is>
          <t>doFinish</t>
        </is>
      </c>
      <c r="E6225" s="24" t="inlineStr">
        <is>
          <t>终止</t>
        </is>
      </c>
    </row>
    <row r="6226">
      <c r="B6226" s="24" t="inlineStr">
        <is>
          <t>ButtonSetIR</t>
        </is>
      </c>
      <c r="C6226" s="24" t="inlineStr">
        <is>
          <t>流程按钮（发票）</t>
        </is>
      </c>
      <c r="D6226" s="24" t="inlineStr">
        <is>
          <t>doSubmit</t>
        </is>
      </c>
      <c r="E6226" s="24" t="inlineStr">
        <is>
          <t>提交</t>
        </is>
      </c>
    </row>
    <row r="6227">
      <c r="B6227" s="24" t="inlineStr">
        <is>
          <t>ButtonSetIR</t>
        </is>
      </c>
      <c r="C6227" s="24" t="inlineStr">
        <is>
          <t>流程按钮（发票）</t>
        </is>
      </c>
      <c r="D6227" s="24" t="inlineStr">
        <is>
          <t>drawInvoice</t>
        </is>
      </c>
      <c r="E6227" s="24" t="inlineStr">
        <is>
          <t>开票申请</t>
        </is>
      </c>
    </row>
    <row r="6228">
      <c r="B6228" s="24" t="inlineStr">
        <is>
          <t>ButtonSetIR</t>
        </is>
      </c>
      <c r="C6228" s="24" t="inlineStr">
        <is>
          <t>流程按钮（发票）</t>
        </is>
      </c>
      <c r="D6228" s="24" t="inlineStr">
        <is>
          <t>editTask</t>
        </is>
      </c>
      <c r="E6228" s="24" t="inlineStr">
        <is>
          <t>申请详情</t>
        </is>
      </c>
    </row>
    <row r="6229">
      <c r="B6229" s="24" t="inlineStr">
        <is>
          <t>ButtonSetIR</t>
        </is>
      </c>
      <c r="C6229" s="24" t="inlineStr">
        <is>
          <t>流程按钮（发票）</t>
        </is>
      </c>
      <c r="D6229" s="24" t="inlineStr">
        <is>
          <t>newApply</t>
        </is>
      </c>
      <c r="E6229" s="24" t="inlineStr">
        <is>
          <t>收票申请</t>
        </is>
      </c>
    </row>
    <row r="6230">
      <c r="B6230" s="24" t="inlineStr">
        <is>
          <t>ButtonSetIR</t>
        </is>
      </c>
      <c r="C6230" s="24" t="inlineStr">
        <is>
          <t>流程按钮（发票）</t>
        </is>
      </c>
      <c r="D6230" s="24" t="inlineStr">
        <is>
          <t>scenarAlarm</t>
        </is>
      </c>
      <c r="E6230" s="24" t="inlineStr">
        <is>
          <t>风险探测</t>
        </is>
      </c>
    </row>
    <row r="6231">
      <c r="B6231" s="24" t="inlineStr">
        <is>
          <t>ButtonSetIR</t>
        </is>
      </c>
      <c r="C6231" s="24" t="inlineStr">
        <is>
          <t>流程按钮（发票）</t>
        </is>
      </c>
      <c r="D6231" s="24" t="inlineStr">
        <is>
          <t>signOpinion</t>
        </is>
      </c>
      <c r="E6231" s="24" t="inlineStr">
        <is>
          <t>签署意见</t>
        </is>
      </c>
    </row>
    <row r="6232">
      <c r="B6232" s="24" t="inlineStr">
        <is>
          <t>ButtonSetIR</t>
        </is>
      </c>
      <c r="C6232" s="24" t="inlineStr">
        <is>
          <t>流程按钮（发票）</t>
        </is>
      </c>
      <c r="D6232" s="24" t="inlineStr">
        <is>
          <t>takeBack</t>
        </is>
      </c>
      <c r="E6232" s="24" t="inlineStr">
        <is>
          <t>收回</t>
        </is>
      </c>
    </row>
    <row r="6233">
      <c r="B6233" s="24" t="inlineStr">
        <is>
          <t>ButtonSetIR</t>
        </is>
      </c>
      <c r="C6233" s="24" t="inlineStr">
        <is>
          <t>流程按钮（发票）</t>
        </is>
      </c>
      <c r="D6233" s="24" t="inlineStr">
        <is>
          <t>viewFlowGraph</t>
        </is>
      </c>
      <c r="E6233" s="24" t="inlineStr">
        <is>
          <t>查看流程</t>
        </is>
      </c>
    </row>
    <row r="6234">
      <c r="B6234" s="24" t="inlineStr">
        <is>
          <t>ButtonSetIR</t>
        </is>
      </c>
      <c r="C6234" s="24" t="inlineStr">
        <is>
          <t>流程按钮（发票）</t>
        </is>
      </c>
      <c r="D6234" s="24" t="inlineStr">
        <is>
          <t>viewOpinions</t>
        </is>
      </c>
      <c r="E6234" s="24" t="inlineStr">
        <is>
          <t>查看意见</t>
        </is>
      </c>
    </row>
    <row r="6235">
      <c r="B6235" s="24" t="inlineStr">
        <is>
          <t>ButtonSetIR</t>
        </is>
      </c>
      <c r="C6235" s="24" t="inlineStr">
        <is>
          <t>流程按钮（发票）</t>
        </is>
      </c>
      <c r="D6235" s="24" t="inlineStr">
        <is>
          <t>viewTab</t>
        </is>
      </c>
      <c r="E6235" s="24" t="inlineStr">
        <is>
          <t>申请详情</t>
        </is>
      </c>
    </row>
    <row r="6236" ht="15.95" customHeight="1" s="170">
      <c r="B6236" s="122" t="inlineStr">
        <is>
          <t>码值：SupplierConcentration</t>
        </is>
      </c>
    </row>
    <row r="6237">
      <c r="B6237" s="24" t="inlineStr">
        <is>
          <t>SupplierConcentration</t>
        </is>
      </c>
      <c r="C6237" s="24" t="inlineStr">
        <is>
          <t>信用等级评估统一导入</t>
        </is>
      </c>
      <c r="D6237" s="24" t="inlineStr">
        <is>
          <t>01</t>
        </is>
      </c>
      <c r="E6237" s="24" t="inlineStr">
        <is>
          <t>少于20%</t>
        </is>
      </c>
    </row>
    <row r="6238">
      <c r="B6238" s="24" t="inlineStr">
        <is>
          <t>SupplierConcentration</t>
        </is>
      </c>
      <c r="C6238" s="24" t="inlineStr">
        <is>
          <t>信用等级评估统一导入</t>
        </is>
      </c>
      <c r="D6238" s="24" t="inlineStr">
        <is>
          <t>02</t>
        </is>
      </c>
      <c r="E6238" s="24" t="inlineStr">
        <is>
          <t xml:space="preserve">20 到 30% </t>
        </is>
      </c>
    </row>
    <row r="6239">
      <c r="B6239" s="24" t="inlineStr">
        <is>
          <t>SupplierConcentration</t>
        </is>
      </c>
      <c r="C6239" s="24" t="inlineStr">
        <is>
          <t>信用等级评估统一导入</t>
        </is>
      </c>
      <c r="D6239" s="24" t="inlineStr">
        <is>
          <t>03</t>
        </is>
      </c>
      <c r="E6239" s="24" t="inlineStr">
        <is>
          <t xml:space="preserve">多于30到40% </t>
        </is>
      </c>
    </row>
    <row r="6240">
      <c r="B6240" s="24" t="inlineStr">
        <is>
          <t>SupplierConcentration</t>
        </is>
      </c>
      <c r="C6240" s="24" t="inlineStr">
        <is>
          <t>信用等级评估统一导入</t>
        </is>
      </c>
      <c r="D6240" s="24" t="inlineStr">
        <is>
          <t>04</t>
        </is>
      </c>
      <c r="E6240" s="24" t="inlineStr">
        <is>
          <t>多于40到60%</t>
        </is>
      </c>
    </row>
    <row r="6241">
      <c r="B6241" s="24" t="inlineStr">
        <is>
          <t>SupplierConcentration</t>
        </is>
      </c>
      <c r="C6241" s="24" t="inlineStr">
        <is>
          <t>信用等级评估统一导入</t>
        </is>
      </c>
      <c r="D6241" s="24" t="inlineStr">
        <is>
          <t>05</t>
        </is>
      </c>
      <c r="E6241" s="24" t="inlineStr">
        <is>
          <t>多于60%</t>
        </is>
      </c>
    </row>
    <row r="6242" ht="15.95" customHeight="1" s="170">
      <c r="B6242" s="122" t="inlineStr">
        <is>
          <t>码值：ButtonCertInOut</t>
        </is>
      </c>
    </row>
    <row r="6243">
      <c r="B6243" s="24" t="inlineStr">
        <is>
          <t>ButtonCertInOut</t>
        </is>
      </c>
      <c r="C6243" s="24" t="inlineStr">
        <is>
          <t>出入库按钮</t>
        </is>
      </c>
      <c r="D6243" s="24" t="inlineStr">
        <is>
          <t>cancelApply</t>
        </is>
      </c>
      <c r="E6243" s="24" t="inlineStr">
        <is>
          <t>取消申请</t>
        </is>
      </c>
    </row>
    <row r="6244">
      <c r="B6244" s="24" t="inlineStr">
        <is>
          <t>ButtonCertInOut</t>
        </is>
      </c>
      <c r="C6244" s="24" t="inlineStr">
        <is>
          <t>出入库按钮</t>
        </is>
      </c>
      <c r="D6244" s="24" t="inlineStr">
        <is>
          <t>completeApply</t>
        </is>
      </c>
      <c r="E6244" s="24" t="inlineStr">
        <is>
          <t>提交申请</t>
        </is>
      </c>
    </row>
    <row r="6245">
      <c r="B6245" s="24" t="inlineStr">
        <is>
          <t>ButtonCertInOut</t>
        </is>
      </c>
      <c r="C6245" s="24" t="inlineStr">
        <is>
          <t>出入库按钮</t>
        </is>
      </c>
      <c r="D6245" s="24" t="inlineStr">
        <is>
          <t>detailOpinion</t>
        </is>
      </c>
      <c r="E6245" s="24" t="inlineStr">
        <is>
          <t>查看意见</t>
        </is>
      </c>
    </row>
    <row r="6246">
      <c r="B6246" s="24" t="inlineStr">
        <is>
          <t>ButtonCertInOut</t>
        </is>
      </c>
      <c r="C6246" s="24" t="inlineStr">
        <is>
          <t>出入库按钮</t>
        </is>
      </c>
      <c r="D6246" s="24" t="inlineStr">
        <is>
          <t>newApply</t>
        </is>
      </c>
      <c r="E6246" s="24" t="inlineStr">
        <is>
          <t>新增申请</t>
        </is>
      </c>
    </row>
    <row r="6247">
      <c r="B6247" s="24" t="inlineStr">
        <is>
          <t>ButtonCertInOut</t>
        </is>
      </c>
      <c r="C6247" s="24" t="inlineStr">
        <is>
          <t>出入库按钮</t>
        </is>
      </c>
      <c r="D6247" s="24" t="inlineStr">
        <is>
          <t>signOpinion</t>
        </is>
      </c>
      <c r="E6247" s="24" t="inlineStr">
        <is>
          <t>签署意见</t>
        </is>
      </c>
    </row>
    <row r="6248">
      <c r="B6248" s="24" t="inlineStr">
        <is>
          <t>ButtonCertInOut</t>
        </is>
      </c>
      <c r="C6248" s="24" t="inlineStr">
        <is>
          <t>出入库按钮</t>
        </is>
      </c>
      <c r="D6248" s="24" t="inlineStr">
        <is>
          <t>takeBack</t>
        </is>
      </c>
      <c r="E6248" s="24" t="inlineStr">
        <is>
          <t>主动撤回</t>
        </is>
      </c>
    </row>
    <row r="6249">
      <c r="B6249" s="24" t="inlineStr">
        <is>
          <t>ButtonCertInOut</t>
        </is>
      </c>
      <c r="C6249" s="24" t="inlineStr">
        <is>
          <t>出入库按钮</t>
        </is>
      </c>
      <c r="D6249" s="24" t="inlineStr">
        <is>
          <t>viewApply</t>
        </is>
      </c>
      <c r="E6249" s="24" t="inlineStr">
        <is>
          <t>申请详情</t>
        </is>
      </c>
    </row>
    <row r="6250" ht="15.95" customHeight="1" s="170">
      <c r="B6250" s="122" t="inlineStr">
        <is>
          <t>码值：ApproveSMEConMain</t>
        </is>
      </c>
    </row>
    <row r="6251">
      <c r="B6251" s="24" t="inlineStr">
        <is>
          <t>ApproveSMEConMain</t>
        </is>
      </c>
      <c r="C6251" s="24" t="inlineStr">
        <is>
          <t>中小企业资格认定审批</t>
        </is>
      </c>
      <c r="D6251" s="24" t="inlineStr">
        <is>
          <t>N</t>
        </is>
      </c>
      <c r="E6251" s="24" t="inlineStr">
        <is>
          <t>待办任务</t>
        </is>
      </c>
    </row>
    <row r="6252">
      <c r="B6252" s="24" t="inlineStr">
        <is>
          <t>ApproveSMEConMain</t>
        </is>
      </c>
      <c r="C6252" s="24" t="inlineStr">
        <is>
          <t>中小企业资格认定审批</t>
        </is>
      </c>
      <c r="D6252" s="24" t="inlineStr">
        <is>
          <t>Y</t>
        </is>
      </c>
      <c r="E6252" s="24" t="inlineStr">
        <is>
          <t>已办任务</t>
        </is>
      </c>
    </row>
    <row r="6253">
      <c r="B6253" s="24" t="inlineStr">
        <is>
          <t>ApproveSMEConMain</t>
        </is>
      </c>
      <c r="C6253" s="24" t="inlineStr">
        <is>
          <t>中小企业资格认定审批</t>
        </is>
      </c>
      <c r="D6253" s="24" t="inlineStr">
        <is>
          <t>当前工作/已完成工作</t>
        </is>
      </c>
      <c r="E6253" s="24" t="inlineStr">
        <is>
          <t>阶段名称</t>
        </is>
      </c>
    </row>
    <row r="6254" ht="15.95" customHeight="1" s="170">
      <c r="B6254" s="122" t="inlineStr">
        <is>
          <t>码值：ReportUnit</t>
        </is>
      </c>
    </row>
    <row r="6255">
      <c r="B6255" s="24" t="inlineStr">
        <is>
          <t>ReportUnit</t>
        </is>
      </c>
      <c r="C6255" s="24" t="inlineStr">
        <is>
          <t>报表单位</t>
        </is>
      </c>
      <c r="D6255" s="24" t="inlineStr">
        <is>
          <t>01</t>
        </is>
      </c>
      <c r="E6255" s="24" t="inlineStr">
        <is>
          <t>元</t>
        </is>
      </c>
    </row>
    <row r="6256">
      <c r="B6256" s="24" t="inlineStr">
        <is>
          <t>ReportUnit</t>
        </is>
      </c>
      <c r="C6256" s="24" t="inlineStr">
        <is>
          <t>报表单位</t>
        </is>
      </c>
      <c r="D6256" s="24" t="inlineStr">
        <is>
          <t>02</t>
        </is>
      </c>
      <c r="E6256" s="24" t="inlineStr">
        <is>
          <t>千元</t>
        </is>
      </c>
    </row>
    <row r="6257">
      <c r="B6257" s="24" t="inlineStr">
        <is>
          <t>ReportUnit</t>
        </is>
      </c>
      <c r="C6257" s="24" t="inlineStr">
        <is>
          <t>报表单位</t>
        </is>
      </c>
      <c r="D6257" s="24" t="inlineStr">
        <is>
          <t>03</t>
        </is>
      </c>
      <c r="E6257" s="24" t="inlineStr">
        <is>
          <t>万元</t>
        </is>
      </c>
    </row>
    <row r="6258" ht="15.95" customHeight="1" s="170">
      <c r="B6258" s="122" t="inlineStr">
        <is>
          <t>码值：ReserveApproveMain</t>
        </is>
      </c>
    </row>
    <row r="6259">
      <c r="B6259" s="24" t="inlineStr">
        <is>
          <t>ReserveApproveMain</t>
        </is>
      </c>
      <c r="C6259" s="24" t="inlineStr">
        <is>
          <t>单项计提减值准备认定审批树图</t>
        </is>
      </c>
      <c r="D6259" s="24" t="inlineStr">
        <is>
          <t>N</t>
        </is>
      </c>
      <c r="E6259" s="24" t="inlineStr">
        <is>
          <t>当前工作</t>
        </is>
      </c>
    </row>
    <row r="6260">
      <c r="B6260" s="24" t="inlineStr">
        <is>
          <t>ReserveApproveMain</t>
        </is>
      </c>
      <c r="C6260" s="24" t="inlineStr">
        <is>
          <t>单项计提减值准备认定审批树图</t>
        </is>
      </c>
      <c r="D6260" s="24" t="inlineStr">
        <is>
          <t>Y</t>
        </is>
      </c>
      <c r="E6260" s="24" t="inlineStr">
        <is>
          <t>已完成工作</t>
        </is>
      </c>
    </row>
    <row r="6261" ht="15.95" customHeight="1" s="170">
      <c r="B6261" s="122" t="inlineStr">
        <is>
          <t>码值：CreditApplyFinanceMain</t>
        </is>
      </c>
    </row>
    <row r="6262">
      <c r="B6262" s="24" t="inlineStr">
        <is>
          <t>CreditApplyFinanceMain</t>
        </is>
      </c>
      <c r="C6262" s="24" t="inlineStr">
        <is>
          <t>同业客户申请流程</t>
        </is>
      </c>
      <c r="D6262" s="24" t="inlineStr">
        <is>
          <t>1010</t>
        </is>
      </c>
      <c r="E6262" s="24" t="inlineStr">
        <is>
          <t>待处理申请</t>
        </is>
      </c>
    </row>
    <row r="6263">
      <c r="B6263" s="24" t="inlineStr">
        <is>
          <t>CreditApplyFinanceMain</t>
        </is>
      </c>
      <c r="C6263" s="24" t="inlineStr">
        <is>
          <t>同业客户申请流程</t>
        </is>
      </c>
      <c r="D6263" s="24" t="inlineStr">
        <is>
          <t>1020</t>
        </is>
      </c>
      <c r="E6263" s="24" t="inlineStr">
        <is>
          <t>审批中</t>
        </is>
      </c>
    </row>
    <row r="6264">
      <c r="B6264" s="24" t="inlineStr">
        <is>
          <t>CreditApplyFinanceMain</t>
        </is>
      </c>
      <c r="C6264" s="24" t="inlineStr">
        <is>
          <t>同业客户申请流程</t>
        </is>
      </c>
      <c r="D6264" s="24" t="inlineStr">
        <is>
          <t>1030</t>
        </is>
      </c>
      <c r="E6264" s="24" t="inlineStr">
        <is>
          <t>审批完成</t>
        </is>
      </c>
    </row>
    <row r="6265" ht="15.95" customHeight="1" s="170">
      <c r="B6265" s="122" t="inlineStr">
        <is>
          <t>码值：StockMarketType</t>
        </is>
      </c>
    </row>
    <row r="6266">
      <c r="B6266" s="24" t="inlineStr">
        <is>
          <t>StockMarketType</t>
        </is>
      </c>
      <c r="C6266" s="24" t="inlineStr">
        <is>
          <t>上市类型</t>
        </is>
      </c>
      <c r="D6266" s="24" t="inlineStr">
        <is>
          <t>01</t>
        </is>
      </c>
      <c r="E6266" s="24" t="inlineStr">
        <is>
          <t>沪市A股</t>
        </is>
      </c>
    </row>
    <row r="6267">
      <c r="B6267" s="24" t="inlineStr">
        <is>
          <t>StockMarketType</t>
        </is>
      </c>
      <c r="C6267" s="24" t="inlineStr">
        <is>
          <t>上市类型</t>
        </is>
      </c>
      <c r="D6267" s="24" t="inlineStr">
        <is>
          <t>02</t>
        </is>
      </c>
      <c r="E6267" s="24" t="inlineStr">
        <is>
          <t>沪市B股</t>
        </is>
      </c>
    </row>
    <row r="6268">
      <c r="B6268" s="24" t="inlineStr">
        <is>
          <t>StockMarketType</t>
        </is>
      </c>
      <c r="C6268" s="24" t="inlineStr">
        <is>
          <t>上市类型</t>
        </is>
      </c>
      <c r="D6268" s="24" t="inlineStr">
        <is>
          <t>03</t>
        </is>
      </c>
      <c r="E6268" s="24" t="inlineStr">
        <is>
          <t>深市A股</t>
        </is>
      </c>
    </row>
    <row r="6269">
      <c r="B6269" s="24" t="inlineStr">
        <is>
          <t>StockMarketType</t>
        </is>
      </c>
      <c r="C6269" s="24" t="inlineStr">
        <is>
          <t>上市类型</t>
        </is>
      </c>
      <c r="D6269" s="24" t="inlineStr">
        <is>
          <t>04</t>
        </is>
      </c>
      <c r="E6269" s="24" t="inlineStr">
        <is>
          <t>深市B股</t>
        </is>
      </c>
    </row>
    <row r="6270">
      <c r="B6270" s="24" t="inlineStr">
        <is>
          <t>StockMarketType</t>
        </is>
      </c>
      <c r="C6270" s="24" t="inlineStr">
        <is>
          <t>上市类型</t>
        </is>
      </c>
      <c r="D6270" s="24" t="inlineStr">
        <is>
          <t>05</t>
        </is>
      </c>
      <c r="E6270" s="24" t="inlineStr">
        <is>
          <t>H股</t>
        </is>
      </c>
    </row>
    <row r="6271">
      <c r="B6271" s="24" t="inlineStr">
        <is>
          <t>StockMarketType</t>
        </is>
      </c>
      <c r="C6271" s="24" t="inlineStr">
        <is>
          <t>上市类型</t>
        </is>
      </c>
      <c r="D6271" s="24" t="inlineStr">
        <is>
          <t>06</t>
        </is>
      </c>
      <c r="E6271" s="24" t="inlineStr">
        <is>
          <t>S股</t>
        </is>
      </c>
    </row>
    <row r="6272">
      <c r="B6272" s="24" t="inlineStr">
        <is>
          <t>StockMarketType</t>
        </is>
      </c>
      <c r="C6272" s="24" t="inlineStr">
        <is>
          <t>上市类型</t>
        </is>
      </c>
      <c r="D6272" s="24" t="inlineStr">
        <is>
          <t>07</t>
        </is>
      </c>
      <c r="E6272" s="24" t="inlineStr">
        <is>
          <t>N股</t>
        </is>
      </c>
    </row>
    <row r="6273">
      <c r="B6273" s="24" t="inlineStr">
        <is>
          <t>StockMarketType</t>
        </is>
      </c>
      <c r="C6273" s="24" t="inlineStr">
        <is>
          <t>上市类型</t>
        </is>
      </c>
      <c r="D6273" s="24" t="inlineStr">
        <is>
          <t>08</t>
        </is>
      </c>
      <c r="E6273" s="24" t="inlineStr">
        <is>
          <t>L股</t>
        </is>
      </c>
    </row>
    <row r="6274">
      <c r="B6274" s="24" t="inlineStr">
        <is>
          <t>StockMarketType</t>
        </is>
      </c>
      <c r="C6274" s="24" t="inlineStr">
        <is>
          <t>上市类型</t>
        </is>
      </c>
      <c r="D6274" s="24" t="inlineStr">
        <is>
          <t>09</t>
        </is>
      </c>
      <c r="E6274" s="24" t="inlineStr">
        <is>
          <t>未上市</t>
        </is>
      </c>
    </row>
    <row r="6275">
      <c r="B6275" s="24" t="inlineStr">
        <is>
          <t>StockMarketType</t>
        </is>
      </c>
      <c r="C6275" s="24" t="inlineStr">
        <is>
          <t>上市类型</t>
        </is>
      </c>
      <c r="D6275" s="24" t="inlineStr">
        <is>
          <t>10</t>
        </is>
      </c>
      <c r="E6275" s="24" t="inlineStr">
        <is>
          <t>其他</t>
        </is>
      </c>
    </row>
    <row r="6276" ht="15.95" customHeight="1" s="170">
      <c r="B6276" s="122" t="inlineStr">
        <is>
          <t>码值：行业年限</t>
        </is>
      </c>
    </row>
    <row r="6277">
      <c r="B6277" s="24" t="inlineStr">
        <is>
          <t>行业年限</t>
        </is>
      </c>
      <c r="C6277" s="24" t="inlineStr">
        <is>
          <t>行业年限</t>
        </is>
      </c>
      <c r="D6277" s="24" t="inlineStr">
        <is>
          <t>1</t>
        </is>
      </c>
      <c r="E6277" s="24" t="inlineStr">
        <is>
          <t>5年及5年以上</t>
        </is>
      </c>
    </row>
    <row r="6278">
      <c r="B6278" s="24" t="inlineStr">
        <is>
          <t>行业年限</t>
        </is>
      </c>
      <c r="C6278" s="24" t="inlineStr">
        <is>
          <t>行业年限</t>
        </is>
      </c>
      <c r="D6278" s="24" t="inlineStr">
        <is>
          <t>2</t>
        </is>
      </c>
      <c r="E6278" s="24" t="inlineStr">
        <is>
          <t>3年至5年</t>
        </is>
      </c>
    </row>
    <row r="6279">
      <c r="B6279" s="24" t="inlineStr">
        <is>
          <t>行业年限</t>
        </is>
      </c>
      <c r="C6279" s="24" t="inlineStr">
        <is>
          <t>行业年限</t>
        </is>
      </c>
      <c r="D6279" s="24" t="inlineStr">
        <is>
          <t>3</t>
        </is>
      </c>
      <c r="E6279" s="24" t="inlineStr">
        <is>
          <t>3年以下</t>
        </is>
      </c>
    </row>
    <row r="6280" ht="15.95" customHeight="1" s="170">
      <c r="B6280" s="122" t="inlineStr">
        <is>
          <t>码值：InvoiceDrawApproveMain</t>
        </is>
      </c>
    </row>
    <row r="6281">
      <c r="B6281" s="24" t="inlineStr">
        <is>
          <t>InvoiceDrawApproveMain</t>
        </is>
      </c>
      <c r="C6281" s="24" t="inlineStr">
        <is>
          <t>开票审批主树图</t>
        </is>
      </c>
      <c r="D6281" s="24" t="inlineStr">
        <is>
          <t>N</t>
        </is>
      </c>
      <c r="E6281" s="24" t="inlineStr">
        <is>
          <t>当前工作</t>
        </is>
      </c>
    </row>
    <row r="6282">
      <c r="B6282" s="24" t="inlineStr">
        <is>
          <t>InvoiceDrawApproveMain</t>
        </is>
      </c>
      <c r="C6282" s="24" t="inlineStr">
        <is>
          <t>开票审批主树图</t>
        </is>
      </c>
      <c r="D6282" s="24" t="inlineStr">
        <is>
          <t>Y</t>
        </is>
      </c>
      <c r="E6282" s="24" t="inlineStr">
        <is>
          <t>已完成工作</t>
        </is>
      </c>
    </row>
    <row r="6283" ht="15.95" customHeight="1" s="170">
      <c r="B6283" s="122" t="inlineStr">
        <is>
          <t>码值：投资人背景</t>
        </is>
      </c>
    </row>
    <row r="6284">
      <c r="B6284" s="24" t="inlineStr">
        <is>
          <t>投资人背景</t>
        </is>
      </c>
      <c r="C6284" s="24" t="inlineStr">
        <is>
          <t>投资人背景</t>
        </is>
      </c>
      <c r="D6284" s="24" t="inlineStr">
        <is>
          <t>1</t>
        </is>
      </c>
      <c r="E6284" s="24" t="inlineStr">
        <is>
          <t>政府出资办</t>
        </is>
      </c>
    </row>
    <row r="6285">
      <c r="B6285" s="24" t="inlineStr">
        <is>
          <t>投资人背景</t>
        </is>
      </c>
      <c r="C6285" s="24" t="inlineStr">
        <is>
          <t>投资人背景</t>
        </is>
      </c>
      <c r="D6285" s="24" t="inlineStr">
        <is>
          <t>2</t>
        </is>
      </c>
      <c r="E6285" s="24" t="inlineStr">
        <is>
          <t>大型企业集团出资办</t>
        </is>
      </c>
    </row>
    <row r="6286">
      <c r="B6286" s="24" t="inlineStr">
        <is>
          <t>投资人背景</t>
        </is>
      </c>
      <c r="C6286" s="24" t="inlineStr">
        <is>
          <t>投资人背景</t>
        </is>
      </c>
      <c r="D6286" s="24" t="inlineStr">
        <is>
          <t>3</t>
        </is>
      </c>
      <c r="E6286" s="24" t="inlineStr">
        <is>
          <t>外商出资办</t>
        </is>
      </c>
    </row>
    <row r="6287">
      <c r="B6287" s="24" t="inlineStr">
        <is>
          <t>投资人背景</t>
        </is>
      </c>
      <c r="C6287" s="24" t="inlineStr">
        <is>
          <t>投资人背景</t>
        </is>
      </c>
      <c r="D6287" s="24" t="inlineStr">
        <is>
          <t>4</t>
        </is>
      </c>
      <c r="E6287" s="24" t="inlineStr">
        <is>
          <t>一般企业出资办</t>
        </is>
      </c>
    </row>
    <row r="6288">
      <c r="B6288" s="24" t="inlineStr">
        <is>
          <t>投资人背景</t>
        </is>
      </c>
      <c r="C6288" s="24" t="inlineStr">
        <is>
          <t>投资人背景</t>
        </is>
      </c>
      <c r="D6288" s="24" t="inlineStr">
        <is>
          <t>5</t>
        </is>
      </c>
      <c r="E6288" s="24" t="inlineStr">
        <is>
          <t>私人出资</t>
        </is>
      </c>
    </row>
    <row r="6289" ht="15.95" customHeight="1" s="170">
      <c r="B6289" s="122" t="inlineStr">
        <is>
          <t>码值：所有权性质/控制</t>
        </is>
      </c>
    </row>
    <row r="6290">
      <c r="B6290" s="24" t="inlineStr">
        <is>
          <t>所有权性质/控制</t>
        </is>
      </c>
      <c r="C6290" s="24" t="inlineStr">
        <is>
          <t>所有权性质/控制</t>
        </is>
      </c>
      <c r="D6290" s="24" t="inlineStr">
        <is>
          <t>01</t>
        </is>
      </c>
      <c r="E6290" s="24" t="inlineStr">
        <is>
          <t>项目公司对项目主要资产拥有绝对控制权</t>
        </is>
      </c>
    </row>
    <row r="6291">
      <c r="B6291" s="24" t="inlineStr">
        <is>
          <t>所有权性质/控制</t>
        </is>
      </c>
      <c r="C6291" s="24" t="inlineStr">
        <is>
          <t>所有权性质/控制</t>
        </is>
      </c>
      <c r="D6291" s="24" t="inlineStr">
        <is>
          <t>02</t>
        </is>
      </c>
      <c r="E6291" s="24" t="inlineStr">
        <is>
          <t>项目公司对项目重要资产通过长期租约持有，且长期租约中只有非常有限的中止权</t>
        </is>
      </c>
    </row>
    <row r="6292">
      <c r="B6292" s="24" t="inlineStr">
        <is>
          <t>所有权性质/控制</t>
        </is>
      </c>
      <c r="C6292" s="24" t="inlineStr">
        <is>
          <t>所有权性质/控制</t>
        </is>
      </c>
      <c r="D6292" s="24" t="inlineStr">
        <is>
          <t>03</t>
        </is>
      </c>
      <c r="E6292" s="24" t="inlineStr">
        <is>
          <t>项目公司对项目重要资产通过租约持有，且租约中有可执行的中止权描述</t>
        </is>
      </c>
    </row>
    <row r="6293">
      <c r="B6293" s="24" t="inlineStr">
        <is>
          <t>所有权性质/控制</t>
        </is>
      </c>
      <c r="C6293" s="24" t="inlineStr">
        <is>
          <t>所有权性质/控制</t>
        </is>
      </c>
      <c r="D6293" s="24" t="inlineStr">
        <is>
          <t>04</t>
        </is>
      </c>
      <c r="E6293" s="24" t="inlineStr">
        <is>
          <t>项目某些关键资产被第三方管理和持有，或是租用来得</t>
        </is>
      </c>
    </row>
    <row r="6294">
      <c r="B6294" s="24" t="inlineStr">
        <is>
          <t>所有权性质/控制</t>
        </is>
      </c>
      <c r="C6294" s="24" t="inlineStr">
        <is>
          <t>所有权性质/控制</t>
        </is>
      </c>
      <c r="D6294" s="24" t="inlineStr">
        <is>
          <t>05</t>
        </is>
      </c>
      <c r="E6294" s="24" t="inlineStr">
        <is>
          <t>主要资产通过短期经营租赁或牌照的安排持有</t>
        </is>
      </c>
    </row>
    <row r="6295">
      <c r="B6295" s="24" t="inlineStr">
        <is>
          <t>所有权性质/控制</t>
        </is>
      </c>
      <c r="C6295" s="24" t="inlineStr">
        <is>
          <t>所有权性质/控制</t>
        </is>
      </c>
      <c r="D6295" s="24" t="inlineStr">
        <is>
          <t>06</t>
        </is>
      </c>
      <c r="E6295" s="24" t="inlineStr">
        <is>
          <t>项目公司正在对某一租约合同违约，并有可能导致合同终止</t>
        </is>
      </c>
    </row>
    <row r="6296" ht="15.95" customHeight="1" s="170">
      <c r="B6296" s="122" t="inlineStr">
        <is>
          <t>码值：GeneralBusinessType</t>
        </is>
      </c>
    </row>
    <row r="6297">
      <c r="B6297" s="24" t="inlineStr">
        <is>
          <t>GeneralBusinessType</t>
        </is>
      </c>
      <c r="C6297" s="24" t="inlineStr">
        <is>
          <t>主业务品种分类</t>
        </is>
      </c>
      <c r="D6297" s="24" t="inlineStr">
        <is>
          <t>01</t>
        </is>
      </c>
      <c r="E6297" s="24" t="inlineStr">
        <is>
          <t>贷款</t>
        </is>
      </c>
    </row>
    <row r="6298">
      <c r="B6298" s="24" t="inlineStr">
        <is>
          <t>GeneralBusinessType</t>
        </is>
      </c>
      <c r="C6298" s="24" t="inlineStr">
        <is>
          <t>主业务品种分类</t>
        </is>
      </c>
      <c r="D6298" s="24" t="inlineStr">
        <is>
          <t>02</t>
        </is>
      </c>
      <c r="E6298" s="24" t="inlineStr">
        <is>
          <t>贴现</t>
        </is>
      </c>
    </row>
    <row r="6299">
      <c r="B6299" s="24" t="inlineStr">
        <is>
          <t>GeneralBusinessType</t>
        </is>
      </c>
      <c r="C6299" s="24" t="inlineStr">
        <is>
          <t>主业务品种分类</t>
        </is>
      </c>
      <c r="D6299" s="24" t="inlineStr">
        <is>
          <t>03</t>
        </is>
      </c>
      <c r="E6299" s="24" t="inlineStr">
        <is>
          <t>承兑</t>
        </is>
      </c>
    </row>
    <row r="6300">
      <c r="B6300" s="24" t="inlineStr">
        <is>
          <t>GeneralBusinessType</t>
        </is>
      </c>
      <c r="C6300" s="24" t="inlineStr">
        <is>
          <t>主业务品种分类</t>
        </is>
      </c>
      <c r="D6300" s="24" t="inlineStr">
        <is>
          <t>04</t>
        </is>
      </c>
      <c r="E6300" s="24" t="inlineStr">
        <is>
          <t>保函</t>
        </is>
      </c>
    </row>
    <row r="6301">
      <c r="B6301" s="24" t="inlineStr">
        <is>
          <t>GeneralBusinessType</t>
        </is>
      </c>
      <c r="C6301" s="24" t="inlineStr">
        <is>
          <t>主业务品种分类</t>
        </is>
      </c>
      <c r="D6301" s="24" t="inlineStr">
        <is>
          <t>05</t>
        </is>
      </c>
      <c r="E6301" s="24" t="inlineStr">
        <is>
          <t>信用证</t>
        </is>
      </c>
    </row>
    <row r="6302">
      <c r="B6302" s="24" t="inlineStr">
        <is>
          <t>GeneralBusinessType</t>
        </is>
      </c>
      <c r="C6302" s="24" t="inlineStr">
        <is>
          <t>主业务品种分类</t>
        </is>
      </c>
      <c r="D6302" s="24" t="inlineStr">
        <is>
          <t>06</t>
        </is>
      </c>
      <c r="E6302" s="24" t="inlineStr">
        <is>
          <t>委托贷款</t>
        </is>
      </c>
    </row>
    <row r="6303">
      <c r="B6303" s="24" t="inlineStr">
        <is>
          <t>GeneralBusinessType</t>
        </is>
      </c>
      <c r="C6303" s="24" t="inlineStr">
        <is>
          <t>主业务品种分类</t>
        </is>
      </c>
      <c r="D6303" s="24" t="inlineStr">
        <is>
          <t>07</t>
        </is>
      </c>
      <c r="E6303" s="24" t="inlineStr">
        <is>
          <t>垫款</t>
        </is>
      </c>
    </row>
    <row r="6304">
      <c r="B6304" s="24" t="inlineStr">
        <is>
          <t>GeneralBusinessType</t>
        </is>
      </c>
      <c r="C6304" s="24" t="inlineStr">
        <is>
          <t>主业务品种分类</t>
        </is>
      </c>
      <c r="D6304" s="24" t="inlineStr">
        <is>
          <t>08</t>
        </is>
      </c>
      <c r="E6304" s="24" t="inlineStr">
        <is>
          <t>贷款承诺</t>
        </is>
      </c>
    </row>
    <row r="6305">
      <c r="B6305" s="24" t="inlineStr">
        <is>
          <t>GeneralBusinessType</t>
        </is>
      </c>
      <c r="C6305" s="24" t="inlineStr">
        <is>
          <t>主业务品种分类</t>
        </is>
      </c>
      <c r="D6305" s="24" t="inlineStr">
        <is>
          <t>09</t>
        </is>
      </c>
      <c r="E6305" s="24" t="inlineStr">
        <is>
          <t>担保</t>
        </is>
      </c>
    </row>
    <row r="6306" ht="15.95" customHeight="1" s="170">
      <c r="B6306" s="122" t="inlineStr">
        <is>
          <t>码值：科研组织</t>
        </is>
      </c>
    </row>
    <row r="6307">
      <c r="B6307" s="24" t="inlineStr">
        <is>
          <t>科研组织</t>
        </is>
      </c>
      <c r="C6307" s="24" t="inlineStr">
        <is>
          <t>科研组织</t>
        </is>
      </c>
      <c r="D6307" s="24" t="inlineStr">
        <is>
          <t>1</t>
        </is>
      </c>
      <c r="E6307" s="24" t="inlineStr">
        <is>
          <t>有科研中心</t>
        </is>
      </c>
    </row>
    <row r="6308">
      <c r="B6308" s="24" t="inlineStr">
        <is>
          <t>科研组织</t>
        </is>
      </c>
      <c r="C6308" s="24" t="inlineStr">
        <is>
          <t>科研组织</t>
        </is>
      </c>
      <c r="D6308" s="24" t="inlineStr">
        <is>
          <t>2</t>
        </is>
      </c>
      <c r="E6308" s="24" t="inlineStr">
        <is>
          <t>有科研部门</t>
        </is>
      </c>
    </row>
    <row r="6309">
      <c r="B6309" s="24" t="inlineStr">
        <is>
          <t>科研组织</t>
        </is>
      </c>
      <c r="C6309" s="24" t="inlineStr">
        <is>
          <t>科研组织</t>
        </is>
      </c>
      <c r="D6309" s="24" t="inlineStr">
        <is>
          <t>3</t>
        </is>
      </c>
      <c r="E6309" s="24" t="inlineStr">
        <is>
          <t>有科研小组</t>
        </is>
      </c>
    </row>
    <row r="6310">
      <c r="B6310" s="24" t="inlineStr">
        <is>
          <t>科研组织</t>
        </is>
      </c>
      <c r="C6310" s="24" t="inlineStr">
        <is>
          <t>科研组织</t>
        </is>
      </c>
      <c r="D6310" s="24" t="inlineStr">
        <is>
          <t>4</t>
        </is>
      </c>
      <c r="E6310" s="24" t="inlineStr">
        <is>
          <t>无科研人员</t>
        </is>
      </c>
    </row>
    <row r="6311" ht="15.95" customHeight="1" s="170">
      <c r="B6311" s="122" t="inlineStr">
        <is>
          <t>码值：ProjectFlow1ApplyMain</t>
        </is>
      </c>
    </row>
    <row r="6312">
      <c r="B6312" s="24" t="inlineStr">
        <is>
          <t>ProjectFlow1ApplyMain</t>
        </is>
      </c>
      <c r="C6312" s="24" t="inlineStr">
        <is>
          <t>ProjectFlow1申请主树图</t>
        </is>
      </c>
      <c r="D6312" s="24" t="inlineStr">
        <is>
          <t>1010</t>
        </is>
      </c>
      <c r="E6312" s="24" t="inlineStr">
        <is>
          <t>待处理的申请</t>
        </is>
      </c>
    </row>
    <row r="6313">
      <c r="B6313" s="24" t="inlineStr">
        <is>
          <t>ProjectFlow1ApplyMain</t>
        </is>
      </c>
      <c r="C6313" s="24" t="inlineStr">
        <is>
          <t>ProjectFlow1申请主树图</t>
        </is>
      </c>
      <c r="D6313" s="24" t="inlineStr">
        <is>
          <t>1020</t>
        </is>
      </c>
      <c r="E6313" s="24" t="inlineStr">
        <is>
          <t>审查审批中的申请</t>
        </is>
      </c>
    </row>
    <row r="6314">
      <c r="B6314" s="24" t="inlineStr">
        <is>
          <t>ProjectFlow1ApplyMain</t>
        </is>
      </c>
      <c r="C6314" s="24" t="inlineStr">
        <is>
          <t>ProjectFlow1申请主树图</t>
        </is>
      </c>
      <c r="D6314" s="24" t="inlineStr">
        <is>
          <t>1040</t>
        </is>
      </c>
      <c r="E6314" s="24" t="inlineStr">
        <is>
          <t>审批通过的申请</t>
        </is>
      </c>
    </row>
    <row r="6315" ht="15.95" customHeight="1" s="170">
      <c r="B6315" s="122" t="inlineStr">
        <is>
          <t>码值：TransformApproveMain</t>
        </is>
      </c>
    </row>
    <row r="6316">
      <c r="B6316" s="24" t="inlineStr">
        <is>
          <t>TransformApproveMain</t>
        </is>
      </c>
      <c r="C6316" s="24" t="inlineStr">
        <is>
          <t>担保合同变更审批主树图</t>
        </is>
      </c>
      <c r="D6316" s="24" t="inlineStr">
        <is>
          <t>N</t>
        </is>
      </c>
      <c r="E6316" s="24" t="inlineStr">
        <is>
          <t>待办任务</t>
        </is>
      </c>
    </row>
    <row r="6317">
      <c r="B6317" s="24" t="inlineStr">
        <is>
          <t>TransformApproveMain</t>
        </is>
      </c>
      <c r="C6317" s="24" t="inlineStr">
        <is>
          <t>担保合同变更审批主树图</t>
        </is>
      </c>
      <c r="D6317" s="24" t="inlineStr">
        <is>
          <t>Y</t>
        </is>
      </c>
      <c r="E6317" s="24" t="inlineStr">
        <is>
          <t>已办任务</t>
        </is>
      </c>
    </row>
    <row r="6318" ht="15.95" customHeight="1" s="170">
      <c r="B6318" s="122" t="inlineStr">
        <is>
          <t>码值：经营管理控制</t>
        </is>
      </c>
    </row>
    <row r="6319">
      <c r="B6319" s="24" t="inlineStr">
        <is>
          <t>经营管理控制</t>
        </is>
      </c>
      <c r="C6319" s="24" t="inlineStr">
        <is>
          <t>经营管理控制</t>
        </is>
      </c>
      <c r="D6319" s="24" t="inlineStr">
        <is>
          <t>01</t>
        </is>
      </c>
      <c r="E6319" s="24" t="inlineStr">
        <is>
          <t>政府对年度经营和资本预算进行审查和批准；贷款需政府批准或限制；政府有能力在现有的法律/监管体制下，通过重大政策操纵，对财务状况采取突然的正面影响</t>
        </is>
      </c>
    </row>
    <row r="6320">
      <c r="B6320" s="24" t="inlineStr">
        <is>
          <t>经营管理控制</t>
        </is>
      </c>
      <c r="C6320" s="24" t="inlineStr">
        <is>
          <t>经营管理控制</t>
        </is>
      </c>
      <c r="D6320" s="24" t="inlineStr">
        <is>
          <t>02</t>
        </is>
      </c>
      <c r="E6320" s="24" t="inlineStr">
        <is>
          <t>政府对年度经营和资本预算进行审查和批准；贷款也需政府批准或限制</t>
        </is>
      </c>
    </row>
    <row r="6321">
      <c r="B6321" s="24" t="inlineStr">
        <is>
          <t>经营管理控制</t>
        </is>
      </c>
      <c r="C6321" s="24" t="inlineStr">
        <is>
          <t>经营管理控制</t>
        </is>
      </c>
      <c r="D6321" s="24" t="inlineStr">
        <is>
          <t>03</t>
        </is>
      </c>
      <c r="E6321" s="24" t="inlineStr">
        <is>
          <t>政府不对年度经营和资本预算进行审查和批准；但贷款认需政府批准或限制</t>
        </is>
      </c>
    </row>
    <row r="6322">
      <c r="B6322" s="24" t="inlineStr">
        <is>
          <t>经营管理控制</t>
        </is>
      </c>
      <c r="C6322" s="24" t="inlineStr">
        <is>
          <t>经营管理控制</t>
        </is>
      </c>
      <c r="D6322" s="24" t="inlineStr">
        <is>
          <t>04</t>
        </is>
      </c>
      <c r="E6322" s="24" t="inlineStr">
        <is>
          <t>政府基本对机构的经营管理不进行控制和介入</t>
        </is>
      </c>
    </row>
    <row r="6323" ht="15.95" customHeight="1" s="170">
      <c r="B6323" s="122" t="inlineStr">
        <is>
          <t>码值：ReformShape</t>
        </is>
      </c>
    </row>
    <row r="6324">
      <c r="B6324" s="24" t="inlineStr">
        <is>
          <t>ReformShape</t>
        </is>
      </c>
      <c r="C6324" s="24" t="inlineStr">
        <is>
          <t>重组形式</t>
        </is>
      </c>
      <c r="D6324" s="24" t="inlineStr">
        <is>
          <t>01</t>
        </is>
      </c>
      <c r="E6324" s="24" t="inlineStr">
        <is>
          <t>原1笔不良资产重组成1笔贷款</t>
        </is>
      </c>
    </row>
    <row r="6325">
      <c r="B6325" s="24" t="inlineStr">
        <is>
          <t>ReformShape</t>
        </is>
      </c>
      <c r="C6325" s="24" t="inlineStr">
        <is>
          <t>重组形式</t>
        </is>
      </c>
      <c r="D6325" s="24" t="inlineStr">
        <is>
          <t>02</t>
        </is>
      </c>
      <c r="E6325" s="24" t="inlineStr">
        <is>
          <t>原1笔不良资产重组成多笔贷款</t>
        </is>
      </c>
    </row>
    <row r="6326">
      <c r="B6326" s="24" t="inlineStr">
        <is>
          <t>ReformShape</t>
        </is>
      </c>
      <c r="C6326" s="24" t="inlineStr">
        <is>
          <t>重组形式</t>
        </is>
      </c>
      <c r="D6326" s="24" t="inlineStr">
        <is>
          <t>03</t>
        </is>
      </c>
      <c r="E6326" s="24" t="inlineStr">
        <is>
          <t>原多笔不良资产重组成1笔贷款</t>
        </is>
      </c>
    </row>
    <row r="6327" ht="15.95" customHeight="1" s="170">
      <c r="B6327" s="122" t="inlineStr">
        <is>
          <t>码值：CustomerOrgType</t>
        </is>
      </c>
    </row>
    <row r="6328">
      <c r="B6328" s="24" t="inlineStr">
        <is>
          <t>CustomerOrgType</t>
        </is>
      </c>
      <c r="C6328" s="24" t="inlineStr">
        <is>
          <t>客户机构类型</t>
        </is>
      </c>
      <c r="D6328" s="24" t="inlineStr">
        <is>
          <t>0101</t>
        </is>
      </c>
      <c r="E6328" s="24" t="inlineStr">
        <is>
          <t>法人企业</t>
        </is>
      </c>
    </row>
    <row r="6329">
      <c r="B6329" s="24" t="inlineStr">
        <is>
          <t>CustomerOrgType</t>
        </is>
      </c>
      <c r="C6329" s="24" t="inlineStr">
        <is>
          <t>客户机构类型</t>
        </is>
      </c>
      <c r="D6329" s="24" t="inlineStr">
        <is>
          <t>0102</t>
        </is>
      </c>
      <c r="E6329" s="24" t="inlineStr">
        <is>
          <t>非法人企业</t>
        </is>
      </c>
    </row>
    <row r="6330">
      <c r="B6330" s="24" t="inlineStr">
        <is>
          <t>CustomerOrgType</t>
        </is>
      </c>
      <c r="C6330" s="24" t="inlineStr">
        <is>
          <t>客户机构类型</t>
        </is>
      </c>
      <c r="D6330" s="24" t="inlineStr">
        <is>
          <t>0103</t>
        </is>
      </c>
      <c r="E6330" s="24" t="inlineStr">
        <is>
          <t>事业单位</t>
        </is>
      </c>
    </row>
    <row r="6331">
      <c r="B6331" s="24" t="inlineStr">
        <is>
          <t>CustomerOrgType</t>
        </is>
      </c>
      <c r="C6331" s="24" t="inlineStr">
        <is>
          <t>客户机构类型</t>
        </is>
      </c>
      <c r="D6331" s="24" t="inlineStr">
        <is>
          <t>0104</t>
        </is>
      </c>
      <c r="E6331" s="24" t="inlineStr">
        <is>
          <t>社会团体</t>
        </is>
      </c>
    </row>
    <row r="6332">
      <c r="B6332" s="24" t="inlineStr">
        <is>
          <t>CustomerOrgType</t>
        </is>
      </c>
      <c r="C6332" s="24" t="inlineStr">
        <is>
          <t>客户机构类型</t>
        </is>
      </c>
      <c r="D6332" s="24" t="inlineStr">
        <is>
          <t>0105</t>
        </is>
      </c>
      <c r="E6332" s="24" t="inlineStr">
        <is>
          <t>党政机关</t>
        </is>
      </c>
    </row>
    <row r="6333">
      <c r="B6333" s="24" t="inlineStr">
        <is>
          <t>CustomerOrgType</t>
        </is>
      </c>
      <c r="C6333" s="24" t="inlineStr">
        <is>
          <t>客户机构类型</t>
        </is>
      </c>
      <c r="D6333" s="24" t="inlineStr">
        <is>
          <t>0106</t>
        </is>
      </c>
      <c r="E6333" s="24" t="inlineStr">
        <is>
          <t>金融机构</t>
        </is>
      </c>
    </row>
    <row r="6334">
      <c r="B6334" s="24" t="inlineStr">
        <is>
          <t>CustomerOrgType</t>
        </is>
      </c>
      <c r="C6334" s="24" t="inlineStr">
        <is>
          <t>客户机构类型</t>
        </is>
      </c>
      <c r="D6334" s="24" t="inlineStr">
        <is>
          <t>0199</t>
        </is>
      </c>
      <c r="E6334" s="24" t="inlineStr">
        <is>
          <t>其他</t>
        </is>
      </c>
    </row>
    <row r="6335" ht="15.95" customHeight="1" s="170">
      <c r="B6335" s="122" t="inlineStr">
        <is>
          <t>码值：抵质押未偿还余额比</t>
        </is>
      </c>
    </row>
    <row r="6336">
      <c r="B6336" s="24" t="inlineStr">
        <is>
          <t>抵质押未偿还余额比</t>
        </is>
      </c>
      <c r="C6336" s="24" t="inlineStr">
        <is>
          <t>抵质押未偿还余额比</t>
        </is>
      </c>
      <c r="D6336" s="24" t="inlineStr">
        <is>
          <t>1</t>
        </is>
      </c>
      <c r="E6336" s="24" t="inlineStr">
        <is>
          <t>[0,0.7)</t>
        </is>
      </c>
    </row>
    <row r="6337">
      <c r="B6337" s="24" t="inlineStr">
        <is>
          <t>抵质押未偿还余额比</t>
        </is>
      </c>
      <c r="C6337" s="24" t="inlineStr">
        <is>
          <t>抵质押未偿还余额比</t>
        </is>
      </c>
      <c r="D6337" s="24" t="inlineStr">
        <is>
          <t>2</t>
        </is>
      </c>
      <c r="E6337" s="24" t="inlineStr">
        <is>
          <t>(0.7,0.95)</t>
        </is>
      </c>
    </row>
    <row r="6338">
      <c r="B6338" s="24" t="inlineStr">
        <is>
          <t>抵质押未偿还余额比</t>
        </is>
      </c>
      <c r="C6338" s="24" t="inlineStr">
        <is>
          <t>抵质押未偿还余额比</t>
        </is>
      </c>
      <c r="D6338" s="24" t="inlineStr">
        <is>
          <t>3</t>
        </is>
      </c>
      <c r="E6338" s="24" t="inlineStr">
        <is>
          <t>[0.95,1.05]</t>
        </is>
      </c>
    </row>
    <row r="6339">
      <c r="B6339" s="24" t="inlineStr">
        <is>
          <t>抵质押未偿还余额比</t>
        </is>
      </c>
      <c r="C6339" s="24" t="inlineStr">
        <is>
          <t>抵质押未偿还余额比</t>
        </is>
      </c>
      <c r="D6339" s="24" t="inlineStr">
        <is>
          <t>4</t>
        </is>
      </c>
      <c r="E6339" s="24" t="inlineStr">
        <is>
          <t>&gt;1.05</t>
        </is>
      </c>
    </row>
    <row r="6340" ht="15.95" customHeight="1" s="170">
      <c r="B6340" s="122" t="inlineStr">
        <is>
          <t>码值：Position</t>
        </is>
      </c>
    </row>
    <row r="6341">
      <c r="B6341" s="24" t="inlineStr">
        <is>
          <t>Position</t>
        </is>
      </c>
      <c r="C6341" s="24" t="inlineStr">
        <is>
          <t>职务</t>
        </is>
      </c>
      <c r="D6341" s="24" t="inlineStr">
        <is>
          <t>5100</t>
        </is>
      </c>
      <c r="E6341" s="24" t="inlineStr">
        <is>
          <t>法人代表</t>
        </is>
      </c>
    </row>
    <row r="6342">
      <c r="B6342" s="24" t="inlineStr">
        <is>
          <t>Position</t>
        </is>
      </c>
      <c r="C6342" s="24" t="inlineStr">
        <is>
          <t>职务</t>
        </is>
      </c>
      <c r="D6342" s="24" t="inlineStr">
        <is>
          <t>5101</t>
        </is>
      </c>
      <c r="E6342" s="24" t="inlineStr">
        <is>
          <t>公司董事长</t>
        </is>
      </c>
    </row>
    <row r="6343">
      <c r="B6343" s="24" t="inlineStr">
        <is>
          <t>Position</t>
        </is>
      </c>
      <c r="C6343" s="24" t="inlineStr">
        <is>
          <t>职务</t>
        </is>
      </c>
      <c r="D6343" s="24" t="inlineStr">
        <is>
          <t>5102</t>
        </is>
      </c>
      <c r="E6343" s="24" t="inlineStr">
        <is>
          <t>公司总经理/厂长/CEO</t>
        </is>
      </c>
    </row>
    <row r="6344">
      <c r="B6344" s="24" t="inlineStr">
        <is>
          <t>Position</t>
        </is>
      </c>
      <c r="C6344" s="24" t="inlineStr">
        <is>
          <t>职务</t>
        </is>
      </c>
      <c r="D6344" s="24" t="inlineStr">
        <is>
          <t>5103</t>
        </is>
      </c>
      <c r="E6344" s="24" t="inlineStr">
        <is>
          <t>财务主管/CFO</t>
        </is>
      </c>
    </row>
    <row r="6345">
      <c r="B6345" s="24" t="inlineStr">
        <is>
          <t>Position</t>
        </is>
      </c>
      <c r="C6345" s="24" t="inlineStr">
        <is>
          <t>职务</t>
        </is>
      </c>
      <c r="D6345" s="24" t="inlineStr">
        <is>
          <t>5104</t>
        </is>
      </c>
      <c r="E6345" s="24" t="inlineStr">
        <is>
          <t>授权经办人</t>
        </is>
      </c>
    </row>
    <row r="6346">
      <c r="B6346" s="24" t="inlineStr">
        <is>
          <t>Position</t>
        </is>
      </c>
      <c r="C6346" s="24" t="inlineStr">
        <is>
          <t>职务</t>
        </is>
      </c>
      <c r="D6346" s="24" t="inlineStr">
        <is>
          <t>5105</t>
        </is>
      </c>
      <c r="E6346" s="24" t="inlineStr">
        <is>
          <t>部门经理</t>
        </is>
      </c>
    </row>
    <row r="6347">
      <c r="B6347" s="24" t="inlineStr">
        <is>
          <t>Position</t>
        </is>
      </c>
      <c r="C6347" s="24" t="inlineStr">
        <is>
          <t>职务</t>
        </is>
      </c>
      <c r="D6347" s="24" t="inlineStr">
        <is>
          <t>5106</t>
        </is>
      </c>
      <c r="E6347" s="24" t="inlineStr">
        <is>
          <t>董事</t>
        </is>
      </c>
    </row>
    <row r="6348">
      <c r="B6348" s="24" t="inlineStr">
        <is>
          <t>Position</t>
        </is>
      </c>
      <c r="C6348" s="24" t="inlineStr">
        <is>
          <t>职务</t>
        </is>
      </c>
      <c r="D6348" s="24" t="inlineStr">
        <is>
          <t>5108</t>
        </is>
      </c>
      <c r="E6348" s="24" t="inlineStr">
        <is>
          <t>监事</t>
        </is>
      </c>
    </row>
    <row r="6349">
      <c r="B6349" s="24" t="inlineStr">
        <is>
          <t>Position</t>
        </is>
      </c>
      <c r="C6349" s="24" t="inlineStr">
        <is>
          <t>职务</t>
        </is>
      </c>
      <c r="D6349" s="24" t="inlineStr">
        <is>
          <t>5109</t>
        </is>
      </c>
      <c r="E6349" s="24" t="inlineStr">
        <is>
          <t>实际控制人</t>
        </is>
      </c>
    </row>
    <row r="6350">
      <c r="B6350" s="24" t="inlineStr">
        <is>
          <t>Position</t>
        </is>
      </c>
      <c r="C6350" s="24" t="inlineStr">
        <is>
          <t>职务</t>
        </is>
      </c>
      <c r="D6350" s="24" t="inlineStr">
        <is>
          <t>5110</t>
        </is>
      </c>
      <c r="E6350" s="24" t="inlineStr">
        <is>
          <t>会计</t>
        </is>
      </c>
    </row>
    <row r="6351">
      <c r="B6351" s="24" t="inlineStr">
        <is>
          <t>Position</t>
        </is>
      </c>
      <c r="C6351" s="24" t="inlineStr">
        <is>
          <t>职务</t>
        </is>
      </c>
      <c r="D6351" s="24" t="inlineStr">
        <is>
          <t>5111</t>
        </is>
      </c>
      <c r="E6351" s="24" t="inlineStr">
        <is>
          <t>出纳</t>
        </is>
      </c>
    </row>
    <row r="6352">
      <c r="B6352" s="24" t="inlineStr">
        <is>
          <t>Position</t>
        </is>
      </c>
      <c r="C6352" s="24" t="inlineStr">
        <is>
          <t>职务</t>
        </is>
      </c>
      <c r="D6352" s="24" t="inlineStr">
        <is>
          <t>5112</t>
        </is>
      </c>
      <c r="E6352" s="24" t="inlineStr">
        <is>
          <t>人事专员</t>
        </is>
      </c>
    </row>
    <row r="6353">
      <c r="B6353" s="24" t="inlineStr">
        <is>
          <t>Position</t>
        </is>
      </c>
      <c r="C6353" s="24" t="inlineStr">
        <is>
          <t>职务</t>
        </is>
      </c>
      <c r="D6353" s="24" t="inlineStr">
        <is>
          <t>5113</t>
        </is>
      </c>
      <c r="E6353" s="24" t="inlineStr">
        <is>
          <t>行政专员</t>
        </is>
      </c>
    </row>
    <row r="6354">
      <c r="B6354" s="24" t="inlineStr">
        <is>
          <t>Position</t>
        </is>
      </c>
      <c r="C6354" s="24" t="inlineStr">
        <is>
          <t>职务</t>
        </is>
      </c>
      <c r="D6354" s="24" t="inlineStr">
        <is>
          <t>5114</t>
        </is>
      </c>
      <c r="E6354" s="24" t="inlineStr">
        <is>
          <t>市场专员</t>
        </is>
      </c>
    </row>
    <row r="6355">
      <c r="B6355" s="24" t="inlineStr">
        <is>
          <t>Position</t>
        </is>
      </c>
      <c r="C6355" s="24" t="inlineStr">
        <is>
          <t>职务</t>
        </is>
      </c>
      <c r="D6355" s="24" t="inlineStr">
        <is>
          <t>5115</t>
        </is>
      </c>
      <c r="E6355" s="24" t="inlineStr">
        <is>
          <t>销售代表</t>
        </is>
      </c>
    </row>
    <row r="6356">
      <c r="B6356" s="24" t="inlineStr">
        <is>
          <t>Position</t>
        </is>
      </c>
      <c r="C6356" s="24" t="inlineStr">
        <is>
          <t>职务</t>
        </is>
      </c>
      <c r="D6356" s="24" t="inlineStr">
        <is>
          <t>5116</t>
        </is>
      </c>
      <c r="E6356" s="24" t="inlineStr">
        <is>
          <t>技术员</t>
        </is>
      </c>
    </row>
    <row r="6357">
      <c r="B6357" s="24" t="inlineStr">
        <is>
          <t>Position</t>
        </is>
      </c>
      <c r="C6357" s="24" t="inlineStr">
        <is>
          <t>职务</t>
        </is>
      </c>
      <c r="D6357" s="24" t="inlineStr">
        <is>
          <t>5117</t>
        </is>
      </c>
      <c r="E6357" s="24" t="inlineStr">
        <is>
          <t>其他</t>
        </is>
      </c>
    </row>
    <row r="6358" ht="15.95" customHeight="1" s="170">
      <c r="B6358" s="122" t="inlineStr">
        <is>
          <t>码值：IndRegularCheckApproveMain</t>
        </is>
      </c>
    </row>
    <row r="6359">
      <c r="B6359" s="24" t="inlineStr">
        <is>
          <t>IndRegularCheckApproveMain</t>
        </is>
      </c>
      <c r="C6359" s="24" t="inlineStr">
        <is>
          <t>个人客户贷后检查审批</t>
        </is>
      </c>
      <c r="D6359" s="24" t="inlineStr">
        <is>
          <t>N</t>
        </is>
      </c>
      <c r="E6359" s="24" t="inlineStr">
        <is>
          <t>待办任务</t>
        </is>
      </c>
    </row>
    <row r="6360">
      <c r="B6360" s="24" t="inlineStr">
        <is>
          <t>IndRegularCheckApproveMain</t>
        </is>
      </c>
      <c r="C6360" s="24" t="inlineStr">
        <is>
          <t>个人客户贷后检查审批</t>
        </is>
      </c>
      <c r="D6360" s="24" t="inlineStr">
        <is>
          <t>Y</t>
        </is>
      </c>
      <c r="E6360" s="24" t="inlineStr">
        <is>
          <t>已办任务</t>
        </is>
      </c>
    </row>
    <row r="6361" ht="15.95" customHeight="1" s="170">
      <c r="B6361" s="122" t="inlineStr">
        <is>
          <t>码值：ImplementationScheduling</t>
        </is>
      </c>
    </row>
    <row r="6362">
      <c r="B6362" s="24" t="inlineStr">
        <is>
          <t>ImplementationScheduling</t>
        </is>
      </c>
      <c r="C6362" s="24" t="inlineStr">
        <is>
          <t>信用等级评估统一导入</t>
        </is>
      </c>
      <c r="D6362" s="24" t="inlineStr">
        <is>
          <t>01</t>
        </is>
      </c>
      <c r="E6362" s="24" t="inlineStr">
        <is>
          <t>已完工</t>
        </is>
      </c>
    </row>
    <row r="6363">
      <c r="B6363" s="24" t="inlineStr">
        <is>
          <t>ImplementationScheduling</t>
        </is>
      </c>
      <c r="C6363" s="24" t="inlineStr">
        <is>
          <t>信用等级评估统一导入</t>
        </is>
      </c>
      <c r="D6363" s="24" t="inlineStr">
        <is>
          <t>02</t>
        </is>
      </c>
      <c r="E6363" s="24" t="inlineStr">
        <is>
          <t>建设后期（已完成项目建设的50%以上）</t>
        </is>
      </c>
    </row>
    <row r="6364">
      <c r="B6364" s="24" t="inlineStr">
        <is>
          <t>ImplementationScheduling</t>
        </is>
      </c>
      <c r="C6364" s="24" t="inlineStr">
        <is>
          <t>信用等级评估统一导入</t>
        </is>
      </c>
      <c r="D6364" s="24" t="inlineStr">
        <is>
          <t>03</t>
        </is>
      </c>
      <c r="E6364" s="24" t="inlineStr">
        <is>
          <t>25%-50%</t>
        </is>
      </c>
    </row>
    <row r="6365">
      <c r="B6365" s="24" t="inlineStr">
        <is>
          <t>ImplementationScheduling</t>
        </is>
      </c>
      <c r="C6365" s="24" t="inlineStr">
        <is>
          <t>信用等级评估统一导入</t>
        </is>
      </c>
      <c r="D6365" s="24" t="inlineStr">
        <is>
          <t>04</t>
        </is>
      </c>
      <c r="E6365" s="24" t="inlineStr">
        <is>
          <t>已经完成項目建設的25%以内（含）</t>
        </is>
      </c>
    </row>
    <row r="6366" ht="15.95" customHeight="1" s="170">
      <c r="B6366" s="122" t="inlineStr">
        <is>
          <t>码值：FlowObject</t>
        </is>
      </c>
    </row>
    <row r="6367">
      <c r="B6367" s="24" t="inlineStr">
        <is>
          <t>FlowObject</t>
        </is>
      </c>
      <c r="C6367" s="24" t="inlineStr">
        <is>
          <t>流程参数配置</t>
        </is>
      </c>
      <c r="D6367" s="24" t="inlineStr">
        <is>
          <t>ApproveApply</t>
        </is>
      </c>
      <c r="E6367" s="24" t="inlineStr">
        <is>
          <t>最终审批意见流程</t>
        </is>
      </c>
    </row>
    <row r="6368">
      <c r="B6368" s="24" t="inlineStr">
        <is>
          <t>FlowObject</t>
        </is>
      </c>
      <c r="C6368" s="24" t="inlineStr">
        <is>
          <t>流程参数配置</t>
        </is>
      </c>
      <c r="D6368" s="24" t="inlineStr">
        <is>
          <t>BookContractApply</t>
        </is>
      </c>
      <c r="E6368" s="24" t="inlineStr">
        <is>
          <t>合同登记流程</t>
        </is>
      </c>
    </row>
    <row r="6369">
      <c r="B6369" s="24" t="inlineStr">
        <is>
          <t>FlowObject</t>
        </is>
      </c>
      <c r="C6369" s="24" t="inlineStr">
        <is>
          <t>流程参数配置</t>
        </is>
      </c>
      <c r="D6369" s="24" t="inlineStr">
        <is>
          <t>Classify</t>
        </is>
      </c>
      <c r="E6369" s="24" t="inlineStr">
        <is>
          <t>五级分类认定流程</t>
        </is>
      </c>
    </row>
    <row r="6370">
      <c r="B6370" s="24" t="inlineStr">
        <is>
          <t>FlowObject</t>
        </is>
      </c>
      <c r="C6370" s="24" t="inlineStr">
        <is>
          <t>流程参数配置</t>
        </is>
      </c>
      <c r="D6370" s="24" t="inlineStr">
        <is>
          <t>CreditApply</t>
        </is>
      </c>
      <c r="E6370" s="24" t="inlineStr">
        <is>
          <t>授信业务流程</t>
        </is>
      </c>
    </row>
    <row r="6371">
      <c r="B6371" s="24" t="inlineStr">
        <is>
          <t>FlowObject</t>
        </is>
      </c>
      <c r="C6371" s="24" t="inlineStr">
        <is>
          <t>流程参数配置</t>
        </is>
      </c>
      <c r="D6371" s="24" t="inlineStr">
        <is>
          <t>CreditLineApply</t>
        </is>
      </c>
      <c r="E6371" s="24" t="inlineStr">
        <is>
          <t>中小企业业务审查审批标准流程</t>
        </is>
      </c>
    </row>
    <row r="6372">
      <c r="B6372" s="24" t="inlineStr">
        <is>
          <t>FlowObject</t>
        </is>
      </c>
      <c r="C6372" s="24" t="inlineStr">
        <is>
          <t>流程参数配置</t>
        </is>
      </c>
      <c r="D6372" s="24" t="inlineStr">
        <is>
          <t>CreditSingleApply</t>
        </is>
      </c>
      <c r="E6372" s="24" t="inlineStr">
        <is>
          <t>企业单一授信</t>
        </is>
      </c>
    </row>
    <row r="6373">
      <c r="B6373" s="24" t="inlineStr">
        <is>
          <t>FlowObject</t>
        </is>
      </c>
      <c r="C6373" s="24" t="inlineStr">
        <is>
          <t>流程参数配置</t>
        </is>
      </c>
      <c r="D6373" s="24" t="inlineStr">
        <is>
          <t>Customer</t>
        </is>
      </c>
      <c r="E6373" s="24" t="inlineStr">
        <is>
          <t>信用等级认定流程</t>
        </is>
      </c>
    </row>
    <row r="6374">
      <c r="B6374" s="24" t="inlineStr">
        <is>
          <t>FlowObject</t>
        </is>
      </c>
      <c r="C6374" s="24" t="inlineStr">
        <is>
          <t>流程参数配置</t>
        </is>
      </c>
      <c r="D6374" s="24" t="inlineStr">
        <is>
          <t>PartnerProjChange</t>
        </is>
      </c>
      <c r="E6374" s="24" t="inlineStr">
        <is>
          <t>合作方项目变更申请</t>
        </is>
      </c>
    </row>
    <row r="6375">
      <c r="B6375" s="24" t="inlineStr">
        <is>
          <t>FlowObject</t>
        </is>
      </c>
      <c r="C6375" s="24" t="inlineStr">
        <is>
          <t>流程参数配置</t>
        </is>
      </c>
      <c r="D6375" s="24" t="inlineStr">
        <is>
          <t>PartnerProjectAppl</t>
        </is>
      </c>
      <c r="E6375" s="24" t="inlineStr">
        <is>
          <t>合作方项目申请</t>
        </is>
      </c>
    </row>
    <row r="6376">
      <c r="B6376" s="24" t="inlineStr">
        <is>
          <t>FlowObject</t>
        </is>
      </c>
      <c r="C6376" s="24" t="inlineStr">
        <is>
          <t>流程参数配置</t>
        </is>
      </c>
      <c r="D6376" s="24" t="inlineStr">
        <is>
          <t>PaymentApply</t>
        </is>
      </c>
      <c r="E6376" s="24" t="inlineStr">
        <is>
          <t>支付业务流程</t>
        </is>
      </c>
    </row>
    <row r="6377">
      <c r="B6377" s="24" t="inlineStr">
        <is>
          <t>FlowObject</t>
        </is>
      </c>
      <c r="C6377" s="24" t="inlineStr">
        <is>
          <t>流程参数配置</t>
        </is>
      </c>
      <c r="D6377" s="24" t="inlineStr">
        <is>
          <t>PutOutApply</t>
        </is>
      </c>
      <c r="E6377" s="24" t="inlineStr">
        <is>
          <t>放贷流程</t>
        </is>
      </c>
    </row>
    <row r="6378">
      <c r="B6378" s="24" t="inlineStr">
        <is>
          <t>FlowObject</t>
        </is>
      </c>
      <c r="C6378" s="24" t="inlineStr">
        <is>
          <t>流程参数配置</t>
        </is>
      </c>
      <c r="D6378" s="24" t="inlineStr">
        <is>
          <t>Reserve</t>
        </is>
      </c>
      <c r="E6378" s="24" t="inlineStr">
        <is>
          <t>单项计提减值准备认定流程</t>
        </is>
      </c>
    </row>
    <row r="6379">
      <c r="B6379" s="24" t="inlineStr">
        <is>
          <t>FlowObject</t>
        </is>
      </c>
      <c r="C6379" s="24" t="inlineStr">
        <is>
          <t>流程参数配置</t>
        </is>
      </c>
      <c r="D6379" s="24" t="inlineStr">
        <is>
          <t>RiskAlarmApply</t>
        </is>
      </c>
      <c r="E6379" s="24" t="inlineStr">
        <is>
          <t>风险预警分发认定流程</t>
        </is>
      </c>
    </row>
    <row r="6380">
      <c r="B6380" s="24" t="inlineStr">
        <is>
          <t>FlowObject</t>
        </is>
      </c>
      <c r="C6380" s="24" t="inlineStr">
        <is>
          <t>流程参数配置</t>
        </is>
      </c>
      <c r="D6380" s="24" t="inlineStr">
        <is>
          <t>SMEApply</t>
        </is>
      </c>
      <c r="E6380" s="24" t="inlineStr">
        <is>
          <t>中小企业资格流程</t>
        </is>
      </c>
    </row>
    <row r="6381">
      <c r="B6381" s="24" t="inlineStr">
        <is>
          <t>FlowObject</t>
        </is>
      </c>
      <c r="C6381" s="24" t="inlineStr">
        <is>
          <t>流程参数配置</t>
        </is>
      </c>
      <c r="D6381" s="24" t="inlineStr">
        <is>
          <t>TransformApply</t>
        </is>
      </c>
      <c r="E6381" s="24" t="inlineStr">
        <is>
          <t>担保合同变更认定流程</t>
        </is>
      </c>
    </row>
    <row r="6382" ht="15.95" customHeight="1" s="170">
      <c r="B6382" s="122" t="inlineStr">
        <is>
          <t>码值：ReInteFreq</t>
        </is>
      </c>
    </row>
    <row r="6383">
      <c r="B6383" s="24" t="inlineStr">
        <is>
          <t>ReInteFreq</t>
        </is>
      </c>
      <c r="C6383" s="24" t="inlineStr">
        <is>
          <t>还息频率</t>
        </is>
      </c>
      <c r="D6383" s="24" t="inlineStr">
        <is>
          <t>1</t>
        </is>
      </c>
      <c r="E6383" s="24" t="inlineStr">
        <is>
          <t>按月</t>
        </is>
      </c>
    </row>
    <row r="6384">
      <c r="B6384" s="24" t="inlineStr">
        <is>
          <t>ReInteFreq</t>
        </is>
      </c>
      <c r="C6384" s="24" t="inlineStr">
        <is>
          <t>还息频率</t>
        </is>
      </c>
      <c r="D6384" s="24" t="inlineStr">
        <is>
          <t>2</t>
        </is>
      </c>
      <c r="E6384" s="24" t="inlineStr">
        <is>
          <t>按季</t>
        </is>
      </c>
    </row>
    <row r="6385">
      <c r="B6385" s="24" t="inlineStr">
        <is>
          <t>ReInteFreq</t>
        </is>
      </c>
      <c r="C6385" s="24" t="inlineStr">
        <is>
          <t>还息频率</t>
        </is>
      </c>
      <c r="D6385" s="24" t="inlineStr">
        <is>
          <t>3</t>
        </is>
      </c>
      <c r="E6385" s="24" t="inlineStr">
        <is>
          <t>一次</t>
        </is>
      </c>
    </row>
    <row r="6386">
      <c r="B6386" s="24" t="inlineStr">
        <is>
          <t>ReInteFreq</t>
        </is>
      </c>
      <c r="C6386" s="24" t="inlineStr">
        <is>
          <t>还息频率</t>
        </is>
      </c>
      <c r="D6386" s="24" t="inlineStr">
        <is>
          <t>4</t>
        </is>
      </c>
      <c r="E6386" s="24" t="inlineStr">
        <is>
          <t>按半年</t>
        </is>
      </c>
    </row>
    <row r="6387">
      <c r="B6387" s="24" t="inlineStr">
        <is>
          <t>ReInteFreq</t>
        </is>
      </c>
      <c r="C6387" s="24" t="inlineStr">
        <is>
          <t>还息频率</t>
        </is>
      </c>
      <c r="D6387" s="24" t="inlineStr">
        <is>
          <t>5</t>
        </is>
      </c>
      <c r="E6387" s="24" t="inlineStr">
        <is>
          <t>按年</t>
        </is>
      </c>
    </row>
    <row r="6388">
      <c r="B6388" s="24" t="inlineStr">
        <is>
          <t>ReInteFreq</t>
        </is>
      </c>
      <c r="C6388" s="24" t="inlineStr">
        <is>
          <t>还息频率</t>
        </is>
      </c>
      <c r="D6388" s="24" t="inlineStr">
        <is>
          <t>7</t>
        </is>
      </c>
      <c r="E6388" s="24" t="inlineStr">
        <is>
          <t>按双周</t>
        </is>
      </c>
    </row>
    <row r="6389" ht="15.95" customHeight="1" s="170">
      <c r="B6389" s="122" t="inlineStr">
        <is>
          <t>码值：AgencType</t>
        </is>
      </c>
    </row>
    <row r="6390">
      <c r="B6390" s="24" t="inlineStr">
        <is>
          <t>AgencType</t>
        </is>
      </c>
      <c r="C6390" s="24" t="inlineStr">
        <is>
          <t>担保机构类型</t>
        </is>
      </c>
      <c r="D6390" s="24" t="inlineStr">
        <is>
          <t>01</t>
        </is>
      </c>
      <c r="E6390" s="24" t="inlineStr">
        <is>
          <t>评估公司</t>
        </is>
      </c>
    </row>
    <row r="6391">
      <c r="B6391" s="24" t="inlineStr">
        <is>
          <t>AgencType</t>
        </is>
      </c>
      <c r="C6391" s="24" t="inlineStr">
        <is>
          <t>担保机构类型</t>
        </is>
      </c>
      <c r="D6391" s="24" t="inlineStr">
        <is>
          <t>02</t>
        </is>
      </c>
      <c r="E6391" s="24" t="inlineStr">
        <is>
          <t>公证公司</t>
        </is>
      </c>
    </row>
    <row r="6392">
      <c r="B6392" s="24" t="inlineStr">
        <is>
          <t>AgencType</t>
        </is>
      </c>
      <c r="C6392" s="24" t="inlineStr">
        <is>
          <t>担保机构类型</t>
        </is>
      </c>
      <c r="D6392" s="24" t="inlineStr">
        <is>
          <t>03</t>
        </is>
      </c>
      <c r="E6392" s="24" t="inlineStr">
        <is>
          <t>追索代理机构</t>
        </is>
      </c>
    </row>
    <row r="6393">
      <c r="B6393" s="24" t="inlineStr">
        <is>
          <t>AgencType</t>
        </is>
      </c>
      <c r="C6393" s="24" t="inlineStr">
        <is>
          <t>担保机构类型</t>
        </is>
      </c>
      <c r="D6393" s="24" t="inlineStr">
        <is>
          <t>04</t>
        </is>
      </c>
      <c r="E6393" s="24" t="inlineStr">
        <is>
          <t>受理机构</t>
        </is>
      </c>
    </row>
    <row r="6394">
      <c r="B6394" s="24" t="inlineStr">
        <is>
          <t>AgencType</t>
        </is>
      </c>
      <c r="C6394" s="24" t="inlineStr">
        <is>
          <t>担保机构类型</t>
        </is>
      </c>
      <c r="D6394" s="24" t="inlineStr">
        <is>
          <t>05</t>
        </is>
      </c>
      <c r="E6394" s="24" t="inlineStr">
        <is>
          <t>代理机构</t>
        </is>
      </c>
    </row>
    <row r="6395" ht="15.95" customHeight="1" s="170">
      <c r="B6395" s="122" t="inlineStr">
        <is>
          <t>码值：CreditStructure</t>
        </is>
      </c>
    </row>
    <row r="6396">
      <c r="B6396" s="24" t="inlineStr">
        <is>
          <t>CreditStructure</t>
        </is>
      </c>
      <c r="C6396" s="24" t="inlineStr">
        <is>
          <t>信用等级评估统一导入</t>
        </is>
      </c>
      <c r="D6396" s="24" t="inlineStr">
        <is>
          <t>01</t>
        </is>
      </c>
      <c r="E6396" s="24" t="inlineStr">
        <is>
          <t>集团公司采用集团授信，母公司对子公司债务承担完全连带责任</t>
        </is>
      </c>
    </row>
    <row r="6397">
      <c r="B6397" s="24" t="inlineStr">
        <is>
          <t>CreditStructure</t>
        </is>
      </c>
      <c r="C6397" s="24" t="inlineStr">
        <is>
          <t>信用等级评估统一导入</t>
        </is>
      </c>
      <c r="D6397" s="24" t="inlineStr">
        <is>
          <t>02</t>
        </is>
      </c>
      <c r="E6397" s="24" t="inlineStr">
        <is>
          <t>采用单独授信，母公司对子公司债务只承担有限责任</t>
        </is>
      </c>
    </row>
    <row r="6398">
      <c r="B6398" s="24" t="inlineStr">
        <is>
          <t>CreditStructure</t>
        </is>
      </c>
      <c r="C6398" s="24" t="inlineStr">
        <is>
          <t>信用等级评估统一导入</t>
        </is>
      </c>
      <c r="D6398" s="24" t="inlineStr">
        <is>
          <t>03</t>
        </is>
      </c>
      <c r="E6398" s="24" t="inlineStr">
        <is>
          <t>虽然为子母公司关系，但是母公司对子公司债务不承担责任</t>
        </is>
      </c>
    </row>
    <row r="6399">
      <c r="B6399" s="24" t="inlineStr">
        <is>
          <t>CreditStructure</t>
        </is>
      </c>
      <c r="C6399" s="24" t="inlineStr">
        <is>
          <t>信用等级评估统一导入</t>
        </is>
      </c>
      <c r="D6399" s="24" t="inlineStr">
        <is>
          <t>04</t>
        </is>
      </c>
      <c r="E6399" s="24" t="inlineStr">
        <is>
          <t>非子母公司关系</t>
        </is>
      </c>
    </row>
    <row r="6400" ht="15.95" customHeight="1" s="170">
      <c r="B6400" s="122" t="inlineStr">
        <is>
          <t>码值：GroupType</t>
        </is>
      </c>
    </row>
    <row r="6401">
      <c r="B6401" s="24" t="inlineStr">
        <is>
          <t>GroupType</t>
        </is>
      </c>
      <c r="C6401" s="24" t="inlineStr">
        <is>
          <t>集团客户分类</t>
        </is>
      </c>
      <c r="D6401" s="24" t="inlineStr">
        <is>
          <t>0</t>
        </is>
      </c>
      <c r="E6401" s="24" t="inlineStr">
        <is>
          <t>单一客户</t>
        </is>
      </c>
    </row>
    <row r="6402">
      <c r="B6402" s="24" t="inlineStr">
        <is>
          <t>GroupType</t>
        </is>
      </c>
      <c r="C6402" s="24" t="inlineStr">
        <is>
          <t>集团客户分类</t>
        </is>
      </c>
      <c r="D6402" s="24" t="inlineStr">
        <is>
          <t>1</t>
        </is>
      </c>
      <c r="E6402" s="24" t="inlineStr">
        <is>
          <t>实体集团</t>
        </is>
      </c>
    </row>
    <row r="6403">
      <c r="B6403" s="24" t="inlineStr">
        <is>
          <t>GroupType</t>
        </is>
      </c>
      <c r="C6403" s="24" t="inlineStr">
        <is>
          <t>集团客户分类</t>
        </is>
      </c>
      <c r="D6403" s="24" t="inlineStr">
        <is>
          <t>2</t>
        </is>
      </c>
      <c r="E6403" s="24" t="inlineStr">
        <is>
          <t>虚拟集团</t>
        </is>
      </c>
    </row>
    <row r="6404" ht="15.95" customHeight="1" s="170">
      <c r="B6404" s="122" t="inlineStr">
        <is>
          <t>码值：GuaranteeType</t>
        </is>
      </c>
    </row>
    <row r="6405">
      <c r="B6405" s="24" t="inlineStr">
        <is>
          <t>GuaranteeType</t>
        </is>
      </c>
      <c r="C6405" s="24" t="inlineStr">
        <is>
          <t>保证方式</t>
        </is>
      </c>
      <c r="D6405" s="24" t="inlineStr">
        <is>
          <t>010</t>
        </is>
      </c>
      <c r="E6405" s="24" t="inlineStr">
        <is>
          <t>预付款保函</t>
        </is>
      </c>
    </row>
    <row r="6406">
      <c r="B6406" s="24" t="inlineStr">
        <is>
          <t>GuaranteeType</t>
        </is>
      </c>
      <c r="C6406" s="24" t="inlineStr">
        <is>
          <t>保证方式</t>
        </is>
      </c>
      <c r="D6406" s="24" t="inlineStr">
        <is>
          <t>020</t>
        </is>
      </c>
      <c r="E6406" s="24" t="inlineStr">
        <is>
          <t>付款保函</t>
        </is>
      </c>
    </row>
    <row r="6407">
      <c r="B6407" s="24" t="inlineStr">
        <is>
          <t>GuaranteeType</t>
        </is>
      </c>
      <c r="C6407" s="24" t="inlineStr">
        <is>
          <t>保证方式</t>
        </is>
      </c>
      <c r="D6407" s="24" t="inlineStr">
        <is>
          <t>030</t>
        </is>
      </c>
      <c r="E6407" s="24" t="inlineStr">
        <is>
          <t>投标保函</t>
        </is>
      </c>
    </row>
    <row r="6408">
      <c r="B6408" s="24" t="inlineStr">
        <is>
          <t>GuaranteeType</t>
        </is>
      </c>
      <c r="C6408" s="24" t="inlineStr">
        <is>
          <t>保证方式</t>
        </is>
      </c>
      <c r="D6408" s="24" t="inlineStr">
        <is>
          <t>040</t>
        </is>
      </c>
      <c r="E6408" s="24" t="inlineStr">
        <is>
          <t>履约保函</t>
        </is>
      </c>
    </row>
    <row r="6409">
      <c r="B6409" s="24" t="inlineStr">
        <is>
          <t>GuaranteeType</t>
        </is>
      </c>
      <c r="C6409" s="24" t="inlineStr">
        <is>
          <t>保证方式</t>
        </is>
      </c>
      <c r="D6409" s="24" t="inlineStr">
        <is>
          <t>050</t>
        </is>
      </c>
      <c r="E6409" s="24" t="inlineStr">
        <is>
          <t>工程承包保函</t>
        </is>
      </c>
    </row>
    <row r="6410">
      <c r="B6410" s="24" t="inlineStr">
        <is>
          <t>GuaranteeType</t>
        </is>
      </c>
      <c r="C6410" s="24" t="inlineStr">
        <is>
          <t>保证方式</t>
        </is>
      </c>
      <c r="D6410" s="24" t="inlineStr">
        <is>
          <t>060</t>
        </is>
      </c>
      <c r="E6410" s="24" t="inlineStr">
        <is>
          <t>质量保函</t>
        </is>
      </c>
    </row>
    <row r="6411">
      <c r="B6411" s="24" t="inlineStr">
        <is>
          <t>GuaranteeType</t>
        </is>
      </c>
      <c r="C6411" s="24" t="inlineStr">
        <is>
          <t>保证方式</t>
        </is>
      </c>
      <c r="D6411" s="24" t="inlineStr">
        <is>
          <t>070</t>
        </is>
      </c>
      <c r="E6411" s="24" t="inlineStr">
        <is>
          <t>工程维修保函</t>
        </is>
      </c>
    </row>
    <row r="6412">
      <c r="B6412" s="24" t="inlineStr">
        <is>
          <t>GuaranteeType</t>
        </is>
      </c>
      <c r="C6412" s="24" t="inlineStr">
        <is>
          <t>保证方式</t>
        </is>
      </c>
      <c r="D6412" s="24" t="inlineStr">
        <is>
          <t>080</t>
        </is>
      </c>
      <c r="E6412" s="24" t="inlineStr">
        <is>
          <t>关税保付保函</t>
        </is>
      </c>
    </row>
    <row r="6413" ht="15.95" customHeight="1" s="170">
      <c r="B6413" s="122" t="inlineStr">
        <is>
          <t>码值：LostReason</t>
        </is>
      </c>
    </row>
    <row r="6414">
      <c r="B6414" s="24" t="inlineStr">
        <is>
          <t>LostReason</t>
        </is>
      </c>
      <c r="C6414" s="24" t="inlineStr">
        <is>
          <t>贷款损失原因</t>
        </is>
      </c>
      <c r="D6414" s="24" t="inlineStr">
        <is>
          <t>01</t>
        </is>
      </c>
      <c r="E6414" s="24" t="inlineStr">
        <is>
          <t>借款人和担保人经依法宣告破产，进行清偿后，未能还清的贷款</t>
        </is>
      </c>
    </row>
    <row r="6415">
      <c r="B6415" s="24" t="inlineStr">
        <is>
          <t>LostReason</t>
        </is>
      </c>
      <c r="C6415" s="24" t="inlineStr">
        <is>
          <t>贷款损失原因</t>
        </is>
      </c>
      <c r="D6415" s="24" t="inlineStr">
        <is>
          <t>02</t>
        </is>
      </c>
      <c r="E6415" s="24" t="inlineStr">
        <is>
          <t>借款人死亡，或者依照《中华人民共和国民法通则》的规定，宣告失踪或宣告死亡，以其财产或遗产清偿后，未能还清的贷款</t>
        </is>
      </c>
    </row>
    <row r="6416">
      <c r="B6416" s="24" t="inlineStr">
        <is>
          <t>LostReason</t>
        </is>
      </c>
      <c r="C6416" s="24" t="inlineStr">
        <is>
          <t>贷款损失原因</t>
        </is>
      </c>
      <c r="D6416" s="24" t="inlineStr">
        <is>
          <t>03</t>
        </is>
      </c>
      <c r="E6416" s="24" t="inlineStr">
        <is>
          <t>借款人遭受重大自然灾害或意外事故，损失巨大且不能获得保险补偿，确实无力偿还的部分或全部贷款，或者以保险赔偿清偿后，未能还清的贷款</t>
        </is>
      </c>
    </row>
    <row r="6417">
      <c r="B6417" s="24" t="inlineStr">
        <is>
          <t>LostReason</t>
        </is>
      </c>
      <c r="C6417" s="24" t="inlineStr">
        <is>
          <t>贷款损失原因</t>
        </is>
      </c>
      <c r="D6417" s="24" t="inlineStr">
        <is>
          <t>04</t>
        </is>
      </c>
      <c r="E6417" s="24" t="inlineStr">
        <is>
          <t>经国务院专案批准核销的逾期贷款</t>
        </is>
      </c>
    </row>
    <row r="6418">
      <c r="B6418" s="24" t="inlineStr">
        <is>
          <t>LostReason</t>
        </is>
      </c>
      <c r="C6418" s="24" t="inlineStr">
        <is>
          <t>贷款损失原因</t>
        </is>
      </c>
      <c r="D6418" s="24" t="inlineStr">
        <is>
          <t>05</t>
        </is>
      </c>
      <c r="E6418" s="24" t="inlineStr">
        <is>
          <t>借款人被依法撤销、关闭、解散，并终止法人资格，经确认无法还清的贷款</t>
        </is>
      </c>
    </row>
    <row r="6419">
      <c r="B6419" s="24" t="inlineStr">
        <is>
          <t>LostReason</t>
        </is>
      </c>
      <c r="C6419" s="24" t="inlineStr">
        <is>
          <t>贷款损失原因</t>
        </is>
      </c>
      <c r="D6419" s="24" t="inlineStr">
        <is>
          <t>06</t>
        </is>
      </c>
      <c r="E6419" s="24" t="inlineStr">
        <is>
          <t>借款人虽未依法终止法人资格，但生产经营活动已经停止，且借款人已名存实亡，复工无望，经确认无法还清的贷款</t>
        </is>
      </c>
    </row>
    <row r="6420">
      <c r="B6420" s="24" t="inlineStr">
        <is>
          <t>LostReason</t>
        </is>
      </c>
      <c r="C6420" s="24" t="inlineStr">
        <is>
          <t>贷款损失原因</t>
        </is>
      </c>
      <c r="D6420" s="24" t="inlineStr">
        <is>
          <t>07</t>
        </is>
      </c>
      <c r="E6420" s="24" t="inlineStr">
        <is>
          <t>生产单位的经营活动虽未停止，但产品毫无市场，企业资不抵债，亏损严重并濒临倒闭，且政府不予救助，经确认无法还清的贷款</t>
        </is>
      </c>
    </row>
    <row r="6421" ht="15.95" customHeight="1" s="170">
      <c r="B6421" s="122" t="inlineStr">
        <is>
          <t>码值：CaseStatus</t>
        </is>
      </c>
    </row>
    <row r="6422">
      <c r="B6422" s="24" t="inlineStr">
        <is>
          <t>CaseStatus</t>
        </is>
      </c>
      <c r="C6422" s="24" t="inlineStr">
        <is>
          <t>当前诉讼进程</t>
        </is>
      </c>
      <c r="D6422" s="24" t="inlineStr">
        <is>
          <t>010</t>
        </is>
      </c>
      <c r="E6422" s="24" t="inlineStr">
        <is>
          <t>支付令</t>
        </is>
      </c>
    </row>
    <row r="6423">
      <c r="B6423" s="24" t="inlineStr">
        <is>
          <t>CaseStatus</t>
        </is>
      </c>
      <c r="C6423" s="24" t="inlineStr">
        <is>
          <t>当前诉讼进程</t>
        </is>
      </c>
      <c r="D6423" s="24" t="inlineStr">
        <is>
          <t>020</t>
        </is>
      </c>
      <c r="E6423" s="24" t="inlineStr">
        <is>
          <t>诉前保全</t>
        </is>
      </c>
    </row>
    <row r="6424">
      <c r="B6424" s="24" t="inlineStr">
        <is>
          <t>CaseStatus</t>
        </is>
      </c>
      <c r="C6424" s="24" t="inlineStr">
        <is>
          <t>当前诉讼进程</t>
        </is>
      </c>
      <c r="D6424" s="24" t="inlineStr">
        <is>
          <t>026</t>
        </is>
      </c>
      <c r="E6424" s="24" t="inlineStr">
        <is>
          <t>诉讼保全</t>
        </is>
      </c>
    </row>
    <row r="6425">
      <c r="B6425" s="24" t="inlineStr">
        <is>
          <t>CaseStatus</t>
        </is>
      </c>
      <c r="C6425" s="24" t="inlineStr">
        <is>
          <t>当前诉讼进程</t>
        </is>
      </c>
      <c r="D6425" s="24" t="inlineStr">
        <is>
          <t>030</t>
        </is>
      </c>
      <c r="E6425" s="24" t="inlineStr">
        <is>
          <t>立案</t>
        </is>
      </c>
    </row>
    <row r="6426">
      <c r="B6426" s="24" t="inlineStr">
        <is>
          <t>CaseStatus</t>
        </is>
      </c>
      <c r="C6426" s="24" t="inlineStr">
        <is>
          <t>当前诉讼进程</t>
        </is>
      </c>
      <c r="D6426" s="24" t="inlineStr">
        <is>
          <t>040</t>
        </is>
      </c>
      <c r="E6426" s="24" t="inlineStr">
        <is>
          <t>一审</t>
        </is>
      </c>
    </row>
    <row r="6427">
      <c r="B6427" s="24" t="inlineStr">
        <is>
          <t>CaseStatus</t>
        </is>
      </c>
      <c r="C6427" s="24" t="inlineStr">
        <is>
          <t>当前诉讼进程</t>
        </is>
      </c>
      <c r="D6427" s="24" t="inlineStr">
        <is>
          <t>050</t>
        </is>
      </c>
      <c r="E6427" s="24" t="inlineStr">
        <is>
          <t>二审</t>
        </is>
      </c>
    </row>
    <row r="6428">
      <c r="B6428" s="24" t="inlineStr">
        <is>
          <t>CaseStatus</t>
        </is>
      </c>
      <c r="C6428" s="24" t="inlineStr">
        <is>
          <t>当前诉讼进程</t>
        </is>
      </c>
      <c r="D6428" s="24" t="inlineStr">
        <is>
          <t>060</t>
        </is>
      </c>
      <c r="E6428" s="24" t="inlineStr">
        <is>
          <t>再审</t>
        </is>
      </c>
    </row>
    <row r="6429">
      <c r="B6429" s="24" t="inlineStr">
        <is>
          <t>CaseStatus</t>
        </is>
      </c>
      <c r="C6429" s="24" t="inlineStr">
        <is>
          <t>当前诉讼进程</t>
        </is>
      </c>
      <c r="D6429" s="24" t="inlineStr">
        <is>
          <t>065</t>
        </is>
      </c>
      <c r="E6429" s="24" t="inlineStr">
        <is>
          <t>公证</t>
        </is>
      </c>
    </row>
    <row r="6430">
      <c r="B6430" s="24" t="inlineStr">
        <is>
          <t>CaseStatus</t>
        </is>
      </c>
      <c r="C6430" s="24" t="inlineStr">
        <is>
          <t>当前诉讼进程</t>
        </is>
      </c>
      <c r="D6430" s="24" t="inlineStr">
        <is>
          <t>068</t>
        </is>
      </c>
      <c r="E6430" s="24" t="inlineStr">
        <is>
          <t>仲裁</t>
        </is>
      </c>
    </row>
    <row r="6431">
      <c r="B6431" s="24" t="inlineStr">
        <is>
          <t>CaseStatus</t>
        </is>
      </c>
      <c r="C6431" s="24" t="inlineStr">
        <is>
          <t>当前诉讼进程</t>
        </is>
      </c>
      <c r="D6431" s="24" t="inlineStr">
        <is>
          <t>070</t>
        </is>
      </c>
      <c r="E6431" s="24" t="inlineStr">
        <is>
          <t>执行</t>
        </is>
      </c>
    </row>
    <row r="6432">
      <c r="B6432" s="24" t="inlineStr">
        <is>
          <t>CaseStatus</t>
        </is>
      </c>
      <c r="C6432" s="24" t="inlineStr">
        <is>
          <t>当前诉讼进程</t>
        </is>
      </c>
      <c r="D6432" s="24" t="inlineStr">
        <is>
          <t>080</t>
        </is>
      </c>
      <c r="E6432" s="24" t="inlineStr">
        <is>
          <t>破产</t>
        </is>
      </c>
    </row>
    <row r="6433" ht="15.95" customHeight="1" s="170">
      <c r="B6433" s="122" t="inlineStr">
        <is>
          <t>码值：SendType</t>
        </is>
      </c>
    </row>
    <row r="6434">
      <c r="B6434" s="24" t="inlineStr">
        <is>
          <t>SendType</t>
        </is>
      </c>
      <c r="C6434" s="24" t="inlineStr">
        <is>
          <t>发送方式</t>
        </is>
      </c>
      <c r="D6434" s="24" t="inlineStr">
        <is>
          <t>0</t>
        </is>
      </c>
      <c r="E6434" s="24" t="inlineStr">
        <is>
          <t>信开</t>
        </is>
      </c>
    </row>
    <row r="6435">
      <c r="B6435" s="24" t="inlineStr">
        <is>
          <t>SendType</t>
        </is>
      </c>
      <c r="C6435" s="24" t="inlineStr">
        <is>
          <t>发送方式</t>
        </is>
      </c>
      <c r="D6435" s="24" t="inlineStr">
        <is>
          <t>1</t>
        </is>
      </c>
      <c r="E6435" s="24" t="inlineStr">
        <is>
          <t>电开(行内)</t>
        </is>
      </c>
    </row>
    <row r="6436">
      <c r="B6436" s="24" t="inlineStr">
        <is>
          <t>SendType</t>
        </is>
      </c>
      <c r="C6436" s="24" t="inlineStr">
        <is>
          <t>发送方式</t>
        </is>
      </c>
      <c r="D6436" s="24" t="inlineStr">
        <is>
          <t>2</t>
        </is>
      </c>
      <c r="E6436" s="24" t="inlineStr">
        <is>
          <t>电开(行外)</t>
        </is>
      </c>
    </row>
    <row r="6437" ht="15.95" customHeight="1" s="170">
      <c r="B6437" s="122" t="inlineStr">
        <is>
          <t>码值：OutterEvalMethod</t>
        </is>
      </c>
    </row>
    <row r="6438">
      <c r="B6438" s="24" t="inlineStr">
        <is>
          <t>OutterEvalMethod</t>
        </is>
      </c>
      <c r="C6438" s="24" t="inlineStr">
        <is>
          <t>外部评估方法</t>
        </is>
      </c>
      <c r="D6438" s="24" t="inlineStr">
        <is>
          <t>01</t>
        </is>
      </c>
      <c r="E6438" s="24" t="inlineStr">
        <is>
          <t>市场法</t>
        </is>
      </c>
    </row>
    <row r="6439">
      <c r="B6439" s="24" t="inlineStr">
        <is>
          <t>OutterEvalMethod</t>
        </is>
      </c>
      <c r="C6439" s="24" t="inlineStr">
        <is>
          <t>外部评估方法</t>
        </is>
      </c>
      <c r="D6439" s="24" t="inlineStr">
        <is>
          <t>02</t>
        </is>
      </c>
      <c r="E6439" s="24" t="inlineStr">
        <is>
          <t>收益法</t>
        </is>
      </c>
    </row>
    <row r="6440">
      <c r="B6440" s="24" t="inlineStr">
        <is>
          <t>OutterEvalMethod</t>
        </is>
      </c>
      <c r="C6440" s="24" t="inlineStr">
        <is>
          <t>外部评估方法</t>
        </is>
      </c>
      <c r="D6440" s="24" t="inlineStr">
        <is>
          <t>03</t>
        </is>
      </c>
      <c r="E6440" s="24" t="inlineStr">
        <is>
          <t>成本法</t>
        </is>
      </c>
    </row>
    <row r="6441" ht="15.95" customHeight="1" s="170">
      <c r="B6441" s="122" t="inlineStr">
        <is>
          <t>码值：ClDrawnApplyFinaMain</t>
        </is>
      </c>
    </row>
    <row r="6442">
      <c r="B6442" s="24" t="inlineStr">
        <is>
          <t>ClDrawnApplyFinaMain</t>
        </is>
      </c>
      <c r="C6442" s="24" t="inlineStr">
        <is>
          <t>同业额度提用申请主树图</t>
        </is>
      </c>
      <c r="D6442" s="24" t="inlineStr">
        <is>
          <t>1010</t>
        </is>
      </c>
      <c r="E6442" s="24" t="inlineStr">
        <is>
          <t>待处理</t>
        </is>
      </c>
    </row>
    <row r="6443">
      <c r="B6443" s="24" t="inlineStr">
        <is>
          <t>ClDrawnApplyFinaMain</t>
        </is>
      </c>
      <c r="C6443" s="24" t="inlineStr">
        <is>
          <t>同业额度提用申请主树图</t>
        </is>
      </c>
      <c r="D6443" s="24" t="inlineStr">
        <is>
          <t>1020</t>
        </is>
      </c>
      <c r="E6443" s="24" t="inlineStr">
        <is>
          <t>审批中</t>
        </is>
      </c>
    </row>
    <row r="6444">
      <c r="B6444" s="24" t="inlineStr">
        <is>
          <t>ClDrawnApplyFinaMain</t>
        </is>
      </c>
      <c r="C6444" s="24" t="inlineStr">
        <is>
          <t>同业额度提用申请主树图</t>
        </is>
      </c>
      <c r="D6444" s="24" t="inlineStr">
        <is>
          <t>1040,1050</t>
        </is>
      </c>
      <c r="E6444" s="24" t="inlineStr">
        <is>
          <t>处理完成</t>
        </is>
      </c>
    </row>
    <row r="6445" ht="15.95" customHeight="1" s="170">
      <c r="B6445" s="122" t="inlineStr">
        <is>
          <t>码值：AppraisalAgencyView</t>
        </is>
      </c>
    </row>
    <row r="6446">
      <c r="B6446" s="24" t="inlineStr">
        <is>
          <t>AppraisalAgencyView</t>
        </is>
      </c>
      <c r="C6446" s="24" t="inlineStr">
        <is>
          <t>评估机构详情左侧视图</t>
        </is>
      </c>
      <c r="D6446" s="24" t="inlineStr">
        <is>
          <t>0010</t>
        </is>
      </c>
      <c r="E6446" s="24" t="inlineStr">
        <is>
          <t>基本信息</t>
        </is>
      </c>
    </row>
    <row r="6447">
      <c r="B6447" s="24" t="inlineStr">
        <is>
          <t>AppraisalAgencyView</t>
        </is>
      </c>
      <c r="C6447" s="24" t="inlineStr">
        <is>
          <t>评估机构详情左侧视图</t>
        </is>
      </c>
      <c r="D6447" s="24" t="inlineStr">
        <is>
          <t>0020</t>
        </is>
      </c>
      <c r="E6447" s="24" t="inlineStr">
        <is>
          <t>专家信息</t>
        </is>
      </c>
    </row>
    <row r="6448">
      <c r="B6448" s="24" t="inlineStr">
        <is>
          <t>AppraisalAgencyView</t>
        </is>
      </c>
      <c r="C6448" s="24" t="inlineStr">
        <is>
          <t>评估机构详情左侧视图</t>
        </is>
      </c>
      <c r="D6448" s="24" t="inlineStr">
        <is>
          <t>0040</t>
        </is>
      </c>
      <c r="E6448" s="24" t="inlineStr">
        <is>
          <t>评价信息</t>
        </is>
      </c>
    </row>
    <row r="6449">
      <c r="B6449" s="24" t="inlineStr">
        <is>
          <t>AppraisalAgencyView</t>
        </is>
      </c>
      <c r="C6449" s="24" t="inlineStr">
        <is>
          <t>评估机构详情左侧视图</t>
        </is>
      </c>
      <c r="D6449" s="24" t="inlineStr">
        <is>
          <t>0060</t>
        </is>
      </c>
      <c r="E6449" s="24" t="inlineStr">
        <is>
          <t>关联信息</t>
        </is>
      </c>
    </row>
    <row r="6450">
      <c r="B6450" s="24" t="inlineStr">
        <is>
          <t>AppraisalAgencyView</t>
        </is>
      </c>
      <c r="C6450" s="24" t="inlineStr">
        <is>
          <t>评估机构详情左侧视图</t>
        </is>
      </c>
      <c r="D6450" s="24" t="inlineStr">
        <is>
          <t>0070</t>
        </is>
      </c>
      <c r="E6450" s="24" t="inlineStr">
        <is>
          <t>合作协议信息</t>
        </is>
      </c>
    </row>
    <row r="6451">
      <c r="B6451" s="24" t="inlineStr">
        <is>
          <t>AppraisalAgencyView</t>
        </is>
      </c>
      <c r="C6451" s="24" t="inlineStr">
        <is>
          <t>评估机构详情左侧视图</t>
        </is>
      </c>
      <c r="D6451" s="24" t="inlineStr">
        <is>
          <t>0080</t>
        </is>
      </c>
      <c r="E6451" s="24" t="inlineStr">
        <is>
          <t>风险信息</t>
        </is>
      </c>
    </row>
    <row r="6452">
      <c r="B6452" s="24" t="inlineStr">
        <is>
          <t>AppraisalAgencyView</t>
        </is>
      </c>
      <c r="C6452" s="24" t="inlineStr">
        <is>
          <t>评估机构详情左侧视图</t>
        </is>
      </c>
      <c r="D6452" s="24" t="inlineStr">
        <is>
          <t>0090</t>
        </is>
      </c>
      <c r="E6452" s="24" t="inlineStr">
        <is>
          <t>大事信息</t>
        </is>
      </c>
    </row>
    <row r="6453">
      <c r="B6453" s="24" t="inlineStr">
        <is>
          <t>AppraisalAgencyView</t>
        </is>
      </c>
      <c r="C6453" s="24" t="inlineStr">
        <is>
          <t>评估机构详情左侧视图</t>
        </is>
      </c>
      <c r="D6453" s="24" t="inlineStr">
        <is>
          <t>0100</t>
        </is>
      </c>
      <c r="E6453" s="24" t="inlineStr">
        <is>
          <t>文档资料信息</t>
        </is>
      </c>
    </row>
    <row r="6454" ht="15.95" customHeight="1" s="170">
      <c r="B6454" s="122" t="inlineStr">
        <is>
          <t>码值：ObtainmentType</t>
        </is>
      </c>
    </row>
    <row r="6455">
      <c r="B6455" s="24" t="inlineStr">
        <is>
          <t>ObtainmentType</t>
        </is>
      </c>
      <c r="C6455" s="24" t="inlineStr">
        <is>
          <t>土地取得方式</t>
        </is>
      </c>
      <c r="D6455" s="24" t="inlineStr">
        <is>
          <t>01</t>
        </is>
      </c>
      <c r="E6455" s="24" t="inlineStr">
        <is>
          <t>划拨</t>
        </is>
      </c>
    </row>
    <row r="6456">
      <c r="B6456" s="24" t="inlineStr">
        <is>
          <t>ObtainmentType</t>
        </is>
      </c>
      <c r="C6456" s="24" t="inlineStr">
        <is>
          <t>土地取得方式</t>
        </is>
      </c>
      <c r="D6456" s="24" t="inlineStr">
        <is>
          <t>02</t>
        </is>
      </c>
      <c r="E6456" s="24" t="inlineStr">
        <is>
          <t>出让</t>
        </is>
      </c>
    </row>
    <row r="6457">
      <c r="B6457" s="24" t="inlineStr">
        <is>
          <t>ObtainmentType</t>
        </is>
      </c>
      <c r="C6457" s="24" t="inlineStr">
        <is>
          <t>土地取得方式</t>
        </is>
      </c>
      <c r="D6457" s="24" t="inlineStr">
        <is>
          <t>03</t>
        </is>
      </c>
      <c r="E6457" s="24" t="inlineStr">
        <is>
          <t>集体</t>
        </is>
      </c>
    </row>
    <row r="6458">
      <c r="B6458" s="24" t="inlineStr">
        <is>
          <t>ObtainmentType</t>
        </is>
      </c>
      <c r="C6458" s="24" t="inlineStr">
        <is>
          <t>土地取得方式</t>
        </is>
      </c>
      <c r="D6458" s="24" t="inlineStr">
        <is>
          <t>04</t>
        </is>
      </c>
      <c r="E6458" s="24" t="inlineStr">
        <is>
          <t>其他</t>
        </is>
      </c>
    </row>
    <row r="6459" ht="15.95" customHeight="1" s="170">
      <c r="B6459" s="122" t="inlineStr">
        <is>
          <t>码值：CreditTempletType</t>
        </is>
      </c>
    </row>
    <row r="6460">
      <c r="B6460" s="24" t="inlineStr">
        <is>
          <t>CreditTempletType</t>
        </is>
      </c>
      <c r="C6460" s="24" t="inlineStr">
        <is>
          <t>信用等级评估模型</t>
        </is>
      </c>
      <c r="D6460" s="24" t="inlineStr">
        <is>
          <t>000</t>
        </is>
      </c>
      <c r="E6460" s="24" t="inlineStr">
        <is>
          <t>综合类企业信用等级评估表</t>
        </is>
      </c>
    </row>
    <row r="6461">
      <c r="B6461" s="24" t="inlineStr">
        <is>
          <t>CreditTempletType</t>
        </is>
      </c>
      <c r="C6461" s="24" t="inlineStr">
        <is>
          <t>信用等级评估模型</t>
        </is>
      </c>
      <c r="D6461" s="24" t="inlineStr">
        <is>
          <t>001</t>
        </is>
      </c>
      <c r="E6461" s="24" t="inlineStr">
        <is>
          <t>轻工业企业信用等级评估表</t>
        </is>
      </c>
    </row>
    <row r="6462">
      <c r="B6462" s="24" t="inlineStr">
        <is>
          <t>CreditTempletType</t>
        </is>
      </c>
      <c r="C6462" s="24" t="inlineStr">
        <is>
          <t>信用等级评估模型</t>
        </is>
      </c>
      <c r="D6462" s="24" t="inlineStr">
        <is>
          <t>002</t>
        </is>
      </c>
      <c r="E6462" s="24" t="inlineStr">
        <is>
          <t>重工业企业信用等级评估表</t>
        </is>
      </c>
    </row>
    <row r="6463">
      <c r="B6463" s="24" t="inlineStr">
        <is>
          <t>CreditTempletType</t>
        </is>
      </c>
      <c r="C6463" s="24" t="inlineStr">
        <is>
          <t>信用等级评估模型</t>
        </is>
      </c>
      <c r="D6463" s="24" t="inlineStr">
        <is>
          <t>003</t>
        </is>
      </c>
      <c r="E6463" s="24" t="inlineStr">
        <is>
          <t>商业企业信用等级评估表</t>
        </is>
      </c>
    </row>
    <row r="6464">
      <c r="B6464" s="24" t="inlineStr">
        <is>
          <t>CreditTempletType</t>
        </is>
      </c>
      <c r="C6464" s="24" t="inlineStr">
        <is>
          <t>信用等级评估模型</t>
        </is>
      </c>
      <c r="D6464" s="24" t="inlineStr">
        <is>
          <t>004</t>
        </is>
      </c>
      <c r="E6464" s="24" t="inlineStr">
        <is>
          <t>房产企业信用等级评估表</t>
        </is>
      </c>
    </row>
    <row r="6465">
      <c r="B6465" s="24" t="inlineStr">
        <is>
          <t>CreditTempletType</t>
        </is>
      </c>
      <c r="C6465" s="24" t="inlineStr">
        <is>
          <t>信用等级评估模型</t>
        </is>
      </c>
      <c r="D6465" s="24" t="inlineStr">
        <is>
          <t>005</t>
        </is>
      </c>
      <c r="E6465" s="24" t="inlineStr">
        <is>
          <t>施工企业信用等级评估表</t>
        </is>
      </c>
    </row>
    <row r="6466">
      <c r="B6466" s="24" t="inlineStr">
        <is>
          <t>CreditTempletType</t>
        </is>
      </c>
      <c r="C6466" s="24" t="inlineStr">
        <is>
          <t>信用等级评估模型</t>
        </is>
      </c>
      <c r="D6466" s="24" t="inlineStr">
        <is>
          <t>006</t>
        </is>
      </c>
      <c r="E6466" s="24" t="inlineStr">
        <is>
          <t>交通运输企业信用等级评估表</t>
        </is>
      </c>
    </row>
    <row r="6467">
      <c r="B6467" s="24" t="inlineStr">
        <is>
          <t>CreditTempletType</t>
        </is>
      </c>
      <c r="C6467" s="24" t="inlineStr">
        <is>
          <t>信用等级评估模型</t>
        </is>
      </c>
      <c r="D6467" s="24" t="inlineStr">
        <is>
          <t>007</t>
        </is>
      </c>
      <c r="E6467" s="24" t="inlineStr">
        <is>
          <t>宾馆服务企业信用等级评估表</t>
        </is>
      </c>
    </row>
    <row r="6468">
      <c r="B6468" s="24" t="inlineStr">
        <is>
          <t>CreditTempletType</t>
        </is>
      </c>
      <c r="C6468" s="24" t="inlineStr">
        <is>
          <t>信用等级评估模型</t>
        </is>
      </c>
      <c r="D6468" s="24" t="inlineStr">
        <is>
          <t>008</t>
        </is>
      </c>
      <c r="E6468" s="24" t="inlineStr">
        <is>
          <t>投资管理企业信用等级评估表</t>
        </is>
      </c>
    </row>
    <row r="6469">
      <c r="B6469" s="24" t="inlineStr">
        <is>
          <t>CreditTempletType</t>
        </is>
      </c>
      <c r="C6469" s="24" t="inlineStr">
        <is>
          <t>信用等级评估模型</t>
        </is>
      </c>
      <c r="D6469" s="24" t="inlineStr">
        <is>
          <t>009</t>
        </is>
      </c>
      <c r="E6469" s="24" t="inlineStr">
        <is>
          <t>城建开发与地产企业信用等级评估表</t>
        </is>
      </c>
    </row>
    <row r="6470">
      <c r="B6470" s="24" t="inlineStr">
        <is>
          <t>CreditTempletType</t>
        </is>
      </c>
      <c r="C6470" s="24" t="inlineStr">
        <is>
          <t>信用等级评估模型</t>
        </is>
      </c>
      <c r="D6470" s="24" t="inlineStr">
        <is>
          <t>010</t>
        </is>
      </c>
      <c r="E6470" s="24" t="inlineStr">
        <is>
          <t>企业化管理的事业单位信用等级评估表</t>
        </is>
      </c>
    </row>
    <row r="6471">
      <c r="B6471" s="24" t="inlineStr">
        <is>
          <t>CreditTempletType</t>
        </is>
      </c>
      <c r="C6471" s="24" t="inlineStr">
        <is>
          <t>信用等级评估模型</t>
        </is>
      </c>
      <c r="D6471" s="24" t="inlineStr">
        <is>
          <t>020</t>
        </is>
      </c>
      <c r="E6471" s="24" t="inlineStr">
        <is>
          <t>中小企业信用评分标准（生产类）</t>
        </is>
      </c>
    </row>
    <row r="6472">
      <c r="B6472" s="24" t="inlineStr">
        <is>
          <t>CreditTempletType</t>
        </is>
      </c>
      <c r="C6472" s="24" t="inlineStr">
        <is>
          <t>信用等级评估模型</t>
        </is>
      </c>
      <c r="D6472" s="24" t="inlineStr">
        <is>
          <t>022</t>
        </is>
      </c>
      <c r="E6472" s="24" t="inlineStr">
        <is>
          <t>中小企业信用评分标准（流通类）</t>
        </is>
      </c>
    </row>
    <row r="6473">
      <c r="B6473" s="24" t="inlineStr">
        <is>
          <t>CreditTempletType</t>
        </is>
      </c>
      <c r="C6473" s="24" t="inlineStr">
        <is>
          <t>信用等级评估模型</t>
        </is>
      </c>
      <c r="D6473" s="24" t="inlineStr">
        <is>
          <t>024</t>
        </is>
      </c>
      <c r="E6473" s="24" t="inlineStr">
        <is>
          <t>中小企业信用评分标准（综合类）</t>
        </is>
      </c>
    </row>
    <row r="6474">
      <c r="B6474" s="24" t="inlineStr">
        <is>
          <t>CreditTempletType</t>
        </is>
      </c>
      <c r="C6474" s="24" t="inlineStr">
        <is>
          <t>信用等级评估模型</t>
        </is>
      </c>
      <c r="D6474" s="24" t="inlineStr">
        <is>
          <t>NJ001</t>
        </is>
      </c>
      <c r="E6474" s="24" t="inlineStr">
        <is>
          <t>房地产企业信用等级评估模型表(南京)</t>
        </is>
      </c>
    </row>
    <row r="6475">
      <c r="B6475" s="24" t="inlineStr">
        <is>
          <t>CreditTempletType</t>
        </is>
      </c>
      <c r="C6475" s="24" t="inlineStr">
        <is>
          <t>信用等级评估模型</t>
        </is>
      </c>
      <c r="D6475" s="24" t="inlineStr">
        <is>
          <t>NJ002</t>
        </is>
      </c>
      <c r="E6475" s="24" t="inlineStr">
        <is>
          <t>事业单位信用等级评估表(南京)</t>
        </is>
      </c>
    </row>
    <row r="6476">
      <c r="B6476" s="24" t="inlineStr">
        <is>
          <t>CreditTempletType</t>
        </is>
      </c>
      <c r="C6476" s="24" t="inlineStr">
        <is>
          <t>信用等级评估模型</t>
        </is>
      </c>
      <c r="D6476" s="24" t="inlineStr">
        <is>
          <t>NJ003</t>
        </is>
      </c>
      <c r="E6476" s="24" t="inlineStr">
        <is>
          <t>政府融资平台信用等级评估表（南京）</t>
        </is>
      </c>
    </row>
    <row r="6477">
      <c r="B6477" s="24" t="inlineStr">
        <is>
          <t>CreditTempletType</t>
        </is>
      </c>
      <c r="C6477" s="24" t="inlineStr">
        <is>
          <t>信用等级评估模型</t>
        </is>
      </c>
      <c r="D6477" s="24" t="inlineStr">
        <is>
          <t>NJ004</t>
        </is>
      </c>
      <c r="E6477" s="24" t="inlineStr">
        <is>
          <t>制造业信用等级评估模型表(南京)</t>
        </is>
      </c>
    </row>
    <row r="6478">
      <c r="B6478" s="24" t="inlineStr">
        <is>
          <t>CreditTempletType</t>
        </is>
      </c>
      <c r="C6478" s="24" t="inlineStr">
        <is>
          <t>信用等级评估模型</t>
        </is>
      </c>
      <c r="D6478" s="24" t="inlineStr">
        <is>
          <t>NJ005</t>
        </is>
      </c>
      <c r="E6478" s="24" t="inlineStr">
        <is>
          <t>项目融资平台信用等级评估表（南京）</t>
        </is>
      </c>
    </row>
    <row r="6479">
      <c r="B6479" s="24" t="inlineStr">
        <is>
          <t>CreditTempletType</t>
        </is>
      </c>
      <c r="C6479" s="24" t="inlineStr">
        <is>
          <t>信用等级评估模型</t>
        </is>
      </c>
      <c r="D6479" s="24" t="inlineStr">
        <is>
          <t>NJ006</t>
        </is>
      </c>
      <c r="E6479" s="24" t="inlineStr">
        <is>
          <t>批发零售业信用等级评估模型表(南京)</t>
        </is>
      </c>
    </row>
    <row r="6480">
      <c r="B6480" s="24" t="inlineStr">
        <is>
          <t>CreditTempletType</t>
        </is>
      </c>
      <c r="C6480" s="24" t="inlineStr">
        <is>
          <t>信用等级评估模型</t>
        </is>
      </c>
      <c r="D6480" s="24" t="inlineStr">
        <is>
          <t>NJ007</t>
        </is>
      </c>
      <c r="E6480" s="24" t="inlineStr">
        <is>
          <t>其他公司信用等级评估模型表(南京)</t>
        </is>
      </c>
    </row>
    <row r="6481">
      <c r="B6481" s="24" t="inlineStr">
        <is>
          <t>CreditTempletType</t>
        </is>
      </c>
      <c r="C6481" s="24" t="inlineStr">
        <is>
          <t>信用等级评估模型</t>
        </is>
      </c>
      <c r="D6481" s="24" t="inlineStr">
        <is>
          <t>NJ008</t>
        </is>
      </c>
      <c r="E6481" s="24" t="inlineStr">
        <is>
          <t>新建企业信用等级评估模型表(南京)</t>
        </is>
      </c>
    </row>
    <row r="6482" ht="15.95" customHeight="1" s="170">
      <c r="B6482" s="122" t="inlineStr">
        <is>
          <t>码值：AlertSignal</t>
        </is>
      </c>
    </row>
    <row r="6483">
      <c r="B6483" s="24" t="inlineStr">
        <is>
          <t>AlertSignal</t>
        </is>
      </c>
      <c r="C6483" s="24" t="inlineStr">
        <is>
          <t>预警信号风险提示</t>
        </is>
      </c>
      <c r="D6483" s="24" t="inlineStr">
        <is>
          <t>AL</t>
        </is>
      </c>
      <c r="E6483" s="24" t="inlineStr">
        <is>
          <t>警示信息</t>
        </is>
      </c>
    </row>
    <row r="6484">
      <c r="B6484" s="24" t="inlineStr">
        <is>
          <t>AlertSignal</t>
        </is>
      </c>
      <c r="C6484" s="24" t="inlineStr">
        <is>
          <t>预警信号风险提示</t>
        </is>
      </c>
      <c r="D6484" s="24" t="inlineStr">
        <is>
          <t>AL1010</t>
        </is>
      </c>
      <c r="E6484" s="24" t="inlineStr">
        <is>
          <t>企业负责人失踪或无法联系。</t>
        </is>
      </c>
    </row>
    <row r="6485">
      <c r="B6485" s="24" t="inlineStr">
        <is>
          <t>AlertSignal</t>
        </is>
      </c>
      <c r="C6485" s="24" t="inlineStr">
        <is>
          <t>预警信号风险提示</t>
        </is>
      </c>
      <c r="D6485" s="24" t="inlineStr">
        <is>
          <t>AL1020</t>
        </is>
      </c>
      <c r="E6485" s="24" t="inlineStr">
        <is>
          <t>客户不愿意提供与信用审核有关的文件。</t>
        </is>
      </c>
    </row>
    <row r="6486">
      <c r="B6486" s="24" t="inlineStr">
        <is>
          <t>AlertSignal</t>
        </is>
      </c>
      <c r="C6486" s="24" t="inlineStr">
        <is>
          <t>预警信号风险提示</t>
        </is>
      </c>
      <c r="D6486" s="24" t="inlineStr">
        <is>
          <t>AL1030</t>
        </is>
      </c>
      <c r="E6486" s="24" t="inlineStr">
        <is>
          <t>在没有正当理由的情况下撤回或延迟提供与财务、业务、税收或抵押担保有关的信息或要求提供的其他文件。</t>
        </is>
      </c>
    </row>
    <row r="6487">
      <c r="B6487" s="24" t="inlineStr">
        <is>
          <t>AlertSignal</t>
        </is>
      </c>
      <c r="C6487" s="24" t="inlineStr">
        <is>
          <t>预警信号风险提示</t>
        </is>
      </c>
      <c r="D6487" s="24" t="inlineStr">
        <is>
          <t>AL1040</t>
        </is>
      </c>
      <c r="E6487" s="24" t="inlineStr">
        <is>
          <t>资产或抵押品高估。</t>
        </is>
      </c>
    </row>
    <row r="6488">
      <c r="B6488" s="24" t="inlineStr">
        <is>
          <t>AlertSignal</t>
        </is>
      </c>
      <c r="C6488" s="24" t="inlineStr">
        <is>
          <t>预警信号风险提示</t>
        </is>
      </c>
      <c r="D6488" s="24" t="inlineStr">
        <is>
          <t>AL1050</t>
        </is>
      </c>
      <c r="E6488" s="24" t="inlineStr">
        <is>
          <t>客户不愿意提供过去的所得税纳税单。</t>
        </is>
      </c>
    </row>
    <row r="6489">
      <c r="B6489" s="24" t="inlineStr">
        <is>
          <t>AlertSignal</t>
        </is>
      </c>
      <c r="C6489" s="24" t="inlineStr">
        <is>
          <t>预警信号风险提示</t>
        </is>
      </c>
      <c r="D6489" s="24" t="inlineStr">
        <is>
          <t>AL1060</t>
        </is>
      </c>
      <c r="E6489" s="24" t="inlineStr">
        <is>
          <t>客户的竞争者、供货商或其他客户对授信客户产生负面评价。</t>
        </is>
      </c>
    </row>
    <row r="6490">
      <c r="B6490" s="24" t="inlineStr">
        <is>
          <t>AlertSignal</t>
        </is>
      </c>
      <c r="C6490" s="24" t="inlineStr">
        <is>
          <t>预警信号风险提示</t>
        </is>
      </c>
      <c r="D6490" s="24" t="inlineStr">
        <is>
          <t>AL1070</t>
        </is>
      </c>
      <c r="E6490" s="24" t="inlineStr">
        <is>
          <t>改变主要授信银行，向许多银行借款或不断在这些银行中间借新还旧。</t>
        </is>
      </c>
    </row>
    <row r="6491">
      <c r="B6491" s="24" t="inlineStr">
        <is>
          <t>AlertSignal</t>
        </is>
      </c>
      <c r="C6491" s="24" t="inlineStr">
        <is>
          <t>预警信号风险提示</t>
        </is>
      </c>
      <c r="D6491" s="24" t="inlineStr">
        <is>
          <t>AL1080</t>
        </is>
      </c>
      <c r="E6491" s="24" t="inlineStr">
        <is>
          <t>客户频繁更换会计人员或主要管理人员。</t>
        </is>
      </c>
    </row>
    <row r="6492">
      <c r="B6492" s="24" t="inlineStr">
        <is>
          <t>AlertSignal</t>
        </is>
      </c>
      <c r="C6492" s="24" t="inlineStr">
        <is>
          <t>预警信号风险提示</t>
        </is>
      </c>
      <c r="D6492" s="24" t="inlineStr">
        <is>
          <t>AL1090</t>
        </is>
      </c>
      <c r="E6492" s="24" t="inlineStr">
        <is>
          <t>企业涉及重大法律诉讼、仲裁或重大经济纠纷，可能危及贷款安全。</t>
        </is>
      </c>
    </row>
    <row r="6493">
      <c r="B6493" s="24" t="inlineStr">
        <is>
          <t>AlertSignal</t>
        </is>
      </c>
      <c r="C6493" s="24" t="inlineStr">
        <is>
          <t>预警信号风险提示</t>
        </is>
      </c>
      <c r="D6493" s="24" t="inlineStr">
        <is>
          <t>AL1100</t>
        </is>
      </c>
      <c r="E6493" s="24" t="inlineStr">
        <is>
          <t>有破产经历。</t>
        </is>
      </c>
    </row>
    <row r="6494">
      <c r="B6494" s="24" t="inlineStr">
        <is>
          <t>AlertSignal</t>
        </is>
      </c>
      <c r="C6494" s="24" t="inlineStr">
        <is>
          <t>预警信号风险提示</t>
        </is>
      </c>
      <c r="D6494" s="24" t="inlineStr">
        <is>
          <t>AL1110</t>
        </is>
      </c>
      <c r="E6494" s="24" t="inlineStr">
        <is>
          <t>有些债务未在资产负债表上反映或列示。</t>
        </is>
      </c>
    </row>
    <row r="6495">
      <c r="B6495" s="24" t="inlineStr">
        <is>
          <t>AlertSignal</t>
        </is>
      </c>
      <c r="C6495" s="24" t="inlineStr">
        <is>
          <t>预警信号风险提示</t>
        </is>
      </c>
      <c r="D6495" s="24" t="inlineStr">
        <is>
          <t>AL1120</t>
        </is>
      </c>
      <c r="E6495" s="24" t="inlineStr">
        <is>
          <t>客户内部或客户的审计机构使用的会计政策不够审慎。</t>
        </is>
      </c>
    </row>
    <row r="6496">
      <c r="B6496" s="24" t="inlineStr">
        <is>
          <t>AlertSignal</t>
        </is>
      </c>
      <c r="C6496" s="24" t="inlineStr">
        <is>
          <t>预警信号风险提示</t>
        </is>
      </c>
      <c r="D6496" s="24" t="inlineStr">
        <is>
          <t>AL2010</t>
        </is>
      </c>
      <c r="E6496" s="24" t="inlineStr">
        <is>
          <t>客户在银行的头寸不断减少。</t>
        </is>
      </c>
    </row>
    <row r="6497">
      <c r="B6497" s="24" t="inlineStr">
        <is>
          <t>AlertSignal</t>
        </is>
      </c>
      <c r="C6497" s="24" t="inlineStr">
        <is>
          <t>预警信号风险提示</t>
        </is>
      </c>
      <c r="D6497" s="24" t="inlineStr">
        <is>
          <t>AL2020</t>
        </is>
      </c>
      <c r="E6497" s="24" t="inlineStr">
        <is>
          <t>对授信的长期占用。</t>
        </is>
      </c>
    </row>
    <row r="6498">
      <c r="B6498" s="24" t="inlineStr">
        <is>
          <t>AlertSignal</t>
        </is>
      </c>
      <c r="C6498" s="24" t="inlineStr">
        <is>
          <t>预警信号风险提示</t>
        </is>
      </c>
      <c r="D6498" s="24" t="inlineStr">
        <is>
          <t>AL2030</t>
        </is>
      </c>
      <c r="E6498" s="24" t="inlineStr">
        <is>
          <t>缺乏财务计划，如总是突然向银行提出借款需求。</t>
        </is>
      </c>
    </row>
    <row r="6499">
      <c r="B6499" s="24" t="inlineStr">
        <is>
          <t>AlertSignal</t>
        </is>
      </c>
      <c r="C6499" s="24" t="inlineStr">
        <is>
          <t>预警信号风险提示</t>
        </is>
      </c>
      <c r="D6499" s="24" t="inlineStr">
        <is>
          <t>AL2040</t>
        </is>
      </c>
      <c r="E6499" s="24" t="inlineStr">
        <is>
          <t>短期授信和长期授信错配。</t>
        </is>
      </c>
    </row>
    <row r="6500">
      <c r="B6500" s="24" t="inlineStr">
        <is>
          <t>AlertSignal</t>
        </is>
      </c>
      <c r="C6500" s="24" t="inlineStr">
        <is>
          <t>预警信号风险提示</t>
        </is>
      </c>
      <c r="D6500" s="24" t="inlineStr">
        <is>
          <t>AL2050</t>
        </is>
      </c>
      <c r="E6500" s="24" t="inlineStr">
        <is>
          <t>在银行存款变化出现异常。</t>
        </is>
      </c>
    </row>
    <row r="6501">
      <c r="B6501" s="24" t="inlineStr">
        <is>
          <t>AlertSignal</t>
        </is>
      </c>
      <c r="C6501" s="24" t="inlineStr">
        <is>
          <t>预警信号风险提示</t>
        </is>
      </c>
      <c r="D6501" s="24" t="inlineStr">
        <is>
          <t>AL2060</t>
        </is>
      </c>
      <c r="E6501" s="24" t="inlineStr">
        <is>
          <t>经常接到供货商查询核实头寸情况的电话。</t>
        </is>
      </c>
    </row>
    <row r="6502">
      <c r="B6502" s="24" t="inlineStr">
        <is>
          <t>AlertSignal</t>
        </is>
      </c>
      <c r="C6502" s="24" t="inlineStr">
        <is>
          <t>预警信号风险提示</t>
        </is>
      </c>
      <c r="D6502" s="24" t="inlineStr">
        <is>
          <t>AL2070</t>
        </is>
      </c>
      <c r="E6502" s="24" t="inlineStr">
        <is>
          <t>突然出现大额资金向新交易商转移。</t>
        </is>
      </c>
    </row>
    <row r="6503">
      <c r="B6503" s="24" t="inlineStr">
        <is>
          <t>AlertSignal</t>
        </is>
      </c>
      <c r="C6503" s="24" t="inlineStr">
        <is>
          <t>预警信号风险提示</t>
        </is>
      </c>
      <c r="D6503" s="24" t="inlineStr">
        <is>
          <t>AL2080</t>
        </is>
      </c>
      <c r="E6503" s="24" t="inlineStr">
        <is>
          <t>对授信的需求增长异常。</t>
        </is>
      </c>
    </row>
    <row r="6504">
      <c r="B6504" s="24" t="inlineStr">
        <is>
          <t>AlertSignal</t>
        </is>
      </c>
      <c r="C6504" s="24" t="inlineStr">
        <is>
          <t>预警信号风险提示</t>
        </is>
      </c>
      <c r="D6504" s="24" t="inlineStr">
        <is>
          <t>AL3010</t>
        </is>
      </c>
      <c r="E6504" s="24" t="inlineStr">
        <is>
          <t>管理层行为异常。</t>
        </is>
      </c>
    </row>
    <row r="6505">
      <c r="B6505" s="24" t="inlineStr">
        <is>
          <t>AlertSignal</t>
        </is>
      </c>
      <c r="C6505" s="24" t="inlineStr">
        <is>
          <t>预警信号风险提示</t>
        </is>
      </c>
      <c r="D6505" s="24" t="inlineStr">
        <is>
          <t>AL3020</t>
        </is>
      </c>
      <c r="E6505" s="24" t="inlineStr">
        <is>
          <t>财务计划和报告质量下降。</t>
        </is>
      </c>
    </row>
    <row r="6506">
      <c r="B6506" s="24" t="inlineStr">
        <is>
          <t>AlertSignal</t>
        </is>
      </c>
      <c r="C6506" s="24" t="inlineStr">
        <is>
          <t>预警信号风险提示</t>
        </is>
      </c>
      <c r="D6506" s="24" t="inlineStr">
        <is>
          <t>AL3030</t>
        </is>
      </c>
      <c r="E6506" s="24" t="inlineStr">
        <is>
          <t>业务战略频繁变化。</t>
        </is>
      </c>
    </row>
    <row r="6507">
      <c r="B6507" s="24" t="inlineStr">
        <is>
          <t>AlertSignal</t>
        </is>
      </c>
      <c r="C6507" s="24" t="inlineStr">
        <is>
          <t>预警信号风险提示</t>
        </is>
      </c>
      <c r="D6507" s="24" t="inlineStr">
        <is>
          <t>AL3040</t>
        </is>
      </c>
      <c r="E6507" s="24" t="inlineStr">
        <is>
          <t>对竞争变化或其他外部条件变化缺少对策。</t>
        </is>
      </c>
    </row>
    <row r="6508">
      <c r="B6508" s="24" t="inlineStr">
        <is>
          <t>AlertSignal</t>
        </is>
      </c>
      <c r="C6508" s="24" t="inlineStr">
        <is>
          <t>预警信号风险提示</t>
        </is>
      </c>
      <c r="D6508" s="24" t="inlineStr">
        <is>
          <t>AL3050</t>
        </is>
      </c>
      <c r="E6508" s="24" t="inlineStr">
        <is>
          <t>核心盈利业务削弱和偏离。</t>
        </is>
      </c>
    </row>
    <row r="6509">
      <c r="B6509" s="24" t="inlineStr">
        <is>
          <t>AlertSignal</t>
        </is>
      </c>
      <c r="C6509" s="24" t="inlineStr">
        <is>
          <t>预警信号风险提示</t>
        </is>
      </c>
      <c r="D6509" s="24" t="inlineStr">
        <is>
          <t>AL3060</t>
        </is>
      </c>
      <c r="E6509" s="24" t="inlineStr">
        <is>
          <t>管理层主要成员家庭出现问题。</t>
        </is>
      </c>
    </row>
    <row r="6510">
      <c r="B6510" s="24" t="inlineStr">
        <is>
          <t>AlertSignal</t>
        </is>
      </c>
      <c r="C6510" s="24" t="inlineStr">
        <is>
          <t>预警信号风险提示</t>
        </is>
      </c>
      <c r="D6510" s="24" t="inlineStr">
        <is>
          <t>AL3070</t>
        </is>
      </c>
      <c r="E6510" s="24" t="inlineStr">
        <is>
          <t>与以往合作的伙伴不再进行合作。</t>
        </is>
      </c>
    </row>
    <row r="6511">
      <c r="B6511" s="24" t="inlineStr">
        <is>
          <t>AlertSignal</t>
        </is>
      </c>
      <c r="C6511" s="24" t="inlineStr">
        <is>
          <t>预警信号风险提示</t>
        </is>
      </c>
      <c r="D6511" s="24" t="inlineStr">
        <is>
          <t>AL3080</t>
        </is>
      </c>
      <c r="E6511" s="24" t="inlineStr">
        <is>
          <t>不遵守授信的承诺。</t>
        </is>
      </c>
    </row>
    <row r="6512">
      <c r="B6512" s="24" t="inlineStr">
        <is>
          <t>AlertSignal</t>
        </is>
      </c>
      <c r="C6512" s="24" t="inlineStr">
        <is>
          <t>预警信号风险提示</t>
        </is>
      </c>
      <c r="D6512" s="24" t="inlineStr">
        <is>
          <t>AL3090</t>
        </is>
      </c>
      <c r="E6512" s="24" t="inlineStr">
        <is>
          <t>管理层能力不足或构成缺乏代表性。</t>
        </is>
      </c>
    </row>
    <row r="6513">
      <c r="B6513" s="24" t="inlineStr">
        <is>
          <t>AlertSignal</t>
        </is>
      </c>
      <c r="C6513" s="24" t="inlineStr">
        <is>
          <t>预警信号风险提示</t>
        </is>
      </c>
      <c r="D6513" s="24" t="inlineStr">
        <is>
          <t>AL3100</t>
        </is>
      </c>
      <c r="E6513" s="24" t="inlineStr">
        <is>
          <t>缺乏技术工人或有劳资争议。</t>
        </is>
      </c>
    </row>
    <row r="6514">
      <c r="B6514" s="24" t="inlineStr">
        <is>
          <t>AlertSignal</t>
        </is>
      </c>
      <c r="C6514" s="24" t="inlineStr">
        <is>
          <t>预警信号风险提示</t>
        </is>
      </c>
      <c r="D6514" s="24" t="inlineStr">
        <is>
          <t>AL4010</t>
        </is>
      </c>
      <c r="E6514" s="24" t="inlineStr">
        <is>
          <t>库存水平的异常变化。</t>
        </is>
      </c>
    </row>
    <row r="6515">
      <c r="B6515" s="24" t="inlineStr">
        <is>
          <t>AlertSignal</t>
        </is>
      </c>
      <c r="C6515" s="24" t="inlineStr">
        <is>
          <t>预警信号风险提示</t>
        </is>
      </c>
      <c r="D6515" s="24" t="inlineStr">
        <is>
          <t>AL4020</t>
        </is>
      </c>
      <c r="E6515" s="24" t="inlineStr">
        <is>
          <t>工厂维护或设备管理落后。</t>
        </is>
      </c>
    </row>
    <row r="6516">
      <c r="B6516" s="24" t="inlineStr">
        <is>
          <t>AlertSignal</t>
        </is>
      </c>
      <c r="C6516" s="24" t="inlineStr">
        <is>
          <t>预警信号风险提示</t>
        </is>
      </c>
      <c r="D6516" s="24" t="inlineStr">
        <is>
          <t>AL4030</t>
        </is>
      </c>
      <c r="E6516" s="24" t="inlineStr">
        <is>
          <t>核心业务发生变动。</t>
        </is>
      </c>
    </row>
    <row r="6517">
      <c r="B6517" s="24" t="inlineStr">
        <is>
          <t>AlertSignal</t>
        </is>
      </c>
      <c r="C6517" s="24" t="inlineStr">
        <is>
          <t>预警信号风险提示</t>
        </is>
      </c>
      <c r="D6517" s="24" t="inlineStr">
        <is>
          <t>AL4040</t>
        </is>
      </c>
      <c r="E6517" s="24" t="inlineStr">
        <is>
          <t>缺乏操作控制、程序、质量控制等。</t>
        </is>
      </c>
    </row>
    <row r="6518">
      <c r="B6518" s="24" t="inlineStr">
        <is>
          <t>AlertSignal</t>
        </is>
      </c>
      <c r="C6518" s="24" t="inlineStr">
        <is>
          <t>预警信号风险提示</t>
        </is>
      </c>
      <c r="D6518" s="24" t="inlineStr">
        <is>
          <t>AL4050</t>
        </is>
      </c>
      <c r="E6518" s="24" t="inlineStr">
        <is>
          <t>主要产品线上的供货商或客户流失。</t>
        </is>
      </c>
    </row>
    <row r="6519">
      <c r="B6519" s="24" t="inlineStr">
        <is>
          <t>AlertSignal</t>
        </is>
      </c>
      <c r="C6519" s="24" t="inlineStr">
        <is>
          <t>预警信号风险提示</t>
        </is>
      </c>
      <c r="D6519" s="24" t="inlineStr">
        <is>
          <t>AL5010</t>
        </is>
      </c>
      <c r="E6519" s="24" t="inlineStr">
        <is>
          <t>付息或还本拖延，不断申请延期支付或申请实施新的授信或不断透支。</t>
        </is>
      </c>
    </row>
    <row r="6520">
      <c r="B6520" s="24" t="inlineStr">
        <is>
          <t>AlertSignal</t>
        </is>
      </c>
      <c r="C6520" s="24" t="inlineStr">
        <is>
          <t>预警信号风险提示</t>
        </is>
      </c>
      <c r="D6520" s="24" t="inlineStr">
        <is>
          <t>AL5020</t>
        </is>
      </c>
      <c r="E6520" s="24" t="inlineStr">
        <is>
          <t>申请实施授信支付其他银行的债务，不交割抵押品，授信抵押品情况恶化。</t>
        </is>
      </c>
    </row>
    <row r="6521">
      <c r="B6521" s="24" t="inlineStr">
        <is>
          <t>AlertSignal</t>
        </is>
      </c>
      <c r="C6521" s="24" t="inlineStr">
        <is>
          <t>预警信号风险提示</t>
        </is>
      </c>
      <c r="D6521" s="24" t="inlineStr">
        <is>
          <t>AL5030</t>
        </is>
      </c>
      <c r="E6521" s="24" t="inlineStr">
        <is>
          <t>违反合同规定。</t>
        </is>
      </c>
    </row>
    <row r="6522">
      <c r="B6522" s="24" t="inlineStr">
        <is>
          <t>AlertSignal</t>
        </is>
      </c>
      <c r="C6522" s="24" t="inlineStr">
        <is>
          <t>预警信号风险提示</t>
        </is>
      </c>
      <c r="D6522" s="24" t="inlineStr">
        <is>
          <t>AL5040</t>
        </is>
      </c>
      <c r="E6522" s="24" t="inlineStr">
        <is>
          <t>支票收益人要求核实客户支票账户的余额。</t>
        </is>
      </c>
    </row>
    <row r="6523">
      <c r="B6523" s="24" t="inlineStr">
        <is>
          <t>AlertSignal</t>
        </is>
      </c>
      <c r="C6523" s="24" t="inlineStr">
        <is>
          <t>预警信号风险提示</t>
        </is>
      </c>
      <c r="D6523" s="24" t="inlineStr">
        <is>
          <t>AL5050</t>
        </is>
      </c>
      <c r="E6523" s="24" t="inlineStr">
        <is>
          <t>定期存款账户余额减少。</t>
        </is>
      </c>
    </row>
    <row r="6524">
      <c r="B6524" s="24" t="inlineStr">
        <is>
          <t>AlertSignal</t>
        </is>
      </c>
      <c r="C6524" s="24" t="inlineStr">
        <is>
          <t>预警信号风险提示</t>
        </is>
      </c>
      <c r="D6524" s="24" t="inlineStr">
        <is>
          <t>AL5060</t>
        </is>
      </c>
      <c r="E6524" s="24" t="inlineStr">
        <is>
          <t>授信需求增加，短期债务超常增加。</t>
        </is>
      </c>
    </row>
    <row r="6525">
      <c r="B6525" s="24" t="inlineStr">
        <is>
          <t>AlertSignal</t>
        </is>
      </c>
      <c r="C6525" s="24" t="inlineStr">
        <is>
          <t>预警信号风险提示</t>
        </is>
      </c>
      <c r="D6525" s="24" t="inlineStr">
        <is>
          <t>AL5070</t>
        </is>
      </c>
      <c r="E6525" s="24" t="inlineStr">
        <is>
          <t>客户自身的配套资金不到位或不充足。</t>
        </is>
      </c>
    </row>
    <row r="6526">
      <c r="B6526" s="24" t="inlineStr">
        <is>
          <t>AlertSignal</t>
        </is>
      </c>
      <c r="C6526" s="24" t="inlineStr">
        <is>
          <t>预警信号风险提示</t>
        </is>
      </c>
      <c r="D6526" s="24" t="inlineStr">
        <is>
          <t>AL5080</t>
        </is>
      </c>
      <c r="E6526" s="24" t="inlineStr">
        <is>
          <t>杠杆率过高，经常用短期债务支付长期债务。</t>
        </is>
      </c>
    </row>
    <row r="6527">
      <c r="B6527" s="24" t="inlineStr">
        <is>
          <t>AlertSignal</t>
        </is>
      </c>
      <c r="C6527" s="24" t="inlineStr">
        <is>
          <t>预警信号风险提示</t>
        </is>
      </c>
      <c r="D6527" s="24" t="inlineStr">
        <is>
          <t>AL5090</t>
        </is>
      </c>
      <c r="E6527" s="24" t="inlineStr">
        <is>
          <t>现金流不足以支付利息。</t>
        </is>
      </c>
    </row>
    <row r="6528">
      <c r="B6528" s="24" t="inlineStr">
        <is>
          <t>AlertSignal</t>
        </is>
      </c>
      <c r="C6528" s="24" t="inlineStr">
        <is>
          <t>预警信号风险提示</t>
        </is>
      </c>
      <c r="D6528" s="24" t="inlineStr">
        <is>
          <t>AL5100</t>
        </is>
      </c>
      <c r="E6528" s="24" t="inlineStr">
        <is>
          <t>其他银行提高对同一客户的利率。</t>
        </is>
      </c>
    </row>
    <row r="6529">
      <c r="B6529" s="24" t="inlineStr">
        <is>
          <t>AlertSignal</t>
        </is>
      </c>
      <c r="C6529" s="24" t="inlineStr">
        <is>
          <t>预警信号风险提示</t>
        </is>
      </c>
      <c r="D6529" s="24" t="inlineStr">
        <is>
          <t>AL5110</t>
        </is>
      </c>
      <c r="E6529" s="24" t="inlineStr">
        <is>
          <t>客户申请无抵押授信产品或申请特殊还款方式。</t>
        </is>
      </c>
    </row>
    <row r="6530">
      <c r="B6530" s="24" t="inlineStr">
        <is>
          <t>AlertSignal</t>
        </is>
      </c>
      <c r="C6530" s="24" t="inlineStr">
        <is>
          <t>预警信号风险提示</t>
        </is>
      </c>
      <c r="D6530" s="24" t="inlineStr">
        <is>
          <t>AL5120</t>
        </is>
      </c>
      <c r="E6530" s="24" t="inlineStr">
        <is>
          <t>交易和文件过于复杂。</t>
        </is>
      </c>
    </row>
    <row r="6531">
      <c r="B6531" s="24" t="inlineStr">
        <is>
          <t>AlertSignal</t>
        </is>
      </c>
      <c r="C6531" s="24" t="inlineStr">
        <is>
          <t>预警信号风险提示</t>
        </is>
      </c>
      <c r="D6531" s="24" t="inlineStr">
        <is>
          <t>AL5130</t>
        </is>
      </c>
      <c r="E6531" s="24" t="inlineStr">
        <is>
          <t>银行无法控制抵押品和质押权。</t>
        </is>
      </c>
    </row>
    <row r="6532">
      <c r="B6532" s="24" t="inlineStr">
        <is>
          <t>AlertSignal</t>
        </is>
      </c>
      <c r="C6532" s="24" t="inlineStr">
        <is>
          <t>预警信号风险提示</t>
        </is>
      </c>
      <c r="D6532" s="24" t="inlineStr">
        <is>
          <t>AL6010</t>
        </is>
      </c>
      <c r="E6532" s="24" t="inlineStr">
        <is>
          <t>业务领域收缩。</t>
        </is>
      </c>
    </row>
    <row r="6533">
      <c r="B6533" s="24" t="inlineStr">
        <is>
          <t>AlertSignal</t>
        </is>
      </c>
      <c r="C6533" s="24" t="inlineStr">
        <is>
          <t>预警信号风险提示</t>
        </is>
      </c>
      <c r="D6533" s="24" t="inlineStr">
        <is>
          <t>AL6020</t>
        </is>
      </c>
      <c r="E6533" s="24" t="inlineStr">
        <is>
          <t>无核心业务并过分追求多样化。</t>
        </is>
      </c>
    </row>
    <row r="6534">
      <c r="B6534" s="24" t="inlineStr">
        <is>
          <t>AlertSignal</t>
        </is>
      </c>
      <c r="C6534" s="24" t="inlineStr">
        <is>
          <t>预警信号风险提示</t>
        </is>
      </c>
      <c r="D6534" s="24" t="inlineStr">
        <is>
          <t>AL6030</t>
        </is>
      </c>
      <c r="E6534" s="24" t="inlineStr">
        <is>
          <t>业务增长过快。</t>
        </is>
      </c>
    </row>
    <row r="6535">
      <c r="B6535" s="24" t="inlineStr">
        <is>
          <t>AlertSignal</t>
        </is>
      </c>
      <c r="C6535" s="24" t="inlineStr">
        <is>
          <t>预警信号风险提示</t>
        </is>
      </c>
      <c r="D6535" s="24" t="inlineStr">
        <is>
          <t>AL6040</t>
        </is>
      </c>
      <c r="E6535" s="24" t="inlineStr">
        <is>
          <t>市场份额下降。</t>
        </is>
      </c>
    </row>
    <row r="6536">
      <c r="B6536" s="24" t="inlineStr">
        <is>
          <t>AlertSignal</t>
        </is>
      </c>
      <c r="C6536" s="24" t="inlineStr">
        <is>
          <t>预警信号风险提示</t>
        </is>
      </c>
      <c r="D6536" s="24" t="inlineStr">
        <is>
          <t>AL7010</t>
        </is>
      </c>
      <c r="E6536" s="24" t="inlineStr">
        <is>
          <t>成本和费用失控。</t>
        </is>
      </c>
    </row>
    <row r="6537">
      <c r="B6537" s="24" t="inlineStr">
        <is>
          <t>AlertSignal</t>
        </is>
      </c>
      <c r="C6537" s="24" t="inlineStr">
        <is>
          <t>预警信号风险提示</t>
        </is>
      </c>
      <c r="D6537" s="24" t="inlineStr">
        <is>
          <t>AL7020</t>
        </is>
      </c>
      <c r="E6537" s="24" t="inlineStr">
        <is>
          <t>客户现金流出现问题。</t>
        </is>
      </c>
    </row>
    <row r="6538">
      <c r="B6538" s="24" t="inlineStr">
        <is>
          <t>AlertSignal</t>
        </is>
      </c>
      <c r="C6538" s="24" t="inlineStr">
        <is>
          <t>预警信号风险提示</t>
        </is>
      </c>
      <c r="D6538" s="24" t="inlineStr">
        <is>
          <t>AL7030</t>
        </is>
      </c>
      <c r="E6538" s="24" t="inlineStr">
        <is>
          <t>客户产品或服务的市场需求下降。</t>
        </is>
      </c>
    </row>
    <row r="6539">
      <c r="B6539" s="24" t="inlineStr">
        <is>
          <t>AlertSignal</t>
        </is>
      </c>
      <c r="C6539" s="24" t="inlineStr">
        <is>
          <t>预警信号风险提示</t>
        </is>
      </c>
      <c r="D6539" s="24" t="inlineStr">
        <is>
          <t>AL7040</t>
        </is>
      </c>
      <c r="E6539" s="24" t="inlineStr">
        <is>
          <t>还款记录不正常。</t>
        </is>
      </c>
    </row>
    <row r="6540">
      <c r="B6540" s="24" t="inlineStr">
        <is>
          <t>AlertSignal</t>
        </is>
      </c>
      <c r="C6540" s="24" t="inlineStr">
        <is>
          <t>预警信号风险提示</t>
        </is>
      </c>
      <c r="D6540" s="24" t="inlineStr">
        <is>
          <t>AL7050</t>
        </is>
      </c>
      <c r="E6540" s="24" t="inlineStr">
        <is>
          <t>欺诈，如在对方付款后故意不提供相应的产品或服务。</t>
        </is>
      </c>
    </row>
    <row r="6541">
      <c r="B6541" s="24" t="inlineStr">
        <is>
          <t>AlertSignal</t>
        </is>
      </c>
      <c r="C6541" s="24" t="inlineStr">
        <is>
          <t>预警信号风险提示</t>
        </is>
      </c>
      <c r="D6541" s="24" t="inlineStr">
        <is>
          <t>AL7060</t>
        </is>
      </c>
      <c r="E6541" s="24" t="inlineStr">
        <is>
          <t>弄虚作假(如伪造或涂改各种批准文件或相关业务凭证)。</t>
        </is>
      </c>
    </row>
    <row r="6542">
      <c r="B6542" s="24" t="inlineStr">
        <is>
          <t>AlertSignal</t>
        </is>
      </c>
      <c r="C6542" s="24" t="inlineStr">
        <is>
          <t>预警信号风险提示</t>
        </is>
      </c>
      <c r="D6542" s="24" t="inlineStr">
        <is>
          <t>AL7070</t>
        </is>
      </c>
      <c r="E6542" s="24" t="inlineStr">
        <is>
          <t>对传统财务分析的某些趋势，例如市场份额的快速下降未作解释。</t>
        </is>
      </c>
    </row>
    <row r="6543">
      <c r="B6543" s="24" t="inlineStr">
        <is>
          <t>AlertSignal</t>
        </is>
      </c>
      <c r="C6543" s="24" t="inlineStr">
        <is>
          <t>预警信号风险提示</t>
        </is>
      </c>
      <c r="D6543" s="24" t="inlineStr">
        <is>
          <t>AL7080</t>
        </is>
      </c>
      <c r="E6543" s="24" t="inlineStr">
        <is>
          <t>客户战略、业务或环境的重大变动。</t>
        </is>
      </c>
    </row>
    <row r="6544">
      <c r="B6544" s="24" t="inlineStr">
        <is>
          <t>AlertSignal</t>
        </is>
      </c>
      <c r="C6544" s="24" t="inlineStr">
        <is>
          <t>预警信号风险提示</t>
        </is>
      </c>
      <c r="D6544" s="24" t="inlineStr">
        <is>
          <t>AL7090</t>
        </is>
      </c>
      <c r="E6544" s="24" t="inlineStr">
        <is>
          <t>某些欺诈信号，如无法证明财务记录的合法性。</t>
        </is>
      </c>
    </row>
    <row r="6545">
      <c r="B6545" s="24" t="inlineStr">
        <is>
          <t>AlertSignal</t>
        </is>
      </c>
      <c r="C6545" s="24" t="inlineStr">
        <is>
          <t>预警信号风险提示</t>
        </is>
      </c>
      <c r="D6545" s="24" t="inlineStr">
        <is>
          <t>AL7100</t>
        </is>
      </c>
      <c r="E6545" s="24" t="inlineStr">
        <is>
          <t>财务报表披露延迟。</t>
        </is>
      </c>
    </row>
    <row r="6546">
      <c r="B6546" s="24" t="inlineStr">
        <is>
          <t>AlertSignal</t>
        </is>
      </c>
      <c r="C6546" s="24" t="inlineStr">
        <is>
          <t>预警信号风险提示</t>
        </is>
      </c>
      <c r="D6546" s="24" t="inlineStr">
        <is>
          <t>AL7110</t>
        </is>
      </c>
      <c r="E6546" s="24" t="inlineStr">
        <is>
          <t>未按合同还款。</t>
        </is>
      </c>
    </row>
    <row r="6547">
      <c r="B6547" s="24" t="inlineStr">
        <is>
          <t>AlertSignal</t>
        </is>
      </c>
      <c r="C6547" s="24" t="inlineStr">
        <is>
          <t>预警信号风险提示</t>
        </is>
      </c>
      <c r="D6547" s="24" t="inlineStr">
        <is>
          <t>AL7120</t>
        </is>
      </c>
      <c r="E6547" s="24" t="inlineStr">
        <is>
          <t>未作客户破产的应急预案。</t>
        </is>
      </c>
    </row>
    <row r="6548">
      <c r="B6548" s="24" t="inlineStr">
        <is>
          <t>AlertSignal</t>
        </is>
      </c>
      <c r="C6548" s="24" t="inlineStr">
        <is>
          <t>预警信号风险提示</t>
        </is>
      </c>
      <c r="D6548" s="24" t="inlineStr">
        <is>
          <t>AL7130</t>
        </is>
      </c>
      <c r="E6548" s="24" t="inlineStr">
        <is>
          <t>对于信息的反应迟缓。</t>
        </is>
      </c>
    </row>
    <row r="6549">
      <c r="B6549" s="24" t="inlineStr">
        <is>
          <t>AlertSignal</t>
        </is>
      </c>
      <c r="C6549" s="24" t="inlineStr">
        <is>
          <t>预警信号风险提示</t>
        </is>
      </c>
      <c r="D6549" s="24" t="inlineStr">
        <is>
          <t>AL7140</t>
        </is>
      </c>
      <c r="E6549" s="24" t="inlineStr">
        <is>
          <t>公司大规模裁员或大批人员离职，引起社会关注。</t>
        </is>
      </c>
    </row>
    <row r="6550">
      <c r="B6550" s="24" t="inlineStr">
        <is>
          <t>AlertSignal</t>
        </is>
      </c>
      <c r="C6550" s="24" t="inlineStr">
        <is>
          <t>预警信号风险提示</t>
        </is>
      </c>
      <c r="D6550" s="24" t="inlineStr">
        <is>
          <t>AL7150</t>
        </is>
      </c>
      <c r="E6550" s="24" t="inlineStr">
        <is>
          <t>公司组织形式发生重大变化，包括资产委托经营、承包、兼并、被收购、公司分立、股份制改造、资产重组等重大改制。</t>
        </is>
      </c>
    </row>
    <row r="6551">
      <c r="B6551" s="24" t="inlineStr">
        <is>
          <t>AlertSignal</t>
        </is>
      </c>
      <c r="C6551" s="24" t="inlineStr">
        <is>
          <t>预警信号风险提示</t>
        </is>
      </c>
      <c r="D6551" s="24" t="inlineStr">
        <is>
          <t>AL7160</t>
        </is>
      </c>
      <c r="E6551" s="24" t="inlineStr">
        <is>
          <t>企业经营策略、经营计划发生了重大调整，致使公司原有的经营模式(如收入来源、主营业务)发生重大变化。</t>
        </is>
      </c>
    </row>
    <row r="6552">
      <c r="B6552" s="24" t="inlineStr">
        <is>
          <t>AlertSignal</t>
        </is>
      </c>
      <c r="C6552" s="24" t="inlineStr">
        <is>
          <t>预警信号风险提示</t>
        </is>
      </c>
      <c r="D6552" s="24" t="inlineStr">
        <is>
          <t>AL7170</t>
        </is>
      </c>
      <c r="E6552" s="24" t="inlineStr">
        <is>
          <t>企业被吊销(或停止使用)贷款证、专营权、主导产品生产许可证等，或未参加工商年检或被有关职能部门查处。</t>
        </is>
      </c>
    </row>
    <row r="6553">
      <c r="B6553" s="24" t="inlineStr">
        <is>
          <t>AlertSignal</t>
        </is>
      </c>
      <c r="C6553" s="24" t="inlineStr">
        <is>
          <t>预警信号风险提示</t>
        </is>
      </c>
      <c r="D6553" s="24" t="inlineStr">
        <is>
          <t>AL7180</t>
        </is>
      </c>
      <c r="E6553" s="24" t="inlineStr">
        <is>
          <t>对银行的态度有所转变，如出现不与银行积极合作的态度、在我行业务结算骤降等。</t>
        </is>
      </c>
    </row>
    <row r="6554">
      <c r="B6554" s="24" t="inlineStr">
        <is>
          <t>AlertSignal</t>
        </is>
      </c>
      <c r="C6554" s="24" t="inlineStr">
        <is>
          <t>预警信号风险提示</t>
        </is>
      </c>
      <c r="D6554" s="24" t="inlineStr">
        <is>
          <t>AL7190</t>
        </is>
      </c>
      <c r="E6554" s="24" t="inlineStr">
        <is>
          <t>借款人向其他银行的信贷申请被拒绝；其他金融机构，特别是曾提供较大额度授信、历史较长的商业银行突然非正常退出。</t>
        </is>
      </c>
    </row>
    <row r="6555">
      <c r="B6555" s="24" t="inlineStr">
        <is>
          <t>AlertSignal</t>
        </is>
      </c>
      <c r="C6555" s="24" t="inlineStr">
        <is>
          <t>预警信号风险提示</t>
        </is>
      </c>
      <c r="D6555" s="24" t="inlineStr">
        <is>
          <t>AL7200</t>
        </is>
      </c>
      <c r="E6555" s="24" t="inlineStr">
        <is>
          <t>外部机构下调了借款人的信用评级。</t>
        </is>
      </c>
    </row>
    <row r="6556">
      <c r="B6556" s="24" t="inlineStr">
        <is>
          <t>AlertSignal</t>
        </is>
      </c>
      <c r="C6556" s="24" t="inlineStr">
        <is>
          <t>预警信号风险提示</t>
        </is>
      </c>
      <c r="D6556" s="24" t="inlineStr">
        <is>
          <t>AL7210</t>
        </is>
      </c>
      <c r="E6556" s="24" t="inlineStr">
        <is>
          <t>建设项目的进展与计划出现较大的不利偏差。</t>
        </is>
      </c>
    </row>
    <row r="6557">
      <c r="B6557" s="24" t="inlineStr">
        <is>
          <t>AlertSignal</t>
        </is>
      </c>
      <c r="C6557" s="24" t="inlineStr">
        <is>
          <t>预警信号风险提示</t>
        </is>
      </c>
      <c r="D6557" s="24" t="inlineStr">
        <is>
          <t>AL7220</t>
        </is>
      </c>
      <c r="E6557" s="24" t="inlineStr">
        <is>
          <t>对外提供新的大额担保或大量资产被抵押，接近或超过自身的承受能力。</t>
        </is>
      </c>
    </row>
    <row r="6558">
      <c r="B6558" s="24" t="inlineStr">
        <is>
          <t>AlertSignal</t>
        </is>
      </c>
      <c r="C6558" s="24" t="inlineStr">
        <is>
          <t>预警信号风险提示</t>
        </is>
      </c>
      <c r="D6558" s="24" t="inlineStr">
        <is>
          <t>AL7230</t>
        </is>
      </c>
      <c r="E6558" s="24" t="inlineStr">
        <is>
          <t>主要客户丢失，产品线、代理经营权、特许经营权、供应商的丧失；产品严重积压，企业发生重大质量、生产事故，企业处于停产、半停产。</t>
        </is>
      </c>
    </row>
    <row r="6559">
      <c r="B6559" s="24" t="inlineStr">
        <is>
          <t>AlertSignal</t>
        </is>
      </c>
      <c r="C6559" s="24" t="inlineStr">
        <is>
          <t>预警信号风险提示</t>
        </is>
      </c>
      <c r="D6559" s="24" t="inlineStr">
        <is>
          <t>AL7240</t>
        </is>
      </c>
      <c r="E6559" s="24" t="inlineStr">
        <is>
          <t>股票被ST或被证券管理机构发布不利的预警信息。</t>
        </is>
      </c>
    </row>
    <row r="6560">
      <c r="B6560" s="24" t="inlineStr">
        <is>
          <t>AlertSignal</t>
        </is>
      </c>
      <c r="C6560" s="24" t="inlineStr">
        <is>
          <t>预警信号风险提示</t>
        </is>
      </c>
      <c r="D6560" s="24" t="inlineStr">
        <is>
          <t>AL7250</t>
        </is>
      </c>
      <c r="E6560" s="24" t="inlineStr">
        <is>
          <t>企业出售、变卖主要的生产、经营性固定资产。</t>
        </is>
      </c>
    </row>
    <row r="6561">
      <c r="B6561" s="24" t="inlineStr">
        <is>
          <t>AlertSignal</t>
        </is>
      </c>
      <c r="C6561" s="24" t="inlineStr">
        <is>
          <t>预警信号风险提示</t>
        </is>
      </c>
      <c r="D6561" s="24" t="inlineStr">
        <is>
          <t>AL7260</t>
        </is>
      </c>
      <c r="E6561" s="24" t="inlineStr">
        <is>
          <t>借款人借款大量增加，与其业务规模不成比例。</t>
        </is>
      </c>
    </row>
    <row r="6562">
      <c r="B6562" s="24" t="inlineStr">
        <is>
          <t>AlertSignal</t>
        </is>
      </c>
      <c r="C6562" s="24" t="inlineStr">
        <is>
          <t>预警信号风险提示</t>
        </is>
      </c>
      <c r="D6562" s="24" t="inlineStr">
        <is>
          <t>AL7270</t>
        </is>
      </c>
      <c r="E6562" s="24" t="inlineStr">
        <is>
          <t>借款人的主要股东、关联企业或母子公司等发生了重大的不利变化。</t>
        </is>
      </c>
    </row>
    <row r="6563">
      <c r="B6563" s="24" t="inlineStr">
        <is>
          <t>AlertSignal</t>
        </is>
      </c>
      <c r="C6563" s="24" t="inlineStr">
        <is>
          <t>预警信号风险提示</t>
        </is>
      </c>
      <c r="D6563" s="24" t="inlineStr">
        <is>
          <t>AL7280</t>
        </is>
      </c>
      <c r="E6563" s="24" t="inlineStr">
        <is>
          <t>不按贷款合同规定的贷款用途使用贷款，逃避我行监督，将贷款用于风险较大的项目，或用于不正当的用途，使得还款来源无法落实。</t>
        </is>
      </c>
    </row>
    <row r="6564">
      <c r="B6564" s="24" t="inlineStr">
        <is>
          <t>AlertSignal</t>
        </is>
      </c>
      <c r="C6564" s="24" t="inlineStr">
        <is>
          <t>预警信号风险提示</t>
        </is>
      </c>
      <c r="D6564" s="24" t="inlineStr">
        <is>
          <t>AL7290</t>
        </is>
      </c>
      <c r="E6564" s="24" t="inlineStr">
        <is>
          <t>发现我行开出的银行承兑汇票/信用证/保函无真实的贸易基础，或客户以贸易未完成等理由拒绝履行付款责任。</t>
        </is>
      </c>
    </row>
    <row r="6565">
      <c r="B6565" s="24" t="inlineStr">
        <is>
          <t>AlertSignal</t>
        </is>
      </c>
      <c r="C6565" s="24" t="inlineStr">
        <is>
          <t>预警信号风险提示</t>
        </is>
      </c>
      <c r="D6565" s="24" t="inlineStr">
        <is>
          <t>AL7300</t>
        </is>
      </c>
      <c r="E6565" s="24" t="inlineStr">
        <is>
          <t>人行信贷咨询系统中出现一逾两呆或五级分类次级(含)以下情况，经查属实。</t>
        </is>
      </c>
    </row>
    <row r="6566">
      <c r="B6566" s="24" t="inlineStr">
        <is>
          <t>AlertSignal</t>
        </is>
      </c>
      <c r="C6566" s="24" t="inlineStr">
        <is>
          <t>预警信号风险提示</t>
        </is>
      </c>
      <c r="D6566" s="24" t="inlineStr">
        <is>
          <t>AL7310</t>
        </is>
      </c>
      <c r="E6566" s="24" t="inlineStr">
        <is>
          <t>企业被人民银行或其他金融机构宣布为信誉不良用户。</t>
        </is>
      </c>
    </row>
    <row r="6567" ht="15.95" customHeight="1" s="170">
      <c r="B6567" s="122" t="inlineStr">
        <is>
          <t>码值：MandateRiskClassify</t>
        </is>
      </c>
    </row>
    <row r="6568">
      <c r="B6568" s="24" t="inlineStr">
        <is>
          <t>MandateRiskClassify</t>
        </is>
      </c>
      <c r="C6568" s="24" t="inlineStr">
        <is>
          <t>委托贷款风险类型</t>
        </is>
      </c>
      <c r="D6568" s="24" t="inlineStr">
        <is>
          <t>010</t>
        </is>
      </c>
      <c r="E6568" s="24" t="inlineStr">
        <is>
          <t>A类委托-被委托人不承担风险</t>
        </is>
      </c>
    </row>
    <row r="6569">
      <c r="B6569" s="24" t="inlineStr">
        <is>
          <t>MandateRiskClassify</t>
        </is>
      </c>
      <c r="C6569" s="24" t="inlineStr">
        <is>
          <t>委托贷款风险类型</t>
        </is>
      </c>
      <c r="D6569" s="24" t="inlineStr">
        <is>
          <t>020</t>
        </is>
      </c>
      <c r="E6569" s="24" t="inlineStr">
        <is>
          <t>B类委托-被委托人承担风险</t>
        </is>
      </c>
    </row>
    <row r="6570">
      <c r="B6570" s="24" t="inlineStr">
        <is>
          <t>MandateRiskClassify</t>
        </is>
      </c>
      <c r="C6570" s="24" t="inlineStr">
        <is>
          <t>委托贷款风险类型</t>
        </is>
      </c>
      <c r="D6570" s="24" t="inlineStr">
        <is>
          <t>030</t>
        </is>
      </c>
      <c r="E6570" s="24" t="inlineStr">
        <is>
          <t>C类委托-双方共同承担风险</t>
        </is>
      </c>
    </row>
    <row r="6571" ht="15.95" customHeight="1" s="170">
      <c r="B6571" s="122" t="inlineStr">
        <is>
          <t>码值：ProfitModel</t>
        </is>
      </c>
    </row>
    <row r="6572">
      <c r="B6572" s="24" t="inlineStr">
        <is>
          <t>ProfitModel</t>
        </is>
      </c>
      <c r="C6572" s="24" t="inlineStr">
        <is>
          <t>工业房产盈利模式</t>
        </is>
      </c>
      <c r="D6572" s="24" t="inlineStr">
        <is>
          <t>01</t>
        </is>
      </c>
      <c r="E6572" s="24" t="inlineStr">
        <is>
          <t>出售</t>
        </is>
      </c>
    </row>
    <row r="6573">
      <c r="B6573" s="24" t="inlineStr">
        <is>
          <t>ProfitModel</t>
        </is>
      </c>
      <c r="C6573" s="24" t="inlineStr">
        <is>
          <t>工业房产盈利模式</t>
        </is>
      </c>
      <c r="D6573" s="24" t="inlineStr">
        <is>
          <t>02</t>
        </is>
      </c>
      <c r="E6573" s="24" t="inlineStr">
        <is>
          <t>租赁</t>
        </is>
      </c>
    </row>
    <row r="6574">
      <c r="B6574" s="24" t="inlineStr">
        <is>
          <t>ProfitModel</t>
        </is>
      </c>
      <c r="C6574" s="24" t="inlineStr">
        <is>
          <t>工业房产盈利模式</t>
        </is>
      </c>
      <c r="D6574" s="24" t="inlineStr">
        <is>
          <t>03</t>
        </is>
      </c>
      <c r="E6574" s="24" t="inlineStr">
        <is>
          <t>混合</t>
        </is>
      </c>
    </row>
    <row r="6575">
      <c r="B6575" s="24" t="inlineStr">
        <is>
          <t>ProfitModel</t>
        </is>
      </c>
      <c r="C6575" s="24" t="inlineStr">
        <is>
          <t>工业房产盈利模式</t>
        </is>
      </c>
      <c r="D6575" s="24" t="inlineStr">
        <is>
          <t>04</t>
        </is>
      </c>
      <c r="E6575" s="24" t="inlineStr">
        <is>
          <t>其他</t>
        </is>
      </c>
    </row>
    <row r="6576" ht="15.95" customHeight="1" s="170">
      <c r="B6576" s="122" t="inlineStr">
        <is>
          <t>码值：EdocApproveMain</t>
        </is>
      </c>
    </row>
    <row r="6577">
      <c r="B6577" s="24" t="inlineStr">
        <is>
          <t>EdocApproveMain</t>
        </is>
      </c>
      <c r="C6577" s="24" t="inlineStr">
        <is>
          <t>电子合同审批主树图</t>
        </is>
      </c>
      <c r="D6577" s="24" t="inlineStr">
        <is>
          <t>N</t>
        </is>
      </c>
      <c r="E6577" s="24" t="inlineStr">
        <is>
          <t>待办任务</t>
        </is>
      </c>
    </row>
    <row r="6578">
      <c r="B6578" s="24" t="inlineStr">
        <is>
          <t>EdocApproveMain</t>
        </is>
      </c>
      <c r="C6578" s="24" t="inlineStr">
        <is>
          <t>电子合同审批主树图</t>
        </is>
      </c>
      <c r="D6578" s="24" t="inlineStr">
        <is>
          <t>Y</t>
        </is>
      </c>
      <c r="E6578" s="24" t="inlineStr">
        <is>
          <t>已办任务</t>
        </is>
      </c>
    </row>
    <row r="6579" ht="15.95" customHeight="1" s="170">
      <c r="B6579" s="122" t="inlineStr">
        <is>
          <t>码值：NoPassDeal</t>
        </is>
      </c>
    </row>
    <row r="6580">
      <c r="B6580" s="24" t="inlineStr">
        <is>
          <t>NoPassDeal</t>
        </is>
      </c>
      <c r="C6580" s="24" t="inlineStr">
        <is>
          <t>未通过的处理方法</t>
        </is>
      </c>
      <c r="D6580" s="24" t="inlineStr">
        <is>
          <t>00</t>
        </is>
      </c>
      <c r="E6580" s="24" t="inlineStr">
        <is>
          <t>停止</t>
        </is>
      </c>
    </row>
    <row r="6581">
      <c r="B6581" s="24" t="inlineStr">
        <is>
          <t>NoPassDeal</t>
        </is>
      </c>
      <c r="C6581" s="24" t="inlineStr">
        <is>
          <t>未通过的处理方法</t>
        </is>
      </c>
      <c r="D6581" s="24" t="inlineStr">
        <is>
          <t>10</t>
        </is>
      </c>
      <c r="E6581" s="24" t="inlineStr">
        <is>
          <t>禁止办理</t>
        </is>
      </c>
    </row>
    <row r="6582">
      <c r="B6582" s="24" t="inlineStr">
        <is>
          <t>NoPassDeal</t>
        </is>
      </c>
      <c r="C6582" s="24" t="inlineStr">
        <is>
          <t>未通过的处理方法</t>
        </is>
      </c>
      <c r="D6582" s="24" t="inlineStr">
        <is>
          <t>20</t>
        </is>
      </c>
      <c r="E6582" s="24" t="inlineStr">
        <is>
          <t>提示</t>
        </is>
      </c>
    </row>
    <row r="6583" ht="15.95" customHeight="1" s="170">
      <c r="B6583" s="122" t="inlineStr">
        <is>
          <t>码值：EdocApplyMain</t>
        </is>
      </c>
    </row>
    <row r="6584">
      <c r="B6584" s="24" t="inlineStr">
        <is>
          <t>EdocApplyMain</t>
        </is>
      </c>
      <c r="C6584" s="24" t="inlineStr">
        <is>
          <t>电子合同模板申请主树图</t>
        </is>
      </c>
      <c r="D6584" s="24" t="inlineStr">
        <is>
          <t>1010</t>
        </is>
      </c>
      <c r="E6584" s="24" t="inlineStr">
        <is>
          <t>待处理</t>
        </is>
      </c>
    </row>
    <row r="6585">
      <c r="B6585" s="24" t="inlineStr">
        <is>
          <t>EdocApplyMain</t>
        </is>
      </c>
      <c r="C6585" s="24" t="inlineStr">
        <is>
          <t>电子合同模板申请主树图</t>
        </is>
      </c>
      <c r="D6585" s="24" t="inlineStr">
        <is>
          <t>1020</t>
        </is>
      </c>
      <c r="E6585" s="24" t="inlineStr">
        <is>
          <t>审批中</t>
        </is>
      </c>
    </row>
    <row r="6586">
      <c r="B6586" s="24" t="inlineStr">
        <is>
          <t>EdocApplyMain</t>
        </is>
      </c>
      <c r="C6586" s="24" t="inlineStr">
        <is>
          <t>电子合同模板申请主树图</t>
        </is>
      </c>
      <c r="D6586" s="24" t="inlineStr">
        <is>
          <t>1040,1050</t>
        </is>
      </c>
      <c r="E6586" s="24" t="inlineStr">
        <is>
          <t>处理完成</t>
        </is>
      </c>
    </row>
    <row r="6587" ht="15.95" customHeight="1" s="170">
      <c r="B6587" s="122" t="inlineStr">
        <is>
          <t>码值：行业经历</t>
        </is>
      </c>
    </row>
    <row r="6588">
      <c r="B6588" s="24" t="inlineStr">
        <is>
          <t>行业经历</t>
        </is>
      </c>
      <c r="C6588" s="24" t="inlineStr">
        <is>
          <t>行业经历</t>
        </is>
      </c>
      <c r="D6588" s="24" t="inlineStr">
        <is>
          <t>1</t>
        </is>
      </c>
      <c r="E6588" s="24" t="inlineStr">
        <is>
          <t>3个及3个以上</t>
        </is>
      </c>
    </row>
    <row r="6589">
      <c r="B6589" s="24" t="inlineStr">
        <is>
          <t>行业经历</t>
        </is>
      </c>
      <c r="C6589" s="24" t="inlineStr">
        <is>
          <t>行业经历</t>
        </is>
      </c>
      <c r="D6589" s="24" t="inlineStr">
        <is>
          <t>2</t>
        </is>
      </c>
      <c r="E6589" s="24" t="inlineStr">
        <is>
          <t>2个</t>
        </is>
      </c>
    </row>
    <row r="6590">
      <c r="B6590" s="24" t="inlineStr">
        <is>
          <t>行业经历</t>
        </is>
      </c>
      <c r="C6590" s="24" t="inlineStr">
        <is>
          <t>行业经历</t>
        </is>
      </c>
      <c r="D6590" s="24" t="inlineStr">
        <is>
          <t>3</t>
        </is>
      </c>
      <c r="E6590" s="24" t="inlineStr">
        <is>
          <t>1个</t>
        </is>
      </c>
    </row>
    <row r="6591" ht="15.95" customHeight="1" s="170">
      <c r="B6591" s="122" t="inlineStr">
        <is>
          <t>码值：AlarmModelType</t>
        </is>
      </c>
    </row>
    <row r="6592">
      <c r="B6592" s="24" t="inlineStr">
        <is>
          <t>AlarmModelType</t>
        </is>
      </c>
      <c r="C6592" s="24" t="inlineStr">
        <is>
          <t>预警模型类型</t>
        </is>
      </c>
      <c r="D6592" s="24" t="inlineStr">
        <is>
          <t>10</t>
        </is>
      </c>
      <c r="E6592" s="24" t="inlineStr">
        <is>
          <t>JAVA</t>
        </is>
      </c>
    </row>
    <row r="6593">
      <c r="B6593" s="24" t="inlineStr">
        <is>
          <t>AlarmModelType</t>
        </is>
      </c>
      <c r="C6593" s="24" t="inlineStr">
        <is>
          <t>预警模型类型</t>
        </is>
      </c>
      <c r="D6593" s="24" t="inlineStr">
        <is>
          <t>20</t>
        </is>
      </c>
      <c r="E6593" s="24" t="inlineStr">
        <is>
          <t>SQL</t>
        </is>
      </c>
    </row>
    <row r="6594">
      <c r="B6594" s="24" t="inlineStr">
        <is>
          <t>AlarmModelType</t>
        </is>
      </c>
      <c r="C6594" s="24" t="inlineStr">
        <is>
          <t>预警模型类型</t>
        </is>
      </c>
      <c r="D6594" s="24" t="inlineStr">
        <is>
          <t>30</t>
        </is>
      </c>
      <c r="E6594" s="24" t="inlineStr">
        <is>
          <t>AmarScript</t>
        </is>
      </c>
    </row>
    <row r="6595" ht="15.95" customHeight="1" s="170">
      <c r="B6595" s="122" t="inlineStr">
        <is>
          <t>码值：ManagementControl</t>
        </is>
      </c>
    </row>
    <row r="6596">
      <c r="B6596" s="24" t="inlineStr">
        <is>
          <t>ManagementControl</t>
        </is>
      </c>
      <c r="C6596" s="24" t="inlineStr">
        <is>
          <t>信用等级评估统一导入</t>
        </is>
      </c>
      <c r="D6596" s="24" t="inlineStr">
        <is>
          <t>01</t>
        </is>
      </c>
      <c r="E6596" s="24" t="inlineStr">
        <is>
          <t>政府对年度经营和资本预算进行审查和批准；贷款需政府批准或限制；政府有能力在现有的法律/监管体制下，通过重大政策操纵，例如强制合并或改变大学的总体目标范围（但不包括直接财务贡献），对大学的财务状况采取突然的正面影响</t>
        </is>
      </c>
    </row>
    <row r="6597">
      <c r="B6597" s="24" t="inlineStr">
        <is>
          <t>ManagementControl</t>
        </is>
      </c>
      <c r="C6597" s="24" t="inlineStr">
        <is>
          <t>信用等级评估统一导入</t>
        </is>
      </c>
      <c r="D6597" s="24" t="inlineStr">
        <is>
          <t>02</t>
        </is>
      </c>
      <c r="E6597" s="24" t="inlineStr">
        <is>
          <t>政府对年度经营和资本预算进行审查和批准；贷款也需政府批准或限制</t>
        </is>
      </c>
    </row>
    <row r="6598">
      <c r="B6598" s="24" t="inlineStr">
        <is>
          <t>ManagementControl</t>
        </is>
      </c>
      <c r="C6598" s="24" t="inlineStr">
        <is>
          <t>信用等级评估统一导入</t>
        </is>
      </c>
      <c r="D6598" s="24" t="inlineStr">
        <is>
          <t>03</t>
        </is>
      </c>
      <c r="E6598" s="24" t="inlineStr">
        <is>
          <t>政府不对年度经营和资本预算进行审查和批准；但贷款认需政府批准或限制</t>
        </is>
      </c>
    </row>
    <row r="6599">
      <c r="B6599" s="24" t="inlineStr">
        <is>
          <t>ManagementControl</t>
        </is>
      </c>
      <c r="C6599" s="24" t="inlineStr">
        <is>
          <t>信用等级评估统一导入</t>
        </is>
      </c>
      <c r="D6599" s="24" t="inlineStr">
        <is>
          <t>04</t>
        </is>
      </c>
      <c r="E6599" s="24" t="inlineStr">
        <is>
          <t>政府基本对机构的经营管理不进行控制和介入</t>
        </is>
      </c>
    </row>
    <row r="6600" ht="15.95" customHeight="1" s="170">
      <c r="B6600" s="122" t="inlineStr">
        <is>
          <t>码值：BillForm</t>
        </is>
      </c>
    </row>
    <row r="6601">
      <c r="B6601" s="24" t="inlineStr">
        <is>
          <t>BillForm</t>
        </is>
      </c>
      <c r="C6601" s="24" t="inlineStr">
        <is>
          <t>票据形式</t>
        </is>
      </c>
      <c r="D6601" s="24" t="inlineStr">
        <is>
          <t>01</t>
        </is>
      </c>
      <c r="E6601" s="24" t="inlineStr">
        <is>
          <t>电票</t>
        </is>
      </c>
    </row>
    <row r="6602">
      <c r="B6602" s="24" t="inlineStr">
        <is>
          <t>BillForm</t>
        </is>
      </c>
      <c r="C6602" s="24" t="inlineStr">
        <is>
          <t>票据形式</t>
        </is>
      </c>
      <c r="D6602" s="24" t="inlineStr">
        <is>
          <t>02</t>
        </is>
      </c>
      <c r="E6602" s="24" t="inlineStr">
        <is>
          <t>纸票</t>
        </is>
      </c>
    </row>
    <row r="6603" ht="15.95" customHeight="1" s="170">
      <c r="B6603" s="122" t="inlineStr">
        <is>
          <t>码值：VouchType</t>
        </is>
      </c>
    </row>
    <row r="6604">
      <c r="B6604" s="24" t="inlineStr">
        <is>
          <t>VouchType</t>
        </is>
      </c>
      <c r="C6604" s="24" t="inlineStr">
        <is>
          <t>担保方式</t>
        </is>
      </c>
      <c r="D6604" s="24" t="inlineStr">
        <is>
          <t>01</t>
        </is>
      </c>
      <c r="E6604" s="24" t="inlineStr">
        <is>
          <t>信用</t>
        </is>
      </c>
    </row>
    <row r="6605">
      <c r="B6605" s="24" t="inlineStr">
        <is>
          <t>VouchType</t>
        </is>
      </c>
      <c r="C6605" s="24" t="inlineStr">
        <is>
          <t>担保方式</t>
        </is>
      </c>
      <c r="D6605" s="24" t="inlineStr">
        <is>
          <t>02</t>
        </is>
      </c>
      <c r="E6605" s="24" t="inlineStr">
        <is>
          <t>保证</t>
        </is>
      </c>
    </row>
    <row r="6606">
      <c r="B6606" s="24" t="inlineStr">
        <is>
          <t>VouchType</t>
        </is>
      </c>
      <c r="C6606" s="24" t="inlineStr">
        <is>
          <t>担保方式</t>
        </is>
      </c>
      <c r="D6606" s="24" t="inlineStr">
        <is>
          <t>03</t>
        </is>
      </c>
      <c r="E6606" s="24" t="inlineStr">
        <is>
          <t>抵押</t>
        </is>
      </c>
    </row>
    <row r="6607">
      <c r="B6607" s="24" t="inlineStr">
        <is>
          <t>VouchType</t>
        </is>
      </c>
      <c r="C6607" s="24" t="inlineStr">
        <is>
          <t>担保方式</t>
        </is>
      </c>
      <c r="D6607" s="24" t="inlineStr">
        <is>
          <t>04</t>
        </is>
      </c>
      <c r="E6607" s="24" t="inlineStr">
        <is>
          <t>质押</t>
        </is>
      </c>
    </row>
    <row r="6608" ht="15.95" customHeight="1" s="170">
      <c r="B6608" s="122" t="inlineStr">
        <is>
          <t>码值：ChangeRule</t>
        </is>
      </c>
    </row>
    <row r="6609">
      <c r="B6609" s="24" t="inlineStr">
        <is>
          <t>ChangeRule</t>
        </is>
      </c>
      <c r="C6609" s="24" t="inlineStr">
        <is>
          <t>产品政策变更规则</t>
        </is>
      </c>
      <c r="D6609" s="24" t="inlineStr">
        <is>
          <t>1</t>
        </is>
      </c>
      <c r="E6609" s="24" t="inlineStr">
        <is>
          <t>一刀切</t>
        </is>
      </c>
    </row>
    <row r="6610">
      <c r="B6610" s="24" t="inlineStr">
        <is>
          <t>ChangeRule</t>
        </is>
      </c>
      <c r="C6610" s="24" t="inlineStr">
        <is>
          <t>产品政策变更规则</t>
        </is>
      </c>
      <c r="D6610" s="24" t="inlineStr">
        <is>
          <t>2</t>
        </is>
      </c>
      <c r="E6610" s="24" t="inlineStr">
        <is>
          <t>分水岭</t>
        </is>
      </c>
    </row>
    <row r="6611" ht="15.95" customHeight="1" s="170">
      <c r="B6611" s="122" t="inlineStr">
        <is>
          <t>码值：星级标准</t>
        </is>
      </c>
    </row>
    <row r="6612">
      <c r="B6612" s="24" t="inlineStr">
        <is>
          <t>星级标准</t>
        </is>
      </c>
      <c r="C6612" s="24" t="inlineStr">
        <is>
          <t>星级标准</t>
        </is>
      </c>
      <c r="D6612" s="24" t="inlineStr">
        <is>
          <t>1</t>
        </is>
      </c>
      <c r="E6612" s="24" t="inlineStr">
        <is>
          <t>五星级</t>
        </is>
      </c>
    </row>
    <row r="6613">
      <c r="B6613" s="24" t="inlineStr">
        <is>
          <t>星级标准</t>
        </is>
      </c>
      <c r="C6613" s="24" t="inlineStr">
        <is>
          <t>星级标准</t>
        </is>
      </c>
      <c r="D6613" s="24" t="inlineStr">
        <is>
          <t>2</t>
        </is>
      </c>
      <c r="E6613" s="24" t="inlineStr">
        <is>
          <t>四星级</t>
        </is>
      </c>
    </row>
    <row r="6614">
      <c r="B6614" s="24" t="inlineStr">
        <is>
          <t>星级标准</t>
        </is>
      </c>
      <c r="C6614" s="24" t="inlineStr">
        <is>
          <t>星级标准</t>
        </is>
      </c>
      <c r="D6614" s="24" t="inlineStr">
        <is>
          <t>3</t>
        </is>
      </c>
      <c r="E6614" s="24" t="inlineStr">
        <is>
          <t>其他</t>
        </is>
      </c>
    </row>
    <row r="6615" ht="15.95" customHeight="1" s="170">
      <c r="B6615" s="122" t="inlineStr">
        <is>
          <t>码值：ApproveType</t>
        </is>
      </c>
    </row>
    <row r="6616">
      <c r="B6616" s="24" t="inlineStr">
        <is>
          <t>ApproveType</t>
        </is>
      </c>
      <c r="C6616" s="24" t="inlineStr">
        <is>
          <t>审批类型</t>
        </is>
      </c>
      <c r="D6616" s="24" t="inlineStr">
        <is>
          <t>AgencyAccessApprove</t>
        </is>
      </c>
      <c r="E6616" s="24" t="inlineStr">
        <is>
          <t>资格认定审批</t>
        </is>
      </c>
    </row>
    <row r="6617">
      <c r="B6617" s="24" t="inlineStr">
        <is>
          <t>ApproveType</t>
        </is>
      </c>
      <c r="C6617" s="24" t="inlineStr">
        <is>
          <t>审批类型</t>
        </is>
      </c>
      <c r="D6617" s="24" t="inlineStr">
        <is>
          <t>AgencyEvaluateApprove</t>
        </is>
      </c>
      <c r="E6617" s="24" t="inlineStr">
        <is>
          <t>日常管理审批</t>
        </is>
      </c>
    </row>
    <row r="6618">
      <c r="B6618" s="24" t="inlineStr">
        <is>
          <t>ApproveType</t>
        </is>
      </c>
      <c r="C6618" s="24" t="inlineStr">
        <is>
          <t>审批类型</t>
        </is>
      </c>
      <c r="D6618" s="24" t="inlineStr">
        <is>
          <t>ApproveApprovalApply</t>
        </is>
      </c>
      <c r="E6618" s="24" t="inlineStr">
        <is>
          <t>最终审批意见复核</t>
        </is>
      </c>
    </row>
    <row r="6619">
      <c r="B6619" s="24" t="inlineStr">
        <is>
          <t>ApproveType</t>
        </is>
      </c>
      <c r="C6619" s="24" t="inlineStr">
        <is>
          <t>审批类型</t>
        </is>
      </c>
      <c r="D6619" s="24" t="inlineStr">
        <is>
          <t>ApproveClDrawnApply</t>
        </is>
      </c>
      <c r="E6619" s="24" t="inlineStr">
        <is>
          <t>额度提用申请审查复核</t>
        </is>
      </c>
    </row>
    <row r="6620">
      <c r="B6620" s="24" t="inlineStr">
        <is>
          <t>ApproveType</t>
        </is>
      </c>
      <c r="C6620" s="24" t="inlineStr">
        <is>
          <t>审批类型</t>
        </is>
      </c>
      <c r="D6620" s="24" t="inlineStr">
        <is>
          <t>ApproveCreditApply</t>
        </is>
      </c>
      <c r="E6620" s="24" t="inlineStr">
        <is>
          <t>授信业务审查审批</t>
        </is>
      </c>
    </row>
    <row r="6621">
      <c r="B6621" s="24" t="inlineStr">
        <is>
          <t>ApproveType</t>
        </is>
      </c>
      <c r="C6621" s="24" t="inlineStr">
        <is>
          <t>审批类型</t>
        </is>
      </c>
      <c r="D6621" s="24" t="inlineStr">
        <is>
          <t>ApprovePaymentApply</t>
        </is>
      </c>
      <c r="E6621" s="24" t="inlineStr">
        <is>
          <t>支付业务审查审批</t>
        </is>
      </c>
    </row>
    <row r="6622">
      <c r="B6622" s="24" t="inlineStr">
        <is>
          <t>ApproveType</t>
        </is>
      </c>
      <c r="C6622" s="24" t="inlineStr">
        <is>
          <t>审批类型</t>
        </is>
      </c>
      <c r="D6622" s="24" t="inlineStr">
        <is>
          <t>ApprovePutOutApply</t>
        </is>
      </c>
      <c r="E6622" s="24" t="inlineStr">
        <is>
          <t>放贷申请审查复核</t>
        </is>
      </c>
    </row>
    <row r="6623">
      <c r="B6623" s="24" t="inlineStr">
        <is>
          <t>ApproveType</t>
        </is>
      </c>
      <c r="C6623" s="24" t="inlineStr">
        <is>
          <t>审批类型</t>
        </is>
      </c>
      <c r="D6623" s="24" t="inlineStr">
        <is>
          <t>ApprovePutoutApply</t>
        </is>
      </c>
      <c r="E6623" s="24" t="inlineStr">
        <is>
          <t>放贷申请审查复核</t>
        </is>
      </c>
    </row>
    <row r="6624">
      <c r="B6624" s="24" t="inlineStr">
        <is>
          <t>ApproveType</t>
        </is>
      </c>
      <c r="C6624" s="24" t="inlineStr">
        <is>
          <t>审批类型</t>
        </is>
      </c>
      <c r="D6624" s="24" t="inlineStr">
        <is>
          <t>ApproveSMEConApply</t>
        </is>
      </c>
      <c r="E6624" s="24" t="inlineStr">
        <is>
          <t>中小企业资格认定审查审批</t>
        </is>
      </c>
    </row>
    <row r="6625">
      <c r="B6625" s="24" t="inlineStr">
        <is>
          <t>ApproveType</t>
        </is>
      </c>
      <c r="C6625" s="24" t="inlineStr">
        <is>
          <t>审批类型</t>
        </is>
      </c>
      <c r="D6625" s="24" t="inlineStr">
        <is>
          <t>ApproveType编号</t>
        </is>
      </c>
      <c r="E6625" s="24" t="inlineStr">
        <is>
          <t>ApproveType名称</t>
        </is>
      </c>
    </row>
    <row r="6626">
      <c r="B6626" s="24" t="inlineStr">
        <is>
          <t>ApproveType</t>
        </is>
      </c>
      <c r="C6626" s="24" t="inlineStr">
        <is>
          <t>审批类型</t>
        </is>
      </c>
      <c r="D6626" s="24" t="inlineStr">
        <is>
          <t>BookInContractApprove</t>
        </is>
      </c>
      <c r="E6626" s="24" t="inlineStr">
        <is>
          <t>批复合同登记审批</t>
        </is>
      </c>
    </row>
    <row r="6627">
      <c r="B6627" s="24" t="inlineStr">
        <is>
          <t>ApproveType</t>
        </is>
      </c>
      <c r="C6627" s="24" t="inlineStr">
        <is>
          <t>审批类型</t>
        </is>
      </c>
      <c r="D6627" s="24" t="inlineStr">
        <is>
          <t>BookInContractUnderApprove</t>
        </is>
      </c>
      <c r="E6627" s="24" t="inlineStr">
        <is>
          <t>额度项下合同登记审批</t>
        </is>
      </c>
    </row>
    <row r="6628">
      <c r="B6628" s="24" t="inlineStr">
        <is>
          <t>ApproveType</t>
        </is>
      </c>
      <c r="C6628" s="24" t="inlineStr">
        <is>
          <t>审批类型</t>
        </is>
      </c>
      <c r="D6628" s="24" t="inlineStr">
        <is>
          <t>CapitalPurposeCheckApprove</t>
        </is>
      </c>
      <c r="E6628" s="24" t="inlineStr">
        <is>
          <t>大中业务检查审批</t>
        </is>
      </c>
    </row>
    <row r="6629">
      <c r="B6629" s="24" t="inlineStr">
        <is>
          <t>ApproveType</t>
        </is>
      </c>
      <c r="C6629" s="24" t="inlineStr">
        <is>
          <t>审批类型</t>
        </is>
      </c>
      <c r="D6629" s="24" t="inlineStr">
        <is>
          <t>CapitalPurposeIndCheckApprove</t>
        </is>
      </c>
      <c r="E6629" s="24" t="inlineStr">
        <is>
          <t>个人业务检查审批</t>
        </is>
      </c>
    </row>
    <row r="6630">
      <c r="B6630" s="24" t="inlineStr">
        <is>
          <t>ApproveType</t>
        </is>
      </c>
      <c r="C6630" s="24" t="inlineStr">
        <is>
          <t>审批类型</t>
        </is>
      </c>
      <c r="D6630" s="24" t="inlineStr">
        <is>
          <t>CapitalPurposeMinCheckApprove</t>
        </is>
      </c>
      <c r="E6630" s="24" t="inlineStr">
        <is>
          <t>小微业务检查审批</t>
        </is>
      </c>
    </row>
    <row r="6631">
      <c r="B6631" s="24" t="inlineStr">
        <is>
          <t>ApproveType</t>
        </is>
      </c>
      <c r="C6631" s="24" t="inlineStr">
        <is>
          <t>审批类型</t>
        </is>
      </c>
      <c r="D6631" s="24" t="inlineStr">
        <is>
          <t>ClassifyAdjustApprove</t>
        </is>
      </c>
      <c r="E6631" s="24" t="inlineStr">
        <is>
          <t>风险调整审批</t>
        </is>
      </c>
    </row>
    <row r="6632">
      <c r="B6632" s="24" t="inlineStr">
        <is>
          <t>ApproveType</t>
        </is>
      </c>
      <c r="C6632" s="24" t="inlineStr">
        <is>
          <t>审批类型</t>
        </is>
      </c>
      <c r="D6632" s="24" t="inlineStr">
        <is>
          <t>ClassifyApprove</t>
        </is>
      </c>
      <c r="E6632" s="24" t="inlineStr">
        <is>
          <t>五级分类审批</t>
        </is>
      </c>
    </row>
    <row r="6633">
      <c r="B6633" s="24" t="inlineStr">
        <is>
          <t>ApproveType</t>
        </is>
      </c>
      <c r="C6633" s="24" t="inlineStr">
        <is>
          <t>审批类型</t>
        </is>
      </c>
      <c r="D6633" s="24" t="inlineStr">
        <is>
          <t>ClrEnterApprove</t>
        </is>
      </c>
      <c r="E6633" s="24" t="inlineStr">
        <is>
          <t>押品录入审批</t>
        </is>
      </c>
    </row>
    <row r="6634">
      <c r="B6634" s="24" t="inlineStr">
        <is>
          <t>ApproveType</t>
        </is>
      </c>
      <c r="C6634" s="24" t="inlineStr">
        <is>
          <t>审批类型</t>
        </is>
      </c>
      <c r="D6634" s="24" t="inlineStr">
        <is>
          <t>ClrSimpleEvaluateAppr</t>
        </is>
      </c>
      <c r="E6634" s="24" t="inlineStr">
        <is>
          <t>押品评估审批</t>
        </is>
      </c>
    </row>
    <row r="6635">
      <c r="B6635" s="24" t="inlineStr">
        <is>
          <t>ApproveType</t>
        </is>
      </c>
      <c r="C6635" s="24" t="inlineStr">
        <is>
          <t>审批类型</t>
        </is>
      </c>
      <c r="D6635" s="24" t="inlineStr">
        <is>
          <t>CreditApplyBatchClApprove</t>
        </is>
      </c>
      <c r="E6635" s="24" t="inlineStr">
        <is>
          <t>批量授信申请审批</t>
        </is>
      </c>
    </row>
    <row r="6636">
      <c r="B6636" s="24" t="inlineStr">
        <is>
          <t>ApproveType</t>
        </is>
      </c>
      <c r="C6636" s="24" t="inlineStr">
        <is>
          <t>审批类型</t>
        </is>
      </c>
      <c r="D6636" s="24" t="inlineStr">
        <is>
          <t>CreditApplyBatchFinanceClApprove</t>
        </is>
      </c>
      <c r="E6636" s="24" t="inlineStr">
        <is>
          <t>同业客户批量授信审批</t>
        </is>
      </c>
    </row>
    <row r="6637">
      <c r="B6637" s="24" t="inlineStr">
        <is>
          <t>ApproveType</t>
        </is>
      </c>
      <c r="C6637" s="24" t="inlineStr">
        <is>
          <t>审批类型</t>
        </is>
      </c>
      <c r="D6637" s="24" t="inlineStr">
        <is>
          <t>CreditApplyBatchUnderClApprove</t>
        </is>
      </c>
      <c r="E6637" s="24" t="inlineStr">
        <is>
          <t>批量项下授信申请审批</t>
        </is>
      </c>
    </row>
    <row r="6638">
      <c r="B6638" s="24" t="inlineStr">
        <is>
          <t>ApproveType</t>
        </is>
      </c>
      <c r="C6638" s="24" t="inlineStr">
        <is>
          <t>审批类型</t>
        </is>
      </c>
      <c r="D6638" s="24" t="inlineStr">
        <is>
          <t>CreditApplyEntApprove</t>
        </is>
      </c>
      <c r="E6638" s="24" t="inlineStr">
        <is>
          <t>单笔授信审批</t>
        </is>
      </c>
    </row>
    <row r="6639">
      <c r="B6639" s="24" t="inlineStr">
        <is>
          <t>ApproveType</t>
        </is>
      </c>
      <c r="C6639" s="24" t="inlineStr">
        <is>
          <t>审批类型</t>
        </is>
      </c>
      <c r="D6639" s="24" t="inlineStr">
        <is>
          <t>CreditApplyFactory</t>
        </is>
      </c>
      <c r="E6639" s="24" t="inlineStr">
        <is>
          <t>CreditApplyFactory</t>
        </is>
      </c>
    </row>
    <row r="6640">
      <c r="B6640" s="24" t="inlineStr">
        <is>
          <t>ApproveType</t>
        </is>
      </c>
      <c r="C6640" s="24" t="inlineStr">
        <is>
          <t>审批类型</t>
        </is>
      </c>
      <c r="D6640" s="24" t="inlineStr">
        <is>
          <t>CreditApplyFinanceClApprove</t>
        </is>
      </c>
      <c r="E6640" s="24" t="inlineStr">
        <is>
          <t>同业客户单一授信审批</t>
        </is>
      </c>
    </row>
    <row r="6641">
      <c r="B6641" s="24" t="inlineStr">
        <is>
          <t>ApproveType</t>
        </is>
      </c>
      <c r="C6641" s="24" t="inlineStr">
        <is>
          <t>审批类型</t>
        </is>
      </c>
      <c r="D6641" s="24" t="inlineStr">
        <is>
          <t>CreditApplyGroupClApprove</t>
        </is>
      </c>
      <c r="E6641" s="24" t="inlineStr">
        <is>
          <t>集团授信审批</t>
        </is>
      </c>
    </row>
    <row r="6642">
      <c r="B6642" s="24" t="inlineStr">
        <is>
          <t>ApproveType</t>
        </is>
      </c>
      <c r="C6642" s="24" t="inlineStr">
        <is>
          <t>审批类型</t>
        </is>
      </c>
      <c r="D6642" s="24" t="inlineStr">
        <is>
          <t>CreditApplyLimitIndApprove</t>
        </is>
      </c>
      <c r="E6642" s="24" t="inlineStr">
        <is>
          <t>个人授信额度审批</t>
        </is>
      </c>
    </row>
    <row r="6643">
      <c r="B6643" s="24" t="inlineStr">
        <is>
          <t>ApproveType</t>
        </is>
      </c>
      <c r="C6643" s="24" t="inlineStr">
        <is>
          <t>审批类型</t>
        </is>
      </c>
      <c r="D6643" s="24" t="inlineStr">
        <is>
          <t>CreditApplySingleA</t>
        </is>
      </c>
      <c r="E6643" s="24" t="inlineStr">
        <is>
          <t>CreditApplySingleA</t>
        </is>
      </c>
    </row>
    <row r="6644">
      <c r="B6644" s="24" t="inlineStr">
        <is>
          <t>ApproveType</t>
        </is>
      </c>
      <c r="C6644" s="24" t="inlineStr">
        <is>
          <t>审批类型</t>
        </is>
      </c>
      <c r="D6644" s="24" t="inlineStr">
        <is>
          <t>CreditApplySingleApprove</t>
        </is>
      </c>
      <c r="E6644" s="24" t="inlineStr">
        <is>
          <t>单一客户授信审批</t>
        </is>
      </c>
    </row>
    <row r="6645">
      <c r="B6645" s="24" t="inlineStr">
        <is>
          <t>ApproveType</t>
        </is>
      </c>
      <c r="C6645" s="24" t="inlineStr">
        <is>
          <t>审批类型</t>
        </is>
      </c>
      <c r="D6645" s="24" t="inlineStr">
        <is>
          <t>CreditApplySingleIndApprove</t>
        </is>
      </c>
      <c r="E6645" s="24" t="inlineStr">
        <is>
          <t>个人客户单笔授信审批</t>
        </is>
      </c>
    </row>
    <row r="6646">
      <c r="B6646" s="24" t="inlineStr">
        <is>
          <t>ApproveType</t>
        </is>
      </c>
      <c r="C6646" s="24" t="inlineStr">
        <is>
          <t>审批类型</t>
        </is>
      </c>
      <c r="D6646" s="24" t="inlineStr">
        <is>
          <t>CreditApplySingleUnderApprove</t>
        </is>
      </c>
      <c r="E6646" s="24" t="inlineStr">
        <is>
          <t>大中额度项下授信审批</t>
        </is>
      </c>
    </row>
    <row r="6647">
      <c r="B6647" s="24" t="inlineStr">
        <is>
          <t>ApproveType</t>
        </is>
      </c>
      <c r="C6647" s="24" t="inlineStr">
        <is>
          <t>审批类型</t>
        </is>
      </c>
      <c r="D6647" s="24" t="inlineStr">
        <is>
          <t>CreditApproveBatchClApprove</t>
        </is>
      </c>
      <c r="E6647" s="24" t="inlineStr">
        <is>
          <t>批量授信批复审批</t>
        </is>
      </c>
    </row>
    <row r="6648">
      <c r="B6648" s="24" t="inlineStr">
        <is>
          <t>ApproveType</t>
        </is>
      </c>
      <c r="C6648" s="24" t="inlineStr">
        <is>
          <t>审批类型</t>
        </is>
      </c>
      <c r="D6648" s="24" t="inlineStr">
        <is>
          <t>CreditApproveBatchUnderClApprove</t>
        </is>
      </c>
      <c r="E6648" s="24" t="inlineStr">
        <is>
          <t>批量项下授信批复审批</t>
        </is>
      </c>
    </row>
    <row r="6649">
      <c r="B6649" s="24" t="inlineStr">
        <is>
          <t>ApproveType</t>
        </is>
      </c>
      <c r="C6649" s="24" t="inlineStr">
        <is>
          <t>审批类型</t>
        </is>
      </c>
      <c r="D6649" s="24" t="inlineStr">
        <is>
          <t>CreditApproveEnt</t>
        </is>
      </c>
      <c r="E6649" s="24" t="inlineStr">
        <is>
          <t>公司单笔授信批复审批</t>
        </is>
      </c>
    </row>
    <row r="6650">
      <c r="B6650" s="24" t="inlineStr">
        <is>
          <t>ApproveType</t>
        </is>
      </c>
      <c r="C6650" s="24" t="inlineStr">
        <is>
          <t>审批类型</t>
        </is>
      </c>
      <c r="D6650" s="24" t="inlineStr">
        <is>
          <t>CreditApproveFinaBatch</t>
        </is>
      </c>
      <c r="E6650" s="24" t="inlineStr">
        <is>
          <t>同业客户批量批复授信审批</t>
        </is>
      </c>
    </row>
    <row r="6651">
      <c r="B6651" s="24" t="inlineStr">
        <is>
          <t>ApproveType</t>
        </is>
      </c>
      <c r="C6651" s="24" t="inlineStr">
        <is>
          <t>审批类型</t>
        </is>
      </c>
      <c r="D6651" s="24" t="inlineStr">
        <is>
          <t>CreditApproveFinance</t>
        </is>
      </c>
      <c r="E6651" s="24" t="inlineStr">
        <is>
          <t>同业客户单一批复授信审批</t>
        </is>
      </c>
    </row>
    <row r="6652">
      <c r="B6652" s="24" t="inlineStr">
        <is>
          <t>ApproveType</t>
        </is>
      </c>
      <c r="C6652" s="24" t="inlineStr">
        <is>
          <t>审批类型</t>
        </is>
      </c>
      <c r="D6652" s="24" t="inlineStr">
        <is>
          <t>CreditApproveGroup</t>
        </is>
      </c>
      <c r="E6652" s="24" t="inlineStr">
        <is>
          <t>集团授信批复审批</t>
        </is>
      </c>
    </row>
    <row r="6653">
      <c r="B6653" s="24" t="inlineStr">
        <is>
          <t>ApproveType</t>
        </is>
      </c>
      <c r="C6653" s="24" t="inlineStr">
        <is>
          <t>审批类型</t>
        </is>
      </c>
      <c r="D6653" s="24" t="inlineStr">
        <is>
          <t>CreditApproveSingle</t>
        </is>
      </c>
      <c r="E6653" s="24" t="inlineStr">
        <is>
          <t>公司单一授信批复审批</t>
        </is>
      </c>
    </row>
    <row r="6654">
      <c r="B6654" s="24" t="inlineStr">
        <is>
          <t>ApproveType</t>
        </is>
      </c>
      <c r="C6654" s="24" t="inlineStr">
        <is>
          <t>审批类型</t>
        </is>
      </c>
      <c r="D6654" s="24" t="inlineStr">
        <is>
          <t>CreditApproveSingleUnderCl</t>
        </is>
      </c>
      <c r="E6654" s="24" t="inlineStr">
        <is>
          <t>公司额度项下批复审批</t>
        </is>
      </c>
    </row>
    <row r="6655">
      <c r="B6655" s="24" t="inlineStr">
        <is>
          <t>ApproveType</t>
        </is>
      </c>
      <c r="C6655" s="24" t="inlineStr">
        <is>
          <t>审批类型</t>
        </is>
      </c>
      <c r="D6655" s="24" t="inlineStr">
        <is>
          <t>CreditApproveTaskLimitInd</t>
        </is>
      </c>
      <c r="E6655" s="24" t="inlineStr">
        <is>
          <t>个人授信额度批复审批</t>
        </is>
      </c>
    </row>
    <row r="6656">
      <c r="B6656" s="24" t="inlineStr">
        <is>
          <t>ApproveType</t>
        </is>
      </c>
      <c r="C6656" s="24" t="inlineStr">
        <is>
          <t>审批类型</t>
        </is>
      </c>
      <c r="D6656" s="24" t="inlineStr">
        <is>
          <t>CreditApproveTaskLimitUnderInd</t>
        </is>
      </c>
      <c r="E6656" s="24" t="inlineStr">
        <is>
          <t>个人额度项下授信批复审批</t>
        </is>
      </c>
    </row>
    <row r="6657">
      <c r="B6657" s="24" t="inlineStr">
        <is>
          <t>ApproveType</t>
        </is>
      </c>
      <c r="C6657" s="24" t="inlineStr">
        <is>
          <t>审批类型</t>
        </is>
      </c>
      <c r="D6657" s="24" t="inlineStr">
        <is>
          <t>CreditApproveTaskSingleInd</t>
        </is>
      </c>
      <c r="E6657" s="24" t="inlineStr">
        <is>
          <t>个人客户单笔授信批复审批</t>
        </is>
      </c>
    </row>
    <row r="6658">
      <c r="B6658" s="24" t="inlineStr">
        <is>
          <t>ApproveType</t>
        </is>
      </c>
      <c r="C6658" s="24" t="inlineStr">
        <is>
          <t>审批类型</t>
        </is>
      </c>
      <c r="D6658" s="24" t="inlineStr">
        <is>
          <t>CreditCogApprove</t>
        </is>
      </c>
      <c r="E6658" s="24" t="inlineStr">
        <is>
          <t>信用等级认定审批</t>
        </is>
      </c>
    </row>
    <row r="6659">
      <c r="B6659" s="24" t="inlineStr">
        <is>
          <t>ApproveType</t>
        </is>
      </c>
      <c r="C6659" s="24" t="inlineStr">
        <is>
          <t>审批类型</t>
        </is>
      </c>
      <c r="D6659" s="24" t="inlineStr">
        <is>
          <t>CreditFlow_barApprove</t>
        </is>
      </c>
      <c r="E6659" s="24" t="inlineStr">
        <is>
          <t>授信业务审查审批</t>
        </is>
      </c>
    </row>
    <row r="6660">
      <c r="B6660" s="24" t="inlineStr">
        <is>
          <t>ApproveType</t>
        </is>
      </c>
      <c r="C6660" s="24" t="inlineStr">
        <is>
          <t>审批类型</t>
        </is>
      </c>
      <c r="D6660" s="24" t="inlineStr">
        <is>
          <t>CreditLimitUnderIndApprove</t>
        </is>
      </c>
      <c r="E6660" s="24" t="inlineStr">
        <is>
          <t>个人额度项下授信审批</t>
        </is>
      </c>
    </row>
    <row r="6661">
      <c r="B6661" s="24" t="inlineStr">
        <is>
          <t>ApproveType</t>
        </is>
      </c>
      <c r="C6661" s="24" t="inlineStr">
        <is>
          <t>审批类型</t>
        </is>
      </c>
      <c r="D6661" s="24" t="inlineStr">
        <is>
          <t>CreditSMEApproveEnt</t>
        </is>
      </c>
      <c r="E6661" s="24" t="inlineStr">
        <is>
          <t>小微单笔授信批复审批</t>
        </is>
      </c>
    </row>
    <row r="6662">
      <c r="B6662" s="24" t="inlineStr">
        <is>
          <t>ApproveType</t>
        </is>
      </c>
      <c r="C6662" s="24" t="inlineStr">
        <is>
          <t>审批类型</t>
        </is>
      </c>
      <c r="D6662" s="24" t="inlineStr">
        <is>
          <t>CreditSMEApproveSingle</t>
        </is>
      </c>
      <c r="E6662" s="24" t="inlineStr">
        <is>
          <t>小微单一授信批复审批</t>
        </is>
      </c>
    </row>
    <row r="6663">
      <c r="B6663" s="24" t="inlineStr">
        <is>
          <t>ApproveType</t>
        </is>
      </c>
      <c r="C6663" s="24" t="inlineStr">
        <is>
          <t>审批类型</t>
        </is>
      </c>
      <c r="D6663" s="24" t="inlineStr">
        <is>
          <t>CreditSMEApproveSingleUnderCl</t>
        </is>
      </c>
      <c r="E6663" s="24" t="inlineStr">
        <is>
          <t>小微单一授信项下业务批复审批</t>
        </is>
      </c>
    </row>
    <row r="6664">
      <c r="B6664" s="24" t="inlineStr">
        <is>
          <t>ApproveType</t>
        </is>
      </c>
      <c r="C6664" s="24" t="inlineStr">
        <is>
          <t>审批类型</t>
        </is>
      </c>
      <c r="D6664" s="24" t="inlineStr">
        <is>
          <t>CreditSingleFlowAp</t>
        </is>
      </c>
      <c r="E6664" s="24" t="inlineStr">
        <is>
          <t>CreditSingleFlowAp</t>
        </is>
      </c>
    </row>
    <row r="6665">
      <c r="B6665" s="24" t="inlineStr">
        <is>
          <t>ApproveType</t>
        </is>
      </c>
      <c r="C6665" s="24" t="inlineStr">
        <is>
          <t>审批类型</t>
        </is>
      </c>
      <c r="D6665" s="24" t="inlineStr">
        <is>
          <t>CreditSingleIndUnd</t>
        </is>
      </c>
      <c r="E6665" s="24" t="inlineStr">
        <is>
          <t>CreditSingleIndUnd</t>
        </is>
      </c>
    </row>
    <row r="6666">
      <c r="B6666" s="24" t="inlineStr">
        <is>
          <t>ApproveType</t>
        </is>
      </c>
      <c r="C6666" s="24" t="inlineStr">
        <is>
          <t>审批类型</t>
        </is>
      </c>
      <c r="D6666" s="24" t="inlineStr">
        <is>
          <t>CreditSingleUnderF</t>
        </is>
      </c>
      <c r="E6666" s="24" t="inlineStr">
        <is>
          <t>CreditSingleUnderF</t>
        </is>
      </c>
    </row>
    <row r="6667">
      <c r="B6667" s="24" t="inlineStr">
        <is>
          <t>ApproveType</t>
        </is>
      </c>
      <c r="C6667" s="24" t="inlineStr">
        <is>
          <t>审批类型</t>
        </is>
      </c>
      <c r="D6667" s="24" t="inlineStr">
        <is>
          <t>CreditTestFlowAppr</t>
        </is>
      </c>
      <c r="E6667" s="24" t="inlineStr">
        <is>
          <t>CreditTestFlowAppr</t>
        </is>
      </c>
    </row>
    <row r="6668">
      <c r="B6668" s="24" t="inlineStr">
        <is>
          <t>ApproveType</t>
        </is>
      </c>
      <c r="C6668" s="24" t="inlineStr">
        <is>
          <t>审批类型</t>
        </is>
      </c>
      <c r="D6668" s="24" t="inlineStr">
        <is>
          <t>EdocApprove</t>
        </is>
      </c>
      <c r="E6668" s="24" t="inlineStr">
        <is>
          <t>额度项下合同登记审批</t>
        </is>
      </c>
    </row>
    <row r="6669">
      <c r="B6669" s="24" t="inlineStr">
        <is>
          <t>ApproveType</t>
        </is>
      </c>
      <c r="C6669" s="24" t="inlineStr">
        <is>
          <t>审批类型</t>
        </is>
      </c>
      <c r="D6669" s="24" t="inlineStr">
        <is>
          <t>ElectricContractM2</t>
        </is>
      </c>
      <c r="E6669" s="24" t="inlineStr">
        <is>
          <t>电子合同模板审批</t>
        </is>
      </c>
    </row>
    <row r="6670">
      <c r="B6670" s="24" t="inlineStr">
        <is>
          <t>ApproveType</t>
        </is>
      </c>
      <c r="C6670" s="24" t="inlineStr">
        <is>
          <t>审批类型</t>
        </is>
      </c>
      <c r="D6670" s="24" t="inlineStr">
        <is>
          <t>EntBackTransApprove</t>
        </is>
      </c>
      <c r="E6670" s="24" t="inlineStr">
        <is>
          <t>反冲交易复核</t>
        </is>
      </c>
    </row>
    <row r="6671">
      <c r="B6671" s="24" t="inlineStr">
        <is>
          <t>ApproveType</t>
        </is>
      </c>
      <c r="C6671" s="24" t="inlineStr">
        <is>
          <t>审批类型</t>
        </is>
      </c>
      <c r="D6671" s="24" t="inlineStr">
        <is>
          <t>EntIrregularCheckApprove</t>
        </is>
      </c>
      <c r="E6671" s="24" t="inlineStr">
        <is>
          <t>单一公司贷后不定期检查审批</t>
        </is>
      </c>
    </row>
    <row r="6672">
      <c r="B6672" s="24" t="inlineStr">
        <is>
          <t>ApproveType</t>
        </is>
      </c>
      <c r="C6672" s="24" t="inlineStr">
        <is>
          <t>审批类型</t>
        </is>
      </c>
      <c r="D6672" s="24" t="inlineStr">
        <is>
          <t>EntLoanApprove</t>
        </is>
      </c>
      <c r="E6672" s="24" t="inlineStr">
        <is>
          <t>贷款交易复核</t>
        </is>
      </c>
    </row>
    <row r="6673">
      <c r="B6673" s="24" t="inlineStr">
        <is>
          <t>ApproveType</t>
        </is>
      </c>
      <c r="C6673" s="24" t="inlineStr">
        <is>
          <t>审批类型</t>
        </is>
      </c>
      <c r="D6673" s="24" t="inlineStr">
        <is>
          <t>EntLoanChangeApprove</t>
        </is>
      </c>
      <c r="E6673" s="24" t="inlineStr">
        <is>
          <t>贷后变更复核</t>
        </is>
      </c>
    </row>
    <row r="6674">
      <c r="B6674" s="24" t="inlineStr">
        <is>
          <t>ApproveType</t>
        </is>
      </c>
      <c r="C6674" s="24" t="inlineStr">
        <is>
          <t>审批类型</t>
        </is>
      </c>
      <c r="D6674" s="24" t="inlineStr">
        <is>
          <t>EntOffLoanTransApprove</t>
        </is>
      </c>
      <c r="E6674" s="24" t="inlineStr">
        <is>
          <t>表外交易复核</t>
        </is>
      </c>
    </row>
    <row r="6675">
      <c r="B6675" s="24" t="inlineStr">
        <is>
          <t>ApproveType</t>
        </is>
      </c>
      <c r="C6675" s="24" t="inlineStr">
        <is>
          <t>审批类型</t>
        </is>
      </c>
      <c r="D6675" s="24" t="inlineStr">
        <is>
          <t>EntRegularCheckApprove</t>
        </is>
      </c>
      <c r="E6675" s="24" t="inlineStr">
        <is>
          <t>单一公司贷后定期检查审批</t>
        </is>
      </c>
    </row>
    <row r="6676">
      <c r="B6676" s="24" t="inlineStr">
        <is>
          <t>ApproveType</t>
        </is>
      </c>
      <c r="C6676" s="24" t="inlineStr">
        <is>
          <t>审批类型</t>
        </is>
      </c>
      <c r="D6676" s="24" t="inlineStr">
        <is>
          <t>FinanceBackTransApprove</t>
        </is>
      </c>
      <c r="E6676" s="24" t="inlineStr">
        <is>
          <t>反冲交易复核</t>
        </is>
      </c>
    </row>
    <row r="6677">
      <c r="B6677" s="24" t="inlineStr">
        <is>
          <t>ApproveType</t>
        </is>
      </c>
      <c r="C6677" s="24" t="inlineStr">
        <is>
          <t>审批类型</t>
        </is>
      </c>
      <c r="D6677" s="24" t="inlineStr">
        <is>
          <t>FinanceLoanApprove</t>
        </is>
      </c>
      <c r="E6677" s="24" t="inlineStr">
        <is>
          <t>贷款交易复核</t>
        </is>
      </c>
    </row>
    <row r="6678">
      <c r="B6678" s="24" t="inlineStr">
        <is>
          <t>ApproveType</t>
        </is>
      </c>
      <c r="C6678" s="24" t="inlineStr">
        <is>
          <t>审批类型</t>
        </is>
      </c>
      <c r="D6678" s="24" t="inlineStr">
        <is>
          <t>FinanceLoanChangeApprove</t>
        </is>
      </c>
      <c r="E6678" s="24" t="inlineStr">
        <is>
          <t>贷后变更复核</t>
        </is>
      </c>
    </row>
    <row r="6679">
      <c r="B6679" s="24" t="inlineStr">
        <is>
          <t>ApproveType</t>
        </is>
      </c>
      <c r="C6679" s="24" t="inlineStr">
        <is>
          <t>审批类型</t>
        </is>
      </c>
      <c r="D6679" s="24" t="inlineStr">
        <is>
          <t>FinanceOffLoanTransApprove</t>
        </is>
      </c>
      <c r="E6679" s="24" t="inlineStr">
        <is>
          <t>表外交易复核</t>
        </is>
      </c>
    </row>
    <row r="6680">
      <c r="B6680" s="24" t="inlineStr">
        <is>
          <t>ApproveType</t>
        </is>
      </c>
      <c r="C6680" s="24" t="inlineStr">
        <is>
          <t>审批类型</t>
        </is>
      </c>
      <c r="D6680" s="24" t="inlineStr">
        <is>
          <t>FlowDemoApprove</t>
        </is>
      </c>
      <c r="E6680" s="24" t="inlineStr">
        <is>
          <t>流程示例审批</t>
        </is>
      </c>
    </row>
    <row r="6681">
      <c r="B6681" s="24" t="inlineStr">
        <is>
          <t>ApproveType</t>
        </is>
      </c>
      <c r="C6681" s="24" t="inlineStr">
        <is>
          <t>审批类型</t>
        </is>
      </c>
      <c r="D6681" s="24" t="inlineStr">
        <is>
          <t>GroupIrregularCheckApprove</t>
        </is>
      </c>
      <c r="E6681" s="24" t="inlineStr">
        <is>
          <t>集团公司贷后不定期检查审批</t>
        </is>
      </c>
    </row>
    <row r="6682">
      <c r="B6682" s="24" t="inlineStr">
        <is>
          <t>ApproveType</t>
        </is>
      </c>
      <c r="C6682" s="24" t="inlineStr">
        <is>
          <t>审批类型</t>
        </is>
      </c>
      <c r="D6682" s="24" t="inlineStr">
        <is>
          <t>GroupRegularCheckApprove</t>
        </is>
      </c>
      <c r="E6682" s="24" t="inlineStr">
        <is>
          <t>集团公司贷后定期检查审批</t>
        </is>
      </c>
    </row>
    <row r="6683">
      <c r="B6683" s="24" t="inlineStr">
        <is>
          <t>ApproveType</t>
        </is>
      </c>
      <c r="C6683" s="24" t="inlineStr">
        <is>
          <t>审批类型</t>
        </is>
      </c>
      <c r="D6683" s="24" t="inlineStr">
        <is>
          <t>GuarantorRegularCheckApprove</t>
        </is>
      </c>
      <c r="E6683" s="24" t="inlineStr">
        <is>
          <t>担保公司贷后检查审批</t>
        </is>
      </c>
    </row>
    <row r="6684">
      <c r="B6684" s="24" t="inlineStr">
        <is>
          <t>ApproveType</t>
        </is>
      </c>
      <c r="C6684" s="24" t="inlineStr">
        <is>
          <t>审批类型</t>
        </is>
      </c>
      <c r="D6684" s="24" t="inlineStr">
        <is>
          <t>IndBackTransApprove</t>
        </is>
      </c>
      <c r="E6684" s="24" t="inlineStr">
        <is>
          <t>反冲交易复核</t>
        </is>
      </c>
    </row>
    <row r="6685">
      <c r="B6685" s="24" t="inlineStr">
        <is>
          <t>ApproveType</t>
        </is>
      </c>
      <c r="C6685" s="24" t="inlineStr">
        <is>
          <t>审批类型</t>
        </is>
      </c>
      <c r="D6685" s="24" t="inlineStr">
        <is>
          <t>IndIrregularCheckApprove</t>
        </is>
      </c>
      <c r="E6685" s="24" t="inlineStr">
        <is>
          <t>个人客户不定期贷后检查审批</t>
        </is>
      </c>
    </row>
    <row r="6686">
      <c r="B6686" s="24" t="inlineStr">
        <is>
          <t>ApproveType</t>
        </is>
      </c>
      <c r="C6686" s="24" t="inlineStr">
        <is>
          <t>审批类型</t>
        </is>
      </c>
      <c r="D6686" s="24" t="inlineStr">
        <is>
          <t>IndLoanApprove</t>
        </is>
      </c>
      <c r="E6686" s="24" t="inlineStr">
        <is>
          <t>贷款交易复核</t>
        </is>
      </c>
    </row>
    <row r="6687">
      <c r="B6687" s="24" t="inlineStr">
        <is>
          <t>ApproveType</t>
        </is>
      </c>
      <c r="C6687" s="24" t="inlineStr">
        <is>
          <t>审批类型</t>
        </is>
      </c>
      <c r="D6687" s="24" t="inlineStr">
        <is>
          <t>IndLoanChangeApprove</t>
        </is>
      </c>
      <c r="E6687" s="24" t="inlineStr">
        <is>
          <t>贷后变更复核</t>
        </is>
      </c>
    </row>
    <row r="6688">
      <c r="B6688" s="24" t="inlineStr">
        <is>
          <t>ApproveType</t>
        </is>
      </c>
      <c r="C6688" s="24" t="inlineStr">
        <is>
          <t>审批类型</t>
        </is>
      </c>
      <c r="D6688" s="24" t="inlineStr">
        <is>
          <t>IndOffLoanTransApprove</t>
        </is>
      </c>
      <c r="E6688" s="24" t="inlineStr">
        <is>
          <t>表外交易复核</t>
        </is>
      </c>
    </row>
    <row r="6689">
      <c r="B6689" s="24" t="inlineStr">
        <is>
          <t>ApproveType</t>
        </is>
      </c>
      <c r="C6689" s="24" t="inlineStr">
        <is>
          <t>审批类型</t>
        </is>
      </c>
      <c r="D6689" s="24" t="inlineStr">
        <is>
          <t>IndRegularCheckApprove</t>
        </is>
      </c>
      <c r="E6689" s="24" t="inlineStr">
        <is>
          <t>个人客户定期贷后检查审批</t>
        </is>
      </c>
    </row>
    <row r="6690">
      <c r="B6690" s="24" t="inlineStr">
        <is>
          <t>ApproveType</t>
        </is>
      </c>
      <c r="C6690" s="24" t="inlineStr">
        <is>
          <t>审批类型</t>
        </is>
      </c>
      <c r="D6690" s="24" t="inlineStr">
        <is>
          <t>InvoiceDrawApprove</t>
        </is>
      </c>
      <c r="E6690" s="24" t="inlineStr">
        <is>
          <t>开票复核</t>
        </is>
      </c>
    </row>
    <row r="6691">
      <c r="B6691" s="24" t="inlineStr">
        <is>
          <t>ApproveType</t>
        </is>
      </c>
      <c r="C6691" s="24" t="inlineStr">
        <is>
          <t>审批类型</t>
        </is>
      </c>
      <c r="D6691" s="24" t="inlineStr">
        <is>
          <t>InvoiceReceiptApprove</t>
        </is>
      </c>
      <c r="E6691" s="24" t="inlineStr">
        <is>
          <t>收票复核</t>
        </is>
      </c>
    </row>
    <row r="6692">
      <c r="B6692" s="24" t="inlineStr">
        <is>
          <t>ApproveType</t>
        </is>
      </c>
      <c r="C6692" s="24" t="inlineStr">
        <is>
          <t>审批类型</t>
        </is>
      </c>
      <c r="D6692" s="24" t="inlineStr">
        <is>
          <t>LoadGuarantyAppro2</t>
        </is>
      </c>
      <c r="E6692" s="24" t="inlineStr">
        <is>
          <t>押品入库审查审批</t>
        </is>
      </c>
    </row>
    <row r="6693">
      <c r="B6693" s="24" t="inlineStr">
        <is>
          <t>ApproveType</t>
        </is>
      </c>
      <c r="C6693" s="24" t="inlineStr">
        <is>
          <t>审批类型</t>
        </is>
      </c>
      <c r="D6693" s="24" t="inlineStr">
        <is>
          <t>NewFlowApprove</t>
        </is>
      </c>
      <c r="E6693" s="24" t="inlineStr">
        <is>
          <t>NewFlowApprove</t>
        </is>
      </c>
    </row>
    <row r="6694">
      <c r="B6694" s="24" t="inlineStr">
        <is>
          <t>ApproveType</t>
        </is>
      </c>
      <c r="C6694" s="24" t="inlineStr">
        <is>
          <t>审批类型</t>
        </is>
      </c>
      <c r="D6694" s="24" t="inlineStr">
        <is>
          <t>PartnerAccessFlowA</t>
        </is>
      </c>
      <c r="E6694" s="24" t="inlineStr">
        <is>
          <t>合作方准入审批</t>
        </is>
      </c>
    </row>
    <row r="6695">
      <c r="B6695" s="24" t="inlineStr">
        <is>
          <t>ApproveType</t>
        </is>
      </c>
      <c r="C6695" s="24" t="inlineStr">
        <is>
          <t>审批类型</t>
        </is>
      </c>
      <c r="D6695" s="24" t="inlineStr">
        <is>
          <t>PartnerProjChange</t>
        </is>
      </c>
      <c r="E6695" s="24" t="inlineStr">
        <is>
          <t>合作方项目变更审批</t>
        </is>
      </c>
    </row>
    <row r="6696">
      <c r="B6696" s="24" t="inlineStr">
        <is>
          <t>ApproveType</t>
        </is>
      </c>
      <c r="C6696" s="24" t="inlineStr">
        <is>
          <t>审批类型</t>
        </is>
      </c>
      <c r="D6696" s="24" t="inlineStr">
        <is>
          <t>PartnerProjChangeF</t>
        </is>
      </c>
      <c r="E6696" s="24" t="inlineStr">
        <is>
          <t>PartnerProjChangeF</t>
        </is>
      </c>
    </row>
    <row r="6697">
      <c r="B6697" s="24" t="inlineStr">
        <is>
          <t>ApproveType</t>
        </is>
      </c>
      <c r="C6697" s="24" t="inlineStr">
        <is>
          <t>审批类型</t>
        </is>
      </c>
      <c r="D6697" s="24" t="inlineStr">
        <is>
          <t>PartnerProjectAppl</t>
        </is>
      </c>
      <c r="E6697" s="24" t="inlineStr">
        <is>
          <t>合作方项目审批</t>
        </is>
      </c>
    </row>
    <row r="6698">
      <c r="B6698" s="24" t="inlineStr">
        <is>
          <t>ApproveType</t>
        </is>
      </c>
      <c r="C6698" s="24" t="inlineStr">
        <is>
          <t>审批类型</t>
        </is>
      </c>
      <c r="D6698" s="24" t="inlineStr">
        <is>
          <t>PrdApprove</t>
        </is>
      </c>
      <c r="E6698" s="24" t="inlineStr">
        <is>
          <t>产品配置审批</t>
        </is>
      </c>
    </row>
    <row r="6699">
      <c r="B6699" s="24" t="inlineStr">
        <is>
          <t>ApproveType</t>
        </is>
      </c>
      <c r="C6699" s="24" t="inlineStr">
        <is>
          <t>审批类型</t>
        </is>
      </c>
      <c r="D6699" s="24" t="inlineStr">
        <is>
          <t>ProjectRegularCheckApprove</t>
        </is>
      </c>
      <c r="E6699" s="24" t="inlineStr">
        <is>
          <t>合作项目检查审批</t>
        </is>
      </c>
    </row>
    <row r="6700">
      <c r="B6700" s="24" t="inlineStr">
        <is>
          <t>ApproveType</t>
        </is>
      </c>
      <c r="C6700" s="24" t="inlineStr">
        <is>
          <t>审批类型</t>
        </is>
      </c>
      <c r="D6700" s="24" t="inlineStr">
        <is>
          <t>ReserveApprove</t>
        </is>
      </c>
      <c r="E6700" s="24" t="inlineStr">
        <is>
          <t>单项计提减值准备认定审批</t>
        </is>
      </c>
    </row>
    <row r="6701">
      <c r="B6701" s="24" t="inlineStr">
        <is>
          <t>ApproveType</t>
        </is>
      </c>
      <c r="C6701" s="24" t="inlineStr">
        <is>
          <t>审批类型</t>
        </is>
      </c>
      <c r="D6701" s="24" t="inlineStr">
        <is>
          <t>RightCertInOutApprove</t>
        </is>
      </c>
      <c r="E6701" s="24" t="inlineStr">
        <is>
          <t>权证出入库审批</t>
        </is>
      </c>
    </row>
    <row r="6702">
      <c r="B6702" s="24" t="inlineStr">
        <is>
          <t>ApproveType</t>
        </is>
      </c>
      <c r="C6702" s="24" t="inlineStr">
        <is>
          <t>审批类型</t>
        </is>
      </c>
      <c r="D6702" s="24" t="inlineStr">
        <is>
          <t>RiskAlarmApprove</t>
        </is>
      </c>
      <c r="E6702" s="24" t="inlineStr">
        <is>
          <t>风险预警分发认定审批</t>
        </is>
      </c>
    </row>
    <row r="6703">
      <c r="B6703" s="24" t="inlineStr">
        <is>
          <t>ApproveType</t>
        </is>
      </c>
      <c r="C6703" s="24" t="inlineStr">
        <is>
          <t>审批类型</t>
        </is>
      </c>
      <c r="D6703" s="24" t="inlineStr">
        <is>
          <t>RiskClassifyApprove</t>
        </is>
      </c>
      <c r="E6703" s="24" t="inlineStr">
        <is>
          <t>风险分类审批</t>
        </is>
      </c>
    </row>
    <row r="6704">
      <c r="B6704" s="24" t="inlineStr">
        <is>
          <t>ApproveType</t>
        </is>
      </c>
      <c r="C6704" s="24" t="inlineStr">
        <is>
          <t>审批类型</t>
        </is>
      </c>
      <c r="D6704" s="24" t="inlineStr">
        <is>
          <t>SMApplyLimitApprove</t>
        </is>
      </c>
      <c r="E6704" s="24" t="inlineStr">
        <is>
          <t>小微单一授信审批</t>
        </is>
      </c>
    </row>
    <row r="6705">
      <c r="B6705" s="24" t="inlineStr">
        <is>
          <t>ApproveType</t>
        </is>
      </c>
      <c r="C6705" s="24" t="inlineStr">
        <is>
          <t>审批类型</t>
        </is>
      </c>
      <c r="D6705" s="24" t="inlineStr">
        <is>
          <t>SMApplySingleApprove</t>
        </is>
      </c>
      <c r="E6705" s="24" t="inlineStr">
        <is>
          <t>小微单笔授信审批</t>
        </is>
      </c>
    </row>
    <row r="6706">
      <c r="B6706" s="24" t="inlineStr">
        <is>
          <t>ApproveType</t>
        </is>
      </c>
      <c r="C6706" s="24" t="inlineStr">
        <is>
          <t>审批类型</t>
        </is>
      </c>
      <c r="D6706" s="24" t="inlineStr">
        <is>
          <t>SMApplyUnderApprove</t>
        </is>
      </c>
      <c r="E6706" s="24" t="inlineStr">
        <is>
          <t>小微额度项下授信审批</t>
        </is>
      </c>
    </row>
    <row r="6707">
      <c r="B6707" s="24" t="inlineStr">
        <is>
          <t>ApproveType</t>
        </is>
      </c>
      <c r="C6707" s="24" t="inlineStr">
        <is>
          <t>审批类型</t>
        </is>
      </c>
      <c r="D6707" s="24" t="inlineStr">
        <is>
          <t>SMEBackTransApprove</t>
        </is>
      </c>
      <c r="E6707" s="24" t="inlineStr">
        <is>
          <t>反冲交易复核</t>
        </is>
      </c>
    </row>
    <row r="6708">
      <c r="B6708" s="24" t="inlineStr">
        <is>
          <t>ApproveType</t>
        </is>
      </c>
      <c r="C6708" s="24" t="inlineStr">
        <is>
          <t>审批类型</t>
        </is>
      </c>
      <c r="D6708" s="24" t="inlineStr">
        <is>
          <t>SMEClassifyAdjustApprove</t>
        </is>
      </c>
      <c r="E6708" s="24" t="inlineStr">
        <is>
          <t>风险调整审批</t>
        </is>
      </c>
    </row>
    <row r="6709">
      <c r="B6709" s="24" t="inlineStr">
        <is>
          <t>ApproveType</t>
        </is>
      </c>
      <c r="C6709" s="24" t="inlineStr">
        <is>
          <t>审批类型</t>
        </is>
      </c>
      <c r="D6709" s="24" t="inlineStr">
        <is>
          <t>SMELoanApprove</t>
        </is>
      </c>
      <c r="E6709" s="24" t="inlineStr">
        <is>
          <t>贷款交易复核</t>
        </is>
      </c>
    </row>
    <row r="6710">
      <c r="B6710" s="24" t="inlineStr">
        <is>
          <t>ApproveType</t>
        </is>
      </c>
      <c r="C6710" s="24" t="inlineStr">
        <is>
          <t>审批类型</t>
        </is>
      </c>
      <c r="D6710" s="24" t="inlineStr">
        <is>
          <t>SMELoanChangeApprove</t>
        </is>
      </c>
      <c r="E6710" s="24" t="inlineStr">
        <is>
          <t>贷后变更复核</t>
        </is>
      </c>
    </row>
    <row r="6711">
      <c r="B6711" s="24" t="inlineStr">
        <is>
          <t>ApproveType</t>
        </is>
      </c>
      <c r="C6711" s="24" t="inlineStr">
        <is>
          <t>审批类型</t>
        </is>
      </c>
      <c r="D6711" s="24" t="inlineStr">
        <is>
          <t>SMEOffLoanTransApprove</t>
        </is>
      </c>
      <c r="E6711" s="24" t="inlineStr">
        <is>
          <t>表外交易复核</t>
        </is>
      </c>
    </row>
    <row r="6712">
      <c r="B6712" s="24" t="inlineStr">
        <is>
          <t>ApproveType</t>
        </is>
      </c>
      <c r="C6712" s="24" t="inlineStr">
        <is>
          <t>审批类型</t>
        </is>
      </c>
      <c r="D6712" s="24" t="inlineStr">
        <is>
          <t>SimpleForkFlowAppr</t>
        </is>
      </c>
      <c r="E6712" s="24" t="inlineStr">
        <is>
          <t>SimpleForkFlowAppr</t>
        </is>
      </c>
    </row>
    <row r="6713">
      <c r="B6713" s="24" t="inlineStr">
        <is>
          <t>ApproveType</t>
        </is>
      </c>
      <c r="C6713" s="24" t="inlineStr">
        <is>
          <t>审批类型</t>
        </is>
      </c>
      <c r="D6713" s="24" t="inlineStr">
        <is>
          <t>SimpleMeetingFlowA</t>
        </is>
      </c>
      <c r="E6713" s="24" t="inlineStr">
        <is>
          <t>SimpleMeetingFlowA</t>
        </is>
      </c>
    </row>
    <row r="6714">
      <c r="B6714" s="24" t="inlineStr">
        <is>
          <t>ApproveType</t>
        </is>
      </c>
      <c r="C6714" s="24" t="inlineStr">
        <is>
          <t>审批类型</t>
        </is>
      </c>
      <c r="D6714" s="24" t="inlineStr">
        <is>
          <t>SimplePoolFlowAppr</t>
        </is>
      </c>
      <c r="E6714" s="24" t="inlineStr">
        <is>
          <t>SimplePoolFlowAppr</t>
        </is>
      </c>
    </row>
    <row r="6715">
      <c r="B6715" s="24" t="inlineStr">
        <is>
          <t>ApproveType</t>
        </is>
      </c>
      <c r="C6715" s="24" t="inlineStr">
        <is>
          <t>审批类型</t>
        </is>
      </c>
      <c r="D6715" s="24" t="inlineStr">
        <is>
          <t>SpecialCheckApprove</t>
        </is>
      </c>
      <c r="E6715" s="24" t="inlineStr">
        <is>
          <t>专项检查审批</t>
        </is>
      </c>
    </row>
    <row r="6716">
      <c r="B6716" s="24" t="inlineStr">
        <is>
          <t>ApproveType</t>
        </is>
      </c>
      <c r="C6716" s="24" t="inlineStr">
        <is>
          <t>审批类型</t>
        </is>
      </c>
      <c r="D6716" s="24" t="inlineStr">
        <is>
          <t>TransformApprove</t>
        </is>
      </c>
      <c r="E6716" s="24" t="inlineStr">
        <is>
          <t>担保合同变更认定审批</t>
        </is>
      </c>
    </row>
    <row r="6717">
      <c r="B6717" s="24" t="inlineStr">
        <is>
          <t>ApproveType</t>
        </is>
      </c>
      <c r="C6717" s="24" t="inlineStr">
        <is>
          <t>审批类型</t>
        </is>
      </c>
      <c r="D6717" s="24" t="inlineStr">
        <is>
          <t>UnLoadGuarantyApp2</t>
        </is>
      </c>
      <c r="E6717" s="24" t="inlineStr">
        <is>
          <t>押品出库审查审批</t>
        </is>
      </c>
    </row>
    <row r="6718" ht="15.95" customHeight="1" s="170">
      <c r="B6718" s="122" t="inlineStr">
        <is>
          <t>码值：ConcedeBasicFile</t>
        </is>
      </c>
    </row>
    <row r="6719">
      <c r="B6719" s="24" t="inlineStr">
        <is>
          <t>ConcedeBasicFile</t>
        </is>
      </c>
      <c r="C6719" s="24" t="inlineStr">
        <is>
          <t>让步依据文件</t>
        </is>
      </c>
      <c r="D6719" s="24" t="inlineStr">
        <is>
          <t>01</t>
        </is>
      </c>
      <c r="E6719" s="24" t="inlineStr">
        <is>
          <t>法院调解书或裁定书</t>
        </is>
      </c>
    </row>
    <row r="6720">
      <c r="B6720" s="24" t="inlineStr">
        <is>
          <t>ConcedeBasicFile</t>
        </is>
      </c>
      <c r="C6720" s="24" t="inlineStr">
        <is>
          <t>让步依据文件</t>
        </is>
      </c>
      <c r="D6720" s="24" t="inlineStr">
        <is>
          <t>02</t>
        </is>
      </c>
      <c r="E6720" s="24" t="inlineStr">
        <is>
          <t>政府协调会议纪要或协调意见</t>
        </is>
      </c>
    </row>
    <row r="6721" ht="15.95" customHeight="1" s="170">
      <c r="B6721" s="122" t="inlineStr">
        <is>
          <t>码值：SpecialCheckApproveMain</t>
        </is>
      </c>
    </row>
    <row r="6722">
      <c r="B6722" s="24" t="inlineStr">
        <is>
          <t>SpecialCheckApproveMain</t>
        </is>
      </c>
      <c r="C6722" s="24" t="inlineStr">
        <is>
          <t>专项检查审批审批主树图</t>
        </is>
      </c>
      <c r="D6722" s="24" t="inlineStr">
        <is>
          <t>N</t>
        </is>
      </c>
      <c r="E6722" s="24" t="inlineStr">
        <is>
          <t>待办任务</t>
        </is>
      </c>
    </row>
    <row r="6723">
      <c r="B6723" s="24" t="inlineStr">
        <is>
          <t>SpecialCheckApproveMain</t>
        </is>
      </c>
      <c r="C6723" s="24" t="inlineStr">
        <is>
          <t>专项检查审批审批主树图</t>
        </is>
      </c>
      <c r="D6723" s="24" t="inlineStr">
        <is>
          <t>Y</t>
        </is>
      </c>
      <c r="E6723" s="24" t="inlineStr">
        <is>
          <t>已办任务</t>
        </is>
      </c>
    </row>
    <row r="6724" ht="15.95" customHeight="1" s="170">
      <c r="B6724" s="122" t="inlineStr">
        <is>
          <t>码值：TermUnit</t>
        </is>
      </c>
    </row>
    <row r="6725">
      <c r="B6725" s="24" t="inlineStr">
        <is>
          <t>TermUnit</t>
        </is>
      </c>
      <c r="C6725" s="24" t="inlineStr">
        <is>
          <t>利率管理</t>
        </is>
      </c>
      <c r="D6725" s="24" t="inlineStr">
        <is>
          <t>D</t>
        </is>
      </c>
      <c r="E6725" s="24" t="inlineStr">
        <is>
          <t>天</t>
        </is>
      </c>
    </row>
    <row r="6726">
      <c r="B6726" s="24" t="inlineStr">
        <is>
          <t>TermUnit</t>
        </is>
      </c>
      <c r="C6726" s="24" t="inlineStr">
        <is>
          <t>利率管理</t>
        </is>
      </c>
      <c r="D6726" s="24" t="inlineStr">
        <is>
          <t>M</t>
        </is>
      </c>
      <c r="E6726" s="24" t="inlineStr">
        <is>
          <t>月</t>
        </is>
      </c>
    </row>
    <row r="6727">
      <c r="B6727" s="24" t="inlineStr">
        <is>
          <t>TermUnit</t>
        </is>
      </c>
      <c r="C6727" s="24" t="inlineStr">
        <is>
          <t>利率管理</t>
        </is>
      </c>
      <c r="D6727" s="24" t="inlineStr">
        <is>
          <t>Y</t>
        </is>
      </c>
      <c r="E6727" s="24" t="inlineStr">
        <is>
          <t>年</t>
        </is>
      </c>
    </row>
    <row r="6728" ht="15.95" customHeight="1" s="170">
      <c r="B6728" s="122" t="inlineStr">
        <is>
          <t>码值：TransferStatus</t>
        </is>
      </c>
    </row>
    <row r="6729">
      <c r="B6729" s="24" t="inlineStr">
        <is>
          <t>TransferStatus</t>
        </is>
      </c>
      <c r="C6729" s="24" t="inlineStr">
        <is>
          <t>过户情况</t>
        </is>
      </c>
      <c r="D6729" s="24" t="inlineStr">
        <is>
          <t>01</t>
        </is>
      </c>
      <c r="E6729" s="24" t="inlineStr">
        <is>
          <t>已过户</t>
        </is>
      </c>
    </row>
    <row r="6730">
      <c r="B6730" s="24" t="inlineStr">
        <is>
          <t>TransferStatus</t>
        </is>
      </c>
      <c r="C6730" s="24" t="inlineStr">
        <is>
          <t>过户情况</t>
        </is>
      </c>
      <c r="D6730" s="24" t="inlineStr">
        <is>
          <t>02</t>
        </is>
      </c>
      <c r="E6730" s="24" t="inlineStr">
        <is>
          <t>可以过户而未过户</t>
        </is>
      </c>
    </row>
    <row r="6731">
      <c r="B6731" s="24" t="inlineStr">
        <is>
          <t>TransferStatus</t>
        </is>
      </c>
      <c r="C6731" s="24" t="inlineStr">
        <is>
          <t>过户情况</t>
        </is>
      </c>
      <c r="D6731" s="24" t="inlineStr">
        <is>
          <t>03</t>
        </is>
      </c>
      <c r="E6731" s="24" t="inlineStr">
        <is>
          <t>无法过户</t>
        </is>
      </c>
    </row>
    <row r="6732">
      <c r="B6732" s="24" t="inlineStr">
        <is>
          <t>TransferStatus</t>
        </is>
      </c>
      <c r="C6732" s="24" t="inlineStr">
        <is>
          <t>过户情况</t>
        </is>
      </c>
      <c r="D6732" s="24" t="inlineStr">
        <is>
          <t>04</t>
        </is>
      </c>
      <c r="E6732" s="24" t="inlineStr">
        <is>
          <t>其他</t>
        </is>
      </c>
    </row>
    <row r="6733" ht="15.95" customHeight="1" s="170">
      <c r="B6733" s="122" t="inlineStr">
        <is>
          <t>码值：ClrGntStatus</t>
        </is>
      </c>
    </row>
    <row r="6734">
      <c r="B6734" s="24" t="inlineStr">
        <is>
          <t>ClrGntStatus</t>
        </is>
      </c>
      <c r="C6734" s="24" t="inlineStr">
        <is>
          <t>押品准入状态</t>
        </is>
      </c>
      <c r="D6734" s="24" t="inlineStr">
        <is>
          <t>01</t>
        </is>
      </c>
      <c r="E6734" s="24" t="inlineStr">
        <is>
          <t>未确立押权</t>
        </is>
      </c>
    </row>
    <row r="6735">
      <c r="B6735" s="24" t="inlineStr">
        <is>
          <t>ClrGntStatus</t>
        </is>
      </c>
      <c r="C6735" s="24" t="inlineStr">
        <is>
          <t>押品准入状态</t>
        </is>
      </c>
      <c r="D6735" s="24" t="inlineStr">
        <is>
          <t>02</t>
        </is>
      </c>
      <c r="E6735" s="24" t="inlineStr">
        <is>
          <t>已确立押权</t>
        </is>
      </c>
    </row>
    <row r="6736">
      <c r="B6736" s="24" t="inlineStr">
        <is>
          <t>ClrGntStatus</t>
        </is>
      </c>
      <c r="C6736" s="24" t="inlineStr">
        <is>
          <t>押品准入状态</t>
        </is>
      </c>
      <c r="D6736" s="24" t="inlineStr">
        <is>
          <t>03</t>
        </is>
      </c>
      <c r="E6736" s="24" t="inlineStr">
        <is>
          <t>已注销押权</t>
        </is>
      </c>
    </row>
    <row r="6737" ht="15.95" customHeight="1" s="170">
      <c r="B6737" s="122" t="inlineStr">
        <is>
          <t>码值：TransformView</t>
        </is>
      </c>
    </row>
    <row r="6738">
      <c r="B6738" s="24" t="inlineStr">
        <is>
          <t>TransformView</t>
        </is>
      </c>
      <c r="C6738" s="24" t="inlineStr">
        <is>
          <t>担保合同变更管理树图</t>
        </is>
      </c>
      <c r="D6738" s="24" t="inlineStr">
        <is>
          <t>010</t>
        </is>
      </c>
      <c r="E6738" s="24" t="inlineStr">
        <is>
          <t>业务信息</t>
        </is>
      </c>
    </row>
    <row r="6739">
      <c r="B6739" s="24" t="inlineStr">
        <is>
          <t>TransformView</t>
        </is>
      </c>
      <c r="C6739" s="24" t="inlineStr">
        <is>
          <t>担保合同变更管理树图</t>
        </is>
      </c>
      <c r="D6739" s="24" t="inlineStr">
        <is>
          <t>010010</t>
        </is>
      </c>
      <c r="E6739" s="24" t="inlineStr">
        <is>
          <t>基本信息</t>
        </is>
      </c>
    </row>
    <row r="6740">
      <c r="B6740" s="24" t="inlineStr">
        <is>
          <t>TransformView</t>
        </is>
      </c>
      <c r="C6740" s="24" t="inlineStr">
        <is>
          <t>担保合同变更管理树图</t>
        </is>
      </c>
      <c r="D6740" s="24" t="inlineStr">
        <is>
          <t>010020</t>
        </is>
      </c>
      <c r="E6740" s="24" t="inlineStr">
        <is>
          <t>有效的担保合同</t>
        </is>
      </c>
    </row>
    <row r="6741">
      <c r="B6741" s="24" t="inlineStr">
        <is>
          <t>TransformView</t>
        </is>
      </c>
      <c r="C6741" s="24" t="inlineStr">
        <is>
          <t>担保合同变更管理树图</t>
        </is>
      </c>
      <c r="D6741" s="24" t="inlineStr">
        <is>
          <t>010030</t>
        </is>
      </c>
      <c r="E6741" s="24" t="inlineStr">
        <is>
          <t>拟新增的担保合同</t>
        </is>
      </c>
    </row>
    <row r="6742">
      <c r="B6742" s="24" t="inlineStr">
        <is>
          <t>TransformView</t>
        </is>
      </c>
      <c r="C6742" s="24" t="inlineStr">
        <is>
          <t>担保合同变更管理树图</t>
        </is>
      </c>
      <c r="D6742" s="24" t="inlineStr">
        <is>
          <t>010040</t>
        </is>
      </c>
      <c r="E6742" s="24" t="inlineStr">
        <is>
          <t>拟解除的担保合同</t>
        </is>
      </c>
    </row>
    <row r="6743" ht="15.95" customHeight="1" s="170">
      <c r="B6743" s="122" t="inlineStr">
        <is>
          <t>码值：WaybillType</t>
        </is>
      </c>
    </row>
    <row r="6744">
      <c r="B6744" s="24" t="inlineStr">
        <is>
          <t>WaybillType</t>
        </is>
      </c>
      <c r="C6744" s="24" t="inlineStr">
        <is>
          <t>运单种类</t>
        </is>
      </c>
      <c r="D6744" s="24" t="inlineStr">
        <is>
          <t>010</t>
        </is>
      </c>
      <c r="E6744" s="24" t="inlineStr">
        <is>
          <t>全套海运提单</t>
        </is>
      </c>
    </row>
    <row r="6745">
      <c r="B6745" s="24" t="inlineStr">
        <is>
          <t>WaybillType</t>
        </is>
      </c>
      <c r="C6745" s="24" t="inlineStr">
        <is>
          <t>运单种类</t>
        </is>
      </c>
      <c r="D6745" s="24" t="inlineStr">
        <is>
          <t>020</t>
        </is>
      </c>
      <c r="E6745" s="24" t="inlineStr">
        <is>
          <t>非全套海运提单</t>
        </is>
      </c>
    </row>
    <row r="6746">
      <c r="B6746" s="24" t="inlineStr">
        <is>
          <t>WaybillType</t>
        </is>
      </c>
      <c r="C6746" s="24" t="inlineStr">
        <is>
          <t>运单种类</t>
        </is>
      </c>
      <c r="D6746" s="24" t="inlineStr">
        <is>
          <t>030</t>
        </is>
      </c>
      <c r="E6746" s="24" t="inlineStr">
        <is>
          <t>空运单</t>
        </is>
      </c>
    </row>
    <row r="6747">
      <c r="B6747" s="24" t="inlineStr">
        <is>
          <t>WaybillType</t>
        </is>
      </c>
      <c r="C6747" s="24" t="inlineStr">
        <is>
          <t>运单种类</t>
        </is>
      </c>
      <c r="D6747" s="24" t="inlineStr">
        <is>
          <t>040</t>
        </is>
      </c>
      <c r="E6747" s="24" t="inlineStr">
        <is>
          <t>陆运单</t>
        </is>
      </c>
    </row>
    <row r="6748">
      <c r="B6748" s="24" t="inlineStr">
        <is>
          <t>WaybillType</t>
        </is>
      </c>
      <c r="C6748" s="24" t="inlineStr">
        <is>
          <t>运单种类</t>
        </is>
      </c>
      <c r="D6748" s="24" t="inlineStr">
        <is>
          <t>050</t>
        </is>
      </c>
      <c r="E6748" s="24" t="inlineStr">
        <is>
          <t>全套连运提单</t>
        </is>
      </c>
    </row>
    <row r="6749">
      <c r="B6749" s="24" t="inlineStr">
        <is>
          <t>WaybillType</t>
        </is>
      </c>
      <c r="C6749" s="24" t="inlineStr">
        <is>
          <t>运单种类</t>
        </is>
      </c>
      <c r="D6749" s="24" t="inlineStr">
        <is>
          <t>060</t>
        </is>
      </c>
      <c r="E6749" s="24" t="inlineStr">
        <is>
          <t>非全套连运提单</t>
        </is>
      </c>
    </row>
    <row r="6750">
      <c r="B6750" s="24" t="inlineStr">
        <is>
          <t>WaybillType</t>
        </is>
      </c>
      <c r="C6750" s="24" t="inlineStr">
        <is>
          <t>运单种类</t>
        </is>
      </c>
      <c r="D6750" s="24" t="inlineStr">
        <is>
          <t>070</t>
        </is>
      </c>
      <c r="E6750" s="24" t="inlineStr">
        <is>
          <t>货物收据或发货证明</t>
        </is>
      </c>
    </row>
    <row r="6751" ht="15.95" customHeight="1" s="170">
      <c r="B6751" s="122" t="inlineStr">
        <is>
          <t>码值：房地产企业产权制度</t>
        </is>
      </c>
    </row>
    <row r="6752">
      <c r="B6752" s="24" t="inlineStr">
        <is>
          <t>房地产企业产权制度</t>
        </is>
      </c>
      <c r="C6752" s="24" t="inlineStr">
        <is>
          <t>房地产企业产权制度</t>
        </is>
      </c>
      <c r="D6752" s="24" t="inlineStr">
        <is>
          <t>1</t>
        </is>
      </c>
      <c r="E6752" s="24" t="inlineStr">
        <is>
          <t>500强企业在华投资或外方投资额2000万美金以上</t>
        </is>
      </c>
    </row>
    <row r="6753">
      <c r="B6753" s="24" t="inlineStr">
        <is>
          <t>房地产企业产权制度</t>
        </is>
      </c>
      <c r="C6753" s="24" t="inlineStr">
        <is>
          <t>房地产企业产权制度</t>
        </is>
      </c>
      <c r="D6753" s="24" t="inlineStr">
        <is>
          <t>2</t>
        </is>
      </c>
      <c r="E6753" s="24" t="inlineStr">
        <is>
          <t>上市股份有限公司</t>
        </is>
      </c>
    </row>
    <row r="6754">
      <c r="B6754" s="24" t="inlineStr">
        <is>
          <t>房地产企业产权制度</t>
        </is>
      </c>
      <c r="C6754" s="24" t="inlineStr">
        <is>
          <t>房地产企业产权制度</t>
        </is>
      </c>
      <c r="D6754" s="24" t="inlineStr">
        <is>
          <t>3</t>
        </is>
      </c>
      <c r="E6754" s="24" t="inlineStr">
        <is>
          <t>未上市股份有限公司</t>
        </is>
      </c>
    </row>
    <row r="6755">
      <c r="B6755" s="24" t="inlineStr">
        <is>
          <t>房地产企业产权制度</t>
        </is>
      </c>
      <c r="C6755" s="24" t="inlineStr">
        <is>
          <t>房地产企业产权制度</t>
        </is>
      </c>
      <c r="D6755" s="24" t="inlineStr">
        <is>
          <t>4</t>
        </is>
      </c>
      <c r="E6755" s="24" t="inlineStr">
        <is>
          <t>有限责任公司</t>
        </is>
      </c>
    </row>
    <row r="6756">
      <c r="B6756" s="24" t="inlineStr">
        <is>
          <t>房地产企业产权制度</t>
        </is>
      </c>
      <c r="C6756" s="24" t="inlineStr">
        <is>
          <t>房地产企业产权制度</t>
        </is>
      </c>
      <c r="D6756" s="24" t="inlineStr">
        <is>
          <t>5</t>
        </is>
      </c>
      <c r="E6756" s="24" t="inlineStr">
        <is>
          <t>项目公司</t>
        </is>
      </c>
    </row>
    <row r="6757">
      <c r="B6757" s="24" t="inlineStr">
        <is>
          <t>房地产企业产权制度</t>
        </is>
      </c>
      <c r="C6757" s="24" t="inlineStr">
        <is>
          <t>房地产企业产权制度</t>
        </is>
      </c>
      <c r="D6757" s="24" t="inlineStr">
        <is>
          <t>6</t>
        </is>
      </c>
      <c r="E6757" s="24" t="inlineStr">
        <is>
          <t>其他</t>
        </is>
      </c>
    </row>
    <row r="6758" ht="15.95" customHeight="1" s="170">
      <c r="B6758" s="122" t="inlineStr">
        <is>
          <t>码值：BalanceChangeStyle</t>
        </is>
      </c>
    </row>
    <row r="6759">
      <c r="B6759" s="24" t="inlineStr">
        <is>
          <t>BalanceChangeStyle</t>
        </is>
      </c>
      <c r="C6759" s="24" t="inlineStr">
        <is>
          <t>余额变动类型</t>
        </is>
      </c>
      <c r="D6759" s="24" t="inlineStr">
        <is>
          <t>01</t>
        </is>
      </c>
      <c r="E6759" s="24" t="inlineStr">
        <is>
          <t>租赁</t>
        </is>
      </c>
    </row>
    <row r="6760">
      <c r="B6760" s="24" t="inlineStr">
        <is>
          <t>BalanceChangeStyle</t>
        </is>
      </c>
      <c r="C6760" s="24" t="inlineStr">
        <is>
          <t>余额变动类型</t>
        </is>
      </c>
      <c r="D6760" s="24" t="inlineStr">
        <is>
          <t>02</t>
        </is>
      </c>
      <c r="E6760" s="24" t="inlineStr">
        <is>
          <t>拍卖</t>
        </is>
      </c>
    </row>
    <row r="6761">
      <c r="B6761" s="24" t="inlineStr">
        <is>
          <t>BalanceChangeStyle</t>
        </is>
      </c>
      <c r="C6761" s="24" t="inlineStr">
        <is>
          <t>余额变动类型</t>
        </is>
      </c>
      <c r="D6761" s="24" t="inlineStr">
        <is>
          <t>03</t>
        </is>
      </c>
      <c r="E6761" s="24" t="inlineStr">
        <is>
          <t>变卖</t>
        </is>
      </c>
    </row>
    <row r="6762">
      <c r="B6762" s="24" t="inlineStr">
        <is>
          <t>BalanceChangeStyle</t>
        </is>
      </c>
      <c r="C6762" s="24" t="inlineStr">
        <is>
          <t>余额变动类型</t>
        </is>
      </c>
      <c r="D6762" s="24" t="inlineStr">
        <is>
          <t>04</t>
        </is>
      </c>
      <c r="E6762" s="24" t="inlineStr">
        <is>
          <t>处置损失</t>
        </is>
      </c>
    </row>
    <row r="6763">
      <c r="B6763" s="24" t="inlineStr">
        <is>
          <t>BalanceChangeStyle</t>
        </is>
      </c>
      <c r="C6763" s="24" t="inlineStr">
        <is>
          <t>余额变动类型</t>
        </is>
      </c>
      <c r="D6763" s="24" t="inlineStr">
        <is>
          <t>05</t>
        </is>
      </c>
      <c r="E6763" s="24" t="inlineStr">
        <is>
          <t>其他</t>
        </is>
      </c>
    </row>
    <row r="6764" ht="15.95" customHeight="1" s="170">
      <c r="B6764" s="122" t="inlineStr">
        <is>
          <t>码值：EvalModelQuick</t>
        </is>
      </c>
    </row>
    <row r="6765">
      <c r="B6765" s="24" t="inlineStr">
        <is>
          <t>EvalModelQuick</t>
        </is>
      </c>
      <c r="C6765" s="24" t="inlineStr">
        <is>
          <t>贷后快速评估模板</t>
        </is>
      </c>
      <c r="D6765" s="24" t="inlineStr">
        <is>
          <t>M_CMG_BGYFSCF</t>
        </is>
      </c>
      <c r="E6765" s="24" t="inlineStr">
        <is>
          <t>办公用房市场法</t>
        </is>
      </c>
    </row>
    <row r="6766">
      <c r="B6766" s="24" t="inlineStr">
        <is>
          <t>EvalModelQuick</t>
        </is>
      </c>
      <c r="C6766" s="24" t="inlineStr">
        <is>
          <t>贷后快速评估模板</t>
        </is>
      </c>
      <c r="D6766" s="24" t="inlineStr">
        <is>
          <t>M_CMG_CKQL</t>
        </is>
      </c>
      <c r="E6766" s="24" t="inlineStr">
        <is>
          <t>采矿权</t>
        </is>
      </c>
    </row>
    <row r="6767">
      <c r="B6767" s="24" t="inlineStr">
        <is>
          <t>EvalModelQuick</t>
        </is>
      </c>
      <c r="C6767" s="24" t="inlineStr">
        <is>
          <t>贷后快速评估模板</t>
        </is>
      </c>
      <c r="D6767" s="24" t="inlineStr">
        <is>
          <t>M_CMG_FSSGQCWBBFXF</t>
        </is>
      </c>
      <c r="E6767" s="24" t="inlineStr">
        <is>
          <t>非上市股权财务报表分析法</t>
        </is>
      </c>
    </row>
    <row r="6768">
      <c r="B6768" s="24" t="inlineStr">
        <is>
          <t>EvalModelQuick</t>
        </is>
      </c>
      <c r="C6768" s="24" t="inlineStr">
        <is>
          <t>贷后快速评估模板</t>
        </is>
      </c>
      <c r="D6768" s="24" t="inlineStr">
        <is>
          <t>M_CMG_FSSGSGQZCJCF</t>
        </is>
      </c>
      <c r="E6768" s="24" t="inlineStr">
        <is>
          <t>非上市公司股权资产基础法</t>
        </is>
      </c>
    </row>
    <row r="6769">
      <c r="B6769" s="24" t="inlineStr">
        <is>
          <t>EvalModelQuick</t>
        </is>
      </c>
      <c r="C6769" s="24" t="inlineStr">
        <is>
          <t>贷后快速评估模板</t>
        </is>
      </c>
      <c r="D6769" s="24" t="inlineStr">
        <is>
          <t>M_CMG_GYYFSCF</t>
        </is>
      </c>
      <c r="E6769" s="24" t="inlineStr">
        <is>
          <t>工业用房市场法</t>
        </is>
      </c>
    </row>
    <row r="6770">
      <c r="B6770" s="24" t="inlineStr">
        <is>
          <t>EvalModelQuick</t>
        </is>
      </c>
      <c r="C6770" s="24" t="inlineStr">
        <is>
          <t>贷后快速评估模板</t>
        </is>
      </c>
      <c r="D6770" s="24" t="inlineStr">
        <is>
          <t>M_CMG_JQSBGCCBF</t>
        </is>
      </c>
      <c r="E6770" s="24" t="inlineStr">
        <is>
          <t>机器设备（国产）成本法</t>
        </is>
      </c>
    </row>
    <row r="6771">
      <c r="B6771" s="24" t="inlineStr">
        <is>
          <t>EvalModelQuick</t>
        </is>
      </c>
      <c r="C6771" s="24" t="inlineStr">
        <is>
          <t>贷后快速评估模板</t>
        </is>
      </c>
      <c r="D6771" s="24" t="inlineStr">
        <is>
          <t>M_CMG_JQSBJKCBF</t>
        </is>
      </c>
      <c r="E6771" s="24" t="inlineStr">
        <is>
          <t>机器设备（进口）成本法</t>
        </is>
      </c>
    </row>
    <row r="6772">
      <c r="B6772" s="24" t="inlineStr">
        <is>
          <t>EvalModelQuick</t>
        </is>
      </c>
      <c r="C6772" s="24" t="inlineStr">
        <is>
          <t>贷后快速评估模板</t>
        </is>
      </c>
      <c r="D6772" s="24" t="inlineStr">
        <is>
          <t>M_CMG_JQSBZJCBF</t>
        </is>
      </c>
      <c r="E6772" s="24" t="inlineStr">
        <is>
          <t>机器设备（自建）成本法</t>
        </is>
      </c>
    </row>
    <row r="6773">
      <c r="B6773" s="24" t="inlineStr">
        <is>
          <t>EvalModelQuick</t>
        </is>
      </c>
      <c r="C6773" s="24" t="inlineStr">
        <is>
          <t>贷后快速评估模板</t>
        </is>
      </c>
      <c r="D6773" s="24" t="inlineStr">
        <is>
          <t>M_CMG_JTYSSBCF</t>
        </is>
      </c>
      <c r="E6773" s="24" t="inlineStr">
        <is>
          <t>交通运输设备市场法</t>
        </is>
      </c>
    </row>
    <row r="6774">
      <c r="B6774" s="24" t="inlineStr">
        <is>
          <t>EvalModelQuick</t>
        </is>
      </c>
      <c r="C6774" s="24" t="inlineStr">
        <is>
          <t>贷后快速评估模板</t>
        </is>
      </c>
      <c r="D6774" s="24" t="inlineStr">
        <is>
          <t>M_CMG_JTYSSBGCCBF</t>
        </is>
      </c>
      <c r="E6774" s="24" t="inlineStr">
        <is>
          <t>交通运输设备（国产）成本法</t>
        </is>
      </c>
    </row>
    <row r="6775">
      <c r="B6775" s="24" t="inlineStr">
        <is>
          <t>EvalModelQuick</t>
        </is>
      </c>
      <c r="C6775" s="24" t="inlineStr">
        <is>
          <t>贷后快速评估模板</t>
        </is>
      </c>
      <c r="D6775" s="24" t="inlineStr">
        <is>
          <t>M_CMG_JTYSSBJKCBF</t>
        </is>
      </c>
      <c r="E6775" s="24" t="inlineStr">
        <is>
          <t>交通运输设备（进口）成本法</t>
        </is>
      </c>
    </row>
    <row r="6776">
      <c r="B6776" s="24" t="inlineStr">
        <is>
          <t>EvalModelQuick</t>
        </is>
      </c>
      <c r="C6776" s="24" t="inlineStr">
        <is>
          <t>贷后快速评估模板</t>
        </is>
      </c>
      <c r="D6776" s="24" t="inlineStr">
        <is>
          <t>M_CMG_JZYFSCF</t>
        </is>
      </c>
      <c r="E6776" s="24" t="inlineStr">
        <is>
          <t>居住用房市场法</t>
        </is>
      </c>
    </row>
    <row r="6777">
      <c r="B6777" s="24" t="inlineStr">
        <is>
          <t>EvalModelQuick</t>
        </is>
      </c>
      <c r="C6777" s="24" t="inlineStr">
        <is>
          <t>贷后快速评估模板</t>
        </is>
      </c>
      <c r="D6777" s="24" t="inlineStr">
        <is>
          <t>M_CMG_LDSCF</t>
        </is>
      </c>
      <c r="E6777" s="24" t="inlineStr">
        <is>
          <t>林地市场法</t>
        </is>
      </c>
    </row>
    <row r="6778">
      <c r="B6778" s="24" t="inlineStr">
        <is>
          <t>EvalModelQuick</t>
        </is>
      </c>
      <c r="C6778" s="24" t="inlineStr">
        <is>
          <t>贷后快速评估模板</t>
        </is>
      </c>
      <c r="D6778" s="24" t="inlineStr">
        <is>
          <t>M_CMG_LM</t>
        </is>
      </c>
      <c r="E6778" s="24" t="inlineStr">
        <is>
          <t>林木收益法</t>
        </is>
      </c>
    </row>
    <row r="6779">
      <c r="B6779" s="24" t="inlineStr">
        <is>
          <t>EvalModelQuick</t>
        </is>
      </c>
      <c r="C6779" s="24" t="inlineStr">
        <is>
          <t>贷后快速评估模板</t>
        </is>
      </c>
      <c r="D6779" s="24" t="inlineStr">
        <is>
          <t>M_CMG_PMJZF</t>
        </is>
      </c>
      <c r="E6779" s="24" t="inlineStr">
        <is>
          <t>票面价值法</t>
        </is>
      </c>
    </row>
    <row r="6780">
      <c r="B6780" s="24" t="inlineStr">
        <is>
          <t>EvalModelQuick</t>
        </is>
      </c>
      <c r="C6780" s="24" t="inlineStr">
        <is>
          <t>贷后快速评估模板</t>
        </is>
      </c>
      <c r="D6780" s="24" t="inlineStr">
        <is>
          <t>M_CMG_SYYFSCF</t>
        </is>
      </c>
      <c r="E6780" s="24" t="inlineStr">
        <is>
          <t>商业用房市场法</t>
        </is>
      </c>
    </row>
    <row r="6781">
      <c r="B6781" s="24" t="inlineStr">
        <is>
          <t>EvalModelQuick</t>
        </is>
      </c>
      <c r="C6781" s="24" t="inlineStr">
        <is>
          <t>贷后快速评估模板</t>
        </is>
      </c>
      <c r="D6781" s="24" t="inlineStr">
        <is>
          <t>M_CMG_TDJZDJXZF</t>
        </is>
      </c>
      <c r="E6781" s="24" t="inlineStr">
        <is>
          <t>土地基准地价修正法</t>
        </is>
      </c>
    </row>
    <row r="6782">
      <c r="B6782" s="24" t="inlineStr">
        <is>
          <t>EvalModelQuick</t>
        </is>
      </c>
      <c r="C6782" s="24" t="inlineStr">
        <is>
          <t>贷后快速评估模板</t>
        </is>
      </c>
      <c r="D6782" s="24" t="inlineStr">
        <is>
          <t>M_CMG_XXSJF</t>
        </is>
      </c>
      <c r="E6782" s="24" t="inlineStr">
        <is>
          <t>现行市价法</t>
        </is>
      </c>
    </row>
    <row r="6783">
      <c r="B6783" s="24" t="inlineStr">
        <is>
          <t>EvalModelQuick</t>
        </is>
      </c>
      <c r="C6783" s="24" t="inlineStr">
        <is>
          <t>贷后快速评估模板</t>
        </is>
      </c>
      <c r="D6783" s="24" t="inlineStr">
        <is>
          <t>M_CMG_YSZKZLFXF</t>
        </is>
      </c>
      <c r="E6783" s="24" t="inlineStr">
        <is>
          <t>应收款项账龄分析法</t>
        </is>
      </c>
    </row>
    <row r="6784">
      <c r="B6784" s="24" t="inlineStr">
        <is>
          <t>EvalModelQuick</t>
        </is>
      </c>
      <c r="C6784" s="24" t="inlineStr">
        <is>
          <t>贷后快速评估模板</t>
        </is>
      </c>
      <c r="D6784" s="24" t="inlineStr">
        <is>
          <t>M_CMG_ZJGCCBF</t>
        </is>
      </c>
      <c r="E6784" s="24" t="inlineStr">
        <is>
          <t>在建工程成本法</t>
        </is>
      </c>
    </row>
    <row r="6785">
      <c r="B6785" s="24" t="inlineStr">
        <is>
          <t>EvalModelQuick</t>
        </is>
      </c>
      <c r="C6785" s="24" t="inlineStr">
        <is>
          <t>贷后快速评估模板</t>
        </is>
      </c>
      <c r="D6785" s="24" t="inlineStr">
        <is>
          <t>M_CMG_ZJGCWGJDBFBF</t>
        </is>
      </c>
      <c r="E6785" s="24" t="inlineStr">
        <is>
          <t>在建工程完工进度百分比法</t>
        </is>
      </c>
    </row>
    <row r="6786" ht="15.95" customHeight="1" s="170">
      <c r="B6786" s="122" t="inlineStr">
        <is>
          <t>码值：IndProfileView</t>
        </is>
      </c>
    </row>
    <row r="6787">
      <c r="B6787" s="24" t="inlineStr">
        <is>
          <t>IndProfileView</t>
        </is>
      </c>
      <c r="C6787" s="24" t="inlineStr">
        <is>
          <t>个人客户统一试图</t>
        </is>
      </c>
      <c r="D6787" s="24" t="inlineStr">
        <is>
          <t>010</t>
        </is>
      </c>
      <c r="E6787" s="24" t="inlineStr">
        <is>
          <t>客户概况</t>
        </is>
      </c>
    </row>
    <row r="6788">
      <c r="B6788" s="24" t="inlineStr">
        <is>
          <t>IndProfileView</t>
        </is>
      </c>
      <c r="C6788" s="24" t="inlineStr">
        <is>
          <t>个人客户统一试图</t>
        </is>
      </c>
      <c r="D6788" s="24" t="inlineStr">
        <is>
          <t>020</t>
        </is>
      </c>
      <c r="E6788" s="24" t="inlineStr">
        <is>
          <t>客户证件信息</t>
        </is>
      </c>
    </row>
    <row r="6789">
      <c r="B6789" s="24" t="inlineStr">
        <is>
          <t>IndProfileView</t>
        </is>
      </c>
      <c r="C6789" s="24" t="inlineStr">
        <is>
          <t>个人客户统一试图</t>
        </is>
      </c>
      <c r="D6789" s="24" t="inlineStr">
        <is>
          <t>030</t>
        </is>
      </c>
      <c r="E6789" s="24" t="inlineStr">
        <is>
          <t>客户联系信息</t>
        </is>
      </c>
    </row>
    <row r="6790">
      <c r="B6790" s="24" t="inlineStr">
        <is>
          <t>IndProfileView</t>
        </is>
      </c>
      <c r="C6790" s="24" t="inlineStr">
        <is>
          <t>个人客户统一试图</t>
        </is>
      </c>
      <c r="D6790" s="24" t="inlineStr">
        <is>
          <t>040</t>
        </is>
      </c>
      <c r="E6790" s="24" t="inlineStr">
        <is>
          <t>客户地址信息</t>
        </is>
      </c>
    </row>
    <row r="6791">
      <c r="B6791" s="24" t="inlineStr">
        <is>
          <t>IndProfileView</t>
        </is>
      </c>
      <c r="C6791" s="24" t="inlineStr">
        <is>
          <t>个人客户统一试图</t>
        </is>
      </c>
      <c r="D6791" s="24" t="inlineStr">
        <is>
          <t>050</t>
        </is>
      </c>
      <c r="E6791" s="24" t="inlineStr">
        <is>
          <t>客户评级信息</t>
        </is>
      </c>
    </row>
    <row r="6792">
      <c r="B6792" s="24" t="inlineStr">
        <is>
          <t>IndProfileView</t>
        </is>
      </c>
      <c r="C6792" s="24" t="inlineStr">
        <is>
          <t>个人客户统一试图</t>
        </is>
      </c>
      <c r="D6792" s="24" t="inlineStr">
        <is>
          <t>060</t>
        </is>
      </c>
      <c r="E6792" s="24" t="inlineStr">
        <is>
          <t>家庭成员信息</t>
        </is>
      </c>
    </row>
    <row r="6793">
      <c r="B6793" s="24" t="inlineStr">
        <is>
          <t>IndProfileView</t>
        </is>
      </c>
      <c r="C6793" s="24" t="inlineStr">
        <is>
          <t>个人客户统一试图</t>
        </is>
      </c>
      <c r="D6793" s="24" t="inlineStr">
        <is>
          <t>070</t>
        </is>
      </c>
      <c r="E6793" s="24" t="inlineStr">
        <is>
          <t>个人学历履历</t>
        </is>
      </c>
    </row>
    <row r="6794">
      <c r="B6794" s="24" t="inlineStr">
        <is>
          <t>IndProfileView</t>
        </is>
      </c>
      <c r="C6794" s="24" t="inlineStr">
        <is>
          <t>个人客户统一试图</t>
        </is>
      </c>
      <c r="D6794" s="24" t="inlineStr">
        <is>
          <t>080</t>
        </is>
      </c>
      <c r="E6794" s="24" t="inlineStr">
        <is>
          <t>个人工作履历</t>
        </is>
      </c>
    </row>
    <row r="6795">
      <c r="B6795" s="24" t="inlineStr">
        <is>
          <t>IndProfileView</t>
        </is>
      </c>
      <c r="C6795" s="24" t="inlineStr">
        <is>
          <t>个人客户统一试图</t>
        </is>
      </c>
      <c r="D6795" s="24" t="inlineStr">
        <is>
          <t>090</t>
        </is>
      </c>
      <c r="E6795" s="24" t="inlineStr">
        <is>
          <t>客户涉讼信息</t>
        </is>
      </c>
    </row>
    <row r="6796">
      <c r="B6796" s="24" t="inlineStr">
        <is>
          <t>IndProfileView</t>
        </is>
      </c>
      <c r="C6796" s="24" t="inlineStr">
        <is>
          <t>个人客户统一试图</t>
        </is>
      </c>
      <c r="D6796" s="24" t="inlineStr">
        <is>
          <t>100</t>
        </is>
      </c>
      <c r="E6796" s="24" t="inlineStr">
        <is>
          <t>客户大事记</t>
        </is>
      </c>
    </row>
    <row r="6797" ht="15.95" customHeight="1" s="170">
      <c r="B6797" s="122" t="inlineStr">
        <is>
          <t>码值：InvoiceReceiptApplyMain</t>
        </is>
      </c>
    </row>
    <row r="6798">
      <c r="B6798" s="24" t="inlineStr">
        <is>
          <t>InvoiceReceiptApplyMain</t>
        </is>
      </c>
      <c r="C6798" s="24" t="inlineStr">
        <is>
          <t>收票主树图</t>
        </is>
      </c>
      <c r="D6798" s="24" t="inlineStr">
        <is>
          <t>1010</t>
        </is>
      </c>
      <c r="E6798" s="24" t="inlineStr">
        <is>
          <t>收票申请</t>
        </is>
      </c>
    </row>
    <row r="6799">
      <c r="B6799" s="24" t="inlineStr">
        <is>
          <t>InvoiceReceiptApplyMain</t>
        </is>
      </c>
      <c r="C6799" s="24" t="inlineStr">
        <is>
          <t>收票主树图</t>
        </is>
      </c>
      <c r="D6799" s="24" t="inlineStr">
        <is>
          <t>1020</t>
        </is>
      </c>
      <c r="E6799" s="24" t="inlineStr">
        <is>
          <t>收票审核</t>
        </is>
      </c>
    </row>
    <row r="6800">
      <c r="B6800" s="24" t="inlineStr">
        <is>
          <t>InvoiceReceiptApplyMain</t>
        </is>
      </c>
      <c r="C6800" s="24" t="inlineStr">
        <is>
          <t>收票主树图</t>
        </is>
      </c>
      <c r="D6800" s="24" t="inlineStr">
        <is>
          <t>1040</t>
        </is>
      </c>
      <c r="E6800" s="24" t="inlineStr">
        <is>
          <t>已批准</t>
        </is>
      </c>
    </row>
    <row r="6801">
      <c r="B6801" s="24" t="inlineStr">
        <is>
          <t>InvoiceReceiptApplyMain</t>
        </is>
      </c>
      <c r="C6801" s="24" t="inlineStr">
        <is>
          <t>收票主树图</t>
        </is>
      </c>
      <c r="D6801" s="24" t="inlineStr">
        <is>
          <t>1050</t>
        </is>
      </c>
      <c r="E6801" s="24" t="inlineStr">
        <is>
          <t>已否决</t>
        </is>
      </c>
    </row>
    <row r="6802" ht="15.95" customHeight="1" s="170">
      <c r="B6802" s="122" t="inlineStr">
        <is>
          <t>码值：StudentFromType</t>
        </is>
      </c>
    </row>
    <row r="6803">
      <c r="B6803" s="24" t="inlineStr">
        <is>
          <t>StudentFromType</t>
        </is>
      </c>
      <c r="C6803" s="24" t="inlineStr">
        <is>
          <t>助学类型</t>
        </is>
      </c>
      <c r="D6803" s="24" t="inlineStr">
        <is>
          <t>01</t>
        </is>
      </c>
      <c r="E6803" s="24" t="inlineStr">
        <is>
          <t>生源地</t>
        </is>
      </c>
    </row>
    <row r="6804">
      <c r="B6804" s="24" t="inlineStr">
        <is>
          <t>StudentFromType</t>
        </is>
      </c>
      <c r="C6804" s="24" t="inlineStr">
        <is>
          <t>助学类型</t>
        </is>
      </c>
      <c r="D6804" s="24" t="inlineStr">
        <is>
          <t>02</t>
        </is>
      </c>
      <c r="E6804" s="24" t="inlineStr">
        <is>
          <t>就读地</t>
        </is>
      </c>
    </row>
    <row r="6805" ht="15.95" customHeight="1" s="170">
      <c r="B6805" s="122" t="inlineStr">
        <is>
          <t>码值：施工设备</t>
        </is>
      </c>
    </row>
    <row r="6806">
      <c r="B6806" s="24" t="inlineStr">
        <is>
          <t>施工设备</t>
        </is>
      </c>
      <c r="C6806" s="24" t="inlineStr">
        <is>
          <t>施工设备</t>
        </is>
      </c>
      <c r="D6806" s="24" t="inlineStr">
        <is>
          <t>1</t>
        </is>
      </c>
      <c r="E6806" s="24" t="inlineStr">
        <is>
          <t>非常先进</t>
        </is>
      </c>
    </row>
    <row r="6807">
      <c r="B6807" s="24" t="inlineStr">
        <is>
          <t>施工设备</t>
        </is>
      </c>
      <c r="C6807" s="24" t="inlineStr">
        <is>
          <t>施工设备</t>
        </is>
      </c>
      <c r="D6807" s="24" t="inlineStr">
        <is>
          <t>2</t>
        </is>
      </c>
      <c r="E6807" s="24" t="inlineStr">
        <is>
          <t>较先进</t>
        </is>
      </c>
    </row>
    <row r="6808">
      <c r="B6808" s="24" t="inlineStr">
        <is>
          <t>施工设备</t>
        </is>
      </c>
      <c r="C6808" s="24" t="inlineStr">
        <is>
          <t>施工设备</t>
        </is>
      </c>
      <c r="D6808" s="24" t="inlineStr">
        <is>
          <t>3</t>
        </is>
      </c>
      <c r="E6808" s="24" t="inlineStr">
        <is>
          <t>一般</t>
        </is>
      </c>
    </row>
    <row r="6809">
      <c r="B6809" s="24" t="inlineStr">
        <is>
          <t>施工设备</t>
        </is>
      </c>
      <c r="C6809" s="24" t="inlineStr">
        <is>
          <t>施工设备</t>
        </is>
      </c>
      <c r="D6809" s="24" t="inlineStr">
        <is>
          <t>4</t>
        </is>
      </c>
      <c r="E6809" s="24" t="inlineStr">
        <is>
          <t>陈旧</t>
        </is>
      </c>
    </row>
    <row r="6810" ht="15.95" customHeight="1" s="170">
      <c r="B6810" s="122" t="inlineStr">
        <is>
          <t>码值：EntCertType</t>
        </is>
      </c>
    </row>
    <row r="6811">
      <c r="B6811" s="24" t="inlineStr">
        <is>
          <t>EntCertType</t>
        </is>
      </c>
      <c r="C6811" s="24" t="inlineStr">
        <is>
          <t>企业证件类型</t>
        </is>
      </c>
      <c r="D6811" s="24" t="inlineStr">
        <is>
          <t>Ent01</t>
        </is>
      </c>
      <c r="E6811" s="24" t="inlineStr">
        <is>
          <t>统一社会信用代码</t>
        </is>
      </c>
    </row>
    <row r="6812">
      <c r="B6812" s="24" t="inlineStr">
        <is>
          <t>EntCertType</t>
        </is>
      </c>
      <c r="C6812" s="24" t="inlineStr">
        <is>
          <t>企业证件类型</t>
        </is>
      </c>
      <c r="D6812" s="24" t="inlineStr">
        <is>
          <t>Ent02</t>
        </is>
      </c>
      <c r="E6812" s="24" t="inlineStr">
        <is>
          <t>组织机构代码</t>
        </is>
      </c>
    </row>
    <row r="6813">
      <c r="B6813" s="24" t="inlineStr">
        <is>
          <t>EntCertType</t>
        </is>
      </c>
      <c r="C6813" s="24" t="inlineStr">
        <is>
          <t>企业证件类型</t>
        </is>
      </c>
      <c r="D6813" s="24" t="inlineStr">
        <is>
          <t>Ent03</t>
        </is>
      </c>
      <c r="E6813" s="24" t="inlineStr">
        <is>
          <t>香港注册代码</t>
        </is>
      </c>
    </row>
    <row r="6814">
      <c r="B6814" s="24" t="inlineStr">
        <is>
          <t>EntCertType</t>
        </is>
      </c>
      <c r="C6814" s="24" t="inlineStr">
        <is>
          <t>企业证件类型</t>
        </is>
      </c>
      <c r="D6814" s="24" t="inlineStr">
        <is>
          <t>Ent04</t>
        </is>
      </c>
      <c r="E6814" s="24" t="inlineStr">
        <is>
          <t>澳门注册代码</t>
        </is>
      </c>
    </row>
    <row r="6815">
      <c r="B6815" s="24" t="inlineStr">
        <is>
          <t>EntCertType</t>
        </is>
      </c>
      <c r="C6815" s="24" t="inlineStr">
        <is>
          <t>企业证件类型</t>
        </is>
      </c>
      <c r="D6815" s="24" t="inlineStr">
        <is>
          <t>Ent05</t>
        </is>
      </c>
      <c r="E6815" s="24" t="inlineStr">
        <is>
          <t>台湾注册代码</t>
        </is>
      </c>
    </row>
    <row r="6816">
      <c r="B6816" s="24" t="inlineStr">
        <is>
          <t>EntCertType</t>
        </is>
      </c>
      <c r="C6816" s="24" t="inlineStr">
        <is>
          <t>企业证件类型</t>
        </is>
      </c>
      <c r="D6816" s="24" t="inlineStr">
        <is>
          <t>Ent06</t>
        </is>
      </c>
      <c r="E6816" s="24" t="inlineStr">
        <is>
          <t>境外机构注册代码</t>
        </is>
      </c>
    </row>
    <row r="6817">
      <c r="B6817" s="24" t="inlineStr">
        <is>
          <t>EntCertType</t>
        </is>
      </c>
      <c r="C6817" s="24" t="inlineStr">
        <is>
          <t>企业证件类型</t>
        </is>
      </c>
      <c r="D6817" s="24" t="inlineStr">
        <is>
          <t>Ent07</t>
        </is>
      </c>
      <c r="E6817" s="24" t="inlineStr">
        <is>
          <t>其他</t>
        </is>
      </c>
    </row>
    <row r="6818" ht="15.95" customHeight="1" s="170">
      <c r="B6818" s="122" t="inlineStr">
        <is>
          <t>码值：XQueryListnew</t>
        </is>
      </c>
    </row>
    <row r="6819">
      <c r="B6819" s="24" t="inlineStr">
        <is>
          <t>XQueryListnew</t>
        </is>
      </c>
      <c r="C6819" s="24" t="inlineStr">
        <is>
          <t>灵活统计查询</t>
        </is>
      </c>
      <c r="D6819" s="24" t="inlineStr">
        <is>
          <t>010</t>
        </is>
      </c>
      <c r="E6819" s="24" t="inlineStr">
        <is>
          <t>客户信息查询</t>
        </is>
      </c>
    </row>
    <row r="6820">
      <c r="B6820" s="24" t="inlineStr">
        <is>
          <t>XQueryListnew</t>
        </is>
      </c>
      <c r="C6820" s="24" t="inlineStr">
        <is>
          <t>灵活统计查询</t>
        </is>
      </c>
      <c r="D6820" s="24" t="inlineStr">
        <is>
          <t>010010</t>
        </is>
      </c>
      <c r="E6820" s="24" t="inlineStr">
        <is>
          <t>企业客户查询</t>
        </is>
      </c>
    </row>
    <row r="6821">
      <c r="B6821" s="24" t="inlineStr">
        <is>
          <t>XQueryListnew</t>
        </is>
      </c>
      <c r="C6821" s="24" t="inlineStr">
        <is>
          <t>灵活统计查询</t>
        </is>
      </c>
      <c r="D6821" s="24" t="inlineStr">
        <is>
          <t>010020</t>
        </is>
      </c>
      <c r="E6821" s="24" t="inlineStr">
        <is>
          <t>个人客户查询</t>
        </is>
      </c>
    </row>
    <row r="6822">
      <c r="B6822" s="24" t="inlineStr">
        <is>
          <t>XQueryListnew</t>
        </is>
      </c>
      <c r="C6822" s="24" t="inlineStr">
        <is>
          <t>灵活统计查询</t>
        </is>
      </c>
      <c r="D6822" s="24" t="inlineStr">
        <is>
          <t>020</t>
        </is>
      </c>
      <c r="E6822" s="24" t="inlineStr">
        <is>
          <t>业务信息查询</t>
        </is>
      </c>
    </row>
    <row r="6823">
      <c r="B6823" s="24" t="inlineStr">
        <is>
          <t>XQueryListnew</t>
        </is>
      </c>
      <c r="C6823" s="24" t="inlineStr">
        <is>
          <t>灵活统计查询</t>
        </is>
      </c>
      <c r="D6823" s="24" t="inlineStr">
        <is>
          <t>020010</t>
        </is>
      </c>
      <c r="E6823" s="24" t="inlineStr">
        <is>
          <t>昨日数据查询</t>
        </is>
      </c>
    </row>
    <row r="6824">
      <c r="B6824" s="24" t="inlineStr">
        <is>
          <t>XQueryListnew</t>
        </is>
      </c>
      <c r="C6824" s="24" t="inlineStr">
        <is>
          <t>灵活统计查询</t>
        </is>
      </c>
      <c r="D6824" s="24" t="inlineStr">
        <is>
          <t>020020</t>
        </is>
      </c>
      <c r="E6824" s="24" t="inlineStr">
        <is>
          <t>历史数据查询(月报)</t>
        </is>
      </c>
    </row>
    <row r="6825">
      <c r="B6825" s="24" t="inlineStr">
        <is>
          <t>XQueryListnew</t>
        </is>
      </c>
      <c r="C6825" s="24" t="inlineStr">
        <is>
          <t>灵活统计查询</t>
        </is>
      </c>
      <c r="D6825" s="24" t="inlineStr">
        <is>
          <t>020040</t>
        </is>
      </c>
      <c r="E6825" s="24" t="inlineStr">
        <is>
          <t>业务流水信息</t>
        </is>
      </c>
    </row>
    <row r="6826">
      <c r="B6826" s="24" t="inlineStr">
        <is>
          <t>XQueryListnew</t>
        </is>
      </c>
      <c r="C6826" s="24" t="inlineStr">
        <is>
          <t>灵活统计查询</t>
        </is>
      </c>
      <c r="D6826" s="24" t="inlineStr">
        <is>
          <t>040</t>
        </is>
      </c>
      <c r="E6826" s="24" t="inlineStr">
        <is>
          <t>法律事务查询</t>
        </is>
      </c>
    </row>
    <row r="6827">
      <c r="B6827" s="24" t="inlineStr">
        <is>
          <t>XQueryListnew</t>
        </is>
      </c>
      <c r="C6827" s="24" t="inlineStr">
        <is>
          <t>灵活统计查询</t>
        </is>
      </c>
      <c r="D6827" s="24" t="inlineStr">
        <is>
          <t>040010</t>
        </is>
      </c>
      <c r="E6827" s="24" t="inlineStr">
        <is>
          <t>法律事务基本信息查询</t>
        </is>
      </c>
    </row>
    <row r="6828">
      <c r="B6828" s="24" t="inlineStr">
        <is>
          <t>XQueryListnew</t>
        </is>
      </c>
      <c r="C6828" s="24" t="inlineStr">
        <is>
          <t>灵活统计查询</t>
        </is>
      </c>
      <c r="D6828" s="24" t="inlineStr">
        <is>
          <t>040020</t>
        </is>
      </c>
      <c r="E6828" s="24" t="inlineStr">
        <is>
          <t>法律事务台帐信息查询</t>
        </is>
      </c>
    </row>
    <row r="6829" ht="15.95" customHeight="1" s="170">
      <c r="B6829" s="122" t="inlineStr">
        <is>
          <t>码值：EntAddressType</t>
        </is>
      </c>
    </row>
    <row r="6830">
      <c r="B6830" s="24" t="inlineStr">
        <is>
          <t>EntAddressType</t>
        </is>
      </c>
      <c r="C6830" s="24" t="inlineStr">
        <is>
          <t>公司地址类型</t>
        </is>
      </c>
      <c r="D6830" s="24" t="inlineStr">
        <is>
          <t>EntAddress01</t>
        </is>
      </c>
      <c r="E6830" s="24" t="inlineStr">
        <is>
          <t>注册地址</t>
        </is>
      </c>
    </row>
    <row r="6831">
      <c r="B6831" s="24" t="inlineStr">
        <is>
          <t>EntAddressType</t>
        </is>
      </c>
      <c r="C6831" s="24" t="inlineStr">
        <is>
          <t>公司地址类型</t>
        </is>
      </c>
      <c r="D6831" s="24" t="inlineStr">
        <is>
          <t>EntAddress02</t>
        </is>
      </c>
      <c r="E6831" s="24" t="inlineStr">
        <is>
          <t>经营地址</t>
        </is>
      </c>
    </row>
    <row r="6832">
      <c r="B6832" s="24" t="inlineStr">
        <is>
          <t>EntAddressType</t>
        </is>
      </c>
      <c r="C6832" s="24" t="inlineStr">
        <is>
          <t>公司地址类型</t>
        </is>
      </c>
      <c r="D6832" s="24" t="inlineStr">
        <is>
          <t>EntAddress03</t>
        </is>
      </c>
      <c r="E6832" s="24" t="inlineStr">
        <is>
          <t>其他地址</t>
        </is>
      </c>
    </row>
    <row r="6833" ht="15.95" customHeight="1" s="170">
      <c r="B6833" s="122" t="inlineStr">
        <is>
          <t>码值：GroupRegularCheckMain</t>
        </is>
      </c>
    </row>
    <row r="6834">
      <c r="B6834" s="24" t="inlineStr">
        <is>
          <t>GroupRegularCheckMain</t>
        </is>
      </c>
      <c r="C6834" s="24" t="inlineStr">
        <is>
          <t>集团公司客户贷后检查申请</t>
        </is>
      </c>
      <c r="D6834" s="24" t="inlineStr">
        <is>
          <t>1010</t>
        </is>
      </c>
      <c r="E6834" s="24" t="inlineStr">
        <is>
          <t>待处理</t>
        </is>
      </c>
    </row>
    <row r="6835">
      <c r="B6835" s="24" t="inlineStr">
        <is>
          <t>GroupRegularCheckMain</t>
        </is>
      </c>
      <c r="C6835" s="24" t="inlineStr">
        <is>
          <t>集团公司客户贷后检查申请</t>
        </is>
      </c>
      <c r="D6835" s="24" t="inlineStr">
        <is>
          <t>1020</t>
        </is>
      </c>
      <c r="E6835" s="24" t="inlineStr">
        <is>
          <t>审批中</t>
        </is>
      </c>
    </row>
    <row r="6836">
      <c r="B6836" s="24" t="inlineStr">
        <is>
          <t>GroupRegularCheckMain</t>
        </is>
      </c>
      <c r="C6836" s="24" t="inlineStr">
        <is>
          <t>集团公司客户贷后检查申请</t>
        </is>
      </c>
      <c r="D6836" s="24" t="inlineStr">
        <is>
          <t>1040,1050</t>
        </is>
      </c>
      <c r="E6836" s="24" t="inlineStr">
        <is>
          <t>处理完成</t>
        </is>
      </c>
    </row>
    <row r="6837" ht="15.95" customHeight="1" s="170">
      <c r="B6837" s="122" t="inlineStr">
        <is>
          <t>码值：LMApplyLimitMain</t>
        </is>
      </c>
    </row>
    <row r="6838">
      <c r="B6838" s="24" t="inlineStr">
        <is>
          <t>LMApplyLimitMain</t>
        </is>
      </c>
      <c r="C6838" s="24" t="n"/>
      <c r="D6838" s="24" t="inlineStr">
        <is>
          <t>1010</t>
        </is>
      </c>
      <c r="E6838" s="24" t="inlineStr">
        <is>
          <t>申请阶段1010</t>
        </is>
      </c>
    </row>
    <row r="6839">
      <c r="B6839" s="24" t="inlineStr">
        <is>
          <t>LMApplyLimitMain</t>
        </is>
      </c>
      <c r="C6839" s="24" t="n"/>
      <c r="D6839" s="24" t="inlineStr">
        <is>
          <t>1020</t>
        </is>
      </c>
      <c r="E6839" s="24" t="inlineStr">
        <is>
          <t>申请阶段1020</t>
        </is>
      </c>
    </row>
    <row r="6840">
      <c r="B6840" s="24" t="inlineStr">
        <is>
          <t>LMApplyLimitMain</t>
        </is>
      </c>
      <c r="C6840" s="24" t="n"/>
      <c r="D6840" s="24" t="inlineStr">
        <is>
          <t>1030</t>
        </is>
      </c>
      <c r="E6840" s="24" t="inlineStr">
        <is>
          <t>申请阶段1030</t>
        </is>
      </c>
    </row>
    <row r="6841">
      <c r="B6841" s="24" t="inlineStr">
        <is>
          <t>LMApplyLimitMain</t>
        </is>
      </c>
      <c r="C6841" s="24" t="n"/>
      <c r="D6841" s="24" t="inlineStr">
        <is>
          <t>1040</t>
        </is>
      </c>
      <c r="E6841" s="24" t="inlineStr">
        <is>
          <t>申请阶段1040</t>
        </is>
      </c>
    </row>
    <row r="6842">
      <c r="B6842" s="24" t="inlineStr">
        <is>
          <t>LMApplyLimitMain</t>
        </is>
      </c>
      <c r="C6842" s="24" t="n"/>
      <c r="D6842" s="24" t="inlineStr">
        <is>
          <t>1050</t>
        </is>
      </c>
      <c r="E6842" s="24" t="inlineStr">
        <is>
          <t>申请阶段1050</t>
        </is>
      </c>
    </row>
    <row r="6843" ht="15.95" customHeight="1" s="170">
      <c r="B6843" s="122" t="inlineStr">
        <is>
          <t>码值：ReportScope</t>
        </is>
      </c>
    </row>
    <row r="6844">
      <c r="B6844" s="24" t="inlineStr">
        <is>
          <t>ReportScope</t>
        </is>
      </c>
      <c r="C6844" s="24" t="inlineStr">
        <is>
          <t>报表口径</t>
        </is>
      </c>
      <c r="D6844" s="24" t="inlineStr">
        <is>
          <t>Consolidated</t>
        </is>
      </c>
      <c r="E6844" s="24" t="inlineStr">
        <is>
          <t>合并</t>
        </is>
      </c>
    </row>
    <row r="6845">
      <c r="B6845" s="24" t="inlineStr">
        <is>
          <t>ReportScope</t>
        </is>
      </c>
      <c r="C6845" s="24" t="inlineStr">
        <is>
          <t>报表口径</t>
        </is>
      </c>
      <c r="D6845" s="24" t="inlineStr">
        <is>
          <t>Headquarters</t>
        </is>
      </c>
      <c r="E6845" s="24" t="inlineStr">
        <is>
          <t>本部</t>
        </is>
      </c>
    </row>
    <row r="6846">
      <c r="B6846" s="24" t="inlineStr">
        <is>
          <t>ReportScope</t>
        </is>
      </c>
      <c r="C6846" s="24" t="inlineStr">
        <is>
          <t>报表口径</t>
        </is>
      </c>
      <c r="D6846" s="24" t="inlineStr">
        <is>
          <t>Uniformed</t>
        </is>
      </c>
      <c r="E6846" s="24" t="inlineStr">
        <is>
          <t>汇总</t>
        </is>
      </c>
    </row>
    <row r="6847" ht="15.95" customHeight="1" s="170">
      <c r="B6847" s="122" t="inlineStr">
        <is>
          <t>码值：SMECreditLeLevel</t>
        </is>
      </c>
    </row>
    <row r="6848">
      <c r="B6848" s="24" t="inlineStr">
        <is>
          <t>SMECreditLeLevel</t>
        </is>
      </c>
      <c r="C6848" s="24" t="inlineStr">
        <is>
          <t>文化水平</t>
        </is>
      </c>
      <c r="D6848" s="24" t="inlineStr">
        <is>
          <t>01</t>
        </is>
      </c>
      <c r="E6848" s="24" t="inlineStr">
        <is>
          <t>初中</t>
        </is>
      </c>
    </row>
    <row r="6849">
      <c r="B6849" s="24" t="inlineStr">
        <is>
          <t>SMECreditLeLevel</t>
        </is>
      </c>
      <c r="C6849" s="24" t="inlineStr">
        <is>
          <t>文化水平</t>
        </is>
      </c>
      <c r="D6849" s="24" t="inlineStr">
        <is>
          <t>02</t>
        </is>
      </c>
      <c r="E6849" s="24" t="inlineStr">
        <is>
          <t>高中</t>
        </is>
      </c>
    </row>
    <row r="6850">
      <c r="B6850" s="24" t="inlineStr">
        <is>
          <t>SMECreditLeLevel</t>
        </is>
      </c>
      <c r="C6850" s="24" t="inlineStr">
        <is>
          <t>文化水平</t>
        </is>
      </c>
      <c r="D6850" s="24" t="inlineStr">
        <is>
          <t>03</t>
        </is>
      </c>
      <c r="E6850" s="24" t="inlineStr">
        <is>
          <t>大专</t>
        </is>
      </c>
    </row>
    <row r="6851">
      <c r="B6851" s="24" t="inlineStr">
        <is>
          <t>SMECreditLeLevel</t>
        </is>
      </c>
      <c r="C6851" s="24" t="inlineStr">
        <is>
          <t>文化水平</t>
        </is>
      </c>
      <c r="D6851" s="24" t="inlineStr">
        <is>
          <t>04</t>
        </is>
      </c>
      <c r="E6851" s="24" t="inlineStr">
        <is>
          <t>本科及以上</t>
        </is>
      </c>
    </row>
    <row r="6852" ht="15.95" customHeight="1" s="170">
      <c r="B6852" s="122" t="inlineStr">
        <is>
          <t>码值：CustomerDetail</t>
        </is>
      </c>
    </row>
    <row r="6853">
      <c r="B6853" s="24" t="inlineStr">
        <is>
          <t>CustomerDetail</t>
        </is>
      </c>
      <c r="C6853" s="24" t="inlineStr">
        <is>
          <t>信用等级评估统一导入</t>
        </is>
      </c>
      <c r="D6853" s="24" t="inlineStr">
        <is>
          <t>01</t>
        </is>
      </c>
      <c r="E6853" s="24" t="inlineStr">
        <is>
          <t>项目预期服务对象范围很广（大于五个省）</t>
        </is>
      </c>
    </row>
    <row r="6854">
      <c r="B6854" s="24" t="inlineStr">
        <is>
          <t>CustomerDetail</t>
        </is>
      </c>
      <c r="C6854" s="24" t="inlineStr">
        <is>
          <t>信用等级评估统一导入</t>
        </is>
      </c>
      <c r="D6854" s="24" t="inlineStr">
        <is>
          <t>02</t>
        </is>
      </c>
      <c r="E6854" s="24" t="inlineStr">
        <is>
          <t>项目预期服务对象范围广（大于三个省）</t>
        </is>
      </c>
    </row>
    <row r="6855">
      <c r="B6855" s="24" t="inlineStr">
        <is>
          <t>CustomerDetail</t>
        </is>
      </c>
      <c r="C6855" s="24" t="inlineStr">
        <is>
          <t>信用等级评估统一导入</t>
        </is>
      </c>
      <c r="D6855" s="24" t="inlineStr">
        <is>
          <t>03</t>
        </is>
      </c>
      <c r="E6855" s="24" t="inlineStr">
        <is>
          <t>项目预期服务对象范围一般（大于一个省）</t>
        </is>
      </c>
    </row>
    <row r="6856">
      <c r="B6856" s="24" t="inlineStr">
        <is>
          <t>CustomerDetail</t>
        </is>
      </c>
      <c r="C6856" s="24" t="inlineStr">
        <is>
          <t>信用等级评估统一导入</t>
        </is>
      </c>
      <c r="D6856" s="24" t="inlineStr">
        <is>
          <t>04</t>
        </is>
      </c>
      <c r="E6856" s="24" t="inlineStr">
        <is>
          <t>项目预期服务对象范围在一个省内</t>
        </is>
      </c>
    </row>
    <row r="6857">
      <c r="B6857" s="24" t="inlineStr">
        <is>
          <t>CustomerDetail</t>
        </is>
      </c>
      <c r="C6857" s="24" t="inlineStr">
        <is>
          <t>信用等级评估统一导入</t>
        </is>
      </c>
      <c r="D6857" s="24" t="inlineStr">
        <is>
          <t>05</t>
        </is>
      </c>
      <c r="E6857" s="24" t="inlineStr">
        <is>
          <t>项目预期服务对象范围在一个地级市之内</t>
        </is>
      </c>
    </row>
    <row r="6858" ht="15.95" customHeight="1" s="170">
      <c r="B6858" s="122" t="inlineStr">
        <is>
          <t>码值：GroupFlag</t>
        </is>
      </c>
    </row>
    <row r="6859">
      <c r="B6859" s="24" t="inlineStr">
        <is>
          <t>GroupFlag</t>
        </is>
      </c>
      <c r="C6859" s="24" t="inlineStr">
        <is>
          <t>联保体客户类型</t>
        </is>
      </c>
      <c r="D6859" s="24" t="inlineStr">
        <is>
          <t>10</t>
        </is>
      </c>
      <c r="E6859" s="24" t="inlineStr">
        <is>
          <t>生效</t>
        </is>
      </c>
    </row>
    <row r="6860">
      <c r="B6860" s="24" t="inlineStr">
        <is>
          <t>GroupFlag</t>
        </is>
      </c>
      <c r="C6860" s="24" t="inlineStr">
        <is>
          <t>联保体客户类型</t>
        </is>
      </c>
      <c r="D6860" s="24" t="inlineStr">
        <is>
          <t>20</t>
        </is>
      </c>
      <c r="E6860" s="24" t="inlineStr">
        <is>
          <t>失效</t>
        </is>
      </c>
    </row>
    <row r="6861">
      <c r="B6861" s="24" t="inlineStr">
        <is>
          <t>GroupFlag</t>
        </is>
      </c>
      <c r="C6861" s="24" t="inlineStr">
        <is>
          <t>联保体客户类型</t>
        </is>
      </c>
      <c r="D6861" s="24" t="inlineStr">
        <is>
          <t>30</t>
        </is>
      </c>
      <c r="E6861" s="24" t="inlineStr">
        <is>
          <t>待生效</t>
        </is>
      </c>
    </row>
    <row r="6862" ht="15.95" customHeight="1" s="170">
      <c r="B6862" s="122" t="inlineStr">
        <is>
          <t>码值：IPOAddress</t>
        </is>
      </c>
    </row>
    <row r="6863">
      <c r="B6863" s="24" t="inlineStr">
        <is>
          <t>IPOAddress</t>
        </is>
      </c>
      <c r="C6863" s="24" t="n"/>
      <c r="D6863" s="24" t="inlineStr">
        <is>
          <t>01</t>
        </is>
      </c>
      <c r="E6863" s="24" t="inlineStr">
        <is>
          <t>上海</t>
        </is>
      </c>
    </row>
    <row r="6864">
      <c r="B6864" s="24" t="inlineStr">
        <is>
          <t>IPOAddress</t>
        </is>
      </c>
      <c r="C6864" s="24" t="n"/>
      <c r="D6864" s="24" t="inlineStr">
        <is>
          <t>02</t>
        </is>
      </c>
      <c r="E6864" s="24" t="inlineStr">
        <is>
          <t>深圳</t>
        </is>
      </c>
    </row>
    <row r="6865">
      <c r="B6865" s="24" t="inlineStr">
        <is>
          <t>IPOAddress</t>
        </is>
      </c>
      <c r="C6865" s="24" t="n"/>
      <c r="D6865" s="24" t="inlineStr">
        <is>
          <t>03</t>
        </is>
      </c>
      <c r="E6865" s="24" t="inlineStr">
        <is>
          <t>香港</t>
        </is>
      </c>
    </row>
    <row r="6866">
      <c r="B6866" s="24" t="inlineStr">
        <is>
          <t>IPOAddress</t>
        </is>
      </c>
      <c r="C6866" s="24" t="n"/>
      <c r="D6866" s="24" t="inlineStr">
        <is>
          <t>04</t>
        </is>
      </c>
      <c r="E6866" s="24" t="inlineStr">
        <is>
          <t>新加坡</t>
        </is>
      </c>
    </row>
    <row r="6867">
      <c r="B6867" s="24" t="inlineStr">
        <is>
          <t>IPOAddress</t>
        </is>
      </c>
      <c r="C6867" s="24" t="n"/>
      <c r="D6867" s="24" t="inlineStr">
        <is>
          <t>05</t>
        </is>
      </c>
      <c r="E6867" s="24" t="inlineStr">
        <is>
          <t>伦敦</t>
        </is>
      </c>
    </row>
    <row r="6868">
      <c r="B6868" s="24" t="inlineStr">
        <is>
          <t>IPOAddress</t>
        </is>
      </c>
      <c r="C6868" s="24" t="n"/>
      <c r="D6868" s="24" t="inlineStr">
        <is>
          <t>06</t>
        </is>
      </c>
      <c r="E6868" s="24" t="inlineStr">
        <is>
          <t>纽约</t>
        </is>
      </c>
    </row>
    <row r="6869">
      <c r="B6869" s="24" t="inlineStr">
        <is>
          <t>IPOAddress</t>
        </is>
      </c>
      <c r="C6869" s="24" t="n"/>
      <c r="D6869" s="24" t="inlineStr">
        <is>
          <t>07</t>
        </is>
      </c>
      <c r="E6869" s="24" t="inlineStr">
        <is>
          <t>东京</t>
        </is>
      </c>
    </row>
    <row r="6870">
      <c r="B6870" s="24" t="inlineStr">
        <is>
          <t>IPOAddress</t>
        </is>
      </c>
      <c r="C6870" s="24" t="n"/>
      <c r="D6870" s="24" t="inlineStr">
        <is>
          <t>99</t>
        </is>
      </c>
      <c r="E6870" s="24" t="inlineStr">
        <is>
          <t>其他</t>
        </is>
      </c>
    </row>
    <row r="6871" ht="15.95" customHeight="1" s="170">
      <c r="B6871" s="122" t="inlineStr">
        <is>
          <t>码值：Nationality</t>
        </is>
      </c>
    </row>
    <row r="6872">
      <c r="B6872" s="24" t="inlineStr">
        <is>
          <t>Nationality</t>
        </is>
      </c>
      <c r="C6872" s="24" t="inlineStr">
        <is>
          <t>民族</t>
        </is>
      </c>
      <c r="D6872" s="24" t="inlineStr">
        <is>
          <t>01</t>
        </is>
      </c>
      <c r="E6872" s="24" t="inlineStr">
        <is>
          <t>汉</t>
        </is>
      </c>
    </row>
    <row r="6873">
      <c r="B6873" s="24" t="inlineStr">
        <is>
          <t>Nationality</t>
        </is>
      </c>
      <c r="C6873" s="24" t="inlineStr">
        <is>
          <t>民族</t>
        </is>
      </c>
      <c r="D6873" s="24" t="inlineStr">
        <is>
          <t>02</t>
        </is>
      </c>
      <c r="E6873" s="24" t="inlineStr">
        <is>
          <t>其他少数民族</t>
        </is>
      </c>
    </row>
    <row r="6874" ht="15.95" customHeight="1" s="170">
      <c r="B6874" s="122" t="inlineStr">
        <is>
          <t>码值：AccountReceivableRisk</t>
        </is>
      </c>
    </row>
    <row r="6875">
      <c r="B6875" s="24" t="inlineStr">
        <is>
          <t>AccountReceivableRisk</t>
        </is>
      </c>
      <c r="C6875" s="24" t="inlineStr">
        <is>
          <t>应收帐款风险</t>
        </is>
      </c>
      <c r="D6875" s="24" t="inlineStr">
        <is>
          <t>01</t>
        </is>
      </c>
      <c r="E6875" s="24" t="inlineStr">
        <is>
          <t>超过180天的应收账款余额占应收账款比例小于10%</t>
        </is>
      </c>
    </row>
    <row r="6876">
      <c r="B6876" s="24" t="inlineStr">
        <is>
          <t>AccountReceivableRisk</t>
        </is>
      </c>
      <c r="C6876" s="24" t="inlineStr">
        <is>
          <t>应收帐款风险</t>
        </is>
      </c>
      <c r="D6876" s="24" t="inlineStr">
        <is>
          <t>02</t>
        </is>
      </c>
      <c r="E6876" s="24" t="inlineStr">
        <is>
          <t>超过180天的应收账款余额占应收账款比例小于30%</t>
        </is>
      </c>
    </row>
    <row r="6877">
      <c r="B6877" s="24" t="inlineStr">
        <is>
          <t>AccountReceivableRisk</t>
        </is>
      </c>
      <c r="C6877" s="24" t="inlineStr">
        <is>
          <t>应收帐款风险</t>
        </is>
      </c>
      <c r="D6877" s="24" t="inlineStr">
        <is>
          <t>03</t>
        </is>
      </c>
      <c r="E6877" s="24" t="inlineStr">
        <is>
          <t>超过180天的应收账款余额占应收账款比例小于50%</t>
        </is>
      </c>
    </row>
    <row r="6878">
      <c r="B6878" s="24" t="inlineStr">
        <is>
          <t>AccountReceivableRisk</t>
        </is>
      </c>
      <c r="C6878" s="24" t="inlineStr">
        <is>
          <t>应收帐款风险</t>
        </is>
      </c>
      <c r="D6878" s="24" t="inlineStr">
        <is>
          <t>04</t>
        </is>
      </c>
      <c r="E6878" s="24" t="inlineStr">
        <is>
          <t>超过360天的应收账款余额占应收账款比例小于30%</t>
        </is>
      </c>
    </row>
    <row r="6879">
      <c r="B6879" s="24" t="inlineStr">
        <is>
          <t>AccountReceivableRisk</t>
        </is>
      </c>
      <c r="C6879" s="24" t="inlineStr">
        <is>
          <t>应收帐款风险</t>
        </is>
      </c>
      <c r="D6879" s="24" t="inlineStr">
        <is>
          <t>05</t>
        </is>
      </c>
      <c r="E6879" s="24" t="inlineStr">
        <is>
          <t>超过360天的应收账款余额占应收账款比例小于50%</t>
        </is>
      </c>
    </row>
    <row r="6880" ht="15.95" customHeight="1" s="170">
      <c r="B6880" s="122" t="inlineStr">
        <is>
          <t>码值：企业持续经营年限</t>
        </is>
      </c>
    </row>
    <row r="6881">
      <c r="B6881" s="24" t="inlineStr">
        <is>
          <t>企业持续经营年限</t>
        </is>
      </c>
      <c r="C6881" s="24" t="inlineStr">
        <is>
          <t>企业持续经营年限</t>
        </is>
      </c>
      <c r="D6881" s="24" t="inlineStr">
        <is>
          <t>1</t>
        </is>
      </c>
      <c r="E6881" s="24" t="inlineStr">
        <is>
          <t>5年以上</t>
        </is>
      </c>
    </row>
    <row r="6882">
      <c r="B6882" s="24" t="inlineStr">
        <is>
          <t>企业持续经营年限</t>
        </is>
      </c>
      <c r="C6882" s="24" t="inlineStr">
        <is>
          <t>企业持续经营年限</t>
        </is>
      </c>
      <c r="D6882" s="24" t="inlineStr">
        <is>
          <t>2</t>
        </is>
      </c>
      <c r="E6882" s="24" t="inlineStr">
        <is>
          <t>3-5年(含)</t>
        </is>
      </c>
    </row>
    <row r="6883">
      <c r="B6883" s="24" t="inlineStr">
        <is>
          <t>企业持续经营年限</t>
        </is>
      </c>
      <c r="C6883" s="24" t="inlineStr">
        <is>
          <t>企业持续经营年限</t>
        </is>
      </c>
      <c r="D6883" s="24" t="inlineStr">
        <is>
          <t>3</t>
        </is>
      </c>
      <c r="E6883" s="24" t="inlineStr">
        <is>
          <t>1-3年(含)</t>
        </is>
      </c>
    </row>
    <row r="6884">
      <c r="B6884" s="24" t="inlineStr">
        <is>
          <t>企业持续经营年限</t>
        </is>
      </c>
      <c r="C6884" s="24" t="inlineStr">
        <is>
          <t>企业持续经营年限</t>
        </is>
      </c>
      <c r="D6884" s="24" t="inlineStr">
        <is>
          <t>4</t>
        </is>
      </c>
      <c r="E6884" s="24" t="inlineStr">
        <is>
          <t>1年（含)以下</t>
        </is>
      </c>
    </row>
    <row r="6885" ht="15.95" customHeight="1" s="170">
      <c r="B6885" s="122" t="inlineStr">
        <is>
          <t>码值：StructureType</t>
        </is>
      </c>
    </row>
    <row r="6886">
      <c r="B6886" s="24" t="inlineStr">
        <is>
          <t>StructureType</t>
        </is>
      </c>
      <c r="C6886" s="24" t="inlineStr">
        <is>
          <t>建筑形式</t>
        </is>
      </c>
      <c r="D6886" s="24" t="inlineStr">
        <is>
          <t>01</t>
        </is>
      </c>
      <c r="E6886" s="24" t="inlineStr">
        <is>
          <t>高层塔楼</t>
        </is>
      </c>
    </row>
    <row r="6887">
      <c r="B6887" s="24" t="inlineStr">
        <is>
          <t>StructureType</t>
        </is>
      </c>
      <c r="C6887" s="24" t="inlineStr">
        <is>
          <t>建筑形式</t>
        </is>
      </c>
      <c r="D6887" s="24" t="inlineStr">
        <is>
          <t>02</t>
        </is>
      </c>
      <c r="E6887" s="24" t="inlineStr">
        <is>
          <t>高层板楼</t>
        </is>
      </c>
    </row>
    <row r="6888">
      <c r="B6888" s="24" t="inlineStr">
        <is>
          <t>StructureType</t>
        </is>
      </c>
      <c r="C6888" s="24" t="inlineStr">
        <is>
          <t>建筑形式</t>
        </is>
      </c>
      <c r="D6888" s="24" t="inlineStr">
        <is>
          <t>03</t>
        </is>
      </c>
      <c r="E6888" s="24" t="inlineStr">
        <is>
          <t>小高层板楼</t>
        </is>
      </c>
    </row>
    <row r="6889">
      <c r="B6889" s="24" t="inlineStr">
        <is>
          <t>StructureType</t>
        </is>
      </c>
      <c r="C6889" s="24" t="inlineStr">
        <is>
          <t>建筑形式</t>
        </is>
      </c>
      <c r="D6889" s="24" t="inlineStr">
        <is>
          <t>04</t>
        </is>
      </c>
      <c r="E6889" s="24" t="inlineStr">
        <is>
          <t>多层板楼</t>
        </is>
      </c>
    </row>
    <row r="6890">
      <c r="B6890" s="24" t="inlineStr">
        <is>
          <t>StructureType</t>
        </is>
      </c>
      <c r="C6890" s="24" t="inlineStr">
        <is>
          <t>建筑形式</t>
        </is>
      </c>
      <c r="D6890" s="24" t="inlineStr">
        <is>
          <t>05</t>
        </is>
      </c>
      <c r="E6890" s="24" t="inlineStr">
        <is>
          <t>独栋别墅</t>
        </is>
      </c>
    </row>
    <row r="6891">
      <c r="B6891" s="24" t="inlineStr">
        <is>
          <t>StructureType</t>
        </is>
      </c>
      <c r="C6891" s="24" t="inlineStr">
        <is>
          <t>建筑形式</t>
        </is>
      </c>
      <c r="D6891" s="24" t="inlineStr">
        <is>
          <t>06</t>
        </is>
      </c>
      <c r="E6891" s="24" t="inlineStr">
        <is>
          <t>联排别墅</t>
        </is>
      </c>
    </row>
    <row r="6892">
      <c r="B6892" s="24" t="inlineStr">
        <is>
          <t>StructureType</t>
        </is>
      </c>
      <c r="C6892" s="24" t="inlineStr">
        <is>
          <t>建筑形式</t>
        </is>
      </c>
      <c r="D6892" s="24" t="inlineStr">
        <is>
          <t>07</t>
        </is>
      </c>
      <c r="E6892" s="24" t="inlineStr">
        <is>
          <t>叠拼别墅</t>
        </is>
      </c>
    </row>
    <row r="6893">
      <c r="B6893" s="24" t="inlineStr">
        <is>
          <t>StructureType</t>
        </is>
      </c>
      <c r="C6893" s="24" t="inlineStr">
        <is>
          <t>建筑形式</t>
        </is>
      </c>
      <c r="D6893" s="24" t="inlineStr">
        <is>
          <t>90</t>
        </is>
      </c>
      <c r="E6893" s="24" t="inlineStr">
        <is>
          <t>其他建筑形式</t>
        </is>
      </c>
    </row>
    <row r="6894" ht="15.95" customHeight="1" s="170">
      <c r="B6894" s="122" t="inlineStr">
        <is>
          <t>码值：ClrInfoApplyView</t>
        </is>
      </c>
    </row>
    <row r="6895">
      <c r="B6895" s="24" t="inlineStr">
        <is>
          <t>ClrInfoApplyView</t>
        </is>
      </c>
      <c r="C6895" s="24" t="inlineStr">
        <is>
          <t>押品申请详情树图</t>
        </is>
      </c>
      <c r="D6895" s="24" t="inlineStr">
        <is>
          <t>010</t>
        </is>
      </c>
      <c r="E6895" s="24" t="inlineStr">
        <is>
          <t>押品基本信息</t>
        </is>
      </c>
    </row>
    <row r="6896">
      <c r="B6896" s="24" t="inlineStr">
        <is>
          <t>ClrInfoApplyView</t>
        </is>
      </c>
      <c r="C6896" s="24" t="inlineStr">
        <is>
          <t>押品申请详情树图</t>
        </is>
      </c>
      <c r="D6896" s="24" t="inlineStr">
        <is>
          <t>010010</t>
        </is>
      </c>
      <c r="E6896" s="24" t="inlineStr">
        <is>
          <t>基本信息</t>
        </is>
      </c>
    </row>
    <row r="6897">
      <c r="B6897" s="24" t="inlineStr">
        <is>
          <t>ClrInfoApplyView</t>
        </is>
      </c>
      <c r="C6897" s="24" t="inlineStr">
        <is>
          <t>押品申请详情树图</t>
        </is>
      </c>
      <c r="D6897" s="24" t="inlineStr">
        <is>
          <t>010020</t>
        </is>
      </c>
      <c r="E6897" s="24" t="inlineStr">
        <is>
          <t>权属人信息</t>
        </is>
      </c>
    </row>
    <row r="6898">
      <c r="B6898" s="24" t="inlineStr">
        <is>
          <t>ClrInfoApplyView</t>
        </is>
      </c>
      <c r="C6898" s="24" t="inlineStr">
        <is>
          <t>押品申请详情树图</t>
        </is>
      </c>
      <c r="D6898" s="24" t="inlineStr">
        <is>
          <t>010030</t>
        </is>
      </c>
      <c r="E6898" s="24" t="inlineStr">
        <is>
          <t>保险信息</t>
        </is>
      </c>
    </row>
    <row r="6899">
      <c r="B6899" s="24" t="inlineStr">
        <is>
          <t>ClrInfoApplyView</t>
        </is>
      </c>
      <c r="C6899" s="24" t="inlineStr">
        <is>
          <t>押品申请详情树图</t>
        </is>
      </c>
      <c r="D6899" s="24" t="inlineStr">
        <is>
          <t>010040</t>
        </is>
      </c>
      <c r="E6899" s="24" t="inlineStr">
        <is>
          <t>合格性信息</t>
        </is>
      </c>
    </row>
    <row r="6900">
      <c r="B6900" s="24" t="inlineStr">
        <is>
          <t>ClrInfoApplyView</t>
        </is>
      </c>
      <c r="C6900" s="24" t="inlineStr">
        <is>
          <t>押品申请详情树图</t>
        </is>
      </c>
      <c r="D6900" s="24" t="inlineStr">
        <is>
          <t>020</t>
        </is>
      </c>
      <c r="E6900" s="24" t="inlineStr">
        <is>
          <t>关联信息</t>
        </is>
      </c>
    </row>
    <row r="6901">
      <c r="B6901" s="24" t="inlineStr">
        <is>
          <t>ClrInfoApplyView</t>
        </is>
      </c>
      <c r="C6901" s="24" t="inlineStr">
        <is>
          <t>押品申请详情树图</t>
        </is>
      </c>
      <c r="D6901" s="24" t="inlineStr">
        <is>
          <t>020010</t>
        </is>
      </c>
      <c r="E6901" s="24" t="inlineStr">
        <is>
          <t>关联担保信息</t>
        </is>
      </c>
    </row>
    <row r="6902">
      <c r="B6902" s="24" t="inlineStr">
        <is>
          <t>ClrInfoApplyView</t>
        </is>
      </c>
      <c r="C6902" s="24" t="inlineStr">
        <is>
          <t>押品申请详情树图</t>
        </is>
      </c>
      <c r="D6902" s="24" t="inlineStr">
        <is>
          <t>020020</t>
        </is>
      </c>
      <c r="E6902" s="24" t="inlineStr">
        <is>
          <t>关联业务信息</t>
        </is>
      </c>
    </row>
    <row r="6903">
      <c r="B6903" s="24" t="inlineStr">
        <is>
          <t>ClrInfoApplyView</t>
        </is>
      </c>
      <c r="C6903" s="24" t="inlineStr">
        <is>
          <t>押品申请详情树图</t>
        </is>
      </c>
      <c r="D6903" s="24" t="inlineStr">
        <is>
          <t>030</t>
        </is>
      </c>
      <c r="E6903" s="24" t="inlineStr">
        <is>
          <t>押品处置信息</t>
        </is>
      </c>
    </row>
    <row r="6904" ht="15.95" customHeight="1" s="170">
      <c r="B6904" s="122" t="inlineStr">
        <is>
          <t>码值：CheckTarget</t>
        </is>
      </c>
    </row>
    <row r="6905">
      <c r="B6905" s="24" t="inlineStr">
        <is>
          <t>CheckTarget</t>
        </is>
      </c>
      <c r="C6905" s="24" t="inlineStr">
        <is>
          <t>检查对象</t>
        </is>
      </c>
      <c r="D6905" s="24" t="inlineStr">
        <is>
          <t>Ent</t>
        </is>
      </c>
      <c r="E6905" s="24" t="inlineStr">
        <is>
          <t>公司客户</t>
        </is>
      </c>
    </row>
    <row r="6906">
      <c r="B6906" s="24" t="inlineStr">
        <is>
          <t>CheckTarget</t>
        </is>
      </c>
      <c r="C6906" s="24" t="inlineStr">
        <is>
          <t>检查对象</t>
        </is>
      </c>
      <c r="D6906" s="24" t="inlineStr">
        <is>
          <t>Group</t>
        </is>
      </c>
      <c r="E6906" s="24" t="inlineStr">
        <is>
          <t>集团客户</t>
        </is>
      </c>
    </row>
    <row r="6907">
      <c r="B6907" s="24" t="inlineStr">
        <is>
          <t>CheckTarget</t>
        </is>
      </c>
      <c r="C6907" s="24" t="inlineStr">
        <is>
          <t>检查对象</t>
        </is>
      </c>
      <c r="D6907" s="24" t="inlineStr">
        <is>
          <t>Guarantor</t>
        </is>
      </c>
      <c r="E6907" s="24" t="inlineStr">
        <is>
          <t>担保公司</t>
        </is>
      </c>
    </row>
    <row r="6908">
      <c r="B6908" s="24" t="inlineStr">
        <is>
          <t>CheckTarget</t>
        </is>
      </c>
      <c r="C6908" s="24" t="inlineStr">
        <is>
          <t>检查对象</t>
        </is>
      </c>
      <c r="D6908" s="24" t="inlineStr">
        <is>
          <t>Ind</t>
        </is>
      </c>
      <c r="E6908" s="24" t="inlineStr">
        <is>
          <t>个人客户</t>
        </is>
      </c>
    </row>
    <row r="6909">
      <c r="B6909" s="24" t="inlineStr">
        <is>
          <t>CheckTarget</t>
        </is>
      </c>
      <c r="C6909" s="24" t="inlineStr">
        <is>
          <t>检查对象</t>
        </is>
      </c>
      <c r="D6909" s="24" t="inlineStr">
        <is>
          <t>Project</t>
        </is>
      </c>
      <c r="E6909" s="24" t="inlineStr">
        <is>
          <t>合作项目</t>
        </is>
      </c>
    </row>
    <row r="6910" ht="15.95" customHeight="1" s="170">
      <c r="B6910" s="122" t="inlineStr">
        <is>
          <t>码值：FlowType</t>
        </is>
      </c>
    </row>
    <row r="6911">
      <c r="B6911" s="24" t="inlineStr">
        <is>
          <t>FlowType</t>
        </is>
      </c>
      <c r="C6911" s="24" t="inlineStr">
        <is>
          <t>授信管理</t>
        </is>
      </c>
      <c r="D6911" s="24" t="inlineStr">
        <is>
          <t>CreditApplyGroupClFlow</t>
        </is>
      </c>
      <c r="E6911" s="24" t="inlineStr">
        <is>
          <t>集团授信申请流程</t>
        </is>
      </c>
    </row>
    <row r="6912">
      <c r="B6912" s="24" t="inlineStr">
        <is>
          <t>FlowType</t>
        </is>
      </c>
      <c r="C6912" s="24" t="inlineStr">
        <is>
          <t>授信管理</t>
        </is>
      </c>
      <c r="D6912" s="24" t="inlineStr">
        <is>
          <t>CreditLimitFlow</t>
        </is>
      </c>
      <c r="E6912" s="24" t="inlineStr">
        <is>
          <t>公司单一授信额度流程</t>
        </is>
      </c>
    </row>
    <row r="6913">
      <c r="B6913" s="24" t="inlineStr">
        <is>
          <t>FlowType</t>
        </is>
      </c>
      <c r="C6913" s="24" t="inlineStr">
        <is>
          <t>授信管理</t>
        </is>
      </c>
      <c r="D6913" s="24" t="inlineStr">
        <is>
          <t>CreditSingleFlow</t>
        </is>
      </c>
      <c r="E6913" s="24" t="inlineStr">
        <is>
          <t>公司单笔授信流程</t>
        </is>
      </c>
    </row>
    <row r="6914">
      <c r="B6914" s="24" t="inlineStr">
        <is>
          <t>FlowType</t>
        </is>
      </c>
      <c r="C6914" s="24" t="inlineStr">
        <is>
          <t>授信管理</t>
        </is>
      </c>
      <c r="D6914" s="24" t="inlineStr">
        <is>
          <t>CreditSingleUnderFlow</t>
        </is>
      </c>
      <c r="E6914" s="24" t="inlineStr">
        <is>
          <t>公司额度项下授信流程</t>
        </is>
      </c>
    </row>
    <row r="6915" ht="15.95" customHeight="1" s="170">
      <c r="B6915" s="122" t="inlineStr">
        <is>
          <t>码值：FitmentStatus</t>
        </is>
      </c>
    </row>
    <row r="6916">
      <c r="B6916" s="24" t="inlineStr">
        <is>
          <t>FitmentStatus</t>
        </is>
      </c>
      <c r="C6916" s="24" t="inlineStr">
        <is>
          <t>装修情况</t>
        </is>
      </c>
      <c r="D6916" s="24" t="inlineStr">
        <is>
          <t>01</t>
        </is>
      </c>
      <c r="E6916" s="24" t="inlineStr">
        <is>
          <t>精装</t>
        </is>
      </c>
    </row>
    <row r="6917">
      <c r="B6917" s="24" t="inlineStr">
        <is>
          <t>FitmentStatus</t>
        </is>
      </c>
      <c r="C6917" s="24" t="inlineStr">
        <is>
          <t>装修情况</t>
        </is>
      </c>
      <c r="D6917" s="24" t="inlineStr">
        <is>
          <t>02</t>
        </is>
      </c>
      <c r="E6917" s="24" t="inlineStr">
        <is>
          <t>简装</t>
        </is>
      </c>
    </row>
    <row r="6918">
      <c r="B6918" s="24" t="inlineStr">
        <is>
          <t>FitmentStatus</t>
        </is>
      </c>
      <c r="C6918" s="24" t="inlineStr">
        <is>
          <t>装修情况</t>
        </is>
      </c>
      <c r="D6918" s="24" t="inlineStr">
        <is>
          <t>03</t>
        </is>
      </c>
      <c r="E6918" s="24" t="inlineStr">
        <is>
          <t>无</t>
        </is>
      </c>
    </row>
    <row r="6919" ht="15.95" customHeight="1" s="170">
      <c r="B6919" s="122" t="inlineStr">
        <is>
          <t>码值：SMECreditSpeed</t>
        </is>
      </c>
    </row>
    <row r="6920">
      <c r="B6920" s="24" t="inlineStr">
        <is>
          <t>SMECreditSpeed</t>
        </is>
      </c>
      <c r="C6920" s="24" t="inlineStr">
        <is>
          <t>存货周转速度</t>
        </is>
      </c>
      <c r="D6920" s="24" t="inlineStr">
        <is>
          <t>010</t>
        </is>
      </c>
      <c r="E6920" s="24" t="inlineStr">
        <is>
          <t>快</t>
        </is>
      </c>
    </row>
    <row r="6921">
      <c r="B6921" s="24" t="inlineStr">
        <is>
          <t>SMECreditSpeed</t>
        </is>
      </c>
      <c r="C6921" s="24" t="inlineStr">
        <is>
          <t>存货周转速度</t>
        </is>
      </c>
      <c r="D6921" s="24" t="inlineStr">
        <is>
          <t>020</t>
        </is>
      </c>
      <c r="E6921" s="24" t="inlineStr">
        <is>
          <t>一般</t>
        </is>
      </c>
    </row>
    <row r="6922">
      <c r="B6922" s="24" t="inlineStr">
        <is>
          <t>SMECreditSpeed</t>
        </is>
      </c>
      <c r="C6922" s="24" t="inlineStr">
        <is>
          <t>存货周转速度</t>
        </is>
      </c>
      <c r="D6922" s="24" t="inlineStr">
        <is>
          <t>030</t>
        </is>
      </c>
      <c r="E6922" s="24" t="inlineStr">
        <is>
          <t>慢</t>
        </is>
      </c>
    </row>
    <row r="6923" ht="15.95" customHeight="1" s="170">
      <c r="B6923" s="122" t="inlineStr">
        <is>
          <t>码值：PutOutNotice</t>
        </is>
      </c>
    </row>
    <row r="6924">
      <c r="B6924" s="24" t="inlineStr">
        <is>
          <t>PutOutNotice</t>
        </is>
      </c>
      <c r="C6924" s="24" t="inlineStr">
        <is>
          <t>出帐通知单类型</t>
        </is>
      </c>
      <c r="D6924" s="24" t="inlineStr">
        <is>
          <t>2201</t>
        </is>
      </c>
      <c r="E6924" s="24" t="inlineStr">
        <is>
          <t>按揭贷款出帐通知单</t>
        </is>
      </c>
    </row>
    <row r="6925">
      <c r="B6925" s="24" t="inlineStr">
        <is>
          <t>PutOutNotice</t>
        </is>
      </c>
      <c r="C6925" s="24" t="inlineStr">
        <is>
          <t>出帐通知单类型</t>
        </is>
      </c>
      <c r="D6925" s="24" t="inlineStr">
        <is>
          <t>4280</t>
        </is>
      </c>
      <c r="E6925" s="24" t="inlineStr">
        <is>
          <t>贸易融资保函出帐通知单</t>
        </is>
      </c>
    </row>
    <row r="6926">
      <c r="B6926" s="24" t="inlineStr">
        <is>
          <t>PutOutNotice</t>
        </is>
      </c>
      <c r="C6926" s="24" t="inlineStr">
        <is>
          <t>出帐通知单类型</t>
        </is>
      </c>
      <c r="D6926" s="24" t="inlineStr">
        <is>
          <t>6002</t>
        </is>
      </c>
      <c r="E6926" s="24" t="inlineStr">
        <is>
          <t>一般贷款出帐通知单</t>
        </is>
      </c>
    </row>
    <row r="6927">
      <c r="B6927" s="24" t="inlineStr">
        <is>
          <t>PutOutNotice</t>
        </is>
      </c>
      <c r="C6927" s="24" t="inlineStr">
        <is>
          <t>出帐通知单类型</t>
        </is>
      </c>
      <c r="D6927" s="24" t="inlineStr">
        <is>
          <t>6003</t>
        </is>
      </c>
      <c r="E6927" s="24" t="inlineStr">
        <is>
          <t>委托贷款出帐通知单</t>
        </is>
      </c>
    </row>
    <row r="6928">
      <c r="B6928" s="24" t="inlineStr">
        <is>
          <t>PutOutNotice</t>
        </is>
      </c>
      <c r="C6928" s="24" t="inlineStr">
        <is>
          <t>出帐通知单类型</t>
        </is>
      </c>
      <c r="D6928" s="24" t="inlineStr">
        <is>
          <t>6005</t>
        </is>
      </c>
      <c r="E6928" s="24" t="inlineStr">
        <is>
          <t>银团贷款出帐通知单</t>
        </is>
      </c>
    </row>
    <row r="6929">
      <c r="B6929" s="24" t="inlineStr">
        <is>
          <t>PutOutNotice</t>
        </is>
      </c>
      <c r="C6929" s="24" t="inlineStr">
        <is>
          <t>出帐通知单类型</t>
        </is>
      </c>
      <c r="D6929" s="24" t="inlineStr">
        <is>
          <t>6007</t>
        </is>
      </c>
      <c r="E6929" s="24" t="inlineStr">
        <is>
          <t>押汇贷款出帐通知单</t>
        </is>
      </c>
    </row>
    <row r="6930">
      <c r="B6930" s="24" t="inlineStr">
        <is>
          <t>PutOutNotice</t>
        </is>
      </c>
      <c r="C6930" s="24" t="inlineStr">
        <is>
          <t>出帐通知单类型</t>
        </is>
      </c>
      <c r="D6930" s="24" t="inlineStr">
        <is>
          <t>6201</t>
        </is>
      </c>
      <c r="E6930" s="24" t="inlineStr">
        <is>
          <t>展期出帐通知单</t>
        </is>
      </c>
    </row>
    <row r="6931">
      <c r="B6931" s="24" t="inlineStr">
        <is>
          <t>PutOutNotice</t>
        </is>
      </c>
      <c r="C6931" s="24" t="inlineStr">
        <is>
          <t>出帐通知单类型</t>
        </is>
      </c>
      <c r="D6931" s="24" t="inlineStr">
        <is>
          <t>6501</t>
        </is>
      </c>
      <c r="E6931" s="24" t="inlineStr">
        <is>
          <t>票据贴现出帐通知单</t>
        </is>
      </c>
    </row>
    <row r="6932">
      <c r="B6932" s="24" t="inlineStr">
        <is>
          <t>PutOutNotice</t>
        </is>
      </c>
      <c r="C6932" s="24" t="inlineStr">
        <is>
          <t>出帐通知单类型</t>
        </is>
      </c>
      <c r="D6932" s="24" t="inlineStr">
        <is>
          <t>6801</t>
        </is>
      </c>
      <c r="E6932" s="24" t="inlineStr">
        <is>
          <t>国内信用证出帐通知单</t>
        </is>
      </c>
    </row>
    <row r="6933">
      <c r="B6933" s="24" t="inlineStr">
        <is>
          <t>PutOutNotice</t>
        </is>
      </c>
      <c r="C6933" s="24" t="inlineStr">
        <is>
          <t>出帐通知单类型</t>
        </is>
      </c>
      <c r="D6933" s="24" t="inlineStr">
        <is>
          <t>8315</t>
        </is>
      </c>
      <c r="E6933" s="24" t="inlineStr">
        <is>
          <t>承兑汇票出帐通知单</t>
        </is>
      </c>
    </row>
    <row r="6934">
      <c r="B6934" s="24" t="inlineStr">
        <is>
          <t>PutOutNotice</t>
        </is>
      </c>
      <c r="C6934" s="24" t="inlineStr">
        <is>
          <t>出帐通知单类型</t>
        </is>
      </c>
      <c r="D6934" s="24" t="inlineStr">
        <is>
          <t>A001</t>
        </is>
      </c>
      <c r="E6934" s="24" t="inlineStr">
        <is>
          <t>进口信用证出帐通知书</t>
        </is>
      </c>
    </row>
    <row r="6935">
      <c r="B6935" s="24" t="inlineStr">
        <is>
          <t>PutOutNotice</t>
        </is>
      </c>
      <c r="C6935" s="24" t="inlineStr">
        <is>
          <t>出帐通知单类型</t>
        </is>
      </c>
      <c r="D6935" s="24" t="inlineStr">
        <is>
          <t>A002</t>
        </is>
      </c>
      <c r="E6935" s="24" t="inlineStr">
        <is>
          <t>保函出帐通知书</t>
        </is>
      </c>
    </row>
    <row r="6936">
      <c r="B6936" s="24" t="inlineStr">
        <is>
          <t>PutOutNotice</t>
        </is>
      </c>
      <c r="C6936" s="24" t="inlineStr">
        <is>
          <t>出帐通知单类型</t>
        </is>
      </c>
      <c r="D6936" s="24" t="inlineStr">
        <is>
          <t>A003</t>
        </is>
      </c>
      <c r="E6936" s="24" t="inlineStr">
        <is>
          <t>担保出帐通知单</t>
        </is>
      </c>
    </row>
    <row r="6937" ht="15.95" customHeight="1" s="170">
      <c r="B6937" s="122" t="inlineStr">
        <is>
          <t>码值：压力分析</t>
        </is>
      </c>
    </row>
    <row r="6938">
      <c r="B6938" s="24" t="inlineStr">
        <is>
          <t>压力分析</t>
        </is>
      </c>
      <c r="C6938" s="24" t="inlineStr">
        <is>
          <t>压力分析</t>
        </is>
      </c>
      <c r="D6938" s="24" t="inlineStr">
        <is>
          <t>01</t>
        </is>
      </c>
      <c r="E6938" s="24" t="inlineStr">
        <is>
          <t>房价下跌15%以上，公司仍能盈亏平衡</t>
        </is>
      </c>
    </row>
    <row r="6939">
      <c r="B6939" s="24" t="inlineStr">
        <is>
          <t>压力分析</t>
        </is>
      </c>
      <c r="C6939" s="24" t="inlineStr">
        <is>
          <t>压力分析</t>
        </is>
      </c>
      <c r="D6939" s="24" t="inlineStr">
        <is>
          <t>02</t>
        </is>
      </c>
      <c r="E6939" s="24" t="inlineStr">
        <is>
          <t>房价下跌15%内，公司仍能盈亏平衡</t>
        </is>
      </c>
    </row>
    <row r="6940">
      <c r="B6940" s="24" t="inlineStr">
        <is>
          <t>压力分析</t>
        </is>
      </c>
      <c r="C6940" s="24" t="inlineStr">
        <is>
          <t>压力分析</t>
        </is>
      </c>
      <c r="D6940" s="24" t="inlineStr">
        <is>
          <t>03</t>
        </is>
      </c>
      <c r="E6940" s="24" t="inlineStr">
        <is>
          <t>房价下跌10%内，公司仍能盈亏平衡</t>
        </is>
      </c>
    </row>
    <row r="6941">
      <c r="B6941" s="24" t="inlineStr">
        <is>
          <t>压力分析</t>
        </is>
      </c>
      <c r="C6941" s="24" t="inlineStr">
        <is>
          <t>压力分析</t>
        </is>
      </c>
      <c r="D6941" s="24" t="inlineStr">
        <is>
          <t>04</t>
        </is>
      </c>
      <c r="E6941" s="24" t="inlineStr">
        <is>
          <t>房价下跌5%内，公司仍能盈亏平衡</t>
        </is>
      </c>
    </row>
    <row r="6942" ht="15.95" customHeight="1" s="170">
      <c r="B6942" s="122" t="inlineStr">
        <is>
          <t>码值：DebtRepaymentArrangement</t>
        </is>
      </c>
    </row>
    <row r="6943">
      <c r="B6943" s="24" t="inlineStr">
        <is>
          <t>DebtRepaymentArrangement</t>
        </is>
      </c>
      <c r="C6943" s="24" t="inlineStr">
        <is>
          <t>信用等级评估统一导入</t>
        </is>
      </c>
      <c r="D6943" s="24" t="inlineStr">
        <is>
          <t>01</t>
        </is>
      </c>
      <c r="E6943" s="24" t="inlineStr">
        <is>
          <t>还贷来源全部列入政府财政预算，政府财政收入充足且信誉良好</t>
        </is>
      </c>
    </row>
    <row r="6944">
      <c r="B6944" s="24" t="inlineStr">
        <is>
          <t>DebtRepaymentArrangement</t>
        </is>
      </c>
      <c r="C6944" s="24" t="inlineStr">
        <is>
          <t>信用等级评估统一导入</t>
        </is>
      </c>
      <c r="D6944" s="24" t="inlineStr">
        <is>
          <t>02</t>
        </is>
      </c>
      <c r="E6944" s="24" t="inlineStr">
        <is>
          <t>还贷来源部分列入政府财政预算，信贷资金保障程度较高</t>
        </is>
      </c>
    </row>
    <row r="6945">
      <c r="B6945" s="24" t="inlineStr">
        <is>
          <t>DebtRepaymentArrangement</t>
        </is>
      </c>
      <c r="C6945" s="24" t="inlineStr">
        <is>
          <t>信用等级评估统一导入</t>
        </is>
      </c>
      <c r="D6945" s="24" t="inlineStr">
        <is>
          <t>03</t>
        </is>
      </c>
      <c r="E6945" s="24" t="inlineStr">
        <is>
          <t>政府对客户借款出具意向承诺，但未经过法律程序批准</t>
        </is>
      </c>
    </row>
    <row r="6946">
      <c r="B6946" s="24" t="inlineStr">
        <is>
          <t>DebtRepaymentArrangement</t>
        </is>
      </c>
      <c r="C6946" s="24" t="inlineStr">
        <is>
          <t>信用等级评估统一导入</t>
        </is>
      </c>
      <c r="D6946" s="24" t="inlineStr">
        <is>
          <t>04</t>
        </is>
      </c>
      <c r="E6946" s="24" t="inlineStr">
        <is>
          <t>政府对客户借款无任何承诺，但不干预客户资金的使用</t>
        </is>
      </c>
    </row>
    <row r="6947">
      <c r="B6947" s="24" t="inlineStr">
        <is>
          <t>DebtRepaymentArrangement</t>
        </is>
      </c>
      <c r="C6947" s="24" t="inlineStr">
        <is>
          <t>信用等级评估统一导入</t>
        </is>
      </c>
      <c r="D6947" s="24" t="inlineStr">
        <is>
          <t>05</t>
        </is>
      </c>
      <c r="E6947" s="24" t="inlineStr">
        <is>
          <t>政府对客户借款无任何承诺，且政府对投资人和债权人有较大干预</t>
        </is>
      </c>
    </row>
    <row r="6948" ht="15.95" customHeight="1" s="170">
      <c r="B6948" s="122" t="inlineStr">
        <is>
          <t>码值：DocRecordType</t>
        </is>
      </c>
    </row>
    <row r="6949">
      <c r="B6949" s="24" t="inlineStr">
        <is>
          <t>DocRecordType</t>
        </is>
      </c>
      <c r="C6949" s="24" t="inlineStr">
        <is>
          <t>记录类型</t>
        </is>
      </c>
      <c r="D6949" s="24" t="inlineStr">
        <is>
          <t>CREATE</t>
        </is>
      </c>
      <c r="E6949" s="24" t="inlineStr">
        <is>
          <t>新增</t>
        </is>
      </c>
    </row>
    <row r="6950">
      <c r="B6950" s="24" t="inlineStr">
        <is>
          <t>DocRecordType</t>
        </is>
      </c>
      <c r="C6950" s="24" t="inlineStr">
        <is>
          <t>记录类型</t>
        </is>
      </c>
      <c r="D6950" s="24" t="inlineStr">
        <is>
          <t>MODIFY</t>
        </is>
      </c>
      <c r="E6950" s="24" t="inlineStr">
        <is>
          <t>修改</t>
        </is>
      </c>
    </row>
    <row r="6951" ht="15.95" customHeight="1" s="170">
      <c r="B6951" s="122" t="inlineStr">
        <is>
          <t>码值：项目销售前景</t>
        </is>
      </c>
    </row>
    <row r="6952">
      <c r="B6952" s="24" t="inlineStr">
        <is>
          <t>项目销售前景</t>
        </is>
      </c>
      <c r="C6952" s="24" t="inlineStr">
        <is>
          <t>项目销售前景</t>
        </is>
      </c>
      <c r="D6952" s="24" t="inlineStr">
        <is>
          <t>1</t>
        </is>
      </c>
      <c r="E6952" s="24" t="inlineStr">
        <is>
          <t>好</t>
        </is>
      </c>
    </row>
    <row r="6953">
      <c r="B6953" s="24" t="inlineStr">
        <is>
          <t>项目销售前景</t>
        </is>
      </c>
      <c r="C6953" s="24" t="inlineStr">
        <is>
          <t>项目销售前景</t>
        </is>
      </c>
      <c r="D6953" s="24" t="inlineStr">
        <is>
          <t>2</t>
        </is>
      </c>
      <c r="E6953" s="24" t="inlineStr">
        <is>
          <t>较好</t>
        </is>
      </c>
    </row>
    <row r="6954">
      <c r="B6954" s="24" t="inlineStr">
        <is>
          <t>项目销售前景</t>
        </is>
      </c>
      <c r="C6954" s="24" t="inlineStr">
        <is>
          <t>项目销售前景</t>
        </is>
      </c>
      <c r="D6954" s="24" t="inlineStr">
        <is>
          <t>3</t>
        </is>
      </c>
      <c r="E6954" s="24" t="inlineStr">
        <is>
          <t>一般</t>
        </is>
      </c>
    </row>
    <row r="6955">
      <c r="B6955" s="24" t="inlineStr">
        <is>
          <t>项目销售前景</t>
        </is>
      </c>
      <c r="C6955" s="24" t="inlineStr">
        <is>
          <t>项目销售前景</t>
        </is>
      </c>
      <c r="D6955" s="24" t="inlineStr">
        <is>
          <t>4</t>
        </is>
      </c>
      <c r="E6955" s="24" t="inlineStr">
        <is>
          <t>较差</t>
        </is>
      </c>
    </row>
    <row r="6956" ht="15.95" customHeight="1" s="170">
      <c r="B6956" s="122" t="inlineStr">
        <is>
          <t>码值：CertPossessorType</t>
        </is>
      </c>
    </row>
    <row r="6957">
      <c r="B6957" s="24" t="inlineStr">
        <is>
          <t>CertPossessorType</t>
        </is>
      </c>
      <c r="C6957" s="24" t="inlineStr">
        <is>
          <t>权证持有者类型</t>
        </is>
      </c>
      <c r="D6957" s="24" t="inlineStr">
        <is>
          <t>01</t>
        </is>
      </c>
      <c r="E6957" s="24" t="inlineStr">
        <is>
          <t>银行持有</t>
        </is>
      </c>
    </row>
    <row r="6958">
      <c r="B6958" s="24" t="inlineStr">
        <is>
          <t>CertPossessorType</t>
        </is>
      </c>
      <c r="C6958" s="24" t="inlineStr">
        <is>
          <t>权证持有者类型</t>
        </is>
      </c>
      <c r="D6958" s="24" t="inlineStr">
        <is>
          <t>02</t>
        </is>
      </c>
      <c r="E6958" s="24" t="inlineStr">
        <is>
          <t>银行指定第三方持有</t>
        </is>
      </c>
    </row>
    <row r="6959" ht="15.95" customHeight="1" s="170">
      <c r="B6959" s="122" t="inlineStr">
        <is>
          <t>码值：市场定位是否合理</t>
        </is>
      </c>
    </row>
    <row r="6960">
      <c r="B6960" s="24" t="inlineStr">
        <is>
          <t>市场定位是否合理</t>
        </is>
      </c>
      <c r="C6960" s="24" t="inlineStr">
        <is>
          <t>市场定位是否合理</t>
        </is>
      </c>
      <c r="D6960" s="24" t="inlineStr">
        <is>
          <t>1</t>
        </is>
      </c>
      <c r="E6960" s="24" t="inlineStr">
        <is>
          <t>合理</t>
        </is>
      </c>
    </row>
    <row r="6961">
      <c r="B6961" s="24" t="inlineStr">
        <is>
          <t>市场定位是否合理</t>
        </is>
      </c>
      <c r="C6961" s="24" t="inlineStr">
        <is>
          <t>市场定位是否合理</t>
        </is>
      </c>
      <c r="D6961" s="24" t="inlineStr">
        <is>
          <t>2</t>
        </is>
      </c>
      <c r="E6961" s="24" t="inlineStr">
        <is>
          <t>一般</t>
        </is>
      </c>
    </row>
    <row r="6962">
      <c r="B6962" s="24" t="inlineStr">
        <is>
          <t>市场定位是否合理</t>
        </is>
      </c>
      <c r="C6962" s="24" t="inlineStr">
        <is>
          <t>市场定位是否合理</t>
        </is>
      </c>
      <c r="D6962" s="24" t="inlineStr">
        <is>
          <t>3</t>
        </is>
      </c>
      <c r="E6962" s="24" t="inlineStr">
        <is>
          <t>不合理</t>
        </is>
      </c>
    </row>
    <row r="6963" ht="15.95" customHeight="1" s="170">
      <c r="B6963" s="122" t="inlineStr">
        <is>
          <t>码值：ScaleAndDebtLevel</t>
        </is>
      </c>
    </row>
    <row r="6964">
      <c r="B6964" s="24" t="inlineStr">
        <is>
          <t>ScaleAndDebtLevel</t>
        </is>
      </c>
      <c r="C6964" s="24" t="inlineStr">
        <is>
          <t>信用等级评估统一导入</t>
        </is>
      </c>
      <c r="D6964" s="24" t="inlineStr">
        <is>
          <t>01</t>
        </is>
      </c>
      <c r="E6964" s="24" t="inlineStr">
        <is>
          <t>在业务覆盖范围内没有直接竞争对手</t>
        </is>
      </c>
    </row>
    <row r="6965">
      <c r="B6965" s="24" t="inlineStr">
        <is>
          <t>ScaleAndDebtLevel</t>
        </is>
      </c>
      <c r="C6965" s="24" t="inlineStr">
        <is>
          <t>信用等级评估统一导入</t>
        </is>
      </c>
      <c r="D6965" s="24" t="inlineStr">
        <is>
          <t>02</t>
        </is>
      </c>
      <c r="E6965" s="24" t="inlineStr">
        <is>
          <t>在业务覆盖范围内有1~2个直接竞争对手，但该单位现排名第一</t>
        </is>
      </c>
    </row>
    <row r="6966">
      <c r="B6966" s="24" t="inlineStr">
        <is>
          <t>ScaleAndDebtLevel</t>
        </is>
      </c>
      <c r="C6966" s="24" t="inlineStr">
        <is>
          <t>信用等级评估统一导入</t>
        </is>
      </c>
      <c r="D6966" s="24" t="inlineStr">
        <is>
          <t>03</t>
        </is>
      </c>
      <c r="E6966" s="24" t="inlineStr">
        <is>
          <t>在业务覆盖范围内有5个以内直接竞争对手，但该单位现排名前三</t>
        </is>
      </c>
    </row>
    <row r="6967">
      <c r="B6967" s="24" t="inlineStr">
        <is>
          <t>ScaleAndDebtLevel</t>
        </is>
      </c>
      <c r="C6967" s="24" t="inlineStr">
        <is>
          <t>信用等级评估统一导入</t>
        </is>
      </c>
      <c r="D6967" s="24" t="inlineStr">
        <is>
          <t>04</t>
        </is>
      </c>
      <c r="E6967" s="24" t="inlineStr">
        <is>
          <t>在业务覆盖范围内有5个以上直接竞争对手，且行业排名在前三</t>
        </is>
      </c>
    </row>
    <row r="6968" ht="15.95" customHeight="1" s="170">
      <c r="B6968" s="122" t="inlineStr">
        <is>
          <t>码值：MainMenu</t>
        </is>
      </c>
    </row>
    <row r="6969">
      <c r="B6969" s="24" t="inlineStr">
        <is>
          <t>MainMenu</t>
        </is>
      </c>
      <c r="C6969" s="24" t="inlineStr">
        <is>
          <t>主菜单</t>
        </is>
      </c>
      <c r="D6969" s="24" t="inlineStr">
        <is>
          <t>10</t>
        </is>
      </c>
      <c r="E6969" s="24" t="inlineStr">
        <is>
          <t>信贷政策管理</t>
        </is>
      </c>
    </row>
    <row r="6970">
      <c r="B6970" s="24" t="inlineStr">
        <is>
          <t>MainMenu</t>
        </is>
      </c>
      <c r="C6970" s="24" t="inlineStr">
        <is>
          <t>主菜单</t>
        </is>
      </c>
      <c r="D6970" s="24" t="inlineStr">
        <is>
          <t>100010</t>
        </is>
      </c>
      <c r="E6970" s="24" t="inlineStr">
        <is>
          <t>信贷产品管理</t>
        </is>
      </c>
    </row>
    <row r="6971">
      <c r="B6971" s="24" t="inlineStr">
        <is>
          <t>MainMenu</t>
        </is>
      </c>
      <c r="C6971" s="24" t="inlineStr">
        <is>
          <t>主菜单</t>
        </is>
      </c>
      <c r="D6971" s="24" t="inlineStr">
        <is>
          <t>100015</t>
        </is>
      </c>
      <c r="E6971" s="24" t="inlineStr">
        <is>
          <t>核心科目管理</t>
        </is>
      </c>
    </row>
    <row r="6972">
      <c r="B6972" s="24" t="inlineStr">
        <is>
          <t>MainMenu</t>
        </is>
      </c>
      <c r="C6972" s="24" t="inlineStr">
        <is>
          <t>主菜单</t>
        </is>
      </c>
      <c r="D6972" s="24" t="inlineStr">
        <is>
          <t>100020</t>
        </is>
      </c>
      <c r="E6972" s="24" t="inlineStr">
        <is>
          <t>审批授权管理</t>
        </is>
      </c>
    </row>
    <row r="6973">
      <c r="B6973" s="24" t="inlineStr">
        <is>
          <t>MainMenu</t>
        </is>
      </c>
      <c r="C6973" s="24" t="inlineStr">
        <is>
          <t>主菜单</t>
        </is>
      </c>
      <c r="D6973" s="24" t="inlineStr">
        <is>
          <t>1000200010</t>
        </is>
      </c>
      <c r="E6973" s="24" t="inlineStr">
        <is>
          <t>授权基础设定</t>
        </is>
      </c>
    </row>
    <row r="6974">
      <c r="B6974" s="24" t="inlineStr">
        <is>
          <t>MainMenu</t>
        </is>
      </c>
      <c r="C6974" s="24" t="inlineStr">
        <is>
          <t>主菜单</t>
        </is>
      </c>
      <c r="D6974" s="24" t="inlineStr">
        <is>
          <t>1000200020</t>
        </is>
      </c>
      <c r="E6974" s="24" t="inlineStr">
        <is>
          <t>授权表配置</t>
        </is>
      </c>
    </row>
    <row r="6975">
      <c r="B6975" s="24" t="inlineStr">
        <is>
          <t>MainMenu</t>
        </is>
      </c>
      <c r="C6975" s="24" t="inlineStr">
        <is>
          <t>主菜单</t>
        </is>
      </c>
      <c r="D6975" s="24" t="inlineStr">
        <is>
          <t>100025</t>
        </is>
      </c>
      <c r="E6975" s="24" t="inlineStr">
        <is>
          <t>授权管理</t>
        </is>
      </c>
    </row>
    <row r="6976">
      <c r="B6976" s="24" t="inlineStr">
        <is>
          <t>MainMenu</t>
        </is>
      </c>
      <c r="C6976" s="24" t="inlineStr">
        <is>
          <t>主菜单</t>
        </is>
      </c>
      <c r="D6976" s="24" t="inlineStr">
        <is>
          <t>100030</t>
        </is>
      </c>
      <c r="E6976" s="24" t="inlineStr">
        <is>
          <t>审批流程管理</t>
        </is>
      </c>
    </row>
    <row r="6977">
      <c r="B6977" s="24" t="inlineStr">
        <is>
          <t>MainMenu</t>
        </is>
      </c>
      <c r="C6977" s="24" t="inlineStr">
        <is>
          <t>主菜单</t>
        </is>
      </c>
      <c r="D6977" s="24" t="inlineStr">
        <is>
          <t>100040</t>
        </is>
      </c>
      <c r="E6977" s="24" t="inlineStr">
        <is>
          <t>信贷模型管理</t>
        </is>
      </c>
    </row>
    <row r="6978">
      <c r="B6978" s="24" t="inlineStr">
        <is>
          <t>MainMenu</t>
        </is>
      </c>
      <c r="C6978" s="24" t="inlineStr">
        <is>
          <t>主菜单</t>
        </is>
      </c>
      <c r="D6978" s="24" t="inlineStr">
        <is>
          <t>20</t>
        </is>
      </c>
      <c r="E6978" s="24" t="inlineStr">
        <is>
          <t>客户信息管理</t>
        </is>
      </c>
    </row>
    <row r="6979">
      <c r="B6979" s="24" t="inlineStr">
        <is>
          <t>MainMenu</t>
        </is>
      </c>
      <c r="C6979" s="24" t="inlineStr">
        <is>
          <t>主菜单</t>
        </is>
      </c>
      <c r="D6979" s="24" t="inlineStr">
        <is>
          <t>200010</t>
        </is>
      </c>
      <c r="E6979" s="24" t="inlineStr">
        <is>
          <t>公司客户管理</t>
        </is>
      </c>
    </row>
    <row r="6980">
      <c r="B6980" s="24" t="inlineStr">
        <is>
          <t>MainMenu</t>
        </is>
      </c>
      <c r="C6980" s="24" t="inlineStr">
        <is>
          <t>主菜单</t>
        </is>
      </c>
      <c r="D6980" s="24" t="inlineStr">
        <is>
          <t>2000100010</t>
        </is>
      </c>
      <c r="E6980" s="24" t="inlineStr">
        <is>
          <t>大型企业客户管理</t>
        </is>
      </c>
    </row>
    <row r="6981">
      <c r="B6981" s="24" t="inlineStr">
        <is>
          <t>MainMenu</t>
        </is>
      </c>
      <c r="C6981" s="24" t="inlineStr">
        <is>
          <t>主菜单</t>
        </is>
      </c>
      <c r="D6981" s="24" t="inlineStr">
        <is>
          <t>2000100020</t>
        </is>
      </c>
      <c r="E6981" s="24" t="inlineStr">
        <is>
          <t>中小企业客户管理</t>
        </is>
      </c>
    </row>
    <row r="6982">
      <c r="B6982" s="24" t="inlineStr">
        <is>
          <t>MainMenu</t>
        </is>
      </c>
      <c r="C6982" s="24" t="inlineStr">
        <is>
          <t>主菜单</t>
        </is>
      </c>
      <c r="D6982" s="24" t="inlineStr">
        <is>
          <t>200020</t>
        </is>
      </c>
      <c r="E6982" s="24" t="inlineStr">
        <is>
          <t>集团客户管理</t>
        </is>
      </c>
    </row>
    <row r="6983">
      <c r="B6983" s="24" t="inlineStr">
        <is>
          <t>MainMenu</t>
        </is>
      </c>
      <c r="C6983" s="24" t="inlineStr">
        <is>
          <t>主菜单</t>
        </is>
      </c>
      <c r="D6983" s="24" t="inlineStr">
        <is>
          <t>2000200010</t>
        </is>
      </c>
      <c r="E6983" s="24" t="inlineStr">
        <is>
          <t>一类集团客户管理</t>
        </is>
      </c>
    </row>
    <row r="6984">
      <c r="B6984" s="24" t="inlineStr">
        <is>
          <t>MainMenu</t>
        </is>
      </c>
      <c r="C6984" s="24" t="inlineStr">
        <is>
          <t>主菜单</t>
        </is>
      </c>
      <c r="D6984" s="24" t="inlineStr">
        <is>
          <t>2000200020</t>
        </is>
      </c>
      <c r="E6984" s="24" t="inlineStr">
        <is>
          <t>二类集团客户管理</t>
        </is>
      </c>
    </row>
    <row r="6985">
      <c r="B6985" s="24" t="inlineStr">
        <is>
          <t>MainMenu</t>
        </is>
      </c>
      <c r="C6985" s="24" t="inlineStr">
        <is>
          <t>主菜单</t>
        </is>
      </c>
      <c r="D6985" s="24" t="inlineStr">
        <is>
          <t>200030</t>
        </is>
      </c>
      <c r="E6985" s="24" t="inlineStr">
        <is>
          <t>个人客户管理</t>
        </is>
      </c>
    </row>
    <row r="6986">
      <c r="B6986" s="24" t="inlineStr">
        <is>
          <t>MainMenu</t>
        </is>
      </c>
      <c r="C6986" s="24" t="inlineStr">
        <is>
          <t>主菜单</t>
        </is>
      </c>
      <c r="D6986" s="24" t="inlineStr">
        <is>
          <t>2000300010</t>
        </is>
      </c>
      <c r="E6986" s="24" t="inlineStr">
        <is>
          <t>个人客户管理</t>
        </is>
      </c>
    </row>
    <row r="6987">
      <c r="B6987" s="24" t="inlineStr">
        <is>
          <t>MainMenu</t>
        </is>
      </c>
      <c r="C6987" s="24" t="inlineStr">
        <is>
          <t>主菜单</t>
        </is>
      </c>
      <c r="D6987" s="24" t="inlineStr">
        <is>
          <t>2000300020</t>
        </is>
      </c>
      <c r="E6987" s="24" t="inlineStr">
        <is>
          <t>个体经营户管理</t>
        </is>
      </c>
    </row>
    <row r="6988">
      <c r="B6988" s="24" t="inlineStr">
        <is>
          <t>MainMenu</t>
        </is>
      </c>
      <c r="C6988" s="24" t="inlineStr">
        <is>
          <t>主菜单</t>
        </is>
      </c>
      <c r="D6988" s="24" t="inlineStr">
        <is>
          <t>200040</t>
        </is>
      </c>
      <c r="E6988" s="24" t="inlineStr">
        <is>
          <t>客户资质评定</t>
        </is>
      </c>
    </row>
    <row r="6989">
      <c r="B6989" s="24" t="inlineStr">
        <is>
          <t>MainMenu</t>
        </is>
      </c>
      <c r="C6989" s="24" t="inlineStr">
        <is>
          <t>主菜单</t>
        </is>
      </c>
      <c r="D6989" s="24" t="inlineStr">
        <is>
          <t>2000400010</t>
        </is>
      </c>
      <c r="E6989" s="24" t="inlineStr">
        <is>
          <t>信用等级评估申请</t>
        </is>
      </c>
    </row>
    <row r="6990">
      <c r="B6990" s="24" t="inlineStr">
        <is>
          <t>MainMenu</t>
        </is>
      </c>
      <c r="C6990" s="24" t="inlineStr">
        <is>
          <t>主菜单</t>
        </is>
      </c>
      <c r="D6990" s="24" t="inlineStr">
        <is>
          <t>2000400020</t>
        </is>
      </c>
      <c r="E6990" s="24" t="inlineStr">
        <is>
          <t>中小企业资格认定申请</t>
        </is>
      </c>
    </row>
    <row r="6991">
      <c r="B6991" s="24" t="inlineStr">
        <is>
          <t>MainMenu</t>
        </is>
      </c>
      <c r="C6991" s="24" t="inlineStr">
        <is>
          <t>主菜单</t>
        </is>
      </c>
      <c r="D6991" s="24" t="inlineStr">
        <is>
          <t>200050</t>
        </is>
      </c>
      <c r="E6991" s="24" t="inlineStr">
        <is>
          <t>客户权限管理</t>
        </is>
      </c>
    </row>
    <row r="6992">
      <c r="B6992" s="24" t="inlineStr">
        <is>
          <t>MainMenu</t>
        </is>
      </c>
      <c r="C6992" s="24" t="inlineStr">
        <is>
          <t>主菜单</t>
        </is>
      </c>
      <c r="D6992" s="24" t="inlineStr">
        <is>
          <t>200090</t>
        </is>
      </c>
      <c r="E6992" s="24" t="inlineStr">
        <is>
          <t>营销信息管理</t>
        </is>
      </c>
    </row>
    <row r="6993">
      <c r="B6993" s="24" t="inlineStr">
        <is>
          <t>MainMenu</t>
        </is>
      </c>
      <c r="C6993" s="24" t="inlineStr">
        <is>
          <t>主菜单</t>
        </is>
      </c>
      <c r="D6993" s="24" t="inlineStr">
        <is>
          <t>23</t>
        </is>
      </c>
      <c r="E6993" s="24" t="inlineStr">
        <is>
          <t>授信额度管理</t>
        </is>
      </c>
    </row>
    <row r="6994">
      <c r="B6994" s="24" t="inlineStr">
        <is>
          <t>MainMenu</t>
        </is>
      </c>
      <c r="C6994" s="24" t="inlineStr">
        <is>
          <t>主菜单</t>
        </is>
      </c>
      <c r="D6994" s="24" t="inlineStr">
        <is>
          <t>230010</t>
        </is>
      </c>
      <c r="E6994" s="24" t="inlineStr">
        <is>
          <t>授信额度调整</t>
        </is>
      </c>
    </row>
    <row r="6995">
      <c r="B6995" s="24" t="inlineStr">
        <is>
          <t>MainMenu</t>
        </is>
      </c>
      <c r="C6995" s="24" t="inlineStr">
        <is>
          <t>主菜单</t>
        </is>
      </c>
      <c r="D6995" s="24" t="inlineStr">
        <is>
          <t>230030</t>
        </is>
      </c>
      <c r="E6995" s="24" t="inlineStr">
        <is>
          <t>授信额度冻结与解冻</t>
        </is>
      </c>
    </row>
    <row r="6996">
      <c r="B6996" s="24" t="inlineStr">
        <is>
          <t>MainMenu</t>
        </is>
      </c>
      <c r="C6996" s="24" t="inlineStr">
        <is>
          <t>主菜单</t>
        </is>
      </c>
      <c r="D6996" s="24" t="inlineStr">
        <is>
          <t>230040</t>
        </is>
      </c>
      <c r="E6996" s="24" t="inlineStr">
        <is>
          <t>授信额度终止</t>
        </is>
      </c>
    </row>
    <row r="6997">
      <c r="B6997" s="24" t="inlineStr">
        <is>
          <t>MainMenu</t>
        </is>
      </c>
      <c r="C6997" s="24" t="inlineStr">
        <is>
          <t>主菜单</t>
        </is>
      </c>
      <c r="D6997" s="24" t="inlineStr">
        <is>
          <t>230050</t>
        </is>
      </c>
      <c r="E6997" s="24" t="inlineStr">
        <is>
          <t>授信额度监控</t>
        </is>
      </c>
    </row>
    <row r="6998">
      <c r="B6998" s="24" t="inlineStr">
        <is>
          <t>MainMenu</t>
        </is>
      </c>
      <c r="C6998" s="24" t="inlineStr">
        <is>
          <t>主菜单</t>
        </is>
      </c>
      <c r="D6998" s="24" t="inlineStr">
        <is>
          <t>230060</t>
        </is>
      </c>
      <c r="E6998" s="24" t="inlineStr">
        <is>
          <t>授信额度台账总览</t>
        </is>
      </c>
    </row>
    <row r="6999">
      <c r="B6999" s="24" t="inlineStr">
        <is>
          <t>MainMenu</t>
        </is>
      </c>
      <c r="C6999" s="24" t="inlineStr">
        <is>
          <t>主菜单</t>
        </is>
      </c>
      <c r="D6999" s="24" t="inlineStr">
        <is>
          <t>230070</t>
        </is>
      </c>
      <c r="E6999" s="24" t="inlineStr">
        <is>
          <t>授信额度配置</t>
        </is>
      </c>
    </row>
    <row r="7000">
      <c r="B7000" s="24" t="inlineStr">
        <is>
          <t>MainMenu</t>
        </is>
      </c>
      <c r="C7000" s="24" t="inlineStr">
        <is>
          <t>主菜单</t>
        </is>
      </c>
      <c r="D7000" s="24" t="inlineStr">
        <is>
          <t>25</t>
        </is>
      </c>
      <c r="E7000" s="24" t="inlineStr">
        <is>
          <t>授信方案管理</t>
        </is>
      </c>
    </row>
    <row r="7001">
      <c r="B7001" s="24" t="inlineStr">
        <is>
          <t>MainMenu</t>
        </is>
      </c>
      <c r="C7001" s="24" t="inlineStr">
        <is>
          <t>主菜单</t>
        </is>
      </c>
      <c r="D7001" s="24" t="inlineStr">
        <is>
          <t>250010</t>
        </is>
      </c>
      <c r="E7001" s="24" t="inlineStr">
        <is>
          <t>授信额度申请</t>
        </is>
      </c>
    </row>
    <row r="7002">
      <c r="B7002" s="24" t="inlineStr">
        <is>
          <t>MainMenu</t>
        </is>
      </c>
      <c r="C7002" s="24" t="inlineStr">
        <is>
          <t>主菜单</t>
        </is>
      </c>
      <c r="D7002" s="24" t="inlineStr">
        <is>
          <t>250020</t>
        </is>
      </c>
      <c r="E7002" s="24" t="inlineStr">
        <is>
          <t>额度项下业务申请</t>
        </is>
      </c>
    </row>
    <row r="7003">
      <c r="B7003" s="24" t="inlineStr">
        <is>
          <t>MainMenu</t>
        </is>
      </c>
      <c r="C7003" s="24" t="inlineStr">
        <is>
          <t>主菜单</t>
        </is>
      </c>
      <c r="D7003" s="24" t="inlineStr">
        <is>
          <t>250030</t>
        </is>
      </c>
      <c r="E7003" s="24" t="inlineStr">
        <is>
          <t>单笔授信业务申请</t>
        </is>
      </c>
    </row>
    <row r="7004">
      <c r="B7004" s="24" t="inlineStr">
        <is>
          <t>MainMenu</t>
        </is>
      </c>
      <c r="C7004" s="24" t="inlineStr">
        <is>
          <t>主菜单</t>
        </is>
      </c>
      <c r="D7004" s="24" t="inlineStr">
        <is>
          <t>30</t>
        </is>
      </c>
      <c r="E7004" s="24" t="inlineStr">
        <is>
          <t>审查审批管理</t>
        </is>
      </c>
    </row>
    <row r="7005">
      <c r="B7005" s="24" t="inlineStr">
        <is>
          <t>MainMenu</t>
        </is>
      </c>
      <c r="C7005" s="24" t="inlineStr">
        <is>
          <t>主菜单</t>
        </is>
      </c>
      <c r="D7005" s="24" t="inlineStr">
        <is>
          <t>300020</t>
        </is>
      </c>
      <c r="E7005" s="24" t="inlineStr">
        <is>
          <t>授信业务审查审批</t>
        </is>
      </c>
    </row>
    <row r="7006">
      <c r="B7006" s="24" t="inlineStr">
        <is>
          <t>MainMenu</t>
        </is>
      </c>
      <c r="C7006" s="24" t="inlineStr">
        <is>
          <t>主菜单</t>
        </is>
      </c>
      <c r="D7006" s="24" t="inlineStr">
        <is>
          <t>300030</t>
        </is>
      </c>
      <c r="E7006" s="24" t="inlineStr">
        <is>
          <t>最终审批意见登记</t>
        </is>
      </c>
    </row>
    <row r="7007">
      <c r="B7007" s="24" t="inlineStr">
        <is>
          <t>MainMenu</t>
        </is>
      </c>
      <c r="C7007" s="24" t="inlineStr">
        <is>
          <t>主菜单</t>
        </is>
      </c>
      <c r="D7007" s="24" t="inlineStr">
        <is>
          <t>300040</t>
        </is>
      </c>
      <c r="E7007" s="24" t="inlineStr">
        <is>
          <t>最终审批意见复核</t>
        </is>
      </c>
    </row>
    <row r="7008">
      <c r="B7008" s="24" t="inlineStr">
        <is>
          <t>MainMenu</t>
        </is>
      </c>
      <c r="C7008" s="24" t="inlineStr">
        <is>
          <t>主菜单</t>
        </is>
      </c>
      <c r="D7008" s="24" t="inlineStr">
        <is>
          <t>300041</t>
        </is>
      </c>
      <c r="E7008" s="24" t="inlineStr">
        <is>
          <t>信用等级认定</t>
        </is>
      </c>
    </row>
    <row r="7009">
      <c r="B7009" s="24" t="inlineStr">
        <is>
          <t>MainMenu</t>
        </is>
      </c>
      <c r="C7009" s="24" t="inlineStr">
        <is>
          <t>主菜单</t>
        </is>
      </c>
      <c r="D7009" s="24" t="inlineStr">
        <is>
          <t>300050</t>
        </is>
      </c>
      <c r="E7009" s="24" t="inlineStr">
        <is>
          <t>五级分类审查审批</t>
        </is>
      </c>
    </row>
    <row r="7010">
      <c r="B7010" s="24" t="inlineStr">
        <is>
          <t>MainMenu</t>
        </is>
      </c>
      <c r="C7010" s="24" t="inlineStr">
        <is>
          <t>主菜单</t>
        </is>
      </c>
      <c r="D7010" s="24" t="inlineStr">
        <is>
          <t>300052</t>
        </is>
      </c>
      <c r="E7010" s="24" t="inlineStr">
        <is>
          <t>中小企业资格认定审查</t>
        </is>
      </c>
    </row>
    <row r="7011">
      <c r="B7011" s="24" t="inlineStr">
        <is>
          <t>MainMenu</t>
        </is>
      </c>
      <c r="C7011" s="24" t="inlineStr">
        <is>
          <t>主菜单</t>
        </is>
      </c>
      <c r="D7011" s="24" t="inlineStr">
        <is>
          <t>40</t>
        </is>
      </c>
      <c r="E7011" s="24" t="inlineStr">
        <is>
          <t>放贷管理</t>
        </is>
      </c>
    </row>
    <row r="7012">
      <c r="B7012" s="24" t="inlineStr">
        <is>
          <t>MainMenu</t>
        </is>
      </c>
      <c r="C7012" s="24" t="inlineStr">
        <is>
          <t>主菜单</t>
        </is>
      </c>
      <c r="D7012" s="24" t="inlineStr">
        <is>
          <t>400010</t>
        </is>
      </c>
      <c r="E7012" s="24" t="inlineStr">
        <is>
          <t>登记合同</t>
        </is>
      </c>
    </row>
    <row r="7013">
      <c r="B7013" s="24" t="inlineStr">
        <is>
          <t>MainMenu</t>
        </is>
      </c>
      <c r="C7013" s="24" t="inlineStr">
        <is>
          <t>主菜单</t>
        </is>
      </c>
      <c r="D7013" s="24" t="inlineStr">
        <is>
          <t>400020</t>
        </is>
      </c>
      <c r="E7013" s="24" t="inlineStr">
        <is>
          <t>放贷申请</t>
        </is>
      </c>
    </row>
    <row r="7014">
      <c r="B7014" s="24" t="inlineStr">
        <is>
          <t>MainMenu</t>
        </is>
      </c>
      <c r="C7014" s="24" t="inlineStr">
        <is>
          <t>主菜单</t>
        </is>
      </c>
      <c r="D7014" s="24" t="inlineStr">
        <is>
          <t>400030</t>
        </is>
      </c>
      <c r="E7014" s="24" t="inlineStr">
        <is>
          <t>放贷申请审查复核</t>
        </is>
      </c>
    </row>
    <row r="7015">
      <c r="B7015" s="24" t="inlineStr">
        <is>
          <t>MainMenu</t>
        </is>
      </c>
      <c r="C7015" s="24" t="inlineStr">
        <is>
          <t>主菜单</t>
        </is>
      </c>
      <c r="D7015" s="24" t="inlineStr">
        <is>
          <t>50</t>
        </is>
      </c>
      <c r="E7015" s="24" t="inlineStr">
        <is>
          <t>贷后管理</t>
        </is>
      </c>
    </row>
    <row r="7016">
      <c r="B7016" s="24" t="inlineStr">
        <is>
          <t>MainMenu</t>
        </is>
      </c>
      <c r="C7016" s="24" t="inlineStr">
        <is>
          <t>主菜单</t>
        </is>
      </c>
      <c r="D7016" s="24" t="inlineStr">
        <is>
          <t>500010</t>
        </is>
      </c>
      <c r="E7016" s="24" t="inlineStr">
        <is>
          <t>授信台账</t>
        </is>
      </c>
    </row>
    <row r="7017">
      <c r="B7017" s="24" t="inlineStr">
        <is>
          <t>MainMenu</t>
        </is>
      </c>
      <c r="C7017" s="24" t="inlineStr">
        <is>
          <t>主菜单</t>
        </is>
      </c>
      <c r="D7017" s="24" t="inlineStr">
        <is>
          <t>500030</t>
        </is>
      </c>
      <c r="E7017" s="24" t="inlineStr">
        <is>
          <t>风险预警</t>
        </is>
      </c>
    </row>
    <row r="7018">
      <c r="B7018" s="24" t="inlineStr">
        <is>
          <t>MainMenu</t>
        </is>
      </c>
      <c r="C7018" s="24" t="inlineStr">
        <is>
          <t>主菜单</t>
        </is>
      </c>
      <c r="D7018" s="24" t="inlineStr">
        <is>
          <t>500035</t>
        </is>
      </c>
      <c r="E7018" s="24" t="inlineStr">
        <is>
          <t>风险预警分发</t>
        </is>
      </c>
    </row>
    <row r="7019">
      <c r="B7019" s="24" t="inlineStr">
        <is>
          <t>MainMenu</t>
        </is>
      </c>
      <c r="C7019" s="24" t="inlineStr">
        <is>
          <t>主菜单</t>
        </is>
      </c>
      <c r="D7019" s="24" t="inlineStr">
        <is>
          <t>500040</t>
        </is>
      </c>
      <c r="E7019" s="24" t="inlineStr">
        <is>
          <t>风险预警认定</t>
        </is>
      </c>
    </row>
    <row r="7020">
      <c r="B7020" s="24" t="inlineStr">
        <is>
          <t>MainMenu</t>
        </is>
      </c>
      <c r="C7020" s="24" t="inlineStr">
        <is>
          <t>主菜单</t>
        </is>
      </c>
      <c r="D7020" s="24" t="inlineStr">
        <is>
          <t>500050</t>
        </is>
      </c>
      <c r="E7020" s="24" t="inlineStr">
        <is>
          <t>风险检查</t>
        </is>
      </c>
    </row>
    <row r="7021">
      <c r="B7021" s="24" t="inlineStr">
        <is>
          <t>MainMenu</t>
        </is>
      </c>
      <c r="C7021" s="24" t="inlineStr">
        <is>
          <t>主菜单</t>
        </is>
      </c>
      <c r="D7021" s="24" t="inlineStr">
        <is>
          <t>500060</t>
        </is>
      </c>
      <c r="E7021" s="24" t="inlineStr">
        <is>
          <t>资产风险分类认定申请</t>
        </is>
      </c>
    </row>
    <row r="7022">
      <c r="B7022" s="24" t="inlineStr">
        <is>
          <t>MainMenu</t>
        </is>
      </c>
      <c r="C7022" s="24" t="inlineStr">
        <is>
          <t>主菜单</t>
        </is>
      </c>
      <c r="D7022" s="24" t="inlineStr">
        <is>
          <t>500070</t>
        </is>
      </c>
      <c r="E7022" s="24" t="inlineStr">
        <is>
          <t>资产风险分类认定</t>
        </is>
      </c>
    </row>
    <row r="7023">
      <c r="B7023" s="24" t="inlineStr">
        <is>
          <t>MainMenu</t>
        </is>
      </c>
      <c r="C7023" s="24" t="inlineStr">
        <is>
          <t>主菜单</t>
        </is>
      </c>
      <c r="D7023" s="24" t="inlineStr">
        <is>
          <t>55</t>
        </is>
      </c>
      <c r="E7023" s="24" t="inlineStr">
        <is>
          <t>减值准备</t>
        </is>
      </c>
    </row>
    <row r="7024">
      <c r="B7024" s="24" t="inlineStr">
        <is>
          <t>MainMenu</t>
        </is>
      </c>
      <c r="C7024" s="24" t="inlineStr">
        <is>
          <t>主菜单</t>
        </is>
      </c>
      <c r="D7024" s="24" t="inlineStr">
        <is>
          <t>550010</t>
        </is>
      </c>
      <c r="E7024" s="24" t="inlineStr">
        <is>
          <t>单项计提减值准备数据</t>
        </is>
      </c>
    </row>
    <row r="7025">
      <c r="B7025" s="24" t="inlineStr">
        <is>
          <t>MainMenu</t>
        </is>
      </c>
      <c r="C7025" s="24" t="inlineStr">
        <is>
          <t>主菜单</t>
        </is>
      </c>
      <c r="D7025" s="24" t="inlineStr">
        <is>
          <t>550014</t>
        </is>
      </c>
      <c r="E7025" s="24" t="inlineStr">
        <is>
          <t>组合计提减值准备数据</t>
        </is>
      </c>
    </row>
    <row r="7026">
      <c r="B7026" s="24" t="inlineStr">
        <is>
          <t>MainMenu</t>
        </is>
      </c>
      <c r="C7026" s="24" t="inlineStr">
        <is>
          <t>主菜单</t>
        </is>
      </c>
      <c r="D7026" s="24" t="inlineStr">
        <is>
          <t>550015</t>
        </is>
      </c>
      <c r="E7026" s="24" t="inlineStr">
        <is>
          <t>单项计提认定申请</t>
        </is>
      </c>
    </row>
    <row r="7027">
      <c r="B7027" s="24" t="inlineStr">
        <is>
          <t>MainMenu</t>
        </is>
      </c>
      <c r="C7027" s="24" t="inlineStr">
        <is>
          <t>主菜单</t>
        </is>
      </c>
      <c r="D7027" s="24" t="inlineStr">
        <is>
          <t>550020</t>
        </is>
      </c>
      <c r="E7027" s="24" t="inlineStr">
        <is>
          <t>单项计提认定审查审批</t>
        </is>
      </c>
    </row>
    <row r="7028">
      <c r="B7028" s="24" t="inlineStr">
        <is>
          <t>MainMenu</t>
        </is>
      </c>
      <c r="C7028" s="24" t="inlineStr">
        <is>
          <t>主菜单</t>
        </is>
      </c>
      <c r="D7028" s="24" t="inlineStr">
        <is>
          <t>550030</t>
        </is>
      </c>
      <c r="E7028" s="24" t="inlineStr">
        <is>
          <t>减值准备基础参数配置</t>
        </is>
      </c>
    </row>
    <row r="7029">
      <c r="B7029" s="24" t="inlineStr">
        <is>
          <t>MainMenu</t>
        </is>
      </c>
      <c r="C7029" s="24" t="inlineStr">
        <is>
          <t>主菜单</t>
        </is>
      </c>
      <c r="D7029" s="24" t="inlineStr">
        <is>
          <t>60</t>
        </is>
      </c>
      <c r="E7029" s="24" t="inlineStr">
        <is>
          <t>担保品管理</t>
        </is>
      </c>
    </row>
    <row r="7030">
      <c r="B7030" s="24" t="inlineStr">
        <is>
          <t>MainMenu</t>
        </is>
      </c>
      <c r="C7030" s="24" t="inlineStr">
        <is>
          <t>主菜单</t>
        </is>
      </c>
      <c r="D7030" s="24" t="inlineStr">
        <is>
          <t>600010</t>
        </is>
      </c>
      <c r="E7030" s="24" t="inlineStr">
        <is>
          <t>担保合同管理</t>
        </is>
      </c>
    </row>
    <row r="7031">
      <c r="B7031" s="24" t="inlineStr">
        <is>
          <t>MainMenu</t>
        </is>
      </c>
      <c r="C7031" s="24" t="inlineStr">
        <is>
          <t>主菜单</t>
        </is>
      </c>
      <c r="D7031" s="24" t="inlineStr">
        <is>
          <t>600020</t>
        </is>
      </c>
      <c r="E7031" s="24" t="inlineStr">
        <is>
          <t>抵质押物管理</t>
        </is>
      </c>
    </row>
    <row r="7032">
      <c r="B7032" s="24" t="inlineStr">
        <is>
          <t>MainMenu</t>
        </is>
      </c>
      <c r="C7032" s="24" t="inlineStr">
        <is>
          <t>主菜单</t>
        </is>
      </c>
      <c r="D7032" s="24" t="inlineStr">
        <is>
          <t>70</t>
        </is>
      </c>
      <c r="E7032" s="24" t="inlineStr">
        <is>
          <t>资产保全管理</t>
        </is>
      </c>
    </row>
    <row r="7033">
      <c r="B7033" s="24" t="inlineStr">
        <is>
          <t>MainMenu</t>
        </is>
      </c>
      <c r="C7033" s="24" t="inlineStr">
        <is>
          <t>主菜单</t>
        </is>
      </c>
      <c r="D7033" s="24" t="inlineStr">
        <is>
          <t>700010</t>
        </is>
      </c>
      <c r="E7033" s="24" t="inlineStr">
        <is>
          <t>保全催收重组管理</t>
        </is>
      </c>
    </row>
    <row r="7034">
      <c r="B7034" s="24" t="inlineStr">
        <is>
          <t>MainMenu</t>
        </is>
      </c>
      <c r="C7034" s="24" t="inlineStr">
        <is>
          <t>主菜单</t>
        </is>
      </c>
      <c r="D7034" s="24" t="inlineStr">
        <is>
          <t>7000100010</t>
        </is>
      </c>
      <c r="E7034" s="24" t="inlineStr">
        <is>
          <t>保全催收管理</t>
        </is>
      </c>
    </row>
    <row r="7035">
      <c r="B7035" s="24" t="inlineStr">
        <is>
          <t>MainMenu</t>
        </is>
      </c>
      <c r="C7035" s="24" t="inlineStr">
        <is>
          <t>主菜单</t>
        </is>
      </c>
      <c r="D7035" s="24" t="inlineStr">
        <is>
          <t>7000100020</t>
        </is>
      </c>
      <c r="E7035" s="24" t="inlineStr">
        <is>
          <t>重组方案管理</t>
        </is>
      </c>
    </row>
    <row r="7036">
      <c r="B7036" s="24" t="inlineStr">
        <is>
          <t>MainMenu</t>
        </is>
      </c>
      <c r="C7036" s="24" t="inlineStr">
        <is>
          <t>主菜单</t>
        </is>
      </c>
      <c r="D7036" s="24" t="inlineStr">
        <is>
          <t>700030</t>
        </is>
      </c>
      <c r="E7036" s="24" t="inlineStr">
        <is>
          <t>不良资产管理</t>
        </is>
      </c>
    </row>
    <row r="7037">
      <c r="B7037" s="24" t="inlineStr">
        <is>
          <t>MainMenu</t>
        </is>
      </c>
      <c r="C7037" s="24" t="inlineStr">
        <is>
          <t>主菜单</t>
        </is>
      </c>
      <c r="D7037" s="24" t="inlineStr">
        <is>
          <t>7000300010</t>
        </is>
      </c>
      <c r="E7037" s="24" t="inlineStr">
        <is>
          <t>不良资产分发</t>
        </is>
      </c>
    </row>
    <row r="7038">
      <c r="B7038" s="24" t="inlineStr">
        <is>
          <t>MainMenu</t>
        </is>
      </c>
      <c r="C7038" s="24" t="inlineStr">
        <is>
          <t>主菜单</t>
        </is>
      </c>
      <c r="D7038" s="24" t="inlineStr">
        <is>
          <t>7000300020</t>
        </is>
      </c>
      <c r="E7038" s="24" t="inlineStr">
        <is>
          <t>不良资产日常管理</t>
        </is>
      </c>
    </row>
    <row r="7039">
      <c r="B7039" s="24" t="inlineStr">
        <is>
          <t>MainMenu</t>
        </is>
      </c>
      <c r="C7039" s="24" t="inlineStr">
        <is>
          <t>主菜单</t>
        </is>
      </c>
      <c r="D7039" s="24" t="inlineStr">
        <is>
          <t>7000300030</t>
        </is>
      </c>
      <c r="E7039" s="24" t="inlineStr">
        <is>
          <t>不良资产管理人变更</t>
        </is>
      </c>
    </row>
    <row r="7040">
      <c r="B7040" s="24" t="inlineStr">
        <is>
          <t>MainMenu</t>
        </is>
      </c>
      <c r="C7040" s="24" t="inlineStr">
        <is>
          <t>主菜单</t>
        </is>
      </c>
      <c r="D7040" s="24" t="inlineStr">
        <is>
          <t>700040</t>
        </is>
      </c>
      <c r="E7040" s="24" t="inlineStr">
        <is>
          <t>法律事务管理</t>
        </is>
      </c>
    </row>
    <row r="7041">
      <c r="B7041" s="24" t="inlineStr">
        <is>
          <t>MainMenu</t>
        </is>
      </c>
      <c r="C7041" s="24" t="inlineStr">
        <is>
          <t>主菜单</t>
        </is>
      </c>
      <c r="D7041" s="24" t="inlineStr">
        <is>
          <t>7000400010</t>
        </is>
      </c>
      <c r="E7041" s="24" t="inlineStr">
        <is>
          <t>法律事务日常管理</t>
        </is>
      </c>
    </row>
    <row r="7042">
      <c r="B7042" s="24" t="inlineStr">
        <is>
          <t>MainMenu</t>
        </is>
      </c>
      <c r="C7042" s="24" t="inlineStr">
        <is>
          <t>主菜单</t>
        </is>
      </c>
      <c r="D7042" s="24" t="inlineStr">
        <is>
          <t>7000400020</t>
        </is>
      </c>
      <c r="E7042" s="24" t="inlineStr">
        <is>
          <t>案件管理人变更</t>
        </is>
      </c>
    </row>
    <row r="7043">
      <c r="B7043" s="24" t="inlineStr">
        <is>
          <t>MainMenu</t>
        </is>
      </c>
      <c r="C7043" s="24" t="inlineStr">
        <is>
          <t>主菜单</t>
        </is>
      </c>
      <c r="D7043" s="24" t="inlineStr">
        <is>
          <t>7000400030</t>
        </is>
      </c>
      <c r="E7043" s="24" t="inlineStr">
        <is>
          <t>代理机构及代理人管理</t>
        </is>
      </c>
    </row>
    <row r="7044">
      <c r="B7044" s="24" t="inlineStr">
        <is>
          <t>MainMenu</t>
        </is>
      </c>
      <c r="C7044" s="24" t="inlineStr">
        <is>
          <t>主菜单</t>
        </is>
      </c>
      <c r="D7044" s="24" t="inlineStr">
        <is>
          <t>7000400040</t>
        </is>
      </c>
      <c r="E7044" s="24" t="inlineStr">
        <is>
          <t>受理机关及受理人管理</t>
        </is>
      </c>
    </row>
    <row r="7045">
      <c r="B7045" s="24" t="inlineStr">
        <is>
          <t>MainMenu</t>
        </is>
      </c>
      <c r="C7045" s="24" t="inlineStr">
        <is>
          <t>主菜单</t>
        </is>
      </c>
      <c r="D7045" s="24" t="inlineStr">
        <is>
          <t>700050</t>
        </is>
      </c>
      <c r="E7045" s="24" t="inlineStr">
        <is>
          <t>抵债资产管理</t>
        </is>
      </c>
    </row>
    <row r="7046">
      <c r="B7046" s="24" t="inlineStr">
        <is>
          <t>MainMenu</t>
        </is>
      </c>
      <c r="C7046" s="24" t="inlineStr">
        <is>
          <t>主菜单</t>
        </is>
      </c>
      <c r="D7046" s="24" t="inlineStr">
        <is>
          <t>7000500010</t>
        </is>
      </c>
      <c r="E7046" s="24" t="inlineStr">
        <is>
          <t>抵债资产日常管理</t>
        </is>
      </c>
    </row>
    <row r="7047">
      <c r="B7047" s="24" t="inlineStr">
        <is>
          <t>MainMenu</t>
        </is>
      </c>
      <c r="C7047" s="24" t="inlineStr">
        <is>
          <t>主菜单</t>
        </is>
      </c>
      <c r="D7047" s="24" t="inlineStr">
        <is>
          <t>7000500020</t>
        </is>
      </c>
      <c r="E7047" s="24" t="inlineStr">
        <is>
          <t>抵债资产管理人变更</t>
        </is>
      </c>
    </row>
    <row r="7048">
      <c r="B7048" s="24" t="inlineStr">
        <is>
          <t>MainMenu</t>
        </is>
      </c>
      <c r="C7048" s="24" t="inlineStr">
        <is>
          <t>主菜单</t>
        </is>
      </c>
      <c r="D7048" s="24" t="inlineStr">
        <is>
          <t>80</t>
        </is>
      </c>
      <c r="E7048" s="24" t="inlineStr">
        <is>
          <t>统计查询</t>
        </is>
      </c>
    </row>
    <row r="7049">
      <c r="B7049" s="24" t="inlineStr">
        <is>
          <t>MainMenu</t>
        </is>
      </c>
      <c r="C7049" s="24" t="inlineStr">
        <is>
          <t>主菜单</t>
        </is>
      </c>
      <c r="D7049" s="24" t="inlineStr">
        <is>
          <t>800010</t>
        </is>
      </c>
      <c r="E7049" s="24" t="inlineStr">
        <is>
          <t>固定报表查询</t>
        </is>
      </c>
    </row>
    <row r="7050">
      <c r="B7050" s="24" t="inlineStr">
        <is>
          <t>MainMenu</t>
        </is>
      </c>
      <c r="C7050" s="24" t="inlineStr">
        <is>
          <t>主菜单</t>
        </is>
      </c>
      <c r="D7050" s="24" t="inlineStr">
        <is>
          <t>800020</t>
        </is>
      </c>
      <c r="E7050" s="24" t="inlineStr">
        <is>
          <t>快速统计查询</t>
        </is>
      </c>
    </row>
    <row r="7051">
      <c r="B7051" s="24" t="inlineStr">
        <is>
          <t>MainMenu</t>
        </is>
      </c>
      <c r="C7051" s="24" t="inlineStr">
        <is>
          <t>主菜单</t>
        </is>
      </c>
      <c r="D7051" s="24" t="inlineStr">
        <is>
          <t>800030</t>
        </is>
      </c>
      <c r="E7051" s="24" t="inlineStr">
        <is>
          <t>灵活统计查询</t>
        </is>
      </c>
    </row>
    <row r="7052">
      <c r="B7052" s="24" t="inlineStr">
        <is>
          <t>MainMenu</t>
        </is>
      </c>
      <c r="C7052" s="24" t="inlineStr">
        <is>
          <t>主菜单</t>
        </is>
      </c>
      <c r="D7052" s="24" t="inlineStr">
        <is>
          <t>800040</t>
        </is>
      </c>
      <c r="E7052" s="24" t="inlineStr">
        <is>
          <t>文档管理</t>
        </is>
      </c>
    </row>
    <row r="7053">
      <c r="B7053" s="24" t="inlineStr">
        <is>
          <t>MainMenu</t>
        </is>
      </c>
      <c r="C7053" s="24" t="inlineStr">
        <is>
          <t>主菜单</t>
        </is>
      </c>
      <c r="D7053" s="24" t="inlineStr">
        <is>
          <t>800050</t>
        </is>
      </c>
      <c r="E7053" s="24" t="inlineStr">
        <is>
          <t>信息补登</t>
        </is>
      </c>
    </row>
    <row r="7054">
      <c r="B7054" s="24" t="inlineStr">
        <is>
          <t>MainMenu</t>
        </is>
      </c>
      <c r="C7054" s="24" t="inlineStr">
        <is>
          <t>主菜单</t>
        </is>
      </c>
      <c r="D7054" s="24" t="inlineStr">
        <is>
          <t>800060</t>
        </is>
      </c>
      <c r="E7054" s="24" t="inlineStr">
        <is>
          <t>还款计算器</t>
        </is>
      </c>
    </row>
    <row r="7055">
      <c r="B7055" s="24" t="inlineStr">
        <is>
          <t>MainMenu</t>
        </is>
      </c>
      <c r="C7055" s="24" t="inlineStr">
        <is>
          <t>主菜单</t>
        </is>
      </c>
      <c r="D7055" s="24" t="inlineStr">
        <is>
          <t>90</t>
        </is>
      </c>
      <c r="E7055" s="24" t="inlineStr">
        <is>
          <t>系统管理</t>
        </is>
      </c>
    </row>
    <row r="7056">
      <c r="B7056" s="24" t="inlineStr">
        <is>
          <t>MainMenu</t>
        </is>
      </c>
      <c r="C7056" s="24" t="inlineStr">
        <is>
          <t>主菜单</t>
        </is>
      </c>
      <c r="D7056" s="24" t="inlineStr">
        <is>
          <t>900010</t>
        </is>
      </c>
      <c r="E7056" s="24" t="inlineStr">
        <is>
          <t>机构管理</t>
        </is>
      </c>
    </row>
    <row r="7057">
      <c r="B7057" s="24" t="inlineStr">
        <is>
          <t>MainMenu</t>
        </is>
      </c>
      <c r="C7057" s="24" t="inlineStr">
        <is>
          <t>主菜单</t>
        </is>
      </c>
      <c r="D7057" s="24" t="inlineStr">
        <is>
          <t>900020</t>
        </is>
      </c>
      <c r="E7057" s="24" t="inlineStr">
        <is>
          <t>用户管理</t>
        </is>
      </c>
    </row>
    <row r="7058">
      <c r="B7058" s="24" t="inlineStr">
        <is>
          <t>MainMenu</t>
        </is>
      </c>
      <c r="C7058" s="24" t="inlineStr">
        <is>
          <t>主菜单</t>
        </is>
      </c>
      <c r="D7058" s="24" t="inlineStr">
        <is>
          <t>900030</t>
        </is>
      </c>
      <c r="E7058" s="24" t="inlineStr">
        <is>
          <t>角色管理</t>
        </is>
      </c>
    </row>
    <row r="7059">
      <c r="B7059" s="24" t="inlineStr">
        <is>
          <t>MainMenu</t>
        </is>
      </c>
      <c r="C7059" s="24" t="inlineStr">
        <is>
          <t>主菜单</t>
        </is>
      </c>
      <c r="D7059" s="24" t="inlineStr">
        <is>
          <t>900050</t>
        </is>
      </c>
      <c r="E7059" s="24" t="inlineStr">
        <is>
          <t>安全审计查询</t>
        </is>
      </c>
    </row>
    <row r="7060">
      <c r="B7060" s="24" t="inlineStr">
        <is>
          <t>MainMenu</t>
        </is>
      </c>
      <c r="C7060" s="24" t="inlineStr">
        <is>
          <t>主菜单</t>
        </is>
      </c>
      <c r="D7060" s="24" t="inlineStr">
        <is>
          <t>900060</t>
        </is>
      </c>
      <c r="E7060" s="24" t="inlineStr">
        <is>
          <t>流程查询</t>
        </is>
      </c>
    </row>
    <row r="7061">
      <c r="B7061" s="24" t="inlineStr">
        <is>
          <t>MainMenu</t>
        </is>
      </c>
      <c r="C7061" s="24" t="inlineStr">
        <is>
          <t>主菜单</t>
        </is>
      </c>
      <c r="D7061" s="24" t="inlineStr">
        <is>
          <t>900100</t>
        </is>
      </c>
      <c r="E7061" s="24" t="inlineStr">
        <is>
          <t>基础配置</t>
        </is>
      </c>
    </row>
    <row r="7062">
      <c r="B7062" s="24" t="inlineStr">
        <is>
          <t>MainMenu</t>
        </is>
      </c>
      <c r="C7062" s="24" t="inlineStr">
        <is>
          <t>主菜单</t>
        </is>
      </c>
      <c r="D7062" s="24" t="inlineStr">
        <is>
          <t>900120</t>
        </is>
      </c>
      <c r="E7062" s="24" t="inlineStr">
        <is>
          <t>控制台</t>
        </is>
      </c>
    </row>
    <row r="7063">
      <c r="B7063" s="24" t="inlineStr">
        <is>
          <t>MainMenu</t>
        </is>
      </c>
      <c r="C7063" s="24" t="inlineStr">
        <is>
          <t>主菜单</t>
        </is>
      </c>
      <c r="D7063" s="24" t="inlineStr">
        <is>
          <t>900130</t>
        </is>
      </c>
      <c r="E7063" s="24" t="inlineStr">
        <is>
          <t>示例</t>
        </is>
      </c>
    </row>
    <row r="7064">
      <c r="B7064" s="24" t="inlineStr">
        <is>
          <t>MainMenu</t>
        </is>
      </c>
      <c r="C7064" s="24" t="inlineStr">
        <is>
          <t>主菜单</t>
        </is>
      </c>
      <c r="D7064" s="24" t="inlineStr">
        <is>
          <t>900140</t>
        </is>
      </c>
      <c r="E7064" s="24" t="inlineStr">
        <is>
          <t>综合信息管理</t>
        </is>
      </c>
    </row>
    <row r="7065" ht="15.95" customHeight="1" s="170">
      <c r="B7065" s="122" t="inlineStr">
        <is>
          <t>码值：GroupRelation</t>
        </is>
      </c>
    </row>
    <row r="7066">
      <c r="B7066" s="24" t="inlineStr">
        <is>
          <t>GroupRelation</t>
        </is>
      </c>
      <c r="C7066" s="24" t="inlineStr">
        <is>
          <t>集团成员类型</t>
        </is>
      </c>
      <c r="D7066" s="24" t="inlineStr">
        <is>
          <t>10</t>
        </is>
      </c>
      <c r="E7066" s="24" t="inlineStr">
        <is>
          <t>实体集团成员类型</t>
        </is>
      </c>
    </row>
    <row r="7067">
      <c r="B7067" s="24" t="inlineStr">
        <is>
          <t>GroupRelation</t>
        </is>
      </c>
      <c r="C7067" s="24" t="inlineStr">
        <is>
          <t>集团成员类型</t>
        </is>
      </c>
      <c r="D7067" s="24" t="inlineStr">
        <is>
          <t>1010</t>
        </is>
      </c>
      <c r="E7067" s="24" t="inlineStr">
        <is>
          <t>母公司</t>
        </is>
      </c>
    </row>
    <row r="7068">
      <c r="B7068" s="24" t="inlineStr">
        <is>
          <t>GroupRelation</t>
        </is>
      </c>
      <c r="C7068" s="24" t="inlineStr">
        <is>
          <t>集团成员类型</t>
        </is>
      </c>
      <c r="D7068" s="24" t="inlineStr">
        <is>
          <t>1020</t>
        </is>
      </c>
      <c r="E7068" s="24" t="inlineStr">
        <is>
          <t>子公司</t>
        </is>
      </c>
    </row>
    <row r="7069">
      <c r="B7069" s="24" t="inlineStr">
        <is>
          <t>GroupRelation</t>
        </is>
      </c>
      <c r="C7069" s="24" t="inlineStr">
        <is>
          <t>集团成员类型</t>
        </is>
      </c>
      <c r="D7069" s="24" t="inlineStr">
        <is>
          <t>20</t>
        </is>
      </c>
      <c r="E7069" s="24" t="inlineStr">
        <is>
          <t>虚拟集团成员类型</t>
        </is>
      </c>
    </row>
    <row r="7070">
      <c r="B7070" s="24" t="inlineStr">
        <is>
          <t>GroupRelation</t>
        </is>
      </c>
      <c r="C7070" s="24" t="inlineStr">
        <is>
          <t>集团成员类型</t>
        </is>
      </c>
      <c r="D7070" s="24" t="inlineStr">
        <is>
          <t>2010</t>
        </is>
      </c>
      <c r="E7070" s="24" t="inlineStr">
        <is>
          <t>一般成员</t>
        </is>
      </c>
    </row>
    <row r="7071" ht="15.95" customHeight="1" s="170">
      <c r="B7071" s="122" t="inlineStr">
        <is>
          <t>码值：CodeMethod</t>
        </is>
      </c>
    </row>
    <row r="7072">
      <c r="B7072" s="24" t="inlineStr">
        <is>
          <t>CodeMethod</t>
        </is>
      </c>
      <c r="C7072" s="24" t="inlineStr">
        <is>
          <t>默认格式</t>
        </is>
      </c>
      <c r="D7072" s="24" t="inlineStr">
        <is>
          <t>AUTO</t>
        </is>
      </c>
      <c r="E7072" s="24" t="inlineStr">
        <is>
          <t>自动读取</t>
        </is>
      </c>
    </row>
    <row r="7073">
      <c r="B7073" s="24" t="inlineStr">
        <is>
          <t>CodeMethod</t>
        </is>
      </c>
      <c r="C7073" s="24" t="inlineStr">
        <is>
          <t>默认格式</t>
        </is>
      </c>
      <c r="D7073" s="24" t="inlineStr">
        <is>
          <t>CODE</t>
        </is>
      </c>
      <c r="E7073" s="24" t="inlineStr">
        <is>
          <t>代码</t>
        </is>
      </c>
    </row>
    <row r="7074">
      <c r="B7074" s="24" t="inlineStr">
        <is>
          <t>CodeMethod</t>
        </is>
      </c>
      <c r="C7074" s="24" t="inlineStr">
        <is>
          <t>默认格式</t>
        </is>
      </c>
      <c r="D7074" s="24" t="inlineStr">
        <is>
          <t>CODELIST</t>
        </is>
      </c>
      <c r="E7074" s="24" t="inlineStr">
        <is>
          <t>代码表</t>
        </is>
      </c>
    </row>
    <row r="7075">
      <c r="B7075" s="24" t="inlineStr">
        <is>
          <t>CodeMethod</t>
        </is>
      </c>
      <c r="C7075" s="24" t="inlineStr">
        <is>
          <t>默认格式</t>
        </is>
      </c>
      <c r="D7075" s="24" t="inlineStr">
        <is>
          <t>CUSTOM</t>
        </is>
      </c>
      <c r="E7075" s="24" t="inlineStr">
        <is>
          <t>自定义</t>
        </is>
      </c>
    </row>
    <row r="7076">
      <c r="B7076" s="24" t="inlineStr">
        <is>
          <t>CodeMethod</t>
        </is>
      </c>
      <c r="C7076" s="24" t="inlineStr">
        <is>
          <t>默认格式</t>
        </is>
      </c>
      <c r="D7076" s="24" t="inlineStr">
        <is>
          <t>INPUT</t>
        </is>
      </c>
      <c r="E7076" s="24" t="inlineStr">
        <is>
          <t>手工输入</t>
        </is>
      </c>
    </row>
    <row r="7077">
      <c r="B7077" s="24" t="inlineStr">
        <is>
          <t>CodeMethod</t>
        </is>
      </c>
      <c r="C7077" s="24" t="inlineStr">
        <is>
          <t>默认格式</t>
        </is>
      </c>
      <c r="D7077" s="24" t="inlineStr">
        <is>
          <t>JAVA</t>
        </is>
      </c>
      <c r="E7077" s="24" t="inlineStr">
        <is>
          <t>JAVA方法</t>
        </is>
      </c>
    </row>
    <row r="7078">
      <c r="B7078" s="24" t="inlineStr">
        <is>
          <t>CodeMethod</t>
        </is>
      </c>
      <c r="C7078" s="24" t="inlineStr">
        <is>
          <t>默认格式</t>
        </is>
      </c>
      <c r="D7078" s="24" t="inlineStr">
        <is>
          <t>JBO</t>
        </is>
      </c>
      <c r="E7078" s="24" t="inlineStr">
        <is>
          <t>JBO</t>
        </is>
      </c>
    </row>
    <row r="7079">
      <c r="B7079" s="24" t="inlineStr">
        <is>
          <t>CodeMethod</t>
        </is>
      </c>
      <c r="C7079" s="24" t="inlineStr">
        <is>
          <t>默认格式</t>
        </is>
      </c>
      <c r="D7079" s="24" t="inlineStr">
        <is>
          <t>TABLE</t>
        </is>
      </c>
      <c r="E7079" s="24" t="inlineStr">
        <is>
          <t>表格</t>
        </is>
      </c>
    </row>
    <row r="7080" ht="15.95" customHeight="1" s="170">
      <c r="B7080" s="122" t="inlineStr">
        <is>
          <t>码值：CreditPutoutApplySMEMain</t>
        </is>
      </c>
    </row>
    <row r="7081">
      <c r="B7081" s="24" t="inlineStr">
        <is>
          <t>CreditPutoutApplySMEMain</t>
        </is>
      </c>
      <c r="C7081" s="24" t="inlineStr">
        <is>
          <t>小微放贷申请主树图</t>
        </is>
      </c>
      <c r="D7081" s="24" t="inlineStr">
        <is>
          <t>1010</t>
        </is>
      </c>
      <c r="E7081" s="24" t="inlineStr">
        <is>
          <t>待处理</t>
        </is>
      </c>
    </row>
    <row r="7082">
      <c r="B7082" s="24" t="inlineStr">
        <is>
          <t>CreditPutoutApplySMEMain</t>
        </is>
      </c>
      <c r="C7082" s="24" t="inlineStr">
        <is>
          <t>小微放贷申请主树图</t>
        </is>
      </c>
      <c r="D7082" s="24" t="inlineStr">
        <is>
          <t>1020</t>
        </is>
      </c>
      <c r="E7082" s="24" t="inlineStr">
        <is>
          <t>审批中</t>
        </is>
      </c>
    </row>
    <row r="7083">
      <c r="B7083" s="24" t="inlineStr">
        <is>
          <t>CreditPutoutApplySMEMain</t>
        </is>
      </c>
      <c r="C7083" s="24" t="inlineStr">
        <is>
          <t>小微放贷申请主树图</t>
        </is>
      </c>
      <c r="D7083" s="24" t="inlineStr">
        <is>
          <t>1040,1050</t>
        </is>
      </c>
      <c r="E7083" s="24" t="inlineStr">
        <is>
          <t>处理完成</t>
        </is>
      </c>
    </row>
    <row r="7084" ht="15.95" customHeight="1" s="170">
      <c r="B7084" s="122" t="inlineStr">
        <is>
          <t>码值：EntReadOnlyView</t>
        </is>
      </c>
    </row>
    <row r="7085">
      <c r="B7085" s="24" t="inlineStr">
        <is>
          <t>EntReadOnlyView</t>
        </is>
      </c>
      <c r="C7085" s="24" t="inlineStr">
        <is>
          <t xml:space="preserve">客户信息视图	</t>
        </is>
      </c>
      <c r="D7085" s="24" t="inlineStr">
        <is>
          <t>0010</t>
        </is>
      </c>
      <c r="E7085" s="24" t="inlineStr">
        <is>
          <t>客户概况</t>
        </is>
      </c>
    </row>
    <row r="7086">
      <c r="B7086" s="24" t="inlineStr">
        <is>
          <t>EntReadOnlyView</t>
        </is>
      </c>
      <c r="C7086" s="24" t="inlineStr">
        <is>
          <t xml:space="preserve">客户信息视图	</t>
        </is>
      </c>
      <c r="D7086" s="24" t="inlineStr">
        <is>
          <t>0020</t>
        </is>
      </c>
      <c r="E7086" s="24" t="inlineStr">
        <is>
          <t>客户评级情况</t>
        </is>
      </c>
    </row>
    <row r="7087">
      <c r="B7087" s="24" t="inlineStr">
        <is>
          <t>EntReadOnlyView</t>
        </is>
      </c>
      <c r="C7087" s="24" t="inlineStr">
        <is>
          <t xml:space="preserve">客户信息视图	</t>
        </is>
      </c>
      <c r="D7087" s="24" t="inlineStr">
        <is>
          <t>0030</t>
        </is>
      </c>
      <c r="E7087" s="24" t="inlineStr">
        <is>
          <t>最近重大变更事项</t>
        </is>
      </c>
    </row>
    <row r="7088">
      <c r="B7088" s="24" t="inlineStr">
        <is>
          <t>EntReadOnlyView</t>
        </is>
      </c>
      <c r="C7088" s="24" t="inlineStr">
        <is>
          <t xml:space="preserve">客户信息视图	</t>
        </is>
      </c>
      <c r="D7088" s="24" t="inlineStr">
        <is>
          <t>0040</t>
        </is>
      </c>
      <c r="E7088" s="24" t="inlineStr">
        <is>
          <t>股票及债券发行图谱</t>
        </is>
      </c>
    </row>
    <row r="7089">
      <c r="B7089" s="24" t="inlineStr">
        <is>
          <t>EntReadOnlyView</t>
        </is>
      </c>
      <c r="C7089" s="24" t="inlineStr">
        <is>
          <t xml:space="preserve">客户信息视图	</t>
        </is>
      </c>
      <c r="D7089" s="24" t="inlineStr">
        <is>
          <t>0050</t>
        </is>
      </c>
      <c r="E7089" s="24" t="inlineStr">
        <is>
          <t>所属集团家谱</t>
        </is>
      </c>
    </row>
    <row r="7090">
      <c r="B7090" s="24" t="inlineStr">
        <is>
          <t>EntReadOnlyView</t>
        </is>
      </c>
      <c r="C7090" s="24" t="inlineStr">
        <is>
          <t xml:space="preserve">客户信息视图	</t>
        </is>
      </c>
      <c r="D7090" s="24" t="inlineStr">
        <is>
          <t>0060</t>
        </is>
      </c>
      <c r="E7090" s="24" t="inlineStr">
        <is>
          <t>客户名单制情况</t>
        </is>
      </c>
    </row>
    <row r="7091">
      <c r="B7091" s="24" t="inlineStr">
        <is>
          <t>EntReadOnlyView</t>
        </is>
      </c>
      <c r="C7091" s="24" t="inlineStr">
        <is>
          <t xml:space="preserve">客户信息视图	</t>
        </is>
      </c>
      <c r="D7091" s="24" t="inlineStr">
        <is>
          <t>0070</t>
        </is>
      </c>
      <c r="E7091" s="24" t="inlineStr">
        <is>
          <t>客户贡献度信息</t>
        </is>
      </c>
    </row>
    <row r="7092">
      <c r="B7092" s="24" t="inlineStr">
        <is>
          <t>EntReadOnlyView</t>
        </is>
      </c>
      <c r="C7092" s="24" t="inlineStr">
        <is>
          <t xml:space="preserve">客户信息视图	</t>
        </is>
      </c>
      <c r="D7092" s="24" t="inlineStr">
        <is>
          <t>0080</t>
        </is>
      </c>
      <c r="E7092" s="24" t="inlineStr">
        <is>
          <t>客户关联关系图谱</t>
        </is>
      </c>
    </row>
    <row r="7093">
      <c r="B7093" s="24" t="inlineStr">
        <is>
          <t>EntReadOnlyView</t>
        </is>
      </c>
      <c r="C7093" s="24" t="inlineStr">
        <is>
          <t xml:space="preserve">客户信息视图	</t>
        </is>
      </c>
      <c r="D7093" s="24" t="inlineStr">
        <is>
          <t>0090</t>
        </is>
      </c>
      <c r="E7093" s="24" t="inlineStr">
        <is>
          <t>财务信息</t>
        </is>
      </c>
    </row>
    <row r="7094">
      <c r="B7094" s="24" t="inlineStr">
        <is>
          <t>EntReadOnlyView</t>
        </is>
      </c>
      <c r="C7094" s="24" t="inlineStr">
        <is>
          <t xml:space="preserve">客户信息视图	</t>
        </is>
      </c>
      <c r="D7094" s="24" t="inlineStr">
        <is>
          <t>0100</t>
        </is>
      </c>
      <c r="E7094" s="24" t="inlineStr">
        <is>
          <t>授信申报情况</t>
        </is>
      </c>
    </row>
    <row r="7095">
      <c r="B7095" s="24" t="inlineStr">
        <is>
          <t>EntReadOnlyView</t>
        </is>
      </c>
      <c r="C7095" s="24" t="inlineStr">
        <is>
          <t xml:space="preserve">客户信息视图	</t>
        </is>
      </c>
      <c r="D7095" s="24" t="inlineStr">
        <is>
          <t>0110</t>
        </is>
      </c>
      <c r="E7095" s="24" t="inlineStr">
        <is>
          <t>贷后检查</t>
        </is>
      </c>
    </row>
    <row r="7096">
      <c r="B7096" s="24" t="inlineStr">
        <is>
          <t>EntReadOnlyView</t>
        </is>
      </c>
      <c r="C7096" s="24" t="inlineStr">
        <is>
          <t xml:space="preserve">客户信息视图	</t>
        </is>
      </c>
      <c r="D7096" s="24" t="inlineStr">
        <is>
          <t>0120</t>
        </is>
      </c>
      <c r="E7096" s="24" t="inlineStr">
        <is>
          <t>预警信息</t>
        </is>
      </c>
    </row>
    <row r="7097">
      <c r="B7097" s="24" t="inlineStr">
        <is>
          <t>EntReadOnlyView</t>
        </is>
      </c>
      <c r="C7097" s="24" t="inlineStr">
        <is>
          <t xml:space="preserve">客户信息视图	</t>
        </is>
      </c>
      <c r="D7097" s="24" t="inlineStr">
        <is>
          <t>0130</t>
        </is>
      </c>
      <c r="E7097" s="24" t="inlineStr">
        <is>
          <t>风险分类信息</t>
        </is>
      </c>
    </row>
    <row r="7098" ht="15.95" customHeight="1" s="170">
      <c r="B7098" s="122" t="inlineStr">
        <is>
          <t>码值：CheckResult</t>
        </is>
      </c>
    </row>
    <row r="7099">
      <c r="B7099" s="24" t="inlineStr">
        <is>
          <t>CheckResult</t>
        </is>
      </c>
      <c r="C7099" s="24" t="inlineStr">
        <is>
          <t>核实结果</t>
        </is>
      </c>
      <c r="D7099" s="24" t="inlineStr">
        <is>
          <t>010</t>
        </is>
      </c>
      <c r="E7099" s="24" t="inlineStr">
        <is>
          <t>有误</t>
        </is>
      </c>
    </row>
    <row r="7100">
      <c r="B7100" s="24" t="inlineStr">
        <is>
          <t>CheckResult</t>
        </is>
      </c>
      <c r="C7100" s="24" t="inlineStr">
        <is>
          <t>核实结果</t>
        </is>
      </c>
      <c r="D7100" s="24" t="inlineStr">
        <is>
          <t>020</t>
        </is>
      </c>
      <c r="E7100" s="24" t="inlineStr">
        <is>
          <t>正确</t>
        </is>
      </c>
    </row>
    <row r="7101">
      <c r="B7101" s="24" t="inlineStr">
        <is>
          <t>CheckResult</t>
        </is>
      </c>
      <c r="C7101" s="24" t="inlineStr">
        <is>
          <t>核实结果</t>
        </is>
      </c>
      <c r="D7101" s="24" t="inlineStr">
        <is>
          <t>030</t>
        </is>
      </c>
      <c r="E7101" s="24" t="inlineStr">
        <is>
          <t>未核实</t>
        </is>
      </c>
    </row>
    <row r="7102" ht="15.95" customHeight="1" s="170">
      <c r="B7102" s="122" t="inlineStr">
        <is>
          <t>码值：RenewInsuranceFlag</t>
        </is>
      </c>
    </row>
    <row r="7103">
      <c r="B7103" s="24" t="inlineStr">
        <is>
          <t>RenewInsuranceFlag</t>
        </is>
      </c>
      <c r="C7103" s="24" t="inlineStr">
        <is>
          <t>续保标志</t>
        </is>
      </c>
      <c r="D7103" s="24" t="inlineStr">
        <is>
          <t>0</t>
        </is>
      </c>
      <c r="E7103" s="24" t="inlineStr">
        <is>
          <t>未续保</t>
        </is>
      </c>
    </row>
    <row r="7104">
      <c r="B7104" s="24" t="inlineStr">
        <is>
          <t>RenewInsuranceFlag</t>
        </is>
      </c>
      <c r="C7104" s="24" t="inlineStr">
        <is>
          <t>续保标志</t>
        </is>
      </c>
      <c r="D7104" s="24" t="inlineStr">
        <is>
          <t>1</t>
        </is>
      </c>
      <c r="E7104" s="24" t="inlineStr">
        <is>
          <t>已续保</t>
        </is>
      </c>
    </row>
    <row r="7105" ht="15.95" customHeight="1" s="170">
      <c r="B7105" s="122" t="inlineStr">
        <is>
          <t>码值：产品需求稳定性</t>
        </is>
      </c>
    </row>
    <row r="7106">
      <c r="B7106" s="24" t="inlineStr">
        <is>
          <t>产品需求稳定性</t>
        </is>
      </c>
      <c r="C7106" s="24" t="inlineStr">
        <is>
          <t>产品需求稳定性</t>
        </is>
      </c>
      <c r="D7106" s="24" t="inlineStr">
        <is>
          <t>01</t>
        </is>
      </c>
      <c r="E7106" s="24" t="inlineStr">
        <is>
          <t>产品需求不受产品更新周期影响，同时具有很强的抵御经济周期的能力</t>
        </is>
      </c>
    </row>
    <row r="7107">
      <c r="B7107" s="24" t="inlineStr">
        <is>
          <t>产品需求稳定性</t>
        </is>
      </c>
      <c r="C7107" s="24" t="inlineStr">
        <is>
          <t>产品需求稳定性</t>
        </is>
      </c>
      <c r="D7107" s="24" t="inlineStr">
        <is>
          <t>02</t>
        </is>
      </c>
      <c r="E7107" s="24" t="inlineStr">
        <is>
          <t>产品需求受产品更新周期的影响较小，同时具有较强的抵御经济周期的能力</t>
        </is>
      </c>
    </row>
    <row r="7108">
      <c r="B7108" s="24" t="inlineStr">
        <is>
          <t>产品需求稳定性</t>
        </is>
      </c>
      <c r="C7108" s="24" t="inlineStr">
        <is>
          <t>产品需求稳定性</t>
        </is>
      </c>
      <c r="D7108" s="24" t="inlineStr">
        <is>
          <t>03</t>
        </is>
      </c>
      <c r="E7108" s="24" t="inlineStr">
        <is>
          <t>产品需求受产品更新周期的影响适中，抵御经济周期的能力一般</t>
        </is>
      </c>
    </row>
    <row r="7109">
      <c r="B7109" s="24" t="inlineStr">
        <is>
          <t>产品需求稳定性</t>
        </is>
      </c>
      <c r="C7109" s="24" t="inlineStr">
        <is>
          <t>产品需求稳定性</t>
        </is>
      </c>
      <c r="D7109" s="24" t="inlineStr">
        <is>
          <t>04</t>
        </is>
      </c>
      <c r="E7109" s="24" t="inlineStr">
        <is>
          <t>产品需求受产品更新周期的影响较大，或者随经济周期有较大的波动</t>
        </is>
      </c>
    </row>
    <row r="7110">
      <c r="B7110" s="24" t="inlineStr">
        <is>
          <t>产品需求稳定性</t>
        </is>
      </c>
      <c r="C7110" s="24" t="inlineStr">
        <is>
          <t>产品需求稳定性</t>
        </is>
      </c>
      <c r="D7110" s="24" t="inlineStr">
        <is>
          <t>05</t>
        </is>
      </c>
      <c r="E7110" s="24" t="inlineStr">
        <is>
          <t>产品需求受产品更新周期的影响非常大，或者随经济周期有显著的波动</t>
        </is>
      </c>
    </row>
    <row r="7111" ht="15.95" customHeight="1" s="170">
      <c r="B7111" s="122" t="inlineStr">
        <is>
          <t>码值：AddType</t>
        </is>
      </c>
    </row>
    <row r="7112">
      <c r="B7112" s="24" t="inlineStr">
        <is>
          <t>AddType</t>
        </is>
      </c>
      <c r="C7112" s="24" t="inlineStr">
        <is>
          <t>地址类型</t>
        </is>
      </c>
      <c r="D7112" s="24" t="inlineStr">
        <is>
          <t>010</t>
        </is>
      </c>
      <c r="E7112" s="24" t="inlineStr">
        <is>
          <t>注册地址</t>
        </is>
      </c>
    </row>
    <row r="7113">
      <c r="B7113" s="24" t="inlineStr">
        <is>
          <t>AddType</t>
        </is>
      </c>
      <c r="C7113" s="24" t="inlineStr">
        <is>
          <t>地址类型</t>
        </is>
      </c>
      <c r="D7113" s="24" t="inlineStr">
        <is>
          <t>020</t>
        </is>
      </c>
      <c r="E7113" s="24" t="inlineStr">
        <is>
          <t>办公地址</t>
        </is>
      </c>
    </row>
    <row r="7114">
      <c r="B7114" s="24" t="inlineStr">
        <is>
          <t>AddType</t>
        </is>
      </c>
      <c r="C7114" s="24" t="inlineStr">
        <is>
          <t>地址类型</t>
        </is>
      </c>
      <c r="D7114" s="24" t="inlineStr">
        <is>
          <t>030</t>
        </is>
      </c>
      <c r="E7114" s="24" t="inlineStr">
        <is>
          <t>永久地址</t>
        </is>
      </c>
    </row>
    <row r="7115">
      <c r="B7115" s="24" t="inlineStr">
        <is>
          <t>AddType</t>
        </is>
      </c>
      <c r="C7115" s="24" t="inlineStr">
        <is>
          <t>地址类型</t>
        </is>
      </c>
      <c r="D7115" s="24" t="inlineStr">
        <is>
          <t>040</t>
        </is>
      </c>
      <c r="E7115" s="24" t="inlineStr">
        <is>
          <t>经营场所地址</t>
        </is>
      </c>
    </row>
    <row r="7116">
      <c r="B7116" s="24" t="inlineStr">
        <is>
          <t>AddType</t>
        </is>
      </c>
      <c r="C7116" s="24" t="inlineStr">
        <is>
          <t>地址类型</t>
        </is>
      </c>
      <c r="D7116" s="24" t="inlineStr">
        <is>
          <t>090</t>
        </is>
      </c>
      <c r="E7116" s="24" t="inlineStr">
        <is>
          <t>其他地址</t>
        </is>
      </c>
    </row>
    <row r="7117" ht="15.95" customHeight="1" s="170">
      <c r="B7117" s="122" t="inlineStr">
        <is>
          <t>码值：CustomerType2</t>
        </is>
      </c>
    </row>
    <row r="7118">
      <c r="B7118" s="24" t="inlineStr">
        <is>
          <t>CustomerType2</t>
        </is>
      </c>
      <c r="C7118" s="24" t="inlineStr">
        <is>
          <t>客户类型</t>
        </is>
      </c>
      <c r="D7118" s="24" t="inlineStr">
        <is>
          <t>01</t>
        </is>
      </c>
      <c r="E7118" s="24" t="inlineStr">
        <is>
          <t>公司客户</t>
        </is>
      </c>
    </row>
    <row r="7119">
      <c r="B7119" s="24" t="inlineStr">
        <is>
          <t>CustomerType2</t>
        </is>
      </c>
      <c r="C7119" s="24" t="inlineStr">
        <is>
          <t>客户类型</t>
        </is>
      </c>
      <c r="D7119" s="24" t="inlineStr">
        <is>
          <t>02</t>
        </is>
      </c>
      <c r="E7119" s="24" t="inlineStr">
        <is>
          <t>集团客户</t>
        </is>
      </c>
    </row>
    <row r="7120" ht="15.95" customHeight="1" s="170">
      <c r="B7120" s="122" t="inlineStr">
        <is>
          <t>码值：房地产企业资质等级</t>
        </is>
      </c>
    </row>
    <row r="7121">
      <c r="B7121" s="24" t="inlineStr">
        <is>
          <t>房地产企业资质等级</t>
        </is>
      </c>
      <c r="C7121" s="24" t="inlineStr">
        <is>
          <t>房地产企业资质等级</t>
        </is>
      </c>
      <c r="D7121" s="24" t="inlineStr">
        <is>
          <t>1</t>
        </is>
      </c>
      <c r="E7121" s="24" t="inlineStr">
        <is>
          <t>一级</t>
        </is>
      </c>
    </row>
    <row r="7122">
      <c r="B7122" s="24" t="inlineStr">
        <is>
          <t>房地产企业资质等级</t>
        </is>
      </c>
      <c r="C7122" s="24" t="inlineStr">
        <is>
          <t>房地产企业资质等级</t>
        </is>
      </c>
      <c r="D7122" s="24" t="inlineStr">
        <is>
          <t>2</t>
        </is>
      </c>
      <c r="E7122" s="24" t="inlineStr">
        <is>
          <t>二级</t>
        </is>
      </c>
    </row>
    <row r="7123">
      <c r="B7123" s="24" t="inlineStr">
        <is>
          <t>房地产企业资质等级</t>
        </is>
      </c>
      <c r="C7123" s="24" t="inlineStr">
        <is>
          <t>房地产企业资质等级</t>
        </is>
      </c>
      <c r="D7123" s="24" t="inlineStr">
        <is>
          <t>3</t>
        </is>
      </c>
      <c r="E7123" s="24" t="inlineStr">
        <is>
          <t>暂二级</t>
        </is>
      </c>
    </row>
    <row r="7124">
      <c r="B7124" s="24" t="inlineStr">
        <is>
          <t>房地产企业资质等级</t>
        </is>
      </c>
      <c r="C7124" s="24" t="inlineStr">
        <is>
          <t>房地产企业资质等级</t>
        </is>
      </c>
      <c r="D7124" s="24" t="inlineStr">
        <is>
          <t>4</t>
        </is>
      </c>
      <c r="E7124" s="24" t="inlineStr">
        <is>
          <t>三级</t>
        </is>
      </c>
    </row>
    <row r="7125">
      <c r="B7125" s="24" t="inlineStr">
        <is>
          <t>房地产企业资质等级</t>
        </is>
      </c>
      <c r="C7125" s="24" t="inlineStr">
        <is>
          <t>房地产企业资质等级</t>
        </is>
      </c>
      <c r="D7125" s="24" t="inlineStr">
        <is>
          <t>5</t>
        </is>
      </c>
      <c r="E7125" s="24" t="inlineStr">
        <is>
          <t>暂三级</t>
        </is>
      </c>
    </row>
    <row r="7126">
      <c r="B7126" s="24" t="inlineStr">
        <is>
          <t>房地产企业资质等级</t>
        </is>
      </c>
      <c r="C7126" s="24" t="inlineStr">
        <is>
          <t>房地产企业资质等级</t>
        </is>
      </c>
      <c r="D7126" s="24" t="inlineStr">
        <is>
          <t>6</t>
        </is>
      </c>
      <c r="E7126" s="24" t="inlineStr">
        <is>
          <t>无等级</t>
        </is>
      </c>
    </row>
    <row r="7127" ht="15.95" customHeight="1" s="170">
      <c r="B7127" s="122" t="inlineStr">
        <is>
          <t>码值：PaymentStatus</t>
        </is>
      </c>
    </row>
    <row r="7128">
      <c r="B7128" s="24" t="inlineStr">
        <is>
          <t>PaymentStatus</t>
        </is>
      </c>
      <c r="C7128" s="24" t="inlineStr">
        <is>
          <t>支付状态</t>
        </is>
      </c>
      <c r="D7128" s="24" t="inlineStr">
        <is>
          <t>000</t>
        </is>
      </c>
      <c r="E7128" s="24" t="inlineStr">
        <is>
          <t>待处理</t>
        </is>
      </c>
    </row>
    <row r="7129">
      <c r="B7129" s="24" t="inlineStr">
        <is>
          <t>PaymentStatus</t>
        </is>
      </c>
      <c r="C7129" s="24" t="inlineStr">
        <is>
          <t>支付状态</t>
        </is>
      </c>
      <c r="D7129" s="24" t="inlineStr">
        <is>
          <t>010</t>
        </is>
      </c>
      <c r="E7129" s="24" t="inlineStr">
        <is>
          <t>处理中</t>
        </is>
      </c>
    </row>
    <row r="7130">
      <c r="B7130" s="24" t="inlineStr">
        <is>
          <t>PaymentStatus</t>
        </is>
      </c>
      <c r="C7130" s="24" t="inlineStr">
        <is>
          <t>支付状态</t>
        </is>
      </c>
      <c r="D7130" s="24" t="inlineStr">
        <is>
          <t>020</t>
        </is>
      </c>
      <c r="E7130" s="24" t="inlineStr">
        <is>
          <t>已完成</t>
        </is>
      </c>
    </row>
    <row r="7131">
      <c r="B7131" s="24" t="inlineStr">
        <is>
          <t>PaymentStatus</t>
        </is>
      </c>
      <c r="C7131" s="24" t="inlineStr">
        <is>
          <t>支付状态</t>
        </is>
      </c>
      <c r="D7131" s="24" t="inlineStr">
        <is>
          <t>030</t>
        </is>
      </c>
      <c r="E7131" s="24" t="inlineStr">
        <is>
          <t>失败</t>
        </is>
      </c>
    </row>
    <row r="7132" ht="15.95" customHeight="1" s="170">
      <c r="B7132" s="122" t="inlineStr">
        <is>
          <t>码值：ApprovePutoutMain</t>
        </is>
      </c>
    </row>
    <row r="7133">
      <c r="B7133" s="24" t="inlineStr">
        <is>
          <t>ApprovePutoutMain</t>
        </is>
      </c>
      <c r="C7133" s="24" t="inlineStr">
        <is>
          <t>授信业务出帐审批判断</t>
        </is>
      </c>
      <c r="D7133" s="24" t="inlineStr">
        <is>
          <t>N</t>
        </is>
      </c>
      <c r="E7133" s="24" t="inlineStr">
        <is>
          <t>待办任务</t>
        </is>
      </c>
    </row>
    <row r="7134">
      <c r="B7134" s="24" t="inlineStr">
        <is>
          <t>ApprovePutoutMain</t>
        </is>
      </c>
      <c r="C7134" s="24" t="inlineStr">
        <is>
          <t>授信业务出帐审批判断</t>
        </is>
      </c>
      <c r="D7134" s="24" t="inlineStr">
        <is>
          <t>Y</t>
        </is>
      </c>
      <c r="E7134" s="24" t="inlineStr">
        <is>
          <t>已办任务</t>
        </is>
      </c>
    </row>
    <row r="7135">
      <c r="B7135" s="24" t="inlineStr">
        <is>
          <t>ApprovePutoutMain</t>
        </is>
      </c>
      <c r="C7135" s="24" t="inlineStr">
        <is>
          <t>授信业务出帐审批判断</t>
        </is>
      </c>
      <c r="D7135" s="24" t="inlineStr">
        <is>
          <t>当前工作/已完成工作</t>
        </is>
      </c>
      <c r="E7135" s="24" t="inlineStr">
        <is>
          <t>阶段名称</t>
        </is>
      </c>
    </row>
    <row r="7136" ht="15.95" customHeight="1" s="170">
      <c r="B7136" s="122" t="inlineStr">
        <is>
          <t>码值：品牌</t>
        </is>
      </c>
    </row>
    <row r="7137">
      <c r="B7137" s="24" t="inlineStr">
        <is>
          <t>品牌</t>
        </is>
      </c>
      <c r="C7137" s="24" t="inlineStr">
        <is>
          <t>品牌</t>
        </is>
      </c>
      <c r="D7137" s="24" t="inlineStr">
        <is>
          <t>1</t>
        </is>
      </c>
      <c r="E7137" s="24" t="inlineStr">
        <is>
          <t>老字号或著名品牌</t>
        </is>
      </c>
    </row>
    <row r="7138">
      <c r="B7138" s="24" t="inlineStr">
        <is>
          <t>品牌</t>
        </is>
      </c>
      <c r="C7138" s="24" t="inlineStr">
        <is>
          <t>品牌</t>
        </is>
      </c>
      <c r="D7138" s="24" t="inlineStr">
        <is>
          <t>2</t>
        </is>
      </c>
      <c r="E7138" s="24" t="inlineStr">
        <is>
          <t>无</t>
        </is>
      </c>
    </row>
    <row r="7139" ht="15.95" customHeight="1" s="170">
      <c r="B7139" s="122" t="inlineStr">
        <is>
          <t>码值：ConfiguratorTree</t>
        </is>
      </c>
    </row>
    <row r="7140">
      <c r="B7140" s="24" t="inlineStr">
        <is>
          <t>ConfiguratorTree</t>
        </is>
      </c>
      <c r="C7140" s="24" t="inlineStr">
        <is>
          <t>在线配置树图</t>
        </is>
      </c>
      <c r="D7140" s="24" t="inlineStr">
        <is>
          <t>00</t>
        </is>
      </c>
      <c r="E7140" s="24" t="inlineStr">
        <is>
          <t>控制中心</t>
        </is>
      </c>
    </row>
    <row r="7141">
      <c r="B7141" s="24" t="inlineStr">
        <is>
          <t>ConfiguratorTree</t>
        </is>
      </c>
      <c r="C7141" s="24" t="inlineStr">
        <is>
          <t>在线配置树图</t>
        </is>
      </c>
      <c r="D7141" s="24" t="inlineStr">
        <is>
          <t>10</t>
        </is>
      </c>
      <c r="E7141" s="24" t="inlineStr">
        <is>
          <t>基础设置</t>
        </is>
      </c>
    </row>
    <row r="7142">
      <c r="B7142" s="24" t="inlineStr">
        <is>
          <t>ConfiguratorTree</t>
        </is>
      </c>
      <c r="C7142" s="24" t="inlineStr">
        <is>
          <t>在线配置树图</t>
        </is>
      </c>
      <c r="D7142" s="24" t="inlineStr">
        <is>
          <t>1010</t>
        </is>
      </c>
      <c r="E7142" s="24" t="inlineStr">
        <is>
          <t>代码管理</t>
        </is>
      </c>
    </row>
    <row r="7143">
      <c r="B7143" s="24" t="inlineStr">
        <is>
          <t>ConfiguratorTree</t>
        </is>
      </c>
      <c r="C7143" s="24" t="inlineStr">
        <is>
          <t>在线配置树图</t>
        </is>
      </c>
      <c r="D7143" s="24" t="inlineStr">
        <is>
          <t>101010</t>
        </is>
      </c>
      <c r="E7143" s="24" t="inlineStr">
        <is>
          <t>代码目录</t>
        </is>
      </c>
    </row>
    <row r="7144">
      <c r="B7144" s="24" t="inlineStr">
        <is>
          <t>ConfiguratorTree</t>
        </is>
      </c>
      <c r="C7144" s="24" t="inlineStr">
        <is>
          <t>在线配置树图</t>
        </is>
      </c>
      <c r="D7144" s="24" t="inlineStr">
        <is>
          <t>101020</t>
        </is>
      </c>
      <c r="E7144" s="24" t="inlineStr">
        <is>
          <t>代码</t>
        </is>
      </c>
    </row>
    <row r="7145">
      <c r="B7145" s="24" t="inlineStr">
        <is>
          <t>ConfiguratorTree</t>
        </is>
      </c>
      <c r="C7145" s="24" t="inlineStr">
        <is>
          <t>在线配置树图</t>
        </is>
      </c>
      <c r="D7145" s="24" t="inlineStr">
        <is>
          <t>1020</t>
        </is>
      </c>
      <c r="E7145" s="24" t="inlineStr">
        <is>
          <t>类及方法</t>
        </is>
      </c>
    </row>
    <row r="7146">
      <c r="B7146" s="24" t="inlineStr">
        <is>
          <t>ConfiguratorTree</t>
        </is>
      </c>
      <c r="C7146" s="24" t="inlineStr">
        <is>
          <t>在线配置树图</t>
        </is>
      </c>
      <c r="D7146" s="24" t="inlineStr">
        <is>
          <t>102010</t>
        </is>
      </c>
      <c r="E7146" s="24" t="inlineStr">
        <is>
          <t>类</t>
        </is>
      </c>
    </row>
    <row r="7147">
      <c r="B7147" s="24" t="inlineStr">
        <is>
          <t>ConfiguratorTree</t>
        </is>
      </c>
      <c r="C7147" s="24" t="inlineStr">
        <is>
          <t>在线配置树图</t>
        </is>
      </c>
      <c r="D7147" s="24" t="inlineStr">
        <is>
          <t>102020</t>
        </is>
      </c>
      <c r="E7147" s="24" t="inlineStr">
        <is>
          <t>方法</t>
        </is>
      </c>
    </row>
    <row r="7148">
      <c r="B7148" s="24" t="inlineStr">
        <is>
          <t>ConfiguratorTree</t>
        </is>
      </c>
      <c r="C7148" s="24" t="inlineStr">
        <is>
          <t>在线配置树图</t>
        </is>
      </c>
      <c r="D7148" s="24" t="inlineStr">
        <is>
          <t>1030</t>
        </is>
      </c>
      <c r="E7148" s="24" t="inlineStr">
        <is>
          <t>业务对象管理</t>
        </is>
      </c>
    </row>
    <row r="7149">
      <c r="B7149" s="24" t="inlineStr">
        <is>
          <t>ConfiguratorTree</t>
        </is>
      </c>
      <c r="C7149" s="24" t="inlineStr">
        <is>
          <t>在线配置树图</t>
        </is>
      </c>
      <c r="D7149" s="24" t="inlineStr">
        <is>
          <t>103010</t>
        </is>
      </c>
      <c r="E7149" s="24" t="inlineStr">
        <is>
          <t>对象类型</t>
        </is>
      </c>
    </row>
    <row r="7150">
      <c r="B7150" s="24" t="inlineStr">
        <is>
          <t>ConfiguratorTree</t>
        </is>
      </c>
      <c r="C7150" s="24" t="inlineStr">
        <is>
          <t>在线配置树图</t>
        </is>
      </c>
      <c r="D7150" s="24" t="inlineStr">
        <is>
          <t>103020</t>
        </is>
      </c>
      <c r="E7150" s="24" t="inlineStr">
        <is>
          <t>对象类型Tab</t>
        </is>
      </c>
    </row>
    <row r="7151">
      <c r="B7151" s="24" t="inlineStr">
        <is>
          <t>ConfiguratorTree</t>
        </is>
      </c>
      <c r="C7151" s="24" t="inlineStr">
        <is>
          <t>在线配置树图</t>
        </is>
      </c>
      <c r="D7151" s="24" t="inlineStr">
        <is>
          <t>1050</t>
        </is>
      </c>
      <c r="E7151" s="24" t="inlineStr">
        <is>
          <t>选择对话框</t>
        </is>
      </c>
    </row>
    <row r="7152">
      <c r="B7152" s="24" t="inlineStr">
        <is>
          <t>ConfiguratorTree</t>
        </is>
      </c>
      <c r="C7152" s="24" t="inlineStr">
        <is>
          <t>在线配置树图</t>
        </is>
      </c>
      <c r="D7152" s="24" t="inlineStr">
        <is>
          <t>105010</t>
        </is>
      </c>
      <c r="E7152" s="24" t="inlineStr">
        <is>
          <t>列表选择</t>
        </is>
      </c>
    </row>
    <row r="7153">
      <c r="B7153" s="24" t="inlineStr">
        <is>
          <t>ConfiguratorTree</t>
        </is>
      </c>
      <c r="C7153" s="24" t="inlineStr">
        <is>
          <t>在线配置树图</t>
        </is>
      </c>
      <c r="D7153" s="24" t="inlineStr">
        <is>
          <t>105020</t>
        </is>
      </c>
      <c r="E7153" s="24" t="inlineStr">
        <is>
          <t>树型选择</t>
        </is>
      </c>
    </row>
    <row r="7154">
      <c r="B7154" s="24" t="inlineStr">
        <is>
          <t>ConfiguratorTree</t>
        </is>
      </c>
      <c r="C7154" s="24" t="inlineStr">
        <is>
          <t>在线配置树图</t>
        </is>
      </c>
      <c r="D7154" s="24" t="inlineStr">
        <is>
          <t>20</t>
        </is>
      </c>
      <c r="E7154" s="24" t="inlineStr">
        <is>
          <t>应用及组件配置</t>
        </is>
      </c>
    </row>
    <row r="7155">
      <c r="B7155" s="24" t="inlineStr">
        <is>
          <t>ConfiguratorTree</t>
        </is>
      </c>
      <c r="C7155" s="24" t="inlineStr">
        <is>
          <t>在线配置树图</t>
        </is>
      </c>
      <c r="D7155" s="24" t="inlineStr">
        <is>
          <t>2050</t>
        </is>
      </c>
      <c r="E7155" s="24" t="inlineStr">
        <is>
          <t>功能</t>
        </is>
      </c>
    </row>
    <row r="7156">
      <c r="B7156" s="24" t="inlineStr">
        <is>
          <t>ConfiguratorTree</t>
        </is>
      </c>
      <c r="C7156" s="24" t="inlineStr">
        <is>
          <t>在线配置树图</t>
        </is>
      </c>
      <c r="D7156" s="24" t="inlineStr">
        <is>
          <t>2060</t>
        </is>
      </c>
      <c r="E7156" s="24" t="inlineStr">
        <is>
          <t>数据对象</t>
        </is>
      </c>
    </row>
    <row r="7157">
      <c r="B7157" s="24" t="inlineStr">
        <is>
          <t>ConfiguratorTree</t>
        </is>
      </c>
      <c r="C7157" s="24" t="inlineStr">
        <is>
          <t>在线配置树图</t>
        </is>
      </c>
      <c r="D7157" s="24" t="inlineStr">
        <is>
          <t>40</t>
        </is>
      </c>
      <c r="E7157" s="24" t="inlineStr">
        <is>
          <t>接口配置</t>
        </is>
      </c>
    </row>
    <row r="7158">
      <c r="B7158" s="24" t="inlineStr">
        <is>
          <t>ConfiguratorTree</t>
        </is>
      </c>
      <c r="C7158" s="24" t="inlineStr">
        <is>
          <t>在线配置树图</t>
        </is>
      </c>
      <c r="D7158" s="24" t="inlineStr">
        <is>
          <t>4010</t>
        </is>
      </c>
      <c r="E7158" s="24" t="inlineStr">
        <is>
          <t>批量接口</t>
        </is>
      </c>
    </row>
    <row r="7159">
      <c r="B7159" s="24" t="inlineStr">
        <is>
          <t>ConfiguratorTree</t>
        </is>
      </c>
      <c r="C7159" s="24" t="inlineStr">
        <is>
          <t>在线配置树图</t>
        </is>
      </c>
      <c r="D7159" s="24" t="inlineStr">
        <is>
          <t>401010</t>
        </is>
      </c>
      <c r="E7159" s="24" t="inlineStr">
        <is>
          <t>元数据配置</t>
        </is>
      </c>
    </row>
    <row r="7160">
      <c r="B7160" s="24" t="inlineStr">
        <is>
          <t>ConfiguratorTree</t>
        </is>
      </c>
      <c r="C7160" s="24" t="inlineStr">
        <is>
          <t>在线配置树图</t>
        </is>
      </c>
      <c r="D7160" s="24" t="inlineStr">
        <is>
          <t>40101010</t>
        </is>
      </c>
      <c r="E7160" s="24" t="inlineStr">
        <is>
          <t>内部标准域配置</t>
        </is>
      </c>
    </row>
    <row r="7161">
      <c r="B7161" s="24" t="inlineStr">
        <is>
          <t>ConfiguratorTree</t>
        </is>
      </c>
      <c r="C7161" s="24" t="inlineStr">
        <is>
          <t>在线配置树图</t>
        </is>
      </c>
      <c r="D7161" s="24" t="inlineStr">
        <is>
          <t>40101020</t>
        </is>
      </c>
      <c r="E7161" s="24" t="inlineStr">
        <is>
          <t>应用视图模型配置</t>
        </is>
      </c>
    </row>
    <row r="7162">
      <c r="B7162" s="24" t="inlineStr">
        <is>
          <t>ConfiguratorTree</t>
        </is>
      </c>
      <c r="C7162" s="24" t="inlineStr">
        <is>
          <t>在线配置树图</t>
        </is>
      </c>
      <c r="D7162" s="24" t="inlineStr">
        <is>
          <t>40101030</t>
        </is>
      </c>
      <c r="E7162" s="24" t="inlineStr">
        <is>
          <t>应用视图结构配置</t>
        </is>
      </c>
    </row>
    <row r="7163">
      <c r="B7163" s="24" t="inlineStr">
        <is>
          <t>ConfiguratorTree</t>
        </is>
      </c>
      <c r="C7163" s="24" t="inlineStr">
        <is>
          <t>在线配置树图</t>
        </is>
      </c>
      <c r="D7163" s="24" t="inlineStr">
        <is>
          <t>40101040</t>
        </is>
      </c>
      <c r="E7163" s="24" t="inlineStr">
        <is>
          <t>应用视图字段配置</t>
        </is>
      </c>
    </row>
    <row r="7164">
      <c r="B7164" s="24" t="inlineStr">
        <is>
          <t>ConfiguratorTree</t>
        </is>
      </c>
      <c r="C7164" s="24" t="inlineStr">
        <is>
          <t>在线配置树图</t>
        </is>
      </c>
      <c r="D7164" s="24" t="inlineStr">
        <is>
          <t>401020</t>
        </is>
      </c>
      <c r="E7164" s="24" t="inlineStr">
        <is>
          <t>处理流程配置</t>
        </is>
      </c>
    </row>
    <row r="7165">
      <c r="B7165" s="24" t="inlineStr">
        <is>
          <t>ConfiguratorTree</t>
        </is>
      </c>
      <c r="C7165" s="24" t="inlineStr">
        <is>
          <t>在线配置树图</t>
        </is>
      </c>
      <c r="D7165" s="24" t="inlineStr">
        <is>
          <t>40102010</t>
        </is>
      </c>
      <c r="E7165" s="24" t="inlineStr">
        <is>
          <t>处理流程配置</t>
        </is>
      </c>
    </row>
    <row r="7166">
      <c r="B7166" s="24" t="inlineStr">
        <is>
          <t>ConfiguratorTree</t>
        </is>
      </c>
      <c r="C7166" s="24" t="inlineStr">
        <is>
          <t>在线配置树图</t>
        </is>
      </c>
      <c r="D7166" s="24" t="inlineStr">
        <is>
          <t>40102020</t>
        </is>
      </c>
      <c r="E7166" s="24" t="inlineStr">
        <is>
          <t>流程子任务配置</t>
        </is>
      </c>
    </row>
    <row r="7167">
      <c r="B7167" s="24" t="inlineStr">
        <is>
          <t>ConfiguratorTree</t>
        </is>
      </c>
      <c r="C7167" s="24" t="inlineStr">
        <is>
          <t>在线配置树图</t>
        </is>
      </c>
      <c r="D7167" s="24" t="inlineStr">
        <is>
          <t>40102030</t>
        </is>
      </c>
      <c r="E7167" s="24" t="inlineStr">
        <is>
          <t>衍生字段配置</t>
        </is>
      </c>
    </row>
    <row r="7168">
      <c r="B7168" s="24" t="inlineStr">
        <is>
          <t>ConfiguratorTree</t>
        </is>
      </c>
      <c r="C7168" s="24" t="inlineStr">
        <is>
          <t>在线配置树图</t>
        </is>
      </c>
      <c r="D7168" s="24" t="inlineStr">
        <is>
          <t>401030</t>
        </is>
      </c>
      <c r="E7168" s="24" t="inlineStr">
        <is>
          <t>处理算法配置</t>
        </is>
      </c>
    </row>
    <row r="7169">
      <c r="B7169" s="24" t="inlineStr">
        <is>
          <t>ConfiguratorTree</t>
        </is>
      </c>
      <c r="C7169" s="24" t="inlineStr">
        <is>
          <t>在线配置树图</t>
        </is>
      </c>
      <c r="D7169" s="24" t="inlineStr">
        <is>
          <t>40103010</t>
        </is>
      </c>
      <c r="E7169" s="24" t="inlineStr">
        <is>
          <t>处理算法配置</t>
        </is>
      </c>
    </row>
    <row r="7170">
      <c r="B7170" s="24" t="inlineStr">
        <is>
          <t>ConfiguratorTree</t>
        </is>
      </c>
      <c r="C7170" s="24" t="inlineStr">
        <is>
          <t>在线配置树图</t>
        </is>
      </c>
      <c r="D7170" s="24" t="inlineStr">
        <is>
          <t>40103020</t>
        </is>
      </c>
      <c r="E7170" s="24" t="inlineStr">
        <is>
          <t>处理算法内容配置</t>
        </is>
      </c>
    </row>
    <row r="7171">
      <c r="B7171" s="24" t="inlineStr">
        <is>
          <t>ConfiguratorTree</t>
        </is>
      </c>
      <c r="C7171" s="24" t="inlineStr">
        <is>
          <t>在线配置树图</t>
        </is>
      </c>
      <c r="D7171" s="24" t="inlineStr">
        <is>
          <t>40103030</t>
        </is>
      </c>
      <c r="E7171" s="24" t="inlineStr">
        <is>
          <t>处理算法公式配置</t>
        </is>
      </c>
    </row>
    <row r="7172">
      <c r="B7172" s="24" t="inlineStr">
        <is>
          <t>ConfiguratorTree</t>
        </is>
      </c>
      <c r="C7172" s="24" t="inlineStr">
        <is>
          <t>在线配置树图</t>
        </is>
      </c>
      <c r="D7172" s="24" t="inlineStr">
        <is>
          <t>401040</t>
        </is>
      </c>
      <c r="E7172" s="24" t="inlineStr">
        <is>
          <t>系统参数配置</t>
        </is>
      </c>
    </row>
    <row r="7173">
      <c r="B7173" s="24" t="inlineStr">
        <is>
          <t>ConfiguratorTree</t>
        </is>
      </c>
      <c r="C7173" s="24" t="inlineStr">
        <is>
          <t>在线配置树图</t>
        </is>
      </c>
      <c r="D7173" s="24" t="inlineStr">
        <is>
          <t>40104010</t>
        </is>
      </c>
      <c r="E7173" s="24" t="inlineStr">
        <is>
          <t>系统参数表配置</t>
        </is>
      </c>
    </row>
    <row r="7174">
      <c r="B7174" s="24" t="inlineStr">
        <is>
          <t>ConfiguratorTree</t>
        </is>
      </c>
      <c r="C7174" s="24" t="inlineStr">
        <is>
          <t>在线配置树图</t>
        </is>
      </c>
      <c r="D7174" s="24" t="inlineStr">
        <is>
          <t>40104020</t>
        </is>
      </c>
      <c r="E7174" s="24" t="inlineStr">
        <is>
          <t>系统序号表配置</t>
        </is>
      </c>
    </row>
    <row r="7175">
      <c r="B7175" s="24" t="inlineStr">
        <is>
          <t>ConfiguratorTree</t>
        </is>
      </c>
      <c r="C7175" s="24" t="inlineStr">
        <is>
          <t>在线配置树图</t>
        </is>
      </c>
      <c r="D7175" s="24" t="inlineStr">
        <is>
          <t>40104030</t>
        </is>
      </c>
      <c r="E7175" s="24" t="inlineStr">
        <is>
          <t>处理机信息配置</t>
        </is>
      </c>
    </row>
    <row r="7176">
      <c r="B7176" s="24" t="inlineStr">
        <is>
          <t>ConfiguratorTree</t>
        </is>
      </c>
      <c r="C7176" s="24" t="inlineStr">
        <is>
          <t>在线配置树图</t>
        </is>
      </c>
      <c r="D7176" s="24" t="inlineStr">
        <is>
          <t>4020</t>
        </is>
      </c>
      <c r="E7176" s="24" t="inlineStr">
        <is>
          <t>实时接口</t>
        </is>
      </c>
    </row>
    <row r="7177">
      <c r="B7177" s="24" t="inlineStr">
        <is>
          <t>ConfiguratorTree</t>
        </is>
      </c>
      <c r="C7177" s="24" t="inlineStr">
        <is>
          <t>在线配置树图</t>
        </is>
      </c>
      <c r="D7177" s="24" t="inlineStr">
        <is>
          <t>402010</t>
        </is>
      </c>
      <c r="E7177" s="24" t="inlineStr">
        <is>
          <t>通讯链接配置</t>
        </is>
      </c>
    </row>
    <row r="7178">
      <c r="B7178" s="24" t="inlineStr">
        <is>
          <t>ConfiguratorTree</t>
        </is>
      </c>
      <c r="C7178" s="24" t="inlineStr">
        <is>
          <t>在线配置树图</t>
        </is>
      </c>
      <c r="D7178" s="24" t="inlineStr">
        <is>
          <t>402020</t>
        </is>
      </c>
      <c r="E7178" s="24" t="inlineStr">
        <is>
          <t>通讯格式基本信息配置</t>
        </is>
      </c>
    </row>
    <row r="7179">
      <c r="B7179" s="24" t="inlineStr">
        <is>
          <t>ConfiguratorTree</t>
        </is>
      </c>
      <c r="C7179" s="24" t="inlineStr">
        <is>
          <t>在线配置树图</t>
        </is>
      </c>
      <c r="D7179" s="24" t="inlineStr">
        <is>
          <t>402030</t>
        </is>
      </c>
      <c r="E7179" s="24" t="inlineStr">
        <is>
          <t>交易基本信息配置</t>
        </is>
      </c>
    </row>
    <row r="7180">
      <c r="B7180" s="24" t="inlineStr">
        <is>
          <t>ConfiguratorTree</t>
        </is>
      </c>
      <c r="C7180" s="24" t="inlineStr">
        <is>
          <t>在线配置树图</t>
        </is>
      </c>
      <c r="D7180" s="24" t="inlineStr">
        <is>
          <t>402040</t>
        </is>
      </c>
      <c r="E7180" s="24" t="inlineStr">
        <is>
          <t>通讯报文的详细域配置</t>
        </is>
      </c>
    </row>
    <row r="7181" ht="15.95" customHeight="1" s="170">
      <c r="B7181" s="122" t="inlineStr">
        <is>
          <t>码值：OverIntType</t>
        </is>
      </c>
    </row>
    <row r="7182">
      <c r="B7182" s="24" t="inlineStr">
        <is>
          <t>OverIntType</t>
        </is>
      </c>
      <c r="C7182" s="24" t="inlineStr">
        <is>
          <t>逾期计息方式</t>
        </is>
      </c>
      <c r="D7182" s="24" t="inlineStr">
        <is>
          <t>0</t>
        </is>
      </c>
      <c r="E7182" s="24" t="inlineStr">
        <is>
          <t>逾期利率</t>
        </is>
      </c>
    </row>
    <row r="7183">
      <c r="B7183" s="24" t="inlineStr">
        <is>
          <t>OverIntType</t>
        </is>
      </c>
      <c r="C7183" s="24" t="inlineStr">
        <is>
          <t>逾期计息方式</t>
        </is>
      </c>
      <c r="D7183" s="24" t="inlineStr">
        <is>
          <t>1</t>
        </is>
      </c>
      <c r="E7183" s="24" t="inlineStr">
        <is>
          <t>逾期罚息</t>
        </is>
      </c>
    </row>
    <row r="7184" ht="15.95" customHeight="1" s="170">
      <c r="B7184" s="122" t="inlineStr">
        <is>
          <t>码值：Facticity</t>
        </is>
      </c>
    </row>
    <row r="7185">
      <c r="B7185" s="24" t="inlineStr">
        <is>
          <t>Facticity</t>
        </is>
      </c>
      <c r="C7185" s="24" t="inlineStr">
        <is>
          <t>押品真实性标志</t>
        </is>
      </c>
      <c r="D7185" s="24" t="inlineStr">
        <is>
          <t>0</t>
        </is>
      </c>
      <c r="E7185" s="24" t="inlineStr">
        <is>
          <t>真实</t>
        </is>
      </c>
    </row>
    <row r="7186">
      <c r="B7186" s="24" t="inlineStr">
        <is>
          <t>Facticity</t>
        </is>
      </c>
      <c r="C7186" s="24" t="inlineStr">
        <is>
          <t>押品真实性标志</t>
        </is>
      </c>
      <c r="D7186" s="24" t="inlineStr">
        <is>
          <t>1</t>
        </is>
      </c>
      <c r="E7186" s="24" t="inlineStr">
        <is>
          <t>不真实</t>
        </is>
      </c>
    </row>
    <row r="7187" ht="15.95" customHeight="1" s="170">
      <c r="B7187" s="122" t="inlineStr">
        <is>
          <t>码值：FreezeType</t>
        </is>
      </c>
    </row>
    <row r="7188">
      <c r="B7188" s="24" t="inlineStr">
        <is>
          <t>FreezeType</t>
        </is>
      </c>
      <c r="C7188" s="24" t="inlineStr">
        <is>
          <t>冻结方式</t>
        </is>
      </c>
      <c r="D7188" s="24" t="inlineStr">
        <is>
          <t>1</t>
        </is>
      </c>
      <c r="E7188" s="24" t="inlineStr">
        <is>
          <t>只收不付</t>
        </is>
      </c>
    </row>
    <row r="7189">
      <c r="B7189" s="24" t="inlineStr">
        <is>
          <t>FreezeType</t>
        </is>
      </c>
      <c r="C7189" s="24" t="inlineStr">
        <is>
          <t>冻结方式</t>
        </is>
      </c>
      <c r="D7189" s="24" t="inlineStr">
        <is>
          <t>2</t>
        </is>
      </c>
      <c r="E7189" s="24" t="inlineStr">
        <is>
          <t>不收不付</t>
        </is>
      </c>
    </row>
    <row r="7190">
      <c r="B7190" s="24" t="inlineStr">
        <is>
          <t>FreezeType</t>
        </is>
      </c>
      <c r="C7190" s="24" t="inlineStr">
        <is>
          <t>冻结方式</t>
        </is>
      </c>
      <c r="D7190" s="24" t="inlineStr">
        <is>
          <t>3</t>
        </is>
      </c>
      <c r="E7190" s="24" t="inlineStr">
        <is>
          <t>部分冻结</t>
        </is>
      </c>
    </row>
    <row r="7191" ht="15.95" customHeight="1" s="170">
      <c r="B7191" s="122" t="inlineStr">
        <is>
          <t>码值：MaritalStatus</t>
        </is>
      </c>
    </row>
    <row r="7192">
      <c r="B7192" s="24" t="inlineStr">
        <is>
          <t>MaritalStatus</t>
        </is>
      </c>
      <c r="C7192" s="24" t="inlineStr">
        <is>
          <t>信用等级评估统一导入</t>
        </is>
      </c>
      <c r="D7192" s="24" t="inlineStr">
        <is>
          <t>01</t>
        </is>
      </c>
      <c r="E7192" s="24" t="inlineStr">
        <is>
          <t>未婚</t>
        </is>
      </c>
    </row>
    <row r="7193">
      <c r="B7193" s="24" t="inlineStr">
        <is>
          <t>MaritalStatus</t>
        </is>
      </c>
      <c r="C7193" s="24" t="inlineStr">
        <is>
          <t>信用等级评估统一导入</t>
        </is>
      </c>
      <c r="D7193" s="24" t="inlineStr">
        <is>
          <t>02</t>
        </is>
      </c>
      <c r="E7193" s="24" t="inlineStr">
        <is>
          <t>已婚无子女</t>
        </is>
      </c>
    </row>
    <row r="7194">
      <c r="B7194" s="24" t="inlineStr">
        <is>
          <t>MaritalStatus</t>
        </is>
      </c>
      <c r="C7194" s="24" t="inlineStr">
        <is>
          <t>信用等级评估统一导入</t>
        </is>
      </c>
      <c r="D7194" s="24" t="inlineStr">
        <is>
          <t>03</t>
        </is>
      </c>
      <c r="E7194" s="24" t="inlineStr">
        <is>
          <t>已婚且有子女</t>
        </is>
      </c>
    </row>
    <row r="7195">
      <c r="B7195" s="24" t="inlineStr">
        <is>
          <t>MaritalStatus</t>
        </is>
      </c>
      <c r="C7195" s="24" t="inlineStr">
        <is>
          <t>信用等级评估统一导入</t>
        </is>
      </c>
      <c r="D7195" s="24" t="inlineStr">
        <is>
          <t>04</t>
        </is>
      </c>
      <c r="E7195" s="24" t="inlineStr">
        <is>
          <t>其它</t>
        </is>
      </c>
    </row>
    <row r="7196" ht="15.95" customHeight="1" s="170">
      <c r="B7196" s="122" t="inlineStr">
        <is>
          <t>码值：Payment</t>
        </is>
      </c>
    </row>
    <row r="7197">
      <c r="B7197" s="24" t="inlineStr">
        <is>
          <t>Payment</t>
        </is>
      </c>
      <c r="C7197" s="24" t="inlineStr">
        <is>
          <t>支付方式</t>
        </is>
      </c>
      <c r="D7197" s="24" t="inlineStr">
        <is>
          <t>010</t>
        </is>
      </c>
      <c r="E7197" s="24" t="inlineStr">
        <is>
          <t>一次性支付</t>
        </is>
      </c>
    </row>
    <row r="7198">
      <c r="B7198" s="24" t="inlineStr">
        <is>
          <t>Payment</t>
        </is>
      </c>
      <c r="C7198" s="24" t="inlineStr">
        <is>
          <t>支付方式</t>
        </is>
      </c>
      <c r="D7198" s="24" t="inlineStr">
        <is>
          <t>020</t>
        </is>
      </c>
      <c r="E7198" s="24" t="inlineStr">
        <is>
          <t>按月计收</t>
        </is>
      </c>
    </row>
    <row r="7199">
      <c r="B7199" s="24" t="inlineStr">
        <is>
          <t>Payment</t>
        </is>
      </c>
      <c r="C7199" s="24" t="inlineStr">
        <is>
          <t>支付方式</t>
        </is>
      </c>
      <c r="D7199" s="24" t="inlineStr">
        <is>
          <t>030</t>
        </is>
      </c>
      <c r="E7199" s="24" t="inlineStr">
        <is>
          <t>按季计收</t>
        </is>
      </c>
    </row>
    <row r="7200">
      <c r="B7200" s="24" t="inlineStr">
        <is>
          <t>Payment</t>
        </is>
      </c>
      <c r="C7200" s="24" t="inlineStr">
        <is>
          <t>支付方式</t>
        </is>
      </c>
      <c r="D7200" s="24" t="inlineStr">
        <is>
          <t>040</t>
        </is>
      </c>
      <c r="E7200" s="24" t="inlineStr">
        <is>
          <t>按半年计收</t>
        </is>
      </c>
    </row>
    <row r="7201">
      <c r="B7201" s="24" t="inlineStr">
        <is>
          <t>Payment</t>
        </is>
      </c>
      <c r="C7201" s="24" t="inlineStr">
        <is>
          <t>支付方式</t>
        </is>
      </c>
      <c r="D7201" s="24" t="inlineStr">
        <is>
          <t>050</t>
        </is>
      </c>
      <c r="E7201" s="24" t="inlineStr">
        <is>
          <t>按年计收</t>
        </is>
      </c>
    </row>
    <row r="7202" ht="15.95" customHeight="1" s="170">
      <c r="B7202" s="122" t="inlineStr">
        <is>
          <t>码值：AuthView</t>
        </is>
      </c>
    </row>
    <row r="7203">
      <c r="B7203" s="24" t="inlineStr">
        <is>
          <t>AuthView</t>
        </is>
      </c>
      <c r="C7203" s="24" t="inlineStr">
        <is>
          <t>授权管理视图</t>
        </is>
      </c>
      <c r="D7203" s="24" t="inlineStr">
        <is>
          <t>0010</t>
        </is>
      </c>
      <c r="E7203" s="24" t="inlineStr">
        <is>
          <t>授权方案配置</t>
        </is>
      </c>
    </row>
    <row r="7204">
      <c r="B7204" s="24" t="inlineStr">
        <is>
          <t>AuthView</t>
        </is>
      </c>
      <c r="C7204" s="24" t="inlineStr">
        <is>
          <t>授权管理视图</t>
        </is>
      </c>
      <c r="D7204" s="24" t="inlineStr">
        <is>
          <t>0020</t>
        </is>
      </c>
      <c r="E7204" s="24" t="inlineStr">
        <is>
          <t>授权参数</t>
        </is>
      </c>
    </row>
    <row r="7205" ht="15.95" customHeight="1" s="170">
      <c r="B7205" s="122" t="inlineStr">
        <is>
          <t>码值：PayFrequencyUnit</t>
        </is>
      </c>
    </row>
    <row r="7206">
      <c r="B7206" s="24" t="inlineStr">
        <is>
          <t>PayFrequencyUnit</t>
        </is>
      </c>
      <c r="C7206" s="24" t="inlineStr">
        <is>
          <t>指定周期单位</t>
        </is>
      </c>
      <c r="D7206" s="24" t="inlineStr">
        <is>
          <t>D</t>
        </is>
      </c>
      <c r="E7206" s="24" t="inlineStr">
        <is>
          <t>天</t>
        </is>
      </c>
    </row>
    <row r="7207">
      <c r="B7207" s="24" t="inlineStr">
        <is>
          <t>PayFrequencyUnit</t>
        </is>
      </c>
      <c r="C7207" s="24" t="inlineStr">
        <is>
          <t>指定周期单位</t>
        </is>
      </c>
      <c r="D7207" s="24" t="inlineStr">
        <is>
          <t>M</t>
        </is>
      </c>
      <c r="E7207" s="24" t="inlineStr">
        <is>
          <t>月</t>
        </is>
      </c>
    </row>
    <row r="7208">
      <c r="B7208" s="24" t="inlineStr">
        <is>
          <t>PayFrequencyUnit</t>
        </is>
      </c>
      <c r="C7208" s="24" t="inlineStr">
        <is>
          <t>指定周期单位</t>
        </is>
      </c>
      <c r="D7208" s="24" t="inlineStr">
        <is>
          <t>Y</t>
        </is>
      </c>
      <c r="E7208" s="24" t="inlineStr">
        <is>
          <t>年</t>
        </is>
      </c>
    </row>
    <row r="7209" ht="15.95" customHeight="1" s="170">
      <c r="B7209" s="122" t="inlineStr">
        <is>
          <t>码值：ProjOccurType</t>
        </is>
      </c>
    </row>
    <row r="7210">
      <c r="B7210" s="24" t="inlineStr">
        <is>
          <t>ProjOccurType</t>
        </is>
      </c>
      <c r="C7210" s="24" t="inlineStr">
        <is>
          <t>合作项目变更审批状态</t>
        </is>
      </c>
      <c r="D7210" s="24" t="inlineStr">
        <is>
          <t>01</t>
        </is>
      </c>
      <c r="E7210" s="24" t="inlineStr">
        <is>
          <t>项目新建</t>
        </is>
      </c>
    </row>
    <row r="7211">
      <c r="B7211" s="24" t="inlineStr">
        <is>
          <t>ProjOccurType</t>
        </is>
      </c>
      <c r="C7211" s="24" t="inlineStr">
        <is>
          <t>合作项目变更审批状态</t>
        </is>
      </c>
      <c r="D7211" s="24" t="inlineStr">
        <is>
          <t>02</t>
        </is>
      </c>
      <c r="E7211" s="24" t="inlineStr">
        <is>
          <t>项目调整</t>
        </is>
      </c>
    </row>
    <row r="7212">
      <c r="B7212" s="24" t="inlineStr">
        <is>
          <t>ProjOccurType</t>
        </is>
      </c>
      <c r="C7212" s="24" t="inlineStr">
        <is>
          <t>合作项目变更审批状态</t>
        </is>
      </c>
      <c r="D7212" s="24" t="inlineStr">
        <is>
          <t>03</t>
        </is>
      </c>
      <c r="E7212" s="24" t="inlineStr">
        <is>
          <t>项目终止</t>
        </is>
      </c>
    </row>
    <row r="7213" ht="15.95" customHeight="1" s="170">
      <c r="B7213" s="122" t="inlineStr">
        <is>
          <t>码值：ForestUseType</t>
        </is>
      </c>
    </row>
    <row r="7214">
      <c r="B7214" s="24" t="inlineStr">
        <is>
          <t>ForestUseType</t>
        </is>
      </c>
      <c r="C7214" s="24" t="inlineStr">
        <is>
          <t>林地资源权属类型</t>
        </is>
      </c>
      <c r="D7214" s="24" t="inlineStr">
        <is>
          <t>01</t>
        </is>
      </c>
      <c r="E7214" s="24" t="inlineStr">
        <is>
          <t>用材林</t>
        </is>
      </c>
    </row>
    <row r="7215">
      <c r="B7215" s="24" t="inlineStr">
        <is>
          <t>ForestUseType</t>
        </is>
      </c>
      <c r="C7215" s="24" t="inlineStr">
        <is>
          <t>林地资源权属类型</t>
        </is>
      </c>
      <c r="D7215" s="24" t="inlineStr">
        <is>
          <t>02</t>
        </is>
      </c>
      <c r="E7215" s="24" t="inlineStr">
        <is>
          <t>经济林</t>
        </is>
      </c>
    </row>
    <row r="7216">
      <c r="B7216" s="24" t="inlineStr">
        <is>
          <t>ForestUseType</t>
        </is>
      </c>
      <c r="C7216" s="24" t="inlineStr">
        <is>
          <t>林地资源权属类型</t>
        </is>
      </c>
      <c r="D7216" s="24" t="inlineStr">
        <is>
          <t>03</t>
        </is>
      </c>
      <c r="E7216" s="24" t="inlineStr">
        <is>
          <t>薪炭林</t>
        </is>
      </c>
    </row>
    <row r="7217">
      <c r="B7217" s="24" t="inlineStr">
        <is>
          <t>ForestUseType</t>
        </is>
      </c>
      <c r="C7217" s="24" t="inlineStr">
        <is>
          <t>林地资源权属类型</t>
        </is>
      </c>
      <c r="D7217" s="24" t="inlineStr">
        <is>
          <t>04</t>
        </is>
      </c>
      <c r="E7217" s="24" t="inlineStr">
        <is>
          <t>防护林</t>
        </is>
      </c>
    </row>
    <row r="7218" ht="15.95" customHeight="1" s="170">
      <c r="B7218" s="122" t="inlineStr">
        <is>
          <t>码值：人力资源</t>
        </is>
      </c>
    </row>
    <row r="7219">
      <c r="B7219" s="24" t="inlineStr">
        <is>
          <t>人力资源</t>
        </is>
      </c>
      <c r="C7219" s="24" t="inlineStr">
        <is>
          <t>人力资源</t>
        </is>
      </c>
      <c r="D7219" s="24" t="inlineStr">
        <is>
          <t>1</t>
        </is>
      </c>
      <c r="E7219" s="24" t="inlineStr">
        <is>
          <t>丰富</t>
        </is>
      </c>
    </row>
    <row r="7220">
      <c r="B7220" s="24" t="inlineStr">
        <is>
          <t>人力资源</t>
        </is>
      </c>
      <c r="C7220" s="24" t="inlineStr">
        <is>
          <t>人力资源</t>
        </is>
      </c>
      <c r="D7220" s="24" t="inlineStr">
        <is>
          <t>2</t>
        </is>
      </c>
      <c r="E7220" s="24" t="inlineStr">
        <is>
          <t>较丰富</t>
        </is>
      </c>
    </row>
    <row r="7221">
      <c r="B7221" s="24" t="inlineStr">
        <is>
          <t>人力资源</t>
        </is>
      </c>
      <c r="C7221" s="24" t="inlineStr">
        <is>
          <t>人力资源</t>
        </is>
      </c>
      <c r="D7221" s="24" t="inlineStr">
        <is>
          <t>3</t>
        </is>
      </c>
      <c r="E7221" s="24" t="inlineStr">
        <is>
          <t>贫乏</t>
        </is>
      </c>
    </row>
    <row r="7222" ht="15.95" customHeight="1" s="170">
      <c r="B7222" s="122" t="inlineStr">
        <is>
          <t>码值：DOFilterType</t>
        </is>
      </c>
    </row>
    <row r="7223">
      <c r="B7223" s="24" t="inlineStr">
        <is>
          <t>DOFilterType</t>
        </is>
      </c>
      <c r="C7223" s="24" t="inlineStr">
        <is>
          <t>数据对象过滤器类型</t>
        </is>
      </c>
      <c r="D7223" s="24" t="inlineStr">
        <is>
          <t>00</t>
        </is>
      </c>
      <c r="E7223" s="24" t="inlineStr">
        <is>
          <t>解释</t>
        </is>
      </c>
    </row>
    <row r="7224">
      <c r="B7224" s="24" t="inlineStr">
        <is>
          <t>DOFilterType</t>
        </is>
      </c>
      <c r="C7224" s="24" t="inlineStr">
        <is>
          <t>数据对象过滤器类型</t>
        </is>
      </c>
      <c r="D7224" s="24" t="inlineStr">
        <is>
          <t>BeginsWith</t>
        </is>
      </c>
      <c r="E7224" s="24" t="inlineStr">
        <is>
          <t>以...开始</t>
        </is>
      </c>
    </row>
    <row r="7225">
      <c r="B7225" s="24" t="inlineStr">
        <is>
          <t>DOFilterType</t>
        </is>
      </c>
      <c r="C7225" s="24" t="inlineStr">
        <is>
          <t>数据对象过滤器类型</t>
        </is>
      </c>
      <c r="D7225" s="24" t="inlineStr">
        <is>
          <t>BetweenNumber</t>
        </is>
      </c>
      <c r="E7225" s="24" t="inlineStr">
        <is>
          <t>在...之间</t>
        </is>
      </c>
    </row>
    <row r="7226">
      <c r="B7226" s="24" t="inlineStr">
        <is>
          <t>DOFilterType</t>
        </is>
      </c>
      <c r="C7226" s="24" t="inlineStr">
        <is>
          <t>数据对象过滤器类型</t>
        </is>
      </c>
      <c r="D7226" s="24" t="inlineStr">
        <is>
          <t>BetweenString</t>
        </is>
      </c>
      <c r="E7226" s="24" t="inlineStr">
        <is>
          <t>在...之间</t>
        </is>
      </c>
    </row>
    <row r="7227">
      <c r="B7227" s="24" t="inlineStr">
        <is>
          <t>DOFilterType</t>
        </is>
      </c>
      <c r="C7227" s="24" t="inlineStr">
        <is>
          <t>数据对象过滤器类型</t>
        </is>
      </c>
      <c r="D7227" s="24" t="inlineStr">
        <is>
          <t>BiggerThan</t>
        </is>
      </c>
      <c r="E7227" s="24" t="inlineStr">
        <is>
          <t>大于</t>
        </is>
      </c>
    </row>
    <row r="7228">
      <c r="B7228" s="24" t="inlineStr">
        <is>
          <t>DOFilterType</t>
        </is>
      </c>
      <c r="C7228" s="24" t="inlineStr">
        <is>
          <t>数据对象过滤器类型</t>
        </is>
      </c>
      <c r="D7228" s="24" t="inlineStr">
        <is>
          <t>BiggerThanOrEquals</t>
        </is>
      </c>
      <c r="E7228" s="24" t="inlineStr">
        <is>
          <t>大于等于</t>
        </is>
      </c>
    </row>
    <row r="7229">
      <c r="B7229" s="24" t="inlineStr">
        <is>
          <t>DOFilterType</t>
        </is>
      </c>
      <c r="C7229" s="24" t="inlineStr">
        <is>
          <t>数据对象过滤器类型</t>
        </is>
      </c>
      <c r="D7229" s="24" t="inlineStr">
        <is>
          <t>Contains</t>
        </is>
      </c>
      <c r="E7229" s="24" t="inlineStr">
        <is>
          <t>包含</t>
        </is>
      </c>
    </row>
    <row r="7230">
      <c r="B7230" s="24" t="inlineStr">
        <is>
          <t>DOFilterType</t>
        </is>
      </c>
      <c r="C7230" s="24" t="inlineStr">
        <is>
          <t>数据对象过滤器类型</t>
        </is>
      </c>
      <c r="D7230" s="24" t="inlineStr">
        <is>
          <t>EndWith</t>
        </is>
      </c>
      <c r="E7230" s="24" t="inlineStr">
        <is>
          <t>以...结束</t>
        </is>
      </c>
    </row>
    <row r="7231">
      <c r="B7231" s="24" t="inlineStr">
        <is>
          <t>DOFilterType</t>
        </is>
      </c>
      <c r="C7231" s="24" t="inlineStr">
        <is>
          <t>数据对象过滤器类型</t>
        </is>
      </c>
      <c r="D7231" s="24" t="inlineStr">
        <is>
          <t>EqualsNumber</t>
        </is>
      </c>
      <c r="E7231" s="24" t="inlineStr">
        <is>
          <t>等于</t>
        </is>
      </c>
    </row>
    <row r="7232">
      <c r="B7232" s="24" t="inlineStr">
        <is>
          <t>DOFilterType</t>
        </is>
      </c>
      <c r="C7232" s="24" t="inlineStr">
        <is>
          <t>数据对象过滤器类型</t>
        </is>
      </c>
      <c r="D7232" s="24" t="inlineStr">
        <is>
          <t>EqualsString</t>
        </is>
      </c>
      <c r="E7232" s="24" t="inlineStr">
        <is>
          <t>等于</t>
        </is>
      </c>
    </row>
    <row r="7233">
      <c r="B7233" s="24" t="inlineStr">
        <is>
          <t>DOFilterType</t>
        </is>
      </c>
      <c r="C7233" s="24" t="inlineStr">
        <is>
          <t>数据对象过滤器类型</t>
        </is>
      </c>
      <c r="D7233" s="24" t="inlineStr">
        <is>
          <t>InString</t>
        </is>
      </c>
      <c r="E7233" s="24" t="inlineStr">
        <is>
          <t>包含</t>
        </is>
      </c>
    </row>
    <row r="7234">
      <c r="B7234" s="24" t="inlineStr">
        <is>
          <t>DOFilterType</t>
        </is>
      </c>
      <c r="C7234" s="24" t="inlineStr">
        <is>
          <t>数据对象过滤器类型</t>
        </is>
      </c>
      <c r="D7234" s="24" t="inlineStr">
        <is>
          <t>NotEquals</t>
        </is>
      </c>
      <c r="E7234" s="24" t="inlineStr">
        <is>
          <t>不等于</t>
        </is>
      </c>
    </row>
    <row r="7235">
      <c r="B7235" s="24" t="inlineStr">
        <is>
          <t>DOFilterType</t>
        </is>
      </c>
      <c r="C7235" s="24" t="inlineStr">
        <is>
          <t>数据对象过滤器类型</t>
        </is>
      </c>
      <c r="D7235" s="24" t="inlineStr">
        <is>
          <t>SmallerThan</t>
        </is>
      </c>
      <c r="E7235" s="24" t="inlineStr">
        <is>
          <t>小于</t>
        </is>
      </c>
    </row>
    <row r="7236">
      <c r="B7236" s="24" t="inlineStr">
        <is>
          <t>DOFilterType</t>
        </is>
      </c>
      <c r="C7236" s="24" t="inlineStr">
        <is>
          <t>数据对象过滤器类型</t>
        </is>
      </c>
      <c r="D7236" s="24" t="inlineStr">
        <is>
          <t>SmallerThanOrEquals</t>
        </is>
      </c>
      <c r="E7236" s="24" t="inlineStr">
        <is>
          <t>小于等于</t>
        </is>
      </c>
    </row>
    <row r="7237" ht="15.95" customHeight="1" s="170">
      <c r="B7237" s="122" t="inlineStr">
        <is>
          <t>码值：FinishOrgType</t>
        </is>
      </c>
    </row>
    <row r="7238">
      <c r="B7238" s="24" t="inlineStr">
        <is>
          <t>FinishOrgType</t>
        </is>
      </c>
      <c r="C7238" s="24" t="inlineStr">
        <is>
          <t>批复机构类型</t>
        </is>
      </c>
      <c r="D7238" s="24" t="inlineStr">
        <is>
          <t>01</t>
        </is>
      </c>
      <c r="E7238" s="24" t="inlineStr">
        <is>
          <t>总行</t>
        </is>
      </c>
    </row>
    <row r="7239">
      <c r="B7239" s="24" t="inlineStr">
        <is>
          <t>FinishOrgType</t>
        </is>
      </c>
      <c r="C7239" s="24" t="inlineStr">
        <is>
          <t>批复机构类型</t>
        </is>
      </c>
      <c r="D7239" s="24" t="inlineStr">
        <is>
          <t>02</t>
        </is>
      </c>
      <c r="E7239" s="24" t="inlineStr">
        <is>
          <t>分行</t>
        </is>
      </c>
    </row>
    <row r="7240">
      <c r="B7240" s="24" t="inlineStr">
        <is>
          <t>FinishOrgType</t>
        </is>
      </c>
      <c r="C7240" s="24" t="inlineStr">
        <is>
          <t>批复机构类型</t>
        </is>
      </c>
      <c r="D7240" s="24" t="inlineStr">
        <is>
          <t>03</t>
        </is>
      </c>
      <c r="E7240" s="24" t="inlineStr">
        <is>
          <t>支行</t>
        </is>
      </c>
    </row>
    <row r="7241" ht="15.95" customHeight="1" s="170">
      <c r="B7241" s="122" t="inlineStr">
        <is>
          <t>码值：BodyStatus</t>
        </is>
      </c>
    </row>
    <row r="7242">
      <c r="B7242" s="24" t="inlineStr">
        <is>
          <t>BodyStatus</t>
        </is>
      </c>
      <c r="C7242" s="24" t="inlineStr">
        <is>
          <t>信用等级评估统一导入</t>
        </is>
      </c>
      <c r="D7242" s="24" t="inlineStr">
        <is>
          <t>01</t>
        </is>
      </c>
      <c r="E7242" s="24" t="inlineStr">
        <is>
          <t>健康</t>
        </is>
      </c>
    </row>
    <row r="7243">
      <c r="B7243" s="24" t="inlineStr">
        <is>
          <t>BodyStatus</t>
        </is>
      </c>
      <c r="C7243" s="24" t="inlineStr">
        <is>
          <t>信用等级评估统一导入</t>
        </is>
      </c>
      <c r="D7243" s="24" t="inlineStr">
        <is>
          <t>02</t>
        </is>
      </c>
      <c r="E7243" s="24" t="inlineStr">
        <is>
          <t>不健康</t>
        </is>
      </c>
    </row>
    <row r="7244" ht="15.95" customHeight="1" s="170">
      <c r="B7244" s="122" t="inlineStr">
        <is>
          <t>码值：EducationDegree</t>
        </is>
      </c>
    </row>
    <row r="7245">
      <c r="B7245" s="24" t="inlineStr">
        <is>
          <t>EducationDegree</t>
        </is>
      </c>
      <c r="C7245" s="24" t="inlineStr">
        <is>
          <t>学位</t>
        </is>
      </c>
      <c r="D7245" s="24" t="inlineStr">
        <is>
          <t>0</t>
        </is>
      </c>
      <c r="E7245" s="24" t="inlineStr">
        <is>
          <t>其他</t>
        </is>
      </c>
    </row>
    <row r="7246">
      <c r="B7246" s="24" t="inlineStr">
        <is>
          <t>EducationDegree</t>
        </is>
      </c>
      <c r="C7246" s="24" t="inlineStr">
        <is>
          <t>学位</t>
        </is>
      </c>
      <c r="D7246" s="24" t="inlineStr">
        <is>
          <t>1</t>
        </is>
      </c>
      <c r="E7246" s="24" t="inlineStr">
        <is>
          <t>名誉博士</t>
        </is>
      </c>
    </row>
    <row r="7247">
      <c r="B7247" s="24" t="inlineStr">
        <is>
          <t>EducationDegree</t>
        </is>
      </c>
      <c r="C7247" s="24" t="inlineStr">
        <is>
          <t>学位</t>
        </is>
      </c>
      <c r="D7247" s="24" t="inlineStr">
        <is>
          <t>2</t>
        </is>
      </c>
      <c r="E7247" s="24" t="inlineStr">
        <is>
          <t>博士</t>
        </is>
      </c>
    </row>
    <row r="7248">
      <c r="B7248" s="24" t="inlineStr">
        <is>
          <t>EducationDegree</t>
        </is>
      </c>
      <c r="C7248" s="24" t="inlineStr">
        <is>
          <t>学位</t>
        </is>
      </c>
      <c r="D7248" s="24" t="inlineStr">
        <is>
          <t>3</t>
        </is>
      </c>
      <c r="E7248" s="24" t="inlineStr">
        <is>
          <t>硕士</t>
        </is>
      </c>
    </row>
    <row r="7249">
      <c r="B7249" s="24" t="inlineStr">
        <is>
          <t>EducationDegree</t>
        </is>
      </c>
      <c r="C7249" s="24" t="inlineStr">
        <is>
          <t>学位</t>
        </is>
      </c>
      <c r="D7249" s="24" t="inlineStr">
        <is>
          <t>4</t>
        </is>
      </c>
      <c r="E7249" s="24" t="inlineStr">
        <is>
          <t>学士</t>
        </is>
      </c>
    </row>
    <row r="7250">
      <c r="B7250" s="24" t="inlineStr">
        <is>
          <t>EducationDegree</t>
        </is>
      </c>
      <c r="C7250" s="24" t="inlineStr">
        <is>
          <t>学位</t>
        </is>
      </c>
      <c r="D7250" s="24" t="inlineStr">
        <is>
          <t>9</t>
        </is>
      </c>
      <c r="E7250" s="24" t="inlineStr">
        <is>
          <t>未知</t>
        </is>
      </c>
    </row>
    <row r="7251" ht="15.95" customHeight="1" s="170">
      <c r="B7251" s="122" t="inlineStr">
        <is>
          <t>码值：现职业的从业年限</t>
        </is>
      </c>
    </row>
    <row r="7252">
      <c r="B7252" s="24" t="inlineStr">
        <is>
          <t>现职业的从业年限</t>
        </is>
      </c>
      <c r="C7252" s="24" t="inlineStr">
        <is>
          <t>现职业的从业年限</t>
        </is>
      </c>
      <c r="D7252" s="24" t="inlineStr">
        <is>
          <t>1</t>
        </is>
      </c>
      <c r="E7252" s="24" t="inlineStr">
        <is>
          <t>1年以下(含1年)</t>
        </is>
      </c>
    </row>
    <row r="7253">
      <c r="B7253" s="24" t="inlineStr">
        <is>
          <t>现职业的从业年限</t>
        </is>
      </c>
      <c r="C7253" s="24" t="inlineStr">
        <is>
          <t>现职业的从业年限</t>
        </is>
      </c>
      <c r="D7253" s="24" t="inlineStr">
        <is>
          <t>2</t>
        </is>
      </c>
      <c r="E7253" s="24" t="inlineStr">
        <is>
          <t>1年以上－3年(含3年)</t>
        </is>
      </c>
    </row>
    <row r="7254">
      <c r="B7254" s="24" t="inlineStr">
        <is>
          <t>现职业的从业年限</t>
        </is>
      </c>
      <c r="C7254" s="24" t="inlineStr">
        <is>
          <t>现职业的从业年限</t>
        </is>
      </c>
      <c r="D7254" s="24" t="inlineStr">
        <is>
          <t>3</t>
        </is>
      </c>
      <c r="E7254" s="24" t="inlineStr">
        <is>
          <t>3年以上－5年(含5年)</t>
        </is>
      </c>
    </row>
    <row r="7255">
      <c r="B7255" s="24" t="inlineStr">
        <is>
          <t>现职业的从业年限</t>
        </is>
      </c>
      <c r="C7255" s="24" t="inlineStr">
        <is>
          <t>现职业的从业年限</t>
        </is>
      </c>
      <c r="D7255" s="24" t="inlineStr">
        <is>
          <t>4</t>
        </is>
      </c>
      <c r="E7255" s="24" t="inlineStr">
        <is>
          <t>5年以上－10年(含10年)</t>
        </is>
      </c>
    </row>
    <row r="7256">
      <c r="B7256" s="24" t="inlineStr">
        <is>
          <t>现职业的从业年限</t>
        </is>
      </c>
      <c r="C7256" s="24" t="inlineStr">
        <is>
          <t>现职业的从业年限</t>
        </is>
      </c>
      <c r="D7256" s="24" t="inlineStr">
        <is>
          <t>5</t>
        </is>
      </c>
      <c r="E7256" s="24" t="inlineStr">
        <is>
          <t>10年以上</t>
        </is>
      </c>
    </row>
    <row r="7257" ht="15.95" customHeight="1" s="170">
      <c r="B7257" s="122" t="inlineStr">
        <is>
          <t>码值：FinanceApproveView</t>
        </is>
      </c>
    </row>
    <row r="7258">
      <c r="B7258" s="24" t="inlineStr">
        <is>
          <t>FinanceApproveView</t>
        </is>
      </c>
      <c r="C7258" s="24" t="inlineStr">
        <is>
          <t>同业单一授信批量申请视图</t>
        </is>
      </c>
      <c r="D7258" s="24" t="inlineStr">
        <is>
          <t>010</t>
        </is>
      </c>
      <c r="E7258" s="24" t="inlineStr">
        <is>
          <t>基本信息</t>
        </is>
      </c>
    </row>
    <row r="7259">
      <c r="B7259" s="24" t="inlineStr">
        <is>
          <t>FinanceApproveView</t>
        </is>
      </c>
      <c r="C7259" s="24" t="inlineStr">
        <is>
          <t>同业单一授信批量申请视图</t>
        </is>
      </c>
      <c r="D7259" s="24" t="inlineStr">
        <is>
          <t>020</t>
        </is>
      </c>
      <c r="E7259" s="24" t="inlineStr">
        <is>
          <t>共同申请人</t>
        </is>
      </c>
    </row>
    <row r="7260">
      <c r="B7260" s="24" t="inlineStr">
        <is>
          <t>FinanceApproveView</t>
        </is>
      </c>
      <c r="C7260" s="24" t="inlineStr">
        <is>
          <t>同业单一授信批量申请视图</t>
        </is>
      </c>
      <c r="D7260" s="24" t="inlineStr">
        <is>
          <t>030</t>
        </is>
      </c>
      <c r="E7260" s="24" t="inlineStr">
        <is>
          <t>担保信息</t>
        </is>
      </c>
    </row>
    <row r="7261">
      <c r="B7261" s="24" t="inlineStr">
        <is>
          <t>FinanceApproveView</t>
        </is>
      </c>
      <c r="C7261" s="24" t="inlineStr">
        <is>
          <t>同业单一授信批量申请视图</t>
        </is>
      </c>
      <c r="D7261" s="24" t="inlineStr">
        <is>
          <t>030010</t>
        </is>
      </c>
      <c r="E7261" s="24" t="inlineStr">
        <is>
          <t>保证信息</t>
        </is>
      </c>
    </row>
    <row r="7262">
      <c r="B7262" s="24" t="inlineStr">
        <is>
          <t>FinanceApproveView</t>
        </is>
      </c>
      <c r="C7262" s="24" t="inlineStr">
        <is>
          <t>同业单一授信批量申请视图</t>
        </is>
      </c>
      <c r="D7262" s="24" t="inlineStr">
        <is>
          <t>030030</t>
        </is>
      </c>
      <c r="E7262" s="24" t="inlineStr">
        <is>
          <t>质押信息</t>
        </is>
      </c>
    </row>
    <row r="7263">
      <c r="B7263" s="24" t="inlineStr">
        <is>
          <t>FinanceApproveView</t>
        </is>
      </c>
      <c r="C7263" s="24" t="inlineStr">
        <is>
          <t>同业单一授信批量申请视图</t>
        </is>
      </c>
      <c r="D7263" s="24" t="inlineStr">
        <is>
          <t>030040</t>
        </is>
      </c>
      <c r="E7263" s="24" t="inlineStr">
        <is>
          <t>引入最高额担保合同</t>
        </is>
      </c>
    </row>
    <row r="7264">
      <c r="B7264" s="24" t="inlineStr">
        <is>
          <t>FinanceApproveView</t>
        </is>
      </c>
      <c r="C7264" s="24" t="inlineStr">
        <is>
          <t>同业单一授信批量申请视图</t>
        </is>
      </c>
      <c r="D7264" s="24" t="inlineStr">
        <is>
          <t>03020</t>
        </is>
      </c>
      <c r="E7264" s="24" t="inlineStr">
        <is>
          <t>抵押信息</t>
        </is>
      </c>
    </row>
    <row r="7265">
      <c r="B7265" s="24" t="inlineStr">
        <is>
          <t>FinanceApproveView</t>
        </is>
      </c>
      <c r="C7265" s="24" t="inlineStr">
        <is>
          <t>同业单一授信批量申请视图</t>
        </is>
      </c>
      <c r="D7265" s="24" t="inlineStr">
        <is>
          <t>040</t>
        </is>
      </c>
      <c r="E7265" s="24" t="inlineStr">
        <is>
          <t>业务文档信息</t>
        </is>
      </c>
    </row>
    <row r="7266" ht="15.95" customHeight="1" s="170">
      <c r="B7266" s="122" t="inlineStr">
        <is>
          <t>码值：FundsAge</t>
        </is>
      </c>
    </row>
    <row r="7267">
      <c r="B7267" s="24" t="inlineStr">
        <is>
          <t>FundsAge</t>
        </is>
      </c>
      <c r="C7267" s="24" t="inlineStr">
        <is>
          <t>帐龄</t>
        </is>
      </c>
      <c r="D7267" s="24" t="inlineStr">
        <is>
          <t>01</t>
        </is>
      </c>
      <c r="E7267" s="24" t="inlineStr">
        <is>
          <t>1年以内(含)</t>
        </is>
      </c>
    </row>
    <row r="7268">
      <c r="B7268" s="24" t="inlineStr">
        <is>
          <t>FundsAge</t>
        </is>
      </c>
      <c r="C7268" s="24" t="inlineStr">
        <is>
          <t>帐龄</t>
        </is>
      </c>
      <c r="D7268" s="24" t="inlineStr">
        <is>
          <t>02</t>
        </is>
      </c>
      <c r="E7268" s="24" t="inlineStr">
        <is>
          <t>1～2年(含)</t>
        </is>
      </c>
    </row>
    <row r="7269">
      <c r="B7269" s="24" t="inlineStr">
        <is>
          <t>FundsAge</t>
        </is>
      </c>
      <c r="C7269" s="24" t="inlineStr">
        <is>
          <t>帐龄</t>
        </is>
      </c>
      <c r="D7269" s="24" t="inlineStr">
        <is>
          <t>03</t>
        </is>
      </c>
      <c r="E7269" s="24" t="inlineStr">
        <is>
          <t>2~3年(含)</t>
        </is>
      </c>
    </row>
    <row r="7270">
      <c r="B7270" s="24" t="inlineStr">
        <is>
          <t>FundsAge</t>
        </is>
      </c>
      <c r="C7270" s="24" t="inlineStr">
        <is>
          <t>帐龄</t>
        </is>
      </c>
      <c r="D7270" s="24" t="inlineStr">
        <is>
          <t>04</t>
        </is>
      </c>
      <c r="E7270" s="24" t="inlineStr">
        <is>
          <t>3年以上</t>
        </is>
      </c>
    </row>
    <row r="7271" ht="15.95" customHeight="1" s="170">
      <c r="B7271" s="122" t="inlineStr">
        <is>
          <t>码值：LegalFlag</t>
        </is>
      </c>
    </row>
    <row r="7272">
      <c r="B7272" s="24" t="inlineStr">
        <is>
          <t>LegalFlag</t>
        </is>
      </c>
      <c r="C7272" s="24" t="inlineStr">
        <is>
          <t>合格标志</t>
        </is>
      </c>
      <c r="D7272" s="24" t="inlineStr">
        <is>
          <t>0</t>
        </is>
      </c>
      <c r="E7272" s="24" t="inlineStr">
        <is>
          <t>有条件合格</t>
        </is>
      </c>
    </row>
    <row r="7273">
      <c r="B7273" s="24" t="inlineStr">
        <is>
          <t>LegalFlag</t>
        </is>
      </c>
      <c r="C7273" s="24" t="inlineStr">
        <is>
          <t>合格标志</t>
        </is>
      </c>
      <c r="D7273" s="24" t="inlineStr">
        <is>
          <t>F</t>
        </is>
      </c>
      <c r="E7273" s="24" t="inlineStr">
        <is>
          <t>不合格</t>
        </is>
      </c>
    </row>
    <row r="7274">
      <c r="B7274" s="24" t="inlineStr">
        <is>
          <t>LegalFlag</t>
        </is>
      </c>
      <c r="C7274" s="24" t="inlineStr">
        <is>
          <t>合格标志</t>
        </is>
      </c>
      <c r="D7274" s="24" t="inlineStr">
        <is>
          <t>T</t>
        </is>
      </c>
      <c r="E7274" s="24" t="inlineStr">
        <is>
          <t>合格</t>
        </is>
      </c>
    </row>
    <row r="7275" ht="15.95" customHeight="1" s="170">
      <c r="B7275" s="122" t="inlineStr">
        <is>
          <t>码值：CLCalMethod</t>
        </is>
      </c>
    </row>
    <row r="7276">
      <c r="B7276" s="24" t="inlineStr">
        <is>
          <t>CLCalMethod</t>
        </is>
      </c>
      <c r="C7276" s="24" t="inlineStr">
        <is>
          <t>计算方式</t>
        </is>
      </c>
      <c r="D7276" s="24" t="inlineStr">
        <is>
          <t>10</t>
        </is>
      </c>
      <c r="E7276" s="24" t="inlineStr">
        <is>
          <t>批准额度</t>
        </is>
      </c>
    </row>
    <row r="7277">
      <c r="B7277" s="24" t="inlineStr">
        <is>
          <t>CLCalMethod</t>
        </is>
      </c>
      <c r="C7277" s="24" t="inlineStr">
        <is>
          <t>计算方式</t>
        </is>
      </c>
      <c r="D7277" s="24" t="inlineStr">
        <is>
          <t>20</t>
        </is>
      </c>
      <c r="E7277" s="24" t="inlineStr">
        <is>
          <t>担保价值</t>
        </is>
      </c>
    </row>
    <row r="7278" ht="15.95" customHeight="1" s="170">
      <c r="B7278" s="122" t="inlineStr">
        <is>
          <t>码值：DutyAttribute</t>
        </is>
      </c>
    </row>
    <row r="7279">
      <c r="B7279" s="24" t="inlineStr">
        <is>
          <t>DutyAttribute</t>
        </is>
      </c>
      <c r="C7279" s="24" t="inlineStr">
        <is>
          <t>责任性质</t>
        </is>
      </c>
      <c r="D7279" s="24" t="inlineStr">
        <is>
          <t>01</t>
        </is>
      </c>
      <c r="E7279" s="24" t="inlineStr">
        <is>
          <t>主要责任</t>
        </is>
      </c>
    </row>
    <row r="7280">
      <c r="B7280" s="24" t="inlineStr">
        <is>
          <t>DutyAttribute</t>
        </is>
      </c>
      <c r="C7280" s="24" t="inlineStr">
        <is>
          <t>责任性质</t>
        </is>
      </c>
      <c r="D7280" s="24" t="inlineStr">
        <is>
          <t>02</t>
        </is>
      </c>
      <c r="E7280" s="24" t="inlineStr">
        <is>
          <t>次要责任</t>
        </is>
      </c>
    </row>
    <row r="7281" ht="15.95" customHeight="1" s="170">
      <c r="B7281" s="122" t="inlineStr">
        <is>
          <t>码值：TrademarkType</t>
        </is>
      </c>
    </row>
    <row r="7282">
      <c r="B7282" s="24" t="inlineStr">
        <is>
          <t>TrademarkType</t>
        </is>
      </c>
      <c r="C7282" s="24" t="inlineStr">
        <is>
          <t>商标类型</t>
        </is>
      </c>
      <c r="D7282" s="24" t="inlineStr">
        <is>
          <t>01</t>
        </is>
      </c>
      <c r="E7282" s="24" t="inlineStr">
        <is>
          <t>产业商标(制造商标)</t>
        </is>
      </c>
    </row>
    <row r="7283">
      <c r="B7283" s="24" t="inlineStr">
        <is>
          <t>TrademarkType</t>
        </is>
      </c>
      <c r="C7283" s="24" t="inlineStr">
        <is>
          <t>商标类型</t>
        </is>
      </c>
      <c r="D7283" s="24" t="inlineStr">
        <is>
          <t>02</t>
        </is>
      </c>
      <c r="E7283" s="24" t="inlineStr">
        <is>
          <t>商业商标(销售商标)</t>
        </is>
      </c>
    </row>
    <row r="7284">
      <c r="B7284" s="24" t="inlineStr">
        <is>
          <t>TrademarkType</t>
        </is>
      </c>
      <c r="C7284" s="24" t="inlineStr">
        <is>
          <t>商标类型</t>
        </is>
      </c>
      <c r="D7284" s="24" t="inlineStr">
        <is>
          <t>03</t>
        </is>
      </c>
      <c r="E7284" s="24" t="inlineStr">
        <is>
          <t>服务商标(劳务商标)</t>
        </is>
      </c>
    </row>
    <row r="7285" ht="15.95" customHeight="1" s="170">
      <c r="B7285" s="122" t="inlineStr">
        <is>
          <t>码值：LoanChangeTransCode</t>
        </is>
      </c>
    </row>
    <row r="7286">
      <c r="B7286" s="24" t="inlineStr">
        <is>
          <t>LoanChangeTransCode</t>
        </is>
      </c>
      <c r="C7286" s="24" t="inlineStr">
        <is>
          <t>贷后变更</t>
        </is>
      </c>
      <c r="D7286" s="24" t="inlineStr">
        <is>
          <t>ChangeAccount</t>
        </is>
      </c>
      <c r="E7286" s="24" t="inlineStr">
        <is>
          <t>还款账户变更</t>
        </is>
      </c>
    </row>
    <row r="7287">
      <c r="B7287" s="24" t="inlineStr">
        <is>
          <t>LoanChangeTransCode</t>
        </is>
      </c>
      <c r="C7287" s="24" t="inlineStr">
        <is>
          <t>贷后变更</t>
        </is>
      </c>
      <c r="D7287" s="24" t="inlineStr">
        <is>
          <t>ChangeDueday</t>
        </is>
      </c>
      <c r="E7287" s="24" t="inlineStr">
        <is>
          <t>默认还款日变更</t>
        </is>
      </c>
    </row>
    <row r="7288">
      <c r="B7288" s="24" t="inlineStr">
        <is>
          <t>LoanChangeTransCode</t>
        </is>
      </c>
      <c r="C7288" s="24" t="inlineStr">
        <is>
          <t>贷后变更</t>
        </is>
      </c>
      <c r="D7288" s="24" t="inlineStr">
        <is>
          <t>ChangeOrg</t>
        </is>
      </c>
      <c r="E7288" s="24" t="inlineStr">
        <is>
          <t>机构调整</t>
        </is>
      </c>
    </row>
    <row r="7289">
      <c r="B7289" s="24" t="inlineStr">
        <is>
          <t>LoanChangeTransCode</t>
        </is>
      </c>
      <c r="C7289" s="24" t="inlineStr">
        <is>
          <t>贷后变更</t>
        </is>
      </c>
      <c r="D7289" s="24" t="inlineStr">
        <is>
          <t>ChangePaymentType</t>
        </is>
      </c>
      <c r="E7289" s="24" t="inlineStr">
        <is>
          <t>还款方式变更</t>
        </is>
      </c>
    </row>
    <row r="7290">
      <c r="B7290" s="24" t="inlineStr">
        <is>
          <t>LoanChangeTransCode</t>
        </is>
      </c>
      <c r="C7290" s="24" t="inlineStr">
        <is>
          <t>贷后变更</t>
        </is>
      </c>
      <c r="D7290" s="24" t="inlineStr">
        <is>
          <t>ChangePprate</t>
        </is>
      </c>
      <c r="E7290" s="24" t="inlineStr">
        <is>
          <t>本息调整</t>
        </is>
      </c>
    </row>
    <row r="7291">
      <c r="B7291" s="24" t="inlineStr">
        <is>
          <t>LoanChangeTransCode</t>
        </is>
      </c>
      <c r="C7291" s="24" t="inlineStr">
        <is>
          <t>贷后变更</t>
        </is>
      </c>
      <c r="D7291" s="24" t="inlineStr">
        <is>
          <t>ChangeRate</t>
        </is>
      </c>
      <c r="E7291" s="24" t="inlineStr">
        <is>
          <t>利率变更</t>
        </is>
      </c>
    </row>
    <row r="7292">
      <c r="B7292" s="24" t="inlineStr">
        <is>
          <t>LoanChangeTransCode</t>
        </is>
      </c>
      <c r="C7292" s="24" t="inlineStr">
        <is>
          <t>贷后变更</t>
        </is>
      </c>
      <c r="D7292" s="24" t="inlineStr">
        <is>
          <t>ChangeSubject</t>
        </is>
      </c>
      <c r="E7292" s="24" t="inlineStr">
        <is>
          <t>科目调整</t>
        </is>
      </c>
    </row>
    <row r="7293">
      <c r="B7293" s="24" t="inlineStr">
        <is>
          <t>LoanChangeTransCode</t>
        </is>
      </c>
      <c r="C7293" s="24" t="inlineStr">
        <is>
          <t>贷后变更</t>
        </is>
      </c>
      <c r="D7293" s="24" t="inlineStr">
        <is>
          <t>ChangeSupplement</t>
        </is>
      </c>
      <c r="E7293" s="24" t="inlineStr">
        <is>
          <t>罚复息及扣款标识修改</t>
        </is>
      </c>
    </row>
    <row r="7294">
      <c r="B7294" s="24" t="inlineStr">
        <is>
          <t>LoanChangeTransCode</t>
        </is>
      </c>
      <c r="C7294" s="24" t="inlineStr">
        <is>
          <t>贷后变更</t>
        </is>
      </c>
      <c r="D7294" s="24" t="inlineStr">
        <is>
          <t>ChangeTerm</t>
        </is>
      </c>
      <c r="E7294" s="24" t="inlineStr">
        <is>
          <t>贷款期限变更</t>
        </is>
      </c>
    </row>
    <row r="7295" ht="15.95" customHeight="1" s="170">
      <c r="B7295" s="122" t="inlineStr">
        <is>
          <t>码值：SurveyMethod</t>
        </is>
      </c>
    </row>
    <row r="7296">
      <c r="B7296" s="24" t="inlineStr">
        <is>
          <t>SurveyMethod</t>
        </is>
      </c>
      <c r="C7296" s="24" t="inlineStr">
        <is>
          <t>调查方式</t>
        </is>
      </c>
      <c r="D7296" s="24" t="inlineStr">
        <is>
          <t>01</t>
        </is>
      </c>
      <c r="E7296" s="24" t="inlineStr">
        <is>
          <t>现场</t>
        </is>
      </c>
    </row>
    <row r="7297">
      <c r="B7297" s="24" t="inlineStr">
        <is>
          <t>SurveyMethod</t>
        </is>
      </c>
      <c r="C7297" s="24" t="inlineStr">
        <is>
          <t>调查方式</t>
        </is>
      </c>
      <c r="D7297" s="24" t="inlineStr">
        <is>
          <t>02</t>
        </is>
      </c>
      <c r="E7297" s="24" t="inlineStr">
        <is>
          <t>非现场</t>
        </is>
      </c>
    </row>
    <row r="7298" ht="15.95" customHeight="1" s="170">
      <c r="B7298" s="122" t="inlineStr">
        <is>
          <t>码值：CapitalPurposeCheckApproveMain</t>
        </is>
      </c>
    </row>
    <row r="7299">
      <c r="B7299" s="24" t="inlineStr">
        <is>
          <t>CapitalPurposeCheckApproveMain</t>
        </is>
      </c>
      <c r="C7299" s="24" t="inlineStr">
        <is>
          <t>大中业务检查审批</t>
        </is>
      </c>
      <c r="D7299" s="24" t="inlineStr">
        <is>
          <t>N</t>
        </is>
      </c>
      <c r="E7299" s="24" t="inlineStr">
        <is>
          <t>待办任务</t>
        </is>
      </c>
    </row>
    <row r="7300">
      <c r="B7300" s="24" t="inlineStr">
        <is>
          <t>CapitalPurposeCheckApproveMain</t>
        </is>
      </c>
      <c r="C7300" s="24" t="inlineStr">
        <is>
          <t>大中业务检查审批</t>
        </is>
      </c>
      <c r="D7300" s="24" t="inlineStr">
        <is>
          <t>Y</t>
        </is>
      </c>
      <c r="E7300" s="24" t="inlineStr">
        <is>
          <t>已办任务</t>
        </is>
      </c>
    </row>
    <row r="7301" ht="15.95" customHeight="1" s="170">
      <c r="B7301" s="122" t="inlineStr">
        <is>
          <t>码值：ComponentParameterRightType</t>
        </is>
      </c>
    </row>
    <row r="7302">
      <c r="B7302" s="24" t="inlineStr">
        <is>
          <t>ComponentParameterRightType</t>
        </is>
      </c>
      <c r="C7302" s="24" t="inlineStr">
        <is>
          <t>业务组件参数控制权限</t>
        </is>
      </c>
      <c r="D7302" s="24" t="inlineStr">
        <is>
          <t>All</t>
        </is>
      </c>
      <c r="E7302" s="24" t="inlineStr">
        <is>
          <t>可写(非必须)</t>
        </is>
      </c>
    </row>
    <row r="7303">
      <c r="B7303" s="24" t="inlineStr">
        <is>
          <t>ComponentParameterRightType</t>
        </is>
      </c>
      <c r="C7303" s="24" t="inlineStr">
        <is>
          <t>业务组件参数控制权限</t>
        </is>
      </c>
      <c r="D7303" s="24" t="inlineStr">
        <is>
          <t>Hide</t>
        </is>
      </c>
      <c r="E7303" s="24" t="inlineStr">
        <is>
          <t>不可见</t>
        </is>
      </c>
    </row>
    <row r="7304">
      <c r="B7304" s="24" t="inlineStr">
        <is>
          <t>ComponentParameterRightType</t>
        </is>
      </c>
      <c r="C7304" s="24" t="inlineStr">
        <is>
          <t>业务组件参数控制权限</t>
        </is>
      </c>
      <c r="D7304" s="24" t="inlineStr">
        <is>
          <t>None</t>
        </is>
      </c>
      <c r="E7304" s="24" t="inlineStr">
        <is>
          <t>无效</t>
        </is>
      </c>
    </row>
    <row r="7305">
      <c r="B7305" s="24" t="inlineStr">
        <is>
          <t>ComponentParameterRightType</t>
        </is>
      </c>
      <c r="C7305" s="24" t="inlineStr">
        <is>
          <t>业务组件参数控制权限</t>
        </is>
      </c>
      <c r="D7305" s="24" t="inlineStr">
        <is>
          <t>ReadOnly</t>
        </is>
      </c>
      <c r="E7305" s="24" t="inlineStr">
        <is>
          <t>只读</t>
        </is>
      </c>
    </row>
    <row r="7306">
      <c r="B7306" s="24" t="inlineStr">
        <is>
          <t>ComponentParameterRightType</t>
        </is>
      </c>
      <c r="C7306" s="24" t="inlineStr">
        <is>
          <t>业务组件参数控制权限</t>
        </is>
      </c>
      <c r="D7306" s="24" t="inlineStr">
        <is>
          <t>Required</t>
        </is>
      </c>
      <c r="E7306" s="24" t="inlineStr">
        <is>
          <t>可写必须</t>
        </is>
      </c>
    </row>
    <row r="7307" ht="15.95" customHeight="1" s="170">
      <c r="B7307" s="122" t="inlineStr">
        <is>
          <t>码值：WasteLandUsageType</t>
        </is>
      </c>
    </row>
    <row r="7308">
      <c r="B7308" s="24" t="inlineStr">
        <is>
          <t>WasteLandUsageType</t>
        </is>
      </c>
      <c r="C7308" s="24" t="inlineStr">
        <is>
          <t>荒地用途</t>
        </is>
      </c>
      <c r="D7308" s="24" t="inlineStr">
        <is>
          <t>01</t>
        </is>
      </c>
      <c r="E7308" s="24" t="inlineStr">
        <is>
          <t>种植业</t>
        </is>
      </c>
    </row>
    <row r="7309">
      <c r="B7309" s="24" t="inlineStr">
        <is>
          <t>WasteLandUsageType</t>
        </is>
      </c>
      <c r="C7309" s="24" t="inlineStr">
        <is>
          <t>荒地用途</t>
        </is>
      </c>
      <c r="D7309" s="24" t="inlineStr">
        <is>
          <t>02</t>
        </is>
      </c>
      <c r="E7309" s="24" t="inlineStr">
        <is>
          <t>林业</t>
        </is>
      </c>
    </row>
    <row r="7310">
      <c r="B7310" s="24" t="inlineStr">
        <is>
          <t>WasteLandUsageType</t>
        </is>
      </c>
      <c r="C7310" s="24" t="inlineStr">
        <is>
          <t>荒地用途</t>
        </is>
      </c>
      <c r="D7310" s="24" t="inlineStr">
        <is>
          <t>03</t>
        </is>
      </c>
      <c r="E7310" s="24" t="inlineStr">
        <is>
          <t>畜牧业</t>
        </is>
      </c>
    </row>
    <row r="7311">
      <c r="B7311" s="24" t="inlineStr">
        <is>
          <t>WasteLandUsageType</t>
        </is>
      </c>
      <c r="C7311" s="24" t="inlineStr">
        <is>
          <t>荒地用途</t>
        </is>
      </c>
      <c r="D7311" s="24" t="inlineStr">
        <is>
          <t>04</t>
        </is>
      </c>
      <c r="E7311" s="24" t="inlineStr">
        <is>
          <t>渔业生产</t>
        </is>
      </c>
    </row>
    <row r="7312">
      <c r="B7312" s="24" t="inlineStr">
        <is>
          <t>WasteLandUsageType</t>
        </is>
      </c>
      <c r="C7312" s="24" t="inlineStr">
        <is>
          <t>荒地用途</t>
        </is>
      </c>
      <c r="D7312" s="24" t="inlineStr">
        <is>
          <t>90</t>
        </is>
      </c>
      <c r="E7312" s="24" t="inlineStr">
        <is>
          <t>其他</t>
        </is>
      </c>
    </row>
    <row r="7313" ht="15.95" customHeight="1" s="170">
      <c r="B7313" s="122" t="inlineStr">
        <is>
          <t>码值：AssureStyle</t>
        </is>
      </c>
    </row>
    <row r="7314">
      <c r="B7314" s="24" t="inlineStr">
        <is>
          <t>AssureStyle</t>
        </is>
      </c>
      <c r="C7314" s="24" t="inlineStr">
        <is>
          <t>保证形式</t>
        </is>
      </c>
      <c r="D7314" s="24" t="inlineStr">
        <is>
          <t>1</t>
        </is>
      </c>
      <c r="E7314" s="24" t="inlineStr">
        <is>
          <t>单人担保</t>
        </is>
      </c>
    </row>
    <row r="7315">
      <c r="B7315" s="24" t="inlineStr">
        <is>
          <t>AssureStyle</t>
        </is>
      </c>
      <c r="C7315" s="24" t="inlineStr">
        <is>
          <t>保证形式</t>
        </is>
      </c>
      <c r="D7315" s="24" t="inlineStr">
        <is>
          <t>2</t>
        </is>
      </c>
      <c r="E7315" s="24" t="inlineStr">
        <is>
          <t>多人联保</t>
        </is>
      </c>
    </row>
    <row r="7316">
      <c r="B7316" s="24" t="inlineStr">
        <is>
          <t>AssureStyle</t>
        </is>
      </c>
      <c r="C7316" s="24" t="inlineStr">
        <is>
          <t>保证形式</t>
        </is>
      </c>
      <c r="D7316" s="24" t="inlineStr">
        <is>
          <t>3</t>
        </is>
      </c>
      <c r="E7316" s="24" t="inlineStr">
        <is>
          <t>多人分保</t>
        </is>
      </c>
    </row>
    <row r="7317" ht="15.95" customHeight="1" s="170">
      <c r="B7317" s="122" t="inlineStr">
        <is>
          <t>码值：BDRateModel</t>
        </is>
      </c>
    </row>
    <row r="7318">
      <c r="B7318" s="24" t="inlineStr">
        <is>
          <t>BDRateModel</t>
        </is>
      </c>
      <c r="C7318" s="24" t="inlineStr">
        <is>
          <t>借据利率模式</t>
        </is>
      </c>
      <c r="D7318" s="24" t="inlineStr">
        <is>
          <t>CUT01</t>
        </is>
      </c>
      <c r="E7318" s="24" t="inlineStr">
        <is>
          <t>砍头息费率</t>
        </is>
      </c>
    </row>
    <row r="7319">
      <c r="B7319" s="24" t="inlineStr">
        <is>
          <t>BDRateModel</t>
        </is>
      </c>
      <c r="C7319" s="24" t="inlineStr">
        <is>
          <t>借据利率模式</t>
        </is>
      </c>
      <c r="D7319" s="24" t="inlineStr">
        <is>
          <t>FEE01</t>
        </is>
      </c>
      <c r="E7319" s="24" t="inlineStr">
        <is>
          <t>月度管理费率</t>
        </is>
      </c>
    </row>
    <row r="7320">
      <c r="B7320" s="24" t="inlineStr">
        <is>
          <t>BDRateModel</t>
        </is>
      </c>
      <c r="C7320" s="24" t="inlineStr">
        <is>
          <t>借据利率模式</t>
        </is>
      </c>
      <c r="D7320" s="24" t="inlineStr">
        <is>
          <t>FIN01</t>
        </is>
      </c>
      <c r="E7320" s="24" t="inlineStr">
        <is>
          <t>贷款罚息浮动利率</t>
        </is>
      </c>
    </row>
    <row r="7321">
      <c r="B7321" s="24" t="inlineStr">
        <is>
          <t>BDRateModel</t>
        </is>
      </c>
      <c r="C7321" s="24" t="inlineStr">
        <is>
          <t>借据利率模式</t>
        </is>
      </c>
      <c r="D7321" s="24" t="inlineStr">
        <is>
          <t>FIN02</t>
        </is>
      </c>
      <c r="E7321" s="24" t="inlineStr">
        <is>
          <t>贷款罚息固定利率</t>
        </is>
      </c>
    </row>
    <row r="7322">
      <c r="B7322" s="24" t="inlineStr">
        <is>
          <t>BDRateModel</t>
        </is>
      </c>
      <c r="C7322" s="24" t="inlineStr">
        <is>
          <t>借据利率模式</t>
        </is>
      </c>
      <c r="D7322" s="24" t="inlineStr">
        <is>
          <t>RAT01</t>
        </is>
      </c>
      <c r="E7322" s="24" t="inlineStr">
        <is>
          <t>浮动利率</t>
        </is>
      </c>
    </row>
    <row r="7323">
      <c r="B7323" s="24" t="inlineStr">
        <is>
          <t>BDRateModel</t>
        </is>
      </c>
      <c r="C7323" s="24" t="inlineStr">
        <is>
          <t>借据利率模式</t>
        </is>
      </c>
      <c r="D7323" s="24" t="inlineStr">
        <is>
          <t>RAT02</t>
        </is>
      </c>
      <c r="E7323" s="24" t="inlineStr">
        <is>
          <t>固定利率</t>
        </is>
      </c>
    </row>
    <row r="7324">
      <c r="B7324" s="24" t="inlineStr">
        <is>
          <t>BDRateModel</t>
        </is>
      </c>
      <c r="C7324" s="24" t="inlineStr">
        <is>
          <t>借据利率模式</t>
        </is>
      </c>
      <c r="D7324" s="24" t="inlineStr">
        <is>
          <t>RAT03</t>
        </is>
      </c>
      <c r="E7324" s="24" t="inlineStr">
        <is>
          <t>自定义利率</t>
        </is>
      </c>
    </row>
    <row r="7325" ht="15.95" customHeight="1" s="170">
      <c r="B7325" s="122" t="inlineStr">
        <is>
          <t>码值：FreezeFlag</t>
        </is>
      </c>
    </row>
    <row r="7326">
      <c r="B7326" s="24" t="inlineStr">
        <is>
          <t>FreezeFlag</t>
        </is>
      </c>
      <c r="C7326" s="24" t="inlineStr">
        <is>
          <t>冻结标志</t>
        </is>
      </c>
      <c r="D7326" s="24" t="inlineStr">
        <is>
          <t>1</t>
        </is>
      </c>
      <c r="E7326" s="24" t="inlineStr">
        <is>
          <t>正常</t>
        </is>
      </c>
    </row>
    <row r="7327">
      <c r="B7327" s="24" t="inlineStr">
        <is>
          <t>FreezeFlag</t>
        </is>
      </c>
      <c r="C7327" s="24" t="inlineStr">
        <is>
          <t>冻结标志</t>
        </is>
      </c>
      <c r="D7327" s="24" t="inlineStr">
        <is>
          <t>2</t>
        </is>
      </c>
      <c r="E7327" s="24" t="inlineStr">
        <is>
          <t>冻结</t>
        </is>
      </c>
    </row>
    <row r="7328">
      <c r="B7328" s="24" t="inlineStr">
        <is>
          <t>FreezeFlag</t>
        </is>
      </c>
      <c r="C7328" s="24" t="inlineStr">
        <is>
          <t>冻结标志</t>
        </is>
      </c>
      <c r="D7328" s="24" t="inlineStr">
        <is>
          <t>3</t>
        </is>
      </c>
      <c r="E7328" s="24" t="inlineStr">
        <is>
          <t>解冻</t>
        </is>
      </c>
    </row>
    <row r="7329">
      <c r="B7329" s="24" t="inlineStr">
        <is>
          <t>FreezeFlag</t>
        </is>
      </c>
      <c r="C7329" s="24" t="inlineStr">
        <is>
          <t>冻结标志</t>
        </is>
      </c>
      <c r="D7329" s="24" t="inlineStr">
        <is>
          <t>4</t>
        </is>
      </c>
      <c r="E7329" s="24" t="inlineStr">
        <is>
          <t>终止</t>
        </is>
      </c>
    </row>
    <row r="7330" ht="15.95" customHeight="1" s="170">
      <c r="B7330" s="122" t="inlineStr">
        <is>
          <t>码值：DepreciationType</t>
        </is>
      </c>
    </row>
    <row r="7331">
      <c r="B7331" s="24" t="inlineStr">
        <is>
          <t>DepreciationType</t>
        </is>
      </c>
      <c r="C7331" s="24" t="inlineStr">
        <is>
          <t>折旧方法</t>
        </is>
      </c>
      <c r="D7331" s="24" t="inlineStr">
        <is>
          <t>1010</t>
        </is>
      </c>
      <c r="E7331" s="24" t="inlineStr">
        <is>
          <t>年限平均法</t>
        </is>
      </c>
    </row>
    <row r="7332">
      <c r="B7332" s="24" t="inlineStr">
        <is>
          <t>DepreciationType</t>
        </is>
      </c>
      <c r="C7332" s="24" t="inlineStr">
        <is>
          <t>折旧方法</t>
        </is>
      </c>
      <c r="D7332" s="24" t="inlineStr">
        <is>
          <t>1020</t>
        </is>
      </c>
      <c r="E7332" s="24" t="inlineStr">
        <is>
          <t>工作量法</t>
        </is>
      </c>
    </row>
    <row r="7333">
      <c r="B7333" s="24" t="inlineStr">
        <is>
          <t>DepreciationType</t>
        </is>
      </c>
      <c r="C7333" s="24" t="inlineStr">
        <is>
          <t>折旧方法</t>
        </is>
      </c>
      <c r="D7333" s="24" t="inlineStr">
        <is>
          <t>1030</t>
        </is>
      </c>
      <c r="E7333" s="24" t="inlineStr">
        <is>
          <t>双倍余额递减法和年数总和法</t>
        </is>
      </c>
    </row>
    <row r="7334">
      <c r="B7334" s="24" t="inlineStr">
        <is>
          <t>DepreciationType</t>
        </is>
      </c>
      <c r="C7334" s="24" t="inlineStr">
        <is>
          <t>折旧方法</t>
        </is>
      </c>
      <c r="D7334" s="24" t="inlineStr">
        <is>
          <t>1040</t>
        </is>
      </c>
      <c r="E7334" s="24" t="inlineStr">
        <is>
          <t>其他</t>
        </is>
      </c>
    </row>
    <row r="7335" ht="15.95" customHeight="1" s="170">
      <c r="B7335" s="122" t="inlineStr">
        <is>
          <t>码值：人财物后勤4个部门</t>
        </is>
      </c>
    </row>
    <row r="7336">
      <c r="B7336" s="24" t="inlineStr">
        <is>
          <t>人财物后勤4个部门</t>
        </is>
      </c>
      <c r="C7336" s="24" t="inlineStr">
        <is>
          <t>人财物后勤4个部门</t>
        </is>
      </c>
      <c r="D7336" s="24" t="inlineStr">
        <is>
          <t>1</t>
        </is>
      </c>
      <c r="E7336" s="24" t="inlineStr">
        <is>
          <t>4个部门齐全</t>
        </is>
      </c>
    </row>
    <row r="7337">
      <c r="B7337" s="24" t="inlineStr">
        <is>
          <t>人财物后勤4个部门</t>
        </is>
      </c>
      <c r="C7337" s="24" t="inlineStr">
        <is>
          <t>人财物后勤4个部门</t>
        </is>
      </c>
      <c r="D7337" s="24" t="inlineStr">
        <is>
          <t>2</t>
        </is>
      </c>
      <c r="E7337" s="24" t="inlineStr">
        <is>
          <t>2个至3个</t>
        </is>
      </c>
    </row>
    <row r="7338">
      <c r="B7338" s="24" t="inlineStr">
        <is>
          <t>人财物后勤4个部门</t>
        </is>
      </c>
      <c r="C7338" s="24" t="inlineStr">
        <is>
          <t>人财物后勤4个部门</t>
        </is>
      </c>
      <c r="D7338" s="24" t="inlineStr">
        <is>
          <t>3</t>
        </is>
      </c>
      <c r="E7338" s="24" t="inlineStr">
        <is>
          <t>2个以下</t>
        </is>
      </c>
    </row>
    <row r="7339" ht="15.95" customHeight="1" s="170">
      <c r="B7339" s="122" t="inlineStr">
        <is>
          <t>码值：CountryCode</t>
        </is>
      </c>
    </row>
    <row r="7340">
      <c r="B7340" s="24" t="inlineStr">
        <is>
          <t>CountryCode</t>
        </is>
      </c>
      <c r="C7340" s="24" t="inlineStr">
        <is>
          <t>国家地区</t>
        </is>
      </c>
      <c r="D7340" s="24" t="inlineStr">
        <is>
          <t>1</t>
        </is>
      </c>
      <c r="E7340" s="24" t="inlineStr">
        <is>
          <t>亚洲</t>
        </is>
      </c>
    </row>
    <row r="7341">
      <c r="B7341" s="24" t="inlineStr">
        <is>
          <t>CountryCode</t>
        </is>
      </c>
      <c r="C7341" s="24" t="inlineStr">
        <is>
          <t>国家地区</t>
        </is>
      </c>
      <c r="D7341" s="24" t="inlineStr">
        <is>
          <t>2</t>
        </is>
      </c>
      <c r="E7341" s="24" t="inlineStr">
        <is>
          <t>非洲</t>
        </is>
      </c>
    </row>
    <row r="7342">
      <c r="B7342" s="24" t="inlineStr">
        <is>
          <t>CountryCode</t>
        </is>
      </c>
      <c r="C7342" s="24" t="inlineStr">
        <is>
          <t>国家地区</t>
        </is>
      </c>
      <c r="D7342" s="24" t="inlineStr">
        <is>
          <t>3</t>
        </is>
      </c>
      <c r="E7342" s="24" t="inlineStr">
        <is>
          <t>欧洲</t>
        </is>
      </c>
    </row>
    <row r="7343">
      <c r="B7343" s="24" t="inlineStr">
        <is>
          <t>CountryCode</t>
        </is>
      </c>
      <c r="C7343" s="24" t="inlineStr">
        <is>
          <t>国家地区</t>
        </is>
      </c>
      <c r="D7343" s="24" t="inlineStr">
        <is>
          <t>4</t>
        </is>
      </c>
      <c r="E7343" s="24" t="inlineStr">
        <is>
          <t>拉丁美洲</t>
        </is>
      </c>
    </row>
    <row r="7344">
      <c r="B7344" s="24" t="inlineStr">
        <is>
          <t>CountryCode</t>
        </is>
      </c>
      <c r="C7344" s="24" t="inlineStr">
        <is>
          <t>国家地区</t>
        </is>
      </c>
      <c r="D7344" s="24" t="inlineStr">
        <is>
          <t>5</t>
        </is>
      </c>
      <c r="E7344" s="24" t="inlineStr">
        <is>
          <t>北美洲</t>
        </is>
      </c>
    </row>
    <row r="7345">
      <c r="B7345" s="24" t="inlineStr">
        <is>
          <t>CountryCode</t>
        </is>
      </c>
      <c r="C7345" s="24" t="inlineStr">
        <is>
          <t>国家地区</t>
        </is>
      </c>
      <c r="D7345" s="24" t="inlineStr">
        <is>
          <t>6</t>
        </is>
      </c>
      <c r="E7345" s="24" t="inlineStr">
        <is>
          <t>大洋洲</t>
        </is>
      </c>
    </row>
    <row r="7346">
      <c r="B7346" s="24" t="inlineStr">
        <is>
          <t>CountryCode</t>
        </is>
      </c>
      <c r="C7346" s="24" t="inlineStr">
        <is>
          <t>国家地区</t>
        </is>
      </c>
      <c r="D7346" s="24" t="inlineStr">
        <is>
          <t>7</t>
        </is>
      </c>
      <c r="E7346" s="24" t="inlineStr">
        <is>
          <t>其他地区</t>
        </is>
      </c>
    </row>
    <row r="7347">
      <c r="B7347" s="24" t="inlineStr">
        <is>
          <t>CountryCode</t>
        </is>
      </c>
      <c r="C7347" s="24" t="inlineStr">
        <is>
          <t>国家地区</t>
        </is>
      </c>
      <c r="D7347" s="24" t="inlineStr">
        <is>
          <t>AFG</t>
        </is>
      </c>
      <c r="E7347" s="24" t="inlineStr">
        <is>
          <t>阿富汗</t>
        </is>
      </c>
    </row>
    <row r="7348">
      <c r="B7348" s="24" t="inlineStr">
        <is>
          <t>CountryCode</t>
        </is>
      </c>
      <c r="C7348" s="24" t="inlineStr">
        <is>
          <t>国家地区</t>
        </is>
      </c>
      <c r="D7348" s="24" t="inlineStr">
        <is>
          <t>AGO</t>
        </is>
      </c>
      <c r="E7348" s="24" t="inlineStr">
        <is>
          <t>安哥拉共和国</t>
        </is>
      </c>
    </row>
    <row r="7349">
      <c r="B7349" s="24" t="inlineStr">
        <is>
          <t>CountryCode</t>
        </is>
      </c>
      <c r="C7349" s="24" t="inlineStr">
        <is>
          <t>国家地区</t>
        </is>
      </c>
      <c r="D7349" s="24" t="inlineStr">
        <is>
          <t>AIA</t>
        </is>
      </c>
      <c r="E7349" s="24" t="inlineStr">
        <is>
          <t>安圭拉</t>
        </is>
      </c>
    </row>
    <row r="7350">
      <c r="B7350" s="24" t="inlineStr">
        <is>
          <t>CountryCode</t>
        </is>
      </c>
      <c r="C7350" s="24" t="inlineStr">
        <is>
          <t>国家地区</t>
        </is>
      </c>
      <c r="D7350" s="24" t="inlineStr">
        <is>
          <t>ALB</t>
        </is>
      </c>
      <c r="E7350" s="24" t="inlineStr">
        <is>
          <t>阿尔巴尼亚共和国</t>
        </is>
      </c>
    </row>
    <row r="7351">
      <c r="B7351" s="24" t="inlineStr">
        <is>
          <t>CountryCode</t>
        </is>
      </c>
      <c r="C7351" s="24" t="inlineStr">
        <is>
          <t>国家地区</t>
        </is>
      </c>
      <c r="D7351" s="24" t="inlineStr">
        <is>
          <t>AND</t>
        </is>
      </c>
      <c r="E7351" s="24" t="inlineStr">
        <is>
          <t>安道尔公国</t>
        </is>
      </c>
    </row>
    <row r="7352">
      <c r="B7352" s="24" t="inlineStr">
        <is>
          <t>CountryCode</t>
        </is>
      </c>
      <c r="C7352" s="24" t="inlineStr">
        <is>
          <t>国家地区</t>
        </is>
      </c>
      <c r="D7352" s="24" t="inlineStr">
        <is>
          <t>ARE</t>
        </is>
      </c>
      <c r="E7352" s="24" t="inlineStr">
        <is>
          <t>阿拉伯联合酋长国</t>
        </is>
      </c>
    </row>
    <row r="7353">
      <c r="B7353" s="24" t="inlineStr">
        <is>
          <t>CountryCode</t>
        </is>
      </c>
      <c r="C7353" s="24" t="inlineStr">
        <is>
          <t>国家地区</t>
        </is>
      </c>
      <c r="D7353" s="24" t="inlineStr">
        <is>
          <t>ARG</t>
        </is>
      </c>
      <c r="E7353" s="24" t="inlineStr">
        <is>
          <t>阿根廷</t>
        </is>
      </c>
    </row>
    <row r="7354">
      <c r="B7354" s="24" t="inlineStr">
        <is>
          <t>CountryCode</t>
        </is>
      </c>
      <c r="C7354" s="24" t="inlineStr">
        <is>
          <t>国家地区</t>
        </is>
      </c>
      <c r="D7354" s="24" t="inlineStr">
        <is>
          <t>ASM</t>
        </is>
      </c>
      <c r="E7354" s="24" t="inlineStr">
        <is>
          <t>美属萨摩亚</t>
        </is>
      </c>
    </row>
    <row r="7355">
      <c r="B7355" s="24" t="inlineStr">
        <is>
          <t>CountryCode</t>
        </is>
      </c>
      <c r="C7355" s="24" t="inlineStr">
        <is>
          <t>国家地区</t>
        </is>
      </c>
      <c r="D7355" s="24" t="inlineStr">
        <is>
          <t>ATA</t>
        </is>
      </c>
      <c r="E7355" s="24" t="inlineStr">
        <is>
          <t>南极洲</t>
        </is>
      </c>
    </row>
    <row r="7356">
      <c r="B7356" s="24" t="inlineStr">
        <is>
          <t>CountryCode</t>
        </is>
      </c>
      <c r="C7356" s="24" t="inlineStr">
        <is>
          <t>国家地区</t>
        </is>
      </c>
      <c r="D7356" s="24" t="inlineStr">
        <is>
          <t>ATG</t>
        </is>
      </c>
      <c r="E7356" s="24" t="inlineStr">
        <is>
          <t>安提瓜和巴布达</t>
        </is>
      </c>
    </row>
    <row r="7357">
      <c r="B7357" s="24" t="inlineStr">
        <is>
          <t>CountryCode</t>
        </is>
      </c>
      <c r="C7357" s="24" t="inlineStr">
        <is>
          <t>国家地区</t>
        </is>
      </c>
      <c r="D7357" s="24" t="inlineStr">
        <is>
          <t>AUS</t>
        </is>
      </c>
      <c r="E7357" s="24" t="inlineStr">
        <is>
          <t>澳大利亚</t>
        </is>
      </c>
    </row>
    <row r="7358">
      <c r="B7358" s="24" t="inlineStr">
        <is>
          <t>CountryCode</t>
        </is>
      </c>
      <c r="C7358" s="24" t="inlineStr">
        <is>
          <t>国家地区</t>
        </is>
      </c>
      <c r="D7358" s="24" t="inlineStr">
        <is>
          <t>BDI</t>
        </is>
      </c>
      <c r="E7358" s="24" t="inlineStr">
        <is>
          <t>布隆迪共和国</t>
        </is>
      </c>
    </row>
    <row r="7359">
      <c r="B7359" s="24" t="inlineStr">
        <is>
          <t>CountryCode</t>
        </is>
      </c>
      <c r="C7359" s="24" t="inlineStr">
        <is>
          <t>国家地区</t>
        </is>
      </c>
      <c r="D7359" s="24" t="inlineStr">
        <is>
          <t>BEL</t>
        </is>
      </c>
      <c r="E7359" s="24" t="inlineStr">
        <is>
          <t>比利时</t>
        </is>
      </c>
    </row>
    <row r="7360">
      <c r="B7360" s="24" t="inlineStr">
        <is>
          <t>CountryCode</t>
        </is>
      </c>
      <c r="C7360" s="24" t="inlineStr">
        <is>
          <t>国家地区</t>
        </is>
      </c>
      <c r="D7360" s="24" t="inlineStr">
        <is>
          <t>BEN</t>
        </is>
      </c>
      <c r="E7360" s="24" t="inlineStr">
        <is>
          <t>贝宁共和国</t>
        </is>
      </c>
    </row>
    <row r="7361">
      <c r="B7361" s="24" t="inlineStr">
        <is>
          <t>CountryCode</t>
        </is>
      </c>
      <c r="C7361" s="24" t="inlineStr">
        <is>
          <t>国家地区</t>
        </is>
      </c>
      <c r="D7361" s="24" t="inlineStr">
        <is>
          <t>BFA</t>
        </is>
      </c>
      <c r="E7361" s="24" t="inlineStr">
        <is>
          <t>布基纳法索</t>
        </is>
      </c>
    </row>
    <row r="7362">
      <c r="B7362" s="24" t="inlineStr">
        <is>
          <t>CountryCode</t>
        </is>
      </c>
      <c r="C7362" s="24" t="inlineStr">
        <is>
          <t>国家地区</t>
        </is>
      </c>
      <c r="D7362" s="24" t="inlineStr">
        <is>
          <t>BGD</t>
        </is>
      </c>
      <c r="E7362" s="24" t="inlineStr">
        <is>
          <t>孟加拉人民共和国</t>
        </is>
      </c>
    </row>
    <row r="7363">
      <c r="B7363" s="24" t="inlineStr">
        <is>
          <t>CountryCode</t>
        </is>
      </c>
      <c r="C7363" s="24" t="inlineStr">
        <is>
          <t>国家地区</t>
        </is>
      </c>
      <c r="D7363" s="24" t="inlineStr">
        <is>
          <t>BGR</t>
        </is>
      </c>
      <c r="E7363" s="24" t="inlineStr">
        <is>
          <t>保加利亚共和国</t>
        </is>
      </c>
    </row>
    <row r="7364">
      <c r="B7364" s="24" t="inlineStr">
        <is>
          <t>CountryCode</t>
        </is>
      </c>
      <c r="C7364" s="24" t="inlineStr">
        <is>
          <t>国家地区</t>
        </is>
      </c>
      <c r="D7364" s="24" t="inlineStr">
        <is>
          <t>BHR</t>
        </is>
      </c>
      <c r="E7364" s="24" t="inlineStr">
        <is>
          <t>巴林国</t>
        </is>
      </c>
    </row>
    <row r="7365">
      <c r="B7365" s="24" t="inlineStr">
        <is>
          <t>CountryCode</t>
        </is>
      </c>
      <c r="C7365" s="24" t="inlineStr">
        <is>
          <t>国家地区</t>
        </is>
      </c>
      <c r="D7365" s="24" t="inlineStr">
        <is>
          <t>BHS</t>
        </is>
      </c>
      <c r="E7365" s="24" t="inlineStr">
        <is>
          <t>巴哈马联邦</t>
        </is>
      </c>
    </row>
    <row r="7366">
      <c r="B7366" s="24" t="inlineStr">
        <is>
          <t>CountryCode</t>
        </is>
      </c>
      <c r="C7366" s="24" t="inlineStr">
        <is>
          <t>国家地区</t>
        </is>
      </c>
      <c r="D7366" s="24" t="inlineStr">
        <is>
          <t>BIH</t>
        </is>
      </c>
      <c r="E7366" s="24" t="inlineStr">
        <is>
          <t>波斯尼亚和黑塞哥维那</t>
        </is>
      </c>
    </row>
    <row r="7367">
      <c r="B7367" s="24" t="inlineStr">
        <is>
          <t>CountryCode</t>
        </is>
      </c>
      <c r="C7367" s="24" t="inlineStr">
        <is>
          <t>国家地区</t>
        </is>
      </c>
      <c r="D7367" s="24" t="inlineStr">
        <is>
          <t>BLR</t>
        </is>
      </c>
      <c r="E7367" s="24" t="inlineStr">
        <is>
          <t>白俄罗斯共和国</t>
        </is>
      </c>
    </row>
    <row r="7368">
      <c r="B7368" s="24" t="inlineStr">
        <is>
          <t>CountryCode</t>
        </is>
      </c>
      <c r="C7368" s="24" t="inlineStr">
        <is>
          <t>国家地区</t>
        </is>
      </c>
      <c r="D7368" s="24" t="inlineStr">
        <is>
          <t>BLZ</t>
        </is>
      </c>
      <c r="E7368" s="24" t="inlineStr">
        <is>
          <t>伯利兹</t>
        </is>
      </c>
    </row>
    <row r="7369">
      <c r="B7369" s="24" t="inlineStr">
        <is>
          <t>CountryCode</t>
        </is>
      </c>
      <c r="C7369" s="24" t="inlineStr">
        <is>
          <t>国家地区</t>
        </is>
      </c>
      <c r="D7369" s="24" t="inlineStr">
        <is>
          <t>BMU</t>
        </is>
      </c>
      <c r="E7369" s="24" t="inlineStr">
        <is>
          <t>百慕大</t>
        </is>
      </c>
    </row>
    <row r="7370">
      <c r="B7370" s="24" t="inlineStr">
        <is>
          <t>CountryCode</t>
        </is>
      </c>
      <c r="C7370" s="24" t="inlineStr">
        <is>
          <t>国家地区</t>
        </is>
      </c>
      <c r="D7370" s="24" t="inlineStr">
        <is>
          <t>BOL</t>
        </is>
      </c>
      <c r="E7370" s="24" t="inlineStr">
        <is>
          <t>玻利维亚共和国</t>
        </is>
      </c>
    </row>
    <row r="7371">
      <c r="B7371" s="24" t="inlineStr">
        <is>
          <t>CountryCode</t>
        </is>
      </c>
      <c r="C7371" s="24" t="inlineStr">
        <is>
          <t>国家地区</t>
        </is>
      </c>
      <c r="D7371" s="24" t="inlineStr">
        <is>
          <t>BRA</t>
        </is>
      </c>
      <c r="E7371" s="24" t="inlineStr">
        <is>
          <t>巴西</t>
        </is>
      </c>
    </row>
    <row r="7372">
      <c r="B7372" s="24" t="inlineStr">
        <is>
          <t>CountryCode</t>
        </is>
      </c>
      <c r="C7372" s="24" t="inlineStr">
        <is>
          <t>国家地区</t>
        </is>
      </c>
      <c r="D7372" s="24" t="inlineStr">
        <is>
          <t>BRB</t>
        </is>
      </c>
      <c r="E7372" s="24" t="inlineStr">
        <is>
          <t>巴巴多斯</t>
        </is>
      </c>
    </row>
    <row r="7373">
      <c r="B7373" s="24" t="inlineStr">
        <is>
          <t>CountryCode</t>
        </is>
      </c>
      <c r="C7373" s="24" t="inlineStr">
        <is>
          <t>国家地区</t>
        </is>
      </c>
      <c r="D7373" s="24" t="inlineStr">
        <is>
          <t>BRN</t>
        </is>
      </c>
      <c r="E7373" s="24" t="inlineStr">
        <is>
          <t>文莱达鲁萨兰国</t>
        </is>
      </c>
    </row>
    <row r="7374">
      <c r="B7374" s="24" t="inlineStr">
        <is>
          <t>CountryCode</t>
        </is>
      </c>
      <c r="C7374" s="24" t="inlineStr">
        <is>
          <t>国家地区</t>
        </is>
      </c>
      <c r="D7374" s="24" t="inlineStr">
        <is>
          <t>BTN</t>
        </is>
      </c>
      <c r="E7374" s="24" t="inlineStr">
        <is>
          <t>不丹王国</t>
        </is>
      </c>
    </row>
    <row r="7375">
      <c r="B7375" s="24" t="inlineStr">
        <is>
          <t>CountryCode</t>
        </is>
      </c>
      <c r="C7375" s="24" t="inlineStr">
        <is>
          <t>国家地区</t>
        </is>
      </c>
      <c r="D7375" s="24" t="inlineStr">
        <is>
          <t>BVT</t>
        </is>
      </c>
      <c r="E7375" s="24" t="inlineStr">
        <is>
          <t>布维岛</t>
        </is>
      </c>
    </row>
    <row r="7376">
      <c r="B7376" s="24" t="inlineStr">
        <is>
          <t>CountryCode</t>
        </is>
      </c>
      <c r="C7376" s="24" t="inlineStr">
        <is>
          <t>国家地区</t>
        </is>
      </c>
      <c r="D7376" s="24" t="inlineStr">
        <is>
          <t>BWA</t>
        </is>
      </c>
      <c r="E7376" s="24" t="inlineStr">
        <is>
          <t>博茨瓦纳共和国</t>
        </is>
      </c>
    </row>
    <row r="7377">
      <c r="B7377" s="24" t="inlineStr">
        <is>
          <t>CountryCode</t>
        </is>
      </c>
      <c r="C7377" s="24" t="inlineStr">
        <is>
          <t>国家地区</t>
        </is>
      </c>
      <c r="D7377" s="24" t="inlineStr">
        <is>
          <t>CAN</t>
        </is>
      </c>
      <c r="E7377" s="24" t="inlineStr">
        <is>
          <t>加拿大</t>
        </is>
      </c>
    </row>
    <row r="7378">
      <c r="B7378" s="24" t="inlineStr">
        <is>
          <t>CountryCode</t>
        </is>
      </c>
      <c r="C7378" s="24" t="inlineStr">
        <is>
          <t>国家地区</t>
        </is>
      </c>
      <c r="D7378" s="24" t="inlineStr">
        <is>
          <t>CHE</t>
        </is>
      </c>
      <c r="E7378" s="24" t="inlineStr">
        <is>
          <t>瑞士</t>
        </is>
      </c>
    </row>
    <row r="7379">
      <c r="B7379" s="24" t="inlineStr">
        <is>
          <t>CountryCode</t>
        </is>
      </c>
      <c r="C7379" s="24" t="inlineStr">
        <is>
          <t>国家地区</t>
        </is>
      </c>
      <c r="D7379" s="24" t="inlineStr">
        <is>
          <t>CHL</t>
        </is>
      </c>
      <c r="E7379" s="24" t="inlineStr">
        <is>
          <t>智利</t>
        </is>
      </c>
    </row>
    <row r="7380">
      <c r="B7380" s="24" t="inlineStr">
        <is>
          <t>CountryCode</t>
        </is>
      </c>
      <c r="C7380" s="24" t="inlineStr">
        <is>
          <t>国家地区</t>
        </is>
      </c>
      <c r="D7380" s="24" t="inlineStr">
        <is>
          <t>CHN</t>
        </is>
      </c>
      <c r="E7380" s="24" t="inlineStr">
        <is>
          <t>中华人民共和国</t>
        </is>
      </c>
    </row>
    <row r="7381">
      <c r="B7381" s="24" t="inlineStr">
        <is>
          <t>CountryCode</t>
        </is>
      </c>
      <c r="C7381" s="24" t="inlineStr">
        <is>
          <t>国家地区</t>
        </is>
      </c>
      <c r="D7381" s="24" t="inlineStr">
        <is>
          <t>CMR</t>
        </is>
      </c>
      <c r="E7381" s="24" t="inlineStr">
        <is>
          <t>喀麦隆共和国</t>
        </is>
      </c>
    </row>
    <row r="7382">
      <c r="B7382" s="24" t="inlineStr">
        <is>
          <t>CountryCode</t>
        </is>
      </c>
      <c r="C7382" s="24" t="inlineStr">
        <is>
          <t>国家地区</t>
        </is>
      </c>
      <c r="D7382" s="24" t="inlineStr">
        <is>
          <t>COL</t>
        </is>
      </c>
      <c r="E7382" s="24" t="inlineStr">
        <is>
          <t>哥伦比亚</t>
        </is>
      </c>
    </row>
    <row r="7383">
      <c r="B7383" s="24" t="inlineStr">
        <is>
          <t>CountryCode</t>
        </is>
      </c>
      <c r="C7383" s="24" t="inlineStr">
        <is>
          <t>国家地区</t>
        </is>
      </c>
      <c r="D7383" s="24" t="inlineStr">
        <is>
          <t>CPV</t>
        </is>
      </c>
      <c r="E7383" s="24" t="inlineStr">
        <is>
          <t>佛得角共和国</t>
        </is>
      </c>
    </row>
    <row r="7384">
      <c r="B7384" s="24" t="inlineStr">
        <is>
          <t>CountryCode</t>
        </is>
      </c>
      <c r="C7384" s="24" t="inlineStr">
        <is>
          <t>国家地区</t>
        </is>
      </c>
      <c r="D7384" s="24" t="inlineStr">
        <is>
          <t>CUB</t>
        </is>
      </c>
      <c r="E7384" s="24" t="inlineStr">
        <is>
          <t>古巴</t>
        </is>
      </c>
    </row>
    <row r="7385">
      <c r="B7385" s="24" t="inlineStr">
        <is>
          <t>CountryCode</t>
        </is>
      </c>
      <c r="C7385" s="24" t="inlineStr">
        <is>
          <t>国家地区</t>
        </is>
      </c>
      <c r="D7385" s="24" t="inlineStr">
        <is>
          <t>CYM</t>
        </is>
      </c>
      <c r="E7385" s="24" t="inlineStr">
        <is>
          <t>开曼群岛</t>
        </is>
      </c>
    </row>
    <row r="7386">
      <c r="B7386" s="24" t="inlineStr">
        <is>
          <t>CountryCode</t>
        </is>
      </c>
      <c r="C7386" s="24" t="inlineStr">
        <is>
          <t>国家地区</t>
        </is>
      </c>
      <c r="D7386" s="24" t="inlineStr">
        <is>
          <t>DMA</t>
        </is>
      </c>
      <c r="E7386" s="24" t="inlineStr">
        <is>
          <t>多米尼克国</t>
        </is>
      </c>
    </row>
    <row r="7387">
      <c r="B7387" s="24" t="inlineStr">
        <is>
          <t>CountryCode</t>
        </is>
      </c>
      <c r="C7387" s="24" t="inlineStr">
        <is>
          <t>国家地区</t>
        </is>
      </c>
      <c r="D7387" s="24" t="inlineStr">
        <is>
          <t>DZA</t>
        </is>
      </c>
      <c r="E7387" s="24" t="inlineStr">
        <is>
          <t>阿尔及利亚民主人民共和国</t>
        </is>
      </c>
    </row>
    <row r="7388">
      <c r="B7388" s="24" t="inlineStr">
        <is>
          <t>CountryCode</t>
        </is>
      </c>
      <c r="C7388" s="24" t="inlineStr">
        <is>
          <t>国家地区</t>
        </is>
      </c>
      <c r="D7388" s="24" t="inlineStr">
        <is>
          <t>IDN</t>
        </is>
      </c>
      <c r="E7388" s="24" t="inlineStr">
        <is>
          <t>印度尼西亚</t>
        </is>
      </c>
    </row>
    <row r="7389">
      <c r="B7389" s="24" t="inlineStr">
        <is>
          <t>CountryCode</t>
        </is>
      </c>
      <c r="C7389" s="24" t="inlineStr">
        <is>
          <t>国家地区</t>
        </is>
      </c>
      <c r="D7389" s="24" t="inlineStr">
        <is>
          <t>IND</t>
        </is>
      </c>
      <c r="E7389" s="24" t="inlineStr">
        <is>
          <t>印度</t>
        </is>
      </c>
    </row>
    <row r="7390">
      <c r="B7390" s="24" t="inlineStr">
        <is>
          <t>CountryCode</t>
        </is>
      </c>
      <c r="C7390" s="24" t="inlineStr">
        <is>
          <t>国家地区</t>
        </is>
      </c>
      <c r="D7390" s="24" t="inlineStr">
        <is>
          <t>IOT</t>
        </is>
      </c>
      <c r="E7390" s="24" t="inlineStr">
        <is>
          <t>英属印度洋领地</t>
        </is>
      </c>
    </row>
    <row r="7391">
      <c r="B7391" s="24" t="inlineStr">
        <is>
          <t>CountryCode</t>
        </is>
      </c>
      <c r="C7391" s="24" t="inlineStr">
        <is>
          <t>国家地区</t>
        </is>
      </c>
      <c r="D7391" s="24" t="inlineStr">
        <is>
          <t>IRL</t>
        </is>
      </c>
      <c r="E7391" s="24" t="inlineStr">
        <is>
          <t>爱尔兰</t>
        </is>
      </c>
    </row>
    <row r="7392">
      <c r="B7392" s="24" t="inlineStr">
        <is>
          <t>CountryCode</t>
        </is>
      </c>
      <c r="C7392" s="24" t="inlineStr">
        <is>
          <t>国家地区</t>
        </is>
      </c>
      <c r="D7392" s="24" t="inlineStr">
        <is>
          <t>IRN</t>
        </is>
      </c>
      <c r="E7392" s="24" t="inlineStr">
        <is>
          <t>伊朗</t>
        </is>
      </c>
    </row>
    <row r="7393">
      <c r="B7393" s="24" t="inlineStr">
        <is>
          <t>CountryCode</t>
        </is>
      </c>
      <c r="C7393" s="24" t="inlineStr">
        <is>
          <t>国家地区</t>
        </is>
      </c>
      <c r="D7393" s="24" t="inlineStr">
        <is>
          <t>IRQ</t>
        </is>
      </c>
      <c r="E7393" s="24" t="inlineStr">
        <is>
          <t>伊拉克</t>
        </is>
      </c>
    </row>
    <row r="7394">
      <c r="B7394" s="24" t="inlineStr">
        <is>
          <t>CountryCode</t>
        </is>
      </c>
      <c r="C7394" s="24" t="inlineStr">
        <is>
          <t>国家地区</t>
        </is>
      </c>
      <c r="D7394" s="24" t="inlineStr">
        <is>
          <t>ISR</t>
        </is>
      </c>
      <c r="E7394" s="24" t="inlineStr">
        <is>
          <t>以色列</t>
        </is>
      </c>
    </row>
    <row r="7395">
      <c r="B7395" s="24" t="inlineStr">
        <is>
          <t>CountryCode</t>
        </is>
      </c>
      <c r="C7395" s="24" t="inlineStr">
        <is>
          <t>国家地区</t>
        </is>
      </c>
      <c r="D7395" s="24" t="inlineStr">
        <is>
          <t>ITA</t>
        </is>
      </c>
      <c r="E7395" s="24" t="inlineStr">
        <is>
          <t>意大利</t>
        </is>
      </c>
    </row>
    <row r="7396">
      <c r="B7396" s="24" t="inlineStr">
        <is>
          <t>CountryCode</t>
        </is>
      </c>
      <c r="C7396" s="24" t="inlineStr">
        <is>
          <t>国家地区</t>
        </is>
      </c>
      <c r="D7396" s="24" t="inlineStr">
        <is>
          <t>JPN</t>
        </is>
      </c>
      <c r="E7396" s="24" t="inlineStr">
        <is>
          <t>日本</t>
        </is>
      </c>
    </row>
    <row r="7397">
      <c r="B7397" s="24" t="inlineStr">
        <is>
          <t>CountryCode</t>
        </is>
      </c>
      <c r="C7397" s="24" t="inlineStr">
        <is>
          <t>国家地区</t>
        </is>
      </c>
      <c r="D7397" s="24" t="inlineStr">
        <is>
          <t>KHM</t>
        </is>
      </c>
      <c r="E7397" s="24" t="inlineStr">
        <is>
          <t>柬埔寨王国</t>
        </is>
      </c>
    </row>
    <row r="7398">
      <c r="B7398" s="24" t="inlineStr">
        <is>
          <t>CountryCode</t>
        </is>
      </c>
      <c r="C7398" s="24" t="inlineStr">
        <is>
          <t>国家地区</t>
        </is>
      </c>
      <c r="D7398" s="24" t="inlineStr">
        <is>
          <t>KOR</t>
        </is>
      </c>
      <c r="E7398" s="24" t="inlineStr">
        <is>
          <t>韩国</t>
        </is>
      </c>
    </row>
    <row r="7399">
      <c r="B7399" s="24" t="inlineStr">
        <is>
          <t>CountryCode</t>
        </is>
      </c>
      <c r="C7399" s="24" t="inlineStr">
        <is>
          <t>国家地区</t>
        </is>
      </c>
      <c r="D7399" s="24" t="inlineStr">
        <is>
          <t>KWT</t>
        </is>
      </c>
      <c r="E7399" s="24" t="inlineStr">
        <is>
          <t>科威特</t>
        </is>
      </c>
    </row>
    <row r="7400">
      <c r="B7400" s="24" t="inlineStr">
        <is>
          <t>CountryCode</t>
        </is>
      </c>
      <c r="C7400" s="24" t="inlineStr">
        <is>
          <t>国家地区</t>
        </is>
      </c>
      <c r="D7400" s="24" t="inlineStr">
        <is>
          <t>MAR</t>
        </is>
      </c>
      <c r="E7400" s="24" t="inlineStr">
        <is>
          <t>摩洛哥</t>
        </is>
      </c>
    </row>
    <row r="7401">
      <c r="B7401" s="24" t="inlineStr">
        <is>
          <t>CountryCode</t>
        </is>
      </c>
      <c r="C7401" s="24" t="inlineStr">
        <is>
          <t>国家地区</t>
        </is>
      </c>
      <c r="D7401" s="24" t="inlineStr">
        <is>
          <t>MEX</t>
        </is>
      </c>
      <c r="E7401" s="24" t="inlineStr">
        <is>
          <t>墨西哥</t>
        </is>
      </c>
    </row>
    <row r="7402">
      <c r="B7402" s="24" t="inlineStr">
        <is>
          <t>CountryCode</t>
        </is>
      </c>
      <c r="C7402" s="24" t="inlineStr">
        <is>
          <t>国家地区</t>
        </is>
      </c>
      <c r="D7402" s="24" t="inlineStr">
        <is>
          <t>MNG</t>
        </is>
      </c>
      <c r="E7402" s="24" t="inlineStr">
        <is>
          <t>蒙古</t>
        </is>
      </c>
    </row>
    <row r="7403">
      <c r="B7403" s="24" t="inlineStr">
        <is>
          <t>CountryCode</t>
        </is>
      </c>
      <c r="C7403" s="24" t="inlineStr">
        <is>
          <t>国家地区</t>
        </is>
      </c>
      <c r="D7403" s="24" t="inlineStr">
        <is>
          <t>MUS</t>
        </is>
      </c>
      <c r="E7403" s="24" t="inlineStr">
        <is>
          <t>毛里求斯</t>
        </is>
      </c>
    </row>
    <row r="7404">
      <c r="B7404" s="24" t="inlineStr">
        <is>
          <t>CountryCode</t>
        </is>
      </c>
      <c r="C7404" s="24" t="inlineStr">
        <is>
          <t>国家地区</t>
        </is>
      </c>
      <c r="D7404" s="24" t="inlineStr">
        <is>
          <t>MYS</t>
        </is>
      </c>
      <c r="E7404" s="24" t="inlineStr">
        <is>
          <t>马来西亚</t>
        </is>
      </c>
    </row>
    <row r="7405">
      <c r="B7405" s="24" t="inlineStr">
        <is>
          <t>CountryCode</t>
        </is>
      </c>
      <c r="C7405" s="24" t="inlineStr">
        <is>
          <t>国家地区</t>
        </is>
      </c>
      <c r="D7405" s="24" t="inlineStr">
        <is>
          <t>NGA</t>
        </is>
      </c>
      <c r="E7405" s="24" t="inlineStr">
        <is>
          <t>尼日利亚</t>
        </is>
      </c>
    </row>
    <row r="7406">
      <c r="B7406" s="24" t="inlineStr">
        <is>
          <t>CountryCode</t>
        </is>
      </c>
      <c r="C7406" s="24" t="inlineStr">
        <is>
          <t>国家地区</t>
        </is>
      </c>
      <c r="D7406" s="24" t="inlineStr">
        <is>
          <t>NLD</t>
        </is>
      </c>
      <c r="E7406" s="24" t="inlineStr">
        <is>
          <t>荷兰</t>
        </is>
      </c>
    </row>
    <row r="7407">
      <c r="B7407" s="24" t="inlineStr">
        <is>
          <t>CountryCode</t>
        </is>
      </c>
      <c r="C7407" s="24" t="inlineStr">
        <is>
          <t>国家地区</t>
        </is>
      </c>
      <c r="D7407" s="24" t="inlineStr">
        <is>
          <t>NOR</t>
        </is>
      </c>
      <c r="E7407" s="24" t="inlineStr">
        <is>
          <t>挪威</t>
        </is>
      </c>
    </row>
    <row r="7408">
      <c r="B7408" s="24" t="inlineStr">
        <is>
          <t>CountryCode</t>
        </is>
      </c>
      <c r="C7408" s="24" t="inlineStr">
        <is>
          <t>国家地区</t>
        </is>
      </c>
      <c r="D7408" s="24" t="inlineStr">
        <is>
          <t>NZL</t>
        </is>
      </c>
      <c r="E7408" s="24" t="inlineStr">
        <is>
          <t>新西兰</t>
        </is>
      </c>
    </row>
    <row r="7409">
      <c r="B7409" s="24" t="inlineStr">
        <is>
          <t>CountryCode</t>
        </is>
      </c>
      <c r="C7409" s="24" t="inlineStr">
        <is>
          <t>国家地区</t>
        </is>
      </c>
      <c r="D7409" s="24" t="inlineStr">
        <is>
          <t>OTH</t>
        </is>
      </c>
      <c r="E7409" s="24" t="inlineStr">
        <is>
          <t>其他地区</t>
        </is>
      </c>
    </row>
    <row r="7410">
      <c r="B7410" s="24" t="inlineStr">
        <is>
          <t>CountryCode</t>
        </is>
      </c>
      <c r="C7410" s="24" t="inlineStr">
        <is>
          <t>国家地区</t>
        </is>
      </c>
      <c r="D7410" s="24" t="inlineStr">
        <is>
          <t>PAK</t>
        </is>
      </c>
      <c r="E7410" s="24" t="inlineStr">
        <is>
          <t>巴基斯坦</t>
        </is>
      </c>
    </row>
    <row r="7411">
      <c r="B7411" s="24" t="inlineStr">
        <is>
          <t>CountryCode</t>
        </is>
      </c>
      <c r="C7411" s="24" t="inlineStr">
        <is>
          <t>国家地区</t>
        </is>
      </c>
      <c r="D7411" s="24" t="inlineStr">
        <is>
          <t>PER</t>
        </is>
      </c>
      <c r="E7411" s="24" t="inlineStr">
        <is>
          <t>秘鲁</t>
        </is>
      </c>
    </row>
    <row r="7412">
      <c r="B7412" s="24" t="inlineStr">
        <is>
          <t>CountryCode</t>
        </is>
      </c>
      <c r="C7412" s="24" t="inlineStr">
        <is>
          <t>国家地区</t>
        </is>
      </c>
      <c r="D7412" s="24" t="inlineStr">
        <is>
          <t>PHL</t>
        </is>
      </c>
      <c r="E7412" s="24" t="inlineStr">
        <is>
          <t>菲律宾</t>
        </is>
      </c>
    </row>
    <row r="7413">
      <c r="B7413" s="24" t="inlineStr">
        <is>
          <t>CountryCode</t>
        </is>
      </c>
      <c r="C7413" s="24" t="inlineStr">
        <is>
          <t>国家地区</t>
        </is>
      </c>
      <c r="D7413" s="24" t="inlineStr">
        <is>
          <t>POL</t>
        </is>
      </c>
      <c r="E7413" s="24" t="inlineStr">
        <is>
          <t>波兰</t>
        </is>
      </c>
    </row>
    <row r="7414">
      <c r="B7414" s="24" t="inlineStr">
        <is>
          <t>CountryCode</t>
        </is>
      </c>
      <c r="C7414" s="24" t="inlineStr">
        <is>
          <t>国家地区</t>
        </is>
      </c>
      <c r="D7414" s="24" t="inlineStr">
        <is>
          <t>PRK</t>
        </is>
      </c>
      <c r="E7414" s="24" t="inlineStr">
        <is>
          <t>朝鲜</t>
        </is>
      </c>
    </row>
    <row r="7415">
      <c r="B7415" s="24" t="inlineStr">
        <is>
          <t>CountryCode</t>
        </is>
      </c>
      <c r="C7415" s="24" t="inlineStr">
        <is>
          <t>国家地区</t>
        </is>
      </c>
      <c r="D7415" s="24" t="inlineStr">
        <is>
          <t>PRT</t>
        </is>
      </c>
      <c r="E7415" s="24" t="inlineStr">
        <is>
          <t>葡萄牙</t>
        </is>
      </c>
    </row>
    <row r="7416">
      <c r="B7416" s="24" t="inlineStr">
        <is>
          <t>CountryCode</t>
        </is>
      </c>
      <c r="C7416" s="24" t="inlineStr">
        <is>
          <t>国家地区</t>
        </is>
      </c>
      <c r="D7416" s="24" t="inlineStr">
        <is>
          <t>ROM</t>
        </is>
      </c>
      <c r="E7416" s="24" t="inlineStr">
        <is>
          <t>罗马尼亚</t>
        </is>
      </c>
    </row>
    <row r="7417">
      <c r="B7417" s="24" t="inlineStr">
        <is>
          <t>CountryCode</t>
        </is>
      </c>
      <c r="C7417" s="24" t="inlineStr">
        <is>
          <t>国家地区</t>
        </is>
      </c>
      <c r="D7417" s="24" t="inlineStr">
        <is>
          <t>RUS</t>
        </is>
      </c>
      <c r="E7417" s="24" t="inlineStr">
        <is>
          <t>俄罗斯</t>
        </is>
      </c>
    </row>
    <row r="7418">
      <c r="B7418" s="24" t="inlineStr">
        <is>
          <t>CountryCode</t>
        </is>
      </c>
      <c r="C7418" s="24" t="inlineStr">
        <is>
          <t>国家地区</t>
        </is>
      </c>
      <c r="D7418" s="24" t="inlineStr">
        <is>
          <t>SAU</t>
        </is>
      </c>
      <c r="E7418" s="24" t="inlineStr">
        <is>
          <t>沙特阿拉伯</t>
        </is>
      </c>
    </row>
    <row r="7419">
      <c r="B7419" s="24" t="inlineStr">
        <is>
          <t>CountryCode</t>
        </is>
      </c>
      <c r="C7419" s="24" t="inlineStr">
        <is>
          <t>国家地区</t>
        </is>
      </c>
      <c r="D7419" s="24" t="inlineStr">
        <is>
          <t>SDN</t>
        </is>
      </c>
      <c r="E7419" s="24" t="inlineStr">
        <is>
          <t>苏丹</t>
        </is>
      </c>
    </row>
    <row r="7420">
      <c r="B7420" s="24" t="inlineStr">
        <is>
          <t>CountryCode</t>
        </is>
      </c>
      <c r="C7420" s="24" t="inlineStr">
        <is>
          <t>国家地区</t>
        </is>
      </c>
      <c r="D7420" s="24" t="inlineStr">
        <is>
          <t>SEN</t>
        </is>
      </c>
      <c r="E7420" s="24" t="inlineStr">
        <is>
          <t>塞内加尔</t>
        </is>
      </c>
    </row>
    <row r="7421">
      <c r="B7421" s="24" t="inlineStr">
        <is>
          <t>CountryCode</t>
        </is>
      </c>
      <c r="C7421" s="24" t="inlineStr">
        <is>
          <t>国家地区</t>
        </is>
      </c>
      <c r="D7421" s="24" t="inlineStr">
        <is>
          <t>SGP</t>
        </is>
      </c>
      <c r="E7421" s="24" t="inlineStr">
        <is>
          <t>新加坡</t>
        </is>
      </c>
    </row>
    <row r="7422">
      <c r="B7422" s="24" t="inlineStr">
        <is>
          <t>CountryCode</t>
        </is>
      </c>
      <c r="C7422" s="24" t="inlineStr">
        <is>
          <t>国家地区</t>
        </is>
      </c>
      <c r="D7422" s="24" t="inlineStr">
        <is>
          <t>SLB</t>
        </is>
      </c>
      <c r="E7422" s="24" t="inlineStr">
        <is>
          <t>所罗门群岛</t>
        </is>
      </c>
    </row>
    <row r="7423">
      <c r="B7423" s="24" t="inlineStr">
        <is>
          <t>CountryCode</t>
        </is>
      </c>
      <c r="C7423" s="24" t="inlineStr">
        <is>
          <t>国家地区</t>
        </is>
      </c>
      <c r="D7423" s="24" t="inlineStr">
        <is>
          <t>SWE</t>
        </is>
      </c>
      <c r="E7423" s="24" t="inlineStr">
        <is>
          <t>瑞典</t>
        </is>
      </c>
    </row>
    <row r="7424">
      <c r="B7424" s="24" t="inlineStr">
        <is>
          <t>CountryCode</t>
        </is>
      </c>
      <c r="C7424" s="24" t="inlineStr">
        <is>
          <t>国家地区</t>
        </is>
      </c>
      <c r="D7424" s="24" t="inlineStr">
        <is>
          <t>SYR</t>
        </is>
      </c>
      <c r="E7424" s="24" t="inlineStr">
        <is>
          <t>阿拉伯叙利亚共和国</t>
        </is>
      </c>
    </row>
    <row r="7425">
      <c r="B7425" s="24" t="inlineStr">
        <is>
          <t>CountryCode</t>
        </is>
      </c>
      <c r="C7425" s="24" t="inlineStr">
        <is>
          <t>国家地区</t>
        </is>
      </c>
      <c r="D7425" s="24" t="inlineStr">
        <is>
          <t>THA</t>
        </is>
      </c>
      <c r="E7425" s="24" t="inlineStr">
        <is>
          <t>泰国</t>
        </is>
      </c>
    </row>
    <row r="7426">
      <c r="B7426" s="24" t="inlineStr">
        <is>
          <t>CountryCode</t>
        </is>
      </c>
      <c r="C7426" s="24" t="inlineStr">
        <is>
          <t>国家地区</t>
        </is>
      </c>
      <c r="D7426" s="24" t="inlineStr">
        <is>
          <t>TUN</t>
        </is>
      </c>
      <c r="E7426" s="24" t="inlineStr">
        <is>
          <t>突尼斯</t>
        </is>
      </c>
    </row>
    <row r="7427">
      <c r="B7427" s="24" t="inlineStr">
        <is>
          <t>CountryCode</t>
        </is>
      </c>
      <c r="C7427" s="24" t="inlineStr">
        <is>
          <t>国家地区</t>
        </is>
      </c>
      <c r="D7427" s="24" t="inlineStr">
        <is>
          <t>TUR</t>
        </is>
      </c>
      <c r="E7427" s="24" t="inlineStr">
        <is>
          <t>土耳其</t>
        </is>
      </c>
    </row>
    <row r="7428">
      <c r="B7428" s="24" t="inlineStr">
        <is>
          <t>CountryCode</t>
        </is>
      </c>
      <c r="C7428" s="24" t="inlineStr">
        <is>
          <t>国家地区</t>
        </is>
      </c>
      <c r="D7428" s="24" t="inlineStr">
        <is>
          <t>UKR</t>
        </is>
      </c>
      <c r="E7428" s="24" t="inlineStr">
        <is>
          <t>乌克兰</t>
        </is>
      </c>
    </row>
    <row r="7429">
      <c r="B7429" s="24" t="inlineStr">
        <is>
          <t>CountryCode</t>
        </is>
      </c>
      <c r="C7429" s="24" t="inlineStr">
        <is>
          <t>国家地区</t>
        </is>
      </c>
      <c r="D7429" s="24" t="inlineStr">
        <is>
          <t>URY</t>
        </is>
      </c>
      <c r="E7429" s="24" t="inlineStr">
        <is>
          <t>乌拉圭</t>
        </is>
      </c>
    </row>
    <row r="7430">
      <c r="B7430" s="24" t="inlineStr">
        <is>
          <t>CountryCode</t>
        </is>
      </c>
      <c r="C7430" s="24" t="inlineStr">
        <is>
          <t>国家地区</t>
        </is>
      </c>
      <c r="D7430" s="24" t="inlineStr">
        <is>
          <t>USA</t>
        </is>
      </c>
      <c r="E7430" s="24" t="inlineStr">
        <is>
          <t>美国</t>
        </is>
      </c>
    </row>
    <row r="7431">
      <c r="B7431" s="24" t="inlineStr">
        <is>
          <t>CountryCode</t>
        </is>
      </c>
      <c r="C7431" s="24" t="inlineStr">
        <is>
          <t>国家地区</t>
        </is>
      </c>
      <c r="D7431" s="24" t="inlineStr">
        <is>
          <t>VAT</t>
        </is>
      </c>
      <c r="E7431" s="24" t="inlineStr">
        <is>
          <t>梵蒂冈城国</t>
        </is>
      </c>
    </row>
    <row r="7432">
      <c r="B7432" s="24" t="inlineStr">
        <is>
          <t>CountryCode</t>
        </is>
      </c>
      <c r="C7432" s="24" t="inlineStr">
        <is>
          <t>国家地区</t>
        </is>
      </c>
      <c r="D7432" s="24" t="inlineStr">
        <is>
          <t>VEN</t>
        </is>
      </c>
      <c r="E7432" s="24" t="inlineStr">
        <is>
          <t>委内瑞拉</t>
        </is>
      </c>
    </row>
    <row r="7433">
      <c r="B7433" s="24" t="inlineStr">
        <is>
          <t>CountryCode</t>
        </is>
      </c>
      <c r="C7433" s="24" t="inlineStr">
        <is>
          <t>国家地区</t>
        </is>
      </c>
      <c r="D7433" s="24" t="inlineStr">
        <is>
          <t>VGB</t>
        </is>
      </c>
      <c r="E7433" s="24" t="inlineStr">
        <is>
          <t>英属维尔京群岛</t>
        </is>
      </c>
    </row>
    <row r="7434">
      <c r="B7434" s="24" t="inlineStr">
        <is>
          <t>CountryCode</t>
        </is>
      </c>
      <c r="C7434" s="24" t="inlineStr">
        <is>
          <t>国家地区</t>
        </is>
      </c>
      <c r="D7434" s="24" t="inlineStr">
        <is>
          <t>VIR</t>
        </is>
      </c>
      <c r="E7434" s="24" t="inlineStr">
        <is>
          <t>美属维尔京群岛</t>
        </is>
      </c>
    </row>
    <row r="7435">
      <c r="B7435" s="24" t="inlineStr">
        <is>
          <t>CountryCode</t>
        </is>
      </c>
      <c r="C7435" s="24" t="inlineStr">
        <is>
          <t>国家地区</t>
        </is>
      </c>
      <c r="D7435" s="24" t="inlineStr">
        <is>
          <t>VNM</t>
        </is>
      </c>
      <c r="E7435" s="24" t="inlineStr">
        <is>
          <t>越南</t>
        </is>
      </c>
    </row>
    <row r="7436">
      <c r="B7436" s="24" t="inlineStr">
        <is>
          <t>CountryCode</t>
        </is>
      </c>
      <c r="C7436" s="24" t="inlineStr">
        <is>
          <t>国家地区</t>
        </is>
      </c>
      <c r="D7436" s="24" t="inlineStr">
        <is>
          <t>WLF</t>
        </is>
      </c>
      <c r="E7436" s="24" t="inlineStr">
        <is>
          <t>瓦利斯和富图纳</t>
        </is>
      </c>
    </row>
    <row r="7437">
      <c r="B7437" s="24" t="inlineStr">
        <is>
          <t>CountryCode</t>
        </is>
      </c>
      <c r="C7437" s="24" t="inlineStr">
        <is>
          <t>国家地区</t>
        </is>
      </c>
      <c r="D7437" s="24" t="inlineStr">
        <is>
          <t>YEM</t>
        </is>
      </c>
      <c r="E7437" s="24" t="inlineStr">
        <is>
          <t>也门共和国</t>
        </is>
      </c>
    </row>
    <row r="7438">
      <c r="B7438" s="24" t="inlineStr">
        <is>
          <t>CountryCode</t>
        </is>
      </c>
      <c r="C7438" s="24" t="inlineStr">
        <is>
          <t>国家地区</t>
        </is>
      </c>
      <c r="D7438" s="24" t="inlineStr">
        <is>
          <t>YUG</t>
        </is>
      </c>
      <c r="E7438" s="24" t="inlineStr">
        <is>
          <t>南斯拉夫联盟共和国</t>
        </is>
      </c>
    </row>
    <row r="7439">
      <c r="B7439" s="24" t="inlineStr">
        <is>
          <t>CountryCode</t>
        </is>
      </c>
      <c r="C7439" s="24" t="inlineStr">
        <is>
          <t>国家地区</t>
        </is>
      </c>
      <c r="D7439" s="24" t="inlineStr">
        <is>
          <t>ZAF</t>
        </is>
      </c>
      <c r="E7439" s="24" t="inlineStr">
        <is>
          <t>南非</t>
        </is>
      </c>
    </row>
    <row r="7440" ht="15.95" customHeight="1" s="170">
      <c r="B7440" s="122" t="inlineStr">
        <is>
          <t>码值：AssetTransferViewTree</t>
        </is>
      </c>
    </row>
    <row r="7441">
      <c r="B7441" s="24" t="inlineStr">
        <is>
          <t>AssetTransferViewTree</t>
        </is>
      </c>
      <c r="C7441" s="24" t="n"/>
      <c r="D7441" s="24" t="inlineStr">
        <is>
          <t>01</t>
        </is>
      </c>
      <c r="E7441" s="24" t="inlineStr">
        <is>
          <t>基本信息</t>
        </is>
      </c>
    </row>
    <row r="7442">
      <c r="B7442" s="24" t="inlineStr">
        <is>
          <t>AssetTransferViewTree</t>
        </is>
      </c>
      <c r="C7442" s="24" t="n"/>
      <c r="D7442" s="24" t="inlineStr">
        <is>
          <t>02</t>
        </is>
      </c>
      <c r="E7442" s="24" t="inlineStr">
        <is>
          <t>项下资产</t>
        </is>
      </c>
    </row>
    <row r="7443">
      <c r="B7443" s="24" t="inlineStr">
        <is>
          <t>AssetTransferViewTree</t>
        </is>
      </c>
      <c r="C7443" s="24" t="n"/>
      <c r="D7443" s="24" t="inlineStr">
        <is>
          <t>03</t>
        </is>
      </c>
      <c r="E7443" s="24" t="inlineStr">
        <is>
          <t>项目调整历史</t>
        </is>
      </c>
    </row>
    <row r="7444">
      <c r="B7444" s="24" t="inlineStr">
        <is>
          <t>AssetTransferViewTree</t>
        </is>
      </c>
      <c r="C7444" s="24" t="n"/>
      <c r="D7444" s="24" t="inlineStr">
        <is>
          <t>0301</t>
        </is>
      </c>
      <c r="E7444" s="24" t="inlineStr">
        <is>
          <t>基本信息调整</t>
        </is>
      </c>
    </row>
    <row r="7445">
      <c r="B7445" s="24" t="inlineStr">
        <is>
          <t>AssetTransferViewTree</t>
        </is>
      </c>
      <c r="C7445" s="24" t="n"/>
      <c r="D7445" s="24" t="inlineStr">
        <is>
          <t>0302</t>
        </is>
      </c>
      <c r="E7445" s="24" t="inlineStr">
        <is>
          <t>资产调整</t>
        </is>
      </c>
    </row>
    <row r="7446" ht="15.95" customHeight="1" s="170">
      <c r="B7446" s="122" t="inlineStr">
        <is>
          <t>码值：EntGuarantyRelative</t>
        </is>
      </c>
    </row>
    <row r="7447">
      <c r="B7447" s="24" t="inlineStr">
        <is>
          <t>EntGuarantyRelative</t>
        </is>
      </c>
      <c r="C7447" s="24" t="inlineStr">
        <is>
          <t>担保关联类型</t>
        </is>
      </c>
      <c r="D7447" s="24" t="inlineStr">
        <is>
          <t>01</t>
        </is>
      </c>
      <c r="E7447" s="24" t="inlineStr">
        <is>
          <t>担保</t>
        </is>
      </c>
    </row>
    <row r="7448">
      <c r="B7448" s="24" t="inlineStr">
        <is>
          <t>EntGuarantyRelative</t>
        </is>
      </c>
      <c r="C7448" s="24" t="inlineStr">
        <is>
          <t>担保关联类型</t>
        </is>
      </c>
      <c r="D7448" s="24" t="inlineStr">
        <is>
          <t>02</t>
        </is>
      </c>
      <c r="E7448" s="24" t="inlineStr">
        <is>
          <t>被担保</t>
        </is>
      </c>
    </row>
    <row r="7449">
      <c r="B7449" s="24" t="inlineStr">
        <is>
          <t>EntGuarantyRelative</t>
        </is>
      </c>
      <c r="C7449" s="24" t="inlineStr">
        <is>
          <t>担保关联类型</t>
        </is>
      </c>
      <c r="D7449" s="24" t="inlineStr">
        <is>
          <t>03</t>
        </is>
      </c>
      <c r="E7449" s="24" t="inlineStr">
        <is>
          <t>互相担保</t>
        </is>
      </c>
    </row>
    <row r="7450" ht="15.95" customHeight="1" s="170">
      <c r="B7450" s="122" t="inlineStr">
        <is>
          <t>码值：BlackCustControlType</t>
        </is>
      </c>
    </row>
    <row r="7451">
      <c r="B7451" s="24" t="inlineStr">
        <is>
          <t>BlackCustControlType</t>
        </is>
      </c>
      <c r="C7451" s="24" t="inlineStr">
        <is>
          <t>特殊客户控制方式</t>
        </is>
      </c>
      <c r="D7451" s="24" t="inlineStr">
        <is>
          <t>0010</t>
        </is>
      </c>
      <c r="E7451" s="24" t="inlineStr">
        <is>
          <t>慎贷</t>
        </is>
      </c>
    </row>
    <row r="7452">
      <c r="B7452" s="24" t="inlineStr">
        <is>
          <t>BlackCustControlType</t>
        </is>
      </c>
      <c r="C7452" s="24" t="inlineStr">
        <is>
          <t>特殊客户控制方式</t>
        </is>
      </c>
      <c r="D7452" s="24" t="inlineStr">
        <is>
          <t>0020</t>
        </is>
      </c>
      <c r="E7452" s="24" t="inlineStr">
        <is>
          <t>禁贷</t>
        </is>
      </c>
    </row>
    <row r="7453">
      <c r="B7453" s="24" t="inlineStr">
        <is>
          <t>BlackCustControlType</t>
        </is>
      </c>
      <c r="C7453" s="24" t="inlineStr">
        <is>
          <t>特殊客户控制方式</t>
        </is>
      </c>
      <c r="D7453" s="24" t="inlineStr">
        <is>
          <t>0030</t>
        </is>
      </c>
      <c r="E7453" s="24" t="inlineStr">
        <is>
          <t>重点营销</t>
        </is>
      </c>
    </row>
    <row r="7454">
      <c r="B7454" s="24" t="inlineStr">
        <is>
          <t>BlackCustControlType</t>
        </is>
      </c>
      <c r="C7454" s="24" t="inlineStr">
        <is>
          <t>特殊客户控制方式</t>
        </is>
      </c>
      <c r="D7454" s="24" t="inlineStr">
        <is>
          <t>0040</t>
        </is>
      </c>
      <c r="E7454" s="24" t="inlineStr">
        <is>
          <t>快速审批</t>
        </is>
      </c>
    </row>
    <row r="7455">
      <c r="B7455" s="24" t="inlineStr">
        <is>
          <t>BlackCustControlType</t>
        </is>
      </c>
      <c r="C7455" s="24" t="inlineStr">
        <is>
          <t>特殊客户控制方式</t>
        </is>
      </c>
      <c r="D7455" s="24" t="inlineStr">
        <is>
          <t>0050</t>
        </is>
      </c>
      <c r="E7455" s="24" t="inlineStr">
        <is>
          <t>其他</t>
        </is>
      </c>
    </row>
    <row r="7456" ht="15.95" customHeight="1" s="170">
      <c r="B7456" s="122" t="inlineStr">
        <is>
          <t>码值：SMECreditYear</t>
        </is>
      </c>
    </row>
    <row r="7457">
      <c r="B7457" s="24" t="inlineStr">
        <is>
          <t>SMECreditYear</t>
        </is>
      </c>
      <c r="C7457" s="24" t="inlineStr">
        <is>
          <t>从事本行业年限</t>
        </is>
      </c>
      <c r="D7457" s="24" t="inlineStr">
        <is>
          <t>01</t>
        </is>
      </c>
      <c r="E7457" s="24" t="inlineStr">
        <is>
          <t>5年及5年以上</t>
        </is>
      </c>
    </row>
    <row r="7458">
      <c r="B7458" s="24" t="inlineStr">
        <is>
          <t>SMECreditYear</t>
        </is>
      </c>
      <c r="C7458" s="24" t="inlineStr">
        <is>
          <t>从事本行业年限</t>
        </is>
      </c>
      <c r="D7458" s="24" t="inlineStr">
        <is>
          <t>02</t>
        </is>
      </c>
      <c r="E7458" s="24" t="inlineStr">
        <is>
          <t>1年至5年</t>
        </is>
      </c>
    </row>
    <row r="7459">
      <c r="B7459" s="24" t="inlineStr">
        <is>
          <t>SMECreditYear</t>
        </is>
      </c>
      <c r="C7459" s="24" t="inlineStr">
        <is>
          <t>从事本行业年限</t>
        </is>
      </c>
      <c r="D7459" s="24" t="inlineStr">
        <is>
          <t>03</t>
        </is>
      </c>
      <c r="E7459" s="24" t="inlineStr">
        <is>
          <t>1年以内</t>
        </is>
      </c>
    </row>
    <row r="7460" ht="15.95" customHeight="1" s="170">
      <c r="B7460" s="122" t="inlineStr">
        <is>
          <t>码值：BusinessCharacter</t>
        </is>
      </c>
    </row>
    <row r="7461">
      <c r="B7461" s="24" t="inlineStr">
        <is>
          <t>BusinessCharacter</t>
        </is>
      </c>
      <c r="C7461" s="24" t="inlineStr">
        <is>
          <t>业务性质</t>
        </is>
      </c>
      <c r="D7461" s="24" t="inlineStr">
        <is>
          <t>01</t>
        </is>
      </c>
      <c r="E7461" s="24" t="inlineStr">
        <is>
          <t>正回购</t>
        </is>
      </c>
    </row>
    <row r="7462">
      <c r="B7462" s="24" t="inlineStr">
        <is>
          <t>BusinessCharacter</t>
        </is>
      </c>
      <c r="C7462" s="24" t="inlineStr">
        <is>
          <t>业务性质</t>
        </is>
      </c>
      <c r="D7462" s="24" t="inlineStr">
        <is>
          <t>02</t>
        </is>
      </c>
      <c r="E7462" s="24" t="inlineStr">
        <is>
          <t>逆回购</t>
        </is>
      </c>
    </row>
    <row r="7463">
      <c r="B7463" s="24" t="inlineStr">
        <is>
          <t>BusinessCharacter</t>
        </is>
      </c>
      <c r="C7463" s="24" t="inlineStr">
        <is>
          <t>业务性质</t>
        </is>
      </c>
      <c r="D7463" s="24" t="inlineStr">
        <is>
          <t>03</t>
        </is>
      </c>
      <c r="E7463" s="24" t="inlineStr">
        <is>
          <t>到期返售</t>
        </is>
      </c>
    </row>
    <row r="7464">
      <c r="B7464" s="24" t="inlineStr">
        <is>
          <t>BusinessCharacter</t>
        </is>
      </c>
      <c r="C7464" s="24" t="inlineStr">
        <is>
          <t>业务性质</t>
        </is>
      </c>
      <c r="D7464" s="24" t="inlineStr">
        <is>
          <t>04</t>
        </is>
      </c>
      <c r="E7464" s="24" t="inlineStr">
        <is>
          <t>到期回购</t>
        </is>
      </c>
    </row>
    <row r="7465">
      <c r="B7465" s="24" t="inlineStr">
        <is>
          <t>BusinessCharacter</t>
        </is>
      </c>
      <c r="C7465" s="24" t="inlineStr">
        <is>
          <t>业务性质</t>
        </is>
      </c>
      <c r="D7465" s="24" t="inlineStr">
        <is>
          <t>05</t>
        </is>
      </c>
      <c r="E7465" s="24" t="inlineStr">
        <is>
          <t>买断</t>
        </is>
      </c>
    </row>
    <row r="7466">
      <c r="B7466" s="24" t="inlineStr">
        <is>
          <t>BusinessCharacter</t>
        </is>
      </c>
      <c r="C7466" s="24" t="inlineStr">
        <is>
          <t>业务性质</t>
        </is>
      </c>
      <c r="D7466" s="24" t="inlineStr">
        <is>
          <t>06</t>
        </is>
      </c>
      <c r="E7466" s="24" t="inlineStr">
        <is>
          <t>卖断</t>
        </is>
      </c>
    </row>
    <row r="7467">
      <c r="B7467" s="24" t="inlineStr">
        <is>
          <t>BusinessCharacter</t>
        </is>
      </c>
      <c r="C7467" s="24" t="inlineStr">
        <is>
          <t>业务性质</t>
        </is>
      </c>
      <c r="D7467" s="24" t="inlineStr">
        <is>
          <t>07</t>
        </is>
      </c>
      <c r="E7467" s="24" t="inlineStr">
        <is>
          <t>行内转贴现</t>
        </is>
      </c>
    </row>
    <row r="7468" ht="15.95" customHeight="1" s="170">
      <c r="B7468" s="122" t="inlineStr">
        <is>
          <t>码值：FinanceType</t>
        </is>
      </c>
    </row>
    <row r="7469">
      <c r="B7469" s="24" t="inlineStr">
        <is>
          <t>FinanceType</t>
        </is>
      </c>
      <c r="C7469" s="24" t="inlineStr">
        <is>
          <t>金融机构类型</t>
        </is>
      </c>
      <c r="D7469" s="24" t="inlineStr">
        <is>
          <t>01</t>
        </is>
      </c>
      <c r="E7469" s="24" t="inlineStr">
        <is>
          <t>境内银行金融机构</t>
        </is>
      </c>
    </row>
    <row r="7470">
      <c r="B7470" s="24" t="inlineStr">
        <is>
          <t>FinanceType</t>
        </is>
      </c>
      <c r="C7470" s="24" t="inlineStr">
        <is>
          <t>金融机构类型</t>
        </is>
      </c>
      <c r="D7470" s="24" t="inlineStr">
        <is>
          <t>0101</t>
        </is>
      </c>
      <c r="E7470" s="24" t="inlineStr">
        <is>
          <t>政策性银行</t>
        </is>
      </c>
    </row>
    <row r="7471">
      <c r="B7471" s="24" t="inlineStr">
        <is>
          <t>FinanceType</t>
        </is>
      </c>
      <c r="C7471" s="24" t="inlineStr">
        <is>
          <t>金融机构类型</t>
        </is>
      </c>
      <c r="D7471" s="24" t="inlineStr">
        <is>
          <t>0102</t>
        </is>
      </c>
      <c r="E7471" s="24" t="inlineStr">
        <is>
          <t>国家开发银行</t>
        </is>
      </c>
    </row>
    <row r="7472">
      <c r="B7472" s="24" t="inlineStr">
        <is>
          <t>FinanceType</t>
        </is>
      </c>
      <c r="C7472" s="24" t="inlineStr">
        <is>
          <t>金融机构类型</t>
        </is>
      </c>
      <c r="D7472" s="24" t="inlineStr">
        <is>
          <t>0103</t>
        </is>
      </c>
      <c r="E7472" s="24" t="inlineStr">
        <is>
          <t>国有商业银行</t>
        </is>
      </c>
    </row>
    <row r="7473">
      <c r="B7473" s="24" t="inlineStr">
        <is>
          <t>FinanceType</t>
        </is>
      </c>
      <c r="C7473" s="24" t="inlineStr">
        <is>
          <t>金融机构类型</t>
        </is>
      </c>
      <c r="D7473" s="24" t="inlineStr">
        <is>
          <t>0104</t>
        </is>
      </c>
      <c r="E7473" s="24" t="inlineStr">
        <is>
          <t>股份制商业银行</t>
        </is>
      </c>
    </row>
    <row r="7474">
      <c r="B7474" s="24" t="inlineStr">
        <is>
          <t>FinanceType</t>
        </is>
      </c>
      <c r="C7474" s="24" t="inlineStr">
        <is>
          <t>金融机构类型</t>
        </is>
      </c>
      <c r="D7474" s="24" t="inlineStr">
        <is>
          <t>0105</t>
        </is>
      </c>
      <c r="E7474" s="24" t="inlineStr">
        <is>
          <t>城市商业银行</t>
        </is>
      </c>
    </row>
    <row r="7475">
      <c r="B7475" s="24" t="inlineStr">
        <is>
          <t>FinanceType</t>
        </is>
      </c>
      <c r="C7475" s="24" t="inlineStr">
        <is>
          <t>金融机构类型</t>
        </is>
      </c>
      <c r="D7475" s="24" t="inlineStr">
        <is>
          <t>0106</t>
        </is>
      </c>
      <c r="E7475" s="24" t="inlineStr">
        <is>
          <t>农村商业银行</t>
        </is>
      </c>
    </row>
    <row r="7476">
      <c r="B7476" s="24" t="inlineStr">
        <is>
          <t>FinanceType</t>
        </is>
      </c>
      <c r="C7476" s="24" t="inlineStr">
        <is>
          <t>金融机构类型</t>
        </is>
      </c>
      <c r="D7476" s="24" t="inlineStr">
        <is>
          <t>0107</t>
        </is>
      </c>
      <c r="E7476" s="24" t="inlineStr">
        <is>
          <t>城市信用合作社</t>
        </is>
      </c>
    </row>
    <row r="7477">
      <c r="B7477" s="24" t="inlineStr">
        <is>
          <t>FinanceType</t>
        </is>
      </c>
      <c r="C7477" s="24" t="inlineStr">
        <is>
          <t>金融机构类型</t>
        </is>
      </c>
      <c r="D7477" s="24" t="inlineStr">
        <is>
          <t>0108</t>
        </is>
      </c>
      <c r="E7477" s="24" t="inlineStr">
        <is>
          <t>农村信用合作社</t>
        </is>
      </c>
    </row>
    <row r="7478">
      <c r="B7478" s="24" t="inlineStr">
        <is>
          <t>FinanceType</t>
        </is>
      </c>
      <c r="C7478" s="24" t="inlineStr">
        <is>
          <t>金融机构类型</t>
        </is>
      </c>
      <c r="D7478" s="24" t="inlineStr">
        <is>
          <t>0109</t>
        </is>
      </c>
      <c r="E7478" s="24" t="inlineStr">
        <is>
          <t>农村合作银行</t>
        </is>
      </c>
    </row>
    <row r="7479">
      <c r="B7479" s="24" t="inlineStr">
        <is>
          <t>FinanceType</t>
        </is>
      </c>
      <c r="C7479" s="24" t="inlineStr">
        <is>
          <t>金融机构类型</t>
        </is>
      </c>
      <c r="D7479" s="24" t="inlineStr">
        <is>
          <t>0110</t>
        </is>
      </c>
      <c r="E7479" s="24" t="inlineStr">
        <is>
          <t>村镇银行</t>
        </is>
      </c>
    </row>
    <row r="7480">
      <c r="B7480" s="24" t="inlineStr">
        <is>
          <t>FinanceType</t>
        </is>
      </c>
      <c r="C7480" s="24" t="inlineStr">
        <is>
          <t>金融机构类型</t>
        </is>
      </c>
      <c r="D7480" s="24" t="inlineStr">
        <is>
          <t>0111</t>
        </is>
      </c>
      <c r="E7480" s="24" t="inlineStr">
        <is>
          <t>农村资金互助社</t>
        </is>
      </c>
    </row>
    <row r="7481">
      <c r="B7481" s="24" t="inlineStr">
        <is>
          <t>FinanceType</t>
        </is>
      </c>
      <c r="C7481" s="24" t="inlineStr">
        <is>
          <t>金融机构类型</t>
        </is>
      </c>
      <c r="D7481" s="24" t="inlineStr">
        <is>
          <t>0112</t>
        </is>
      </c>
      <c r="E7481" s="24" t="inlineStr">
        <is>
          <t>邮政储蓄银行</t>
        </is>
      </c>
    </row>
    <row r="7482">
      <c r="B7482" s="24" t="inlineStr">
        <is>
          <t>FinanceType</t>
        </is>
      </c>
      <c r="C7482" s="24" t="inlineStr">
        <is>
          <t>金融机构类型</t>
        </is>
      </c>
      <c r="D7482" s="24" t="inlineStr">
        <is>
          <t>02</t>
        </is>
      </c>
      <c r="E7482" s="24" t="inlineStr">
        <is>
          <t>境内非银行金融机构</t>
        </is>
      </c>
    </row>
    <row r="7483">
      <c r="B7483" s="24" t="inlineStr">
        <is>
          <t>FinanceType</t>
        </is>
      </c>
      <c r="C7483" s="24" t="inlineStr">
        <is>
          <t>金融机构类型</t>
        </is>
      </c>
      <c r="D7483" s="24" t="inlineStr">
        <is>
          <t>0201</t>
        </is>
      </c>
      <c r="E7483" s="24" t="inlineStr">
        <is>
          <t>证券公司</t>
        </is>
      </c>
    </row>
    <row r="7484">
      <c r="B7484" s="24" t="inlineStr">
        <is>
          <t>FinanceType</t>
        </is>
      </c>
      <c r="C7484" s="24" t="inlineStr">
        <is>
          <t>金融机构类型</t>
        </is>
      </c>
      <c r="D7484" s="24" t="inlineStr">
        <is>
          <t>0202</t>
        </is>
      </c>
      <c r="E7484" s="24" t="inlineStr">
        <is>
          <t>保险公司</t>
        </is>
      </c>
    </row>
    <row r="7485">
      <c r="B7485" s="24" t="inlineStr">
        <is>
          <t>FinanceType</t>
        </is>
      </c>
      <c r="C7485" s="24" t="inlineStr">
        <is>
          <t>金融机构类型</t>
        </is>
      </c>
      <c r="D7485" s="24" t="inlineStr">
        <is>
          <t>0203</t>
        </is>
      </c>
      <c r="E7485" s="24" t="inlineStr">
        <is>
          <t>信托公司</t>
        </is>
      </c>
    </row>
    <row r="7486">
      <c r="B7486" s="24" t="inlineStr">
        <is>
          <t>FinanceType</t>
        </is>
      </c>
      <c r="C7486" s="24" t="inlineStr">
        <is>
          <t>金融机构类型</t>
        </is>
      </c>
      <c r="D7486" s="24" t="inlineStr">
        <is>
          <t>0204</t>
        </is>
      </c>
      <c r="E7486" s="24" t="inlineStr">
        <is>
          <t>基金公司</t>
        </is>
      </c>
    </row>
    <row r="7487">
      <c r="B7487" s="24" t="inlineStr">
        <is>
          <t>FinanceType</t>
        </is>
      </c>
      <c r="C7487" s="24" t="inlineStr">
        <is>
          <t>金融机构类型</t>
        </is>
      </c>
      <c r="D7487" s="24" t="inlineStr">
        <is>
          <t>0205</t>
        </is>
      </c>
      <c r="E7487" s="24" t="inlineStr">
        <is>
          <t>财务公司</t>
        </is>
      </c>
    </row>
    <row r="7488">
      <c r="B7488" s="24" t="inlineStr">
        <is>
          <t>FinanceType</t>
        </is>
      </c>
      <c r="C7488" s="24" t="inlineStr">
        <is>
          <t>金融机构类型</t>
        </is>
      </c>
      <c r="D7488" s="24" t="inlineStr">
        <is>
          <t>0206</t>
        </is>
      </c>
      <c r="E7488" s="24" t="inlineStr">
        <is>
          <t>期货公司</t>
        </is>
      </c>
    </row>
    <row r="7489">
      <c r="B7489" s="24" t="inlineStr">
        <is>
          <t>FinanceType</t>
        </is>
      </c>
      <c r="C7489" s="24" t="inlineStr">
        <is>
          <t>金融机构类型</t>
        </is>
      </c>
      <c r="D7489" s="24" t="inlineStr">
        <is>
          <t>0207</t>
        </is>
      </c>
      <c r="E7489" s="24" t="inlineStr">
        <is>
          <t>消费金融公司</t>
        </is>
      </c>
    </row>
    <row r="7490">
      <c r="B7490" s="24" t="inlineStr">
        <is>
          <t>FinanceType</t>
        </is>
      </c>
      <c r="C7490" s="24" t="inlineStr">
        <is>
          <t>金融机构类型</t>
        </is>
      </c>
      <c r="D7490" s="24" t="inlineStr">
        <is>
          <t>0208</t>
        </is>
      </c>
      <c r="E7490" s="24" t="inlineStr">
        <is>
          <t>金融租赁公司</t>
        </is>
      </c>
    </row>
    <row r="7491">
      <c r="B7491" s="24" t="inlineStr">
        <is>
          <t>FinanceType</t>
        </is>
      </c>
      <c r="C7491" s="24" t="inlineStr">
        <is>
          <t>金融机构类型</t>
        </is>
      </c>
      <c r="D7491" s="24" t="inlineStr">
        <is>
          <t>0209</t>
        </is>
      </c>
      <c r="E7491" s="24" t="inlineStr">
        <is>
          <t>汽车金融公司</t>
        </is>
      </c>
    </row>
    <row r="7492">
      <c r="B7492" s="24" t="inlineStr">
        <is>
          <t>FinanceType</t>
        </is>
      </c>
      <c r="C7492" s="24" t="inlineStr">
        <is>
          <t>金融机构类型</t>
        </is>
      </c>
      <c r="D7492" s="24" t="inlineStr">
        <is>
          <t>0210</t>
        </is>
      </c>
      <c r="E7492" s="24" t="inlineStr">
        <is>
          <t>小额贷款公司</t>
        </is>
      </c>
    </row>
    <row r="7493">
      <c r="B7493" s="24" t="inlineStr">
        <is>
          <t>FinanceType</t>
        </is>
      </c>
      <c r="C7493" s="24" t="inlineStr">
        <is>
          <t>金融机构类型</t>
        </is>
      </c>
      <c r="D7493" s="24" t="inlineStr">
        <is>
          <t>0211</t>
        </is>
      </c>
      <c r="E7493" s="24" t="inlineStr">
        <is>
          <t>金融资产管理公司</t>
        </is>
      </c>
    </row>
    <row r="7494">
      <c r="B7494" s="24" t="inlineStr">
        <is>
          <t>FinanceType</t>
        </is>
      </c>
      <c r="C7494" s="24" t="inlineStr">
        <is>
          <t>金融机构类型</t>
        </is>
      </c>
      <c r="D7494" s="24" t="inlineStr">
        <is>
          <t>0212</t>
        </is>
      </c>
      <c r="E7494" s="24" t="inlineStr">
        <is>
          <t>保理商</t>
        </is>
      </c>
    </row>
    <row r="7495">
      <c r="B7495" s="24" t="inlineStr">
        <is>
          <t>FinanceType</t>
        </is>
      </c>
      <c r="C7495" s="24" t="inlineStr">
        <is>
          <t>金融机构类型</t>
        </is>
      </c>
      <c r="D7495" s="24" t="inlineStr">
        <is>
          <t>0299</t>
        </is>
      </c>
      <c r="E7495" s="24" t="inlineStr">
        <is>
          <t>其他</t>
        </is>
      </c>
    </row>
    <row r="7496">
      <c r="B7496" s="24" t="inlineStr">
        <is>
          <t>FinanceType</t>
        </is>
      </c>
      <c r="C7496" s="24" t="inlineStr">
        <is>
          <t>金融机构类型</t>
        </is>
      </c>
      <c r="D7496" s="24" t="inlineStr">
        <is>
          <t>03</t>
        </is>
      </c>
      <c r="E7496" s="24" t="inlineStr">
        <is>
          <t>境外银行金融机构</t>
        </is>
      </c>
    </row>
    <row r="7497">
      <c r="B7497" s="24" t="inlineStr">
        <is>
          <t>FinanceType</t>
        </is>
      </c>
      <c r="C7497" s="24" t="inlineStr">
        <is>
          <t>金融机构类型</t>
        </is>
      </c>
      <c r="D7497" s="24" t="inlineStr">
        <is>
          <t>0301</t>
        </is>
      </c>
      <c r="E7497" s="24" t="inlineStr">
        <is>
          <t>外资法人银行</t>
        </is>
      </c>
    </row>
    <row r="7498">
      <c r="B7498" s="24" t="inlineStr">
        <is>
          <t>FinanceType</t>
        </is>
      </c>
      <c r="C7498" s="24" t="inlineStr">
        <is>
          <t>金融机构类型</t>
        </is>
      </c>
      <c r="D7498" s="24" t="inlineStr">
        <is>
          <t>0302</t>
        </is>
      </c>
      <c r="E7498" s="24" t="inlineStr">
        <is>
          <t>外国银行分行</t>
        </is>
      </c>
    </row>
    <row r="7499">
      <c r="B7499" s="24" t="inlineStr">
        <is>
          <t>FinanceType</t>
        </is>
      </c>
      <c r="C7499" s="24" t="inlineStr">
        <is>
          <t>金融机构类型</t>
        </is>
      </c>
      <c r="D7499" s="24" t="inlineStr">
        <is>
          <t>04</t>
        </is>
      </c>
      <c r="E7499" s="24" t="inlineStr">
        <is>
          <t>境外非银行金融机构</t>
        </is>
      </c>
    </row>
    <row r="7500" ht="15.95" customHeight="1" s="170">
      <c r="B7500" s="122" t="inlineStr">
        <is>
          <t>码值：RuleDecision</t>
        </is>
      </c>
    </row>
    <row r="7501">
      <c r="B7501" s="24" t="inlineStr">
        <is>
          <t>RuleDecision</t>
        </is>
      </c>
      <c r="C7501" s="24" t="inlineStr">
        <is>
          <t>规则结果</t>
        </is>
      </c>
      <c r="D7501" s="24" t="inlineStr">
        <is>
          <t>accept</t>
        </is>
      </c>
      <c r="E7501" s="24" t="inlineStr">
        <is>
          <t>终批授权</t>
        </is>
      </c>
    </row>
    <row r="7502">
      <c r="B7502" s="24" t="inlineStr">
        <is>
          <t>RuleDecision</t>
        </is>
      </c>
      <c r="C7502" s="24" t="inlineStr">
        <is>
          <t>规则结果</t>
        </is>
      </c>
      <c r="D7502" s="24" t="inlineStr">
        <is>
          <t>noright</t>
        </is>
      </c>
      <c r="E7502" s="24" t="inlineStr">
        <is>
          <t>审批授权外</t>
        </is>
      </c>
    </row>
    <row r="7503">
      <c r="B7503" s="24" t="inlineStr">
        <is>
          <t>RuleDecision</t>
        </is>
      </c>
      <c r="C7503" s="24" t="inlineStr">
        <is>
          <t>规则结果</t>
        </is>
      </c>
      <c r="D7503" s="24" t="inlineStr">
        <is>
          <t>prohibit</t>
        </is>
      </c>
      <c r="E7503" s="24" t="inlineStr">
        <is>
          <t>禁批授权</t>
        </is>
      </c>
    </row>
    <row r="7504" ht="15.95" customHeight="1" s="170">
      <c r="B7504" s="122" t="inlineStr">
        <is>
          <t>码值：LeadingIndustry</t>
        </is>
      </c>
    </row>
    <row r="7505">
      <c r="B7505" s="24" t="inlineStr">
        <is>
          <t>LeadingIndustry</t>
        </is>
      </c>
      <c r="C7505" s="24" t="inlineStr">
        <is>
          <t>农户主导产业</t>
        </is>
      </c>
      <c r="D7505" s="24" t="inlineStr">
        <is>
          <t>010</t>
        </is>
      </c>
      <c r="E7505" s="24" t="inlineStr">
        <is>
          <t>粮食</t>
        </is>
      </c>
    </row>
    <row r="7506">
      <c r="B7506" s="24" t="inlineStr">
        <is>
          <t>LeadingIndustry</t>
        </is>
      </c>
      <c r="C7506" s="24" t="inlineStr">
        <is>
          <t>农户主导产业</t>
        </is>
      </c>
      <c r="D7506" s="24" t="inlineStr">
        <is>
          <t>020</t>
        </is>
      </c>
      <c r="E7506" s="24" t="inlineStr">
        <is>
          <t>棉花</t>
        </is>
      </c>
    </row>
    <row r="7507">
      <c r="B7507" s="24" t="inlineStr">
        <is>
          <t>LeadingIndustry</t>
        </is>
      </c>
      <c r="C7507" s="24" t="inlineStr">
        <is>
          <t>农户主导产业</t>
        </is>
      </c>
      <c r="D7507" s="24" t="inlineStr">
        <is>
          <t>030</t>
        </is>
      </c>
      <c r="E7507" s="24" t="inlineStr">
        <is>
          <t>油料</t>
        </is>
      </c>
    </row>
    <row r="7508">
      <c r="B7508" s="24" t="inlineStr">
        <is>
          <t>LeadingIndustry</t>
        </is>
      </c>
      <c r="C7508" s="24" t="inlineStr">
        <is>
          <t>农户主导产业</t>
        </is>
      </c>
      <c r="D7508" s="24" t="inlineStr">
        <is>
          <t>040</t>
        </is>
      </c>
      <c r="E7508" s="24" t="inlineStr">
        <is>
          <t>蔬菜</t>
        </is>
      </c>
    </row>
    <row r="7509">
      <c r="B7509" s="24" t="inlineStr">
        <is>
          <t>LeadingIndustry</t>
        </is>
      </c>
      <c r="C7509" s="24" t="inlineStr">
        <is>
          <t>农户主导产业</t>
        </is>
      </c>
      <c r="D7509" s="24" t="inlineStr">
        <is>
          <t>050</t>
        </is>
      </c>
      <c r="E7509" s="24" t="inlineStr">
        <is>
          <t>烤烟</t>
        </is>
      </c>
    </row>
    <row r="7510">
      <c r="B7510" s="24" t="inlineStr">
        <is>
          <t>LeadingIndustry</t>
        </is>
      </c>
      <c r="C7510" s="24" t="inlineStr">
        <is>
          <t>农户主导产业</t>
        </is>
      </c>
      <c r="D7510" s="24" t="inlineStr">
        <is>
          <t>060</t>
        </is>
      </c>
      <c r="E7510" s="24" t="inlineStr">
        <is>
          <t>茶叶</t>
        </is>
      </c>
    </row>
    <row r="7511">
      <c r="B7511" s="24" t="inlineStr">
        <is>
          <t>LeadingIndustry</t>
        </is>
      </c>
      <c r="C7511" s="24" t="inlineStr">
        <is>
          <t>农户主导产业</t>
        </is>
      </c>
      <c r="D7511" s="24" t="inlineStr">
        <is>
          <t>070</t>
        </is>
      </c>
      <c r="E7511" s="24" t="inlineStr">
        <is>
          <t>中药材</t>
        </is>
      </c>
    </row>
    <row r="7512">
      <c r="B7512" s="24" t="inlineStr">
        <is>
          <t>LeadingIndustry</t>
        </is>
      </c>
      <c r="C7512" s="24" t="inlineStr">
        <is>
          <t>农户主导产业</t>
        </is>
      </c>
      <c r="D7512" s="24" t="inlineStr">
        <is>
          <t>080</t>
        </is>
      </c>
      <c r="E7512" s="24" t="inlineStr">
        <is>
          <t>花果</t>
        </is>
      </c>
    </row>
    <row r="7513">
      <c r="B7513" s="24" t="inlineStr">
        <is>
          <t>LeadingIndustry</t>
        </is>
      </c>
      <c r="C7513" s="24" t="inlineStr">
        <is>
          <t>农户主导产业</t>
        </is>
      </c>
      <c r="D7513" s="24" t="inlineStr">
        <is>
          <t>090</t>
        </is>
      </c>
      <c r="E7513" s="24" t="inlineStr">
        <is>
          <t>林木</t>
        </is>
      </c>
    </row>
    <row r="7514">
      <c r="B7514" s="24" t="inlineStr">
        <is>
          <t>LeadingIndustry</t>
        </is>
      </c>
      <c r="C7514" s="24" t="inlineStr">
        <is>
          <t>农户主导产业</t>
        </is>
      </c>
      <c r="D7514" s="24" t="inlineStr">
        <is>
          <t>100</t>
        </is>
      </c>
      <c r="E7514" s="24" t="inlineStr">
        <is>
          <t>花卉</t>
        </is>
      </c>
    </row>
    <row r="7515">
      <c r="B7515" s="24" t="inlineStr">
        <is>
          <t>LeadingIndustry</t>
        </is>
      </c>
      <c r="C7515" s="24" t="inlineStr">
        <is>
          <t>农户主导产业</t>
        </is>
      </c>
      <c r="D7515" s="24" t="inlineStr">
        <is>
          <t>110</t>
        </is>
      </c>
      <c r="E7515" s="24" t="inlineStr">
        <is>
          <t>竹材</t>
        </is>
      </c>
    </row>
    <row r="7516">
      <c r="B7516" s="24" t="inlineStr">
        <is>
          <t>LeadingIndustry</t>
        </is>
      </c>
      <c r="C7516" s="24" t="inlineStr">
        <is>
          <t>农户主导产业</t>
        </is>
      </c>
      <c r="D7516" s="24" t="inlineStr">
        <is>
          <t>120</t>
        </is>
      </c>
      <c r="E7516" s="24" t="inlineStr">
        <is>
          <t>蚕桑业</t>
        </is>
      </c>
    </row>
    <row r="7517">
      <c r="B7517" s="24" t="inlineStr">
        <is>
          <t>LeadingIndustry</t>
        </is>
      </c>
      <c r="C7517" s="24" t="inlineStr">
        <is>
          <t>农户主导产业</t>
        </is>
      </c>
      <c r="D7517" s="24" t="inlineStr">
        <is>
          <t>130</t>
        </is>
      </c>
      <c r="E7517" s="24" t="inlineStr">
        <is>
          <t>养猪业</t>
        </is>
      </c>
    </row>
    <row r="7518">
      <c r="B7518" s="24" t="inlineStr">
        <is>
          <t>LeadingIndustry</t>
        </is>
      </c>
      <c r="C7518" s="24" t="inlineStr">
        <is>
          <t>农户主导产业</t>
        </is>
      </c>
      <c r="D7518" s="24" t="inlineStr">
        <is>
          <t>140</t>
        </is>
      </c>
      <c r="E7518" s="24" t="inlineStr">
        <is>
          <t>家禽饲养</t>
        </is>
      </c>
    </row>
    <row r="7519">
      <c r="B7519" s="24" t="inlineStr">
        <is>
          <t>LeadingIndustry</t>
        </is>
      </c>
      <c r="C7519" s="24" t="inlineStr">
        <is>
          <t>农户主导产业</t>
        </is>
      </c>
      <c r="D7519" s="24" t="inlineStr">
        <is>
          <t>150</t>
        </is>
      </c>
      <c r="E7519" s="24" t="inlineStr">
        <is>
          <t>牲畜饲养</t>
        </is>
      </c>
    </row>
    <row r="7520">
      <c r="B7520" s="24" t="inlineStr">
        <is>
          <t>LeadingIndustry</t>
        </is>
      </c>
      <c r="C7520" s="24" t="inlineStr">
        <is>
          <t>农户主导产业</t>
        </is>
      </c>
      <c r="D7520" s="24" t="inlineStr">
        <is>
          <t>160</t>
        </is>
      </c>
      <c r="E7520" s="24" t="inlineStr">
        <is>
          <t>农村运输业</t>
        </is>
      </c>
    </row>
    <row r="7521">
      <c r="B7521" s="24" t="inlineStr">
        <is>
          <t>LeadingIndustry</t>
        </is>
      </c>
      <c r="C7521" s="24" t="inlineStr">
        <is>
          <t>农户主导产业</t>
        </is>
      </c>
      <c r="D7521" s="24" t="inlineStr">
        <is>
          <t>170</t>
        </is>
      </c>
      <c r="E7521" s="24" t="inlineStr">
        <is>
          <t>商业</t>
        </is>
      </c>
    </row>
    <row r="7522">
      <c r="B7522" s="24" t="inlineStr">
        <is>
          <t>LeadingIndustry</t>
        </is>
      </c>
      <c r="C7522" s="24" t="inlineStr">
        <is>
          <t>农户主导产业</t>
        </is>
      </c>
      <c r="D7522" s="24" t="inlineStr">
        <is>
          <t>180</t>
        </is>
      </c>
      <c r="E7522" s="24" t="inlineStr">
        <is>
          <t>副业</t>
        </is>
      </c>
    </row>
    <row r="7523">
      <c r="B7523" s="24" t="inlineStr">
        <is>
          <t>LeadingIndustry</t>
        </is>
      </c>
      <c r="C7523" s="24" t="inlineStr">
        <is>
          <t>农户主导产业</t>
        </is>
      </c>
      <c r="D7523" s="24" t="inlineStr">
        <is>
          <t>190</t>
        </is>
      </c>
      <c r="E7523" s="24" t="inlineStr">
        <is>
          <t>渔业</t>
        </is>
      </c>
    </row>
    <row r="7524">
      <c r="B7524" s="24" t="inlineStr">
        <is>
          <t>LeadingIndustry</t>
        </is>
      </c>
      <c r="C7524" s="24" t="inlineStr">
        <is>
          <t>农户主导产业</t>
        </is>
      </c>
      <c r="D7524" s="24" t="inlineStr">
        <is>
          <t>200</t>
        </is>
      </c>
      <c r="E7524" s="24" t="inlineStr">
        <is>
          <t>农村服务业</t>
        </is>
      </c>
    </row>
    <row r="7525">
      <c r="B7525" s="24" t="inlineStr">
        <is>
          <t>LeadingIndustry</t>
        </is>
      </c>
      <c r="C7525" s="24" t="inlineStr">
        <is>
          <t>农户主导产业</t>
        </is>
      </c>
      <c r="D7525" s="24" t="inlineStr">
        <is>
          <t>210</t>
        </is>
      </c>
      <c r="E7525" s="24" t="inlineStr">
        <is>
          <t>手工作坊</t>
        </is>
      </c>
    </row>
    <row r="7526">
      <c r="B7526" s="24" t="inlineStr">
        <is>
          <t>LeadingIndustry</t>
        </is>
      </c>
      <c r="C7526" s="24" t="inlineStr">
        <is>
          <t>农户主导产业</t>
        </is>
      </c>
      <c r="D7526" s="24" t="inlineStr">
        <is>
          <t>220</t>
        </is>
      </c>
      <c r="E7526" s="24" t="inlineStr">
        <is>
          <t>其他</t>
        </is>
      </c>
    </row>
    <row r="7527" ht="15.95" customHeight="1" s="170">
      <c r="B7527" s="122" t="inlineStr">
        <is>
          <t>码值：Resouce</t>
        </is>
      </c>
    </row>
    <row r="7528">
      <c r="B7528" s="24" t="inlineStr">
        <is>
          <t>Resouce</t>
        </is>
      </c>
      <c r="C7528" s="24" t="inlineStr">
        <is>
          <t>黑名单来源</t>
        </is>
      </c>
      <c r="D7528" s="24" t="inlineStr">
        <is>
          <t>01</t>
        </is>
      </c>
      <c r="E7528" s="24" t="inlineStr">
        <is>
          <t>人行</t>
        </is>
      </c>
    </row>
    <row r="7529">
      <c r="B7529" s="24" t="inlineStr">
        <is>
          <t>Resouce</t>
        </is>
      </c>
      <c r="C7529" s="24" t="inlineStr">
        <is>
          <t>黑名单来源</t>
        </is>
      </c>
      <c r="D7529" s="24" t="inlineStr">
        <is>
          <t>02</t>
        </is>
      </c>
      <c r="E7529" s="24" t="inlineStr">
        <is>
          <t>本行</t>
        </is>
      </c>
    </row>
    <row r="7530">
      <c r="B7530" s="24" t="inlineStr">
        <is>
          <t>Resouce</t>
        </is>
      </c>
      <c r="C7530" s="24" t="inlineStr">
        <is>
          <t>黑名单来源</t>
        </is>
      </c>
      <c r="D7530" s="24" t="inlineStr">
        <is>
          <t>03</t>
        </is>
      </c>
      <c r="E7530" s="24" t="inlineStr">
        <is>
          <t>其他监管机构</t>
        </is>
      </c>
    </row>
    <row r="7531" ht="15.95" customHeight="1" s="170">
      <c r="B7531" s="122" t="inlineStr">
        <is>
          <t>码值：TrademarkReputaiton</t>
        </is>
      </c>
    </row>
    <row r="7532">
      <c r="B7532" s="24" t="inlineStr">
        <is>
          <t>TrademarkReputaiton</t>
        </is>
      </c>
      <c r="C7532" s="24" t="inlineStr">
        <is>
          <t>商标信誉情况</t>
        </is>
      </c>
      <c r="D7532" s="24" t="inlineStr">
        <is>
          <t>01</t>
        </is>
      </c>
      <c r="E7532" s="24" t="inlineStr">
        <is>
          <t>普通商标</t>
        </is>
      </c>
    </row>
    <row r="7533">
      <c r="B7533" s="24" t="inlineStr">
        <is>
          <t>TrademarkReputaiton</t>
        </is>
      </c>
      <c r="C7533" s="24" t="inlineStr">
        <is>
          <t>商标信誉情况</t>
        </is>
      </c>
      <c r="D7533" s="24" t="inlineStr">
        <is>
          <t>02</t>
        </is>
      </c>
      <c r="E7533" s="24" t="inlineStr">
        <is>
          <t>闻名商标</t>
        </is>
      </c>
    </row>
    <row r="7534">
      <c r="B7534" s="24" t="inlineStr">
        <is>
          <t>TrademarkReputaiton</t>
        </is>
      </c>
      <c r="C7534" s="24" t="inlineStr">
        <is>
          <t>商标信誉情况</t>
        </is>
      </c>
      <c r="D7534" s="24" t="inlineStr">
        <is>
          <t>03</t>
        </is>
      </c>
      <c r="E7534" s="24" t="inlineStr">
        <is>
          <t>世界驰名商标</t>
        </is>
      </c>
    </row>
    <row r="7535">
      <c r="B7535" s="24" t="inlineStr">
        <is>
          <t>TrademarkReputaiton</t>
        </is>
      </c>
      <c r="C7535" s="24" t="inlineStr">
        <is>
          <t>商标信誉情况</t>
        </is>
      </c>
      <c r="D7535" s="24" t="inlineStr">
        <is>
          <t>04</t>
        </is>
      </c>
      <c r="E7535" s="24" t="inlineStr">
        <is>
          <t>全国驰名商标</t>
        </is>
      </c>
    </row>
    <row r="7536">
      <c r="B7536" s="24" t="inlineStr">
        <is>
          <t>TrademarkReputaiton</t>
        </is>
      </c>
      <c r="C7536" s="24" t="inlineStr">
        <is>
          <t>商标信誉情况</t>
        </is>
      </c>
      <c r="D7536" s="24" t="inlineStr">
        <is>
          <t>05</t>
        </is>
      </c>
      <c r="E7536" s="24" t="inlineStr">
        <is>
          <t>地方名牌(商标)</t>
        </is>
      </c>
    </row>
    <row r="7537" ht="15.95" customHeight="1" s="170">
      <c r="B7537" s="122" t="inlineStr">
        <is>
          <t>码值：BookInContractMain</t>
        </is>
      </c>
    </row>
    <row r="7538">
      <c r="B7538" s="24" t="inlineStr">
        <is>
          <t>BookInContractMain</t>
        </is>
      </c>
      <c r="C7538" s="24" t="inlineStr">
        <is>
          <t>合同管理主界面</t>
        </is>
      </c>
      <c r="D7538" s="24" t="inlineStr">
        <is>
          <t>010</t>
        </is>
      </c>
      <c r="E7538" s="24" t="inlineStr">
        <is>
          <t>待登记合同的最终审批意见</t>
        </is>
      </c>
    </row>
    <row r="7539">
      <c r="B7539" s="24" t="inlineStr">
        <is>
          <t>BookInContractMain</t>
        </is>
      </c>
      <c r="C7539" s="24" t="inlineStr">
        <is>
          <t>合同管理主界面</t>
        </is>
      </c>
      <c r="D7539" s="24" t="inlineStr">
        <is>
          <t>020</t>
        </is>
      </c>
      <c r="E7539" s="24" t="inlineStr">
        <is>
          <t>已登记合同的最终审批意见</t>
        </is>
      </c>
    </row>
    <row r="7540">
      <c r="B7540" s="24" t="inlineStr">
        <is>
          <t>BookInContractMain</t>
        </is>
      </c>
      <c r="C7540" s="24" t="inlineStr">
        <is>
          <t>合同管理主界面</t>
        </is>
      </c>
      <c r="D7540" s="24" t="inlineStr">
        <is>
          <t>024</t>
        </is>
      </c>
      <c r="E7540" s="24" t="inlineStr">
        <is>
          <t>待登记合同的申请</t>
        </is>
      </c>
    </row>
    <row r="7541">
      <c r="B7541" s="24" t="inlineStr">
        <is>
          <t>BookInContractMain</t>
        </is>
      </c>
      <c r="C7541" s="24" t="inlineStr">
        <is>
          <t>合同管理主界面</t>
        </is>
      </c>
      <c r="D7541" s="24" t="inlineStr">
        <is>
          <t>027</t>
        </is>
      </c>
      <c r="E7541" s="24" t="inlineStr">
        <is>
          <t>已登记合同的申请</t>
        </is>
      </c>
    </row>
    <row r="7542">
      <c r="B7542" s="24" t="inlineStr">
        <is>
          <t>BookInContractMain</t>
        </is>
      </c>
      <c r="C7542" s="24" t="inlineStr">
        <is>
          <t>合同管理主界面</t>
        </is>
      </c>
      <c r="D7542" s="24" t="inlineStr">
        <is>
          <t>030</t>
        </is>
      </c>
      <c r="E7542" s="24" t="inlineStr">
        <is>
          <t>待生效的业务合同</t>
        </is>
      </c>
    </row>
    <row r="7543">
      <c r="B7543" s="24" t="inlineStr">
        <is>
          <t>BookInContractMain</t>
        </is>
      </c>
      <c r="C7543" s="24" t="inlineStr">
        <is>
          <t>合同管理主界面</t>
        </is>
      </c>
      <c r="D7543" s="24" t="inlineStr">
        <is>
          <t>040</t>
        </is>
      </c>
      <c r="E7543" s="24" t="inlineStr">
        <is>
          <t>已生效的业务合同</t>
        </is>
      </c>
    </row>
    <row r="7544">
      <c r="B7544" s="24" t="inlineStr">
        <is>
          <t>BookInContractMain</t>
        </is>
      </c>
      <c r="C7544" s="24" t="inlineStr">
        <is>
          <t>合同管理主界面</t>
        </is>
      </c>
      <c r="D7544" s="24" t="inlineStr">
        <is>
          <t>050</t>
        </is>
      </c>
      <c r="E7544" s="24" t="inlineStr">
        <is>
          <t>待生效的授信额度</t>
        </is>
      </c>
    </row>
    <row r="7545">
      <c r="B7545" s="24" t="inlineStr">
        <is>
          <t>BookInContractMain</t>
        </is>
      </c>
      <c r="C7545" s="24" t="inlineStr">
        <is>
          <t>合同管理主界面</t>
        </is>
      </c>
      <c r="D7545" s="24" t="inlineStr">
        <is>
          <t>060</t>
        </is>
      </c>
      <c r="E7545" s="24" t="inlineStr">
        <is>
          <t>已生效的授信额度</t>
        </is>
      </c>
    </row>
    <row r="7546">
      <c r="B7546" s="24" t="inlineStr">
        <is>
          <t>BookInContractMain</t>
        </is>
      </c>
      <c r="C7546" s="24" t="inlineStr">
        <is>
          <t>合同管理主界面</t>
        </is>
      </c>
      <c r="D7546" s="24" t="inlineStr">
        <is>
          <t>070</t>
        </is>
      </c>
      <c r="E7546" s="24" t="inlineStr">
        <is>
          <t>已中止的合同</t>
        </is>
      </c>
    </row>
    <row r="7547" ht="15.95" customHeight="1" s="170">
      <c r="B7547" s="122" t="inlineStr">
        <is>
          <t>码值：AppraisalFlowType2</t>
        </is>
      </c>
    </row>
    <row r="7548">
      <c r="B7548" s="24" t="inlineStr">
        <is>
          <t>AppraisalFlowType2</t>
        </is>
      </c>
      <c r="C7548" s="24" t="inlineStr">
        <is>
          <t>评估机构资质认定申请类型</t>
        </is>
      </c>
      <c r="D7548" s="24" t="inlineStr">
        <is>
          <t>AgencyAccessApply</t>
        </is>
      </c>
      <c r="E7548" s="24" t="inlineStr">
        <is>
          <t>准入申请</t>
        </is>
      </c>
    </row>
    <row r="7549">
      <c r="B7549" s="24" t="inlineStr">
        <is>
          <t>AppraisalFlowType2</t>
        </is>
      </c>
      <c r="C7549" s="24" t="inlineStr">
        <is>
          <t>评估机构资质认定申请类型</t>
        </is>
      </c>
      <c r="D7549" s="24" t="inlineStr">
        <is>
          <t>AgencyExaminedApply</t>
        </is>
      </c>
      <c r="E7549" s="24" t="inlineStr">
        <is>
          <t>年审申请</t>
        </is>
      </c>
    </row>
    <row r="7550" ht="15.95" customHeight="1" s="170">
      <c r="B7550" s="122" t="inlineStr">
        <is>
          <t>码值：JudgementNo</t>
        </is>
      </c>
    </row>
    <row r="7551">
      <c r="B7551" s="24" t="inlineStr">
        <is>
          <t>JudgementNo</t>
        </is>
      </c>
      <c r="C7551" s="24" t="inlineStr">
        <is>
          <t>生效判决书</t>
        </is>
      </c>
      <c r="D7551" s="24" t="inlineStr">
        <is>
          <t>001</t>
        </is>
      </c>
      <c r="E7551" s="24" t="inlineStr">
        <is>
          <t>公证书</t>
        </is>
      </c>
    </row>
    <row r="7552">
      <c r="B7552" s="24" t="inlineStr">
        <is>
          <t>JudgementNo</t>
        </is>
      </c>
      <c r="C7552" s="24" t="inlineStr">
        <is>
          <t>生效判决书</t>
        </is>
      </c>
      <c r="D7552" s="24" t="inlineStr">
        <is>
          <t>002</t>
        </is>
      </c>
      <c r="E7552" s="24" t="inlineStr">
        <is>
          <t>仲裁书</t>
        </is>
      </c>
    </row>
    <row r="7553">
      <c r="B7553" s="24" t="inlineStr">
        <is>
          <t>JudgementNo</t>
        </is>
      </c>
      <c r="C7553" s="24" t="inlineStr">
        <is>
          <t>生效判决书</t>
        </is>
      </c>
      <c r="D7553" s="24" t="inlineStr">
        <is>
          <t>010</t>
        </is>
      </c>
      <c r="E7553" s="24" t="inlineStr">
        <is>
          <t>一审判决书</t>
        </is>
      </c>
    </row>
    <row r="7554">
      <c r="B7554" s="24" t="inlineStr">
        <is>
          <t>JudgementNo</t>
        </is>
      </c>
      <c r="C7554" s="24" t="inlineStr">
        <is>
          <t>生效判决书</t>
        </is>
      </c>
      <c r="D7554" s="24" t="inlineStr">
        <is>
          <t>020</t>
        </is>
      </c>
      <c r="E7554" s="24" t="inlineStr">
        <is>
          <t>二审判决书</t>
        </is>
      </c>
    </row>
    <row r="7555">
      <c r="B7555" s="24" t="inlineStr">
        <is>
          <t>JudgementNo</t>
        </is>
      </c>
      <c r="C7555" s="24" t="inlineStr">
        <is>
          <t>生效判决书</t>
        </is>
      </c>
      <c r="D7555" s="24" t="inlineStr">
        <is>
          <t>030</t>
        </is>
      </c>
      <c r="E7555" s="24" t="inlineStr">
        <is>
          <t>再审判决书</t>
        </is>
      </c>
    </row>
    <row r="7556">
      <c r="B7556" s="24" t="inlineStr">
        <is>
          <t>JudgementNo</t>
        </is>
      </c>
      <c r="C7556" s="24" t="inlineStr">
        <is>
          <t>生效判决书</t>
        </is>
      </c>
      <c r="D7556" s="24" t="inlineStr">
        <is>
          <t>040</t>
        </is>
      </c>
      <c r="E7556" s="24" t="inlineStr">
        <is>
          <t>公证书</t>
        </is>
      </c>
    </row>
    <row r="7557">
      <c r="B7557" s="24" t="inlineStr">
        <is>
          <t>JudgementNo</t>
        </is>
      </c>
      <c r="C7557" s="24" t="inlineStr">
        <is>
          <t>生效判决书</t>
        </is>
      </c>
      <c r="D7557" s="24" t="inlineStr">
        <is>
          <t>050</t>
        </is>
      </c>
      <c r="E7557" s="24" t="inlineStr">
        <is>
          <t>仲裁书</t>
        </is>
      </c>
    </row>
    <row r="7558">
      <c r="B7558" s="24" t="inlineStr">
        <is>
          <t>JudgementNo</t>
        </is>
      </c>
      <c r="C7558" s="24" t="inlineStr">
        <is>
          <t>生效判决书</t>
        </is>
      </c>
      <c r="D7558" s="24" t="inlineStr">
        <is>
          <t>060</t>
        </is>
      </c>
      <c r="E7558" s="24" t="inlineStr">
        <is>
          <t>支付令</t>
        </is>
      </c>
    </row>
    <row r="7559">
      <c r="B7559" s="24" t="inlineStr">
        <is>
          <t>JudgementNo</t>
        </is>
      </c>
      <c r="C7559" s="24" t="inlineStr">
        <is>
          <t>生效判决书</t>
        </is>
      </c>
      <c r="D7559" s="24" t="inlineStr">
        <is>
          <t>070</t>
        </is>
      </c>
      <c r="E7559" s="24" t="inlineStr">
        <is>
          <t>一审调解</t>
        </is>
      </c>
    </row>
    <row r="7560">
      <c r="B7560" s="24" t="inlineStr">
        <is>
          <t>JudgementNo</t>
        </is>
      </c>
      <c r="C7560" s="24" t="inlineStr">
        <is>
          <t>生效判决书</t>
        </is>
      </c>
      <c r="D7560" s="24" t="inlineStr">
        <is>
          <t>080</t>
        </is>
      </c>
      <c r="E7560" s="24" t="inlineStr">
        <is>
          <t>二审调解</t>
        </is>
      </c>
    </row>
    <row r="7561">
      <c r="B7561" s="24" t="inlineStr">
        <is>
          <t>JudgementNo</t>
        </is>
      </c>
      <c r="C7561" s="24" t="inlineStr">
        <is>
          <t>生效判决书</t>
        </is>
      </c>
      <c r="D7561" s="24" t="inlineStr">
        <is>
          <t>090</t>
        </is>
      </c>
      <c r="E7561" s="24" t="inlineStr">
        <is>
          <t>再审调解</t>
        </is>
      </c>
    </row>
    <row r="7562" ht="15.95" customHeight="1" s="170">
      <c r="B7562" s="122" t="inlineStr">
        <is>
          <t>码值：DetailedType5</t>
        </is>
      </c>
    </row>
    <row r="7563">
      <c r="B7563" s="24" t="inlineStr">
        <is>
          <t>DetailedType5</t>
        </is>
      </c>
      <c r="C7563" s="24" t="inlineStr">
        <is>
          <t>有价证券类型</t>
        </is>
      </c>
      <c r="D7563" s="24" t="inlineStr">
        <is>
          <t>01</t>
        </is>
      </c>
      <c r="E7563" s="24" t="inlineStr">
        <is>
          <t>国债</t>
        </is>
      </c>
    </row>
    <row r="7564">
      <c r="B7564" s="24" t="inlineStr">
        <is>
          <t>DetailedType5</t>
        </is>
      </c>
      <c r="C7564" s="24" t="inlineStr">
        <is>
          <t>有价证券类型</t>
        </is>
      </c>
      <c r="D7564" s="24" t="inlineStr">
        <is>
          <t>02</t>
        </is>
      </c>
      <c r="E7564" s="24" t="inlineStr">
        <is>
          <t>企业债券</t>
        </is>
      </c>
    </row>
    <row r="7565">
      <c r="B7565" s="24" t="inlineStr">
        <is>
          <t>DetailedType5</t>
        </is>
      </c>
      <c r="C7565" s="24" t="inlineStr">
        <is>
          <t>有价证券类型</t>
        </is>
      </c>
      <c r="D7565" s="24" t="inlineStr">
        <is>
          <t>03</t>
        </is>
      </c>
      <c r="E7565" s="24" t="inlineStr">
        <is>
          <t>股票</t>
        </is>
      </c>
    </row>
    <row r="7566">
      <c r="B7566" s="24" t="inlineStr">
        <is>
          <t>DetailedType5</t>
        </is>
      </c>
      <c r="C7566" s="24" t="inlineStr">
        <is>
          <t>有价证券类型</t>
        </is>
      </c>
      <c r="D7566" s="24" t="inlineStr">
        <is>
          <t>04</t>
        </is>
      </c>
      <c r="E7566" s="24" t="inlineStr">
        <is>
          <t>股权</t>
        </is>
      </c>
    </row>
    <row r="7567">
      <c r="B7567" s="24" t="inlineStr">
        <is>
          <t>DetailedType5</t>
        </is>
      </c>
      <c r="C7567" s="24" t="inlineStr">
        <is>
          <t>有价证券类型</t>
        </is>
      </c>
      <c r="D7567" s="24" t="inlineStr">
        <is>
          <t>05</t>
        </is>
      </c>
      <c r="E7567" s="24" t="inlineStr">
        <is>
          <t>存单</t>
        </is>
      </c>
    </row>
    <row r="7568">
      <c r="B7568" s="24" t="inlineStr">
        <is>
          <t>DetailedType5</t>
        </is>
      </c>
      <c r="C7568" s="24" t="inlineStr">
        <is>
          <t>有价证券类型</t>
        </is>
      </c>
      <c r="D7568" s="24" t="inlineStr">
        <is>
          <t>06</t>
        </is>
      </c>
      <c r="E7568" s="24" t="inlineStr">
        <is>
          <t>其他</t>
        </is>
      </c>
    </row>
    <row r="7569" ht="15.95" customHeight="1" s="170">
      <c r="B7569" s="122" t="inlineStr">
        <is>
          <t>码值：AssetTransferViewButtonSet</t>
        </is>
      </c>
    </row>
    <row r="7570">
      <c r="B7570" s="24" t="inlineStr">
        <is>
          <t>AssetTransferViewButtonSet</t>
        </is>
      </c>
      <c r="C7570" s="24" t="inlineStr">
        <is>
          <t>资产转受让按钮组</t>
        </is>
      </c>
      <c r="D7570" s="24" t="inlineStr">
        <is>
          <t>add</t>
        </is>
      </c>
      <c r="E7570" s="24" t="inlineStr">
        <is>
          <t>新增</t>
        </is>
      </c>
    </row>
    <row r="7571">
      <c r="B7571" s="24" t="inlineStr">
        <is>
          <t>AssetTransferViewButtonSet</t>
        </is>
      </c>
      <c r="C7571" s="24" t="inlineStr">
        <is>
          <t>资产转受让按钮组</t>
        </is>
      </c>
      <c r="D7571" s="24" t="inlineStr">
        <is>
          <t>append</t>
        </is>
      </c>
      <c r="E7571" s="24" t="inlineStr">
        <is>
          <t>资产追加</t>
        </is>
      </c>
    </row>
    <row r="7572">
      <c r="B7572" s="24" t="inlineStr">
        <is>
          <t>AssetTransferViewButtonSet</t>
        </is>
      </c>
      <c r="C7572" s="24" t="inlineStr">
        <is>
          <t>资产转受让按钮组</t>
        </is>
      </c>
      <c r="D7572" s="24" t="inlineStr">
        <is>
          <t>archive</t>
        </is>
      </c>
      <c r="E7572" s="24" t="inlineStr">
        <is>
          <t>归档</t>
        </is>
      </c>
    </row>
    <row r="7573">
      <c r="B7573" s="24" t="inlineStr">
        <is>
          <t>AssetTransferViewButtonSet</t>
        </is>
      </c>
      <c r="C7573" s="24" t="inlineStr">
        <is>
          <t>资产转受让按钮组</t>
        </is>
      </c>
      <c r="D7573" s="24" t="inlineStr">
        <is>
          <t>assetAdjust</t>
        </is>
      </c>
      <c r="E7573" s="24" t="inlineStr">
        <is>
          <t>资产调整</t>
        </is>
      </c>
    </row>
    <row r="7574">
      <c r="B7574" s="24" t="inlineStr">
        <is>
          <t>AssetTransferViewButtonSet</t>
        </is>
      </c>
      <c r="C7574" s="24" t="inlineStr">
        <is>
          <t>资产转受让按钮组</t>
        </is>
      </c>
      <c r="D7574" s="24" t="inlineStr">
        <is>
          <t>bugBack</t>
        </is>
      </c>
      <c r="E7574" s="24" t="inlineStr">
        <is>
          <t>清仓回购</t>
        </is>
      </c>
    </row>
    <row r="7575">
      <c r="B7575" s="24" t="inlineStr">
        <is>
          <t>AssetTransferViewButtonSet</t>
        </is>
      </c>
      <c r="C7575" s="24" t="inlineStr">
        <is>
          <t>资产转受让按钮组</t>
        </is>
      </c>
      <c r="D7575" s="24" t="inlineStr">
        <is>
          <t>cashFlowCal</t>
        </is>
      </c>
      <c r="E7575" s="24" t="inlineStr">
        <is>
          <t>现金流预测</t>
        </is>
      </c>
    </row>
    <row r="7576">
      <c r="B7576" s="24" t="inlineStr">
        <is>
          <t>AssetTransferViewButtonSet</t>
        </is>
      </c>
      <c r="C7576" s="24" t="inlineStr">
        <is>
          <t>资产转受让按钮组</t>
        </is>
      </c>
      <c r="D7576" s="24" t="inlineStr">
        <is>
          <t>delete</t>
        </is>
      </c>
      <c r="E7576" s="24" t="inlineStr">
        <is>
          <t>删除</t>
        </is>
      </c>
    </row>
    <row r="7577">
      <c r="B7577" s="24" t="inlineStr">
        <is>
          <t>AssetTransferViewButtonSet</t>
        </is>
      </c>
      <c r="C7577" s="24" t="inlineStr">
        <is>
          <t>资产转受让按钮组</t>
        </is>
      </c>
      <c r="D7577" s="24" t="inlineStr">
        <is>
          <t>delivery</t>
        </is>
      </c>
      <c r="E7577" s="24" t="inlineStr">
        <is>
          <t>资产交割</t>
        </is>
      </c>
    </row>
    <row r="7578">
      <c r="B7578" s="24" t="inlineStr">
        <is>
          <t>AssetTransferViewButtonSet</t>
        </is>
      </c>
      <c r="C7578" s="24" t="inlineStr">
        <is>
          <t>资产转受让按钮组</t>
        </is>
      </c>
      <c r="D7578" s="24" t="inlineStr">
        <is>
          <t>edit</t>
        </is>
      </c>
      <c r="E7578" s="24" t="inlineStr">
        <is>
          <t>详情</t>
        </is>
      </c>
    </row>
    <row r="7579">
      <c r="B7579" s="24" t="inlineStr">
        <is>
          <t>AssetTransferViewButtonSet</t>
        </is>
      </c>
      <c r="C7579" s="24" t="inlineStr">
        <is>
          <t>资产转受让按钮组</t>
        </is>
      </c>
      <c r="D7579" s="24" t="inlineStr">
        <is>
          <t>infoAdjust</t>
        </is>
      </c>
      <c r="E7579" s="24" t="inlineStr">
        <is>
          <t>项目信息调整</t>
        </is>
      </c>
    </row>
    <row r="7580">
      <c r="B7580" s="24" t="inlineStr">
        <is>
          <t>AssetTransferViewButtonSet</t>
        </is>
      </c>
      <c r="C7580" s="24" t="inlineStr">
        <is>
          <t>资产转受让按钮组</t>
        </is>
      </c>
      <c r="D7580" s="24" t="inlineStr">
        <is>
          <t>projectCal</t>
        </is>
      </c>
      <c r="E7580" s="24" t="inlineStr">
        <is>
          <t>项目测算</t>
        </is>
      </c>
    </row>
    <row r="7581">
      <c r="B7581" s="24" t="inlineStr">
        <is>
          <t>AssetTransferViewButtonSet</t>
        </is>
      </c>
      <c r="C7581" s="24" t="inlineStr">
        <is>
          <t>资产转受让按钮组</t>
        </is>
      </c>
      <c r="D7581" s="24" t="inlineStr">
        <is>
          <t>ransom</t>
        </is>
      </c>
      <c r="E7581" s="24" t="inlineStr">
        <is>
          <t>资产赎回</t>
        </is>
      </c>
    </row>
    <row r="7582">
      <c r="B7582" s="24" t="inlineStr">
        <is>
          <t>AssetTransferViewButtonSet</t>
        </is>
      </c>
      <c r="C7582" s="24" t="inlineStr">
        <is>
          <t>资产转受让按钮组</t>
        </is>
      </c>
      <c r="D7582" s="24" t="inlineStr">
        <is>
          <t>register</t>
        </is>
      </c>
      <c r="E7582" s="24" t="inlineStr">
        <is>
          <t>收益与费用登记</t>
        </is>
      </c>
    </row>
    <row r="7583">
      <c r="B7583" s="24" t="inlineStr">
        <is>
          <t>AssetTransferViewButtonSet</t>
        </is>
      </c>
      <c r="C7583" s="24" t="inlineStr">
        <is>
          <t>资产转受让按钮组</t>
        </is>
      </c>
      <c r="D7583" s="24" t="inlineStr">
        <is>
          <t>replacement</t>
        </is>
      </c>
      <c r="E7583" s="24" t="inlineStr">
        <is>
          <t>资产置换</t>
        </is>
      </c>
    </row>
    <row r="7584">
      <c r="B7584" s="24" t="inlineStr">
        <is>
          <t>AssetTransferViewButtonSet</t>
        </is>
      </c>
      <c r="C7584" s="24" t="inlineStr">
        <is>
          <t>资产转受让按钮组</t>
        </is>
      </c>
      <c r="D7584" s="24" t="inlineStr">
        <is>
          <t>takeEffect</t>
        </is>
      </c>
      <c r="E7584" s="24" t="inlineStr">
        <is>
          <t>项目生效</t>
        </is>
      </c>
    </row>
    <row r="7585">
      <c r="B7585" s="24" t="inlineStr">
        <is>
          <t>AssetTransferViewButtonSet</t>
        </is>
      </c>
      <c r="C7585" s="24" t="inlineStr">
        <is>
          <t>资产转受让按钮组</t>
        </is>
      </c>
      <c r="D7585" s="24" t="inlineStr">
        <is>
          <t>unarchive</t>
        </is>
      </c>
      <c r="E7585" s="24" t="inlineStr">
        <is>
          <t>退档</t>
        </is>
      </c>
    </row>
    <row r="7586" ht="15.95" customHeight="1" s="170">
      <c r="B7586" s="122" t="inlineStr">
        <is>
          <t>码值：CreditAlarmApproveMain</t>
        </is>
      </c>
    </row>
    <row r="7587">
      <c r="B7587" s="24" t="inlineStr">
        <is>
          <t>CreditAlarmApproveMain</t>
        </is>
      </c>
      <c r="C7587" s="24" t="inlineStr">
        <is>
          <t>风险预警认定树图</t>
        </is>
      </c>
      <c r="D7587" s="24" t="inlineStr">
        <is>
          <t>01</t>
        </is>
      </c>
      <c r="E7587" s="24" t="inlineStr">
        <is>
          <t>预警信号发起</t>
        </is>
      </c>
    </row>
    <row r="7588">
      <c r="B7588" s="24" t="inlineStr">
        <is>
          <t>CreditAlarmApproveMain</t>
        </is>
      </c>
      <c r="C7588" s="24" t="inlineStr">
        <is>
          <t>风险预警认定树图</t>
        </is>
      </c>
      <c r="D7588" s="24" t="inlineStr">
        <is>
          <t>01010</t>
        </is>
      </c>
      <c r="E7588" s="24" t="inlineStr">
        <is>
          <t>待认定的预警信号</t>
        </is>
      </c>
    </row>
    <row r="7589">
      <c r="B7589" s="24" t="inlineStr">
        <is>
          <t>CreditAlarmApproveMain</t>
        </is>
      </c>
      <c r="C7589" s="24" t="inlineStr">
        <is>
          <t>风险预警认定树图</t>
        </is>
      </c>
      <c r="D7589" s="24" t="inlineStr">
        <is>
          <t>01020</t>
        </is>
      </c>
      <c r="E7589" s="24" t="inlineStr">
        <is>
          <t>已批准的预警信号</t>
        </is>
      </c>
    </row>
    <row r="7590">
      <c r="B7590" s="24" t="inlineStr">
        <is>
          <t>CreditAlarmApproveMain</t>
        </is>
      </c>
      <c r="C7590" s="24" t="inlineStr">
        <is>
          <t>风险预警认定树图</t>
        </is>
      </c>
      <c r="D7590" s="24" t="inlineStr">
        <is>
          <t>01030</t>
        </is>
      </c>
      <c r="E7590" s="24" t="inlineStr">
        <is>
          <t>已否决的预警信号</t>
        </is>
      </c>
    </row>
    <row r="7591">
      <c r="B7591" s="24" t="inlineStr">
        <is>
          <t>CreditAlarmApproveMain</t>
        </is>
      </c>
      <c r="C7591" s="24" t="inlineStr">
        <is>
          <t>风险预警认定树图</t>
        </is>
      </c>
      <c r="D7591" s="24" t="inlineStr">
        <is>
          <t>02</t>
        </is>
      </c>
      <c r="E7591" s="24" t="inlineStr">
        <is>
          <t>预警信号解除</t>
        </is>
      </c>
    </row>
    <row r="7592">
      <c r="B7592" s="24" t="inlineStr">
        <is>
          <t>CreditAlarmApproveMain</t>
        </is>
      </c>
      <c r="C7592" s="24" t="inlineStr">
        <is>
          <t>风险预警认定树图</t>
        </is>
      </c>
      <c r="D7592" s="24" t="inlineStr">
        <is>
          <t>02010</t>
        </is>
      </c>
      <c r="E7592" s="24" t="inlineStr">
        <is>
          <t>待认定的预警信号</t>
        </is>
      </c>
    </row>
    <row r="7593">
      <c r="B7593" s="24" t="inlineStr">
        <is>
          <t>CreditAlarmApproveMain</t>
        </is>
      </c>
      <c r="C7593" s="24" t="inlineStr">
        <is>
          <t>风险预警认定树图</t>
        </is>
      </c>
      <c r="D7593" s="24" t="inlineStr">
        <is>
          <t>02020</t>
        </is>
      </c>
      <c r="E7593" s="24" t="inlineStr">
        <is>
          <t>已批准的预警信号</t>
        </is>
      </c>
    </row>
    <row r="7594">
      <c r="B7594" s="24" t="inlineStr">
        <is>
          <t>CreditAlarmApproveMain</t>
        </is>
      </c>
      <c r="C7594" s="24" t="inlineStr">
        <is>
          <t>风险预警认定树图</t>
        </is>
      </c>
      <c r="D7594" s="24" t="inlineStr">
        <is>
          <t>02030</t>
        </is>
      </c>
      <c r="E7594" s="24" t="inlineStr">
        <is>
          <t>已否决的预警信号</t>
        </is>
      </c>
    </row>
    <row r="7595" ht="15.95" customHeight="1" s="170">
      <c r="B7595" s="122" t="inlineStr">
        <is>
          <t>码值：LoanMethod</t>
        </is>
      </c>
    </row>
    <row r="7596">
      <c r="B7596" s="24" t="inlineStr">
        <is>
          <t>LoanMethod</t>
        </is>
      </c>
      <c r="C7596" s="24" t="inlineStr">
        <is>
          <t>处理措施</t>
        </is>
      </c>
      <c r="D7596" s="24" t="inlineStr">
        <is>
          <t>10</t>
        </is>
      </c>
      <c r="E7596" s="24" t="inlineStr">
        <is>
          <t>禁止办理</t>
        </is>
      </c>
    </row>
    <row r="7597">
      <c r="B7597" s="24" t="inlineStr">
        <is>
          <t>LoanMethod</t>
        </is>
      </c>
      <c r="C7597" s="24" t="inlineStr">
        <is>
          <t>处理措施</t>
        </is>
      </c>
      <c r="D7597" s="24" t="inlineStr">
        <is>
          <t>81</t>
        </is>
      </c>
      <c r="E7597" s="24" t="inlineStr">
        <is>
          <t>提示</t>
        </is>
      </c>
    </row>
    <row r="7598">
      <c r="B7598" s="24" t="inlineStr">
        <is>
          <t>LoanMethod</t>
        </is>
      </c>
      <c r="C7598" s="24" t="inlineStr">
        <is>
          <t>处理措施</t>
        </is>
      </c>
      <c r="D7598" s="24" t="inlineStr">
        <is>
          <t>99</t>
        </is>
      </c>
      <c r="E7598" s="24" t="inlineStr">
        <is>
          <t>不处理</t>
        </is>
      </c>
    </row>
    <row r="7599" ht="15.95" customHeight="1" s="170">
      <c r="B7599" s="122" t="inlineStr">
        <is>
          <t>码值：DetailedType2</t>
        </is>
      </c>
    </row>
    <row r="7600">
      <c r="B7600" s="24" t="inlineStr">
        <is>
          <t>DetailedType2</t>
        </is>
      </c>
      <c r="C7600" s="24" t="inlineStr">
        <is>
          <t>交通运输工具类别</t>
        </is>
      </c>
      <c r="D7600" s="24" t="inlineStr">
        <is>
          <t>01</t>
        </is>
      </c>
      <c r="E7600" s="24" t="inlineStr">
        <is>
          <t>小汽车</t>
        </is>
      </c>
    </row>
    <row r="7601">
      <c r="B7601" s="24" t="inlineStr">
        <is>
          <t>DetailedType2</t>
        </is>
      </c>
      <c r="C7601" s="24" t="inlineStr">
        <is>
          <t>交通运输工具类别</t>
        </is>
      </c>
      <c r="D7601" s="24" t="inlineStr">
        <is>
          <t>02</t>
        </is>
      </c>
      <c r="E7601" s="24" t="inlineStr">
        <is>
          <t>面包车</t>
        </is>
      </c>
    </row>
    <row r="7602">
      <c r="B7602" s="24" t="inlineStr">
        <is>
          <t>DetailedType2</t>
        </is>
      </c>
      <c r="C7602" s="24" t="inlineStr">
        <is>
          <t>交通运输工具类别</t>
        </is>
      </c>
      <c r="D7602" s="24" t="inlineStr">
        <is>
          <t>03</t>
        </is>
      </c>
      <c r="E7602" s="24" t="inlineStr">
        <is>
          <t>吉普车</t>
        </is>
      </c>
    </row>
    <row r="7603">
      <c r="B7603" s="24" t="inlineStr">
        <is>
          <t>DetailedType2</t>
        </is>
      </c>
      <c r="C7603" s="24" t="inlineStr">
        <is>
          <t>交通运输工具类别</t>
        </is>
      </c>
      <c r="D7603" s="24" t="inlineStr">
        <is>
          <t>04</t>
        </is>
      </c>
      <c r="E7603" s="24" t="inlineStr">
        <is>
          <t>货车</t>
        </is>
      </c>
    </row>
    <row r="7604">
      <c r="B7604" s="24" t="inlineStr">
        <is>
          <t>DetailedType2</t>
        </is>
      </c>
      <c r="C7604" s="24" t="inlineStr">
        <is>
          <t>交通运输工具类别</t>
        </is>
      </c>
      <c r="D7604" s="24" t="inlineStr">
        <is>
          <t>05</t>
        </is>
      </c>
      <c r="E7604" s="24" t="inlineStr">
        <is>
          <t>轮船</t>
        </is>
      </c>
    </row>
    <row r="7605">
      <c r="B7605" s="24" t="inlineStr">
        <is>
          <t>DetailedType2</t>
        </is>
      </c>
      <c r="C7605" s="24" t="inlineStr">
        <is>
          <t>交通运输工具类别</t>
        </is>
      </c>
      <c r="D7605" s="24" t="inlineStr">
        <is>
          <t>06</t>
        </is>
      </c>
      <c r="E7605" s="24" t="inlineStr">
        <is>
          <t>飞机</t>
        </is>
      </c>
    </row>
    <row r="7606" ht="15.95" customHeight="1" s="170">
      <c r="B7606" s="122" t="inlineStr">
        <is>
          <t>码值：周边配套设施</t>
        </is>
      </c>
    </row>
    <row r="7607">
      <c r="B7607" s="24" t="inlineStr">
        <is>
          <t>周边配套设施</t>
        </is>
      </c>
      <c r="C7607" s="24" t="inlineStr">
        <is>
          <t>周边配套设施</t>
        </is>
      </c>
      <c r="D7607" s="24" t="inlineStr">
        <is>
          <t>1</t>
        </is>
      </c>
      <c r="E7607" s="24" t="inlineStr">
        <is>
          <t>齐全</t>
        </is>
      </c>
    </row>
    <row r="7608">
      <c r="B7608" s="24" t="inlineStr">
        <is>
          <t>周边配套设施</t>
        </is>
      </c>
      <c r="C7608" s="24" t="inlineStr">
        <is>
          <t>周边配套设施</t>
        </is>
      </c>
      <c r="D7608" s="24" t="inlineStr">
        <is>
          <t>2</t>
        </is>
      </c>
      <c r="E7608" s="24" t="inlineStr">
        <is>
          <t>不齐全，但是已获市政部门配套承诺</t>
        </is>
      </c>
    </row>
    <row r="7609">
      <c r="B7609" s="24" t="inlineStr">
        <is>
          <t>周边配套设施</t>
        </is>
      </c>
      <c r="C7609" s="24" t="inlineStr">
        <is>
          <t>周边配套设施</t>
        </is>
      </c>
      <c r="D7609" s="24" t="inlineStr">
        <is>
          <t>3</t>
        </is>
      </c>
      <c r="E7609" s="24" t="inlineStr">
        <is>
          <t>不齐全</t>
        </is>
      </c>
    </row>
    <row r="7610" ht="15.95" customHeight="1" s="170">
      <c r="B7610" s="122" t="inlineStr">
        <is>
          <t>码值：RiskClassifyMain</t>
        </is>
      </c>
    </row>
    <row r="7611">
      <c r="B7611" s="24" t="inlineStr">
        <is>
          <t>RiskClassifyMain</t>
        </is>
      </c>
      <c r="C7611" s="24" t="inlineStr">
        <is>
          <t>风险五级分类申请</t>
        </is>
      </c>
      <c r="D7611" s="24" t="inlineStr">
        <is>
          <t>1010</t>
        </is>
      </c>
      <c r="E7611" s="24" t="inlineStr">
        <is>
          <t>待处理</t>
        </is>
      </c>
    </row>
    <row r="7612">
      <c r="B7612" s="24" t="inlineStr">
        <is>
          <t>RiskClassifyMain</t>
        </is>
      </c>
      <c r="C7612" s="24" t="inlineStr">
        <is>
          <t>风险五级分类申请</t>
        </is>
      </c>
      <c r="D7612" s="24" t="inlineStr">
        <is>
          <t>1020</t>
        </is>
      </c>
      <c r="E7612" s="24" t="inlineStr">
        <is>
          <t>审批中</t>
        </is>
      </c>
    </row>
    <row r="7613">
      <c r="B7613" s="24" t="inlineStr">
        <is>
          <t>RiskClassifyMain</t>
        </is>
      </c>
      <c r="C7613" s="24" t="inlineStr">
        <is>
          <t>风险五级分类申请</t>
        </is>
      </c>
      <c r="D7613" s="24" t="inlineStr">
        <is>
          <t>1040,1050</t>
        </is>
      </c>
      <c r="E7613" s="24" t="inlineStr">
        <is>
          <t>处理完成</t>
        </is>
      </c>
    </row>
    <row r="7614" ht="15.95" customHeight="1" s="170">
      <c r="B7614" s="122" t="inlineStr">
        <is>
          <t>码值：SubjectFlag</t>
        </is>
      </c>
    </row>
    <row r="7615">
      <c r="B7615" s="24" t="inlineStr">
        <is>
          <t>SubjectFlag</t>
        </is>
      </c>
      <c r="C7615" s="24" t="inlineStr">
        <is>
          <t>表内表外标志</t>
        </is>
      </c>
      <c r="D7615" s="24" t="inlineStr">
        <is>
          <t>1</t>
        </is>
      </c>
      <c r="E7615" s="24" t="inlineStr">
        <is>
          <t>表内</t>
        </is>
      </c>
    </row>
    <row r="7616">
      <c r="B7616" s="24" t="inlineStr">
        <is>
          <t>SubjectFlag</t>
        </is>
      </c>
      <c r="C7616" s="24" t="inlineStr">
        <is>
          <t>表内表外标志</t>
        </is>
      </c>
      <c r="D7616" s="24" t="inlineStr">
        <is>
          <t>2</t>
        </is>
      </c>
      <c r="E7616" s="24" t="inlineStr">
        <is>
          <t>表外</t>
        </is>
      </c>
    </row>
    <row r="7617">
      <c r="B7617" s="24" t="inlineStr">
        <is>
          <t>SubjectFlag</t>
        </is>
      </c>
      <c r="C7617" s="24" t="inlineStr">
        <is>
          <t>表内表外标志</t>
        </is>
      </c>
      <c r="D7617" s="24" t="inlineStr">
        <is>
          <t>3</t>
        </is>
      </c>
      <c r="E7617" s="24" t="inlineStr">
        <is>
          <t>费用</t>
        </is>
      </c>
    </row>
    <row r="7618" ht="15.95" customHeight="1" s="170">
      <c r="B7618" s="122" t="inlineStr">
        <is>
          <t>码值：BatUploadStatus</t>
        </is>
      </c>
    </row>
    <row r="7619">
      <c r="B7619" s="24" t="inlineStr">
        <is>
          <t>BatUploadStatus</t>
        </is>
      </c>
      <c r="C7619" s="24" t="inlineStr">
        <is>
          <t>批次导入状态</t>
        </is>
      </c>
      <c r="D7619" s="24" t="inlineStr">
        <is>
          <t>01</t>
        </is>
      </c>
      <c r="E7619" s="24" t="inlineStr">
        <is>
          <t>待导入</t>
        </is>
      </c>
    </row>
    <row r="7620">
      <c r="B7620" s="24" t="inlineStr">
        <is>
          <t>BatUploadStatus</t>
        </is>
      </c>
      <c r="C7620" s="24" t="inlineStr">
        <is>
          <t>批次导入状态</t>
        </is>
      </c>
      <c r="D7620" s="24" t="inlineStr">
        <is>
          <t>02</t>
        </is>
      </c>
      <c r="E7620" s="24" t="inlineStr">
        <is>
          <t>导入中</t>
        </is>
      </c>
    </row>
    <row r="7621">
      <c r="B7621" s="24" t="inlineStr">
        <is>
          <t>BatUploadStatus</t>
        </is>
      </c>
      <c r="C7621" s="24" t="inlineStr">
        <is>
          <t>批次导入状态</t>
        </is>
      </c>
      <c r="D7621" s="24" t="inlineStr">
        <is>
          <t>03</t>
        </is>
      </c>
      <c r="E7621" s="24" t="inlineStr">
        <is>
          <t>导入完成</t>
        </is>
      </c>
    </row>
    <row r="7622">
      <c r="B7622" s="24" t="inlineStr">
        <is>
          <t>BatUploadStatus</t>
        </is>
      </c>
      <c r="C7622" s="24" t="inlineStr">
        <is>
          <t>批次导入状态</t>
        </is>
      </c>
      <c r="D7622" s="24" t="inlineStr">
        <is>
          <t>04</t>
        </is>
      </c>
      <c r="E7622" s="24" t="inlineStr">
        <is>
          <t>还款中</t>
        </is>
      </c>
    </row>
    <row r="7623">
      <c r="B7623" s="24" t="inlineStr">
        <is>
          <t>BatUploadStatus</t>
        </is>
      </c>
      <c r="C7623" s="24" t="inlineStr">
        <is>
          <t>批次导入状态</t>
        </is>
      </c>
      <c r="D7623" s="24" t="inlineStr">
        <is>
          <t>05</t>
        </is>
      </c>
      <c r="E7623" s="24" t="inlineStr">
        <is>
          <t>已还款</t>
        </is>
      </c>
    </row>
    <row r="7624">
      <c r="B7624" s="24" t="inlineStr">
        <is>
          <t>BatUploadStatus</t>
        </is>
      </c>
      <c r="C7624" s="24" t="inlineStr">
        <is>
          <t>批次导入状态</t>
        </is>
      </c>
      <c r="D7624" s="24" t="inlineStr">
        <is>
          <t>10</t>
        </is>
      </c>
      <c r="E7624" s="24" t="inlineStr">
        <is>
          <t>导入失败</t>
        </is>
      </c>
    </row>
    <row r="7625" ht="15.95" customHeight="1" s="170">
      <c r="B7625" s="122" t="inlineStr">
        <is>
          <t>码值：PaybackState2</t>
        </is>
      </c>
    </row>
    <row r="7626">
      <c r="B7626" s="24" t="inlineStr">
        <is>
          <t>PaybackState2</t>
        </is>
      </c>
      <c r="C7626" s="24" t="inlineStr">
        <is>
          <t>贷款还款记录</t>
        </is>
      </c>
      <c r="D7626" s="24" t="inlineStr">
        <is>
          <t>01</t>
        </is>
      </c>
      <c r="E7626" s="24" t="inlineStr">
        <is>
          <t>1 不逾期、不欠息</t>
        </is>
      </c>
    </row>
    <row r="7627">
      <c r="B7627" s="24" t="inlineStr">
        <is>
          <t>PaybackState2</t>
        </is>
      </c>
      <c r="C7627" s="24" t="inlineStr">
        <is>
          <t>贷款还款记录</t>
        </is>
      </c>
      <c r="D7627" s="24" t="inlineStr">
        <is>
          <t>02</t>
        </is>
      </c>
      <c r="E7627" s="24" t="inlineStr">
        <is>
          <t>2 逾期6个月内(不含)、不欠息</t>
        </is>
      </c>
    </row>
    <row r="7628">
      <c r="B7628" s="24" t="inlineStr">
        <is>
          <t>PaybackState2</t>
        </is>
      </c>
      <c r="C7628" s="24" t="inlineStr">
        <is>
          <t>贷款还款记录</t>
        </is>
      </c>
      <c r="D7628" s="24" t="inlineStr">
        <is>
          <t>03</t>
        </is>
      </c>
      <c r="E7628" s="24" t="inlineStr">
        <is>
          <t>3 逾期在6个月(含)~12个月(不含)、不欠息</t>
        </is>
      </c>
    </row>
    <row r="7629">
      <c r="B7629" s="24" t="inlineStr">
        <is>
          <t>PaybackState2</t>
        </is>
      </c>
      <c r="C7629" s="24" t="inlineStr">
        <is>
          <t>贷款还款记录</t>
        </is>
      </c>
      <c r="D7629" s="24" t="inlineStr">
        <is>
          <t>04</t>
        </is>
      </c>
      <c r="E7629" s="24" t="inlineStr">
        <is>
          <t>4 逾期在12个月(含)以上、不欠息</t>
        </is>
      </c>
    </row>
    <row r="7630">
      <c r="B7630" s="24" t="inlineStr">
        <is>
          <t>PaybackState2</t>
        </is>
      </c>
      <c r="C7630" s="24" t="inlineStr">
        <is>
          <t>贷款还款记录</t>
        </is>
      </c>
      <c r="D7630" s="24" t="inlineStr">
        <is>
          <t>05</t>
        </is>
      </c>
      <c r="E7630" s="24" t="inlineStr">
        <is>
          <t>5 不逾期、欠息&lt;3个月</t>
        </is>
      </c>
    </row>
    <row r="7631">
      <c r="B7631" s="24" t="inlineStr">
        <is>
          <t>PaybackState2</t>
        </is>
      </c>
      <c r="C7631" s="24" t="inlineStr">
        <is>
          <t>贷款还款记录</t>
        </is>
      </c>
      <c r="D7631" s="24" t="inlineStr">
        <is>
          <t>06</t>
        </is>
      </c>
      <c r="E7631" s="24" t="inlineStr">
        <is>
          <t>6 不逾期、欠息&gt;=3个月</t>
        </is>
      </c>
    </row>
    <row r="7632">
      <c r="B7632" s="24" t="inlineStr">
        <is>
          <t>PaybackState2</t>
        </is>
      </c>
      <c r="C7632" s="24" t="inlineStr">
        <is>
          <t>贷款还款记录</t>
        </is>
      </c>
      <c r="D7632" s="24" t="inlineStr">
        <is>
          <t>07</t>
        </is>
      </c>
      <c r="E7632" s="24" t="inlineStr">
        <is>
          <t>7 逾期&lt;6个月、欠息&lt;3个月</t>
        </is>
      </c>
    </row>
    <row r="7633">
      <c r="B7633" s="24" t="inlineStr">
        <is>
          <t>PaybackState2</t>
        </is>
      </c>
      <c r="C7633" s="24" t="inlineStr">
        <is>
          <t>贷款还款记录</t>
        </is>
      </c>
      <c r="D7633" s="24" t="inlineStr">
        <is>
          <t>08</t>
        </is>
      </c>
      <c r="E7633" s="24" t="inlineStr">
        <is>
          <t>8 逾期&lt;6个月、欠息&gt;3个月</t>
        </is>
      </c>
    </row>
    <row r="7634">
      <c r="B7634" s="24" t="inlineStr">
        <is>
          <t>PaybackState2</t>
        </is>
      </c>
      <c r="C7634" s="24" t="inlineStr">
        <is>
          <t>贷款还款记录</t>
        </is>
      </c>
      <c r="D7634" s="24" t="inlineStr">
        <is>
          <t>09</t>
        </is>
      </c>
      <c r="E7634" s="24" t="inlineStr">
        <is>
          <t>9 逾期在6个月(含)~12个月、0&lt;欠息&lt;1个月</t>
        </is>
      </c>
    </row>
    <row r="7635">
      <c r="B7635" s="24" t="inlineStr">
        <is>
          <t>PaybackState2</t>
        </is>
      </c>
      <c r="C7635" s="24" t="inlineStr">
        <is>
          <t>贷款还款记录</t>
        </is>
      </c>
      <c r="D7635" s="24" t="inlineStr">
        <is>
          <t>10</t>
        </is>
      </c>
      <c r="E7635" s="24" t="inlineStr">
        <is>
          <t>10 逾期在6个月(含)~12个月、欠息&gt;=1个月</t>
        </is>
      </c>
    </row>
    <row r="7636">
      <c r="B7636" s="24" t="inlineStr">
        <is>
          <t>PaybackState2</t>
        </is>
      </c>
      <c r="C7636" s="24" t="inlineStr">
        <is>
          <t>贷款还款记录</t>
        </is>
      </c>
      <c r="D7636" s="24" t="inlineStr">
        <is>
          <t>12</t>
        </is>
      </c>
      <c r="E7636" s="24" t="inlineStr">
        <is>
          <t>12 没有欠款</t>
        </is>
      </c>
    </row>
    <row r="7637">
      <c r="B7637" s="24" t="inlineStr">
        <is>
          <t>PaybackState2</t>
        </is>
      </c>
      <c r="C7637" s="24" t="inlineStr">
        <is>
          <t>贷款还款记录</t>
        </is>
      </c>
      <c r="D7637" s="24" t="inlineStr">
        <is>
          <t>13</t>
        </is>
      </c>
      <c r="E7637" s="24" t="inlineStr">
        <is>
          <t>13 连续欠3期(不含)内或没有欠款且累计欠9期(不含)上</t>
        </is>
      </c>
    </row>
    <row r="7638">
      <c r="B7638" s="24" t="inlineStr">
        <is>
          <t>PaybackState2</t>
        </is>
      </c>
      <c r="C7638" s="24" t="inlineStr">
        <is>
          <t>贷款还款记录</t>
        </is>
      </c>
      <c r="D7638" s="24" t="inlineStr">
        <is>
          <t>14</t>
        </is>
      </c>
      <c r="E7638" s="24" t="inlineStr">
        <is>
          <t>14 连续欠3期(含)~6期(不含)</t>
        </is>
      </c>
    </row>
    <row r="7639">
      <c r="B7639" s="24" t="inlineStr">
        <is>
          <t>PaybackState2</t>
        </is>
      </c>
      <c r="C7639" s="24" t="inlineStr">
        <is>
          <t>贷款还款记录</t>
        </is>
      </c>
      <c r="D7639" s="24" t="inlineStr">
        <is>
          <t>15</t>
        </is>
      </c>
      <c r="E7639" s="24" t="inlineStr">
        <is>
          <t>15 连续欠6期(含)以上</t>
        </is>
      </c>
    </row>
    <row r="7640">
      <c r="B7640" s="24" t="inlineStr">
        <is>
          <t>PaybackState2</t>
        </is>
      </c>
      <c r="C7640" s="24" t="inlineStr">
        <is>
          <t>贷款还款记录</t>
        </is>
      </c>
      <c r="D7640" s="24" t="inlineStr">
        <is>
          <t>16</t>
        </is>
      </c>
      <c r="E7640" s="24" t="inlineStr">
        <is>
          <t>16 连续欠6期(不含)内或累计欠9期(不含)内</t>
        </is>
      </c>
    </row>
    <row r="7641" ht="15.95" customHeight="1" s="170">
      <c r="B7641" s="122" t="inlineStr">
        <is>
          <t>码值：制度建设</t>
        </is>
      </c>
    </row>
    <row r="7642">
      <c r="B7642" s="24" t="inlineStr">
        <is>
          <t>制度建设</t>
        </is>
      </c>
      <c r="C7642" s="24" t="inlineStr">
        <is>
          <t>制度建设</t>
        </is>
      </c>
      <c r="D7642" s="24" t="inlineStr">
        <is>
          <t>1</t>
        </is>
      </c>
      <c r="E7642" s="24" t="inlineStr">
        <is>
          <t>有健全的制度，且遵照实施</t>
        </is>
      </c>
    </row>
    <row r="7643">
      <c r="B7643" s="24" t="inlineStr">
        <is>
          <t>制度建设</t>
        </is>
      </c>
      <c r="C7643" s="24" t="inlineStr">
        <is>
          <t>制度建设</t>
        </is>
      </c>
      <c r="D7643" s="24" t="inlineStr">
        <is>
          <t>2</t>
        </is>
      </c>
      <c r="E7643" s="24" t="inlineStr">
        <is>
          <t>有制度，但不实施</t>
        </is>
      </c>
    </row>
    <row r="7644">
      <c r="B7644" s="24" t="inlineStr">
        <is>
          <t>制度建设</t>
        </is>
      </c>
      <c r="C7644" s="24" t="inlineStr">
        <is>
          <t>制度建设</t>
        </is>
      </c>
      <c r="D7644" s="24" t="inlineStr">
        <is>
          <t>3</t>
        </is>
      </c>
      <c r="E7644" s="24" t="inlineStr">
        <is>
          <t>无</t>
        </is>
      </c>
    </row>
    <row r="7645" ht="15.95" customHeight="1" s="170">
      <c r="B7645" s="122" t="inlineStr">
        <is>
          <t>码值：BankRole</t>
        </is>
      </c>
    </row>
    <row r="7646">
      <c r="B7646" s="24" t="inlineStr">
        <is>
          <t>BankRole</t>
        </is>
      </c>
      <c r="C7646" s="24" t="inlineStr">
        <is>
          <t>银行角色</t>
        </is>
      </c>
      <c r="D7646" s="24" t="inlineStr">
        <is>
          <t>01</t>
        </is>
      </c>
      <c r="E7646" s="24" t="inlineStr">
        <is>
          <t>牵头行</t>
        </is>
      </c>
    </row>
    <row r="7647">
      <c r="B7647" s="24" t="inlineStr">
        <is>
          <t>BankRole</t>
        </is>
      </c>
      <c r="C7647" s="24" t="inlineStr">
        <is>
          <t>银行角色</t>
        </is>
      </c>
      <c r="D7647" s="24" t="inlineStr">
        <is>
          <t>02</t>
        </is>
      </c>
      <c r="E7647" s="24" t="inlineStr">
        <is>
          <t>参与行</t>
        </is>
      </c>
    </row>
    <row r="7648">
      <c r="B7648" s="24" t="inlineStr">
        <is>
          <t>BankRole</t>
        </is>
      </c>
      <c r="C7648" s="24" t="inlineStr">
        <is>
          <t>银行角色</t>
        </is>
      </c>
      <c r="D7648" s="24" t="inlineStr">
        <is>
          <t>03</t>
        </is>
      </c>
      <c r="E7648" s="24" t="inlineStr">
        <is>
          <t>代理行</t>
        </is>
      </c>
    </row>
    <row r="7649" ht="15.95" customHeight="1" s="170">
      <c r="B7649" s="122" t="inlineStr">
        <is>
          <t>码值：PZType</t>
        </is>
      </c>
    </row>
    <row r="7650">
      <c r="B7650" s="24" t="inlineStr">
        <is>
          <t>PZType</t>
        </is>
      </c>
      <c r="C7650" s="24" t="inlineStr">
        <is>
          <t>帐户种类</t>
        </is>
      </c>
      <c r="D7650" s="24" t="inlineStr">
        <is>
          <t>1</t>
        </is>
      </c>
      <c r="E7650" s="24" t="inlineStr">
        <is>
          <t>卡</t>
        </is>
      </c>
    </row>
    <row r="7651">
      <c r="B7651" s="24" t="inlineStr">
        <is>
          <t>PZType</t>
        </is>
      </c>
      <c r="C7651" s="24" t="inlineStr">
        <is>
          <t>帐户种类</t>
        </is>
      </c>
      <c r="D7651" s="24" t="inlineStr">
        <is>
          <t>2</t>
        </is>
      </c>
      <c r="E7651" s="24" t="inlineStr">
        <is>
          <t>活期一本通</t>
        </is>
      </c>
    </row>
    <row r="7652">
      <c r="B7652" s="24" t="inlineStr">
        <is>
          <t>PZType</t>
        </is>
      </c>
      <c r="C7652" s="24" t="inlineStr">
        <is>
          <t>帐户种类</t>
        </is>
      </c>
      <c r="D7652" s="24" t="inlineStr">
        <is>
          <t>3</t>
        </is>
      </c>
      <c r="E7652" s="24" t="inlineStr">
        <is>
          <t>存折</t>
        </is>
      </c>
    </row>
    <row r="7653">
      <c r="B7653" s="24" t="inlineStr">
        <is>
          <t>PZType</t>
        </is>
      </c>
      <c r="C7653" s="24" t="inlineStr">
        <is>
          <t>帐户种类</t>
        </is>
      </c>
      <c r="D7653" s="24" t="inlineStr">
        <is>
          <t>4</t>
        </is>
      </c>
      <c r="E7653" s="24" t="inlineStr">
        <is>
          <t>暂无扣款帐号</t>
        </is>
      </c>
    </row>
    <row r="7654">
      <c r="B7654" s="24" t="inlineStr">
        <is>
          <t>PZType</t>
        </is>
      </c>
      <c r="C7654" s="24" t="inlineStr">
        <is>
          <t>帐户种类</t>
        </is>
      </c>
      <c r="D7654" s="24" t="inlineStr">
        <is>
          <t>5</t>
        </is>
      </c>
      <c r="E7654" s="24" t="inlineStr">
        <is>
          <t>对公活期</t>
        </is>
      </c>
    </row>
    <row r="7655" ht="15.95" customHeight="1" s="170">
      <c r="B7655" s="122" t="inlineStr">
        <is>
          <t>码值：BusinessFinance</t>
        </is>
      </c>
    </row>
    <row r="7656">
      <c r="B7656" s="24" t="inlineStr">
        <is>
          <t>BusinessFinance</t>
        </is>
      </c>
      <c r="C7656" s="24" t="inlineStr">
        <is>
          <t>信用等级评估统一导入</t>
        </is>
      </c>
      <c r="D7656" s="24" t="inlineStr">
        <is>
          <t>1</t>
        </is>
      </c>
      <c r="E7656" s="24" t="inlineStr">
        <is>
          <t>主动取得商业信用</t>
        </is>
      </c>
    </row>
    <row r="7657">
      <c r="B7657" s="24" t="inlineStr">
        <is>
          <t>BusinessFinance</t>
        </is>
      </c>
      <c r="C7657" s="24" t="inlineStr">
        <is>
          <t>信用等级评估统一导入</t>
        </is>
      </c>
      <c r="D7657" s="24" t="inlineStr">
        <is>
          <t>2</t>
        </is>
      </c>
      <c r="E7657" s="24" t="inlineStr">
        <is>
          <t>不主动取得商业信用</t>
        </is>
      </c>
    </row>
    <row r="7658" ht="15.95" customHeight="1" s="170">
      <c r="B7658" s="122" t="inlineStr">
        <is>
          <t>码值：PayRuleType</t>
        </is>
      </c>
    </row>
    <row r="7659">
      <c r="B7659" s="24" t="inlineStr">
        <is>
          <t>PayRuleType</t>
        </is>
      </c>
      <c r="C7659" s="24" t="inlineStr">
        <is>
          <t>扣款顺序</t>
        </is>
      </c>
      <c r="D7659" s="24" t="inlineStr">
        <is>
          <t>01</t>
        </is>
      </c>
      <c r="E7659" s="24" t="inlineStr">
        <is>
          <t>正常还款顺序</t>
        </is>
      </c>
    </row>
    <row r="7660">
      <c r="B7660" s="24" t="inlineStr">
        <is>
          <t>PayRuleType</t>
        </is>
      </c>
      <c r="C7660" s="24" t="inlineStr">
        <is>
          <t>扣款顺序</t>
        </is>
      </c>
      <c r="D7660" s="24" t="inlineStr">
        <is>
          <t>02</t>
        </is>
      </c>
      <c r="E7660" s="24" t="inlineStr">
        <is>
          <t>不良还款顺序</t>
        </is>
      </c>
    </row>
    <row r="7661" ht="15.95" customHeight="1" s="170">
      <c r="B7661" s="122" t="inlineStr">
        <is>
          <t>码值：MortgageAssets</t>
        </is>
      </c>
    </row>
    <row r="7662">
      <c r="B7662" s="24" t="inlineStr">
        <is>
          <t>MortgageAssets</t>
        </is>
      </c>
      <c r="C7662" s="24" t="inlineStr">
        <is>
          <t>信用等级评估统一导入</t>
        </is>
      </c>
      <c r="D7662" s="24" t="inlineStr">
        <is>
          <t>01</t>
        </is>
      </c>
      <c r="E7662" s="24" t="inlineStr">
        <is>
          <t>对起动项目的全部资产、合同、批文和账户拥有手续完全完备的优先担保权益</t>
        </is>
      </c>
    </row>
    <row r="7663">
      <c r="B7663" s="24" t="inlineStr">
        <is>
          <t>MortgageAssets</t>
        </is>
      </c>
      <c r="C7663" s="24" t="inlineStr">
        <is>
          <t>信用等级评估统一导入</t>
        </is>
      </c>
      <c r="D7663" s="24" t="inlineStr">
        <is>
          <t>02</t>
        </is>
      </c>
      <c r="E7663" s="24" t="inlineStr">
        <is>
          <t>对起动项目的全部资产、合同、批文和账户拥有手续较完备的优先担保权益</t>
        </is>
      </c>
    </row>
    <row r="7664">
      <c r="B7664" s="24" t="inlineStr">
        <is>
          <t>MortgageAssets</t>
        </is>
      </c>
      <c r="C7664" s="24" t="inlineStr">
        <is>
          <t>信用等级评估统一导入</t>
        </is>
      </c>
      <c r="D7664" s="24" t="inlineStr">
        <is>
          <t>03</t>
        </is>
      </c>
      <c r="E7664" s="24" t="inlineStr">
        <is>
          <t>对起动项目的全部资产、合同、批文和账户拥有一般性的担保权益</t>
        </is>
      </c>
    </row>
    <row r="7665">
      <c r="B7665" s="24" t="inlineStr">
        <is>
          <t>MortgageAssets</t>
        </is>
      </c>
      <c r="C7665" s="24" t="inlineStr">
        <is>
          <t>信用等级评估统一导入</t>
        </is>
      </c>
      <c r="D7665" s="24" t="inlineStr">
        <is>
          <t>04</t>
        </is>
      </c>
      <c r="E7665" s="24" t="inlineStr">
        <is>
          <t>对贷款人几乎未提供担保；抵押条款对银行不利</t>
        </is>
      </c>
    </row>
    <row r="7666" ht="15.95" customHeight="1" s="170">
      <c r="B7666" s="122" t="inlineStr">
        <is>
          <t>码值：InOutWHType</t>
        </is>
      </c>
    </row>
    <row r="7667">
      <c r="B7667" s="24" t="inlineStr">
        <is>
          <t>InOutWHType</t>
        </is>
      </c>
      <c r="C7667" s="24" t="inlineStr">
        <is>
          <t>出入库申请类型</t>
        </is>
      </c>
      <c r="D7667" s="24" t="inlineStr">
        <is>
          <t>01</t>
        </is>
      </c>
      <c r="E7667" s="24" t="inlineStr">
        <is>
          <t>入库</t>
        </is>
      </c>
    </row>
    <row r="7668">
      <c r="B7668" s="24" t="inlineStr">
        <is>
          <t>InOutWHType</t>
        </is>
      </c>
      <c r="C7668" s="24" t="inlineStr">
        <is>
          <t>出入库申请类型</t>
        </is>
      </c>
      <c r="D7668" s="24" t="inlineStr">
        <is>
          <t>02</t>
        </is>
      </c>
      <c r="E7668" s="24" t="inlineStr">
        <is>
          <t>出库</t>
        </is>
      </c>
    </row>
    <row r="7669" ht="15.95" customHeight="1" s="170">
      <c r="B7669" s="122" t="inlineStr">
        <is>
          <t>码值：MortgageSituation</t>
        </is>
      </c>
    </row>
    <row r="7670">
      <c r="B7670" s="24" t="inlineStr">
        <is>
          <t>MortgageSituation</t>
        </is>
      </c>
      <c r="C7670" s="24" t="inlineStr">
        <is>
          <t>信用等级评估统一导入</t>
        </is>
      </c>
      <c r="D7670" s="24" t="inlineStr">
        <is>
          <t>01</t>
        </is>
      </c>
      <c r="E7670" s="24" t="inlineStr">
        <is>
          <t>无抵押</t>
        </is>
      </c>
    </row>
    <row r="7671">
      <c r="B7671" s="24" t="inlineStr">
        <is>
          <t>MortgageSituation</t>
        </is>
      </c>
      <c r="C7671" s="24" t="inlineStr">
        <is>
          <t>信用等级评估统一导入</t>
        </is>
      </c>
      <c r="D7671" s="24" t="inlineStr">
        <is>
          <t>02</t>
        </is>
      </c>
      <c r="E7671" s="24" t="inlineStr">
        <is>
          <t xml:space="preserve">有抵押 </t>
        </is>
      </c>
    </row>
    <row r="7672" ht="15.95" customHeight="1" s="170">
      <c r="B7672" s="122" t="inlineStr">
        <is>
          <t>码值：CLCycFlag</t>
        </is>
      </c>
    </row>
    <row r="7673">
      <c r="B7673" s="24" t="inlineStr">
        <is>
          <t>CLCycFlag</t>
        </is>
      </c>
      <c r="C7673" s="24" t="inlineStr">
        <is>
          <t>额度循环标志</t>
        </is>
      </c>
      <c r="D7673" s="24" t="inlineStr">
        <is>
          <t>10</t>
        </is>
      </c>
      <c r="E7673" s="24" t="inlineStr">
        <is>
          <t>循环</t>
        </is>
      </c>
    </row>
    <row r="7674">
      <c r="B7674" s="24" t="inlineStr">
        <is>
          <t>CLCycFlag</t>
        </is>
      </c>
      <c r="C7674" s="24" t="inlineStr">
        <is>
          <t>额度循环标志</t>
        </is>
      </c>
      <c r="D7674" s="24" t="inlineStr">
        <is>
          <t>20</t>
        </is>
      </c>
      <c r="E7674" s="24" t="inlineStr">
        <is>
          <t>不循环</t>
        </is>
      </c>
    </row>
    <row r="7675" ht="15.95" customHeight="1" s="170">
      <c r="B7675" s="122" t="inlineStr">
        <is>
          <t>码值：IndRegularCheckMain</t>
        </is>
      </c>
    </row>
    <row r="7676">
      <c r="B7676" s="24" t="inlineStr">
        <is>
          <t>IndRegularCheckMain</t>
        </is>
      </c>
      <c r="C7676" s="24" t="inlineStr">
        <is>
          <t>个人客户定期贷后检查申请</t>
        </is>
      </c>
      <c r="D7676" s="24" t="inlineStr">
        <is>
          <t>1010</t>
        </is>
      </c>
      <c r="E7676" s="24" t="inlineStr">
        <is>
          <t>待处理</t>
        </is>
      </c>
    </row>
    <row r="7677">
      <c r="B7677" s="24" t="inlineStr">
        <is>
          <t>IndRegularCheckMain</t>
        </is>
      </c>
      <c r="C7677" s="24" t="inlineStr">
        <is>
          <t>个人客户定期贷后检查申请</t>
        </is>
      </c>
      <c r="D7677" s="24" t="inlineStr">
        <is>
          <t>1020</t>
        </is>
      </c>
      <c r="E7677" s="24" t="inlineStr">
        <is>
          <t>审批中</t>
        </is>
      </c>
    </row>
    <row r="7678">
      <c r="B7678" s="24" t="inlineStr">
        <is>
          <t>IndRegularCheckMain</t>
        </is>
      </c>
      <c r="C7678" s="24" t="inlineStr">
        <is>
          <t>个人客户定期贷后检查申请</t>
        </is>
      </c>
      <c r="D7678" s="24" t="inlineStr">
        <is>
          <t>1040,1050</t>
        </is>
      </c>
      <c r="E7678" s="24" t="inlineStr">
        <is>
          <t>处理完成</t>
        </is>
      </c>
    </row>
    <row r="7679" ht="15.95" customHeight="1" s="170">
      <c r="B7679" s="122" t="inlineStr">
        <is>
          <t>码值：董事会设置</t>
        </is>
      </c>
    </row>
    <row r="7680">
      <c r="B7680" s="24" t="inlineStr">
        <is>
          <t>董事会设置</t>
        </is>
      </c>
      <c r="C7680" s="24" t="inlineStr">
        <is>
          <t>董事会设置</t>
        </is>
      </c>
      <c r="D7680" s="24" t="inlineStr">
        <is>
          <t>1</t>
        </is>
      </c>
      <c r="E7680" s="24" t="inlineStr">
        <is>
          <t>按规定设定</t>
        </is>
      </c>
    </row>
    <row r="7681">
      <c r="B7681" s="24" t="inlineStr">
        <is>
          <t>董事会设置</t>
        </is>
      </c>
      <c r="C7681" s="24" t="inlineStr">
        <is>
          <t>董事会设置</t>
        </is>
      </c>
      <c r="D7681" s="24" t="inlineStr">
        <is>
          <t>2</t>
        </is>
      </c>
      <c r="E7681" s="24" t="inlineStr">
        <is>
          <t>只设执行董事</t>
        </is>
      </c>
    </row>
    <row r="7682">
      <c r="B7682" s="24" t="inlineStr">
        <is>
          <t>董事会设置</t>
        </is>
      </c>
      <c r="C7682" s="24" t="inlineStr">
        <is>
          <t>董事会设置</t>
        </is>
      </c>
      <c r="D7682" s="24" t="inlineStr">
        <is>
          <t>3</t>
        </is>
      </c>
      <c r="E7682" s="24" t="inlineStr">
        <is>
          <t>无</t>
        </is>
      </c>
    </row>
    <row r="7683" ht="15.95" customHeight="1" s="170">
      <c r="B7683" s="122" t="inlineStr">
        <is>
          <t>码值：LoanType</t>
        </is>
      </c>
    </row>
    <row r="7684">
      <c r="B7684" s="24" t="inlineStr">
        <is>
          <t>LoanType</t>
        </is>
      </c>
      <c r="C7684" s="24" t="inlineStr">
        <is>
          <t>贷款业务种类</t>
        </is>
      </c>
      <c r="D7684" s="24" t="inlineStr">
        <is>
          <t>010</t>
        </is>
      </c>
      <c r="E7684" s="24" t="inlineStr">
        <is>
          <t>地产开发贷款</t>
        </is>
      </c>
    </row>
    <row r="7685">
      <c r="B7685" s="24" t="inlineStr">
        <is>
          <t>LoanType</t>
        </is>
      </c>
      <c r="C7685" s="24" t="inlineStr">
        <is>
          <t>贷款业务种类</t>
        </is>
      </c>
      <c r="D7685" s="24" t="inlineStr">
        <is>
          <t>020</t>
        </is>
      </c>
      <c r="E7685" s="24" t="inlineStr">
        <is>
          <t>住房开发贷款</t>
        </is>
      </c>
    </row>
    <row r="7686">
      <c r="B7686" s="24" t="inlineStr">
        <is>
          <t>LoanType</t>
        </is>
      </c>
      <c r="C7686" s="24" t="inlineStr">
        <is>
          <t>贷款业务种类</t>
        </is>
      </c>
      <c r="D7686" s="24" t="inlineStr">
        <is>
          <t>030</t>
        </is>
      </c>
      <c r="E7686" s="24" t="inlineStr">
        <is>
          <t>商业用房开发贷款</t>
        </is>
      </c>
    </row>
    <row r="7687">
      <c r="B7687" s="24" t="inlineStr">
        <is>
          <t>LoanType</t>
        </is>
      </c>
      <c r="C7687" s="24" t="inlineStr">
        <is>
          <t>贷款业务种类</t>
        </is>
      </c>
      <c r="D7687" s="24" t="inlineStr">
        <is>
          <t>040</t>
        </is>
      </c>
      <c r="E7687" s="24" t="inlineStr">
        <is>
          <t>其他用房开发贷款</t>
        </is>
      </c>
    </row>
    <row r="7688">
      <c r="B7688" s="24" t="inlineStr">
        <is>
          <t>LoanType</t>
        </is>
      </c>
      <c r="C7688" s="24" t="inlineStr">
        <is>
          <t>贷款业务种类</t>
        </is>
      </c>
      <c r="D7688" s="24" t="inlineStr">
        <is>
          <t>050</t>
        </is>
      </c>
      <c r="E7688" s="24" t="inlineStr">
        <is>
          <t>企业购买商业房产贷款</t>
        </is>
      </c>
    </row>
    <row r="7689">
      <c r="B7689" s="24" t="inlineStr">
        <is>
          <t>LoanType</t>
        </is>
      </c>
      <c r="C7689" s="24" t="inlineStr">
        <is>
          <t>贷款业务种类</t>
        </is>
      </c>
      <c r="D7689" s="24" t="inlineStr">
        <is>
          <t>060</t>
        </is>
      </c>
      <c r="E7689" s="24" t="inlineStr">
        <is>
          <t>土储机构贷款</t>
        </is>
      </c>
    </row>
    <row r="7690" ht="15.95" customHeight="1" s="170">
      <c r="B7690" s="122" t="inlineStr">
        <is>
          <t>码值：WatersUsageType</t>
        </is>
      </c>
    </row>
    <row r="7691">
      <c r="B7691" s="24" t="inlineStr">
        <is>
          <t>WatersUsageType</t>
        </is>
      </c>
      <c r="C7691" s="24" t="inlineStr">
        <is>
          <t>用海类型</t>
        </is>
      </c>
      <c r="D7691" s="24" t="inlineStr">
        <is>
          <t>01</t>
        </is>
      </c>
      <c r="E7691" s="24" t="inlineStr">
        <is>
          <t>渔业用海</t>
        </is>
      </c>
    </row>
    <row r="7692">
      <c r="B7692" s="24" t="inlineStr">
        <is>
          <t>WatersUsageType</t>
        </is>
      </c>
      <c r="C7692" s="24" t="inlineStr">
        <is>
          <t>用海类型</t>
        </is>
      </c>
      <c r="D7692" s="24" t="inlineStr">
        <is>
          <t>02</t>
        </is>
      </c>
      <c r="E7692" s="24" t="inlineStr">
        <is>
          <t>交通运输用海</t>
        </is>
      </c>
    </row>
    <row r="7693">
      <c r="B7693" s="24" t="inlineStr">
        <is>
          <t>WatersUsageType</t>
        </is>
      </c>
      <c r="C7693" s="24" t="inlineStr">
        <is>
          <t>用海类型</t>
        </is>
      </c>
      <c r="D7693" s="24" t="inlineStr">
        <is>
          <t>03</t>
        </is>
      </c>
      <c r="E7693" s="24" t="inlineStr">
        <is>
          <t>工矿用海</t>
        </is>
      </c>
    </row>
    <row r="7694">
      <c r="B7694" s="24" t="inlineStr">
        <is>
          <t>WatersUsageType</t>
        </is>
      </c>
      <c r="C7694" s="24" t="inlineStr">
        <is>
          <t>用海类型</t>
        </is>
      </c>
      <c r="D7694" s="24" t="inlineStr">
        <is>
          <t>04</t>
        </is>
      </c>
      <c r="E7694" s="24" t="inlineStr">
        <is>
          <t>旅游娱乐用海</t>
        </is>
      </c>
    </row>
    <row r="7695">
      <c r="B7695" s="24" t="inlineStr">
        <is>
          <t>WatersUsageType</t>
        </is>
      </c>
      <c r="C7695" s="24" t="inlineStr">
        <is>
          <t>用海类型</t>
        </is>
      </c>
      <c r="D7695" s="24" t="inlineStr">
        <is>
          <t>05</t>
        </is>
      </c>
      <c r="E7695" s="24" t="inlineStr">
        <is>
          <t>海底工程用海</t>
        </is>
      </c>
    </row>
    <row r="7696">
      <c r="B7696" s="24" t="inlineStr">
        <is>
          <t>WatersUsageType</t>
        </is>
      </c>
      <c r="C7696" s="24" t="inlineStr">
        <is>
          <t>用海类型</t>
        </is>
      </c>
      <c r="D7696" s="24" t="inlineStr">
        <is>
          <t>06</t>
        </is>
      </c>
      <c r="E7696" s="24" t="inlineStr">
        <is>
          <t>排污倾倒用海</t>
        </is>
      </c>
    </row>
    <row r="7697">
      <c r="B7697" s="24" t="inlineStr">
        <is>
          <t>WatersUsageType</t>
        </is>
      </c>
      <c r="C7697" s="24" t="inlineStr">
        <is>
          <t>用海类型</t>
        </is>
      </c>
      <c r="D7697" s="24" t="inlineStr">
        <is>
          <t>07</t>
        </is>
      </c>
      <c r="E7697" s="24" t="inlineStr">
        <is>
          <t>造地工程用海用海</t>
        </is>
      </c>
    </row>
    <row r="7698">
      <c r="B7698" s="24" t="inlineStr">
        <is>
          <t>WatersUsageType</t>
        </is>
      </c>
      <c r="C7698" s="24" t="inlineStr">
        <is>
          <t>用海类型</t>
        </is>
      </c>
      <c r="D7698" s="24" t="inlineStr">
        <is>
          <t>08</t>
        </is>
      </c>
      <c r="E7698" s="24" t="inlineStr">
        <is>
          <t>特殊用海</t>
        </is>
      </c>
    </row>
    <row r="7699">
      <c r="B7699" s="24" t="inlineStr">
        <is>
          <t>WatersUsageType</t>
        </is>
      </c>
      <c r="C7699" s="24" t="inlineStr">
        <is>
          <t>用海类型</t>
        </is>
      </c>
      <c r="D7699" s="24" t="inlineStr">
        <is>
          <t>90</t>
        </is>
      </c>
      <c r="E7699" s="24" t="inlineStr">
        <is>
          <t>其他用海</t>
        </is>
      </c>
    </row>
    <row r="7700" ht="15.95" customHeight="1" s="170">
      <c r="B7700" s="122" t="inlineStr">
        <is>
          <t>码值：OrgLevel</t>
        </is>
      </c>
    </row>
    <row r="7701">
      <c r="B7701" s="24" t="inlineStr">
        <is>
          <t>OrgLevel</t>
        </is>
      </c>
      <c r="C7701" s="24" t="inlineStr">
        <is>
          <t>机构级别</t>
        </is>
      </c>
      <c r="D7701" s="24" t="inlineStr">
        <is>
          <t>1</t>
        </is>
      </c>
      <c r="E7701" s="24" t="inlineStr">
        <is>
          <t>总行</t>
        </is>
      </c>
    </row>
    <row r="7702">
      <c r="B7702" s="24" t="inlineStr">
        <is>
          <t>OrgLevel</t>
        </is>
      </c>
      <c r="C7702" s="24" t="inlineStr">
        <is>
          <t>机构级别</t>
        </is>
      </c>
      <c r="D7702" s="24" t="inlineStr">
        <is>
          <t>3</t>
        </is>
      </c>
      <c r="E7702" s="24" t="inlineStr">
        <is>
          <t>分行</t>
        </is>
      </c>
    </row>
    <row r="7703">
      <c r="B7703" s="24" t="inlineStr">
        <is>
          <t>OrgLevel</t>
        </is>
      </c>
      <c r="C7703" s="24" t="inlineStr">
        <is>
          <t>机构级别</t>
        </is>
      </c>
      <c r="D7703" s="24" t="inlineStr">
        <is>
          <t>6</t>
        </is>
      </c>
      <c r="E7703" s="24" t="inlineStr">
        <is>
          <t>支行</t>
        </is>
      </c>
    </row>
    <row r="7704">
      <c r="B7704" s="24" t="inlineStr">
        <is>
          <t>OrgLevel</t>
        </is>
      </c>
      <c r="C7704" s="24" t="inlineStr">
        <is>
          <t>机构级别</t>
        </is>
      </c>
      <c r="D7704" s="24" t="inlineStr">
        <is>
          <t>9</t>
        </is>
      </c>
      <c r="E7704" s="24" t="inlineStr">
        <is>
          <t>网点</t>
        </is>
      </c>
    </row>
    <row r="7705" ht="15.95" customHeight="1" s="170">
      <c r="B7705" s="122" t="inlineStr">
        <is>
          <t>码值：BelongDept</t>
        </is>
      </c>
    </row>
    <row r="7706">
      <c r="B7706" s="24" t="inlineStr">
        <is>
          <t>BelongDept</t>
        </is>
      </c>
      <c r="C7706" s="24" t="inlineStr">
        <is>
          <t>所属条线</t>
        </is>
      </c>
      <c r="D7706" s="24" t="inlineStr">
        <is>
          <t>020</t>
        </is>
      </c>
      <c r="E7706" s="24" t="inlineStr">
        <is>
          <t>大中业务</t>
        </is>
      </c>
    </row>
    <row r="7707">
      <c r="B7707" s="24" t="inlineStr">
        <is>
          <t>BelongDept</t>
        </is>
      </c>
      <c r="C7707" s="24" t="inlineStr">
        <is>
          <t>所属条线</t>
        </is>
      </c>
      <c r="D7707" s="24" t="inlineStr">
        <is>
          <t>030</t>
        </is>
      </c>
      <c r="E7707" s="24" t="inlineStr">
        <is>
          <t>个人业务</t>
        </is>
      </c>
    </row>
    <row r="7708">
      <c r="B7708" s="24" t="inlineStr">
        <is>
          <t>BelongDept</t>
        </is>
      </c>
      <c r="C7708" s="24" t="inlineStr">
        <is>
          <t>所属条线</t>
        </is>
      </c>
      <c r="D7708" s="24" t="inlineStr">
        <is>
          <t>040</t>
        </is>
      </c>
      <c r="E7708" s="24" t="inlineStr">
        <is>
          <t>小微业务</t>
        </is>
      </c>
    </row>
    <row r="7709" ht="15.95" customHeight="1" s="170">
      <c r="B7709" s="122" t="inlineStr">
        <is>
          <t>码值：CreditLineManage</t>
        </is>
      </c>
    </row>
    <row r="7710">
      <c r="B7710" s="24" t="inlineStr">
        <is>
          <t>CreditLineManage</t>
        </is>
      </c>
      <c r="C7710" s="24" t="inlineStr">
        <is>
          <t>授信额度调整</t>
        </is>
      </c>
      <c r="D7710" s="24" t="inlineStr">
        <is>
          <t>0010</t>
        </is>
      </c>
      <c r="E7710" s="24" t="inlineStr">
        <is>
          <t>有效的额度列表</t>
        </is>
      </c>
    </row>
    <row r="7711">
      <c r="B7711" s="24" t="inlineStr">
        <is>
          <t>CreditLineManage</t>
        </is>
      </c>
      <c r="C7711" s="24" t="inlineStr">
        <is>
          <t>授信额度调整</t>
        </is>
      </c>
      <c r="D7711" s="24" t="inlineStr">
        <is>
          <t>0030</t>
        </is>
      </c>
      <c r="E7711" s="24" t="inlineStr">
        <is>
          <t>已冻结的额度列表</t>
        </is>
      </c>
    </row>
    <row r="7712">
      <c r="B7712" s="24" t="inlineStr">
        <is>
          <t>CreditLineManage</t>
        </is>
      </c>
      <c r="C7712" s="24" t="inlineStr">
        <is>
          <t>授信额度调整</t>
        </is>
      </c>
      <c r="D7712" s="24" t="inlineStr">
        <is>
          <t>0040</t>
        </is>
      </c>
      <c r="E7712" s="24" t="inlineStr">
        <is>
          <t>已终止的额度列表</t>
        </is>
      </c>
    </row>
    <row r="7713" ht="15.95" customHeight="1" s="170">
      <c r="B7713" s="122" t="inlineStr">
        <is>
          <t>码值：ParentRelationType</t>
        </is>
      </c>
    </row>
    <row r="7714">
      <c r="B7714" s="24" t="inlineStr">
        <is>
          <t>ParentRelationType</t>
        </is>
      </c>
      <c r="C7714" s="24" t="inlineStr">
        <is>
          <t>与父成员关系</t>
        </is>
      </c>
      <c r="D7714" s="24" t="inlineStr">
        <is>
          <t>01</t>
        </is>
      </c>
      <c r="E7714" s="24" t="inlineStr">
        <is>
          <t>监管机构定义的集团客户</t>
        </is>
      </c>
    </row>
    <row r="7715">
      <c r="B7715" s="24" t="inlineStr">
        <is>
          <t>ParentRelationType</t>
        </is>
      </c>
      <c r="C7715" s="24" t="inlineStr">
        <is>
          <t>与父成员关系</t>
        </is>
      </c>
      <c r="D7715" s="24" t="inlineStr">
        <is>
          <t>0103</t>
        </is>
      </c>
      <c r="E7715" s="24" t="inlineStr">
        <is>
          <t>关系3</t>
        </is>
      </c>
    </row>
    <row r="7716">
      <c r="B7716" s="24" t="inlineStr">
        <is>
          <t>ParentRelationType</t>
        </is>
      </c>
      <c r="C7716" s="24" t="inlineStr">
        <is>
          <t>与父成员关系</t>
        </is>
      </c>
      <c r="D7716" s="24" t="inlineStr">
        <is>
          <t>010301</t>
        </is>
      </c>
      <c r="E7716" s="24" t="inlineStr">
        <is>
          <t>共同被第三方企事业法人所控制的</t>
        </is>
      </c>
    </row>
    <row r="7717">
      <c r="B7717" s="24" t="inlineStr">
        <is>
          <t>ParentRelationType</t>
        </is>
      </c>
      <c r="C7717" s="24" t="inlineStr">
        <is>
          <t>与父成员关系</t>
        </is>
      </c>
      <c r="D7717" s="24" t="inlineStr">
        <is>
          <t>010302</t>
        </is>
      </c>
      <c r="E7717" s="24" t="inlineStr">
        <is>
          <t>主要投资人个人、关键管理人员或与其关系密切的家庭成员（包括三代以内直系亲属关系和二代以内旁系亲属关系）共同直接或间接控制的</t>
        </is>
      </c>
    </row>
    <row r="7718">
      <c r="B7718" s="24" t="inlineStr">
        <is>
          <t>ParentRelationType</t>
        </is>
      </c>
      <c r="C7718" s="24" t="inlineStr">
        <is>
          <t>与父成员关系</t>
        </is>
      </c>
      <c r="D7718" s="24" t="inlineStr">
        <is>
          <t>0104</t>
        </is>
      </c>
      <c r="E7718" s="24" t="inlineStr">
        <is>
          <t>关系4</t>
        </is>
      </c>
    </row>
    <row r="7719">
      <c r="B7719" s="24" t="inlineStr">
        <is>
          <t>ParentRelationType</t>
        </is>
      </c>
      <c r="C7719" s="24" t="inlineStr">
        <is>
          <t>与父成员关系</t>
        </is>
      </c>
      <c r="D7719" s="24" t="inlineStr">
        <is>
          <t>013003</t>
        </is>
      </c>
      <c r="E7719" s="24" t="inlineStr">
        <is>
          <t>存在其他关联关系，可能不按照公允价格原则转移资产和利润，应视同集团客户进行授信管理的企事业法人</t>
        </is>
      </c>
    </row>
    <row r="7720">
      <c r="B7720" s="24" t="inlineStr">
        <is>
          <t>ParentRelationType</t>
        </is>
      </c>
      <c r="C7720" s="24" t="inlineStr">
        <is>
          <t>与父成员关系</t>
        </is>
      </c>
      <c r="D7720" s="24" t="inlineStr">
        <is>
          <t>02</t>
        </is>
      </c>
      <c r="E7720" s="24" t="inlineStr">
        <is>
          <t>参股企业</t>
        </is>
      </c>
    </row>
    <row r="7721">
      <c r="B7721" s="24" t="inlineStr">
        <is>
          <t>ParentRelationType</t>
        </is>
      </c>
      <c r="C7721" s="24" t="inlineStr">
        <is>
          <t>与父成员关系</t>
        </is>
      </c>
      <c r="D7721" s="24" t="inlineStr">
        <is>
          <t>0201</t>
        </is>
      </c>
      <c r="E7721" s="24" t="inlineStr">
        <is>
          <t>关系5</t>
        </is>
      </c>
    </row>
    <row r="7722">
      <c r="B7722" s="24" t="inlineStr">
        <is>
          <t>ParentRelationType</t>
        </is>
      </c>
      <c r="C7722" s="24" t="inlineStr">
        <is>
          <t>与父成员关系</t>
        </is>
      </c>
      <c r="D7722" s="24" t="inlineStr">
        <is>
          <t>0202</t>
        </is>
      </c>
      <c r="E7722" s="24" t="inlineStr">
        <is>
          <t>关系6</t>
        </is>
      </c>
    </row>
    <row r="7723">
      <c r="B7723" s="24" t="inlineStr">
        <is>
          <t>ParentRelationType</t>
        </is>
      </c>
      <c r="C7723" s="24" t="inlineStr">
        <is>
          <t>与父成员关系</t>
        </is>
      </c>
      <c r="D7723" s="24" t="inlineStr">
        <is>
          <t>0203</t>
        </is>
      </c>
      <c r="E7723" s="24" t="inlineStr">
        <is>
          <t>关系7</t>
        </is>
      </c>
    </row>
    <row r="7724">
      <c r="B7724" s="24" t="inlineStr">
        <is>
          <t>ParentRelationType</t>
        </is>
      </c>
      <c r="C7724" s="24" t="inlineStr">
        <is>
          <t>与父成员关系</t>
        </is>
      </c>
      <c r="D7724" s="24" t="inlineStr">
        <is>
          <t>0204</t>
        </is>
      </c>
      <c r="E7724" s="24" t="inlineStr">
        <is>
          <t>关系8</t>
        </is>
      </c>
    </row>
    <row r="7725">
      <c r="B7725" s="24" t="inlineStr">
        <is>
          <t>ParentRelationType</t>
        </is>
      </c>
      <c r="C7725" s="24" t="inlineStr">
        <is>
          <t>与父成员关系</t>
        </is>
      </c>
      <c r="D7725" s="24" t="inlineStr">
        <is>
          <t>09</t>
        </is>
      </c>
      <c r="E7725" s="24" t="inlineStr">
        <is>
          <t>关系99</t>
        </is>
      </c>
    </row>
    <row r="7726" ht="15.95" customHeight="1" s="170">
      <c r="B7726" s="122" t="inlineStr">
        <is>
          <t>码值：DOFilterHtmlTemplate</t>
        </is>
      </c>
    </row>
    <row r="7727">
      <c r="B7727" s="24" t="inlineStr">
        <is>
          <t>DOFilterHtmlTemplate</t>
        </is>
      </c>
      <c r="C7727" s="24" t="inlineStr">
        <is>
          <t>数据对象过滤器html模版</t>
        </is>
      </c>
      <c r="D7727" s="24" t="inlineStr">
        <is>
          <t>00</t>
        </is>
      </c>
      <c r="E7727" s="24" t="inlineStr">
        <is>
          <t>解释</t>
        </is>
      </c>
    </row>
    <row r="7728">
      <c r="B7728" s="24" t="inlineStr">
        <is>
          <t>DOFilterHtmlTemplate</t>
        </is>
      </c>
      <c r="C7728" s="24" t="inlineStr">
        <is>
          <t>数据对象过滤器html模版</t>
        </is>
      </c>
      <c r="D7728" s="24" t="inlineStr">
        <is>
          <t>Date</t>
        </is>
      </c>
      <c r="E7728" s="24" t="inlineStr">
        <is>
          <t>日期</t>
        </is>
      </c>
    </row>
    <row r="7729">
      <c r="B7729" s="24" t="inlineStr">
        <is>
          <t>DOFilterHtmlTemplate</t>
        </is>
      </c>
      <c r="C7729" s="24" t="inlineStr">
        <is>
          <t>数据对象过滤器html模版</t>
        </is>
      </c>
      <c r="D7729" s="24" t="inlineStr">
        <is>
          <t>DropDownSelect</t>
        </is>
      </c>
      <c r="E7729" s="24" t="inlineStr">
        <is>
          <t>下拉选择</t>
        </is>
      </c>
    </row>
    <row r="7730">
      <c r="B7730" s="24" t="inlineStr">
        <is>
          <t>DOFilterHtmlTemplate</t>
        </is>
      </c>
      <c r="C7730" s="24" t="inlineStr">
        <is>
          <t>数据对象过滤器html模版</t>
        </is>
      </c>
      <c r="D7730" s="24" t="inlineStr">
        <is>
          <t>Number</t>
        </is>
      </c>
      <c r="E7730" s="24" t="inlineStr">
        <is>
          <t>数字</t>
        </is>
      </c>
    </row>
    <row r="7731">
      <c r="B7731" s="24" t="inlineStr">
        <is>
          <t>DOFilterHtmlTemplate</t>
        </is>
      </c>
      <c r="C7731" s="24" t="inlineStr">
        <is>
          <t>数据对象过滤器html模版</t>
        </is>
      </c>
      <c r="D7731" s="24" t="inlineStr">
        <is>
          <t>PopSelect</t>
        </is>
      </c>
      <c r="E7731" s="24" t="inlineStr">
        <is>
          <t>弹出选择</t>
        </is>
      </c>
    </row>
    <row r="7732">
      <c r="B7732" s="24" t="inlineStr">
        <is>
          <t>DOFilterHtmlTemplate</t>
        </is>
      </c>
      <c r="C7732" s="24" t="inlineStr">
        <is>
          <t>数据对象过滤器html模版</t>
        </is>
      </c>
      <c r="D7732" s="24" t="inlineStr">
        <is>
          <t>String</t>
        </is>
      </c>
      <c r="E7732" s="24" t="inlineStr">
        <is>
          <t>字符串</t>
        </is>
      </c>
    </row>
    <row r="7733" ht="15.95" customHeight="1" s="170">
      <c r="B7733" s="122" t="inlineStr">
        <is>
          <t>码值：固定经营场所</t>
        </is>
      </c>
    </row>
    <row r="7734">
      <c r="B7734" s="24" t="inlineStr">
        <is>
          <t>固定经营场所</t>
        </is>
      </c>
      <c r="C7734" s="24" t="inlineStr">
        <is>
          <t>固定经营场所</t>
        </is>
      </c>
      <c r="D7734" s="24" t="inlineStr">
        <is>
          <t>1</t>
        </is>
      </c>
      <c r="E7734" s="24" t="inlineStr">
        <is>
          <t>自有且有权证</t>
        </is>
      </c>
    </row>
    <row r="7735">
      <c r="B7735" s="24" t="inlineStr">
        <is>
          <t>固定经营场所</t>
        </is>
      </c>
      <c r="C7735" s="24" t="inlineStr">
        <is>
          <t>固定经营场所</t>
        </is>
      </c>
      <c r="D7735" s="24" t="inlineStr">
        <is>
          <t>2</t>
        </is>
      </c>
      <c r="E7735" s="24" t="inlineStr">
        <is>
          <t>自有但无权证，或关联方所有</t>
        </is>
      </c>
    </row>
    <row r="7736">
      <c r="B7736" s="24" t="inlineStr">
        <is>
          <t>固定经营场所</t>
        </is>
      </c>
      <c r="C7736" s="24" t="inlineStr">
        <is>
          <t>固定经营场所</t>
        </is>
      </c>
      <c r="D7736" s="24" t="inlineStr">
        <is>
          <t>3</t>
        </is>
      </c>
      <c r="E7736" s="24" t="inlineStr">
        <is>
          <t>租赁</t>
        </is>
      </c>
    </row>
    <row r="7737">
      <c r="B7737" s="24" t="inlineStr">
        <is>
          <t>固定经营场所</t>
        </is>
      </c>
      <c r="C7737" s="24" t="inlineStr">
        <is>
          <t>固定经营场所</t>
        </is>
      </c>
      <c r="D7737" s="24" t="inlineStr">
        <is>
          <t>4</t>
        </is>
      </c>
      <c r="E7737" s="24" t="inlineStr">
        <is>
          <t>违章建筑</t>
        </is>
      </c>
    </row>
    <row r="7738" ht="15.95" customHeight="1" s="170">
      <c r="B7738" s="122" t="inlineStr">
        <is>
          <t>码值：ConfirmType</t>
        </is>
      </c>
    </row>
    <row r="7739">
      <c r="B7739" s="24" t="inlineStr">
        <is>
          <t>ConfirmType</t>
        </is>
      </c>
      <c r="C7739" s="24" t="inlineStr">
        <is>
          <t>核实方法</t>
        </is>
      </c>
      <c r="D7739" s="24" t="inlineStr">
        <is>
          <t>01</t>
        </is>
      </c>
      <c r="E7739" s="24" t="inlineStr">
        <is>
          <t>实地考察</t>
        </is>
      </c>
    </row>
    <row r="7740">
      <c r="B7740" s="24" t="inlineStr">
        <is>
          <t>ConfirmType</t>
        </is>
      </c>
      <c r="C7740" s="24" t="inlineStr">
        <is>
          <t>核实方法</t>
        </is>
      </c>
      <c r="D7740" s="24" t="inlineStr">
        <is>
          <t>02</t>
        </is>
      </c>
      <c r="E7740" s="24" t="inlineStr">
        <is>
          <t>电话联系</t>
        </is>
      </c>
    </row>
    <row r="7741">
      <c r="B7741" s="24" t="inlineStr">
        <is>
          <t>ConfirmType</t>
        </is>
      </c>
      <c r="C7741" s="24" t="inlineStr">
        <is>
          <t>核实方法</t>
        </is>
      </c>
      <c r="D7741" s="24" t="inlineStr">
        <is>
          <t>99</t>
        </is>
      </c>
      <c r="E7741" s="24" t="inlineStr">
        <is>
          <t>其他</t>
        </is>
      </c>
    </row>
    <row r="7742" ht="15.95" customHeight="1" s="170">
      <c r="B7742" s="122" t="inlineStr">
        <is>
          <t>码值：EffStatus</t>
        </is>
      </c>
    </row>
    <row r="7743">
      <c r="B7743" s="24" t="inlineStr">
        <is>
          <t>EffStatus</t>
        </is>
      </c>
      <c r="C7743" s="24" t="inlineStr">
        <is>
          <t>生效</t>
        </is>
      </c>
      <c r="D7743" s="24" t="inlineStr">
        <is>
          <t>1</t>
        </is>
      </c>
      <c r="E7743" s="24" t="inlineStr">
        <is>
          <t>有效</t>
        </is>
      </c>
    </row>
    <row r="7744">
      <c r="B7744" s="24" t="inlineStr">
        <is>
          <t>EffStatus</t>
        </is>
      </c>
      <c r="C7744" s="24" t="inlineStr">
        <is>
          <t>生效</t>
        </is>
      </c>
      <c r="D7744" s="24" t="inlineStr">
        <is>
          <t>2</t>
        </is>
      </c>
      <c r="E7744" s="24" t="inlineStr">
        <is>
          <t>无效</t>
        </is>
      </c>
    </row>
    <row r="7745" ht="15.95" customHeight="1" s="170">
      <c r="B7745" s="122" t="inlineStr">
        <is>
          <t>码值：企业产权制度</t>
        </is>
      </c>
    </row>
    <row r="7746">
      <c r="B7746" s="24" t="inlineStr">
        <is>
          <t>企业产权制度</t>
        </is>
      </c>
      <c r="C7746" s="24" t="inlineStr">
        <is>
          <t>企业产权制度</t>
        </is>
      </c>
      <c r="D7746" s="24" t="inlineStr">
        <is>
          <t>1</t>
        </is>
      </c>
      <c r="E7746" s="24" t="inlineStr">
        <is>
          <t>500强企业在华投资或外方投资额在2000万美金以上</t>
        </is>
      </c>
    </row>
    <row r="7747">
      <c r="B7747" s="24" t="inlineStr">
        <is>
          <t>企业产权制度</t>
        </is>
      </c>
      <c r="C7747" s="24" t="inlineStr">
        <is>
          <t>企业产权制度</t>
        </is>
      </c>
      <c r="D7747" s="24" t="inlineStr">
        <is>
          <t>2</t>
        </is>
      </c>
      <c r="E7747" s="24" t="inlineStr">
        <is>
          <t>上市股份有限公司</t>
        </is>
      </c>
    </row>
    <row r="7748">
      <c r="B7748" s="24" t="inlineStr">
        <is>
          <t>企业产权制度</t>
        </is>
      </c>
      <c r="C7748" s="24" t="inlineStr">
        <is>
          <t>企业产权制度</t>
        </is>
      </c>
      <c r="D7748" s="24" t="inlineStr">
        <is>
          <t>3</t>
        </is>
      </c>
      <c r="E7748" s="24" t="inlineStr">
        <is>
          <t>未上市股份有限公司</t>
        </is>
      </c>
    </row>
    <row r="7749">
      <c r="B7749" s="24" t="inlineStr">
        <is>
          <t>企业产权制度</t>
        </is>
      </c>
      <c r="C7749" s="24" t="inlineStr">
        <is>
          <t>企业产权制度</t>
        </is>
      </c>
      <c r="D7749" s="24" t="inlineStr">
        <is>
          <t>4</t>
        </is>
      </c>
      <c r="E7749" s="24" t="inlineStr">
        <is>
          <t>有限责任公司</t>
        </is>
      </c>
    </row>
    <row r="7750">
      <c r="B7750" s="24" t="inlineStr">
        <is>
          <t>企业产权制度</t>
        </is>
      </c>
      <c r="C7750" s="24" t="inlineStr">
        <is>
          <t>企业产权制度</t>
        </is>
      </c>
      <c r="D7750" s="24" t="inlineStr">
        <is>
          <t>5</t>
        </is>
      </c>
      <c r="E7750" s="24" t="inlineStr">
        <is>
          <t>未经股份制改造的国有企业</t>
        </is>
      </c>
    </row>
    <row r="7751">
      <c r="B7751" s="24" t="inlineStr">
        <is>
          <t>企业产权制度</t>
        </is>
      </c>
      <c r="C7751" s="24" t="inlineStr">
        <is>
          <t>企业产权制度</t>
        </is>
      </c>
      <c r="D7751" s="24" t="inlineStr">
        <is>
          <t>6</t>
        </is>
      </c>
      <c r="E7751" s="24" t="inlineStr">
        <is>
          <t>其他</t>
        </is>
      </c>
    </row>
    <row r="7752" ht="15.95" customHeight="1" s="170">
      <c r="B7752" s="122" t="inlineStr">
        <is>
          <t>码值：行业展望</t>
        </is>
      </c>
    </row>
    <row r="7753">
      <c r="B7753" s="24" t="inlineStr">
        <is>
          <t>行业展望</t>
        </is>
      </c>
      <c r="C7753" s="24" t="inlineStr">
        <is>
          <t>行业展望</t>
        </is>
      </c>
      <c r="D7753" s="24" t="inlineStr">
        <is>
          <t>01</t>
        </is>
      </c>
      <c r="E7753" s="24" t="inlineStr">
        <is>
          <t>新兴的萌芽期行业</t>
        </is>
      </c>
    </row>
    <row r="7754">
      <c r="B7754" s="24" t="inlineStr">
        <is>
          <t>行业展望</t>
        </is>
      </c>
      <c r="C7754" s="24" t="inlineStr">
        <is>
          <t>行业展望</t>
        </is>
      </c>
      <c r="D7754" s="24" t="inlineStr">
        <is>
          <t>02</t>
        </is>
      </c>
      <c r="E7754" s="24" t="inlineStr">
        <is>
          <t>早期高增长行业</t>
        </is>
      </c>
    </row>
    <row r="7755">
      <c r="B7755" s="24" t="inlineStr">
        <is>
          <t>行业展望</t>
        </is>
      </c>
      <c r="C7755" s="24" t="inlineStr">
        <is>
          <t>行业展望</t>
        </is>
      </c>
      <c r="D7755" s="24" t="inlineStr">
        <is>
          <t>03</t>
        </is>
      </c>
      <c r="E7755" s="24" t="inlineStr">
        <is>
          <t>趋于成熟的高增长行业</t>
        </is>
      </c>
    </row>
    <row r="7756">
      <c r="B7756" s="24" t="inlineStr">
        <is>
          <t>行业展望</t>
        </is>
      </c>
      <c r="C7756" s="24" t="inlineStr">
        <is>
          <t>行业展望</t>
        </is>
      </c>
      <c r="D7756" s="24" t="inlineStr">
        <is>
          <t>04</t>
        </is>
      </c>
      <c r="E7756" s="24" t="inlineStr">
        <is>
          <t>稳定的成熟期行业</t>
        </is>
      </c>
    </row>
    <row r="7757">
      <c r="B7757" s="24" t="inlineStr">
        <is>
          <t>行业展望</t>
        </is>
      </c>
      <c r="C7757" s="24" t="inlineStr">
        <is>
          <t>行业展望</t>
        </is>
      </c>
      <c r="D7757" s="24" t="inlineStr">
        <is>
          <t>05</t>
        </is>
      </c>
      <c r="E7757" s="24" t="inlineStr">
        <is>
          <t>衰退期行业</t>
        </is>
      </c>
    </row>
    <row r="7758">
      <c r="B7758" s="24" t="inlineStr">
        <is>
          <t>行业展望</t>
        </is>
      </c>
      <c r="C7758" s="24" t="inlineStr">
        <is>
          <t>行业展望</t>
        </is>
      </c>
      <c r="D7758" s="24" t="inlineStr">
        <is>
          <t>06</t>
        </is>
      </c>
      <c r="E7758" s="24" t="inlineStr">
        <is>
          <t>所处行业正进行重大转变</t>
        </is>
      </c>
    </row>
    <row r="7759" ht="15.95" customHeight="1" s="170">
      <c r="B7759" s="122" t="inlineStr">
        <is>
          <t>码值：DocOriginal</t>
        </is>
      </c>
    </row>
    <row r="7760">
      <c r="B7760" s="24" t="inlineStr">
        <is>
          <t>DocOriginal</t>
        </is>
      </c>
      <c r="C7760" s="24" t="inlineStr">
        <is>
          <t>文件类型</t>
        </is>
      </c>
      <c r="D7760" s="24" t="inlineStr">
        <is>
          <t>010</t>
        </is>
      </c>
      <c r="E7760" s="24" t="inlineStr">
        <is>
          <t>原件</t>
        </is>
      </c>
    </row>
    <row r="7761">
      <c r="B7761" s="24" t="inlineStr">
        <is>
          <t>DocOriginal</t>
        </is>
      </c>
      <c r="C7761" s="24" t="inlineStr">
        <is>
          <t>文件类型</t>
        </is>
      </c>
      <c r="D7761" s="24" t="inlineStr">
        <is>
          <t>020</t>
        </is>
      </c>
      <c r="E7761" s="24" t="inlineStr">
        <is>
          <t>扫描件</t>
        </is>
      </c>
    </row>
    <row r="7762" ht="15.95" customHeight="1" s="170">
      <c r="B7762" s="122" t="inlineStr">
        <is>
          <t>码值：婚姻状况</t>
        </is>
      </c>
    </row>
    <row r="7763">
      <c r="B7763" s="24" t="inlineStr">
        <is>
          <t>婚姻状况</t>
        </is>
      </c>
      <c r="C7763" s="24" t="inlineStr">
        <is>
          <t>婚姻状况</t>
        </is>
      </c>
      <c r="D7763" s="24" t="inlineStr">
        <is>
          <t>1</t>
        </is>
      </c>
      <c r="E7763" s="24" t="inlineStr">
        <is>
          <t>未婚</t>
        </is>
      </c>
    </row>
    <row r="7764">
      <c r="B7764" s="24" t="inlineStr">
        <is>
          <t>婚姻状况</t>
        </is>
      </c>
      <c r="C7764" s="24" t="inlineStr">
        <is>
          <t>婚姻状况</t>
        </is>
      </c>
      <c r="D7764" s="24" t="inlineStr">
        <is>
          <t>2</t>
        </is>
      </c>
      <c r="E7764" s="24" t="inlineStr">
        <is>
          <t>已婚无子女</t>
        </is>
      </c>
    </row>
    <row r="7765">
      <c r="B7765" s="24" t="inlineStr">
        <is>
          <t>婚姻状况</t>
        </is>
      </c>
      <c r="C7765" s="24" t="inlineStr">
        <is>
          <t>婚姻状况</t>
        </is>
      </c>
      <c r="D7765" s="24" t="inlineStr">
        <is>
          <t>3</t>
        </is>
      </c>
      <c r="E7765" s="24" t="inlineStr">
        <is>
          <t>已婚且有子女</t>
        </is>
      </c>
    </row>
    <row r="7766">
      <c r="B7766" s="24" t="inlineStr">
        <is>
          <t>婚姻状况</t>
        </is>
      </c>
      <c r="C7766" s="24" t="inlineStr">
        <is>
          <t>婚姻状况</t>
        </is>
      </c>
      <c r="D7766" s="24" t="inlineStr">
        <is>
          <t>4</t>
        </is>
      </c>
      <c r="E7766" s="24" t="inlineStr">
        <is>
          <t>其它</t>
        </is>
      </c>
    </row>
    <row r="7767" ht="15.95" customHeight="1" s="170">
      <c r="B7767" s="122" t="inlineStr">
        <is>
          <t>码值：Behave</t>
        </is>
      </c>
    </row>
    <row r="7768">
      <c r="B7768" s="24" t="inlineStr">
        <is>
          <t>Behave</t>
        </is>
      </c>
      <c r="C7768" s="24" t="inlineStr">
        <is>
          <t>社会表现</t>
        </is>
      </c>
      <c r="D7768" s="24" t="inlineStr">
        <is>
          <t>010</t>
        </is>
      </c>
      <c r="E7768" s="24" t="inlineStr">
        <is>
          <t>优良</t>
        </is>
      </c>
    </row>
    <row r="7769">
      <c r="B7769" s="24" t="inlineStr">
        <is>
          <t>Behave</t>
        </is>
      </c>
      <c r="C7769" s="24" t="inlineStr">
        <is>
          <t>社会表现</t>
        </is>
      </c>
      <c r="D7769" s="24" t="inlineStr">
        <is>
          <t>020</t>
        </is>
      </c>
      <c r="E7769" s="24" t="inlineStr">
        <is>
          <t>一般</t>
        </is>
      </c>
    </row>
    <row r="7770">
      <c r="B7770" s="24" t="inlineStr">
        <is>
          <t>Behave</t>
        </is>
      </c>
      <c r="C7770" s="24" t="inlineStr">
        <is>
          <t>社会表现</t>
        </is>
      </c>
      <c r="D7770" s="24" t="inlineStr">
        <is>
          <t>030</t>
        </is>
      </c>
      <c r="E7770" s="24" t="inlineStr">
        <is>
          <t>差</t>
        </is>
      </c>
    </row>
    <row r="7771" ht="15.95" customHeight="1" s="170">
      <c r="B7771" s="122" t="inlineStr">
        <is>
          <t>码值：重要程度</t>
        </is>
      </c>
    </row>
    <row r="7772">
      <c r="B7772" s="24" t="inlineStr">
        <is>
          <t>重要程度</t>
        </is>
      </c>
      <c r="C7772" s="24" t="inlineStr">
        <is>
          <t>重要程度</t>
        </is>
      </c>
      <c r="D7772" s="24" t="inlineStr">
        <is>
          <t>01</t>
        </is>
      </c>
      <c r="E7772" s="24" t="inlineStr">
        <is>
          <t>在其服务区域是其销售商品的独家销售渠道，或者是其服务区域内下游市场客户的首选购买渠道</t>
        </is>
      </c>
    </row>
    <row r="7773">
      <c r="B7773" s="24" t="inlineStr">
        <is>
          <t>重要程度</t>
        </is>
      </c>
      <c r="C7773" s="24" t="inlineStr">
        <is>
          <t>重要程度</t>
        </is>
      </c>
      <c r="D7773" s="24" t="inlineStr">
        <is>
          <t>02</t>
        </is>
      </c>
      <c r="E7773" s="24" t="inlineStr">
        <is>
          <t>在其服务区域是其销售商品的主要销售渠道（排名前三），或者是其服务区域内下游市场客户的优先购买渠道（排名前三）</t>
        </is>
      </c>
    </row>
    <row r="7774">
      <c r="B7774" s="24" t="inlineStr">
        <is>
          <t>重要程度</t>
        </is>
      </c>
      <c r="C7774" s="24" t="inlineStr">
        <is>
          <t>重要程度</t>
        </is>
      </c>
      <c r="D7774" s="24" t="inlineStr">
        <is>
          <t>03</t>
        </is>
      </c>
      <c r="E7774" s="24" t="inlineStr">
        <is>
          <t>在其服务区域是其销售商品的普通销售渠道，或者是其服务区域内下游市场客户的普通购买渠道</t>
        </is>
      </c>
    </row>
    <row r="7775">
      <c r="B7775" s="24" t="inlineStr">
        <is>
          <t>重要程度</t>
        </is>
      </c>
      <c r="C7775" s="24" t="inlineStr">
        <is>
          <t>重要程度</t>
        </is>
      </c>
      <c r="D7775" s="24" t="inlineStr">
        <is>
          <t>04</t>
        </is>
      </c>
      <c r="E7775" s="24" t="inlineStr">
        <is>
          <t>在其服务区域是其销售商品的新加入销售渠道</t>
        </is>
      </c>
    </row>
    <row r="7776">
      <c r="B7776" s="24" t="inlineStr">
        <is>
          <t>重要程度</t>
        </is>
      </c>
      <c r="C7776" s="24" t="inlineStr">
        <is>
          <t>重要程度</t>
        </is>
      </c>
      <c r="D7776" s="24" t="inlineStr">
        <is>
          <t>05</t>
        </is>
      </c>
      <c r="E7776" s="24" t="inlineStr">
        <is>
          <t>答案难以判断</t>
        </is>
      </c>
    </row>
    <row r="7777" ht="15.95" customHeight="1" s="170">
      <c r="B7777" s="122" t="inlineStr">
        <is>
          <t>码值：TurnOverSpeed</t>
        </is>
      </c>
    </row>
    <row r="7778">
      <c r="B7778" s="24" t="inlineStr">
        <is>
          <t>TurnOverSpeed</t>
        </is>
      </c>
      <c r="C7778" s="24" t="inlineStr">
        <is>
          <t>信用等级评估统一导入</t>
        </is>
      </c>
      <c r="D7778" s="24" t="inlineStr">
        <is>
          <t>01</t>
        </is>
      </c>
      <c r="E7778" s="24" t="inlineStr">
        <is>
          <t>快</t>
        </is>
      </c>
    </row>
    <row r="7779">
      <c r="B7779" s="24" t="inlineStr">
        <is>
          <t>TurnOverSpeed</t>
        </is>
      </c>
      <c r="C7779" s="24" t="inlineStr">
        <is>
          <t>信用等级评估统一导入</t>
        </is>
      </c>
      <c r="D7779" s="24" t="inlineStr">
        <is>
          <t>02</t>
        </is>
      </c>
      <c r="E7779" s="24" t="inlineStr">
        <is>
          <t>一般</t>
        </is>
      </c>
    </row>
    <row r="7780">
      <c r="B7780" s="24" t="inlineStr">
        <is>
          <t>TurnOverSpeed</t>
        </is>
      </c>
      <c r="C7780" s="24" t="inlineStr">
        <is>
          <t>信用等级评估统一导入</t>
        </is>
      </c>
      <c r="D7780" s="24" t="inlineStr">
        <is>
          <t>03</t>
        </is>
      </c>
      <c r="E7780" s="24" t="inlineStr">
        <is>
          <t>慢</t>
        </is>
      </c>
    </row>
    <row r="7781" ht="15.95" customHeight="1" s="170">
      <c r="B7781" s="122" t="inlineStr">
        <is>
          <t>码值：基础设施</t>
        </is>
      </c>
    </row>
    <row r="7782">
      <c r="B7782" s="24" t="inlineStr">
        <is>
          <t>基础设施</t>
        </is>
      </c>
      <c r="C7782" s="24" t="inlineStr">
        <is>
          <t>基础设施</t>
        </is>
      </c>
      <c r="D7782" s="24" t="inlineStr">
        <is>
          <t>1</t>
        </is>
      </c>
      <c r="E7782" s="24" t="inlineStr">
        <is>
          <t>完善</t>
        </is>
      </c>
    </row>
    <row r="7783">
      <c r="B7783" s="24" t="inlineStr">
        <is>
          <t>基础设施</t>
        </is>
      </c>
      <c r="C7783" s="24" t="inlineStr">
        <is>
          <t>基础设施</t>
        </is>
      </c>
      <c r="D7783" s="24" t="inlineStr">
        <is>
          <t>2</t>
        </is>
      </c>
      <c r="E7783" s="24" t="inlineStr">
        <is>
          <t>较完善</t>
        </is>
      </c>
    </row>
    <row r="7784">
      <c r="B7784" s="24" t="inlineStr">
        <is>
          <t>基础设施</t>
        </is>
      </c>
      <c r="C7784" s="24" t="inlineStr">
        <is>
          <t>基础设施</t>
        </is>
      </c>
      <c r="D7784" s="24" t="inlineStr">
        <is>
          <t>3</t>
        </is>
      </c>
      <c r="E7784" s="24" t="inlineStr">
        <is>
          <t>较差</t>
        </is>
      </c>
    </row>
    <row r="7785" ht="15.95" customHeight="1" s="170">
      <c r="B7785" s="122" t="inlineStr">
        <is>
          <t>码值：OtherBusinessType</t>
        </is>
      </c>
    </row>
    <row r="7786">
      <c r="B7786" s="24" t="inlineStr">
        <is>
          <t>OtherBusinessType</t>
        </is>
      </c>
      <c r="C7786" s="24" t="inlineStr">
        <is>
          <t>他行业务品种</t>
        </is>
      </c>
      <c r="D7786" s="24" t="inlineStr">
        <is>
          <t>01</t>
        </is>
      </c>
      <c r="E7786" s="24" t="inlineStr">
        <is>
          <t>授信额度</t>
        </is>
      </c>
    </row>
    <row r="7787">
      <c r="B7787" s="24" t="inlineStr">
        <is>
          <t>OtherBusinessType</t>
        </is>
      </c>
      <c r="C7787" s="24" t="inlineStr">
        <is>
          <t>他行业务品种</t>
        </is>
      </c>
      <c r="D7787" s="24" t="inlineStr">
        <is>
          <t>02</t>
        </is>
      </c>
      <c r="E7787" s="24" t="inlineStr">
        <is>
          <t>贷款</t>
        </is>
      </c>
    </row>
    <row r="7788">
      <c r="B7788" s="24" t="inlineStr">
        <is>
          <t>OtherBusinessType</t>
        </is>
      </c>
      <c r="C7788" s="24" t="inlineStr">
        <is>
          <t>他行业务品种</t>
        </is>
      </c>
      <c r="D7788" s="24" t="inlineStr">
        <is>
          <t>03</t>
        </is>
      </c>
      <c r="E7788" s="24" t="inlineStr">
        <is>
          <t>承兑</t>
        </is>
      </c>
    </row>
    <row r="7789">
      <c r="B7789" s="24" t="inlineStr">
        <is>
          <t>OtherBusinessType</t>
        </is>
      </c>
      <c r="C7789" s="24" t="inlineStr">
        <is>
          <t>他行业务品种</t>
        </is>
      </c>
      <c r="D7789" s="24" t="inlineStr">
        <is>
          <t>04</t>
        </is>
      </c>
      <c r="E7789" s="24" t="inlineStr">
        <is>
          <t>银票贴现</t>
        </is>
      </c>
    </row>
    <row r="7790">
      <c r="B7790" s="24" t="inlineStr">
        <is>
          <t>OtherBusinessType</t>
        </is>
      </c>
      <c r="C7790" s="24" t="inlineStr">
        <is>
          <t>他行业务品种</t>
        </is>
      </c>
      <c r="D7790" s="24" t="inlineStr">
        <is>
          <t>05</t>
        </is>
      </c>
      <c r="E7790" s="24" t="inlineStr">
        <is>
          <t>商票贴现</t>
        </is>
      </c>
    </row>
    <row r="7791">
      <c r="B7791" s="24" t="inlineStr">
        <is>
          <t>OtherBusinessType</t>
        </is>
      </c>
      <c r="C7791" s="24" t="inlineStr">
        <is>
          <t>他行业务品种</t>
        </is>
      </c>
      <c r="D7791" s="24" t="inlineStr">
        <is>
          <t>06</t>
        </is>
      </c>
      <c r="E7791" s="24" t="inlineStr">
        <is>
          <t>保函</t>
        </is>
      </c>
    </row>
    <row r="7792">
      <c r="B7792" s="24" t="inlineStr">
        <is>
          <t>OtherBusinessType</t>
        </is>
      </c>
      <c r="C7792" s="24" t="inlineStr">
        <is>
          <t>他行业务品种</t>
        </is>
      </c>
      <c r="D7792" s="24" t="inlineStr">
        <is>
          <t>07</t>
        </is>
      </c>
      <c r="E7792" s="24" t="inlineStr">
        <is>
          <t>国际贸易融资</t>
        </is>
      </c>
    </row>
    <row r="7793">
      <c r="B7793" s="24" t="inlineStr">
        <is>
          <t>OtherBusinessType</t>
        </is>
      </c>
      <c r="C7793" s="24" t="inlineStr">
        <is>
          <t>他行业务品种</t>
        </is>
      </c>
      <c r="D7793" s="24" t="inlineStr">
        <is>
          <t>08</t>
        </is>
      </c>
      <c r="E7793" s="24" t="inlineStr">
        <is>
          <t>对外担保</t>
        </is>
      </c>
    </row>
    <row r="7794">
      <c r="B7794" s="24" t="inlineStr">
        <is>
          <t>OtherBusinessType</t>
        </is>
      </c>
      <c r="C7794" s="24" t="inlineStr">
        <is>
          <t>他行业务品种</t>
        </is>
      </c>
      <c r="D7794" s="24" t="inlineStr">
        <is>
          <t>09</t>
        </is>
      </c>
      <c r="E7794" s="24" t="inlineStr">
        <is>
          <t>其它</t>
        </is>
      </c>
    </row>
    <row r="7795" ht="15.95" customHeight="1" s="170">
      <c r="B7795" s="122" t="inlineStr">
        <is>
          <t>码值：TRADESTATUS</t>
        </is>
      </c>
    </row>
    <row r="7796">
      <c r="B7796" s="24" t="inlineStr">
        <is>
          <t>TRADESTATUS</t>
        </is>
      </c>
      <c r="C7796" s="24" t="inlineStr">
        <is>
          <t>商业繁华度</t>
        </is>
      </c>
      <c r="D7796" s="24" t="inlineStr">
        <is>
          <t>01</t>
        </is>
      </c>
      <c r="E7796" s="24" t="inlineStr">
        <is>
          <t>繁华</t>
        </is>
      </c>
    </row>
    <row r="7797">
      <c r="B7797" s="24" t="inlineStr">
        <is>
          <t>TRADESTATUS</t>
        </is>
      </c>
      <c r="C7797" s="24" t="inlineStr">
        <is>
          <t>商业繁华度</t>
        </is>
      </c>
      <c r="D7797" s="24" t="inlineStr">
        <is>
          <t>02</t>
        </is>
      </c>
      <c r="E7797" s="24" t="inlineStr">
        <is>
          <t>普通</t>
        </is>
      </c>
    </row>
    <row r="7798">
      <c r="B7798" s="24" t="inlineStr">
        <is>
          <t>TRADESTATUS</t>
        </is>
      </c>
      <c r="C7798" s="24" t="inlineStr">
        <is>
          <t>商业繁华度</t>
        </is>
      </c>
      <c r="D7798" s="24" t="inlineStr">
        <is>
          <t>03</t>
        </is>
      </c>
      <c r="E7798" s="24" t="inlineStr">
        <is>
          <t>偏远</t>
        </is>
      </c>
    </row>
    <row r="7799" ht="15.95" customHeight="1" s="170">
      <c r="B7799" s="122" t="inlineStr">
        <is>
          <t>码值：GuarantyMain</t>
        </is>
      </c>
    </row>
    <row r="7800">
      <c r="B7800" s="24" t="inlineStr">
        <is>
          <t>GuarantyMain</t>
        </is>
      </c>
      <c r="C7800" s="24" t="inlineStr">
        <is>
          <t>担保品管理树图</t>
        </is>
      </c>
      <c r="D7800" s="24" t="inlineStr">
        <is>
          <t>010</t>
        </is>
      </c>
      <c r="E7800" s="24" t="inlineStr">
        <is>
          <t>抵押物信息</t>
        </is>
      </c>
    </row>
    <row r="7801">
      <c r="B7801" s="24" t="inlineStr">
        <is>
          <t>GuarantyMain</t>
        </is>
      </c>
      <c r="C7801" s="24" t="inlineStr">
        <is>
          <t>担保品管理树图</t>
        </is>
      </c>
      <c r="D7801" s="24" t="inlineStr">
        <is>
          <t>0100010</t>
        </is>
      </c>
      <c r="E7801" s="24" t="inlineStr">
        <is>
          <t>未入库的押品</t>
        </is>
      </c>
    </row>
    <row r="7802">
      <c r="B7802" s="24" t="inlineStr">
        <is>
          <t>GuarantyMain</t>
        </is>
      </c>
      <c r="C7802" s="24" t="inlineStr">
        <is>
          <t>担保品管理树图</t>
        </is>
      </c>
      <c r="D7802" s="24" t="inlineStr">
        <is>
          <t>0100020</t>
        </is>
      </c>
      <c r="E7802" s="24" t="inlineStr">
        <is>
          <t>已入库的押品</t>
        </is>
      </c>
    </row>
    <row r="7803">
      <c r="B7803" s="24" t="inlineStr">
        <is>
          <t>GuarantyMain</t>
        </is>
      </c>
      <c r="C7803" s="24" t="inlineStr">
        <is>
          <t>担保品管理树图</t>
        </is>
      </c>
      <c r="D7803" s="24" t="inlineStr">
        <is>
          <t>0100030</t>
        </is>
      </c>
      <c r="E7803" s="24" t="inlineStr">
        <is>
          <t>临时出库的押品</t>
        </is>
      </c>
    </row>
    <row r="7804">
      <c r="B7804" s="24" t="inlineStr">
        <is>
          <t>GuarantyMain</t>
        </is>
      </c>
      <c r="C7804" s="24" t="inlineStr">
        <is>
          <t>担保品管理树图</t>
        </is>
      </c>
      <c r="D7804" s="24" t="inlineStr">
        <is>
          <t>0100040</t>
        </is>
      </c>
      <c r="E7804" s="24" t="inlineStr">
        <is>
          <t>已出库的押品</t>
        </is>
      </c>
    </row>
    <row r="7805">
      <c r="B7805" s="24" t="inlineStr">
        <is>
          <t>GuarantyMain</t>
        </is>
      </c>
      <c r="C7805" s="24" t="inlineStr">
        <is>
          <t>担保品管理树图</t>
        </is>
      </c>
      <c r="D7805" s="24" t="inlineStr">
        <is>
          <t>010009</t>
        </is>
      </c>
      <c r="E7805" s="24" t="inlineStr">
        <is>
          <t>不应入库的抵押物</t>
        </is>
      </c>
    </row>
    <row r="7806">
      <c r="B7806" s="24" t="inlineStr">
        <is>
          <t>GuarantyMain</t>
        </is>
      </c>
      <c r="C7806" s="24" t="inlineStr">
        <is>
          <t>担保品管理树图</t>
        </is>
      </c>
      <c r="D7806" s="24" t="inlineStr">
        <is>
          <t>010010</t>
        </is>
      </c>
      <c r="E7806" s="24" t="inlineStr">
        <is>
          <t>未入库的抵押物</t>
        </is>
      </c>
    </row>
    <row r="7807">
      <c r="B7807" s="24" t="inlineStr">
        <is>
          <t>GuarantyMain</t>
        </is>
      </c>
      <c r="C7807" s="24" t="inlineStr">
        <is>
          <t>担保品管理树图</t>
        </is>
      </c>
      <c r="D7807" s="24" t="inlineStr">
        <is>
          <t>010020</t>
        </is>
      </c>
      <c r="E7807" s="24" t="inlineStr">
        <is>
          <t>已入库的抵押物</t>
        </is>
      </c>
    </row>
    <row r="7808">
      <c r="B7808" s="24" t="inlineStr">
        <is>
          <t>GuarantyMain</t>
        </is>
      </c>
      <c r="C7808" s="24" t="inlineStr">
        <is>
          <t>担保品管理树图</t>
        </is>
      </c>
      <c r="D7808" s="24" t="inlineStr">
        <is>
          <t>010030</t>
        </is>
      </c>
      <c r="E7808" s="24" t="inlineStr">
        <is>
          <t>临时出库的抵押物</t>
        </is>
      </c>
    </row>
    <row r="7809">
      <c r="B7809" s="24" t="inlineStr">
        <is>
          <t>GuarantyMain</t>
        </is>
      </c>
      <c r="C7809" s="24" t="inlineStr">
        <is>
          <t>担保品管理树图</t>
        </is>
      </c>
      <c r="D7809" s="24" t="inlineStr">
        <is>
          <t>010040</t>
        </is>
      </c>
      <c r="E7809" s="24" t="inlineStr">
        <is>
          <t>已出库的抵押物</t>
        </is>
      </c>
    </row>
    <row r="7810">
      <c r="B7810" s="24" t="inlineStr">
        <is>
          <t>GuarantyMain</t>
        </is>
      </c>
      <c r="C7810" s="24" t="inlineStr">
        <is>
          <t>担保品管理树图</t>
        </is>
      </c>
      <c r="D7810" s="24" t="inlineStr">
        <is>
          <t>020</t>
        </is>
      </c>
      <c r="E7810" s="24" t="inlineStr">
        <is>
          <t>质物信息</t>
        </is>
      </c>
    </row>
    <row r="7811">
      <c r="B7811" s="24" t="inlineStr">
        <is>
          <t>GuarantyMain</t>
        </is>
      </c>
      <c r="C7811" s="24" t="inlineStr">
        <is>
          <t>担保品管理树图</t>
        </is>
      </c>
      <c r="D7811" s="24" t="inlineStr">
        <is>
          <t>020010</t>
        </is>
      </c>
      <c r="E7811" s="24" t="inlineStr">
        <is>
          <t>未入库的质物</t>
        </is>
      </c>
    </row>
    <row r="7812">
      <c r="B7812" s="24" t="inlineStr">
        <is>
          <t>GuarantyMain</t>
        </is>
      </c>
      <c r="C7812" s="24" t="inlineStr">
        <is>
          <t>担保品管理树图</t>
        </is>
      </c>
      <c r="D7812" s="24" t="inlineStr">
        <is>
          <t>020020</t>
        </is>
      </c>
      <c r="E7812" s="24" t="inlineStr">
        <is>
          <t>已入库的质物</t>
        </is>
      </c>
    </row>
    <row r="7813">
      <c r="B7813" s="24" t="inlineStr">
        <is>
          <t>GuarantyMain</t>
        </is>
      </c>
      <c r="C7813" s="24" t="inlineStr">
        <is>
          <t>担保品管理树图</t>
        </is>
      </c>
      <c r="D7813" s="24" t="inlineStr">
        <is>
          <t>020030</t>
        </is>
      </c>
      <c r="E7813" s="24" t="inlineStr">
        <is>
          <t>临时出库的质物</t>
        </is>
      </c>
    </row>
    <row r="7814">
      <c r="B7814" s="24" t="inlineStr">
        <is>
          <t>GuarantyMain</t>
        </is>
      </c>
      <c r="C7814" s="24" t="inlineStr">
        <is>
          <t>担保品管理树图</t>
        </is>
      </c>
      <c r="D7814" s="24" t="inlineStr">
        <is>
          <t>020040</t>
        </is>
      </c>
      <c r="E7814" s="24" t="inlineStr">
        <is>
          <t>已出库的质物</t>
        </is>
      </c>
    </row>
    <row r="7815" ht="15.95" customHeight="1" s="170">
      <c r="B7815" s="122" t="inlineStr">
        <is>
          <t>码值：Marriage</t>
        </is>
      </c>
    </row>
    <row r="7816">
      <c r="B7816" s="24" t="inlineStr">
        <is>
          <t>Marriage</t>
        </is>
      </c>
      <c r="C7816" s="24" t="inlineStr">
        <is>
          <t>婚姻状况</t>
        </is>
      </c>
      <c r="D7816" s="24" t="inlineStr">
        <is>
          <t>10</t>
        </is>
      </c>
      <c r="E7816" s="24" t="inlineStr">
        <is>
          <t>未婚</t>
        </is>
      </c>
    </row>
    <row r="7817">
      <c r="B7817" s="24" t="inlineStr">
        <is>
          <t>Marriage</t>
        </is>
      </c>
      <c r="C7817" s="24" t="inlineStr">
        <is>
          <t>婚姻状况</t>
        </is>
      </c>
      <c r="D7817" s="24" t="inlineStr">
        <is>
          <t>20</t>
        </is>
      </c>
      <c r="E7817" s="24" t="inlineStr">
        <is>
          <t>已婚无子女</t>
        </is>
      </c>
    </row>
    <row r="7818">
      <c r="B7818" s="24" t="inlineStr">
        <is>
          <t>Marriage</t>
        </is>
      </c>
      <c r="C7818" s="24" t="inlineStr">
        <is>
          <t>婚姻状况</t>
        </is>
      </c>
      <c r="D7818" s="24" t="inlineStr">
        <is>
          <t>21</t>
        </is>
      </c>
      <c r="E7818" s="24" t="inlineStr">
        <is>
          <t>已婚且有子女</t>
        </is>
      </c>
    </row>
    <row r="7819">
      <c r="B7819" s="24" t="inlineStr">
        <is>
          <t>Marriage</t>
        </is>
      </c>
      <c r="C7819" s="24" t="inlineStr">
        <is>
          <t>婚姻状况</t>
        </is>
      </c>
      <c r="D7819" s="24" t="inlineStr">
        <is>
          <t>22</t>
        </is>
      </c>
      <c r="E7819" s="24" t="inlineStr">
        <is>
          <t>离异</t>
        </is>
      </c>
    </row>
    <row r="7820">
      <c r="B7820" s="24" t="inlineStr">
        <is>
          <t>Marriage</t>
        </is>
      </c>
      <c r="C7820" s="24" t="inlineStr">
        <is>
          <t>婚姻状况</t>
        </is>
      </c>
      <c r="D7820" s="24" t="inlineStr">
        <is>
          <t>23</t>
        </is>
      </c>
      <c r="E7820" s="24" t="inlineStr">
        <is>
          <t>复婚</t>
        </is>
      </c>
    </row>
    <row r="7821">
      <c r="B7821" s="24" t="inlineStr">
        <is>
          <t>Marriage</t>
        </is>
      </c>
      <c r="C7821" s="24" t="inlineStr">
        <is>
          <t>婚姻状况</t>
        </is>
      </c>
      <c r="D7821" s="24" t="inlineStr">
        <is>
          <t>30</t>
        </is>
      </c>
      <c r="E7821" s="24" t="inlineStr">
        <is>
          <t>丧偶</t>
        </is>
      </c>
    </row>
    <row r="7822">
      <c r="B7822" s="24" t="inlineStr">
        <is>
          <t>Marriage</t>
        </is>
      </c>
      <c r="C7822" s="24" t="inlineStr">
        <is>
          <t>婚姻状况</t>
        </is>
      </c>
      <c r="D7822" s="24" t="inlineStr">
        <is>
          <t>40</t>
        </is>
      </c>
      <c r="E7822" s="24" t="inlineStr">
        <is>
          <t>离婚</t>
        </is>
      </c>
    </row>
    <row r="7823">
      <c r="B7823" s="24" t="inlineStr">
        <is>
          <t>Marriage</t>
        </is>
      </c>
      <c r="C7823" s="24" t="inlineStr">
        <is>
          <t>婚姻状况</t>
        </is>
      </c>
      <c r="D7823" s="24" t="inlineStr">
        <is>
          <t>90</t>
        </is>
      </c>
      <c r="E7823" s="24" t="inlineStr">
        <is>
          <t>未说明</t>
        </is>
      </c>
    </row>
    <row r="7824" ht="15.95" customHeight="1" s="170">
      <c r="B7824" s="122" t="inlineStr">
        <is>
          <t>码值：地方政府级别</t>
        </is>
      </c>
    </row>
    <row r="7825">
      <c r="B7825" s="24" t="inlineStr">
        <is>
          <t>地方政府级别</t>
        </is>
      </c>
      <c r="C7825" s="24" t="inlineStr">
        <is>
          <t>地方政府级别</t>
        </is>
      </c>
      <c r="D7825" s="24" t="inlineStr">
        <is>
          <t>01</t>
        </is>
      </c>
      <c r="E7825" s="24" t="inlineStr">
        <is>
          <t>直辖市</t>
        </is>
      </c>
    </row>
    <row r="7826">
      <c r="B7826" s="24" t="inlineStr">
        <is>
          <t>地方政府级别</t>
        </is>
      </c>
      <c r="C7826" s="24" t="inlineStr">
        <is>
          <t>地方政府级别</t>
        </is>
      </c>
      <c r="D7826" s="24" t="inlineStr">
        <is>
          <t>02</t>
        </is>
      </c>
      <c r="E7826" s="24" t="inlineStr">
        <is>
          <t>副省级及省会城市</t>
        </is>
      </c>
    </row>
    <row r="7827">
      <c r="B7827" s="24" t="inlineStr">
        <is>
          <t>地方政府级别</t>
        </is>
      </c>
      <c r="C7827" s="24" t="inlineStr">
        <is>
          <t>地方政府级别</t>
        </is>
      </c>
      <c r="D7827" s="24" t="inlineStr">
        <is>
          <t>03</t>
        </is>
      </c>
      <c r="E7827" s="24" t="inlineStr">
        <is>
          <t>地级市</t>
        </is>
      </c>
    </row>
    <row r="7828">
      <c r="B7828" s="24" t="inlineStr">
        <is>
          <t>地方政府级别</t>
        </is>
      </c>
      <c r="C7828" s="24" t="inlineStr">
        <is>
          <t>地方政府级别</t>
        </is>
      </c>
      <c r="D7828" s="24" t="inlineStr">
        <is>
          <t>04</t>
        </is>
      </c>
      <c r="E7828" s="24" t="inlineStr">
        <is>
          <t>县级市</t>
        </is>
      </c>
    </row>
    <row r="7829">
      <c r="B7829" s="24" t="inlineStr">
        <is>
          <t>地方政府级别</t>
        </is>
      </c>
      <c r="C7829" s="24" t="inlineStr">
        <is>
          <t>地方政府级别</t>
        </is>
      </c>
      <c r="D7829" s="24" t="inlineStr">
        <is>
          <t>05</t>
        </is>
      </c>
      <c r="E7829" s="24" t="inlineStr">
        <is>
          <t>乡镇政府</t>
        </is>
      </c>
    </row>
    <row r="7830" ht="15.95" customHeight="1" s="170">
      <c r="B7830" s="122" t="inlineStr">
        <is>
          <t>码值：PDAType</t>
        </is>
      </c>
    </row>
    <row r="7831">
      <c r="B7831" s="24" t="inlineStr">
        <is>
          <t>PDAType</t>
        </is>
      </c>
      <c r="C7831" s="24" t="inlineStr">
        <is>
          <t>抵债资产类型</t>
        </is>
      </c>
      <c r="D7831" s="24" t="inlineStr">
        <is>
          <t>01</t>
        </is>
      </c>
      <c r="E7831" s="24" t="inlineStr">
        <is>
          <t>房产类</t>
        </is>
      </c>
    </row>
    <row r="7832">
      <c r="B7832" s="24" t="inlineStr">
        <is>
          <t>PDAType</t>
        </is>
      </c>
      <c r="C7832" s="24" t="inlineStr">
        <is>
          <t>抵债资产类型</t>
        </is>
      </c>
      <c r="D7832" s="24" t="inlineStr">
        <is>
          <t>02</t>
        </is>
      </c>
      <c r="E7832" s="24" t="inlineStr">
        <is>
          <t>土地类</t>
        </is>
      </c>
    </row>
    <row r="7833">
      <c r="B7833" s="24" t="inlineStr">
        <is>
          <t>PDAType</t>
        </is>
      </c>
      <c r="C7833" s="24" t="inlineStr">
        <is>
          <t>抵债资产类型</t>
        </is>
      </c>
      <c r="D7833" s="24" t="inlineStr">
        <is>
          <t>03</t>
        </is>
      </c>
      <c r="E7833" s="24" t="inlineStr">
        <is>
          <t>交通运输工具类</t>
        </is>
      </c>
    </row>
    <row r="7834">
      <c r="B7834" s="24" t="inlineStr">
        <is>
          <t>PDAType</t>
        </is>
      </c>
      <c r="C7834" s="24" t="inlineStr">
        <is>
          <t>抵债资产类型</t>
        </is>
      </c>
      <c r="D7834" s="24" t="inlineStr">
        <is>
          <t>04</t>
        </is>
      </c>
      <c r="E7834" s="24" t="inlineStr">
        <is>
          <t>机器设备类</t>
        </is>
      </c>
    </row>
    <row r="7835">
      <c r="B7835" s="24" t="inlineStr">
        <is>
          <t>PDAType</t>
        </is>
      </c>
      <c r="C7835" s="24" t="inlineStr">
        <is>
          <t>抵债资产类型</t>
        </is>
      </c>
      <c r="D7835" s="24" t="inlineStr">
        <is>
          <t>05</t>
        </is>
      </c>
      <c r="E7835" s="24" t="inlineStr">
        <is>
          <t>有价证券类</t>
        </is>
      </c>
    </row>
    <row r="7836">
      <c r="B7836" s="24" t="inlineStr">
        <is>
          <t>PDAType</t>
        </is>
      </c>
      <c r="C7836" s="24" t="inlineStr">
        <is>
          <t>抵债资产类型</t>
        </is>
      </c>
      <c r="D7836" s="24" t="inlineStr">
        <is>
          <t>06</t>
        </is>
      </c>
      <c r="E7836" s="24" t="inlineStr">
        <is>
          <t>收益权类</t>
        </is>
      </c>
    </row>
    <row r="7837">
      <c r="B7837" s="24" t="inlineStr">
        <is>
          <t>PDAType</t>
        </is>
      </c>
      <c r="C7837" s="24" t="inlineStr">
        <is>
          <t>抵债资产类型</t>
        </is>
      </c>
      <c r="D7837" s="24" t="inlineStr">
        <is>
          <t>07</t>
        </is>
      </c>
      <c r="E7837" s="24" t="inlineStr">
        <is>
          <t>物资类</t>
        </is>
      </c>
    </row>
    <row r="7838">
      <c r="B7838" s="24" t="inlineStr">
        <is>
          <t>PDAType</t>
        </is>
      </c>
      <c r="C7838" s="24" t="inlineStr">
        <is>
          <t>抵债资产类型</t>
        </is>
      </c>
      <c r="D7838" s="24" t="inlineStr">
        <is>
          <t>08</t>
        </is>
      </c>
      <c r="E7838" s="24" t="inlineStr">
        <is>
          <t>其他类</t>
        </is>
      </c>
    </row>
    <row r="7839" ht="15.95" customHeight="1" s="170">
      <c r="B7839" s="122" t="inlineStr">
        <is>
          <t>码值：DunMode</t>
        </is>
      </c>
    </row>
    <row r="7840">
      <c r="B7840" s="24" t="inlineStr">
        <is>
          <t>DunMode</t>
        </is>
      </c>
      <c r="C7840" s="24" t="inlineStr">
        <is>
          <t>送达方式</t>
        </is>
      </c>
      <c r="D7840" s="24" t="inlineStr">
        <is>
          <t>01</t>
        </is>
      </c>
      <c r="E7840" s="24" t="inlineStr">
        <is>
          <t>上门送达</t>
        </is>
      </c>
    </row>
    <row r="7841">
      <c r="B7841" s="24" t="inlineStr">
        <is>
          <t>DunMode</t>
        </is>
      </c>
      <c r="C7841" s="24" t="inlineStr">
        <is>
          <t>送达方式</t>
        </is>
      </c>
      <c r="D7841" s="24" t="inlineStr">
        <is>
          <t>02</t>
        </is>
      </c>
      <c r="E7841" s="24" t="inlineStr">
        <is>
          <t>挂号邮寄</t>
        </is>
      </c>
    </row>
    <row r="7842">
      <c r="B7842" s="24" t="inlineStr">
        <is>
          <t>DunMode</t>
        </is>
      </c>
      <c r="C7842" s="24" t="inlineStr">
        <is>
          <t>送达方式</t>
        </is>
      </c>
      <c r="D7842" s="24" t="inlineStr">
        <is>
          <t>03</t>
        </is>
      </c>
      <c r="E7842" s="24" t="inlineStr">
        <is>
          <t>EMS</t>
        </is>
      </c>
    </row>
    <row r="7843">
      <c r="B7843" s="24" t="inlineStr">
        <is>
          <t>DunMode</t>
        </is>
      </c>
      <c r="C7843" s="24" t="inlineStr">
        <is>
          <t>送达方式</t>
        </is>
      </c>
      <c r="D7843" s="24" t="inlineStr">
        <is>
          <t>04</t>
        </is>
      </c>
      <c r="E7843" s="24" t="inlineStr">
        <is>
          <t>公证送达</t>
        </is>
      </c>
    </row>
    <row r="7844">
      <c r="B7844" s="24" t="inlineStr">
        <is>
          <t>DunMode</t>
        </is>
      </c>
      <c r="C7844" s="24" t="inlineStr">
        <is>
          <t>送达方式</t>
        </is>
      </c>
      <c r="D7844" s="24" t="inlineStr">
        <is>
          <t>05</t>
        </is>
      </c>
      <c r="E7844" s="24" t="inlineStr">
        <is>
          <t>其他</t>
        </is>
      </c>
    </row>
    <row r="7845" ht="15.95" customHeight="1" s="170">
      <c r="B7845" s="122" t="inlineStr">
        <is>
          <t>码值：增加的总余额比</t>
        </is>
      </c>
    </row>
    <row r="7846">
      <c r="B7846" s="24" t="inlineStr">
        <is>
          <t>增加的总余额比</t>
        </is>
      </c>
      <c r="C7846" s="24" t="inlineStr">
        <is>
          <t>增加的总余额比</t>
        </is>
      </c>
      <c r="D7846" s="24" t="inlineStr">
        <is>
          <t>1</t>
        </is>
      </c>
      <c r="E7846" s="24" t="inlineStr">
        <is>
          <t>&lt; -1.05</t>
        </is>
      </c>
    </row>
    <row r="7847">
      <c r="B7847" s="24" t="inlineStr">
        <is>
          <t>增加的总余额比</t>
        </is>
      </c>
      <c r="C7847" s="24" t="inlineStr">
        <is>
          <t>增加的总余额比</t>
        </is>
      </c>
      <c r="D7847" s="24" t="inlineStr">
        <is>
          <t>2</t>
        </is>
      </c>
      <c r="E7847" s="24" t="inlineStr">
        <is>
          <t>[-1.05,-0.95]</t>
        </is>
      </c>
    </row>
    <row r="7848">
      <c r="B7848" s="24" t="inlineStr">
        <is>
          <t>增加的总余额比</t>
        </is>
      </c>
      <c r="C7848" s="24" t="inlineStr">
        <is>
          <t>增加的总余额比</t>
        </is>
      </c>
      <c r="D7848" s="24" t="inlineStr">
        <is>
          <t>3</t>
        </is>
      </c>
      <c r="E7848" s="24" t="inlineStr">
        <is>
          <t>(-0.95,-0.05)</t>
        </is>
      </c>
    </row>
    <row r="7849">
      <c r="B7849" s="24" t="inlineStr">
        <is>
          <t>增加的总余额比</t>
        </is>
      </c>
      <c r="C7849" s="24" t="inlineStr">
        <is>
          <t>增加的总余额比</t>
        </is>
      </c>
      <c r="D7849" s="24" t="inlineStr">
        <is>
          <t>4</t>
        </is>
      </c>
      <c r="E7849" s="24" t="inlineStr">
        <is>
          <t>[-0.05,0.05]</t>
        </is>
      </c>
    </row>
    <row r="7850">
      <c r="B7850" s="24" t="inlineStr">
        <is>
          <t>增加的总余额比</t>
        </is>
      </c>
      <c r="C7850" s="24" t="inlineStr">
        <is>
          <t>增加的总余额比</t>
        </is>
      </c>
      <c r="D7850" s="24" t="inlineStr">
        <is>
          <t>5</t>
        </is>
      </c>
      <c r="E7850" s="24" t="inlineStr">
        <is>
          <t>(0.05,0.95)</t>
        </is>
      </c>
    </row>
    <row r="7851">
      <c r="B7851" s="24" t="inlineStr">
        <is>
          <t>增加的总余额比</t>
        </is>
      </c>
      <c r="C7851" s="24" t="inlineStr">
        <is>
          <t>增加的总余额比</t>
        </is>
      </c>
      <c r="D7851" s="24" t="inlineStr">
        <is>
          <t>6</t>
        </is>
      </c>
      <c r="E7851" s="24" t="inlineStr">
        <is>
          <t>[0.95,1.05]</t>
        </is>
      </c>
    </row>
    <row r="7852">
      <c r="B7852" s="24" t="inlineStr">
        <is>
          <t>增加的总余额比</t>
        </is>
      </c>
      <c r="C7852" s="24" t="inlineStr">
        <is>
          <t>增加的总余额比</t>
        </is>
      </c>
      <c r="D7852" s="24" t="inlineStr">
        <is>
          <t>7</t>
        </is>
      </c>
      <c r="E7852" s="24" t="inlineStr">
        <is>
          <t>&gt;1.05</t>
        </is>
      </c>
    </row>
    <row r="7853" ht="15.95" customHeight="1" s="170">
      <c r="B7853" s="122" t="inlineStr">
        <is>
          <t>码值：CalcCircle</t>
        </is>
      </c>
    </row>
    <row r="7854">
      <c r="B7854" s="24" t="inlineStr">
        <is>
          <t>CalcCircle</t>
        </is>
      </c>
      <c r="C7854" s="24" t="inlineStr">
        <is>
          <t>计息周期</t>
        </is>
      </c>
      <c r="D7854" s="24" t="inlineStr">
        <is>
          <t>01</t>
        </is>
      </c>
      <c r="E7854" s="24" t="inlineStr">
        <is>
          <t>一年</t>
        </is>
      </c>
    </row>
    <row r="7855">
      <c r="B7855" s="24" t="inlineStr">
        <is>
          <t>CalcCircle</t>
        </is>
      </c>
      <c r="C7855" s="24" t="inlineStr">
        <is>
          <t>计息周期</t>
        </is>
      </c>
      <c r="D7855" s="24" t="inlineStr">
        <is>
          <t>02</t>
        </is>
      </c>
      <c r="E7855" s="24" t="inlineStr">
        <is>
          <t>半年</t>
        </is>
      </c>
    </row>
    <row r="7856">
      <c r="B7856" s="24" t="inlineStr">
        <is>
          <t>CalcCircle</t>
        </is>
      </c>
      <c r="C7856" s="24" t="inlineStr">
        <is>
          <t>计息周期</t>
        </is>
      </c>
      <c r="D7856" s="24" t="inlineStr">
        <is>
          <t>03</t>
        </is>
      </c>
      <c r="E7856" s="24" t="inlineStr">
        <is>
          <t>季度</t>
        </is>
      </c>
    </row>
    <row r="7857">
      <c r="B7857" s="24" t="inlineStr">
        <is>
          <t>CalcCircle</t>
        </is>
      </c>
      <c r="C7857" s="24" t="inlineStr">
        <is>
          <t>计息周期</t>
        </is>
      </c>
      <c r="D7857" s="24" t="inlineStr">
        <is>
          <t>04</t>
        </is>
      </c>
      <c r="E7857" s="24" t="inlineStr">
        <is>
          <t>一月</t>
        </is>
      </c>
    </row>
    <row r="7858">
      <c r="B7858" s="24" t="inlineStr">
        <is>
          <t>CalcCircle</t>
        </is>
      </c>
      <c r="C7858" s="24" t="inlineStr">
        <is>
          <t>计息周期</t>
        </is>
      </c>
      <c r="D7858" s="24" t="inlineStr">
        <is>
          <t>05</t>
        </is>
      </c>
      <c r="E7858" s="24" t="inlineStr">
        <is>
          <t>到期支付本息</t>
        </is>
      </c>
    </row>
    <row r="7859">
      <c r="B7859" s="24" t="inlineStr">
        <is>
          <t>CalcCircle</t>
        </is>
      </c>
      <c r="C7859" s="24" t="inlineStr">
        <is>
          <t>计息周期</t>
        </is>
      </c>
      <c r="D7859" s="24" t="inlineStr">
        <is>
          <t>90</t>
        </is>
      </c>
      <c r="E7859" s="24" t="inlineStr">
        <is>
          <t>其他</t>
        </is>
      </c>
    </row>
    <row r="7860" ht="15.95" customHeight="1" s="170">
      <c r="B7860" s="122" t="inlineStr">
        <is>
          <t>码值：信息环境</t>
        </is>
      </c>
    </row>
    <row r="7861">
      <c r="B7861" s="24" t="inlineStr">
        <is>
          <t>信息环境</t>
        </is>
      </c>
      <c r="C7861" s="24" t="inlineStr">
        <is>
          <t>信息环境</t>
        </is>
      </c>
      <c r="D7861" s="24" t="inlineStr">
        <is>
          <t>1</t>
        </is>
      </c>
      <c r="E7861" s="24" t="inlineStr">
        <is>
          <t>渠道畅通</t>
        </is>
      </c>
    </row>
    <row r="7862">
      <c r="B7862" s="24" t="inlineStr">
        <is>
          <t>信息环境</t>
        </is>
      </c>
      <c r="C7862" s="24" t="inlineStr">
        <is>
          <t>信息环境</t>
        </is>
      </c>
      <c r="D7862" s="24" t="inlineStr">
        <is>
          <t>2</t>
        </is>
      </c>
      <c r="E7862" s="24" t="inlineStr">
        <is>
          <t>渠道较畅通</t>
        </is>
      </c>
    </row>
    <row r="7863">
      <c r="B7863" s="24" t="inlineStr">
        <is>
          <t>信息环境</t>
        </is>
      </c>
      <c r="C7863" s="24" t="inlineStr">
        <is>
          <t>信息环境</t>
        </is>
      </c>
      <c r="D7863" s="24" t="inlineStr">
        <is>
          <t>3</t>
        </is>
      </c>
      <c r="E7863" s="24" t="inlineStr">
        <is>
          <t>渠道不畅通</t>
        </is>
      </c>
    </row>
    <row r="7864" ht="15.95" customHeight="1" s="170">
      <c r="B7864" s="122" t="inlineStr">
        <is>
          <t>码值：BookInContractUnderApplyFinaMain</t>
        </is>
      </c>
    </row>
    <row r="7865">
      <c r="B7865" s="24" t="inlineStr">
        <is>
          <t>BookInContractUnderApplyFinaMain</t>
        </is>
      </c>
      <c r="C7865" s="24" t="inlineStr">
        <is>
          <t>同业额度项下合同登记申请主树图</t>
        </is>
      </c>
      <c r="D7865" s="24" t="inlineStr">
        <is>
          <t>1010</t>
        </is>
      </c>
      <c r="E7865" s="24" t="inlineStr">
        <is>
          <t>待处理</t>
        </is>
      </c>
    </row>
    <row r="7866">
      <c r="B7866" s="24" t="inlineStr">
        <is>
          <t>BookInContractUnderApplyFinaMain</t>
        </is>
      </c>
      <c r="C7866" s="24" t="inlineStr">
        <is>
          <t>同业额度项下合同登记申请主树图</t>
        </is>
      </c>
      <c r="D7866" s="24" t="inlineStr">
        <is>
          <t>1020</t>
        </is>
      </c>
      <c r="E7866" s="24" t="inlineStr">
        <is>
          <t>审批中</t>
        </is>
      </c>
    </row>
    <row r="7867">
      <c r="B7867" s="24" t="inlineStr">
        <is>
          <t>BookInContractUnderApplyFinaMain</t>
        </is>
      </c>
      <c r="C7867" s="24" t="inlineStr">
        <is>
          <t>同业额度项下合同登记申请主树图</t>
        </is>
      </c>
      <c r="D7867" s="24" t="inlineStr">
        <is>
          <t>1040,1050</t>
        </is>
      </c>
      <c r="E7867" s="24" t="inlineStr">
        <is>
          <t>处理完成</t>
        </is>
      </c>
    </row>
    <row r="7868" ht="15.95" customHeight="1" s="170">
      <c r="B7868" s="122" t="inlineStr">
        <is>
          <t>码值：FinancingAbility02</t>
        </is>
      </c>
    </row>
    <row r="7869">
      <c r="B7869" s="24" t="inlineStr">
        <is>
          <t>FinancingAbility02</t>
        </is>
      </c>
      <c r="C7869" s="24" t="inlineStr">
        <is>
          <t>信用等级评估统一导入</t>
        </is>
      </c>
      <c r="D7869" s="24" t="inlineStr">
        <is>
          <t>01</t>
        </is>
      </c>
      <c r="E7869" s="24" t="inlineStr">
        <is>
          <t>为两家以上银行（本行除外）授信对象</t>
        </is>
      </c>
    </row>
    <row r="7870">
      <c r="B7870" s="24" t="inlineStr">
        <is>
          <t>FinancingAbility02</t>
        </is>
      </c>
      <c r="C7870" s="24" t="inlineStr">
        <is>
          <t>信用等级评估统一导入</t>
        </is>
      </c>
      <c r="D7870" s="24" t="inlineStr">
        <is>
          <t>02</t>
        </is>
      </c>
      <c r="E7870" s="24" t="inlineStr">
        <is>
          <t>有另一家银行（本行除外）对该客户授信c</t>
        </is>
      </c>
    </row>
    <row r="7871">
      <c r="B7871" s="24" t="inlineStr">
        <is>
          <t>FinancingAbility02</t>
        </is>
      </c>
      <c r="C7871" s="24" t="inlineStr">
        <is>
          <t>信用等级评估统一导入</t>
        </is>
      </c>
      <c r="D7871" s="24" t="inlineStr">
        <is>
          <t>03</t>
        </is>
      </c>
      <c r="E7871" s="24" t="inlineStr">
        <is>
          <t>本行授信客户</t>
        </is>
      </c>
    </row>
    <row r="7872">
      <c r="B7872" s="24" t="inlineStr">
        <is>
          <t>FinancingAbility02</t>
        </is>
      </c>
      <c r="C7872" s="24" t="inlineStr">
        <is>
          <t>信用等级评估统一导入</t>
        </is>
      </c>
      <c r="D7872" s="24" t="inlineStr">
        <is>
          <t>04</t>
        </is>
      </c>
      <c r="E7872" s="24" t="inlineStr">
        <is>
          <t>没有银行对其授信</t>
        </is>
      </c>
    </row>
    <row r="7873" ht="15.95" customHeight="1" s="170">
      <c r="B7873" s="122" t="inlineStr">
        <is>
          <t>码值：商品质量保证</t>
        </is>
      </c>
    </row>
    <row r="7874">
      <c r="B7874" s="24" t="inlineStr">
        <is>
          <t>商品质量保证</t>
        </is>
      </c>
      <c r="C7874" s="24" t="inlineStr">
        <is>
          <t>商品质量保证</t>
        </is>
      </c>
      <c r="D7874" s="24" t="inlineStr">
        <is>
          <t>1</t>
        </is>
      </c>
      <c r="E7874" s="24" t="inlineStr">
        <is>
          <t>高</t>
        </is>
      </c>
    </row>
    <row r="7875">
      <c r="B7875" s="24" t="inlineStr">
        <is>
          <t>商品质量保证</t>
        </is>
      </c>
      <c r="C7875" s="24" t="inlineStr">
        <is>
          <t>商品质量保证</t>
        </is>
      </c>
      <c r="D7875" s="24" t="inlineStr">
        <is>
          <t>2</t>
        </is>
      </c>
      <c r="E7875" s="24" t="inlineStr">
        <is>
          <t>一般</t>
        </is>
      </c>
    </row>
    <row r="7876">
      <c r="B7876" s="24" t="inlineStr">
        <is>
          <t>商品质量保证</t>
        </is>
      </c>
      <c r="C7876" s="24" t="inlineStr">
        <is>
          <t>商品质量保证</t>
        </is>
      </c>
      <c r="D7876" s="24" t="inlineStr">
        <is>
          <t>3</t>
        </is>
      </c>
      <c r="E7876" s="24" t="inlineStr">
        <is>
          <t>差</t>
        </is>
      </c>
    </row>
    <row r="7877" ht="15.95" customHeight="1" s="170">
      <c r="B7877" s="122" t="inlineStr">
        <is>
          <t>码值：ProjectIsInUse</t>
        </is>
      </c>
    </row>
    <row r="7878">
      <c r="B7878" s="24" t="inlineStr">
        <is>
          <t>ProjectIsInUse</t>
        </is>
      </c>
      <c r="C7878" s="24" t="inlineStr">
        <is>
          <t>项目状态</t>
        </is>
      </c>
      <c r="D7878" s="24" t="inlineStr">
        <is>
          <t>0</t>
        </is>
      </c>
      <c r="E7878" s="24" t="inlineStr">
        <is>
          <t>锁定</t>
        </is>
      </c>
    </row>
    <row r="7879">
      <c r="B7879" s="24" t="inlineStr">
        <is>
          <t>ProjectIsInUse</t>
        </is>
      </c>
      <c r="C7879" s="24" t="inlineStr">
        <is>
          <t>项目状态</t>
        </is>
      </c>
      <c r="D7879" s="24" t="inlineStr">
        <is>
          <t>1</t>
        </is>
      </c>
      <c r="E7879" s="24" t="inlineStr">
        <is>
          <t>正常</t>
        </is>
      </c>
    </row>
    <row r="7880">
      <c r="B7880" s="24" t="inlineStr">
        <is>
          <t>ProjectIsInUse</t>
        </is>
      </c>
      <c r="C7880" s="24" t="inlineStr">
        <is>
          <t>项目状态</t>
        </is>
      </c>
      <c r="D7880" s="24" t="inlineStr">
        <is>
          <t>2</t>
        </is>
      </c>
      <c r="E7880" s="24" t="inlineStr">
        <is>
          <t>停用</t>
        </is>
      </c>
    </row>
    <row r="7881">
      <c r="B7881" s="24" t="inlineStr">
        <is>
          <t>ProjectIsInUse</t>
        </is>
      </c>
      <c r="C7881" s="24" t="inlineStr">
        <is>
          <t>项目状态</t>
        </is>
      </c>
      <c r="D7881" s="24" t="inlineStr">
        <is>
          <t>3</t>
        </is>
      </c>
      <c r="E7881" s="24" t="inlineStr">
        <is>
          <t>待启用</t>
        </is>
      </c>
    </row>
    <row r="7882" ht="15.95" customHeight="1" s="170">
      <c r="B7882" s="122" t="inlineStr">
        <is>
          <t>码值：EntIrregularCheckApproveMain</t>
        </is>
      </c>
    </row>
    <row r="7883">
      <c r="B7883" s="24" t="inlineStr">
        <is>
          <t>EntIrregularCheckApproveMain</t>
        </is>
      </c>
      <c r="C7883" s="24" t="inlineStr">
        <is>
          <t>单一公司贷后不定期检查审批批主树图</t>
        </is>
      </c>
      <c r="D7883" s="24" t="inlineStr">
        <is>
          <t>N</t>
        </is>
      </c>
      <c r="E7883" s="24" t="inlineStr">
        <is>
          <t>待办任务</t>
        </is>
      </c>
    </row>
    <row r="7884">
      <c r="B7884" s="24" t="inlineStr">
        <is>
          <t>EntIrregularCheckApproveMain</t>
        </is>
      </c>
      <c r="C7884" s="24" t="inlineStr">
        <is>
          <t>单一公司贷后不定期检查审批批主树图</t>
        </is>
      </c>
      <c r="D7884" s="24" t="inlineStr">
        <is>
          <t>Y</t>
        </is>
      </c>
      <c r="E7884" s="24" t="inlineStr">
        <is>
          <t>已办任务</t>
        </is>
      </c>
    </row>
    <row r="7885">
      <c r="B7885" s="24" t="inlineStr">
        <is>
          <t>EntIrregularCheckApproveMain</t>
        </is>
      </c>
      <c r="C7885" s="24" t="inlineStr">
        <is>
          <t>单一公司贷后不定期检查审批批主树图</t>
        </is>
      </c>
      <c r="D7885" s="24" t="inlineStr">
        <is>
          <t>当前工作/已完成工作</t>
        </is>
      </c>
      <c r="E7885" s="24" t="inlineStr">
        <is>
          <t>阶段名称</t>
        </is>
      </c>
    </row>
    <row r="7886" ht="15.95" customHeight="1" s="170">
      <c r="B7886" s="122" t="inlineStr">
        <is>
          <t>码值：MarketPositionAndShare</t>
        </is>
      </c>
    </row>
    <row r="7887">
      <c r="B7887" s="24" t="inlineStr">
        <is>
          <t>MarketPositionAndShare</t>
        </is>
      </c>
      <c r="C7887" s="24" t="inlineStr">
        <is>
          <t>信用等级评估统一导入</t>
        </is>
      </c>
      <c r="D7887" s="24" t="inlineStr">
        <is>
          <t>01</t>
        </is>
      </c>
      <c r="E7887" s="24" t="inlineStr">
        <is>
          <t>在其服务区域已形成实质性垄断或者寡头垄断，并且市场份额稳定</t>
        </is>
      </c>
    </row>
    <row r="7888">
      <c r="B7888" s="24" t="inlineStr">
        <is>
          <t>MarketPositionAndShare</t>
        </is>
      </c>
      <c r="C7888" s="24" t="inlineStr">
        <is>
          <t>信用等级评估统一导入</t>
        </is>
      </c>
      <c r="D7888" s="24" t="inlineStr">
        <is>
          <t>02</t>
        </is>
      </c>
      <c r="E7888" s="24" t="inlineStr">
        <is>
          <t>在其服务区域具有寡头垄断地位，但是由于受到竞争者一定程度的威胁，市场份额有下降趋势</t>
        </is>
      </c>
    </row>
    <row r="7889">
      <c r="B7889" s="24" t="inlineStr">
        <is>
          <t>MarketPositionAndShare</t>
        </is>
      </c>
      <c r="C7889" s="24" t="inlineStr">
        <is>
          <t>信用等级评估统一导入</t>
        </is>
      </c>
      <c r="D7889" s="24" t="inlineStr">
        <is>
          <t>03</t>
        </is>
      </c>
      <c r="E7889" s="24" t="inlineStr">
        <is>
          <t>在其服务区域内面临一定程度的竞争，但竞争中处于一定的优势地位（例如市场份额或者品牌知名度处于同业前10%）</t>
        </is>
      </c>
    </row>
    <row r="7890">
      <c r="B7890" s="24" t="inlineStr">
        <is>
          <t>MarketPositionAndShare</t>
        </is>
      </c>
      <c r="C7890" s="24" t="inlineStr">
        <is>
          <t>信用等级评估统一导入</t>
        </is>
      </c>
      <c r="D7890" s="24" t="inlineStr">
        <is>
          <t>04</t>
        </is>
      </c>
      <c r="E7890" s="24" t="inlineStr">
        <is>
          <t>在其服务区域内面临竞争，市场份额没有明显优势</t>
        </is>
      </c>
    </row>
    <row r="7891">
      <c r="B7891" s="24" t="inlineStr">
        <is>
          <t>MarketPositionAndShare</t>
        </is>
      </c>
      <c r="C7891" s="24" t="inlineStr">
        <is>
          <t>信用等级评估统一导入</t>
        </is>
      </c>
      <c r="D7891" s="24" t="inlineStr">
        <is>
          <t>05</t>
        </is>
      </c>
      <c r="E7891" s="24" t="inlineStr">
        <is>
          <t>答案难以判断</t>
        </is>
      </c>
    </row>
    <row r="7892" ht="15.95" customHeight="1" s="170">
      <c r="B7892" s="122" t="inlineStr">
        <is>
          <t>码值：SocialInsType</t>
        </is>
      </c>
    </row>
    <row r="7893">
      <c r="B7893" s="24" t="inlineStr">
        <is>
          <t>SocialInsType</t>
        </is>
      </c>
      <c r="C7893" s="24" t="inlineStr">
        <is>
          <t>社会保险情况</t>
        </is>
      </c>
      <c r="D7893" s="24" t="inlineStr">
        <is>
          <t>01</t>
        </is>
      </c>
      <c r="E7893" s="24" t="inlineStr">
        <is>
          <t>养老保险</t>
        </is>
      </c>
    </row>
    <row r="7894">
      <c r="B7894" s="24" t="inlineStr">
        <is>
          <t>SocialInsType</t>
        </is>
      </c>
      <c r="C7894" s="24" t="inlineStr">
        <is>
          <t>社会保险情况</t>
        </is>
      </c>
      <c r="D7894" s="24" t="inlineStr">
        <is>
          <t>02</t>
        </is>
      </c>
      <c r="E7894" s="24" t="inlineStr">
        <is>
          <t>医疗保险</t>
        </is>
      </c>
    </row>
    <row r="7895">
      <c r="B7895" s="24" t="inlineStr">
        <is>
          <t>SocialInsType</t>
        </is>
      </c>
      <c r="C7895" s="24" t="inlineStr">
        <is>
          <t>社会保险情况</t>
        </is>
      </c>
      <c r="D7895" s="24" t="inlineStr">
        <is>
          <t>03</t>
        </is>
      </c>
      <c r="E7895" s="24" t="inlineStr">
        <is>
          <t>住房公积金</t>
        </is>
      </c>
    </row>
    <row r="7896">
      <c r="B7896" s="24" t="inlineStr">
        <is>
          <t>SocialInsType</t>
        </is>
      </c>
      <c r="C7896" s="24" t="inlineStr">
        <is>
          <t>社会保险情况</t>
        </is>
      </c>
      <c r="D7896" s="24" t="inlineStr">
        <is>
          <t>04</t>
        </is>
      </c>
      <c r="E7896" s="24" t="inlineStr">
        <is>
          <t>失业保险金</t>
        </is>
      </c>
    </row>
    <row r="7897">
      <c r="B7897" s="24" t="inlineStr">
        <is>
          <t>SocialInsType</t>
        </is>
      </c>
      <c r="C7897" s="24" t="inlineStr">
        <is>
          <t>社会保险情况</t>
        </is>
      </c>
      <c r="D7897" s="24" t="inlineStr">
        <is>
          <t>05</t>
        </is>
      </c>
      <c r="E7897" s="24" t="inlineStr">
        <is>
          <t>其它保险</t>
        </is>
      </c>
    </row>
    <row r="7898" ht="15.95" customHeight="1" s="170">
      <c r="B7898" s="122" t="inlineStr">
        <is>
          <t>码值：AnalytivalMethod</t>
        </is>
      </c>
    </row>
    <row r="7899">
      <c r="B7899" s="24" t="inlineStr">
        <is>
          <t>AnalytivalMethod</t>
        </is>
      </c>
      <c r="C7899" s="24" t="inlineStr">
        <is>
          <t>分析方法</t>
        </is>
      </c>
      <c r="D7899" s="24" t="inlineStr">
        <is>
          <t>01</t>
        </is>
      </c>
      <c r="E7899" s="24" t="inlineStr">
        <is>
          <t>核实分析法</t>
        </is>
      </c>
    </row>
    <row r="7900">
      <c r="B7900" s="24" t="inlineStr">
        <is>
          <t>AnalytivalMethod</t>
        </is>
      </c>
      <c r="C7900" s="24" t="inlineStr">
        <is>
          <t>分析方法</t>
        </is>
      </c>
      <c r="D7900" s="24" t="inlineStr">
        <is>
          <t>02</t>
        </is>
      </c>
      <c r="E7900" s="24" t="inlineStr">
        <is>
          <t>利息扣除法</t>
        </is>
      </c>
    </row>
    <row r="7901">
      <c r="B7901" s="24" t="inlineStr">
        <is>
          <t>AnalytivalMethod</t>
        </is>
      </c>
      <c r="C7901" s="24" t="inlineStr">
        <is>
          <t>分析方法</t>
        </is>
      </c>
      <c r="D7901" s="24" t="inlineStr">
        <is>
          <t>03</t>
        </is>
      </c>
      <c r="E7901" s="24" t="inlineStr">
        <is>
          <t>账龄分析法</t>
        </is>
      </c>
    </row>
    <row r="7902" ht="15.95" customHeight="1" s="170">
      <c r="B7902" s="122" t="inlineStr">
        <is>
          <t>码值：BizModelConfiguratorTree</t>
        </is>
      </c>
    </row>
    <row r="7903">
      <c r="B7903" s="24" t="inlineStr">
        <is>
          <t>BizModelConfiguratorTree</t>
        </is>
      </c>
      <c r="C7903" s="24" t="inlineStr">
        <is>
          <t>业务模型树图</t>
        </is>
      </c>
      <c r="D7903" s="24" t="inlineStr">
        <is>
          <t>0020010</t>
        </is>
      </c>
      <c r="E7903" s="24" t="inlineStr">
        <is>
          <t>授信额度类型</t>
        </is>
      </c>
    </row>
    <row r="7904">
      <c r="B7904" s="24" t="inlineStr">
        <is>
          <t>BizModelConfiguratorTree</t>
        </is>
      </c>
      <c r="C7904" s="24" t="inlineStr">
        <is>
          <t>业务模型树图</t>
        </is>
      </c>
      <c r="D7904" s="24" t="inlineStr">
        <is>
          <t>0020020</t>
        </is>
      </c>
      <c r="E7904" s="24" t="inlineStr">
        <is>
          <t>限制类型定义</t>
        </is>
      </c>
    </row>
    <row r="7905">
      <c r="B7905" s="24" t="inlineStr">
        <is>
          <t>BizModelConfiguratorTree</t>
        </is>
      </c>
      <c r="C7905" s="24" t="inlineStr">
        <is>
          <t>业务模型树图</t>
        </is>
      </c>
      <c r="D7905" s="24" t="inlineStr">
        <is>
          <t>0020030</t>
        </is>
      </c>
      <c r="E7905" s="24" t="inlineStr">
        <is>
          <t>产品组定义</t>
        </is>
      </c>
    </row>
    <row r="7906">
      <c r="B7906" s="24" t="inlineStr">
        <is>
          <t>BizModelConfiguratorTree</t>
        </is>
      </c>
      <c r="C7906" s="24" t="inlineStr">
        <is>
          <t>业务模型树图</t>
        </is>
      </c>
      <c r="D7906" s="24" t="inlineStr">
        <is>
          <t>0020040</t>
        </is>
      </c>
      <c r="E7906" s="24" t="inlineStr">
        <is>
          <t>币种组定义</t>
        </is>
      </c>
    </row>
    <row r="7907">
      <c r="B7907" s="24" t="inlineStr">
        <is>
          <t>BizModelConfiguratorTree</t>
        </is>
      </c>
      <c r="C7907" s="24" t="inlineStr">
        <is>
          <t>业务模型树图</t>
        </is>
      </c>
      <c r="D7907" s="24" t="inlineStr">
        <is>
          <t>0020050</t>
        </is>
      </c>
      <c r="E7907" s="24" t="inlineStr">
        <is>
          <t>担保方式组定义</t>
        </is>
      </c>
    </row>
    <row r="7908">
      <c r="B7908" s="24" t="inlineStr">
        <is>
          <t>BizModelConfiguratorTree</t>
        </is>
      </c>
      <c r="C7908" s="24" t="inlineStr">
        <is>
          <t>业务模型树图</t>
        </is>
      </c>
      <c r="D7908" s="24" t="inlineStr">
        <is>
          <t>0065</t>
        </is>
      </c>
      <c r="E7908" s="24" t="inlineStr">
        <is>
          <t>决策流模型设置</t>
        </is>
      </c>
    </row>
    <row r="7909">
      <c r="B7909" s="24" t="inlineStr">
        <is>
          <t>BizModelConfiguratorTree</t>
        </is>
      </c>
      <c r="C7909" s="24" t="inlineStr">
        <is>
          <t>业务模型树图</t>
        </is>
      </c>
      <c r="D7909" s="24" t="inlineStr">
        <is>
          <t>0080010</t>
        </is>
      </c>
      <c r="E7909" s="24" t="inlineStr">
        <is>
          <t>预警结果查看</t>
        </is>
      </c>
    </row>
    <row r="7910">
      <c r="B7910" s="24" t="inlineStr">
        <is>
          <t>BizModelConfiguratorTree</t>
        </is>
      </c>
      <c r="C7910" s="24" t="inlineStr">
        <is>
          <t>业务模型树图</t>
        </is>
      </c>
      <c r="D7910" s="24" t="inlineStr">
        <is>
          <t>0080020</t>
        </is>
      </c>
      <c r="E7910" s="24" t="inlineStr">
        <is>
          <t>预警场景设置</t>
        </is>
      </c>
    </row>
    <row r="7911">
      <c r="B7911" s="24" t="inlineStr">
        <is>
          <t>BizModelConfiguratorTree</t>
        </is>
      </c>
      <c r="C7911" s="24" t="inlineStr">
        <is>
          <t>业务模型树图</t>
        </is>
      </c>
      <c r="D7911" s="24" t="inlineStr">
        <is>
          <t>0080030</t>
        </is>
      </c>
      <c r="E7911" s="24" t="inlineStr">
        <is>
          <t>预警参数设置</t>
        </is>
      </c>
    </row>
    <row r="7912">
      <c r="B7912" s="24" t="inlineStr">
        <is>
          <t>BizModelConfiguratorTree</t>
        </is>
      </c>
      <c r="C7912" s="24" t="inlineStr">
        <is>
          <t>业务模型树图</t>
        </is>
      </c>
      <c r="D7912" s="24" t="inlineStr">
        <is>
          <t>0080040</t>
        </is>
      </c>
      <c r="E7912" s="24" t="inlineStr">
        <is>
          <t>预警模型设置</t>
        </is>
      </c>
    </row>
    <row r="7913">
      <c r="B7913" s="24" t="inlineStr">
        <is>
          <t>BizModelConfiguratorTree</t>
        </is>
      </c>
      <c r="C7913" s="24" t="inlineStr">
        <is>
          <t>业务模型树图</t>
        </is>
      </c>
      <c r="D7913" s="24" t="inlineStr">
        <is>
          <t>0080050</t>
        </is>
      </c>
      <c r="E7913" s="24" t="inlineStr">
        <is>
          <t>预警条件库设置</t>
        </is>
      </c>
    </row>
    <row r="7914">
      <c r="B7914" s="24" t="inlineStr">
        <is>
          <t>BizModelConfiguratorTree</t>
        </is>
      </c>
      <c r="C7914" s="24" t="inlineStr">
        <is>
          <t>业务模型树图</t>
        </is>
      </c>
      <c r="D7914" s="24" t="inlineStr">
        <is>
          <t>0080060</t>
        </is>
      </c>
      <c r="E7914" s="24" t="inlineStr">
        <is>
          <t>处理措施设置</t>
        </is>
      </c>
    </row>
    <row r="7915">
      <c r="B7915" s="24" t="inlineStr">
        <is>
          <t>BizModelConfiguratorTree</t>
        </is>
      </c>
      <c r="C7915" s="24" t="inlineStr">
        <is>
          <t>业务模型树图</t>
        </is>
      </c>
      <c r="D7915" s="24" t="inlineStr">
        <is>
          <t>0090010</t>
        </is>
      </c>
      <c r="E7915" s="24" t="inlineStr">
        <is>
          <t>财务科目</t>
        </is>
      </c>
    </row>
    <row r="7916">
      <c r="B7916" s="24" t="inlineStr">
        <is>
          <t>BizModelConfiguratorTree</t>
        </is>
      </c>
      <c r="C7916" s="24" t="inlineStr">
        <is>
          <t>业务模型树图</t>
        </is>
      </c>
      <c r="D7916" s="24" t="inlineStr">
        <is>
          <t>0090020</t>
        </is>
      </c>
      <c r="E7916" s="24" t="inlineStr">
        <is>
          <t>财务报表</t>
        </is>
      </c>
    </row>
    <row r="7917">
      <c r="B7917" s="24" t="inlineStr">
        <is>
          <t>BizModelConfiguratorTree</t>
        </is>
      </c>
      <c r="C7917" s="24" t="inlineStr">
        <is>
          <t>业务模型树图</t>
        </is>
      </c>
      <c r="D7917" s="24" t="inlineStr">
        <is>
          <t>0100010</t>
        </is>
      </c>
      <c r="E7917" s="24" t="inlineStr">
        <is>
          <t>任务类型</t>
        </is>
      </c>
    </row>
    <row r="7918">
      <c r="B7918" s="24" t="inlineStr">
        <is>
          <t>BizModelConfiguratorTree</t>
        </is>
      </c>
      <c r="C7918" s="24" t="inlineStr">
        <is>
          <t>业务模型树图</t>
        </is>
      </c>
      <c r="D7918" s="24" t="inlineStr">
        <is>
          <t>0100020</t>
        </is>
      </c>
      <c r="E7918" s="24" t="inlineStr">
        <is>
          <t>向导</t>
        </is>
      </c>
    </row>
    <row r="7919">
      <c r="B7919" s="24" t="inlineStr">
        <is>
          <t>BizModelConfiguratorTree</t>
        </is>
      </c>
      <c r="C7919" s="24" t="inlineStr">
        <is>
          <t>业务模型树图</t>
        </is>
      </c>
      <c r="D7919" s="24" t="inlineStr">
        <is>
          <t>0120</t>
        </is>
      </c>
      <c r="E7919" s="24" t="inlineStr">
        <is>
          <t>风险预警配置</t>
        </is>
      </c>
    </row>
    <row r="7920">
      <c r="B7920" s="24" t="inlineStr">
        <is>
          <t>BizModelConfiguratorTree</t>
        </is>
      </c>
      <c r="C7920" s="24" t="inlineStr">
        <is>
          <t>业务模型树图</t>
        </is>
      </c>
      <c r="D7920" s="24" t="inlineStr">
        <is>
          <t>0130</t>
        </is>
      </c>
      <c r="E7920" s="24" t="inlineStr">
        <is>
          <t>企业标准模型配置</t>
        </is>
      </c>
    </row>
    <row r="7921">
      <c r="B7921" s="24" t="inlineStr">
        <is>
          <t>BizModelConfiguratorTree</t>
        </is>
      </c>
      <c r="C7921" s="24" t="inlineStr">
        <is>
          <t>业务模型树图</t>
        </is>
      </c>
      <c r="D7921" s="24" t="inlineStr">
        <is>
          <t>0130010</t>
        </is>
      </c>
      <c r="E7921" s="24" t="inlineStr">
        <is>
          <t>农林牧渔业</t>
        </is>
      </c>
    </row>
    <row r="7922">
      <c r="B7922" s="24" t="inlineStr">
        <is>
          <t>BizModelConfiguratorTree</t>
        </is>
      </c>
      <c r="C7922" s="24" t="inlineStr">
        <is>
          <t>业务模型树图</t>
        </is>
      </c>
      <c r="D7922" s="24" t="inlineStr">
        <is>
          <t>0130020</t>
        </is>
      </c>
      <c r="E7922" s="24" t="inlineStr">
        <is>
          <t>工业</t>
        </is>
      </c>
    </row>
    <row r="7923">
      <c r="B7923" s="24" t="inlineStr">
        <is>
          <t>BizModelConfiguratorTree</t>
        </is>
      </c>
      <c r="C7923" s="24" t="inlineStr">
        <is>
          <t>业务模型树图</t>
        </is>
      </c>
      <c r="D7923" s="24" t="inlineStr">
        <is>
          <t>0130030</t>
        </is>
      </c>
      <c r="E7923" s="24" t="inlineStr">
        <is>
          <t>建筑业</t>
        </is>
      </c>
    </row>
    <row r="7924">
      <c r="B7924" s="24" t="inlineStr">
        <is>
          <t>BizModelConfiguratorTree</t>
        </is>
      </c>
      <c r="C7924" s="24" t="inlineStr">
        <is>
          <t>业务模型树图</t>
        </is>
      </c>
      <c r="D7924" s="24" t="inlineStr">
        <is>
          <t>0130040</t>
        </is>
      </c>
      <c r="E7924" s="24" t="inlineStr">
        <is>
          <t>批发业</t>
        </is>
      </c>
    </row>
    <row r="7925">
      <c r="B7925" s="24" t="inlineStr">
        <is>
          <t>BizModelConfiguratorTree</t>
        </is>
      </c>
      <c r="C7925" s="24" t="inlineStr">
        <is>
          <t>业务模型树图</t>
        </is>
      </c>
      <c r="D7925" s="24" t="inlineStr">
        <is>
          <t>0130050</t>
        </is>
      </c>
      <c r="E7925" s="24" t="inlineStr">
        <is>
          <t>零售业</t>
        </is>
      </c>
    </row>
    <row r="7926">
      <c r="B7926" s="24" t="inlineStr">
        <is>
          <t>BizModelConfiguratorTree</t>
        </is>
      </c>
      <c r="C7926" s="24" t="inlineStr">
        <is>
          <t>业务模型树图</t>
        </is>
      </c>
      <c r="D7926" s="24" t="inlineStr">
        <is>
          <t>0130060</t>
        </is>
      </c>
      <c r="E7926" s="24" t="inlineStr">
        <is>
          <t>交通运输业</t>
        </is>
      </c>
    </row>
    <row r="7927">
      <c r="B7927" s="24" t="inlineStr">
        <is>
          <t>BizModelConfiguratorTree</t>
        </is>
      </c>
      <c r="C7927" s="24" t="inlineStr">
        <is>
          <t>业务模型树图</t>
        </is>
      </c>
      <c r="D7927" s="24" t="inlineStr">
        <is>
          <t>0130070</t>
        </is>
      </c>
      <c r="E7927" s="24" t="inlineStr">
        <is>
          <t>仓储业</t>
        </is>
      </c>
    </row>
    <row r="7928">
      <c r="B7928" s="24" t="inlineStr">
        <is>
          <t>BizModelConfiguratorTree</t>
        </is>
      </c>
      <c r="C7928" s="24" t="inlineStr">
        <is>
          <t>业务模型树图</t>
        </is>
      </c>
      <c r="D7928" s="24" t="inlineStr">
        <is>
          <t>0130080</t>
        </is>
      </c>
      <c r="E7928" s="24" t="inlineStr">
        <is>
          <t>邮政业</t>
        </is>
      </c>
    </row>
    <row r="7929">
      <c r="B7929" s="24" t="inlineStr">
        <is>
          <t>BizModelConfiguratorTree</t>
        </is>
      </c>
      <c r="C7929" s="24" t="inlineStr">
        <is>
          <t>业务模型树图</t>
        </is>
      </c>
      <c r="D7929" s="24" t="inlineStr">
        <is>
          <t>0130090</t>
        </is>
      </c>
      <c r="E7929" s="24" t="inlineStr">
        <is>
          <t>住宿业</t>
        </is>
      </c>
    </row>
    <row r="7930">
      <c r="B7930" s="24" t="inlineStr">
        <is>
          <t>BizModelConfiguratorTree</t>
        </is>
      </c>
      <c r="C7930" s="24" t="inlineStr">
        <is>
          <t>业务模型树图</t>
        </is>
      </c>
      <c r="D7930" s="24" t="inlineStr">
        <is>
          <t>0130100</t>
        </is>
      </c>
      <c r="E7930" s="24" t="inlineStr">
        <is>
          <t>餐饮业</t>
        </is>
      </c>
    </row>
    <row r="7931">
      <c r="B7931" s="24" t="inlineStr">
        <is>
          <t>BizModelConfiguratorTree</t>
        </is>
      </c>
      <c r="C7931" s="24" t="inlineStr">
        <is>
          <t>业务模型树图</t>
        </is>
      </c>
      <c r="D7931" s="24" t="inlineStr">
        <is>
          <t>0130110</t>
        </is>
      </c>
      <c r="E7931" s="24" t="inlineStr">
        <is>
          <t>信息传输业</t>
        </is>
      </c>
    </row>
    <row r="7932">
      <c r="B7932" s="24" t="inlineStr">
        <is>
          <t>BizModelConfiguratorTree</t>
        </is>
      </c>
      <c r="C7932" s="24" t="inlineStr">
        <is>
          <t>业务模型树图</t>
        </is>
      </c>
      <c r="D7932" s="24" t="inlineStr">
        <is>
          <t>0130120</t>
        </is>
      </c>
      <c r="E7932" s="24" t="inlineStr">
        <is>
          <t>软件和信息技术服务业</t>
        </is>
      </c>
    </row>
    <row r="7933">
      <c r="B7933" s="24" t="inlineStr">
        <is>
          <t>BizModelConfiguratorTree</t>
        </is>
      </c>
      <c r="C7933" s="24" t="inlineStr">
        <is>
          <t>业务模型树图</t>
        </is>
      </c>
      <c r="D7933" s="24" t="inlineStr">
        <is>
          <t>0130130</t>
        </is>
      </c>
      <c r="E7933" s="24" t="inlineStr">
        <is>
          <t>房地产开发经营</t>
        </is>
      </c>
    </row>
    <row r="7934">
      <c r="B7934" s="24" t="inlineStr">
        <is>
          <t>BizModelConfiguratorTree</t>
        </is>
      </c>
      <c r="C7934" s="24" t="inlineStr">
        <is>
          <t>业务模型树图</t>
        </is>
      </c>
      <c r="D7934" s="24" t="inlineStr">
        <is>
          <t>0130140</t>
        </is>
      </c>
      <c r="E7934" s="24" t="inlineStr">
        <is>
          <t>物业管理</t>
        </is>
      </c>
    </row>
    <row r="7935">
      <c r="B7935" s="24" t="inlineStr">
        <is>
          <t>BizModelConfiguratorTree</t>
        </is>
      </c>
      <c r="C7935" s="24" t="inlineStr">
        <is>
          <t>业务模型树图</t>
        </is>
      </c>
      <c r="D7935" s="24" t="inlineStr">
        <is>
          <t>0130150</t>
        </is>
      </c>
      <c r="E7935" s="24" t="inlineStr">
        <is>
          <t>租赁和商务服务业</t>
        </is>
      </c>
    </row>
    <row r="7936">
      <c r="B7936" s="24" t="inlineStr">
        <is>
          <t>BizModelConfiguratorTree</t>
        </is>
      </c>
      <c r="C7936" s="24" t="inlineStr">
        <is>
          <t>业务模型树图</t>
        </is>
      </c>
      <c r="D7936" s="24" t="inlineStr">
        <is>
          <t>0130160</t>
        </is>
      </c>
      <c r="E7936" s="24" t="inlineStr">
        <is>
          <t>其他未列明行业</t>
        </is>
      </c>
    </row>
    <row r="7937" ht="15.95" customHeight="1" s="170">
      <c r="B7937" s="122" t="inlineStr">
        <is>
          <t>码值：GroupAddressType</t>
        </is>
      </c>
    </row>
    <row r="7938">
      <c r="B7938" s="24" t="inlineStr">
        <is>
          <t>GroupAddressType</t>
        </is>
      </c>
      <c r="C7938" s="24" t="inlineStr">
        <is>
          <t>GroupAddressType</t>
        </is>
      </c>
      <c r="D7938" s="24" t="inlineStr">
        <is>
          <t>01</t>
        </is>
      </c>
      <c r="E7938" s="24" t="inlineStr">
        <is>
          <t>地区内</t>
        </is>
      </c>
    </row>
    <row r="7939">
      <c r="B7939" s="24" t="inlineStr">
        <is>
          <t>GroupAddressType</t>
        </is>
      </c>
      <c r="C7939" s="24" t="inlineStr">
        <is>
          <t>GroupAddressType</t>
        </is>
      </c>
      <c r="D7939" s="24" t="inlineStr">
        <is>
          <t>02</t>
        </is>
      </c>
      <c r="E7939" s="24" t="inlineStr">
        <is>
          <t>温州地区或跨地区</t>
        </is>
      </c>
    </row>
    <row r="7940" ht="15.95" customHeight="1" s="170">
      <c r="B7940" s="122" t="inlineStr">
        <is>
          <t>码值：城建企业产权制度</t>
        </is>
      </c>
    </row>
    <row r="7941">
      <c r="B7941" s="24" t="inlineStr">
        <is>
          <t>城建企业产权制度</t>
        </is>
      </c>
      <c r="C7941" s="24" t="inlineStr">
        <is>
          <t>城建企业产权制度</t>
        </is>
      </c>
      <c r="D7941" s="24" t="inlineStr">
        <is>
          <t>1</t>
        </is>
      </c>
      <c r="E7941" s="24" t="inlineStr">
        <is>
          <t>国有中央级</t>
        </is>
      </c>
    </row>
    <row r="7942">
      <c r="B7942" s="24" t="inlineStr">
        <is>
          <t>城建企业产权制度</t>
        </is>
      </c>
      <c r="C7942" s="24" t="inlineStr">
        <is>
          <t>城建企业产权制度</t>
        </is>
      </c>
      <c r="D7942" s="24" t="inlineStr">
        <is>
          <t>2</t>
        </is>
      </c>
      <c r="E7942" s="24" t="inlineStr">
        <is>
          <t>国有省级(直辖市)</t>
        </is>
      </c>
    </row>
    <row r="7943">
      <c r="B7943" s="24" t="inlineStr">
        <is>
          <t>城建企业产权制度</t>
        </is>
      </c>
      <c r="C7943" s="24" t="inlineStr">
        <is>
          <t>城建企业产权制度</t>
        </is>
      </c>
      <c r="D7943" s="24" t="inlineStr">
        <is>
          <t>3</t>
        </is>
      </c>
      <c r="E7943" s="24" t="inlineStr">
        <is>
          <t>国有地、市级(直辖市区级)</t>
        </is>
      </c>
    </row>
    <row r="7944">
      <c r="B7944" s="24" t="inlineStr">
        <is>
          <t>城建企业产权制度</t>
        </is>
      </c>
      <c r="C7944" s="24" t="inlineStr">
        <is>
          <t>城建企业产权制度</t>
        </is>
      </c>
      <c r="D7944" s="24" t="inlineStr">
        <is>
          <t>4</t>
        </is>
      </c>
      <c r="E7944" s="24" t="inlineStr">
        <is>
          <t>国有县级及县级以下</t>
        </is>
      </c>
    </row>
    <row r="7945">
      <c r="B7945" s="24" t="inlineStr">
        <is>
          <t>城建企业产权制度</t>
        </is>
      </c>
      <c r="C7945" s="24" t="inlineStr">
        <is>
          <t>城建企业产权制度</t>
        </is>
      </c>
      <c r="D7945" s="24" t="inlineStr">
        <is>
          <t>5</t>
        </is>
      </c>
      <c r="E7945" s="24" t="inlineStr">
        <is>
          <t>民办</t>
        </is>
      </c>
    </row>
    <row r="7946" ht="15.95" customHeight="1" s="170">
      <c r="B7946" s="122" t="inlineStr">
        <is>
          <t>码值：EffectiveStatus</t>
        </is>
      </c>
    </row>
    <row r="7947">
      <c r="B7947" s="24" t="inlineStr">
        <is>
          <t>EffectiveStatus</t>
        </is>
      </c>
      <c r="C7947" s="24" t="inlineStr">
        <is>
          <t>家谱家谱复核状态</t>
        </is>
      </c>
      <c r="D7947" s="24" t="inlineStr">
        <is>
          <t>0</t>
        </is>
      </c>
      <c r="E7947" s="24" t="inlineStr">
        <is>
          <t>草稿</t>
        </is>
      </c>
    </row>
    <row r="7948">
      <c r="B7948" s="24" t="inlineStr">
        <is>
          <t>EffectiveStatus</t>
        </is>
      </c>
      <c r="C7948" s="24" t="inlineStr">
        <is>
          <t>家谱家谱复核状态</t>
        </is>
      </c>
      <c r="D7948" s="24" t="inlineStr">
        <is>
          <t>1</t>
        </is>
      </c>
      <c r="E7948" s="24" t="inlineStr">
        <is>
          <t>审核中</t>
        </is>
      </c>
    </row>
    <row r="7949">
      <c r="B7949" s="24" t="inlineStr">
        <is>
          <t>EffectiveStatus</t>
        </is>
      </c>
      <c r="C7949" s="24" t="inlineStr">
        <is>
          <t>家谱家谱复核状态</t>
        </is>
      </c>
      <c r="D7949" s="24" t="inlineStr">
        <is>
          <t>2</t>
        </is>
      </c>
      <c r="E7949" s="24" t="inlineStr">
        <is>
          <t>已认定</t>
        </is>
      </c>
    </row>
    <row r="7950">
      <c r="B7950" s="24" t="inlineStr">
        <is>
          <t>EffectiveStatus</t>
        </is>
      </c>
      <c r="C7950" s="24" t="inlineStr">
        <is>
          <t>家谱家谱复核状态</t>
        </is>
      </c>
      <c r="D7950" s="24" t="inlineStr">
        <is>
          <t>3</t>
        </is>
      </c>
      <c r="E7950" s="24" t="inlineStr">
        <is>
          <t>审核退回</t>
        </is>
      </c>
    </row>
    <row r="7951">
      <c r="B7951" s="24" t="inlineStr">
        <is>
          <t>EffectiveStatus</t>
        </is>
      </c>
      <c r="C7951" s="24" t="inlineStr">
        <is>
          <t>家谱家谱复核状态</t>
        </is>
      </c>
      <c r="D7951" s="24" t="inlineStr">
        <is>
          <t>8</t>
        </is>
      </c>
      <c r="E7951" s="24" t="inlineStr">
        <is>
          <t>未处理</t>
        </is>
      </c>
    </row>
    <row r="7952">
      <c r="B7952" s="24" t="inlineStr">
        <is>
          <t>EffectiveStatus</t>
        </is>
      </c>
      <c r="C7952" s="24" t="inlineStr">
        <is>
          <t>家谱家谱复核状态</t>
        </is>
      </c>
      <c r="D7952" s="24" t="inlineStr">
        <is>
          <t>9</t>
        </is>
      </c>
      <c r="E7952" s="24" t="inlineStr">
        <is>
          <t>已处理</t>
        </is>
      </c>
    </row>
    <row r="7953" ht="15.95" customHeight="1" s="170">
      <c r="B7953" s="122" t="inlineStr">
        <is>
          <t>码值：TelecomScope</t>
        </is>
      </c>
    </row>
    <row r="7954">
      <c r="B7954" s="24" t="inlineStr">
        <is>
          <t>TelecomScope</t>
        </is>
      </c>
      <c r="C7954" s="24" t="n"/>
      <c r="D7954" s="24" t="inlineStr">
        <is>
          <t>01</t>
        </is>
      </c>
      <c r="E7954" s="24" t="inlineStr">
        <is>
          <t>通信</t>
        </is>
      </c>
    </row>
    <row r="7955">
      <c r="B7955" s="24" t="inlineStr">
        <is>
          <t>TelecomScope</t>
        </is>
      </c>
      <c r="C7955" s="24" t="n"/>
      <c r="D7955" s="24" t="inlineStr">
        <is>
          <t>02</t>
        </is>
      </c>
      <c r="E7955" s="24" t="inlineStr">
        <is>
          <t>网络</t>
        </is>
      </c>
    </row>
    <row r="7956">
      <c r="B7956" s="24" t="inlineStr">
        <is>
          <t>TelecomScope</t>
        </is>
      </c>
      <c r="C7956" s="24" t="n"/>
      <c r="D7956" s="24" t="inlineStr">
        <is>
          <t>03</t>
        </is>
      </c>
      <c r="E7956" s="24" t="inlineStr">
        <is>
          <t>有线电视</t>
        </is>
      </c>
    </row>
    <row r="7957">
      <c r="B7957" s="24" t="inlineStr">
        <is>
          <t>TelecomScope</t>
        </is>
      </c>
      <c r="C7957" s="24" t="n"/>
      <c r="D7957" s="24" t="inlineStr">
        <is>
          <t>04</t>
        </is>
      </c>
      <c r="E7957" s="24" t="inlineStr">
        <is>
          <t xml:space="preserve"> 其他</t>
        </is>
      </c>
    </row>
    <row r="7958" ht="15.95" customHeight="1" s="170">
      <c r="B7958" s="122" t="inlineStr">
        <is>
          <t>码值：WoodlandSubType</t>
        </is>
      </c>
    </row>
    <row r="7959">
      <c r="B7959" s="24" t="inlineStr">
        <is>
          <t>WoodlandSubType</t>
        </is>
      </c>
      <c r="C7959" s="24" t="inlineStr">
        <is>
          <t>林地二级地类</t>
        </is>
      </c>
      <c r="D7959" s="24" t="inlineStr">
        <is>
          <t>01</t>
        </is>
      </c>
      <c r="E7959" s="24" t="inlineStr">
        <is>
          <t>有林地</t>
        </is>
      </c>
    </row>
    <row r="7960">
      <c r="B7960" s="24" t="inlineStr">
        <is>
          <t>WoodlandSubType</t>
        </is>
      </c>
      <c r="C7960" s="24" t="inlineStr">
        <is>
          <t>林地二级地类</t>
        </is>
      </c>
      <c r="D7960" s="24" t="inlineStr">
        <is>
          <t>02</t>
        </is>
      </c>
      <c r="E7960" s="24" t="inlineStr">
        <is>
          <t>灌木地</t>
        </is>
      </c>
    </row>
    <row r="7961">
      <c r="B7961" s="24" t="inlineStr">
        <is>
          <t>WoodlandSubType</t>
        </is>
      </c>
      <c r="C7961" s="24" t="inlineStr">
        <is>
          <t>林地二级地类</t>
        </is>
      </c>
      <c r="D7961" s="24" t="inlineStr">
        <is>
          <t>03</t>
        </is>
      </c>
      <c r="E7961" s="24" t="inlineStr">
        <is>
          <t>疏林地</t>
        </is>
      </c>
    </row>
    <row r="7962">
      <c r="B7962" s="24" t="inlineStr">
        <is>
          <t>WoodlandSubType</t>
        </is>
      </c>
      <c r="C7962" s="24" t="inlineStr">
        <is>
          <t>林地二级地类</t>
        </is>
      </c>
      <c r="D7962" s="24" t="inlineStr">
        <is>
          <t>04</t>
        </is>
      </c>
      <c r="E7962" s="24" t="inlineStr">
        <is>
          <t>未成林造林地</t>
        </is>
      </c>
    </row>
    <row r="7963">
      <c r="B7963" s="24" t="inlineStr">
        <is>
          <t>WoodlandSubType</t>
        </is>
      </c>
      <c r="C7963" s="24" t="inlineStr">
        <is>
          <t>林地二级地类</t>
        </is>
      </c>
      <c r="D7963" s="24" t="inlineStr">
        <is>
          <t>05</t>
        </is>
      </c>
      <c r="E7963" s="24" t="inlineStr">
        <is>
          <t>迹地</t>
        </is>
      </c>
    </row>
    <row r="7964">
      <c r="B7964" s="24" t="inlineStr">
        <is>
          <t>WoodlandSubType</t>
        </is>
      </c>
      <c r="C7964" s="24" t="inlineStr">
        <is>
          <t>林地二级地类</t>
        </is>
      </c>
      <c r="D7964" s="24" t="inlineStr">
        <is>
          <t>06</t>
        </is>
      </c>
      <c r="E7964" s="24" t="inlineStr">
        <is>
          <t>苗圃</t>
        </is>
      </c>
    </row>
    <row r="7965" ht="15.95" customHeight="1" s="170">
      <c r="B7965" s="122" t="inlineStr">
        <is>
          <t>码值：IndividualTaxType</t>
        </is>
      </c>
    </row>
    <row r="7966">
      <c r="B7966" s="24" t="inlineStr">
        <is>
          <t>IndividualTaxType</t>
        </is>
      </c>
      <c r="C7966" s="24" t="inlineStr">
        <is>
          <t>个人税种</t>
        </is>
      </c>
      <c r="D7966" s="24" t="inlineStr">
        <is>
          <t>01</t>
        </is>
      </c>
      <c r="E7966" s="24" t="inlineStr">
        <is>
          <t>个人所得税</t>
        </is>
      </c>
    </row>
    <row r="7967">
      <c r="B7967" s="24" t="inlineStr">
        <is>
          <t>IndividualTaxType</t>
        </is>
      </c>
      <c r="C7967" s="24" t="inlineStr">
        <is>
          <t>个人税种</t>
        </is>
      </c>
      <c r="D7967" s="24" t="inlineStr">
        <is>
          <t>02</t>
        </is>
      </c>
      <c r="E7967" s="24" t="inlineStr">
        <is>
          <t>印花税</t>
        </is>
      </c>
    </row>
    <row r="7968">
      <c r="B7968" s="24" t="inlineStr">
        <is>
          <t>IndividualTaxType</t>
        </is>
      </c>
      <c r="C7968" s="24" t="inlineStr">
        <is>
          <t>个人税种</t>
        </is>
      </c>
      <c r="D7968" s="24" t="inlineStr">
        <is>
          <t>03</t>
        </is>
      </c>
      <c r="E7968" s="24" t="inlineStr">
        <is>
          <t>房产税</t>
        </is>
      </c>
    </row>
    <row r="7969">
      <c r="B7969" s="24" t="inlineStr">
        <is>
          <t>IndividualTaxType</t>
        </is>
      </c>
      <c r="C7969" s="24" t="inlineStr">
        <is>
          <t>个人税种</t>
        </is>
      </c>
      <c r="D7969" s="24" t="inlineStr">
        <is>
          <t>04</t>
        </is>
      </c>
      <c r="E7969" s="24" t="inlineStr">
        <is>
          <t>营业税</t>
        </is>
      </c>
    </row>
    <row r="7970">
      <c r="B7970" s="24" t="inlineStr">
        <is>
          <t>IndividualTaxType</t>
        </is>
      </c>
      <c r="C7970" s="24" t="inlineStr">
        <is>
          <t>个人税种</t>
        </is>
      </c>
      <c r="D7970" s="24" t="inlineStr">
        <is>
          <t>05</t>
        </is>
      </c>
      <c r="E7970" s="24" t="inlineStr">
        <is>
          <t>车辆购置税</t>
        </is>
      </c>
    </row>
    <row r="7971">
      <c r="B7971" s="24" t="inlineStr">
        <is>
          <t>IndividualTaxType</t>
        </is>
      </c>
      <c r="C7971" s="24" t="inlineStr">
        <is>
          <t>个人税种</t>
        </is>
      </c>
      <c r="D7971" s="24" t="inlineStr">
        <is>
          <t>06</t>
        </is>
      </c>
      <c r="E7971" s="24" t="inlineStr">
        <is>
          <t>车船使用税</t>
        </is>
      </c>
    </row>
    <row r="7972">
      <c r="B7972" s="24" t="inlineStr">
        <is>
          <t>IndividualTaxType</t>
        </is>
      </c>
      <c r="C7972" s="24" t="inlineStr">
        <is>
          <t>个人税种</t>
        </is>
      </c>
      <c r="D7972" s="24" t="inlineStr">
        <is>
          <t>07</t>
        </is>
      </c>
      <c r="E7972" s="24" t="inlineStr">
        <is>
          <t>城镇土地使用税</t>
        </is>
      </c>
    </row>
    <row r="7973">
      <c r="B7973" s="24" t="inlineStr">
        <is>
          <t>IndividualTaxType</t>
        </is>
      </c>
      <c r="C7973" s="24" t="inlineStr">
        <is>
          <t>个人税种</t>
        </is>
      </c>
      <c r="D7973" s="24" t="inlineStr">
        <is>
          <t>08</t>
        </is>
      </c>
      <c r="E7973" s="24" t="inlineStr">
        <is>
          <t>土地增值税</t>
        </is>
      </c>
    </row>
    <row r="7974">
      <c r="B7974" s="24" t="inlineStr">
        <is>
          <t>IndividualTaxType</t>
        </is>
      </c>
      <c r="C7974" s="24" t="inlineStr">
        <is>
          <t>个人税种</t>
        </is>
      </c>
      <c r="D7974" s="24" t="inlineStr">
        <is>
          <t>09</t>
        </is>
      </c>
      <c r="E7974" s="24" t="inlineStr">
        <is>
          <t>农业税</t>
        </is>
      </c>
    </row>
    <row r="7975">
      <c r="B7975" s="24" t="inlineStr">
        <is>
          <t>IndividualTaxType</t>
        </is>
      </c>
      <c r="C7975" s="24" t="inlineStr">
        <is>
          <t>个人税种</t>
        </is>
      </c>
      <c r="D7975" s="24" t="inlineStr">
        <is>
          <t>10</t>
        </is>
      </c>
      <c r="E7975" s="24" t="inlineStr">
        <is>
          <t>耕地占用税</t>
        </is>
      </c>
    </row>
    <row r="7976">
      <c r="B7976" s="24" t="inlineStr">
        <is>
          <t>IndividualTaxType</t>
        </is>
      </c>
      <c r="C7976" s="24" t="inlineStr">
        <is>
          <t>个人税种</t>
        </is>
      </c>
      <c r="D7976" s="24" t="inlineStr">
        <is>
          <t>11</t>
        </is>
      </c>
      <c r="E7976" s="24" t="inlineStr">
        <is>
          <t>契税</t>
        </is>
      </c>
    </row>
    <row r="7977">
      <c r="B7977" s="24" t="inlineStr">
        <is>
          <t>IndividualTaxType</t>
        </is>
      </c>
      <c r="C7977" s="24" t="inlineStr">
        <is>
          <t>个人税种</t>
        </is>
      </c>
      <c r="D7977" s="24" t="inlineStr">
        <is>
          <t>12</t>
        </is>
      </c>
      <c r="E7977" s="24" t="inlineStr">
        <is>
          <t>其它</t>
        </is>
      </c>
    </row>
    <row r="7978" ht="15.95" customHeight="1" s="170">
      <c r="B7978" s="122" t="inlineStr">
        <is>
          <t>码值：AssetTransferTree</t>
        </is>
      </c>
    </row>
    <row r="7979">
      <c r="B7979" s="24" t="inlineStr">
        <is>
          <t>AssetTransferTree</t>
        </is>
      </c>
      <c r="C7979" s="24" t="inlineStr">
        <is>
          <t>资产转受让树图</t>
        </is>
      </c>
      <c r="D7979" s="24" t="inlineStr">
        <is>
          <t>01</t>
        </is>
      </c>
      <c r="E7979" s="24" t="inlineStr">
        <is>
          <t>项目管理</t>
        </is>
      </c>
    </row>
    <row r="7980">
      <c r="B7980" s="24" t="inlineStr">
        <is>
          <t>AssetTransferTree</t>
        </is>
      </c>
      <c r="C7980" s="24" t="inlineStr">
        <is>
          <t>资产转受让树图</t>
        </is>
      </c>
      <c r="D7980" s="24" t="inlineStr">
        <is>
          <t>0101</t>
        </is>
      </c>
      <c r="E7980" s="24" t="inlineStr">
        <is>
          <t>新建立项目</t>
        </is>
      </c>
    </row>
    <row r="7981">
      <c r="B7981" s="24" t="inlineStr">
        <is>
          <t>AssetTransferTree</t>
        </is>
      </c>
      <c r="C7981" s="24" t="inlineStr">
        <is>
          <t>资产转受让树图</t>
        </is>
      </c>
      <c r="D7981" s="24" t="inlineStr">
        <is>
          <t>0102</t>
        </is>
      </c>
      <c r="E7981" s="24" t="inlineStr">
        <is>
          <t>已生效项目</t>
        </is>
      </c>
    </row>
    <row r="7982">
      <c r="B7982" s="24" t="inlineStr">
        <is>
          <t>AssetTransferTree</t>
        </is>
      </c>
      <c r="C7982" s="24" t="inlineStr">
        <is>
          <t>资产转受让树图</t>
        </is>
      </c>
      <c r="D7982" s="24" t="inlineStr">
        <is>
          <t>0103</t>
        </is>
      </c>
      <c r="E7982" s="24" t="inlineStr">
        <is>
          <t>已交割项目</t>
        </is>
      </c>
    </row>
    <row r="7983">
      <c r="B7983" s="24" t="inlineStr">
        <is>
          <t>AssetTransferTree</t>
        </is>
      </c>
      <c r="C7983" s="24" t="inlineStr">
        <is>
          <t>资产转受让树图</t>
        </is>
      </c>
      <c r="D7983" s="24" t="inlineStr">
        <is>
          <t>0104</t>
        </is>
      </c>
      <c r="E7983" s="24" t="inlineStr">
        <is>
          <t>已结清项目</t>
        </is>
      </c>
    </row>
    <row r="7984">
      <c r="B7984" s="24" t="inlineStr">
        <is>
          <t>AssetTransferTree</t>
        </is>
      </c>
      <c r="C7984" s="24" t="inlineStr">
        <is>
          <t>资产转受让树图</t>
        </is>
      </c>
      <c r="D7984" s="24" t="inlineStr">
        <is>
          <t>0105</t>
        </is>
      </c>
      <c r="E7984" s="24" t="inlineStr">
        <is>
          <t>已归档项目</t>
        </is>
      </c>
    </row>
    <row r="7985">
      <c r="B7985" s="24" t="inlineStr">
        <is>
          <t>AssetTransferTree</t>
        </is>
      </c>
      <c r="C7985" s="24" t="inlineStr">
        <is>
          <t>资产转受让树图</t>
        </is>
      </c>
      <c r="D7985" s="24" t="inlineStr">
        <is>
          <t>02</t>
        </is>
      </c>
      <c r="E7985" s="24" t="inlineStr">
        <is>
          <t>项目管理</t>
        </is>
      </c>
    </row>
    <row r="7986">
      <c r="B7986" s="24" t="inlineStr">
        <is>
          <t>AssetTransferTree</t>
        </is>
      </c>
      <c r="C7986" s="24" t="inlineStr">
        <is>
          <t>资产转受让树图</t>
        </is>
      </c>
      <c r="D7986" s="24" t="inlineStr">
        <is>
          <t>0201</t>
        </is>
      </c>
      <c r="E7986" s="24" t="inlineStr">
        <is>
          <t>新建立项目</t>
        </is>
      </c>
    </row>
    <row r="7987">
      <c r="B7987" s="24" t="inlineStr">
        <is>
          <t>AssetTransferTree</t>
        </is>
      </c>
      <c r="C7987" s="24" t="inlineStr">
        <is>
          <t>资产转受让树图</t>
        </is>
      </c>
      <c r="D7987" s="24" t="inlineStr">
        <is>
          <t>0202</t>
        </is>
      </c>
      <c r="E7987" s="24" t="inlineStr">
        <is>
          <t>已下账项目</t>
        </is>
      </c>
    </row>
    <row r="7988">
      <c r="B7988" s="24" t="inlineStr">
        <is>
          <t>AssetTransferTree</t>
        </is>
      </c>
      <c r="C7988" s="24" t="inlineStr">
        <is>
          <t>资产转受让树图</t>
        </is>
      </c>
      <c r="D7988" s="24" t="inlineStr">
        <is>
          <t>0203</t>
        </is>
      </c>
      <c r="E7988" s="24" t="inlineStr">
        <is>
          <t>已结清项目</t>
        </is>
      </c>
    </row>
    <row r="7989">
      <c r="B7989" s="24" t="inlineStr">
        <is>
          <t>AssetTransferTree</t>
        </is>
      </c>
      <c r="C7989" s="24" t="inlineStr">
        <is>
          <t>资产转受让树图</t>
        </is>
      </c>
      <c r="D7989" s="24" t="inlineStr">
        <is>
          <t>0204</t>
        </is>
      </c>
      <c r="E7989" s="24" t="inlineStr">
        <is>
          <t>已归档项目</t>
        </is>
      </c>
    </row>
    <row r="7990">
      <c r="B7990" s="24" t="inlineStr">
        <is>
          <t>AssetTransferTree</t>
        </is>
      </c>
      <c r="C7990" s="24" t="inlineStr">
        <is>
          <t>资产转受让树图</t>
        </is>
      </c>
      <c r="D7990" s="24" t="inlineStr">
        <is>
          <t>03</t>
        </is>
      </c>
      <c r="E7990" s="24" t="inlineStr">
        <is>
          <t>项目相关查询</t>
        </is>
      </c>
    </row>
    <row r="7991" ht="15.95" customHeight="1" s="170">
      <c r="B7991" s="122" t="inlineStr">
        <is>
          <t>码值：EvalModelProfit</t>
        </is>
      </c>
    </row>
    <row r="7992">
      <c r="B7992" s="24" t="inlineStr">
        <is>
          <t>EvalModelProfit</t>
        </is>
      </c>
      <c r="C7992" s="24" t="inlineStr">
        <is>
          <t>收益法估值模板</t>
        </is>
      </c>
      <c r="D7992" s="24" t="inlineStr">
        <is>
          <t>M_CMG_CKQL</t>
        </is>
      </c>
      <c r="E7992" s="24" t="inlineStr">
        <is>
          <t>采矿权</t>
        </is>
      </c>
    </row>
    <row r="7993">
      <c r="B7993" s="24" t="inlineStr">
        <is>
          <t>EvalModelProfit</t>
        </is>
      </c>
      <c r="C7993" s="24" t="inlineStr">
        <is>
          <t>收益法估值模板</t>
        </is>
      </c>
      <c r="D7993" s="24" t="inlineStr">
        <is>
          <t>M_CMG_LM</t>
        </is>
      </c>
      <c r="E7993" s="24" t="inlineStr">
        <is>
          <t>林木收益法</t>
        </is>
      </c>
    </row>
    <row r="7994" ht="15.95" customHeight="1" s="170">
      <c r="B7994" s="122" t="inlineStr">
        <is>
          <t>码值：SMECreditSupply</t>
        </is>
      </c>
    </row>
    <row r="7995">
      <c r="B7995" s="24" t="inlineStr">
        <is>
          <t>SMECreditSupply</t>
        </is>
      </c>
      <c r="C7995" s="24" t="inlineStr">
        <is>
          <t>产品供求</t>
        </is>
      </c>
      <c r="D7995" s="24" t="inlineStr">
        <is>
          <t>010</t>
        </is>
      </c>
      <c r="E7995" s="24" t="inlineStr">
        <is>
          <t>供不应求</t>
        </is>
      </c>
    </row>
    <row r="7996">
      <c r="B7996" s="24" t="inlineStr">
        <is>
          <t>SMECreditSupply</t>
        </is>
      </c>
      <c r="C7996" s="24" t="inlineStr">
        <is>
          <t>产品供求</t>
        </is>
      </c>
      <c r="D7996" s="24" t="inlineStr">
        <is>
          <t>020</t>
        </is>
      </c>
      <c r="E7996" s="24" t="inlineStr">
        <is>
          <t>供求平衡</t>
        </is>
      </c>
    </row>
    <row r="7997">
      <c r="B7997" s="24" t="inlineStr">
        <is>
          <t>SMECreditSupply</t>
        </is>
      </c>
      <c r="C7997" s="24" t="inlineStr">
        <is>
          <t>产品供求</t>
        </is>
      </c>
      <c r="D7997" s="24" t="inlineStr">
        <is>
          <t>030</t>
        </is>
      </c>
      <c r="E7997" s="24" t="inlineStr">
        <is>
          <t>供过于求</t>
        </is>
      </c>
    </row>
    <row r="7998" ht="15.95" customHeight="1" s="170">
      <c r="B7998" s="122" t="inlineStr">
        <is>
          <t>码值：PTFreezeType</t>
        </is>
      </c>
    </row>
    <row r="7999">
      <c r="B7999" s="24" t="inlineStr">
        <is>
          <t>PTFreezeType</t>
        </is>
      </c>
      <c r="C7999" s="24" t="inlineStr">
        <is>
          <t>冻结方式</t>
        </is>
      </c>
      <c r="D7999" s="24" t="inlineStr">
        <is>
          <t>ACS</t>
        </is>
      </c>
      <c r="E7999" s="24" t="inlineStr">
        <is>
          <t>账户冻结</t>
        </is>
      </c>
    </row>
    <row r="8000">
      <c r="B8000" s="24" t="inlineStr">
        <is>
          <t>PTFreezeType</t>
        </is>
      </c>
      <c r="C8000" s="24" t="inlineStr">
        <is>
          <t>冻结方式</t>
        </is>
      </c>
      <c r="D8000" s="24" t="inlineStr">
        <is>
          <t>BEM</t>
        </is>
      </c>
      <c r="E8000" s="24" t="inlineStr">
        <is>
          <t>警告信息</t>
        </is>
      </c>
    </row>
    <row r="8001">
      <c r="B8001" s="24" t="inlineStr">
        <is>
          <t>PTFreezeType</t>
        </is>
      </c>
      <c r="C8001" s="24" t="inlineStr">
        <is>
          <t>冻结方式</t>
        </is>
      </c>
      <c r="D8001" s="24" t="inlineStr">
        <is>
          <t>CSH</t>
        </is>
      </c>
      <c r="E8001" s="24" t="inlineStr">
        <is>
          <t>只允许现金交易</t>
        </is>
      </c>
    </row>
    <row r="8002">
      <c r="B8002" s="24" t="inlineStr">
        <is>
          <t>PTFreezeType</t>
        </is>
      </c>
      <c r="C8002" s="24" t="inlineStr">
        <is>
          <t>冻结方式</t>
        </is>
      </c>
      <c r="D8002" s="24" t="inlineStr">
        <is>
          <t>FDH</t>
        </is>
      </c>
      <c r="E8002" s="24" t="inlineStr">
        <is>
          <t>余额冻结</t>
        </is>
      </c>
    </row>
    <row r="8003">
      <c r="B8003" s="24" t="inlineStr">
        <is>
          <t>PTFreezeType</t>
        </is>
      </c>
      <c r="C8003" s="24" t="inlineStr">
        <is>
          <t>冻结方式</t>
        </is>
      </c>
      <c r="D8003" s="24" t="inlineStr">
        <is>
          <t>FEH</t>
        </is>
      </c>
      <c r="E8003" s="24" t="inlineStr">
        <is>
          <t>存款额度冻结</t>
        </is>
      </c>
    </row>
    <row r="8004">
      <c r="B8004" s="24" t="inlineStr">
        <is>
          <t>PTFreezeType</t>
        </is>
      </c>
      <c r="C8004" s="24" t="inlineStr">
        <is>
          <t>冻结方式</t>
        </is>
      </c>
      <c r="D8004" s="24" t="inlineStr">
        <is>
          <t>HOL</t>
        </is>
      </c>
      <c r="E8004" s="24" t="inlineStr">
        <is>
          <t>余额冻结（系统使用）</t>
        </is>
      </c>
    </row>
    <row r="8005">
      <c r="B8005" s="24" t="inlineStr">
        <is>
          <t>PTFreezeType</t>
        </is>
      </c>
      <c r="C8005" s="24" t="inlineStr">
        <is>
          <t>冻结方式</t>
        </is>
      </c>
      <c r="D8005" s="24" t="inlineStr">
        <is>
          <t>SDP</t>
        </is>
      </c>
      <c r="E8005" s="24" t="inlineStr">
        <is>
          <t>贷方冻结</t>
        </is>
      </c>
    </row>
    <row r="8006">
      <c r="B8006" s="24" t="inlineStr">
        <is>
          <t>PTFreezeType</t>
        </is>
      </c>
      <c r="C8006" s="24" t="inlineStr">
        <is>
          <t>冻结方式</t>
        </is>
      </c>
      <c r="D8006" s="24" t="inlineStr">
        <is>
          <t>SWD</t>
        </is>
      </c>
      <c r="E8006" s="24" t="inlineStr">
        <is>
          <t>借方冻结（系统使用）</t>
        </is>
      </c>
    </row>
    <row r="8007">
      <c r="B8007" s="24" t="inlineStr">
        <is>
          <t>PTFreezeType</t>
        </is>
      </c>
      <c r="C8007" s="24" t="inlineStr">
        <is>
          <t>冻结方式</t>
        </is>
      </c>
      <c r="D8007" s="24" t="inlineStr">
        <is>
          <t>SWR</t>
        </is>
      </c>
      <c r="E8007" s="24" t="inlineStr">
        <is>
          <t>借方冻结</t>
        </is>
      </c>
    </row>
    <row r="8008">
      <c r="B8008" s="24" t="inlineStr">
        <is>
          <t>PTFreezeType</t>
        </is>
      </c>
      <c r="C8008" s="24" t="inlineStr">
        <is>
          <t>冻结方式</t>
        </is>
      </c>
      <c r="D8008" s="24" t="inlineStr">
        <is>
          <t>TDS</t>
        </is>
      </c>
      <c r="E8008" s="24" t="inlineStr">
        <is>
          <t>存单冻结</t>
        </is>
      </c>
    </row>
    <row r="8009">
      <c r="B8009" s="24" t="inlineStr">
        <is>
          <t>PTFreezeType</t>
        </is>
      </c>
      <c r="C8009" s="24" t="inlineStr">
        <is>
          <t>冻结方式</t>
        </is>
      </c>
      <c r="D8009" s="24" t="inlineStr">
        <is>
          <t>YQD</t>
        </is>
      </c>
      <c r="E8009" s="24" t="inlineStr">
        <is>
          <t>QDII</t>
        </is>
      </c>
    </row>
    <row r="8010">
      <c r="B8010" s="24" t="inlineStr">
        <is>
          <t>PTFreezeType</t>
        </is>
      </c>
      <c r="C8010" s="24" t="inlineStr">
        <is>
          <t>冻结方式</t>
        </is>
      </c>
      <c r="D8010" s="24" t="inlineStr">
        <is>
          <t>YUT</t>
        </is>
      </c>
      <c r="E8010" s="24" t="inlineStr">
        <is>
          <t>人民币基金</t>
        </is>
      </c>
    </row>
    <row r="8011">
      <c r="B8011" s="24" t="inlineStr">
        <is>
          <t>PTFreezeType</t>
        </is>
      </c>
      <c r="C8011" s="24" t="inlineStr">
        <is>
          <t>冻结方式</t>
        </is>
      </c>
      <c r="D8011" s="24" t="inlineStr">
        <is>
          <t>YWM</t>
        </is>
      </c>
      <c r="E8011" s="24" t="inlineStr">
        <is>
          <t>行内理财</t>
        </is>
      </c>
    </row>
    <row r="8012" ht="15.95" customHeight="1" s="170">
      <c r="B8012" s="122" t="inlineStr">
        <is>
          <t>码值：设计和技术风险</t>
        </is>
      </c>
    </row>
    <row r="8013">
      <c r="B8013" s="24" t="inlineStr">
        <is>
          <t>设计和技术风险</t>
        </is>
      </c>
      <c r="C8013" s="24" t="inlineStr">
        <is>
          <t>设计和技术风险</t>
        </is>
      </c>
      <c r="D8013" s="24" t="inlineStr">
        <is>
          <t>01</t>
        </is>
      </c>
      <c r="E8013" s="24" t="inlineStr">
        <is>
          <t>技术和设计完全可靠，并且市场上没有出现更领先的技术</t>
        </is>
      </c>
    </row>
    <row r="8014">
      <c r="B8014" s="24" t="inlineStr">
        <is>
          <t>设计和技术风险</t>
        </is>
      </c>
      <c r="C8014" s="24" t="inlineStr">
        <is>
          <t>设计和技术风险</t>
        </is>
      </c>
      <c r="D8014" s="24" t="inlineStr">
        <is>
          <t>02</t>
        </is>
      </c>
      <c r="E8014" s="24" t="inlineStr">
        <is>
          <t>技术和设计完全可靠</t>
        </is>
      </c>
    </row>
    <row r="8015">
      <c r="B8015" s="24" t="inlineStr">
        <is>
          <t>设计和技术风险</t>
        </is>
      </c>
      <c r="C8015" s="24" t="inlineStr">
        <is>
          <t>设计和技术风险</t>
        </is>
      </c>
      <c r="D8015" s="24" t="inlineStr">
        <is>
          <t>03</t>
        </is>
      </c>
      <c r="E8015" s="24" t="inlineStr">
        <is>
          <t>技术和设计可靠，虽然项目面临建设风险，但可用完工方案完备，可缓解新技术等可能存在的问题</t>
        </is>
      </c>
    </row>
    <row r="8016">
      <c r="B8016" s="24" t="inlineStr">
        <is>
          <t>设计和技术风险</t>
        </is>
      </c>
      <c r="C8016" s="24" t="inlineStr">
        <is>
          <t>设计和技术风险</t>
        </is>
      </c>
      <c r="D8016" s="24" t="inlineStr">
        <is>
          <t>04</t>
        </is>
      </c>
      <c r="E8016" s="24" t="inlineStr">
        <is>
          <t>技术和设计不可靠/存在技术问题和/或设计复杂</t>
        </is>
      </c>
    </row>
    <row r="8017" ht="15.95" customHeight="1" s="170">
      <c r="B8017" s="122" t="inlineStr">
        <is>
          <t>码值：ApplyTypeX</t>
        </is>
      </c>
    </row>
    <row r="8018">
      <c r="B8018" s="24" t="inlineStr">
        <is>
          <t>ApplyTypeX</t>
        </is>
      </c>
      <c r="C8018" s="24" t="inlineStr">
        <is>
          <t>申请类型</t>
        </is>
      </c>
      <c r="D8018" s="24" t="inlineStr">
        <is>
          <t>ApplyType代码</t>
        </is>
      </c>
      <c r="E8018" s="24" t="inlineStr">
        <is>
          <t>ApplyType名称</t>
        </is>
      </c>
    </row>
    <row r="8019">
      <c r="B8019" s="24" t="inlineStr">
        <is>
          <t>ApplyTypeX</t>
        </is>
      </c>
      <c r="C8019" s="24" t="inlineStr">
        <is>
          <t>申请类型</t>
        </is>
      </c>
      <c r="D8019" s="24" t="inlineStr">
        <is>
          <t>ApproveApply</t>
        </is>
      </c>
      <c r="E8019" s="24" t="inlineStr">
        <is>
          <t>最终审批意见登记</t>
        </is>
      </c>
    </row>
    <row r="8020">
      <c r="B8020" s="24" t="inlineStr">
        <is>
          <t>ApplyTypeX</t>
        </is>
      </c>
      <c r="C8020" s="24" t="inlineStr">
        <is>
          <t>申请类型</t>
        </is>
      </c>
      <c r="D8020" s="24" t="inlineStr">
        <is>
          <t>ClassifyApply</t>
        </is>
      </c>
      <c r="E8020" s="24" t="inlineStr">
        <is>
          <t>五级分类申请</t>
        </is>
      </c>
    </row>
    <row r="8021">
      <c r="B8021" s="24" t="inlineStr">
        <is>
          <t>ApplyTypeX</t>
        </is>
      </c>
      <c r="C8021" s="24" t="inlineStr">
        <is>
          <t>申请类型</t>
        </is>
      </c>
      <c r="D8021" s="24" t="inlineStr">
        <is>
          <t>CreditApplyEnt</t>
        </is>
      </c>
      <c r="E8021" s="24" t="inlineStr">
        <is>
          <t>对公客户授信申请</t>
        </is>
      </c>
    </row>
    <row r="8022">
      <c r="B8022" s="24" t="inlineStr">
        <is>
          <t>ApplyTypeX</t>
        </is>
      </c>
      <c r="C8022" s="24" t="inlineStr">
        <is>
          <t>申请类型</t>
        </is>
      </c>
      <c r="D8022" s="24" t="inlineStr">
        <is>
          <t>CreditApplyInd</t>
        </is>
      </c>
      <c r="E8022" s="24" t="inlineStr">
        <is>
          <t>个人客户授信申请</t>
        </is>
      </c>
    </row>
    <row r="8023">
      <c r="B8023" s="24" t="inlineStr">
        <is>
          <t>ApplyTypeX</t>
        </is>
      </c>
      <c r="C8023" s="24" t="inlineStr">
        <is>
          <t>申请类型</t>
        </is>
      </c>
      <c r="D8023" s="24" t="inlineStr">
        <is>
          <t>CreditCogApply</t>
        </is>
      </c>
      <c r="E8023" s="24" t="inlineStr">
        <is>
          <t>信用等级评估申请</t>
        </is>
      </c>
    </row>
    <row r="8024">
      <c r="B8024" s="24" t="inlineStr">
        <is>
          <t>ApplyTypeX</t>
        </is>
      </c>
      <c r="C8024" s="24" t="inlineStr">
        <is>
          <t>申请类型</t>
        </is>
      </c>
      <c r="D8024" s="24" t="inlineStr">
        <is>
          <t>CreditLineApply</t>
        </is>
      </c>
      <c r="E8024" s="24" t="inlineStr">
        <is>
          <t>授信额度申请</t>
        </is>
      </c>
    </row>
    <row r="8025">
      <c r="B8025" s="24" t="inlineStr">
        <is>
          <t>ApplyTypeX</t>
        </is>
      </c>
      <c r="C8025" s="24" t="inlineStr">
        <is>
          <t>申请类型</t>
        </is>
      </c>
      <c r="D8025" s="24" t="inlineStr">
        <is>
          <t>CreditTestFlowAppl</t>
        </is>
      </c>
      <c r="E8025" s="24" t="inlineStr">
        <is>
          <t>CreditTestFlowAppl</t>
        </is>
      </c>
    </row>
    <row r="8026">
      <c r="B8026" s="24" t="inlineStr">
        <is>
          <t>ApplyTypeX</t>
        </is>
      </c>
      <c r="C8026" s="24" t="inlineStr">
        <is>
          <t>申请类型</t>
        </is>
      </c>
      <c r="D8026" s="24" t="inlineStr">
        <is>
          <t>CusAssetAndOwe</t>
        </is>
      </c>
      <c r="E8026" s="24" t="inlineStr">
        <is>
          <t>客户资产与负债明细</t>
        </is>
      </c>
    </row>
    <row r="8027">
      <c r="B8027" s="24" t="inlineStr">
        <is>
          <t>ApplyTypeX</t>
        </is>
      </c>
      <c r="C8027" s="24" t="inlineStr">
        <is>
          <t>申请类型</t>
        </is>
      </c>
      <c r="D8027" s="24" t="inlineStr">
        <is>
          <t>DependentApply</t>
        </is>
      </c>
      <c r="E8027" s="24" t="inlineStr">
        <is>
          <t>额度项下业务申请</t>
        </is>
      </c>
    </row>
    <row r="8028">
      <c r="B8028" s="24" t="inlineStr">
        <is>
          <t>ApplyTypeX</t>
        </is>
      </c>
      <c r="C8028" s="24" t="inlineStr">
        <is>
          <t>申请类型</t>
        </is>
      </c>
      <c r="D8028" s="24" t="inlineStr">
        <is>
          <t>IndependentApply</t>
        </is>
      </c>
      <c r="E8028" s="24" t="inlineStr">
        <is>
          <t>单笔授信业务申请</t>
        </is>
      </c>
    </row>
    <row r="8029">
      <c r="B8029" s="24" t="inlineStr">
        <is>
          <t>ApplyTypeX</t>
        </is>
      </c>
      <c r="C8029" s="24" t="inlineStr">
        <is>
          <t>申请类型</t>
        </is>
      </c>
      <c r="D8029" s="24" t="inlineStr">
        <is>
          <t>PartnerProjectAppl</t>
        </is>
      </c>
      <c r="E8029" s="24" t="inlineStr">
        <is>
          <t>合作方项目申请</t>
        </is>
      </c>
    </row>
    <row r="8030">
      <c r="B8030" s="24" t="inlineStr">
        <is>
          <t>ApplyTypeX</t>
        </is>
      </c>
      <c r="C8030" s="24" t="inlineStr">
        <is>
          <t>申请类型</t>
        </is>
      </c>
      <c r="D8030" s="24" t="inlineStr">
        <is>
          <t>PaymentApply</t>
        </is>
      </c>
      <c r="E8030" s="24" t="inlineStr">
        <is>
          <t>支付申请</t>
        </is>
      </c>
    </row>
    <row r="8031">
      <c r="B8031" s="24" t="inlineStr">
        <is>
          <t>ApplyTypeX</t>
        </is>
      </c>
      <c r="C8031" s="24" t="inlineStr">
        <is>
          <t>申请类型</t>
        </is>
      </c>
      <c r="D8031" s="24" t="inlineStr">
        <is>
          <t>PutOutApply</t>
        </is>
      </c>
      <c r="E8031" s="24" t="inlineStr">
        <is>
          <t>放贷申请</t>
        </is>
      </c>
    </row>
    <row r="8032">
      <c r="B8032" s="24" t="inlineStr">
        <is>
          <t>ApplyTypeX</t>
        </is>
      </c>
      <c r="C8032" s="24" t="inlineStr">
        <is>
          <t>申请类型</t>
        </is>
      </c>
      <c r="D8032" s="24" t="inlineStr">
        <is>
          <t>ReserveApply</t>
        </is>
      </c>
      <c r="E8032" s="24" t="inlineStr">
        <is>
          <t>单项计提减值准备认定申请</t>
        </is>
      </c>
    </row>
    <row r="8033">
      <c r="B8033" s="24" t="inlineStr">
        <is>
          <t>ApplyTypeX</t>
        </is>
      </c>
      <c r="C8033" s="24" t="inlineStr">
        <is>
          <t>申请类型</t>
        </is>
      </c>
      <c r="D8033" s="24" t="inlineStr">
        <is>
          <t>SMEConApply</t>
        </is>
      </c>
      <c r="E8033" s="24" t="inlineStr">
        <is>
          <t>中小企业资格认定申请</t>
        </is>
      </c>
    </row>
    <row r="8034">
      <c r="B8034" s="24" t="inlineStr">
        <is>
          <t>ApplyTypeX</t>
        </is>
      </c>
      <c r="C8034" s="24" t="inlineStr">
        <is>
          <t>申请类型</t>
        </is>
      </c>
      <c r="D8034" s="24" t="inlineStr">
        <is>
          <t>TransformApply</t>
        </is>
      </c>
      <c r="E8034" s="24" t="inlineStr">
        <is>
          <t>担保合同变更申请</t>
        </is>
      </c>
    </row>
    <row r="8035">
      <c r="B8035" s="24" t="inlineStr">
        <is>
          <t>ApplyTypeX</t>
        </is>
      </c>
      <c r="C8035" s="24" t="inlineStr">
        <is>
          <t>申请类型</t>
        </is>
      </c>
      <c r="D8035" s="24" t="inlineStr">
        <is>
          <t>UGBodyApply</t>
        </is>
      </c>
      <c r="E8035" s="24" t="inlineStr">
        <is>
          <t>联保体贷款申请</t>
        </is>
      </c>
    </row>
    <row r="8036">
      <c r="B8036" s="24" t="inlineStr">
        <is>
          <t>ApplyTypeX</t>
        </is>
      </c>
      <c r="C8036" s="24" t="inlineStr">
        <is>
          <t>申请类型</t>
        </is>
      </c>
      <c r="D8036" s="24" t="inlineStr">
        <is>
          <t>UnPackApply</t>
        </is>
      </c>
      <c r="E8036" s="24" t="inlineStr">
        <is>
          <t>授信业务打包申请</t>
        </is>
      </c>
    </row>
    <row r="8037" ht="15.95" customHeight="1" s="170">
      <c r="B8037" s="122" t="inlineStr">
        <is>
          <t>码值：PersonFeedBack</t>
        </is>
      </c>
    </row>
    <row r="8038">
      <c r="B8038" s="24" t="inlineStr">
        <is>
          <t>PersonFeedBack</t>
        </is>
      </c>
      <c r="C8038" s="24" t="inlineStr">
        <is>
          <t>人员反馈事项</t>
        </is>
      </c>
      <c r="D8038" s="24" t="inlineStr">
        <is>
          <t>01</t>
        </is>
      </c>
      <c r="E8038" s="24" t="inlineStr">
        <is>
          <t>对评估机构的人员或评估师整体的沟通</t>
        </is>
      </c>
    </row>
    <row r="8039">
      <c r="B8039" s="24" t="inlineStr">
        <is>
          <t>PersonFeedBack</t>
        </is>
      </c>
      <c r="C8039" s="24" t="inlineStr">
        <is>
          <t>人员反馈事项</t>
        </is>
      </c>
      <c r="D8039" s="24" t="inlineStr">
        <is>
          <t>02</t>
        </is>
      </c>
      <c r="E8039" s="24" t="inlineStr">
        <is>
          <t>评估机构的整体服务效率</t>
        </is>
      </c>
    </row>
    <row r="8040">
      <c r="B8040" s="24" t="inlineStr">
        <is>
          <t>PersonFeedBack</t>
        </is>
      </c>
      <c r="C8040" s="24" t="inlineStr">
        <is>
          <t>人员反馈事项</t>
        </is>
      </c>
      <c r="D8040" s="24" t="inlineStr">
        <is>
          <t>03</t>
        </is>
      </c>
      <c r="E8040" s="24" t="inlineStr">
        <is>
          <t>评估报告的全面性</t>
        </is>
      </c>
    </row>
    <row r="8041">
      <c r="B8041" s="24" t="inlineStr">
        <is>
          <t>PersonFeedBack</t>
        </is>
      </c>
      <c r="C8041" s="24" t="inlineStr">
        <is>
          <t>人员反馈事项</t>
        </is>
      </c>
      <c r="D8041" s="24" t="inlineStr">
        <is>
          <t>04</t>
        </is>
      </c>
      <c r="E8041" s="24" t="inlineStr">
        <is>
          <t>评估报告的公正性</t>
        </is>
      </c>
    </row>
    <row r="8042">
      <c r="B8042" s="24" t="inlineStr">
        <is>
          <t>PersonFeedBack</t>
        </is>
      </c>
      <c r="C8042" s="24" t="inlineStr">
        <is>
          <t>人员反馈事项</t>
        </is>
      </c>
      <c r="D8042" s="24" t="inlineStr">
        <is>
          <t>05</t>
        </is>
      </c>
      <c r="E8042" s="24" t="inlineStr">
        <is>
          <t>评估报告的客观性</t>
        </is>
      </c>
    </row>
    <row r="8043">
      <c r="B8043" s="24" t="inlineStr">
        <is>
          <t>PersonFeedBack</t>
        </is>
      </c>
      <c r="C8043" s="24" t="inlineStr">
        <is>
          <t>人员反馈事项</t>
        </is>
      </c>
      <c r="D8043" s="24" t="inlineStr">
        <is>
          <t>06</t>
        </is>
      </c>
      <c r="E8043" s="24" t="inlineStr">
        <is>
          <t>评估报告的准确性</t>
        </is>
      </c>
    </row>
    <row r="8044">
      <c r="B8044" s="24" t="inlineStr">
        <is>
          <t>PersonFeedBack</t>
        </is>
      </c>
      <c r="C8044" s="24" t="inlineStr">
        <is>
          <t>人员反馈事项</t>
        </is>
      </c>
      <c r="D8044" s="24" t="inlineStr">
        <is>
          <t>07</t>
        </is>
      </c>
      <c r="E8044" s="24" t="inlineStr">
        <is>
          <t>评估报告的概括性</t>
        </is>
      </c>
    </row>
    <row r="8045">
      <c r="B8045" s="24" t="inlineStr">
        <is>
          <t>PersonFeedBack</t>
        </is>
      </c>
      <c r="C8045" s="24" t="inlineStr">
        <is>
          <t>人员反馈事项</t>
        </is>
      </c>
      <c r="D8045" s="24" t="inlineStr">
        <is>
          <t>08</t>
        </is>
      </c>
      <c r="E8045" s="24" t="inlineStr">
        <is>
          <t>评估机构服务情况</t>
        </is>
      </c>
    </row>
    <row r="8046" ht="15.95" customHeight="1" s="170">
      <c r="B8046" s="122" t="inlineStr">
        <is>
          <t>码值：BatchFinanceApproveView</t>
        </is>
      </c>
    </row>
    <row r="8047">
      <c r="B8047" s="24" t="inlineStr">
        <is>
          <t>BatchFinanceApproveView</t>
        </is>
      </c>
      <c r="C8047" s="24" t="inlineStr">
        <is>
          <t>同业批量授信批复视图</t>
        </is>
      </c>
      <c r="D8047" s="24" t="inlineStr">
        <is>
          <t>010</t>
        </is>
      </c>
      <c r="E8047" s="24" t="inlineStr">
        <is>
          <t>基本信息</t>
        </is>
      </c>
    </row>
    <row r="8048">
      <c r="B8048" s="24" t="inlineStr">
        <is>
          <t>BatchFinanceApproveView</t>
        </is>
      </c>
      <c r="C8048" s="24" t="inlineStr">
        <is>
          <t>同业批量授信批复视图</t>
        </is>
      </c>
      <c r="D8048" s="24" t="inlineStr">
        <is>
          <t>020</t>
        </is>
      </c>
      <c r="E8048" s="24" t="inlineStr">
        <is>
          <t>业务文档信息</t>
        </is>
      </c>
    </row>
    <row r="8049" ht="15.95" customHeight="1" s="170">
      <c r="B8049" s="122" t="inlineStr">
        <is>
          <t>码值：AssessAssetsType</t>
        </is>
      </c>
    </row>
    <row r="8050">
      <c r="B8050" s="24" t="inlineStr">
        <is>
          <t>AssessAssetsType</t>
        </is>
      </c>
      <c r="C8050" s="24" t="inlineStr">
        <is>
          <t>评估机构评分模板</t>
        </is>
      </c>
      <c r="D8050" s="24" t="inlineStr">
        <is>
          <t>01</t>
        </is>
      </c>
      <c r="E8050" s="24" t="inlineStr">
        <is>
          <t>资产评估</t>
        </is>
      </c>
    </row>
    <row r="8051">
      <c r="B8051" s="24" t="inlineStr">
        <is>
          <t>AssessAssetsType</t>
        </is>
      </c>
      <c r="C8051" s="24" t="inlineStr">
        <is>
          <t>评估机构评分模板</t>
        </is>
      </c>
      <c r="D8051" s="24" t="inlineStr">
        <is>
          <t>02</t>
        </is>
      </c>
      <c r="E8051" s="24" t="inlineStr">
        <is>
          <t>房地产评估</t>
        </is>
      </c>
    </row>
    <row r="8052">
      <c r="B8052" s="24" t="inlineStr">
        <is>
          <t>AssessAssetsType</t>
        </is>
      </c>
      <c r="C8052" s="24" t="inlineStr">
        <is>
          <t>评估机构评分模板</t>
        </is>
      </c>
      <c r="D8052" s="24" t="inlineStr">
        <is>
          <t>03</t>
        </is>
      </c>
      <c r="E8052" s="24" t="inlineStr">
        <is>
          <t>土地评估</t>
        </is>
      </c>
    </row>
    <row r="8053">
      <c r="B8053" s="24" t="inlineStr">
        <is>
          <t>AssessAssetsType</t>
        </is>
      </c>
      <c r="C8053" s="24" t="inlineStr">
        <is>
          <t>评估机构评分模板</t>
        </is>
      </c>
      <c r="D8053" s="24" t="inlineStr">
        <is>
          <t>04</t>
        </is>
      </c>
      <c r="E8053" s="24" t="inlineStr">
        <is>
          <t>其他资产评估</t>
        </is>
      </c>
    </row>
    <row r="8054" ht="15.95" customHeight="1" s="170">
      <c r="B8054" s="122" t="inlineStr">
        <is>
          <t>码值：政府支持的及时性</t>
        </is>
      </c>
    </row>
    <row r="8055">
      <c r="B8055" s="24" t="inlineStr">
        <is>
          <t>政府支持的及时性</t>
        </is>
      </c>
      <c r="C8055" s="24" t="inlineStr">
        <is>
          <t>政府支持的及时性</t>
        </is>
      </c>
      <c r="D8055" s="24" t="inlineStr">
        <is>
          <t>01</t>
        </is>
      </c>
      <c r="E8055" s="24" t="inlineStr">
        <is>
          <t>能够及时获得支持</t>
        </is>
      </c>
    </row>
    <row r="8056">
      <c r="B8056" s="24" t="inlineStr">
        <is>
          <t>政府支持的及时性</t>
        </is>
      </c>
      <c r="C8056" s="24" t="inlineStr">
        <is>
          <t>政府支持的及时性</t>
        </is>
      </c>
      <c r="D8056" s="24" t="inlineStr">
        <is>
          <t>02</t>
        </is>
      </c>
      <c r="E8056" s="24" t="inlineStr">
        <is>
          <t>內部流程明确，但支持程序可能受到复杂的机制（例如多重行政机关）或外部干预（例如立法）的影响</t>
        </is>
      </c>
    </row>
    <row r="8057">
      <c r="B8057" s="24" t="inlineStr">
        <is>
          <t>政府支持的及时性</t>
        </is>
      </c>
      <c r="C8057" s="24" t="inlineStr">
        <is>
          <t>政府支持的及时性</t>
        </is>
      </c>
      <c r="D8057" s="24" t="inlineStr">
        <is>
          <t>03</t>
        </is>
      </c>
      <c r="E8057" s="24" t="inlineStr">
        <is>
          <t>政府支持存在重大的阻碍力量（例如官僚化的程序、不明确或及其政治化的机制等）</t>
        </is>
      </c>
    </row>
    <row r="8058" ht="15.95" customHeight="1" s="170">
      <c r="B8058" s="122" t="inlineStr">
        <is>
          <t>码值：定价能力</t>
        </is>
      </c>
    </row>
    <row r="8059">
      <c r="B8059" s="24" t="inlineStr">
        <is>
          <t>定价能力</t>
        </is>
      </c>
      <c r="C8059" s="24" t="inlineStr">
        <is>
          <t>定价能力</t>
        </is>
      </c>
      <c r="D8059" s="24" t="inlineStr">
        <is>
          <t>01</t>
        </is>
      </c>
      <c r="E8059" s="24" t="inlineStr">
        <is>
          <t>拥有完全定价权，对于约定费率的调整，没有任何法规或合同的障碍</t>
        </is>
      </c>
    </row>
    <row r="8060">
      <c r="B8060" s="24" t="inlineStr">
        <is>
          <t>定价能力</t>
        </is>
      </c>
      <c r="C8060" s="24" t="inlineStr">
        <is>
          <t>定价能力</t>
        </is>
      </c>
      <c r="D8060" s="24" t="inlineStr">
        <is>
          <t>02</t>
        </is>
      </c>
      <c r="E8060" s="24" t="inlineStr">
        <is>
          <t>有明确的定价机制，在定价机制范围内允许获得合理的投资资本回报，并且实践中可事实</t>
        </is>
      </c>
    </row>
    <row r="8061">
      <c r="B8061" s="24" t="inlineStr">
        <is>
          <t>定价能力</t>
        </is>
      </c>
      <c r="C8061" s="24" t="inlineStr">
        <is>
          <t>定价能力</t>
        </is>
      </c>
      <c r="D8061" s="24" t="inlineStr">
        <is>
          <t>03</t>
        </is>
      </c>
      <c r="E8061" s="24" t="inlineStr">
        <is>
          <t>有明确的定价机制，在定价机制范围内允许获得合理的投资资本回报，但落实有难度</t>
        </is>
      </c>
    </row>
    <row r="8062">
      <c r="B8062" s="24" t="inlineStr">
        <is>
          <t>定价能力</t>
        </is>
      </c>
      <c r="C8062" s="24" t="inlineStr">
        <is>
          <t>定价能力</t>
        </is>
      </c>
      <c r="D8062" s="24" t="inlineStr">
        <is>
          <t>04</t>
        </is>
      </c>
      <c r="E8062" s="24" t="inlineStr">
        <is>
          <t>收费机制都是由政府或第三方机构确定的，且不是按公平的投资回报标准来设定的</t>
        </is>
      </c>
    </row>
    <row r="8063">
      <c r="B8063" s="24" t="inlineStr">
        <is>
          <t>定价能力</t>
        </is>
      </c>
      <c r="C8063" s="24" t="inlineStr">
        <is>
          <t>定价能力</t>
        </is>
      </c>
      <c r="D8063" s="24" t="inlineStr">
        <is>
          <t>05</t>
        </is>
      </c>
      <c r="E8063" s="24" t="inlineStr">
        <is>
          <t>有过政府或第三方机构进行干预，并强制减收费用的历史，并对实体机构的财务状况产生不利影响</t>
        </is>
      </c>
    </row>
    <row r="8064" ht="15.95" customHeight="1" s="170">
      <c r="B8064" s="122" t="inlineStr">
        <is>
          <t>码值：SubjectDirection</t>
        </is>
      </c>
    </row>
    <row r="8065">
      <c r="B8065" s="24" t="inlineStr">
        <is>
          <t>SubjectDirection</t>
        </is>
      </c>
      <c r="C8065" s="24" t="inlineStr">
        <is>
          <t>科目方向(借/贷/'')</t>
        </is>
      </c>
      <c r="D8065" s="24" t="inlineStr">
        <is>
          <t>借</t>
        </is>
      </c>
      <c r="E8065" s="24" t="inlineStr">
        <is>
          <t>借</t>
        </is>
      </c>
    </row>
    <row r="8066">
      <c r="B8066" s="24" t="inlineStr">
        <is>
          <t>SubjectDirection</t>
        </is>
      </c>
      <c r="C8066" s="24" t="inlineStr">
        <is>
          <t>科目方向(借/贷/'')</t>
        </is>
      </c>
      <c r="D8066" s="24" t="inlineStr">
        <is>
          <t>贷</t>
        </is>
      </c>
      <c r="E8066" s="24" t="inlineStr">
        <is>
          <t>贷</t>
        </is>
      </c>
    </row>
    <row r="8067" ht="15.95" customHeight="1" s="170">
      <c r="B8067" s="122" t="inlineStr">
        <is>
          <t>码值：地理位置</t>
        </is>
      </c>
    </row>
    <row r="8068">
      <c r="B8068" s="24" t="inlineStr">
        <is>
          <t>地理位置</t>
        </is>
      </c>
      <c r="C8068" s="24" t="inlineStr">
        <is>
          <t>地理位置</t>
        </is>
      </c>
      <c r="D8068" s="24" t="inlineStr">
        <is>
          <t>1</t>
        </is>
      </c>
      <c r="E8068" s="24" t="inlineStr">
        <is>
          <t>市区</t>
        </is>
      </c>
    </row>
    <row r="8069">
      <c r="B8069" s="24" t="inlineStr">
        <is>
          <t>地理位置</t>
        </is>
      </c>
      <c r="C8069" s="24" t="inlineStr">
        <is>
          <t>地理位置</t>
        </is>
      </c>
      <c r="D8069" s="24" t="inlineStr">
        <is>
          <t>2</t>
        </is>
      </c>
      <c r="E8069" s="24" t="inlineStr">
        <is>
          <t>郊区</t>
        </is>
      </c>
    </row>
    <row r="8070" ht="15.95" customHeight="1" s="170">
      <c r="B8070" s="122" t="inlineStr">
        <is>
          <t>码值：PoliticalFace</t>
        </is>
      </c>
    </row>
    <row r="8071">
      <c r="B8071" s="24" t="inlineStr">
        <is>
          <t>PoliticalFace</t>
        </is>
      </c>
      <c r="C8071" s="24" t="inlineStr">
        <is>
          <t>政治面貌</t>
        </is>
      </c>
      <c r="D8071" s="24" t="inlineStr">
        <is>
          <t>01</t>
        </is>
      </c>
      <c r="E8071" s="24" t="inlineStr">
        <is>
          <t>中共党员</t>
        </is>
      </c>
    </row>
    <row r="8072">
      <c r="B8072" s="24" t="inlineStr">
        <is>
          <t>PoliticalFace</t>
        </is>
      </c>
      <c r="C8072" s="24" t="inlineStr">
        <is>
          <t>政治面貌</t>
        </is>
      </c>
      <c r="D8072" s="24" t="inlineStr">
        <is>
          <t>02</t>
        </is>
      </c>
      <c r="E8072" s="24" t="inlineStr">
        <is>
          <t>中共预备党员</t>
        </is>
      </c>
    </row>
    <row r="8073">
      <c r="B8073" s="24" t="inlineStr">
        <is>
          <t>PoliticalFace</t>
        </is>
      </c>
      <c r="C8073" s="24" t="inlineStr">
        <is>
          <t>政治面貌</t>
        </is>
      </c>
      <c r="D8073" s="24" t="inlineStr">
        <is>
          <t>03</t>
        </is>
      </c>
      <c r="E8073" s="24" t="inlineStr">
        <is>
          <t>共青团员</t>
        </is>
      </c>
    </row>
    <row r="8074">
      <c r="B8074" s="24" t="inlineStr">
        <is>
          <t>PoliticalFace</t>
        </is>
      </c>
      <c r="C8074" s="24" t="inlineStr">
        <is>
          <t>政治面貌</t>
        </is>
      </c>
      <c r="D8074" s="24" t="inlineStr">
        <is>
          <t>04</t>
        </is>
      </c>
      <c r="E8074" s="24" t="inlineStr">
        <is>
          <t>民革党员</t>
        </is>
      </c>
    </row>
    <row r="8075">
      <c r="B8075" s="24" t="inlineStr">
        <is>
          <t>PoliticalFace</t>
        </is>
      </c>
      <c r="C8075" s="24" t="inlineStr">
        <is>
          <t>政治面貌</t>
        </is>
      </c>
      <c r="D8075" s="24" t="inlineStr">
        <is>
          <t>05</t>
        </is>
      </c>
      <c r="E8075" s="24" t="inlineStr">
        <is>
          <t>民盟盟员</t>
        </is>
      </c>
    </row>
    <row r="8076">
      <c r="B8076" s="24" t="inlineStr">
        <is>
          <t>PoliticalFace</t>
        </is>
      </c>
      <c r="C8076" s="24" t="inlineStr">
        <is>
          <t>政治面貌</t>
        </is>
      </c>
      <c r="D8076" s="24" t="inlineStr">
        <is>
          <t>06</t>
        </is>
      </c>
      <c r="E8076" s="24" t="inlineStr">
        <is>
          <t>民建会员</t>
        </is>
      </c>
    </row>
    <row r="8077">
      <c r="B8077" s="24" t="inlineStr">
        <is>
          <t>PoliticalFace</t>
        </is>
      </c>
      <c r="C8077" s="24" t="inlineStr">
        <is>
          <t>政治面貌</t>
        </is>
      </c>
      <c r="D8077" s="24" t="inlineStr">
        <is>
          <t>07</t>
        </is>
      </c>
      <c r="E8077" s="24" t="inlineStr">
        <is>
          <t>民进会员</t>
        </is>
      </c>
    </row>
    <row r="8078">
      <c r="B8078" s="24" t="inlineStr">
        <is>
          <t>PoliticalFace</t>
        </is>
      </c>
      <c r="C8078" s="24" t="inlineStr">
        <is>
          <t>政治面貌</t>
        </is>
      </c>
      <c r="D8078" s="24" t="inlineStr">
        <is>
          <t>08</t>
        </is>
      </c>
      <c r="E8078" s="24" t="inlineStr">
        <is>
          <t>农工党党员</t>
        </is>
      </c>
    </row>
    <row r="8079">
      <c r="B8079" s="24" t="inlineStr">
        <is>
          <t>PoliticalFace</t>
        </is>
      </c>
      <c r="C8079" s="24" t="inlineStr">
        <is>
          <t>政治面貌</t>
        </is>
      </c>
      <c r="D8079" s="24" t="inlineStr">
        <is>
          <t>09</t>
        </is>
      </c>
      <c r="E8079" s="24" t="inlineStr">
        <is>
          <t>致公党党员</t>
        </is>
      </c>
    </row>
    <row r="8080">
      <c r="B8080" s="24" t="inlineStr">
        <is>
          <t>PoliticalFace</t>
        </is>
      </c>
      <c r="C8080" s="24" t="inlineStr">
        <is>
          <t>政治面貌</t>
        </is>
      </c>
      <c r="D8080" s="24" t="inlineStr">
        <is>
          <t>10</t>
        </is>
      </c>
      <c r="E8080" s="24" t="inlineStr">
        <is>
          <t>九三学社社员</t>
        </is>
      </c>
    </row>
    <row r="8081">
      <c r="B8081" s="24" t="inlineStr">
        <is>
          <t>PoliticalFace</t>
        </is>
      </c>
      <c r="C8081" s="24" t="inlineStr">
        <is>
          <t>政治面貌</t>
        </is>
      </c>
      <c r="D8081" s="24" t="inlineStr">
        <is>
          <t>11</t>
        </is>
      </c>
      <c r="E8081" s="24" t="inlineStr">
        <is>
          <t>台盟盟员</t>
        </is>
      </c>
    </row>
    <row r="8082">
      <c r="B8082" s="24" t="inlineStr">
        <is>
          <t>PoliticalFace</t>
        </is>
      </c>
      <c r="C8082" s="24" t="inlineStr">
        <is>
          <t>政治面貌</t>
        </is>
      </c>
      <c r="D8082" s="24" t="inlineStr">
        <is>
          <t>12</t>
        </is>
      </c>
      <c r="E8082" s="24" t="inlineStr">
        <is>
          <t>无党派人士</t>
        </is>
      </c>
    </row>
    <row r="8083">
      <c r="B8083" s="24" t="inlineStr">
        <is>
          <t>PoliticalFace</t>
        </is>
      </c>
      <c r="C8083" s="24" t="inlineStr">
        <is>
          <t>政治面貌</t>
        </is>
      </c>
      <c r="D8083" s="24" t="inlineStr">
        <is>
          <t>13</t>
        </is>
      </c>
      <c r="E8083" s="24" t="inlineStr">
        <is>
          <t>群众</t>
        </is>
      </c>
    </row>
    <row r="8084" ht="15.95" customHeight="1" s="170">
      <c r="B8084" s="122" t="inlineStr">
        <is>
          <t>码值：项目周边环境</t>
        </is>
      </c>
    </row>
    <row r="8085">
      <c r="B8085" s="24" t="inlineStr">
        <is>
          <t>项目周边环境</t>
        </is>
      </c>
      <c r="C8085" s="24" t="inlineStr">
        <is>
          <t>项目周边环境</t>
        </is>
      </c>
      <c r="D8085" s="24" t="inlineStr">
        <is>
          <t>1</t>
        </is>
      </c>
      <c r="E8085" s="24" t="inlineStr">
        <is>
          <t>好</t>
        </is>
      </c>
    </row>
    <row r="8086">
      <c r="B8086" s="24" t="inlineStr">
        <is>
          <t>项目周边环境</t>
        </is>
      </c>
      <c r="C8086" s="24" t="inlineStr">
        <is>
          <t>项目周边环境</t>
        </is>
      </c>
      <c r="D8086" s="24" t="inlineStr">
        <is>
          <t>2</t>
        </is>
      </c>
      <c r="E8086" s="24" t="inlineStr">
        <is>
          <t>较好</t>
        </is>
      </c>
    </row>
    <row r="8087">
      <c r="B8087" s="24" t="inlineStr">
        <is>
          <t>项目周边环境</t>
        </is>
      </c>
      <c r="C8087" s="24" t="inlineStr">
        <is>
          <t>项目周边环境</t>
        </is>
      </c>
      <c r="D8087" s="24" t="inlineStr">
        <is>
          <t>3</t>
        </is>
      </c>
      <c r="E8087" s="24" t="inlineStr">
        <is>
          <t>一般</t>
        </is>
      </c>
    </row>
    <row r="8088">
      <c r="B8088" s="24" t="inlineStr">
        <is>
          <t>项目周边环境</t>
        </is>
      </c>
      <c r="C8088" s="24" t="inlineStr">
        <is>
          <t>项目周边环境</t>
        </is>
      </c>
      <c r="D8088" s="24" t="inlineStr">
        <is>
          <t>4</t>
        </is>
      </c>
      <c r="E8088" s="24" t="inlineStr">
        <is>
          <t>差</t>
        </is>
      </c>
    </row>
    <row r="8089" ht="15.95" customHeight="1" s="170">
      <c r="B8089" s="122" t="inlineStr">
        <is>
          <t>码值：DefaultFormat</t>
        </is>
      </c>
    </row>
    <row r="8090">
      <c r="B8090" s="24" t="inlineStr">
        <is>
          <t>DefaultFormat</t>
        </is>
      </c>
      <c r="C8090" s="24" t="inlineStr">
        <is>
          <t>默认格式</t>
        </is>
      </c>
      <c r="D8090" s="24" t="inlineStr">
        <is>
          <t>CONTENT_FORMAT</t>
        </is>
      </c>
      <c r="E8090" s="24" t="inlineStr">
        <is>
          <t>正文格式</t>
        </is>
      </c>
    </row>
    <row r="8091">
      <c r="B8091" s="24" t="inlineStr">
        <is>
          <t>DefaultFormat</t>
        </is>
      </c>
      <c r="C8091" s="24" t="inlineStr">
        <is>
          <t>默认格式</t>
        </is>
      </c>
      <c r="D8091" s="24" t="inlineStr">
        <is>
          <t>DEFAULT</t>
        </is>
      </c>
      <c r="E8091" s="24" t="inlineStr">
        <is>
          <t>文档格式</t>
        </is>
      </c>
    </row>
    <row r="8092">
      <c r="B8092" s="24" t="inlineStr">
        <is>
          <t>DefaultFormat</t>
        </is>
      </c>
      <c r="C8092" s="24" t="inlineStr">
        <is>
          <t>默认格式</t>
        </is>
      </c>
      <c r="D8092" s="24" t="inlineStr">
        <is>
          <t>TEST_FORMAT</t>
        </is>
      </c>
      <c r="E8092" s="24" t="inlineStr">
        <is>
          <t>测试格式</t>
        </is>
      </c>
    </row>
    <row r="8093" ht="15.95" customHeight="1" s="170">
      <c r="B8093" s="122" t="inlineStr">
        <is>
          <t>码值：TaskViewTab</t>
        </is>
      </c>
    </row>
    <row r="8094">
      <c r="B8094" s="24" t="inlineStr">
        <is>
          <t>TaskViewTab</t>
        </is>
      </c>
      <c r="C8094" s="24" t="inlineStr">
        <is>
          <t>任务管理</t>
        </is>
      </c>
      <c r="D8094" s="24" t="inlineStr">
        <is>
          <t>contractTask_N</t>
        </is>
      </c>
      <c r="E8094" s="24" t="inlineStr">
        <is>
          <t>合同未登记任务</t>
        </is>
      </c>
    </row>
    <row r="8095">
      <c r="B8095" s="24" t="inlineStr">
        <is>
          <t>TaskViewTab</t>
        </is>
      </c>
      <c r="C8095" s="24" t="inlineStr">
        <is>
          <t>任务管理</t>
        </is>
      </c>
      <c r="D8095" s="24" t="inlineStr">
        <is>
          <t>contractTask_Y</t>
        </is>
      </c>
      <c r="E8095" s="24" t="inlineStr">
        <is>
          <t>合同已登记任务</t>
        </is>
      </c>
    </row>
    <row r="8096">
      <c r="B8096" s="24" t="inlineStr">
        <is>
          <t>TaskViewTab</t>
        </is>
      </c>
      <c r="C8096" s="24" t="inlineStr">
        <is>
          <t>任务管理</t>
        </is>
      </c>
      <c r="D8096" s="24" t="inlineStr">
        <is>
          <t>createCreditTask</t>
        </is>
      </c>
      <c r="E8096" s="24" t="inlineStr">
        <is>
          <t>客户经理申请岗</t>
        </is>
      </c>
    </row>
    <row r="8097">
      <c r="B8097" s="24" t="inlineStr">
        <is>
          <t>TaskViewTab</t>
        </is>
      </c>
      <c r="C8097" s="24" t="inlineStr">
        <is>
          <t>任务管理</t>
        </is>
      </c>
      <c r="D8097" s="24" t="inlineStr">
        <is>
          <t>desc</t>
        </is>
      </c>
      <c r="E8097" s="24" t="inlineStr">
        <is>
          <t>代码字段说明</t>
        </is>
      </c>
    </row>
    <row r="8098">
      <c r="B8098" s="24" t="inlineStr">
        <is>
          <t>TaskViewTab</t>
        </is>
      </c>
      <c r="C8098" s="24" t="inlineStr">
        <is>
          <t>任务管理</t>
        </is>
      </c>
      <c r="D8098" s="24" t="inlineStr">
        <is>
          <t>imageScanTask_N</t>
        </is>
      </c>
      <c r="E8098" s="24" t="inlineStr">
        <is>
          <t>扫描岗任务(未完成)</t>
        </is>
      </c>
    </row>
    <row r="8099">
      <c r="B8099" s="24" t="inlineStr">
        <is>
          <t>TaskViewTab</t>
        </is>
      </c>
      <c r="C8099" s="24" t="inlineStr">
        <is>
          <t>任务管理</t>
        </is>
      </c>
      <c r="D8099" s="24" t="inlineStr">
        <is>
          <t>imageScanTask_Y</t>
        </is>
      </c>
      <c r="E8099" s="24" t="inlineStr">
        <is>
          <t>扫描岗任务(已完成)</t>
        </is>
      </c>
    </row>
    <row r="8100">
      <c r="B8100" s="24" t="inlineStr">
        <is>
          <t>TaskViewTab</t>
        </is>
      </c>
      <c r="C8100" s="24" t="inlineStr">
        <is>
          <t>任务管理</t>
        </is>
      </c>
      <c r="D8100" s="24" t="inlineStr">
        <is>
          <t>inputApporveTask_N</t>
        </is>
      </c>
      <c r="E8100" s="24" t="inlineStr">
        <is>
          <t>批复登记岗</t>
        </is>
      </c>
    </row>
    <row r="8101">
      <c r="B8101" s="24" t="inlineStr">
        <is>
          <t>TaskViewTab</t>
        </is>
      </c>
      <c r="C8101" s="24" t="inlineStr">
        <is>
          <t>任务管理</t>
        </is>
      </c>
      <c r="D8101" s="24" t="inlineStr">
        <is>
          <t>inputCreditInfoTask_N</t>
        </is>
      </c>
      <c r="E8101" s="24" t="inlineStr">
        <is>
          <t>资料录入岗(未完成)</t>
        </is>
      </c>
    </row>
    <row r="8102">
      <c r="B8102" s="24" t="inlineStr">
        <is>
          <t>TaskViewTab</t>
        </is>
      </c>
      <c r="C8102" s="24" t="inlineStr">
        <is>
          <t>任务管理</t>
        </is>
      </c>
      <c r="D8102" s="24" t="inlineStr">
        <is>
          <t>inputCreditInfoTask_Y</t>
        </is>
      </c>
      <c r="E8102" s="24" t="inlineStr">
        <is>
          <t>资料录入岗(已完成)</t>
        </is>
      </c>
    </row>
    <row r="8103">
      <c r="B8103" s="24" t="inlineStr">
        <is>
          <t>TaskViewTab</t>
        </is>
      </c>
      <c r="C8103" s="24" t="inlineStr">
        <is>
          <t>任务管理</t>
        </is>
      </c>
      <c r="D8103" s="24" t="inlineStr">
        <is>
          <t>viewApporveTask_N</t>
        </is>
      </c>
      <c r="E8103" s="24" t="inlineStr">
        <is>
          <t>批复确认岗(未完成)</t>
        </is>
      </c>
    </row>
    <row r="8104">
      <c r="B8104" s="24" t="inlineStr">
        <is>
          <t>TaskViewTab</t>
        </is>
      </c>
      <c r="C8104" s="24" t="inlineStr">
        <is>
          <t>任务管理</t>
        </is>
      </c>
      <c r="D8104" s="24" t="inlineStr">
        <is>
          <t>viewApporveTask_Y</t>
        </is>
      </c>
      <c r="E8104" s="24" t="inlineStr">
        <is>
          <t>批复确认岗(已完成)</t>
        </is>
      </c>
    </row>
    <row r="8105">
      <c r="B8105" s="24" t="inlineStr">
        <is>
          <t>TaskViewTab</t>
        </is>
      </c>
      <c r="C8105" s="24" t="inlineStr">
        <is>
          <t>任务管理</t>
        </is>
      </c>
      <c r="D8105" s="24" t="inlineStr">
        <is>
          <t>viewCreditInfoTask_N</t>
        </is>
      </c>
      <c r="E8105" s="24" t="inlineStr">
        <is>
          <t>审批岗(未完成)</t>
        </is>
      </c>
    </row>
    <row r="8106">
      <c r="B8106" s="24" t="inlineStr">
        <is>
          <t>TaskViewTab</t>
        </is>
      </c>
      <c r="C8106" s="24" t="inlineStr">
        <is>
          <t>任务管理</t>
        </is>
      </c>
      <c r="D8106" s="24" t="inlineStr">
        <is>
          <t>viewCreditInfoTask_Y</t>
        </is>
      </c>
      <c r="E8106" s="24" t="inlineStr">
        <is>
          <t>审批岗(已完成)</t>
        </is>
      </c>
    </row>
    <row r="8107" ht="15.95" customHeight="1" s="170">
      <c r="B8107" s="122" t="inlineStr">
        <is>
          <t>码值：DispositionType</t>
        </is>
      </c>
    </row>
    <row r="8108">
      <c r="B8108" s="24" t="inlineStr">
        <is>
          <t>DispositionType</t>
        </is>
      </c>
      <c r="C8108" s="24" t="inlineStr">
        <is>
          <t>抵债资产处置方式</t>
        </is>
      </c>
      <c r="D8108" s="24" t="inlineStr">
        <is>
          <t>01</t>
        </is>
      </c>
      <c r="E8108" s="24" t="inlineStr">
        <is>
          <t>资产出租</t>
        </is>
      </c>
    </row>
    <row r="8109">
      <c r="B8109" s="24" t="inlineStr">
        <is>
          <t>DispositionType</t>
        </is>
      </c>
      <c r="C8109" s="24" t="inlineStr">
        <is>
          <t>抵债资产处置方式</t>
        </is>
      </c>
      <c r="D8109" s="24" t="inlineStr">
        <is>
          <t>02</t>
        </is>
      </c>
      <c r="E8109" s="24" t="inlineStr">
        <is>
          <t>资产出售</t>
        </is>
      </c>
    </row>
    <row r="8110">
      <c r="B8110" s="24" t="inlineStr">
        <is>
          <t>DispositionType</t>
        </is>
      </c>
      <c r="C8110" s="24" t="inlineStr">
        <is>
          <t>抵债资产处置方式</t>
        </is>
      </c>
      <c r="D8110" s="24" t="inlineStr">
        <is>
          <t>03</t>
        </is>
      </c>
      <c r="E8110" s="24" t="inlineStr">
        <is>
          <t>资产转让</t>
        </is>
      </c>
    </row>
    <row r="8111">
      <c r="B8111" s="24" t="inlineStr">
        <is>
          <t>DispositionType</t>
        </is>
      </c>
      <c r="C8111" s="24" t="inlineStr">
        <is>
          <t>抵债资产处置方式</t>
        </is>
      </c>
      <c r="D8111" s="24" t="inlineStr">
        <is>
          <t>04</t>
        </is>
      </c>
      <c r="E8111" s="24" t="inlineStr">
        <is>
          <t>资产互换</t>
        </is>
      </c>
    </row>
    <row r="8112">
      <c r="B8112" s="24" t="inlineStr">
        <is>
          <t>DispositionType</t>
        </is>
      </c>
      <c r="C8112" s="24" t="inlineStr">
        <is>
          <t>抵债资产处置方式</t>
        </is>
      </c>
      <c r="D8112" s="24" t="inlineStr">
        <is>
          <t>05</t>
        </is>
      </c>
      <c r="E8112" s="24" t="inlineStr">
        <is>
          <t>资产自用</t>
        </is>
      </c>
    </row>
    <row r="8113">
      <c r="B8113" s="24" t="inlineStr">
        <is>
          <t>DispositionType</t>
        </is>
      </c>
      <c r="C8113" s="24" t="inlineStr">
        <is>
          <t>抵债资产处置方式</t>
        </is>
      </c>
      <c r="D8113" s="24" t="inlineStr">
        <is>
          <t>06</t>
        </is>
      </c>
      <c r="E8113" s="24" t="inlineStr">
        <is>
          <t>其他处置</t>
        </is>
      </c>
    </row>
    <row r="8114" ht="15.95" customHeight="1" s="170">
      <c r="B8114" s="122" t="inlineStr">
        <is>
          <t>码值：CLPayType</t>
        </is>
      </c>
    </row>
    <row r="8115">
      <c r="B8115" s="24" t="inlineStr">
        <is>
          <t>CLPayType</t>
        </is>
      </c>
      <c r="C8115" s="24" t="inlineStr">
        <is>
          <t>付款方式</t>
        </is>
      </c>
      <c r="D8115" s="24" t="inlineStr">
        <is>
          <t>01</t>
        </is>
      </c>
      <c r="E8115" s="24" t="inlineStr">
        <is>
          <t>即期付款</t>
        </is>
      </c>
    </row>
    <row r="8116">
      <c r="B8116" s="24" t="inlineStr">
        <is>
          <t>CLPayType</t>
        </is>
      </c>
      <c r="C8116" s="24" t="inlineStr">
        <is>
          <t>付款方式</t>
        </is>
      </c>
      <c r="D8116" s="24" t="inlineStr">
        <is>
          <t>02</t>
        </is>
      </c>
      <c r="E8116" s="24" t="inlineStr">
        <is>
          <t>延期付款</t>
        </is>
      </c>
    </row>
    <row r="8117" ht="15.95" customHeight="1" s="170">
      <c r="B8117" s="122" t="inlineStr">
        <is>
          <t>码值：EvalModelMarket</t>
        </is>
      </c>
    </row>
    <row r="8118">
      <c r="B8118" s="24" t="inlineStr">
        <is>
          <t>EvalModelMarket</t>
        </is>
      </c>
      <c r="C8118" s="24" t="inlineStr">
        <is>
          <t>市场法估值模板</t>
        </is>
      </c>
      <c r="D8118" s="24" t="inlineStr">
        <is>
          <t>M_CMG_BGYFSCF</t>
        </is>
      </c>
      <c r="E8118" s="24" t="inlineStr">
        <is>
          <t>办公用房市场法</t>
        </is>
      </c>
    </row>
    <row r="8119">
      <c r="B8119" s="24" t="inlineStr">
        <is>
          <t>EvalModelMarket</t>
        </is>
      </c>
      <c r="C8119" s="24" t="inlineStr">
        <is>
          <t>市场法估值模板</t>
        </is>
      </c>
      <c r="D8119" s="24" t="inlineStr">
        <is>
          <t>M_CMG_GYYFSCF</t>
        </is>
      </c>
      <c r="E8119" s="24" t="inlineStr">
        <is>
          <t>工业用房市场法</t>
        </is>
      </c>
    </row>
    <row r="8120">
      <c r="B8120" s="24" t="inlineStr">
        <is>
          <t>EvalModelMarket</t>
        </is>
      </c>
      <c r="C8120" s="24" t="inlineStr">
        <is>
          <t>市场法估值模板</t>
        </is>
      </c>
      <c r="D8120" s="24" t="inlineStr">
        <is>
          <t>M_CMG_JTYSSBCF</t>
        </is>
      </c>
      <c r="E8120" s="24" t="inlineStr">
        <is>
          <t>交通运输设备市场法</t>
        </is>
      </c>
    </row>
    <row r="8121">
      <c r="B8121" s="24" t="inlineStr">
        <is>
          <t>EvalModelMarket</t>
        </is>
      </c>
      <c r="C8121" s="24" t="inlineStr">
        <is>
          <t>市场法估值模板</t>
        </is>
      </c>
      <c r="D8121" s="24" t="inlineStr">
        <is>
          <t>M_CMG_JZYFSCF</t>
        </is>
      </c>
      <c r="E8121" s="24" t="inlineStr">
        <is>
          <t>居住用房市场法</t>
        </is>
      </c>
    </row>
    <row r="8122">
      <c r="B8122" s="24" t="inlineStr">
        <is>
          <t>EvalModelMarket</t>
        </is>
      </c>
      <c r="C8122" s="24" t="inlineStr">
        <is>
          <t>市场法估值模板</t>
        </is>
      </c>
      <c r="D8122" s="24" t="inlineStr">
        <is>
          <t>M_CMG_LDSCF</t>
        </is>
      </c>
      <c r="E8122" s="24" t="inlineStr">
        <is>
          <t>林地市场法</t>
        </is>
      </c>
    </row>
    <row r="8123">
      <c r="B8123" s="24" t="inlineStr">
        <is>
          <t>EvalModelMarket</t>
        </is>
      </c>
      <c r="C8123" s="24" t="inlineStr">
        <is>
          <t>市场法估值模板</t>
        </is>
      </c>
      <c r="D8123" s="24" t="inlineStr">
        <is>
          <t>M_CMG_PMJZF</t>
        </is>
      </c>
      <c r="E8123" s="24" t="inlineStr">
        <is>
          <t>票面价值法</t>
        </is>
      </c>
    </row>
    <row r="8124">
      <c r="B8124" s="24" t="inlineStr">
        <is>
          <t>EvalModelMarket</t>
        </is>
      </c>
      <c r="C8124" s="24" t="inlineStr">
        <is>
          <t>市场法估值模板</t>
        </is>
      </c>
      <c r="D8124" s="24" t="inlineStr">
        <is>
          <t>M_CMG_SYYFSCF</t>
        </is>
      </c>
      <c r="E8124" s="24" t="inlineStr">
        <is>
          <t>商业用房市场法</t>
        </is>
      </c>
    </row>
    <row r="8125">
      <c r="B8125" s="24" t="inlineStr">
        <is>
          <t>EvalModelMarket</t>
        </is>
      </c>
      <c r="C8125" s="24" t="inlineStr">
        <is>
          <t>市场法估值模板</t>
        </is>
      </c>
      <c r="D8125" s="24" t="inlineStr">
        <is>
          <t>M_CMG_XXSJF</t>
        </is>
      </c>
      <c r="E8125" s="24" t="inlineStr">
        <is>
          <t>现行市价法</t>
        </is>
      </c>
    </row>
    <row r="8126" ht="15.95" customHeight="1" s="170">
      <c r="B8126" s="122" t="inlineStr">
        <is>
          <t>码值：ViewTabCredit</t>
        </is>
      </c>
    </row>
    <row r="8127">
      <c r="B8127" s="24" t="inlineStr">
        <is>
          <t>ViewTabCredit</t>
        </is>
      </c>
      <c r="C8127" s="24" t="inlineStr">
        <is>
          <t>展示Tab配置管理</t>
        </is>
      </c>
      <c r="D8127" s="24" t="inlineStr">
        <is>
          <t>genReport</t>
        </is>
      </c>
      <c r="E8127" s="24" t="inlineStr">
        <is>
          <t>制作调查报告</t>
        </is>
      </c>
    </row>
    <row r="8128">
      <c r="B8128" s="24" t="inlineStr">
        <is>
          <t>ViewTabCredit</t>
        </is>
      </c>
      <c r="C8128" s="24" t="inlineStr">
        <is>
          <t>展示Tab配置管理</t>
        </is>
      </c>
      <c r="D8128" s="24" t="inlineStr">
        <is>
          <t>inputApplyDetail</t>
        </is>
      </c>
      <c r="E8128" s="24" t="inlineStr">
        <is>
          <t>录入申请信息</t>
        </is>
      </c>
    </row>
    <row r="8129">
      <c r="B8129" s="24" t="inlineStr">
        <is>
          <t>ViewTabCredit</t>
        </is>
      </c>
      <c r="C8129" s="24" t="inlineStr">
        <is>
          <t>展示Tab配置管理</t>
        </is>
      </c>
      <c r="D8129" s="24" t="inlineStr">
        <is>
          <t>inputApplyDetail2</t>
        </is>
      </c>
      <c r="E8129" s="24" t="inlineStr">
        <is>
          <t>录入附属申请信息</t>
        </is>
      </c>
    </row>
    <row r="8130">
      <c r="B8130" s="24" t="inlineStr">
        <is>
          <t>ViewTabCredit</t>
        </is>
      </c>
      <c r="C8130" s="24" t="inlineStr">
        <is>
          <t>展示Tab配置管理</t>
        </is>
      </c>
      <c r="D8130" s="24" t="inlineStr">
        <is>
          <t>inputApproveDetail</t>
        </is>
      </c>
      <c r="E8130" s="24" t="inlineStr">
        <is>
          <t>登记批复意见</t>
        </is>
      </c>
    </row>
    <row r="8131">
      <c r="B8131" s="24" t="inlineStr">
        <is>
          <t>ViewTabCredit</t>
        </is>
      </c>
      <c r="C8131" s="24" t="inlineStr">
        <is>
          <t>展示Tab配置管理</t>
        </is>
      </c>
      <c r="D8131" s="24" t="inlineStr">
        <is>
          <t>inputCustomerDetail</t>
        </is>
      </c>
      <c r="E8131" s="24" t="inlineStr">
        <is>
          <t>录入客户信息</t>
        </is>
      </c>
    </row>
    <row r="8132">
      <c r="B8132" s="24" t="inlineStr">
        <is>
          <t>ViewTabCredit</t>
        </is>
      </c>
      <c r="C8132" s="24" t="inlineStr">
        <is>
          <t>展示Tab配置管理</t>
        </is>
      </c>
      <c r="D8132" s="24" t="inlineStr">
        <is>
          <t>readme</t>
        </is>
      </c>
      <c r="E8132" s="24" t="inlineStr">
        <is>
          <t>默认标题</t>
        </is>
      </c>
    </row>
    <row r="8133">
      <c r="B8133" s="24" t="inlineStr">
        <is>
          <t>ViewTabCredit</t>
        </is>
      </c>
      <c r="C8133" s="24" t="inlineStr">
        <is>
          <t>展示Tab配置管理</t>
        </is>
      </c>
      <c r="D8133" s="24" t="inlineStr">
        <is>
          <t>recordProblem</t>
        </is>
      </c>
      <c r="E8133" s="24" t="inlineStr">
        <is>
          <t>记录业务问题</t>
        </is>
      </c>
    </row>
    <row r="8134">
      <c r="B8134" s="24" t="inlineStr">
        <is>
          <t>ViewTabCredit</t>
        </is>
      </c>
      <c r="C8134" s="24" t="inlineStr">
        <is>
          <t>展示Tab配置管理</t>
        </is>
      </c>
      <c r="D8134" s="24" t="inlineStr">
        <is>
          <t>riskSkan</t>
        </is>
      </c>
      <c r="E8134" s="24" t="inlineStr">
        <is>
          <t>检测业务风险</t>
        </is>
      </c>
    </row>
    <row r="8135">
      <c r="B8135" s="24" t="inlineStr">
        <is>
          <t>ViewTabCredit</t>
        </is>
      </c>
      <c r="C8135" s="24" t="inlineStr">
        <is>
          <t>展示Tab配置管理</t>
        </is>
      </c>
      <c r="D8135" s="24" t="inlineStr">
        <is>
          <t>scanImage</t>
        </is>
      </c>
      <c r="E8135" s="24" t="inlineStr">
        <is>
          <t>扫描申请资料</t>
        </is>
      </c>
    </row>
    <row r="8136">
      <c r="B8136" s="24" t="inlineStr">
        <is>
          <t>ViewTabCredit</t>
        </is>
      </c>
      <c r="C8136" s="24" t="inlineStr">
        <is>
          <t>展示Tab配置管理</t>
        </is>
      </c>
      <c r="D8136" s="24" t="inlineStr">
        <is>
          <t>signApplyOpinion</t>
        </is>
      </c>
      <c r="E8136" s="24" t="inlineStr">
        <is>
          <t>签署批复意见</t>
        </is>
      </c>
    </row>
    <row r="8137">
      <c r="B8137" s="24" t="inlineStr">
        <is>
          <t>ViewTabCredit</t>
        </is>
      </c>
      <c r="C8137" s="24" t="inlineStr">
        <is>
          <t>展示Tab配置管理</t>
        </is>
      </c>
      <c r="D8137" s="24" t="inlineStr">
        <is>
          <t>signTaskOpinion</t>
        </is>
      </c>
      <c r="E8137" s="24" t="inlineStr">
        <is>
          <t>签署意见</t>
        </is>
      </c>
    </row>
    <row r="8138">
      <c r="B8138" s="24" t="inlineStr">
        <is>
          <t>ViewTabCredit</t>
        </is>
      </c>
      <c r="C8138" s="24" t="inlineStr">
        <is>
          <t>展示Tab配置管理</t>
        </is>
      </c>
      <c r="D8138" s="24" t="inlineStr">
        <is>
          <t>viewApplyDetail</t>
        </is>
      </c>
      <c r="E8138" s="24" t="inlineStr">
        <is>
          <t>查看申请信息</t>
        </is>
      </c>
    </row>
    <row r="8139">
      <c r="B8139" s="24" t="inlineStr">
        <is>
          <t>ViewTabCredit</t>
        </is>
      </c>
      <c r="C8139" s="24" t="inlineStr">
        <is>
          <t>展示Tab配置管理</t>
        </is>
      </c>
      <c r="D8139" s="24" t="inlineStr">
        <is>
          <t>viewApplyDetail2</t>
        </is>
      </c>
      <c r="E8139" s="24" t="inlineStr">
        <is>
          <t>查看附属申请信息</t>
        </is>
      </c>
    </row>
    <row r="8140">
      <c r="B8140" s="24" t="inlineStr">
        <is>
          <t>ViewTabCredit</t>
        </is>
      </c>
      <c r="C8140" s="24" t="inlineStr">
        <is>
          <t>展示Tab配置管理</t>
        </is>
      </c>
      <c r="D8140" s="24" t="inlineStr">
        <is>
          <t>viewApplyFlowOpinions</t>
        </is>
      </c>
      <c r="E8140" s="24" t="inlineStr">
        <is>
          <t>查看各级审批意见</t>
        </is>
      </c>
    </row>
    <row r="8141">
      <c r="B8141" s="24" t="inlineStr">
        <is>
          <t>ViewTabCredit</t>
        </is>
      </c>
      <c r="C8141" s="24" t="inlineStr">
        <is>
          <t>展示Tab配置管理</t>
        </is>
      </c>
      <c r="D8141" s="24" t="inlineStr">
        <is>
          <t>viewApproveDetail</t>
        </is>
      </c>
      <c r="E8141" s="24" t="inlineStr">
        <is>
          <t>批复意见详情</t>
        </is>
      </c>
    </row>
    <row r="8142">
      <c r="B8142" s="24" t="inlineStr">
        <is>
          <t>ViewTabCredit</t>
        </is>
      </c>
      <c r="C8142" s="24" t="inlineStr">
        <is>
          <t>展示Tab配置管理</t>
        </is>
      </c>
      <c r="D8142" s="24" t="inlineStr">
        <is>
          <t>viewCustomerDetail</t>
        </is>
      </c>
      <c r="E8142" s="24" t="inlineStr">
        <is>
          <t>查看客户信息</t>
        </is>
      </c>
    </row>
    <row r="8143">
      <c r="B8143" s="24" t="inlineStr">
        <is>
          <t>ViewTabCredit</t>
        </is>
      </c>
      <c r="C8143" s="24" t="inlineStr">
        <is>
          <t>展示Tab配置管理</t>
        </is>
      </c>
      <c r="D8143" s="24" t="inlineStr">
        <is>
          <t>viewGroupDetail</t>
        </is>
      </c>
      <c r="E8143" s="24" t="inlineStr">
        <is>
          <t>查看客户所在集团详情</t>
        </is>
      </c>
    </row>
    <row r="8144">
      <c r="B8144" s="24" t="inlineStr">
        <is>
          <t>ViewTabCredit</t>
        </is>
      </c>
      <c r="C8144" s="24" t="inlineStr">
        <is>
          <t>展示Tab配置管理</t>
        </is>
      </c>
      <c r="D8144" s="24" t="inlineStr">
        <is>
          <t>viewHistoryOpinion</t>
        </is>
      </c>
      <c r="E8144" s="24" t="inlineStr">
        <is>
          <t>查看历史审批业务</t>
        </is>
      </c>
    </row>
    <row r="8145">
      <c r="B8145" s="24" t="inlineStr">
        <is>
          <t>ViewTabCredit</t>
        </is>
      </c>
      <c r="C8145" s="24" t="inlineStr">
        <is>
          <t>展示Tab配置管理</t>
        </is>
      </c>
      <c r="D8145" s="24" t="inlineStr">
        <is>
          <t>viewImage</t>
        </is>
      </c>
      <c r="E8145" s="24" t="inlineStr">
        <is>
          <t>查看扫描资料</t>
        </is>
      </c>
    </row>
    <row r="8146">
      <c r="B8146" s="24" t="inlineStr">
        <is>
          <t>ViewTabCredit</t>
        </is>
      </c>
      <c r="C8146" s="24" t="inlineStr">
        <is>
          <t>展示Tab配置管理</t>
        </is>
      </c>
      <c r="D8146" s="24" t="inlineStr">
        <is>
          <t>viewReport</t>
        </is>
      </c>
      <c r="E8146" s="24" t="inlineStr">
        <is>
          <t>查看调查报告</t>
        </is>
      </c>
    </row>
    <row r="8147" ht="15.95" customHeight="1" s="170">
      <c r="B8147" s="122" t="inlineStr">
        <is>
          <t>码值：ReinforceSMEView</t>
        </is>
      </c>
    </row>
    <row r="8148">
      <c r="B8148" s="24" t="inlineStr">
        <is>
          <t>ReinforceSMEView</t>
        </is>
      </c>
      <c r="C8148" s="24" t="inlineStr">
        <is>
          <t>补登中小企业客户视图</t>
        </is>
      </c>
      <c r="D8148" s="24" t="inlineStr">
        <is>
          <t>010</t>
        </is>
      </c>
      <c r="E8148" s="24" t="inlineStr">
        <is>
          <t>客户基本信息</t>
        </is>
      </c>
    </row>
    <row r="8149">
      <c r="B8149" s="24" t="inlineStr">
        <is>
          <t>ReinforceSMEView</t>
        </is>
      </c>
      <c r="C8149" s="24" t="inlineStr">
        <is>
          <t>补登中小企业客户视图</t>
        </is>
      </c>
      <c r="D8149" s="24" t="inlineStr">
        <is>
          <t>010010</t>
        </is>
      </c>
      <c r="E8149" s="24" t="inlineStr">
        <is>
          <t>客户概况</t>
        </is>
      </c>
    </row>
    <row r="8150">
      <c r="B8150" s="24" t="inlineStr">
        <is>
          <t>ReinforceSMEView</t>
        </is>
      </c>
      <c r="C8150" s="24" t="inlineStr">
        <is>
          <t>补登中小企业客户视图</t>
        </is>
      </c>
      <c r="D8150" s="24" t="inlineStr">
        <is>
          <t>010020</t>
        </is>
      </c>
      <c r="E8150" s="24" t="inlineStr">
        <is>
          <t>客户高管信息</t>
        </is>
      </c>
    </row>
    <row r="8151">
      <c r="B8151" s="24" t="inlineStr">
        <is>
          <t>ReinforceSMEView</t>
        </is>
      </c>
      <c r="C8151" s="24" t="inlineStr">
        <is>
          <t>补登中小企业客户视图</t>
        </is>
      </c>
      <c r="D8151" s="24" t="inlineStr">
        <is>
          <t>010030</t>
        </is>
      </c>
      <c r="E8151" s="24" t="inlineStr">
        <is>
          <t>股东情况</t>
        </is>
      </c>
    </row>
    <row r="8152">
      <c r="B8152" s="24" t="inlineStr">
        <is>
          <t>ReinforceSMEView</t>
        </is>
      </c>
      <c r="C8152" s="24" t="inlineStr">
        <is>
          <t>补登中小企业客户视图</t>
        </is>
      </c>
      <c r="D8152" s="24" t="inlineStr">
        <is>
          <t>010040</t>
        </is>
      </c>
      <c r="E8152" s="24" t="inlineStr">
        <is>
          <t>对外股权投资情况</t>
        </is>
      </c>
    </row>
    <row r="8153" ht="15.95" customHeight="1" s="170">
      <c r="B8153" s="122" t="inlineStr">
        <is>
          <t>码值：EvaluateType</t>
        </is>
      </c>
    </row>
    <row r="8154">
      <c r="B8154" s="24" t="inlineStr">
        <is>
          <t>EvaluateType</t>
        </is>
      </c>
      <c r="C8154" s="24" t="inlineStr">
        <is>
          <t>抵押物价值评估方式</t>
        </is>
      </c>
      <c r="D8154" s="24" t="inlineStr">
        <is>
          <t>01</t>
        </is>
      </c>
      <c r="E8154" s="24" t="inlineStr">
        <is>
          <t>评估公司评估</t>
        </is>
      </c>
    </row>
    <row r="8155">
      <c r="B8155" s="24" t="inlineStr">
        <is>
          <t>EvaluateType</t>
        </is>
      </c>
      <c r="C8155" s="24" t="inlineStr">
        <is>
          <t>抵押物价值评估方式</t>
        </is>
      </c>
      <c r="D8155" s="24" t="inlineStr">
        <is>
          <t>02</t>
        </is>
      </c>
      <c r="E8155" s="24" t="inlineStr">
        <is>
          <t>自评</t>
        </is>
      </c>
    </row>
    <row r="8156">
      <c r="B8156" s="24" t="inlineStr">
        <is>
          <t>EvaluateType</t>
        </is>
      </c>
      <c r="C8156" s="24" t="inlineStr">
        <is>
          <t>抵押物价值评估方式</t>
        </is>
      </c>
      <c r="D8156" s="24" t="inlineStr">
        <is>
          <t>03</t>
        </is>
      </c>
      <c r="E8156" s="24" t="inlineStr">
        <is>
          <t>其它</t>
        </is>
      </c>
    </row>
    <row r="8157" ht="15.95" customHeight="1" s="170">
      <c r="B8157" s="122" t="inlineStr">
        <is>
          <t>码值：QuickType</t>
        </is>
      </c>
    </row>
    <row r="8158">
      <c r="B8158" s="24" t="inlineStr">
        <is>
          <t>QuickType</t>
        </is>
      </c>
      <c r="C8158" s="24" t="inlineStr">
        <is>
          <t>快捷链接类型</t>
        </is>
      </c>
      <c r="D8158" s="24" t="inlineStr">
        <is>
          <t>01</t>
        </is>
      </c>
      <c r="E8158" s="24" t="inlineStr">
        <is>
          <t>快捷菜单</t>
        </is>
      </c>
    </row>
    <row r="8159" ht="15.95" customHeight="1" s="170">
      <c r="B8159" s="122" t="inlineStr">
        <is>
          <t>码值：AgencyBlackRules</t>
        </is>
      </c>
    </row>
    <row r="8160">
      <c r="B8160" s="24" t="inlineStr">
        <is>
          <t>AgencyBlackRules</t>
        </is>
      </c>
      <c r="C8160" s="24" t="inlineStr">
        <is>
          <t>黑名单规则</t>
        </is>
      </c>
      <c r="D8160" s="24" t="inlineStr">
        <is>
          <t>01</t>
        </is>
      </c>
      <c r="E8160" s="24" t="inlineStr">
        <is>
          <t>（一）被主管部门撤消评估执业资格；</t>
        </is>
      </c>
    </row>
    <row r="8161">
      <c r="B8161" s="24" t="inlineStr">
        <is>
          <t>AgencyBlackRules</t>
        </is>
      </c>
      <c r="C8161" s="24" t="inlineStr">
        <is>
          <t>黑名单规则</t>
        </is>
      </c>
      <c r="D8161" s="24" t="inlineStr">
        <is>
          <t>02</t>
        </is>
      </c>
      <c r="E8161" s="24" t="inlineStr">
        <is>
          <t>（二）无评估资格的人员在评估报告上签字；</t>
        </is>
      </c>
    </row>
    <row r="8162">
      <c r="B8162" s="24" t="inlineStr">
        <is>
          <t>AgencyBlackRules</t>
        </is>
      </c>
      <c r="C8162" s="24" t="inlineStr">
        <is>
          <t>黑名单规则</t>
        </is>
      </c>
      <c r="D8162" s="24" t="inlineStr">
        <is>
          <t>03</t>
        </is>
      </c>
      <c r="E8162" s="24" t="inlineStr">
        <is>
          <t>（三）未进行现场勘察的；</t>
        </is>
      </c>
    </row>
    <row r="8163">
      <c r="B8163" s="24" t="inlineStr">
        <is>
          <t>AgencyBlackRules</t>
        </is>
      </c>
      <c r="C8163" s="24" t="inlineStr">
        <is>
          <t>黑名单规则</t>
        </is>
      </c>
      <c r="D8163" s="24" t="inlineStr">
        <is>
          <t>04</t>
        </is>
      </c>
      <c r="E8163" s="24" t="inlineStr">
        <is>
          <t>（四）迎合借款人或委托方不正当要求，评估时有意隐瞒抵（质）押品存在的重大影响事项，错误地评估价值，&lt;br/&gt;&amp;nbsp&amp;nbsp&amp;nbsp&amp;nbsp&amp;nbsp&amp;nbsp&amp;nbsp&amp;nbsp造成本行贷款出现损失的；或与借款人或委托人串通，恶意高估抵（质）押品价值；</t>
        </is>
      </c>
    </row>
    <row r="8164">
      <c r="B8164" s="24" t="inlineStr">
        <is>
          <t>AgencyBlackRules</t>
        </is>
      </c>
      <c r="C8164" s="24" t="inlineStr">
        <is>
          <t>黑名单规则</t>
        </is>
      </c>
      <c r="D8164" s="24" t="inlineStr">
        <is>
          <t>05</t>
        </is>
      </c>
      <c r="E8164" s="24" t="inlineStr">
        <is>
          <t>（五）故意提供虚假信息、资料，出具虚假评估报告、证明文件及其他文件的；</t>
        </is>
      </c>
    </row>
    <row r="8165">
      <c r="B8165" s="24" t="inlineStr">
        <is>
          <t>AgencyBlackRules</t>
        </is>
      </c>
      <c r="C8165" s="24" t="inlineStr">
        <is>
          <t>黑名单规则</t>
        </is>
      </c>
      <c r="D8165" s="24" t="inlineStr">
        <is>
          <t>06</t>
        </is>
      </c>
      <c r="E8165" s="24" t="inlineStr">
        <is>
          <t>（六）一年内被警示累计达五个(含)以上（系统自动触发）；</t>
        </is>
      </c>
    </row>
    <row r="8166">
      <c r="B8166" s="24" t="inlineStr">
        <is>
          <t>AgencyBlackRules</t>
        </is>
      </c>
      <c r="C8166" s="24" t="inlineStr">
        <is>
          <t>黑名单规则</t>
        </is>
      </c>
      <c r="D8166" s="24" t="inlineStr">
        <is>
          <t>07</t>
        </is>
      </c>
      <c r="E8166" s="24" t="inlineStr">
        <is>
          <t>（七）被当地银行同业协会或银监会列入高估抵（质）押品黑名单的（如有）；</t>
        </is>
      </c>
    </row>
    <row r="8167">
      <c r="B8167" s="24" t="inlineStr">
        <is>
          <t>AgencyBlackRules</t>
        </is>
      </c>
      <c r="C8167" s="24" t="inlineStr">
        <is>
          <t>黑名单规则</t>
        </is>
      </c>
      <c r="D8167" s="24" t="inlineStr">
        <is>
          <t>08</t>
        </is>
      </c>
      <c r="E8167" s="24" t="inlineStr">
        <is>
          <t>（八）由于违法、违纪或其他不良行为而被媒体曝光的；</t>
        </is>
      </c>
    </row>
    <row r="8168">
      <c r="B8168" s="24" t="inlineStr">
        <is>
          <t>AgencyBlackRules</t>
        </is>
      </c>
      <c r="C8168" s="24" t="inlineStr">
        <is>
          <t>黑名单规则</t>
        </is>
      </c>
      <c r="D8168" s="24" t="inlineStr">
        <is>
          <t>09</t>
        </is>
      </c>
      <c r="E8168" s="24" t="inlineStr">
        <is>
          <t>（九）其他损害本行、借款人和其他当事人利益的事项；</t>
        </is>
      </c>
    </row>
    <row r="8169" ht="15.95" customHeight="1" s="170">
      <c r="B8169" s="122" t="inlineStr">
        <is>
          <t>码值：PublishStatus</t>
        </is>
      </c>
    </row>
    <row r="8170">
      <c r="B8170" s="24" t="inlineStr">
        <is>
          <t>PublishStatus</t>
        </is>
      </c>
      <c r="C8170" s="24" t="inlineStr">
        <is>
          <t>发布状态</t>
        </is>
      </c>
      <c r="D8170" s="24" t="inlineStr">
        <is>
          <t>01</t>
        </is>
      </c>
      <c r="E8170" s="24" t="inlineStr">
        <is>
          <t>已发布</t>
        </is>
      </c>
    </row>
    <row r="8171">
      <c r="B8171" s="24" t="inlineStr">
        <is>
          <t>PublishStatus</t>
        </is>
      </c>
      <c r="C8171" s="24" t="inlineStr">
        <is>
          <t>发布状态</t>
        </is>
      </c>
      <c r="D8171" s="24" t="inlineStr">
        <is>
          <t>02</t>
        </is>
      </c>
      <c r="E8171" s="24" t="inlineStr">
        <is>
          <t>未发布</t>
        </is>
      </c>
    </row>
    <row r="8172" ht="15.95" customHeight="1" s="170">
      <c r="B8172" s="122" t="inlineStr">
        <is>
          <t>码值：ShareType01</t>
        </is>
      </c>
    </row>
    <row r="8173">
      <c r="B8173" s="24" t="inlineStr">
        <is>
          <t>ShareType01</t>
        </is>
      </c>
      <c r="C8173" s="24" t="inlineStr">
        <is>
          <t>证券类型</t>
        </is>
      </c>
      <c r="D8173" s="24" t="inlineStr">
        <is>
          <t>01</t>
        </is>
      </c>
      <c r="E8173" s="24" t="inlineStr">
        <is>
          <t>流通股股票（权）</t>
        </is>
      </c>
    </row>
    <row r="8174">
      <c r="B8174" s="24" t="inlineStr">
        <is>
          <t>ShareType01</t>
        </is>
      </c>
      <c r="C8174" s="24" t="inlineStr">
        <is>
          <t>证券类型</t>
        </is>
      </c>
      <c r="D8174" s="24" t="inlineStr">
        <is>
          <t>02</t>
        </is>
      </c>
      <c r="E8174" s="24" t="inlineStr">
        <is>
          <t>限售流通股</t>
        </is>
      </c>
    </row>
    <row r="8175">
      <c r="B8175" s="24" t="inlineStr">
        <is>
          <t>ShareType01</t>
        </is>
      </c>
      <c r="C8175" s="24" t="inlineStr">
        <is>
          <t>证券类型</t>
        </is>
      </c>
      <c r="D8175" s="24" t="inlineStr">
        <is>
          <t>03</t>
        </is>
      </c>
      <c r="E8175" s="24" t="inlineStr">
        <is>
          <t>非上市全国性股份制商业银行股票（权）</t>
        </is>
      </c>
    </row>
    <row r="8176">
      <c r="B8176" s="24" t="inlineStr">
        <is>
          <t>ShareType01</t>
        </is>
      </c>
      <c r="C8176" s="24" t="inlineStr">
        <is>
          <t>证券类型</t>
        </is>
      </c>
      <c r="D8176" s="24" t="inlineStr">
        <is>
          <t>04</t>
        </is>
      </c>
      <c r="E8176" s="24" t="inlineStr">
        <is>
          <t>非上市非全国性股份制商业银行股票（权）</t>
        </is>
      </c>
    </row>
    <row r="8177">
      <c r="B8177" s="24" t="inlineStr">
        <is>
          <t>ShareType01</t>
        </is>
      </c>
      <c r="C8177" s="24" t="inlineStr">
        <is>
          <t>证券类型</t>
        </is>
      </c>
      <c r="D8177" s="24" t="inlineStr">
        <is>
          <t>05</t>
        </is>
      </c>
      <c r="E8177" s="24" t="inlineStr">
        <is>
          <t>其他非上市公司股票（权）</t>
        </is>
      </c>
    </row>
    <row r="8178" ht="15.95" customHeight="1" s="170">
      <c r="B8178" s="122" t="inlineStr">
        <is>
          <t>码值：CreditApproveLimitUnderIndApMain</t>
        </is>
      </c>
    </row>
    <row r="8179">
      <c r="B8179" s="24" t="inlineStr">
        <is>
          <t>CreditApproveLimitUnderIndApMain</t>
        </is>
      </c>
      <c r="C8179" s="24" t="inlineStr">
        <is>
          <t>个人额度项下授信申请审批</t>
        </is>
      </c>
      <c r="D8179" s="24" t="inlineStr">
        <is>
          <t>N</t>
        </is>
      </c>
      <c r="E8179" s="24" t="inlineStr">
        <is>
          <t>待办任务</t>
        </is>
      </c>
    </row>
    <row r="8180">
      <c r="B8180" s="24" t="inlineStr">
        <is>
          <t>CreditApproveLimitUnderIndApMain</t>
        </is>
      </c>
      <c r="C8180" s="24" t="inlineStr">
        <is>
          <t>个人额度项下授信申请审批</t>
        </is>
      </c>
      <c r="D8180" s="24" t="inlineStr">
        <is>
          <t>Y</t>
        </is>
      </c>
      <c r="E8180" s="24" t="inlineStr">
        <is>
          <t>已办任务</t>
        </is>
      </c>
    </row>
    <row r="8181" ht="15.95" customHeight="1" s="170">
      <c r="B8181" s="122" t="inlineStr">
        <is>
          <t>码值：PDASalePayStyle</t>
        </is>
      </c>
    </row>
    <row r="8182">
      <c r="B8182" s="24" t="inlineStr">
        <is>
          <t>PDASalePayStyle</t>
        </is>
      </c>
      <c r="C8182" s="24" t="inlineStr">
        <is>
          <t>抵债资产出售付款方式</t>
        </is>
      </c>
      <c r="D8182" s="24" t="inlineStr">
        <is>
          <t>01</t>
        </is>
      </c>
      <c r="E8182" s="24" t="inlineStr">
        <is>
          <t>一次性付款</t>
        </is>
      </c>
    </row>
    <row r="8183">
      <c r="B8183" s="24" t="inlineStr">
        <is>
          <t>PDASalePayStyle</t>
        </is>
      </c>
      <c r="C8183" s="24" t="inlineStr">
        <is>
          <t>抵债资产出售付款方式</t>
        </is>
      </c>
      <c r="D8183" s="24" t="inlineStr">
        <is>
          <t>02</t>
        </is>
      </c>
      <c r="E8183" s="24" t="inlineStr">
        <is>
          <t>分期付款</t>
        </is>
      </c>
    </row>
    <row r="8184" ht="15.95" customHeight="1" s="170">
      <c r="B8184" s="122" t="inlineStr">
        <is>
          <t>码值：RegistagencyType</t>
        </is>
      </c>
    </row>
    <row r="8185">
      <c r="B8185" s="24" t="inlineStr">
        <is>
          <t>RegistagencyType</t>
        </is>
      </c>
      <c r="C8185" s="24" t="inlineStr">
        <is>
          <t>权力登记机关类型</t>
        </is>
      </c>
      <c r="D8185" s="24" t="inlineStr">
        <is>
          <t>01</t>
        </is>
      </c>
      <c r="E8185" s="24" t="inlineStr">
        <is>
          <t>房管局</t>
        </is>
      </c>
    </row>
    <row r="8186">
      <c r="B8186" s="24" t="inlineStr">
        <is>
          <t>RegistagencyType</t>
        </is>
      </c>
      <c r="C8186" s="24" t="inlineStr">
        <is>
          <t>权力登记机关类型</t>
        </is>
      </c>
      <c r="D8186" s="24" t="inlineStr">
        <is>
          <t>02</t>
        </is>
      </c>
      <c r="E8186" s="24" t="inlineStr">
        <is>
          <t>车管所</t>
        </is>
      </c>
    </row>
    <row r="8187">
      <c r="B8187" s="24" t="inlineStr">
        <is>
          <t>RegistagencyType</t>
        </is>
      </c>
      <c r="C8187" s="24" t="inlineStr">
        <is>
          <t>权力登记机关类型</t>
        </is>
      </c>
      <c r="D8187" s="24" t="inlineStr">
        <is>
          <t>03</t>
        </is>
      </c>
      <c r="E8187" s="24" t="inlineStr">
        <is>
          <t>民航局</t>
        </is>
      </c>
    </row>
    <row r="8188" ht="15.95" customHeight="1" s="170">
      <c r="B8188" s="122" t="inlineStr">
        <is>
          <t>码值：DocPhase</t>
        </is>
      </c>
    </row>
    <row r="8189">
      <c r="B8189" s="24" t="inlineStr">
        <is>
          <t>DocPhase</t>
        </is>
      </c>
      <c r="C8189" s="24" t="inlineStr">
        <is>
          <t>文件所属阶段</t>
        </is>
      </c>
      <c r="D8189" s="24" t="inlineStr">
        <is>
          <t>BusinessContract</t>
        </is>
      </c>
      <c r="E8189" s="24" t="inlineStr">
        <is>
          <t>合同阶段</t>
        </is>
      </c>
    </row>
    <row r="8190">
      <c r="B8190" s="24" t="inlineStr">
        <is>
          <t>DocPhase</t>
        </is>
      </c>
      <c r="C8190" s="24" t="inlineStr">
        <is>
          <t>文件所属阶段</t>
        </is>
      </c>
      <c r="D8190" s="24" t="inlineStr">
        <is>
          <t>CreditApply</t>
        </is>
      </c>
      <c r="E8190" s="24" t="inlineStr">
        <is>
          <t>申请阶段</t>
        </is>
      </c>
    </row>
    <row r="8191">
      <c r="B8191" s="24" t="inlineStr">
        <is>
          <t>DocPhase</t>
        </is>
      </c>
      <c r="C8191" s="24" t="inlineStr">
        <is>
          <t>文件所属阶段</t>
        </is>
      </c>
      <c r="D8191" s="24" t="inlineStr">
        <is>
          <t>PutOutApply</t>
        </is>
      </c>
      <c r="E8191" s="24" t="inlineStr">
        <is>
          <t>出账阶段</t>
        </is>
      </c>
    </row>
    <row r="8192" ht="15.95" customHeight="1" s="170">
      <c r="B8192" s="122" t="inlineStr">
        <is>
          <t>码值：宾馆服务业分类</t>
        </is>
      </c>
    </row>
    <row r="8193">
      <c r="B8193" s="24" t="inlineStr">
        <is>
          <t>宾馆服务业分类</t>
        </is>
      </c>
      <c r="C8193" s="24" t="inlineStr">
        <is>
          <t>宾馆服务业分类</t>
        </is>
      </c>
      <c r="D8193" s="24" t="inlineStr">
        <is>
          <t>1</t>
        </is>
      </c>
      <c r="E8193" s="24" t="inlineStr">
        <is>
          <t>宾馆</t>
        </is>
      </c>
    </row>
    <row r="8194">
      <c r="B8194" s="24" t="inlineStr">
        <is>
          <t>宾馆服务业分类</t>
        </is>
      </c>
      <c r="C8194" s="24" t="inlineStr">
        <is>
          <t>宾馆服务业分类</t>
        </is>
      </c>
      <c r="D8194" s="24" t="inlineStr">
        <is>
          <t>2</t>
        </is>
      </c>
      <c r="E8194" s="24" t="inlineStr">
        <is>
          <t>餐饮</t>
        </is>
      </c>
    </row>
    <row r="8195">
      <c r="B8195" s="24" t="inlineStr">
        <is>
          <t>宾馆服务业分类</t>
        </is>
      </c>
      <c r="C8195" s="24" t="inlineStr">
        <is>
          <t>宾馆服务业分类</t>
        </is>
      </c>
      <c r="D8195" s="24" t="inlineStr">
        <is>
          <t>3</t>
        </is>
      </c>
      <c r="E8195" s="24" t="inlineStr">
        <is>
          <t>旅游</t>
        </is>
      </c>
    </row>
    <row r="8196">
      <c r="B8196" s="24" t="inlineStr">
        <is>
          <t>宾馆服务业分类</t>
        </is>
      </c>
      <c r="C8196" s="24" t="inlineStr">
        <is>
          <t>宾馆服务业分类</t>
        </is>
      </c>
      <c r="D8196" s="24" t="inlineStr">
        <is>
          <t>4</t>
        </is>
      </c>
      <c r="E8196" s="24" t="inlineStr">
        <is>
          <t>娱乐</t>
        </is>
      </c>
    </row>
    <row r="8197">
      <c r="B8197" s="24" t="inlineStr">
        <is>
          <t>宾馆服务业分类</t>
        </is>
      </c>
      <c r="C8197" s="24" t="inlineStr">
        <is>
          <t>宾馆服务业分类</t>
        </is>
      </c>
      <c r="D8197" s="24" t="inlineStr">
        <is>
          <t>5</t>
        </is>
      </c>
      <c r="E8197" s="24" t="inlineStr">
        <is>
          <t>其他类</t>
        </is>
      </c>
    </row>
    <row r="8198" ht="15.95" customHeight="1" s="170">
      <c r="B8198" s="122" t="inlineStr">
        <is>
          <t>码值：FinanceTrendAnalyse</t>
        </is>
      </c>
    </row>
    <row r="8199">
      <c r="B8199" s="24" t="inlineStr">
        <is>
          <t>FinanceTrendAnalyse</t>
        </is>
      </c>
      <c r="C8199" s="24" t="inlineStr">
        <is>
          <t>财务趋势分析</t>
        </is>
      </c>
      <c r="D8199" s="24" t="inlineStr">
        <is>
          <t>01</t>
        </is>
      </c>
      <c r="E8199" s="24" t="inlineStr">
        <is>
          <t>定比分析</t>
        </is>
      </c>
    </row>
    <row r="8200">
      <c r="B8200" s="24" t="inlineStr">
        <is>
          <t>FinanceTrendAnalyse</t>
        </is>
      </c>
      <c r="C8200" s="24" t="inlineStr">
        <is>
          <t>财务趋势分析</t>
        </is>
      </c>
      <c r="D8200" s="24" t="inlineStr">
        <is>
          <t>02</t>
        </is>
      </c>
      <c r="E8200" s="24" t="inlineStr">
        <is>
          <t>环比分析</t>
        </is>
      </c>
    </row>
    <row r="8201" ht="15.95" customHeight="1" s="170">
      <c r="B8201" s="122" t="inlineStr">
        <is>
          <t>码值：DoUpdateWhere</t>
        </is>
      </c>
    </row>
    <row r="8202">
      <c r="B8202" s="24" t="inlineStr">
        <is>
          <t>DoUpdateWhere</t>
        </is>
      </c>
      <c r="C8202" s="24" t="inlineStr">
        <is>
          <t>更新方式</t>
        </is>
      </c>
      <c r="D8202" s="24" t="inlineStr">
        <is>
          <t>1</t>
        </is>
      </c>
      <c r="E8202" s="24" t="inlineStr">
        <is>
          <t>Key</t>
        </is>
      </c>
    </row>
    <row r="8203">
      <c r="B8203" s="24" t="inlineStr">
        <is>
          <t>DoUpdateWhere</t>
        </is>
      </c>
      <c r="C8203" s="24" t="inlineStr">
        <is>
          <t>更新方式</t>
        </is>
      </c>
      <c r="D8203" s="24" t="inlineStr">
        <is>
          <t>2</t>
        </is>
      </c>
      <c r="E8203" s="24" t="inlineStr">
        <is>
          <t>Key &amp; Update</t>
        </is>
      </c>
    </row>
    <row r="8204">
      <c r="B8204" s="24" t="inlineStr">
        <is>
          <t>DoUpdateWhere</t>
        </is>
      </c>
      <c r="C8204" s="24" t="inlineStr">
        <is>
          <t>更新方式</t>
        </is>
      </c>
      <c r="D8204" s="24" t="inlineStr">
        <is>
          <t>3</t>
        </is>
      </c>
      <c r="E8204" s="24" t="inlineStr">
        <is>
          <t>Key &amp; Modify</t>
        </is>
      </c>
    </row>
    <row r="8205" ht="15.95" customHeight="1" s="170">
      <c r="B8205" s="122" t="inlineStr">
        <is>
          <t>码值：ResourceType</t>
        </is>
      </c>
    </row>
    <row r="8206">
      <c r="B8206" s="24" t="inlineStr">
        <is>
          <t>ResourceType</t>
        </is>
      </c>
      <c r="C8206" s="24" t="inlineStr">
        <is>
          <t>水电缴费类型</t>
        </is>
      </c>
      <c r="D8206" s="24" t="inlineStr">
        <is>
          <t>010</t>
        </is>
      </c>
      <c r="E8206" s="24" t="inlineStr">
        <is>
          <t>水费</t>
        </is>
      </c>
    </row>
    <row r="8207">
      <c r="B8207" s="24" t="inlineStr">
        <is>
          <t>ResourceType</t>
        </is>
      </c>
      <c r="C8207" s="24" t="inlineStr">
        <is>
          <t>水电缴费类型</t>
        </is>
      </c>
      <c r="D8207" s="24" t="inlineStr">
        <is>
          <t>020</t>
        </is>
      </c>
      <c r="E8207" s="24" t="inlineStr">
        <is>
          <t>电费</t>
        </is>
      </c>
    </row>
    <row r="8208">
      <c r="B8208" s="24" t="inlineStr">
        <is>
          <t>ResourceType</t>
        </is>
      </c>
      <c r="C8208" s="24" t="inlineStr">
        <is>
          <t>水电缴费类型</t>
        </is>
      </c>
      <c r="D8208" s="24" t="inlineStr">
        <is>
          <t>999</t>
        </is>
      </c>
      <c r="E8208" s="24" t="inlineStr">
        <is>
          <t>其他</t>
        </is>
      </c>
    </row>
    <row r="8209" ht="15.95" customHeight="1" s="170">
      <c r="B8209" s="122" t="inlineStr">
        <is>
          <t>码值：销售稳定性</t>
        </is>
      </c>
    </row>
    <row r="8210">
      <c r="B8210" s="24" t="inlineStr">
        <is>
          <t>销售稳定性</t>
        </is>
      </c>
      <c r="C8210" s="24" t="inlineStr">
        <is>
          <t>销售稳定性</t>
        </is>
      </c>
      <c r="D8210" s="24" t="inlineStr">
        <is>
          <t>1</t>
        </is>
      </c>
      <c r="E8210" s="24" t="inlineStr">
        <is>
          <t>弱</t>
        </is>
      </c>
    </row>
    <row r="8211">
      <c r="B8211" s="24" t="inlineStr">
        <is>
          <t>销售稳定性</t>
        </is>
      </c>
      <c r="C8211" s="24" t="inlineStr">
        <is>
          <t>销售稳定性</t>
        </is>
      </c>
      <c r="D8211" s="24" t="inlineStr">
        <is>
          <t>2</t>
        </is>
      </c>
      <c r="E8211" s="24" t="inlineStr">
        <is>
          <t>强</t>
        </is>
      </c>
    </row>
    <row r="8212" ht="15.95" customHeight="1" s="170">
      <c r="B8212" s="122" t="inlineStr">
        <is>
          <t>码值：BankFinance</t>
        </is>
      </c>
    </row>
    <row r="8213">
      <c r="B8213" s="24" t="inlineStr">
        <is>
          <t>BankFinance</t>
        </is>
      </c>
      <c r="C8213" s="24" t="inlineStr">
        <is>
          <t>信用等级评估统一导入</t>
        </is>
      </c>
      <c r="D8213" s="24" t="inlineStr">
        <is>
          <t>1</t>
        </is>
      </c>
      <c r="E8213" s="24" t="inlineStr">
        <is>
          <t>融资成本的利率下浮于基准利率</t>
        </is>
      </c>
    </row>
    <row r="8214">
      <c r="B8214" s="24" t="inlineStr">
        <is>
          <t>BankFinance</t>
        </is>
      </c>
      <c r="C8214" s="24" t="inlineStr">
        <is>
          <t>信用等级评估统一导入</t>
        </is>
      </c>
      <c r="D8214" s="24" t="inlineStr">
        <is>
          <t>2</t>
        </is>
      </c>
      <c r="E8214" s="24" t="inlineStr">
        <is>
          <t>融资成本的利率等于基准利率;或只取得表外业务授信(没有银行贷款)</t>
        </is>
      </c>
    </row>
    <row r="8215">
      <c r="B8215" s="24" t="inlineStr">
        <is>
          <t>BankFinance</t>
        </is>
      </c>
      <c r="C8215" s="24" t="inlineStr">
        <is>
          <t>信用等级评估统一导入</t>
        </is>
      </c>
      <c r="D8215" s="24" t="inlineStr">
        <is>
          <t>3</t>
        </is>
      </c>
      <c r="E8215" s="24" t="inlineStr">
        <is>
          <t>融资成本的利率上浮于基准利率10%以内</t>
        </is>
      </c>
    </row>
    <row r="8216">
      <c r="B8216" s="24" t="inlineStr">
        <is>
          <t>BankFinance</t>
        </is>
      </c>
      <c r="C8216" s="24" t="inlineStr">
        <is>
          <t>信用等级评估统一导入</t>
        </is>
      </c>
      <c r="D8216" s="24" t="inlineStr">
        <is>
          <t>4</t>
        </is>
      </c>
      <c r="E8216" s="24" t="inlineStr">
        <is>
          <t>上浮于基准利率10%--20%</t>
        </is>
      </c>
    </row>
    <row r="8217">
      <c r="B8217" s="24" t="inlineStr">
        <is>
          <t>BankFinance</t>
        </is>
      </c>
      <c r="C8217" s="24" t="inlineStr">
        <is>
          <t>信用等级评估统一导入</t>
        </is>
      </c>
      <c r="D8217" s="24" t="inlineStr">
        <is>
          <t>5</t>
        </is>
      </c>
      <c r="E8217" s="24" t="inlineStr">
        <is>
          <t>上浮于基准利率20%以上或不易获得贷款</t>
        </is>
      </c>
    </row>
    <row r="8218" ht="15.95" customHeight="1" s="170">
      <c r="B8218" s="122" t="inlineStr">
        <is>
          <t>码值：PrePayType</t>
        </is>
      </c>
    </row>
    <row r="8219">
      <c r="B8219" s="24" t="inlineStr">
        <is>
          <t>PrePayType</t>
        </is>
      </c>
      <c r="C8219" s="24" t="inlineStr">
        <is>
          <t>提前还款类型及方式</t>
        </is>
      </c>
      <c r="D8219" s="24" t="inlineStr">
        <is>
          <t>1</t>
        </is>
      </c>
      <c r="E8219" s="24" t="inlineStr">
        <is>
          <t>部分提前还款-期限不变</t>
        </is>
      </c>
    </row>
    <row r="8220">
      <c r="B8220" s="24" t="inlineStr">
        <is>
          <t>PrePayType</t>
        </is>
      </c>
      <c r="C8220" s="24" t="inlineStr">
        <is>
          <t>提前还款类型及方式</t>
        </is>
      </c>
      <c r="D8220" s="24" t="inlineStr">
        <is>
          <t>2</t>
        </is>
      </c>
      <c r="E8220" s="24" t="inlineStr">
        <is>
          <t>部分提前还款-期供不变</t>
        </is>
      </c>
    </row>
    <row r="8221">
      <c r="B8221" s="24" t="inlineStr">
        <is>
          <t>PrePayType</t>
        </is>
      </c>
      <c r="C8221" s="24" t="inlineStr">
        <is>
          <t>提前还款类型及方式</t>
        </is>
      </c>
      <c r="D8221" s="24" t="inlineStr">
        <is>
          <t>3</t>
        </is>
      </c>
      <c r="E8221" s="24" t="inlineStr">
        <is>
          <t>全部提前还款</t>
        </is>
      </c>
    </row>
    <row r="8222" ht="15.95" customHeight="1" s="170">
      <c r="B8222" s="122" t="inlineStr">
        <is>
          <t>码值：TranBillType</t>
        </is>
      </c>
    </row>
    <row r="8223">
      <c r="B8223" s="24" t="inlineStr">
        <is>
          <t>TranBillType</t>
        </is>
      </c>
      <c r="C8223" s="24" t="inlineStr">
        <is>
          <t>运输单据种类</t>
        </is>
      </c>
      <c r="D8223" s="24" t="inlineStr">
        <is>
          <t>010</t>
        </is>
      </c>
      <c r="E8223" s="24" t="inlineStr">
        <is>
          <t>全套海运提单</t>
        </is>
      </c>
    </row>
    <row r="8224">
      <c r="B8224" s="24" t="inlineStr">
        <is>
          <t>TranBillType</t>
        </is>
      </c>
      <c r="C8224" s="24" t="inlineStr">
        <is>
          <t>运输单据种类</t>
        </is>
      </c>
      <c r="D8224" s="24" t="inlineStr">
        <is>
          <t>020</t>
        </is>
      </c>
      <c r="E8224" s="24" t="inlineStr">
        <is>
          <t>非全套海运提单</t>
        </is>
      </c>
    </row>
    <row r="8225">
      <c r="B8225" s="24" t="inlineStr">
        <is>
          <t>TranBillType</t>
        </is>
      </c>
      <c r="C8225" s="24" t="inlineStr">
        <is>
          <t>运输单据种类</t>
        </is>
      </c>
      <c r="D8225" s="24" t="inlineStr">
        <is>
          <t>030</t>
        </is>
      </c>
      <c r="E8225" s="24" t="inlineStr">
        <is>
          <t>空运单</t>
        </is>
      </c>
    </row>
    <row r="8226">
      <c r="B8226" s="24" t="inlineStr">
        <is>
          <t>TranBillType</t>
        </is>
      </c>
      <c r="C8226" s="24" t="inlineStr">
        <is>
          <t>运输单据种类</t>
        </is>
      </c>
      <c r="D8226" s="24" t="inlineStr">
        <is>
          <t>040</t>
        </is>
      </c>
      <c r="E8226" s="24" t="inlineStr">
        <is>
          <t>陆运单</t>
        </is>
      </c>
    </row>
    <row r="8227">
      <c r="B8227" s="24" t="inlineStr">
        <is>
          <t>TranBillType</t>
        </is>
      </c>
      <c r="C8227" s="24" t="inlineStr">
        <is>
          <t>运输单据种类</t>
        </is>
      </c>
      <c r="D8227" s="24" t="inlineStr">
        <is>
          <t>050</t>
        </is>
      </c>
      <c r="E8227" s="24" t="inlineStr">
        <is>
          <t>全套连运提单</t>
        </is>
      </c>
    </row>
    <row r="8228">
      <c r="B8228" s="24" t="inlineStr">
        <is>
          <t>TranBillType</t>
        </is>
      </c>
      <c r="C8228" s="24" t="inlineStr">
        <is>
          <t>运输单据种类</t>
        </is>
      </c>
      <c r="D8228" s="24" t="inlineStr">
        <is>
          <t>060</t>
        </is>
      </c>
      <c r="E8228" s="24" t="inlineStr">
        <is>
          <t>非全套连运提单</t>
        </is>
      </c>
    </row>
    <row r="8229">
      <c r="B8229" s="24" t="inlineStr">
        <is>
          <t>TranBillType</t>
        </is>
      </c>
      <c r="C8229" s="24" t="inlineStr">
        <is>
          <t>运输单据种类</t>
        </is>
      </c>
      <c r="D8229" s="24" t="inlineStr">
        <is>
          <t>070</t>
        </is>
      </c>
      <c r="E8229" s="24" t="inlineStr">
        <is>
          <t>货物收据或发货证明</t>
        </is>
      </c>
    </row>
    <row r="8230" ht="15.95" customHeight="1" s="170">
      <c r="B8230" s="122" t="inlineStr">
        <is>
          <t>码值：EnterpriseType02</t>
        </is>
      </c>
    </row>
    <row r="8231">
      <c r="B8231" s="24" t="inlineStr">
        <is>
          <t>EnterpriseType02</t>
        </is>
      </c>
      <c r="C8231" s="24" t="inlineStr">
        <is>
          <t>信用等级评估统一导入</t>
        </is>
      </c>
      <c r="D8231" s="24" t="inlineStr">
        <is>
          <t>01</t>
        </is>
      </c>
      <c r="E8231" s="24" t="inlineStr">
        <is>
          <t>技术密集型</t>
        </is>
      </c>
    </row>
    <row r="8232">
      <c r="B8232" s="24" t="inlineStr">
        <is>
          <t>EnterpriseType02</t>
        </is>
      </c>
      <c r="C8232" s="24" t="inlineStr">
        <is>
          <t>信用等级评估统一导入</t>
        </is>
      </c>
      <c r="D8232" s="24" t="inlineStr">
        <is>
          <t>02</t>
        </is>
      </c>
      <c r="E8232" s="24" t="inlineStr">
        <is>
          <t>资本密集型</t>
        </is>
      </c>
    </row>
    <row r="8233">
      <c r="B8233" s="24" t="inlineStr">
        <is>
          <t>EnterpriseType02</t>
        </is>
      </c>
      <c r="C8233" s="24" t="inlineStr">
        <is>
          <t>信用等级评估统一导入</t>
        </is>
      </c>
      <c r="D8233" s="24" t="inlineStr">
        <is>
          <t>03</t>
        </is>
      </c>
      <c r="E8233" s="24" t="inlineStr">
        <is>
          <t>劳动密集型</t>
        </is>
      </c>
    </row>
    <row r="8234">
      <c r="B8234" s="24" t="inlineStr">
        <is>
          <t>EnterpriseType02</t>
        </is>
      </c>
      <c r="C8234" s="24" t="inlineStr">
        <is>
          <t>信用等级评估统一导入</t>
        </is>
      </c>
      <c r="D8234" s="24" t="inlineStr">
        <is>
          <t>04</t>
        </is>
      </c>
      <c r="E8234" s="24" t="inlineStr">
        <is>
          <t>答案难以判断</t>
        </is>
      </c>
    </row>
    <row r="8235" ht="15.95" customHeight="1" s="170">
      <c r="B8235" s="122" t="inlineStr">
        <is>
          <t>码值：个人或家庭月债务偿还</t>
        </is>
      </c>
    </row>
    <row r="8236">
      <c r="B8236" s="24" t="inlineStr">
        <is>
          <t>个人或家庭月债务偿还</t>
        </is>
      </c>
      <c r="C8236" s="24" t="inlineStr">
        <is>
          <t>个人或家庭月债务偿还能力状况</t>
        </is>
      </c>
      <c r="D8236" s="24" t="inlineStr">
        <is>
          <t>1</t>
        </is>
      </c>
      <c r="E8236" s="24" t="inlineStr">
        <is>
          <t xml:space="preserve">1000元以下(含1000元) </t>
        </is>
      </c>
    </row>
    <row r="8237">
      <c r="B8237" s="24" t="inlineStr">
        <is>
          <t>个人或家庭月债务偿还</t>
        </is>
      </c>
      <c r="C8237" s="24" t="inlineStr">
        <is>
          <t>个人或家庭月债务偿还能力状况</t>
        </is>
      </c>
      <c r="D8237" s="24" t="inlineStr">
        <is>
          <t>2</t>
        </is>
      </c>
      <c r="E8237" s="24" t="inlineStr">
        <is>
          <t xml:space="preserve">1000元－3000元(含3000元) </t>
        </is>
      </c>
    </row>
    <row r="8238">
      <c r="B8238" s="24" t="inlineStr">
        <is>
          <t>个人或家庭月债务偿还</t>
        </is>
      </c>
      <c r="C8238" s="24" t="inlineStr">
        <is>
          <t>个人或家庭月债务偿还能力状况</t>
        </is>
      </c>
      <c r="D8238" s="24" t="inlineStr">
        <is>
          <t>3</t>
        </is>
      </c>
      <c r="E8238" s="24" t="inlineStr">
        <is>
          <t xml:space="preserve">3000元－5000元(含5000元) </t>
        </is>
      </c>
    </row>
    <row r="8239">
      <c r="B8239" s="24" t="inlineStr">
        <is>
          <t>个人或家庭月债务偿还</t>
        </is>
      </c>
      <c r="C8239" s="24" t="inlineStr">
        <is>
          <t>个人或家庭月债务偿还能力状况</t>
        </is>
      </c>
      <c r="D8239" s="24" t="inlineStr">
        <is>
          <t>4</t>
        </is>
      </c>
      <c r="E8239" s="24" t="inlineStr">
        <is>
          <t>5000元以上</t>
        </is>
      </c>
    </row>
    <row r="8240" ht="15.95" customHeight="1" s="170">
      <c r="B8240" s="122" t="inlineStr">
        <is>
          <t>码值：AlarmDeal</t>
        </is>
      </c>
    </row>
    <row r="8241">
      <c r="B8241" s="24" t="inlineStr">
        <is>
          <t>AlarmDeal</t>
        </is>
      </c>
      <c r="C8241" s="24" t="inlineStr">
        <is>
          <t>预警管理</t>
        </is>
      </c>
      <c r="D8241" s="24" t="inlineStr">
        <is>
          <t>10</t>
        </is>
      </c>
      <c r="E8241" s="24" t="inlineStr">
        <is>
          <t>禁止办理</t>
        </is>
      </c>
    </row>
    <row r="8242">
      <c r="B8242" s="24" t="inlineStr">
        <is>
          <t>AlarmDeal</t>
        </is>
      </c>
      <c r="C8242" s="24" t="inlineStr">
        <is>
          <t>预警管理</t>
        </is>
      </c>
      <c r="D8242" s="24" t="inlineStr">
        <is>
          <t>20</t>
        </is>
      </c>
      <c r="E8242" s="24" t="inlineStr">
        <is>
          <t>提示</t>
        </is>
      </c>
    </row>
    <row r="8243" ht="15.95" customHeight="1" s="170">
      <c r="B8243" s="122" t="inlineStr">
        <is>
          <t>码值：ModelType</t>
        </is>
      </c>
    </row>
    <row r="8244">
      <c r="B8244" s="24" t="inlineStr">
        <is>
          <t>ModelType</t>
        </is>
      </c>
      <c r="C8244" s="24" t="inlineStr">
        <is>
          <t>模型类型</t>
        </is>
      </c>
      <c r="D8244" s="24" t="inlineStr">
        <is>
          <t>01</t>
        </is>
      </c>
      <c r="E8244" s="24" t="inlineStr">
        <is>
          <t>基础模型</t>
        </is>
      </c>
    </row>
    <row r="8245">
      <c r="B8245" s="24" t="inlineStr">
        <is>
          <t>ModelType</t>
        </is>
      </c>
      <c r="C8245" s="24" t="inlineStr">
        <is>
          <t>模型类型</t>
        </is>
      </c>
      <c r="D8245" s="24" t="inlineStr">
        <is>
          <t>02</t>
        </is>
      </c>
      <c r="E8245" s="24" t="inlineStr">
        <is>
          <t>关联模型</t>
        </is>
      </c>
    </row>
    <row r="8246" ht="15.95" customHeight="1" s="170">
      <c r="B8246" s="122" t="inlineStr">
        <is>
          <t>码值：CourtList</t>
        </is>
      </c>
    </row>
    <row r="8247">
      <c r="B8247" s="24" t="inlineStr">
        <is>
          <t>CourtList</t>
        </is>
      </c>
      <c r="C8247" s="24" t="inlineStr">
        <is>
          <t>法院人员信息树状菜单</t>
        </is>
      </c>
      <c r="D8247" s="24" t="inlineStr">
        <is>
          <t>010</t>
        </is>
      </c>
      <c r="E8247" s="24" t="inlineStr">
        <is>
          <t>受理机关信息</t>
        </is>
      </c>
    </row>
    <row r="8248">
      <c r="B8248" s="24" t="inlineStr">
        <is>
          <t>CourtList</t>
        </is>
      </c>
      <c r="C8248" s="24" t="inlineStr">
        <is>
          <t>法院人员信息树状菜单</t>
        </is>
      </c>
      <c r="D8248" s="24" t="inlineStr">
        <is>
          <t>020</t>
        </is>
      </c>
      <c r="E8248" s="24" t="inlineStr">
        <is>
          <t>受理人信息</t>
        </is>
      </c>
    </row>
    <row r="8249" ht="15.95" customHeight="1" s="170">
      <c r="B8249" s="122" t="inlineStr">
        <is>
          <t>码值：SheetType</t>
        </is>
      </c>
    </row>
    <row r="8250">
      <c r="B8250" s="24" t="inlineStr">
        <is>
          <t>SheetType</t>
        </is>
      </c>
      <c r="C8250" s="24" t="inlineStr">
        <is>
          <t>财报页类型</t>
        </is>
      </c>
      <c r="D8250" s="24" t="inlineStr">
        <is>
          <t>BS</t>
        </is>
      </c>
      <c r="E8250" s="24" t="inlineStr">
        <is>
          <t>资产负债表</t>
        </is>
      </c>
    </row>
    <row r="8251">
      <c r="B8251" s="24" t="inlineStr">
        <is>
          <t>SheetType</t>
        </is>
      </c>
      <c r="C8251" s="24" t="inlineStr">
        <is>
          <t>财报页类型</t>
        </is>
      </c>
      <c r="D8251" s="24" t="inlineStr">
        <is>
          <t>CFS</t>
        </is>
      </c>
      <c r="E8251" s="24" t="inlineStr">
        <is>
          <t>现金流量表</t>
        </is>
      </c>
    </row>
    <row r="8252">
      <c r="B8252" s="24" t="inlineStr">
        <is>
          <t>SheetType</t>
        </is>
      </c>
      <c r="C8252" s="24" t="inlineStr">
        <is>
          <t>财报页类型</t>
        </is>
      </c>
      <c r="D8252" s="24" t="inlineStr">
        <is>
          <t>CFSA</t>
        </is>
      </c>
      <c r="E8252" s="24" t="inlineStr">
        <is>
          <t>现金流量表(自动)</t>
        </is>
      </c>
    </row>
    <row r="8253">
      <c r="B8253" s="24" t="inlineStr">
        <is>
          <t>SheetType</t>
        </is>
      </c>
      <c r="C8253" s="24" t="inlineStr">
        <is>
          <t>财报页类型</t>
        </is>
      </c>
      <c r="D8253" s="24" t="inlineStr">
        <is>
          <t>CFSGS</t>
        </is>
      </c>
      <c r="E8253" s="24" t="inlineStr">
        <is>
          <t>一般准则现金流量表</t>
        </is>
      </c>
    </row>
    <row r="8254">
      <c r="B8254" s="24" t="inlineStr">
        <is>
          <t>SheetType</t>
        </is>
      </c>
      <c r="C8254" s="24" t="inlineStr">
        <is>
          <t>财报页类型</t>
        </is>
      </c>
      <c r="D8254" s="24" t="inlineStr">
        <is>
          <t>CFSI</t>
        </is>
      </c>
      <c r="E8254" s="24" t="inlineStr">
        <is>
          <t>现金流量表(间接法)</t>
        </is>
      </c>
    </row>
    <row r="8255">
      <c r="B8255" s="24" t="inlineStr">
        <is>
          <t>SheetType</t>
        </is>
      </c>
      <c r="C8255" s="24" t="inlineStr">
        <is>
          <t>财报页类型</t>
        </is>
      </c>
      <c r="D8255" s="24" t="inlineStr">
        <is>
          <t>CFSM</t>
        </is>
      </c>
      <c r="E8255" s="24" t="inlineStr">
        <is>
          <t>现金流量表(人工)</t>
        </is>
      </c>
    </row>
    <row r="8256">
      <c r="B8256" s="24" t="inlineStr">
        <is>
          <t>SheetType</t>
        </is>
      </c>
      <c r="C8256" s="24" t="inlineStr">
        <is>
          <t>财报页类型</t>
        </is>
      </c>
      <c r="D8256" s="24" t="inlineStr">
        <is>
          <t>CFSS</t>
        </is>
      </c>
      <c r="E8256" s="24" t="inlineStr">
        <is>
          <t>现金流量表附表</t>
        </is>
      </c>
    </row>
    <row r="8257">
      <c r="B8257" s="24" t="inlineStr">
        <is>
          <t>SheetType</t>
        </is>
      </c>
      <c r="C8257" s="24" t="inlineStr">
        <is>
          <t>财报页类型</t>
        </is>
      </c>
      <c r="D8257" s="24" t="inlineStr">
        <is>
          <t>CFSY</t>
        </is>
      </c>
      <c r="E8257" s="24" t="inlineStr">
        <is>
          <t>年度现金流量表(人工)</t>
        </is>
      </c>
    </row>
    <row r="8258">
      <c r="B8258" s="24" t="inlineStr">
        <is>
          <t>SheetType</t>
        </is>
      </c>
      <c r="C8258" s="24" t="inlineStr">
        <is>
          <t>财报页类型</t>
        </is>
      </c>
      <c r="D8258" s="24" t="inlineStr">
        <is>
          <t>CGB</t>
        </is>
      </c>
      <c r="E8258" s="24" t="inlineStr">
        <is>
          <t>担保余额变动表</t>
        </is>
      </c>
    </row>
    <row r="8259">
      <c r="B8259" s="24" t="inlineStr">
        <is>
          <t>SheetType</t>
        </is>
      </c>
      <c r="C8259" s="24" t="inlineStr">
        <is>
          <t>财报页类型</t>
        </is>
      </c>
      <c r="D8259" s="24" t="inlineStr">
        <is>
          <t>FIS</t>
        </is>
      </c>
      <c r="E8259" s="24" t="inlineStr">
        <is>
          <t>财务指标表</t>
        </is>
      </c>
    </row>
    <row r="8260">
      <c r="B8260" s="24" t="inlineStr">
        <is>
          <t>SheetType</t>
        </is>
      </c>
      <c r="C8260" s="24" t="inlineStr">
        <is>
          <t>财报页类型</t>
        </is>
      </c>
      <c r="D8260" s="24" t="inlineStr">
        <is>
          <t>PS</t>
        </is>
      </c>
      <c r="E8260" s="24" t="inlineStr">
        <is>
          <t>利润表</t>
        </is>
      </c>
    </row>
    <row r="8261">
      <c r="B8261" s="24" t="inlineStr">
        <is>
          <t>SheetType</t>
        </is>
      </c>
      <c r="C8261" s="24" t="inlineStr">
        <is>
          <t>财报页类型</t>
        </is>
      </c>
      <c r="D8261" s="24" t="inlineStr">
        <is>
          <t>RDSDM</t>
        </is>
      </c>
      <c r="E8261" s="24" t="inlineStr">
        <is>
          <t>医疗收入支出明细表</t>
        </is>
      </c>
    </row>
    <row r="8262">
      <c r="B8262" s="24" t="inlineStr">
        <is>
          <t>SheetType</t>
        </is>
      </c>
      <c r="C8262" s="24" t="inlineStr">
        <is>
          <t>财报页类型</t>
        </is>
      </c>
      <c r="D8262" s="24" t="inlineStr">
        <is>
          <t>RDSFS</t>
        </is>
      </c>
      <c r="E8262" s="24" t="inlineStr">
        <is>
          <t>财政补助收支表</t>
        </is>
      </c>
    </row>
    <row r="8263">
      <c r="B8263" s="24" t="inlineStr">
        <is>
          <t>SheetType</t>
        </is>
      </c>
      <c r="C8263" s="24" t="inlineStr">
        <is>
          <t>财报页类型</t>
        </is>
      </c>
      <c r="D8263" s="24" t="inlineStr">
        <is>
          <t>RDSFSM</t>
        </is>
      </c>
      <c r="E8263" s="24" t="inlineStr">
        <is>
          <t>财政补助收支表医疗</t>
        </is>
      </c>
    </row>
    <row r="8264">
      <c r="B8264" s="24" t="inlineStr">
        <is>
          <t>SheetType</t>
        </is>
      </c>
      <c r="C8264" s="24" t="inlineStr">
        <is>
          <t>财报页类型</t>
        </is>
      </c>
      <c r="D8264" s="24" t="inlineStr">
        <is>
          <t>RDSI</t>
        </is>
      </c>
      <c r="E8264" s="24" t="inlineStr">
        <is>
          <t>事业单位收入支出表</t>
        </is>
      </c>
    </row>
    <row r="8265">
      <c r="B8265" s="24" t="inlineStr">
        <is>
          <t>SheetType</t>
        </is>
      </c>
      <c r="C8265" s="24" t="inlineStr">
        <is>
          <t>财报页类型</t>
        </is>
      </c>
      <c r="D8265" s="24" t="inlineStr">
        <is>
          <t>RDSM</t>
        </is>
      </c>
      <c r="E8265" s="24" t="inlineStr">
        <is>
          <t>医疗收入支出表</t>
        </is>
      </c>
    </row>
    <row r="8266">
      <c r="B8266" s="24" t="inlineStr">
        <is>
          <t>SheetType</t>
        </is>
      </c>
      <c r="C8266" s="24" t="inlineStr">
        <is>
          <t>财报页类型</t>
        </is>
      </c>
      <c r="D8266" s="24" t="inlineStr">
        <is>
          <t>RDSS</t>
        </is>
      </c>
      <c r="E8266" s="24" t="inlineStr">
        <is>
          <t>学校收入支出表</t>
        </is>
      </c>
    </row>
    <row r="8267">
      <c r="B8267" s="24" t="inlineStr">
        <is>
          <t>SheetType</t>
        </is>
      </c>
      <c r="C8267" s="24" t="inlineStr">
        <is>
          <t>财报页类型</t>
        </is>
      </c>
      <c r="D8267" s="24" t="inlineStr">
        <is>
          <t>RIS</t>
        </is>
      </c>
      <c r="E8267" s="24" t="inlineStr">
        <is>
          <t>评级分类专用指标表</t>
        </is>
      </c>
    </row>
    <row r="8268">
      <c r="B8268" s="24" t="inlineStr">
        <is>
          <t>SheetType</t>
        </is>
      </c>
      <c r="C8268" s="24" t="inlineStr">
        <is>
          <t>财报页类型</t>
        </is>
      </c>
      <c r="D8268" s="24" t="inlineStr">
        <is>
          <t>SFD</t>
        </is>
      </c>
      <c r="E8268" s="24" t="inlineStr">
        <is>
          <t>补充财务数据表</t>
        </is>
      </c>
    </row>
    <row r="8269">
      <c r="B8269" s="24" t="inlineStr">
        <is>
          <t>SheetType</t>
        </is>
      </c>
      <c r="C8269" s="24" t="inlineStr">
        <is>
          <t>财报页类型</t>
        </is>
      </c>
      <c r="D8269" s="24" t="inlineStr">
        <is>
          <t>SS</t>
        </is>
      </c>
      <c r="E8269" s="24" t="inlineStr">
        <is>
          <t>偿付能力状况表</t>
        </is>
      </c>
    </row>
    <row r="8270" ht="15.95" customHeight="1" s="170">
      <c r="B8270" s="122" t="inlineStr">
        <is>
          <t>码值：EntNonFinanceState</t>
        </is>
      </c>
    </row>
    <row r="8271">
      <c r="B8271" s="24" t="inlineStr">
        <is>
          <t>EntNonFinanceState</t>
        </is>
      </c>
      <c r="C8271" s="24" t="inlineStr">
        <is>
          <t>企业非财务状况</t>
        </is>
      </c>
      <c r="D8271" s="24" t="inlineStr">
        <is>
          <t>01</t>
        </is>
      </c>
      <c r="E8271" s="24" t="inlineStr">
        <is>
          <t>1 好：在所处行业中处于垄断地位，或该行业总体盈利水平高，竞争度尚未饱和，客户增长潜力大，经营有方、管理合规高效；</t>
        </is>
      </c>
    </row>
    <row r="8272">
      <c r="B8272" s="24" t="inlineStr">
        <is>
          <t>EntNonFinanceState</t>
        </is>
      </c>
      <c r="C8272" s="24" t="inlineStr">
        <is>
          <t>企业非财务状况</t>
        </is>
      </c>
      <c r="D8272" s="24" t="inlineStr">
        <is>
          <t>02</t>
        </is>
      </c>
      <c r="E8272" s="24" t="inlineStr">
        <is>
          <t>2 较好：行业整体处于上升期、产品或服务有较稳定的市场份额，经营有方、管理合规高效；</t>
        </is>
      </c>
    </row>
    <row r="8273">
      <c r="B8273" s="24" t="inlineStr">
        <is>
          <t>EntNonFinanceState</t>
        </is>
      </c>
      <c r="C8273" s="24" t="inlineStr">
        <is>
          <t>企业非财务状况</t>
        </is>
      </c>
      <c r="D8273" s="24" t="inlineStr">
        <is>
          <t>03</t>
        </is>
      </c>
      <c r="E8273" s="24" t="inlineStr">
        <is>
          <t>3 一般：行业竞争激烈、经营状况尚属正常、管理合规有效；</t>
        </is>
      </c>
    </row>
    <row r="8274">
      <c r="B8274" s="24" t="inlineStr">
        <is>
          <t>EntNonFinanceState</t>
        </is>
      </c>
      <c r="C8274" s="24" t="inlineStr">
        <is>
          <t>企业非财务状况</t>
        </is>
      </c>
      <c r="D8274" s="24" t="inlineStr">
        <is>
          <t>04</t>
        </is>
      </c>
      <c r="E8274" s="24" t="inlineStr">
        <is>
          <t>4 较差</t>
        </is>
      </c>
    </row>
    <row r="8275">
      <c r="B8275" s="24" t="inlineStr">
        <is>
          <t>EntNonFinanceState</t>
        </is>
      </c>
      <c r="C8275" s="24" t="inlineStr">
        <is>
          <t>企业非财务状况</t>
        </is>
      </c>
      <c r="D8275" s="24" t="inlineStr">
        <is>
          <t>05</t>
        </is>
      </c>
      <c r="E8275" s="24" t="inlineStr">
        <is>
          <t>5 差</t>
        </is>
      </c>
    </row>
    <row r="8276" ht="15.95" customHeight="1" s="170">
      <c r="B8276" s="122" t="inlineStr">
        <is>
          <t>码值：银行卡使用情况</t>
        </is>
      </c>
    </row>
    <row r="8277">
      <c r="B8277" s="24" t="inlineStr">
        <is>
          <t>银行卡使用情况</t>
        </is>
      </c>
      <c r="C8277" s="24" t="inlineStr">
        <is>
          <t>银行卡使用情况</t>
        </is>
      </c>
      <c r="D8277" s="24" t="inlineStr">
        <is>
          <t>1</t>
        </is>
      </c>
      <c r="E8277" s="24" t="inlineStr">
        <is>
          <t>未使用</t>
        </is>
      </c>
    </row>
    <row r="8278">
      <c r="B8278" s="24" t="inlineStr">
        <is>
          <t>银行卡使用情况</t>
        </is>
      </c>
      <c r="C8278" s="24" t="inlineStr">
        <is>
          <t>银行卡使用情况</t>
        </is>
      </c>
      <c r="D8278" s="24" t="inlineStr">
        <is>
          <t>2</t>
        </is>
      </c>
      <c r="E8278" s="24" t="inlineStr">
        <is>
          <t>使用</t>
        </is>
      </c>
    </row>
    <row r="8279" ht="15.95" customHeight="1" s="170">
      <c r="B8279" s="122" t="inlineStr">
        <is>
          <t>码值：ClrInputApplyMain</t>
        </is>
      </c>
    </row>
    <row r="8280">
      <c r="B8280" s="24" t="inlineStr">
        <is>
          <t>ClrInputApplyMain</t>
        </is>
      </c>
      <c r="C8280" s="24" t="inlineStr">
        <is>
          <t>授信申请主树图</t>
        </is>
      </c>
      <c r="D8280" s="24" t="inlineStr">
        <is>
          <t>1010</t>
        </is>
      </c>
      <c r="E8280" s="24" t="inlineStr">
        <is>
          <t>待处理申请</t>
        </is>
      </c>
    </row>
    <row r="8281">
      <c r="B8281" s="24" t="inlineStr">
        <is>
          <t>ClrInputApplyMain</t>
        </is>
      </c>
      <c r="C8281" s="24" t="inlineStr">
        <is>
          <t>授信申请主树图</t>
        </is>
      </c>
      <c r="D8281" s="24" t="inlineStr">
        <is>
          <t>1020</t>
        </is>
      </c>
      <c r="E8281" s="24" t="inlineStr">
        <is>
          <t>审查审批中申请</t>
        </is>
      </c>
    </row>
    <row r="8282">
      <c r="B8282" s="24" t="inlineStr">
        <is>
          <t>ClrInputApplyMain</t>
        </is>
      </c>
      <c r="C8282" s="24" t="inlineStr">
        <is>
          <t>授信申请主树图</t>
        </is>
      </c>
      <c r="D8282" s="24" t="inlineStr">
        <is>
          <t>1030</t>
        </is>
      </c>
      <c r="E8282" s="24" t="inlineStr">
        <is>
          <t>退回补充资料申请</t>
        </is>
      </c>
    </row>
    <row r="8283">
      <c r="B8283" s="24" t="inlineStr">
        <is>
          <t>ClrInputApplyMain</t>
        </is>
      </c>
      <c r="C8283" s="24" t="inlineStr">
        <is>
          <t>授信申请主树图</t>
        </is>
      </c>
      <c r="D8283" s="24" t="inlineStr">
        <is>
          <t>1040</t>
        </is>
      </c>
      <c r="E8283" s="24" t="inlineStr">
        <is>
          <t>审批通过申请</t>
        </is>
      </c>
    </row>
    <row r="8284">
      <c r="B8284" s="24" t="inlineStr">
        <is>
          <t>ClrInputApplyMain</t>
        </is>
      </c>
      <c r="C8284" s="24" t="inlineStr">
        <is>
          <t>授信申请主树图</t>
        </is>
      </c>
      <c r="D8284" s="24" t="inlineStr">
        <is>
          <t>1050</t>
        </is>
      </c>
      <c r="E8284" s="24" t="inlineStr">
        <is>
          <t>被否决申请</t>
        </is>
      </c>
    </row>
    <row r="8285">
      <c r="B8285" s="24" t="inlineStr">
        <is>
          <t>ClrInputApplyMain</t>
        </is>
      </c>
      <c r="C8285" s="24" t="inlineStr">
        <is>
          <t>授信申请主树图</t>
        </is>
      </c>
      <c r="D8285" s="24" t="inlineStr">
        <is>
          <t>1060</t>
        </is>
      </c>
      <c r="E8285" s="24" t="inlineStr">
        <is>
          <t>已归档申请</t>
        </is>
      </c>
    </row>
    <row r="8286" ht="15.95" customHeight="1" s="170">
      <c r="B8286" s="122" t="inlineStr">
        <is>
          <t>码值：RiskLevel</t>
        </is>
      </c>
    </row>
    <row r="8287">
      <c r="B8287" s="24" t="inlineStr">
        <is>
          <t>RiskLevel</t>
        </is>
      </c>
      <c r="C8287" s="24" t="inlineStr">
        <is>
          <t>业务风险等级</t>
        </is>
      </c>
      <c r="D8287" s="24" t="inlineStr">
        <is>
          <t>010</t>
        </is>
      </c>
      <c r="E8287" s="24" t="inlineStr">
        <is>
          <t>远期</t>
        </is>
      </c>
    </row>
    <row r="8288">
      <c r="B8288" s="24" t="inlineStr">
        <is>
          <t>RiskLevel</t>
        </is>
      </c>
      <c r="C8288" s="24" t="inlineStr">
        <is>
          <t>业务风险等级</t>
        </is>
      </c>
      <c r="D8288" s="24" t="inlineStr">
        <is>
          <t>020</t>
        </is>
      </c>
      <c r="E8288" s="24" t="inlineStr">
        <is>
          <t>即期有货权</t>
        </is>
      </c>
    </row>
    <row r="8289">
      <c r="B8289" s="24" t="inlineStr">
        <is>
          <t>RiskLevel</t>
        </is>
      </c>
      <c r="C8289" s="24" t="inlineStr">
        <is>
          <t>业务风险等级</t>
        </is>
      </c>
      <c r="D8289" s="24" t="inlineStr">
        <is>
          <t>030</t>
        </is>
      </c>
      <c r="E8289" s="24" t="inlineStr">
        <is>
          <t>即期无货权</t>
        </is>
      </c>
    </row>
    <row r="8290" ht="15.95" customHeight="1" s="170">
      <c r="B8290" s="122" t="inlineStr">
        <is>
          <t>码值：UnionView</t>
        </is>
      </c>
    </row>
    <row r="8291">
      <c r="B8291" s="24" t="inlineStr">
        <is>
          <t>UnionView</t>
        </is>
      </c>
      <c r="C8291" s="24" t="inlineStr">
        <is>
          <t>客户群详情视图</t>
        </is>
      </c>
      <c r="D8291" s="24" t="inlineStr">
        <is>
          <t>010</t>
        </is>
      </c>
      <c r="E8291" s="24" t="inlineStr">
        <is>
          <t>客户群信息</t>
        </is>
      </c>
    </row>
    <row r="8292">
      <c r="B8292" s="24" t="inlineStr">
        <is>
          <t>UnionView</t>
        </is>
      </c>
      <c r="C8292" s="24" t="inlineStr">
        <is>
          <t>客户群详情视图</t>
        </is>
      </c>
      <c r="D8292" s="24" t="inlineStr">
        <is>
          <t>020</t>
        </is>
      </c>
      <c r="E8292" s="24" t="inlineStr">
        <is>
          <t>客户群成员信息</t>
        </is>
      </c>
    </row>
    <row r="8293">
      <c r="B8293" s="24" t="inlineStr">
        <is>
          <t>UnionView</t>
        </is>
      </c>
      <c r="C8293" s="24" t="inlineStr">
        <is>
          <t>客户群详情视图</t>
        </is>
      </c>
      <c r="D8293" s="24" t="inlineStr">
        <is>
          <t>030</t>
        </is>
      </c>
      <c r="E8293" s="24" t="inlineStr">
        <is>
          <t>客户群额度信息</t>
        </is>
      </c>
    </row>
    <row r="8294">
      <c r="B8294" s="24" t="inlineStr">
        <is>
          <t>UnionView</t>
        </is>
      </c>
      <c r="C8294" s="24" t="inlineStr">
        <is>
          <t>客户群详情视图</t>
        </is>
      </c>
      <c r="D8294" s="24" t="inlineStr">
        <is>
          <t>040</t>
        </is>
      </c>
      <c r="E8294" s="24" t="inlineStr">
        <is>
          <t>客户群关联项目</t>
        </is>
      </c>
    </row>
    <row r="8295">
      <c r="B8295" s="24" t="inlineStr">
        <is>
          <t>UnionView</t>
        </is>
      </c>
      <c r="C8295" s="24" t="inlineStr">
        <is>
          <t>客户群详情视图</t>
        </is>
      </c>
      <c r="D8295" s="24" t="inlineStr">
        <is>
          <t>050</t>
        </is>
      </c>
      <c r="E8295" s="24" t="inlineStr">
        <is>
          <t>成员授信信息</t>
        </is>
      </c>
    </row>
    <row r="8296">
      <c r="B8296" s="24" t="inlineStr">
        <is>
          <t>UnionView</t>
        </is>
      </c>
      <c r="C8296" s="24" t="inlineStr">
        <is>
          <t>客户群详情视图</t>
        </is>
      </c>
      <c r="D8296" s="24" t="inlineStr">
        <is>
          <t>0500020</t>
        </is>
      </c>
      <c r="E8296" s="24" t="inlineStr">
        <is>
          <t>成员批量项下业务信息</t>
        </is>
      </c>
    </row>
    <row r="8297">
      <c r="B8297" s="24" t="inlineStr">
        <is>
          <t>UnionView</t>
        </is>
      </c>
      <c r="C8297" s="24" t="inlineStr">
        <is>
          <t>客户群详情视图</t>
        </is>
      </c>
      <c r="D8297" s="24" t="inlineStr">
        <is>
          <t>0500030</t>
        </is>
      </c>
      <c r="E8297" s="24" t="inlineStr">
        <is>
          <t>成员未结清授信业务</t>
        </is>
      </c>
    </row>
    <row r="8298">
      <c r="B8298" s="24" t="inlineStr">
        <is>
          <t>UnionView</t>
        </is>
      </c>
      <c r="C8298" s="24" t="inlineStr">
        <is>
          <t>客户群详情视图</t>
        </is>
      </c>
      <c r="D8298" s="24" t="inlineStr">
        <is>
          <t>0500040</t>
        </is>
      </c>
      <c r="E8298" s="24" t="inlineStr">
        <is>
          <t>成员已结清授信业务</t>
        </is>
      </c>
    </row>
    <row r="8299">
      <c r="B8299" s="24" t="inlineStr">
        <is>
          <t>UnionView</t>
        </is>
      </c>
      <c r="C8299" s="24" t="inlineStr">
        <is>
          <t>客户群详情视图</t>
        </is>
      </c>
      <c r="D8299" s="24" t="inlineStr">
        <is>
          <t>0500050</t>
        </is>
      </c>
      <c r="E8299" s="24" t="inlineStr">
        <is>
          <t>成员提供担保情况</t>
        </is>
      </c>
    </row>
    <row r="8300">
      <c r="B8300" s="24" t="inlineStr">
        <is>
          <t>UnionView</t>
        </is>
      </c>
      <c r="C8300" s="24" t="inlineStr">
        <is>
          <t>客户群详情视图</t>
        </is>
      </c>
      <c r="D8300" s="24" t="inlineStr">
        <is>
          <t>0500060</t>
        </is>
      </c>
      <c r="E8300" s="24" t="inlineStr">
        <is>
          <t>成员被担保情况</t>
        </is>
      </c>
    </row>
    <row r="8301" ht="15.95" customHeight="1" s="170">
      <c r="B8301" s="122" t="inlineStr">
        <is>
          <t>码值：GroupEventRecord</t>
        </is>
      </c>
    </row>
    <row r="8302">
      <c r="B8302" s="24" t="inlineStr">
        <is>
          <t>GroupEventRecord</t>
        </is>
      </c>
      <c r="C8302" s="24" t="inlineStr">
        <is>
          <t>集团变更历史</t>
        </is>
      </c>
      <c r="D8302" s="24" t="inlineStr">
        <is>
          <t>01</t>
        </is>
      </c>
      <c r="E8302" s="24" t="inlineStr">
        <is>
          <t>集团变更</t>
        </is>
      </c>
    </row>
    <row r="8303">
      <c r="B8303" s="24" t="inlineStr">
        <is>
          <t>GroupEventRecord</t>
        </is>
      </c>
      <c r="C8303" s="24" t="inlineStr">
        <is>
          <t>集团变更历史</t>
        </is>
      </c>
      <c r="D8303" s="24" t="inlineStr">
        <is>
          <t>02</t>
        </is>
      </c>
      <c r="E8303" s="24" t="inlineStr">
        <is>
          <t>业务主办行变更</t>
        </is>
      </c>
    </row>
    <row r="8304">
      <c r="B8304" s="24" t="inlineStr">
        <is>
          <t>GroupEventRecord</t>
        </is>
      </c>
      <c r="C8304" s="24" t="inlineStr">
        <is>
          <t>集团变更历史</t>
        </is>
      </c>
      <c r="D8304" s="24" t="inlineStr">
        <is>
          <t>03</t>
        </is>
      </c>
      <c r="E8304" s="24" t="inlineStr">
        <is>
          <t>集团成员变更</t>
        </is>
      </c>
    </row>
    <row r="8305">
      <c r="B8305" s="24" t="inlineStr">
        <is>
          <t>GroupEventRecord</t>
        </is>
      </c>
      <c r="C8305" s="24" t="inlineStr">
        <is>
          <t>集团变更历史</t>
        </is>
      </c>
      <c r="D8305" s="24" t="inlineStr">
        <is>
          <t>04</t>
        </is>
      </c>
      <c r="E8305" s="24" t="inlineStr">
        <is>
          <t>核心企业变更</t>
        </is>
      </c>
    </row>
    <row r="8306">
      <c r="B8306" s="24" t="inlineStr">
        <is>
          <t>GroupEventRecord</t>
        </is>
      </c>
      <c r="C8306" s="24" t="inlineStr">
        <is>
          <t>集团变更历史</t>
        </is>
      </c>
      <c r="D8306" s="24" t="inlineStr">
        <is>
          <t>05</t>
        </is>
      </c>
      <c r="E8306" s="24" t="inlineStr">
        <is>
          <t>名单是否集中总行管理</t>
        </is>
      </c>
    </row>
    <row r="8307" ht="15.95" customHeight="1" s="170">
      <c r="B8307" s="122" t="inlineStr">
        <is>
          <t>码值：OWTips</t>
        </is>
      </c>
    </row>
    <row r="8308">
      <c r="B8308" s="24" t="inlineStr">
        <is>
          <t>OWTips</t>
        </is>
      </c>
      <c r="C8308" s="24" t="inlineStr">
        <is>
          <t>OW提示相关</t>
        </is>
      </c>
      <c r="D8308" s="24" t="inlineStr">
        <is>
          <t>PleaseChoose</t>
        </is>
      </c>
      <c r="E8308" s="24" t="inlineStr">
        <is>
          <t>请选择</t>
        </is>
      </c>
    </row>
    <row r="8309" ht="15.95" customHeight="1" s="170">
      <c r="B8309" s="122" t="inlineStr">
        <is>
          <t>码值：ProjectPosition</t>
        </is>
      </c>
    </row>
    <row r="8310">
      <c r="B8310" s="24" t="inlineStr">
        <is>
          <t>ProjectPosition</t>
        </is>
      </c>
      <c r="C8310" s="24" t="inlineStr">
        <is>
          <t>信用等级评估统一导入</t>
        </is>
      </c>
      <c r="D8310" s="24" t="inlineStr">
        <is>
          <t>01</t>
        </is>
      </c>
      <c r="E8310" s="24" t="inlineStr">
        <is>
          <t>住宅建筑</t>
        </is>
      </c>
    </row>
    <row r="8311">
      <c r="B8311" s="24" t="inlineStr">
        <is>
          <t>ProjectPosition</t>
        </is>
      </c>
      <c r="C8311" s="24" t="inlineStr">
        <is>
          <t>信用等级评估统一导入</t>
        </is>
      </c>
      <c r="D8311" s="24" t="inlineStr">
        <is>
          <t>02</t>
        </is>
      </c>
      <c r="E8311" s="24" t="inlineStr">
        <is>
          <t>办公写字楼</t>
        </is>
      </c>
    </row>
    <row r="8312">
      <c r="B8312" s="24" t="inlineStr">
        <is>
          <t>ProjectPosition</t>
        </is>
      </c>
      <c r="C8312" s="24" t="inlineStr">
        <is>
          <t>信用等级评估统一导入</t>
        </is>
      </c>
      <c r="D8312" s="24" t="inlineStr">
        <is>
          <t>03</t>
        </is>
      </c>
      <c r="E8312" s="24" t="inlineStr">
        <is>
          <t>商用建筑/商铺/商场</t>
        </is>
      </c>
    </row>
    <row r="8313">
      <c r="B8313" s="24" t="inlineStr">
        <is>
          <t>ProjectPosition</t>
        </is>
      </c>
      <c r="C8313" s="24" t="inlineStr">
        <is>
          <t>信用等级评估统一导入</t>
        </is>
      </c>
      <c r="D8313" s="24" t="inlineStr">
        <is>
          <t>04</t>
        </is>
      </c>
      <c r="E8313" s="24" t="inlineStr">
        <is>
          <t>酒店</t>
        </is>
      </c>
    </row>
    <row r="8314">
      <c r="B8314" s="24" t="inlineStr">
        <is>
          <t>ProjectPosition</t>
        </is>
      </c>
      <c r="C8314" s="24" t="inlineStr">
        <is>
          <t>信用等级评估统一导入</t>
        </is>
      </c>
      <c r="D8314" s="24" t="inlineStr">
        <is>
          <t>05</t>
        </is>
      </c>
      <c r="E8314" s="24" t="inlineStr">
        <is>
          <t>仓库/工厂建筑</t>
        </is>
      </c>
    </row>
    <row r="8315">
      <c r="B8315" s="24" t="inlineStr">
        <is>
          <t>ProjectPosition</t>
        </is>
      </c>
      <c r="C8315" s="24" t="inlineStr">
        <is>
          <t>信用等级评估统一导入</t>
        </is>
      </c>
      <c r="D8315" s="24" t="inlineStr">
        <is>
          <t>06</t>
        </is>
      </c>
      <c r="E8315" s="24" t="inlineStr">
        <is>
          <t>其他</t>
        </is>
      </c>
    </row>
    <row r="8316" ht="15.95" customHeight="1" s="170">
      <c r="B8316" s="122" t="inlineStr">
        <is>
          <t>码值：ColumnType</t>
        </is>
      </c>
    </row>
    <row r="8317">
      <c r="B8317" s="24" t="inlineStr">
        <is>
          <t>ColumnType</t>
        </is>
      </c>
      <c r="C8317" s="24" t="inlineStr">
        <is>
          <t>是否SUM</t>
        </is>
      </c>
      <c r="D8317" s="24" t="inlineStr">
        <is>
          <t>1</t>
        </is>
      </c>
      <c r="E8317" s="24" t="inlineStr">
        <is>
          <t>否</t>
        </is>
      </c>
    </row>
    <row r="8318">
      <c r="B8318" s="24" t="inlineStr">
        <is>
          <t>ColumnType</t>
        </is>
      </c>
      <c r="C8318" s="24" t="inlineStr">
        <is>
          <t>是否SUM</t>
        </is>
      </c>
      <c r="D8318" s="24" t="inlineStr">
        <is>
          <t>2</t>
        </is>
      </c>
      <c r="E8318" s="24" t="inlineStr">
        <is>
          <t>是</t>
        </is>
      </c>
    </row>
    <row r="8319" ht="15.95" customHeight="1" s="170">
      <c r="B8319" s="122" t="inlineStr">
        <is>
          <t>码值：ImageMain</t>
        </is>
      </c>
    </row>
    <row r="8320">
      <c r="B8320" s="24" t="inlineStr">
        <is>
          <t>ImageMain</t>
        </is>
      </c>
      <c r="C8320" s="24" t="inlineStr">
        <is>
          <t>影像管理主页面</t>
        </is>
      </c>
      <c r="D8320" s="24" t="inlineStr">
        <is>
          <t>00</t>
        </is>
      </c>
      <c r="E8320" s="24" t="inlineStr">
        <is>
          <t>影像目录</t>
        </is>
      </c>
    </row>
    <row r="8321">
      <c r="B8321" s="24" t="inlineStr">
        <is>
          <t>ImageMain</t>
        </is>
      </c>
      <c r="C8321" s="24" t="inlineStr">
        <is>
          <t>影像管理主页面</t>
        </is>
      </c>
      <c r="D8321" s="24" t="inlineStr">
        <is>
          <t>0010</t>
        </is>
      </c>
      <c r="E8321" s="24" t="inlineStr">
        <is>
          <t>客户影像信息</t>
        </is>
      </c>
    </row>
    <row r="8322">
      <c r="B8322" s="24" t="inlineStr">
        <is>
          <t>ImageMain</t>
        </is>
      </c>
      <c r="C8322" s="24" t="inlineStr">
        <is>
          <t>影像管理主页面</t>
        </is>
      </c>
      <c r="D8322" s="24" t="inlineStr">
        <is>
          <t>0020</t>
        </is>
      </c>
      <c r="E8322" s="24" t="inlineStr">
        <is>
          <t>业务影像信息</t>
        </is>
      </c>
    </row>
    <row r="8323" ht="15.95" customHeight="1" s="170">
      <c r="B8323" s="122" t="inlineStr">
        <is>
          <t>码值：LawCaseType</t>
        </is>
      </c>
    </row>
    <row r="8324">
      <c r="B8324" s="24" t="inlineStr">
        <is>
          <t>LawCaseType</t>
        </is>
      </c>
      <c r="C8324" s="24" t="inlineStr">
        <is>
          <t>案件类型</t>
        </is>
      </c>
      <c r="D8324" s="24" t="inlineStr">
        <is>
          <t>01</t>
        </is>
      </c>
      <c r="E8324" s="24" t="inlineStr">
        <is>
          <t>一般案件</t>
        </is>
      </c>
    </row>
    <row r="8325">
      <c r="B8325" s="24" t="inlineStr">
        <is>
          <t>LawCaseType</t>
        </is>
      </c>
      <c r="C8325" s="24" t="inlineStr">
        <is>
          <t>案件类型</t>
        </is>
      </c>
      <c r="D8325" s="24" t="inlineStr">
        <is>
          <t>02</t>
        </is>
      </c>
      <c r="E8325" s="24" t="inlineStr">
        <is>
          <t>公证执行/仲裁案件</t>
        </is>
      </c>
    </row>
    <row r="8326">
      <c r="B8326" s="24" t="inlineStr">
        <is>
          <t>LawCaseType</t>
        </is>
      </c>
      <c r="C8326" s="24" t="inlineStr">
        <is>
          <t>案件类型</t>
        </is>
      </c>
      <c r="D8326" s="24" t="inlineStr">
        <is>
          <t>05</t>
        </is>
      </c>
      <c r="E8326" s="24" t="inlineStr">
        <is>
          <t>破产案件</t>
        </is>
      </c>
    </row>
    <row r="8327" ht="15.95" customHeight="1" s="170">
      <c r="B8327" s="122" t="inlineStr">
        <is>
          <t>码值：OwnershipNature/Control</t>
        </is>
      </c>
    </row>
    <row r="8328">
      <c r="B8328" s="24" t="inlineStr">
        <is>
          <t>OwnershipNature/Control</t>
        </is>
      </c>
      <c r="C8328" s="24" t="inlineStr">
        <is>
          <t>信用等级评估统一导入</t>
        </is>
      </c>
      <c r="D8328" s="24" t="inlineStr">
        <is>
          <t>01</t>
        </is>
      </c>
      <c r="E8328" s="24" t="inlineStr">
        <is>
          <t>项目公司对项目主要资产拥有绝对控制权</t>
        </is>
      </c>
    </row>
    <row r="8329">
      <c r="B8329" s="24" t="inlineStr">
        <is>
          <t>OwnershipNature/Control</t>
        </is>
      </c>
      <c r="C8329" s="24" t="inlineStr">
        <is>
          <t>信用等级评估统一导入</t>
        </is>
      </c>
      <c r="D8329" s="24" t="inlineStr">
        <is>
          <t>02</t>
        </is>
      </c>
      <c r="E8329" s="24" t="inlineStr">
        <is>
          <t>项目公司对项目重要资产通过长期租约持有，且长期租约中只有非常有限的中止权</t>
        </is>
      </c>
    </row>
    <row r="8330">
      <c r="B8330" s="24" t="inlineStr">
        <is>
          <t>OwnershipNature/Control</t>
        </is>
      </c>
      <c r="C8330" s="24" t="inlineStr">
        <is>
          <t>信用等级评估统一导入</t>
        </is>
      </c>
      <c r="D8330" s="24" t="inlineStr">
        <is>
          <t>03</t>
        </is>
      </c>
      <c r="E8330" s="24" t="inlineStr">
        <is>
          <t>项目公司对项目重要资产通过租约持有，且租约中有可执行的中止权描述</t>
        </is>
      </c>
    </row>
    <row r="8331">
      <c r="B8331" s="24" t="inlineStr">
        <is>
          <t>OwnershipNature/Control</t>
        </is>
      </c>
      <c r="C8331" s="24" t="inlineStr">
        <is>
          <t>信用等级评估统一导入</t>
        </is>
      </c>
      <c r="D8331" s="24" t="inlineStr">
        <is>
          <t>04</t>
        </is>
      </c>
      <c r="E8331" s="24" t="inlineStr">
        <is>
          <t>项目某些关键资产被第三方管理和持有，或是租用来得</t>
        </is>
      </c>
    </row>
    <row r="8332">
      <c r="B8332" s="24" t="inlineStr">
        <is>
          <t>OwnershipNature/Control</t>
        </is>
      </c>
      <c r="C8332" s="24" t="inlineStr">
        <is>
          <t>信用等级评估统一导入</t>
        </is>
      </c>
      <c r="D8332" s="24" t="inlineStr">
        <is>
          <t>05</t>
        </is>
      </c>
      <c r="E8332" s="24" t="inlineStr">
        <is>
          <t>主要资产通过短期经营租赁或牌照的安排持有</t>
        </is>
      </c>
    </row>
    <row r="8333">
      <c r="B8333" s="24" t="inlineStr">
        <is>
          <t>OwnershipNature/Control</t>
        </is>
      </c>
      <c r="C8333" s="24" t="inlineStr">
        <is>
          <t>信用等级评估统一导入</t>
        </is>
      </c>
      <c r="D8333" s="24" t="inlineStr">
        <is>
          <t>06</t>
        </is>
      </c>
      <c r="E8333" s="24" t="inlineStr">
        <is>
          <t>项目公司正在对某一租约合同违约，并有可能导致合同终止</t>
        </is>
      </c>
    </row>
    <row r="8334" ht="15.95" customHeight="1" s="170">
      <c r="B8334" s="122" t="inlineStr">
        <is>
          <t>码值：PRI</t>
        </is>
      </c>
    </row>
    <row r="8335">
      <c r="B8335" s="24" t="inlineStr">
        <is>
          <t>PRI</t>
        </is>
      </c>
      <c r="C8335" s="24" t="inlineStr">
        <is>
          <t>核算账户优先级</t>
        </is>
      </c>
      <c r="D8335" s="24" t="inlineStr">
        <is>
          <t>1</t>
        </is>
      </c>
      <c r="E8335" s="24" t="inlineStr">
        <is>
          <t>1</t>
        </is>
      </c>
    </row>
    <row r="8336">
      <c r="B8336" s="24" t="inlineStr">
        <is>
          <t>PRI</t>
        </is>
      </c>
      <c r="C8336" s="24" t="inlineStr">
        <is>
          <t>核算账户优先级</t>
        </is>
      </c>
      <c r="D8336" s="24" t="inlineStr">
        <is>
          <t>2</t>
        </is>
      </c>
      <c r="E8336" s="24" t="inlineStr">
        <is>
          <t>2</t>
        </is>
      </c>
    </row>
    <row r="8337">
      <c r="B8337" s="24" t="inlineStr">
        <is>
          <t>PRI</t>
        </is>
      </c>
      <c r="C8337" s="24" t="inlineStr">
        <is>
          <t>核算账户优先级</t>
        </is>
      </c>
      <c r="D8337" s="24" t="inlineStr">
        <is>
          <t>3</t>
        </is>
      </c>
      <c r="E8337" s="24" t="inlineStr">
        <is>
          <t>3</t>
        </is>
      </c>
    </row>
    <row r="8338">
      <c r="B8338" s="24" t="inlineStr">
        <is>
          <t>PRI</t>
        </is>
      </c>
      <c r="C8338" s="24" t="inlineStr">
        <is>
          <t>核算账户优先级</t>
        </is>
      </c>
      <c r="D8338" s="24" t="inlineStr">
        <is>
          <t>4</t>
        </is>
      </c>
      <c r="E8338" s="24" t="inlineStr">
        <is>
          <t>4</t>
        </is>
      </c>
    </row>
    <row r="8339">
      <c r="B8339" s="24" t="inlineStr">
        <is>
          <t>PRI</t>
        </is>
      </c>
      <c r="C8339" s="24" t="inlineStr">
        <is>
          <t>核算账户优先级</t>
        </is>
      </c>
      <c r="D8339" s="24" t="inlineStr">
        <is>
          <t>5</t>
        </is>
      </c>
      <c r="E8339" s="24" t="inlineStr">
        <is>
          <t>5</t>
        </is>
      </c>
    </row>
    <row r="8340">
      <c r="B8340" s="24" t="inlineStr">
        <is>
          <t>PRI</t>
        </is>
      </c>
      <c r="C8340" s="24" t="inlineStr">
        <is>
          <t>核算账户优先级</t>
        </is>
      </c>
      <c r="D8340" s="24" t="inlineStr">
        <is>
          <t>6</t>
        </is>
      </c>
      <c r="E8340" s="24" t="inlineStr">
        <is>
          <t>6</t>
        </is>
      </c>
    </row>
    <row r="8341">
      <c r="B8341" s="24" t="inlineStr">
        <is>
          <t>PRI</t>
        </is>
      </c>
      <c r="C8341" s="24" t="inlineStr">
        <is>
          <t>核算账户优先级</t>
        </is>
      </c>
      <c r="D8341" s="24" t="inlineStr">
        <is>
          <t>7</t>
        </is>
      </c>
      <c r="E8341" s="24" t="inlineStr">
        <is>
          <t>7</t>
        </is>
      </c>
    </row>
    <row r="8342">
      <c r="B8342" s="24" t="inlineStr">
        <is>
          <t>PRI</t>
        </is>
      </c>
      <c r="C8342" s="24" t="inlineStr">
        <is>
          <t>核算账户优先级</t>
        </is>
      </c>
      <c r="D8342" s="24" t="inlineStr">
        <is>
          <t>8</t>
        </is>
      </c>
      <c r="E8342" s="24" t="inlineStr">
        <is>
          <t>8</t>
        </is>
      </c>
    </row>
    <row r="8343">
      <c r="B8343" s="24" t="inlineStr">
        <is>
          <t>PRI</t>
        </is>
      </c>
      <c r="C8343" s="24" t="inlineStr">
        <is>
          <t>核算账户优先级</t>
        </is>
      </c>
      <c r="D8343" s="24" t="inlineStr">
        <is>
          <t>9</t>
        </is>
      </c>
      <c r="E8343" s="24" t="inlineStr">
        <is>
          <t>9</t>
        </is>
      </c>
    </row>
    <row r="8344" ht="15.95" customHeight="1" s="170">
      <c r="B8344" s="122" t="inlineStr">
        <is>
          <t>码值：CostType1</t>
        </is>
      </c>
    </row>
    <row r="8345">
      <c r="B8345" s="24" t="inlineStr">
        <is>
          <t>CostType1</t>
        </is>
      </c>
      <c r="C8345" s="24" t="inlineStr">
        <is>
          <t>法律事务费用类型</t>
        </is>
      </c>
      <c r="D8345" s="24" t="inlineStr">
        <is>
          <t>010</t>
        </is>
      </c>
      <c r="E8345" s="24" t="inlineStr">
        <is>
          <t>受理费</t>
        </is>
      </c>
    </row>
    <row r="8346">
      <c r="B8346" s="24" t="inlineStr">
        <is>
          <t>CostType1</t>
        </is>
      </c>
      <c r="C8346" s="24" t="inlineStr">
        <is>
          <t>法律事务费用类型</t>
        </is>
      </c>
      <c r="D8346" s="24" t="inlineStr">
        <is>
          <t>020</t>
        </is>
      </c>
      <c r="E8346" s="24" t="inlineStr">
        <is>
          <t>一般代理费</t>
        </is>
      </c>
    </row>
    <row r="8347">
      <c r="B8347" s="24" t="inlineStr">
        <is>
          <t>CostType1</t>
        </is>
      </c>
      <c r="C8347" s="24" t="inlineStr">
        <is>
          <t>法律事务费用类型</t>
        </is>
      </c>
      <c r="D8347" s="24" t="inlineStr">
        <is>
          <t>030</t>
        </is>
      </c>
      <c r="E8347" s="24" t="inlineStr">
        <is>
          <t>风险代理费</t>
        </is>
      </c>
    </row>
    <row r="8348">
      <c r="B8348" s="24" t="inlineStr">
        <is>
          <t>CostType1</t>
        </is>
      </c>
      <c r="C8348" s="24" t="inlineStr">
        <is>
          <t>法律事务费用类型</t>
        </is>
      </c>
      <c r="D8348" s="24" t="inlineStr">
        <is>
          <t>040</t>
        </is>
      </c>
      <c r="E8348" s="24" t="inlineStr">
        <is>
          <t>上诉费</t>
        </is>
      </c>
    </row>
    <row r="8349">
      <c r="B8349" s="24" t="inlineStr">
        <is>
          <t>CostType1</t>
        </is>
      </c>
      <c r="C8349" s="24" t="inlineStr">
        <is>
          <t>法律事务费用类型</t>
        </is>
      </c>
      <c r="D8349" s="24" t="inlineStr">
        <is>
          <t>050</t>
        </is>
      </c>
      <c r="E8349" s="24" t="inlineStr">
        <is>
          <t>执行费</t>
        </is>
      </c>
    </row>
    <row r="8350">
      <c r="B8350" s="24" t="inlineStr">
        <is>
          <t>CostType1</t>
        </is>
      </c>
      <c r="C8350" s="24" t="inlineStr">
        <is>
          <t>法律事务费用类型</t>
        </is>
      </c>
      <c r="D8350" s="24" t="inlineStr">
        <is>
          <t>060</t>
        </is>
      </c>
      <c r="E8350" s="24" t="inlineStr">
        <is>
          <t>评估费</t>
        </is>
      </c>
    </row>
    <row r="8351">
      <c r="B8351" s="24" t="inlineStr">
        <is>
          <t>CostType1</t>
        </is>
      </c>
      <c r="C8351" s="24" t="inlineStr">
        <is>
          <t>法律事务费用类型</t>
        </is>
      </c>
      <c r="D8351" s="24" t="inlineStr">
        <is>
          <t>070</t>
        </is>
      </c>
      <c r="E8351" s="24" t="inlineStr">
        <is>
          <t>拍卖费</t>
        </is>
      </c>
    </row>
    <row r="8352">
      <c r="B8352" s="24" t="inlineStr">
        <is>
          <t>CostType1</t>
        </is>
      </c>
      <c r="C8352" s="24" t="inlineStr">
        <is>
          <t>法律事务费用类型</t>
        </is>
      </c>
      <c r="D8352" s="24" t="inlineStr">
        <is>
          <t>080</t>
        </is>
      </c>
      <c r="E8352" s="24" t="inlineStr">
        <is>
          <t>公告费</t>
        </is>
      </c>
    </row>
    <row r="8353">
      <c r="B8353" s="24" t="inlineStr">
        <is>
          <t>CostType1</t>
        </is>
      </c>
      <c r="C8353" s="24" t="inlineStr">
        <is>
          <t>法律事务费用类型</t>
        </is>
      </c>
      <c r="D8353" s="24" t="inlineStr">
        <is>
          <t>090</t>
        </is>
      </c>
      <c r="E8353" s="24" t="inlineStr">
        <is>
          <t>仓储费</t>
        </is>
      </c>
    </row>
    <row r="8354">
      <c r="B8354" s="24" t="inlineStr">
        <is>
          <t>CostType1</t>
        </is>
      </c>
      <c r="C8354" s="24" t="inlineStr">
        <is>
          <t>法律事务费用类型</t>
        </is>
      </c>
      <c r="D8354" s="24" t="inlineStr">
        <is>
          <t>110</t>
        </is>
      </c>
      <c r="E8354" s="24" t="inlineStr">
        <is>
          <t>运输费</t>
        </is>
      </c>
    </row>
    <row r="8355">
      <c r="B8355" s="24" t="inlineStr">
        <is>
          <t>CostType1</t>
        </is>
      </c>
      <c r="C8355" s="24" t="inlineStr">
        <is>
          <t>法律事务费用类型</t>
        </is>
      </c>
      <c r="D8355" s="24" t="inlineStr">
        <is>
          <t>111</t>
        </is>
      </c>
      <c r="E8355" s="24" t="inlineStr">
        <is>
          <t>保管费</t>
        </is>
      </c>
    </row>
    <row r="8356">
      <c r="B8356" s="24" t="inlineStr">
        <is>
          <t>CostType1</t>
        </is>
      </c>
      <c r="C8356" s="24" t="inlineStr">
        <is>
          <t>法律事务费用类型</t>
        </is>
      </c>
      <c r="D8356" s="24" t="inlineStr">
        <is>
          <t>112</t>
        </is>
      </c>
      <c r="E8356" s="24" t="inlineStr">
        <is>
          <t>公证费</t>
        </is>
      </c>
    </row>
    <row r="8357">
      <c r="B8357" s="24" t="inlineStr">
        <is>
          <t>CostType1</t>
        </is>
      </c>
      <c r="C8357" s="24" t="inlineStr">
        <is>
          <t>法律事务费用类型</t>
        </is>
      </c>
      <c r="D8357" s="24" t="inlineStr">
        <is>
          <t>113</t>
        </is>
      </c>
      <c r="E8357" s="24" t="inlineStr">
        <is>
          <t>过户费</t>
        </is>
      </c>
    </row>
    <row r="8358">
      <c r="B8358" s="24" t="inlineStr">
        <is>
          <t>CostType1</t>
        </is>
      </c>
      <c r="C8358" s="24" t="inlineStr">
        <is>
          <t>法律事务费用类型</t>
        </is>
      </c>
      <c r="D8358" s="24" t="inlineStr">
        <is>
          <t>114</t>
        </is>
      </c>
      <c r="E8358" s="24" t="inlineStr">
        <is>
          <t>保全费</t>
        </is>
      </c>
    </row>
    <row r="8359">
      <c r="B8359" s="24" t="inlineStr">
        <is>
          <t>CostType1</t>
        </is>
      </c>
      <c r="C8359" s="24" t="inlineStr">
        <is>
          <t>法律事务费用类型</t>
        </is>
      </c>
      <c r="D8359" s="24" t="inlineStr">
        <is>
          <t>115</t>
        </is>
      </c>
      <c r="E8359" s="24" t="inlineStr">
        <is>
          <t>其他费用</t>
        </is>
      </c>
    </row>
    <row r="8360" ht="15.95" customHeight="1" s="170">
      <c r="B8360" s="122" t="inlineStr">
        <is>
          <t>码值：SettlementType</t>
        </is>
      </c>
    </row>
    <row r="8361">
      <c r="B8361" s="24" t="inlineStr">
        <is>
          <t>SettlementType</t>
        </is>
      </c>
      <c r="C8361" s="24" t="inlineStr">
        <is>
          <t>结算方式</t>
        </is>
      </c>
      <c r="D8361" s="24" t="inlineStr">
        <is>
          <t>010</t>
        </is>
      </c>
      <c r="E8361" s="24" t="inlineStr">
        <is>
          <t>信用证</t>
        </is>
      </c>
    </row>
    <row r="8362">
      <c r="B8362" s="24" t="inlineStr">
        <is>
          <t>SettlementType</t>
        </is>
      </c>
      <c r="C8362" s="24" t="inlineStr">
        <is>
          <t>结算方式</t>
        </is>
      </c>
      <c r="D8362" s="24" t="inlineStr">
        <is>
          <t>020</t>
        </is>
      </c>
      <c r="E8362" s="24" t="inlineStr">
        <is>
          <t>托收</t>
        </is>
      </c>
    </row>
    <row r="8363">
      <c r="B8363" s="24" t="inlineStr">
        <is>
          <t>SettlementType</t>
        </is>
      </c>
      <c r="C8363" s="24" t="inlineStr">
        <is>
          <t>结算方式</t>
        </is>
      </c>
      <c r="D8363" s="24" t="inlineStr">
        <is>
          <t>030</t>
        </is>
      </c>
      <c r="E8363" s="24" t="inlineStr">
        <is>
          <t>T/T电汇</t>
        </is>
      </c>
    </row>
    <row r="8364" ht="15.95" customHeight="1" s="170">
      <c r="B8364" s="122" t="inlineStr">
        <is>
          <t>码值：ApproveEvaluateMain</t>
        </is>
      </c>
    </row>
    <row r="8365">
      <c r="B8365" s="24" t="inlineStr">
        <is>
          <t>ApproveEvaluateMain</t>
        </is>
      </c>
      <c r="C8365" s="24" t="inlineStr">
        <is>
          <t>信用等级认定审批</t>
        </is>
      </c>
      <c r="D8365" s="24" t="inlineStr">
        <is>
          <t>N</t>
        </is>
      </c>
      <c r="E8365" s="24" t="inlineStr">
        <is>
          <t>待办任务</t>
        </is>
      </c>
    </row>
    <row r="8366">
      <c r="B8366" s="24" t="inlineStr">
        <is>
          <t>ApproveEvaluateMain</t>
        </is>
      </c>
      <c r="C8366" s="24" t="inlineStr">
        <is>
          <t>信用等级认定审批</t>
        </is>
      </c>
      <c r="D8366" s="24" t="inlineStr">
        <is>
          <t>Y</t>
        </is>
      </c>
      <c r="E8366" s="24" t="inlineStr">
        <is>
          <t>已办任务</t>
        </is>
      </c>
    </row>
    <row r="8367" ht="15.95" customHeight="1" s="170">
      <c r="B8367" s="122" t="inlineStr">
        <is>
          <t>码值：发债情况</t>
        </is>
      </c>
    </row>
    <row r="8368">
      <c r="B8368" s="24" t="inlineStr">
        <is>
          <t>发债情况</t>
        </is>
      </c>
      <c r="C8368" s="24" t="inlineStr">
        <is>
          <t>发债情况</t>
        </is>
      </c>
      <c r="D8368" s="24" t="inlineStr">
        <is>
          <t>1</t>
        </is>
      </c>
      <c r="E8368" s="24" t="inlineStr">
        <is>
          <t>近2年发行过债券</t>
        </is>
      </c>
    </row>
    <row r="8369">
      <c r="B8369" s="24" t="inlineStr">
        <is>
          <t>发债情况</t>
        </is>
      </c>
      <c r="C8369" s="24" t="inlineStr">
        <is>
          <t>发债情况</t>
        </is>
      </c>
      <c r="D8369" s="24" t="inlineStr">
        <is>
          <t>2</t>
        </is>
      </c>
      <c r="E8369" s="24" t="inlineStr">
        <is>
          <t>已取得发债资格</t>
        </is>
      </c>
    </row>
    <row r="8370">
      <c r="B8370" s="24" t="inlineStr">
        <is>
          <t>发债情况</t>
        </is>
      </c>
      <c r="C8370" s="24" t="inlineStr">
        <is>
          <t>发债情况</t>
        </is>
      </c>
      <c r="D8370" s="24" t="inlineStr">
        <is>
          <t>3</t>
        </is>
      </c>
      <c r="E8370" s="24" t="inlineStr">
        <is>
          <t>无发债资格</t>
        </is>
      </c>
    </row>
    <row r="8371" ht="15.95" customHeight="1" s="170">
      <c r="B8371" s="122" t="inlineStr">
        <is>
          <t>码值：财政拨款类型</t>
        </is>
      </c>
    </row>
    <row r="8372">
      <c r="B8372" s="24" t="inlineStr">
        <is>
          <t>财政拨款类型</t>
        </is>
      </c>
      <c r="C8372" s="24" t="inlineStr">
        <is>
          <t>财政拨款类型</t>
        </is>
      </c>
      <c r="D8372" s="24" t="inlineStr">
        <is>
          <t>01</t>
        </is>
      </c>
      <c r="E8372" s="24" t="inlineStr">
        <is>
          <t>全额拨款</t>
        </is>
      </c>
    </row>
    <row r="8373">
      <c r="B8373" s="24" t="inlineStr">
        <is>
          <t>财政拨款类型</t>
        </is>
      </c>
      <c r="C8373" s="24" t="inlineStr">
        <is>
          <t>财政拨款类型</t>
        </is>
      </c>
      <c r="D8373" s="24" t="inlineStr">
        <is>
          <t>02</t>
        </is>
      </c>
      <c r="E8373" s="24" t="inlineStr">
        <is>
          <t>差额拨款</t>
        </is>
      </c>
    </row>
    <row r="8374">
      <c r="B8374" s="24" t="inlineStr">
        <is>
          <t>财政拨款类型</t>
        </is>
      </c>
      <c r="C8374" s="24" t="inlineStr">
        <is>
          <t>财政拨款类型</t>
        </is>
      </c>
      <c r="D8374" s="24" t="inlineStr">
        <is>
          <t>03</t>
        </is>
      </c>
      <c r="E8374" s="24" t="inlineStr">
        <is>
          <t>自收自支</t>
        </is>
      </c>
    </row>
    <row r="8375" ht="15.95" customHeight="1" s="170">
      <c r="B8375" s="122" t="inlineStr">
        <is>
          <t>码值：CusAssetAndOwe</t>
        </is>
      </c>
    </row>
    <row r="8376">
      <c r="B8376" s="24" t="inlineStr">
        <is>
          <t>CusAssetAndOwe</t>
        </is>
      </c>
      <c r="C8376" s="24" t="inlineStr">
        <is>
          <t>客户资产与负债明细</t>
        </is>
      </c>
      <c r="D8376" s="24" t="inlineStr">
        <is>
          <t>10</t>
        </is>
      </c>
      <c r="E8376" s="24" t="inlineStr">
        <is>
          <t>客户资产与负债明细</t>
        </is>
      </c>
    </row>
    <row r="8377">
      <c r="B8377" s="24" t="inlineStr">
        <is>
          <t>CusAssetAndOwe</t>
        </is>
      </c>
      <c r="C8377" s="24" t="inlineStr">
        <is>
          <t>客户资产与负债明细</t>
        </is>
      </c>
      <c r="D8377" s="24" t="inlineStr">
        <is>
          <t>1010</t>
        </is>
      </c>
      <c r="E8377" s="24" t="inlineStr">
        <is>
          <t>应收应付帐款信息</t>
        </is>
      </c>
    </row>
    <row r="8378">
      <c r="B8378" s="24" t="inlineStr">
        <is>
          <t>CusAssetAndOwe</t>
        </is>
      </c>
      <c r="C8378" s="24" t="inlineStr">
        <is>
          <t>客户资产与负债明细</t>
        </is>
      </c>
      <c r="D8378" s="24" t="inlineStr">
        <is>
          <t>1020</t>
        </is>
      </c>
      <c r="E8378" s="24" t="inlineStr">
        <is>
          <t>存货信息</t>
        </is>
      </c>
    </row>
    <row r="8379">
      <c r="B8379" s="24" t="inlineStr">
        <is>
          <t>CusAssetAndOwe</t>
        </is>
      </c>
      <c r="C8379" s="24" t="inlineStr">
        <is>
          <t>客户资产与负债明细</t>
        </is>
      </c>
      <c r="D8379" s="24" t="inlineStr">
        <is>
          <t>1030</t>
        </is>
      </c>
      <c r="E8379" s="24" t="inlineStr">
        <is>
          <t>固定资产信息</t>
        </is>
      </c>
    </row>
    <row r="8380">
      <c r="B8380" s="24" t="inlineStr">
        <is>
          <t>CusAssetAndOwe</t>
        </is>
      </c>
      <c r="C8380" s="24" t="inlineStr">
        <is>
          <t>客户资产与负债明细</t>
        </is>
      </c>
      <c r="D8380" s="24" t="inlineStr">
        <is>
          <t>1040</t>
        </is>
      </c>
      <c r="E8380" s="24" t="inlineStr">
        <is>
          <t>无形资产信息</t>
        </is>
      </c>
    </row>
    <row r="8381">
      <c r="B8381" s="24" t="inlineStr">
        <is>
          <t>CusAssetAndOwe</t>
        </is>
      </c>
      <c r="C8381" s="24" t="inlineStr">
        <is>
          <t>客户资产与负债明细</t>
        </is>
      </c>
      <c r="D8381" s="24" t="inlineStr">
        <is>
          <t>1050</t>
        </is>
      </c>
      <c r="E8381" s="24" t="inlineStr">
        <is>
          <t>纳税信息</t>
        </is>
      </c>
    </row>
    <row r="8382" ht="15.95" customHeight="1" s="170">
      <c r="B8382" s="122" t="inlineStr">
        <is>
          <t>码值：EquipmentType</t>
        </is>
      </c>
    </row>
    <row r="8383">
      <c r="B8383" s="24" t="inlineStr">
        <is>
          <t>EquipmentType</t>
        </is>
      </c>
      <c r="C8383" s="24" t="inlineStr">
        <is>
          <t>设备类型</t>
        </is>
      </c>
      <c r="D8383" s="24" t="inlineStr">
        <is>
          <t>01</t>
        </is>
      </c>
      <c r="E8383" s="24" t="inlineStr">
        <is>
          <t>计算机设备及软件</t>
        </is>
      </c>
    </row>
    <row r="8384">
      <c r="B8384" s="24" t="inlineStr">
        <is>
          <t>EquipmentType</t>
        </is>
      </c>
      <c r="C8384" s="24" t="inlineStr">
        <is>
          <t>设备类型</t>
        </is>
      </c>
      <c r="D8384" s="24" t="inlineStr">
        <is>
          <t>02</t>
        </is>
      </c>
      <c r="E8384" s="24" t="inlineStr">
        <is>
          <t>办公设备</t>
        </is>
      </c>
    </row>
    <row r="8385">
      <c r="B8385" s="24" t="inlineStr">
        <is>
          <t>EquipmentType</t>
        </is>
      </c>
      <c r="C8385" s="24" t="inlineStr">
        <is>
          <t>设备类型</t>
        </is>
      </c>
      <c r="D8385" s="24" t="inlineStr">
        <is>
          <t>03</t>
        </is>
      </c>
      <c r="E8385" s="24" t="inlineStr">
        <is>
          <t>图书档案设备</t>
        </is>
      </c>
    </row>
    <row r="8386">
      <c r="B8386" s="24" t="inlineStr">
        <is>
          <t>EquipmentType</t>
        </is>
      </c>
      <c r="C8386" s="24" t="inlineStr">
        <is>
          <t>设备类型</t>
        </is>
      </c>
      <c r="D8386" s="24" t="inlineStr">
        <is>
          <t>04</t>
        </is>
      </c>
      <c r="E8386" s="24" t="inlineStr">
        <is>
          <t>机械设备</t>
        </is>
      </c>
    </row>
    <row r="8387">
      <c r="B8387" s="24" t="inlineStr">
        <is>
          <t>EquipmentType</t>
        </is>
      </c>
      <c r="C8387" s="24" t="inlineStr">
        <is>
          <t>设备类型</t>
        </is>
      </c>
      <c r="D8387" s="24" t="inlineStr">
        <is>
          <t>05</t>
        </is>
      </c>
      <c r="E8387" s="24" t="inlineStr">
        <is>
          <t>电气设备</t>
        </is>
      </c>
    </row>
    <row r="8388">
      <c r="B8388" s="24" t="inlineStr">
        <is>
          <t>EquipmentType</t>
        </is>
      </c>
      <c r="C8388" s="24" t="inlineStr">
        <is>
          <t>设备类型</t>
        </is>
      </c>
      <c r="D8388" s="24" t="inlineStr">
        <is>
          <t>06</t>
        </is>
      </c>
      <c r="E8388" s="24" t="inlineStr">
        <is>
          <t>雷达、无线电和卫星导航设备</t>
        </is>
      </c>
    </row>
    <row r="8389">
      <c r="B8389" s="24" t="inlineStr">
        <is>
          <t>EquipmentType</t>
        </is>
      </c>
      <c r="C8389" s="24" t="inlineStr">
        <is>
          <t>设备类型</t>
        </is>
      </c>
      <c r="D8389" s="24" t="inlineStr">
        <is>
          <t>07</t>
        </is>
      </c>
      <c r="E8389" s="24" t="inlineStr">
        <is>
          <t>通信设备</t>
        </is>
      </c>
    </row>
    <row r="8390">
      <c r="B8390" s="24" t="inlineStr">
        <is>
          <t>EquipmentType</t>
        </is>
      </c>
      <c r="C8390" s="24" t="inlineStr">
        <is>
          <t>设备类型</t>
        </is>
      </c>
      <c r="D8390" s="24" t="inlineStr">
        <is>
          <t>08</t>
        </is>
      </c>
      <c r="E8390" s="24" t="inlineStr">
        <is>
          <t>广播、电视、电影设备</t>
        </is>
      </c>
    </row>
    <row r="8391">
      <c r="B8391" s="24" t="inlineStr">
        <is>
          <t>EquipmentType</t>
        </is>
      </c>
      <c r="C8391" s="24" t="inlineStr">
        <is>
          <t>设备类型</t>
        </is>
      </c>
      <c r="D8391" s="24" t="inlineStr">
        <is>
          <t>09</t>
        </is>
      </c>
      <c r="E8391" s="24" t="inlineStr">
        <is>
          <t>仪器仪表</t>
        </is>
      </c>
    </row>
    <row r="8392">
      <c r="B8392" s="24" t="inlineStr">
        <is>
          <t>EquipmentType</t>
        </is>
      </c>
      <c r="C8392" s="24" t="inlineStr">
        <is>
          <t>设备类型</t>
        </is>
      </c>
      <c r="D8392" s="24" t="inlineStr">
        <is>
          <t>10</t>
        </is>
      </c>
      <c r="E8392" s="24" t="inlineStr">
        <is>
          <t>电子和通信测量仪器</t>
        </is>
      </c>
    </row>
    <row r="8393">
      <c r="B8393" s="24" t="inlineStr">
        <is>
          <t>EquipmentType</t>
        </is>
      </c>
      <c r="C8393" s="24" t="inlineStr">
        <is>
          <t>设备类型</t>
        </is>
      </c>
      <c r="D8393" s="24" t="inlineStr">
        <is>
          <t>11</t>
        </is>
      </c>
      <c r="E8393" s="24" t="inlineStr">
        <is>
          <t>计量标准器及量具、衡器</t>
        </is>
      </c>
    </row>
    <row r="8394">
      <c r="B8394" s="24" t="inlineStr">
        <is>
          <t>EquipmentType</t>
        </is>
      </c>
      <c r="C8394" s="24" t="inlineStr">
        <is>
          <t>设备类型</t>
        </is>
      </c>
      <c r="D8394" s="24" t="inlineStr">
        <is>
          <t>12</t>
        </is>
      </c>
      <c r="E8394" s="24" t="inlineStr">
        <is>
          <t>探矿、采矿、选矿和造块设备</t>
        </is>
      </c>
    </row>
    <row r="8395">
      <c r="B8395" s="24" t="inlineStr">
        <is>
          <t>EquipmentType</t>
        </is>
      </c>
      <c r="C8395" s="24" t="inlineStr">
        <is>
          <t>设备类型</t>
        </is>
      </c>
      <c r="D8395" s="24" t="inlineStr">
        <is>
          <t>13</t>
        </is>
      </c>
      <c r="E8395" s="24" t="inlineStr">
        <is>
          <t>石油天然气开采专用设备</t>
        </is>
      </c>
    </row>
    <row r="8396">
      <c r="B8396" s="24" t="inlineStr">
        <is>
          <t>EquipmentType</t>
        </is>
      </c>
      <c r="C8396" s="24" t="inlineStr">
        <is>
          <t>设备类型</t>
        </is>
      </c>
      <c r="D8396" s="24" t="inlineStr">
        <is>
          <t>14</t>
        </is>
      </c>
      <c r="E8396" s="24" t="inlineStr">
        <is>
          <t>炼焦和金属冶炼轧制设备</t>
        </is>
      </c>
    </row>
    <row r="8397">
      <c r="B8397" s="24" t="inlineStr">
        <is>
          <t>EquipmentType</t>
        </is>
      </c>
      <c r="C8397" s="24" t="inlineStr">
        <is>
          <t>设备类型</t>
        </is>
      </c>
      <c r="D8397" s="24" t="inlineStr">
        <is>
          <t>15</t>
        </is>
      </c>
      <c r="E8397" s="24" t="inlineStr">
        <is>
          <t>电力工业专用设备</t>
        </is>
      </c>
    </row>
    <row r="8398">
      <c r="B8398" s="24" t="inlineStr">
        <is>
          <t>EquipmentType</t>
        </is>
      </c>
      <c r="C8398" s="24" t="inlineStr">
        <is>
          <t>设备类型</t>
        </is>
      </c>
      <c r="D8398" s="24" t="inlineStr">
        <is>
          <t>16</t>
        </is>
      </c>
      <c r="E8398" s="24" t="inlineStr">
        <is>
          <t>非金属矿物制品工业专用设备</t>
        </is>
      </c>
    </row>
    <row r="8399">
      <c r="B8399" s="24" t="inlineStr">
        <is>
          <t>EquipmentType</t>
        </is>
      </c>
      <c r="C8399" s="24" t="inlineStr">
        <is>
          <t>设备类型</t>
        </is>
      </c>
      <c r="D8399" s="24" t="inlineStr">
        <is>
          <t>17</t>
        </is>
      </c>
      <c r="E8399" s="24" t="inlineStr">
        <is>
          <t>核工业专用设备</t>
        </is>
      </c>
    </row>
    <row r="8400">
      <c r="B8400" s="24" t="inlineStr">
        <is>
          <t>EquipmentType</t>
        </is>
      </c>
      <c r="C8400" s="24" t="inlineStr">
        <is>
          <t>设备类型</t>
        </is>
      </c>
      <c r="D8400" s="24" t="inlineStr">
        <is>
          <t>18</t>
        </is>
      </c>
      <c r="E8400" s="24" t="inlineStr">
        <is>
          <t>航空航天工业专用设备</t>
        </is>
      </c>
    </row>
    <row r="8401">
      <c r="B8401" s="24" t="inlineStr">
        <is>
          <t>EquipmentType</t>
        </is>
      </c>
      <c r="C8401" s="24" t="inlineStr">
        <is>
          <t>设备类型</t>
        </is>
      </c>
      <c r="D8401" s="24" t="inlineStr">
        <is>
          <t>19</t>
        </is>
      </c>
      <c r="E8401" s="24" t="inlineStr">
        <is>
          <t>工程机械</t>
        </is>
      </c>
    </row>
    <row r="8402">
      <c r="B8402" s="24" t="inlineStr">
        <is>
          <t>EquipmentType</t>
        </is>
      </c>
      <c r="C8402" s="24" t="inlineStr">
        <is>
          <t>设备类型</t>
        </is>
      </c>
      <c r="D8402" s="24" t="inlineStr">
        <is>
          <t>20</t>
        </is>
      </c>
      <c r="E8402" s="24" t="inlineStr">
        <is>
          <t>农业和林业机械</t>
        </is>
      </c>
    </row>
    <row r="8403">
      <c r="B8403" s="24" t="inlineStr">
        <is>
          <t>EquipmentType</t>
        </is>
      </c>
      <c r="C8403" s="24" t="inlineStr">
        <is>
          <t>设备类型</t>
        </is>
      </c>
      <c r="D8403" s="24" t="inlineStr">
        <is>
          <t>21</t>
        </is>
      </c>
      <c r="E8403" s="24" t="inlineStr">
        <is>
          <t>木材采集和加工设备</t>
        </is>
      </c>
    </row>
    <row r="8404">
      <c r="B8404" s="24" t="inlineStr">
        <is>
          <t>EquipmentType</t>
        </is>
      </c>
      <c r="C8404" s="24" t="inlineStr">
        <is>
          <t>设备类型</t>
        </is>
      </c>
      <c r="D8404" s="24" t="inlineStr">
        <is>
          <t>22</t>
        </is>
      </c>
      <c r="E8404" s="24" t="inlineStr">
        <is>
          <t>食品加工专用设备</t>
        </is>
      </c>
    </row>
    <row r="8405">
      <c r="B8405" s="24" t="inlineStr">
        <is>
          <t>EquipmentType</t>
        </is>
      </c>
      <c r="C8405" s="24" t="inlineStr">
        <is>
          <t>设备类型</t>
        </is>
      </c>
      <c r="D8405" s="24" t="inlineStr">
        <is>
          <t>23</t>
        </is>
      </c>
      <c r="E8405" s="24" t="inlineStr">
        <is>
          <t>饮料加工设备</t>
        </is>
      </c>
    </row>
    <row r="8406">
      <c r="B8406" s="24" t="inlineStr">
        <is>
          <t>EquipmentType</t>
        </is>
      </c>
      <c r="C8406" s="24" t="inlineStr">
        <is>
          <t>设备类型</t>
        </is>
      </c>
      <c r="D8406" s="24" t="inlineStr">
        <is>
          <t>24</t>
        </is>
      </c>
      <c r="E8406" s="24" t="inlineStr">
        <is>
          <t>烟草加工设备</t>
        </is>
      </c>
    </row>
    <row r="8407">
      <c r="B8407" s="24" t="inlineStr">
        <is>
          <t>EquipmentType</t>
        </is>
      </c>
      <c r="C8407" s="24" t="inlineStr">
        <is>
          <t>设备类型</t>
        </is>
      </c>
      <c r="D8407" s="24" t="inlineStr">
        <is>
          <t>25</t>
        </is>
      </c>
      <c r="E8407" s="24" t="inlineStr">
        <is>
          <t>粮油作物和饲料加工设备</t>
        </is>
      </c>
    </row>
    <row r="8408">
      <c r="B8408" s="24" t="inlineStr">
        <is>
          <t>EquipmentType</t>
        </is>
      </c>
      <c r="C8408" s="24" t="inlineStr">
        <is>
          <t>设备类型</t>
        </is>
      </c>
      <c r="D8408" s="24" t="inlineStr">
        <is>
          <t>26</t>
        </is>
      </c>
      <c r="E8408" s="24" t="inlineStr">
        <is>
          <t>纺织设备</t>
        </is>
      </c>
    </row>
    <row r="8409">
      <c r="B8409" s="24" t="inlineStr">
        <is>
          <t>EquipmentType</t>
        </is>
      </c>
      <c r="C8409" s="24" t="inlineStr">
        <is>
          <t>设备类型</t>
        </is>
      </c>
      <c r="D8409" s="24" t="inlineStr">
        <is>
          <t>27</t>
        </is>
      </c>
      <c r="E8409" s="24" t="inlineStr">
        <is>
          <t>缝纫、服饰、改革和毛皮加工设备</t>
        </is>
      </c>
    </row>
    <row r="8410">
      <c r="B8410" s="24" t="inlineStr">
        <is>
          <t>EquipmentType</t>
        </is>
      </c>
      <c r="C8410" s="24" t="inlineStr">
        <is>
          <t>设备类型</t>
        </is>
      </c>
      <c r="D8410" s="24" t="inlineStr">
        <is>
          <t>28</t>
        </is>
      </c>
      <c r="E8410" s="24" t="inlineStr">
        <is>
          <t>造纸和印刷机械</t>
        </is>
      </c>
    </row>
    <row r="8411">
      <c r="B8411" s="24" t="inlineStr">
        <is>
          <t>EquipmentType</t>
        </is>
      </c>
      <c r="C8411" s="24" t="inlineStr">
        <is>
          <t>设备类型</t>
        </is>
      </c>
      <c r="D8411" s="24" t="inlineStr">
        <is>
          <t>29</t>
        </is>
      </c>
      <c r="E8411" s="24" t="inlineStr">
        <is>
          <t>化学药品和中药专用设备</t>
        </is>
      </c>
    </row>
    <row r="8412">
      <c r="B8412" s="24" t="inlineStr">
        <is>
          <t>EquipmentType</t>
        </is>
      </c>
      <c r="C8412" s="24" t="inlineStr">
        <is>
          <t>设备类型</t>
        </is>
      </c>
      <c r="D8412" s="24" t="inlineStr">
        <is>
          <t>30</t>
        </is>
      </c>
      <c r="E8412" s="24" t="inlineStr">
        <is>
          <t>医疗设备</t>
        </is>
      </c>
    </row>
    <row r="8413">
      <c r="B8413" s="24" t="inlineStr">
        <is>
          <t>EquipmentType</t>
        </is>
      </c>
      <c r="C8413" s="24" t="inlineStr">
        <is>
          <t>设备类型</t>
        </is>
      </c>
      <c r="D8413" s="24" t="inlineStr">
        <is>
          <t>31</t>
        </is>
      </c>
      <c r="E8413" s="24" t="inlineStr">
        <is>
          <t>电工、电子专用生产设备</t>
        </is>
      </c>
    </row>
    <row r="8414">
      <c r="B8414" s="24" t="inlineStr">
        <is>
          <t>EquipmentType</t>
        </is>
      </c>
      <c r="C8414" s="24" t="inlineStr">
        <is>
          <t>设备类型</t>
        </is>
      </c>
      <c r="D8414" s="24" t="inlineStr">
        <is>
          <t>32</t>
        </is>
      </c>
      <c r="E8414" s="24" t="inlineStr">
        <is>
          <t>安全生产设备</t>
        </is>
      </c>
    </row>
    <row r="8415">
      <c r="B8415" s="24" t="inlineStr">
        <is>
          <t>EquipmentType</t>
        </is>
      </c>
      <c r="C8415" s="24" t="inlineStr">
        <is>
          <t>设备类型</t>
        </is>
      </c>
      <c r="D8415" s="24" t="inlineStr">
        <is>
          <t>33</t>
        </is>
      </c>
      <c r="E8415" s="24" t="inlineStr">
        <is>
          <t>邮政专用设备</t>
        </is>
      </c>
    </row>
    <row r="8416">
      <c r="B8416" s="24" t="inlineStr">
        <is>
          <t>EquipmentType</t>
        </is>
      </c>
      <c r="C8416" s="24" t="inlineStr">
        <is>
          <t>设备类型</t>
        </is>
      </c>
      <c r="D8416" s="24" t="inlineStr">
        <is>
          <t>34</t>
        </is>
      </c>
      <c r="E8416" s="24" t="inlineStr">
        <is>
          <t>环境污染防治设备</t>
        </is>
      </c>
    </row>
    <row r="8417">
      <c r="B8417" s="24" t="inlineStr">
        <is>
          <t>EquipmentType</t>
        </is>
      </c>
      <c r="C8417" s="24" t="inlineStr">
        <is>
          <t>设备类型</t>
        </is>
      </c>
      <c r="D8417" s="24" t="inlineStr">
        <is>
          <t>35</t>
        </is>
      </c>
      <c r="E8417" s="24" t="inlineStr">
        <is>
          <t>公安专用设备</t>
        </is>
      </c>
    </row>
    <row r="8418">
      <c r="B8418" s="24" t="inlineStr">
        <is>
          <t>EquipmentType</t>
        </is>
      </c>
      <c r="C8418" s="24" t="inlineStr">
        <is>
          <t>设备类型</t>
        </is>
      </c>
      <c r="D8418" s="24" t="inlineStr">
        <is>
          <t>36</t>
        </is>
      </c>
      <c r="E8418" s="24" t="inlineStr">
        <is>
          <t>水工机械</t>
        </is>
      </c>
    </row>
    <row r="8419">
      <c r="B8419" s="24" t="inlineStr">
        <is>
          <t>EquipmentType</t>
        </is>
      </c>
      <c r="C8419" s="24" t="inlineStr">
        <is>
          <t>设备类型</t>
        </is>
      </c>
      <c r="D8419" s="24" t="inlineStr">
        <is>
          <t>37</t>
        </is>
      </c>
      <c r="E8419" s="24" t="inlineStr">
        <is>
          <t>殡葬设备及用品</t>
        </is>
      </c>
    </row>
    <row r="8420">
      <c r="B8420" s="24" t="inlineStr">
        <is>
          <t>EquipmentType</t>
        </is>
      </c>
      <c r="C8420" s="24" t="inlineStr">
        <is>
          <t>设备类型</t>
        </is>
      </c>
      <c r="D8420" s="24" t="inlineStr">
        <is>
          <t>38</t>
        </is>
      </c>
      <c r="E8420" s="24" t="inlineStr">
        <is>
          <t>铁路运输设备</t>
        </is>
      </c>
    </row>
    <row r="8421">
      <c r="B8421" s="24" t="inlineStr">
        <is>
          <t>EquipmentType</t>
        </is>
      </c>
      <c r="C8421" s="24" t="inlineStr">
        <is>
          <t>设备类型</t>
        </is>
      </c>
      <c r="D8421" s="24" t="inlineStr">
        <is>
          <t>39</t>
        </is>
      </c>
      <c r="E8421" s="24" t="inlineStr">
        <is>
          <t>水上交通运输设备</t>
        </is>
      </c>
    </row>
    <row r="8422">
      <c r="B8422" s="24" t="inlineStr">
        <is>
          <t>EquipmentType</t>
        </is>
      </c>
      <c r="C8422" s="24" t="inlineStr">
        <is>
          <t>设备类型</t>
        </is>
      </c>
      <c r="D8422" s="24" t="inlineStr">
        <is>
          <t>40</t>
        </is>
      </c>
      <c r="E8422" s="24" t="inlineStr">
        <is>
          <t>航空器及其配套设备</t>
        </is>
      </c>
    </row>
    <row r="8423">
      <c r="B8423" s="24" t="inlineStr">
        <is>
          <t>EquipmentType</t>
        </is>
      </c>
      <c r="C8423" s="24" t="inlineStr">
        <is>
          <t>设备类型</t>
        </is>
      </c>
      <c r="D8423" s="24" t="inlineStr">
        <is>
          <t>41</t>
        </is>
      </c>
      <c r="E8423" s="24" t="inlineStr">
        <is>
          <t>专用仪器仪表</t>
        </is>
      </c>
    </row>
    <row r="8424">
      <c r="B8424" s="24" t="inlineStr">
        <is>
          <t>EquipmentType</t>
        </is>
      </c>
      <c r="C8424" s="24" t="inlineStr">
        <is>
          <t>设备类型</t>
        </is>
      </c>
      <c r="D8424" s="24" t="inlineStr">
        <is>
          <t>42</t>
        </is>
      </c>
      <c r="E8424" s="24" t="inlineStr">
        <is>
          <t>文艺设备</t>
        </is>
      </c>
    </row>
    <row r="8425">
      <c r="B8425" s="24" t="inlineStr">
        <is>
          <t>EquipmentType</t>
        </is>
      </c>
      <c r="C8425" s="24" t="inlineStr">
        <is>
          <t>设备类型</t>
        </is>
      </c>
      <c r="D8425" s="24" t="inlineStr">
        <is>
          <t>43</t>
        </is>
      </c>
      <c r="E8425" s="24" t="inlineStr">
        <is>
          <t>体育设备</t>
        </is>
      </c>
    </row>
    <row r="8426">
      <c r="B8426" s="24" t="inlineStr">
        <is>
          <t>EquipmentType</t>
        </is>
      </c>
      <c r="C8426" s="24" t="inlineStr">
        <is>
          <t>设备类型</t>
        </is>
      </c>
      <c r="D8426" s="24" t="inlineStr">
        <is>
          <t>44</t>
        </is>
      </c>
      <c r="E8426" s="24" t="inlineStr">
        <is>
          <t>娱乐设备</t>
        </is>
      </c>
    </row>
    <row r="8427">
      <c r="B8427" s="24" t="inlineStr">
        <is>
          <t>EquipmentType</t>
        </is>
      </c>
      <c r="C8427" s="24" t="inlineStr">
        <is>
          <t>设备类型</t>
        </is>
      </c>
      <c r="D8427" s="24" t="inlineStr">
        <is>
          <t>90</t>
        </is>
      </c>
      <c r="E8427" s="24" t="inlineStr">
        <is>
          <t>其他</t>
        </is>
      </c>
    </row>
    <row r="8428" ht="15.95" customHeight="1" s="170">
      <c r="B8428" s="122" t="inlineStr">
        <is>
          <t>码值：RediscountType</t>
        </is>
      </c>
    </row>
    <row r="8429">
      <c r="B8429" s="24" t="inlineStr">
        <is>
          <t>RediscountType</t>
        </is>
      </c>
      <c r="C8429" s="24" t="inlineStr">
        <is>
          <t>再贴现方式</t>
        </is>
      </c>
      <c r="D8429" s="24" t="inlineStr">
        <is>
          <t>01</t>
        </is>
      </c>
      <c r="E8429" s="24" t="inlineStr">
        <is>
          <t>买断</t>
        </is>
      </c>
    </row>
    <row r="8430">
      <c r="B8430" s="24" t="inlineStr">
        <is>
          <t>RediscountType</t>
        </is>
      </c>
      <c r="C8430" s="24" t="inlineStr">
        <is>
          <t>再贴现方式</t>
        </is>
      </c>
      <c r="D8430" s="24" t="inlineStr">
        <is>
          <t>02</t>
        </is>
      </c>
      <c r="E8430" s="24" t="inlineStr">
        <is>
          <t>回购</t>
        </is>
      </c>
    </row>
    <row r="8431" ht="15.95" customHeight="1" s="170">
      <c r="B8431" s="122" t="inlineStr">
        <is>
          <t>码值：ConstructionContractType</t>
        </is>
      </c>
    </row>
    <row r="8432">
      <c r="B8432" s="24" t="inlineStr">
        <is>
          <t>ConstructionContractType</t>
        </is>
      </c>
      <c r="C8432" s="24" t="inlineStr">
        <is>
          <t>信用等级评估统一导入</t>
        </is>
      </c>
      <c r="D8432" s="24" t="inlineStr">
        <is>
          <t>01</t>
        </is>
      </c>
      <c r="E8432" s="24" t="inlineStr">
        <is>
          <t>价格和日期都固定的总承包工程、采购及建设合同</t>
        </is>
      </c>
    </row>
    <row r="8433">
      <c r="B8433" s="24" t="inlineStr">
        <is>
          <t>ConstructionContractType</t>
        </is>
      </c>
      <c r="C8433" s="24" t="inlineStr">
        <is>
          <t>信用等级评估统一导入</t>
        </is>
      </c>
      <c r="D8433" s="24" t="inlineStr">
        <is>
          <t>02</t>
        </is>
      </c>
      <c r="E8433" s="24" t="inlineStr">
        <is>
          <t>价格和日期都固定的承包建设合同，有一家或一家以上的承包商</t>
        </is>
      </c>
    </row>
    <row r="8434">
      <c r="B8434" s="24" t="inlineStr">
        <is>
          <t>ConstructionContractType</t>
        </is>
      </c>
      <c r="C8434" s="24" t="inlineStr">
        <is>
          <t>信用等级评估统一导入</t>
        </is>
      </c>
      <c r="D8434" s="24" t="inlineStr">
        <is>
          <t>03</t>
        </is>
      </c>
      <c r="E8434" s="24" t="inlineStr">
        <is>
          <t>缺乏价格固定的总承包合同或合同不完整和/或存在与各承包商多方联络的问题</t>
        </is>
      </c>
    </row>
    <row r="8435" ht="15.95" customHeight="1" s="170">
      <c r="B8435" s="122" t="inlineStr">
        <is>
          <t>码值：ConsignerType</t>
        </is>
      </c>
    </row>
    <row r="8436">
      <c r="B8436" s="24" t="inlineStr">
        <is>
          <t>ConsignerType</t>
        </is>
      </c>
      <c r="C8436" s="24" t="inlineStr">
        <is>
          <t>委托人类型</t>
        </is>
      </c>
      <c r="D8436" s="24" t="inlineStr">
        <is>
          <t>1</t>
        </is>
      </c>
      <c r="E8436" s="24" t="inlineStr">
        <is>
          <t>个人</t>
        </is>
      </c>
    </row>
    <row r="8437">
      <c r="B8437" s="24" t="inlineStr">
        <is>
          <t>ConsignerType</t>
        </is>
      </c>
      <c r="C8437" s="24" t="inlineStr">
        <is>
          <t>委托人类型</t>
        </is>
      </c>
      <c r="D8437" s="24" t="inlineStr">
        <is>
          <t>2</t>
        </is>
      </c>
      <c r="E8437" s="24" t="inlineStr">
        <is>
          <t>机构</t>
        </is>
      </c>
    </row>
    <row r="8438" ht="15.95" customHeight="1" s="170">
      <c r="B8438" s="122" t="inlineStr">
        <is>
          <t>码值：偿债基金来源情况</t>
        </is>
      </c>
    </row>
    <row r="8439">
      <c r="B8439" s="24" t="inlineStr">
        <is>
          <t>偿债基金来源情况</t>
        </is>
      </c>
      <c r="C8439" s="24" t="inlineStr">
        <is>
          <t>偿债基金来源情况</t>
        </is>
      </c>
      <c r="D8439" s="24" t="inlineStr">
        <is>
          <t>01</t>
        </is>
      </c>
      <c r="E8439" s="24" t="inlineStr">
        <is>
          <t>无相应的偿债基金，但列入财政预算</t>
        </is>
      </c>
    </row>
    <row r="8440">
      <c r="B8440" s="24" t="inlineStr">
        <is>
          <t>偿债基金来源情况</t>
        </is>
      </c>
      <c r="C8440" s="24" t="inlineStr">
        <is>
          <t>偿债基金来源情况</t>
        </is>
      </c>
      <c r="D8440" s="24" t="inlineStr">
        <is>
          <t>02</t>
        </is>
      </c>
      <c r="E8440" s="24" t="inlineStr">
        <is>
          <t>国有土地使用权出让金收入</t>
        </is>
      </c>
    </row>
    <row r="8441">
      <c r="B8441" s="24" t="inlineStr">
        <is>
          <t>偿债基金来源情况</t>
        </is>
      </c>
      <c r="C8441" s="24" t="inlineStr">
        <is>
          <t>偿债基金来源情况</t>
        </is>
      </c>
      <c r="D8441" s="24" t="inlineStr">
        <is>
          <t>03</t>
        </is>
      </c>
      <c r="E8441" s="24" t="inlineStr">
        <is>
          <t>市级城建税收入</t>
        </is>
      </c>
    </row>
    <row r="8442">
      <c r="B8442" s="24" t="inlineStr">
        <is>
          <t>偿债基金来源情况</t>
        </is>
      </c>
      <c r="C8442" s="24" t="inlineStr">
        <is>
          <t>偿债基金来源情况</t>
        </is>
      </c>
      <c r="D8442" s="24" t="inlineStr">
        <is>
          <t>04</t>
        </is>
      </c>
      <c r="E8442" s="24" t="inlineStr">
        <is>
          <t>城市基础设施相关资产的转让收入</t>
        </is>
      </c>
    </row>
    <row r="8443">
      <c r="B8443" s="24" t="inlineStr">
        <is>
          <t>偿债基金来源情况</t>
        </is>
      </c>
      <c r="C8443" s="24" t="inlineStr">
        <is>
          <t>偿债基金来源情况</t>
        </is>
      </c>
      <c r="D8443" s="24" t="inlineStr">
        <is>
          <t>05</t>
        </is>
      </c>
      <c r="E8443" s="24" t="inlineStr">
        <is>
          <t>特许经营权转让收入</t>
        </is>
      </c>
    </row>
    <row r="8444">
      <c r="B8444" s="24" t="inlineStr">
        <is>
          <t>偿债基金来源情况</t>
        </is>
      </c>
      <c r="C8444" s="24" t="inlineStr">
        <is>
          <t>偿债基金来源情况</t>
        </is>
      </c>
      <c r="D8444" s="24" t="inlineStr">
        <is>
          <t>06</t>
        </is>
      </c>
      <c r="E8444" s="24" t="inlineStr">
        <is>
          <t>其他</t>
        </is>
      </c>
    </row>
    <row r="8445">
      <c r="B8445" s="24" t="inlineStr">
        <is>
          <t>偿债基金来源情况</t>
        </is>
      </c>
      <c r="C8445" s="24" t="inlineStr">
        <is>
          <t>偿债基金来源情况</t>
        </is>
      </c>
      <c r="D8445" s="24" t="inlineStr">
        <is>
          <t>07</t>
        </is>
      </c>
      <c r="E8445" s="24" t="inlineStr">
        <is>
          <t>无相应的偿债基金，且未列入财政预算</t>
        </is>
      </c>
    </row>
    <row r="8446" ht="15.95" customHeight="1" s="170">
      <c r="B8446" s="122" t="inlineStr">
        <is>
          <t>码值：CommentItemType</t>
        </is>
      </c>
    </row>
    <row r="8447">
      <c r="B8447" s="24" t="inlineStr">
        <is>
          <t>CommentItemType</t>
        </is>
      </c>
      <c r="C8447" s="24" t="inlineStr">
        <is>
          <t>注释类型</t>
        </is>
      </c>
      <c r="D8447" s="24" t="inlineStr">
        <is>
          <t>010</t>
        </is>
      </c>
      <c r="E8447" s="24" t="inlineStr">
        <is>
          <t>FAQ 常见问题</t>
        </is>
      </c>
    </row>
    <row r="8448">
      <c r="B8448" s="24" t="inlineStr">
        <is>
          <t>CommentItemType</t>
        </is>
      </c>
      <c r="C8448" s="24" t="inlineStr">
        <is>
          <t>注释类型</t>
        </is>
      </c>
      <c r="D8448" s="24" t="inlineStr">
        <is>
          <t>020</t>
        </is>
      </c>
      <c r="E8448" s="24" t="inlineStr">
        <is>
          <t>界面功能说明</t>
        </is>
      </c>
    </row>
    <row r="8449">
      <c r="B8449" s="24" t="inlineStr">
        <is>
          <t>CommentItemType</t>
        </is>
      </c>
      <c r="C8449" s="24" t="inlineStr">
        <is>
          <t>注释类型</t>
        </is>
      </c>
      <c r="D8449" s="24" t="inlineStr">
        <is>
          <t>030</t>
        </is>
      </c>
      <c r="E8449" s="24" t="inlineStr">
        <is>
          <t>技术说明</t>
        </is>
      </c>
    </row>
    <row r="8450">
      <c r="B8450" s="24" t="inlineStr">
        <is>
          <t>CommentItemType</t>
        </is>
      </c>
      <c r="C8450" s="24" t="inlineStr">
        <is>
          <t>注释类型</t>
        </is>
      </c>
      <c r="D8450" s="24" t="inlineStr">
        <is>
          <t>040</t>
        </is>
      </c>
      <c r="E8450" s="24" t="inlineStr">
        <is>
          <t>程序注释</t>
        </is>
      </c>
    </row>
    <row r="8451">
      <c r="B8451" s="24" t="inlineStr">
        <is>
          <t>CommentItemType</t>
        </is>
      </c>
      <c r="C8451" s="24" t="inlineStr">
        <is>
          <t>注释类型</t>
        </is>
      </c>
      <c r="D8451" s="24" t="inlineStr">
        <is>
          <t>050</t>
        </is>
      </c>
      <c r="E8451" s="24" t="inlineStr">
        <is>
          <t>工作手册</t>
        </is>
      </c>
    </row>
    <row r="8452">
      <c r="B8452" s="24" t="inlineStr">
        <is>
          <t>CommentItemType</t>
        </is>
      </c>
      <c r="C8452" s="24" t="inlineStr">
        <is>
          <t>注释类型</t>
        </is>
      </c>
      <c r="D8452" s="24" t="inlineStr">
        <is>
          <t>060</t>
        </is>
      </c>
      <c r="E8452" s="24" t="inlineStr">
        <is>
          <t>图片</t>
        </is>
      </c>
    </row>
    <row r="8453">
      <c r="B8453" s="24" t="inlineStr">
        <is>
          <t>CommentItemType</t>
        </is>
      </c>
      <c r="C8453" s="24" t="inlineStr">
        <is>
          <t>注释类型</t>
        </is>
      </c>
      <c r="D8453" s="24" t="inlineStr">
        <is>
          <t>070</t>
        </is>
      </c>
      <c r="E8453" s="24" t="inlineStr">
        <is>
          <t>名词解释</t>
        </is>
      </c>
    </row>
    <row r="8454" ht="15.95" customHeight="1" s="170">
      <c r="B8454" s="122" t="inlineStr">
        <is>
          <t>码值：tOperateType</t>
        </is>
      </c>
    </row>
    <row r="8455">
      <c r="B8455" s="24" t="inlineStr">
        <is>
          <t>tOperateType</t>
        </is>
      </c>
      <c r="C8455" s="24" t="inlineStr">
        <is>
          <t>客户转移操作类型</t>
        </is>
      </c>
      <c r="D8455" s="24" t="inlineStr">
        <is>
          <t>10</t>
        </is>
      </c>
      <c r="E8455" s="24" t="inlineStr">
        <is>
          <t>转入</t>
        </is>
      </c>
    </row>
    <row r="8456">
      <c r="B8456" s="24" t="inlineStr">
        <is>
          <t>tOperateType</t>
        </is>
      </c>
      <c r="C8456" s="24" t="inlineStr">
        <is>
          <t>客户转移操作类型</t>
        </is>
      </c>
      <c r="D8456" s="24" t="inlineStr">
        <is>
          <t>20</t>
        </is>
      </c>
      <c r="E8456" s="24" t="inlineStr">
        <is>
          <t>转出</t>
        </is>
      </c>
    </row>
    <row r="8457" ht="15.95" customHeight="1" s="170">
      <c r="B8457" s="122" t="inlineStr">
        <is>
          <t>码值：DocumentKind</t>
        </is>
      </c>
    </row>
    <row r="8458">
      <c r="B8458" s="24" t="inlineStr">
        <is>
          <t>DocumentKind</t>
        </is>
      </c>
      <c r="C8458" s="24" t="inlineStr">
        <is>
          <t>文档性质</t>
        </is>
      </c>
      <c r="D8458" s="24" t="inlineStr">
        <is>
          <t>01</t>
        </is>
      </c>
      <c r="E8458" s="24" t="inlineStr">
        <is>
          <t>*.txt</t>
        </is>
      </c>
    </row>
    <row r="8459">
      <c r="B8459" s="24" t="inlineStr">
        <is>
          <t>DocumentKind</t>
        </is>
      </c>
      <c r="C8459" s="24" t="inlineStr">
        <is>
          <t>文档性质</t>
        </is>
      </c>
      <c r="D8459" s="24" t="inlineStr">
        <is>
          <t>02</t>
        </is>
      </c>
      <c r="E8459" s="24" t="inlineStr">
        <is>
          <t>*.doc</t>
        </is>
      </c>
    </row>
    <row r="8460">
      <c r="B8460" s="24" t="inlineStr">
        <is>
          <t>DocumentKind</t>
        </is>
      </c>
      <c r="C8460" s="24" t="inlineStr">
        <is>
          <t>文档性质</t>
        </is>
      </c>
      <c r="D8460" s="24" t="inlineStr">
        <is>
          <t>03</t>
        </is>
      </c>
      <c r="E8460" s="24" t="inlineStr">
        <is>
          <t>*.xls</t>
        </is>
      </c>
    </row>
    <row r="8461" ht="15.95" customHeight="1" s="170">
      <c r="B8461" s="122" t="inlineStr">
        <is>
          <t>码值：DebtServiceFunds</t>
        </is>
      </c>
    </row>
    <row r="8462">
      <c r="B8462" s="24" t="inlineStr">
        <is>
          <t>DebtServiceFunds</t>
        </is>
      </c>
      <c r="C8462" s="24" t="inlineStr">
        <is>
          <t>信用等级评估统一导入</t>
        </is>
      </c>
      <c r="D8462" s="24" t="inlineStr">
        <is>
          <t>01</t>
        </is>
      </c>
      <c r="E8462" s="24" t="inlineStr">
        <is>
          <t>已列入财政预算</t>
        </is>
      </c>
    </row>
    <row r="8463">
      <c r="B8463" s="24" t="inlineStr">
        <is>
          <t>DebtServiceFunds</t>
        </is>
      </c>
      <c r="C8463" s="24" t="inlineStr">
        <is>
          <t>信用等级评估统一导入</t>
        </is>
      </c>
      <c r="D8463" s="24" t="inlineStr">
        <is>
          <t>02</t>
        </is>
      </c>
      <c r="E8463" s="24" t="inlineStr">
        <is>
          <t>已列入偿债基金</t>
        </is>
      </c>
    </row>
    <row r="8464">
      <c r="B8464" s="24" t="inlineStr">
        <is>
          <t>DebtServiceFunds</t>
        </is>
      </c>
      <c r="C8464" s="24" t="inlineStr">
        <is>
          <t>信用等级评估统一导入</t>
        </is>
      </c>
      <c r="D8464" s="24" t="inlineStr">
        <is>
          <t>03</t>
        </is>
      </c>
      <c r="E8464" s="24" t="inlineStr">
        <is>
          <t>上两者皆有</t>
        </is>
      </c>
    </row>
    <row r="8465">
      <c r="B8465" s="24" t="inlineStr">
        <is>
          <t>DebtServiceFunds</t>
        </is>
      </c>
      <c r="C8465" s="24" t="inlineStr">
        <is>
          <t>信用等级评估统一导入</t>
        </is>
      </c>
      <c r="D8465" s="24" t="inlineStr">
        <is>
          <t>04</t>
        </is>
      </c>
      <c r="E8465" s="24" t="inlineStr">
        <is>
          <t>上两者皆无</t>
        </is>
      </c>
    </row>
    <row r="8466" ht="15.95" customHeight="1" s="170">
      <c r="B8466" s="122" t="inlineStr">
        <is>
          <t>码值：StudentLoanType</t>
        </is>
      </c>
    </row>
    <row r="8467">
      <c r="B8467" s="24" t="inlineStr">
        <is>
          <t>StudentLoanType</t>
        </is>
      </c>
      <c r="C8467" s="24" t="inlineStr">
        <is>
          <t>类别</t>
        </is>
      </c>
      <c r="D8467" s="24" t="inlineStr">
        <is>
          <t xml:space="preserve">010	</t>
        </is>
      </c>
      <c r="E8467" s="24" t="inlineStr">
        <is>
          <t>生源地</t>
        </is>
      </c>
    </row>
    <row r="8468">
      <c r="B8468" s="24" t="inlineStr">
        <is>
          <t>StudentLoanType</t>
        </is>
      </c>
      <c r="C8468" s="24" t="inlineStr">
        <is>
          <t>类别</t>
        </is>
      </c>
      <c r="D8468" s="24" t="inlineStr">
        <is>
          <t>020</t>
        </is>
      </c>
      <c r="E8468" s="24" t="inlineStr">
        <is>
          <t>就读地</t>
        </is>
      </c>
    </row>
    <row r="8469" ht="15.95" customHeight="1" s="170">
      <c r="B8469" s="122" t="inlineStr">
        <is>
          <t>码值：DutyType</t>
        </is>
      </c>
    </row>
    <row r="8470">
      <c r="B8470" s="24" t="inlineStr">
        <is>
          <t>DutyType</t>
        </is>
      </c>
      <c r="C8470" s="24" t="inlineStr">
        <is>
          <t>责任类别</t>
        </is>
      </c>
      <c r="D8470" s="24" t="inlineStr">
        <is>
          <t>01</t>
        </is>
      </c>
      <c r="E8470" s="24" t="inlineStr">
        <is>
          <t>不良资产形成责任</t>
        </is>
      </c>
    </row>
    <row r="8471">
      <c r="B8471" s="24" t="inlineStr">
        <is>
          <t>DutyType</t>
        </is>
      </c>
      <c r="C8471" s="24" t="inlineStr">
        <is>
          <t>责任类别</t>
        </is>
      </c>
      <c r="D8471" s="24" t="inlineStr">
        <is>
          <t>02</t>
        </is>
      </c>
      <c r="E8471" s="24" t="inlineStr">
        <is>
          <t>保全管理责任</t>
        </is>
      </c>
    </row>
    <row r="8472" ht="15.95" customHeight="1" s="170">
      <c r="B8472" s="122" t="inlineStr">
        <is>
          <t>码值：土地储备周边环境</t>
        </is>
      </c>
    </row>
    <row r="8473">
      <c r="B8473" s="24" t="inlineStr">
        <is>
          <t>土地储备周边环境</t>
        </is>
      </c>
      <c r="C8473" s="24" t="inlineStr">
        <is>
          <t>土地储备周边环境</t>
        </is>
      </c>
      <c r="D8473" s="24" t="inlineStr">
        <is>
          <t>1</t>
        </is>
      </c>
      <c r="E8473" s="24" t="inlineStr">
        <is>
          <t>好</t>
        </is>
      </c>
    </row>
    <row r="8474">
      <c r="B8474" s="24" t="inlineStr">
        <is>
          <t>土地储备周边环境</t>
        </is>
      </c>
      <c r="C8474" s="24" t="inlineStr">
        <is>
          <t>土地储备周边环境</t>
        </is>
      </c>
      <c r="D8474" s="24" t="inlineStr">
        <is>
          <t>2</t>
        </is>
      </c>
      <c r="E8474" s="24" t="inlineStr">
        <is>
          <t>一般</t>
        </is>
      </c>
    </row>
    <row r="8475">
      <c r="B8475" s="24" t="inlineStr">
        <is>
          <t>土地储备周边环境</t>
        </is>
      </c>
      <c r="C8475" s="24" t="inlineStr">
        <is>
          <t>土地储备周边环境</t>
        </is>
      </c>
      <c r="D8475" s="24" t="inlineStr">
        <is>
          <t>3</t>
        </is>
      </c>
      <c r="E8475" s="24" t="inlineStr">
        <is>
          <t>较差</t>
        </is>
      </c>
    </row>
    <row r="8476" ht="15.95" customHeight="1" s="170">
      <c r="B8476" s="122" t="inlineStr">
        <is>
          <t>码值：EntAssetsType</t>
        </is>
      </c>
    </row>
    <row r="8477">
      <c r="B8477" s="24" t="inlineStr">
        <is>
          <t>EntAssetsType</t>
        </is>
      </c>
      <c r="C8477" s="24" t="inlineStr">
        <is>
          <t>公司客户资产类型</t>
        </is>
      </c>
      <c r="D8477" s="24" t="inlineStr">
        <is>
          <t>01</t>
        </is>
      </c>
      <c r="E8477" s="24" t="inlineStr">
        <is>
          <t>固定资产</t>
        </is>
      </c>
    </row>
    <row r="8478">
      <c r="B8478" s="24" t="inlineStr">
        <is>
          <t>EntAssetsType</t>
        </is>
      </c>
      <c r="C8478" s="24" t="inlineStr">
        <is>
          <t>公司客户资产类型</t>
        </is>
      </c>
      <c r="D8478" s="24" t="inlineStr">
        <is>
          <t>02</t>
        </is>
      </c>
      <c r="E8478" s="24" t="inlineStr">
        <is>
          <t>其它资产</t>
        </is>
      </c>
    </row>
    <row r="8479" ht="15.95" customHeight="1" s="170">
      <c r="B8479" s="122" t="inlineStr">
        <is>
          <t>码值：SpecIndustryType</t>
        </is>
      </c>
    </row>
    <row r="8480">
      <c r="B8480" s="24" t="inlineStr">
        <is>
          <t>SpecIndustryType</t>
        </is>
      </c>
      <c r="C8480" s="24" t="inlineStr">
        <is>
          <t>特定行业分类</t>
        </is>
      </c>
      <c r="D8480" s="24" t="inlineStr">
        <is>
          <t>01</t>
        </is>
      </c>
      <c r="E8480" s="24" t="inlineStr">
        <is>
          <t>非经营性基础设施贷款</t>
        </is>
      </c>
    </row>
    <row r="8481">
      <c r="B8481" s="24" t="inlineStr">
        <is>
          <t>SpecIndustryType</t>
        </is>
      </c>
      <c r="C8481" s="24" t="inlineStr">
        <is>
          <t>特定行业分类</t>
        </is>
      </c>
      <c r="D8481" s="24" t="inlineStr">
        <is>
          <t>02</t>
        </is>
      </c>
      <c r="E8481" s="24" t="inlineStr">
        <is>
          <t>经营性基础设施贷款</t>
        </is>
      </c>
    </row>
    <row r="8482">
      <c r="B8482" s="24" t="inlineStr">
        <is>
          <t>SpecIndustryType</t>
        </is>
      </c>
      <c r="C8482" s="24" t="inlineStr">
        <is>
          <t>特定行业分类</t>
        </is>
      </c>
      <c r="D8482" s="24" t="inlineStr">
        <is>
          <t>03</t>
        </is>
      </c>
      <c r="E8482" s="24" t="inlineStr">
        <is>
          <t>开发区贷款</t>
        </is>
      </c>
    </row>
    <row r="8483">
      <c r="B8483" s="24" t="inlineStr">
        <is>
          <t>SpecIndustryType</t>
        </is>
      </c>
      <c r="C8483" s="24" t="inlineStr">
        <is>
          <t>特定行业分类</t>
        </is>
      </c>
      <c r="D8483" s="24" t="inlineStr">
        <is>
          <t>04</t>
        </is>
      </c>
      <c r="E8483" s="24" t="inlineStr">
        <is>
          <t>其他</t>
        </is>
      </c>
    </row>
    <row r="8484" ht="15.95" customHeight="1" s="170">
      <c r="B8484" s="122" t="inlineStr">
        <is>
          <t>码值：SoilUtility</t>
        </is>
      </c>
    </row>
    <row r="8485">
      <c r="B8485" s="24" t="inlineStr">
        <is>
          <t>SoilUtility</t>
        </is>
      </c>
      <c r="C8485" s="24" t="inlineStr">
        <is>
          <t>土地用途</t>
        </is>
      </c>
      <c r="D8485" s="24" t="inlineStr">
        <is>
          <t>01</t>
        </is>
      </c>
      <c r="E8485" s="24" t="inlineStr">
        <is>
          <t>农用</t>
        </is>
      </c>
    </row>
    <row r="8486">
      <c r="B8486" s="24" t="inlineStr">
        <is>
          <t>SoilUtility</t>
        </is>
      </c>
      <c r="C8486" s="24" t="inlineStr">
        <is>
          <t>土地用途</t>
        </is>
      </c>
      <c r="D8486" s="24" t="inlineStr">
        <is>
          <t>02</t>
        </is>
      </c>
      <c r="E8486" s="24" t="inlineStr">
        <is>
          <t>工业</t>
        </is>
      </c>
    </row>
    <row r="8487">
      <c r="B8487" s="24" t="inlineStr">
        <is>
          <t>SoilUtility</t>
        </is>
      </c>
      <c r="C8487" s="24" t="inlineStr">
        <is>
          <t>土地用途</t>
        </is>
      </c>
      <c r="D8487" s="24" t="inlineStr">
        <is>
          <t>03</t>
        </is>
      </c>
      <c r="E8487" s="24" t="inlineStr">
        <is>
          <t>居住</t>
        </is>
      </c>
    </row>
    <row r="8488">
      <c r="B8488" s="24" t="inlineStr">
        <is>
          <t>SoilUtility</t>
        </is>
      </c>
      <c r="C8488" s="24" t="inlineStr">
        <is>
          <t>土地用途</t>
        </is>
      </c>
      <c r="D8488" s="24" t="inlineStr">
        <is>
          <t>04</t>
        </is>
      </c>
      <c r="E8488" s="24" t="inlineStr">
        <is>
          <t>商业旅游娱乐</t>
        </is>
      </c>
    </row>
    <row r="8489">
      <c r="B8489" s="24" t="inlineStr">
        <is>
          <t>SoilUtility</t>
        </is>
      </c>
      <c r="C8489" s="24" t="inlineStr">
        <is>
          <t>土地用途</t>
        </is>
      </c>
      <c r="D8489" s="24" t="inlineStr">
        <is>
          <t>05</t>
        </is>
      </c>
      <c r="E8489" s="24" t="inlineStr">
        <is>
          <t>教科文</t>
        </is>
      </c>
    </row>
    <row r="8490">
      <c r="B8490" s="24" t="inlineStr">
        <is>
          <t>SoilUtility</t>
        </is>
      </c>
      <c r="C8490" s="24" t="inlineStr">
        <is>
          <t>土地用途</t>
        </is>
      </c>
      <c r="D8490" s="24" t="inlineStr">
        <is>
          <t>06</t>
        </is>
      </c>
      <c r="E8490" s="24" t="inlineStr">
        <is>
          <t>综合</t>
        </is>
      </c>
    </row>
    <row r="8491">
      <c r="B8491" s="24" t="inlineStr">
        <is>
          <t>SoilUtility</t>
        </is>
      </c>
      <c r="C8491" s="24" t="inlineStr">
        <is>
          <t>土地用途</t>
        </is>
      </c>
      <c r="D8491" s="24" t="inlineStr">
        <is>
          <t>07</t>
        </is>
      </c>
      <c r="E8491" s="24" t="inlineStr">
        <is>
          <t>其他</t>
        </is>
      </c>
    </row>
    <row r="8492" ht="15.95" customHeight="1" s="170">
      <c r="B8492" s="122" t="inlineStr">
        <is>
          <t>码值：LostReason2</t>
        </is>
      </c>
    </row>
    <row r="8493">
      <c r="B8493" s="24" t="inlineStr">
        <is>
          <t>LostReason2</t>
        </is>
      </c>
      <c r="C8493" s="24" t="inlineStr">
        <is>
          <t>贷款损失原因</t>
        </is>
      </c>
      <c r="D8493" s="24" t="inlineStr">
        <is>
          <t>1</t>
        </is>
      </c>
      <c r="E8493" s="24" t="inlineStr">
        <is>
          <t>借款人和担保人经依法宣告破产，进行清偿后，未能还清的贷款</t>
        </is>
      </c>
    </row>
    <row r="8494">
      <c r="B8494" s="24" t="inlineStr">
        <is>
          <t>LostReason2</t>
        </is>
      </c>
      <c r="C8494" s="24" t="inlineStr">
        <is>
          <t>贷款损失原因</t>
        </is>
      </c>
      <c r="D8494" s="24" t="inlineStr">
        <is>
          <t>2</t>
        </is>
      </c>
      <c r="E8494" s="24" t="inlineStr">
        <is>
          <t>借款人死亡，或者依照《中华人民共和国民法通则》的规定，宣告失踪或宣告死亡，以其财产或遗产清偿后，未能还清的贷款</t>
        </is>
      </c>
    </row>
    <row r="8495">
      <c r="B8495" s="24" t="inlineStr">
        <is>
          <t>LostReason2</t>
        </is>
      </c>
      <c r="C8495" s="24" t="inlineStr">
        <is>
          <t>贷款损失原因</t>
        </is>
      </c>
      <c r="D8495" s="24" t="inlineStr">
        <is>
          <t>3</t>
        </is>
      </c>
      <c r="E8495" s="24" t="inlineStr">
        <is>
          <t>借款人遭受重大自然灾害或意外事故，损失巨大且不能获得保险补偿，确实无力偿还的部分或全部贷款，或者以保险赔偿清偿后，未能还清的贷款</t>
        </is>
      </c>
    </row>
    <row r="8496">
      <c r="B8496" s="24" t="inlineStr">
        <is>
          <t>LostReason2</t>
        </is>
      </c>
      <c r="C8496" s="24" t="inlineStr">
        <is>
          <t>贷款损失原因</t>
        </is>
      </c>
      <c r="D8496" s="24" t="inlineStr">
        <is>
          <t>4</t>
        </is>
      </c>
      <c r="E8496" s="24" t="inlineStr">
        <is>
          <t>经国务院专案批准核销的逾期贷款</t>
        </is>
      </c>
    </row>
    <row r="8497">
      <c r="B8497" s="24" t="inlineStr">
        <is>
          <t>LostReason2</t>
        </is>
      </c>
      <c r="C8497" s="24" t="inlineStr">
        <is>
          <t>贷款损失原因</t>
        </is>
      </c>
      <c r="D8497" s="24" t="inlineStr">
        <is>
          <t>5</t>
        </is>
      </c>
      <c r="E8497" s="24" t="inlineStr">
        <is>
          <t>借款人被依法撤销、关闭、解散，并终止法人资格，经确认无法还清的贷款</t>
        </is>
      </c>
    </row>
    <row r="8498">
      <c r="B8498" s="24" t="inlineStr">
        <is>
          <t>LostReason2</t>
        </is>
      </c>
      <c r="C8498" s="24" t="inlineStr">
        <is>
          <t>贷款损失原因</t>
        </is>
      </c>
      <c r="D8498" s="24" t="inlineStr">
        <is>
          <t>6</t>
        </is>
      </c>
      <c r="E8498" s="24" t="inlineStr">
        <is>
          <t>借款人虽未依法终止法人资格，但生产经营活动已经停止，且借款人已名存实亡，复工无望，经确认无法还清的贷款</t>
        </is>
      </c>
    </row>
    <row r="8499">
      <c r="B8499" s="24" t="inlineStr">
        <is>
          <t>LostReason2</t>
        </is>
      </c>
      <c r="C8499" s="24" t="inlineStr">
        <is>
          <t>贷款损失原因</t>
        </is>
      </c>
      <c r="D8499" s="24" t="inlineStr">
        <is>
          <t>7</t>
        </is>
      </c>
      <c r="E8499" s="24" t="inlineStr">
        <is>
          <t>生产单位的经营活动虽未停止，但产品毫无市场，企业资不抵债，亏损严重并濒临倒闭，且政府不予救助，经确认无法还清的贷款</t>
        </is>
      </c>
    </row>
    <row r="8500" ht="15.95" customHeight="1" s="170">
      <c r="B8500" s="122" t="inlineStr">
        <is>
          <t>码值：NotTransferStatus</t>
        </is>
      </c>
    </row>
    <row r="8501">
      <c r="B8501" s="24" t="inlineStr">
        <is>
          <t>NotTransferStatus</t>
        </is>
      </c>
      <c r="C8501" s="24" t="inlineStr">
        <is>
          <t>未过户状态</t>
        </is>
      </c>
      <c r="D8501" s="24" t="inlineStr">
        <is>
          <t>01</t>
        </is>
      </c>
      <c r="E8501" s="24" t="inlineStr">
        <is>
          <t>抵押登记</t>
        </is>
      </c>
    </row>
    <row r="8502">
      <c r="B8502" s="24" t="inlineStr">
        <is>
          <t>NotTransferStatus</t>
        </is>
      </c>
      <c r="C8502" s="24" t="inlineStr">
        <is>
          <t>未过户状态</t>
        </is>
      </c>
      <c r="D8502" s="24" t="inlineStr">
        <is>
          <t>02</t>
        </is>
      </c>
      <c r="E8502" s="24" t="inlineStr">
        <is>
          <t>查封</t>
        </is>
      </c>
    </row>
    <row r="8503">
      <c r="B8503" s="24" t="inlineStr">
        <is>
          <t>NotTransferStatus</t>
        </is>
      </c>
      <c r="C8503" s="24" t="inlineStr">
        <is>
          <t>未过户状态</t>
        </is>
      </c>
      <c r="D8503" s="24" t="inlineStr">
        <is>
          <t>03</t>
        </is>
      </c>
      <c r="E8503" s="24" t="inlineStr">
        <is>
          <t>其他</t>
        </is>
      </c>
    </row>
    <row r="8504" ht="15.95" customHeight="1" s="170">
      <c r="B8504" s="122" t="inlineStr">
        <is>
          <t>码值：HourseSort</t>
        </is>
      </c>
    </row>
    <row r="8505">
      <c r="B8505" s="24" t="inlineStr">
        <is>
          <t>HourseSort</t>
        </is>
      </c>
      <c r="C8505" s="24" t="inlineStr">
        <is>
          <t>房屋类别</t>
        </is>
      </c>
      <c r="D8505" s="24" t="inlineStr">
        <is>
          <t>01</t>
        </is>
      </c>
      <c r="E8505" s="24" t="inlineStr">
        <is>
          <t>住宅</t>
        </is>
      </c>
    </row>
    <row r="8506">
      <c r="B8506" s="24" t="inlineStr">
        <is>
          <t>HourseSort</t>
        </is>
      </c>
      <c r="C8506" s="24" t="inlineStr">
        <is>
          <t>房屋类别</t>
        </is>
      </c>
      <c r="D8506" s="24" t="inlineStr">
        <is>
          <t>02</t>
        </is>
      </c>
      <c r="E8506" s="24" t="inlineStr">
        <is>
          <t>写字楼</t>
        </is>
      </c>
    </row>
    <row r="8507">
      <c r="B8507" s="24" t="inlineStr">
        <is>
          <t>HourseSort</t>
        </is>
      </c>
      <c r="C8507" s="24" t="inlineStr">
        <is>
          <t>房屋类别</t>
        </is>
      </c>
      <c r="D8507" s="24" t="inlineStr">
        <is>
          <t>03</t>
        </is>
      </c>
      <c r="E8507" s="24" t="inlineStr">
        <is>
          <t>商铺</t>
        </is>
      </c>
    </row>
    <row r="8508">
      <c r="B8508" s="24" t="inlineStr">
        <is>
          <t>HourseSort</t>
        </is>
      </c>
      <c r="C8508" s="24" t="inlineStr">
        <is>
          <t>房屋类别</t>
        </is>
      </c>
      <c r="D8508" s="24" t="inlineStr">
        <is>
          <t>04</t>
        </is>
      </c>
      <c r="E8508" s="24" t="inlineStr">
        <is>
          <t>商住两用</t>
        </is>
      </c>
    </row>
    <row r="8509" ht="15.95" customHeight="1" s="170">
      <c r="B8509" s="122" t="inlineStr">
        <is>
          <t>码值：ClrTypeStatus</t>
        </is>
      </c>
    </row>
    <row r="8510">
      <c r="B8510" s="24" t="inlineStr">
        <is>
          <t>ClrTypeStatus</t>
        </is>
      </c>
      <c r="C8510" s="24" t="inlineStr">
        <is>
          <t xml:space="preserve">押品类型状态
</t>
        </is>
      </c>
      <c r="D8510" s="24" t="inlineStr">
        <is>
          <t>0</t>
        </is>
      </c>
      <c r="E8510" s="24" t="inlineStr">
        <is>
          <t>待启用</t>
        </is>
      </c>
    </row>
    <row r="8511">
      <c r="B8511" s="24" t="inlineStr">
        <is>
          <t>ClrTypeStatus</t>
        </is>
      </c>
      <c r="C8511" s="24" t="inlineStr">
        <is>
          <t xml:space="preserve">押品类型状态
</t>
        </is>
      </c>
      <c r="D8511" s="24" t="inlineStr">
        <is>
          <t>1</t>
        </is>
      </c>
      <c r="E8511" s="24" t="inlineStr">
        <is>
          <t>启用</t>
        </is>
      </c>
    </row>
    <row r="8512">
      <c r="B8512" s="24" t="inlineStr">
        <is>
          <t>ClrTypeStatus</t>
        </is>
      </c>
      <c r="C8512" s="24" t="inlineStr">
        <is>
          <t xml:space="preserve">押品类型状态
</t>
        </is>
      </c>
      <c r="D8512" s="24" t="inlineStr">
        <is>
          <t>2</t>
        </is>
      </c>
      <c r="E8512" s="24" t="inlineStr">
        <is>
          <t>禁用</t>
        </is>
      </c>
    </row>
    <row r="8513" ht="15.95" customHeight="1" s="170">
      <c r="B8513" s="122" t="inlineStr">
        <is>
          <t>码值：CustomerClear</t>
        </is>
      </c>
    </row>
    <row r="8514">
      <c r="B8514" s="24" t="inlineStr">
        <is>
          <t>CustomerClear</t>
        </is>
      </c>
      <c r="C8514" s="24" t="inlineStr">
        <is>
          <t>客户管理工具</t>
        </is>
      </c>
      <c r="D8514" s="24" t="inlineStr">
        <is>
          <t>0010</t>
        </is>
      </c>
      <c r="E8514" s="24" t="inlineStr">
        <is>
          <t>客户合并</t>
        </is>
      </c>
    </row>
    <row r="8515">
      <c r="B8515" s="24" t="inlineStr">
        <is>
          <t>CustomerClear</t>
        </is>
      </c>
      <c r="C8515" s="24" t="inlineStr">
        <is>
          <t>客户管理工具</t>
        </is>
      </c>
      <c r="D8515" s="24" t="inlineStr">
        <is>
          <t>0020</t>
        </is>
      </c>
      <c r="E8515" s="24" t="inlineStr">
        <is>
          <t>无效客户清理</t>
        </is>
      </c>
    </row>
    <row r="8516">
      <c r="B8516" s="24" t="inlineStr">
        <is>
          <t>CustomerClear</t>
        </is>
      </c>
      <c r="C8516" s="24" t="inlineStr">
        <is>
          <t>客户管理工具</t>
        </is>
      </c>
      <c r="D8516" s="24" t="inlineStr">
        <is>
          <t>0030</t>
        </is>
      </c>
      <c r="E8516" s="24" t="inlineStr">
        <is>
          <t>客户关键信息修改</t>
        </is>
      </c>
    </row>
    <row r="8517">
      <c r="B8517" s="24" t="inlineStr">
        <is>
          <t>CustomerClear</t>
        </is>
      </c>
      <c r="C8517" s="24" t="inlineStr">
        <is>
          <t>客户管理工具</t>
        </is>
      </c>
      <c r="D8517" s="24" t="inlineStr">
        <is>
          <t>0040</t>
        </is>
      </c>
      <c r="E8517" s="24" t="inlineStr">
        <is>
          <t>客户权限转移</t>
        </is>
      </c>
    </row>
    <row r="8518">
      <c r="B8518" s="24" t="inlineStr">
        <is>
          <t>CustomerClear</t>
        </is>
      </c>
      <c r="C8518" s="24" t="inlineStr">
        <is>
          <t>客户管理工具</t>
        </is>
      </c>
      <c r="D8518" s="24" t="inlineStr">
        <is>
          <t>00400010</t>
        </is>
      </c>
      <c r="E8518" s="24" t="inlineStr">
        <is>
          <t>客户转让申请</t>
        </is>
      </c>
    </row>
    <row r="8519">
      <c r="B8519" s="24" t="inlineStr">
        <is>
          <t>CustomerClear</t>
        </is>
      </c>
      <c r="C8519" s="24" t="inlineStr">
        <is>
          <t>客户管理工具</t>
        </is>
      </c>
      <c r="D8519" s="24" t="inlineStr">
        <is>
          <t>004000100010</t>
        </is>
      </c>
      <c r="E8519" s="24" t="inlineStr">
        <is>
          <t>客户转出申请</t>
        </is>
      </c>
    </row>
    <row r="8520">
      <c r="B8520" s="24" t="inlineStr">
        <is>
          <t>CustomerClear</t>
        </is>
      </c>
      <c r="C8520" s="24" t="inlineStr">
        <is>
          <t>客户管理工具</t>
        </is>
      </c>
      <c r="D8520" s="24" t="inlineStr">
        <is>
          <t>004000100020</t>
        </is>
      </c>
      <c r="E8520" s="24" t="inlineStr">
        <is>
          <t>客户转入申请</t>
        </is>
      </c>
    </row>
    <row r="8521">
      <c r="B8521" s="24" t="inlineStr">
        <is>
          <t>CustomerClear</t>
        </is>
      </c>
      <c r="C8521" s="24" t="inlineStr">
        <is>
          <t>客户管理工具</t>
        </is>
      </c>
      <c r="D8521" s="24" t="inlineStr">
        <is>
          <t>004000100030</t>
        </is>
      </c>
      <c r="E8521" s="24" t="inlineStr">
        <is>
          <t>客户转移记录</t>
        </is>
      </c>
    </row>
    <row r="8522">
      <c r="B8522" s="24" t="inlineStr">
        <is>
          <t>CustomerClear</t>
        </is>
      </c>
      <c r="C8522" s="24" t="inlineStr">
        <is>
          <t>客户管理工具</t>
        </is>
      </c>
      <c r="D8522" s="24" t="inlineStr">
        <is>
          <t>00400020</t>
        </is>
      </c>
      <c r="E8522" s="24" t="inlineStr">
        <is>
          <t>客户转让确认</t>
        </is>
      </c>
    </row>
    <row r="8523">
      <c r="B8523" s="24" t="inlineStr">
        <is>
          <t>CustomerClear</t>
        </is>
      </c>
      <c r="C8523" s="24" t="inlineStr">
        <is>
          <t>客户管理工具</t>
        </is>
      </c>
      <c r="D8523" s="24" t="inlineStr">
        <is>
          <t>004000200010</t>
        </is>
      </c>
      <c r="E8523" s="24" t="inlineStr">
        <is>
          <t>待确认请求</t>
        </is>
      </c>
    </row>
    <row r="8524">
      <c r="B8524" s="24" t="inlineStr">
        <is>
          <t>CustomerClear</t>
        </is>
      </c>
      <c r="C8524" s="24" t="inlineStr">
        <is>
          <t>客户管理工具</t>
        </is>
      </c>
      <c r="D8524" s="24" t="inlineStr">
        <is>
          <t>004000200020</t>
        </is>
      </c>
      <c r="E8524" s="24" t="inlineStr">
        <is>
          <t>已确认请求</t>
        </is>
      </c>
    </row>
    <row r="8525">
      <c r="B8525" s="24" t="inlineStr">
        <is>
          <t>CustomerClear</t>
        </is>
      </c>
      <c r="C8525" s="24" t="inlineStr">
        <is>
          <t>客户管理工具</t>
        </is>
      </c>
      <c r="D8525" s="24" t="inlineStr">
        <is>
          <t>004000200030</t>
        </is>
      </c>
      <c r="E8525" s="24" t="inlineStr">
        <is>
          <t>已拒绝请求</t>
        </is>
      </c>
    </row>
    <row r="8526" ht="15.95" customHeight="1" s="170">
      <c r="B8526" s="122" t="inlineStr">
        <is>
          <t>码值：建设合同类型</t>
        </is>
      </c>
    </row>
    <row r="8527">
      <c r="B8527" s="24" t="inlineStr">
        <is>
          <t>建设合同类型</t>
        </is>
      </c>
      <c r="C8527" s="24" t="inlineStr">
        <is>
          <t>建设合同类型</t>
        </is>
      </c>
      <c r="D8527" s="24" t="inlineStr">
        <is>
          <t>01</t>
        </is>
      </c>
      <c r="E8527" s="24" t="inlineStr">
        <is>
          <t>价格和日期都固定的总承包工程、采购及建设合同</t>
        </is>
      </c>
    </row>
    <row r="8528">
      <c r="B8528" s="24" t="inlineStr">
        <is>
          <t>建设合同类型</t>
        </is>
      </c>
      <c r="C8528" s="24" t="inlineStr">
        <is>
          <t>建设合同类型</t>
        </is>
      </c>
      <c r="D8528" s="24" t="inlineStr">
        <is>
          <t>02</t>
        </is>
      </c>
      <c r="E8528" s="24" t="inlineStr">
        <is>
          <t>价格和日期都固定的承包建设合同，有一家或一家以上的承包商</t>
        </is>
      </c>
    </row>
    <row r="8529">
      <c r="B8529" s="24" t="inlineStr">
        <is>
          <t>建设合同类型</t>
        </is>
      </c>
      <c r="C8529" s="24" t="inlineStr">
        <is>
          <t>建设合同类型</t>
        </is>
      </c>
      <c r="D8529" s="24" t="inlineStr">
        <is>
          <t>03</t>
        </is>
      </c>
      <c r="E8529" s="24" t="inlineStr">
        <is>
          <t>缺乏价格固定的总承包合同或合同不完整和/或存在与各承包商多方联络的问题</t>
        </is>
      </c>
    </row>
    <row r="8530" ht="15.95" customHeight="1" s="170">
      <c r="B8530" s="122" t="inlineStr">
        <is>
          <t>码值：财政政策</t>
        </is>
      </c>
    </row>
    <row r="8531">
      <c r="B8531" s="24" t="inlineStr">
        <is>
          <t>财政政策</t>
        </is>
      </c>
      <c r="C8531" s="24" t="inlineStr">
        <is>
          <t>财政政策</t>
        </is>
      </c>
      <c r="D8531" s="24" t="inlineStr">
        <is>
          <t>1</t>
        </is>
      </c>
      <c r="E8531" s="24" t="inlineStr">
        <is>
          <t>鼓励发展</t>
        </is>
      </c>
    </row>
    <row r="8532">
      <c r="B8532" s="24" t="inlineStr">
        <is>
          <t>财政政策</t>
        </is>
      </c>
      <c r="C8532" s="24" t="inlineStr">
        <is>
          <t>财政政策</t>
        </is>
      </c>
      <c r="D8532" s="24" t="inlineStr">
        <is>
          <t>2</t>
        </is>
      </c>
      <c r="E8532" s="24" t="inlineStr">
        <is>
          <t>一般态度</t>
        </is>
      </c>
    </row>
    <row r="8533">
      <c r="B8533" s="24" t="inlineStr">
        <is>
          <t>财政政策</t>
        </is>
      </c>
      <c r="C8533" s="24" t="inlineStr">
        <is>
          <t>财政政策</t>
        </is>
      </c>
      <c r="D8533" s="24" t="inlineStr">
        <is>
          <t>3</t>
        </is>
      </c>
      <c r="E8533" s="24" t="inlineStr">
        <is>
          <t>限制发展</t>
        </is>
      </c>
    </row>
    <row r="8534" ht="15.95" customHeight="1" s="170">
      <c r="B8534" s="122" t="inlineStr">
        <is>
          <t>码值：BillUsageType</t>
        </is>
      </c>
    </row>
    <row r="8535">
      <c r="B8535" s="24" t="inlineStr">
        <is>
          <t>BillUsageType</t>
        </is>
      </c>
      <c r="C8535" s="24" t="inlineStr">
        <is>
          <t>票据用途</t>
        </is>
      </c>
      <c r="D8535" s="24" t="inlineStr">
        <is>
          <t>01</t>
        </is>
      </c>
      <c r="E8535" s="24" t="inlineStr">
        <is>
          <t>转账</t>
        </is>
      </c>
    </row>
    <row r="8536">
      <c r="B8536" s="24" t="inlineStr">
        <is>
          <t>BillUsageType</t>
        </is>
      </c>
      <c r="C8536" s="24" t="inlineStr">
        <is>
          <t>票据用途</t>
        </is>
      </c>
      <c r="D8536" s="24" t="inlineStr">
        <is>
          <t>02</t>
        </is>
      </c>
      <c r="E8536" s="24" t="inlineStr">
        <is>
          <t>现金</t>
        </is>
      </c>
    </row>
    <row r="8537" ht="15.95" customHeight="1" s="170">
      <c r="B8537" s="122" t="inlineStr">
        <is>
          <t>码值：AgencyType1</t>
        </is>
      </c>
    </row>
    <row r="8538">
      <c r="B8538" s="24" t="inlineStr">
        <is>
          <t>AgencyType1</t>
        </is>
      </c>
      <c r="C8538" s="24" t="inlineStr">
        <is>
          <t>代理类别</t>
        </is>
      </c>
      <c r="D8538" s="24" t="inlineStr">
        <is>
          <t>01</t>
        </is>
      </c>
      <c r="E8538" s="24" t="inlineStr">
        <is>
          <t>法院</t>
        </is>
      </c>
    </row>
    <row r="8539">
      <c r="B8539" s="24" t="inlineStr">
        <is>
          <t>AgencyType1</t>
        </is>
      </c>
      <c r="C8539" s="24" t="inlineStr">
        <is>
          <t>代理类别</t>
        </is>
      </c>
      <c r="D8539" s="24" t="inlineStr">
        <is>
          <t>02</t>
        </is>
      </c>
      <c r="E8539" s="24" t="inlineStr">
        <is>
          <t>代理机构</t>
        </is>
      </c>
    </row>
    <row r="8540" ht="15.95" customHeight="1" s="170">
      <c r="B8540" s="122" t="inlineStr">
        <is>
          <t>码值：ManagementAbility</t>
        </is>
      </c>
    </row>
    <row r="8541">
      <c r="B8541" s="24" t="inlineStr">
        <is>
          <t>ManagementAbility</t>
        </is>
      </c>
      <c r="C8541" s="24" t="inlineStr">
        <is>
          <t>信用等级评估统一导入</t>
        </is>
      </c>
      <c r="D8541" s="24" t="inlineStr">
        <is>
          <t>01</t>
        </is>
      </c>
      <c r="E8541" s="24" t="inlineStr">
        <is>
          <t>强</t>
        </is>
      </c>
    </row>
    <row r="8542">
      <c r="B8542" s="24" t="inlineStr">
        <is>
          <t>ManagementAbility</t>
        </is>
      </c>
      <c r="C8542" s="24" t="inlineStr">
        <is>
          <t>信用等级评估统一导入</t>
        </is>
      </c>
      <c r="D8542" s="24" t="inlineStr">
        <is>
          <t>02</t>
        </is>
      </c>
      <c r="E8542" s="24" t="inlineStr">
        <is>
          <t>一般</t>
        </is>
      </c>
    </row>
    <row r="8543">
      <c r="B8543" s="24" t="inlineStr">
        <is>
          <t>ManagementAbility</t>
        </is>
      </c>
      <c r="C8543" s="24" t="inlineStr">
        <is>
          <t>信用等级评估统一导入</t>
        </is>
      </c>
      <c r="D8543" s="24" t="inlineStr">
        <is>
          <t>03</t>
        </is>
      </c>
      <c r="E8543" s="24" t="inlineStr">
        <is>
          <t>弱</t>
        </is>
      </c>
    </row>
    <row r="8544" ht="15.95" customHeight="1" s="170">
      <c r="B8544" s="122" t="inlineStr">
        <is>
          <t>码值：ParamType</t>
        </is>
      </c>
    </row>
    <row r="8545">
      <c r="B8545" s="24" t="inlineStr">
        <is>
          <t>ParamType</t>
        </is>
      </c>
      <c r="C8545" s="24" t="inlineStr">
        <is>
          <t>参数获取方式</t>
        </is>
      </c>
      <c r="D8545" s="24" t="inlineStr">
        <is>
          <t>AUTO</t>
        </is>
      </c>
      <c r="E8545" s="24" t="inlineStr">
        <is>
          <t>自动</t>
        </is>
      </c>
    </row>
    <row r="8546">
      <c r="B8546" s="24" t="inlineStr">
        <is>
          <t>ParamType</t>
        </is>
      </c>
      <c r="C8546" s="24" t="inlineStr">
        <is>
          <t>参数获取方式</t>
        </is>
      </c>
      <c r="D8546" s="24" t="inlineStr">
        <is>
          <t>MANUAL</t>
        </is>
      </c>
      <c r="E8546" s="24" t="inlineStr">
        <is>
          <t>手动</t>
        </is>
      </c>
    </row>
    <row r="8547" ht="15.95" customHeight="1" s="170">
      <c r="B8547" s="122" t="inlineStr">
        <is>
          <t>码值：PaymentApplyMain</t>
        </is>
      </c>
    </row>
    <row r="8548">
      <c r="B8548" s="24" t="inlineStr">
        <is>
          <t>PaymentApplyMain</t>
        </is>
      </c>
      <c r="C8548" s="24" t="inlineStr">
        <is>
          <t>支付申请主树图</t>
        </is>
      </c>
      <c r="D8548" s="24" t="inlineStr">
        <is>
          <t>1010</t>
        </is>
      </c>
      <c r="E8548" s="24" t="inlineStr">
        <is>
          <t>待处理支付申请</t>
        </is>
      </c>
    </row>
    <row r="8549">
      <c r="B8549" s="24" t="inlineStr">
        <is>
          <t>PaymentApplyMain</t>
        </is>
      </c>
      <c r="C8549" s="24" t="inlineStr">
        <is>
          <t>支付申请主树图</t>
        </is>
      </c>
      <c r="D8549" s="24" t="inlineStr">
        <is>
          <t>1020</t>
        </is>
      </c>
      <c r="E8549" s="24" t="inlineStr">
        <is>
          <t>审查审批中支付申请</t>
        </is>
      </c>
    </row>
    <row r="8550">
      <c r="B8550" s="24" t="inlineStr">
        <is>
          <t>PaymentApplyMain</t>
        </is>
      </c>
      <c r="C8550" s="24" t="inlineStr">
        <is>
          <t>支付申请主树图</t>
        </is>
      </c>
      <c r="D8550" s="24" t="inlineStr">
        <is>
          <t>1030</t>
        </is>
      </c>
      <c r="E8550" s="24" t="inlineStr">
        <is>
          <t>退回补充资料支付申请</t>
        </is>
      </c>
    </row>
    <row r="8551">
      <c r="B8551" s="24" t="inlineStr">
        <is>
          <t>PaymentApplyMain</t>
        </is>
      </c>
      <c r="C8551" s="24" t="inlineStr">
        <is>
          <t>支付申请主树图</t>
        </is>
      </c>
      <c r="D8551" s="24" t="inlineStr">
        <is>
          <t>1040</t>
        </is>
      </c>
      <c r="E8551" s="24" t="inlineStr">
        <is>
          <t>审批通过支付申请</t>
        </is>
      </c>
    </row>
    <row r="8552">
      <c r="B8552" s="24" t="inlineStr">
        <is>
          <t>PaymentApplyMain</t>
        </is>
      </c>
      <c r="C8552" s="24" t="inlineStr">
        <is>
          <t>支付申请主树图</t>
        </is>
      </c>
      <c r="D8552" s="24" t="inlineStr">
        <is>
          <t>1050</t>
        </is>
      </c>
      <c r="E8552" s="24" t="inlineStr">
        <is>
          <t>被否决支付申请</t>
        </is>
      </c>
    </row>
    <row r="8553">
      <c r="B8553" s="24" t="inlineStr">
        <is>
          <t>PaymentApplyMain</t>
        </is>
      </c>
      <c r="C8553" s="24" t="inlineStr">
        <is>
          <t>支付申请主树图</t>
        </is>
      </c>
      <c r="D8553" s="24" t="inlineStr">
        <is>
          <t>1060</t>
        </is>
      </c>
      <c r="E8553" s="24" t="inlineStr">
        <is>
          <t>已归档支付申请</t>
        </is>
      </c>
    </row>
    <row r="8554" ht="15.95" customHeight="1" s="170">
      <c r="B8554" s="122" t="inlineStr">
        <is>
          <t>码值：从业经验</t>
        </is>
      </c>
    </row>
    <row r="8555">
      <c r="B8555" s="24" t="inlineStr">
        <is>
          <t>从业经验</t>
        </is>
      </c>
      <c r="C8555" s="24" t="inlineStr">
        <is>
          <t>从业经验</t>
        </is>
      </c>
      <c r="D8555" s="24" t="inlineStr">
        <is>
          <t>01</t>
        </is>
      </c>
      <c r="E8555" s="24" t="inlineStr">
        <is>
          <t>主要领导人有过五个以上相关项目的成功领导人经验</t>
        </is>
      </c>
    </row>
    <row r="8556">
      <c r="B8556" s="24" t="inlineStr">
        <is>
          <t>从业经验</t>
        </is>
      </c>
      <c r="C8556" s="24" t="inlineStr">
        <is>
          <t>从业经验</t>
        </is>
      </c>
      <c r="D8556" s="24" t="inlineStr">
        <is>
          <t>02</t>
        </is>
      </c>
      <c r="E8556" s="24" t="inlineStr">
        <is>
          <t>主要领导人有过三个以上相关项目的成功领导人经验</t>
        </is>
      </c>
    </row>
    <row r="8557">
      <c r="B8557" s="24" t="inlineStr">
        <is>
          <t>从业经验</t>
        </is>
      </c>
      <c r="C8557" s="24" t="inlineStr">
        <is>
          <t>从业经验</t>
        </is>
      </c>
      <c r="D8557" s="24" t="inlineStr">
        <is>
          <t>03</t>
        </is>
      </c>
      <c r="E8557" s="24" t="inlineStr">
        <is>
          <t>主要领导人有过一个以上相关项目的成功领导人经验</t>
        </is>
      </c>
    </row>
    <row r="8558">
      <c r="B8558" s="24" t="inlineStr">
        <is>
          <t>从业经验</t>
        </is>
      </c>
      <c r="C8558" s="24" t="inlineStr">
        <is>
          <t>从业经验</t>
        </is>
      </c>
      <c r="D8558" s="24" t="inlineStr">
        <is>
          <t>04</t>
        </is>
      </c>
      <c r="E8558" s="24" t="inlineStr">
        <is>
          <t>主要领导人没有相关项目的成功领导人经验</t>
        </is>
      </c>
    </row>
    <row r="8559" ht="15.95" customHeight="1" s="170">
      <c r="B8559" s="122" t="inlineStr">
        <is>
          <t>码值：GroupIrregularCheckApproveMain</t>
        </is>
      </c>
    </row>
    <row r="8560">
      <c r="B8560" s="24" t="inlineStr">
        <is>
          <t>GroupIrregularCheckApproveMain</t>
        </is>
      </c>
      <c r="C8560" s="24" t="inlineStr">
        <is>
          <t>单一公司贷后定期检查审批批主树图</t>
        </is>
      </c>
      <c r="D8560" s="24" t="inlineStr">
        <is>
          <t>N</t>
        </is>
      </c>
      <c r="E8560" s="24" t="inlineStr">
        <is>
          <t>待办任务</t>
        </is>
      </c>
    </row>
    <row r="8561">
      <c r="B8561" s="24" t="inlineStr">
        <is>
          <t>GroupIrregularCheckApproveMain</t>
        </is>
      </c>
      <c r="C8561" s="24" t="inlineStr">
        <is>
          <t>单一公司贷后定期检查审批批主树图</t>
        </is>
      </c>
      <c r="D8561" s="24" t="inlineStr">
        <is>
          <t>Y</t>
        </is>
      </c>
      <c r="E8561" s="24" t="inlineStr">
        <is>
          <t>已办任务</t>
        </is>
      </c>
    </row>
    <row r="8562">
      <c r="B8562" s="24" t="inlineStr">
        <is>
          <t>GroupIrregularCheckApproveMain</t>
        </is>
      </c>
      <c r="C8562" s="24" t="inlineStr">
        <is>
          <t>单一公司贷后定期检查审批批主树图</t>
        </is>
      </c>
      <c r="D8562" s="24" t="inlineStr">
        <is>
          <t>当前工作/已完成工作</t>
        </is>
      </c>
      <c r="E8562" s="24" t="inlineStr">
        <is>
          <t>阶段名称</t>
        </is>
      </c>
    </row>
    <row r="8563" ht="15.95" customHeight="1" s="170">
      <c r="B8563" s="122" t="inlineStr">
        <is>
          <t>码值：PartnerProjChangeFMain</t>
        </is>
      </c>
    </row>
    <row r="8564">
      <c r="B8564" s="24" t="inlineStr">
        <is>
          <t>PartnerProjChangeFMain</t>
        </is>
      </c>
      <c r="C8564" s="24" t="n"/>
      <c r="D8564" s="24" t="inlineStr">
        <is>
          <t>N</t>
        </is>
      </c>
      <c r="E8564" s="24" t="inlineStr">
        <is>
          <t>当前工作</t>
        </is>
      </c>
    </row>
    <row r="8565">
      <c r="B8565" s="24" t="inlineStr">
        <is>
          <t>PartnerProjChangeFMain</t>
        </is>
      </c>
      <c r="C8565" s="24" t="n"/>
      <c r="D8565" s="24" t="inlineStr">
        <is>
          <t>Y</t>
        </is>
      </c>
      <c r="E8565" s="24" t="inlineStr">
        <is>
          <t>已完成工作</t>
        </is>
      </c>
    </row>
    <row r="8566" ht="15.95" customHeight="1" s="170">
      <c r="B8566" s="122" t="inlineStr">
        <is>
          <t>码值：债务偿还资金安排</t>
        </is>
      </c>
    </row>
    <row r="8567">
      <c r="B8567" s="24" t="inlineStr">
        <is>
          <t>债务偿还资金安排</t>
        </is>
      </c>
      <c r="C8567" s="24" t="inlineStr">
        <is>
          <t>债务偿还资金安排</t>
        </is>
      </c>
      <c r="D8567" s="24" t="inlineStr">
        <is>
          <t>01</t>
        </is>
      </c>
      <c r="E8567" s="24" t="inlineStr">
        <is>
          <t>还贷来源全部列入政府财政预算，政府财政收入充足且信誉良好</t>
        </is>
      </c>
    </row>
    <row r="8568">
      <c r="B8568" s="24" t="inlineStr">
        <is>
          <t>债务偿还资金安排</t>
        </is>
      </c>
      <c r="C8568" s="24" t="inlineStr">
        <is>
          <t>债务偿还资金安排</t>
        </is>
      </c>
      <c r="D8568" s="24" t="inlineStr">
        <is>
          <t>02</t>
        </is>
      </c>
      <c r="E8568" s="24" t="inlineStr">
        <is>
          <t xml:space="preserve">还贷来源部分列入政府财政预算，信贷资金保障程度较高 </t>
        </is>
      </c>
    </row>
    <row r="8569">
      <c r="B8569" s="24" t="inlineStr">
        <is>
          <t>债务偿还资金安排</t>
        </is>
      </c>
      <c r="C8569" s="24" t="inlineStr">
        <is>
          <t>债务偿还资金安排</t>
        </is>
      </c>
      <c r="D8569" s="24" t="inlineStr">
        <is>
          <t>03</t>
        </is>
      </c>
      <c r="E8569" s="24" t="inlineStr">
        <is>
          <t>政府对客户借款出具意向承诺，但未经过法律程序批准</t>
        </is>
      </c>
    </row>
    <row r="8570">
      <c r="B8570" s="24" t="inlineStr">
        <is>
          <t>债务偿还资金安排</t>
        </is>
      </c>
      <c r="C8570" s="24" t="inlineStr">
        <is>
          <t>债务偿还资金安排</t>
        </is>
      </c>
      <c r="D8570" s="24" t="inlineStr">
        <is>
          <t>04</t>
        </is>
      </c>
      <c r="E8570" s="24" t="inlineStr">
        <is>
          <t>政府对客户借款无任何承诺，但不干预客户资金的使用</t>
        </is>
      </c>
    </row>
    <row r="8571">
      <c r="B8571" s="24" t="inlineStr">
        <is>
          <t>债务偿还资金安排</t>
        </is>
      </c>
      <c r="C8571" s="24" t="inlineStr">
        <is>
          <t>债务偿还资金安排</t>
        </is>
      </c>
      <c r="D8571" s="24" t="inlineStr">
        <is>
          <t>05</t>
        </is>
      </c>
      <c r="E8571" s="24" t="inlineStr">
        <is>
          <t>政府对客户借款无任何承诺，且政府对投资人和债权人有较大干预</t>
        </is>
      </c>
    </row>
    <row r="8572" ht="15.95" customHeight="1" s="170">
      <c r="B8572" s="122" t="inlineStr">
        <is>
          <t>码值：CapitalsourceStyle</t>
        </is>
      </c>
    </row>
    <row r="8573">
      <c r="B8573" s="24" t="inlineStr">
        <is>
          <t>CapitalsourceStyle</t>
        </is>
      </c>
      <c r="C8573" s="24" t="inlineStr">
        <is>
          <t>项目资金来源</t>
        </is>
      </c>
      <c r="D8573" s="24" t="inlineStr">
        <is>
          <t>01</t>
        </is>
      </c>
      <c r="E8573" s="24" t="inlineStr">
        <is>
          <t>项目资本金</t>
        </is>
      </c>
    </row>
    <row r="8574">
      <c r="B8574" s="24" t="inlineStr">
        <is>
          <t>CapitalsourceStyle</t>
        </is>
      </c>
      <c r="C8574" s="24" t="inlineStr">
        <is>
          <t>项目资金来源</t>
        </is>
      </c>
      <c r="D8574" s="24" t="inlineStr">
        <is>
          <t>02</t>
        </is>
      </c>
      <c r="E8574" s="24" t="inlineStr">
        <is>
          <t>金融机构融资</t>
        </is>
      </c>
    </row>
    <row r="8575">
      <c r="B8575" s="24" t="inlineStr">
        <is>
          <t>CapitalsourceStyle</t>
        </is>
      </c>
      <c r="C8575" s="24" t="inlineStr">
        <is>
          <t>项目资金来源</t>
        </is>
      </c>
      <c r="D8575" s="24" t="inlineStr">
        <is>
          <t>03</t>
        </is>
      </c>
      <c r="E8575" s="24" t="inlineStr">
        <is>
          <t>其他自筹资金</t>
        </is>
      </c>
    </row>
    <row r="8576" ht="15.95" customHeight="1" s="170">
      <c r="B8576" s="122" t="inlineStr">
        <is>
          <t>码值：BookType</t>
        </is>
      </c>
    </row>
    <row r="8577">
      <c r="B8577" s="24" t="inlineStr">
        <is>
          <t>BookType</t>
        </is>
      </c>
      <c r="C8577" s="24" t="inlineStr">
        <is>
          <t>台帐类型</t>
        </is>
      </c>
      <c r="D8577" s="24" t="inlineStr">
        <is>
          <t>010</t>
        </is>
      </c>
      <c r="E8577" s="24" t="inlineStr">
        <is>
          <t>支付令台帐</t>
        </is>
      </c>
    </row>
    <row r="8578">
      <c r="B8578" s="24" t="inlineStr">
        <is>
          <t>BookType</t>
        </is>
      </c>
      <c r="C8578" s="24" t="inlineStr">
        <is>
          <t>台帐类型</t>
        </is>
      </c>
      <c r="D8578" s="24" t="inlineStr">
        <is>
          <t>020</t>
        </is>
      </c>
      <c r="E8578" s="24" t="inlineStr">
        <is>
          <t>诉前台帐</t>
        </is>
      </c>
    </row>
    <row r="8579">
      <c r="B8579" s="24" t="inlineStr">
        <is>
          <t>BookType</t>
        </is>
      </c>
      <c r="C8579" s="24" t="inlineStr">
        <is>
          <t>台帐类型</t>
        </is>
      </c>
      <c r="D8579" s="24" t="inlineStr">
        <is>
          <t>026</t>
        </is>
      </c>
      <c r="E8579" s="24" t="inlineStr">
        <is>
          <t>诉讼保全台帐</t>
        </is>
      </c>
    </row>
    <row r="8580">
      <c r="B8580" s="24" t="inlineStr">
        <is>
          <t>BookType</t>
        </is>
      </c>
      <c r="C8580" s="24" t="inlineStr">
        <is>
          <t>台帐类型</t>
        </is>
      </c>
      <c r="D8580" s="24" t="inlineStr">
        <is>
          <t>030</t>
        </is>
      </c>
      <c r="E8580" s="24" t="inlineStr">
        <is>
          <t>立案台帐</t>
        </is>
      </c>
    </row>
    <row r="8581">
      <c r="B8581" s="24" t="inlineStr">
        <is>
          <t>BookType</t>
        </is>
      </c>
      <c r="C8581" s="24" t="inlineStr">
        <is>
          <t>台帐类型</t>
        </is>
      </c>
      <c r="D8581" s="24" t="inlineStr">
        <is>
          <t>040</t>
        </is>
      </c>
      <c r="E8581" s="24" t="inlineStr">
        <is>
          <t>一审台帐</t>
        </is>
      </c>
    </row>
    <row r="8582">
      <c r="B8582" s="24" t="inlineStr">
        <is>
          <t>BookType</t>
        </is>
      </c>
      <c r="C8582" s="24" t="inlineStr">
        <is>
          <t>台帐类型</t>
        </is>
      </c>
      <c r="D8582" s="24" t="inlineStr">
        <is>
          <t>050</t>
        </is>
      </c>
      <c r="E8582" s="24" t="inlineStr">
        <is>
          <t>二审台帐</t>
        </is>
      </c>
    </row>
    <row r="8583">
      <c r="B8583" s="24" t="inlineStr">
        <is>
          <t>BookType</t>
        </is>
      </c>
      <c r="C8583" s="24" t="inlineStr">
        <is>
          <t>台帐类型</t>
        </is>
      </c>
      <c r="D8583" s="24" t="inlineStr">
        <is>
          <t>060</t>
        </is>
      </c>
      <c r="E8583" s="24" t="inlineStr">
        <is>
          <t>再审台帐</t>
        </is>
      </c>
    </row>
    <row r="8584">
      <c r="B8584" s="24" t="inlineStr">
        <is>
          <t>BookType</t>
        </is>
      </c>
      <c r="C8584" s="24" t="inlineStr">
        <is>
          <t>台帐类型</t>
        </is>
      </c>
      <c r="D8584" s="24" t="inlineStr">
        <is>
          <t>065</t>
        </is>
      </c>
      <c r="E8584" s="24" t="inlineStr">
        <is>
          <t>公证台帐</t>
        </is>
      </c>
    </row>
    <row r="8585">
      <c r="B8585" s="24" t="inlineStr">
        <is>
          <t>BookType</t>
        </is>
      </c>
      <c r="C8585" s="24" t="inlineStr">
        <is>
          <t>台帐类型</t>
        </is>
      </c>
      <c r="D8585" s="24" t="inlineStr">
        <is>
          <t>068</t>
        </is>
      </c>
      <c r="E8585" s="24" t="inlineStr">
        <is>
          <t>仲裁台帐</t>
        </is>
      </c>
    </row>
    <row r="8586">
      <c r="B8586" s="24" t="inlineStr">
        <is>
          <t>BookType</t>
        </is>
      </c>
      <c r="C8586" s="24" t="inlineStr">
        <is>
          <t>台帐类型</t>
        </is>
      </c>
      <c r="D8586" s="24" t="inlineStr">
        <is>
          <t>070</t>
        </is>
      </c>
      <c r="E8586" s="24" t="inlineStr">
        <is>
          <t>执行台帐</t>
        </is>
      </c>
    </row>
    <row r="8587">
      <c r="B8587" s="24" t="inlineStr">
        <is>
          <t>BookType</t>
        </is>
      </c>
      <c r="C8587" s="24" t="inlineStr">
        <is>
          <t>台帐类型</t>
        </is>
      </c>
      <c r="D8587" s="24" t="inlineStr">
        <is>
          <t>080</t>
        </is>
      </c>
      <c r="E8587" s="24" t="inlineStr">
        <is>
          <t>破产台帐</t>
        </is>
      </c>
    </row>
    <row r="8588" ht="15.95" customHeight="1" s="170">
      <c r="B8588" s="122" t="inlineStr">
        <is>
          <t>码值：PersonalAnnualIncome</t>
        </is>
      </c>
    </row>
    <row r="8589">
      <c r="B8589" s="24" t="inlineStr">
        <is>
          <t>PersonalAnnualIncome</t>
        </is>
      </c>
      <c r="C8589" s="24" t="inlineStr">
        <is>
          <t>信用等级评估统一导入</t>
        </is>
      </c>
      <c r="D8589" s="24" t="inlineStr">
        <is>
          <t>01</t>
        </is>
      </c>
      <c r="E8589" s="24" t="inlineStr">
        <is>
          <t>5万元以上</t>
        </is>
      </c>
    </row>
    <row r="8590">
      <c r="B8590" s="24" t="inlineStr">
        <is>
          <t>PersonalAnnualIncome</t>
        </is>
      </c>
      <c r="C8590" s="24" t="inlineStr">
        <is>
          <t>信用等级评估统一导入</t>
        </is>
      </c>
      <c r="D8590" s="24" t="inlineStr">
        <is>
          <t>02</t>
        </is>
      </c>
      <c r="E8590" s="24" t="inlineStr">
        <is>
          <t xml:space="preserve">3万元－5万元(含5万元) </t>
        </is>
      </c>
    </row>
    <row r="8591">
      <c r="B8591" s="24" t="inlineStr">
        <is>
          <t>PersonalAnnualIncome</t>
        </is>
      </c>
      <c r="C8591" s="24" t="inlineStr">
        <is>
          <t>信用等级评估统一导入</t>
        </is>
      </c>
      <c r="D8591" s="24" t="inlineStr">
        <is>
          <t>03</t>
        </is>
      </c>
      <c r="E8591" s="24" t="inlineStr">
        <is>
          <t xml:space="preserve">3万元以下(含3万元) </t>
        </is>
      </c>
    </row>
    <row r="8592" ht="15.95" customHeight="1" s="170">
      <c r="B8592" s="122" t="inlineStr">
        <is>
          <t>码值：ImportanceLevel</t>
        </is>
      </c>
    </row>
    <row r="8593">
      <c r="B8593" s="24" t="inlineStr">
        <is>
          <t>ImportanceLevel</t>
        </is>
      </c>
      <c r="C8593" s="24" t="inlineStr">
        <is>
          <t>信用等级评估统一导入</t>
        </is>
      </c>
      <c r="D8593" s="24" t="inlineStr">
        <is>
          <t>01</t>
        </is>
      </c>
      <c r="E8593" s="24" t="inlineStr">
        <is>
          <t>在其服务区域是其销售商品的独家销售渠道，或者是其服务区域内下游市场客户的首选购买渠道</t>
        </is>
      </c>
    </row>
    <row r="8594">
      <c r="B8594" s="24" t="inlineStr">
        <is>
          <t>ImportanceLevel</t>
        </is>
      </c>
      <c r="C8594" s="24" t="inlineStr">
        <is>
          <t>信用等级评估统一导入</t>
        </is>
      </c>
      <c r="D8594" s="24" t="inlineStr">
        <is>
          <t>02</t>
        </is>
      </c>
      <c r="E8594" s="24" t="inlineStr">
        <is>
          <t>在其服务区域是其销售商品的主要销售渠道（排名前三），或者是其服务区域内下游市场客户的优先购买渠道（排名前三）</t>
        </is>
      </c>
    </row>
    <row r="8595">
      <c r="B8595" s="24" t="inlineStr">
        <is>
          <t>ImportanceLevel</t>
        </is>
      </c>
      <c r="C8595" s="24" t="inlineStr">
        <is>
          <t>信用等级评估统一导入</t>
        </is>
      </c>
      <c r="D8595" s="24" t="inlineStr">
        <is>
          <t>03</t>
        </is>
      </c>
      <c r="E8595" s="24" t="inlineStr">
        <is>
          <t>在其服务区域是其销售商品的普通销售渠道，或者是其服务区域内下游市场客户的普通购买渠道</t>
        </is>
      </c>
    </row>
    <row r="8596">
      <c r="B8596" s="24" t="inlineStr">
        <is>
          <t>ImportanceLevel</t>
        </is>
      </c>
      <c r="C8596" s="24" t="inlineStr">
        <is>
          <t>信用等级评估统一导入</t>
        </is>
      </c>
      <c r="D8596" s="24" t="inlineStr">
        <is>
          <t>04</t>
        </is>
      </c>
      <c r="E8596" s="24" t="inlineStr">
        <is>
          <t>在其服务区域是其销售商品的新加入销售渠道</t>
        </is>
      </c>
    </row>
    <row r="8597">
      <c r="B8597" s="24" t="inlineStr">
        <is>
          <t>ImportanceLevel</t>
        </is>
      </c>
      <c r="C8597" s="24" t="inlineStr">
        <is>
          <t>信用等级评估统一导入</t>
        </is>
      </c>
      <c r="D8597" s="24" t="inlineStr">
        <is>
          <t>05</t>
        </is>
      </c>
      <c r="E8597" s="24" t="inlineStr">
        <is>
          <t>答案难以判断</t>
        </is>
      </c>
    </row>
    <row r="8598" ht="15.95" customHeight="1" s="170">
      <c r="B8598" s="122" t="inlineStr">
        <is>
          <t>码值：CusAssetAndOweMain</t>
        </is>
      </c>
    </row>
    <row r="8599">
      <c r="B8599" s="24" t="inlineStr">
        <is>
          <t>CusAssetAndOweMain</t>
        </is>
      </c>
      <c r="C8599" s="24" t="inlineStr">
        <is>
          <t>客户资产与负债明细主树图</t>
        </is>
      </c>
      <c r="D8599" s="24" t="inlineStr">
        <is>
          <t>10</t>
        </is>
      </c>
      <c r="E8599" s="24" t="inlineStr">
        <is>
          <t>客户资产与负债明细</t>
        </is>
      </c>
    </row>
    <row r="8600">
      <c r="B8600" s="24" t="inlineStr">
        <is>
          <t>CusAssetAndOweMain</t>
        </is>
      </c>
      <c r="C8600" s="24" t="inlineStr">
        <is>
          <t>客户资产与负债明细主树图</t>
        </is>
      </c>
      <c r="D8600" s="24" t="inlineStr">
        <is>
          <t>1010</t>
        </is>
      </c>
      <c r="E8600" s="24" t="inlineStr">
        <is>
          <t>应收应付帐款信息</t>
        </is>
      </c>
    </row>
    <row r="8601">
      <c r="B8601" s="24" t="inlineStr">
        <is>
          <t>CusAssetAndOweMain</t>
        </is>
      </c>
      <c r="C8601" s="24" t="inlineStr">
        <is>
          <t>客户资产与负债明细主树图</t>
        </is>
      </c>
      <c r="D8601" s="24" t="inlineStr">
        <is>
          <t>1020</t>
        </is>
      </c>
      <c r="E8601" s="24" t="inlineStr">
        <is>
          <t>存货信息</t>
        </is>
      </c>
    </row>
    <row r="8602">
      <c r="B8602" s="24" t="inlineStr">
        <is>
          <t>CusAssetAndOweMain</t>
        </is>
      </c>
      <c r="C8602" s="24" t="inlineStr">
        <is>
          <t>客户资产与负债明细主树图</t>
        </is>
      </c>
      <c r="D8602" s="24" t="inlineStr">
        <is>
          <t>1030</t>
        </is>
      </c>
      <c r="E8602" s="24" t="inlineStr">
        <is>
          <t>固定资产信息</t>
        </is>
      </c>
    </row>
    <row r="8603">
      <c r="B8603" s="24" t="inlineStr">
        <is>
          <t>CusAssetAndOweMain</t>
        </is>
      </c>
      <c r="C8603" s="24" t="inlineStr">
        <is>
          <t>客户资产与负债明细主树图</t>
        </is>
      </c>
      <c r="D8603" s="24" t="inlineStr">
        <is>
          <t>1040</t>
        </is>
      </c>
      <c r="E8603" s="24" t="inlineStr">
        <is>
          <t>无形资产信息</t>
        </is>
      </c>
    </row>
    <row r="8604">
      <c r="B8604" s="24" t="inlineStr">
        <is>
          <t>CusAssetAndOweMain</t>
        </is>
      </c>
      <c r="C8604" s="24" t="inlineStr">
        <is>
          <t>客户资产与负债明细主树图</t>
        </is>
      </c>
      <c r="D8604" s="24" t="inlineStr">
        <is>
          <t>1050</t>
        </is>
      </c>
      <c r="E8604" s="24" t="inlineStr">
        <is>
          <t>纳税信息</t>
        </is>
      </c>
    </row>
    <row r="8605" ht="15.95" customHeight="1" s="170">
      <c r="B8605" s="122" t="inlineStr">
        <is>
          <t>码值：ScorereSource</t>
        </is>
      </c>
    </row>
    <row r="8606">
      <c r="B8606" s="24" t="inlineStr">
        <is>
          <t>ScorereSource</t>
        </is>
      </c>
      <c r="C8606" s="24" t="inlineStr">
        <is>
          <t>信用等级依据</t>
        </is>
      </c>
      <c r="D8606" s="24" t="inlineStr">
        <is>
          <t>010</t>
        </is>
      </c>
      <c r="E8606" s="24" t="inlineStr">
        <is>
          <t>国际评级穆迪</t>
        </is>
      </c>
    </row>
    <row r="8607">
      <c r="B8607" s="24" t="inlineStr">
        <is>
          <t>ScorereSource</t>
        </is>
      </c>
      <c r="C8607" s="24" t="inlineStr">
        <is>
          <t>信用等级依据</t>
        </is>
      </c>
      <c r="D8607" s="24" t="inlineStr">
        <is>
          <t>020</t>
        </is>
      </c>
      <c r="E8607" s="24" t="inlineStr">
        <is>
          <t>国际评级标普</t>
        </is>
      </c>
    </row>
    <row r="8608">
      <c r="B8608" s="24" t="inlineStr">
        <is>
          <t>ScorereSource</t>
        </is>
      </c>
      <c r="C8608" s="24" t="inlineStr">
        <is>
          <t>信用等级依据</t>
        </is>
      </c>
      <c r="D8608" s="24" t="inlineStr">
        <is>
          <t>030</t>
        </is>
      </c>
      <c r="E8608" s="24" t="inlineStr">
        <is>
          <t>国际评级惠誉</t>
        </is>
      </c>
    </row>
    <row r="8609">
      <c r="B8609" s="24" t="inlineStr">
        <is>
          <t>ScorereSource</t>
        </is>
      </c>
      <c r="C8609" s="24" t="inlineStr">
        <is>
          <t>信用等级依据</t>
        </is>
      </c>
      <c r="D8609" s="24" t="inlineStr">
        <is>
          <t>040</t>
        </is>
      </c>
      <c r="E8609" s="24" t="inlineStr">
        <is>
          <t>内部测算打分</t>
        </is>
      </c>
    </row>
    <row r="8610">
      <c r="B8610" s="24" t="inlineStr">
        <is>
          <t>ScorereSource</t>
        </is>
      </c>
      <c r="C8610" s="24" t="inlineStr">
        <is>
          <t>信用等级依据</t>
        </is>
      </c>
      <c r="D8610" s="24" t="inlineStr">
        <is>
          <t>050</t>
        </is>
      </c>
      <c r="E8610" s="24" t="inlineStr">
        <is>
          <t>未满1年可不评级</t>
        </is>
      </c>
    </row>
    <row r="8611">
      <c r="B8611" s="24" t="inlineStr">
        <is>
          <t>ScorereSource</t>
        </is>
      </c>
      <c r="C8611" s="24" t="inlineStr">
        <is>
          <t>信用等级依据</t>
        </is>
      </c>
      <c r="D8611" s="24" t="inlineStr">
        <is>
          <t>060</t>
        </is>
      </c>
      <c r="E8611" s="24" t="inlineStr">
        <is>
          <t>低风险业务认定评级</t>
        </is>
      </c>
    </row>
    <row r="8612" ht="15.95" customHeight="1" s="170">
      <c r="B8612" s="122" t="inlineStr">
        <is>
          <t>码值：RightType</t>
        </is>
      </c>
    </row>
    <row r="8613">
      <c r="B8613" s="24" t="inlineStr">
        <is>
          <t>RightType</t>
        </is>
      </c>
      <c r="C8613" s="24" t="inlineStr">
        <is>
          <t>客户转移权限类型</t>
        </is>
      </c>
      <c r="D8613" s="24" t="inlineStr">
        <is>
          <t>10</t>
        </is>
      </c>
      <c r="E8613" s="24" t="inlineStr">
        <is>
          <t>管户权</t>
        </is>
      </c>
    </row>
    <row r="8614">
      <c r="B8614" s="24" t="inlineStr">
        <is>
          <t>RightType</t>
        </is>
      </c>
      <c r="C8614" s="24" t="inlineStr">
        <is>
          <t>客户转移权限类型</t>
        </is>
      </c>
      <c r="D8614" s="24" t="inlineStr">
        <is>
          <t>20</t>
        </is>
      </c>
      <c r="E8614" s="24" t="inlineStr">
        <is>
          <t>维护权</t>
        </is>
      </c>
    </row>
    <row r="8615" ht="15.95" customHeight="1" s="170">
      <c r="B8615" s="122" t="inlineStr">
        <is>
          <t>码值：ShipType</t>
        </is>
      </c>
    </row>
    <row r="8616">
      <c r="B8616" s="24" t="inlineStr">
        <is>
          <t>ShipType</t>
        </is>
      </c>
      <c r="C8616" s="24" t="inlineStr">
        <is>
          <t>船舶类型</t>
        </is>
      </c>
      <c r="D8616" s="24" t="inlineStr">
        <is>
          <t>01</t>
        </is>
      </c>
      <c r="E8616" s="24" t="inlineStr">
        <is>
          <t>散货船</t>
        </is>
      </c>
    </row>
    <row r="8617">
      <c r="B8617" s="24" t="inlineStr">
        <is>
          <t>ShipType</t>
        </is>
      </c>
      <c r="C8617" s="24" t="inlineStr">
        <is>
          <t>船舶类型</t>
        </is>
      </c>
      <c r="D8617" s="24" t="inlineStr">
        <is>
          <t>02</t>
        </is>
      </c>
      <c r="E8617" s="24" t="inlineStr">
        <is>
          <t>集装箱船</t>
        </is>
      </c>
    </row>
    <row r="8618">
      <c r="B8618" s="24" t="inlineStr">
        <is>
          <t>ShipType</t>
        </is>
      </c>
      <c r="C8618" s="24" t="inlineStr">
        <is>
          <t>船舶类型</t>
        </is>
      </c>
      <c r="D8618" s="24" t="inlineStr">
        <is>
          <t>03</t>
        </is>
      </c>
      <c r="E8618" s="24" t="inlineStr">
        <is>
          <t>油船</t>
        </is>
      </c>
    </row>
    <row r="8619">
      <c r="B8619" s="24" t="inlineStr">
        <is>
          <t>ShipType</t>
        </is>
      </c>
      <c r="C8619" s="24" t="inlineStr">
        <is>
          <t>船舶类型</t>
        </is>
      </c>
      <c r="D8619" s="24" t="inlineStr">
        <is>
          <t>04</t>
        </is>
      </c>
      <c r="E8619" s="24" t="inlineStr">
        <is>
          <t>多用途船</t>
        </is>
      </c>
    </row>
    <row r="8620">
      <c r="B8620" s="24" t="inlineStr">
        <is>
          <t>ShipType</t>
        </is>
      </c>
      <c r="C8620" s="24" t="inlineStr">
        <is>
          <t>船舶类型</t>
        </is>
      </c>
      <c r="D8620" s="24" t="inlineStr">
        <is>
          <t>05</t>
        </is>
      </c>
      <c r="E8620" s="24" t="inlineStr">
        <is>
          <t>海工船</t>
        </is>
      </c>
    </row>
    <row r="8621">
      <c r="B8621" s="24" t="inlineStr">
        <is>
          <t>ShipType</t>
        </is>
      </c>
      <c r="C8621" s="24" t="inlineStr">
        <is>
          <t>船舶类型</t>
        </is>
      </c>
      <c r="D8621" s="24" t="inlineStr">
        <is>
          <t>06</t>
        </is>
      </c>
      <c r="E8621" s="24" t="inlineStr">
        <is>
          <t>拖船</t>
        </is>
      </c>
    </row>
    <row r="8622">
      <c r="B8622" s="24" t="inlineStr">
        <is>
          <t>ShipType</t>
        </is>
      </c>
      <c r="C8622" s="24" t="inlineStr">
        <is>
          <t>船舶类型</t>
        </is>
      </c>
      <c r="D8622" s="24" t="inlineStr">
        <is>
          <t>07</t>
        </is>
      </c>
      <c r="E8622" s="24" t="inlineStr">
        <is>
          <t>驳船</t>
        </is>
      </c>
    </row>
    <row r="8623">
      <c r="B8623" s="24" t="inlineStr">
        <is>
          <t>ShipType</t>
        </is>
      </c>
      <c r="C8623" s="24" t="inlineStr">
        <is>
          <t>船舶类型</t>
        </is>
      </c>
      <c r="D8623" s="24" t="inlineStr">
        <is>
          <t>08</t>
        </is>
      </c>
      <c r="E8623" s="24" t="inlineStr">
        <is>
          <t>客运船</t>
        </is>
      </c>
    </row>
    <row r="8624">
      <c r="B8624" s="24" t="inlineStr">
        <is>
          <t>ShipType</t>
        </is>
      </c>
      <c r="C8624" s="24" t="inlineStr">
        <is>
          <t>船舶类型</t>
        </is>
      </c>
      <c r="D8624" s="24" t="inlineStr">
        <is>
          <t>09</t>
        </is>
      </c>
      <c r="E8624" s="24" t="inlineStr">
        <is>
          <t>渔船</t>
        </is>
      </c>
    </row>
    <row r="8625">
      <c r="B8625" s="24" t="inlineStr">
        <is>
          <t>ShipType</t>
        </is>
      </c>
      <c r="C8625" s="24" t="inlineStr">
        <is>
          <t>船舶类型</t>
        </is>
      </c>
      <c r="D8625" s="24" t="inlineStr">
        <is>
          <t>90</t>
        </is>
      </c>
      <c r="E8625" s="24" t="inlineStr">
        <is>
          <t>其他类型船舶</t>
        </is>
      </c>
    </row>
    <row r="8626" ht="15.95" customHeight="1" s="170">
      <c r="B8626" s="122" t="inlineStr">
        <is>
          <t>码值：周边房产成交情况</t>
        </is>
      </c>
    </row>
    <row r="8627">
      <c r="B8627" s="24" t="inlineStr">
        <is>
          <t>周边房产成交情况</t>
        </is>
      </c>
      <c r="C8627" s="24" t="inlineStr">
        <is>
          <t>周边相似类型房产成交情况</t>
        </is>
      </c>
      <c r="D8627" s="24" t="inlineStr">
        <is>
          <t>01</t>
        </is>
      </c>
      <c r="E8627" s="24" t="inlineStr">
        <is>
          <t>项目所在地区周边楼盘销售情况强劲</t>
        </is>
      </c>
    </row>
    <row r="8628">
      <c r="B8628" s="24" t="inlineStr">
        <is>
          <t>周边房产成交情况</t>
        </is>
      </c>
      <c r="C8628" s="24" t="inlineStr">
        <is>
          <t>周边相似类型房产成交情况</t>
        </is>
      </c>
      <c r="D8628" s="24" t="inlineStr">
        <is>
          <t>02</t>
        </is>
      </c>
      <c r="E8628" s="24" t="inlineStr">
        <is>
          <t>项目所在地区周边楼盘销售情况一般</t>
        </is>
      </c>
    </row>
    <row r="8629">
      <c r="B8629" s="24" t="inlineStr">
        <is>
          <t>周边房产成交情况</t>
        </is>
      </c>
      <c r="C8629" s="24" t="inlineStr">
        <is>
          <t>周边相似类型房产成交情况</t>
        </is>
      </c>
      <c r="D8629" s="24" t="inlineStr">
        <is>
          <t>03</t>
        </is>
      </c>
      <c r="E8629" s="24" t="inlineStr">
        <is>
          <t>所在城市没有同类型的楼盘 或 项目所在地区周边楼盘销售情况薄弱</t>
        </is>
      </c>
    </row>
    <row r="8630" ht="15.95" customHeight="1" s="170">
      <c r="B8630" s="122" t="inlineStr">
        <is>
          <t>码值：贷款用途</t>
        </is>
      </c>
    </row>
    <row r="8631">
      <c r="B8631" s="24" t="inlineStr">
        <is>
          <t>贷款用途</t>
        </is>
      </c>
      <c r="C8631" s="24" t="inlineStr">
        <is>
          <t>贷款用途</t>
        </is>
      </c>
      <c r="D8631" s="24" t="inlineStr">
        <is>
          <t>01</t>
        </is>
      </c>
      <c r="E8631" s="24" t="inlineStr">
        <is>
          <t>用于自身经营</t>
        </is>
      </c>
    </row>
    <row r="8632">
      <c r="B8632" s="24" t="inlineStr">
        <is>
          <t>贷款用途</t>
        </is>
      </c>
      <c r="C8632" s="24" t="inlineStr">
        <is>
          <t>贷款用途</t>
        </is>
      </c>
      <c r="D8632" s="24" t="inlineStr">
        <is>
          <t>02</t>
        </is>
      </c>
      <c r="E8632" s="24" t="inlineStr">
        <is>
          <t>用于政府项目投资</t>
        </is>
      </c>
    </row>
    <row r="8633">
      <c r="B8633" s="24" t="inlineStr">
        <is>
          <t>贷款用途</t>
        </is>
      </c>
      <c r="C8633" s="24" t="inlineStr">
        <is>
          <t>贷款用途</t>
        </is>
      </c>
      <c r="D8633" s="24" t="inlineStr">
        <is>
          <t>03</t>
        </is>
      </c>
      <c r="E8633" s="24" t="inlineStr">
        <is>
          <t>其他</t>
        </is>
      </c>
    </row>
    <row r="8634" ht="15.95" customHeight="1" s="170">
      <c r="B8634" s="122" t="inlineStr">
        <is>
          <t>码值：DealRelationType</t>
        </is>
      </c>
    </row>
    <row r="8635">
      <c r="B8635" s="24" t="inlineStr">
        <is>
          <t>DealRelationType</t>
        </is>
      </c>
      <c r="C8635" s="24" t="inlineStr">
        <is>
          <t>与借款人关系</t>
        </is>
      </c>
      <c r="D8635" s="24" t="inlineStr">
        <is>
          <t>01</t>
        </is>
      </c>
      <c r="E8635" s="24" t="inlineStr">
        <is>
          <t>同名</t>
        </is>
      </c>
    </row>
    <row r="8636">
      <c r="B8636" s="24" t="inlineStr">
        <is>
          <t>DealRelationType</t>
        </is>
      </c>
      <c r="C8636" s="24" t="inlineStr">
        <is>
          <t>与借款人关系</t>
        </is>
      </c>
      <c r="D8636" s="24" t="inlineStr">
        <is>
          <t>02</t>
        </is>
      </c>
      <c r="E8636" s="24" t="inlineStr">
        <is>
          <t>供销</t>
        </is>
      </c>
    </row>
    <row r="8637">
      <c r="B8637" s="24" t="inlineStr">
        <is>
          <t>DealRelationType</t>
        </is>
      </c>
      <c r="C8637" s="24" t="inlineStr">
        <is>
          <t>与借款人关系</t>
        </is>
      </c>
      <c r="D8637" s="24" t="inlineStr">
        <is>
          <t>03</t>
        </is>
      </c>
      <c r="E8637" s="24" t="inlineStr">
        <is>
          <t>关联企业</t>
        </is>
      </c>
    </row>
    <row r="8638">
      <c r="B8638" s="24" t="inlineStr">
        <is>
          <t>DealRelationType</t>
        </is>
      </c>
      <c r="C8638" s="24" t="inlineStr">
        <is>
          <t>与借款人关系</t>
        </is>
      </c>
      <c r="D8638" s="24" t="inlineStr">
        <is>
          <t>04</t>
        </is>
      </c>
      <c r="E8638" s="24" t="inlineStr">
        <is>
          <t>其他</t>
        </is>
      </c>
    </row>
    <row r="8639" ht="15.95" customHeight="1" s="170">
      <c r="B8639" s="122" t="inlineStr">
        <is>
          <t>码值：RetrialPhase</t>
        </is>
      </c>
    </row>
    <row r="8640">
      <c r="B8640" s="24" t="inlineStr">
        <is>
          <t>RetrialPhase</t>
        </is>
      </c>
      <c r="C8640" s="24" t="inlineStr">
        <is>
          <t>再审程序</t>
        </is>
      </c>
      <c r="D8640" s="24" t="inlineStr">
        <is>
          <t>01</t>
        </is>
      </c>
      <c r="E8640" s="24" t="inlineStr">
        <is>
          <t>再审一审</t>
        </is>
      </c>
    </row>
    <row r="8641">
      <c r="B8641" s="24" t="inlineStr">
        <is>
          <t>RetrialPhase</t>
        </is>
      </c>
      <c r="C8641" s="24" t="inlineStr">
        <is>
          <t>再审程序</t>
        </is>
      </c>
      <c r="D8641" s="24" t="inlineStr">
        <is>
          <t>02</t>
        </is>
      </c>
      <c r="E8641" s="24" t="inlineStr">
        <is>
          <t>再审二审</t>
        </is>
      </c>
    </row>
    <row r="8642" ht="15.95" customHeight="1" s="170">
      <c r="B8642" s="122" t="inlineStr">
        <is>
          <t>码值：ContractStatus</t>
        </is>
      </c>
    </row>
    <row r="8643">
      <c r="B8643" s="24" t="inlineStr">
        <is>
          <t>ContractStatus</t>
        </is>
      </c>
      <c r="C8643" s="24" t="inlineStr">
        <is>
          <t>合同状态</t>
        </is>
      </c>
      <c r="D8643" s="24" t="inlineStr">
        <is>
          <t>01</t>
        </is>
      </c>
      <c r="E8643" s="24" t="inlineStr">
        <is>
          <t>待生效</t>
        </is>
      </c>
    </row>
    <row r="8644">
      <c r="B8644" s="24" t="inlineStr">
        <is>
          <t>ContractStatus</t>
        </is>
      </c>
      <c r="C8644" s="24" t="inlineStr">
        <is>
          <t>合同状态</t>
        </is>
      </c>
      <c r="D8644" s="24" t="inlineStr">
        <is>
          <t>010</t>
        </is>
      </c>
      <c r="E8644" s="24" t="inlineStr">
        <is>
          <t>未签合同</t>
        </is>
      </c>
    </row>
    <row r="8645">
      <c r="B8645" s="24" t="inlineStr">
        <is>
          <t>ContractStatus</t>
        </is>
      </c>
      <c r="C8645" s="24" t="inlineStr">
        <is>
          <t>合同状态</t>
        </is>
      </c>
      <c r="D8645" s="24" t="inlineStr">
        <is>
          <t>02</t>
        </is>
      </c>
      <c r="E8645" s="24" t="inlineStr">
        <is>
          <t>已生效</t>
        </is>
      </c>
    </row>
    <row r="8646">
      <c r="B8646" s="24" t="inlineStr">
        <is>
          <t>ContractStatus</t>
        </is>
      </c>
      <c r="C8646" s="24" t="inlineStr">
        <is>
          <t>合同状态</t>
        </is>
      </c>
      <c r="D8646" s="24" t="inlineStr">
        <is>
          <t>020</t>
        </is>
      </c>
      <c r="E8646" s="24" t="inlineStr">
        <is>
          <t>已签合同</t>
        </is>
      </c>
    </row>
    <row r="8647">
      <c r="B8647" s="24" t="inlineStr">
        <is>
          <t>ContractStatus</t>
        </is>
      </c>
      <c r="C8647" s="24" t="inlineStr">
        <is>
          <t>合同状态</t>
        </is>
      </c>
      <c r="D8647" s="24" t="inlineStr">
        <is>
          <t>03</t>
        </is>
      </c>
      <c r="E8647" s="24" t="inlineStr">
        <is>
          <t>已失效</t>
        </is>
      </c>
    </row>
    <row r="8648">
      <c r="B8648" s="24" t="inlineStr">
        <is>
          <t>ContractStatus</t>
        </is>
      </c>
      <c r="C8648" s="24" t="inlineStr">
        <is>
          <t>合同状态</t>
        </is>
      </c>
      <c r="D8648" s="24" t="inlineStr">
        <is>
          <t>030</t>
        </is>
      </c>
      <c r="E8648" s="24" t="inlineStr">
        <is>
          <t>已失效合同</t>
        </is>
      </c>
    </row>
    <row r="8649">
      <c r="B8649" s="24" t="inlineStr">
        <is>
          <t>ContractStatus</t>
        </is>
      </c>
      <c r="C8649" s="24" t="inlineStr">
        <is>
          <t>合同状态</t>
        </is>
      </c>
      <c r="D8649" s="24" t="inlineStr">
        <is>
          <t>04</t>
        </is>
      </c>
      <c r="E8649" s="24" t="inlineStr">
        <is>
          <t>锁定</t>
        </is>
      </c>
    </row>
    <row r="8650">
      <c r="B8650" s="24" t="inlineStr">
        <is>
          <t>ContractStatus</t>
        </is>
      </c>
      <c r="C8650" s="24" t="inlineStr">
        <is>
          <t>合同状态</t>
        </is>
      </c>
      <c r="D8650" s="24" t="inlineStr">
        <is>
          <t>05</t>
        </is>
      </c>
      <c r="E8650" s="24" t="inlineStr">
        <is>
          <t>终止</t>
        </is>
      </c>
    </row>
    <row r="8651">
      <c r="B8651" s="24" t="inlineStr">
        <is>
          <t>ContractStatus</t>
        </is>
      </c>
      <c r="C8651" s="24" t="inlineStr">
        <is>
          <t>合同状态</t>
        </is>
      </c>
      <c r="D8651" s="24" t="inlineStr">
        <is>
          <t>06</t>
        </is>
      </c>
      <c r="E8651" s="24" t="inlineStr">
        <is>
          <t>冻结</t>
        </is>
      </c>
    </row>
    <row r="8652" ht="15.95" customHeight="1" s="170">
      <c r="B8652" s="122" t="inlineStr">
        <is>
          <t>码值：TradeType</t>
        </is>
      </c>
    </row>
    <row r="8653">
      <c r="B8653" s="24" t="inlineStr">
        <is>
          <t>TradeType</t>
        </is>
      </c>
      <c r="C8653" s="24" t="inlineStr">
        <is>
          <t>贸易方式</t>
        </is>
      </c>
      <c r="D8653" s="24" t="inlineStr">
        <is>
          <t>01</t>
        </is>
      </c>
      <c r="E8653" s="24" t="inlineStr">
        <is>
          <t>O/A</t>
        </is>
      </c>
    </row>
    <row r="8654">
      <c r="B8654" s="24" t="inlineStr">
        <is>
          <t>TradeType</t>
        </is>
      </c>
      <c r="C8654" s="24" t="inlineStr">
        <is>
          <t>贸易方式</t>
        </is>
      </c>
      <c r="D8654" s="24" t="inlineStr">
        <is>
          <t>02</t>
        </is>
      </c>
      <c r="E8654" s="24" t="inlineStr">
        <is>
          <t>承兑交单</t>
        </is>
      </c>
    </row>
    <row r="8655" ht="15.95" customHeight="1" s="170">
      <c r="B8655" s="122" t="inlineStr">
        <is>
          <t>码值：AuthorType</t>
        </is>
      </c>
    </row>
    <row r="8656">
      <c r="B8656" s="24" t="inlineStr">
        <is>
          <t>AuthorType</t>
        </is>
      </c>
      <c r="C8656" s="24" t="inlineStr">
        <is>
          <t>授权种类</t>
        </is>
      </c>
      <c r="D8656" s="24" t="inlineStr">
        <is>
          <t>001</t>
        </is>
      </c>
      <c r="E8656" s="24" t="inlineStr">
        <is>
          <t>授信审批授权</t>
        </is>
      </c>
    </row>
    <row r="8657">
      <c r="B8657" s="24" t="inlineStr">
        <is>
          <t>AuthorType</t>
        </is>
      </c>
      <c r="C8657" s="24" t="inlineStr">
        <is>
          <t>授权种类</t>
        </is>
      </c>
      <c r="D8657" s="24" t="inlineStr">
        <is>
          <t>002</t>
        </is>
      </c>
      <c r="E8657" s="24" t="inlineStr">
        <is>
          <t>出账审批授权</t>
        </is>
      </c>
    </row>
    <row r="8658" ht="15.95" customHeight="1" s="170">
      <c r="B8658" s="122" t="inlineStr">
        <is>
          <t>码值：AgencyEventStatus</t>
        </is>
      </c>
    </row>
    <row r="8659">
      <c r="B8659" s="24" t="inlineStr">
        <is>
          <t>AgencyEventStatus</t>
        </is>
      </c>
      <c r="C8659" s="24" t="inlineStr">
        <is>
          <t>警示状态</t>
        </is>
      </c>
      <c r="D8659" s="24" t="inlineStr">
        <is>
          <t>01</t>
        </is>
      </c>
      <c r="E8659" s="24" t="inlineStr">
        <is>
          <t>生效中</t>
        </is>
      </c>
    </row>
    <row r="8660">
      <c r="B8660" s="24" t="inlineStr">
        <is>
          <t>AgencyEventStatus</t>
        </is>
      </c>
      <c r="C8660" s="24" t="inlineStr">
        <is>
          <t>警示状态</t>
        </is>
      </c>
      <c r="D8660" s="24" t="inlineStr">
        <is>
          <t>02</t>
        </is>
      </c>
      <c r="E8660" s="24" t="inlineStr">
        <is>
          <t>生效</t>
        </is>
      </c>
    </row>
    <row r="8661">
      <c r="B8661" s="24" t="inlineStr">
        <is>
          <t>AgencyEventStatus</t>
        </is>
      </c>
      <c r="C8661" s="24" t="inlineStr">
        <is>
          <t>警示状态</t>
        </is>
      </c>
      <c r="D8661" s="24" t="inlineStr">
        <is>
          <t>03</t>
        </is>
      </c>
      <c r="E8661" s="24" t="inlineStr">
        <is>
          <t>失效中</t>
        </is>
      </c>
    </row>
    <row r="8662">
      <c r="B8662" s="24" t="inlineStr">
        <is>
          <t>AgencyEventStatus</t>
        </is>
      </c>
      <c r="C8662" s="24" t="inlineStr">
        <is>
          <t>警示状态</t>
        </is>
      </c>
      <c r="D8662" s="24" t="inlineStr">
        <is>
          <t>04</t>
        </is>
      </c>
      <c r="E8662" s="24" t="inlineStr">
        <is>
          <t>失效</t>
        </is>
      </c>
    </row>
    <row r="8663" ht="15.95" customHeight="1" s="170">
      <c r="B8663" s="122" t="inlineStr">
        <is>
          <t>码值：CaseBrief</t>
        </is>
      </c>
    </row>
    <row r="8664">
      <c r="B8664" s="24" t="inlineStr">
        <is>
          <t>CaseBrief</t>
        </is>
      </c>
      <c r="C8664" s="24" t="inlineStr">
        <is>
          <t>案由</t>
        </is>
      </c>
      <c r="D8664" s="24" t="inlineStr">
        <is>
          <t>01</t>
        </is>
      </c>
      <c r="E8664" s="24" t="inlineStr">
        <is>
          <t>借款纠纷</t>
        </is>
      </c>
    </row>
    <row r="8665">
      <c r="B8665" s="24" t="inlineStr">
        <is>
          <t>CaseBrief</t>
        </is>
      </c>
      <c r="C8665" s="24" t="inlineStr">
        <is>
          <t>案由</t>
        </is>
      </c>
      <c r="D8665" s="24" t="inlineStr">
        <is>
          <t>02</t>
        </is>
      </c>
      <c r="E8665" s="24" t="inlineStr">
        <is>
          <t>拆借纠纷</t>
        </is>
      </c>
    </row>
    <row r="8666">
      <c r="B8666" s="24" t="inlineStr">
        <is>
          <t>CaseBrief</t>
        </is>
      </c>
      <c r="C8666" s="24" t="inlineStr">
        <is>
          <t>案由</t>
        </is>
      </c>
      <c r="D8666" s="24" t="inlineStr">
        <is>
          <t>03</t>
        </is>
      </c>
      <c r="E8666" s="24" t="inlineStr">
        <is>
          <t>侵权纠纷</t>
        </is>
      </c>
    </row>
    <row r="8667">
      <c r="B8667" s="24" t="inlineStr">
        <is>
          <t>CaseBrief</t>
        </is>
      </c>
      <c r="C8667" s="24" t="inlineStr">
        <is>
          <t>案由</t>
        </is>
      </c>
      <c r="D8667" s="24" t="inlineStr">
        <is>
          <t>04</t>
        </is>
      </c>
      <c r="E8667" s="24" t="inlineStr">
        <is>
          <t>承兑汇票</t>
        </is>
      </c>
    </row>
    <row r="8668">
      <c r="B8668" s="24" t="inlineStr">
        <is>
          <t>CaseBrief</t>
        </is>
      </c>
      <c r="C8668" s="24" t="inlineStr">
        <is>
          <t>案由</t>
        </is>
      </c>
      <c r="D8668" s="24" t="inlineStr">
        <is>
          <t>05</t>
        </is>
      </c>
      <c r="E8668" s="24" t="inlineStr">
        <is>
          <t>信用证纠纷</t>
        </is>
      </c>
    </row>
    <row r="8669">
      <c r="B8669" s="24" t="inlineStr">
        <is>
          <t>CaseBrief</t>
        </is>
      </c>
      <c r="C8669" s="24" t="inlineStr">
        <is>
          <t>案由</t>
        </is>
      </c>
      <c r="D8669" s="24" t="inlineStr">
        <is>
          <t>06</t>
        </is>
      </c>
      <c r="E8669" s="24" t="inlineStr">
        <is>
          <t>保理纠纷</t>
        </is>
      </c>
    </row>
    <row r="8670">
      <c r="B8670" s="24" t="inlineStr">
        <is>
          <t>CaseBrief</t>
        </is>
      </c>
      <c r="C8670" s="24" t="inlineStr">
        <is>
          <t>案由</t>
        </is>
      </c>
      <c r="D8670" s="24" t="inlineStr">
        <is>
          <t>07</t>
        </is>
      </c>
      <c r="E8670" s="24" t="inlineStr">
        <is>
          <t>其他</t>
        </is>
      </c>
    </row>
    <row r="8671" ht="15.95" customHeight="1" s="170">
      <c r="B8671" s="122" t="inlineStr">
        <is>
          <t>码值：ReviewStyle</t>
        </is>
      </c>
    </row>
    <row r="8672">
      <c r="B8672" s="24" t="inlineStr">
        <is>
          <t>ReviewStyle</t>
        </is>
      </c>
      <c r="C8672" s="24" t="inlineStr">
        <is>
          <t>再审案件复查方式</t>
        </is>
      </c>
      <c r="D8672" s="24" t="inlineStr">
        <is>
          <t>01</t>
        </is>
      </c>
      <c r="E8672" s="24" t="inlineStr">
        <is>
          <t>书面复查</t>
        </is>
      </c>
    </row>
    <row r="8673">
      <c r="B8673" s="24" t="inlineStr">
        <is>
          <t>ReviewStyle</t>
        </is>
      </c>
      <c r="C8673" s="24" t="inlineStr">
        <is>
          <t>再审案件复查方式</t>
        </is>
      </c>
      <c r="D8673" s="24" t="inlineStr">
        <is>
          <t>02</t>
        </is>
      </c>
      <c r="E8673" s="24" t="inlineStr">
        <is>
          <t>调查</t>
        </is>
      </c>
    </row>
    <row r="8674">
      <c r="B8674" s="24" t="inlineStr">
        <is>
          <t>ReviewStyle</t>
        </is>
      </c>
      <c r="C8674" s="24" t="inlineStr">
        <is>
          <t>再审案件复查方式</t>
        </is>
      </c>
      <c r="D8674" s="24" t="inlineStr">
        <is>
          <t>03</t>
        </is>
      </c>
      <c r="E8674" s="24" t="inlineStr">
        <is>
          <t>听证会</t>
        </is>
      </c>
    </row>
    <row r="8675" ht="15.95" customHeight="1" s="170">
      <c r="B8675" s="122" t="inlineStr">
        <is>
          <t>码值：GroupRegularCheckApproveMain</t>
        </is>
      </c>
    </row>
    <row r="8676">
      <c r="B8676" s="24" t="inlineStr">
        <is>
          <t>GroupRegularCheckApproveMain</t>
        </is>
      </c>
      <c r="C8676" s="24" t="inlineStr">
        <is>
          <t>集团公司贷后定期检查审批</t>
        </is>
      </c>
      <c r="D8676" s="24" t="inlineStr">
        <is>
          <t>N</t>
        </is>
      </c>
      <c r="E8676" s="24" t="inlineStr">
        <is>
          <t>待办任务</t>
        </is>
      </c>
    </row>
    <row r="8677">
      <c r="B8677" s="24" t="inlineStr">
        <is>
          <t>GroupRegularCheckApproveMain</t>
        </is>
      </c>
      <c r="C8677" s="24" t="inlineStr">
        <is>
          <t>集团公司贷后定期检查审批</t>
        </is>
      </c>
      <c r="D8677" s="24" t="inlineStr">
        <is>
          <t>Y</t>
        </is>
      </c>
      <c r="E8677" s="24" t="inlineStr">
        <is>
          <t>已办任务</t>
        </is>
      </c>
    </row>
    <row r="8678">
      <c r="B8678" s="24" t="inlineStr">
        <is>
          <t>GroupRegularCheckApproveMain</t>
        </is>
      </c>
      <c r="C8678" s="24" t="inlineStr">
        <is>
          <t>集团公司贷后定期检查审批</t>
        </is>
      </c>
      <c r="D8678" s="24" t="inlineStr">
        <is>
          <t>当前工作/已完成工作</t>
        </is>
      </c>
      <c r="E8678" s="24" t="inlineStr">
        <is>
          <t>阶段名称</t>
        </is>
      </c>
    </row>
    <row r="8679" ht="15.95" customHeight="1" s="170">
      <c r="B8679" s="122" t="inlineStr">
        <is>
          <t>码值：OccupyMod</t>
        </is>
      </c>
    </row>
    <row r="8680">
      <c r="B8680" s="24" t="inlineStr">
        <is>
          <t>OccupyMod</t>
        </is>
      </c>
      <c r="C8680" s="24" t="inlineStr">
        <is>
          <t>占有类型</t>
        </is>
      </c>
      <c r="D8680" s="24" t="inlineStr">
        <is>
          <t>HaveOccupyOne</t>
        </is>
      </c>
      <c r="E8680" s="24" t="inlineStr">
        <is>
          <t>有则必占其一</t>
        </is>
      </c>
    </row>
    <row r="8681">
      <c r="B8681" s="24" t="inlineStr">
        <is>
          <t>OccupyMod</t>
        </is>
      </c>
      <c r="C8681" s="24" t="inlineStr">
        <is>
          <t>占有类型</t>
        </is>
      </c>
      <c r="D8681" s="24" t="inlineStr">
        <is>
          <t>MustOccupyOne</t>
        </is>
      </c>
      <c r="E8681" s="24" t="inlineStr">
        <is>
          <t>必占其一</t>
        </is>
      </c>
    </row>
    <row r="8682">
      <c r="B8682" s="24" t="inlineStr">
        <is>
          <t>OccupyMod</t>
        </is>
      </c>
      <c r="C8682" s="24" t="inlineStr">
        <is>
          <t>占有类型</t>
        </is>
      </c>
      <c r="D8682" s="24" t="inlineStr">
        <is>
          <t>UnnecessaryOccupy</t>
        </is>
      </c>
      <c r="E8682" s="24" t="inlineStr">
        <is>
          <t>非必占</t>
        </is>
      </c>
    </row>
    <row r="8683" ht="15.95" customHeight="1" s="170">
      <c r="B8683" s="122" t="inlineStr">
        <is>
          <t>码值：RepayCycle</t>
        </is>
      </c>
    </row>
    <row r="8684">
      <c r="B8684" s="24" t="inlineStr">
        <is>
          <t>RepayCycle</t>
        </is>
      </c>
      <c r="C8684" s="24" t="inlineStr">
        <is>
          <t>还款周期</t>
        </is>
      </c>
      <c r="D8684" s="24" t="inlineStr">
        <is>
          <t>01</t>
        </is>
      </c>
      <c r="E8684" s="24" t="inlineStr">
        <is>
          <t>月</t>
        </is>
      </c>
    </row>
    <row r="8685">
      <c r="B8685" s="24" t="inlineStr">
        <is>
          <t>RepayCycle</t>
        </is>
      </c>
      <c r="C8685" s="24" t="inlineStr">
        <is>
          <t>还款周期</t>
        </is>
      </c>
      <c r="D8685" s="24" t="inlineStr">
        <is>
          <t>02</t>
        </is>
      </c>
      <c r="E8685" s="24" t="inlineStr">
        <is>
          <t>季</t>
        </is>
      </c>
    </row>
    <row r="8686">
      <c r="B8686" s="24" t="inlineStr">
        <is>
          <t>RepayCycle</t>
        </is>
      </c>
      <c r="C8686" s="24" t="inlineStr">
        <is>
          <t>还款周期</t>
        </is>
      </c>
      <c r="D8686" s="24" t="inlineStr">
        <is>
          <t>03</t>
        </is>
      </c>
      <c r="E8686" s="24" t="inlineStr">
        <is>
          <t>半年</t>
        </is>
      </c>
    </row>
    <row r="8687">
      <c r="B8687" s="24" t="inlineStr">
        <is>
          <t>RepayCycle</t>
        </is>
      </c>
      <c r="C8687" s="24" t="inlineStr">
        <is>
          <t>还款周期</t>
        </is>
      </c>
      <c r="D8687" s="24" t="inlineStr">
        <is>
          <t>04</t>
        </is>
      </c>
      <c r="E8687" s="24" t="inlineStr">
        <is>
          <t>年</t>
        </is>
      </c>
    </row>
    <row r="8688">
      <c r="B8688" s="24" t="inlineStr">
        <is>
          <t>RepayCycle</t>
        </is>
      </c>
      <c r="C8688" s="24" t="inlineStr">
        <is>
          <t>还款周期</t>
        </is>
      </c>
      <c r="D8688" s="24" t="inlineStr">
        <is>
          <t>05</t>
        </is>
      </c>
      <c r="E8688" s="24" t="inlineStr">
        <is>
          <t>双月</t>
        </is>
      </c>
    </row>
    <row r="8689">
      <c r="B8689" s="24" t="inlineStr">
        <is>
          <t>RepayCycle</t>
        </is>
      </c>
      <c r="C8689" s="24" t="inlineStr">
        <is>
          <t>还款周期</t>
        </is>
      </c>
      <c r="D8689" s="24" t="inlineStr">
        <is>
          <t>06</t>
        </is>
      </c>
      <c r="E8689" s="24" t="inlineStr">
        <is>
          <t>一次</t>
        </is>
      </c>
    </row>
    <row r="8690" ht="15.95" customHeight="1" s="170">
      <c r="B8690" s="122" t="inlineStr">
        <is>
          <t>码值：ReserveApplyMain</t>
        </is>
      </c>
    </row>
    <row r="8691">
      <c r="B8691" s="24" t="inlineStr">
        <is>
          <t>ReserveApplyMain</t>
        </is>
      </c>
      <c r="C8691" s="24" t="inlineStr">
        <is>
          <t>单项计提减值准备认定申请树图</t>
        </is>
      </c>
      <c r="D8691" s="24" t="inlineStr">
        <is>
          <t>1010</t>
        </is>
      </c>
      <c r="E8691" s="24" t="inlineStr">
        <is>
          <t>待处理单项计提申请</t>
        </is>
      </c>
    </row>
    <row r="8692">
      <c r="B8692" s="24" t="inlineStr">
        <is>
          <t>ReserveApplyMain</t>
        </is>
      </c>
      <c r="C8692" s="24" t="inlineStr">
        <is>
          <t>单项计提减值准备认定申请树图</t>
        </is>
      </c>
      <c r="D8692" s="24" t="inlineStr">
        <is>
          <t>1020</t>
        </is>
      </c>
      <c r="E8692" s="24" t="inlineStr">
        <is>
          <t>审查审批中的单项计提申请</t>
        </is>
      </c>
    </row>
    <row r="8693">
      <c r="B8693" s="24" t="inlineStr">
        <is>
          <t>ReserveApplyMain</t>
        </is>
      </c>
      <c r="C8693" s="24" t="inlineStr">
        <is>
          <t>单项计提减值准备认定申请树图</t>
        </is>
      </c>
      <c r="D8693" s="24" t="inlineStr">
        <is>
          <t>1030</t>
        </is>
      </c>
      <c r="E8693" s="24" t="inlineStr">
        <is>
          <t>退回重新预测未来现金流</t>
        </is>
      </c>
    </row>
    <row r="8694">
      <c r="B8694" s="24" t="inlineStr">
        <is>
          <t>ReserveApplyMain</t>
        </is>
      </c>
      <c r="C8694" s="24" t="inlineStr">
        <is>
          <t>单项计提减值准备认定申请树图</t>
        </is>
      </c>
      <c r="D8694" s="24" t="inlineStr">
        <is>
          <t>1040</t>
        </is>
      </c>
      <c r="E8694" s="24" t="inlineStr">
        <is>
          <t>审批通过的申请</t>
        </is>
      </c>
    </row>
    <row r="8695">
      <c r="B8695" s="24" t="inlineStr">
        <is>
          <t>ReserveApplyMain</t>
        </is>
      </c>
      <c r="C8695" s="24" t="inlineStr">
        <is>
          <t>单项计提减值准备认定申请树图</t>
        </is>
      </c>
      <c r="D8695" s="24" t="inlineStr">
        <is>
          <t>1050</t>
        </is>
      </c>
      <c r="E8695" s="24" t="inlineStr">
        <is>
          <t>单项计提待转组合计提</t>
        </is>
      </c>
    </row>
    <row r="8696">
      <c r="B8696" s="24" t="inlineStr">
        <is>
          <t>ReserveApplyMain</t>
        </is>
      </c>
      <c r="C8696" s="24" t="inlineStr">
        <is>
          <t>单项计提减值准备认定申请树图</t>
        </is>
      </c>
      <c r="D8696" s="24" t="inlineStr">
        <is>
          <t>1060</t>
        </is>
      </c>
      <c r="E8696" s="24" t="inlineStr">
        <is>
          <t>已归档的单项计提申请</t>
        </is>
      </c>
    </row>
    <row r="8697" ht="15.95" customHeight="1" s="170">
      <c r="B8697" s="122" t="inlineStr">
        <is>
          <t>码值：SpecialCheckApplyMain</t>
        </is>
      </c>
    </row>
    <row r="8698">
      <c r="B8698" s="24" t="inlineStr">
        <is>
          <t>SpecialCheckApplyMain</t>
        </is>
      </c>
      <c r="C8698" s="24" t="inlineStr">
        <is>
          <t>专项检查申请</t>
        </is>
      </c>
      <c r="D8698" s="24" t="inlineStr">
        <is>
          <t>1010</t>
        </is>
      </c>
      <c r="E8698" s="24" t="inlineStr">
        <is>
          <t>待处理</t>
        </is>
      </c>
    </row>
    <row r="8699">
      <c r="B8699" s="24" t="inlineStr">
        <is>
          <t>SpecialCheckApplyMain</t>
        </is>
      </c>
      <c r="C8699" s="24" t="inlineStr">
        <is>
          <t>专项检查申请</t>
        </is>
      </c>
      <c r="D8699" s="24" t="inlineStr">
        <is>
          <t>1020</t>
        </is>
      </c>
      <c r="E8699" s="24" t="inlineStr">
        <is>
          <t>审批中</t>
        </is>
      </c>
    </row>
    <row r="8700">
      <c r="B8700" s="24" t="inlineStr">
        <is>
          <t>SpecialCheckApplyMain</t>
        </is>
      </c>
      <c r="C8700" s="24" t="inlineStr">
        <is>
          <t>专项检查申请</t>
        </is>
      </c>
      <c r="D8700" s="24" t="inlineStr">
        <is>
          <t>1040,1050</t>
        </is>
      </c>
      <c r="E8700" s="24" t="inlineStr">
        <is>
          <t>处理完成</t>
        </is>
      </c>
    </row>
    <row r="8701" ht="15.95" customHeight="1" s="170">
      <c r="B8701" s="122" t="inlineStr">
        <is>
          <t>码值：ProjectRegularCheckApproveMain</t>
        </is>
      </c>
    </row>
    <row r="8702">
      <c r="B8702" s="24" t="inlineStr">
        <is>
          <t>ProjectRegularCheckApproveMain</t>
        </is>
      </c>
      <c r="C8702" s="24" t="inlineStr">
        <is>
          <t>合作项目检查审批主树图</t>
        </is>
      </c>
      <c r="D8702" s="24" t="inlineStr">
        <is>
          <t>N</t>
        </is>
      </c>
      <c r="E8702" s="24" t="inlineStr">
        <is>
          <t>待办任务</t>
        </is>
      </c>
    </row>
    <row r="8703">
      <c r="B8703" s="24" t="inlineStr">
        <is>
          <t>ProjectRegularCheckApproveMain</t>
        </is>
      </c>
      <c r="C8703" s="24" t="inlineStr">
        <is>
          <t>合作项目检查审批主树图</t>
        </is>
      </c>
      <c r="D8703" s="24" t="inlineStr">
        <is>
          <t>Y</t>
        </is>
      </c>
      <c r="E8703" s="24" t="inlineStr">
        <is>
          <t>已办任务</t>
        </is>
      </c>
    </row>
    <row r="8704">
      <c r="B8704" s="24" t="inlineStr">
        <is>
          <t>ProjectRegularCheckApproveMain</t>
        </is>
      </c>
      <c r="C8704" s="24" t="inlineStr">
        <is>
          <t>合作项目检查审批主树图</t>
        </is>
      </c>
      <c r="D8704" s="24" t="inlineStr">
        <is>
          <t>当前工作/已完成工作</t>
        </is>
      </c>
      <c r="E8704" s="24" t="inlineStr">
        <is>
          <t>阶段名称</t>
        </is>
      </c>
    </row>
    <row r="8705" ht="15.95" customHeight="1" s="170">
      <c r="B8705" s="122" t="inlineStr">
        <is>
          <t>码值：当地产业政策</t>
        </is>
      </c>
    </row>
    <row r="8706">
      <c r="B8706" s="24" t="inlineStr">
        <is>
          <t>当地产业政策</t>
        </is>
      </c>
      <c r="C8706" s="24" t="inlineStr">
        <is>
          <t>当地产业政策</t>
        </is>
      </c>
      <c r="D8706" s="24" t="inlineStr">
        <is>
          <t>1</t>
        </is>
      </c>
      <c r="E8706" s="24" t="inlineStr">
        <is>
          <t>鼓励发展</t>
        </is>
      </c>
    </row>
    <row r="8707">
      <c r="B8707" s="24" t="inlineStr">
        <is>
          <t>当地产业政策</t>
        </is>
      </c>
      <c r="C8707" s="24" t="inlineStr">
        <is>
          <t>当地产业政策</t>
        </is>
      </c>
      <c r="D8707" s="24" t="inlineStr">
        <is>
          <t>2</t>
        </is>
      </c>
      <c r="E8707" s="24" t="inlineStr">
        <is>
          <t>一般态度</t>
        </is>
      </c>
    </row>
    <row r="8708">
      <c r="B8708" s="24" t="inlineStr">
        <is>
          <t>当地产业政策</t>
        </is>
      </c>
      <c r="C8708" s="24" t="inlineStr">
        <is>
          <t>当地产业政策</t>
        </is>
      </c>
      <c r="D8708" s="24" t="inlineStr">
        <is>
          <t>3</t>
        </is>
      </c>
      <c r="E8708" s="24" t="inlineStr">
        <is>
          <t>限制发展</t>
        </is>
      </c>
    </row>
    <row r="8709" ht="15.95" customHeight="1" s="170">
      <c r="B8709" s="122" t="inlineStr">
        <is>
          <t>码值：BondIssuance</t>
        </is>
      </c>
    </row>
    <row r="8710">
      <c r="B8710" s="24" t="inlineStr">
        <is>
          <t>BondIssuance</t>
        </is>
      </c>
      <c r="C8710" s="24" t="inlineStr">
        <is>
          <t>信用等级评估统一导入</t>
        </is>
      </c>
      <c r="D8710" s="24" t="inlineStr">
        <is>
          <t>1</t>
        </is>
      </c>
      <c r="E8710" s="24" t="inlineStr">
        <is>
          <t>近2年发行过债券</t>
        </is>
      </c>
    </row>
    <row r="8711">
      <c r="B8711" s="24" t="inlineStr">
        <is>
          <t>BondIssuance</t>
        </is>
      </c>
      <c r="C8711" s="24" t="inlineStr">
        <is>
          <t>信用等级评估统一导入</t>
        </is>
      </c>
      <c r="D8711" s="24" t="inlineStr">
        <is>
          <t>2</t>
        </is>
      </c>
      <c r="E8711" s="24" t="inlineStr">
        <is>
          <t>已取得发债资格</t>
        </is>
      </c>
    </row>
    <row r="8712">
      <c r="B8712" s="24" t="inlineStr">
        <is>
          <t>BondIssuance</t>
        </is>
      </c>
      <c r="C8712" s="24" t="inlineStr">
        <is>
          <t>信用等级评估统一导入</t>
        </is>
      </c>
      <c r="D8712" s="24" t="inlineStr">
        <is>
          <t>3</t>
        </is>
      </c>
      <c r="E8712" s="24" t="inlineStr">
        <is>
          <t>无发债资格</t>
        </is>
      </c>
    </row>
    <row r="8713" ht="15.95" customHeight="1" s="170">
      <c r="B8713" s="122" t="inlineStr">
        <is>
          <t>码值：CreditLimitFlowAppMain</t>
        </is>
      </c>
    </row>
    <row r="8714">
      <c r="B8714" s="24" t="inlineStr">
        <is>
          <t>CreditLimitFlowAppMain</t>
        </is>
      </c>
      <c r="C8714" s="24" t="n"/>
      <c r="D8714" s="24" t="inlineStr">
        <is>
          <t>N</t>
        </is>
      </c>
      <c r="E8714" s="24" t="inlineStr">
        <is>
          <t>当前工作</t>
        </is>
      </c>
    </row>
    <row r="8715">
      <c r="B8715" s="24" t="inlineStr">
        <is>
          <t>CreditLimitFlowAppMain</t>
        </is>
      </c>
      <c r="C8715" s="24" t="n"/>
      <c r="D8715" s="24" t="inlineStr">
        <is>
          <t>Y</t>
        </is>
      </c>
      <c r="E8715" s="24" t="inlineStr">
        <is>
          <t>已完成工作</t>
        </is>
      </c>
    </row>
    <row r="8716" ht="15.95" customHeight="1" s="170">
      <c r="B8716" s="122" t="inlineStr">
        <is>
          <t>码值：SMECreditReplace</t>
        </is>
      </c>
    </row>
    <row r="8717">
      <c r="B8717" s="24" t="inlineStr">
        <is>
          <t>SMECreditReplace</t>
        </is>
      </c>
      <c r="C8717" s="24" t="inlineStr">
        <is>
          <t>产品替代性</t>
        </is>
      </c>
      <c r="D8717" s="24" t="inlineStr">
        <is>
          <t>01</t>
        </is>
      </c>
      <c r="E8717" s="24" t="inlineStr">
        <is>
          <t>弱</t>
        </is>
      </c>
    </row>
    <row r="8718">
      <c r="B8718" s="24" t="inlineStr">
        <is>
          <t>SMECreditReplace</t>
        </is>
      </c>
      <c r="C8718" s="24" t="inlineStr">
        <is>
          <t>产品替代性</t>
        </is>
      </c>
      <c r="D8718" s="24" t="inlineStr">
        <is>
          <t>02</t>
        </is>
      </c>
      <c r="E8718" s="24" t="inlineStr">
        <is>
          <t>强</t>
        </is>
      </c>
    </row>
    <row r="8719" ht="15.95" customHeight="1" s="170">
      <c r="B8719" s="122" t="inlineStr">
        <is>
          <t>码值：InsuranceaType</t>
        </is>
      </c>
    </row>
    <row r="8720">
      <c r="B8720" s="24" t="inlineStr">
        <is>
          <t>InsuranceaType</t>
        </is>
      </c>
      <c r="C8720" s="24" t="inlineStr">
        <is>
          <t>保险费交缴方式</t>
        </is>
      </c>
      <c r="D8720" s="24" t="inlineStr">
        <is>
          <t>01</t>
        </is>
      </c>
      <c r="E8720" s="24" t="inlineStr">
        <is>
          <t>分期</t>
        </is>
      </c>
    </row>
    <row r="8721">
      <c r="B8721" s="24" t="inlineStr">
        <is>
          <t>InsuranceaType</t>
        </is>
      </c>
      <c r="C8721" s="24" t="inlineStr">
        <is>
          <t>保险费交缴方式</t>
        </is>
      </c>
      <c r="D8721" s="24" t="inlineStr">
        <is>
          <t>02</t>
        </is>
      </c>
      <c r="E8721" s="24" t="inlineStr">
        <is>
          <t>趸交</t>
        </is>
      </c>
    </row>
    <row r="8722" ht="15.95" customHeight="1" s="170">
      <c r="B8722" s="122" t="inlineStr">
        <is>
          <t>码值：行业政策</t>
        </is>
      </c>
    </row>
    <row r="8723">
      <c r="B8723" s="24" t="inlineStr">
        <is>
          <t>行业政策</t>
        </is>
      </c>
      <c r="C8723" s="24" t="inlineStr">
        <is>
          <t>行业政策</t>
        </is>
      </c>
      <c r="D8723" s="24" t="inlineStr">
        <is>
          <t>1</t>
        </is>
      </c>
      <c r="E8723" s="24" t="inlineStr">
        <is>
          <t>鼓励发展</t>
        </is>
      </c>
    </row>
    <row r="8724">
      <c r="B8724" s="24" t="inlineStr">
        <is>
          <t>行业政策</t>
        </is>
      </c>
      <c r="C8724" s="24" t="inlineStr">
        <is>
          <t>行业政策</t>
        </is>
      </c>
      <c r="D8724" s="24" t="inlineStr">
        <is>
          <t>2</t>
        </is>
      </c>
      <c r="E8724" s="24" t="inlineStr">
        <is>
          <t>一般态度</t>
        </is>
      </c>
    </row>
    <row r="8725">
      <c r="B8725" s="24" t="inlineStr">
        <is>
          <t>行业政策</t>
        </is>
      </c>
      <c r="C8725" s="24" t="inlineStr">
        <is>
          <t>行业政策</t>
        </is>
      </c>
      <c r="D8725" s="24" t="inlineStr">
        <is>
          <t>3</t>
        </is>
      </c>
      <c r="E8725" s="24" t="inlineStr">
        <is>
          <t>限制发展</t>
        </is>
      </c>
    </row>
    <row r="8726">
      <c r="B8726" s="24" t="inlineStr">
        <is>
          <t>行业政策</t>
        </is>
      </c>
      <c r="C8726" s="24" t="inlineStr">
        <is>
          <t>行业政策</t>
        </is>
      </c>
      <c r="D8726" s="24" t="inlineStr">
        <is>
          <t>4</t>
        </is>
      </c>
      <c r="E8726" s="24" t="inlineStr">
        <is>
          <t>要求淘汰</t>
        </is>
      </c>
    </row>
    <row r="8727" ht="15.95" customHeight="1" s="170">
      <c r="B8727" s="122" t="inlineStr">
        <is>
          <t>码值：FinalApproveType</t>
        </is>
      </c>
    </row>
    <row r="8728">
      <c r="B8728" s="24" t="inlineStr">
        <is>
          <t>FinalApproveType</t>
        </is>
      </c>
      <c r="C8728" s="24" t="inlineStr">
        <is>
          <t>最终审批意见类型</t>
        </is>
      </c>
      <c r="D8728" s="24" t="inlineStr">
        <is>
          <t>01</t>
        </is>
      </c>
      <c r="E8728" s="24" t="inlineStr">
        <is>
          <t>同意最终审批意见</t>
        </is>
      </c>
    </row>
    <row r="8729">
      <c r="B8729" s="24" t="inlineStr">
        <is>
          <t>FinalApproveType</t>
        </is>
      </c>
      <c r="C8729" s="24" t="inlineStr">
        <is>
          <t>最终审批意见类型</t>
        </is>
      </c>
      <c r="D8729" s="24" t="inlineStr">
        <is>
          <t>02</t>
        </is>
      </c>
      <c r="E8729" s="24" t="inlineStr">
        <is>
          <t>否决最终审批意见</t>
        </is>
      </c>
    </row>
    <row r="8730" ht="15.95" customHeight="1" s="170">
      <c r="B8730" s="122" t="inlineStr">
        <is>
          <t>码值：OwnershipStructure</t>
        </is>
      </c>
    </row>
    <row r="8731">
      <c r="B8731" s="24" t="inlineStr">
        <is>
          <t>OwnershipStructure</t>
        </is>
      </c>
      <c r="C8731" s="24" t="inlineStr">
        <is>
          <t>信用等级评估统一导入</t>
        </is>
      </c>
      <c r="D8731" s="24" t="inlineStr">
        <is>
          <t>01</t>
        </is>
      </c>
      <c r="E8731" s="24" t="inlineStr">
        <is>
          <t>国有独资</t>
        </is>
      </c>
    </row>
    <row r="8732">
      <c r="B8732" s="24" t="inlineStr">
        <is>
          <t>OwnershipStructure</t>
        </is>
      </c>
      <c r="C8732" s="24" t="inlineStr">
        <is>
          <t>信用等级评估统一导入</t>
        </is>
      </c>
      <c r="D8732" s="24" t="inlineStr">
        <is>
          <t>02</t>
        </is>
      </c>
      <c r="E8732" s="24" t="inlineStr">
        <is>
          <t>政府控股</t>
        </is>
      </c>
    </row>
    <row r="8733" ht="15.95" customHeight="1" s="170">
      <c r="B8733" s="122" t="inlineStr">
        <is>
          <t>码值：行业年限1</t>
        </is>
      </c>
    </row>
    <row r="8734">
      <c r="B8734" s="24" t="inlineStr">
        <is>
          <t>行业年限1</t>
        </is>
      </c>
      <c r="C8734" s="24" t="inlineStr">
        <is>
          <t>行业年限1</t>
        </is>
      </c>
      <c r="D8734" s="24" t="inlineStr">
        <is>
          <t>1</t>
        </is>
      </c>
      <c r="E8734" s="24" t="inlineStr">
        <is>
          <t>8年及8年以上</t>
        </is>
      </c>
    </row>
    <row r="8735">
      <c r="B8735" s="24" t="inlineStr">
        <is>
          <t>行业年限1</t>
        </is>
      </c>
      <c r="C8735" s="24" t="inlineStr">
        <is>
          <t>行业年限1</t>
        </is>
      </c>
      <c r="D8735" s="24" t="inlineStr">
        <is>
          <t>2</t>
        </is>
      </c>
      <c r="E8735" s="24" t="inlineStr">
        <is>
          <t>5年至8年</t>
        </is>
      </c>
    </row>
    <row r="8736">
      <c r="B8736" s="24" t="inlineStr">
        <is>
          <t>行业年限1</t>
        </is>
      </c>
      <c r="C8736" s="24" t="inlineStr">
        <is>
          <t>行业年限1</t>
        </is>
      </c>
      <c r="D8736" s="24" t="inlineStr">
        <is>
          <t>3</t>
        </is>
      </c>
      <c r="E8736" s="24" t="inlineStr">
        <is>
          <t>5年以下</t>
        </is>
      </c>
    </row>
    <row r="8737" ht="15.95" customHeight="1" s="170">
      <c r="B8737" s="122" t="inlineStr">
        <is>
          <t>码值：DebtType</t>
        </is>
      </c>
    </row>
    <row r="8738">
      <c r="B8738" s="24" t="inlineStr">
        <is>
          <t>DebtType</t>
        </is>
      </c>
      <c r="C8738" s="24" t="inlineStr">
        <is>
          <t>其它负债类型</t>
        </is>
      </c>
      <c r="D8738" s="24" t="inlineStr">
        <is>
          <t>01</t>
        </is>
      </c>
      <c r="E8738" s="24" t="inlineStr">
        <is>
          <t>个人借贷(借入)</t>
        </is>
      </c>
    </row>
    <row r="8739">
      <c r="B8739" s="24" t="inlineStr">
        <is>
          <t>DebtType</t>
        </is>
      </c>
      <c r="C8739" s="24" t="inlineStr">
        <is>
          <t>其它负债类型</t>
        </is>
      </c>
      <c r="D8739" s="24" t="inlineStr">
        <is>
          <t>02</t>
        </is>
      </c>
      <c r="E8739" s="24" t="inlineStr">
        <is>
          <t>分期付款</t>
        </is>
      </c>
    </row>
    <row r="8740">
      <c r="B8740" s="24" t="inlineStr">
        <is>
          <t>DebtType</t>
        </is>
      </c>
      <c r="C8740" s="24" t="inlineStr">
        <is>
          <t>其它负债类型</t>
        </is>
      </c>
      <c r="D8740" s="24" t="inlineStr">
        <is>
          <t>03</t>
        </is>
      </c>
      <c r="E8740" s="24" t="inlineStr">
        <is>
          <t>应付帐单</t>
        </is>
      </c>
    </row>
    <row r="8741">
      <c r="B8741" s="24" t="inlineStr">
        <is>
          <t>DebtType</t>
        </is>
      </c>
      <c r="C8741" s="24" t="inlineStr">
        <is>
          <t>其它负债类型</t>
        </is>
      </c>
      <c r="D8741" s="24" t="inlineStr">
        <is>
          <t>04</t>
        </is>
      </c>
      <c r="E8741" s="24" t="inlineStr">
        <is>
          <t>其它</t>
        </is>
      </c>
    </row>
    <row r="8742" ht="15.95" customHeight="1" s="170">
      <c r="B8742" s="122" t="inlineStr">
        <is>
          <t>码值：ImportanceOfGoverment</t>
        </is>
      </c>
    </row>
    <row r="8743">
      <c r="B8743" s="24" t="inlineStr">
        <is>
          <t>ImportanceOfGoverment</t>
        </is>
      </c>
      <c r="C8743" s="24" t="inlineStr">
        <is>
          <t>信用等级评估统一导入</t>
        </is>
      </c>
      <c r="D8743" s="24" t="inlineStr">
        <is>
          <t>01</t>
        </is>
      </c>
      <c r="E8743" s="24" t="inlineStr">
        <is>
          <t>事业单位可能是“旗舰”国家公司</t>
        </is>
      </c>
    </row>
    <row r="8744">
      <c r="B8744" s="24" t="inlineStr">
        <is>
          <t>ImportanceOfGoverment</t>
        </is>
      </c>
      <c r="C8744" s="24" t="inlineStr">
        <is>
          <t>信用等级评估统一导入</t>
        </is>
      </c>
      <c r="D8744" s="24" t="inlineStr">
        <is>
          <t>02</t>
        </is>
      </c>
      <c r="E8744" s="24" t="inlineStr">
        <is>
          <t>违约对当地政府声誉影响较大</t>
        </is>
      </c>
    </row>
    <row r="8745">
      <c r="B8745" s="24" t="inlineStr">
        <is>
          <t>ImportanceOfGoverment</t>
        </is>
      </c>
      <c r="C8745" s="24" t="inlineStr">
        <is>
          <t>信用等级评估统一导入</t>
        </is>
      </c>
      <c r="D8745" s="24" t="inlineStr">
        <is>
          <t>03</t>
        </is>
      </c>
      <c r="E8745" s="24" t="inlineStr">
        <is>
          <t>重要性较低，对于政府沒有策略意义</t>
        </is>
      </c>
    </row>
    <row r="8746" ht="15.95" customHeight="1" s="170">
      <c r="B8746" s="122" t="inlineStr">
        <is>
          <t>码值：金融资产</t>
        </is>
      </c>
    </row>
    <row r="8747">
      <c r="B8747" s="24" t="inlineStr">
        <is>
          <t>金融资产</t>
        </is>
      </c>
      <c r="C8747" s="24" t="inlineStr">
        <is>
          <t>金融资产</t>
        </is>
      </c>
      <c r="D8747" s="24" t="inlineStr">
        <is>
          <t>1</t>
        </is>
      </c>
      <c r="E8747" s="24" t="inlineStr">
        <is>
          <t xml:space="preserve">10万元以下(含10万元) </t>
        </is>
      </c>
    </row>
    <row r="8748">
      <c r="B8748" s="24" t="inlineStr">
        <is>
          <t>金融资产</t>
        </is>
      </c>
      <c r="C8748" s="24" t="inlineStr">
        <is>
          <t>金融资产</t>
        </is>
      </c>
      <c r="D8748" s="24" t="inlineStr">
        <is>
          <t>2</t>
        </is>
      </c>
      <c r="E8748" s="24" t="inlineStr">
        <is>
          <t xml:space="preserve">10万元－30万元(含30万元) </t>
        </is>
      </c>
    </row>
    <row r="8749">
      <c r="B8749" s="24" t="inlineStr">
        <is>
          <t>金融资产</t>
        </is>
      </c>
      <c r="C8749" s="24" t="inlineStr">
        <is>
          <t>金融资产</t>
        </is>
      </c>
      <c r="D8749" s="24" t="inlineStr">
        <is>
          <t>3</t>
        </is>
      </c>
      <c r="E8749" s="24" t="inlineStr">
        <is>
          <t xml:space="preserve">30万元－50万元(含50万元) </t>
        </is>
      </c>
    </row>
    <row r="8750">
      <c r="B8750" s="24" t="inlineStr">
        <is>
          <t>金融资产</t>
        </is>
      </c>
      <c r="C8750" s="24" t="inlineStr">
        <is>
          <t>金融资产</t>
        </is>
      </c>
      <c r="D8750" s="24" t="inlineStr">
        <is>
          <t>4</t>
        </is>
      </c>
      <c r="E8750" s="24" t="inlineStr">
        <is>
          <t>50万元以上</t>
        </is>
      </c>
    </row>
    <row r="8751" ht="15.95" customHeight="1" s="170">
      <c r="B8751" s="122" t="inlineStr">
        <is>
          <t>码值：ComponentParameterDataType</t>
        </is>
      </c>
    </row>
    <row r="8752">
      <c r="B8752" s="24" t="inlineStr">
        <is>
          <t>ComponentParameterDataType</t>
        </is>
      </c>
      <c r="C8752" s="24" t="inlineStr">
        <is>
          <t>业务组件参数数据类型</t>
        </is>
      </c>
      <c r="D8752" s="24" t="inlineStr">
        <is>
          <t>1</t>
        </is>
      </c>
      <c r="E8752" s="24" t="inlineStr">
        <is>
          <t>文本</t>
        </is>
      </c>
    </row>
    <row r="8753">
      <c r="B8753" s="24" t="inlineStr">
        <is>
          <t>ComponentParameterDataType</t>
        </is>
      </c>
      <c r="C8753" s="24" t="inlineStr">
        <is>
          <t>业务组件参数数据类型</t>
        </is>
      </c>
      <c r="D8753" s="24" t="inlineStr">
        <is>
          <t>2</t>
        </is>
      </c>
      <c r="E8753" s="24" t="inlineStr">
        <is>
          <t>金额</t>
        </is>
      </c>
    </row>
    <row r="8754">
      <c r="B8754" s="24" t="inlineStr">
        <is>
          <t>ComponentParameterDataType</t>
        </is>
      </c>
      <c r="C8754" s="24" t="inlineStr">
        <is>
          <t>业务组件参数数据类型</t>
        </is>
      </c>
      <c r="D8754" s="24" t="inlineStr">
        <is>
          <t>3</t>
        </is>
      </c>
      <c r="E8754" s="24" t="inlineStr">
        <is>
          <t>日期</t>
        </is>
      </c>
    </row>
    <row r="8755">
      <c r="B8755" s="24" t="inlineStr">
        <is>
          <t>ComponentParameterDataType</t>
        </is>
      </c>
      <c r="C8755" s="24" t="inlineStr">
        <is>
          <t>业务组件参数数据类型</t>
        </is>
      </c>
      <c r="D8755" s="24" t="inlineStr">
        <is>
          <t>4</t>
        </is>
      </c>
      <c r="E8755" s="24" t="inlineStr">
        <is>
          <t>选项</t>
        </is>
      </c>
    </row>
    <row r="8756">
      <c r="B8756" s="24" t="inlineStr">
        <is>
          <t>ComponentParameterDataType</t>
        </is>
      </c>
      <c r="C8756" s="24" t="inlineStr">
        <is>
          <t>业务组件参数数据类型</t>
        </is>
      </c>
      <c r="D8756" s="24" t="inlineStr">
        <is>
          <t>5</t>
        </is>
      </c>
      <c r="E8756" s="24" t="inlineStr">
        <is>
          <t>整数</t>
        </is>
      </c>
    </row>
    <row r="8757">
      <c r="B8757" s="24" t="inlineStr">
        <is>
          <t>ComponentParameterDataType</t>
        </is>
      </c>
      <c r="C8757" s="24" t="inlineStr">
        <is>
          <t>业务组件参数数据类型</t>
        </is>
      </c>
      <c r="D8757" s="24" t="inlineStr">
        <is>
          <t>6</t>
        </is>
      </c>
      <c r="E8757" s="24" t="inlineStr">
        <is>
          <t>利率</t>
        </is>
      </c>
    </row>
    <row r="8758" ht="15.95" customHeight="1" s="170">
      <c r="B8758" s="122" t="inlineStr">
        <is>
          <t>码值：HouseStructureType</t>
        </is>
      </c>
    </row>
    <row r="8759">
      <c r="B8759" s="24" t="inlineStr">
        <is>
          <t>HouseStructureType</t>
        </is>
      </c>
      <c r="C8759" s="24" t="inlineStr">
        <is>
          <t>房产结构类型</t>
        </is>
      </c>
      <c r="D8759" s="24" t="inlineStr">
        <is>
          <t>Athse</t>
        </is>
      </c>
      <c r="E8759" s="24" t="inlineStr">
        <is>
          <t>附属物</t>
        </is>
      </c>
    </row>
    <row r="8760">
      <c r="B8760" s="24" t="inlineStr">
        <is>
          <t>HouseStructureType</t>
        </is>
      </c>
      <c r="C8760" s="24" t="inlineStr">
        <is>
          <t>房产结构类型</t>
        </is>
      </c>
      <c r="D8760" s="24" t="inlineStr">
        <is>
          <t>Bung</t>
        </is>
      </c>
      <c r="E8760" s="24" t="inlineStr">
        <is>
          <t>平房</t>
        </is>
      </c>
    </row>
    <row r="8761">
      <c r="B8761" s="24" t="inlineStr">
        <is>
          <t>HouseStructureType</t>
        </is>
      </c>
      <c r="C8761" s="24" t="inlineStr">
        <is>
          <t>房产结构类型</t>
        </is>
      </c>
      <c r="D8761" s="24" t="inlineStr">
        <is>
          <t>High</t>
        </is>
      </c>
      <c r="E8761" s="24" t="inlineStr">
        <is>
          <t>高层</t>
        </is>
      </c>
    </row>
    <row r="8762">
      <c r="B8762" s="24" t="inlineStr">
        <is>
          <t>HouseStructureType</t>
        </is>
      </c>
      <c r="C8762" s="24" t="inlineStr">
        <is>
          <t>房产结构类型</t>
        </is>
      </c>
      <c r="D8762" s="24" t="inlineStr">
        <is>
          <t>Other</t>
        </is>
      </c>
      <c r="E8762" s="24" t="inlineStr">
        <is>
          <t>其它</t>
        </is>
      </c>
    </row>
    <row r="8763">
      <c r="B8763" s="24" t="inlineStr">
        <is>
          <t>HouseStructureType</t>
        </is>
      </c>
      <c r="C8763" s="24" t="inlineStr">
        <is>
          <t>房产结构类型</t>
        </is>
      </c>
      <c r="D8763" s="24" t="inlineStr">
        <is>
          <t>Villa</t>
        </is>
      </c>
      <c r="E8763" s="24" t="inlineStr">
        <is>
          <t>别墅</t>
        </is>
      </c>
    </row>
    <row r="8764">
      <c r="B8764" s="24" t="inlineStr">
        <is>
          <t>HouseStructureType</t>
        </is>
      </c>
      <c r="C8764" s="24" t="inlineStr">
        <is>
          <t>房产结构类型</t>
        </is>
      </c>
      <c r="D8764" s="24" t="inlineStr">
        <is>
          <t>low</t>
        </is>
      </c>
      <c r="E8764" s="24" t="inlineStr">
        <is>
          <t>低层(带电梯)</t>
        </is>
      </c>
    </row>
    <row r="8765">
      <c r="B8765" s="24" t="inlineStr">
        <is>
          <t>HouseStructureType</t>
        </is>
      </c>
      <c r="C8765" s="24" t="inlineStr">
        <is>
          <t>房产结构类型</t>
        </is>
      </c>
      <c r="D8765" s="24" t="inlineStr">
        <is>
          <t>low1</t>
        </is>
      </c>
      <c r="E8765" s="24" t="inlineStr">
        <is>
          <t>低层</t>
        </is>
      </c>
    </row>
    <row r="8766" ht="15.95" customHeight="1" s="170">
      <c r="B8766" s="122" t="inlineStr">
        <is>
          <t>码值：行业年限2</t>
        </is>
      </c>
    </row>
    <row r="8767">
      <c r="B8767" s="24" t="inlineStr">
        <is>
          <t>行业年限2</t>
        </is>
      </c>
      <c r="C8767" s="24" t="inlineStr">
        <is>
          <t>行业年限2</t>
        </is>
      </c>
      <c r="D8767" s="24" t="inlineStr">
        <is>
          <t>1</t>
        </is>
      </c>
      <c r="E8767" s="24" t="inlineStr">
        <is>
          <t>10年及10年以上</t>
        </is>
      </c>
    </row>
    <row r="8768">
      <c r="B8768" s="24" t="inlineStr">
        <is>
          <t>行业年限2</t>
        </is>
      </c>
      <c r="C8768" s="24" t="inlineStr">
        <is>
          <t>行业年限2</t>
        </is>
      </c>
      <c r="D8768" s="24" t="inlineStr">
        <is>
          <t>2</t>
        </is>
      </c>
      <c r="E8768" s="24" t="inlineStr">
        <is>
          <t>5年至10年</t>
        </is>
      </c>
    </row>
    <row r="8769">
      <c r="B8769" s="24" t="inlineStr">
        <is>
          <t>行业年限2</t>
        </is>
      </c>
      <c r="C8769" s="24" t="inlineStr">
        <is>
          <t>行业年限2</t>
        </is>
      </c>
      <c r="D8769" s="24" t="inlineStr">
        <is>
          <t>3</t>
        </is>
      </c>
      <c r="E8769" s="24" t="inlineStr">
        <is>
          <t>5年以下</t>
        </is>
      </c>
    </row>
    <row r="8770" ht="15.95" customHeight="1" s="170">
      <c r="B8770" s="122" t="inlineStr">
        <is>
          <t>码值：EconomicType</t>
        </is>
      </c>
    </row>
    <row r="8771">
      <c r="B8771" s="24" t="inlineStr">
        <is>
          <t>EconomicType</t>
        </is>
      </c>
      <c r="C8771" s="24" t="inlineStr">
        <is>
          <t>经济类型</t>
        </is>
      </c>
      <c r="D8771" s="24" t="inlineStr">
        <is>
          <t>01</t>
        </is>
      </c>
      <c r="E8771" s="24" t="inlineStr">
        <is>
          <t>国有独资</t>
        </is>
      </c>
    </row>
    <row r="8772">
      <c r="B8772" s="24" t="inlineStr">
        <is>
          <t>EconomicType</t>
        </is>
      </c>
      <c r="C8772" s="24" t="inlineStr">
        <is>
          <t>经济类型</t>
        </is>
      </c>
      <c r="D8772" s="24" t="inlineStr">
        <is>
          <t>02</t>
        </is>
      </c>
      <c r="E8772" s="24" t="inlineStr">
        <is>
          <t>国有控股</t>
        </is>
      </c>
    </row>
    <row r="8773">
      <c r="B8773" s="24" t="inlineStr">
        <is>
          <t>EconomicType</t>
        </is>
      </c>
      <c r="C8773" s="24" t="inlineStr">
        <is>
          <t>经济类型</t>
        </is>
      </c>
      <c r="D8773" s="24" t="inlineStr">
        <is>
          <t>03</t>
        </is>
      </c>
      <c r="E8773" s="24" t="inlineStr">
        <is>
          <t>集体</t>
        </is>
      </c>
    </row>
    <row r="8774">
      <c r="B8774" s="24" t="inlineStr">
        <is>
          <t>EconomicType</t>
        </is>
      </c>
      <c r="C8774" s="24" t="inlineStr">
        <is>
          <t>经济类型</t>
        </is>
      </c>
      <c r="D8774" s="24" t="inlineStr">
        <is>
          <t>04</t>
        </is>
      </c>
      <c r="E8774" s="24" t="inlineStr">
        <is>
          <t>个人</t>
        </is>
      </c>
    </row>
    <row r="8775">
      <c r="B8775" s="24" t="inlineStr">
        <is>
          <t>EconomicType</t>
        </is>
      </c>
      <c r="C8775" s="24" t="inlineStr">
        <is>
          <t>经济类型</t>
        </is>
      </c>
      <c r="D8775" s="24" t="inlineStr">
        <is>
          <t>05</t>
        </is>
      </c>
      <c r="E8775" s="24" t="inlineStr">
        <is>
          <t>联营</t>
        </is>
      </c>
    </row>
    <row r="8776">
      <c r="B8776" s="24" t="inlineStr">
        <is>
          <t>EconomicType</t>
        </is>
      </c>
      <c r="C8776" s="24" t="inlineStr">
        <is>
          <t>经济类型</t>
        </is>
      </c>
      <c r="D8776" s="24" t="inlineStr">
        <is>
          <t>06</t>
        </is>
      </c>
      <c r="E8776" s="24" t="inlineStr">
        <is>
          <t>股份有限</t>
        </is>
      </c>
    </row>
    <row r="8777">
      <c r="B8777" s="24" t="inlineStr">
        <is>
          <t>EconomicType</t>
        </is>
      </c>
      <c r="C8777" s="24" t="inlineStr">
        <is>
          <t>经济类型</t>
        </is>
      </c>
      <c r="D8777" s="24" t="inlineStr">
        <is>
          <t>07</t>
        </is>
      </c>
      <c r="E8777" s="24" t="inlineStr">
        <is>
          <t>有限责任</t>
        </is>
      </c>
    </row>
    <row r="8778">
      <c r="B8778" s="24" t="inlineStr">
        <is>
          <t>EconomicType</t>
        </is>
      </c>
      <c r="C8778" s="24" t="inlineStr">
        <is>
          <t>经济类型</t>
        </is>
      </c>
      <c r="D8778" s="24" t="inlineStr">
        <is>
          <t>08</t>
        </is>
      </c>
      <c r="E8778" s="24" t="inlineStr">
        <is>
          <t>股份合作</t>
        </is>
      </c>
    </row>
    <row r="8779">
      <c r="B8779" s="24" t="inlineStr">
        <is>
          <t>EconomicType</t>
        </is>
      </c>
      <c r="C8779" s="24" t="inlineStr">
        <is>
          <t>经济类型</t>
        </is>
      </c>
      <c r="D8779" s="24" t="inlineStr">
        <is>
          <t>09</t>
        </is>
      </c>
      <c r="E8779" s="24" t="inlineStr">
        <is>
          <t>三资（中外合资）</t>
        </is>
      </c>
    </row>
    <row r="8780">
      <c r="B8780" s="24" t="inlineStr">
        <is>
          <t>EconomicType</t>
        </is>
      </c>
      <c r="C8780" s="24" t="inlineStr">
        <is>
          <t>经济类型</t>
        </is>
      </c>
      <c r="D8780" s="24" t="inlineStr">
        <is>
          <t>10</t>
        </is>
      </c>
      <c r="E8780" s="24" t="inlineStr">
        <is>
          <t>港澳台合资</t>
        </is>
      </c>
    </row>
    <row r="8781">
      <c r="B8781" s="24" t="inlineStr">
        <is>
          <t>EconomicType</t>
        </is>
      </c>
      <c r="C8781" s="24" t="inlineStr">
        <is>
          <t>经济类型</t>
        </is>
      </c>
      <c r="D8781" s="24" t="inlineStr">
        <is>
          <t>11</t>
        </is>
      </c>
      <c r="E8781" s="24" t="inlineStr">
        <is>
          <t>其他</t>
        </is>
      </c>
    </row>
    <row r="8782" ht="15.95" customHeight="1" s="170">
      <c r="B8782" s="122" t="inlineStr">
        <is>
          <t>码值：PlantformTask</t>
        </is>
      </c>
    </row>
    <row r="8783">
      <c r="B8783" s="24" t="inlineStr">
        <is>
          <t>PlantformTask</t>
        </is>
      </c>
      <c r="C8783" s="24" t="inlineStr">
        <is>
          <t>工作台待处理任务</t>
        </is>
      </c>
      <c r="D8783" s="24" t="inlineStr">
        <is>
          <t>2344</t>
        </is>
      </c>
      <c r="E8783" s="24" t="inlineStr">
        <is>
          <t>32434</t>
        </is>
      </c>
    </row>
    <row r="8784">
      <c r="B8784" s="24" t="inlineStr">
        <is>
          <t>PlantformTask</t>
        </is>
      </c>
      <c r="C8784" s="24" t="inlineStr">
        <is>
          <t>工作台待处理任务</t>
        </is>
      </c>
      <c r="D8784" s="24" t="inlineStr">
        <is>
          <t>2345</t>
        </is>
      </c>
      <c r="E8784" s="24" t="inlineStr">
        <is>
          <t>32435</t>
        </is>
      </c>
    </row>
    <row r="8785">
      <c r="B8785" s="24" t="inlineStr">
        <is>
          <t>PlantformTask</t>
        </is>
      </c>
      <c r="C8785" s="24" t="inlineStr">
        <is>
          <t>工作台待处理任务</t>
        </is>
      </c>
      <c r="D8785" s="24" t="inlineStr">
        <is>
          <t>2346</t>
        </is>
      </c>
      <c r="E8785" s="24" t="inlineStr">
        <is>
          <t>2346</t>
        </is>
      </c>
    </row>
    <row r="8786">
      <c r="B8786" s="24" t="inlineStr">
        <is>
          <t>PlantformTask</t>
        </is>
      </c>
      <c r="C8786" s="24" t="inlineStr">
        <is>
          <t>工作台待处理任务</t>
        </is>
      </c>
      <c r="D8786" s="24" t="inlineStr">
        <is>
          <t>2347</t>
        </is>
      </c>
      <c r="E8786" s="24" t="inlineStr">
        <is>
          <t>2347</t>
        </is>
      </c>
    </row>
    <row r="8787" ht="15.95" customHeight="1" s="170">
      <c r="B8787" s="122" t="inlineStr">
        <is>
          <t>码值：PreIntType</t>
        </is>
      </c>
    </row>
    <row r="8788">
      <c r="B8788" s="24" t="inlineStr">
        <is>
          <t>PreIntType</t>
        </is>
      </c>
      <c r="C8788" s="24" t="inlineStr">
        <is>
          <t>预收息标志</t>
        </is>
      </c>
      <c r="D8788" s="24" t="inlineStr">
        <is>
          <t>0</t>
        </is>
      </c>
      <c r="E8788" s="24" t="inlineStr">
        <is>
          <t>不预收</t>
        </is>
      </c>
    </row>
    <row r="8789">
      <c r="B8789" s="24" t="inlineStr">
        <is>
          <t>PreIntType</t>
        </is>
      </c>
      <c r="C8789" s="24" t="inlineStr">
        <is>
          <t>预收息标志</t>
        </is>
      </c>
      <c r="D8789" s="24" t="inlineStr">
        <is>
          <t>1</t>
        </is>
      </c>
      <c r="E8789" s="24" t="inlineStr">
        <is>
          <t>先入帐再扣收</t>
        </is>
      </c>
    </row>
    <row r="8790">
      <c r="B8790" s="24" t="inlineStr">
        <is>
          <t>PreIntType</t>
        </is>
      </c>
      <c r="C8790" s="24" t="inlineStr">
        <is>
          <t>预收息标志</t>
        </is>
      </c>
      <c r="D8790" s="24" t="inlineStr">
        <is>
          <t>2</t>
        </is>
      </c>
      <c r="E8790" s="24" t="inlineStr">
        <is>
          <t>先扣收再发放</t>
        </is>
      </c>
    </row>
    <row r="8791" ht="15.95" customHeight="1" s="170">
      <c r="B8791" s="122" t="inlineStr">
        <is>
          <t>码值：CheckStyle</t>
        </is>
      </c>
    </row>
    <row r="8792">
      <c r="B8792" s="24" t="inlineStr">
        <is>
          <t>CheckStyle</t>
        </is>
      </c>
      <c r="C8792" s="24" t="inlineStr">
        <is>
          <t>检查方式</t>
        </is>
      </c>
      <c r="D8792" s="24" t="inlineStr">
        <is>
          <t>01</t>
        </is>
      </c>
      <c r="E8792" s="24" t="inlineStr">
        <is>
          <t>现场</t>
        </is>
      </c>
    </row>
    <row r="8793">
      <c r="B8793" s="24" t="inlineStr">
        <is>
          <t>CheckStyle</t>
        </is>
      </c>
      <c r="C8793" s="24" t="inlineStr">
        <is>
          <t>检查方式</t>
        </is>
      </c>
      <c r="D8793" s="24" t="inlineStr">
        <is>
          <t>02</t>
        </is>
      </c>
      <c r="E8793" s="24" t="inlineStr">
        <is>
          <t>非现场</t>
        </is>
      </c>
    </row>
    <row r="8794" ht="15.95" customHeight="1" s="170">
      <c r="B8794" s="122" t="inlineStr">
        <is>
          <t>码值：土地储备面积</t>
        </is>
      </c>
    </row>
    <row r="8795">
      <c r="B8795" s="24" t="inlineStr">
        <is>
          <t>土地储备面积</t>
        </is>
      </c>
      <c r="C8795" s="24" t="inlineStr">
        <is>
          <t>土地储备面积</t>
        </is>
      </c>
      <c r="D8795" s="24" t="inlineStr">
        <is>
          <t>1</t>
        </is>
      </c>
      <c r="E8795" s="24" t="inlineStr">
        <is>
          <t>1万平方米以上</t>
        </is>
      </c>
    </row>
    <row r="8796">
      <c r="B8796" s="24" t="inlineStr">
        <is>
          <t>土地储备面积</t>
        </is>
      </c>
      <c r="C8796" s="24" t="inlineStr">
        <is>
          <t>土地储备面积</t>
        </is>
      </c>
      <c r="D8796" s="24" t="inlineStr">
        <is>
          <t>2</t>
        </is>
      </c>
      <c r="E8796" s="24" t="inlineStr">
        <is>
          <t>1万平方米以下</t>
        </is>
      </c>
    </row>
    <row r="8797" ht="15.95" customHeight="1" s="170">
      <c r="B8797" s="122" t="inlineStr">
        <is>
          <t>码值：CorpusMortgagePayMethod</t>
        </is>
      </c>
    </row>
    <row r="8798">
      <c r="B8798" s="24" t="inlineStr">
        <is>
          <t>CorpusMortgagePayMethod</t>
        </is>
      </c>
      <c r="C8798" s="24" t="inlineStr">
        <is>
          <t>法人按揭还款方式</t>
        </is>
      </c>
      <c r="D8798" s="24" t="inlineStr">
        <is>
          <t>1</t>
        </is>
      </c>
      <c r="E8798" s="24" t="inlineStr">
        <is>
          <t>等额本息还款</t>
        </is>
      </c>
    </row>
    <row r="8799">
      <c r="B8799" s="24" t="inlineStr">
        <is>
          <t>CorpusMortgagePayMethod</t>
        </is>
      </c>
      <c r="C8799" s="24" t="inlineStr">
        <is>
          <t>法人按揭还款方式</t>
        </is>
      </c>
      <c r="D8799" s="24" t="inlineStr">
        <is>
          <t>2</t>
        </is>
      </c>
      <c r="E8799" s="24" t="inlineStr">
        <is>
          <t>等额本金还款</t>
        </is>
      </c>
    </row>
    <row r="8800">
      <c r="B8800" s="24" t="inlineStr">
        <is>
          <t>CorpusMortgagePayMethod</t>
        </is>
      </c>
      <c r="C8800" s="24" t="inlineStr">
        <is>
          <t>法人按揭还款方式</t>
        </is>
      </c>
      <c r="D8800" s="24" t="inlineStr">
        <is>
          <t>3</t>
        </is>
      </c>
      <c r="E8800" s="24" t="inlineStr">
        <is>
          <t>一次还本付息</t>
        </is>
      </c>
    </row>
    <row r="8801">
      <c r="B8801" s="24" t="inlineStr">
        <is>
          <t>CorpusMortgagePayMethod</t>
        </is>
      </c>
      <c r="C8801" s="24" t="inlineStr">
        <is>
          <t>法人按揭还款方式</t>
        </is>
      </c>
      <c r="D8801" s="24" t="inlineStr">
        <is>
          <t>4</t>
        </is>
      </c>
      <c r="E8801" s="24" t="inlineStr">
        <is>
          <t>分次付息一次还本</t>
        </is>
      </c>
    </row>
    <row r="8802" ht="15.95" customHeight="1" s="170">
      <c r="B8802" s="122" t="inlineStr">
        <is>
          <t>码值：DOType</t>
        </is>
      </c>
    </row>
    <row r="8803">
      <c r="B8803" s="24" t="inlineStr">
        <is>
          <t>DOType</t>
        </is>
      </c>
      <c r="C8803" s="24" t="inlineStr">
        <is>
          <t>数据对象分类</t>
        </is>
      </c>
      <c r="D8803" s="24" t="inlineStr">
        <is>
          <t>30</t>
        </is>
      </c>
      <c r="E8803" s="24" t="inlineStr">
        <is>
          <t>显示模版</t>
        </is>
      </c>
    </row>
    <row r="8804">
      <c r="B8804" s="24" t="inlineStr">
        <is>
          <t>DOType</t>
        </is>
      </c>
      <c r="C8804" s="24" t="inlineStr">
        <is>
          <t>数据对象分类</t>
        </is>
      </c>
      <c r="D8804" s="24" t="inlineStr">
        <is>
          <t>30010</t>
        </is>
      </c>
      <c r="E8804" s="24" t="inlineStr">
        <is>
          <t>01.客户管理</t>
        </is>
      </c>
    </row>
    <row r="8805">
      <c r="B8805" s="24" t="inlineStr">
        <is>
          <t>DOType</t>
        </is>
      </c>
      <c r="C8805" s="24" t="inlineStr">
        <is>
          <t>数据对象分类</t>
        </is>
      </c>
      <c r="D8805" s="24" t="inlineStr">
        <is>
          <t>30015</t>
        </is>
      </c>
      <c r="E8805" s="24" t="inlineStr">
        <is>
          <t>New.新客户管理</t>
        </is>
      </c>
    </row>
    <row r="8806">
      <c r="B8806" s="24" t="inlineStr">
        <is>
          <t>DOType</t>
        </is>
      </c>
      <c r="C8806" s="24" t="inlineStr">
        <is>
          <t>数据对象分类</t>
        </is>
      </c>
      <c r="D8806" s="24" t="inlineStr">
        <is>
          <t>30020</t>
        </is>
      </c>
      <c r="E8806" s="24" t="inlineStr">
        <is>
          <t>02.评级管理</t>
        </is>
      </c>
    </row>
    <row r="8807">
      <c r="B8807" s="24" t="inlineStr">
        <is>
          <t>DOType</t>
        </is>
      </c>
      <c r="C8807" s="24" t="inlineStr">
        <is>
          <t>数据对象分类</t>
        </is>
      </c>
      <c r="D8807" s="24" t="inlineStr">
        <is>
          <t>30030</t>
        </is>
      </c>
      <c r="E8807" s="24" t="inlineStr">
        <is>
          <t>03.授信申请</t>
        </is>
      </c>
    </row>
    <row r="8808">
      <c r="B8808" s="24" t="inlineStr">
        <is>
          <t>DOType</t>
        </is>
      </c>
      <c r="C8808" s="24" t="inlineStr">
        <is>
          <t>数据对象分类</t>
        </is>
      </c>
      <c r="D8808" s="24" t="inlineStr">
        <is>
          <t>30040</t>
        </is>
      </c>
      <c r="E8808" s="24" t="inlineStr">
        <is>
          <t>04.审批流程</t>
        </is>
      </c>
    </row>
    <row r="8809">
      <c r="B8809" s="24" t="inlineStr">
        <is>
          <t>DOType</t>
        </is>
      </c>
      <c r="C8809" s="24" t="inlineStr">
        <is>
          <t>数据对象分类</t>
        </is>
      </c>
      <c r="D8809" s="24" t="inlineStr">
        <is>
          <t>30050</t>
        </is>
      </c>
      <c r="E8809" s="24" t="inlineStr">
        <is>
          <t>05.终审批复</t>
        </is>
      </c>
    </row>
    <row r="8810">
      <c r="B8810" s="24" t="inlineStr">
        <is>
          <t>DOType</t>
        </is>
      </c>
      <c r="C8810" s="24" t="inlineStr">
        <is>
          <t>数据对象分类</t>
        </is>
      </c>
      <c r="D8810" s="24" t="inlineStr">
        <is>
          <t>30060</t>
        </is>
      </c>
      <c r="E8810" s="24" t="inlineStr">
        <is>
          <t>06.合同管理</t>
        </is>
      </c>
    </row>
    <row r="8811">
      <c r="B8811" s="24" t="inlineStr">
        <is>
          <t>DOType</t>
        </is>
      </c>
      <c r="C8811" s="24" t="inlineStr">
        <is>
          <t>数据对象分类</t>
        </is>
      </c>
      <c r="D8811" s="24" t="inlineStr">
        <is>
          <t>30070</t>
        </is>
      </c>
      <c r="E8811" s="24" t="inlineStr">
        <is>
          <t>07.担保管理</t>
        </is>
      </c>
    </row>
    <row r="8812">
      <c r="B8812" s="24" t="inlineStr">
        <is>
          <t>DOType</t>
        </is>
      </c>
      <c r="C8812" s="24" t="inlineStr">
        <is>
          <t>数据对象分类</t>
        </is>
      </c>
      <c r="D8812" s="24" t="inlineStr">
        <is>
          <t>30080</t>
        </is>
      </c>
      <c r="E8812" s="24" t="inlineStr">
        <is>
          <t>08.出账日终</t>
        </is>
      </c>
    </row>
    <row r="8813">
      <c r="B8813" s="24" t="inlineStr">
        <is>
          <t>DOType</t>
        </is>
      </c>
      <c r="C8813" s="24" t="inlineStr">
        <is>
          <t>数据对象分类</t>
        </is>
      </c>
      <c r="D8813" s="24" t="inlineStr">
        <is>
          <t>30090</t>
        </is>
      </c>
      <c r="E8813" s="24" t="inlineStr">
        <is>
          <t>09.贷后管理</t>
        </is>
      </c>
    </row>
    <row r="8814">
      <c r="B8814" s="24" t="inlineStr">
        <is>
          <t>DOType</t>
        </is>
      </c>
      <c r="C8814" s="24" t="inlineStr">
        <is>
          <t>数据对象分类</t>
        </is>
      </c>
      <c r="D8814" s="24" t="inlineStr">
        <is>
          <t>30100</t>
        </is>
      </c>
      <c r="E8814" s="24" t="inlineStr">
        <is>
          <t>10.资产保全</t>
        </is>
      </c>
    </row>
    <row r="8815">
      <c r="B8815" s="24" t="inlineStr">
        <is>
          <t>DOType</t>
        </is>
      </c>
      <c r="C8815" s="24" t="inlineStr">
        <is>
          <t>数据对象分类</t>
        </is>
      </c>
      <c r="D8815" s="24" t="inlineStr">
        <is>
          <t>30110</t>
        </is>
      </c>
      <c r="E8815" s="24" t="inlineStr">
        <is>
          <t>11.减值准备</t>
        </is>
      </c>
    </row>
    <row r="8816">
      <c r="B8816" s="24" t="inlineStr">
        <is>
          <t>DOType</t>
        </is>
      </c>
      <c r="C8816" s="24" t="inlineStr">
        <is>
          <t>数据对象分类</t>
        </is>
      </c>
      <c r="D8816" s="24" t="inlineStr">
        <is>
          <t>30120</t>
        </is>
      </c>
      <c r="E8816" s="24" t="inlineStr">
        <is>
          <t>12.额度管理</t>
        </is>
      </c>
    </row>
    <row r="8817">
      <c r="B8817" s="24" t="inlineStr">
        <is>
          <t>DOType</t>
        </is>
      </c>
      <c r="C8817" s="24" t="inlineStr">
        <is>
          <t>数据对象分类</t>
        </is>
      </c>
      <c r="D8817" s="24" t="inlineStr">
        <is>
          <t>30130</t>
        </is>
      </c>
      <c r="E8817" s="24" t="inlineStr">
        <is>
          <t>电子合同</t>
        </is>
      </c>
    </row>
    <row r="8818">
      <c r="B8818" s="24" t="inlineStr">
        <is>
          <t>DOType</t>
        </is>
      </c>
      <c r="C8818" s="24" t="inlineStr">
        <is>
          <t>数据对象分类</t>
        </is>
      </c>
      <c r="D8818" s="24" t="inlineStr">
        <is>
          <t>30140</t>
        </is>
      </c>
      <c r="E8818" s="24" t="inlineStr">
        <is>
          <t>14.系统管理</t>
        </is>
      </c>
    </row>
    <row r="8819">
      <c r="B8819" s="24" t="inlineStr">
        <is>
          <t>DOType</t>
        </is>
      </c>
      <c r="C8819" s="24" t="inlineStr">
        <is>
          <t>数据对象分类</t>
        </is>
      </c>
      <c r="D8819" s="24" t="inlineStr">
        <is>
          <t>30150</t>
        </is>
      </c>
      <c r="E8819" s="24" t="inlineStr">
        <is>
          <t>15.政策管理</t>
        </is>
      </c>
    </row>
    <row r="8820">
      <c r="B8820" s="24" t="inlineStr">
        <is>
          <t>DOType</t>
        </is>
      </c>
      <c r="C8820" s="24" t="inlineStr">
        <is>
          <t>数据对象分类</t>
        </is>
      </c>
      <c r="D8820" s="24" t="inlineStr">
        <is>
          <t>30170</t>
        </is>
      </c>
      <c r="E8820" s="24" t="inlineStr">
        <is>
          <t>16.资产转受让</t>
        </is>
      </c>
    </row>
    <row r="8821">
      <c r="B8821" s="24" t="inlineStr">
        <is>
          <t>DOType</t>
        </is>
      </c>
      <c r="C8821" s="24" t="inlineStr">
        <is>
          <t>数据对象分类</t>
        </is>
      </c>
      <c r="D8821" s="24" t="inlineStr">
        <is>
          <t>30180</t>
        </is>
      </c>
      <c r="E8821" s="24" t="inlineStr">
        <is>
          <t>17.选择对话框</t>
        </is>
      </c>
    </row>
    <row r="8822">
      <c r="B8822" s="24" t="inlineStr">
        <is>
          <t>DOType</t>
        </is>
      </c>
      <c r="C8822" s="24" t="inlineStr">
        <is>
          <t>数据对象分类</t>
        </is>
      </c>
      <c r="D8822" s="24" t="inlineStr">
        <is>
          <t>30190</t>
        </is>
      </c>
      <c r="E8822" s="24" t="inlineStr">
        <is>
          <t>New.系统管理</t>
        </is>
      </c>
    </row>
    <row r="8823">
      <c r="B8823" s="24" t="inlineStr">
        <is>
          <t>DOType</t>
        </is>
      </c>
      <c r="C8823" s="24" t="inlineStr">
        <is>
          <t>数据对象分类</t>
        </is>
      </c>
      <c r="D8823" s="24" t="inlineStr">
        <is>
          <t>30200</t>
        </is>
      </c>
      <c r="E8823" s="24" t="inlineStr">
        <is>
          <t>New.授信申请</t>
        </is>
      </c>
    </row>
    <row r="8824">
      <c r="B8824" s="24" t="inlineStr">
        <is>
          <t>DOType</t>
        </is>
      </c>
      <c r="C8824" s="24" t="inlineStr">
        <is>
          <t>数据对象分类</t>
        </is>
      </c>
      <c r="D8824" s="24" t="inlineStr">
        <is>
          <t>30210</t>
        </is>
      </c>
      <c r="E8824" s="24" t="inlineStr">
        <is>
          <t>New.担保管理</t>
        </is>
      </c>
    </row>
    <row r="8825">
      <c r="B8825" s="24" t="inlineStr">
        <is>
          <t>DOType</t>
        </is>
      </c>
      <c r="C8825" s="24" t="inlineStr">
        <is>
          <t>数据对象分类</t>
        </is>
      </c>
      <c r="D8825" s="24" t="inlineStr">
        <is>
          <t>30220</t>
        </is>
      </c>
      <c r="E8825" s="24" t="inlineStr">
        <is>
          <t>New.产品管理</t>
        </is>
      </c>
    </row>
    <row r="8826">
      <c r="B8826" s="24" t="inlineStr">
        <is>
          <t>DOType</t>
        </is>
      </c>
      <c r="C8826" s="24" t="inlineStr">
        <is>
          <t>数据对象分类</t>
        </is>
      </c>
      <c r="D8826" s="24" t="inlineStr">
        <is>
          <t>30230</t>
        </is>
      </c>
      <c r="E8826" s="24" t="inlineStr">
        <is>
          <t>New.贷后管理</t>
        </is>
      </c>
    </row>
    <row r="8827">
      <c r="B8827" s="24" t="inlineStr">
        <is>
          <t>DOType</t>
        </is>
      </c>
      <c r="C8827" s="24" t="inlineStr">
        <is>
          <t>数据对象分类</t>
        </is>
      </c>
      <c r="D8827" s="24" t="inlineStr">
        <is>
          <t>30240</t>
        </is>
      </c>
      <c r="E8827" s="24" t="inlineStr">
        <is>
          <t>New.签约放款</t>
        </is>
      </c>
    </row>
    <row r="8828">
      <c r="B8828" s="24" t="inlineStr">
        <is>
          <t>DOType</t>
        </is>
      </c>
      <c r="C8828" s="24" t="inlineStr">
        <is>
          <t>数据对象分类</t>
        </is>
      </c>
      <c r="D8828" s="24" t="inlineStr">
        <is>
          <t>30250</t>
        </is>
      </c>
      <c r="E8828" s="24" t="inlineStr">
        <is>
          <t>New.核算交易管理</t>
        </is>
      </c>
    </row>
    <row r="8829">
      <c r="B8829" s="24" t="inlineStr">
        <is>
          <t>DOType</t>
        </is>
      </c>
      <c r="C8829" s="24" t="inlineStr">
        <is>
          <t>数据对象分类</t>
        </is>
      </c>
      <c r="D8829" s="24" t="inlineStr">
        <is>
          <t>30260</t>
        </is>
      </c>
      <c r="E8829" s="24" t="inlineStr">
        <is>
          <t>调查报告</t>
        </is>
      </c>
    </row>
    <row r="8830">
      <c r="B8830" s="24" t="inlineStr">
        <is>
          <t>DOType</t>
        </is>
      </c>
      <c r="C8830" s="24" t="inlineStr">
        <is>
          <t>数据对象分类</t>
        </is>
      </c>
      <c r="D8830" s="24" t="inlineStr">
        <is>
          <t>30270</t>
        </is>
      </c>
      <c r="E8830" s="24" t="inlineStr">
        <is>
          <t>New.电子合同</t>
        </is>
      </c>
    </row>
    <row r="8831">
      <c r="B8831" s="24" t="inlineStr">
        <is>
          <t>DOType</t>
        </is>
      </c>
      <c r="C8831" s="24" t="inlineStr">
        <is>
          <t>数据对象分类</t>
        </is>
      </c>
      <c r="D8831" s="24" t="inlineStr">
        <is>
          <t>30280</t>
        </is>
      </c>
      <c r="E8831" s="24" t="inlineStr">
        <is>
          <t>New.统计查询</t>
        </is>
      </c>
    </row>
    <row r="8832" ht="15.95" customHeight="1" s="170">
      <c r="B8832" s="122" t="inlineStr">
        <is>
          <t>码值：DevelopType</t>
        </is>
      </c>
    </row>
    <row r="8833">
      <c r="B8833" s="24" t="inlineStr">
        <is>
          <t>DevelopType</t>
        </is>
      </c>
      <c r="C8833" s="24" t="inlineStr">
        <is>
          <t>开发类型</t>
        </is>
      </c>
      <c r="D8833" s="24" t="inlineStr">
        <is>
          <t>010</t>
        </is>
      </c>
      <c r="E8833" s="24" t="inlineStr">
        <is>
          <t>商业用房开发项目</t>
        </is>
      </c>
    </row>
    <row r="8834">
      <c r="B8834" s="24" t="inlineStr">
        <is>
          <t>DevelopType</t>
        </is>
      </c>
      <c r="C8834" s="24" t="inlineStr">
        <is>
          <t>开发类型</t>
        </is>
      </c>
      <c r="D8834" s="24" t="inlineStr">
        <is>
          <t>020</t>
        </is>
      </c>
      <c r="E8834" s="24" t="inlineStr">
        <is>
          <t>保障性住房</t>
        </is>
      </c>
    </row>
    <row r="8835">
      <c r="B8835" s="24" t="inlineStr">
        <is>
          <t>DevelopType</t>
        </is>
      </c>
      <c r="C8835" s="24" t="inlineStr">
        <is>
          <t>开发类型</t>
        </is>
      </c>
      <c r="D8835" s="24" t="inlineStr">
        <is>
          <t>030</t>
        </is>
      </c>
      <c r="E8835" s="24" t="inlineStr">
        <is>
          <t>安置房</t>
        </is>
      </c>
    </row>
    <row r="8836">
      <c r="B8836" s="24" t="inlineStr">
        <is>
          <t>DevelopType</t>
        </is>
      </c>
      <c r="C8836" s="24" t="inlineStr">
        <is>
          <t>开发类型</t>
        </is>
      </c>
      <c r="D8836" s="24" t="inlineStr">
        <is>
          <t>040</t>
        </is>
      </c>
      <c r="E8836" s="24" t="inlineStr">
        <is>
          <t>其他</t>
        </is>
      </c>
    </row>
    <row r="8837" ht="15.95" customHeight="1" s="170">
      <c r="B8837" s="122" t="inlineStr">
        <is>
          <t>码值：PositionYear</t>
        </is>
      </c>
    </row>
    <row r="8838">
      <c r="B8838" s="24" t="inlineStr">
        <is>
          <t>PositionYear</t>
        </is>
      </c>
      <c r="C8838" s="24" t="inlineStr">
        <is>
          <t>信用等级评估统一导入</t>
        </is>
      </c>
      <c r="D8838" s="24" t="inlineStr">
        <is>
          <t>1</t>
        </is>
      </c>
      <c r="E8838" s="24" t="inlineStr">
        <is>
          <t>3年及3年以上</t>
        </is>
      </c>
    </row>
    <row r="8839">
      <c r="B8839" s="24" t="inlineStr">
        <is>
          <t>PositionYear</t>
        </is>
      </c>
      <c r="C8839" s="24" t="inlineStr">
        <is>
          <t>信用等级评估统一导入</t>
        </is>
      </c>
      <c r="D8839" s="24" t="inlineStr">
        <is>
          <t>2</t>
        </is>
      </c>
      <c r="E8839" s="24" t="inlineStr">
        <is>
          <t>1年至3年</t>
        </is>
      </c>
    </row>
    <row r="8840">
      <c r="B8840" s="24" t="inlineStr">
        <is>
          <t>PositionYear</t>
        </is>
      </c>
      <c r="C8840" s="24" t="inlineStr">
        <is>
          <t>信用等级评估统一导入</t>
        </is>
      </c>
      <c r="D8840" s="24" t="inlineStr">
        <is>
          <t>3</t>
        </is>
      </c>
      <c r="E8840" s="24" t="inlineStr">
        <is>
          <t>1年以下</t>
        </is>
      </c>
    </row>
    <row r="8841" ht="15.95" customHeight="1" s="170">
      <c r="B8841" s="122" t="inlineStr">
        <is>
          <t>码值：JoinReason</t>
        </is>
      </c>
    </row>
    <row r="8842">
      <c r="B8842" s="24" t="inlineStr">
        <is>
          <t>JoinReason</t>
        </is>
      </c>
      <c r="C8842" s="24" t="inlineStr">
        <is>
          <t>加入原因</t>
        </is>
      </c>
      <c r="D8842" s="24" t="inlineStr">
        <is>
          <t>01</t>
        </is>
      </c>
      <c r="E8842" s="24" t="inlineStr">
        <is>
          <t>共同第三方控制</t>
        </is>
      </c>
    </row>
    <row r="8843">
      <c r="B8843" s="24" t="inlineStr">
        <is>
          <t>JoinReason</t>
        </is>
      </c>
      <c r="C8843" s="24" t="inlineStr">
        <is>
          <t>加入原因</t>
        </is>
      </c>
      <c r="D8843" s="24" t="inlineStr">
        <is>
          <t>02</t>
        </is>
      </c>
      <c r="E8843" s="24" t="inlineStr">
        <is>
          <t>直接控制（共同控制人）</t>
        </is>
      </c>
    </row>
    <row r="8844">
      <c r="B8844" s="24" t="inlineStr">
        <is>
          <t>JoinReason</t>
        </is>
      </c>
      <c r="C8844" s="24" t="inlineStr">
        <is>
          <t>加入原因</t>
        </is>
      </c>
      <c r="D8844" s="24" t="inlineStr">
        <is>
          <t>03</t>
        </is>
      </c>
      <c r="E8844" s="24" t="inlineStr">
        <is>
          <t>间接控制（共同控制人）</t>
        </is>
      </c>
    </row>
    <row r="8845">
      <c r="B8845" s="24" t="inlineStr">
        <is>
          <t>JoinReason</t>
        </is>
      </c>
      <c r="C8845" s="24" t="inlineStr">
        <is>
          <t>加入原因</t>
        </is>
      </c>
      <c r="D8845" s="24" t="inlineStr">
        <is>
          <t>04</t>
        </is>
      </c>
      <c r="E8845" s="24" t="inlineStr">
        <is>
          <t>其他</t>
        </is>
      </c>
    </row>
    <row r="8846" ht="15.95" customHeight="1" s="170">
      <c r="B8846" s="122" t="inlineStr">
        <is>
          <t>码值：ReinforceIndView</t>
        </is>
      </c>
    </row>
    <row r="8847">
      <c r="B8847" s="24" t="inlineStr">
        <is>
          <t>ReinforceIndView</t>
        </is>
      </c>
      <c r="C8847" s="24" t="inlineStr">
        <is>
          <t>补登个人客户视图</t>
        </is>
      </c>
      <c r="D8847" s="24" t="inlineStr">
        <is>
          <t>010</t>
        </is>
      </c>
      <c r="E8847" s="24" t="inlineStr">
        <is>
          <t>个人基本信息</t>
        </is>
      </c>
    </row>
    <row r="8848">
      <c r="B8848" s="24" t="inlineStr">
        <is>
          <t>ReinforceIndView</t>
        </is>
      </c>
      <c r="C8848" s="24" t="inlineStr">
        <is>
          <t>补登个人客户视图</t>
        </is>
      </c>
      <c r="D8848" s="24" t="inlineStr">
        <is>
          <t>010010</t>
        </is>
      </c>
      <c r="E8848" s="24" t="inlineStr">
        <is>
          <t>个人概况</t>
        </is>
      </c>
    </row>
    <row r="8849">
      <c r="B8849" s="24" t="inlineStr">
        <is>
          <t>ReinforceIndView</t>
        </is>
      </c>
      <c r="C8849" s="24" t="inlineStr">
        <is>
          <t>补登个人客户视图</t>
        </is>
      </c>
      <c r="D8849" s="24" t="inlineStr">
        <is>
          <t>010020</t>
        </is>
      </c>
      <c r="E8849" s="24" t="inlineStr">
        <is>
          <t>配偶或家庭主要成员情况</t>
        </is>
      </c>
    </row>
    <row r="8850">
      <c r="B8850" s="24" t="inlineStr">
        <is>
          <t>ReinforceIndView</t>
        </is>
      </c>
      <c r="C8850" s="24" t="inlineStr">
        <is>
          <t>补登个人客户视图</t>
        </is>
      </c>
      <c r="D8850" s="24" t="inlineStr">
        <is>
          <t>010030</t>
        </is>
      </c>
      <c r="E8850" s="24" t="inlineStr">
        <is>
          <t>个人学业履历</t>
        </is>
      </c>
    </row>
    <row r="8851">
      <c r="B8851" s="24" t="inlineStr">
        <is>
          <t>ReinforceIndView</t>
        </is>
      </c>
      <c r="C8851" s="24" t="inlineStr">
        <is>
          <t>补登个人客户视图</t>
        </is>
      </c>
      <c r="D8851" s="24" t="inlineStr">
        <is>
          <t>010040</t>
        </is>
      </c>
      <c r="E8851" s="24" t="inlineStr">
        <is>
          <t>个人工作履历</t>
        </is>
      </c>
    </row>
    <row r="8852" ht="15.95" customHeight="1" s="170">
      <c r="B8852" s="122" t="inlineStr">
        <is>
          <t>码值：HouseSituation</t>
        </is>
      </c>
    </row>
    <row r="8853">
      <c r="B8853" s="24" t="inlineStr">
        <is>
          <t>HouseSituation</t>
        </is>
      </c>
      <c r="C8853" s="24" t="inlineStr">
        <is>
          <t>信用等级评估统一导入</t>
        </is>
      </c>
      <c r="D8853" s="24" t="inlineStr">
        <is>
          <t>01</t>
        </is>
      </c>
      <c r="E8853" s="24" t="inlineStr">
        <is>
          <t xml:space="preserve">自购商品房 </t>
        </is>
      </c>
    </row>
    <row r="8854">
      <c r="B8854" s="24" t="inlineStr">
        <is>
          <t>HouseSituation</t>
        </is>
      </c>
      <c r="C8854" s="24" t="inlineStr">
        <is>
          <t>信用等级评估统一导入</t>
        </is>
      </c>
      <c r="D8854" s="24" t="inlineStr">
        <is>
          <t>02</t>
        </is>
      </c>
      <c r="E8854" s="24" t="inlineStr">
        <is>
          <t xml:space="preserve">单位福利房 </t>
        </is>
      </c>
    </row>
    <row r="8855">
      <c r="B8855" s="24" t="inlineStr">
        <is>
          <t>HouseSituation</t>
        </is>
      </c>
      <c r="C8855" s="24" t="inlineStr">
        <is>
          <t>信用等级评估统一导入</t>
        </is>
      </c>
      <c r="D8855" s="24" t="inlineStr">
        <is>
          <t>03</t>
        </is>
      </c>
      <c r="E8855" s="24" t="inlineStr">
        <is>
          <t xml:space="preserve">租房 </t>
        </is>
      </c>
    </row>
    <row r="8856">
      <c r="B8856" s="24" t="inlineStr">
        <is>
          <t>HouseSituation</t>
        </is>
      </c>
      <c r="C8856" s="24" t="inlineStr">
        <is>
          <t>信用等级评估统一导入</t>
        </is>
      </c>
      <c r="D8856" s="24" t="inlineStr">
        <is>
          <t>04</t>
        </is>
      </c>
      <c r="E8856" s="24" t="inlineStr">
        <is>
          <t>无房</t>
        </is>
      </c>
    </row>
    <row r="8857" ht="15.95" customHeight="1" s="170">
      <c r="B8857" s="122" t="inlineStr">
        <is>
          <t>码值：InnovationAbility</t>
        </is>
      </c>
    </row>
    <row r="8858">
      <c r="B8858" s="24" t="inlineStr">
        <is>
          <t>InnovationAbility</t>
        </is>
      </c>
      <c r="C8858" s="24" t="inlineStr">
        <is>
          <t>信用等级评估统一导入</t>
        </is>
      </c>
      <c r="D8858" s="24" t="inlineStr">
        <is>
          <t>01</t>
        </is>
      </c>
      <c r="E8858" s="24" t="inlineStr">
        <is>
          <t>公司的创新能力极强，有很多还未应用的已申请专利，且研发费用占比远高于同业水平</t>
        </is>
      </c>
    </row>
    <row r="8859">
      <c r="B8859" s="24" t="inlineStr">
        <is>
          <t>InnovationAbility</t>
        </is>
      </c>
      <c r="C8859" s="24" t="inlineStr">
        <is>
          <t>信用等级评估统一导入</t>
        </is>
      </c>
      <c r="D8859" s="24" t="inlineStr">
        <is>
          <t>02</t>
        </is>
      </c>
      <c r="E8859" s="24" t="inlineStr">
        <is>
          <t>公司的创新能力极强，且研发费用占比高于同业水平</t>
        </is>
      </c>
    </row>
    <row r="8860">
      <c r="B8860" s="24" t="inlineStr">
        <is>
          <t>InnovationAbility</t>
        </is>
      </c>
      <c r="C8860" s="24" t="inlineStr">
        <is>
          <t>信用等级评估统一导入</t>
        </is>
      </c>
      <c r="D8860" s="24" t="inlineStr">
        <is>
          <t>03</t>
        </is>
      </c>
      <c r="E8860" s="24" t="inlineStr">
        <is>
          <t>公司的创新能力一般，且研发费用占比基本持平于同业水平</t>
        </is>
      </c>
    </row>
    <row r="8861">
      <c r="B8861" s="24" t="inlineStr">
        <is>
          <t>InnovationAbility</t>
        </is>
      </c>
      <c r="C8861" s="24" t="inlineStr">
        <is>
          <t>信用等级评估统一导入</t>
        </is>
      </c>
      <c r="D8861" s="24" t="inlineStr">
        <is>
          <t>04</t>
        </is>
      </c>
      <c r="E8861" s="24" t="inlineStr">
        <is>
          <t>公司的创新能力差，且研发费用占比低于同业水平</t>
        </is>
      </c>
    </row>
    <row r="8862" ht="15.95" customHeight="1" s="170">
      <c r="B8862" s="122" t="inlineStr">
        <is>
          <t>码值：IndIrregularCheckMain</t>
        </is>
      </c>
    </row>
    <row r="8863">
      <c r="B8863" s="24" t="inlineStr">
        <is>
          <t>IndIrregularCheckMain</t>
        </is>
      </c>
      <c r="C8863" s="24" t="inlineStr">
        <is>
          <t>个人客户不定期贷后检查申请</t>
        </is>
      </c>
      <c r="D8863" s="24" t="inlineStr">
        <is>
          <t>1010</t>
        </is>
      </c>
      <c r="E8863" s="24" t="inlineStr">
        <is>
          <t>待处理</t>
        </is>
      </c>
    </row>
    <row r="8864">
      <c r="B8864" s="24" t="inlineStr">
        <is>
          <t>IndIrregularCheckMain</t>
        </is>
      </c>
      <c r="C8864" s="24" t="inlineStr">
        <is>
          <t>个人客户不定期贷后检查申请</t>
        </is>
      </c>
      <c r="D8864" s="24" t="inlineStr">
        <is>
          <t>1020</t>
        </is>
      </c>
      <c r="E8864" s="24" t="inlineStr">
        <is>
          <t>审批中</t>
        </is>
      </c>
    </row>
    <row r="8865">
      <c r="B8865" s="24" t="inlineStr">
        <is>
          <t>IndIrregularCheckMain</t>
        </is>
      </c>
      <c r="C8865" s="24" t="inlineStr">
        <is>
          <t>个人客户不定期贷后检查申请</t>
        </is>
      </c>
      <c r="D8865" s="24" t="inlineStr">
        <is>
          <t>1040,1050</t>
        </is>
      </c>
      <c r="E8865" s="24" t="inlineStr">
        <is>
          <t>处理完成</t>
        </is>
      </c>
    </row>
    <row r="8866" ht="15.95" customHeight="1" s="170">
      <c r="B8866" s="122" t="inlineStr">
        <is>
          <t>码值：Parent/SubsupportStructure</t>
        </is>
      </c>
    </row>
    <row r="8867">
      <c r="B8867" s="24" t="inlineStr">
        <is>
          <t>Parent/SubsupportStructure</t>
        </is>
      </c>
      <c r="C8867" s="24" t="inlineStr">
        <is>
          <t>信用等级评估统一导入</t>
        </is>
      </c>
      <c r="D8867" s="24" t="inlineStr">
        <is>
          <t>01</t>
        </is>
      </c>
      <c r="E8867" s="24" t="inlineStr">
        <is>
          <t>集团公司采用集团授信，母公司对子公司债务承担完全连带责任</t>
        </is>
      </c>
    </row>
    <row r="8868">
      <c r="B8868" s="24" t="inlineStr">
        <is>
          <t>Parent/SubsupportStructure</t>
        </is>
      </c>
      <c r="C8868" s="24" t="inlineStr">
        <is>
          <t>信用等级评估统一导入</t>
        </is>
      </c>
      <c r="D8868" s="24" t="inlineStr">
        <is>
          <t>02</t>
        </is>
      </c>
      <c r="E8868" s="24" t="inlineStr">
        <is>
          <t>采用单独授信，母公司对子公司债务只承担有限责任</t>
        </is>
      </c>
    </row>
    <row r="8869">
      <c r="B8869" s="24" t="inlineStr">
        <is>
          <t>Parent/SubsupportStructure</t>
        </is>
      </c>
      <c r="C8869" s="24" t="inlineStr">
        <is>
          <t>信用等级评估统一导入</t>
        </is>
      </c>
      <c r="D8869" s="24" t="inlineStr">
        <is>
          <t>03</t>
        </is>
      </c>
      <c r="E8869" s="24" t="inlineStr">
        <is>
          <t>虽然母公司在法律上不对借款人承担连带责任，但是借款人对母公司收入、业务或者战略具有重要地位，因此母公司对其具有隐性担保</t>
        </is>
      </c>
    </row>
    <row r="8870">
      <c r="B8870" s="24" t="inlineStr">
        <is>
          <t>Parent/SubsupportStructure</t>
        </is>
      </c>
      <c r="C8870" s="24" t="inlineStr">
        <is>
          <t>信用等级评估统一导入</t>
        </is>
      </c>
      <c r="D8870" s="24" t="inlineStr">
        <is>
          <t>04</t>
        </is>
      </c>
      <c r="E8870" s="24" t="inlineStr">
        <is>
          <t>或者虽然存在母子公司关系，但是母公司对子公司债务不承担责任</t>
        </is>
      </c>
    </row>
    <row r="8871">
      <c r="B8871" s="24" t="inlineStr">
        <is>
          <t>Parent/SubsupportStructure</t>
        </is>
      </c>
      <c r="C8871" s="24" t="inlineStr">
        <is>
          <t>信用等级评估统一导入</t>
        </is>
      </c>
      <c r="D8871" s="24" t="inlineStr">
        <is>
          <t>05</t>
        </is>
      </c>
      <c r="E8871" s="24" t="inlineStr">
        <is>
          <t>不存在母子公司关系</t>
        </is>
      </c>
    </row>
    <row r="8872" ht="15.95" customHeight="1" s="170">
      <c r="B8872" s="122" t="inlineStr">
        <is>
          <t>码值：LinkageVieWDemo</t>
        </is>
      </c>
    </row>
    <row r="8873">
      <c r="B8873" s="24" t="inlineStr">
        <is>
          <t>LinkageVieWDemo</t>
        </is>
      </c>
      <c r="C8873" s="24" t="inlineStr">
        <is>
          <t>客户页面联动树图</t>
        </is>
      </c>
      <c r="D8873" s="24" t="inlineStr">
        <is>
          <t>0010</t>
        </is>
      </c>
      <c r="E8873" s="24" t="inlineStr">
        <is>
          <t>上下联动</t>
        </is>
      </c>
    </row>
    <row r="8874">
      <c r="B8874" s="24" t="inlineStr">
        <is>
          <t>LinkageVieWDemo</t>
        </is>
      </c>
      <c r="C8874" s="24" t="inlineStr">
        <is>
          <t>客户页面联动树图</t>
        </is>
      </c>
      <c r="D8874" s="24" t="inlineStr">
        <is>
          <t>0020</t>
        </is>
      </c>
      <c r="E8874" s="24" t="inlineStr">
        <is>
          <t>左右联动</t>
        </is>
      </c>
    </row>
    <row r="8875">
      <c r="B8875" s="24" t="inlineStr">
        <is>
          <t>LinkageVieWDemo</t>
        </is>
      </c>
      <c r="C8875" s="24" t="inlineStr">
        <is>
          <t>客户页面联动树图</t>
        </is>
      </c>
      <c r="D8875" s="24" t="inlineStr">
        <is>
          <t>0030</t>
        </is>
      </c>
      <c r="E8875" s="24" t="inlineStr">
        <is>
          <t>上下区域</t>
        </is>
      </c>
    </row>
    <row r="8876">
      <c r="B8876" s="24" t="inlineStr">
        <is>
          <t>LinkageVieWDemo</t>
        </is>
      </c>
      <c r="C8876" s="24" t="inlineStr">
        <is>
          <t>客户页面联动树图</t>
        </is>
      </c>
      <c r="D8876" s="24" t="inlineStr">
        <is>
          <t>0040</t>
        </is>
      </c>
      <c r="E8876" s="24" t="inlineStr">
        <is>
          <t>左右区域</t>
        </is>
      </c>
    </row>
    <row r="8877" ht="15.95" customHeight="1" s="170">
      <c r="B8877" s="122" t="inlineStr">
        <is>
          <t>码值：LoanFlag</t>
        </is>
      </c>
    </row>
    <row r="8878">
      <c r="B8878" s="24" t="inlineStr">
        <is>
          <t>LoanFlag</t>
        </is>
      </c>
      <c r="C8878" s="24" t="inlineStr">
        <is>
          <t>借贷标志</t>
        </is>
      </c>
      <c r="D8878" s="24" t="inlineStr">
        <is>
          <t>01</t>
        </is>
      </c>
      <c r="E8878" s="24" t="inlineStr">
        <is>
          <t>借</t>
        </is>
      </c>
    </row>
    <row r="8879">
      <c r="B8879" s="24" t="inlineStr">
        <is>
          <t>LoanFlag</t>
        </is>
      </c>
      <c r="C8879" s="24" t="inlineStr">
        <is>
          <t>借贷标志</t>
        </is>
      </c>
      <c r="D8879" s="24" t="inlineStr">
        <is>
          <t>02</t>
        </is>
      </c>
      <c r="E8879" s="24" t="inlineStr">
        <is>
          <t>贷</t>
        </is>
      </c>
    </row>
    <row r="8880" ht="15.95" customHeight="1" s="170">
      <c r="B8880" s="122" t="inlineStr">
        <is>
          <t>码值：CountBasic</t>
        </is>
      </c>
    </row>
    <row r="8881">
      <c r="B8881" s="24" t="inlineStr">
        <is>
          <t>CountBasic</t>
        </is>
      </c>
      <c r="C8881" s="24" t="inlineStr">
        <is>
          <t>保证金计算基础</t>
        </is>
      </c>
      <c r="D8881" s="24" t="inlineStr">
        <is>
          <t>CB01</t>
        </is>
      </c>
      <c r="E8881" s="24" t="inlineStr">
        <is>
          <t>贷款本金</t>
        </is>
      </c>
    </row>
    <row r="8882">
      <c r="B8882" s="24" t="inlineStr">
        <is>
          <t>CountBasic</t>
        </is>
      </c>
      <c r="C8882" s="24" t="inlineStr">
        <is>
          <t>保证金计算基础</t>
        </is>
      </c>
      <c r="D8882" s="24" t="inlineStr">
        <is>
          <t>CB02</t>
        </is>
      </c>
      <c r="E8882" s="24" t="inlineStr">
        <is>
          <t>贷款余额</t>
        </is>
      </c>
    </row>
    <row r="8883">
      <c r="B8883" s="24" t="inlineStr">
        <is>
          <t>CountBasic</t>
        </is>
      </c>
      <c r="C8883" s="24" t="inlineStr">
        <is>
          <t>保证金计算基础</t>
        </is>
      </c>
      <c r="D8883" s="24" t="inlineStr">
        <is>
          <t>CB03</t>
        </is>
      </c>
      <c r="E8883" s="24" t="inlineStr">
        <is>
          <t>购买价格</t>
        </is>
      </c>
    </row>
    <row r="8884">
      <c r="B8884" s="24" t="inlineStr">
        <is>
          <t>CountBasic</t>
        </is>
      </c>
      <c r="C8884" s="24" t="inlineStr">
        <is>
          <t>保证金计算基础</t>
        </is>
      </c>
      <c r="D8884" s="24" t="inlineStr">
        <is>
          <t>CB04</t>
        </is>
      </c>
      <c r="E8884" s="24" t="inlineStr">
        <is>
          <t>预存定额保证金</t>
        </is>
      </c>
    </row>
    <row r="8885">
      <c r="B8885" s="24" t="inlineStr">
        <is>
          <t>CountBasic</t>
        </is>
      </c>
      <c r="C8885" s="24" t="inlineStr">
        <is>
          <t>保证金计算基础</t>
        </is>
      </c>
      <c r="D8885" s="24" t="inlineStr">
        <is>
          <t>CB05</t>
        </is>
      </c>
      <c r="E8885" s="24" t="inlineStr">
        <is>
          <t>项目额度</t>
        </is>
      </c>
    </row>
    <row r="8886">
      <c r="B8886" s="24" t="inlineStr">
        <is>
          <t>CountBasic</t>
        </is>
      </c>
      <c r="C8886" s="24" t="inlineStr">
        <is>
          <t>保证金计算基础</t>
        </is>
      </c>
      <c r="D8886" s="24" t="inlineStr">
        <is>
          <t>CB06</t>
        </is>
      </c>
      <c r="E8886" s="24" t="inlineStr">
        <is>
          <t>担保额度</t>
        </is>
      </c>
    </row>
    <row r="8887" ht="15.95" customHeight="1" s="170">
      <c r="B8887" s="122" t="inlineStr">
        <is>
          <t>码值：GovermentSupport</t>
        </is>
      </c>
    </row>
    <row r="8888">
      <c r="B8888" s="24" t="inlineStr">
        <is>
          <t>GovermentSupport</t>
        </is>
      </c>
      <c r="C8888" s="24" t="inlineStr">
        <is>
          <t>信用等级评估统一导入</t>
        </is>
      </c>
      <c r="D8888" s="24" t="inlineStr">
        <is>
          <t>01</t>
        </is>
      </c>
      <c r="E8888" s="24" t="inlineStr">
        <is>
          <t>客户所属政府或主管部门为中央级别；或人均可支配收入水平居全国前列，且地方本级财政总收入位居全国前列</t>
        </is>
      </c>
    </row>
    <row r="8889">
      <c r="B8889" s="24" t="inlineStr">
        <is>
          <t>GovermentSupport</t>
        </is>
      </c>
      <c r="C8889" s="24" t="inlineStr">
        <is>
          <t>信用等级评估统一导入</t>
        </is>
      </c>
      <c r="D8889" s="24" t="inlineStr">
        <is>
          <t>02</t>
        </is>
      </c>
      <c r="E8889" s="24" t="inlineStr">
        <is>
          <t>客户所在地方人均可支配收入水平居全国中游，且地方本级财政总收入位居全国前列</t>
        </is>
      </c>
    </row>
    <row r="8890">
      <c r="B8890" s="24" t="inlineStr">
        <is>
          <t>GovermentSupport</t>
        </is>
      </c>
      <c r="C8890" s="24" t="inlineStr">
        <is>
          <t>信用等级评估统一导入</t>
        </is>
      </c>
      <c r="D8890" s="24" t="inlineStr">
        <is>
          <t>03</t>
        </is>
      </c>
      <c r="E8890" s="24" t="inlineStr">
        <is>
          <t>客户所在地方人均可支配收入水平居全国中游，且地方本级财政总收入位居全国中游</t>
        </is>
      </c>
    </row>
    <row r="8891">
      <c r="B8891" s="24" t="inlineStr">
        <is>
          <t>GovermentSupport</t>
        </is>
      </c>
      <c r="C8891" s="24" t="inlineStr">
        <is>
          <t>信用等级评估统一导入</t>
        </is>
      </c>
      <c r="D8891" s="24" t="inlineStr">
        <is>
          <t>04</t>
        </is>
      </c>
      <c r="E8891" s="24" t="inlineStr">
        <is>
          <t>客户所在地方人均可支配收入水平居全国下游，且地方本级财政总收入位居全国中游</t>
        </is>
      </c>
    </row>
    <row r="8892">
      <c r="B8892" s="24" t="inlineStr">
        <is>
          <t>GovermentSupport</t>
        </is>
      </c>
      <c r="C8892" s="24" t="inlineStr">
        <is>
          <t>信用等级评估统一导入</t>
        </is>
      </c>
      <c r="D8892" s="24" t="inlineStr">
        <is>
          <t>05</t>
        </is>
      </c>
      <c r="E8892" s="24" t="inlineStr">
        <is>
          <t>客户所在地方人均可支配收入水平居全国下游，且地方本级财政总收入位居全国下游</t>
        </is>
      </c>
    </row>
    <row r="8893" ht="15.95" customHeight="1" s="170">
      <c r="B8893" s="122" t="inlineStr">
        <is>
          <t>码值：IndCertType</t>
        </is>
      </c>
    </row>
    <row r="8894">
      <c r="B8894" s="24" t="inlineStr">
        <is>
          <t>IndCertType</t>
        </is>
      </c>
      <c r="C8894" s="24" t="inlineStr">
        <is>
          <t>个人证件类型</t>
        </is>
      </c>
      <c r="D8894" s="24" t="inlineStr">
        <is>
          <t>Ind01</t>
        </is>
      </c>
      <c r="E8894" s="24" t="inlineStr">
        <is>
          <t>身份证</t>
        </is>
      </c>
    </row>
    <row r="8895">
      <c r="B8895" s="24" t="inlineStr">
        <is>
          <t>IndCertType</t>
        </is>
      </c>
      <c r="C8895" s="24" t="inlineStr">
        <is>
          <t>个人证件类型</t>
        </is>
      </c>
      <c r="D8895" s="24" t="inlineStr">
        <is>
          <t>Ind02</t>
        </is>
      </c>
      <c r="E8895" s="24" t="inlineStr">
        <is>
          <t>军官证</t>
        </is>
      </c>
    </row>
    <row r="8896">
      <c r="B8896" s="24" t="inlineStr">
        <is>
          <t>IndCertType</t>
        </is>
      </c>
      <c r="C8896" s="24" t="inlineStr">
        <is>
          <t>个人证件类型</t>
        </is>
      </c>
      <c r="D8896" s="24" t="inlineStr">
        <is>
          <t>Ind03</t>
        </is>
      </c>
      <c r="E8896" s="24" t="inlineStr">
        <is>
          <t>士兵证</t>
        </is>
      </c>
    </row>
    <row r="8897">
      <c r="B8897" s="24" t="inlineStr">
        <is>
          <t>IndCertType</t>
        </is>
      </c>
      <c r="C8897" s="24" t="inlineStr">
        <is>
          <t>个人证件类型</t>
        </is>
      </c>
      <c r="D8897" s="24" t="inlineStr">
        <is>
          <t>Ind04</t>
        </is>
      </c>
      <c r="E8897" s="24" t="inlineStr">
        <is>
          <t>警官证</t>
        </is>
      </c>
    </row>
    <row r="8898">
      <c r="B8898" s="24" t="inlineStr">
        <is>
          <t>IndCertType</t>
        </is>
      </c>
      <c r="C8898" s="24" t="inlineStr">
        <is>
          <t>个人证件类型</t>
        </is>
      </c>
      <c r="D8898" s="24" t="inlineStr">
        <is>
          <t>Ind05</t>
        </is>
      </c>
      <c r="E8898" s="24" t="inlineStr">
        <is>
          <t>港澳居民来往内地通行证</t>
        </is>
      </c>
    </row>
    <row r="8899">
      <c r="B8899" s="24" t="inlineStr">
        <is>
          <t>IndCertType</t>
        </is>
      </c>
      <c r="C8899" s="24" t="inlineStr">
        <is>
          <t>个人证件类型</t>
        </is>
      </c>
      <c r="D8899" s="24" t="inlineStr">
        <is>
          <t>Ind06</t>
        </is>
      </c>
      <c r="E8899" s="24" t="inlineStr">
        <is>
          <t>台湾同胞来往内地通行证</t>
        </is>
      </c>
    </row>
    <row r="8900">
      <c r="B8900" s="24" t="inlineStr">
        <is>
          <t>IndCertType</t>
        </is>
      </c>
      <c r="C8900" s="24" t="inlineStr">
        <is>
          <t>个人证件类型</t>
        </is>
      </c>
      <c r="D8900" s="24" t="inlineStr">
        <is>
          <t>Ind07</t>
        </is>
      </c>
      <c r="E8900" s="24" t="inlineStr">
        <is>
          <t>外国人居留证</t>
        </is>
      </c>
    </row>
    <row r="8901" ht="15.95" customHeight="1" s="170">
      <c r="B8901" s="122" t="inlineStr">
        <is>
          <t>码值：控股投资人与其关系</t>
        </is>
      </c>
    </row>
    <row r="8902">
      <c r="B8902" s="24" t="inlineStr">
        <is>
          <t>控股投资人与其关系</t>
        </is>
      </c>
      <c r="C8902" s="24" t="inlineStr">
        <is>
          <t>控股投资人与其关系</t>
        </is>
      </c>
      <c r="D8902" s="24" t="inlineStr">
        <is>
          <t>1</t>
        </is>
      </c>
      <c r="E8902" s="24" t="inlineStr">
        <is>
          <t>为其贷款提供担保</t>
        </is>
      </c>
    </row>
    <row r="8903">
      <c r="B8903" s="24" t="inlineStr">
        <is>
          <t>控股投资人与其关系</t>
        </is>
      </c>
      <c r="C8903" s="24" t="inlineStr">
        <is>
          <t>控股投资人与其关系</t>
        </is>
      </c>
      <c r="D8903" s="24" t="inlineStr">
        <is>
          <t>2</t>
        </is>
      </c>
      <c r="E8903" s="24" t="inlineStr">
        <is>
          <t>为经营、销售提供支持</t>
        </is>
      </c>
    </row>
    <row r="8904">
      <c r="B8904" s="24" t="inlineStr">
        <is>
          <t>控股投资人与其关系</t>
        </is>
      </c>
      <c r="C8904" s="24" t="inlineStr">
        <is>
          <t>控股投资人与其关系</t>
        </is>
      </c>
      <c r="D8904" s="24" t="inlineStr">
        <is>
          <t>3</t>
        </is>
      </c>
      <c r="E8904" s="24" t="inlineStr">
        <is>
          <t>与其关系松散</t>
        </is>
      </c>
    </row>
    <row r="8905" ht="15.95" customHeight="1" s="170">
      <c r="B8905" s="122" t="inlineStr">
        <is>
          <t>码值：PrePayInterestDaysFlag</t>
        </is>
      </c>
    </row>
    <row r="8906">
      <c r="B8906" s="24" t="inlineStr">
        <is>
          <t>PrePayInterestDaysFlag</t>
        </is>
      </c>
      <c r="C8906" s="24" t="inlineStr">
        <is>
          <t>提前还款计息模式</t>
        </is>
      </c>
      <c r="D8906" s="24" t="inlineStr">
        <is>
          <t>1</t>
        </is>
      </c>
      <c r="E8906" s="24" t="inlineStr">
        <is>
          <t>按实际交易日收取</t>
        </is>
      </c>
    </row>
    <row r="8907">
      <c r="B8907" s="24" t="inlineStr">
        <is>
          <t>PrePayInterestDaysFlag</t>
        </is>
      </c>
      <c r="C8907" s="24" t="inlineStr">
        <is>
          <t>提前还款计息模式</t>
        </is>
      </c>
      <c r="D8907" s="24" t="inlineStr">
        <is>
          <t>2</t>
        </is>
      </c>
      <c r="E8907" s="24" t="inlineStr">
        <is>
          <t>按照下一还款日</t>
        </is>
      </c>
    </row>
    <row r="8908">
      <c r="B8908" s="24" t="inlineStr">
        <is>
          <t>PrePayInterestDaysFlag</t>
        </is>
      </c>
      <c r="C8908" s="24" t="inlineStr">
        <is>
          <t>提前还款计息模式</t>
        </is>
      </c>
      <c r="D8908" s="24" t="inlineStr">
        <is>
          <t>3</t>
        </is>
      </c>
      <c r="E8908" s="24" t="inlineStr">
        <is>
          <t>只还本不还息</t>
        </is>
      </c>
    </row>
    <row r="8909" ht="15.95" customHeight="1" s="170">
      <c r="B8909" s="122" t="inlineStr">
        <is>
          <t>码值：CatalogTreeView</t>
        </is>
      </c>
    </row>
    <row r="8910">
      <c r="B8910" s="24" t="inlineStr">
        <is>
          <t>CatalogTreeView</t>
        </is>
      </c>
      <c r="C8910" s="24" t="inlineStr">
        <is>
          <t>格式化报告目录详情视图</t>
        </is>
      </c>
      <c r="D8910" s="24" t="inlineStr">
        <is>
          <t>010010</t>
        </is>
      </c>
      <c r="E8910" s="24" t="inlineStr">
        <is>
          <t>待完成目录</t>
        </is>
      </c>
    </row>
    <row r="8911">
      <c r="B8911" s="24" t="inlineStr">
        <is>
          <t>CatalogTreeView</t>
        </is>
      </c>
      <c r="C8911" s="24" t="inlineStr">
        <is>
          <t>格式化报告目录详情视图</t>
        </is>
      </c>
      <c r="D8911" s="24" t="inlineStr">
        <is>
          <t>010020</t>
        </is>
      </c>
      <c r="E8911" s="24" t="inlineStr">
        <is>
          <t>已完成目录</t>
        </is>
      </c>
    </row>
    <row r="8912" ht="15.95" customHeight="1" s="170">
      <c r="B8912" s="122" t="inlineStr">
        <is>
          <t>码值：Competitiveness</t>
        </is>
      </c>
    </row>
    <row r="8913">
      <c r="B8913" s="24" t="inlineStr">
        <is>
          <t>Competitiveness</t>
        </is>
      </c>
      <c r="C8913" s="24" t="inlineStr">
        <is>
          <t>信用等级评估统一导入</t>
        </is>
      </c>
      <c r="D8913" s="24" t="inlineStr">
        <is>
          <t>01</t>
        </is>
      </c>
      <c r="E8913" s="24" t="inlineStr">
        <is>
          <t>客户获得所在行业最高等级的资质认证，近3年事业收入连年增长，业绩在同行业中处于领先地位</t>
        </is>
      </c>
    </row>
    <row r="8914">
      <c r="B8914" s="24" t="inlineStr">
        <is>
          <t>Competitiveness</t>
        </is>
      </c>
      <c r="C8914" s="24" t="inlineStr">
        <is>
          <t>信用等级评估统一导入</t>
        </is>
      </c>
      <c r="D8914" s="24" t="inlineStr">
        <is>
          <t>02</t>
        </is>
      </c>
      <c r="E8914" s="24" t="inlineStr">
        <is>
          <t>客户在本省区认知接受程度很高，最近2年收入增长为正，业绩在同行业中处于上游</t>
        </is>
      </c>
    </row>
    <row r="8915">
      <c r="B8915" s="24" t="inlineStr">
        <is>
          <t>Competitiveness</t>
        </is>
      </c>
      <c r="C8915" s="24" t="inlineStr">
        <is>
          <t>信用等级评估统一导入</t>
        </is>
      </c>
      <c r="D8915" s="24" t="inlineStr">
        <is>
          <t>03</t>
        </is>
      </c>
      <c r="E8915" s="24" t="inlineStr">
        <is>
          <t>客户在本地区内有一定知名度，去年的收入增长为正，业绩接近行业平均水平</t>
        </is>
      </c>
    </row>
    <row r="8916">
      <c r="B8916" s="24" t="inlineStr">
        <is>
          <t>Competitiveness</t>
        </is>
      </c>
      <c r="C8916" s="24" t="inlineStr">
        <is>
          <t>信用等级评估统一导入</t>
        </is>
      </c>
      <c r="D8916" s="24" t="inlineStr">
        <is>
          <t>04</t>
        </is>
      </c>
      <c r="E8916" s="24" t="inlineStr">
        <is>
          <t>客户在本地区内没有知名度，去年为负，但此前为正，业绩明显低于行业平均水平</t>
        </is>
      </c>
    </row>
    <row r="8917">
      <c r="B8917" s="24" t="inlineStr">
        <is>
          <t>Competitiveness</t>
        </is>
      </c>
      <c r="C8917" s="24" t="inlineStr">
        <is>
          <t>信用等级评估统一导入</t>
        </is>
      </c>
      <c r="D8917" s="24" t="inlineStr">
        <is>
          <t>05</t>
        </is>
      </c>
      <c r="E8917" s="24" t="inlineStr">
        <is>
          <t>客户事业收入连年下降，亏损严重</t>
        </is>
      </c>
    </row>
    <row r="8918" ht="15.95" customHeight="1" s="170">
      <c r="B8918" s="122" t="inlineStr">
        <is>
          <t>码值：完成项目情况</t>
        </is>
      </c>
    </row>
    <row r="8919">
      <c r="B8919" s="24" t="inlineStr">
        <is>
          <t>完成项目情况</t>
        </is>
      </c>
      <c r="C8919" s="24" t="inlineStr">
        <is>
          <t>完成项目情况</t>
        </is>
      </c>
      <c r="D8919" s="24" t="inlineStr">
        <is>
          <t>1</t>
        </is>
      </c>
      <c r="E8919" s="24" t="inlineStr">
        <is>
          <t>已完工1个及1个项目以上</t>
        </is>
      </c>
    </row>
    <row r="8920">
      <c r="B8920" s="24" t="inlineStr">
        <is>
          <t>完成项目情况</t>
        </is>
      </c>
      <c r="C8920" s="24" t="inlineStr">
        <is>
          <t>完成项目情况</t>
        </is>
      </c>
      <c r="D8920" s="24" t="inlineStr">
        <is>
          <t>2</t>
        </is>
      </c>
      <c r="E8920" s="24" t="inlineStr">
        <is>
          <t>1个项目也未完成的</t>
        </is>
      </c>
    </row>
    <row r="8921" ht="15.95" customHeight="1" s="170">
      <c r="B8921" s="122" t="inlineStr">
        <is>
          <t>码值：PersonType</t>
        </is>
      </c>
    </row>
    <row r="8922">
      <c r="B8922" s="24" t="inlineStr">
        <is>
          <t>PersonType</t>
        </is>
      </c>
      <c r="C8922" s="24" t="inlineStr">
        <is>
          <t>案件相关人员类别</t>
        </is>
      </c>
      <c r="D8922" s="24" t="inlineStr">
        <is>
          <t>01</t>
        </is>
      </c>
      <c r="E8922" s="24" t="inlineStr">
        <is>
          <t>案件当事人</t>
        </is>
      </c>
    </row>
    <row r="8923">
      <c r="B8923" s="24" t="inlineStr">
        <is>
          <t>PersonType</t>
        </is>
      </c>
      <c r="C8923" s="24" t="inlineStr">
        <is>
          <t>案件相关人员类别</t>
        </is>
      </c>
      <c r="D8923" s="24" t="inlineStr">
        <is>
          <t>02</t>
        </is>
      </c>
      <c r="E8923" s="24" t="inlineStr">
        <is>
          <t>法院方人员</t>
        </is>
      </c>
    </row>
    <row r="8924">
      <c r="B8924" s="24" t="inlineStr">
        <is>
          <t>PersonType</t>
        </is>
      </c>
      <c r="C8924" s="24" t="inlineStr">
        <is>
          <t>案件相关人员类别</t>
        </is>
      </c>
      <c r="D8924" s="24" t="inlineStr">
        <is>
          <t>03</t>
        </is>
      </c>
      <c r="E8924" s="24" t="inlineStr">
        <is>
          <t>代理人</t>
        </is>
      </c>
    </row>
    <row r="8925" ht="15.95" customHeight="1" s="170">
      <c r="B8925" s="122" t="inlineStr">
        <is>
          <t>码值：FinalInstalmentFlag</t>
        </is>
      </c>
    </row>
    <row r="8926">
      <c r="B8926" s="24" t="inlineStr">
        <is>
          <t>FinalInstalmentFlag</t>
        </is>
      </c>
      <c r="C8926" s="24" t="inlineStr">
        <is>
          <t>末期还款约定方式</t>
        </is>
      </c>
      <c r="D8926" s="24" t="inlineStr">
        <is>
          <t>01</t>
        </is>
      </c>
      <c r="E8926" s="24" t="inlineStr">
        <is>
          <t>最后一期合并</t>
        </is>
      </c>
    </row>
    <row r="8927">
      <c r="B8927" s="24" t="inlineStr">
        <is>
          <t>FinalInstalmentFlag</t>
        </is>
      </c>
      <c r="C8927" s="24" t="inlineStr">
        <is>
          <t>末期还款约定方式</t>
        </is>
      </c>
      <c r="D8927" s="24" t="inlineStr">
        <is>
          <t>02</t>
        </is>
      </c>
      <c r="E8927" s="24" t="inlineStr">
        <is>
          <t>最后一期拆分</t>
        </is>
      </c>
    </row>
    <row r="8928">
      <c r="B8928" s="24" t="inlineStr">
        <is>
          <t>FinalInstalmentFlag</t>
        </is>
      </c>
      <c r="C8928" s="24" t="inlineStr">
        <is>
          <t>末期还款约定方式</t>
        </is>
      </c>
      <c r="D8928" s="24" t="inlineStr">
        <is>
          <t>03</t>
        </is>
      </c>
      <c r="E8928" s="24" t="inlineStr">
        <is>
          <t>自动顺延直至贷款到期</t>
        </is>
      </c>
    </row>
    <row r="8929" ht="15.95" customHeight="1" s="170">
      <c r="B8929" s="122" t="inlineStr">
        <is>
          <t>码值：SMECreditTLevel</t>
        </is>
      </c>
    </row>
    <row r="8930">
      <c r="B8930" s="24" t="inlineStr">
        <is>
          <t>SMECreditTLevel</t>
        </is>
      </c>
      <c r="C8930" s="24" t="inlineStr">
        <is>
          <t>技术水平</t>
        </is>
      </c>
      <c r="D8930" s="24" t="inlineStr">
        <is>
          <t>01</t>
        </is>
      </c>
      <c r="E8930" s="24" t="inlineStr">
        <is>
          <t>高于行业平均水平</t>
        </is>
      </c>
    </row>
    <row r="8931">
      <c r="B8931" s="24" t="inlineStr">
        <is>
          <t>SMECreditTLevel</t>
        </is>
      </c>
      <c r="C8931" s="24" t="inlineStr">
        <is>
          <t>技术水平</t>
        </is>
      </c>
      <c r="D8931" s="24" t="inlineStr">
        <is>
          <t>02</t>
        </is>
      </c>
      <c r="E8931" s="24" t="inlineStr">
        <is>
          <t>行业平均水平</t>
        </is>
      </c>
    </row>
    <row r="8932">
      <c r="B8932" s="24" t="inlineStr">
        <is>
          <t>SMECreditTLevel</t>
        </is>
      </c>
      <c r="C8932" s="24" t="inlineStr">
        <is>
          <t>技术水平</t>
        </is>
      </c>
      <c r="D8932" s="24" t="inlineStr">
        <is>
          <t>03</t>
        </is>
      </c>
      <c r="E8932" s="24" t="inlineStr">
        <is>
          <t>低于行业平均水平</t>
        </is>
      </c>
    </row>
    <row r="8933" ht="15.95" customHeight="1" s="170">
      <c r="B8933" s="122" t="inlineStr">
        <is>
          <t>码值：PrepaymentType</t>
        </is>
      </c>
    </row>
    <row r="8934">
      <c r="B8934" s="24" t="inlineStr">
        <is>
          <t>PrepaymentType</t>
        </is>
      </c>
      <c r="C8934" s="24" t="inlineStr">
        <is>
          <t>提前还款方式</t>
        </is>
      </c>
      <c r="D8934" s="24" t="inlineStr">
        <is>
          <t>1</t>
        </is>
      </c>
      <c r="E8934" s="24" t="inlineStr">
        <is>
          <t>部分提前还款-期限不变</t>
        </is>
      </c>
    </row>
    <row r="8935">
      <c r="B8935" s="24" t="inlineStr">
        <is>
          <t>PrepaymentType</t>
        </is>
      </c>
      <c r="C8935" s="24" t="inlineStr">
        <is>
          <t>提前还款方式</t>
        </is>
      </c>
      <c r="D8935" s="24" t="inlineStr">
        <is>
          <t>2</t>
        </is>
      </c>
      <c r="E8935" s="24" t="inlineStr">
        <is>
          <t>部分提前还款-期供不变</t>
        </is>
      </c>
    </row>
    <row r="8936">
      <c r="B8936" s="24" t="inlineStr">
        <is>
          <t>PrepaymentType</t>
        </is>
      </c>
      <c r="C8936" s="24" t="inlineStr">
        <is>
          <t>提前还款方式</t>
        </is>
      </c>
      <c r="D8936" s="24" t="inlineStr">
        <is>
          <t>3</t>
        </is>
      </c>
      <c r="E8936" s="24" t="inlineStr">
        <is>
          <t>全部提前还款</t>
        </is>
      </c>
    </row>
    <row r="8937" ht="15.95" customHeight="1" s="170">
      <c r="B8937" s="122" t="inlineStr">
        <is>
          <t>码值：SpecialStructureType</t>
        </is>
      </c>
    </row>
    <row r="8938">
      <c r="B8938" s="24" t="inlineStr">
        <is>
          <t>SpecialStructureType</t>
        </is>
      </c>
      <c r="C8938" s="24" t="inlineStr">
        <is>
          <t>构造物类型</t>
        </is>
      </c>
      <c r="D8938" s="24" t="inlineStr">
        <is>
          <t>01</t>
        </is>
      </c>
      <c r="E8938" s="24" t="inlineStr">
        <is>
          <t>车位、车库</t>
        </is>
      </c>
    </row>
    <row r="8939">
      <c r="B8939" s="24" t="inlineStr">
        <is>
          <t>SpecialStructureType</t>
        </is>
      </c>
      <c r="C8939" s="24" t="inlineStr">
        <is>
          <t>构造物类型</t>
        </is>
      </c>
      <c r="D8939" s="24" t="inlineStr">
        <is>
          <t>02</t>
        </is>
      </c>
      <c r="E8939" s="24" t="inlineStr">
        <is>
          <t>加油站</t>
        </is>
      </c>
    </row>
    <row r="8940">
      <c r="B8940" s="24" t="inlineStr">
        <is>
          <t>SpecialStructureType</t>
        </is>
      </c>
      <c r="C8940" s="24" t="inlineStr">
        <is>
          <t>构造物类型</t>
        </is>
      </c>
      <c r="D8940" s="24" t="inlineStr">
        <is>
          <t>03</t>
        </is>
      </c>
      <c r="E8940" s="24" t="inlineStr">
        <is>
          <t>铁路</t>
        </is>
      </c>
    </row>
    <row r="8941">
      <c r="B8941" s="24" t="inlineStr">
        <is>
          <t>SpecialStructureType</t>
        </is>
      </c>
      <c r="C8941" s="24" t="inlineStr">
        <is>
          <t>构造物类型</t>
        </is>
      </c>
      <c r="D8941" s="24" t="inlineStr">
        <is>
          <t>04</t>
        </is>
      </c>
      <c r="E8941" s="24" t="inlineStr">
        <is>
          <t>机场</t>
        </is>
      </c>
    </row>
    <row r="8942">
      <c r="B8942" s="24" t="inlineStr">
        <is>
          <t>SpecialStructureType</t>
        </is>
      </c>
      <c r="C8942" s="24" t="inlineStr">
        <is>
          <t>构造物类型</t>
        </is>
      </c>
      <c r="D8942" s="24" t="inlineStr">
        <is>
          <t>05</t>
        </is>
      </c>
      <c r="E8942" s="24" t="inlineStr">
        <is>
          <t>码头</t>
        </is>
      </c>
    </row>
    <row r="8943">
      <c r="B8943" s="24" t="inlineStr">
        <is>
          <t>SpecialStructureType</t>
        </is>
      </c>
      <c r="C8943" s="24" t="inlineStr">
        <is>
          <t>构造物类型</t>
        </is>
      </c>
      <c r="D8943" s="24" t="inlineStr">
        <is>
          <t>06</t>
        </is>
      </c>
      <c r="E8943" s="24" t="inlineStr">
        <is>
          <t>港口</t>
        </is>
      </c>
    </row>
    <row r="8944">
      <c r="B8944" s="24" t="inlineStr">
        <is>
          <t>SpecialStructureType</t>
        </is>
      </c>
      <c r="C8944" s="24" t="inlineStr">
        <is>
          <t>构造物类型</t>
        </is>
      </c>
      <c r="D8944" s="24" t="inlineStr">
        <is>
          <t>07</t>
        </is>
      </c>
      <c r="E8944" s="24" t="inlineStr">
        <is>
          <t>井巷</t>
        </is>
      </c>
    </row>
    <row r="8945">
      <c r="B8945" s="24" t="inlineStr">
        <is>
          <t>SpecialStructureType</t>
        </is>
      </c>
      <c r="C8945" s="24" t="inlineStr">
        <is>
          <t>构造物类型</t>
        </is>
      </c>
      <c r="D8945" s="24" t="inlineStr">
        <is>
          <t>08</t>
        </is>
      </c>
      <c r="E8945" s="24" t="inlineStr">
        <is>
          <t>公路</t>
        </is>
      </c>
    </row>
    <row r="8946">
      <c r="B8946" s="24" t="inlineStr">
        <is>
          <t>SpecialStructureType</t>
        </is>
      </c>
      <c r="C8946" s="24" t="inlineStr">
        <is>
          <t>构造物类型</t>
        </is>
      </c>
      <c r="D8946" s="24" t="inlineStr">
        <is>
          <t>09</t>
        </is>
      </c>
      <c r="E8946" s="24" t="inlineStr">
        <is>
          <t>水坝</t>
        </is>
      </c>
    </row>
    <row r="8947">
      <c r="B8947" s="24" t="inlineStr">
        <is>
          <t>SpecialStructureType</t>
        </is>
      </c>
      <c r="C8947" s="24" t="inlineStr">
        <is>
          <t>构造物类型</t>
        </is>
      </c>
      <c r="D8947" s="24" t="inlineStr">
        <is>
          <t>10</t>
        </is>
      </c>
      <c r="E8947" s="24" t="inlineStr">
        <is>
          <t>储油罐</t>
        </is>
      </c>
    </row>
    <row r="8948">
      <c r="B8948" s="24" t="inlineStr">
        <is>
          <t>SpecialStructureType</t>
        </is>
      </c>
      <c r="C8948" s="24" t="inlineStr">
        <is>
          <t>构造物类型</t>
        </is>
      </c>
      <c r="D8948" s="24" t="inlineStr">
        <is>
          <t>11</t>
        </is>
      </c>
      <c r="E8948" s="24" t="inlineStr">
        <is>
          <t>管道</t>
        </is>
      </c>
    </row>
    <row r="8949" ht="15.95" customHeight="1" s="170">
      <c r="B8949" s="122" t="inlineStr">
        <is>
          <t>码值：RightCertType</t>
        </is>
      </c>
    </row>
    <row r="8950">
      <c r="B8950" s="24" t="inlineStr">
        <is>
          <t>RightCertType</t>
        </is>
      </c>
      <c r="C8950" s="24" t="inlineStr">
        <is>
          <t>权证类型</t>
        </is>
      </c>
      <c r="D8950" s="24" t="inlineStr">
        <is>
          <t>0010</t>
        </is>
      </c>
      <c r="E8950" s="24" t="inlineStr">
        <is>
          <t>不动产登记证明（房屋他项权证）</t>
        </is>
      </c>
    </row>
    <row r="8951">
      <c r="B8951" s="24" t="inlineStr">
        <is>
          <t>RightCertType</t>
        </is>
      </c>
      <c r="C8951" s="24" t="inlineStr">
        <is>
          <t>权证类型</t>
        </is>
      </c>
      <c r="D8951" s="24" t="inlineStr">
        <is>
          <t>0020</t>
        </is>
      </c>
      <c r="E8951" s="24" t="inlineStr">
        <is>
          <t>期房他项权证</t>
        </is>
      </c>
    </row>
    <row r="8952">
      <c r="B8952" s="24" t="inlineStr">
        <is>
          <t>RightCertType</t>
        </is>
      </c>
      <c r="C8952" s="24" t="inlineStr">
        <is>
          <t>权证类型</t>
        </is>
      </c>
      <c r="D8952" s="24" t="inlineStr">
        <is>
          <t>1010</t>
        </is>
      </c>
      <c r="E8952" s="24" t="inlineStr">
        <is>
          <t>土地使用权证</t>
        </is>
      </c>
    </row>
    <row r="8953">
      <c r="B8953" s="24" t="inlineStr">
        <is>
          <t>RightCertType</t>
        </is>
      </c>
      <c r="C8953" s="24" t="inlineStr">
        <is>
          <t>权证类型</t>
        </is>
      </c>
      <c r="D8953" s="24" t="inlineStr">
        <is>
          <t>1020</t>
        </is>
      </c>
      <c r="E8953" s="24" t="inlineStr">
        <is>
          <t>土地他项权利证书</t>
        </is>
      </c>
    </row>
    <row r="8954">
      <c r="B8954" s="24" t="inlineStr">
        <is>
          <t>RightCertType</t>
        </is>
      </c>
      <c r="C8954" s="24" t="inlineStr">
        <is>
          <t>权证类型</t>
        </is>
      </c>
      <c r="D8954" s="24" t="inlineStr">
        <is>
          <t>1030</t>
        </is>
      </c>
      <c r="E8954" s="24" t="inlineStr">
        <is>
          <t>在建工程抵押登记证明</t>
        </is>
      </c>
    </row>
    <row r="8955">
      <c r="B8955" s="24" t="inlineStr">
        <is>
          <t>RightCertType</t>
        </is>
      </c>
      <c r="C8955" s="24" t="inlineStr">
        <is>
          <t>权证类型</t>
        </is>
      </c>
      <c r="D8955" s="24" t="inlineStr">
        <is>
          <t>1040</t>
        </is>
      </c>
      <c r="E8955" s="24" t="inlineStr">
        <is>
          <t>不动产登记证明-公积金</t>
        </is>
      </c>
    </row>
    <row r="8956">
      <c r="B8956" s="24" t="inlineStr">
        <is>
          <t>RightCertType</t>
        </is>
      </c>
      <c r="C8956" s="24" t="inlineStr">
        <is>
          <t>权证类型</t>
        </is>
      </c>
      <c r="D8956" s="24" t="inlineStr">
        <is>
          <t>1050</t>
        </is>
      </c>
      <c r="E8956" s="24" t="inlineStr">
        <is>
          <t>存单</t>
        </is>
      </c>
    </row>
    <row r="8957">
      <c r="B8957" s="24" t="inlineStr">
        <is>
          <t>RightCertType</t>
        </is>
      </c>
      <c r="C8957" s="24" t="inlineStr">
        <is>
          <t>权证类型</t>
        </is>
      </c>
      <c r="D8957" s="24" t="inlineStr">
        <is>
          <t>1060</t>
        </is>
      </c>
      <c r="E8957" s="24" t="inlineStr">
        <is>
          <t>结构性存款质押存单</t>
        </is>
      </c>
    </row>
    <row r="8958">
      <c r="B8958" s="24" t="inlineStr">
        <is>
          <t>RightCertType</t>
        </is>
      </c>
      <c r="C8958" s="24" t="inlineStr">
        <is>
          <t>权证类型</t>
        </is>
      </c>
      <c r="D8958" s="24" t="inlineStr">
        <is>
          <t>1070</t>
        </is>
      </c>
      <c r="E8958" s="24" t="inlineStr">
        <is>
          <t>债券</t>
        </is>
      </c>
    </row>
    <row r="8959">
      <c r="B8959" s="24" t="inlineStr">
        <is>
          <t>RightCertType</t>
        </is>
      </c>
      <c r="C8959" s="24" t="inlineStr">
        <is>
          <t>权证类型</t>
        </is>
      </c>
      <c r="D8959" s="24" t="inlineStr">
        <is>
          <t>1080</t>
        </is>
      </c>
      <c r="E8959" s="24" t="inlineStr">
        <is>
          <t>票据</t>
        </is>
      </c>
    </row>
    <row r="8960">
      <c r="B8960" s="24" t="inlineStr">
        <is>
          <t>RightCertType</t>
        </is>
      </c>
      <c r="C8960" s="24" t="inlineStr">
        <is>
          <t>权证类型</t>
        </is>
      </c>
      <c r="D8960" s="24" t="inlineStr">
        <is>
          <t>1090</t>
        </is>
      </c>
      <c r="E8960" s="24" t="inlineStr">
        <is>
          <t>保单正本、保险公司出具相关证明</t>
        </is>
      </c>
    </row>
    <row r="8961">
      <c r="B8961" s="24" t="inlineStr">
        <is>
          <t>RightCertType</t>
        </is>
      </c>
      <c r="C8961" s="24" t="inlineStr">
        <is>
          <t>权证类型</t>
        </is>
      </c>
      <c r="D8961" s="24" t="inlineStr">
        <is>
          <t>1100</t>
        </is>
      </c>
      <c r="E8961" s="24" t="inlineStr">
        <is>
          <t>理财协议书或理财产品合同</t>
        </is>
      </c>
    </row>
    <row r="8962">
      <c r="B8962" s="24" t="inlineStr">
        <is>
          <t>RightCertType</t>
        </is>
      </c>
      <c r="C8962" s="24" t="inlineStr">
        <is>
          <t>权证类型</t>
        </is>
      </c>
      <c r="D8962" s="24" t="inlineStr">
        <is>
          <t>1110</t>
        </is>
      </c>
      <c r="E8962" s="24" t="inlineStr">
        <is>
          <t>收费权质押登记证明</t>
        </is>
      </c>
    </row>
    <row r="8963">
      <c r="B8963" s="24" t="inlineStr">
        <is>
          <t>RightCertType</t>
        </is>
      </c>
      <c r="C8963" s="24" t="inlineStr">
        <is>
          <t>权证类型</t>
        </is>
      </c>
      <c r="D8963" s="24" t="inlineStr">
        <is>
          <t>1120</t>
        </is>
      </c>
      <c r="E8963" s="24" t="inlineStr">
        <is>
          <t>已经背书“质押”字样的仓单/提单</t>
        </is>
      </c>
    </row>
    <row r="8964">
      <c r="B8964" s="24" t="inlineStr">
        <is>
          <t>RightCertType</t>
        </is>
      </c>
      <c r="C8964" s="24" t="inlineStr">
        <is>
          <t>权证类型</t>
        </is>
      </c>
      <c r="D8964" s="24" t="inlineStr">
        <is>
          <t>1130</t>
        </is>
      </c>
      <c r="E8964" s="24" t="inlineStr">
        <is>
          <t>机动车登记证书</t>
        </is>
      </c>
    </row>
    <row r="8965">
      <c r="B8965" s="24" t="inlineStr">
        <is>
          <t>RightCertType</t>
        </is>
      </c>
      <c r="C8965" s="24" t="inlineStr">
        <is>
          <t>权证类型</t>
        </is>
      </c>
      <c r="D8965" s="24" t="inlineStr">
        <is>
          <t>1140</t>
        </is>
      </c>
      <c r="E8965" s="24" t="inlineStr">
        <is>
          <t>贵金属出质证明书或托管证明</t>
        </is>
      </c>
    </row>
    <row r="8966">
      <c r="B8966" s="24" t="inlineStr">
        <is>
          <t>RightCertType</t>
        </is>
      </c>
      <c r="C8966" s="24" t="inlineStr">
        <is>
          <t>权证类型</t>
        </is>
      </c>
      <c r="D8966" s="24" t="inlineStr">
        <is>
          <t>1150</t>
        </is>
      </c>
      <c r="E8966" s="24" t="inlineStr">
        <is>
          <t>证券质押登记证明书（上市）</t>
        </is>
      </c>
    </row>
    <row r="8967">
      <c r="B8967" s="24" t="inlineStr">
        <is>
          <t>RightCertType</t>
        </is>
      </c>
      <c r="C8967" s="24" t="inlineStr">
        <is>
          <t>权证类型</t>
        </is>
      </c>
      <c r="D8967" s="24" t="inlineStr">
        <is>
          <t>1160</t>
        </is>
      </c>
      <c r="E8967" s="24" t="inlineStr">
        <is>
          <t>股权质押登记证明书（非上市）</t>
        </is>
      </c>
    </row>
    <row r="8968">
      <c r="B8968" s="24" t="inlineStr">
        <is>
          <t>RightCertType</t>
        </is>
      </c>
      <c r="C8968" s="24" t="inlineStr">
        <is>
          <t>权证类型</t>
        </is>
      </c>
      <c r="D8968" s="24" t="inlineStr">
        <is>
          <t>1170</t>
        </is>
      </c>
      <c r="E8968" s="24" t="inlineStr">
        <is>
          <t>机器设备抵押登记证书</t>
        </is>
      </c>
    </row>
    <row r="8969">
      <c r="B8969" s="24" t="inlineStr">
        <is>
          <t>RightCertType</t>
        </is>
      </c>
      <c r="C8969" s="24" t="inlineStr">
        <is>
          <t>权证类型</t>
        </is>
      </c>
      <c r="D8969" s="24" t="inlineStr">
        <is>
          <t>1180</t>
        </is>
      </c>
      <c r="E8969" s="24" t="inlineStr">
        <is>
          <t>船舶抵押权登记证书</t>
        </is>
      </c>
    </row>
    <row r="8970">
      <c r="B8970" s="24" t="inlineStr">
        <is>
          <t>RightCertType</t>
        </is>
      </c>
      <c r="C8970" s="24" t="inlineStr">
        <is>
          <t>权证类型</t>
        </is>
      </c>
      <c r="D8970" s="24" t="inlineStr">
        <is>
          <t>1190</t>
        </is>
      </c>
      <c r="E8970" s="24" t="inlineStr">
        <is>
          <t>森林资源资产抵押登记证</t>
        </is>
      </c>
    </row>
    <row r="8971">
      <c r="B8971" s="24" t="inlineStr">
        <is>
          <t>RightCertType</t>
        </is>
      </c>
      <c r="C8971" s="24" t="inlineStr">
        <is>
          <t>权证类型</t>
        </is>
      </c>
      <c r="D8971" s="24" t="inlineStr">
        <is>
          <t>1200</t>
        </is>
      </c>
      <c r="E8971" s="24" t="inlineStr">
        <is>
          <t>海域使用权登记证明</t>
        </is>
      </c>
    </row>
    <row r="8972">
      <c r="B8972" s="24" t="inlineStr">
        <is>
          <t>RightCertType</t>
        </is>
      </c>
      <c r="C8972" s="24" t="inlineStr">
        <is>
          <t>权证类型</t>
        </is>
      </c>
      <c r="D8972" s="24" t="inlineStr">
        <is>
          <t>1210</t>
        </is>
      </c>
      <c r="E8972" s="24" t="inlineStr">
        <is>
          <t>民用航空器抵押权登记证书</t>
        </is>
      </c>
    </row>
    <row r="8973">
      <c r="B8973" s="24" t="inlineStr">
        <is>
          <t>RightCertType</t>
        </is>
      </c>
      <c r="C8973" s="24" t="inlineStr">
        <is>
          <t>权证类型</t>
        </is>
      </c>
      <c r="D8973" s="24" t="inlineStr">
        <is>
          <t>1220</t>
        </is>
      </c>
      <c r="E8973" s="24" t="inlineStr">
        <is>
          <t>商标专用权质押登记证</t>
        </is>
      </c>
    </row>
    <row r="8974">
      <c r="B8974" s="24" t="inlineStr">
        <is>
          <t>RightCertType</t>
        </is>
      </c>
      <c r="C8974" s="24" t="inlineStr">
        <is>
          <t>权证类型</t>
        </is>
      </c>
      <c r="D8974" s="24" t="inlineStr">
        <is>
          <t>1230</t>
        </is>
      </c>
      <c r="E8974" s="24" t="inlineStr">
        <is>
          <t>专利权质押合同登记通知书</t>
        </is>
      </c>
    </row>
    <row r="8975">
      <c r="B8975" s="24" t="inlineStr">
        <is>
          <t>RightCertType</t>
        </is>
      </c>
      <c r="C8975" s="24" t="inlineStr">
        <is>
          <t>权证类型</t>
        </is>
      </c>
      <c r="D8975" s="24" t="inlineStr">
        <is>
          <t>1240</t>
        </is>
      </c>
      <c r="E8975" s="24" t="inlineStr">
        <is>
          <t>著作权质押合同登记证</t>
        </is>
      </c>
    </row>
    <row r="8976">
      <c r="B8976" s="24" t="inlineStr">
        <is>
          <t>RightCertType</t>
        </is>
      </c>
      <c r="C8976" s="24" t="inlineStr">
        <is>
          <t>权证类型</t>
        </is>
      </c>
      <c r="D8976" s="24" t="inlineStr">
        <is>
          <t>1250</t>
        </is>
      </c>
      <c r="E8976" s="24" t="inlineStr">
        <is>
          <t>人行应收账款质押登记证明</t>
        </is>
      </c>
    </row>
    <row r="8977">
      <c r="B8977" s="24" t="inlineStr">
        <is>
          <t>RightCertType</t>
        </is>
      </c>
      <c r="C8977" s="24" t="inlineStr">
        <is>
          <t>权证类型</t>
        </is>
      </c>
      <c r="D8977" s="24" t="inlineStr">
        <is>
          <t>1260</t>
        </is>
      </c>
      <c r="E8977" s="24" t="inlineStr">
        <is>
          <t>汽车合格证</t>
        </is>
      </c>
    </row>
    <row r="8978">
      <c r="B8978" s="24" t="inlineStr">
        <is>
          <t>RightCertType</t>
        </is>
      </c>
      <c r="C8978" s="24" t="inlineStr">
        <is>
          <t>权证类型</t>
        </is>
      </c>
      <c r="D8978" s="24" t="inlineStr">
        <is>
          <t>1270</t>
        </is>
      </c>
      <c r="E8978" s="24" t="inlineStr">
        <is>
          <t>出租车营运证</t>
        </is>
      </c>
    </row>
    <row r="8979">
      <c r="B8979" s="24" t="inlineStr">
        <is>
          <t>RightCertType</t>
        </is>
      </c>
      <c r="C8979" s="24" t="inlineStr">
        <is>
          <t>权证类型</t>
        </is>
      </c>
      <c r="D8979" s="24" t="inlineStr">
        <is>
          <t>1280</t>
        </is>
      </c>
      <c r="E8979" s="24" t="inlineStr">
        <is>
          <t>备用信用证</t>
        </is>
      </c>
    </row>
    <row r="8980">
      <c r="B8980" s="24" t="inlineStr">
        <is>
          <t>RightCertType</t>
        </is>
      </c>
      <c r="C8980" s="24" t="inlineStr">
        <is>
          <t>权证类型</t>
        </is>
      </c>
      <c r="D8980" s="24" t="inlineStr">
        <is>
          <t>1290</t>
        </is>
      </c>
      <c r="E8980" s="24" t="inlineStr">
        <is>
          <t>保函</t>
        </is>
      </c>
    </row>
    <row r="8981">
      <c r="B8981" s="24" t="inlineStr">
        <is>
          <t>RightCertType</t>
        </is>
      </c>
      <c r="C8981" s="24" t="inlineStr">
        <is>
          <t>权证类型</t>
        </is>
      </c>
      <c r="D8981" s="24" t="inlineStr">
        <is>
          <t>1300</t>
        </is>
      </c>
      <c r="E8981" s="24" t="inlineStr">
        <is>
          <t>收件单（二手房按揭）</t>
        </is>
      </c>
    </row>
    <row r="8982">
      <c r="B8982" s="24" t="inlineStr">
        <is>
          <t>RightCertType</t>
        </is>
      </c>
      <c r="C8982" s="24" t="inlineStr">
        <is>
          <t>权证类型</t>
        </is>
      </c>
      <c r="D8982" s="24" t="inlineStr">
        <is>
          <t>1310</t>
        </is>
      </c>
      <c r="E8982" s="24" t="inlineStr">
        <is>
          <t>其他抵押或质押登记证</t>
        </is>
      </c>
    </row>
    <row r="8983" ht="15.95" customHeight="1" s="170">
      <c r="B8983" s="122" t="inlineStr">
        <is>
          <t>码值：ServiceAreaDiversification</t>
        </is>
      </c>
    </row>
    <row r="8984">
      <c r="B8984" s="24" t="inlineStr">
        <is>
          <t>ServiceAreaDiversification</t>
        </is>
      </c>
      <c r="C8984" s="24" t="inlineStr">
        <is>
          <t>信用等级评估统一导入</t>
        </is>
      </c>
      <c r="D8984" s="24" t="inlineStr">
        <is>
          <t>01</t>
        </is>
      </c>
      <c r="E8984" s="24" t="inlineStr">
        <is>
          <t>产品或服务销售范围大于4个省份或直辖市</t>
        </is>
      </c>
    </row>
    <row r="8985">
      <c r="B8985" s="24" t="inlineStr">
        <is>
          <t>ServiceAreaDiversification</t>
        </is>
      </c>
      <c r="C8985" s="24" t="inlineStr">
        <is>
          <t>信用等级评估统一导入</t>
        </is>
      </c>
      <c r="D8985" s="24" t="inlineStr">
        <is>
          <t>02</t>
        </is>
      </c>
      <c r="E8985" s="24" t="inlineStr">
        <is>
          <t>产品或服务销售范围在2至3个省或直辖市范围内</t>
        </is>
      </c>
    </row>
    <row r="8986">
      <c r="B8986" s="24" t="inlineStr">
        <is>
          <t>ServiceAreaDiversification</t>
        </is>
      </c>
      <c r="C8986" s="24" t="inlineStr">
        <is>
          <t>信用等级评估统一导入</t>
        </is>
      </c>
      <c r="D8986" s="24" t="inlineStr">
        <is>
          <t>03</t>
        </is>
      </c>
      <c r="E8986" s="24" t="inlineStr">
        <is>
          <t>产品或服务销售范围在1个省或直辖市内</t>
        </is>
      </c>
    </row>
    <row r="8987">
      <c r="B8987" s="24" t="inlineStr">
        <is>
          <t>ServiceAreaDiversification</t>
        </is>
      </c>
      <c r="C8987" s="24" t="inlineStr">
        <is>
          <t>信用等级评估统一导入</t>
        </is>
      </c>
      <c r="D8987" s="24" t="inlineStr">
        <is>
          <t>04</t>
        </is>
      </c>
      <c r="E8987" s="24" t="inlineStr">
        <is>
          <t>产品或服务销售范围在1个地级市之内</t>
        </is>
      </c>
    </row>
    <row r="8988" ht="15.95" customHeight="1" s="170">
      <c r="B8988" s="122" t="inlineStr">
        <is>
          <t>码值：CLDivideType</t>
        </is>
      </c>
    </row>
    <row r="8989">
      <c r="B8989" s="24" t="inlineStr">
        <is>
          <t>CLDivideType</t>
        </is>
      </c>
      <c r="C8989" s="24" t="inlineStr">
        <is>
          <t>额度切分维度</t>
        </is>
      </c>
      <c r="D8989" s="24" t="inlineStr">
        <is>
          <t>10</t>
        </is>
      </c>
      <c r="E8989" s="24" t="inlineStr">
        <is>
          <t>产品</t>
        </is>
      </c>
    </row>
    <row r="8990">
      <c r="B8990" s="24" t="inlineStr">
        <is>
          <t>CLDivideType</t>
        </is>
      </c>
      <c r="C8990" s="24" t="inlineStr">
        <is>
          <t>额度切分维度</t>
        </is>
      </c>
      <c r="D8990" s="24" t="inlineStr">
        <is>
          <t>20</t>
        </is>
      </c>
      <c r="E8990" s="24" t="inlineStr">
        <is>
          <t>机构</t>
        </is>
      </c>
    </row>
    <row r="8991">
      <c r="B8991" s="24" t="inlineStr">
        <is>
          <t>CLDivideType</t>
        </is>
      </c>
      <c r="C8991" s="24" t="inlineStr">
        <is>
          <t>额度切分维度</t>
        </is>
      </c>
      <c r="D8991" s="24" t="inlineStr">
        <is>
          <t>30</t>
        </is>
      </c>
      <c r="E8991" s="24" t="inlineStr">
        <is>
          <t>币种</t>
        </is>
      </c>
    </row>
    <row r="8992">
      <c r="B8992" s="24" t="inlineStr">
        <is>
          <t>CLDivideType</t>
        </is>
      </c>
      <c r="C8992" s="24" t="inlineStr">
        <is>
          <t>额度切分维度</t>
        </is>
      </c>
      <c r="D8992" s="24" t="inlineStr">
        <is>
          <t>40</t>
        </is>
      </c>
      <c r="E8992" s="24" t="inlineStr">
        <is>
          <t>担保</t>
        </is>
      </c>
    </row>
    <row r="8993">
      <c r="B8993" s="24" t="inlineStr">
        <is>
          <t>CLDivideType</t>
        </is>
      </c>
      <c r="C8993" s="24" t="inlineStr">
        <is>
          <t>额度切分维度</t>
        </is>
      </c>
      <c r="D8993" s="24" t="inlineStr">
        <is>
          <t>50</t>
        </is>
      </c>
      <c r="E8993" s="24" t="inlineStr">
        <is>
          <t>借款主体</t>
        </is>
      </c>
    </row>
    <row r="8994" ht="15.95" customHeight="1" s="170">
      <c r="B8994" s="122" t="inlineStr">
        <is>
          <t>码值：ICCyc</t>
        </is>
      </c>
    </row>
    <row r="8995">
      <c r="B8995" s="24" t="inlineStr">
        <is>
          <t>ICCyc</t>
        </is>
      </c>
      <c r="C8995" s="24" t="inlineStr">
        <is>
          <t>计息周期</t>
        </is>
      </c>
      <c r="D8995" s="24" t="inlineStr">
        <is>
          <t>0</t>
        </is>
      </c>
      <c r="E8995" s="24" t="inlineStr">
        <is>
          <t>按月计息</t>
        </is>
      </c>
    </row>
    <row r="8996">
      <c r="B8996" s="24" t="inlineStr">
        <is>
          <t>ICCyc</t>
        </is>
      </c>
      <c r="C8996" s="24" t="inlineStr">
        <is>
          <t>计息周期</t>
        </is>
      </c>
      <c r="D8996" s="24" t="inlineStr">
        <is>
          <t>1</t>
        </is>
      </c>
      <c r="E8996" s="24" t="inlineStr">
        <is>
          <t>按季计息</t>
        </is>
      </c>
    </row>
    <row r="8997">
      <c r="B8997" s="24" t="inlineStr">
        <is>
          <t>ICCyc</t>
        </is>
      </c>
      <c r="C8997" s="24" t="inlineStr">
        <is>
          <t>计息周期</t>
        </is>
      </c>
      <c r="D8997" s="24" t="inlineStr">
        <is>
          <t>2</t>
        </is>
      </c>
      <c r="E8997" s="24" t="inlineStr">
        <is>
          <t>按半年计息</t>
        </is>
      </c>
    </row>
    <row r="8998">
      <c r="B8998" s="24" t="inlineStr">
        <is>
          <t>ICCyc</t>
        </is>
      </c>
      <c r="C8998" s="24" t="inlineStr">
        <is>
          <t>计息周期</t>
        </is>
      </c>
      <c r="D8998" s="24" t="inlineStr">
        <is>
          <t>3</t>
        </is>
      </c>
      <c r="E8998" s="24" t="inlineStr">
        <is>
          <t>按留学半年计息</t>
        </is>
      </c>
    </row>
    <row r="8999">
      <c r="B8999" s="24" t="inlineStr">
        <is>
          <t>ICCyc</t>
        </is>
      </c>
      <c r="C8999" s="24" t="inlineStr">
        <is>
          <t>计息周期</t>
        </is>
      </c>
      <c r="D8999" s="24" t="inlineStr">
        <is>
          <t>4</t>
        </is>
      </c>
      <c r="E8999" s="24" t="inlineStr">
        <is>
          <t>按年计息</t>
        </is>
      </c>
    </row>
    <row r="9000">
      <c r="B9000" s="24" t="inlineStr">
        <is>
          <t>ICCyc</t>
        </is>
      </c>
      <c r="C9000" s="24" t="inlineStr">
        <is>
          <t>计息周期</t>
        </is>
      </c>
      <c r="D9000" s="24" t="inlineStr">
        <is>
          <t>5</t>
        </is>
      </c>
      <c r="E9000" s="24" t="inlineStr">
        <is>
          <t>按固定月数计息</t>
        </is>
      </c>
    </row>
    <row r="9001">
      <c r="B9001" s="24" t="inlineStr">
        <is>
          <t>ICCyc</t>
        </is>
      </c>
      <c r="C9001" s="24" t="inlineStr">
        <is>
          <t>计息周期</t>
        </is>
      </c>
      <c r="D9001" s="24" t="inlineStr">
        <is>
          <t>6</t>
        </is>
      </c>
      <c r="E9001" s="24" t="inlineStr">
        <is>
          <t>利随本清</t>
        </is>
      </c>
    </row>
    <row r="9002">
      <c r="B9002" s="24" t="inlineStr">
        <is>
          <t>ICCyc</t>
        </is>
      </c>
      <c r="C9002" s="24" t="inlineStr">
        <is>
          <t>计息周期</t>
        </is>
      </c>
      <c r="D9002" s="24" t="inlineStr">
        <is>
          <t>7</t>
        </is>
      </c>
      <c r="E9002" s="24" t="inlineStr">
        <is>
          <t>预扣息</t>
        </is>
      </c>
    </row>
    <row r="9003">
      <c r="B9003" s="24" t="inlineStr">
        <is>
          <t>ICCyc</t>
        </is>
      </c>
      <c r="C9003" s="24" t="inlineStr">
        <is>
          <t>计息周期</t>
        </is>
      </c>
      <c r="D9003" s="24" t="inlineStr">
        <is>
          <t>8</t>
        </is>
      </c>
      <c r="E9003" s="24" t="inlineStr">
        <is>
          <t>按3个月对月对日计息</t>
        </is>
      </c>
    </row>
    <row r="9004">
      <c r="B9004" s="24" t="inlineStr">
        <is>
          <t>ICCyc</t>
        </is>
      </c>
      <c r="C9004" s="24" t="inlineStr">
        <is>
          <t>计息周期</t>
        </is>
      </c>
      <c r="D9004" s="24" t="inlineStr">
        <is>
          <t>9</t>
        </is>
      </c>
      <c r="E9004" s="24" t="inlineStr">
        <is>
          <t>按6个月对月对日计息</t>
        </is>
      </c>
    </row>
    <row r="9005" ht="15.95" customHeight="1" s="170">
      <c r="B9005" s="122" t="inlineStr">
        <is>
          <t>码值：BlacklistClass</t>
        </is>
      </c>
    </row>
    <row r="9006">
      <c r="B9006" s="24" t="inlineStr">
        <is>
          <t>BlacklistClass</t>
        </is>
      </c>
      <c r="C9006" s="24" t="inlineStr">
        <is>
          <t>黑名单类别</t>
        </is>
      </c>
      <c r="D9006" s="24" t="inlineStr">
        <is>
          <t>101</t>
        </is>
      </c>
      <c r="E9006" s="24" t="inlineStr">
        <is>
          <t>逾期</t>
        </is>
      </c>
    </row>
    <row r="9007">
      <c r="B9007" s="24" t="inlineStr">
        <is>
          <t>BlacklistClass</t>
        </is>
      </c>
      <c r="C9007" s="24" t="inlineStr">
        <is>
          <t>黑名单类别</t>
        </is>
      </c>
      <c r="D9007" s="24" t="inlineStr">
        <is>
          <t>102</t>
        </is>
      </c>
      <c r="E9007" s="24" t="inlineStr">
        <is>
          <t>欠息</t>
        </is>
      </c>
    </row>
    <row r="9008">
      <c r="B9008" s="24" t="inlineStr">
        <is>
          <t>BlacklistClass</t>
        </is>
      </c>
      <c r="C9008" s="24" t="inlineStr">
        <is>
          <t>黑名单类别</t>
        </is>
      </c>
      <c r="D9008" s="24" t="inlineStr">
        <is>
          <t>103</t>
        </is>
      </c>
      <c r="E9008" s="24" t="inlineStr">
        <is>
          <t>评为次级以下</t>
        </is>
      </c>
    </row>
    <row r="9009">
      <c r="B9009" s="24" t="inlineStr">
        <is>
          <t>BlacklistClass</t>
        </is>
      </c>
      <c r="C9009" s="24" t="inlineStr">
        <is>
          <t>黑名单类别</t>
        </is>
      </c>
      <c r="D9009" s="24" t="inlineStr">
        <is>
          <t>104</t>
        </is>
      </c>
      <c r="E9009" s="24" t="inlineStr">
        <is>
          <t>垫款</t>
        </is>
      </c>
    </row>
    <row r="9010">
      <c r="B9010" s="24" t="inlineStr">
        <is>
          <t>BlacklistClass</t>
        </is>
      </c>
      <c r="C9010" s="24" t="inlineStr">
        <is>
          <t>黑名单类别</t>
        </is>
      </c>
      <c r="D9010" s="24" t="inlineStr">
        <is>
          <t>201</t>
        </is>
      </c>
      <c r="E9010" s="24" t="inlineStr">
        <is>
          <t>逃废银行债务</t>
        </is>
      </c>
    </row>
    <row r="9011">
      <c r="B9011" s="24" t="inlineStr">
        <is>
          <t>BlacklistClass</t>
        </is>
      </c>
      <c r="C9011" s="24" t="inlineStr">
        <is>
          <t>黑名单类别</t>
        </is>
      </c>
      <c r="D9011" s="24" t="inlineStr">
        <is>
          <t>202</t>
        </is>
      </c>
      <c r="E9011" s="24" t="inlineStr">
        <is>
          <t>提供虚假报表资料</t>
        </is>
      </c>
    </row>
    <row r="9012">
      <c r="B9012" s="24" t="inlineStr">
        <is>
          <t>BlacklistClass</t>
        </is>
      </c>
      <c r="C9012" s="24" t="inlineStr">
        <is>
          <t>黑名单类别</t>
        </is>
      </c>
      <c r="D9012" s="24" t="inlineStr">
        <is>
          <t>203</t>
        </is>
      </c>
      <c r="E9012" s="24" t="inlineStr">
        <is>
          <t>涉诉</t>
        </is>
      </c>
    </row>
    <row r="9013">
      <c r="B9013" s="24" t="inlineStr">
        <is>
          <t>BlacklistClass</t>
        </is>
      </c>
      <c r="C9013" s="24" t="inlineStr">
        <is>
          <t>黑名单类别</t>
        </is>
      </c>
      <c r="D9013" s="24" t="inlineStr">
        <is>
          <t>204</t>
        </is>
      </c>
      <c r="E9013" s="24" t="inlineStr">
        <is>
          <t>信用等级恶化</t>
        </is>
      </c>
    </row>
    <row r="9014">
      <c r="B9014" s="24" t="inlineStr">
        <is>
          <t>BlacklistClass</t>
        </is>
      </c>
      <c r="C9014" s="24" t="inlineStr">
        <is>
          <t>黑名单类别</t>
        </is>
      </c>
      <c r="D9014" s="24" t="inlineStr">
        <is>
          <t>205</t>
        </is>
      </c>
      <c r="E9014" s="24" t="inlineStr">
        <is>
          <t>其他情况</t>
        </is>
      </c>
    </row>
    <row r="9015" ht="15.95" customHeight="1" s="170">
      <c r="B9015" s="122" t="inlineStr">
        <is>
          <t>码值：房地产控股投资人背景</t>
        </is>
      </c>
    </row>
    <row r="9016">
      <c r="B9016" s="24" t="inlineStr">
        <is>
          <t>房地产控股投资人背景</t>
        </is>
      </c>
      <c r="C9016" s="24" t="inlineStr">
        <is>
          <t>房地产控股投资人背景</t>
        </is>
      </c>
      <c r="D9016" s="24" t="inlineStr">
        <is>
          <t>1</t>
        </is>
      </c>
      <c r="E9016" s="24" t="inlineStr">
        <is>
          <t>国际著名企业在华投资且外方投资金额在4000万美金以上</t>
        </is>
      </c>
    </row>
    <row r="9017">
      <c r="B9017" s="24" t="inlineStr">
        <is>
          <t>房地产控股投资人背景</t>
        </is>
      </c>
      <c r="C9017" s="24" t="inlineStr">
        <is>
          <t>房地产控股投资人背景</t>
        </is>
      </c>
      <c r="D9017" s="24" t="inlineStr">
        <is>
          <t>2</t>
        </is>
      </c>
      <c r="E9017" s="24" t="inlineStr">
        <is>
          <t>中央级企业</t>
        </is>
      </c>
    </row>
    <row r="9018">
      <c r="B9018" s="24" t="inlineStr">
        <is>
          <t>房地产控股投资人背景</t>
        </is>
      </c>
      <c r="C9018" s="24" t="inlineStr">
        <is>
          <t>房地产控股投资人背景</t>
        </is>
      </c>
      <c r="D9018" s="24" t="inlineStr">
        <is>
          <t>3</t>
        </is>
      </c>
      <c r="E9018" s="24" t="inlineStr">
        <is>
          <t>其他外商</t>
        </is>
      </c>
    </row>
    <row r="9019">
      <c r="B9019" s="24" t="inlineStr">
        <is>
          <t>房地产控股投资人背景</t>
        </is>
      </c>
      <c r="C9019" s="24" t="inlineStr">
        <is>
          <t>房地产控股投资人背景</t>
        </is>
      </c>
      <c r="D9019" s="24" t="inlineStr">
        <is>
          <t>4</t>
        </is>
      </c>
      <c r="E9019" s="24" t="inlineStr">
        <is>
          <t>上市公司</t>
        </is>
      </c>
    </row>
    <row r="9020">
      <c r="B9020" s="24" t="inlineStr">
        <is>
          <t>房地产控股投资人背景</t>
        </is>
      </c>
      <c r="C9020" s="24" t="inlineStr">
        <is>
          <t>房地产控股投资人背景</t>
        </is>
      </c>
      <c r="D9020" s="24" t="inlineStr">
        <is>
          <t>5</t>
        </is>
      </c>
      <c r="E9020" s="24" t="inlineStr">
        <is>
          <t>其他</t>
        </is>
      </c>
    </row>
    <row r="9021">
      <c r="B9021" s="24" t="inlineStr">
        <is>
          <t>房地产控股投资人背景</t>
        </is>
      </c>
      <c r="C9021" s="24" t="inlineStr">
        <is>
          <t>房地产控股投资人背景</t>
        </is>
      </c>
      <c r="D9021" s="24" t="inlineStr">
        <is>
          <t>6</t>
        </is>
      </c>
      <c r="E9021" s="24" t="inlineStr">
        <is>
          <t>全部由私人出资，股东人数小于等于4人，且净资产在500万以下</t>
        </is>
      </c>
    </row>
    <row r="9022" ht="15.95" customHeight="1" s="170">
      <c r="B9022" s="122" t="inlineStr">
        <is>
          <t>码值：ConcedeReason</t>
        </is>
      </c>
    </row>
    <row r="9023">
      <c r="B9023" s="24" t="inlineStr">
        <is>
          <t>ConcedeReason</t>
        </is>
      </c>
      <c r="C9023" s="24" t="inlineStr">
        <is>
          <t>债权让步原因</t>
        </is>
      </c>
      <c r="D9023" s="24" t="inlineStr">
        <is>
          <t>01</t>
        </is>
      </c>
      <c r="E9023" s="24" t="inlineStr">
        <is>
          <t>法院主持</t>
        </is>
      </c>
    </row>
    <row r="9024">
      <c r="B9024" s="24" t="inlineStr">
        <is>
          <t>ConcedeReason</t>
        </is>
      </c>
      <c r="C9024" s="24" t="inlineStr">
        <is>
          <t>债权让步原因</t>
        </is>
      </c>
      <c r="D9024" s="24" t="inlineStr">
        <is>
          <t>02</t>
        </is>
      </c>
      <c r="E9024" s="24" t="inlineStr">
        <is>
          <t>政府机构协调</t>
        </is>
      </c>
    </row>
    <row r="9025">
      <c r="B9025" s="24" t="inlineStr">
        <is>
          <t>ConcedeReason</t>
        </is>
      </c>
      <c r="C9025" s="24" t="inlineStr">
        <is>
          <t>债权让步原因</t>
        </is>
      </c>
      <c r="D9025" s="24" t="inlineStr">
        <is>
          <t>03</t>
        </is>
      </c>
      <c r="E9025" s="24" t="inlineStr">
        <is>
          <t>其他</t>
        </is>
      </c>
    </row>
    <row r="9026" ht="15.95" customHeight="1" s="170">
      <c r="B9026" s="122" t="inlineStr">
        <is>
          <t>码值：ProjectStyle</t>
        </is>
      </c>
    </row>
    <row r="9027">
      <c r="B9027" s="24" t="inlineStr">
        <is>
          <t>ProjectStyle</t>
        </is>
      </c>
      <c r="C9027" s="24" t="inlineStr">
        <is>
          <t>项目分类</t>
        </is>
      </c>
      <c r="D9027" s="24" t="inlineStr">
        <is>
          <t>01</t>
        </is>
      </c>
      <c r="E9027" s="24" t="inlineStr">
        <is>
          <t>固定资产投资类项目</t>
        </is>
      </c>
    </row>
    <row r="9028">
      <c r="B9028" s="24" t="inlineStr">
        <is>
          <t>ProjectStyle</t>
        </is>
      </c>
      <c r="C9028" s="24" t="inlineStr">
        <is>
          <t>项目分类</t>
        </is>
      </c>
      <c r="D9028" s="24" t="inlineStr">
        <is>
          <t>02</t>
        </is>
      </c>
      <c r="E9028" s="24" t="inlineStr">
        <is>
          <t>房地产项目</t>
        </is>
      </c>
    </row>
    <row r="9029">
      <c r="B9029" s="24" t="inlineStr">
        <is>
          <t>ProjectStyle</t>
        </is>
      </c>
      <c r="C9029" s="24" t="inlineStr">
        <is>
          <t>项目分类</t>
        </is>
      </c>
      <c r="D9029" s="24" t="inlineStr">
        <is>
          <t>03</t>
        </is>
      </c>
      <c r="E9029" s="24" t="inlineStr">
        <is>
          <t>土地储备项目</t>
        </is>
      </c>
    </row>
    <row r="9030">
      <c r="B9030" s="24" t="inlineStr">
        <is>
          <t>ProjectStyle</t>
        </is>
      </c>
      <c r="C9030" s="24" t="inlineStr">
        <is>
          <t>项目分类</t>
        </is>
      </c>
      <c r="D9030" s="24" t="inlineStr">
        <is>
          <t>04</t>
        </is>
      </c>
      <c r="E9030" s="24" t="inlineStr">
        <is>
          <t>开发区项目</t>
        </is>
      </c>
    </row>
    <row r="9031" ht="15.95" customHeight="1" s="170">
      <c r="B9031" s="122" t="inlineStr">
        <is>
          <t>码值：ICType</t>
        </is>
      </c>
    </row>
    <row r="9032">
      <c r="B9032" s="24" t="inlineStr">
        <is>
          <t>ICType</t>
        </is>
      </c>
      <c r="C9032" s="24" t="inlineStr">
        <is>
          <t>计息方式</t>
        </is>
      </c>
      <c r="D9032" s="24" t="inlineStr">
        <is>
          <t>010</t>
        </is>
      </c>
      <c r="E9032" s="24" t="inlineStr">
        <is>
          <t>一次计息</t>
        </is>
      </c>
    </row>
    <row r="9033">
      <c r="B9033" s="24" t="inlineStr">
        <is>
          <t>ICType</t>
        </is>
      </c>
      <c r="C9033" s="24" t="inlineStr">
        <is>
          <t>计息方式</t>
        </is>
      </c>
      <c r="D9033" s="24" t="inlineStr">
        <is>
          <t>020</t>
        </is>
      </c>
      <c r="E9033" s="24" t="inlineStr">
        <is>
          <t>分段计息</t>
        </is>
      </c>
    </row>
    <row r="9034" ht="15.95" customHeight="1" s="170">
      <c r="B9034" s="122" t="inlineStr">
        <is>
          <t>码值：ResearchOrg</t>
        </is>
      </c>
    </row>
    <row r="9035">
      <c r="B9035" s="24" t="inlineStr">
        <is>
          <t>ResearchOrg</t>
        </is>
      </c>
      <c r="C9035" s="24" t="inlineStr">
        <is>
          <t>信用等级评估统一导入</t>
        </is>
      </c>
      <c r="D9035" s="24" t="inlineStr">
        <is>
          <t>1</t>
        </is>
      </c>
      <c r="E9035" s="24" t="inlineStr">
        <is>
          <t>有科研中心</t>
        </is>
      </c>
    </row>
    <row r="9036">
      <c r="B9036" s="24" t="inlineStr">
        <is>
          <t>ResearchOrg</t>
        </is>
      </c>
      <c r="C9036" s="24" t="inlineStr">
        <is>
          <t>信用等级评估统一导入</t>
        </is>
      </c>
      <c r="D9036" s="24" t="inlineStr">
        <is>
          <t>2</t>
        </is>
      </c>
      <c r="E9036" s="24" t="inlineStr">
        <is>
          <t>有科研部门</t>
        </is>
      </c>
    </row>
    <row r="9037">
      <c r="B9037" s="24" t="inlineStr">
        <is>
          <t>ResearchOrg</t>
        </is>
      </c>
      <c r="C9037" s="24" t="inlineStr">
        <is>
          <t>信用等级评估统一导入</t>
        </is>
      </c>
      <c r="D9037" s="24" t="inlineStr">
        <is>
          <t>3</t>
        </is>
      </c>
      <c r="E9037" s="24" t="inlineStr">
        <is>
          <t>有科研小组</t>
        </is>
      </c>
    </row>
    <row r="9038">
      <c r="B9038" s="24" t="inlineStr">
        <is>
          <t>ResearchOrg</t>
        </is>
      </c>
      <c r="C9038" s="24" t="inlineStr">
        <is>
          <t>信用等级评估统一导入</t>
        </is>
      </c>
      <c r="D9038" s="24" t="inlineStr">
        <is>
          <t>4</t>
        </is>
      </c>
      <c r="E9038" s="24" t="inlineStr">
        <is>
          <t>无科研人员</t>
        </is>
      </c>
    </row>
    <row r="9039" ht="15.95" customHeight="1" s="170">
      <c r="B9039" s="122" t="inlineStr">
        <is>
          <t>码值：OccurDirection1</t>
        </is>
      </c>
    </row>
    <row r="9040">
      <c r="B9040" s="24" t="inlineStr">
        <is>
          <t>OccurDirection1</t>
        </is>
      </c>
      <c r="C9040" s="24" t="inlineStr">
        <is>
          <t>费用发生方向</t>
        </is>
      </c>
      <c r="D9040" s="24" t="inlineStr">
        <is>
          <t>01</t>
        </is>
      </c>
      <c r="E9040" s="24" t="inlineStr">
        <is>
          <t>支付</t>
        </is>
      </c>
    </row>
    <row r="9041">
      <c r="B9041" s="24" t="inlineStr">
        <is>
          <t>OccurDirection1</t>
        </is>
      </c>
      <c r="C9041" s="24" t="inlineStr">
        <is>
          <t>费用发生方向</t>
        </is>
      </c>
      <c r="D9041" s="24" t="inlineStr">
        <is>
          <t>02</t>
        </is>
      </c>
      <c r="E9041" s="24" t="inlineStr">
        <is>
          <t>回收</t>
        </is>
      </c>
    </row>
    <row r="9042" ht="15.95" customHeight="1" s="170">
      <c r="B9042" s="122" t="inlineStr">
        <is>
          <t>码值：OutterEvalType</t>
        </is>
      </c>
    </row>
    <row r="9043">
      <c r="B9043" s="24" t="inlineStr">
        <is>
          <t>OutterEvalType</t>
        </is>
      </c>
      <c r="C9043" s="24" t="inlineStr">
        <is>
          <t>外部评估类型</t>
        </is>
      </c>
      <c r="D9043" s="24" t="inlineStr">
        <is>
          <t>01</t>
        </is>
      </c>
      <c r="E9043" s="24" t="inlineStr">
        <is>
          <t>预评估</t>
        </is>
      </c>
    </row>
    <row r="9044">
      <c r="B9044" s="24" t="inlineStr">
        <is>
          <t>OutterEvalType</t>
        </is>
      </c>
      <c r="C9044" s="24" t="inlineStr">
        <is>
          <t>外部评估类型</t>
        </is>
      </c>
      <c r="D9044" s="24" t="inlineStr">
        <is>
          <t>02</t>
        </is>
      </c>
      <c r="E9044" s="24" t="inlineStr">
        <is>
          <t>正式评估</t>
        </is>
      </c>
    </row>
    <row r="9045" ht="15.95" customHeight="1" s="170">
      <c r="B9045" s="122" t="inlineStr">
        <is>
          <t>码值：AssessArea</t>
        </is>
      </c>
    </row>
    <row r="9046">
      <c r="B9046" s="24" t="inlineStr">
        <is>
          <t>AssessArea</t>
        </is>
      </c>
      <c r="C9046" s="24" t="inlineStr">
        <is>
          <t>可估价地域范围</t>
        </is>
      </c>
      <c r="D9046" s="24" t="inlineStr">
        <is>
          <t>01</t>
        </is>
      </c>
      <c r="E9046" s="24" t="inlineStr">
        <is>
          <t>全国范围</t>
        </is>
      </c>
    </row>
    <row r="9047">
      <c r="B9047" s="24" t="inlineStr">
        <is>
          <t>AssessArea</t>
        </is>
      </c>
      <c r="C9047" s="24" t="inlineStr">
        <is>
          <t>可估价地域范围</t>
        </is>
      </c>
      <c r="D9047" s="24" t="inlineStr">
        <is>
          <t>02</t>
        </is>
      </c>
      <c r="E9047" s="24" t="inlineStr">
        <is>
          <t>全省范围</t>
        </is>
      </c>
    </row>
    <row r="9048">
      <c r="B9048" s="24" t="inlineStr">
        <is>
          <t>AssessArea</t>
        </is>
      </c>
      <c r="C9048" s="24" t="inlineStr">
        <is>
          <t>可估价地域范围</t>
        </is>
      </c>
      <c r="D9048" s="24" t="inlineStr">
        <is>
          <t>03</t>
        </is>
      </c>
      <c r="E9048" s="24" t="inlineStr">
        <is>
          <t>全市、县范围</t>
        </is>
      </c>
    </row>
    <row r="9049" ht="15.95" customHeight="1" s="170">
      <c r="B9049" s="122" t="inlineStr">
        <is>
          <t>码值：SimpleForkFlowApprMain</t>
        </is>
      </c>
    </row>
    <row r="9050">
      <c r="B9050" s="24" t="inlineStr">
        <is>
          <t>SimpleForkFlowApprMain</t>
        </is>
      </c>
      <c r="C9050" s="24" t="n"/>
      <c r="D9050" s="24" t="inlineStr">
        <is>
          <t>N</t>
        </is>
      </c>
      <c r="E9050" s="24" t="inlineStr">
        <is>
          <t>当前工作</t>
        </is>
      </c>
    </row>
    <row r="9051">
      <c r="B9051" s="24" t="inlineStr">
        <is>
          <t>SimpleForkFlowApprMain</t>
        </is>
      </c>
      <c r="C9051" s="24" t="n"/>
      <c r="D9051" s="24" t="inlineStr">
        <is>
          <t>Y</t>
        </is>
      </c>
      <c r="E9051" s="24" t="inlineStr">
        <is>
          <t>已完成工作</t>
        </is>
      </c>
    </row>
    <row r="9052" ht="15.95" customHeight="1" s="170">
      <c r="B9052" s="122" t="inlineStr">
        <is>
          <t>码值：BaseChangeRateType</t>
        </is>
      </c>
    </row>
    <row r="9053">
      <c r="B9053" s="24" t="inlineStr">
        <is>
          <t>BaseChangeRateType</t>
        </is>
      </c>
      <c r="C9053" s="24" t="inlineStr">
        <is>
          <t>基准利率变更类型</t>
        </is>
      </c>
      <c r="D9053" s="24" t="inlineStr">
        <is>
          <t>01</t>
        </is>
      </c>
      <c r="E9053" s="24" t="inlineStr">
        <is>
          <t>正常利率</t>
        </is>
      </c>
    </row>
    <row r="9054">
      <c r="B9054" s="24" t="inlineStr">
        <is>
          <t>BaseChangeRateType</t>
        </is>
      </c>
      <c r="C9054" s="24" t="inlineStr">
        <is>
          <t>基准利率变更类型</t>
        </is>
      </c>
      <c r="D9054" s="24" t="inlineStr">
        <is>
          <t>010</t>
        </is>
      </c>
      <c r="E9054" s="24" t="inlineStr">
        <is>
          <t>人行基准利率</t>
        </is>
      </c>
    </row>
    <row r="9055">
      <c r="B9055" s="24" t="inlineStr">
        <is>
          <t>BaseChangeRateType</t>
        </is>
      </c>
      <c r="C9055" s="24" t="inlineStr">
        <is>
          <t>基准利率变更类型</t>
        </is>
      </c>
      <c r="D9055" s="24" t="inlineStr">
        <is>
          <t>020</t>
        </is>
      </c>
      <c r="E9055" s="24" t="inlineStr">
        <is>
          <t>公积金基准利率</t>
        </is>
      </c>
    </row>
    <row r="9056">
      <c r="B9056" s="24" t="inlineStr">
        <is>
          <t>BaseChangeRateType</t>
        </is>
      </c>
      <c r="C9056" s="24" t="inlineStr">
        <is>
          <t>基准利率变更类型</t>
        </is>
      </c>
      <c r="D9056" s="24" t="inlineStr">
        <is>
          <t>025</t>
        </is>
      </c>
      <c r="E9056" s="24" t="inlineStr">
        <is>
          <t>LPR市场利率</t>
        </is>
      </c>
    </row>
    <row r="9057">
      <c r="B9057" s="24" t="inlineStr">
        <is>
          <t>BaseChangeRateType</t>
        </is>
      </c>
      <c r="C9057" s="24" t="inlineStr">
        <is>
          <t>基准利率变更类型</t>
        </is>
      </c>
      <c r="D9057" s="24" t="inlineStr">
        <is>
          <t>030</t>
        </is>
      </c>
      <c r="E9057" s="24" t="inlineStr">
        <is>
          <t>贴现利率</t>
        </is>
      </c>
    </row>
    <row r="9058">
      <c r="B9058" s="24" t="inlineStr">
        <is>
          <t>BaseChangeRateType</t>
        </is>
      </c>
      <c r="C9058" s="24" t="inlineStr">
        <is>
          <t>基准利率变更类型</t>
        </is>
      </c>
      <c r="D9058" s="24" t="inlineStr">
        <is>
          <t>040</t>
        </is>
      </c>
      <c r="E9058" s="24" t="inlineStr">
        <is>
          <t>Libor</t>
        </is>
      </c>
    </row>
    <row r="9059">
      <c r="B9059" s="24" t="inlineStr">
        <is>
          <t>BaseChangeRateType</t>
        </is>
      </c>
      <c r="C9059" s="24" t="inlineStr">
        <is>
          <t>基准利率变更类型</t>
        </is>
      </c>
      <c r="D9059" s="24" t="inlineStr">
        <is>
          <t>050</t>
        </is>
      </c>
      <c r="E9059" s="24" t="inlineStr">
        <is>
          <t>Hibor</t>
        </is>
      </c>
    </row>
    <row r="9060">
      <c r="B9060" s="24" t="inlineStr">
        <is>
          <t>BaseChangeRateType</t>
        </is>
      </c>
      <c r="C9060" s="24" t="inlineStr">
        <is>
          <t>基准利率变更类型</t>
        </is>
      </c>
      <c r="D9060" s="24" t="inlineStr">
        <is>
          <t>060</t>
        </is>
      </c>
      <c r="E9060" s="24" t="inlineStr">
        <is>
          <t>Sibor</t>
        </is>
      </c>
    </row>
    <row r="9061" ht="15.95" customHeight="1" s="170">
      <c r="B9061" s="122" t="inlineStr">
        <is>
          <t>码值：融资平台类型</t>
        </is>
      </c>
    </row>
    <row r="9062">
      <c r="B9062" s="24" t="inlineStr">
        <is>
          <t>融资平台类型</t>
        </is>
      </c>
      <c r="C9062" s="24" t="inlineStr">
        <is>
          <t>融资平台类型</t>
        </is>
      </c>
      <c r="D9062" s="24" t="inlineStr">
        <is>
          <t>01</t>
        </is>
      </c>
      <c r="E9062" s="24" t="inlineStr">
        <is>
          <t>融资平台公司因承担公益性项目建设举借、主要依靠财政性资金偿还的债务</t>
        </is>
      </c>
    </row>
    <row r="9063">
      <c r="B9063" s="24" t="inlineStr">
        <is>
          <t>融资平台类型</t>
        </is>
      </c>
      <c r="C9063" s="24" t="inlineStr">
        <is>
          <t>融资平台类型</t>
        </is>
      </c>
      <c r="D9063" s="24" t="inlineStr">
        <is>
          <t>02</t>
        </is>
      </c>
      <c r="E9063" s="24" t="inlineStr">
        <is>
          <t>融资平台公司因承担公益性项目建设举借、项目本身有稳定经营性收入并主要依靠自身收益偿还的债务</t>
        </is>
      </c>
    </row>
    <row r="9064">
      <c r="B9064" s="24" t="inlineStr">
        <is>
          <t>融资平台类型</t>
        </is>
      </c>
      <c r="C9064" s="24" t="inlineStr">
        <is>
          <t>融资平台类型</t>
        </is>
      </c>
      <c r="D9064" s="24" t="inlineStr">
        <is>
          <t>03</t>
        </is>
      </c>
      <c r="E9064" s="24" t="inlineStr">
        <is>
          <t>融资平台公司因承担非公益性项目建设举借的债务</t>
        </is>
      </c>
    </row>
    <row r="9065">
      <c r="B9065" s="24" t="inlineStr">
        <is>
          <t>融资平台类型</t>
        </is>
      </c>
      <c r="C9065" s="24" t="inlineStr">
        <is>
          <t>融资平台类型</t>
        </is>
      </c>
      <c r="D9065" s="24" t="inlineStr">
        <is>
          <t>04</t>
        </is>
      </c>
      <c r="E9065" s="24" t="inlineStr">
        <is>
          <t>兼有上述类型</t>
        </is>
      </c>
    </row>
    <row r="9066" ht="15.95" customHeight="1" s="170">
      <c r="B9066" s="122" t="inlineStr">
        <is>
          <t>码值：SMECreditRelative</t>
        </is>
      </c>
    </row>
    <row r="9067">
      <c r="B9067" s="24" t="inlineStr">
        <is>
          <t>SMECreditRelative</t>
        </is>
      </c>
      <c r="C9067" s="24" t="inlineStr">
        <is>
          <t>家庭关系</t>
        </is>
      </c>
      <c r="D9067" s="24" t="inlineStr">
        <is>
          <t>01</t>
        </is>
      </c>
      <c r="E9067" s="24" t="inlineStr">
        <is>
          <t>稳定</t>
        </is>
      </c>
    </row>
    <row r="9068">
      <c r="B9068" s="24" t="inlineStr">
        <is>
          <t>SMECreditRelative</t>
        </is>
      </c>
      <c r="C9068" s="24" t="inlineStr">
        <is>
          <t>家庭关系</t>
        </is>
      </c>
      <c r="D9068" s="24" t="inlineStr">
        <is>
          <t>02</t>
        </is>
      </c>
      <c r="E9068" s="24" t="inlineStr">
        <is>
          <t>不稳定</t>
        </is>
      </c>
    </row>
    <row r="9069" ht="15.95" customHeight="1" s="170">
      <c r="B9069" s="122" t="inlineStr">
        <is>
          <t>码值：AgentList</t>
        </is>
      </c>
    </row>
    <row r="9070">
      <c r="B9070" s="24" t="inlineStr">
        <is>
          <t>AgentList</t>
        </is>
      </c>
      <c r="C9070" s="24" t="inlineStr">
        <is>
          <t>代理人员信息树状菜单</t>
        </is>
      </c>
      <c r="D9070" s="24" t="inlineStr">
        <is>
          <t>010</t>
        </is>
      </c>
      <c r="E9070" s="24" t="inlineStr">
        <is>
          <t>代理机构信息</t>
        </is>
      </c>
    </row>
    <row r="9071">
      <c r="B9071" s="24" t="inlineStr">
        <is>
          <t>AgentList</t>
        </is>
      </c>
      <c r="C9071" s="24" t="inlineStr">
        <is>
          <t>代理人员信息树状菜单</t>
        </is>
      </c>
      <c r="D9071" s="24" t="inlineStr">
        <is>
          <t>020</t>
        </is>
      </c>
      <c r="E9071" s="24" t="inlineStr">
        <is>
          <t>代理人信息</t>
        </is>
      </c>
    </row>
    <row r="9072" ht="15.95" customHeight="1" s="170">
      <c r="B9072" s="122" t="inlineStr">
        <is>
          <t>码值：CustomerType</t>
        </is>
      </c>
    </row>
    <row r="9073">
      <c r="B9073" s="24" t="inlineStr">
        <is>
          <t>CustomerType</t>
        </is>
      </c>
      <c r="C9073" s="24" t="inlineStr">
        <is>
          <t>客户类型</t>
        </is>
      </c>
      <c r="D9073" s="24" t="inlineStr">
        <is>
          <t>01</t>
        </is>
      </c>
      <c r="E9073" s="24" t="inlineStr">
        <is>
          <t>公司客户</t>
        </is>
      </c>
    </row>
    <row r="9074">
      <c r="B9074" s="24" t="inlineStr">
        <is>
          <t>CustomerType</t>
        </is>
      </c>
      <c r="C9074" s="24" t="inlineStr">
        <is>
          <t>客户类型</t>
        </is>
      </c>
      <c r="D9074" s="24" t="inlineStr">
        <is>
          <t>02</t>
        </is>
      </c>
      <c r="E9074" s="24" t="inlineStr">
        <is>
          <t>集团客户</t>
        </is>
      </c>
    </row>
    <row r="9075">
      <c r="B9075" s="24" t="inlineStr">
        <is>
          <t>CustomerType</t>
        </is>
      </c>
      <c r="C9075" s="24" t="inlineStr">
        <is>
          <t>客户类型</t>
        </is>
      </c>
      <c r="D9075" s="24" t="inlineStr">
        <is>
          <t>03</t>
        </is>
      </c>
      <c r="E9075" s="24" t="inlineStr">
        <is>
          <t>个人客户</t>
        </is>
      </c>
    </row>
    <row r="9076">
      <c r="B9076" s="24" t="inlineStr">
        <is>
          <t>CustomerType</t>
        </is>
      </c>
      <c r="C9076" s="24" t="inlineStr">
        <is>
          <t>客户类型</t>
        </is>
      </c>
      <c r="D9076" s="24" t="inlineStr">
        <is>
          <t>04</t>
        </is>
      </c>
      <c r="E9076" s="24" t="inlineStr">
        <is>
          <t>客户群</t>
        </is>
      </c>
    </row>
    <row r="9077">
      <c r="B9077" s="24" t="inlineStr">
        <is>
          <t>CustomerType</t>
        </is>
      </c>
      <c r="C9077" s="24" t="inlineStr">
        <is>
          <t>客户类型</t>
        </is>
      </c>
      <c r="D9077" s="24" t="inlineStr">
        <is>
          <t>06</t>
        </is>
      </c>
      <c r="E9077" s="24" t="inlineStr">
        <is>
          <t>同业客户</t>
        </is>
      </c>
    </row>
    <row r="9078" ht="15.95" customHeight="1" s="170">
      <c r="B9078" s="122" t="inlineStr">
        <is>
          <t>码值：融资平台财务人员</t>
        </is>
      </c>
    </row>
    <row r="9079">
      <c r="B9079" s="24" t="inlineStr">
        <is>
          <t>融资平台财务人员</t>
        </is>
      </c>
      <c r="C9079" s="24" t="inlineStr">
        <is>
          <t>融资平台财务人员</t>
        </is>
      </c>
      <c r="D9079" s="24" t="inlineStr">
        <is>
          <t>01</t>
        </is>
      </c>
      <c r="E9079" s="24" t="inlineStr">
        <is>
          <t>政府机构（如：融资办）向融资平台派驻财务总监</t>
        </is>
      </c>
    </row>
    <row r="9080">
      <c r="B9080" s="24" t="inlineStr">
        <is>
          <t>融资平台财务人员</t>
        </is>
      </c>
      <c r="C9080" s="24" t="inlineStr">
        <is>
          <t>融资平台财务人员</t>
        </is>
      </c>
      <c r="D9080" s="24" t="inlineStr">
        <is>
          <t>02</t>
        </is>
      </c>
      <c r="E9080" s="24" t="inlineStr">
        <is>
          <t>财务总监为融资平台自身委任</t>
        </is>
      </c>
    </row>
    <row r="9081">
      <c r="B9081" s="24" t="inlineStr">
        <is>
          <t>融资平台财务人员</t>
        </is>
      </c>
      <c r="C9081" s="24" t="inlineStr">
        <is>
          <t>融资平台财务人员</t>
        </is>
      </c>
      <c r="D9081" s="24" t="inlineStr">
        <is>
          <t>03</t>
        </is>
      </c>
      <c r="E9081" s="24" t="inlineStr">
        <is>
          <t>无财务总监或其不能履行相应职责</t>
        </is>
      </c>
    </row>
    <row r="9082" ht="15.95" customHeight="1" s="170">
      <c r="B9082" s="122" t="inlineStr">
        <is>
          <t>码值：CapitalPurposeIndApproveMain</t>
        </is>
      </c>
    </row>
    <row r="9083">
      <c r="B9083" s="24" t="inlineStr">
        <is>
          <t>CapitalPurposeIndApproveMain</t>
        </is>
      </c>
      <c r="C9083" s="24" t="inlineStr">
        <is>
          <t>个人业务检查审批审批主树图</t>
        </is>
      </c>
      <c r="D9083" s="24" t="inlineStr">
        <is>
          <t>N</t>
        </is>
      </c>
      <c r="E9083" s="24" t="inlineStr">
        <is>
          <t>待办任务</t>
        </is>
      </c>
    </row>
    <row r="9084">
      <c r="B9084" s="24" t="inlineStr">
        <is>
          <t>CapitalPurposeIndApproveMain</t>
        </is>
      </c>
      <c r="C9084" s="24" t="inlineStr">
        <is>
          <t>个人业务检查审批审批主树图</t>
        </is>
      </c>
      <c r="D9084" s="24" t="inlineStr">
        <is>
          <t>Y</t>
        </is>
      </c>
      <c r="E9084" s="24" t="inlineStr">
        <is>
          <t>已办任务</t>
        </is>
      </c>
    </row>
    <row r="9085">
      <c r="B9085" s="24" t="inlineStr">
        <is>
          <t>CapitalPurposeIndApproveMain</t>
        </is>
      </c>
      <c r="C9085" s="24" t="inlineStr">
        <is>
          <t>个人业务检查审批审批主树图</t>
        </is>
      </c>
      <c r="D9085" s="24" t="inlineStr">
        <is>
          <t>当前工作/已完成工作</t>
        </is>
      </c>
      <c r="E9085" s="24" t="inlineStr">
        <is>
          <t>阶段名称</t>
        </is>
      </c>
    </row>
    <row r="9086" ht="15.95" customHeight="1" s="170">
      <c r="B9086" s="122" t="inlineStr">
        <is>
          <t>码值：RatingAgency</t>
        </is>
      </c>
    </row>
    <row r="9087">
      <c r="B9087" s="24" t="inlineStr">
        <is>
          <t>RatingAgency</t>
        </is>
      </c>
      <c r="C9087" s="24" t="inlineStr">
        <is>
          <t>债券评级机构</t>
        </is>
      </c>
      <c r="D9087" s="24" t="inlineStr">
        <is>
          <t>01</t>
        </is>
      </c>
      <c r="E9087" s="24" t="inlineStr">
        <is>
          <t>美国标准普尔公司</t>
        </is>
      </c>
    </row>
    <row r="9088">
      <c r="B9088" s="24" t="inlineStr">
        <is>
          <t>RatingAgency</t>
        </is>
      </c>
      <c r="C9088" s="24" t="inlineStr">
        <is>
          <t>债券评级机构</t>
        </is>
      </c>
      <c r="D9088" s="24" t="inlineStr">
        <is>
          <t>02</t>
        </is>
      </c>
      <c r="E9088" s="24" t="inlineStr">
        <is>
          <t>穆迪投资服务公司</t>
        </is>
      </c>
    </row>
    <row r="9089">
      <c r="B9089" s="24" t="inlineStr">
        <is>
          <t>RatingAgency</t>
        </is>
      </c>
      <c r="C9089" s="24" t="inlineStr">
        <is>
          <t>债券评级机构</t>
        </is>
      </c>
      <c r="D9089" s="24" t="inlineStr">
        <is>
          <t>03</t>
        </is>
      </c>
      <c r="E9089" s="24" t="inlineStr">
        <is>
          <t>惠誉国际信用评级有限公司</t>
        </is>
      </c>
    </row>
    <row r="9090">
      <c r="B9090" s="24" t="inlineStr">
        <is>
          <t>RatingAgency</t>
        </is>
      </c>
      <c r="C9090" s="24" t="inlineStr">
        <is>
          <t>债券评级机构</t>
        </is>
      </c>
      <c r="D9090" s="24" t="inlineStr">
        <is>
          <t>04</t>
        </is>
      </c>
      <c r="E9090" s="24" t="inlineStr">
        <is>
          <t>中诚信国际信用评级有限公司</t>
        </is>
      </c>
    </row>
    <row r="9091">
      <c r="B9091" s="24" t="inlineStr">
        <is>
          <t>RatingAgency</t>
        </is>
      </c>
      <c r="C9091" s="24" t="inlineStr">
        <is>
          <t>债券评级机构</t>
        </is>
      </c>
      <c r="D9091" s="24" t="inlineStr">
        <is>
          <t>05</t>
        </is>
      </c>
      <c r="E9091" s="24" t="inlineStr">
        <is>
          <t>大公国际资信评估有限公司</t>
        </is>
      </c>
    </row>
    <row r="9092">
      <c r="B9092" s="24" t="inlineStr">
        <is>
          <t>RatingAgency</t>
        </is>
      </c>
      <c r="C9092" s="24" t="inlineStr">
        <is>
          <t>债券评级机构</t>
        </is>
      </c>
      <c r="D9092" s="24" t="inlineStr">
        <is>
          <t>06</t>
        </is>
      </c>
      <c r="E9092" s="24" t="inlineStr">
        <is>
          <t>联合资信评估有限公司</t>
        </is>
      </c>
    </row>
    <row r="9093">
      <c r="B9093" s="24" t="inlineStr">
        <is>
          <t>RatingAgency</t>
        </is>
      </c>
      <c r="C9093" s="24" t="inlineStr">
        <is>
          <t>债券评级机构</t>
        </is>
      </c>
      <c r="D9093" s="24" t="inlineStr">
        <is>
          <t>07</t>
        </is>
      </c>
      <c r="E9093" s="24" t="inlineStr">
        <is>
          <t>上海新世纪资讯评估投资服务有限公司</t>
        </is>
      </c>
    </row>
    <row r="9094">
      <c r="B9094" s="24" t="inlineStr">
        <is>
          <t>RatingAgency</t>
        </is>
      </c>
      <c r="C9094" s="24" t="inlineStr">
        <is>
          <t>债券评级机构</t>
        </is>
      </c>
      <c r="D9094" s="24" t="inlineStr">
        <is>
          <t>90</t>
        </is>
      </c>
      <c r="E9094" s="24" t="inlineStr">
        <is>
          <t>其他</t>
        </is>
      </c>
    </row>
    <row r="9095" ht="15.95" customHeight="1" s="170">
      <c r="B9095" s="122" t="inlineStr">
        <is>
          <t>码值：BeginChargeBailTime</t>
        </is>
      </c>
    </row>
    <row r="9096">
      <c r="B9096" s="24" t="inlineStr">
        <is>
          <t>BeginChargeBailTime</t>
        </is>
      </c>
      <c r="C9096" s="24" t="inlineStr">
        <is>
          <t>开始收取保证金基准时点</t>
        </is>
      </c>
      <c r="D9096" s="24" t="inlineStr">
        <is>
          <t>BCBT01</t>
        </is>
      </c>
      <c r="E9096" s="24" t="inlineStr">
        <is>
          <t>房产他项权证签发日</t>
        </is>
      </c>
    </row>
    <row r="9097">
      <c r="B9097" s="24" t="inlineStr">
        <is>
          <t>BeginChargeBailTime</t>
        </is>
      </c>
      <c r="C9097" s="24" t="inlineStr">
        <is>
          <t>开始收取保证金基准时点</t>
        </is>
      </c>
      <c r="D9097" s="24" t="inlineStr">
        <is>
          <t>BCBT02</t>
        </is>
      </c>
      <c r="E9097" s="24" t="inlineStr">
        <is>
          <t>贷款发放日</t>
        </is>
      </c>
    </row>
    <row r="9098">
      <c r="B9098" s="24" t="inlineStr">
        <is>
          <t>BeginChargeBailTime</t>
        </is>
      </c>
      <c r="C9098" s="24" t="inlineStr">
        <is>
          <t>开始收取保证金基准时点</t>
        </is>
      </c>
      <c r="D9098" s="24" t="inlineStr">
        <is>
          <t>BCBT03</t>
        </is>
      </c>
      <c r="E9098" s="24" t="inlineStr">
        <is>
          <t>房屋所有权证签发日</t>
        </is>
      </c>
    </row>
    <row r="9099">
      <c r="B9099" s="24" t="inlineStr">
        <is>
          <t>BeginChargeBailTime</t>
        </is>
      </c>
      <c r="C9099" s="24" t="inlineStr">
        <is>
          <t>开始收取保证金基准时点</t>
        </is>
      </c>
      <c r="D9099" s="24" t="inlineStr">
        <is>
          <t>BCBT04</t>
        </is>
      </c>
      <c r="E9099" s="24" t="inlineStr">
        <is>
          <t>国有土地他项权证签发日</t>
        </is>
      </c>
    </row>
    <row r="9100">
      <c r="B9100" s="24" t="inlineStr">
        <is>
          <t>BeginChargeBailTime</t>
        </is>
      </c>
      <c r="C9100" s="24" t="inlineStr">
        <is>
          <t>开始收取保证金基准时点</t>
        </is>
      </c>
      <c r="D9100" s="24" t="inlineStr">
        <is>
          <t>BCBT05</t>
        </is>
      </c>
      <c r="E9100" s="24" t="inlineStr">
        <is>
          <t>交付使用通知书签发日</t>
        </is>
      </c>
    </row>
    <row r="9101">
      <c r="B9101" s="24" t="inlineStr">
        <is>
          <t>BeginChargeBailTime</t>
        </is>
      </c>
      <c r="C9101" s="24" t="inlineStr">
        <is>
          <t>开始收取保证金基准时点</t>
        </is>
      </c>
      <c r="D9101" s="24" t="inlineStr">
        <is>
          <t>BCBT06</t>
        </is>
      </c>
      <c r="E9101" s="24" t="inlineStr">
        <is>
          <t>房地产权证签发日期</t>
        </is>
      </c>
    </row>
    <row r="9102">
      <c r="B9102" s="24" t="inlineStr">
        <is>
          <t>BeginChargeBailTime</t>
        </is>
      </c>
      <c r="C9102" s="24" t="inlineStr">
        <is>
          <t>开始收取保证金基准时点</t>
        </is>
      </c>
      <c r="D9102" s="24" t="inlineStr">
        <is>
          <t>BCBT07</t>
        </is>
      </c>
      <c r="E9102" s="24" t="inlineStr">
        <is>
          <t>办妥抵押登记</t>
        </is>
      </c>
    </row>
    <row r="9103">
      <c r="B9103" s="24" t="inlineStr">
        <is>
          <t>BeginChargeBailTime</t>
        </is>
      </c>
      <c r="C9103" s="24" t="inlineStr">
        <is>
          <t>开始收取保证金基准时点</t>
        </is>
      </c>
      <c r="D9103" s="24" t="inlineStr">
        <is>
          <t>BCBT08</t>
        </is>
      </c>
      <c r="E9103" s="24" t="inlineStr">
        <is>
          <t>办妥预抵押登记</t>
        </is>
      </c>
    </row>
    <row r="9104">
      <c r="B9104" s="24" t="inlineStr">
        <is>
          <t>BeginChargeBailTime</t>
        </is>
      </c>
      <c r="C9104" s="24" t="inlineStr">
        <is>
          <t>开始收取保证金基准时点</t>
        </is>
      </c>
      <c r="D9104" s="24" t="inlineStr">
        <is>
          <t>BCBT09</t>
        </is>
      </c>
      <c r="E9104" s="24" t="inlineStr">
        <is>
          <t>国有土地使用证签发日期</t>
        </is>
      </c>
    </row>
    <row r="9105">
      <c r="B9105" s="24" t="inlineStr">
        <is>
          <t>BeginChargeBailTime</t>
        </is>
      </c>
      <c r="C9105" s="24" t="inlineStr">
        <is>
          <t>开始收取保证金基准时点</t>
        </is>
      </c>
      <c r="D9105" s="24" t="inlineStr">
        <is>
          <t>BCBT10</t>
        </is>
      </c>
      <c r="E9105" s="24" t="inlineStr">
        <is>
          <t>贷款结清</t>
        </is>
      </c>
    </row>
    <row r="9106" ht="15.95" customHeight="1" s="170">
      <c r="B9106" s="122" t="inlineStr">
        <is>
          <t>码值：CreditPutoutApproveMain</t>
        </is>
      </c>
    </row>
    <row r="9107">
      <c r="B9107" s="24" t="inlineStr">
        <is>
          <t>CreditPutoutApproveMain</t>
        </is>
      </c>
      <c r="C9107" s="24" t="inlineStr">
        <is>
          <t>放贷审批主树图</t>
        </is>
      </c>
      <c r="D9107" s="24" t="inlineStr">
        <is>
          <t>N</t>
        </is>
      </c>
      <c r="E9107" s="24" t="inlineStr">
        <is>
          <t>待办任务</t>
        </is>
      </c>
    </row>
    <row r="9108">
      <c r="B9108" s="24" t="inlineStr">
        <is>
          <t>CreditPutoutApproveMain</t>
        </is>
      </c>
      <c r="C9108" s="24" t="inlineStr">
        <is>
          <t>放贷审批主树图</t>
        </is>
      </c>
      <c r="D9108" s="24" t="inlineStr">
        <is>
          <t>Y</t>
        </is>
      </c>
      <c r="E9108" s="24" t="inlineStr">
        <is>
          <t>已办任务</t>
        </is>
      </c>
    </row>
    <row r="9109" ht="15.95" customHeight="1" s="170">
      <c r="B9109" s="122" t="inlineStr">
        <is>
          <t>码值：ListSituation</t>
        </is>
      </c>
    </row>
    <row r="9110">
      <c r="B9110" s="24" t="inlineStr">
        <is>
          <t>ListSituation</t>
        </is>
      </c>
      <c r="C9110" s="24" t="inlineStr">
        <is>
          <t>信用等级评估统一导入</t>
        </is>
      </c>
      <c r="D9110" s="24" t="inlineStr">
        <is>
          <t>1</t>
        </is>
      </c>
      <c r="E9110" s="24" t="inlineStr">
        <is>
          <t>上市有配股</t>
        </is>
      </c>
    </row>
    <row r="9111">
      <c r="B9111" s="24" t="inlineStr">
        <is>
          <t>ListSituation</t>
        </is>
      </c>
      <c r="C9111" s="24" t="inlineStr">
        <is>
          <t>信用等级评估统一导入</t>
        </is>
      </c>
      <c r="D9111" s="24" t="inlineStr">
        <is>
          <t>2</t>
        </is>
      </c>
      <c r="E9111" s="24" t="inlineStr">
        <is>
          <t>上市无配股</t>
        </is>
      </c>
    </row>
    <row r="9112">
      <c r="B9112" s="24" t="inlineStr">
        <is>
          <t>ListSituation</t>
        </is>
      </c>
      <c r="C9112" s="24" t="inlineStr">
        <is>
          <t>信用等级评估统一导入</t>
        </is>
      </c>
      <c r="D9112" s="24" t="inlineStr">
        <is>
          <t>3</t>
        </is>
      </c>
      <c r="E9112" s="24" t="inlineStr">
        <is>
          <t>未上市</t>
        </is>
      </c>
    </row>
    <row r="9113" ht="15.95" customHeight="1" s="170">
      <c r="B9113" s="122" t="inlineStr">
        <is>
          <t>码值：ControlType</t>
        </is>
      </c>
    </row>
    <row r="9114">
      <c r="B9114" s="24" t="inlineStr">
        <is>
          <t>ControlType</t>
        </is>
      </c>
      <c r="C9114" s="24" t="inlineStr">
        <is>
          <t>控制方式</t>
        </is>
      </c>
      <c r="D9114" s="24" t="inlineStr">
        <is>
          <t>1</t>
        </is>
      </c>
      <c r="E9114" s="24" t="inlineStr">
        <is>
          <t>排他</t>
        </is>
      </c>
    </row>
    <row r="9115">
      <c r="B9115" s="24" t="inlineStr">
        <is>
          <t>ControlType</t>
        </is>
      </c>
      <c r="C9115" s="24" t="inlineStr">
        <is>
          <t>控制方式</t>
        </is>
      </c>
      <c r="D9115" s="24" t="inlineStr">
        <is>
          <t>2</t>
        </is>
      </c>
      <c r="E9115" s="24" t="inlineStr">
        <is>
          <t>不排他</t>
        </is>
      </c>
    </row>
    <row r="9116" ht="15.95" customHeight="1" s="170">
      <c r="B9116" s="122" t="inlineStr">
        <is>
          <t>码值：InventionType</t>
        </is>
      </c>
    </row>
    <row r="9117">
      <c r="B9117" s="24" t="inlineStr">
        <is>
          <t>InventionType</t>
        </is>
      </c>
      <c r="C9117" s="24" t="inlineStr">
        <is>
          <t>专利发明创造类别</t>
        </is>
      </c>
      <c r="D9117" s="24" t="inlineStr">
        <is>
          <t>01</t>
        </is>
      </c>
      <c r="E9117" s="24" t="inlineStr">
        <is>
          <t>非职务发明创造</t>
        </is>
      </c>
    </row>
    <row r="9118">
      <c r="B9118" s="24" t="inlineStr">
        <is>
          <t>InventionType</t>
        </is>
      </c>
      <c r="C9118" s="24" t="inlineStr">
        <is>
          <t>专利发明创造类别</t>
        </is>
      </c>
      <c r="D9118" s="24" t="inlineStr">
        <is>
          <t>02</t>
        </is>
      </c>
      <c r="E9118" s="24" t="inlineStr">
        <is>
          <t>职务发明创造</t>
        </is>
      </c>
    </row>
    <row r="9119" ht="15.95" customHeight="1" s="170">
      <c r="B9119" s="122" t="inlineStr">
        <is>
          <t>码值：RealtyRightSource</t>
        </is>
      </c>
    </row>
    <row r="9120">
      <c r="B9120" s="24" t="inlineStr">
        <is>
          <t>RealtyRightSource</t>
        </is>
      </c>
      <c r="C9120" s="24" t="inlineStr">
        <is>
          <t>房屋所有权来源</t>
        </is>
      </c>
      <c r="D9120" s="24" t="inlineStr">
        <is>
          <t>01</t>
        </is>
      </c>
      <c r="E9120" s="24" t="inlineStr">
        <is>
          <t>购买</t>
        </is>
      </c>
    </row>
    <row r="9121">
      <c r="B9121" s="24" t="inlineStr">
        <is>
          <t>RealtyRightSource</t>
        </is>
      </c>
      <c r="C9121" s="24" t="inlineStr">
        <is>
          <t>房屋所有权来源</t>
        </is>
      </c>
      <c r="D9121" s="24" t="inlineStr">
        <is>
          <t>02</t>
        </is>
      </c>
      <c r="E9121" s="24" t="inlineStr">
        <is>
          <t>转让</t>
        </is>
      </c>
    </row>
    <row r="9122">
      <c r="B9122" s="24" t="inlineStr">
        <is>
          <t>RealtyRightSource</t>
        </is>
      </c>
      <c r="C9122" s="24" t="inlineStr">
        <is>
          <t>房屋所有权来源</t>
        </is>
      </c>
      <c r="D9122" s="24" t="inlineStr">
        <is>
          <t>03</t>
        </is>
      </c>
      <c r="E9122" s="24" t="inlineStr">
        <is>
          <t>继承</t>
        </is>
      </c>
    </row>
    <row r="9123">
      <c r="B9123" s="24" t="inlineStr">
        <is>
          <t>RealtyRightSource</t>
        </is>
      </c>
      <c r="C9123" s="24" t="inlineStr">
        <is>
          <t>房屋所有权来源</t>
        </is>
      </c>
      <c r="D9123" s="24" t="inlineStr">
        <is>
          <t>04</t>
        </is>
      </c>
      <c r="E9123" s="24" t="inlineStr">
        <is>
          <t>遗赠</t>
        </is>
      </c>
    </row>
    <row r="9124" ht="15.95" customHeight="1" s="170">
      <c r="B9124" s="122" t="inlineStr">
        <is>
          <t>码值：COLINPUTTYPE</t>
        </is>
      </c>
    </row>
    <row r="9125">
      <c r="B9125" s="24" t="inlineStr">
        <is>
          <t>COLINPUTTYPE</t>
        </is>
      </c>
      <c r="C9125" s="24" t="inlineStr">
        <is>
          <t>DataWindow可视化</t>
        </is>
      </c>
      <c r="D9125" s="24" t="inlineStr">
        <is>
          <t>Address</t>
        </is>
      </c>
      <c r="E9125" s="24" t="inlineStr">
        <is>
          <t>地址</t>
        </is>
      </c>
    </row>
    <row r="9126">
      <c r="B9126" s="24" t="inlineStr">
        <is>
          <t>COLINPUTTYPE</t>
        </is>
      </c>
      <c r="C9126" s="24" t="inlineStr">
        <is>
          <t>DataWindow可视化</t>
        </is>
      </c>
      <c r="D9126" s="24" t="inlineStr">
        <is>
          <t>Checkbox</t>
        </is>
      </c>
      <c r="E9126" s="24" t="inlineStr">
        <is>
          <t>复选框</t>
        </is>
      </c>
    </row>
    <row r="9127">
      <c r="B9127" s="24" t="inlineStr">
        <is>
          <t>COLINPUTTYPE</t>
        </is>
      </c>
      <c r="C9127" s="24" t="inlineStr">
        <is>
          <t>DataWindow可视化</t>
        </is>
      </c>
      <c r="D9127" s="24" t="inlineStr">
        <is>
          <t>Checkbox2</t>
        </is>
      </c>
      <c r="E9127" s="24" t="inlineStr">
        <is>
          <t>复选框[优化只读显示]</t>
        </is>
      </c>
    </row>
    <row r="9128">
      <c r="B9128" s="24" t="inlineStr">
        <is>
          <t>COLINPUTTYPE</t>
        </is>
      </c>
      <c r="C9128" s="24" t="inlineStr">
        <is>
          <t>DataWindow可视化</t>
        </is>
      </c>
      <c r="D9128" s="24" t="inlineStr">
        <is>
          <t>ColorLabel</t>
        </is>
      </c>
      <c r="E9128" s="24" t="inlineStr">
        <is>
          <t>高亮文本框</t>
        </is>
      </c>
    </row>
    <row r="9129">
      <c r="B9129" s="24" t="inlineStr">
        <is>
          <t>COLINPUTTYPE</t>
        </is>
      </c>
      <c r="C9129" s="24" t="inlineStr">
        <is>
          <t>DataWindow可视化</t>
        </is>
      </c>
      <c r="D9129" s="24" t="inlineStr">
        <is>
          <t>Date</t>
        </is>
      </c>
      <c r="E9129" s="24" t="inlineStr">
        <is>
          <t>日期选择</t>
        </is>
      </c>
    </row>
    <row r="9130">
      <c r="B9130" s="24" t="inlineStr">
        <is>
          <t>COLINPUTTYPE</t>
        </is>
      </c>
      <c r="C9130" s="24" t="inlineStr">
        <is>
          <t>DataWindow可视化</t>
        </is>
      </c>
      <c r="D9130" s="24" t="inlineStr">
        <is>
          <t>DateRange</t>
        </is>
      </c>
      <c r="E9130" s="24" t="inlineStr">
        <is>
          <t>区间日期</t>
        </is>
      </c>
    </row>
    <row r="9131">
      <c r="B9131" s="24" t="inlineStr">
        <is>
          <t>COLINPUTTYPE</t>
        </is>
      </c>
      <c r="C9131" s="24" t="inlineStr">
        <is>
          <t>DataWindow可视化</t>
        </is>
      </c>
      <c r="D9131" s="24" t="inlineStr">
        <is>
          <t>FlatSelect</t>
        </is>
      </c>
      <c r="E9131" s="24" t="inlineStr">
        <is>
          <t>扁平下拉选择</t>
        </is>
      </c>
    </row>
    <row r="9132">
      <c r="B9132" s="24" t="inlineStr">
        <is>
          <t>COLINPUTTYPE</t>
        </is>
      </c>
      <c r="C9132" s="24" t="inlineStr">
        <is>
          <t>DataWindow可视化</t>
        </is>
      </c>
      <c r="D9132" s="24" t="inlineStr">
        <is>
          <t>MultiSelect</t>
        </is>
      </c>
      <c r="E9132" s="24" t="inlineStr">
        <is>
          <t>选择框[多选]</t>
        </is>
      </c>
    </row>
    <row r="9133">
      <c r="B9133" s="24" t="inlineStr">
        <is>
          <t>COLINPUTTYPE</t>
        </is>
      </c>
      <c r="C9133" s="24" t="inlineStr">
        <is>
          <t>DataWindow可视化</t>
        </is>
      </c>
      <c r="D9133" s="24" t="inlineStr">
        <is>
          <t>NumberRange</t>
        </is>
      </c>
      <c r="E9133" s="24" t="inlineStr">
        <is>
          <t>区间数字</t>
        </is>
      </c>
    </row>
    <row r="9134">
      <c r="B9134" s="24" t="inlineStr">
        <is>
          <t>COLINPUTTYPE</t>
        </is>
      </c>
      <c r="C9134" s="24" t="inlineStr">
        <is>
          <t>DataWindow可视化</t>
        </is>
      </c>
      <c r="D9134" s="24" t="inlineStr">
        <is>
          <t>ParentSelect</t>
        </is>
      </c>
      <c r="E9134" s="24" t="inlineStr">
        <is>
          <t>联动菜单</t>
        </is>
      </c>
    </row>
    <row r="9135">
      <c r="B9135" s="24" t="inlineStr">
        <is>
          <t>COLINPUTTYPE</t>
        </is>
      </c>
      <c r="C9135" s="24" t="inlineStr">
        <is>
          <t>DataWindow可视化</t>
        </is>
      </c>
      <c r="D9135" s="24" t="inlineStr">
        <is>
          <t>Password</t>
        </is>
      </c>
      <c r="E9135" s="24" t="inlineStr">
        <is>
          <t>密码框</t>
        </is>
      </c>
    </row>
    <row r="9136">
      <c r="B9136" s="24" t="inlineStr">
        <is>
          <t>COLINPUTTYPE</t>
        </is>
      </c>
      <c r="C9136" s="24" t="inlineStr">
        <is>
          <t>DataWindow可视化</t>
        </is>
      </c>
      <c r="D9136" s="24" t="inlineStr">
        <is>
          <t>PictureRadio</t>
        </is>
      </c>
      <c r="E9136" s="24" t="inlineStr">
        <is>
          <t>图片单选框[横向]</t>
        </is>
      </c>
    </row>
    <row r="9137">
      <c r="B9137" s="24" t="inlineStr">
        <is>
          <t>COLINPUTTYPE</t>
        </is>
      </c>
      <c r="C9137" s="24" t="inlineStr">
        <is>
          <t>DataWindow可视化</t>
        </is>
      </c>
      <c r="D9137" s="24" t="inlineStr">
        <is>
          <t>PictureRadioV</t>
        </is>
      </c>
      <c r="E9137" s="24" t="inlineStr">
        <is>
          <t>图片单选框[纵向]</t>
        </is>
      </c>
    </row>
    <row r="9138">
      <c r="B9138" s="24" t="inlineStr">
        <is>
          <t>COLINPUTTYPE</t>
        </is>
      </c>
      <c r="C9138" s="24" t="inlineStr">
        <is>
          <t>DataWindow可视化</t>
        </is>
      </c>
      <c r="D9138" s="24" t="inlineStr">
        <is>
          <t>Radiobox</t>
        </is>
      </c>
      <c r="E9138" s="24" t="inlineStr">
        <is>
          <t>横向单选框</t>
        </is>
      </c>
    </row>
    <row r="9139">
      <c r="B9139" s="24" t="inlineStr">
        <is>
          <t>COLINPUTTYPE</t>
        </is>
      </c>
      <c r="C9139" s="24" t="inlineStr">
        <is>
          <t>DataWindow可视化</t>
        </is>
      </c>
      <c r="D9139" s="24" t="inlineStr">
        <is>
          <t>RadioboxV</t>
        </is>
      </c>
      <c r="E9139" s="24" t="inlineStr">
        <is>
          <t>纵向单选框</t>
        </is>
      </c>
    </row>
    <row r="9140">
      <c r="B9140" s="24" t="inlineStr">
        <is>
          <t>COLINPUTTYPE</t>
        </is>
      </c>
      <c r="C9140" s="24" t="inlineStr">
        <is>
          <t>DataWindow可视化</t>
        </is>
      </c>
      <c r="D9140" s="24" t="inlineStr">
        <is>
          <t>Select</t>
        </is>
      </c>
      <c r="E9140" s="24" t="inlineStr">
        <is>
          <t>选择框[单选]</t>
        </is>
      </c>
    </row>
    <row r="9141">
      <c r="B9141" s="24" t="inlineStr">
        <is>
          <t>COLINPUTTYPE</t>
        </is>
      </c>
      <c r="C9141" s="24" t="inlineStr">
        <is>
          <t>DataWindow可视化</t>
        </is>
      </c>
      <c r="D9141" s="24" t="inlineStr">
        <is>
          <t>Star</t>
        </is>
      </c>
      <c r="E9141" s="24" t="inlineStr">
        <is>
          <t>五星评分</t>
        </is>
      </c>
    </row>
    <row r="9142">
      <c r="B9142" s="24" t="inlineStr">
        <is>
          <t>COLINPUTTYPE</t>
        </is>
      </c>
      <c r="C9142" s="24" t="inlineStr">
        <is>
          <t>DataWindow可视化</t>
        </is>
      </c>
      <c r="D9142" s="24" t="inlineStr">
        <is>
          <t>Text</t>
        </is>
      </c>
      <c r="E9142" s="24" t="inlineStr">
        <is>
          <t>文本框</t>
        </is>
      </c>
    </row>
    <row r="9143">
      <c r="B9143" s="24" t="inlineStr">
        <is>
          <t>COLINPUTTYPE</t>
        </is>
      </c>
      <c r="C9143" s="24" t="inlineStr">
        <is>
          <t>DataWindow可视化</t>
        </is>
      </c>
      <c r="D9143" s="24" t="inlineStr">
        <is>
          <t>Textarea</t>
        </is>
      </c>
      <c r="E9143" s="24" t="inlineStr">
        <is>
          <t>多行文本框</t>
        </is>
      </c>
    </row>
    <row r="9144">
      <c r="B9144" s="24" t="inlineStr">
        <is>
          <t>COLINPUTTYPE</t>
        </is>
      </c>
      <c r="C9144" s="24" t="inlineStr">
        <is>
          <t>DataWindow可视化</t>
        </is>
      </c>
      <c r="D9144" s="24" t="inlineStr">
        <is>
          <t>YearMonth</t>
        </is>
      </c>
      <c r="E9144" s="24" t="inlineStr">
        <is>
          <t>月份选择</t>
        </is>
      </c>
    </row>
    <row r="9145" ht="15.95" customHeight="1" s="170">
      <c r="B9145" s="122" t="inlineStr">
        <is>
          <t>码值：EnterpriseType</t>
        </is>
      </c>
    </row>
    <row r="9146">
      <c r="B9146" s="24" t="inlineStr">
        <is>
          <t>EnterpriseType</t>
        </is>
      </c>
      <c r="C9146" s="24" t="inlineStr">
        <is>
          <t>信用等级评估统一导入</t>
        </is>
      </c>
      <c r="D9146" s="24" t="inlineStr">
        <is>
          <t>01</t>
        </is>
      </c>
      <c r="E9146" s="24" t="inlineStr">
        <is>
          <t>央企，或者世界五百强企业</t>
        </is>
      </c>
    </row>
    <row r="9147">
      <c r="B9147" s="24" t="inlineStr">
        <is>
          <t>EnterpriseType</t>
        </is>
      </c>
      <c r="C9147" s="24" t="inlineStr">
        <is>
          <t>信用等级评估统一导入</t>
        </is>
      </c>
      <c r="D9147" s="24" t="inlineStr">
        <is>
          <t>02</t>
        </is>
      </c>
      <c r="E9147" s="24" t="inlineStr">
        <is>
          <t>央企控股的企业，或者世界五百强企业的控股企业</t>
        </is>
      </c>
    </row>
    <row r="9148">
      <c r="B9148" s="24" t="inlineStr">
        <is>
          <t>EnterpriseType</t>
        </is>
      </c>
      <c r="C9148" s="24" t="inlineStr">
        <is>
          <t>信用等级评估统一导入</t>
        </is>
      </c>
      <c r="D9148" s="24" t="inlineStr">
        <is>
          <t>03</t>
        </is>
      </c>
      <c r="E9148" s="24" t="inlineStr">
        <is>
          <t>未上市公司(包括国内及国外上市公司,但不包括ST股或已摘牌上市公司)，或者省（自治区、直辖市）属国有企业</t>
        </is>
      </c>
    </row>
    <row r="9149">
      <c r="B9149" s="24" t="inlineStr">
        <is>
          <t>EnterpriseType</t>
        </is>
      </c>
      <c r="C9149" s="24" t="inlineStr">
        <is>
          <t>信用等级评估统一导入</t>
        </is>
      </c>
      <c r="D9149" s="24" t="inlineStr">
        <is>
          <t>04</t>
        </is>
      </c>
      <c r="E9149" s="24" t="inlineStr">
        <is>
          <t>B、C两类公司的控股子公司</t>
        </is>
      </c>
    </row>
    <row r="9150">
      <c r="B9150" s="24" t="inlineStr">
        <is>
          <t>EnterpriseType</t>
        </is>
      </c>
      <c r="C9150" s="24" t="inlineStr">
        <is>
          <t>信用等级评估统一导入</t>
        </is>
      </c>
      <c r="D9150" s="24" t="inlineStr">
        <is>
          <t>05</t>
        </is>
      </c>
      <c r="E9150" s="24" t="inlineStr">
        <is>
          <t>其他公司</t>
        </is>
      </c>
    </row>
    <row r="9151" ht="15.95" customHeight="1" s="170">
      <c r="B9151" s="122" t="inlineStr">
        <is>
          <t>码值：SecurityType</t>
        </is>
      </c>
    </row>
    <row r="9152">
      <c r="B9152" s="24" t="inlineStr">
        <is>
          <t>SecurityType</t>
        </is>
      </c>
      <c r="C9152" s="24" t="inlineStr">
        <is>
          <t>担保权利人类型</t>
        </is>
      </c>
      <c r="D9152" s="24" t="inlineStr">
        <is>
          <t>01</t>
        </is>
      </c>
      <c r="E9152" s="24" t="inlineStr">
        <is>
          <t>一般法人单位</t>
        </is>
      </c>
    </row>
    <row r="9153">
      <c r="B9153" s="24" t="inlineStr">
        <is>
          <t>SecurityType</t>
        </is>
      </c>
      <c r="C9153" s="24" t="inlineStr">
        <is>
          <t>担保权利人类型</t>
        </is>
      </c>
      <c r="D9153" s="24" t="inlineStr">
        <is>
          <t>02</t>
        </is>
      </c>
      <c r="E9153" s="24" t="inlineStr">
        <is>
          <t>专业担保公司</t>
        </is>
      </c>
    </row>
    <row r="9154">
      <c r="B9154" s="24" t="inlineStr">
        <is>
          <t>SecurityType</t>
        </is>
      </c>
      <c r="C9154" s="24" t="inlineStr">
        <is>
          <t>担保权利人类型</t>
        </is>
      </c>
      <c r="D9154" s="24" t="inlineStr">
        <is>
          <t>03</t>
        </is>
      </c>
      <c r="E9154" s="24" t="inlineStr">
        <is>
          <t>银行</t>
        </is>
      </c>
    </row>
    <row r="9155">
      <c r="B9155" s="24" t="inlineStr">
        <is>
          <t>SecurityType</t>
        </is>
      </c>
      <c r="C9155" s="24" t="inlineStr">
        <is>
          <t>担保权利人类型</t>
        </is>
      </c>
      <c r="D9155" s="24" t="inlineStr">
        <is>
          <t>04</t>
        </is>
      </c>
      <c r="E9155" s="24" t="inlineStr">
        <is>
          <t>保险公司</t>
        </is>
      </c>
    </row>
    <row r="9156">
      <c r="B9156" s="24" t="inlineStr">
        <is>
          <t>SecurityType</t>
        </is>
      </c>
      <c r="C9156" s="24" t="inlineStr">
        <is>
          <t>担保权利人类型</t>
        </is>
      </c>
      <c r="D9156" s="24" t="inlineStr">
        <is>
          <t>05</t>
        </is>
      </c>
      <c r="E9156" s="24" t="inlineStr">
        <is>
          <t>证券公司</t>
        </is>
      </c>
    </row>
    <row r="9157">
      <c r="B9157" s="24" t="inlineStr">
        <is>
          <t>SecurityType</t>
        </is>
      </c>
      <c r="C9157" s="24" t="inlineStr">
        <is>
          <t>担保权利人类型</t>
        </is>
      </c>
      <c r="D9157" s="24" t="inlineStr">
        <is>
          <t>06</t>
        </is>
      </c>
      <c r="E9157" s="24" t="inlineStr">
        <is>
          <t>自然人</t>
        </is>
      </c>
    </row>
    <row r="9158">
      <c r="B9158" s="24" t="inlineStr">
        <is>
          <t>SecurityType</t>
        </is>
      </c>
      <c r="C9158" s="24" t="inlineStr">
        <is>
          <t>担保权利人类型</t>
        </is>
      </c>
      <c r="D9158" s="24" t="inlineStr">
        <is>
          <t>07</t>
        </is>
      </c>
      <c r="E9158" s="24" t="inlineStr">
        <is>
          <t>其它</t>
        </is>
      </c>
    </row>
    <row r="9159" ht="15.95" customHeight="1" s="170">
      <c r="B9159" s="122" t="inlineStr">
        <is>
          <t>码值：贷款人对现金流控制</t>
        </is>
      </c>
    </row>
    <row r="9160">
      <c r="B9160" s="24" t="inlineStr">
        <is>
          <t>贷款人对现金流控制</t>
        </is>
      </c>
      <c r="C9160" s="24" t="inlineStr">
        <is>
          <t>贷款人对现金流控制</t>
        </is>
      </c>
      <c r="D9160" s="24" t="inlineStr">
        <is>
          <t>01</t>
        </is>
      </c>
      <c r="E9160" s="24" t="inlineStr">
        <is>
          <t>是</t>
        </is>
      </c>
    </row>
    <row r="9161">
      <c r="B9161" s="24" t="inlineStr">
        <is>
          <t>贷款人对现金流控制</t>
        </is>
      </c>
      <c r="C9161" s="24" t="inlineStr">
        <is>
          <t>贷款人对现金流控制</t>
        </is>
      </c>
      <c r="D9161" s="24" t="inlineStr">
        <is>
          <t>02</t>
        </is>
      </c>
      <c r="E9161" s="24" t="inlineStr">
        <is>
          <t>否</t>
        </is>
      </c>
    </row>
    <row r="9162" ht="15.95" customHeight="1" s="170">
      <c r="B9162" s="122" t="inlineStr">
        <is>
          <t>码值：PrePayInterestBaseFlag</t>
        </is>
      </c>
    </row>
    <row r="9163">
      <c r="B9163" s="24" t="inlineStr">
        <is>
          <t>PrePayInterestBaseFlag</t>
        </is>
      </c>
      <c r="C9163" s="24" t="inlineStr">
        <is>
          <t>提前还款计息基础</t>
        </is>
      </c>
      <c r="D9163" s="24" t="inlineStr">
        <is>
          <t>1</t>
        </is>
      </c>
      <c r="E9163" s="24" t="inlineStr">
        <is>
          <t>按还款本金计息</t>
        </is>
      </c>
    </row>
    <row r="9164">
      <c r="B9164" s="24" t="inlineStr">
        <is>
          <t>PrePayInterestBaseFlag</t>
        </is>
      </c>
      <c r="C9164" s="24" t="inlineStr">
        <is>
          <t>提前还款计息基础</t>
        </is>
      </c>
      <c r="D9164" s="24" t="inlineStr">
        <is>
          <t>2</t>
        </is>
      </c>
      <c r="E9164" s="24" t="inlineStr">
        <is>
          <t>按贷款余额计息</t>
        </is>
      </c>
    </row>
    <row r="9165" ht="15.95" customHeight="1" s="170">
      <c r="B9165" s="122" t="inlineStr">
        <is>
          <t>码值：PenaltyType</t>
        </is>
      </c>
    </row>
    <row r="9166">
      <c r="B9166" s="24" t="inlineStr">
        <is>
          <t>PenaltyType</t>
        </is>
      </c>
      <c r="C9166" s="24" t="inlineStr">
        <is>
          <t>计息方式</t>
        </is>
      </c>
      <c r="D9166" s="24" t="inlineStr">
        <is>
          <t>010</t>
        </is>
      </c>
      <c r="E9166" s="24" t="inlineStr">
        <is>
          <t>逾期利率按贷款利率上浮50%</t>
        </is>
      </c>
    </row>
    <row r="9167">
      <c r="B9167" s="24" t="inlineStr">
        <is>
          <t>PenaltyType</t>
        </is>
      </c>
      <c r="C9167" s="24" t="inlineStr">
        <is>
          <t>计息方式</t>
        </is>
      </c>
      <c r="D9167" s="24" t="inlineStr">
        <is>
          <t>020</t>
        </is>
      </c>
      <c r="E9167" s="24" t="inlineStr">
        <is>
          <t>逾期利率按贷款利率上浮100%</t>
        </is>
      </c>
    </row>
    <row r="9168" ht="15.95" customHeight="1" s="170">
      <c r="B9168" s="122" t="inlineStr">
        <is>
          <t>码值：IndAddressType</t>
        </is>
      </c>
    </row>
    <row r="9169">
      <c r="B9169" s="24" t="inlineStr">
        <is>
          <t>IndAddressType</t>
        </is>
      </c>
      <c r="C9169" s="24" t="inlineStr">
        <is>
          <t>个人地址类型</t>
        </is>
      </c>
      <c r="D9169" s="24" t="inlineStr">
        <is>
          <t>IndAddress01</t>
        </is>
      </c>
      <c r="E9169" s="24" t="inlineStr">
        <is>
          <t>家庭地址</t>
        </is>
      </c>
    </row>
    <row r="9170">
      <c r="B9170" s="24" t="inlineStr">
        <is>
          <t>IndAddressType</t>
        </is>
      </c>
      <c r="C9170" s="24" t="inlineStr">
        <is>
          <t>个人地址类型</t>
        </is>
      </c>
      <c r="D9170" s="24" t="inlineStr">
        <is>
          <t>IndAddress02</t>
        </is>
      </c>
      <c r="E9170" s="24" t="inlineStr">
        <is>
          <t>单位地址</t>
        </is>
      </c>
    </row>
    <row r="9171">
      <c r="B9171" s="24" t="inlineStr">
        <is>
          <t>IndAddressType</t>
        </is>
      </c>
      <c r="C9171" s="24" t="inlineStr">
        <is>
          <t>个人地址类型</t>
        </is>
      </c>
      <c r="D9171" s="24" t="inlineStr">
        <is>
          <t>IndAddress03</t>
        </is>
      </c>
      <c r="E9171" s="24" t="inlineStr">
        <is>
          <t>其他地址</t>
        </is>
      </c>
    </row>
    <row r="9172" ht="15.95" customHeight="1" s="170">
      <c r="B9172" s="122" t="inlineStr">
        <is>
          <t>码值：ClewMain</t>
        </is>
      </c>
    </row>
    <row r="9173">
      <c r="B9173" s="24" t="inlineStr">
        <is>
          <t>ClewMain</t>
        </is>
      </c>
      <c r="C9173" s="24" t="inlineStr">
        <is>
          <t>提示页面</t>
        </is>
      </c>
      <c r="D9173" s="24" t="inlineStr">
        <is>
          <t>0000</t>
        </is>
      </c>
      <c r="E9173" s="24" t="inlineStr">
        <is>
          <t>名称</t>
        </is>
      </c>
    </row>
    <row r="9174">
      <c r="B9174" s="24" t="inlineStr">
        <is>
          <t>ClewMain</t>
        </is>
      </c>
      <c r="C9174" s="24" t="inlineStr">
        <is>
          <t>提示页面</t>
        </is>
      </c>
      <c r="D9174" s="24" t="inlineStr">
        <is>
          <t>010010</t>
        </is>
      </c>
      <c r="E9174" s="24" t="inlineStr">
        <is>
          <t>7天内到期业务(含第7天)</t>
        </is>
      </c>
    </row>
    <row r="9175">
      <c r="B9175" s="24" t="inlineStr">
        <is>
          <t>ClewMain</t>
        </is>
      </c>
      <c r="C9175" s="24" t="inlineStr">
        <is>
          <t>提示页面</t>
        </is>
      </c>
      <c r="D9175" s="24" t="inlineStr">
        <is>
          <t>010020</t>
        </is>
      </c>
      <c r="E9175" s="24" t="inlineStr">
        <is>
          <t>15天内到期业务(含第15天)</t>
        </is>
      </c>
    </row>
    <row r="9176">
      <c r="B9176" s="24" t="inlineStr">
        <is>
          <t>ClewMain</t>
        </is>
      </c>
      <c r="C9176" s="24" t="inlineStr">
        <is>
          <t>提示页面</t>
        </is>
      </c>
      <c r="D9176" s="24" t="inlineStr">
        <is>
          <t>010030</t>
        </is>
      </c>
      <c r="E9176" s="24" t="inlineStr">
        <is>
          <t>30天内到期业务(含第30天)</t>
        </is>
      </c>
    </row>
    <row r="9177" ht="15.95" customHeight="1" s="170">
      <c r="B9177" s="122" t="inlineStr">
        <is>
          <t>码值：CreditLineInputMain</t>
        </is>
      </c>
    </row>
    <row r="9178">
      <c r="B9178" s="24" t="inlineStr">
        <is>
          <t>CreditLineInputMain</t>
        </is>
      </c>
      <c r="C9178" s="24" t="inlineStr">
        <is>
          <t>额度业务补充登记主界面</t>
        </is>
      </c>
      <c r="D9178" s="24" t="inlineStr">
        <is>
          <t>010</t>
        </is>
      </c>
      <c r="E9178" s="24" t="inlineStr">
        <is>
          <t>授信额度补登</t>
        </is>
      </c>
    </row>
    <row r="9179">
      <c r="B9179" s="24" t="inlineStr">
        <is>
          <t>CreditLineInputMain</t>
        </is>
      </c>
      <c r="C9179" s="24" t="inlineStr">
        <is>
          <t>额度业务补充登记主界面</t>
        </is>
      </c>
      <c r="D9179" s="24" t="inlineStr">
        <is>
          <t>01010</t>
        </is>
      </c>
      <c r="E9179" s="24" t="inlineStr">
        <is>
          <t>需补登授信额度</t>
        </is>
      </c>
    </row>
    <row r="9180">
      <c r="B9180" s="24" t="inlineStr">
        <is>
          <t>CreditLineInputMain</t>
        </is>
      </c>
      <c r="C9180" s="24" t="inlineStr">
        <is>
          <t>额度业务补充登记主界面</t>
        </is>
      </c>
      <c r="D9180" s="24" t="inlineStr">
        <is>
          <t>01020</t>
        </is>
      </c>
      <c r="E9180" s="24" t="inlineStr">
        <is>
          <t>补登完成授信额度</t>
        </is>
      </c>
    </row>
    <row r="9181" ht="15.95" customHeight="1" s="170">
      <c r="B9181" s="122" t="inlineStr">
        <is>
          <t>码值：PartnerProjectApprMain</t>
        </is>
      </c>
    </row>
    <row r="9182">
      <c r="B9182" s="24" t="inlineStr">
        <is>
          <t>PartnerProjectApprMain</t>
        </is>
      </c>
      <c r="C9182" s="24" t="inlineStr">
        <is>
          <t>PartnerProject审批主树图</t>
        </is>
      </c>
      <c r="D9182" s="24" t="inlineStr">
        <is>
          <t>N</t>
        </is>
      </c>
      <c r="E9182" s="24" t="inlineStr">
        <is>
          <t>待办任务</t>
        </is>
      </c>
    </row>
    <row r="9183">
      <c r="B9183" s="24" t="inlineStr">
        <is>
          <t>PartnerProjectApprMain</t>
        </is>
      </c>
      <c r="C9183" s="24" t="inlineStr">
        <is>
          <t>PartnerProject审批主树图</t>
        </is>
      </c>
      <c r="D9183" s="24" t="inlineStr">
        <is>
          <t>Y</t>
        </is>
      </c>
      <c r="E9183" s="24" t="inlineStr">
        <is>
          <t>已办任务</t>
        </is>
      </c>
    </row>
    <row r="9184" ht="15.95" customHeight="1" s="170">
      <c r="B9184" s="122" t="inlineStr">
        <is>
          <t>码值：营销方式是否多</t>
        </is>
      </c>
    </row>
    <row r="9185">
      <c r="B9185" s="24" t="inlineStr">
        <is>
          <t>营销方式是否多</t>
        </is>
      </c>
      <c r="C9185" s="24" t="inlineStr">
        <is>
          <t>营销方式是否多</t>
        </is>
      </c>
      <c r="D9185" s="24" t="inlineStr">
        <is>
          <t>1</t>
        </is>
      </c>
      <c r="E9185" s="24" t="inlineStr">
        <is>
          <t>较多</t>
        </is>
      </c>
    </row>
    <row r="9186">
      <c r="B9186" s="24" t="inlineStr">
        <is>
          <t>营销方式是否多</t>
        </is>
      </c>
      <c r="C9186" s="24" t="inlineStr">
        <is>
          <t>营销方式是否多</t>
        </is>
      </c>
      <c r="D9186" s="24" t="inlineStr">
        <is>
          <t>2</t>
        </is>
      </c>
      <c r="E9186" s="24" t="inlineStr">
        <is>
          <t>一般</t>
        </is>
      </c>
    </row>
    <row r="9187">
      <c r="B9187" s="24" t="inlineStr">
        <is>
          <t>营销方式是否多</t>
        </is>
      </c>
      <c r="C9187" s="24" t="inlineStr">
        <is>
          <t>营销方式是否多</t>
        </is>
      </c>
      <c r="D9187" s="24" t="inlineStr">
        <is>
          <t>3</t>
        </is>
      </c>
      <c r="E9187" s="24" t="inlineStr">
        <is>
          <t>较少</t>
        </is>
      </c>
    </row>
    <row r="9188" ht="15.95" customHeight="1" s="170">
      <c r="B9188" s="122" t="inlineStr">
        <is>
          <t>码值：InterestPayMethod</t>
        </is>
      </c>
    </row>
    <row r="9189">
      <c r="B9189" s="24" t="inlineStr">
        <is>
          <t>InterestPayMethod</t>
        </is>
      </c>
      <c r="C9189" s="24" t="inlineStr">
        <is>
          <t>利息支付方式</t>
        </is>
      </c>
      <c r="D9189" s="24" t="inlineStr">
        <is>
          <t>01</t>
        </is>
      </c>
      <c r="E9189" s="24" t="inlineStr">
        <is>
          <t xml:space="preserve">按季支付 </t>
        </is>
      </c>
    </row>
    <row r="9190">
      <c r="B9190" s="24" t="inlineStr">
        <is>
          <t>InterestPayMethod</t>
        </is>
      </c>
      <c r="C9190" s="24" t="inlineStr">
        <is>
          <t>利息支付方式</t>
        </is>
      </c>
      <c r="D9190" s="24" t="inlineStr">
        <is>
          <t>02</t>
        </is>
      </c>
      <c r="E9190" s="24" t="inlineStr">
        <is>
          <t xml:space="preserve">按月支付 </t>
        </is>
      </c>
    </row>
    <row r="9191">
      <c r="B9191" s="24" t="inlineStr">
        <is>
          <t>InterestPayMethod</t>
        </is>
      </c>
      <c r="C9191" s="24" t="inlineStr">
        <is>
          <t>利息支付方式</t>
        </is>
      </c>
      <c r="D9191" s="24" t="inlineStr">
        <is>
          <t>03</t>
        </is>
      </c>
      <c r="E9191" s="24" t="inlineStr">
        <is>
          <t>一次付清</t>
        </is>
      </c>
    </row>
    <row r="9192" ht="15.95" customHeight="1" s="170">
      <c r="B9192" s="122" t="inlineStr">
        <is>
          <t>码值：银行融资情况</t>
        </is>
      </c>
    </row>
    <row r="9193">
      <c r="B9193" s="24" t="inlineStr">
        <is>
          <t>银行融资情况</t>
        </is>
      </c>
      <c r="C9193" s="24" t="inlineStr">
        <is>
          <t>银行融资情况</t>
        </is>
      </c>
      <c r="D9193" s="24" t="inlineStr">
        <is>
          <t>1</t>
        </is>
      </c>
      <c r="E9193" s="24" t="inlineStr">
        <is>
          <t>融资成本的利率下浮于基准利率</t>
        </is>
      </c>
    </row>
    <row r="9194">
      <c r="B9194" s="24" t="inlineStr">
        <is>
          <t>银行融资情况</t>
        </is>
      </c>
      <c r="C9194" s="24" t="inlineStr">
        <is>
          <t>银行融资情况</t>
        </is>
      </c>
      <c r="D9194" s="24" t="inlineStr">
        <is>
          <t>2</t>
        </is>
      </c>
      <c r="E9194" s="24" t="inlineStr">
        <is>
          <t>融资成本的利率等于基准利率;或只取得表外业务授信(没有银行贷款)</t>
        </is>
      </c>
    </row>
    <row r="9195">
      <c r="B9195" s="24" t="inlineStr">
        <is>
          <t>银行融资情况</t>
        </is>
      </c>
      <c r="C9195" s="24" t="inlineStr">
        <is>
          <t>银行融资情况</t>
        </is>
      </c>
      <c r="D9195" s="24" t="inlineStr">
        <is>
          <t>3</t>
        </is>
      </c>
      <c r="E9195" s="24" t="inlineStr">
        <is>
          <t>融资成本的利率上浮于基准利率10%以内</t>
        </is>
      </c>
    </row>
    <row r="9196">
      <c r="B9196" s="24" t="inlineStr">
        <is>
          <t>银行融资情况</t>
        </is>
      </c>
      <c r="C9196" s="24" t="inlineStr">
        <is>
          <t>银行融资情况</t>
        </is>
      </c>
      <c r="D9196" s="24" t="inlineStr">
        <is>
          <t>4</t>
        </is>
      </c>
      <c r="E9196" s="24" t="inlineStr">
        <is>
          <t>上浮于基准利率10%--20%</t>
        </is>
      </c>
    </row>
    <row r="9197">
      <c r="B9197" s="24" t="inlineStr">
        <is>
          <t>银行融资情况</t>
        </is>
      </c>
      <c r="C9197" s="24" t="inlineStr">
        <is>
          <t>银行融资情况</t>
        </is>
      </c>
      <c r="D9197" s="24" t="inlineStr">
        <is>
          <t>5</t>
        </is>
      </c>
      <c r="E9197" s="24" t="inlineStr">
        <is>
          <t>上浮于基准利率20%以上或不易获得贷款</t>
        </is>
      </c>
    </row>
    <row r="9198" ht="15.95" customHeight="1" s="170">
      <c r="B9198" s="122" t="inlineStr">
        <is>
          <t>码值：EvalModelCost</t>
        </is>
      </c>
    </row>
    <row r="9199">
      <c r="B9199" s="24" t="inlineStr">
        <is>
          <t>EvalModelCost</t>
        </is>
      </c>
      <c r="C9199" s="24" t="inlineStr">
        <is>
          <t>成本法估值模板</t>
        </is>
      </c>
      <c r="D9199" s="24" t="inlineStr">
        <is>
          <t>M_CMG_FSSGQCWBBFXF</t>
        </is>
      </c>
      <c r="E9199" s="24" t="inlineStr">
        <is>
          <t>非上市股权财务报表分析法</t>
        </is>
      </c>
    </row>
    <row r="9200">
      <c r="B9200" s="24" t="inlineStr">
        <is>
          <t>EvalModelCost</t>
        </is>
      </c>
      <c r="C9200" s="24" t="inlineStr">
        <is>
          <t>成本法估值模板</t>
        </is>
      </c>
      <c r="D9200" s="24" t="inlineStr">
        <is>
          <t>M_CMG_FSSGSGQZCJCF</t>
        </is>
      </c>
      <c r="E9200" s="24" t="inlineStr">
        <is>
          <t>非上市公司股权资产基础法</t>
        </is>
      </c>
    </row>
    <row r="9201">
      <c r="B9201" s="24" t="inlineStr">
        <is>
          <t>EvalModelCost</t>
        </is>
      </c>
      <c r="C9201" s="24" t="inlineStr">
        <is>
          <t>成本法估值模板</t>
        </is>
      </c>
      <c r="D9201" s="24" t="inlineStr">
        <is>
          <t>M_CMG_JQSBGCCBF</t>
        </is>
      </c>
      <c r="E9201" s="24" t="inlineStr">
        <is>
          <t>机器设备（国产）成本法</t>
        </is>
      </c>
    </row>
    <row r="9202">
      <c r="B9202" s="24" t="inlineStr">
        <is>
          <t>EvalModelCost</t>
        </is>
      </c>
      <c r="C9202" s="24" t="inlineStr">
        <is>
          <t>成本法估值模板</t>
        </is>
      </c>
      <c r="D9202" s="24" t="inlineStr">
        <is>
          <t>M_CMG_JQSBJKCBF</t>
        </is>
      </c>
      <c r="E9202" s="24" t="inlineStr">
        <is>
          <t>机器设备（进口）成本法</t>
        </is>
      </c>
    </row>
    <row r="9203">
      <c r="B9203" s="24" t="inlineStr">
        <is>
          <t>EvalModelCost</t>
        </is>
      </c>
      <c r="C9203" s="24" t="inlineStr">
        <is>
          <t>成本法估值模板</t>
        </is>
      </c>
      <c r="D9203" s="24" t="inlineStr">
        <is>
          <t>M_CMG_JQSBZJCBF</t>
        </is>
      </c>
      <c r="E9203" s="24" t="inlineStr">
        <is>
          <t>机器设备（自建）成本法</t>
        </is>
      </c>
    </row>
    <row r="9204">
      <c r="B9204" s="24" t="inlineStr">
        <is>
          <t>EvalModelCost</t>
        </is>
      </c>
      <c r="C9204" s="24" t="inlineStr">
        <is>
          <t>成本法估值模板</t>
        </is>
      </c>
      <c r="D9204" s="24" t="inlineStr">
        <is>
          <t>M_CMG_JTYSSBGCCBF</t>
        </is>
      </c>
      <c r="E9204" s="24" t="inlineStr">
        <is>
          <t>交通运输设备（国产）成本法</t>
        </is>
      </c>
    </row>
    <row r="9205">
      <c r="B9205" s="24" t="inlineStr">
        <is>
          <t>EvalModelCost</t>
        </is>
      </c>
      <c r="C9205" s="24" t="inlineStr">
        <is>
          <t>成本法估值模板</t>
        </is>
      </c>
      <c r="D9205" s="24" t="inlineStr">
        <is>
          <t>M_CMG_JTYSSBJKCBF</t>
        </is>
      </c>
      <c r="E9205" s="24" t="inlineStr">
        <is>
          <t>交通运输设备（进口）成本法</t>
        </is>
      </c>
    </row>
    <row r="9206">
      <c r="B9206" s="24" t="inlineStr">
        <is>
          <t>EvalModelCost</t>
        </is>
      </c>
      <c r="C9206" s="24" t="inlineStr">
        <is>
          <t>成本法估值模板</t>
        </is>
      </c>
      <c r="D9206" s="24" t="inlineStr">
        <is>
          <t>M_CMG_TDJZDJXZF</t>
        </is>
      </c>
      <c r="E9206" s="24" t="inlineStr">
        <is>
          <t>土地基准地价修正法</t>
        </is>
      </c>
    </row>
    <row r="9207">
      <c r="B9207" s="24" t="inlineStr">
        <is>
          <t>EvalModelCost</t>
        </is>
      </c>
      <c r="C9207" s="24" t="inlineStr">
        <is>
          <t>成本法估值模板</t>
        </is>
      </c>
      <c r="D9207" s="24" t="inlineStr">
        <is>
          <t>M_CMG_YSZKZLFXF</t>
        </is>
      </c>
      <c r="E9207" s="24" t="inlineStr">
        <is>
          <t>应收款项账龄分析法</t>
        </is>
      </c>
    </row>
    <row r="9208">
      <c r="B9208" s="24" t="inlineStr">
        <is>
          <t>EvalModelCost</t>
        </is>
      </c>
      <c r="C9208" s="24" t="inlineStr">
        <is>
          <t>成本法估值模板</t>
        </is>
      </c>
      <c r="D9208" s="24" t="inlineStr">
        <is>
          <t>M_CMG_ZJGCCBF</t>
        </is>
      </c>
      <c r="E9208" s="24" t="inlineStr">
        <is>
          <t>在建工程成本法</t>
        </is>
      </c>
    </row>
    <row r="9209">
      <c r="B9209" s="24" t="inlineStr">
        <is>
          <t>EvalModelCost</t>
        </is>
      </c>
      <c r="C9209" s="24" t="inlineStr">
        <is>
          <t>成本法估值模板</t>
        </is>
      </c>
      <c r="D9209" s="24" t="inlineStr">
        <is>
          <t>M_CMG_ZJGCWGJDBFBF</t>
        </is>
      </c>
      <c r="E9209" s="24" t="inlineStr">
        <is>
          <t>在建工程完工进度百分比法</t>
        </is>
      </c>
    </row>
    <row r="9210" ht="15.95" customHeight="1" s="170">
      <c r="B9210" s="122" t="inlineStr">
        <is>
          <t>码值：企业项目建设经历</t>
        </is>
      </c>
    </row>
    <row r="9211">
      <c r="B9211" s="24" t="inlineStr">
        <is>
          <t>企业项目建设经历</t>
        </is>
      </c>
      <c r="C9211" s="24" t="inlineStr">
        <is>
          <t>企业项目建设经历</t>
        </is>
      </c>
      <c r="D9211" s="24" t="inlineStr">
        <is>
          <t>1</t>
        </is>
      </c>
      <c r="E9211" s="24" t="inlineStr">
        <is>
          <t>已完工2个及2个项目以上</t>
        </is>
      </c>
    </row>
    <row r="9212">
      <c r="B9212" s="24" t="inlineStr">
        <is>
          <t>企业项目建设经历</t>
        </is>
      </c>
      <c r="C9212" s="24" t="inlineStr">
        <is>
          <t>企业项目建设经历</t>
        </is>
      </c>
      <c r="D9212" s="24" t="inlineStr">
        <is>
          <t>2</t>
        </is>
      </c>
      <c r="E9212" s="24" t="inlineStr">
        <is>
          <t>从事过1个项目的建设或刚接手第一个项目</t>
        </is>
      </c>
    </row>
    <row r="9213" ht="15.95" customHeight="1" s="170">
      <c r="B9213" s="122" t="inlineStr">
        <is>
          <t>码值：ProjectSubType1</t>
        </is>
      </c>
    </row>
    <row r="9214">
      <c r="B9214" s="24" t="inlineStr">
        <is>
          <t>ProjectSubType1</t>
        </is>
      </c>
      <c r="C9214" s="24" t="inlineStr">
        <is>
          <t>固定资产投资类项目类型</t>
        </is>
      </c>
      <c r="D9214" s="24" t="inlineStr">
        <is>
          <t>01</t>
        </is>
      </c>
      <c r="E9214" s="24" t="inlineStr">
        <is>
          <t>基本建设</t>
        </is>
      </c>
    </row>
    <row r="9215">
      <c r="B9215" s="24" t="inlineStr">
        <is>
          <t>ProjectSubType1</t>
        </is>
      </c>
      <c r="C9215" s="24" t="inlineStr">
        <is>
          <t>固定资产投资类项目类型</t>
        </is>
      </c>
      <c r="D9215" s="24" t="inlineStr">
        <is>
          <t>02</t>
        </is>
      </c>
      <c r="E9215" s="24" t="inlineStr">
        <is>
          <t>技术改造</t>
        </is>
      </c>
    </row>
    <row r="9216">
      <c r="B9216" s="24" t="inlineStr">
        <is>
          <t>ProjectSubType1</t>
        </is>
      </c>
      <c r="C9216" s="24" t="inlineStr">
        <is>
          <t>固定资产投资类项目类型</t>
        </is>
      </c>
      <c r="D9216" s="24" t="inlineStr">
        <is>
          <t>03</t>
        </is>
      </c>
      <c r="E9216" s="24" t="inlineStr">
        <is>
          <t>科技开发</t>
        </is>
      </c>
    </row>
    <row r="9217">
      <c r="B9217" s="24" t="inlineStr">
        <is>
          <t>ProjectSubType1</t>
        </is>
      </c>
      <c r="C9217" s="24" t="inlineStr">
        <is>
          <t>固定资产投资类项目类型</t>
        </is>
      </c>
      <c r="D9217" s="24" t="inlineStr">
        <is>
          <t>04</t>
        </is>
      </c>
      <c r="E9217" s="24" t="inlineStr">
        <is>
          <t>其它</t>
        </is>
      </c>
    </row>
    <row r="9218" ht="15.95" customHeight="1" s="170">
      <c r="B9218" s="122" t="inlineStr">
        <is>
          <t>码值：CreditLineView</t>
        </is>
      </c>
    </row>
    <row r="9219">
      <c r="B9219" s="24" t="inlineStr">
        <is>
          <t>CreditLineView</t>
        </is>
      </c>
      <c r="C9219" s="24" t="inlineStr">
        <is>
          <t>授信额度树图</t>
        </is>
      </c>
      <c r="D9219" s="24" t="inlineStr">
        <is>
          <t>010</t>
        </is>
      </c>
      <c r="E9219" s="24" t="inlineStr">
        <is>
          <t>基本信息</t>
        </is>
      </c>
    </row>
    <row r="9220">
      <c r="B9220" s="24" t="inlineStr">
        <is>
          <t>CreditLineView</t>
        </is>
      </c>
      <c r="C9220" s="24" t="inlineStr">
        <is>
          <t>授信额度树图</t>
        </is>
      </c>
      <c r="D9220" s="24" t="inlineStr">
        <is>
          <t>020</t>
        </is>
      </c>
      <c r="E9220" s="24" t="inlineStr">
        <is>
          <t>授信额度分配</t>
        </is>
      </c>
    </row>
    <row r="9221">
      <c r="B9221" s="24" t="inlineStr">
        <is>
          <t>CreditLineView</t>
        </is>
      </c>
      <c r="C9221" s="24" t="inlineStr">
        <is>
          <t>授信额度树图</t>
        </is>
      </c>
      <c r="D9221" s="24" t="inlineStr">
        <is>
          <t>030</t>
        </is>
      </c>
      <c r="E9221" s="24" t="inlineStr">
        <is>
          <t>集团成员额度分配</t>
        </is>
      </c>
    </row>
    <row r="9222">
      <c r="B9222" s="24" t="inlineStr">
        <is>
          <t>CreditLineView</t>
        </is>
      </c>
      <c r="C9222" s="24" t="inlineStr">
        <is>
          <t>授信额度树图</t>
        </is>
      </c>
      <c r="D9222" s="24" t="inlineStr">
        <is>
          <t>040</t>
        </is>
      </c>
      <c r="E9222" s="24" t="inlineStr">
        <is>
          <t>担保信息</t>
        </is>
      </c>
    </row>
    <row r="9223">
      <c r="B9223" s="24" t="inlineStr">
        <is>
          <t>CreditLineView</t>
        </is>
      </c>
      <c r="C9223" s="24" t="inlineStr">
        <is>
          <t>授信额度树图</t>
        </is>
      </c>
      <c r="D9223" s="24" t="inlineStr">
        <is>
          <t>040010</t>
        </is>
      </c>
      <c r="E9223" s="24" t="inlineStr">
        <is>
          <t>新增的担保信息</t>
        </is>
      </c>
    </row>
    <row r="9224">
      <c r="B9224" s="24" t="inlineStr">
        <is>
          <t>CreditLineView</t>
        </is>
      </c>
      <c r="C9224" s="24" t="inlineStr">
        <is>
          <t>授信额度树图</t>
        </is>
      </c>
      <c r="D9224" s="24" t="inlineStr">
        <is>
          <t>040020</t>
        </is>
      </c>
      <c r="E9224" s="24" t="inlineStr">
        <is>
          <t>拟引入的担保合同</t>
        </is>
      </c>
    </row>
    <row r="9225">
      <c r="B9225" s="24" t="inlineStr">
        <is>
          <t>CreditLineView</t>
        </is>
      </c>
      <c r="C9225" s="24" t="inlineStr">
        <is>
          <t>授信额度树图</t>
        </is>
      </c>
      <c r="D9225" s="24" t="inlineStr">
        <is>
          <t>040030</t>
        </is>
      </c>
      <c r="E9225" s="24" t="inlineStr">
        <is>
          <t>新增的担保信息</t>
        </is>
      </c>
    </row>
    <row r="9226">
      <c r="B9226" s="24" t="inlineStr">
        <is>
          <t>CreditLineView</t>
        </is>
      </c>
      <c r="C9226" s="24" t="inlineStr">
        <is>
          <t>授信额度树图</t>
        </is>
      </c>
      <c r="D9226" s="24" t="inlineStr">
        <is>
          <t>040040</t>
        </is>
      </c>
      <c r="E9226" s="24" t="inlineStr">
        <is>
          <t>拟引入的担保合同</t>
        </is>
      </c>
    </row>
    <row r="9227">
      <c r="B9227" s="24" t="inlineStr">
        <is>
          <t>CreditLineView</t>
        </is>
      </c>
      <c r="C9227" s="24" t="inlineStr">
        <is>
          <t>授信额度树图</t>
        </is>
      </c>
      <c r="D9227" s="24" t="inlineStr">
        <is>
          <t>040050</t>
        </is>
      </c>
      <c r="E9227" s="24" t="inlineStr">
        <is>
          <t>一般担保合同</t>
        </is>
      </c>
    </row>
    <row r="9228">
      <c r="B9228" s="24" t="inlineStr">
        <is>
          <t>CreditLineView</t>
        </is>
      </c>
      <c r="C9228" s="24" t="inlineStr">
        <is>
          <t>授信额度树图</t>
        </is>
      </c>
      <c r="D9228" s="24" t="inlineStr">
        <is>
          <t>040060</t>
        </is>
      </c>
      <c r="E9228" s="24" t="inlineStr">
        <is>
          <t>最高额担保合同</t>
        </is>
      </c>
    </row>
    <row r="9229">
      <c r="B9229" s="24" t="inlineStr">
        <is>
          <t>CreditLineView</t>
        </is>
      </c>
      <c r="C9229" s="24" t="inlineStr">
        <is>
          <t>授信额度树图</t>
        </is>
      </c>
      <c r="D9229" s="24" t="inlineStr">
        <is>
          <t>070</t>
        </is>
      </c>
      <c r="E9229" s="24" t="inlineStr">
        <is>
          <t>业务文档信息</t>
        </is>
      </c>
    </row>
    <row r="9230">
      <c r="B9230" s="24" t="inlineStr">
        <is>
          <t>CreditLineView</t>
        </is>
      </c>
      <c r="C9230" s="24" t="inlineStr">
        <is>
          <t>授信额度树图</t>
        </is>
      </c>
      <c r="D9230" s="24" t="inlineStr">
        <is>
          <t>080</t>
        </is>
      </c>
      <c r="E9230" s="24" t="inlineStr">
        <is>
          <t>风险度评估</t>
        </is>
      </c>
    </row>
    <row r="9231">
      <c r="B9231" s="24" t="inlineStr">
        <is>
          <t>CreditLineView</t>
        </is>
      </c>
      <c r="C9231" s="24" t="inlineStr">
        <is>
          <t>授信额度树图</t>
        </is>
      </c>
      <c r="D9231" s="24" t="inlineStr">
        <is>
          <t>090</t>
        </is>
      </c>
      <c r="E9231" s="24" t="inlineStr">
        <is>
          <t>首笔申请信息</t>
        </is>
      </c>
    </row>
    <row r="9232" ht="15.95" customHeight="1" s="170">
      <c r="B9232" s="122" t="inlineStr">
        <is>
          <t>码值：HouseType</t>
        </is>
      </c>
    </row>
    <row r="9233">
      <c r="B9233" s="24" t="inlineStr">
        <is>
          <t>HouseType</t>
        </is>
      </c>
      <c r="C9233" s="24" t="inlineStr">
        <is>
          <t>房屋状况</t>
        </is>
      </c>
      <c r="D9233" s="24" t="inlineStr">
        <is>
          <t>HT01</t>
        </is>
      </c>
      <c r="E9233" s="24" t="inlineStr">
        <is>
          <t>高层</t>
        </is>
      </c>
    </row>
    <row r="9234">
      <c r="B9234" s="24" t="inlineStr">
        <is>
          <t>HouseType</t>
        </is>
      </c>
      <c r="C9234" s="24" t="inlineStr">
        <is>
          <t>房屋状况</t>
        </is>
      </c>
      <c r="D9234" s="24" t="inlineStr">
        <is>
          <t>HT02</t>
        </is>
      </c>
      <c r="E9234" s="24" t="inlineStr">
        <is>
          <t>低层(带电梯)</t>
        </is>
      </c>
    </row>
    <row r="9235">
      <c r="B9235" s="24" t="inlineStr">
        <is>
          <t>HouseType</t>
        </is>
      </c>
      <c r="C9235" s="24" t="inlineStr">
        <is>
          <t>房屋状况</t>
        </is>
      </c>
      <c r="D9235" s="24" t="inlineStr">
        <is>
          <t>HT03</t>
        </is>
      </c>
      <c r="E9235" s="24" t="inlineStr">
        <is>
          <t>低层</t>
        </is>
      </c>
    </row>
    <row r="9236">
      <c r="B9236" s="24" t="inlineStr">
        <is>
          <t>HouseType</t>
        </is>
      </c>
      <c r="C9236" s="24" t="inlineStr">
        <is>
          <t>房屋状况</t>
        </is>
      </c>
      <c r="D9236" s="24" t="inlineStr">
        <is>
          <t>HT04</t>
        </is>
      </c>
      <c r="E9236" s="24" t="inlineStr">
        <is>
          <t>别墅</t>
        </is>
      </c>
    </row>
    <row r="9237">
      <c r="B9237" s="24" t="inlineStr">
        <is>
          <t>HouseType</t>
        </is>
      </c>
      <c r="C9237" s="24" t="inlineStr">
        <is>
          <t>房屋状况</t>
        </is>
      </c>
      <c r="D9237" s="24" t="inlineStr">
        <is>
          <t>HT05</t>
        </is>
      </c>
      <c r="E9237" s="24" t="inlineStr">
        <is>
          <t>平房</t>
        </is>
      </c>
    </row>
    <row r="9238">
      <c r="B9238" s="24" t="inlineStr">
        <is>
          <t>HouseType</t>
        </is>
      </c>
      <c r="C9238" s="24" t="inlineStr">
        <is>
          <t>房屋状况</t>
        </is>
      </c>
      <c r="D9238" s="24" t="inlineStr">
        <is>
          <t>HT06</t>
        </is>
      </c>
      <c r="E9238" s="24" t="inlineStr">
        <is>
          <t>附属物</t>
        </is>
      </c>
    </row>
    <row r="9239">
      <c r="B9239" s="24" t="inlineStr">
        <is>
          <t>HouseType</t>
        </is>
      </c>
      <c r="C9239" s="24" t="inlineStr">
        <is>
          <t>房屋状况</t>
        </is>
      </c>
      <c r="D9239" s="24" t="inlineStr">
        <is>
          <t>HT07</t>
        </is>
      </c>
      <c r="E9239" s="24" t="inlineStr">
        <is>
          <t>其他</t>
        </is>
      </c>
    </row>
    <row r="9240" ht="15.95" customHeight="1" s="170">
      <c r="B9240" s="122" t="inlineStr">
        <is>
          <t>码值：InsuranceStatus</t>
        </is>
      </c>
    </row>
    <row r="9241">
      <c r="B9241" s="24" t="inlineStr">
        <is>
          <t>InsuranceStatus</t>
        </is>
      </c>
      <c r="C9241" s="24" t="inlineStr">
        <is>
          <t>保险状态</t>
        </is>
      </c>
      <c r="D9241" s="24" t="inlineStr">
        <is>
          <t>01</t>
        </is>
      </c>
      <c r="E9241" s="24" t="inlineStr">
        <is>
          <t>已办</t>
        </is>
      </c>
    </row>
    <row r="9242">
      <c r="B9242" s="24" t="inlineStr">
        <is>
          <t>InsuranceStatus</t>
        </is>
      </c>
      <c r="C9242" s="24" t="inlineStr">
        <is>
          <t>保险状态</t>
        </is>
      </c>
      <c r="D9242" s="24" t="inlineStr">
        <is>
          <t>02</t>
        </is>
      </c>
      <c r="E9242" s="24" t="inlineStr">
        <is>
          <t>未办</t>
        </is>
      </c>
    </row>
    <row r="9243" ht="15.95" customHeight="1" s="170">
      <c r="B9243" s="122" t="inlineStr">
        <is>
          <t>码值：NewGuarantyType</t>
        </is>
      </c>
    </row>
    <row r="9244">
      <c r="B9244" s="24" t="inlineStr">
        <is>
          <t>NewGuarantyType</t>
        </is>
      </c>
      <c r="C9244" s="24" t="inlineStr">
        <is>
          <t>新增类型</t>
        </is>
      </c>
      <c r="D9244" s="24" t="inlineStr">
        <is>
          <t>01</t>
        </is>
      </c>
      <c r="E9244" s="24" t="inlineStr">
        <is>
          <t>抵押</t>
        </is>
      </c>
    </row>
    <row r="9245">
      <c r="B9245" s="24" t="inlineStr">
        <is>
          <t>NewGuarantyType</t>
        </is>
      </c>
      <c r="C9245" s="24" t="inlineStr">
        <is>
          <t>新增类型</t>
        </is>
      </c>
      <c r="D9245" s="24" t="inlineStr">
        <is>
          <t>02</t>
        </is>
      </c>
      <c r="E9245" s="24" t="inlineStr">
        <is>
          <t>质押</t>
        </is>
      </c>
    </row>
    <row r="9246">
      <c r="B9246" s="24" t="inlineStr">
        <is>
          <t>NewGuarantyType</t>
        </is>
      </c>
      <c r="C9246" s="24" t="inlineStr">
        <is>
          <t>新增类型</t>
        </is>
      </c>
      <c r="D9246" s="24" t="inlineStr">
        <is>
          <t>03</t>
        </is>
      </c>
      <c r="E9246" s="24" t="inlineStr">
        <is>
          <t>保证</t>
        </is>
      </c>
    </row>
    <row r="9247" ht="15.95" customHeight="1" s="170">
      <c r="B9247" s="122" t="inlineStr">
        <is>
          <t>码值：人财供储销5个部门</t>
        </is>
      </c>
    </row>
    <row r="9248">
      <c r="B9248" s="24" t="inlineStr">
        <is>
          <t>人财供储销5个部门</t>
        </is>
      </c>
      <c r="C9248" s="24" t="inlineStr">
        <is>
          <t>人财供储销5个部门</t>
        </is>
      </c>
      <c r="D9248" s="24" t="inlineStr">
        <is>
          <t>1</t>
        </is>
      </c>
      <c r="E9248" s="24" t="inlineStr">
        <is>
          <t>5个部门齐全</t>
        </is>
      </c>
    </row>
    <row r="9249">
      <c r="B9249" s="24" t="inlineStr">
        <is>
          <t>人财供储销5个部门</t>
        </is>
      </c>
      <c r="C9249" s="24" t="inlineStr">
        <is>
          <t>人财供储销5个部门</t>
        </is>
      </c>
      <c r="D9249" s="24" t="inlineStr">
        <is>
          <t>2</t>
        </is>
      </c>
      <c r="E9249" s="24" t="inlineStr">
        <is>
          <t>2个至4个</t>
        </is>
      </c>
    </row>
    <row r="9250">
      <c r="B9250" s="24" t="inlineStr">
        <is>
          <t>人财供储销5个部门</t>
        </is>
      </c>
      <c r="C9250" s="24" t="inlineStr">
        <is>
          <t>人财供储销5个部门</t>
        </is>
      </c>
      <c r="D9250" s="24" t="inlineStr">
        <is>
          <t>3</t>
        </is>
      </c>
      <c r="E9250" s="24" t="inlineStr">
        <is>
          <t>2个以下</t>
        </is>
      </c>
    </row>
    <row r="9251" ht="15.95" customHeight="1" s="170">
      <c r="B9251" s="122" t="inlineStr">
        <is>
          <t>码值：DivideType</t>
        </is>
      </c>
    </row>
    <row r="9252">
      <c r="B9252" s="24" t="inlineStr">
        <is>
          <t>DivideType</t>
        </is>
      </c>
      <c r="C9252" s="24" t="inlineStr">
        <is>
          <t>额度分配类型</t>
        </is>
      </c>
      <c r="D9252" s="24" t="inlineStr">
        <is>
          <t>01</t>
        </is>
      </c>
      <c r="E9252" s="24" t="inlineStr">
        <is>
          <t>产品切分</t>
        </is>
      </c>
    </row>
    <row r="9253">
      <c r="B9253" s="24" t="inlineStr">
        <is>
          <t>DivideType</t>
        </is>
      </c>
      <c r="C9253" s="24" t="inlineStr">
        <is>
          <t>额度分配类型</t>
        </is>
      </c>
      <c r="D9253" s="24" t="inlineStr">
        <is>
          <t>02</t>
        </is>
      </c>
      <c r="E9253" s="24" t="inlineStr">
        <is>
          <t>机构切分</t>
        </is>
      </c>
    </row>
    <row r="9254">
      <c r="B9254" s="24" t="inlineStr">
        <is>
          <t>DivideType</t>
        </is>
      </c>
      <c r="C9254" s="24" t="inlineStr">
        <is>
          <t>额度分配类型</t>
        </is>
      </c>
      <c r="D9254" s="24" t="inlineStr">
        <is>
          <t>03</t>
        </is>
      </c>
      <c r="E9254" s="24" t="inlineStr">
        <is>
          <t>集团成员切分</t>
        </is>
      </c>
    </row>
    <row r="9255" ht="15.95" customHeight="1" s="170">
      <c r="B9255" s="122" t="inlineStr">
        <is>
          <t>码值：业绩和运营的稳定性</t>
        </is>
      </c>
    </row>
    <row r="9256">
      <c r="B9256" s="24" t="inlineStr">
        <is>
          <t>业绩和运营的稳定性</t>
        </is>
      </c>
      <c r="C9256" s="24" t="inlineStr">
        <is>
          <t>业绩和运营的稳定性</t>
        </is>
      </c>
      <c r="D9256" s="24" t="inlineStr">
        <is>
          <t>01</t>
        </is>
      </c>
      <c r="E9256" s="24" t="inlineStr">
        <is>
          <t>长期稳定的优秀业绩记录</t>
        </is>
      </c>
    </row>
    <row r="9257">
      <c r="B9257" s="24" t="inlineStr">
        <is>
          <t>业绩和运营的稳定性</t>
        </is>
      </c>
      <c r="C9257" s="24" t="inlineStr">
        <is>
          <t>业绩和运营的稳定性</t>
        </is>
      </c>
      <c r="D9257" s="24" t="inlineStr">
        <is>
          <t>02</t>
        </is>
      </c>
      <c r="E9257" s="24" t="inlineStr">
        <is>
          <t>长期稳定的良好业绩记录</t>
        </is>
      </c>
    </row>
    <row r="9258">
      <c r="B9258" s="24" t="inlineStr">
        <is>
          <t>业绩和运营的稳定性</t>
        </is>
      </c>
      <c r="C9258" s="24" t="inlineStr">
        <is>
          <t>业绩和运营的稳定性</t>
        </is>
      </c>
      <c r="D9258" s="24" t="inlineStr">
        <is>
          <t>03</t>
        </is>
      </c>
      <c r="E9258" s="24" t="inlineStr">
        <is>
          <t>有限的业绩记录，当前的业绩高于或持平于预期</t>
        </is>
      </c>
    </row>
    <row r="9259">
      <c r="B9259" s="24" t="inlineStr">
        <is>
          <t>业绩和运营的稳定性</t>
        </is>
      </c>
      <c r="C9259" s="24" t="inlineStr">
        <is>
          <t>业绩和运营的稳定性</t>
        </is>
      </c>
      <c r="D9259" s="24" t="inlineStr">
        <is>
          <t>04</t>
        </is>
      </c>
      <c r="E9259" s="24" t="inlineStr">
        <is>
          <t>业绩纪录不稳定且低于预期，业绩也会难以衡量，并缺乏历史数据</t>
        </is>
      </c>
    </row>
    <row r="9260">
      <c r="B9260" s="24" t="inlineStr">
        <is>
          <t>业绩和运营的稳定性</t>
        </is>
      </c>
      <c r="C9260" s="24" t="inlineStr">
        <is>
          <t>业绩和运营的稳定性</t>
        </is>
      </c>
      <c r="D9260" s="24" t="inlineStr">
        <is>
          <t>05</t>
        </is>
      </c>
      <c r="E9260" s="24" t="inlineStr">
        <is>
          <t>很少业绩记录，或业绩记录极不稳定，或有数据的质量问题</t>
        </is>
      </c>
    </row>
    <row r="9261">
      <c r="B9261" s="24" t="inlineStr">
        <is>
          <t>业绩和运营的稳定性</t>
        </is>
      </c>
      <c r="C9261" s="24" t="inlineStr">
        <is>
          <t>业绩和运营的稳定性</t>
        </is>
      </c>
      <c r="D9261" s="24" t="inlineStr">
        <is>
          <t>06</t>
        </is>
      </c>
      <c r="E9261" s="24" t="inlineStr">
        <is>
          <t>没有业绩记录或相关数据</t>
        </is>
      </c>
    </row>
    <row r="9262" ht="15.95" customHeight="1" s="170">
      <c r="B9262" s="122" t="inlineStr">
        <is>
          <t>码值：事业法人制度改革</t>
        </is>
      </c>
    </row>
    <row r="9263">
      <c r="B9263" s="24" t="inlineStr">
        <is>
          <t>事业法人制度改革</t>
        </is>
      </c>
      <c r="C9263" s="24" t="inlineStr">
        <is>
          <t>事业法人制度改革</t>
        </is>
      </c>
      <c r="D9263" s="24" t="inlineStr">
        <is>
          <t>01</t>
        </is>
      </c>
      <c r="E9263" s="24" t="inlineStr">
        <is>
          <t>建立了完善的事业法人制度，确立了非政府，非企业的独立事业主体，制定了社会公益事业的发展目标，拥有必要的权利和财产，独立承担相应的责任</t>
        </is>
      </c>
    </row>
    <row r="9264">
      <c r="B9264" s="24" t="inlineStr">
        <is>
          <t>事业法人制度改革</t>
        </is>
      </c>
      <c r="C9264" s="24" t="inlineStr">
        <is>
          <t>事业法人制度改革</t>
        </is>
      </c>
      <c r="D9264" s="24" t="inlineStr">
        <is>
          <t>02</t>
        </is>
      </c>
      <c r="E9264" s="24" t="inlineStr">
        <is>
          <t>基本建立了完善的事业法人制度，确立了非政府，非企业的独立事业主体，制定了社会公益事业的发展目标，但产权关系还不明晰，能独立承担相应的责任</t>
        </is>
      </c>
    </row>
    <row r="9265">
      <c r="B9265" s="24" t="inlineStr">
        <is>
          <t>事业法人制度改革</t>
        </is>
      </c>
      <c r="C9265" s="24" t="inlineStr">
        <is>
          <t>事业法人制度改革</t>
        </is>
      </c>
      <c r="D9265" s="24" t="inlineStr">
        <is>
          <t>03</t>
        </is>
      </c>
      <c r="E9265" s="24" t="inlineStr">
        <is>
          <t>正在进行事业法人制度改革，逐步确立非政府，非企业的独立事业主体，正在制定社会公益事业的发展目标，但产权关系还不明晰，不能独立承担相应的责任</t>
        </is>
      </c>
    </row>
    <row r="9266">
      <c r="B9266" s="24" t="inlineStr">
        <is>
          <t>事业法人制度改革</t>
        </is>
      </c>
      <c r="C9266" s="24" t="inlineStr">
        <is>
          <t>事业法人制度改革</t>
        </is>
      </c>
      <c r="D9266" s="24" t="inlineStr">
        <is>
          <t>04</t>
        </is>
      </c>
      <c r="E9266" s="24" t="inlineStr">
        <is>
          <t>未建立事业法人制度，依然沿用过去的行政制度，产权关系混乱，没有独立的权利和财产，不能独立承担相应的责任</t>
        </is>
      </c>
    </row>
    <row r="9267" ht="15.95" customHeight="1" s="170">
      <c r="B9267" s="122" t="inlineStr">
        <is>
          <t>码值：TaxAffairs</t>
        </is>
      </c>
    </row>
    <row r="9268">
      <c r="B9268" s="24" t="inlineStr">
        <is>
          <t>TaxAffairs</t>
        </is>
      </c>
      <c r="C9268" s="24" t="inlineStr">
        <is>
          <t>信用等级评估统一导入</t>
        </is>
      </c>
      <c r="D9268" s="24" t="inlineStr">
        <is>
          <t>01</t>
        </is>
      </c>
      <c r="E9268" s="24" t="inlineStr">
        <is>
          <t>无纳税</t>
        </is>
      </c>
    </row>
    <row r="9269">
      <c r="B9269" s="24" t="inlineStr">
        <is>
          <t>TaxAffairs</t>
        </is>
      </c>
      <c r="C9269" s="24" t="inlineStr">
        <is>
          <t>信用等级评估统一导入</t>
        </is>
      </c>
      <c r="D9269" s="24" t="inlineStr">
        <is>
          <t>02</t>
        </is>
      </c>
      <c r="E9269" s="24" t="inlineStr">
        <is>
          <t>按时足额纳税</t>
        </is>
      </c>
    </row>
    <row r="9270">
      <c r="B9270" s="24" t="inlineStr">
        <is>
          <t>TaxAffairs</t>
        </is>
      </c>
      <c r="C9270" s="24" t="inlineStr">
        <is>
          <t>信用等级评估统一导入</t>
        </is>
      </c>
      <c r="D9270" s="24" t="inlineStr">
        <is>
          <t>03</t>
        </is>
      </c>
      <c r="E9270" s="24" t="inlineStr">
        <is>
          <t>有应纳未纳税款</t>
        </is>
      </c>
    </row>
    <row r="9271" ht="15.95" customHeight="1" s="170">
      <c r="B9271" s="122" t="inlineStr">
        <is>
          <t>码值：GagaType</t>
        </is>
      </c>
    </row>
    <row r="9272">
      <c r="B9272" s="24" t="inlineStr">
        <is>
          <t>GagaType</t>
        </is>
      </c>
      <c r="C9272" s="24" t="inlineStr">
        <is>
          <t>担保房产类型</t>
        </is>
      </c>
      <c r="D9272" s="24" t="inlineStr">
        <is>
          <t>01</t>
        </is>
      </c>
      <c r="E9272" s="24" t="inlineStr">
        <is>
          <t>住宅</t>
        </is>
      </c>
    </row>
    <row r="9273">
      <c r="B9273" s="24" t="inlineStr">
        <is>
          <t>GagaType</t>
        </is>
      </c>
      <c r="C9273" s="24" t="inlineStr">
        <is>
          <t>担保房产类型</t>
        </is>
      </c>
      <c r="D9273" s="24" t="inlineStr">
        <is>
          <t>02</t>
        </is>
      </c>
      <c r="E9273" s="24" t="inlineStr">
        <is>
          <t>商住</t>
        </is>
      </c>
    </row>
    <row r="9274">
      <c r="B9274" s="24" t="inlineStr">
        <is>
          <t>GagaType</t>
        </is>
      </c>
      <c r="C9274" s="24" t="inlineStr">
        <is>
          <t>担保房产类型</t>
        </is>
      </c>
      <c r="D9274" s="24" t="inlineStr">
        <is>
          <t>03</t>
        </is>
      </c>
      <c r="E9274" s="24" t="inlineStr">
        <is>
          <t>写字楼</t>
        </is>
      </c>
    </row>
    <row r="9275">
      <c r="B9275" s="24" t="inlineStr">
        <is>
          <t>GagaType</t>
        </is>
      </c>
      <c r="C9275" s="24" t="inlineStr">
        <is>
          <t>担保房产类型</t>
        </is>
      </c>
      <c r="D9275" s="24" t="inlineStr">
        <is>
          <t>04</t>
        </is>
      </c>
      <c r="E9275" s="24" t="inlineStr">
        <is>
          <t>商铺</t>
        </is>
      </c>
    </row>
    <row r="9276">
      <c r="B9276" s="24" t="inlineStr">
        <is>
          <t>GagaType</t>
        </is>
      </c>
      <c r="C9276" s="24" t="inlineStr">
        <is>
          <t>担保房产类型</t>
        </is>
      </c>
      <c r="D9276" s="24" t="inlineStr">
        <is>
          <t>05</t>
        </is>
      </c>
      <c r="E9276" s="24" t="inlineStr">
        <is>
          <t>车库</t>
        </is>
      </c>
    </row>
    <row r="9277">
      <c r="B9277" s="24" t="inlineStr">
        <is>
          <t>GagaType</t>
        </is>
      </c>
      <c r="C9277" s="24" t="inlineStr">
        <is>
          <t>担保房产类型</t>
        </is>
      </c>
      <c r="D9277" s="24" t="inlineStr">
        <is>
          <t>06</t>
        </is>
      </c>
      <c r="E9277" s="24" t="inlineStr">
        <is>
          <t>厂房</t>
        </is>
      </c>
    </row>
    <row r="9278">
      <c r="B9278" s="24" t="inlineStr">
        <is>
          <t>GagaType</t>
        </is>
      </c>
      <c r="C9278" s="24" t="inlineStr">
        <is>
          <t>担保房产类型</t>
        </is>
      </c>
      <c r="D9278" s="24" t="inlineStr">
        <is>
          <t>07</t>
        </is>
      </c>
      <c r="E9278" s="24" t="inlineStr">
        <is>
          <t>其它</t>
        </is>
      </c>
    </row>
    <row r="9279" ht="15.95" customHeight="1" s="170">
      <c r="B9279" s="122" t="inlineStr">
        <is>
          <t>码值：HKBPlatformTask</t>
        </is>
      </c>
    </row>
    <row r="9280">
      <c r="B9280" s="24" t="inlineStr">
        <is>
          <t>HKBPlatformTask</t>
        </is>
      </c>
      <c r="C9280" s="24" t="inlineStr">
        <is>
          <t>待办事项树图</t>
        </is>
      </c>
      <c r="D9280" s="24" t="inlineStr">
        <is>
          <t>010010</t>
        </is>
      </c>
      <c r="E9280" s="24" t="inlineStr">
        <is>
          <t>产品申请</t>
        </is>
      </c>
    </row>
    <row r="9281">
      <c r="B9281" s="24" t="inlineStr">
        <is>
          <t>HKBPlatformTask</t>
        </is>
      </c>
      <c r="C9281" s="24" t="inlineStr">
        <is>
          <t>待办事项树图</t>
        </is>
      </c>
      <c r="D9281" s="24" t="inlineStr">
        <is>
          <t>010020</t>
        </is>
      </c>
      <c r="E9281" s="24" t="inlineStr">
        <is>
          <t>产品审核</t>
        </is>
      </c>
    </row>
    <row r="9282">
      <c r="B9282" s="24" t="inlineStr">
        <is>
          <t>HKBPlatformTask</t>
        </is>
      </c>
      <c r="C9282" s="24" t="inlineStr">
        <is>
          <t>待办事项树图</t>
        </is>
      </c>
      <c r="D9282" s="24" t="inlineStr">
        <is>
          <t>020010</t>
        </is>
      </c>
      <c r="E9282" s="24" t="inlineStr">
        <is>
          <t>合作方准入申请待办任务</t>
        </is>
      </c>
    </row>
    <row r="9283">
      <c r="B9283" s="24" t="inlineStr">
        <is>
          <t>HKBPlatformTask</t>
        </is>
      </c>
      <c r="C9283" s="24" t="inlineStr">
        <is>
          <t>待办事项树图</t>
        </is>
      </c>
      <c r="D9283" s="24" t="inlineStr">
        <is>
          <t>020020</t>
        </is>
      </c>
      <c r="E9283" s="24" t="inlineStr">
        <is>
          <t>合作方准入审批待办任务</t>
        </is>
      </c>
    </row>
    <row r="9284">
      <c r="B9284" s="24" t="inlineStr">
        <is>
          <t>HKBPlatformTask</t>
        </is>
      </c>
      <c r="C9284" s="24" t="inlineStr">
        <is>
          <t>待办事项树图</t>
        </is>
      </c>
      <c r="D9284" s="24" t="inlineStr">
        <is>
          <t>020030</t>
        </is>
      </c>
      <c r="E9284" s="24" t="inlineStr">
        <is>
          <t>合作项目申请待办任务</t>
        </is>
      </c>
    </row>
    <row r="9285">
      <c r="B9285" s="24" t="inlineStr">
        <is>
          <t>HKBPlatformTask</t>
        </is>
      </c>
      <c r="C9285" s="24" t="inlineStr">
        <is>
          <t>待办事项树图</t>
        </is>
      </c>
      <c r="D9285" s="24" t="inlineStr">
        <is>
          <t>020040</t>
        </is>
      </c>
      <c r="E9285" s="24" t="inlineStr">
        <is>
          <t>合作项目审批待办任务</t>
        </is>
      </c>
    </row>
    <row r="9286">
      <c r="B9286" s="24" t="inlineStr">
        <is>
          <t>HKBPlatformTask</t>
        </is>
      </c>
      <c r="C9286" s="24" t="inlineStr">
        <is>
          <t>待办事项树图</t>
        </is>
      </c>
      <c r="D9286" s="24" t="inlineStr">
        <is>
          <t>020050</t>
        </is>
      </c>
      <c r="E9286" s="24" t="inlineStr">
        <is>
          <t>合作项目变更申请待办任务</t>
        </is>
      </c>
    </row>
    <row r="9287">
      <c r="B9287" s="24" t="inlineStr">
        <is>
          <t>HKBPlatformTask</t>
        </is>
      </c>
      <c r="C9287" s="24" t="inlineStr">
        <is>
          <t>待办事项树图</t>
        </is>
      </c>
      <c r="D9287" s="24" t="inlineStr">
        <is>
          <t>020060</t>
        </is>
      </c>
      <c r="E9287" s="24" t="inlineStr">
        <is>
          <t>合作项目变更审批待办任务</t>
        </is>
      </c>
    </row>
    <row r="9288">
      <c r="B9288" s="24" t="inlineStr">
        <is>
          <t>HKBPlatformTask</t>
        </is>
      </c>
      <c r="C9288" s="24" t="inlineStr">
        <is>
          <t>待办事项树图</t>
        </is>
      </c>
      <c r="D9288" s="24" t="inlineStr">
        <is>
          <t>030010</t>
        </is>
      </c>
      <c r="E9288" s="24" t="inlineStr">
        <is>
          <t>企业规模认定申请待办</t>
        </is>
      </c>
    </row>
    <row r="9289">
      <c r="B9289" s="24" t="inlineStr">
        <is>
          <t>HKBPlatformTask</t>
        </is>
      </c>
      <c r="C9289" s="24" t="inlineStr">
        <is>
          <t>待办事项树图</t>
        </is>
      </c>
      <c r="D9289" s="24" t="inlineStr">
        <is>
          <t>030020</t>
        </is>
      </c>
      <c r="E9289" s="24" t="inlineStr">
        <is>
          <t>企业规模认定审批待办</t>
        </is>
      </c>
    </row>
    <row r="9290">
      <c r="B9290" s="24" t="inlineStr">
        <is>
          <t>HKBPlatformTask</t>
        </is>
      </c>
      <c r="C9290" s="24" t="inlineStr">
        <is>
          <t>待办事项树图</t>
        </is>
      </c>
      <c r="D9290" s="24" t="inlineStr">
        <is>
          <t>040010</t>
        </is>
      </c>
      <c r="E9290" s="24" t="inlineStr">
        <is>
          <t>信用等级评估申请待办任务</t>
        </is>
      </c>
    </row>
    <row r="9291">
      <c r="B9291" s="24" t="inlineStr">
        <is>
          <t>HKBPlatformTask</t>
        </is>
      </c>
      <c r="C9291" s="24" t="inlineStr">
        <is>
          <t>待办事项树图</t>
        </is>
      </c>
      <c r="D9291" s="24" t="inlineStr">
        <is>
          <t>040020</t>
        </is>
      </c>
      <c r="E9291" s="24" t="inlineStr">
        <is>
          <t>信用等级评估审批待办任务</t>
        </is>
      </c>
    </row>
    <row r="9292">
      <c r="B9292" s="24" t="inlineStr">
        <is>
          <t>HKBPlatformTask</t>
        </is>
      </c>
      <c r="C9292" s="24" t="inlineStr">
        <is>
          <t>待办事项树图</t>
        </is>
      </c>
      <c r="D9292" s="24" t="inlineStr">
        <is>
          <t>050010</t>
        </is>
      </c>
      <c r="E9292" s="24" t="inlineStr">
        <is>
          <t>大中单一授信待办任务</t>
        </is>
      </c>
    </row>
    <row r="9293">
      <c r="B9293" s="24" t="inlineStr">
        <is>
          <t>HKBPlatformTask</t>
        </is>
      </c>
      <c r="C9293" s="24" t="inlineStr">
        <is>
          <t>待办事项树图</t>
        </is>
      </c>
      <c r="D9293" s="24" t="inlineStr">
        <is>
          <t>050020</t>
        </is>
      </c>
      <c r="E9293" s="24" t="inlineStr">
        <is>
          <t>大中额度项下待办任务</t>
        </is>
      </c>
    </row>
    <row r="9294">
      <c r="B9294" s="24" t="inlineStr">
        <is>
          <t>HKBPlatformTask</t>
        </is>
      </c>
      <c r="C9294" s="24" t="inlineStr">
        <is>
          <t>待办事项树图</t>
        </is>
      </c>
      <c r="D9294" s="24" t="inlineStr">
        <is>
          <t>050030</t>
        </is>
      </c>
      <c r="E9294" s="24" t="inlineStr">
        <is>
          <t>大中单笔授信待办任务</t>
        </is>
      </c>
    </row>
    <row r="9295">
      <c r="B9295" s="24" t="inlineStr">
        <is>
          <t>HKBPlatformTask</t>
        </is>
      </c>
      <c r="C9295" s="24" t="inlineStr">
        <is>
          <t>待办事项树图</t>
        </is>
      </c>
      <c r="D9295" s="24" t="inlineStr">
        <is>
          <t>050040</t>
        </is>
      </c>
      <c r="E9295" s="24" t="inlineStr">
        <is>
          <t>大中集团授信待办任务</t>
        </is>
      </c>
    </row>
    <row r="9296">
      <c r="B9296" s="24" t="inlineStr">
        <is>
          <t>HKBPlatformTask</t>
        </is>
      </c>
      <c r="C9296" s="24" t="inlineStr">
        <is>
          <t>待办事项树图</t>
        </is>
      </c>
      <c r="D9296" s="24" t="inlineStr">
        <is>
          <t>050050</t>
        </is>
      </c>
      <c r="E9296" s="24" t="inlineStr">
        <is>
          <t>个人单笔授信待办任务</t>
        </is>
      </c>
    </row>
    <row r="9297">
      <c r="B9297" s="24" t="inlineStr">
        <is>
          <t>HKBPlatformTask</t>
        </is>
      </c>
      <c r="C9297" s="24" t="inlineStr">
        <is>
          <t>待办事项树图</t>
        </is>
      </c>
      <c r="D9297" s="24" t="inlineStr">
        <is>
          <t>050060</t>
        </is>
      </c>
      <c r="E9297" s="24" t="inlineStr">
        <is>
          <t>个人授信额度待办任务</t>
        </is>
      </c>
    </row>
    <row r="9298">
      <c r="B9298" s="24" t="inlineStr">
        <is>
          <t>HKBPlatformTask</t>
        </is>
      </c>
      <c r="C9298" s="24" t="inlineStr">
        <is>
          <t>待办事项树图</t>
        </is>
      </c>
      <c r="D9298" s="24" t="inlineStr">
        <is>
          <t>050070</t>
        </is>
      </c>
      <c r="E9298" s="24" t="inlineStr">
        <is>
          <t>个人额度项下待办任务</t>
        </is>
      </c>
    </row>
    <row r="9299">
      <c r="B9299" s="24" t="inlineStr">
        <is>
          <t>HKBPlatformTask</t>
        </is>
      </c>
      <c r="C9299" s="24" t="inlineStr">
        <is>
          <t>待办事项树图</t>
        </is>
      </c>
      <c r="D9299" s="24" t="inlineStr">
        <is>
          <t>050080</t>
        </is>
      </c>
      <c r="E9299" s="24" t="inlineStr">
        <is>
          <t>同业单一授信申请待办任务</t>
        </is>
      </c>
    </row>
    <row r="9300">
      <c r="B9300" s="24" t="inlineStr">
        <is>
          <t>HKBPlatformTask</t>
        </is>
      </c>
      <c r="C9300" s="24" t="inlineStr">
        <is>
          <t>待办事项树图</t>
        </is>
      </c>
      <c r="D9300" s="24" t="inlineStr">
        <is>
          <t>050090</t>
        </is>
      </c>
      <c r="E9300" s="24" t="inlineStr">
        <is>
          <t>同业批量授信申请待办任务</t>
        </is>
      </c>
    </row>
    <row r="9301">
      <c r="B9301" s="24" t="inlineStr">
        <is>
          <t>HKBPlatformTask</t>
        </is>
      </c>
      <c r="C9301" s="24" t="inlineStr">
        <is>
          <t>待办事项树图</t>
        </is>
      </c>
      <c r="D9301" s="24" t="inlineStr">
        <is>
          <t>050100</t>
        </is>
      </c>
      <c r="E9301" s="24" t="inlineStr">
        <is>
          <t>小微单一授信待办任务</t>
        </is>
      </c>
    </row>
    <row r="9302">
      <c r="B9302" s="24" t="inlineStr">
        <is>
          <t>HKBPlatformTask</t>
        </is>
      </c>
      <c r="C9302" s="24" t="inlineStr">
        <is>
          <t>待办事项树图</t>
        </is>
      </c>
      <c r="D9302" s="24" t="inlineStr">
        <is>
          <t>050110</t>
        </is>
      </c>
      <c r="E9302" s="24" t="inlineStr">
        <is>
          <t>小微单笔授信待办任务</t>
        </is>
      </c>
    </row>
    <row r="9303">
      <c r="B9303" s="24" t="inlineStr">
        <is>
          <t>HKBPlatformTask</t>
        </is>
      </c>
      <c r="C9303" s="24" t="inlineStr">
        <is>
          <t>待办事项树图</t>
        </is>
      </c>
      <c r="D9303" s="24" t="inlineStr">
        <is>
          <t>050120</t>
        </is>
      </c>
      <c r="E9303" s="24" t="inlineStr">
        <is>
          <t>小微额度项下待办任务</t>
        </is>
      </c>
    </row>
    <row r="9304">
      <c r="B9304" s="24" t="inlineStr">
        <is>
          <t>HKBPlatformTask</t>
        </is>
      </c>
      <c r="C9304" s="24" t="inlineStr">
        <is>
          <t>待办事项树图</t>
        </is>
      </c>
      <c r="D9304" s="24" t="inlineStr">
        <is>
          <t>050130</t>
        </is>
      </c>
      <c r="E9304" s="24" t="inlineStr">
        <is>
          <t>大中单一授信审批待办任务</t>
        </is>
      </c>
    </row>
    <row r="9305">
      <c r="B9305" s="24" t="inlineStr">
        <is>
          <t>HKBPlatformTask</t>
        </is>
      </c>
      <c r="C9305" s="24" t="inlineStr">
        <is>
          <t>待办事项树图</t>
        </is>
      </c>
      <c r="D9305" s="24" t="inlineStr">
        <is>
          <t>050140</t>
        </is>
      </c>
      <c r="E9305" s="24" t="inlineStr">
        <is>
          <t>大中额度项下审批待办任务</t>
        </is>
      </c>
    </row>
    <row r="9306">
      <c r="B9306" s="24" t="inlineStr">
        <is>
          <t>HKBPlatformTask</t>
        </is>
      </c>
      <c r="C9306" s="24" t="inlineStr">
        <is>
          <t>待办事项树图</t>
        </is>
      </c>
      <c r="D9306" s="24" t="inlineStr">
        <is>
          <t>050150</t>
        </is>
      </c>
      <c r="E9306" s="24" t="inlineStr">
        <is>
          <t>大中单笔授信审批待办任务</t>
        </is>
      </c>
    </row>
    <row r="9307">
      <c r="B9307" s="24" t="inlineStr">
        <is>
          <t>HKBPlatformTask</t>
        </is>
      </c>
      <c r="C9307" s="24" t="inlineStr">
        <is>
          <t>待办事项树图</t>
        </is>
      </c>
      <c r="D9307" s="24" t="inlineStr">
        <is>
          <t>050160</t>
        </is>
      </c>
      <c r="E9307" s="24" t="inlineStr">
        <is>
          <t>大中集团授信审批待办任务</t>
        </is>
      </c>
    </row>
    <row r="9308">
      <c r="B9308" s="24" t="inlineStr">
        <is>
          <t>HKBPlatformTask</t>
        </is>
      </c>
      <c r="C9308" s="24" t="inlineStr">
        <is>
          <t>待办事项树图</t>
        </is>
      </c>
      <c r="D9308" s="24" t="inlineStr">
        <is>
          <t>050170</t>
        </is>
      </c>
      <c r="E9308" s="24" t="inlineStr">
        <is>
          <t>个人单笔授信审批待办任务</t>
        </is>
      </c>
    </row>
    <row r="9309">
      <c r="B9309" s="24" t="inlineStr">
        <is>
          <t>HKBPlatformTask</t>
        </is>
      </c>
      <c r="C9309" s="24" t="inlineStr">
        <is>
          <t>待办事项树图</t>
        </is>
      </c>
      <c r="D9309" s="24" t="inlineStr">
        <is>
          <t>050180</t>
        </is>
      </c>
      <c r="E9309" s="24" t="inlineStr">
        <is>
          <t>个人授信额度审批待办任务</t>
        </is>
      </c>
    </row>
    <row r="9310">
      <c r="B9310" s="24" t="inlineStr">
        <is>
          <t>HKBPlatformTask</t>
        </is>
      </c>
      <c r="C9310" s="24" t="inlineStr">
        <is>
          <t>待办事项树图</t>
        </is>
      </c>
      <c r="D9310" s="24" t="inlineStr">
        <is>
          <t>050190</t>
        </is>
      </c>
      <c r="E9310" s="24" t="inlineStr">
        <is>
          <t>个人额度项下审批待办任务</t>
        </is>
      </c>
    </row>
    <row r="9311">
      <c r="B9311" s="24" t="inlineStr">
        <is>
          <t>HKBPlatformTask</t>
        </is>
      </c>
      <c r="C9311" s="24" t="inlineStr">
        <is>
          <t>待办事项树图</t>
        </is>
      </c>
      <c r="D9311" s="24" t="inlineStr">
        <is>
          <t>050200</t>
        </is>
      </c>
      <c r="E9311" s="24" t="inlineStr">
        <is>
          <t>小微单一授信审批待办任务</t>
        </is>
      </c>
    </row>
    <row r="9312">
      <c r="B9312" s="24" t="inlineStr">
        <is>
          <t>HKBPlatformTask</t>
        </is>
      </c>
      <c r="C9312" s="24" t="inlineStr">
        <is>
          <t>待办事项树图</t>
        </is>
      </c>
      <c r="D9312" s="24" t="inlineStr">
        <is>
          <t>050210</t>
        </is>
      </c>
      <c r="E9312" s="24" t="inlineStr">
        <is>
          <t>小微单笔授信审批待办任务</t>
        </is>
      </c>
    </row>
    <row r="9313">
      <c r="B9313" s="24" t="inlineStr">
        <is>
          <t>HKBPlatformTask</t>
        </is>
      </c>
      <c r="C9313" s="24" t="inlineStr">
        <is>
          <t>待办事项树图</t>
        </is>
      </c>
      <c r="D9313" s="24" t="inlineStr">
        <is>
          <t>050220</t>
        </is>
      </c>
      <c r="E9313" s="24" t="inlineStr">
        <is>
          <t>同业单一授信审批待办任务</t>
        </is>
      </c>
    </row>
    <row r="9314">
      <c r="B9314" s="24" t="inlineStr">
        <is>
          <t>HKBPlatformTask</t>
        </is>
      </c>
      <c r="C9314" s="24" t="inlineStr">
        <is>
          <t>待办事项树图</t>
        </is>
      </c>
      <c r="D9314" s="24" t="inlineStr">
        <is>
          <t>050230</t>
        </is>
      </c>
      <c r="E9314" s="24" t="inlineStr">
        <is>
          <t>同业批量授信审批待办任务</t>
        </is>
      </c>
    </row>
    <row r="9315">
      <c r="B9315" s="24" t="inlineStr">
        <is>
          <t>HKBPlatformTask</t>
        </is>
      </c>
      <c r="C9315" s="24" t="inlineStr">
        <is>
          <t>待办事项树图</t>
        </is>
      </c>
      <c r="D9315" s="24" t="inlineStr">
        <is>
          <t>050240</t>
        </is>
      </c>
      <c r="E9315" s="24" t="inlineStr">
        <is>
          <t>小微额度项下审批待办任务</t>
        </is>
      </c>
    </row>
    <row r="9316">
      <c r="B9316" s="24" t="inlineStr">
        <is>
          <t>HKBPlatformTask</t>
        </is>
      </c>
      <c r="C9316" s="24" t="inlineStr">
        <is>
          <t>待办事项树图</t>
        </is>
      </c>
      <c r="D9316" s="24" t="inlineStr">
        <is>
          <t>050250</t>
        </is>
      </c>
      <c r="E9316" s="24" t="inlineStr">
        <is>
          <t>同业单一授信批复待办任务</t>
        </is>
      </c>
    </row>
    <row r="9317">
      <c r="B9317" s="24" t="inlineStr">
        <is>
          <t>HKBPlatformTask</t>
        </is>
      </c>
      <c r="C9317" s="24" t="inlineStr">
        <is>
          <t>待办事项树图</t>
        </is>
      </c>
      <c r="D9317" s="24" t="inlineStr">
        <is>
          <t>050260</t>
        </is>
      </c>
      <c r="E9317" s="24" t="inlineStr">
        <is>
          <t>同业批量授信批复待办任务</t>
        </is>
      </c>
    </row>
    <row r="9318">
      <c r="B9318" s="24" t="inlineStr">
        <is>
          <t>HKBPlatformTask</t>
        </is>
      </c>
      <c r="C9318" s="24" t="inlineStr">
        <is>
          <t>待办事项树图</t>
        </is>
      </c>
      <c r="D9318" s="24" t="inlineStr">
        <is>
          <t>050270</t>
        </is>
      </c>
      <c r="E9318" s="24" t="inlineStr">
        <is>
          <t>个人单笔授信批复待办任务</t>
        </is>
      </c>
    </row>
    <row r="9319">
      <c r="B9319" s="24" t="inlineStr">
        <is>
          <t>HKBPlatformTask</t>
        </is>
      </c>
      <c r="C9319" s="24" t="inlineStr">
        <is>
          <t>待办事项树图</t>
        </is>
      </c>
      <c r="D9319" s="24" t="inlineStr">
        <is>
          <t>050280</t>
        </is>
      </c>
      <c r="E9319" s="24" t="inlineStr">
        <is>
          <t>个人授信额度批复待办任务</t>
        </is>
      </c>
    </row>
    <row r="9320">
      <c r="B9320" s="24" t="inlineStr">
        <is>
          <t>HKBPlatformTask</t>
        </is>
      </c>
      <c r="C9320" s="24" t="inlineStr">
        <is>
          <t>待办事项树图</t>
        </is>
      </c>
      <c r="D9320" s="24" t="inlineStr">
        <is>
          <t>050290</t>
        </is>
      </c>
      <c r="E9320" s="24" t="inlineStr">
        <is>
          <t>个人额度项下批复待办任务</t>
        </is>
      </c>
    </row>
    <row r="9321">
      <c r="B9321" s="24" t="inlineStr">
        <is>
          <t>HKBPlatformTask</t>
        </is>
      </c>
      <c r="C9321" s="24" t="inlineStr">
        <is>
          <t>待办事项树图</t>
        </is>
      </c>
      <c r="D9321" s="24" t="inlineStr">
        <is>
          <t>050300</t>
        </is>
      </c>
      <c r="E9321" s="24" t="inlineStr">
        <is>
          <t>个人单笔授信批复复核待办任务</t>
        </is>
      </c>
    </row>
    <row r="9322">
      <c r="B9322" s="24" t="inlineStr">
        <is>
          <t>HKBPlatformTask</t>
        </is>
      </c>
      <c r="C9322" s="24" t="inlineStr">
        <is>
          <t>待办事项树图</t>
        </is>
      </c>
      <c r="D9322" s="24" t="inlineStr">
        <is>
          <t>050310</t>
        </is>
      </c>
      <c r="E9322" s="24" t="inlineStr">
        <is>
          <t>个人授信额度批复复核待办任务</t>
        </is>
      </c>
    </row>
    <row r="9323">
      <c r="B9323" s="24" t="inlineStr">
        <is>
          <t>HKBPlatformTask</t>
        </is>
      </c>
      <c r="C9323" s="24" t="inlineStr">
        <is>
          <t>待办事项树图</t>
        </is>
      </c>
      <c r="D9323" s="24" t="inlineStr">
        <is>
          <t>050320</t>
        </is>
      </c>
      <c r="E9323" s="24" t="inlineStr">
        <is>
          <t>个人额度项下批复复核待办任务</t>
        </is>
      </c>
    </row>
    <row r="9324">
      <c r="B9324" s="24" t="inlineStr">
        <is>
          <t>HKBPlatformTask</t>
        </is>
      </c>
      <c r="C9324" s="24" t="inlineStr">
        <is>
          <t>待办事项树图</t>
        </is>
      </c>
      <c r="D9324" s="24" t="inlineStr">
        <is>
          <t>050330</t>
        </is>
      </c>
      <c r="E9324" s="24" t="inlineStr">
        <is>
          <t>大中单一批复待办任务</t>
        </is>
      </c>
    </row>
    <row r="9325">
      <c r="B9325" s="24" t="inlineStr">
        <is>
          <t>HKBPlatformTask</t>
        </is>
      </c>
      <c r="C9325" s="24" t="inlineStr">
        <is>
          <t>待办事项树图</t>
        </is>
      </c>
      <c r="D9325" s="24" t="inlineStr">
        <is>
          <t>050340</t>
        </is>
      </c>
      <c r="E9325" s="24" t="inlineStr">
        <is>
          <t>大中额度项下批复待办任务</t>
        </is>
      </c>
    </row>
    <row r="9326">
      <c r="B9326" s="24" t="inlineStr">
        <is>
          <t>HKBPlatformTask</t>
        </is>
      </c>
      <c r="C9326" s="24" t="inlineStr">
        <is>
          <t>待办事项树图</t>
        </is>
      </c>
      <c r="D9326" s="24" t="inlineStr">
        <is>
          <t>050350</t>
        </is>
      </c>
      <c r="E9326" s="24" t="inlineStr">
        <is>
          <t>大中单笔批复待办任务</t>
        </is>
      </c>
    </row>
    <row r="9327">
      <c r="B9327" s="24" t="inlineStr">
        <is>
          <t>HKBPlatformTask</t>
        </is>
      </c>
      <c r="C9327" s="24" t="inlineStr">
        <is>
          <t>待办事项树图</t>
        </is>
      </c>
      <c r="D9327" s="24" t="inlineStr">
        <is>
          <t>050360</t>
        </is>
      </c>
      <c r="E9327" s="24" t="inlineStr">
        <is>
          <t>大中集团批复待办任务</t>
        </is>
      </c>
    </row>
    <row r="9328">
      <c r="B9328" s="24" t="inlineStr">
        <is>
          <t>HKBPlatformTask</t>
        </is>
      </c>
      <c r="C9328" s="24" t="inlineStr">
        <is>
          <t>待办事项树图</t>
        </is>
      </c>
      <c r="D9328" s="24" t="inlineStr">
        <is>
          <t>050370</t>
        </is>
      </c>
      <c r="E9328" s="24" t="inlineStr">
        <is>
          <t>大中单一批复复核待办任务</t>
        </is>
      </c>
    </row>
    <row r="9329">
      <c r="B9329" s="24" t="inlineStr">
        <is>
          <t>HKBPlatformTask</t>
        </is>
      </c>
      <c r="C9329" s="24" t="inlineStr">
        <is>
          <t>待办事项树图</t>
        </is>
      </c>
      <c r="D9329" s="24" t="inlineStr">
        <is>
          <t>050380</t>
        </is>
      </c>
      <c r="E9329" s="24" t="inlineStr">
        <is>
          <t>大中额度项下批复复核待办任务</t>
        </is>
      </c>
    </row>
    <row r="9330">
      <c r="B9330" s="24" t="inlineStr">
        <is>
          <t>HKBPlatformTask</t>
        </is>
      </c>
      <c r="C9330" s="24" t="inlineStr">
        <is>
          <t>待办事项树图</t>
        </is>
      </c>
      <c r="D9330" s="24" t="inlineStr">
        <is>
          <t>050390</t>
        </is>
      </c>
      <c r="E9330" s="24" t="inlineStr">
        <is>
          <t>大中单笔批复复核待办任务</t>
        </is>
      </c>
    </row>
    <row r="9331">
      <c r="B9331" s="24" t="inlineStr">
        <is>
          <t>HKBPlatformTask</t>
        </is>
      </c>
      <c r="C9331" s="24" t="inlineStr">
        <is>
          <t>待办事项树图</t>
        </is>
      </c>
      <c r="D9331" s="24" t="inlineStr">
        <is>
          <t>050400</t>
        </is>
      </c>
      <c r="E9331" s="24" t="inlineStr">
        <is>
          <t>大中集团批复复核待办任务</t>
        </is>
      </c>
    </row>
    <row r="9332">
      <c r="B9332" s="24" t="inlineStr">
        <is>
          <t>HKBPlatformTask</t>
        </is>
      </c>
      <c r="C9332" s="24" t="inlineStr">
        <is>
          <t>待办事项树图</t>
        </is>
      </c>
      <c r="D9332" s="24" t="inlineStr">
        <is>
          <t>050410</t>
        </is>
      </c>
      <c r="E9332" s="24" t="inlineStr">
        <is>
          <t>同业单一授信批复复核待办任务</t>
        </is>
      </c>
    </row>
    <row r="9333">
      <c r="B9333" s="24" t="inlineStr">
        <is>
          <t>HKBPlatformTask</t>
        </is>
      </c>
      <c r="C9333" s="24" t="inlineStr">
        <is>
          <t>待办事项树图</t>
        </is>
      </c>
      <c r="D9333" s="24" t="inlineStr">
        <is>
          <t>050420</t>
        </is>
      </c>
      <c r="E9333" s="24" t="inlineStr">
        <is>
          <t>同业批量授信批复复核待办任务</t>
        </is>
      </c>
    </row>
    <row r="9334">
      <c r="B9334" s="24" t="inlineStr">
        <is>
          <t>HKBPlatformTask</t>
        </is>
      </c>
      <c r="C9334" s="24" t="inlineStr">
        <is>
          <t>待办事项树图</t>
        </is>
      </c>
      <c r="D9334" s="24" t="inlineStr">
        <is>
          <t>050430</t>
        </is>
      </c>
      <c r="E9334" s="24" t="inlineStr">
        <is>
          <t>小微单一授信批复待办任务</t>
        </is>
      </c>
    </row>
    <row r="9335">
      <c r="B9335" s="24" t="inlineStr">
        <is>
          <t>HKBPlatformTask</t>
        </is>
      </c>
      <c r="C9335" s="24" t="inlineStr">
        <is>
          <t>待办事项树图</t>
        </is>
      </c>
      <c r="D9335" s="24" t="inlineStr">
        <is>
          <t>050440</t>
        </is>
      </c>
      <c r="E9335" s="24" t="inlineStr">
        <is>
          <t>小微单笔授信批复待办任务</t>
        </is>
      </c>
    </row>
    <row r="9336">
      <c r="B9336" s="24" t="inlineStr">
        <is>
          <t>HKBPlatformTask</t>
        </is>
      </c>
      <c r="C9336" s="24" t="inlineStr">
        <is>
          <t>待办事项树图</t>
        </is>
      </c>
      <c r="D9336" s="24" t="inlineStr">
        <is>
          <t>050450</t>
        </is>
      </c>
      <c r="E9336" s="24" t="inlineStr">
        <is>
          <t>小微额度项下批复待办任务</t>
        </is>
      </c>
    </row>
    <row r="9337">
      <c r="B9337" s="24" t="inlineStr">
        <is>
          <t>HKBPlatformTask</t>
        </is>
      </c>
      <c r="C9337" s="24" t="inlineStr">
        <is>
          <t>待办事项树图</t>
        </is>
      </c>
      <c r="D9337" s="24" t="inlineStr">
        <is>
          <t>050460</t>
        </is>
      </c>
      <c r="E9337" s="24" t="inlineStr">
        <is>
          <t>小微单一授信批复复核待办任务</t>
        </is>
      </c>
    </row>
    <row r="9338">
      <c r="B9338" s="24" t="inlineStr">
        <is>
          <t>HKBPlatformTask</t>
        </is>
      </c>
      <c r="C9338" s="24" t="inlineStr">
        <is>
          <t>待办事项树图</t>
        </is>
      </c>
      <c r="D9338" s="24" t="inlineStr">
        <is>
          <t>050470</t>
        </is>
      </c>
      <c r="E9338" s="24" t="inlineStr">
        <is>
          <t>小微单笔授信批复复核待办任务</t>
        </is>
      </c>
    </row>
    <row r="9339">
      <c r="B9339" s="24" t="inlineStr">
        <is>
          <t>HKBPlatformTask</t>
        </is>
      </c>
      <c r="C9339" s="24" t="inlineStr">
        <is>
          <t>待办事项树图</t>
        </is>
      </c>
      <c r="D9339" s="24" t="inlineStr">
        <is>
          <t>050480</t>
        </is>
      </c>
      <c r="E9339" s="24" t="inlineStr">
        <is>
          <t>小微额度项下批复复核待办任务</t>
        </is>
      </c>
    </row>
    <row r="9340">
      <c r="B9340" s="24" t="inlineStr">
        <is>
          <t>HKBPlatformTask</t>
        </is>
      </c>
      <c r="C9340" s="24" t="inlineStr">
        <is>
          <t>待办事项树图</t>
        </is>
      </c>
      <c r="D9340" s="24" t="inlineStr">
        <is>
          <t>050490</t>
        </is>
      </c>
      <c r="E9340" s="24" t="inlineStr">
        <is>
          <t>批量授信</t>
        </is>
      </c>
    </row>
    <row r="9341">
      <c r="B9341" s="24" t="inlineStr">
        <is>
          <t>HKBPlatformTask</t>
        </is>
      </c>
      <c r="C9341" s="24" t="inlineStr">
        <is>
          <t>待办事项树图</t>
        </is>
      </c>
      <c r="D9341" s="24" t="inlineStr">
        <is>
          <t>050500</t>
        </is>
      </c>
      <c r="E9341" s="24" t="inlineStr">
        <is>
          <t>批量项下授信</t>
        </is>
      </c>
    </row>
    <row r="9342">
      <c r="B9342" s="24" t="inlineStr">
        <is>
          <t>HKBPlatformTask</t>
        </is>
      </c>
      <c r="C9342" s="24" t="inlineStr">
        <is>
          <t>待办事项树图</t>
        </is>
      </c>
      <c r="D9342" s="24" t="inlineStr">
        <is>
          <t>050510</t>
        </is>
      </c>
      <c r="E9342" s="24" t="inlineStr">
        <is>
          <t>批量授信</t>
        </is>
      </c>
    </row>
    <row r="9343">
      <c r="B9343" s="24" t="inlineStr">
        <is>
          <t>HKBPlatformTask</t>
        </is>
      </c>
      <c r="C9343" s="24" t="inlineStr">
        <is>
          <t>待办事项树图</t>
        </is>
      </c>
      <c r="D9343" s="24" t="inlineStr">
        <is>
          <t>050520</t>
        </is>
      </c>
      <c r="E9343" s="24" t="inlineStr">
        <is>
          <t>批量项下授信</t>
        </is>
      </c>
    </row>
    <row r="9344">
      <c r="B9344" s="24" t="inlineStr">
        <is>
          <t>HKBPlatformTask</t>
        </is>
      </c>
      <c r="C9344" s="24" t="inlineStr">
        <is>
          <t>待办事项树图</t>
        </is>
      </c>
      <c r="D9344" s="24" t="inlineStr">
        <is>
          <t>050530</t>
        </is>
      </c>
      <c r="E9344" s="24" t="inlineStr">
        <is>
          <t>批量授信</t>
        </is>
      </c>
    </row>
    <row r="9345">
      <c r="B9345" s="24" t="inlineStr">
        <is>
          <t>HKBPlatformTask</t>
        </is>
      </c>
      <c r="C9345" s="24" t="inlineStr">
        <is>
          <t>待办事项树图</t>
        </is>
      </c>
      <c r="D9345" s="24" t="inlineStr">
        <is>
          <t>050540</t>
        </is>
      </c>
      <c r="E9345" s="24" t="inlineStr">
        <is>
          <t>批量项下授信</t>
        </is>
      </c>
    </row>
    <row r="9346">
      <c r="B9346" s="24" t="inlineStr">
        <is>
          <t>HKBPlatformTask</t>
        </is>
      </c>
      <c r="C9346" s="24" t="inlineStr">
        <is>
          <t>待办事项树图</t>
        </is>
      </c>
      <c r="D9346" s="24" t="inlineStr">
        <is>
          <t>050550</t>
        </is>
      </c>
      <c r="E9346" s="24" t="inlineStr">
        <is>
          <t>批量授信</t>
        </is>
      </c>
    </row>
    <row r="9347">
      <c r="B9347" s="24" t="inlineStr">
        <is>
          <t>HKBPlatformTask</t>
        </is>
      </c>
      <c r="C9347" s="24" t="inlineStr">
        <is>
          <t>待办事项树图</t>
        </is>
      </c>
      <c r="D9347" s="24" t="inlineStr">
        <is>
          <t>050560</t>
        </is>
      </c>
      <c r="E9347" s="24" t="inlineStr">
        <is>
          <t>批量项下授信</t>
        </is>
      </c>
    </row>
    <row r="9348">
      <c r="B9348" s="24" t="inlineStr">
        <is>
          <t>HKBPlatformTask</t>
        </is>
      </c>
      <c r="C9348" s="24" t="inlineStr">
        <is>
          <t>待办事项树图</t>
        </is>
      </c>
      <c r="D9348" s="24" t="inlineStr">
        <is>
          <t>050570</t>
        </is>
      </c>
      <c r="E9348" s="24" t="inlineStr">
        <is>
          <t>大中批复合同登记申请</t>
        </is>
      </c>
    </row>
    <row r="9349">
      <c r="B9349" s="24" t="inlineStr">
        <is>
          <t>HKBPlatformTask</t>
        </is>
      </c>
      <c r="C9349" s="24" t="inlineStr">
        <is>
          <t>待办事项树图</t>
        </is>
      </c>
      <c r="D9349" s="24" t="inlineStr">
        <is>
          <t>050580</t>
        </is>
      </c>
      <c r="E9349" s="24" t="inlineStr">
        <is>
          <t>大中批复合同登记审批</t>
        </is>
      </c>
    </row>
    <row r="9350">
      <c r="B9350" s="24" t="inlineStr">
        <is>
          <t>HKBPlatformTask</t>
        </is>
      </c>
      <c r="C9350" s="24" t="inlineStr">
        <is>
          <t>待办事项树图</t>
        </is>
      </c>
      <c r="D9350" s="24" t="inlineStr">
        <is>
          <t>050590</t>
        </is>
      </c>
      <c r="E9350" s="24" t="inlineStr">
        <is>
          <t>大中额度项下合同登记申请</t>
        </is>
      </c>
    </row>
    <row r="9351">
      <c r="B9351" s="24" t="inlineStr">
        <is>
          <t>HKBPlatformTask</t>
        </is>
      </c>
      <c r="C9351" s="24" t="inlineStr">
        <is>
          <t>待办事项树图</t>
        </is>
      </c>
      <c r="D9351" s="24" t="inlineStr">
        <is>
          <t>050600</t>
        </is>
      </c>
      <c r="E9351" s="24" t="inlineStr">
        <is>
          <t>大中额度项下合同登记审批</t>
        </is>
      </c>
    </row>
    <row r="9352">
      <c r="B9352" s="24" t="inlineStr">
        <is>
          <t>HKBPlatformTask</t>
        </is>
      </c>
      <c r="C9352" s="24" t="inlineStr">
        <is>
          <t>待办事项树图</t>
        </is>
      </c>
      <c r="D9352" s="24" t="inlineStr">
        <is>
          <t>050610</t>
        </is>
      </c>
      <c r="E9352" s="24" t="inlineStr">
        <is>
          <t>小微批复合同登记申请</t>
        </is>
      </c>
    </row>
    <row r="9353">
      <c r="B9353" s="24" t="inlineStr">
        <is>
          <t>HKBPlatformTask</t>
        </is>
      </c>
      <c r="C9353" s="24" t="inlineStr">
        <is>
          <t>待办事项树图</t>
        </is>
      </c>
      <c r="D9353" s="24" t="inlineStr">
        <is>
          <t>050620</t>
        </is>
      </c>
      <c r="E9353" s="24" t="inlineStr">
        <is>
          <t>小微批复合同登记审批</t>
        </is>
      </c>
    </row>
    <row r="9354">
      <c r="B9354" s="24" t="inlineStr">
        <is>
          <t>HKBPlatformTask</t>
        </is>
      </c>
      <c r="C9354" s="24" t="inlineStr">
        <is>
          <t>待办事项树图</t>
        </is>
      </c>
      <c r="D9354" s="24" t="inlineStr">
        <is>
          <t>050630</t>
        </is>
      </c>
      <c r="E9354" s="24" t="inlineStr">
        <is>
          <t>小微额度项下合同登记申请</t>
        </is>
      </c>
    </row>
    <row r="9355">
      <c r="B9355" s="24" t="inlineStr">
        <is>
          <t>HKBPlatformTask</t>
        </is>
      </c>
      <c r="C9355" s="24" t="inlineStr">
        <is>
          <t>待办事项树图</t>
        </is>
      </c>
      <c r="D9355" s="24" t="inlineStr">
        <is>
          <t>050640</t>
        </is>
      </c>
      <c r="E9355" s="24" t="inlineStr">
        <is>
          <t>小微额度项下合同登记审批</t>
        </is>
      </c>
    </row>
    <row r="9356">
      <c r="B9356" s="24" t="inlineStr">
        <is>
          <t>HKBPlatformTask</t>
        </is>
      </c>
      <c r="C9356" s="24" t="inlineStr">
        <is>
          <t>待办事项树图</t>
        </is>
      </c>
      <c r="D9356" s="24" t="inlineStr">
        <is>
          <t>050650</t>
        </is>
      </c>
      <c r="E9356" s="24" t="inlineStr">
        <is>
          <t>个人批复合同登记申请</t>
        </is>
      </c>
    </row>
    <row r="9357">
      <c r="B9357" s="24" t="inlineStr">
        <is>
          <t>HKBPlatformTask</t>
        </is>
      </c>
      <c r="C9357" s="24" t="inlineStr">
        <is>
          <t>待办事项树图</t>
        </is>
      </c>
      <c r="D9357" s="24" t="inlineStr">
        <is>
          <t>050660</t>
        </is>
      </c>
      <c r="E9357" s="24" t="inlineStr">
        <is>
          <t>个人批复合同登记审批</t>
        </is>
      </c>
    </row>
    <row r="9358">
      <c r="B9358" s="24" t="inlineStr">
        <is>
          <t>HKBPlatformTask</t>
        </is>
      </c>
      <c r="C9358" s="24" t="inlineStr">
        <is>
          <t>待办事项树图</t>
        </is>
      </c>
      <c r="D9358" s="24" t="inlineStr">
        <is>
          <t>050670</t>
        </is>
      </c>
      <c r="E9358" s="24" t="inlineStr">
        <is>
          <t>个人额度项下合同登记申请</t>
        </is>
      </c>
    </row>
    <row r="9359">
      <c r="B9359" s="24" t="inlineStr">
        <is>
          <t>HKBPlatformTask</t>
        </is>
      </c>
      <c r="C9359" s="24" t="inlineStr">
        <is>
          <t>待办事项树图</t>
        </is>
      </c>
      <c r="D9359" s="24" t="inlineStr">
        <is>
          <t>050680</t>
        </is>
      </c>
      <c r="E9359" s="24" t="inlineStr">
        <is>
          <t>个人额度项下合同登记审批</t>
        </is>
      </c>
    </row>
    <row r="9360">
      <c r="B9360" s="24" t="inlineStr">
        <is>
          <t>HKBPlatformTask</t>
        </is>
      </c>
      <c r="C9360" s="24" t="inlineStr">
        <is>
          <t>待办事项树图</t>
        </is>
      </c>
      <c r="D9360" s="24" t="inlineStr">
        <is>
          <t>050690</t>
        </is>
      </c>
      <c r="E9360" s="24" t="inlineStr">
        <is>
          <t>同业批复合同登记申请</t>
        </is>
      </c>
    </row>
    <row r="9361">
      <c r="B9361" s="24" t="inlineStr">
        <is>
          <t>HKBPlatformTask</t>
        </is>
      </c>
      <c r="C9361" s="24" t="inlineStr">
        <is>
          <t>待办事项树图</t>
        </is>
      </c>
      <c r="D9361" s="24" t="inlineStr">
        <is>
          <t>050700</t>
        </is>
      </c>
      <c r="E9361" s="24" t="inlineStr">
        <is>
          <t>同业批复合同登记审批</t>
        </is>
      </c>
    </row>
    <row r="9362">
      <c r="B9362" s="24" t="inlineStr">
        <is>
          <t>HKBPlatformTask</t>
        </is>
      </c>
      <c r="C9362" s="24" t="inlineStr">
        <is>
          <t>待办事项树图</t>
        </is>
      </c>
      <c r="D9362" s="24" t="inlineStr">
        <is>
          <t>050710</t>
        </is>
      </c>
      <c r="E9362" s="24" t="inlineStr">
        <is>
          <t>同业额度项下合同登记申请</t>
        </is>
      </c>
    </row>
    <row r="9363">
      <c r="B9363" s="24" t="inlineStr">
        <is>
          <t>HKBPlatformTask</t>
        </is>
      </c>
      <c r="C9363" s="24" t="inlineStr">
        <is>
          <t>待办事项树图</t>
        </is>
      </c>
      <c r="D9363" s="24" t="inlineStr">
        <is>
          <t>050720</t>
        </is>
      </c>
      <c r="E9363" s="24" t="inlineStr">
        <is>
          <t>同业额度项下合同登记审批</t>
        </is>
      </c>
    </row>
    <row r="9364">
      <c r="B9364" s="24" t="inlineStr">
        <is>
          <t>HKBPlatformTask</t>
        </is>
      </c>
      <c r="C9364" s="24" t="inlineStr">
        <is>
          <t>待办事项树图</t>
        </is>
      </c>
      <c r="D9364" s="24" t="inlineStr">
        <is>
          <t>050730</t>
        </is>
      </c>
      <c r="E9364" s="24" t="inlineStr">
        <is>
          <t>大中放贷申请</t>
        </is>
      </c>
    </row>
    <row r="9365">
      <c r="B9365" s="24" t="inlineStr">
        <is>
          <t>HKBPlatformTask</t>
        </is>
      </c>
      <c r="C9365" s="24" t="inlineStr">
        <is>
          <t>待办事项树图</t>
        </is>
      </c>
      <c r="D9365" s="24" t="inlineStr">
        <is>
          <t>050740</t>
        </is>
      </c>
      <c r="E9365" s="24" t="inlineStr">
        <is>
          <t>大中放贷审批</t>
        </is>
      </c>
    </row>
    <row r="9366">
      <c r="B9366" s="24" t="inlineStr">
        <is>
          <t>HKBPlatformTask</t>
        </is>
      </c>
      <c r="C9366" s="24" t="inlineStr">
        <is>
          <t>待办事项树图</t>
        </is>
      </c>
      <c r="D9366" s="24" t="inlineStr">
        <is>
          <t>050750</t>
        </is>
      </c>
      <c r="E9366" s="24" t="inlineStr">
        <is>
          <t>大中额度提用申请</t>
        </is>
      </c>
    </row>
    <row r="9367">
      <c r="B9367" s="24" t="inlineStr">
        <is>
          <t>HKBPlatformTask</t>
        </is>
      </c>
      <c r="C9367" s="24" t="inlineStr">
        <is>
          <t>待办事项树图</t>
        </is>
      </c>
      <c r="D9367" s="24" t="inlineStr">
        <is>
          <t>050760</t>
        </is>
      </c>
      <c r="E9367" s="24" t="inlineStr">
        <is>
          <t>大中额度提用审批</t>
        </is>
      </c>
    </row>
    <row r="9368">
      <c r="B9368" s="24" t="inlineStr">
        <is>
          <t>HKBPlatformTask</t>
        </is>
      </c>
      <c r="C9368" s="24" t="inlineStr">
        <is>
          <t>待办事项树图</t>
        </is>
      </c>
      <c r="D9368" s="24" t="inlineStr">
        <is>
          <t>050770</t>
        </is>
      </c>
      <c r="E9368" s="24" t="inlineStr">
        <is>
          <t>小微放贷申请</t>
        </is>
      </c>
    </row>
    <row r="9369">
      <c r="B9369" s="24" t="inlineStr">
        <is>
          <t>HKBPlatformTask</t>
        </is>
      </c>
      <c r="C9369" s="24" t="inlineStr">
        <is>
          <t>待办事项树图</t>
        </is>
      </c>
      <c r="D9369" s="24" t="inlineStr">
        <is>
          <t>050780</t>
        </is>
      </c>
      <c r="E9369" s="24" t="inlineStr">
        <is>
          <t>小微放贷审批</t>
        </is>
      </c>
    </row>
    <row r="9370">
      <c r="B9370" s="24" t="inlineStr">
        <is>
          <t>HKBPlatformTask</t>
        </is>
      </c>
      <c r="C9370" s="24" t="inlineStr">
        <is>
          <t>待办事项树图</t>
        </is>
      </c>
      <c r="D9370" s="24" t="inlineStr">
        <is>
          <t>050790</t>
        </is>
      </c>
      <c r="E9370" s="24" t="inlineStr">
        <is>
          <t>小微额度提用申请</t>
        </is>
      </c>
    </row>
    <row r="9371">
      <c r="B9371" s="24" t="inlineStr">
        <is>
          <t>HKBPlatformTask</t>
        </is>
      </c>
      <c r="C9371" s="24" t="inlineStr">
        <is>
          <t>待办事项树图</t>
        </is>
      </c>
      <c r="D9371" s="24" t="inlineStr">
        <is>
          <t>050800</t>
        </is>
      </c>
      <c r="E9371" s="24" t="inlineStr">
        <is>
          <t>小微额度提用审批</t>
        </is>
      </c>
    </row>
    <row r="9372">
      <c r="B9372" s="24" t="inlineStr">
        <is>
          <t>HKBPlatformTask</t>
        </is>
      </c>
      <c r="C9372" s="24" t="inlineStr">
        <is>
          <t>待办事项树图</t>
        </is>
      </c>
      <c r="D9372" s="24" t="inlineStr">
        <is>
          <t>050810</t>
        </is>
      </c>
      <c r="E9372" s="24" t="inlineStr">
        <is>
          <t>个人放贷申请</t>
        </is>
      </c>
    </row>
    <row r="9373">
      <c r="B9373" s="24" t="inlineStr">
        <is>
          <t>HKBPlatformTask</t>
        </is>
      </c>
      <c r="C9373" s="24" t="inlineStr">
        <is>
          <t>待办事项树图</t>
        </is>
      </c>
      <c r="D9373" s="24" t="inlineStr">
        <is>
          <t>050820</t>
        </is>
      </c>
      <c r="E9373" s="24" t="inlineStr">
        <is>
          <t>个人放贷审批</t>
        </is>
      </c>
    </row>
    <row r="9374">
      <c r="B9374" s="24" t="inlineStr">
        <is>
          <t>HKBPlatformTask</t>
        </is>
      </c>
      <c r="C9374" s="24" t="inlineStr">
        <is>
          <t>待办事项树图</t>
        </is>
      </c>
      <c r="D9374" s="24" t="inlineStr">
        <is>
          <t>050830</t>
        </is>
      </c>
      <c r="E9374" s="24" t="inlineStr">
        <is>
          <t>个人额度提用申请</t>
        </is>
      </c>
    </row>
    <row r="9375">
      <c r="B9375" s="24" t="inlineStr">
        <is>
          <t>HKBPlatformTask</t>
        </is>
      </c>
      <c r="C9375" s="24" t="inlineStr">
        <is>
          <t>待办事项树图</t>
        </is>
      </c>
      <c r="D9375" s="24" t="inlineStr">
        <is>
          <t>050840</t>
        </is>
      </c>
      <c r="E9375" s="24" t="inlineStr">
        <is>
          <t>个人额度提用审批</t>
        </is>
      </c>
    </row>
    <row r="9376">
      <c r="B9376" s="24" t="inlineStr">
        <is>
          <t>HKBPlatformTask</t>
        </is>
      </c>
      <c r="C9376" s="24" t="inlineStr">
        <is>
          <t>待办事项树图</t>
        </is>
      </c>
      <c r="D9376" s="24" t="inlineStr">
        <is>
          <t>050850</t>
        </is>
      </c>
      <c r="E9376" s="24" t="inlineStr">
        <is>
          <t>同业放贷申请</t>
        </is>
      </c>
    </row>
    <row r="9377">
      <c r="B9377" s="24" t="inlineStr">
        <is>
          <t>HKBPlatformTask</t>
        </is>
      </c>
      <c r="C9377" s="24" t="inlineStr">
        <is>
          <t>待办事项树图</t>
        </is>
      </c>
      <c r="D9377" s="24" t="inlineStr">
        <is>
          <t>050860</t>
        </is>
      </c>
      <c r="E9377" s="24" t="inlineStr">
        <is>
          <t>同业放贷审批</t>
        </is>
      </c>
    </row>
    <row r="9378">
      <c r="B9378" s="24" t="inlineStr">
        <is>
          <t>HKBPlatformTask</t>
        </is>
      </c>
      <c r="C9378" s="24" t="inlineStr">
        <is>
          <t>待办事项树图</t>
        </is>
      </c>
      <c r="D9378" s="24" t="inlineStr">
        <is>
          <t>050870</t>
        </is>
      </c>
      <c r="E9378" s="24" t="inlineStr">
        <is>
          <t>同业额度提用申请</t>
        </is>
      </c>
    </row>
    <row r="9379">
      <c r="B9379" s="24" t="inlineStr">
        <is>
          <t>HKBPlatformTask</t>
        </is>
      </c>
      <c r="C9379" s="24" t="inlineStr">
        <is>
          <t>待办事项树图</t>
        </is>
      </c>
      <c r="D9379" s="24" t="inlineStr">
        <is>
          <t>050880</t>
        </is>
      </c>
      <c r="E9379" s="24" t="inlineStr">
        <is>
          <t>同业额度提用审批</t>
        </is>
      </c>
    </row>
    <row r="9380">
      <c r="B9380" s="24" t="inlineStr">
        <is>
          <t>HKBPlatformTask</t>
        </is>
      </c>
      <c r="C9380" s="24" t="inlineStr">
        <is>
          <t>待办事项树图</t>
        </is>
      </c>
      <c r="D9380" s="24" t="inlineStr">
        <is>
          <t>050890</t>
        </is>
      </c>
      <c r="E9380" s="24" t="inlineStr">
        <is>
          <t>担保合同变更申请待办任务</t>
        </is>
      </c>
    </row>
    <row r="9381">
      <c r="B9381" s="24" t="inlineStr">
        <is>
          <t>HKBPlatformTask</t>
        </is>
      </c>
      <c r="C9381" s="24" t="inlineStr">
        <is>
          <t>待办事项树图</t>
        </is>
      </c>
      <c r="D9381" s="24" t="inlineStr">
        <is>
          <t>050900</t>
        </is>
      </c>
      <c r="E9381" s="24" t="inlineStr">
        <is>
          <t>担保合同变更审批待办任务</t>
        </is>
      </c>
    </row>
    <row r="9382">
      <c r="B9382" s="24" t="inlineStr">
        <is>
          <t>HKBPlatformTask</t>
        </is>
      </c>
      <c r="C9382" s="24" t="inlineStr">
        <is>
          <t>待办事项树图</t>
        </is>
      </c>
      <c r="D9382" s="24" t="inlineStr">
        <is>
          <t>060010</t>
        </is>
      </c>
      <c r="E9382" s="24" t="inlineStr">
        <is>
          <t>押品录入申请</t>
        </is>
      </c>
    </row>
    <row r="9383">
      <c r="B9383" s="24" t="inlineStr">
        <is>
          <t>HKBPlatformTask</t>
        </is>
      </c>
      <c r="C9383" s="24" t="inlineStr">
        <is>
          <t>待办事项树图</t>
        </is>
      </c>
      <c r="D9383" s="24" t="inlineStr">
        <is>
          <t>060020</t>
        </is>
      </c>
      <c r="E9383" s="24" t="inlineStr">
        <is>
          <t>押品录入审批</t>
        </is>
      </c>
    </row>
    <row r="9384">
      <c r="B9384" s="24" t="inlineStr">
        <is>
          <t>HKBPlatformTask</t>
        </is>
      </c>
      <c r="C9384" s="24" t="inlineStr">
        <is>
          <t>待办事项树图</t>
        </is>
      </c>
      <c r="D9384" s="24" t="inlineStr">
        <is>
          <t>060030</t>
        </is>
      </c>
      <c r="E9384" s="24" t="inlineStr">
        <is>
          <t>抵质押品估值申请</t>
        </is>
      </c>
    </row>
    <row r="9385">
      <c r="B9385" s="24" t="inlineStr">
        <is>
          <t>HKBPlatformTask</t>
        </is>
      </c>
      <c r="C9385" s="24" t="inlineStr">
        <is>
          <t>待办事项树图</t>
        </is>
      </c>
      <c r="D9385" s="24" t="inlineStr">
        <is>
          <t>060040</t>
        </is>
      </c>
      <c r="E9385" s="24" t="inlineStr">
        <is>
          <t>抵质押品估值审批</t>
        </is>
      </c>
    </row>
    <row r="9386">
      <c r="B9386" s="24" t="inlineStr">
        <is>
          <t>HKBPlatformTask</t>
        </is>
      </c>
      <c r="C9386" s="24" t="inlineStr">
        <is>
          <t>待办事项树图</t>
        </is>
      </c>
      <c r="D9386" s="24" t="inlineStr">
        <is>
          <t>060050</t>
        </is>
      </c>
      <c r="E9386" s="24" t="inlineStr">
        <is>
          <t>日常管理申请</t>
        </is>
      </c>
    </row>
    <row r="9387">
      <c r="B9387" s="24" t="inlineStr">
        <is>
          <t>HKBPlatformTask</t>
        </is>
      </c>
      <c r="C9387" s="24" t="inlineStr">
        <is>
          <t>待办事项树图</t>
        </is>
      </c>
      <c r="D9387" s="24" t="inlineStr">
        <is>
          <t>060060</t>
        </is>
      </c>
      <c r="E9387" s="24" t="inlineStr">
        <is>
          <t>日常管理审批</t>
        </is>
      </c>
    </row>
    <row r="9388">
      <c r="B9388" s="24" t="inlineStr">
        <is>
          <t>HKBPlatformTask</t>
        </is>
      </c>
      <c r="C9388" s="24" t="inlineStr">
        <is>
          <t>待办事项树图</t>
        </is>
      </c>
      <c r="D9388" s="24" t="inlineStr">
        <is>
          <t>060070</t>
        </is>
      </c>
      <c r="E9388" s="24" t="inlineStr">
        <is>
          <t>资格认定申请</t>
        </is>
      </c>
    </row>
    <row r="9389">
      <c r="B9389" s="24" t="inlineStr">
        <is>
          <t>HKBPlatformTask</t>
        </is>
      </c>
      <c r="C9389" s="24" t="inlineStr">
        <is>
          <t>待办事项树图</t>
        </is>
      </c>
      <c r="D9389" s="24" t="inlineStr">
        <is>
          <t>060080</t>
        </is>
      </c>
      <c r="E9389" s="24" t="inlineStr">
        <is>
          <t>资格认定审批</t>
        </is>
      </c>
    </row>
    <row r="9390">
      <c r="B9390" s="24" t="inlineStr">
        <is>
          <t>HKBPlatformTask</t>
        </is>
      </c>
      <c r="C9390" s="24" t="inlineStr">
        <is>
          <t>待办事项树图</t>
        </is>
      </c>
      <c r="D9390" s="24" t="inlineStr">
        <is>
          <t>060090</t>
        </is>
      </c>
      <c r="E9390" s="24" t="inlineStr">
        <is>
          <t>权证出入库申请</t>
        </is>
      </c>
    </row>
    <row r="9391">
      <c r="B9391" s="24" t="inlineStr">
        <is>
          <t>HKBPlatformTask</t>
        </is>
      </c>
      <c r="C9391" s="24" t="inlineStr">
        <is>
          <t>待办事项树图</t>
        </is>
      </c>
      <c r="D9391" s="24" t="inlineStr">
        <is>
          <t>060100</t>
        </is>
      </c>
      <c r="E9391" s="24" t="inlineStr">
        <is>
          <t>权证出入库审批</t>
        </is>
      </c>
    </row>
    <row r="9392">
      <c r="B9392" s="24" t="inlineStr">
        <is>
          <t>HKBPlatformTask</t>
        </is>
      </c>
      <c r="C9392" s="24" t="inlineStr">
        <is>
          <t>待办事项树图</t>
        </is>
      </c>
      <c r="D9392" s="24" t="inlineStr">
        <is>
          <t>060110</t>
        </is>
      </c>
      <c r="E9392" s="24" t="inlineStr">
        <is>
          <t>大中业务检查申请待办任务</t>
        </is>
      </c>
    </row>
    <row r="9393">
      <c r="B9393" s="24" t="inlineStr">
        <is>
          <t>HKBPlatformTask</t>
        </is>
      </c>
      <c r="C9393" s="24" t="inlineStr">
        <is>
          <t>待办事项树图</t>
        </is>
      </c>
      <c r="D9393" s="24" t="inlineStr">
        <is>
          <t>060120</t>
        </is>
      </c>
      <c r="E9393" s="24" t="inlineStr">
        <is>
          <t>大中业务检查审批待办任务</t>
        </is>
      </c>
    </row>
    <row r="9394">
      <c r="B9394" s="24" t="inlineStr">
        <is>
          <t>HKBPlatformTask</t>
        </is>
      </c>
      <c r="C9394" s="24" t="inlineStr">
        <is>
          <t>待办事项树图</t>
        </is>
      </c>
      <c r="D9394" s="24" t="inlineStr">
        <is>
          <t>060130</t>
        </is>
      </c>
      <c r="E9394" s="24" t="inlineStr">
        <is>
          <t>小微业务检查申请待办任务</t>
        </is>
      </c>
    </row>
    <row r="9395">
      <c r="B9395" s="24" t="inlineStr">
        <is>
          <t>HKBPlatformTask</t>
        </is>
      </c>
      <c r="C9395" s="24" t="inlineStr">
        <is>
          <t>待办事项树图</t>
        </is>
      </c>
      <c r="D9395" s="24" t="inlineStr">
        <is>
          <t>060140</t>
        </is>
      </c>
      <c r="E9395" s="24" t="inlineStr">
        <is>
          <t>小微业务检查审批待办任务</t>
        </is>
      </c>
    </row>
    <row r="9396">
      <c r="B9396" s="24" t="inlineStr">
        <is>
          <t>HKBPlatformTask</t>
        </is>
      </c>
      <c r="C9396" s="24" t="inlineStr">
        <is>
          <t>待办事项树图</t>
        </is>
      </c>
      <c r="D9396" s="24" t="inlineStr">
        <is>
          <t>060150</t>
        </is>
      </c>
      <c r="E9396" s="24" t="inlineStr">
        <is>
          <t>个人业务检查申请待办任务</t>
        </is>
      </c>
    </row>
    <row r="9397">
      <c r="B9397" s="24" t="inlineStr">
        <is>
          <t>HKBPlatformTask</t>
        </is>
      </c>
      <c r="C9397" s="24" t="inlineStr">
        <is>
          <t>待办事项树图</t>
        </is>
      </c>
      <c r="D9397" s="24" t="inlineStr">
        <is>
          <t>060160</t>
        </is>
      </c>
      <c r="E9397" s="24" t="inlineStr">
        <is>
          <t>个人业务检查审批待办任务</t>
        </is>
      </c>
    </row>
    <row r="9398">
      <c r="B9398" s="24" t="inlineStr">
        <is>
          <t>HKBPlatformTask</t>
        </is>
      </c>
      <c r="C9398" s="24" t="inlineStr">
        <is>
          <t>待办事项树图</t>
        </is>
      </c>
      <c r="D9398" s="24" t="inlineStr">
        <is>
          <t>060170</t>
        </is>
      </c>
      <c r="E9398" s="24" t="inlineStr">
        <is>
          <t>单一公司客户定期贷后检查申请待办任务</t>
        </is>
      </c>
    </row>
    <row r="9399">
      <c r="B9399" s="24" t="inlineStr">
        <is>
          <t>HKBPlatformTask</t>
        </is>
      </c>
      <c r="C9399" s="24" t="inlineStr">
        <is>
          <t>待办事项树图</t>
        </is>
      </c>
      <c r="D9399" s="24" t="inlineStr">
        <is>
          <t>060180</t>
        </is>
      </c>
      <c r="E9399" s="24" t="inlineStr">
        <is>
          <t>单一公司客户定期贷后检查审批待办任务</t>
        </is>
      </c>
    </row>
    <row r="9400">
      <c r="B9400" s="24" t="inlineStr">
        <is>
          <t>HKBPlatformTask</t>
        </is>
      </c>
      <c r="C9400" s="24" t="inlineStr">
        <is>
          <t>待办事项树图</t>
        </is>
      </c>
      <c r="D9400" s="24" t="inlineStr">
        <is>
          <t>060190</t>
        </is>
      </c>
      <c r="E9400" s="24" t="inlineStr">
        <is>
          <t>个人客户定期贷后检查申请待办任务</t>
        </is>
      </c>
    </row>
    <row r="9401">
      <c r="B9401" s="24" t="inlineStr">
        <is>
          <t>HKBPlatformTask</t>
        </is>
      </c>
      <c r="C9401" s="24" t="inlineStr">
        <is>
          <t>待办事项树图</t>
        </is>
      </c>
      <c r="D9401" s="24" t="inlineStr">
        <is>
          <t>060200</t>
        </is>
      </c>
      <c r="E9401" s="24" t="inlineStr">
        <is>
          <t>个人客户定期贷后检查审批待办任务</t>
        </is>
      </c>
    </row>
    <row r="9402">
      <c r="B9402" s="24" t="inlineStr">
        <is>
          <t>HKBPlatformTask</t>
        </is>
      </c>
      <c r="C9402" s="24" t="inlineStr">
        <is>
          <t>待办事项树图</t>
        </is>
      </c>
      <c r="D9402" s="24" t="inlineStr">
        <is>
          <t>060210</t>
        </is>
      </c>
      <c r="E9402" s="24" t="inlineStr">
        <is>
          <t>集团客户定期贷后检查申请待办任务</t>
        </is>
      </c>
    </row>
    <row r="9403">
      <c r="B9403" s="24" t="inlineStr">
        <is>
          <t>HKBPlatformTask</t>
        </is>
      </c>
      <c r="C9403" s="24" t="inlineStr">
        <is>
          <t>待办事项树图</t>
        </is>
      </c>
      <c r="D9403" s="24" t="inlineStr">
        <is>
          <t>060220</t>
        </is>
      </c>
      <c r="E9403" s="24" t="inlineStr">
        <is>
          <t>集团客户定期贷后检查审批待办任务</t>
        </is>
      </c>
    </row>
    <row r="9404">
      <c r="B9404" s="24" t="inlineStr">
        <is>
          <t>HKBPlatformTask</t>
        </is>
      </c>
      <c r="C9404" s="24" t="inlineStr">
        <is>
          <t>待办事项树图</t>
        </is>
      </c>
      <c r="D9404" s="24" t="inlineStr">
        <is>
          <t>060230</t>
        </is>
      </c>
      <c r="E9404" s="24" t="inlineStr">
        <is>
          <t>单一公司客户不定期贷后检查申请待办任务</t>
        </is>
      </c>
    </row>
    <row r="9405">
      <c r="B9405" s="24" t="inlineStr">
        <is>
          <t>HKBPlatformTask</t>
        </is>
      </c>
      <c r="C9405" s="24" t="inlineStr">
        <is>
          <t>待办事项树图</t>
        </is>
      </c>
      <c r="D9405" s="24" t="inlineStr">
        <is>
          <t>060240</t>
        </is>
      </c>
      <c r="E9405" s="24" t="inlineStr">
        <is>
          <t>单一公司客户不定期贷后检查审批待办任务</t>
        </is>
      </c>
    </row>
    <row r="9406">
      <c r="B9406" s="24" t="inlineStr">
        <is>
          <t>HKBPlatformTask</t>
        </is>
      </c>
      <c r="C9406" s="24" t="inlineStr">
        <is>
          <t>待办事项树图</t>
        </is>
      </c>
      <c r="D9406" s="24" t="inlineStr">
        <is>
          <t>060250</t>
        </is>
      </c>
      <c r="E9406" s="24" t="inlineStr">
        <is>
          <t>个人客户不定期贷后检查申请待办任务</t>
        </is>
      </c>
    </row>
    <row r="9407">
      <c r="B9407" s="24" t="inlineStr">
        <is>
          <t>HKBPlatformTask</t>
        </is>
      </c>
      <c r="C9407" s="24" t="inlineStr">
        <is>
          <t>待办事项树图</t>
        </is>
      </c>
      <c r="D9407" s="24" t="inlineStr">
        <is>
          <t>060260</t>
        </is>
      </c>
      <c r="E9407" s="24" t="inlineStr">
        <is>
          <t>个人客户不定期贷后检查审批待办任务</t>
        </is>
      </c>
    </row>
    <row r="9408">
      <c r="B9408" s="24" t="inlineStr">
        <is>
          <t>HKBPlatformTask</t>
        </is>
      </c>
      <c r="C9408" s="24" t="inlineStr">
        <is>
          <t>待办事项树图</t>
        </is>
      </c>
      <c r="D9408" s="24" t="inlineStr">
        <is>
          <t>060270</t>
        </is>
      </c>
      <c r="E9408" s="24" t="inlineStr">
        <is>
          <t>集团客户不定期贷后检查申请待办任务</t>
        </is>
      </c>
    </row>
    <row r="9409">
      <c r="B9409" s="24" t="inlineStr">
        <is>
          <t>HKBPlatformTask</t>
        </is>
      </c>
      <c r="C9409" s="24" t="inlineStr">
        <is>
          <t>待办事项树图</t>
        </is>
      </c>
      <c r="D9409" s="24" t="inlineStr">
        <is>
          <t>060280</t>
        </is>
      </c>
      <c r="E9409" s="24" t="inlineStr">
        <is>
          <t>集团客户不定期贷后检查审批待办任务</t>
        </is>
      </c>
    </row>
    <row r="9410">
      <c r="B9410" s="24" t="inlineStr">
        <is>
          <t>HKBPlatformTask</t>
        </is>
      </c>
      <c r="C9410" s="24" t="inlineStr">
        <is>
          <t>待办事项树图</t>
        </is>
      </c>
      <c r="D9410" s="24" t="inlineStr">
        <is>
          <t>060290</t>
        </is>
      </c>
      <c r="E9410" s="24" t="inlineStr">
        <is>
          <t>合作项目检查申请待办任务</t>
        </is>
      </c>
    </row>
    <row r="9411">
      <c r="B9411" s="24" t="inlineStr">
        <is>
          <t>HKBPlatformTask</t>
        </is>
      </c>
      <c r="C9411" s="24" t="inlineStr">
        <is>
          <t>待办事项树图</t>
        </is>
      </c>
      <c r="D9411" s="24" t="inlineStr">
        <is>
          <t>060300</t>
        </is>
      </c>
      <c r="E9411" s="24" t="inlineStr">
        <is>
          <t>合作项目检查审批待办任务</t>
        </is>
      </c>
    </row>
    <row r="9412">
      <c r="B9412" s="24" t="inlineStr">
        <is>
          <t>HKBPlatformTask</t>
        </is>
      </c>
      <c r="C9412" s="24" t="inlineStr">
        <is>
          <t>待办事项树图</t>
        </is>
      </c>
      <c r="D9412" s="24" t="inlineStr">
        <is>
          <t>060310</t>
        </is>
      </c>
      <c r="E9412" s="24" t="inlineStr">
        <is>
          <t>专项检查申请待办任务</t>
        </is>
      </c>
    </row>
    <row r="9413">
      <c r="B9413" s="24" t="inlineStr">
        <is>
          <t>HKBPlatformTask</t>
        </is>
      </c>
      <c r="C9413" s="24" t="inlineStr">
        <is>
          <t>待办事项树图</t>
        </is>
      </c>
      <c r="D9413" s="24" t="inlineStr">
        <is>
          <t>060320</t>
        </is>
      </c>
      <c r="E9413" s="24" t="inlineStr">
        <is>
          <t>专项检查审批待办任务</t>
        </is>
      </c>
    </row>
    <row r="9414">
      <c r="B9414" s="24" t="inlineStr">
        <is>
          <t>HKBPlatformTask</t>
        </is>
      </c>
      <c r="C9414" s="24" t="inlineStr">
        <is>
          <t>待办事项树图</t>
        </is>
      </c>
      <c r="D9414" s="24" t="inlineStr">
        <is>
          <t>060330</t>
        </is>
      </c>
      <c r="E9414" s="24" t="inlineStr">
        <is>
          <t>大中业务风险五级分类申请待办任务</t>
        </is>
      </c>
    </row>
    <row r="9415">
      <c r="B9415" s="24" t="inlineStr">
        <is>
          <t>HKBPlatformTask</t>
        </is>
      </c>
      <c r="C9415" s="24" t="inlineStr">
        <is>
          <t>待办事项树图</t>
        </is>
      </c>
      <c r="D9415" s="24" t="inlineStr">
        <is>
          <t>060340</t>
        </is>
      </c>
      <c r="E9415" s="24" t="inlineStr">
        <is>
          <t>大中业务风险五级分类审批待办任务</t>
        </is>
      </c>
    </row>
    <row r="9416">
      <c r="B9416" s="24" t="inlineStr">
        <is>
          <t>HKBPlatformTask</t>
        </is>
      </c>
      <c r="C9416" s="24" t="inlineStr">
        <is>
          <t>待办事项树图</t>
        </is>
      </c>
      <c r="D9416" s="24" t="inlineStr">
        <is>
          <t>060350</t>
        </is>
      </c>
      <c r="E9416" s="24" t="inlineStr">
        <is>
          <t>小微业务风险五级分类申请待办任务</t>
        </is>
      </c>
    </row>
    <row r="9417">
      <c r="B9417" s="24" t="inlineStr">
        <is>
          <t>HKBPlatformTask</t>
        </is>
      </c>
      <c r="C9417" s="24" t="inlineStr">
        <is>
          <t>待办事项树图</t>
        </is>
      </c>
      <c r="D9417" s="24" t="inlineStr">
        <is>
          <t>060360</t>
        </is>
      </c>
      <c r="E9417" s="24" t="inlineStr">
        <is>
          <t>小微业务风险五级分类审批待办任务</t>
        </is>
      </c>
    </row>
    <row r="9418">
      <c r="B9418" s="24" t="inlineStr">
        <is>
          <t>HKBPlatformTask</t>
        </is>
      </c>
      <c r="C9418" s="24" t="inlineStr">
        <is>
          <t>待办事项树图</t>
        </is>
      </c>
      <c r="D9418" s="24" t="inlineStr">
        <is>
          <t>060370</t>
        </is>
      </c>
      <c r="E9418" s="24" t="inlineStr">
        <is>
          <t>个人业务风险五级分类申请待办任务</t>
        </is>
      </c>
    </row>
    <row r="9419">
      <c r="B9419" s="24" t="inlineStr">
        <is>
          <t>HKBPlatformTask</t>
        </is>
      </c>
      <c r="C9419" s="24" t="inlineStr">
        <is>
          <t>待办事项树图</t>
        </is>
      </c>
      <c r="D9419" s="24" t="inlineStr">
        <is>
          <t>060380</t>
        </is>
      </c>
      <c r="E9419" s="24" t="inlineStr">
        <is>
          <t>个人业务风险五级分类审批待办任务</t>
        </is>
      </c>
    </row>
    <row r="9420" ht="15.95" customHeight="1" s="170">
      <c r="B9420" s="122" t="inlineStr">
        <is>
          <t>码值：AppraisalOrgType</t>
        </is>
      </c>
    </row>
    <row r="9421">
      <c r="B9421" s="24" t="inlineStr">
        <is>
          <t>AppraisalOrgType</t>
        </is>
      </c>
      <c r="C9421" s="24" t="inlineStr">
        <is>
          <t>评估机公司类型</t>
        </is>
      </c>
      <c r="D9421" s="24" t="inlineStr">
        <is>
          <t>01</t>
        </is>
      </c>
      <c r="E9421" s="24" t="inlineStr">
        <is>
          <t>一般类评估机构</t>
        </is>
      </c>
    </row>
    <row r="9422">
      <c r="B9422" s="24" t="inlineStr">
        <is>
          <t>AppraisalOrgType</t>
        </is>
      </c>
      <c r="C9422" s="24" t="inlineStr">
        <is>
          <t>评估机公司类型</t>
        </is>
      </c>
      <c r="D9422" s="24" t="inlineStr">
        <is>
          <t>02</t>
        </is>
      </c>
      <c r="E9422" s="24" t="inlineStr">
        <is>
          <t>特殊资产类评估机构</t>
        </is>
      </c>
    </row>
    <row r="9423" ht="15.95" customHeight="1" s="170">
      <c r="B9423" s="122" t="inlineStr">
        <is>
          <t>码值：MarginLevel</t>
        </is>
      </c>
    </row>
    <row r="9424">
      <c r="B9424" s="24" t="inlineStr">
        <is>
          <t>MarginLevel</t>
        </is>
      </c>
      <c r="C9424" s="24" t="inlineStr">
        <is>
          <t>保证金账户层级</t>
        </is>
      </c>
      <c r="D9424" s="24" t="inlineStr">
        <is>
          <t>01</t>
        </is>
      </c>
      <c r="E9424" s="24" t="inlineStr">
        <is>
          <t>一级账户</t>
        </is>
      </c>
    </row>
    <row r="9425">
      <c r="B9425" s="24" t="inlineStr">
        <is>
          <t>MarginLevel</t>
        </is>
      </c>
      <c r="C9425" s="24" t="inlineStr">
        <is>
          <t>保证金账户层级</t>
        </is>
      </c>
      <c r="D9425" s="24" t="inlineStr">
        <is>
          <t>02</t>
        </is>
      </c>
      <c r="E9425" s="24" t="inlineStr">
        <is>
          <t>二级账户</t>
        </is>
      </c>
    </row>
    <row r="9426">
      <c r="B9426" s="24" t="inlineStr">
        <is>
          <t>MarginLevel</t>
        </is>
      </c>
      <c r="C9426" s="24" t="inlineStr">
        <is>
          <t>保证金账户层级</t>
        </is>
      </c>
      <c r="D9426" s="24" t="inlineStr">
        <is>
          <t>03</t>
        </is>
      </c>
      <c r="E9426" s="24" t="inlineStr">
        <is>
          <t>三级账户</t>
        </is>
      </c>
    </row>
    <row r="9427">
      <c r="B9427" s="24" t="inlineStr">
        <is>
          <t>MarginLevel</t>
        </is>
      </c>
      <c r="C9427" s="24" t="inlineStr">
        <is>
          <t>保证金账户层级</t>
        </is>
      </c>
      <c r="D9427" s="24" t="inlineStr">
        <is>
          <t>90</t>
        </is>
      </c>
      <c r="E9427" s="24" t="inlineStr">
        <is>
          <t>其他</t>
        </is>
      </c>
    </row>
    <row r="9428" ht="15.95" customHeight="1" s="170">
      <c r="B9428" s="122" t="inlineStr">
        <is>
          <t>码值：DocImportance</t>
        </is>
      </c>
    </row>
    <row r="9429">
      <c r="B9429" s="24" t="inlineStr">
        <is>
          <t>DocImportance</t>
        </is>
      </c>
      <c r="C9429" s="24" t="inlineStr">
        <is>
          <t>文档重要性</t>
        </is>
      </c>
      <c r="D9429" s="24" t="inlineStr">
        <is>
          <t>01</t>
        </is>
      </c>
      <c r="E9429" s="24" t="inlineStr">
        <is>
          <t>一般</t>
        </is>
      </c>
    </row>
    <row r="9430">
      <c r="B9430" s="24" t="inlineStr">
        <is>
          <t>DocImportance</t>
        </is>
      </c>
      <c r="C9430" s="24" t="inlineStr">
        <is>
          <t>文档重要性</t>
        </is>
      </c>
      <c r="D9430" s="24" t="inlineStr">
        <is>
          <t>02</t>
        </is>
      </c>
      <c r="E9430" s="24" t="inlineStr">
        <is>
          <t>重要</t>
        </is>
      </c>
    </row>
    <row r="9431">
      <c r="B9431" s="24" t="inlineStr">
        <is>
          <t>DocImportance</t>
        </is>
      </c>
      <c r="C9431" s="24" t="inlineStr">
        <is>
          <t>文档重要性</t>
        </is>
      </c>
      <c r="D9431" s="24" t="inlineStr">
        <is>
          <t>03</t>
        </is>
      </c>
      <c r="E9431" s="24" t="inlineStr">
        <is>
          <t>非常重要</t>
        </is>
      </c>
    </row>
    <row r="9432" ht="15.95" customHeight="1" s="170">
      <c r="B9432" s="122" t="inlineStr">
        <is>
          <t>码值：EvalType</t>
        </is>
      </c>
    </row>
    <row r="9433">
      <c r="B9433" s="24" t="inlineStr">
        <is>
          <t>EvalType</t>
        </is>
      </c>
      <c r="C9433" s="24" t="inlineStr">
        <is>
          <t>评估类型</t>
        </is>
      </c>
      <c r="D9433" s="24" t="inlineStr">
        <is>
          <t>01</t>
        </is>
      </c>
      <c r="E9433" s="24" t="inlineStr">
        <is>
          <t>内部评估</t>
        </is>
      </c>
    </row>
    <row r="9434">
      <c r="B9434" s="24" t="inlineStr">
        <is>
          <t>EvalType</t>
        </is>
      </c>
      <c r="C9434" s="24" t="inlineStr">
        <is>
          <t>评估类型</t>
        </is>
      </c>
      <c r="D9434" s="24" t="inlineStr">
        <is>
          <t>02</t>
        </is>
      </c>
      <c r="E9434" s="24" t="inlineStr">
        <is>
          <t>外部评估</t>
        </is>
      </c>
    </row>
    <row r="9435">
      <c r="B9435" s="24" t="inlineStr">
        <is>
          <t>EvalType</t>
        </is>
      </c>
      <c r="C9435" s="24" t="inlineStr">
        <is>
          <t>评估类型</t>
        </is>
      </c>
      <c r="D9435" s="24" t="inlineStr">
        <is>
          <t>03</t>
        </is>
      </c>
      <c r="E9435" s="24" t="inlineStr">
        <is>
          <t>内外部综合评估</t>
        </is>
      </c>
    </row>
    <row r="9436" ht="15.95" customHeight="1" s="170">
      <c r="B9436" s="122" t="inlineStr">
        <is>
          <t>码值：ParentRelationType1</t>
        </is>
      </c>
    </row>
    <row r="9437">
      <c r="B9437" s="24" t="inlineStr">
        <is>
          <t>ParentRelationType1</t>
        </is>
      </c>
      <c r="C9437" s="24" t="inlineStr">
        <is>
          <t>集团成员与父节点关系</t>
        </is>
      </c>
      <c r="D9437" s="24" t="inlineStr">
        <is>
          <t>01</t>
        </is>
      </c>
      <c r="E9437" s="24" t="inlineStr">
        <is>
          <t>父子</t>
        </is>
      </c>
    </row>
    <row r="9438">
      <c r="B9438" s="24" t="inlineStr">
        <is>
          <t>ParentRelationType1</t>
        </is>
      </c>
      <c r="C9438" s="24" t="inlineStr">
        <is>
          <t>集团成员与父节点关系</t>
        </is>
      </c>
      <c r="D9438" s="24" t="inlineStr">
        <is>
          <t>02</t>
        </is>
      </c>
      <c r="E9438" s="24" t="inlineStr">
        <is>
          <t>兄弟</t>
        </is>
      </c>
    </row>
    <row r="9439" ht="15.95" customHeight="1" s="170">
      <c r="B9439" s="122" t="inlineStr">
        <is>
          <t>码值：DesignTechnologyRisk</t>
        </is>
      </c>
    </row>
    <row r="9440">
      <c r="B9440" s="24" t="inlineStr">
        <is>
          <t>DesignTechnologyRisk</t>
        </is>
      </c>
      <c r="C9440" s="24" t="inlineStr">
        <is>
          <t>信用等级评估统一导入</t>
        </is>
      </c>
      <c r="D9440" s="24" t="inlineStr">
        <is>
          <t>01</t>
        </is>
      </c>
      <c r="E9440" s="24" t="inlineStr">
        <is>
          <t>技术和设计完全可靠，并且市场上没有出现更领先的技术</t>
        </is>
      </c>
    </row>
    <row r="9441">
      <c r="B9441" s="24" t="inlineStr">
        <is>
          <t>DesignTechnologyRisk</t>
        </is>
      </c>
      <c r="C9441" s="24" t="inlineStr">
        <is>
          <t>信用等级评估统一导入</t>
        </is>
      </c>
      <c r="D9441" s="24" t="inlineStr">
        <is>
          <t>02</t>
        </is>
      </c>
      <c r="E9441" s="24" t="inlineStr">
        <is>
          <t>技术和设计完全可靠</t>
        </is>
      </c>
    </row>
    <row r="9442">
      <c r="B9442" s="24" t="inlineStr">
        <is>
          <t>DesignTechnologyRisk</t>
        </is>
      </c>
      <c r="C9442" s="24" t="inlineStr">
        <is>
          <t>信用等级评估统一导入</t>
        </is>
      </c>
      <c r="D9442" s="24" t="inlineStr">
        <is>
          <t>03</t>
        </is>
      </c>
      <c r="E9442" s="24" t="inlineStr">
        <is>
          <t>技术和设计可靠，虽然项目面临建设风险，但可用完工方案完备，可缓解新技术等可能存在的问题</t>
        </is>
      </c>
    </row>
    <row r="9443">
      <c r="B9443" s="24" t="inlineStr">
        <is>
          <t>DesignTechnologyRisk</t>
        </is>
      </c>
      <c r="C9443" s="24" t="inlineStr">
        <is>
          <t>信用等级评估统一导入</t>
        </is>
      </c>
      <c r="D9443" s="24" t="inlineStr">
        <is>
          <t>04</t>
        </is>
      </c>
      <c r="E9443" s="24" t="inlineStr">
        <is>
          <t>技术和设计不可靠/存在技术问题和/或设计复杂</t>
        </is>
      </c>
    </row>
    <row r="9444" ht="15.95" customHeight="1" s="170">
      <c r="B9444" s="122" t="inlineStr">
        <is>
          <t>码值：IsComplete</t>
        </is>
      </c>
    </row>
    <row r="9445">
      <c r="B9445" s="24" t="inlineStr">
        <is>
          <t>IsComplete</t>
        </is>
      </c>
      <c r="C9445" s="24" t="inlineStr">
        <is>
          <t>是否完成</t>
        </is>
      </c>
      <c r="D9445" s="24" t="inlineStr">
        <is>
          <t>1</t>
        </is>
      </c>
      <c r="E9445" s="24" t="inlineStr">
        <is>
          <t>完整</t>
        </is>
      </c>
    </row>
    <row r="9446">
      <c r="B9446" s="24" t="inlineStr">
        <is>
          <t>IsComplete</t>
        </is>
      </c>
      <c r="C9446" s="24" t="inlineStr">
        <is>
          <t>是否完成</t>
        </is>
      </c>
      <c r="D9446" s="24" t="inlineStr">
        <is>
          <t>2</t>
        </is>
      </c>
      <c r="E9446" s="24" t="inlineStr">
        <is>
          <t>不完整</t>
        </is>
      </c>
    </row>
    <row r="9447" ht="15.95" customHeight="1" s="170">
      <c r="B9447" s="122" t="inlineStr">
        <is>
          <t>码值：ClDrawnApplyIndMain</t>
        </is>
      </c>
    </row>
    <row r="9448">
      <c r="B9448" s="24" t="inlineStr">
        <is>
          <t>ClDrawnApplyIndMain</t>
        </is>
      </c>
      <c r="C9448" s="24" t="inlineStr">
        <is>
          <t>个人额度提用申请主树图</t>
        </is>
      </c>
      <c r="D9448" s="24" t="inlineStr">
        <is>
          <t>1010</t>
        </is>
      </c>
      <c r="E9448" s="24" t="inlineStr">
        <is>
          <t>待处理</t>
        </is>
      </c>
    </row>
    <row r="9449">
      <c r="B9449" s="24" t="inlineStr">
        <is>
          <t>ClDrawnApplyIndMain</t>
        </is>
      </c>
      <c r="C9449" s="24" t="inlineStr">
        <is>
          <t>个人额度提用申请主树图</t>
        </is>
      </c>
      <c r="D9449" s="24" t="inlineStr">
        <is>
          <t>1020</t>
        </is>
      </c>
      <c r="E9449" s="24" t="inlineStr">
        <is>
          <t>审批中</t>
        </is>
      </c>
    </row>
    <row r="9450">
      <c r="B9450" s="24" t="inlineStr">
        <is>
          <t>ClDrawnApplyIndMain</t>
        </is>
      </c>
      <c r="C9450" s="24" t="inlineStr">
        <is>
          <t>个人额度提用申请主树图</t>
        </is>
      </c>
      <c r="D9450" s="24" t="inlineStr">
        <is>
          <t>1040,1050</t>
        </is>
      </c>
      <c r="E9450" s="24" t="inlineStr">
        <is>
          <t>处理完成</t>
        </is>
      </c>
    </row>
    <row r="9451" ht="15.95" customHeight="1" s="170">
      <c r="B9451" s="122" t="inlineStr">
        <is>
          <t>码值：AreaLoanFlag</t>
        </is>
      </c>
    </row>
    <row r="9452">
      <c r="B9452" s="24" t="inlineStr">
        <is>
          <t>AreaLoanFlag</t>
        </is>
      </c>
      <c r="C9452" s="24" t="inlineStr">
        <is>
          <t>异地贷款标志</t>
        </is>
      </c>
      <c r="D9452" s="24" t="inlineStr">
        <is>
          <t>010</t>
        </is>
      </c>
      <c r="E9452" s="24" t="inlineStr">
        <is>
          <t>非异地贷款</t>
        </is>
      </c>
    </row>
    <row r="9453">
      <c r="B9453" s="24" t="inlineStr">
        <is>
          <t>AreaLoanFlag</t>
        </is>
      </c>
      <c r="C9453" s="24" t="inlineStr">
        <is>
          <t>异地贷款标志</t>
        </is>
      </c>
      <c r="D9453" s="24" t="inlineStr">
        <is>
          <t>015</t>
        </is>
      </c>
      <c r="E9453" s="24" t="inlineStr">
        <is>
          <t>跨省贷款</t>
        </is>
      </c>
    </row>
    <row r="9454">
      <c r="B9454" s="24" t="inlineStr">
        <is>
          <t>AreaLoanFlag</t>
        </is>
      </c>
      <c r="C9454" s="24" t="inlineStr">
        <is>
          <t>异地贷款标志</t>
        </is>
      </c>
      <c r="D9454" s="24" t="inlineStr">
        <is>
          <t>020</t>
        </is>
      </c>
      <c r="E9454" s="24" t="inlineStr">
        <is>
          <t>跨市贷款</t>
        </is>
      </c>
    </row>
    <row r="9455" ht="15.95" customHeight="1" s="170">
      <c r="B9455" s="122" t="inlineStr">
        <is>
          <t>码值：CCyc</t>
        </is>
      </c>
    </row>
    <row r="9456">
      <c r="B9456" s="24" t="inlineStr">
        <is>
          <t>CCyc</t>
        </is>
      </c>
      <c r="C9456" s="24" t="inlineStr">
        <is>
          <t>扣款周期</t>
        </is>
      </c>
      <c r="D9456" s="24" t="inlineStr">
        <is>
          <t>0</t>
        </is>
      </c>
      <c r="E9456" s="24" t="inlineStr">
        <is>
          <t>按月计息</t>
        </is>
      </c>
    </row>
    <row r="9457">
      <c r="B9457" s="24" t="inlineStr">
        <is>
          <t>CCyc</t>
        </is>
      </c>
      <c r="C9457" s="24" t="inlineStr">
        <is>
          <t>扣款周期</t>
        </is>
      </c>
      <c r="D9457" s="24" t="inlineStr">
        <is>
          <t>1</t>
        </is>
      </c>
      <c r="E9457" s="24" t="inlineStr">
        <is>
          <t>按固定月数计息</t>
        </is>
      </c>
    </row>
    <row r="9458">
      <c r="B9458" s="24" t="inlineStr">
        <is>
          <t>CCyc</t>
        </is>
      </c>
      <c r="C9458" s="24" t="inlineStr">
        <is>
          <t>扣款周期</t>
        </is>
      </c>
      <c r="D9458" s="24" t="inlineStr">
        <is>
          <t>2</t>
        </is>
      </c>
      <c r="E9458" s="24" t="inlineStr">
        <is>
          <t>按季计息</t>
        </is>
      </c>
    </row>
    <row r="9459">
      <c r="B9459" s="24" t="inlineStr">
        <is>
          <t>CCyc</t>
        </is>
      </c>
      <c r="C9459" s="24" t="inlineStr">
        <is>
          <t>扣款周期</t>
        </is>
      </c>
      <c r="D9459" s="24" t="inlineStr">
        <is>
          <t>3</t>
        </is>
      </c>
      <c r="E9459" s="24" t="inlineStr">
        <is>
          <t>按留学半年计息</t>
        </is>
      </c>
    </row>
    <row r="9460" ht="15.95" customHeight="1" s="170">
      <c r="B9460" s="122" t="inlineStr">
        <is>
          <t>码值：产销情况</t>
        </is>
      </c>
    </row>
    <row r="9461">
      <c r="B9461" s="24" t="inlineStr">
        <is>
          <t>产销情况</t>
        </is>
      </c>
      <c r="C9461" s="24" t="inlineStr">
        <is>
          <t>产销情况</t>
        </is>
      </c>
      <c r="D9461" s="24" t="inlineStr">
        <is>
          <t>1</t>
        </is>
      </c>
      <c r="E9461" s="24" t="inlineStr">
        <is>
          <t>产销率在98%以上</t>
        </is>
      </c>
    </row>
    <row r="9462">
      <c r="B9462" s="24" t="inlineStr">
        <is>
          <t>产销情况</t>
        </is>
      </c>
      <c r="C9462" s="24" t="inlineStr">
        <is>
          <t>产销情况</t>
        </is>
      </c>
      <c r="D9462" s="24" t="inlineStr">
        <is>
          <t>2</t>
        </is>
      </c>
      <c r="E9462" s="24" t="inlineStr">
        <is>
          <t>95%--98%</t>
        </is>
      </c>
    </row>
    <row r="9463">
      <c r="B9463" s="24" t="inlineStr">
        <is>
          <t>产销情况</t>
        </is>
      </c>
      <c r="C9463" s="24" t="inlineStr">
        <is>
          <t>产销情况</t>
        </is>
      </c>
      <c r="D9463" s="24" t="inlineStr">
        <is>
          <t>3</t>
        </is>
      </c>
      <c r="E9463" s="24" t="inlineStr">
        <is>
          <t>92%--95%</t>
        </is>
      </c>
    </row>
    <row r="9464">
      <c r="B9464" s="24" t="inlineStr">
        <is>
          <t>产销情况</t>
        </is>
      </c>
      <c r="C9464" s="24" t="inlineStr">
        <is>
          <t>产销情况</t>
        </is>
      </c>
      <c r="D9464" s="24" t="inlineStr">
        <is>
          <t>4</t>
        </is>
      </c>
      <c r="E9464" s="24" t="inlineStr">
        <is>
          <t>92%以下</t>
        </is>
      </c>
    </row>
    <row r="9465" ht="15.95" customHeight="1" s="170">
      <c r="B9465" s="122" t="inlineStr">
        <is>
          <t>码值：HouseDirection</t>
        </is>
      </c>
    </row>
    <row r="9466">
      <c r="B9466" s="24" t="inlineStr">
        <is>
          <t>HouseDirection</t>
        </is>
      </c>
      <c r="C9466" s="24" t="inlineStr">
        <is>
          <t>房屋主要朝向</t>
        </is>
      </c>
      <c r="D9466" s="24" t="inlineStr">
        <is>
          <t>1</t>
        </is>
      </c>
      <c r="E9466" s="24" t="inlineStr">
        <is>
          <t xml:space="preserve">西北/北  </t>
        </is>
      </c>
    </row>
    <row r="9467">
      <c r="B9467" s="24" t="inlineStr">
        <is>
          <t>HouseDirection</t>
        </is>
      </c>
      <c r="C9467" s="24" t="inlineStr">
        <is>
          <t>房屋主要朝向</t>
        </is>
      </c>
      <c r="D9467" s="24" t="inlineStr">
        <is>
          <t>2</t>
        </is>
      </c>
      <c r="E9467" s="24" t="inlineStr">
        <is>
          <t xml:space="preserve">东/西/东西  </t>
        </is>
      </c>
    </row>
    <row r="9468">
      <c r="B9468" s="24" t="inlineStr">
        <is>
          <t>HouseDirection</t>
        </is>
      </c>
      <c r="C9468" s="24" t="inlineStr">
        <is>
          <t>房屋主要朝向</t>
        </is>
      </c>
      <c r="D9468" s="24" t="inlineStr">
        <is>
          <t>3</t>
        </is>
      </c>
      <c r="E9468" s="24" t="inlineStr">
        <is>
          <t xml:space="preserve">南/东南/南北  </t>
        </is>
      </c>
    </row>
    <row r="9469">
      <c r="B9469" s="24" t="inlineStr">
        <is>
          <t>HouseDirection</t>
        </is>
      </c>
      <c r="C9469" s="24" t="inlineStr">
        <is>
          <t>房屋主要朝向</t>
        </is>
      </c>
      <c r="D9469" s="24" t="inlineStr">
        <is>
          <t>4</t>
        </is>
      </c>
      <c r="E9469" s="24" t="inlineStr">
        <is>
          <t>东北</t>
        </is>
      </c>
    </row>
    <row r="9470">
      <c r="B9470" s="24" t="inlineStr">
        <is>
          <t>HouseDirection</t>
        </is>
      </c>
      <c r="C9470" s="24" t="inlineStr">
        <is>
          <t>房屋主要朝向</t>
        </is>
      </c>
      <c r="D9470" s="24" t="inlineStr">
        <is>
          <t>5</t>
        </is>
      </c>
      <c r="E9470" s="24" t="inlineStr">
        <is>
          <t>西南</t>
        </is>
      </c>
    </row>
    <row r="9471">
      <c r="B9471" s="24" t="inlineStr">
        <is>
          <t>HouseDirection</t>
        </is>
      </c>
      <c r="C9471" s="24" t="inlineStr">
        <is>
          <t>房屋主要朝向</t>
        </is>
      </c>
      <c r="D9471" s="24" t="inlineStr">
        <is>
          <t>6</t>
        </is>
      </c>
      <c r="E9471" s="24" t="inlineStr">
        <is>
          <t>其他</t>
        </is>
      </c>
    </row>
    <row r="9472" ht="15.95" customHeight="1" s="170">
      <c r="B9472" s="122" t="inlineStr">
        <is>
          <t>码值：CustomerStatus</t>
        </is>
      </c>
    </row>
    <row r="9473">
      <c r="B9473" s="24" t="inlineStr">
        <is>
          <t>CustomerStatus</t>
        </is>
      </c>
      <c r="C9473" s="24" t="inlineStr">
        <is>
          <t>客户状态</t>
        </is>
      </c>
      <c r="D9473" s="24" t="inlineStr">
        <is>
          <t>01</t>
        </is>
      </c>
      <c r="E9473" s="24" t="inlineStr">
        <is>
          <t>正常</t>
        </is>
      </c>
    </row>
    <row r="9474">
      <c r="B9474" s="24" t="inlineStr">
        <is>
          <t>CustomerStatus</t>
        </is>
      </c>
      <c r="C9474" s="24" t="inlineStr">
        <is>
          <t>客户状态</t>
        </is>
      </c>
      <c r="D9474" s="24" t="inlineStr">
        <is>
          <t>02</t>
        </is>
      </c>
      <c r="E9474" s="24" t="inlineStr">
        <is>
          <t>锁定</t>
        </is>
      </c>
    </row>
    <row r="9475">
      <c r="B9475" s="24" t="inlineStr">
        <is>
          <t>CustomerStatus</t>
        </is>
      </c>
      <c r="C9475" s="24" t="inlineStr">
        <is>
          <t>客户状态</t>
        </is>
      </c>
      <c r="D9475" s="24" t="inlineStr">
        <is>
          <t>03</t>
        </is>
      </c>
      <c r="E9475" s="24" t="inlineStr">
        <is>
          <t>休眠</t>
        </is>
      </c>
    </row>
    <row r="9476" ht="15.95" customHeight="1" s="170">
      <c r="B9476" s="122" t="inlineStr">
        <is>
          <t>码值：DuebillView</t>
        </is>
      </c>
    </row>
    <row r="9477">
      <c r="B9477" s="24" t="inlineStr">
        <is>
          <t>DuebillView</t>
        </is>
      </c>
      <c r="C9477" s="24" t="inlineStr">
        <is>
          <t>借据详情树图</t>
        </is>
      </c>
      <c r="D9477" s="24" t="inlineStr">
        <is>
          <t>010</t>
        </is>
      </c>
      <c r="E9477" s="24" t="inlineStr">
        <is>
          <t>基本信息</t>
        </is>
      </c>
    </row>
    <row r="9478">
      <c r="B9478" s="24" t="inlineStr">
        <is>
          <t>DuebillView</t>
        </is>
      </c>
      <c r="C9478" s="24" t="inlineStr">
        <is>
          <t>借据详情树图</t>
        </is>
      </c>
      <c r="D9478" s="24" t="inlineStr">
        <is>
          <t>020</t>
        </is>
      </c>
      <c r="E9478" s="24" t="inlineStr">
        <is>
          <t>交易记录</t>
        </is>
      </c>
    </row>
    <row r="9479">
      <c r="B9479" s="24" t="inlineStr">
        <is>
          <t>DuebillView</t>
        </is>
      </c>
      <c r="C9479" s="24" t="inlineStr">
        <is>
          <t>借据详情树图</t>
        </is>
      </c>
      <c r="D9479" s="24" t="inlineStr">
        <is>
          <t>030</t>
        </is>
      </c>
      <c r="E9479" s="24" t="inlineStr">
        <is>
          <t>分账信息</t>
        </is>
      </c>
    </row>
    <row r="9480" ht="15.95" customHeight="1" s="170">
      <c r="B9480" s="122" t="inlineStr">
        <is>
          <t>码值：AWEPageTxt</t>
        </is>
      </c>
    </row>
    <row r="9481">
      <c r="B9481" s="24" t="inlineStr">
        <is>
          <t>AWEPageTxt</t>
        </is>
      </c>
      <c r="C9481" s="24" t="inlineStr">
        <is>
          <t>A3Web页面文字对照</t>
        </is>
      </c>
      <c r="D9481" s="24" t="inlineStr">
        <is>
          <t>0010</t>
        </is>
      </c>
      <c r="E9481" s="24" t="inlineStr">
        <is>
          <t>主页</t>
        </is>
      </c>
    </row>
    <row r="9482">
      <c r="B9482" s="24" t="inlineStr">
        <is>
          <t>AWEPageTxt</t>
        </is>
      </c>
      <c r="C9482" s="24" t="inlineStr">
        <is>
          <t>A3Web页面文字对照</t>
        </is>
      </c>
      <c r="D9482" s="24" t="inlineStr">
        <is>
          <t>0020</t>
        </is>
      </c>
      <c r="E9482" s="24" t="inlineStr">
        <is>
          <t>皮肤</t>
        </is>
      </c>
    </row>
    <row r="9483">
      <c r="B9483" s="24" t="inlineStr">
        <is>
          <t>AWEPageTxt</t>
        </is>
      </c>
      <c r="C9483" s="24" t="inlineStr">
        <is>
          <t>A3Web页面文字对照</t>
        </is>
      </c>
      <c r="D9483" s="24" t="inlineStr">
        <is>
          <t>0030</t>
        </is>
      </c>
      <c r="E9483" s="24" t="inlineStr">
        <is>
          <t>我的信息</t>
        </is>
      </c>
    </row>
    <row r="9484">
      <c r="B9484" s="24" t="inlineStr">
        <is>
          <t>AWEPageTxt</t>
        </is>
      </c>
      <c r="C9484" s="24" t="inlineStr">
        <is>
          <t>A3Web页面文字对照</t>
        </is>
      </c>
      <c r="D9484" s="24" t="inlineStr">
        <is>
          <t>0040</t>
        </is>
      </c>
      <c r="E9484" s="24" t="inlineStr">
        <is>
          <t>安全退出</t>
        </is>
      </c>
    </row>
    <row r="9485">
      <c r="B9485" s="24" t="inlineStr">
        <is>
          <t>AWEPageTxt</t>
        </is>
      </c>
      <c r="C9485" s="24" t="inlineStr">
        <is>
          <t>A3Web页面文字对照</t>
        </is>
      </c>
      <c r="D9485" s="24" t="inlineStr">
        <is>
          <t>0050</t>
        </is>
      </c>
      <c r="E9485" s="24" t="inlineStr">
        <is>
          <t>当前机构</t>
        </is>
      </c>
    </row>
    <row r="9486">
      <c r="B9486" s="24" t="inlineStr">
        <is>
          <t>AWEPageTxt</t>
        </is>
      </c>
      <c r="C9486" s="24" t="inlineStr">
        <is>
          <t>A3Web页面文字对照</t>
        </is>
      </c>
      <c r="D9486" s="24" t="inlineStr">
        <is>
          <t>0060</t>
        </is>
      </c>
      <c r="E9486" s="24" t="inlineStr">
        <is>
          <t>当前用户</t>
        </is>
      </c>
    </row>
    <row r="9487">
      <c r="B9487" s="24" t="inlineStr">
        <is>
          <t>AWEPageTxt</t>
        </is>
      </c>
      <c r="C9487" s="24" t="inlineStr">
        <is>
          <t>A3Web页面文字对照</t>
        </is>
      </c>
      <c r="D9487" s="24" t="inlineStr">
        <is>
          <t>0070</t>
        </is>
      </c>
      <c r="E9487" s="24" t="inlineStr">
        <is>
          <t>手机号</t>
        </is>
      </c>
    </row>
    <row r="9488">
      <c r="B9488" s="24" t="inlineStr">
        <is>
          <t>AWEPageTxt</t>
        </is>
      </c>
      <c r="C9488" s="24" t="inlineStr">
        <is>
          <t>A3Web页面文字对照</t>
        </is>
      </c>
      <c r="D9488" s="24" t="inlineStr">
        <is>
          <t>0080</t>
        </is>
      </c>
      <c r="E9488" s="24" t="inlineStr">
        <is>
          <t>办公电话</t>
        </is>
      </c>
    </row>
    <row r="9489">
      <c r="B9489" s="24" t="inlineStr">
        <is>
          <t>AWEPageTxt</t>
        </is>
      </c>
      <c r="C9489" s="24" t="inlineStr">
        <is>
          <t>A3Web页面文字对照</t>
        </is>
      </c>
      <c r="D9489" s="24" t="inlineStr">
        <is>
          <t>0090</t>
        </is>
      </c>
      <c r="E9489" s="24" t="inlineStr">
        <is>
          <t>保存</t>
        </is>
      </c>
    </row>
    <row r="9490">
      <c r="B9490" s="24" t="inlineStr">
        <is>
          <t>AWEPageTxt</t>
        </is>
      </c>
      <c r="C9490" s="24" t="inlineStr">
        <is>
          <t>A3Web页面文字对照</t>
        </is>
      </c>
      <c r="D9490" s="24" t="inlineStr">
        <is>
          <t>0100</t>
        </is>
      </c>
      <c r="E9490" s="24" t="inlineStr">
        <is>
          <t>保存修改信息</t>
        </is>
      </c>
    </row>
    <row r="9491">
      <c r="B9491" s="24" t="inlineStr">
        <is>
          <t>AWEPageTxt</t>
        </is>
      </c>
      <c r="C9491" s="24" t="inlineStr">
        <is>
          <t>A3Web页面文字对照</t>
        </is>
      </c>
      <c r="D9491" s="24" t="inlineStr">
        <is>
          <t>0110</t>
        </is>
      </c>
      <c r="E9491" s="24" t="inlineStr">
        <is>
          <t>修改密码</t>
        </is>
      </c>
    </row>
    <row r="9492">
      <c r="B9492" s="24" t="inlineStr">
        <is>
          <t>AWEPageTxt</t>
        </is>
      </c>
      <c r="C9492" s="24" t="inlineStr">
        <is>
          <t>A3Web页面文字对照</t>
        </is>
      </c>
      <c r="D9492" s="24" t="inlineStr">
        <is>
          <t>0120</t>
        </is>
      </c>
      <c r="E9492" s="24" t="inlineStr">
        <is>
          <t>帮助</t>
        </is>
      </c>
    </row>
    <row r="9493">
      <c r="B9493" s="24" t="inlineStr">
        <is>
          <t>AWEPageTxt</t>
        </is>
      </c>
      <c r="C9493" s="24" t="inlineStr">
        <is>
          <t>A3Web页面文字对照</t>
        </is>
      </c>
      <c r="D9493" s="24" t="inlineStr">
        <is>
          <t>0130</t>
        </is>
      </c>
      <c r="E9493" s="24" t="inlineStr">
        <is>
          <t>查看本页面的内容</t>
        </is>
      </c>
    </row>
    <row r="9494">
      <c r="B9494" s="24" t="inlineStr">
        <is>
          <t>AWEPageTxt</t>
        </is>
      </c>
      <c r="C9494" s="24" t="inlineStr">
        <is>
          <t>A3Web页面文字对照</t>
        </is>
      </c>
      <c r="D9494" s="24" t="inlineStr">
        <is>
          <t>0140</t>
        </is>
      </c>
      <c r="E9494" s="24" t="inlineStr">
        <is>
          <t>编辑帮助</t>
        </is>
      </c>
    </row>
    <row r="9495">
      <c r="B9495" s="24" t="inlineStr">
        <is>
          <t>AWEPageTxt</t>
        </is>
      </c>
      <c r="C9495" s="24" t="inlineStr">
        <is>
          <t>A3Web页面文字对照</t>
        </is>
      </c>
      <c r="D9495" s="24" t="inlineStr">
        <is>
          <t>0150</t>
        </is>
      </c>
      <c r="E9495" s="24" t="inlineStr">
        <is>
          <t>编辑本页面的内容</t>
        </is>
      </c>
    </row>
    <row r="9496">
      <c r="B9496" s="24" t="inlineStr">
        <is>
          <t>AWEPageTxt</t>
        </is>
      </c>
      <c r="C9496" s="24" t="inlineStr">
        <is>
          <t>A3Web页面文字对照</t>
        </is>
      </c>
      <c r="D9496" s="24" t="inlineStr">
        <is>
          <t>0160</t>
        </is>
      </c>
      <c r="E9496" s="24" t="inlineStr">
        <is>
          <t>请输入</t>
        </is>
      </c>
    </row>
    <row r="9497">
      <c r="B9497" s="24" t="inlineStr">
        <is>
          <t>AWEPageTxt</t>
        </is>
      </c>
      <c r="C9497" s="24" t="inlineStr">
        <is>
          <t>A3Web页面文字对照</t>
        </is>
      </c>
      <c r="D9497" s="24" t="inlineStr">
        <is>
          <t>0170</t>
        </is>
      </c>
      <c r="E9497" s="24" t="inlineStr">
        <is>
          <t>请输入正确的日期格式</t>
        </is>
      </c>
    </row>
    <row r="9498">
      <c r="B9498" s="24" t="inlineStr">
        <is>
          <t>AWEPageTxt</t>
        </is>
      </c>
      <c r="C9498" s="24" t="inlineStr">
        <is>
          <t>A3Web页面文字对照</t>
        </is>
      </c>
      <c r="D9498" s="24" t="inlineStr">
        <is>
          <t>0180</t>
        </is>
      </c>
      <c r="E9498" s="24" t="inlineStr">
        <is>
          <t>您输入的ColHeader(ColLimit字节)超长</t>
        </is>
      </c>
    </row>
    <row r="9499">
      <c r="B9499" s="24" t="inlineStr">
        <is>
          <t>AWEPageTxt</t>
        </is>
      </c>
      <c r="C9499" s="24" t="inlineStr">
        <is>
          <t>A3Web页面文字对照</t>
        </is>
      </c>
      <c r="D9499" s="24" t="inlineStr">
        <is>
          <t>1071</t>
        </is>
      </c>
      <c r="E9499" s="24" t="inlineStr">
        <is>
          <t>上一页</t>
        </is>
      </c>
    </row>
    <row r="9500">
      <c r="B9500" s="24" t="inlineStr">
        <is>
          <t>AWEPageTxt</t>
        </is>
      </c>
      <c r="C9500" s="24" t="inlineStr">
        <is>
          <t>A3Web页面文字对照</t>
        </is>
      </c>
      <c r="D9500" s="24" t="inlineStr">
        <is>
          <t>1072</t>
        </is>
      </c>
      <c r="E9500" s="24" t="inlineStr">
        <is>
          <t>下一页</t>
        </is>
      </c>
    </row>
    <row r="9501">
      <c r="B9501" s="24" t="inlineStr">
        <is>
          <t>AWEPageTxt</t>
        </is>
      </c>
      <c r="C9501" s="24" t="inlineStr">
        <is>
          <t>A3Web页面文字对照</t>
        </is>
      </c>
      <c r="D9501" s="24" t="inlineStr">
        <is>
          <t>1073</t>
        </is>
      </c>
      <c r="E9501" s="24" t="inlineStr">
        <is>
          <t>确定</t>
        </is>
      </c>
    </row>
    <row r="9502">
      <c r="B9502" s="24" t="inlineStr">
        <is>
          <t>AWEPageTxt</t>
        </is>
      </c>
      <c r="C9502" s="24" t="inlineStr">
        <is>
          <t>A3Web页面文字对照</t>
        </is>
      </c>
      <c r="D9502" s="24" t="inlineStr">
        <is>
          <t>1074</t>
        </is>
      </c>
      <c r="E9502" s="24" t="inlineStr">
        <is>
          <t>共pageCount页 rowCount条</t>
        </is>
      </c>
    </row>
    <row r="9503">
      <c r="B9503" s="24" t="inlineStr">
        <is>
          <t>AWEPageTxt</t>
        </is>
      </c>
      <c r="C9503" s="24" t="inlineStr">
        <is>
          <t>A3Web页面文字对照</t>
        </is>
      </c>
      <c r="D9503" s="24" t="inlineStr">
        <is>
          <t>1075</t>
        </is>
      </c>
      <c r="E9503" s="24" t="inlineStr">
        <is>
          <t>到第Page页</t>
        </is>
      </c>
    </row>
    <row r="9504">
      <c r="B9504" s="24" t="inlineStr">
        <is>
          <t>AWEPageTxt</t>
        </is>
      </c>
      <c r="C9504" s="24" t="inlineStr">
        <is>
          <t>A3Web页面文字对照</t>
        </is>
      </c>
      <c r="D9504" s="24" t="inlineStr">
        <is>
          <t>标准</t>
        </is>
      </c>
      <c r="E9504" s="24" t="inlineStr">
        <is>
          <t>标准风格主题</t>
        </is>
      </c>
    </row>
    <row r="9505">
      <c r="B9505" s="24" t="inlineStr">
        <is>
          <t>AWEPageTxt</t>
        </is>
      </c>
      <c r="C9505" s="24" t="inlineStr">
        <is>
          <t>A3Web页面文字对照</t>
        </is>
      </c>
      <c r="D9505" s="24" t="inlineStr">
        <is>
          <t>科技</t>
        </is>
      </c>
      <c r="E9505" s="24" t="inlineStr">
        <is>
          <t>科技风格主题</t>
        </is>
      </c>
    </row>
    <row r="9506">
      <c r="B9506" s="24" t="inlineStr">
        <is>
          <t>AWEPageTxt</t>
        </is>
      </c>
      <c r="C9506" s="24" t="inlineStr">
        <is>
          <t>A3Web页面文字对照</t>
        </is>
      </c>
      <c r="D9506" s="24" t="inlineStr">
        <is>
          <t>经典</t>
        </is>
      </c>
      <c r="E9506" s="24" t="inlineStr">
        <is>
          <t>经典风格主题</t>
        </is>
      </c>
    </row>
    <row r="9507" ht="15.95" customHeight="1" s="170">
      <c r="B9507" s="122" t="inlineStr">
        <is>
          <t>码值：DunObjectType</t>
        </is>
      </c>
    </row>
    <row r="9508">
      <c r="B9508" s="24" t="inlineStr">
        <is>
          <t>DunObjectType</t>
        </is>
      </c>
      <c r="C9508" s="24" t="inlineStr">
        <is>
          <t>催收对象类型</t>
        </is>
      </c>
      <c r="D9508" s="24" t="inlineStr">
        <is>
          <t>01</t>
        </is>
      </c>
      <c r="E9508" s="24" t="inlineStr">
        <is>
          <t>借款人</t>
        </is>
      </c>
    </row>
    <row r="9509">
      <c r="B9509" s="24" t="inlineStr">
        <is>
          <t>DunObjectType</t>
        </is>
      </c>
      <c r="C9509" s="24" t="inlineStr">
        <is>
          <t>催收对象类型</t>
        </is>
      </c>
      <c r="D9509" s="24" t="inlineStr">
        <is>
          <t>02</t>
        </is>
      </c>
      <c r="E9509" s="24" t="inlineStr">
        <is>
          <t>保证人</t>
        </is>
      </c>
    </row>
    <row r="9510">
      <c r="B9510" s="24" t="inlineStr">
        <is>
          <t>DunObjectType</t>
        </is>
      </c>
      <c r="C9510" s="24" t="inlineStr">
        <is>
          <t>催收对象类型</t>
        </is>
      </c>
      <c r="D9510" s="24" t="inlineStr">
        <is>
          <t>03</t>
        </is>
      </c>
      <c r="E9510" s="24" t="inlineStr">
        <is>
          <t>其他</t>
        </is>
      </c>
    </row>
    <row r="9511" ht="15.95" customHeight="1" s="170">
      <c r="B9511" s="122" t="inlineStr">
        <is>
          <t>码值：ColType</t>
        </is>
      </c>
    </row>
    <row r="9512">
      <c r="B9512" s="24" t="inlineStr">
        <is>
          <t>ColType</t>
        </is>
      </c>
      <c r="C9512" s="24" t="inlineStr">
        <is>
          <t>字段类型</t>
        </is>
      </c>
      <c r="D9512" s="24" t="inlineStr">
        <is>
          <t>01</t>
        </is>
      </c>
      <c r="E9512" s="24" t="inlineStr">
        <is>
          <t>流水号字段</t>
        </is>
      </c>
    </row>
    <row r="9513">
      <c r="B9513" s="24" t="inlineStr">
        <is>
          <t>ColType</t>
        </is>
      </c>
      <c r="C9513" s="24" t="inlineStr">
        <is>
          <t>字段类型</t>
        </is>
      </c>
      <c r="D9513" s="24" t="inlineStr">
        <is>
          <t>02</t>
        </is>
      </c>
      <c r="E9513" s="24" t="inlineStr">
        <is>
          <t>表关联字段</t>
        </is>
      </c>
    </row>
    <row r="9514">
      <c r="B9514" s="24" t="inlineStr">
        <is>
          <t>ColType</t>
        </is>
      </c>
      <c r="C9514" s="24" t="inlineStr">
        <is>
          <t>字段类型</t>
        </is>
      </c>
      <c r="D9514" s="24" t="inlineStr">
        <is>
          <t>03</t>
        </is>
      </c>
      <c r="E9514" s="24" t="inlineStr">
        <is>
          <t>业务信息字段</t>
        </is>
      </c>
    </row>
    <row r="9515">
      <c r="B9515" s="24" t="inlineStr">
        <is>
          <t>ColType</t>
        </is>
      </c>
      <c r="C9515" s="24" t="inlineStr">
        <is>
          <t>字段类型</t>
        </is>
      </c>
      <c r="D9515" s="24" t="inlineStr">
        <is>
          <t>04</t>
        </is>
      </c>
      <c r="E9515" s="24" t="inlineStr">
        <is>
          <t>复杂业务状态字段</t>
        </is>
      </c>
    </row>
    <row r="9516">
      <c r="B9516" s="24" t="inlineStr">
        <is>
          <t>ColType</t>
        </is>
      </c>
      <c r="C9516" s="24" t="inlineStr">
        <is>
          <t>字段类型</t>
        </is>
      </c>
      <c r="D9516" s="24" t="inlineStr">
        <is>
          <t>05</t>
        </is>
      </c>
      <c r="E9516" s="24" t="inlineStr">
        <is>
          <t>系统标签字段</t>
        </is>
      </c>
    </row>
    <row r="9517">
      <c r="B9517" s="24" t="inlineStr">
        <is>
          <t>ColType</t>
        </is>
      </c>
      <c r="C9517" s="24" t="inlineStr">
        <is>
          <t>字段类型</t>
        </is>
      </c>
      <c r="D9517" s="24" t="inlineStr">
        <is>
          <t>06</t>
        </is>
      </c>
      <c r="E9517" s="24" t="inlineStr">
        <is>
          <t>待扩展字段</t>
        </is>
      </c>
    </row>
    <row r="9518" ht="15.95" customHeight="1" s="170">
      <c r="B9518" s="122" t="inlineStr">
        <is>
          <t>码值：InternalControls</t>
        </is>
      </c>
    </row>
    <row r="9519">
      <c r="B9519" s="24" t="inlineStr">
        <is>
          <t>InternalControls</t>
        </is>
      </c>
      <c r="C9519" s="24" t="inlineStr">
        <is>
          <t>信用等级评估统一导入</t>
        </is>
      </c>
      <c r="D9519" s="24" t="inlineStr">
        <is>
          <t>01</t>
        </is>
      </c>
      <c r="E9519" s="24" t="inlineStr">
        <is>
          <t>企业有完善的内部控制体系，有成熟的内审部门对企业运作定期审查，且已经形成基于COSO的内部控制体系</t>
        </is>
      </c>
    </row>
    <row r="9520">
      <c r="B9520" s="24" t="inlineStr">
        <is>
          <t>InternalControls</t>
        </is>
      </c>
      <c r="C9520" s="24" t="inlineStr">
        <is>
          <t>信用等级评估统一导入</t>
        </is>
      </c>
      <c r="D9520" s="24" t="inlineStr">
        <is>
          <t>02</t>
        </is>
      </c>
      <c r="E9520" s="24" t="inlineStr">
        <is>
          <t>企业有较好的内部控制体系，有内审部门对企业运作各个环节定期审查，且形成相应的报告体系</t>
        </is>
      </c>
    </row>
    <row r="9521">
      <c r="B9521" s="24" t="inlineStr">
        <is>
          <t>InternalControls</t>
        </is>
      </c>
      <c r="C9521" s="24" t="inlineStr">
        <is>
          <t>信用等级评估统一导入</t>
        </is>
      </c>
      <c r="D9521" s="24" t="inlineStr">
        <is>
          <t>03</t>
        </is>
      </c>
      <c r="E9521" s="24" t="inlineStr">
        <is>
          <t>企业有内部控制体系，有内审部门的设置，但是未能形成相应的定期报告体系</t>
        </is>
      </c>
    </row>
    <row r="9522">
      <c r="B9522" s="24" t="inlineStr">
        <is>
          <t>InternalControls</t>
        </is>
      </c>
      <c r="C9522" s="24" t="inlineStr">
        <is>
          <t>信用等级评估统一导入</t>
        </is>
      </c>
      <c r="D9522" s="24" t="inlineStr">
        <is>
          <t>04</t>
        </is>
      </c>
      <c r="E9522" s="24" t="inlineStr">
        <is>
          <t>企业没有内部控制体系</t>
        </is>
      </c>
    </row>
    <row r="9523" ht="15.95" customHeight="1" s="170">
      <c r="B9523" s="122" t="inlineStr">
        <is>
          <t>码值：1656428367175923149</t>
        </is>
      </c>
    </row>
    <row r="9524">
      <c r="B9524" s="24" t="inlineStr">
        <is>
          <t>1656428367175923149</t>
        </is>
      </c>
      <c r="C9524" s="24" t="inlineStr">
        <is>
          <t>1656428367175923149</t>
        </is>
      </c>
      <c r="D9524" s="24" t="inlineStr">
        <is>
          <t>1010</t>
        </is>
      </c>
      <c r="E9524" s="24" t="inlineStr">
        <is>
          <t>申请阶段1010</t>
        </is>
      </c>
    </row>
    <row r="9525">
      <c r="B9525" s="24" t="inlineStr">
        <is>
          <t>1656428367175923149</t>
        </is>
      </c>
      <c r="C9525" s="24" t="inlineStr">
        <is>
          <t>1656428367175923149</t>
        </is>
      </c>
      <c r="D9525" s="24" t="inlineStr">
        <is>
          <t>1020</t>
        </is>
      </c>
      <c r="E9525" s="24" t="inlineStr">
        <is>
          <t>申请阶段1020</t>
        </is>
      </c>
    </row>
    <row r="9526">
      <c r="B9526" s="24" t="inlineStr">
        <is>
          <t>1656428367175923149</t>
        </is>
      </c>
      <c r="C9526" s="24" t="inlineStr">
        <is>
          <t>1656428367175923149</t>
        </is>
      </c>
      <c r="D9526" s="24" t="inlineStr">
        <is>
          <t>1040</t>
        </is>
      </c>
      <c r="E9526" s="24" t="inlineStr">
        <is>
          <t>申请阶段1040</t>
        </is>
      </c>
    </row>
    <row r="9527">
      <c r="B9527" s="24" t="inlineStr">
        <is>
          <t>1656428367175923149</t>
        </is>
      </c>
      <c r="C9527" s="24" t="inlineStr">
        <is>
          <t>1656428367175923149</t>
        </is>
      </c>
      <c r="D9527" s="24" t="inlineStr">
        <is>
          <t>1050</t>
        </is>
      </c>
      <c r="E9527" s="24" t="inlineStr">
        <is>
          <t>申请阶段1050</t>
        </is>
      </c>
    </row>
    <row r="9528" ht="15.95" customHeight="1" s="170">
      <c r="B9528" s="122" t="inlineStr">
        <is>
          <t>码值：ActionType</t>
        </is>
      </c>
    </row>
    <row r="9529">
      <c r="B9529" s="24" t="inlineStr">
        <is>
          <t>ActionType</t>
        </is>
      </c>
      <c r="C9529" s="24" t="inlineStr">
        <is>
          <t>紧急行动</t>
        </is>
      </c>
      <c r="D9529" s="24" t="inlineStr">
        <is>
          <t>01</t>
        </is>
      </c>
      <c r="E9529" s="24" t="inlineStr">
        <is>
          <t>提前收回贷款</t>
        </is>
      </c>
    </row>
    <row r="9530">
      <c r="B9530" s="24" t="inlineStr">
        <is>
          <t>ActionType</t>
        </is>
      </c>
      <c r="C9530" s="24" t="inlineStr">
        <is>
          <t>紧急行动</t>
        </is>
      </c>
      <c r="D9530" s="24" t="inlineStr">
        <is>
          <t>02</t>
        </is>
      </c>
      <c r="E9530" s="24" t="inlineStr">
        <is>
          <t>停止额度使用</t>
        </is>
      </c>
    </row>
    <row r="9531">
      <c r="B9531" s="24" t="inlineStr">
        <is>
          <t>ActionType</t>
        </is>
      </c>
      <c r="C9531" s="24" t="inlineStr">
        <is>
          <t>紧急行动</t>
        </is>
      </c>
      <c r="D9531" s="24" t="inlineStr">
        <is>
          <t>03</t>
        </is>
      </c>
      <c r="E9531" s="24" t="inlineStr">
        <is>
          <t>冻结保证金</t>
        </is>
      </c>
    </row>
    <row r="9532">
      <c r="B9532" s="24" t="inlineStr">
        <is>
          <t>ActionType</t>
        </is>
      </c>
      <c r="C9532" s="24" t="inlineStr">
        <is>
          <t>紧急行动</t>
        </is>
      </c>
      <c r="D9532" s="24" t="inlineStr">
        <is>
          <t>04</t>
        </is>
      </c>
      <c r="E9532" s="24" t="inlineStr">
        <is>
          <t>法律诉讼</t>
        </is>
      </c>
    </row>
    <row r="9533">
      <c r="B9533" s="24" t="inlineStr">
        <is>
          <t>ActionType</t>
        </is>
      </c>
      <c r="C9533" s="24" t="inlineStr">
        <is>
          <t>紧急行动</t>
        </is>
      </c>
      <c r="D9533" s="24" t="inlineStr">
        <is>
          <t>99</t>
        </is>
      </c>
      <c r="E9533" s="24" t="inlineStr">
        <is>
          <t>其他</t>
        </is>
      </c>
    </row>
    <row r="9534" ht="15.95" customHeight="1" s="170">
      <c r="B9534" s="122" t="inlineStr">
        <is>
          <t>码值：GuarantorRegularCheckMain</t>
        </is>
      </c>
    </row>
    <row r="9535">
      <c r="B9535" s="24" t="inlineStr">
        <is>
          <t>GuarantorRegularCheckMain</t>
        </is>
      </c>
      <c r="C9535" s="24" t="inlineStr">
        <is>
          <t>担保公司客户定期贷后检查申请</t>
        </is>
      </c>
      <c r="D9535" s="24" t="inlineStr">
        <is>
          <t>1010</t>
        </is>
      </c>
      <c r="E9535" s="24" t="inlineStr">
        <is>
          <t>待处理</t>
        </is>
      </c>
    </row>
    <row r="9536">
      <c r="B9536" s="24" t="inlineStr">
        <is>
          <t>GuarantorRegularCheckMain</t>
        </is>
      </c>
      <c r="C9536" s="24" t="inlineStr">
        <is>
          <t>担保公司客户定期贷后检查申请</t>
        </is>
      </c>
      <c r="D9536" s="24" t="inlineStr">
        <is>
          <t>1020</t>
        </is>
      </c>
      <c r="E9536" s="24" t="inlineStr">
        <is>
          <t>审批中</t>
        </is>
      </c>
    </row>
    <row r="9537">
      <c r="B9537" s="24" t="inlineStr">
        <is>
          <t>GuarantorRegularCheckMain</t>
        </is>
      </c>
      <c r="C9537" s="24" t="inlineStr">
        <is>
          <t>担保公司客户定期贷后检查申请</t>
        </is>
      </c>
      <c r="D9537" s="24" t="inlineStr">
        <is>
          <t>1040,1050</t>
        </is>
      </c>
      <c r="E9537" s="24" t="inlineStr">
        <is>
          <t>处理完成</t>
        </is>
      </c>
    </row>
    <row r="9538" ht="15.95" customHeight="1" s="170">
      <c r="B9538" s="122" t="inlineStr">
        <is>
          <t>码值：EvaluateMethod</t>
        </is>
      </c>
    </row>
    <row r="9539">
      <c r="B9539" s="24" t="inlineStr">
        <is>
          <t>EvaluateMethod</t>
        </is>
      </c>
      <c r="C9539" s="24" t="inlineStr">
        <is>
          <t>评估方法</t>
        </is>
      </c>
      <c r="D9539" s="24" t="inlineStr">
        <is>
          <t>01</t>
        </is>
      </c>
      <c r="E9539" s="24" t="inlineStr">
        <is>
          <t>市场定价法</t>
        </is>
      </c>
    </row>
    <row r="9540">
      <c r="B9540" s="24" t="inlineStr">
        <is>
          <t>EvaluateMethod</t>
        </is>
      </c>
      <c r="C9540" s="24" t="inlineStr">
        <is>
          <t>评估方法</t>
        </is>
      </c>
      <c r="D9540" s="24" t="inlineStr">
        <is>
          <t>02</t>
        </is>
      </c>
      <c r="E9540" s="24" t="inlineStr">
        <is>
          <t>重置</t>
        </is>
      </c>
    </row>
    <row r="9541">
      <c r="B9541" s="24" t="inlineStr">
        <is>
          <t>EvaluateMethod</t>
        </is>
      </c>
      <c r="C9541" s="24" t="inlineStr">
        <is>
          <t>评估方法</t>
        </is>
      </c>
      <c r="D9541" s="24" t="inlineStr">
        <is>
          <t>03</t>
        </is>
      </c>
      <c r="E9541" s="24" t="inlineStr">
        <is>
          <t>成本法</t>
        </is>
      </c>
    </row>
    <row r="9542">
      <c r="B9542" s="24" t="inlineStr">
        <is>
          <t>EvaluateMethod</t>
        </is>
      </c>
      <c r="C9542" s="24" t="inlineStr">
        <is>
          <t>评估方法</t>
        </is>
      </c>
      <c r="D9542" s="24" t="inlineStr">
        <is>
          <t>04</t>
        </is>
      </c>
      <c r="E9542" s="24" t="inlineStr">
        <is>
          <t>其他</t>
        </is>
      </c>
    </row>
    <row r="9543" ht="15.95" customHeight="1" s="170">
      <c r="B9543" s="122" t="inlineStr">
        <is>
          <t>码值：HouseFlag</t>
        </is>
      </c>
    </row>
    <row r="9544">
      <c r="B9544" s="24" t="inlineStr">
        <is>
          <t>HouseFlag</t>
        </is>
      </c>
      <c r="C9544" s="24" t="inlineStr">
        <is>
          <t>房屋状况</t>
        </is>
      </c>
      <c r="D9544" s="24" t="inlineStr">
        <is>
          <t>01</t>
        </is>
      </c>
      <c r="E9544" s="24" t="inlineStr">
        <is>
          <t>期房</t>
        </is>
      </c>
    </row>
    <row r="9545">
      <c r="B9545" s="24" t="inlineStr">
        <is>
          <t>HouseFlag</t>
        </is>
      </c>
      <c r="C9545" s="24" t="inlineStr">
        <is>
          <t>房屋状况</t>
        </is>
      </c>
      <c r="D9545" s="24" t="inlineStr">
        <is>
          <t>02</t>
        </is>
      </c>
      <c r="E9545" s="24" t="inlineStr">
        <is>
          <t>现房</t>
        </is>
      </c>
    </row>
    <row r="9546" ht="15.95" customHeight="1" s="170">
      <c r="B9546" s="122" t="inlineStr">
        <is>
          <t>码值：ProductRequirementStability</t>
        </is>
      </c>
    </row>
    <row r="9547">
      <c r="B9547" s="24" t="inlineStr">
        <is>
          <t>ProductRequirementStability</t>
        </is>
      </c>
      <c r="C9547" s="24" t="inlineStr">
        <is>
          <t>信用等级评估统一导入</t>
        </is>
      </c>
      <c r="D9547" s="24" t="inlineStr">
        <is>
          <t>01</t>
        </is>
      </c>
      <c r="E9547" s="24" t="inlineStr">
        <is>
          <t>产品需求不受产品更新周期影响，同时具有很强的抵御经济周期的能力</t>
        </is>
      </c>
    </row>
    <row r="9548">
      <c r="B9548" s="24" t="inlineStr">
        <is>
          <t>ProductRequirementStability</t>
        </is>
      </c>
      <c r="C9548" s="24" t="inlineStr">
        <is>
          <t>信用等级评估统一导入</t>
        </is>
      </c>
      <c r="D9548" s="24" t="inlineStr">
        <is>
          <t>02</t>
        </is>
      </c>
      <c r="E9548" s="24" t="inlineStr">
        <is>
          <t>产品需求受产品更新周期的影响较小，同时具有较强的抵御经济周期的能力</t>
        </is>
      </c>
    </row>
    <row r="9549">
      <c r="B9549" s="24" t="inlineStr">
        <is>
          <t>ProductRequirementStability</t>
        </is>
      </c>
      <c r="C9549" s="24" t="inlineStr">
        <is>
          <t>信用等级评估统一导入</t>
        </is>
      </c>
      <c r="D9549" s="24" t="inlineStr">
        <is>
          <t>03</t>
        </is>
      </c>
      <c r="E9549" s="24" t="inlineStr">
        <is>
          <t>产品需求受产品更新周期的影响适中，抵御经济周期的能力一般</t>
        </is>
      </c>
    </row>
    <row r="9550">
      <c r="B9550" s="24" t="inlineStr">
        <is>
          <t>ProductRequirementStability</t>
        </is>
      </c>
      <c r="C9550" s="24" t="inlineStr">
        <is>
          <t>信用等级评估统一导入</t>
        </is>
      </c>
      <c r="D9550" s="24" t="inlineStr">
        <is>
          <t>04</t>
        </is>
      </c>
      <c r="E9550" s="24" t="inlineStr">
        <is>
          <t>产品需求受产品更新周期的影响较大，或者随经济周期有较大的波动</t>
        </is>
      </c>
    </row>
    <row r="9551">
      <c r="B9551" s="24" t="inlineStr">
        <is>
          <t>ProductRequirementStability</t>
        </is>
      </c>
      <c r="C9551" s="24" t="inlineStr">
        <is>
          <t>信用等级评估统一导入</t>
        </is>
      </c>
      <c r="D9551" s="24" t="inlineStr">
        <is>
          <t>05</t>
        </is>
      </c>
      <c r="E9551" s="24" t="inlineStr">
        <is>
          <t>产品需求受产品更新周期的影响非常大，或者随经济周期有显著的波动</t>
        </is>
      </c>
    </row>
    <row r="9552" ht="15.95" customHeight="1" s="170">
      <c r="B9552" s="122" t="inlineStr">
        <is>
          <t>码值：CoreManagementYear</t>
        </is>
      </c>
    </row>
    <row r="9553">
      <c r="B9553" s="24" t="inlineStr">
        <is>
          <t>CoreManagementYear</t>
        </is>
      </c>
      <c r="C9553" s="24" t="inlineStr">
        <is>
          <t>信用等级评估统一导入</t>
        </is>
      </c>
      <c r="D9553" s="24" t="inlineStr">
        <is>
          <t>01</t>
        </is>
      </c>
      <c r="E9553" s="24" t="inlineStr">
        <is>
          <t>15年以上</t>
        </is>
      </c>
    </row>
    <row r="9554">
      <c r="B9554" s="24" t="inlineStr">
        <is>
          <t>CoreManagementYear</t>
        </is>
      </c>
      <c r="C9554" s="24" t="inlineStr">
        <is>
          <t>信用等级评估统一导入</t>
        </is>
      </c>
      <c r="D9554" s="24" t="inlineStr">
        <is>
          <t>02</t>
        </is>
      </c>
      <c r="E9554" s="24" t="inlineStr">
        <is>
          <t>7-15年</t>
        </is>
      </c>
    </row>
    <row r="9555">
      <c r="B9555" s="24" t="inlineStr">
        <is>
          <t>CoreManagementYear</t>
        </is>
      </c>
      <c r="C9555" s="24" t="inlineStr">
        <is>
          <t>信用等级评估统一导入</t>
        </is>
      </c>
      <c r="D9555" s="24" t="inlineStr">
        <is>
          <t>03</t>
        </is>
      </c>
      <c r="E9555" s="24" t="inlineStr">
        <is>
          <t xml:space="preserve">3-7年 </t>
        </is>
      </c>
    </row>
    <row r="9556">
      <c r="B9556" s="24" t="inlineStr">
        <is>
          <t>CoreManagementYear</t>
        </is>
      </c>
      <c r="C9556" s="24" t="inlineStr">
        <is>
          <t>信用等级评估统一导入</t>
        </is>
      </c>
      <c r="D9556" s="24" t="inlineStr">
        <is>
          <t>04</t>
        </is>
      </c>
      <c r="E9556" s="24" t="inlineStr">
        <is>
          <t>3年以下</t>
        </is>
      </c>
    </row>
    <row r="9557" ht="15.95" customHeight="1" s="170">
      <c r="B9557" s="122" t="inlineStr">
        <is>
          <t>码值：RiskReserveStatus</t>
        </is>
      </c>
    </row>
    <row r="9558">
      <c r="B9558" s="24" t="inlineStr">
        <is>
          <t>RiskReserveStatus</t>
        </is>
      </c>
      <c r="C9558" s="24" t="inlineStr">
        <is>
          <t>减值计提认定状态</t>
        </is>
      </c>
      <c r="D9558" s="24" t="inlineStr">
        <is>
          <t>01</t>
        </is>
      </c>
      <c r="E9558" s="24" t="inlineStr">
        <is>
          <t>未认定</t>
        </is>
      </c>
    </row>
    <row r="9559">
      <c r="B9559" s="24" t="inlineStr">
        <is>
          <t>RiskReserveStatus</t>
        </is>
      </c>
      <c r="C9559" s="24" t="inlineStr">
        <is>
          <t>减值计提认定状态</t>
        </is>
      </c>
      <c r="D9559" s="24" t="inlineStr">
        <is>
          <t>02</t>
        </is>
      </c>
      <c r="E9559" s="24" t="inlineStr">
        <is>
          <t>已认定</t>
        </is>
      </c>
    </row>
    <row r="9560" ht="15.95" customHeight="1" s="170">
      <c r="B9560" s="122" t="inlineStr">
        <is>
          <t>码值：SMEView</t>
        </is>
      </c>
    </row>
    <row r="9561">
      <c r="B9561" s="24" t="inlineStr">
        <is>
          <t>SMEView</t>
        </is>
      </c>
      <c r="C9561" s="24" t="inlineStr">
        <is>
          <t>中小企业客户详情视图</t>
        </is>
      </c>
      <c r="D9561" s="24" t="inlineStr">
        <is>
          <t>010</t>
        </is>
      </c>
      <c r="E9561" s="24" t="inlineStr">
        <is>
          <t>客户基本信息</t>
        </is>
      </c>
    </row>
    <row r="9562">
      <c r="B9562" s="24" t="inlineStr">
        <is>
          <t>SMEView</t>
        </is>
      </c>
      <c r="C9562" s="24" t="inlineStr">
        <is>
          <t>中小企业客户详情视图</t>
        </is>
      </c>
      <c r="D9562" s="24" t="inlineStr">
        <is>
          <t>010005</t>
        </is>
      </c>
      <c r="E9562" s="24" t="inlineStr">
        <is>
          <t>中小企业客户资质认定信息</t>
        </is>
      </c>
    </row>
    <row r="9563">
      <c r="B9563" s="24" t="inlineStr">
        <is>
          <t>SMEView</t>
        </is>
      </c>
      <c r="C9563" s="24" t="inlineStr">
        <is>
          <t>中小企业客户详情视图</t>
        </is>
      </c>
      <c r="D9563" s="24" t="inlineStr">
        <is>
          <t>010010</t>
        </is>
      </c>
      <c r="E9563" s="24" t="inlineStr">
        <is>
          <t>客户概况</t>
        </is>
      </c>
    </row>
    <row r="9564">
      <c r="B9564" s="24" t="inlineStr">
        <is>
          <t>SMEView</t>
        </is>
      </c>
      <c r="C9564" s="24" t="inlineStr">
        <is>
          <t>中小企业客户详情视图</t>
        </is>
      </c>
      <c r="D9564" s="24" t="inlineStr">
        <is>
          <t>010020</t>
        </is>
      </c>
      <c r="E9564" s="24" t="inlineStr">
        <is>
          <t>客户高管信息</t>
        </is>
      </c>
    </row>
    <row r="9565">
      <c r="B9565" s="24" t="inlineStr">
        <is>
          <t>SMEView</t>
        </is>
      </c>
      <c r="C9565" s="24" t="inlineStr">
        <is>
          <t>中小企业客户详情视图</t>
        </is>
      </c>
      <c r="D9565" s="24" t="inlineStr">
        <is>
          <t>010025</t>
        </is>
      </c>
      <c r="E9565" s="24" t="inlineStr">
        <is>
          <t>法人代表家族成员信息</t>
        </is>
      </c>
    </row>
    <row r="9566">
      <c r="B9566" s="24" t="inlineStr">
        <is>
          <t>SMEView</t>
        </is>
      </c>
      <c r="C9566" s="24" t="inlineStr">
        <is>
          <t>中小企业客户详情视图</t>
        </is>
      </c>
      <c r="D9566" s="24" t="inlineStr">
        <is>
          <t>010030</t>
        </is>
      </c>
      <c r="E9566" s="24" t="inlineStr">
        <is>
          <t>股东情况</t>
        </is>
      </c>
    </row>
    <row r="9567">
      <c r="B9567" s="24" t="inlineStr">
        <is>
          <t>SMEView</t>
        </is>
      </c>
      <c r="C9567" s="24" t="inlineStr">
        <is>
          <t>中小企业客户详情视图</t>
        </is>
      </c>
      <c r="D9567" s="24" t="inlineStr">
        <is>
          <t>010040</t>
        </is>
      </c>
      <c r="E9567" s="24" t="inlineStr">
        <is>
          <t>对外股权投资情况</t>
        </is>
      </c>
    </row>
    <row r="9568">
      <c r="B9568" s="24" t="inlineStr">
        <is>
          <t>SMEView</t>
        </is>
      </c>
      <c r="C9568" s="24" t="inlineStr">
        <is>
          <t>中小企业客户详情视图</t>
        </is>
      </c>
      <c r="D9568" s="24" t="inlineStr">
        <is>
          <t>010050</t>
        </is>
      </c>
      <c r="E9568" s="24" t="inlineStr">
        <is>
          <t>上下游企业关联</t>
        </is>
      </c>
    </row>
    <row r="9569">
      <c r="B9569" s="24" t="inlineStr">
        <is>
          <t>SMEView</t>
        </is>
      </c>
      <c r="C9569" s="24" t="inlineStr">
        <is>
          <t>中小企业客户详情视图</t>
        </is>
      </c>
      <c r="D9569" s="24" t="inlineStr">
        <is>
          <t>010055</t>
        </is>
      </c>
      <c r="E9569" s="24" t="inlineStr">
        <is>
          <t>所属集团信息</t>
        </is>
      </c>
    </row>
    <row r="9570">
      <c r="B9570" s="24" t="inlineStr">
        <is>
          <t>SMEView</t>
        </is>
      </c>
      <c r="C9570" s="24" t="inlineStr">
        <is>
          <t>中小企业客户详情视图</t>
        </is>
      </c>
      <c r="D9570" s="24" t="inlineStr">
        <is>
          <t>010060</t>
        </is>
      </c>
      <c r="E9570" s="24" t="inlineStr">
        <is>
          <t>股票发行信息</t>
        </is>
      </c>
    </row>
    <row r="9571">
      <c r="B9571" s="24" t="inlineStr">
        <is>
          <t>SMEView</t>
        </is>
      </c>
      <c r="C9571" s="24" t="inlineStr">
        <is>
          <t>中小企业客户详情视图</t>
        </is>
      </c>
      <c r="D9571" s="24" t="inlineStr">
        <is>
          <t>010070</t>
        </is>
      </c>
      <c r="E9571" s="24" t="inlineStr">
        <is>
          <t>债券发行信息</t>
        </is>
      </c>
    </row>
    <row r="9572">
      <c r="B9572" s="24" t="inlineStr">
        <is>
          <t>SMEView</t>
        </is>
      </c>
      <c r="C9572" s="24" t="inlineStr">
        <is>
          <t>中小企业客户详情视图</t>
        </is>
      </c>
      <c r="D9572" s="24" t="inlineStr">
        <is>
          <t>010080</t>
        </is>
      </c>
      <c r="E9572" s="24" t="inlineStr">
        <is>
          <t>客户资质与认证信息</t>
        </is>
      </c>
    </row>
    <row r="9573">
      <c r="B9573" s="24" t="inlineStr">
        <is>
          <t>SMEView</t>
        </is>
      </c>
      <c r="C9573" s="24" t="inlineStr">
        <is>
          <t>中小企业客户详情视图</t>
        </is>
      </c>
      <c r="D9573" s="24" t="inlineStr">
        <is>
          <t>010080010</t>
        </is>
      </c>
      <c r="E9573" s="24" t="inlineStr">
        <is>
          <t>房地产资质情况</t>
        </is>
      </c>
    </row>
    <row r="9574">
      <c r="B9574" s="24" t="inlineStr">
        <is>
          <t>SMEView</t>
        </is>
      </c>
      <c r="C9574" s="24" t="inlineStr">
        <is>
          <t>中小企业客户详情视图</t>
        </is>
      </c>
      <c r="D9574" s="24" t="inlineStr">
        <is>
          <t>010080020</t>
        </is>
      </c>
      <c r="E9574" s="24" t="inlineStr">
        <is>
          <t>进出口贸易情况</t>
        </is>
      </c>
    </row>
    <row r="9575">
      <c r="B9575" s="24" t="inlineStr">
        <is>
          <t>SMEView</t>
        </is>
      </c>
      <c r="C9575" s="24" t="inlineStr">
        <is>
          <t>中小企业客户详情视图</t>
        </is>
      </c>
      <c r="D9575" s="24" t="inlineStr">
        <is>
          <t>010080030</t>
        </is>
      </c>
      <c r="E9575" s="24" t="inlineStr">
        <is>
          <t>特许经营行业情况</t>
        </is>
      </c>
    </row>
    <row r="9576">
      <c r="B9576" s="24" t="inlineStr">
        <is>
          <t>SMEView</t>
        </is>
      </c>
      <c r="C9576" s="24" t="inlineStr">
        <is>
          <t>中小企业客户详情视图</t>
        </is>
      </c>
      <c r="D9576" s="24" t="inlineStr">
        <is>
          <t>010080040</t>
        </is>
      </c>
      <c r="E9576" s="24" t="inlineStr">
        <is>
          <t>相关认证信息</t>
        </is>
      </c>
    </row>
    <row r="9577">
      <c r="B9577" s="24" t="inlineStr">
        <is>
          <t>SMEView</t>
        </is>
      </c>
      <c r="C9577" s="24" t="inlineStr">
        <is>
          <t>中小企业客户详情视图</t>
        </is>
      </c>
      <c r="D9577" s="24" t="inlineStr">
        <is>
          <t>010085</t>
        </is>
      </c>
      <c r="E9577" s="24" t="inlineStr">
        <is>
          <t>客户涉诉信息</t>
        </is>
      </c>
    </row>
    <row r="9578">
      <c r="B9578" s="24" t="inlineStr">
        <is>
          <t>SMEView</t>
        </is>
      </c>
      <c r="C9578" s="24" t="inlineStr">
        <is>
          <t>中小企业客户详情视图</t>
        </is>
      </c>
      <c r="D9578" s="24" t="inlineStr">
        <is>
          <t>010090</t>
        </is>
      </c>
      <c r="E9578" s="24" t="inlineStr">
        <is>
          <t>客户大事记</t>
        </is>
      </c>
    </row>
    <row r="9579">
      <c r="B9579" s="24" t="inlineStr">
        <is>
          <t>SMEView</t>
        </is>
      </c>
      <c r="C9579" s="24" t="inlineStr">
        <is>
          <t>中小企业客户详情视图</t>
        </is>
      </c>
      <c r="D9579" s="24" t="inlineStr">
        <is>
          <t>010100</t>
        </is>
      </c>
      <c r="E9579" s="24" t="inlineStr">
        <is>
          <t>参与项目情况</t>
        </is>
      </c>
    </row>
    <row r="9580">
      <c r="B9580" s="24" t="inlineStr">
        <is>
          <t>SMEView</t>
        </is>
      </c>
      <c r="C9580" s="24" t="inlineStr">
        <is>
          <t>中小企业客户详情视图</t>
        </is>
      </c>
      <c r="D9580" s="24" t="inlineStr">
        <is>
          <t>010110</t>
        </is>
      </c>
      <c r="E9580" s="24" t="inlineStr">
        <is>
          <t>客户提供相关资料</t>
        </is>
      </c>
    </row>
    <row r="9581">
      <c r="B9581" s="24" t="inlineStr">
        <is>
          <t>SMEView</t>
        </is>
      </c>
      <c r="C9581" s="24" t="inlineStr">
        <is>
          <t>中小企业客户详情视图</t>
        </is>
      </c>
      <c r="D9581" s="24" t="inlineStr">
        <is>
          <t>020</t>
        </is>
      </c>
      <c r="E9581" s="24" t="inlineStr">
        <is>
          <t>客户财务信息</t>
        </is>
      </c>
    </row>
    <row r="9582">
      <c r="B9582" s="24" t="inlineStr">
        <is>
          <t>SMEView</t>
        </is>
      </c>
      <c r="C9582" s="24" t="inlineStr">
        <is>
          <t>中小企业客户详情视图</t>
        </is>
      </c>
      <c r="D9582" s="24" t="inlineStr">
        <is>
          <t>020010</t>
        </is>
      </c>
      <c r="E9582" s="24" t="inlineStr">
        <is>
          <t>财务报表</t>
        </is>
      </c>
    </row>
    <row r="9583">
      <c r="B9583" s="24" t="inlineStr">
        <is>
          <t>SMEView</t>
        </is>
      </c>
      <c r="C9583" s="24" t="inlineStr">
        <is>
          <t>中小企业客户详情视图</t>
        </is>
      </c>
      <c r="D9583" s="24" t="inlineStr">
        <is>
          <t>020020</t>
        </is>
      </c>
      <c r="E9583" s="24" t="inlineStr">
        <is>
          <t>客户资产与负债明细</t>
        </is>
      </c>
    </row>
    <row r="9584">
      <c r="B9584" s="24" t="inlineStr">
        <is>
          <t>SMEView</t>
        </is>
      </c>
      <c r="C9584" s="24" t="inlineStr">
        <is>
          <t>中小企业客户详情视图</t>
        </is>
      </c>
      <c r="D9584" s="24" t="inlineStr">
        <is>
          <t>020020010</t>
        </is>
      </c>
      <c r="E9584" s="24" t="inlineStr">
        <is>
          <t>应收应付账款信息</t>
        </is>
      </c>
    </row>
    <row r="9585">
      <c r="B9585" s="24" t="inlineStr">
        <is>
          <t>SMEView</t>
        </is>
      </c>
      <c r="C9585" s="24" t="inlineStr">
        <is>
          <t>中小企业客户详情视图</t>
        </is>
      </c>
      <c r="D9585" s="24" t="inlineStr">
        <is>
          <t>020020020</t>
        </is>
      </c>
      <c r="E9585" s="24" t="inlineStr">
        <is>
          <t>存货信息</t>
        </is>
      </c>
    </row>
    <row r="9586">
      <c r="B9586" s="24" t="inlineStr">
        <is>
          <t>SMEView</t>
        </is>
      </c>
      <c r="C9586" s="24" t="inlineStr">
        <is>
          <t>中小企业客户详情视图</t>
        </is>
      </c>
      <c r="D9586" s="24" t="inlineStr">
        <is>
          <t>020020030</t>
        </is>
      </c>
      <c r="E9586" s="24" t="inlineStr">
        <is>
          <t>固定资产信息</t>
        </is>
      </c>
    </row>
    <row r="9587">
      <c r="B9587" s="24" t="inlineStr">
        <is>
          <t>SMEView</t>
        </is>
      </c>
      <c r="C9587" s="24" t="inlineStr">
        <is>
          <t>中小企业客户详情视图</t>
        </is>
      </c>
      <c r="D9587" s="24" t="inlineStr">
        <is>
          <t>020020035</t>
        </is>
      </c>
      <c r="E9587" s="24" t="inlineStr">
        <is>
          <t>无形资产信息</t>
        </is>
      </c>
    </row>
    <row r="9588">
      <c r="B9588" s="24" t="inlineStr">
        <is>
          <t>SMEView</t>
        </is>
      </c>
      <c r="C9588" s="24" t="inlineStr">
        <is>
          <t>中小企业客户详情视图</t>
        </is>
      </c>
      <c r="D9588" s="24" t="inlineStr">
        <is>
          <t>020020040</t>
        </is>
      </c>
      <c r="E9588" s="24" t="inlineStr">
        <is>
          <t>持有股票信息</t>
        </is>
      </c>
    </row>
    <row r="9589">
      <c r="B9589" s="24" t="inlineStr">
        <is>
          <t>SMEView</t>
        </is>
      </c>
      <c r="C9589" s="24" t="inlineStr">
        <is>
          <t>中小企业客户详情视图</t>
        </is>
      </c>
      <c r="D9589" s="24" t="inlineStr">
        <is>
          <t>020020050</t>
        </is>
      </c>
      <c r="E9589" s="24" t="inlineStr">
        <is>
          <t>持有债券信息</t>
        </is>
      </c>
    </row>
    <row r="9590">
      <c r="B9590" s="24" t="inlineStr">
        <is>
          <t>SMEView</t>
        </is>
      </c>
      <c r="C9590" s="24" t="inlineStr">
        <is>
          <t>中小企业客户详情视图</t>
        </is>
      </c>
      <c r="D9590" s="24" t="inlineStr">
        <is>
          <t>020020060</t>
        </is>
      </c>
      <c r="E9590" s="24" t="inlineStr">
        <is>
          <t>纳税信息</t>
        </is>
      </c>
    </row>
    <row r="9591">
      <c r="B9591" s="24" t="inlineStr">
        <is>
          <t>SMEView</t>
        </is>
      </c>
      <c r="C9591" s="24" t="inlineStr">
        <is>
          <t>中小企业客户详情视图</t>
        </is>
      </c>
      <c r="D9591" s="24" t="inlineStr">
        <is>
          <t>040</t>
        </is>
      </c>
      <c r="E9591" s="24" t="inlineStr">
        <is>
          <t>客户关联信息</t>
        </is>
      </c>
    </row>
    <row r="9592">
      <c r="B9592" s="24" t="inlineStr">
        <is>
          <t>SMEView</t>
        </is>
      </c>
      <c r="C9592" s="24" t="inlineStr">
        <is>
          <t>中小企业客户详情视图</t>
        </is>
      </c>
      <c r="D9592" s="24" t="inlineStr">
        <is>
          <t>040010</t>
        </is>
      </c>
      <c r="E9592" s="24" t="inlineStr">
        <is>
          <t>资金关联方业务信息</t>
        </is>
      </c>
    </row>
    <row r="9593">
      <c r="B9593" s="24" t="inlineStr">
        <is>
          <t>SMEView</t>
        </is>
      </c>
      <c r="C9593" s="24" t="inlineStr">
        <is>
          <t>中小企业客户详情视图</t>
        </is>
      </c>
      <c r="D9593" s="24" t="inlineStr">
        <is>
          <t>040010010</t>
        </is>
      </c>
      <c r="E9593" s="24" t="inlineStr">
        <is>
          <t>授信额度信息</t>
        </is>
      </c>
    </row>
    <row r="9594">
      <c r="B9594" s="24" t="inlineStr">
        <is>
          <t>SMEView</t>
        </is>
      </c>
      <c r="C9594" s="24" t="inlineStr">
        <is>
          <t>中小企业客户详情视图</t>
        </is>
      </c>
      <c r="D9594" s="24" t="inlineStr">
        <is>
          <t>040010020</t>
        </is>
      </c>
      <c r="E9594" s="24" t="inlineStr">
        <is>
          <t>未结清授信业务情况</t>
        </is>
      </c>
    </row>
    <row r="9595">
      <c r="B9595" s="24" t="inlineStr">
        <is>
          <t>SMEView</t>
        </is>
      </c>
      <c r="C9595" s="24" t="inlineStr">
        <is>
          <t>中小企业客户详情视图</t>
        </is>
      </c>
      <c r="D9595" s="24" t="inlineStr">
        <is>
          <t>040010030</t>
        </is>
      </c>
      <c r="E9595" s="24" t="inlineStr">
        <is>
          <t>已结清授信业务情况</t>
        </is>
      </c>
    </row>
    <row r="9596">
      <c r="B9596" s="24" t="inlineStr">
        <is>
          <t>SMEView</t>
        </is>
      </c>
      <c r="C9596" s="24" t="inlineStr">
        <is>
          <t>中小企业客户详情视图</t>
        </is>
      </c>
      <c r="D9596" s="24" t="inlineStr">
        <is>
          <t>040010040</t>
        </is>
      </c>
      <c r="E9596" s="24" t="inlineStr">
        <is>
          <t>为本行客户提供担保情况</t>
        </is>
      </c>
    </row>
    <row r="9597">
      <c r="B9597" s="24" t="inlineStr">
        <is>
          <t>SMEView</t>
        </is>
      </c>
      <c r="C9597" s="24" t="inlineStr">
        <is>
          <t>中小企业客户详情视图</t>
        </is>
      </c>
      <c r="D9597" s="24" t="inlineStr">
        <is>
          <t>040010050</t>
        </is>
      </c>
      <c r="E9597" s="24" t="inlineStr">
        <is>
          <t>被本行客户担保情况</t>
        </is>
      </c>
    </row>
    <row r="9598">
      <c r="B9598" s="24" t="inlineStr">
        <is>
          <t>SMEView</t>
        </is>
      </c>
      <c r="C9598" s="24" t="inlineStr">
        <is>
          <t>中小企业客户详情视图</t>
        </is>
      </c>
      <c r="D9598" s="24" t="inlineStr">
        <is>
          <t>040010060</t>
        </is>
      </c>
      <c r="E9598" s="24" t="inlineStr">
        <is>
          <t>业务申请情况</t>
        </is>
      </c>
    </row>
    <row r="9599">
      <c r="B9599" s="24" t="inlineStr">
        <is>
          <t>SMEView</t>
        </is>
      </c>
      <c r="C9599" s="24" t="inlineStr">
        <is>
          <t>中小企业客户详情视图</t>
        </is>
      </c>
      <c r="D9599" s="24" t="inlineStr">
        <is>
          <t>040020</t>
        </is>
      </c>
      <c r="E9599" s="24" t="inlineStr">
        <is>
          <t>关联关系智能搜索</t>
        </is>
      </c>
    </row>
    <row r="9600">
      <c r="B9600" s="24" t="inlineStr">
        <is>
          <t>SMEView</t>
        </is>
      </c>
      <c r="C9600" s="24" t="inlineStr">
        <is>
          <t>中小企业客户详情视图</t>
        </is>
      </c>
      <c r="D9600" s="24" t="inlineStr">
        <is>
          <t>040030</t>
        </is>
      </c>
      <c r="E9600" s="24" t="inlineStr">
        <is>
          <t>担保关系智能搜索</t>
        </is>
      </c>
    </row>
    <row r="9601">
      <c r="B9601" s="24" t="inlineStr">
        <is>
          <t>SMEView</t>
        </is>
      </c>
      <c r="C9601" s="24" t="inlineStr">
        <is>
          <t>中小企业客户详情视图</t>
        </is>
      </c>
      <c r="D9601" s="24" t="inlineStr">
        <is>
          <t>050</t>
        </is>
      </c>
      <c r="E9601" s="24" t="inlineStr">
        <is>
          <t>客户信用信息</t>
        </is>
      </c>
    </row>
    <row r="9602">
      <c r="B9602" s="24" t="inlineStr">
        <is>
          <t>SMEView</t>
        </is>
      </c>
      <c r="C9602" s="24" t="inlineStr">
        <is>
          <t>中小企业客户详情视图</t>
        </is>
      </c>
      <c r="D9602" s="24" t="inlineStr">
        <is>
          <t>050010</t>
        </is>
      </c>
      <c r="E9602" s="24" t="inlineStr">
        <is>
          <t>授信额度信息</t>
        </is>
      </c>
    </row>
    <row r="9603">
      <c r="B9603" s="24" t="inlineStr">
        <is>
          <t>SMEView</t>
        </is>
      </c>
      <c r="C9603" s="24" t="inlineStr">
        <is>
          <t>中小企业客户详情视图</t>
        </is>
      </c>
      <c r="D9603" s="24" t="inlineStr">
        <is>
          <t>050020</t>
        </is>
      </c>
      <c r="E9603" s="24" t="inlineStr">
        <is>
          <t>未结清授信业务情况</t>
        </is>
      </c>
    </row>
    <row r="9604">
      <c r="B9604" s="24" t="inlineStr">
        <is>
          <t>SMEView</t>
        </is>
      </c>
      <c r="C9604" s="24" t="inlineStr">
        <is>
          <t>中小企业客户详情视图</t>
        </is>
      </c>
      <c r="D9604" s="24" t="inlineStr">
        <is>
          <t>050030</t>
        </is>
      </c>
      <c r="E9604" s="24" t="inlineStr">
        <is>
          <t>已结清授信业务情况</t>
        </is>
      </c>
    </row>
    <row r="9605">
      <c r="B9605" s="24" t="inlineStr">
        <is>
          <t>SMEView</t>
        </is>
      </c>
      <c r="C9605" s="24" t="inlineStr">
        <is>
          <t>中小企业客户详情视图</t>
        </is>
      </c>
      <c r="D9605" s="24" t="inlineStr">
        <is>
          <t>050040</t>
        </is>
      </c>
      <c r="E9605" s="24" t="inlineStr">
        <is>
          <t>为本行客户提供担保情况</t>
        </is>
      </c>
    </row>
    <row r="9606">
      <c r="B9606" s="24" t="inlineStr">
        <is>
          <t>SMEView</t>
        </is>
      </c>
      <c r="C9606" s="24" t="inlineStr">
        <is>
          <t>中小企业客户详情视图</t>
        </is>
      </c>
      <c r="D9606" s="24" t="inlineStr">
        <is>
          <t>050050</t>
        </is>
      </c>
      <c r="E9606" s="24" t="inlineStr">
        <is>
          <t>被本行客户担保情况</t>
        </is>
      </c>
    </row>
    <row r="9607">
      <c r="B9607" s="24" t="inlineStr">
        <is>
          <t>SMEView</t>
        </is>
      </c>
      <c r="C9607" s="24" t="inlineStr">
        <is>
          <t>中小企业客户详情视图</t>
        </is>
      </c>
      <c r="D9607" s="24" t="inlineStr">
        <is>
          <t>050060</t>
        </is>
      </c>
      <c r="E9607" s="24" t="inlineStr">
        <is>
          <t>业务申请情况</t>
        </is>
      </c>
    </row>
    <row r="9608">
      <c r="B9608" s="24" t="inlineStr">
        <is>
          <t>SMEView</t>
        </is>
      </c>
      <c r="C9608" s="24" t="inlineStr">
        <is>
          <t>中小企业客户详情视图</t>
        </is>
      </c>
      <c r="D9608" s="24" t="inlineStr">
        <is>
          <t>050070</t>
        </is>
      </c>
      <c r="E9608" s="24" t="inlineStr">
        <is>
          <t>客户在我行涉诉情况</t>
        </is>
      </c>
    </row>
    <row r="9609">
      <c r="B9609" s="24" t="inlineStr">
        <is>
          <t>SMEView</t>
        </is>
      </c>
      <c r="C9609" s="24" t="inlineStr">
        <is>
          <t>中小企业客户详情视图</t>
        </is>
      </c>
      <c r="D9609" s="24" t="inlineStr">
        <is>
          <t>050080</t>
        </is>
      </c>
      <c r="E9609" s="24" t="inlineStr">
        <is>
          <t>在其他金融机构业务活动</t>
        </is>
      </c>
    </row>
    <row r="9610">
      <c r="B9610" s="24" t="inlineStr">
        <is>
          <t>SMEView</t>
        </is>
      </c>
      <c r="C9610" s="24" t="inlineStr">
        <is>
          <t>中小企业客户详情视图</t>
        </is>
      </c>
      <c r="D9610" s="24" t="inlineStr">
        <is>
          <t>050090</t>
        </is>
      </c>
      <c r="E9610" s="24" t="inlineStr">
        <is>
          <t>客户征信信息</t>
        </is>
      </c>
    </row>
    <row r="9611">
      <c r="B9611" s="24" t="inlineStr">
        <is>
          <t>SMEView</t>
        </is>
      </c>
      <c r="C9611" s="24" t="inlineStr">
        <is>
          <t>中小企业客户详情视图</t>
        </is>
      </c>
      <c r="D9611" s="24" t="inlineStr">
        <is>
          <t>080</t>
        </is>
      </c>
      <c r="E9611" s="24" t="inlineStr">
        <is>
          <t>客户信用分析</t>
        </is>
      </c>
    </row>
    <row r="9612">
      <c r="B9612" s="24" t="inlineStr">
        <is>
          <t>SMEView</t>
        </is>
      </c>
      <c r="C9612" s="24" t="inlineStr">
        <is>
          <t>中小企业客户详情视图</t>
        </is>
      </c>
      <c r="D9612" s="24" t="inlineStr">
        <is>
          <t>080010</t>
        </is>
      </c>
      <c r="E9612" s="24" t="inlineStr">
        <is>
          <t>财务分析</t>
        </is>
      </c>
    </row>
    <row r="9613">
      <c r="B9613" s="24" t="inlineStr">
        <is>
          <t>SMEView</t>
        </is>
      </c>
      <c r="C9613" s="24" t="inlineStr">
        <is>
          <t>中小企业客户详情视图</t>
        </is>
      </c>
      <c r="D9613" s="24" t="inlineStr">
        <is>
          <t>080015</t>
        </is>
      </c>
      <c r="E9613" s="24" t="inlineStr">
        <is>
          <t>现金流预测</t>
        </is>
      </c>
    </row>
    <row r="9614">
      <c r="B9614" s="24" t="inlineStr">
        <is>
          <t>SMEView</t>
        </is>
      </c>
      <c r="C9614" s="24" t="inlineStr">
        <is>
          <t>中小企业客户详情视图</t>
        </is>
      </c>
      <c r="D9614" s="24" t="inlineStr">
        <is>
          <t>080020</t>
        </is>
      </c>
      <c r="E9614" s="24" t="inlineStr">
        <is>
          <t>客户情况分析</t>
        </is>
      </c>
    </row>
    <row r="9615">
      <c r="B9615" s="24" t="inlineStr">
        <is>
          <t>SMEView</t>
        </is>
      </c>
      <c r="C9615" s="24" t="inlineStr">
        <is>
          <t>中小企业客户详情视图</t>
        </is>
      </c>
      <c r="D9615" s="24" t="inlineStr">
        <is>
          <t>080030</t>
        </is>
      </c>
      <c r="E9615" s="24" t="inlineStr">
        <is>
          <t>客户信用等级评估</t>
        </is>
      </c>
    </row>
    <row r="9616">
      <c r="B9616" s="24" t="inlineStr">
        <is>
          <t>SMEView</t>
        </is>
      </c>
      <c r="C9616" s="24" t="inlineStr">
        <is>
          <t>中小企业客户详情视图</t>
        </is>
      </c>
      <c r="D9616" s="24" t="inlineStr">
        <is>
          <t>080040</t>
        </is>
      </c>
      <c r="E9616" s="24" t="inlineStr">
        <is>
          <t>风险预警信号</t>
        </is>
      </c>
    </row>
    <row r="9617">
      <c r="B9617" s="24" t="inlineStr">
        <is>
          <t>SMEView</t>
        </is>
      </c>
      <c r="C9617" s="24" t="inlineStr">
        <is>
          <t>中小企业客户详情视图</t>
        </is>
      </c>
      <c r="D9617" s="24" t="inlineStr">
        <is>
          <t>080050</t>
        </is>
      </c>
      <c r="E9617" s="24" t="inlineStr">
        <is>
          <t>最高授信限额参考</t>
        </is>
      </c>
    </row>
    <row r="9618">
      <c r="B9618" s="24" t="inlineStr">
        <is>
          <t>SMEView</t>
        </is>
      </c>
      <c r="C9618" s="24" t="inlineStr">
        <is>
          <t>中小企业客户详情视图</t>
        </is>
      </c>
      <c r="D9618" s="24" t="inlineStr">
        <is>
          <t>090</t>
        </is>
      </c>
      <c r="E9618" s="24" t="inlineStr">
        <is>
          <t>对客户工作与维护</t>
        </is>
      </c>
    </row>
    <row r="9619">
      <c r="B9619" s="24" t="inlineStr">
        <is>
          <t>SMEView</t>
        </is>
      </c>
      <c r="C9619" s="24" t="inlineStr">
        <is>
          <t>中小企业客户详情视图</t>
        </is>
      </c>
      <c r="D9619" s="24" t="inlineStr">
        <is>
          <t>090020</t>
        </is>
      </c>
      <c r="E9619" s="24" t="inlineStr">
        <is>
          <t>客户经理工作笔记</t>
        </is>
      </c>
    </row>
    <row r="9620">
      <c r="B9620" s="24" t="inlineStr">
        <is>
          <t>SMEView</t>
        </is>
      </c>
      <c r="C9620" s="24" t="inlineStr">
        <is>
          <t>中小企业客户详情视图</t>
        </is>
      </c>
      <c r="D9620" s="24" t="inlineStr">
        <is>
          <t>100</t>
        </is>
      </c>
      <c r="E9620" s="24" t="inlineStr">
        <is>
          <t>管户权一览</t>
        </is>
      </c>
    </row>
    <row r="9621">
      <c r="B9621" s="24" t="inlineStr">
        <is>
          <t>SMEView</t>
        </is>
      </c>
      <c r="C9621" s="24" t="inlineStr">
        <is>
          <t>中小企业客户详情视图</t>
        </is>
      </c>
      <c r="D9621" s="24" t="inlineStr">
        <is>
          <t>110</t>
        </is>
      </c>
      <c r="E9621" s="24" t="inlineStr">
        <is>
          <t>其他信息</t>
        </is>
      </c>
    </row>
    <row r="9622">
      <c r="B9622" s="24" t="inlineStr">
        <is>
          <t>SMEView</t>
        </is>
      </c>
      <c r="C9622" s="24" t="inlineStr">
        <is>
          <t>中小企业客户详情视图</t>
        </is>
      </c>
      <c r="D9622" s="24" t="inlineStr">
        <is>
          <t>110010</t>
        </is>
      </c>
      <c r="E9622" s="24" t="inlineStr">
        <is>
          <t>客户信息维护记录</t>
        </is>
      </c>
    </row>
    <row r="9623">
      <c r="B9623" s="24" t="inlineStr">
        <is>
          <t>SMEView</t>
        </is>
      </c>
      <c r="C9623" s="24" t="inlineStr">
        <is>
          <t>中小企业客户详情视图</t>
        </is>
      </c>
      <c r="D9623" s="24" t="inlineStr">
        <is>
          <t>110020</t>
        </is>
      </c>
      <c r="E9623" s="24" t="inlineStr">
        <is>
          <t>客户管户变更记录</t>
        </is>
      </c>
    </row>
    <row r="9624">
      <c r="B9624" s="24" t="inlineStr">
        <is>
          <t>SMEView</t>
        </is>
      </c>
      <c r="C9624" s="24" t="inlineStr">
        <is>
          <t>中小企业客户详情视图</t>
        </is>
      </c>
      <c r="D9624" s="24" t="inlineStr">
        <is>
          <t>110030</t>
        </is>
      </c>
      <c r="E9624" s="24" t="inlineStr">
        <is>
          <t>客户引入记录</t>
        </is>
      </c>
    </row>
    <row r="9625" ht="15.95" customHeight="1" s="170">
      <c r="B9625" s="122" t="inlineStr">
        <is>
          <t>码值：周边房产成交情况X</t>
        </is>
      </c>
    </row>
    <row r="9626">
      <c r="B9626" s="24" t="inlineStr">
        <is>
          <t>周边房产成交情况X</t>
        </is>
      </c>
      <c r="C9626" s="24" t="inlineStr">
        <is>
          <t>周边相似类型房产成交情况</t>
        </is>
      </c>
      <c r="D9626" s="24" t="inlineStr">
        <is>
          <t>01</t>
        </is>
      </c>
      <c r="E9626" s="24" t="inlineStr">
        <is>
          <t>项目所在地区周边楼盘销售情况强劲</t>
        </is>
      </c>
    </row>
    <row r="9627">
      <c r="B9627" s="24" t="inlineStr">
        <is>
          <t>周边房产成交情况X</t>
        </is>
      </c>
      <c r="C9627" s="24" t="inlineStr">
        <is>
          <t>周边相似类型房产成交情况</t>
        </is>
      </c>
      <c r="D9627" s="24" t="inlineStr">
        <is>
          <t>02</t>
        </is>
      </c>
      <c r="E9627" s="24" t="inlineStr">
        <is>
          <t>项目所在地区周边楼盘销售情况一般</t>
        </is>
      </c>
    </row>
    <row r="9628">
      <c r="B9628" s="24" t="inlineStr">
        <is>
          <t>周边房产成交情况X</t>
        </is>
      </c>
      <c r="C9628" s="24" t="inlineStr">
        <is>
          <t>周边相似类型房产成交情况</t>
        </is>
      </c>
      <c r="D9628" s="24" t="inlineStr">
        <is>
          <t>03</t>
        </is>
      </c>
      <c r="E9628" s="24" t="inlineStr">
        <is>
          <t>所在城市没有同类型的楼盘 或 项目所在地区周边楼盘销售情况薄弱</t>
        </is>
      </c>
    </row>
    <row r="9629" ht="15.95" customHeight="1" s="170">
      <c r="B9629" s="122" t="inlineStr">
        <is>
          <t>码值：BookInContractApproveMain</t>
        </is>
      </c>
    </row>
    <row r="9630">
      <c r="B9630" s="24" t="inlineStr">
        <is>
          <t>BookInContractApproveMain</t>
        </is>
      </c>
      <c r="C9630" s="24" t="inlineStr">
        <is>
          <t>批复合同登记审批主树图</t>
        </is>
      </c>
      <c r="D9630" s="24" t="inlineStr">
        <is>
          <t>N</t>
        </is>
      </c>
      <c r="E9630" s="24" t="inlineStr">
        <is>
          <t>待办任务</t>
        </is>
      </c>
    </row>
    <row r="9631">
      <c r="B9631" s="24" t="inlineStr">
        <is>
          <t>BookInContractApproveMain</t>
        </is>
      </c>
      <c r="C9631" s="24" t="inlineStr">
        <is>
          <t>批复合同登记审批主树图</t>
        </is>
      </c>
      <c r="D9631" s="24" t="inlineStr">
        <is>
          <t>Y</t>
        </is>
      </c>
      <c r="E9631" s="24" t="inlineStr">
        <is>
          <t>已办任务</t>
        </is>
      </c>
    </row>
    <row r="9632" ht="15.95" customHeight="1" s="170">
      <c r="B9632" s="122" t="inlineStr">
        <is>
          <t>码值：GroupStatus</t>
        </is>
      </c>
    </row>
    <row r="9633">
      <c r="B9633" s="24" t="inlineStr">
        <is>
          <t>GroupStatus</t>
        </is>
      </c>
      <c r="C9633" s="24" t="inlineStr">
        <is>
          <t>联保体客户类型</t>
        </is>
      </c>
      <c r="D9633" s="24" t="inlineStr">
        <is>
          <t>10</t>
        </is>
      </c>
      <c r="E9633" s="24" t="inlineStr">
        <is>
          <t>生效</t>
        </is>
      </c>
    </row>
    <row r="9634">
      <c r="B9634" s="24" t="inlineStr">
        <is>
          <t>GroupStatus</t>
        </is>
      </c>
      <c r="C9634" s="24" t="inlineStr">
        <is>
          <t>联保体客户类型</t>
        </is>
      </c>
      <c r="D9634" s="24" t="inlineStr">
        <is>
          <t>20</t>
        </is>
      </c>
      <c r="E9634" s="24" t="inlineStr">
        <is>
          <t>失效</t>
        </is>
      </c>
    </row>
    <row r="9635">
      <c r="B9635" s="24" t="inlineStr">
        <is>
          <t>GroupStatus</t>
        </is>
      </c>
      <c r="C9635" s="24" t="inlineStr">
        <is>
          <t>联保体客户类型</t>
        </is>
      </c>
      <c r="D9635" s="24" t="inlineStr">
        <is>
          <t>30</t>
        </is>
      </c>
      <c r="E9635" s="24" t="inlineStr">
        <is>
          <t>待生效</t>
        </is>
      </c>
    </row>
    <row r="9636" ht="15.95" customHeight="1" s="170">
      <c r="B9636" s="122" t="inlineStr">
        <is>
          <t>码值：ClDrawnApplyEntMain</t>
        </is>
      </c>
    </row>
    <row r="9637">
      <c r="B9637" s="24" t="inlineStr">
        <is>
          <t>ClDrawnApplyEntMain</t>
        </is>
      </c>
      <c r="C9637" s="24" t="inlineStr">
        <is>
          <t>大中额度提用申请主树图</t>
        </is>
      </c>
      <c r="D9637" s="24" t="inlineStr">
        <is>
          <t>1010</t>
        </is>
      </c>
      <c r="E9637" s="24" t="inlineStr">
        <is>
          <t>待处理</t>
        </is>
      </c>
    </row>
    <row r="9638">
      <c r="B9638" s="24" t="inlineStr">
        <is>
          <t>ClDrawnApplyEntMain</t>
        </is>
      </c>
      <c r="C9638" s="24" t="inlineStr">
        <is>
          <t>大中额度提用申请主树图</t>
        </is>
      </c>
      <c r="D9638" s="24" t="inlineStr">
        <is>
          <t>1020</t>
        </is>
      </c>
      <c r="E9638" s="24" t="inlineStr">
        <is>
          <t>审批中</t>
        </is>
      </c>
    </row>
    <row r="9639">
      <c r="B9639" s="24" t="inlineStr">
        <is>
          <t>ClDrawnApplyEntMain</t>
        </is>
      </c>
      <c r="C9639" s="24" t="inlineStr">
        <is>
          <t>大中额度提用申请主树图</t>
        </is>
      </c>
      <c r="D9639" s="24" t="inlineStr">
        <is>
          <t>1040,1050</t>
        </is>
      </c>
      <c r="E9639" s="24" t="inlineStr">
        <is>
          <t>处理完成</t>
        </is>
      </c>
    </row>
    <row r="9640" ht="15.95" customHeight="1" s="170">
      <c r="B9640" s="122" t="inlineStr">
        <is>
          <t>码值：SimpleForkApplyMain</t>
        </is>
      </c>
    </row>
    <row r="9641">
      <c r="B9641" s="24" t="inlineStr">
        <is>
          <t>SimpleForkApplyMain</t>
        </is>
      </c>
      <c r="C9641" s="24" t="inlineStr">
        <is>
          <t>简单并行主树图</t>
        </is>
      </c>
      <c r="D9641" s="24" t="inlineStr">
        <is>
          <t>1010</t>
        </is>
      </c>
      <c r="E9641" s="24" t="inlineStr">
        <is>
          <t>待提交</t>
        </is>
      </c>
    </row>
    <row r="9642">
      <c r="B9642" s="24" t="inlineStr">
        <is>
          <t>SimpleForkApplyMain</t>
        </is>
      </c>
      <c r="C9642" s="24" t="inlineStr">
        <is>
          <t>简单并行主树图</t>
        </is>
      </c>
      <c r="D9642" s="24" t="inlineStr">
        <is>
          <t>1020</t>
        </is>
      </c>
      <c r="E9642" s="24" t="inlineStr">
        <is>
          <t>审批中</t>
        </is>
      </c>
    </row>
    <row r="9643">
      <c r="B9643" s="24" t="inlineStr">
        <is>
          <t>SimpleForkApplyMain</t>
        </is>
      </c>
      <c r="C9643" s="24" t="inlineStr">
        <is>
          <t>简单并行主树图</t>
        </is>
      </c>
      <c r="D9643" s="24" t="inlineStr">
        <is>
          <t>1040</t>
        </is>
      </c>
      <c r="E9643" s="24" t="inlineStr">
        <is>
          <t>已审批</t>
        </is>
      </c>
    </row>
    <row r="9644" ht="15.95" customHeight="1" s="170">
      <c r="B9644" s="122" t="inlineStr">
        <is>
          <t>码值：主要出资方式</t>
        </is>
      </c>
    </row>
    <row r="9645">
      <c r="B9645" s="24" t="inlineStr">
        <is>
          <t>主要出资方式</t>
        </is>
      </c>
      <c r="C9645" s="24" t="inlineStr">
        <is>
          <t>主要出资方式</t>
        </is>
      </c>
      <c r="D9645" s="24" t="inlineStr">
        <is>
          <t>01</t>
        </is>
      </c>
      <c r="E9645" s="24" t="inlineStr">
        <is>
          <t>财政资金</t>
        </is>
      </c>
    </row>
    <row r="9646">
      <c r="B9646" s="24" t="inlineStr">
        <is>
          <t>主要出资方式</t>
        </is>
      </c>
      <c r="C9646" s="24" t="inlineStr">
        <is>
          <t>主要出资方式</t>
        </is>
      </c>
      <c r="D9646" s="24" t="inlineStr">
        <is>
          <t>02</t>
        </is>
      </c>
      <c r="E9646" s="24" t="inlineStr">
        <is>
          <t>土地划拨</t>
        </is>
      </c>
    </row>
    <row r="9647">
      <c r="B9647" s="24" t="inlineStr">
        <is>
          <t>主要出资方式</t>
        </is>
      </c>
      <c r="C9647" s="24" t="inlineStr">
        <is>
          <t>主要出资方式</t>
        </is>
      </c>
      <c r="D9647" s="24" t="inlineStr">
        <is>
          <t>03</t>
        </is>
      </c>
      <c r="E9647" s="24" t="inlineStr">
        <is>
          <t>股权划拨</t>
        </is>
      </c>
    </row>
    <row r="9648">
      <c r="B9648" s="24" t="inlineStr">
        <is>
          <t>主要出资方式</t>
        </is>
      </c>
      <c r="C9648" s="24" t="inlineStr">
        <is>
          <t>主要出资方式</t>
        </is>
      </c>
      <c r="D9648" s="24" t="inlineStr">
        <is>
          <t>04</t>
        </is>
      </c>
      <c r="E9648" s="24" t="inlineStr">
        <is>
          <t>债券等债权划拨</t>
        </is>
      </c>
    </row>
    <row r="9649">
      <c r="B9649" s="24" t="inlineStr">
        <is>
          <t>主要出资方式</t>
        </is>
      </c>
      <c r="C9649" s="24" t="inlineStr">
        <is>
          <t>主要出资方式</t>
        </is>
      </c>
      <c r="D9649" s="24" t="inlineStr">
        <is>
          <t>05</t>
        </is>
      </c>
      <c r="E9649" s="24" t="inlineStr">
        <is>
          <t>规费</t>
        </is>
      </c>
    </row>
    <row r="9650">
      <c r="B9650" s="24" t="inlineStr">
        <is>
          <t>主要出资方式</t>
        </is>
      </c>
      <c r="C9650" s="24" t="inlineStr">
        <is>
          <t>主要出资方式</t>
        </is>
      </c>
      <c r="D9650" s="24" t="inlineStr">
        <is>
          <t>06</t>
        </is>
      </c>
      <c r="E9650" s="24" t="inlineStr">
        <is>
          <t>其他</t>
        </is>
      </c>
    </row>
    <row r="9651" ht="15.95" customHeight="1" s="170">
      <c r="B9651" s="122" t="inlineStr">
        <is>
          <t>码值：运输线路</t>
        </is>
      </c>
    </row>
    <row r="9652">
      <c r="B9652" s="24" t="inlineStr">
        <is>
          <t>运输线路</t>
        </is>
      </c>
      <c r="C9652" s="24" t="inlineStr">
        <is>
          <t>运输线路</t>
        </is>
      </c>
      <c r="D9652" s="24" t="inlineStr">
        <is>
          <t>1</t>
        </is>
      </c>
      <c r="E9652" s="24" t="inlineStr">
        <is>
          <t>国际范围</t>
        </is>
      </c>
    </row>
    <row r="9653">
      <c r="B9653" s="24" t="inlineStr">
        <is>
          <t>运输线路</t>
        </is>
      </c>
      <c r="C9653" s="24" t="inlineStr">
        <is>
          <t>运输线路</t>
        </is>
      </c>
      <c r="D9653" s="24" t="inlineStr">
        <is>
          <t>2</t>
        </is>
      </c>
      <c r="E9653" s="24" t="inlineStr">
        <is>
          <t>全国范围</t>
        </is>
      </c>
    </row>
    <row r="9654">
      <c r="B9654" s="24" t="inlineStr">
        <is>
          <t>运输线路</t>
        </is>
      </c>
      <c r="C9654" s="24" t="inlineStr">
        <is>
          <t>运输线路</t>
        </is>
      </c>
      <c r="D9654" s="24" t="inlineStr">
        <is>
          <t>3</t>
        </is>
      </c>
      <c r="E9654" s="24" t="inlineStr">
        <is>
          <t>省内</t>
        </is>
      </c>
    </row>
    <row r="9655">
      <c r="B9655" s="24" t="inlineStr">
        <is>
          <t>运输线路</t>
        </is>
      </c>
      <c r="C9655" s="24" t="inlineStr">
        <is>
          <t>运输线路</t>
        </is>
      </c>
      <c r="D9655" s="24" t="inlineStr">
        <is>
          <t>4</t>
        </is>
      </c>
      <c r="E9655" s="24" t="inlineStr">
        <is>
          <t>本地范围</t>
        </is>
      </c>
    </row>
    <row r="9656" ht="15.95" customHeight="1" s="170">
      <c r="B9656" s="122" t="inlineStr">
        <is>
          <t>码值：年龄</t>
        </is>
      </c>
    </row>
    <row r="9657">
      <c r="B9657" s="24" t="inlineStr">
        <is>
          <t>年龄</t>
        </is>
      </c>
      <c r="C9657" s="24" t="inlineStr">
        <is>
          <t>年龄</t>
        </is>
      </c>
      <c r="D9657" s="24" t="inlineStr">
        <is>
          <t>1</t>
        </is>
      </c>
      <c r="E9657" s="24" t="inlineStr">
        <is>
          <t>18(含)－30周岁</t>
        </is>
      </c>
    </row>
    <row r="9658">
      <c r="B9658" s="24" t="inlineStr">
        <is>
          <t>年龄</t>
        </is>
      </c>
      <c r="C9658" s="24" t="inlineStr">
        <is>
          <t>年龄</t>
        </is>
      </c>
      <c r="D9658" s="24" t="inlineStr">
        <is>
          <t>2</t>
        </is>
      </c>
      <c r="E9658" s="24" t="inlineStr">
        <is>
          <t>30(含)－45周岁</t>
        </is>
      </c>
    </row>
    <row r="9659">
      <c r="B9659" s="24" t="inlineStr">
        <is>
          <t>年龄</t>
        </is>
      </c>
      <c r="C9659" s="24" t="inlineStr">
        <is>
          <t>年龄</t>
        </is>
      </c>
      <c r="D9659" s="24" t="inlineStr">
        <is>
          <t>3</t>
        </is>
      </c>
      <c r="E9659" s="24" t="inlineStr">
        <is>
          <t>45(含)－60周岁</t>
        </is>
      </c>
    </row>
    <row r="9660">
      <c r="B9660" s="24" t="inlineStr">
        <is>
          <t>年龄</t>
        </is>
      </c>
      <c r="C9660" s="24" t="inlineStr">
        <is>
          <t>年龄</t>
        </is>
      </c>
      <c r="D9660" s="24" t="inlineStr">
        <is>
          <t>4</t>
        </is>
      </c>
      <c r="E9660" s="24" t="inlineStr">
        <is>
          <t>60(含)周岁以上</t>
        </is>
      </c>
    </row>
    <row r="9661" ht="15.95" customHeight="1" s="170">
      <c r="B9661" s="122" t="inlineStr">
        <is>
          <t>码值：ReserveType</t>
        </is>
      </c>
    </row>
    <row r="9662">
      <c r="B9662" s="24" t="inlineStr">
        <is>
          <t>ReserveType</t>
        </is>
      </c>
      <c r="C9662" s="24" t="inlineStr">
        <is>
          <t>减值计提方式</t>
        </is>
      </c>
      <c r="D9662" s="24" t="inlineStr">
        <is>
          <t>01</t>
        </is>
      </c>
      <c r="E9662" s="24" t="inlineStr">
        <is>
          <t>单项计提</t>
        </is>
      </c>
    </row>
    <row r="9663">
      <c r="B9663" s="24" t="inlineStr">
        <is>
          <t>ReserveType</t>
        </is>
      </c>
      <c r="C9663" s="24" t="inlineStr">
        <is>
          <t>减值计提方式</t>
        </is>
      </c>
      <c r="D9663" s="24" t="inlineStr">
        <is>
          <t>02</t>
        </is>
      </c>
      <c r="E9663" s="24" t="inlineStr">
        <is>
          <t>组合计提</t>
        </is>
      </c>
    </row>
    <row r="9664" ht="15.95" customHeight="1" s="170">
      <c r="B9664" s="122" t="inlineStr">
        <is>
          <t>码值：DealType</t>
        </is>
      </c>
    </row>
    <row r="9665">
      <c r="B9665" s="24" t="inlineStr">
        <is>
          <t>DealType</t>
        </is>
      </c>
      <c r="C9665" s="24" t="inlineStr">
        <is>
          <t>资产买卖类型</t>
        </is>
      </c>
      <c r="D9665" s="24" t="inlineStr">
        <is>
          <t>1</t>
        </is>
      </c>
      <c r="E9665" s="24" t="inlineStr">
        <is>
          <t>资产买入</t>
        </is>
      </c>
    </row>
    <row r="9666">
      <c r="B9666" s="24" t="inlineStr">
        <is>
          <t>DealType</t>
        </is>
      </c>
      <c r="C9666" s="24" t="inlineStr">
        <is>
          <t>资产买卖类型</t>
        </is>
      </c>
      <c r="D9666" s="24" t="inlineStr">
        <is>
          <t>2</t>
        </is>
      </c>
      <c r="E9666" s="24" t="inlineStr">
        <is>
          <t>资产卖出</t>
        </is>
      </c>
    </row>
    <row r="9667" ht="15.95" customHeight="1" s="170">
      <c r="B9667" s="122" t="inlineStr">
        <is>
          <t>码值：VirtualCorrela</t>
        </is>
      </c>
    </row>
    <row r="9668">
      <c r="B9668" s="24" t="inlineStr">
        <is>
          <t>VirtualCorrela</t>
        </is>
      </c>
      <c r="C9668" s="24" t="inlineStr">
        <is>
          <t>实质相关性标志</t>
        </is>
      </c>
      <c r="D9668" s="24" t="inlineStr">
        <is>
          <t>0</t>
        </is>
      </c>
      <c r="E9668" s="24" t="inlineStr">
        <is>
          <t>完全相关</t>
        </is>
      </c>
    </row>
    <row r="9669">
      <c r="B9669" s="24" t="inlineStr">
        <is>
          <t>VirtualCorrela</t>
        </is>
      </c>
      <c r="C9669" s="24" t="inlineStr">
        <is>
          <t>实质相关性标志</t>
        </is>
      </c>
      <c r="D9669" s="24" t="inlineStr">
        <is>
          <t>1</t>
        </is>
      </c>
      <c r="E9669" s="24" t="inlineStr">
        <is>
          <t>有一定相关性</t>
        </is>
      </c>
    </row>
    <row r="9670">
      <c r="B9670" s="24" t="inlineStr">
        <is>
          <t>VirtualCorrela</t>
        </is>
      </c>
      <c r="C9670" s="24" t="inlineStr">
        <is>
          <t>实质相关性标志</t>
        </is>
      </c>
      <c r="D9670" s="24" t="inlineStr">
        <is>
          <t>2</t>
        </is>
      </c>
      <c r="E9670" s="24" t="inlineStr">
        <is>
          <t>无相关性</t>
        </is>
      </c>
    </row>
    <row r="9671" ht="15.95" customHeight="1" s="170">
      <c r="B9671" s="122" t="inlineStr">
        <is>
          <t>码值：CASHABILITYTYPE</t>
        </is>
      </c>
    </row>
    <row r="9672">
      <c r="B9672" s="24" t="inlineStr">
        <is>
          <t>CASHABILITYTYPE</t>
        </is>
      </c>
      <c r="C9672" s="24" t="inlineStr">
        <is>
          <t>变现类型</t>
        </is>
      </c>
      <c r="D9672" s="24" t="inlineStr">
        <is>
          <t>01</t>
        </is>
      </c>
      <c r="E9672" s="24" t="inlineStr">
        <is>
          <t>通用且变现容易</t>
        </is>
      </c>
    </row>
    <row r="9673">
      <c r="B9673" s="24" t="inlineStr">
        <is>
          <t>CASHABILITYTYPE</t>
        </is>
      </c>
      <c r="C9673" s="24" t="inlineStr">
        <is>
          <t>变现类型</t>
        </is>
      </c>
      <c r="D9673" s="24" t="inlineStr">
        <is>
          <t>02</t>
        </is>
      </c>
      <c r="E9673" s="24" t="inlineStr">
        <is>
          <t>通用但变现较不易</t>
        </is>
      </c>
    </row>
    <row r="9674">
      <c r="B9674" s="24" t="inlineStr">
        <is>
          <t>CASHABILITYTYPE</t>
        </is>
      </c>
      <c r="C9674" s="24" t="inlineStr">
        <is>
          <t>变现类型</t>
        </is>
      </c>
      <c r="D9674" s="24" t="inlineStr">
        <is>
          <t>03</t>
        </is>
      </c>
      <c r="E9674" s="24" t="inlineStr">
        <is>
          <t>专用性强</t>
        </is>
      </c>
    </row>
    <row r="9675" ht="15.95" customHeight="1" s="170">
      <c r="B9675" s="122" t="inlineStr">
        <is>
          <t>码值：CreditApplyIndMain</t>
        </is>
      </c>
    </row>
    <row r="9676">
      <c r="B9676" s="24" t="inlineStr">
        <is>
          <t>CreditApplyIndMain</t>
        </is>
      </c>
      <c r="C9676" s="24" t="n"/>
      <c r="D9676" s="24" t="inlineStr">
        <is>
          <t>1010</t>
        </is>
      </c>
      <c r="E9676" s="24" t="inlineStr">
        <is>
          <t>待处理</t>
        </is>
      </c>
    </row>
    <row r="9677">
      <c r="B9677" s="24" t="inlineStr">
        <is>
          <t>CreditApplyIndMain</t>
        </is>
      </c>
      <c r="C9677" s="24" t="n"/>
      <c r="D9677" s="24" t="inlineStr">
        <is>
          <t>1020</t>
        </is>
      </c>
      <c r="E9677" s="24" t="inlineStr">
        <is>
          <t>审批中</t>
        </is>
      </c>
    </row>
    <row r="9678">
      <c r="B9678" s="24" t="inlineStr">
        <is>
          <t>CreditApplyIndMain</t>
        </is>
      </c>
      <c r="C9678" s="24" t="n"/>
      <c r="D9678" s="24" t="inlineStr">
        <is>
          <t>1040,1050</t>
        </is>
      </c>
      <c r="E9678" s="24" t="inlineStr">
        <is>
          <t>处理完成</t>
        </is>
      </c>
    </row>
    <row r="9679" ht="15.95" customHeight="1" s="170">
      <c r="B9679" s="122" t="inlineStr">
        <is>
          <t>码值：OrganizeType</t>
        </is>
      </c>
    </row>
    <row r="9680">
      <c r="B9680" s="24" t="inlineStr">
        <is>
          <t>OrganizeType</t>
        </is>
      </c>
      <c r="C9680" s="24" t="inlineStr">
        <is>
          <t>授信组织方式</t>
        </is>
      </c>
      <c r="D9680" s="24" t="inlineStr">
        <is>
          <t>01</t>
        </is>
      </c>
      <c r="E9680" s="24" t="inlineStr">
        <is>
          <t>一般贷款</t>
        </is>
      </c>
    </row>
    <row r="9681">
      <c r="B9681" s="24" t="inlineStr">
        <is>
          <t>OrganizeType</t>
        </is>
      </c>
      <c r="C9681" s="24" t="inlineStr">
        <is>
          <t>授信组织方式</t>
        </is>
      </c>
      <c r="D9681" s="24" t="inlineStr">
        <is>
          <t>02-1</t>
        </is>
      </c>
      <c r="E9681" s="24" t="inlineStr">
        <is>
          <t>主办银团贷款</t>
        </is>
      </c>
    </row>
    <row r="9682">
      <c r="B9682" s="24" t="inlineStr">
        <is>
          <t>OrganizeType</t>
        </is>
      </c>
      <c r="C9682" s="24" t="inlineStr">
        <is>
          <t>授信组织方式</t>
        </is>
      </c>
      <c r="D9682" s="24" t="inlineStr">
        <is>
          <t>02-2</t>
        </is>
      </c>
      <c r="E9682" s="24" t="inlineStr">
        <is>
          <t>一般银团贷款</t>
        </is>
      </c>
    </row>
    <row r="9683">
      <c r="B9683" s="24" t="inlineStr">
        <is>
          <t>OrganizeType</t>
        </is>
      </c>
      <c r="C9683" s="24" t="inlineStr">
        <is>
          <t>授信组织方式</t>
        </is>
      </c>
      <c r="D9683" s="24" t="inlineStr">
        <is>
          <t>03</t>
        </is>
      </c>
      <c r="E9683" s="24" t="inlineStr">
        <is>
          <t>联合贷款</t>
        </is>
      </c>
    </row>
    <row r="9684" ht="15.95" customHeight="1" s="170">
      <c r="B9684" s="122" t="inlineStr">
        <is>
          <t>码值：PatentApplStatus</t>
        </is>
      </c>
    </row>
    <row r="9685">
      <c r="B9685" s="24" t="inlineStr">
        <is>
          <t>PatentApplStatus</t>
        </is>
      </c>
      <c r="C9685" s="24" t="inlineStr">
        <is>
          <t>专利申请状态</t>
        </is>
      </c>
      <c r="D9685" s="24" t="inlineStr">
        <is>
          <t>01</t>
        </is>
      </c>
      <c r="E9685" s="24" t="inlineStr">
        <is>
          <t>初审阶段</t>
        </is>
      </c>
    </row>
    <row r="9686">
      <c r="B9686" s="24" t="inlineStr">
        <is>
          <t>PatentApplStatus</t>
        </is>
      </c>
      <c r="C9686" s="24" t="inlineStr">
        <is>
          <t>专利申请状态</t>
        </is>
      </c>
      <c r="D9686" s="24" t="inlineStr">
        <is>
          <t>02</t>
        </is>
      </c>
      <c r="E9686" s="24" t="inlineStr">
        <is>
          <t>实质性审查阶段</t>
        </is>
      </c>
    </row>
    <row r="9687">
      <c r="B9687" s="24" t="inlineStr">
        <is>
          <t>PatentApplStatus</t>
        </is>
      </c>
      <c r="C9687" s="24" t="inlineStr">
        <is>
          <t>专利申请状态</t>
        </is>
      </c>
      <c r="D9687" s="24" t="inlineStr">
        <is>
          <t>03</t>
        </is>
      </c>
      <c r="E9687" s="24" t="inlineStr">
        <is>
          <t>已获得专利证书</t>
        </is>
      </c>
    </row>
    <row r="9688" ht="15.95" customHeight="1" s="170">
      <c r="B9688" s="122" t="inlineStr">
        <is>
          <t>码值：ReinforceDefaultCustomeView</t>
        </is>
      </c>
    </row>
    <row r="9689">
      <c r="B9689" s="24" t="inlineStr">
        <is>
          <t>ReinforceDefaultCustomeView</t>
        </is>
      </c>
      <c r="C9689" s="24" t="inlineStr">
        <is>
          <t>补登默认客户视图</t>
        </is>
      </c>
      <c r="D9689" s="24" t="inlineStr">
        <is>
          <t>010</t>
        </is>
      </c>
      <c r="E9689" s="24" t="inlineStr">
        <is>
          <t>客户基本信息</t>
        </is>
      </c>
    </row>
    <row r="9690">
      <c r="B9690" s="24" t="inlineStr">
        <is>
          <t>ReinforceDefaultCustomeView</t>
        </is>
      </c>
      <c r="C9690" s="24" t="inlineStr">
        <is>
          <t>补登默认客户视图</t>
        </is>
      </c>
      <c r="D9690" s="24" t="inlineStr">
        <is>
          <t>010010</t>
        </is>
      </c>
      <c r="E9690" s="24" t="inlineStr">
        <is>
          <t>客户概况</t>
        </is>
      </c>
    </row>
    <row r="9691" ht="15.95" customHeight="1" s="170">
      <c r="B9691" s="122" t="inlineStr">
        <is>
          <t>码值：经营者年龄</t>
        </is>
      </c>
    </row>
    <row r="9692">
      <c r="B9692" s="24" t="inlineStr">
        <is>
          <t>经营者年龄</t>
        </is>
      </c>
      <c r="C9692" s="24" t="inlineStr">
        <is>
          <t>经营者年龄</t>
        </is>
      </c>
      <c r="D9692" s="24" t="inlineStr">
        <is>
          <t>1</t>
        </is>
      </c>
      <c r="E9692" s="24" t="inlineStr">
        <is>
          <t>30岁以下</t>
        </is>
      </c>
    </row>
    <row r="9693">
      <c r="B9693" s="24" t="inlineStr">
        <is>
          <t>经营者年龄</t>
        </is>
      </c>
      <c r="C9693" s="24" t="inlineStr">
        <is>
          <t>经营者年龄</t>
        </is>
      </c>
      <c r="D9693" s="24" t="inlineStr">
        <is>
          <t>2</t>
        </is>
      </c>
      <c r="E9693" s="24" t="inlineStr">
        <is>
          <t>30-35岁</t>
        </is>
      </c>
    </row>
    <row r="9694">
      <c r="B9694" s="24" t="inlineStr">
        <is>
          <t>经营者年龄</t>
        </is>
      </c>
      <c r="C9694" s="24" t="inlineStr">
        <is>
          <t>经营者年龄</t>
        </is>
      </c>
      <c r="D9694" s="24" t="inlineStr">
        <is>
          <t>3</t>
        </is>
      </c>
      <c r="E9694" s="24" t="inlineStr">
        <is>
          <t>35-40岁</t>
        </is>
      </c>
    </row>
    <row r="9695">
      <c r="B9695" s="24" t="inlineStr">
        <is>
          <t>经营者年龄</t>
        </is>
      </c>
      <c r="C9695" s="24" t="inlineStr">
        <is>
          <t>经营者年龄</t>
        </is>
      </c>
      <c r="D9695" s="24" t="inlineStr">
        <is>
          <t>4</t>
        </is>
      </c>
      <c r="E9695" s="24" t="inlineStr">
        <is>
          <t>40-45岁</t>
        </is>
      </c>
    </row>
    <row r="9696">
      <c r="B9696" s="24" t="inlineStr">
        <is>
          <t>经营者年龄</t>
        </is>
      </c>
      <c r="C9696" s="24" t="inlineStr">
        <is>
          <t>经营者年龄</t>
        </is>
      </c>
      <c r="D9696" s="24" t="inlineStr">
        <is>
          <t>5</t>
        </is>
      </c>
      <c r="E9696" s="24" t="inlineStr">
        <is>
          <t>45-50岁</t>
        </is>
      </c>
    </row>
    <row r="9697">
      <c r="B9697" s="24" t="inlineStr">
        <is>
          <t>经营者年龄</t>
        </is>
      </c>
      <c r="C9697" s="24" t="inlineStr">
        <is>
          <t>经营者年龄</t>
        </is>
      </c>
      <c r="D9697" s="24" t="inlineStr">
        <is>
          <t>6</t>
        </is>
      </c>
      <c r="E9697" s="24" t="inlineStr">
        <is>
          <t>50-55岁</t>
        </is>
      </c>
    </row>
    <row r="9698">
      <c r="B9698" s="24" t="inlineStr">
        <is>
          <t>经营者年龄</t>
        </is>
      </c>
      <c r="C9698" s="24" t="inlineStr">
        <is>
          <t>经营者年龄</t>
        </is>
      </c>
      <c r="D9698" s="24" t="inlineStr">
        <is>
          <t>7</t>
        </is>
      </c>
      <c r="E9698" s="24" t="inlineStr">
        <is>
          <t>55岁以上</t>
        </is>
      </c>
    </row>
    <row r="9699" ht="15.95" customHeight="1" s="170">
      <c r="B9699" s="122" t="inlineStr">
        <is>
          <t>码值：PaybackState</t>
        </is>
      </c>
    </row>
    <row r="9700">
      <c r="B9700" s="24" t="inlineStr">
        <is>
          <t>PaybackState</t>
        </is>
      </c>
      <c r="C9700" s="24" t="inlineStr">
        <is>
          <t>贷款还款记录</t>
        </is>
      </c>
      <c r="D9700" s="24" t="inlineStr">
        <is>
          <t>01</t>
        </is>
      </c>
      <c r="E9700" s="24" t="inlineStr">
        <is>
          <t>1 不逾期、不欠息</t>
        </is>
      </c>
    </row>
    <row r="9701">
      <c r="B9701" s="24" t="inlineStr">
        <is>
          <t>PaybackState</t>
        </is>
      </c>
      <c r="C9701" s="24" t="inlineStr">
        <is>
          <t>贷款还款记录</t>
        </is>
      </c>
      <c r="D9701" s="24" t="inlineStr">
        <is>
          <t>02</t>
        </is>
      </c>
      <c r="E9701" s="24" t="inlineStr">
        <is>
          <t>2 逾期6个月内(不含)、不欠息</t>
        </is>
      </c>
    </row>
    <row r="9702">
      <c r="B9702" s="24" t="inlineStr">
        <is>
          <t>PaybackState</t>
        </is>
      </c>
      <c r="C9702" s="24" t="inlineStr">
        <is>
          <t>贷款还款记录</t>
        </is>
      </c>
      <c r="D9702" s="24" t="inlineStr">
        <is>
          <t>03</t>
        </is>
      </c>
      <c r="E9702" s="24" t="inlineStr">
        <is>
          <t>3 逾期在6个月(含)~12个月(不含)、不欠息</t>
        </is>
      </c>
    </row>
    <row r="9703">
      <c r="B9703" s="24" t="inlineStr">
        <is>
          <t>PaybackState</t>
        </is>
      </c>
      <c r="C9703" s="24" t="inlineStr">
        <is>
          <t>贷款还款记录</t>
        </is>
      </c>
      <c r="D9703" s="24" t="inlineStr">
        <is>
          <t>04</t>
        </is>
      </c>
      <c r="E9703" s="24" t="inlineStr">
        <is>
          <t>4 逾期在12个月(含)以上、不欠息</t>
        </is>
      </c>
    </row>
    <row r="9704">
      <c r="B9704" s="24" t="inlineStr">
        <is>
          <t>PaybackState</t>
        </is>
      </c>
      <c r="C9704" s="24" t="inlineStr">
        <is>
          <t>贷款还款记录</t>
        </is>
      </c>
      <c r="D9704" s="24" t="inlineStr">
        <is>
          <t>05</t>
        </is>
      </c>
      <c r="E9704" s="24" t="inlineStr">
        <is>
          <t>5 不逾期、欠息&lt;3个月</t>
        </is>
      </c>
    </row>
    <row r="9705">
      <c r="B9705" s="24" t="inlineStr">
        <is>
          <t>PaybackState</t>
        </is>
      </c>
      <c r="C9705" s="24" t="inlineStr">
        <is>
          <t>贷款还款记录</t>
        </is>
      </c>
      <c r="D9705" s="24" t="inlineStr">
        <is>
          <t>06</t>
        </is>
      </c>
      <c r="E9705" s="24" t="inlineStr">
        <is>
          <t>6 不逾期、欠息&gt;=3个月</t>
        </is>
      </c>
    </row>
    <row r="9706">
      <c r="B9706" s="24" t="inlineStr">
        <is>
          <t>PaybackState</t>
        </is>
      </c>
      <c r="C9706" s="24" t="inlineStr">
        <is>
          <t>贷款还款记录</t>
        </is>
      </c>
      <c r="D9706" s="24" t="inlineStr">
        <is>
          <t>07</t>
        </is>
      </c>
      <c r="E9706" s="24" t="inlineStr">
        <is>
          <t>7 逾期&lt;6个月、欠息&lt;3个月</t>
        </is>
      </c>
    </row>
    <row r="9707">
      <c r="B9707" s="24" t="inlineStr">
        <is>
          <t>PaybackState</t>
        </is>
      </c>
      <c r="C9707" s="24" t="inlineStr">
        <is>
          <t>贷款还款记录</t>
        </is>
      </c>
      <c r="D9707" s="24" t="inlineStr">
        <is>
          <t>08</t>
        </is>
      </c>
      <c r="E9707" s="24" t="inlineStr">
        <is>
          <t>8 逾期&lt;6个月、欠息&gt;3个月</t>
        </is>
      </c>
    </row>
    <row r="9708">
      <c r="B9708" s="24" t="inlineStr">
        <is>
          <t>PaybackState</t>
        </is>
      </c>
      <c r="C9708" s="24" t="inlineStr">
        <is>
          <t>贷款还款记录</t>
        </is>
      </c>
      <c r="D9708" s="24" t="inlineStr">
        <is>
          <t>09</t>
        </is>
      </c>
      <c r="E9708" s="24" t="inlineStr">
        <is>
          <t>9 逾期在6个月(含)~12个月、0&lt;欠息&lt;1个月</t>
        </is>
      </c>
    </row>
    <row r="9709">
      <c r="B9709" s="24" t="inlineStr">
        <is>
          <t>PaybackState</t>
        </is>
      </c>
      <c r="C9709" s="24" t="inlineStr">
        <is>
          <t>贷款还款记录</t>
        </is>
      </c>
      <c r="D9709" s="24" t="inlineStr">
        <is>
          <t>10</t>
        </is>
      </c>
      <c r="E9709" s="24" t="inlineStr">
        <is>
          <t>10 逾期在6个月(含)~12个月、欠息&gt;=1个月</t>
        </is>
      </c>
    </row>
    <row r="9710">
      <c r="B9710" s="24" t="inlineStr">
        <is>
          <t>PaybackState</t>
        </is>
      </c>
      <c r="C9710" s="24" t="inlineStr">
        <is>
          <t>贷款还款记录</t>
        </is>
      </c>
      <c r="D9710" s="24" t="inlineStr">
        <is>
          <t>11</t>
        </is>
      </c>
      <c r="E9710" s="24" t="inlineStr">
        <is>
          <t>12 没有欠款</t>
        </is>
      </c>
    </row>
    <row r="9711">
      <c r="B9711" s="24" t="inlineStr">
        <is>
          <t>PaybackState</t>
        </is>
      </c>
      <c r="C9711" s="24" t="inlineStr">
        <is>
          <t>贷款还款记录</t>
        </is>
      </c>
      <c r="D9711" s="24" t="inlineStr">
        <is>
          <t>12</t>
        </is>
      </c>
      <c r="E9711" s="24" t="inlineStr">
        <is>
          <t>13 连续欠3期(不含)内或没有欠款且累计欠9期(不含)上</t>
        </is>
      </c>
    </row>
    <row r="9712">
      <c r="B9712" s="24" t="inlineStr">
        <is>
          <t>PaybackState</t>
        </is>
      </c>
      <c r="C9712" s="24" t="inlineStr">
        <is>
          <t>贷款还款记录</t>
        </is>
      </c>
      <c r="D9712" s="24" t="inlineStr">
        <is>
          <t>13</t>
        </is>
      </c>
      <c r="E9712" s="24" t="inlineStr">
        <is>
          <t>14 连续欠3期(含)~6期(不含)</t>
        </is>
      </c>
    </row>
    <row r="9713">
      <c r="B9713" s="24" t="inlineStr">
        <is>
          <t>PaybackState</t>
        </is>
      </c>
      <c r="C9713" s="24" t="inlineStr">
        <is>
          <t>贷款还款记录</t>
        </is>
      </c>
      <c r="D9713" s="24" t="inlineStr">
        <is>
          <t>14</t>
        </is>
      </c>
      <c r="E9713" s="24" t="inlineStr">
        <is>
          <t>15 连续欠6期(含)以上</t>
        </is>
      </c>
    </row>
    <row r="9714">
      <c r="B9714" s="24" t="inlineStr">
        <is>
          <t>PaybackState</t>
        </is>
      </c>
      <c r="C9714" s="24" t="inlineStr">
        <is>
          <t>贷款还款记录</t>
        </is>
      </c>
      <c r="D9714" s="24" t="inlineStr">
        <is>
          <t>15</t>
        </is>
      </c>
      <c r="E9714" s="24" t="inlineStr">
        <is>
          <t>16 连续欠6期(不含)内或累计欠9期(不含)内</t>
        </is>
      </c>
    </row>
    <row r="9715" ht="15.95" customHeight="1" s="170">
      <c r="B9715" s="122" t="inlineStr">
        <is>
          <t>码值：GroupType3</t>
        </is>
      </c>
    </row>
    <row r="9716">
      <c r="B9716" s="24" t="inlineStr">
        <is>
          <t>GroupType3</t>
        </is>
      </c>
      <c r="C9716" s="24" t="inlineStr">
        <is>
          <t>GroupType3</t>
        </is>
      </c>
      <c r="D9716" s="24" t="inlineStr">
        <is>
          <t>1</t>
        </is>
      </c>
      <c r="E9716" s="24" t="inlineStr">
        <is>
          <t>紧密型</t>
        </is>
      </c>
    </row>
    <row r="9717">
      <c r="B9717" s="24" t="inlineStr">
        <is>
          <t>GroupType3</t>
        </is>
      </c>
      <c r="C9717" s="24" t="inlineStr">
        <is>
          <t>GroupType3</t>
        </is>
      </c>
      <c r="D9717" s="24" t="inlineStr">
        <is>
          <t>2</t>
        </is>
      </c>
      <c r="E9717" s="24" t="inlineStr">
        <is>
          <t>松散型</t>
        </is>
      </c>
    </row>
    <row r="9718" ht="15.95" customHeight="1" s="170">
      <c r="B9718" s="122" t="inlineStr">
        <is>
          <t>码值：COLLATERALCERTTYPE</t>
        </is>
      </c>
    </row>
    <row r="9719">
      <c r="B9719" s="24" t="inlineStr">
        <is>
          <t>COLLATERALCERTTYPE</t>
        </is>
      </c>
      <c r="C9719" s="24" t="inlineStr">
        <is>
          <t>权证类型</t>
        </is>
      </c>
      <c r="D9719" s="24" t="inlineStr">
        <is>
          <t>01</t>
        </is>
      </c>
      <c r="E9719" s="24" t="inlineStr">
        <is>
          <t>他证</t>
        </is>
      </c>
    </row>
    <row r="9720">
      <c r="B9720" s="24" t="inlineStr">
        <is>
          <t>COLLATERALCERTTYPE</t>
        </is>
      </c>
      <c r="C9720" s="24" t="inlineStr">
        <is>
          <t>权证类型</t>
        </is>
      </c>
      <c r="D9720" s="24" t="inlineStr">
        <is>
          <t>02</t>
        </is>
      </c>
      <c r="E9720" s="24" t="inlineStr">
        <is>
          <t>产证</t>
        </is>
      </c>
    </row>
    <row r="9721">
      <c r="B9721" s="24" t="inlineStr">
        <is>
          <t>COLLATERALCERTTYPE</t>
        </is>
      </c>
      <c r="C9721" s="24" t="inlineStr">
        <is>
          <t>权证类型</t>
        </is>
      </c>
      <c r="D9721" s="24" t="inlineStr">
        <is>
          <t>03</t>
        </is>
      </c>
      <c r="E9721" s="24" t="inlineStr">
        <is>
          <t>仓单</t>
        </is>
      </c>
    </row>
    <row r="9722">
      <c r="B9722" s="24" t="inlineStr">
        <is>
          <t>COLLATERALCERTTYPE</t>
        </is>
      </c>
      <c r="C9722" s="24" t="inlineStr">
        <is>
          <t>权证类型</t>
        </is>
      </c>
      <c r="D9722" s="24" t="inlineStr">
        <is>
          <t>04</t>
        </is>
      </c>
      <c r="E9722" s="24" t="inlineStr">
        <is>
          <t>提单</t>
        </is>
      </c>
    </row>
    <row r="9723">
      <c r="B9723" s="24" t="inlineStr">
        <is>
          <t>COLLATERALCERTTYPE</t>
        </is>
      </c>
      <c r="C9723" s="24" t="inlineStr">
        <is>
          <t>权证类型</t>
        </is>
      </c>
      <c r="D9723" s="24" t="inlineStr">
        <is>
          <t>05</t>
        </is>
      </c>
      <c r="E9723" s="24" t="inlineStr">
        <is>
          <t>汽车合格证</t>
        </is>
      </c>
    </row>
    <row r="9724">
      <c r="B9724" s="24" t="inlineStr">
        <is>
          <t>COLLATERALCERTTYPE</t>
        </is>
      </c>
      <c r="C9724" s="24" t="inlineStr">
        <is>
          <t>权证类型</t>
        </is>
      </c>
      <c r="D9724" s="24" t="inlineStr">
        <is>
          <t>06</t>
        </is>
      </c>
      <c r="E9724" s="24" t="inlineStr">
        <is>
          <t>其他</t>
        </is>
      </c>
    </row>
    <row r="9725">
      <c r="B9725" s="24" t="inlineStr">
        <is>
          <t>COLLATERALCERTTYPE</t>
        </is>
      </c>
      <c r="C9725" s="24" t="inlineStr">
        <is>
          <t>权证类型</t>
        </is>
      </c>
      <c r="D9725" s="24" t="inlineStr">
        <is>
          <t>07</t>
        </is>
      </c>
      <c r="E9725" s="24" t="inlineStr">
        <is>
          <t>留置物</t>
        </is>
      </c>
    </row>
    <row r="9726">
      <c r="B9726" s="24" t="inlineStr">
        <is>
          <t>COLLATERALCERTTYPE</t>
        </is>
      </c>
      <c r="C9726" s="24" t="inlineStr">
        <is>
          <t>权证类型</t>
        </is>
      </c>
      <c r="D9726" s="24" t="inlineStr">
        <is>
          <t>08</t>
        </is>
      </c>
      <c r="E9726" s="24" t="inlineStr">
        <is>
          <t>保单</t>
        </is>
      </c>
    </row>
    <row r="9727">
      <c r="B9727" s="24" t="inlineStr">
        <is>
          <t>COLLATERALCERTTYPE</t>
        </is>
      </c>
      <c r="C9727" s="24" t="inlineStr">
        <is>
          <t>权证类型</t>
        </is>
      </c>
      <c r="D9727" s="24" t="inlineStr">
        <is>
          <t>09</t>
        </is>
      </c>
      <c r="E9727" s="24" t="inlineStr">
        <is>
          <t>预售合同</t>
        </is>
      </c>
    </row>
    <row r="9728" ht="15.95" customHeight="1" s="170">
      <c r="B9728" s="122" t="inlineStr">
        <is>
          <t>码值：投资评价</t>
        </is>
      </c>
    </row>
    <row r="9729">
      <c r="B9729" s="24" t="inlineStr">
        <is>
          <t>投资评价</t>
        </is>
      </c>
      <c r="C9729" s="24" t="inlineStr">
        <is>
          <t>投资评价</t>
        </is>
      </c>
      <c r="D9729" s="24" t="inlineStr">
        <is>
          <t>1</t>
        </is>
      </c>
      <c r="E9729" s="24" t="inlineStr">
        <is>
          <t>综合回报率在基贷率之上</t>
        </is>
      </c>
    </row>
    <row r="9730">
      <c r="B9730" s="24" t="inlineStr">
        <is>
          <t>投资评价</t>
        </is>
      </c>
      <c r="C9730" s="24" t="inlineStr">
        <is>
          <t>投资评价</t>
        </is>
      </c>
      <c r="D9730" s="24" t="inlineStr">
        <is>
          <t>2</t>
        </is>
      </c>
      <c r="E9730" s="24" t="inlineStr">
        <is>
          <t>等于基贷率</t>
        </is>
      </c>
    </row>
    <row r="9731">
      <c r="B9731" s="24" t="inlineStr">
        <is>
          <t>投资评价</t>
        </is>
      </c>
      <c r="C9731" s="24" t="inlineStr">
        <is>
          <t>投资评价</t>
        </is>
      </c>
      <c r="D9731" s="24" t="inlineStr">
        <is>
          <t>3</t>
        </is>
      </c>
      <c r="E9731" s="24" t="inlineStr">
        <is>
          <t>在基贷率之下</t>
        </is>
      </c>
    </row>
    <row r="9732">
      <c r="B9732" s="24" t="inlineStr">
        <is>
          <t>投资评价</t>
        </is>
      </c>
      <c r="C9732" s="24" t="inlineStr">
        <is>
          <t>投资评价</t>
        </is>
      </c>
      <c r="D9732" s="24" t="inlineStr">
        <is>
          <t>4</t>
        </is>
      </c>
      <c r="E9732" s="24" t="inlineStr">
        <is>
          <t>综合回报率为负值</t>
        </is>
      </c>
    </row>
    <row r="9733" ht="15.95" customHeight="1" s="170">
      <c r="B9733" s="122" t="inlineStr">
        <is>
          <t>码值：HouseStatus</t>
        </is>
      </c>
    </row>
    <row r="9734">
      <c r="B9734" s="24" t="inlineStr">
        <is>
          <t>HouseStatus</t>
        </is>
      </c>
      <c r="C9734" s="24" t="inlineStr">
        <is>
          <t>楼盘状态</t>
        </is>
      </c>
      <c r="D9734" s="24" t="inlineStr">
        <is>
          <t>HS01</t>
        </is>
      </c>
      <c r="E9734" s="24" t="inlineStr">
        <is>
          <t>正常</t>
        </is>
      </c>
    </row>
    <row r="9735">
      <c r="B9735" s="24" t="inlineStr">
        <is>
          <t>HouseStatus</t>
        </is>
      </c>
      <c r="C9735" s="24" t="inlineStr">
        <is>
          <t>楼盘状态</t>
        </is>
      </c>
      <c r="D9735" s="24" t="inlineStr">
        <is>
          <t>HS02</t>
        </is>
      </c>
      <c r="E9735" s="24" t="inlineStr">
        <is>
          <t>锁定</t>
        </is>
      </c>
    </row>
    <row r="9736">
      <c r="B9736" s="24" t="inlineStr">
        <is>
          <t>HouseStatus</t>
        </is>
      </c>
      <c r="C9736" s="24" t="inlineStr">
        <is>
          <t>楼盘状态</t>
        </is>
      </c>
      <c r="D9736" s="24" t="inlineStr">
        <is>
          <t>HS03</t>
        </is>
      </c>
      <c r="E9736" s="24" t="inlineStr">
        <is>
          <t>停用</t>
        </is>
      </c>
    </row>
    <row r="9737">
      <c r="B9737" s="24" t="inlineStr">
        <is>
          <t>HouseStatus</t>
        </is>
      </c>
      <c r="C9737" s="24" t="inlineStr">
        <is>
          <t>楼盘状态</t>
        </is>
      </c>
      <c r="D9737" s="24" t="inlineStr">
        <is>
          <t>HS04</t>
        </is>
      </c>
      <c r="E9737" s="24" t="inlineStr">
        <is>
          <t>待启用</t>
        </is>
      </c>
    </row>
    <row r="9738" ht="15.95" customHeight="1" s="170">
      <c r="B9738" s="122" t="inlineStr">
        <is>
          <t>码值：AssetsType</t>
        </is>
      </c>
    </row>
    <row r="9739">
      <c r="B9739" s="24" t="inlineStr">
        <is>
          <t>AssetsType</t>
        </is>
      </c>
      <c r="C9739" s="24" t="inlineStr">
        <is>
          <t>查封资产类型</t>
        </is>
      </c>
      <c r="D9739" s="24" t="inlineStr">
        <is>
          <t>01</t>
        </is>
      </c>
      <c r="E9739" s="24" t="inlineStr">
        <is>
          <t>房屋建筑物</t>
        </is>
      </c>
    </row>
    <row r="9740">
      <c r="B9740" s="24" t="inlineStr">
        <is>
          <t>AssetsType</t>
        </is>
      </c>
      <c r="C9740" s="24" t="inlineStr">
        <is>
          <t>查封资产类型</t>
        </is>
      </c>
      <c r="D9740" s="24" t="inlineStr">
        <is>
          <t>02</t>
        </is>
      </c>
      <c r="E9740" s="24" t="inlineStr">
        <is>
          <t>机器设备</t>
        </is>
      </c>
    </row>
    <row r="9741">
      <c r="B9741" s="24" t="inlineStr">
        <is>
          <t>AssetsType</t>
        </is>
      </c>
      <c r="C9741" s="24" t="inlineStr">
        <is>
          <t>查封资产类型</t>
        </is>
      </c>
      <c r="D9741" s="24" t="inlineStr">
        <is>
          <t>03</t>
        </is>
      </c>
      <c r="E9741" s="24" t="inlineStr">
        <is>
          <t>运输工具</t>
        </is>
      </c>
    </row>
    <row r="9742">
      <c r="B9742" s="24" t="inlineStr">
        <is>
          <t>AssetsType</t>
        </is>
      </c>
      <c r="C9742" s="24" t="inlineStr">
        <is>
          <t>查封资产类型</t>
        </is>
      </c>
      <c r="D9742" s="24" t="inlineStr">
        <is>
          <t>04</t>
        </is>
      </c>
      <c r="E9742" s="24" t="inlineStr">
        <is>
          <t>其他</t>
        </is>
      </c>
    </row>
    <row r="9743" ht="15.95" customHeight="1" s="170">
      <c r="B9743" s="122" t="inlineStr">
        <is>
          <t>码值：DeptLine</t>
        </is>
      </c>
    </row>
    <row r="9744">
      <c r="B9744" s="24" t="inlineStr">
        <is>
          <t>DeptLine</t>
        </is>
      </c>
      <c r="C9744" s="24" t="inlineStr">
        <is>
          <t>隶属管理部门</t>
        </is>
      </c>
      <c r="D9744" s="24" t="inlineStr">
        <is>
          <t>020</t>
        </is>
      </c>
      <c r="E9744" s="24" t="inlineStr">
        <is>
          <t>大中公司部</t>
        </is>
      </c>
    </row>
    <row r="9745">
      <c r="B9745" s="24" t="inlineStr">
        <is>
          <t>DeptLine</t>
        </is>
      </c>
      <c r="C9745" s="24" t="inlineStr">
        <is>
          <t>隶属管理部门</t>
        </is>
      </c>
      <c r="D9745" s="24" t="inlineStr">
        <is>
          <t>030</t>
        </is>
      </c>
      <c r="E9745" s="24" t="inlineStr">
        <is>
          <t>个人公司部</t>
        </is>
      </c>
    </row>
    <row r="9746">
      <c r="B9746" s="24" t="inlineStr">
        <is>
          <t>DeptLine</t>
        </is>
      </c>
      <c r="C9746" s="24" t="inlineStr">
        <is>
          <t>隶属管理部门</t>
        </is>
      </c>
      <c r="D9746" s="24" t="inlineStr">
        <is>
          <t>040</t>
        </is>
      </c>
      <c r="E9746" s="24" t="inlineStr">
        <is>
          <t>小微公司部</t>
        </is>
      </c>
    </row>
    <row r="9747">
      <c r="B9747" s="24" t="inlineStr">
        <is>
          <t>DeptLine</t>
        </is>
      </c>
      <c r="C9747" s="24" t="inlineStr">
        <is>
          <t>隶属管理部门</t>
        </is>
      </c>
      <c r="D9747" s="24" t="inlineStr">
        <is>
          <t>050</t>
        </is>
      </c>
      <c r="E9747" s="24" t="inlineStr">
        <is>
          <t>同业公司部</t>
        </is>
      </c>
    </row>
    <row r="9748" ht="15.95" customHeight="1" s="170">
      <c r="B9748" s="122" t="inlineStr">
        <is>
          <t>码值：ReformType</t>
        </is>
      </c>
    </row>
    <row r="9749">
      <c r="B9749" s="24" t="inlineStr">
        <is>
          <t>ReformType</t>
        </is>
      </c>
      <c r="C9749" s="24" t="inlineStr">
        <is>
          <t>重组类型</t>
        </is>
      </c>
      <c r="D9749" s="24" t="inlineStr">
        <is>
          <t>01</t>
        </is>
      </c>
      <c r="E9749" s="24" t="inlineStr">
        <is>
          <t>一般重组</t>
        </is>
      </c>
    </row>
    <row r="9750">
      <c r="B9750" s="24" t="inlineStr">
        <is>
          <t>ReformType</t>
        </is>
      </c>
      <c r="C9750" s="24" t="inlineStr">
        <is>
          <t>重组类型</t>
        </is>
      </c>
      <c r="D9750" s="24" t="inlineStr">
        <is>
          <t>02</t>
        </is>
      </c>
      <c r="E9750" s="24" t="inlineStr">
        <is>
          <t>扩盘重组</t>
        </is>
      </c>
    </row>
    <row r="9751" ht="15.95" customHeight="1" s="170">
      <c r="B9751" s="122" t="inlineStr">
        <is>
          <t>码值：7个部门设置</t>
        </is>
      </c>
    </row>
    <row r="9752">
      <c r="B9752" s="24" t="inlineStr">
        <is>
          <t>7个部门设置</t>
        </is>
      </c>
      <c r="C9752" s="24" t="inlineStr">
        <is>
          <t>7个部门设置</t>
        </is>
      </c>
      <c r="D9752" s="24" t="inlineStr">
        <is>
          <t>12</t>
        </is>
      </c>
      <c r="E9752" s="24" t="inlineStr">
        <is>
          <t>7个</t>
        </is>
      </c>
    </row>
    <row r="9753">
      <c r="B9753" s="24" t="inlineStr">
        <is>
          <t>7个部门设置</t>
        </is>
      </c>
      <c r="C9753" s="24" t="inlineStr">
        <is>
          <t>7个部门设置</t>
        </is>
      </c>
      <c r="D9753" s="24" t="inlineStr">
        <is>
          <t>2</t>
        </is>
      </c>
      <c r="E9753" s="24" t="inlineStr">
        <is>
          <t>3-6个</t>
        </is>
      </c>
    </row>
    <row r="9754">
      <c r="B9754" s="24" t="inlineStr">
        <is>
          <t>7个部门设置</t>
        </is>
      </c>
      <c r="C9754" s="24" t="inlineStr">
        <is>
          <t>7个部门设置</t>
        </is>
      </c>
      <c r="D9754" s="24" t="inlineStr">
        <is>
          <t>3</t>
        </is>
      </c>
      <c r="E9754" s="24" t="inlineStr">
        <is>
          <t>3个以下</t>
        </is>
      </c>
    </row>
    <row r="9755" ht="15.95" customHeight="1" s="170">
      <c r="B9755" s="122" t="inlineStr">
        <is>
          <t>码值：LandPurpose</t>
        </is>
      </c>
    </row>
    <row r="9756">
      <c r="B9756" s="24" t="inlineStr">
        <is>
          <t>LandPurpose</t>
        </is>
      </c>
      <c r="C9756" s="24" t="inlineStr">
        <is>
          <t>土地用途</t>
        </is>
      </c>
      <c r="D9756" s="24" t="inlineStr">
        <is>
          <t>01</t>
        </is>
      </c>
      <c r="E9756" s="24" t="inlineStr">
        <is>
          <t>居住</t>
        </is>
      </c>
    </row>
    <row r="9757">
      <c r="B9757" s="24" t="inlineStr">
        <is>
          <t>LandPurpose</t>
        </is>
      </c>
      <c r="C9757" s="24" t="inlineStr">
        <is>
          <t>土地用途</t>
        </is>
      </c>
      <c r="D9757" s="24" t="inlineStr">
        <is>
          <t>02</t>
        </is>
      </c>
      <c r="E9757" s="24" t="inlineStr">
        <is>
          <t>工业</t>
        </is>
      </c>
    </row>
    <row r="9758">
      <c r="B9758" s="24" t="inlineStr">
        <is>
          <t>LandPurpose</t>
        </is>
      </c>
      <c r="C9758" s="24" t="inlineStr">
        <is>
          <t>土地用途</t>
        </is>
      </c>
      <c r="D9758" s="24" t="inlineStr">
        <is>
          <t>03</t>
        </is>
      </c>
      <c r="E9758" s="24" t="inlineStr">
        <is>
          <t>商业</t>
        </is>
      </c>
    </row>
    <row r="9759">
      <c r="B9759" s="24" t="inlineStr">
        <is>
          <t>LandPurpose</t>
        </is>
      </c>
      <c r="C9759" s="24" t="inlineStr">
        <is>
          <t>土地用途</t>
        </is>
      </c>
      <c r="D9759" s="24" t="inlineStr">
        <is>
          <t>04</t>
        </is>
      </c>
      <c r="E9759" s="24" t="inlineStr">
        <is>
          <t>农业</t>
        </is>
      </c>
    </row>
    <row r="9760">
      <c r="B9760" s="24" t="inlineStr">
        <is>
          <t>LandPurpose</t>
        </is>
      </c>
      <c r="C9760" s="24" t="inlineStr">
        <is>
          <t>土地用途</t>
        </is>
      </c>
      <c r="D9760" s="24" t="inlineStr">
        <is>
          <t>05</t>
        </is>
      </c>
      <c r="E9760" s="24" t="inlineStr">
        <is>
          <t>商住</t>
        </is>
      </c>
    </row>
    <row r="9761">
      <c r="B9761" s="24" t="inlineStr">
        <is>
          <t>LandPurpose</t>
        </is>
      </c>
      <c r="C9761" s="24" t="inlineStr">
        <is>
          <t>土地用途</t>
        </is>
      </c>
      <c r="D9761" s="24" t="inlineStr">
        <is>
          <t>06</t>
        </is>
      </c>
      <c r="E9761" s="24" t="inlineStr">
        <is>
          <t>办公</t>
        </is>
      </c>
    </row>
    <row r="9762">
      <c r="B9762" s="24" t="inlineStr">
        <is>
          <t>LandPurpose</t>
        </is>
      </c>
      <c r="C9762" s="24" t="inlineStr">
        <is>
          <t>土地用途</t>
        </is>
      </c>
      <c r="D9762" s="24" t="inlineStr">
        <is>
          <t>07</t>
        </is>
      </c>
      <c r="E9762" s="24" t="inlineStr">
        <is>
          <t>综合</t>
        </is>
      </c>
    </row>
    <row r="9763">
      <c r="B9763" s="24" t="inlineStr">
        <is>
          <t>LandPurpose</t>
        </is>
      </c>
      <c r="C9763" s="24" t="inlineStr">
        <is>
          <t>土地用途</t>
        </is>
      </c>
      <c r="D9763" s="24" t="inlineStr">
        <is>
          <t>90</t>
        </is>
      </c>
      <c r="E9763" s="24" t="inlineStr">
        <is>
          <t>其他</t>
        </is>
      </c>
    </row>
    <row r="9764" ht="15.95" customHeight="1" s="170">
      <c r="B9764" s="122" t="inlineStr">
        <is>
          <t>码值：RoadType</t>
        </is>
      </c>
    </row>
    <row r="9765">
      <c r="B9765" s="24" t="inlineStr">
        <is>
          <t>RoadType</t>
        </is>
      </c>
      <c r="C9765" s="24" t="n"/>
      <c r="D9765" s="24" t="inlineStr">
        <is>
          <t>01</t>
        </is>
      </c>
      <c r="E9765" s="24" t="inlineStr">
        <is>
          <t>公路</t>
        </is>
      </c>
    </row>
    <row r="9766">
      <c r="B9766" s="24" t="inlineStr">
        <is>
          <t>RoadType</t>
        </is>
      </c>
      <c r="C9766" s="24" t="n"/>
      <c r="D9766" s="24" t="inlineStr">
        <is>
          <t>02</t>
        </is>
      </c>
      <c r="E9766" s="24" t="inlineStr">
        <is>
          <t>桥梁</t>
        </is>
      </c>
    </row>
    <row r="9767">
      <c r="B9767" s="24" t="inlineStr">
        <is>
          <t>RoadType</t>
        </is>
      </c>
      <c r="C9767" s="24" t="n"/>
      <c r="D9767" s="24" t="inlineStr">
        <is>
          <t>03</t>
        </is>
      </c>
      <c r="E9767" s="24" t="inlineStr">
        <is>
          <t>渡口</t>
        </is>
      </c>
    </row>
    <row r="9768">
      <c r="B9768" s="24" t="inlineStr">
        <is>
          <t>RoadType</t>
        </is>
      </c>
      <c r="C9768" s="24" t="n"/>
      <c r="D9768" s="24" t="inlineStr">
        <is>
          <t>04</t>
        </is>
      </c>
      <c r="E9768" s="24" t="inlineStr">
        <is>
          <t>隧道</t>
        </is>
      </c>
    </row>
    <row r="9769">
      <c r="B9769" s="24" t="inlineStr">
        <is>
          <t>RoadType</t>
        </is>
      </c>
      <c r="C9769" s="24" t="n"/>
      <c r="D9769" s="24" t="inlineStr">
        <is>
          <t>05</t>
        </is>
      </c>
      <c r="E9769" s="24" t="inlineStr">
        <is>
          <t>其他</t>
        </is>
      </c>
    </row>
    <row r="9770" ht="15.95" customHeight="1" s="170">
      <c r="B9770" s="122" t="inlineStr">
        <is>
          <t>码值：CreditApproveTaskSingleIndMain</t>
        </is>
      </c>
    </row>
    <row r="9771">
      <c r="B9771" s="24" t="inlineStr">
        <is>
          <t>CreditApproveTaskSingleIndMain</t>
        </is>
      </c>
      <c r="C9771" s="24" t="n"/>
      <c r="D9771" s="24" t="inlineStr">
        <is>
          <t>N</t>
        </is>
      </c>
      <c r="E9771" s="24" t="inlineStr">
        <is>
          <t>当前工作</t>
        </is>
      </c>
    </row>
    <row r="9772">
      <c r="B9772" s="24" t="inlineStr">
        <is>
          <t>CreditApproveTaskSingleIndMain</t>
        </is>
      </c>
      <c r="C9772" s="24" t="n"/>
      <c r="D9772" s="24" t="inlineStr">
        <is>
          <t>Y</t>
        </is>
      </c>
      <c r="E9772" s="24" t="inlineStr">
        <is>
          <t>已完成工作</t>
        </is>
      </c>
    </row>
    <row r="9773" ht="15.95" customHeight="1" s="170">
      <c r="B9773" s="122" t="inlineStr">
        <is>
          <t>码值：CreditAlarmDistributeMain</t>
        </is>
      </c>
    </row>
    <row r="9774">
      <c r="B9774" s="24" t="inlineStr">
        <is>
          <t>CreditAlarmDistributeMain</t>
        </is>
      </c>
      <c r="C9774" s="24" t="inlineStr">
        <is>
          <t>风险预警分发树图</t>
        </is>
      </c>
      <c r="D9774" s="24" t="inlineStr">
        <is>
          <t>01</t>
        </is>
      </c>
      <c r="E9774" s="24" t="inlineStr">
        <is>
          <t>预警信号分发</t>
        </is>
      </c>
    </row>
    <row r="9775" ht="15.95" customHeight="1" s="170">
      <c r="B9775" s="122" t="inlineStr">
        <is>
          <t>码值：企业品牌</t>
        </is>
      </c>
    </row>
    <row r="9776">
      <c r="B9776" s="24" t="inlineStr">
        <is>
          <t>企业品牌</t>
        </is>
      </c>
      <c r="C9776" s="24" t="inlineStr">
        <is>
          <t>企业品牌</t>
        </is>
      </c>
      <c r="D9776" s="24" t="inlineStr">
        <is>
          <t>1</t>
        </is>
      </c>
      <c r="E9776" s="24" t="inlineStr">
        <is>
          <t>老字号</t>
        </is>
      </c>
    </row>
    <row r="9777">
      <c r="B9777" s="24" t="inlineStr">
        <is>
          <t>企业品牌</t>
        </is>
      </c>
      <c r="C9777" s="24" t="inlineStr">
        <is>
          <t>企业品牌</t>
        </is>
      </c>
      <c r="D9777" s="24" t="inlineStr">
        <is>
          <t>2</t>
        </is>
      </c>
      <c r="E9777" s="24" t="inlineStr">
        <is>
          <t>著名品牌企业</t>
        </is>
      </c>
    </row>
    <row r="9778">
      <c r="B9778" s="24" t="inlineStr">
        <is>
          <t>企业品牌</t>
        </is>
      </c>
      <c r="C9778" s="24" t="inlineStr">
        <is>
          <t>企业品牌</t>
        </is>
      </c>
      <c r="D9778" s="24" t="inlineStr">
        <is>
          <t>3</t>
        </is>
      </c>
      <c r="E9778" s="24" t="inlineStr">
        <is>
          <t>一般品牌企业</t>
        </is>
      </c>
    </row>
    <row r="9779" ht="15.95" customHeight="1" s="170">
      <c r="B9779" s="122" t="inlineStr">
        <is>
          <t>码值：AlarmMain</t>
        </is>
      </c>
    </row>
    <row r="9780">
      <c r="B9780" s="24" t="inlineStr">
        <is>
          <t>AlarmMain</t>
        </is>
      </c>
      <c r="C9780" s="24" t="inlineStr">
        <is>
          <t>预警页面</t>
        </is>
      </c>
      <c r="D9780" s="24" t="inlineStr">
        <is>
          <t>0000</t>
        </is>
      </c>
      <c r="E9780" s="24" t="inlineStr">
        <is>
          <t>名称</t>
        </is>
      </c>
    </row>
    <row r="9781">
      <c r="B9781" s="24" t="inlineStr">
        <is>
          <t>AlarmMain</t>
        </is>
      </c>
      <c r="C9781" s="24" t="inlineStr">
        <is>
          <t>预警页面</t>
        </is>
      </c>
      <c r="D9781" s="24" t="inlineStr">
        <is>
          <t>020010</t>
        </is>
      </c>
      <c r="E9781" s="24" t="inlineStr">
        <is>
          <t>待预警检查的预警信号</t>
        </is>
      </c>
    </row>
    <row r="9782">
      <c r="B9782" s="24" t="inlineStr">
        <is>
          <t>AlarmMain</t>
        </is>
      </c>
      <c r="C9782" s="24" t="inlineStr">
        <is>
          <t>预警页面</t>
        </is>
      </c>
      <c r="D9782" s="24" t="inlineStr">
        <is>
          <t>020020</t>
        </is>
      </c>
      <c r="E9782" s="24" t="inlineStr">
        <is>
          <t>已完成预警检查的预警信号</t>
        </is>
      </c>
    </row>
    <row r="9783" ht="15.95" customHeight="1" s="170">
      <c r="B9783" s="122" t="inlineStr">
        <is>
          <t>码值：CaseInfoList5</t>
        </is>
      </c>
    </row>
    <row r="9784">
      <c r="B9784" s="24" t="inlineStr">
        <is>
          <t>CaseInfoList5</t>
        </is>
      </c>
      <c r="C9784" s="24" t="inlineStr">
        <is>
          <t>案件基本信息（破产案件）</t>
        </is>
      </c>
      <c r="D9784" s="24" t="inlineStr">
        <is>
          <t>010</t>
        </is>
      </c>
      <c r="E9784" s="24" t="inlineStr">
        <is>
          <t>案件基本信息</t>
        </is>
      </c>
    </row>
    <row r="9785">
      <c r="B9785" s="24" t="inlineStr">
        <is>
          <t>CaseInfoList5</t>
        </is>
      </c>
      <c r="C9785" s="24" t="inlineStr">
        <is>
          <t>案件基本信息（破产案件）</t>
        </is>
      </c>
      <c r="D9785" s="24" t="inlineStr">
        <is>
          <t>020</t>
        </is>
      </c>
      <c r="E9785" s="24" t="inlineStr">
        <is>
          <t>相关合同信息</t>
        </is>
      </c>
    </row>
    <row r="9786">
      <c r="B9786" s="24" t="inlineStr">
        <is>
          <t>CaseInfoList5</t>
        </is>
      </c>
      <c r="C9786" s="24" t="inlineStr">
        <is>
          <t>案件基本信息（破产案件）</t>
        </is>
      </c>
      <c r="D9786" s="24" t="inlineStr">
        <is>
          <t>021</t>
        </is>
      </c>
      <c r="E9786" s="24" t="inlineStr">
        <is>
          <t>案件当事人信息</t>
        </is>
      </c>
    </row>
    <row r="9787">
      <c r="B9787" s="24" t="inlineStr">
        <is>
          <t>CaseInfoList5</t>
        </is>
      </c>
      <c r="C9787" s="24" t="inlineStr">
        <is>
          <t>案件基本信息（破产案件）</t>
        </is>
      </c>
      <c r="D9787" s="24" t="inlineStr">
        <is>
          <t>022</t>
        </is>
      </c>
      <c r="E9787" s="24" t="inlineStr">
        <is>
          <t>受理机关人员信息</t>
        </is>
      </c>
    </row>
    <row r="9788">
      <c r="B9788" s="24" t="inlineStr">
        <is>
          <t>CaseInfoList5</t>
        </is>
      </c>
      <c r="C9788" s="24" t="inlineStr">
        <is>
          <t>案件基本信息（破产案件）</t>
        </is>
      </c>
      <c r="D9788" s="24" t="inlineStr">
        <is>
          <t>023</t>
        </is>
      </c>
      <c r="E9788" s="24" t="inlineStr">
        <is>
          <t>代理人信息</t>
        </is>
      </c>
    </row>
    <row r="9789">
      <c r="B9789" s="24" t="inlineStr">
        <is>
          <t>CaseInfoList5</t>
        </is>
      </c>
      <c r="C9789" s="24" t="inlineStr">
        <is>
          <t>案件基本信息（破产案件）</t>
        </is>
      </c>
      <c r="D9789" s="24" t="inlineStr">
        <is>
          <t>024</t>
        </is>
      </c>
      <c r="E9789" s="24" t="inlineStr">
        <is>
          <t>案件文档信息</t>
        </is>
      </c>
    </row>
    <row r="9790">
      <c r="B9790" s="24" t="inlineStr">
        <is>
          <t>CaseInfoList5</t>
        </is>
      </c>
      <c r="C9790" s="24" t="inlineStr">
        <is>
          <t>案件基本信息（破产案件）</t>
        </is>
      </c>
      <c r="D9790" s="24" t="inlineStr">
        <is>
          <t>030</t>
        </is>
      </c>
      <c r="E9790" s="24" t="inlineStr">
        <is>
          <t>案件台帐信息</t>
        </is>
      </c>
    </row>
    <row r="9791">
      <c r="B9791" s="24" t="inlineStr">
        <is>
          <t>CaseInfoList5</t>
        </is>
      </c>
      <c r="C9791" s="24" t="inlineStr">
        <is>
          <t>案件基本信息（破产案件）</t>
        </is>
      </c>
      <c r="D9791" s="24" t="inlineStr">
        <is>
          <t>030050</t>
        </is>
      </c>
      <c r="E9791" s="24" t="inlineStr">
        <is>
          <t>破产台帐</t>
        </is>
      </c>
    </row>
    <row r="9792">
      <c r="B9792" s="24" t="inlineStr">
        <is>
          <t>CaseInfoList5</t>
        </is>
      </c>
      <c r="C9792" s="24" t="inlineStr">
        <is>
          <t>案件基本信息（破产案件）</t>
        </is>
      </c>
      <c r="D9792" s="24" t="inlineStr">
        <is>
          <t>030070</t>
        </is>
      </c>
      <c r="E9792" s="24" t="inlineStr">
        <is>
          <t>费用台帐</t>
        </is>
      </c>
    </row>
    <row r="9793" ht="15.95" customHeight="1" s="170">
      <c r="B9793" s="122" t="inlineStr">
        <is>
          <t>码值：贷款与项目持续期比</t>
        </is>
      </c>
    </row>
    <row r="9794">
      <c r="B9794" s="24" t="inlineStr">
        <is>
          <t>贷款与项目持续期比</t>
        </is>
      </c>
      <c r="C9794" s="24" t="inlineStr">
        <is>
          <t>贷款与项目持续期比</t>
        </is>
      </c>
      <c r="D9794" s="24" t="inlineStr">
        <is>
          <t>01</t>
        </is>
      </c>
      <c r="E9794" s="24" t="inlineStr">
        <is>
          <t>项目有效寿命大于贷款期限超过3年</t>
        </is>
      </c>
    </row>
    <row r="9795">
      <c r="B9795" s="24" t="inlineStr">
        <is>
          <t>贷款与项目持续期比</t>
        </is>
      </c>
      <c r="C9795" s="24" t="inlineStr">
        <is>
          <t>贷款与项目持续期比</t>
        </is>
      </c>
      <c r="D9795" s="24" t="inlineStr">
        <is>
          <t>02</t>
        </is>
      </c>
      <c r="E9795" s="24" t="inlineStr">
        <is>
          <t>项目有效寿命大于贷款期限不到3年</t>
        </is>
      </c>
    </row>
    <row r="9796">
      <c r="B9796" s="24" t="inlineStr">
        <is>
          <t>贷款与项目持续期比</t>
        </is>
      </c>
      <c r="C9796" s="24" t="inlineStr">
        <is>
          <t>贷款与项目持续期比</t>
        </is>
      </c>
      <c r="D9796" s="24" t="inlineStr">
        <is>
          <t>03</t>
        </is>
      </c>
      <c r="E9796" s="24" t="inlineStr">
        <is>
          <t>项目的有效使用寿命低于贷款期限</t>
        </is>
      </c>
    </row>
    <row r="9797" ht="15.95" customHeight="1" s="170">
      <c r="B9797" s="122" t="inlineStr">
        <is>
          <t>码值：CodeDeployView</t>
        </is>
      </c>
    </row>
    <row r="9798">
      <c r="B9798" s="24" t="inlineStr">
        <is>
          <t>CodeDeployView</t>
        </is>
      </c>
      <c r="C9798" s="24" t="inlineStr">
        <is>
          <t>代码配置树图</t>
        </is>
      </c>
      <c r="D9798" s="24" t="inlineStr">
        <is>
          <t>01</t>
        </is>
      </c>
      <c r="E9798" s="24" t="inlineStr">
        <is>
          <t>代码配置</t>
        </is>
      </c>
    </row>
    <row r="9799" ht="15.95" customHeight="1" s="170">
      <c r="B9799" s="122" t="inlineStr">
        <is>
          <t>码值：purpose</t>
        </is>
      </c>
    </row>
    <row r="9800">
      <c r="B9800" s="24" t="inlineStr">
        <is>
          <t>purpose</t>
        </is>
      </c>
      <c r="C9800" s="24" t="inlineStr">
        <is>
          <t>贷款用途报告</t>
        </is>
      </c>
      <c r="D9800" s="24" t="inlineStr">
        <is>
          <t>01</t>
        </is>
      </c>
      <c r="E9800" s="24" t="inlineStr">
        <is>
          <t>贷款用途分析</t>
        </is>
      </c>
    </row>
    <row r="9801">
      <c r="B9801" s="24" t="inlineStr">
        <is>
          <t>purpose</t>
        </is>
      </c>
      <c r="C9801" s="24" t="inlineStr">
        <is>
          <t>贷款用途报告</t>
        </is>
      </c>
      <c r="D9801" s="24" t="inlineStr">
        <is>
          <t>02</t>
        </is>
      </c>
      <c r="E9801" s="24" t="inlineStr">
        <is>
          <t>提款记录</t>
        </is>
      </c>
    </row>
    <row r="9802">
      <c r="B9802" s="24" t="inlineStr">
        <is>
          <t>purpose</t>
        </is>
      </c>
      <c r="C9802" s="24" t="inlineStr">
        <is>
          <t>贷款用途报告</t>
        </is>
      </c>
      <c r="D9802" s="24" t="inlineStr">
        <is>
          <t>03</t>
        </is>
      </c>
      <c r="E9802" s="24" t="inlineStr">
        <is>
          <t>用款记录</t>
        </is>
      </c>
    </row>
    <row r="9803" ht="15.95" customHeight="1" s="170">
      <c r="B9803" s="122" t="inlineStr">
        <is>
          <t>码值：SupervisorsSetting</t>
        </is>
      </c>
    </row>
    <row r="9804">
      <c r="B9804" s="24" t="inlineStr">
        <is>
          <t>SupervisorsSetting</t>
        </is>
      </c>
      <c r="C9804" s="24" t="inlineStr">
        <is>
          <t>信用等级评估统一导入</t>
        </is>
      </c>
      <c r="D9804" s="24" t="inlineStr">
        <is>
          <t>1</t>
        </is>
      </c>
      <c r="E9804" s="24" t="inlineStr">
        <is>
          <t>按规定设定</t>
        </is>
      </c>
    </row>
    <row r="9805">
      <c r="B9805" s="24" t="inlineStr">
        <is>
          <t>SupervisorsSetting</t>
        </is>
      </c>
      <c r="C9805" s="24" t="inlineStr">
        <is>
          <t>信用等级评估统一导入</t>
        </is>
      </c>
      <c r="D9805" s="24" t="inlineStr">
        <is>
          <t>2</t>
        </is>
      </c>
      <c r="E9805" s="24" t="inlineStr">
        <is>
          <t>只设一名监事</t>
        </is>
      </c>
    </row>
    <row r="9806">
      <c r="B9806" s="24" t="inlineStr">
        <is>
          <t>SupervisorsSetting</t>
        </is>
      </c>
      <c r="C9806" s="24" t="inlineStr">
        <is>
          <t>信用等级评估统一导入</t>
        </is>
      </c>
      <c r="D9806" s="24" t="inlineStr">
        <is>
          <t>3</t>
        </is>
      </c>
      <c r="E9806" s="24" t="inlineStr">
        <is>
          <t>无</t>
        </is>
      </c>
    </row>
    <row r="9807" ht="15.95" customHeight="1" s="170">
      <c r="B9807" s="122" t="inlineStr">
        <is>
          <t>码值：领导人从业经验</t>
        </is>
      </c>
    </row>
    <row r="9808">
      <c r="B9808" s="24" t="inlineStr">
        <is>
          <t>领导人从业经验</t>
        </is>
      </c>
      <c r="C9808" s="24" t="inlineStr">
        <is>
          <t>领导人从业经验</t>
        </is>
      </c>
      <c r="D9808" s="24" t="inlineStr">
        <is>
          <t>01</t>
        </is>
      </c>
      <c r="E9808" s="24" t="inlineStr">
        <is>
          <t>主要领导人为本行业专家，具有15年以上丰富的从业经验</t>
        </is>
      </c>
    </row>
    <row r="9809">
      <c r="B9809" s="24" t="inlineStr">
        <is>
          <t>领导人从业经验</t>
        </is>
      </c>
      <c r="C9809" s="24" t="inlineStr">
        <is>
          <t>领导人从业经验</t>
        </is>
      </c>
      <c r="D9809" s="24" t="inlineStr">
        <is>
          <t>02</t>
        </is>
      </c>
      <c r="E9809" s="24" t="inlineStr">
        <is>
          <t>主要领导人专业知识和经验较丰富，具有7-15年的从业经验</t>
        </is>
      </c>
    </row>
    <row r="9810">
      <c r="B9810" s="24" t="inlineStr">
        <is>
          <t>领导人从业经验</t>
        </is>
      </c>
      <c r="C9810" s="24" t="inlineStr">
        <is>
          <t>领导人从业经验</t>
        </is>
      </c>
      <c r="D9810" s="24" t="inlineStr">
        <is>
          <t>03</t>
        </is>
      </c>
      <c r="E9810" s="24" t="inlineStr">
        <is>
          <t>主要领导人具有一定的专业知识和经验 ，具有3-7年的从业经验</t>
        </is>
      </c>
    </row>
    <row r="9811">
      <c r="B9811" s="24" t="inlineStr">
        <is>
          <t>领导人从业经验</t>
        </is>
      </c>
      <c r="C9811" s="24" t="inlineStr">
        <is>
          <t>领导人从业经验</t>
        </is>
      </c>
      <c r="D9811" s="24" t="inlineStr">
        <is>
          <t>04</t>
        </is>
      </c>
      <c r="E9811" s="24" t="inlineStr">
        <is>
          <t>主要领导人对专业知识和经验较缺乏</t>
        </is>
      </c>
    </row>
    <row r="9812">
      <c r="B9812" s="24" t="inlineStr">
        <is>
          <t>领导人从业经验</t>
        </is>
      </c>
      <c r="C9812" s="24" t="inlineStr">
        <is>
          <t>领导人从业经验</t>
        </is>
      </c>
      <c r="D9812" s="24" t="inlineStr">
        <is>
          <t>05</t>
        </is>
      </c>
      <c r="E9812" s="24" t="inlineStr">
        <is>
          <t>主要领导人不具备专业知识和经验</t>
        </is>
      </c>
    </row>
    <row r="9813" ht="15.95" customHeight="1" s="170">
      <c r="B9813" s="122" t="inlineStr">
        <is>
          <t>码值：LawsuitType</t>
        </is>
      </c>
    </row>
    <row r="9814">
      <c r="B9814" s="24" t="inlineStr">
        <is>
          <t>LawsuitType</t>
        </is>
      </c>
      <c r="C9814" s="24" t="inlineStr">
        <is>
          <t>诉讼类型</t>
        </is>
      </c>
      <c r="D9814" s="24" t="inlineStr">
        <is>
          <t>01</t>
        </is>
      </c>
      <c r="E9814" s="24" t="inlineStr">
        <is>
          <t>民事</t>
        </is>
      </c>
    </row>
    <row r="9815">
      <c r="B9815" s="24" t="inlineStr">
        <is>
          <t>LawsuitType</t>
        </is>
      </c>
      <c r="C9815" s="24" t="inlineStr">
        <is>
          <t>诉讼类型</t>
        </is>
      </c>
      <c r="D9815" s="24" t="inlineStr">
        <is>
          <t>02</t>
        </is>
      </c>
      <c r="E9815" s="24" t="inlineStr">
        <is>
          <t>刑事</t>
        </is>
      </c>
    </row>
    <row r="9816">
      <c r="B9816" s="24" t="inlineStr">
        <is>
          <t>LawsuitType</t>
        </is>
      </c>
      <c r="C9816" s="24" t="inlineStr">
        <is>
          <t>诉讼类型</t>
        </is>
      </c>
      <c r="D9816" s="24" t="inlineStr">
        <is>
          <t>03</t>
        </is>
      </c>
      <c r="E9816" s="24" t="inlineStr">
        <is>
          <t>行政</t>
        </is>
      </c>
    </row>
    <row r="9817">
      <c r="B9817" s="24" t="inlineStr">
        <is>
          <t>LawsuitType</t>
        </is>
      </c>
      <c r="C9817" s="24" t="inlineStr">
        <is>
          <t>诉讼类型</t>
        </is>
      </c>
      <c r="D9817" s="24" t="inlineStr">
        <is>
          <t>04</t>
        </is>
      </c>
      <c r="E9817" s="24" t="inlineStr">
        <is>
          <t>仲裁</t>
        </is>
      </c>
    </row>
    <row r="9818">
      <c r="B9818" s="24" t="inlineStr">
        <is>
          <t>LawsuitType</t>
        </is>
      </c>
      <c r="C9818" s="24" t="inlineStr">
        <is>
          <t>诉讼类型</t>
        </is>
      </c>
      <c r="D9818" s="24" t="inlineStr">
        <is>
          <t>05</t>
        </is>
      </c>
      <c r="E9818" s="24" t="inlineStr">
        <is>
          <t>其他</t>
        </is>
      </c>
    </row>
    <row r="9819" ht="15.95" customHeight="1" s="170">
      <c r="B9819" s="122" t="inlineStr">
        <is>
          <t>码值：LawsuitStatus</t>
        </is>
      </c>
    </row>
    <row r="9820">
      <c r="B9820" s="24" t="inlineStr">
        <is>
          <t>LawsuitStatus</t>
        </is>
      </c>
      <c r="C9820" s="24" t="inlineStr">
        <is>
          <t>我行的诉讼地位</t>
        </is>
      </c>
      <c r="D9820" s="24" t="inlineStr">
        <is>
          <t>01</t>
        </is>
      </c>
      <c r="E9820" s="24" t="inlineStr">
        <is>
          <t>原告</t>
        </is>
      </c>
    </row>
    <row r="9821">
      <c r="B9821" s="24" t="inlineStr">
        <is>
          <t>LawsuitStatus</t>
        </is>
      </c>
      <c r="C9821" s="24" t="inlineStr">
        <is>
          <t>我行的诉讼地位</t>
        </is>
      </c>
      <c r="D9821" s="24" t="inlineStr">
        <is>
          <t>02</t>
        </is>
      </c>
      <c r="E9821" s="24" t="inlineStr">
        <is>
          <t>被告</t>
        </is>
      </c>
    </row>
    <row r="9822">
      <c r="B9822" s="24" t="inlineStr">
        <is>
          <t>LawsuitStatus</t>
        </is>
      </c>
      <c r="C9822" s="24" t="inlineStr">
        <is>
          <t>我行的诉讼地位</t>
        </is>
      </c>
      <c r="D9822" s="24" t="inlineStr">
        <is>
          <t>03</t>
        </is>
      </c>
      <c r="E9822" s="24" t="inlineStr">
        <is>
          <t>第三人</t>
        </is>
      </c>
    </row>
    <row r="9823">
      <c r="B9823" s="24" t="inlineStr">
        <is>
          <t>LawsuitStatus</t>
        </is>
      </c>
      <c r="C9823" s="24" t="inlineStr">
        <is>
          <t>我行的诉讼地位</t>
        </is>
      </c>
      <c r="D9823" s="24" t="inlineStr">
        <is>
          <t>04</t>
        </is>
      </c>
      <c r="E9823" s="24" t="inlineStr">
        <is>
          <t>执行</t>
        </is>
      </c>
    </row>
    <row r="9824">
      <c r="B9824" s="24" t="inlineStr">
        <is>
          <t>LawsuitStatus</t>
        </is>
      </c>
      <c r="C9824" s="24" t="inlineStr">
        <is>
          <t>我行的诉讼地位</t>
        </is>
      </c>
      <c r="D9824" s="24" t="inlineStr">
        <is>
          <t>05</t>
        </is>
      </c>
      <c r="E9824" s="24" t="inlineStr">
        <is>
          <t>被执行</t>
        </is>
      </c>
    </row>
    <row r="9825">
      <c r="B9825" s="24" t="inlineStr">
        <is>
          <t>LawsuitStatus</t>
        </is>
      </c>
      <c r="C9825" s="24" t="inlineStr">
        <is>
          <t>我行的诉讼地位</t>
        </is>
      </c>
      <c r="D9825" s="24" t="inlineStr">
        <is>
          <t>06</t>
        </is>
      </c>
      <c r="E9825" s="24" t="inlineStr">
        <is>
          <t>申请人</t>
        </is>
      </c>
    </row>
    <row r="9826">
      <c r="B9826" s="24" t="inlineStr">
        <is>
          <t>LawsuitStatus</t>
        </is>
      </c>
      <c r="C9826" s="24" t="inlineStr">
        <is>
          <t>我行的诉讼地位</t>
        </is>
      </c>
      <c r="D9826" s="24" t="inlineStr">
        <is>
          <t>07</t>
        </is>
      </c>
      <c r="E9826" s="24" t="inlineStr">
        <is>
          <t>参与人</t>
        </is>
      </c>
    </row>
    <row r="9827" ht="15.95" customHeight="1" s="170">
      <c r="B9827" s="122" t="inlineStr">
        <is>
          <t>码值：SMECreditMStation</t>
        </is>
      </c>
    </row>
    <row r="9828">
      <c r="B9828" s="24" t="inlineStr">
        <is>
          <t>SMECreditMStation</t>
        </is>
      </c>
      <c r="C9828" s="24" t="inlineStr">
        <is>
          <t>市场地位</t>
        </is>
      </c>
      <c r="D9828" s="24" t="inlineStr">
        <is>
          <t>01</t>
        </is>
      </c>
      <c r="E9828" s="24" t="inlineStr">
        <is>
          <t>高</t>
        </is>
      </c>
    </row>
    <row r="9829">
      <c r="B9829" s="24" t="inlineStr">
        <is>
          <t>SMECreditMStation</t>
        </is>
      </c>
      <c r="C9829" s="24" t="inlineStr">
        <is>
          <t>市场地位</t>
        </is>
      </c>
      <c r="D9829" s="24" t="inlineStr">
        <is>
          <t>02</t>
        </is>
      </c>
      <c r="E9829" s="24" t="inlineStr">
        <is>
          <t>一般</t>
        </is>
      </c>
    </row>
    <row r="9830">
      <c r="B9830" s="24" t="inlineStr">
        <is>
          <t>SMECreditMStation</t>
        </is>
      </c>
      <c r="C9830" s="24" t="inlineStr">
        <is>
          <t>市场地位</t>
        </is>
      </c>
      <c r="D9830" s="24" t="inlineStr">
        <is>
          <t>03</t>
        </is>
      </c>
      <c r="E9830" s="24" t="inlineStr">
        <is>
          <t>低</t>
        </is>
      </c>
    </row>
    <row r="9831" ht="15.95" customHeight="1" s="170">
      <c r="B9831" s="122" t="inlineStr">
        <is>
          <t>码值：CaseInfoList2</t>
        </is>
      </c>
    </row>
    <row r="9832">
      <c r="B9832" s="24" t="inlineStr">
        <is>
          <t>CaseInfoList2</t>
        </is>
      </c>
      <c r="C9832" s="24" t="inlineStr">
        <is>
          <t>案件基本信息（公证/仲裁案件）</t>
        </is>
      </c>
      <c r="D9832" s="24" t="inlineStr">
        <is>
          <t>010</t>
        </is>
      </c>
      <c r="E9832" s="24" t="inlineStr">
        <is>
          <t>案件基本信息</t>
        </is>
      </c>
    </row>
    <row r="9833">
      <c r="B9833" s="24" t="inlineStr">
        <is>
          <t>CaseInfoList2</t>
        </is>
      </c>
      <c r="C9833" s="24" t="inlineStr">
        <is>
          <t>案件基本信息（公证/仲裁案件）</t>
        </is>
      </c>
      <c r="D9833" s="24" t="inlineStr">
        <is>
          <t>020</t>
        </is>
      </c>
      <c r="E9833" s="24" t="inlineStr">
        <is>
          <t>相关合同信息</t>
        </is>
      </c>
    </row>
    <row r="9834">
      <c r="B9834" s="24" t="inlineStr">
        <is>
          <t>CaseInfoList2</t>
        </is>
      </c>
      <c r="C9834" s="24" t="inlineStr">
        <is>
          <t>案件基本信息（公证/仲裁案件）</t>
        </is>
      </c>
      <c r="D9834" s="24" t="inlineStr">
        <is>
          <t>021</t>
        </is>
      </c>
      <c r="E9834" s="24" t="inlineStr">
        <is>
          <t>案件当事人信息</t>
        </is>
      </c>
    </row>
    <row r="9835">
      <c r="B9835" s="24" t="inlineStr">
        <is>
          <t>CaseInfoList2</t>
        </is>
      </c>
      <c r="C9835" s="24" t="inlineStr">
        <is>
          <t>案件基本信息（公证/仲裁案件）</t>
        </is>
      </c>
      <c r="D9835" s="24" t="inlineStr">
        <is>
          <t>022</t>
        </is>
      </c>
      <c r="E9835" s="24" t="inlineStr">
        <is>
          <t>受理机关人员信息</t>
        </is>
      </c>
    </row>
    <row r="9836">
      <c r="B9836" s="24" t="inlineStr">
        <is>
          <t>CaseInfoList2</t>
        </is>
      </c>
      <c r="C9836" s="24" t="inlineStr">
        <is>
          <t>案件基本信息（公证/仲裁案件）</t>
        </is>
      </c>
      <c r="D9836" s="24" t="inlineStr">
        <is>
          <t>023</t>
        </is>
      </c>
      <c r="E9836" s="24" t="inlineStr">
        <is>
          <t>代理人信息</t>
        </is>
      </c>
    </row>
    <row r="9837">
      <c r="B9837" s="24" t="inlineStr">
        <is>
          <t>CaseInfoList2</t>
        </is>
      </c>
      <c r="C9837" s="24" t="inlineStr">
        <is>
          <t>案件基本信息（公证/仲裁案件）</t>
        </is>
      </c>
      <c r="D9837" s="24" t="inlineStr">
        <is>
          <t>024</t>
        </is>
      </c>
      <c r="E9837" s="24" t="inlineStr">
        <is>
          <t>案件文档信息</t>
        </is>
      </c>
    </row>
    <row r="9838">
      <c r="B9838" s="24" t="inlineStr">
        <is>
          <t>CaseInfoList2</t>
        </is>
      </c>
      <c r="C9838" s="24" t="inlineStr">
        <is>
          <t>案件基本信息（公证/仲裁案件）</t>
        </is>
      </c>
      <c r="D9838" s="24" t="inlineStr">
        <is>
          <t>030</t>
        </is>
      </c>
      <c r="E9838" s="24" t="inlineStr">
        <is>
          <t>案件台帐信息</t>
        </is>
      </c>
    </row>
    <row r="9839">
      <c r="B9839" s="24" t="inlineStr">
        <is>
          <t>CaseInfoList2</t>
        </is>
      </c>
      <c r="C9839" s="24" t="inlineStr">
        <is>
          <t>案件基本信息（公证/仲裁案件）</t>
        </is>
      </c>
      <c r="D9839" s="24" t="inlineStr">
        <is>
          <t>030030</t>
        </is>
      </c>
      <c r="E9839" s="24" t="inlineStr">
        <is>
          <t>公证台帐</t>
        </is>
      </c>
    </row>
    <row r="9840">
      <c r="B9840" s="24" t="inlineStr">
        <is>
          <t>CaseInfoList2</t>
        </is>
      </c>
      <c r="C9840" s="24" t="inlineStr">
        <is>
          <t>案件基本信息（公证/仲裁案件）</t>
        </is>
      </c>
      <c r="D9840" s="24" t="inlineStr">
        <is>
          <t>030040</t>
        </is>
      </c>
      <c r="E9840" s="24" t="inlineStr">
        <is>
          <t>仲裁台帐</t>
        </is>
      </c>
    </row>
    <row r="9841">
      <c r="B9841" s="24" t="inlineStr">
        <is>
          <t>CaseInfoList2</t>
        </is>
      </c>
      <c r="C9841" s="24" t="inlineStr">
        <is>
          <t>案件基本信息（公证/仲裁案件）</t>
        </is>
      </c>
      <c r="D9841" s="24" t="inlineStr">
        <is>
          <t>030050</t>
        </is>
      </c>
      <c r="E9841" s="24" t="inlineStr">
        <is>
          <t>执行台帐</t>
        </is>
      </c>
    </row>
    <row r="9842">
      <c r="B9842" s="24" t="inlineStr">
        <is>
          <t>CaseInfoList2</t>
        </is>
      </c>
      <c r="C9842" s="24" t="inlineStr">
        <is>
          <t>案件基本信息（公证/仲裁案件）</t>
        </is>
      </c>
      <c r="D9842" s="24" t="inlineStr">
        <is>
          <t>030070</t>
        </is>
      </c>
      <c r="E9842" s="24" t="inlineStr">
        <is>
          <t>费用台帐</t>
        </is>
      </c>
    </row>
    <row r="9843">
      <c r="B9843" s="24" t="inlineStr">
        <is>
          <t>CaseInfoList2</t>
        </is>
      </c>
      <c r="C9843" s="24" t="inlineStr">
        <is>
          <t>案件基本信息（公证/仲裁案件）</t>
        </is>
      </c>
      <c r="D9843" s="24" t="inlineStr">
        <is>
          <t>030080</t>
        </is>
      </c>
      <c r="E9843" s="24" t="inlineStr">
        <is>
          <t>查封资产台帐</t>
        </is>
      </c>
    </row>
    <row r="9844" ht="15.95" customHeight="1" s="170">
      <c r="B9844" s="122" t="inlineStr">
        <is>
          <t>码值：CapitalPurposeMinApproveMain</t>
        </is>
      </c>
    </row>
    <row r="9845">
      <c r="B9845" s="24" t="inlineStr">
        <is>
          <t>CapitalPurposeMinApproveMain</t>
        </is>
      </c>
      <c r="C9845" s="24" t="inlineStr">
        <is>
          <t>ClrEnter审批主树图</t>
        </is>
      </c>
      <c r="D9845" s="24" t="inlineStr">
        <is>
          <t>N</t>
        </is>
      </c>
      <c r="E9845" s="24" t="inlineStr">
        <is>
          <t>待办任务</t>
        </is>
      </c>
    </row>
    <row r="9846">
      <c r="B9846" s="24" t="inlineStr">
        <is>
          <t>CapitalPurposeMinApproveMain</t>
        </is>
      </c>
      <c r="C9846" s="24" t="inlineStr">
        <is>
          <t>ClrEnter审批主树图</t>
        </is>
      </c>
      <c r="D9846" s="24" t="inlineStr">
        <is>
          <t>Y</t>
        </is>
      </c>
      <c r="E9846" s="24" t="inlineStr">
        <is>
          <t>已办任务</t>
        </is>
      </c>
    </row>
    <row r="9847">
      <c r="B9847" s="24" t="inlineStr">
        <is>
          <t>CapitalPurposeMinApproveMain</t>
        </is>
      </c>
      <c r="C9847" s="24" t="inlineStr">
        <is>
          <t>ClrEnter审批主树图</t>
        </is>
      </c>
      <c r="D9847" s="24" t="inlineStr">
        <is>
          <t>当前工作/已完成工作</t>
        </is>
      </c>
      <c r="E9847" s="24" t="inlineStr">
        <is>
          <t>阶段名称</t>
        </is>
      </c>
    </row>
    <row r="9848" ht="15.95" customHeight="1" s="170">
      <c r="B9848" s="122" t="inlineStr">
        <is>
          <t>码值：CaseInfoList1</t>
        </is>
      </c>
    </row>
    <row r="9849">
      <c r="B9849" s="24" t="inlineStr">
        <is>
          <t>CaseInfoList1</t>
        </is>
      </c>
      <c r="C9849" s="24" t="inlineStr">
        <is>
          <t>案件基本信息（一般案件）</t>
        </is>
      </c>
      <c r="D9849" s="24" t="inlineStr">
        <is>
          <t>010</t>
        </is>
      </c>
      <c r="E9849" s="24" t="inlineStr">
        <is>
          <t>案件基本信息</t>
        </is>
      </c>
    </row>
    <row r="9850">
      <c r="B9850" s="24" t="inlineStr">
        <is>
          <t>CaseInfoList1</t>
        </is>
      </c>
      <c r="C9850" s="24" t="inlineStr">
        <is>
          <t>案件基本信息（一般案件）</t>
        </is>
      </c>
      <c r="D9850" s="24" t="inlineStr">
        <is>
          <t>020</t>
        </is>
      </c>
      <c r="E9850" s="24" t="inlineStr">
        <is>
          <t>相关合同信息</t>
        </is>
      </c>
    </row>
    <row r="9851">
      <c r="B9851" s="24" t="inlineStr">
        <is>
          <t>CaseInfoList1</t>
        </is>
      </c>
      <c r="C9851" s="24" t="inlineStr">
        <is>
          <t>案件基本信息（一般案件）</t>
        </is>
      </c>
      <c r="D9851" s="24" t="inlineStr">
        <is>
          <t>021</t>
        </is>
      </c>
      <c r="E9851" s="24" t="inlineStr">
        <is>
          <t>案件当事人信息</t>
        </is>
      </c>
    </row>
    <row r="9852">
      <c r="B9852" s="24" t="inlineStr">
        <is>
          <t>CaseInfoList1</t>
        </is>
      </c>
      <c r="C9852" s="24" t="inlineStr">
        <is>
          <t>案件基本信息（一般案件）</t>
        </is>
      </c>
      <c r="D9852" s="24" t="inlineStr">
        <is>
          <t>022</t>
        </is>
      </c>
      <c r="E9852" s="24" t="inlineStr">
        <is>
          <t>受理机关人员信息</t>
        </is>
      </c>
    </row>
    <row r="9853">
      <c r="B9853" s="24" t="inlineStr">
        <is>
          <t>CaseInfoList1</t>
        </is>
      </c>
      <c r="C9853" s="24" t="inlineStr">
        <is>
          <t>案件基本信息（一般案件）</t>
        </is>
      </c>
      <c r="D9853" s="24" t="inlineStr">
        <is>
          <t>023</t>
        </is>
      </c>
      <c r="E9853" s="24" t="inlineStr">
        <is>
          <t>代理人信息</t>
        </is>
      </c>
    </row>
    <row r="9854">
      <c r="B9854" s="24" t="inlineStr">
        <is>
          <t>CaseInfoList1</t>
        </is>
      </c>
      <c r="C9854" s="24" t="inlineStr">
        <is>
          <t>案件基本信息（一般案件）</t>
        </is>
      </c>
      <c r="D9854" s="24" t="inlineStr">
        <is>
          <t>024</t>
        </is>
      </c>
      <c r="E9854" s="24" t="inlineStr">
        <is>
          <t>案件文档信息</t>
        </is>
      </c>
    </row>
    <row r="9855">
      <c r="B9855" s="24" t="inlineStr">
        <is>
          <t>CaseInfoList1</t>
        </is>
      </c>
      <c r="C9855" s="24" t="inlineStr">
        <is>
          <t>案件基本信息（一般案件）</t>
        </is>
      </c>
      <c r="D9855" s="24" t="inlineStr">
        <is>
          <t>030</t>
        </is>
      </c>
      <c r="E9855" s="24" t="inlineStr">
        <is>
          <t>案件台帐信息</t>
        </is>
      </c>
    </row>
    <row r="9856">
      <c r="B9856" s="24" t="inlineStr">
        <is>
          <t>CaseInfoList1</t>
        </is>
      </c>
      <c r="C9856" s="24" t="inlineStr">
        <is>
          <t>案件基本信息（一般案件）</t>
        </is>
      </c>
      <c r="D9856" s="24" t="inlineStr">
        <is>
          <t>030001</t>
        </is>
      </c>
      <c r="E9856" s="24" t="inlineStr">
        <is>
          <t>案件过程台帐</t>
        </is>
      </c>
    </row>
    <row r="9857">
      <c r="B9857" s="24" t="inlineStr">
        <is>
          <t>CaseInfoList1</t>
        </is>
      </c>
      <c r="C9857" s="24" t="inlineStr">
        <is>
          <t>案件基本信息（一般案件）</t>
        </is>
      </c>
      <c r="D9857" s="24" t="inlineStr">
        <is>
          <t>030001001</t>
        </is>
      </c>
      <c r="E9857" s="24" t="inlineStr">
        <is>
          <t>支付令台帐</t>
        </is>
      </c>
    </row>
    <row r="9858">
      <c r="B9858" s="24" t="inlineStr">
        <is>
          <t>CaseInfoList1</t>
        </is>
      </c>
      <c r="C9858" s="24" t="inlineStr">
        <is>
          <t>案件基本信息（一般案件）</t>
        </is>
      </c>
      <c r="D9858" s="24" t="inlineStr">
        <is>
          <t>030001003</t>
        </is>
      </c>
      <c r="E9858" s="24" t="inlineStr">
        <is>
          <t>诉前保全台帐</t>
        </is>
      </c>
    </row>
    <row r="9859">
      <c r="B9859" s="24" t="inlineStr">
        <is>
          <t>CaseInfoList1</t>
        </is>
      </c>
      <c r="C9859" s="24" t="inlineStr">
        <is>
          <t>案件基本信息（一般案件）</t>
        </is>
      </c>
      <c r="D9859" s="24" t="inlineStr">
        <is>
          <t>030001004</t>
        </is>
      </c>
      <c r="E9859" s="24" t="inlineStr">
        <is>
          <t>诉讼保全台帐</t>
        </is>
      </c>
    </row>
    <row r="9860">
      <c r="B9860" s="24" t="inlineStr">
        <is>
          <t>CaseInfoList1</t>
        </is>
      </c>
      <c r="C9860" s="24" t="inlineStr">
        <is>
          <t>案件基本信息（一般案件）</t>
        </is>
      </c>
      <c r="D9860" s="24" t="inlineStr">
        <is>
          <t>030001005</t>
        </is>
      </c>
      <c r="E9860" s="24" t="inlineStr">
        <is>
          <t>立案台帐</t>
        </is>
      </c>
    </row>
    <row r="9861">
      <c r="B9861" s="24" t="inlineStr">
        <is>
          <t>CaseInfoList1</t>
        </is>
      </c>
      <c r="C9861" s="24" t="inlineStr">
        <is>
          <t>案件基本信息（一般案件）</t>
        </is>
      </c>
      <c r="D9861" s="24" t="inlineStr">
        <is>
          <t>030001006</t>
        </is>
      </c>
      <c r="E9861" s="24" t="inlineStr">
        <is>
          <t>一审台帐</t>
        </is>
      </c>
    </row>
    <row r="9862">
      <c r="B9862" s="24" t="inlineStr">
        <is>
          <t>CaseInfoList1</t>
        </is>
      </c>
      <c r="C9862" s="24" t="inlineStr">
        <is>
          <t>案件基本信息（一般案件）</t>
        </is>
      </c>
      <c r="D9862" s="24" t="inlineStr">
        <is>
          <t>030001007</t>
        </is>
      </c>
      <c r="E9862" s="24" t="inlineStr">
        <is>
          <t>二审台帐</t>
        </is>
      </c>
    </row>
    <row r="9863">
      <c r="B9863" s="24" t="inlineStr">
        <is>
          <t>CaseInfoList1</t>
        </is>
      </c>
      <c r="C9863" s="24" t="inlineStr">
        <is>
          <t>案件基本信息（一般案件）</t>
        </is>
      </c>
      <c r="D9863" s="24" t="inlineStr">
        <is>
          <t>030001008</t>
        </is>
      </c>
      <c r="E9863" s="24" t="inlineStr">
        <is>
          <t>再审台帐</t>
        </is>
      </c>
    </row>
    <row r="9864">
      <c r="B9864" s="24" t="inlineStr">
        <is>
          <t>CaseInfoList1</t>
        </is>
      </c>
      <c r="C9864" s="24" t="inlineStr">
        <is>
          <t>案件基本信息（一般案件）</t>
        </is>
      </c>
      <c r="D9864" s="24" t="inlineStr">
        <is>
          <t>030001009</t>
        </is>
      </c>
      <c r="E9864" s="24" t="inlineStr">
        <is>
          <t>执行台帐</t>
        </is>
      </c>
    </row>
    <row r="9865">
      <c r="B9865" s="24" t="inlineStr">
        <is>
          <t>CaseInfoList1</t>
        </is>
      </c>
      <c r="C9865" s="24" t="inlineStr">
        <is>
          <t>案件基本信息（一般案件）</t>
        </is>
      </c>
      <c r="D9865" s="24" t="inlineStr">
        <is>
          <t>030001010</t>
        </is>
      </c>
      <c r="E9865" s="24" t="inlineStr">
        <is>
          <t>庭审记录</t>
        </is>
      </c>
    </row>
    <row r="9866">
      <c r="B9866" s="24" t="inlineStr">
        <is>
          <t>CaseInfoList1</t>
        </is>
      </c>
      <c r="C9866" s="24" t="inlineStr">
        <is>
          <t>案件基本信息（一般案件）</t>
        </is>
      </c>
      <c r="D9866" s="24" t="inlineStr">
        <is>
          <t>030070</t>
        </is>
      </c>
      <c r="E9866" s="24" t="inlineStr">
        <is>
          <t>费用台帐</t>
        </is>
      </c>
    </row>
    <row r="9867">
      <c r="B9867" s="24" t="inlineStr">
        <is>
          <t>CaseInfoList1</t>
        </is>
      </c>
      <c r="C9867" s="24" t="inlineStr">
        <is>
          <t>案件基本信息（一般案件）</t>
        </is>
      </c>
      <c r="D9867" s="24" t="inlineStr">
        <is>
          <t>030080</t>
        </is>
      </c>
      <c r="E9867" s="24" t="inlineStr">
        <is>
          <t>查封资产台帐</t>
        </is>
      </c>
    </row>
    <row r="9868" ht="15.95" customHeight="1" s="170">
      <c r="B9868" s="122" t="inlineStr">
        <is>
          <t>码值：Tablename</t>
        </is>
      </c>
    </row>
    <row r="9869">
      <c r="B9869" s="24" t="inlineStr">
        <is>
          <t>Tablename</t>
        </is>
      </c>
      <c r="C9869" s="24" t="inlineStr">
        <is>
          <t>模块</t>
        </is>
      </c>
      <c r="D9869" s="24" t="inlineStr">
        <is>
          <t>BUSINESS_APPLY</t>
        </is>
      </c>
      <c r="E9869" s="24" t="inlineStr">
        <is>
          <t>授信详情</t>
        </is>
      </c>
    </row>
    <row r="9870">
      <c r="B9870" s="24" t="inlineStr">
        <is>
          <t>Tablename</t>
        </is>
      </c>
      <c r="C9870" s="24" t="inlineStr">
        <is>
          <t>模块</t>
        </is>
      </c>
      <c r="D9870" s="24" t="inlineStr">
        <is>
          <t>CUSTOMER_INFO</t>
        </is>
      </c>
      <c r="E9870" s="24" t="inlineStr">
        <is>
          <t>客户详情</t>
        </is>
      </c>
    </row>
    <row r="9871">
      <c r="B9871" s="24" t="inlineStr">
        <is>
          <t>Tablename</t>
        </is>
      </c>
      <c r="C9871" s="24" t="inlineStr">
        <is>
          <t>模块</t>
        </is>
      </c>
      <c r="D9871" s="24" t="inlineStr">
        <is>
          <t>ENT_INFO</t>
        </is>
      </c>
      <c r="E9871" s="24" t="inlineStr">
        <is>
          <t>公司客户详情</t>
        </is>
      </c>
    </row>
    <row r="9872">
      <c r="B9872" s="24" t="inlineStr">
        <is>
          <t>Tablename</t>
        </is>
      </c>
      <c r="C9872" s="24" t="inlineStr">
        <is>
          <t>模块</t>
        </is>
      </c>
      <c r="D9872" s="24" t="inlineStr">
        <is>
          <t>IND_INFO</t>
        </is>
      </c>
      <c r="E9872" s="24" t="inlineStr">
        <is>
          <t>个人客户详情</t>
        </is>
      </c>
    </row>
    <row r="9873" ht="15.95" customHeight="1" s="170">
      <c r="B9873" s="122" t="inlineStr">
        <is>
          <t>码值：HaveOrNot</t>
        </is>
      </c>
    </row>
    <row r="9874">
      <c r="B9874" s="24" t="inlineStr">
        <is>
          <t>HaveOrNot</t>
        </is>
      </c>
      <c r="C9874" s="24" t="inlineStr">
        <is>
          <t>信用等级评估统一导入</t>
        </is>
      </c>
      <c r="D9874" s="24" t="inlineStr">
        <is>
          <t>01</t>
        </is>
      </c>
      <c r="E9874" s="24" t="inlineStr">
        <is>
          <t>有</t>
        </is>
      </c>
    </row>
    <row r="9875">
      <c r="B9875" s="24" t="inlineStr">
        <is>
          <t>HaveOrNot</t>
        </is>
      </c>
      <c r="C9875" s="24" t="inlineStr">
        <is>
          <t>信用等级评估统一导入</t>
        </is>
      </c>
      <c r="D9875" s="24" t="inlineStr">
        <is>
          <t>02</t>
        </is>
      </c>
      <c r="E9875" s="24" t="inlineStr">
        <is>
          <t>无</t>
        </is>
      </c>
    </row>
    <row r="9876" ht="15.95" customHeight="1" s="170">
      <c r="B9876" s="122" t="inlineStr">
        <is>
          <t>码值：UseStatus</t>
        </is>
      </c>
    </row>
    <row r="9877">
      <c r="B9877" s="24" t="inlineStr">
        <is>
          <t>UseStatus</t>
        </is>
      </c>
      <c r="C9877" s="24" t="inlineStr">
        <is>
          <t>资产使用状态</t>
        </is>
      </c>
      <c r="D9877" s="24" t="inlineStr">
        <is>
          <t>01</t>
        </is>
      </c>
      <c r="E9877" s="24" t="inlineStr">
        <is>
          <t>自用</t>
        </is>
      </c>
    </row>
    <row r="9878">
      <c r="B9878" s="24" t="inlineStr">
        <is>
          <t>UseStatus</t>
        </is>
      </c>
      <c r="C9878" s="24" t="inlineStr">
        <is>
          <t>资产使用状态</t>
        </is>
      </c>
      <c r="D9878" s="24" t="inlineStr">
        <is>
          <t>02</t>
        </is>
      </c>
      <c r="E9878" s="24" t="inlineStr">
        <is>
          <t>出租</t>
        </is>
      </c>
    </row>
    <row r="9879">
      <c r="B9879" s="24" t="inlineStr">
        <is>
          <t>UseStatus</t>
        </is>
      </c>
      <c r="C9879" s="24" t="inlineStr">
        <is>
          <t>资产使用状态</t>
        </is>
      </c>
      <c r="D9879" s="24" t="inlineStr">
        <is>
          <t>03</t>
        </is>
      </c>
      <c r="E9879" s="24" t="inlineStr">
        <is>
          <t>闲置</t>
        </is>
      </c>
    </row>
    <row r="9880" ht="15.95" customHeight="1" s="170">
      <c r="B9880" s="122" t="inlineStr">
        <is>
          <t>码值：TestButtonSetB</t>
        </is>
      </c>
    </row>
    <row r="9881">
      <c r="B9881" s="24" t="inlineStr">
        <is>
          <t>TestButtonSetB</t>
        </is>
      </c>
      <c r="C9881" s="24" t="inlineStr">
        <is>
          <t>按钮组B（Test）</t>
        </is>
      </c>
      <c r="D9881" s="24" t="inlineStr">
        <is>
          <t>backStep</t>
        </is>
      </c>
      <c r="E9881" s="24" t="inlineStr">
        <is>
          <t>退回前一步</t>
        </is>
      </c>
    </row>
    <row r="9882">
      <c r="B9882" s="24" t="inlineStr">
        <is>
          <t>TestButtonSetB</t>
        </is>
      </c>
      <c r="C9882" s="24" t="inlineStr">
        <is>
          <t>按钮组B（Test）</t>
        </is>
      </c>
      <c r="D9882" s="24" t="inlineStr">
        <is>
          <t>cancelApply</t>
        </is>
      </c>
      <c r="E9882" s="24" t="inlineStr">
        <is>
          <t>取消申请</t>
        </is>
      </c>
    </row>
    <row r="9883">
      <c r="B9883" s="24" t="inlineStr">
        <is>
          <t>TestButtonSetB</t>
        </is>
      </c>
      <c r="C9883" s="24" t="inlineStr">
        <is>
          <t>按钮组B（Test）</t>
        </is>
      </c>
      <c r="D9883" s="24" t="inlineStr">
        <is>
          <t>doSubmit</t>
        </is>
      </c>
      <c r="E9883" s="24" t="inlineStr">
        <is>
          <t>提交</t>
        </is>
      </c>
    </row>
    <row r="9884">
      <c r="B9884" s="24" t="inlineStr">
        <is>
          <t>TestButtonSetB</t>
        </is>
      </c>
      <c r="C9884" s="24" t="inlineStr">
        <is>
          <t>按钮组B（Test）</t>
        </is>
      </c>
      <c r="D9884" s="24" t="inlineStr">
        <is>
          <t>fetchTask</t>
        </is>
      </c>
      <c r="E9884" s="24" t="inlineStr">
        <is>
          <t>从任务池获取任务</t>
        </is>
      </c>
    </row>
    <row r="9885">
      <c r="B9885" s="24" t="inlineStr">
        <is>
          <t>TestButtonSetB</t>
        </is>
      </c>
      <c r="C9885" s="24" t="inlineStr">
        <is>
          <t>按钮组B（Test）</t>
        </is>
      </c>
      <c r="D9885" s="24" t="inlineStr">
        <is>
          <t>flowHistory</t>
        </is>
      </c>
      <c r="E9885" s="24" t="inlineStr">
        <is>
          <t>查看流程历史记录</t>
        </is>
      </c>
    </row>
    <row r="9886">
      <c r="B9886" s="24" t="inlineStr">
        <is>
          <t>TestButtonSetB</t>
        </is>
      </c>
      <c r="C9886" s="24" t="inlineStr">
        <is>
          <t>按钮组B（Test）</t>
        </is>
      </c>
      <c r="D9886" s="24" t="inlineStr">
        <is>
          <t>newApply</t>
        </is>
      </c>
      <c r="E9886" s="24" t="inlineStr">
        <is>
          <t>新增申请</t>
        </is>
      </c>
    </row>
    <row r="9887">
      <c r="B9887" s="24" t="inlineStr">
        <is>
          <t>TestButtonSetB</t>
        </is>
      </c>
      <c r="C9887" s="24" t="inlineStr">
        <is>
          <t>按钮组B（Test）</t>
        </is>
      </c>
      <c r="D9887" s="24" t="inlineStr">
        <is>
          <t>returnSupply</t>
        </is>
      </c>
      <c r="E9887" s="24" t="inlineStr">
        <is>
          <t>退回补充资料</t>
        </is>
      </c>
    </row>
    <row r="9888">
      <c r="B9888" s="24" t="inlineStr">
        <is>
          <t>TestButtonSetB</t>
        </is>
      </c>
      <c r="C9888" s="24" t="inlineStr">
        <is>
          <t>按钮组B（Test）</t>
        </is>
      </c>
      <c r="D9888" s="24" t="inlineStr">
        <is>
          <t>returnTask</t>
        </is>
      </c>
      <c r="E9888" s="24" t="inlineStr">
        <is>
          <t>退回任意阶段</t>
        </is>
      </c>
    </row>
    <row r="9889">
      <c r="B9889" s="24" t="inlineStr">
        <is>
          <t>TestButtonSetB</t>
        </is>
      </c>
      <c r="C9889" s="24" t="inlineStr">
        <is>
          <t>按钮组B（Test）</t>
        </is>
      </c>
      <c r="D9889" s="24" t="inlineStr">
        <is>
          <t>returnTaskToPool</t>
        </is>
      </c>
      <c r="E9889" s="24" t="inlineStr">
        <is>
          <t>任务返回任务池</t>
        </is>
      </c>
    </row>
    <row r="9890">
      <c r="B9890" s="24" t="inlineStr">
        <is>
          <t>TestButtonSetB</t>
        </is>
      </c>
      <c r="C9890" s="24" t="inlineStr">
        <is>
          <t>按钮组B（Test）</t>
        </is>
      </c>
      <c r="D9890" s="24" t="inlineStr">
        <is>
          <t>signOpinion</t>
        </is>
      </c>
      <c r="E9890" s="24" t="inlineStr">
        <is>
          <t>签署意见</t>
        </is>
      </c>
    </row>
    <row r="9891">
      <c r="B9891" s="24" t="inlineStr">
        <is>
          <t>TestButtonSetB</t>
        </is>
      </c>
      <c r="C9891" s="24" t="inlineStr">
        <is>
          <t>按钮组B（Test）</t>
        </is>
      </c>
      <c r="D9891" s="24" t="inlineStr">
        <is>
          <t>takeBack</t>
        </is>
      </c>
      <c r="E9891" s="24" t="inlineStr">
        <is>
          <t>收回</t>
        </is>
      </c>
    </row>
    <row r="9892">
      <c r="B9892" s="24" t="inlineStr">
        <is>
          <t>TestButtonSetB</t>
        </is>
      </c>
      <c r="C9892" s="24" t="inlineStr">
        <is>
          <t>按钮组B（Test）</t>
        </is>
      </c>
      <c r="D9892" s="24" t="inlineStr">
        <is>
          <t>viewApply</t>
        </is>
      </c>
      <c r="E9892" s="24" t="inlineStr">
        <is>
          <t>申请详情</t>
        </is>
      </c>
    </row>
    <row r="9893">
      <c r="B9893" s="24" t="inlineStr">
        <is>
          <t>TestButtonSetB</t>
        </is>
      </c>
      <c r="C9893" s="24" t="inlineStr">
        <is>
          <t>按钮组B（Test）</t>
        </is>
      </c>
      <c r="D9893" s="24" t="inlineStr">
        <is>
          <t>viewFlowGraph</t>
        </is>
      </c>
      <c r="E9893" s="24" t="inlineStr">
        <is>
          <t>流程图形展示</t>
        </is>
      </c>
    </row>
    <row r="9894">
      <c r="B9894" s="24" t="inlineStr">
        <is>
          <t>TestButtonSetB</t>
        </is>
      </c>
      <c r="C9894" s="24" t="inlineStr">
        <is>
          <t>按钮组B（Test）</t>
        </is>
      </c>
      <c r="D9894" s="24" t="inlineStr">
        <is>
          <t>viewOpinions</t>
        </is>
      </c>
      <c r="E9894" s="24" t="inlineStr">
        <is>
          <t>查看意见</t>
        </is>
      </c>
    </row>
    <row r="9895" ht="15.95" customHeight="1" s="170">
      <c r="B9895" s="122" t="inlineStr">
        <is>
          <t>码值：CapitalPurposeCheckApplyMain</t>
        </is>
      </c>
    </row>
    <row r="9896">
      <c r="B9896" s="24" t="inlineStr">
        <is>
          <t>CapitalPurposeCheckApplyMain</t>
        </is>
      </c>
      <c r="C9896" s="24" t="inlineStr">
        <is>
          <t>资金用途检查申请申请主树图</t>
        </is>
      </c>
      <c r="D9896" s="24" t="inlineStr">
        <is>
          <t>1010</t>
        </is>
      </c>
      <c r="E9896" s="24" t="inlineStr">
        <is>
          <t>待处理</t>
        </is>
      </c>
    </row>
    <row r="9897">
      <c r="B9897" s="24" t="inlineStr">
        <is>
          <t>CapitalPurposeCheckApplyMain</t>
        </is>
      </c>
      <c r="C9897" s="24" t="inlineStr">
        <is>
          <t>资金用途检查申请申请主树图</t>
        </is>
      </c>
      <c r="D9897" s="24" t="inlineStr">
        <is>
          <t>1020</t>
        </is>
      </c>
      <c r="E9897" s="24" t="inlineStr">
        <is>
          <t>审批中</t>
        </is>
      </c>
    </row>
    <row r="9898">
      <c r="B9898" s="24" t="inlineStr">
        <is>
          <t>CapitalPurposeCheckApplyMain</t>
        </is>
      </c>
      <c r="C9898" s="24" t="inlineStr">
        <is>
          <t>资金用途检查申请申请主树图</t>
        </is>
      </c>
      <c r="D9898" s="24" t="inlineStr">
        <is>
          <t>1040,1050</t>
        </is>
      </c>
      <c r="E9898" s="24" t="inlineStr">
        <is>
          <t>处理完成</t>
        </is>
      </c>
    </row>
    <row r="9899" ht="15.95" customHeight="1" s="170">
      <c r="B9899" s="122" t="inlineStr">
        <is>
          <t>码值：CommodityFuture</t>
        </is>
      </c>
    </row>
    <row r="9900">
      <c r="B9900" s="24" t="inlineStr">
        <is>
          <t>CommodityFuture</t>
        </is>
      </c>
      <c r="C9900" s="24" t="inlineStr">
        <is>
          <t>所属商品期货交易所</t>
        </is>
      </c>
      <c r="D9900" s="24" t="inlineStr">
        <is>
          <t>01</t>
        </is>
      </c>
      <c r="E9900" s="24" t="inlineStr">
        <is>
          <t>大连商品交易所</t>
        </is>
      </c>
    </row>
    <row r="9901">
      <c r="B9901" s="24" t="inlineStr">
        <is>
          <t>CommodityFuture</t>
        </is>
      </c>
      <c r="C9901" s="24" t="inlineStr">
        <is>
          <t>所属商品期货交易所</t>
        </is>
      </c>
      <c r="D9901" s="24" t="inlineStr">
        <is>
          <t>02</t>
        </is>
      </c>
      <c r="E9901" s="24" t="inlineStr">
        <is>
          <t>郑州商品交易所</t>
        </is>
      </c>
    </row>
    <row r="9902">
      <c r="B9902" s="24" t="inlineStr">
        <is>
          <t>CommodityFuture</t>
        </is>
      </c>
      <c r="C9902" s="24" t="inlineStr">
        <is>
          <t>所属商品期货交易所</t>
        </is>
      </c>
      <c r="D9902" s="24" t="inlineStr">
        <is>
          <t>03</t>
        </is>
      </c>
      <c r="E9902" s="24" t="inlineStr">
        <is>
          <t>上海商品交易所</t>
        </is>
      </c>
    </row>
    <row r="9903">
      <c r="B9903" s="24" t="inlineStr">
        <is>
          <t>CommodityFuture</t>
        </is>
      </c>
      <c r="C9903" s="24" t="inlineStr">
        <is>
          <t>所属商品期货交易所</t>
        </is>
      </c>
      <c r="D9903" s="24" t="inlineStr">
        <is>
          <t>90</t>
        </is>
      </c>
      <c r="E9903" s="24" t="inlineStr">
        <is>
          <t>其他</t>
        </is>
      </c>
    </row>
    <row r="9904" ht="15.95" customHeight="1" s="170">
      <c r="B9904" s="122" t="inlineStr">
        <is>
          <t>码值：ParkCondition</t>
        </is>
      </c>
    </row>
    <row r="9905">
      <c r="B9905" s="24" t="inlineStr">
        <is>
          <t>ParkCondition</t>
        </is>
      </c>
      <c r="C9905" s="24" t="inlineStr">
        <is>
          <t>泊车条件</t>
        </is>
      </c>
      <c r="D9905" s="24" t="inlineStr">
        <is>
          <t>01</t>
        </is>
      </c>
      <c r="E9905" s="24" t="inlineStr">
        <is>
          <t>无</t>
        </is>
      </c>
    </row>
    <row r="9906">
      <c r="B9906" s="24" t="inlineStr">
        <is>
          <t>ParkCondition</t>
        </is>
      </c>
      <c r="C9906" s="24" t="inlineStr">
        <is>
          <t>泊车条件</t>
        </is>
      </c>
      <c r="D9906" s="24" t="inlineStr">
        <is>
          <t>02</t>
        </is>
      </c>
      <c r="E9906" s="24" t="inlineStr">
        <is>
          <t>有车位</t>
        </is>
      </c>
    </row>
    <row r="9907">
      <c r="B9907" s="24" t="inlineStr">
        <is>
          <t>ParkCondition</t>
        </is>
      </c>
      <c r="C9907" s="24" t="inlineStr">
        <is>
          <t>泊车条件</t>
        </is>
      </c>
      <c r="D9907" s="24" t="inlineStr">
        <is>
          <t>03</t>
        </is>
      </c>
      <c r="E9907" s="24" t="inlineStr">
        <is>
          <t>独立车库</t>
        </is>
      </c>
    </row>
    <row r="9908" ht="15.95" customHeight="1" s="170">
      <c r="B9908" s="122" t="inlineStr">
        <is>
          <t>码值：ComponentParameterSelectType</t>
        </is>
      </c>
    </row>
    <row r="9909">
      <c r="B9909" s="24" t="inlineStr">
        <is>
          <t>ComponentParameterSelectType</t>
        </is>
      </c>
      <c r="C9909" s="24" t="inlineStr">
        <is>
          <t>参数选项编辑样式</t>
        </is>
      </c>
      <c r="D9909" s="24" t="inlineStr">
        <is>
          <t>01</t>
        </is>
      </c>
      <c r="E9909" s="24" t="inlineStr">
        <is>
          <t>列表选择框</t>
        </is>
      </c>
    </row>
    <row r="9910">
      <c r="B9910" s="24" t="inlineStr">
        <is>
          <t>ComponentParameterSelectType</t>
        </is>
      </c>
      <c r="C9910" s="24" t="inlineStr">
        <is>
          <t>参数选项编辑样式</t>
        </is>
      </c>
      <c r="D9910" s="24" t="inlineStr">
        <is>
          <t>02</t>
        </is>
      </c>
      <c r="E9910" s="24" t="inlineStr">
        <is>
          <t>树图选择框</t>
        </is>
      </c>
    </row>
    <row r="9911">
      <c r="B9911" s="24" t="inlineStr">
        <is>
          <t>ComponentParameterSelectType</t>
        </is>
      </c>
      <c r="C9911" s="24" t="inlineStr">
        <is>
          <t>参数选项编辑样式</t>
        </is>
      </c>
      <c r="D9911" s="24" t="inlineStr">
        <is>
          <t>03</t>
        </is>
      </c>
      <c r="E9911" s="24" t="inlineStr">
        <is>
          <t>自定义选择框</t>
        </is>
      </c>
    </row>
    <row r="9912">
      <c r="B9912" s="24" t="inlineStr">
        <is>
          <t>ComponentParameterSelectType</t>
        </is>
      </c>
      <c r="C9912" s="24" t="inlineStr">
        <is>
          <t>参数选项编辑样式</t>
        </is>
      </c>
      <c r="D9912" s="24" t="inlineStr">
        <is>
          <t>04</t>
        </is>
      </c>
      <c r="E9912" s="24" t="inlineStr">
        <is>
          <t>下拉选择框</t>
        </is>
      </c>
    </row>
    <row r="9913">
      <c r="B9913" s="24" t="inlineStr">
        <is>
          <t>ComponentParameterSelectType</t>
        </is>
      </c>
      <c r="C9913" s="24" t="inlineStr">
        <is>
          <t>参数选项编辑样式</t>
        </is>
      </c>
      <c r="D9913" s="24" t="inlineStr">
        <is>
          <t>05</t>
        </is>
      </c>
      <c r="E9913" s="24" t="inlineStr">
        <is>
          <t>横向选择框</t>
        </is>
      </c>
    </row>
    <row r="9914">
      <c r="B9914" s="24" t="inlineStr">
        <is>
          <t>ComponentParameterSelectType</t>
        </is>
      </c>
      <c r="C9914" s="24" t="inlineStr">
        <is>
          <t>参数选项编辑样式</t>
        </is>
      </c>
      <c r="D9914" s="24" t="inlineStr">
        <is>
          <t>06</t>
        </is>
      </c>
      <c r="E9914" s="24" t="inlineStr">
        <is>
          <t>横向多选择框</t>
        </is>
      </c>
    </row>
    <row r="9915" ht="15.95" customHeight="1" s="170">
      <c r="B9915" s="122" t="inlineStr">
        <is>
          <t>码值：ProType</t>
        </is>
      </c>
    </row>
    <row r="9916">
      <c r="B9916" s="24" t="inlineStr">
        <is>
          <t>ProType</t>
        </is>
      </c>
      <c r="C9916" s="24" t="inlineStr">
        <is>
          <t>物业类型</t>
        </is>
      </c>
      <c r="D9916" s="24" t="inlineStr">
        <is>
          <t>1</t>
        </is>
      </c>
      <c r="E9916" s="24" t="inlineStr">
        <is>
          <t>普通住宅</t>
        </is>
      </c>
    </row>
    <row r="9917">
      <c r="B9917" s="24" t="inlineStr">
        <is>
          <t>ProType</t>
        </is>
      </c>
      <c r="C9917" s="24" t="inlineStr">
        <is>
          <t>物业类型</t>
        </is>
      </c>
      <c r="D9917" s="24" t="inlineStr">
        <is>
          <t>2</t>
        </is>
      </c>
      <c r="E9917" s="24" t="inlineStr">
        <is>
          <t xml:space="preserve">别墅  </t>
        </is>
      </c>
    </row>
    <row r="9918">
      <c r="B9918" s="24" t="inlineStr">
        <is>
          <t>ProType</t>
        </is>
      </c>
      <c r="C9918" s="24" t="inlineStr">
        <is>
          <t>物业类型</t>
        </is>
      </c>
      <c r="D9918" s="24" t="inlineStr">
        <is>
          <t>3</t>
        </is>
      </c>
      <c r="E9918" s="24" t="inlineStr">
        <is>
          <t>商住</t>
        </is>
      </c>
    </row>
    <row r="9919">
      <c r="B9919" s="24" t="inlineStr">
        <is>
          <t>ProType</t>
        </is>
      </c>
      <c r="C9919" s="24" t="inlineStr">
        <is>
          <t>物业类型</t>
        </is>
      </c>
      <c r="D9919" s="24" t="inlineStr">
        <is>
          <t>4</t>
        </is>
      </c>
      <c r="E9919" s="24" t="inlineStr">
        <is>
          <t>其他</t>
        </is>
      </c>
    </row>
    <row r="9920" ht="15.95" customHeight="1" s="170">
      <c r="B9920" s="122" t="inlineStr">
        <is>
          <t>码值：MajorInvestmentModel</t>
        </is>
      </c>
    </row>
    <row r="9921">
      <c r="B9921" s="24" t="inlineStr">
        <is>
          <t>MajorInvestmentModel</t>
        </is>
      </c>
      <c r="C9921" s="24" t="inlineStr">
        <is>
          <t>信用等级评估统一导入</t>
        </is>
      </c>
      <c r="D9921" s="24" t="inlineStr">
        <is>
          <t>01</t>
        </is>
      </c>
      <c r="E9921" s="24" t="inlineStr">
        <is>
          <t>财政资金</t>
        </is>
      </c>
    </row>
    <row r="9922">
      <c r="B9922" s="24" t="inlineStr">
        <is>
          <t>MajorInvestmentModel</t>
        </is>
      </c>
      <c r="C9922" s="24" t="inlineStr">
        <is>
          <t>信用等级评估统一导入</t>
        </is>
      </c>
      <c r="D9922" s="24" t="inlineStr">
        <is>
          <t>02</t>
        </is>
      </c>
      <c r="E9922" s="24" t="inlineStr">
        <is>
          <t>土地划拨</t>
        </is>
      </c>
    </row>
    <row r="9923">
      <c r="B9923" s="24" t="inlineStr">
        <is>
          <t>MajorInvestmentModel</t>
        </is>
      </c>
      <c r="C9923" s="24" t="inlineStr">
        <is>
          <t>信用等级评估统一导入</t>
        </is>
      </c>
      <c r="D9923" s="24" t="inlineStr">
        <is>
          <t>03</t>
        </is>
      </c>
      <c r="E9923" s="24" t="inlineStr">
        <is>
          <t>股权划拨</t>
        </is>
      </c>
    </row>
    <row r="9924">
      <c r="B9924" s="24" t="inlineStr">
        <is>
          <t>MajorInvestmentModel</t>
        </is>
      </c>
      <c r="C9924" s="24" t="inlineStr">
        <is>
          <t>信用等级评估统一导入</t>
        </is>
      </c>
      <c r="D9924" s="24" t="inlineStr">
        <is>
          <t>04</t>
        </is>
      </c>
      <c r="E9924" s="24" t="inlineStr">
        <is>
          <t>债券等债权划拨</t>
        </is>
      </c>
    </row>
    <row r="9925">
      <c r="B9925" s="24" t="inlineStr">
        <is>
          <t>MajorInvestmentModel</t>
        </is>
      </c>
      <c r="C9925" s="24" t="inlineStr">
        <is>
          <t>信用等级评估统一导入</t>
        </is>
      </c>
      <c r="D9925" s="24" t="inlineStr">
        <is>
          <t>05</t>
        </is>
      </c>
      <c r="E9925" s="24" t="inlineStr">
        <is>
          <t>规费</t>
        </is>
      </c>
    </row>
    <row r="9926">
      <c r="B9926" s="24" t="inlineStr">
        <is>
          <t>MajorInvestmentModel</t>
        </is>
      </c>
      <c r="C9926" s="24" t="inlineStr">
        <is>
          <t>信用等级评估统一导入</t>
        </is>
      </c>
      <c r="D9926" s="24" t="inlineStr">
        <is>
          <t>06</t>
        </is>
      </c>
      <c r="E9926" s="24" t="inlineStr">
        <is>
          <t>其他</t>
        </is>
      </c>
    </row>
    <row r="9927" ht="15.95" customHeight="1" s="170">
      <c r="B9927" s="122" t="inlineStr">
        <is>
          <t>码值：SMECreditStab</t>
        </is>
      </c>
    </row>
    <row r="9928">
      <c r="B9928" s="24" t="inlineStr">
        <is>
          <t>SMECreditStab</t>
        </is>
      </c>
      <c r="C9928" s="24" t="inlineStr">
        <is>
          <t>客户稳定性</t>
        </is>
      </c>
      <c r="D9928" s="24" t="inlineStr">
        <is>
          <t>01</t>
        </is>
      </c>
      <c r="E9928" s="24" t="inlineStr">
        <is>
          <t>弱</t>
        </is>
      </c>
    </row>
    <row r="9929">
      <c r="B9929" s="24" t="inlineStr">
        <is>
          <t>SMECreditStab</t>
        </is>
      </c>
      <c r="C9929" s="24" t="inlineStr">
        <is>
          <t>客户稳定性</t>
        </is>
      </c>
      <c r="D9929" s="24" t="inlineStr">
        <is>
          <t>02</t>
        </is>
      </c>
      <c r="E9929" s="24" t="inlineStr">
        <is>
          <t>强</t>
        </is>
      </c>
    </row>
    <row r="9930" ht="15.95" customHeight="1" s="170">
      <c r="B9930" s="122" t="inlineStr">
        <is>
          <t>码值：SubjectVerifyBeforeComplete</t>
        </is>
      </c>
    </row>
    <row r="9931">
      <c r="B9931" s="24" t="inlineStr">
        <is>
          <t>SubjectVerifyBeforeComplete</t>
        </is>
      </c>
      <c r="C9931" s="24" t="inlineStr">
        <is>
          <t>财报完成条件</t>
        </is>
      </c>
      <c r="D9931" s="24" t="inlineStr">
        <is>
          <t>!03,04,05_6001</t>
        </is>
      </c>
      <c r="E9931" s="24" t="inlineStr">
        <is>
          <t>营业收入/主营业务</t>
        </is>
      </c>
    </row>
    <row r="9932">
      <c r="B9932" s="24" t="inlineStr">
        <is>
          <t>SubjectVerifyBeforeComplete</t>
        </is>
      </c>
      <c r="C9932" s="24" t="inlineStr">
        <is>
          <t>财报完成条件</t>
        </is>
      </c>
      <c r="D9932" s="24" t="inlineStr">
        <is>
          <t>1903</t>
        </is>
      </c>
      <c r="E9932" s="24" t="inlineStr">
        <is>
          <t>资产合计</t>
        </is>
      </c>
    </row>
    <row r="9933">
      <c r="B9933" s="24" t="inlineStr">
        <is>
          <t>SubjectVerifyBeforeComplete</t>
        </is>
      </c>
      <c r="C9933" s="24" t="inlineStr">
        <is>
          <t>财报完成条件</t>
        </is>
      </c>
      <c r="D9933" s="24" t="inlineStr">
        <is>
          <t>2906</t>
        </is>
      </c>
      <c r="E9933" s="24" t="inlineStr">
        <is>
          <t>负债合计</t>
        </is>
      </c>
    </row>
    <row r="9934">
      <c r="B9934" s="24" t="inlineStr">
        <is>
          <t>SubjectVerifyBeforeComplete</t>
        </is>
      </c>
      <c r="C9934" s="24" t="inlineStr">
        <is>
          <t>财报完成条件</t>
        </is>
      </c>
      <c r="D9934" s="24" t="inlineStr">
        <is>
          <t>4501</t>
        </is>
      </c>
      <c r="E9934" s="24" t="inlineStr">
        <is>
          <t>所有者权益合计</t>
        </is>
      </c>
    </row>
    <row r="9935">
      <c r="B9935" s="24" t="inlineStr">
        <is>
          <t>SubjectVerifyBeforeComplete</t>
        </is>
      </c>
      <c r="C9935" s="24" t="inlineStr">
        <is>
          <t>财报完成条件</t>
        </is>
      </c>
      <c r="D9935" s="24" t="inlineStr">
        <is>
          <t>4601.右栏</t>
        </is>
      </c>
      <c r="E9935" s="24" t="inlineStr">
        <is>
          <t>负债和所有者权益总计</t>
        </is>
      </c>
    </row>
    <row r="9936" ht="15.95" customHeight="1" s="170">
      <c r="B9936" s="122" t="inlineStr">
        <is>
          <t>码值：MaterialName</t>
        </is>
      </c>
    </row>
    <row r="9937">
      <c r="B9937" s="24" t="inlineStr">
        <is>
          <t>MaterialName</t>
        </is>
      </c>
      <c r="C9937" s="24" t="inlineStr">
        <is>
          <t>大宗商品码值</t>
        </is>
      </c>
      <c r="D9937" s="24" t="inlineStr">
        <is>
          <t>A010</t>
        </is>
      </c>
      <c r="E9937" s="24" t="inlineStr">
        <is>
          <t>二甲醚</t>
        </is>
      </c>
    </row>
    <row r="9938">
      <c r="B9938" s="24" t="inlineStr">
        <is>
          <t>MaterialName</t>
        </is>
      </c>
      <c r="C9938" s="24" t="inlineStr">
        <is>
          <t>大宗商品码值</t>
        </is>
      </c>
      <c r="D9938" s="24" t="inlineStr">
        <is>
          <t>A011</t>
        </is>
      </c>
      <c r="E9938" s="24" t="inlineStr">
        <is>
          <t>液化气</t>
        </is>
      </c>
    </row>
    <row r="9939">
      <c r="B9939" s="24" t="inlineStr">
        <is>
          <t>MaterialName</t>
        </is>
      </c>
      <c r="C9939" s="24" t="inlineStr">
        <is>
          <t>大宗商品码值</t>
        </is>
      </c>
      <c r="D9939" s="24" t="inlineStr">
        <is>
          <t>A015</t>
        </is>
      </c>
      <c r="E9939" s="24" t="inlineStr">
        <is>
          <t>燃料油</t>
        </is>
      </c>
    </row>
    <row r="9940">
      <c r="B9940" s="24" t="inlineStr">
        <is>
          <t>MaterialName</t>
        </is>
      </c>
      <c r="C9940" s="24" t="inlineStr">
        <is>
          <t>大宗商品码值</t>
        </is>
      </c>
      <c r="D9940" s="24" t="inlineStr">
        <is>
          <t>A018</t>
        </is>
      </c>
      <c r="E9940" s="24" t="inlineStr">
        <is>
          <t>燃料油380CST</t>
        </is>
      </c>
    </row>
    <row r="9941">
      <c r="B9941" s="24" t="inlineStr">
        <is>
          <t>MaterialName</t>
        </is>
      </c>
      <c r="C9941" s="24" t="inlineStr">
        <is>
          <t>大宗商品码值</t>
        </is>
      </c>
      <c r="D9941" s="24" t="inlineStr">
        <is>
          <t>B005</t>
        </is>
      </c>
      <c r="E9941" s="24" t="inlineStr">
        <is>
          <t>溴素</t>
        </is>
      </c>
    </row>
    <row r="9942">
      <c r="B9942" s="24" t="inlineStr">
        <is>
          <t>MaterialName</t>
        </is>
      </c>
      <c r="C9942" s="24" t="inlineStr">
        <is>
          <t>大宗商品码值</t>
        </is>
      </c>
      <c r="D9942" s="24" t="inlineStr">
        <is>
          <t>B015</t>
        </is>
      </c>
      <c r="E9942" s="24" t="inlineStr">
        <is>
          <t>尿素</t>
        </is>
      </c>
    </row>
    <row r="9943">
      <c r="B9943" s="24" t="inlineStr">
        <is>
          <t>MaterialName</t>
        </is>
      </c>
      <c r="C9943" s="24" t="inlineStr">
        <is>
          <t>大宗商品码值</t>
        </is>
      </c>
      <c r="D9943" s="24" t="inlineStr">
        <is>
          <t>B018</t>
        </is>
      </c>
      <c r="E9943" s="24" t="inlineStr">
        <is>
          <t>三氯甲烷</t>
        </is>
      </c>
    </row>
    <row r="9944">
      <c r="B9944" s="24" t="inlineStr">
        <is>
          <t>MaterialName</t>
        </is>
      </c>
      <c r="C9944" s="24" t="inlineStr">
        <is>
          <t>大宗商品码值</t>
        </is>
      </c>
      <c r="D9944" s="24" t="inlineStr">
        <is>
          <t>B020</t>
        </is>
      </c>
      <c r="E9944" s="24" t="inlineStr">
        <is>
          <t>己二酸</t>
        </is>
      </c>
    </row>
    <row r="9945">
      <c r="B9945" s="24" t="inlineStr">
        <is>
          <t>MaterialName</t>
        </is>
      </c>
      <c r="C9945" s="24" t="inlineStr">
        <is>
          <t>大宗商品码值</t>
        </is>
      </c>
      <c r="D9945" s="24" t="inlineStr">
        <is>
          <t>B021</t>
        </is>
      </c>
      <c r="E9945" s="24" t="inlineStr">
        <is>
          <t>己二酸</t>
        </is>
      </c>
    </row>
    <row r="9946" ht="15.95" customHeight="1" s="170">
      <c r="B9946" s="122" t="inlineStr">
        <is>
          <t>码值：LineType</t>
        </is>
      </c>
    </row>
    <row r="9947">
      <c r="B9947" s="24" t="inlineStr">
        <is>
          <t>LineType</t>
        </is>
      </c>
      <c r="C9947" s="24" t="inlineStr">
        <is>
          <t>业务条线</t>
        </is>
      </c>
      <c r="D9947" s="24" t="inlineStr">
        <is>
          <t>020</t>
        </is>
      </c>
      <c r="E9947" s="24" t="inlineStr">
        <is>
          <t>大中条线</t>
        </is>
      </c>
    </row>
    <row r="9948">
      <c r="B9948" s="24" t="inlineStr">
        <is>
          <t>LineType</t>
        </is>
      </c>
      <c r="C9948" s="24" t="inlineStr">
        <is>
          <t>业务条线</t>
        </is>
      </c>
      <c r="D9948" s="24" t="inlineStr">
        <is>
          <t>030</t>
        </is>
      </c>
      <c r="E9948" s="24" t="inlineStr">
        <is>
          <t>个人条线</t>
        </is>
      </c>
    </row>
    <row r="9949">
      <c r="B9949" s="24" t="inlineStr">
        <is>
          <t>LineType</t>
        </is>
      </c>
      <c r="C9949" s="24" t="inlineStr">
        <is>
          <t>业务条线</t>
        </is>
      </c>
      <c r="D9949" s="24" t="inlineStr">
        <is>
          <t>040</t>
        </is>
      </c>
      <c r="E9949" s="24" t="inlineStr">
        <is>
          <t>小微条线</t>
        </is>
      </c>
    </row>
    <row r="9950">
      <c r="B9950" s="24" t="inlineStr">
        <is>
          <t>LineType</t>
        </is>
      </c>
      <c r="C9950" s="24" t="inlineStr">
        <is>
          <t>业务条线</t>
        </is>
      </c>
      <c r="D9950" s="24" t="inlineStr">
        <is>
          <t>050</t>
        </is>
      </c>
      <c r="E9950" s="24" t="inlineStr">
        <is>
          <t>同业条线</t>
        </is>
      </c>
    </row>
    <row r="9951" ht="15.95" customHeight="1" s="170">
      <c r="B9951" s="122" t="inlineStr">
        <is>
          <t>码值：授信及合作情况</t>
        </is>
      </c>
    </row>
    <row r="9952">
      <c r="B9952" s="24" t="inlineStr">
        <is>
          <t>授信及合作情况</t>
        </is>
      </c>
      <c r="C9952" s="24" t="inlineStr">
        <is>
          <t>授信及合作情况</t>
        </is>
      </c>
      <c r="D9952" s="24" t="inlineStr">
        <is>
          <t>1</t>
        </is>
      </c>
      <c r="E9952" s="24" t="inlineStr">
        <is>
          <t>我行为唯一主办行</t>
        </is>
      </c>
    </row>
    <row r="9953">
      <c r="B9953" s="24" t="inlineStr">
        <is>
          <t>授信及合作情况</t>
        </is>
      </c>
      <c r="C9953" s="24" t="inlineStr">
        <is>
          <t>授信及合作情况</t>
        </is>
      </c>
      <c r="D9953" s="24" t="inlineStr">
        <is>
          <t>2</t>
        </is>
      </c>
      <c r="E9953" s="24" t="inlineStr">
        <is>
          <t>我行授信或预计授信占比60％以上，且全部合作银行在2家（含）以下</t>
        </is>
      </c>
    </row>
    <row r="9954">
      <c r="B9954" s="24" t="inlineStr">
        <is>
          <t>授信及合作情况</t>
        </is>
      </c>
      <c r="C9954" s="24" t="inlineStr">
        <is>
          <t>授信及合作情况</t>
        </is>
      </c>
      <c r="D9954" s="24" t="inlineStr">
        <is>
          <t>3</t>
        </is>
      </c>
      <c r="E9954" s="24" t="inlineStr">
        <is>
          <t>上述条件均不满足</t>
        </is>
      </c>
    </row>
    <row r="9955" ht="15.95" customHeight="1" s="170">
      <c r="B9955" s="122" t="inlineStr">
        <is>
          <t>码值：AgencyApproveMain</t>
        </is>
      </c>
    </row>
    <row r="9956">
      <c r="B9956" s="24" t="inlineStr">
        <is>
          <t>AgencyApproveMain</t>
        </is>
      </c>
      <c r="C9956" s="24" t="inlineStr">
        <is>
          <t>评价调查审批</t>
        </is>
      </c>
      <c r="D9956" s="24" t="inlineStr">
        <is>
          <t>N</t>
        </is>
      </c>
      <c r="E9956" s="24" t="inlineStr">
        <is>
          <t>待办任务</t>
        </is>
      </c>
    </row>
    <row r="9957">
      <c r="B9957" s="24" t="inlineStr">
        <is>
          <t>AgencyApproveMain</t>
        </is>
      </c>
      <c r="C9957" s="24" t="inlineStr">
        <is>
          <t>评价调查审批</t>
        </is>
      </c>
      <c r="D9957" s="24" t="inlineStr">
        <is>
          <t>Y</t>
        </is>
      </c>
      <c r="E9957" s="24" t="inlineStr">
        <is>
          <t>已办任务</t>
        </is>
      </c>
    </row>
    <row r="9958" ht="15.95" customHeight="1" s="170">
      <c r="B9958" s="122" t="inlineStr">
        <is>
          <t>码值：LoanProjectDurationRatio</t>
        </is>
      </c>
    </row>
    <row r="9959">
      <c r="B9959" s="24" t="inlineStr">
        <is>
          <t>LoanProjectDurationRatio</t>
        </is>
      </c>
      <c r="C9959" s="24" t="inlineStr">
        <is>
          <t>信用等级评估统一导入</t>
        </is>
      </c>
      <c r="D9959" s="24" t="inlineStr">
        <is>
          <t>01</t>
        </is>
      </c>
      <c r="E9959" s="24" t="inlineStr">
        <is>
          <t>项目有效寿命大于贷款期限超过3年</t>
        </is>
      </c>
    </row>
    <row r="9960">
      <c r="B9960" s="24" t="inlineStr">
        <is>
          <t>LoanProjectDurationRatio</t>
        </is>
      </c>
      <c r="C9960" s="24" t="inlineStr">
        <is>
          <t>信用等级评估统一导入</t>
        </is>
      </c>
      <c r="D9960" s="24" t="inlineStr">
        <is>
          <t>02</t>
        </is>
      </c>
      <c r="E9960" s="24" t="inlineStr">
        <is>
          <t>项目有效寿命大于贷款期限不到3年</t>
        </is>
      </c>
    </row>
    <row r="9961">
      <c r="B9961" s="24" t="inlineStr">
        <is>
          <t>LoanProjectDurationRatio</t>
        </is>
      </c>
      <c r="C9961" s="24" t="inlineStr">
        <is>
          <t>信用等级评估统一导入</t>
        </is>
      </c>
      <c r="D9961" s="24" t="inlineStr">
        <is>
          <t>03</t>
        </is>
      </c>
      <c r="E9961" s="24" t="inlineStr">
        <is>
          <t>项目的有效使用寿命低于贷款期限</t>
        </is>
      </c>
    </row>
    <row r="9962" ht="15.95" customHeight="1" s="170">
      <c r="B9962" s="122" t="inlineStr">
        <is>
          <t>码值：CreditApplyEntMain</t>
        </is>
      </c>
    </row>
    <row r="9963">
      <c r="B9963" s="24" t="inlineStr">
        <is>
          <t>CreditApplyEntMain</t>
        </is>
      </c>
      <c r="C9963" s="24" t="inlineStr">
        <is>
          <t>公司单笔单批授信</t>
        </is>
      </c>
      <c r="D9963" s="24" t="inlineStr">
        <is>
          <t>1010</t>
        </is>
      </c>
      <c r="E9963" s="24" t="inlineStr">
        <is>
          <t>待处理</t>
        </is>
      </c>
    </row>
    <row r="9964">
      <c r="B9964" s="24" t="inlineStr">
        <is>
          <t>CreditApplyEntMain</t>
        </is>
      </c>
      <c r="C9964" s="24" t="inlineStr">
        <is>
          <t>公司单笔单批授信</t>
        </is>
      </c>
      <c r="D9964" s="24" t="inlineStr">
        <is>
          <t>1020</t>
        </is>
      </c>
      <c r="E9964" s="24" t="inlineStr">
        <is>
          <t>审批中</t>
        </is>
      </c>
    </row>
    <row r="9965">
      <c r="B9965" s="24" t="inlineStr">
        <is>
          <t>CreditApplyEntMain</t>
        </is>
      </c>
      <c r="C9965" s="24" t="inlineStr">
        <is>
          <t>公司单笔单批授信</t>
        </is>
      </c>
      <c r="D9965" s="24" t="inlineStr">
        <is>
          <t>1040,1050</t>
        </is>
      </c>
      <c r="E9965" s="24" t="inlineStr">
        <is>
          <t>处理完成</t>
        </is>
      </c>
    </row>
    <row r="9966" ht="15.95" customHeight="1" s="170">
      <c r="B9966" s="122" t="inlineStr">
        <is>
          <t>码值：CreditTestFlowApprMain</t>
        </is>
      </c>
    </row>
    <row r="9967">
      <c r="B9967" s="24" t="inlineStr">
        <is>
          <t>CreditTestFlowApprMain</t>
        </is>
      </c>
      <c r="C9967" s="24" t="n"/>
      <c r="D9967" s="24" t="inlineStr">
        <is>
          <t>N</t>
        </is>
      </c>
      <c r="E9967" s="24" t="inlineStr">
        <is>
          <t>当前工作</t>
        </is>
      </c>
    </row>
    <row r="9968">
      <c r="B9968" s="24" t="inlineStr">
        <is>
          <t>CreditTestFlowApprMain</t>
        </is>
      </c>
      <c r="C9968" s="24" t="n"/>
      <c r="D9968" s="24" t="inlineStr">
        <is>
          <t>Y</t>
        </is>
      </c>
      <c r="E9968" s="24" t="inlineStr">
        <is>
          <t>已完成工作</t>
        </is>
      </c>
    </row>
    <row r="9969" ht="15.95" customHeight="1" s="170">
      <c r="B9969" s="122" t="inlineStr">
        <is>
          <t>码值：CurrentStatus</t>
        </is>
      </c>
    </row>
    <row r="9970">
      <c r="B9970" s="24" t="inlineStr">
        <is>
          <t>CurrentStatus</t>
        </is>
      </c>
      <c r="C9970" s="24" t="inlineStr">
        <is>
          <t>房屋状态</t>
        </is>
      </c>
      <c r="D9970" s="24" t="inlineStr">
        <is>
          <t>01</t>
        </is>
      </c>
      <c r="E9970" s="24" t="inlineStr">
        <is>
          <t>现房</t>
        </is>
      </c>
    </row>
    <row r="9971">
      <c r="B9971" s="24" t="inlineStr">
        <is>
          <t>CurrentStatus</t>
        </is>
      </c>
      <c r="C9971" s="24" t="inlineStr">
        <is>
          <t>房屋状态</t>
        </is>
      </c>
      <c r="D9971" s="24" t="inlineStr">
        <is>
          <t>02</t>
        </is>
      </c>
      <c r="E9971" s="24" t="inlineStr">
        <is>
          <t>预售房</t>
        </is>
      </c>
    </row>
    <row r="9972" ht="15.95" customHeight="1" s="170">
      <c r="B9972" s="122" t="inlineStr">
        <is>
          <t>码值：EntRegularCheckApproveMain</t>
        </is>
      </c>
    </row>
    <row r="9973">
      <c r="B9973" s="24" t="inlineStr">
        <is>
          <t>EntRegularCheckApproveMain</t>
        </is>
      </c>
      <c r="C9973" s="24" t="inlineStr">
        <is>
          <t>单一公司贷后定期检查审批批主树图</t>
        </is>
      </c>
      <c r="D9973" s="24" t="inlineStr">
        <is>
          <t>N</t>
        </is>
      </c>
      <c r="E9973" s="24" t="inlineStr">
        <is>
          <t>待办任务</t>
        </is>
      </c>
    </row>
    <row r="9974">
      <c r="B9974" s="24" t="inlineStr">
        <is>
          <t>EntRegularCheckApproveMain</t>
        </is>
      </c>
      <c r="C9974" s="24" t="inlineStr">
        <is>
          <t>单一公司贷后定期检查审批批主树图</t>
        </is>
      </c>
      <c r="D9974" s="24" t="inlineStr">
        <is>
          <t>Y</t>
        </is>
      </c>
      <c r="E9974" s="24" t="inlineStr">
        <is>
          <t>已办任务</t>
        </is>
      </c>
    </row>
    <row r="9975">
      <c r="B9975" s="24" t="inlineStr">
        <is>
          <t>EntRegularCheckApproveMain</t>
        </is>
      </c>
      <c r="C9975" s="24" t="inlineStr">
        <is>
          <t>单一公司贷后定期检查审批批主树图</t>
        </is>
      </c>
      <c r="D9975" s="24" t="inlineStr">
        <is>
          <t>当前工作/已完成工作</t>
        </is>
      </c>
      <c r="E9975" s="24" t="inlineStr">
        <is>
          <t>阶段名称</t>
        </is>
      </c>
    </row>
    <row r="9976" ht="15.95" customHeight="1" s="170">
      <c r="B9976" s="122" t="inlineStr">
        <is>
          <t>码值：SignalLevel</t>
        </is>
      </c>
    </row>
    <row r="9977">
      <c r="B9977" s="24" t="inlineStr">
        <is>
          <t>SignalLevel</t>
        </is>
      </c>
      <c r="C9977" s="24" t="inlineStr">
        <is>
          <t>预警级别</t>
        </is>
      </c>
      <c r="D9977" s="24" t="inlineStr">
        <is>
          <t>01</t>
        </is>
      </c>
      <c r="E9977" s="24" t="inlineStr">
        <is>
          <t>紧急处理</t>
        </is>
      </c>
    </row>
    <row r="9978">
      <c r="B9978" s="24" t="inlineStr">
        <is>
          <t>SignalLevel</t>
        </is>
      </c>
      <c r="C9978" s="24" t="inlineStr">
        <is>
          <t>预警级别</t>
        </is>
      </c>
      <c r="D9978" s="24" t="inlineStr">
        <is>
          <t>02</t>
        </is>
      </c>
      <c r="E9978" s="24" t="inlineStr">
        <is>
          <t>高度关注</t>
        </is>
      </c>
    </row>
    <row r="9979">
      <c r="B9979" s="24" t="inlineStr">
        <is>
          <t>SignalLevel</t>
        </is>
      </c>
      <c r="C9979" s="24" t="inlineStr">
        <is>
          <t>预警级别</t>
        </is>
      </c>
      <c r="D9979" s="24" t="inlineStr">
        <is>
          <t>03</t>
        </is>
      </c>
      <c r="E9979" s="24" t="inlineStr">
        <is>
          <t>关注</t>
        </is>
      </c>
    </row>
    <row r="9980">
      <c r="B9980" s="24" t="inlineStr">
        <is>
          <t>SignalLevel</t>
        </is>
      </c>
      <c r="C9980" s="24" t="inlineStr">
        <is>
          <t>预警级别</t>
        </is>
      </c>
      <c r="D9980" s="24" t="inlineStr">
        <is>
          <t>99</t>
        </is>
      </c>
      <c r="E9980" s="24" t="inlineStr">
        <is>
          <t>其他</t>
        </is>
      </c>
    </row>
    <row r="9981" ht="15.95" customHeight="1" s="170">
      <c r="B9981" s="122" t="inlineStr">
        <is>
          <t>码值：HScaleAndDebtLevel</t>
        </is>
      </c>
    </row>
    <row r="9982">
      <c r="B9982" s="24" t="inlineStr">
        <is>
          <t>HScaleAndDebtLevel</t>
        </is>
      </c>
      <c r="C9982" s="24" t="inlineStr">
        <is>
          <t>信用等级评估统一导入</t>
        </is>
      </c>
      <c r="D9982" s="24" t="inlineStr">
        <is>
          <t>01</t>
        </is>
      </c>
      <c r="E9982" s="24" t="inlineStr">
        <is>
          <t>实际开放床位大于1000张，或者病床使用率超过90%</t>
        </is>
      </c>
    </row>
    <row r="9983">
      <c r="B9983" s="24" t="inlineStr">
        <is>
          <t>HScaleAndDebtLevel</t>
        </is>
      </c>
      <c r="C9983" s="24" t="inlineStr">
        <is>
          <t>信用等级评估统一导入</t>
        </is>
      </c>
      <c r="D9983" s="24" t="inlineStr">
        <is>
          <t>02</t>
        </is>
      </c>
      <c r="E9983" s="24" t="inlineStr">
        <is>
          <t>实际开放床位500-1000张，或者病床使用率高于80%</t>
        </is>
      </c>
    </row>
    <row r="9984">
      <c r="B9984" s="24" t="inlineStr">
        <is>
          <t>HScaleAndDebtLevel</t>
        </is>
      </c>
      <c r="C9984" s="24" t="inlineStr">
        <is>
          <t>信用等级评估统一导入</t>
        </is>
      </c>
      <c r="D9984" s="24" t="inlineStr">
        <is>
          <t>03</t>
        </is>
      </c>
      <c r="E9984" s="24" t="inlineStr">
        <is>
          <t>实际开放床位300-500，或者病床使用率高于70%</t>
        </is>
      </c>
    </row>
    <row r="9985">
      <c r="B9985" s="24" t="inlineStr">
        <is>
          <t>HScaleAndDebtLevel</t>
        </is>
      </c>
      <c r="C9985" s="24" t="inlineStr">
        <is>
          <t>信用等级评估统一导入</t>
        </is>
      </c>
      <c r="D9985" s="24" t="inlineStr">
        <is>
          <t>04</t>
        </is>
      </c>
      <c r="E9985" s="24" t="inlineStr">
        <is>
          <t>其他</t>
        </is>
      </c>
    </row>
    <row r="9986" ht="15.95" customHeight="1" s="170">
      <c r="B9986" s="122" t="inlineStr">
        <is>
          <t>码值：AgencyStatus</t>
        </is>
      </c>
    </row>
    <row r="9987">
      <c r="B9987" s="46" t="inlineStr">
        <is>
          <t>AgencyStatus</t>
        </is>
      </c>
      <c r="C9987" s="46" t="inlineStr">
        <is>
          <t>评估机构管理状态</t>
        </is>
      </c>
      <c r="D9987" s="46" t="inlineStr">
        <is>
          <t>01</t>
        </is>
      </c>
      <c r="E9987" s="46" t="inlineStr">
        <is>
          <t>入围</t>
        </is>
      </c>
      <c r="F9987" s="126" t="inlineStr">
        <is>
          <t>改为生效</t>
        </is>
      </c>
    </row>
    <row r="9988">
      <c r="B9988" s="46" t="inlineStr">
        <is>
          <t>AgencyStatus</t>
        </is>
      </c>
      <c r="C9988" s="46" t="inlineStr">
        <is>
          <t>评估机构管理状态</t>
        </is>
      </c>
      <c r="D9988" s="46" t="inlineStr">
        <is>
          <t>02</t>
        </is>
      </c>
      <c r="E9988" s="46" t="inlineStr">
        <is>
          <t>准入中</t>
        </is>
      </c>
      <c r="F9988" s="126" t="inlineStr">
        <is>
          <t>改为失效</t>
        </is>
      </c>
    </row>
    <row r="9989">
      <c r="B9989" s="74" t="inlineStr">
        <is>
          <t>AgencyStatus</t>
        </is>
      </c>
      <c r="C9989" s="77" t="inlineStr">
        <is>
          <t>评估机构管理状态</t>
        </is>
      </c>
      <c r="D9989" s="74" t="inlineStr">
        <is>
          <t>03</t>
        </is>
      </c>
      <c r="E9989" s="77" t="inlineStr">
        <is>
          <t>淘汰</t>
        </is>
      </c>
    </row>
    <row r="9990">
      <c r="B9990" s="74" t="inlineStr">
        <is>
          <t>AgencyStatus</t>
        </is>
      </c>
      <c r="C9990" s="77" t="inlineStr">
        <is>
          <t>评估机构管理状态</t>
        </is>
      </c>
      <c r="D9990" s="74" t="inlineStr">
        <is>
          <t>04</t>
        </is>
      </c>
      <c r="E9990" s="77" t="inlineStr">
        <is>
          <t>准入</t>
        </is>
      </c>
    </row>
    <row r="9991">
      <c r="B9991" s="74" t="inlineStr">
        <is>
          <t>AgencyStatus</t>
        </is>
      </c>
      <c r="C9991" s="77" t="inlineStr">
        <is>
          <t>评估机构管理状态</t>
        </is>
      </c>
      <c r="D9991" s="74" t="inlineStr">
        <is>
          <t>05</t>
        </is>
      </c>
      <c r="E9991" s="77" t="inlineStr">
        <is>
          <t>退出中</t>
        </is>
      </c>
    </row>
    <row r="9992">
      <c r="B9992" s="74" t="inlineStr">
        <is>
          <t>AgencyStatus</t>
        </is>
      </c>
      <c r="C9992" s="77" t="inlineStr">
        <is>
          <t>评估机构管理状态</t>
        </is>
      </c>
      <c r="D9992" s="74" t="inlineStr">
        <is>
          <t>06</t>
        </is>
      </c>
      <c r="E9992" s="77" t="inlineStr">
        <is>
          <t>已退出</t>
        </is>
      </c>
    </row>
    <row r="9993">
      <c r="B9993" s="74" t="inlineStr">
        <is>
          <t>AgencyStatus</t>
        </is>
      </c>
      <c r="C9993" s="77" t="inlineStr">
        <is>
          <t>评估机构管理状态</t>
        </is>
      </c>
      <c r="D9993" s="74" t="inlineStr">
        <is>
          <t>07</t>
        </is>
      </c>
      <c r="E9993" s="77" t="inlineStr">
        <is>
          <t>删除</t>
        </is>
      </c>
    </row>
    <row r="9994">
      <c r="B9994" s="74" t="inlineStr">
        <is>
          <t>AgencyStatus</t>
        </is>
      </c>
      <c r="C9994" s="77" t="inlineStr">
        <is>
          <t>评估机构管理状态</t>
        </is>
      </c>
      <c r="D9994" s="74" t="inlineStr">
        <is>
          <t>08</t>
        </is>
      </c>
      <c r="E9994" s="77" t="inlineStr">
        <is>
          <t>待年审</t>
        </is>
      </c>
    </row>
    <row r="9995" ht="15.95" customHeight="1" s="170">
      <c r="B9995" s="122" t="inlineStr">
        <is>
          <t>码值：产品竞争力</t>
        </is>
      </c>
    </row>
    <row r="9996">
      <c r="B9996" s="24" t="inlineStr">
        <is>
          <t>产品竞争力</t>
        </is>
      </c>
      <c r="C9996" s="24" t="inlineStr">
        <is>
          <t>产品竞争力</t>
        </is>
      </c>
      <c r="D9996" s="24" t="inlineStr">
        <is>
          <t>01</t>
        </is>
      </c>
      <c r="E9996" s="24" t="inlineStr">
        <is>
          <t>产品在市场上有唯一地位，并且没有替代品</t>
        </is>
      </c>
    </row>
    <row r="9997">
      <c r="B9997" s="24" t="inlineStr">
        <is>
          <t>产品竞争力</t>
        </is>
      </c>
      <c r="C9997" s="24" t="inlineStr">
        <is>
          <t>产品竞争力</t>
        </is>
      </c>
      <c r="D9997" s="24" t="inlineStr">
        <is>
          <t>02</t>
        </is>
      </c>
      <c r="E9997" s="24" t="inlineStr">
        <is>
          <t>产品在市场上同类产品的竞争对手少于三家。替代品及其市场难于形成和进入</t>
        </is>
      </c>
    </row>
    <row r="9998">
      <c r="B9998" s="24" t="inlineStr">
        <is>
          <t>产品竞争力</t>
        </is>
      </c>
      <c r="C9998" s="24" t="inlineStr">
        <is>
          <t>产品竞争力</t>
        </is>
      </c>
      <c r="D9998" s="24" t="inlineStr">
        <is>
          <t>03</t>
        </is>
      </c>
      <c r="E9998" s="24" t="inlineStr">
        <is>
          <t>产品在市场上没有唯一地位，竞争对少较多。替代品及其市场易于形成和进入</t>
        </is>
      </c>
    </row>
    <row r="9999" ht="15.95" customHeight="1" s="170">
      <c r="B9999" s="122" t="inlineStr">
        <is>
          <t>码值：DisburseMent</t>
        </is>
      </c>
    </row>
    <row r="10000">
      <c r="B10000" s="24" t="inlineStr">
        <is>
          <t>DisburseMent</t>
        </is>
      </c>
      <c r="C10000" s="24" t="inlineStr">
        <is>
          <t>支付系统类型</t>
        </is>
      </c>
      <c r="D10000" s="24" t="inlineStr">
        <is>
          <t>01</t>
        </is>
      </c>
      <c r="E10000" s="24" t="inlineStr">
        <is>
          <t>大额支付系统</t>
        </is>
      </c>
    </row>
    <row r="10001">
      <c r="B10001" s="24" t="inlineStr">
        <is>
          <t>DisburseMent</t>
        </is>
      </c>
      <c r="C10001" s="24" t="inlineStr">
        <is>
          <t>支付系统类型</t>
        </is>
      </c>
      <c r="D10001" s="24" t="inlineStr">
        <is>
          <t>02</t>
        </is>
      </c>
      <c r="E10001" s="24" t="inlineStr">
        <is>
          <t>小额支付系统</t>
        </is>
      </c>
    </row>
    <row r="10002" ht="15.95" customHeight="1" s="170">
      <c r="B10002" s="122" t="inlineStr">
        <is>
          <t>码值：InvoiceType</t>
        </is>
      </c>
    </row>
    <row r="10003">
      <c r="B10003" s="24" t="inlineStr">
        <is>
          <t>InvoiceType</t>
        </is>
      </c>
      <c r="C10003" s="24" t="inlineStr">
        <is>
          <t>票据类型</t>
        </is>
      </c>
      <c r="D10003" s="24" t="inlineStr">
        <is>
          <t>01</t>
        </is>
      </c>
      <c r="E10003" s="24" t="inlineStr">
        <is>
          <t>收据</t>
        </is>
      </c>
    </row>
    <row r="10004">
      <c r="B10004" s="24" t="inlineStr">
        <is>
          <t>InvoiceType</t>
        </is>
      </c>
      <c r="C10004" s="24" t="inlineStr">
        <is>
          <t>票据类型</t>
        </is>
      </c>
      <c r="D10004" s="24" t="inlineStr">
        <is>
          <t>02</t>
        </is>
      </c>
      <c r="E10004" s="24" t="inlineStr">
        <is>
          <t>普通商业发票</t>
        </is>
      </c>
    </row>
    <row r="10005">
      <c r="B10005" s="24" t="inlineStr">
        <is>
          <t>InvoiceType</t>
        </is>
      </c>
      <c r="C10005" s="24" t="inlineStr">
        <is>
          <t>票据类型</t>
        </is>
      </c>
      <c r="D10005" s="24" t="inlineStr">
        <is>
          <t>03</t>
        </is>
      </c>
      <c r="E10005" s="24" t="inlineStr">
        <is>
          <t>增值税专用发票</t>
        </is>
      </c>
    </row>
    <row r="10006">
      <c r="B10006" s="24" t="inlineStr">
        <is>
          <t>InvoiceType</t>
        </is>
      </c>
      <c r="C10006" s="24" t="inlineStr">
        <is>
          <t>票据类型</t>
        </is>
      </c>
      <c r="D10006" s="24" t="inlineStr">
        <is>
          <t>04</t>
        </is>
      </c>
      <c r="E10006" s="24" t="inlineStr">
        <is>
          <t>增值税普通发票</t>
        </is>
      </c>
    </row>
    <row r="10007" ht="15.95" customHeight="1" s="170">
      <c r="B10007" s="122" t="inlineStr">
        <is>
          <t>码值：ListDemoType</t>
        </is>
      </c>
    </row>
    <row r="10008">
      <c r="B10008" s="24" t="inlineStr">
        <is>
          <t>ListDemoType</t>
        </is>
      </c>
      <c r="C10008" s="24" t="n"/>
      <c r="D10008" s="24" t="inlineStr">
        <is>
          <t>IC</t>
        </is>
      </c>
      <c r="E10008" s="24" t="inlineStr">
        <is>
          <t>List页面开发</t>
        </is>
      </c>
    </row>
    <row r="10009">
      <c r="B10009" s="24" t="inlineStr">
        <is>
          <t>ListDemoType</t>
        </is>
      </c>
      <c r="C10009" s="24" t="n"/>
      <c r="D10009" s="24" t="inlineStr">
        <is>
          <t>IC01</t>
        </is>
      </c>
      <c r="E10009" s="24" t="inlineStr">
        <is>
          <t>自定义显示模板List页面开发</t>
        </is>
      </c>
    </row>
    <row r="10010">
      <c r="B10010" s="24" t="inlineStr">
        <is>
          <t>ListDemoType</t>
        </is>
      </c>
      <c r="C10010" s="24" t="n"/>
      <c r="D10010" s="24" t="inlineStr">
        <is>
          <t>IC02</t>
        </is>
      </c>
      <c r="E10010" s="24" t="inlineStr">
        <is>
          <t>通用显示模板List页面开发(使用的IND_INFO表)</t>
        </is>
      </c>
    </row>
    <row r="10011">
      <c r="B10011" s="24" t="inlineStr">
        <is>
          <t>ListDemoType</t>
        </is>
      </c>
      <c r="C10011" s="24" t="n"/>
      <c r="D10011" s="24" t="inlineStr">
        <is>
          <t>IC03</t>
        </is>
      </c>
      <c r="E10011" s="24" t="inlineStr">
        <is>
          <t>非显示模板页面开发</t>
        </is>
      </c>
    </row>
    <row r="10012" ht="15.95" customHeight="1" s="170">
      <c r="B10012" s="122" t="inlineStr">
        <is>
          <t>码值：ReserveFinFlag</t>
        </is>
      </c>
    </row>
    <row r="10013">
      <c r="B10013" s="24" t="inlineStr">
        <is>
          <t>ReserveFinFlag</t>
        </is>
      </c>
      <c r="C10013" s="24" t="inlineStr">
        <is>
          <t>终结方式</t>
        </is>
      </c>
      <c r="D10013" s="24" t="inlineStr">
        <is>
          <t>10</t>
        </is>
      </c>
      <c r="E10013" s="24" t="inlineStr">
        <is>
          <t>完全收回</t>
        </is>
      </c>
    </row>
    <row r="10014">
      <c r="B10014" s="24" t="inlineStr">
        <is>
          <t>ReserveFinFlag</t>
        </is>
      </c>
      <c r="C10014" s="24" t="inlineStr">
        <is>
          <t>终结方式</t>
        </is>
      </c>
      <c r="D10014" s="24" t="inlineStr">
        <is>
          <t>20</t>
        </is>
      </c>
      <c r="E10014" s="24" t="inlineStr">
        <is>
          <t>完全核销</t>
        </is>
      </c>
    </row>
    <row r="10015">
      <c r="B10015" s="24" t="inlineStr">
        <is>
          <t>ReserveFinFlag</t>
        </is>
      </c>
      <c r="C10015" s="24" t="inlineStr">
        <is>
          <t>终结方式</t>
        </is>
      </c>
      <c r="D10015" s="24" t="inlineStr">
        <is>
          <t>30</t>
        </is>
      </c>
      <c r="E10015" s="24" t="inlineStr">
        <is>
          <t>部分核销</t>
        </is>
      </c>
    </row>
    <row r="10016" ht="15.95" customHeight="1" s="170">
      <c r="B10016" s="122" t="inlineStr">
        <is>
          <t>码值：CustomerDiversity</t>
        </is>
      </c>
    </row>
    <row r="10017">
      <c r="B10017" s="24" t="inlineStr">
        <is>
          <t>CustomerDiversity</t>
        </is>
      </c>
      <c r="C10017" s="24" t="inlineStr">
        <is>
          <t>信用等级评估统一导入</t>
        </is>
      </c>
      <c r="D10017" s="24" t="inlineStr">
        <is>
          <t>01</t>
        </is>
      </c>
      <c r="E10017" s="24" t="inlineStr">
        <is>
          <t>50%的营业收入来自于至少5家客户，且合作关系稳定（两年以上合作关系）</t>
        </is>
      </c>
    </row>
    <row r="10018">
      <c r="B10018" s="24" t="inlineStr">
        <is>
          <t>CustomerDiversity</t>
        </is>
      </c>
      <c r="C10018" s="24" t="inlineStr">
        <is>
          <t>信用等级评估统一导入</t>
        </is>
      </c>
      <c r="D10018" s="24" t="inlineStr">
        <is>
          <t>02</t>
        </is>
      </c>
      <c r="E10018" s="24" t="inlineStr">
        <is>
          <t>50%的销售收入来自于3-4家企业</t>
        </is>
      </c>
    </row>
    <row r="10019">
      <c r="B10019" s="24" t="inlineStr">
        <is>
          <t>CustomerDiversity</t>
        </is>
      </c>
      <c r="C10019" s="24" t="inlineStr">
        <is>
          <t>信用等级评估统一导入</t>
        </is>
      </c>
      <c r="D10019" s="24" t="inlineStr">
        <is>
          <t>03</t>
        </is>
      </c>
      <c r="E10019" s="24" t="inlineStr">
        <is>
          <t>50%的销售收入来自于1-2家企业</t>
        </is>
      </c>
    </row>
    <row r="10020">
      <c r="B10020" s="24" t="inlineStr">
        <is>
          <t>CustomerDiversity</t>
        </is>
      </c>
      <c r="C10020" s="24" t="inlineStr">
        <is>
          <t>信用等级评估统一导入</t>
        </is>
      </c>
      <c r="D10020" s="24" t="inlineStr">
        <is>
          <t>04</t>
        </is>
      </c>
      <c r="E10020" s="24" t="inlineStr">
        <is>
          <t>50%的销售收入来自于零售市场，客户群非常分散</t>
        </is>
      </c>
    </row>
    <row r="10021" ht="15.95" customHeight="1" s="170">
      <c r="B10021" s="122" t="inlineStr">
        <is>
          <t>码值：政府的支持程度</t>
        </is>
      </c>
    </row>
    <row r="10022">
      <c r="B10022" s="24" t="inlineStr">
        <is>
          <t>政府的支持程度</t>
        </is>
      </c>
      <c r="C10022" s="24" t="inlineStr">
        <is>
          <t>政府的支持程度</t>
        </is>
      </c>
      <c r="D10022" s="24" t="inlineStr">
        <is>
          <t>01</t>
        </is>
      </c>
      <c r="E10022" s="24" t="inlineStr">
        <is>
          <t>项目对（主要是出口导向型的）国家具有重大战略性意义，政府支持强有力</t>
        </is>
      </c>
    </row>
    <row r="10023">
      <c r="B10023" s="24" t="inlineStr">
        <is>
          <t>政府的支持程度</t>
        </is>
      </c>
      <c r="C10023" s="24" t="inlineStr">
        <is>
          <t>政府的支持程度</t>
        </is>
      </c>
      <c r="D10023" s="24" t="inlineStr">
        <is>
          <t>02</t>
        </is>
      </c>
      <c r="E10023" s="24" t="inlineStr">
        <is>
          <t>项目对国家重要，政府支持程度较高</t>
        </is>
      </c>
    </row>
    <row r="10024">
      <c r="B10024" s="24" t="inlineStr">
        <is>
          <t>政府的支持程度</t>
        </is>
      </c>
      <c r="C10024" s="24" t="inlineStr">
        <is>
          <t>政府的支持程度</t>
        </is>
      </c>
      <c r="D10024" s="24" t="inlineStr">
        <is>
          <t>03</t>
        </is>
      </c>
      <c r="E10024" s="24" t="inlineStr">
        <is>
          <t>项目不具有战略意义，但毫无疑问对政府有利，政府可能未明确表示支持</t>
        </is>
      </c>
    </row>
    <row r="10025">
      <c r="B10025" s="24" t="inlineStr">
        <is>
          <t>政府的支持程度</t>
        </is>
      </c>
      <c r="C10025" s="24" t="inlineStr">
        <is>
          <t>政府的支持程度</t>
        </is>
      </c>
      <c r="D10025" s="24" t="inlineStr">
        <is>
          <t>04</t>
        </is>
      </c>
      <c r="E10025" s="24" t="inlineStr">
        <is>
          <t>项目对国家不重要。政府不支持或支持较弱</t>
        </is>
      </c>
    </row>
    <row r="10026" ht="15.95" customHeight="1" s="170">
      <c r="B10026" s="122" t="inlineStr">
        <is>
          <t>码值：CreditApplySingleApproveMain</t>
        </is>
      </c>
    </row>
    <row r="10027">
      <c r="B10027" s="24" t="inlineStr">
        <is>
          <t>CreditApplySingleApproveMain</t>
        </is>
      </c>
      <c r="C10027" s="24" t="inlineStr">
        <is>
          <t> </t>
        </is>
      </c>
      <c r="D10027" s="24" t="inlineStr">
        <is>
          <t>N</t>
        </is>
      </c>
      <c r="E10027" s="24" t="inlineStr">
        <is>
          <t>待办任务</t>
        </is>
      </c>
    </row>
    <row r="10028">
      <c r="B10028" s="24" t="inlineStr">
        <is>
          <t>CreditApplySingleApproveMain</t>
        </is>
      </c>
      <c r="C10028" s="24" t="inlineStr">
        <is>
          <t> </t>
        </is>
      </c>
      <c r="D10028" s="24" t="inlineStr">
        <is>
          <t>Y</t>
        </is>
      </c>
      <c r="E10028" s="24" t="inlineStr">
        <is>
          <t>已办任务</t>
        </is>
      </c>
    </row>
    <row r="10029" ht="15.95" customHeight="1" s="170">
      <c r="B10029" s="122" t="inlineStr">
        <is>
          <t>码值：有无</t>
        </is>
      </c>
    </row>
    <row r="10030">
      <c r="B10030" s="24" t="inlineStr">
        <is>
          <t>有无</t>
        </is>
      </c>
      <c r="C10030" s="24" t="inlineStr">
        <is>
          <t>有无</t>
        </is>
      </c>
      <c r="D10030" s="24" t="inlineStr">
        <is>
          <t>1</t>
        </is>
      </c>
      <c r="E10030" s="24" t="inlineStr">
        <is>
          <t>有</t>
        </is>
      </c>
    </row>
    <row r="10031">
      <c r="B10031" s="24" t="inlineStr">
        <is>
          <t>有无</t>
        </is>
      </c>
      <c r="C10031" s="24" t="inlineStr">
        <is>
          <t>有无</t>
        </is>
      </c>
      <c r="D10031" s="24" t="inlineStr">
        <is>
          <t>2</t>
        </is>
      </c>
      <c r="E10031" s="24" t="inlineStr">
        <is>
          <t>无</t>
        </is>
      </c>
    </row>
    <row r="10032" ht="15.95" customHeight="1" s="170">
      <c r="B10032" s="122" t="inlineStr">
        <is>
          <t>码值：ApproveClDrawnMain</t>
        </is>
      </c>
    </row>
    <row r="10033">
      <c r="B10033" s="24" t="inlineStr">
        <is>
          <t>ApproveClDrawnMain</t>
        </is>
      </c>
      <c r="C10033" s="24" t="inlineStr">
        <is>
          <t>额度提用出帐审批判断</t>
        </is>
      </c>
      <c r="D10033" s="24" t="inlineStr">
        <is>
          <t>N</t>
        </is>
      </c>
      <c r="E10033" s="24" t="inlineStr">
        <is>
          <t>待办任务</t>
        </is>
      </c>
    </row>
    <row r="10034">
      <c r="B10034" s="24" t="inlineStr">
        <is>
          <t>ApproveClDrawnMain</t>
        </is>
      </c>
      <c r="C10034" s="24" t="inlineStr">
        <is>
          <t>额度提用出帐审批判断</t>
        </is>
      </c>
      <c r="D10034" s="24" t="inlineStr">
        <is>
          <t>Y</t>
        </is>
      </c>
      <c r="E10034" s="24" t="inlineStr">
        <is>
          <t>已办任务</t>
        </is>
      </c>
    </row>
    <row r="10035">
      <c r="B10035" s="24" t="inlineStr">
        <is>
          <t>ApproveClDrawnMain</t>
        </is>
      </c>
      <c r="C10035" s="24" t="inlineStr">
        <is>
          <t>额度提用出帐审批判断</t>
        </is>
      </c>
      <c r="D10035" s="24" t="inlineStr">
        <is>
          <t>当前工作/已完成工作</t>
        </is>
      </c>
      <c r="E10035" s="24" t="inlineStr">
        <is>
          <t>阶段名称</t>
        </is>
      </c>
    </row>
    <row r="10036" ht="15.95" customHeight="1" s="170">
      <c r="B10036" s="122" t="inlineStr">
        <is>
          <t>码值：PurchaseState</t>
        </is>
      </c>
    </row>
    <row r="10037">
      <c r="B10037" s="24" t="inlineStr">
        <is>
          <t>PurchaseState</t>
        </is>
      </c>
      <c r="C10037" s="24" t="inlineStr">
        <is>
          <t>付款情况</t>
        </is>
      </c>
      <c r="D10037" s="24" t="inlineStr">
        <is>
          <t>01</t>
        </is>
      </c>
      <c r="E10037" s="24" t="inlineStr">
        <is>
          <t>已付清全款</t>
        </is>
      </c>
    </row>
    <row r="10038">
      <c r="B10038" s="24" t="inlineStr">
        <is>
          <t>PurchaseState</t>
        </is>
      </c>
      <c r="C10038" s="24" t="inlineStr">
        <is>
          <t>付款情况</t>
        </is>
      </c>
      <c r="D10038" s="24" t="inlineStr">
        <is>
          <t>02</t>
        </is>
      </c>
      <c r="E10038" s="24" t="inlineStr">
        <is>
          <t>按揭中</t>
        </is>
      </c>
    </row>
    <row r="10039" ht="15.95" customHeight="1" s="170">
      <c r="B10039" s="122" t="inlineStr">
        <is>
          <t>码值：ClassifyType</t>
        </is>
      </c>
    </row>
    <row r="10040">
      <c r="B10040" s="24" t="inlineStr">
        <is>
          <t>ClassifyType</t>
        </is>
      </c>
      <c r="C10040" s="24" t="inlineStr">
        <is>
          <t>分类方式</t>
        </is>
      </c>
      <c r="D10040" s="24" t="inlineStr">
        <is>
          <t>01</t>
        </is>
      </c>
      <c r="E10040" s="24" t="inlineStr">
        <is>
          <t>系统分类</t>
        </is>
      </c>
    </row>
    <row r="10041">
      <c r="B10041" s="24" t="inlineStr">
        <is>
          <t>ClassifyType</t>
        </is>
      </c>
      <c r="C10041" s="24" t="inlineStr">
        <is>
          <t>分类方式</t>
        </is>
      </c>
      <c r="D10041" s="24" t="inlineStr">
        <is>
          <t>02</t>
        </is>
      </c>
      <c r="E10041" s="24" t="inlineStr">
        <is>
          <t>人工分类</t>
        </is>
      </c>
    </row>
    <row r="10042" ht="15.95" customHeight="1" s="170">
      <c r="B10042" s="122" t="inlineStr">
        <is>
          <t>码值：InOut</t>
        </is>
      </c>
    </row>
    <row r="10043">
      <c r="B10043" s="24" t="inlineStr">
        <is>
          <t>InOut</t>
        </is>
      </c>
      <c r="C10043" s="24" t="inlineStr">
        <is>
          <t>表内表外标志</t>
        </is>
      </c>
      <c r="D10043" s="24" t="inlineStr">
        <is>
          <t>10</t>
        </is>
      </c>
      <c r="E10043" s="24" t="inlineStr">
        <is>
          <t>表内</t>
        </is>
      </c>
    </row>
    <row r="10044">
      <c r="B10044" s="24" t="inlineStr">
        <is>
          <t>InOut</t>
        </is>
      </c>
      <c r="C10044" s="24" t="inlineStr">
        <is>
          <t>表内表外标志</t>
        </is>
      </c>
      <c r="D10044" s="24" t="inlineStr">
        <is>
          <t>20</t>
        </is>
      </c>
      <c r="E10044" s="24" t="inlineStr">
        <is>
          <t>表外</t>
        </is>
      </c>
    </row>
    <row r="10045" ht="15.95" customHeight="1" s="170">
      <c r="B10045" s="122" t="inlineStr">
        <is>
          <t>码值：ReleaseTermType</t>
        </is>
      </c>
    </row>
    <row r="10046">
      <c r="B10046" s="24" t="inlineStr">
        <is>
          <t>ReleaseTermType</t>
        </is>
      </c>
      <c r="C10046" s="24" t="inlineStr">
        <is>
          <t>收取保证金时点</t>
        </is>
      </c>
      <c r="D10046" s="24" t="inlineStr">
        <is>
          <t>0010</t>
        </is>
      </c>
      <c r="E10046" s="24" t="inlineStr">
        <is>
          <t>房产他项权证签发日</t>
        </is>
      </c>
    </row>
    <row r="10047">
      <c r="B10047" s="24" t="inlineStr">
        <is>
          <t>ReleaseTermType</t>
        </is>
      </c>
      <c r="C10047" s="24" t="inlineStr">
        <is>
          <t>收取保证金时点</t>
        </is>
      </c>
      <c r="D10047" s="24" t="inlineStr">
        <is>
          <t>0020</t>
        </is>
      </c>
      <c r="E10047" s="24" t="inlineStr">
        <is>
          <t>贷款发放日</t>
        </is>
      </c>
    </row>
    <row r="10048">
      <c r="B10048" s="24" t="inlineStr">
        <is>
          <t>ReleaseTermType</t>
        </is>
      </c>
      <c r="C10048" s="24" t="inlineStr">
        <is>
          <t>收取保证金时点</t>
        </is>
      </c>
      <c r="D10048" s="24" t="inlineStr">
        <is>
          <t>0030</t>
        </is>
      </c>
      <c r="E10048" s="24" t="inlineStr">
        <is>
          <t>房屋所有权证签发日</t>
        </is>
      </c>
    </row>
    <row r="10049">
      <c r="B10049" s="24" t="inlineStr">
        <is>
          <t>ReleaseTermType</t>
        </is>
      </c>
      <c r="C10049" s="24" t="inlineStr">
        <is>
          <t>收取保证金时点</t>
        </is>
      </c>
      <c r="D10049" s="24" t="inlineStr">
        <is>
          <t>0040</t>
        </is>
      </c>
      <c r="E10049" s="24" t="inlineStr">
        <is>
          <t>国有土地他项权证签发日</t>
        </is>
      </c>
    </row>
    <row r="10050">
      <c r="B10050" s="24" t="inlineStr">
        <is>
          <t>ReleaseTermType</t>
        </is>
      </c>
      <c r="C10050" s="24" t="inlineStr">
        <is>
          <t>收取保证金时点</t>
        </is>
      </c>
      <c r="D10050" s="24" t="inlineStr">
        <is>
          <t>0050</t>
        </is>
      </c>
      <c r="E10050" s="24" t="inlineStr">
        <is>
          <t>交付使用通知书签发日</t>
        </is>
      </c>
    </row>
    <row r="10051">
      <c r="B10051" s="24" t="inlineStr">
        <is>
          <t>ReleaseTermType</t>
        </is>
      </c>
      <c r="C10051" s="24" t="inlineStr">
        <is>
          <t>收取保证金时点</t>
        </is>
      </c>
      <c r="D10051" s="24" t="inlineStr">
        <is>
          <t>0060</t>
        </is>
      </c>
      <c r="E10051" s="24" t="inlineStr">
        <is>
          <t>房地产权证签发日期</t>
        </is>
      </c>
    </row>
    <row r="10052">
      <c r="B10052" s="24" t="inlineStr">
        <is>
          <t>ReleaseTermType</t>
        </is>
      </c>
      <c r="C10052" s="24" t="inlineStr">
        <is>
          <t>收取保证金时点</t>
        </is>
      </c>
      <c r="D10052" s="24" t="inlineStr">
        <is>
          <t>0070</t>
        </is>
      </c>
      <c r="E10052" s="24" t="inlineStr">
        <is>
          <t>办妥抵押登记</t>
        </is>
      </c>
    </row>
    <row r="10053">
      <c r="B10053" s="24" t="inlineStr">
        <is>
          <t>ReleaseTermType</t>
        </is>
      </c>
      <c r="C10053" s="24" t="inlineStr">
        <is>
          <t>收取保证金时点</t>
        </is>
      </c>
      <c r="D10053" s="24" t="inlineStr">
        <is>
          <t>0080</t>
        </is>
      </c>
      <c r="E10053" s="24" t="inlineStr">
        <is>
          <t>办妥预抵押登记</t>
        </is>
      </c>
    </row>
    <row r="10054">
      <c r="B10054" s="24" t="inlineStr">
        <is>
          <t>ReleaseTermType</t>
        </is>
      </c>
      <c r="C10054" s="24" t="inlineStr">
        <is>
          <t>收取保证金时点</t>
        </is>
      </c>
      <c r="D10054" s="24" t="inlineStr">
        <is>
          <t>070</t>
        </is>
      </c>
      <c r="E10054" s="24" t="inlineStr">
        <is>
          <t>办妥汽车抵押登记</t>
        </is>
      </c>
    </row>
    <row r="10055">
      <c r="B10055" s="24" t="inlineStr">
        <is>
          <t>ReleaseTermType</t>
        </is>
      </c>
      <c r="C10055" s="24" t="inlineStr">
        <is>
          <t>收取保证金时点</t>
        </is>
      </c>
      <c r="D10055" s="24" t="inlineStr">
        <is>
          <t>080</t>
        </is>
      </c>
      <c r="E10055" s="24" t="inlineStr">
        <is>
          <t>办妥设备抵押登记</t>
        </is>
      </c>
    </row>
    <row r="10056">
      <c r="B10056" s="24" t="inlineStr">
        <is>
          <t>ReleaseTermType</t>
        </is>
      </c>
      <c r="C10056" s="24" t="inlineStr">
        <is>
          <t>收取保证金时点</t>
        </is>
      </c>
      <c r="D10056" s="24" t="inlineStr">
        <is>
          <t>090</t>
        </is>
      </c>
      <c r="E10056" s="24" t="inlineStr">
        <is>
          <t>办妥交通工具抵押登记</t>
        </is>
      </c>
    </row>
    <row r="10057">
      <c r="B10057" s="24" t="inlineStr">
        <is>
          <t>ReleaseTermType</t>
        </is>
      </c>
      <c r="C10057" s="24" t="inlineStr">
        <is>
          <t>收取保证金时点</t>
        </is>
      </c>
      <c r="D10057" s="24" t="inlineStr">
        <is>
          <t>100</t>
        </is>
      </c>
      <c r="E10057" s="24" t="inlineStr">
        <is>
          <t>国有土地使用证签发日期</t>
        </is>
      </c>
    </row>
    <row r="10058">
      <c r="B10058" s="24" t="inlineStr">
        <is>
          <t>ReleaseTermType</t>
        </is>
      </c>
      <c r="C10058" s="24" t="inlineStr">
        <is>
          <t>收取保证金时点</t>
        </is>
      </c>
      <c r="D10058" s="24" t="inlineStr">
        <is>
          <t>110</t>
        </is>
      </c>
      <c r="E10058" s="24" t="inlineStr">
        <is>
          <t>贷款结清</t>
        </is>
      </c>
    </row>
    <row r="10059" ht="15.95" customHeight="1" s="170">
      <c r="B10059" s="122" t="inlineStr">
        <is>
          <t>码值：DBCOL</t>
        </is>
      </c>
    </row>
    <row r="10060">
      <c r="B10060" s="24" t="inlineStr">
        <is>
          <t>DBCOL</t>
        </is>
      </c>
      <c r="C10060" s="24" t="inlineStr">
        <is>
          <t>数据库字段名</t>
        </is>
      </c>
      <c r="D10060" s="24" t="inlineStr">
        <is>
          <t>1</t>
        </is>
      </c>
      <c r="E10060" s="24" t="inlineStr">
        <is>
          <t>流水号字段</t>
        </is>
      </c>
    </row>
    <row r="10061">
      <c r="B10061" s="24" t="inlineStr">
        <is>
          <t>DBCOL</t>
        </is>
      </c>
      <c r="C10061" s="24" t="inlineStr">
        <is>
          <t>数据库字段名</t>
        </is>
      </c>
      <c r="D10061" s="24" t="inlineStr">
        <is>
          <t>2</t>
        </is>
      </c>
      <c r="E10061" s="24" t="inlineStr">
        <is>
          <t>表关联字段</t>
        </is>
      </c>
    </row>
    <row r="10062">
      <c r="B10062" s="24" t="inlineStr">
        <is>
          <t>DBCOL</t>
        </is>
      </c>
      <c r="C10062" s="24" t="inlineStr">
        <is>
          <t>数据库字段名</t>
        </is>
      </c>
      <c r="D10062" s="24" t="inlineStr">
        <is>
          <t>3</t>
        </is>
      </c>
      <c r="E10062" s="24" t="inlineStr">
        <is>
          <t>业务信息字段</t>
        </is>
      </c>
    </row>
    <row r="10063">
      <c r="B10063" s="24" t="inlineStr">
        <is>
          <t>DBCOL</t>
        </is>
      </c>
      <c r="C10063" s="24" t="inlineStr">
        <is>
          <t>数据库字段名</t>
        </is>
      </c>
      <c r="D10063" s="24" t="inlineStr">
        <is>
          <t>4</t>
        </is>
      </c>
      <c r="E10063" s="24" t="inlineStr">
        <is>
          <t>业务状态字段</t>
        </is>
      </c>
    </row>
    <row r="10064">
      <c r="B10064" s="24" t="inlineStr">
        <is>
          <t>DBCOL</t>
        </is>
      </c>
      <c r="C10064" s="24" t="inlineStr">
        <is>
          <t>数据库字段名</t>
        </is>
      </c>
      <c r="D10064" s="24" t="inlineStr">
        <is>
          <t>5</t>
        </is>
      </c>
      <c r="E10064" s="24" t="inlineStr">
        <is>
          <t>待扩展字段</t>
        </is>
      </c>
    </row>
    <row r="10065">
      <c r="B10065" s="24" t="inlineStr">
        <is>
          <t>DBCOL</t>
        </is>
      </c>
      <c r="C10065" s="24" t="inlineStr">
        <is>
          <t>数据库字段名</t>
        </is>
      </c>
      <c r="D10065" s="24" t="inlineStr">
        <is>
          <t>6</t>
        </is>
      </c>
      <c r="E10065" s="24" t="inlineStr">
        <is>
          <t>系统标签字段</t>
        </is>
      </c>
    </row>
    <row r="10066">
      <c r="B10066" s="24" t="inlineStr">
        <is>
          <t>DBCOL</t>
        </is>
      </c>
      <c r="C10066" s="24" t="inlineStr">
        <is>
          <t>数据库字段名</t>
        </is>
      </c>
      <c r="D10066" s="24" t="inlineStr">
        <is>
          <t>7</t>
        </is>
      </c>
      <c r="E10066" s="24" t="inlineStr">
        <is>
          <t>待删除字段</t>
        </is>
      </c>
    </row>
    <row r="10067">
      <c r="B10067" s="24" t="inlineStr">
        <is>
          <t>DBCOL</t>
        </is>
      </c>
      <c r="C10067" s="24" t="inlineStr">
        <is>
          <t>数据库字段名</t>
        </is>
      </c>
      <c r="D10067" s="24" t="inlineStr">
        <is>
          <t>8</t>
        </is>
      </c>
      <c r="E10067" s="24" t="inlineStr">
        <is>
          <t>虚拟字段</t>
        </is>
      </c>
    </row>
    <row r="10068" ht="15.95" customHeight="1" s="170">
      <c r="B10068" s="122" t="inlineStr">
        <is>
          <t>码值：NPADaily</t>
        </is>
      </c>
    </row>
    <row r="10069">
      <c r="B10069" s="24" t="inlineStr">
        <is>
          <t>NPADaily</t>
        </is>
      </c>
      <c r="C10069" s="24" t="inlineStr">
        <is>
          <t>不良资产日常管理主界面树状菜单</t>
        </is>
      </c>
      <c r="D10069" s="24" t="inlineStr">
        <is>
          <t>005</t>
        </is>
      </c>
      <c r="E10069" s="24" t="inlineStr">
        <is>
          <t>还款方式补登</t>
        </is>
      </c>
    </row>
    <row r="10070">
      <c r="B10070" s="24" t="inlineStr">
        <is>
          <t>NPADaily</t>
        </is>
      </c>
      <c r="C10070" s="24" t="inlineStr">
        <is>
          <t>不良资产日常管理主界面树状菜单</t>
        </is>
      </c>
      <c r="D10070" s="24" t="inlineStr">
        <is>
          <t>00510</t>
        </is>
      </c>
      <c r="E10070" s="24" t="inlineStr">
        <is>
          <t>待补登工作</t>
        </is>
      </c>
    </row>
    <row r="10071">
      <c r="B10071" s="24" t="inlineStr">
        <is>
          <t>NPADaily</t>
        </is>
      </c>
      <c r="C10071" s="24" t="inlineStr">
        <is>
          <t>不良资产日常管理主界面树状菜单</t>
        </is>
      </c>
      <c r="D10071" s="24" t="inlineStr">
        <is>
          <t>00520</t>
        </is>
      </c>
      <c r="E10071" s="24" t="inlineStr">
        <is>
          <t>已完成工作</t>
        </is>
      </c>
    </row>
    <row r="10072">
      <c r="B10072" s="24" t="inlineStr">
        <is>
          <t>NPADaily</t>
        </is>
      </c>
      <c r="C10072" s="24" t="inlineStr">
        <is>
          <t>不良资产日常管理主界面树状菜单</t>
        </is>
      </c>
      <c r="D10072" s="24" t="inlineStr">
        <is>
          <t>010</t>
        </is>
      </c>
      <c r="E10072" s="24" t="inlineStr">
        <is>
          <t>不良资产日常管理</t>
        </is>
      </c>
    </row>
    <row r="10073">
      <c r="B10073" s="24" t="inlineStr">
        <is>
          <t>NPADaily</t>
        </is>
      </c>
      <c r="C10073" s="24" t="inlineStr">
        <is>
          <t>不良资产日常管理主界面树状菜单</t>
        </is>
      </c>
      <c r="D10073" s="24" t="inlineStr">
        <is>
          <t>01010</t>
        </is>
      </c>
      <c r="E10073" s="24" t="inlineStr">
        <is>
          <t>未终结不良资产</t>
        </is>
      </c>
    </row>
    <row r="10074">
      <c r="B10074" s="24" t="inlineStr">
        <is>
          <t>NPADaily</t>
        </is>
      </c>
      <c r="C10074" s="24" t="inlineStr">
        <is>
          <t>不良资产日常管理主界面树状菜单</t>
        </is>
      </c>
      <c r="D10074" s="24" t="inlineStr">
        <is>
          <t>01030</t>
        </is>
      </c>
      <c r="E10074" s="24" t="inlineStr">
        <is>
          <t>已核销不良资产</t>
        </is>
      </c>
    </row>
    <row r="10075">
      <c r="B10075" s="24" t="inlineStr">
        <is>
          <t>NPADaily</t>
        </is>
      </c>
      <c r="C10075" s="24" t="inlineStr">
        <is>
          <t>不良资产日常管理主界面树状菜单</t>
        </is>
      </c>
      <c r="D10075" s="24" t="inlineStr">
        <is>
          <t>01040</t>
        </is>
      </c>
      <c r="E10075" s="24" t="inlineStr">
        <is>
          <t>已终结不良资产</t>
        </is>
      </c>
    </row>
    <row r="10076" ht="16" customHeight="1" s="170">
      <c r="B10076" s="127" t="inlineStr">
        <is>
          <t>码值：AgencyInformationType</t>
        </is>
      </c>
    </row>
    <row r="10077">
      <c r="B10077" s="41" t="inlineStr">
        <is>
          <t>AgencyInformationType</t>
        </is>
      </c>
      <c r="C10077" s="128" t="inlineStr">
        <is>
          <t>机构信息种类</t>
        </is>
      </c>
      <c r="D10077" s="41" t="n">
        <v>1</v>
      </c>
      <c r="E10077" s="41" t="inlineStr">
        <is>
          <t>联系人信息</t>
        </is>
      </c>
    </row>
    <row r="10078">
      <c r="B10078" s="41" t="inlineStr">
        <is>
          <t>AgencyInformationType</t>
        </is>
      </c>
      <c r="C10078" s="128" t="inlineStr">
        <is>
          <t>机构信息种类</t>
        </is>
      </c>
      <c r="D10078" s="41" t="n">
        <v>2</v>
      </c>
      <c r="E10078" s="41" t="inlineStr">
        <is>
          <t>资质情况</t>
        </is>
      </c>
    </row>
    <row r="10079">
      <c r="B10079" s="41" t="inlineStr">
        <is>
          <t>AgencyInformationType</t>
        </is>
      </c>
      <c r="C10079" s="128" t="inlineStr">
        <is>
          <t>机构信息种类</t>
        </is>
      </c>
      <c r="D10079" s="41" t="n">
        <v>3</v>
      </c>
      <c r="E10079" s="41" t="inlineStr">
        <is>
          <t>专家信息</t>
        </is>
      </c>
    </row>
    <row r="10080">
      <c r="B10080" s="41" t="inlineStr">
        <is>
          <t>AgencyInformationType</t>
        </is>
      </c>
      <c r="C10080" s="128" t="inlineStr">
        <is>
          <t>机构信息种类</t>
        </is>
      </c>
      <c r="D10080" s="41" t="n">
        <v>4</v>
      </c>
      <c r="E10080" s="41" t="inlineStr">
        <is>
          <t>大事信息</t>
        </is>
      </c>
    </row>
    <row r="10081" ht="16" customHeight="1" s="170">
      <c r="B10081" s="127" t="inlineStr">
        <is>
          <t>码值：MenuStatus</t>
        </is>
      </c>
    </row>
    <row r="10082">
      <c r="B10082" s="41" t="inlineStr">
        <is>
          <t>MenuStatus</t>
        </is>
      </c>
      <c r="C10082" s="128" t="inlineStr">
        <is>
          <t>菜单状态</t>
        </is>
      </c>
      <c r="D10082" s="41" t="n">
        <v>1</v>
      </c>
      <c r="E10082" s="41" t="inlineStr">
        <is>
          <t>正常</t>
        </is>
      </c>
    </row>
    <row r="10083">
      <c r="B10083" s="41" t="inlineStr">
        <is>
          <t>MenuStatus</t>
        </is>
      </c>
      <c r="C10083" s="128" t="inlineStr">
        <is>
          <t>菜单状态</t>
        </is>
      </c>
      <c r="D10083" s="41" t="n">
        <v>2</v>
      </c>
      <c r="E10083" s="41" t="inlineStr">
        <is>
          <t>停用</t>
        </is>
      </c>
    </row>
    <row r="10084" ht="16" customHeight="1" s="170">
      <c r="B10084" s="127" t="inlineStr">
        <is>
          <t>码值：AccessType</t>
        </is>
      </c>
    </row>
    <row r="10085">
      <c r="B10085" s="41" t="inlineStr">
        <is>
          <t>AccessType</t>
        </is>
      </c>
      <c r="C10085" s="128" t="inlineStr">
        <is>
          <t>菜单状态</t>
        </is>
      </c>
      <c r="D10085" s="41" t="n">
        <v>10</v>
      </c>
      <c r="E10085" s="41" t="inlineStr">
        <is>
          <t>经典</t>
        </is>
      </c>
    </row>
    <row r="10086">
      <c r="B10086" s="41" t="inlineStr">
        <is>
          <t>AccessType</t>
        </is>
      </c>
      <c r="C10086" s="128" t="inlineStr">
        <is>
          <t>菜单状态</t>
        </is>
      </c>
      <c r="D10086" s="41" t="n">
        <v>20</v>
      </c>
      <c r="E10086" s="41" t="inlineStr">
        <is>
          <t>动态</t>
        </is>
      </c>
    </row>
    <row r="10087" ht="16" customHeight="1" s="170">
      <c r="B10087" s="127" t="inlineStr">
        <is>
          <t>码值：Score</t>
        </is>
      </c>
    </row>
    <row r="10088">
      <c r="B10088" s="41" t="inlineStr">
        <is>
          <t>Score</t>
        </is>
      </c>
      <c r="C10088" s="129" t="inlineStr">
        <is>
          <t>评分</t>
        </is>
      </c>
      <c r="D10088" s="21" t="inlineStr">
        <is>
          <t>A</t>
        </is>
      </c>
      <c r="E10088" s="21" t="inlineStr">
        <is>
          <t>A</t>
        </is>
      </c>
    </row>
    <row r="10089">
      <c r="B10089" s="21" t="inlineStr">
        <is>
          <t>Score</t>
        </is>
      </c>
      <c r="C10089" s="129" t="inlineStr">
        <is>
          <t>评分</t>
        </is>
      </c>
      <c r="D10089" s="21" t="inlineStr">
        <is>
          <t>AA</t>
        </is>
      </c>
      <c r="E10089" s="21" t="inlineStr">
        <is>
          <t>AA</t>
        </is>
      </c>
    </row>
    <row r="10090">
      <c r="B10090" s="21" t="inlineStr">
        <is>
          <t>Score</t>
        </is>
      </c>
      <c r="C10090" s="129" t="inlineStr">
        <is>
          <t>评分</t>
        </is>
      </c>
      <c r="D10090" s="21" t="inlineStr">
        <is>
          <t>AAA</t>
        </is>
      </c>
      <c r="E10090" s="21" t="inlineStr">
        <is>
          <t>AAA</t>
        </is>
      </c>
    </row>
    <row r="10091">
      <c r="B10091" s="21" t="inlineStr">
        <is>
          <t>Score</t>
        </is>
      </c>
      <c r="C10091" s="129" t="inlineStr">
        <is>
          <t>评分</t>
        </is>
      </c>
      <c r="D10091" s="21" t="inlineStr">
        <is>
          <t>B</t>
        </is>
      </c>
      <c r="E10091" s="21" t="inlineStr">
        <is>
          <t>B</t>
        </is>
      </c>
    </row>
    <row r="10092">
      <c r="B10092" s="21" t="inlineStr">
        <is>
          <t>Score</t>
        </is>
      </c>
      <c r="C10092" s="129" t="inlineStr">
        <is>
          <t>评分</t>
        </is>
      </c>
      <c r="D10092" s="21" t="inlineStr">
        <is>
          <t>BB</t>
        </is>
      </c>
      <c r="E10092" s="21" t="inlineStr">
        <is>
          <t>BB</t>
        </is>
      </c>
    </row>
    <row r="10093">
      <c r="B10093" s="21" t="inlineStr">
        <is>
          <t>Score</t>
        </is>
      </c>
      <c r="C10093" s="129" t="inlineStr">
        <is>
          <t>评分</t>
        </is>
      </c>
      <c r="D10093" s="21" t="inlineStr">
        <is>
          <t>BBB</t>
        </is>
      </c>
      <c r="E10093" s="21" t="inlineStr">
        <is>
          <t>BBB</t>
        </is>
      </c>
    </row>
    <row r="10094">
      <c r="B10094" s="21" t="inlineStr">
        <is>
          <t>Score</t>
        </is>
      </c>
      <c r="C10094" s="129" t="inlineStr">
        <is>
          <t>评分</t>
        </is>
      </c>
      <c r="D10094" s="21" t="inlineStr">
        <is>
          <t>C</t>
        </is>
      </c>
      <c r="E10094" s="21" t="inlineStr">
        <is>
          <t>C</t>
        </is>
      </c>
    </row>
    <row r="10095">
      <c r="B10095" s="21" t="inlineStr">
        <is>
          <t>Score</t>
        </is>
      </c>
      <c r="C10095" s="129" t="inlineStr">
        <is>
          <t>评分</t>
        </is>
      </c>
      <c r="D10095" s="21" t="inlineStr">
        <is>
          <t>CC</t>
        </is>
      </c>
      <c r="E10095" s="21" t="inlineStr">
        <is>
          <t>CC</t>
        </is>
      </c>
    </row>
    <row r="10096">
      <c r="B10096" s="21" t="inlineStr">
        <is>
          <t>Score</t>
        </is>
      </c>
      <c r="C10096" s="129" t="inlineStr">
        <is>
          <t>评分</t>
        </is>
      </c>
      <c r="D10096" s="21" t="inlineStr">
        <is>
          <t>CCC</t>
        </is>
      </c>
      <c r="E10096" s="21" t="inlineStr">
        <is>
          <t>CCC</t>
        </is>
      </c>
    </row>
    <row r="10097">
      <c r="B10097" s="21" t="inlineStr">
        <is>
          <t>Score</t>
        </is>
      </c>
      <c r="C10097" s="129" t="inlineStr">
        <is>
          <t>评分</t>
        </is>
      </c>
      <c r="D10097" s="21" t="inlineStr">
        <is>
          <t>D</t>
        </is>
      </c>
      <c r="E10097" s="21" t="inlineStr">
        <is>
          <t>D</t>
        </is>
      </c>
    </row>
    <row r="10098" ht="16" customHeight="1" s="170">
      <c r="B10098" s="127" t="inlineStr">
        <is>
          <t>码值：PlaneLayout</t>
        </is>
      </c>
    </row>
    <row r="10099">
      <c r="B10099" s="41" t="inlineStr">
        <is>
          <t>PlaneLayout</t>
        </is>
      </c>
      <c r="C10099" s="129" t="inlineStr">
        <is>
          <t>布局</t>
        </is>
      </c>
      <c r="D10099" s="21" t="n">
        <v>1</v>
      </c>
      <c r="E10099" s="21" t="inlineStr">
        <is>
          <t>平面</t>
        </is>
      </c>
    </row>
    <row r="10100">
      <c r="B10100" s="41" t="inlineStr">
        <is>
          <t>PlaneLayout</t>
        </is>
      </c>
      <c r="C10100" s="129" t="inlineStr">
        <is>
          <t>布局</t>
        </is>
      </c>
      <c r="D10100" s="21" t="n">
        <v>2</v>
      </c>
      <c r="E10100" s="21" t="inlineStr">
        <is>
          <t>复式</t>
        </is>
      </c>
    </row>
    <row r="10101">
      <c r="B10101" s="41" t="inlineStr">
        <is>
          <t>PlaneLayout</t>
        </is>
      </c>
      <c r="C10101" s="129" t="inlineStr">
        <is>
          <t>布局</t>
        </is>
      </c>
      <c r="D10101" s="21" t="n">
        <v>3</v>
      </c>
      <c r="E10101" s="21" t="inlineStr">
        <is>
          <t>跃式</t>
        </is>
      </c>
    </row>
    <row r="10102" ht="16" customHeight="1" s="170">
      <c r="B10102" s="127" t="inlineStr">
        <is>
          <t>码值：UserStatus</t>
        </is>
      </c>
    </row>
    <row r="10103">
      <c r="B10103" s="41" t="inlineStr">
        <is>
          <t>UserStatus</t>
        </is>
      </c>
      <c r="C10103" s="129" t="inlineStr">
        <is>
          <t>评分</t>
        </is>
      </c>
      <c r="D10103" s="21" t="n">
        <v>1</v>
      </c>
      <c r="E10103" s="21" t="inlineStr">
        <is>
          <t>自用</t>
        </is>
      </c>
    </row>
    <row r="10104">
      <c r="B10104" s="41" t="inlineStr">
        <is>
          <t>UserStatus</t>
        </is>
      </c>
      <c r="C10104" s="129" t="inlineStr">
        <is>
          <t>评分</t>
        </is>
      </c>
      <c r="D10104" s="21" t="n">
        <v>2</v>
      </c>
      <c r="E10104" s="21" t="inlineStr">
        <is>
          <t>租赁</t>
        </is>
      </c>
    </row>
    <row r="10105">
      <c r="B10105" s="41" t="inlineStr">
        <is>
          <t>UserStatus</t>
        </is>
      </c>
      <c r="C10105" s="129" t="inlineStr">
        <is>
          <t>评分</t>
        </is>
      </c>
      <c r="D10105" s="21" t="n">
        <v>3</v>
      </c>
      <c r="E10105" s="21" t="inlineStr">
        <is>
          <t>闲置</t>
        </is>
      </c>
    </row>
    <row r="10106">
      <c r="B10106" s="41" t="inlineStr">
        <is>
          <t>UserStatus</t>
        </is>
      </c>
      <c r="C10106" s="129" t="inlineStr">
        <is>
          <t>评分</t>
        </is>
      </c>
      <c r="D10106" s="21" t="n">
        <v>4</v>
      </c>
      <c r="E10106" s="21" t="inlineStr">
        <is>
          <t>其他</t>
        </is>
      </c>
    </row>
    <row r="10107" ht="16" customHeight="1" s="170">
      <c r="B10107" s="127" t="inlineStr">
        <is>
          <t>码值：AreaCode</t>
        </is>
      </c>
    </row>
    <row r="10108">
      <c r="B10108" s="41" t="inlineStr">
        <is>
          <t>AreaCode</t>
        </is>
      </c>
      <c r="C10108" s="129" t="inlineStr">
        <is>
          <t>地区代码</t>
        </is>
      </c>
      <c r="D10108" s="21" t="n">
        <v>110000</v>
      </c>
      <c r="E10108" s="21" t="inlineStr">
        <is>
          <t>北京市</t>
        </is>
      </c>
    </row>
    <row r="10109">
      <c r="B10109" s="41" t="inlineStr">
        <is>
          <t>AreaCode</t>
        </is>
      </c>
      <c r="C10109" s="129" t="inlineStr">
        <is>
          <t>地区代码</t>
        </is>
      </c>
      <c r="D10109" s="21" t="n">
        <v>110100</v>
      </c>
      <c r="E10109" s="21" t="inlineStr">
        <is>
          <t>北京市市辖区</t>
        </is>
      </c>
    </row>
    <row r="10110">
      <c r="B10110" s="41" t="inlineStr">
        <is>
          <t>AreaCode</t>
        </is>
      </c>
      <c r="C10110" s="129" t="inlineStr">
        <is>
          <t>地区代码</t>
        </is>
      </c>
      <c r="D10110" s="21" t="n">
        <v>110101</v>
      </c>
      <c r="E10110" s="21" t="inlineStr">
        <is>
          <t>北京市市辖区东城区</t>
        </is>
      </c>
    </row>
    <row r="10111">
      <c r="B10111" s="41" t="inlineStr">
        <is>
          <t>AreaCode</t>
        </is>
      </c>
      <c r="C10111" s="129" t="inlineStr">
        <is>
          <t>地区代码</t>
        </is>
      </c>
      <c r="D10111" s="21" t="n">
        <v>110102</v>
      </c>
      <c r="E10111" s="21" t="inlineStr">
        <is>
          <t>北京市市辖区西城区</t>
        </is>
      </c>
    </row>
    <row r="10112">
      <c r="B10112" s="41" t="inlineStr">
        <is>
          <t>AreaCode</t>
        </is>
      </c>
      <c r="C10112" s="129" t="inlineStr">
        <is>
          <t>地区代码</t>
        </is>
      </c>
      <c r="D10112" s="21" t="n">
        <v>110105</v>
      </c>
      <c r="E10112" s="21" t="inlineStr">
        <is>
          <t>北京市市辖区朝阳区</t>
        </is>
      </c>
    </row>
    <row r="10113">
      <c r="B10113" s="41" t="inlineStr">
        <is>
          <t>AreaCode</t>
        </is>
      </c>
      <c r="C10113" s="129" t="inlineStr">
        <is>
          <t>地区代码</t>
        </is>
      </c>
      <c r="D10113" s="21" t="n">
        <v>110106</v>
      </c>
      <c r="E10113" s="21" t="inlineStr">
        <is>
          <t>北京市市辖区丰台区</t>
        </is>
      </c>
    </row>
    <row r="10114">
      <c r="B10114" s="41" t="inlineStr">
        <is>
          <t>AreaCode</t>
        </is>
      </c>
      <c r="C10114" s="129" t="inlineStr">
        <is>
          <t>地区代码</t>
        </is>
      </c>
      <c r="D10114" s="21" t="n">
        <v>110107</v>
      </c>
      <c r="E10114" s="21" t="inlineStr">
        <is>
          <t>北京市市辖区石景山区</t>
        </is>
      </c>
    </row>
    <row r="10115">
      <c r="B10115" s="41" t="inlineStr">
        <is>
          <t>AreaCode</t>
        </is>
      </c>
      <c r="C10115" s="129" t="inlineStr">
        <is>
          <t>地区代码</t>
        </is>
      </c>
      <c r="D10115" s="21" t="n">
        <v>110108</v>
      </c>
      <c r="E10115" s="21" t="inlineStr">
        <is>
          <t>北京市市辖区海淀区</t>
        </is>
      </c>
    </row>
    <row r="10116">
      <c r="B10116" s="41" t="inlineStr">
        <is>
          <t>AreaCode</t>
        </is>
      </c>
      <c r="C10116" s="129" t="inlineStr">
        <is>
          <t>地区代码</t>
        </is>
      </c>
      <c r="D10116" s="21" t="n">
        <v>110109</v>
      </c>
      <c r="E10116" s="21" t="inlineStr">
        <is>
          <t>北京市市辖区门头沟区</t>
        </is>
      </c>
    </row>
    <row r="10117">
      <c r="B10117" s="41" t="inlineStr">
        <is>
          <t>AreaCode</t>
        </is>
      </c>
      <c r="C10117" s="129" t="inlineStr">
        <is>
          <t>地区代码</t>
        </is>
      </c>
      <c r="D10117" s="21" t="n">
        <v>110111</v>
      </c>
      <c r="E10117" s="21" t="inlineStr">
        <is>
          <t>北京市市辖区房山区</t>
        </is>
      </c>
    </row>
    <row r="10118">
      <c r="B10118" s="41" t="inlineStr">
        <is>
          <t>AreaCode</t>
        </is>
      </c>
      <c r="C10118" s="129" t="inlineStr">
        <is>
          <t>地区代码</t>
        </is>
      </c>
      <c r="D10118" s="21" t="n">
        <v>110112</v>
      </c>
      <c r="E10118" s="21" t="inlineStr">
        <is>
          <t>北京市市辖区通州区</t>
        </is>
      </c>
    </row>
    <row r="10119">
      <c r="B10119" s="41" t="inlineStr">
        <is>
          <t>AreaCode</t>
        </is>
      </c>
      <c r="C10119" s="129" t="inlineStr">
        <is>
          <t>地区代码</t>
        </is>
      </c>
      <c r="D10119" s="21" t="n">
        <v>110113</v>
      </c>
      <c r="E10119" s="21" t="inlineStr">
        <is>
          <t>北京市市辖区顺义区</t>
        </is>
      </c>
    </row>
    <row r="10120">
      <c r="B10120" s="41" t="inlineStr">
        <is>
          <t>AreaCode</t>
        </is>
      </c>
      <c r="C10120" s="129" t="inlineStr">
        <is>
          <t>地区代码</t>
        </is>
      </c>
      <c r="D10120" s="21" t="n">
        <v>110114</v>
      </c>
      <c r="E10120" s="21" t="inlineStr">
        <is>
          <t>北京市市辖区昌平区</t>
        </is>
      </c>
    </row>
    <row r="10121">
      <c r="B10121" s="41" t="inlineStr">
        <is>
          <t>AreaCode</t>
        </is>
      </c>
      <c r="C10121" s="129" t="inlineStr">
        <is>
          <t>地区代码</t>
        </is>
      </c>
      <c r="D10121" s="21" t="n">
        <v>110115</v>
      </c>
      <c r="E10121" s="21" t="inlineStr">
        <is>
          <t>北京市市辖区大兴区</t>
        </is>
      </c>
    </row>
    <row r="10122">
      <c r="B10122" s="41" t="inlineStr">
        <is>
          <t>AreaCode</t>
        </is>
      </c>
      <c r="C10122" s="129" t="inlineStr">
        <is>
          <t>地区代码</t>
        </is>
      </c>
      <c r="D10122" s="21" t="n">
        <v>110116</v>
      </c>
      <c r="E10122" s="21" t="inlineStr">
        <is>
          <t>北京市市辖区怀柔区</t>
        </is>
      </c>
    </row>
    <row r="10123">
      <c r="B10123" s="41" t="inlineStr">
        <is>
          <t>AreaCode</t>
        </is>
      </c>
      <c r="C10123" s="129" t="inlineStr">
        <is>
          <t>地区代码</t>
        </is>
      </c>
      <c r="D10123" s="21" t="n">
        <v>110117</v>
      </c>
      <c r="E10123" s="21" t="inlineStr">
        <is>
          <t>北京市市辖区平谷区</t>
        </is>
      </c>
    </row>
    <row r="10124">
      <c r="B10124" s="41" t="inlineStr">
        <is>
          <t>AreaCode</t>
        </is>
      </c>
      <c r="C10124" s="129" t="inlineStr">
        <is>
          <t>地区代码</t>
        </is>
      </c>
      <c r="D10124" s="21" t="n">
        <v>110200</v>
      </c>
      <c r="E10124" s="21" t="inlineStr">
        <is>
          <t>北京市县</t>
        </is>
      </c>
    </row>
    <row r="10125">
      <c r="B10125" s="41" t="inlineStr">
        <is>
          <t>AreaCode</t>
        </is>
      </c>
      <c r="C10125" s="129" t="inlineStr">
        <is>
          <t>地区代码</t>
        </is>
      </c>
      <c r="D10125" s="21" t="n">
        <v>110228</v>
      </c>
      <c r="E10125" s="21" t="inlineStr">
        <is>
          <t>北京市密云县</t>
        </is>
      </c>
    </row>
    <row r="10126">
      <c r="B10126" s="41" t="inlineStr">
        <is>
          <t>AreaCode</t>
        </is>
      </c>
      <c r="C10126" s="129" t="inlineStr">
        <is>
          <t>地区代码</t>
        </is>
      </c>
      <c r="D10126" s="21" t="n">
        <v>110229</v>
      </c>
      <c r="E10126" s="21" t="inlineStr">
        <is>
          <t>北京市延庆县</t>
        </is>
      </c>
    </row>
    <row r="10127">
      <c r="B10127" s="41" t="inlineStr">
        <is>
          <t>AreaCode</t>
        </is>
      </c>
      <c r="C10127" s="129" t="inlineStr">
        <is>
          <t>地区代码</t>
        </is>
      </c>
      <c r="D10127" s="21" t="n">
        <v>120000</v>
      </c>
      <c r="E10127" s="21" t="inlineStr">
        <is>
          <t>天津市</t>
        </is>
      </c>
    </row>
    <row r="10128">
      <c r="B10128" s="41" t="inlineStr">
        <is>
          <t>AreaCode</t>
        </is>
      </c>
      <c r="C10128" s="129" t="inlineStr">
        <is>
          <t>地区代码</t>
        </is>
      </c>
      <c r="D10128" s="21" t="n">
        <v>120100</v>
      </c>
      <c r="E10128" s="21" t="inlineStr">
        <is>
          <t>天津市市辖区</t>
        </is>
      </c>
    </row>
    <row r="10129">
      <c r="B10129" s="41" t="inlineStr">
        <is>
          <t>AreaCode</t>
        </is>
      </c>
      <c r="C10129" s="129" t="inlineStr">
        <is>
          <t>地区代码</t>
        </is>
      </c>
      <c r="D10129" s="21" t="n">
        <v>120101</v>
      </c>
      <c r="E10129" s="21" t="inlineStr">
        <is>
          <t>天津市市辖区和平区</t>
        </is>
      </c>
    </row>
    <row r="10130">
      <c r="B10130" s="41" t="inlineStr">
        <is>
          <t>AreaCode</t>
        </is>
      </c>
      <c r="C10130" s="129" t="inlineStr">
        <is>
          <t>地区代码</t>
        </is>
      </c>
      <c r="D10130" s="21" t="n">
        <v>120102</v>
      </c>
      <c r="E10130" s="21" t="inlineStr">
        <is>
          <t>天津市市辖区河东区</t>
        </is>
      </c>
    </row>
    <row r="10131">
      <c r="B10131" s="41" t="inlineStr">
        <is>
          <t>AreaCode</t>
        </is>
      </c>
      <c r="C10131" s="129" t="inlineStr">
        <is>
          <t>地区代码</t>
        </is>
      </c>
      <c r="D10131" s="21" t="n">
        <v>120103</v>
      </c>
      <c r="E10131" s="21" t="inlineStr">
        <is>
          <t>天津市市辖区河西区</t>
        </is>
      </c>
    </row>
    <row r="10132">
      <c r="B10132" s="41" t="inlineStr">
        <is>
          <t>AreaCode</t>
        </is>
      </c>
      <c r="C10132" s="129" t="inlineStr">
        <is>
          <t>地区代码</t>
        </is>
      </c>
      <c r="D10132" s="21" t="n">
        <v>120104</v>
      </c>
      <c r="E10132" s="21" t="inlineStr">
        <is>
          <t>天津市市辖区南开区</t>
        </is>
      </c>
    </row>
    <row r="10133">
      <c r="B10133" s="41" t="inlineStr">
        <is>
          <t>AreaCode</t>
        </is>
      </c>
      <c r="C10133" s="129" t="inlineStr">
        <is>
          <t>地区代码</t>
        </is>
      </c>
      <c r="D10133" s="21" t="n">
        <v>120105</v>
      </c>
      <c r="E10133" s="21" t="inlineStr">
        <is>
          <t>天津市市辖区河北区</t>
        </is>
      </c>
    </row>
    <row r="10134">
      <c r="B10134" s="41" t="inlineStr">
        <is>
          <t>AreaCode</t>
        </is>
      </c>
      <c r="C10134" s="129" t="inlineStr">
        <is>
          <t>地区代码</t>
        </is>
      </c>
      <c r="D10134" s="21" t="n">
        <v>120106</v>
      </c>
      <c r="E10134" s="21" t="inlineStr">
        <is>
          <t>天津市市辖区红桥区</t>
        </is>
      </c>
    </row>
    <row r="10135">
      <c r="B10135" s="41" t="inlineStr">
        <is>
          <t>AreaCode</t>
        </is>
      </c>
      <c r="C10135" s="129" t="inlineStr">
        <is>
          <t>地区代码</t>
        </is>
      </c>
      <c r="D10135" s="21" t="n">
        <v>120110</v>
      </c>
      <c r="E10135" s="21" t="inlineStr">
        <is>
          <t>天津市市辖区东丽区</t>
        </is>
      </c>
    </row>
    <row r="10136">
      <c r="B10136" s="41" t="inlineStr">
        <is>
          <t>AreaCode</t>
        </is>
      </c>
      <c r="C10136" s="129" t="inlineStr">
        <is>
          <t>地区代码</t>
        </is>
      </c>
      <c r="D10136" s="21" t="n">
        <v>120111</v>
      </c>
      <c r="E10136" s="21" t="inlineStr">
        <is>
          <t>天津市市辖区西青区</t>
        </is>
      </c>
    </row>
    <row r="10137">
      <c r="B10137" s="41" t="inlineStr">
        <is>
          <t>AreaCode</t>
        </is>
      </c>
      <c r="C10137" s="129" t="inlineStr">
        <is>
          <t>地区代码</t>
        </is>
      </c>
      <c r="D10137" s="21" t="n">
        <v>120112</v>
      </c>
      <c r="E10137" s="21" t="inlineStr">
        <is>
          <t>天津市市辖区津南区</t>
        </is>
      </c>
    </row>
    <row r="10138">
      <c r="B10138" s="41" t="inlineStr">
        <is>
          <t>AreaCode</t>
        </is>
      </c>
      <c r="C10138" s="129" t="inlineStr">
        <is>
          <t>地区代码</t>
        </is>
      </c>
      <c r="D10138" s="21" t="n">
        <v>120113</v>
      </c>
      <c r="E10138" s="21" t="inlineStr">
        <is>
          <t>天津市市辖区北辰区</t>
        </is>
      </c>
    </row>
    <row r="10139">
      <c r="B10139" s="41" t="inlineStr">
        <is>
          <t>AreaCode</t>
        </is>
      </c>
      <c r="C10139" s="129" t="inlineStr">
        <is>
          <t>地区代码</t>
        </is>
      </c>
      <c r="D10139" s="21" t="n">
        <v>120114</v>
      </c>
      <c r="E10139" s="21" t="inlineStr">
        <is>
          <t>天津市市辖区武清区</t>
        </is>
      </c>
    </row>
    <row r="10140">
      <c r="B10140" s="41" t="inlineStr">
        <is>
          <t>AreaCode</t>
        </is>
      </c>
      <c r="C10140" s="129" t="inlineStr">
        <is>
          <t>地区代码</t>
        </is>
      </c>
      <c r="D10140" s="21" t="n">
        <v>120115</v>
      </c>
      <c r="E10140" s="21" t="inlineStr">
        <is>
          <t>天津市市辖区宝坻区</t>
        </is>
      </c>
    </row>
    <row r="10141">
      <c r="B10141" s="41" t="inlineStr">
        <is>
          <t>AreaCode</t>
        </is>
      </c>
      <c r="C10141" s="129" t="inlineStr">
        <is>
          <t>地区代码</t>
        </is>
      </c>
      <c r="D10141" s="21" t="n">
        <v>120116</v>
      </c>
      <c r="E10141" s="21" t="inlineStr">
        <is>
          <t>天津市市辖区滨海新区</t>
        </is>
      </c>
    </row>
    <row r="10142">
      <c r="B10142" s="41" t="inlineStr">
        <is>
          <t>AreaCode</t>
        </is>
      </c>
      <c r="C10142" s="129" t="inlineStr">
        <is>
          <t>地区代码</t>
        </is>
      </c>
      <c r="D10142" s="21" t="n">
        <v>120200</v>
      </c>
      <c r="E10142" s="21" t="inlineStr">
        <is>
          <t>天津市县</t>
        </is>
      </c>
    </row>
    <row r="10143">
      <c r="B10143" s="41" t="inlineStr">
        <is>
          <t>AreaCode</t>
        </is>
      </c>
      <c r="C10143" s="129" t="inlineStr">
        <is>
          <t>地区代码</t>
        </is>
      </c>
      <c r="D10143" s="21" t="n">
        <v>120221</v>
      </c>
      <c r="E10143" s="21" t="inlineStr">
        <is>
          <t>天津市宁河县</t>
        </is>
      </c>
    </row>
    <row r="10144">
      <c r="B10144" s="41" t="inlineStr">
        <is>
          <t>AreaCode</t>
        </is>
      </c>
      <c r="C10144" s="129" t="inlineStr">
        <is>
          <t>地区代码</t>
        </is>
      </c>
      <c r="D10144" s="21" t="n">
        <v>120223</v>
      </c>
      <c r="E10144" s="21" t="inlineStr">
        <is>
          <t>天津市静海县</t>
        </is>
      </c>
    </row>
    <row r="10145">
      <c r="B10145" s="41" t="inlineStr">
        <is>
          <t>AreaCode</t>
        </is>
      </c>
      <c r="C10145" s="129" t="inlineStr">
        <is>
          <t>地区代码</t>
        </is>
      </c>
      <c r="D10145" s="21" t="n">
        <v>120225</v>
      </c>
      <c r="E10145" s="21" t="inlineStr">
        <is>
          <t>天津市蓟县</t>
        </is>
      </c>
    </row>
    <row r="10146">
      <c r="B10146" s="41" t="inlineStr">
        <is>
          <t>AreaCode</t>
        </is>
      </c>
      <c r="C10146" s="129" t="inlineStr">
        <is>
          <t>地区代码</t>
        </is>
      </c>
      <c r="D10146" s="21" t="n">
        <v>130000</v>
      </c>
      <c r="E10146" s="21" t="inlineStr">
        <is>
          <t>河北省</t>
        </is>
      </c>
    </row>
    <row r="10147">
      <c r="B10147" s="41" t="inlineStr">
        <is>
          <t>AreaCode</t>
        </is>
      </c>
      <c r="C10147" s="129" t="inlineStr">
        <is>
          <t>地区代码</t>
        </is>
      </c>
      <c r="D10147" s="21" t="n">
        <v>130100</v>
      </c>
      <c r="E10147" s="21" t="inlineStr">
        <is>
          <t>河北省石家庄市</t>
        </is>
      </c>
    </row>
    <row r="10148">
      <c r="B10148" s="41" t="inlineStr">
        <is>
          <t>AreaCode</t>
        </is>
      </c>
      <c r="C10148" s="129" t="inlineStr">
        <is>
          <t>地区代码</t>
        </is>
      </c>
      <c r="D10148" s="21" t="n">
        <v>130101</v>
      </c>
      <c r="E10148" s="21" t="inlineStr">
        <is>
          <t>河北省石家庄市市辖区</t>
        </is>
      </c>
    </row>
    <row r="10149">
      <c r="B10149" s="41" t="inlineStr">
        <is>
          <t>AreaCode</t>
        </is>
      </c>
      <c r="C10149" s="129" t="inlineStr">
        <is>
          <t>地区代码</t>
        </is>
      </c>
      <c r="D10149" s="21" t="n">
        <v>130102</v>
      </c>
      <c r="E10149" s="21" t="inlineStr">
        <is>
          <t>河北省石家庄市长安区</t>
        </is>
      </c>
    </row>
    <row r="10150">
      <c r="B10150" s="41" t="inlineStr">
        <is>
          <t>AreaCode</t>
        </is>
      </c>
      <c r="C10150" s="129" t="inlineStr">
        <is>
          <t>地区代码</t>
        </is>
      </c>
      <c r="D10150" s="21" t="n">
        <v>130104</v>
      </c>
      <c r="E10150" s="21" t="inlineStr">
        <is>
          <t>河北省石家庄市桥西区</t>
        </is>
      </c>
    </row>
    <row r="10151">
      <c r="B10151" s="41" t="inlineStr">
        <is>
          <t>AreaCode</t>
        </is>
      </c>
      <c r="C10151" s="129" t="inlineStr">
        <is>
          <t>地区代码</t>
        </is>
      </c>
      <c r="D10151" s="21" t="n">
        <v>130105</v>
      </c>
      <c r="E10151" s="21" t="inlineStr">
        <is>
          <t>河北省石家庄市新华区</t>
        </is>
      </c>
    </row>
    <row r="10152">
      <c r="B10152" s="41" t="inlineStr">
        <is>
          <t>AreaCode</t>
        </is>
      </c>
      <c r="C10152" s="129" t="inlineStr">
        <is>
          <t>地区代码</t>
        </is>
      </c>
      <c r="D10152" s="21" t="n">
        <v>130107</v>
      </c>
      <c r="E10152" s="21" t="inlineStr">
        <is>
          <t>河北省石家庄市井陉矿区</t>
        </is>
      </c>
    </row>
    <row r="10153">
      <c r="B10153" s="41" t="inlineStr">
        <is>
          <t>AreaCode</t>
        </is>
      </c>
      <c r="C10153" s="129" t="inlineStr">
        <is>
          <t>地区代码</t>
        </is>
      </c>
      <c r="D10153" s="21" t="n">
        <v>130108</v>
      </c>
      <c r="E10153" s="21" t="inlineStr">
        <is>
          <t>河北省石家庄市裕华区</t>
        </is>
      </c>
    </row>
    <row r="10154">
      <c r="B10154" s="41" t="inlineStr">
        <is>
          <t>AreaCode</t>
        </is>
      </c>
      <c r="C10154" s="129" t="inlineStr">
        <is>
          <t>地区代码</t>
        </is>
      </c>
      <c r="D10154" s="21" t="n">
        <v>130109</v>
      </c>
      <c r="E10154" s="21" t="inlineStr">
        <is>
          <t>河北省石家庄市藁城区</t>
        </is>
      </c>
    </row>
    <row r="10155">
      <c r="B10155" s="41" t="inlineStr">
        <is>
          <t>AreaCode</t>
        </is>
      </c>
      <c r="C10155" s="129" t="inlineStr">
        <is>
          <t>地区代码</t>
        </is>
      </c>
      <c r="D10155" s="21" t="n">
        <v>130110</v>
      </c>
      <c r="E10155" s="21" t="inlineStr">
        <is>
          <t>河北省石家庄市鹿泉区</t>
        </is>
      </c>
    </row>
    <row r="10156">
      <c r="B10156" s="41" t="inlineStr">
        <is>
          <t>AreaCode</t>
        </is>
      </c>
      <c r="C10156" s="129" t="inlineStr">
        <is>
          <t>地区代码</t>
        </is>
      </c>
      <c r="D10156" s="21" t="n">
        <v>130111</v>
      </c>
      <c r="E10156" s="21" t="inlineStr">
        <is>
          <t>河北省石家庄市栾城区</t>
        </is>
      </c>
    </row>
    <row r="10157">
      <c r="B10157" s="41" t="inlineStr">
        <is>
          <t>AreaCode</t>
        </is>
      </c>
      <c r="C10157" s="129" t="inlineStr">
        <is>
          <t>地区代码</t>
        </is>
      </c>
      <c r="D10157" s="21" t="n">
        <v>130121</v>
      </c>
      <c r="E10157" s="21" t="inlineStr">
        <is>
          <t>河北省石家庄市井陉县</t>
        </is>
      </c>
    </row>
    <row r="10158">
      <c r="B10158" s="41" t="inlineStr">
        <is>
          <t>AreaCode</t>
        </is>
      </c>
      <c r="C10158" s="129" t="inlineStr">
        <is>
          <t>地区代码</t>
        </is>
      </c>
      <c r="D10158" s="21" t="n">
        <v>130123</v>
      </c>
      <c r="E10158" s="21" t="inlineStr">
        <is>
          <t>河北省石家庄市正定县</t>
        </is>
      </c>
    </row>
    <row r="10159">
      <c r="B10159" s="41" t="inlineStr">
        <is>
          <t>AreaCode</t>
        </is>
      </c>
      <c r="C10159" s="129" t="inlineStr">
        <is>
          <t>地区代码</t>
        </is>
      </c>
      <c r="D10159" s="21" t="n">
        <v>130125</v>
      </c>
      <c r="E10159" s="21" t="inlineStr">
        <is>
          <t>河北省石家庄市行唐县</t>
        </is>
      </c>
    </row>
    <row r="10160">
      <c r="B10160" s="41" t="inlineStr">
        <is>
          <t>AreaCode</t>
        </is>
      </c>
      <c r="C10160" s="129" t="inlineStr">
        <is>
          <t>地区代码</t>
        </is>
      </c>
      <c r="D10160" s="21" t="n">
        <v>130126</v>
      </c>
      <c r="E10160" s="21" t="inlineStr">
        <is>
          <t>河北省石家庄市灵寿县</t>
        </is>
      </c>
    </row>
    <row r="10161">
      <c r="B10161" s="41" t="inlineStr">
        <is>
          <t>AreaCode</t>
        </is>
      </c>
      <c r="C10161" s="129" t="inlineStr">
        <is>
          <t>地区代码</t>
        </is>
      </c>
      <c r="D10161" s="21" t="n">
        <v>130127</v>
      </c>
      <c r="E10161" s="21" t="inlineStr">
        <is>
          <t>河北省石家庄市高邑县</t>
        </is>
      </c>
    </row>
    <row r="10162">
      <c r="B10162" s="41" t="inlineStr">
        <is>
          <t>AreaCode</t>
        </is>
      </c>
      <c r="C10162" s="129" t="inlineStr">
        <is>
          <t>地区代码</t>
        </is>
      </c>
      <c r="D10162" s="21" t="n">
        <v>130128</v>
      </c>
      <c r="E10162" s="21" t="inlineStr">
        <is>
          <t>河北省石家庄市深泽县</t>
        </is>
      </c>
    </row>
    <row r="10163">
      <c r="B10163" s="41" t="inlineStr">
        <is>
          <t>AreaCode</t>
        </is>
      </c>
      <c r="C10163" s="129" t="inlineStr">
        <is>
          <t>地区代码</t>
        </is>
      </c>
      <c r="D10163" s="21" t="n">
        <v>130129</v>
      </c>
      <c r="E10163" s="21" t="inlineStr">
        <is>
          <t>河北省石家庄市赞皇县</t>
        </is>
      </c>
    </row>
    <row r="10164">
      <c r="B10164" s="41" t="inlineStr">
        <is>
          <t>AreaCode</t>
        </is>
      </c>
      <c r="C10164" s="129" t="inlineStr">
        <is>
          <t>地区代码</t>
        </is>
      </c>
      <c r="D10164" s="21" t="n">
        <v>130130</v>
      </c>
      <c r="E10164" s="21" t="inlineStr">
        <is>
          <t>河北省石家庄市无极县</t>
        </is>
      </c>
    </row>
    <row r="10165">
      <c r="B10165" s="41" t="inlineStr">
        <is>
          <t>AreaCode</t>
        </is>
      </c>
      <c r="C10165" s="129" t="inlineStr">
        <is>
          <t>地区代码</t>
        </is>
      </c>
      <c r="D10165" s="21" t="n">
        <v>130131</v>
      </c>
      <c r="E10165" s="21" t="inlineStr">
        <is>
          <t>河北省石家庄市平山县</t>
        </is>
      </c>
    </row>
    <row r="10166">
      <c r="B10166" s="41" t="inlineStr">
        <is>
          <t>AreaCode</t>
        </is>
      </c>
      <c r="C10166" s="129" t="inlineStr">
        <is>
          <t>地区代码</t>
        </is>
      </c>
      <c r="D10166" s="21" t="n">
        <v>130132</v>
      </c>
      <c r="E10166" s="21" t="inlineStr">
        <is>
          <t>河北省石家庄市元氏县</t>
        </is>
      </c>
    </row>
    <row r="10167">
      <c r="B10167" s="41" t="inlineStr">
        <is>
          <t>AreaCode</t>
        </is>
      </c>
      <c r="C10167" s="129" t="inlineStr">
        <is>
          <t>地区代码</t>
        </is>
      </c>
      <c r="D10167" s="21" t="n">
        <v>130133</v>
      </c>
      <c r="E10167" s="21" t="inlineStr">
        <is>
          <t>河北省石家庄市赵县</t>
        </is>
      </c>
    </row>
    <row r="10168">
      <c r="B10168" s="41" t="inlineStr">
        <is>
          <t>AreaCode</t>
        </is>
      </c>
      <c r="C10168" s="129" t="inlineStr">
        <is>
          <t>地区代码</t>
        </is>
      </c>
      <c r="D10168" s="21" t="n">
        <v>130183</v>
      </c>
      <c r="E10168" s="21" t="inlineStr">
        <is>
          <t>河北省石家庄市晋州市</t>
        </is>
      </c>
    </row>
    <row r="10169">
      <c r="B10169" s="41" t="inlineStr">
        <is>
          <t>AreaCode</t>
        </is>
      </c>
      <c r="C10169" s="129" t="inlineStr">
        <is>
          <t>地区代码</t>
        </is>
      </c>
      <c r="D10169" s="21" t="n">
        <v>130184</v>
      </c>
      <c r="E10169" s="21" t="inlineStr">
        <is>
          <t>河北省石家庄市新乐市</t>
        </is>
      </c>
    </row>
    <row r="10170">
      <c r="B10170" s="41" t="inlineStr">
        <is>
          <t>AreaCode</t>
        </is>
      </c>
      <c r="C10170" s="129" t="inlineStr">
        <is>
          <t>地区代码</t>
        </is>
      </c>
      <c r="D10170" s="21" t="n">
        <v>130200</v>
      </c>
      <c r="E10170" s="21" t="inlineStr">
        <is>
          <t>河北省唐山市</t>
        </is>
      </c>
    </row>
    <row r="10171">
      <c r="B10171" s="41" t="inlineStr">
        <is>
          <t>AreaCode</t>
        </is>
      </c>
      <c r="C10171" s="129" t="inlineStr">
        <is>
          <t>地区代码</t>
        </is>
      </c>
      <c r="D10171" s="21" t="n">
        <v>130201</v>
      </c>
      <c r="E10171" s="21" t="inlineStr">
        <is>
          <t>河北省唐山市市辖区</t>
        </is>
      </c>
    </row>
    <row r="10172">
      <c r="B10172" s="41" t="inlineStr">
        <is>
          <t>AreaCode</t>
        </is>
      </c>
      <c r="C10172" s="129" t="inlineStr">
        <is>
          <t>地区代码</t>
        </is>
      </c>
      <c r="D10172" s="21" t="n">
        <v>130202</v>
      </c>
      <c r="E10172" s="21" t="inlineStr">
        <is>
          <t>河北省唐山市路南区</t>
        </is>
      </c>
    </row>
    <row r="10173">
      <c r="B10173" s="41" t="inlineStr">
        <is>
          <t>AreaCode</t>
        </is>
      </c>
      <c r="C10173" s="129" t="inlineStr">
        <is>
          <t>地区代码</t>
        </is>
      </c>
      <c r="D10173" s="21" t="n">
        <v>130203</v>
      </c>
      <c r="E10173" s="21" t="inlineStr">
        <is>
          <t>河北省唐山市路北区</t>
        </is>
      </c>
    </row>
    <row r="10174">
      <c r="B10174" s="41" t="inlineStr">
        <is>
          <t>AreaCode</t>
        </is>
      </c>
      <c r="C10174" s="129" t="inlineStr">
        <is>
          <t>地区代码</t>
        </is>
      </c>
      <c r="D10174" s="21" t="n">
        <v>130204</v>
      </c>
      <c r="E10174" s="21" t="inlineStr">
        <is>
          <t>河北省唐山市古冶区</t>
        </is>
      </c>
    </row>
    <row r="10175">
      <c r="B10175" s="41" t="inlineStr">
        <is>
          <t>AreaCode</t>
        </is>
      </c>
      <c r="C10175" s="129" t="inlineStr">
        <is>
          <t>地区代码</t>
        </is>
      </c>
      <c r="D10175" s="21" t="n">
        <v>130205</v>
      </c>
      <c r="E10175" s="21" t="inlineStr">
        <is>
          <t>河北省唐山市开平区</t>
        </is>
      </c>
    </row>
    <row r="10176">
      <c r="B10176" s="41" t="inlineStr">
        <is>
          <t>AreaCode</t>
        </is>
      </c>
      <c r="C10176" s="129" t="inlineStr">
        <is>
          <t>地区代码</t>
        </is>
      </c>
      <c r="D10176" s="21" t="n">
        <v>130207</v>
      </c>
      <c r="E10176" s="21" t="inlineStr">
        <is>
          <t>河北省唐山市丰南区</t>
        </is>
      </c>
    </row>
    <row r="10177">
      <c r="B10177" s="41" t="inlineStr">
        <is>
          <t>AreaCode</t>
        </is>
      </c>
      <c r="C10177" s="129" t="inlineStr">
        <is>
          <t>地区代码</t>
        </is>
      </c>
      <c r="D10177" s="21" t="n">
        <v>130208</v>
      </c>
      <c r="E10177" s="21" t="inlineStr">
        <is>
          <t>河北省唐山市丰润区</t>
        </is>
      </c>
    </row>
    <row r="10178">
      <c r="B10178" s="41" t="inlineStr">
        <is>
          <t>AreaCode</t>
        </is>
      </c>
      <c r="C10178" s="129" t="inlineStr">
        <is>
          <t>地区代码</t>
        </is>
      </c>
      <c r="D10178" s="21" t="n">
        <v>130209</v>
      </c>
      <c r="E10178" s="21" t="inlineStr">
        <is>
          <t>河北省唐山市曹妃甸区</t>
        </is>
      </c>
    </row>
    <row r="10179">
      <c r="B10179" s="41" t="inlineStr">
        <is>
          <t>AreaCode</t>
        </is>
      </c>
      <c r="C10179" s="129" t="inlineStr">
        <is>
          <t>地区代码</t>
        </is>
      </c>
      <c r="D10179" s="21" t="n">
        <v>130223</v>
      </c>
      <c r="E10179" s="21" t="inlineStr">
        <is>
          <t>河北省唐山市滦县</t>
        </is>
      </c>
    </row>
    <row r="10180">
      <c r="B10180" s="41" t="inlineStr">
        <is>
          <t>AreaCode</t>
        </is>
      </c>
      <c r="C10180" s="129" t="inlineStr">
        <is>
          <t>地区代码</t>
        </is>
      </c>
      <c r="D10180" s="21" t="n">
        <v>130224</v>
      </c>
      <c r="E10180" s="21" t="inlineStr">
        <is>
          <t>河北省唐山市滦南县</t>
        </is>
      </c>
    </row>
    <row r="10181">
      <c r="B10181" s="41" t="inlineStr">
        <is>
          <t>AreaCode</t>
        </is>
      </c>
      <c r="C10181" s="129" t="inlineStr">
        <is>
          <t>地区代码</t>
        </is>
      </c>
      <c r="D10181" s="21" t="n">
        <v>130225</v>
      </c>
      <c r="E10181" s="21" t="inlineStr">
        <is>
          <t>河北省唐山市乐亭县</t>
        </is>
      </c>
    </row>
    <row r="10182">
      <c r="B10182" s="41" t="inlineStr">
        <is>
          <t>AreaCode</t>
        </is>
      </c>
      <c r="C10182" s="129" t="inlineStr">
        <is>
          <t>地区代码</t>
        </is>
      </c>
      <c r="D10182" s="21" t="n">
        <v>130227</v>
      </c>
      <c r="E10182" s="21" t="inlineStr">
        <is>
          <t>河北省唐山市迁西县</t>
        </is>
      </c>
    </row>
    <row r="10183">
      <c r="B10183" s="41" t="inlineStr">
        <is>
          <t>AreaCode</t>
        </is>
      </c>
      <c r="C10183" s="129" t="inlineStr">
        <is>
          <t>地区代码</t>
        </is>
      </c>
      <c r="D10183" s="21" t="n">
        <v>130229</v>
      </c>
      <c r="E10183" s="21" t="inlineStr">
        <is>
          <t>河北省唐山市玉田县</t>
        </is>
      </c>
    </row>
    <row r="10184">
      <c r="B10184" s="41" t="inlineStr">
        <is>
          <t>AreaCode</t>
        </is>
      </c>
      <c r="C10184" s="129" t="inlineStr">
        <is>
          <t>地区代码</t>
        </is>
      </c>
      <c r="D10184" s="21" t="n">
        <v>130281</v>
      </c>
      <c r="E10184" s="21" t="inlineStr">
        <is>
          <t>河北省唐山市遵化市</t>
        </is>
      </c>
    </row>
    <row r="10185">
      <c r="B10185" s="41" t="inlineStr">
        <is>
          <t>AreaCode</t>
        </is>
      </c>
      <c r="C10185" s="129" t="inlineStr">
        <is>
          <t>地区代码</t>
        </is>
      </c>
      <c r="D10185" s="21" t="n">
        <v>130283</v>
      </c>
      <c r="E10185" s="21" t="inlineStr">
        <is>
          <t>河北省唐山市迁安市</t>
        </is>
      </c>
    </row>
    <row r="10186">
      <c r="B10186" s="41" t="inlineStr">
        <is>
          <t>AreaCode</t>
        </is>
      </c>
      <c r="C10186" s="129" t="inlineStr">
        <is>
          <t>地区代码</t>
        </is>
      </c>
      <c r="D10186" s="21" t="n">
        <v>130300</v>
      </c>
      <c r="E10186" s="21" t="inlineStr">
        <is>
          <t>河北省秦皇岛市</t>
        </is>
      </c>
    </row>
    <row r="10187">
      <c r="B10187" s="41" t="inlineStr">
        <is>
          <t>AreaCode</t>
        </is>
      </c>
      <c r="C10187" s="129" t="inlineStr">
        <is>
          <t>地区代码</t>
        </is>
      </c>
      <c r="D10187" s="21" t="n">
        <v>130301</v>
      </c>
      <c r="E10187" s="21" t="inlineStr">
        <is>
          <t>河北省秦皇岛市市辖区</t>
        </is>
      </c>
    </row>
    <row r="10188">
      <c r="B10188" s="41" t="inlineStr">
        <is>
          <t>AreaCode</t>
        </is>
      </c>
      <c r="C10188" s="129" t="inlineStr">
        <is>
          <t>地区代码</t>
        </is>
      </c>
      <c r="D10188" s="21" t="n">
        <v>130302</v>
      </c>
      <c r="E10188" s="21" t="inlineStr">
        <is>
          <t>河北省秦皇岛市海港区</t>
        </is>
      </c>
    </row>
    <row r="10189">
      <c r="B10189" s="41" t="inlineStr">
        <is>
          <t>AreaCode</t>
        </is>
      </c>
      <c r="C10189" s="129" t="inlineStr">
        <is>
          <t>地区代码</t>
        </is>
      </c>
      <c r="D10189" s="21" t="n">
        <v>130303</v>
      </c>
      <c r="E10189" s="21" t="inlineStr">
        <is>
          <t>河北省秦皇岛市山海关区</t>
        </is>
      </c>
    </row>
    <row r="10190">
      <c r="B10190" s="41" t="inlineStr">
        <is>
          <t>AreaCode</t>
        </is>
      </c>
      <c r="C10190" s="129" t="inlineStr">
        <is>
          <t>地区代码</t>
        </is>
      </c>
      <c r="D10190" s="21" t="n">
        <v>130304</v>
      </c>
      <c r="E10190" s="21" t="inlineStr">
        <is>
          <t>河北省秦皇岛市北戴河区</t>
        </is>
      </c>
    </row>
    <row r="10191">
      <c r="B10191" s="41" t="inlineStr">
        <is>
          <t>AreaCode</t>
        </is>
      </c>
      <c r="C10191" s="129" t="inlineStr">
        <is>
          <t>地区代码</t>
        </is>
      </c>
      <c r="D10191" s="21" t="n">
        <v>130321</v>
      </c>
      <c r="E10191" s="21" t="inlineStr">
        <is>
          <t>河北省秦皇岛市青龙满族自治县</t>
        </is>
      </c>
    </row>
    <row r="10192">
      <c r="B10192" s="41" t="inlineStr">
        <is>
          <t>AreaCode</t>
        </is>
      </c>
      <c r="C10192" s="129" t="inlineStr">
        <is>
          <t>地区代码</t>
        </is>
      </c>
      <c r="D10192" s="21" t="n">
        <v>130322</v>
      </c>
      <c r="E10192" s="21" t="inlineStr">
        <is>
          <t>河北省秦皇岛市昌黎县</t>
        </is>
      </c>
    </row>
    <row r="10193">
      <c r="B10193" s="41" t="inlineStr">
        <is>
          <t>AreaCode</t>
        </is>
      </c>
      <c r="C10193" s="129" t="inlineStr">
        <is>
          <t>地区代码</t>
        </is>
      </c>
      <c r="D10193" s="21" t="n">
        <v>130323</v>
      </c>
      <c r="E10193" s="21" t="inlineStr">
        <is>
          <t>河北省秦皇岛市抚宁县</t>
        </is>
      </c>
    </row>
    <row r="10194">
      <c r="B10194" s="41" t="inlineStr">
        <is>
          <t>AreaCode</t>
        </is>
      </c>
      <c r="C10194" s="129" t="inlineStr">
        <is>
          <t>地区代码</t>
        </is>
      </c>
      <c r="D10194" s="21" t="n">
        <v>130324</v>
      </c>
      <c r="E10194" s="21" t="inlineStr">
        <is>
          <t>河北省秦皇岛市卢龙县</t>
        </is>
      </c>
    </row>
    <row r="10195">
      <c r="B10195" s="41" t="inlineStr">
        <is>
          <t>AreaCode</t>
        </is>
      </c>
      <c r="C10195" s="129" t="inlineStr">
        <is>
          <t>地区代码</t>
        </is>
      </c>
      <c r="D10195" s="21" t="n">
        <v>130400</v>
      </c>
      <c r="E10195" s="21" t="inlineStr">
        <is>
          <t>河北省邯郸市</t>
        </is>
      </c>
    </row>
    <row r="10196">
      <c r="B10196" s="41" t="inlineStr">
        <is>
          <t>AreaCode</t>
        </is>
      </c>
      <c r="C10196" s="129" t="inlineStr">
        <is>
          <t>地区代码</t>
        </is>
      </c>
      <c r="D10196" s="21" t="n">
        <v>130401</v>
      </c>
      <c r="E10196" s="21" t="inlineStr">
        <is>
          <t>河北省邯郸市市辖区</t>
        </is>
      </c>
    </row>
    <row r="10197">
      <c r="B10197" s="41" t="inlineStr">
        <is>
          <t>AreaCode</t>
        </is>
      </c>
      <c r="C10197" s="129" t="inlineStr">
        <is>
          <t>地区代码</t>
        </is>
      </c>
      <c r="D10197" s="21" t="n">
        <v>130402</v>
      </c>
      <c r="E10197" s="21" t="inlineStr">
        <is>
          <t>河北省邯郸市邯山区</t>
        </is>
      </c>
    </row>
    <row r="10198">
      <c r="B10198" s="41" t="inlineStr">
        <is>
          <t>AreaCode</t>
        </is>
      </c>
      <c r="C10198" s="129" t="inlineStr">
        <is>
          <t>地区代码</t>
        </is>
      </c>
      <c r="D10198" s="21" t="n">
        <v>130403</v>
      </c>
      <c r="E10198" s="21" t="inlineStr">
        <is>
          <t>河北省邯郸市丛台区</t>
        </is>
      </c>
    </row>
    <row r="10199">
      <c r="B10199" s="41" t="inlineStr">
        <is>
          <t>AreaCode</t>
        </is>
      </c>
      <c r="C10199" s="129" t="inlineStr">
        <is>
          <t>地区代码</t>
        </is>
      </c>
      <c r="D10199" s="21" t="n">
        <v>130404</v>
      </c>
      <c r="E10199" s="21" t="inlineStr">
        <is>
          <t>河北省邯郸市复兴区</t>
        </is>
      </c>
    </row>
    <row r="10200">
      <c r="B10200" s="41" t="inlineStr">
        <is>
          <t>AreaCode</t>
        </is>
      </c>
      <c r="C10200" s="129" t="inlineStr">
        <is>
          <t>地区代码</t>
        </is>
      </c>
      <c r="D10200" s="21" t="n">
        <v>130406</v>
      </c>
      <c r="E10200" s="21" t="inlineStr">
        <is>
          <t>河北省邯郸市峰峰矿区</t>
        </is>
      </c>
    </row>
    <row r="10201">
      <c r="B10201" s="41" t="inlineStr">
        <is>
          <t>AreaCode</t>
        </is>
      </c>
      <c r="C10201" s="129" t="inlineStr">
        <is>
          <t>地区代码</t>
        </is>
      </c>
      <c r="D10201" s="21" t="n">
        <v>130421</v>
      </c>
      <c r="E10201" s="21" t="inlineStr">
        <is>
          <t>河北省邯郸市邯郸县</t>
        </is>
      </c>
    </row>
    <row r="10202">
      <c r="B10202" s="41" t="inlineStr">
        <is>
          <t>AreaCode</t>
        </is>
      </c>
      <c r="C10202" s="129" t="inlineStr">
        <is>
          <t>地区代码</t>
        </is>
      </c>
      <c r="D10202" s="21" t="n">
        <v>130423</v>
      </c>
      <c r="E10202" s="21" t="inlineStr">
        <is>
          <t>河北省邯郸市临漳县</t>
        </is>
      </c>
    </row>
    <row r="10203">
      <c r="B10203" s="41" t="inlineStr">
        <is>
          <t>AreaCode</t>
        </is>
      </c>
      <c r="C10203" s="129" t="inlineStr">
        <is>
          <t>地区代码</t>
        </is>
      </c>
      <c r="D10203" s="21" t="n">
        <v>130424</v>
      </c>
      <c r="E10203" s="21" t="inlineStr">
        <is>
          <t>河北省邯郸市成安县</t>
        </is>
      </c>
    </row>
    <row r="10204">
      <c r="B10204" s="41" t="inlineStr">
        <is>
          <t>AreaCode</t>
        </is>
      </c>
      <c r="C10204" s="129" t="inlineStr">
        <is>
          <t>地区代码</t>
        </is>
      </c>
      <c r="D10204" s="21" t="n">
        <v>130425</v>
      </c>
      <c r="E10204" s="21" t="inlineStr">
        <is>
          <t>河北省邯郸市大名县</t>
        </is>
      </c>
    </row>
    <row r="10205">
      <c r="B10205" s="41" t="inlineStr">
        <is>
          <t>AreaCode</t>
        </is>
      </c>
      <c r="C10205" s="129" t="inlineStr">
        <is>
          <t>地区代码</t>
        </is>
      </c>
      <c r="D10205" s="21" t="n">
        <v>130426</v>
      </c>
      <c r="E10205" s="21" t="inlineStr">
        <is>
          <t>河北省邯郸市涉县</t>
        </is>
      </c>
    </row>
    <row r="10206">
      <c r="B10206" s="41" t="inlineStr">
        <is>
          <t>AreaCode</t>
        </is>
      </c>
      <c r="C10206" s="129" t="inlineStr">
        <is>
          <t>地区代码</t>
        </is>
      </c>
      <c r="D10206" s="21" t="n">
        <v>130427</v>
      </c>
      <c r="E10206" s="21" t="inlineStr">
        <is>
          <t>河北省邯郸市磁县</t>
        </is>
      </c>
    </row>
    <row r="10207">
      <c r="B10207" s="41" t="inlineStr">
        <is>
          <t>AreaCode</t>
        </is>
      </c>
      <c r="C10207" s="129" t="inlineStr">
        <is>
          <t>地区代码</t>
        </is>
      </c>
      <c r="D10207" s="21" t="n">
        <v>130428</v>
      </c>
      <c r="E10207" s="21" t="inlineStr">
        <is>
          <t>河北省邯郸市肥乡县</t>
        </is>
      </c>
    </row>
    <row r="10208">
      <c r="B10208" s="41" t="inlineStr">
        <is>
          <t>AreaCode</t>
        </is>
      </c>
      <c r="C10208" s="129" t="inlineStr">
        <is>
          <t>地区代码</t>
        </is>
      </c>
      <c r="D10208" s="21" t="n">
        <v>130429</v>
      </c>
      <c r="E10208" s="21" t="inlineStr">
        <is>
          <t>河北省邯郸市永年县</t>
        </is>
      </c>
    </row>
    <row r="10209">
      <c r="B10209" s="41" t="inlineStr">
        <is>
          <t>AreaCode</t>
        </is>
      </c>
      <c r="C10209" s="129" t="inlineStr">
        <is>
          <t>地区代码</t>
        </is>
      </c>
      <c r="D10209" s="21" t="n">
        <v>130430</v>
      </c>
      <c r="E10209" s="21" t="inlineStr">
        <is>
          <t>河北省邯郸市邱县</t>
        </is>
      </c>
    </row>
    <row r="10210">
      <c r="B10210" s="41" t="inlineStr">
        <is>
          <t>AreaCode</t>
        </is>
      </c>
      <c r="C10210" s="129" t="inlineStr">
        <is>
          <t>地区代码</t>
        </is>
      </c>
      <c r="D10210" s="21" t="n">
        <v>130431</v>
      </c>
      <c r="E10210" s="21" t="inlineStr">
        <is>
          <t>河北省邯郸市鸡泽县</t>
        </is>
      </c>
    </row>
    <row r="10211">
      <c r="B10211" s="41" t="inlineStr">
        <is>
          <t>AreaCode</t>
        </is>
      </c>
      <c r="C10211" s="129" t="inlineStr">
        <is>
          <t>地区代码</t>
        </is>
      </c>
      <c r="D10211" s="21" t="n">
        <v>130432</v>
      </c>
      <c r="E10211" s="21" t="inlineStr">
        <is>
          <t>河北省邯郸市广平县</t>
        </is>
      </c>
    </row>
    <row r="10212">
      <c r="B10212" s="41" t="inlineStr">
        <is>
          <t>AreaCode</t>
        </is>
      </c>
      <c r="C10212" s="129" t="inlineStr">
        <is>
          <t>地区代码</t>
        </is>
      </c>
      <c r="D10212" s="21" t="n">
        <v>130433</v>
      </c>
      <c r="E10212" s="21" t="inlineStr">
        <is>
          <t>河北省邯郸市馆陶县</t>
        </is>
      </c>
    </row>
    <row r="10213">
      <c r="B10213" s="41" t="inlineStr">
        <is>
          <t>AreaCode</t>
        </is>
      </c>
      <c r="C10213" s="129" t="inlineStr">
        <is>
          <t>地区代码</t>
        </is>
      </c>
      <c r="D10213" s="21" t="n">
        <v>130434</v>
      </c>
      <c r="E10213" s="21" t="inlineStr">
        <is>
          <t>河北省邯郸市魏县</t>
        </is>
      </c>
    </row>
    <row r="10214">
      <c r="B10214" s="41" t="inlineStr">
        <is>
          <t>AreaCode</t>
        </is>
      </c>
      <c r="C10214" s="129" t="inlineStr">
        <is>
          <t>地区代码</t>
        </is>
      </c>
      <c r="D10214" s="21" t="n">
        <v>130435</v>
      </c>
      <c r="E10214" s="21" t="inlineStr">
        <is>
          <t>河北省邯郸市曲周县</t>
        </is>
      </c>
    </row>
    <row r="10215">
      <c r="B10215" s="41" t="inlineStr">
        <is>
          <t>AreaCode</t>
        </is>
      </c>
      <c r="C10215" s="129" t="inlineStr">
        <is>
          <t>地区代码</t>
        </is>
      </c>
      <c r="D10215" s="21" t="n">
        <v>130481</v>
      </c>
      <c r="E10215" s="21" t="inlineStr">
        <is>
          <t>河北省邯郸市武安市</t>
        </is>
      </c>
    </row>
    <row r="10216">
      <c r="B10216" s="41" t="inlineStr">
        <is>
          <t>AreaCode</t>
        </is>
      </c>
      <c r="C10216" s="129" t="inlineStr">
        <is>
          <t>地区代码</t>
        </is>
      </c>
      <c r="D10216" s="21" t="n">
        <v>130500</v>
      </c>
      <c r="E10216" s="21" t="inlineStr">
        <is>
          <t>河北省邢台市</t>
        </is>
      </c>
    </row>
    <row r="10217">
      <c r="B10217" s="41" t="inlineStr">
        <is>
          <t>AreaCode</t>
        </is>
      </c>
      <c r="C10217" s="129" t="inlineStr">
        <is>
          <t>地区代码</t>
        </is>
      </c>
      <c r="D10217" s="21" t="n">
        <v>130501</v>
      </c>
      <c r="E10217" s="21" t="inlineStr">
        <is>
          <t>河北省邢台市市辖区</t>
        </is>
      </c>
    </row>
    <row r="10218">
      <c r="B10218" s="41" t="inlineStr">
        <is>
          <t>AreaCode</t>
        </is>
      </c>
      <c r="C10218" s="129" t="inlineStr">
        <is>
          <t>地区代码</t>
        </is>
      </c>
      <c r="D10218" s="21" t="n">
        <v>130502</v>
      </c>
      <c r="E10218" s="21" t="inlineStr">
        <is>
          <t>河北省邢台市桥东区</t>
        </is>
      </c>
    </row>
    <row r="10219">
      <c r="B10219" s="41" t="inlineStr">
        <is>
          <t>AreaCode</t>
        </is>
      </c>
      <c r="C10219" s="129" t="inlineStr">
        <is>
          <t>地区代码</t>
        </is>
      </c>
      <c r="D10219" s="21" t="n">
        <v>130503</v>
      </c>
      <c r="E10219" s="21" t="inlineStr">
        <is>
          <t>河北省邢台市桥西区</t>
        </is>
      </c>
    </row>
    <row r="10220">
      <c r="B10220" s="41" t="inlineStr">
        <is>
          <t>AreaCode</t>
        </is>
      </c>
      <c r="C10220" s="129" t="inlineStr">
        <is>
          <t>地区代码</t>
        </is>
      </c>
      <c r="D10220" s="21" t="n">
        <v>130521</v>
      </c>
      <c r="E10220" s="21" t="inlineStr">
        <is>
          <t>河北省邢台市邢台县</t>
        </is>
      </c>
    </row>
    <row r="10221">
      <c r="B10221" s="41" t="inlineStr">
        <is>
          <t>AreaCode</t>
        </is>
      </c>
      <c r="C10221" s="129" t="inlineStr">
        <is>
          <t>地区代码</t>
        </is>
      </c>
      <c r="D10221" s="21" t="n">
        <v>130522</v>
      </c>
      <c r="E10221" s="21" t="inlineStr">
        <is>
          <t>河北省邢台市临城县</t>
        </is>
      </c>
    </row>
    <row r="10222">
      <c r="B10222" s="41" t="inlineStr">
        <is>
          <t>AreaCode</t>
        </is>
      </c>
      <c r="C10222" s="129" t="inlineStr">
        <is>
          <t>地区代码</t>
        </is>
      </c>
      <c r="D10222" s="21" t="n">
        <v>130523</v>
      </c>
      <c r="E10222" s="21" t="inlineStr">
        <is>
          <t>河北省邢台市内丘县</t>
        </is>
      </c>
    </row>
    <row r="10223">
      <c r="B10223" s="41" t="inlineStr">
        <is>
          <t>AreaCode</t>
        </is>
      </c>
      <c r="C10223" s="129" t="inlineStr">
        <is>
          <t>地区代码</t>
        </is>
      </c>
      <c r="D10223" s="21" t="n">
        <v>130524</v>
      </c>
      <c r="E10223" s="21" t="inlineStr">
        <is>
          <t>河北省邢台市柏乡县</t>
        </is>
      </c>
    </row>
    <row r="10224">
      <c r="B10224" s="41" t="inlineStr">
        <is>
          <t>AreaCode</t>
        </is>
      </c>
      <c r="C10224" s="129" t="inlineStr">
        <is>
          <t>地区代码</t>
        </is>
      </c>
      <c r="D10224" s="21" t="n">
        <v>130525</v>
      </c>
      <c r="E10224" s="21" t="inlineStr">
        <is>
          <t>河北省邢台市隆尧县</t>
        </is>
      </c>
    </row>
    <row r="10225">
      <c r="B10225" s="41" t="inlineStr">
        <is>
          <t>AreaCode</t>
        </is>
      </c>
      <c r="C10225" s="129" t="inlineStr">
        <is>
          <t>地区代码</t>
        </is>
      </c>
      <c r="D10225" s="21" t="n">
        <v>130526</v>
      </c>
      <c r="E10225" s="21" t="inlineStr">
        <is>
          <t>河北省邢台市任县</t>
        </is>
      </c>
    </row>
    <row r="10226">
      <c r="B10226" s="41" t="inlineStr">
        <is>
          <t>AreaCode</t>
        </is>
      </c>
      <c r="C10226" s="129" t="inlineStr">
        <is>
          <t>地区代码</t>
        </is>
      </c>
      <c r="D10226" s="21" t="n">
        <v>130527</v>
      </c>
      <c r="E10226" s="21" t="inlineStr">
        <is>
          <t>河北省邢台市南和县</t>
        </is>
      </c>
    </row>
    <row r="10227">
      <c r="B10227" s="41" t="inlineStr">
        <is>
          <t>AreaCode</t>
        </is>
      </c>
      <c r="C10227" s="129" t="inlineStr">
        <is>
          <t>地区代码</t>
        </is>
      </c>
      <c r="D10227" s="21" t="n">
        <v>130528</v>
      </c>
      <c r="E10227" s="21" t="inlineStr">
        <is>
          <t>河北省邢台市宁晋县</t>
        </is>
      </c>
    </row>
    <row r="10228">
      <c r="B10228" s="41" t="inlineStr">
        <is>
          <t>AreaCode</t>
        </is>
      </c>
      <c r="C10228" s="129" t="inlineStr">
        <is>
          <t>地区代码</t>
        </is>
      </c>
      <c r="D10228" s="21" t="n">
        <v>130529</v>
      </c>
      <c r="E10228" s="21" t="inlineStr">
        <is>
          <t>河北省邢台市巨鹿县</t>
        </is>
      </c>
    </row>
    <row r="10229">
      <c r="B10229" s="41" t="inlineStr">
        <is>
          <t>AreaCode</t>
        </is>
      </c>
      <c r="C10229" s="129" t="inlineStr">
        <is>
          <t>地区代码</t>
        </is>
      </c>
      <c r="D10229" s="21" t="n">
        <v>130530</v>
      </c>
      <c r="E10229" s="21" t="inlineStr">
        <is>
          <t>河北省邢台市新河县</t>
        </is>
      </c>
    </row>
    <row r="10230">
      <c r="B10230" s="41" t="inlineStr">
        <is>
          <t>AreaCode</t>
        </is>
      </c>
      <c r="C10230" s="129" t="inlineStr">
        <is>
          <t>地区代码</t>
        </is>
      </c>
      <c r="D10230" s="21" t="n">
        <v>130531</v>
      </c>
      <c r="E10230" s="21" t="inlineStr">
        <is>
          <t>河北省邢台市广宗县</t>
        </is>
      </c>
    </row>
    <row r="10231">
      <c r="B10231" s="41" t="inlineStr">
        <is>
          <t>AreaCode</t>
        </is>
      </c>
      <c r="C10231" s="129" t="inlineStr">
        <is>
          <t>地区代码</t>
        </is>
      </c>
      <c r="D10231" s="21" t="n">
        <v>130532</v>
      </c>
      <c r="E10231" s="21" t="inlineStr">
        <is>
          <t>河北省邢台市平乡县</t>
        </is>
      </c>
    </row>
    <row r="10232">
      <c r="B10232" s="41" t="inlineStr">
        <is>
          <t>AreaCode</t>
        </is>
      </c>
      <c r="C10232" s="129" t="inlineStr">
        <is>
          <t>地区代码</t>
        </is>
      </c>
      <c r="D10232" s="21" t="n">
        <v>130533</v>
      </c>
      <c r="E10232" s="21" t="inlineStr">
        <is>
          <t>河北省邢台市威县</t>
        </is>
      </c>
    </row>
    <row r="10233">
      <c r="B10233" s="41" t="inlineStr">
        <is>
          <t>AreaCode</t>
        </is>
      </c>
      <c r="C10233" s="129" t="inlineStr">
        <is>
          <t>地区代码</t>
        </is>
      </c>
      <c r="D10233" s="21" t="n">
        <v>130534</v>
      </c>
      <c r="E10233" s="21" t="inlineStr">
        <is>
          <t>河北省邢台市清河县</t>
        </is>
      </c>
    </row>
    <row r="10234">
      <c r="B10234" s="41" t="inlineStr">
        <is>
          <t>AreaCode</t>
        </is>
      </c>
      <c r="C10234" s="129" t="inlineStr">
        <is>
          <t>地区代码</t>
        </is>
      </c>
      <c r="D10234" s="21" t="n">
        <v>130535</v>
      </c>
      <c r="E10234" s="21" t="inlineStr">
        <is>
          <t>河北省邢台市临西县</t>
        </is>
      </c>
    </row>
    <row r="10235">
      <c r="B10235" s="41" t="inlineStr">
        <is>
          <t>AreaCode</t>
        </is>
      </c>
      <c r="C10235" s="129" t="inlineStr">
        <is>
          <t>地区代码</t>
        </is>
      </c>
      <c r="D10235" s="21" t="n">
        <v>130581</v>
      </c>
      <c r="E10235" s="21" t="inlineStr">
        <is>
          <t>河北省邢台市南宫市</t>
        </is>
      </c>
    </row>
    <row r="10236">
      <c r="B10236" s="41" t="inlineStr">
        <is>
          <t>AreaCode</t>
        </is>
      </c>
      <c r="C10236" s="129" t="inlineStr">
        <is>
          <t>地区代码</t>
        </is>
      </c>
      <c r="D10236" s="21" t="n">
        <v>130582</v>
      </c>
      <c r="E10236" s="21" t="inlineStr">
        <is>
          <t>河北省邢台市沙河市</t>
        </is>
      </c>
    </row>
    <row r="10237">
      <c r="B10237" s="41" t="inlineStr">
        <is>
          <t>AreaCode</t>
        </is>
      </c>
      <c r="C10237" s="129" t="inlineStr">
        <is>
          <t>地区代码</t>
        </is>
      </c>
      <c r="D10237" s="21" t="n">
        <v>130600</v>
      </c>
      <c r="E10237" s="21" t="inlineStr">
        <is>
          <t>河北省保定市</t>
        </is>
      </c>
    </row>
    <row r="10238">
      <c r="B10238" s="41" t="inlineStr">
        <is>
          <t>AreaCode</t>
        </is>
      </c>
      <c r="C10238" s="129" t="inlineStr">
        <is>
          <t>地区代码</t>
        </is>
      </c>
      <c r="D10238" s="21" t="n">
        <v>130601</v>
      </c>
      <c r="E10238" s="21" t="inlineStr">
        <is>
          <t>河北省保定市市辖区</t>
        </is>
      </c>
    </row>
    <row r="10239">
      <c r="B10239" s="41" t="inlineStr">
        <is>
          <t>AreaCode</t>
        </is>
      </c>
      <c r="C10239" s="129" t="inlineStr">
        <is>
          <t>地区代码</t>
        </is>
      </c>
      <c r="D10239" s="21" t="n">
        <v>130602</v>
      </c>
      <c r="E10239" s="21" t="inlineStr">
        <is>
          <t>河北省保定市新市区</t>
        </is>
      </c>
    </row>
    <row r="10240">
      <c r="B10240" s="41" t="inlineStr">
        <is>
          <t>AreaCode</t>
        </is>
      </c>
      <c r="C10240" s="129" t="inlineStr">
        <is>
          <t>地区代码</t>
        </is>
      </c>
      <c r="D10240" s="21" t="n">
        <v>130603</v>
      </c>
      <c r="E10240" s="21" t="inlineStr">
        <is>
          <t>河北省保定市北市区</t>
        </is>
      </c>
    </row>
    <row r="10241">
      <c r="B10241" s="41" t="inlineStr">
        <is>
          <t>AreaCode</t>
        </is>
      </c>
      <c r="C10241" s="129" t="inlineStr">
        <is>
          <t>地区代码</t>
        </is>
      </c>
      <c r="D10241" s="21" t="n">
        <v>130604</v>
      </c>
      <c r="E10241" s="21" t="inlineStr">
        <is>
          <t>河北省保定市南市区</t>
        </is>
      </c>
    </row>
    <row r="10242">
      <c r="B10242" s="41" t="inlineStr">
        <is>
          <t>AreaCode</t>
        </is>
      </c>
      <c r="C10242" s="129" t="inlineStr">
        <is>
          <t>地区代码</t>
        </is>
      </c>
      <c r="D10242" s="21" t="n">
        <v>130621</v>
      </c>
      <c r="E10242" s="21" t="inlineStr">
        <is>
          <t>河北省保定市满城县</t>
        </is>
      </c>
    </row>
    <row r="10243">
      <c r="B10243" s="41" t="inlineStr">
        <is>
          <t>AreaCode</t>
        </is>
      </c>
      <c r="C10243" s="129" t="inlineStr">
        <is>
          <t>地区代码</t>
        </is>
      </c>
      <c r="D10243" s="21" t="n">
        <v>130622</v>
      </c>
      <c r="E10243" s="21" t="inlineStr">
        <is>
          <t>河北省保定市清苑县</t>
        </is>
      </c>
    </row>
    <row r="10244">
      <c r="B10244" s="41" t="inlineStr">
        <is>
          <t>AreaCode</t>
        </is>
      </c>
      <c r="C10244" s="129" t="inlineStr">
        <is>
          <t>地区代码</t>
        </is>
      </c>
      <c r="D10244" s="21" t="n">
        <v>130623</v>
      </c>
      <c r="E10244" s="21" t="inlineStr">
        <is>
          <t>河北省保定市涞水县</t>
        </is>
      </c>
    </row>
    <row r="10245">
      <c r="B10245" s="41" t="inlineStr">
        <is>
          <t>AreaCode</t>
        </is>
      </c>
      <c r="C10245" s="129" t="inlineStr">
        <is>
          <t>地区代码</t>
        </is>
      </c>
      <c r="D10245" s="21" t="n">
        <v>130624</v>
      </c>
      <c r="E10245" s="21" t="inlineStr">
        <is>
          <t>河北省保定市阜平县</t>
        </is>
      </c>
    </row>
    <row r="10246">
      <c r="B10246" s="41" t="inlineStr">
        <is>
          <t>AreaCode</t>
        </is>
      </c>
      <c r="C10246" s="129" t="inlineStr">
        <is>
          <t>地区代码</t>
        </is>
      </c>
      <c r="D10246" s="21" t="n">
        <v>130625</v>
      </c>
      <c r="E10246" s="21" t="inlineStr">
        <is>
          <t>河北省保定市徐水县</t>
        </is>
      </c>
    </row>
    <row r="10247">
      <c r="B10247" s="41" t="inlineStr">
        <is>
          <t>AreaCode</t>
        </is>
      </c>
      <c r="C10247" s="129" t="inlineStr">
        <is>
          <t>地区代码</t>
        </is>
      </c>
      <c r="D10247" s="21" t="n">
        <v>130626</v>
      </c>
      <c r="E10247" s="21" t="inlineStr">
        <is>
          <t>河北省保定市定兴县</t>
        </is>
      </c>
    </row>
    <row r="10248">
      <c r="B10248" s="41" t="inlineStr">
        <is>
          <t>AreaCode</t>
        </is>
      </c>
      <c r="C10248" s="129" t="inlineStr">
        <is>
          <t>地区代码</t>
        </is>
      </c>
      <c r="D10248" s="21" t="n">
        <v>130627</v>
      </c>
      <c r="E10248" s="21" t="inlineStr">
        <is>
          <t>河北省保定市唐县</t>
        </is>
      </c>
    </row>
    <row r="10249">
      <c r="B10249" s="41" t="inlineStr">
        <is>
          <t>AreaCode</t>
        </is>
      </c>
      <c r="C10249" s="129" t="inlineStr">
        <is>
          <t>地区代码</t>
        </is>
      </c>
      <c r="D10249" s="21" t="n">
        <v>130628</v>
      </c>
      <c r="E10249" s="21" t="inlineStr">
        <is>
          <t>河北省保定市高阳县</t>
        </is>
      </c>
    </row>
    <row r="10250">
      <c r="B10250" s="41" t="inlineStr">
        <is>
          <t>AreaCode</t>
        </is>
      </c>
      <c r="C10250" s="129" t="inlineStr">
        <is>
          <t>地区代码</t>
        </is>
      </c>
      <c r="D10250" s="21" t="n">
        <v>130629</v>
      </c>
      <c r="E10250" s="21" t="inlineStr">
        <is>
          <t>河北省保定市容城县</t>
        </is>
      </c>
    </row>
    <row r="10251">
      <c r="B10251" s="41" t="inlineStr">
        <is>
          <t>AreaCode</t>
        </is>
      </c>
      <c r="C10251" s="129" t="inlineStr">
        <is>
          <t>地区代码</t>
        </is>
      </c>
      <c r="D10251" s="21" t="n">
        <v>130630</v>
      </c>
      <c r="E10251" s="21" t="inlineStr">
        <is>
          <t>河北省保定市涞源县</t>
        </is>
      </c>
    </row>
    <row r="10252">
      <c r="B10252" s="41" t="inlineStr">
        <is>
          <t>AreaCode</t>
        </is>
      </c>
      <c r="C10252" s="129" t="inlineStr">
        <is>
          <t>地区代码</t>
        </is>
      </c>
      <c r="D10252" s="21" t="n">
        <v>130631</v>
      </c>
      <c r="E10252" s="21" t="inlineStr">
        <is>
          <t>河北省保定市望都县</t>
        </is>
      </c>
    </row>
    <row r="10253">
      <c r="B10253" s="41" t="inlineStr">
        <is>
          <t>AreaCode</t>
        </is>
      </c>
      <c r="C10253" s="129" t="inlineStr">
        <is>
          <t>地区代码</t>
        </is>
      </c>
      <c r="D10253" s="21" t="n">
        <v>130632</v>
      </c>
      <c r="E10253" s="21" t="inlineStr">
        <is>
          <t>河北省保定市安新县</t>
        </is>
      </c>
    </row>
    <row r="10254">
      <c r="B10254" s="41" t="inlineStr">
        <is>
          <t>AreaCode</t>
        </is>
      </c>
      <c r="C10254" s="129" t="inlineStr">
        <is>
          <t>地区代码</t>
        </is>
      </c>
      <c r="D10254" s="21" t="n">
        <v>130633</v>
      </c>
      <c r="E10254" s="21" t="inlineStr">
        <is>
          <t>河北省保定市易县</t>
        </is>
      </c>
    </row>
    <row r="10255">
      <c r="B10255" s="41" t="inlineStr">
        <is>
          <t>AreaCode</t>
        </is>
      </c>
      <c r="C10255" s="129" t="inlineStr">
        <is>
          <t>地区代码</t>
        </is>
      </c>
      <c r="D10255" s="21" t="n">
        <v>130634</v>
      </c>
      <c r="E10255" s="21" t="inlineStr">
        <is>
          <t>河北省保定市曲阳县</t>
        </is>
      </c>
    </row>
    <row r="10256">
      <c r="B10256" s="41" t="inlineStr">
        <is>
          <t>AreaCode</t>
        </is>
      </c>
      <c r="C10256" s="129" t="inlineStr">
        <is>
          <t>地区代码</t>
        </is>
      </c>
      <c r="D10256" s="21" t="n">
        <v>130635</v>
      </c>
      <c r="E10256" s="21" t="inlineStr">
        <is>
          <t>河北省保定市蠡县</t>
        </is>
      </c>
    </row>
    <row r="10257">
      <c r="B10257" s="41" t="inlineStr">
        <is>
          <t>AreaCode</t>
        </is>
      </c>
      <c r="C10257" s="129" t="inlineStr">
        <is>
          <t>地区代码</t>
        </is>
      </c>
      <c r="D10257" s="21" t="n">
        <v>130636</v>
      </c>
      <c r="E10257" s="21" t="inlineStr">
        <is>
          <t>河北省保定市顺平县</t>
        </is>
      </c>
    </row>
    <row r="10258">
      <c r="B10258" s="41" t="inlineStr">
        <is>
          <t>AreaCode</t>
        </is>
      </c>
      <c r="C10258" s="129" t="inlineStr">
        <is>
          <t>地区代码</t>
        </is>
      </c>
      <c r="D10258" s="21" t="n">
        <v>130637</v>
      </c>
      <c r="E10258" s="21" t="inlineStr">
        <is>
          <t>河北省保定市博野县</t>
        </is>
      </c>
    </row>
    <row r="10259">
      <c r="B10259" s="41" t="inlineStr">
        <is>
          <t>AreaCode</t>
        </is>
      </c>
      <c r="C10259" s="129" t="inlineStr">
        <is>
          <t>地区代码</t>
        </is>
      </c>
      <c r="D10259" s="21" t="n">
        <v>130638</v>
      </c>
      <c r="E10259" s="21" t="inlineStr">
        <is>
          <t>河北省保定市雄县</t>
        </is>
      </c>
    </row>
    <row r="10260">
      <c r="B10260" s="41" t="inlineStr">
        <is>
          <t>AreaCode</t>
        </is>
      </c>
      <c r="C10260" s="129" t="inlineStr">
        <is>
          <t>地区代码</t>
        </is>
      </c>
      <c r="D10260" s="21" t="n">
        <v>130681</v>
      </c>
      <c r="E10260" s="21" t="inlineStr">
        <is>
          <t>河北省保定市涿州市</t>
        </is>
      </c>
    </row>
    <row r="10261">
      <c r="B10261" s="41" t="inlineStr">
        <is>
          <t>AreaCode</t>
        </is>
      </c>
      <c r="C10261" s="129" t="inlineStr">
        <is>
          <t>地区代码</t>
        </is>
      </c>
      <c r="D10261" s="21" t="n">
        <v>130683</v>
      </c>
      <c r="E10261" s="21" t="inlineStr">
        <is>
          <t>河北省保定市安国市</t>
        </is>
      </c>
    </row>
    <row r="10262">
      <c r="B10262" s="41" t="inlineStr">
        <is>
          <t>AreaCode</t>
        </is>
      </c>
      <c r="C10262" s="129" t="inlineStr">
        <is>
          <t>地区代码</t>
        </is>
      </c>
      <c r="D10262" s="21" t="n">
        <v>130684</v>
      </c>
      <c r="E10262" s="21" t="inlineStr">
        <is>
          <t>河北省保定市高碑店市</t>
        </is>
      </c>
    </row>
    <row r="10263">
      <c r="B10263" s="41" t="inlineStr">
        <is>
          <t>AreaCode</t>
        </is>
      </c>
      <c r="C10263" s="129" t="inlineStr">
        <is>
          <t>地区代码</t>
        </is>
      </c>
      <c r="D10263" s="21" t="n">
        <v>130700</v>
      </c>
      <c r="E10263" s="21" t="inlineStr">
        <is>
          <t>河北省张家口市</t>
        </is>
      </c>
    </row>
    <row r="10264">
      <c r="B10264" s="41" t="inlineStr">
        <is>
          <t>AreaCode</t>
        </is>
      </c>
      <c r="C10264" s="129" t="inlineStr">
        <is>
          <t>地区代码</t>
        </is>
      </c>
      <c r="D10264" s="21" t="n">
        <v>130701</v>
      </c>
      <c r="E10264" s="21" t="inlineStr">
        <is>
          <t>河北省张家口市市辖区</t>
        </is>
      </c>
    </row>
    <row r="10265">
      <c r="B10265" s="41" t="inlineStr">
        <is>
          <t>AreaCode</t>
        </is>
      </c>
      <c r="C10265" s="129" t="inlineStr">
        <is>
          <t>地区代码</t>
        </is>
      </c>
      <c r="D10265" s="21" t="n">
        <v>130702</v>
      </c>
      <c r="E10265" s="21" t="inlineStr">
        <is>
          <t>河北省张家口市桥东区</t>
        </is>
      </c>
    </row>
    <row r="10266">
      <c r="B10266" s="41" t="inlineStr">
        <is>
          <t>AreaCode</t>
        </is>
      </c>
      <c r="C10266" s="129" t="inlineStr">
        <is>
          <t>地区代码</t>
        </is>
      </c>
      <c r="D10266" s="21" t="n">
        <v>130703</v>
      </c>
      <c r="E10266" s="21" t="inlineStr">
        <is>
          <t>河北省张家口市桥西区</t>
        </is>
      </c>
    </row>
    <row r="10267">
      <c r="B10267" s="41" t="inlineStr">
        <is>
          <t>AreaCode</t>
        </is>
      </c>
      <c r="C10267" s="129" t="inlineStr">
        <is>
          <t>地区代码</t>
        </is>
      </c>
      <c r="D10267" s="21" t="n">
        <v>130705</v>
      </c>
      <c r="E10267" s="21" t="inlineStr">
        <is>
          <t>河北省张家口市宣化区</t>
        </is>
      </c>
    </row>
    <row r="10268">
      <c r="B10268" s="41" t="inlineStr">
        <is>
          <t>AreaCode</t>
        </is>
      </c>
      <c r="C10268" s="129" t="inlineStr">
        <is>
          <t>地区代码</t>
        </is>
      </c>
      <c r="D10268" s="21" t="n">
        <v>130706</v>
      </c>
      <c r="E10268" s="21" t="inlineStr">
        <is>
          <t>河北省张家口市下花园区</t>
        </is>
      </c>
    </row>
    <row r="10269">
      <c r="B10269" s="41" t="inlineStr">
        <is>
          <t>AreaCode</t>
        </is>
      </c>
      <c r="C10269" s="129" t="inlineStr">
        <is>
          <t>地区代码</t>
        </is>
      </c>
      <c r="D10269" s="21" t="n">
        <v>130721</v>
      </c>
      <c r="E10269" s="21" t="inlineStr">
        <is>
          <t>河北省张家口市宣化县</t>
        </is>
      </c>
    </row>
    <row r="10270">
      <c r="B10270" s="41" t="inlineStr">
        <is>
          <t>AreaCode</t>
        </is>
      </c>
      <c r="C10270" s="129" t="inlineStr">
        <is>
          <t>地区代码</t>
        </is>
      </c>
      <c r="D10270" s="21" t="n">
        <v>130722</v>
      </c>
      <c r="E10270" s="21" t="inlineStr">
        <is>
          <t>河北省张家口市张北县</t>
        </is>
      </c>
    </row>
    <row r="10271">
      <c r="B10271" s="41" t="inlineStr">
        <is>
          <t>AreaCode</t>
        </is>
      </c>
      <c r="C10271" s="129" t="inlineStr">
        <is>
          <t>地区代码</t>
        </is>
      </c>
      <c r="D10271" s="21" t="n">
        <v>130723</v>
      </c>
      <c r="E10271" s="21" t="inlineStr">
        <is>
          <t>河北省张家口市康保县</t>
        </is>
      </c>
    </row>
    <row r="10272">
      <c r="B10272" s="41" t="inlineStr">
        <is>
          <t>AreaCode</t>
        </is>
      </c>
      <c r="C10272" s="129" t="inlineStr">
        <is>
          <t>地区代码</t>
        </is>
      </c>
      <c r="D10272" s="21" t="n">
        <v>130724</v>
      </c>
      <c r="E10272" s="21" t="inlineStr">
        <is>
          <t>河北省张家口市沽源县</t>
        </is>
      </c>
    </row>
    <row r="10273">
      <c r="B10273" s="41" t="inlineStr">
        <is>
          <t>AreaCode</t>
        </is>
      </c>
      <c r="C10273" s="129" t="inlineStr">
        <is>
          <t>地区代码</t>
        </is>
      </c>
      <c r="D10273" s="21" t="n">
        <v>130725</v>
      </c>
      <c r="E10273" s="21" t="inlineStr">
        <is>
          <t>河北省张家口市尚义县</t>
        </is>
      </c>
    </row>
    <row r="10274">
      <c r="B10274" s="41" t="inlineStr">
        <is>
          <t>AreaCode</t>
        </is>
      </c>
      <c r="C10274" s="129" t="inlineStr">
        <is>
          <t>地区代码</t>
        </is>
      </c>
      <c r="D10274" s="21" t="n">
        <v>130726</v>
      </c>
      <c r="E10274" s="21" t="inlineStr">
        <is>
          <t>河北省张家口市蔚县</t>
        </is>
      </c>
    </row>
    <row r="10275">
      <c r="B10275" s="41" t="inlineStr">
        <is>
          <t>AreaCode</t>
        </is>
      </c>
      <c r="C10275" s="129" t="inlineStr">
        <is>
          <t>地区代码</t>
        </is>
      </c>
      <c r="D10275" s="21" t="n">
        <v>130727</v>
      </c>
      <c r="E10275" s="21" t="inlineStr">
        <is>
          <t>河北省张家口市阳原县</t>
        </is>
      </c>
    </row>
    <row r="10276">
      <c r="B10276" s="41" t="inlineStr">
        <is>
          <t>AreaCode</t>
        </is>
      </c>
      <c r="C10276" s="129" t="inlineStr">
        <is>
          <t>地区代码</t>
        </is>
      </c>
      <c r="D10276" s="21" t="n">
        <v>130728</v>
      </c>
      <c r="E10276" s="21" t="inlineStr">
        <is>
          <t>河北省张家口市怀安县</t>
        </is>
      </c>
    </row>
    <row r="10277">
      <c r="B10277" s="41" t="inlineStr">
        <is>
          <t>AreaCode</t>
        </is>
      </c>
      <c r="C10277" s="129" t="inlineStr">
        <is>
          <t>地区代码</t>
        </is>
      </c>
      <c r="D10277" s="21" t="n">
        <v>130729</v>
      </c>
      <c r="E10277" s="21" t="inlineStr">
        <is>
          <t>河北省张家口市万全县</t>
        </is>
      </c>
    </row>
    <row r="10278">
      <c r="B10278" s="41" t="inlineStr">
        <is>
          <t>AreaCode</t>
        </is>
      </c>
      <c r="C10278" s="129" t="inlineStr">
        <is>
          <t>地区代码</t>
        </is>
      </c>
      <c r="D10278" s="21" t="n">
        <v>130730</v>
      </c>
      <c r="E10278" s="21" t="inlineStr">
        <is>
          <t>河北省张家口市怀来县</t>
        </is>
      </c>
    </row>
    <row r="10279">
      <c r="B10279" s="41" t="inlineStr">
        <is>
          <t>AreaCode</t>
        </is>
      </c>
      <c r="C10279" s="129" t="inlineStr">
        <is>
          <t>地区代码</t>
        </is>
      </c>
      <c r="D10279" s="21" t="n">
        <v>130731</v>
      </c>
      <c r="E10279" s="21" t="inlineStr">
        <is>
          <t>河北省张家口市涿鹿县</t>
        </is>
      </c>
    </row>
    <row r="10280">
      <c r="B10280" s="41" t="inlineStr">
        <is>
          <t>AreaCode</t>
        </is>
      </c>
      <c r="C10280" s="129" t="inlineStr">
        <is>
          <t>地区代码</t>
        </is>
      </c>
      <c r="D10280" s="21" t="n">
        <v>130732</v>
      </c>
      <c r="E10280" s="21" t="inlineStr">
        <is>
          <t>河北省张家口市赤城县</t>
        </is>
      </c>
    </row>
    <row r="10281">
      <c r="B10281" s="41" t="inlineStr">
        <is>
          <t>AreaCode</t>
        </is>
      </c>
      <c r="C10281" s="129" t="inlineStr">
        <is>
          <t>地区代码</t>
        </is>
      </c>
      <c r="D10281" s="21" t="n">
        <v>130733</v>
      </c>
      <c r="E10281" s="21" t="inlineStr">
        <is>
          <t>河北省张家口市崇礼县</t>
        </is>
      </c>
    </row>
    <row r="10282">
      <c r="B10282" s="41" t="inlineStr">
        <is>
          <t>AreaCode</t>
        </is>
      </c>
      <c r="C10282" s="129" t="inlineStr">
        <is>
          <t>地区代码</t>
        </is>
      </c>
      <c r="D10282" s="21" t="n">
        <v>130800</v>
      </c>
      <c r="E10282" s="21" t="inlineStr">
        <is>
          <t>河北省承德市</t>
        </is>
      </c>
    </row>
    <row r="10283">
      <c r="B10283" s="41" t="inlineStr">
        <is>
          <t>AreaCode</t>
        </is>
      </c>
      <c r="C10283" s="129" t="inlineStr">
        <is>
          <t>地区代码</t>
        </is>
      </c>
      <c r="D10283" s="21" t="n">
        <v>130801</v>
      </c>
      <c r="E10283" s="21" t="inlineStr">
        <is>
          <t>河北省承德市市辖区</t>
        </is>
      </c>
    </row>
    <row r="10284">
      <c r="B10284" s="41" t="inlineStr">
        <is>
          <t>AreaCode</t>
        </is>
      </c>
      <c r="C10284" s="129" t="inlineStr">
        <is>
          <t>地区代码</t>
        </is>
      </c>
      <c r="D10284" s="21" t="n">
        <v>130802</v>
      </c>
      <c r="E10284" s="21" t="inlineStr">
        <is>
          <t>河北省承德市双桥区</t>
        </is>
      </c>
    </row>
    <row r="10285">
      <c r="B10285" s="41" t="inlineStr">
        <is>
          <t>AreaCode</t>
        </is>
      </c>
      <c r="C10285" s="129" t="inlineStr">
        <is>
          <t>地区代码</t>
        </is>
      </c>
      <c r="D10285" s="21" t="n">
        <v>130803</v>
      </c>
      <c r="E10285" s="21" t="inlineStr">
        <is>
          <t>河北省承德市双滦区</t>
        </is>
      </c>
    </row>
    <row r="10286">
      <c r="B10286" s="41" t="inlineStr">
        <is>
          <t>AreaCode</t>
        </is>
      </c>
      <c r="C10286" s="129" t="inlineStr">
        <is>
          <t>地区代码</t>
        </is>
      </c>
      <c r="D10286" s="21" t="n">
        <v>130804</v>
      </c>
      <c r="E10286" s="21" t="inlineStr">
        <is>
          <t>河北省承德市鹰手营子矿区</t>
        </is>
      </c>
    </row>
    <row r="10287">
      <c r="B10287" s="41" t="inlineStr">
        <is>
          <t>AreaCode</t>
        </is>
      </c>
      <c r="C10287" s="129" t="inlineStr">
        <is>
          <t>地区代码</t>
        </is>
      </c>
      <c r="D10287" s="21" t="n">
        <v>130821</v>
      </c>
      <c r="E10287" s="21" t="inlineStr">
        <is>
          <t>河北省承德市承德县</t>
        </is>
      </c>
    </row>
    <row r="10288">
      <c r="B10288" s="41" t="inlineStr">
        <is>
          <t>AreaCode</t>
        </is>
      </c>
      <c r="C10288" s="129" t="inlineStr">
        <is>
          <t>地区代码</t>
        </is>
      </c>
      <c r="D10288" s="21" t="n">
        <v>130822</v>
      </c>
      <c r="E10288" s="21" t="inlineStr">
        <is>
          <t>河北省承德市兴隆县</t>
        </is>
      </c>
    </row>
    <row r="10289">
      <c r="B10289" s="41" t="inlineStr">
        <is>
          <t>AreaCode</t>
        </is>
      </c>
      <c r="C10289" s="129" t="inlineStr">
        <is>
          <t>地区代码</t>
        </is>
      </c>
      <c r="D10289" s="21" t="n">
        <v>130823</v>
      </c>
      <c r="E10289" s="21" t="inlineStr">
        <is>
          <t>河北省承德市平泉县</t>
        </is>
      </c>
    </row>
    <row r="10290">
      <c r="B10290" s="41" t="inlineStr">
        <is>
          <t>AreaCode</t>
        </is>
      </c>
      <c r="C10290" s="129" t="inlineStr">
        <is>
          <t>地区代码</t>
        </is>
      </c>
      <c r="D10290" s="21" t="n">
        <v>130824</v>
      </c>
      <c r="E10290" s="21" t="inlineStr">
        <is>
          <t>河北省承德市滦平县</t>
        </is>
      </c>
    </row>
    <row r="10291">
      <c r="B10291" s="41" t="inlineStr">
        <is>
          <t>AreaCode</t>
        </is>
      </c>
      <c r="C10291" s="129" t="inlineStr">
        <is>
          <t>地区代码</t>
        </is>
      </c>
      <c r="D10291" s="21" t="n">
        <v>130825</v>
      </c>
      <c r="E10291" s="21" t="inlineStr">
        <is>
          <t>河北省承德市隆化县</t>
        </is>
      </c>
    </row>
    <row r="10292">
      <c r="B10292" s="41" t="inlineStr">
        <is>
          <t>AreaCode</t>
        </is>
      </c>
      <c r="C10292" s="129" t="inlineStr">
        <is>
          <t>地区代码</t>
        </is>
      </c>
      <c r="D10292" s="21" t="n">
        <v>130826</v>
      </c>
      <c r="E10292" s="21" t="inlineStr">
        <is>
          <t>河北省承德市丰宁满族自治县</t>
        </is>
      </c>
    </row>
    <row r="10293">
      <c r="B10293" s="41" t="inlineStr">
        <is>
          <t>AreaCode</t>
        </is>
      </c>
      <c r="C10293" s="129" t="inlineStr">
        <is>
          <t>地区代码</t>
        </is>
      </c>
      <c r="D10293" s="21" t="n">
        <v>130827</v>
      </c>
      <c r="E10293" s="21" t="inlineStr">
        <is>
          <t>河北省承德市宽城满族自治县</t>
        </is>
      </c>
    </row>
    <row r="10294">
      <c r="B10294" s="41" t="inlineStr">
        <is>
          <t>AreaCode</t>
        </is>
      </c>
      <c r="C10294" s="129" t="inlineStr">
        <is>
          <t>地区代码</t>
        </is>
      </c>
      <c r="D10294" s="21" t="n">
        <v>130828</v>
      </c>
      <c r="E10294" s="21" t="inlineStr">
        <is>
          <t>河北省承德市围场满族蒙古族自治县</t>
        </is>
      </c>
    </row>
    <row r="10295">
      <c r="B10295" s="41" t="inlineStr">
        <is>
          <t>AreaCode</t>
        </is>
      </c>
      <c r="C10295" s="129" t="inlineStr">
        <is>
          <t>地区代码</t>
        </is>
      </c>
      <c r="D10295" s="21" t="n">
        <v>130900</v>
      </c>
      <c r="E10295" s="21" t="inlineStr">
        <is>
          <t>河北省沧州市</t>
        </is>
      </c>
    </row>
    <row r="10296">
      <c r="B10296" s="41" t="inlineStr">
        <is>
          <t>AreaCode</t>
        </is>
      </c>
      <c r="C10296" s="129" t="inlineStr">
        <is>
          <t>地区代码</t>
        </is>
      </c>
      <c r="D10296" s="21" t="n">
        <v>130901</v>
      </c>
      <c r="E10296" s="21" t="inlineStr">
        <is>
          <t>河北省沧州市市辖区</t>
        </is>
      </c>
    </row>
    <row r="10297">
      <c r="B10297" s="41" t="inlineStr">
        <is>
          <t>AreaCode</t>
        </is>
      </c>
      <c r="C10297" s="129" t="inlineStr">
        <is>
          <t>地区代码</t>
        </is>
      </c>
      <c r="D10297" s="21" t="n">
        <v>130902</v>
      </c>
      <c r="E10297" s="21" t="inlineStr">
        <is>
          <t>河北省沧州市新华区</t>
        </is>
      </c>
    </row>
    <row r="10298">
      <c r="B10298" s="41" t="inlineStr">
        <is>
          <t>AreaCode</t>
        </is>
      </c>
      <c r="C10298" s="129" t="inlineStr">
        <is>
          <t>地区代码</t>
        </is>
      </c>
      <c r="D10298" s="21" t="n">
        <v>130903</v>
      </c>
      <c r="E10298" s="21" t="inlineStr">
        <is>
          <t>河北省沧州市运河区</t>
        </is>
      </c>
    </row>
    <row r="10299">
      <c r="B10299" s="41" t="inlineStr">
        <is>
          <t>AreaCode</t>
        </is>
      </c>
      <c r="C10299" s="129" t="inlineStr">
        <is>
          <t>地区代码</t>
        </is>
      </c>
      <c r="D10299" s="21" t="n">
        <v>130921</v>
      </c>
      <c r="E10299" s="21" t="inlineStr">
        <is>
          <t>河北省沧州市沧县</t>
        </is>
      </c>
    </row>
    <row r="10300">
      <c r="B10300" s="41" t="inlineStr">
        <is>
          <t>AreaCode</t>
        </is>
      </c>
      <c r="C10300" s="129" t="inlineStr">
        <is>
          <t>地区代码</t>
        </is>
      </c>
      <c r="D10300" s="21" t="n">
        <v>130922</v>
      </c>
      <c r="E10300" s="21" t="inlineStr">
        <is>
          <t>河北省沧州市青县</t>
        </is>
      </c>
    </row>
    <row r="10301">
      <c r="B10301" s="41" t="inlineStr">
        <is>
          <t>AreaCode</t>
        </is>
      </c>
      <c r="C10301" s="129" t="inlineStr">
        <is>
          <t>地区代码</t>
        </is>
      </c>
      <c r="D10301" s="21" t="n">
        <v>130923</v>
      </c>
      <c r="E10301" s="21" t="inlineStr">
        <is>
          <t>河北省沧州市东光县</t>
        </is>
      </c>
    </row>
    <row r="10302">
      <c r="B10302" s="41" t="inlineStr">
        <is>
          <t>AreaCode</t>
        </is>
      </c>
      <c r="C10302" s="129" t="inlineStr">
        <is>
          <t>地区代码</t>
        </is>
      </c>
      <c r="D10302" s="21" t="n">
        <v>130924</v>
      </c>
      <c r="E10302" s="21" t="inlineStr">
        <is>
          <t>河北省沧州市海兴县</t>
        </is>
      </c>
    </row>
    <row r="10303">
      <c r="B10303" s="41" t="inlineStr">
        <is>
          <t>AreaCode</t>
        </is>
      </c>
      <c r="C10303" s="129" t="inlineStr">
        <is>
          <t>地区代码</t>
        </is>
      </c>
      <c r="D10303" s="21" t="n">
        <v>130925</v>
      </c>
      <c r="E10303" s="21" t="inlineStr">
        <is>
          <t>河北省沧州市盐山县</t>
        </is>
      </c>
    </row>
    <row r="10304">
      <c r="B10304" s="41" t="inlineStr">
        <is>
          <t>AreaCode</t>
        </is>
      </c>
      <c r="C10304" s="129" t="inlineStr">
        <is>
          <t>地区代码</t>
        </is>
      </c>
      <c r="D10304" s="21" t="n">
        <v>130926</v>
      </c>
      <c r="E10304" s="21" t="inlineStr">
        <is>
          <t>河北省沧州市肃宁县</t>
        </is>
      </c>
    </row>
    <row r="10305">
      <c r="B10305" s="41" t="inlineStr">
        <is>
          <t>AreaCode</t>
        </is>
      </c>
      <c r="C10305" s="129" t="inlineStr">
        <is>
          <t>地区代码</t>
        </is>
      </c>
      <c r="D10305" s="21" t="n">
        <v>130927</v>
      </c>
      <c r="E10305" s="21" t="inlineStr">
        <is>
          <t>河北省沧州市南皮县</t>
        </is>
      </c>
    </row>
    <row r="10306">
      <c r="B10306" s="41" t="inlineStr">
        <is>
          <t>AreaCode</t>
        </is>
      </c>
      <c r="C10306" s="129" t="inlineStr">
        <is>
          <t>地区代码</t>
        </is>
      </c>
      <c r="D10306" s="21" t="n">
        <v>130928</v>
      </c>
      <c r="E10306" s="21" t="inlineStr">
        <is>
          <t>河北省沧州市吴桥县</t>
        </is>
      </c>
    </row>
    <row r="10307">
      <c r="B10307" s="41" t="inlineStr">
        <is>
          <t>AreaCode</t>
        </is>
      </c>
      <c r="C10307" s="129" t="inlineStr">
        <is>
          <t>地区代码</t>
        </is>
      </c>
      <c r="D10307" s="21" t="n">
        <v>130929</v>
      </c>
      <c r="E10307" s="21" t="inlineStr">
        <is>
          <t>河北省沧州市献县</t>
        </is>
      </c>
    </row>
    <row r="10308">
      <c r="B10308" s="41" t="inlineStr">
        <is>
          <t>AreaCode</t>
        </is>
      </c>
      <c r="C10308" s="129" t="inlineStr">
        <is>
          <t>地区代码</t>
        </is>
      </c>
      <c r="D10308" s="21" t="n">
        <v>130930</v>
      </c>
      <c r="E10308" s="21" t="inlineStr">
        <is>
          <t>河北省沧州市孟村回族自治县</t>
        </is>
      </c>
    </row>
    <row r="10309">
      <c r="B10309" s="41" t="inlineStr">
        <is>
          <t>AreaCode</t>
        </is>
      </c>
      <c r="C10309" s="129" t="inlineStr">
        <is>
          <t>地区代码</t>
        </is>
      </c>
      <c r="D10309" s="21" t="n">
        <v>130981</v>
      </c>
      <c r="E10309" s="21" t="inlineStr">
        <is>
          <t>河北省沧州市泊头市</t>
        </is>
      </c>
    </row>
    <row r="10310">
      <c r="B10310" s="41" t="inlineStr">
        <is>
          <t>AreaCode</t>
        </is>
      </c>
      <c r="C10310" s="129" t="inlineStr">
        <is>
          <t>地区代码</t>
        </is>
      </c>
      <c r="D10310" s="21" t="n">
        <v>130982</v>
      </c>
      <c r="E10310" s="21" t="inlineStr">
        <is>
          <t>河北省沧州市任丘市</t>
        </is>
      </c>
    </row>
    <row r="10311">
      <c r="B10311" s="41" t="inlineStr">
        <is>
          <t>AreaCode</t>
        </is>
      </c>
      <c r="C10311" s="129" t="inlineStr">
        <is>
          <t>地区代码</t>
        </is>
      </c>
      <c r="D10311" s="21" t="n">
        <v>130983</v>
      </c>
      <c r="E10311" s="21" t="inlineStr">
        <is>
          <t>河北省沧州市黄骅市</t>
        </is>
      </c>
    </row>
    <row r="10312">
      <c r="B10312" s="41" t="inlineStr">
        <is>
          <t>AreaCode</t>
        </is>
      </c>
      <c r="C10312" s="129" t="inlineStr">
        <is>
          <t>地区代码</t>
        </is>
      </c>
      <c r="D10312" s="21" t="n">
        <v>130984</v>
      </c>
      <c r="E10312" s="21" t="inlineStr">
        <is>
          <t>河北省沧州市河间市</t>
        </is>
      </c>
    </row>
    <row r="10313">
      <c r="B10313" s="41" t="inlineStr">
        <is>
          <t>AreaCode</t>
        </is>
      </c>
      <c r="C10313" s="129" t="inlineStr">
        <is>
          <t>地区代码</t>
        </is>
      </c>
      <c r="D10313" s="21" t="n">
        <v>131000</v>
      </c>
      <c r="E10313" s="21" t="inlineStr">
        <is>
          <t>河北省廊坊市</t>
        </is>
      </c>
    </row>
    <row r="10314">
      <c r="B10314" s="41" t="inlineStr">
        <is>
          <t>AreaCode</t>
        </is>
      </c>
      <c r="C10314" s="129" t="inlineStr">
        <is>
          <t>地区代码</t>
        </is>
      </c>
      <c r="D10314" s="21" t="n">
        <v>131001</v>
      </c>
      <c r="E10314" s="21" t="inlineStr">
        <is>
          <t>河北省廊坊市市辖区</t>
        </is>
      </c>
    </row>
    <row r="10315">
      <c r="B10315" s="41" t="inlineStr">
        <is>
          <t>AreaCode</t>
        </is>
      </c>
      <c r="C10315" s="129" t="inlineStr">
        <is>
          <t>地区代码</t>
        </is>
      </c>
      <c r="D10315" s="21" t="n">
        <v>131002</v>
      </c>
      <c r="E10315" s="21" t="inlineStr">
        <is>
          <t>河北省廊坊市安次区</t>
        </is>
      </c>
    </row>
    <row r="10316">
      <c r="B10316" s="41" t="inlineStr">
        <is>
          <t>AreaCode</t>
        </is>
      </c>
      <c r="C10316" s="129" t="inlineStr">
        <is>
          <t>地区代码</t>
        </is>
      </c>
      <c r="D10316" s="21" t="n">
        <v>131003</v>
      </c>
      <c r="E10316" s="21" t="inlineStr">
        <is>
          <t>河北省廊坊市广阳区</t>
        </is>
      </c>
    </row>
    <row r="10317">
      <c r="B10317" s="41" t="inlineStr">
        <is>
          <t>AreaCode</t>
        </is>
      </c>
      <c r="C10317" s="129" t="inlineStr">
        <is>
          <t>地区代码</t>
        </is>
      </c>
      <c r="D10317" s="21" t="n">
        <v>131022</v>
      </c>
      <c r="E10317" s="21" t="inlineStr">
        <is>
          <t>河北省廊坊市固安县</t>
        </is>
      </c>
    </row>
    <row r="10318">
      <c r="B10318" s="41" t="inlineStr">
        <is>
          <t>AreaCode</t>
        </is>
      </c>
      <c r="C10318" s="129" t="inlineStr">
        <is>
          <t>地区代码</t>
        </is>
      </c>
      <c r="D10318" s="21" t="n">
        <v>131023</v>
      </c>
      <c r="E10318" s="21" t="inlineStr">
        <is>
          <t>河北省廊坊市永清县</t>
        </is>
      </c>
    </row>
    <row r="10319">
      <c r="B10319" s="41" t="inlineStr">
        <is>
          <t>AreaCode</t>
        </is>
      </c>
      <c r="C10319" s="129" t="inlineStr">
        <is>
          <t>地区代码</t>
        </is>
      </c>
      <c r="D10319" s="21" t="n">
        <v>131024</v>
      </c>
      <c r="E10319" s="21" t="inlineStr">
        <is>
          <t>河北省廊坊市香河县</t>
        </is>
      </c>
    </row>
    <row r="10320">
      <c r="B10320" s="41" t="inlineStr">
        <is>
          <t>AreaCode</t>
        </is>
      </c>
      <c r="C10320" s="129" t="inlineStr">
        <is>
          <t>地区代码</t>
        </is>
      </c>
      <c r="D10320" s="21" t="n">
        <v>131025</v>
      </c>
      <c r="E10320" s="21" t="inlineStr">
        <is>
          <t>河北省廊坊市大城县</t>
        </is>
      </c>
    </row>
    <row r="10321">
      <c r="B10321" s="41" t="inlineStr">
        <is>
          <t>AreaCode</t>
        </is>
      </c>
      <c r="C10321" s="129" t="inlineStr">
        <is>
          <t>地区代码</t>
        </is>
      </c>
      <c r="D10321" s="21" t="n">
        <v>131026</v>
      </c>
      <c r="E10321" s="21" t="inlineStr">
        <is>
          <t>河北省廊坊市文安县</t>
        </is>
      </c>
    </row>
    <row r="10322">
      <c r="B10322" s="41" t="inlineStr">
        <is>
          <t>AreaCode</t>
        </is>
      </c>
      <c r="C10322" s="129" t="inlineStr">
        <is>
          <t>地区代码</t>
        </is>
      </c>
      <c r="D10322" s="21" t="n">
        <v>131028</v>
      </c>
      <c r="E10322" s="21" t="inlineStr">
        <is>
          <t>河北省廊坊市大厂回族自治县</t>
        </is>
      </c>
    </row>
    <row r="10323">
      <c r="B10323" s="41" t="inlineStr">
        <is>
          <t>AreaCode</t>
        </is>
      </c>
      <c r="C10323" s="129" t="inlineStr">
        <is>
          <t>地区代码</t>
        </is>
      </c>
      <c r="D10323" s="21" t="n">
        <v>131081</v>
      </c>
      <c r="E10323" s="21" t="inlineStr">
        <is>
          <t>河北省廊坊市霸州市</t>
        </is>
      </c>
    </row>
    <row r="10324">
      <c r="B10324" s="41" t="inlineStr">
        <is>
          <t>AreaCode</t>
        </is>
      </c>
      <c r="C10324" s="129" t="inlineStr">
        <is>
          <t>地区代码</t>
        </is>
      </c>
      <c r="D10324" s="21" t="n">
        <v>131082</v>
      </c>
      <c r="E10324" s="21" t="inlineStr">
        <is>
          <t>河北省廊坊市三河市</t>
        </is>
      </c>
    </row>
    <row r="10325">
      <c r="B10325" s="41" t="inlineStr">
        <is>
          <t>AreaCode</t>
        </is>
      </c>
      <c r="C10325" s="129" t="inlineStr">
        <is>
          <t>地区代码</t>
        </is>
      </c>
      <c r="D10325" s="21" t="n">
        <v>131100</v>
      </c>
      <c r="E10325" s="21" t="inlineStr">
        <is>
          <t>河北省衡水市</t>
        </is>
      </c>
    </row>
    <row r="10326">
      <c r="B10326" s="41" t="inlineStr">
        <is>
          <t>AreaCode</t>
        </is>
      </c>
      <c r="C10326" s="129" t="inlineStr">
        <is>
          <t>地区代码</t>
        </is>
      </c>
      <c r="D10326" s="21" t="n">
        <v>131101</v>
      </c>
      <c r="E10326" s="21" t="inlineStr">
        <is>
          <t>河北省衡水市市辖区</t>
        </is>
      </c>
    </row>
    <row r="10327">
      <c r="B10327" s="41" t="inlineStr">
        <is>
          <t>AreaCode</t>
        </is>
      </c>
      <c r="C10327" s="129" t="inlineStr">
        <is>
          <t>地区代码</t>
        </is>
      </c>
      <c r="D10327" s="21" t="n">
        <v>131102</v>
      </c>
      <c r="E10327" s="21" t="inlineStr">
        <is>
          <t>河北省衡水市桃城区</t>
        </is>
      </c>
    </row>
    <row r="10328">
      <c r="B10328" s="41" t="inlineStr">
        <is>
          <t>AreaCode</t>
        </is>
      </c>
      <c r="C10328" s="129" t="inlineStr">
        <is>
          <t>地区代码</t>
        </is>
      </c>
      <c r="D10328" s="21" t="n">
        <v>131121</v>
      </c>
      <c r="E10328" s="21" t="inlineStr">
        <is>
          <t>河北省衡水市枣强县</t>
        </is>
      </c>
    </row>
    <row r="10329">
      <c r="B10329" s="41" t="inlineStr">
        <is>
          <t>AreaCode</t>
        </is>
      </c>
      <c r="C10329" s="129" t="inlineStr">
        <is>
          <t>地区代码</t>
        </is>
      </c>
      <c r="D10329" s="21" t="n">
        <v>131122</v>
      </c>
      <c r="E10329" s="21" t="inlineStr">
        <is>
          <t>河北省衡水市武邑县</t>
        </is>
      </c>
    </row>
    <row r="10330">
      <c r="B10330" s="41" t="inlineStr">
        <is>
          <t>AreaCode</t>
        </is>
      </c>
      <c r="C10330" s="129" t="inlineStr">
        <is>
          <t>地区代码</t>
        </is>
      </c>
      <c r="D10330" s="21" t="n">
        <v>131123</v>
      </c>
      <c r="E10330" s="21" t="inlineStr">
        <is>
          <t>河北省衡水市武强县</t>
        </is>
      </c>
    </row>
    <row r="10331">
      <c r="B10331" s="41" t="inlineStr">
        <is>
          <t>AreaCode</t>
        </is>
      </c>
      <c r="C10331" s="129" t="inlineStr">
        <is>
          <t>地区代码</t>
        </is>
      </c>
      <c r="D10331" s="21" t="n">
        <v>131124</v>
      </c>
      <c r="E10331" s="21" t="inlineStr">
        <is>
          <t>河北省衡水市饶阳县</t>
        </is>
      </c>
    </row>
    <row r="10332">
      <c r="B10332" s="41" t="inlineStr">
        <is>
          <t>AreaCode</t>
        </is>
      </c>
      <c r="C10332" s="129" t="inlineStr">
        <is>
          <t>地区代码</t>
        </is>
      </c>
      <c r="D10332" s="21" t="n">
        <v>131125</v>
      </c>
      <c r="E10332" s="21" t="inlineStr">
        <is>
          <t>河北省衡水市安平县</t>
        </is>
      </c>
    </row>
    <row r="10333">
      <c r="B10333" s="41" t="inlineStr">
        <is>
          <t>AreaCode</t>
        </is>
      </c>
      <c r="C10333" s="129" t="inlineStr">
        <is>
          <t>地区代码</t>
        </is>
      </c>
      <c r="D10333" s="21" t="n">
        <v>131126</v>
      </c>
      <c r="E10333" s="21" t="inlineStr">
        <is>
          <t>河北省衡水市故城县</t>
        </is>
      </c>
    </row>
    <row r="10334">
      <c r="B10334" s="41" t="inlineStr">
        <is>
          <t>AreaCode</t>
        </is>
      </c>
      <c r="C10334" s="129" t="inlineStr">
        <is>
          <t>地区代码</t>
        </is>
      </c>
      <c r="D10334" s="21" t="n">
        <v>131127</v>
      </c>
      <c r="E10334" s="21" t="inlineStr">
        <is>
          <t>河北省衡水市景县</t>
        </is>
      </c>
    </row>
    <row r="10335">
      <c r="B10335" s="41" t="inlineStr">
        <is>
          <t>AreaCode</t>
        </is>
      </c>
      <c r="C10335" s="129" t="inlineStr">
        <is>
          <t>地区代码</t>
        </is>
      </c>
      <c r="D10335" s="21" t="n">
        <v>131128</v>
      </c>
      <c r="E10335" s="21" t="inlineStr">
        <is>
          <t>河北省衡水市阜城县</t>
        </is>
      </c>
    </row>
    <row r="10336">
      <c r="B10336" s="41" t="inlineStr">
        <is>
          <t>AreaCode</t>
        </is>
      </c>
      <c r="C10336" s="129" t="inlineStr">
        <is>
          <t>地区代码</t>
        </is>
      </c>
      <c r="D10336" s="21" t="n">
        <v>131181</v>
      </c>
      <c r="E10336" s="21" t="inlineStr">
        <is>
          <t>河北省衡水市冀州市</t>
        </is>
      </c>
    </row>
    <row r="10337">
      <c r="B10337" s="41" t="inlineStr">
        <is>
          <t>AreaCode</t>
        </is>
      </c>
      <c r="C10337" s="129" t="inlineStr">
        <is>
          <t>地区代码</t>
        </is>
      </c>
      <c r="D10337" s="21" t="n">
        <v>131182</v>
      </c>
      <c r="E10337" s="21" t="inlineStr">
        <is>
          <t>河北省衡水市深州市</t>
        </is>
      </c>
    </row>
    <row r="10338">
      <c r="B10338" s="41" t="inlineStr">
        <is>
          <t>AreaCode</t>
        </is>
      </c>
      <c r="C10338" s="129" t="inlineStr">
        <is>
          <t>地区代码</t>
        </is>
      </c>
      <c r="D10338" s="21" t="n">
        <v>139000</v>
      </c>
      <c r="E10338" s="21" t="inlineStr">
        <is>
          <t>河北省省直辖县级行政区划</t>
        </is>
      </c>
    </row>
    <row r="10339">
      <c r="B10339" s="41" t="inlineStr">
        <is>
          <t>AreaCode</t>
        </is>
      </c>
      <c r="C10339" s="129" t="inlineStr">
        <is>
          <t>地区代码</t>
        </is>
      </c>
      <c r="D10339" s="21" t="n">
        <v>139001</v>
      </c>
      <c r="E10339" s="21" t="inlineStr">
        <is>
          <t>河北省省直辖县级行政区划定州市</t>
        </is>
      </c>
    </row>
    <row r="10340">
      <c r="B10340" s="41" t="inlineStr">
        <is>
          <t>AreaCode</t>
        </is>
      </c>
      <c r="C10340" s="129" t="inlineStr">
        <is>
          <t>地区代码</t>
        </is>
      </c>
      <c r="D10340" s="21" t="n">
        <v>139002</v>
      </c>
      <c r="E10340" s="21" t="inlineStr">
        <is>
          <t>河北省省直辖县级行政区划辛集市</t>
        </is>
      </c>
    </row>
    <row r="10341">
      <c r="B10341" s="41" t="inlineStr">
        <is>
          <t>AreaCode</t>
        </is>
      </c>
      <c r="C10341" s="129" t="inlineStr">
        <is>
          <t>地区代码</t>
        </is>
      </c>
      <c r="D10341" s="21" t="n">
        <v>140000</v>
      </c>
      <c r="E10341" s="21" t="inlineStr">
        <is>
          <t>山西省</t>
        </is>
      </c>
    </row>
    <row r="10342">
      <c r="B10342" s="41" t="inlineStr">
        <is>
          <t>AreaCode</t>
        </is>
      </c>
      <c r="C10342" s="129" t="inlineStr">
        <is>
          <t>地区代码</t>
        </is>
      </c>
      <c r="D10342" s="21" t="n">
        <v>140100</v>
      </c>
      <c r="E10342" s="21" t="inlineStr">
        <is>
          <t>山西省太原市</t>
        </is>
      </c>
    </row>
    <row r="10343">
      <c r="B10343" s="41" t="inlineStr">
        <is>
          <t>AreaCode</t>
        </is>
      </c>
      <c r="C10343" s="129" t="inlineStr">
        <is>
          <t>地区代码</t>
        </is>
      </c>
      <c r="D10343" s="21" t="n">
        <v>140101</v>
      </c>
      <c r="E10343" s="21" t="inlineStr">
        <is>
          <t>山西省太原市市辖区</t>
        </is>
      </c>
    </row>
    <row r="10344">
      <c r="B10344" s="41" t="inlineStr">
        <is>
          <t>AreaCode</t>
        </is>
      </c>
      <c r="C10344" s="129" t="inlineStr">
        <is>
          <t>地区代码</t>
        </is>
      </c>
      <c r="D10344" s="21" t="n">
        <v>140105</v>
      </c>
      <c r="E10344" s="21" t="inlineStr">
        <is>
          <t>山西省太原市小店区</t>
        </is>
      </c>
    </row>
    <row r="10345">
      <c r="B10345" s="41" t="inlineStr">
        <is>
          <t>AreaCode</t>
        </is>
      </c>
      <c r="C10345" s="129" t="inlineStr">
        <is>
          <t>地区代码</t>
        </is>
      </c>
      <c r="D10345" s="21" t="n">
        <v>140106</v>
      </c>
      <c r="E10345" s="21" t="inlineStr">
        <is>
          <t>山西省太原市迎泽区</t>
        </is>
      </c>
    </row>
    <row r="10346">
      <c r="B10346" s="41" t="inlineStr">
        <is>
          <t>AreaCode</t>
        </is>
      </c>
      <c r="C10346" s="129" t="inlineStr">
        <is>
          <t>地区代码</t>
        </is>
      </c>
      <c r="D10346" s="21" t="n">
        <v>140107</v>
      </c>
      <c r="E10346" s="21" t="inlineStr">
        <is>
          <t>山西省太原市杏花岭区</t>
        </is>
      </c>
    </row>
    <row r="10347">
      <c r="B10347" s="41" t="inlineStr">
        <is>
          <t>AreaCode</t>
        </is>
      </c>
      <c r="C10347" s="129" t="inlineStr">
        <is>
          <t>地区代码</t>
        </is>
      </c>
      <c r="D10347" s="21" t="n">
        <v>140108</v>
      </c>
      <c r="E10347" s="21" t="inlineStr">
        <is>
          <t>山西省太原市尖草坪区</t>
        </is>
      </c>
    </row>
    <row r="10348">
      <c r="B10348" s="41" t="inlineStr">
        <is>
          <t>AreaCode</t>
        </is>
      </c>
      <c r="C10348" s="129" t="inlineStr">
        <is>
          <t>地区代码</t>
        </is>
      </c>
      <c r="D10348" s="21" t="n">
        <v>140109</v>
      </c>
      <c r="E10348" s="21" t="inlineStr">
        <is>
          <t>山西省太原市万柏林区</t>
        </is>
      </c>
    </row>
    <row r="10349">
      <c r="B10349" s="41" t="inlineStr">
        <is>
          <t>AreaCode</t>
        </is>
      </c>
      <c r="C10349" s="129" t="inlineStr">
        <is>
          <t>地区代码</t>
        </is>
      </c>
      <c r="D10349" s="21" t="n">
        <v>140110</v>
      </c>
      <c r="E10349" s="21" t="inlineStr">
        <is>
          <t>山西省太原市晋源区</t>
        </is>
      </c>
    </row>
    <row r="10350">
      <c r="B10350" s="41" t="inlineStr">
        <is>
          <t>AreaCode</t>
        </is>
      </c>
      <c r="C10350" s="129" t="inlineStr">
        <is>
          <t>地区代码</t>
        </is>
      </c>
      <c r="D10350" s="21" t="n">
        <v>140121</v>
      </c>
      <c r="E10350" s="21" t="inlineStr">
        <is>
          <t>山西省太原市清徐县</t>
        </is>
      </c>
    </row>
    <row r="10351">
      <c r="B10351" s="41" t="inlineStr">
        <is>
          <t>AreaCode</t>
        </is>
      </c>
      <c r="C10351" s="129" t="inlineStr">
        <is>
          <t>地区代码</t>
        </is>
      </c>
      <c r="D10351" s="21" t="n">
        <v>140122</v>
      </c>
      <c r="E10351" s="21" t="inlineStr">
        <is>
          <t>山西省太原市阳曲县</t>
        </is>
      </c>
    </row>
    <row r="10352">
      <c r="B10352" s="41" t="inlineStr">
        <is>
          <t>AreaCode</t>
        </is>
      </c>
      <c r="C10352" s="129" t="inlineStr">
        <is>
          <t>地区代码</t>
        </is>
      </c>
      <c r="D10352" s="21" t="n">
        <v>140123</v>
      </c>
      <c r="E10352" s="21" t="inlineStr">
        <is>
          <t>山西省太原市娄烦县</t>
        </is>
      </c>
    </row>
    <row r="10353">
      <c r="B10353" s="41" t="inlineStr">
        <is>
          <t>AreaCode</t>
        </is>
      </c>
      <c r="C10353" s="129" t="inlineStr">
        <is>
          <t>地区代码</t>
        </is>
      </c>
      <c r="D10353" s="21" t="n">
        <v>140181</v>
      </c>
      <c r="E10353" s="21" t="inlineStr">
        <is>
          <t>山西省太原市古交市</t>
        </is>
      </c>
    </row>
    <row r="10354">
      <c r="B10354" s="41" t="inlineStr">
        <is>
          <t>AreaCode</t>
        </is>
      </c>
      <c r="C10354" s="129" t="inlineStr">
        <is>
          <t>地区代码</t>
        </is>
      </c>
      <c r="D10354" s="21" t="n">
        <v>140200</v>
      </c>
      <c r="E10354" s="21" t="inlineStr">
        <is>
          <t>山西省大同市</t>
        </is>
      </c>
    </row>
    <row r="10355">
      <c r="B10355" s="41" t="inlineStr">
        <is>
          <t>AreaCode</t>
        </is>
      </c>
      <c r="C10355" s="129" t="inlineStr">
        <is>
          <t>地区代码</t>
        </is>
      </c>
      <c r="D10355" s="21" t="n">
        <v>140201</v>
      </c>
      <c r="E10355" s="21" t="inlineStr">
        <is>
          <t>山西省大同市市辖区</t>
        </is>
      </c>
    </row>
    <row r="10356">
      <c r="B10356" s="41" t="inlineStr">
        <is>
          <t>AreaCode</t>
        </is>
      </c>
      <c r="C10356" s="129" t="inlineStr">
        <is>
          <t>地区代码</t>
        </is>
      </c>
      <c r="D10356" s="21" t="n">
        <v>140202</v>
      </c>
      <c r="E10356" s="21" t="inlineStr">
        <is>
          <t>山西省大同市城区</t>
        </is>
      </c>
    </row>
    <row r="10357">
      <c r="B10357" s="41" t="inlineStr">
        <is>
          <t>AreaCode</t>
        </is>
      </c>
      <c r="C10357" s="129" t="inlineStr">
        <is>
          <t>地区代码</t>
        </is>
      </c>
      <c r="D10357" s="21" t="n">
        <v>140203</v>
      </c>
      <c r="E10357" s="21" t="inlineStr">
        <is>
          <t>山西省大同市矿区</t>
        </is>
      </c>
    </row>
    <row r="10358">
      <c r="B10358" s="41" t="inlineStr">
        <is>
          <t>AreaCode</t>
        </is>
      </c>
      <c r="C10358" s="129" t="inlineStr">
        <is>
          <t>地区代码</t>
        </is>
      </c>
      <c r="D10358" s="21" t="n">
        <v>140211</v>
      </c>
      <c r="E10358" s="21" t="inlineStr">
        <is>
          <t>山西省大同市南郊区</t>
        </is>
      </c>
    </row>
    <row r="10359">
      <c r="B10359" s="41" t="inlineStr">
        <is>
          <t>AreaCode</t>
        </is>
      </c>
      <c r="C10359" s="129" t="inlineStr">
        <is>
          <t>地区代码</t>
        </is>
      </c>
      <c r="D10359" s="21" t="n">
        <v>140212</v>
      </c>
      <c r="E10359" s="21" t="inlineStr">
        <is>
          <t>山西省大同市新荣区</t>
        </is>
      </c>
    </row>
    <row r="10360">
      <c r="B10360" s="41" t="inlineStr">
        <is>
          <t>AreaCode</t>
        </is>
      </c>
      <c r="C10360" s="129" t="inlineStr">
        <is>
          <t>地区代码</t>
        </is>
      </c>
      <c r="D10360" s="21" t="n">
        <v>140221</v>
      </c>
      <c r="E10360" s="21" t="inlineStr">
        <is>
          <t>山西省大同市阳高县</t>
        </is>
      </c>
    </row>
    <row r="10361">
      <c r="B10361" s="41" t="inlineStr">
        <is>
          <t>AreaCode</t>
        </is>
      </c>
      <c r="C10361" s="129" t="inlineStr">
        <is>
          <t>地区代码</t>
        </is>
      </c>
      <c r="D10361" s="21" t="n">
        <v>140222</v>
      </c>
      <c r="E10361" s="21" t="inlineStr">
        <is>
          <t>山西省大同市天镇县</t>
        </is>
      </c>
    </row>
    <row r="10362">
      <c r="B10362" s="41" t="inlineStr">
        <is>
          <t>AreaCode</t>
        </is>
      </c>
      <c r="C10362" s="129" t="inlineStr">
        <is>
          <t>地区代码</t>
        </is>
      </c>
      <c r="D10362" s="21" t="n">
        <v>140223</v>
      </c>
      <c r="E10362" s="21" t="inlineStr">
        <is>
          <t>山西省大同市广灵县</t>
        </is>
      </c>
    </row>
    <row r="10363">
      <c r="B10363" s="41" t="inlineStr">
        <is>
          <t>AreaCode</t>
        </is>
      </c>
      <c r="C10363" s="129" t="inlineStr">
        <is>
          <t>地区代码</t>
        </is>
      </c>
      <c r="D10363" s="21" t="n">
        <v>140224</v>
      </c>
      <c r="E10363" s="21" t="inlineStr">
        <is>
          <t>山西省大同市灵丘县</t>
        </is>
      </c>
    </row>
    <row r="10364">
      <c r="B10364" s="41" t="inlineStr">
        <is>
          <t>AreaCode</t>
        </is>
      </c>
      <c r="C10364" s="129" t="inlineStr">
        <is>
          <t>地区代码</t>
        </is>
      </c>
      <c r="D10364" s="21" t="n">
        <v>140225</v>
      </c>
      <c r="E10364" s="21" t="inlineStr">
        <is>
          <t>山西省大同市浑源县</t>
        </is>
      </c>
    </row>
    <row r="10365">
      <c r="B10365" s="41" t="inlineStr">
        <is>
          <t>AreaCode</t>
        </is>
      </c>
      <c r="C10365" s="129" t="inlineStr">
        <is>
          <t>地区代码</t>
        </is>
      </c>
      <c r="D10365" s="21" t="n">
        <v>140226</v>
      </c>
      <c r="E10365" s="21" t="inlineStr">
        <is>
          <t>山西省大同市左云县</t>
        </is>
      </c>
    </row>
    <row r="10366">
      <c r="B10366" s="41" t="inlineStr">
        <is>
          <t>AreaCode</t>
        </is>
      </c>
      <c r="C10366" s="129" t="inlineStr">
        <is>
          <t>地区代码</t>
        </is>
      </c>
      <c r="D10366" s="21" t="n">
        <v>140227</v>
      </c>
      <c r="E10366" s="21" t="inlineStr">
        <is>
          <t>山西省大同市大同县</t>
        </is>
      </c>
    </row>
    <row r="10367">
      <c r="B10367" s="41" t="inlineStr">
        <is>
          <t>AreaCode</t>
        </is>
      </c>
      <c r="C10367" s="129" t="inlineStr">
        <is>
          <t>地区代码</t>
        </is>
      </c>
      <c r="D10367" s="21" t="n">
        <v>140300</v>
      </c>
      <c r="E10367" s="21" t="inlineStr">
        <is>
          <t>山西省阳泉市</t>
        </is>
      </c>
    </row>
    <row r="10368">
      <c r="B10368" s="41" t="inlineStr">
        <is>
          <t>AreaCode</t>
        </is>
      </c>
      <c r="C10368" s="129" t="inlineStr">
        <is>
          <t>地区代码</t>
        </is>
      </c>
      <c r="D10368" s="21" t="n">
        <v>140301</v>
      </c>
      <c r="E10368" s="21" t="inlineStr">
        <is>
          <t>山西省阳泉市市辖区</t>
        </is>
      </c>
    </row>
    <row r="10369">
      <c r="B10369" s="41" t="inlineStr">
        <is>
          <t>AreaCode</t>
        </is>
      </c>
      <c r="C10369" s="129" t="inlineStr">
        <is>
          <t>地区代码</t>
        </is>
      </c>
      <c r="D10369" s="21" t="n">
        <v>140302</v>
      </c>
      <c r="E10369" s="21" t="inlineStr">
        <is>
          <t>山西省阳泉市城区</t>
        </is>
      </c>
    </row>
    <row r="10370">
      <c r="B10370" s="41" t="inlineStr">
        <is>
          <t>AreaCode</t>
        </is>
      </c>
      <c r="C10370" s="129" t="inlineStr">
        <is>
          <t>地区代码</t>
        </is>
      </c>
      <c r="D10370" s="21" t="n">
        <v>140303</v>
      </c>
      <c r="E10370" s="21" t="inlineStr">
        <is>
          <t>山西省阳泉市矿区</t>
        </is>
      </c>
    </row>
    <row r="10371">
      <c r="B10371" s="41" t="inlineStr">
        <is>
          <t>AreaCode</t>
        </is>
      </c>
      <c r="C10371" s="129" t="inlineStr">
        <is>
          <t>地区代码</t>
        </is>
      </c>
      <c r="D10371" s="21" t="n">
        <v>140311</v>
      </c>
      <c r="E10371" s="21" t="inlineStr">
        <is>
          <t>山西省阳泉市郊区</t>
        </is>
      </c>
    </row>
    <row r="10372">
      <c r="B10372" s="41" t="inlineStr">
        <is>
          <t>AreaCode</t>
        </is>
      </c>
      <c r="C10372" s="129" t="inlineStr">
        <is>
          <t>地区代码</t>
        </is>
      </c>
      <c r="D10372" s="21" t="n">
        <v>140321</v>
      </c>
      <c r="E10372" s="21" t="inlineStr">
        <is>
          <t>山西省阳泉市平定县</t>
        </is>
      </c>
    </row>
    <row r="10373">
      <c r="B10373" s="41" t="inlineStr">
        <is>
          <t>AreaCode</t>
        </is>
      </c>
      <c r="C10373" s="129" t="inlineStr">
        <is>
          <t>地区代码</t>
        </is>
      </c>
      <c r="D10373" s="21" t="n">
        <v>140322</v>
      </c>
      <c r="E10373" s="21" t="inlineStr">
        <is>
          <t>山西省阳泉市盂县</t>
        </is>
      </c>
    </row>
    <row r="10374">
      <c r="B10374" s="41" t="inlineStr">
        <is>
          <t>AreaCode</t>
        </is>
      </c>
      <c r="C10374" s="129" t="inlineStr">
        <is>
          <t>地区代码</t>
        </is>
      </c>
      <c r="D10374" s="21" t="n">
        <v>140400</v>
      </c>
      <c r="E10374" s="21" t="inlineStr">
        <is>
          <t>山西省长治市</t>
        </is>
      </c>
    </row>
    <row r="10375">
      <c r="B10375" s="41" t="inlineStr">
        <is>
          <t>AreaCode</t>
        </is>
      </c>
      <c r="C10375" s="129" t="inlineStr">
        <is>
          <t>地区代码</t>
        </is>
      </c>
      <c r="D10375" s="21" t="n">
        <v>140401</v>
      </c>
      <c r="E10375" s="21" t="inlineStr">
        <is>
          <t>山西省长治市市辖区</t>
        </is>
      </c>
    </row>
    <row r="10376">
      <c r="B10376" s="41" t="inlineStr">
        <is>
          <t>AreaCode</t>
        </is>
      </c>
      <c r="C10376" s="129" t="inlineStr">
        <is>
          <t>地区代码</t>
        </is>
      </c>
      <c r="D10376" s="21" t="n">
        <v>140402</v>
      </c>
      <c r="E10376" s="21" t="inlineStr">
        <is>
          <t>山西省长治市城区</t>
        </is>
      </c>
    </row>
    <row r="10377">
      <c r="B10377" s="41" t="inlineStr">
        <is>
          <t>AreaCode</t>
        </is>
      </c>
      <c r="C10377" s="129" t="inlineStr">
        <is>
          <t>地区代码</t>
        </is>
      </c>
      <c r="D10377" s="21" t="n">
        <v>140411</v>
      </c>
      <c r="E10377" s="21" t="inlineStr">
        <is>
          <t>山西省长治市郊区</t>
        </is>
      </c>
    </row>
    <row r="10378">
      <c r="B10378" s="41" t="inlineStr">
        <is>
          <t>AreaCode</t>
        </is>
      </c>
      <c r="C10378" s="129" t="inlineStr">
        <is>
          <t>地区代码</t>
        </is>
      </c>
      <c r="D10378" s="21" t="n">
        <v>140421</v>
      </c>
      <c r="E10378" s="21" t="inlineStr">
        <is>
          <t>山西省长治市长治县</t>
        </is>
      </c>
    </row>
    <row r="10379">
      <c r="B10379" s="41" t="inlineStr">
        <is>
          <t>AreaCode</t>
        </is>
      </c>
      <c r="C10379" s="129" t="inlineStr">
        <is>
          <t>地区代码</t>
        </is>
      </c>
      <c r="D10379" s="21" t="n">
        <v>140423</v>
      </c>
      <c r="E10379" s="21" t="inlineStr">
        <is>
          <t>山西省长治市襄垣县</t>
        </is>
      </c>
    </row>
    <row r="10380">
      <c r="B10380" s="41" t="inlineStr">
        <is>
          <t>AreaCode</t>
        </is>
      </c>
      <c r="C10380" s="129" t="inlineStr">
        <is>
          <t>地区代码</t>
        </is>
      </c>
      <c r="D10380" s="21" t="n">
        <v>140424</v>
      </c>
      <c r="E10380" s="21" t="inlineStr">
        <is>
          <t>山西省长治市屯留县</t>
        </is>
      </c>
    </row>
    <row r="10381">
      <c r="B10381" s="41" t="inlineStr">
        <is>
          <t>AreaCode</t>
        </is>
      </c>
      <c r="C10381" s="129" t="inlineStr">
        <is>
          <t>地区代码</t>
        </is>
      </c>
      <c r="D10381" s="21" t="n">
        <v>140425</v>
      </c>
      <c r="E10381" s="21" t="inlineStr">
        <is>
          <t>山西省长治市平顺县</t>
        </is>
      </c>
    </row>
    <row r="10382">
      <c r="B10382" s="41" t="inlineStr">
        <is>
          <t>AreaCode</t>
        </is>
      </c>
      <c r="C10382" s="129" t="inlineStr">
        <is>
          <t>地区代码</t>
        </is>
      </c>
      <c r="D10382" s="21" t="n">
        <v>140426</v>
      </c>
      <c r="E10382" s="21" t="inlineStr">
        <is>
          <t>山西省长治市黎城县</t>
        </is>
      </c>
    </row>
    <row r="10383">
      <c r="B10383" s="41" t="inlineStr">
        <is>
          <t>AreaCode</t>
        </is>
      </c>
      <c r="C10383" s="129" t="inlineStr">
        <is>
          <t>地区代码</t>
        </is>
      </c>
      <c r="D10383" s="21" t="n">
        <v>140427</v>
      </c>
      <c r="E10383" s="21" t="inlineStr">
        <is>
          <t>山西省长治市壶关县</t>
        </is>
      </c>
    </row>
    <row r="10384">
      <c r="B10384" s="41" t="inlineStr">
        <is>
          <t>AreaCode</t>
        </is>
      </c>
      <c r="C10384" s="129" t="inlineStr">
        <is>
          <t>地区代码</t>
        </is>
      </c>
      <c r="D10384" s="21" t="n">
        <v>140428</v>
      </c>
      <c r="E10384" s="21" t="inlineStr">
        <is>
          <t>山西省长治市长子县</t>
        </is>
      </c>
    </row>
    <row r="10385">
      <c r="B10385" s="41" t="inlineStr">
        <is>
          <t>AreaCode</t>
        </is>
      </c>
      <c r="C10385" s="129" t="inlineStr">
        <is>
          <t>地区代码</t>
        </is>
      </c>
      <c r="D10385" s="21" t="n">
        <v>140429</v>
      </c>
      <c r="E10385" s="21" t="inlineStr">
        <is>
          <t>山西省长治市武乡县</t>
        </is>
      </c>
    </row>
    <row r="10386">
      <c r="B10386" s="41" t="inlineStr">
        <is>
          <t>AreaCode</t>
        </is>
      </c>
      <c r="C10386" s="129" t="inlineStr">
        <is>
          <t>地区代码</t>
        </is>
      </c>
      <c r="D10386" s="21" t="n">
        <v>140430</v>
      </c>
      <c r="E10386" s="21" t="inlineStr">
        <is>
          <t>山西省市辖区沁县</t>
        </is>
      </c>
    </row>
    <row r="10387">
      <c r="B10387" s="41" t="inlineStr">
        <is>
          <t>AreaCode</t>
        </is>
      </c>
      <c r="C10387" s="129" t="inlineStr">
        <is>
          <t>地区代码</t>
        </is>
      </c>
      <c r="D10387" s="21" t="n">
        <v>140431</v>
      </c>
      <c r="E10387" s="21" t="inlineStr">
        <is>
          <t>山西省长治市沁源县</t>
        </is>
      </c>
    </row>
    <row r="10388">
      <c r="B10388" s="41" t="inlineStr">
        <is>
          <t>AreaCode</t>
        </is>
      </c>
      <c r="C10388" s="129" t="inlineStr">
        <is>
          <t>地区代码</t>
        </is>
      </c>
      <c r="D10388" s="21" t="n">
        <v>140481</v>
      </c>
      <c r="E10388" s="21" t="inlineStr">
        <is>
          <t>山西省长治市潞城市</t>
        </is>
      </c>
    </row>
    <row r="10389">
      <c r="B10389" s="41" t="inlineStr">
        <is>
          <t>AreaCode</t>
        </is>
      </c>
      <c r="C10389" s="129" t="inlineStr">
        <is>
          <t>地区代码</t>
        </is>
      </c>
      <c r="D10389" s="21" t="n">
        <v>140500</v>
      </c>
      <c r="E10389" s="21" t="inlineStr">
        <is>
          <t>山西省晋城市</t>
        </is>
      </c>
    </row>
    <row r="10390">
      <c r="B10390" s="41" t="inlineStr">
        <is>
          <t>AreaCode</t>
        </is>
      </c>
      <c r="C10390" s="129" t="inlineStr">
        <is>
          <t>地区代码</t>
        </is>
      </c>
      <c r="D10390" s="21" t="n">
        <v>140501</v>
      </c>
      <c r="E10390" s="21" t="inlineStr">
        <is>
          <t>山西省晋城市市辖区</t>
        </is>
      </c>
    </row>
    <row r="10391">
      <c r="B10391" s="41" t="inlineStr">
        <is>
          <t>AreaCode</t>
        </is>
      </c>
      <c r="C10391" s="129" t="inlineStr">
        <is>
          <t>地区代码</t>
        </is>
      </c>
      <c r="D10391" s="21" t="n">
        <v>140502</v>
      </c>
      <c r="E10391" s="21" t="inlineStr">
        <is>
          <t>山西省晋城市城区</t>
        </is>
      </c>
    </row>
    <row r="10392">
      <c r="B10392" s="41" t="inlineStr">
        <is>
          <t>AreaCode</t>
        </is>
      </c>
      <c r="C10392" s="129" t="inlineStr">
        <is>
          <t>地区代码</t>
        </is>
      </c>
      <c r="D10392" s="21" t="n">
        <v>140521</v>
      </c>
      <c r="E10392" s="21" t="inlineStr">
        <is>
          <t>山西省晋城市沁水县</t>
        </is>
      </c>
    </row>
    <row r="10393">
      <c r="B10393" s="41" t="inlineStr">
        <is>
          <t>AreaCode</t>
        </is>
      </c>
      <c r="C10393" s="129" t="inlineStr">
        <is>
          <t>地区代码</t>
        </is>
      </c>
      <c r="D10393" s="21" t="n">
        <v>140522</v>
      </c>
      <c r="E10393" s="21" t="inlineStr">
        <is>
          <t>山西省晋城市阳城县</t>
        </is>
      </c>
    </row>
    <row r="10394">
      <c r="B10394" s="41" t="inlineStr">
        <is>
          <t>AreaCode</t>
        </is>
      </c>
      <c r="C10394" s="129" t="inlineStr">
        <is>
          <t>地区代码</t>
        </is>
      </c>
      <c r="D10394" s="21" t="n">
        <v>140524</v>
      </c>
      <c r="E10394" s="21" t="inlineStr">
        <is>
          <t>山西省晋城市陵川县</t>
        </is>
      </c>
    </row>
    <row r="10395">
      <c r="B10395" s="41" t="inlineStr">
        <is>
          <t>AreaCode</t>
        </is>
      </c>
      <c r="C10395" s="129" t="inlineStr">
        <is>
          <t>地区代码</t>
        </is>
      </c>
      <c r="D10395" s="21" t="n">
        <v>140525</v>
      </c>
      <c r="E10395" s="21" t="inlineStr">
        <is>
          <t>山西省晋城市泽州县</t>
        </is>
      </c>
    </row>
    <row r="10396">
      <c r="B10396" s="41" t="inlineStr">
        <is>
          <t>AreaCode</t>
        </is>
      </c>
      <c r="C10396" s="129" t="inlineStr">
        <is>
          <t>地区代码</t>
        </is>
      </c>
      <c r="D10396" s="21" t="n">
        <v>140581</v>
      </c>
      <c r="E10396" s="21" t="inlineStr">
        <is>
          <t>山西省晋城市高平市</t>
        </is>
      </c>
    </row>
    <row r="10397">
      <c r="B10397" s="41" t="inlineStr">
        <is>
          <t>AreaCode</t>
        </is>
      </c>
      <c r="C10397" s="129" t="inlineStr">
        <is>
          <t>地区代码</t>
        </is>
      </c>
      <c r="D10397" s="21" t="n">
        <v>140600</v>
      </c>
      <c r="E10397" s="21" t="inlineStr">
        <is>
          <t>山西省朔州市</t>
        </is>
      </c>
    </row>
    <row r="10398">
      <c r="B10398" s="41" t="inlineStr">
        <is>
          <t>AreaCode</t>
        </is>
      </c>
      <c r="C10398" s="129" t="inlineStr">
        <is>
          <t>地区代码</t>
        </is>
      </c>
      <c r="D10398" s="21" t="n">
        <v>140601</v>
      </c>
      <c r="E10398" s="21" t="inlineStr">
        <is>
          <t>山西省朔州市市辖区</t>
        </is>
      </c>
    </row>
    <row r="10399">
      <c r="B10399" s="41" t="inlineStr">
        <is>
          <t>AreaCode</t>
        </is>
      </c>
      <c r="C10399" s="129" t="inlineStr">
        <is>
          <t>地区代码</t>
        </is>
      </c>
      <c r="D10399" s="21" t="n">
        <v>140602</v>
      </c>
      <c r="E10399" s="21" t="inlineStr">
        <is>
          <t>山西省朔州市朔城区</t>
        </is>
      </c>
    </row>
    <row r="10400">
      <c r="B10400" s="41" t="inlineStr">
        <is>
          <t>AreaCode</t>
        </is>
      </c>
      <c r="C10400" s="129" t="inlineStr">
        <is>
          <t>地区代码</t>
        </is>
      </c>
      <c r="D10400" s="21" t="n">
        <v>140603</v>
      </c>
      <c r="E10400" s="21" t="inlineStr">
        <is>
          <t>山西省朔州市平鲁区</t>
        </is>
      </c>
    </row>
    <row r="10401">
      <c r="B10401" s="41" t="inlineStr">
        <is>
          <t>AreaCode</t>
        </is>
      </c>
      <c r="C10401" s="129" t="inlineStr">
        <is>
          <t>地区代码</t>
        </is>
      </c>
      <c r="D10401" s="21" t="n">
        <v>140621</v>
      </c>
      <c r="E10401" s="21" t="inlineStr">
        <is>
          <t>山西省朔州市山阴县</t>
        </is>
      </c>
    </row>
    <row r="10402">
      <c r="B10402" s="41" t="inlineStr">
        <is>
          <t>AreaCode</t>
        </is>
      </c>
      <c r="C10402" s="129" t="inlineStr">
        <is>
          <t>地区代码</t>
        </is>
      </c>
      <c r="D10402" s="21" t="n">
        <v>140622</v>
      </c>
      <c r="E10402" s="21" t="inlineStr">
        <is>
          <t>山西省朔州市应县</t>
        </is>
      </c>
    </row>
    <row r="10403">
      <c r="B10403" s="41" t="inlineStr">
        <is>
          <t>AreaCode</t>
        </is>
      </c>
      <c r="C10403" s="129" t="inlineStr">
        <is>
          <t>地区代码</t>
        </is>
      </c>
      <c r="D10403" s="21" t="n">
        <v>140623</v>
      </c>
      <c r="E10403" s="21" t="inlineStr">
        <is>
          <t>山西省朔州市右玉县</t>
        </is>
      </c>
    </row>
    <row r="10404">
      <c r="B10404" s="41" t="inlineStr">
        <is>
          <t>AreaCode</t>
        </is>
      </c>
      <c r="C10404" s="129" t="inlineStr">
        <is>
          <t>地区代码</t>
        </is>
      </c>
      <c r="D10404" s="21" t="n">
        <v>140624</v>
      </c>
      <c r="E10404" s="21" t="inlineStr">
        <is>
          <t>山西省朔州市怀仁县</t>
        </is>
      </c>
    </row>
    <row r="10405">
      <c r="B10405" s="41" t="inlineStr">
        <is>
          <t>AreaCode</t>
        </is>
      </c>
      <c r="C10405" s="129" t="inlineStr">
        <is>
          <t>地区代码</t>
        </is>
      </c>
      <c r="D10405" s="21" t="n">
        <v>140700</v>
      </c>
      <c r="E10405" s="21" t="inlineStr">
        <is>
          <t>山西省晋中市</t>
        </is>
      </c>
    </row>
    <row r="10406">
      <c r="B10406" s="41" t="inlineStr">
        <is>
          <t>AreaCode</t>
        </is>
      </c>
      <c r="C10406" s="129" t="inlineStr">
        <is>
          <t>地区代码</t>
        </is>
      </c>
      <c r="D10406" s="21" t="n">
        <v>140701</v>
      </c>
      <c r="E10406" s="21" t="inlineStr">
        <is>
          <t>山西省晋中市市辖区</t>
        </is>
      </c>
    </row>
    <row r="10407">
      <c r="B10407" s="41" t="inlineStr">
        <is>
          <t>AreaCode</t>
        </is>
      </c>
      <c r="C10407" s="129" t="inlineStr">
        <is>
          <t>地区代码</t>
        </is>
      </c>
      <c r="D10407" s="21" t="n">
        <v>140702</v>
      </c>
      <c r="E10407" s="21" t="inlineStr">
        <is>
          <t>山西省晋中市榆次区</t>
        </is>
      </c>
    </row>
    <row r="10408">
      <c r="B10408" s="41" t="inlineStr">
        <is>
          <t>AreaCode</t>
        </is>
      </c>
      <c r="C10408" s="129" t="inlineStr">
        <is>
          <t>地区代码</t>
        </is>
      </c>
      <c r="D10408" s="21" t="n">
        <v>140721</v>
      </c>
      <c r="E10408" s="21" t="inlineStr">
        <is>
          <t>山西省晋中市榆社县</t>
        </is>
      </c>
    </row>
    <row r="10409">
      <c r="B10409" s="41" t="inlineStr">
        <is>
          <t>AreaCode</t>
        </is>
      </c>
      <c r="C10409" s="129" t="inlineStr">
        <is>
          <t>地区代码</t>
        </is>
      </c>
      <c r="D10409" s="21" t="n">
        <v>140722</v>
      </c>
      <c r="E10409" s="21" t="inlineStr">
        <is>
          <t>山西省晋中市左权县</t>
        </is>
      </c>
    </row>
    <row r="10410">
      <c r="B10410" s="41" t="inlineStr">
        <is>
          <t>AreaCode</t>
        </is>
      </c>
      <c r="C10410" s="129" t="inlineStr">
        <is>
          <t>地区代码</t>
        </is>
      </c>
      <c r="D10410" s="21" t="n">
        <v>140723</v>
      </c>
      <c r="E10410" s="21" t="inlineStr">
        <is>
          <t>山西省晋中市和顺县</t>
        </is>
      </c>
    </row>
    <row r="10411">
      <c r="B10411" s="41" t="inlineStr">
        <is>
          <t>AreaCode</t>
        </is>
      </c>
      <c r="C10411" s="129" t="inlineStr">
        <is>
          <t>地区代码</t>
        </is>
      </c>
      <c r="D10411" s="21" t="n">
        <v>140724</v>
      </c>
      <c r="E10411" s="21" t="inlineStr">
        <is>
          <t>山西省晋中市昔阳县</t>
        </is>
      </c>
    </row>
    <row r="10412">
      <c r="B10412" s="41" t="inlineStr">
        <is>
          <t>AreaCode</t>
        </is>
      </c>
      <c r="C10412" s="129" t="inlineStr">
        <is>
          <t>地区代码</t>
        </is>
      </c>
      <c r="D10412" s="21" t="n">
        <v>140725</v>
      </c>
      <c r="E10412" s="21" t="inlineStr">
        <is>
          <t>山西省晋中市寿阳县</t>
        </is>
      </c>
    </row>
    <row r="10413">
      <c r="B10413" s="41" t="inlineStr">
        <is>
          <t>AreaCode</t>
        </is>
      </c>
      <c r="C10413" s="129" t="inlineStr">
        <is>
          <t>地区代码</t>
        </is>
      </c>
      <c r="D10413" s="21" t="n">
        <v>140726</v>
      </c>
      <c r="E10413" s="21" t="inlineStr">
        <is>
          <t>山西省晋中市太谷县</t>
        </is>
      </c>
    </row>
    <row r="10414">
      <c r="B10414" s="41" t="inlineStr">
        <is>
          <t>AreaCode</t>
        </is>
      </c>
      <c r="C10414" s="129" t="inlineStr">
        <is>
          <t>地区代码</t>
        </is>
      </c>
      <c r="D10414" s="21" t="n">
        <v>140727</v>
      </c>
      <c r="E10414" s="21" t="inlineStr">
        <is>
          <t>山西省晋中市祁县</t>
        </is>
      </c>
    </row>
    <row r="10415">
      <c r="B10415" s="41" t="inlineStr">
        <is>
          <t>AreaCode</t>
        </is>
      </c>
      <c r="C10415" s="129" t="inlineStr">
        <is>
          <t>地区代码</t>
        </is>
      </c>
      <c r="D10415" s="21" t="n">
        <v>140728</v>
      </c>
      <c r="E10415" s="21" t="inlineStr">
        <is>
          <t>山西省晋中市平遥县</t>
        </is>
      </c>
    </row>
    <row r="10416">
      <c r="B10416" s="41" t="inlineStr">
        <is>
          <t>AreaCode</t>
        </is>
      </c>
      <c r="C10416" s="129" t="inlineStr">
        <is>
          <t>地区代码</t>
        </is>
      </c>
      <c r="D10416" s="21" t="n">
        <v>140729</v>
      </c>
      <c r="E10416" s="21" t="inlineStr">
        <is>
          <t>山西省晋中市灵石县</t>
        </is>
      </c>
    </row>
    <row r="10417">
      <c r="B10417" s="41" t="inlineStr">
        <is>
          <t>AreaCode</t>
        </is>
      </c>
      <c r="C10417" s="129" t="inlineStr">
        <is>
          <t>地区代码</t>
        </is>
      </c>
      <c r="D10417" s="21" t="n">
        <v>140781</v>
      </c>
      <c r="E10417" s="21" t="inlineStr">
        <is>
          <t>山西省晋中市介休市</t>
        </is>
      </c>
    </row>
    <row r="10418">
      <c r="B10418" s="41" t="inlineStr">
        <is>
          <t>AreaCode</t>
        </is>
      </c>
      <c r="C10418" s="129" t="inlineStr">
        <is>
          <t>地区代码</t>
        </is>
      </c>
      <c r="D10418" s="21" t="n">
        <v>140800</v>
      </c>
      <c r="E10418" s="21" t="inlineStr">
        <is>
          <t>山西省运城市</t>
        </is>
      </c>
    </row>
    <row r="10419">
      <c r="B10419" s="41" t="inlineStr">
        <is>
          <t>AreaCode</t>
        </is>
      </c>
      <c r="C10419" s="129" t="inlineStr">
        <is>
          <t>地区代码</t>
        </is>
      </c>
      <c r="D10419" s="21" t="n">
        <v>140801</v>
      </c>
      <c r="E10419" s="21" t="inlineStr">
        <is>
          <t>山西省运城市市辖区</t>
        </is>
      </c>
    </row>
    <row r="10420">
      <c r="B10420" s="41" t="inlineStr">
        <is>
          <t>AreaCode</t>
        </is>
      </c>
      <c r="C10420" s="129" t="inlineStr">
        <is>
          <t>地区代码</t>
        </is>
      </c>
      <c r="D10420" s="21" t="n">
        <v>140802</v>
      </c>
      <c r="E10420" s="21" t="inlineStr">
        <is>
          <t>山西省运城市盐湖区</t>
        </is>
      </c>
    </row>
    <row r="10421">
      <c r="B10421" s="41" t="inlineStr">
        <is>
          <t>AreaCode</t>
        </is>
      </c>
      <c r="C10421" s="129" t="inlineStr">
        <is>
          <t>地区代码</t>
        </is>
      </c>
      <c r="D10421" s="21" t="n">
        <v>140821</v>
      </c>
      <c r="E10421" s="21" t="inlineStr">
        <is>
          <t>山西省运城市临猗县</t>
        </is>
      </c>
    </row>
    <row r="10422">
      <c r="B10422" s="41" t="inlineStr">
        <is>
          <t>AreaCode</t>
        </is>
      </c>
      <c r="C10422" s="129" t="inlineStr">
        <is>
          <t>地区代码</t>
        </is>
      </c>
      <c r="D10422" s="21" t="n">
        <v>140822</v>
      </c>
      <c r="E10422" s="21" t="inlineStr">
        <is>
          <t>山西省运城市万荣县</t>
        </is>
      </c>
    </row>
    <row r="10423">
      <c r="B10423" s="41" t="inlineStr">
        <is>
          <t>AreaCode</t>
        </is>
      </c>
      <c r="C10423" s="129" t="inlineStr">
        <is>
          <t>地区代码</t>
        </is>
      </c>
      <c r="D10423" s="21" t="n">
        <v>140823</v>
      </c>
      <c r="E10423" s="21" t="inlineStr">
        <is>
          <t>山西省运城市闻喜县</t>
        </is>
      </c>
    </row>
    <row r="10424">
      <c r="B10424" s="41" t="inlineStr">
        <is>
          <t>AreaCode</t>
        </is>
      </c>
      <c r="C10424" s="129" t="inlineStr">
        <is>
          <t>地区代码</t>
        </is>
      </c>
      <c r="D10424" s="21" t="n">
        <v>140824</v>
      </c>
      <c r="E10424" s="21" t="inlineStr">
        <is>
          <t>山西省运城市稷山县</t>
        </is>
      </c>
    </row>
    <row r="10425">
      <c r="B10425" s="41" t="inlineStr">
        <is>
          <t>AreaCode</t>
        </is>
      </c>
      <c r="C10425" s="129" t="inlineStr">
        <is>
          <t>地区代码</t>
        </is>
      </c>
      <c r="D10425" s="21" t="n">
        <v>140825</v>
      </c>
      <c r="E10425" s="21" t="inlineStr">
        <is>
          <t>山西省运城市新绛县</t>
        </is>
      </c>
    </row>
    <row r="10426">
      <c r="B10426" s="41" t="inlineStr">
        <is>
          <t>AreaCode</t>
        </is>
      </c>
      <c r="C10426" s="129" t="inlineStr">
        <is>
          <t>地区代码</t>
        </is>
      </c>
      <c r="D10426" s="21" t="n">
        <v>140826</v>
      </c>
      <c r="E10426" s="21" t="inlineStr">
        <is>
          <t>山西省运城市绛县</t>
        </is>
      </c>
    </row>
    <row r="10427">
      <c r="B10427" s="41" t="inlineStr">
        <is>
          <t>AreaCode</t>
        </is>
      </c>
      <c r="C10427" s="129" t="inlineStr">
        <is>
          <t>地区代码</t>
        </is>
      </c>
      <c r="D10427" s="21" t="n">
        <v>140827</v>
      </c>
      <c r="E10427" s="21" t="inlineStr">
        <is>
          <t>山西省运城市垣曲县</t>
        </is>
      </c>
    </row>
    <row r="10428">
      <c r="B10428" s="41" t="inlineStr">
        <is>
          <t>AreaCode</t>
        </is>
      </c>
      <c r="C10428" s="129" t="inlineStr">
        <is>
          <t>地区代码</t>
        </is>
      </c>
      <c r="D10428" s="21" t="n">
        <v>140828</v>
      </c>
      <c r="E10428" s="21" t="inlineStr">
        <is>
          <t>山西省运城市夏县</t>
        </is>
      </c>
    </row>
    <row r="10429">
      <c r="B10429" s="41" t="inlineStr">
        <is>
          <t>AreaCode</t>
        </is>
      </c>
      <c r="C10429" s="129" t="inlineStr">
        <is>
          <t>地区代码</t>
        </is>
      </c>
      <c r="D10429" s="21" t="n">
        <v>140829</v>
      </c>
      <c r="E10429" s="21" t="inlineStr">
        <is>
          <t>山西省运城市平陆县</t>
        </is>
      </c>
    </row>
    <row r="10430">
      <c r="B10430" s="41" t="inlineStr">
        <is>
          <t>AreaCode</t>
        </is>
      </c>
      <c r="C10430" s="129" t="inlineStr">
        <is>
          <t>地区代码</t>
        </is>
      </c>
      <c r="D10430" s="21" t="n">
        <v>140830</v>
      </c>
      <c r="E10430" s="21" t="inlineStr">
        <is>
          <t>山西省运城市芮城县</t>
        </is>
      </c>
    </row>
    <row r="10431">
      <c r="B10431" s="41" t="inlineStr">
        <is>
          <t>AreaCode</t>
        </is>
      </c>
      <c r="C10431" s="129" t="inlineStr">
        <is>
          <t>地区代码</t>
        </is>
      </c>
      <c r="D10431" s="21" t="n">
        <v>140881</v>
      </c>
      <c r="E10431" s="21" t="inlineStr">
        <is>
          <t>山西省运城市永济市</t>
        </is>
      </c>
    </row>
    <row r="10432">
      <c r="B10432" s="41" t="inlineStr">
        <is>
          <t>AreaCode</t>
        </is>
      </c>
      <c r="C10432" s="129" t="inlineStr">
        <is>
          <t>地区代码</t>
        </is>
      </c>
      <c r="D10432" s="21" t="n">
        <v>140882</v>
      </c>
      <c r="E10432" s="21" t="inlineStr">
        <is>
          <t>山西省运城市河津市</t>
        </is>
      </c>
    </row>
    <row r="10433">
      <c r="B10433" s="41" t="inlineStr">
        <is>
          <t>AreaCode</t>
        </is>
      </c>
      <c r="C10433" s="129" t="inlineStr">
        <is>
          <t>地区代码</t>
        </is>
      </c>
      <c r="D10433" s="21" t="n">
        <v>140900</v>
      </c>
      <c r="E10433" s="21" t="inlineStr">
        <is>
          <t>山西省忻州市</t>
        </is>
      </c>
    </row>
    <row r="10434">
      <c r="B10434" s="41" t="inlineStr">
        <is>
          <t>AreaCode</t>
        </is>
      </c>
      <c r="C10434" s="129" t="inlineStr">
        <is>
          <t>地区代码</t>
        </is>
      </c>
      <c r="D10434" s="21" t="n">
        <v>140901</v>
      </c>
      <c r="E10434" s="21" t="inlineStr">
        <is>
          <t>山西省忻州市市辖区</t>
        </is>
      </c>
    </row>
    <row r="10435">
      <c r="B10435" s="41" t="inlineStr">
        <is>
          <t>AreaCode</t>
        </is>
      </c>
      <c r="C10435" s="129" t="inlineStr">
        <is>
          <t>地区代码</t>
        </is>
      </c>
      <c r="D10435" s="21" t="n">
        <v>140902</v>
      </c>
      <c r="E10435" s="21" t="inlineStr">
        <is>
          <t>山西省忻州市忻府区</t>
        </is>
      </c>
    </row>
    <row r="10436">
      <c r="B10436" s="41" t="inlineStr">
        <is>
          <t>AreaCode</t>
        </is>
      </c>
      <c r="C10436" s="129" t="inlineStr">
        <is>
          <t>地区代码</t>
        </is>
      </c>
      <c r="D10436" s="21" t="n">
        <v>140921</v>
      </c>
      <c r="E10436" s="21" t="inlineStr">
        <is>
          <t>山西省忻州市定襄县</t>
        </is>
      </c>
    </row>
    <row r="10437">
      <c r="B10437" s="41" t="inlineStr">
        <is>
          <t>AreaCode</t>
        </is>
      </c>
      <c r="C10437" s="129" t="inlineStr">
        <is>
          <t>地区代码</t>
        </is>
      </c>
      <c r="D10437" s="21" t="n">
        <v>140922</v>
      </c>
      <c r="E10437" s="21" t="inlineStr">
        <is>
          <t>山西省忻州市五台县</t>
        </is>
      </c>
    </row>
    <row r="10438">
      <c r="B10438" s="41" t="inlineStr">
        <is>
          <t>AreaCode</t>
        </is>
      </c>
      <c r="C10438" s="129" t="inlineStr">
        <is>
          <t>地区代码</t>
        </is>
      </c>
      <c r="D10438" s="21" t="n">
        <v>140923</v>
      </c>
      <c r="E10438" s="21" t="inlineStr">
        <is>
          <t>山西省忻州市代县</t>
        </is>
      </c>
    </row>
    <row r="10439">
      <c r="B10439" s="41" t="inlineStr">
        <is>
          <t>AreaCode</t>
        </is>
      </c>
      <c r="C10439" s="129" t="inlineStr">
        <is>
          <t>地区代码</t>
        </is>
      </c>
      <c r="D10439" s="21" t="n">
        <v>140924</v>
      </c>
      <c r="E10439" s="21" t="inlineStr">
        <is>
          <t>山西省忻州市繁峙县</t>
        </is>
      </c>
    </row>
    <row r="10440">
      <c r="B10440" s="41" t="inlineStr">
        <is>
          <t>AreaCode</t>
        </is>
      </c>
      <c r="C10440" s="129" t="inlineStr">
        <is>
          <t>地区代码</t>
        </is>
      </c>
      <c r="D10440" s="21" t="n">
        <v>140925</v>
      </c>
      <c r="E10440" s="21" t="inlineStr">
        <is>
          <t>山西省忻州市宁武县</t>
        </is>
      </c>
    </row>
    <row r="10441">
      <c r="B10441" s="41" t="inlineStr">
        <is>
          <t>AreaCode</t>
        </is>
      </c>
      <c r="C10441" s="129" t="inlineStr">
        <is>
          <t>地区代码</t>
        </is>
      </c>
      <c r="D10441" s="21" t="n">
        <v>140926</v>
      </c>
      <c r="E10441" s="21" t="inlineStr">
        <is>
          <t>山西省忻州市静乐县</t>
        </is>
      </c>
    </row>
    <row r="10442">
      <c r="B10442" s="41" t="inlineStr">
        <is>
          <t>AreaCode</t>
        </is>
      </c>
      <c r="C10442" s="129" t="inlineStr">
        <is>
          <t>地区代码</t>
        </is>
      </c>
      <c r="D10442" s="21" t="n">
        <v>140927</v>
      </c>
      <c r="E10442" s="21" t="inlineStr">
        <is>
          <t>山西省忻州市神池县</t>
        </is>
      </c>
    </row>
    <row r="10443">
      <c r="B10443" s="41" t="inlineStr">
        <is>
          <t>AreaCode</t>
        </is>
      </c>
      <c r="C10443" s="129" t="inlineStr">
        <is>
          <t>地区代码</t>
        </is>
      </c>
      <c r="D10443" s="21" t="n">
        <v>140928</v>
      </c>
      <c r="E10443" s="21" t="inlineStr">
        <is>
          <t>山西省忻州市五寨县</t>
        </is>
      </c>
    </row>
    <row r="10444">
      <c r="B10444" s="41" t="inlineStr">
        <is>
          <t>AreaCode</t>
        </is>
      </c>
      <c r="C10444" s="129" t="inlineStr">
        <is>
          <t>地区代码</t>
        </is>
      </c>
      <c r="D10444" s="21" t="n">
        <v>140929</v>
      </c>
      <c r="E10444" s="21" t="inlineStr">
        <is>
          <t>山西省忻州市岢岚县</t>
        </is>
      </c>
    </row>
    <row r="10445">
      <c r="B10445" s="41" t="inlineStr">
        <is>
          <t>AreaCode</t>
        </is>
      </c>
      <c r="C10445" s="129" t="inlineStr">
        <is>
          <t>地区代码</t>
        </is>
      </c>
      <c r="D10445" s="21" t="n">
        <v>140930</v>
      </c>
      <c r="E10445" s="21" t="inlineStr">
        <is>
          <t>山西省忻州市河曲县</t>
        </is>
      </c>
    </row>
    <row r="10446">
      <c r="B10446" s="41" t="inlineStr">
        <is>
          <t>AreaCode</t>
        </is>
      </c>
      <c r="C10446" s="129" t="inlineStr">
        <is>
          <t>地区代码</t>
        </is>
      </c>
      <c r="D10446" s="21" t="n">
        <v>140931</v>
      </c>
      <c r="E10446" s="21" t="inlineStr">
        <is>
          <t>山西省忻州市保德县</t>
        </is>
      </c>
    </row>
    <row r="10447">
      <c r="B10447" s="41" t="inlineStr">
        <is>
          <t>AreaCode</t>
        </is>
      </c>
      <c r="C10447" s="129" t="inlineStr">
        <is>
          <t>地区代码</t>
        </is>
      </c>
      <c r="D10447" s="21" t="n">
        <v>140932</v>
      </c>
      <c r="E10447" s="21" t="inlineStr">
        <is>
          <t>山西省忻州市偏关县</t>
        </is>
      </c>
    </row>
    <row r="10448">
      <c r="B10448" s="41" t="inlineStr">
        <is>
          <t>AreaCode</t>
        </is>
      </c>
      <c r="C10448" s="129" t="inlineStr">
        <is>
          <t>地区代码</t>
        </is>
      </c>
      <c r="D10448" s="21" t="n">
        <v>140981</v>
      </c>
      <c r="E10448" s="21" t="inlineStr">
        <is>
          <t>山西省忻州市原平市</t>
        </is>
      </c>
    </row>
    <row r="10449">
      <c r="B10449" s="41" t="inlineStr">
        <is>
          <t>AreaCode</t>
        </is>
      </c>
      <c r="C10449" s="129" t="inlineStr">
        <is>
          <t>地区代码</t>
        </is>
      </c>
      <c r="D10449" s="21" t="n">
        <v>141000</v>
      </c>
      <c r="E10449" s="21" t="inlineStr">
        <is>
          <t>山西省临汾市</t>
        </is>
      </c>
    </row>
    <row r="10450">
      <c r="B10450" s="41" t="inlineStr">
        <is>
          <t>AreaCode</t>
        </is>
      </c>
      <c r="C10450" s="129" t="inlineStr">
        <is>
          <t>地区代码</t>
        </is>
      </c>
      <c r="D10450" s="21" t="n">
        <v>141001</v>
      </c>
      <c r="E10450" s="21" t="inlineStr">
        <is>
          <t>山西省临汾市市辖区</t>
        </is>
      </c>
    </row>
    <row r="10451">
      <c r="B10451" s="41" t="inlineStr">
        <is>
          <t>AreaCode</t>
        </is>
      </c>
      <c r="C10451" s="129" t="inlineStr">
        <is>
          <t>地区代码</t>
        </is>
      </c>
      <c r="D10451" s="21" t="n">
        <v>141002</v>
      </c>
      <c r="E10451" s="21" t="inlineStr">
        <is>
          <t>山西省临汾市尧都区</t>
        </is>
      </c>
    </row>
    <row r="10452">
      <c r="B10452" s="41" t="inlineStr">
        <is>
          <t>AreaCode</t>
        </is>
      </c>
      <c r="C10452" s="129" t="inlineStr">
        <is>
          <t>地区代码</t>
        </is>
      </c>
      <c r="D10452" s="21" t="n">
        <v>141021</v>
      </c>
      <c r="E10452" s="21" t="inlineStr">
        <is>
          <t>山西省临汾市曲沃县</t>
        </is>
      </c>
    </row>
    <row r="10453">
      <c r="B10453" s="41" t="inlineStr">
        <is>
          <t>AreaCode</t>
        </is>
      </c>
      <c r="C10453" s="129" t="inlineStr">
        <is>
          <t>地区代码</t>
        </is>
      </c>
      <c r="D10453" s="21" t="n">
        <v>141022</v>
      </c>
      <c r="E10453" s="21" t="inlineStr">
        <is>
          <t>山西省临汾市翼城县</t>
        </is>
      </c>
    </row>
    <row r="10454">
      <c r="B10454" s="41" t="inlineStr">
        <is>
          <t>AreaCode</t>
        </is>
      </c>
      <c r="C10454" s="129" t="inlineStr">
        <is>
          <t>地区代码</t>
        </is>
      </c>
      <c r="D10454" s="21" t="n">
        <v>141023</v>
      </c>
      <c r="E10454" s="21" t="inlineStr">
        <is>
          <t>山西省临汾市襄汾县</t>
        </is>
      </c>
    </row>
    <row r="10455">
      <c r="B10455" s="41" t="inlineStr">
        <is>
          <t>AreaCode</t>
        </is>
      </c>
      <c r="C10455" s="129" t="inlineStr">
        <is>
          <t>地区代码</t>
        </is>
      </c>
      <c r="D10455" s="21" t="n">
        <v>141024</v>
      </c>
      <c r="E10455" s="21" t="inlineStr">
        <is>
          <t>山西省临汾市洪洞县</t>
        </is>
      </c>
    </row>
    <row r="10456">
      <c r="B10456" s="41" t="inlineStr">
        <is>
          <t>AreaCode</t>
        </is>
      </c>
      <c r="C10456" s="129" t="inlineStr">
        <is>
          <t>地区代码</t>
        </is>
      </c>
      <c r="D10456" s="21" t="n">
        <v>141025</v>
      </c>
      <c r="E10456" s="21" t="inlineStr">
        <is>
          <t>山西省临汾市古县</t>
        </is>
      </c>
    </row>
    <row r="10457">
      <c r="B10457" s="41" t="inlineStr">
        <is>
          <t>AreaCode</t>
        </is>
      </c>
      <c r="C10457" s="129" t="inlineStr">
        <is>
          <t>地区代码</t>
        </is>
      </c>
      <c r="D10457" s="21" t="n">
        <v>141026</v>
      </c>
      <c r="E10457" s="21" t="inlineStr">
        <is>
          <t>山西省临汾市安泽县</t>
        </is>
      </c>
    </row>
    <row r="10458">
      <c r="B10458" s="41" t="inlineStr">
        <is>
          <t>AreaCode</t>
        </is>
      </c>
      <c r="C10458" s="129" t="inlineStr">
        <is>
          <t>地区代码</t>
        </is>
      </c>
      <c r="D10458" s="21" t="n">
        <v>141027</v>
      </c>
      <c r="E10458" s="21" t="inlineStr">
        <is>
          <t>山西省临汾市浮山县</t>
        </is>
      </c>
    </row>
    <row r="10459">
      <c r="B10459" s="41" t="inlineStr">
        <is>
          <t>AreaCode</t>
        </is>
      </c>
      <c r="C10459" s="129" t="inlineStr">
        <is>
          <t>地区代码</t>
        </is>
      </c>
      <c r="D10459" s="21" t="n">
        <v>141028</v>
      </c>
      <c r="E10459" s="21" t="inlineStr">
        <is>
          <t>山西省临汾市吉县</t>
        </is>
      </c>
    </row>
    <row r="10460">
      <c r="B10460" s="41" t="inlineStr">
        <is>
          <t>AreaCode</t>
        </is>
      </c>
      <c r="C10460" s="129" t="inlineStr">
        <is>
          <t>地区代码</t>
        </is>
      </c>
      <c r="D10460" s="21" t="n">
        <v>141029</v>
      </c>
      <c r="E10460" s="21" t="inlineStr">
        <is>
          <t>山西省临汾市乡宁县</t>
        </is>
      </c>
    </row>
    <row r="10461">
      <c r="B10461" s="41" t="inlineStr">
        <is>
          <t>AreaCode</t>
        </is>
      </c>
      <c r="C10461" s="129" t="inlineStr">
        <is>
          <t>地区代码</t>
        </is>
      </c>
      <c r="D10461" s="21" t="n">
        <v>141030</v>
      </c>
      <c r="E10461" s="21" t="inlineStr">
        <is>
          <t>山西省临汾市大宁县</t>
        </is>
      </c>
    </row>
    <row r="10462">
      <c r="B10462" s="41" t="inlineStr">
        <is>
          <t>AreaCode</t>
        </is>
      </c>
      <c r="C10462" s="129" t="inlineStr">
        <is>
          <t>地区代码</t>
        </is>
      </c>
      <c r="D10462" s="21" t="n">
        <v>141031</v>
      </c>
      <c r="E10462" s="21" t="inlineStr">
        <is>
          <t>山西省临汾市隰县</t>
        </is>
      </c>
    </row>
    <row r="10463">
      <c r="B10463" s="41" t="inlineStr">
        <is>
          <t>AreaCode</t>
        </is>
      </c>
      <c r="C10463" s="129" t="inlineStr">
        <is>
          <t>地区代码</t>
        </is>
      </c>
      <c r="D10463" s="21" t="n">
        <v>141032</v>
      </c>
      <c r="E10463" s="21" t="inlineStr">
        <is>
          <t>山西省临汾市永和县</t>
        </is>
      </c>
    </row>
    <row r="10464">
      <c r="B10464" s="41" t="inlineStr">
        <is>
          <t>AreaCode</t>
        </is>
      </c>
      <c r="C10464" s="129" t="inlineStr">
        <is>
          <t>地区代码</t>
        </is>
      </c>
      <c r="D10464" s="21" t="n">
        <v>141033</v>
      </c>
      <c r="E10464" s="21" t="inlineStr">
        <is>
          <t>山西省临汾市蒲县</t>
        </is>
      </c>
    </row>
    <row r="10465">
      <c r="B10465" s="41" t="inlineStr">
        <is>
          <t>AreaCode</t>
        </is>
      </c>
      <c r="C10465" s="129" t="inlineStr">
        <is>
          <t>地区代码</t>
        </is>
      </c>
      <c r="D10465" s="21" t="n">
        <v>141034</v>
      </c>
      <c r="E10465" s="21" t="inlineStr">
        <is>
          <t>山西省临汾市汾西县</t>
        </is>
      </c>
    </row>
    <row r="10466">
      <c r="B10466" s="41" t="inlineStr">
        <is>
          <t>AreaCode</t>
        </is>
      </c>
      <c r="C10466" s="129" t="inlineStr">
        <is>
          <t>地区代码</t>
        </is>
      </c>
      <c r="D10466" s="21" t="n">
        <v>141081</v>
      </c>
      <c r="E10466" s="21" t="inlineStr">
        <is>
          <t>山西省临汾市侯马市</t>
        </is>
      </c>
    </row>
    <row r="10467">
      <c r="B10467" s="41" t="inlineStr">
        <is>
          <t>AreaCode</t>
        </is>
      </c>
      <c r="C10467" s="129" t="inlineStr">
        <is>
          <t>地区代码</t>
        </is>
      </c>
      <c r="D10467" s="21" t="n">
        <v>141082</v>
      </c>
      <c r="E10467" s="21" t="inlineStr">
        <is>
          <t>山西省临汾市霍州市</t>
        </is>
      </c>
    </row>
    <row r="10468">
      <c r="B10468" s="41" t="inlineStr">
        <is>
          <t>AreaCode</t>
        </is>
      </c>
      <c r="C10468" s="129" t="inlineStr">
        <is>
          <t>地区代码</t>
        </is>
      </c>
      <c r="D10468" s="21" t="n">
        <v>141100</v>
      </c>
      <c r="E10468" s="21" t="inlineStr">
        <is>
          <t>山西省吕梁市</t>
        </is>
      </c>
    </row>
    <row r="10469">
      <c r="B10469" s="41" t="inlineStr">
        <is>
          <t>AreaCode</t>
        </is>
      </c>
      <c r="C10469" s="129" t="inlineStr">
        <is>
          <t>地区代码</t>
        </is>
      </c>
      <c r="D10469" s="21" t="n">
        <v>141101</v>
      </c>
      <c r="E10469" s="21" t="inlineStr">
        <is>
          <t>山西省吕梁市市辖区</t>
        </is>
      </c>
    </row>
    <row r="10470">
      <c r="B10470" s="41" t="inlineStr">
        <is>
          <t>AreaCode</t>
        </is>
      </c>
      <c r="C10470" s="129" t="inlineStr">
        <is>
          <t>地区代码</t>
        </is>
      </c>
      <c r="D10470" s="21" t="n">
        <v>141102</v>
      </c>
      <c r="E10470" s="21" t="inlineStr">
        <is>
          <t>山西省吕梁市离石区</t>
        </is>
      </c>
    </row>
    <row r="10471">
      <c r="B10471" s="41" t="inlineStr">
        <is>
          <t>AreaCode</t>
        </is>
      </c>
      <c r="C10471" s="129" t="inlineStr">
        <is>
          <t>地区代码</t>
        </is>
      </c>
      <c r="D10471" s="21" t="n">
        <v>141121</v>
      </c>
      <c r="E10471" s="21" t="inlineStr">
        <is>
          <t>山西省吕梁市文水县</t>
        </is>
      </c>
    </row>
    <row r="10472">
      <c r="B10472" s="41" t="inlineStr">
        <is>
          <t>AreaCode</t>
        </is>
      </c>
      <c r="C10472" s="129" t="inlineStr">
        <is>
          <t>地区代码</t>
        </is>
      </c>
      <c r="D10472" s="21" t="n">
        <v>141122</v>
      </c>
      <c r="E10472" s="21" t="inlineStr">
        <is>
          <t>山西省吕梁市交城县</t>
        </is>
      </c>
    </row>
    <row r="10473">
      <c r="B10473" s="41" t="inlineStr">
        <is>
          <t>AreaCode</t>
        </is>
      </c>
      <c r="C10473" s="129" t="inlineStr">
        <is>
          <t>地区代码</t>
        </is>
      </c>
      <c r="D10473" s="21" t="n">
        <v>141123</v>
      </c>
      <c r="E10473" s="21" t="inlineStr">
        <is>
          <t>山西省吕梁市兴县</t>
        </is>
      </c>
    </row>
    <row r="10474">
      <c r="B10474" s="41" t="inlineStr">
        <is>
          <t>AreaCode</t>
        </is>
      </c>
      <c r="C10474" s="129" t="inlineStr">
        <is>
          <t>地区代码</t>
        </is>
      </c>
      <c r="D10474" s="21" t="n">
        <v>141124</v>
      </c>
      <c r="E10474" s="21" t="inlineStr">
        <is>
          <t>山西省吕梁市临县</t>
        </is>
      </c>
    </row>
    <row r="10475">
      <c r="B10475" s="41" t="inlineStr">
        <is>
          <t>AreaCode</t>
        </is>
      </c>
      <c r="C10475" s="129" t="inlineStr">
        <is>
          <t>地区代码</t>
        </is>
      </c>
      <c r="D10475" s="21" t="n">
        <v>141125</v>
      </c>
      <c r="E10475" s="21" t="inlineStr">
        <is>
          <t>山西省吕梁市柳林县</t>
        </is>
      </c>
    </row>
    <row r="10476">
      <c r="B10476" s="41" t="inlineStr">
        <is>
          <t>AreaCode</t>
        </is>
      </c>
      <c r="C10476" s="129" t="inlineStr">
        <is>
          <t>地区代码</t>
        </is>
      </c>
      <c r="D10476" s="21" t="n">
        <v>141126</v>
      </c>
      <c r="E10476" s="21" t="inlineStr">
        <is>
          <t>山西省吕梁市石楼县</t>
        </is>
      </c>
    </row>
    <row r="10477">
      <c r="B10477" s="41" t="inlineStr">
        <is>
          <t>AreaCode</t>
        </is>
      </c>
      <c r="C10477" s="129" t="inlineStr">
        <is>
          <t>地区代码</t>
        </is>
      </c>
      <c r="D10477" s="21" t="n">
        <v>141127</v>
      </c>
      <c r="E10477" s="21" t="inlineStr">
        <is>
          <t>山西省吕梁市岚县</t>
        </is>
      </c>
    </row>
    <row r="10478">
      <c r="B10478" s="41" t="inlineStr">
        <is>
          <t>AreaCode</t>
        </is>
      </c>
      <c r="C10478" s="129" t="inlineStr">
        <is>
          <t>地区代码</t>
        </is>
      </c>
      <c r="D10478" s="21" t="n">
        <v>141128</v>
      </c>
      <c r="E10478" s="21" t="inlineStr">
        <is>
          <t>山西省吕梁市方山县</t>
        </is>
      </c>
    </row>
    <row r="10479">
      <c r="B10479" s="41" t="inlineStr">
        <is>
          <t>AreaCode</t>
        </is>
      </c>
      <c r="C10479" s="129" t="inlineStr">
        <is>
          <t>地区代码</t>
        </is>
      </c>
      <c r="D10479" s="21" t="n">
        <v>141129</v>
      </c>
      <c r="E10479" s="21" t="inlineStr">
        <is>
          <t>山西省吕梁市中阳县</t>
        </is>
      </c>
    </row>
    <row r="10480">
      <c r="B10480" s="41" t="inlineStr">
        <is>
          <t>AreaCode</t>
        </is>
      </c>
      <c r="C10480" s="129" t="inlineStr">
        <is>
          <t>地区代码</t>
        </is>
      </c>
      <c r="D10480" s="21" t="n">
        <v>141130</v>
      </c>
      <c r="E10480" s="21" t="inlineStr">
        <is>
          <t>山西省吕梁市交口县</t>
        </is>
      </c>
    </row>
    <row r="10481">
      <c r="B10481" s="41" t="inlineStr">
        <is>
          <t>AreaCode</t>
        </is>
      </c>
      <c r="C10481" s="129" t="inlineStr">
        <is>
          <t>地区代码</t>
        </is>
      </c>
      <c r="D10481" s="21" t="n">
        <v>141181</v>
      </c>
      <c r="E10481" s="21" t="inlineStr">
        <is>
          <t>山西省吕梁市孝义市</t>
        </is>
      </c>
    </row>
    <row r="10482">
      <c r="B10482" s="41" t="inlineStr">
        <is>
          <t>AreaCode</t>
        </is>
      </c>
      <c r="C10482" s="129" t="inlineStr">
        <is>
          <t>地区代码</t>
        </is>
      </c>
      <c r="D10482" s="21" t="n">
        <v>141182</v>
      </c>
      <c r="E10482" s="21" t="inlineStr">
        <is>
          <t>山西省吕梁市汾阳市</t>
        </is>
      </c>
    </row>
    <row r="10483">
      <c r="B10483" s="41" t="inlineStr">
        <is>
          <t>AreaCode</t>
        </is>
      </c>
      <c r="C10483" s="129" t="inlineStr">
        <is>
          <t>地区代码</t>
        </is>
      </c>
      <c r="D10483" s="21" t="n">
        <v>150000</v>
      </c>
      <c r="E10483" s="21" t="inlineStr">
        <is>
          <t>内蒙古自治区</t>
        </is>
      </c>
    </row>
    <row r="10484">
      <c r="B10484" s="41" t="inlineStr">
        <is>
          <t>AreaCode</t>
        </is>
      </c>
      <c r="C10484" s="129" t="inlineStr">
        <is>
          <t>地区代码</t>
        </is>
      </c>
      <c r="D10484" s="21" t="n">
        <v>150100</v>
      </c>
      <c r="E10484" s="21" t="inlineStr">
        <is>
          <t>内蒙古自治区呼和浩特市</t>
        </is>
      </c>
    </row>
    <row r="10485">
      <c r="B10485" s="41" t="inlineStr">
        <is>
          <t>AreaCode</t>
        </is>
      </c>
      <c r="C10485" s="129" t="inlineStr">
        <is>
          <t>地区代码</t>
        </is>
      </c>
      <c r="D10485" s="21" t="n">
        <v>150101</v>
      </c>
      <c r="E10485" s="21" t="inlineStr">
        <is>
          <t>内蒙古自治区呼和浩特市市辖区</t>
        </is>
      </c>
    </row>
    <row r="10486">
      <c r="B10486" s="41" t="inlineStr">
        <is>
          <t>AreaCode</t>
        </is>
      </c>
      <c r="C10486" s="129" t="inlineStr">
        <is>
          <t>地区代码</t>
        </is>
      </c>
      <c r="D10486" s="21" t="n">
        <v>150102</v>
      </c>
      <c r="E10486" s="21" t="inlineStr">
        <is>
          <t>内蒙古自治区呼和浩特市新城区</t>
        </is>
      </c>
    </row>
    <row r="10487">
      <c r="B10487" s="41" t="inlineStr">
        <is>
          <t>AreaCode</t>
        </is>
      </c>
      <c r="C10487" s="129" t="inlineStr">
        <is>
          <t>地区代码</t>
        </is>
      </c>
      <c r="D10487" s="21" t="n">
        <v>150103</v>
      </c>
      <c r="E10487" s="21" t="inlineStr">
        <is>
          <t>内蒙古自治区呼和浩特市回民区</t>
        </is>
      </c>
    </row>
    <row r="10488">
      <c r="B10488" s="41" t="inlineStr">
        <is>
          <t>AreaCode</t>
        </is>
      </c>
      <c r="C10488" s="129" t="inlineStr">
        <is>
          <t>地区代码</t>
        </is>
      </c>
      <c r="D10488" s="21" t="n">
        <v>150104</v>
      </c>
      <c r="E10488" s="21" t="inlineStr">
        <is>
          <t>内蒙古自治区呼和浩特市玉泉区</t>
        </is>
      </c>
    </row>
    <row r="10489">
      <c r="B10489" s="41" t="inlineStr">
        <is>
          <t>AreaCode</t>
        </is>
      </c>
      <c r="C10489" s="129" t="inlineStr">
        <is>
          <t>地区代码</t>
        </is>
      </c>
      <c r="D10489" s="21" t="n">
        <v>150105</v>
      </c>
      <c r="E10489" s="21" t="inlineStr">
        <is>
          <t>内蒙古自治区呼和浩特市赛罕区</t>
        </is>
      </c>
    </row>
    <row r="10490">
      <c r="B10490" s="41" t="inlineStr">
        <is>
          <t>AreaCode</t>
        </is>
      </c>
      <c r="C10490" s="129" t="inlineStr">
        <is>
          <t>地区代码</t>
        </is>
      </c>
      <c r="D10490" s="21" t="n">
        <v>150121</v>
      </c>
      <c r="E10490" s="21" t="inlineStr">
        <is>
          <t>内蒙古自治区呼和浩特市土默特左旗</t>
        </is>
      </c>
    </row>
    <row r="10491">
      <c r="B10491" s="41" t="inlineStr">
        <is>
          <t>AreaCode</t>
        </is>
      </c>
      <c r="C10491" s="129" t="inlineStr">
        <is>
          <t>地区代码</t>
        </is>
      </c>
      <c r="D10491" s="21" t="n">
        <v>150122</v>
      </c>
      <c r="E10491" s="21" t="inlineStr">
        <is>
          <t>内蒙古自治区呼和浩特市托克托县</t>
        </is>
      </c>
    </row>
    <row r="10492">
      <c r="B10492" s="41" t="inlineStr">
        <is>
          <t>AreaCode</t>
        </is>
      </c>
      <c r="C10492" s="129" t="inlineStr">
        <is>
          <t>地区代码</t>
        </is>
      </c>
      <c r="D10492" s="21" t="n">
        <v>150123</v>
      </c>
      <c r="E10492" s="21" t="inlineStr">
        <is>
          <t>内蒙古自治区呼和浩特市和林格尔县</t>
        </is>
      </c>
    </row>
    <row r="10493">
      <c r="B10493" s="41" t="inlineStr">
        <is>
          <t>AreaCode</t>
        </is>
      </c>
      <c r="C10493" s="129" t="inlineStr">
        <is>
          <t>地区代码</t>
        </is>
      </c>
      <c r="D10493" s="21" t="n">
        <v>150124</v>
      </c>
      <c r="E10493" s="21" t="inlineStr">
        <is>
          <t>内蒙古自治区呼和浩特市清水河县</t>
        </is>
      </c>
    </row>
    <row r="10494">
      <c r="B10494" s="41" t="inlineStr">
        <is>
          <t>AreaCode</t>
        </is>
      </c>
      <c r="C10494" s="129" t="inlineStr">
        <is>
          <t>地区代码</t>
        </is>
      </c>
      <c r="D10494" s="21" t="n">
        <v>150125</v>
      </c>
      <c r="E10494" s="21" t="inlineStr">
        <is>
          <t>内蒙古自治区呼和浩特市武川县</t>
        </is>
      </c>
    </row>
    <row r="10495">
      <c r="B10495" s="41" t="inlineStr">
        <is>
          <t>AreaCode</t>
        </is>
      </c>
      <c r="C10495" s="129" t="inlineStr">
        <is>
          <t>地区代码</t>
        </is>
      </c>
      <c r="D10495" s="21" t="n">
        <v>150200</v>
      </c>
      <c r="E10495" s="21" t="inlineStr">
        <is>
          <t>内蒙古自治区包头市</t>
        </is>
      </c>
    </row>
    <row r="10496">
      <c r="B10496" s="41" t="inlineStr">
        <is>
          <t>AreaCode</t>
        </is>
      </c>
      <c r="C10496" s="129" t="inlineStr">
        <is>
          <t>地区代码</t>
        </is>
      </c>
      <c r="D10496" s="21" t="n">
        <v>150201</v>
      </c>
      <c r="E10496" s="21" t="inlineStr">
        <is>
          <t>内蒙古自治区包头市市辖区</t>
        </is>
      </c>
    </row>
    <row r="10497">
      <c r="B10497" s="41" t="inlineStr">
        <is>
          <t>AreaCode</t>
        </is>
      </c>
      <c r="C10497" s="129" t="inlineStr">
        <is>
          <t>地区代码</t>
        </is>
      </c>
      <c r="D10497" s="21" t="n">
        <v>150202</v>
      </c>
      <c r="E10497" s="21" t="inlineStr">
        <is>
          <t>内蒙古自治区包头市东河区</t>
        </is>
      </c>
    </row>
    <row r="10498">
      <c r="B10498" s="41" t="inlineStr">
        <is>
          <t>AreaCode</t>
        </is>
      </c>
      <c r="C10498" s="129" t="inlineStr">
        <is>
          <t>地区代码</t>
        </is>
      </c>
      <c r="D10498" s="21" t="n">
        <v>150203</v>
      </c>
      <c r="E10498" s="21" t="inlineStr">
        <is>
          <t>内蒙古自治区包头市昆都仑区</t>
        </is>
      </c>
    </row>
    <row r="10499">
      <c r="B10499" s="41" t="inlineStr">
        <is>
          <t>AreaCode</t>
        </is>
      </c>
      <c r="C10499" s="129" t="inlineStr">
        <is>
          <t>地区代码</t>
        </is>
      </c>
      <c r="D10499" s="21" t="n">
        <v>150204</v>
      </c>
      <c r="E10499" s="21" t="inlineStr">
        <is>
          <t>内蒙古自治区包头市青山区</t>
        </is>
      </c>
    </row>
    <row r="10500">
      <c r="B10500" s="41" t="inlineStr">
        <is>
          <t>AreaCode</t>
        </is>
      </c>
      <c r="C10500" s="129" t="inlineStr">
        <is>
          <t>地区代码</t>
        </is>
      </c>
      <c r="D10500" s="21" t="n">
        <v>150205</v>
      </c>
      <c r="E10500" s="21" t="inlineStr">
        <is>
          <t>内蒙古自治区包头市石拐区</t>
        </is>
      </c>
    </row>
    <row r="10501">
      <c r="B10501" s="41" t="inlineStr">
        <is>
          <t>AreaCode</t>
        </is>
      </c>
      <c r="C10501" s="129" t="inlineStr">
        <is>
          <t>地区代码</t>
        </is>
      </c>
      <c r="D10501" s="21" t="n">
        <v>150206</v>
      </c>
      <c r="E10501" s="21" t="inlineStr">
        <is>
          <t>内蒙古自治区包头市白云鄂博矿区</t>
        </is>
      </c>
    </row>
    <row r="10502">
      <c r="B10502" s="41" t="inlineStr">
        <is>
          <t>AreaCode</t>
        </is>
      </c>
      <c r="C10502" s="129" t="inlineStr">
        <is>
          <t>地区代码</t>
        </is>
      </c>
      <c r="D10502" s="21" t="n">
        <v>150207</v>
      </c>
      <c r="E10502" s="21" t="inlineStr">
        <is>
          <t>内蒙古自治区包头市九原区</t>
        </is>
      </c>
    </row>
    <row r="10503">
      <c r="B10503" s="41" t="inlineStr">
        <is>
          <t>AreaCode</t>
        </is>
      </c>
      <c r="C10503" s="129" t="inlineStr">
        <is>
          <t>地区代码</t>
        </is>
      </c>
      <c r="D10503" s="21" t="n">
        <v>150221</v>
      </c>
      <c r="E10503" s="21" t="inlineStr">
        <is>
          <t>内蒙古自治区包头市土默特右旗</t>
        </is>
      </c>
    </row>
    <row r="10504">
      <c r="B10504" s="41" t="inlineStr">
        <is>
          <t>AreaCode</t>
        </is>
      </c>
      <c r="C10504" s="129" t="inlineStr">
        <is>
          <t>地区代码</t>
        </is>
      </c>
      <c r="D10504" s="21" t="n">
        <v>150222</v>
      </c>
      <c r="E10504" s="21" t="inlineStr">
        <is>
          <t>内蒙古自治区包头市固阳县</t>
        </is>
      </c>
    </row>
    <row r="10505">
      <c r="B10505" s="41" t="inlineStr">
        <is>
          <t>AreaCode</t>
        </is>
      </c>
      <c r="C10505" s="129" t="inlineStr">
        <is>
          <t>地区代码</t>
        </is>
      </c>
      <c r="D10505" s="21" t="n">
        <v>150223</v>
      </c>
      <c r="E10505" s="21" t="inlineStr">
        <is>
          <t>内蒙古自治区包头市达尔罕茂明安联合旗</t>
        </is>
      </c>
    </row>
    <row r="10506">
      <c r="B10506" s="41" t="inlineStr">
        <is>
          <t>AreaCode</t>
        </is>
      </c>
      <c r="C10506" s="129" t="inlineStr">
        <is>
          <t>地区代码</t>
        </is>
      </c>
      <c r="D10506" s="21" t="n">
        <v>150300</v>
      </c>
      <c r="E10506" s="21" t="inlineStr">
        <is>
          <t>内蒙古自治区乌海市</t>
        </is>
      </c>
    </row>
    <row r="10507">
      <c r="B10507" s="41" t="inlineStr">
        <is>
          <t>AreaCode</t>
        </is>
      </c>
      <c r="C10507" s="129" t="inlineStr">
        <is>
          <t>地区代码</t>
        </is>
      </c>
      <c r="D10507" s="21" t="n">
        <v>150301</v>
      </c>
      <c r="E10507" s="21" t="inlineStr">
        <is>
          <t>内蒙古自治区乌海市市辖区</t>
        </is>
      </c>
    </row>
    <row r="10508">
      <c r="B10508" s="41" t="inlineStr">
        <is>
          <t>AreaCode</t>
        </is>
      </c>
      <c r="C10508" s="129" t="inlineStr">
        <is>
          <t>地区代码</t>
        </is>
      </c>
      <c r="D10508" s="21" t="n">
        <v>150302</v>
      </c>
      <c r="E10508" s="21" t="inlineStr">
        <is>
          <t>内蒙古自治区乌海市海勃湾区</t>
        </is>
      </c>
    </row>
    <row r="10509">
      <c r="B10509" s="41" t="inlineStr">
        <is>
          <t>AreaCode</t>
        </is>
      </c>
      <c r="C10509" s="129" t="inlineStr">
        <is>
          <t>地区代码</t>
        </is>
      </c>
      <c r="D10509" s="21" t="n">
        <v>150303</v>
      </c>
      <c r="E10509" s="21" t="inlineStr">
        <is>
          <t>内蒙古自治区乌海市海南区</t>
        </is>
      </c>
    </row>
    <row r="10510">
      <c r="B10510" s="41" t="inlineStr">
        <is>
          <t>AreaCode</t>
        </is>
      </c>
      <c r="C10510" s="129" t="inlineStr">
        <is>
          <t>地区代码</t>
        </is>
      </c>
      <c r="D10510" s="21" t="n">
        <v>150304</v>
      </c>
      <c r="E10510" s="21" t="inlineStr">
        <is>
          <t>内蒙古自治区乌海市乌达区</t>
        </is>
      </c>
    </row>
    <row r="10511">
      <c r="B10511" s="41" t="inlineStr">
        <is>
          <t>AreaCode</t>
        </is>
      </c>
      <c r="C10511" s="129" t="inlineStr">
        <is>
          <t>地区代码</t>
        </is>
      </c>
      <c r="D10511" s="21" t="n">
        <v>150400</v>
      </c>
      <c r="E10511" s="21" t="inlineStr">
        <is>
          <t>内蒙古自治区赤峰市</t>
        </is>
      </c>
    </row>
    <row r="10512">
      <c r="B10512" s="41" t="inlineStr">
        <is>
          <t>AreaCode</t>
        </is>
      </c>
      <c r="C10512" s="129" t="inlineStr">
        <is>
          <t>地区代码</t>
        </is>
      </c>
      <c r="D10512" s="21" t="n">
        <v>150401</v>
      </c>
      <c r="E10512" s="21" t="inlineStr">
        <is>
          <t>内蒙古自治区赤峰市市辖区</t>
        </is>
      </c>
    </row>
    <row r="10513">
      <c r="B10513" s="41" t="inlineStr">
        <is>
          <t>AreaCode</t>
        </is>
      </c>
      <c r="C10513" s="129" t="inlineStr">
        <is>
          <t>地区代码</t>
        </is>
      </c>
      <c r="D10513" s="21" t="n">
        <v>150402</v>
      </c>
      <c r="E10513" s="21" t="inlineStr">
        <is>
          <t>内蒙古自治区赤峰市红山区</t>
        </is>
      </c>
    </row>
    <row r="10514">
      <c r="B10514" s="41" t="inlineStr">
        <is>
          <t>AreaCode</t>
        </is>
      </c>
      <c r="C10514" s="129" t="inlineStr">
        <is>
          <t>地区代码</t>
        </is>
      </c>
      <c r="D10514" s="21" t="n">
        <v>150403</v>
      </c>
      <c r="E10514" s="21" t="inlineStr">
        <is>
          <t>内蒙古自治区赤峰市元宝山区</t>
        </is>
      </c>
    </row>
    <row r="10515">
      <c r="B10515" s="41" t="inlineStr">
        <is>
          <t>AreaCode</t>
        </is>
      </c>
      <c r="C10515" s="129" t="inlineStr">
        <is>
          <t>地区代码</t>
        </is>
      </c>
      <c r="D10515" s="21" t="n">
        <v>150404</v>
      </c>
      <c r="E10515" s="21" t="inlineStr">
        <is>
          <t>内蒙古自治区赤峰市松山区</t>
        </is>
      </c>
    </row>
    <row r="10516">
      <c r="B10516" s="41" t="inlineStr">
        <is>
          <t>AreaCode</t>
        </is>
      </c>
      <c r="C10516" s="129" t="inlineStr">
        <is>
          <t>地区代码</t>
        </is>
      </c>
      <c r="D10516" s="21" t="n">
        <v>150421</v>
      </c>
      <c r="E10516" s="21" t="inlineStr">
        <is>
          <t>内蒙古自治区赤峰市阿鲁科尔沁旗</t>
        </is>
      </c>
    </row>
    <row r="10517">
      <c r="B10517" s="41" t="inlineStr">
        <is>
          <t>AreaCode</t>
        </is>
      </c>
      <c r="C10517" s="129" t="inlineStr">
        <is>
          <t>地区代码</t>
        </is>
      </c>
      <c r="D10517" s="21" t="n">
        <v>150422</v>
      </c>
      <c r="E10517" s="21" t="inlineStr">
        <is>
          <t>内蒙古自治区赤峰市巴林左旗</t>
        </is>
      </c>
    </row>
    <row r="10518">
      <c r="B10518" s="41" t="inlineStr">
        <is>
          <t>AreaCode</t>
        </is>
      </c>
      <c r="C10518" s="129" t="inlineStr">
        <is>
          <t>地区代码</t>
        </is>
      </c>
      <c r="D10518" s="21" t="n">
        <v>150423</v>
      </c>
      <c r="E10518" s="21" t="inlineStr">
        <is>
          <t>内蒙古自治区赤峰市巴林右旗</t>
        </is>
      </c>
    </row>
    <row r="10519">
      <c r="B10519" s="41" t="inlineStr">
        <is>
          <t>AreaCode</t>
        </is>
      </c>
      <c r="C10519" s="129" t="inlineStr">
        <is>
          <t>地区代码</t>
        </is>
      </c>
      <c r="D10519" s="21" t="n">
        <v>150424</v>
      </c>
      <c r="E10519" s="21" t="inlineStr">
        <is>
          <t>内蒙古自治区赤峰市林西县</t>
        </is>
      </c>
    </row>
    <row r="10520">
      <c r="B10520" s="41" t="inlineStr">
        <is>
          <t>AreaCode</t>
        </is>
      </c>
      <c r="C10520" s="129" t="inlineStr">
        <is>
          <t>地区代码</t>
        </is>
      </c>
      <c r="D10520" s="21" t="n">
        <v>150425</v>
      </c>
      <c r="E10520" s="21" t="inlineStr">
        <is>
          <t>内蒙古自治区赤峰市克什克腾旗</t>
        </is>
      </c>
    </row>
    <row r="10521">
      <c r="B10521" s="41" t="inlineStr">
        <is>
          <t>AreaCode</t>
        </is>
      </c>
      <c r="C10521" s="129" t="inlineStr">
        <is>
          <t>地区代码</t>
        </is>
      </c>
      <c r="D10521" s="21" t="n">
        <v>150426</v>
      </c>
      <c r="E10521" s="21" t="inlineStr">
        <is>
          <t>内蒙古自治区赤峰市翁牛特旗</t>
        </is>
      </c>
    </row>
    <row r="10522">
      <c r="B10522" s="41" t="inlineStr">
        <is>
          <t>AreaCode</t>
        </is>
      </c>
      <c r="C10522" s="129" t="inlineStr">
        <is>
          <t>地区代码</t>
        </is>
      </c>
      <c r="D10522" s="21" t="n">
        <v>150428</v>
      </c>
      <c r="E10522" s="21" t="inlineStr">
        <is>
          <t>内蒙古自治区赤峰市喀喇沁旗</t>
        </is>
      </c>
    </row>
    <row r="10523">
      <c r="B10523" s="41" t="inlineStr">
        <is>
          <t>AreaCode</t>
        </is>
      </c>
      <c r="C10523" s="129" t="inlineStr">
        <is>
          <t>地区代码</t>
        </is>
      </c>
      <c r="D10523" s="21" t="n">
        <v>150429</v>
      </c>
      <c r="E10523" s="21" t="inlineStr">
        <is>
          <t>内蒙古自治区赤峰市宁城县</t>
        </is>
      </c>
    </row>
    <row r="10524">
      <c r="B10524" s="41" t="inlineStr">
        <is>
          <t>AreaCode</t>
        </is>
      </c>
      <c r="C10524" s="129" t="inlineStr">
        <is>
          <t>地区代码</t>
        </is>
      </c>
      <c r="D10524" s="21" t="n">
        <v>150430</v>
      </c>
      <c r="E10524" s="21" t="inlineStr">
        <is>
          <t>内蒙古自治区赤峰市敖汉旗</t>
        </is>
      </c>
    </row>
    <row r="10525">
      <c r="B10525" s="41" t="inlineStr">
        <is>
          <t>AreaCode</t>
        </is>
      </c>
      <c r="C10525" s="129" t="inlineStr">
        <is>
          <t>地区代码</t>
        </is>
      </c>
      <c r="D10525" s="21" t="n">
        <v>150500</v>
      </c>
      <c r="E10525" s="21" t="inlineStr">
        <is>
          <t>内蒙古自治区通辽市</t>
        </is>
      </c>
    </row>
    <row r="10526">
      <c r="B10526" s="41" t="inlineStr">
        <is>
          <t>AreaCode</t>
        </is>
      </c>
      <c r="C10526" s="129" t="inlineStr">
        <is>
          <t>地区代码</t>
        </is>
      </c>
      <c r="D10526" s="21" t="n">
        <v>150501</v>
      </c>
      <c r="E10526" s="21" t="inlineStr">
        <is>
          <t>内蒙古自治区通辽市市辖区</t>
        </is>
      </c>
    </row>
    <row r="10527">
      <c r="B10527" s="41" t="inlineStr">
        <is>
          <t>AreaCode</t>
        </is>
      </c>
      <c r="C10527" s="129" t="inlineStr">
        <is>
          <t>地区代码</t>
        </is>
      </c>
      <c r="D10527" s="21" t="n">
        <v>150502</v>
      </c>
      <c r="E10527" s="21" t="inlineStr">
        <is>
          <t>内蒙古自治区通辽市科尔沁区</t>
        </is>
      </c>
    </row>
    <row r="10528">
      <c r="B10528" s="41" t="inlineStr">
        <is>
          <t>AreaCode</t>
        </is>
      </c>
      <c r="C10528" s="129" t="inlineStr">
        <is>
          <t>地区代码</t>
        </is>
      </c>
      <c r="D10528" s="21" t="n">
        <v>150521</v>
      </c>
      <c r="E10528" s="21" t="inlineStr">
        <is>
          <t>内蒙古自治区通辽市科尔沁左翼中旗</t>
        </is>
      </c>
    </row>
    <row r="10529">
      <c r="B10529" s="41" t="inlineStr">
        <is>
          <t>AreaCode</t>
        </is>
      </c>
      <c r="C10529" s="129" t="inlineStr">
        <is>
          <t>地区代码</t>
        </is>
      </c>
      <c r="D10529" s="21" t="n">
        <v>150522</v>
      </c>
      <c r="E10529" s="21" t="inlineStr">
        <is>
          <t>内蒙古自治区通辽市科尔沁左翼后旗</t>
        </is>
      </c>
    </row>
    <row r="10530">
      <c r="B10530" s="41" t="inlineStr">
        <is>
          <t>AreaCode</t>
        </is>
      </c>
      <c r="C10530" s="129" t="inlineStr">
        <is>
          <t>地区代码</t>
        </is>
      </c>
      <c r="D10530" s="21" t="n">
        <v>150523</v>
      </c>
      <c r="E10530" s="21" t="inlineStr">
        <is>
          <t>内蒙古自治区通辽市开鲁县</t>
        </is>
      </c>
    </row>
    <row r="10531">
      <c r="B10531" s="41" t="inlineStr">
        <is>
          <t>AreaCode</t>
        </is>
      </c>
      <c r="C10531" s="129" t="inlineStr">
        <is>
          <t>地区代码</t>
        </is>
      </c>
      <c r="D10531" s="21" t="n">
        <v>150524</v>
      </c>
      <c r="E10531" s="21" t="inlineStr">
        <is>
          <t>内蒙古自治区通辽市库伦旗</t>
        </is>
      </c>
    </row>
    <row r="10532">
      <c r="B10532" s="41" t="inlineStr">
        <is>
          <t>AreaCode</t>
        </is>
      </c>
      <c r="C10532" s="129" t="inlineStr">
        <is>
          <t>地区代码</t>
        </is>
      </c>
      <c r="D10532" s="21" t="n">
        <v>150525</v>
      </c>
      <c r="E10532" s="21" t="inlineStr">
        <is>
          <t>内蒙古自治区通辽市奈曼旗</t>
        </is>
      </c>
    </row>
    <row r="10533">
      <c r="B10533" s="41" t="inlineStr">
        <is>
          <t>AreaCode</t>
        </is>
      </c>
      <c r="C10533" s="129" t="inlineStr">
        <is>
          <t>地区代码</t>
        </is>
      </c>
      <c r="D10533" s="21" t="n">
        <v>150526</v>
      </c>
      <c r="E10533" s="21" t="inlineStr">
        <is>
          <t>内蒙古自治区通辽市扎鲁特旗</t>
        </is>
      </c>
    </row>
    <row r="10534">
      <c r="B10534" s="41" t="inlineStr">
        <is>
          <t>AreaCode</t>
        </is>
      </c>
      <c r="C10534" s="129" t="inlineStr">
        <is>
          <t>地区代码</t>
        </is>
      </c>
      <c r="D10534" s="21" t="n">
        <v>150581</v>
      </c>
      <c r="E10534" s="21" t="inlineStr">
        <is>
          <t>内蒙古自治区通辽市霍林郭勒市</t>
        </is>
      </c>
    </row>
    <row r="10535">
      <c r="B10535" s="41" t="inlineStr">
        <is>
          <t>AreaCode</t>
        </is>
      </c>
      <c r="C10535" s="129" t="inlineStr">
        <is>
          <t>地区代码</t>
        </is>
      </c>
      <c r="D10535" s="21" t="n">
        <v>150600</v>
      </c>
      <c r="E10535" s="21" t="inlineStr">
        <is>
          <t>内蒙古自治区鄂尔多斯市</t>
        </is>
      </c>
    </row>
    <row r="10536">
      <c r="B10536" s="41" t="inlineStr">
        <is>
          <t>AreaCode</t>
        </is>
      </c>
      <c r="C10536" s="129" t="inlineStr">
        <is>
          <t>地区代码</t>
        </is>
      </c>
      <c r="D10536" s="21" t="n">
        <v>150601</v>
      </c>
      <c r="E10536" s="21" t="inlineStr">
        <is>
          <t>内蒙古自治区鄂尔多斯市市辖区</t>
        </is>
      </c>
    </row>
    <row r="10537">
      <c r="B10537" s="41" t="inlineStr">
        <is>
          <t>AreaCode</t>
        </is>
      </c>
      <c r="C10537" s="129" t="inlineStr">
        <is>
          <t>地区代码</t>
        </is>
      </c>
      <c r="D10537" s="21" t="n">
        <v>150602</v>
      </c>
      <c r="E10537" s="21" t="inlineStr">
        <is>
          <t>内蒙古自治区鄂尔多斯市东胜区</t>
        </is>
      </c>
    </row>
    <row r="10538">
      <c r="B10538" s="41" t="inlineStr">
        <is>
          <t>AreaCode</t>
        </is>
      </c>
      <c r="C10538" s="129" t="inlineStr">
        <is>
          <t>地区代码</t>
        </is>
      </c>
      <c r="D10538" s="21" t="n">
        <v>150621</v>
      </c>
      <c r="E10538" s="21" t="inlineStr">
        <is>
          <t>内蒙古自治区鄂尔多斯市达拉特旗</t>
        </is>
      </c>
    </row>
    <row r="10539">
      <c r="B10539" s="41" t="inlineStr">
        <is>
          <t>AreaCode</t>
        </is>
      </c>
      <c r="C10539" s="129" t="inlineStr">
        <is>
          <t>地区代码</t>
        </is>
      </c>
      <c r="D10539" s="21" t="n">
        <v>150622</v>
      </c>
      <c r="E10539" s="21" t="inlineStr">
        <is>
          <t>内蒙古自治区鄂尔多斯市准格尔旗</t>
        </is>
      </c>
    </row>
    <row r="10540">
      <c r="B10540" s="41" t="inlineStr">
        <is>
          <t>AreaCode</t>
        </is>
      </c>
      <c r="C10540" s="129" t="inlineStr">
        <is>
          <t>地区代码</t>
        </is>
      </c>
      <c r="D10540" s="21" t="n">
        <v>150623</v>
      </c>
      <c r="E10540" s="21" t="inlineStr">
        <is>
          <t>内蒙古自治区鄂尔多斯市鄂托克前旗</t>
        </is>
      </c>
    </row>
    <row r="10541">
      <c r="B10541" s="41" t="inlineStr">
        <is>
          <t>AreaCode</t>
        </is>
      </c>
      <c r="C10541" s="129" t="inlineStr">
        <is>
          <t>地区代码</t>
        </is>
      </c>
      <c r="D10541" s="21" t="n">
        <v>150624</v>
      </c>
      <c r="E10541" s="21" t="inlineStr">
        <is>
          <t>内蒙古自治区鄂尔多斯市鄂托克旗</t>
        </is>
      </c>
    </row>
    <row r="10542">
      <c r="B10542" s="41" t="inlineStr">
        <is>
          <t>AreaCode</t>
        </is>
      </c>
      <c r="C10542" s="129" t="inlineStr">
        <is>
          <t>地区代码</t>
        </is>
      </c>
      <c r="D10542" s="21" t="n">
        <v>150625</v>
      </c>
      <c r="E10542" s="21" t="inlineStr">
        <is>
          <t>内蒙古自治区鄂尔多斯市杭锦旗</t>
        </is>
      </c>
    </row>
    <row r="10543">
      <c r="B10543" s="41" t="inlineStr">
        <is>
          <t>AreaCode</t>
        </is>
      </c>
      <c r="C10543" s="129" t="inlineStr">
        <is>
          <t>地区代码</t>
        </is>
      </c>
      <c r="D10543" s="21" t="n">
        <v>150626</v>
      </c>
      <c r="E10543" s="21" t="inlineStr">
        <is>
          <t>内蒙古自治区鄂尔多斯市乌审旗</t>
        </is>
      </c>
    </row>
    <row r="10544">
      <c r="B10544" s="41" t="inlineStr">
        <is>
          <t>AreaCode</t>
        </is>
      </c>
      <c r="C10544" s="129" t="inlineStr">
        <is>
          <t>地区代码</t>
        </is>
      </c>
      <c r="D10544" s="21" t="n">
        <v>150627</v>
      </c>
      <c r="E10544" s="21" t="inlineStr">
        <is>
          <t>内蒙古自治区鄂尔多斯市伊金霍洛旗</t>
        </is>
      </c>
    </row>
    <row r="10545">
      <c r="B10545" s="41" t="inlineStr">
        <is>
          <t>AreaCode</t>
        </is>
      </c>
      <c r="C10545" s="129" t="inlineStr">
        <is>
          <t>地区代码</t>
        </is>
      </c>
      <c r="D10545" s="21" t="n">
        <v>150700</v>
      </c>
      <c r="E10545" s="21" t="inlineStr">
        <is>
          <t>内蒙古自治区呼伦贝尔市</t>
        </is>
      </c>
    </row>
    <row r="10546">
      <c r="B10546" s="41" t="inlineStr">
        <is>
          <t>AreaCode</t>
        </is>
      </c>
      <c r="C10546" s="129" t="inlineStr">
        <is>
          <t>地区代码</t>
        </is>
      </c>
      <c r="D10546" s="21" t="n">
        <v>150701</v>
      </c>
      <c r="E10546" s="21" t="inlineStr">
        <is>
          <t>内蒙古自治区呼伦贝尔市市辖区</t>
        </is>
      </c>
    </row>
    <row r="10547">
      <c r="B10547" s="41" t="inlineStr">
        <is>
          <t>AreaCode</t>
        </is>
      </c>
      <c r="C10547" s="129" t="inlineStr">
        <is>
          <t>地区代码</t>
        </is>
      </c>
      <c r="D10547" s="21" t="n">
        <v>150702</v>
      </c>
      <c r="E10547" s="21" t="inlineStr">
        <is>
          <t>内蒙古自治区呼伦贝尔市海拉尔区</t>
        </is>
      </c>
    </row>
    <row r="10548">
      <c r="B10548" s="41" t="inlineStr">
        <is>
          <t>AreaCode</t>
        </is>
      </c>
      <c r="C10548" s="129" t="inlineStr">
        <is>
          <t>地区代码</t>
        </is>
      </c>
      <c r="D10548" s="21" t="n">
        <v>150703</v>
      </c>
      <c r="E10548" s="21" t="inlineStr">
        <is>
          <t>内蒙古自治区呼伦贝尔市扎赉诺尔区</t>
        </is>
      </c>
    </row>
    <row r="10549">
      <c r="B10549" s="41" t="inlineStr">
        <is>
          <t>AreaCode</t>
        </is>
      </c>
      <c r="C10549" s="129" t="inlineStr">
        <is>
          <t>地区代码</t>
        </is>
      </c>
      <c r="D10549" s="21" t="n">
        <v>150721</v>
      </c>
      <c r="E10549" s="21" t="inlineStr">
        <is>
          <t>内蒙古自治区呼伦贝尔市阿荣旗</t>
        </is>
      </c>
    </row>
    <row r="10550">
      <c r="B10550" s="41" t="inlineStr">
        <is>
          <t>AreaCode</t>
        </is>
      </c>
      <c r="C10550" s="129" t="inlineStr">
        <is>
          <t>地区代码</t>
        </is>
      </c>
      <c r="D10550" s="21" t="n">
        <v>150722</v>
      </c>
      <c r="E10550" s="21" t="inlineStr">
        <is>
          <t>内蒙古自治区呼伦贝尔市莫力达瓦达斡尔族自治旗</t>
        </is>
      </c>
    </row>
    <row r="10551">
      <c r="B10551" s="41" t="inlineStr">
        <is>
          <t>AreaCode</t>
        </is>
      </c>
      <c r="C10551" s="129" t="inlineStr">
        <is>
          <t>地区代码</t>
        </is>
      </c>
      <c r="D10551" s="21" t="n">
        <v>150723</v>
      </c>
      <c r="E10551" s="21" t="inlineStr">
        <is>
          <t>内蒙古自治区呼伦贝尔市鄂伦春自治旗</t>
        </is>
      </c>
    </row>
    <row r="10552">
      <c r="B10552" s="41" t="inlineStr">
        <is>
          <t>AreaCode</t>
        </is>
      </c>
      <c r="C10552" s="129" t="inlineStr">
        <is>
          <t>地区代码</t>
        </is>
      </c>
      <c r="D10552" s="21" t="n">
        <v>150724</v>
      </c>
      <c r="E10552" s="21" t="inlineStr">
        <is>
          <t>内蒙古自治区呼伦贝尔市鄂温克族自治旗</t>
        </is>
      </c>
    </row>
    <row r="10553">
      <c r="B10553" s="41" t="inlineStr">
        <is>
          <t>AreaCode</t>
        </is>
      </c>
      <c r="C10553" s="129" t="inlineStr">
        <is>
          <t>地区代码</t>
        </is>
      </c>
      <c r="D10553" s="21" t="n">
        <v>150725</v>
      </c>
      <c r="E10553" s="21" t="inlineStr">
        <is>
          <t>内蒙古自治区呼伦贝尔市陈巴尔虎旗</t>
        </is>
      </c>
    </row>
    <row r="10554">
      <c r="B10554" s="41" t="inlineStr">
        <is>
          <t>AreaCode</t>
        </is>
      </c>
      <c r="C10554" s="129" t="inlineStr">
        <is>
          <t>地区代码</t>
        </is>
      </c>
      <c r="D10554" s="21" t="n">
        <v>150726</v>
      </c>
      <c r="E10554" s="21" t="inlineStr">
        <is>
          <t>内蒙古自治区呼伦贝尔市新巴尔虎左旗</t>
        </is>
      </c>
    </row>
    <row r="10555">
      <c r="B10555" s="41" t="inlineStr">
        <is>
          <t>AreaCode</t>
        </is>
      </c>
      <c r="C10555" s="129" t="inlineStr">
        <is>
          <t>地区代码</t>
        </is>
      </c>
      <c r="D10555" s="21" t="n">
        <v>150727</v>
      </c>
      <c r="E10555" s="21" t="inlineStr">
        <is>
          <t>内蒙古自治区呼伦贝尔市新巴尔虎右旗</t>
        </is>
      </c>
    </row>
    <row r="10556">
      <c r="B10556" s="41" t="inlineStr">
        <is>
          <t>AreaCode</t>
        </is>
      </c>
      <c r="C10556" s="129" t="inlineStr">
        <is>
          <t>地区代码</t>
        </is>
      </c>
      <c r="D10556" s="21" t="n">
        <v>150781</v>
      </c>
      <c r="E10556" s="21" t="inlineStr">
        <is>
          <t>内蒙古自治区呼伦贝尔市满洲里市</t>
        </is>
      </c>
    </row>
    <row r="10557">
      <c r="B10557" s="41" t="inlineStr">
        <is>
          <t>AreaCode</t>
        </is>
      </c>
      <c r="C10557" s="129" t="inlineStr">
        <is>
          <t>地区代码</t>
        </is>
      </c>
      <c r="D10557" s="21" t="n">
        <v>150782</v>
      </c>
      <c r="E10557" s="21" t="inlineStr">
        <is>
          <t>内蒙古自治区呼伦贝尔市牙克石市</t>
        </is>
      </c>
    </row>
    <row r="10558">
      <c r="B10558" s="41" t="inlineStr">
        <is>
          <t>AreaCode</t>
        </is>
      </c>
      <c r="C10558" s="129" t="inlineStr">
        <is>
          <t>地区代码</t>
        </is>
      </c>
      <c r="D10558" s="21" t="n">
        <v>150783</v>
      </c>
      <c r="E10558" s="21" t="inlineStr">
        <is>
          <t>内蒙古自治区呼伦贝尔市扎兰屯市</t>
        </is>
      </c>
    </row>
    <row r="10559">
      <c r="B10559" s="41" t="inlineStr">
        <is>
          <t>AreaCode</t>
        </is>
      </c>
      <c r="C10559" s="129" t="inlineStr">
        <is>
          <t>地区代码</t>
        </is>
      </c>
      <c r="D10559" s="21" t="n">
        <v>150784</v>
      </c>
      <c r="E10559" s="21" t="inlineStr">
        <is>
          <t>内蒙古自治区呼伦贝尔市额尔古纳市</t>
        </is>
      </c>
    </row>
    <row r="10560">
      <c r="B10560" s="41" t="inlineStr">
        <is>
          <t>AreaCode</t>
        </is>
      </c>
      <c r="C10560" s="129" t="inlineStr">
        <is>
          <t>地区代码</t>
        </is>
      </c>
      <c r="D10560" s="21" t="n">
        <v>150785</v>
      </c>
      <c r="E10560" s="21" t="inlineStr">
        <is>
          <t>内蒙古自治区呼伦贝尔市根河市</t>
        </is>
      </c>
    </row>
    <row r="10561">
      <c r="B10561" s="41" t="inlineStr">
        <is>
          <t>AreaCode</t>
        </is>
      </c>
      <c r="C10561" s="129" t="inlineStr">
        <is>
          <t>地区代码</t>
        </is>
      </c>
      <c r="D10561" s="21" t="n">
        <v>150800</v>
      </c>
      <c r="E10561" s="21" t="inlineStr">
        <is>
          <t>内蒙古自治区巴彦淖尔市</t>
        </is>
      </c>
    </row>
    <row r="10562">
      <c r="B10562" s="41" t="inlineStr">
        <is>
          <t>AreaCode</t>
        </is>
      </c>
      <c r="C10562" s="129" t="inlineStr">
        <is>
          <t>地区代码</t>
        </is>
      </c>
      <c r="D10562" s="21" t="n">
        <v>150801</v>
      </c>
      <c r="E10562" s="21" t="inlineStr">
        <is>
          <t>内蒙古自治区巴彦淖尔市市辖区</t>
        </is>
      </c>
    </row>
    <row r="10563">
      <c r="B10563" s="41" t="inlineStr">
        <is>
          <t>AreaCode</t>
        </is>
      </c>
      <c r="C10563" s="129" t="inlineStr">
        <is>
          <t>地区代码</t>
        </is>
      </c>
      <c r="D10563" s="21" t="n">
        <v>150802</v>
      </c>
      <c r="E10563" s="21" t="inlineStr">
        <is>
          <t>内蒙古自治区巴彦淖尔市临河区</t>
        </is>
      </c>
    </row>
    <row r="10564">
      <c r="B10564" s="41" t="inlineStr">
        <is>
          <t>AreaCode</t>
        </is>
      </c>
      <c r="C10564" s="129" t="inlineStr">
        <is>
          <t>地区代码</t>
        </is>
      </c>
      <c r="D10564" s="21" t="n">
        <v>150821</v>
      </c>
      <c r="E10564" s="21" t="inlineStr">
        <is>
          <t>内蒙古自治区巴彦淖尔市五原县</t>
        </is>
      </c>
    </row>
    <row r="10565">
      <c r="B10565" s="41" t="inlineStr">
        <is>
          <t>AreaCode</t>
        </is>
      </c>
      <c r="C10565" s="129" t="inlineStr">
        <is>
          <t>地区代码</t>
        </is>
      </c>
      <c r="D10565" s="21" t="n">
        <v>150822</v>
      </c>
      <c r="E10565" s="21" t="inlineStr">
        <is>
          <t>内蒙古自治区巴彦淖尔市磴口县</t>
        </is>
      </c>
    </row>
    <row r="10566">
      <c r="B10566" s="41" t="inlineStr">
        <is>
          <t>AreaCode</t>
        </is>
      </c>
      <c r="C10566" s="129" t="inlineStr">
        <is>
          <t>地区代码</t>
        </is>
      </c>
      <c r="D10566" s="21" t="n">
        <v>150823</v>
      </c>
      <c r="E10566" s="21" t="inlineStr">
        <is>
          <t>内蒙古自治区巴彦淖尔市乌拉特前旗</t>
        </is>
      </c>
    </row>
    <row r="10567">
      <c r="B10567" s="41" t="inlineStr">
        <is>
          <t>AreaCode</t>
        </is>
      </c>
      <c r="C10567" s="129" t="inlineStr">
        <is>
          <t>地区代码</t>
        </is>
      </c>
      <c r="D10567" s="21" t="n">
        <v>150824</v>
      </c>
      <c r="E10567" s="21" t="inlineStr">
        <is>
          <t>内蒙古自治区巴彦淖尔市乌拉特中旗</t>
        </is>
      </c>
    </row>
    <row r="10568">
      <c r="B10568" s="41" t="inlineStr">
        <is>
          <t>AreaCode</t>
        </is>
      </c>
      <c r="C10568" s="129" t="inlineStr">
        <is>
          <t>地区代码</t>
        </is>
      </c>
      <c r="D10568" s="21" t="n">
        <v>150825</v>
      </c>
      <c r="E10568" s="21" t="inlineStr">
        <is>
          <t>内蒙古自治区巴彦淖尔市乌拉特后旗</t>
        </is>
      </c>
    </row>
    <row r="10569">
      <c r="B10569" s="41" t="inlineStr">
        <is>
          <t>AreaCode</t>
        </is>
      </c>
      <c r="C10569" s="129" t="inlineStr">
        <is>
          <t>地区代码</t>
        </is>
      </c>
      <c r="D10569" s="21" t="n">
        <v>150826</v>
      </c>
      <c r="E10569" s="21" t="inlineStr">
        <is>
          <t>内蒙古自治区巴彦淖尔市杭锦后旗</t>
        </is>
      </c>
    </row>
    <row r="10570">
      <c r="B10570" s="41" t="inlineStr">
        <is>
          <t>AreaCode</t>
        </is>
      </c>
      <c r="C10570" s="129" t="inlineStr">
        <is>
          <t>地区代码</t>
        </is>
      </c>
      <c r="D10570" s="21" t="n">
        <v>150900</v>
      </c>
      <c r="E10570" s="21" t="inlineStr">
        <is>
          <t>内蒙古自治区乌兰察布市</t>
        </is>
      </c>
    </row>
    <row r="10571">
      <c r="B10571" s="41" t="inlineStr">
        <is>
          <t>AreaCode</t>
        </is>
      </c>
      <c r="C10571" s="129" t="inlineStr">
        <is>
          <t>地区代码</t>
        </is>
      </c>
      <c r="D10571" s="21" t="n">
        <v>150901</v>
      </c>
      <c r="E10571" s="21" t="inlineStr">
        <is>
          <t>内蒙古自治区乌兰察布市市辖区</t>
        </is>
      </c>
    </row>
    <row r="10572">
      <c r="B10572" s="41" t="inlineStr">
        <is>
          <t>AreaCode</t>
        </is>
      </c>
      <c r="C10572" s="129" t="inlineStr">
        <is>
          <t>地区代码</t>
        </is>
      </c>
      <c r="D10572" s="21" t="n">
        <v>150902</v>
      </c>
      <c r="E10572" s="21" t="inlineStr">
        <is>
          <t>内蒙古自治区乌兰察布市集宁区</t>
        </is>
      </c>
    </row>
    <row r="10573">
      <c r="B10573" s="41" t="inlineStr">
        <is>
          <t>AreaCode</t>
        </is>
      </c>
      <c r="C10573" s="129" t="inlineStr">
        <is>
          <t>地区代码</t>
        </is>
      </c>
      <c r="D10573" s="21" t="n">
        <v>150921</v>
      </c>
      <c r="E10573" s="21" t="inlineStr">
        <is>
          <t>内蒙古自治区乌兰察布市卓资县</t>
        </is>
      </c>
    </row>
    <row r="10574">
      <c r="B10574" s="41" t="inlineStr">
        <is>
          <t>AreaCode</t>
        </is>
      </c>
      <c r="C10574" s="129" t="inlineStr">
        <is>
          <t>地区代码</t>
        </is>
      </c>
      <c r="D10574" s="21" t="n">
        <v>150922</v>
      </c>
      <c r="E10574" s="21" t="inlineStr">
        <is>
          <t>内蒙古自治区乌兰察布市化德县</t>
        </is>
      </c>
    </row>
    <row r="10575">
      <c r="B10575" s="41" t="inlineStr">
        <is>
          <t>AreaCode</t>
        </is>
      </c>
      <c r="C10575" s="129" t="inlineStr">
        <is>
          <t>地区代码</t>
        </is>
      </c>
      <c r="D10575" s="21" t="n">
        <v>150923</v>
      </c>
      <c r="E10575" s="21" t="inlineStr">
        <is>
          <t>内蒙古自治区乌兰察布市商都县</t>
        </is>
      </c>
    </row>
    <row r="10576">
      <c r="B10576" s="41" t="inlineStr">
        <is>
          <t>AreaCode</t>
        </is>
      </c>
      <c r="C10576" s="129" t="inlineStr">
        <is>
          <t>地区代码</t>
        </is>
      </c>
      <c r="D10576" s="21" t="n">
        <v>150924</v>
      </c>
      <c r="E10576" s="21" t="inlineStr">
        <is>
          <t>内蒙古自治区乌兰察布市兴和县</t>
        </is>
      </c>
    </row>
    <row r="10577">
      <c r="B10577" s="41" t="inlineStr">
        <is>
          <t>AreaCode</t>
        </is>
      </c>
      <c r="C10577" s="129" t="inlineStr">
        <is>
          <t>地区代码</t>
        </is>
      </c>
      <c r="D10577" s="21" t="n">
        <v>150925</v>
      </c>
      <c r="E10577" s="21" t="inlineStr">
        <is>
          <t>内蒙古自治区乌兰察布市凉城县</t>
        </is>
      </c>
    </row>
    <row r="10578">
      <c r="B10578" s="41" t="inlineStr">
        <is>
          <t>AreaCode</t>
        </is>
      </c>
      <c r="C10578" s="129" t="inlineStr">
        <is>
          <t>地区代码</t>
        </is>
      </c>
      <c r="D10578" s="21" t="n">
        <v>150926</v>
      </c>
      <c r="E10578" s="21" t="inlineStr">
        <is>
          <t>内蒙古自治区乌兰察布市察哈尔右翼前旗</t>
        </is>
      </c>
    </row>
    <row r="10579">
      <c r="B10579" s="41" t="inlineStr">
        <is>
          <t>AreaCode</t>
        </is>
      </c>
      <c r="C10579" s="129" t="inlineStr">
        <is>
          <t>地区代码</t>
        </is>
      </c>
      <c r="D10579" s="21" t="n">
        <v>150927</v>
      </c>
      <c r="E10579" s="21" t="inlineStr">
        <is>
          <t>内蒙古自治区乌兰察布市察哈尔右翼中旗</t>
        </is>
      </c>
    </row>
    <row r="10580">
      <c r="B10580" s="41" t="inlineStr">
        <is>
          <t>AreaCode</t>
        </is>
      </c>
      <c r="C10580" s="129" t="inlineStr">
        <is>
          <t>地区代码</t>
        </is>
      </c>
      <c r="D10580" s="21" t="n">
        <v>150928</v>
      </c>
      <c r="E10580" s="21" t="inlineStr">
        <is>
          <t>内蒙古自治区乌兰察布市察哈尔右翼后旗</t>
        </is>
      </c>
    </row>
    <row r="10581">
      <c r="B10581" s="41" t="inlineStr">
        <is>
          <t>AreaCode</t>
        </is>
      </c>
      <c r="C10581" s="129" t="inlineStr">
        <is>
          <t>地区代码</t>
        </is>
      </c>
      <c r="D10581" s="21" t="n">
        <v>150929</v>
      </c>
      <c r="E10581" s="21" t="inlineStr">
        <is>
          <t>内蒙古自治区乌兰察布市四子王旗</t>
        </is>
      </c>
    </row>
    <row r="10582">
      <c r="B10582" s="41" t="inlineStr">
        <is>
          <t>AreaCode</t>
        </is>
      </c>
      <c r="C10582" s="129" t="inlineStr">
        <is>
          <t>地区代码</t>
        </is>
      </c>
      <c r="D10582" s="21" t="n">
        <v>150981</v>
      </c>
      <c r="E10582" s="21" t="inlineStr">
        <is>
          <t>内蒙古自治区乌兰察布市丰镇市</t>
        </is>
      </c>
    </row>
    <row r="10583">
      <c r="B10583" s="41" t="inlineStr">
        <is>
          <t>AreaCode</t>
        </is>
      </c>
      <c r="C10583" s="129" t="inlineStr">
        <is>
          <t>地区代码</t>
        </is>
      </c>
      <c r="D10583" s="21" t="n">
        <v>152200</v>
      </c>
      <c r="E10583" s="21" t="inlineStr">
        <is>
          <t>内蒙古自治区兴安盟</t>
        </is>
      </c>
    </row>
    <row r="10584">
      <c r="B10584" s="41" t="inlineStr">
        <is>
          <t>AreaCode</t>
        </is>
      </c>
      <c r="C10584" s="129" t="inlineStr">
        <is>
          <t>地区代码</t>
        </is>
      </c>
      <c r="D10584" s="21" t="n">
        <v>152201</v>
      </c>
      <c r="E10584" s="21" t="inlineStr">
        <is>
          <t>内蒙古自治区兴安盟乌兰浩特市</t>
        </is>
      </c>
    </row>
    <row r="10585">
      <c r="B10585" s="41" t="inlineStr">
        <is>
          <t>AreaCode</t>
        </is>
      </c>
      <c r="C10585" s="129" t="inlineStr">
        <is>
          <t>地区代码</t>
        </is>
      </c>
      <c r="D10585" s="21" t="n">
        <v>152202</v>
      </c>
      <c r="E10585" s="21" t="inlineStr">
        <is>
          <t>内蒙古自治区兴安盟阿尔山市</t>
        </is>
      </c>
    </row>
    <row r="10586">
      <c r="B10586" s="41" t="inlineStr">
        <is>
          <t>AreaCode</t>
        </is>
      </c>
      <c r="C10586" s="129" t="inlineStr">
        <is>
          <t>地区代码</t>
        </is>
      </c>
      <c r="D10586" s="21" t="n">
        <v>152221</v>
      </c>
      <c r="E10586" s="21" t="inlineStr">
        <is>
          <t>内蒙古自治区兴安盟科尔沁右翼前旗</t>
        </is>
      </c>
    </row>
    <row r="10587">
      <c r="B10587" s="41" t="inlineStr">
        <is>
          <t>AreaCode</t>
        </is>
      </c>
      <c r="C10587" s="129" t="inlineStr">
        <is>
          <t>地区代码</t>
        </is>
      </c>
      <c r="D10587" s="21" t="n">
        <v>152222</v>
      </c>
      <c r="E10587" s="21" t="inlineStr">
        <is>
          <t>内蒙古自治区兴安盟科尔沁右翼中旗</t>
        </is>
      </c>
    </row>
    <row r="10588">
      <c r="B10588" s="41" t="inlineStr">
        <is>
          <t>AreaCode</t>
        </is>
      </c>
      <c r="C10588" s="129" t="inlineStr">
        <is>
          <t>地区代码</t>
        </is>
      </c>
      <c r="D10588" s="21" t="n">
        <v>152223</v>
      </c>
      <c r="E10588" s="21" t="inlineStr">
        <is>
          <t>内蒙古自治区兴安盟扎赉特旗</t>
        </is>
      </c>
    </row>
    <row r="10589">
      <c r="B10589" s="41" t="inlineStr">
        <is>
          <t>AreaCode</t>
        </is>
      </c>
      <c r="C10589" s="129" t="inlineStr">
        <is>
          <t>地区代码</t>
        </is>
      </c>
      <c r="D10589" s="21" t="n">
        <v>152224</v>
      </c>
      <c r="E10589" s="21" t="inlineStr">
        <is>
          <t>内蒙古自治区兴安盟突泉县</t>
        </is>
      </c>
    </row>
    <row r="10590">
      <c r="B10590" s="41" t="inlineStr">
        <is>
          <t>AreaCode</t>
        </is>
      </c>
      <c r="C10590" s="129" t="inlineStr">
        <is>
          <t>地区代码</t>
        </is>
      </c>
      <c r="D10590" s="21" t="n">
        <v>152500</v>
      </c>
      <c r="E10590" s="21" t="inlineStr">
        <is>
          <t>内蒙古自治区锡林郭勒盟</t>
        </is>
      </c>
    </row>
    <row r="10591">
      <c r="B10591" s="41" t="inlineStr">
        <is>
          <t>AreaCode</t>
        </is>
      </c>
      <c r="C10591" s="129" t="inlineStr">
        <is>
          <t>地区代码</t>
        </is>
      </c>
      <c r="D10591" s="21" t="n">
        <v>152501</v>
      </c>
      <c r="E10591" s="21" t="inlineStr">
        <is>
          <t>内蒙古自治区锡林郭勒盟二连浩特市</t>
        </is>
      </c>
    </row>
    <row r="10592">
      <c r="B10592" s="41" t="inlineStr">
        <is>
          <t>AreaCode</t>
        </is>
      </c>
      <c r="C10592" s="129" t="inlineStr">
        <is>
          <t>地区代码</t>
        </is>
      </c>
      <c r="D10592" s="21" t="n">
        <v>152502</v>
      </c>
      <c r="E10592" s="21" t="inlineStr">
        <is>
          <t>内蒙古自治区锡林郭勒盟锡林浩特市</t>
        </is>
      </c>
    </row>
    <row r="10593">
      <c r="B10593" s="41" t="inlineStr">
        <is>
          <t>AreaCode</t>
        </is>
      </c>
      <c r="C10593" s="129" t="inlineStr">
        <is>
          <t>地区代码</t>
        </is>
      </c>
      <c r="D10593" s="21" t="n">
        <v>152522</v>
      </c>
      <c r="E10593" s="21" t="inlineStr">
        <is>
          <t>内蒙古自治区锡林郭勒盟阿巴嘎旗</t>
        </is>
      </c>
    </row>
    <row r="10594">
      <c r="B10594" s="41" t="inlineStr">
        <is>
          <t>AreaCode</t>
        </is>
      </c>
      <c r="C10594" s="129" t="inlineStr">
        <is>
          <t>地区代码</t>
        </is>
      </c>
      <c r="D10594" s="21" t="n">
        <v>152523</v>
      </c>
      <c r="E10594" s="21" t="inlineStr">
        <is>
          <t>内蒙古自治区锡林郭勒盟苏尼特左旗</t>
        </is>
      </c>
    </row>
    <row r="10595">
      <c r="B10595" s="41" t="inlineStr">
        <is>
          <t>AreaCode</t>
        </is>
      </c>
      <c r="C10595" s="129" t="inlineStr">
        <is>
          <t>地区代码</t>
        </is>
      </c>
      <c r="D10595" s="21" t="n">
        <v>152524</v>
      </c>
      <c r="E10595" s="21" t="inlineStr">
        <is>
          <t>内蒙古自治区锡林郭勒盟苏尼特右旗</t>
        </is>
      </c>
    </row>
    <row r="10596">
      <c r="B10596" s="41" t="inlineStr">
        <is>
          <t>AreaCode</t>
        </is>
      </c>
      <c r="C10596" s="129" t="inlineStr">
        <is>
          <t>地区代码</t>
        </is>
      </c>
      <c r="D10596" s="21" t="n">
        <v>152525</v>
      </c>
      <c r="E10596" s="21" t="inlineStr">
        <is>
          <t>内蒙古自治区锡林郭勒盟东乌珠穆沁旗</t>
        </is>
      </c>
    </row>
    <row r="10597">
      <c r="B10597" s="41" t="inlineStr">
        <is>
          <t>AreaCode</t>
        </is>
      </c>
      <c r="C10597" s="129" t="inlineStr">
        <is>
          <t>地区代码</t>
        </is>
      </c>
      <c r="D10597" s="21" t="n">
        <v>152526</v>
      </c>
      <c r="E10597" s="21" t="inlineStr">
        <is>
          <t>内蒙古自治区锡林郭勒盟西乌珠穆沁旗</t>
        </is>
      </c>
    </row>
    <row r="10598">
      <c r="B10598" s="41" t="inlineStr">
        <is>
          <t>AreaCode</t>
        </is>
      </c>
      <c r="C10598" s="129" t="inlineStr">
        <is>
          <t>地区代码</t>
        </is>
      </c>
      <c r="D10598" s="21" t="n">
        <v>152527</v>
      </c>
      <c r="E10598" s="21" t="inlineStr">
        <is>
          <t>内蒙古自治区锡林郭勒盟太仆寺旗</t>
        </is>
      </c>
    </row>
    <row r="10599">
      <c r="B10599" s="41" t="inlineStr">
        <is>
          <t>AreaCode</t>
        </is>
      </c>
      <c r="C10599" s="129" t="inlineStr">
        <is>
          <t>地区代码</t>
        </is>
      </c>
      <c r="D10599" s="21" t="n">
        <v>152528</v>
      </c>
      <c r="E10599" s="21" t="inlineStr">
        <is>
          <t>内蒙古自治区锡林郭勒盟镶黄旗</t>
        </is>
      </c>
    </row>
    <row r="10600">
      <c r="B10600" s="41" t="inlineStr">
        <is>
          <t>AreaCode</t>
        </is>
      </c>
      <c r="C10600" s="129" t="inlineStr">
        <is>
          <t>地区代码</t>
        </is>
      </c>
      <c r="D10600" s="21" t="n">
        <v>152529</v>
      </c>
      <c r="E10600" s="21" t="inlineStr">
        <is>
          <t>内蒙古自治区锡林郭勒盟正镶白旗</t>
        </is>
      </c>
    </row>
    <row r="10601">
      <c r="B10601" s="41" t="inlineStr">
        <is>
          <t>AreaCode</t>
        </is>
      </c>
      <c r="C10601" s="129" t="inlineStr">
        <is>
          <t>地区代码</t>
        </is>
      </c>
      <c r="D10601" s="21" t="n">
        <v>152530</v>
      </c>
      <c r="E10601" s="21" t="inlineStr">
        <is>
          <t>内蒙古自治区锡林郭勒盟正蓝旗</t>
        </is>
      </c>
    </row>
    <row r="10602">
      <c r="B10602" s="41" t="inlineStr">
        <is>
          <t>AreaCode</t>
        </is>
      </c>
      <c r="C10602" s="129" t="inlineStr">
        <is>
          <t>地区代码</t>
        </is>
      </c>
      <c r="D10602" s="21" t="n">
        <v>152531</v>
      </c>
      <c r="E10602" s="21" t="inlineStr">
        <is>
          <t>内蒙古自治区锡林郭勒盟多伦县</t>
        </is>
      </c>
    </row>
    <row r="10603">
      <c r="B10603" s="41" t="inlineStr">
        <is>
          <t>AreaCode</t>
        </is>
      </c>
      <c r="C10603" s="129" t="inlineStr">
        <is>
          <t>地区代码</t>
        </is>
      </c>
      <c r="D10603" s="21" t="n">
        <v>152900</v>
      </c>
      <c r="E10603" s="21" t="inlineStr">
        <is>
          <t>内蒙古自治区阿拉善盟</t>
        </is>
      </c>
    </row>
    <row r="10604">
      <c r="B10604" s="41" t="inlineStr">
        <is>
          <t>AreaCode</t>
        </is>
      </c>
      <c r="C10604" s="129" t="inlineStr">
        <is>
          <t>地区代码</t>
        </is>
      </c>
      <c r="D10604" s="21" t="n">
        <v>152921</v>
      </c>
      <c r="E10604" s="21" t="inlineStr">
        <is>
          <t>内蒙古自治区阿拉善盟阿拉善左旗</t>
        </is>
      </c>
    </row>
    <row r="10605">
      <c r="B10605" s="41" t="inlineStr">
        <is>
          <t>AreaCode</t>
        </is>
      </c>
      <c r="C10605" s="129" t="inlineStr">
        <is>
          <t>地区代码</t>
        </is>
      </c>
      <c r="D10605" s="21" t="n">
        <v>152922</v>
      </c>
      <c r="E10605" s="21" t="inlineStr">
        <is>
          <t>内蒙古自治区阿拉善盟阿拉善右旗</t>
        </is>
      </c>
    </row>
    <row r="10606">
      <c r="B10606" s="41" t="inlineStr">
        <is>
          <t>AreaCode</t>
        </is>
      </c>
      <c r="C10606" s="129" t="inlineStr">
        <is>
          <t>地区代码</t>
        </is>
      </c>
      <c r="D10606" s="21" t="n">
        <v>152923</v>
      </c>
      <c r="E10606" s="21" t="inlineStr">
        <is>
          <t>内蒙古自治区阿拉善盟额济纳旗</t>
        </is>
      </c>
    </row>
    <row r="10607">
      <c r="B10607" s="41" t="inlineStr">
        <is>
          <t>AreaCode</t>
        </is>
      </c>
      <c r="C10607" s="129" t="inlineStr">
        <is>
          <t>地区代码</t>
        </is>
      </c>
      <c r="D10607" s="21" t="n">
        <v>210000</v>
      </c>
      <c r="E10607" s="21" t="inlineStr">
        <is>
          <t>辽宁省</t>
        </is>
      </c>
    </row>
    <row r="10608">
      <c r="B10608" s="41" t="inlineStr">
        <is>
          <t>AreaCode</t>
        </is>
      </c>
      <c r="C10608" s="129" t="inlineStr">
        <is>
          <t>地区代码</t>
        </is>
      </c>
      <c r="D10608" s="21" t="n">
        <v>210100</v>
      </c>
      <c r="E10608" s="21" t="inlineStr">
        <is>
          <t>辽宁省沈阳市</t>
        </is>
      </c>
    </row>
    <row r="10609">
      <c r="B10609" s="41" t="inlineStr">
        <is>
          <t>AreaCode</t>
        </is>
      </c>
      <c r="C10609" s="129" t="inlineStr">
        <is>
          <t>地区代码</t>
        </is>
      </c>
      <c r="D10609" s="21" t="n">
        <v>210101</v>
      </c>
      <c r="E10609" s="21" t="inlineStr">
        <is>
          <t>辽宁省沈阳市市辖区</t>
        </is>
      </c>
    </row>
    <row r="10610">
      <c r="B10610" s="41" t="inlineStr">
        <is>
          <t>AreaCode</t>
        </is>
      </c>
      <c r="C10610" s="129" t="inlineStr">
        <is>
          <t>地区代码</t>
        </is>
      </c>
      <c r="D10610" s="21" t="n">
        <v>210102</v>
      </c>
      <c r="E10610" s="21" t="inlineStr">
        <is>
          <t>辽宁省沈阳市和平区</t>
        </is>
      </c>
    </row>
    <row r="10611">
      <c r="B10611" s="41" t="inlineStr">
        <is>
          <t>AreaCode</t>
        </is>
      </c>
      <c r="C10611" s="129" t="inlineStr">
        <is>
          <t>地区代码</t>
        </is>
      </c>
      <c r="D10611" s="21" t="n">
        <v>210103</v>
      </c>
      <c r="E10611" s="21" t="inlineStr">
        <is>
          <t>辽宁省沈阳市沈河区</t>
        </is>
      </c>
    </row>
    <row r="10612">
      <c r="B10612" s="41" t="inlineStr">
        <is>
          <t>AreaCode</t>
        </is>
      </c>
      <c r="C10612" s="129" t="inlineStr">
        <is>
          <t>地区代码</t>
        </is>
      </c>
      <c r="D10612" s="21" t="n">
        <v>210104</v>
      </c>
      <c r="E10612" s="21" t="inlineStr">
        <is>
          <t>辽宁省沈阳市大东区</t>
        </is>
      </c>
    </row>
    <row r="10613">
      <c r="B10613" s="41" t="inlineStr">
        <is>
          <t>AreaCode</t>
        </is>
      </c>
      <c r="C10613" s="129" t="inlineStr">
        <is>
          <t>地区代码</t>
        </is>
      </c>
      <c r="D10613" s="21" t="n">
        <v>210105</v>
      </c>
      <c r="E10613" s="21" t="inlineStr">
        <is>
          <t>辽宁省沈阳市皇姑区</t>
        </is>
      </c>
    </row>
    <row r="10614">
      <c r="B10614" s="41" t="inlineStr">
        <is>
          <t>AreaCode</t>
        </is>
      </c>
      <c r="C10614" s="129" t="inlineStr">
        <is>
          <t>地区代码</t>
        </is>
      </c>
      <c r="D10614" s="21" t="n">
        <v>210106</v>
      </c>
      <c r="E10614" s="21" t="inlineStr">
        <is>
          <t>辽宁省沈阳市铁西区</t>
        </is>
      </c>
    </row>
    <row r="10615">
      <c r="B10615" s="41" t="inlineStr">
        <is>
          <t>AreaCode</t>
        </is>
      </c>
      <c r="C10615" s="129" t="inlineStr">
        <is>
          <t>地区代码</t>
        </is>
      </c>
      <c r="D10615" s="21" t="n">
        <v>210111</v>
      </c>
      <c r="E10615" s="21" t="inlineStr">
        <is>
          <t>辽宁省沈阳市苏家屯区</t>
        </is>
      </c>
    </row>
    <row r="10616">
      <c r="B10616" s="41" t="inlineStr">
        <is>
          <t>AreaCode</t>
        </is>
      </c>
      <c r="C10616" s="129" t="inlineStr">
        <is>
          <t>地区代码</t>
        </is>
      </c>
      <c r="D10616" s="21" t="n">
        <v>210112</v>
      </c>
      <c r="E10616" s="21" t="inlineStr">
        <is>
          <t>辽宁省沈阳市浑南区</t>
        </is>
      </c>
    </row>
    <row r="10617">
      <c r="B10617" s="41" t="inlineStr">
        <is>
          <t>AreaCode</t>
        </is>
      </c>
      <c r="C10617" s="129" t="inlineStr">
        <is>
          <t>地区代码</t>
        </is>
      </c>
      <c r="D10617" s="21" t="n">
        <v>210113</v>
      </c>
      <c r="E10617" s="21" t="inlineStr">
        <is>
          <t>辽宁省沈阳市沈北新区</t>
        </is>
      </c>
    </row>
    <row r="10618">
      <c r="B10618" s="41" t="inlineStr">
        <is>
          <t>AreaCode</t>
        </is>
      </c>
      <c r="C10618" s="129" t="inlineStr">
        <is>
          <t>地区代码</t>
        </is>
      </c>
      <c r="D10618" s="21" t="n">
        <v>210114</v>
      </c>
      <c r="E10618" s="21" t="inlineStr">
        <is>
          <t>辽宁省沈阳市于洪区</t>
        </is>
      </c>
    </row>
    <row r="10619">
      <c r="B10619" s="41" t="inlineStr">
        <is>
          <t>AreaCode</t>
        </is>
      </c>
      <c r="C10619" s="129" t="inlineStr">
        <is>
          <t>地区代码</t>
        </is>
      </c>
      <c r="D10619" s="21" t="n">
        <v>210122</v>
      </c>
      <c r="E10619" s="21" t="inlineStr">
        <is>
          <t>辽宁省沈阳市辽中县</t>
        </is>
      </c>
    </row>
    <row r="10620">
      <c r="B10620" s="41" t="inlineStr">
        <is>
          <t>AreaCode</t>
        </is>
      </c>
      <c r="C10620" s="129" t="inlineStr">
        <is>
          <t>地区代码</t>
        </is>
      </c>
      <c r="D10620" s="21" t="n">
        <v>210123</v>
      </c>
      <c r="E10620" s="21" t="inlineStr">
        <is>
          <t>辽宁省沈阳市康平县</t>
        </is>
      </c>
    </row>
    <row r="10621">
      <c r="B10621" s="41" t="inlineStr">
        <is>
          <t>AreaCode</t>
        </is>
      </c>
      <c r="C10621" s="129" t="inlineStr">
        <is>
          <t>地区代码</t>
        </is>
      </c>
      <c r="D10621" s="21" t="n">
        <v>210124</v>
      </c>
      <c r="E10621" s="21" t="inlineStr">
        <is>
          <t>辽宁省沈阳市法库县</t>
        </is>
      </c>
    </row>
    <row r="10622">
      <c r="B10622" s="41" t="inlineStr">
        <is>
          <t>AreaCode</t>
        </is>
      </c>
      <c r="C10622" s="129" t="inlineStr">
        <is>
          <t>地区代码</t>
        </is>
      </c>
      <c r="D10622" s="21" t="n">
        <v>210181</v>
      </c>
      <c r="E10622" s="21" t="inlineStr">
        <is>
          <t>辽宁省沈阳市新民市</t>
        </is>
      </c>
    </row>
    <row r="10623">
      <c r="B10623" s="41" t="inlineStr">
        <is>
          <t>AreaCode</t>
        </is>
      </c>
      <c r="C10623" s="129" t="inlineStr">
        <is>
          <t>地区代码</t>
        </is>
      </c>
      <c r="D10623" s="21" t="n">
        <v>210200</v>
      </c>
      <c r="E10623" s="21" t="inlineStr">
        <is>
          <t>辽宁省大连市</t>
        </is>
      </c>
    </row>
    <row r="10624">
      <c r="B10624" s="41" t="inlineStr">
        <is>
          <t>AreaCode</t>
        </is>
      </c>
      <c r="C10624" s="129" t="inlineStr">
        <is>
          <t>地区代码</t>
        </is>
      </c>
      <c r="D10624" s="21" t="n">
        <v>210201</v>
      </c>
      <c r="E10624" s="21" t="inlineStr">
        <is>
          <t>辽宁省大连市市辖区</t>
        </is>
      </c>
    </row>
    <row r="10625">
      <c r="B10625" s="41" t="inlineStr">
        <is>
          <t>AreaCode</t>
        </is>
      </c>
      <c r="C10625" s="129" t="inlineStr">
        <is>
          <t>地区代码</t>
        </is>
      </c>
      <c r="D10625" s="21" t="n">
        <v>210202</v>
      </c>
      <c r="E10625" s="21" t="inlineStr">
        <is>
          <t>辽宁省大连市中山区</t>
        </is>
      </c>
    </row>
    <row r="10626">
      <c r="B10626" s="41" t="inlineStr">
        <is>
          <t>AreaCode</t>
        </is>
      </c>
      <c r="C10626" s="129" t="inlineStr">
        <is>
          <t>地区代码</t>
        </is>
      </c>
      <c r="D10626" s="21" t="n">
        <v>210203</v>
      </c>
      <c r="E10626" s="21" t="inlineStr">
        <is>
          <t>辽宁省大连市西岗区</t>
        </is>
      </c>
    </row>
    <row r="10627">
      <c r="B10627" s="41" t="inlineStr">
        <is>
          <t>AreaCode</t>
        </is>
      </c>
      <c r="C10627" s="129" t="inlineStr">
        <is>
          <t>地区代码</t>
        </is>
      </c>
      <c r="D10627" s="21" t="n">
        <v>210204</v>
      </c>
      <c r="E10627" s="21" t="inlineStr">
        <is>
          <t>辽宁省大连市沙河口区</t>
        </is>
      </c>
    </row>
    <row r="10628">
      <c r="B10628" s="41" t="inlineStr">
        <is>
          <t>AreaCode</t>
        </is>
      </c>
      <c r="C10628" s="129" t="inlineStr">
        <is>
          <t>地区代码</t>
        </is>
      </c>
      <c r="D10628" s="21" t="n">
        <v>210211</v>
      </c>
      <c r="E10628" s="21" t="inlineStr">
        <is>
          <t>辽宁省大连市甘井子区</t>
        </is>
      </c>
    </row>
    <row r="10629">
      <c r="B10629" s="41" t="inlineStr">
        <is>
          <t>AreaCode</t>
        </is>
      </c>
      <c r="C10629" s="129" t="inlineStr">
        <is>
          <t>地区代码</t>
        </is>
      </c>
      <c r="D10629" s="21" t="n">
        <v>210212</v>
      </c>
      <c r="E10629" s="21" t="inlineStr">
        <is>
          <t>辽宁省大连市旅顺口区</t>
        </is>
      </c>
    </row>
    <row r="10630">
      <c r="B10630" s="41" t="inlineStr">
        <is>
          <t>AreaCode</t>
        </is>
      </c>
      <c r="C10630" s="129" t="inlineStr">
        <is>
          <t>地区代码</t>
        </is>
      </c>
      <c r="D10630" s="21" t="n">
        <v>210213</v>
      </c>
      <c r="E10630" s="21" t="inlineStr">
        <is>
          <t>辽宁省大连市金州区</t>
        </is>
      </c>
    </row>
    <row r="10631">
      <c r="B10631" s="41" t="inlineStr">
        <is>
          <t>AreaCode</t>
        </is>
      </c>
      <c r="C10631" s="129" t="inlineStr">
        <is>
          <t>地区代码</t>
        </is>
      </c>
      <c r="D10631" s="21" t="n">
        <v>210224</v>
      </c>
      <c r="E10631" s="21" t="inlineStr">
        <is>
          <t>辽宁省大连市长海县</t>
        </is>
      </c>
    </row>
    <row r="10632">
      <c r="B10632" s="41" t="inlineStr">
        <is>
          <t>AreaCode</t>
        </is>
      </c>
      <c r="C10632" s="129" t="inlineStr">
        <is>
          <t>地区代码</t>
        </is>
      </c>
      <c r="D10632" s="21" t="n">
        <v>210281</v>
      </c>
      <c r="E10632" s="21" t="inlineStr">
        <is>
          <t>辽宁省大连市瓦房店市</t>
        </is>
      </c>
    </row>
    <row r="10633">
      <c r="B10633" s="41" t="inlineStr">
        <is>
          <t>AreaCode</t>
        </is>
      </c>
      <c r="C10633" s="129" t="inlineStr">
        <is>
          <t>地区代码</t>
        </is>
      </c>
      <c r="D10633" s="21" t="n">
        <v>210282</v>
      </c>
      <c r="E10633" s="21" t="inlineStr">
        <is>
          <t>辽宁省大连市普兰店市</t>
        </is>
      </c>
    </row>
    <row r="10634">
      <c r="B10634" s="41" t="inlineStr">
        <is>
          <t>AreaCode</t>
        </is>
      </c>
      <c r="C10634" s="129" t="inlineStr">
        <is>
          <t>地区代码</t>
        </is>
      </c>
      <c r="D10634" s="21" t="n">
        <v>210283</v>
      </c>
      <c r="E10634" s="21" t="inlineStr">
        <is>
          <t>辽宁省大连市庄河市</t>
        </is>
      </c>
    </row>
    <row r="10635">
      <c r="B10635" s="41" t="inlineStr">
        <is>
          <t>AreaCode</t>
        </is>
      </c>
      <c r="C10635" s="129" t="inlineStr">
        <is>
          <t>地区代码</t>
        </is>
      </c>
      <c r="D10635" s="21" t="n">
        <v>210300</v>
      </c>
      <c r="E10635" s="21" t="inlineStr">
        <is>
          <t>辽宁省鞍山市</t>
        </is>
      </c>
    </row>
    <row r="10636">
      <c r="B10636" s="41" t="inlineStr">
        <is>
          <t>AreaCode</t>
        </is>
      </c>
      <c r="C10636" s="129" t="inlineStr">
        <is>
          <t>地区代码</t>
        </is>
      </c>
      <c r="D10636" s="21" t="n">
        <v>210301</v>
      </c>
      <c r="E10636" s="21" t="inlineStr">
        <is>
          <t>辽宁省鞍山市市辖区</t>
        </is>
      </c>
    </row>
    <row r="10637">
      <c r="B10637" s="41" t="inlineStr">
        <is>
          <t>AreaCode</t>
        </is>
      </c>
      <c r="C10637" s="129" t="inlineStr">
        <is>
          <t>地区代码</t>
        </is>
      </c>
      <c r="D10637" s="21" t="n">
        <v>210302</v>
      </c>
      <c r="E10637" s="21" t="inlineStr">
        <is>
          <t>辽宁省鞍山市铁东区</t>
        </is>
      </c>
    </row>
    <row r="10638">
      <c r="B10638" s="41" t="inlineStr">
        <is>
          <t>AreaCode</t>
        </is>
      </c>
      <c r="C10638" s="129" t="inlineStr">
        <is>
          <t>地区代码</t>
        </is>
      </c>
      <c r="D10638" s="21" t="n">
        <v>210303</v>
      </c>
      <c r="E10638" s="21" t="inlineStr">
        <is>
          <t>辽宁省鞍山市铁西区</t>
        </is>
      </c>
    </row>
    <row r="10639">
      <c r="B10639" s="41" t="inlineStr">
        <is>
          <t>AreaCode</t>
        </is>
      </c>
      <c r="C10639" s="129" t="inlineStr">
        <is>
          <t>地区代码</t>
        </is>
      </c>
      <c r="D10639" s="21" t="n">
        <v>210304</v>
      </c>
      <c r="E10639" s="21" t="inlineStr">
        <is>
          <t>辽宁省鞍山市立山区</t>
        </is>
      </c>
    </row>
    <row r="10640">
      <c r="B10640" s="41" t="inlineStr">
        <is>
          <t>AreaCode</t>
        </is>
      </c>
      <c r="C10640" s="129" t="inlineStr">
        <is>
          <t>地区代码</t>
        </is>
      </c>
      <c r="D10640" s="21" t="n">
        <v>210311</v>
      </c>
      <c r="E10640" s="21" t="inlineStr">
        <is>
          <t>辽宁省鞍山市千山区</t>
        </is>
      </c>
    </row>
    <row r="10641">
      <c r="B10641" s="41" t="inlineStr">
        <is>
          <t>AreaCode</t>
        </is>
      </c>
      <c r="C10641" s="129" t="inlineStr">
        <is>
          <t>地区代码</t>
        </is>
      </c>
      <c r="D10641" s="21" t="n">
        <v>210321</v>
      </c>
      <c r="E10641" s="21" t="inlineStr">
        <is>
          <t>辽宁省鞍山市台安县</t>
        </is>
      </c>
    </row>
    <row r="10642">
      <c r="B10642" s="41" t="inlineStr">
        <is>
          <t>AreaCode</t>
        </is>
      </c>
      <c r="C10642" s="129" t="inlineStr">
        <is>
          <t>地区代码</t>
        </is>
      </c>
      <c r="D10642" s="21" t="n">
        <v>210323</v>
      </c>
      <c r="E10642" s="21" t="inlineStr">
        <is>
          <t>辽宁省鞍山市岫岩满族自治县</t>
        </is>
      </c>
    </row>
    <row r="10643">
      <c r="B10643" s="41" t="inlineStr">
        <is>
          <t>AreaCode</t>
        </is>
      </c>
      <c r="C10643" s="129" t="inlineStr">
        <is>
          <t>地区代码</t>
        </is>
      </c>
      <c r="D10643" s="21" t="n">
        <v>210381</v>
      </c>
      <c r="E10643" s="21" t="inlineStr">
        <is>
          <t>辽宁省鞍山市海城市</t>
        </is>
      </c>
    </row>
    <row r="10644">
      <c r="B10644" s="41" t="inlineStr">
        <is>
          <t>AreaCode</t>
        </is>
      </c>
      <c r="C10644" s="129" t="inlineStr">
        <is>
          <t>地区代码</t>
        </is>
      </c>
      <c r="D10644" s="21" t="n">
        <v>210400</v>
      </c>
      <c r="E10644" s="21" t="inlineStr">
        <is>
          <t>辽宁省抚顺市</t>
        </is>
      </c>
    </row>
    <row r="10645">
      <c r="B10645" s="41" t="inlineStr">
        <is>
          <t>AreaCode</t>
        </is>
      </c>
      <c r="C10645" s="129" t="inlineStr">
        <is>
          <t>地区代码</t>
        </is>
      </c>
      <c r="D10645" s="21" t="n">
        <v>210401</v>
      </c>
      <c r="E10645" s="21" t="inlineStr">
        <is>
          <t>辽宁省抚顺市市辖区</t>
        </is>
      </c>
    </row>
    <row r="10646">
      <c r="B10646" s="41" t="inlineStr">
        <is>
          <t>AreaCode</t>
        </is>
      </c>
      <c r="C10646" s="129" t="inlineStr">
        <is>
          <t>地区代码</t>
        </is>
      </c>
      <c r="D10646" s="21" t="n">
        <v>210402</v>
      </c>
      <c r="E10646" s="21" t="inlineStr">
        <is>
          <t>辽宁省抚顺市新抚区</t>
        </is>
      </c>
    </row>
    <row r="10647">
      <c r="B10647" s="41" t="inlineStr">
        <is>
          <t>AreaCode</t>
        </is>
      </c>
      <c r="C10647" s="129" t="inlineStr">
        <is>
          <t>地区代码</t>
        </is>
      </c>
      <c r="D10647" s="21" t="n">
        <v>210403</v>
      </c>
      <c r="E10647" s="21" t="inlineStr">
        <is>
          <t>辽宁省抚顺市东洲区</t>
        </is>
      </c>
    </row>
    <row r="10648">
      <c r="B10648" s="41" t="inlineStr">
        <is>
          <t>AreaCode</t>
        </is>
      </c>
      <c r="C10648" s="129" t="inlineStr">
        <is>
          <t>地区代码</t>
        </is>
      </c>
      <c r="D10648" s="21" t="n">
        <v>210404</v>
      </c>
      <c r="E10648" s="21" t="inlineStr">
        <is>
          <t>辽宁省抚顺市望花区</t>
        </is>
      </c>
    </row>
    <row r="10649">
      <c r="B10649" s="41" t="inlineStr">
        <is>
          <t>AreaCode</t>
        </is>
      </c>
      <c r="C10649" s="129" t="inlineStr">
        <is>
          <t>地区代码</t>
        </is>
      </c>
      <c r="D10649" s="21" t="n">
        <v>210411</v>
      </c>
      <c r="E10649" s="21" t="inlineStr">
        <is>
          <t>辽宁省抚顺市顺城区</t>
        </is>
      </c>
    </row>
    <row r="10650">
      <c r="B10650" s="41" t="inlineStr">
        <is>
          <t>AreaCode</t>
        </is>
      </c>
      <c r="C10650" s="129" t="inlineStr">
        <is>
          <t>地区代码</t>
        </is>
      </c>
      <c r="D10650" s="21" t="n">
        <v>210421</v>
      </c>
      <c r="E10650" s="21" t="inlineStr">
        <is>
          <t>辽宁省抚顺市抚顺县</t>
        </is>
      </c>
    </row>
    <row r="10651">
      <c r="B10651" s="41" t="inlineStr">
        <is>
          <t>AreaCode</t>
        </is>
      </c>
      <c r="C10651" s="129" t="inlineStr">
        <is>
          <t>地区代码</t>
        </is>
      </c>
      <c r="D10651" s="21" t="n">
        <v>210422</v>
      </c>
      <c r="E10651" s="21" t="inlineStr">
        <is>
          <t>辽宁省抚顺市新宾满族自治县</t>
        </is>
      </c>
    </row>
    <row r="10652">
      <c r="B10652" s="41" t="inlineStr">
        <is>
          <t>AreaCode</t>
        </is>
      </c>
      <c r="C10652" s="129" t="inlineStr">
        <is>
          <t>地区代码</t>
        </is>
      </c>
      <c r="D10652" s="21" t="n">
        <v>210423</v>
      </c>
      <c r="E10652" s="21" t="inlineStr">
        <is>
          <t>辽宁省抚顺市清原满族自治县</t>
        </is>
      </c>
    </row>
    <row r="10653">
      <c r="B10653" s="41" t="inlineStr">
        <is>
          <t>AreaCode</t>
        </is>
      </c>
      <c r="C10653" s="129" t="inlineStr">
        <is>
          <t>地区代码</t>
        </is>
      </c>
      <c r="D10653" s="21" t="n">
        <v>210500</v>
      </c>
      <c r="E10653" s="21" t="inlineStr">
        <is>
          <t>辽宁省本溪市</t>
        </is>
      </c>
    </row>
    <row r="10654">
      <c r="B10654" s="41" t="inlineStr">
        <is>
          <t>AreaCode</t>
        </is>
      </c>
      <c r="C10654" s="129" t="inlineStr">
        <is>
          <t>地区代码</t>
        </is>
      </c>
      <c r="D10654" s="21" t="n">
        <v>210501</v>
      </c>
      <c r="E10654" s="21" t="inlineStr">
        <is>
          <t>辽宁省本溪市市辖区</t>
        </is>
      </c>
    </row>
    <row r="10655">
      <c r="B10655" s="41" t="inlineStr">
        <is>
          <t>AreaCode</t>
        </is>
      </c>
      <c r="C10655" s="129" t="inlineStr">
        <is>
          <t>地区代码</t>
        </is>
      </c>
      <c r="D10655" s="21" t="n">
        <v>210502</v>
      </c>
      <c r="E10655" s="21" t="inlineStr">
        <is>
          <t>辽宁省本溪市平山区</t>
        </is>
      </c>
    </row>
    <row r="10656">
      <c r="B10656" s="41" t="inlineStr">
        <is>
          <t>AreaCode</t>
        </is>
      </c>
      <c r="C10656" s="129" t="inlineStr">
        <is>
          <t>地区代码</t>
        </is>
      </c>
      <c r="D10656" s="21" t="n">
        <v>210503</v>
      </c>
      <c r="E10656" s="21" t="inlineStr">
        <is>
          <t>辽宁省本溪市溪湖区</t>
        </is>
      </c>
    </row>
    <row r="10657">
      <c r="B10657" s="41" t="inlineStr">
        <is>
          <t>AreaCode</t>
        </is>
      </c>
      <c r="C10657" s="129" t="inlineStr">
        <is>
          <t>地区代码</t>
        </is>
      </c>
      <c r="D10657" s="21" t="n">
        <v>210504</v>
      </c>
      <c r="E10657" s="21" t="inlineStr">
        <is>
          <t>辽宁省本溪市明山区</t>
        </is>
      </c>
    </row>
    <row r="10658">
      <c r="B10658" s="41" t="inlineStr">
        <is>
          <t>AreaCode</t>
        </is>
      </c>
      <c r="C10658" s="129" t="inlineStr">
        <is>
          <t>地区代码</t>
        </is>
      </c>
      <c r="D10658" s="21" t="n">
        <v>210505</v>
      </c>
      <c r="E10658" s="21" t="inlineStr">
        <is>
          <t>辽宁省本溪市南芬区</t>
        </is>
      </c>
    </row>
    <row r="10659">
      <c r="B10659" s="41" t="inlineStr">
        <is>
          <t>AreaCode</t>
        </is>
      </c>
      <c r="C10659" s="129" t="inlineStr">
        <is>
          <t>地区代码</t>
        </is>
      </c>
      <c r="D10659" s="21" t="n">
        <v>210521</v>
      </c>
      <c r="E10659" s="21" t="inlineStr">
        <is>
          <t>辽宁省本溪市本溪满族自治县</t>
        </is>
      </c>
    </row>
    <row r="10660">
      <c r="B10660" s="41" t="inlineStr">
        <is>
          <t>AreaCode</t>
        </is>
      </c>
      <c r="C10660" s="129" t="inlineStr">
        <is>
          <t>地区代码</t>
        </is>
      </c>
      <c r="D10660" s="21" t="n">
        <v>210522</v>
      </c>
      <c r="E10660" s="21" t="inlineStr">
        <is>
          <t>辽宁省本溪市桓仁满族自治县</t>
        </is>
      </c>
    </row>
    <row r="10661">
      <c r="B10661" s="41" t="inlineStr">
        <is>
          <t>AreaCode</t>
        </is>
      </c>
      <c r="C10661" s="129" t="inlineStr">
        <is>
          <t>地区代码</t>
        </is>
      </c>
      <c r="D10661" s="21" t="n">
        <v>210600</v>
      </c>
      <c r="E10661" s="21" t="inlineStr">
        <is>
          <t>辽宁省丹东市</t>
        </is>
      </c>
    </row>
    <row r="10662">
      <c r="B10662" s="41" t="inlineStr">
        <is>
          <t>AreaCode</t>
        </is>
      </c>
      <c r="C10662" s="129" t="inlineStr">
        <is>
          <t>地区代码</t>
        </is>
      </c>
      <c r="D10662" s="21" t="n">
        <v>210601</v>
      </c>
      <c r="E10662" s="21" t="inlineStr">
        <is>
          <t>辽宁省丹东市市辖区</t>
        </is>
      </c>
    </row>
    <row r="10663">
      <c r="B10663" s="41" t="inlineStr">
        <is>
          <t>AreaCode</t>
        </is>
      </c>
      <c r="C10663" s="129" t="inlineStr">
        <is>
          <t>地区代码</t>
        </is>
      </c>
      <c r="D10663" s="21" t="n">
        <v>210602</v>
      </c>
      <c r="E10663" s="21" t="inlineStr">
        <is>
          <t>辽宁省丹东市元宝区</t>
        </is>
      </c>
    </row>
    <row r="10664">
      <c r="B10664" s="41" t="inlineStr">
        <is>
          <t>AreaCode</t>
        </is>
      </c>
      <c r="C10664" s="129" t="inlineStr">
        <is>
          <t>地区代码</t>
        </is>
      </c>
      <c r="D10664" s="21" t="n">
        <v>210603</v>
      </c>
      <c r="E10664" s="21" t="inlineStr">
        <is>
          <t>辽宁省丹东市振兴区</t>
        </is>
      </c>
    </row>
    <row r="10665">
      <c r="B10665" s="41" t="inlineStr">
        <is>
          <t>AreaCode</t>
        </is>
      </c>
      <c r="C10665" s="129" t="inlineStr">
        <is>
          <t>地区代码</t>
        </is>
      </c>
      <c r="D10665" s="21" t="n">
        <v>210604</v>
      </c>
      <c r="E10665" s="21" t="inlineStr">
        <is>
          <t>辽宁省丹东市振安区</t>
        </is>
      </c>
    </row>
    <row r="10666">
      <c r="B10666" s="41" t="inlineStr">
        <is>
          <t>AreaCode</t>
        </is>
      </c>
      <c r="C10666" s="129" t="inlineStr">
        <is>
          <t>地区代码</t>
        </is>
      </c>
      <c r="D10666" s="21" t="n">
        <v>210624</v>
      </c>
      <c r="E10666" s="21" t="inlineStr">
        <is>
          <t>辽宁省丹东市宽甸满族自治县</t>
        </is>
      </c>
    </row>
    <row r="10667">
      <c r="B10667" s="41" t="inlineStr">
        <is>
          <t>AreaCode</t>
        </is>
      </c>
      <c r="C10667" s="129" t="inlineStr">
        <is>
          <t>地区代码</t>
        </is>
      </c>
      <c r="D10667" s="21" t="n">
        <v>210681</v>
      </c>
      <c r="E10667" s="21" t="inlineStr">
        <is>
          <t>辽宁省丹东市东港市</t>
        </is>
      </c>
    </row>
    <row r="10668">
      <c r="B10668" s="41" t="inlineStr">
        <is>
          <t>AreaCode</t>
        </is>
      </c>
      <c r="C10668" s="129" t="inlineStr">
        <is>
          <t>地区代码</t>
        </is>
      </c>
      <c r="D10668" s="21" t="n">
        <v>210682</v>
      </c>
      <c r="E10668" s="21" t="inlineStr">
        <is>
          <t>辽宁省丹东市凤城市</t>
        </is>
      </c>
    </row>
    <row r="10669">
      <c r="B10669" s="41" t="inlineStr">
        <is>
          <t>AreaCode</t>
        </is>
      </c>
      <c r="C10669" s="129" t="inlineStr">
        <is>
          <t>地区代码</t>
        </is>
      </c>
      <c r="D10669" s="21" t="n">
        <v>210700</v>
      </c>
      <c r="E10669" s="21" t="inlineStr">
        <is>
          <t>辽宁省锦州市</t>
        </is>
      </c>
    </row>
    <row r="10670">
      <c r="B10670" s="41" t="inlineStr">
        <is>
          <t>AreaCode</t>
        </is>
      </c>
      <c r="C10670" s="129" t="inlineStr">
        <is>
          <t>地区代码</t>
        </is>
      </c>
      <c r="D10670" s="21" t="n">
        <v>210701</v>
      </c>
      <c r="E10670" s="21" t="inlineStr">
        <is>
          <t>辽宁省锦州市市辖区</t>
        </is>
      </c>
    </row>
    <row r="10671">
      <c r="B10671" s="41" t="inlineStr">
        <is>
          <t>AreaCode</t>
        </is>
      </c>
      <c r="C10671" s="129" t="inlineStr">
        <is>
          <t>地区代码</t>
        </is>
      </c>
      <c r="D10671" s="21" t="n">
        <v>210702</v>
      </c>
      <c r="E10671" s="21" t="inlineStr">
        <is>
          <t>辽宁省锦州市古塔区</t>
        </is>
      </c>
    </row>
    <row r="10672">
      <c r="B10672" s="41" t="inlineStr">
        <is>
          <t>AreaCode</t>
        </is>
      </c>
      <c r="C10672" s="129" t="inlineStr">
        <is>
          <t>地区代码</t>
        </is>
      </c>
      <c r="D10672" s="21" t="n">
        <v>210703</v>
      </c>
      <c r="E10672" s="21" t="inlineStr">
        <is>
          <t>辽宁省锦州市凌河区</t>
        </is>
      </c>
    </row>
    <row r="10673">
      <c r="B10673" s="41" t="inlineStr">
        <is>
          <t>AreaCode</t>
        </is>
      </c>
      <c r="C10673" s="129" t="inlineStr">
        <is>
          <t>地区代码</t>
        </is>
      </c>
      <c r="D10673" s="21" t="n">
        <v>210711</v>
      </c>
      <c r="E10673" s="21" t="inlineStr">
        <is>
          <t>辽宁省锦州市太和区</t>
        </is>
      </c>
    </row>
    <row r="10674">
      <c r="B10674" s="41" t="inlineStr">
        <is>
          <t>AreaCode</t>
        </is>
      </c>
      <c r="C10674" s="129" t="inlineStr">
        <is>
          <t>地区代码</t>
        </is>
      </c>
      <c r="D10674" s="21" t="n">
        <v>210726</v>
      </c>
      <c r="E10674" s="21" t="inlineStr">
        <is>
          <t>辽宁省锦州市黑山县</t>
        </is>
      </c>
    </row>
    <row r="10675">
      <c r="B10675" s="41" t="inlineStr">
        <is>
          <t>AreaCode</t>
        </is>
      </c>
      <c r="C10675" s="129" t="inlineStr">
        <is>
          <t>地区代码</t>
        </is>
      </c>
      <c r="D10675" s="21" t="n">
        <v>210727</v>
      </c>
      <c r="E10675" s="21" t="inlineStr">
        <is>
          <t>辽宁省锦州市义县</t>
        </is>
      </c>
    </row>
    <row r="10676">
      <c r="B10676" s="41" t="inlineStr">
        <is>
          <t>AreaCode</t>
        </is>
      </c>
      <c r="C10676" s="129" t="inlineStr">
        <is>
          <t>地区代码</t>
        </is>
      </c>
      <c r="D10676" s="21" t="n">
        <v>210781</v>
      </c>
      <c r="E10676" s="21" t="inlineStr">
        <is>
          <t>辽宁省锦州市凌海市</t>
        </is>
      </c>
    </row>
    <row r="10677">
      <c r="B10677" s="41" t="inlineStr">
        <is>
          <t>AreaCode</t>
        </is>
      </c>
      <c r="C10677" s="129" t="inlineStr">
        <is>
          <t>地区代码</t>
        </is>
      </c>
      <c r="D10677" s="21" t="n">
        <v>210782</v>
      </c>
      <c r="E10677" s="21" t="inlineStr">
        <is>
          <t>辽宁省锦州市北镇市</t>
        </is>
      </c>
    </row>
    <row r="10678">
      <c r="B10678" s="41" t="inlineStr">
        <is>
          <t>AreaCode</t>
        </is>
      </c>
      <c r="C10678" s="129" t="inlineStr">
        <is>
          <t>地区代码</t>
        </is>
      </c>
      <c r="D10678" s="21" t="n">
        <v>210800</v>
      </c>
      <c r="E10678" s="21" t="inlineStr">
        <is>
          <t>辽宁省营口市</t>
        </is>
      </c>
    </row>
    <row r="10679">
      <c r="B10679" s="41" t="inlineStr">
        <is>
          <t>AreaCode</t>
        </is>
      </c>
      <c r="C10679" s="129" t="inlineStr">
        <is>
          <t>地区代码</t>
        </is>
      </c>
      <c r="D10679" s="21" t="n">
        <v>210801</v>
      </c>
      <c r="E10679" s="21" t="inlineStr">
        <is>
          <t>辽宁省营口市市辖区</t>
        </is>
      </c>
    </row>
    <row r="10680">
      <c r="B10680" s="41" t="inlineStr">
        <is>
          <t>AreaCode</t>
        </is>
      </c>
      <c r="C10680" s="129" t="inlineStr">
        <is>
          <t>地区代码</t>
        </is>
      </c>
      <c r="D10680" s="21" t="n">
        <v>210802</v>
      </c>
      <c r="E10680" s="21" t="inlineStr">
        <is>
          <t>辽宁省营口市站前区</t>
        </is>
      </c>
    </row>
    <row r="10681">
      <c r="B10681" s="41" t="inlineStr">
        <is>
          <t>AreaCode</t>
        </is>
      </c>
      <c r="C10681" s="129" t="inlineStr">
        <is>
          <t>地区代码</t>
        </is>
      </c>
      <c r="D10681" s="21" t="n">
        <v>210803</v>
      </c>
      <c r="E10681" s="21" t="inlineStr">
        <is>
          <t>辽宁省营口市西市区</t>
        </is>
      </c>
    </row>
    <row r="10682">
      <c r="B10682" s="41" t="inlineStr">
        <is>
          <t>AreaCode</t>
        </is>
      </c>
      <c r="C10682" s="129" t="inlineStr">
        <is>
          <t>地区代码</t>
        </is>
      </c>
      <c r="D10682" s="21" t="n">
        <v>210804</v>
      </c>
      <c r="E10682" s="21" t="inlineStr">
        <is>
          <t>辽宁省营口市鲅鱼圈区</t>
        </is>
      </c>
    </row>
    <row r="10683">
      <c r="B10683" s="41" t="inlineStr">
        <is>
          <t>AreaCode</t>
        </is>
      </c>
      <c r="C10683" s="129" t="inlineStr">
        <is>
          <t>地区代码</t>
        </is>
      </c>
      <c r="D10683" s="21" t="n">
        <v>210811</v>
      </c>
      <c r="E10683" s="21" t="inlineStr">
        <is>
          <t>辽宁省营口市老边区</t>
        </is>
      </c>
    </row>
    <row r="10684">
      <c r="B10684" s="41" t="inlineStr">
        <is>
          <t>AreaCode</t>
        </is>
      </c>
      <c r="C10684" s="129" t="inlineStr">
        <is>
          <t>地区代码</t>
        </is>
      </c>
      <c r="D10684" s="21" t="n">
        <v>210881</v>
      </c>
      <c r="E10684" s="21" t="inlineStr">
        <is>
          <t>辽宁省营口市盖州市</t>
        </is>
      </c>
    </row>
    <row r="10685">
      <c r="B10685" s="41" t="inlineStr">
        <is>
          <t>AreaCode</t>
        </is>
      </c>
      <c r="C10685" s="129" t="inlineStr">
        <is>
          <t>地区代码</t>
        </is>
      </c>
      <c r="D10685" s="21" t="n">
        <v>210882</v>
      </c>
      <c r="E10685" s="21" t="inlineStr">
        <is>
          <t>辽宁省营口市大石桥市</t>
        </is>
      </c>
    </row>
    <row r="10686">
      <c r="B10686" s="41" t="inlineStr">
        <is>
          <t>AreaCode</t>
        </is>
      </c>
      <c r="C10686" s="129" t="inlineStr">
        <is>
          <t>地区代码</t>
        </is>
      </c>
      <c r="D10686" s="21" t="n">
        <v>210900</v>
      </c>
      <c r="E10686" s="21" t="inlineStr">
        <is>
          <t>辽宁省阜新市</t>
        </is>
      </c>
    </row>
    <row r="10687">
      <c r="B10687" s="41" t="inlineStr">
        <is>
          <t>AreaCode</t>
        </is>
      </c>
      <c r="C10687" s="129" t="inlineStr">
        <is>
          <t>地区代码</t>
        </is>
      </c>
      <c r="D10687" s="21" t="n">
        <v>210901</v>
      </c>
      <c r="E10687" s="21" t="inlineStr">
        <is>
          <t>辽宁省阜新市市辖区</t>
        </is>
      </c>
    </row>
    <row r="10688">
      <c r="B10688" s="41" t="inlineStr">
        <is>
          <t>AreaCode</t>
        </is>
      </c>
      <c r="C10688" s="129" t="inlineStr">
        <is>
          <t>地区代码</t>
        </is>
      </c>
      <c r="D10688" s="21" t="n">
        <v>210902</v>
      </c>
      <c r="E10688" s="21" t="inlineStr">
        <is>
          <t>辽宁省阜新市海州区</t>
        </is>
      </c>
    </row>
    <row r="10689">
      <c r="B10689" s="41" t="inlineStr">
        <is>
          <t>AreaCode</t>
        </is>
      </c>
      <c r="C10689" s="129" t="inlineStr">
        <is>
          <t>地区代码</t>
        </is>
      </c>
      <c r="D10689" s="21" t="n">
        <v>210903</v>
      </c>
      <c r="E10689" s="21" t="inlineStr">
        <is>
          <t>辽宁省阜新市新邱区</t>
        </is>
      </c>
    </row>
    <row r="10690">
      <c r="B10690" s="41" t="inlineStr">
        <is>
          <t>AreaCode</t>
        </is>
      </c>
      <c r="C10690" s="129" t="inlineStr">
        <is>
          <t>地区代码</t>
        </is>
      </c>
      <c r="D10690" s="21" t="n">
        <v>210904</v>
      </c>
      <c r="E10690" s="21" t="inlineStr">
        <is>
          <t>辽宁省阜新市太平区</t>
        </is>
      </c>
    </row>
    <row r="10691">
      <c r="B10691" s="41" t="inlineStr">
        <is>
          <t>AreaCode</t>
        </is>
      </c>
      <c r="C10691" s="129" t="inlineStr">
        <is>
          <t>地区代码</t>
        </is>
      </c>
      <c r="D10691" s="21" t="n">
        <v>210905</v>
      </c>
      <c r="E10691" s="21" t="inlineStr">
        <is>
          <t>辽宁省阜新市清河门区</t>
        </is>
      </c>
    </row>
    <row r="10692">
      <c r="B10692" s="41" t="inlineStr">
        <is>
          <t>AreaCode</t>
        </is>
      </c>
      <c r="C10692" s="129" t="inlineStr">
        <is>
          <t>地区代码</t>
        </is>
      </c>
      <c r="D10692" s="21" t="n">
        <v>210911</v>
      </c>
      <c r="E10692" s="21" t="inlineStr">
        <is>
          <t>辽宁省阜新市细河区</t>
        </is>
      </c>
    </row>
    <row r="10693">
      <c r="B10693" s="41" t="inlineStr">
        <is>
          <t>AreaCode</t>
        </is>
      </c>
      <c r="C10693" s="129" t="inlineStr">
        <is>
          <t>地区代码</t>
        </is>
      </c>
      <c r="D10693" s="21" t="n">
        <v>210921</v>
      </c>
      <c r="E10693" s="21" t="inlineStr">
        <is>
          <t>辽宁省阜新市阜新蒙古族自治县</t>
        </is>
      </c>
    </row>
    <row r="10694">
      <c r="B10694" s="41" t="inlineStr">
        <is>
          <t>AreaCode</t>
        </is>
      </c>
      <c r="C10694" s="129" t="inlineStr">
        <is>
          <t>地区代码</t>
        </is>
      </c>
      <c r="D10694" s="21" t="n">
        <v>210922</v>
      </c>
      <c r="E10694" s="21" t="inlineStr">
        <is>
          <t>辽宁省阜新市彰武县</t>
        </is>
      </c>
    </row>
    <row r="10695">
      <c r="B10695" s="41" t="inlineStr">
        <is>
          <t>AreaCode</t>
        </is>
      </c>
      <c r="C10695" s="129" t="inlineStr">
        <is>
          <t>地区代码</t>
        </is>
      </c>
      <c r="D10695" s="21" t="n">
        <v>211000</v>
      </c>
      <c r="E10695" s="21" t="inlineStr">
        <is>
          <t>辽宁省辽阳市</t>
        </is>
      </c>
    </row>
    <row r="10696">
      <c r="B10696" s="41" t="inlineStr">
        <is>
          <t>AreaCode</t>
        </is>
      </c>
      <c r="C10696" s="129" t="inlineStr">
        <is>
          <t>地区代码</t>
        </is>
      </c>
      <c r="D10696" s="21" t="n">
        <v>211001</v>
      </c>
      <c r="E10696" s="21" t="inlineStr">
        <is>
          <t>辽宁省辽阳市市辖区</t>
        </is>
      </c>
    </row>
    <row r="10697">
      <c r="B10697" s="41" t="inlineStr">
        <is>
          <t>AreaCode</t>
        </is>
      </c>
      <c r="C10697" s="129" t="inlineStr">
        <is>
          <t>地区代码</t>
        </is>
      </c>
      <c r="D10697" s="21" t="n">
        <v>211002</v>
      </c>
      <c r="E10697" s="21" t="inlineStr">
        <is>
          <t>辽宁省辽阳市白塔区</t>
        </is>
      </c>
    </row>
    <row r="10698">
      <c r="B10698" s="41" t="inlineStr">
        <is>
          <t>AreaCode</t>
        </is>
      </c>
      <c r="C10698" s="129" t="inlineStr">
        <is>
          <t>地区代码</t>
        </is>
      </c>
      <c r="D10698" s="21" t="n">
        <v>211003</v>
      </c>
      <c r="E10698" s="21" t="inlineStr">
        <is>
          <t>辽宁省辽阳市文圣区</t>
        </is>
      </c>
    </row>
    <row r="10699">
      <c r="B10699" s="41" t="inlineStr">
        <is>
          <t>AreaCode</t>
        </is>
      </c>
      <c r="C10699" s="129" t="inlineStr">
        <is>
          <t>地区代码</t>
        </is>
      </c>
      <c r="D10699" s="21" t="n">
        <v>211004</v>
      </c>
      <c r="E10699" s="21" t="inlineStr">
        <is>
          <t>辽宁省辽阳市宏伟区</t>
        </is>
      </c>
    </row>
    <row r="10700">
      <c r="B10700" s="41" t="inlineStr">
        <is>
          <t>AreaCode</t>
        </is>
      </c>
      <c r="C10700" s="129" t="inlineStr">
        <is>
          <t>地区代码</t>
        </is>
      </c>
      <c r="D10700" s="21" t="n">
        <v>211005</v>
      </c>
      <c r="E10700" s="21" t="inlineStr">
        <is>
          <t>辽宁省辽阳市弓长岭区</t>
        </is>
      </c>
    </row>
    <row r="10701">
      <c r="B10701" s="41" t="inlineStr">
        <is>
          <t>AreaCode</t>
        </is>
      </c>
      <c r="C10701" s="129" t="inlineStr">
        <is>
          <t>地区代码</t>
        </is>
      </c>
      <c r="D10701" s="21" t="n">
        <v>211011</v>
      </c>
      <c r="E10701" s="21" t="inlineStr">
        <is>
          <t>辽宁省辽阳市太子河区</t>
        </is>
      </c>
    </row>
    <row r="10702">
      <c r="B10702" s="41" t="inlineStr">
        <is>
          <t>AreaCode</t>
        </is>
      </c>
      <c r="C10702" s="129" t="inlineStr">
        <is>
          <t>地区代码</t>
        </is>
      </c>
      <c r="D10702" s="21" t="n">
        <v>211021</v>
      </c>
      <c r="E10702" s="21" t="inlineStr">
        <is>
          <t>辽宁省辽阳市辽阳县</t>
        </is>
      </c>
    </row>
    <row r="10703">
      <c r="B10703" s="41" t="inlineStr">
        <is>
          <t>AreaCode</t>
        </is>
      </c>
      <c r="C10703" s="129" t="inlineStr">
        <is>
          <t>地区代码</t>
        </is>
      </c>
      <c r="D10703" s="21" t="n">
        <v>211081</v>
      </c>
      <c r="E10703" s="21" t="inlineStr">
        <is>
          <t>辽宁省辽阳市灯塔市</t>
        </is>
      </c>
    </row>
    <row r="10704">
      <c r="B10704" s="41" t="inlineStr">
        <is>
          <t>AreaCode</t>
        </is>
      </c>
      <c r="C10704" s="129" t="inlineStr">
        <is>
          <t>地区代码</t>
        </is>
      </c>
      <c r="D10704" s="21" t="n">
        <v>211100</v>
      </c>
      <c r="E10704" s="21" t="inlineStr">
        <is>
          <t>辽宁省盘锦市</t>
        </is>
      </c>
    </row>
    <row r="10705">
      <c r="B10705" s="41" t="inlineStr">
        <is>
          <t>AreaCode</t>
        </is>
      </c>
      <c r="C10705" s="129" t="inlineStr">
        <is>
          <t>地区代码</t>
        </is>
      </c>
      <c r="D10705" s="21" t="n">
        <v>211101</v>
      </c>
      <c r="E10705" s="21" t="inlineStr">
        <is>
          <t>辽宁省盘锦市市辖区</t>
        </is>
      </c>
    </row>
    <row r="10706">
      <c r="B10706" s="41" t="inlineStr">
        <is>
          <t>AreaCode</t>
        </is>
      </c>
      <c r="C10706" s="129" t="inlineStr">
        <is>
          <t>地区代码</t>
        </is>
      </c>
      <c r="D10706" s="21" t="n">
        <v>211102</v>
      </c>
      <c r="E10706" s="21" t="inlineStr">
        <is>
          <t>辽宁省盘锦市双台子区</t>
        </is>
      </c>
    </row>
    <row r="10707">
      <c r="B10707" s="41" t="inlineStr">
        <is>
          <t>AreaCode</t>
        </is>
      </c>
      <c r="C10707" s="129" t="inlineStr">
        <is>
          <t>地区代码</t>
        </is>
      </c>
      <c r="D10707" s="21" t="n">
        <v>211103</v>
      </c>
      <c r="E10707" s="21" t="inlineStr">
        <is>
          <t>辽宁省盘锦市兴隆台区</t>
        </is>
      </c>
    </row>
    <row r="10708">
      <c r="B10708" s="41" t="inlineStr">
        <is>
          <t>AreaCode</t>
        </is>
      </c>
      <c r="C10708" s="129" t="inlineStr">
        <is>
          <t>地区代码</t>
        </is>
      </c>
      <c r="D10708" s="21" t="n">
        <v>211121</v>
      </c>
      <c r="E10708" s="21" t="inlineStr">
        <is>
          <t>辽宁省盘锦市大洼县</t>
        </is>
      </c>
    </row>
    <row r="10709">
      <c r="B10709" s="41" t="inlineStr">
        <is>
          <t>AreaCode</t>
        </is>
      </c>
      <c r="C10709" s="129" t="inlineStr">
        <is>
          <t>地区代码</t>
        </is>
      </c>
      <c r="D10709" s="21" t="n">
        <v>211122</v>
      </c>
      <c r="E10709" s="21" t="inlineStr">
        <is>
          <t>辽宁省盘锦市盘山县</t>
        </is>
      </c>
    </row>
    <row r="10710">
      <c r="B10710" s="41" t="inlineStr">
        <is>
          <t>AreaCode</t>
        </is>
      </c>
      <c r="C10710" s="129" t="inlineStr">
        <is>
          <t>地区代码</t>
        </is>
      </c>
      <c r="D10710" s="21" t="n">
        <v>211200</v>
      </c>
      <c r="E10710" s="21" t="inlineStr">
        <is>
          <t>辽宁省铁岭市</t>
        </is>
      </c>
    </row>
    <row r="10711">
      <c r="B10711" s="41" t="inlineStr">
        <is>
          <t>AreaCode</t>
        </is>
      </c>
      <c r="C10711" s="129" t="inlineStr">
        <is>
          <t>地区代码</t>
        </is>
      </c>
      <c r="D10711" s="21" t="n">
        <v>211201</v>
      </c>
      <c r="E10711" s="21" t="inlineStr">
        <is>
          <t>辽宁省铁岭市市辖区</t>
        </is>
      </c>
    </row>
    <row r="10712">
      <c r="B10712" s="41" t="inlineStr">
        <is>
          <t>AreaCode</t>
        </is>
      </c>
      <c r="C10712" s="129" t="inlineStr">
        <is>
          <t>地区代码</t>
        </is>
      </c>
      <c r="D10712" s="21" t="n">
        <v>211202</v>
      </c>
      <c r="E10712" s="21" t="inlineStr">
        <is>
          <t>辽宁省铁岭市银州区</t>
        </is>
      </c>
    </row>
    <row r="10713">
      <c r="B10713" s="41" t="inlineStr">
        <is>
          <t>AreaCode</t>
        </is>
      </c>
      <c r="C10713" s="129" t="inlineStr">
        <is>
          <t>地区代码</t>
        </is>
      </c>
      <c r="D10713" s="21" t="n">
        <v>211204</v>
      </c>
      <c r="E10713" s="21" t="inlineStr">
        <is>
          <t>辽宁省铁岭市清河区</t>
        </is>
      </c>
    </row>
    <row r="10714">
      <c r="B10714" s="41" t="inlineStr">
        <is>
          <t>AreaCode</t>
        </is>
      </c>
      <c r="C10714" s="129" t="inlineStr">
        <is>
          <t>地区代码</t>
        </is>
      </c>
      <c r="D10714" s="21" t="n">
        <v>211221</v>
      </c>
      <c r="E10714" s="21" t="inlineStr">
        <is>
          <t>辽宁省铁岭市铁岭县</t>
        </is>
      </c>
    </row>
    <row r="10715">
      <c r="B10715" s="41" t="inlineStr">
        <is>
          <t>AreaCode</t>
        </is>
      </c>
      <c r="C10715" s="129" t="inlineStr">
        <is>
          <t>地区代码</t>
        </is>
      </c>
      <c r="D10715" s="21" t="n">
        <v>211223</v>
      </c>
      <c r="E10715" s="21" t="inlineStr">
        <is>
          <t>辽宁省铁岭市西丰县</t>
        </is>
      </c>
    </row>
    <row r="10716">
      <c r="B10716" s="41" t="inlineStr">
        <is>
          <t>AreaCode</t>
        </is>
      </c>
      <c r="C10716" s="129" t="inlineStr">
        <is>
          <t>地区代码</t>
        </is>
      </c>
      <c r="D10716" s="21" t="n">
        <v>211224</v>
      </c>
      <c r="E10716" s="21" t="inlineStr">
        <is>
          <t>辽宁省铁岭市昌图县</t>
        </is>
      </c>
    </row>
    <row r="10717">
      <c r="B10717" s="41" t="inlineStr">
        <is>
          <t>AreaCode</t>
        </is>
      </c>
      <c r="C10717" s="129" t="inlineStr">
        <is>
          <t>地区代码</t>
        </is>
      </c>
      <c r="D10717" s="21" t="n">
        <v>211281</v>
      </c>
      <c r="E10717" s="21" t="inlineStr">
        <is>
          <t>辽宁省铁岭市调兵山市</t>
        </is>
      </c>
    </row>
    <row r="10718">
      <c r="B10718" s="41" t="inlineStr">
        <is>
          <t>AreaCode</t>
        </is>
      </c>
      <c r="C10718" s="129" t="inlineStr">
        <is>
          <t>地区代码</t>
        </is>
      </c>
      <c r="D10718" s="21" t="n">
        <v>211282</v>
      </c>
      <c r="E10718" s="21" t="inlineStr">
        <is>
          <t>辽宁省铁岭市开原市</t>
        </is>
      </c>
    </row>
    <row r="10719">
      <c r="B10719" s="41" t="inlineStr">
        <is>
          <t>AreaCode</t>
        </is>
      </c>
      <c r="C10719" s="129" t="inlineStr">
        <is>
          <t>地区代码</t>
        </is>
      </c>
      <c r="D10719" s="21" t="n">
        <v>211300</v>
      </c>
      <c r="E10719" s="21" t="inlineStr">
        <is>
          <t>辽宁省朝阳市</t>
        </is>
      </c>
    </row>
    <row r="10720">
      <c r="B10720" s="41" t="inlineStr">
        <is>
          <t>AreaCode</t>
        </is>
      </c>
      <c r="C10720" s="129" t="inlineStr">
        <is>
          <t>地区代码</t>
        </is>
      </c>
      <c r="D10720" s="21" t="n">
        <v>211301</v>
      </c>
      <c r="E10720" s="21" t="inlineStr">
        <is>
          <t>辽宁省朝阳市市辖区</t>
        </is>
      </c>
    </row>
    <row r="10721">
      <c r="B10721" s="41" t="inlineStr">
        <is>
          <t>AreaCode</t>
        </is>
      </c>
      <c r="C10721" s="129" t="inlineStr">
        <is>
          <t>地区代码</t>
        </is>
      </c>
      <c r="D10721" s="21" t="n">
        <v>211302</v>
      </c>
      <c r="E10721" s="21" t="inlineStr">
        <is>
          <t>辽宁省朝阳市双塔区</t>
        </is>
      </c>
    </row>
    <row r="10722">
      <c r="B10722" s="41" t="inlineStr">
        <is>
          <t>AreaCode</t>
        </is>
      </c>
      <c r="C10722" s="129" t="inlineStr">
        <is>
          <t>地区代码</t>
        </is>
      </c>
      <c r="D10722" s="21" t="n">
        <v>211303</v>
      </c>
      <c r="E10722" s="21" t="inlineStr">
        <is>
          <t>辽宁省朝阳市龙城区</t>
        </is>
      </c>
    </row>
    <row r="10723">
      <c r="B10723" s="41" t="inlineStr">
        <is>
          <t>AreaCode</t>
        </is>
      </c>
      <c r="C10723" s="129" t="inlineStr">
        <is>
          <t>地区代码</t>
        </is>
      </c>
      <c r="D10723" s="21" t="n">
        <v>211321</v>
      </c>
      <c r="E10723" s="21" t="inlineStr">
        <is>
          <t>辽宁省朝阳市朝阳县</t>
        </is>
      </c>
    </row>
    <row r="10724">
      <c r="B10724" s="41" t="inlineStr">
        <is>
          <t>AreaCode</t>
        </is>
      </c>
      <c r="C10724" s="129" t="inlineStr">
        <is>
          <t>地区代码</t>
        </is>
      </c>
      <c r="D10724" s="21" t="n">
        <v>211322</v>
      </c>
      <c r="E10724" s="21" t="inlineStr">
        <is>
          <t>辽宁省朝阳市建平县</t>
        </is>
      </c>
    </row>
    <row r="10725">
      <c r="B10725" s="41" t="inlineStr">
        <is>
          <t>AreaCode</t>
        </is>
      </c>
      <c r="C10725" s="129" t="inlineStr">
        <is>
          <t>地区代码</t>
        </is>
      </c>
      <c r="D10725" s="21" t="n">
        <v>211324</v>
      </c>
      <c r="E10725" s="21" t="inlineStr">
        <is>
          <t>辽宁省朝阳市喀喇沁左翼蒙古族自治县</t>
        </is>
      </c>
    </row>
    <row r="10726">
      <c r="B10726" s="41" t="inlineStr">
        <is>
          <t>AreaCode</t>
        </is>
      </c>
      <c r="C10726" s="129" t="inlineStr">
        <is>
          <t>地区代码</t>
        </is>
      </c>
      <c r="D10726" s="21" t="n">
        <v>211381</v>
      </c>
      <c r="E10726" s="21" t="inlineStr">
        <is>
          <t>辽宁省朝阳市北票市</t>
        </is>
      </c>
    </row>
    <row r="10727">
      <c r="B10727" s="41" t="inlineStr">
        <is>
          <t>AreaCode</t>
        </is>
      </c>
      <c r="C10727" s="129" t="inlineStr">
        <is>
          <t>地区代码</t>
        </is>
      </c>
      <c r="D10727" s="21" t="n">
        <v>211382</v>
      </c>
      <c r="E10727" s="21" t="inlineStr">
        <is>
          <t>辽宁省朝阳市凌源市</t>
        </is>
      </c>
    </row>
    <row r="10728">
      <c r="B10728" s="41" t="inlineStr">
        <is>
          <t>AreaCode</t>
        </is>
      </c>
      <c r="C10728" s="129" t="inlineStr">
        <is>
          <t>地区代码</t>
        </is>
      </c>
      <c r="D10728" s="21" t="n">
        <v>211400</v>
      </c>
      <c r="E10728" s="21" t="inlineStr">
        <is>
          <t>辽宁省葫芦岛市</t>
        </is>
      </c>
    </row>
    <row r="10729">
      <c r="B10729" s="41" t="inlineStr">
        <is>
          <t>AreaCode</t>
        </is>
      </c>
      <c r="C10729" s="129" t="inlineStr">
        <is>
          <t>地区代码</t>
        </is>
      </c>
      <c r="D10729" s="21" t="n">
        <v>211401</v>
      </c>
      <c r="E10729" s="21" t="inlineStr">
        <is>
          <t>辽宁省葫芦岛市市辖区</t>
        </is>
      </c>
    </row>
    <row r="10730">
      <c r="B10730" s="41" t="inlineStr">
        <is>
          <t>AreaCode</t>
        </is>
      </c>
      <c r="C10730" s="129" t="inlineStr">
        <is>
          <t>地区代码</t>
        </is>
      </c>
      <c r="D10730" s="21" t="n">
        <v>211402</v>
      </c>
      <c r="E10730" s="21" t="inlineStr">
        <is>
          <t>辽宁省葫芦岛市连山区</t>
        </is>
      </c>
    </row>
    <row r="10731">
      <c r="B10731" s="41" t="inlineStr">
        <is>
          <t>AreaCode</t>
        </is>
      </c>
      <c r="C10731" s="129" t="inlineStr">
        <is>
          <t>地区代码</t>
        </is>
      </c>
      <c r="D10731" s="21" t="n">
        <v>211403</v>
      </c>
      <c r="E10731" s="21" t="inlineStr">
        <is>
          <t>辽宁省葫芦岛市龙港区</t>
        </is>
      </c>
    </row>
    <row r="10732">
      <c r="B10732" s="41" t="inlineStr">
        <is>
          <t>AreaCode</t>
        </is>
      </c>
      <c r="C10732" s="129" t="inlineStr">
        <is>
          <t>地区代码</t>
        </is>
      </c>
      <c r="D10732" s="21" t="n">
        <v>211404</v>
      </c>
      <c r="E10732" s="21" t="inlineStr">
        <is>
          <t>辽宁省葫芦岛市南票区</t>
        </is>
      </c>
    </row>
    <row r="10733">
      <c r="B10733" s="41" t="inlineStr">
        <is>
          <t>AreaCode</t>
        </is>
      </c>
      <c r="C10733" s="129" t="inlineStr">
        <is>
          <t>地区代码</t>
        </is>
      </c>
      <c r="D10733" s="21" t="n">
        <v>211421</v>
      </c>
      <c r="E10733" s="21" t="inlineStr">
        <is>
          <t>辽宁省葫芦岛市绥中县</t>
        </is>
      </c>
    </row>
    <row r="10734">
      <c r="B10734" s="41" t="inlineStr">
        <is>
          <t>AreaCode</t>
        </is>
      </c>
      <c r="C10734" s="129" t="inlineStr">
        <is>
          <t>地区代码</t>
        </is>
      </c>
      <c r="D10734" s="21" t="n">
        <v>211422</v>
      </c>
      <c r="E10734" s="21" t="inlineStr">
        <is>
          <t>辽宁省葫芦岛市建昌县</t>
        </is>
      </c>
    </row>
    <row r="10735">
      <c r="B10735" s="41" t="inlineStr">
        <is>
          <t>AreaCode</t>
        </is>
      </c>
      <c r="C10735" s="129" t="inlineStr">
        <is>
          <t>地区代码</t>
        </is>
      </c>
      <c r="D10735" s="21" t="n">
        <v>211481</v>
      </c>
      <c r="E10735" s="21" t="inlineStr">
        <is>
          <t>辽宁省葫芦岛市兴城市</t>
        </is>
      </c>
    </row>
    <row r="10736">
      <c r="B10736" s="41" t="inlineStr">
        <is>
          <t>AreaCode</t>
        </is>
      </c>
      <c r="C10736" s="129" t="inlineStr">
        <is>
          <t>地区代码</t>
        </is>
      </c>
      <c r="D10736" s="21" t="n">
        <v>220000</v>
      </c>
      <c r="E10736" s="21" t="inlineStr">
        <is>
          <t>吉林省</t>
        </is>
      </c>
    </row>
    <row r="10737">
      <c r="B10737" s="41" t="inlineStr">
        <is>
          <t>AreaCode</t>
        </is>
      </c>
      <c r="C10737" s="129" t="inlineStr">
        <is>
          <t>地区代码</t>
        </is>
      </c>
      <c r="D10737" s="21" t="n">
        <v>220100</v>
      </c>
      <c r="E10737" s="21" t="inlineStr">
        <is>
          <t>吉林省长春市</t>
        </is>
      </c>
    </row>
    <row r="10738">
      <c r="B10738" s="41" t="inlineStr">
        <is>
          <t>AreaCode</t>
        </is>
      </c>
      <c r="C10738" s="129" t="inlineStr">
        <is>
          <t>地区代码</t>
        </is>
      </c>
      <c r="D10738" s="21" t="n">
        <v>220101</v>
      </c>
      <c r="E10738" s="21" t="inlineStr">
        <is>
          <t>吉林省长春市市辖区</t>
        </is>
      </c>
    </row>
    <row r="10739">
      <c r="B10739" s="41" t="inlineStr">
        <is>
          <t>AreaCode</t>
        </is>
      </c>
      <c r="C10739" s="129" t="inlineStr">
        <is>
          <t>地区代码</t>
        </is>
      </c>
      <c r="D10739" s="21" t="n">
        <v>220102</v>
      </c>
      <c r="E10739" s="21" t="inlineStr">
        <is>
          <t>吉林省长春市南关区</t>
        </is>
      </c>
    </row>
    <row r="10740">
      <c r="B10740" s="41" t="inlineStr">
        <is>
          <t>AreaCode</t>
        </is>
      </c>
      <c r="C10740" s="129" t="inlineStr">
        <is>
          <t>地区代码</t>
        </is>
      </c>
      <c r="D10740" s="21" t="n">
        <v>220103</v>
      </c>
      <c r="E10740" s="21" t="inlineStr">
        <is>
          <t>吉林省长春市宽城区</t>
        </is>
      </c>
    </row>
    <row r="10741">
      <c r="B10741" s="41" t="inlineStr">
        <is>
          <t>AreaCode</t>
        </is>
      </c>
      <c r="C10741" s="129" t="inlineStr">
        <is>
          <t>地区代码</t>
        </is>
      </c>
      <c r="D10741" s="21" t="n">
        <v>220104</v>
      </c>
      <c r="E10741" s="21" t="inlineStr">
        <is>
          <t>吉林省长春市朝阳区</t>
        </is>
      </c>
    </row>
    <row r="10742">
      <c r="B10742" s="41" t="inlineStr">
        <is>
          <t>AreaCode</t>
        </is>
      </c>
      <c r="C10742" s="129" t="inlineStr">
        <is>
          <t>地区代码</t>
        </is>
      </c>
      <c r="D10742" s="21" t="n">
        <v>220105</v>
      </c>
      <c r="E10742" s="21" t="inlineStr">
        <is>
          <t>吉林省长春市二道区</t>
        </is>
      </c>
    </row>
    <row r="10743">
      <c r="B10743" s="41" t="inlineStr">
        <is>
          <t>AreaCode</t>
        </is>
      </c>
      <c r="C10743" s="129" t="inlineStr">
        <is>
          <t>地区代码</t>
        </is>
      </c>
      <c r="D10743" s="21" t="n">
        <v>220106</v>
      </c>
      <c r="E10743" s="21" t="inlineStr">
        <is>
          <t>吉林省长春市绿园区</t>
        </is>
      </c>
    </row>
    <row r="10744">
      <c r="B10744" s="41" t="inlineStr">
        <is>
          <t>AreaCode</t>
        </is>
      </c>
      <c r="C10744" s="129" t="inlineStr">
        <is>
          <t>地区代码</t>
        </is>
      </c>
      <c r="D10744" s="21" t="n">
        <v>220112</v>
      </c>
      <c r="E10744" s="21" t="inlineStr">
        <is>
          <t>吉林省长春市双阳区</t>
        </is>
      </c>
    </row>
    <row r="10745">
      <c r="B10745" s="41" t="inlineStr">
        <is>
          <t>AreaCode</t>
        </is>
      </c>
      <c r="C10745" s="129" t="inlineStr">
        <is>
          <t>地区代码</t>
        </is>
      </c>
      <c r="D10745" s="21" t="n">
        <v>220113</v>
      </c>
      <c r="E10745" s="21" t="inlineStr">
        <is>
          <t>吉林省长春市九台区</t>
        </is>
      </c>
    </row>
    <row r="10746">
      <c r="B10746" s="41" t="inlineStr">
        <is>
          <t>AreaCode</t>
        </is>
      </c>
      <c r="C10746" s="129" t="inlineStr">
        <is>
          <t>地区代码</t>
        </is>
      </c>
      <c r="D10746" s="21" t="n">
        <v>220122</v>
      </c>
      <c r="E10746" s="21" t="inlineStr">
        <is>
          <t>吉林省长春市农安县</t>
        </is>
      </c>
    </row>
    <row r="10747">
      <c r="B10747" s="41" t="inlineStr">
        <is>
          <t>AreaCode</t>
        </is>
      </c>
      <c r="C10747" s="129" t="inlineStr">
        <is>
          <t>地区代码</t>
        </is>
      </c>
      <c r="D10747" s="21" t="n">
        <v>220182</v>
      </c>
      <c r="E10747" s="21" t="inlineStr">
        <is>
          <t>吉林省长春市榆树市</t>
        </is>
      </c>
    </row>
    <row r="10748">
      <c r="B10748" s="41" t="inlineStr">
        <is>
          <t>AreaCode</t>
        </is>
      </c>
      <c r="C10748" s="129" t="inlineStr">
        <is>
          <t>地区代码</t>
        </is>
      </c>
      <c r="D10748" s="21" t="n">
        <v>220183</v>
      </c>
      <c r="E10748" s="21" t="inlineStr">
        <is>
          <t>吉林省长春市德惠市</t>
        </is>
      </c>
    </row>
    <row r="10749">
      <c r="B10749" s="41" t="inlineStr">
        <is>
          <t>AreaCode</t>
        </is>
      </c>
      <c r="C10749" s="129" t="inlineStr">
        <is>
          <t>地区代码</t>
        </is>
      </c>
      <c r="D10749" s="21" t="n">
        <v>220200</v>
      </c>
      <c r="E10749" s="21" t="inlineStr">
        <is>
          <t>吉林省吉林市</t>
        </is>
      </c>
    </row>
    <row r="10750">
      <c r="B10750" s="41" t="inlineStr">
        <is>
          <t>AreaCode</t>
        </is>
      </c>
      <c r="C10750" s="129" t="inlineStr">
        <is>
          <t>地区代码</t>
        </is>
      </c>
      <c r="D10750" s="21" t="n">
        <v>220201</v>
      </c>
      <c r="E10750" s="21" t="inlineStr">
        <is>
          <t>吉林省吉林市市辖区</t>
        </is>
      </c>
    </row>
    <row r="10751">
      <c r="B10751" s="41" t="inlineStr">
        <is>
          <t>AreaCode</t>
        </is>
      </c>
      <c r="C10751" s="129" t="inlineStr">
        <is>
          <t>地区代码</t>
        </is>
      </c>
      <c r="D10751" s="21" t="n">
        <v>220202</v>
      </c>
      <c r="E10751" s="21" t="inlineStr">
        <is>
          <t>吉林省吉林市昌邑区</t>
        </is>
      </c>
    </row>
    <row r="10752">
      <c r="B10752" s="41" t="inlineStr">
        <is>
          <t>AreaCode</t>
        </is>
      </c>
      <c r="C10752" s="129" t="inlineStr">
        <is>
          <t>地区代码</t>
        </is>
      </c>
      <c r="D10752" s="21" t="n">
        <v>220203</v>
      </c>
      <c r="E10752" s="21" t="inlineStr">
        <is>
          <t>吉林省吉林市龙潭区</t>
        </is>
      </c>
    </row>
    <row r="10753">
      <c r="B10753" s="41" t="inlineStr">
        <is>
          <t>AreaCode</t>
        </is>
      </c>
      <c r="C10753" s="129" t="inlineStr">
        <is>
          <t>地区代码</t>
        </is>
      </c>
      <c r="D10753" s="21" t="n">
        <v>220204</v>
      </c>
      <c r="E10753" s="21" t="inlineStr">
        <is>
          <t>吉林省吉林市船营区</t>
        </is>
      </c>
    </row>
    <row r="10754">
      <c r="B10754" s="41" t="inlineStr">
        <is>
          <t>AreaCode</t>
        </is>
      </c>
      <c r="C10754" s="129" t="inlineStr">
        <is>
          <t>地区代码</t>
        </is>
      </c>
      <c r="D10754" s="21" t="n">
        <v>220211</v>
      </c>
      <c r="E10754" s="21" t="inlineStr">
        <is>
          <t>吉林省吉林市丰满区</t>
        </is>
      </c>
    </row>
    <row r="10755">
      <c r="B10755" s="41" t="inlineStr">
        <is>
          <t>AreaCode</t>
        </is>
      </c>
      <c r="C10755" s="129" t="inlineStr">
        <is>
          <t>地区代码</t>
        </is>
      </c>
      <c r="D10755" s="21" t="n">
        <v>220221</v>
      </c>
      <c r="E10755" s="21" t="inlineStr">
        <is>
          <t>吉林省吉林市永吉县</t>
        </is>
      </c>
    </row>
    <row r="10756">
      <c r="B10756" s="41" t="inlineStr">
        <is>
          <t>AreaCode</t>
        </is>
      </c>
      <c r="C10756" s="129" t="inlineStr">
        <is>
          <t>地区代码</t>
        </is>
      </c>
      <c r="D10756" s="21" t="n">
        <v>220281</v>
      </c>
      <c r="E10756" s="21" t="inlineStr">
        <is>
          <t>吉林省吉林市蛟河市</t>
        </is>
      </c>
    </row>
    <row r="10757">
      <c r="B10757" s="41" t="inlineStr">
        <is>
          <t>AreaCode</t>
        </is>
      </c>
      <c r="C10757" s="129" t="inlineStr">
        <is>
          <t>地区代码</t>
        </is>
      </c>
      <c r="D10757" s="21" t="n">
        <v>220282</v>
      </c>
      <c r="E10757" s="21" t="inlineStr">
        <is>
          <t>吉林省吉林市桦甸市</t>
        </is>
      </c>
    </row>
    <row r="10758">
      <c r="B10758" s="41" t="inlineStr">
        <is>
          <t>AreaCode</t>
        </is>
      </c>
      <c r="C10758" s="129" t="inlineStr">
        <is>
          <t>地区代码</t>
        </is>
      </c>
      <c r="D10758" s="21" t="n">
        <v>220283</v>
      </c>
      <c r="E10758" s="21" t="inlineStr">
        <is>
          <t>吉林省吉林市舒兰市</t>
        </is>
      </c>
    </row>
    <row r="10759">
      <c r="B10759" s="41" t="inlineStr">
        <is>
          <t>AreaCode</t>
        </is>
      </c>
      <c r="C10759" s="129" t="inlineStr">
        <is>
          <t>地区代码</t>
        </is>
      </c>
      <c r="D10759" s="21" t="n">
        <v>220284</v>
      </c>
      <c r="E10759" s="21" t="inlineStr">
        <is>
          <t>吉林省吉林市磐石市</t>
        </is>
      </c>
    </row>
    <row r="10760">
      <c r="B10760" s="41" t="inlineStr">
        <is>
          <t>AreaCode</t>
        </is>
      </c>
      <c r="C10760" s="129" t="inlineStr">
        <is>
          <t>地区代码</t>
        </is>
      </c>
      <c r="D10760" s="21" t="n">
        <v>220300</v>
      </c>
      <c r="E10760" s="21" t="inlineStr">
        <is>
          <t>吉林省四平市</t>
        </is>
      </c>
    </row>
    <row r="10761">
      <c r="B10761" s="41" t="inlineStr">
        <is>
          <t>AreaCode</t>
        </is>
      </c>
      <c r="C10761" s="129" t="inlineStr">
        <is>
          <t>地区代码</t>
        </is>
      </c>
      <c r="D10761" s="21" t="n">
        <v>220301</v>
      </c>
      <c r="E10761" s="21" t="inlineStr">
        <is>
          <t>吉林省四平市市辖区</t>
        </is>
      </c>
    </row>
    <row r="10762">
      <c r="B10762" s="41" t="inlineStr">
        <is>
          <t>AreaCode</t>
        </is>
      </c>
      <c r="C10762" s="129" t="inlineStr">
        <is>
          <t>地区代码</t>
        </is>
      </c>
      <c r="D10762" s="21" t="n">
        <v>220302</v>
      </c>
      <c r="E10762" s="21" t="inlineStr">
        <is>
          <t>吉林省四平市铁西区</t>
        </is>
      </c>
    </row>
    <row r="10763">
      <c r="B10763" s="41" t="inlineStr">
        <is>
          <t>AreaCode</t>
        </is>
      </c>
      <c r="C10763" s="129" t="inlineStr">
        <is>
          <t>地区代码</t>
        </is>
      </c>
      <c r="D10763" s="21" t="n">
        <v>220303</v>
      </c>
      <c r="E10763" s="21" t="inlineStr">
        <is>
          <t>吉林省四平市铁东区</t>
        </is>
      </c>
    </row>
    <row r="10764">
      <c r="B10764" s="41" t="inlineStr">
        <is>
          <t>AreaCode</t>
        </is>
      </c>
      <c r="C10764" s="129" t="inlineStr">
        <is>
          <t>地区代码</t>
        </is>
      </c>
      <c r="D10764" s="21" t="n">
        <v>220322</v>
      </c>
      <c r="E10764" s="21" t="inlineStr">
        <is>
          <t>吉林省四平市梨树县</t>
        </is>
      </c>
    </row>
    <row r="10765">
      <c r="B10765" s="41" t="inlineStr">
        <is>
          <t>AreaCode</t>
        </is>
      </c>
      <c r="C10765" s="129" t="inlineStr">
        <is>
          <t>地区代码</t>
        </is>
      </c>
      <c r="D10765" s="21" t="n">
        <v>220323</v>
      </c>
      <c r="E10765" s="21" t="inlineStr">
        <is>
          <t>吉林省四平市伊通满族自治县</t>
        </is>
      </c>
    </row>
    <row r="10766">
      <c r="B10766" s="41" t="inlineStr">
        <is>
          <t>AreaCode</t>
        </is>
      </c>
      <c r="C10766" s="129" t="inlineStr">
        <is>
          <t>地区代码</t>
        </is>
      </c>
      <c r="D10766" s="21" t="n">
        <v>220381</v>
      </c>
      <c r="E10766" s="21" t="inlineStr">
        <is>
          <t>吉林省四平市公主岭市</t>
        </is>
      </c>
    </row>
    <row r="10767">
      <c r="B10767" s="41" t="inlineStr">
        <is>
          <t>AreaCode</t>
        </is>
      </c>
      <c r="C10767" s="129" t="inlineStr">
        <is>
          <t>地区代码</t>
        </is>
      </c>
      <c r="D10767" s="21" t="n">
        <v>220382</v>
      </c>
      <c r="E10767" s="21" t="inlineStr">
        <is>
          <t>吉林省四平市双辽市</t>
        </is>
      </c>
    </row>
    <row r="10768">
      <c r="B10768" s="41" t="inlineStr">
        <is>
          <t>AreaCode</t>
        </is>
      </c>
      <c r="C10768" s="129" t="inlineStr">
        <is>
          <t>地区代码</t>
        </is>
      </c>
      <c r="D10768" s="21" t="n">
        <v>220400</v>
      </c>
      <c r="E10768" s="21" t="inlineStr">
        <is>
          <t>吉林省辽源市</t>
        </is>
      </c>
    </row>
    <row r="10769">
      <c r="B10769" s="41" t="inlineStr">
        <is>
          <t>AreaCode</t>
        </is>
      </c>
      <c r="C10769" s="129" t="inlineStr">
        <is>
          <t>地区代码</t>
        </is>
      </c>
      <c r="D10769" s="21" t="n">
        <v>220401</v>
      </c>
      <c r="E10769" s="21" t="inlineStr">
        <is>
          <t>吉林省辽源市市辖区</t>
        </is>
      </c>
    </row>
    <row r="10770">
      <c r="B10770" s="41" t="inlineStr">
        <is>
          <t>AreaCode</t>
        </is>
      </c>
      <c r="C10770" s="129" t="inlineStr">
        <is>
          <t>地区代码</t>
        </is>
      </c>
      <c r="D10770" s="21" t="n">
        <v>220402</v>
      </c>
      <c r="E10770" s="21" t="inlineStr">
        <is>
          <t>吉林省辽源市龙山区</t>
        </is>
      </c>
    </row>
    <row r="10771">
      <c r="B10771" s="41" t="inlineStr">
        <is>
          <t>AreaCode</t>
        </is>
      </c>
      <c r="C10771" s="129" t="inlineStr">
        <is>
          <t>地区代码</t>
        </is>
      </c>
      <c r="D10771" s="21" t="n">
        <v>220403</v>
      </c>
      <c r="E10771" s="21" t="inlineStr">
        <is>
          <t>吉林省辽源市西安区</t>
        </is>
      </c>
    </row>
    <row r="10772">
      <c r="B10772" s="41" t="inlineStr">
        <is>
          <t>AreaCode</t>
        </is>
      </c>
      <c r="C10772" s="129" t="inlineStr">
        <is>
          <t>地区代码</t>
        </is>
      </c>
      <c r="D10772" s="21" t="n">
        <v>220421</v>
      </c>
      <c r="E10772" s="21" t="inlineStr">
        <is>
          <t>吉林省辽源市东丰县</t>
        </is>
      </c>
    </row>
    <row r="10773">
      <c r="B10773" s="41" t="inlineStr">
        <is>
          <t>AreaCode</t>
        </is>
      </c>
      <c r="C10773" s="129" t="inlineStr">
        <is>
          <t>地区代码</t>
        </is>
      </c>
      <c r="D10773" s="21" t="n">
        <v>220422</v>
      </c>
      <c r="E10773" s="21" t="inlineStr">
        <is>
          <t>吉林省辽源市东辽县</t>
        </is>
      </c>
    </row>
    <row r="10774">
      <c r="B10774" s="41" t="inlineStr">
        <is>
          <t>AreaCode</t>
        </is>
      </c>
      <c r="C10774" s="129" t="inlineStr">
        <is>
          <t>地区代码</t>
        </is>
      </c>
      <c r="D10774" s="21" t="n">
        <v>220500</v>
      </c>
      <c r="E10774" s="21" t="inlineStr">
        <is>
          <t>吉林省通化市</t>
        </is>
      </c>
    </row>
    <row r="10775">
      <c r="B10775" s="41" t="inlineStr">
        <is>
          <t>AreaCode</t>
        </is>
      </c>
      <c r="C10775" s="129" t="inlineStr">
        <is>
          <t>地区代码</t>
        </is>
      </c>
      <c r="D10775" s="21" t="n">
        <v>220501</v>
      </c>
      <c r="E10775" s="21" t="inlineStr">
        <is>
          <t>吉林省通化市市辖区</t>
        </is>
      </c>
    </row>
    <row r="10776">
      <c r="B10776" s="41" t="inlineStr">
        <is>
          <t>AreaCode</t>
        </is>
      </c>
      <c r="C10776" s="129" t="inlineStr">
        <is>
          <t>地区代码</t>
        </is>
      </c>
      <c r="D10776" s="21" t="n">
        <v>220502</v>
      </c>
      <c r="E10776" s="21" t="inlineStr">
        <is>
          <t>吉林省通化市东昌区</t>
        </is>
      </c>
    </row>
    <row r="10777">
      <c r="B10777" s="41" t="inlineStr">
        <is>
          <t>AreaCode</t>
        </is>
      </c>
      <c r="C10777" s="129" t="inlineStr">
        <is>
          <t>地区代码</t>
        </is>
      </c>
      <c r="D10777" s="21" t="n">
        <v>220503</v>
      </c>
      <c r="E10777" s="21" t="inlineStr">
        <is>
          <t>吉林省通化市二道江区</t>
        </is>
      </c>
    </row>
    <row r="10778">
      <c r="B10778" s="41" t="inlineStr">
        <is>
          <t>AreaCode</t>
        </is>
      </c>
      <c r="C10778" s="129" t="inlineStr">
        <is>
          <t>地区代码</t>
        </is>
      </c>
      <c r="D10778" s="21" t="n">
        <v>220521</v>
      </c>
      <c r="E10778" s="21" t="inlineStr">
        <is>
          <t>吉林省通化市通化县</t>
        </is>
      </c>
    </row>
    <row r="10779">
      <c r="B10779" s="41" t="inlineStr">
        <is>
          <t>AreaCode</t>
        </is>
      </c>
      <c r="C10779" s="129" t="inlineStr">
        <is>
          <t>地区代码</t>
        </is>
      </c>
      <c r="D10779" s="21" t="n">
        <v>220523</v>
      </c>
      <c r="E10779" s="21" t="inlineStr">
        <is>
          <t>吉林省通化市辉南县</t>
        </is>
      </c>
    </row>
    <row r="10780">
      <c r="B10780" s="41" t="inlineStr">
        <is>
          <t>AreaCode</t>
        </is>
      </c>
      <c r="C10780" s="129" t="inlineStr">
        <is>
          <t>地区代码</t>
        </is>
      </c>
      <c r="D10780" s="21" t="n">
        <v>220524</v>
      </c>
      <c r="E10780" s="21" t="inlineStr">
        <is>
          <t>吉林省通化市柳河县</t>
        </is>
      </c>
    </row>
    <row r="10781">
      <c r="B10781" s="41" t="inlineStr">
        <is>
          <t>AreaCode</t>
        </is>
      </c>
      <c r="C10781" s="129" t="inlineStr">
        <is>
          <t>地区代码</t>
        </is>
      </c>
      <c r="D10781" s="21" t="n">
        <v>220581</v>
      </c>
      <c r="E10781" s="21" t="inlineStr">
        <is>
          <t>吉林省通化市梅河口市</t>
        </is>
      </c>
    </row>
    <row r="10782">
      <c r="B10782" s="41" t="inlineStr">
        <is>
          <t>AreaCode</t>
        </is>
      </c>
      <c r="C10782" s="129" t="inlineStr">
        <is>
          <t>地区代码</t>
        </is>
      </c>
      <c r="D10782" s="21" t="n">
        <v>220582</v>
      </c>
      <c r="E10782" s="21" t="inlineStr">
        <is>
          <t>吉林省通化市集安市</t>
        </is>
      </c>
    </row>
    <row r="10783">
      <c r="B10783" s="41" t="inlineStr">
        <is>
          <t>AreaCode</t>
        </is>
      </c>
      <c r="C10783" s="129" t="inlineStr">
        <is>
          <t>地区代码</t>
        </is>
      </c>
      <c r="D10783" s="21" t="n">
        <v>220600</v>
      </c>
      <c r="E10783" s="21" t="inlineStr">
        <is>
          <t>吉林省白山市</t>
        </is>
      </c>
    </row>
    <row r="10784">
      <c r="B10784" s="41" t="inlineStr">
        <is>
          <t>AreaCode</t>
        </is>
      </c>
      <c r="C10784" s="129" t="inlineStr">
        <is>
          <t>地区代码</t>
        </is>
      </c>
      <c r="D10784" s="21" t="n">
        <v>220601</v>
      </c>
      <c r="E10784" s="21" t="inlineStr">
        <is>
          <t>吉林省白山市市辖区</t>
        </is>
      </c>
    </row>
    <row r="10785">
      <c r="B10785" s="41" t="inlineStr">
        <is>
          <t>AreaCode</t>
        </is>
      </c>
      <c r="C10785" s="129" t="inlineStr">
        <is>
          <t>地区代码</t>
        </is>
      </c>
      <c r="D10785" s="21" t="n">
        <v>220602</v>
      </c>
      <c r="E10785" s="21" t="inlineStr">
        <is>
          <t>吉林省白山市浑江区</t>
        </is>
      </c>
    </row>
    <row r="10786">
      <c r="B10786" s="41" t="inlineStr">
        <is>
          <t>AreaCode</t>
        </is>
      </c>
      <c r="C10786" s="129" t="inlineStr">
        <is>
          <t>地区代码</t>
        </is>
      </c>
      <c r="D10786" s="21" t="n">
        <v>220605</v>
      </c>
      <c r="E10786" s="21" t="inlineStr">
        <is>
          <t>吉林省白山市江源区</t>
        </is>
      </c>
    </row>
    <row r="10787">
      <c r="B10787" s="41" t="inlineStr">
        <is>
          <t>AreaCode</t>
        </is>
      </c>
      <c r="C10787" s="129" t="inlineStr">
        <is>
          <t>地区代码</t>
        </is>
      </c>
      <c r="D10787" s="21" t="n">
        <v>220621</v>
      </c>
      <c r="E10787" s="21" t="inlineStr">
        <is>
          <t>吉林省白山市抚松县</t>
        </is>
      </c>
    </row>
    <row r="10788">
      <c r="B10788" s="41" t="inlineStr">
        <is>
          <t>AreaCode</t>
        </is>
      </c>
      <c r="C10788" s="129" t="inlineStr">
        <is>
          <t>地区代码</t>
        </is>
      </c>
      <c r="D10788" s="21" t="n">
        <v>220622</v>
      </c>
      <c r="E10788" s="21" t="inlineStr">
        <is>
          <t>吉林省白山市靖宇县</t>
        </is>
      </c>
    </row>
    <row r="10789">
      <c r="B10789" s="41" t="inlineStr">
        <is>
          <t>AreaCode</t>
        </is>
      </c>
      <c r="C10789" s="129" t="inlineStr">
        <is>
          <t>地区代码</t>
        </is>
      </c>
      <c r="D10789" s="21" t="n">
        <v>220623</v>
      </c>
      <c r="E10789" s="21" t="inlineStr">
        <is>
          <t>吉林省白山市长白朝鲜族自治县</t>
        </is>
      </c>
    </row>
    <row r="10790">
      <c r="B10790" s="41" t="inlineStr">
        <is>
          <t>AreaCode</t>
        </is>
      </c>
      <c r="C10790" s="129" t="inlineStr">
        <is>
          <t>地区代码</t>
        </is>
      </c>
      <c r="D10790" s="21" t="n">
        <v>220681</v>
      </c>
      <c r="E10790" s="21" t="inlineStr">
        <is>
          <t>吉林省白山市临江市</t>
        </is>
      </c>
    </row>
    <row r="10791">
      <c r="B10791" s="41" t="inlineStr">
        <is>
          <t>AreaCode</t>
        </is>
      </c>
      <c r="C10791" s="129" t="inlineStr">
        <is>
          <t>地区代码</t>
        </is>
      </c>
      <c r="D10791" s="21" t="n">
        <v>220700</v>
      </c>
      <c r="E10791" s="21" t="inlineStr">
        <is>
          <t>吉林省松原市</t>
        </is>
      </c>
    </row>
    <row r="10792">
      <c r="B10792" s="41" t="inlineStr">
        <is>
          <t>AreaCode</t>
        </is>
      </c>
      <c r="C10792" s="129" t="inlineStr">
        <is>
          <t>地区代码</t>
        </is>
      </c>
      <c r="D10792" s="21" t="n">
        <v>220701</v>
      </c>
      <c r="E10792" s="21" t="inlineStr">
        <is>
          <t>吉林省松原市市辖区</t>
        </is>
      </c>
    </row>
    <row r="10793">
      <c r="B10793" s="41" t="inlineStr">
        <is>
          <t>AreaCode</t>
        </is>
      </c>
      <c r="C10793" s="129" t="inlineStr">
        <is>
          <t>地区代码</t>
        </is>
      </c>
      <c r="D10793" s="21" t="n">
        <v>220702</v>
      </c>
      <c r="E10793" s="21" t="inlineStr">
        <is>
          <t>吉林省松原市宁江区</t>
        </is>
      </c>
    </row>
    <row r="10794">
      <c r="B10794" s="41" t="inlineStr">
        <is>
          <t>AreaCode</t>
        </is>
      </c>
      <c r="C10794" s="129" t="inlineStr">
        <is>
          <t>地区代码</t>
        </is>
      </c>
      <c r="D10794" s="21" t="n">
        <v>220721</v>
      </c>
      <c r="E10794" s="21" t="inlineStr">
        <is>
          <t>吉林省松原市前郭尔罗斯蒙古族自治县</t>
        </is>
      </c>
    </row>
    <row r="10795">
      <c r="B10795" s="41" t="inlineStr">
        <is>
          <t>AreaCode</t>
        </is>
      </c>
      <c r="C10795" s="129" t="inlineStr">
        <is>
          <t>地区代码</t>
        </is>
      </c>
      <c r="D10795" s="21" t="n">
        <v>220722</v>
      </c>
      <c r="E10795" s="21" t="inlineStr">
        <is>
          <t>吉林省松原市长岭县</t>
        </is>
      </c>
    </row>
    <row r="10796">
      <c r="B10796" s="41" t="inlineStr">
        <is>
          <t>AreaCode</t>
        </is>
      </c>
      <c r="C10796" s="129" t="inlineStr">
        <is>
          <t>地区代码</t>
        </is>
      </c>
      <c r="D10796" s="21" t="n">
        <v>220723</v>
      </c>
      <c r="E10796" s="21" t="inlineStr">
        <is>
          <t>吉林省松原市乾安县</t>
        </is>
      </c>
    </row>
    <row r="10797">
      <c r="B10797" s="41" t="inlineStr">
        <is>
          <t>AreaCode</t>
        </is>
      </c>
      <c r="C10797" s="129" t="inlineStr">
        <is>
          <t>地区代码</t>
        </is>
      </c>
      <c r="D10797" s="21" t="n">
        <v>220724</v>
      </c>
      <c r="E10797" s="21" t="inlineStr">
        <is>
          <t>吉林省松原市扶余县</t>
        </is>
      </c>
    </row>
    <row r="10798">
      <c r="B10798" s="41" t="inlineStr">
        <is>
          <t>AreaCode</t>
        </is>
      </c>
      <c r="C10798" s="129" t="inlineStr">
        <is>
          <t>地区代码</t>
        </is>
      </c>
      <c r="D10798" s="21" t="n">
        <v>220800</v>
      </c>
      <c r="E10798" s="21" t="inlineStr">
        <is>
          <t>吉林省白城市</t>
        </is>
      </c>
    </row>
    <row r="10799">
      <c r="B10799" s="41" t="inlineStr">
        <is>
          <t>AreaCode</t>
        </is>
      </c>
      <c r="C10799" s="129" t="inlineStr">
        <is>
          <t>地区代码</t>
        </is>
      </c>
      <c r="D10799" s="21" t="n">
        <v>220801</v>
      </c>
      <c r="E10799" s="21" t="inlineStr">
        <is>
          <t>吉林省白城市市辖区</t>
        </is>
      </c>
    </row>
    <row r="10800">
      <c r="B10800" s="41" t="inlineStr">
        <is>
          <t>AreaCode</t>
        </is>
      </c>
      <c r="C10800" s="129" t="inlineStr">
        <is>
          <t>地区代码</t>
        </is>
      </c>
      <c r="D10800" s="21" t="n">
        <v>220802</v>
      </c>
      <c r="E10800" s="21" t="inlineStr">
        <is>
          <t>吉林省白城市洮北区</t>
        </is>
      </c>
    </row>
    <row r="10801">
      <c r="B10801" s="41" t="inlineStr">
        <is>
          <t>AreaCode</t>
        </is>
      </c>
      <c r="C10801" s="129" t="inlineStr">
        <is>
          <t>地区代码</t>
        </is>
      </c>
      <c r="D10801" s="21" t="n">
        <v>220821</v>
      </c>
      <c r="E10801" s="21" t="inlineStr">
        <is>
          <t>吉林省白城市镇赉县</t>
        </is>
      </c>
    </row>
    <row r="10802">
      <c r="B10802" s="41" t="inlineStr">
        <is>
          <t>AreaCode</t>
        </is>
      </c>
      <c r="C10802" s="129" t="inlineStr">
        <is>
          <t>地区代码</t>
        </is>
      </c>
      <c r="D10802" s="21" t="n">
        <v>220822</v>
      </c>
      <c r="E10802" s="21" t="inlineStr">
        <is>
          <t>吉林省白城市通榆县</t>
        </is>
      </c>
    </row>
    <row r="10803">
      <c r="B10803" s="41" t="inlineStr">
        <is>
          <t>AreaCode</t>
        </is>
      </c>
      <c r="C10803" s="129" t="inlineStr">
        <is>
          <t>地区代码</t>
        </is>
      </c>
      <c r="D10803" s="21" t="n">
        <v>220881</v>
      </c>
      <c r="E10803" s="21" t="inlineStr">
        <is>
          <t>吉林省白城市洮南市</t>
        </is>
      </c>
    </row>
    <row r="10804">
      <c r="B10804" s="41" t="inlineStr">
        <is>
          <t>AreaCode</t>
        </is>
      </c>
      <c r="C10804" s="129" t="inlineStr">
        <is>
          <t>地区代码</t>
        </is>
      </c>
      <c r="D10804" s="21" t="n">
        <v>220882</v>
      </c>
      <c r="E10804" s="21" t="inlineStr">
        <is>
          <t>吉林省白城市大安市</t>
        </is>
      </c>
    </row>
    <row r="10805">
      <c r="B10805" s="41" t="inlineStr">
        <is>
          <t>AreaCode</t>
        </is>
      </c>
      <c r="C10805" s="129" t="inlineStr">
        <is>
          <t>地区代码</t>
        </is>
      </c>
      <c r="D10805" s="21" t="n">
        <v>222400</v>
      </c>
      <c r="E10805" s="21" t="inlineStr">
        <is>
          <t>吉林省延边朝鲜族自治州</t>
        </is>
      </c>
    </row>
    <row r="10806">
      <c r="B10806" s="41" t="inlineStr">
        <is>
          <t>AreaCode</t>
        </is>
      </c>
      <c r="C10806" s="129" t="inlineStr">
        <is>
          <t>地区代码</t>
        </is>
      </c>
      <c r="D10806" s="21" t="n">
        <v>222401</v>
      </c>
      <c r="E10806" s="21" t="inlineStr">
        <is>
          <t>吉林省延边朝鲜族自治州延吉市</t>
        </is>
      </c>
    </row>
    <row r="10807">
      <c r="B10807" s="41" t="inlineStr">
        <is>
          <t>AreaCode</t>
        </is>
      </c>
      <c r="C10807" s="129" t="inlineStr">
        <is>
          <t>地区代码</t>
        </is>
      </c>
      <c r="D10807" s="21" t="n">
        <v>222402</v>
      </c>
      <c r="E10807" s="21" t="inlineStr">
        <is>
          <t>吉林省延边朝鲜族自治州图们市</t>
        </is>
      </c>
    </row>
    <row r="10808">
      <c r="B10808" s="41" t="inlineStr">
        <is>
          <t>AreaCode</t>
        </is>
      </c>
      <c r="C10808" s="129" t="inlineStr">
        <is>
          <t>地区代码</t>
        </is>
      </c>
      <c r="D10808" s="21" t="n">
        <v>222403</v>
      </c>
      <c r="E10808" s="21" t="inlineStr">
        <is>
          <t>吉林省延边朝鲜族自治州敦化市</t>
        </is>
      </c>
    </row>
    <row r="10809">
      <c r="B10809" s="41" t="inlineStr">
        <is>
          <t>AreaCode</t>
        </is>
      </c>
      <c r="C10809" s="129" t="inlineStr">
        <is>
          <t>地区代码</t>
        </is>
      </c>
      <c r="D10809" s="21" t="n">
        <v>222404</v>
      </c>
      <c r="E10809" s="21" t="inlineStr">
        <is>
          <t>吉林省延边朝鲜族自治州珲春市</t>
        </is>
      </c>
    </row>
    <row r="10810">
      <c r="B10810" s="41" t="inlineStr">
        <is>
          <t>AreaCode</t>
        </is>
      </c>
      <c r="C10810" s="129" t="inlineStr">
        <is>
          <t>地区代码</t>
        </is>
      </c>
      <c r="D10810" s="21" t="n">
        <v>222405</v>
      </c>
      <c r="E10810" s="21" t="inlineStr">
        <is>
          <t>吉林省延边朝鲜族自治州龙井市</t>
        </is>
      </c>
    </row>
    <row r="10811">
      <c r="B10811" s="41" t="inlineStr">
        <is>
          <t>AreaCode</t>
        </is>
      </c>
      <c r="C10811" s="129" t="inlineStr">
        <is>
          <t>地区代码</t>
        </is>
      </c>
      <c r="D10811" s="21" t="n">
        <v>222406</v>
      </c>
      <c r="E10811" s="21" t="inlineStr">
        <is>
          <t>吉林省延边朝鲜族自治州和龙市</t>
        </is>
      </c>
    </row>
    <row r="10812">
      <c r="B10812" s="41" t="inlineStr">
        <is>
          <t>AreaCode</t>
        </is>
      </c>
      <c r="C10812" s="129" t="inlineStr">
        <is>
          <t>地区代码</t>
        </is>
      </c>
      <c r="D10812" s="21" t="n">
        <v>222424</v>
      </c>
      <c r="E10812" s="21" t="inlineStr">
        <is>
          <t>吉林省延边朝鲜族自治州汪清县</t>
        </is>
      </c>
    </row>
    <row r="10813">
      <c r="B10813" s="41" t="inlineStr">
        <is>
          <t>AreaCode</t>
        </is>
      </c>
      <c r="C10813" s="129" t="inlineStr">
        <is>
          <t>地区代码</t>
        </is>
      </c>
      <c r="D10813" s="21" t="n">
        <v>222426</v>
      </c>
      <c r="E10813" s="21" t="inlineStr">
        <is>
          <t>吉林省延边朝鲜族自治州安图县</t>
        </is>
      </c>
    </row>
    <row r="10814">
      <c r="B10814" s="41" t="inlineStr">
        <is>
          <t>AreaCode</t>
        </is>
      </c>
      <c r="C10814" s="129" t="inlineStr">
        <is>
          <t>地区代码</t>
        </is>
      </c>
      <c r="D10814" s="21" t="n">
        <v>230000</v>
      </c>
      <c r="E10814" s="21" t="inlineStr">
        <is>
          <t>黑龙江省</t>
        </is>
      </c>
    </row>
    <row r="10815">
      <c r="B10815" s="41" t="inlineStr">
        <is>
          <t>AreaCode</t>
        </is>
      </c>
      <c r="C10815" s="129" t="inlineStr">
        <is>
          <t>地区代码</t>
        </is>
      </c>
      <c r="D10815" s="21" t="n">
        <v>230100</v>
      </c>
      <c r="E10815" s="21" t="inlineStr">
        <is>
          <t>黑龙江省哈尔滨市</t>
        </is>
      </c>
    </row>
    <row r="10816">
      <c r="B10816" s="41" t="inlineStr">
        <is>
          <t>AreaCode</t>
        </is>
      </c>
      <c r="C10816" s="129" t="inlineStr">
        <is>
          <t>地区代码</t>
        </is>
      </c>
      <c r="D10816" s="21" t="n">
        <v>230101</v>
      </c>
      <c r="E10816" s="21" t="inlineStr">
        <is>
          <t>黑龙江省哈尔滨市市辖区</t>
        </is>
      </c>
    </row>
    <row r="10817">
      <c r="B10817" s="41" t="inlineStr">
        <is>
          <t>AreaCode</t>
        </is>
      </c>
      <c r="C10817" s="129" t="inlineStr">
        <is>
          <t>地区代码</t>
        </is>
      </c>
      <c r="D10817" s="21" t="n">
        <v>230102</v>
      </c>
      <c r="E10817" s="21" t="inlineStr">
        <is>
          <t>黑龙江省哈尔滨市道里区</t>
        </is>
      </c>
    </row>
    <row r="10818">
      <c r="B10818" s="41" t="inlineStr">
        <is>
          <t>AreaCode</t>
        </is>
      </c>
      <c r="C10818" s="129" t="inlineStr">
        <is>
          <t>地区代码</t>
        </is>
      </c>
      <c r="D10818" s="21" t="n">
        <v>230103</v>
      </c>
      <c r="E10818" s="21" t="inlineStr">
        <is>
          <t>黑龙江省哈尔滨市南岗区</t>
        </is>
      </c>
    </row>
    <row r="10819">
      <c r="B10819" s="41" t="inlineStr">
        <is>
          <t>AreaCode</t>
        </is>
      </c>
      <c r="C10819" s="129" t="inlineStr">
        <is>
          <t>地区代码</t>
        </is>
      </c>
      <c r="D10819" s="21" t="n">
        <v>230104</v>
      </c>
      <c r="E10819" s="21" t="inlineStr">
        <is>
          <t>黑龙江省哈尔滨市道外区</t>
        </is>
      </c>
    </row>
    <row r="10820">
      <c r="B10820" s="41" t="inlineStr">
        <is>
          <t>AreaCode</t>
        </is>
      </c>
      <c r="C10820" s="129" t="inlineStr">
        <is>
          <t>地区代码</t>
        </is>
      </c>
      <c r="D10820" s="21" t="n">
        <v>230108</v>
      </c>
      <c r="E10820" s="21" t="inlineStr">
        <is>
          <t>黑龙江省哈尔滨市平房区</t>
        </is>
      </c>
    </row>
    <row r="10821">
      <c r="B10821" s="41" t="inlineStr">
        <is>
          <t>AreaCode</t>
        </is>
      </c>
      <c r="C10821" s="129" t="inlineStr">
        <is>
          <t>地区代码</t>
        </is>
      </c>
      <c r="D10821" s="21" t="n">
        <v>230109</v>
      </c>
      <c r="E10821" s="21" t="inlineStr">
        <is>
          <t>黑龙江省哈尔滨市松北区</t>
        </is>
      </c>
    </row>
    <row r="10822">
      <c r="B10822" s="41" t="inlineStr">
        <is>
          <t>AreaCode</t>
        </is>
      </c>
      <c r="C10822" s="129" t="inlineStr">
        <is>
          <t>地区代码</t>
        </is>
      </c>
      <c r="D10822" s="21" t="n">
        <v>230110</v>
      </c>
      <c r="E10822" s="21" t="inlineStr">
        <is>
          <t>黑龙江省哈尔滨市香坊区</t>
        </is>
      </c>
    </row>
    <row r="10823">
      <c r="B10823" s="41" t="inlineStr">
        <is>
          <t>AreaCode</t>
        </is>
      </c>
      <c r="C10823" s="129" t="inlineStr">
        <is>
          <t>地区代码</t>
        </is>
      </c>
      <c r="D10823" s="21" t="n">
        <v>230111</v>
      </c>
      <c r="E10823" s="21" t="inlineStr">
        <is>
          <t>黑龙江省哈尔滨市呼兰区</t>
        </is>
      </c>
    </row>
    <row r="10824">
      <c r="B10824" s="41" t="inlineStr">
        <is>
          <t>AreaCode</t>
        </is>
      </c>
      <c r="C10824" s="129" t="inlineStr">
        <is>
          <t>地区代码</t>
        </is>
      </c>
      <c r="D10824" s="21" t="n">
        <v>230112</v>
      </c>
      <c r="E10824" s="21" t="inlineStr">
        <is>
          <t>黑龙江省哈尔滨市阿城区</t>
        </is>
      </c>
    </row>
    <row r="10825">
      <c r="B10825" s="41" t="inlineStr">
        <is>
          <t>AreaCode</t>
        </is>
      </c>
      <c r="C10825" s="129" t="inlineStr">
        <is>
          <t>地区代码</t>
        </is>
      </c>
      <c r="D10825" s="21" t="n">
        <v>230123</v>
      </c>
      <c r="E10825" s="21" t="inlineStr">
        <is>
          <t>黑龙江省哈尔滨市依兰县</t>
        </is>
      </c>
    </row>
    <row r="10826">
      <c r="B10826" s="41" t="inlineStr">
        <is>
          <t>AreaCode</t>
        </is>
      </c>
      <c r="C10826" s="129" t="inlineStr">
        <is>
          <t>地区代码</t>
        </is>
      </c>
      <c r="D10826" s="21" t="n">
        <v>230124</v>
      </c>
      <c r="E10826" s="21" t="inlineStr">
        <is>
          <t>黑龙江省哈尔滨市方正县</t>
        </is>
      </c>
    </row>
    <row r="10827">
      <c r="B10827" s="41" t="inlineStr">
        <is>
          <t>AreaCode</t>
        </is>
      </c>
      <c r="C10827" s="129" t="inlineStr">
        <is>
          <t>地区代码</t>
        </is>
      </c>
      <c r="D10827" s="21" t="n">
        <v>230125</v>
      </c>
      <c r="E10827" s="21" t="inlineStr">
        <is>
          <t>黑龙江省哈尔滨市宾县</t>
        </is>
      </c>
    </row>
    <row r="10828">
      <c r="B10828" s="41" t="inlineStr">
        <is>
          <t>AreaCode</t>
        </is>
      </c>
      <c r="C10828" s="129" t="inlineStr">
        <is>
          <t>地区代码</t>
        </is>
      </c>
      <c r="D10828" s="21" t="n">
        <v>230126</v>
      </c>
      <c r="E10828" s="21" t="inlineStr">
        <is>
          <t>黑龙江省哈尔滨市巴彦县</t>
        </is>
      </c>
    </row>
    <row r="10829">
      <c r="B10829" s="41" t="inlineStr">
        <is>
          <t>AreaCode</t>
        </is>
      </c>
      <c r="C10829" s="129" t="inlineStr">
        <is>
          <t>地区代码</t>
        </is>
      </c>
      <c r="D10829" s="21" t="n">
        <v>230127</v>
      </c>
      <c r="E10829" s="21" t="inlineStr">
        <is>
          <t>黑龙江省哈尔滨市木兰县</t>
        </is>
      </c>
    </row>
    <row r="10830">
      <c r="B10830" s="41" t="inlineStr">
        <is>
          <t>AreaCode</t>
        </is>
      </c>
      <c r="C10830" s="129" t="inlineStr">
        <is>
          <t>地区代码</t>
        </is>
      </c>
      <c r="D10830" s="21" t="n">
        <v>230128</v>
      </c>
      <c r="E10830" s="21" t="inlineStr">
        <is>
          <t>黑龙江省哈尔滨市通河县</t>
        </is>
      </c>
    </row>
    <row r="10831">
      <c r="B10831" s="41" t="inlineStr">
        <is>
          <t>AreaCode</t>
        </is>
      </c>
      <c r="C10831" s="129" t="inlineStr">
        <is>
          <t>地区代码</t>
        </is>
      </c>
      <c r="D10831" s="21" t="n">
        <v>230129</v>
      </c>
      <c r="E10831" s="21" t="inlineStr">
        <is>
          <t>黑龙江省哈尔滨市延寿县</t>
        </is>
      </c>
    </row>
    <row r="10832">
      <c r="B10832" s="41" t="inlineStr">
        <is>
          <t>AreaCode</t>
        </is>
      </c>
      <c r="C10832" s="129" t="inlineStr">
        <is>
          <t>地区代码</t>
        </is>
      </c>
      <c r="D10832" s="21" t="n">
        <v>230182</v>
      </c>
      <c r="E10832" s="21" t="inlineStr">
        <is>
          <t>黑龙江省哈尔滨市双城市</t>
        </is>
      </c>
    </row>
    <row r="10833">
      <c r="B10833" s="41" t="inlineStr">
        <is>
          <t>AreaCode</t>
        </is>
      </c>
      <c r="C10833" s="129" t="inlineStr">
        <is>
          <t>地区代码</t>
        </is>
      </c>
      <c r="D10833" s="21" t="n">
        <v>230183</v>
      </c>
      <c r="E10833" s="21" t="inlineStr">
        <is>
          <t>黑龙江省哈尔滨市尚志市</t>
        </is>
      </c>
    </row>
    <row r="10834">
      <c r="B10834" s="41" t="inlineStr">
        <is>
          <t>AreaCode</t>
        </is>
      </c>
      <c r="C10834" s="129" t="inlineStr">
        <is>
          <t>地区代码</t>
        </is>
      </c>
      <c r="D10834" s="21" t="n">
        <v>230184</v>
      </c>
      <c r="E10834" s="21" t="inlineStr">
        <is>
          <t>黑龙江省哈尔滨市五常市</t>
        </is>
      </c>
    </row>
    <row r="10835">
      <c r="B10835" s="41" t="inlineStr">
        <is>
          <t>AreaCode</t>
        </is>
      </c>
      <c r="C10835" s="129" t="inlineStr">
        <is>
          <t>地区代码</t>
        </is>
      </c>
      <c r="D10835" s="21" t="n">
        <v>230200</v>
      </c>
      <c r="E10835" s="21" t="inlineStr">
        <is>
          <t>黑龙江省齐齐哈尔市</t>
        </is>
      </c>
    </row>
    <row r="10836">
      <c r="B10836" s="41" t="inlineStr">
        <is>
          <t>AreaCode</t>
        </is>
      </c>
      <c r="C10836" s="129" t="inlineStr">
        <is>
          <t>地区代码</t>
        </is>
      </c>
      <c r="D10836" s="21" t="n">
        <v>230201</v>
      </c>
      <c r="E10836" s="21" t="inlineStr">
        <is>
          <t>黑龙江省齐齐哈尔市市辖区</t>
        </is>
      </c>
    </row>
    <row r="10837">
      <c r="B10837" s="41" t="inlineStr">
        <is>
          <t>AreaCode</t>
        </is>
      </c>
      <c r="C10837" s="129" t="inlineStr">
        <is>
          <t>地区代码</t>
        </is>
      </c>
      <c r="D10837" s="21" t="n">
        <v>230202</v>
      </c>
      <c r="E10837" s="21" t="inlineStr">
        <is>
          <t>黑龙江省齐齐哈尔市龙沙区</t>
        </is>
      </c>
    </row>
    <row r="10838">
      <c r="B10838" s="41" t="inlineStr">
        <is>
          <t>AreaCode</t>
        </is>
      </c>
      <c r="C10838" s="129" t="inlineStr">
        <is>
          <t>地区代码</t>
        </is>
      </c>
      <c r="D10838" s="21" t="n">
        <v>230203</v>
      </c>
      <c r="E10838" s="21" t="inlineStr">
        <is>
          <t>黑龙江省齐齐哈尔市建华区</t>
        </is>
      </c>
    </row>
    <row r="10839">
      <c r="B10839" s="41" t="inlineStr">
        <is>
          <t>AreaCode</t>
        </is>
      </c>
      <c r="C10839" s="129" t="inlineStr">
        <is>
          <t>地区代码</t>
        </is>
      </c>
      <c r="D10839" s="21" t="n">
        <v>230204</v>
      </c>
      <c r="E10839" s="21" t="inlineStr">
        <is>
          <t>黑龙江省齐齐哈尔市铁锋区</t>
        </is>
      </c>
    </row>
    <row r="10840">
      <c r="B10840" s="41" t="inlineStr">
        <is>
          <t>AreaCode</t>
        </is>
      </c>
      <c r="C10840" s="129" t="inlineStr">
        <is>
          <t>地区代码</t>
        </is>
      </c>
      <c r="D10840" s="21" t="n">
        <v>230205</v>
      </c>
      <c r="E10840" s="21" t="inlineStr">
        <is>
          <t>黑龙江省齐齐哈尔市昂昂溪区</t>
        </is>
      </c>
    </row>
    <row r="10841">
      <c r="B10841" s="41" t="inlineStr">
        <is>
          <t>AreaCode</t>
        </is>
      </c>
      <c r="C10841" s="129" t="inlineStr">
        <is>
          <t>地区代码</t>
        </is>
      </c>
      <c r="D10841" s="21" t="n">
        <v>230206</v>
      </c>
      <c r="E10841" s="21" t="inlineStr">
        <is>
          <t>黑龙江省齐齐哈尔市富拉尔基区</t>
        </is>
      </c>
    </row>
    <row r="10842">
      <c r="B10842" s="41" t="inlineStr">
        <is>
          <t>AreaCode</t>
        </is>
      </c>
      <c r="C10842" s="129" t="inlineStr">
        <is>
          <t>地区代码</t>
        </is>
      </c>
      <c r="D10842" s="21" t="n">
        <v>230207</v>
      </c>
      <c r="E10842" s="21" t="inlineStr">
        <is>
          <t>黑龙江省齐齐哈尔市碾子山区</t>
        </is>
      </c>
    </row>
    <row r="10843">
      <c r="B10843" s="41" t="inlineStr">
        <is>
          <t>AreaCode</t>
        </is>
      </c>
      <c r="C10843" s="129" t="inlineStr">
        <is>
          <t>地区代码</t>
        </is>
      </c>
      <c r="D10843" s="21" t="n">
        <v>230208</v>
      </c>
      <c r="E10843" s="21" t="inlineStr">
        <is>
          <t>黑龙江省齐齐哈尔市梅里斯达斡尔族区</t>
        </is>
      </c>
    </row>
    <row r="10844">
      <c r="B10844" s="41" t="inlineStr">
        <is>
          <t>AreaCode</t>
        </is>
      </c>
      <c r="C10844" s="129" t="inlineStr">
        <is>
          <t>地区代码</t>
        </is>
      </c>
      <c r="D10844" s="21" t="n">
        <v>230221</v>
      </c>
      <c r="E10844" s="21" t="inlineStr">
        <is>
          <t>黑龙江省齐齐哈尔市龙江县</t>
        </is>
      </c>
    </row>
    <row r="10845">
      <c r="B10845" s="41" t="inlineStr">
        <is>
          <t>AreaCode</t>
        </is>
      </c>
      <c r="C10845" s="129" t="inlineStr">
        <is>
          <t>地区代码</t>
        </is>
      </c>
      <c r="D10845" s="21" t="n">
        <v>230223</v>
      </c>
      <c r="E10845" s="21" t="inlineStr">
        <is>
          <t>黑龙江省齐齐哈尔市依安县</t>
        </is>
      </c>
    </row>
    <row r="10846">
      <c r="B10846" s="41" t="inlineStr">
        <is>
          <t>AreaCode</t>
        </is>
      </c>
      <c r="C10846" s="129" t="inlineStr">
        <is>
          <t>地区代码</t>
        </is>
      </c>
      <c r="D10846" s="21" t="n">
        <v>230224</v>
      </c>
      <c r="E10846" s="21" t="inlineStr">
        <is>
          <t>黑龙江省齐齐哈尔市泰来县</t>
        </is>
      </c>
    </row>
    <row r="10847">
      <c r="B10847" s="41" t="inlineStr">
        <is>
          <t>AreaCode</t>
        </is>
      </c>
      <c r="C10847" s="129" t="inlineStr">
        <is>
          <t>地区代码</t>
        </is>
      </c>
      <c r="D10847" s="21" t="n">
        <v>230225</v>
      </c>
      <c r="E10847" s="21" t="inlineStr">
        <is>
          <t>黑龙江省齐齐哈尔市甘南县</t>
        </is>
      </c>
    </row>
    <row r="10848">
      <c r="B10848" s="41" t="inlineStr">
        <is>
          <t>AreaCode</t>
        </is>
      </c>
      <c r="C10848" s="129" t="inlineStr">
        <is>
          <t>地区代码</t>
        </is>
      </c>
      <c r="D10848" s="21" t="n">
        <v>230227</v>
      </c>
      <c r="E10848" s="21" t="inlineStr">
        <is>
          <t>黑龙江省齐齐哈尔市富裕县</t>
        </is>
      </c>
    </row>
    <row r="10849">
      <c r="B10849" s="41" t="inlineStr">
        <is>
          <t>AreaCode</t>
        </is>
      </c>
      <c r="C10849" s="129" t="inlineStr">
        <is>
          <t>地区代码</t>
        </is>
      </c>
      <c r="D10849" s="21" t="n">
        <v>230229</v>
      </c>
      <c r="E10849" s="21" t="inlineStr">
        <is>
          <t>黑龙江省齐齐哈尔市克山县</t>
        </is>
      </c>
    </row>
    <row r="10850">
      <c r="B10850" s="41" t="inlineStr">
        <is>
          <t>AreaCode</t>
        </is>
      </c>
      <c r="C10850" s="129" t="inlineStr">
        <is>
          <t>地区代码</t>
        </is>
      </c>
      <c r="D10850" s="21" t="n">
        <v>230230</v>
      </c>
      <c r="E10850" s="21" t="inlineStr">
        <is>
          <t>黑龙江省齐齐哈尔市克东县</t>
        </is>
      </c>
    </row>
    <row r="10851">
      <c r="B10851" s="41" t="inlineStr">
        <is>
          <t>AreaCode</t>
        </is>
      </c>
      <c r="C10851" s="129" t="inlineStr">
        <is>
          <t>地区代码</t>
        </is>
      </c>
      <c r="D10851" s="21" t="n">
        <v>230231</v>
      </c>
      <c r="E10851" s="21" t="inlineStr">
        <is>
          <t>黑龙江省齐齐哈尔市拜泉县</t>
        </is>
      </c>
    </row>
    <row r="10852">
      <c r="B10852" s="41" t="inlineStr">
        <is>
          <t>AreaCode</t>
        </is>
      </c>
      <c r="C10852" s="129" t="inlineStr">
        <is>
          <t>地区代码</t>
        </is>
      </c>
      <c r="D10852" s="21" t="n">
        <v>230281</v>
      </c>
      <c r="E10852" s="21" t="inlineStr">
        <is>
          <t>黑龙江省齐齐哈尔市讷河市</t>
        </is>
      </c>
    </row>
    <row r="10853">
      <c r="B10853" s="41" t="inlineStr">
        <is>
          <t>AreaCode</t>
        </is>
      </c>
      <c r="C10853" s="129" t="inlineStr">
        <is>
          <t>地区代码</t>
        </is>
      </c>
      <c r="D10853" s="21" t="n">
        <v>230300</v>
      </c>
      <c r="E10853" s="21" t="inlineStr">
        <is>
          <t>黑龙江省鸡西市</t>
        </is>
      </c>
    </row>
    <row r="10854">
      <c r="B10854" s="41" t="inlineStr">
        <is>
          <t>AreaCode</t>
        </is>
      </c>
      <c r="C10854" s="129" t="inlineStr">
        <is>
          <t>地区代码</t>
        </is>
      </c>
      <c r="D10854" s="21" t="n">
        <v>230301</v>
      </c>
      <c r="E10854" s="21" t="inlineStr">
        <is>
          <t>黑龙江省鸡西市市辖区</t>
        </is>
      </c>
    </row>
    <row r="10855">
      <c r="B10855" s="41" t="inlineStr">
        <is>
          <t>AreaCode</t>
        </is>
      </c>
      <c r="C10855" s="129" t="inlineStr">
        <is>
          <t>地区代码</t>
        </is>
      </c>
      <c r="D10855" s="21" t="n">
        <v>230302</v>
      </c>
      <c r="E10855" s="21" t="inlineStr">
        <is>
          <t>黑龙江省鸡西市鸡冠区</t>
        </is>
      </c>
    </row>
    <row r="10856">
      <c r="B10856" s="41" t="inlineStr">
        <is>
          <t>AreaCode</t>
        </is>
      </c>
      <c r="C10856" s="129" t="inlineStr">
        <is>
          <t>地区代码</t>
        </is>
      </c>
      <c r="D10856" s="21" t="n">
        <v>230303</v>
      </c>
      <c r="E10856" s="21" t="inlineStr">
        <is>
          <t>黑龙江省鸡西市恒山区</t>
        </is>
      </c>
    </row>
    <row r="10857">
      <c r="B10857" s="41" t="inlineStr">
        <is>
          <t>AreaCode</t>
        </is>
      </c>
      <c r="C10857" s="129" t="inlineStr">
        <is>
          <t>地区代码</t>
        </is>
      </c>
      <c r="D10857" s="21" t="n">
        <v>230304</v>
      </c>
      <c r="E10857" s="21" t="inlineStr">
        <is>
          <t>黑龙江省鸡西市滴道区</t>
        </is>
      </c>
    </row>
    <row r="10858">
      <c r="B10858" s="41" t="inlineStr">
        <is>
          <t>AreaCode</t>
        </is>
      </c>
      <c r="C10858" s="129" t="inlineStr">
        <is>
          <t>地区代码</t>
        </is>
      </c>
      <c r="D10858" s="21" t="n">
        <v>230305</v>
      </c>
      <c r="E10858" s="21" t="inlineStr">
        <is>
          <t>黑龙江省鸡西市梨树区</t>
        </is>
      </c>
    </row>
    <row r="10859">
      <c r="B10859" s="41" t="inlineStr">
        <is>
          <t>AreaCode</t>
        </is>
      </c>
      <c r="C10859" s="129" t="inlineStr">
        <is>
          <t>地区代码</t>
        </is>
      </c>
      <c r="D10859" s="21" t="n">
        <v>230306</v>
      </c>
      <c r="E10859" s="21" t="inlineStr">
        <is>
          <t>黑龙江省鸡西市城子河区</t>
        </is>
      </c>
    </row>
    <row r="10860">
      <c r="B10860" s="41" t="inlineStr">
        <is>
          <t>AreaCode</t>
        </is>
      </c>
      <c r="C10860" s="129" t="inlineStr">
        <is>
          <t>地区代码</t>
        </is>
      </c>
      <c r="D10860" s="21" t="n">
        <v>230307</v>
      </c>
      <c r="E10860" s="21" t="inlineStr">
        <is>
          <t>黑龙江省鸡西市麻山区</t>
        </is>
      </c>
    </row>
    <row r="10861">
      <c r="B10861" s="41" t="inlineStr">
        <is>
          <t>AreaCode</t>
        </is>
      </c>
      <c r="C10861" s="129" t="inlineStr">
        <is>
          <t>地区代码</t>
        </is>
      </c>
      <c r="D10861" s="21" t="n">
        <v>230321</v>
      </c>
      <c r="E10861" s="21" t="inlineStr">
        <is>
          <t>黑龙江省鸡西市鸡东县</t>
        </is>
      </c>
    </row>
    <row r="10862">
      <c r="B10862" s="41" t="inlineStr">
        <is>
          <t>AreaCode</t>
        </is>
      </c>
      <c r="C10862" s="129" t="inlineStr">
        <is>
          <t>地区代码</t>
        </is>
      </c>
      <c r="D10862" s="21" t="n">
        <v>230381</v>
      </c>
      <c r="E10862" s="21" t="inlineStr">
        <is>
          <t>黑龙江省鸡西市虎林市</t>
        </is>
      </c>
    </row>
    <row r="10863">
      <c r="B10863" s="41" t="inlineStr">
        <is>
          <t>AreaCode</t>
        </is>
      </c>
      <c r="C10863" s="129" t="inlineStr">
        <is>
          <t>地区代码</t>
        </is>
      </c>
      <c r="D10863" s="21" t="n">
        <v>230382</v>
      </c>
      <c r="E10863" s="21" t="inlineStr">
        <is>
          <t>黑龙江省鸡西市密山市</t>
        </is>
      </c>
    </row>
    <row r="10864">
      <c r="B10864" s="41" t="inlineStr">
        <is>
          <t>AreaCode</t>
        </is>
      </c>
      <c r="C10864" s="129" t="inlineStr">
        <is>
          <t>地区代码</t>
        </is>
      </c>
      <c r="D10864" s="21" t="n">
        <v>230400</v>
      </c>
      <c r="E10864" s="21" t="inlineStr">
        <is>
          <t>黑龙江省鹤岗市</t>
        </is>
      </c>
    </row>
    <row r="10865">
      <c r="B10865" s="41" t="inlineStr">
        <is>
          <t>AreaCode</t>
        </is>
      </c>
      <c r="C10865" s="129" t="inlineStr">
        <is>
          <t>地区代码</t>
        </is>
      </c>
      <c r="D10865" s="21" t="n">
        <v>230401</v>
      </c>
      <c r="E10865" s="21" t="inlineStr">
        <is>
          <t>黑龙江省鹤岗市市辖区</t>
        </is>
      </c>
    </row>
    <row r="10866">
      <c r="B10866" s="41" t="inlineStr">
        <is>
          <t>AreaCode</t>
        </is>
      </c>
      <c r="C10866" s="129" t="inlineStr">
        <is>
          <t>地区代码</t>
        </is>
      </c>
      <c r="D10866" s="21" t="n">
        <v>230402</v>
      </c>
      <c r="E10866" s="21" t="inlineStr">
        <is>
          <t>黑龙江省鹤岗市向阳区</t>
        </is>
      </c>
    </row>
    <row r="10867">
      <c r="B10867" s="41" t="inlineStr">
        <is>
          <t>AreaCode</t>
        </is>
      </c>
      <c r="C10867" s="129" t="inlineStr">
        <is>
          <t>地区代码</t>
        </is>
      </c>
      <c r="D10867" s="21" t="n">
        <v>230403</v>
      </c>
      <c r="E10867" s="21" t="inlineStr">
        <is>
          <t>黑龙江省鹤岗市工农区</t>
        </is>
      </c>
    </row>
    <row r="10868">
      <c r="B10868" s="41" t="inlineStr">
        <is>
          <t>AreaCode</t>
        </is>
      </c>
      <c r="C10868" s="129" t="inlineStr">
        <is>
          <t>地区代码</t>
        </is>
      </c>
      <c r="D10868" s="21" t="n">
        <v>230404</v>
      </c>
      <c r="E10868" s="21" t="inlineStr">
        <is>
          <t>黑龙江省鹤岗市南山区</t>
        </is>
      </c>
    </row>
    <row r="10869">
      <c r="B10869" s="41" t="inlineStr">
        <is>
          <t>AreaCode</t>
        </is>
      </c>
      <c r="C10869" s="129" t="inlineStr">
        <is>
          <t>地区代码</t>
        </is>
      </c>
      <c r="D10869" s="21" t="n">
        <v>230405</v>
      </c>
      <c r="E10869" s="21" t="inlineStr">
        <is>
          <t>黑龙江省鹤岗市兴安区</t>
        </is>
      </c>
    </row>
    <row r="10870">
      <c r="B10870" s="41" t="inlineStr">
        <is>
          <t>AreaCode</t>
        </is>
      </c>
      <c r="C10870" s="129" t="inlineStr">
        <is>
          <t>地区代码</t>
        </is>
      </c>
      <c r="D10870" s="21" t="n">
        <v>230406</v>
      </c>
      <c r="E10870" s="21" t="inlineStr">
        <is>
          <t>黑龙江省鹤岗市东山区</t>
        </is>
      </c>
    </row>
    <row r="10871">
      <c r="B10871" s="41" t="inlineStr">
        <is>
          <t>AreaCode</t>
        </is>
      </c>
      <c r="C10871" s="129" t="inlineStr">
        <is>
          <t>地区代码</t>
        </is>
      </c>
      <c r="D10871" s="21" t="n">
        <v>230407</v>
      </c>
      <c r="E10871" s="21" t="inlineStr">
        <is>
          <t>黑龙江省鹤岗市兴山区</t>
        </is>
      </c>
    </row>
    <row r="10872">
      <c r="B10872" s="41" t="inlineStr">
        <is>
          <t>AreaCode</t>
        </is>
      </c>
      <c r="C10872" s="129" t="inlineStr">
        <is>
          <t>地区代码</t>
        </is>
      </c>
      <c r="D10872" s="21" t="n">
        <v>230421</v>
      </c>
      <c r="E10872" s="21" t="inlineStr">
        <is>
          <t>黑龙江省鹤岗市萝北县</t>
        </is>
      </c>
    </row>
    <row r="10873">
      <c r="B10873" s="41" t="inlineStr">
        <is>
          <t>AreaCode</t>
        </is>
      </c>
      <c r="C10873" s="129" t="inlineStr">
        <is>
          <t>地区代码</t>
        </is>
      </c>
      <c r="D10873" s="21" t="n">
        <v>230422</v>
      </c>
      <c r="E10873" s="21" t="inlineStr">
        <is>
          <t>黑龙江省鹤岗市绥滨县</t>
        </is>
      </c>
    </row>
    <row r="10874">
      <c r="B10874" s="41" t="inlineStr">
        <is>
          <t>AreaCode</t>
        </is>
      </c>
      <c r="C10874" s="129" t="inlineStr">
        <is>
          <t>地区代码</t>
        </is>
      </c>
      <c r="D10874" s="21" t="n">
        <v>230500</v>
      </c>
      <c r="E10874" s="21" t="inlineStr">
        <is>
          <t>黑龙江省双鸭山市</t>
        </is>
      </c>
    </row>
    <row r="10875">
      <c r="B10875" s="41" t="inlineStr">
        <is>
          <t>AreaCode</t>
        </is>
      </c>
      <c r="C10875" s="129" t="inlineStr">
        <is>
          <t>地区代码</t>
        </is>
      </c>
      <c r="D10875" s="21" t="n">
        <v>230501</v>
      </c>
      <c r="E10875" s="21" t="inlineStr">
        <is>
          <t>黑龙江省双鸭山市市辖区</t>
        </is>
      </c>
    </row>
    <row r="10876">
      <c r="B10876" s="41" t="inlineStr">
        <is>
          <t>AreaCode</t>
        </is>
      </c>
      <c r="C10876" s="129" t="inlineStr">
        <is>
          <t>地区代码</t>
        </is>
      </c>
      <c r="D10876" s="21" t="n">
        <v>230502</v>
      </c>
      <c r="E10876" s="21" t="inlineStr">
        <is>
          <t>黑龙江省双鸭山市尖山区</t>
        </is>
      </c>
    </row>
    <row r="10877">
      <c r="B10877" s="41" t="inlineStr">
        <is>
          <t>AreaCode</t>
        </is>
      </c>
      <c r="C10877" s="129" t="inlineStr">
        <is>
          <t>地区代码</t>
        </is>
      </c>
      <c r="D10877" s="21" t="n">
        <v>230503</v>
      </c>
      <c r="E10877" s="21" t="inlineStr">
        <is>
          <t>黑龙江省双鸭山市岭东区</t>
        </is>
      </c>
    </row>
    <row r="10878">
      <c r="B10878" s="41" t="inlineStr">
        <is>
          <t>AreaCode</t>
        </is>
      </c>
      <c r="C10878" s="129" t="inlineStr">
        <is>
          <t>地区代码</t>
        </is>
      </c>
      <c r="D10878" s="21" t="n">
        <v>230505</v>
      </c>
      <c r="E10878" s="21" t="inlineStr">
        <is>
          <t>黑龙江省双鸭山市四方台区</t>
        </is>
      </c>
    </row>
    <row r="10879">
      <c r="B10879" s="41" t="inlineStr">
        <is>
          <t>AreaCode</t>
        </is>
      </c>
      <c r="C10879" s="129" t="inlineStr">
        <is>
          <t>地区代码</t>
        </is>
      </c>
      <c r="D10879" s="21" t="n">
        <v>230506</v>
      </c>
      <c r="E10879" s="21" t="inlineStr">
        <is>
          <t>黑龙江省双鸭山市宝山区</t>
        </is>
      </c>
    </row>
    <row r="10880">
      <c r="B10880" s="41" t="inlineStr">
        <is>
          <t>AreaCode</t>
        </is>
      </c>
      <c r="C10880" s="129" t="inlineStr">
        <is>
          <t>地区代码</t>
        </is>
      </c>
      <c r="D10880" s="21" t="n">
        <v>230521</v>
      </c>
      <c r="E10880" s="21" t="inlineStr">
        <is>
          <t>黑龙江省双鸭山市集贤县</t>
        </is>
      </c>
    </row>
    <row r="10881">
      <c r="B10881" s="41" t="inlineStr">
        <is>
          <t>AreaCode</t>
        </is>
      </c>
      <c r="C10881" s="129" t="inlineStr">
        <is>
          <t>地区代码</t>
        </is>
      </c>
      <c r="D10881" s="21" t="n">
        <v>230522</v>
      </c>
      <c r="E10881" s="21" t="inlineStr">
        <is>
          <t>黑龙江省双鸭山市友谊县</t>
        </is>
      </c>
    </row>
    <row r="10882">
      <c r="B10882" s="41" t="inlineStr">
        <is>
          <t>AreaCode</t>
        </is>
      </c>
      <c r="C10882" s="129" t="inlineStr">
        <is>
          <t>地区代码</t>
        </is>
      </c>
      <c r="D10882" s="21" t="n">
        <v>230523</v>
      </c>
      <c r="E10882" s="21" t="inlineStr">
        <is>
          <t>黑龙江省双鸭山市宝清县</t>
        </is>
      </c>
    </row>
    <row r="10883">
      <c r="B10883" s="41" t="inlineStr">
        <is>
          <t>AreaCode</t>
        </is>
      </c>
      <c r="C10883" s="129" t="inlineStr">
        <is>
          <t>地区代码</t>
        </is>
      </c>
      <c r="D10883" s="21" t="n">
        <v>230524</v>
      </c>
      <c r="E10883" s="21" t="inlineStr">
        <is>
          <t>黑龙江省双鸭山市饶河县</t>
        </is>
      </c>
    </row>
    <row r="10884">
      <c r="B10884" s="41" t="inlineStr">
        <is>
          <t>AreaCode</t>
        </is>
      </c>
      <c r="C10884" s="129" t="inlineStr">
        <is>
          <t>地区代码</t>
        </is>
      </c>
      <c r="D10884" s="21" t="n">
        <v>230600</v>
      </c>
      <c r="E10884" s="21" t="inlineStr">
        <is>
          <t>黑龙江省大庆市</t>
        </is>
      </c>
    </row>
    <row r="10885">
      <c r="B10885" s="41" t="inlineStr">
        <is>
          <t>AreaCode</t>
        </is>
      </c>
      <c r="C10885" s="129" t="inlineStr">
        <is>
          <t>地区代码</t>
        </is>
      </c>
      <c r="D10885" s="21" t="n">
        <v>230601</v>
      </c>
      <c r="E10885" s="21" t="inlineStr">
        <is>
          <t>黑龙江省大庆市市辖区</t>
        </is>
      </c>
    </row>
    <row r="10886">
      <c r="B10886" s="41" t="inlineStr">
        <is>
          <t>AreaCode</t>
        </is>
      </c>
      <c r="C10886" s="129" t="inlineStr">
        <is>
          <t>地区代码</t>
        </is>
      </c>
      <c r="D10886" s="21" t="n">
        <v>230602</v>
      </c>
      <c r="E10886" s="21" t="inlineStr">
        <is>
          <t>黑龙江省大庆市萨尔图区</t>
        </is>
      </c>
    </row>
    <row r="10887">
      <c r="B10887" s="41" t="inlineStr">
        <is>
          <t>AreaCode</t>
        </is>
      </c>
      <c r="C10887" s="129" t="inlineStr">
        <is>
          <t>地区代码</t>
        </is>
      </c>
      <c r="D10887" s="21" t="n">
        <v>230603</v>
      </c>
      <c r="E10887" s="21" t="inlineStr">
        <is>
          <t>黑龙江省大庆市龙凤区</t>
        </is>
      </c>
    </row>
    <row r="10888">
      <c r="B10888" s="41" t="inlineStr">
        <is>
          <t>AreaCode</t>
        </is>
      </c>
      <c r="C10888" s="129" t="inlineStr">
        <is>
          <t>地区代码</t>
        </is>
      </c>
      <c r="D10888" s="21" t="n">
        <v>230604</v>
      </c>
      <c r="E10888" s="21" t="inlineStr">
        <is>
          <t>黑龙江省大庆市让胡路区</t>
        </is>
      </c>
    </row>
    <row r="10889">
      <c r="B10889" s="41" t="inlineStr">
        <is>
          <t>AreaCode</t>
        </is>
      </c>
      <c r="C10889" s="129" t="inlineStr">
        <is>
          <t>地区代码</t>
        </is>
      </c>
      <c r="D10889" s="21" t="n">
        <v>230605</v>
      </c>
      <c r="E10889" s="21" t="inlineStr">
        <is>
          <t>黑龙江省大庆市红岗区</t>
        </is>
      </c>
    </row>
    <row r="10890">
      <c r="B10890" s="41" t="inlineStr">
        <is>
          <t>AreaCode</t>
        </is>
      </c>
      <c r="C10890" s="129" t="inlineStr">
        <is>
          <t>地区代码</t>
        </is>
      </c>
      <c r="D10890" s="21" t="n">
        <v>230606</v>
      </c>
      <c r="E10890" s="21" t="inlineStr">
        <is>
          <t>黑龙江省大庆市大同区</t>
        </is>
      </c>
    </row>
    <row r="10891">
      <c r="B10891" s="41" t="inlineStr">
        <is>
          <t>AreaCode</t>
        </is>
      </c>
      <c r="C10891" s="129" t="inlineStr">
        <is>
          <t>地区代码</t>
        </is>
      </c>
      <c r="D10891" s="21" t="n">
        <v>230621</v>
      </c>
      <c r="E10891" s="21" t="inlineStr">
        <is>
          <t>黑龙江省大庆市肇州县</t>
        </is>
      </c>
    </row>
    <row r="10892">
      <c r="B10892" s="41" t="inlineStr">
        <is>
          <t>AreaCode</t>
        </is>
      </c>
      <c r="C10892" s="129" t="inlineStr">
        <is>
          <t>地区代码</t>
        </is>
      </c>
      <c r="D10892" s="21" t="n">
        <v>230622</v>
      </c>
      <c r="E10892" s="21" t="inlineStr">
        <is>
          <t>黑龙江省大庆市肇源县</t>
        </is>
      </c>
    </row>
    <row r="10893">
      <c r="B10893" s="41" t="inlineStr">
        <is>
          <t>AreaCode</t>
        </is>
      </c>
      <c r="C10893" s="129" t="inlineStr">
        <is>
          <t>地区代码</t>
        </is>
      </c>
      <c r="D10893" s="21" t="n">
        <v>230623</v>
      </c>
      <c r="E10893" s="21" t="inlineStr">
        <is>
          <t>黑龙江省大庆市林甸县</t>
        </is>
      </c>
    </row>
    <row r="10894">
      <c r="B10894" s="41" t="inlineStr">
        <is>
          <t>AreaCode</t>
        </is>
      </c>
      <c r="C10894" s="129" t="inlineStr">
        <is>
          <t>地区代码</t>
        </is>
      </c>
      <c r="D10894" s="21" t="n">
        <v>230624</v>
      </c>
      <c r="E10894" s="21" t="inlineStr">
        <is>
          <t>黑龙江省大庆市杜尔伯特蒙古族自治县</t>
        </is>
      </c>
    </row>
    <row r="10895">
      <c r="B10895" s="41" t="inlineStr">
        <is>
          <t>AreaCode</t>
        </is>
      </c>
      <c r="C10895" s="129" t="inlineStr">
        <is>
          <t>地区代码</t>
        </is>
      </c>
      <c r="D10895" s="21" t="n">
        <v>230700</v>
      </c>
      <c r="E10895" s="21" t="inlineStr">
        <is>
          <t>黑龙江省伊春市</t>
        </is>
      </c>
    </row>
    <row r="10896">
      <c r="B10896" s="41" t="inlineStr">
        <is>
          <t>AreaCode</t>
        </is>
      </c>
      <c r="C10896" s="129" t="inlineStr">
        <is>
          <t>地区代码</t>
        </is>
      </c>
      <c r="D10896" s="21" t="n">
        <v>230701</v>
      </c>
      <c r="E10896" s="21" t="inlineStr">
        <is>
          <t>黑龙江省伊春市市辖区</t>
        </is>
      </c>
    </row>
    <row r="10897">
      <c r="B10897" s="41" t="inlineStr">
        <is>
          <t>AreaCode</t>
        </is>
      </c>
      <c r="C10897" s="129" t="inlineStr">
        <is>
          <t>地区代码</t>
        </is>
      </c>
      <c r="D10897" s="21" t="n">
        <v>230702</v>
      </c>
      <c r="E10897" s="21" t="inlineStr">
        <is>
          <t>黑龙江省伊春市伊春区</t>
        </is>
      </c>
    </row>
    <row r="10898">
      <c r="B10898" s="41" t="inlineStr">
        <is>
          <t>AreaCode</t>
        </is>
      </c>
      <c r="C10898" s="129" t="inlineStr">
        <is>
          <t>地区代码</t>
        </is>
      </c>
      <c r="D10898" s="21" t="n">
        <v>230703</v>
      </c>
      <c r="E10898" s="21" t="inlineStr">
        <is>
          <t>黑龙江省伊春市南岔区</t>
        </is>
      </c>
    </row>
    <row r="10899">
      <c r="B10899" s="41" t="inlineStr">
        <is>
          <t>AreaCode</t>
        </is>
      </c>
      <c r="C10899" s="129" t="inlineStr">
        <is>
          <t>地区代码</t>
        </is>
      </c>
      <c r="D10899" s="21" t="n">
        <v>230704</v>
      </c>
      <c r="E10899" s="21" t="inlineStr">
        <is>
          <t>黑龙江省伊春市友好区</t>
        </is>
      </c>
    </row>
    <row r="10900">
      <c r="B10900" s="41" t="inlineStr">
        <is>
          <t>AreaCode</t>
        </is>
      </c>
      <c r="C10900" s="129" t="inlineStr">
        <is>
          <t>地区代码</t>
        </is>
      </c>
      <c r="D10900" s="21" t="n">
        <v>230705</v>
      </c>
      <c r="E10900" s="21" t="inlineStr">
        <is>
          <t>黑龙江省伊春市西林区</t>
        </is>
      </c>
    </row>
    <row r="10901">
      <c r="B10901" s="41" t="inlineStr">
        <is>
          <t>AreaCode</t>
        </is>
      </c>
      <c r="C10901" s="129" t="inlineStr">
        <is>
          <t>地区代码</t>
        </is>
      </c>
      <c r="D10901" s="21" t="n">
        <v>230706</v>
      </c>
      <c r="E10901" s="21" t="inlineStr">
        <is>
          <t>黑龙江省伊春市翠峦区</t>
        </is>
      </c>
    </row>
    <row r="10902">
      <c r="B10902" s="41" t="inlineStr">
        <is>
          <t>AreaCode</t>
        </is>
      </c>
      <c r="C10902" s="129" t="inlineStr">
        <is>
          <t>地区代码</t>
        </is>
      </c>
      <c r="D10902" s="21" t="n">
        <v>230707</v>
      </c>
      <c r="E10902" s="21" t="inlineStr">
        <is>
          <t>黑龙江省伊春市新青区</t>
        </is>
      </c>
    </row>
    <row r="10903">
      <c r="B10903" s="41" t="inlineStr">
        <is>
          <t>AreaCode</t>
        </is>
      </c>
      <c r="C10903" s="129" t="inlineStr">
        <is>
          <t>地区代码</t>
        </is>
      </c>
      <c r="D10903" s="21" t="n">
        <v>230708</v>
      </c>
      <c r="E10903" s="21" t="inlineStr">
        <is>
          <t>黑龙江省伊春市美溪区</t>
        </is>
      </c>
    </row>
    <row r="10904">
      <c r="B10904" s="41" t="inlineStr">
        <is>
          <t>AreaCode</t>
        </is>
      </c>
      <c r="C10904" s="129" t="inlineStr">
        <is>
          <t>地区代码</t>
        </is>
      </c>
      <c r="D10904" s="21" t="n">
        <v>230709</v>
      </c>
      <c r="E10904" s="21" t="inlineStr">
        <is>
          <t>黑龙江省伊春市金山屯区</t>
        </is>
      </c>
    </row>
    <row r="10905">
      <c r="B10905" s="41" t="inlineStr">
        <is>
          <t>AreaCode</t>
        </is>
      </c>
      <c r="C10905" s="129" t="inlineStr">
        <is>
          <t>地区代码</t>
        </is>
      </c>
      <c r="D10905" s="21" t="n">
        <v>230710</v>
      </c>
      <c r="E10905" s="21" t="inlineStr">
        <is>
          <t>黑龙江省伊春市五营区</t>
        </is>
      </c>
    </row>
    <row r="10906">
      <c r="B10906" s="41" t="inlineStr">
        <is>
          <t>AreaCode</t>
        </is>
      </c>
      <c r="C10906" s="129" t="inlineStr">
        <is>
          <t>地区代码</t>
        </is>
      </c>
      <c r="D10906" s="21" t="n">
        <v>230711</v>
      </c>
      <c r="E10906" s="21" t="inlineStr">
        <is>
          <t>黑龙江省伊春市乌马河区</t>
        </is>
      </c>
    </row>
    <row r="10907">
      <c r="B10907" s="41" t="inlineStr">
        <is>
          <t>AreaCode</t>
        </is>
      </c>
      <c r="C10907" s="129" t="inlineStr">
        <is>
          <t>地区代码</t>
        </is>
      </c>
      <c r="D10907" s="21" t="n">
        <v>230712</v>
      </c>
      <c r="E10907" s="21" t="inlineStr">
        <is>
          <t>黑龙江省伊春市汤旺河区</t>
        </is>
      </c>
    </row>
    <row r="10908">
      <c r="B10908" s="41" t="inlineStr">
        <is>
          <t>AreaCode</t>
        </is>
      </c>
      <c r="C10908" s="129" t="inlineStr">
        <is>
          <t>地区代码</t>
        </is>
      </c>
      <c r="D10908" s="21" t="n">
        <v>230713</v>
      </c>
      <c r="E10908" s="21" t="inlineStr">
        <is>
          <t>黑龙江省伊春市带岭区</t>
        </is>
      </c>
    </row>
    <row r="10909">
      <c r="B10909" s="41" t="inlineStr">
        <is>
          <t>AreaCode</t>
        </is>
      </c>
      <c r="C10909" s="129" t="inlineStr">
        <is>
          <t>地区代码</t>
        </is>
      </c>
      <c r="D10909" s="21" t="n">
        <v>230714</v>
      </c>
      <c r="E10909" s="21" t="inlineStr">
        <is>
          <t>黑龙江省伊春市乌伊岭区</t>
        </is>
      </c>
    </row>
    <row r="10910">
      <c r="B10910" s="41" t="inlineStr">
        <is>
          <t>AreaCode</t>
        </is>
      </c>
      <c r="C10910" s="129" t="inlineStr">
        <is>
          <t>地区代码</t>
        </is>
      </c>
      <c r="D10910" s="21" t="n">
        <v>230715</v>
      </c>
      <c r="E10910" s="21" t="inlineStr">
        <is>
          <t>黑龙江省伊春市红星区</t>
        </is>
      </c>
    </row>
    <row r="10911">
      <c r="B10911" s="41" t="inlineStr">
        <is>
          <t>AreaCode</t>
        </is>
      </c>
      <c r="C10911" s="129" t="inlineStr">
        <is>
          <t>地区代码</t>
        </is>
      </c>
      <c r="D10911" s="21" t="n">
        <v>230716</v>
      </c>
      <c r="E10911" s="21" t="inlineStr">
        <is>
          <t>黑龙江省伊春市上甘岭区</t>
        </is>
      </c>
    </row>
    <row r="10912">
      <c r="B10912" s="41" t="inlineStr">
        <is>
          <t>AreaCode</t>
        </is>
      </c>
      <c r="C10912" s="129" t="inlineStr">
        <is>
          <t>地区代码</t>
        </is>
      </c>
      <c r="D10912" s="21" t="n">
        <v>230722</v>
      </c>
      <c r="E10912" s="21" t="inlineStr">
        <is>
          <t>黑龙江省伊春市嘉荫县</t>
        </is>
      </c>
    </row>
    <row r="10913">
      <c r="B10913" s="41" t="inlineStr">
        <is>
          <t>AreaCode</t>
        </is>
      </c>
      <c r="C10913" s="129" t="inlineStr">
        <is>
          <t>地区代码</t>
        </is>
      </c>
      <c r="D10913" s="21" t="n">
        <v>230781</v>
      </c>
      <c r="E10913" s="21" t="inlineStr">
        <is>
          <t>黑龙江省伊春市铁力市</t>
        </is>
      </c>
    </row>
    <row r="10914">
      <c r="B10914" s="41" t="inlineStr">
        <is>
          <t>AreaCode</t>
        </is>
      </c>
      <c r="C10914" s="129" t="inlineStr">
        <is>
          <t>地区代码</t>
        </is>
      </c>
      <c r="D10914" s="21" t="n">
        <v>230800</v>
      </c>
      <c r="E10914" s="21" t="inlineStr">
        <is>
          <t>黑龙江省佳木斯市</t>
        </is>
      </c>
    </row>
    <row r="10915">
      <c r="B10915" s="41" t="inlineStr">
        <is>
          <t>AreaCode</t>
        </is>
      </c>
      <c r="C10915" s="129" t="inlineStr">
        <is>
          <t>地区代码</t>
        </is>
      </c>
      <c r="D10915" s="21" t="n">
        <v>230801</v>
      </c>
      <c r="E10915" s="21" t="inlineStr">
        <is>
          <t>黑龙江省佳木斯市市辖区</t>
        </is>
      </c>
    </row>
    <row r="10916">
      <c r="B10916" s="41" t="inlineStr">
        <is>
          <t>AreaCode</t>
        </is>
      </c>
      <c r="C10916" s="129" t="inlineStr">
        <is>
          <t>地区代码</t>
        </is>
      </c>
      <c r="D10916" s="21" t="n">
        <v>230803</v>
      </c>
      <c r="E10916" s="21" t="inlineStr">
        <is>
          <t>黑龙江省佳木斯市向阳区</t>
        </is>
      </c>
    </row>
    <row r="10917">
      <c r="B10917" s="41" t="inlineStr">
        <is>
          <t>AreaCode</t>
        </is>
      </c>
      <c r="C10917" s="129" t="inlineStr">
        <is>
          <t>地区代码</t>
        </is>
      </c>
      <c r="D10917" s="21" t="n">
        <v>230804</v>
      </c>
      <c r="E10917" s="21" t="inlineStr">
        <is>
          <t>黑龙江省佳木斯市前进区</t>
        </is>
      </c>
    </row>
    <row r="10918">
      <c r="B10918" s="41" t="inlineStr">
        <is>
          <t>AreaCode</t>
        </is>
      </c>
      <c r="C10918" s="129" t="inlineStr">
        <is>
          <t>地区代码</t>
        </is>
      </c>
      <c r="D10918" s="21" t="n">
        <v>230805</v>
      </c>
      <c r="E10918" s="21" t="inlineStr">
        <is>
          <t>黑龙江省佳木斯市东风区</t>
        </is>
      </c>
    </row>
    <row r="10919">
      <c r="B10919" s="41" t="inlineStr">
        <is>
          <t>AreaCode</t>
        </is>
      </c>
      <c r="C10919" s="129" t="inlineStr">
        <is>
          <t>地区代码</t>
        </is>
      </c>
      <c r="D10919" s="21" t="n">
        <v>230811</v>
      </c>
      <c r="E10919" s="21" t="inlineStr">
        <is>
          <t>黑龙江省佳木斯市郊区</t>
        </is>
      </c>
    </row>
    <row r="10920">
      <c r="B10920" s="41" t="inlineStr">
        <is>
          <t>AreaCode</t>
        </is>
      </c>
      <c r="C10920" s="129" t="inlineStr">
        <is>
          <t>地区代码</t>
        </is>
      </c>
      <c r="D10920" s="21" t="n">
        <v>230822</v>
      </c>
      <c r="E10920" s="21" t="inlineStr">
        <is>
          <t>黑龙江省佳木斯市桦南县</t>
        </is>
      </c>
    </row>
    <row r="10921">
      <c r="B10921" s="41" t="inlineStr">
        <is>
          <t>AreaCode</t>
        </is>
      </c>
      <c r="C10921" s="129" t="inlineStr">
        <is>
          <t>地区代码</t>
        </is>
      </c>
      <c r="D10921" s="21" t="n">
        <v>230826</v>
      </c>
      <c r="E10921" s="21" t="inlineStr">
        <is>
          <t>黑龙江省佳木斯市桦川县</t>
        </is>
      </c>
    </row>
    <row r="10922">
      <c r="B10922" s="41" t="inlineStr">
        <is>
          <t>AreaCode</t>
        </is>
      </c>
      <c r="C10922" s="129" t="inlineStr">
        <is>
          <t>地区代码</t>
        </is>
      </c>
      <c r="D10922" s="21" t="n">
        <v>230828</v>
      </c>
      <c r="E10922" s="21" t="inlineStr">
        <is>
          <t>黑龙江省佳木斯市汤原县</t>
        </is>
      </c>
    </row>
    <row r="10923">
      <c r="B10923" s="41" t="inlineStr">
        <is>
          <t>AreaCode</t>
        </is>
      </c>
      <c r="C10923" s="129" t="inlineStr">
        <is>
          <t>地区代码</t>
        </is>
      </c>
      <c r="D10923" s="21" t="n">
        <v>230833</v>
      </c>
      <c r="E10923" s="21" t="inlineStr">
        <is>
          <t>黑龙江省佳木斯市抚远县</t>
        </is>
      </c>
    </row>
    <row r="10924">
      <c r="B10924" s="41" t="inlineStr">
        <is>
          <t>AreaCode</t>
        </is>
      </c>
      <c r="C10924" s="129" t="inlineStr">
        <is>
          <t>地区代码</t>
        </is>
      </c>
      <c r="D10924" s="21" t="n">
        <v>230881</v>
      </c>
      <c r="E10924" s="21" t="inlineStr">
        <is>
          <t>黑龙江省佳木斯市同江市</t>
        </is>
      </c>
    </row>
    <row r="10925">
      <c r="B10925" s="41" t="inlineStr">
        <is>
          <t>AreaCode</t>
        </is>
      </c>
      <c r="C10925" s="129" t="inlineStr">
        <is>
          <t>地区代码</t>
        </is>
      </c>
      <c r="D10925" s="21" t="n">
        <v>230882</v>
      </c>
      <c r="E10925" s="21" t="inlineStr">
        <is>
          <t>黑龙江省佳木斯市富锦市</t>
        </is>
      </c>
    </row>
    <row r="10926">
      <c r="B10926" s="41" t="inlineStr">
        <is>
          <t>AreaCode</t>
        </is>
      </c>
      <c r="C10926" s="129" t="inlineStr">
        <is>
          <t>地区代码</t>
        </is>
      </c>
      <c r="D10926" s="21" t="n">
        <v>230900</v>
      </c>
      <c r="E10926" s="21" t="inlineStr">
        <is>
          <t>黑龙江省七台河市</t>
        </is>
      </c>
    </row>
    <row r="10927">
      <c r="B10927" s="41" t="inlineStr">
        <is>
          <t>AreaCode</t>
        </is>
      </c>
      <c r="C10927" s="129" t="inlineStr">
        <is>
          <t>地区代码</t>
        </is>
      </c>
      <c r="D10927" s="21" t="n">
        <v>230901</v>
      </c>
      <c r="E10927" s="21" t="inlineStr">
        <is>
          <t>黑龙江省七台河市市辖区</t>
        </is>
      </c>
    </row>
    <row r="10928">
      <c r="B10928" s="41" t="inlineStr">
        <is>
          <t>AreaCode</t>
        </is>
      </c>
      <c r="C10928" s="129" t="inlineStr">
        <is>
          <t>地区代码</t>
        </is>
      </c>
      <c r="D10928" s="21" t="n">
        <v>230902</v>
      </c>
      <c r="E10928" s="21" t="inlineStr">
        <is>
          <t>黑龙江省七台河市新兴区</t>
        </is>
      </c>
    </row>
    <row r="10929">
      <c r="B10929" s="41" t="inlineStr">
        <is>
          <t>AreaCode</t>
        </is>
      </c>
      <c r="C10929" s="129" t="inlineStr">
        <is>
          <t>地区代码</t>
        </is>
      </c>
      <c r="D10929" s="21" t="n">
        <v>230903</v>
      </c>
      <c r="E10929" s="21" t="inlineStr">
        <is>
          <t>黑龙江省七台河市桃山区</t>
        </is>
      </c>
    </row>
    <row r="10930">
      <c r="B10930" s="41" t="inlineStr">
        <is>
          <t>AreaCode</t>
        </is>
      </c>
      <c r="C10930" s="129" t="inlineStr">
        <is>
          <t>地区代码</t>
        </is>
      </c>
      <c r="D10930" s="21" t="n">
        <v>230904</v>
      </c>
      <c r="E10930" s="21" t="inlineStr">
        <is>
          <t>黑龙江省七台河市茄子河区</t>
        </is>
      </c>
    </row>
    <row r="10931">
      <c r="B10931" s="41" t="inlineStr">
        <is>
          <t>AreaCode</t>
        </is>
      </c>
      <c r="C10931" s="129" t="inlineStr">
        <is>
          <t>地区代码</t>
        </is>
      </c>
      <c r="D10931" s="21" t="n">
        <v>230921</v>
      </c>
      <c r="E10931" s="21" t="inlineStr">
        <is>
          <t>黑龙江省七台河市勃利县</t>
        </is>
      </c>
    </row>
    <row r="10932">
      <c r="B10932" s="41" t="inlineStr">
        <is>
          <t>AreaCode</t>
        </is>
      </c>
      <c r="C10932" s="129" t="inlineStr">
        <is>
          <t>地区代码</t>
        </is>
      </c>
      <c r="D10932" s="21" t="n">
        <v>231000</v>
      </c>
      <c r="E10932" s="21" t="inlineStr">
        <is>
          <t>黑龙江省牡丹江市</t>
        </is>
      </c>
    </row>
    <row r="10933">
      <c r="B10933" s="41" t="inlineStr">
        <is>
          <t>AreaCode</t>
        </is>
      </c>
      <c r="C10933" s="129" t="inlineStr">
        <is>
          <t>地区代码</t>
        </is>
      </c>
      <c r="D10933" s="21" t="n">
        <v>231001</v>
      </c>
      <c r="E10933" s="21" t="inlineStr">
        <is>
          <t>黑龙江省牡丹江市市辖区</t>
        </is>
      </c>
    </row>
    <row r="10934">
      <c r="B10934" s="41" t="inlineStr">
        <is>
          <t>AreaCode</t>
        </is>
      </c>
      <c r="C10934" s="129" t="inlineStr">
        <is>
          <t>地区代码</t>
        </is>
      </c>
      <c r="D10934" s="21" t="n">
        <v>231002</v>
      </c>
      <c r="E10934" s="21" t="inlineStr">
        <is>
          <t>黑龙江省牡丹江市东安区</t>
        </is>
      </c>
    </row>
    <row r="10935">
      <c r="B10935" s="41" t="inlineStr">
        <is>
          <t>AreaCode</t>
        </is>
      </c>
      <c r="C10935" s="129" t="inlineStr">
        <is>
          <t>地区代码</t>
        </is>
      </c>
      <c r="D10935" s="21" t="n">
        <v>231003</v>
      </c>
      <c r="E10935" s="21" t="inlineStr">
        <is>
          <t>黑龙江省牡丹江市阳明区</t>
        </is>
      </c>
    </row>
    <row r="10936">
      <c r="B10936" s="41" t="inlineStr">
        <is>
          <t>AreaCode</t>
        </is>
      </c>
      <c r="C10936" s="129" t="inlineStr">
        <is>
          <t>地区代码</t>
        </is>
      </c>
      <c r="D10936" s="21" t="n">
        <v>231004</v>
      </c>
      <c r="E10936" s="21" t="inlineStr">
        <is>
          <t>黑龙江省牡丹江市爱民区</t>
        </is>
      </c>
    </row>
    <row r="10937">
      <c r="B10937" s="41" t="inlineStr">
        <is>
          <t>AreaCode</t>
        </is>
      </c>
      <c r="C10937" s="129" t="inlineStr">
        <is>
          <t>地区代码</t>
        </is>
      </c>
      <c r="D10937" s="21" t="n">
        <v>231005</v>
      </c>
      <c r="E10937" s="21" t="inlineStr">
        <is>
          <t>黑龙江省牡丹江市西安区</t>
        </is>
      </c>
    </row>
    <row r="10938">
      <c r="B10938" s="41" t="inlineStr">
        <is>
          <t>AreaCode</t>
        </is>
      </c>
      <c r="C10938" s="129" t="inlineStr">
        <is>
          <t>地区代码</t>
        </is>
      </c>
      <c r="D10938" s="21" t="n">
        <v>231024</v>
      </c>
      <c r="E10938" s="21" t="inlineStr">
        <is>
          <t>黑龙江省牡丹江市东宁县</t>
        </is>
      </c>
    </row>
    <row r="10939">
      <c r="B10939" s="41" t="inlineStr">
        <is>
          <t>AreaCode</t>
        </is>
      </c>
      <c r="C10939" s="129" t="inlineStr">
        <is>
          <t>地区代码</t>
        </is>
      </c>
      <c r="D10939" s="21" t="n">
        <v>231025</v>
      </c>
      <c r="E10939" s="21" t="inlineStr">
        <is>
          <t>黑龙江省牡丹江市林口县</t>
        </is>
      </c>
    </row>
    <row r="10940">
      <c r="B10940" s="41" t="inlineStr">
        <is>
          <t>AreaCode</t>
        </is>
      </c>
      <c r="C10940" s="129" t="inlineStr">
        <is>
          <t>地区代码</t>
        </is>
      </c>
      <c r="D10940" s="21" t="n">
        <v>231081</v>
      </c>
      <c r="E10940" s="21" t="inlineStr">
        <is>
          <t>黑龙江省牡丹江市绥芬河市</t>
        </is>
      </c>
    </row>
    <row r="10941">
      <c r="B10941" s="41" t="inlineStr">
        <is>
          <t>AreaCode</t>
        </is>
      </c>
      <c r="C10941" s="129" t="inlineStr">
        <is>
          <t>地区代码</t>
        </is>
      </c>
      <c r="D10941" s="21" t="n">
        <v>231083</v>
      </c>
      <c r="E10941" s="21" t="inlineStr">
        <is>
          <t>黑龙江省牡丹江市海林市</t>
        </is>
      </c>
    </row>
    <row r="10942">
      <c r="B10942" s="41" t="inlineStr">
        <is>
          <t>AreaCode</t>
        </is>
      </c>
      <c r="C10942" s="129" t="inlineStr">
        <is>
          <t>地区代码</t>
        </is>
      </c>
      <c r="D10942" s="21" t="n">
        <v>231084</v>
      </c>
      <c r="E10942" s="21" t="inlineStr">
        <is>
          <t>黑龙江省牡丹江市宁安市</t>
        </is>
      </c>
    </row>
    <row r="10943">
      <c r="B10943" s="41" t="inlineStr">
        <is>
          <t>AreaCode</t>
        </is>
      </c>
      <c r="C10943" s="129" t="inlineStr">
        <is>
          <t>地区代码</t>
        </is>
      </c>
      <c r="D10943" s="21" t="n">
        <v>231085</v>
      </c>
      <c r="E10943" s="21" t="inlineStr">
        <is>
          <t>黑龙江省牡丹江市穆棱市</t>
        </is>
      </c>
    </row>
    <row r="10944">
      <c r="B10944" s="41" t="inlineStr">
        <is>
          <t>AreaCode</t>
        </is>
      </c>
      <c r="C10944" s="129" t="inlineStr">
        <is>
          <t>地区代码</t>
        </is>
      </c>
      <c r="D10944" s="21" t="n">
        <v>231100</v>
      </c>
      <c r="E10944" s="21" t="inlineStr">
        <is>
          <t>黑龙江省黑河市</t>
        </is>
      </c>
    </row>
    <row r="10945">
      <c r="B10945" s="41" t="inlineStr">
        <is>
          <t>AreaCode</t>
        </is>
      </c>
      <c r="C10945" s="129" t="inlineStr">
        <is>
          <t>地区代码</t>
        </is>
      </c>
      <c r="D10945" s="21" t="n">
        <v>231101</v>
      </c>
      <c r="E10945" s="21" t="inlineStr">
        <is>
          <t>黑龙江省黑河市市辖区</t>
        </is>
      </c>
    </row>
    <row r="10946">
      <c r="B10946" s="41" t="inlineStr">
        <is>
          <t>AreaCode</t>
        </is>
      </c>
      <c r="C10946" s="129" t="inlineStr">
        <is>
          <t>地区代码</t>
        </is>
      </c>
      <c r="D10946" s="21" t="n">
        <v>231102</v>
      </c>
      <c r="E10946" s="21" t="inlineStr">
        <is>
          <t>黑龙江省黑河市爱辉区</t>
        </is>
      </c>
    </row>
    <row r="10947">
      <c r="B10947" s="41" t="inlineStr">
        <is>
          <t>AreaCode</t>
        </is>
      </c>
      <c r="C10947" s="129" t="inlineStr">
        <is>
          <t>地区代码</t>
        </is>
      </c>
      <c r="D10947" s="21" t="n">
        <v>231121</v>
      </c>
      <c r="E10947" s="21" t="inlineStr">
        <is>
          <t>黑龙江省黑河市嫩江县</t>
        </is>
      </c>
    </row>
    <row r="10948">
      <c r="B10948" s="41" t="inlineStr">
        <is>
          <t>AreaCode</t>
        </is>
      </c>
      <c r="C10948" s="129" t="inlineStr">
        <is>
          <t>地区代码</t>
        </is>
      </c>
      <c r="D10948" s="21" t="n">
        <v>231123</v>
      </c>
      <c r="E10948" s="21" t="inlineStr">
        <is>
          <t>黑龙江省黑河市逊克县</t>
        </is>
      </c>
    </row>
    <row r="10949">
      <c r="B10949" s="41" t="inlineStr">
        <is>
          <t>AreaCode</t>
        </is>
      </c>
      <c r="C10949" s="129" t="inlineStr">
        <is>
          <t>地区代码</t>
        </is>
      </c>
      <c r="D10949" s="21" t="n">
        <v>231124</v>
      </c>
      <c r="E10949" s="21" t="inlineStr">
        <is>
          <t>黑龙江省黑河市孙吴县</t>
        </is>
      </c>
    </row>
    <row r="10950">
      <c r="B10950" s="41" t="inlineStr">
        <is>
          <t>AreaCode</t>
        </is>
      </c>
      <c r="C10950" s="129" t="inlineStr">
        <is>
          <t>地区代码</t>
        </is>
      </c>
      <c r="D10950" s="21" t="n">
        <v>231181</v>
      </c>
      <c r="E10950" s="21" t="inlineStr">
        <is>
          <t>黑龙江省黑河市北安市</t>
        </is>
      </c>
    </row>
    <row r="10951">
      <c r="B10951" s="41" t="inlineStr">
        <is>
          <t>AreaCode</t>
        </is>
      </c>
      <c r="C10951" s="129" t="inlineStr">
        <is>
          <t>地区代码</t>
        </is>
      </c>
      <c r="D10951" s="21" t="n">
        <v>231182</v>
      </c>
      <c r="E10951" s="21" t="inlineStr">
        <is>
          <t>黑龙江省黑河市五大连池市</t>
        </is>
      </c>
    </row>
    <row r="10952">
      <c r="B10952" s="41" t="inlineStr">
        <is>
          <t>AreaCode</t>
        </is>
      </c>
      <c r="C10952" s="129" t="inlineStr">
        <is>
          <t>地区代码</t>
        </is>
      </c>
      <c r="D10952" s="21" t="n">
        <v>231200</v>
      </c>
      <c r="E10952" s="21" t="inlineStr">
        <is>
          <t>黑龙江省绥化市</t>
        </is>
      </c>
    </row>
    <row r="10953">
      <c r="B10953" s="41" t="inlineStr">
        <is>
          <t>AreaCode</t>
        </is>
      </c>
      <c r="C10953" s="129" t="inlineStr">
        <is>
          <t>地区代码</t>
        </is>
      </c>
      <c r="D10953" s="21" t="n">
        <v>231201</v>
      </c>
      <c r="E10953" s="21" t="inlineStr">
        <is>
          <t>黑龙江省绥化市市辖区</t>
        </is>
      </c>
    </row>
    <row r="10954">
      <c r="B10954" s="41" t="inlineStr">
        <is>
          <t>AreaCode</t>
        </is>
      </c>
      <c r="C10954" s="129" t="inlineStr">
        <is>
          <t>地区代码</t>
        </is>
      </c>
      <c r="D10954" s="21" t="n">
        <v>231202</v>
      </c>
      <c r="E10954" s="21" t="inlineStr">
        <is>
          <t>黑龙江省绥化市北林区</t>
        </is>
      </c>
    </row>
    <row r="10955">
      <c r="B10955" s="41" t="inlineStr">
        <is>
          <t>AreaCode</t>
        </is>
      </c>
      <c r="C10955" s="129" t="inlineStr">
        <is>
          <t>地区代码</t>
        </is>
      </c>
      <c r="D10955" s="21" t="n">
        <v>231221</v>
      </c>
      <c r="E10955" s="21" t="inlineStr">
        <is>
          <t>黑龙江省绥化市望奎县</t>
        </is>
      </c>
    </row>
    <row r="10956">
      <c r="B10956" s="41" t="inlineStr">
        <is>
          <t>AreaCode</t>
        </is>
      </c>
      <c r="C10956" s="129" t="inlineStr">
        <is>
          <t>地区代码</t>
        </is>
      </c>
      <c r="D10956" s="21" t="n">
        <v>231222</v>
      </c>
      <c r="E10956" s="21" t="inlineStr">
        <is>
          <t>黑龙江省绥化市兰西县</t>
        </is>
      </c>
    </row>
    <row r="10957">
      <c r="B10957" s="41" t="inlineStr">
        <is>
          <t>AreaCode</t>
        </is>
      </c>
      <c r="C10957" s="129" t="inlineStr">
        <is>
          <t>地区代码</t>
        </is>
      </c>
      <c r="D10957" s="21" t="n">
        <v>231223</v>
      </c>
      <c r="E10957" s="21" t="inlineStr">
        <is>
          <t>黑龙江省绥化市青冈县</t>
        </is>
      </c>
    </row>
    <row r="10958">
      <c r="B10958" s="41" t="inlineStr">
        <is>
          <t>AreaCode</t>
        </is>
      </c>
      <c r="C10958" s="129" t="inlineStr">
        <is>
          <t>地区代码</t>
        </is>
      </c>
      <c r="D10958" s="21" t="n">
        <v>231224</v>
      </c>
      <c r="E10958" s="21" t="inlineStr">
        <is>
          <t>黑龙江省绥化市庆安县</t>
        </is>
      </c>
    </row>
    <row r="10959">
      <c r="B10959" s="41" t="inlineStr">
        <is>
          <t>AreaCode</t>
        </is>
      </c>
      <c r="C10959" s="129" t="inlineStr">
        <is>
          <t>地区代码</t>
        </is>
      </c>
      <c r="D10959" s="21" t="n">
        <v>231225</v>
      </c>
      <c r="E10959" s="21" t="inlineStr">
        <is>
          <t>黑龙江省绥化市明水县</t>
        </is>
      </c>
    </row>
    <row r="10960">
      <c r="B10960" s="41" t="inlineStr">
        <is>
          <t>AreaCode</t>
        </is>
      </c>
      <c r="C10960" s="129" t="inlineStr">
        <is>
          <t>地区代码</t>
        </is>
      </c>
      <c r="D10960" s="21" t="n">
        <v>231226</v>
      </c>
      <c r="E10960" s="21" t="inlineStr">
        <is>
          <t>黑龙江省绥化市绥棱县</t>
        </is>
      </c>
    </row>
    <row r="10961">
      <c r="B10961" s="41" t="inlineStr">
        <is>
          <t>AreaCode</t>
        </is>
      </c>
      <c r="C10961" s="129" t="inlineStr">
        <is>
          <t>地区代码</t>
        </is>
      </c>
      <c r="D10961" s="21" t="n">
        <v>231281</v>
      </c>
      <c r="E10961" s="21" t="inlineStr">
        <is>
          <t>黑龙江省绥化市安达市</t>
        </is>
      </c>
    </row>
    <row r="10962">
      <c r="B10962" s="41" t="inlineStr">
        <is>
          <t>AreaCode</t>
        </is>
      </c>
      <c r="C10962" s="129" t="inlineStr">
        <is>
          <t>地区代码</t>
        </is>
      </c>
      <c r="D10962" s="21" t="n">
        <v>231282</v>
      </c>
      <c r="E10962" s="21" t="inlineStr">
        <is>
          <t>黑龙江省绥化市肇东市</t>
        </is>
      </c>
    </row>
    <row r="10963">
      <c r="B10963" s="41" t="inlineStr">
        <is>
          <t>AreaCode</t>
        </is>
      </c>
      <c r="C10963" s="129" t="inlineStr">
        <is>
          <t>地区代码</t>
        </is>
      </c>
      <c r="D10963" s="21" t="n">
        <v>231283</v>
      </c>
      <c r="E10963" s="21" t="inlineStr">
        <is>
          <t>黑龙江省绥化市海伦市</t>
        </is>
      </c>
    </row>
    <row r="10964">
      <c r="B10964" s="41" t="inlineStr">
        <is>
          <t>AreaCode</t>
        </is>
      </c>
      <c r="C10964" s="129" t="inlineStr">
        <is>
          <t>地区代码</t>
        </is>
      </c>
      <c r="D10964" s="21" t="n">
        <v>232700</v>
      </c>
      <c r="E10964" s="21" t="inlineStr">
        <is>
          <t>黑龙江省大兴安岭地区</t>
        </is>
      </c>
    </row>
    <row r="10965">
      <c r="B10965" s="41" t="inlineStr">
        <is>
          <t>AreaCode</t>
        </is>
      </c>
      <c r="C10965" s="129" t="inlineStr">
        <is>
          <t>地区代码</t>
        </is>
      </c>
      <c r="D10965" s="21" t="n">
        <v>232721</v>
      </c>
      <c r="E10965" s="21" t="inlineStr">
        <is>
          <t>黑龙江省大兴安岭地区呼玛县</t>
        </is>
      </c>
    </row>
    <row r="10966">
      <c r="B10966" s="41" t="inlineStr">
        <is>
          <t>AreaCode</t>
        </is>
      </c>
      <c r="C10966" s="129" t="inlineStr">
        <is>
          <t>地区代码</t>
        </is>
      </c>
      <c r="D10966" s="21" t="n">
        <v>232722</v>
      </c>
      <c r="E10966" s="21" t="inlineStr">
        <is>
          <t>黑龙江省大兴安岭地区塔河县</t>
        </is>
      </c>
    </row>
    <row r="10967">
      <c r="B10967" s="41" t="inlineStr">
        <is>
          <t>AreaCode</t>
        </is>
      </c>
      <c r="C10967" s="129" t="inlineStr">
        <is>
          <t>地区代码</t>
        </is>
      </c>
      <c r="D10967" s="21" t="n">
        <v>232723</v>
      </c>
      <c r="E10967" s="21" t="inlineStr">
        <is>
          <t>黑龙江省大兴安岭地区漠河县</t>
        </is>
      </c>
    </row>
    <row r="10968">
      <c r="B10968" s="41" t="inlineStr">
        <is>
          <t>AreaCode</t>
        </is>
      </c>
      <c r="C10968" s="129" t="inlineStr">
        <is>
          <t>地区代码</t>
        </is>
      </c>
      <c r="D10968" s="21" t="n">
        <v>310000</v>
      </c>
      <c r="E10968" s="21" t="inlineStr">
        <is>
          <t>上海市</t>
        </is>
      </c>
    </row>
    <row r="10969">
      <c r="B10969" s="41" t="inlineStr">
        <is>
          <t>AreaCode</t>
        </is>
      </c>
      <c r="C10969" s="129" t="inlineStr">
        <is>
          <t>地区代码</t>
        </is>
      </c>
      <c r="D10969" s="21" t="n">
        <v>310100</v>
      </c>
      <c r="E10969" s="21" t="inlineStr">
        <is>
          <t>上海市市辖区</t>
        </is>
      </c>
    </row>
    <row r="10970">
      <c r="B10970" s="41" t="inlineStr">
        <is>
          <t>AreaCode</t>
        </is>
      </c>
      <c r="C10970" s="129" t="inlineStr">
        <is>
          <t>地区代码</t>
        </is>
      </c>
      <c r="D10970" s="21" t="n">
        <v>310101</v>
      </c>
      <c r="E10970" s="21" t="inlineStr">
        <is>
          <t>上海市黄浦区</t>
        </is>
      </c>
    </row>
    <row r="10971">
      <c r="B10971" s="41" t="inlineStr">
        <is>
          <t>AreaCode</t>
        </is>
      </c>
      <c r="C10971" s="129" t="inlineStr">
        <is>
          <t>地区代码</t>
        </is>
      </c>
      <c r="D10971" s="21" t="n">
        <v>310104</v>
      </c>
      <c r="E10971" s="21" t="inlineStr">
        <is>
          <t>上海市徐汇区</t>
        </is>
      </c>
    </row>
    <row r="10972">
      <c r="B10972" s="41" t="inlineStr">
        <is>
          <t>AreaCode</t>
        </is>
      </c>
      <c r="C10972" s="129" t="inlineStr">
        <is>
          <t>地区代码</t>
        </is>
      </c>
      <c r="D10972" s="21" t="n">
        <v>310105</v>
      </c>
      <c r="E10972" s="21" t="inlineStr">
        <is>
          <t>上海市长宁区</t>
        </is>
      </c>
    </row>
    <row r="10973">
      <c r="B10973" s="41" t="inlineStr">
        <is>
          <t>AreaCode</t>
        </is>
      </c>
      <c r="C10973" s="129" t="inlineStr">
        <is>
          <t>地区代码</t>
        </is>
      </c>
      <c r="D10973" s="21" t="n">
        <v>310106</v>
      </c>
      <c r="E10973" s="21" t="inlineStr">
        <is>
          <t>上海市静安区</t>
        </is>
      </c>
    </row>
    <row r="10974">
      <c r="B10974" s="41" t="inlineStr">
        <is>
          <t>AreaCode</t>
        </is>
      </c>
      <c r="C10974" s="129" t="inlineStr">
        <is>
          <t>地区代码</t>
        </is>
      </c>
      <c r="D10974" s="21" t="n">
        <v>310107</v>
      </c>
      <c r="E10974" s="21" t="inlineStr">
        <is>
          <t>上海市普陀区</t>
        </is>
      </c>
    </row>
    <row r="10975">
      <c r="B10975" s="41" t="inlineStr">
        <is>
          <t>AreaCode</t>
        </is>
      </c>
      <c r="C10975" s="129" t="inlineStr">
        <is>
          <t>地区代码</t>
        </is>
      </c>
      <c r="D10975" s="21" t="n">
        <v>310108</v>
      </c>
      <c r="E10975" s="21" t="inlineStr">
        <is>
          <t>上海市闸北区</t>
        </is>
      </c>
    </row>
    <row r="10976">
      <c r="B10976" s="41" t="inlineStr">
        <is>
          <t>AreaCode</t>
        </is>
      </c>
      <c r="C10976" s="129" t="inlineStr">
        <is>
          <t>地区代码</t>
        </is>
      </c>
      <c r="D10976" s="21" t="n">
        <v>310109</v>
      </c>
      <c r="E10976" s="21" t="inlineStr">
        <is>
          <t>上海市虹口区</t>
        </is>
      </c>
    </row>
    <row r="10977">
      <c r="B10977" s="41" t="inlineStr">
        <is>
          <t>AreaCode</t>
        </is>
      </c>
      <c r="C10977" s="129" t="inlineStr">
        <is>
          <t>地区代码</t>
        </is>
      </c>
      <c r="D10977" s="21" t="n">
        <v>310110</v>
      </c>
      <c r="E10977" s="21" t="inlineStr">
        <is>
          <t>上海市杨浦区</t>
        </is>
      </c>
    </row>
    <row r="10978">
      <c r="B10978" s="41" t="inlineStr">
        <is>
          <t>AreaCode</t>
        </is>
      </c>
      <c r="C10978" s="129" t="inlineStr">
        <is>
          <t>地区代码</t>
        </is>
      </c>
      <c r="D10978" s="21" t="n">
        <v>310112</v>
      </c>
      <c r="E10978" s="21" t="inlineStr">
        <is>
          <t>上海市闵行区</t>
        </is>
      </c>
    </row>
    <row r="10979">
      <c r="B10979" s="41" t="inlineStr">
        <is>
          <t>AreaCode</t>
        </is>
      </c>
      <c r="C10979" s="129" t="inlineStr">
        <is>
          <t>地区代码</t>
        </is>
      </c>
      <c r="D10979" s="21" t="n">
        <v>310113</v>
      </c>
      <c r="E10979" s="21" t="inlineStr">
        <is>
          <t>上海市宝山区</t>
        </is>
      </c>
    </row>
    <row r="10980">
      <c r="B10980" s="41" t="inlineStr">
        <is>
          <t>AreaCode</t>
        </is>
      </c>
      <c r="C10980" s="129" t="inlineStr">
        <is>
          <t>地区代码</t>
        </is>
      </c>
      <c r="D10980" s="21" t="n">
        <v>310114</v>
      </c>
      <c r="E10980" s="21" t="inlineStr">
        <is>
          <t>上海市嘉定区</t>
        </is>
      </c>
    </row>
    <row r="10981">
      <c r="B10981" s="41" t="inlineStr">
        <is>
          <t>AreaCode</t>
        </is>
      </c>
      <c r="C10981" s="129" t="inlineStr">
        <is>
          <t>地区代码</t>
        </is>
      </c>
      <c r="D10981" s="21" t="n">
        <v>310115</v>
      </c>
      <c r="E10981" s="21" t="inlineStr">
        <is>
          <t>上海市浦东新区</t>
        </is>
      </c>
    </row>
    <row r="10982">
      <c r="B10982" s="41" t="inlineStr">
        <is>
          <t>AreaCode</t>
        </is>
      </c>
      <c r="C10982" s="129" t="inlineStr">
        <is>
          <t>地区代码</t>
        </is>
      </c>
      <c r="D10982" s="21" t="n">
        <v>310116</v>
      </c>
      <c r="E10982" s="21" t="inlineStr">
        <is>
          <t>上海市金山区</t>
        </is>
      </c>
    </row>
    <row r="10983">
      <c r="B10983" s="41" t="inlineStr">
        <is>
          <t>AreaCode</t>
        </is>
      </c>
      <c r="C10983" s="129" t="inlineStr">
        <is>
          <t>地区代码</t>
        </is>
      </c>
      <c r="D10983" s="21" t="n">
        <v>310117</v>
      </c>
      <c r="E10983" s="21" t="inlineStr">
        <is>
          <t>上海市松江区</t>
        </is>
      </c>
    </row>
    <row r="10984">
      <c r="B10984" s="41" t="inlineStr">
        <is>
          <t>AreaCode</t>
        </is>
      </c>
      <c r="C10984" s="129" t="inlineStr">
        <is>
          <t>地区代码</t>
        </is>
      </c>
      <c r="D10984" s="21" t="n">
        <v>310118</v>
      </c>
      <c r="E10984" s="21" t="inlineStr">
        <is>
          <t>上海市青浦区</t>
        </is>
      </c>
    </row>
    <row r="10985">
      <c r="B10985" s="41" t="inlineStr">
        <is>
          <t>AreaCode</t>
        </is>
      </c>
      <c r="C10985" s="129" t="inlineStr">
        <is>
          <t>地区代码</t>
        </is>
      </c>
      <c r="D10985" s="21" t="n">
        <v>310120</v>
      </c>
      <c r="E10985" s="21" t="inlineStr">
        <is>
          <t>上海市奉贤区</t>
        </is>
      </c>
    </row>
    <row r="10986">
      <c r="B10986" s="41" t="inlineStr">
        <is>
          <t>AreaCode</t>
        </is>
      </c>
      <c r="C10986" s="129" t="inlineStr">
        <is>
          <t>地区代码</t>
        </is>
      </c>
      <c r="D10986" s="21" t="n">
        <v>310200</v>
      </c>
      <c r="E10986" s="21" t="inlineStr">
        <is>
          <t>上海市县</t>
        </is>
      </c>
    </row>
    <row r="10987">
      <c r="B10987" s="41" t="inlineStr">
        <is>
          <t>AreaCode</t>
        </is>
      </c>
      <c r="C10987" s="129" t="inlineStr">
        <is>
          <t>地区代码</t>
        </is>
      </c>
      <c r="D10987" s="21" t="n">
        <v>310230</v>
      </c>
      <c r="E10987" s="21" t="inlineStr">
        <is>
          <t>上海市崇明县</t>
        </is>
      </c>
    </row>
    <row r="10988">
      <c r="B10988" s="41" t="inlineStr">
        <is>
          <t>AreaCode</t>
        </is>
      </c>
      <c r="C10988" s="129" t="inlineStr">
        <is>
          <t>地区代码</t>
        </is>
      </c>
      <c r="D10988" s="21" t="n">
        <v>320000</v>
      </c>
      <c r="E10988" s="21" t="inlineStr">
        <is>
          <t>江苏省</t>
        </is>
      </c>
    </row>
    <row r="10989">
      <c r="B10989" s="41" t="inlineStr">
        <is>
          <t>AreaCode</t>
        </is>
      </c>
      <c r="C10989" s="129" t="inlineStr">
        <is>
          <t>地区代码</t>
        </is>
      </c>
      <c r="D10989" s="21" t="n">
        <v>320100</v>
      </c>
      <c r="E10989" s="21" t="inlineStr">
        <is>
          <t>江苏省南京市</t>
        </is>
      </c>
    </row>
    <row r="10990">
      <c r="B10990" s="41" t="inlineStr">
        <is>
          <t>AreaCode</t>
        </is>
      </c>
      <c r="C10990" s="129" t="inlineStr">
        <is>
          <t>地区代码</t>
        </is>
      </c>
      <c r="D10990" s="21" t="n">
        <v>320101</v>
      </c>
      <c r="E10990" s="21" t="inlineStr">
        <is>
          <t>江苏省南京市市辖区</t>
        </is>
      </c>
    </row>
    <row r="10991">
      <c r="B10991" s="41" t="inlineStr">
        <is>
          <t>AreaCode</t>
        </is>
      </c>
      <c r="C10991" s="129" t="inlineStr">
        <is>
          <t>地区代码</t>
        </is>
      </c>
      <c r="D10991" s="21" t="n">
        <v>320102</v>
      </c>
      <c r="E10991" s="21" t="inlineStr">
        <is>
          <t>江苏省南京市玄武区</t>
        </is>
      </c>
    </row>
    <row r="10992">
      <c r="B10992" s="41" t="inlineStr">
        <is>
          <t>AreaCode</t>
        </is>
      </c>
      <c r="C10992" s="129" t="inlineStr">
        <is>
          <t>地区代码</t>
        </is>
      </c>
      <c r="D10992" s="21" t="n">
        <v>320104</v>
      </c>
      <c r="E10992" s="21" t="inlineStr">
        <is>
          <t>江苏省南京市秦淮区</t>
        </is>
      </c>
    </row>
    <row r="10993">
      <c r="B10993" s="41" t="inlineStr">
        <is>
          <t>AreaCode</t>
        </is>
      </c>
      <c r="C10993" s="129" t="inlineStr">
        <is>
          <t>地区代码</t>
        </is>
      </c>
      <c r="D10993" s="21" t="n">
        <v>320105</v>
      </c>
      <c r="E10993" s="21" t="inlineStr">
        <is>
          <t>江苏省南京市建邺区</t>
        </is>
      </c>
    </row>
    <row r="10994">
      <c r="B10994" s="41" t="inlineStr">
        <is>
          <t>AreaCode</t>
        </is>
      </c>
      <c r="C10994" s="129" t="inlineStr">
        <is>
          <t>地区代码</t>
        </is>
      </c>
      <c r="D10994" s="21" t="n">
        <v>320106</v>
      </c>
      <c r="E10994" s="21" t="inlineStr">
        <is>
          <t>江苏省南京市鼓楼区</t>
        </is>
      </c>
    </row>
    <row r="10995">
      <c r="B10995" s="41" t="inlineStr">
        <is>
          <t>AreaCode</t>
        </is>
      </c>
      <c r="C10995" s="129" t="inlineStr">
        <is>
          <t>地区代码</t>
        </is>
      </c>
      <c r="D10995" s="21" t="n">
        <v>320111</v>
      </c>
      <c r="E10995" s="21" t="inlineStr">
        <is>
          <t>江苏省南京市浦口区</t>
        </is>
      </c>
    </row>
    <row r="10996">
      <c r="B10996" s="41" t="inlineStr">
        <is>
          <t>AreaCode</t>
        </is>
      </c>
      <c r="C10996" s="129" t="inlineStr">
        <is>
          <t>地区代码</t>
        </is>
      </c>
      <c r="D10996" s="21" t="n">
        <v>320113</v>
      </c>
      <c r="E10996" s="21" t="inlineStr">
        <is>
          <t>江苏省南京市栖霞区</t>
        </is>
      </c>
    </row>
    <row r="10997">
      <c r="B10997" s="41" t="inlineStr">
        <is>
          <t>AreaCode</t>
        </is>
      </c>
      <c r="C10997" s="129" t="inlineStr">
        <is>
          <t>地区代码</t>
        </is>
      </c>
      <c r="D10997" s="21" t="n">
        <v>320114</v>
      </c>
      <c r="E10997" s="21" t="inlineStr">
        <is>
          <t>江苏省南京市雨花台区</t>
        </is>
      </c>
    </row>
    <row r="10998">
      <c r="B10998" s="41" t="inlineStr">
        <is>
          <t>AreaCode</t>
        </is>
      </c>
      <c r="C10998" s="129" t="inlineStr">
        <is>
          <t>地区代码</t>
        </is>
      </c>
      <c r="D10998" s="21" t="n">
        <v>320115</v>
      </c>
      <c r="E10998" s="21" t="inlineStr">
        <is>
          <t>江苏省南京市江宁区</t>
        </is>
      </c>
    </row>
    <row r="10999">
      <c r="B10999" s="41" t="inlineStr">
        <is>
          <t>AreaCode</t>
        </is>
      </c>
      <c r="C10999" s="129" t="inlineStr">
        <is>
          <t>地区代码</t>
        </is>
      </c>
      <c r="D10999" s="21" t="n">
        <v>320116</v>
      </c>
      <c r="E10999" s="21" t="inlineStr">
        <is>
          <t>江苏省南京市六合区</t>
        </is>
      </c>
    </row>
    <row r="11000">
      <c r="B11000" s="41" t="inlineStr">
        <is>
          <t>AreaCode</t>
        </is>
      </c>
      <c r="C11000" s="129" t="inlineStr">
        <is>
          <t>地区代码</t>
        </is>
      </c>
      <c r="D11000" s="21" t="n">
        <v>320124</v>
      </c>
      <c r="E11000" s="21" t="inlineStr">
        <is>
          <t>江苏省南京市溧水区</t>
        </is>
      </c>
    </row>
    <row r="11001">
      <c r="B11001" s="41" t="inlineStr">
        <is>
          <t>AreaCode</t>
        </is>
      </c>
      <c r="C11001" s="129" t="inlineStr">
        <is>
          <t>地区代码</t>
        </is>
      </c>
      <c r="D11001" s="21" t="n">
        <v>320125</v>
      </c>
      <c r="E11001" s="21" t="inlineStr">
        <is>
          <t>江苏省南京市高淳区</t>
        </is>
      </c>
    </row>
    <row r="11002">
      <c r="B11002" s="41" t="inlineStr">
        <is>
          <t>AreaCode</t>
        </is>
      </c>
      <c r="C11002" s="129" t="inlineStr">
        <is>
          <t>地区代码</t>
        </is>
      </c>
      <c r="D11002" s="21" t="n">
        <v>320200</v>
      </c>
      <c r="E11002" s="21" t="inlineStr">
        <is>
          <t>江苏省无锡市</t>
        </is>
      </c>
    </row>
    <row r="11003">
      <c r="B11003" s="41" t="inlineStr">
        <is>
          <t>AreaCode</t>
        </is>
      </c>
      <c r="C11003" s="129" t="inlineStr">
        <is>
          <t>地区代码</t>
        </is>
      </c>
      <c r="D11003" s="21" t="n">
        <v>320201</v>
      </c>
      <c r="E11003" s="21" t="inlineStr">
        <is>
          <t>江苏省无锡市市辖区</t>
        </is>
      </c>
    </row>
    <row r="11004">
      <c r="B11004" s="41" t="inlineStr">
        <is>
          <t>AreaCode</t>
        </is>
      </c>
      <c r="C11004" s="129" t="inlineStr">
        <is>
          <t>地区代码</t>
        </is>
      </c>
      <c r="D11004" s="21" t="n">
        <v>320202</v>
      </c>
      <c r="E11004" s="21" t="inlineStr">
        <is>
          <t>江苏省无锡市崇安区</t>
        </is>
      </c>
    </row>
    <row r="11005">
      <c r="B11005" s="41" t="inlineStr">
        <is>
          <t>AreaCode</t>
        </is>
      </c>
      <c r="C11005" s="129" t="inlineStr">
        <is>
          <t>地区代码</t>
        </is>
      </c>
      <c r="D11005" s="21" t="n">
        <v>320203</v>
      </c>
      <c r="E11005" s="21" t="inlineStr">
        <is>
          <t>江苏省无锡市南长区</t>
        </is>
      </c>
    </row>
    <row r="11006">
      <c r="B11006" s="41" t="inlineStr">
        <is>
          <t>AreaCode</t>
        </is>
      </c>
      <c r="C11006" s="129" t="inlineStr">
        <is>
          <t>地区代码</t>
        </is>
      </c>
      <c r="D11006" s="21" t="n">
        <v>320204</v>
      </c>
      <c r="E11006" s="21" t="inlineStr">
        <is>
          <t>江苏省无锡市北塘区</t>
        </is>
      </c>
    </row>
    <row r="11007">
      <c r="B11007" s="41" t="inlineStr">
        <is>
          <t>AreaCode</t>
        </is>
      </c>
      <c r="C11007" s="129" t="inlineStr">
        <is>
          <t>地区代码</t>
        </is>
      </c>
      <c r="D11007" s="21" t="n">
        <v>320205</v>
      </c>
      <c r="E11007" s="21" t="inlineStr">
        <is>
          <t>江苏省无锡市锡山区</t>
        </is>
      </c>
    </row>
    <row r="11008">
      <c r="B11008" s="41" t="inlineStr">
        <is>
          <t>AreaCode</t>
        </is>
      </c>
      <c r="C11008" s="129" t="inlineStr">
        <is>
          <t>地区代码</t>
        </is>
      </c>
      <c r="D11008" s="21" t="n">
        <v>320206</v>
      </c>
      <c r="E11008" s="21" t="inlineStr">
        <is>
          <t>江苏省无锡市惠山区</t>
        </is>
      </c>
    </row>
    <row r="11009">
      <c r="B11009" s="41" t="inlineStr">
        <is>
          <t>AreaCode</t>
        </is>
      </c>
      <c r="C11009" s="129" t="inlineStr">
        <is>
          <t>地区代码</t>
        </is>
      </c>
      <c r="D11009" s="21" t="n">
        <v>320211</v>
      </c>
      <c r="E11009" s="21" t="inlineStr">
        <is>
          <t>江苏省无锡市滨湖区</t>
        </is>
      </c>
    </row>
    <row r="11010">
      <c r="B11010" s="41" t="inlineStr">
        <is>
          <t>AreaCode</t>
        </is>
      </c>
      <c r="C11010" s="129" t="inlineStr">
        <is>
          <t>地区代码</t>
        </is>
      </c>
      <c r="D11010" s="21" t="n">
        <v>320281</v>
      </c>
      <c r="E11010" s="21" t="inlineStr">
        <is>
          <t>江苏省无锡市江阴市</t>
        </is>
      </c>
    </row>
    <row r="11011">
      <c r="B11011" s="41" t="inlineStr">
        <is>
          <t>AreaCode</t>
        </is>
      </c>
      <c r="C11011" s="129" t="inlineStr">
        <is>
          <t>地区代码</t>
        </is>
      </c>
      <c r="D11011" s="21" t="n">
        <v>320282</v>
      </c>
      <c r="E11011" s="21" t="inlineStr">
        <is>
          <t>江苏省无锡市宜兴市</t>
        </is>
      </c>
    </row>
    <row r="11012">
      <c r="B11012" s="41" t="inlineStr">
        <is>
          <t>AreaCode</t>
        </is>
      </c>
      <c r="C11012" s="129" t="inlineStr">
        <is>
          <t>地区代码</t>
        </is>
      </c>
      <c r="D11012" s="21" t="n">
        <v>320300</v>
      </c>
      <c r="E11012" s="21" t="inlineStr">
        <is>
          <t>江苏省徐州市</t>
        </is>
      </c>
    </row>
    <row r="11013">
      <c r="B11013" s="41" t="inlineStr">
        <is>
          <t>AreaCode</t>
        </is>
      </c>
      <c r="C11013" s="129" t="inlineStr">
        <is>
          <t>地区代码</t>
        </is>
      </c>
      <c r="D11013" s="21" t="n">
        <v>320301</v>
      </c>
      <c r="E11013" s="21" t="inlineStr">
        <is>
          <t>江苏省徐州市市辖区</t>
        </is>
      </c>
    </row>
    <row r="11014">
      <c r="B11014" s="41" t="inlineStr">
        <is>
          <t>AreaCode</t>
        </is>
      </c>
      <c r="C11014" s="129" t="inlineStr">
        <is>
          <t>地区代码</t>
        </is>
      </c>
      <c r="D11014" s="21" t="n">
        <v>320302</v>
      </c>
      <c r="E11014" s="21" t="inlineStr">
        <is>
          <t>江苏省徐州市鼓楼区</t>
        </is>
      </c>
    </row>
    <row r="11015">
      <c r="B11015" s="41" t="inlineStr">
        <is>
          <t>AreaCode</t>
        </is>
      </c>
      <c r="C11015" s="129" t="inlineStr">
        <is>
          <t>地区代码</t>
        </is>
      </c>
      <c r="D11015" s="21" t="n">
        <v>320303</v>
      </c>
      <c r="E11015" s="21" t="inlineStr">
        <is>
          <t>江苏省徐州市云龙区</t>
        </is>
      </c>
    </row>
    <row r="11016">
      <c r="B11016" s="41" t="inlineStr">
        <is>
          <t>AreaCode</t>
        </is>
      </c>
      <c r="C11016" s="129" t="inlineStr">
        <is>
          <t>地区代码</t>
        </is>
      </c>
      <c r="D11016" s="21" t="n">
        <v>320305</v>
      </c>
      <c r="E11016" s="21" t="inlineStr">
        <is>
          <t>江苏省徐州市贾汪区</t>
        </is>
      </c>
    </row>
    <row r="11017">
      <c r="B11017" s="41" t="inlineStr">
        <is>
          <t>AreaCode</t>
        </is>
      </c>
      <c r="C11017" s="129" t="inlineStr">
        <is>
          <t>地区代码</t>
        </is>
      </c>
      <c r="D11017" s="21" t="n">
        <v>320311</v>
      </c>
      <c r="E11017" s="21" t="inlineStr">
        <is>
          <t>江苏省徐州市泉山区</t>
        </is>
      </c>
    </row>
    <row r="11018">
      <c r="B11018" s="41" t="inlineStr">
        <is>
          <t>AreaCode</t>
        </is>
      </c>
      <c r="C11018" s="129" t="inlineStr">
        <is>
          <t>地区代码</t>
        </is>
      </c>
      <c r="D11018" s="21" t="n">
        <v>320312</v>
      </c>
      <c r="E11018" s="21" t="inlineStr">
        <is>
          <t>江苏省徐州市铜山区</t>
        </is>
      </c>
    </row>
    <row r="11019">
      <c r="B11019" s="41" t="inlineStr">
        <is>
          <t>AreaCode</t>
        </is>
      </c>
      <c r="C11019" s="129" t="inlineStr">
        <is>
          <t>地区代码</t>
        </is>
      </c>
      <c r="D11019" s="21" t="n">
        <v>320321</v>
      </c>
      <c r="E11019" s="21" t="inlineStr">
        <is>
          <t>江苏省徐州市丰县</t>
        </is>
      </c>
    </row>
    <row r="11020">
      <c r="B11020" s="41" t="inlineStr">
        <is>
          <t>AreaCode</t>
        </is>
      </c>
      <c r="C11020" s="129" t="inlineStr">
        <is>
          <t>地区代码</t>
        </is>
      </c>
      <c r="D11020" s="21" t="n">
        <v>320322</v>
      </c>
      <c r="E11020" s="21" t="inlineStr">
        <is>
          <t>江苏省徐州市沛县</t>
        </is>
      </c>
    </row>
    <row r="11021">
      <c r="B11021" s="41" t="inlineStr">
        <is>
          <t>AreaCode</t>
        </is>
      </c>
      <c r="C11021" s="129" t="inlineStr">
        <is>
          <t>地区代码</t>
        </is>
      </c>
      <c r="D11021" s="21" t="n">
        <v>320324</v>
      </c>
      <c r="E11021" s="21" t="inlineStr">
        <is>
          <t>江苏省徐州市睢宁县</t>
        </is>
      </c>
    </row>
    <row r="11022">
      <c r="B11022" s="41" t="inlineStr">
        <is>
          <t>AreaCode</t>
        </is>
      </c>
      <c r="C11022" s="129" t="inlineStr">
        <is>
          <t>地区代码</t>
        </is>
      </c>
      <c r="D11022" s="21" t="n">
        <v>320381</v>
      </c>
      <c r="E11022" s="21" t="inlineStr">
        <is>
          <t>江苏省徐州市新沂市</t>
        </is>
      </c>
    </row>
    <row r="11023">
      <c r="B11023" s="41" t="inlineStr">
        <is>
          <t>AreaCode</t>
        </is>
      </c>
      <c r="C11023" s="129" t="inlineStr">
        <is>
          <t>地区代码</t>
        </is>
      </c>
      <c r="D11023" s="21" t="n">
        <v>320382</v>
      </c>
      <c r="E11023" s="21" t="inlineStr">
        <is>
          <t>江苏省徐州市邳州市</t>
        </is>
      </c>
    </row>
    <row r="11024">
      <c r="B11024" s="41" t="inlineStr">
        <is>
          <t>AreaCode</t>
        </is>
      </c>
      <c r="C11024" s="129" t="inlineStr">
        <is>
          <t>地区代码</t>
        </is>
      </c>
      <c r="D11024" s="21" t="n">
        <v>320400</v>
      </c>
      <c r="E11024" s="21" t="inlineStr">
        <is>
          <t>江苏省常州市</t>
        </is>
      </c>
    </row>
    <row r="11025">
      <c r="B11025" s="41" t="inlineStr">
        <is>
          <t>AreaCode</t>
        </is>
      </c>
      <c r="C11025" s="129" t="inlineStr">
        <is>
          <t>地区代码</t>
        </is>
      </c>
      <c r="D11025" s="21" t="n">
        <v>320401</v>
      </c>
      <c r="E11025" s="21" t="inlineStr">
        <is>
          <t>江苏省常州市市辖区</t>
        </is>
      </c>
    </row>
    <row r="11026">
      <c r="B11026" s="41" t="inlineStr">
        <is>
          <t>AreaCode</t>
        </is>
      </c>
      <c r="C11026" s="129" t="inlineStr">
        <is>
          <t>地区代码</t>
        </is>
      </c>
      <c r="D11026" s="21" t="n">
        <v>320402</v>
      </c>
      <c r="E11026" s="21" t="inlineStr">
        <is>
          <t>江苏省常州市天宁区</t>
        </is>
      </c>
    </row>
    <row r="11027">
      <c r="B11027" s="41" t="inlineStr">
        <is>
          <t>AreaCode</t>
        </is>
      </c>
      <c r="C11027" s="129" t="inlineStr">
        <is>
          <t>地区代码</t>
        </is>
      </c>
      <c r="D11027" s="21" t="n">
        <v>320404</v>
      </c>
      <c r="E11027" s="21" t="inlineStr">
        <is>
          <t>江苏省常州市钟楼区</t>
        </is>
      </c>
    </row>
    <row r="11028">
      <c r="B11028" s="41" t="inlineStr">
        <is>
          <t>AreaCode</t>
        </is>
      </c>
      <c r="C11028" s="129" t="inlineStr">
        <is>
          <t>地区代码</t>
        </is>
      </c>
      <c r="D11028" s="21" t="n">
        <v>320405</v>
      </c>
      <c r="E11028" s="21" t="inlineStr">
        <is>
          <t>江苏省常州市戚墅堰区</t>
        </is>
      </c>
    </row>
    <row r="11029">
      <c r="B11029" s="41" t="inlineStr">
        <is>
          <t>AreaCode</t>
        </is>
      </c>
      <c r="C11029" s="129" t="inlineStr">
        <is>
          <t>地区代码</t>
        </is>
      </c>
      <c r="D11029" s="21" t="n">
        <v>320411</v>
      </c>
      <c r="E11029" s="21" t="inlineStr">
        <is>
          <t>江苏省常州市新北区</t>
        </is>
      </c>
    </row>
    <row r="11030">
      <c r="B11030" s="41" t="inlineStr">
        <is>
          <t>AreaCode</t>
        </is>
      </c>
      <c r="C11030" s="129" t="inlineStr">
        <is>
          <t>地区代码</t>
        </is>
      </c>
      <c r="D11030" s="21" t="n">
        <v>320412</v>
      </c>
      <c r="E11030" s="21" t="inlineStr">
        <is>
          <t>江苏省常州市武进区</t>
        </is>
      </c>
    </row>
    <row r="11031">
      <c r="B11031" s="41" t="inlineStr">
        <is>
          <t>AreaCode</t>
        </is>
      </c>
      <c r="C11031" s="129" t="inlineStr">
        <is>
          <t>地区代码</t>
        </is>
      </c>
      <c r="D11031" s="21" t="n">
        <v>320481</v>
      </c>
      <c r="E11031" s="21" t="inlineStr">
        <is>
          <t>江苏省常州市溧阳市</t>
        </is>
      </c>
    </row>
    <row r="11032">
      <c r="B11032" s="41" t="inlineStr">
        <is>
          <t>AreaCode</t>
        </is>
      </c>
      <c r="C11032" s="129" t="inlineStr">
        <is>
          <t>地区代码</t>
        </is>
      </c>
      <c r="D11032" s="21" t="n">
        <v>320482</v>
      </c>
      <c r="E11032" s="21" t="inlineStr">
        <is>
          <t>江苏省常州市金坛市</t>
        </is>
      </c>
    </row>
    <row r="11033">
      <c r="B11033" s="41" t="inlineStr">
        <is>
          <t>AreaCode</t>
        </is>
      </c>
      <c r="C11033" s="129" t="inlineStr">
        <is>
          <t>地区代码</t>
        </is>
      </c>
      <c r="D11033" s="21" t="n">
        <v>320500</v>
      </c>
      <c r="E11033" s="21" t="inlineStr">
        <is>
          <t>江苏省苏州市</t>
        </is>
      </c>
    </row>
    <row r="11034">
      <c r="B11034" s="41" t="inlineStr">
        <is>
          <t>AreaCode</t>
        </is>
      </c>
      <c r="C11034" s="129" t="inlineStr">
        <is>
          <t>地区代码</t>
        </is>
      </c>
      <c r="D11034" s="21" t="n">
        <v>320501</v>
      </c>
      <c r="E11034" s="21" t="inlineStr">
        <is>
          <t>江苏省苏州市市辖区</t>
        </is>
      </c>
    </row>
    <row r="11035">
      <c r="B11035" s="41" t="inlineStr">
        <is>
          <t>AreaCode</t>
        </is>
      </c>
      <c r="C11035" s="129" t="inlineStr">
        <is>
          <t>地区代码</t>
        </is>
      </c>
      <c r="D11035" s="21" t="n">
        <v>320505</v>
      </c>
      <c r="E11035" s="21" t="inlineStr">
        <is>
          <t>江苏省苏州市虎丘区</t>
        </is>
      </c>
    </row>
    <row r="11036">
      <c r="B11036" s="41" t="inlineStr">
        <is>
          <t>AreaCode</t>
        </is>
      </c>
      <c r="C11036" s="129" t="inlineStr">
        <is>
          <t>地区代码</t>
        </is>
      </c>
      <c r="D11036" s="21" t="n">
        <v>320506</v>
      </c>
      <c r="E11036" s="21" t="inlineStr">
        <is>
          <t>江苏省苏州市吴中区</t>
        </is>
      </c>
    </row>
    <row r="11037">
      <c r="B11037" s="41" t="inlineStr">
        <is>
          <t>AreaCode</t>
        </is>
      </c>
      <c r="C11037" s="129" t="inlineStr">
        <is>
          <t>地区代码</t>
        </is>
      </c>
      <c r="D11037" s="21" t="n">
        <v>320507</v>
      </c>
      <c r="E11037" s="21" t="inlineStr">
        <is>
          <t>江苏省苏州市相城区</t>
        </is>
      </c>
    </row>
    <row r="11038">
      <c r="B11038" s="41" t="inlineStr">
        <is>
          <t>AreaCode</t>
        </is>
      </c>
      <c r="C11038" s="129" t="inlineStr">
        <is>
          <t>地区代码</t>
        </is>
      </c>
      <c r="D11038" s="21" t="n">
        <v>320508</v>
      </c>
      <c r="E11038" s="21" t="inlineStr">
        <is>
          <t>江苏省苏州市姑苏区</t>
        </is>
      </c>
    </row>
    <row r="11039">
      <c r="B11039" s="41" t="inlineStr">
        <is>
          <t>AreaCode</t>
        </is>
      </c>
      <c r="C11039" s="129" t="inlineStr">
        <is>
          <t>地区代码</t>
        </is>
      </c>
      <c r="D11039" s="21" t="n">
        <v>320509</v>
      </c>
      <c r="E11039" s="21" t="inlineStr">
        <is>
          <t>江苏省苏州市吴江区</t>
        </is>
      </c>
    </row>
    <row r="11040">
      <c r="B11040" s="41" t="inlineStr">
        <is>
          <t>AreaCode</t>
        </is>
      </c>
      <c r="C11040" s="129" t="inlineStr">
        <is>
          <t>地区代码</t>
        </is>
      </c>
      <c r="D11040" s="21" t="n">
        <v>320581</v>
      </c>
      <c r="E11040" s="21" t="inlineStr">
        <is>
          <t>江苏省苏州市常熟市</t>
        </is>
      </c>
    </row>
    <row r="11041">
      <c r="B11041" s="41" t="inlineStr">
        <is>
          <t>AreaCode</t>
        </is>
      </c>
      <c r="C11041" s="129" t="inlineStr">
        <is>
          <t>地区代码</t>
        </is>
      </c>
      <c r="D11041" s="21" t="n">
        <v>320582</v>
      </c>
      <c r="E11041" s="21" t="inlineStr">
        <is>
          <t>江苏省苏州市张家港市</t>
        </is>
      </c>
    </row>
    <row r="11042">
      <c r="B11042" s="41" t="inlineStr">
        <is>
          <t>AreaCode</t>
        </is>
      </c>
      <c r="C11042" s="129" t="inlineStr">
        <is>
          <t>地区代码</t>
        </is>
      </c>
      <c r="D11042" s="21" t="n">
        <v>320583</v>
      </c>
      <c r="E11042" s="21" t="inlineStr">
        <is>
          <t>江苏省苏州市昆山市</t>
        </is>
      </c>
    </row>
    <row r="11043">
      <c r="B11043" s="41" t="inlineStr">
        <is>
          <t>AreaCode</t>
        </is>
      </c>
      <c r="C11043" s="129" t="inlineStr">
        <is>
          <t>地区代码</t>
        </is>
      </c>
      <c r="D11043" s="21" t="n">
        <v>320585</v>
      </c>
      <c r="E11043" s="21" t="inlineStr">
        <is>
          <t>江苏省苏州市太仓市</t>
        </is>
      </c>
    </row>
    <row r="11044">
      <c r="B11044" s="41" t="inlineStr">
        <is>
          <t>AreaCode</t>
        </is>
      </c>
      <c r="C11044" s="129" t="inlineStr">
        <is>
          <t>地区代码</t>
        </is>
      </c>
      <c r="D11044" s="21" t="n">
        <v>320600</v>
      </c>
      <c r="E11044" s="21" t="inlineStr">
        <is>
          <t>江苏省南通市</t>
        </is>
      </c>
    </row>
    <row r="11045">
      <c r="B11045" s="41" t="inlineStr">
        <is>
          <t>AreaCode</t>
        </is>
      </c>
      <c r="C11045" s="129" t="inlineStr">
        <is>
          <t>地区代码</t>
        </is>
      </c>
      <c r="D11045" s="21" t="n">
        <v>320601</v>
      </c>
      <c r="E11045" s="21" t="inlineStr">
        <is>
          <t>江苏省南通市市辖区</t>
        </is>
      </c>
    </row>
    <row r="11046">
      <c r="B11046" s="41" t="inlineStr">
        <is>
          <t>AreaCode</t>
        </is>
      </c>
      <c r="C11046" s="129" t="inlineStr">
        <is>
          <t>地区代码</t>
        </is>
      </c>
      <c r="D11046" s="21" t="n">
        <v>320602</v>
      </c>
      <c r="E11046" s="21" t="inlineStr">
        <is>
          <t>江苏省南通市崇川区</t>
        </is>
      </c>
    </row>
    <row r="11047">
      <c r="B11047" s="41" t="inlineStr">
        <is>
          <t>AreaCode</t>
        </is>
      </c>
      <c r="C11047" s="129" t="inlineStr">
        <is>
          <t>地区代码</t>
        </is>
      </c>
      <c r="D11047" s="21" t="n">
        <v>320611</v>
      </c>
      <c r="E11047" s="21" t="inlineStr">
        <is>
          <t>江苏省南通市港闸区</t>
        </is>
      </c>
    </row>
    <row r="11048">
      <c r="B11048" s="41" t="inlineStr">
        <is>
          <t>AreaCode</t>
        </is>
      </c>
      <c r="C11048" s="129" t="inlineStr">
        <is>
          <t>地区代码</t>
        </is>
      </c>
      <c r="D11048" s="21" t="n">
        <v>320612</v>
      </c>
      <c r="E11048" s="21" t="inlineStr">
        <is>
          <t>江苏省南通市通州区</t>
        </is>
      </c>
    </row>
    <row r="11049">
      <c r="B11049" s="41" t="inlineStr">
        <is>
          <t>AreaCode</t>
        </is>
      </c>
      <c r="C11049" s="129" t="inlineStr">
        <is>
          <t>地区代码</t>
        </is>
      </c>
      <c r="D11049" s="21" t="n">
        <v>320621</v>
      </c>
      <c r="E11049" s="21" t="inlineStr">
        <is>
          <t>江苏省南通市海安县</t>
        </is>
      </c>
    </row>
    <row r="11050">
      <c r="B11050" s="41" t="inlineStr">
        <is>
          <t>AreaCode</t>
        </is>
      </c>
      <c r="C11050" s="129" t="inlineStr">
        <is>
          <t>地区代码</t>
        </is>
      </c>
      <c r="D11050" s="21" t="n">
        <v>320623</v>
      </c>
      <c r="E11050" s="21" t="inlineStr">
        <is>
          <t>江苏省南通市如东县</t>
        </is>
      </c>
    </row>
    <row r="11051">
      <c r="B11051" s="41" t="inlineStr">
        <is>
          <t>AreaCode</t>
        </is>
      </c>
      <c r="C11051" s="129" t="inlineStr">
        <is>
          <t>地区代码</t>
        </is>
      </c>
      <c r="D11051" s="21" t="n">
        <v>320681</v>
      </c>
      <c r="E11051" s="21" t="inlineStr">
        <is>
          <t>江苏省南通市启东市</t>
        </is>
      </c>
    </row>
    <row r="11052">
      <c r="B11052" s="41" t="inlineStr">
        <is>
          <t>AreaCode</t>
        </is>
      </c>
      <c r="C11052" s="129" t="inlineStr">
        <is>
          <t>地区代码</t>
        </is>
      </c>
      <c r="D11052" s="21" t="n">
        <v>320682</v>
      </c>
      <c r="E11052" s="21" t="inlineStr">
        <is>
          <t>江苏省南通市如皋市</t>
        </is>
      </c>
    </row>
    <row r="11053">
      <c r="B11053" s="41" t="inlineStr">
        <is>
          <t>AreaCode</t>
        </is>
      </c>
      <c r="C11053" s="129" t="inlineStr">
        <is>
          <t>地区代码</t>
        </is>
      </c>
      <c r="D11053" s="21" t="n">
        <v>320684</v>
      </c>
      <c r="E11053" s="21" t="inlineStr">
        <is>
          <t>江苏省南通市海门市</t>
        </is>
      </c>
    </row>
    <row r="11054">
      <c r="B11054" s="41" t="inlineStr">
        <is>
          <t>AreaCode</t>
        </is>
      </c>
      <c r="C11054" s="129" t="inlineStr">
        <is>
          <t>地区代码</t>
        </is>
      </c>
      <c r="D11054" s="21" t="n">
        <v>320700</v>
      </c>
      <c r="E11054" s="21" t="inlineStr">
        <is>
          <t>江苏省连云港市</t>
        </is>
      </c>
    </row>
    <row r="11055">
      <c r="B11055" s="41" t="inlineStr">
        <is>
          <t>AreaCode</t>
        </is>
      </c>
      <c r="C11055" s="129" t="inlineStr">
        <is>
          <t>地区代码</t>
        </is>
      </c>
      <c r="D11055" s="21" t="n">
        <v>320701</v>
      </c>
      <c r="E11055" s="21" t="inlineStr">
        <is>
          <t>江苏省连云港市市辖区</t>
        </is>
      </c>
    </row>
    <row r="11056">
      <c r="B11056" s="41" t="inlineStr">
        <is>
          <t>AreaCode</t>
        </is>
      </c>
      <c r="C11056" s="129" t="inlineStr">
        <is>
          <t>地区代码</t>
        </is>
      </c>
      <c r="D11056" s="21" t="n">
        <v>320703</v>
      </c>
      <c r="E11056" s="21" t="inlineStr">
        <is>
          <t>江苏省连云港市连云区</t>
        </is>
      </c>
    </row>
    <row r="11057">
      <c r="B11057" s="41" t="inlineStr">
        <is>
          <t>AreaCode</t>
        </is>
      </c>
      <c r="C11057" s="129" t="inlineStr">
        <is>
          <t>地区代码</t>
        </is>
      </c>
      <c r="D11057" s="21" t="n">
        <v>320706</v>
      </c>
      <c r="E11057" s="21" t="inlineStr">
        <is>
          <t>江苏省连云港市海州区</t>
        </is>
      </c>
    </row>
    <row r="11058">
      <c r="B11058" s="41" t="inlineStr">
        <is>
          <t>AreaCode</t>
        </is>
      </c>
      <c r="C11058" s="129" t="inlineStr">
        <is>
          <t>地区代码</t>
        </is>
      </c>
      <c r="D11058" s="21" t="n">
        <v>320721</v>
      </c>
      <c r="E11058" s="21" t="inlineStr">
        <is>
          <t>江苏省连云港市赣榆县</t>
        </is>
      </c>
    </row>
    <row r="11059">
      <c r="B11059" s="41" t="inlineStr">
        <is>
          <t>AreaCode</t>
        </is>
      </c>
      <c r="C11059" s="129" t="inlineStr">
        <is>
          <t>地区代码</t>
        </is>
      </c>
      <c r="D11059" s="21" t="n">
        <v>320722</v>
      </c>
      <c r="E11059" s="21" t="inlineStr">
        <is>
          <t>江苏省连云港市东海县</t>
        </is>
      </c>
    </row>
    <row r="11060">
      <c r="B11060" s="41" t="inlineStr">
        <is>
          <t>AreaCode</t>
        </is>
      </c>
      <c r="C11060" s="129" t="inlineStr">
        <is>
          <t>地区代码</t>
        </is>
      </c>
      <c r="D11060" s="21" t="n">
        <v>320723</v>
      </c>
      <c r="E11060" s="21" t="inlineStr">
        <is>
          <t>江苏省连云港市灌云县</t>
        </is>
      </c>
    </row>
    <row r="11061">
      <c r="B11061" s="41" t="inlineStr">
        <is>
          <t>AreaCode</t>
        </is>
      </c>
      <c r="C11061" s="129" t="inlineStr">
        <is>
          <t>地区代码</t>
        </is>
      </c>
      <c r="D11061" s="21" t="n">
        <v>320724</v>
      </c>
      <c r="E11061" s="21" t="inlineStr">
        <is>
          <t>江苏省连云港市灌南县</t>
        </is>
      </c>
    </row>
    <row r="11062">
      <c r="B11062" s="41" t="inlineStr">
        <is>
          <t>AreaCode</t>
        </is>
      </c>
      <c r="C11062" s="129" t="inlineStr">
        <is>
          <t>地区代码</t>
        </is>
      </c>
      <c r="D11062" s="21" t="n">
        <v>320800</v>
      </c>
      <c r="E11062" s="21" t="inlineStr">
        <is>
          <t>江苏省淮安市</t>
        </is>
      </c>
    </row>
    <row r="11063">
      <c r="B11063" s="41" t="inlineStr">
        <is>
          <t>AreaCode</t>
        </is>
      </c>
      <c r="C11063" s="129" t="inlineStr">
        <is>
          <t>地区代码</t>
        </is>
      </c>
      <c r="D11063" s="21" t="n">
        <v>320801</v>
      </c>
      <c r="E11063" s="21" t="inlineStr">
        <is>
          <t>江苏省淮安市市辖区</t>
        </is>
      </c>
    </row>
    <row r="11064">
      <c r="B11064" s="41" t="inlineStr">
        <is>
          <t>AreaCode</t>
        </is>
      </c>
      <c r="C11064" s="129" t="inlineStr">
        <is>
          <t>地区代码</t>
        </is>
      </c>
      <c r="D11064" s="21" t="n">
        <v>320802</v>
      </c>
      <c r="E11064" s="21" t="inlineStr">
        <is>
          <t>江苏省淮安市清河区</t>
        </is>
      </c>
    </row>
    <row r="11065">
      <c r="B11065" s="41" t="inlineStr">
        <is>
          <t>AreaCode</t>
        </is>
      </c>
      <c r="C11065" s="129" t="inlineStr">
        <is>
          <t>地区代码</t>
        </is>
      </c>
      <c r="D11065" s="21" t="n">
        <v>320803</v>
      </c>
      <c r="E11065" s="21" t="inlineStr">
        <is>
          <t>江苏省淮安市淮安区</t>
        </is>
      </c>
    </row>
    <row r="11066">
      <c r="B11066" s="41" t="inlineStr">
        <is>
          <t>AreaCode</t>
        </is>
      </c>
      <c r="C11066" s="129" t="inlineStr">
        <is>
          <t>地区代码</t>
        </is>
      </c>
      <c r="D11066" s="21" t="n">
        <v>320804</v>
      </c>
      <c r="E11066" s="21" t="inlineStr">
        <is>
          <t>江苏省淮安市淮阴区</t>
        </is>
      </c>
    </row>
    <row r="11067">
      <c r="B11067" s="41" t="inlineStr">
        <is>
          <t>AreaCode</t>
        </is>
      </c>
      <c r="C11067" s="129" t="inlineStr">
        <is>
          <t>地区代码</t>
        </is>
      </c>
      <c r="D11067" s="21" t="n">
        <v>320811</v>
      </c>
      <c r="E11067" s="21" t="inlineStr">
        <is>
          <t>江苏省淮安市清浦区</t>
        </is>
      </c>
    </row>
    <row r="11068">
      <c r="B11068" s="41" t="inlineStr">
        <is>
          <t>AreaCode</t>
        </is>
      </c>
      <c r="C11068" s="129" t="inlineStr">
        <is>
          <t>地区代码</t>
        </is>
      </c>
      <c r="D11068" s="21" t="n">
        <v>320826</v>
      </c>
      <c r="E11068" s="21" t="inlineStr">
        <is>
          <t>江苏省淮安市涟水县</t>
        </is>
      </c>
    </row>
    <row r="11069">
      <c r="B11069" s="41" t="inlineStr">
        <is>
          <t>AreaCode</t>
        </is>
      </c>
      <c r="C11069" s="129" t="inlineStr">
        <is>
          <t>地区代码</t>
        </is>
      </c>
      <c r="D11069" s="21" t="n">
        <v>320829</v>
      </c>
      <c r="E11069" s="21" t="inlineStr">
        <is>
          <t>江苏省淮安市洪泽县</t>
        </is>
      </c>
    </row>
    <row r="11070">
      <c r="B11070" s="41" t="inlineStr">
        <is>
          <t>AreaCode</t>
        </is>
      </c>
      <c r="C11070" s="129" t="inlineStr">
        <is>
          <t>地区代码</t>
        </is>
      </c>
      <c r="D11070" s="21" t="n">
        <v>320830</v>
      </c>
      <c r="E11070" s="21" t="inlineStr">
        <is>
          <t>江苏省淮安市盱眙县</t>
        </is>
      </c>
    </row>
    <row r="11071">
      <c r="B11071" s="41" t="inlineStr">
        <is>
          <t>AreaCode</t>
        </is>
      </c>
      <c r="C11071" s="129" t="inlineStr">
        <is>
          <t>地区代码</t>
        </is>
      </c>
      <c r="D11071" s="21" t="n">
        <v>320831</v>
      </c>
      <c r="E11071" s="21" t="inlineStr">
        <is>
          <t>江苏省淮安市金湖县</t>
        </is>
      </c>
    </row>
    <row r="11072">
      <c r="B11072" s="41" t="inlineStr">
        <is>
          <t>AreaCode</t>
        </is>
      </c>
      <c r="C11072" s="129" t="inlineStr">
        <is>
          <t>地区代码</t>
        </is>
      </c>
      <c r="D11072" s="21" t="n">
        <v>320900</v>
      </c>
      <c r="E11072" s="21" t="inlineStr">
        <is>
          <t>江苏省盐城市</t>
        </is>
      </c>
    </row>
    <row r="11073">
      <c r="B11073" s="41" t="inlineStr">
        <is>
          <t>AreaCode</t>
        </is>
      </c>
      <c r="C11073" s="129" t="inlineStr">
        <is>
          <t>地区代码</t>
        </is>
      </c>
      <c r="D11073" s="21" t="n">
        <v>320901</v>
      </c>
      <c r="E11073" s="21" t="inlineStr">
        <is>
          <t>江苏省盐城市市辖区</t>
        </is>
      </c>
    </row>
    <row r="11074">
      <c r="B11074" s="41" t="inlineStr">
        <is>
          <t>AreaCode</t>
        </is>
      </c>
      <c r="C11074" s="129" t="inlineStr">
        <is>
          <t>地区代码</t>
        </is>
      </c>
      <c r="D11074" s="21" t="n">
        <v>320902</v>
      </c>
      <c r="E11074" s="21" t="inlineStr">
        <is>
          <t>江苏省盐城市亭湖区</t>
        </is>
      </c>
    </row>
    <row r="11075">
      <c r="B11075" s="41" t="inlineStr">
        <is>
          <t>AreaCode</t>
        </is>
      </c>
      <c r="C11075" s="129" t="inlineStr">
        <is>
          <t>地区代码</t>
        </is>
      </c>
      <c r="D11075" s="21" t="n">
        <v>320903</v>
      </c>
      <c r="E11075" s="21" t="inlineStr">
        <is>
          <t>江苏省盐城市盐都区</t>
        </is>
      </c>
    </row>
    <row r="11076">
      <c r="B11076" s="41" t="inlineStr">
        <is>
          <t>AreaCode</t>
        </is>
      </c>
      <c r="C11076" s="129" t="inlineStr">
        <is>
          <t>地区代码</t>
        </is>
      </c>
      <c r="D11076" s="21" t="n">
        <v>320921</v>
      </c>
      <c r="E11076" s="21" t="inlineStr">
        <is>
          <t>江苏省盐城市响水县</t>
        </is>
      </c>
    </row>
    <row r="11077">
      <c r="B11077" s="41" t="inlineStr">
        <is>
          <t>AreaCode</t>
        </is>
      </c>
      <c r="C11077" s="129" t="inlineStr">
        <is>
          <t>地区代码</t>
        </is>
      </c>
      <c r="D11077" s="21" t="n">
        <v>320922</v>
      </c>
      <c r="E11077" s="21" t="inlineStr">
        <is>
          <t>江苏省盐城市滨海县</t>
        </is>
      </c>
    </row>
    <row r="11078">
      <c r="B11078" s="41" t="inlineStr">
        <is>
          <t>AreaCode</t>
        </is>
      </c>
      <c r="C11078" s="129" t="inlineStr">
        <is>
          <t>地区代码</t>
        </is>
      </c>
      <c r="D11078" s="21" t="n">
        <v>320923</v>
      </c>
      <c r="E11078" s="21" t="inlineStr">
        <is>
          <t>江苏省盐城市阜宁县</t>
        </is>
      </c>
    </row>
    <row r="11079">
      <c r="B11079" s="41" t="inlineStr">
        <is>
          <t>AreaCode</t>
        </is>
      </c>
      <c r="C11079" s="129" t="inlineStr">
        <is>
          <t>地区代码</t>
        </is>
      </c>
      <c r="D11079" s="21" t="n">
        <v>320924</v>
      </c>
      <c r="E11079" s="21" t="inlineStr">
        <is>
          <t>江苏省盐城市射阳县</t>
        </is>
      </c>
    </row>
    <row r="11080">
      <c r="B11080" s="41" t="inlineStr">
        <is>
          <t>AreaCode</t>
        </is>
      </c>
      <c r="C11080" s="129" t="inlineStr">
        <is>
          <t>地区代码</t>
        </is>
      </c>
      <c r="D11080" s="21" t="n">
        <v>320925</v>
      </c>
      <c r="E11080" s="21" t="inlineStr">
        <is>
          <t>江苏省盐城市建湖县</t>
        </is>
      </c>
    </row>
    <row r="11081">
      <c r="B11081" s="41" t="inlineStr">
        <is>
          <t>AreaCode</t>
        </is>
      </c>
      <c r="C11081" s="129" t="inlineStr">
        <is>
          <t>地区代码</t>
        </is>
      </c>
      <c r="D11081" s="21" t="n">
        <v>320981</v>
      </c>
      <c r="E11081" s="21" t="inlineStr">
        <is>
          <t>江苏省盐城市东台市</t>
        </is>
      </c>
    </row>
    <row r="11082">
      <c r="B11082" s="41" t="inlineStr">
        <is>
          <t>AreaCode</t>
        </is>
      </c>
      <c r="C11082" s="129" t="inlineStr">
        <is>
          <t>地区代码</t>
        </is>
      </c>
      <c r="D11082" s="21" t="n">
        <v>320982</v>
      </c>
      <c r="E11082" s="21" t="inlineStr">
        <is>
          <t>江苏省盐城市大丰市</t>
        </is>
      </c>
    </row>
    <row r="11083">
      <c r="B11083" s="41" t="inlineStr">
        <is>
          <t>AreaCode</t>
        </is>
      </c>
      <c r="C11083" s="129" t="inlineStr">
        <is>
          <t>地区代码</t>
        </is>
      </c>
      <c r="D11083" s="21" t="n">
        <v>321000</v>
      </c>
      <c r="E11083" s="21" t="inlineStr">
        <is>
          <t>江苏省扬州市</t>
        </is>
      </c>
    </row>
    <row r="11084">
      <c r="B11084" s="41" t="inlineStr">
        <is>
          <t>AreaCode</t>
        </is>
      </c>
      <c r="C11084" s="129" t="inlineStr">
        <is>
          <t>地区代码</t>
        </is>
      </c>
      <c r="D11084" s="21" t="n">
        <v>321001</v>
      </c>
      <c r="E11084" s="21" t="inlineStr">
        <is>
          <t>江苏省扬州市市辖区</t>
        </is>
      </c>
    </row>
    <row r="11085">
      <c r="B11085" s="41" t="inlineStr">
        <is>
          <t>AreaCode</t>
        </is>
      </c>
      <c r="C11085" s="129" t="inlineStr">
        <is>
          <t>地区代码</t>
        </is>
      </c>
      <c r="D11085" s="21" t="n">
        <v>321002</v>
      </c>
      <c r="E11085" s="21" t="inlineStr">
        <is>
          <t>江苏省扬州市广陵区</t>
        </is>
      </c>
    </row>
    <row r="11086">
      <c r="B11086" s="41" t="inlineStr">
        <is>
          <t>AreaCode</t>
        </is>
      </c>
      <c r="C11086" s="129" t="inlineStr">
        <is>
          <t>地区代码</t>
        </is>
      </c>
      <c r="D11086" s="21" t="n">
        <v>321003</v>
      </c>
      <c r="E11086" s="21" t="inlineStr">
        <is>
          <t>江苏省扬州市邗江区</t>
        </is>
      </c>
    </row>
    <row r="11087">
      <c r="B11087" s="41" t="inlineStr">
        <is>
          <t>AreaCode</t>
        </is>
      </c>
      <c r="C11087" s="129" t="inlineStr">
        <is>
          <t>地区代码</t>
        </is>
      </c>
      <c r="D11087" s="21" t="n">
        <v>321012</v>
      </c>
      <c r="E11087" s="21" t="inlineStr">
        <is>
          <t>江苏省扬州市江都区</t>
        </is>
      </c>
    </row>
    <row r="11088">
      <c r="B11088" s="41" t="inlineStr">
        <is>
          <t>AreaCode</t>
        </is>
      </c>
      <c r="C11088" s="129" t="inlineStr">
        <is>
          <t>地区代码</t>
        </is>
      </c>
      <c r="D11088" s="21" t="n">
        <v>321023</v>
      </c>
      <c r="E11088" s="21" t="inlineStr">
        <is>
          <t>江苏省扬州市宝应县</t>
        </is>
      </c>
    </row>
    <row r="11089">
      <c r="B11089" s="41" t="inlineStr">
        <is>
          <t>AreaCode</t>
        </is>
      </c>
      <c r="C11089" s="129" t="inlineStr">
        <is>
          <t>地区代码</t>
        </is>
      </c>
      <c r="D11089" s="21" t="n">
        <v>321081</v>
      </c>
      <c r="E11089" s="21" t="inlineStr">
        <is>
          <t>江苏省扬州市仪征市</t>
        </is>
      </c>
    </row>
    <row r="11090">
      <c r="B11090" s="41" t="inlineStr">
        <is>
          <t>AreaCode</t>
        </is>
      </c>
      <c r="C11090" s="129" t="inlineStr">
        <is>
          <t>地区代码</t>
        </is>
      </c>
      <c r="D11090" s="21" t="n">
        <v>321084</v>
      </c>
      <c r="E11090" s="21" t="inlineStr">
        <is>
          <t>江苏省扬州市高邮市</t>
        </is>
      </c>
    </row>
    <row r="11091">
      <c r="B11091" s="41" t="inlineStr">
        <is>
          <t>AreaCode</t>
        </is>
      </c>
      <c r="C11091" s="129" t="inlineStr">
        <is>
          <t>地区代码</t>
        </is>
      </c>
      <c r="D11091" s="21" t="n">
        <v>321100</v>
      </c>
      <c r="E11091" s="21" t="inlineStr">
        <is>
          <t>江苏省镇江市</t>
        </is>
      </c>
    </row>
    <row r="11092">
      <c r="B11092" s="41" t="inlineStr">
        <is>
          <t>AreaCode</t>
        </is>
      </c>
      <c r="C11092" s="129" t="inlineStr">
        <is>
          <t>地区代码</t>
        </is>
      </c>
      <c r="D11092" s="21" t="n">
        <v>321101</v>
      </c>
      <c r="E11092" s="21" t="inlineStr">
        <is>
          <t>江苏省镇江市市辖区</t>
        </is>
      </c>
    </row>
    <row r="11093">
      <c r="B11093" s="41" t="inlineStr">
        <is>
          <t>AreaCode</t>
        </is>
      </c>
      <c r="C11093" s="129" t="inlineStr">
        <is>
          <t>地区代码</t>
        </is>
      </c>
      <c r="D11093" s="21" t="n">
        <v>321102</v>
      </c>
      <c r="E11093" s="21" t="inlineStr">
        <is>
          <t>江苏省镇江市京口区</t>
        </is>
      </c>
    </row>
    <row r="11094">
      <c r="B11094" s="41" t="inlineStr">
        <is>
          <t>AreaCode</t>
        </is>
      </c>
      <c r="C11094" s="129" t="inlineStr">
        <is>
          <t>地区代码</t>
        </is>
      </c>
      <c r="D11094" s="21" t="n">
        <v>321111</v>
      </c>
      <c r="E11094" s="21" t="inlineStr">
        <is>
          <t>江苏省镇江市润州区</t>
        </is>
      </c>
    </row>
    <row r="11095">
      <c r="B11095" s="41" t="inlineStr">
        <is>
          <t>AreaCode</t>
        </is>
      </c>
      <c r="C11095" s="129" t="inlineStr">
        <is>
          <t>地区代码</t>
        </is>
      </c>
      <c r="D11095" s="21" t="n">
        <v>321112</v>
      </c>
      <c r="E11095" s="21" t="inlineStr">
        <is>
          <t>江苏省镇江市丹徒区</t>
        </is>
      </c>
    </row>
    <row r="11096">
      <c r="B11096" s="41" t="inlineStr">
        <is>
          <t>AreaCode</t>
        </is>
      </c>
      <c r="C11096" s="129" t="inlineStr">
        <is>
          <t>地区代码</t>
        </is>
      </c>
      <c r="D11096" s="21" t="n">
        <v>321181</v>
      </c>
      <c r="E11096" s="21" t="inlineStr">
        <is>
          <t>江苏省镇江市丹阳市</t>
        </is>
      </c>
    </row>
    <row r="11097">
      <c r="B11097" s="41" t="inlineStr">
        <is>
          <t>AreaCode</t>
        </is>
      </c>
      <c r="C11097" s="129" t="inlineStr">
        <is>
          <t>地区代码</t>
        </is>
      </c>
      <c r="D11097" s="21" t="n">
        <v>321182</v>
      </c>
      <c r="E11097" s="21" t="inlineStr">
        <is>
          <t>江苏省镇江市扬中市</t>
        </is>
      </c>
    </row>
    <row r="11098">
      <c r="B11098" s="41" t="inlineStr">
        <is>
          <t>AreaCode</t>
        </is>
      </c>
      <c r="C11098" s="129" t="inlineStr">
        <is>
          <t>地区代码</t>
        </is>
      </c>
      <c r="D11098" s="21" t="n">
        <v>321183</v>
      </c>
      <c r="E11098" s="21" t="inlineStr">
        <is>
          <t>江苏省镇江市句容市</t>
        </is>
      </c>
    </row>
    <row r="11099">
      <c r="B11099" s="41" t="inlineStr">
        <is>
          <t>AreaCode</t>
        </is>
      </c>
      <c r="C11099" s="129" t="inlineStr">
        <is>
          <t>地区代码</t>
        </is>
      </c>
      <c r="D11099" s="21" t="n">
        <v>321200</v>
      </c>
      <c r="E11099" s="21" t="inlineStr">
        <is>
          <t>江苏省泰州市</t>
        </is>
      </c>
    </row>
    <row r="11100">
      <c r="B11100" s="41" t="inlineStr">
        <is>
          <t>AreaCode</t>
        </is>
      </c>
      <c r="C11100" s="129" t="inlineStr">
        <is>
          <t>地区代码</t>
        </is>
      </c>
      <c r="D11100" s="21" t="n">
        <v>321201</v>
      </c>
      <c r="E11100" s="21" t="inlineStr">
        <is>
          <t>江苏省泰州市市辖区</t>
        </is>
      </c>
    </row>
    <row r="11101">
      <c r="B11101" s="41" t="inlineStr">
        <is>
          <t>AreaCode</t>
        </is>
      </c>
      <c r="C11101" s="129" t="inlineStr">
        <is>
          <t>地区代码</t>
        </is>
      </c>
      <c r="D11101" s="21" t="n">
        <v>321202</v>
      </c>
      <c r="E11101" s="21" t="inlineStr">
        <is>
          <t>江苏省泰州市海陵区</t>
        </is>
      </c>
    </row>
    <row r="11102">
      <c r="B11102" s="41" t="inlineStr">
        <is>
          <t>AreaCode</t>
        </is>
      </c>
      <c r="C11102" s="129" t="inlineStr">
        <is>
          <t>地区代码</t>
        </is>
      </c>
      <c r="D11102" s="21" t="n">
        <v>321203</v>
      </c>
      <c r="E11102" s="21" t="inlineStr">
        <is>
          <t>江苏省泰州市高港区</t>
        </is>
      </c>
    </row>
    <row r="11103">
      <c r="B11103" s="41" t="inlineStr">
        <is>
          <t>AreaCode</t>
        </is>
      </c>
      <c r="C11103" s="129" t="inlineStr">
        <is>
          <t>地区代码</t>
        </is>
      </c>
      <c r="D11103" s="21" t="n">
        <v>321204</v>
      </c>
      <c r="E11103" s="21" t="inlineStr">
        <is>
          <t>江苏省泰州市姜堰市</t>
        </is>
      </c>
    </row>
    <row r="11104">
      <c r="B11104" s="41" t="inlineStr">
        <is>
          <t>AreaCode</t>
        </is>
      </c>
      <c r="C11104" s="129" t="inlineStr">
        <is>
          <t>地区代码</t>
        </is>
      </c>
      <c r="D11104" s="21" t="n">
        <v>321281</v>
      </c>
      <c r="E11104" s="21" t="inlineStr">
        <is>
          <t>江苏省泰州市兴化市</t>
        </is>
      </c>
    </row>
    <row r="11105">
      <c r="B11105" s="41" t="inlineStr">
        <is>
          <t>AreaCode</t>
        </is>
      </c>
      <c r="C11105" s="129" t="inlineStr">
        <is>
          <t>地区代码</t>
        </is>
      </c>
      <c r="D11105" s="21" t="n">
        <v>321282</v>
      </c>
      <c r="E11105" s="21" t="inlineStr">
        <is>
          <t>江苏省泰州市靖江市</t>
        </is>
      </c>
    </row>
    <row r="11106">
      <c r="B11106" s="41" t="inlineStr">
        <is>
          <t>AreaCode</t>
        </is>
      </c>
      <c r="C11106" s="129" t="inlineStr">
        <is>
          <t>地区代码</t>
        </is>
      </c>
      <c r="D11106" s="21" t="n">
        <v>321283</v>
      </c>
      <c r="E11106" s="21" t="inlineStr">
        <is>
          <t>江苏省泰州市泰兴市</t>
        </is>
      </c>
    </row>
    <row r="11107">
      <c r="B11107" s="41" t="inlineStr">
        <is>
          <t>AreaCode</t>
        </is>
      </c>
      <c r="C11107" s="129" t="inlineStr">
        <is>
          <t>地区代码</t>
        </is>
      </c>
      <c r="D11107" s="21" t="n">
        <v>321300</v>
      </c>
      <c r="E11107" s="21" t="inlineStr">
        <is>
          <t>江苏省宿迁市</t>
        </is>
      </c>
    </row>
    <row r="11108">
      <c r="B11108" s="41" t="inlineStr">
        <is>
          <t>AreaCode</t>
        </is>
      </c>
      <c r="C11108" s="129" t="inlineStr">
        <is>
          <t>地区代码</t>
        </is>
      </c>
      <c r="D11108" s="21" t="n">
        <v>321301</v>
      </c>
      <c r="E11108" s="21" t="inlineStr">
        <is>
          <t>江苏省宿迁市市辖区</t>
        </is>
      </c>
    </row>
    <row r="11109">
      <c r="B11109" s="41" t="inlineStr">
        <is>
          <t>AreaCode</t>
        </is>
      </c>
      <c r="C11109" s="129" t="inlineStr">
        <is>
          <t>地区代码</t>
        </is>
      </c>
      <c r="D11109" s="21" t="n">
        <v>321302</v>
      </c>
      <c r="E11109" s="21" t="inlineStr">
        <is>
          <t>江苏省宿迁市宿城区</t>
        </is>
      </c>
    </row>
    <row r="11110">
      <c r="B11110" s="41" t="inlineStr">
        <is>
          <t>AreaCode</t>
        </is>
      </c>
      <c r="C11110" s="129" t="inlineStr">
        <is>
          <t>地区代码</t>
        </is>
      </c>
      <c r="D11110" s="21" t="n">
        <v>321311</v>
      </c>
      <c r="E11110" s="21" t="inlineStr">
        <is>
          <t>江苏省宿迁市宿豫区</t>
        </is>
      </c>
    </row>
    <row r="11111">
      <c r="B11111" s="41" t="inlineStr">
        <is>
          <t>AreaCode</t>
        </is>
      </c>
      <c r="C11111" s="129" t="inlineStr">
        <is>
          <t>地区代码</t>
        </is>
      </c>
      <c r="D11111" s="21" t="n">
        <v>321322</v>
      </c>
      <c r="E11111" s="21" t="inlineStr">
        <is>
          <t>江苏省宿迁市沭阳县</t>
        </is>
      </c>
    </row>
    <row r="11112">
      <c r="B11112" s="41" t="inlineStr">
        <is>
          <t>AreaCode</t>
        </is>
      </c>
      <c r="C11112" s="129" t="inlineStr">
        <is>
          <t>地区代码</t>
        </is>
      </c>
      <c r="D11112" s="21" t="n">
        <v>321323</v>
      </c>
      <c r="E11112" s="21" t="inlineStr">
        <is>
          <t>江苏省宿迁市泗阳县</t>
        </is>
      </c>
    </row>
    <row r="11113">
      <c r="B11113" s="41" t="inlineStr">
        <is>
          <t>AreaCode</t>
        </is>
      </c>
      <c r="C11113" s="129" t="inlineStr">
        <is>
          <t>地区代码</t>
        </is>
      </c>
      <c r="D11113" s="21" t="n">
        <v>321324</v>
      </c>
      <c r="E11113" s="21" t="inlineStr">
        <is>
          <t>江苏省宿迁市泗洪县</t>
        </is>
      </c>
    </row>
    <row r="11114">
      <c r="B11114" s="41" t="inlineStr">
        <is>
          <t>AreaCode</t>
        </is>
      </c>
      <c r="C11114" s="129" t="inlineStr">
        <is>
          <t>地区代码</t>
        </is>
      </c>
      <c r="D11114" s="21" t="n">
        <v>330000</v>
      </c>
      <c r="E11114" s="21" t="inlineStr">
        <is>
          <t>浙江省</t>
        </is>
      </c>
    </row>
    <row r="11115">
      <c r="B11115" s="41" t="inlineStr">
        <is>
          <t>AreaCode</t>
        </is>
      </c>
      <c r="C11115" s="129" t="inlineStr">
        <is>
          <t>地区代码</t>
        </is>
      </c>
      <c r="D11115" s="21" t="n">
        <v>330100</v>
      </c>
      <c r="E11115" s="21" t="inlineStr">
        <is>
          <t>浙江省杭州市</t>
        </is>
      </c>
    </row>
    <row r="11116">
      <c r="B11116" s="41" t="inlineStr">
        <is>
          <t>AreaCode</t>
        </is>
      </c>
      <c r="C11116" s="129" t="inlineStr">
        <is>
          <t>地区代码</t>
        </is>
      </c>
      <c r="D11116" s="21" t="n">
        <v>330101</v>
      </c>
      <c r="E11116" s="21" t="inlineStr">
        <is>
          <t>浙江省杭州市市辖区</t>
        </is>
      </c>
    </row>
    <row r="11117">
      <c r="B11117" s="41" t="inlineStr">
        <is>
          <t>AreaCode</t>
        </is>
      </c>
      <c r="C11117" s="129" t="inlineStr">
        <is>
          <t>地区代码</t>
        </is>
      </c>
      <c r="D11117" s="21" t="n">
        <v>330102</v>
      </c>
      <c r="E11117" s="21" t="inlineStr">
        <is>
          <t>浙江省杭州市上城区</t>
        </is>
      </c>
    </row>
    <row r="11118">
      <c r="B11118" s="41" t="inlineStr">
        <is>
          <t>AreaCode</t>
        </is>
      </c>
      <c r="C11118" s="129" t="inlineStr">
        <is>
          <t>地区代码</t>
        </is>
      </c>
      <c r="D11118" s="21" t="n">
        <v>330103</v>
      </c>
      <c r="E11118" s="21" t="inlineStr">
        <is>
          <t>浙江省杭州市下城区</t>
        </is>
      </c>
    </row>
    <row r="11119">
      <c r="B11119" s="41" t="inlineStr">
        <is>
          <t>AreaCode</t>
        </is>
      </c>
      <c r="C11119" s="129" t="inlineStr">
        <is>
          <t>地区代码</t>
        </is>
      </c>
      <c r="D11119" s="21" t="n">
        <v>330104</v>
      </c>
      <c r="E11119" s="21" t="inlineStr">
        <is>
          <t>浙江省杭州市江干区</t>
        </is>
      </c>
    </row>
    <row r="11120">
      <c r="B11120" s="41" t="inlineStr">
        <is>
          <t>AreaCode</t>
        </is>
      </c>
      <c r="C11120" s="129" t="inlineStr">
        <is>
          <t>地区代码</t>
        </is>
      </c>
      <c r="D11120" s="21" t="n">
        <v>330105</v>
      </c>
      <c r="E11120" s="21" t="inlineStr">
        <is>
          <t>浙江省杭州市拱墅区</t>
        </is>
      </c>
    </row>
    <row r="11121">
      <c r="B11121" s="41" t="inlineStr">
        <is>
          <t>AreaCode</t>
        </is>
      </c>
      <c r="C11121" s="129" t="inlineStr">
        <is>
          <t>地区代码</t>
        </is>
      </c>
      <c r="D11121" s="21" t="n">
        <v>330106</v>
      </c>
      <c r="E11121" s="21" t="inlineStr">
        <is>
          <t>浙江省杭州市西湖区</t>
        </is>
      </c>
    </row>
    <row r="11122">
      <c r="B11122" s="41" t="inlineStr">
        <is>
          <t>AreaCode</t>
        </is>
      </c>
      <c r="C11122" s="129" t="inlineStr">
        <is>
          <t>地区代码</t>
        </is>
      </c>
      <c r="D11122" s="21" t="n">
        <v>330108</v>
      </c>
      <c r="E11122" s="21" t="inlineStr">
        <is>
          <t>浙江省杭州市滨江区</t>
        </is>
      </c>
    </row>
    <row r="11123">
      <c r="B11123" s="41" t="inlineStr">
        <is>
          <t>AreaCode</t>
        </is>
      </c>
      <c r="C11123" s="129" t="inlineStr">
        <is>
          <t>地区代码</t>
        </is>
      </c>
      <c r="D11123" s="21" t="n">
        <v>330109</v>
      </c>
      <c r="E11123" s="21" t="inlineStr">
        <is>
          <t>浙江省杭州市萧山区</t>
        </is>
      </c>
    </row>
    <row r="11124">
      <c r="B11124" s="41" t="inlineStr">
        <is>
          <t>AreaCode</t>
        </is>
      </c>
      <c r="C11124" s="129" t="inlineStr">
        <is>
          <t>地区代码</t>
        </is>
      </c>
      <c r="D11124" s="21" t="n">
        <v>330110</v>
      </c>
      <c r="E11124" s="21" t="inlineStr">
        <is>
          <t>浙江省杭州市余杭区</t>
        </is>
      </c>
    </row>
    <row r="11125">
      <c r="B11125" s="41" t="inlineStr">
        <is>
          <t>AreaCode</t>
        </is>
      </c>
      <c r="C11125" s="129" t="inlineStr">
        <is>
          <t>地区代码</t>
        </is>
      </c>
      <c r="D11125" s="21" t="n">
        <v>330122</v>
      </c>
      <c r="E11125" s="21" t="inlineStr">
        <is>
          <t>浙江省杭州市桐庐县</t>
        </is>
      </c>
    </row>
    <row r="11126">
      <c r="B11126" s="41" t="inlineStr">
        <is>
          <t>AreaCode</t>
        </is>
      </c>
      <c r="C11126" s="129" t="inlineStr">
        <is>
          <t>地区代码</t>
        </is>
      </c>
      <c r="D11126" s="21" t="n">
        <v>330127</v>
      </c>
      <c r="E11126" s="21" t="inlineStr">
        <is>
          <t>浙江省杭州市淳安县</t>
        </is>
      </c>
    </row>
    <row r="11127">
      <c r="B11127" s="41" t="inlineStr">
        <is>
          <t>AreaCode</t>
        </is>
      </c>
      <c r="C11127" s="129" t="inlineStr">
        <is>
          <t>地区代码</t>
        </is>
      </c>
      <c r="D11127" s="21" t="n">
        <v>330182</v>
      </c>
      <c r="E11127" s="21" t="inlineStr">
        <is>
          <t>浙江省杭州市建德市</t>
        </is>
      </c>
    </row>
    <row r="11128">
      <c r="B11128" s="41" t="inlineStr">
        <is>
          <t>AreaCode</t>
        </is>
      </c>
      <c r="C11128" s="129" t="inlineStr">
        <is>
          <t>地区代码</t>
        </is>
      </c>
      <c r="D11128" s="21" t="n">
        <v>330183</v>
      </c>
      <c r="E11128" s="21" t="inlineStr">
        <is>
          <t>浙江省杭州市富阳市</t>
        </is>
      </c>
    </row>
    <row r="11129">
      <c r="B11129" s="41" t="inlineStr">
        <is>
          <t>AreaCode</t>
        </is>
      </c>
      <c r="C11129" s="129" t="inlineStr">
        <is>
          <t>地区代码</t>
        </is>
      </c>
      <c r="D11129" s="21" t="n">
        <v>330185</v>
      </c>
      <c r="E11129" s="21" t="inlineStr">
        <is>
          <t>浙江省杭州市临安市</t>
        </is>
      </c>
    </row>
    <row r="11130">
      <c r="B11130" s="41" t="inlineStr">
        <is>
          <t>AreaCode</t>
        </is>
      </c>
      <c r="C11130" s="129" t="inlineStr">
        <is>
          <t>地区代码</t>
        </is>
      </c>
      <c r="D11130" s="21" t="n">
        <v>330200</v>
      </c>
      <c r="E11130" s="21" t="inlineStr">
        <is>
          <t>浙江省宁波市</t>
        </is>
      </c>
    </row>
    <row r="11131">
      <c r="B11131" s="41" t="inlineStr">
        <is>
          <t>AreaCode</t>
        </is>
      </c>
      <c r="C11131" s="129" t="inlineStr">
        <is>
          <t>地区代码</t>
        </is>
      </c>
      <c r="D11131" s="21" t="n">
        <v>330201</v>
      </c>
      <c r="E11131" s="21" t="inlineStr">
        <is>
          <t>浙江省宁波市市辖区</t>
        </is>
      </c>
    </row>
    <row r="11132">
      <c r="B11132" s="41" t="inlineStr">
        <is>
          <t>AreaCode</t>
        </is>
      </c>
      <c r="C11132" s="129" t="inlineStr">
        <is>
          <t>地区代码</t>
        </is>
      </c>
      <c r="D11132" s="21" t="n">
        <v>330203</v>
      </c>
      <c r="E11132" s="21" t="inlineStr">
        <is>
          <t>浙江省宁波市海曙区</t>
        </is>
      </c>
    </row>
    <row r="11133">
      <c r="B11133" s="41" t="inlineStr">
        <is>
          <t>AreaCode</t>
        </is>
      </c>
      <c r="C11133" s="129" t="inlineStr">
        <is>
          <t>地区代码</t>
        </is>
      </c>
      <c r="D11133" s="21" t="n">
        <v>330204</v>
      </c>
      <c r="E11133" s="21" t="inlineStr">
        <is>
          <t>浙江省宁波市江东区</t>
        </is>
      </c>
    </row>
    <row r="11134">
      <c r="B11134" s="41" t="inlineStr">
        <is>
          <t>AreaCode</t>
        </is>
      </c>
      <c r="C11134" s="129" t="inlineStr">
        <is>
          <t>地区代码</t>
        </is>
      </c>
      <c r="D11134" s="21" t="n">
        <v>330205</v>
      </c>
      <c r="E11134" s="21" t="inlineStr">
        <is>
          <t>浙江省宁波市江北区</t>
        </is>
      </c>
    </row>
    <row r="11135">
      <c r="B11135" s="41" t="inlineStr">
        <is>
          <t>AreaCode</t>
        </is>
      </c>
      <c r="C11135" s="129" t="inlineStr">
        <is>
          <t>地区代码</t>
        </is>
      </c>
      <c r="D11135" s="21" t="n">
        <v>330206</v>
      </c>
      <c r="E11135" s="21" t="inlineStr">
        <is>
          <t>浙江省宁波市北仑区</t>
        </is>
      </c>
    </row>
    <row r="11136">
      <c r="B11136" s="41" t="inlineStr">
        <is>
          <t>AreaCode</t>
        </is>
      </c>
      <c r="C11136" s="129" t="inlineStr">
        <is>
          <t>地区代码</t>
        </is>
      </c>
      <c r="D11136" s="21" t="n">
        <v>330211</v>
      </c>
      <c r="E11136" s="21" t="inlineStr">
        <is>
          <t>浙江省宁波市镇海区</t>
        </is>
      </c>
    </row>
    <row r="11137">
      <c r="B11137" s="41" t="inlineStr">
        <is>
          <t>AreaCode</t>
        </is>
      </c>
      <c r="C11137" s="129" t="inlineStr">
        <is>
          <t>地区代码</t>
        </is>
      </c>
      <c r="D11137" s="21" t="n">
        <v>330212</v>
      </c>
      <c r="E11137" s="21" t="inlineStr">
        <is>
          <t>浙江省宁波市鄞州区</t>
        </is>
      </c>
    </row>
    <row r="11138">
      <c r="B11138" s="41" t="inlineStr">
        <is>
          <t>AreaCode</t>
        </is>
      </c>
      <c r="C11138" s="129" t="inlineStr">
        <is>
          <t>地区代码</t>
        </is>
      </c>
      <c r="D11138" s="21" t="n">
        <v>330225</v>
      </c>
      <c r="E11138" s="21" t="inlineStr">
        <is>
          <t>浙江省宁波市象山县</t>
        </is>
      </c>
    </row>
    <row r="11139">
      <c r="B11139" s="41" t="inlineStr">
        <is>
          <t>AreaCode</t>
        </is>
      </c>
      <c r="C11139" s="129" t="inlineStr">
        <is>
          <t>地区代码</t>
        </is>
      </c>
      <c r="D11139" s="21" t="n">
        <v>330226</v>
      </c>
      <c r="E11139" s="21" t="inlineStr">
        <is>
          <t>浙江省宁波市宁海县</t>
        </is>
      </c>
    </row>
    <row r="11140">
      <c r="B11140" s="41" t="inlineStr">
        <is>
          <t>AreaCode</t>
        </is>
      </c>
      <c r="C11140" s="129" t="inlineStr">
        <is>
          <t>地区代码</t>
        </is>
      </c>
      <c r="D11140" s="21" t="n">
        <v>330281</v>
      </c>
      <c r="E11140" s="21" t="inlineStr">
        <is>
          <t>浙江省宁波市余姚市</t>
        </is>
      </c>
    </row>
    <row r="11141">
      <c r="B11141" s="41" t="inlineStr">
        <is>
          <t>AreaCode</t>
        </is>
      </c>
      <c r="C11141" s="129" t="inlineStr">
        <is>
          <t>地区代码</t>
        </is>
      </c>
      <c r="D11141" s="21" t="n">
        <v>330282</v>
      </c>
      <c r="E11141" s="21" t="inlineStr">
        <is>
          <t>浙江省宁波市慈溪市</t>
        </is>
      </c>
    </row>
    <row r="11142">
      <c r="B11142" s="41" t="inlineStr">
        <is>
          <t>AreaCode</t>
        </is>
      </c>
      <c r="C11142" s="129" t="inlineStr">
        <is>
          <t>地区代码</t>
        </is>
      </c>
      <c r="D11142" s="21" t="n">
        <v>330283</v>
      </c>
      <c r="E11142" s="21" t="inlineStr">
        <is>
          <t>浙江省宁波市奉化市</t>
        </is>
      </c>
    </row>
    <row r="11143">
      <c r="B11143" s="41" t="inlineStr">
        <is>
          <t>AreaCode</t>
        </is>
      </c>
      <c r="C11143" s="129" t="inlineStr">
        <is>
          <t>地区代码</t>
        </is>
      </c>
      <c r="D11143" s="21" t="n">
        <v>330300</v>
      </c>
      <c r="E11143" s="21" t="inlineStr">
        <is>
          <t>浙江省温州市</t>
        </is>
      </c>
    </row>
    <row r="11144">
      <c r="B11144" s="41" t="inlineStr">
        <is>
          <t>AreaCode</t>
        </is>
      </c>
      <c r="C11144" s="129" t="inlineStr">
        <is>
          <t>地区代码</t>
        </is>
      </c>
      <c r="D11144" s="21" t="n">
        <v>330301</v>
      </c>
      <c r="E11144" s="21" t="inlineStr">
        <is>
          <t>浙江省温州市市辖区</t>
        </is>
      </c>
    </row>
    <row r="11145">
      <c r="B11145" s="41" t="inlineStr">
        <is>
          <t>AreaCode</t>
        </is>
      </c>
      <c r="C11145" s="129" t="inlineStr">
        <is>
          <t>地区代码</t>
        </is>
      </c>
      <c r="D11145" s="21" t="n">
        <v>330302</v>
      </c>
      <c r="E11145" s="21" t="inlineStr">
        <is>
          <t>浙江省温州市鹿城区</t>
        </is>
      </c>
    </row>
    <row r="11146">
      <c r="B11146" s="41" t="inlineStr">
        <is>
          <t>AreaCode</t>
        </is>
      </c>
      <c r="C11146" s="129" t="inlineStr">
        <is>
          <t>地区代码</t>
        </is>
      </c>
      <c r="D11146" s="21" t="n">
        <v>330303</v>
      </c>
      <c r="E11146" s="21" t="inlineStr">
        <is>
          <t>浙江省温州市龙湾区</t>
        </is>
      </c>
    </row>
    <row r="11147">
      <c r="B11147" s="41" t="inlineStr">
        <is>
          <t>AreaCode</t>
        </is>
      </c>
      <c r="C11147" s="129" t="inlineStr">
        <is>
          <t>地区代码</t>
        </is>
      </c>
      <c r="D11147" s="21" t="n">
        <v>330304</v>
      </c>
      <c r="E11147" s="21" t="inlineStr">
        <is>
          <t>浙江省温州市瓯海区</t>
        </is>
      </c>
    </row>
    <row r="11148">
      <c r="B11148" s="41" t="inlineStr">
        <is>
          <t>AreaCode</t>
        </is>
      </c>
      <c r="C11148" s="129" t="inlineStr">
        <is>
          <t>地区代码</t>
        </is>
      </c>
      <c r="D11148" s="21" t="n">
        <v>330322</v>
      </c>
      <c r="E11148" s="21" t="inlineStr">
        <is>
          <t>浙江省温州市洞头县</t>
        </is>
      </c>
    </row>
    <row r="11149">
      <c r="B11149" s="41" t="inlineStr">
        <is>
          <t>AreaCode</t>
        </is>
      </c>
      <c r="C11149" s="129" t="inlineStr">
        <is>
          <t>地区代码</t>
        </is>
      </c>
      <c r="D11149" s="21" t="n">
        <v>330324</v>
      </c>
      <c r="E11149" s="21" t="inlineStr">
        <is>
          <t>浙江省温州市永嘉县</t>
        </is>
      </c>
    </row>
    <row r="11150">
      <c r="B11150" s="41" t="inlineStr">
        <is>
          <t>AreaCode</t>
        </is>
      </c>
      <c r="C11150" s="129" t="inlineStr">
        <is>
          <t>地区代码</t>
        </is>
      </c>
      <c r="D11150" s="21" t="n">
        <v>330326</v>
      </c>
      <c r="E11150" s="21" t="inlineStr">
        <is>
          <t>浙江省温州市平阳县</t>
        </is>
      </c>
    </row>
    <row r="11151">
      <c r="B11151" s="41" t="inlineStr">
        <is>
          <t>AreaCode</t>
        </is>
      </c>
      <c r="C11151" s="129" t="inlineStr">
        <is>
          <t>地区代码</t>
        </is>
      </c>
      <c r="D11151" s="21" t="n">
        <v>330327</v>
      </c>
      <c r="E11151" s="21" t="inlineStr">
        <is>
          <t>浙江省温州市苍南县</t>
        </is>
      </c>
    </row>
    <row r="11152">
      <c r="B11152" s="41" t="inlineStr">
        <is>
          <t>AreaCode</t>
        </is>
      </c>
      <c r="C11152" s="129" t="inlineStr">
        <is>
          <t>地区代码</t>
        </is>
      </c>
      <c r="D11152" s="21" t="n">
        <v>330328</v>
      </c>
      <c r="E11152" s="21" t="inlineStr">
        <is>
          <t>浙江省温州市文成县</t>
        </is>
      </c>
    </row>
    <row r="11153">
      <c r="B11153" s="41" t="inlineStr">
        <is>
          <t>AreaCode</t>
        </is>
      </c>
      <c r="C11153" s="129" t="inlineStr">
        <is>
          <t>地区代码</t>
        </is>
      </c>
      <c r="D11153" s="21" t="n">
        <v>330329</v>
      </c>
      <c r="E11153" s="21" t="inlineStr">
        <is>
          <t>浙江省温州市泰顺县</t>
        </is>
      </c>
    </row>
    <row r="11154">
      <c r="B11154" s="41" t="inlineStr">
        <is>
          <t>AreaCode</t>
        </is>
      </c>
      <c r="C11154" s="129" t="inlineStr">
        <is>
          <t>地区代码</t>
        </is>
      </c>
      <c r="D11154" s="21" t="n">
        <v>330381</v>
      </c>
      <c r="E11154" s="21" t="inlineStr">
        <is>
          <t>浙江省温州市瑞安市</t>
        </is>
      </c>
    </row>
    <row r="11155">
      <c r="B11155" s="41" t="inlineStr">
        <is>
          <t>AreaCode</t>
        </is>
      </c>
      <c r="C11155" s="129" t="inlineStr">
        <is>
          <t>地区代码</t>
        </is>
      </c>
      <c r="D11155" s="21" t="n">
        <v>330382</v>
      </c>
      <c r="E11155" s="21" t="inlineStr">
        <is>
          <t>浙江省温州市乐清市</t>
        </is>
      </c>
    </row>
    <row r="11156">
      <c r="B11156" s="41" t="inlineStr">
        <is>
          <t>AreaCode</t>
        </is>
      </c>
      <c r="C11156" s="129" t="inlineStr">
        <is>
          <t>地区代码</t>
        </is>
      </c>
      <c r="D11156" s="21" t="n">
        <v>330400</v>
      </c>
      <c r="E11156" s="21" t="inlineStr">
        <is>
          <t>浙江省嘉兴市</t>
        </is>
      </c>
    </row>
    <row r="11157">
      <c r="B11157" s="41" t="inlineStr">
        <is>
          <t>AreaCode</t>
        </is>
      </c>
      <c r="C11157" s="129" t="inlineStr">
        <is>
          <t>地区代码</t>
        </is>
      </c>
      <c r="D11157" s="21" t="n">
        <v>330401</v>
      </c>
      <c r="E11157" s="21" t="inlineStr">
        <is>
          <t>浙江省嘉兴市市辖区</t>
        </is>
      </c>
    </row>
    <row r="11158">
      <c r="B11158" s="41" t="inlineStr">
        <is>
          <t>AreaCode</t>
        </is>
      </c>
      <c r="C11158" s="129" t="inlineStr">
        <is>
          <t>地区代码</t>
        </is>
      </c>
      <c r="D11158" s="21" t="n">
        <v>330402</v>
      </c>
      <c r="E11158" s="21" t="inlineStr">
        <is>
          <t>浙江省嘉兴市南湖区</t>
        </is>
      </c>
    </row>
    <row r="11159">
      <c r="B11159" s="41" t="inlineStr">
        <is>
          <t>AreaCode</t>
        </is>
      </c>
      <c r="C11159" s="129" t="inlineStr">
        <is>
          <t>地区代码</t>
        </is>
      </c>
      <c r="D11159" s="21" t="n">
        <v>330411</v>
      </c>
      <c r="E11159" s="21" t="inlineStr">
        <is>
          <t>浙江省嘉兴市秀洲区</t>
        </is>
      </c>
    </row>
    <row r="11160">
      <c r="B11160" s="41" t="inlineStr">
        <is>
          <t>AreaCode</t>
        </is>
      </c>
      <c r="C11160" s="129" t="inlineStr">
        <is>
          <t>地区代码</t>
        </is>
      </c>
      <c r="D11160" s="21" t="n">
        <v>330421</v>
      </c>
      <c r="E11160" s="21" t="inlineStr">
        <is>
          <t>浙江省嘉兴市嘉善县</t>
        </is>
      </c>
    </row>
    <row r="11161">
      <c r="B11161" s="41" t="inlineStr">
        <is>
          <t>AreaCode</t>
        </is>
      </c>
      <c r="C11161" s="129" t="inlineStr">
        <is>
          <t>地区代码</t>
        </is>
      </c>
      <c r="D11161" s="21" t="n">
        <v>330424</v>
      </c>
      <c r="E11161" s="21" t="inlineStr">
        <is>
          <t>浙江省嘉兴市海盐县</t>
        </is>
      </c>
    </row>
    <row r="11162">
      <c r="B11162" s="41" t="inlineStr">
        <is>
          <t>AreaCode</t>
        </is>
      </c>
      <c r="C11162" s="129" t="inlineStr">
        <is>
          <t>地区代码</t>
        </is>
      </c>
      <c r="D11162" s="21" t="n">
        <v>330481</v>
      </c>
      <c r="E11162" s="21" t="inlineStr">
        <is>
          <t>浙江省嘉兴市海宁市</t>
        </is>
      </c>
    </row>
    <row r="11163">
      <c r="B11163" s="41" t="inlineStr">
        <is>
          <t>AreaCode</t>
        </is>
      </c>
      <c r="C11163" s="129" t="inlineStr">
        <is>
          <t>地区代码</t>
        </is>
      </c>
      <c r="D11163" s="21" t="n">
        <v>330482</v>
      </c>
      <c r="E11163" s="21" t="inlineStr">
        <is>
          <t>浙江省嘉兴市平湖市</t>
        </is>
      </c>
    </row>
    <row r="11164">
      <c r="B11164" s="41" t="inlineStr">
        <is>
          <t>AreaCode</t>
        </is>
      </c>
      <c r="C11164" s="129" t="inlineStr">
        <is>
          <t>地区代码</t>
        </is>
      </c>
      <c r="D11164" s="21" t="n">
        <v>330483</v>
      </c>
      <c r="E11164" s="21" t="inlineStr">
        <is>
          <t>浙江省嘉兴市桐乡市</t>
        </is>
      </c>
    </row>
    <row r="11165">
      <c r="B11165" s="41" t="inlineStr">
        <is>
          <t>AreaCode</t>
        </is>
      </c>
      <c r="C11165" s="129" t="inlineStr">
        <is>
          <t>地区代码</t>
        </is>
      </c>
      <c r="D11165" s="21" t="n">
        <v>330500</v>
      </c>
      <c r="E11165" s="21" t="inlineStr">
        <is>
          <t>浙江省湖州市</t>
        </is>
      </c>
    </row>
    <row r="11166">
      <c r="B11166" s="41" t="inlineStr">
        <is>
          <t>AreaCode</t>
        </is>
      </c>
      <c r="C11166" s="129" t="inlineStr">
        <is>
          <t>地区代码</t>
        </is>
      </c>
      <c r="D11166" s="21" t="n">
        <v>330501</v>
      </c>
      <c r="E11166" s="21" t="inlineStr">
        <is>
          <t>浙江省湖州市市辖区</t>
        </is>
      </c>
    </row>
    <row r="11167">
      <c r="B11167" s="41" t="inlineStr">
        <is>
          <t>AreaCode</t>
        </is>
      </c>
      <c r="C11167" s="129" t="inlineStr">
        <is>
          <t>地区代码</t>
        </is>
      </c>
      <c r="D11167" s="21" t="n">
        <v>330502</v>
      </c>
      <c r="E11167" s="21" t="inlineStr">
        <is>
          <t>浙江省湖州市吴兴区</t>
        </is>
      </c>
    </row>
    <row r="11168">
      <c r="B11168" s="41" t="inlineStr">
        <is>
          <t>AreaCode</t>
        </is>
      </c>
      <c r="C11168" s="129" t="inlineStr">
        <is>
          <t>地区代码</t>
        </is>
      </c>
      <c r="D11168" s="21" t="n">
        <v>330503</v>
      </c>
      <c r="E11168" s="21" t="inlineStr">
        <is>
          <t>浙江省湖州市南浔区</t>
        </is>
      </c>
    </row>
    <row r="11169">
      <c r="B11169" s="41" t="inlineStr">
        <is>
          <t>AreaCode</t>
        </is>
      </c>
      <c r="C11169" s="129" t="inlineStr">
        <is>
          <t>地区代码</t>
        </is>
      </c>
      <c r="D11169" s="21" t="n">
        <v>330521</v>
      </c>
      <c r="E11169" s="21" t="inlineStr">
        <is>
          <t>浙江省湖州市德清县</t>
        </is>
      </c>
    </row>
    <row r="11170">
      <c r="B11170" s="41" t="inlineStr">
        <is>
          <t>AreaCode</t>
        </is>
      </c>
      <c r="C11170" s="129" t="inlineStr">
        <is>
          <t>地区代码</t>
        </is>
      </c>
      <c r="D11170" s="21" t="n">
        <v>330522</v>
      </c>
      <c r="E11170" s="21" t="inlineStr">
        <is>
          <t>浙江省湖州市长兴县</t>
        </is>
      </c>
    </row>
    <row r="11171">
      <c r="B11171" s="41" t="inlineStr">
        <is>
          <t>AreaCode</t>
        </is>
      </c>
      <c r="C11171" s="129" t="inlineStr">
        <is>
          <t>地区代码</t>
        </is>
      </c>
      <c r="D11171" s="21" t="n">
        <v>330523</v>
      </c>
      <c r="E11171" s="21" t="inlineStr">
        <is>
          <t>浙江省湖州市安吉县</t>
        </is>
      </c>
    </row>
    <row r="11172">
      <c r="B11172" s="41" t="inlineStr">
        <is>
          <t>AreaCode</t>
        </is>
      </c>
      <c r="C11172" s="129" t="inlineStr">
        <is>
          <t>地区代码</t>
        </is>
      </c>
      <c r="D11172" s="21" t="n">
        <v>330600</v>
      </c>
      <c r="E11172" s="21" t="inlineStr">
        <is>
          <t>浙江省绍兴市</t>
        </is>
      </c>
    </row>
    <row r="11173">
      <c r="B11173" s="41" t="inlineStr">
        <is>
          <t>AreaCode</t>
        </is>
      </c>
      <c r="C11173" s="129" t="inlineStr">
        <is>
          <t>地区代码</t>
        </is>
      </c>
      <c r="D11173" s="21" t="n">
        <v>330601</v>
      </c>
      <c r="E11173" s="21" t="inlineStr">
        <is>
          <t>浙江省绍兴市市辖区</t>
        </is>
      </c>
    </row>
    <row r="11174">
      <c r="B11174" s="41" t="inlineStr">
        <is>
          <t>AreaCode</t>
        </is>
      </c>
      <c r="C11174" s="129" t="inlineStr">
        <is>
          <t>地区代码</t>
        </is>
      </c>
      <c r="D11174" s="21" t="n">
        <v>330602</v>
      </c>
      <c r="E11174" s="21" t="inlineStr">
        <is>
          <t>浙江省绍兴市越城区</t>
        </is>
      </c>
    </row>
    <row r="11175">
      <c r="B11175" s="41" t="inlineStr">
        <is>
          <t>AreaCode</t>
        </is>
      </c>
      <c r="C11175" s="129" t="inlineStr">
        <is>
          <t>地区代码</t>
        </is>
      </c>
      <c r="D11175" s="21" t="n">
        <v>330603</v>
      </c>
      <c r="E11175" s="21" t="inlineStr">
        <is>
          <t>浙江省绍兴市柯桥区</t>
        </is>
      </c>
    </row>
    <row r="11176">
      <c r="B11176" s="41" t="inlineStr">
        <is>
          <t>AreaCode</t>
        </is>
      </c>
      <c r="C11176" s="129" t="inlineStr">
        <is>
          <t>地区代码</t>
        </is>
      </c>
      <c r="D11176" s="21" t="n">
        <v>330604</v>
      </c>
      <c r="E11176" s="21" t="inlineStr">
        <is>
          <t>浙江省绍兴市上虞区</t>
        </is>
      </c>
    </row>
    <row r="11177">
      <c r="B11177" s="41" t="inlineStr">
        <is>
          <t>AreaCode</t>
        </is>
      </c>
      <c r="C11177" s="129" t="inlineStr">
        <is>
          <t>地区代码</t>
        </is>
      </c>
      <c r="D11177" s="21" t="n">
        <v>330624</v>
      </c>
      <c r="E11177" s="21" t="inlineStr">
        <is>
          <t>浙江省绍兴市新昌县</t>
        </is>
      </c>
    </row>
    <row r="11178">
      <c r="B11178" s="41" t="inlineStr">
        <is>
          <t>AreaCode</t>
        </is>
      </c>
      <c r="C11178" s="129" t="inlineStr">
        <is>
          <t>地区代码</t>
        </is>
      </c>
      <c r="D11178" s="21" t="n">
        <v>330681</v>
      </c>
      <c r="E11178" s="21" t="inlineStr">
        <is>
          <t>浙江省绍兴市诸暨市</t>
        </is>
      </c>
    </row>
    <row r="11179">
      <c r="B11179" s="41" t="inlineStr">
        <is>
          <t>AreaCode</t>
        </is>
      </c>
      <c r="C11179" s="129" t="inlineStr">
        <is>
          <t>地区代码</t>
        </is>
      </c>
      <c r="D11179" s="21" t="n">
        <v>330683</v>
      </c>
      <c r="E11179" s="21" t="inlineStr">
        <is>
          <t>浙江省绍兴市嵊州市</t>
        </is>
      </c>
    </row>
    <row r="11180">
      <c r="B11180" s="41" t="inlineStr">
        <is>
          <t>AreaCode</t>
        </is>
      </c>
      <c r="C11180" s="129" t="inlineStr">
        <is>
          <t>地区代码</t>
        </is>
      </c>
      <c r="D11180" s="21" t="n">
        <v>330700</v>
      </c>
      <c r="E11180" s="21" t="inlineStr">
        <is>
          <t>浙江省金华市</t>
        </is>
      </c>
    </row>
    <row r="11181">
      <c r="B11181" s="41" t="inlineStr">
        <is>
          <t>AreaCode</t>
        </is>
      </c>
      <c r="C11181" s="129" t="inlineStr">
        <is>
          <t>地区代码</t>
        </is>
      </c>
      <c r="D11181" s="21" t="n">
        <v>330701</v>
      </c>
      <c r="E11181" s="21" t="inlineStr">
        <is>
          <t>浙江省金华市市辖区</t>
        </is>
      </c>
    </row>
    <row r="11182">
      <c r="B11182" s="41" t="inlineStr">
        <is>
          <t>AreaCode</t>
        </is>
      </c>
      <c r="C11182" s="129" t="inlineStr">
        <is>
          <t>地区代码</t>
        </is>
      </c>
      <c r="D11182" s="21" t="n">
        <v>330702</v>
      </c>
      <c r="E11182" s="21" t="inlineStr">
        <is>
          <t>浙江省金华市婺城区</t>
        </is>
      </c>
    </row>
    <row r="11183">
      <c r="B11183" s="41" t="inlineStr">
        <is>
          <t>AreaCode</t>
        </is>
      </c>
      <c r="C11183" s="129" t="inlineStr">
        <is>
          <t>地区代码</t>
        </is>
      </c>
      <c r="D11183" s="21" t="n">
        <v>330703</v>
      </c>
      <c r="E11183" s="21" t="inlineStr">
        <is>
          <t>浙江省金华市金东区</t>
        </is>
      </c>
    </row>
    <row r="11184">
      <c r="B11184" s="41" t="inlineStr">
        <is>
          <t>AreaCode</t>
        </is>
      </c>
      <c r="C11184" s="129" t="inlineStr">
        <is>
          <t>地区代码</t>
        </is>
      </c>
      <c r="D11184" s="21" t="n">
        <v>330723</v>
      </c>
      <c r="E11184" s="21" t="inlineStr">
        <is>
          <t>浙江省金华市武义县</t>
        </is>
      </c>
    </row>
    <row r="11185">
      <c r="B11185" s="41" t="inlineStr">
        <is>
          <t>AreaCode</t>
        </is>
      </c>
      <c r="C11185" s="129" t="inlineStr">
        <is>
          <t>地区代码</t>
        </is>
      </c>
      <c r="D11185" s="21" t="n">
        <v>330726</v>
      </c>
      <c r="E11185" s="21" t="inlineStr">
        <is>
          <t>浙江省金华市浦江县</t>
        </is>
      </c>
    </row>
    <row r="11186">
      <c r="B11186" s="41" t="inlineStr">
        <is>
          <t>AreaCode</t>
        </is>
      </c>
      <c r="C11186" s="129" t="inlineStr">
        <is>
          <t>地区代码</t>
        </is>
      </c>
      <c r="D11186" s="21" t="n">
        <v>330727</v>
      </c>
      <c r="E11186" s="21" t="inlineStr">
        <is>
          <t>浙江省金华市磐安县</t>
        </is>
      </c>
    </row>
    <row r="11187">
      <c r="B11187" s="41" t="inlineStr">
        <is>
          <t>AreaCode</t>
        </is>
      </c>
      <c r="C11187" s="129" t="inlineStr">
        <is>
          <t>地区代码</t>
        </is>
      </c>
      <c r="D11187" s="21" t="n">
        <v>330781</v>
      </c>
      <c r="E11187" s="21" t="inlineStr">
        <is>
          <t>浙江省金华市兰溪市</t>
        </is>
      </c>
    </row>
    <row r="11188">
      <c r="B11188" s="41" t="inlineStr">
        <is>
          <t>AreaCode</t>
        </is>
      </c>
      <c r="C11188" s="129" t="inlineStr">
        <is>
          <t>地区代码</t>
        </is>
      </c>
      <c r="D11188" s="21" t="n">
        <v>330782</v>
      </c>
      <c r="E11188" s="21" t="inlineStr">
        <is>
          <t>浙江省金华市义乌市</t>
        </is>
      </c>
    </row>
    <row r="11189">
      <c r="B11189" s="41" t="inlineStr">
        <is>
          <t>AreaCode</t>
        </is>
      </c>
      <c r="C11189" s="129" t="inlineStr">
        <is>
          <t>地区代码</t>
        </is>
      </c>
      <c r="D11189" s="21" t="n">
        <v>330783</v>
      </c>
      <c r="E11189" s="21" t="inlineStr">
        <is>
          <t>浙江省金华市东阳市</t>
        </is>
      </c>
    </row>
    <row r="11190">
      <c r="B11190" s="41" t="inlineStr">
        <is>
          <t>AreaCode</t>
        </is>
      </c>
      <c r="C11190" s="129" t="inlineStr">
        <is>
          <t>地区代码</t>
        </is>
      </c>
      <c r="D11190" s="21" t="n">
        <v>330784</v>
      </c>
      <c r="E11190" s="21" t="inlineStr">
        <is>
          <t>浙江省金华市永康市</t>
        </is>
      </c>
    </row>
    <row r="11191">
      <c r="B11191" s="41" t="inlineStr">
        <is>
          <t>AreaCode</t>
        </is>
      </c>
      <c r="C11191" s="129" t="inlineStr">
        <is>
          <t>地区代码</t>
        </is>
      </c>
      <c r="D11191" s="21" t="n">
        <v>330800</v>
      </c>
      <c r="E11191" s="21" t="inlineStr">
        <is>
          <t>浙江省衢州市</t>
        </is>
      </c>
    </row>
    <row r="11192">
      <c r="B11192" s="41" t="inlineStr">
        <is>
          <t>AreaCode</t>
        </is>
      </c>
      <c r="C11192" s="129" t="inlineStr">
        <is>
          <t>地区代码</t>
        </is>
      </c>
      <c r="D11192" s="21" t="n">
        <v>330801</v>
      </c>
      <c r="E11192" s="21" t="inlineStr">
        <is>
          <t>浙江省衢州市市辖区</t>
        </is>
      </c>
    </row>
    <row r="11193">
      <c r="B11193" s="41" t="inlineStr">
        <is>
          <t>AreaCode</t>
        </is>
      </c>
      <c r="C11193" s="129" t="inlineStr">
        <is>
          <t>地区代码</t>
        </is>
      </c>
      <c r="D11193" s="21" t="n">
        <v>330802</v>
      </c>
      <c r="E11193" s="21" t="inlineStr">
        <is>
          <t>浙江省衢州市柯城区</t>
        </is>
      </c>
    </row>
    <row r="11194">
      <c r="B11194" s="41" t="inlineStr">
        <is>
          <t>AreaCode</t>
        </is>
      </c>
      <c r="C11194" s="129" t="inlineStr">
        <is>
          <t>地区代码</t>
        </is>
      </c>
      <c r="D11194" s="21" t="n">
        <v>330803</v>
      </c>
      <c r="E11194" s="21" t="inlineStr">
        <is>
          <t>浙江省衢州市衢江区</t>
        </is>
      </c>
    </row>
    <row r="11195">
      <c r="B11195" s="41" t="inlineStr">
        <is>
          <t>AreaCode</t>
        </is>
      </c>
      <c r="C11195" s="129" t="inlineStr">
        <is>
          <t>地区代码</t>
        </is>
      </c>
      <c r="D11195" s="21" t="n">
        <v>330822</v>
      </c>
      <c r="E11195" s="21" t="inlineStr">
        <is>
          <t>浙江省衢州市常山县</t>
        </is>
      </c>
    </row>
    <row r="11196">
      <c r="B11196" s="41" t="inlineStr">
        <is>
          <t>AreaCode</t>
        </is>
      </c>
      <c r="C11196" s="129" t="inlineStr">
        <is>
          <t>地区代码</t>
        </is>
      </c>
      <c r="D11196" s="21" t="n">
        <v>330824</v>
      </c>
      <c r="E11196" s="21" t="inlineStr">
        <is>
          <t>浙江省衢州市开化县</t>
        </is>
      </c>
    </row>
    <row r="11197">
      <c r="B11197" s="41" t="inlineStr">
        <is>
          <t>AreaCode</t>
        </is>
      </c>
      <c r="C11197" s="129" t="inlineStr">
        <is>
          <t>地区代码</t>
        </is>
      </c>
      <c r="D11197" s="21" t="n">
        <v>330825</v>
      </c>
      <c r="E11197" s="21" t="inlineStr">
        <is>
          <t>浙江省衢州市龙游县</t>
        </is>
      </c>
    </row>
    <row r="11198">
      <c r="B11198" s="41" t="inlineStr">
        <is>
          <t>AreaCode</t>
        </is>
      </c>
      <c r="C11198" s="129" t="inlineStr">
        <is>
          <t>地区代码</t>
        </is>
      </c>
      <c r="D11198" s="21" t="n">
        <v>330881</v>
      </c>
      <c r="E11198" s="21" t="inlineStr">
        <is>
          <t>浙江省衢州市江山市</t>
        </is>
      </c>
    </row>
    <row r="11199">
      <c r="B11199" s="41" t="inlineStr">
        <is>
          <t>AreaCode</t>
        </is>
      </c>
      <c r="C11199" s="129" t="inlineStr">
        <is>
          <t>地区代码</t>
        </is>
      </c>
      <c r="D11199" s="21" t="n">
        <v>330900</v>
      </c>
      <c r="E11199" s="21" t="inlineStr">
        <is>
          <t>浙江省舟山市</t>
        </is>
      </c>
    </row>
    <row r="11200">
      <c r="B11200" s="41" t="inlineStr">
        <is>
          <t>AreaCode</t>
        </is>
      </c>
      <c r="C11200" s="129" t="inlineStr">
        <is>
          <t>地区代码</t>
        </is>
      </c>
      <c r="D11200" s="21" t="n">
        <v>330901</v>
      </c>
      <c r="E11200" s="21" t="inlineStr">
        <is>
          <t>浙江省舟山市市辖区</t>
        </is>
      </c>
    </row>
    <row r="11201">
      <c r="B11201" s="41" t="inlineStr">
        <is>
          <t>AreaCode</t>
        </is>
      </c>
      <c r="C11201" s="129" t="inlineStr">
        <is>
          <t>地区代码</t>
        </is>
      </c>
      <c r="D11201" s="21" t="n">
        <v>330902</v>
      </c>
      <c r="E11201" s="21" t="inlineStr">
        <is>
          <t>浙江省舟山市定海区</t>
        </is>
      </c>
    </row>
    <row r="11202">
      <c r="B11202" s="41" t="inlineStr">
        <is>
          <t>AreaCode</t>
        </is>
      </c>
      <c r="C11202" s="129" t="inlineStr">
        <is>
          <t>地区代码</t>
        </is>
      </c>
      <c r="D11202" s="21" t="n">
        <v>330903</v>
      </c>
      <c r="E11202" s="21" t="inlineStr">
        <is>
          <t>浙江省舟山市普陀区</t>
        </is>
      </c>
    </row>
    <row r="11203">
      <c r="B11203" s="41" t="inlineStr">
        <is>
          <t>AreaCode</t>
        </is>
      </c>
      <c r="C11203" s="129" t="inlineStr">
        <is>
          <t>地区代码</t>
        </is>
      </c>
      <c r="D11203" s="21" t="n">
        <v>330921</v>
      </c>
      <c r="E11203" s="21" t="inlineStr">
        <is>
          <t>浙江省舟山市岱山县</t>
        </is>
      </c>
    </row>
    <row r="11204">
      <c r="B11204" s="41" t="inlineStr">
        <is>
          <t>AreaCode</t>
        </is>
      </c>
      <c r="C11204" s="129" t="inlineStr">
        <is>
          <t>地区代码</t>
        </is>
      </c>
      <c r="D11204" s="21" t="n">
        <v>330922</v>
      </c>
      <c r="E11204" s="21" t="inlineStr">
        <is>
          <t>浙江省舟山市嵊泗县</t>
        </is>
      </c>
    </row>
    <row r="11205">
      <c r="B11205" s="41" t="inlineStr">
        <is>
          <t>AreaCode</t>
        </is>
      </c>
      <c r="C11205" s="129" t="inlineStr">
        <is>
          <t>地区代码</t>
        </is>
      </c>
      <c r="D11205" s="21" t="n">
        <v>331000</v>
      </c>
      <c r="E11205" s="21" t="inlineStr">
        <is>
          <t>浙江省台州市</t>
        </is>
      </c>
    </row>
    <row r="11206">
      <c r="B11206" s="41" t="inlineStr">
        <is>
          <t>AreaCode</t>
        </is>
      </c>
      <c r="C11206" s="129" t="inlineStr">
        <is>
          <t>地区代码</t>
        </is>
      </c>
      <c r="D11206" s="21" t="n">
        <v>331001</v>
      </c>
      <c r="E11206" s="21" t="inlineStr">
        <is>
          <t>浙江省台州市市辖区</t>
        </is>
      </c>
    </row>
    <row r="11207">
      <c r="B11207" s="41" t="inlineStr">
        <is>
          <t>AreaCode</t>
        </is>
      </c>
      <c r="C11207" s="129" t="inlineStr">
        <is>
          <t>地区代码</t>
        </is>
      </c>
      <c r="D11207" s="21" t="n">
        <v>331002</v>
      </c>
      <c r="E11207" s="21" t="inlineStr">
        <is>
          <t>浙江省台州市椒江区</t>
        </is>
      </c>
    </row>
    <row r="11208">
      <c r="B11208" s="41" t="inlineStr">
        <is>
          <t>AreaCode</t>
        </is>
      </c>
      <c r="C11208" s="129" t="inlineStr">
        <is>
          <t>地区代码</t>
        </is>
      </c>
      <c r="D11208" s="21" t="n">
        <v>331003</v>
      </c>
      <c r="E11208" s="21" t="inlineStr">
        <is>
          <t>浙江省台州市黄岩区</t>
        </is>
      </c>
    </row>
    <row r="11209">
      <c r="B11209" s="41" t="inlineStr">
        <is>
          <t>AreaCode</t>
        </is>
      </c>
      <c r="C11209" s="129" t="inlineStr">
        <is>
          <t>地区代码</t>
        </is>
      </c>
      <c r="D11209" s="21" t="n">
        <v>331004</v>
      </c>
      <c r="E11209" s="21" t="inlineStr">
        <is>
          <t>浙江省台州市路桥区</t>
        </is>
      </c>
    </row>
    <row r="11210">
      <c r="B11210" s="41" t="inlineStr">
        <is>
          <t>AreaCode</t>
        </is>
      </c>
      <c r="C11210" s="129" t="inlineStr">
        <is>
          <t>地区代码</t>
        </is>
      </c>
      <c r="D11210" s="21" t="n">
        <v>331021</v>
      </c>
      <c r="E11210" s="21" t="inlineStr">
        <is>
          <t>浙江省台州市玉环县</t>
        </is>
      </c>
    </row>
    <row r="11211">
      <c r="B11211" s="41" t="inlineStr">
        <is>
          <t>AreaCode</t>
        </is>
      </c>
      <c r="C11211" s="129" t="inlineStr">
        <is>
          <t>地区代码</t>
        </is>
      </c>
      <c r="D11211" s="21" t="n">
        <v>331022</v>
      </c>
      <c r="E11211" s="21" t="inlineStr">
        <is>
          <t>浙江省台州市三门县</t>
        </is>
      </c>
    </row>
    <row r="11212">
      <c r="B11212" s="41" t="inlineStr">
        <is>
          <t>AreaCode</t>
        </is>
      </c>
      <c r="C11212" s="129" t="inlineStr">
        <is>
          <t>地区代码</t>
        </is>
      </c>
      <c r="D11212" s="21" t="n">
        <v>331023</v>
      </c>
      <c r="E11212" s="21" t="inlineStr">
        <is>
          <t>浙江省台州市天台县</t>
        </is>
      </c>
    </row>
    <row r="11213">
      <c r="B11213" s="41" t="inlineStr">
        <is>
          <t>AreaCode</t>
        </is>
      </c>
      <c r="C11213" s="129" t="inlineStr">
        <is>
          <t>地区代码</t>
        </is>
      </c>
      <c r="D11213" s="21" t="n">
        <v>331024</v>
      </c>
      <c r="E11213" s="21" t="inlineStr">
        <is>
          <t>浙江省台州市仙居县</t>
        </is>
      </c>
    </row>
    <row r="11214">
      <c r="B11214" s="41" t="inlineStr">
        <is>
          <t>AreaCode</t>
        </is>
      </c>
      <c r="C11214" s="129" t="inlineStr">
        <is>
          <t>地区代码</t>
        </is>
      </c>
      <c r="D11214" s="21" t="n">
        <v>331081</v>
      </c>
      <c r="E11214" s="21" t="inlineStr">
        <is>
          <t>浙江省台州市温岭市</t>
        </is>
      </c>
    </row>
    <row r="11215">
      <c r="B11215" s="41" t="inlineStr">
        <is>
          <t>AreaCode</t>
        </is>
      </c>
      <c r="C11215" s="129" t="inlineStr">
        <is>
          <t>地区代码</t>
        </is>
      </c>
      <c r="D11215" s="21" t="n">
        <v>331082</v>
      </c>
      <c r="E11215" s="21" t="inlineStr">
        <is>
          <t>浙江省台州市临海市</t>
        </is>
      </c>
    </row>
    <row r="11216">
      <c r="B11216" s="41" t="inlineStr">
        <is>
          <t>AreaCode</t>
        </is>
      </c>
      <c r="C11216" s="129" t="inlineStr">
        <is>
          <t>地区代码</t>
        </is>
      </c>
      <c r="D11216" s="21" t="n">
        <v>331100</v>
      </c>
      <c r="E11216" s="21" t="inlineStr">
        <is>
          <t>浙江省丽水市</t>
        </is>
      </c>
    </row>
    <row r="11217">
      <c r="B11217" s="41" t="inlineStr">
        <is>
          <t>AreaCode</t>
        </is>
      </c>
      <c r="C11217" s="129" t="inlineStr">
        <is>
          <t>地区代码</t>
        </is>
      </c>
      <c r="D11217" s="21" t="n">
        <v>331101</v>
      </c>
      <c r="E11217" s="21" t="inlineStr">
        <is>
          <t>浙江省丽水市市辖区</t>
        </is>
      </c>
    </row>
    <row r="11218">
      <c r="B11218" s="41" t="inlineStr">
        <is>
          <t>AreaCode</t>
        </is>
      </c>
      <c r="C11218" s="129" t="inlineStr">
        <is>
          <t>地区代码</t>
        </is>
      </c>
      <c r="D11218" s="21" t="n">
        <v>331102</v>
      </c>
      <c r="E11218" s="21" t="inlineStr">
        <is>
          <t>浙江省丽水市莲都区</t>
        </is>
      </c>
    </row>
    <row r="11219">
      <c r="B11219" s="41" t="inlineStr">
        <is>
          <t>AreaCode</t>
        </is>
      </c>
      <c r="C11219" s="129" t="inlineStr">
        <is>
          <t>地区代码</t>
        </is>
      </c>
      <c r="D11219" s="21" t="n">
        <v>331121</v>
      </c>
      <c r="E11219" s="21" t="inlineStr">
        <is>
          <t>浙江省丽水市青田县</t>
        </is>
      </c>
    </row>
    <row r="11220">
      <c r="B11220" s="41" t="inlineStr">
        <is>
          <t>AreaCode</t>
        </is>
      </c>
      <c r="C11220" s="129" t="inlineStr">
        <is>
          <t>地区代码</t>
        </is>
      </c>
      <c r="D11220" s="21" t="n">
        <v>331122</v>
      </c>
      <c r="E11220" s="21" t="inlineStr">
        <is>
          <t>浙江省丽水市缙云县</t>
        </is>
      </c>
    </row>
    <row r="11221">
      <c r="B11221" s="41" t="inlineStr">
        <is>
          <t>AreaCode</t>
        </is>
      </c>
      <c r="C11221" s="129" t="inlineStr">
        <is>
          <t>地区代码</t>
        </is>
      </c>
      <c r="D11221" s="21" t="n">
        <v>331123</v>
      </c>
      <c r="E11221" s="21" t="inlineStr">
        <is>
          <t>浙江省丽水市遂昌县</t>
        </is>
      </c>
    </row>
    <row r="11222">
      <c r="B11222" s="41" t="inlineStr">
        <is>
          <t>AreaCode</t>
        </is>
      </c>
      <c r="C11222" s="129" t="inlineStr">
        <is>
          <t>地区代码</t>
        </is>
      </c>
      <c r="D11222" s="21" t="n">
        <v>331124</v>
      </c>
      <c r="E11222" s="21" t="inlineStr">
        <is>
          <t>浙江省丽水市松阳县</t>
        </is>
      </c>
    </row>
    <row r="11223">
      <c r="B11223" s="41" t="inlineStr">
        <is>
          <t>AreaCode</t>
        </is>
      </c>
      <c r="C11223" s="129" t="inlineStr">
        <is>
          <t>地区代码</t>
        </is>
      </c>
      <c r="D11223" s="21" t="n">
        <v>331125</v>
      </c>
      <c r="E11223" s="21" t="inlineStr">
        <is>
          <t>浙江省丽水市云和县</t>
        </is>
      </c>
    </row>
    <row r="11224">
      <c r="B11224" s="41" t="inlineStr">
        <is>
          <t>AreaCode</t>
        </is>
      </c>
      <c r="C11224" s="129" t="inlineStr">
        <is>
          <t>地区代码</t>
        </is>
      </c>
      <c r="D11224" s="21" t="n">
        <v>331126</v>
      </c>
      <c r="E11224" s="21" t="inlineStr">
        <is>
          <t>浙江省丽水市庆元县</t>
        </is>
      </c>
    </row>
    <row r="11225">
      <c r="B11225" s="41" t="inlineStr">
        <is>
          <t>AreaCode</t>
        </is>
      </c>
      <c r="C11225" s="129" t="inlineStr">
        <is>
          <t>地区代码</t>
        </is>
      </c>
      <c r="D11225" s="21" t="n">
        <v>331127</v>
      </c>
      <c r="E11225" s="21" t="inlineStr">
        <is>
          <t>浙江省丽水市景宁畲族自治县</t>
        </is>
      </c>
    </row>
    <row r="11226">
      <c r="B11226" s="41" t="inlineStr">
        <is>
          <t>AreaCode</t>
        </is>
      </c>
      <c r="C11226" s="129" t="inlineStr">
        <is>
          <t>地区代码</t>
        </is>
      </c>
      <c r="D11226" s="21" t="n">
        <v>331181</v>
      </c>
      <c r="E11226" s="21" t="inlineStr">
        <is>
          <t>浙江省丽水市龙泉市</t>
        </is>
      </c>
    </row>
    <row r="11227">
      <c r="B11227" s="41" t="inlineStr">
        <is>
          <t>AreaCode</t>
        </is>
      </c>
      <c r="C11227" s="129" t="inlineStr">
        <is>
          <t>地区代码</t>
        </is>
      </c>
      <c r="D11227" s="21" t="n">
        <v>340000</v>
      </c>
      <c r="E11227" s="21" t="inlineStr">
        <is>
          <t>安徽省</t>
        </is>
      </c>
    </row>
    <row r="11228">
      <c r="B11228" s="41" t="inlineStr">
        <is>
          <t>AreaCode</t>
        </is>
      </c>
      <c r="C11228" s="129" t="inlineStr">
        <is>
          <t>地区代码</t>
        </is>
      </c>
      <c r="D11228" s="21" t="n">
        <v>340100</v>
      </c>
      <c r="E11228" s="21" t="inlineStr">
        <is>
          <t>安徽省合肥市</t>
        </is>
      </c>
    </row>
    <row r="11229">
      <c r="B11229" s="41" t="inlineStr">
        <is>
          <t>AreaCode</t>
        </is>
      </c>
      <c r="C11229" s="129" t="inlineStr">
        <is>
          <t>地区代码</t>
        </is>
      </c>
      <c r="D11229" s="21" t="n">
        <v>340101</v>
      </c>
      <c r="E11229" s="21" t="inlineStr">
        <is>
          <t>安徽省合肥市市辖区</t>
        </is>
      </c>
    </row>
    <row r="11230">
      <c r="B11230" s="41" t="inlineStr">
        <is>
          <t>AreaCode</t>
        </is>
      </c>
      <c r="C11230" s="129" t="inlineStr">
        <is>
          <t>地区代码</t>
        </is>
      </c>
      <c r="D11230" s="21" t="n">
        <v>340102</v>
      </c>
      <c r="E11230" s="21" t="inlineStr">
        <is>
          <t>安徽省合肥市瑶海区</t>
        </is>
      </c>
    </row>
    <row r="11231">
      <c r="B11231" s="41" t="inlineStr">
        <is>
          <t>AreaCode</t>
        </is>
      </c>
      <c r="C11231" s="129" t="inlineStr">
        <is>
          <t>地区代码</t>
        </is>
      </c>
      <c r="D11231" s="21" t="n">
        <v>340103</v>
      </c>
      <c r="E11231" s="21" t="inlineStr">
        <is>
          <t>安徽省合肥市庐阳区</t>
        </is>
      </c>
    </row>
    <row r="11232">
      <c r="B11232" s="41" t="inlineStr">
        <is>
          <t>AreaCode</t>
        </is>
      </c>
      <c r="C11232" s="129" t="inlineStr">
        <is>
          <t>地区代码</t>
        </is>
      </c>
      <c r="D11232" s="21" t="n">
        <v>340104</v>
      </c>
      <c r="E11232" s="21" t="inlineStr">
        <is>
          <t>安徽省合肥市蜀山区</t>
        </is>
      </c>
    </row>
    <row r="11233">
      <c r="B11233" s="41" t="inlineStr">
        <is>
          <t>AreaCode</t>
        </is>
      </c>
      <c r="C11233" s="129" t="inlineStr">
        <is>
          <t>地区代码</t>
        </is>
      </c>
      <c r="D11233" s="21" t="n">
        <v>340111</v>
      </c>
      <c r="E11233" s="21" t="inlineStr">
        <is>
          <t>安徽省合肥市包河区</t>
        </is>
      </c>
    </row>
    <row r="11234">
      <c r="B11234" s="41" t="inlineStr">
        <is>
          <t>AreaCode</t>
        </is>
      </c>
      <c r="C11234" s="129" t="inlineStr">
        <is>
          <t>地区代码</t>
        </is>
      </c>
      <c r="D11234" s="21" t="n">
        <v>340121</v>
      </c>
      <c r="E11234" s="21" t="inlineStr">
        <is>
          <t>安徽省合肥市长丰县</t>
        </is>
      </c>
    </row>
    <row r="11235">
      <c r="B11235" s="41" t="inlineStr">
        <is>
          <t>AreaCode</t>
        </is>
      </c>
      <c r="C11235" s="129" t="inlineStr">
        <is>
          <t>地区代码</t>
        </is>
      </c>
      <c r="D11235" s="21" t="n">
        <v>340122</v>
      </c>
      <c r="E11235" s="21" t="inlineStr">
        <is>
          <t>安徽省合肥市肥东县</t>
        </is>
      </c>
    </row>
    <row r="11236">
      <c r="B11236" s="41" t="inlineStr">
        <is>
          <t>AreaCode</t>
        </is>
      </c>
      <c r="C11236" s="129" t="inlineStr">
        <is>
          <t>地区代码</t>
        </is>
      </c>
      <c r="D11236" s="21" t="n">
        <v>340123</v>
      </c>
      <c r="E11236" s="21" t="inlineStr">
        <is>
          <t>安徽省合肥市肥西县</t>
        </is>
      </c>
    </row>
    <row r="11237">
      <c r="B11237" s="41" t="inlineStr">
        <is>
          <t>AreaCode</t>
        </is>
      </c>
      <c r="C11237" s="129" t="inlineStr">
        <is>
          <t>地区代码</t>
        </is>
      </c>
      <c r="D11237" s="21" t="n">
        <v>340124</v>
      </c>
      <c r="E11237" s="21" t="inlineStr">
        <is>
          <t>安徽省合肥市庐江县</t>
        </is>
      </c>
    </row>
    <row r="11238">
      <c r="B11238" s="41" t="inlineStr">
        <is>
          <t>AreaCode</t>
        </is>
      </c>
      <c r="C11238" s="129" t="inlineStr">
        <is>
          <t>地区代码</t>
        </is>
      </c>
      <c r="D11238" s="21" t="n">
        <v>340181</v>
      </c>
      <c r="E11238" s="21" t="inlineStr">
        <is>
          <t>安徽省合肥市巢湖市</t>
        </is>
      </c>
    </row>
    <row r="11239">
      <c r="B11239" s="41" t="inlineStr">
        <is>
          <t>AreaCode</t>
        </is>
      </c>
      <c r="C11239" s="129" t="inlineStr">
        <is>
          <t>地区代码</t>
        </is>
      </c>
      <c r="D11239" s="21" t="n">
        <v>340200</v>
      </c>
      <c r="E11239" s="21" t="inlineStr">
        <is>
          <t>安徽省芜湖市</t>
        </is>
      </c>
    </row>
    <row r="11240">
      <c r="B11240" s="41" t="inlineStr">
        <is>
          <t>AreaCode</t>
        </is>
      </c>
      <c r="C11240" s="129" t="inlineStr">
        <is>
          <t>地区代码</t>
        </is>
      </c>
      <c r="D11240" s="21" t="n">
        <v>340201</v>
      </c>
      <c r="E11240" s="21" t="inlineStr">
        <is>
          <t>安徽省芜湖市市辖区</t>
        </is>
      </c>
    </row>
    <row r="11241">
      <c r="B11241" s="41" t="inlineStr">
        <is>
          <t>AreaCode</t>
        </is>
      </c>
      <c r="C11241" s="129" t="inlineStr">
        <is>
          <t>地区代码</t>
        </is>
      </c>
      <c r="D11241" s="21" t="n">
        <v>340202</v>
      </c>
      <c r="E11241" s="21" t="inlineStr">
        <is>
          <t>安徽省芜湖市镜湖区</t>
        </is>
      </c>
    </row>
    <row r="11242">
      <c r="B11242" s="41" t="inlineStr">
        <is>
          <t>AreaCode</t>
        </is>
      </c>
      <c r="C11242" s="129" t="inlineStr">
        <is>
          <t>地区代码</t>
        </is>
      </c>
      <c r="D11242" s="21" t="n">
        <v>340203</v>
      </c>
      <c r="E11242" s="21" t="inlineStr">
        <is>
          <t>安徽省芜湖市弋江区</t>
        </is>
      </c>
    </row>
    <row r="11243">
      <c r="B11243" s="41" t="inlineStr">
        <is>
          <t>AreaCode</t>
        </is>
      </c>
      <c r="C11243" s="129" t="inlineStr">
        <is>
          <t>地区代码</t>
        </is>
      </c>
      <c r="D11243" s="21" t="n">
        <v>340207</v>
      </c>
      <c r="E11243" s="21" t="inlineStr">
        <is>
          <t>安徽省芜湖市鸠江区</t>
        </is>
      </c>
    </row>
    <row r="11244">
      <c r="B11244" s="41" t="inlineStr">
        <is>
          <t>AreaCode</t>
        </is>
      </c>
      <c r="C11244" s="129" t="inlineStr">
        <is>
          <t>地区代码</t>
        </is>
      </c>
      <c r="D11244" s="21" t="n">
        <v>340208</v>
      </c>
      <c r="E11244" s="21" t="inlineStr">
        <is>
          <t>安徽省芜湖市三山区</t>
        </is>
      </c>
    </row>
    <row r="11245">
      <c r="B11245" s="41" t="inlineStr">
        <is>
          <t>AreaCode</t>
        </is>
      </c>
      <c r="C11245" s="129" t="inlineStr">
        <is>
          <t>地区代码</t>
        </is>
      </c>
      <c r="D11245" s="21" t="n">
        <v>340221</v>
      </c>
      <c r="E11245" s="21" t="inlineStr">
        <is>
          <t>安徽省芜湖市芜湖县</t>
        </is>
      </c>
    </row>
    <row r="11246">
      <c r="B11246" s="41" t="inlineStr">
        <is>
          <t>AreaCode</t>
        </is>
      </c>
      <c r="C11246" s="129" t="inlineStr">
        <is>
          <t>地区代码</t>
        </is>
      </c>
      <c r="D11246" s="21" t="n">
        <v>340222</v>
      </c>
      <c r="E11246" s="21" t="inlineStr">
        <is>
          <t>安徽省芜湖市繁昌县</t>
        </is>
      </c>
    </row>
    <row r="11247">
      <c r="B11247" s="41" t="inlineStr">
        <is>
          <t>AreaCode</t>
        </is>
      </c>
      <c r="C11247" s="129" t="inlineStr">
        <is>
          <t>地区代码</t>
        </is>
      </c>
      <c r="D11247" s="21" t="n">
        <v>340223</v>
      </c>
      <c r="E11247" s="21" t="inlineStr">
        <is>
          <t>安徽省芜湖市南陵县</t>
        </is>
      </c>
    </row>
    <row r="11248">
      <c r="B11248" s="41" t="inlineStr">
        <is>
          <t>AreaCode</t>
        </is>
      </c>
      <c r="C11248" s="129" t="inlineStr">
        <is>
          <t>地区代码</t>
        </is>
      </c>
      <c r="D11248" s="21" t="n">
        <v>340225</v>
      </c>
      <c r="E11248" s="21" t="inlineStr">
        <is>
          <t>安徽省芜湖市无为县</t>
        </is>
      </c>
    </row>
    <row r="11249">
      <c r="B11249" s="41" t="inlineStr">
        <is>
          <t>AreaCode</t>
        </is>
      </c>
      <c r="C11249" s="129" t="inlineStr">
        <is>
          <t>地区代码</t>
        </is>
      </c>
      <c r="D11249" s="21" t="n">
        <v>340300</v>
      </c>
      <c r="E11249" s="21" t="inlineStr">
        <is>
          <t>安徽省蚌埠市</t>
        </is>
      </c>
    </row>
    <row r="11250">
      <c r="B11250" s="41" t="inlineStr">
        <is>
          <t>AreaCode</t>
        </is>
      </c>
      <c r="C11250" s="129" t="inlineStr">
        <is>
          <t>地区代码</t>
        </is>
      </c>
      <c r="D11250" s="21" t="n">
        <v>340301</v>
      </c>
      <c r="E11250" s="21" t="inlineStr">
        <is>
          <t>安徽省蚌埠市市辖区</t>
        </is>
      </c>
    </row>
    <row r="11251">
      <c r="B11251" s="41" t="inlineStr">
        <is>
          <t>AreaCode</t>
        </is>
      </c>
      <c r="C11251" s="129" t="inlineStr">
        <is>
          <t>地区代码</t>
        </is>
      </c>
      <c r="D11251" s="21" t="n">
        <v>340302</v>
      </c>
      <c r="E11251" s="21" t="inlineStr">
        <is>
          <t>安徽省蚌埠市龙子湖区</t>
        </is>
      </c>
    </row>
    <row r="11252">
      <c r="B11252" s="41" t="inlineStr">
        <is>
          <t>AreaCode</t>
        </is>
      </c>
      <c r="C11252" s="129" t="inlineStr">
        <is>
          <t>地区代码</t>
        </is>
      </c>
      <c r="D11252" s="21" t="n">
        <v>340303</v>
      </c>
      <c r="E11252" s="21" t="inlineStr">
        <is>
          <t>安徽省蚌埠市蚌山区</t>
        </is>
      </c>
    </row>
    <row r="11253">
      <c r="B11253" s="41" t="inlineStr">
        <is>
          <t>AreaCode</t>
        </is>
      </c>
      <c r="C11253" s="129" t="inlineStr">
        <is>
          <t>地区代码</t>
        </is>
      </c>
      <c r="D11253" s="21" t="n">
        <v>340304</v>
      </c>
      <c r="E11253" s="21" t="inlineStr">
        <is>
          <t>安徽省蚌埠市禹会区</t>
        </is>
      </c>
    </row>
    <row r="11254">
      <c r="B11254" s="41" t="inlineStr">
        <is>
          <t>AreaCode</t>
        </is>
      </c>
      <c r="C11254" s="129" t="inlineStr">
        <is>
          <t>地区代码</t>
        </is>
      </c>
      <c r="D11254" s="21" t="n">
        <v>340311</v>
      </c>
      <c r="E11254" s="21" t="inlineStr">
        <is>
          <t>安徽省蚌埠市淮上区</t>
        </is>
      </c>
    </row>
    <row r="11255">
      <c r="B11255" s="41" t="inlineStr">
        <is>
          <t>AreaCode</t>
        </is>
      </c>
      <c r="C11255" s="129" t="inlineStr">
        <is>
          <t>地区代码</t>
        </is>
      </c>
      <c r="D11255" s="21" t="n">
        <v>340321</v>
      </c>
      <c r="E11255" s="21" t="inlineStr">
        <is>
          <t>安徽省蚌埠市怀远县</t>
        </is>
      </c>
    </row>
    <row r="11256">
      <c r="B11256" s="41" t="inlineStr">
        <is>
          <t>AreaCode</t>
        </is>
      </c>
      <c r="C11256" s="129" t="inlineStr">
        <is>
          <t>地区代码</t>
        </is>
      </c>
      <c r="D11256" s="21" t="n">
        <v>340322</v>
      </c>
      <c r="E11256" s="21" t="inlineStr">
        <is>
          <t>安徽省蚌埠市五河县</t>
        </is>
      </c>
    </row>
    <row r="11257">
      <c r="B11257" s="41" t="inlineStr">
        <is>
          <t>AreaCode</t>
        </is>
      </c>
      <c r="C11257" s="129" t="inlineStr">
        <is>
          <t>地区代码</t>
        </is>
      </c>
      <c r="D11257" s="21" t="n">
        <v>340323</v>
      </c>
      <c r="E11257" s="21" t="inlineStr">
        <is>
          <t>安徽省蚌埠市固镇县</t>
        </is>
      </c>
    </row>
    <row r="11258">
      <c r="B11258" s="41" t="inlineStr">
        <is>
          <t>AreaCode</t>
        </is>
      </c>
      <c r="C11258" s="129" t="inlineStr">
        <is>
          <t>地区代码</t>
        </is>
      </c>
      <c r="D11258" s="21" t="n">
        <v>340400</v>
      </c>
      <c r="E11258" s="21" t="inlineStr">
        <is>
          <t>安徽省淮南市</t>
        </is>
      </c>
    </row>
    <row r="11259">
      <c r="B11259" s="41" t="inlineStr">
        <is>
          <t>AreaCode</t>
        </is>
      </c>
      <c r="C11259" s="129" t="inlineStr">
        <is>
          <t>地区代码</t>
        </is>
      </c>
      <c r="D11259" s="21" t="n">
        <v>340401</v>
      </c>
      <c r="E11259" s="21" t="inlineStr">
        <is>
          <t>安徽省淮南市市辖区</t>
        </is>
      </c>
    </row>
    <row r="11260">
      <c r="B11260" s="41" t="inlineStr">
        <is>
          <t>AreaCode</t>
        </is>
      </c>
      <c r="C11260" s="129" t="inlineStr">
        <is>
          <t>地区代码</t>
        </is>
      </c>
      <c r="D11260" s="21" t="n">
        <v>340402</v>
      </c>
      <c r="E11260" s="21" t="inlineStr">
        <is>
          <t>安徽省淮南市大通区</t>
        </is>
      </c>
    </row>
    <row r="11261">
      <c r="B11261" s="41" t="inlineStr">
        <is>
          <t>AreaCode</t>
        </is>
      </c>
      <c r="C11261" s="129" t="inlineStr">
        <is>
          <t>地区代码</t>
        </is>
      </c>
      <c r="D11261" s="21" t="n">
        <v>340403</v>
      </c>
      <c r="E11261" s="21" t="inlineStr">
        <is>
          <t>安徽省淮南市田家庵区</t>
        </is>
      </c>
    </row>
    <row r="11262">
      <c r="B11262" s="41" t="inlineStr">
        <is>
          <t>AreaCode</t>
        </is>
      </c>
      <c r="C11262" s="129" t="inlineStr">
        <is>
          <t>地区代码</t>
        </is>
      </c>
      <c r="D11262" s="21" t="n">
        <v>340404</v>
      </c>
      <c r="E11262" s="21" t="inlineStr">
        <is>
          <t>安徽省淮南市谢家集区</t>
        </is>
      </c>
    </row>
    <row r="11263">
      <c r="B11263" s="41" t="inlineStr">
        <is>
          <t>AreaCode</t>
        </is>
      </c>
      <c r="C11263" s="129" t="inlineStr">
        <is>
          <t>地区代码</t>
        </is>
      </c>
      <c r="D11263" s="21" t="n">
        <v>340405</v>
      </c>
      <c r="E11263" s="21" t="inlineStr">
        <is>
          <t>安徽省淮南市八公山区</t>
        </is>
      </c>
    </row>
    <row r="11264">
      <c r="B11264" s="41" t="inlineStr">
        <is>
          <t>AreaCode</t>
        </is>
      </c>
      <c r="C11264" s="129" t="inlineStr">
        <is>
          <t>地区代码</t>
        </is>
      </c>
      <c r="D11264" s="21" t="n">
        <v>340406</v>
      </c>
      <c r="E11264" s="21" t="inlineStr">
        <is>
          <t>安徽省淮南市潘集区</t>
        </is>
      </c>
    </row>
    <row r="11265">
      <c r="B11265" s="41" t="inlineStr">
        <is>
          <t>AreaCode</t>
        </is>
      </c>
      <c r="C11265" s="129" t="inlineStr">
        <is>
          <t>地区代码</t>
        </is>
      </c>
      <c r="D11265" s="21" t="n">
        <v>340421</v>
      </c>
      <c r="E11265" s="21" t="inlineStr">
        <is>
          <t>安徽省淮南市凤台县</t>
        </is>
      </c>
    </row>
    <row r="11266">
      <c r="B11266" s="41" t="inlineStr">
        <is>
          <t>AreaCode</t>
        </is>
      </c>
      <c r="C11266" s="129" t="inlineStr">
        <is>
          <t>地区代码</t>
        </is>
      </c>
      <c r="D11266" s="21" t="n">
        <v>340500</v>
      </c>
      <c r="E11266" s="21" t="inlineStr">
        <is>
          <t>安徽省马鞍山市</t>
        </is>
      </c>
    </row>
    <row r="11267">
      <c r="B11267" s="41" t="inlineStr">
        <is>
          <t>AreaCode</t>
        </is>
      </c>
      <c r="C11267" s="129" t="inlineStr">
        <is>
          <t>地区代码</t>
        </is>
      </c>
      <c r="D11267" s="21" t="n">
        <v>340501</v>
      </c>
      <c r="E11267" s="21" t="inlineStr">
        <is>
          <t>安徽省马鞍山市市辖区</t>
        </is>
      </c>
    </row>
    <row r="11268">
      <c r="B11268" s="41" t="inlineStr">
        <is>
          <t>AreaCode</t>
        </is>
      </c>
      <c r="C11268" s="129" t="inlineStr">
        <is>
          <t>地区代码</t>
        </is>
      </c>
      <c r="D11268" s="21" t="n">
        <v>340503</v>
      </c>
      <c r="E11268" s="21" t="inlineStr">
        <is>
          <t>安徽省马鞍山市花山区</t>
        </is>
      </c>
    </row>
    <row r="11269">
      <c r="B11269" s="41" t="inlineStr">
        <is>
          <t>AreaCode</t>
        </is>
      </c>
      <c r="C11269" s="129" t="inlineStr">
        <is>
          <t>地区代码</t>
        </is>
      </c>
      <c r="D11269" s="21" t="n">
        <v>340504</v>
      </c>
      <c r="E11269" s="21" t="inlineStr">
        <is>
          <t>安徽省马鞍山市雨山区</t>
        </is>
      </c>
    </row>
    <row r="11270">
      <c r="B11270" s="41" t="inlineStr">
        <is>
          <t>AreaCode</t>
        </is>
      </c>
      <c r="C11270" s="129" t="inlineStr">
        <is>
          <t>地区代码</t>
        </is>
      </c>
      <c r="D11270" s="21" t="n">
        <v>340506</v>
      </c>
      <c r="E11270" s="21" t="inlineStr">
        <is>
          <t>安徽省马鞍山市博望区</t>
        </is>
      </c>
    </row>
    <row r="11271">
      <c r="B11271" s="41" t="inlineStr">
        <is>
          <t>AreaCode</t>
        </is>
      </c>
      <c r="C11271" s="129" t="inlineStr">
        <is>
          <t>地区代码</t>
        </is>
      </c>
      <c r="D11271" s="21" t="n">
        <v>340521</v>
      </c>
      <c r="E11271" s="21" t="inlineStr">
        <is>
          <t>安徽省马鞍山市当涂县</t>
        </is>
      </c>
    </row>
    <row r="11272">
      <c r="B11272" s="41" t="inlineStr">
        <is>
          <t>AreaCode</t>
        </is>
      </c>
      <c r="C11272" s="129" t="inlineStr">
        <is>
          <t>地区代码</t>
        </is>
      </c>
      <c r="D11272" s="21" t="n">
        <v>340522</v>
      </c>
      <c r="E11272" s="21" t="inlineStr">
        <is>
          <t>安徽省马鞍山市含山县</t>
        </is>
      </c>
    </row>
    <row r="11273">
      <c r="B11273" s="41" t="inlineStr">
        <is>
          <t>AreaCode</t>
        </is>
      </c>
      <c r="C11273" s="129" t="inlineStr">
        <is>
          <t>地区代码</t>
        </is>
      </c>
      <c r="D11273" s="21" t="n">
        <v>340523</v>
      </c>
      <c r="E11273" s="21" t="inlineStr">
        <is>
          <t>安徽省马鞍山市和县</t>
        </is>
      </c>
    </row>
    <row r="11274">
      <c r="B11274" s="41" t="inlineStr">
        <is>
          <t>AreaCode</t>
        </is>
      </c>
      <c r="C11274" s="129" t="inlineStr">
        <is>
          <t>地区代码</t>
        </is>
      </c>
      <c r="D11274" s="21" t="n">
        <v>340600</v>
      </c>
      <c r="E11274" s="21" t="inlineStr">
        <is>
          <t>安徽省淮北市</t>
        </is>
      </c>
    </row>
    <row r="11275">
      <c r="B11275" s="41" t="inlineStr">
        <is>
          <t>AreaCode</t>
        </is>
      </c>
      <c r="C11275" s="129" t="inlineStr">
        <is>
          <t>地区代码</t>
        </is>
      </c>
      <c r="D11275" s="21" t="n">
        <v>340601</v>
      </c>
      <c r="E11275" s="21" t="inlineStr">
        <is>
          <t>安徽省淮北市市辖区</t>
        </is>
      </c>
    </row>
    <row r="11276">
      <c r="B11276" s="41" t="inlineStr">
        <is>
          <t>AreaCode</t>
        </is>
      </c>
      <c r="C11276" s="129" t="inlineStr">
        <is>
          <t>地区代码</t>
        </is>
      </c>
      <c r="D11276" s="21" t="n">
        <v>340602</v>
      </c>
      <c r="E11276" s="21" t="inlineStr">
        <is>
          <t>安徽省淮北市杜集区</t>
        </is>
      </c>
    </row>
    <row r="11277">
      <c r="B11277" s="41" t="inlineStr">
        <is>
          <t>AreaCode</t>
        </is>
      </c>
      <c r="C11277" s="129" t="inlineStr">
        <is>
          <t>地区代码</t>
        </is>
      </c>
      <c r="D11277" s="21" t="n">
        <v>340603</v>
      </c>
      <c r="E11277" s="21" t="inlineStr">
        <is>
          <t>安徽省淮北市相山区</t>
        </is>
      </c>
    </row>
    <row r="11278">
      <c r="B11278" s="41" t="inlineStr">
        <is>
          <t>AreaCode</t>
        </is>
      </c>
      <c r="C11278" s="129" t="inlineStr">
        <is>
          <t>地区代码</t>
        </is>
      </c>
      <c r="D11278" s="21" t="n">
        <v>340604</v>
      </c>
      <c r="E11278" s="21" t="inlineStr">
        <is>
          <t>安徽省淮北市烈山区</t>
        </is>
      </c>
    </row>
    <row r="11279">
      <c r="B11279" s="41" t="inlineStr">
        <is>
          <t>AreaCode</t>
        </is>
      </c>
      <c r="C11279" s="129" t="inlineStr">
        <is>
          <t>地区代码</t>
        </is>
      </c>
      <c r="D11279" s="21" t="n">
        <v>340621</v>
      </c>
      <c r="E11279" s="21" t="inlineStr">
        <is>
          <t>安徽省淮北市濉溪县</t>
        </is>
      </c>
    </row>
    <row r="11280">
      <c r="B11280" s="41" t="inlineStr">
        <is>
          <t>AreaCode</t>
        </is>
      </c>
      <c r="C11280" s="129" t="inlineStr">
        <is>
          <t>地区代码</t>
        </is>
      </c>
      <c r="D11280" s="21" t="n">
        <v>340700</v>
      </c>
      <c r="E11280" s="21" t="inlineStr">
        <is>
          <t>安徽省铜陵市</t>
        </is>
      </c>
    </row>
    <row r="11281">
      <c r="B11281" s="41" t="inlineStr">
        <is>
          <t>AreaCode</t>
        </is>
      </c>
      <c r="C11281" s="129" t="inlineStr">
        <is>
          <t>地区代码</t>
        </is>
      </c>
      <c r="D11281" s="21" t="n">
        <v>340701</v>
      </c>
      <c r="E11281" s="21" t="inlineStr">
        <is>
          <t>安徽省铜陵市市辖区</t>
        </is>
      </c>
    </row>
    <row r="11282">
      <c r="B11282" s="41" t="inlineStr">
        <is>
          <t>AreaCode</t>
        </is>
      </c>
      <c r="C11282" s="129" t="inlineStr">
        <is>
          <t>地区代码</t>
        </is>
      </c>
      <c r="D11282" s="21" t="n">
        <v>340702</v>
      </c>
      <c r="E11282" s="21" t="inlineStr">
        <is>
          <t>安徽省铜陵市铜官山区</t>
        </is>
      </c>
    </row>
    <row r="11283">
      <c r="B11283" s="41" t="inlineStr">
        <is>
          <t>AreaCode</t>
        </is>
      </c>
      <c r="C11283" s="129" t="inlineStr">
        <is>
          <t>地区代码</t>
        </is>
      </c>
      <c r="D11283" s="21" t="n">
        <v>340703</v>
      </c>
      <c r="E11283" s="21" t="inlineStr">
        <is>
          <t>安徽省铜陵市狮子山区</t>
        </is>
      </c>
    </row>
    <row r="11284">
      <c r="B11284" s="41" t="inlineStr">
        <is>
          <t>AreaCode</t>
        </is>
      </c>
      <c r="C11284" s="129" t="inlineStr">
        <is>
          <t>地区代码</t>
        </is>
      </c>
      <c r="D11284" s="21" t="n">
        <v>340711</v>
      </c>
      <c r="E11284" s="21" t="inlineStr">
        <is>
          <t>安徽省铜陵市郊区</t>
        </is>
      </c>
    </row>
    <row r="11285">
      <c r="B11285" s="41" t="inlineStr">
        <is>
          <t>AreaCode</t>
        </is>
      </c>
      <c r="C11285" s="129" t="inlineStr">
        <is>
          <t>地区代码</t>
        </is>
      </c>
      <c r="D11285" s="21" t="n">
        <v>340721</v>
      </c>
      <c r="E11285" s="21" t="inlineStr">
        <is>
          <t>安徽省铜陵市铜陵县</t>
        </is>
      </c>
    </row>
    <row r="11286">
      <c r="B11286" s="41" t="inlineStr">
        <is>
          <t>AreaCode</t>
        </is>
      </c>
      <c r="C11286" s="129" t="inlineStr">
        <is>
          <t>地区代码</t>
        </is>
      </c>
      <c r="D11286" s="21" t="n">
        <v>340800</v>
      </c>
      <c r="E11286" s="21" t="inlineStr">
        <is>
          <t>安徽省安庆市</t>
        </is>
      </c>
    </row>
    <row r="11287">
      <c r="B11287" s="41" t="inlineStr">
        <is>
          <t>AreaCode</t>
        </is>
      </c>
      <c r="C11287" s="129" t="inlineStr">
        <is>
          <t>地区代码</t>
        </is>
      </c>
      <c r="D11287" s="21" t="n">
        <v>340801</v>
      </c>
      <c r="E11287" s="21" t="inlineStr">
        <is>
          <t>安徽省安庆市市辖区</t>
        </is>
      </c>
    </row>
    <row r="11288">
      <c r="B11288" s="41" t="inlineStr">
        <is>
          <t>AreaCode</t>
        </is>
      </c>
      <c r="C11288" s="129" t="inlineStr">
        <is>
          <t>地区代码</t>
        </is>
      </c>
      <c r="D11288" s="21" t="n">
        <v>340802</v>
      </c>
      <c r="E11288" s="21" t="inlineStr">
        <is>
          <t>安徽省安庆市迎江区</t>
        </is>
      </c>
    </row>
    <row r="11289">
      <c r="B11289" s="41" t="inlineStr">
        <is>
          <t>AreaCode</t>
        </is>
      </c>
      <c r="C11289" s="129" t="inlineStr">
        <is>
          <t>地区代码</t>
        </is>
      </c>
      <c r="D11289" s="21" t="n">
        <v>340803</v>
      </c>
      <c r="E11289" s="21" t="inlineStr">
        <is>
          <t>安徽省安庆市大观区</t>
        </is>
      </c>
    </row>
    <row r="11290">
      <c r="B11290" s="41" t="inlineStr">
        <is>
          <t>AreaCode</t>
        </is>
      </c>
      <c r="C11290" s="129" t="inlineStr">
        <is>
          <t>地区代码</t>
        </is>
      </c>
      <c r="D11290" s="21" t="n">
        <v>340811</v>
      </c>
      <c r="E11290" s="21" t="inlineStr">
        <is>
          <t>安徽省安庆市宜秀区</t>
        </is>
      </c>
    </row>
    <row r="11291">
      <c r="B11291" s="41" t="inlineStr">
        <is>
          <t>AreaCode</t>
        </is>
      </c>
      <c r="C11291" s="129" t="inlineStr">
        <is>
          <t>地区代码</t>
        </is>
      </c>
      <c r="D11291" s="21" t="n">
        <v>340822</v>
      </c>
      <c r="E11291" s="21" t="inlineStr">
        <is>
          <t>安徽省安庆市怀宁县</t>
        </is>
      </c>
    </row>
    <row r="11292">
      <c r="B11292" s="41" t="inlineStr">
        <is>
          <t>AreaCode</t>
        </is>
      </c>
      <c r="C11292" s="129" t="inlineStr">
        <is>
          <t>地区代码</t>
        </is>
      </c>
      <c r="D11292" s="21" t="n">
        <v>340823</v>
      </c>
      <c r="E11292" s="21" t="inlineStr">
        <is>
          <t>安徽省安庆市枞阳县</t>
        </is>
      </c>
    </row>
    <row r="11293">
      <c r="B11293" s="41" t="inlineStr">
        <is>
          <t>AreaCode</t>
        </is>
      </c>
      <c r="C11293" s="129" t="inlineStr">
        <is>
          <t>地区代码</t>
        </is>
      </c>
      <c r="D11293" s="21" t="n">
        <v>340824</v>
      </c>
      <c r="E11293" s="21" t="inlineStr">
        <is>
          <t>安徽省安庆市潜山县</t>
        </is>
      </c>
    </row>
    <row r="11294">
      <c r="B11294" s="41" t="inlineStr">
        <is>
          <t>AreaCode</t>
        </is>
      </c>
      <c r="C11294" s="129" t="inlineStr">
        <is>
          <t>地区代码</t>
        </is>
      </c>
      <c r="D11294" s="21" t="n">
        <v>340825</v>
      </c>
      <c r="E11294" s="21" t="inlineStr">
        <is>
          <t>安徽省安庆市太湖县</t>
        </is>
      </c>
    </row>
    <row r="11295">
      <c r="B11295" s="41" t="inlineStr">
        <is>
          <t>AreaCode</t>
        </is>
      </c>
      <c r="C11295" s="129" t="inlineStr">
        <is>
          <t>地区代码</t>
        </is>
      </c>
      <c r="D11295" s="21" t="n">
        <v>340826</v>
      </c>
      <c r="E11295" s="21" t="inlineStr">
        <is>
          <t>安徽省安庆市宿松县</t>
        </is>
      </c>
    </row>
    <row r="11296">
      <c r="B11296" s="41" t="inlineStr">
        <is>
          <t>AreaCode</t>
        </is>
      </c>
      <c r="C11296" s="129" t="inlineStr">
        <is>
          <t>地区代码</t>
        </is>
      </c>
      <c r="D11296" s="21" t="n">
        <v>340827</v>
      </c>
      <c r="E11296" s="21" t="inlineStr">
        <is>
          <t>安徽省安庆市望江县</t>
        </is>
      </c>
    </row>
    <row r="11297">
      <c r="B11297" s="41" t="inlineStr">
        <is>
          <t>AreaCode</t>
        </is>
      </c>
      <c r="C11297" s="129" t="inlineStr">
        <is>
          <t>地区代码</t>
        </is>
      </c>
      <c r="D11297" s="21" t="n">
        <v>340828</v>
      </c>
      <c r="E11297" s="21" t="inlineStr">
        <is>
          <t>安徽省安庆市岳西县</t>
        </is>
      </c>
    </row>
    <row r="11298">
      <c r="B11298" s="41" t="inlineStr">
        <is>
          <t>AreaCode</t>
        </is>
      </c>
      <c r="C11298" s="129" t="inlineStr">
        <is>
          <t>地区代码</t>
        </is>
      </c>
      <c r="D11298" s="21" t="n">
        <v>340881</v>
      </c>
      <c r="E11298" s="21" t="inlineStr">
        <is>
          <t>安徽省安庆市桐城市</t>
        </is>
      </c>
    </row>
    <row r="11299">
      <c r="B11299" s="41" t="inlineStr">
        <is>
          <t>AreaCode</t>
        </is>
      </c>
      <c r="C11299" s="129" t="inlineStr">
        <is>
          <t>地区代码</t>
        </is>
      </c>
      <c r="D11299" s="21" t="n">
        <v>341000</v>
      </c>
      <c r="E11299" s="21" t="inlineStr">
        <is>
          <t>安徽省黄山市</t>
        </is>
      </c>
    </row>
    <row r="11300">
      <c r="B11300" s="41" t="inlineStr">
        <is>
          <t>AreaCode</t>
        </is>
      </c>
      <c r="C11300" s="129" t="inlineStr">
        <is>
          <t>地区代码</t>
        </is>
      </c>
      <c r="D11300" s="21" t="n">
        <v>341001</v>
      </c>
      <c r="E11300" s="21" t="inlineStr">
        <is>
          <t>安徽省黄山市市辖区</t>
        </is>
      </c>
    </row>
    <row r="11301">
      <c r="B11301" s="41" t="inlineStr">
        <is>
          <t>AreaCode</t>
        </is>
      </c>
      <c r="C11301" s="129" t="inlineStr">
        <is>
          <t>地区代码</t>
        </is>
      </c>
      <c r="D11301" s="21" t="n">
        <v>341002</v>
      </c>
      <c r="E11301" s="21" t="inlineStr">
        <is>
          <t>安徽省黄山市屯溪区</t>
        </is>
      </c>
    </row>
    <row r="11302">
      <c r="B11302" s="41" t="inlineStr">
        <is>
          <t>AreaCode</t>
        </is>
      </c>
      <c r="C11302" s="129" t="inlineStr">
        <is>
          <t>地区代码</t>
        </is>
      </c>
      <c r="D11302" s="21" t="n">
        <v>341003</v>
      </c>
      <c r="E11302" s="21" t="inlineStr">
        <is>
          <t>安徽省黄山市黄山区</t>
        </is>
      </c>
    </row>
    <row r="11303">
      <c r="B11303" s="41" t="inlineStr">
        <is>
          <t>AreaCode</t>
        </is>
      </c>
      <c r="C11303" s="129" t="inlineStr">
        <is>
          <t>地区代码</t>
        </is>
      </c>
      <c r="D11303" s="21" t="n">
        <v>341004</v>
      </c>
      <c r="E11303" s="21" t="inlineStr">
        <is>
          <t>安徽省黄山市徽州区</t>
        </is>
      </c>
    </row>
    <row r="11304">
      <c r="B11304" s="41" t="inlineStr">
        <is>
          <t>AreaCode</t>
        </is>
      </c>
      <c r="C11304" s="129" t="inlineStr">
        <is>
          <t>地区代码</t>
        </is>
      </c>
      <c r="D11304" s="21" t="n">
        <v>341021</v>
      </c>
      <c r="E11304" s="21" t="inlineStr">
        <is>
          <t>安徽省黄山市歙县</t>
        </is>
      </c>
    </row>
    <row r="11305">
      <c r="B11305" s="41" t="inlineStr">
        <is>
          <t>AreaCode</t>
        </is>
      </c>
      <c r="C11305" s="129" t="inlineStr">
        <is>
          <t>地区代码</t>
        </is>
      </c>
      <c r="D11305" s="21" t="n">
        <v>341022</v>
      </c>
      <c r="E11305" s="21" t="inlineStr">
        <is>
          <t>安徽省黄山市休宁县</t>
        </is>
      </c>
    </row>
    <row r="11306">
      <c r="B11306" s="41" t="inlineStr">
        <is>
          <t>AreaCode</t>
        </is>
      </c>
      <c r="C11306" s="129" t="inlineStr">
        <is>
          <t>地区代码</t>
        </is>
      </c>
      <c r="D11306" s="21" t="n">
        <v>341023</v>
      </c>
      <c r="E11306" s="21" t="inlineStr">
        <is>
          <t>安徽省黄山市黟县</t>
        </is>
      </c>
    </row>
    <row r="11307">
      <c r="B11307" s="41" t="inlineStr">
        <is>
          <t>AreaCode</t>
        </is>
      </c>
      <c r="C11307" s="129" t="inlineStr">
        <is>
          <t>地区代码</t>
        </is>
      </c>
      <c r="D11307" s="21" t="n">
        <v>341024</v>
      </c>
      <c r="E11307" s="21" t="inlineStr">
        <is>
          <t>安徽省黄山市祁门县</t>
        </is>
      </c>
    </row>
    <row r="11308">
      <c r="B11308" s="41" t="inlineStr">
        <is>
          <t>AreaCode</t>
        </is>
      </c>
      <c r="C11308" s="129" t="inlineStr">
        <is>
          <t>地区代码</t>
        </is>
      </c>
      <c r="D11308" s="21" t="n">
        <v>341100</v>
      </c>
      <c r="E11308" s="21" t="inlineStr">
        <is>
          <t>安徽省滁州市</t>
        </is>
      </c>
    </row>
    <row r="11309">
      <c r="B11309" s="41" t="inlineStr">
        <is>
          <t>AreaCode</t>
        </is>
      </c>
      <c r="C11309" s="129" t="inlineStr">
        <is>
          <t>地区代码</t>
        </is>
      </c>
      <c r="D11309" s="21" t="n">
        <v>341101</v>
      </c>
      <c r="E11309" s="21" t="inlineStr">
        <is>
          <t>安徽省滁州市市辖区</t>
        </is>
      </c>
    </row>
    <row r="11310">
      <c r="B11310" s="41" t="inlineStr">
        <is>
          <t>AreaCode</t>
        </is>
      </c>
      <c r="C11310" s="129" t="inlineStr">
        <is>
          <t>地区代码</t>
        </is>
      </c>
      <c r="D11310" s="21" t="n">
        <v>341102</v>
      </c>
      <c r="E11310" s="21" t="inlineStr">
        <is>
          <t>安徽省滁州市琅琊区</t>
        </is>
      </c>
    </row>
    <row r="11311">
      <c r="B11311" s="41" t="inlineStr">
        <is>
          <t>AreaCode</t>
        </is>
      </c>
      <c r="C11311" s="129" t="inlineStr">
        <is>
          <t>地区代码</t>
        </is>
      </c>
      <c r="D11311" s="21" t="n">
        <v>341103</v>
      </c>
      <c r="E11311" s="21" t="inlineStr">
        <is>
          <t>安徽省滁州市南谯区</t>
        </is>
      </c>
    </row>
    <row r="11312">
      <c r="B11312" s="41" t="inlineStr">
        <is>
          <t>AreaCode</t>
        </is>
      </c>
      <c r="C11312" s="129" t="inlineStr">
        <is>
          <t>地区代码</t>
        </is>
      </c>
      <c r="D11312" s="21" t="n">
        <v>341122</v>
      </c>
      <c r="E11312" s="21" t="inlineStr">
        <is>
          <t>安徽省滁州市来安县</t>
        </is>
      </c>
    </row>
    <row r="11313">
      <c r="B11313" s="41" t="inlineStr">
        <is>
          <t>AreaCode</t>
        </is>
      </c>
      <c r="C11313" s="129" t="inlineStr">
        <is>
          <t>地区代码</t>
        </is>
      </c>
      <c r="D11313" s="21" t="n">
        <v>341124</v>
      </c>
      <c r="E11313" s="21" t="inlineStr">
        <is>
          <t>安徽省滁州市全椒县</t>
        </is>
      </c>
    </row>
    <row r="11314">
      <c r="B11314" s="41" t="inlineStr">
        <is>
          <t>AreaCode</t>
        </is>
      </c>
      <c r="C11314" s="129" t="inlineStr">
        <is>
          <t>地区代码</t>
        </is>
      </c>
      <c r="D11314" s="21" t="n">
        <v>341125</v>
      </c>
      <c r="E11314" s="21" t="inlineStr">
        <is>
          <t>安徽省滁州市定远县</t>
        </is>
      </c>
    </row>
    <row r="11315">
      <c r="B11315" s="41" t="inlineStr">
        <is>
          <t>AreaCode</t>
        </is>
      </c>
      <c r="C11315" s="129" t="inlineStr">
        <is>
          <t>地区代码</t>
        </is>
      </c>
      <c r="D11315" s="21" t="n">
        <v>341126</v>
      </c>
      <c r="E11315" s="21" t="inlineStr">
        <is>
          <t>安徽省滁州市凤阳县</t>
        </is>
      </c>
    </row>
    <row r="11316">
      <c r="B11316" s="41" t="inlineStr">
        <is>
          <t>AreaCode</t>
        </is>
      </c>
      <c r="C11316" s="129" t="inlineStr">
        <is>
          <t>地区代码</t>
        </is>
      </c>
      <c r="D11316" s="21" t="n">
        <v>341181</v>
      </c>
      <c r="E11316" s="21" t="inlineStr">
        <is>
          <t>安徽省滁州市天长市</t>
        </is>
      </c>
    </row>
    <row r="11317">
      <c r="B11317" s="41" t="inlineStr">
        <is>
          <t>AreaCode</t>
        </is>
      </c>
      <c r="C11317" s="129" t="inlineStr">
        <is>
          <t>地区代码</t>
        </is>
      </c>
      <c r="D11317" s="21" t="n">
        <v>341182</v>
      </c>
      <c r="E11317" s="21" t="inlineStr">
        <is>
          <t>安徽省滁州市明光市</t>
        </is>
      </c>
    </row>
    <row r="11318">
      <c r="B11318" s="41" t="inlineStr">
        <is>
          <t>AreaCode</t>
        </is>
      </c>
      <c r="C11318" s="129" t="inlineStr">
        <is>
          <t>地区代码</t>
        </is>
      </c>
      <c r="D11318" s="21" t="n">
        <v>341200</v>
      </c>
      <c r="E11318" s="21" t="inlineStr">
        <is>
          <t>安徽省阜阳市</t>
        </is>
      </c>
    </row>
    <row r="11319">
      <c r="B11319" s="41" t="inlineStr">
        <is>
          <t>AreaCode</t>
        </is>
      </c>
      <c r="C11319" s="129" t="inlineStr">
        <is>
          <t>地区代码</t>
        </is>
      </c>
      <c r="D11319" s="21" t="n">
        <v>341201</v>
      </c>
      <c r="E11319" s="21" t="inlineStr">
        <is>
          <t>安徽省阜阳市市辖区</t>
        </is>
      </c>
    </row>
    <row r="11320">
      <c r="B11320" s="41" t="inlineStr">
        <is>
          <t>AreaCode</t>
        </is>
      </c>
      <c r="C11320" s="129" t="inlineStr">
        <is>
          <t>地区代码</t>
        </is>
      </c>
      <c r="D11320" s="21" t="n">
        <v>341202</v>
      </c>
      <c r="E11320" s="21" t="inlineStr">
        <is>
          <t>安徽省阜阳市颍州区</t>
        </is>
      </c>
    </row>
    <row r="11321">
      <c r="B11321" s="41" t="inlineStr">
        <is>
          <t>AreaCode</t>
        </is>
      </c>
      <c r="C11321" s="129" t="inlineStr">
        <is>
          <t>地区代码</t>
        </is>
      </c>
      <c r="D11321" s="21" t="n">
        <v>341203</v>
      </c>
      <c r="E11321" s="21" t="inlineStr">
        <is>
          <t>安徽省阜阳市颍东区</t>
        </is>
      </c>
    </row>
    <row r="11322">
      <c r="B11322" s="41" t="inlineStr">
        <is>
          <t>AreaCode</t>
        </is>
      </c>
      <c r="C11322" s="129" t="inlineStr">
        <is>
          <t>地区代码</t>
        </is>
      </c>
      <c r="D11322" s="21" t="n">
        <v>341204</v>
      </c>
      <c r="E11322" s="21" t="inlineStr">
        <is>
          <t>安徽省阜阳市颍泉区</t>
        </is>
      </c>
    </row>
    <row r="11323">
      <c r="B11323" s="41" t="inlineStr">
        <is>
          <t>AreaCode</t>
        </is>
      </c>
      <c r="C11323" s="129" t="inlineStr">
        <is>
          <t>地区代码</t>
        </is>
      </c>
      <c r="D11323" s="21" t="n">
        <v>341221</v>
      </c>
      <c r="E11323" s="21" t="inlineStr">
        <is>
          <t>安徽省阜阳市临泉县</t>
        </is>
      </c>
    </row>
    <row r="11324">
      <c r="B11324" s="41" t="inlineStr">
        <is>
          <t>AreaCode</t>
        </is>
      </c>
      <c r="C11324" s="129" t="inlineStr">
        <is>
          <t>地区代码</t>
        </is>
      </c>
      <c r="D11324" s="21" t="n">
        <v>341222</v>
      </c>
      <c r="E11324" s="21" t="inlineStr">
        <is>
          <t>安徽省阜阳市太和县</t>
        </is>
      </c>
    </row>
    <row r="11325">
      <c r="B11325" s="41" t="inlineStr">
        <is>
          <t>AreaCode</t>
        </is>
      </c>
      <c r="C11325" s="129" t="inlineStr">
        <is>
          <t>地区代码</t>
        </is>
      </c>
      <c r="D11325" s="21" t="n">
        <v>341225</v>
      </c>
      <c r="E11325" s="21" t="inlineStr">
        <is>
          <t>安徽省阜阳市阜南县</t>
        </is>
      </c>
    </row>
    <row r="11326">
      <c r="B11326" s="41" t="inlineStr">
        <is>
          <t>AreaCode</t>
        </is>
      </c>
      <c r="C11326" s="129" t="inlineStr">
        <is>
          <t>地区代码</t>
        </is>
      </c>
      <c r="D11326" s="21" t="n">
        <v>341226</v>
      </c>
      <c r="E11326" s="21" t="inlineStr">
        <is>
          <t>安徽省阜阳市颍上县</t>
        </is>
      </c>
    </row>
    <row r="11327">
      <c r="B11327" s="41" t="inlineStr">
        <is>
          <t>AreaCode</t>
        </is>
      </c>
      <c r="C11327" s="129" t="inlineStr">
        <is>
          <t>地区代码</t>
        </is>
      </c>
      <c r="D11327" s="21" t="n">
        <v>341282</v>
      </c>
      <c r="E11327" s="21" t="inlineStr">
        <is>
          <t>安徽省阜阳市界首市</t>
        </is>
      </c>
    </row>
    <row r="11328">
      <c r="B11328" s="41" t="inlineStr">
        <is>
          <t>AreaCode</t>
        </is>
      </c>
      <c r="C11328" s="129" t="inlineStr">
        <is>
          <t>地区代码</t>
        </is>
      </c>
      <c r="D11328" s="21" t="n">
        <v>341300</v>
      </c>
      <c r="E11328" s="21" t="inlineStr">
        <is>
          <t>安徽省宿州市</t>
        </is>
      </c>
    </row>
    <row r="11329">
      <c r="B11329" s="41" t="inlineStr">
        <is>
          <t>AreaCode</t>
        </is>
      </c>
      <c r="C11329" s="129" t="inlineStr">
        <is>
          <t>地区代码</t>
        </is>
      </c>
      <c r="D11329" s="21" t="n">
        <v>341301</v>
      </c>
      <c r="E11329" s="21" t="inlineStr">
        <is>
          <t>安徽省宿州市市辖区</t>
        </is>
      </c>
    </row>
    <row r="11330">
      <c r="B11330" s="41" t="inlineStr">
        <is>
          <t>AreaCode</t>
        </is>
      </c>
      <c r="C11330" s="129" t="inlineStr">
        <is>
          <t>地区代码</t>
        </is>
      </c>
      <c r="D11330" s="21" t="n">
        <v>341302</v>
      </c>
      <c r="E11330" s="21" t="inlineStr">
        <is>
          <t>安徽省宿州市埇桥区</t>
        </is>
      </c>
    </row>
    <row r="11331">
      <c r="B11331" s="41" t="inlineStr">
        <is>
          <t>AreaCode</t>
        </is>
      </c>
      <c r="C11331" s="129" t="inlineStr">
        <is>
          <t>地区代码</t>
        </is>
      </c>
      <c r="D11331" s="21" t="n">
        <v>341321</v>
      </c>
      <c r="E11331" s="21" t="inlineStr">
        <is>
          <t>安徽省宿州市砀山县</t>
        </is>
      </c>
    </row>
    <row r="11332">
      <c r="B11332" s="41" t="inlineStr">
        <is>
          <t>AreaCode</t>
        </is>
      </c>
      <c r="C11332" s="129" t="inlineStr">
        <is>
          <t>地区代码</t>
        </is>
      </c>
      <c r="D11332" s="21" t="n">
        <v>341322</v>
      </c>
      <c r="E11332" s="21" t="inlineStr">
        <is>
          <t>安徽省宿州市萧县</t>
        </is>
      </c>
    </row>
    <row r="11333">
      <c r="B11333" s="41" t="inlineStr">
        <is>
          <t>AreaCode</t>
        </is>
      </c>
      <c r="C11333" s="129" t="inlineStr">
        <is>
          <t>地区代码</t>
        </is>
      </c>
      <c r="D11333" s="21" t="n">
        <v>341323</v>
      </c>
      <c r="E11333" s="21" t="inlineStr">
        <is>
          <t>安徽省宿州市灵璧县</t>
        </is>
      </c>
    </row>
    <row r="11334">
      <c r="B11334" s="41" t="inlineStr">
        <is>
          <t>AreaCode</t>
        </is>
      </c>
      <c r="C11334" s="129" t="inlineStr">
        <is>
          <t>地区代码</t>
        </is>
      </c>
      <c r="D11334" s="21" t="n">
        <v>341324</v>
      </c>
      <c r="E11334" s="21" t="inlineStr">
        <is>
          <t>安徽省宿州市泗县</t>
        </is>
      </c>
    </row>
    <row r="11335">
      <c r="B11335" s="41" t="inlineStr">
        <is>
          <t>AreaCode</t>
        </is>
      </c>
      <c r="C11335" s="129" t="inlineStr">
        <is>
          <t>地区代码</t>
        </is>
      </c>
      <c r="D11335" s="21" t="n">
        <v>341500</v>
      </c>
      <c r="E11335" s="21" t="inlineStr">
        <is>
          <t>安徽省六安市</t>
        </is>
      </c>
    </row>
    <row r="11336">
      <c r="B11336" s="41" t="inlineStr">
        <is>
          <t>AreaCode</t>
        </is>
      </c>
      <c r="C11336" s="129" t="inlineStr">
        <is>
          <t>地区代码</t>
        </is>
      </c>
      <c r="D11336" s="21" t="n">
        <v>341501</v>
      </c>
      <c r="E11336" s="21" t="inlineStr">
        <is>
          <t>安徽省六安市市辖区</t>
        </is>
      </c>
    </row>
    <row r="11337">
      <c r="B11337" s="41" t="inlineStr">
        <is>
          <t>AreaCode</t>
        </is>
      </c>
      <c r="C11337" s="129" t="inlineStr">
        <is>
          <t>地区代码</t>
        </is>
      </c>
      <c r="D11337" s="21" t="n">
        <v>341502</v>
      </c>
      <c r="E11337" s="21" t="inlineStr">
        <is>
          <t>安徽省六安市金安区</t>
        </is>
      </c>
    </row>
    <row r="11338">
      <c r="B11338" s="41" t="inlineStr">
        <is>
          <t>AreaCode</t>
        </is>
      </c>
      <c r="C11338" s="129" t="inlineStr">
        <is>
          <t>地区代码</t>
        </is>
      </c>
      <c r="D11338" s="21" t="n">
        <v>341503</v>
      </c>
      <c r="E11338" s="21" t="inlineStr">
        <is>
          <t>安徽省六安市裕安区</t>
        </is>
      </c>
    </row>
    <row r="11339">
      <c r="B11339" s="41" t="inlineStr">
        <is>
          <t>AreaCode</t>
        </is>
      </c>
      <c r="C11339" s="129" t="inlineStr">
        <is>
          <t>地区代码</t>
        </is>
      </c>
      <c r="D11339" s="21" t="n">
        <v>341521</v>
      </c>
      <c r="E11339" s="21" t="inlineStr">
        <is>
          <t>安徽省六安市寿县</t>
        </is>
      </c>
    </row>
    <row r="11340">
      <c r="B11340" s="41" t="inlineStr">
        <is>
          <t>AreaCode</t>
        </is>
      </c>
      <c r="C11340" s="129" t="inlineStr">
        <is>
          <t>地区代码</t>
        </is>
      </c>
      <c r="D11340" s="21" t="n">
        <v>341522</v>
      </c>
      <c r="E11340" s="21" t="inlineStr">
        <is>
          <t>安徽省六安市霍邱县</t>
        </is>
      </c>
    </row>
    <row r="11341">
      <c r="B11341" s="41" t="inlineStr">
        <is>
          <t>AreaCode</t>
        </is>
      </c>
      <c r="C11341" s="129" t="inlineStr">
        <is>
          <t>地区代码</t>
        </is>
      </c>
      <c r="D11341" s="21" t="n">
        <v>341523</v>
      </c>
      <c r="E11341" s="21" t="inlineStr">
        <is>
          <t>安徽省六安市舒城县</t>
        </is>
      </c>
    </row>
    <row r="11342">
      <c r="B11342" s="41" t="inlineStr">
        <is>
          <t>AreaCode</t>
        </is>
      </c>
      <c r="C11342" s="129" t="inlineStr">
        <is>
          <t>地区代码</t>
        </is>
      </c>
      <c r="D11342" s="21" t="n">
        <v>341524</v>
      </c>
      <c r="E11342" s="21" t="inlineStr">
        <is>
          <t>安徽省六安市金寨县</t>
        </is>
      </c>
    </row>
    <row r="11343">
      <c r="B11343" s="41" t="inlineStr">
        <is>
          <t>AreaCode</t>
        </is>
      </c>
      <c r="C11343" s="129" t="inlineStr">
        <is>
          <t>地区代码</t>
        </is>
      </c>
      <c r="D11343" s="21" t="n">
        <v>341525</v>
      </c>
      <c r="E11343" s="21" t="inlineStr">
        <is>
          <t>安徽省六安市霍山县</t>
        </is>
      </c>
    </row>
    <row r="11344">
      <c r="B11344" s="41" t="inlineStr">
        <is>
          <t>AreaCode</t>
        </is>
      </c>
      <c r="C11344" s="129" t="inlineStr">
        <is>
          <t>地区代码</t>
        </is>
      </c>
      <c r="D11344" s="21" t="n">
        <v>341600</v>
      </c>
      <c r="E11344" s="21" t="inlineStr">
        <is>
          <t>安徽省亳州市</t>
        </is>
      </c>
    </row>
    <row r="11345">
      <c r="B11345" s="41" t="inlineStr">
        <is>
          <t>AreaCode</t>
        </is>
      </c>
      <c r="C11345" s="129" t="inlineStr">
        <is>
          <t>地区代码</t>
        </is>
      </c>
      <c r="D11345" s="21" t="n">
        <v>341601</v>
      </c>
      <c r="E11345" s="21" t="inlineStr">
        <is>
          <t>安徽省亳州市市辖区</t>
        </is>
      </c>
    </row>
    <row r="11346">
      <c r="B11346" s="41" t="inlineStr">
        <is>
          <t>AreaCode</t>
        </is>
      </c>
      <c r="C11346" s="129" t="inlineStr">
        <is>
          <t>地区代码</t>
        </is>
      </c>
      <c r="D11346" s="21" t="n">
        <v>341602</v>
      </c>
      <c r="E11346" s="21" t="inlineStr">
        <is>
          <t>安徽省亳州市谯城区</t>
        </is>
      </c>
    </row>
    <row r="11347">
      <c r="B11347" s="41" t="inlineStr">
        <is>
          <t>AreaCode</t>
        </is>
      </c>
      <c r="C11347" s="129" t="inlineStr">
        <is>
          <t>地区代码</t>
        </is>
      </c>
      <c r="D11347" s="21" t="n">
        <v>341621</v>
      </c>
      <c r="E11347" s="21" t="inlineStr">
        <is>
          <t>安徽省亳州市涡阳县</t>
        </is>
      </c>
    </row>
    <row r="11348">
      <c r="B11348" s="41" t="inlineStr">
        <is>
          <t>AreaCode</t>
        </is>
      </c>
      <c r="C11348" s="129" t="inlineStr">
        <is>
          <t>地区代码</t>
        </is>
      </c>
      <c r="D11348" s="21" t="n">
        <v>341622</v>
      </c>
      <c r="E11348" s="21" t="inlineStr">
        <is>
          <t>安徽省亳州市蒙城县</t>
        </is>
      </c>
    </row>
    <row r="11349">
      <c r="B11349" s="41" t="inlineStr">
        <is>
          <t>AreaCode</t>
        </is>
      </c>
      <c r="C11349" s="129" t="inlineStr">
        <is>
          <t>地区代码</t>
        </is>
      </c>
      <c r="D11349" s="21" t="n">
        <v>341623</v>
      </c>
      <c r="E11349" s="21" t="inlineStr">
        <is>
          <t>安徽省亳州市利辛县</t>
        </is>
      </c>
    </row>
    <row r="11350">
      <c r="B11350" s="41" t="inlineStr">
        <is>
          <t>AreaCode</t>
        </is>
      </c>
      <c r="C11350" s="129" t="inlineStr">
        <is>
          <t>地区代码</t>
        </is>
      </c>
      <c r="D11350" s="21" t="n">
        <v>341700</v>
      </c>
      <c r="E11350" s="21" t="inlineStr">
        <is>
          <t>安徽省池州市</t>
        </is>
      </c>
    </row>
    <row r="11351">
      <c r="B11351" s="41" t="inlineStr">
        <is>
          <t>AreaCode</t>
        </is>
      </c>
      <c r="C11351" s="129" t="inlineStr">
        <is>
          <t>地区代码</t>
        </is>
      </c>
      <c r="D11351" s="21" t="n">
        <v>341701</v>
      </c>
      <c r="E11351" s="21" t="inlineStr">
        <is>
          <t>安徽省池州市市辖区</t>
        </is>
      </c>
    </row>
    <row r="11352">
      <c r="B11352" s="41" t="inlineStr">
        <is>
          <t>AreaCode</t>
        </is>
      </c>
      <c r="C11352" s="129" t="inlineStr">
        <is>
          <t>地区代码</t>
        </is>
      </c>
      <c r="D11352" s="21" t="n">
        <v>341702</v>
      </c>
      <c r="E11352" s="21" t="inlineStr">
        <is>
          <t>安徽省池州市贵池区</t>
        </is>
      </c>
    </row>
    <row r="11353">
      <c r="B11353" s="41" t="inlineStr">
        <is>
          <t>AreaCode</t>
        </is>
      </c>
      <c r="C11353" s="129" t="inlineStr">
        <is>
          <t>地区代码</t>
        </is>
      </c>
      <c r="D11353" s="21" t="n">
        <v>341721</v>
      </c>
      <c r="E11353" s="21" t="inlineStr">
        <is>
          <t>安徽省池州市东至县</t>
        </is>
      </c>
    </row>
    <row r="11354">
      <c r="B11354" s="41" t="inlineStr">
        <is>
          <t>AreaCode</t>
        </is>
      </c>
      <c r="C11354" s="129" t="inlineStr">
        <is>
          <t>地区代码</t>
        </is>
      </c>
      <c r="D11354" s="21" t="n">
        <v>341722</v>
      </c>
      <c r="E11354" s="21" t="inlineStr">
        <is>
          <t>安徽省池州市石台县</t>
        </is>
      </c>
    </row>
    <row r="11355">
      <c r="B11355" s="41" t="inlineStr">
        <is>
          <t>AreaCode</t>
        </is>
      </c>
      <c r="C11355" s="129" t="inlineStr">
        <is>
          <t>地区代码</t>
        </is>
      </c>
      <c r="D11355" s="21" t="n">
        <v>341723</v>
      </c>
      <c r="E11355" s="21" t="inlineStr">
        <is>
          <t>安徽省池州市青阳县</t>
        </is>
      </c>
    </row>
    <row r="11356">
      <c r="B11356" s="41" t="inlineStr">
        <is>
          <t>AreaCode</t>
        </is>
      </c>
      <c r="C11356" s="129" t="inlineStr">
        <is>
          <t>地区代码</t>
        </is>
      </c>
      <c r="D11356" s="21" t="n">
        <v>341800</v>
      </c>
      <c r="E11356" s="21" t="inlineStr">
        <is>
          <t>安徽省宣城市</t>
        </is>
      </c>
    </row>
    <row r="11357">
      <c r="B11357" s="41" t="inlineStr">
        <is>
          <t>AreaCode</t>
        </is>
      </c>
      <c r="C11357" s="129" t="inlineStr">
        <is>
          <t>地区代码</t>
        </is>
      </c>
      <c r="D11357" s="21" t="n">
        <v>341801</v>
      </c>
      <c r="E11357" s="21" t="inlineStr">
        <is>
          <t>安徽省宣城市市辖区</t>
        </is>
      </c>
    </row>
    <row r="11358">
      <c r="B11358" s="41" t="inlineStr">
        <is>
          <t>AreaCode</t>
        </is>
      </c>
      <c r="C11358" s="129" t="inlineStr">
        <is>
          <t>地区代码</t>
        </is>
      </c>
      <c r="D11358" s="21" t="n">
        <v>341802</v>
      </c>
      <c r="E11358" s="21" t="inlineStr">
        <is>
          <t>安徽省宣城市宣州区</t>
        </is>
      </c>
    </row>
    <row r="11359">
      <c r="B11359" s="41" t="inlineStr">
        <is>
          <t>AreaCode</t>
        </is>
      </c>
      <c r="C11359" s="129" t="inlineStr">
        <is>
          <t>地区代码</t>
        </is>
      </c>
      <c r="D11359" s="21" t="n">
        <v>341821</v>
      </c>
      <c r="E11359" s="21" t="inlineStr">
        <is>
          <t>安徽省宣城市郎溪县</t>
        </is>
      </c>
    </row>
    <row r="11360">
      <c r="B11360" s="41" t="inlineStr">
        <is>
          <t>AreaCode</t>
        </is>
      </c>
      <c r="C11360" s="129" t="inlineStr">
        <is>
          <t>地区代码</t>
        </is>
      </c>
      <c r="D11360" s="21" t="n">
        <v>341822</v>
      </c>
      <c r="E11360" s="21" t="inlineStr">
        <is>
          <t>安徽省宣城市广德县</t>
        </is>
      </c>
    </row>
    <row r="11361">
      <c r="B11361" s="41" t="inlineStr">
        <is>
          <t>AreaCode</t>
        </is>
      </c>
      <c r="C11361" s="129" t="inlineStr">
        <is>
          <t>地区代码</t>
        </is>
      </c>
      <c r="D11361" s="21" t="n">
        <v>341823</v>
      </c>
      <c r="E11361" s="21" t="inlineStr">
        <is>
          <t>安徽省宣城市泾县</t>
        </is>
      </c>
    </row>
    <row r="11362">
      <c r="B11362" s="41" t="inlineStr">
        <is>
          <t>AreaCode</t>
        </is>
      </c>
      <c r="C11362" s="129" t="inlineStr">
        <is>
          <t>地区代码</t>
        </is>
      </c>
      <c r="D11362" s="21" t="n">
        <v>341824</v>
      </c>
      <c r="E11362" s="21" t="inlineStr">
        <is>
          <t>安徽省宣城市绩溪县</t>
        </is>
      </c>
    </row>
    <row r="11363">
      <c r="B11363" s="41" t="inlineStr">
        <is>
          <t>AreaCode</t>
        </is>
      </c>
      <c r="C11363" s="129" t="inlineStr">
        <is>
          <t>地区代码</t>
        </is>
      </c>
      <c r="D11363" s="21" t="n">
        <v>341825</v>
      </c>
      <c r="E11363" s="21" t="inlineStr">
        <is>
          <t>安徽省宣城市旌德县</t>
        </is>
      </c>
    </row>
    <row r="11364">
      <c r="B11364" s="41" t="inlineStr">
        <is>
          <t>AreaCode</t>
        </is>
      </c>
      <c r="C11364" s="129" t="inlineStr">
        <is>
          <t>地区代码</t>
        </is>
      </c>
      <c r="D11364" s="21" t="n">
        <v>341881</v>
      </c>
      <c r="E11364" s="21" t="inlineStr">
        <is>
          <t>安徽省宣城市宁国市</t>
        </is>
      </c>
    </row>
    <row r="11365">
      <c r="B11365" s="41" t="inlineStr">
        <is>
          <t>AreaCode</t>
        </is>
      </c>
      <c r="C11365" s="129" t="inlineStr">
        <is>
          <t>地区代码</t>
        </is>
      </c>
      <c r="D11365" s="21" t="n">
        <v>350000</v>
      </c>
      <c r="E11365" s="21" t="inlineStr">
        <is>
          <t>福建省</t>
        </is>
      </c>
    </row>
    <row r="11366">
      <c r="B11366" s="41" t="inlineStr">
        <is>
          <t>AreaCode</t>
        </is>
      </c>
      <c r="C11366" s="129" t="inlineStr">
        <is>
          <t>地区代码</t>
        </is>
      </c>
      <c r="D11366" s="21" t="n">
        <v>350100</v>
      </c>
      <c r="E11366" s="21" t="inlineStr">
        <is>
          <t>福建省福州市</t>
        </is>
      </c>
    </row>
    <row r="11367">
      <c r="B11367" s="41" t="inlineStr">
        <is>
          <t>AreaCode</t>
        </is>
      </c>
      <c r="C11367" s="129" t="inlineStr">
        <is>
          <t>地区代码</t>
        </is>
      </c>
      <c r="D11367" s="21" t="n">
        <v>350101</v>
      </c>
      <c r="E11367" s="21" t="inlineStr">
        <is>
          <t>福建省福州市市辖区</t>
        </is>
      </c>
    </row>
    <row r="11368">
      <c r="B11368" s="41" t="inlineStr">
        <is>
          <t>AreaCode</t>
        </is>
      </c>
      <c r="C11368" s="129" t="inlineStr">
        <is>
          <t>地区代码</t>
        </is>
      </c>
      <c r="D11368" s="21" t="n">
        <v>350102</v>
      </c>
      <c r="E11368" s="21" t="inlineStr">
        <is>
          <t>福建省福州市鼓楼区</t>
        </is>
      </c>
    </row>
    <row r="11369">
      <c r="B11369" s="41" t="inlineStr">
        <is>
          <t>AreaCode</t>
        </is>
      </c>
      <c r="C11369" s="129" t="inlineStr">
        <is>
          <t>地区代码</t>
        </is>
      </c>
      <c r="D11369" s="21" t="n">
        <v>350103</v>
      </c>
      <c r="E11369" s="21" t="inlineStr">
        <is>
          <t>福建省福州市台江区</t>
        </is>
      </c>
    </row>
    <row r="11370">
      <c r="B11370" s="41" t="inlineStr">
        <is>
          <t>AreaCode</t>
        </is>
      </c>
      <c r="C11370" s="129" t="inlineStr">
        <is>
          <t>地区代码</t>
        </is>
      </c>
      <c r="D11370" s="21" t="n">
        <v>350104</v>
      </c>
      <c r="E11370" s="21" t="inlineStr">
        <is>
          <t>福建省福州市仓山区</t>
        </is>
      </c>
    </row>
    <row r="11371">
      <c r="B11371" s="41" t="inlineStr">
        <is>
          <t>AreaCode</t>
        </is>
      </c>
      <c r="C11371" s="129" t="inlineStr">
        <is>
          <t>地区代码</t>
        </is>
      </c>
      <c r="D11371" s="21" t="n">
        <v>350105</v>
      </c>
      <c r="E11371" s="21" t="inlineStr">
        <is>
          <t>福建省福州市马尾区</t>
        </is>
      </c>
    </row>
    <row r="11372">
      <c r="B11372" s="41" t="inlineStr">
        <is>
          <t>AreaCode</t>
        </is>
      </c>
      <c r="C11372" s="129" t="inlineStr">
        <is>
          <t>地区代码</t>
        </is>
      </c>
      <c r="D11372" s="21" t="n">
        <v>350111</v>
      </c>
      <c r="E11372" s="21" t="inlineStr">
        <is>
          <t>福建省福州市晋安区</t>
        </is>
      </c>
    </row>
    <row r="11373">
      <c r="B11373" s="41" t="inlineStr">
        <is>
          <t>AreaCode</t>
        </is>
      </c>
      <c r="C11373" s="129" t="inlineStr">
        <is>
          <t>地区代码</t>
        </is>
      </c>
      <c r="D11373" s="21" t="n">
        <v>350121</v>
      </c>
      <c r="E11373" s="21" t="inlineStr">
        <is>
          <t>福建省福州市闽侯县</t>
        </is>
      </c>
    </row>
    <row r="11374">
      <c r="B11374" s="41" t="inlineStr">
        <is>
          <t>AreaCode</t>
        </is>
      </c>
      <c r="C11374" s="129" t="inlineStr">
        <is>
          <t>地区代码</t>
        </is>
      </c>
      <c r="D11374" s="21" t="n">
        <v>350122</v>
      </c>
      <c r="E11374" s="21" t="inlineStr">
        <is>
          <t>福建省福州市连江县</t>
        </is>
      </c>
    </row>
    <row r="11375">
      <c r="B11375" s="41" t="inlineStr">
        <is>
          <t>AreaCode</t>
        </is>
      </c>
      <c r="C11375" s="129" t="inlineStr">
        <is>
          <t>地区代码</t>
        </is>
      </c>
      <c r="D11375" s="21" t="n">
        <v>350123</v>
      </c>
      <c r="E11375" s="21" t="inlineStr">
        <is>
          <t>福建省福州市罗源县</t>
        </is>
      </c>
    </row>
    <row r="11376">
      <c r="B11376" s="41" t="inlineStr">
        <is>
          <t>AreaCode</t>
        </is>
      </c>
      <c r="C11376" s="129" t="inlineStr">
        <is>
          <t>地区代码</t>
        </is>
      </c>
      <c r="D11376" s="21" t="n">
        <v>350124</v>
      </c>
      <c r="E11376" s="21" t="inlineStr">
        <is>
          <t>福建省福州市闽清县</t>
        </is>
      </c>
    </row>
    <row r="11377">
      <c r="B11377" s="41" t="inlineStr">
        <is>
          <t>AreaCode</t>
        </is>
      </c>
      <c r="C11377" s="129" t="inlineStr">
        <is>
          <t>地区代码</t>
        </is>
      </c>
      <c r="D11377" s="21" t="n">
        <v>350125</v>
      </c>
      <c r="E11377" s="21" t="inlineStr">
        <is>
          <t>福建省福州市永泰县</t>
        </is>
      </c>
    </row>
    <row r="11378">
      <c r="B11378" s="41" t="inlineStr">
        <is>
          <t>AreaCode</t>
        </is>
      </c>
      <c r="C11378" s="129" t="inlineStr">
        <is>
          <t>地区代码</t>
        </is>
      </c>
      <c r="D11378" s="21" t="n">
        <v>350128</v>
      </c>
      <c r="E11378" s="21" t="inlineStr">
        <is>
          <t>福建省福州市平潭县</t>
        </is>
      </c>
    </row>
    <row r="11379">
      <c r="B11379" s="41" t="inlineStr">
        <is>
          <t>AreaCode</t>
        </is>
      </c>
      <c r="C11379" s="129" t="inlineStr">
        <is>
          <t>地区代码</t>
        </is>
      </c>
      <c r="D11379" s="21" t="n">
        <v>350181</v>
      </c>
      <c r="E11379" s="21" t="inlineStr">
        <is>
          <t>福建省福州市福清市</t>
        </is>
      </c>
    </row>
    <row r="11380">
      <c r="B11380" s="41" t="inlineStr">
        <is>
          <t>AreaCode</t>
        </is>
      </c>
      <c r="C11380" s="129" t="inlineStr">
        <is>
          <t>地区代码</t>
        </is>
      </c>
      <c r="D11380" s="21" t="n">
        <v>350182</v>
      </c>
      <c r="E11380" s="21" t="inlineStr">
        <is>
          <t>福建省福州市长乐市</t>
        </is>
      </c>
    </row>
    <row r="11381">
      <c r="B11381" s="41" t="inlineStr">
        <is>
          <t>AreaCode</t>
        </is>
      </c>
      <c r="C11381" s="129" t="inlineStr">
        <is>
          <t>地区代码</t>
        </is>
      </c>
      <c r="D11381" s="21" t="n">
        <v>350200</v>
      </c>
      <c r="E11381" s="21" t="inlineStr">
        <is>
          <t>福建省厦门市</t>
        </is>
      </c>
    </row>
    <row r="11382">
      <c r="B11382" s="41" t="inlineStr">
        <is>
          <t>AreaCode</t>
        </is>
      </c>
      <c r="C11382" s="129" t="inlineStr">
        <is>
          <t>地区代码</t>
        </is>
      </c>
      <c r="D11382" s="21" t="n">
        <v>350201</v>
      </c>
      <c r="E11382" s="21" t="inlineStr">
        <is>
          <t>福建省厦门市市辖区</t>
        </is>
      </c>
    </row>
    <row r="11383">
      <c r="B11383" s="41" t="inlineStr">
        <is>
          <t>AreaCode</t>
        </is>
      </c>
      <c r="C11383" s="129" t="inlineStr">
        <is>
          <t>地区代码</t>
        </is>
      </c>
      <c r="D11383" s="21" t="n">
        <v>350203</v>
      </c>
      <c r="E11383" s="21" t="inlineStr">
        <is>
          <t>福建省厦门市思明区</t>
        </is>
      </c>
    </row>
    <row r="11384">
      <c r="B11384" s="41" t="inlineStr">
        <is>
          <t>AreaCode</t>
        </is>
      </c>
      <c r="C11384" s="129" t="inlineStr">
        <is>
          <t>地区代码</t>
        </is>
      </c>
      <c r="D11384" s="21" t="n">
        <v>350205</v>
      </c>
      <c r="E11384" s="21" t="inlineStr">
        <is>
          <t>福建省厦门市海沧区</t>
        </is>
      </c>
    </row>
    <row r="11385">
      <c r="B11385" s="41" t="inlineStr">
        <is>
          <t>AreaCode</t>
        </is>
      </c>
      <c r="C11385" s="129" t="inlineStr">
        <is>
          <t>地区代码</t>
        </is>
      </c>
      <c r="D11385" s="21" t="n">
        <v>350206</v>
      </c>
      <c r="E11385" s="21" t="inlineStr">
        <is>
          <t>福建省厦门市湖里区</t>
        </is>
      </c>
    </row>
    <row r="11386">
      <c r="B11386" s="41" t="inlineStr">
        <is>
          <t>AreaCode</t>
        </is>
      </c>
      <c r="C11386" s="129" t="inlineStr">
        <is>
          <t>地区代码</t>
        </is>
      </c>
      <c r="D11386" s="21" t="n">
        <v>350211</v>
      </c>
      <c r="E11386" s="21" t="inlineStr">
        <is>
          <t>福建省厦门市集美区</t>
        </is>
      </c>
    </row>
    <row r="11387">
      <c r="B11387" s="41" t="inlineStr">
        <is>
          <t>AreaCode</t>
        </is>
      </c>
      <c r="C11387" s="129" t="inlineStr">
        <is>
          <t>地区代码</t>
        </is>
      </c>
      <c r="D11387" s="21" t="n">
        <v>350212</v>
      </c>
      <c r="E11387" s="21" t="inlineStr">
        <is>
          <t>福建省厦门市同安区</t>
        </is>
      </c>
    </row>
    <row r="11388">
      <c r="B11388" s="41" t="inlineStr">
        <is>
          <t>AreaCode</t>
        </is>
      </c>
      <c r="C11388" s="129" t="inlineStr">
        <is>
          <t>地区代码</t>
        </is>
      </c>
      <c r="D11388" s="21" t="n">
        <v>350213</v>
      </c>
      <c r="E11388" s="21" t="inlineStr">
        <is>
          <t>福建省厦门市翔安区</t>
        </is>
      </c>
    </row>
    <row r="11389">
      <c r="B11389" s="41" t="inlineStr">
        <is>
          <t>AreaCode</t>
        </is>
      </c>
      <c r="C11389" s="129" t="inlineStr">
        <is>
          <t>地区代码</t>
        </is>
      </c>
      <c r="D11389" s="21" t="n">
        <v>350300</v>
      </c>
      <c r="E11389" s="21" t="inlineStr">
        <is>
          <t>福建省莆田市</t>
        </is>
      </c>
    </row>
    <row r="11390">
      <c r="B11390" s="41" t="inlineStr">
        <is>
          <t>AreaCode</t>
        </is>
      </c>
      <c r="C11390" s="129" t="inlineStr">
        <is>
          <t>地区代码</t>
        </is>
      </c>
      <c r="D11390" s="21" t="n">
        <v>350301</v>
      </c>
      <c r="E11390" s="21" t="inlineStr">
        <is>
          <t>福建省莆田市市辖区</t>
        </is>
      </c>
    </row>
    <row r="11391">
      <c r="B11391" s="41" t="inlineStr">
        <is>
          <t>AreaCode</t>
        </is>
      </c>
      <c r="C11391" s="129" t="inlineStr">
        <is>
          <t>地区代码</t>
        </is>
      </c>
      <c r="D11391" s="21" t="n">
        <v>350302</v>
      </c>
      <c r="E11391" s="21" t="inlineStr">
        <is>
          <t>福建省莆田市城厢区</t>
        </is>
      </c>
    </row>
    <row r="11392">
      <c r="B11392" s="41" t="inlineStr">
        <is>
          <t>AreaCode</t>
        </is>
      </c>
      <c r="C11392" s="129" t="inlineStr">
        <is>
          <t>地区代码</t>
        </is>
      </c>
      <c r="D11392" s="21" t="n">
        <v>350303</v>
      </c>
      <c r="E11392" s="21" t="inlineStr">
        <is>
          <t>福建省莆田市涵江区</t>
        </is>
      </c>
    </row>
    <row r="11393">
      <c r="B11393" s="41" t="inlineStr">
        <is>
          <t>AreaCode</t>
        </is>
      </c>
      <c r="C11393" s="129" t="inlineStr">
        <is>
          <t>地区代码</t>
        </is>
      </c>
      <c r="D11393" s="21" t="n">
        <v>350304</v>
      </c>
      <c r="E11393" s="21" t="inlineStr">
        <is>
          <t>福建省莆田市荔城区</t>
        </is>
      </c>
    </row>
    <row r="11394">
      <c r="B11394" s="41" t="inlineStr">
        <is>
          <t>AreaCode</t>
        </is>
      </c>
      <c r="C11394" s="129" t="inlineStr">
        <is>
          <t>地区代码</t>
        </is>
      </c>
      <c r="D11394" s="21" t="n">
        <v>350305</v>
      </c>
      <c r="E11394" s="21" t="inlineStr">
        <is>
          <t>福建省莆田市秀屿区</t>
        </is>
      </c>
    </row>
    <row r="11395">
      <c r="B11395" s="41" t="inlineStr">
        <is>
          <t>AreaCode</t>
        </is>
      </c>
      <c r="C11395" s="129" t="inlineStr">
        <is>
          <t>地区代码</t>
        </is>
      </c>
      <c r="D11395" s="21" t="n">
        <v>350322</v>
      </c>
      <c r="E11395" s="21" t="inlineStr">
        <is>
          <t>福建省莆田市仙游县</t>
        </is>
      </c>
    </row>
    <row r="11396">
      <c r="B11396" s="41" t="inlineStr">
        <is>
          <t>AreaCode</t>
        </is>
      </c>
      <c r="C11396" s="129" t="inlineStr">
        <is>
          <t>地区代码</t>
        </is>
      </c>
      <c r="D11396" s="21" t="n">
        <v>350400</v>
      </c>
      <c r="E11396" s="21" t="inlineStr">
        <is>
          <t>福建省三明市</t>
        </is>
      </c>
    </row>
    <row r="11397">
      <c r="B11397" s="41" t="inlineStr">
        <is>
          <t>AreaCode</t>
        </is>
      </c>
      <c r="C11397" s="129" t="inlineStr">
        <is>
          <t>地区代码</t>
        </is>
      </c>
      <c r="D11397" s="21" t="n">
        <v>350401</v>
      </c>
      <c r="E11397" s="21" t="inlineStr">
        <is>
          <t>福建省三明市市辖区</t>
        </is>
      </c>
    </row>
    <row r="11398">
      <c r="B11398" s="41" t="inlineStr">
        <is>
          <t>AreaCode</t>
        </is>
      </c>
      <c r="C11398" s="129" t="inlineStr">
        <is>
          <t>地区代码</t>
        </is>
      </c>
      <c r="D11398" s="21" t="n">
        <v>350402</v>
      </c>
      <c r="E11398" s="21" t="inlineStr">
        <is>
          <t>福建省三明市梅列区</t>
        </is>
      </c>
    </row>
    <row r="11399">
      <c r="B11399" s="41" t="inlineStr">
        <is>
          <t>AreaCode</t>
        </is>
      </c>
      <c r="C11399" s="129" t="inlineStr">
        <is>
          <t>地区代码</t>
        </is>
      </c>
      <c r="D11399" s="21" t="n">
        <v>350403</v>
      </c>
      <c r="E11399" s="21" t="inlineStr">
        <is>
          <t>福建省三明市三元区</t>
        </is>
      </c>
    </row>
    <row r="11400">
      <c r="B11400" s="41" t="inlineStr">
        <is>
          <t>AreaCode</t>
        </is>
      </c>
      <c r="C11400" s="129" t="inlineStr">
        <is>
          <t>地区代码</t>
        </is>
      </c>
      <c r="D11400" s="21" t="n">
        <v>350421</v>
      </c>
      <c r="E11400" s="21" t="inlineStr">
        <is>
          <t>福建省三明市明溪县</t>
        </is>
      </c>
    </row>
    <row r="11401">
      <c r="B11401" s="41" t="inlineStr">
        <is>
          <t>AreaCode</t>
        </is>
      </c>
      <c r="C11401" s="129" t="inlineStr">
        <is>
          <t>地区代码</t>
        </is>
      </c>
      <c r="D11401" s="21" t="n">
        <v>350423</v>
      </c>
      <c r="E11401" s="21" t="inlineStr">
        <is>
          <t>福建省三明市清流县</t>
        </is>
      </c>
    </row>
    <row r="11402">
      <c r="B11402" s="41" t="inlineStr">
        <is>
          <t>AreaCode</t>
        </is>
      </c>
      <c r="C11402" s="129" t="inlineStr">
        <is>
          <t>地区代码</t>
        </is>
      </c>
      <c r="D11402" s="21" t="n">
        <v>350424</v>
      </c>
      <c r="E11402" s="21" t="inlineStr">
        <is>
          <t>福建省三明市宁化县</t>
        </is>
      </c>
    </row>
    <row r="11403">
      <c r="B11403" s="41" t="inlineStr">
        <is>
          <t>AreaCode</t>
        </is>
      </c>
      <c r="C11403" s="129" t="inlineStr">
        <is>
          <t>地区代码</t>
        </is>
      </c>
      <c r="D11403" s="21" t="n">
        <v>350425</v>
      </c>
      <c r="E11403" s="21" t="inlineStr">
        <is>
          <t>福建省三明市大田县</t>
        </is>
      </c>
    </row>
    <row r="11404">
      <c r="B11404" s="41" t="inlineStr">
        <is>
          <t>AreaCode</t>
        </is>
      </c>
      <c r="C11404" s="129" t="inlineStr">
        <is>
          <t>地区代码</t>
        </is>
      </c>
      <c r="D11404" s="21" t="n">
        <v>350426</v>
      </c>
      <c r="E11404" s="21" t="inlineStr">
        <is>
          <t>福建省三明市尤溪县</t>
        </is>
      </c>
    </row>
    <row r="11405">
      <c r="B11405" s="41" t="inlineStr">
        <is>
          <t>AreaCode</t>
        </is>
      </c>
      <c r="C11405" s="129" t="inlineStr">
        <is>
          <t>地区代码</t>
        </is>
      </c>
      <c r="D11405" s="21" t="n">
        <v>350427</v>
      </c>
      <c r="E11405" s="21" t="inlineStr">
        <is>
          <t>福建省三明市沙县</t>
        </is>
      </c>
    </row>
    <row r="11406">
      <c r="B11406" s="41" t="inlineStr">
        <is>
          <t>AreaCode</t>
        </is>
      </c>
      <c r="C11406" s="129" t="inlineStr">
        <is>
          <t>地区代码</t>
        </is>
      </c>
      <c r="D11406" s="21" t="n">
        <v>350428</v>
      </c>
      <c r="E11406" s="21" t="inlineStr">
        <is>
          <t>福建省三明市将乐县</t>
        </is>
      </c>
    </row>
    <row r="11407">
      <c r="B11407" s="41" t="inlineStr">
        <is>
          <t>AreaCode</t>
        </is>
      </c>
      <c r="C11407" s="129" t="inlineStr">
        <is>
          <t>地区代码</t>
        </is>
      </c>
      <c r="D11407" s="21" t="n">
        <v>350429</v>
      </c>
      <c r="E11407" s="21" t="inlineStr">
        <is>
          <t>福建省三明市泰宁县</t>
        </is>
      </c>
    </row>
    <row r="11408">
      <c r="B11408" s="41" t="inlineStr">
        <is>
          <t>AreaCode</t>
        </is>
      </c>
      <c r="C11408" s="129" t="inlineStr">
        <is>
          <t>地区代码</t>
        </is>
      </c>
      <c r="D11408" s="21" t="n">
        <v>350430</v>
      </c>
      <c r="E11408" s="21" t="inlineStr">
        <is>
          <t>福建省三明市建宁县</t>
        </is>
      </c>
    </row>
    <row r="11409">
      <c r="B11409" s="41" t="inlineStr">
        <is>
          <t>AreaCode</t>
        </is>
      </c>
      <c r="C11409" s="129" t="inlineStr">
        <is>
          <t>地区代码</t>
        </is>
      </c>
      <c r="D11409" s="21" t="n">
        <v>350481</v>
      </c>
      <c r="E11409" s="21" t="inlineStr">
        <is>
          <t>福建省三明市永安市</t>
        </is>
      </c>
    </row>
    <row r="11410">
      <c r="B11410" s="41" t="inlineStr">
        <is>
          <t>AreaCode</t>
        </is>
      </c>
      <c r="C11410" s="129" t="inlineStr">
        <is>
          <t>地区代码</t>
        </is>
      </c>
      <c r="D11410" s="21" t="n">
        <v>350500</v>
      </c>
      <c r="E11410" s="21" t="inlineStr">
        <is>
          <t>福建省泉州市</t>
        </is>
      </c>
    </row>
    <row r="11411">
      <c r="B11411" s="41" t="inlineStr">
        <is>
          <t>AreaCode</t>
        </is>
      </c>
      <c r="C11411" s="129" t="inlineStr">
        <is>
          <t>地区代码</t>
        </is>
      </c>
      <c r="D11411" s="21" t="n">
        <v>350501</v>
      </c>
      <c r="E11411" s="21" t="inlineStr">
        <is>
          <t>福建省泉州市市辖区</t>
        </is>
      </c>
    </row>
    <row r="11412">
      <c r="B11412" s="41" t="inlineStr">
        <is>
          <t>AreaCode</t>
        </is>
      </c>
      <c r="C11412" s="129" t="inlineStr">
        <is>
          <t>地区代码</t>
        </is>
      </c>
      <c r="D11412" s="21" t="n">
        <v>350502</v>
      </c>
      <c r="E11412" s="21" t="inlineStr">
        <is>
          <t>福建省泉州市鲤城区</t>
        </is>
      </c>
    </row>
    <row r="11413">
      <c r="B11413" s="41" t="inlineStr">
        <is>
          <t>AreaCode</t>
        </is>
      </c>
      <c r="C11413" s="129" t="inlineStr">
        <is>
          <t>地区代码</t>
        </is>
      </c>
      <c r="D11413" s="21" t="n">
        <v>350503</v>
      </c>
      <c r="E11413" s="21" t="inlineStr">
        <is>
          <t>福建省泉州市丰泽区</t>
        </is>
      </c>
    </row>
    <row r="11414">
      <c r="B11414" s="41" t="inlineStr">
        <is>
          <t>AreaCode</t>
        </is>
      </c>
      <c r="C11414" s="129" t="inlineStr">
        <is>
          <t>地区代码</t>
        </is>
      </c>
      <c r="D11414" s="21" t="n">
        <v>350504</v>
      </c>
      <c r="E11414" s="21" t="inlineStr">
        <is>
          <t>福建省泉州市洛江区</t>
        </is>
      </c>
    </row>
    <row r="11415">
      <c r="B11415" s="41" t="inlineStr">
        <is>
          <t>AreaCode</t>
        </is>
      </c>
      <c r="C11415" s="129" t="inlineStr">
        <is>
          <t>地区代码</t>
        </is>
      </c>
      <c r="D11415" s="21" t="n">
        <v>350505</v>
      </c>
      <c r="E11415" s="21" t="inlineStr">
        <is>
          <t>福建省泉州市泉港区</t>
        </is>
      </c>
    </row>
    <row r="11416">
      <c r="B11416" s="41" t="inlineStr">
        <is>
          <t>AreaCode</t>
        </is>
      </c>
      <c r="C11416" s="129" t="inlineStr">
        <is>
          <t>地区代码</t>
        </is>
      </c>
      <c r="D11416" s="21" t="n">
        <v>350521</v>
      </c>
      <c r="E11416" s="21" t="inlineStr">
        <is>
          <t>福建省泉州市惠安县</t>
        </is>
      </c>
    </row>
    <row r="11417">
      <c r="B11417" s="41" t="inlineStr">
        <is>
          <t>AreaCode</t>
        </is>
      </c>
      <c r="C11417" s="129" t="inlineStr">
        <is>
          <t>地区代码</t>
        </is>
      </c>
      <c r="D11417" s="21" t="n">
        <v>350524</v>
      </c>
      <c r="E11417" s="21" t="inlineStr">
        <is>
          <t>福建省泉州市安溪县</t>
        </is>
      </c>
    </row>
    <row r="11418">
      <c r="B11418" s="41" t="inlineStr">
        <is>
          <t>AreaCode</t>
        </is>
      </c>
      <c r="C11418" s="129" t="inlineStr">
        <is>
          <t>地区代码</t>
        </is>
      </c>
      <c r="D11418" s="21" t="n">
        <v>350525</v>
      </c>
      <c r="E11418" s="21" t="inlineStr">
        <is>
          <t>福建省泉州市永春县</t>
        </is>
      </c>
    </row>
    <row r="11419">
      <c r="B11419" s="41" t="inlineStr">
        <is>
          <t>AreaCode</t>
        </is>
      </c>
      <c r="C11419" s="129" t="inlineStr">
        <is>
          <t>地区代码</t>
        </is>
      </c>
      <c r="D11419" s="21" t="n">
        <v>350526</v>
      </c>
      <c r="E11419" s="21" t="inlineStr">
        <is>
          <t>福建省泉州市德化县</t>
        </is>
      </c>
    </row>
    <row r="11420">
      <c r="B11420" s="41" t="inlineStr">
        <is>
          <t>AreaCode</t>
        </is>
      </c>
      <c r="C11420" s="129" t="inlineStr">
        <is>
          <t>地区代码</t>
        </is>
      </c>
      <c r="D11420" s="21" t="n">
        <v>350527</v>
      </c>
      <c r="E11420" s="21" t="inlineStr">
        <is>
          <t>福建省泉州市金门县</t>
        </is>
      </c>
    </row>
    <row r="11421">
      <c r="B11421" s="41" t="inlineStr">
        <is>
          <t>AreaCode</t>
        </is>
      </c>
      <c r="C11421" s="129" t="inlineStr">
        <is>
          <t>地区代码</t>
        </is>
      </c>
      <c r="D11421" s="21" t="n">
        <v>350581</v>
      </c>
      <c r="E11421" s="21" t="inlineStr">
        <is>
          <t>福建省泉州市石狮市</t>
        </is>
      </c>
    </row>
    <row r="11422">
      <c r="B11422" s="41" t="inlineStr">
        <is>
          <t>AreaCode</t>
        </is>
      </c>
      <c r="C11422" s="129" t="inlineStr">
        <is>
          <t>地区代码</t>
        </is>
      </c>
      <c r="D11422" s="21" t="n">
        <v>350582</v>
      </c>
      <c r="E11422" s="21" t="inlineStr">
        <is>
          <t>福建省泉州市晋江市</t>
        </is>
      </c>
    </row>
    <row r="11423">
      <c r="B11423" s="41" t="inlineStr">
        <is>
          <t>AreaCode</t>
        </is>
      </c>
      <c r="C11423" s="129" t="inlineStr">
        <is>
          <t>地区代码</t>
        </is>
      </c>
      <c r="D11423" s="21" t="n">
        <v>350583</v>
      </c>
      <c r="E11423" s="21" t="inlineStr">
        <is>
          <t>福建省泉州市南安市</t>
        </is>
      </c>
    </row>
    <row r="11424">
      <c r="B11424" s="41" t="inlineStr">
        <is>
          <t>AreaCode</t>
        </is>
      </c>
      <c r="C11424" s="129" t="inlineStr">
        <is>
          <t>地区代码</t>
        </is>
      </c>
      <c r="D11424" s="21" t="n">
        <v>350600</v>
      </c>
      <c r="E11424" s="21" t="inlineStr">
        <is>
          <t>福建省漳州市</t>
        </is>
      </c>
    </row>
    <row r="11425">
      <c r="B11425" s="41" t="inlineStr">
        <is>
          <t>AreaCode</t>
        </is>
      </c>
      <c r="C11425" s="129" t="inlineStr">
        <is>
          <t>地区代码</t>
        </is>
      </c>
      <c r="D11425" s="21" t="n">
        <v>350601</v>
      </c>
      <c r="E11425" s="21" t="inlineStr">
        <is>
          <t>福建省漳州市市辖区</t>
        </is>
      </c>
    </row>
    <row r="11426">
      <c r="B11426" s="41" t="inlineStr">
        <is>
          <t>AreaCode</t>
        </is>
      </c>
      <c r="C11426" s="129" t="inlineStr">
        <is>
          <t>地区代码</t>
        </is>
      </c>
      <c r="D11426" s="21" t="n">
        <v>350602</v>
      </c>
      <c r="E11426" s="21" t="inlineStr">
        <is>
          <t>福建省漳州市芗城区</t>
        </is>
      </c>
    </row>
    <row r="11427">
      <c r="B11427" s="41" t="inlineStr">
        <is>
          <t>AreaCode</t>
        </is>
      </c>
      <c r="C11427" s="129" t="inlineStr">
        <is>
          <t>地区代码</t>
        </is>
      </c>
      <c r="D11427" s="21" t="n">
        <v>350603</v>
      </c>
      <c r="E11427" s="21" t="inlineStr">
        <is>
          <t>福建省漳州市龙文区</t>
        </is>
      </c>
    </row>
    <row r="11428">
      <c r="B11428" s="41" t="inlineStr">
        <is>
          <t>AreaCode</t>
        </is>
      </c>
      <c r="C11428" s="129" t="inlineStr">
        <is>
          <t>地区代码</t>
        </is>
      </c>
      <c r="D11428" s="21" t="n">
        <v>350622</v>
      </c>
      <c r="E11428" s="21" t="inlineStr">
        <is>
          <t>福建省漳州市云霄县</t>
        </is>
      </c>
    </row>
    <row r="11429">
      <c r="B11429" s="41" t="inlineStr">
        <is>
          <t>AreaCode</t>
        </is>
      </c>
      <c r="C11429" s="129" t="inlineStr">
        <is>
          <t>地区代码</t>
        </is>
      </c>
      <c r="D11429" s="21" t="n">
        <v>350623</v>
      </c>
      <c r="E11429" s="21" t="inlineStr">
        <is>
          <t>福建省漳州市漳浦县</t>
        </is>
      </c>
    </row>
    <row r="11430">
      <c r="B11430" s="41" t="inlineStr">
        <is>
          <t>AreaCode</t>
        </is>
      </c>
      <c r="C11430" s="129" t="inlineStr">
        <is>
          <t>地区代码</t>
        </is>
      </c>
      <c r="D11430" s="21" t="n">
        <v>350624</v>
      </c>
      <c r="E11430" s="21" t="inlineStr">
        <is>
          <t>福建省漳州市诏安县</t>
        </is>
      </c>
    </row>
    <row r="11431">
      <c r="B11431" s="41" t="inlineStr">
        <is>
          <t>AreaCode</t>
        </is>
      </c>
      <c r="C11431" s="129" t="inlineStr">
        <is>
          <t>地区代码</t>
        </is>
      </c>
      <c r="D11431" s="21" t="n">
        <v>350625</v>
      </c>
      <c r="E11431" s="21" t="inlineStr">
        <is>
          <t>福建省漳州市长泰县</t>
        </is>
      </c>
    </row>
    <row r="11432">
      <c r="B11432" s="41" t="inlineStr">
        <is>
          <t>AreaCode</t>
        </is>
      </c>
      <c r="C11432" s="129" t="inlineStr">
        <is>
          <t>地区代码</t>
        </is>
      </c>
      <c r="D11432" s="21" t="n">
        <v>350626</v>
      </c>
      <c r="E11432" s="21" t="inlineStr">
        <is>
          <t>福建省漳州市东山县</t>
        </is>
      </c>
    </row>
    <row r="11433">
      <c r="B11433" s="41" t="inlineStr">
        <is>
          <t>AreaCode</t>
        </is>
      </c>
      <c r="C11433" s="129" t="inlineStr">
        <is>
          <t>地区代码</t>
        </is>
      </c>
      <c r="D11433" s="21" t="n">
        <v>350627</v>
      </c>
      <c r="E11433" s="21" t="inlineStr">
        <is>
          <t>福建省漳州市南靖县</t>
        </is>
      </c>
    </row>
    <row r="11434">
      <c r="B11434" s="41" t="inlineStr">
        <is>
          <t>AreaCode</t>
        </is>
      </c>
      <c r="C11434" s="129" t="inlineStr">
        <is>
          <t>地区代码</t>
        </is>
      </c>
      <c r="D11434" s="21" t="n">
        <v>350628</v>
      </c>
      <c r="E11434" s="21" t="inlineStr">
        <is>
          <t>福建省漳州市平和县</t>
        </is>
      </c>
    </row>
    <row r="11435">
      <c r="B11435" s="41" t="inlineStr">
        <is>
          <t>AreaCode</t>
        </is>
      </c>
      <c r="C11435" s="129" t="inlineStr">
        <is>
          <t>地区代码</t>
        </is>
      </c>
      <c r="D11435" s="21" t="n">
        <v>350629</v>
      </c>
      <c r="E11435" s="21" t="inlineStr">
        <is>
          <t>福建省漳州市华安县</t>
        </is>
      </c>
    </row>
    <row r="11436">
      <c r="B11436" s="41" t="inlineStr">
        <is>
          <t>AreaCode</t>
        </is>
      </c>
      <c r="C11436" s="129" t="inlineStr">
        <is>
          <t>地区代码</t>
        </is>
      </c>
      <c r="D11436" s="21" t="n">
        <v>350681</v>
      </c>
      <c r="E11436" s="21" t="inlineStr">
        <is>
          <t>福建省漳州市龙海市</t>
        </is>
      </c>
    </row>
    <row r="11437">
      <c r="B11437" s="41" t="inlineStr">
        <is>
          <t>AreaCode</t>
        </is>
      </c>
      <c r="C11437" s="129" t="inlineStr">
        <is>
          <t>地区代码</t>
        </is>
      </c>
      <c r="D11437" s="21" t="n">
        <v>350700</v>
      </c>
      <c r="E11437" s="21" t="inlineStr">
        <is>
          <t>福建省南平市</t>
        </is>
      </c>
    </row>
    <row r="11438">
      <c r="B11438" s="41" t="inlineStr">
        <is>
          <t>AreaCode</t>
        </is>
      </c>
      <c r="C11438" s="129" t="inlineStr">
        <is>
          <t>地区代码</t>
        </is>
      </c>
      <c r="D11438" s="21" t="n">
        <v>350701</v>
      </c>
      <c r="E11438" s="21" t="inlineStr">
        <is>
          <t>福建省南平市市辖区</t>
        </is>
      </c>
    </row>
    <row r="11439">
      <c r="B11439" s="41" t="inlineStr">
        <is>
          <t>AreaCode</t>
        </is>
      </c>
      <c r="C11439" s="129" t="inlineStr">
        <is>
          <t>地区代码</t>
        </is>
      </c>
      <c r="D11439" s="21" t="n">
        <v>350702</v>
      </c>
      <c r="E11439" s="21" t="inlineStr">
        <is>
          <t>福建省南平市延平区</t>
        </is>
      </c>
    </row>
    <row r="11440">
      <c r="B11440" s="41" t="inlineStr">
        <is>
          <t>AreaCode</t>
        </is>
      </c>
      <c r="C11440" s="129" t="inlineStr">
        <is>
          <t>地区代码</t>
        </is>
      </c>
      <c r="D11440" s="21" t="n">
        <v>350721</v>
      </c>
      <c r="E11440" s="21" t="inlineStr">
        <is>
          <t>福建省南平市顺昌县</t>
        </is>
      </c>
    </row>
    <row r="11441">
      <c r="B11441" s="41" t="inlineStr">
        <is>
          <t>AreaCode</t>
        </is>
      </c>
      <c r="C11441" s="129" t="inlineStr">
        <is>
          <t>地区代码</t>
        </is>
      </c>
      <c r="D11441" s="21" t="n">
        <v>350722</v>
      </c>
      <c r="E11441" s="21" t="inlineStr">
        <is>
          <t>福建省南平市浦城县</t>
        </is>
      </c>
    </row>
    <row r="11442">
      <c r="B11442" s="41" t="inlineStr">
        <is>
          <t>AreaCode</t>
        </is>
      </c>
      <c r="C11442" s="129" t="inlineStr">
        <is>
          <t>地区代码</t>
        </is>
      </c>
      <c r="D11442" s="21" t="n">
        <v>350723</v>
      </c>
      <c r="E11442" s="21" t="inlineStr">
        <is>
          <t>福建省南平市光泽县</t>
        </is>
      </c>
    </row>
    <row r="11443">
      <c r="B11443" s="41" t="inlineStr">
        <is>
          <t>AreaCode</t>
        </is>
      </c>
      <c r="C11443" s="129" t="inlineStr">
        <is>
          <t>地区代码</t>
        </is>
      </c>
      <c r="D11443" s="21" t="n">
        <v>350724</v>
      </c>
      <c r="E11443" s="21" t="inlineStr">
        <is>
          <t>福建省南平市松溪县</t>
        </is>
      </c>
    </row>
    <row r="11444">
      <c r="B11444" s="41" t="inlineStr">
        <is>
          <t>AreaCode</t>
        </is>
      </c>
      <c r="C11444" s="129" t="inlineStr">
        <is>
          <t>地区代码</t>
        </is>
      </c>
      <c r="D11444" s="21" t="n">
        <v>350725</v>
      </c>
      <c r="E11444" s="21" t="inlineStr">
        <is>
          <t>福建省南平市政和县</t>
        </is>
      </c>
    </row>
    <row r="11445">
      <c r="B11445" s="41" t="inlineStr">
        <is>
          <t>AreaCode</t>
        </is>
      </c>
      <c r="C11445" s="129" t="inlineStr">
        <is>
          <t>地区代码</t>
        </is>
      </c>
      <c r="D11445" s="21" t="n">
        <v>350781</v>
      </c>
      <c r="E11445" s="21" t="inlineStr">
        <is>
          <t>福建省南平市邵武市</t>
        </is>
      </c>
    </row>
    <row r="11446">
      <c r="B11446" s="41" t="inlineStr">
        <is>
          <t>AreaCode</t>
        </is>
      </c>
      <c r="C11446" s="129" t="inlineStr">
        <is>
          <t>地区代码</t>
        </is>
      </c>
      <c r="D11446" s="21" t="n">
        <v>350782</v>
      </c>
      <c r="E11446" s="21" t="inlineStr">
        <is>
          <t>福建省南平市武夷山市</t>
        </is>
      </c>
    </row>
    <row r="11447">
      <c r="B11447" s="41" t="inlineStr">
        <is>
          <t>AreaCode</t>
        </is>
      </c>
      <c r="C11447" s="129" t="inlineStr">
        <is>
          <t>地区代码</t>
        </is>
      </c>
      <c r="D11447" s="21" t="n">
        <v>350783</v>
      </c>
      <c r="E11447" s="21" t="inlineStr">
        <is>
          <t>福建省南平市建瓯市</t>
        </is>
      </c>
    </row>
    <row r="11448">
      <c r="B11448" s="41" t="inlineStr">
        <is>
          <t>AreaCode</t>
        </is>
      </c>
      <c r="C11448" s="129" t="inlineStr">
        <is>
          <t>地区代码</t>
        </is>
      </c>
      <c r="D11448" s="21" t="n">
        <v>350784</v>
      </c>
      <c r="E11448" s="21" t="inlineStr">
        <is>
          <t>福建省南平市建阳市</t>
        </is>
      </c>
    </row>
    <row r="11449">
      <c r="B11449" s="41" t="inlineStr">
        <is>
          <t>AreaCode</t>
        </is>
      </c>
      <c r="C11449" s="129" t="inlineStr">
        <is>
          <t>地区代码</t>
        </is>
      </c>
      <c r="D11449" s="21" t="n">
        <v>350800</v>
      </c>
      <c r="E11449" s="21" t="inlineStr">
        <is>
          <t>福建省龙岩市</t>
        </is>
      </c>
    </row>
    <row r="11450">
      <c r="B11450" s="41" t="inlineStr">
        <is>
          <t>AreaCode</t>
        </is>
      </c>
      <c r="C11450" s="129" t="inlineStr">
        <is>
          <t>地区代码</t>
        </is>
      </c>
      <c r="D11450" s="21" t="n">
        <v>350801</v>
      </c>
      <c r="E11450" s="21" t="inlineStr">
        <is>
          <t>福建省龙岩市市辖区</t>
        </is>
      </c>
    </row>
    <row r="11451">
      <c r="B11451" s="41" t="inlineStr">
        <is>
          <t>AreaCode</t>
        </is>
      </c>
      <c r="C11451" s="129" t="inlineStr">
        <is>
          <t>地区代码</t>
        </is>
      </c>
      <c r="D11451" s="21" t="n">
        <v>350802</v>
      </c>
      <c r="E11451" s="21" t="inlineStr">
        <is>
          <t>福建省龙岩市新罗区</t>
        </is>
      </c>
    </row>
    <row r="11452">
      <c r="B11452" s="41" t="inlineStr">
        <is>
          <t>AreaCode</t>
        </is>
      </c>
      <c r="C11452" s="129" t="inlineStr">
        <is>
          <t>地区代码</t>
        </is>
      </c>
      <c r="D11452" s="21" t="n">
        <v>350821</v>
      </c>
      <c r="E11452" s="21" t="inlineStr">
        <is>
          <t>福建省龙岩市长汀县</t>
        </is>
      </c>
    </row>
    <row r="11453">
      <c r="B11453" s="41" t="inlineStr">
        <is>
          <t>AreaCode</t>
        </is>
      </c>
      <c r="C11453" s="129" t="inlineStr">
        <is>
          <t>地区代码</t>
        </is>
      </c>
      <c r="D11453" s="21" t="n">
        <v>350822</v>
      </c>
      <c r="E11453" s="21" t="inlineStr">
        <is>
          <t>福建省龙岩市永定县</t>
        </is>
      </c>
    </row>
    <row r="11454">
      <c r="B11454" s="41" t="inlineStr">
        <is>
          <t>AreaCode</t>
        </is>
      </c>
      <c r="C11454" s="129" t="inlineStr">
        <is>
          <t>地区代码</t>
        </is>
      </c>
      <c r="D11454" s="21" t="n">
        <v>350823</v>
      </c>
      <c r="E11454" s="21" t="inlineStr">
        <is>
          <t>福建省龙岩市上杭县</t>
        </is>
      </c>
    </row>
    <row r="11455">
      <c r="B11455" s="41" t="inlineStr">
        <is>
          <t>AreaCode</t>
        </is>
      </c>
      <c r="C11455" s="129" t="inlineStr">
        <is>
          <t>地区代码</t>
        </is>
      </c>
      <c r="D11455" s="21" t="n">
        <v>350824</v>
      </c>
      <c r="E11455" s="21" t="inlineStr">
        <is>
          <t>福建省龙岩市武平县</t>
        </is>
      </c>
    </row>
    <row r="11456">
      <c r="B11456" s="41" t="inlineStr">
        <is>
          <t>AreaCode</t>
        </is>
      </c>
      <c r="C11456" s="129" t="inlineStr">
        <is>
          <t>地区代码</t>
        </is>
      </c>
      <c r="D11456" s="21" t="n">
        <v>350825</v>
      </c>
      <c r="E11456" s="21" t="inlineStr">
        <is>
          <t>福建省龙岩市连城县</t>
        </is>
      </c>
    </row>
    <row r="11457">
      <c r="B11457" s="41" t="inlineStr">
        <is>
          <t>AreaCode</t>
        </is>
      </c>
      <c r="C11457" s="129" t="inlineStr">
        <is>
          <t>地区代码</t>
        </is>
      </c>
      <c r="D11457" s="21" t="n">
        <v>350881</v>
      </c>
      <c r="E11457" s="21" t="inlineStr">
        <is>
          <t>福建省龙岩市漳平市</t>
        </is>
      </c>
    </row>
    <row r="11458">
      <c r="B11458" s="41" t="inlineStr">
        <is>
          <t>AreaCode</t>
        </is>
      </c>
      <c r="C11458" s="129" t="inlineStr">
        <is>
          <t>地区代码</t>
        </is>
      </c>
      <c r="D11458" s="21" t="n">
        <v>350900</v>
      </c>
      <c r="E11458" s="21" t="inlineStr">
        <is>
          <t>福建省宁德市</t>
        </is>
      </c>
    </row>
    <row r="11459">
      <c r="B11459" s="41" t="inlineStr">
        <is>
          <t>AreaCode</t>
        </is>
      </c>
      <c r="C11459" s="129" t="inlineStr">
        <is>
          <t>地区代码</t>
        </is>
      </c>
      <c r="D11459" s="21" t="n">
        <v>350901</v>
      </c>
      <c r="E11459" s="21" t="inlineStr">
        <is>
          <t>福建省宁德市市辖区</t>
        </is>
      </c>
    </row>
    <row r="11460">
      <c r="B11460" s="41" t="inlineStr">
        <is>
          <t>AreaCode</t>
        </is>
      </c>
      <c r="C11460" s="129" t="inlineStr">
        <is>
          <t>地区代码</t>
        </is>
      </c>
      <c r="D11460" s="21" t="n">
        <v>350902</v>
      </c>
      <c r="E11460" s="21" t="inlineStr">
        <is>
          <t>福建省宁德市蕉城区</t>
        </is>
      </c>
    </row>
    <row r="11461">
      <c r="B11461" s="41" t="inlineStr">
        <is>
          <t>AreaCode</t>
        </is>
      </c>
      <c r="C11461" s="129" t="inlineStr">
        <is>
          <t>地区代码</t>
        </is>
      </c>
      <c r="D11461" s="21" t="n">
        <v>350921</v>
      </c>
      <c r="E11461" s="21" t="inlineStr">
        <is>
          <t>福建省宁德市霞浦县</t>
        </is>
      </c>
    </row>
    <row r="11462">
      <c r="B11462" s="41" t="inlineStr">
        <is>
          <t>AreaCode</t>
        </is>
      </c>
      <c r="C11462" s="129" t="inlineStr">
        <is>
          <t>地区代码</t>
        </is>
      </c>
      <c r="D11462" s="21" t="n">
        <v>350922</v>
      </c>
      <c r="E11462" s="21" t="inlineStr">
        <is>
          <t>福建省宁德市古田县</t>
        </is>
      </c>
    </row>
    <row r="11463">
      <c r="B11463" s="41" t="inlineStr">
        <is>
          <t>AreaCode</t>
        </is>
      </c>
      <c r="C11463" s="129" t="inlineStr">
        <is>
          <t>地区代码</t>
        </is>
      </c>
      <c r="D11463" s="21" t="n">
        <v>350923</v>
      </c>
      <c r="E11463" s="21" t="inlineStr">
        <is>
          <t>福建省宁德市屏南县</t>
        </is>
      </c>
    </row>
    <row r="11464">
      <c r="B11464" s="41" t="inlineStr">
        <is>
          <t>AreaCode</t>
        </is>
      </c>
      <c r="C11464" s="129" t="inlineStr">
        <is>
          <t>地区代码</t>
        </is>
      </c>
      <c r="D11464" s="21" t="n">
        <v>350924</v>
      </c>
      <c r="E11464" s="21" t="inlineStr">
        <is>
          <t>福建省宁德市寿宁县</t>
        </is>
      </c>
    </row>
    <row r="11465">
      <c r="B11465" s="41" t="inlineStr">
        <is>
          <t>AreaCode</t>
        </is>
      </c>
      <c r="C11465" s="129" t="inlineStr">
        <is>
          <t>地区代码</t>
        </is>
      </c>
      <c r="D11465" s="21" t="n">
        <v>350925</v>
      </c>
      <c r="E11465" s="21" t="inlineStr">
        <is>
          <t>福建省宁德市周宁县</t>
        </is>
      </c>
    </row>
    <row r="11466">
      <c r="B11466" s="41" t="inlineStr">
        <is>
          <t>AreaCode</t>
        </is>
      </c>
      <c r="C11466" s="129" t="inlineStr">
        <is>
          <t>地区代码</t>
        </is>
      </c>
      <c r="D11466" s="21" t="n">
        <v>350926</v>
      </c>
      <c r="E11466" s="21" t="inlineStr">
        <is>
          <t>福建省宁德市柘荣县</t>
        </is>
      </c>
    </row>
    <row r="11467">
      <c r="B11467" s="41" t="inlineStr">
        <is>
          <t>AreaCode</t>
        </is>
      </c>
      <c r="C11467" s="129" t="inlineStr">
        <is>
          <t>地区代码</t>
        </is>
      </c>
      <c r="D11467" s="21" t="n">
        <v>350981</v>
      </c>
      <c r="E11467" s="21" t="inlineStr">
        <is>
          <t>福建省宁德市福安市</t>
        </is>
      </c>
    </row>
    <row r="11468">
      <c r="B11468" s="41" t="inlineStr">
        <is>
          <t>AreaCode</t>
        </is>
      </c>
      <c r="C11468" s="129" t="inlineStr">
        <is>
          <t>地区代码</t>
        </is>
      </c>
      <c r="D11468" s="21" t="n">
        <v>350982</v>
      </c>
      <c r="E11468" s="21" t="inlineStr">
        <is>
          <t>福建省宁德市福鼎市</t>
        </is>
      </c>
    </row>
    <row r="11469">
      <c r="B11469" s="41" t="inlineStr">
        <is>
          <t>AreaCode</t>
        </is>
      </c>
      <c r="C11469" s="129" t="inlineStr">
        <is>
          <t>地区代码</t>
        </is>
      </c>
      <c r="D11469" s="21" t="n">
        <v>360000</v>
      </c>
      <c r="E11469" s="21" t="inlineStr">
        <is>
          <t>江西省</t>
        </is>
      </c>
    </row>
    <row r="11470">
      <c r="B11470" s="41" t="inlineStr">
        <is>
          <t>AreaCode</t>
        </is>
      </c>
      <c r="C11470" s="129" t="inlineStr">
        <is>
          <t>地区代码</t>
        </is>
      </c>
      <c r="D11470" s="21" t="n">
        <v>360100</v>
      </c>
      <c r="E11470" s="21" t="inlineStr">
        <is>
          <t>江西省南昌市</t>
        </is>
      </c>
    </row>
    <row r="11471">
      <c r="B11471" s="41" t="inlineStr">
        <is>
          <t>AreaCode</t>
        </is>
      </c>
      <c r="C11471" s="129" t="inlineStr">
        <is>
          <t>地区代码</t>
        </is>
      </c>
      <c r="D11471" s="21" t="n">
        <v>360101</v>
      </c>
      <c r="E11471" s="21" t="inlineStr">
        <is>
          <t>江西省南昌市市辖区</t>
        </is>
      </c>
    </row>
    <row r="11472">
      <c r="B11472" s="41" t="inlineStr">
        <is>
          <t>AreaCode</t>
        </is>
      </c>
      <c r="C11472" s="129" t="inlineStr">
        <is>
          <t>地区代码</t>
        </is>
      </c>
      <c r="D11472" s="21" t="n">
        <v>360102</v>
      </c>
      <c r="E11472" s="21" t="inlineStr">
        <is>
          <t>江西省南昌市东湖区</t>
        </is>
      </c>
    </row>
    <row r="11473">
      <c r="B11473" s="41" t="inlineStr">
        <is>
          <t>AreaCode</t>
        </is>
      </c>
      <c r="C11473" s="129" t="inlineStr">
        <is>
          <t>地区代码</t>
        </is>
      </c>
      <c r="D11473" s="21" t="n">
        <v>360103</v>
      </c>
      <c r="E11473" s="21" t="inlineStr">
        <is>
          <t>江西省南昌市西湖区</t>
        </is>
      </c>
    </row>
    <row r="11474">
      <c r="B11474" s="41" t="inlineStr">
        <is>
          <t>AreaCode</t>
        </is>
      </c>
      <c r="C11474" s="129" t="inlineStr">
        <is>
          <t>地区代码</t>
        </is>
      </c>
      <c r="D11474" s="21" t="n">
        <v>360104</v>
      </c>
      <c r="E11474" s="21" t="inlineStr">
        <is>
          <t>江西省南昌市青云谱区</t>
        </is>
      </c>
    </row>
    <row r="11475">
      <c r="B11475" s="41" t="inlineStr">
        <is>
          <t>AreaCode</t>
        </is>
      </c>
      <c r="C11475" s="129" t="inlineStr">
        <is>
          <t>地区代码</t>
        </is>
      </c>
      <c r="D11475" s="21" t="n">
        <v>360105</v>
      </c>
      <c r="E11475" s="21" t="inlineStr">
        <is>
          <t>江西省南昌市湾里区</t>
        </is>
      </c>
    </row>
    <row r="11476">
      <c r="B11476" s="41" t="inlineStr">
        <is>
          <t>AreaCode</t>
        </is>
      </c>
      <c r="C11476" s="129" t="inlineStr">
        <is>
          <t>地区代码</t>
        </is>
      </c>
      <c r="D11476" s="21" t="n">
        <v>360111</v>
      </c>
      <c r="E11476" s="21" t="inlineStr">
        <is>
          <t>江西省南昌市青山湖区</t>
        </is>
      </c>
    </row>
    <row r="11477">
      <c r="B11477" s="41" t="inlineStr">
        <is>
          <t>AreaCode</t>
        </is>
      </c>
      <c r="C11477" s="129" t="inlineStr">
        <is>
          <t>地区代码</t>
        </is>
      </c>
      <c r="D11477" s="21" t="n">
        <v>360121</v>
      </c>
      <c r="E11477" s="21" t="inlineStr">
        <is>
          <t>江西省南昌市南昌县</t>
        </is>
      </c>
    </row>
    <row r="11478">
      <c r="B11478" s="41" t="inlineStr">
        <is>
          <t>AreaCode</t>
        </is>
      </c>
      <c r="C11478" s="129" t="inlineStr">
        <is>
          <t>地区代码</t>
        </is>
      </c>
      <c r="D11478" s="21" t="n">
        <v>360122</v>
      </c>
      <c r="E11478" s="21" t="inlineStr">
        <is>
          <t>江西省南昌市新建县</t>
        </is>
      </c>
    </row>
    <row r="11479">
      <c r="B11479" s="41" t="inlineStr">
        <is>
          <t>AreaCode</t>
        </is>
      </c>
      <c r="C11479" s="129" t="inlineStr">
        <is>
          <t>地区代码</t>
        </is>
      </c>
      <c r="D11479" s="21" t="n">
        <v>360123</v>
      </c>
      <c r="E11479" s="21" t="inlineStr">
        <is>
          <t>江西省南昌市安义县</t>
        </is>
      </c>
    </row>
    <row r="11480">
      <c r="B11480" s="41" t="inlineStr">
        <is>
          <t>AreaCode</t>
        </is>
      </c>
      <c r="C11480" s="129" t="inlineStr">
        <is>
          <t>地区代码</t>
        </is>
      </c>
      <c r="D11480" s="21" t="n">
        <v>360124</v>
      </c>
      <c r="E11480" s="21" t="inlineStr">
        <is>
          <t>江西省南昌市进贤县</t>
        </is>
      </c>
    </row>
    <row r="11481">
      <c r="B11481" s="41" t="inlineStr">
        <is>
          <t>AreaCode</t>
        </is>
      </c>
      <c r="C11481" s="129" t="inlineStr">
        <is>
          <t>地区代码</t>
        </is>
      </c>
      <c r="D11481" s="21" t="n">
        <v>360200</v>
      </c>
      <c r="E11481" s="21" t="inlineStr">
        <is>
          <t>江西省景德镇市</t>
        </is>
      </c>
    </row>
    <row r="11482">
      <c r="B11482" s="41" t="inlineStr">
        <is>
          <t>AreaCode</t>
        </is>
      </c>
      <c r="C11482" s="129" t="inlineStr">
        <is>
          <t>地区代码</t>
        </is>
      </c>
      <c r="D11482" s="21" t="n">
        <v>360201</v>
      </c>
      <c r="E11482" s="21" t="inlineStr">
        <is>
          <t>江西省景德镇市市辖区</t>
        </is>
      </c>
    </row>
    <row r="11483">
      <c r="B11483" s="41" t="inlineStr">
        <is>
          <t>AreaCode</t>
        </is>
      </c>
      <c r="C11483" s="129" t="inlineStr">
        <is>
          <t>地区代码</t>
        </is>
      </c>
      <c r="D11483" s="21" t="n">
        <v>360202</v>
      </c>
      <c r="E11483" s="21" t="inlineStr">
        <is>
          <t>江西省景德镇市昌江区</t>
        </is>
      </c>
    </row>
    <row r="11484">
      <c r="B11484" s="41" t="inlineStr">
        <is>
          <t>AreaCode</t>
        </is>
      </c>
      <c r="C11484" s="129" t="inlineStr">
        <is>
          <t>地区代码</t>
        </is>
      </c>
      <c r="D11484" s="21" t="n">
        <v>360203</v>
      </c>
      <c r="E11484" s="21" t="inlineStr">
        <is>
          <t>江西省景德镇市珠山区</t>
        </is>
      </c>
    </row>
    <row r="11485">
      <c r="B11485" s="41" t="inlineStr">
        <is>
          <t>AreaCode</t>
        </is>
      </c>
      <c r="C11485" s="129" t="inlineStr">
        <is>
          <t>地区代码</t>
        </is>
      </c>
      <c r="D11485" s="21" t="n">
        <v>360222</v>
      </c>
      <c r="E11485" s="21" t="inlineStr">
        <is>
          <t>江西省景德镇市浮梁县</t>
        </is>
      </c>
    </row>
    <row r="11486">
      <c r="B11486" s="41" t="inlineStr">
        <is>
          <t>AreaCode</t>
        </is>
      </c>
      <c r="C11486" s="129" t="inlineStr">
        <is>
          <t>地区代码</t>
        </is>
      </c>
      <c r="D11486" s="21" t="n">
        <v>360281</v>
      </c>
      <c r="E11486" s="21" t="inlineStr">
        <is>
          <t>江西省景德镇市乐平市</t>
        </is>
      </c>
    </row>
    <row r="11487">
      <c r="B11487" s="41" t="inlineStr">
        <is>
          <t>AreaCode</t>
        </is>
      </c>
      <c r="C11487" s="129" t="inlineStr">
        <is>
          <t>地区代码</t>
        </is>
      </c>
      <c r="D11487" s="21" t="n">
        <v>360300</v>
      </c>
      <c r="E11487" s="21" t="inlineStr">
        <is>
          <t>江西省萍乡市</t>
        </is>
      </c>
    </row>
    <row r="11488">
      <c r="B11488" s="41" t="inlineStr">
        <is>
          <t>AreaCode</t>
        </is>
      </c>
      <c r="C11488" s="129" t="inlineStr">
        <is>
          <t>地区代码</t>
        </is>
      </c>
      <c r="D11488" s="21" t="n">
        <v>360301</v>
      </c>
      <c r="E11488" s="21" t="inlineStr">
        <is>
          <t>江西省萍乡市市辖区</t>
        </is>
      </c>
    </row>
    <row r="11489">
      <c r="B11489" s="41" t="inlineStr">
        <is>
          <t>AreaCode</t>
        </is>
      </c>
      <c r="C11489" s="129" t="inlineStr">
        <is>
          <t>地区代码</t>
        </is>
      </c>
      <c r="D11489" s="21" t="n">
        <v>360302</v>
      </c>
      <c r="E11489" s="21" t="inlineStr">
        <is>
          <t>江西省萍乡市安源区</t>
        </is>
      </c>
    </row>
    <row r="11490">
      <c r="B11490" s="41" t="inlineStr">
        <is>
          <t>AreaCode</t>
        </is>
      </c>
      <c r="C11490" s="129" t="inlineStr">
        <is>
          <t>地区代码</t>
        </is>
      </c>
      <c r="D11490" s="21" t="n">
        <v>360313</v>
      </c>
      <c r="E11490" s="21" t="inlineStr">
        <is>
          <t>江西省萍乡市湘东区</t>
        </is>
      </c>
    </row>
    <row r="11491">
      <c r="B11491" s="41" t="inlineStr">
        <is>
          <t>AreaCode</t>
        </is>
      </c>
      <c r="C11491" s="129" t="inlineStr">
        <is>
          <t>地区代码</t>
        </is>
      </c>
      <c r="D11491" s="21" t="n">
        <v>360321</v>
      </c>
      <c r="E11491" s="21" t="inlineStr">
        <is>
          <t>江西省萍乡市莲花县</t>
        </is>
      </c>
    </row>
    <row r="11492">
      <c r="B11492" s="41" t="inlineStr">
        <is>
          <t>AreaCode</t>
        </is>
      </c>
      <c r="C11492" s="129" t="inlineStr">
        <is>
          <t>地区代码</t>
        </is>
      </c>
      <c r="D11492" s="21" t="n">
        <v>360322</v>
      </c>
      <c r="E11492" s="21" t="inlineStr">
        <is>
          <t>江西省萍乡市上栗县</t>
        </is>
      </c>
    </row>
    <row r="11493">
      <c r="B11493" s="41" t="inlineStr">
        <is>
          <t>AreaCode</t>
        </is>
      </c>
      <c r="C11493" s="129" t="inlineStr">
        <is>
          <t>地区代码</t>
        </is>
      </c>
      <c r="D11493" s="21" t="n">
        <v>360323</v>
      </c>
      <c r="E11493" s="21" t="inlineStr">
        <is>
          <t>江西省萍乡市芦溪县</t>
        </is>
      </c>
    </row>
    <row r="11494">
      <c r="B11494" s="41" t="inlineStr">
        <is>
          <t>AreaCode</t>
        </is>
      </c>
      <c r="C11494" s="129" t="inlineStr">
        <is>
          <t>地区代码</t>
        </is>
      </c>
      <c r="D11494" s="21" t="n">
        <v>360400</v>
      </c>
      <c r="E11494" s="21" t="inlineStr">
        <is>
          <t>江西省九江市</t>
        </is>
      </c>
    </row>
    <row r="11495">
      <c r="B11495" s="41" t="inlineStr">
        <is>
          <t>AreaCode</t>
        </is>
      </c>
      <c r="C11495" s="129" t="inlineStr">
        <is>
          <t>地区代码</t>
        </is>
      </c>
      <c r="D11495" s="21" t="n">
        <v>360401</v>
      </c>
      <c r="E11495" s="21" t="inlineStr">
        <is>
          <t>江西省九江市市辖区</t>
        </is>
      </c>
    </row>
    <row r="11496">
      <c r="B11496" s="41" t="inlineStr">
        <is>
          <t>AreaCode</t>
        </is>
      </c>
      <c r="C11496" s="129" t="inlineStr">
        <is>
          <t>地区代码</t>
        </is>
      </c>
      <c r="D11496" s="21" t="n">
        <v>360402</v>
      </c>
      <c r="E11496" s="21" t="inlineStr">
        <is>
          <t>江西省九江市庐山区</t>
        </is>
      </c>
    </row>
    <row r="11497">
      <c r="B11497" s="41" t="inlineStr">
        <is>
          <t>AreaCode</t>
        </is>
      </c>
      <c r="C11497" s="129" t="inlineStr">
        <is>
          <t>地区代码</t>
        </is>
      </c>
      <c r="D11497" s="21" t="n">
        <v>360403</v>
      </c>
      <c r="E11497" s="21" t="inlineStr">
        <is>
          <t>江西省九江市浔阳区</t>
        </is>
      </c>
    </row>
    <row r="11498">
      <c r="B11498" s="41" t="inlineStr">
        <is>
          <t>AreaCode</t>
        </is>
      </c>
      <c r="C11498" s="129" t="inlineStr">
        <is>
          <t>地区代码</t>
        </is>
      </c>
      <c r="D11498" s="21" t="n">
        <v>360421</v>
      </c>
      <c r="E11498" s="21" t="inlineStr">
        <is>
          <t>江西省九江市九江县</t>
        </is>
      </c>
    </row>
    <row r="11499">
      <c r="B11499" s="41" t="inlineStr">
        <is>
          <t>AreaCode</t>
        </is>
      </c>
      <c r="C11499" s="129" t="inlineStr">
        <is>
          <t>地区代码</t>
        </is>
      </c>
      <c r="D11499" s="21" t="n">
        <v>360423</v>
      </c>
      <c r="E11499" s="21" t="inlineStr">
        <is>
          <t>江西省九江市武宁县</t>
        </is>
      </c>
    </row>
    <row r="11500">
      <c r="B11500" s="41" t="inlineStr">
        <is>
          <t>AreaCode</t>
        </is>
      </c>
      <c r="C11500" s="129" t="inlineStr">
        <is>
          <t>地区代码</t>
        </is>
      </c>
      <c r="D11500" s="21" t="n">
        <v>360424</v>
      </c>
      <c r="E11500" s="21" t="inlineStr">
        <is>
          <t>江西省九江市修水县</t>
        </is>
      </c>
    </row>
    <row r="11501">
      <c r="B11501" s="41" t="inlineStr">
        <is>
          <t>AreaCode</t>
        </is>
      </c>
      <c r="C11501" s="129" t="inlineStr">
        <is>
          <t>地区代码</t>
        </is>
      </c>
      <c r="D11501" s="21" t="n">
        <v>360425</v>
      </c>
      <c r="E11501" s="21" t="inlineStr">
        <is>
          <t>江西省九江市永修县</t>
        </is>
      </c>
    </row>
    <row r="11502">
      <c r="B11502" s="41" t="inlineStr">
        <is>
          <t>AreaCode</t>
        </is>
      </c>
      <c r="C11502" s="129" t="inlineStr">
        <is>
          <t>地区代码</t>
        </is>
      </c>
      <c r="D11502" s="21" t="n">
        <v>360426</v>
      </c>
      <c r="E11502" s="21" t="inlineStr">
        <is>
          <t>江西省九江市德安县</t>
        </is>
      </c>
    </row>
    <row r="11503">
      <c r="B11503" s="41" t="inlineStr">
        <is>
          <t>AreaCode</t>
        </is>
      </c>
      <c r="C11503" s="129" t="inlineStr">
        <is>
          <t>地区代码</t>
        </is>
      </c>
      <c r="D11503" s="21" t="n">
        <v>360427</v>
      </c>
      <c r="E11503" s="21" t="inlineStr">
        <is>
          <t>江西省九江市星子县</t>
        </is>
      </c>
    </row>
    <row r="11504">
      <c r="B11504" s="41" t="inlineStr">
        <is>
          <t>AreaCode</t>
        </is>
      </c>
      <c r="C11504" s="129" t="inlineStr">
        <is>
          <t>地区代码</t>
        </is>
      </c>
      <c r="D11504" s="21" t="n">
        <v>360428</v>
      </c>
      <c r="E11504" s="21" t="inlineStr">
        <is>
          <t>江西省九江市都昌县</t>
        </is>
      </c>
    </row>
    <row r="11505">
      <c r="B11505" s="41" t="inlineStr">
        <is>
          <t>AreaCode</t>
        </is>
      </c>
      <c r="C11505" s="129" t="inlineStr">
        <is>
          <t>地区代码</t>
        </is>
      </c>
      <c r="D11505" s="21" t="n">
        <v>360429</v>
      </c>
      <c r="E11505" s="21" t="inlineStr">
        <is>
          <t>江西省九江市湖口县</t>
        </is>
      </c>
    </row>
    <row r="11506">
      <c r="B11506" s="41" t="inlineStr">
        <is>
          <t>AreaCode</t>
        </is>
      </c>
      <c r="C11506" s="129" t="inlineStr">
        <is>
          <t>地区代码</t>
        </is>
      </c>
      <c r="D11506" s="21" t="n">
        <v>360430</v>
      </c>
      <c r="E11506" s="21" t="inlineStr">
        <is>
          <t>江西省九江市彭泽县</t>
        </is>
      </c>
    </row>
    <row r="11507">
      <c r="B11507" s="41" t="inlineStr">
        <is>
          <t>AreaCode</t>
        </is>
      </c>
      <c r="C11507" s="129" t="inlineStr">
        <is>
          <t>地区代码</t>
        </is>
      </c>
      <c r="D11507" s="21" t="n">
        <v>360481</v>
      </c>
      <c r="E11507" s="21" t="inlineStr">
        <is>
          <t>江西省九江市瑞昌市</t>
        </is>
      </c>
    </row>
    <row r="11508">
      <c r="B11508" s="41" t="inlineStr">
        <is>
          <t>AreaCode</t>
        </is>
      </c>
      <c r="C11508" s="129" t="inlineStr">
        <is>
          <t>地区代码</t>
        </is>
      </c>
      <c r="D11508" s="21" t="n">
        <v>360482</v>
      </c>
      <c r="E11508" s="21" t="inlineStr">
        <is>
          <t>江西省九江市共青城市</t>
        </is>
      </c>
    </row>
    <row r="11509">
      <c r="B11509" s="41" t="inlineStr">
        <is>
          <t>AreaCode</t>
        </is>
      </c>
      <c r="C11509" s="129" t="inlineStr">
        <is>
          <t>地区代码</t>
        </is>
      </c>
      <c r="D11509" s="21" t="n">
        <v>360500</v>
      </c>
      <c r="E11509" s="21" t="inlineStr">
        <is>
          <t>江西省新余市</t>
        </is>
      </c>
    </row>
    <row r="11510">
      <c r="B11510" s="41" t="inlineStr">
        <is>
          <t>AreaCode</t>
        </is>
      </c>
      <c r="C11510" s="129" t="inlineStr">
        <is>
          <t>地区代码</t>
        </is>
      </c>
      <c r="D11510" s="21" t="n">
        <v>360501</v>
      </c>
      <c r="E11510" s="21" t="inlineStr">
        <is>
          <t>江西省新余市市辖区</t>
        </is>
      </c>
    </row>
    <row r="11511">
      <c r="B11511" s="41" t="inlineStr">
        <is>
          <t>AreaCode</t>
        </is>
      </c>
      <c r="C11511" s="129" t="inlineStr">
        <is>
          <t>地区代码</t>
        </is>
      </c>
      <c r="D11511" s="21" t="n">
        <v>360502</v>
      </c>
      <c r="E11511" s="21" t="inlineStr">
        <is>
          <t>江西省新余市渝水区</t>
        </is>
      </c>
    </row>
    <row r="11512">
      <c r="B11512" s="41" t="inlineStr">
        <is>
          <t>AreaCode</t>
        </is>
      </c>
      <c r="C11512" s="129" t="inlineStr">
        <is>
          <t>地区代码</t>
        </is>
      </c>
      <c r="D11512" s="21" t="n">
        <v>360521</v>
      </c>
      <c r="E11512" s="21" t="inlineStr">
        <is>
          <t>江西省新余市分宜县</t>
        </is>
      </c>
    </row>
    <row r="11513">
      <c r="B11513" s="41" t="inlineStr">
        <is>
          <t>AreaCode</t>
        </is>
      </c>
      <c r="C11513" s="129" t="inlineStr">
        <is>
          <t>地区代码</t>
        </is>
      </c>
      <c r="D11513" s="21" t="n">
        <v>360600</v>
      </c>
      <c r="E11513" s="21" t="inlineStr">
        <is>
          <t>江西省鹰潭市</t>
        </is>
      </c>
    </row>
    <row r="11514">
      <c r="B11514" s="41" t="inlineStr">
        <is>
          <t>AreaCode</t>
        </is>
      </c>
      <c r="C11514" s="129" t="inlineStr">
        <is>
          <t>地区代码</t>
        </is>
      </c>
      <c r="D11514" s="21" t="n">
        <v>360601</v>
      </c>
      <c r="E11514" s="21" t="inlineStr">
        <is>
          <t>江西省鹰潭市市辖区</t>
        </is>
      </c>
    </row>
    <row r="11515">
      <c r="B11515" s="41" t="inlineStr">
        <is>
          <t>AreaCode</t>
        </is>
      </c>
      <c r="C11515" s="129" t="inlineStr">
        <is>
          <t>地区代码</t>
        </is>
      </c>
      <c r="D11515" s="21" t="n">
        <v>360602</v>
      </c>
      <c r="E11515" s="21" t="inlineStr">
        <is>
          <t>江西省鹰潭市月湖区</t>
        </is>
      </c>
    </row>
    <row r="11516">
      <c r="B11516" s="41" t="inlineStr">
        <is>
          <t>AreaCode</t>
        </is>
      </c>
      <c r="C11516" s="129" t="inlineStr">
        <is>
          <t>地区代码</t>
        </is>
      </c>
      <c r="D11516" s="21" t="n">
        <v>360622</v>
      </c>
      <c r="E11516" s="21" t="inlineStr">
        <is>
          <t>江西省鹰潭市余江县</t>
        </is>
      </c>
    </row>
    <row r="11517">
      <c r="B11517" s="41" t="inlineStr">
        <is>
          <t>AreaCode</t>
        </is>
      </c>
      <c r="C11517" s="129" t="inlineStr">
        <is>
          <t>地区代码</t>
        </is>
      </c>
      <c r="D11517" s="21" t="n">
        <v>360681</v>
      </c>
      <c r="E11517" s="21" t="inlineStr">
        <is>
          <t>江西省鹰潭市贵溪市</t>
        </is>
      </c>
    </row>
    <row r="11518">
      <c r="B11518" s="41" t="inlineStr">
        <is>
          <t>AreaCode</t>
        </is>
      </c>
      <c r="C11518" s="129" t="inlineStr">
        <is>
          <t>地区代码</t>
        </is>
      </c>
      <c r="D11518" s="21" t="n">
        <v>360700</v>
      </c>
      <c r="E11518" s="21" t="inlineStr">
        <is>
          <t>江西省赣州市</t>
        </is>
      </c>
    </row>
    <row r="11519">
      <c r="B11519" s="41" t="inlineStr">
        <is>
          <t>AreaCode</t>
        </is>
      </c>
      <c r="C11519" s="129" t="inlineStr">
        <is>
          <t>地区代码</t>
        </is>
      </c>
      <c r="D11519" s="21" t="n">
        <v>360701</v>
      </c>
      <c r="E11519" s="21" t="inlineStr">
        <is>
          <t>江西省赣州市市辖区</t>
        </is>
      </c>
    </row>
    <row r="11520">
      <c r="B11520" s="41" t="inlineStr">
        <is>
          <t>AreaCode</t>
        </is>
      </c>
      <c r="C11520" s="129" t="inlineStr">
        <is>
          <t>地区代码</t>
        </is>
      </c>
      <c r="D11520" s="21" t="n">
        <v>360702</v>
      </c>
      <c r="E11520" s="21" t="inlineStr">
        <is>
          <t>江西省赣州市章贡区</t>
        </is>
      </c>
    </row>
    <row r="11521">
      <c r="B11521" s="41" t="inlineStr">
        <is>
          <t>AreaCode</t>
        </is>
      </c>
      <c r="C11521" s="129" t="inlineStr">
        <is>
          <t>地区代码</t>
        </is>
      </c>
      <c r="D11521" s="21" t="n">
        <v>360721</v>
      </c>
      <c r="E11521" s="21" t="inlineStr">
        <is>
          <t>江西省赣州市赣县</t>
        </is>
      </c>
    </row>
    <row r="11522">
      <c r="B11522" s="41" t="inlineStr">
        <is>
          <t>AreaCode</t>
        </is>
      </c>
      <c r="C11522" s="129" t="inlineStr">
        <is>
          <t>地区代码</t>
        </is>
      </c>
      <c r="D11522" s="21" t="n">
        <v>360722</v>
      </c>
      <c r="E11522" s="21" t="inlineStr">
        <is>
          <t>江西省赣州市信丰县</t>
        </is>
      </c>
    </row>
    <row r="11523">
      <c r="B11523" s="41" t="inlineStr">
        <is>
          <t>AreaCode</t>
        </is>
      </c>
      <c r="C11523" s="129" t="inlineStr">
        <is>
          <t>地区代码</t>
        </is>
      </c>
      <c r="D11523" s="21" t="n">
        <v>360723</v>
      </c>
      <c r="E11523" s="21" t="inlineStr">
        <is>
          <t>江西省赣州市大余县</t>
        </is>
      </c>
    </row>
    <row r="11524">
      <c r="B11524" s="41" t="inlineStr">
        <is>
          <t>AreaCode</t>
        </is>
      </c>
      <c r="C11524" s="129" t="inlineStr">
        <is>
          <t>地区代码</t>
        </is>
      </c>
      <c r="D11524" s="21" t="n">
        <v>360724</v>
      </c>
      <c r="E11524" s="21" t="inlineStr">
        <is>
          <t>江西省赣州市上犹县</t>
        </is>
      </c>
    </row>
    <row r="11525">
      <c r="B11525" s="41" t="inlineStr">
        <is>
          <t>AreaCode</t>
        </is>
      </c>
      <c r="C11525" s="129" t="inlineStr">
        <is>
          <t>地区代码</t>
        </is>
      </c>
      <c r="D11525" s="21" t="n">
        <v>360725</v>
      </c>
      <c r="E11525" s="21" t="inlineStr">
        <is>
          <t>江西省赣州市崇义县</t>
        </is>
      </c>
    </row>
    <row r="11526">
      <c r="B11526" s="41" t="inlineStr">
        <is>
          <t>AreaCode</t>
        </is>
      </c>
      <c r="C11526" s="129" t="inlineStr">
        <is>
          <t>地区代码</t>
        </is>
      </c>
      <c r="D11526" s="21" t="n">
        <v>360726</v>
      </c>
      <c r="E11526" s="21" t="inlineStr">
        <is>
          <t>江西省赣州市安远县</t>
        </is>
      </c>
    </row>
    <row r="11527">
      <c r="B11527" s="41" t="inlineStr">
        <is>
          <t>AreaCode</t>
        </is>
      </c>
      <c r="C11527" s="129" t="inlineStr">
        <is>
          <t>地区代码</t>
        </is>
      </c>
      <c r="D11527" s="21" t="n">
        <v>360727</v>
      </c>
      <c r="E11527" s="21" t="inlineStr">
        <is>
          <t>江西省赣州市龙南县</t>
        </is>
      </c>
    </row>
    <row r="11528">
      <c r="B11528" s="41" t="inlineStr">
        <is>
          <t>AreaCode</t>
        </is>
      </c>
      <c r="C11528" s="129" t="inlineStr">
        <is>
          <t>地区代码</t>
        </is>
      </c>
      <c r="D11528" s="21" t="n">
        <v>360728</v>
      </c>
      <c r="E11528" s="21" t="inlineStr">
        <is>
          <t>江西省赣州市定南县</t>
        </is>
      </c>
    </row>
    <row r="11529">
      <c r="B11529" s="41" t="inlineStr">
        <is>
          <t>AreaCode</t>
        </is>
      </c>
      <c r="C11529" s="129" t="inlineStr">
        <is>
          <t>地区代码</t>
        </is>
      </c>
      <c r="D11529" s="21" t="n">
        <v>360729</v>
      </c>
      <c r="E11529" s="21" t="inlineStr">
        <is>
          <t>江西省赣州市全南县</t>
        </is>
      </c>
    </row>
    <row r="11530">
      <c r="B11530" s="41" t="inlineStr">
        <is>
          <t>AreaCode</t>
        </is>
      </c>
      <c r="C11530" s="129" t="inlineStr">
        <is>
          <t>地区代码</t>
        </is>
      </c>
      <c r="D11530" s="21" t="n">
        <v>360730</v>
      </c>
      <c r="E11530" s="21" t="inlineStr">
        <is>
          <t>江西省赣州市宁都县</t>
        </is>
      </c>
    </row>
    <row r="11531">
      <c r="B11531" s="41" t="inlineStr">
        <is>
          <t>AreaCode</t>
        </is>
      </c>
      <c r="C11531" s="129" t="inlineStr">
        <is>
          <t>地区代码</t>
        </is>
      </c>
      <c r="D11531" s="21" t="n">
        <v>360731</v>
      </c>
      <c r="E11531" s="21" t="inlineStr">
        <is>
          <t>江西省赣州市于都县</t>
        </is>
      </c>
    </row>
    <row r="11532">
      <c r="B11532" s="41" t="inlineStr">
        <is>
          <t>AreaCode</t>
        </is>
      </c>
      <c r="C11532" s="129" t="inlineStr">
        <is>
          <t>地区代码</t>
        </is>
      </c>
      <c r="D11532" s="21" t="n">
        <v>360732</v>
      </c>
      <c r="E11532" s="21" t="inlineStr">
        <is>
          <t>江西省赣州市兴国县</t>
        </is>
      </c>
    </row>
    <row r="11533">
      <c r="B11533" s="41" t="inlineStr">
        <is>
          <t>AreaCode</t>
        </is>
      </c>
      <c r="C11533" s="129" t="inlineStr">
        <is>
          <t>地区代码</t>
        </is>
      </c>
      <c r="D11533" s="21" t="n">
        <v>360733</v>
      </c>
      <c r="E11533" s="21" t="inlineStr">
        <is>
          <t>江西省赣州市会昌县</t>
        </is>
      </c>
    </row>
    <row r="11534">
      <c r="B11534" s="41" t="inlineStr">
        <is>
          <t>AreaCode</t>
        </is>
      </c>
      <c r="C11534" s="129" t="inlineStr">
        <is>
          <t>地区代码</t>
        </is>
      </c>
      <c r="D11534" s="21" t="n">
        <v>360734</v>
      </c>
      <c r="E11534" s="21" t="inlineStr">
        <is>
          <t>江西省赣州市寻乌县</t>
        </is>
      </c>
    </row>
    <row r="11535">
      <c r="B11535" s="41" t="inlineStr">
        <is>
          <t>AreaCode</t>
        </is>
      </c>
      <c r="C11535" s="129" t="inlineStr">
        <is>
          <t>地区代码</t>
        </is>
      </c>
      <c r="D11535" s="21" t="n">
        <v>360735</v>
      </c>
      <c r="E11535" s="21" t="inlineStr">
        <is>
          <t>江西省赣州市石城县</t>
        </is>
      </c>
    </row>
    <row r="11536">
      <c r="B11536" s="41" t="inlineStr">
        <is>
          <t>AreaCode</t>
        </is>
      </c>
      <c r="C11536" s="129" t="inlineStr">
        <is>
          <t>地区代码</t>
        </is>
      </c>
      <c r="D11536" s="21" t="n">
        <v>360781</v>
      </c>
      <c r="E11536" s="21" t="inlineStr">
        <is>
          <t>江西省赣州市瑞金市</t>
        </is>
      </c>
    </row>
    <row r="11537">
      <c r="B11537" s="41" t="inlineStr">
        <is>
          <t>AreaCode</t>
        </is>
      </c>
      <c r="C11537" s="129" t="inlineStr">
        <is>
          <t>地区代码</t>
        </is>
      </c>
      <c r="D11537" s="21" t="n">
        <v>360800</v>
      </c>
      <c r="E11537" s="21" t="inlineStr">
        <is>
          <t>江西省吉安市</t>
        </is>
      </c>
    </row>
    <row r="11538">
      <c r="B11538" s="41" t="inlineStr">
        <is>
          <t>AreaCode</t>
        </is>
      </c>
      <c r="C11538" s="129" t="inlineStr">
        <is>
          <t>地区代码</t>
        </is>
      </c>
      <c r="D11538" s="21" t="n">
        <v>360801</v>
      </c>
      <c r="E11538" s="21" t="inlineStr">
        <is>
          <t>江西省吉安市市辖区</t>
        </is>
      </c>
    </row>
    <row r="11539">
      <c r="B11539" s="41" t="inlineStr">
        <is>
          <t>AreaCode</t>
        </is>
      </c>
      <c r="C11539" s="129" t="inlineStr">
        <is>
          <t>地区代码</t>
        </is>
      </c>
      <c r="D11539" s="21" t="n">
        <v>360802</v>
      </c>
      <c r="E11539" s="21" t="inlineStr">
        <is>
          <t>江西省吉安市吉州区</t>
        </is>
      </c>
    </row>
    <row r="11540">
      <c r="B11540" s="41" t="inlineStr">
        <is>
          <t>AreaCode</t>
        </is>
      </c>
      <c r="C11540" s="129" t="inlineStr">
        <is>
          <t>地区代码</t>
        </is>
      </c>
      <c r="D11540" s="21" t="n">
        <v>360803</v>
      </c>
      <c r="E11540" s="21" t="inlineStr">
        <is>
          <t>江西省吉安市青原区</t>
        </is>
      </c>
    </row>
    <row r="11541">
      <c r="B11541" s="41" t="inlineStr">
        <is>
          <t>AreaCode</t>
        </is>
      </c>
      <c r="C11541" s="129" t="inlineStr">
        <is>
          <t>地区代码</t>
        </is>
      </c>
      <c r="D11541" s="21" t="n">
        <v>360821</v>
      </c>
      <c r="E11541" s="21" t="inlineStr">
        <is>
          <t>江西省吉安市吉安县</t>
        </is>
      </c>
    </row>
    <row r="11542">
      <c r="B11542" s="41" t="inlineStr">
        <is>
          <t>AreaCode</t>
        </is>
      </c>
      <c r="C11542" s="129" t="inlineStr">
        <is>
          <t>地区代码</t>
        </is>
      </c>
      <c r="D11542" s="21" t="n">
        <v>360822</v>
      </c>
      <c r="E11542" s="21" t="inlineStr">
        <is>
          <t>江西省吉安市吉水县</t>
        </is>
      </c>
    </row>
    <row r="11543">
      <c r="B11543" s="41" t="inlineStr">
        <is>
          <t>AreaCode</t>
        </is>
      </c>
      <c r="C11543" s="129" t="inlineStr">
        <is>
          <t>地区代码</t>
        </is>
      </c>
      <c r="D11543" s="21" t="n">
        <v>360823</v>
      </c>
      <c r="E11543" s="21" t="inlineStr">
        <is>
          <t>江西省吉安市峡江县</t>
        </is>
      </c>
    </row>
    <row r="11544">
      <c r="B11544" s="41" t="inlineStr">
        <is>
          <t>AreaCode</t>
        </is>
      </c>
      <c r="C11544" s="129" t="inlineStr">
        <is>
          <t>地区代码</t>
        </is>
      </c>
      <c r="D11544" s="21" t="n">
        <v>360824</v>
      </c>
      <c r="E11544" s="21" t="inlineStr">
        <is>
          <t>江西省吉安市新干县</t>
        </is>
      </c>
    </row>
    <row r="11545">
      <c r="B11545" s="41" t="inlineStr">
        <is>
          <t>AreaCode</t>
        </is>
      </c>
      <c r="C11545" s="129" t="inlineStr">
        <is>
          <t>地区代码</t>
        </is>
      </c>
      <c r="D11545" s="21" t="n">
        <v>360825</v>
      </c>
      <c r="E11545" s="21" t="inlineStr">
        <is>
          <t>江西省吉安市永丰县</t>
        </is>
      </c>
    </row>
    <row r="11546">
      <c r="B11546" s="41" t="inlineStr">
        <is>
          <t>AreaCode</t>
        </is>
      </c>
      <c r="C11546" s="129" t="inlineStr">
        <is>
          <t>地区代码</t>
        </is>
      </c>
      <c r="D11546" s="21" t="n">
        <v>360826</v>
      </c>
      <c r="E11546" s="21" t="inlineStr">
        <is>
          <t>江西省吉安市泰和县</t>
        </is>
      </c>
    </row>
    <row r="11547">
      <c r="B11547" s="41" t="inlineStr">
        <is>
          <t>AreaCode</t>
        </is>
      </c>
      <c r="C11547" s="129" t="inlineStr">
        <is>
          <t>地区代码</t>
        </is>
      </c>
      <c r="D11547" s="21" t="n">
        <v>360827</v>
      </c>
      <c r="E11547" s="21" t="inlineStr">
        <is>
          <t>江西省吉安市遂川县</t>
        </is>
      </c>
    </row>
    <row r="11548">
      <c r="B11548" s="41" t="inlineStr">
        <is>
          <t>AreaCode</t>
        </is>
      </c>
      <c r="C11548" s="129" t="inlineStr">
        <is>
          <t>地区代码</t>
        </is>
      </c>
      <c r="D11548" s="21" t="n">
        <v>360828</v>
      </c>
      <c r="E11548" s="21" t="inlineStr">
        <is>
          <t>江西省吉安市万安县</t>
        </is>
      </c>
    </row>
    <row r="11549">
      <c r="B11549" s="41" t="inlineStr">
        <is>
          <t>AreaCode</t>
        </is>
      </c>
      <c r="C11549" s="129" t="inlineStr">
        <is>
          <t>地区代码</t>
        </is>
      </c>
      <c r="D11549" s="21" t="n">
        <v>360829</v>
      </c>
      <c r="E11549" s="21" t="inlineStr">
        <is>
          <t>江西省吉安市安福县</t>
        </is>
      </c>
    </row>
    <row r="11550">
      <c r="B11550" s="41" t="inlineStr">
        <is>
          <t>AreaCode</t>
        </is>
      </c>
      <c r="C11550" s="129" t="inlineStr">
        <is>
          <t>地区代码</t>
        </is>
      </c>
      <c r="D11550" s="21" t="n">
        <v>360830</v>
      </c>
      <c r="E11550" s="21" t="inlineStr">
        <is>
          <t>江西省吉安市永新县</t>
        </is>
      </c>
    </row>
    <row r="11551">
      <c r="B11551" s="41" t="inlineStr">
        <is>
          <t>AreaCode</t>
        </is>
      </c>
      <c r="C11551" s="129" t="inlineStr">
        <is>
          <t>地区代码</t>
        </is>
      </c>
      <c r="D11551" s="21" t="n">
        <v>360881</v>
      </c>
      <c r="E11551" s="21" t="inlineStr">
        <is>
          <t>江西省吉安市井冈山市</t>
        </is>
      </c>
    </row>
    <row r="11552">
      <c r="B11552" s="41" t="inlineStr">
        <is>
          <t>AreaCode</t>
        </is>
      </c>
      <c r="C11552" s="129" t="inlineStr">
        <is>
          <t>地区代码</t>
        </is>
      </c>
      <c r="D11552" s="21" t="n">
        <v>360900</v>
      </c>
      <c r="E11552" s="21" t="inlineStr">
        <is>
          <t>江西省宜春市</t>
        </is>
      </c>
    </row>
    <row r="11553">
      <c r="B11553" s="41" t="inlineStr">
        <is>
          <t>AreaCode</t>
        </is>
      </c>
      <c r="C11553" s="129" t="inlineStr">
        <is>
          <t>地区代码</t>
        </is>
      </c>
      <c r="D11553" s="21" t="n">
        <v>360901</v>
      </c>
      <c r="E11553" s="21" t="inlineStr">
        <is>
          <t>江西省宜春市市辖区</t>
        </is>
      </c>
    </row>
    <row r="11554">
      <c r="B11554" s="41" t="inlineStr">
        <is>
          <t>AreaCode</t>
        </is>
      </c>
      <c r="C11554" s="129" t="inlineStr">
        <is>
          <t>地区代码</t>
        </is>
      </c>
      <c r="D11554" s="21" t="n">
        <v>360902</v>
      </c>
      <c r="E11554" s="21" t="inlineStr">
        <is>
          <t>江西省宜春市袁州区</t>
        </is>
      </c>
    </row>
    <row r="11555">
      <c r="B11555" s="41" t="inlineStr">
        <is>
          <t>AreaCode</t>
        </is>
      </c>
      <c r="C11555" s="129" t="inlineStr">
        <is>
          <t>地区代码</t>
        </is>
      </c>
      <c r="D11555" s="21" t="n">
        <v>360921</v>
      </c>
      <c r="E11555" s="21" t="inlineStr">
        <is>
          <t>江西省宜春市奉新县</t>
        </is>
      </c>
    </row>
    <row r="11556">
      <c r="B11556" s="41" t="inlineStr">
        <is>
          <t>AreaCode</t>
        </is>
      </c>
      <c r="C11556" s="129" t="inlineStr">
        <is>
          <t>地区代码</t>
        </is>
      </c>
      <c r="D11556" s="21" t="n">
        <v>360922</v>
      </c>
      <c r="E11556" s="21" t="inlineStr">
        <is>
          <t>江西省宜春市万载县</t>
        </is>
      </c>
    </row>
    <row r="11557">
      <c r="B11557" s="41" t="inlineStr">
        <is>
          <t>AreaCode</t>
        </is>
      </c>
      <c r="C11557" s="129" t="inlineStr">
        <is>
          <t>地区代码</t>
        </is>
      </c>
      <c r="D11557" s="21" t="n">
        <v>360923</v>
      </c>
      <c r="E11557" s="21" t="inlineStr">
        <is>
          <t>江西省宜春市上高县</t>
        </is>
      </c>
    </row>
    <row r="11558">
      <c r="B11558" s="41" t="inlineStr">
        <is>
          <t>AreaCode</t>
        </is>
      </c>
      <c r="C11558" s="129" t="inlineStr">
        <is>
          <t>地区代码</t>
        </is>
      </c>
      <c r="D11558" s="21" t="n">
        <v>360924</v>
      </c>
      <c r="E11558" s="21" t="inlineStr">
        <is>
          <t>江西省宜春市宜丰县</t>
        </is>
      </c>
    </row>
    <row r="11559">
      <c r="B11559" s="41" t="inlineStr">
        <is>
          <t>AreaCode</t>
        </is>
      </c>
      <c r="C11559" s="129" t="inlineStr">
        <is>
          <t>地区代码</t>
        </is>
      </c>
      <c r="D11559" s="21" t="n">
        <v>360925</v>
      </c>
      <c r="E11559" s="21" t="inlineStr">
        <is>
          <t>江西省宜春市靖安县</t>
        </is>
      </c>
    </row>
    <row r="11560">
      <c r="B11560" s="41" t="inlineStr">
        <is>
          <t>AreaCode</t>
        </is>
      </c>
      <c r="C11560" s="129" t="inlineStr">
        <is>
          <t>地区代码</t>
        </is>
      </c>
      <c r="D11560" s="21" t="n">
        <v>360926</v>
      </c>
      <c r="E11560" s="21" t="inlineStr">
        <is>
          <t>江西省宜春市铜鼓县</t>
        </is>
      </c>
    </row>
    <row r="11561">
      <c r="B11561" s="41" t="inlineStr">
        <is>
          <t>AreaCode</t>
        </is>
      </c>
      <c r="C11561" s="129" t="inlineStr">
        <is>
          <t>地区代码</t>
        </is>
      </c>
      <c r="D11561" s="21" t="n">
        <v>360981</v>
      </c>
      <c r="E11561" s="21" t="inlineStr">
        <is>
          <t>江西省宜春市丰城市</t>
        </is>
      </c>
    </row>
    <row r="11562">
      <c r="B11562" s="41" t="inlineStr">
        <is>
          <t>AreaCode</t>
        </is>
      </c>
      <c r="C11562" s="129" t="inlineStr">
        <is>
          <t>地区代码</t>
        </is>
      </c>
      <c r="D11562" s="21" t="n">
        <v>360982</v>
      </c>
      <c r="E11562" s="21" t="inlineStr">
        <is>
          <t>江西省宜春市樟树市</t>
        </is>
      </c>
    </row>
    <row r="11563">
      <c r="B11563" s="41" t="inlineStr">
        <is>
          <t>AreaCode</t>
        </is>
      </c>
      <c r="C11563" s="129" t="inlineStr">
        <is>
          <t>地区代码</t>
        </is>
      </c>
      <c r="D11563" s="21" t="n">
        <v>360983</v>
      </c>
      <c r="E11563" s="21" t="inlineStr">
        <is>
          <t>江西省宜春市高安市</t>
        </is>
      </c>
    </row>
    <row r="11564">
      <c r="B11564" s="41" t="inlineStr">
        <is>
          <t>AreaCode</t>
        </is>
      </c>
      <c r="C11564" s="129" t="inlineStr">
        <is>
          <t>地区代码</t>
        </is>
      </c>
      <c r="D11564" s="21" t="n">
        <v>361000</v>
      </c>
      <c r="E11564" s="21" t="inlineStr">
        <is>
          <t>江西省抚州市</t>
        </is>
      </c>
    </row>
    <row r="11565">
      <c r="B11565" s="41" t="inlineStr">
        <is>
          <t>AreaCode</t>
        </is>
      </c>
      <c r="C11565" s="129" t="inlineStr">
        <is>
          <t>地区代码</t>
        </is>
      </c>
      <c r="D11565" s="21" t="n">
        <v>361001</v>
      </c>
      <c r="E11565" s="21" t="inlineStr">
        <is>
          <t>江西省抚州市市辖区</t>
        </is>
      </c>
    </row>
    <row r="11566">
      <c r="B11566" s="41" t="inlineStr">
        <is>
          <t>AreaCode</t>
        </is>
      </c>
      <c r="C11566" s="129" t="inlineStr">
        <is>
          <t>地区代码</t>
        </is>
      </c>
      <c r="D11566" s="21" t="n">
        <v>361002</v>
      </c>
      <c r="E11566" s="21" t="inlineStr">
        <is>
          <t>江西省抚州市临川区</t>
        </is>
      </c>
    </row>
    <row r="11567">
      <c r="B11567" s="41" t="inlineStr">
        <is>
          <t>AreaCode</t>
        </is>
      </c>
      <c r="C11567" s="129" t="inlineStr">
        <is>
          <t>地区代码</t>
        </is>
      </c>
      <c r="D11567" s="21" t="n">
        <v>361021</v>
      </c>
      <c r="E11567" s="21" t="inlineStr">
        <is>
          <t>江西省抚州市南城县</t>
        </is>
      </c>
    </row>
    <row r="11568">
      <c r="B11568" s="41" t="inlineStr">
        <is>
          <t>AreaCode</t>
        </is>
      </c>
      <c r="C11568" s="129" t="inlineStr">
        <is>
          <t>地区代码</t>
        </is>
      </c>
      <c r="D11568" s="21" t="n">
        <v>361022</v>
      </c>
      <c r="E11568" s="21" t="inlineStr">
        <is>
          <t>江西省抚州市黎川县</t>
        </is>
      </c>
    </row>
    <row r="11569">
      <c r="B11569" s="41" t="inlineStr">
        <is>
          <t>AreaCode</t>
        </is>
      </c>
      <c r="C11569" s="129" t="inlineStr">
        <is>
          <t>地区代码</t>
        </is>
      </c>
      <c r="D11569" s="21" t="n">
        <v>361023</v>
      </c>
      <c r="E11569" s="21" t="inlineStr">
        <is>
          <t>江西省抚州市南丰县</t>
        </is>
      </c>
    </row>
    <row r="11570">
      <c r="B11570" s="41" t="inlineStr">
        <is>
          <t>AreaCode</t>
        </is>
      </c>
      <c r="C11570" s="129" t="inlineStr">
        <is>
          <t>地区代码</t>
        </is>
      </c>
      <c r="D11570" s="21" t="n">
        <v>361024</v>
      </c>
      <c r="E11570" s="21" t="inlineStr">
        <is>
          <t>江西省抚州市崇仁县</t>
        </is>
      </c>
    </row>
    <row r="11571">
      <c r="B11571" s="41" t="inlineStr">
        <is>
          <t>AreaCode</t>
        </is>
      </c>
      <c r="C11571" s="129" t="inlineStr">
        <is>
          <t>地区代码</t>
        </is>
      </c>
      <c r="D11571" s="21" t="n">
        <v>361025</v>
      </c>
      <c r="E11571" s="21" t="inlineStr">
        <is>
          <t>江西省抚州市乐安县</t>
        </is>
      </c>
    </row>
    <row r="11572">
      <c r="B11572" s="41" t="inlineStr">
        <is>
          <t>AreaCode</t>
        </is>
      </c>
      <c r="C11572" s="129" t="inlineStr">
        <is>
          <t>地区代码</t>
        </is>
      </c>
      <c r="D11572" s="21" t="n">
        <v>361026</v>
      </c>
      <c r="E11572" s="21" t="inlineStr">
        <is>
          <t>江西省抚州市宜黄县</t>
        </is>
      </c>
    </row>
    <row r="11573">
      <c r="B11573" s="41" t="inlineStr">
        <is>
          <t>AreaCode</t>
        </is>
      </c>
      <c r="C11573" s="129" t="inlineStr">
        <is>
          <t>地区代码</t>
        </is>
      </c>
      <c r="D11573" s="21" t="n">
        <v>361027</v>
      </c>
      <c r="E11573" s="21" t="inlineStr">
        <is>
          <t>江西省抚州市金溪县</t>
        </is>
      </c>
    </row>
    <row r="11574">
      <c r="B11574" s="41" t="inlineStr">
        <is>
          <t>AreaCode</t>
        </is>
      </c>
      <c r="C11574" s="129" t="inlineStr">
        <is>
          <t>地区代码</t>
        </is>
      </c>
      <c r="D11574" s="21" t="n">
        <v>361028</v>
      </c>
      <c r="E11574" s="21" t="inlineStr">
        <is>
          <t>江西省抚州市资溪县</t>
        </is>
      </c>
    </row>
    <row r="11575">
      <c r="B11575" s="41" t="inlineStr">
        <is>
          <t>AreaCode</t>
        </is>
      </c>
      <c r="C11575" s="129" t="inlineStr">
        <is>
          <t>地区代码</t>
        </is>
      </c>
      <c r="D11575" s="21" t="n">
        <v>361029</v>
      </c>
      <c r="E11575" s="21" t="inlineStr">
        <is>
          <t>江西省抚州市东乡县</t>
        </is>
      </c>
    </row>
    <row r="11576">
      <c r="B11576" s="41" t="inlineStr">
        <is>
          <t>AreaCode</t>
        </is>
      </c>
      <c r="C11576" s="129" t="inlineStr">
        <is>
          <t>地区代码</t>
        </is>
      </c>
      <c r="D11576" s="21" t="n">
        <v>361030</v>
      </c>
      <c r="E11576" s="21" t="inlineStr">
        <is>
          <t>江西省抚州市广昌县</t>
        </is>
      </c>
    </row>
    <row r="11577">
      <c r="B11577" s="41" t="inlineStr">
        <is>
          <t>AreaCode</t>
        </is>
      </c>
      <c r="C11577" s="129" t="inlineStr">
        <is>
          <t>地区代码</t>
        </is>
      </c>
      <c r="D11577" s="21" t="n">
        <v>361100</v>
      </c>
      <c r="E11577" s="21" t="inlineStr">
        <is>
          <t>江西省上饶市</t>
        </is>
      </c>
    </row>
    <row r="11578">
      <c r="B11578" s="41" t="inlineStr">
        <is>
          <t>AreaCode</t>
        </is>
      </c>
      <c r="C11578" s="129" t="inlineStr">
        <is>
          <t>地区代码</t>
        </is>
      </c>
      <c r="D11578" s="21" t="n">
        <v>361101</v>
      </c>
      <c r="E11578" s="21" t="inlineStr">
        <is>
          <t>江西省上饶市市辖区</t>
        </is>
      </c>
    </row>
    <row r="11579">
      <c r="B11579" s="41" t="inlineStr">
        <is>
          <t>AreaCode</t>
        </is>
      </c>
      <c r="C11579" s="129" t="inlineStr">
        <is>
          <t>地区代码</t>
        </is>
      </c>
      <c r="D11579" s="21" t="n">
        <v>361102</v>
      </c>
      <c r="E11579" s="21" t="inlineStr">
        <is>
          <t>江西省上饶市信州区</t>
        </is>
      </c>
    </row>
    <row r="11580">
      <c r="B11580" s="41" t="inlineStr">
        <is>
          <t>AreaCode</t>
        </is>
      </c>
      <c r="C11580" s="129" t="inlineStr">
        <is>
          <t>地区代码</t>
        </is>
      </c>
      <c r="D11580" s="21" t="n">
        <v>361121</v>
      </c>
      <c r="E11580" s="21" t="inlineStr">
        <is>
          <t>江西省上饶市上饶县</t>
        </is>
      </c>
    </row>
    <row r="11581">
      <c r="B11581" s="41" t="inlineStr">
        <is>
          <t>AreaCode</t>
        </is>
      </c>
      <c r="C11581" s="129" t="inlineStr">
        <is>
          <t>地区代码</t>
        </is>
      </c>
      <c r="D11581" s="21" t="n">
        <v>361122</v>
      </c>
      <c r="E11581" s="21" t="inlineStr">
        <is>
          <t>江西省上饶市广丰县</t>
        </is>
      </c>
    </row>
    <row r="11582">
      <c r="B11582" s="41" t="inlineStr">
        <is>
          <t>AreaCode</t>
        </is>
      </c>
      <c r="C11582" s="129" t="inlineStr">
        <is>
          <t>地区代码</t>
        </is>
      </c>
      <c r="D11582" s="21" t="n">
        <v>361123</v>
      </c>
      <c r="E11582" s="21" t="inlineStr">
        <is>
          <t>江西省上饶市玉山县</t>
        </is>
      </c>
    </row>
    <row r="11583">
      <c r="B11583" s="41" t="inlineStr">
        <is>
          <t>AreaCode</t>
        </is>
      </c>
      <c r="C11583" s="129" t="inlineStr">
        <is>
          <t>地区代码</t>
        </is>
      </c>
      <c r="D11583" s="21" t="n">
        <v>361124</v>
      </c>
      <c r="E11583" s="21" t="inlineStr">
        <is>
          <t>江西省上饶市铅山县</t>
        </is>
      </c>
    </row>
    <row r="11584">
      <c r="B11584" s="41" t="inlineStr">
        <is>
          <t>AreaCode</t>
        </is>
      </c>
      <c r="C11584" s="129" t="inlineStr">
        <is>
          <t>地区代码</t>
        </is>
      </c>
      <c r="D11584" s="21" t="n">
        <v>361125</v>
      </c>
      <c r="E11584" s="21" t="inlineStr">
        <is>
          <t>江西省上饶市横峰县</t>
        </is>
      </c>
    </row>
    <row r="11585">
      <c r="B11585" s="41" t="inlineStr">
        <is>
          <t>AreaCode</t>
        </is>
      </c>
      <c r="C11585" s="129" t="inlineStr">
        <is>
          <t>地区代码</t>
        </is>
      </c>
      <c r="D11585" s="21" t="n">
        <v>361126</v>
      </c>
      <c r="E11585" s="21" t="inlineStr">
        <is>
          <t>江西省上饶市弋阳县</t>
        </is>
      </c>
    </row>
    <row r="11586">
      <c r="B11586" s="41" t="inlineStr">
        <is>
          <t>AreaCode</t>
        </is>
      </c>
      <c r="C11586" s="129" t="inlineStr">
        <is>
          <t>地区代码</t>
        </is>
      </c>
      <c r="D11586" s="21" t="n">
        <v>361127</v>
      </c>
      <c r="E11586" s="21" t="inlineStr">
        <is>
          <t>江西省上饶市余干县</t>
        </is>
      </c>
    </row>
    <row r="11587">
      <c r="B11587" s="41" t="inlineStr">
        <is>
          <t>AreaCode</t>
        </is>
      </c>
      <c r="C11587" s="129" t="inlineStr">
        <is>
          <t>地区代码</t>
        </is>
      </c>
      <c r="D11587" s="21" t="n">
        <v>361128</v>
      </c>
      <c r="E11587" s="21" t="inlineStr">
        <is>
          <t>江西省上饶市鄱阳县</t>
        </is>
      </c>
    </row>
    <row r="11588">
      <c r="B11588" s="41" t="inlineStr">
        <is>
          <t>AreaCode</t>
        </is>
      </c>
      <c r="C11588" s="129" t="inlineStr">
        <is>
          <t>地区代码</t>
        </is>
      </c>
      <c r="D11588" s="21" t="n">
        <v>361129</v>
      </c>
      <c r="E11588" s="21" t="inlineStr">
        <is>
          <t>江西省上饶市万年县</t>
        </is>
      </c>
    </row>
    <row r="11589">
      <c r="B11589" s="41" t="inlineStr">
        <is>
          <t>AreaCode</t>
        </is>
      </c>
      <c r="C11589" s="129" t="inlineStr">
        <is>
          <t>地区代码</t>
        </is>
      </c>
      <c r="D11589" s="21" t="n">
        <v>361130</v>
      </c>
      <c r="E11589" s="21" t="inlineStr">
        <is>
          <t>江西省上饶市婺源县</t>
        </is>
      </c>
    </row>
    <row r="11590">
      <c r="B11590" s="41" t="inlineStr">
        <is>
          <t>AreaCode</t>
        </is>
      </c>
      <c r="C11590" s="129" t="inlineStr">
        <is>
          <t>地区代码</t>
        </is>
      </c>
      <c r="D11590" s="21" t="n">
        <v>361181</v>
      </c>
      <c r="E11590" s="21" t="inlineStr">
        <is>
          <t>江西省上饶市德兴市</t>
        </is>
      </c>
    </row>
    <row r="11591">
      <c r="B11591" s="41" t="inlineStr">
        <is>
          <t>AreaCode</t>
        </is>
      </c>
      <c r="C11591" s="129" t="inlineStr">
        <is>
          <t>地区代码</t>
        </is>
      </c>
      <c r="D11591" s="21" t="n">
        <v>370000</v>
      </c>
      <c r="E11591" s="21" t="inlineStr">
        <is>
          <t>山东省</t>
        </is>
      </c>
    </row>
    <row r="11592">
      <c r="B11592" s="41" t="inlineStr">
        <is>
          <t>AreaCode</t>
        </is>
      </c>
      <c r="C11592" s="129" t="inlineStr">
        <is>
          <t>地区代码</t>
        </is>
      </c>
      <c r="D11592" s="21" t="n">
        <v>370100</v>
      </c>
      <c r="E11592" s="21" t="inlineStr">
        <is>
          <t>山东省济南市</t>
        </is>
      </c>
    </row>
    <row r="11593">
      <c r="B11593" s="41" t="inlineStr">
        <is>
          <t>AreaCode</t>
        </is>
      </c>
      <c r="C11593" s="129" t="inlineStr">
        <is>
          <t>地区代码</t>
        </is>
      </c>
      <c r="D11593" s="21" t="n">
        <v>370101</v>
      </c>
      <c r="E11593" s="21" t="inlineStr">
        <is>
          <t>山东省济南市市辖区</t>
        </is>
      </c>
    </row>
    <row r="11594">
      <c r="B11594" s="41" t="inlineStr">
        <is>
          <t>AreaCode</t>
        </is>
      </c>
      <c r="C11594" s="129" t="inlineStr">
        <is>
          <t>地区代码</t>
        </is>
      </c>
      <c r="D11594" s="21" t="n">
        <v>370102</v>
      </c>
      <c r="E11594" s="21" t="inlineStr">
        <is>
          <t>山东省济南市历下区</t>
        </is>
      </c>
    </row>
    <row r="11595">
      <c r="B11595" s="41" t="inlineStr">
        <is>
          <t>AreaCode</t>
        </is>
      </c>
      <c r="C11595" s="129" t="inlineStr">
        <is>
          <t>地区代码</t>
        </is>
      </c>
      <c r="D11595" s="21" t="n">
        <v>370103</v>
      </c>
      <c r="E11595" s="21" t="inlineStr">
        <is>
          <t>山东省济南市市中区</t>
        </is>
      </c>
    </row>
    <row r="11596">
      <c r="B11596" s="41" t="inlineStr">
        <is>
          <t>AreaCode</t>
        </is>
      </c>
      <c r="C11596" s="129" t="inlineStr">
        <is>
          <t>地区代码</t>
        </is>
      </c>
      <c r="D11596" s="21" t="n">
        <v>370104</v>
      </c>
      <c r="E11596" s="21" t="inlineStr">
        <is>
          <t>山东省济南市槐荫区</t>
        </is>
      </c>
    </row>
    <row r="11597">
      <c r="B11597" s="41" t="inlineStr">
        <is>
          <t>AreaCode</t>
        </is>
      </c>
      <c r="C11597" s="129" t="inlineStr">
        <is>
          <t>地区代码</t>
        </is>
      </c>
      <c r="D11597" s="21" t="n">
        <v>370105</v>
      </c>
      <c r="E11597" s="21" t="inlineStr">
        <is>
          <t>山东省济南市天桥区</t>
        </is>
      </c>
    </row>
    <row r="11598">
      <c r="B11598" s="41" t="inlineStr">
        <is>
          <t>AreaCode</t>
        </is>
      </c>
      <c r="C11598" s="129" t="inlineStr">
        <is>
          <t>地区代码</t>
        </is>
      </c>
      <c r="D11598" s="21" t="n">
        <v>370112</v>
      </c>
      <c r="E11598" s="21" t="inlineStr">
        <is>
          <t>山东省济南市历城区</t>
        </is>
      </c>
    </row>
    <row r="11599">
      <c r="B11599" s="41" t="inlineStr">
        <is>
          <t>AreaCode</t>
        </is>
      </c>
      <c r="C11599" s="129" t="inlineStr">
        <is>
          <t>地区代码</t>
        </is>
      </c>
      <c r="D11599" s="21" t="n">
        <v>370113</v>
      </c>
      <c r="E11599" s="21" t="inlineStr">
        <is>
          <t>山东省济南市长清区</t>
        </is>
      </c>
    </row>
    <row r="11600">
      <c r="B11600" s="41" t="inlineStr">
        <is>
          <t>AreaCode</t>
        </is>
      </c>
      <c r="C11600" s="129" t="inlineStr">
        <is>
          <t>地区代码</t>
        </is>
      </c>
      <c r="D11600" s="21" t="n">
        <v>370124</v>
      </c>
      <c r="E11600" s="21" t="inlineStr">
        <is>
          <t>山东省济南市平阴县</t>
        </is>
      </c>
    </row>
    <row r="11601">
      <c r="B11601" s="41" t="inlineStr">
        <is>
          <t>AreaCode</t>
        </is>
      </c>
      <c r="C11601" s="129" t="inlineStr">
        <is>
          <t>地区代码</t>
        </is>
      </c>
      <c r="D11601" s="21" t="n">
        <v>370125</v>
      </c>
      <c r="E11601" s="21" t="inlineStr">
        <is>
          <t>山东省济南市济阳县</t>
        </is>
      </c>
    </row>
    <row r="11602">
      <c r="B11602" s="41" t="inlineStr">
        <is>
          <t>AreaCode</t>
        </is>
      </c>
      <c r="C11602" s="129" t="inlineStr">
        <is>
          <t>地区代码</t>
        </is>
      </c>
      <c r="D11602" s="21" t="n">
        <v>370126</v>
      </c>
      <c r="E11602" s="21" t="inlineStr">
        <is>
          <t>山东省济南市商河县</t>
        </is>
      </c>
    </row>
    <row r="11603">
      <c r="B11603" s="41" t="inlineStr">
        <is>
          <t>AreaCode</t>
        </is>
      </c>
      <c r="C11603" s="129" t="inlineStr">
        <is>
          <t>地区代码</t>
        </is>
      </c>
      <c r="D11603" s="21" t="n">
        <v>370181</v>
      </c>
      <c r="E11603" s="21" t="inlineStr">
        <is>
          <t>山东省济南市章丘市</t>
        </is>
      </c>
    </row>
    <row r="11604">
      <c r="B11604" s="41" t="inlineStr">
        <is>
          <t>AreaCode</t>
        </is>
      </c>
      <c r="C11604" s="129" t="inlineStr">
        <is>
          <t>地区代码</t>
        </is>
      </c>
      <c r="D11604" s="21" t="n">
        <v>370200</v>
      </c>
      <c r="E11604" s="21" t="inlineStr">
        <is>
          <t>山东省青岛市</t>
        </is>
      </c>
    </row>
    <row r="11605">
      <c r="B11605" s="41" t="inlineStr">
        <is>
          <t>AreaCode</t>
        </is>
      </c>
      <c r="C11605" s="129" t="inlineStr">
        <is>
          <t>地区代码</t>
        </is>
      </c>
      <c r="D11605" s="21" t="n">
        <v>370201</v>
      </c>
      <c r="E11605" s="21" t="inlineStr">
        <is>
          <t>山东省青岛市市辖区</t>
        </is>
      </c>
    </row>
    <row r="11606">
      <c r="B11606" s="41" t="inlineStr">
        <is>
          <t>AreaCode</t>
        </is>
      </c>
      <c r="C11606" s="129" t="inlineStr">
        <is>
          <t>地区代码</t>
        </is>
      </c>
      <c r="D11606" s="21" t="n">
        <v>370202</v>
      </c>
      <c r="E11606" s="21" t="inlineStr">
        <is>
          <t>山东省青岛市市南区</t>
        </is>
      </c>
    </row>
    <row r="11607">
      <c r="B11607" s="41" t="inlineStr">
        <is>
          <t>AreaCode</t>
        </is>
      </c>
      <c r="C11607" s="129" t="inlineStr">
        <is>
          <t>地区代码</t>
        </is>
      </c>
      <c r="D11607" s="21" t="n">
        <v>370203</v>
      </c>
      <c r="E11607" s="21" t="inlineStr">
        <is>
          <t>山东省青岛市市北区</t>
        </is>
      </c>
    </row>
    <row r="11608">
      <c r="B11608" s="41" t="inlineStr">
        <is>
          <t>AreaCode</t>
        </is>
      </c>
      <c r="C11608" s="129" t="inlineStr">
        <is>
          <t>地区代码</t>
        </is>
      </c>
      <c r="D11608" s="21" t="n">
        <v>370211</v>
      </c>
      <c r="E11608" s="21" t="inlineStr">
        <is>
          <t>山东省青岛市黄岛区</t>
        </is>
      </c>
    </row>
    <row r="11609">
      <c r="B11609" s="41" t="inlineStr">
        <is>
          <t>AreaCode</t>
        </is>
      </c>
      <c r="C11609" s="129" t="inlineStr">
        <is>
          <t>地区代码</t>
        </is>
      </c>
      <c r="D11609" s="21" t="n">
        <v>370212</v>
      </c>
      <c r="E11609" s="21" t="inlineStr">
        <is>
          <t>山东省青岛市崂山区</t>
        </is>
      </c>
    </row>
    <row r="11610">
      <c r="B11610" s="41" t="inlineStr">
        <is>
          <t>AreaCode</t>
        </is>
      </c>
      <c r="C11610" s="129" t="inlineStr">
        <is>
          <t>地区代码</t>
        </is>
      </c>
      <c r="D11610" s="21" t="n">
        <v>370213</v>
      </c>
      <c r="E11610" s="21" t="inlineStr">
        <is>
          <t>山东省青岛市李沧区</t>
        </is>
      </c>
    </row>
    <row r="11611">
      <c r="B11611" s="41" t="inlineStr">
        <is>
          <t>AreaCode</t>
        </is>
      </c>
      <c r="C11611" s="129" t="inlineStr">
        <is>
          <t>地区代码</t>
        </is>
      </c>
      <c r="D11611" s="21" t="n">
        <v>370214</v>
      </c>
      <c r="E11611" s="21" t="inlineStr">
        <is>
          <t>山东省青岛市城阳区</t>
        </is>
      </c>
    </row>
    <row r="11612">
      <c r="B11612" s="41" t="inlineStr">
        <is>
          <t>AreaCode</t>
        </is>
      </c>
      <c r="C11612" s="129" t="inlineStr">
        <is>
          <t>地区代码</t>
        </is>
      </c>
      <c r="D11612" s="21" t="n">
        <v>370281</v>
      </c>
      <c r="E11612" s="21" t="inlineStr">
        <is>
          <t>山东省青岛市胶州市</t>
        </is>
      </c>
    </row>
    <row r="11613">
      <c r="B11613" s="41" t="inlineStr">
        <is>
          <t>AreaCode</t>
        </is>
      </c>
      <c r="C11613" s="129" t="inlineStr">
        <is>
          <t>地区代码</t>
        </is>
      </c>
      <c r="D11613" s="21" t="n">
        <v>370282</v>
      </c>
      <c r="E11613" s="21" t="inlineStr">
        <is>
          <t>山东省青岛市即墨市</t>
        </is>
      </c>
    </row>
    <row r="11614">
      <c r="B11614" s="41" t="inlineStr">
        <is>
          <t>AreaCode</t>
        </is>
      </c>
      <c r="C11614" s="129" t="inlineStr">
        <is>
          <t>地区代码</t>
        </is>
      </c>
      <c r="D11614" s="21" t="n">
        <v>370283</v>
      </c>
      <c r="E11614" s="21" t="inlineStr">
        <is>
          <t>山东省青岛市平度市</t>
        </is>
      </c>
    </row>
    <row r="11615">
      <c r="B11615" s="41" t="inlineStr">
        <is>
          <t>AreaCode</t>
        </is>
      </c>
      <c r="C11615" s="129" t="inlineStr">
        <is>
          <t>地区代码</t>
        </is>
      </c>
      <c r="D11615" s="21" t="n">
        <v>370285</v>
      </c>
      <c r="E11615" s="21" t="inlineStr">
        <is>
          <t>山东省青岛市莱西市</t>
        </is>
      </c>
    </row>
    <row r="11616">
      <c r="B11616" s="41" t="inlineStr">
        <is>
          <t>AreaCode</t>
        </is>
      </c>
      <c r="C11616" s="129" t="inlineStr">
        <is>
          <t>地区代码</t>
        </is>
      </c>
      <c r="D11616" s="21" t="n">
        <v>370300</v>
      </c>
      <c r="E11616" s="21" t="inlineStr">
        <is>
          <t>山东省淄博市</t>
        </is>
      </c>
    </row>
    <row r="11617">
      <c r="B11617" s="41" t="inlineStr">
        <is>
          <t>AreaCode</t>
        </is>
      </c>
      <c r="C11617" s="129" t="inlineStr">
        <is>
          <t>地区代码</t>
        </is>
      </c>
      <c r="D11617" s="21" t="n">
        <v>370301</v>
      </c>
      <c r="E11617" s="21" t="inlineStr">
        <is>
          <t>山东省淄博市市辖区</t>
        </is>
      </c>
    </row>
    <row r="11618">
      <c r="B11618" s="41" t="inlineStr">
        <is>
          <t>AreaCode</t>
        </is>
      </c>
      <c r="C11618" s="129" t="inlineStr">
        <is>
          <t>地区代码</t>
        </is>
      </c>
      <c r="D11618" s="21" t="n">
        <v>370302</v>
      </c>
      <c r="E11618" s="21" t="inlineStr">
        <is>
          <t>山东省淄博市淄川区</t>
        </is>
      </c>
    </row>
    <row r="11619">
      <c r="B11619" s="41" t="inlineStr">
        <is>
          <t>AreaCode</t>
        </is>
      </c>
      <c r="C11619" s="129" t="inlineStr">
        <is>
          <t>地区代码</t>
        </is>
      </c>
      <c r="D11619" s="21" t="n">
        <v>370303</v>
      </c>
      <c r="E11619" s="21" t="inlineStr">
        <is>
          <t>山东省淄博市张店区</t>
        </is>
      </c>
    </row>
    <row r="11620">
      <c r="B11620" s="41" t="inlineStr">
        <is>
          <t>AreaCode</t>
        </is>
      </c>
      <c r="C11620" s="129" t="inlineStr">
        <is>
          <t>地区代码</t>
        </is>
      </c>
      <c r="D11620" s="21" t="n">
        <v>370304</v>
      </c>
      <c r="E11620" s="21" t="inlineStr">
        <is>
          <t>山东省淄博市博山区</t>
        </is>
      </c>
    </row>
    <row r="11621">
      <c r="B11621" s="41" t="inlineStr">
        <is>
          <t>AreaCode</t>
        </is>
      </c>
      <c r="C11621" s="129" t="inlineStr">
        <is>
          <t>地区代码</t>
        </is>
      </c>
      <c r="D11621" s="21" t="n">
        <v>370305</v>
      </c>
      <c r="E11621" s="21" t="inlineStr">
        <is>
          <t>山东省淄博市临淄区</t>
        </is>
      </c>
    </row>
    <row r="11622">
      <c r="B11622" s="41" t="inlineStr">
        <is>
          <t>AreaCode</t>
        </is>
      </c>
      <c r="C11622" s="129" t="inlineStr">
        <is>
          <t>地区代码</t>
        </is>
      </c>
      <c r="D11622" s="21" t="n">
        <v>370306</v>
      </c>
      <c r="E11622" s="21" t="inlineStr">
        <is>
          <t>山东省淄博市周村区</t>
        </is>
      </c>
    </row>
    <row r="11623">
      <c r="B11623" s="41" t="inlineStr">
        <is>
          <t>AreaCode</t>
        </is>
      </c>
      <c r="C11623" s="129" t="inlineStr">
        <is>
          <t>地区代码</t>
        </is>
      </c>
      <c r="D11623" s="21" t="n">
        <v>370321</v>
      </c>
      <c r="E11623" s="21" t="inlineStr">
        <is>
          <t>山东省淄博市桓台县</t>
        </is>
      </c>
    </row>
    <row r="11624">
      <c r="B11624" s="41" t="inlineStr">
        <is>
          <t>AreaCode</t>
        </is>
      </c>
      <c r="C11624" s="129" t="inlineStr">
        <is>
          <t>地区代码</t>
        </is>
      </c>
      <c r="D11624" s="21" t="n">
        <v>370322</v>
      </c>
      <c r="E11624" s="21" t="inlineStr">
        <is>
          <t>山东省淄博市高青县</t>
        </is>
      </c>
    </row>
    <row r="11625">
      <c r="B11625" s="41" t="inlineStr">
        <is>
          <t>AreaCode</t>
        </is>
      </c>
      <c r="C11625" s="129" t="inlineStr">
        <is>
          <t>地区代码</t>
        </is>
      </c>
      <c r="D11625" s="21" t="n">
        <v>370323</v>
      </c>
      <c r="E11625" s="21" t="inlineStr">
        <is>
          <t>山东省淄博市沂源县</t>
        </is>
      </c>
    </row>
    <row r="11626">
      <c r="B11626" s="41" t="inlineStr">
        <is>
          <t>AreaCode</t>
        </is>
      </c>
      <c r="C11626" s="129" t="inlineStr">
        <is>
          <t>地区代码</t>
        </is>
      </c>
      <c r="D11626" s="21" t="n">
        <v>370400</v>
      </c>
      <c r="E11626" s="21" t="inlineStr">
        <is>
          <t>山东省枣庄市</t>
        </is>
      </c>
    </row>
    <row r="11627">
      <c r="B11627" s="41" t="inlineStr">
        <is>
          <t>AreaCode</t>
        </is>
      </c>
      <c r="C11627" s="129" t="inlineStr">
        <is>
          <t>地区代码</t>
        </is>
      </c>
      <c r="D11627" s="21" t="n">
        <v>370401</v>
      </c>
      <c r="E11627" s="21" t="inlineStr">
        <is>
          <t>山东省枣庄市市辖区</t>
        </is>
      </c>
    </row>
    <row r="11628">
      <c r="B11628" s="41" t="inlineStr">
        <is>
          <t>AreaCode</t>
        </is>
      </c>
      <c r="C11628" s="129" t="inlineStr">
        <is>
          <t>地区代码</t>
        </is>
      </c>
      <c r="D11628" s="21" t="n">
        <v>370402</v>
      </c>
      <c r="E11628" s="21" t="inlineStr">
        <is>
          <t>山东省枣庄市市中区</t>
        </is>
      </c>
    </row>
    <row r="11629">
      <c r="B11629" s="41" t="inlineStr">
        <is>
          <t>AreaCode</t>
        </is>
      </c>
      <c r="C11629" s="129" t="inlineStr">
        <is>
          <t>地区代码</t>
        </is>
      </c>
      <c r="D11629" s="21" t="n">
        <v>370403</v>
      </c>
      <c r="E11629" s="21" t="inlineStr">
        <is>
          <t>山东省枣庄市薛城区</t>
        </is>
      </c>
    </row>
    <row r="11630">
      <c r="B11630" s="41" t="inlineStr">
        <is>
          <t>AreaCode</t>
        </is>
      </c>
      <c r="C11630" s="129" t="inlineStr">
        <is>
          <t>地区代码</t>
        </is>
      </c>
      <c r="D11630" s="21" t="n">
        <v>370404</v>
      </c>
      <c r="E11630" s="21" t="inlineStr">
        <is>
          <t>山东省枣庄市峄城区</t>
        </is>
      </c>
    </row>
    <row r="11631">
      <c r="B11631" s="41" t="inlineStr">
        <is>
          <t>AreaCode</t>
        </is>
      </c>
      <c r="C11631" s="129" t="inlineStr">
        <is>
          <t>地区代码</t>
        </is>
      </c>
      <c r="D11631" s="21" t="n">
        <v>370405</v>
      </c>
      <c r="E11631" s="21" t="inlineStr">
        <is>
          <t>山东省枣庄市台儿庄区</t>
        </is>
      </c>
    </row>
    <row r="11632">
      <c r="B11632" s="41" t="inlineStr">
        <is>
          <t>AreaCode</t>
        </is>
      </c>
      <c r="C11632" s="129" t="inlineStr">
        <is>
          <t>地区代码</t>
        </is>
      </c>
      <c r="D11632" s="21" t="n">
        <v>370406</v>
      </c>
      <c r="E11632" s="21" t="inlineStr">
        <is>
          <t>山东省枣庄市山亭区</t>
        </is>
      </c>
    </row>
    <row r="11633">
      <c r="B11633" s="41" t="inlineStr">
        <is>
          <t>AreaCode</t>
        </is>
      </c>
      <c r="C11633" s="129" t="inlineStr">
        <is>
          <t>地区代码</t>
        </is>
      </c>
      <c r="D11633" s="21" t="n">
        <v>370481</v>
      </c>
      <c r="E11633" s="21" t="inlineStr">
        <is>
          <t>山东省枣庄市滕州市</t>
        </is>
      </c>
    </row>
    <row r="11634">
      <c r="B11634" s="41" t="inlineStr">
        <is>
          <t>AreaCode</t>
        </is>
      </c>
      <c r="C11634" s="129" t="inlineStr">
        <is>
          <t>地区代码</t>
        </is>
      </c>
      <c r="D11634" s="21" t="n">
        <v>370500</v>
      </c>
      <c r="E11634" s="21" t="inlineStr">
        <is>
          <t>山东省东营市</t>
        </is>
      </c>
    </row>
    <row r="11635">
      <c r="B11635" s="41" t="inlineStr">
        <is>
          <t>AreaCode</t>
        </is>
      </c>
      <c r="C11635" s="129" t="inlineStr">
        <is>
          <t>地区代码</t>
        </is>
      </c>
      <c r="D11635" s="21" t="n">
        <v>370501</v>
      </c>
      <c r="E11635" s="21" t="inlineStr">
        <is>
          <t>山东省东营市市辖区</t>
        </is>
      </c>
    </row>
    <row r="11636">
      <c r="B11636" s="41" t="inlineStr">
        <is>
          <t>AreaCode</t>
        </is>
      </c>
      <c r="C11636" s="129" t="inlineStr">
        <is>
          <t>地区代码</t>
        </is>
      </c>
      <c r="D11636" s="21" t="n">
        <v>370502</v>
      </c>
      <c r="E11636" s="21" t="inlineStr">
        <is>
          <t>山东省东营市东营区</t>
        </is>
      </c>
    </row>
    <row r="11637">
      <c r="B11637" s="41" t="inlineStr">
        <is>
          <t>AreaCode</t>
        </is>
      </c>
      <c r="C11637" s="129" t="inlineStr">
        <is>
          <t>地区代码</t>
        </is>
      </c>
      <c r="D11637" s="21" t="n">
        <v>370503</v>
      </c>
      <c r="E11637" s="21" t="inlineStr">
        <is>
          <t>山东省东营市河口区</t>
        </is>
      </c>
    </row>
    <row r="11638">
      <c r="B11638" s="41" t="inlineStr">
        <is>
          <t>AreaCode</t>
        </is>
      </c>
      <c r="C11638" s="129" t="inlineStr">
        <is>
          <t>地区代码</t>
        </is>
      </c>
      <c r="D11638" s="21" t="n">
        <v>370521</v>
      </c>
      <c r="E11638" s="21" t="inlineStr">
        <is>
          <t>山东省东营市垦利县</t>
        </is>
      </c>
    </row>
    <row r="11639">
      <c r="B11639" s="41" t="inlineStr">
        <is>
          <t>AreaCode</t>
        </is>
      </c>
      <c r="C11639" s="129" t="inlineStr">
        <is>
          <t>地区代码</t>
        </is>
      </c>
      <c r="D11639" s="21" t="n">
        <v>370522</v>
      </c>
      <c r="E11639" s="21" t="inlineStr">
        <is>
          <t>山东省东营市利津县</t>
        </is>
      </c>
    </row>
    <row r="11640">
      <c r="B11640" s="41" t="inlineStr">
        <is>
          <t>AreaCode</t>
        </is>
      </c>
      <c r="C11640" s="129" t="inlineStr">
        <is>
          <t>地区代码</t>
        </is>
      </c>
      <c r="D11640" s="21" t="n">
        <v>370523</v>
      </c>
      <c r="E11640" s="21" t="inlineStr">
        <is>
          <t>山东省东营市广饶县</t>
        </is>
      </c>
    </row>
    <row r="11641">
      <c r="B11641" s="41" t="inlineStr">
        <is>
          <t>AreaCode</t>
        </is>
      </c>
      <c r="C11641" s="129" t="inlineStr">
        <is>
          <t>地区代码</t>
        </is>
      </c>
      <c r="D11641" s="21" t="n">
        <v>370600</v>
      </c>
      <c r="E11641" s="21" t="inlineStr">
        <is>
          <t>山东省烟台市</t>
        </is>
      </c>
    </row>
    <row r="11642">
      <c r="B11642" s="41" t="inlineStr">
        <is>
          <t>AreaCode</t>
        </is>
      </c>
      <c r="C11642" s="129" t="inlineStr">
        <is>
          <t>地区代码</t>
        </is>
      </c>
      <c r="D11642" s="21" t="n">
        <v>370601</v>
      </c>
      <c r="E11642" s="21" t="inlineStr">
        <is>
          <t>山东省烟台市市辖区</t>
        </is>
      </c>
    </row>
    <row r="11643">
      <c r="B11643" s="41" t="inlineStr">
        <is>
          <t>AreaCode</t>
        </is>
      </c>
      <c r="C11643" s="129" t="inlineStr">
        <is>
          <t>地区代码</t>
        </is>
      </c>
      <c r="D11643" s="21" t="n">
        <v>370602</v>
      </c>
      <c r="E11643" s="21" t="inlineStr">
        <is>
          <t>山东省烟台市芝罘区</t>
        </is>
      </c>
    </row>
    <row r="11644">
      <c r="B11644" s="41" t="inlineStr">
        <is>
          <t>AreaCode</t>
        </is>
      </c>
      <c r="C11644" s="129" t="inlineStr">
        <is>
          <t>地区代码</t>
        </is>
      </c>
      <c r="D11644" s="21" t="n">
        <v>370611</v>
      </c>
      <c r="E11644" s="21" t="inlineStr">
        <is>
          <t>山东省烟台市福山区</t>
        </is>
      </c>
    </row>
    <row r="11645">
      <c r="B11645" s="41" t="inlineStr">
        <is>
          <t>AreaCode</t>
        </is>
      </c>
      <c r="C11645" s="129" t="inlineStr">
        <is>
          <t>地区代码</t>
        </is>
      </c>
      <c r="D11645" s="21" t="n">
        <v>370612</v>
      </c>
      <c r="E11645" s="21" t="inlineStr">
        <is>
          <t>山东省烟台市牟平区</t>
        </is>
      </c>
    </row>
    <row r="11646">
      <c r="B11646" s="41" t="inlineStr">
        <is>
          <t>AreaCode</t>
        </is>
      </c>
      <c r="C11646" s="129" t="inlineStr">
        <is>
          <t>地区代码</t>
        </is>
      </c>
      <c r="D11646" s="21" t="n">
        <v>370613</v>
      </c>
      <c r="E11646" s="21" t="inlineStr">
        <is>
          <t>山东省烟台市莱山区</t>
        </is>
      </c>
    </row>
    <row r="11647">
      <c r="B11647" s="41" t="inlineStr">
        <is>
          <t>AreaCode</t>
        </is>
      </c>
      <c r="C11647" s="129" t="inlineStr">
        <is>
          <t>地区代码</t>
        </is>
      </c>
      <c r="D11647" s="21" t="n">
        <v>370634</v>
      </c>
      <c r="E11647" s="21" t="inlineStr">
        <is>
          <t>山东省烟台市长岛县</t>
        </is>
      </c>
    </row>
    <row r="11648">
      <c r="B11648" s="41" t="inlineStr">
        <is>
          <t>AreaCode</t>
        </is>
      </c>
      <c r="C11648" s="129" t="inlineStr">
        <is>
          <t>地区代码</t>
        </is>
      </c>
      <c r="D11648" s="21" t="n">
        <v>370681</v>
      </c>
      <c r="E11648" s="21" t="inlineStr">
        <is>
          <t>山东省烟台市龙口市</t>
        </is>
      </c>
    </row>
    <row r="11649">
      <c r="B11649" s="41" t="inlineStr">
        <is>
          <t>AreaCode</t>
        </is>
      </c>
      <c r="C11649" s="129" t="inlineStr">
        <is>
          <t>地区代码</t>
        </is>
      </c>
      <c r="D11649" s="21" t="n">
        <v>370682</v>
      </c>
      <c r="E11649" s="21" t="inlineStr">
        <is>
          <t>山东省烟台市莱阳市</t>
        </is>
      </c>
    </row>
    <row r="11650">
      <c r="B11650" s="41" t="inlineStr">
        <is>
          <t>AreaCode</t>
        </is>
      </c>
      <c r="C11650" s="129" t="inlineStr">
        <is>
          <t>地区代码</t>
        </is>
      </c>
      <c r="D11650" s="21" t="n">
        <v>370683</v>
      </c>
      <c r="E11650" s="21" t="inlineStr">
        <is>
          <t>山东省烟台市莱州市</t>
        </is>
      </c>
    </row>
    <row r="11651">
      <c r="B11651" s="41" t="inlineStr">
        <is>
          <t>AreaCode</t>
        </is>
      </c>
      <c r="C11651" s="129" t="inlineStr">
        <is>
          <t>地区代码</t>
        </is>
      </c>
      <c r="D11651" s="21" t="n">
        <v>370684</v>
      </c>
      <c r="E11651" s="21" t="inlineStr">
        <is>
          <t>山东省烟台市蓬莱市</t>
        </is>
      </c>
    </row>
    <row r="11652">
      <c r="B11652" s="41" t="inlineStr">
        <is>
          <t>AreaCode</t>
        </is>
      </c>
      <c r="C11652" s="129" t="inlineStr">
        <is>
          <t>地区代码</t>
        </is>
      </c>
      <c r="D11652" s="21" t="n">
        <v>370685</v>
      </c>
      <c r="E11652" s="21" t="inlineStr">
        <is>
          <t>山东省烟台市招远市</t>
        </is>
      </c>
    </row>
    <row r="11653">
      <c r="B11653" s="41" t="inlineStr">
        <is>
          <t>AreaCode</t>
        </is>
      </c>
      <c r="C11653" s="129" t="inlineStr">
        <is>
          <t>地区代码</t>
        </is>
      </c>
      <c r="D11653" s="21" t="n">
        <v>370686</v>
      </c>
      <c r="E11653" s="21" t="inlineStr">
        <is>
          <t>山东省烟台市栖霞市</t>
        </is>
      </c>
    </row>
    <row r="11654">
      <c r="B11654" s="41" t="inlineStr">
        <is>
          <t>AreaCode</t>
        </is>
      </c>
      <c r="C11654" s="129" t="inlineStr">
        <is>
          <t>地区代码</t>
        </is>
      </c>
      <c r="D11654" s="21" t="n">
        <v>370687</v>
      </c>
      <c r="E11654" s="21" t="inlineStr">
        <is>
          <t>山东省烟台市海阳市</t>
        </is>
      </c>
    </row>
    <row r="11655">
      <c r="B11655" s="41" t="inlineStr">
        <is>
          <t>AreaCode</t>
        </is>
      </c>
      <c r="C11655" s="129" t="inlineStr">
        <is>
          <t>地区代码</t>
        </is>
      </c>
      <c r="D11655" s="21" t="n">
        <v>370700</v>
      </c>
      <c r="E11655" s="21" t="inlineStr">
        <is>
          <t>山东省潍坊市</t>
        </is>
      </c>
    </row>
    <row r="11656">
      <c r="B11656" s="41" t="inlineStr">
        <is>
          <t>AreaCode</t>
        </is>
      </c>
      <c r="C11656" s="129" t="inlineStr">
        <is>
          <t>地区代码</t>
        </is>
      </c>
      <c r="D11656" s="21" t="n">
        <v>370701</v>
      </c>
      <c r="E11656" s="21" t="inlineStr">
        <is>
          <t>山东省潍坊市市辖区</t>
        </is>
      </c>
    </row>
    <row r="11657">
      <c r="B11657" s="41" t="inlineStr">
        <is>
          <t>AreaCode</t>
        </is>
      </c>
      <c r="C11657" s="129" t="inlineStr">
        <is>
          <t>地区代码</t>
        </is>
      </c>
      <c r="D11657" s="21" t="n">
        <v>370702</v>
      </c>
      <c r="E11657" s="21" t="inlineStr">
        <is>
          <t>山东省潍坊市潍城区</t>
        </is>
      </c>
    </row>
    <row r="11658">
      <c r="B11658" s="41" t="inlineStr">
        <is>
          <t>AreaCode</t>
        </is>
      </c>
      <c r="C11658" s="129" t="inlineStr">
        <is>
          <t>地区代码</t>
        </is>
      </c>
      <c r="D11658" s="21" t="n">
        <v>370703</v>
      </c>
      <c r="E11658" s="21" t="inlineStr">
        <is>
          <t>山东省潍坊市寒亭区</t>
        </is>
      </c>
    </row>
    <row r="11659">
      <c r="B11659" s="41" t="inlineStr">
        <is>
          <t>AreaCode</t>
        </is>
      </c>
      <c r="C11659" s="129" t="inlineStr">
        <is>
          <t>地区代码</t>
        </is>
      </c>
      <c r="D11659" s="21" t="n">
        <v>370704</v>
      </c>
      <c r="E11659" s="21" t="inlineStr">
        <is>
          <t>山东省潍坊市坊子区</t>
        </is>
      </c>
    </row>
    <row r="11660">
      <c r="B11660" s="41" t="inlineStr">
        <is>
          <t>AreaCode</t>
        </is>
      </c>
      <c r="C11660" s="129" t="inlineStr">
        <is>
          <t>地区代码</t>
        </is>
      </c>
      <c r="D11660" s="21" t="n">
        <v>370705</v>
      </c>
      <c r="E11660" s="21" t="inlineStr">
        <is>
          <t>山东省潍坊市奎文区</t>
        </is>
      </c>
    </row>
    <row r="11661">
      <c r="B11661" s="41" t="inlineStr">
        <is>
          <t>AreaCode</t>
        </is>
      </c>
      <c r="C11661" s="129" t="inlineStr">
        <is>
          <t>地区代码</t>
        </is>
      </c>
      <c r="D11661" s="21" t="n">
        <v>370724</v>
      </c>
      <c r="E11661" s="21" t="inlineStr">
        <is>
          <t>山东省潍坊市临朐县</t>
        </is>
      </c>
    </row>
    <row r="11662">
      <c r="B11662" s="41" t="inlineStr">
        <is>
          <t>AreaCode</t>
        </is>
      </c>
      <c r="C11662" s="129" t="inlineStr">
        <is>
          <t>地区代码</t>
        </is>
      </c>
      <c r="D11662" s="21" t="n">
        <v>370725</v>
      </c>
      <c r="E11662" s="21" t="inlineStr">
        <is>
          <t>山东省潍坊市昌乐县</t>
        </is>
      </c>
    </row>
    <row r="11663">
      <c r="B11663" s="41" t="inlineStr">
        <is>
          <t>AreaCode</t>
        </is>
      </c>
      <c r="C11663" s="129" t="inlineStr">
        <is>
          <t>地区代码</t>
        </is>
      </c>
      <c r="D11663" s="21" t="n">
        <v>370781</v>
      </c>
      <c r="E11663" s="21" t="inlineStr">
        <is>
          <t>山东省潍坊市青州市</t>
        </is>
      </c>
    </row>
    <row r="11664">
      <c r="B11664" s="41" t="inlineStr">
        <is>
          <t>AreaCode</t>
        </is>
      </c>
      <c r="C11664" s="129" t="inlineStr">
        <is>
          <t>地区代码</t>
        </is>
      </c>
      <c r="D11664" s="21" t="n">
        <v>370782</v>
      </c>
      <c r="E11664" s="21" t="inlineStr">
        <is>
          <t>山东省潍坊市诸城市</t>
        </is>
      </c>
    </row>
    <row r="11665">
      <c r="B11665" s="41" t="inlineStr">
        <is>
          <t>AreaCode</t>
        </is>
      </c>
      <c r="C11665" s="129" t="inlineStr">
        <is>
          <t>地区代码</t>
        </is>
      </c>
      <c r="D11665" s="21" t="n">
        <v>370783</v>
      </c>
      <c r="E11665" s="21" t="inlineStr">
        <is>
          <t>山东省潍坊市寿光市</t>
        </is>
      </c>
    </row>
    <row r="11666">
      <c r="B11666" s="41" t="inlineStr">
        <is>
          <t>AreaCode</t>
        </is>
      </c>
      <c r="C11666" s="129" t="inlineStr">
        <is>
          <t>地区代码</t>
        </is>
      </c>
      <c r="D11666" s="21" t="n">
        <v>370784</v>
      </c>
      <c r="E11666" s="21" t="inlineStr">
        <is>
          <t>山东省潍坊市安丘市</t>
        </is>
      </c>
    </row>
    <row r="11667">
      <c r="B11667" s="41" t="inlineStr">
        <is>
          <t>AreaCode</t>
        </is>
      </c>
      <c r="C11667" s="129" t="inlineStr">
        <is>
          <t>地区代码</t>
        </is>
      </c>
      <c r="D11667" s="21" t="n">
        <v>370785</v>
      </c>
      <c r="E11667" s="21" t="inlineStr">
        <is>
          <t>山东省潍坊市高密市</t>
        </is>
      </c>
    </row>
    <row r="11668">
      <c r="B11668" s="41" t="inlineStr">
        <is>
          <t>AreaCode</t>
        </is>
      </c>
      <c r="C11668" s="129" t="inlineStr">
        <is>
          <t>地区代码</t>
        </is>
      </c>
      <c r="D11668" s="21" t="n">
        <v>370786</v>
      </c>
      <c r="E11668" s="21" t="inlineStr">
        <is>
          <t>山东省潍坊市昌邑市</t>
        </is>
      </c>
    </row>
    <row r="11669">
      <c r="B11669" s="41" t="inlineStr">
        <is>
          <t>AreaCode</t>
        </is>
      </c>
      <c r="C11669" s="129" t="inlineStr">
        <is>
          <t>地区代码</t>
        </is>
      </c>
      <c r="D11669" s="21" t="n">
        <v>370800</v>
      </c>
      <c r="E11669" s="21" t="inlineStr">
        <is>
          <t>山东省济宁市</t>
        </is>
      </c>
    </row>
    <row r="11670">
      <c r="B11670" s="41" t="inlineStr">
        <is>
          <t>AreaCode</t>
        </is>
      </c>
      <c r="C11670" s="129" t="inlineStr">
        <is>
          <t>地区代码</t>
        </is>
      </c>
      <c r="D11670" s="21" t="n">
        <v>370801</v>
      </c>
      <c r="E11670" s="21" t="inlineStr">
        <is>
          <t>山东省济宁市市辖区</t>
        </is>
      </c>
    </row>
    <row r="11671">
      <c r="B11671" s="41" t="inlineStr">
        <is>
          <t>AreaCode</t>
        </is>
      </c>
      <c r="C11671" s="129" t="inlineStr">
        <is>
          <t>地区代码</t>
        </is>
      </c>
      <c r="D11671" s="21" t="n">
        <v>370811</v>
      </c>
      <c r="E11671" s="21" t="inlineStr">
        <is>
          <t>山东省济宁市任城区</t>
        </is>
      </c>
    </row>
    <row r="11672">
      <c r="B11672" s="41" t="inlineStr">
        <is>
          <t>AreaCode</t>
        </is>
      </c>
      <c r="C11672" s="129" t="inlineStr">
        <is>
          <t>地区代码</t>
        </is>
      </c>
      <c r="D11672" s="21" t="n">
        <v>370812</v>
      </c>
      <c r="E11672" s="21" t="inlineStr">
        <is>
          <t>山东省济宁市兖州区</t>
        </is>
      </c>
    </row>
    <row r="11673">
      <c r="B11673" s="41" t="inlineStr">
        <is>
          <t>AreaCode</t>
        </is>
      </c>
      <c r="C11673" s="129" t="inlineStr">
        <is>
          <t>地区代码</t>
        </is>
      </c>
      <c r="D11673" s="21" t="n">
        <v>370826</v>
      </c>
      <c r="E11673" s="21" t="inlineStr">
        <is>
          <t>山东省济宁市微山县</t>
        </is>
      </c>
    </row>
    <row r="11674">
      <c r="B11674" s="41" t="inlineStr">
        <is>
          <t>AreaCode</t>
        </is>
      </c>
      <c r="C11674" s="129" t="inlineStr">
        <is>
          <t>地区代码</t>
        </is>
      </c>
      <c r="D11674" s="21" t="n">
        <v>370827</v>
      </c>
      <c r="E11674" s="21" t="inlineStr">
        <is>
          <t>山东省济宁市鱼台县</t>
        </is>
      </c>
    </row>
    <row r="11675">
      <c r="B11675" s="41" t="inlineStr">
        <is>
          <t>AreaCode</t>
        </is>
      </c>
      <c r="C11675" s="129" t="inlineStr">
        <is>
          <t>地区代码</t>
        </is>
      </c>
      <c r="D11675" s="21" t="n">
        <v>370828</v>
      </c>
      <c r="E11675" s="21" t="inlineStr">
        <is>
          <t>山东省济宁市金乡县</t>
        </is>
      </c>
    </row>
    <row r="11676">
      <c r="B11676" s="41" t="inlineStr">
        <is>
          <t>AreaCode</t>
        </is>
      </c>
      <c r="C11676" s="129" t="inlineStr">
        <is>
          <t>地区代码</t>
        </is>
      </c>
      <c r="D11676" s="21" t="n">
        <v>370829</v>
      </c>
      <c r="E11676" s="21" t="inlineStr">
        <is>
          <t>山东省济宁市嘉祥县</t>
        </is>
      </c>
    </row>
    <row r="11677">
      <c r="B11677" s="41" t="inlineStr">
        <is>
          <t>AreaCode</t>
        </is>
      </c>
      <c r="C11677" s="129" t="inlineStr">
        <is>
          <t>地区代码</t>
        </is>
      </c>
      <c r="D11677" s="21" t="n">
        <v>370830</v>
      </c>
      <c r="E11677" s="21" t="inlineStr">
        <is>
          <t>山东省济宁市汶上县</t>
        </is>
      </c>
    </row>
    <row r="11678">
      <c r="B11678" s="41" t="inlineStr">
        <is>
          <t>AreaCode</t>
        </is>
      </c>
      <c r="C11678" s="129" t="inlineStr">
        <is>
          <t>地区代码</t>
        </is>
      </c>
      <c r="D11678" s="21" t="n">
        <v>370831</v>
      </c>
      <c r="E11678" s="21" t="inlineStr">
        <is>
          <t>山东省济宁市泗水县</t>
        </is>
      </c>
    </row>
    <row r="11679">
      <c r="B11679" s="41" t="inlineStr">
        <is>
          <t>AreaCode</t>
        </is>
      </c>
      <c r="C11679" s="129" t="inlineStr">
        <is>
          <t>地区代码</t>
        </is>
      </c>
      <c r="D11679" s="21" t="n">
        <v>370832</v>
      </c>
      <c r="E11679" s="21" t="inlineStr">
        <is>
          <t>山东省济宁市梁山县</t>
        </is>
      </c>
    </row>
    <row r="11680">
      <c r="B11680" s="41" t="inlineStr">
        <is>
          <t>AreaCode</t>
        </is>
      </c>
      <c r="C11680" s="129" t="inlineStr">
        <is>
          <t>地区代码</t>
        </is>
      </c>
      <c r="D11680" s="21" t="n">
        <v>370881</v>
      </c>
      <c r="E11680" s="21" t="inlineStr">
        <is>
          <t>山东省济宁市曲阜市</t>
        </is>
      </c>
    </row>
    <row r="11681">
      <c r="B11681" s="41" t="inlineStr">
        <is>
          <t>AreaCode</t>
        </is>
      </c>
      <c r="C11681" s="129" t="inlineStr">
        <is>
          <t>地区代码</t>
        </is>
      </c>
      <c r="D11681" s="21" t="n">
        <v>370883</v>
      </c>
      <c r="E11681" s="21" t="inlineStr">
        <is>
          <t>山东省济宁市邹城市</t>
        </is>
      </c>
    </row>
    <row r="11682">
      <c r="B11682" s="41" t="inlineStr">
        <is>
          <t>AreaCode</t>
        </is>
      </c>
      <c r="C11682" s="129" t="inlineStr">
        <is>
          <t>地区代码</t>
        </is>
      </c>
      <c r="D11682" s="21" t="n">
        <v>370900</v>
      </c>
      <c r="E11682" s="21" t="inlineStr">
        <is>
          <t>山东省泰安市</t>
        </is>
      </c>
    </row>
    <row r="11683">
      <c r="B11683" s="41" t="inlineStr">
        <is>
          <t>AreaCode</t>
        </is>
      </c>
      <c r="C11683" s="129" t="inlineStr">
        <is>
          <t>地区代码</t>
        </is>
      </c>
      <c r="D11683" s="21" t="n">
        <v>370901</v>
      </c>
      <c r="E11683" s="21" t="inlineStr">
        <is>
          <t>山东省泰安市市辖区</t>
        </is>
      </c>
    </row>
    <row r="11684">
      <c r="B11684" s="41" t="inlineStr">
        <is>
          <t>AreaCode</t>
        </is>
      </c>
      <c r="C11684" s="129" t="inlineStr">
        <is>
          <t>地区代码</t>
        </is>
      </c>
      <c r="D11684" s="21" t="n">
        <v>370902</v>
      </c>
      <c r="E11684" s="21" t="inlineStr">
        <is>
          <t>山东省泰安市泰山区</t>
        </is>
      </c>
    </row>
    <row r="11685">
      <c r="B11685" s="41" t="inlineStr">
        <is>
          <t>AreaCode</t>
        </is>
      </c>
      <c r="C11685" s="129" t="inlineStr">
        <is>
          <t>地区代码</t>
        </is>
      </c>
      <c r="D11685" s="21" t="n">
        <v>370903</v>
      </c>
      <c r="E11685" s="21" t="inlineStr">
        <is>
          <t>山东省泰安市岱岳区</t>
        </is>
      </c>
    </row>
    <row r="11686">
      <c r="B11686" s="41" t="inlineStr">
        <is>
          <t>AreaCode</t>
        </is>
      </c>
      <c r="C11686" s="129" t="inlineStr">
        <is>
          <t>地区代码</t>
        </is>
      </c>
      <c r="D11686" s="21" t="n">
        <v>370921</v>
      </c>
      <c r="E11686" s="21" t="inlineStr">
        <is>
          <t>山东省泰安市宁阳县</t>
        </is>
      </c>
    </row>
    <row r="11687">
      <c r="B11687" s="41" t="inlineStr">
        <is>
          <t>AreaCode</t>
        </is>
      </c>
      <c r="C11687" s="129" t="inlineStr">
        <is>
          <t>地区代码</t>
        </is>
      </c>
      <c r="D11687" s="21" t="n">
        <v>370923</v>
      </c>
      <c r="E11687" s="21" t="inlineStr">
        <is>
          <t>山东省泰安市东平县</t>
        </is>
      </c>
    </row>
    <row r="11688">
      <c r="B11688" s="41" t="inlineStr">
        <is>
          <t>AreaCode</t>
        </is>
      </c>
      <c r="C11688" s="129" t="inlineStr">
        <is>
          <t>地区代码</t>
        </is>
      </c>
      <c r="D11688" s="21" t="n">
        <v>370982</v>
      </c>
      <c r="E11688" s="21" t="inlineStr">
        <is>
          <t>山东省泰安市新泰市</t>
        </is>
      </c>
    </row>
    <row r="11689">
      <c r="B11689" s="41" t="inlineStr">
        <is>
          <t>AreaCode</t>
        </is>
      </c>
      <c r="C11689" s="129" t="inlineStr">
        <is>
          <t>地区代码</t>
        </is>
      </c>
      <c r="D11689" s="21" t="n">
        <v>370983</v>
      </c>
      <c r="E11689" s="21" t="inlineStr">
        <is>
          <t>山东省泰安市肥城市</t>
        </is>
      </c>
    </row>
    <row r="11690">
      <c r="B11690" s="41" t="inlineStr">
        <is>
          <t>AreaCode</t>
        </is>
      </c>
      <c r="C11690" s="129" t="inlineStr">
        <is>
          <t>地区代码</t>
        </is>
      </c>
      <c r="D11690" s="21" t="n">
        <v>371000</v>
      </c>
      <c r="E11690" s="21" t="inlineStr">
        <is>
          <t>山东省威海市</t>
        </is>
      </c>
    </row>
    <row r="11691">
      <c r="B11691" s="41" t="inlineStr">
        <is>
          <t>AreaCode</t>
        </is>
      </c>
      <c r="C11691" s="129" t="inlineStr">
        <is>
          <t>地区代码</t>
        </is>
      </c>
      <c r="D11691" s="21" t="n">
        <v>371001</v>
      </c>
      <c r="E11691" s="21" t="inlineStr">
        <is>
          <t>山东省威海市市辖区</t>
        </is>
      </c>
    </row>
    <row r="11692">
      <c r="B11692" s="41" t="inlineStr">
        <is>
          <t>AreaCode</t>
        </is>
      </c>
      <c r="C11692" s="129" t="inlineStr">
        <is>
          <t>地区代码</t>
        </is>
      </c>
      <c r="D11692" s="21" t="n">
        <v>371002</v>
      </c>
      <c r="E11692" s="21" t="inlineStr">
        <is>
          <t>山东省威海市环翠区</t>
        </is>
      </c>
    </row>
    <row r="11693">
      <c r="B11693" s="41" t="inlineStr">
        <is>
          <t>AreaCode</t>
        </is>
      </c>
      <c r="C11693" s="129" t="inlineStr">
        <is>
          <t>地区代码</t>
        </is>
      </c>
      <c r="D11693" s="21" t="n">
        <v>371003</v>
      </c>
      <c r="E11693" s="21" t="inlineStr">
        <is>
          <t>山东省威海市文登区</t>
        </is>
      </c>
    </row>
    <row r="11694">
      <c r="B11694" s="41" t="inlineStr">
        <is>
          <t>AreaCode</t>
        </is>
      </c>
      <c r="C11694" s="129" t="inlineStr">
        <is>
          <t>地区代码</t>
        </is>
      </c>
      <c r="D11694" s="21" t="n">
        <v>371082</v>
      </c>
      <c r="E11694" s="21" t="inlineStr">
        <is>
          <t>山东省威海市荣成市</t>
        </is>
      </c>
    </row>
    <row r="11695">
      <c r="B11695" s="41" t="inlineStr">
        <is>
          <t>AreaCode</t>
        </is>
      </c>
      <c r="C11695" s="129" t="inlineStr">
        <is>
          <t>地区代码</t>
        </is>
      </c>
      <c r="D11695" s="21" t="n">
        <v>371083</v>
      </c>
      <c r="E11695" s="21" t="inlineStr">
        <is>
          <t>山东省威海市乳山市</t>
        </is>
      </c>
    </row>
    <row r="11696">
      <c r="B11696" s="41" t="inlineStr">
        <is>
          <t>AreaCode</t>
        </is>
      </c>
      <c r="C11696" s="129" t="inlineStr">
        <is>
          <t>地区代码</t>
        </is>
      </c>
      <c r="D11696" s="21" t="n">
        <v>371100</v>
      </c>
      <c r="E11696" s="21" t="inlineStr">
        <is>
          <t>山东省日照市</t>
        </is>
      </c>
    </row>
    <row r="11697">
      <c r="B11697" s="41" t="inlineStr">
        <is>
          <t>AreaCode</t>
        </is>
      </c>
      <c r="C11697" s="129" t="inlineStr">
        <is>
          <t>地区代码</t>
        </is>
      </c>
      <c r="D11697" s="21" t="n">
        <v>371101</v>
      </c>
      <c r="E11697" s="21" t="inlineStr">
        <is>
          <t>山东省日照市市辖区</t>
        </is>
      </c>
    </row>
    <row r="11698">
      <c r="B11698" s="41" t="inlineStr">
        <is>
          <t>AreaCode</t>
        </is>
      </c>
      <c r="C11698" s="129" t="inlineStr">
        <is>
          <t>地区代码</t>
        </is>
      </c>
      <c r="D11698" s="21" t="n">
        <v>371102</v>
      </c>
      <c r="E11698" s="21" t="inlineStr">
        <is>
          <t>山东省日照市东港区</t>
        </is>
      </c>
    </row>
    <row r="11699">
      <c r="B11699" s="41" t="inlineStr">
        <is>
          <t>AreaCode</t>
        </is>
      </c>
      <c r="C11699" s="129" t="inlineStr">
        <is>
          <t>地区代码</t>
        </is>
      </c>
      <c r="D11699" s="21" t="n">
        <v>371103</v>
      </c>
      <c r="E11699" s="21" t="inlineStr">
        <is>
          <t>山东省日照市岚山区</t>
        </is>
      </c>
    </row>
    <row r="11700">
      <c r="B11700" s="41" t="inlineStr">
        <is>
          <t>AreaCode</t>
        </is>
      </c>
      <c r="C11700" s="129" t="inlineStr">
        <is>
          <t>地区代码</t>
        </is>
      </c>
      <c r="D11700" s="21" t="n">
        <v>371121</v>
      </c>
      <c r="E11700" s="21" t="inlineStr">
        <is>
          <t>山东省日照市五莲县</t>
        </is>
      </c>
    </row>
    <row r="11701">
      <c r="B11701" s="41" t="inlineStr">
        <is>
          <t>AreaCode</t>
        </is>
      </c>
      <c r="C11701" s="129" t="inlineStr">
        <is>
          <t>地区代码</t>
        </is>
      </c>
      <c r="D11701" s="21" t="n">
        <v>371122</v>
      </c>
      <c r="E11701" s="21" t="inlineStr">
        <is>
          <t>山东省日照市莒县</t>
        </is>
      </c>
    </row>
    <row r="11702">
      <c r="B11702" s="41" t="inlineStr">
        <is>
          <t>AreaCode</t>
        </is>
      </c>
      <c r="C11702" s="129" t="inlineStr">
        <is>
          <t>地区代码</t>
        </is>
      </c>
      <c r="D11702" s="21" t="n">
        <v>371200</v>
      </c>
      <c r="E11702" s="21" t="inlineStr">
        <is>
          <t>山东省莱芜市</t>
        </is>
      </c>
    </row>
    <row r="11703">
      <c r="B11703" s="41" t="inlineStr">
        <is>
          <t>AreaCode</t>
        </is>
      </c>
      <c r="C11703" s="129" t="inlineStr">
        <is>
          <t>地区代码</t>
        </is>
      </c>
      <c r="D11703" s="21" t="n">
        <v>371201</v>
      </c>
      <c r="E11703" s="21" t="inlineStr">
        <is>
          <t>山东省莱芜市市辖区</t>
        </is>
      </c>
    </row>
    <row r="11704">
      <c r="B11704" s="41" t="inlineStr">
        <is>
          <t>AreaCode</t>
        </is>
      </c>
      <c r="C11704" s="129" t="inlineStr">
        <is>
          <t>地区代码</t>
        </is>
      </c>
      <c r="D11704" s="21" t="n">
        <v>371202</v>
      </c>
      <c r="E11704" s="21" t="inlineStr">
        <is>
          <t>山东省莱芜市莱城区</t>
        </is>
      </c>
    </row>
    <row r="11705">
      <c r="B11705" s="41" t="inlineStr">
        <is>
          <t>AreaCode</t>
        </is>
      </c>
      <c r="C11705" s="129" t="inlineStr">
        <is>
          <t>地区代码</t>
        </is>
      </c>
      <c r="D11705" s="21" t="n">
        <v>371203</v>
      </c>
      <c r="E11705" s="21" t="inlineStr">
        <is>
          <t>山东省莱芜市钢城区</t>
        </is>
      </c>
    </row>
    <row r="11706">
      <c r="B11706" s="41" t="inlineStr">
        <is>
          <t>AreaCode</t>
        </is>
      </c>
      <c r="C11706" s="129" t="inlineStr">
        <is>
          <t>地区代码</t>
        </is>
      </c>
      <c r="D11706" s="21" t="n">
        <v>371300</v>
      </c>
      <c r="E11706" s="21" t="inlineStr">
        <is>
          <t>山东省临沂市</t>
        </is>
      </c>
    </row>
    <row r="11707">
      <c r="B11707" s="41" t="inlineStr">
        <is>
          <t>AreaCode</t>
        </is>
      </c>
      <c r="C11707" s="129" t="inlineStr">
        <is>
          <t>地区代码</t>
        </is>
      </c>
      <c r="D11707" s="21" t="n">
        <v>371301</v>
      </c>
      <c r="E11707" s="21" t="inlineStr">
        <is>
          <t>山东省临沂市市辖区</t>
        </is>
      </c>
    </row>
    <row r="11708">
      <c r="B11708" s="41" t="inlineStr">
        <is>
          <t>AreaCode</t>
        </is>
      </c>
      <c r="C11708" s="129" t="inlineStr">
        <is>
          <t>地区代码</t>
        </is>
      </c>
      <c r="D11708" s="21" t="n">
        <v>371302</v>
      </c>
      <c r="E11708" s="21" t="inlineStr">
        <is>
          <t>山东省临沂市兰山区</t>
        </is>
      </c>
    </row>
    <row r="11709">
      <c r="B11709" s="41" t="inlineStr">
        <is>
          <t>AreaCode</t>
        </is>
      </c>
      <c r="C11709" s="129" t="inlineStr">
        <is>
          <t>地区代码</t>
        </is>
      </c>
      <c r="D11709" s="21" t="n">
        <v>371311</v>
      </c>
      <c r="E11709" s="21" t="inlineStr">
        <is>
          <t>山东省临沂市罗庄区</t>
        </is>
      </c>
    </row>
    <row r="11710">
      <c r="B11710" s="41" t="inlineStr">
        <is>
          <t>AreaCode</t>
        </is>
      </c>
      <c r="C11710" s="129" t="inlineStr">
        <is>
          <t>地区代码</t>
        </is>
      </c>
      <c r="D11710" s="21" t="n">
        <v>371312</v>
      </c>
      <c r="E11710" s="21" t="inlineStr">
        <is>
          <t>山东省临沂市河东区</t>
        </is>
      </c>
    </row>
    <row r="11711">
      <c r="B11711" s="41" t="inlineStr">
        <is>
          <t>AreaCode</t>
        </is>
      </c>
      <c r="C11711" s="129" t="inlineStr">
        <is>
          <t>地区代码</t>
        </is>
      </c>
      <c r="D11711" s="21" t="n">
        <v>371321</v>
      </c>
      <c r="E11711" s="21" t="inlineStr">
        <is>
          <t>山东省临沂市沂南县</t>
        </is>
      </c>
    </row>
    <row r="11712">
      <c r="B11712" s="41" t="inlineStr">
        <is>
          <t>AreaCode</t>
        </is>
      </c>
      <c r="C11712" s="129" t="inlineStr">
        <is>
          <t>地区代码</t>
        </is>
      </c>
      <c r="D11712" s="21" t="n">
        <v>371322</v>
      </c>
      <c r="E11712" s="21" t="inlineStr">
        <is>
          <t>山东省临沂市郯城县</t>
        </is>
      </c>
    </row>
    <row r="11713">
      <c r="B11713" s="41" t="inlineStr">
        <is>
          <t>AreaCode</t>
        </is>
      </c>
      <c r="C11713" s="129" t="inlineStr">
        <is>
          <t>地区代码</t>
        </is>
      </c>
      <c r="D11713" s="21" t="n">
        <v>371323</v>
      </c>
      <c r="E11713" s="21" t="inlineStr">
        <is>
          <t>山东省临沂市沂水县</t>
        </is>
      </c>
    </row>
    <row r="11714">
      <c r="B11714" s="41" t="inlineStr">
        <is>
          <t>AreaCode</t>
        </is>
      </c>
      <c r="C11714" s="129" t="inlineStr">
        <is>
          <t>地区代码</t>
        </is>
      </c>
      <c r="D11714" s="21" t="n">
        <v>371324</v>
      </c>
      <c r="E11714" s="21" t="inlineStr">
        <is>
          <t>山东省临沂市兰陵县</t>
        </is>
      </c>
    </row>
    <row r="11715">
      <c r="B11715" s="41" t="inlineStr">
        <is>
          <t>AreaCode</t>
        </is>
      </c>
      <c r="C11715" s="129" t="inlineStr">
        <is>
          <t>地区代码</t>
        </is>
      </c>
      <c r="D11715" s="21" t="n">
        <v>371325</v>
      </c>
      <c r="E11715" s="21" t="inlineStr">
        <is>
          <t>山东省临沂市费县</t>
        </is>
      </c>
    </row>
    <row r="11716">
      <c r="B11716" s="41" t="inlineStr">
        <is>
          <t>AreaCode</t>
        </is>
      </c>
      <c r="C11716" s="129" t="inlineStr">
        <is>
          <t>地区代码</t>
        </is>
      </c>
      <c r="D11716" s="21" t="n">
        <v>371326</v>
      </c>
      <c r="E11716" s="21" t="inlineStr">
        <is>
          <t>山东省临沂市平邑县</t>
        </is>
      </c>
    </row>
    <row r="11717">
      <c r="B11717" s="41" t="inlineStr">
        <is>
          <t>AreaCode</t>
        </is>
      </c>
      <c r="C11717" s="129" t="inlineStr">
        <is>
          <t>地区代码</t>
        </is>
      </c>
      <c r="D11717" s="21" t="n">
        <v>371327</v>
      </c>
      <c r="E11717" s="21" t="inlineStr">
        <is>
          <t>山东省临沂市莒南县</t>
        </is>
      </c>
    </row>
    <row r="11718">
      <c r="B11718" s="41" t="inlineStr">
        <is>
          <t>AreaCode</t>
        </is>
      </c>
      <c r="C11718" s="129" t="inlineStr">
        <is>
          <t>地区代码</t>
        </is>
      </c>
      <c r="D11718" s="21" t="n">
        <v>371328</v>
      </c>
      <c r="E11718" s="21" t="inlineStr">
        <is>
          <t>山东省临沂市蒙阴县</t>
        </is>
      </c>
    </row>
    <row r="11719">
      <c r="B11719" s="41" t="inlineStr">
        <is>
          <t>AreaCode</t>
        </is>
      </c>
      <c r="C11719" s="129" t="inlineStr">
        <is>
          <t>地区代码</t>
        </is>
      </c>
      <c r="D11719" s="21" t="n">
        <v>371329</v>
      </c>
      <c r="E11719" s="21" t="inlineStr">
        <is>
          <t>山东省临沂市临沭县</t>
        </is>
      </c>
    </row>
    <row r="11720">
      <c r="B11720" s="41" t="inlineStr">
        <is>
          <t>AreaCode</t>
        </is>
      </c>
      <c r="C11720" s="129" t="inlineStr">
        <is>
          <t>地区代码</t>
        </is>
      </c>
      <c r="D11720" s="21" t="n">
        <v>371400</v>
      </c>
      <c r="E11720" s="21" t="inlineStr">
        <is>
          <t>山东省德州市</t>
        </is>
      </c>
    </row>
    <row r="11721">
      <c r="B11721" s="41" t="inlineStr">
        <is>
          <t>AreaCode</t>
        </is>
      </c>
      <c r="C11721" s="129" t="inlineStr">
        <is>
          <t>地区代码</t>
        </is>
      </c>
      <c r="D11721" s="21" t="n">
        <v>371401</v>
      </c>
      <c r="E11721" s="21" t="inlineStr">
        <is>
          <t>山东省德州市市辖区</t>
        </is>
      </c>
    </row>
    <row r="11722">
      <c r="B11722" s="41" t="inlineStr">
        <is>
          <t>AreaCode</t>
        </is>
      </c>
      <c r="C11722" s="129" t="inlineStr">
        <is>
          <t>地区代码</t>
        </is>
      </c>
      <c r="D11722" s="21" t="n">
        <v>371402</v>
      </c>
      <c r="E11722" s="21" t="inlineStr">
        <is>
          <t>山东省德州市德城区</t>
        </is>
      </c>
    </row>
    <row r="11723">
      <c r="B11723" s="41" t="inlineStr">
        <is>
          <t>AreaCode</t>
        </is>
      </c>
      <c r="C11723" s="129" t="inlineStr">
        <is>
          <t>地区代码</t>
        </is>
      </c>
      <c r="D11723" s="21" t="n">
        <v>371403</v>
      </c>
      <c r="E11723" s="21" t="inlineStr">
        <is>
          <t>山东省德州市陵城区</t>
        </is>
      </c>
    </row>
    <row r="11724">
      <c r="B11724" s="41" t="inlineStr">
        <is>
          <t>AreaCode</t>
        </is>
      </c>
      <c r="C11724" s="129" t="inlineStr">
        <is>
          <t>地区代码</t>
        </is>
      </c>
      <c r="D11724" s="21" t="n">
        <v>371422</v>
      </c>
      <c r="E11724" s="21" t="inlineStr">
        <is>
          <t>山东省德州市宁津县</t>
        </is>
      </c>
    </row>
    <row r="11725">
      <c r="B11725" s="41" t="inlineStr">
        <is>
          <t>AreaCode</t>
        </is>
      </c>
      <c r="C11725" s="129" t="inlineStr">
        <is>
          <t>地区代码</t>
        </is>
      </c>
      <c r="D11725" s="21" t="n">
        <v>371423</v>
      </c>
      <c r="E11725" s="21" t="inlineStr">
        <is>
          <t>山东省德州市庆云县</t>
        </is>
      </c>
    </row>
    <row r="11726">
      <c r="B11726" s="41" t="inlineStr">
        <is>
          <t>AreaCode</t>
        </is>
      </c>
      <c r="C11726" s="129" t="inlineStr">
        <is>
          <t>地区代码</t>
        </is>
      </c>
      <c r="D11726" s="21" t="n">
        <v>371424</v>
      </c>
      <c r="E11726" s="21" t="inlineStr">
        <is>
          <t>山东省德州市临邑县</t>
        </is>
      </c>
    </row>
    <row r="11727">
      <c r="B11727" s="41" t="inlineStr">
        <is>
          <t>AreaCode</t>
        </is>
      </c>
      <c r="C11727" s="129" t="inlineStr">
        <is>
          <t>地区代码</t>
        </is>
      </c>
      <c r="D11727" s="21" t="n">
        <v>371425</v>
      </c>
      <c r="E11727" s="21" t="inlineStr">
        <is>
          <t>山东省德州市齐河县</t>
        </is>
      </c>
    </row>
    <row r="11728">
      <c r="B11728" s="41" t="inlineStr">
        <is>
          <t>AreaCode</t>
        </is>
      </c>
      <c r="C11728" s="129" t="inlineStr">
        <is>
          <t>地区代码</t>
        </is>
      </c>
      <c r="D11728" s="21" t="n">
        <v>371426</v>
      </c>
      <c r="E11728" s="21" t="inlineStr">
        <is>
          <t>山东省德州市平原县</t>
        </is>
      </c>
    </row>
    <row r="11729">
      <c r="B11729" s="41" t="inlineStr">
        <is>
          <t>AreaCode</t>
        </is>
      </c>
      <c r="C11729" s="129" t="inlineStr">
        <is>
          <t>地区代码</t>
        </is>
      </c>
      <c r="D11729" s="21" t="n">
        <v>371427</v>
      </c>
      <c r="E11729" s="21" t="inlineStr">
        <is>
          <t>山东省德州市夏津县</t>
        </is>
      </c>
    </row>
    <row r="11730">
      <c r="B11730" s="41" t="inlineStr">
        <is>
          <t>AreaCode</t>
        </is>
      </c>
      <c r="C11730" s="129" t="inlineStr">
        <is>
          <t>地区代码</t>
        </is>
      </c>
      <c r="D11730" s="21" t="n">
        <v>371428</v>
      </c>
      <c r="E11730" s="21" t="inlineStr">
        <is>
          <t>山东省德州市武城县</t>
        </is>
      </c>
    </row>
    <row r="11731">
      <c r="B11731" s="41" t="inlineStr">
        <is>
          <t>AreaCode</t>
        </is>
      </c>
      <c r="C11731" s="129" t="inlineStr">
        <is>
          <t>地区代码</t>
        </is>
      </c>
      <c r="D11731" s="21" t="n">
        <v>371481</v>
      </c>
      <c r="E11731" s="21" t="inlineStr">
        <is>
          <t>山东省德州市乐陵市</t>
        </is>
      </c>
    </row>
    <row r="11732">
      <c r="B11732" s="41" t="inlineStr">
        <is>
          <t>AreaCode</t>
        </is>
      </c>
      <c r="C11732" s="129" t="inlineStr">
        <is>
          <t>地区代码</t>
        </is>
      </c>
      <c r="D11732" s="21" t="n">
        <v>371482</v>
      </c>
      <c r="E11732" s="21" t="inlineStr">
        <is>
          <t>山东省德州市禹城市</t>
        </is>
      </c>
    </row>
    <row r="11733">
      <c r="B11733" s="41" t="inlineStr">
        <is>
          <t>AreaCode</t>
        </is>
      </c>
      <c r="C11733" s="129" t="inlineStr">
        <is>
          <t>地区代码</t>
        </is>
      </c>
      <c r="D11733" s="21" t="n">
        <v>371500</v>
      </c>
      <c r="E11733" s="21" t="inlineStr">
        <is>
          <t>山东省聊城市</t>
        </is>
      </c>
    </row>
    <row r="11734">
      <c r="B11734" s="41" t="inlineStr">
        <is>
          <t>AreaCode</t>
        </is>
      </c>
      <c r="C11734" s="129" t="inlineStr">
        <is>
          <t>地区代码</t>
        </is>
      </c>
      <c r="D11734" s="21" t="n">
        <v>371501</v>
      </c>
      <c r="E11734" s="21" t="inlineStr">
        <is>
          <t>山东省聊城市市辖区</t>
        </is>
      </c>
    </row>
    <row r="11735">
      <c r="B11735" s="41" t="inlineStr">
        <is>
          <t>AreaCode</t>
        </is>
      </c>
      <c r="C11735" s="129" t="inlineStr">
        <is>
          <t>地区代码</t>
        </is>
      </c>
      <c r="D11735" s="21" t="n">
        <v>371502</v>
      </c>
      <c r="E11735" s="21" t="inlineStr">
        <is>
          <t>山东省聊城市东昌府区</t>
        </is>
      </c>
    </row>
    <row r="11736">
      <c r="B11736" s="41" t="inlineStr">
        <is>
          <t>AreaCode</t>
        </is>
      </c>
      <c r="C11736" s="129" t="inlineStr">
        <is>
          <t>地区代码</t>
        </is>
      </c>
      <c r="D11736" s="21" t="n">
        <v>371521</v>
      </c>
      <c r="E11736" s="21" t="inlineStr">
        <is>
          <t>山东省聊城市阳谷县</t>
        </is>
      </c>
    </row>
    <row r="11737">
      <c r="B11737" s="41" t="inlineStr">
        <is>
          <t>AreaCode</t>
        </is>
      </c>
      <c r="C11737" s="129" t="inlineStr">
        <is>
          <t>地区代码</t>
        </is>
      </c>
      <c r="D11737" s="21" t="n">
        <v>371522</v>
      </c>
      <c r="E11737" s="21" t="inlineStr">
        <is>
          <t>山东省聊城市莘县</t>
        </is>
      </c>
    </row>
    <row r="11738">
      <c r="B11738" s="41" t="inlineStr">
        <is>
          <t>AreaCode</t>
        </is>
      </c>
      <c r="C11738" s="129" t="inlineStr">
        <is>
          <t>地区代码</t>
        </is>
      </c>
      <c r="D11738" s="21" t="n">
        <v>371523</v>
      </c>
      <c r="E11738" s="21" t="inlineStr">
        <is>
          <t>山东省聊城市茌平县</t>
        </is>
      </c>
    </row>
    <row r="11739">
      <c r="B11739" s="41" t="inlineStr">
        <is>
          <t>AreaCode</t>
        </is>
      </c>
      <c r="C11739" s="129" t="inlineStr">
        <is>
          <t>地区代码</t>
        </is>
      </c>
      <c r="D11739" s="21" t="n">
        <v>371524</v>
      </c>
      <c r="E11739" s="21" t="inlineStr">
        <is>
          <t>山东省聊城市东阿县</t>
        </is>
      </c>
    </row>
    <row r="11740">
      <c r="B11740" s="41" t="inlineStr">
        <is>
          <t>AreaCode</t>
        </is>
      </c>
      <c r="C11740" s="129" t="inlineStr">
        <is>
          <t>地区代码</t>
        </is>
      </c>
      <c r="D11740" s="21" t="n">
        <v>371525</v>
      </c>
      <c r="E11740" s="21" t="inlineStr">
        <is>
          <t>山东省聊城市冠县</t>
        </is>
      </c>
    </row>
    <row r="11741">
      <c r="B11741" s="41" t="inlineStr">
        <is>
          <t>AreaCode</t>
        </is>
      </c>
      <c r="C11741" s="129" t="inlineStr">
        <is>
          <t>地区代码</t>
        </is>
      </c>
      <c r="D11741" s="21" t="n">
        <v>371526</v>
      </c>
      <c r="E11741" s="21" t="inlineStr">
        <is>
          <t>山东省聊城市高唐县</t>
        </is>
      </c>
    </row>
    <row r="11742">
      <c r="B11742" s="41" t="inlineStr">
        <is>
          <t>AreaCode</t>
        </is>
      </c>
      <c r="C11742" s="129" t="inlineStr">
        <is>
          <t>地区代码</t>
        </is>
      </c>
      <c r="D11742" s="21" t="n">
        <v>371581</v>
      </c>
      <c r="E11742" s="21" t="inlineStr">
        <is>
          <t>山东省聊城市临清市</t>
        </is>
      </c>
    </row>
    <row r="11743">
      <c r="B11743" s="41" t="inlineStr">
        <is>
          <t>AreaCode</t>
        </is>
      </c>
      <c r="C11743" s="129" t="inlineStr">
        <is>
          <t>地区代码</t>
        </is>
      </c>
      <c r="D11743" s="21" t="n">
        <v>371600</v>
      </c>
      <c r="E11743" s="21" t="inlineStr">
        <is>
          <t>山东省滨州市</t>
        </is>
      </c>
    </row>
    <row r="11744">
      <c r="B11744" s="41" t="inlineStr">
        <is>
          <t>AreaCode</t>
        </is>
      </c>
      <c r="C11744" s="129" t="inlineStr">
        <is>
          <t>地区代码</t>
        </is>
      </c>
      <c r="D11744" s="21" t="n">
        <v>371601</v>
      </c>
      <c r="E11744" s="21" t="inlineStr">
        <is>
          <t>山东省滨州市市辖区</t>
        </is>
      </c>
    </row>
    <row r="11745">
      <c r="B11745" s="41" t="inlineStr">
        <is>
          <t>AreaCode</t>
        </is>
      </c>
      <c r="C11745" s="129" t="inlineStr">
        <is>
          <t>地区代码</t>
        </is>
      </c>
      <c r="D11745" s="21" t="n">
        <v>371602</v>
      </c>
      <c r="E11745" s="21" t="inlineStr">
        <is>
          <t>山东省滨州市滨城区</t>
        </is>
      </c>
    </row>
    <row r="11746">
      <c r="B11746" s="41" t="inlineStr">
        <is>
          <t>AreaCode</t>
        </is>
      </c>
      <c r="C11746" s="129" t="inlineStr">
        <is>
          <t>地区代码</t>
        </is>
      </c>
      <c r="D11746" s="21" t="n">
        <v>371603</v>
      </c>
      <c r="E11746" s="21" t="inlineStr">
        <is>
          <t>山东省滨州市沾化区</t>
        </is>
      </c>
    </row>
    <row r="11747">
      <c r="B11747" s="41" t="inlineStr">
        <is>
          <t>AreaCode</t>
        </is>
      </c>
      <c r="C11747" s="129" t="inlineStr">
        <is>
          <t>地区代码</t>
        </is>
      </c>
      <c r="D11747" s="21" t="n">
        <v>371621</v>
      </c>
      <c r="E11747" s="21" t="inlineStr">
        <is>
          <t>山东省滨州市惠民县</t>
        </is>
      </c>
    </row>
    <row r="11748">
      <c r="B11748" s="41" t="inlineStr">
        <is>
          <t>AreaCode</t>
        </is>
      </c>
      <c r="C11748" s="129" t="inlineStr">
        <is>
          <t>地区代码</t>
        </is>
      </c>
      <c r="D11748" s="21" t="n">
        <v>371622</v>
      </c>
      <c r="E11748" s="21" t="inlineStr">
        <is>
          <t>山东省滨州市阳信县</t>
        </is>
      </c>
    </row>
    <row r="11749">
      <c r="B11749" s="41" t="inlineStr">
        <is>
          <t>AreaCode</t>
        </is>
      </c>
      <c r="C11749" s="129" t="inlineStr">
        <is>
          <t>地区代码</t>
        </is>
      </c>
      <c r="D11749" s="21" t="n">
        <v>371623</v>
      </c>
      <c r="E11749" s="21" t="inlineStr">
        <is>
          <t>山东省滨州市无棣县</t>
        </is>
      </c>
    </row>
    <row r="11750">
      <c r="B11750" s="41" t="inlineStr">
        <is>
          <t>AreaCode</t>
        </is>
      </c>
      <c r="C11750" s="129" t="inlineStr">
        <is>
          <t>地区代码</t>
        </is>
      </c>
      <c r="D11750" s="21" t="n">
        <v>371625</v>
      </c>
      <c r="E11750" s="21" t="inlineStr">
        <is>
          <t>山东省滨州市博兴县</t>
        </is>
      </c>
    </row>
    <row r="11751">
      <c r="B11751" s="41" t="inlineStr">
        <is>
          <t>AreaCode</t>
        </is>
      </c>
      <c r="C11751" s="129" t="inlineStr">
        <is>
          <t>地区代码</t>
        </is>
      </c>
      <c r="D11751" s="21" t="n">
        <v>371626</v>
      </c>
      <c r="E11751" s="21" t="inlineStr">
        <is>
          <t>山东省滨州市邹平县</t>
        </is>
      </c>
    </row>
    <row r="11752">
      <c r="B11752" s="41" t="inlineStr">
        <is>
          <t>AreaCode</t>
        </is>
      </c>
      <c r="C11752" s="129" t="inlineStr">
        <is>
          <t>地区代码</t>
        </is>
      </c>
      <c r="D11752" s="21" t="n">
        <v>371700</v>
      </c>
      <c r="E11752" s="21" t="inlineStr">
        <is>
          <t>山东省荷泽市</t>
        </is>
      </c>
    </row>
    <row r="11753">
      <c r="B11753" s="41" t="inlineStr">
        <is>
          <t>AreaCode</t>
        </is>
      </c>
      <c r="C11753" s="129" t="inlineStr">
        <is>
          <t>地区代码</t>
        </is>
      </c>
      <c r="D11753" s="21" t="n">
        <v>371701</v>
      </c>
      <c r="E11753" s="21" t="inlineStr">
        <is>
          <t>山东省荷泽市市辖区</t>
        </is>
      </c>
    </row>
    <row r="11754">
      <c r="B11754" s="41" t="inlineStr">
        <is>
          <t>AreaCode</t>
        </is>
      </c>
      <c r="C11754" s="129" t="inlineStr">
        <is>
          <t>地区代码</t>
        </is>
      </c>
      <c r="D11754" s="21" t="n">
        <v>371702</v>
      </c>
      <c r="E11754" s="21" t="inlineStr">
        <is>
          <t>山东省荷泽市牡丹区</t>
        </is>
      </c>
    </row>
    <row r="11755">
      <c r="B11755" s="41" t="inlineStr">
        <is>
          <t>AreaCode</t>
        </is>
      </c>
      <c r="C11755" s="129" t="inlineStr">
        <is>
          <t>地区代码</t>
        </is>
      </c>
      <c r="D11755" s="21" t="n">
        <v>371721</v>
      </c>
      <c r="E11755" s="21" t="inlineStr">
        <is>
          <t>山东省荷泽市曹县</t>
        </is>
      </c>
    </row>
    <row r="11756">
      <c r="B11756" s="41" t="inlineStr">
        <is>
          <t>AreaCode</t>
        </is>
      </c>
      <c r="C11756" s="129" t="inlineStr">
        <is>
          <t>地区代码</t>
        </is>
      </c>
      <c r="D11756" s="21" t="n">
        <v>371722</v>
      </c>
      <c r="E11756" s="21" t="inlineStr">
        <is>
          <t>山东省荷泽市单县</t>
        </is>
      </c>
    </row>
    <row r="11757">
      <c r="B11757" s="41" t="inlineStr">
        <is>
          <t>AreaCode</t>
        </is>
      </c>
      <c r="C11757" s="129" t="inlineStr">
        <is>
          <t>地区代码</t>
        </is>
      </c>
      <c r="D11757" s="21" t="n">
        <v>371723</v>
      </c>
      <c r="E11757" s="21" t="inlineStr">
        <is>
          <t>山东省荷泽市成武县</t>
        </is>
      </c>
    </row>
    <row r="11758">
      <c r="B11758" s="41" t="inlineStr">
        <is>
          <t>AreaCode</t>
        </is>
      </c>
      <c r="C11758" s="129" t="inlineStr">
        <is>
          <t>地区代码</t>
        </is>
      </c>
      <c r="D11758" s="21" t="n">
        <v>371724</v>
      </c>
      <c r="E11758" s="21" t="inlineStr">
        <is>
          <t>山东省荷泽市巨野县</t>
        </is>
      </c>
    </row>
    <row r="11759">
      <c r="B11759" s="41" t="inlineStr">
        <is>
          <t>AreaCode</t>
        </is>
      </c>
      <c r="C11759" s="129" t="inlineStr">
        <is>
          <t>地区代码</t>
        </is>
      </c>
      <c r="D11759" s="21" t="n">
        <v>371725</v>
      </c>
      <c r="E11759" s="21" t="inlineStr">
        <is>
          <t>山东省荷泽市郓城县</t>
        </is>
      </c>
    </row>
    <row r="11760">
      <c r="B11760" s="41" t="inlineStr">
        <is>
          <t>AreaCode</t>
        </is>
      </c>
      <c r="C11760" s="129" t="inlineStr">
        <is>
          <t>地区代码</t>
        </is>
      </c>
      <c r="D11760" s="21" t="n">
        <v>371726</v>
      </c>
      <c r="E11760" s="21" t="inlineStr">
        <is>
          <t>山东省荷泽市鄄城县</t>
        </is>
      </c>
    </row>
    <row r="11761">
      <c r="B11761" s="41" t="inlineStr">
        <is>
          <t>AreaCode</t>
        </is>
      </c>
      <c r="C11761" s="129" t="inlineStr">
        <is>
          <t>地区代码</t>
        </is>
      </c>
      <c r="D11761" s="21" t="n">
        <v>371727</v>
      </c>
      <c r="E11761" s="21" t="inlineStr">
        <is>
          <t>山东省荷泽市定陶县</t>
        </is>
      </c>
    </row>
    <row r="11762">
      <c r="B11762" s="41" t="inlineStr">
        <is>
          <t>AreaCode</t>
        </is>
      </c>
      <c r="C11762" s="129" t="inlineStr">
        <is>
          <t>地区代码</t>
        </is>
      </c>
      <c r="D11762" s="21" t="n">
        <v>371728</v>
      </c>
      <c r="E11762" s="21" t="inlineStr">
        <is>
          <t>山东省荷泽市东明县</t>
        </is>
      </c>
    </row>
    <row r="11763">
      <c r="B11763" s="41" t="inlineStr">
        <is>
          <t>AreaCode</t>
        </is>
      </c>
      <c r="C11763" s="129" t="inlineStr">
        <is>
          <t>地区代码</t>
        </is>
      </c>
      <c r="D11763" s="21" t="n">
        <v>410000</v>
      </c>
      <c r="E11763" s="21" t="inlineStr">
        <is>
          <t>河南省</t>
        </is>
      </c>
    </row>
    <row r="11764">
      <c r="B11764" s="41" t="inlineStr">
        <is>
          <t>AreaCode</t>
        </is>
      </c>
      <c r="C11764" s="129" t="inlineStr">
        <is>
          <t>地区代码</t>
        </is>
      </c>
      <c r="D11764" s="21" t="n">
        <v>410100</v>
      </c>
      <c r="E11764" s="21" t="inlineStr">
        <is>
          <t>河南省郑州市</t>
        </is>
      </c>
    </row>
    <row r="11765">
      <c r="B11765" s="41" t="inlineStr">
        <is>
          <t>AreaCode</t>
        </is>
      </c>
      <c r="C11765" s="129" t="inlineStr">
        <is>
          <t>地区代码</t>
        </is>
      </c>
      <c r="D11765" s="21" t="n">
        <v>410101</v>
      </c>
      <c r="E11765" s="21" t="inlineStr">
        <is>
          <t>河南省郑州市市辖区</t>
        </is>
      </c>
    </row>
    <row r="11766">
      <c r="B11766" s="41" t="inlineStr">
        <is>
          <t>AreaCode</t>
        </is>
      </c>
      <c r="C11766" s="129" t="inlineStr">
        <is>
          <t>地区代码</t>
        </is>
      </c>
      <c r="D11766" s="21" t="n">
        <v>410102</v>
      </c>
      <c r="E11766" s="21" t="inlineStr">
        <is>
          <t>河南省郑州市中原区</t>
        </is>
      </c>
    </row>
    <row r="11767">
      <c r="B11767" s="41" t="inlineStr">
        <is>
          <t>AreaCode</t>
        </is>
      </c>
      <c r="C11767" s="129" t="inlineStr">
        <is>
          <t>地区代码</t>
        </is>
      </c>
      <c r="D11767" s="21" t="n">
        <v>410103</v>
      </c>
      <c r="E11767" s="21" t="inlineStr">
        <is>
          <t>河南省郑州市二七区</t>
        </is>
      </c>
    </row>
    <row r="11768">
      <c r="B11768" s="41" t="inlineStr">
        <is>
          <t>AreaCode</t>
        </is>
      </c>
      <c r="C11768" s="129" t="inlineStr">
        <is>
          <t>地区代码</t>
        </is>
      </c>
      <c r="D11768" s="21" t="n">
        <v>410104</v>
      </c>
      <c r="E11768" s="21" t="inlineStr">
        <is>
          <t>河南省郑州市管城回族区</t>
        </is>
      </c>
    </row>
    <row r="11769">
      <c r="B11769" s="41" t="inlineStr">
        <is>
          <t>AreaCode</t>
        </is>
      </c>
      <c r="C11769" s="129" t="inlineStr">
        <is>
          <t>地区代码</t>
        </is>
      </c>
      <c r="D11769" s="21" t="n">
        <v>410105</v>
      </c>
      <c r="E11769" s="21" t="inlineStr">
        <is>
          <t>河南省郑州市金水区</t>
        </is>
      </c>
    </row>
    <row r="11770">
      <c r="B11770" s="41" t="inlineStr">
        <is>
          <t>AreaCode</t>
        </is>
      </c>
      <c r="C11770" s="129" t="inlineStr">
        <is>
          <t>地区代码</t>
        </is>
      </c>
      <c r="D11770" s="21" t="n">
        <v>410106</v>
      </c>
      <c r="E11770" s="21" t="inlineStr">
        <is>
          <t>河南省郑州市上街区</t>
        </is>
      </c>
    </row>
    <row r="11771">
      <c r="B11771" s="41" t="inlineStr">
        <is>
          <t>AreaCode</t>
        </is>
      </c>
      <c r="C11771" s="129" t="inlineStr">
        <is>
          <t>地区代码</t>
        </is>
      </c>
      <c r="D11771" s="21" t="n">
        <v>410108</v>
      </c>
      <c r="E11771" s="21" t="inlineStr">
        <is>
          <t>河南省郑州市惠济区</t>
        </is>
      </c>
    </row>
    <row r="11772">
      <c r="B11772" s="41" t="inlineStr">
        <is>
          <t>AreaCode</t>
        </is>
      </c>
      <c r="C11772" s="129" t="inlineStr">
        <is>
          <t>地区代码</t>
        </is>
      </c>
      <c r="D11772" s="21" t="n">
        <v>410122</v>
      </c>
      <c r="E11772" s="21" t="inlineStr">
        <is>
          <t>河南省郑州市中牟县</t>
        </is>
      </c>
    </row>
    <row r="11773">
      <c r="B11773" s="41" t="inlineStr">
        <is>
          <t>AreaCode</t>
        </is>
      </c>
      <c r="C11773" s="129" t="inlineStr">
        <is>
          <t>地区代码</t>
        </is>
      </c>
      <c r="D11773" s="21" t="n">
        <v>410181</v>
      </c>
      <c r="E11773" s="21" t="inlineStr">
        <is>
          <t>河南省郑州市巩义市</t>
        </is>
      </c>
    </row>
    <row r="11774">
      <c r="B11774" s="41" t="inlineStr">
        <is>
          <t>AreaCode</t>
        </is>
      </c>
      <c r="C11774" s="129" t="inlineStr">
        <is>
          <t>地区代码</t>
        </is>
      </c>
      <c r="D11774" s="21" t="n">
        <v>410182</v>
      </c>
      <c r="E11774" s="21" t="inlineStr">
        <is>
          <t>河南省郑州市荥阳市</t>
        </is>
      </c>
    </row>
    <row r="11775">
      <c r="B11775" s="41" t="inlineStr">
        <is>
          <t>AreaCode</t>
        </is>
      </c>
      <c r="C11775" s="129" t="inlineStr">
        <is>
          <t>地区代码</t>
        </is>
      </c>
      <c r="D11775" s="21" t="n">
        <v>410183</v>
      </c>
      <c r="E11775" s="21" t="inlineStr">
        <is>
          <t>河南省郑州市新密市</t>
        </is>
      </c>
    </row>
    <row r="11776">
      <c r="B11776" s="41" t="inlineStr">
        <is>
          <t>AreaCode</t>
        </is>
      </c>
      <c r="C11776" s="129" t="inlineStr">
        <is>
          <t>地区代码</t>
        </is>
      </c>
      <c r="D11776" s="21" t="n">
        <v>410184</v>
      </c>
      <c r="E11776" s="21" t="inlineStr">
        <is>
          <t>河南省郑州市新郑市</t>
        </is>
      </c>
    </row>
    <row r="11777">
      <c r="B11777" s="41" t="inlineStr">
        <is>
          <t>AreaCode</t>
        </is>
      </c>
      <c r="C11777" s="129" t="inlineStr">
        <is>
          <t>地区代码</t>
        </is>
      </c>
      <c r="D11777" s="21" t="n">
        <v>410185</v>
      </c>
      <c r="E11777" s="21" t="inlineStr">
        <is>
          <t>河南省郑州市登封市</t>
        </is>
      </c>
    </row>
    <row r="11778">
      <c r="B11778" s="41" t="inlineStr">
        <is>
          <t>AreaCode</t>
        </is>
      </c>
      <c r="C11778" s="129" t="inlineStr">
        <is>
          <t>地区代码</t>
        </is>
      </c>
      <c r="D11778" s="21" t="n">
        <v>410200</v>
      </c>
      <c r="E11778" s="21" t="inlineStr">
        <is>
          <t>河南省开封市</t>
        </is>
      </c>
    </row>
    <row r="11779">
      <c r="B11779" s="41" t="inlineStr">
        <is>
          <t>AreaCode</t>
        </is>
      </c>
      <c r="C11779" s="129" t="inlineStr">
        <is>
          <t>地区代码</t>
        </is>
      </c>
      <c r="D11779" s="21" t="n">
        <v>410201</v>
      </c>
      <c r="E11779" s="21" t="inlineStr">
        <is>
          <t>河南省开封市市辖区</t>
        </is>
      </c>
    </row>
    <row r="11780">
      <c r="B11780" s="41" t="inlineStr">
        <is>
          <t>AreaCode</t>
        </is>
      </c>
      <c r="C11780" s="129" t="inlineStr">
        <is>
          <t>地区代码</t>
        </is>
      </c>
      <c r="D11780" s="21" t="n">
        <v>410202</v>
      </c>
      <c r="E11780" s="21" t="inlineStr">
        <is>
          <t>河南省开封市龙亭区</t>
        </is>
      </c>
    </row>
    <row r="11781">
      <c r="B11781" s="41" t="inlineStr">
        <is>
          <t>AreaCode</t>
        </is>
      </c>
      <c r="C11781" s="129" t="inlineStr">
        <is>
          <t>地区代码</t>
        </is>
      </c>
      <c r="D11781" s="21" t="n">
        <v>410203</v>
      </c>
      <c r="E11781" s="21" t="inlineStr">
        <is>
          <t>河南省开封市顺河回族区</t>
        </is>
      </c>
    </row>
    <row r="11782">
      <c r="B11782" s="41" t="inlineStr">
        <is>
          <t>AreaCode</t>
        </is>
      </c>
      <c r="C11782" s="129" t="inlineStr">
        <is>
          <t>地区代码</t>
        </is>
      </c>
      <c r="D11782" s="21" t="n">
        <v>410204</v>
      </c>
      <c r="E11782" s="21" t="inlineStr">
        <is>
          <t>河南省开封市鼓楼区</t>
        </is>
      </c>
    </row>
    <row r="11783">
      <c r="B11783" s="41" t="inlineStr">
        <is>
          <t>AreaCode</t>
        </is>
      </c>
      <c r="C11783" s="129" t="inlineStr">
        <is>
          <t>地区代码</t>
        </is>
      </c>
      <c r="D11783" s="21" t="n">
        <v>410205</v>
      </c>
      <c r="E11783" s="21" t="inlineStr">
        <is>
          <t>河南省开封市禹王台区</t>
        </is>
      </c>
    </row>
    <row r="11784">
      <c r="B11784" s="41" t="inlineStr">
        <is>
          <t>AreaCode</t>
        </is>
      </c>
      <c r="C11784" s="129" t="inlineStr">
        <is>
          <t>地区代码</t>
        </is>
      </c>
      <c r="D11784" s="21" t="n">
        <v>410211</v>
      </c>
      <c r="E11784" s="21" t="inlineStr">
        <is>
          <t>河南省开封市金明区</t>
        </is>
      </c>
    </row>
    <row r="11785">
      <c r="B11785" s="41" t="inlineStr">
        <is>
          <t>AreaCode</t>
        </is>
      </c>
      <c r="C11785" s="129" t="inlineStr">
        <is>
          <t>地区代码</t>
        </is>
      </c>
      <c r="D11785" s="21" t="n">
        <v>410221</v>
      </c>
      <c r="E11785" s="21" t="inlineStr">
        <is>
          <t>河南省开封市杞县</t>
        </is>
      </c>
    </row>
    <row r="11786">
      <c r="B11786" s="41" t="inlineStr">
        <is>
          <t>AreaCode</t>
        </is>
      </c>
      <c r="C11786" s="129" t="inlineStr">
        <is>
          <t>地区代码</t>
        </is>
      </c>
      <c r="D11786" s="21" t="n">
        <v>410222</v>
      </c>
      <c r="E11786" s="21" t="inlineStr">
        <is>
          <t>河南省开封市通许县</t>
        </is>
      </c>
    </row>
    <row r="11787">
      <c r="B11787" s="41" t="inlineStr">
        <is>
          <t>AreaCode</t>
        </is>
      </c>
      <c r="C11787" s="129" t="inlineStr">
        <is>
          <t>地区代码</t>
        </is>
      </c>
      <c r="D11787" s="21" t="n">
        <v>410223</v>
      </c>
      <c r="E11787" s="21" t="inlineStr">
        <is>
          <t>河南省开封市尉氏县</t>
        </is>
      </c>
    </row>
    <row r="11788">
      <c r="B11788" s="41" t="inlineStr">
        <is>
          <t>AreaCode</t>
        </is>
      </c>
      <c r="C11788" s="129" t="inlineStr">
        <is>
          <t>地区代码</t>
        </is>
      </c>
      <c r="D11788" s="21" t="n">
        <v>410224</v>
      </c>
      <c r="E11788" s="21" t="inlineStr">
        <is>
          <t>河南省开封市开封县</t>
        </is>
      </c>
    </row>
    <row r="11789">
      <c r="B11789" s="41" t="inlineStr">
        <is>
          <t>AreaCode</t>
        </is>
      </c>
      <c r="C11789" s="129" t="inlineStr">
        <is>
          <t>地区代码</t>
        </is>
      </c>
      <c r="D11789" s="21" t="n">
        <v>410225</v>
      </c>
      <c r="E11789" s="21" t="inlineStr">
        <is>
          <t>河南省开封市兰考县</t>
        </is>
      </c>
    </row>
    <row r="11790">
      <c r="B11790" s="41" t="inlineStr">
        <is>
          <t>AreaCode</t>
        </is>
      </c>
      <c r="C11790" s="129" t="inlineStr">
        <is>
          <t>地区代码</t>
        </is>
      </c>
      <c r="D11790" s="21" t="n">
        <v>410300</v>
      </c>
      <c r="E11790" s="21" t="inlineStr">
        <is>
          <t>河南省洛阳市</t>
        </is>
      </c>
    </row>
    <row r="11791">
      <c r="B11791" s="41" t="inlineStr">
        <is>
          <t>AreaCode</t>
        </is>
      </c>
      <c r="C11791" s="129" t="inlineStr">
        <is>
          <t>地区代码</t>
        </is>
      </c>
      <c r="D11791" s="21" t="n">
        <v>410301</v>
      </c>
      <c r="E11791" s="21" t="inlineStr">
        <is>
          <t>河南省洛阳市市辖区</t>
        </is>
      </c>
    </row>
    <row r="11792">
      <c r="B11792" s="41" t="inlineStr">
        <is>
          <t>AreaCode</t>
        </is>
      </c>
      <c r="C11792" s="129" t="inlineStr">
        <is>
          <t>地区代码</t>
        </is>
      </c>
      <c r="D11792" s="21" t="n">
        <v>410302</v>
      </c>
      <c r="E11792" s="21" t="inlineStr">
        <is>
          <t>河南省洛阳市老城区</t>
        </is>
      </c>
    </row>
    <row r="11793">
      <c r="B11793" s="41" t="inlineStr">
        <is>
          <t>AreaCode</t>
        </is>
      </c>
      <c r="C11793" s="129" t="inlineStr">
        <is>
          <t>地区代码</t>
        </is>
      </c>
      <c r="D11793" s="21" t="n">
        <v>410303</v>
      </c>
      <c r="E11793" s="21" t="inlineStr">
        <is>
          <t>河南省洛阳市西工区</t>
        </is>
      </c>
    </row>
    <row r="11794">
      <c r="B11794" s="41" t="inlineStr">
        <is>
          <t>AreaCode</t>
        </is>
      </c>
      <c r="C11794" s="129" t="inlineStr">
        <is>
          <t>地区代码</t>
        </is>
      </c>
      <c r="D11794" s="21" t="n">
        <v>410304</v>
      </c>
      <c r="E11794" s="21" t="inlineStr">
        <is>
          <t>河南省洛阳市廛河回族区</t>
        </is>
      </c>
    </row>
    <row r="11795">
      <c r="B11795" s="41" t="inlineStr">
        <is>
          <t>AreaCode</t>
        </is>
      </c>
      <c r="C11795" s="129" t="inlineStr">
        <is>
          <t>地区代码</t>
        </is>
      </c>
      <c r="D11795" s="21" t="n">
        <v>410305</v>
      </c>
      <c r="E11795" s="21" t="inlineStr">
        <is>
          <t>河南省洛阳市涧西区</t>
        </is>
      </c>
    </row>
    <row r="11796">
      <c r="B11796" s="41" t="inlineStr">
        <is>
          <t>AreaCode</t>
        </is>
      </c>
      <c r="C11796" s="129" t="inlineStr">
        <is>
          <t>地区代码</t>
        </is>
      </c>
      <c r="D11796" s="21" t="n">
        <v>410306</v>
      </c>
      <c r="E11796" s="21" t="inlineStr">
        <is>
          <t>河南省洛阳市吉利区</t>
        </is>
      </c>
    </row>
    <row r="11797">
      <c r="B11797" s="41" t="inlineStr">
        <is>
          <t>AreaCode</t>
        </is>
      </c>
      <c r="C11797" s="129" t="inlineStr">
        <is>
          <t>地区代码</t>
        </is>
      </c>
      <c r="D11797" s="21" t="n">
        <v>410311</v>
      </c>
      <c r="E11797" s="21" t="inlineStr">
        <is>
          <t>河南省洛阳市洛龙区</t>
        </is>
      </c>
    </row>
    <row r="11798">
      <c r="B11798" s="41" t="inlineStr">
        <is>
          <t>AreaCode</t>
        </is>
      </c>
      <c r="C11798" s="129" t="inlineStr">
        <is>
          <t>地区代码</t>
        </is>
      </c>
      <c r="D11798" s="21" t="n">
        <v>410322</v>
      </c>
      <c r="E11798" s="21" t="inlineStr">
        <is>
          <t>河南省洛阳市孟津县</t>
        </is>
      </c>
    </row>
    <row r="11799">
      <c r="B11799" s="41" t="inlineStr">
        <is>
          <t>AreaCode</t>
        </is>
      </c>
      <c r="C11799" s="129" t="inlineStr">
        <is>
          <t>地区代码</t>
        </is>
      </c>
      <c r="D11799" s="21" t="n">
        <v>410323</v>
      </c>
      <c r="E11799" s="21" t="inlineStr">
        <is>
          <t>河南省洛阳市新安县</t>
        </is>
      </c>
    </row>
    <row r="11800">
      <c r="B11800" s="41" t="inlineStr">
        <is>
          <t>AreaCode</t>
        </is>
      </c>
      <c r="C11800" s="129" t="inlineStr">
        <is>
          <t>地区代码</t>
        </is>
      </c>
      <c r="D11800" s="21" t="n">
        <v>410324</v>
      </c>
      <c r="E11800" s="21" t="inlineStr">
        <is>
          <t>河南省洛阳市栾川县</t>
        </is>
      </c>
    </row>
    <row r="11801">
      <c r="B11801" s="41" t="inlineStr">
        <is>
          <t>AreaCode</t>
        </is>
      </c>
      <c r="C11801" s="129" t="inlineStr">
        <is>
          <t>地区代码</t>
        </is>
      </c>
      <c r="D11801" s="21" t="n">
        <v>410325</v>
      </c>
      <c r="E11801" s="21" t="inlineStr">
        <is>
          <t>河南省洛阳市嵩县</t>
        </is>
      </c>
    </row>
    <row r="11802">
      <c r="B11802" s="41" t="inlineStr">
        <is>
          <t>AreaCode</t>
        </is>
      </c>
      <c r="C11802" s="129" t="inlineStr">
        <is>
          <t>地区代码</t>
        </is>
      </c>
      <c r="D11802" s="21" t="n">
        <v>410326</v>
      </c>
      <c r="E11802" s="21" t="inlineStr">
        <is>
          <t>河南省洛阳市汝阳县</t>
        </is>
      </c>
    </row>
    <row r="11803">
      <c r="B11803" s="41" t="inlineStr">
        <is>
          <t>AreaCode</t>
        </is>
      </c>
      <c r="C11803" s="129" t="inlineStr">
        <is>
          <t>地区代码</t>
        </is>
      </c>
      <c r="D11803" s="21" t="n">
        <v>410327</v>
      </c>
      <c r="E11803" s="21" t="inlineStr">
        <is>
          <t>河南省洛阳市宜阳县</t>
        </is>
      </c>
    </row>
    <row r="11804">
      <c r="B11804" s="41" t="inlineStr">
        <is>
          <t>AreaCode</t>
        </is>
      </c>
      <c r="C11804" s="129" t="inlineStr">
        <is>
          <t>地区代码</t>
        </is>
      </c>
      <c r="D11804" s="21" t="n">
        <v>410328</v>
      </c>
      <c r="E11804" s="21" t="inlineStr">
        <is>
          <t>河南省洛阳市洛宁县</t>
        </is>
      </c>
    </row>
    <row r="11805">
      <c r="B11805" s="41" t="inlineStr">
        <is>
          <t>AreaCode</t>
        </is>
      </c>
      <c r="C11805" s="129" t="inlineStr">
        <is>
          <t>地区代码</t>
        </is>
      </c>
      <c r="D11805" s="21" t="n">
        <v>410329</v>
      </c>
      <c r="E11805" s="21" t="inlineStr">
        <is>
          <t>河南省洛阳市伊川县</t>
        </is>
      </c>
    </row>
    <row r="11806">
      <c r="B11806" s="41" t="inlineStr">
        <is>
          <t>AreaCode</t>
        </is>
      </c>
      <c r="C11806" s="129" t="inlineStr">
        <is>
          <t>地区代码</t>
        </is>
      </c>
      <c r="D11806" s="21" t="n">
        <v>410381</v>
      </c>
      <c r="E11806" s="21" t="inlineStr">
        <is>
          <t>河南省洛阳市偃师市</t>
        </is>
      </c>
    </row>
    <row r="11807">
      <c r="B11807" s="41" t="inlineStr">
        <is>
          <t>AreaCode</t>
        </is>
      </c>
      <c r="C11807" s="129" t="inlineStr">
        <is>
          <t>地区代码</t>
        </is>
      </c>
      <c r="D11807" s="21" t="n">
        <v>410400</v>
      </c>
      <c r="E11807" s="21" t="inlineStr">
        <is>
          <t>河南省平顶山市</t>
        </is>
      </c>
    </row>
    <row r="11808">
      <c r="B11808" s="41" t="inlineStr">
        <is>
          <t>AreaCode</t>
        </is>
      </c>
      <c r="C11808" s="129" t="inlineStr">
        <is>
          <t>地区代码</t>
        </is>
      </c>
      <c r="D11808" s="21" t="n">
        <v>410401</v>
      </c>
      <c r="E11808" s="21" t="inlineStr">
        <is>
          <t>河南省平顶山市市辖区</t>
        </is>
      </c>
    </row>
    <row r="11809">
      <c r="B11809" s="41" t="inlineStr">
        <is>
          <t>AreaCode</t>
        </is>
      </c>
      <c r="C11809" s="129" t="inlineStr">
        <is>
          <t>地区代码</t>
        </is>
      </c>
      <c r="D11809" s="21" t="n">
        <v>410402</v>
      </c>
      <c r="E11809" s="21" t="inlineStr">
        <is>
          <t>河南省平顶山市新华区</t>
        </is>
      </c>
    </row>
    <row r="11810">
      <c r="B11810" s="41" t="inlineStr">
        <is>
          <t>AreaCode</t>
        </is>
      </c>
      <c r="C11810" s="129" t="inlineStr">
        <is>
          <t>地区代码</t>
        </is>
      </c>
      <c r="D11810" s="21" t="n">
        <v>410403</v>
      </c>
      <c r="E11810" s="21" t="inlineStr">
        <is>
          <t>河南省平顶山市卫东区</t>
        </is>
      </c>
    </row>
    <row r="11811">
      <c r="B11811" s="41" t="inlineStr">
        <is>
          <t>AreaCode</t>
        </is>
      </c>
      <c r="C11811" s="129" t="inlineStr">
        <is>
          <t>地区代码</t>
        </is>
      </c>
      <c r="D11811" s="21" t="n">
        <v>410404</v>
      </c>
      <c r="E11811" s="21" t="inlineStr">
        <is>
          <t>河南省平顶山市石龙区</t>
        </is>
      </c>
    </row>
    <row r="11812">
      <c r="B11812" s="41" t="inlineStr">
        <is>
          <t>AreaCode</t>
        </is>
      </c>
      <c r="C11812" s="129" t="inlineStr">
        <is>
          <t>地区代码</t>
        </is>
      </c>
      <c r="D11812" s="21" t="n">
        <v>410411</v>
      </c>
      <c r="E11812" s="21" t="inlineStr">
        <is>
          <t>河南省平顶山市湛河区</t>
        </is>
      </c>
    </row>
    <row r="11813">
      <c r="B11813" s="41" t="inlineStr">
        <is>
          <t>AreaCode</t>
        </is>
      </c>
      <c r="C11813" s="129" t="inlineStr">
        <is>
          <t>地区代码</t>
        </is>
      </c>
      <c r="D11813" s="21" t="n">
        <v>410421</v>
      </c>
      <c r="E11813" s="21" t="inlineStr">
        <is>
          <t>河南省平顶山市宝丰县</t>
        </is>
      </c>
    </row>
    <row r="11814">
      <c r="B11814" s="41" t="inlineStr">
        <is>
          <t>AreaCode</t>
        </is>
      </c>
      <c r="C11814" s="129" t="inlineStr">
        <is>
          <t>地区代码</t>
        </is>
      </c>
      <c r="D11814" s="21" t="n">
        <v>410422</v>
      </c>
      <c r="E11814" s="21" t="inlineStr">
        <is>
          <t>河南省平顶山市叶县</t>
        </is>
      </c>
    </row>
    <row r="11815">
      <c r="B11815" s="41" t="inlineStr">
        <is>
          <t>AreaCode</t>
        </is>
      </c>
      <c r="C11815" s="129" t="inlineStr">
        <is>
          <t>地区代码</t>
        </is>
      </c>
      <c r="D11815" s="21" t="n">
        <v>410423</v>
      </c>
      <c r="E11815" s="21" t="inlineStr">
        <is>
          <t>河南省平顶山市鲁山县</t>
        </is>
      </c>
    </row>
    <row r="11816">
      <c r="B11816" s="41" t="inlineStr">
        <is>
          <t>AreaCode</t>
        </is>
      </c>
      <c r="C11816" s="129" t="inlineStr">
        <is>
          <t>地区代码</t>
        </is>
      </c>
      <c r="D11816" s="21" t="n">
        <v>410425</v>
      </c>
      <c r="E11816" s="21" t="inlineStr">
        <is>
          <t>河南省平顶山市郏县</t>
        </is>
      </c>
    </row>
    <row r="11817">
      <c r="B11817" s="41" t="inlineStr">
        <is>
          <t>AreaCode</t>
        </is>
      </c>
      <c r="C11817" s="129" t="inlineStr">
        <is>
          <t>地区代码</t>
        </is>
      </c>
      <c r="D11817" s="21" t="n">
        <v>410481</v>
      </c>
      <c r="E11817" s="21" t="inlineStr">
        <is>
          <t>河南省平顶山市舞钢市</t>
        </is>
      </c>
    </row>
    <row r="11818">
      <c r="B11818" s="41" t="inlineStr">
        <is>
          <t>AreaCode</t>
        </is>
      </c>
      <c r="C11818" s="129" t="inlineStr">
        <is>
          <t>地区代码</t>
        </is>
      </c>
      <c r="D11818" s="21" t="n">
        <v>410482</v>
      </c>
      <c r="E11818" s="21" t="inlineStr">
        <is>
          <t>河南省平顶山市汝州市</t>
        </is>
      </c>
    </row>
    <row r="11819">
      <c r="B11819" s="41" t="inlineStr">
        <is>
          <t>AreaCode</t>
        </is>
      </c>
      <c r="C11819" s="129" t="inlineStr">
        <is>
          <t>地区代码</t>
        </is>
      </c>
      <c r="D11819" s="21" t="n">
        <v>410500</v>
      </c>
      <c r="E11819" s="21" t="inlineStr">
        <is>
          <t>河南省安阳市</t>
        </is>
      </c>
    </row>
    <row r="11820">
      <c r="B11820" s="41" t="inlineStr">
        <is>
          <t>AreaCode</t>
        </is>
      </c>
      <c r="C11820" s="129" t="inlineStr">
        <is>
          <t>地区代码</t>
        </is>
      </c>
      <c r="D11820" s="21" t="n">
        <v>410501</v>
      </c>
      <c r="E11820" s="21" t="inlineStr">
        <is>
          <t>河南省安阳市市辖区</t>
        </is>
      </c>
    </row>
    <row r="11821">
      <c r="B11821" s="41" t="inlineStr">
        <is>
          <t>AreaCode</t>
        </is>
      </c>
      <c r="C11821" s="129" t="inlineStr">
        <is>
          <t>地区代码</t>
        </is>
      </c>
      <c r="D11821" s="21" t="n">
        <v>410502</v>
      </c>
      <c r="E11821" s="21" t="inlineStr">
        <is>
          <t>河南省安阳市文峰区</t>
        </is>
      </c>
    </row>
    <row r="11822">
      <c r="B11822" s="41" t="inlineStr">
        <is>
          <t>AreaCode</t>
        </is>
      </c>
      <c r="C11822" s="129" t="inlineStr">
        <is>
          <t>地区代码</t>
        </is>
      </c>
      <c r="D11822" s="21" t="n">
        <v>410503</v>
      </c>
      <c r="E11822" s="21" t="inlineStr">
        <is>
          <t>河南省安阳市北关区</t>
        </is>
      </c>
    </row>
    <row r="11823">
      <c r="B11823" s="41" t="inlineStr">
        <is>
          <t>AreaCode</t>
        </is>
      </c>
      <c r="C11823" s="129" t="inlineStr">
        <is>
          <t>地区代码</t>
        </is>
      </c>
      <c r="D11823" s="21" t="n">
        <v>410505</v>
      </c>
      <c r="E11823" s="21" t="inlineStr">
        <is>
          <t>河南省安阳市殷都区</t>
        </is>
      </c>
    </row>
    <row r="11824">
      <c r="B11824" s="41" t="inlineStr">
        <is>
          <t>AreaCode</t>
        </is>
      </c>
      <c r="C11824" s="129" t="inlineStr">
        <is>
          <t>地区代码</t>
        </is>
      </c>
      <c r="D11824" s="21" t="n">
        <v>410506</v>
      </c>
      <c r="E11824" s="21" t="inlineStr">
        <is>
          <t>河南省安阳市龙安区</t>
        </is>
      </c>
    </row>
    <row r="11825">
      <c r="B11825" s="41" t="inlineStr">
        <is>
          <t>AreaCode</t>
        </is>
      </c>
      <c r="C11825" s="129" t="inlineStr">
        <is>
          <t>地区代码</t>
        </is>
      </c>
      <c r="D11825" s="21" t="n">
        <v>410522</v>
      </c>
      <c r="E11825" s="21" t="inlineStr">
        <is>
          <t>河南省安阳市安阳县</t>
        </is>
      </c>
    </row>
    <row r="11826">
      <c r="B11826" s="41" t="inlineStr">
        <is>
          <t>AreaCode</t>
        </is>
      </c>
      <c r="C11826" s="129" t="inlineStr">
        <is>
          <t>地区代码</t>
        </is>
      </c>
      <c r="D11826" s="21" t="n">
        <v>410523</v>
      </c>
      <c r="E11826" s="21" t="inlineStr">
        <is>
          <t>河南省安阳市汤阴县</t>
        </is>
      </c>
    </row>
    <row r="11827">
      <c r="B11827" s="41" t="inlineStr">
        <is>
          <t>AreaCode</t>
        </is>
      </c>
      <c r="C11827" s="129" t="inlineStr">
        <is>
          <t>地区代码</t>
        </is>
      </c>
      <c r="D11827" s="21" t="n">
        <v>410526</v>
      </c>
      <c r="E11827" s="21" t="inlineStr">
        <is>
          <t>河南省安阳市滑县</t>
        </is>
      </c>
    </row>
    <row r="11828">
      <c r="B11828" s="41" t="inlineStr">
        <is>
          <t>AreaCode</t>
        </is>
      </c>
      <c r="C11828" s="129" t="inlineStr">
        <is>
          <t>地区代码</t>
        </is>
      </c>
      <c r="D11828" s="21" t="n">
        <v>410527</v>
      </c>
      <c r="E11828" s="21" t="inlineStr">
        <is>
          <t>河南省安阳市内黄县</t>
        </is>
      </c>
    </row>
    <row r="11829">
      <c r="B11829" s="41" t="inlineStr">
        <is>
          <t>AreaCode</t>
        </is>
      </c>
      <c r="C11829" s="129" t="inlineStr">
        <is>
          <t>地区代码</t>
        </is>
      </c>
      <c r="D11829" s="21" t="n">
        <v>410581</v>
      </c>
      <c r="E11829" s="21" t="inlineStr">
        <is>
          <t>河南省安阳市林州市</t>
        </is>
      </c>
    </row>
    <row r="11830">
      <c r="B11830" s="41" t="inlineStr">
        <is>
          <t>AreaCode</t>
        </is>
      </c>
      <c r="C11830" s="129" t="inlineStr">
        <is>
          <t>地区代码</t>
        </is>
      </c>
      <c r="D11830" s="21" t="n">
        <v>410600</v>
      </c>
      <c r="E11830" s="21" t="inlineStr">
        <is>
          <t>河南省鹤壁市</t>
        </is>
      </c>
    </row>
    <row r="11831">
      <c r="B11831" s="41" t="inlineStr">
        <is>
          <t>AreaCode</t>
        </is>
      </c>
      <c r="C11831" s="129" t="inlineStr">
        <is>
          <t>地区代码</t>
        </is>
      </c>
      <c r="D11831" s="21" t="n">
        <v>410601</v>
      </c>
      <c r="E11831" s="21" t="inlineStr">
        <is>
          <t>河南省鹤壁市市辖区</t>
        </is>
      </c>
    </row>
    <row r="11832">
      <c r="B11832" s="41" t="inlineStr">
        <is>
          <t>AreaCode</t>
        </is>
      </c>
      <c r="C11832" s="129" t="inlineStr">
        <is>
          <t>地区代码</t>
        </is>
      </c>
      <c r="D11832" s="21" t="n">
        <v>410602</v>
      </c>
      <c r="E11832" s="21" t="inlineStr">
        <is>
          <t>河南省鹤壁市鹤山区</t>
        </is>
      </c>
    </row>
    <row r="11833">
      <c r="B11833" s="41" t="inlineStr">
        <is>
          <t>AreaCode</t>
        </is>
      </c>
      <c r="C11833" s="129" t="inlineStr">
        <is>
          <t>地区代码</t>
        </is>
      </c>
      <c r="D11833" s="21" t="n">
        <v>410603</v>
      </c>
      <c r="E11833" s="21" t="inlineStr">
        <is>
          <t>河南省鹤壁市山城区</t>
        </is>
      </c>
    </row>
    <row r="11834">
      <c r="B11834" s="41" t="inlineStr">
        <is>
          <t>AreaCode</t>
        </is>
      </c>
      <c r="C11834" s="129" t="inlineStr">
        <is>
          <t>地区代码</t>
        </is>
      </c>
      <c r="D11834" s="21" t="n">
        <v>410611</v>
      </c>
      <c r="E11834" s="21" t="inlineStr">
        <is>
          <t>河南省鹤壁市淇滨区</t>
        </is>
      </c>
    </row>
    <row r="11835">
      <c r="B11835" s="41" t="inlineStr">
        <is>
          <t>AreaCode</t>
        </is>
      </c>
      <c r="C11835" s="129" t="inlineStr">
        <is>
          <t>地区代码</t>
        </is>
      </c>
      <c r="D11835" s="21" t="n">
        <v>410621</v>
      </c>
      <c r="E11835" s="21" t="inlineStr">
        <is>
          <t>河南省鹤壁市浚县</t>
        </is>
      </c>
    </row>
    <row r="11836">
      <c r="B11836" s="41" t="inlineStr">
        <is>
          <t>AreaCode</t>
        </is>
      </c>
      <c r="C11836" s="129" t="inlineStr">
        <is>
          <t>地区代码</t>
        </is>
      </c>
      <c r="D11836" s="21" t="n">
        <v>410622</v>
      </c>
      <c r="E11836" s="21" t="inlineStr">
        <is>
          <t>河南省鹤壁市淇县</t>
        </is>
      </c>
    </row>
    <row r="11837">
      <c r="B11837" s="41" t="inlineStr">
        <is>
          <t>AreaCode</t>
        </is>
      </c>
      <c r="C11837" s="129" t="inlineStr">
        <is>
          <t>地区代码</t>
        </is>
      </c>
      <c r="D11837" s="21" t="n">
        <v>410700</v>
      </c>
      <c r="E11837" s="21" t="inlineStr">
        <is>
          <t>河南省新乡市</t>
        </is>
      </c>
    </row>
    <row r="11838">
      <c r="B11838" s="41" t="inlineStr">
        <is>
          <t>AreaCode</t>
        </is>
      </c>
      <c r="C11838" s="129" t="inlineStr">
        <is>
          <t>地区代码</t>
        </is>
      </c>
      <c r="D11838" s="21" t="n">
        <v>410701</v>
      </c>
      <c r="E11838" s="21" t="inlineStr">
        <is>
          <t>河南省新乡市市辖区</t>
        </is>
      </c>
    </row>
    <row r="11839">
      <c r="B11839" s="41" t="inlineStr">
        <is>
          <t>AreaCode</t>
        </is>
      </c>
      <c r="C11839" s="129" t="inlineStr">
        <is>
          <t>地区代码</t>
        </is>
      </c>
      <c r="D11839" s="21" t="n">
        <v>410702</v>
      </c>
      <c r="E11839" s="21" t="inlineStr">
        <is>
          <t>河南省新乡市红旗区</t>
        </is>
      </c>
    </row>
    <row r="11840">
      <c r="B11840" s="41" t="inlineStr">
        <is>
          <t>AreaCode</t>
        </is>
      </c>
      <c r="C11840" s="129" t="inlineStr">
        <is>
          <t>地区代码</t>
        </is>
      </c>
      <c r="D11840" s="21" t="n">
        <v>410703</v>
      </c>
      <c r="E11840" s="21" t="inlineStr">
        <is>
          <t>河南省新乡市卫滨区</t>
        </is>
      </c>
    </row>
    <row r="11841">
      <c r="B11841" s="41" t="inlineStr">
        <is>
          <t>AreaCode</t>
        </is>
      </c>
      <c r="C11841" s="129" t="inlineStr">
        <is>
          <t>地区代码</t>
        </is>
      </c>
      <c r="D11841" s="21" t="n">
        <v>410704</v>
      </c>
      <c r="E11841" s="21" t="inlineStr">
        <is>
          <t>河南省新乡市凤泉区</t>
        </is>
      </c>
    </row>
    <row r="11842">
      <c r="B11842" s="41" t="inlineStr">
        <is>
          <t>AreaCode</t>
        </is>
      </c>
      <c r="C11842" s="129" t="inlineStr">
        <is>
          <t>地区代码</t>
        </is>
      </c>
      <c r="D11842" s="21" t="n">
        <v>410711</v>
      </c>
      <c r="E11842" s="21" t="inlineStr">
        <is>
          <t>河南省新乡市牧野区</t>
        </is>
      </c>
    </row>
    <row r="11843">
      <c r="B11843" s="41" t="inlineStr">
        <is>
          <t>AreaCode</t>
        </is>
      </c>
      <c r="C11843" s="129" t="inlineStr">
        <is>
          <t>地区代码</t>
        </is>
      </c>
      <c r="D11843" s="21" t="n">
        <v>410721</v>
      </c>
      <c r="E11843" s="21" t="inlineStr">
        <is>
          <t>河南省新乡市新乡县</t>
        </is>
      </c>
    </row>
    <row r="11844">
      <c r="B11844" s="41" t="inlineStr">
        <is>
          <t>AreaCode</t>
        </is>
      </c>
      <c r="C11844" s="129" t="inlineStr">
        <is>
          <t>地区代码</t>
        </is>
      </c>
      <c r="D11844" s="21" t="n">
        <v>410724</v>
      </c>
      <c r="E11844" s="21" t="inlineStr">
        <is>
          <t>河南省新乡市获嘉县</t>
        </is>
      </c>
    </row>
    <row r="11845">
      <c r="B11845" s="41" t="inlineStr">
        <is>
          <t>AreaCode</t>
        </is>
      </c>
      <c r="C11845" s="129" t="inlineStr">
        <is>
          <t>地区代码</t>
        </is>
      </c>
      <c r="D11845" s="21" t="n">
        <v>410725</v>
      </c>
      <c r="E11845" s="21" t="inlineStr">
        <is>
          <t>河南省新乡市原阳县</t>
        </is>
      </c>
    </row>
    <row r="11846">
      <c r="B11846" s="41" t="inlineStr">
        <is>
          <t>AreaCode</t>
        </is>
      </c>
      <c r="C11846" s="129" t="inlineStr">
        <is>
          <t>地区代码</t>
        </is>
      </c>
      <c r="D11846" s="21" t="n">
        <v>410726</v>
      </c>
      <c r="E11846" s="21" t="inlineStr">
        <is>
          <t>河南省新乡市延津县</t>
        </is>
      </c>
    </row>
    <row r="11847">
      <c r="B11847" s="41" t="inlineStr">
        <is>
          <t>AreaCode</t>
        </is>
      </c>
      <c r="C11847" s="129" t="inlineStr">
        <is>
          <t>地区代码</t>
        </is>
      </c>
      <c r="D11847" s="21" t="n">
        <v>410727</v>
      </c>
      <c r="E11847" s="21" t="inlineStr">
        <is>
          <t>河南省新乡市封丘县</t>
        </is>
      </c>
    </row>
    <row r="11848">
      <c r="B11848" s="41" t="inlineStr">
        <is>
          <t>AreaCode</t>
        </is>
      </c>
      <c r="C11848" s="129" t="inlineStr">
        <is>
          <t>地区代码</t>
        </is>
      </c>
      <c r="D11848" s="21" t="n">
        <v>410728</v>
      </c>
      <c r="E11848" s="21" t="inlineStr">
        <is>
          <t>河南省新乡市长垣县</t>
        </is>
      </c>
    </row>
    <row r="11849">
      <c r="B11849" s="41" t="inlineStr">
        <is>
          <t>AreaCode</t>
        </is>
      </c>
      <c r="C11849" s="129" t="inlineStr">
        <is>
          <t>地区代码</t>
        </is>
      </c>
      <c r="D11849" s="21" t="n">
        <v>410781</v>
      </c>
      <c r="E11849" s="21" t="inlineStr">
        <is>
          <t>河南省新乡市卫辉市</t>
        </is>
      </c>
    </row>
    <row r="11850">
      <c r="B11850" s="41" t="inlineStr">
        <is>
          <t>AreaCode</t>
        </is>
      </c>
      <c r="C11850" s="129" t="inlineStr">
        <is>
          <t>地区代码</t>
        </is>
      </c>
      <c r="D11850" s="21" t="n">
        <v>410782</v>
      </c>
      <c r="E11850" s="21" t="inlineStr">
        <is>
          <t>河南省新乡市辉县市</t>
        </is>
      </c>
    </row>
    <row r="11851">
      <c r="B11851" s="41" t="inlineStr">
        <is>
          <t>AreaCode</t>
        </is>
      </c>
      <c r="C11851" s="129" t="inlineStr">
        <is>
          <t>地区代码</t>
        </is>
      </c>
      <c r="D11851" s="21" t="n">
        <v>410800</v>
      </c>
      <c r="E11851" s="21" t="inlineStr">
        <is>
          <t>河南省焦作市</t>
        </is>
      </c>
    </row>
    <row r="11852">
      <c r="B11852" s="41" t="inlineStr">
        <is>
          <t>AreaCode</t>
        </is>
      </c>
      <c r="C11852" s="129" t="inlineStr">
        <is>
          <t>地区代码</t>
        </is>
      </c>
      <c r="D11852" s="21" t="n">
        <v>410801</v>
      </c>
      <c r="E11852" s="21" t="inlineStr">
        <is>
          <t>河南省焦作市市辖区</t>
        </is>
      </c>
    </row>
    <row r="11853">
      <c r="B11853" s="41" t="inlineStr">
        <is>
          <t>AreaCode</t>
        </is>
      </c>
      <c r="C11853" s="129" t="inlineStr">
        <is>
          <t>地区代码</t>
        </is>
      </c>
      <c r="D11853" s="21" t="n">
        <v>410802</v>
      </c>
      <c r="E11853" s="21" t="inlineStr">
        <is>
          <t>河南省焦作市解放区</t>
        </is>
      </c>
    </row>
    <row r="11854">
      <c r="B11854" s="41" t="inlineStr">
        <is>
          <t>AreaCode</t>
        </is>
      </c>
      <c r="C11854" s="129" t="inlineStr">
        <is>
          <t>地区代码</t>
        </is>
      </c>
      <c r="D11854" s="21" t="n">
        <v>410803</v>
      </c>
      <c r="E11854" s="21" t="inlineStr">
        <is>
          <t>河南省焦作市中站区</t>
        </is>
      </c>
    </row>
    <row r="11855">
      <c r="B11855" s="41" t="inlineStr">
        <is>
          <t>AreaCode</t>
        </is>
      </c>
      <c r="C11855" s="129" t="inlineStr">
        <is>
          <t>地区代码</t>
        </is>
      </c>
      <c r="D11855" s="21" t="n">
        <v>410804</v>
      </c>
      <c r="E11855" s="21" t="inlineStr">
        <is>
          <t>河南省焦作市马村区</t>
        </is>
      </c>
    </row>
    <row r="11856">
      <c r="B11856" s="41" t="inlineStr">
        <is>
          <t>AreaCode</t>
        </is>
      </c>
      <c r="C11856" s="129" t="inlineStr">
        <is>
          <t>地区代码</t>
        </is>
      </c>
      <c r="D11856" s="21" t="n">
        <v>410811</v>
      </c>
      <c r="E11856" s="21" t="inlineStr">
        <is>
          <t>河南省焦作市山阳区</t>
        </is>
      </c>
    </row>
    <row r="11857">
      <c r="B11857" s="41" t="inlineStr">
        <is>
          <t>AreaCode</t>
        </is>
      </c>
      <c r="C11857" s="129" t="inlineStr">
        <is>
          <t>地区代码</t>
        </is>
      </c>
      <c r="D11857" s="21" t="n">
        <v>410821</v>
      </c>
      <c r="E11857" s="21" t="inlineStr">
        <is>
          <t>河南省焦作市修武县</t>
        </is>
      </c>
    </row>
    <row r="11858">
      <c r="B11858" s="41" t="inlineStr">
        <is>
          <t>AreaCode</t>
        </is>
      </c>
      <c r="C11858" s="129" t="inlineStr">
        <is>
          <t>地区代码</t>
        </is>
      </c>
      <c r="D11858" s="21" t="n">
        <v>410822</v>
      </c>
      <c r="E11858" s="21" t="inlineStr">
        <is>
          <t>河南省焦作市博爱县</t>
        </is>
      </c>
    </row>
    <row r="11859">
      <c r="B11859" s="41" t="inlineStr">
        <is>
          <t>AreaCode</t>
        </is>
      </c>
      <c r="C11859" s="129" t="inlineStr">
        <is>
          <t>地区代码</t>
        </is>
      </c>
      <c r="D11859" s="21" t="n">
        <v>410823</v>
      </c>
      <c r="E11859" s="21" t="inlineStr">
        <is>
          <t>河南省焦作市武陟县</t>
        </is>
      </c>
    </row>
    <row r="11860">
      <c r="B11860" s="41" t="inlineStr">
        <is>
          <t>AreaCode</t>
        </is>
      </c>
      <c r="C11860" s="129" t="inlineStr">
        <is>
          <t>地区代码</t>
        </is>
      </c>
      <c r="D11860" s="21" t="n">
        <v>410825</v>
      </c>
      <c r="E11860" s="21" t="inlineStr">
        <is>
          <t>河南省焦作市温县</t>
        </is>
      </c>
    </row>
    <row r="11861">
      <c r="B11861" s="41" t="inlineStr">
        <is>
          <t>AreaCode</t>
        </is>
      </c>
      <c r="C11861" s="129" t="inlineStr">
        <is>
          <t>地区代码</t>
        </is>
      </c>
      <c r="D11861" s="21" t="n">
        <v>410882</v>
      </c>
      <c r="E11861" s="21" t="inlineStr">
        <is>
          <t>河南省焦作市沁阳市</t>
        </is>
      </c>
    </row>
    <row r="11862">
      <c r="B11862" s="41" t="inlineStr">
        <is>
          <t>AreaCode</t>
        </is>
      </c>
      <c r="C11862" s="129" t="inlineStr">
        <is>
          <t>地区代码</t>
        </is>
      </c>
      <c r="D11862" s="21" t="n">
        <v>410883</v>
      </c>
      <c r="E11862" s="21" t="inlineStr">
        <is>
          <t>河南省焦作市孟州市</t>
        </is>
      </c>
    </row>
    <row r="11863">
      <c r="B11863" s="41" t="inlineStr">
        <is>
          <t>AreaCode</t>
        </is>
      </c>
      <c r="C11863" s="129" t="inlineStr">
        <is>
          <t>地区代码</t>
        </is>
      </c>
      <c r="D11863" s="21" t="n">
        <v>410900</v>
      </c>
      <c r="E11863" s="21" t="inlineStr">
        <is>
          <t>河南省濮阳市</t>
        </is>
      </c>
    </row>
    <row r="11864">
      <c r="B11864" s="41" t="inlineStr">
        <is>
          <t>AreaCode</t>
        </is>
      </c>
      <c r="C11864" s="129" t="inlineStr">
        <is>
          <t>地区代码</t>
        </is>
      </c>
      <c r="D11864" s="21" t="n">
        <v>410901</v>
      </c>
      <c r="E11864" s="21" t="inlineStr">
        <is>
          <t>河南省濮阳市市辖区</t>
        </is>
      </c>
    </row>
    <row r="11865">
      <c r="B11865" s="41" t="inlineStr">
        <is>
          <t>AreaCode</t>
        </is>
      </c>
      <c r="C11865" s="129" t="inlineStr">
        <is>
          <t>地区代码</t>
        </is>
      </c>
      <c r="D11865" s="21" t="n">
        <v>410902</v>
      </c>
      <c r="E11865" s="21" t="inlineStr">
        <is>
          <t>河南省濮阳市华龙区</t>
        </is>
      </c>
    </row>
    <row r="11866">
      <c r="B11866" s="41" t="inlineStr">
        <is>
          <t>AreaCode</t>
        </is>
      </c>
      <c r="C11866" s="129" t="inlineStr">
        <is>
          <t>地区代码</t>
        </is>
      </c>
      <c r="D11866" s="21" t="n">
        <v>410922</v>
      </c>
      <c r="E11866" s="21" t="inlineStr">
        <is>
          <t>河南省濮阳市清丰县</t>
        </is>
      </c>
    </row>
    <row r="11867">
      <c r="B11867" s="41" t="inlineStr">
        <is>
          <t>AreaCode</t>
        </is>
      </c>
      <c r="C11867" s="129" t="inlineStr">
        <is>
          <t>地区代码</t>
        </is>
      </c>
      <c r="D11867" s="21" t="n">
        <v>410923</v>
      </c>
      <c r="E11867" s="21" t="inlineStr">
        <is>
          <t>河南省濮阳市南乐县</t>
        </is>
      </c>
    </row>
    <row r="11868">
      <c r="B11868" s="41" t="inlineStr">
        <is>
          <t>AreaCode</t>
        </is>
      </c>
      <c r="C11868" s="129" t="inlineStr">
        <is>
          <t>地区代码</t>
        </is>
      </c>
      <c r="D11868" s="21" t="n">
        <v>410926</v>
      </c>
      <c r="E11868" s="21" t="inlineStr">
        <is>
          <t>河南省濮阳市范县</t>
        </is>
      </c>
    </row>
    <row r="11869">
      <c r="B11869" s="41" t="inlineStr">
        <is>
          <t>AreaCode</t>
        </is>
      </c>
      <c r="C11869" s="129" t="inlineStr">
        <is>
          <t>地区代码</t>
        </is>
      </c>
      <c r="D11869" s="21" t="n">
        <v>410927</v>
      </c>
      <c r="E11869" s="21" t="inlineStr">
        <is>
          <t>河南省濮阳市台前县</t>
        </is>
      </c>
    </row>
    <row r="11870">
      <c r="B11870" s="41" t="inlineStr">
        <is>
          <t>AreaCode</t>
        </is>
      </c>
      <c r="C11870" s="129" t="inlineStr">
        <is>
          <t>地区代码</t>
        </is>
      </c>
      <c r="D11870" s="21" t="n">
        <v>410928</v>
      </c>
      <c r="E11870" s="21" t="inlineStr">
        <is>
          <t>河南省濮阳市濮阳县</t>
        </is>
      </c>
    </row>
    <row r="11871">
      <c r="B11871" s="41" t="inlineStr">
        <is>
          <t>AreaCode</t>
        </is>
      </c>
      <c r="C11871" s="129" t="inlineStr">
        <is>
          <t>地区代码</t>
        </is>
      </c>
      <c r="D11871" s="21" t="n">
        <v>411000</v>
      </c>
      <c r="E11871" s="21" t="inlineStr">
        <is>
          <t>河南省许昌市</t>
        </is>
      </c>
    </row>
    <row r="11872">
      <c r="B11872" s="41" t="inlineStr">
        <is>
          <t>AreaCode</t>
        </is>
      </c>
      <c r="C11872" s="129" t="inlineStr">
        <is>
          <t>地区代码</t>
        </is>
      </c>
      <c r="D11872" s="21" t="n">
        <v>411001</v>
      </c>
      <c r="E11872" s="21" t="inlineStr">
        <is>
          <t>河南省许昌市市辖区</t>
        </is>
      </c>
    </row>
    <row r="11873">
      <c r="B11873" s="41" t="inlineStr">
        <is>
          <t>AreaCode</t>
        </is>
      </c>
      <c r="C11873" s="129" t="inlineStr">
        <is>
          <t>地区代码</t>
        </is>
      </c>
      <c r="D11873" s="21" t="n">
        <v>411002</v>
      </c>
      <c r="E11873" s="21" t="inlineStr">
        <is>
          <t>河南省许昌市魏都区</t>
        </is>
      </c>
    </row>
    <row r="11874">
      <c r="B11874" s="41" t="inlineStr">
        <is>
          <t>AreaCode</t>
        </is>
      </c>
      <c r="C11874" s="129" t="inlineStr">
        <is>
          <t>地区代码</t>
        </is>
      </c>
      <c r="D11874" s="21" t="n">
        <v>411023</v>
      </c>
      <c r="E11874" s="21" t="inlineStr">
        <is>
          <t>河南省许昌市许昌县</t>
        </is>
      </c>
    </row>
    <row r="11875">
      <c r="B11875" s="41" t="inlineStr">
        <is>
          <t>AreaCode</t>
        </is>
      </c>
      <c r="C11875" s="129" t="inlineStr">
        <is>
          <t>地区代码</t>
        </is>
      </c>
      <c r="D11875" s="21" t="n">
        <v>411024</v>
      </c>
      <c r="E11875" s="21" t="inlineStr">
        <is>
          <t>河南省许昌市鄢陵县</t>
        </is>
      </c>
    </row>
    <row r="11876">
      <c r="B11876" s="41" t="inlineStr">
        <is>
          <t>AreaCode</t>
        </is>
      </c>
      <c r="C11876" s="129" t="inlineStr">
        <is>
          <t>地区代码</t>
        </is>
      </c>
      <c r="D11876" s="21" t="n">
        <v>411025</v>
      </c>
      <c r="E11876" s="21" t="inlineStr">
        <is>
          <t>河南省许昌市襄城县</t>
        </is>
      </c>
    </row>
    <row r="11877">
      <c r="B11877" s="41" t="inlineStr">
        <is>
          <t>AreaCode</t>
        </is>
      </c>
      <c r="C11877" s="129" t="inlineStr">
        <is>
          <t>地区代码</t>
        </is>
      </c>
      <c r="D11877" s="21" t="n">
        <v>411081</v>
      </c>
      <c r="E11877" s="21" t="inlineStr">
        <is>
          <t>河南省许昌市禹州市</t>
        </is>
      </c>
    </row>
    <row r="11878">
      <c r="B11878" s="41" t="inlineStr">
        <is>
          <t>AreaCode</t>
        </is>
      </c>
      <c r="C11878" s="129" t="inlineStr">
        <is>
          <t>地区代码</t>
        </is>
      </c>
      <c r="D11878" s="21" t="n">
        <v>411082</v>
      </c>
      <c r="E11878" s="21" t="inlineStr">
        <is>
          <t>河南省许昌市长葛市</t>
        </is>
      </c>
    </row>
    <row r="11879">
      <c r="B11879" s="41" t="inlineStr">
        <is>
          <t>AreaCode</t>
        </is>
      </c>
      <c r="C11879" s="129" t="inlineStr">
        <is>
          <t>地区代码</t>
        </is>
      </c>
      <c r="D11879" s="21" t="n">
        <v>411100</v>
      </c>
      <c r="E11879" s="21" t="inlineStr">
        <is>
          <t>河南省漯河市</t>
        </is>
      </c>
    </row>
    <row r="11880">
      <c r="B11880" s="41" t="inlineStr">
        <is>
          <t>AreaCode</t>
        </is>
      </c>
      <c r="C11880" s="129" t="inlineStr">
        <is>
          <t>地区代码</t>
        </is>
      </c>
      <c r="D11880" s="21" t="n">
        <v>411101</v>
      </c>
      <c r="E11880" s="21" t="inlineStr">
        <is>
          <t>河南省漯河市市辖区</t>
        </is>
      </c>
    </row>
    <row r="11881">
      <c r="B11881" s="41" t="inlineStr">
        <is>
          <t>AreaCode</t>
        </is>
      </c>
      <c r="C11881" s="129" t="inlineStr">
        <is>
          <t>地区代码</t>
        </is>
      </c>
      <c r="D11881" s="21" t="n">
        <v>411102</v>
      </c>
      <c r="E11881" s="21" t="inlineStr">
        <is>
          <t>河南省漯河市源汇区</t>
        </is>
      </c>
    </row>
    <row r="11882">
      <c r="B11882" s="41" t="inlineStr">
        <is>
          <t>AreaCode</t>
        </is>
      </c>
      <c r="C11882" s="129" t="inlineStr">
        <is>
          <t>地区代码</t>
        </is>
      </c>
      <c r="D11882" s="21" t="n">
        <v>411103</v>
      </c>
      <c r="E11882" s="21" t="inlineStr">
        <is>
          <t>河南省漯河市郾城区</t>
        </is>
      </c>
    </row>
    <row r="11883">
      <c r="B11883" s="41" t="inlineStr">
        <is>
          <t>AreaCode</t>
        </is>
      </c>
      <c r="C11883" s="129" t="inlineStr">
        <is>
          <t>地区代码</t>
        </is>
      </c>
      <c r="D11883" s="21" t="n">
        <v>411104</v>
      </c>
      <c r="E11883" s="21" t="inlineStr">
        <is>
          <t>河南省漯河市召陵区</t>
        </is>
      </c>
    </row>
    <row r="11884">
      <c r="B11884" s="41" t="inlineStr">
        <is>
          <t>AreaCode</t>
        </is>
      </c>
      <c r="C11884" s="129" t="inlineStr">
        <is>
          <t>地区代码</t>
        </is>
      </c>
      <c r="D11884" s="21" t="n">
        <v>411121</v>
      </c>
      <c r="E11884" s="21" t="inlineStr">
        <is>
          <t>河南省漯河市舞阳县</t>
        </is>
      </c>
    </row>
    <row r="11885">
      <c r="B11885" s="41" t="inlineStr">
        <is>
          <t>AreaCode</t>
        </is>
      </c>
      <c r="C11885" s="129" t="inlineStr">
        <is>
          <t>地区代码</t>
        </is>
      </c>
      <c r="D11885" s="21" t="n">
        <v>411122</v>
      </c>
      <c r="E11885" s="21" t="inlineStr">
        <is>
          <t>河南省漯河市临颍县</t>
        </is>
      </c>
    </row>
    <row r="11886">
      <c r="B11886" s="41" t="inlineStr">
        <is>
          <t>AreaCode</t>
        </is>
      </c>
      <c r="C11886" s="129" t="inlineStr">
        <is>
          <t>地区代码</t>
        </is>
      </c>
      <c r="D11886" s="21" t="n">
        <v>411200</v>
      </c>
      <c r="E11886" s="21" t="inlineStr">
        <is>
          <t>河南省三门峡市</t>
        </is>
      </c>
    </row>
    <row r="11887">
      <c r="B11887" s="41" t="inlineStr">
        <is>
          <t>AreaCode</t>
        </is>
      </c>
      <c r="C11887" s="129" t="inlineStr">
        <is>
          <t>地区代码</t>
        </is>
      </c>
      <c r="D11887" s="21" t="n">
        <v>411201</v>
      </c>
      <c r="E11887" s="21" t="inlineStr">
        <is>
          <t>河南省三门峡市市辖区</t>
        </is>
      </c>
    </row>
    <row r="11888">
      <c r="B11888" s="41" t="inlineStr">
        <is>
          <t>AreaCode</t>
        </is>
      </c>
      <c r="C11888" s="129" t="inlineStr">
        <is>
          <t>地区代码</t>
        </is>
      </c>
      <c r="D11888" s="21" t="n">
        <v>411202</v>
      </c>
      <c r="E11888" s="21" t="inlineStr">
        <is>
          <t>河南省三门峡市湖滨区</t>
        </is>
      </c>
    </row>
    <row r="11889">
      <c r="B11889" s="41" t="inlineStr">
        <is>
          <t>AreaCode</t>
        </is>
      </c>
      <c r="C11889" s="129" t="inlineStr">
        <is>
          <t>地区代码</t>
        </is>
      </c>
      <c r="D11889" s="21" t="n">
        <v>411221</v>
      </c>
      <c r="E11889" s="21" t="inlineStr">
        <is>
          <t>河南省三门峡市渑池县</t>
        </is>
      </c>
    </row>
    <row r="11890">
      <c r="B11890" s="41" t="inlineStr">
        <is>
          <t>AreaCode</t>
        </is>
      </c>
      <c r="C11890" s="129" t="inlineStr">
        <is>
          <t>地区代码</t>
        </is>
      </c>
      <c r="D11890" s="21" t="n">
        <v>411222</v>
      </c>
      <c r="E11890" s="21" t="inlineStr">
        <is>
          <t>河南省三门峡市陕县</t>
        </is>
      </c>
    </row>
    <row r="11891">
      <c r="B11891" s="41" t="inlineStr">
        <is>
          <t>AreaCode</t>
        </is>
      </c>
      <c r="C11891" s="129" t="inlineStr">
        <is>
          <t>地区代码</t>
        </is>
      </c>
      <c r="D11891" s="21" t="n">
        <v>411224</v>
      </c>
      <c r="E11891" s="21" t="inlineStr">
        <is>
          <t>河南省三门峡市卢氏县</t>
        </is>
      </c>
    </row>
    <row r="11892">
      <c r="B11892" s="41" t="inlineStr">
        <is>
          <t>AreaCode</t>
        </is>
      </c>
      <c r="C11892" s="129" t="inlineStr">
        <is>
          <t>地区代码</t>
        </is>
      </c>
      <c r="D11892" s="21" t="n">
        <v>411281</v>
      </c>
      <c r="E11892" s="21" t="inlineStr">
        <is>
          <t>河南省三门峡市义马市</t>
        </is>
      </c>
    </row>
    <row r="11893">
      <c r="B11893" s="41" t="inlineStr">
        <is>
          <t>AreaCode</t>
        </is>
      </c>
      <c r="C11893" s="129" t="inlineStr">
        <is>
          <t>地区代码</t>
        </is>
      </c>
      <c r="D11893" s="21" t="n">
        <v>411282</v>
      </c>
      <c r="E11893" s="21" t="inlineStr">
        <is>
          <t>河南省三门峡市灵宝市</t>
        </is>
      </c>
    </row>
    <row r="11894">
      <c r="B11894" s="41" t="inlineStr">
        <is>
          <t>AreaCode</t>
        </is>
      </c>
      <c r="C11894" s="129" t="inlineStr">
        <is>
          <t>地区代码</t>
        </is>
      </c>
      <c r="D11894" s="21" t="n">
        <v>411300</v>
      </c>
      <c r="E11894" s="21" t="inlineStr">
        <is>
          <t>河南省南阳市</t>
        </is>
      </c>
    </row>
    <row r="11895">
      <c r="B11895" s="41" t="inlineStr">
        <is>
          <t>AreaCode</t>
        </is>
      </c>
      <c r="C11895" s="129" t="inlineStr">
        <is>
          <t>地区代码</t>
        </is>
      </c>
      <c r="D11895" s="21" t="n">
        <v>411301</v>
      </c>
      <c r="E11895" s="21" t="inlineStr">
        <is>
          <t>河南省南阳市市辖区</t>
        </is>
      </c>
    </row>
    <row r="11896">
      <c r="B11896" s="41" t="inlineStr">
        <is>
          <t>AreaCode</t>
        </is>
      </c>
      <c r="C11896" s="129" t="inlineStr">
        <is>
          <t>地区代码</t>
        </is>
      </c>
      <c r="D11896" s="21" t="n">
        <v>411302</v>
      </c>
      <c r="E11896" s="21" t="inlineStr">
        <is>
          <t>河南省南阳市宛城区</t>
        </is>
      </c>
    </row>
    <row r="11897">
      <c r="B11897" s="41" t="inlineStr">
        <is>
          <t>AreaCode</t>
        </is>
      </c>
      <c r="C11897" s="129" t="inlineStr">
        <is>
          <t>地区代码</t>
        </is>
      </c>
      <c r="D11897" s="21" t="n">
        <v>411303</v>
      </c>
      <c r="E11897" s="21" t="inlineStr">
        <is>
          <t>河南省南阳市卧龙区</t>
        </is>
      </c>
    </row>
    <row r="11898">
      <c r="B11898" s="41" t="inlineStr">
        <is>
          <t>AreaCode</t>
        </is>
      </c>
      <c r="C11898" s="129" t="inlineStr">
        <is>
          <t>地区代码</t>
        </is>
      </c>
      <c r="D11898" s="21" t="n">
        <v>411321</v>
      </c>
      <c r="E11898" s="21" t="inlineStr">
        <is>
          <t>河南省南阳市南召县</t>
        </is>
      </c>
    </row>
    <row r="11899">
      <c r="B11899" s="41" t="inlineStr">
        <is>
          <t>AreaCode</t>
        </is>
      </c>
      <c r="C11899" s="129" t="inlineStr">
        <is>
          <t>地区代码</t>
        </is>
      </c>
      <c r="D11899" s="21" t="n">
        <v>411322</v>
      </c>
      <c r="E11899" s="21" t="inlineStr">
        <is>
          <t>河南省南阳市方城县</t>
        </is>
      </c>
    </row>
    <row r="11900">
      <c r="B11900" s="41" t="inlineStr">
        <is>
          <t>AreaCode</t>
        </is>
      </c>
      <c r="C11900" s="129" t="inlineStr">
        <is>
          <t>地区代码</t>
        </is>
      </c>
      <c r="D11900" s="21" t="n">
        <v>411323</v>
      </c>
      <c r="E11900" s="21" t="inlineStr">
        <is>
          <t>河南省南阳市西峡县</t>
        </is>
      </c>
    </row>
    <row r="11901">
      <c r="B11901" s="41" t="inlineStr">
        <is>
          <t>AreaCode</t>
        </is>
      </c>
      <c r="C11901" s="129" t="inlineStr">
        <is>
          <t>地区代码</t>
        </is>
      </c>
      <c r="D11901" s="21" t="n">
        <v>411324</v>
      </c>
      <c r="E11901" s="21" t="inlineStr">
        <is>
          <t>河南省南阳市镇平县</t>
        </is>
      </c>
    </row>
    <row r="11902">
      <c r="B11902" s="41" t="inlineStr">
        <is>
          <t>AreaCode</t>
        </is>
      </c>
      <c r="C11902" s="129" t="inlineStr">
        <is>
          <t>地区代码</t>
        </is>
      </c>
      <c r="D11902" s="21" t="n">
        <v>411325</v>
      </c>
      <c r="E11902" s="21" t="inlineStr">
        <is>
          <t>河南省南阳市内乡县</t>
        </is>
      </c>
    </row>
    <row r="11903">
      <c r="B11903" s="41" t="inlineStr">
        <is>
          <t>AreaCode</t>
        </is>
      </c>
      <c r="C11903" s="129" t="inlineStr">
        <is>
          <t>地区代码</t>
        </is>
      </c>
      <c r="D11903" s="21" t="n">
        <v>411326</v>
      </c>
      <c r="E11903" s="21" t="inlineStr">
        <is>
          <t>河南省南阳市淅川县</t>
        </is>
      </c>
    </row>
    <row r="11904">
      <c r="B11904" s="41" t="inlineStr">
        <is>
          <t>AreaCode</t>
        </is>
      </c>
      <c r="C11904" s="129" t="inlineStr">
        <is>
          <t>地区代码</t>
        </is>
      </c>
      <c r="D11904" s="21" t="n">
        <v>411327</v>
      </c>
      <c r="E11904" s="21" t="inlineStr">
        <is>
          <t>河南省南阳市社旗县</t>
        </is>
      </c>
    </row>
    <row r="11905">
      <c r="B11905" s="41" t="inlineStr">
        <is>
          <t>AreaCode</t>
        </is>
      </c>
      <c r="C11905" s="129" t="inlineStr">
        <is>
          <t>地区代码</t>
        </is>
      </c>
      <c r="D11905" s="21" t="n">
        <v>411328</v>
      </c>
      <c r="E11905" s="21" t="inlineStr">
        <is>
          <t>河南省南阳市唐河县</t>
        </is>
      </c>
    </row>
    <row r="11906">
      <c r="B11906" s="41" t="inlineStr">
        <is>
          <t>AreaCode</t>
        </is>
      </c>
      <c r="C11906" s="129" t="inlineStr">
        <is>
          <t>地区代码</t>
        </is>
      </c>
      <c r="D11906" s="21" t="n">
        <v>411329</v>
      </c>
      <c r="E11906" s="21" t="inlineStr">
        <is>
          <t>河南省南阳市新野县</t>
        </is>
      </c>
    </row>
    <row r="11907">
      <c r="B11907" s="41" t="inlineStr">
        <is>
          <t>AreaCode</t>
        </is>
      </c>
      <c r="C11907" s="129" t="inlineStr">
        <is>
          <t>地区代码</t>
        </is>
      </c>
      <c r="D11907" s="21" t="n">
        <v>411330</v>
      </c>
      <c r="E11907" s="21" t="inlineStr">
        <is>
          <t>河南省南阳市桐柏县</t>
        </is>
      </c>
    </row>
    <row r="11908">
      <c r="B11908" s="41" t="inlineStr">
        <is>
          <t>AreaCode</t>
        </is>
      </c>
      <c r="C11908" s="129" t="inlineStr">
        <is>
          <t>地区代码</t>
        </is>
      </c>
      <c r="D11908" s="21" t="n">
        <v>411381</v>
      </c>
      <c r="E11908" s="21" t="inlineStr">
        <is>
          <t>河南省南阳市邓州市</t>
        </is>
      </c>
    </row>
    <row r="11909">
      <c r="B11909" s="41" t="inlineStr">
        <is>
          <t>AreaCode</t>
        </is>
      </c>
      <c r="C11909" s="129" t="inlineStr">
        <is>
          <t>地区代码</t>
        </is>
      </c>
      <c r="D11909" s="21" t="n">
        <v>411400</v>
      </c>
      <c r="E11909" s="21" t="inlineStr">
        <is>
          <t>河南省商丘市</t>
        </is>
      </c>
    </row>
    <row r="11910">
      <c r="B11910" s="41" t="inlineStr">
        <is>
          <t>AreaCode</t>
        </is>
      </c>
      <c r="C11910" s="129" t="inlineStr">
        <is>
          <t>地区代码</t>
        </is>
      </c>
      <c r="D11910" s="21" t="n">
        <v>411401</v>
      </c>
      <c r="E11910" s="21" t="inlineStr">
        <is>
          <t>河南省商丘市市辖区</t>
        </is>
      </c>
    </row>
    <row r="11911">
      <c r="B11911" s="41" t="inlineStr">
        <is>
          <t>AreaCode</t>
        </is>
      </c>
      <c r="C11911" s="129" t="inlineStr">
        <is>
          <t>地区代码</t>
        </is>
      </c>
      <c r="D11911" s="21" t="n">
        <v>411402</v>
      </c>
      <c r="E11911" s="21" t="inlineStr">
        <is>
          <t>河南省商丘市梁园区</t>
        </is>
      </c>
    </row>
    <row r="11912">
      <c r="B11912" s="41" t="inlineStr">
        <is>
          <t>AreaCode</t>
        </is>
      </c>
      <c r="C11912" s="129" t="inlineStr">
        <is>
          <t>地区代码</t>
        </is>
      </c>
      <c r="D11912" s="21" t="n">
        <v>411403</v>
      </c>
      <c r="E11912" s="21" t="inlineStr">
        <is>
          <t>河南省商丘市睢阳区</t>
        </is>
      </c>
    </row>
    <row r="11913">
      <c r="B11913" s="41" t="inlineStr">
        <is>
          <t>AreaCode</t>
        </is>
      </c>
      <c r="C11913" s="129" t="inlineStr">
        <is>
          <t>地区代码</t>
        </is>
      </c>
      <c r="D11913" s="21" t="n">
        <v>411421</v>
      </c>
      <c r="E11913" s="21" t="inlineStr">
        <is>
          <t>河南省商丘市民权县</t>
        </is>
      </c>
    </row>
    <row r="11914">
      <c r="B11914" s="41" t="inlineStr">
        <is>
          <t>AreaCode</t>
        </is>
      </c>
      <c r="C11914" s="129" t="inlineStr">
        <is>
          <t>地区代码</t>
        </is>
      </c>
      <c r="D11914" s="21" t="n">
        <v>411422</v>
      </c>
      <c r="E11914" s="21" t="inlineStr">
        <is>
          <t>河南省商丘市睢县</t>
        </is>
      </c>
    </row>
    <row r="11915">
      <c r="B11915" s="41" t="inlineStr">
        <is>
          <t>AreaCode</t>
        </is>
      </c>
      <c r="C11915" s="129" t="inlineStr">
        <is>
          <t>地区代码</t>
        </is>
      </c>
      <c r="D11915" s="21" t="n">
        <v>411423</v>
      </c>
      <c r="E11915" s="21" t="inlineStr">
        <is>
          <t>河南省商丘市宁陵县</t>
        </is>
      </c>
    </row>
    <row r="11916">
      <c r="B11916" s="41" t="inlineStr">
        <is>
          <t>AreaCode</t>
        </is>
      </c>
      <c r="C11916" s="129" t="inlineStr">
        <is>
          <t>地区代码</t>
        </is>
      </c>
      <c r="D11916" s="21" t="n">
        <v>411424</v>
      </c>
      <c r="E11916" s="21" t="inlineStr">
        <is>
          <t>河南省商丘市柘城县</t>
        </is>
      </c>
    </row>
    <row r="11917">
      <c r="B11917" s="41" t="inlineStr">
        <is>
          <t>AreaCode</t>
        </is>
      </c>
      <c r="C11917" s="129" t="inlineStr">
        <is>
          <t>地区代码</t>
        </is>
      </c>
      <c r="D11917" s="21" t="n">
        <v>411425</v>
      </c>
      <c r="E11917" s="21" t="inlineStr">
        <is>
          <t>河南省商丘市虞城县</t>
        </is>
      </c>
    </row>
    <row r="11918">
      <c r="B11918" s="41" t="inlineStr">
        <is>
          <t>AreaCode</t>
        </is>
      </c>
      <c r="C11918" s="129" t="inlineStr">
        <is>
          <t>地区代码</t>
        </is>
      </c>
      <c r="D11918" s="21" t="n">
        <v>411426</v>
      </c>
      <c r="E11918" s="21" t="inlineStr">
        <is>
          <t>河南省商丘市夏邑县</t>
        </is>
      </c>
    </row>
    <row r="11919">
      <c r="B11919" s="41" t="inlineStr">
        <is>
          <t>AreaCode</t>
        </is>
      </c>
      <c r="C11919" s="129" t="inlineStr">
        <is>
          <t>地区代码</t>
        </is>
      </c>
      <c r="D11919" s="21" t="n">
        <v>411481</v>
      </c>
      <c r="E11919" s="21" t="inlineStr">
        <is>
          <t>河南省商丘市永城市</t>
        </is>
      </c>
    </row>
    <row r="11920">
      <c r="B11920" s="41" t="inlineStr">
        <is>
          <t>AreaCode</t>
        </is>
      </c>
      <c r="C11920" s="129" t="inlineStr">
        <is>
          <t>地区代码</t>
        </is>
      </c>
      <c r="D11920" s="21" t="n">
        <v>411500</v>
      </c>
      <c r="E11920" s="21" t="inlineStr">
        <is>
          <t>河南省信阳市</t>
        </is>
      </c>
    </row>
    <row r="11921">
      <c r="B11921" s="41" t="inlineStr">
        <is>
          <t>AreaCode</t>
        </is>
      </c>
      <c r="C11921" s="129" t="inlineStr">
        <is>
          <t>地区代码</t>
        </is>
      </c>
      <c r="D11921" s="21" t="n">
        <v>411501</v>
      </c>
      <c r="E11921" s="21" t="inlineStr">
        <is>
          <t>河南省信阳市市辖区</t>
        </is>
      </c>
    </row>
    <row r="11922">
      <c r="B11922" s="41" t="inlineStr">
        <is>
          <t>AreaCode</t>
        </is>
      </c>
      <c r="C11922" s="129" t="inlineStr">
        <is>
          <t>地区代码</t>
        </is>
      </c>
      <c r="D11922" s="21" t="n">
        <v>411502</v>
      </c>
      <c r="E11922" s="21" t="inlineStr">
        <is>
          <t>河南省信阳市浉河区</t>
        </is>
      </c>
    </row>
    <row r="11923">
      <c r="B11923" s="41" t="inlineStr">
        <is>
          <t>AreaCode</t>
        </is>
      </c>
      <c r="C11923" s="129" t="inlineStr">
        <is>
          <t>地区代码</t>
        </is>
      </c>
      <c r="D11923" s="21" t="n">
        <v>411503</v>
      </c>
      <c r="E11923" s="21" t="inlineStr">
        <is>
          <t>河南省信阳市平桥区</t>
        </is>
      </c>
    </row>
    <row r="11924">
      <c r="B11924" s="41" t="inlineStr">
        <is>
          <t>AreaCode</t>
        </is>
      </c>
      <c r="C11924" s="129" t="inlineStr">
        <is>
          <t>地区代码</t>
        </is>
      </c>
      <c r="D11924" s="21" t="n">
        <v>411521</v>
      </c>
      <c r="E11924" s="21" t="inlineStr">
        <is>
          <t>河南省信阳市罗山县</t>
        </is>
      </c>
    </row>
    <row r="11925">
      <c r="B11925" s="41" t="inlineStr">
        <is>
          <t>AreaCode</t>
        </is>
      </c>
      <c r="C11925" s="129" t="inlineStr">
        <is>
          <t>地区代码</t>
        </is>
      </c>
      <c r="D11925" s="21" t="n">
        <v>411522</v>
      </c>
      <c r="E11925" s="21" t="inlineStr">
        <is>
          <t>河南省信阳市光山县</t>
        </is>
      </c>
    </row>
    <row r="11926">
      <c r="B11926" s="41" t="inlineStr">
        <is>
          <t>AreaCode</t>
        </is>
      </c>
      <c r="C11926" s="129" t="inlineStr">
        <is>
          <t>地区代码</t>
        </is>
      </c>
      <c r="D11926" s="21" t="n">
        <v>411523</v>
      </c>
      <c r="E11926" s="21" t="inlineStr">
        <is>
          <t>河南省信阳市新县</t>
        </is>
      </c>
    </row>
    <row r="11927">
      <c r="B11927" s="41" t="inlineStr">
        <is>
          <t>AreaCode</t>
        </is>
      </c>
      <c r="C11927" s="129" t="inlineStr">
        <is>
          <t>地区代码</t>
        </is>
      </c>
      <c r="D11927" s="21" t="n">
        <v>411524</v>
      </c>
      <c r="E11927" s="21" t="inlineStr">
        <is>
          <t>河南省信阳市商城县</t>
        </is>
      </c>
    </row>
    <row r="11928">
      <c r="B11928" s="41" t="inlineStr">
        <is>
          <t>AreaCode</t>
        </is>
      </c>
      <c r="C11928" s="129" t="inlineStr">
        <is>
          <t>地区代码</t>
        </is>
      </c>
      <c r="D11928" s="21" t="n">
        <v>411525</v>
      </c>
      <c r="E11928" s="21" t="inlineStr">
        <is>
          <t>河南省信阳市固始县</t>
        </is>
      </c>
    </row>
    <row r="11929">
      <c r="B11929" s="41" t="inlineStr">
        <is>
          <t>AreaCode</t>
        </is>
      </c>
      <c r="C11929" s="129" t="inlineStr">
        <is>
          <t>地区代码</t>
        </is>
      </c>
      <c r="D11929" s="21" t="n">
        <v>411526</v>
      </c>
      <c r="E11929" s="21" t="inlineStr">
        <is>
          <t>河南省信阳市潢川县</t>
        </is>
      </c>
    </row>
    <row r="11930">
      <c r="B11930" s="41" t="inlineStr">
        <is>
          <t>AreaCode</t>
        </is>
      </c>
      <c r="C11930" s="129" t="inlineStr">
        <is>
          <t>地区代码</t>
        </is>
      </c>
      <c r="D11930" s="21" t="n">
        <v>411527</v>
      </c>
      <c r="E11930" s="21" t="inlineStr">
        <is>
          <t>河南省信阳市淮滨县</t>
        </is>
      </c>
    </row>
    <row r="11931">
      <c r="B11931" s="41" t="inlineStr">
        <is>
          <t>AreaCode</t>
        </is>
      </c>
      <c r="C11931" s="129" t="inlineStr">
        <is>
          <t>地区代码</t>
        </is>
      </c>
      <c r="D11931" s="21" t="n">
        <v>411528</v>
      </c>
      <c r="E11931" s="21" t="inlineStr">
        <is>
          <t>河南省信阳市息县</t>
        </is>
      </c>
    </row>
    <row r="11932">
      <c r="B11932" s="41" t="inlineStr">
        <is>
          <t>AreaCode</t>
        </is>
      </c>
      <c r="C11932" s="129" t="inlineStr">
        <is>
          <t>地区代码</t>
        </is>
      </c>
      <c r="D11932" s="21" t="n">
        <v>411600</v>
      </c>
      <c r="E11932" s="21" t="inlineStr">
        <is>
          <t>河南省周口市</t>
        </is>
      </c>
    </row>
    <row r="11933">
      <c r="B11933" s="41" t="inlineStr">
        <is>
          <t>AreaCode</t>
        </is>
      </c>
      <c r="C11933" s="129" t="inlineStr">
        <is>
          <t>地区代码</t>
        </is>
      </c>
      <c r="D11933" s="21" t="n">
        <v>411601</v>
      </c>
      <c r="E11933" s="21" t="inlineStr">
        <is>
          <t>河南省周口市市辖区</t>
        </is>
      </c>
    </row>
    <row r="11934">
      <c r="B11934" s="41" t="inlineStr">
        <is>
          <t>AreaCode</t>
        </is>
      </c>
      <c r="C11934" s="129" t="inlineStr">
        <is>
          <t>地区代码</t>
        </is>
      </c>
      <c r="D11934" s="21" t="n">
        <v>411602</v>
      </c>
      <c r="E11934" s="21" t="inlineStr">
        <is>
          <t>河南省周口市川汇区</t>
        </is>
      </c>
    </row>
    <row r="11935">
      <c r="B11935" s="41" t="inlineStr">
        <is>
          <t>AreaCode</t>
        </is>
      </c>
      <c r="C11935" s="129" t="inlineStr">
        <is>
          <t>地区代码</t>
        </is>
      </c>
      <c r="D11935" s="21" t="n">
        <v>411621</v>
      </c>
      <c r="E11935" s="21" t="inlineStr">
        <is>
          <t>河南省周口市扶沟县</t>
        </is>
      </c>
    </row>
    <row r="11936">
      <c r="B11936" s="41" t="inlineStr">
        <is>
          <t>AreaCode</t>
        </is>
      </c>
      <c r="C11936" s="129" t="inlineStr">
        <is>
          <t>地区代码</t>
        </is>
      </c>
      <c r="D11936" s="21" t="n">
        <v>411622</v>
      </c>
      <c r="E11936" s="21" t="inlineStr">
        <is>
          <t>河南省周口市西华县</t>
        </is>
      </c>
    </row>
    <row r="11937">
      <c r="B11937" s="41" t="inlineStr">
        <is>
          <t>AreaCode</t>
        </is>
      </c>
      <c r="C11937" s="129" t="inlineStr">
        <is>
          <t>地区代码</t>
        </is>
      </c>
      <c r="D11937" s="21" t="n">
        <v>411623</v>
      </c>
      <c r="E11937" s="21" t="inlineStr">
        <is>
          <t>河南省周口市商水县</t>
        </is>
      </c>
    </row>
    <row r="11938">
      <c r="B11938" s="41" t="inlineStr">
        <is>
          <t>AreaCode</t>
        </is>
      </c>
      <c r="C11938" s="129" t="inlineStr">
        <is>
          <t>地区代码</t>
        </is>
      </c>
      <c r="D11938" s="21" t="n">
        <v>411624</v>
      </c>
      <c r="E11938" s="21" t="inlineStr">
        <is>
          <t>河南省周口市沈丘县</t>
        </is>
      </c>
    </row>
    <row r="11939">
      <c r="B11939" s="41" t="inlineStr">
        <is>
          <t>AreaCode</t>
        </is>
      </c>
      <c r="C11939" s="129" t="inlineStr">
        <is>
          <t>地区代码</t>
        </is>
      </c>
      <c r="D11939" s="21" t="n">
        <v>411625</v>
      </c>
      <c r="E11939" s="21" t="inlineStr">
        <is>
          <t>河南省周口市郸城县</t>
        </is>
      </c>
    </row>
    <row r="11940">
      <c r="B11940" s="41" t="inlineStr">
        <is>
          <t>AreaCode</t>
        </is>
      </c>
      <c r="C11940" s="129" t="inlineStr">
        <is>
          <t>地区代码</t>
        </is>
      </c>
      <c r="D11940" s="21" t="n">
        <v>411626</v>
      </c>
      <c r="E11940" s="21" t="inlineStr">
        <is>
          <t>河南省周口市淮阳县</t>
        </is>
      </c>
    </row>
    <row r="11941">
      <c r="B11941" s="41" t="inlineStr">
        <is>
          <t>AreaCode</t>
        </is>
      </c>
      <c r="C11941" s="129" t="inlineStr">
        <is>
          <t>地区代码</t>
        </is>
      </c>
      <c r="D11941" s="21" t="n">
        <v>411627</v>
      </c>
      <c r="E11941" s="21" t="inlineStr">
        <is>
          <t>河南省周口市太康县</t>
        </is>
      </c>
    </row>
    <row r="11942">
      <c r="B11942" s="41" t="inlineStr">
        <is>
          <t>AreaCode</t>
        </is>
      </c>
      <c r="C11942" s="129" t="inlineStr">
        <is>
          <t>地区代码</t>
        </is>
      </c>
      <c r="D11942" s="21" t="n">
        <v>411628</v>
      </c>
      <c r="E11942" s="21" t="inlineStr">
        <is>
          <t>河南省周口市鹿邑县</t>
        </is>
      </c>
    </row>
    <row r="11943">
      <c r="B11943" s="41" t="inlineStr">
        <is>
          <t>AreaCode</t>
        </is>
      </c>
      <c r="C11943" s="129" t="inlineStr">
        <is>
          <t>地区代码</t>
        </is>
      </c>
      <c r="D11943" s="21" t="n">
        <v>411681</v>
      </c>
      <c r="E11943" s="21" t="inlineStr">
        <is>
          <t>河南省周口市项城市</t>
        </is>
      </c>
    </row>
    <row r="11944">
      <c r="B11944" s="41" t="inlineStr">
        <is>
          <t>AreaCode</t>
        </is>
      </c>
      <c r="C11944" s="129" t="inlineStr">
        <is>
          <t>地区代码</t>
        </is>
      </c>
      <c r="D11944" s="21" t="n">
        <v>411700</v>
      </c>
      <c r="E11944" s="21" t="inlineStr">
        <is>
          <t>河南省驻马店市</t>
        </is>
      </c>
    </row>
    <row r="11945">
      <c r="B11945" s="41" t="inlineStr">
        <is>
          <t>AreaCode</t>
        </is>
      </c>
      <c r="C11945" s="129" t="inlineStr">
        <is>
          <t>地区代码</t>
        </is>
      </c>
      <c r="D11945" s="21" t="n">
        <v>411701</v>
      </c>
      <c r="E11945" s="21" t="inlineStr">
        <is>
          <t>河南省驻马店市市辖区</t>
        </is>
      </c>
    </row>
    <row r="11946">
      <c r="B11946" s="41" t="inlineStr">
        <is>
          <t>AreaCode</t>
        </is>
      </c>
      <c r="C11946" s="129" t="inlineStr">
        <is>
          <t>地区代码</t>
        </is>
      </c>
      <c r="D11946" s="21" t="n">
        <v>411702</v>
      </c>
      <c r="E11946" s="21" t="inlineStr">
        <is>
          <t>河南省驻马店市驿城区</t>
        </is>
      </c>
    </row>
    <row r="11947">
      <c r="B11947" s="41" t="inlineStr">
        <is>
          <t>AreaCode</t>
        </is>
      </c>
      <c r="C11947" s="129" t="inlineStr">
        <is>
          <t>地区代码</t>
        </is>
      </c>
      <c r="D11947" s="21" t="n">
        <v>411721</v>
      </c>
      <c r="E11947" s="21" t="inlineStr">
        <is>
          <t>河南省驻马店市西平县</t>
        </is>
      </c>
    </row>
    <row r="11948">
      <c r="B11948" s="41" t="inlineStr">
        <is>
          <t>AreaCode</t>
        </is>
      </c>
      <c r="C11948" s="129" t="inlineStr">
        <is>
          <t>地区代码</t>
        </is>
      </c>
      <c r="D11948" s="21" t="n">
        <v>411722</v>
      </c>
      <c r="E11948" s="21" t="inlineStr">
        <is>
          <t>河南省驻马店市上蔡县</t>
        </is>
      </c>
    </row>
    <row r="11949">
      <c r="B11949" s="41" t="inlineStr">
        <is>
          <t>AreaCode</t>
        </is>
      </c>
      <c r="C11949" s="129" t="inlineStr">
        <is>
          <t>地区代码</t>
        </is>
      </c>
      <c r="D11949" s="21" t="n">
        <v>411723</v>
      </c>
      <c r="E11949" s="21" t="inlineStr">
        <is>
          <t>河南省驻马店市平舆县</t>
        </is>
      </c>
    </row>
    <row r="11950">
      <c r="B11950" s="41" t="inlineStr">
        <is>
          <t>AreaCode</t>
        </is>
      </c>
      <c r="C11950" s="129" t="inlineStr">
        <is>
          <t>地区代码</t>
        </is>
      </c>
      <c r="D11950" s="21" t="n">
        <v>411724</v>
      </c>
      <c r="E11950" s="21" t="inlineStr">
        <is>
          <t>河南省驻马店市正阳县</t>
        </is>
      </c>
    </row>
    <row r="11951">
      <c r="B11951" s="41" t="inlineStr">
        <is>
          <t>AreaCode</t>
        </is>
      </c>
      <c r="C11951" s="129" t="inlineStr">
        <is>
          <t>地区代码</t>
        </is>
      </c>
      <c r="D11951" s="21" t="n">
        <v>411725</v>
      </c>
      <c r="E11951" s="21" t="inlineStr">
        <is>
          <t>河南省驻马店市确山县</t>
        </is>
      </c>
    </row>
    <row r="11952">
      <c r="B11952" s="41" t="inlineStr">
        <is>
          <t>AreaCode</t>
        </is>
      </c>
      <c r="C11952" s="129" t="inlineStr">
        <is>
          <t>地区代码</t>
        </is>
      </c>
      <c r="D11952" s="21" t="n">
        <v>411726</v>
      </c>
      <c r="E11952" s="21" t="inlineStr">
        <is>
          <t>河南省驻马店市泌阳县</t>
        </is>
      </c>
    </row>
    <row r="11953">
      <c r="B11953" s="41" t="inlineStr">
        <is>
          <t>AreaCode</t>
        </is>
      </c>
      <c r="C11953" s="129" t="inlineStr">
        <is>
          <t>地区代码</t>
        </is>
      </c>
      <c r="D11953" s="21" t="n">
        <v>411727</v>
      </c>
      <c r="E11953" s="21" t="inlineStr">
        <is>
          <t>河南省驻马店市汝南县</t>
        </is>
      </c>
    </row>
    <row r="11954">
      <c r="B11954" s="41" t="inlineStr">
        <is>
          <t>AreaCode</t>
        </is>
      </c>
      <c r="C11954" s="129" t="inlineStr">
        <is>
          <t>地区代码</t>
        </is>
      </c>
      <c r="D11954" s="21" t="n">
        <v>411728</v>
      </c>
      <c r="E11954" s="21" t="inlineStr">
        <is>
          <t>河南省驻马店市遂平县</t>
        </is>
      </c>
    </row>
    <row r="11955">
      <c r="B11955" s="41" t="inlineStr">
        <is>
          <t>AreaCode</t>
        </is>
      </c>
      <c r="C11955" s="129" t="inlineStr">
        <is>
          <t>地区代码</t>
        </is>
      </c>
      <c r="D11955" s="21" t="n">
        <v>411729</v>
      </c>
      <c r="E11955" s="21" t="inlineStr">
        <is>
          <t>河南省驻马店市新蔡县</t>
        </is>
      </c>
    </row>
    <row r="11956">
      <c r="B11956" s="41" t="inlineStr">
        <is>
          <t>AreaCode</t>
        </is>
      </c>
      <c r="C11956" s="129" t="inlineStr">
        <is>
          <t>地区代码</t>
        </is>
      </c>
      <c r="D11956" s="21" t="n">
        <v>419000</v>
      </c>
      <c r="E11956" s="21" t="inlineStr">
        <is>
          <t>河南省省直辖县级行政区划</t>
        </is>
      </c>
    </row>
    <row r="11957">
      <c r="B11957" s="41" t="inlineStr">
        <is>
          <t>AreaCode</t>
        </is>
      </c>
      <c r="C11957" s="129" t="inlineStr">
        <is>
          <t>地区代码</t>
        </is>
      </c>
      <c r="D11957" s="21" t="n">
        <v>419001</v>
      </c>
      <c r="E11957" s="21" t="inlineStr">
        <is>
          <t>河南省省直辖县级行政区划济源市</t>
        </is>
      </c>
    </row>
    <row r="11958">
      <c r="B11958" s="41" t="inlineStr">
        <is>
          <t>AreaCode</t>
        </is>
      </c>
      <c r="C11958" s="129" t="inlineStr">
        <is>
          <t>地区代码</t>
        </is>
      </c>
      <c r="D11958" s="21" t="n">
        <v>420000</v>
      </c>
      <c r="E11958" s="21" t="inlineStr">
        <is>
          <t>湖北省</t>
        </is>
      </c>
    </row>
    <row r="11959">
      <c r="B11959" s="41" t="inlineStr">
        <is>
          <t>AreaCode</t>
        </is>
      </c>
      <c r="C11959" s="129" t="inlineStr">
        <is>
          <t>地区代码</t>
        </is>
      </c>
      <c r="D11959" s="21" t="n">
        <v>420100</v>
      </c>
      <c r="E11959" s="21" t="inlineStr">
        <is>
          <t>湖北省武汉市</t>
        </is>
      </c>
    </row>
    <row r="11960">
      <c r="B11960" s="41" t="inlineStr">
        <is>
          <t>AreaCode</t>
        </is>
      </c>
      <c r="C11960" s="129" t="inlineStr">
        <is>
          <t>地区代码</t>
        </is>
      </c>
      <c r="D11960" s="21" t="n">
        <v>420101</v>
      </c>
      <c r="E11960" s="21" t="inlineStr">
        <is>
          <t>湖北省武汉市市辖区</t>
        </is>
      </c>
    </row>
    <row r="11961">
      <c r="B11961" s="41" t="inlineStr">
        <is>
          <t>AreaCode</t>
        </is>
      </c>
      <c r="C11961" s="129" t="inlineStr">
        <is>
          <t>地区代码</t>
        </is>
      </c>
      <c r="D11961" s="21" t="n">
        <v>420102</v>
      </c>
      <c r="E11961" s="21" t="inlineStr">
        <is>
          <t>湖北省武汉市江岸区</t>
        </is>
      </c>
    </row>
    <row r="11962">
      <c r="B11962" s="41" t="inlineStr">
        <is>
          <t>AreaCode</t>
        </is>
      </c>
      <c r="C11962" s="129" t="inlineStr">
        <is>
          <t>地区代码</t>
        </is>
      </c>
      <c r="D11962" s="21" t="n">
        <v>420103</v>
      </c>
      <c r="E11962" s="21" t="inlineStr">
        <is>
          <t>湖北省武汉市江汉区</t>
        </is>
      </c>
    </row>
    <row r="11963">
      <c r="B11963" s="41" t="inlineStr">
        <is>
          <t>AreaCode</t>
        </is>
      </c>
      <c r="C11963" s="129" t="inlineStr">
        <is>
          <t>地区代码</t>
        </is>
      </c>
      <c r="D11963" s="21" t="n">
        <v>420104</v>
      </c>
      <c r="E11963" s="21" t="inlineStr">
        <is>
          <t>湖北省武汉市硚口区</t>
        </is>
      </c>
    </row>
    <row r="11964">
      <c r="B11964" s="41" t="inlineStr">
        <is>
          <t>AreaCode</t>
        </is>
      </c>
      <c r="C11964" s="129" t="inlineStr">
        <is>
          <t>地区代码</t>
        </is>
      </c>
      <c r="D11964" s="21" t="n">
        <v>420105</v>
      </c>
      <c r="E11964" s="21" t="inlineStr">
        <is>
          <t>湖北省武汉市汉阳区</t>
        </is>
      </c>
    </row>
    <row r="11965">
      <c r="B11965" s="41" t="inlineStr">
        <is>
          <t>AreaCode</t>
        </is>
      </c>
      <c r="C11965" s="129" t="inlineStr">
        <is>
          <t>地区代码</t>
        </is>
      </c>
      <c r="D11965" s="21" t="n">
        <v>420106</v>
      </c>
      <c r="E11965" s="21" t="inlineStr">
        <is>
          <t>湖北省武汉市武昌区</t>
        </is>
      </c>
    </row>
    <row r="11966">
      <c r="B11966" s="41" t="inlineStr">
        <is>
          <t>AreaCode</t>
        </is>
      </c>
      <c r="C11966" s="129" t="inlineStr">
        <is>
          <t>地区代码</t>
        </is>
      </c>
      <c r="D11966" s="21" t="n">
        <v>420107</v>
      </c>
      <c r="E11966" s="21" t="inlineStr">
        <is>
          <t>湖北省武汉市青山区</t>
        </is>
      </c>
    </row>
    <row r="11967">
      <c r="B11967" s="41" t="inlineStr">
        <is>
          <t>AreaCode</t>
        </is>
      </c>
      <c r="C11967" s="129" t="inlineStr">
        <is>
          <t>地区代码</t>
        </is>
      </c>
      <c r="D11967" s="21" t="n">
        <v>420111</v>
      </c>
      <c r="E11967" s="21" t="inlineStr">
        <is>
          <t>湖北省武汉市洪山区</t>
        </is>
      </c>
    </row>
    <row r="11968">
      <c r="B11968" s="41" t="inlineStr">
        <is>
          <t>AreaCode</t>
        </is>
      </c>
      <c r="C11968" s="129" t="inlineStr">
        <is>
          <t>地区代码</t>
        </is>
      </c>
      <c r="D11968" s="21" t="n">
        <v>420112</v>
      </c>
      <c r="E11968" s="21" t="inlineStr">
        <is>
          <t>湖北省武汉市东西湖区</t>
        </is>
      </c>
    </row>
    <row r="11969">
      <c r="B11969" s="41" t="inlineStr">
        <is>
          <t>AreaCode</t>
        </is>
      </c>
      <c r="C11969" s="129" t="inlineStr">
        <is>
          <t>地区代码</t>
        </is>
      </c>
      <c r="D11969" s="21" t="n">
        <v>420113</v>
      </c>
      <c r="E11969" s="21" t="inlineStr">
        <is>
          <t>湖北省武汉市汉南区</t>
        </is>
      </c>
    </row>
    <row r="11970">
      <c r="B11970" s="41" t="inlineStr">
        <is>
          <t>AreaCode</t>
        </is>
      </c>
      <c r="C11970" s="129" t="inlineStr">
        <is>
          <t>地区代码</t>
        </is>
      </c>
      <c r="D11970" s="21" t="n">
        <v>420114</v>
      </c>
      <c r="E11970" s="21" t="inlineStr">
        <is>
          <t>湖北省武汉市蔡甸区</t>
        </is>
      </c>
    </row>
    <row r="11971">
      <c r="B11971" s="41" t="inlineStr">
        <is>
          <t>AreaCode</t>
        </is>
      </c>
      <c r="C11971" s="129" t="inlineStr">
        <is>
          <t>地区代码</t>
        </is>
      </c>
      <c r="D11971" s="21" t="n">
        <v>420115</v>
      </c>
      <c r="E11971" s="21" t="inlineStr">
        <is>
          <t>湖北省武汉市江夏区</t>
        </is>
      </c>
    </row>
    <row r="11972">
      <c r="B11972" s="41" t="inlineStr">
        <is>
          <t>AreaCode</t>
        </is>
      </c>
      <c r="C11972" s="129" t="inlineStr">
        <is>
          <t>地区代码</t>
        </is>
      </c>
      <c r="D11972" s="21" t="n">
        <v>420116</v>
      </c>
      <c r="E11972" s="21" t="inlineStr">
        <is>
          <t>湖北省武汉市黄陂区</t>
        </is>
      </c>
    </row>
    <row r="11973">
      <c r="B11973" s="41" t="inlineStr">
        <is>
          <t>AreaCode</t>
        </is>
      </c>
      <c r="C11973" s="129" t="inlineStr">
        <is>
          <t>地区代码</t>
        </is>
      </c>
      <c r="D11973" s="21" t="n">
        <v>420117</v>
      </c>
      <c r="E11973" s="21" t="inlineStr">
        <is>
          <t>湖北省武汉市新洲区</t>
        </is>
      </c>
    </row>
    <row r="11974">
      <c r="B11974" s="41" t="inlineStr">
        <is>
          <t>AreaCode</t>
        </is>
      </c>
      <c r="C11974" s="129" t="inlineStr">
        <is>
          <t>地区代码</t>
        </is>
      </c>
      <c r="D11974" s="21" t="n">
        <v>420200</v>
      </c>
      <c r="E11974" s="21" t="inlineStr">
        <is>
          <t>湖北省黄石市</t>
        </is>
      </c>
    </row>
    <row r="11975">
      <c r="B11975" s="41" t="inlineStr">
        <is>
          <t>AreaCode</t>
        </is>
      </c>
      <c r="C11975" s="129" t="inlineStr">
        <is>
          <t>地区代码</t>
        </is>
      </c>
      <c r="D11975" s="21" t="n">
        <v>420201</v>
      </c>
      <c r="E11975" s="21" t="inlineStr">
        <is>
          <t>湖北省黄石市市辖区</t>
        </is>
      </c>
    </row>
    <row r="11976">
      <c r="B11976" s="41" t="inlineStr">
        <is>
          <t>AreaCode</t>
        </is>
      </c>
      <c r="C11976" s="129" t="inlineStr">
        <is>
          <t>地区代码</t>
        </is>
      </c>
      <c r="D11976" s="21" t="n">
        <v>420202</v>
      </c>
      <c r="E11976" s="21" t="inlineStr">
        <is>
          <t>湖北省黄石市黄石港区</t>
        </is>
      </c>
    </row>
    <row r="11977">
      <c r="B11977" s="41" t="inlineStr">
        <is>
          <t>AreaCode</t>
        </is>
      </c>
      <c r="C11977" s="129" t="inlineStr">
        <is>
          <t>地区代码</t>
        </is>
      </c>
      <c r="D11977" s="21" t="n">
        <v>420203</v>
      </c>
      <c r="E11977" s="21" t="inlineStr">
        <is>
          <t>湖北省黄石市西塞山区</t>
        </is>
      </c>
    </row>
    <row r="11978">
      <c r="B11978" s="41" t="inlineStr">
        <is>
          <t>AreaCode</t>
        </is>
      </c>
      <c r="C11978" s="129" t="inlineStr">
        <is>
          <t>地区代码</t>
        </is>
      </c>
      <c r="D11978" s="21" t="n">
        <v>420204</v>
      </c>
      <c r="E11978" s="21" t="inlineStr">
        <is>
          <t>湖北省黄石市下陆区</t>
        </is>
      </c>
    </row>
    <row r="11979">
      <c r="B11979" s="41" t="inlineStr">
        <is>
          <t>AreaCode</t>
        </is>
      </c>
      <c r="C11979" s="129" t="inlineStr">
        <is>
          <t>地区代码</t>
        </is>
      </c>
      <c r="D11979" s="21" t="n">
        <v>420205</v>
      </c>
      <c r="E11979" s="21" t="inlineStr">
        <is>
          <t>湖北省黄石市铁山区</t>
        </is>
      </c>
    </row>
    <row r="11980">
      <c r="B11980" s="41" t="inlineStr">
        <is>
          <t>AreaCode</t>
        </is>
      </c>
      <c r="C11980" s="129" t="inlineStr">
        <is>
          <t>地区代码</t>
        </is>
      </c>
      <c r="D11980" s="21" t="n">
        <v>420222</v>
      </c>
      <c r="E11980" s="21" t="inlineStr">
        <is>
          <t>湖北省黄石市阳新县</t>
        </is>
      </c>
    </row>
    <row r="11981">
      <c r="B11981" s="41" t="inlineStr">
        <is>
          <t>AreaCode</t>
        </is>
      </c>
      <c r="C11981" s="129" t="inlineStr">
        <is>
          <t>地区代码</t>
        </is>
      </c>
      <c r="D11981" s="21" t="n">
        <v>420281</v>
      </c>
      <c r="E11981" s="21" t="inlineStr">
        <is>
          <t>湖北省黄石市大冶市</t>
        </is>
      </c>
    </row>
    <row r="11982">
      <c r="B11982" s="41" t="inlineStr">
        <is>
          <t>AreaCode</t>
        </is>
      </c>
      <c r="C11982" s="129" t="inlineStr">
        <is>
          <t>地区代码</t>
        </is>
      </c>
      <c r="D11982" s="21" t="n">
        <v>420300</v>
      </c>
      <c r="E11982" s="21" t="inlineStr">
        <is>
          <t>湖北省十堰市</t>
        </is>
      </c>
    </row>
    <row r="11983">
      <c r="B11983" s="41" t="inlineStr">
        <is>
          <t>AreaCode</t>
        </is>
      </c>
      <c r="C11983" s="129" t="inlineStr">
        <is>
          <t>地区代码</t>
        </is>
      </c>
      <c r="D11983" s="21" t="n">
        <v>420301</v>
      </c>
      <c r="E11983" s="21" t="inlineStr">
        <is>
          <t>湖北省十堰市市辖区</t>
        </is>
      </c>
    </row>
    <row r="11984">
      <c r="B11984" s="41" t="inlineStr">
        <is>
          <t>AreaCode</t>
        </is>
      </c>
      <c r="C11984" s="129" t="inlineStr">
        <is>
          <t>地区代码</t>
        </is>
      </c>
      <c r="D11984" s="21" t="n">
        <v>420302</v>
      </c>
      <c r="E11984" s="21" t="inlineStr">
        <is>
          <t>湖北省十堰市茅箭区</t>
        </is>
      </c>
    </row>
    <row r="11985">
      <c r="B11985" s="41" t="inlineStr">
        <is>
          <t>AreaCode</t>
        </is>
      </c>
      <c r="C11985" s="129" t="inlineStr">
        <is>
          <t>地区代码</t>
        </is>
      </c>
      <c r="D11985" s="21" t="n">
        <v>420303</v>
      </c>
      <c r="E11985" s="21" t="inlineStr">
        <is>
          <t>湖北省十堰市张湾区</t>
        </is>
      </c>
    </row>
    <row r="11986">
      <c r="B11986" s="41" t="inlineStr">
        <is>
          <t>AreaCode</t>
        </is>
      </c>
      <c r="C11986" s="129" t="inlineStr">
        <is>
          <t>地区代码</t>
        </is>
      </c>
      <c r="D11986" s="21" t="n">
        <v>420304</v>
      </c>
      <c r="E11986" s="21" t="inlineStr">
        <is>
          <t>湖北省十堰市郧阳区</t>
        </is>
      </c>
    </row>
    <row r="11987">
      <c r="B11987" s="41" t="inlineStr">
        <is>
          <t>AreaCode</t>
        </is>
      </c>
      <c r="C11987" s="129" t="inlineStr">
        <is>
          <t>地区代码</t>
        </is>
      </c>
      <c r="D11987" s="21" t="n">
        <v>420322</v>
      </c>
      <c r="E11987" s="21" t="inlineStr">
        <is>
          <t>湖北省十堰市郧西县</t>
        </is>
      </c>
    </row>
    <row r="11988">
      <c r="B11988" s="41" t="inlineStr">
        <is>
          <t>AreaCode</t>
        </is>
      </c>
      <c r="C11988" s="129" t="inlineStr">
        <is>
          <t>地区代码</t>
        </is>
      </c>
      <c r="D11988" s="21" t="n">
        <v>420323</v>
      </c>
      <c r="E11988" s="21" t="inlineStr">
        <is>
          <t>湖北省十堰市竹山县</t>
        </is>
      </c>
    </row>
    <row r="11989">
      <c r="B11989" s="41" t="inlineStr">
        <is>
          <t>AreaCode</t>
        </is>
      </c>
      <c r="C11989" s="129" t="inlineStr">
        <is>
          <t>地区代码</t>
        </is>
      </c>
      <c r="D11989" s="21" t="n">
        <v>420324</v>
      </c>
      <c r="E11989" s="21" t="inlineStr">
        <is>
          <t>湖北省十堰市竹溪县</t>
        </is>
      </c>
    </row>
    <row r="11990">
      <c r="B11990" s="41" t="inlineStr">
        <is>
          <t>AreaCode</t>
        </is>
      </c>
      <c r="C11990" s="129" t="inlineStr">
        <is>
          <t>地区代码</t>
        </is>
      </c>
      <c r="D11990" s="21" t="n">
        <v>420325</v>
      </c>
      <c r="E11990" s="21" t="inlineStr">
        <is>
          <t>湖北省十堰市房县</t>
        </is>
      </c>
    </row>
    <row r="11991">
      <c r="B11991" s="41" t="inlineStr">
        <is>
          <t>AreaCode</t>
        </is>
      </c>
      <c r="C11991" s="129" t="inlineStr">
        <is>
          <t>地区代码</t>
        </is>
      </c>
      <c r="D11991" s="21" t="n">
        <v>420381</v>
      </c>
      <c r="E11991" s="21" t="inlineStr">
        <is>
          <t>湖北省十堰市丹江口市</t>
        </is>
      </c>
    </row>
    <row r="11992">
      <c r="B11992" s="41" t="inlineStr">
        <is>
          <t>AreaCode</t>
        </is>
      </c>
      <c r="C11992" s="129" t="inlineStr">
        <is>
          <t>地区代码</t>
        </is>
      </c>
      <c r="D11992" s="21" t="n">
        <v>420500</v>
      </c>
      <c r="E11992" s="21" t="inlineStr">
        <is>
          <t>湖北省宜昌市</t>
        </is>
      </c>
    </row>
    <row r="11993">
      <c r="B11993" s="41" t="inlineStr">
        <is>
          <t>AreaCode</t>
        </is>
      </c>
      <c r="C11993" s="129" t="inlineStr">
        <is>
          <t>地区代码</t>
        </is>
      </c>
      <c r="D11993" s="21" t="n">
        <v>420501</v>
      </c>
      <c r="E11993" s="21" t="inlineStr">
        <is>
          <t>湖北省宜昌市市辖区</t>
        </is>
      </c>
    </row>
    <row r="11994">
      <c r="B11994" s="41" t="inlineStr">
        <is>
          <t>AreaCode</t>
        </is>
      </c>
      <c r="C11994" s="129" t="inlineStr">
        <is>
          <t>地区代码</t>
        </is>
      </c>
      <c r="D11994" s="21" t="n">
        <v>420502</v>
      </c>
      <c r="E11994" s="21" t="inlineStr">
        <is>
          <t>湖北省宜昌市西陵区</t>
        </is>
      </c>
    </row>
    <row r="11995">
      <c r="B11995" s="41" t="inlineStr">
        <is>
          <t>AreaCode</t>
        </is>
      </c>
      <c r="C11995" s="129" t="inlineStr">
        <is>
          <t>地区代码</t>
        </is>
      </c>
      <c r="D11995" s="21" t="n">
        <v>420503</v>
      </c>
      <c r="E11995" s="21" t="inlineStr">
        <is>
          <t>湖北省宜昌市伍家岗区</t>
        </is>
      </c>
    </row>
    <row r="11996">
      <c r="B11996" s="41" t="inlineStr">
        <is>
          <t>AreaCode</t>
        </is>
      </c>
      <c r="C11996" s="129" t="inlineStr">
        <is>
          <t>地区代码</t>
        </is>
      </c>
      <c r="D11996" s="21" t="n">
        <v>420504</v>
      </c>
      <c r="E11996" s="21" t="inlineStr">
        <is>
          <t>湖北省宜昌市点军区</t>
        </is>
      </c>
    </row>
    <row r="11997">
      <c r="B11997" s="41" t="inlineStr">
        <is>
          <t>AreaCode</t>
        </is>
      </c>
      <c r="C11997" s="129" t="inlineStr">
        <is>
          <t>地区代码</t>
        </is>
      </c>
      <c r="D11997" s="21" t="n">
        <v>420505</v>
      </c>
      <c r="E11997" s="21" t="inlineStr">
        <is>
          <t>湖北省宜昌市猇亭区</t>
        </is>
      </c>
    </row>
    <row r="11998">
      <c r="B11998" s="41" t="inlineStr">
        <is>
          <t>AreaCode</t>
        </is>
      </c>
      <c r="C11998" s="129" t="inlineStr">
        <is>
          <t>地区代码</t>
        </is>
      </c>
      <c r="D11998" s="21" t="n">
        <v>420506</v>
      </c>
      <c r="E11998" s="21" t="inlineStr">
        <is>
          <t>湖北省宜昌市夷陵区</t>
        </is>
      </c>
    </row>
    <row r="11999">
      <c r="B11999" s="41" t="inlineStr">
        <is>
          <t>AreaCode</t>
        </is>
      </c>
      <c r="C11999" s="129" t="inlineStr">
        <is>
          <t>地区代码</t>
        </is>
      </c>
      <c r="D11999" s="21" t="n">
        <v>420525</v>
      </c>
      <c r="E11999" s="21" t="inlineStr">
        <is>
          <t>湖北省宜昌市远安县</t>
        </is>
      </c>
    </row>
    <row r="12000">
      <c r="B12000" s="41" t="inlineStr">
        <is>
          <t>AreaCode</t>
        </is>
      </c>
      <c r="C12000" s="129" t="inlineStr">
        <is>
          <t>地区代码</t>
        </is>
      </c>
      <c r="D12000" s="21" t="n">
        <v>420526</v>
      </c>
      <c r="E12000" s="21" t="inlineStr">
        <is>
          <t>湖北省宜昌市兴山县</t>
        </is>
      </c>
    </row>
    <row r="12001">
      <c r="B12001" s="41" t="inlineStr">
        <is>
          <t>AreaCode</t>
        </is>
      </c>
      <c r="C12001" s="129" t="inlineStr">
        <is>
          <t>地区代码</t>
        </is>
      </c>
      <c r="D12001" s="21" t="n">
        <v>420527</v>
      </c>
      <c r="E12001" s="21" t="inlineStr">
        <is>
          <t>湖北省宜昌市秭归县</t>
        </is>
      </c>
    </row>
    <row r="12002">
      <c r="B12002" s="41" t="inlineStr">
        <is>
          <t>AreaCode</t>
        </is>
      </c>
      <c r="C12002" s="129" t="inlineStr">
        <is>
          <t>地区代码</t>
        </is>
      </c>
      <c r="D12002" s="21" t="n">
        <v>420528</v>
      </c>
      <c r="E12002" s="21" t="inlineStr">
        <is>
          <t>湖北省宜昌市长阳土家族自治县</t>
        </is>
      </c>
    </row>
    <row r="12003">
      <c r="B12003" s="41" t="inlineStr">
        <is>
          <t>AreaCode</t>
        </is>
      </c>
      <c r="C12003" s="129" t="inlineStr">
        <is>
          <t>地区代码</t>
        </is>
      </c>
      <c r="D12003" s="21" t="n">
        <v>420529</v>
      </c>
      <c r="E12003" s="21" t="inlineStr">
        <is>
          <t>湖北省宜昌市五峰土家族自治县</t>
        </is>
      </c>
    </row>
    <row r="12004">
      <c r="B12004" s="41" t="inlineStr">
        <is>
          <t>AreaCode</t>
        </is>
      </c>
      <c r="C12004" s="129" t="inlineStr">
        <is>
          <t>地区代码</t>
        </is>
      </c>
      <c r="D12004" s="21" t="n">
        <v>420581</v>
      </c>
      <c r="E12004" s="21" t="inlineStr">
        <is>
          <t>湖北省宜昌市宜都市</t>
        </is>
      </c>
    </row>
    <row r="12005">
      <c r="B12005" s="41" t="inlineStr">
        <is>
          <t>AreaCode</t>
        </is>
      </c>
      <c r="C12005" s="129" t="inlineStr">
        <is>
          <t>地区代码</t>
        </is>
      </c>
      <c r="D12005" s="21" t="n">
        <v>420582</v>
      </c>
      <c r="E12005" s="21" t="inlineStr">
        <is>
          <t>湖北省宜昌市当阳市</t>
        </is>
      </c>
    </row>
    <row r="12006">
      <c r="B12006" s="41" t="inlineStr">
        <is>
          <t>AreaCode</t>
        </is>
      </c>
      <c r="C12006" s="129" t="inlineStr">
        <is>
          <t>地区代码</t>
        </is>
      </c>
      <c r="D12006" s="21" t="n">
        <v>420583</v>
      </c>
      <c r="E12006" s="21" t="inlineStr">
        <is>
          <t>湖北省宜昌市枝江市</t>
        </is>
      </c>
    </row>
    <row r="12007">
      <c r="B12007" s="41" t="inlineStr">
        <is>
          <t>AreaCode</t>
        </is>
      </c>
      <c r="C12007" s="129" t="inlineStr">
        <is>
          <t>地区代码</t>
        </is>
      </c>
      <c r="D12007" s="21" t="n">
        <v>420600</v>
      </c>
      <c r="E12007" s="21" t="inlineStr">
        <is>
          <t>湖北省襄阳市</t>
        </is>
      </c>
    </row>
    <row r="12008">
      <c r="B12008" s="41" t="inlineStr">
        <is>
          <t>AreaCode</t>
        </is>
      </c>
      <c r="C12008" s="129" t="inlineStr">
        <is>
          <t>地区代码</t>
        </is>
      </c>
      <c r="D12008" s="21" t="n">
        <v>420601</v>
      </c>
      <c r="E12008" s="21" t="inlineStr">
        <is>
          <t>湖北省襄阳市市辖区</t>
        </is>
      </c>
    </row>
    <row r="12009">
      <c r="B12009" s="41" t="inlineStr">
        <is>
          <t>AreaCode</t>
        </is>
      </c>
      <c r="C12009" s="129" t="inlineStr">
        <is>
          <t>地区代码</t>
        </is>
      </c>
      <c r="D12009" s="21" t="n">
        <v>420602</v>
      </c>
      <c r="E12009" s="21" t="inlineStr">
        <is>
          <t>湖北省襄阳市襄城区</t>
        </is>
      </c>
    </row>
    <row r="12010">
      <c r="B12010" s="41" t="inlineStr">
        <is>
          <t>AreaCode</t>
        </is>
      </c>
      <c r="C12010" s="129" t="inlineStr">
        <is>
          <t>地区代码</t>
        </is>
      </c>
      <c r="D12010" s="21" t="n">
        <v>420606</v>
      </c>
      <c r="E12010" s="21" t="inlineStr">
        <is>
          <t>湖北省襄阳市樊城区</t>
        </is>
      </c>
    </row>
    <row r="12011">
      <c r="B12011" s="41" t="inlineStr">
        <is>
          <t>AreaCode</t>
        </is>
      </c>
      <c r="C12011" s="129" t="inlineStr">
        <is>
          <t>地区代码</t>
        </is>
      </c>
      <c r="D12011" s="21" t="n">
        <v>420607</v>
      </c>
      <c r="E12011" s="21" t="inlineStr">
        <is>
          <t>湖北省襄阳市襄州区</t>
        </is>
      </c>
    </row>
    <row r="12012">
      <c r="B12012" s="41" t="inlineStr">
        <is>
          <t>AreaCode</t>
        </is>
      </c>
      <c r="C12012" s="129" t="inlineStr">
        <is>
          <t>地区代码</t>
        </is>
      </c>
      <c r="D12012" s="21" t="n">
        <v>420624</v>
      </c>
      <c r="E12012" s="21" t="inlineStr">
        <is>
          <t>湖北省襄阳市南漳县</t>
        </is>
      </c>
    </row>
    <row r="12013">
      <c r="B12013" s="41" t="inlineStr">
        <is>
          <t>AreaCode</t>
        </is>
      </c>
      <c r="C12013" s="129" t="inlineStr">
        <is>
          <t>地区代码</t>
        </is>
      </c>
      <c r="D12013" s="21" t="n">
        <v>420625</v>
      </c>
      <c r="E12013" s="21" t="inlineStr">
        <is>
          <t>湖北省襄阳市谷城县</t>
        </is>
      </c>
    </row>
    <row r="12014">
      <c r="B12014" s="41" t="inlineStr">
        <is>
          <t>AreaCode</t>
        </is>
      </c>
      <c r="C12014" s="129" t="inlineStr">
        <is>
          <t>地区代码</t>
        </is>
      </c>
      <c r="D12014" s="21" t="n">
        <v>420626</v>
      </c>
      <c r="E12014" s="21" t="inlineStr">
        <is>
          <t>湖北省襄阳市保康县</t>
        </is>
      </c>
    </row>
    <row r="12015">
      <c r="B12015" s="41" t="inlineStr">
        <is>
          <t>AreaCode</t>
        </is>
      </c>
      <c r="C12015" s="129" t="inlineStr">
        <is>
          <t>地区代码</t>
        </is>
      </c>
      <c r="D12015" s="21" t="n">
        <v>420682</v>
      </c>
      <c r="E12015" s="21" t="inlineStr">
        <is>
          <t>湖北省襄阳市老河口市</t>
        </is>
      </c>
    </row>
    <row r="12016">
      <c r="B12016" s="41" t="inlineStr">
        <is>
          <t>AreaCode</t>
        </is>
      </c>
      <c r="C12016" s="129" t="inlineStr">
        <is>
          <t>地区代码</t>
        </is>
      </c>
      <c r="D12016" s="21" t="n">
        <v>420683</v>
      </c>
      <c r="E12016" s="21" t="inlineStr">
        <is>
          <t>湖北省襄阳市枣阳市</t>
        </is>
      </c>
    </row>
    <row r="12017">
      <c r="B12017" s="41" t="inlineStr">
        <is>
          <t>AreaCode</t>
        </is>
      </c>
      <c r="C12017" s="129" t="inlineStr">
        <is>
          <t>地区代码</t>
        </is>
      </c>
      <c r="D12017" s="21" t="n">
        <v>420684</v>
      </c>
      <c r="E12017" s="21" t="inlineStr">
        <is>
          <t>湖北省襄阳市宜城市</t>
        </is>
      </c>
    </row>
    <row r="12018">
      <c r="B12018" s="41" t="inlineStr">
        <is>
          <t>AreaCode</t>
        </is>
      </c>
      <c r="C12018" s="129" t="inlineStr">
        <is>
          <t>地区代码</t>
        </is>
      </c>
      <c r="D12018" s="21" t="n">
        <v>420700</v>
      </c>
      <c r="E12018" s="21" t="inlineStr">
        <is>
          <t>湖北省鄂州市</t>
        </is>
      </c>
    </row>
    <row r="12019">
      <c r="B12019" s="41" t="inlineStr">
        <is>
          <t>AreaCode</t>
        </is>
      </c>
      <c r="C12019" s="129" t="inlineStr">
        <is>
          <t>地区代码</t>
        </is>
      </c>
      <c r="D12019" s="21" t="n">
        <v>420701</v>
      </c>
      <c r="E12019" s="21" t="inlineStr">
        <is>
          <t>湖北省鄂州市市辖区</t>
        </is>
      </c>
    </row>
    <row r="12020">
      <c r="B12020" s="41" t="inlineStr">
        <is>
          <t>AreaCode</t>
        </is>
      </c>
      <c r="C12020" s="129" t="inlineStr">
        <is>
          <t>地区代码</t>
        </is>
      </c>
      <c r="D12020" s="21" t="n">
        <v>420702</v>
      </c>
      <c r="E12020" s="21" t="inlineStr">
        <is>
          <t>湖北省鄂州市梁子湖区</t>
        </is>
      </c>
    </row>
    <row r="12021">
      <c r="B12021" s="41" t="inlineStr">
        <is>
          <t>AreaCode</t>
        </is>
      </c>
      <c r="C12021" s="129" t="inlineStr">
        <is>
          <t>地区代码</t>
        </is>
      </c>
      <c r="D12021" s="21" t="n">
        <v>420703</v>
      </c>
      <c r="E12021" s="21" t="inlineStr">
        <is>
          <t>湖北省鄂州市华容区</t>
        </is>
      </c>
    </row>
    <row r="12022">
      <c r="B12022" s="41" t="inlineStr">
        <is>
          <t>AreaCode</t>
        </is>
      </c>
      <c r="C12022" s="129" t="inlineStr">
        <is>
          <t>地区代码</t>
        </is>
      </c>
      <c r="D12022" s="21" t="n">
        <v>420704</v>
      </c>
      <c r="E12022" s="21" t="inlineStr">
        <is>
          <t>湖北省鄂州市鄂城区</t>
        </is>
      </c>
    </row>
    <row r="12023">
      <c r="B12023" s="41" t="inlineStr">
        <is>
          <t>AreaCode</t>
        </is>
      </c>
      <c r="C12023" s="129" t="inlineStr">
        <is>
          <t>地区代码</t>
        </is>
      </c>
      <c r="D12023" s="21" t="n">
        <v>420800</v>
      </c>
      <c r="E12023" s="21" t="inlineStr">
        <is>
          <t>湖北省荆门市</t>
        </is>
      </c>
    </row>
    <row r="12024">
      <c r="B12024" s="41" t="inlineStr">
        <is>
          <t>AreaCode</t>
        </is>
      </c>
      <c r="C12024" s="129" t="inlineStr">
        <is>
          <t>地区代码</t>
        </is>
      </c>
      <c r="D12024" s="21" t="n">
        <v>420801</v>
      </c>
      <c r="E12024" s="21" t="inlineStr">
        <is>
          <t>湖北省荆门市市辖区</t>
        </is>
      </c>
    </row>
    <row r="12025">
      <c r="B12025" s="41" t="inlineStr">
        <is>
          <t>AreaCode</t>
        </is>
      </c>
      <c r="C12025" s="129" t="inlineStr">
        <is>
          <t>地区代码</t>
        </is>
      </c>
      <c r="D12025" s="21" t="n">
        <v>420802</v>
      </c>
      <c r="E12025" s="21" t="inlineStr">
        <is>
          <t>湖北省荆门市东宝区</t>
        </is>
      </c>
    </row>
    <row r="12026">
      <c r="B12026" s="41" t="inlineStr">
        <is>
          <t>AreaCode</t>
        </is>
      </c>
      <c r="C12026" s="129" t="inlineStr">
        <is>
          <t>地区代码</t>
        </is>
      </c>
      <c r="D12026" s="21" t="n">
        <v>420804</v>
      </c>
      <c r="E12026" s="21" t="inlineStr">
        <is>
          <t>湖北省荆门市掇刀区</t>
        </is>
      </c>
    </row>
    <row r="12027">
      <c r="B12027" s="41" t="inlineStr">
        <is>
          <t>AreaCode</t>
        </is>
      </c>
      <c r="C12027" s="129" t="inlineStr">
        <is>
          <t>地区代码</t>
        </is>
      </c>
      <c r="D12027" s="21" t="n">
        <v>420821</v>
      </c>
      <c r="E12027" s="21" t="inlineStr">
        <is>
          <t>湖北省荆门市京山县</t>
        </is>
      </c>
    </row>
    <row r="12028">
      <c r="B12028" s="41" t="inlineStr">
        <is>
          <t>AreaCode</t>
        </is>
      </c>
      <c r="C12028" s="129" t="inlineStr">
        <is>
          <t>地区代码</t>
        </is>
      </c>
      <c r="D12028" s="21" t="n">
        <v>420822</v>
      </c>
      <c r="E12028" s="21" t="inlineStr">
        <is>
          <t>湖北省荆门市沙洋县</t>
        </is>
      </c>
    </row>
    <row r="12029">
      <c r="B12029" s="41" t="inlineStr">
        <is>
          <t>AreaCode</t>
        </is>
      </c>
      <c r="C12029" s="129" t="inlineStr">
        <is>
          <t>地区代码</t>
        </is>
      </c>
      <c r="D12029" s="21" t="n">
        <v>420881</v>
      </c>
      <c r="E12029" s="21" t="inlineStr">
        <is>
          <t>湖北省荆门市钟祥市</t>
        </is>
      </c>
    </row>
    <row r="12030">
      <c r="B12030" s="41" t="inlineStr">
        <is>
          <t>AreaCode</t>
        </is>
      </c>
      <c r="C12030" s="129" t="inlineStr">
        <is>
          <t>地区代码</t>
        </is>
      </c>
      <c r="D12030" s="21" t="n">
        <v>420900</v>
      </c>
      <c r="E12030" s="21" t="inlineStr">
        <is>
          <t>湖北省孝感市</t>
        </is>
      </c>
    </row>
    <row r="12031">
      <c r="B12031" s="41" t="inlineStr">
        <is>
          <t>AreaCode</t>
        </is>
      </c>
      <c r="C12031" s="129" t="inlineStr">
        <is>
          <t>地区代码</t>
        </is>
      </c>
      <c r="D12031" s="21" t="n">
        <v>420901</v>
      </c>
      <c r="E12031" s="21" t="inlineStr">
        <is>
          <t>湖北省孝感市市辖区</t>
        </is>
      </c>
    </row>
    <row r="12032">
      <c r="B12032" s="41" t="inlineStr">
        <is>
          <t>AreaCode</t>
        </is>
      </c>
      <c r="C12032" s="129" t="inlineStr">
        <is>
          <t>地区代码</t>
        </is>
      </c>
      <c r="D12032" s="21" t="n">
        <v>420902</v>
      </c>
      <c r="E12032" s="21" t="inlineStr">
        <is>
          <t>湖北省孝感市孝南区</t>
        </is>
      </c>
    </row>
    <row r="12033">
      <c r="B12033" s="41" t="inlineStr">
        <is>
          <t>AreaCode</t>
        </is>
      </c>
      <c r="C12033" s="129" t="inlineStr">
        <is>
          <t>地区代码</t>
        </is>
      </c>
      <c r="D12033" s="21" t="n">
        <v>420921</v>
      </c>
      <c r="E12033" s="21" t="inlineStr">
        <is>
          <t>湖北省孝感市孝昌县</t>
        </is>
      </c>
    </row>
    <row r="12034">
      <c r="B12034" s="41" t="inlineStr">
        <is>
          <t>AreaCode</t>
        </is>
      </c>
      <c r="C12034" s="129" t="inlineStr">
        <is>
          <t>地区代码</t>
        </is>
      </c>
      <c r="D12034" s="21" t="n">
        <v>420922</v>
      </c>
      <c r="E12034" s="21" t="inlineStr">
        <is>
          <t>湖北省孝感市大悟县</t>
        </is>
      </c>
    </row>
    <row r="12035">
      <c r="B12035" s="41" t="inlineStr">
        <is>
          <t>AreaCode</t>
        </is>
      </c>
      <c r="C12035" s="129" t="inlineStr">
        <is>
          <t>地区代码</t>
        </is>
      </c>
      <c r="D12035" s="21" t="n">
        <v>420923</v>
      </c>
      <c r="E12035" s="21" t="inlineStr">
        <is>
          <t>湖北省孝感市云梦县</t>
        </is>
      </c>
    </row>
    <row r="12036">
      <c r="B12036" s="41" t="inlineStr">
        <is>
          <t>AreaCode</t>
        </is>
      </c>
      <c r="C12036" s="129" t="inlineStr">
        <is>
          <t>地区代码</t>
        </is>
      </c>
      <c r="D12036" s="21" t="n">
        <v>420981</v>
      </c>
      <c r="E12036" s="21" t="inlineStr">
        <is>
          <t>湖北省孝感市应城市</t>
        </is>
      </c>
    </row>
    <row r="12037">
      <c r="B12037" s="41" t="inlineStr">
        <is>
          <t>AreaCode</t>
        </is>
      </c>
      <c r="C12037" s="129" t="inlineStr">
        <is>
          <t>地区代码</t>
        </is>
      </c>
      <c r="D12037" s="21" t="n">
        <v>420982</v>
      </c>
      <c r="E12037" s="21" t="inlineStr">
        <is>
          <t>湖北省孝感市安陆市</t>
        </is>
      </c>
    </row>
    <row r="12038">
      <c r="B12038" s="41" t="inlineStr">
        <is>
          <t>AreaCode</t>
        </is>
      </c>
      <c r="C12038" s="129" t="inlineStr">
        <is>
          <t>地区代码</t>
        </is>
      </c>
      <c r="D12038" s="21" t="n">
        <v>420984</v>
      </c>
      <c r="E12038" s="21" t="inlineStr">
        <is>
          <t>湖北省孝感市汉川市</t>
        </is>
      </c>
    </row>
    <row r="12039">
      <c r="B12039" s="41" t="inlineStr">
        <is>
          <t>AreaCode</t>
        </is>
      </c>
      <c r="C12039" s="129" t="inlineStr">
        <is>
          <t>地区代码</t>
        </is>
      </c>
      <c r="D12039" s="21" t="n">
        <v>421000</v>
      </c>
      <c r="E12039" s="21" t="inlineStr">
        <is>
          <t>湖北省荆州市</t>
        </is>
      </c>
    </row>
    <row r="12040">
      <c r="B12040" s="41" t="inlineStr">
        <is>
          <t>AreaCode</t>
        </is>
      </c>
      <c r="C12040" s="129" t="inlineStr">
        <is>
          <t>地区代码</t>
        </is>
      </c>
      <c r="D12040" s="21" t="n">
        <v>421001</v>
      </c>
      <c r="E12040" s="21" t="inlineStr">
        <is>
          <t>湖北省荆州市市辖区</t>
        </is>
      </c>
    </row>
    <row r="12041">
      <c r="B12041" s="41" t="inlineStr">
        <is>
          <t>AreaCode</t>
        </is>
      </c>
      <c r="C12041" s="129" t="inlineStr">
        <is>
          <t>地区代码</t>
        </is>
      </c>
      <c r="D12041" s="21" t="n">
        <v>421002</v>
      </c>
      <c r="E12041" s="21" t="inlineStr">
        <is>
          <t>湖北省荆州市沙市区</t>
        </is>
      </c>
    </row>
    <row r="12042">
      <c r="B12042" s="41" t="inlineStr">
        <is>
          <t>AreaCode</t>
        </is>
      </c>
      <c r="C12042" s="129" t="inlineStr">
        <is>
          <t>地区代码</t>
        </is>
      </c>
      <c r="D12042" s="21" t="n">
        <v>421003</v>
      </c>
      <c r="E12042" s="21" t="inlineStr">
        <is>
          <t>湖北省荆州市荆州区</t>
        </is>
      </c>
    </row>
    <row r="12043">
      <c r="B12043" s="41" t="inlineStr">
        <is>
          <t>AreaCode</t>
        </is>
      </c>
      <c r="C12043" s="129" t="inlineStr">
        <is>
          <t>地区代码</t>
        </is>
      </c>
      <c r="D12043" s="21" t="n">
        <v>421022</v>
      </c>
      <c r="E12043" s="21" t="inlineStr">
        <is>
          <t>湖北省荆州市公安县</t>
        </is>
      </c>
    </row>
    <row r="12044">
      <c r="B12044" s="41" t="inlineStr">
        <is>
          <t>AreaCode</t>
        </is>
      </c>
      <c r="C12044" s="129" t="inlineStr">
        <is>
          <t>地区代码</t>
        </is>
      </c>
      <c r="D12044" s="21" t="n">
        <v>421023</v>
      </c>
      <c r="E12044" s="21" t="inlineStr">
        <is>
          <t>湖北省荆州市监利县</t>
        </is>
      </c>
    </row>
    <row r="12045">
      <c r="B12045" s="41" t="inlineStr">
        <is>
          <t>AreaCode</t>
        </is>
      </c>
      <c r="C12045" s="129" t="inlineStr">
        <is>
          <t>地区代码</t>
        </is>
      </c>
      <c r="D12045" s="21" t="n">
        <v>421024</v>
      </c>
      <c r="E12045" s="21" t="inlineStr">
        <is>
          <t>湖北省荆州市江陵县</t>
        </is>
      </c>
    </row>
    <row r="12046">
      <c r="B12046" s="41" t="inlineStr">
        <is>
          <t>AreaCode</t>
        </is>
      </c>
      <c r="C12046" s="129" t="inlineStr">
        <is>
          <t>地区代码</t>
        </is>
      </c>
      <c r="D12046" s="21" t="n">
        <v>421081</v>
      </c>
      <c r="E12046" s="21" t="inlineStr">
        <is>
          <t>湖北省荆州市石首市</t>
        </is>
      </c>
    </row>
    <row r="12047">
      <c r="B12047" s="41" t="inlineStr">
        <is>
          <t>AreaCode</t>
        </is>
      </c>
      <c r="C12047" s="129" t="inlineStr">
        <is>
          <t>地区代码</t>
        </is>
      </c>
      <c r="D12047" s="21" t="n">
        <v>421083</v>
      </c>
      <c r="E12047" s="21" t="inlineStr">
        <is>
          <t>湖北省荆州市洪湖市</t>
        </is>
      </c>
    </row>
    <row r="12048">
      <c r="B12048" s="41" t="inlineStr">
        <is>
          <t>AreaCode</t>
        </is>
      </c>
      <c r="C12048" s="129" t="inlineStr">
        <is>
          <t>地区代码</t>
        </is>
      </c>
      <c r="D12048" s="21" t="n">
        <v>421087</v>
      </c>
      <c r="E12048" s="21" t="inlineStr">
        <is>
          <t>湖北省荆州市松滋市</t>
        </is>
      </c>
    </row>
    <row r="12049">
      <c r="B12049" s="41" t="inlineStr">
        <is>
          <t>AreaCode</t>
        </is>
      </c>
      <c r="C12049" s="129" t="inlineStr">
        <is>
          <t>地区代码</t>
        </is>
      </c>
      <c r="D12049" s="21" t="n">
        <v>421100</v>
      </c>
      <c r="E12049" s="21" t="inlineStr">
        <is>
          <t>湖北省黄冈市</t>
        </is>
      </c>
    </row>
    <row r="12050">
      <c r="B12050" s="41" t="inlineStr">
        <is>
          <t>AreaCode</t>
        </is>
      </c>
      <c r="C12050" s="129" t="inlineStr">
        <is>
          <t>地区代码</t>
        </is>
      </c>
      <c r="D12050" s="21" t="n">
        <v>421101</v>
      </c>
      <c r="E12050" s="21" t="inlineStr">
        <is>
          <t>湖北省黄冈市市辖区</t>
        </is>
      </c>
    </row>
    <row r="12051">
      <c r="B12051" s="41" t="inlineStr">
        <is>
          <t>AreaCode</t>
        </is>
      </c>
      <c r="C12051" s="129" t="inlineStr">
        <is>
          <t>地区代码</t>
        </is>
      </c>
      <c r="D12051" s="21" t="n">
        <v>421102</v>
      </c>
      <c r="E12051" s="21" t="inlineStr">
        <is>
          <t>湖北省黄冈市黄州区</t>
        </is>
      </c>
    </row>
    <row r="12052">
      <c r="B12052" s="41" t="inlineStr">
        <is>
          <t>AreaCode</t>
        </is>
      </c>
      <c r="C12052" s="129" t="inlineStr">
        <is>
          <t>地区代码</t>
        </is>
      </c>
      <c r="D12052" s="21" t="n">
        <v>421121</v>
      </c>
      <c r="E12052" s="21" t="inlineStr">
        <is>
          <t>湖北省黄冈市团风县</t>
        </is>
      </c>
    </row>
    <row r="12053">
      <c r="B12053" s="41" t="inlineStr">
        <is>
          <t>AreaCode</t>
        </is>
      </c>
      <c r="C12053" s="129" t="inlineStr">
        <is>
          <t>地区代码</t>
        </is>
      </c>
      <c r="D12053" s="21" t="n">
        <v>421122</v>
      </c>
      <c r="E12053" s="21" t="inlineStr">
        <is>
          <t>湖北省黄冈市红安县</t>
        </is>
      </c>
    </row>
    <row r="12054">
      <c r="B12054" s="41" t="inlineStr">
        <is>
          <t>AreaCode</t>
        </is>
      </c>
      <c r="C12054" s="129" t="inlineStr">
        <is>
          <t>地区代码</t>
        </is>
      </c>
      <c r="D12054" s="21" t="n">
        <v>421123</v>
      </c>
      <c r="E12054" s="21" t="inlineStr">
        <is>
          <t>湖北省黄冈市罗田县</t>
        </is>
      </c>
    </row>
    <row r="12055">
      <c r="B12055" s="41" t="inlineStr">
        <is>
          <t>AreaCode</t>
        </is>
      </c>
      <c r="C12055" s="129" t="inlineStr">
        <is>
          <t>地区代码</t>
        </is>
      </c>
      <c r="D12055" s="21" t="n">
        <v>421124</v>
      </c>
      <c r="E12055" s="21" t="inlineStr">
        <is>
          <t>湖北省黄冈市英山县</t>
        </is>
      </c>
    </row>
    <row r="12056">
      <c r="B12056" s="41" t="inlineStr">
        <is>
          <t>AreaCode</t>
        </is>
      </c>
      <c r="C12056" s="129" t="inlineStr">
        <is>
          <t>地区代码</t>
        </is>
      </c>
      <c r="D12056" s="21" t="n">
        <v>421125</v>
      </c>
      <c r="E12056" s="21" t="inlineStr">
        <is>
          <t>湖北省黄冈市浠水县</t>
        </is>
      </c>
    </row>
    <row r="12057">
      <c r="B12057" s="41" t="inlineStr">
        <is>
          <t>AreaCode</t>
        </is>
      </c>
      <c r="C12057" s="129" t="inlineStr">
        <is>
          <t>地区代码</t>
        </is>
      </c>
      <c r="D12057" s="21" t="n">
        <v>421126</v>
      </c>
      <c r="E12057" s="21" t="inlineStr">
        <is>
          <t>湖北省黄冈市蕲春县</t>
        </is>
      </c>
    </row>
    <row r="12058">
      <c r="B12058" s="41" t="inlineStr">
        <is>
          <t>AreaCode</t>
        </is>
      </c>
      <c r="C12058" s="129" t="inlineStr">
        <is>
          <t>地区代码</t>
        </is>
      </c>
      <c r="D12058" s="21" t="n">
        <v>421127</v>
      </c>
      <c r="E12058" s="21" t="inlineStr">
        <is>
          <t>湖北省黄冈市黄梅县</t>
        </is>
      </c>
    </row>
    <row r="12059">
      <c r="B12059" s="41" t="inlineStr">
        <is>
          <t>AreaCode</t>
        </is>
      </c>
      <c r="C12059" s="129" t="inlineStr">
        <is>
          <t>地区代码</t>
        </is>
      </c>
      <c r="D12059" s="21" t="n">
        <v>421181</v>
      </c>
      <c r="E12059" s="21" t="inlineStr">
        <is>
          <t>湖北省黄冈市麻城市</t>
        </is>
      </c>
    </row>
    <row r="12060">
      <c r="B12060" s="41" t="inlineStr">
        <is>
          <t>AreaCode</t>
        </is>
      </c>
      <c r="C12060" s="129" t="inlineStr">
        <is>
          <t>地区代码</t>
        </is>
      </c>
      <c r="D12060" s="21" t="n">
        <v>421182</v>
      </c>
      <c r="E12060" s="21" t="inlineStr">
        <is>
          <t>湖北省黄冈市武穴市</t>
        </is>
      </c>
    </row>
    <row r="12061">
      <c r="B12061" s="41" t="inlineStr">
        <is>
          <t>AreaCode</t>
        </is>
      </c>
      <c r="C12061" s="129" t="inlineStr">
        <is>
          <t>地区代码</t>
        </is>
      </c>
      <c r="D12061" s="21" t="n">
        <v>421200</v>
      </c>
      <c r="E12061" s="21" t="inlineStr">
        <is>
          <t>湖北省咸宁市</t>
        </is>
      </c>
    </row>
    <row r="12062">
      <c r="B12062" s="41" t="inlineStr">
        <is>
          <t>AreaCode</t>
        </is>
      </c>
      <c r="C12062" s="129" t="inlineStr">
        <is>
          <t>地区代码</t>
        </is>
      </c>
      <c r="D12062" s="21" t="n">
        <v>421201</v>
      </c>
      <c r="E12062" s="21" t="inlineStr">
        <is>
          <t>湖北省咸宁市市辖区</t>
        </is>
      </c>
    </row>
    <row r="12063">
      <c r="B12063" s="41" t="inlineStr">
        <is>
          <t>AreaCode</t>
        </is>
      </c>
      <c r="C12063" s="129" t="inlineStr">
        <is>
          <t>地区代码</t>
        </is>
      </c>
      <c r="D12063" s="21" t="n">
        <v>421202</v>
      </c>
      <c r="E12063" s="21" t="inlineStr">
        <is>
          <t>湖北省咸宁市咸安区</t>
        </is>
      </c>
    </row>
    <row r="12064">
      <c r="B12064" s="41" t="inlineStr">
        <is>
          <t>AreaCode</t>
        </is>
      </c>
      <c r="C12064" s="129" t="inlineStr">
        <is>
          <t>地区代码</t>
        </is>
      </c>
      <c r="D12064" s="21" t="n">
        <v>421221</v>
      </c>
      <c r="E12064" s="21" t="inlineStr">
        <is>
          <t>湖北省咸宁市嘉鱼县</t>
        </is>
      </c>
    </row>
    <row r="12065">
      <c r="B12065" s="41" t="inlineStr">
        <is>
          <t>AreaCode</t>
        </is>
      </c>
      <c r="C12065" s="129" t="inlineStr">
        <is>
          <t>地区代码</t>
        </is>
      </c>
      <c r="D12065" s="21" t="n">
        <v>421222</v>
      </c>
      <c r="E12065" s="21" t="inlineStr">
        <is>
          <t>湖北省咸宁市通城县</t>
        </is>
      </c>
    </row>
    <row r="12066">
      <c r="B12066" s="41" t="inlineStr">
        <is>
          <t>AreaCode</t>
        </is>
      </c>
      <c r="C12066" s="129" t="inlineStr">
        <is>
          <t>地区代码</t>
        </is>
      </c>
      <c r="D12066" s="21" t="n">
        <v>421223</v>
      </c>
      <c r="E12066" s="21" t="inlineStr">
        <is>
          <t>湖北省咸宁市崇阳县</t>
        </is>
      </c>
    </row>
    <row r="12067">
      <c r="B12067" s="41" t="inlineStr">
        <is>
          <t>AreaCode</t>
        </is>
      </c>
      <c r="C12067" s="129" t="inlineStr">
        <is>
          <t>地区代码</t>
        </is>
      </c>
      <c r="D12067" s="21" t="n">
        <v>421224</v>
      </c>
      <c r="E12067" s="21" t="inlineStr">
        <is>
          <t>湖北省咸宁市通山县</t>
        </is>
      </c>
    </row>
    <row r="12068">
      <c r="B12068" s="41" t="inlineStr">
        <is>
          <t>AreaCode</t>
        </is>
      </c>
      <c r="C12068" s="129" t="inlineStr">
        <is>
          <t>地区代码</t>
        </is>
      </c>
      <c r="D12068" s="21" t="n">
        <v>421281</v>
      </c>
      <c r="E12068" s="21" t="inlineStr">
        <is>
          <t>湖北省咸宁市赤壁市</t>
        </is>
      </c>
    </row>
    <row r="12069">
      <c r="B12069" s="41" t="inlineStr">
        <is>
          <t>AreaCode</t>
        </is>
      </c>
      <c r="C12069" s="129" t="inlineStr">
        <is>
          <t>地区代码</t>
        </is>
      </c>
      <c r="D12069" s="21" t="n">
        <v>421300</v>
      </c>
      <c r="E12069" s="21" t="inlineStr">
        <is>
          <t>湖北省随州市</t>
        </is>
      </c>
    </row>
    <row r="12070">
      <c r="B12070" s="41" t="inlineStr">
        <is>
          <t>AreaCode</t>
        </is>
      </c>
      <c r="C12070" s="129" t="inlineStr">
        <is>
          <t>地区代码</t>
        </is>
      </c>
      <c r="D12070" s="21" t="n">
        <v>421301</v>
      </c>
      <c r="E12070" s="21" t="inlineStr">
        <is>
          <t>湖北省随州市市辖区</t>
        </is>
      </c>
    </row>
    <row r="12071">
      <c r="B12071" s="41" t="inlineStr">
        <is>
          <t>AreaCode</t>
        </is>
      </c>
      <c r="C12071" s="129" t="inlineStr">
        <is>
          <t>地区代码</t>
        </is>
      </c>
      <c r="D12071" s="21" t="n">
        <v>421303</v>
      </c>
      <c r="E12071" s="21" t="inlineStr">
        <is>
          <t>湖北省随州市曾都区</t>
        </is>
      </c>
    </row>
    <row r="12072">
      <c r="B12072" s="41" t="inlineStr">
        <is>
          <t>AreaCode</t>
        </is>
      </c>
      <c r="C12072" s="129" t="inlineStr">
        <is>
          <t>地区代码</t>
        </is>
      </c>
      <c r="D12072" s="21" t="n">
        <v>421321</v>
      </c>
      <c r="E12072" s="21" t="inlineStr">
        <is>
          <t>湖北省随州市随县</t>
        </is>
      </c>
    </row>
    <row r="12073">
      <c r="B12073" s="41" t="inlineStr">
        <is>
          <t>AreaCode</t>
        </is>
      </c>
      <c r="C12073" s="129" t="inlineStr">
        <is>
          <t>地区代码</t>
        </is>
      </c>
      <c r="D12073" s="21" t="n">
        <v>421381</v>
      </c>
      <c r="E12073" s="21" t="inlineStr">
        <is>
          <t>湖北省随州市广水市</t>
        </is>
      </c>
    </row>
    <row r="12074">
      <c r="B12074" s="41" t="inlineStr">
        <is>
          <t>AreaCode</t>
        </is>
      </c>
      <c r="C12074" s="129" t="inlineStr">
        <is>
          <t>地区代码</t>
        </is>
      </c>
      <c r="D12074" s="21" t="n">
        <v>422800</v>
      </c>
      <c r="E12074" s="21" t="inlineStr">
        <is>
          <t>湖北省恩施土家族苗族自治州</t>
        </is>
      </c>
    </row>
    <row r="12075">
      <c r="B12075" s="41" t="inlineStr">
        <is>
          <t>AreaCode</t>
        </is>
      </c>
      <c r="C12075" s="129" t="inlineStr">
        <is>
          <t>地区代码</t>
        </is>
      </c>
      <c r="D12075" s="21" t="n">
        <v>422801</v>
      </c>
      <c r="E12075" s="21" t="inlineStr">
        <is>
          <t>湖北省恩施土家族苗族自治州恩施市</t>
        </is>
      </c>
    </row>
    <row r="12076">
      <c r="B12076" s="41" t="inlineStr">
        <is>
          <t>AreaCode</t>
        </is>
      </c>
      <c r="C12076" s="129" t="inlineStr">
        <is>
          <t>地区代码</t>
        </is>
      </c>
      <c r="D12076" s="21" t="n">
        <v>422802</v>
      </c>
      <c r="E12076" s="21" t="inlineStr">
        <is>
          <t>湖北省恩施土家族苗族自治州利川市</t>
        </is>
      </c>
    </row>
    <row r="12077">
      <c r="B12077" s="41" t="inlineStr">
        <is>
          <t>AreaCode</t>
        </is>
      </c>
      <c r="C12077" s="129" t="inlineStr">
        <is>
          <t>地区代码</t>
        </is>
      </c>
      <c r="D12077" s="21" t="n">
        <v>422822</v>
      </c>
      <c r="E12077" s="21" t="inlineStr">
        <is>
          <t>湖北省恩施土家族苗族自治州建始县</t>
        </is>
      </c>
    </row>
    <row r="12078">
      <c r="B12078" s="41" t="inlineStr">
        <is>
          <t>AreaCode</t>
        </is>
      </c>
      <c r="C12078" s="129" t="inlineStr">
        <is>
          <t>地区代码</t>
        </is>
      </c>
      <c r="D12078" s="21" t="n">
        <v>422823</v>
      </c>
      <c r="E12078" s="21" t="inlineStr">
        <is>
          <t>湖北省恩施土家族苗族自治州巴东县</t>
        </is>
      </c>
    </row>
    <row r="12079">
      <c r="B12079" s="41" t="inlineStr">
        <is>
          <t>AreaCode</t>
        </is>
      </c>
      <c r="C12079" s="129" t="inlineStr">
        <is>
          <t>地区代码</t>
        </is>
      </c>
      <c r="D12079" s="21" t="n">
        <v>422825</v>
      </c>
      <c r="E12079" s="21" t="inlineStr">
        <is>
          <t>湖北省恩施土家族苗族自治州宣恩县</t>
        </is>
      </c>
    </row>
    <row r="12080">
      <c r="B12080" s="41" t="inlineStr">
        <is>
          <t>AreaCode</t>
        </is>
      </c>
      <c r="C12080" s="129" t="inlineStr">
        <is>
          <t>地区代码</t>
        </is>
      </c>
      <c r="D12080" s="21" t="n">
        <v>422826</v>
      </c>
      <c r="E12080" s="21" t="inlineStr">
        <is>
          <t>湖北省恩施土家族苗族自治州咸丰县</t>
        </is>
      </c>
    </row>
    <row r="12081">
      <c r="B12081" s="41" t="inlineStr">
        <is>
          <t>AreaCode</t>
        </is>
      </c>
      <c r="C12081" s="129" t="inlineStr">
        <is>
          <t>地区代码</t>
        </is>
      </c>
      <c r="D12081" s="21" t="n">
        <v>422827</v>
      </c>
      <c r="E12081" s="21" t="inlineStr">
        <is>
          <t>湖北省恩施土家族苗族自治州来凤县</t>
        </is>
      </c>
    </row>
    <row r="12082">
      <c r="B12082" s="41" t="inlineStr">
        <is>
          <t>AreaCode</t>
        </is>
      </c>
      <c r="C12082" s="129" t="inlineStr">
        <is>
          <t>地区代码</t>
        </is>
      </c>
      <c r="D12082" s="21" t="n">
        <v>422828</v>
      </c>
      <c r="E12082" s="21" t="inlineStr">
        <is>
          <t>湖北省恩施土家族苗族自治州鹤峰县</t>
        </is>
      </c>
    </row>
    <row r="12083">
      <c r="B12083" s="41" t="inlineStr">
        <is>
          <t>AreaCode</t>
        </is>
      </c>
      <c r="C12083" s="129" t="inlineStr">
        <is>
          <t>地区代码</t>
        </is>
      </c>
      <c r="D12083" s="21" t="n">
        <v>429000</v>
      </c>
      <c r="E12083" s="21" t="inlineStr">
        <is>
          <t>湖北省省直辖县级行政区划</t>
        </is>
      </c>
    </row>
    <row r="12084">
      <c r="B12084" s="41" t="inlineStr">
        <is>
          <t>AreaCode</t>
        </is>
      </c>
      <c r="C12084" s="129" t="inlineStr">
        <is>
          <t>地区代码</t>
        </is>
      </c>
      <c r="D12084" s="21" t="n">
        <v>429004</v>
      </c>
      <c r="E12084" s="21" t="inlineStr">
        <is>
          <t>湖北省省直辖县级行政区划仙桃市</t>
        </is>
      </c>
    </row>
    <row r="12085">
      <c r="B12085" s="41" t="inlineStr">
        <is>
          <t>AreaCode</t>
        </is>
      </c>
      <c r="C12085" s="129" t="inlineStr">
        <is>
          <t>地区代码</t>
        </is>
      </c>
      <c r="D12085" s="21" t="n">
        <v>429005</v>
      </c>
      <c r="E12085" s="21" t="inlineStr">
        <is>
          <t>湖北省省直辖县级行政区划潜江市</t>
        </is>
      </c>
    </row>
    <row r="12086">
      <c r="B12086" s="41" t="inlineStr">
        <is>
          <t>AreaCode</t>
        </is>
      </c>
      <c r="C12086" s="129" t="inlineStr">
        <is>
          <t>地区代码</t>
        </is>
      </c>
      <c r="D12086" s="21" t="n">
        <v>429006</v>
      </c>
      <c r="E12086" s="21" t="inlineStr">
        <is>
          <t>湖北省省直辖县级行政区划天门市</t>
        </is>
      </c>
    </row>
    <row r="12087">
      <c r="B12087" s="41" t="inlineStr">
        <is>
          <t>AreaCode</t>
        </is>
      </c>
      <c r="C12087" s="129" t="inlineStr">
        <is>
          <t>地区代码</t>
        </is>
      </c>
      <c r="D12087" s="21" t="n">
        <v>429021</v>
      </c>
      <c r="E12087" s="21" t="inlineStr">
        <is>
          <t>湖北省省直辖县级行政区划神农架林区</t>
        </is>
      </c>
    </row>
    <row r="12088">
      <c r="B12088" s="41" t="inlineStr">
        <is>
          <t>AreaCode</t>
        </is>
      </c>
      <c r="C12088" s="129" t="inlineStr">
        <is>
          <t>地区代码</t>
        </is>
      </c>
      <c r="D12088" s="21" t="n">
        <v>430000</v>
      </c>
      <c r="E12088" s="21" t="inlineStr">
        <is>
          <t>湖南省</t>
        </is>
      </c>
    </row>
    <row r="12089">
      <c r="B12089" s="41" t="inlineStr">
        <is>
          <t>AreaCode</t>
        </is>
      </c>
      <c r="C12089" s="129" t="inlineStr">
        <is>
          <t>地区代码</t>
        </is>
      </c>
      <c r="D12089" s="21" t="n">
        <v>430100</v>
      </c>
      <c r="E12089" s="21" t="inlineStr">
        <is>
          <t>湖南省长沙市</t>
        </is>
      </c>
    </row>
    <row r="12090">
      <c r="B12090" s="41" t="inlineStr">
        <is>
          <t>AreaCode</t>
        </is>
      </c>
      <c r="C12090" s="129" t="inlineStr">
        <is>
          <t>地区代码</t>
        </is>
      </c>
      <c r="D12090" s="21" t="n">
        <v>430101</v>
      </c>
      <c r="E12090" s="21" t="inlineStr">
        <is>
          <t>湖南省长沙市市辖区</t>
        </is>
      </c>
    </row>
    <row r="12091">
      <c r="B12091" s="41" t="inlineStr">
        <is>
          <t>AreaCode</t>
        </is>
      </c>
      <c r="C12091" s="129" t="inlineStr">
        <is>
          <t>地区代码</t>
        </is>
      </c>
      <c r="D12091" s="21" t="n">
        <v>430102</v>
      </c>
      <c r="E12091" s="21" t="inlineStr">
        <is>
          <t>湖南省长沙市芙蓉区</t>
        </is>
      </c>
    </row>
    <row r="12092">
      <c r="B12092" s="41" t="inlineStr">
        <is>
          <t>AreaCode</t>
        </is>
      </c>
      <c r="C12092" s="129" t="inlineStr">
        <is>
          <t>地区代码</t>
        </is>
      </c>
      <c r="D12092" s="21" t="n">
        <v>430103</v>
      </c>
      <c r="E12092" s="21" t="inlineStr">
        <is>
          <t>湖南省长沙市天心区</t>
        </is>
      </c>
    </row>
    <row r="12093">
      <c r="B12093" s="41" t="inlineStr">
        <is>
          <t>AreaCode</t>
        </is>
      </c>
      <c r="C12093" s="129" t="inlineStr">
        <is>
          <t>地区代码</t>
        </is>
      </c>
      <c r="D12093" s="21" t="n">
        <v>430104</v>
      </c>
      <c r="E12093" s="21" t="inlineStr">
        <is>
          <t>湖南省长沙市岳麓区</t>
        </is>
      </c>
    </row>
    <row r="12094">
      <c r="B12094" s="41" t="inlineStr">
        <is>
          <t>AreaCode</t>
        </is>
      </c>
      <c r="C12094" s="129" t="inlineStr">
        <is>
          <t>地区代码</t>
        </is>
      </c>
      <c r="D12094" s="21" t="n">
        <v>430105</v>
      </c>
      <c r="E12094" s="21" t="inlineStr">
        <is>
          <t>湖南省长沙市开福区</t>
        </is>
      </c>
    </row>
    <row r="12095">
      <c r="B12095" s="41" t="inlineStr">
        <is>
          <t>AreaCode</t>
        </is>
      </c>
      <c r="C12095" s="129" t="inlineStr">
        <is>
          <t>地区代码</t>
        </is>
      </c>
      <c r="D12095" s="21" t="n">
        <v>430111</v>
      </c>
      <c r="E12095" s="21" t="inlineStr">
        <is>
          <t>湖南省长沙市雨花区</t>
        </is>
      </c>
    </row>
    <row r="12096">
      <c r="B12096" s="41" t="inlineStr">
        <is>
          <t>AreaCode</t>
        </is>
      </c>
      <c r="C12096" s="129" t="inlineStr">
        <is>
          <t>地区代码</t>
        </is>
      </c>
      <c r="D12096" s="21" t="n">
        <v>430112</v>
      </c>
      <c r="E12096" s="21" t="inlineStr">
        <is>
          <t>湖南省长沙市望城区</t>
        </is>
      </c>
    </row>
    <row r="12097">
      <c r="B12097" s="41" t="inlineStr">
        <is>
          <t>AreaCode</t>
        </is>
      </c>
      <c r="C12097" s="129" t="inlineStr">
        <is>
          <t>地区代码</t>
        </is>
      </c>
      <c r="D12097" s="21" t="n">
        <v>430121</v>
      </c>
      <c r="E12097" s="21" t="inlineStr">
        <is>
          <t>湖南省长沙市长沙县</t>
        </is>
      </c>
    </row>
    <row r="12098">
      <c r="B12098" s="41" t="inlineStr">
        <is>
          <t>AreaCode</t>
        </is>
      </c>
      <c r="C12098" s="129" t="inlineStr">
        <is>
          <t>地区代码</t>
        </is>
      </c>
      <c r="D12098" s="21" t="n">
        <v>430124</v>
      </c>
      <c r="E12098" s="21" t="inlineStr">
        <is>
          <t>湖南省长沙市宁乡县</t>
        </is>
      </c>
    </row>
    <row r="12099">
      <c r="B12099" s="41" t="inlineStr">
        <is>
          <t>AreaCode</t>
        </is>
      </c>
      <c r="C12099" s="129" t="inlineStr">
        <is>
          <t>地区代码</t>
        </is>
      </c>
      <c r="D12099" s="21" t="n">
        <v>430181</v>
      </c>
      <c r="E12099" s="21" t="inlineStr">
        <is>
          <t>湖南省长沙市浏阳市</t>
        </is>
      </c>
    </row>
    <row r="12100">
      <c r="B12100" s="41" t="inlineStr">
        <is>
          <t>AreaCode</t>
        </is>
      </c>
      <c r="C12100" s="129" t="inlineStr">
        <is>
          <t>地区代码</t>
        </is>
      </c>
      <c r="D12100" s="21" t="n">
        <v>430200</v>
      </c>
      <c r="E12100" s="21" t="inlineStr">
        <is>
          <t>湖南省株洲市</t>
        </is>
      </c>
    </row>
    <row r="12101">
      <c r="B12101" s="41" t="inlineStr">
        <is>
          <t>AreaCode</t>
        </is>
      </c>
      <c r="C12101" s="129" t="inlineStr">
        <is>
          <t>地区代码</t>
        </is>
      </c>
      <c r="D12101" s="21" t="n">
        <v>430201</v>
      </c>
      <c r="E12101" s="21" t="inlineStr">
        <is>
          <t>湖南省株洲市市辖区</t>
        </is>
      </c>
    </row>
    <row r="12102">
      <c r="B12102" s="41" t="inlineStr">
        <is>
          <t>AreaCode</t>
        </is>
      </c>
      <c r="C12102" s="129" t="inlineStr">
        <is>
          <t>地区代码</t>
        </is>
      </c>
      <c r="D12102" s="21" t="n">
        <v>430202</v>
      </c>
      <c r="E12102" s="21" t="inlineStr">
        <is>
          <t>湖南省株洲市荷塘区</t>
        </is>
      </c>
    </row>
    <row r="12103">
      <c r="B12103" s="41" t="inlineStr">
        <is>
          <t>AreaCode</t>
        </is>
      </c>
      <c r="C12103" s="129" t="inlineStr">
        <is>
          <t>地区代码</t>
        </is>
      </c>
      <c r="D12103" s="21" t="n">
        <v>430203</v>
      </c>
      <c r="E12103" s="21" t="inlineStr">
        <is>
          <t>湖南省株洲市芦淞区</t>
        </is>
      </c>
    </row>
    <row r="12104">
      <c r="B12104" s="41" t="inlineStr">
        <is>
          <t>AreaCode</t>
        </is>
      </c>
      <c r="C12104" s="129" t="inlineStr">
        <is>
          <t>地区代码</t>
        </is>
      </c>
      <c r="D12104" s="21" t="n">
        <v>430204</v>
      </c>
      <c r="E12104" s="21" t="inlineStr">
        <is>
          <t>湖南省株洲市石峰区</t>
        </is>
      </c>
    </row>
    <row r="12105">
      <c r="B12105" s="41" t="inlineStr">
        <is>
          <t>AreaCode</t>
        </is>
      </c>
      <c r="C12105" s="129" t="inlineStr">
        <is>
          <t>地区代码</t>
        </is>
      </c>
      <c r="D12105" s="21" t="n">
        <v>430211</v>
      </c>
      <c r="E12105" s="21" t="inlineStr">
        <is>
          <t>湖南省株洲市天元区</t>
        </is>
      </c>
    </row>
    <row r="12106">
      <c r="B12106" s="41" t="inlineStr">
        <is>
          <t>AreaCode</t>
        </is>
      </c>
      <c r="C12106" s="129" t="inlineStr">
        <is>
          <t>地区代码</t>
        </is>
      </c>
      <c r="D12106" s="21" t="n">
        <v>430221</v>
      </c>
      <c r="E12106" s="21" t="inlineStr">
        <is>
          <t>湖南省株洲市株洲县</t>
        </is>
      </c>
    </row>
    <row r="12107">
      <c r="B12107" s="41" t="inlineStr">
        <is>
          <t>AreaCode</t>
        </is>
      </c>
      <c r="C12107" s="129" t="inlineStr">
        <is>
          <t>地区代码</t>
        </is>
      </c>
      <c r="D12107" s="21" t="n">
        <v>430223</v>
      </c>
      <c r="E12107" s="21" t="inlineStr">
        <is>
          <t>湖南省株洲市攸县</t>
        </is>
      </c>
    </row>
    <row r="12108">
      <c r="B12108" s="41" t="inlineStr">
        <is>
          <t>AreaCode</t>
        </is>
      </c>
      <c r="C12108" s="129" t="inlineStr">
        <is>
          <t>地区代码</t>
        </is>
      </c>
      <c r="D12108" s="21" t="n">
        <v>430224</v>
      </c>
      <c r="E12108" s="21" t="inlineStr">
        <is>
          <t>湖南省株洲市茶陵县</t>
        </is>
      </c>
    </row>
    <row r="12109">
      <c r="B12109" s="41" t="inlineStr">
        <is>
          <t>AreaCode</t>
        </is>
      </c>
      <c r="C12109" s="129" t="inlineStr">
        <is>
          <t>地区代码</t>
        </is>
      </c>
      <c r="D12109" s="21" t="n">
        <v>430225</v>
      </c>
      <c r="E12109" s="21" t="inlineStr">
        <is>
          <t>湖南省株洲市炎陵县</t>
        </is>
      </c>
    </row>
    <row r="12110">
      <c r="B12110" s="41" t="inlineStr">
        <is>
          <t>AreaCode</t>
        </is>
      </c>
      <c r="C12110" s="129" t="inlineStr">
        <is>
          <t>地区代码</t>
        </is>
      </c>
      <c r="D12110" s="21" t="n">
        <v>430281</v>
      </c>
      <c r="E12110" s="21" t="inlineStr">
        <is>
          <t>湖南省株洲市醴陵市</t>
        </is>
      </c>
    </row>
    <row r="12111">
      <c r="B12111" s="41" t="inlineStr">
        <is>
          <t>AreaCode</t>
        </is>
      </c>
      <c r="C12111" s="129" t="inlineStr">
        <is>
          <t>地区代码</t>
        </is>
      </c>
      <c r="D12111" s="21" t="n">
        <v>430300</v>
      </c>
      <c r="E12111" s="21" t="inlineStr">
        <is>
          <t>湖南省湘潭市</t>
        </is>
      </c>
    </row>
    <row r="12112">
      <c r="B12112" s="41" t="inlineStr">
        <is>
          <t>AreaCode</t>
        </is>
      </c>
      <c r="C12112" s="129" t="inlineStr">
        <is>
          <t>地区代码</t>
        </is>
      </c>
      <c r="D12112" s="21" t="n">
        <v>430301</v>
      </c>
      <c r="E12112" s="21" t="inlineStr">
        <is>
          <t>湖南省湘潭市市辖区</t>
        </is>
      </c>
    </row>
    <row r="12113">
      <c r="B12113" s="41" t="inlineStr">
        <is>
          <t>AreaCode</t>
        </is>
      </c>
      <c r="C12113" s="129" t="inlineStr">
        <is>
          <t>地区代码</t>
        </is>
      </c>
      <c r="D12113" s="21" t="n">
        <v>430302</v>
      </c>
      <c r="E12113" s="21" t="inlineStr">
        <is>
          <t>湖南省湘潭市雨湖区</t>
        </is>
      </c>
    </row>
    <row r="12114">
      <c r="B12114" s="41" t="inlineStr">
        <is>
          <t>AreaCode</t>
        </is>
      </c>
      <c r="C12114" s="129" t="inlineStr">
        <is>
          <t>地区代码</t>
        </is>
      </c>
      <c r="D12114" s="21" t="n">
        <v>430304</v>
      </c>
      <c r="E12114" s="21" t="inlineStr">
        <is>
          <t>湖南省湘潭市岳塘区</t>
        </is>
      </c>
    </row>
    <row r="12115">
      <c r="B12115" s="41" t="inlineStr">
        <is>
          <t>AreaCode</t>
        </is>
      </c>
      <c r="C12115" s="129" t="inlineStr">
        <is>
          <t>地区代码</t>
        </is>
      </c>
      <c r="D12115" s="21" t="n">
        <v>430321</v>
      </c>
      <c r="E12115" s="21" t="inlineStr">
        <is>
          <t>湖南省湘潭市湘潭县</t>
        </is>
      </c>
    </row>
    <row r="12116">
      <c r="B12116" s="41" t="inlineStr">
        <is>
          <t>AreaCode</t>
        </is>
      </c>
      <c r="C12116" s="129" t="inlineStr">
        <is>
          <t>地区代码</t>
        </is>
      </c>
      <c r="D12116" s="21" t="n">
        <v>430381</v>
      </c>
      <c r="E12116" s="21" t="inlineStr">
        <is>
          <t>湖南省湘潭市湘乡市</t>
        </is>
      </c>
    </row>
    <row r="12117">
      <c r="B12117" s="41" t="inlineStr">
        <is>
          <t>AreaCode</t>
        </is>
      </c>
      <c r="C12117" s="129" t="inlineStr">
        <is>
          <t>地区代码</t>
        </is>
      </c>
      <c r="D12117" s="21" t="n">
        <v>430382</v>
      </c>
      <c r="E12117" s="21" t="inlineStr">
        <is>
          <t>湖南省湘潭市韶山市</t>
        </is>
      </c>
    </row>
    <row r="12118">
      <c r="B12118" s="41" t="inlineStr">
        <is>
          <t>AreaCode</t>
        </is>
      </c>
      <c r="C12118" s="129" t="inlineStr">
        <is>
          <t>地区代码</t>
        </is>
      </c>
      <c r="D12118" s="21" t="n">
        <v>430400</v>
      </c>
      <c r="E12118" s="21" t="inlineStr">
        <is>
          <t>湖南省衡阳市</t>
        </is>
      </c>
    </row>
    <row r="12119">
      <c r="B12119" s="41" t="inlineStr">
        <is>
          <t>AreaCode</t>
        </is>
      </c>
      <c r="C12119" s="129" t="inlineStr">
        <is>
          <t>地区代码</t>
        </is>
      </c>
      <c r="D12119" s="21" t="n">
        <v>430401</v>
      </c>
      <c r="E12119" s="21" t="inlineStr">
        <is>
          <t>湖南省衡阳市市辖区</t>
        </is>
      </c>
    </row>
    <row r="12120">
      <c r="B12120" s="41" t="inlineStr">
        <is>
          <t>AreaCode</t>
        </is>
      </c>
      <c r="C12120" s="129" t="inlineStr">
        <is>
          <t>地区代码</t>
        </is>
      </c>
      <c r="D12120" s="21" t="n">
        <v>430405</v>
      </c>
      <c r="E12120" s="21" t="inlineStr">
        <is>
          <t>湖南省衡阳市珠晖区</t>
        </is>
      </c>
    </row>
    <row r="12121">
      <c r="B12121" s="41" t="inlineStr">
        <is>
          <t>AreaCode</t>
        </is>
      </c>
      <c r="C12121" s="129" t="inlineStr">
        <is>
          <t>地区代码</t>
        </is>
      </c>
      <c r="D12121" s="21" t="n">
        <v>430406</v>
      </c>
      <c r="E12121" s="21" t="inlineStr">
        <is>
          <t>湖南省衡阳市雁峰区</t>
        </is>
      </c>
    </row>
    <row r="12122">
      <c r="B12122" s="41" t="inlineStr">
        <is>
          <t>AreaCode</t>
        </is>
      </c>
      <c r="C12122" s="129" t="inlineStr">
        <is>
          <t>地区代码</t>
        </is>
      </c>
      <c r="D12122" s="21" t="n">
        <v>430407</v>
      </c>
      <c r="E12122" s="21" t="inlineStr">
        <is>
          <t>湖南省衡阳市石鼓区</t>
        </is>
      </c>
    </row>
    <row r="12123">
      <c r="B12123" s="41" t="inlineStr">
        <is>
          <t>AreaCode</t>
        </is>
      </c>
      <c r="C12123" s="129" t="inlineStr">
        <is>
          <t>地区代码</t>
        </is>
      </c>
      <c r="D12123" s="21" t="n">
        <v>430408</v>
      </c>
      <c r="E12123" s="21" t="inlineStr">
        <is>
          <t>湖南省衡阳市蒸湘区</t>
        </is>
      </c>
    </row>
    <row r="12124">
      <c r="B12124" s="41" t="inlineStr">
        <is>
          <t>AreaCode</t>
        </is>
      </c>
      <c r="C12124" s="129" t="inlineStr">
        <is>
          <t>地区代码</t>
        </is>
      </c>
      <c r="D12124" s="21" t="n">
        <v>430412</v>
      </c>
      <c r="E12124" s="21" t="inlineStr">
        <is>
          <t>湖南省衡阳市南岳区</t>
        </is>
      </c>
    </row>
    <row r="12125">
      <c r="B12125" s="41" t="inlineStr">
        <is>
          <t>AreaCode</t>
        </is>
      </c>
      <c r="C12125" s="129" t="inlineStr">
        <is>
          <t>地区代码</t>
        </is>
      </c>
      <c r="D12125" s="21" t="n">
        <v>430421</v>
      </c>
      <c r="E12125" s="21" t="inlineStr">
        <is>
          <t>湖南省衡阳市衡阳县</t>
        </is>
      </c>
    </row>
    <row r="12126">
      <c r="B12126" s="41" t="inlineStr">
        <is>
          <t>AreaCode</t>
        </is>
      </c>
      <c r="C12126" s="129" t="inlineStr">
        <is>
          <t>地区代码</t>
        </is>
      </c>
      <c r="D12126" s="21" t="n">
        <v>430422</v>
      </c>
      <c r="E12126" s="21" t="inlineStr">
        <is>
          <t>湖南省衡阳市衡南县</t>
        </is>
      </c>
    </row>
    <row r="12127">
      <c r="B12127" s="41" t="inlineStr">
        <is>
          <t>AreaCode</t>
        </is>
      </c>
      <c r="C12127" s="129" t="inlineStr">
        <is>
          <t>地区代码</t>
        </is>
      </c>
      <c r="D12127" s="21" t="n">
        <v>430423</v>
      </c>
      <c r="E12127" s="21" t="inlineStr">
        <is>
          <t>湖南省衡阳市衡山县</t>
        </is>
      </c>
    </row>
    <row r="12128">
      <c r="B12128" s="41" t="inlineStr">
        <is>
          <t>AreaCode</t>
        </is>
      </c>
      <c r="C12128" s="129" t="inlineStr">
        <is>
          <t>地区代码</t>
        </is>
      </c>
      <c r="D12128" s="21" t="n">
        <v>430424</v>
      </c>
      <c r="E12128" s="21" t="inlineStr">
        <is>
          <t>湖南省衡阳市衡东县</t>
        </is>
      </c>
    </row>
    <row r="12129">
      <c r="B12129" s="41" t="inlineStr">
        <is>
          <t>AreaCode</t>
        </is>
      </c>
      <c r="C12129" s="129" t="inlineStr">
        <is>
          <t>地区代码</t>
        </is>
      </c>
      <c r="D12129" s="21" t="n">
        <v>430426</v>
      </c>
      <c r="E12129" s="21" t="inlineStr">
        <is>
          <t>湖南省衡阳市祁东县</t>
        </is>
      </c>
    </row>
    <row r="12130">
      <c r="B12130" s="41" t="inlineStr">
        <is>
          <t>AreaCode</t>
        </is>
      </c>
      <c r="C12130" s="129" t="inlineStr">
        <is>
          <t>地区代码</t>
        </is>
      </c>
      <c r="D12130" s="21" t="n">
        <v>430481</v>
      </c>
      <c r="E12130" s="21" t="inlineStr">
        <is>
          <t>湖南省衡阳市耒阳市</t>
        </is>
      </c>
    </row>
    <row r="12131">
      <c r="B12131" s="41" t="inlineStr">
        <is>
          <t>AreaCode</t>
        </is>
      </c>
      <c r="C12131" s="129" t="inlineStr">
        <is>
          <t>地区代码</t>
        </is>
      </c>
      <c r="D12131" s="21" t="n">
        <v>430482</v>
      </c>
      <c r="E12131" s="21" t="inlineStr">
        <is>
          <t>湖南省衡阳市常宁市</t>
        </is>
      </c>
    </row>
    <row r="12132">
      <c r="B12132" s="41" t="inlineStr">
        <is>
          <t>AreaCode</t>
        </is>
      </c>
      <c r="C12132" s="129" t="inlineStr">
        <is>
          <t>地区代码</t>
        </is>
      </c>
      <c r="D12132" s="21" t="n">
        <v>430500</v>
      </c>
      <c r="E12132" s="21" t="inlineStr">
        <is>
          <t>湖南省邵阳市</t>
        </is>
      </c>
    </row>
    <row r="12133">
      <c r="B12133" s="41" t="inlineStr">
        <is>
          <t>AreaCode</t>
        </is>
      </c>
      <c r="C12133" s="129" t="inlineStr">
        <is>
          <t>地区代码</t>
        </is>
      </c>
      <c r="D12133" s="21" t="n">
        <v>430501</v>
      </c>
      <c r="E12133" s="21" t="inlineStr">
        <is>
          <t>湖南省邵阳市市辖区</t>
        </is>
      </c>
    </row>
    <row r="12134">
      <c r="B12134" s="41" t="inlineStr">
        <is>
          <t>AreaCode</t>
        </is>
      </c>
      <c r="C12134" s="129" t="inlineStr">
        <is>
          <t>地区代码</t>
        </is>
      </c>
      <c r="D12134" s="21" t="n">
        <v>430502</v>
      </c>
      <c r="E12134" s="21" t="inlineStr">
        <is>
          <t>湖南省邵阳市双清区</t>
        </is>
      </c>
    </row>
    <row r="12135">
      <c r="B12135" s="41" t="inlineStr">
        <is>
          <t>AreaCode</t>
        </is>
      </c>
      <c r="C12135" s="129" t="inlineStr">
        <is>
          <t>地区代码</t>
        </is>
      </c>
      <c r="D12135" s="21" t="n">
        <v>430503</v>
      </c>
      <c r="E12135" s="21" t="inlineStr">
        <is>
          <t>湖南省邵阳市大祥区</t>
        </is>
      </c>
    </row>
    <row r="12136">
      <c r="B12136" s="41" t="inlineStr">
        <is>
          <t>AreaCode</t>
        </is>
      </c>
      <c r="C12136" s="129" t="inlineStr">
        <is>
          <t>地区代码</t>
        </is>
      </c>
      <c r="D12136" s="21" t="n">
        <v>430511</v>
      </c>
      <c r="E12136" s="21" t="inlineStr">
        <is>
          <t>湖南省邵阳市北塔区</t>
        </is>
      </c>
    </row>
    <row r="12137">
      <c r="B12137" s="41" t="inlineStr">
        <is>
          <t>AreaCode</t>
        </is>
      </c>
      <c r="C12137" s="129" t="inlineStr">
        <is>
          <t>地区代码</t>
        </is>
      </c>
      <c r="D12137" s="21" t="n">
        <v>430521</v>
      </c>
      <c r="E12137" s="21" t="inlineStr">
        <is>
          <t>湖南省邵阳市邵东县</t>
        </is>
      </c>
    </row>
    <row r="12138">
      <c r="B12138" s="41" t="inlineStr">
        <is>
          <t>AreaCode</t>
        </is>
      </c>
      <c r="C12138" s="129" t="inlineStr">
        <is>
          <t>地区代码</t>
        </is>
      </c>
      <c r="D12138" s="21" t="n">
        <v>430522</v>
      </c>
      <c r="E12138" s="21" t="inlineStr">
        <is>
          <t>湖南省邵阳市新邵县</t>
        </is>
      </c>
    </row>
    <row r="12139">
      <c r="B12139" s="41" t="inlineStr">
        <is>
          <t>AreaCode</t>
        </is>
      </c>
      <c r="C12139" s="129" t="inlineStr">
        <is>
          <t>地区代码</t>
        </is>
      </c>
      <c r="D12139" s="21" t="n">
        <v>430523</v>
      </c>
      <c r="E12139" s="21" t="inlineStr">
        <is>
          <t>湖南省邵阳市邵阳县</t>
        </is>
      </c>
    </row>
    <row r="12140">
      <c r="B12140" s="41" t="inlineStr">
        <is>
          <t>AreaCode</t>
        </is>
      </c>
      <c r="C12140" s="129" t="inlineStr">
        <is>
          <t>地区代码</t>
        </is>
      </c>
      <c r="D12140" s="21" t="n">
        <v>430524</v>
      </c>
      <c r="E12140" s="21" t="inlineStr">
        <is>
          <t>湖南省邵阳市隆回县</t>
        </is>
      </c>
    </row>
    <row r="12141">
      <c r="B12141" s="41" t="inlineStr">
        <is>
          <t>AreaCode</t>
        </is>
      </c>
      <c r="C12141" s="129" t="inlineStr">
        <is>
          <t>地区代码</t>
        </is>
      </c>
      <c r="D12141" s="21" t="n">
        <v>430525</v>
      </c>
      <c r="E12141" s="21" t="inlineStr">
        <is>
          <t>湖南省邵阳市洞口县</t>
        </is>
      </c>
    </row>
    <row r="12142">
      <c r="B12142" s="41" t="inlineStr">
        <is>
          <t>AreaCode</t>
        </is>
      </c>
      <c r="C12142" s="129" t="inlineStr">
        <is>
          <t>地区代码</t>
        </is>
      </c>
      <c r="D12142" s="21" t="n">
        <v>430527</v>
      </c>
      <c r="E12142" s="21" t="inlineStr">
        <is>
          <t>湖南省邵阳市绥宁县</t>
        </is>
      </c>
    </row>
    <row r="12143">
      <c r="B12143" s="41" t="inlineStr">
        <is>
          <t>AreaCode</t>
        </is>
      </c>
      <c r="C12143" s="129" t="inlineStr">
        <is>
          <t>地区代码</t>
        </is>
      </c>
      <c r="D12143" s="21" t="n">
        <v>430528</v>
      </c>
      <c r="E12143" s="21" t="inlineStr">
        <is>
          <t>湖南省邵阳市新宁县</t>
        </is>
      </c>
    </row>
    <row r="12144">
      <c r="B12144" s="41" t="inlineStr">
        <is>
          <t>AreaCode</t>
        </is>
      </c>
      <c r="C12144" s="129" t="inlineStr">
        <is>
          <t>地区代码</t>
        </is>
      </c>
      <c r="D12144" s="21" t="n">
        <v>430529</v>
      </c>
      <c r="E12144" s="21" t="inlineStr">
        <is>
          <t>湖南省邵阳市城步苗族自治县</t>
        </is>
      </c>
    </row>
    <row r="12145">
      <c r="B12145" s="41" t="inlineStr">
        <is>
          <t>AreaCode</t>
        </is>
      </c>
      <c r="C12145" s="129" t="inlineStr">
        <is>
          <t>地区代码</t>
        </is>
      </c>
      <c r="D12145" s="21" t="n">
        <v>430581</v>
      </c>
      <c r="E12145" s="21" t="inlineStr">
        <is>
          <t>湖南省邵阳市武冈市</t>
        </is>
      </c>
    </row>
    <row r="12146">
      <c r="B12146" s="41" t="inlineStr">
        <is>
          <t>AreaCode</t>
        </is>
      </c>
      <c r="C12146" s="129" t="inlineStr">
        <is>
          <t>地区代码</t>
        </is>
      </c>
      <c r="D12146" s="21" t="n">
        <v>430600</v>
      </c>
      <c r="E12146" s="21" t="inlineStr">
        <is>
          <t>湖南省岳阳市</t>
        </is>
      </c>
    </row>
    <row r="12147">
      <c r="B12147" s="41" t="inlineStr">
        <is>
          <t>AreaCode</t>
        </is>
      </c>
      <c r="C12147" s="129" t="inlineStr">
        <is>
          <t>地区代码</t>
        </is>
      </c>
      <c r="D12147" s="21" t="n">
        <v>430601</v>
      </c>
      <c r="E12147" s="21" t="inlineStr">
        <is>
          <t>湖南省岳阳市市辖区</t>
        </is>
      </c>
    </row>
    <row r="12148">
      <c r="B12148" s="41" t="inlineStr">
        <is>
          <t>AreaCode</t>
        </is>
      </c>
      <c r="C12148" s="129" t="inlineStr">
        <is>
          <t>地区代码</t>
        </is>
      </c>
      <c r="D12148" s="21" t="n">
        <v>430602</v>
      </c>
      <c r="E12148" s="21" t="inlineStr">
        <is>
          <t>湖南省岳阳市岳阳楼区</t>
        </is>
      </c>
    </row>
    <row r="12149">
      <c r="B12149" s="41" t="inlineStr">
        <is>
          <t>AreaCode</t>
        </is>
      </c>
      <c r="C12149" s="129" t="inlineStr">
        <is>
          <t>地区代码</t>
        </is>
      </c>
      <c r="D12149" s="21" t="n">
        <v>430603</v>
      </c>
      <c r="E12149" s="21" t="inlineStr">
        <is>
          <t>湖南省岳阳市云溪区</t>
        </is>
      </c>
    </row>
    <row r="12150">
      <c r="B12150" s="41" t="inlineStr">
        <is>
          <t>AreaCode</t>
        </is>
      </c>
      <c r="C12150" s="129" t="inlineStr">
        <is>
          <t>地区代码</t>
        </is>
      </c>
      <c r="D12150" s="21" t="n">
        <v>430611</v>
      </c>
      <c r="E12150" s="21" t="inlineStr">
        <is>
          <t>湖南省岳阳市君山区</t>
        </is>
      </c>
    </row>
    <row r="12151">
      <c r="B12151" s="41" t="inlineStr">
        <is>
          <t>AreaCode</t>
        </is>
      </c>
      <c r="C12151" s="129" t="inlineStr">
        <is>
          <t>地区代码</t>
        </is>
      </c>
      <c r="D12151" s="21" t="n">
        <v>430621</v>
      </c>
      <c r="E12151" s="21" t="inlineStr">
        <is>
          <t>湖南省岳阳市岳阳县</t>
        </is>
      </c>
    </row>
    <row r="12152">
      <c r="B12152" s="41" t="inlineStr">
        <is>
          <t>AreaCode</t>
        </is>
      </c>
      <c r="C12152" s="129" t="inlineStr">
        <is>
          <t>地区代码</t>
        </is>
      </c>
      <c r="D12152" s="21" t="n">
        <v>430623</v>
      </c>
      <c r="E12152" s="21" t="inlineStr">
        <is>
          <t>湖南省岳阳市华容县</t>
        </is>
      </c>
    </row>
    <row r="12153">
      <c r="B12153" s="41" t="inlineStr">
        <is>
          <t>AreaCode</t>
        </is>
      </c>
      <c r="C12153" s="129" t="inlineStr">
        <is>
          <t>地区代码</t>
        </is>
      </c>
      <c r="D12153" s="21" t="n">
        <v>430624</v>
      </c>
      <c r="E12153" s="21" t="inlineStr">
        <is>
          <t>湖南省岳阳市湘阴县</t>
        </is>
      </c>
    </row>
    <row r="12154">
      <c r="B12154" s="41" t="inlineStr">
        <is>
          <t>AreaCode</t>
        </is>
      </c>
      <c r="C12154" s="129" t="inlineStr">
        <is>
          <t>地区代码</t>
        </is>
      </c>
      <c r="D12154" s="21" t="n">
        <v>430626</v>
      </c>
      <c r="E12154" s="21" t="inlineStr">
        <is>
          <t>湖南省岳阳市平江县</t>
        </is>
      </c>
    </row>
    <row r="12155">
      <c r="B12155" s="41" t="inlineStr">
        <is>
          <t>AreaCode</t>
        </is>
      </c>
      <c r="C12155" s="129" t="inlineStr">
        <is>
          <t>地区代码</t>
        </is>
      </c>
      <c r="D12155" s="21" t="n">
        <v>430681</v>
      </c>
      <c r="E12155" s="21" t="inlineStr">
        <is>
          <t>湖南省岳阳市汨罗市</t>
        </is>
      </c>
    </row>
    <row r="12156">
      <c r="B12156" s="41" t="inlineStr">
        <is>
          <t>AreaCode</t>
        </is>
      </c>
      <c r="C12156" s="129" t="inlineStr">
        <is>
          <t>地区代码</t>
        </is>
      </c>
      <c r="D12156" s="21" t="n">
        <v>430682</v>
      </c>
      <c r="E12156" s="21" t="inlineStr">
        <is>
          <t>湖南省岳阳市临湘市</t>
        </is>
      </c>
    </row>
    <row r="12157">
      <c r="B12157" s="41" t="inlineStr">
        <is>
          <t>AreaCode</t>
        </is>
      </c>
      <c r="C12157" s="129" t="inlineStr">
        <is>
          <t>地区代码</t>
        </is>
      </c>
      <c r="D12157" s="21" t="n">
        <v>430700</v>
      </c>
      <c r="E12157" s="21" t="inlineStr">
        <is>
          <t>湖南省常德市</t>
        </is>
      </c>
    </row>
    <row r="12158">
      <c r="B12158" s="41" t="inlineStr">
        <is>
          <t>AreaCode</t>
        </is>
      </c>
      <c r="C12158" s="129" t="inlineStr">
        <is>
          <t>地区代码</t>
        </is>
      </c>
      <c r="D12158" s="21" t="n">
        <v>430701</v>
      </c>
      <c r="E12158" s="21" t="inlineStr">
        <is>
          <t>湖南省常德市市辖区</t>
        </is>
      </c>
    </row>
    <row r="12159">
      <c r="B12159" s="41" t="inlineStr">
        <is>
          <t>AreaCode</t>
        </is>
      </c>
      <c r="C12159" s="129" t="inlineStr">
        <is>
          <t>地区代码</t>
        </is>
      </c>
      <c r="D12159" s="21" t="n">
        <v>430702</v>
      </c>
      <c r="E12159" s="21" t="inlineStr">
        <is>
          <t>湖南省常德市武陵区</t>
        </is>
      </c>
    </row>
    <row r="12160">
      <c r="B12160" s="41" t="inlineStr">
        <is>
          <t>AreaCode</t>
        </is>
      </c>
      <c r="C12160" s="129" t="inlineStr">
        <is>
          <t>地区代码</t>
        </is>
      </c>
      <c r="D12160" s="21" t="n">
        <v>430703</v>
      </c>
      <c r="E12160" s="21" t="inlineStr">
        <is>
          <t>湖南省常德市鼎城区</t>
        </is>
      </c>
    </row>
    <row r="12161">
      <c r="B12161" s="41" t="inlineStr">
        <is>
          <t>AreaCode</t>
        </is>
      </c>
      <c r="C12161" s="129" t="inlineStr">
        <is>
          <t>地区代码</t>
        </is>
      </c>
      <c r="D12161" s="21" t="n">
        <v>430721</v>
      </c>
      <c r="E12161" s="21" t="inlineStr">
        <is>
          <t>湖南省常德市安乡县</t>
        </is>
      </c>
    </row>
    <row r="12162">
      <c r="B12162" s="41" t="inlineStr">
        <is>
          <t>AreaCode</t>
        </is>
      </c>
      <c r="C12162" s="129" t="inlineStr">
        <is>
          <t>地区代码</t>
        </is>
      </c>
      <c r="D12162" s="21" t="n">
        <v>430722</v>
      </c>
      <c r="E12162" s="21" t="inlineStr">
        <is>
          <t>湖南省常德市汉寿县</t>
        </is>
      </c>
    </row>
    <row r="12163">
      <c r="B12163" s="41" t="inlineStr">
        <is>
          <t>AreaCode</t>
        </is>
      </c>
      <c r="C12163" s="129" t="inlineStr">
        <is>
          <t>地区代码</t>
        </is>
      </c>
      <c r="D12163" s="21" t="n">
        <v>430723</v>
      </c>
      <c r="E12163" s="21" t="inlineStr">
        <is>
          <t>湖南省常德市澧县</t>
        </is>
      </c>
    </row>
    <row r="12164">
      <c r="B12164" s="41" t="inlineStr">
        <is>
          <t>AreaCode</t>
        </is>
      </c>
      <c r="C12164" s="129" t="inlineStr">
        <is>
          <t>地区代码</t>
        </is>
      </c>
      <c r="D12164" s="21" t="n">
        <v>430724</v>
      </c>
      <c r="E12164" s="21" t="inlineStr">
        <is>
          <t>湖南省常德市临澧县</t>
        </is>
      </c>
    </row>
    <row r="12165">
      <c r="B12165" s="41" t="inlineStr">
        <is>
          <t>AreaCode</t>
        </is>
      </c>
      <c r="C12165" s="129" t="inlineStr">
        <is>
          <t>地区代码</t>
        </is>
      </c>
      <c r="D12165" s="21" t="n">
        <v>430725</v>
      </c>
      <c r="E12165" s="21" t="inlineStr">
        <is>
          <t>湖南省常德市桃源县</t>
        </is>
      </c>
    </row>
    <row r="12166">
      <c r="B12166" s="41" t="inlineStr">
        <is>
          <t>AreaCode</t>
        </is>
      </c>
      <c r="C12166" s="129" t="inlineStr">
        <is>
          <t>地区代码</t>
        </is>
      </c>
      <c r="D12166" s="21" t="n">
        <v>430726</v>
      </c>
      <c r="E12166" s="21" t="inlineStr">
        <is>
          <t>湖南省常德市石门县</t>
        </is>
      </c>
    </row>
    <row r="12167">
      <c r="B12167" s="41" t="inlineStr">
        <is>
          <t>AreaCode</t>
        </is>
      </c>
      <c r="C12167" s="129" t="inlineStr">
        <is>
          <t>地区代码</t>
        </is>
      </c>
      <c r="D12167" s="21" t="n">
        <v>430781</v>
      </c>
      <c r="E12167" s="21" t="inlineStr">
        <is>
          <t>湖南省常德市津市市</t>
        </is>
      </c>
    </row>
    <row r="12168">
      <c r="B12168" s="41" t="inlineStr">
        <is>
          <t>AreaCode</t>
        </is>
      </c>
      <c r="C12168" s="129" t="inlineStr">
        <is>
          <t>地区代码</t>
        </is>
      </c>
      <c r="D12168" s="21" t="n">
        <v>430800</v>
      </c>
      <c r="E12168" s="21" t="inlineStr">
        <is>
          <t>湖南省张家界市</t>
        </is>
      </c>
    </row>
    <row r="12169">
      <c r="B12169" s="41" t="inlineStr">
        <is>
          <t>AreaCode</t>
        </is>
      </c>
      <c r="C12169" s="129" t="inlineStr">
        <is>
          <t>地区代码</t>
        </is>
      </c>
      <c r="D12169" s="21" t="n">
        <v>430801</v>
      </c>
      <c r="E12169" s="21" t="inlineStr">
        <is>
          <t>湖南省张家界市市辖区</t>
        </is>
      </c>
    </row>
    <row r="12170">
      <c r="B12170" s="41" t="inlineStr">
        <is>
          <t>AreaCode</t>
        </is>
      </c>
      <c r="C12170" s="129" t="inlineStr">
        <is>
          <t>地区代码</t>
        </is>
      </c>
      <c r="D12170" s="21" t="n">
        <v>430802</v>
      </c>
      <c r="E12170" s="21" t="inlineStr">
        <is>
          <t>湖南省张家界市永定区</t>
        </is>
      </c>
    </row>
    <row r="12171">
      <c r="B12171" s="41" t="inlineStr">
        <is>
          <t>AreaCode</t>
        </is>
      </c>
      <c r="C12171" s="129" t="inlineStr">
        <is>
          <t>地区代码</t>
        </is>
      </c>
      <c r="D12171" s="21" t="n">
        <v>430811</v>
      </c>
      <c r="E12171" s="21" t="inlineStr">
        <is>
          <t>湖南省张家界市武陵源区</t>
        </is>
      </c>
    </row>
    <row r="12172">
      <c r="B12172" s="41" t="inlineStr">
        <is>
          <t>AreaCode</t>
        </is>
      </c>
      <c r="C12172" s="129" t="inlineStr">
        <is>
          <t>地区代码</t>
        </is>
      </c>
      <c r="D12172" s="21" t="n">
        <v>430821</v>
      </c>
      <c r="E12172" s="21" t="inlineStr">
        <is>
          <t>湖南省张家界市慈利县</t>
        </is>
      </c>
    </row>
    <row r="12173">
      <c r="B12173" s="41" t="inlineStr">
        <is>
          <t>AreaCode</t>
        </is>
      </c>
      <c r="C12173" s="129" t="inlineStr">
        <is>
          <t>地区代码</t>
        </is>
      </c>
      <c r="D12173" s="21" t="n">
        <v>430822</v>
      </c>
      <c r="E12173" s="21" t="inlineStr">
        <is>
          <t>湖南省张家界市桑植县</t>
        </is>
      </c>
    </row>
    <row r="12174">
      <c r="B12174" s="41" t="inlineStr">
        <is>
          <t>AreaCode</t>
        </is>
      </c>
      <c r="C12174" s="129" t="inlineStr">
        <is>
          <t>地区代码</t>
        </is>
      </c>
      <c r="D12174" s="21" t="n">
        <v>430900</v>
      </c>
      <c r="E12174" s="21" t="inlineStr">
        <is>
          <t>湖南省益阳市</t>
        </is>
      </c>
    </row>
    <row r="12175">
      <c r="B12175" s="41" t="inlineStr">
        <is>
          <t>AreaCode</t>
        </is>
      </c>
      <c r="C12175" s="129" t="inlineStr">
        <is>
          <t>地区代码</t>
        </is>
      </c>
      <c r="D12175" s="21" t="n">
        <v>430901</v>
      </c>
      <c r="E12175" s="21" t="inlineStr">
        <is>
          <t>湖南省益阳市市辖区</t>
        </is>
      </c>
    </row>
    <row r="12176">
      <c r="B12176" s="41" t="inlineStr">
        <is>
          <t>AreaCode</t>
        </is>
      </c>
      <c r="C12176" s="129" t="inlineStr">
        <is>
          <t>地区代码</t>
        </is>
      </c>
      <c r="D12176" s="21" t="n">
        <v>430902</v>
      </c>
      <c r="E12176" s="21" t="inlineStr">
        <is>
          <t>湖南省益阳市资阳区</t>
        </is>
      </c>
    </row>
    <row r="12177">
      <c r="B12177" s="41" t="inlineStr">
        <is>
          <t>AreaCode</t>
        </is>
      </c>
      <c r="C12177" s="129" t="inlineStr">
        <is>
          <t>地区代码</t>
        </is>
      </c>
      <c r="D12177" s="21" t="n">
        <v>430903</v>
      </c>
      <c r="E12177" s="21" t="inlineStr">
        <is>
          <t>湖南省益阳市赫山区</t>
        </is>
      </c>
    </row>
    <row r="12178">
      <c r="B12178" s="41" t="inlineStr">
        <is>
          <t>AreaCode</t>
        </is>
      </c>
      <c r="C12178" s="129" t="inlineStr">
        <is>
          <t>地区代码</t>
        </is>
      </c>
      <c r="D12178" s="21" t="n">
        <v>430921</v>
      </c>
      <c r="E12178" s="21" t="inlineStr">
        <is>
          <t>湖南省益阳市南县</t>
        </is>
      </c>
    </row>
    <row r="12179">
      <c r="B12179" s="41" t="inlineStr">
        <is>
          <t>AreaCode</t>
        </is>
      </c>
      <c r="C12179" s="129" t="inlineStr">
        <is>
          <t>地区代码</t>
        </is>
      </c>
      <c r="D12179" s="21" t="n">
        <v>430922</v>
      </c>
      <c r="E12179" s="21" t="inlineStr">
        <is>
          <t>湖南省益阳市桃江县</t>
        </is>
      </c>
    </row>
    <row r="12180">
      <c r="B12180" s="41" t="inlineStr">
        <is>
          <t>AreaCode</t>
        </is>
      </c>
      <c r="C12180" s="129" t="inlineStr">
        <is>
          <t>地区代码</t>
        </is>
      </c>
      <c r="D12180" s="21" t="n">
        <v>430923</v>
      </c>
      <c r="E12180" s="21" t="inlineStr">
        <is>
          <t>湖南省益阳市安化县</t>
        </is>
      </c>
    </row>
    <row r="12181">
      <c r="B12181" s="41" t="inlineStr">
        <is>
          <t>AreaCode</t>
        </is>
      </c>
      <c r="C12181" s="129" t="inlineStr">
        <is>
          <t>地区代码</t>
        </is>
      </c>
      <c r="D12181" s="21" t="n">
        <v>430981</v>
      </c>
      <c r="E12181" s="21" t="inlineStr">
        <is>
          <t>湖南省益阳市沅江市</t>
        </is>
      </c>
    </row>
    <row r="12182">
      <c r="B12182" s="41" t="inlineStr">
        <is>
          <t>AreaCode</t>
        </is>
      </c>
      <c r="C12182" s="129" t="inlineStr">
        <is>
          <t>地区代码</t>
        </is>
      </c>
      <c r="D12182" s="21" t="n">
        <v>431000</v>
      </c>
      <c r="E12182" s="21" t="inlineStr">
        <is>
          <t>湖南省郴州市</t>
        </is>
      </c>
    </row>
    <row r="12183">
      <c r="B12183" s="41" t="inlineStr">
        <is>
          <t>AreaCode</t>
        </is>
      </c>
      <c r="C12183" s="129" t="inlineStr">
        <is>
          <t>地区代码</t>
        </is>
      </c>
      <c r="D12183" s="21" t="n">
        <v>431001</v>
      </c>
      <c r="E12183" s="21" t="inlineStr">
        <is>
          <t>湖南省郴州市市辖区</t>
        </is>
      </c>
    </row>
    <row r="12184">
      <c r="B12184" s="41" t="inlineStr">
        <is>
          <t>AreaCode</t>
        </is>
      </c>
      <c r="C12184" s="129" t="inlineStr">
        <is>
          <t>地区代码</t>
        </is>
      </c>
      <c r="D12184" s="21" t="n">
        <v>431002</v>
      </c>
      <c r="E12184" s="21" t="inlineStr">
        <is>
          <t>湖南省郴州市北湖区</t>
        </is>
      </c>
    </row>
    <row r="12185">
      <c r="B12185" s="41" t="inlineStr">
        <is>
          <t>AreaCode</t>
        </is>
      </c>
      <c r="C12185" s="129" t="inlineStr">
        <is>
          <t>地区代码</t>
        </is>
      </c>
      <c r="D12185" s="21" t="n">
        <v>431003</v>
      </c>
      <c r="E12185" s="21" t="inlineStr">
        <is>
          <t>湖南省郴州市苏仙区</t>
        </is>
      </c>
    </row>
    <row r="12186">
      <c r="B12186" s="41" t="inlineStr">
        <is>
          <t>AreaCode</t>
        </is>
      </c>
      <c r="C12186" s="129" t="inlineStr">
        <is>
          <t>地区代码</t>
        </is>
      </c>
      <c r="D12186" s="21" t="n">
        <v>431021</v>
      </c>
      <c r="E12186" s="21" t="inlineStr">
        <is>
          <t>湖南省郴州市桂阳县</t>
        </is>
      </c>
    </row>
    <row r="12187">
      <c r="B12187" s="41" t="inlineStr">
        <is>
          <t>AreaCode</t>
        </is>
      </c>
      <c r="C12187" s="129" t="inlineStr">
        <is>
          <t>地区代码</t>
        </is>
      </c>
      <c r="D12187" s="21" t="n">
        <v>431022</v>
      </c>
      <c r="E12187" s="21" t="inlineStr">
        <is>
          <t>湖南省郴州市宜章县</t>
        </is>
      </c>
    </row>
    <row r="12188">
      <c r="B12188" s="41" t="inlineStr">
        <is>
          <t>AreaCode</t>
        </is>
      </c>
      <c r="C12188" s="129" t="inlineStr">
        <is>
          <t>地区代码</t>
        </is>
      </c>
      <c r="D12188" s="21" t="n">
        <v>431023</v>
      </c>
      <c r="E12188" s="21" t="inlineStr">
        <is>
          <t>湖南省郴州市永兴县</t>
        </is>
      </c>
    </row>
    <row r="12189">
      <c r="B12189" s="41" t="inlineStr">
        <is>
          <t>AreaCode</t>
        </is>
      </c>
      <c r="C12189" s="129" t="inlineStr">
        <is>
          <t>地区代码</t>
        </is>
      </c>
      <c r="D12189" s="21" t="n">
        <v>431024</v>
      </c>
      <c r="E12189" s="21" t="inlineStr">
        <is>
          <t>湖南省郴州市嘉禾县</t>
        </is>
      </c>
    </row>
    <row r="12190">
      <c r="B12190" s="41" t="inlineStr">
        <is>
          <t>AreaCode</t>
        </is>
      </c>
      <c r="C12190" s="129" t="inlineStr">
        <is>
          <t>地区代码</t>
        </is>
      </c>
      <c r="D12190" s="21" t="n">
        <v>431025</v>
      </c>
      <c r="E12190" s="21" t="inlineStr">
        <is>
          <t>湖南省郴州市临武县</t>
        </is>
      </c>
    </row>
    <row r="12191">
      <c r="B12191" s="41" t="inlineStr">
        <is>
          <t>AreaCode</t>
        </is>
      </c>
      <c r="C12191" s="129" t="inlineStr">
        <is>
          <t>地区代码</t>
        </is>
      </c>
      <c r="D12191" s="21" t="n">
        <v>431026</v>
      </c>
      <c r="E12191" s="21" t="inlineStr">
        <is>
          <t>湖南省郴州市汝城县</t>
        </is>
      </c>
    </row>
    <row r="12192">
      <c r="B12192" s="41" t="inlineStr">
        <is>
          <t>AreaCode</t>
        </is>
      </c>
      <c r="C12192" s="129" t="inlineStr">
        <is>
          <t>地区代码</t>
        </is>
      </c>
      <c r="D12192" s="21" t="n">
        <v>431027</v>
      </c>
      <c r="E12192" s="21" t="inlineStr">
        <is>
          <t>湖南省郴州市桂东县</t>
        </is>
      </c>
    </row>
    <row r="12193">
      <c r="B12193" s="41" t="inlineStr">
        <is>
          <t>AreaCode</t>
        </is>
      </c>
      <c r="C12193" s="129" t="inlineStr">
        <is>
          <t>地区代码</t>
        </is>
      </c>
      <c r="D12193" s="21" t="n">
        <v>431028</v>
      </c>
      <c r="E12193" s="21" t="inlineStr">
        <is>
          <t>湖南省郴州市安仁县</t>
        </is>
      </c>
    </row>
    <row r="12194">
      <c r="B12194" s="41" t="inlineStr">
        <is>
          <t>AreaCode</t>
        </is>
      </c>
      <c r="C12194" s="129" t="inlineStr">
        <is>
          <t>地区代码</t>
        </is>
      </c>
      <c r="D12194" s="21" t="n">
        <v>431081</v>
      </c>
      <c r="E12194" s="21" t="inlineStr">
        <is>
          <t>湖南省郴州市资兴市</t>
        </is>
      </c>
    </row>
    <row r="12195">
      <c r="B12195" s="41" t="inlineStr">
        <is>
          <t>AreaCode</t>
        </is>
      </c>
      <c r="C12195" s="129" t="inlineStr">
        <is>
          <t>地区代码</t>
        </is>
      </c>
      <c r="D12195" s="21" t="n">
        <v>431100</v>
      </c>
      <c r="E12195" s="21" t="inlineStr">
        <is>
          <t>湖南省永州市</t>
        </is>
      </c>
    </row>
    <row r="12196">
      <c r="B12196" s="41" t="inlineStr">
        <is>
          <t>AreaCode</t>
        </is>
      </c>
      <c r="C12196" s="129" t="inlineStr">
        <is>
          <t>地区代码</t>
        </is>
      </c>
      <c r="D12196" s="21" t="n">
        <v>431101</v>
      </c>
      <c r="E12196" s="21" t="inlineStr">
        <is>
          <t>湖南省永州市市辖区</t>
        </is>
      </c>
    </row>
    <row r="12197">
      <c r="B12197" s="41" t="inlineStr">
        <is>
          <t>AreaCode</t>
        </is>
      </c>
      <c r="C12197" s="129" t="inlineStr">
        <is>
          <t>地区代码</t>
        </is>
      </c>
      <c r="D12197" s="21" t="n">
        <v>431102</v>
      </c>
      <c r="E12197" s="21" t="inlineStr">
        <is>
          <t>湖南省永州市零陵区</t>
        </is>
      </c>
    </row>
    <row r="12198">
      <c r="B12198" s="41" t="inlineStr">
        <is>
          <t>AreaCode</t>
        </is>
      </c>
      <c r="C12198" s="129" t="inlineStr">
        <is>
          <t>地区代码</t>
        </is>
      </c>
      <c r="D12198" s="21" t="n">
        <v>431103</v>
      </c>
      <c r="E12198" s="21" t="inlineStr">
        <is>
          <t>湖南省永州市冷水滩区</t>
        </is>
      </c>
    </row>
    <row r="12199">
      <c r="B12199" s="41" t="inlineStr">
        <is>
          <t>AreaCode</t>
        </is>
      </c>
      <c r="C12199" s="129" t="inlineStr">
        <is>
          <t>地区代码</t>
        </is>
      </c>
      <c r="D12199" s="21" t="n">
        <v>431121</v>
      </c>
      <c r="E12199" s="21" t="inlineStr">
        <is>
          <t>湖南省永州市祁阳县</t>
        </is>
      </c>
    </row>
    <row r="12200">
      <c r="B12200" s="41" t="inlineStr">
        <is>
          <t>AreaCode</t>
        </is>
      </c>
      <c r="C12200" s="129" t="inlineStr">
        <is>
          <t>地区代码</t>
        </is>
      </c>
      <c r="D12200" s="21" t="n">
        <v>431122</v>
      </c>
      <c r="E12200" s="21" t="inlineStr">
        <is>
          <t>湖南省永州市东安县</t>
        </is>
      </c>
    </row>
    <row r="12201">
      <c r="B12201" s="41" t="inlineStr">
        <is>
          <t>AreaCode</t>
        </is>
      </c>
      <c r="C12201" s="129" t="inlineStr">
        <is>
          <t>地区代码</t>
        </is>
      </c>
      <c r="D12201" s="21" t="n">
        <v>431123</v>
      </c>
      <c r="E12201" s="21" t="inlineStr">
        <is>
          <t>湖南省永州市双牌县</t>
        </is>
      </c>
    </row>
    <row r="12202">
      <c r="B12202" s="41" t="inlineStr">
        <is>
          <t>AreaCode</t>
        </is>
      </c>
      <c r="C12202" s="129" t="inlineStr">
        <is>
          <t>地区代码</t>
        </is>
      </c>
      <c r="D12202" s="21" t="n">
        <v>431124</v>
      </c>
      <c r="E12202" s="21" t="inlineStr">
        <is>
          <t>湖南省永州市道县</t>
        </is>
      </c>
    </row>
    <row r="12203">
      <c r="B12203" s="41" t="inlineStr">
        <is>
          <t>AreaCode</t>
        </is>
      </c>
      <c r="C12203" s="129" t="inlineStr">
        <is>
          <t>地区代码</t>
        </is>
      </c>
      <c r="D12203" s="21" t="n">
        <v>431125</v>
      </c>
      <c r="E12203" s="21" t="inlineStr">
        <is>
          <t>湖南省永州市江永县</t>
        </is>
      </c>
    </row>
    <row r="12204">
      <c r="B12204" s="41" t="inlineStr">
        <is>
          <t>AreaCode</t>
        </is>
      </c>
      <c r="C12204" s="129" t="inlineStr">
        <is>
          <t>地区代码</t>
        </is>
      </c>
      <c r="D12204" s="21" t="n">
        <v>431126</v>
      </c>
      <c r="E12204" s="21" t="inlineStr">
        <is>
          <t>湖南省永州市宁远县</t>
        </is>
      </c>
    </row>
    <row r="12205">
      <c r="B12205" s="41" t="inlineStr">
        <is>
          <t>AreaCode</t>
        </is>
      </c>
      <c r="C12205" s="129" t="inlineStr">
        <is>
          <t>地区代码</t>
        </is>
      </c>
      <c r="D12205" s="21" t="n">
        <v>431127</v>
      </c>
      <c r="E12205" s="21" t="inlineStr">
        <is>
          <t>湖南省永州市蓝山县</t>
        </is>
      </c>
    </row>
    <row r="12206">
      <c r="B12206" s="41" t="inlineStr">
        <is>
          <t>AreaCode</t>
        </is>
      </c>
      <c r="C12206" s="129" t="inlineStr">
        <is>
          <t>地区代码</t>
        </is>
      </c>
      <c r="D12206" s="21" t="n">
        <v>431128</v>
      </c>
      <c r="E12206" s="21" t="inlineStr">
        <is>
          <t>湖南省永州市新田县</t>
        </is>
      </c>
    </row>
    <row r="12207">
      <c r="B12207" s="41" t="inlineStr">
        <is>
          <t>AreaCode</t>
        </is>
      </c>
      <c r="C12207" s="129" t="inlineStr">
        <is>
          <t>地区代码</t>
        </is>
      </c>
      <c r="D12207" s="21" t="n">
        <v>431129</v>
      </c>
      <c r="E12207" s="21" t="inlineStr">
        <is>
          <t>湖南省永州市江华瑶族自治县</t>
        </is>
      </c>
    </row>
    <row r="12208">
      <c r="B12208" s="41" t="inlineStr">
        <is>
          <t>AreaCode</t>
        </is>
      </c>
      <c r="C12208" s="129" t="inlineStr">
        <is>
          <t>地区代码</t>
        </is>
      </c>
      <c r="D12208" s="21" t="n">
        <v>431200</v>
      </c>
      <c r="E12208" s="21" t="inlineStr">
        <is>
          <t>湖南省怀化市</t>
        </is>
      </c>
    </row>
    <row r="12209">
      <c r="B12209" s="41" t="inlineStr">
        <is>
          <t>AreaCode</t>
        </is>
      </c>
      <c r="C12209" s="129" t="inlineStr">
        <is>
          <t>地区代码</t>
        </is>
      </c>
      <c r="D12209" s="21" t="n">
        <v>431201</v>
      </c>
      <c r="E12209" s="21" t="inlineStr">
        <is>
          <t>湖南省怀化市市辖区</t>
        </is>
      </c>
    </row>
    <row r="12210">
      <c r="B12210" s="41" t="inlineStr">
        <is>
          <t>AreaCode</t>
        </is>
      </c>
      <c r="C12210" s="129" t="inlineStr">
        <is>
          <t>地区代码</t>
        </is>
      </c>
      <c r="D12210" s="21" t="n">
        <v>431202</v>
      </c>
      <c r="E12210" s="21" t="inlineStr">
        <is>
          <t>湖南省怀化市鹤城区</t>
        </is>
      </c>
    </row>
    <row r="12211">
      <c r="B12211" s="41" t="inlineStr">
        <is>
          <t>AreaCode</t>
        </is>
      </c>
      <c r="C12211" s="129" t="inlineStr">
        <is>
          <t>地区代码</t>
        </is>
      </c>
      <c r="D12211" s="21" t="n">
        <v>431221</v>
      </c>
      <c r="E12211" s="21" t="inlineStr">
        <is>
          <t>湖南省怀化市中方县</t>
        </is>
      </c>
    </row>
    <row r="12212">
      <c r="B12212" s="41" t="inlineStr">
        <is>
          <t>AreaCode</t>
        </is>
      </c>
      <c r="C12212" s="129" t="inlineStr">
        <is>
          <t>地区代码</t>
        </is>
      </c>
      <c r="D12212" s="21" t="n">
        <v>431222</v>
      </c>
      <c r="E12212" s="21" t="inlineStr">
        <is>
          <t>湖南省怀化市沅陵县</t>
        </is>
      </c>
    </row>
    <row r="12213">
      <c r="B12213" s="41" t="inlineStr">
        <is>
          <t>AreaCode</t>
        </is>
      </c>
      <c r="C12213" s="129" t="inlineStr">
        <is>
          <t>地区代码</t>
        </is>
      </c>
      <c r="D12213" s="21" t="n">
        <v>431223</v>
      </c>
      <c r="E12213" s="21" t="inlineStr">
        <is>
          <t>湖南省怀化市辰溪县</t>
        </is>
      </c>
    </row>
    <row r="12214">
      <c r="B12214" s="41" t="inlineStr">
        <is>
          <t>AreaCode</t>
        </is>
      </c>
      <c r="C12214" s="129" t="inlineStr">
        <is>
          <t>地区代码</t>
        </is>
      </c>
      <c r="D12214" s="21" t="n">
        <v>431224</v>
      </c>
      <c r="E12214" s="21" t="inlineStr">
        <is>
          <t>湖南省怀化市溆浦县</t>
        </is>
      </c>
    </row>
    <row r="12215">
      <c r="B12215" s="41" t="inlineStr">
        <is>
          <t>AreaCode</t>
        </is>
      </c>
      <c r="C12215" s="129" t="inlineStr">
        <is>
          <t>地区代码</t>
        </is>
      </c>
      <c r="D12215" s="21" t="n">
        <v>431225</v>
      </c>
      <c r="E12215" s="21" t="inlineStr">
        <is>
          <t>湖南省怀化市会同县</t>
        </is>
      </c>
    </row>
    <row r="12216">
      <c r="B12216" s="41" t="inlineStr">
        <is>
          <t>AreaCode</t>
        </is>
      </c>
      <c r="C12216" s="129" t="inlineStr">
        <is>
          <t>地区代码</t>
        </is>
      </c>
      <c r="D12216" s="21" t="n">
        <v>431226</v>
      </c>
      <c r="E12216" s="21" t="inlineStr">
        <is>
          <t>湖南省怀化市麻阳苗族自治县</t>
        </is>
      </c>
    </row>
    <row r="12217">
      <c r="B12217" s="41" t="inlineStr">
        <is>
          <t>AreaCode</t>
        </is>
      </c>
      <c r="C12217" s="129" t="inlineStr">
        <is>
          <t>地区代码</t>
        </is>
      </c>
      <c r="D12217" s="21" t="n">
        <v>431227</v>
      </c>
      <c r="E12217" s="21" t="inlineStr">
        <is>
          <t>湖南省怀化市新晃侗族自治县</t>
        </is>
      </c>
    </row>
    <row r="12218">
      <c r="B12218" s="41" t="inlineStr">
        <is>
          <t>AreaCode</t>
        </is>
      </c>
      <c r="C12218" s="129" t="inlineStr">
        <is>
          <t>地区代码</t>
        </is>
      </c>
      <c r="D12218" s="21" t="n">
        <v>431228</v>
      </c>
      <c r="E12218" s="21" t="inlineStr">
        <is>
          <t>湖南省怀化市芷江侗族自治县</t>
        </is>
      </c>
    </row>
    <row r="12219">
      <c r="B12219" s="41" t="inlineStr">
        <is>
          <t>AreaCode</t>
        </is>
      </c>
      <c r="C12219" s="129" t="inlineStr">
        <is>
          <t>地区代码</t>
        </is>
      </c>
      <c r="D12219" s="21" t="n">
        <v>431229</v>
      </c>
      <c r="E12219" s="21" t="inlineStr">
        <is>
          <t>湖南省怀化市靖州苗族侗族自治县</t>
        </is>
      </c>
    </row>
    <row r="12220">
      <c r="B12220" s="41" t="inlineStr">
        <is>
          <t>AreaCode</t>
        </is>
      </c>
      <c r="C12220" s="129" t="inlineStr">
        <is>
          <t>地区代码</t>
        </is>
      </c>
      <c r="D12220" s="21" t="n">
        <v>431230</v>
      </c>
      <c r="E12220" s="21" t="inlineStr">
        <is>
          <t>湖南省怀化市通道侗族自治县</t>
        </is>
      </c>
    </row>
    <row r="12221">
      <c r="B12221" s="41" t="inlineStr">
        <is>
          <t>AreaCode</t>
        </is>
      </c>
      <c r="C12221" s="129" t="inlineStr">
        <is>
          <t>地区代码</t>
        </is>
      </c>
      <c r="D12221" s="21" t="n">
        <v>431281</v>
      </c>
      <c r="E12221" s="21" t="inlineStr">
        <is>
          <t>湖南省怀化市洪江市</t>
        </is>
      </c>
    </row>
    <row r="12222">
      <c r="B12222" s="41" t="inlineStr">
        <is>
          <t>AreaCode</t>
        </is>
      </c>
      <c r="C12222" s="129" t="inlineStr">
        <is>
          <t>地区代码</t>
        </is>
      </c>
      <c r="D12222" s="21" t="n">
        <v>431300</v>
      </c>
      <c r="E12222" s="21" t="inlineStr">
        <is>
          <t>湖南省娄底市</t>
        </is>
      </c>
    </row>
    <row r="12223">
      <c r="B12223" s="41" t="inlineStr">
        <is>
          <t>AreaCode</t>
        </is>
      </c>
      <c r="C12223" s="129" t="inlineStr">
        <is>
          <t>地区代码</t>
        </is>
      </c>
      <c r="D12223" s="21" t="n">
        <v>431301</v>
      </c>
      <c r="E12223" s="21" t="inlineStr">
        <is>
          <t>湖南省娄底市市辖区</t>
        </is>
      </c>
    </row>
    <row r="12224">
      <c r="B12224" s="41" t="inlineStr">
        <is>
          <t>AreaCode</t>
        </is>
      </c>
      <c r="C12224" s="129" t="inlineStr">
        <is>
          <t>地区代码</t>
        </is>
      </c>
      <c r="D12224" s="21" t="n">
        <v>431302</v>
      </c>
      <c r="E12224" s="21" t="inlineStr">
        <is>
          <t>湖南省娄底市娄星区</t>
        </is>
      </c>
    </row>
    <row r="12225">
      <c r="B12225" s="41" t="inlineStr">
        <is>
          <t>AreaCode</t>
        </is>
      </c>
      <c r="C12225" s="129" t="inlineStr">
        <is>
          <t>地区代码</t>
        </is>
      </c>
      <c r="D12225" s="21" t="n">
        <v>431321</v>
      </c>
      <c r="E12225" s="21" t="inlineStr">
        <is>
          <t>湖南省娄底市双峰县</t>
        </is>
      </c>
    </row>
    <row r="12226">
      <c r="B12226" s="41" t="inlineStr">
        <is>
          <t>AreaCode</t>
        </is>
      </c>
      <c r="C12226" s="129" t="inlineStr">
        <is>
          <t>地区代码</t>
        </is>
      </c>
      <c r="D12226" s="21" t="n">
        <v>431322</v>
      </c>
      <c r="E12226" s="21" t="inlineStr">
        <is>
          <t>湖南省娄底市新化县</t>
        </is>
      </c>
    </row>
    <row r="12227">
      <c r="B12227" s="41" t="inlineStr">
        <is>
          <t>AreaCode</t>
        </is>
      </c>
      <c r="C12227" s="129" t="inlineStr">
        <is>
          <t>地区代码</t>
        </is>
      </c>
      <c r="D12227" s="21" t="n">
        <v>431381</v>
      </c>
      <c r="E12227" s="21" t="inlineStr">
        <is>
          <t>湖南省娄底市冷水江市</t>
        </is>
      </c>
    </row>
    <row r="12228">
      <c r="B12228" s="41" t="inlineStr">
        <is>
          <t>AreaCode</t>
        </is>
      </c>
      <c r="C12228" s="129" t="inlineStr">
        <is>
          <t>地区代码</t>
        </is>
      </c>
      <c r="D12228" s="21" t="n">
        <v>431382</v>
      </c>
      <c r="E12228" s="21" t="inlineStr">
        <is>
          <t>湖南省娄底市涟源市</t>
        </is>
      </c>
    </row>
    <row r="12229">
      <c r="B12229" s="41" t="inlineStr">
        <is>
          <t>AreaCode</t>
        </is>
      </c>
      <c r="C12229" s="129" t="inlineStr">
        <is>
          <t>地区代码</t>
        </is>
      </c>
      <c r="D12229" s="21" t="n">
        <v>433100</v>
      </c>
      <c r="E12229" s="21" t="inlineStr">
        <is>
          <t>湖南省湘西土家族苗族自治州</t>
        </is>
      </c>
    </row>
    <row r="12230">
      <c r="B12230" s="41" t="inlineStr">
        <is>
          <t>AreaCode</t>
        </is>
      </c>
      <c r="C12230" s="129" t="inlineStr">
        <is>
          <t>地区代码</t>
        </is>
      </c>
      <c r="D12230" s="21" t="n">
        <v>433101</v>
      </c>
      <c r="E12230" s="21" t="inlineStr">
        <is>
          <t>湖南省湘西土家族苗族自治州吉首市</t>
        </is>
      </c>
    </row>
    <row r="12231">
      <c r="B12231" s="41" t="inlineStr">
        <is>
          <t>AreaCode</t>
        </is>
      </c>
      <c r="C12231" s="129" t="inlineStr">
        <is>
          <t>地区代码</t>
        </is>
      </c>
      <c r="D12231" s="21" t="n">
        <v>433122</v>
      </c>
      <c r="E12231" s="21" t="inlineStr">
        <is>
          <t>湖南省湘西土家族苗族自治州泸溪县</t>
        </is>
      </c>
    </row>
    <row r="12232">
      <c r="B12232" s="41" t="inlineStr">
        <is>
          <t>AreaCode</t>
        </is>
      </c>
      <c r="C12232" s="129" t="inlineStr">
        <is>
          <t>地区代码</t>
        </is>
      </c>
      <c r="D12232" s="21" t="n">
        <v>433123</v>
      </c>
      <c r="E12232" s="21" t="inlineStr">
        <is>
          <t>湖南省湘西土家族苗族自治州凤凰县</t>
        </is>
      </c>
    </row>
    <row r="12233">
      <c r="B12233" s="41" t="inlineStr">
        <is>
          <t>AreaCode</t>
        </is>
      </c>
      <c r="C12233" s="129" t="inlineStr">
        <is>
          <t>地区代码</t>
        </is>
      </c>
      <c r="D12233" s="21" t="n">
        <v>433124</v>
      </c>
      <c r="E12233" s="21" t="inlineStr">
        <is>
          <t>湖南省湘西土家族苗族自治州花垣县</t>
        </is>
      </c>
    </row>
    <row r="12234">
      <c r="B12234" s="41" t="inlineStr">
        <is>
          <t>AreaCode</t>
        </is>
      </c>
      <c r="C12234" s="129" t="inlineStr">
        <is>
          <t>地区代码</t>
        </is>
      </c>
      <c r="D12234" s="21" t="n">
        <v>433125</v>
      </c>
      <c r="E12234" s="21" t="inlineStr">
        <is>
          <t>湖南省湘西土家族苗族自治州保靖县</t>
        </is>
      </c>
    </row>
    <row r="12235">
      <c r="B12235" s="41" t="inlineStr">
        <is>
          <t>AreaCode</t>
        </is>
      </c>
      <c r="C12235" s="129" t="inlineStr">
        <is>
          <t>地区代码</t>
        </is>
      </c>
      <c r="D12235" s="21" t="n">
        <v>433126</v>
      </c>
      <c r="E12235" s="21" t="inlineStr">
        <is>
          <t>湖南省湘西土家族苗族自治州古丈县</t>
        </is>
      </c>
    </row>
    <row r="12236">
      <c r="B12236" s="41" t="inlineStr">
        <is>
          <t>AreaCode</t>
        </is>
      </c>
      <c r="C12236" s="129" t="inlineStr">
        <is>
          <t>地区代码</t>
        </is>
      </c>
      <c r="D12236" s="21" t="n">
        <v>433127</v>
      </c>
      <c r="E12236" s="21" t="inlineStr">
        <is>
          <t>湖南省湘西土家族苗族自治州永顺县</t>
        </is>
      </c>
    </row>
    <row r="12237">
      <c r="B12237" s="41" t="inlineStr">
        <is>
          <t>AreaCode</t>
        </is>
      </c>
      <c r="C12237" s="129" t="inlineStr">
        <is>
          <t>地区代码</t>
        </is>
      </c>
      <c r="D12237" s="21" t="n">
        <v>433130</v>
      </c>
      <c r="E12237" s="21" t="inlineStr">
        <is>
          <t>湖南省湘西土家族苗族自治州龙山县</t>
        </is>
      </c>
    </row>
    <row r="12238">
      <c r="B12238" s="41" t="inlineStr">
        <is>
          <t>AreaCode</t>
        </is>
      </c>
      <c r="C12238" s="129" t="inlineStr">
        <is>
          <t>地区代码</t>
        </is>
      </c>
      <c r="D12238" s="21" t="n">
        <v>440000</v>
      </c>
      <c r="E12238" s="21" t="inlineStr">
        <is>
          <t>广东省</t>
        </is>
      </c>
    </row>
    <row r="12239">
      <c r="B12239" s="41" t="inlineStr">
        <is>
          <t>AreaCode</t>
        </is>
      </c>
      <c r="C12239" s="129" t="inlineStr">
        <is>
          <t>地区代码</t>
        </is>
      </c>
      <c r="D12239" s="21" t="n">
        <v>440100</v>
      </c>
      <c r="E12239" s="21" t="inlineStr">
        <is>
          <t>广东省广州市</t>
        </is>
      </c>
    </row>
    <row r="12240">
      <c r="B12240" s="41" t="inlineStr">
        <is>
          <t>AreaCode</t>
        </is>
      </c>
      <c r="C12240" s="129" t="inlineStr">
        <is>
          <t>地区代码</t>
        </is>
      </c>
      <c r="D12240" s="21" t="n">
        <v>440101</v>
      </c>
      <c r="E12240" s="21" t="inlineStr">
        <is>
          <t>广东省广州市市辖区</t>
        </is>
      </c>
    </row>
    <row r="12241">
      <c r="B12241" s="41" t="inlineStr">
        <is>
          <t>AreaCode</t>
        </is>
      </c>
      <c r="C12241" s="129" t="inlineStr">
        <is>
          <t>地区代码</t>
        </is>
      </c>
      <c r="D12241" s="21" t="n">
        <v>440103</v>
      </c>
      <c r="E12241" s="21" t="inlineStr">
        <is>
          <t>广东省广州市荔湾区</t>
        </is>
      </c>
    </row>
    <row r="12242">
      <c r="B12242" s="41" t="inlineStr">
        <is>
          <t>AreaCode</t>
        </is>
      </c>
      <c r="C12242" s="129" t="inlineStr">
        <is>
          <t>地区代码</t>
        </is>
      </c>
      <c r="D12242" s="21" t="n">
        <v>440104</v>
      </c>
      <c r="E12242" s="21" t="inlineStr">
        <is>
          <t>广东省广州市越秀区</t>
        </is>
      </c>
    </row>
    <row r="12243">
      <c r="B12243" s="41" t="inlineStr">
        <is>
          <t>AreaCode</t>
        </is>
      </c>
      <c r="C12243" s="129" t="inlineStr">
        <is>
          <t>地区代码</t>
        </is>
      </c>
      <c r="D12243" s="21" t="n">
        <v>440105</v>
      </c>
      <c r="E12243" s="21" t="inlineStr">
        <is>
          <t>广东省广州市海珠区</t>
        </is>
      </c>
    </row>
    <row r="12244">
      <c r="B12244" s="41" t="inlineStr">
        <is>
          <t>AreaCode</t>
        </is>
      </c>
      <c r="C12244" s="129" t="inlineStr">
        <is>
          <t>地区代码</t>
        </is>
      </c>
      <c r="D12244" s="21" t="n">
        <v>440106</v>
      </c>
      <c r="E12244" s="21" t="inlineStr">
        <is>
          <t>广东省广州市天河区</t>
        </is>
      </c>
    </row>
    <row r="12245">
      <c r="B12245" s="41" t="inlineStr">
        <is>
          <t>AreaCode</t>
        </is>
      </c>
      <c r="C12245" s="129" t="inlineStr">
        <is>
          <t>地区代码</t>
        </is>
      </c>
      <c r="D12245" s="21" t="n">
        <v>440111</v>
      </c>
      <c r="E12245" s="21" t="inlineStr">
        <is>
          <t>广东省广州市白云区</t>
        </is>
      </c>
    </row>
    <row r="12246">
      <c r="B12246" s="41" t="inlineStr">
        <is>
          <t>AreaCode</t>
        </is>
      </c>
      <c r="C12246" s="129" t="inlineStr">
        <is>
          <t>地区代码</t>
        </is>
      </c>
      <c r="D12246" s="21" t="n">
        <v>440112</v>
      </c>
      <c r="E12246" s="21" t="inlineStr">
        <is>
          <t>广东省广州市黄埔区</t>
        </is>
      </c>
    </row>
    <row r="12247">
      <c r="B12247" s="41" t="inlineStr">
        <is>
          <t>AreaCode</t>
        </is>
      </c>
      <c r="C12247" s="129" t="inlineStr">
        <is>
          <t>地区代码</t>
        </is>
      </c>
      <c r="D12247" s="21" t="n">
        <v>440113</v>
      </c>
      <c r="E12247" s="21" t="inlineStr">
        <is>
          <t>广东省广州市番禺区</t>
        </is>
      </c>
    </row>
    <row r="12248">
      <c r="B12248" s="41" t="inlineStr">
        <is>
          <t>AreaCode</t>
        </is>
      </c>
      <c r="C12248" s="129" t="inlineStr">
        <is>
          <t>地区代码</t>
        </is>
      </c>
      <c r="D12248" s="21" t="n">
        <v>440114</v>
      </c>
      <c r="E12248" s="21" t="inlineStr">
        <is>
          <t>广东省广州市花都区</t>
        </is>
      </c>
    </row>
    <row r="12249">
      <c r="B12249" s="41" t="inlineStr">
        <is>
          <t>AreaCode</t>
        </is>
      </c>
      <c r="C12249" s="129" t="inlineStr">
        <is>
          <t>地区代码</t>
        </is>
      </c>
      <c r="D12249" s="21" t="n">
        <v>440115</v>
      </c>
      <c r="E12249" s="21" t="inlineStr">
        <is>
          <t>广东省广州市南沙区</t>
        </is>
      </c>
    </row>
    <row r="12250">
      <c r="B12250" s="41" t="inlineStr">
        <is>
          <t>AreaCode</t>
        </is>
      </c>
      <c r="C12250" s="129" t="inlineStr">
        <is>
          <t>地区代码</t>
        </is>
      </c>
      <c r="D12250" s="21" t="n">
        <v>440116</v>
      </c>
      <c r="E12250" s="21" t="inlineStr">
        <is>
          <t>广东省广州市萝岗区</t>
        </is>
      </c>
    </row>
    <row r="12251">
      <c r="B12251" s="41" t="inlineStr">
        <is>
          <t>AreaCode</t>
        </is>
      </c>
      <c r="C12251" s="129" t="inlineStr">
        <is>
          <t>地区代码</t>
        </is>
      </c>
      <c r="D12251" s="21" t="n">
        <v>440117</v>
      </c>
      <c r="E12251" s="21" t="inlineStr">
        <is>
          <t>广东省广州市从化区</t>
        </is>
      </c>
    </row>
    <row r="12252">
      <c r="B12252" s="41" t="inlineStr">
        <is>
          <t>AreaCode</t>
        </is>
      </c>
      <c r="C12252" s="129" t="inlineStr">
        <is>
          <t>地区代码</t>
        </is>
      </c>
      <c r="D12252" s="21" t="n">
        <v>440118</v>
      </c>
      <c r="E12252" s="21" t="inlineStr">
        <is>
          <t>广东省广州市增城区</t>
        </is>
      </c>
    </row>
    <row r="12253">
      <c r="B12253" s="41" t="inlineStr">
        <is>
          <t>AreaCode</t>
        </is>
      </c>
      <c r="C12253" s="129" t="inlineStr">
        <is>
          <t>地区代码</t>
        </is>
      </c>
      <c r="D12253" s="21" t="n">
        <v>440200</v>
      </c>
      <c r="E12253" s="21" t="inlineStr">
        <is>
          <t>广东省韶关市</t>
        </is>
      </c>
    </row>
    <row r="12254">
      <c r="B12254" s="41" t="inlineStr">
        <is>
          <t>AreaCode</t>
        </is>
      </c>
      <c r="C12254" s="129" t="inlineStr">
        <is>
          <t>地区代码</t>
        </is>
      </c>
      <c r="D12254" s="21" t="n">
        <v>440201</v>
      </c>
      <c r="E12254" s="21" t="inlineStr">
        <is>
          <t>广东省韶关市市辖区</t>
        </is>
      </c>
    </row>
    <row r="12255">
      <c r="B12255" s="41" t="inlineStr">
        <is>
          <t>AreaCode</t>
        </is>
      </c>
      <c r="C12255" s="129" t="inlineStr">
        <is>
          <t>地区代码</t>
        </is>
      </c>
      <c r="D12255" s="21" t="n">
        <v>440203</v>
      </c>
      <c r="E12255" s="21" t="inlineStr">
        <is>
          <t>广东省韶关市武江区</t>
        </is>
      </c>
    </row>
    <row r="12256">
      <c r="B12256" s="41" t="inlineStr">
        <is>
          <t>AreaCode</t>
        </is>
      </c>
      <c r="C12256" s="129" t="inlineStr">
        <is>
          <t>地区代码</t>
        </is>
      </c>
      <c r="D12256" s="21" t="n">
        <v>440204</v>
      </c>
      <c r="E12256" s="21" t="inlineStr">
        <is>
          <t>广东省韶关市浈江区</t>
        </is>
      </c>
    </row>
    <row r="12257">
      <c r="B12257" s="41" t="inlineStr">
        <is>
          <t>AreaCode</t>
        </is>
      </c>
      <c r="C12257" s="129" t="inlineStr">
        <is>
          <t>地区代码</t>
        </is>
      </c>
      <c r="D12257" s="21" t="n">
        <v>440205</v>
      </c>
      <c r="E12257" s="21" t="inlineStr">
        <is>
          <t>广东省韶关市曲江区</t>
        </is>
      </c>
    </row>
    <row r="12258">
      <c r="B12258" s="41" t="inlineStr">
        <is>
          <t>AreaCode</t>
        </is>
      </c>
      <c r="C12258" s="129" t="inlineStr">
        <is>
          <t>地区代码</t>
        </is>
      </c>
      <c r="D12258" s="21" t="n">
        <v>440222</v>
      </c>
      <c r="E12258" s="21" t="inlineStr">
        <is>
          <t>广东省韶关市始兴县</t>
        </is>
      </c>
    </row>
    <row r="12259">
      <c r="B12259" s="41" t="inlineStr">
        <is>
          <t>AreaCode</t>
        </is>
      </c>
      <c r="C12259" s="129" t="inlineStr">
        <is>
          <t>地区代码</t>
        </is>
      </c>
      <c r="D12259" s="21" t="n">
        <v>440224</v>
      </c>
      <c r="E12259" s="21" t="inlineStr">
        <is>
          <t>广东省韶关市仁化县</t>
        </is>
      </c>
    </row>
    <row r="12260">
      <c r="B12260" s="41" t="inlineStr">
        <is>
          <t>AreaCode</t>
        </is>
      </c>
      <c r="C12260" s="129" t="inlineStr">
        <is>
          <t>地区代码</t>
        </is>
      </c>
      <c r="D12260" s="21" t="n">
        <v>440229</v>
      </c>
      <c r="E12260" s="21" t="inlineStr">
        <is>
          <t>广东省韶关市翁源县</t>
        </is>
      </c>
    </row>
    <row r="12261">
      <c r="B12261" s="41" t="inlineStr">
        <is>
          <t>AreaCode</t>
        </is>
      </c>
      <c r="C12261" s="129" t="inlineStr">
        <is>
          <t>地区代码</t>
        </is>
      </c>
      <c r="D12261" s="21" t="n">
        <v>440232</v>
      </c>
      <c r="E12261" s="21" t="inlineStr">
        <is>
          <t>广东省韶关市乳源瑶族自治县</t>
        </is>
      </c>
    </row>
    <row r="12262">
      <c r="B12262" s="41" t="inlineStr">
        <is>
          <t>AreaCode</t>
        </is>
      </c>
      <c r="C12262" s="129" t="inlineStr">
        <is>
          <t>地区代码</t>
        </is>
      </c>
      <c r="D12262" s="21" t="n">
        <v>440233</v>
      </c>
      <c r="E12262" s="21" t="inlineStr">
        <is>
          <t>广东省韶关市新丰县</t>
        </is>
      </c>
    </row>
    <row r="12263">
      <c r="B12263" s="41" t="inlineStr">
        <is>
          <t>AreaCode</t>
        </is>
      </c>
      <c r="C12263" s="129" t="inlineStr">
        <is>
          <t>地区代码</t>
        </is>
      </c>
      <c r="D12263" s="21" t="n">
        <v>440281</v>
      </c>
      <c r="E12263" s="21" t="inlineStr">
        <is>
          <t>广东省韶关市乐昌市</t>
        </is>
      </c>
    </row>
    <row r="12264">
      <c r="B12264" s="41" t="inlineStr">
        <is>
          <t>AreaCode</t>
        </is>
      </c>
      <c r="C12264" s="129" t="inlineStr">
        <is>
          <t>地区代码</t>
        </is>
      </c>
      <c r="D12264" s="21" t="n">
        <v>440282</v>
      </c>
      <c r="E12264" s="21" t="inlineStr">
        <is>
          <t>广东省韶关市南雄市</t>
        </is>
      </c>
    </row>
    <row r="12265">
      <c r="B12265" s="41" t="inlineStr">
        <is>
          <t>AreaCode</t>
        </is>
      </c>
      <c r="C12265" s="129" t="inlineStr">
        <is>
          <t>地区代码</t>
        </is>
      </c>
      <c r="D12265" s="21" t="n">
        <v>440300</v>
      </c>
      <c r="E12265" s="21" t="inlineStr">
        <is>
          <t>广东省深圳市</t>
        </is>
      </c>
    </row>
    <row r="12266">
      <c r="B12266" s="41" t="inlineStr">
        <is>
          <t>AreaCode</t>
        </is>
      </c>
      <c r="C12266" s="129" t="inlineStr">
        <is>
          <t>地区代码</t>
        </is>
      </c>
      <c r="D12266" s="21" t="n">
        <v>440301</v>
      </c>
      <c r="E12266" s="21" t="inlineStr">
        <is>
          <t>广东省深圳市市辖区</t>
        </is>
      </c>
    </row>
    <row r="12267">
      <c r="B12267" s="41" t="inlineStr">
        <is>
          <t>AreaCode</t>
        </is>
      </c>
      <c r="C12267" s="129" t="inlineStr">
        <is>
          <t>地区代码</t>
        </is>
      </c>
      <c r="D12267" s="21" t="n">
        <v>440303</v>
      </c>
      <c r="E12267" s="21" t="inlineStr">
        <is>
          <t>广东省深圳市罗湖区</t>
        </is>
      </c>
    </row>
    <row r="12268">
      <c r="B12268" s="41" t="inlineStr">
        <is>
          <t>AreaCode</t>
        </is>
      </c>
      <c r="C12268" s="129" t="inlineStr">
        <is>
          <t>地区代码</t>
        </is>
      </c>
      <c r="D12268" s="21" t="n">
        <v>440304</v>
      </c>
      <c r="E12268" s="21" t="inlineStr">
        <is>
          <t>广东省深圳市福田区</t>
        </is>
      </c>
    </row>
    <row r="12269">
      <c r="B12269" s="41" t="inlineStr">
        <is>
          <t>AreaCode</t>
        </is>
      </c>
      <c r="C12269" s="129" t="inlineStr">
        <is>
          <t>地区代码</t>
        </is>
      </c>
      <c r="D12269" s="21" t="n">
        <v>440305</v>
      </c>
      <c r="E12269" s="21" t="inlineStr">
        <is>
          <t>广东省深圳市南山区</t>
        </is>
      </c>
    </row>
    <row r="12270">
      <c r="B12270" s="41" t="inlineStr">
        <is>
          <t>AreaCode</t>
        </is>
      </c>
      <c r="C12270" s="129" t="inlineStr">
        <is>
          <t>地区代码</t>
        </is>
      </c>
      <c r="D12270" s="21" t="n">
        <v>440306</v>
      </c>
      <c r="E12270" s="21" t="inlineStr">
        <is>
          <t>广东省深圳市宝安区</t>
        </is>
      </c>
    </row>
    <row r="12271">
      <c r="B12271" s="41" t="inlineStr">
        <is>
          <t>AreaCode</t>
        </is>
      </c>
      <c r="C12271" s="129" t="inlineStr">
        <is>
          <t>地区代码</t>
        </is>
      </c>
      <c r="D12271" s="21" t="n">
        <v>440307</v>
      </c>
      <c r="E12271" s="21" t="inlineStr">
        <is>
          <t>广东省深圳市龙岗区</t>
        </is>
      </c>
    </row>
    <row r="12272">
      <c r="B12272" s="41" t="inlineStr">
        <is>
          <t>AreaCode</t>
        </is>
      </c>
      <c r="C12272" s="129" t="inlineStr">
        <is>
          <t>地区代码</t>
        </is>
      </c>
      <c r="D12272" s="21" t="n">
        <v>440308</v>
      </c>
      <c r="E12272" s="21" t="inlineStr">
        <is>
          <t>广东省深圳市盐田区</t>
        </is>
      </c>
    </row>
    <row r="12273">
      <c r="B12273" s="41" t="inlineStr">
        <is>
          <t>AreaCode</t>
        </is>
      </c>
      <c r="C12273" s="129" t="inlineStr">
        <is>
          <t>地区代码</t>
        </is>
      </c>
      <c r="D12273" s="21" t="n">
        <v>440400</v>
      </c>
      <c r="E12273" s="21" t="inlineStr">
        <is>
          <t>广东省珠海市</t>
        </is>
      </c>
    </row>
    <row r="12274">
      <c r="B12274" s="41" t="inlineStr">
        <is>
          <t>AreaCode</t>
        </is>
      </c>
      <c r="C12274" s="129" t="inlineStr">
        <is>
          <t>地区代码</t>
        </is>
      </c>
      <c r="D12274" s="21" t="n">
        <v>440401</v>
      </c>
      <c r="E12274" s="21" t="inlineStr">
        <is>
          <t>广东省珠海市市辖区</t>
        </is>
      </c>
    </row>
    <row r="12275">
      <c r="B12275" s="41" t="inlineStr">
        <is>
          <t>AreaCode</t>
        </is>
      </c>
      <c r="C12275" s="129" t="inlineStr">
        <is>
          <t>地区代码</t>
        </is>
      </c>
      <c r="D12275" s="21" t="n">
        <v>440402</v>
      </c>
      <c r="E12275" s="21" t="inlineStr">
        <is>
          <t>广东省珠海市香洲区</t>
        </is>
      </c>
    </row>
    <row r="12276">
      <c r="B12276" s="41" t="inlineStr">
        <is>
          <t>AreaCode</t>
        </is>
      </c>
      <c r="C12276" s="129" t="inlineStr">
        <is>
          <t>地区代码</t>
        </is>
      </c>
      <c r="D12276" s="21" t="n">
        <v>440403</v>
      </c>
      <c r="E12276" s="21" t="inlineStr">
        <is>
          <t>广东省珠海市斗门区</t>
        </is>
      </c>
    </row>
    <row r="12277">
      <c r="B12277" s="41" t="inlineStr">
        <is>
          <t>AreaCode</t>
        </is>
      </c>
      <c r="C12277" s="129" t="inlineStr">
        <is>
          <t>地区代码</t>
        </is>
      </c>
      <c r="D12277" s="21" t="n">
        <v>440404</v>
      </c>
      <c r="E12277" s="21" t="inlineStr">
        <is>
          <t>广东省珠海市金湾区</t>
        </is>
      </c>
    </row>
    <row r="12278">
      <c r="B12278" s="41" t="inlineStr">
        <is>
          <t>AreaCode</t>
        </is>
      </c>
      <c r="C12278" s="129" t="inlineStr">
        <is>
          <t>地区代码</t>
        </is>
      </c>
      <c r="D12278" s="21" t="n">
        <v>440500</v>
      </c>
      <c r="E12278" s="21" t="inlineStr">
        <is>
          <t>广东省汕头市</t>
        </is>
      </c>
    </row>
    <row r="12279">
      <c r="B12279" s="41" t="inlineStr">
        <is>
          <t>AreaCode</t>
        </is>
      </c>
      <c r="C12279" s="129" t="inlineStr">
        <is>
          <t>地区代码</t>
        </is>
      </c>
      <c r="D12279" s="21" t="n">
        <v>440501</v>
      </c>
      <c r="E12279" s="21" t="inlineStr">
        <is>
          <t>广东省汕头市市辖区</t>
        </is>
      </c>
    </row>
    <row r="12280">
      <c r="B12280" s="41" t="inlineStr">
        <is>
          <t>AreaCode</t>
        </is>
      </c>
      <c r="C12280" s="129" t="inlineStr">
        <is>
          <t>地区代码</t>
        </is>
      </c>
      <c r="D12280" s="21" t="n">
        <v>440507</v>
      </c>
      <c r="E12280" s="21" t="inlineStr">
        <is>
          <t>广东省汕头市龙湖区</t>
        </is>
      </c>
    </row>
    <row r="12281">
      <c r="B12281" s="41" t="inlineStr">
        <is>
          <t>AreaCode</t>
        </is>
      </c>
      <c r="C12281" s="129" t="inlineStr">
        <is>
          <t>地区代码</t>
        </is>
      </c>
      <c r="D12281" s="21" t="n">
        <v>440511</v>
      </c>
      <c r="E12281" s="21" t="inlineStr">
        <is>
          <t>广东省汕头市金平区</t>
        </is>
      </c>
    </row>
    <row r="12282">
      <c r="B12282" s="41" t="inlineStr">
        <is>
          <t>AreaCode</t>
        </is>
      </c>
      <c r="C12282" s="129" t="inlineStr">
        <is>
          <t>地区代码</t>
        </is>
      </c>
      <c r="D12282" s="21" t="n">
        <v>440512</v>
      </c>
      <c r="E12282" s="21" t="inlineStr">
        <is>
          <t>广东省汕头市濠江区</t>
        </is>
      </c>
    </row>
    <row r="12283">
      <c r="B12283" s="41" t="inlineStr">
        <is>
          <t>AreaCode</t>
        </is>
      </c>
      <c r="C12283" s="129" t="inlineStr">
        <is>
          <t>地区代码</t>
        </is>
      </c>
      <c r="D12283" s="21" t="n">
        <v>440513</v>
      </c>
      <c r="E12283" s="21" t="inlineStr">
        <is>
          <t>广东省汕头市潮阳区</t>
        </is>
      </c>
    </row>
    <row r="12284">
      <c r="B12284" s="41" t="inlineStr">
        <is>
          <t>AreaCode</t>
        </is>
      </c>
      <c r="C12284" s="129" t="inlineStr">
        <is>
          <t>地区代码</t>
        </is>
      </c>
      <c r="D12284" s="21" t="n">
        <v>440514</v>
      </c>
      <c r="E12284" s="21" t="inlineStr">
        <is>
          <t>广东省汕头市潮南区</t>
        </is>
      </c>
    </row>
    <row r="12285">
      <c r="B12285" s="41" t="inlineStr">
        <is>
          <t>AreaCode</t>
        </is>
      </c>
      <c r="C12285" s="129" t="inlineStr">
        <is>
          <t>地区代码</t>
        </is>
      </c>
      <c r="D12285" s="21" t="n">
        <v>440515</v>
      </c>
      <c r="E12285" s="21" t="inlineStr">
        <is>
          <t>广东省汕头市澄海区</t>
        </is>
      </c>
    </row>
    <row r="12286">
      <c r="B12286" s="41" t="inlineStr">
        <is>
          <t>AreaCode</t>
        </is>
      </c>
      <c r="C12286" s="129" t="inlineStr">
        <is>
          <t>地区代码</t>
        </is>
      </c>
      <c r="D12286" s="21" t="n">
        <v>440523</v>
      </c>
      <c r="E12286" s="21" t="inlineStr">
        <is>
          <t>广东省汕头市南澳县</t>
        </is>
      </c>
    </row>
    <row r="12287">
      <c r="B12287" s="41" t="inlineStr">
        <is>
          <t>AreaCode</t>
        </is>
      </c>
      <c r="C12287" s="129" t="inlineStr">
        <is>
          <t>地区代码</t>
        </is>
      </c>
      <c r="D12287" s="21" t="n">
        <v>440600</v>
      </c>
      <c r="E12287" s="21" t="inlineStr">
        <is>
          <t>广东省佛山市</t>
        </is>
      </c>
    </row>
    <row r="12288">
      <c r="B12288" s="41" t="inlineStr">
        <is>
          <t>AreaCode</t>
        </is>
      </c>
      <c r="C12288" s="129" t="inlineStr">
        <is>
          <t>地区代码</t>
        </is>
      </c>
      <c r="D12288" s="21" t="n">
        <v>440601</v>
      </c>
      <c r="E12288" s="21" t="inlineStr">
        <is>
          <t>广东省佛山市市辖区</t>
        </is>
      </c>
    </row>
    <row r="12289">
      <c r="B12289" s="41" t="inlineStr">
        <is>
          <t>AreaCode</t>
        </is>
      </c>
      <c r="C12289" s="129" t="inlineStr">
        <is>
          <t>地区代码</t>
        </is>
      </c>
      <c r="D12289" s="21" t="n">
        <v>440604</v>
      </c>
      <c r="E12289" s="21" t="inlineStr">
        <is>
          <t>广东省佛山市禅城区</t>
        </is>
      </c>
    </row>
    <row r="12290">
      <c r="B12290" s="41" t="inlineStr">
        <is>
          <t>AreaCode</t>
        </is>
      </c>
      <c r="C12290" s="129" t="inlineStr">
        <is>
          <t>地区代码</t>
        </is>
      </c>
      <c r="D12290" s="21" t="n">
        <v>440605</v>
      </c>
      <c r="E12290" s="21" t="inlineStr">
        <is>
          <t>广东省佛山市南海区</t>
        </is>
      </c>
    </row>
    <row r="12291">
      <c r="B12291" s="41" t="inlineStr">
        <is>
          <t>AreaCode</t>
        </is>
      </c>
      <c r="C12291" s="129" t="inlineStr">
        <is>
          <t>地区代码</t>
        </is>
      </c>
      <c r="D12291" s="21" t="n">
        <v>440606</v>
      </c>
      <c r="E12291" s="21" t="inlineStr">
        <is>
          <t>广东省佛山市顺德区</t>
        </is>
      </c>
    </row>
    <row r="12292">
      <c r="B12292" s="41" t="inlineStr">
        <is>
          <t>AreaCode</t>
        </is>
      </c>
      <c r="C12292" s="129" t="inlineStr">
        <is>
          <t>地区代码</t>
        </is>
      </c>
      <c r="D12292" s="21" t="n">
        <v>440607</v>
      </c>
      <c r="E12292" s="21" t="inlineStr">
        <is>
          <t>广东省佛山市三水区</t>
        </is>
      </c>
    </row>
    <row r="12293">
      <c r="B12293" s="41" t="inlineStr">
        <is>
          <t>AreaCode</t>
        </is>
      </c>
      <c r="C12293" s="129" t="inlineStr">
        <is>
          <t>地区代码</t>
        </is>
      </c>
      <c r="D12293" s="21" t="n">
        <v>440608</v>
      </c>
      <c r="E12293" s="21" t="inlineStr">
        <is>
          <t>广东省佛山市高明区</t>
        </is>
      </c>
    </row>
    <row r="12294">
      <c r="B12294" s="41" t="inlineStr">
        <is>
          <t>AreaCode</t>
        </is>
      </c>
      <c r="C12294" s="129" t="inlineStr">
        <is>
          <t>地区代码</t>
        </is>
      </c>
      <c r="D12294" s="21" t="n">
        <v>440700</v>
      </c>
      <c r="E12294" s="21" t="inlineStr">
        <is>
          <t>广东省江门市</t>
        </is>
      </c>
    </row>
    <row r="12295">
      <c r="B12295" s="41" t="inlineStr">
        <is>
          <t>AreaCode</t>
        </is>
      </c>
      <c r="C12295" s="129" t="inlineStr">
        <is>
          <t>地区代码</t>
        </is>
      </c>
      <c r="D12295" s="21" t="n">
        <v>440701</v>
      </c>
      <c r="E12295" s="21" t="inlineStr">
        <is>
          <t>广东省江门市市辖区</t>
        </is>
      </c>
    </row>
    <row r="12296">
      <c r="B12296" s="41" t="inlineStr">
        <is>
          <t>AreaCode</t>
        </is>
      </c>
      <c r="C12296" s="129" t="inlineStr">
        <is>
          <t>地区代码</t>
        </is>
      </c>
      <c r="D12296" s="21" t="n">
        <v>440703</v>
      </c>
      <c r="E12296" s="21" t="inlineStr">
        <is>
          <t>广东省江门市蓬江区</t>
        </is>
      </c>
    </row>
    <row r="12297">
      <c r="B12297" s="41" t="inlineStr">
        <is>
          <t>AreaCode</t>
        </is>
      </c>
      <c r="C12297" s="129" t="inlineStr">
        <is>
          <t>地区代码</t>
        </is>
      </c>
      <c r="D12297" s="21" t="n">
        <v>440704</v>
      </c>
      <c r="E12297" s="21" t="inlineStr">
        <is>
          <t>广东省江门市江海区</t>
        </is>
      </c>
    </row>
    <row r="12298">
      <c r="B12298" s="41" t="inlineStr">
        <is>
          <t>AreaCode</t>
        </is>
      </c>
      <c r="C12298" s="129" t="inlineStr">
        <is>
          <t>地区代码</t>
        </is>
      </c>
      <c r="D12298" s="21" t="n">
        <v>440705</v>
      </c>
      <c r="E12298" s="21" t="inlineStr">
        <is>
          <t>广东省江门市新会区</t>
        </is>
      </c>
    </row>
    <row r="12299">
      <c r="B12299" s="41" t="inlineStr">
        <is>
          <t>AreaCode</t>
        </is>
      </c>
      <c r="C12299" s="129" t="inlineStr">
        <is>
          <t>地区代码</t>
        </is>
      </c>
      <c r="D12299" s="21" t="n">
        <v>440781</v>
      </c>
      <c r="E12299" s="21" t="inlineStr">
        <is>
          <t>广东省江门市台山市</t>
        </is>
      </c>
    </row>
    <row r="12300">
      <c r="B12300" s="41" t="inlineStr">
        <is>
          <t>AreaCode</t>
        </is>
      </c>
      <c r="C12300" s="129" t="inlineStr">
        <is>
          <t>地区代码</t>
        </is>
      </c>
      <c r="D12300" s="21" t="n">
        <v>440783</v>
      </c>
      <c r="E12300" s="21" t="inlineStr">
        <is>
          <t>广东省江门市开平市</t>
        </is>
      </c>
    </row>
    <row r="12301">
      <c r="B12301" s="41" t="inlineStr">
        <is>
          <t>AreaCode</t>
        </is>
      </c>
      <c r="C12301" s="129" t="inlineStr">
        <is>
          <t>地区代码</t>
        </is>
      </c>
      <c r="D12301" s="21" t="n">
        <v>440784</v>
      </c>
      <c r="E12301" s="21" t="inlineStr">
        <is>
          <t>广东省江门市鹤山市</t>
        </is>
      </c>
    </row>
    <row r="12302">
      <c r="B12302" s="41" t="inlineStr">
        <is>
          <t>AreaCode</t>
        </is>
      </c>
      <c r="C12302" s="129" t="inlineStr">
        <is>
          <t>地区代码</t>
        </is>
      </c>
      <c r="D12302" s="21" t="n">
        <v>440785</v>
      </c>
      <c r="E12302" s="21" t="inlineStr">
        <is>
          <t>广东省江门市恩平市</t>
        </is>
      </c>
    </row>
    <row r="12303">
      <c r="B12303" s="41" t="inlineStr">
        <is>
          <t>AreaCode</t>
        </is>
      </c>
      <c r="C12303" s="129" t="inlineStr">
        <is>
          <t>地区代码</t>
        </is>
      </c>
      <c r="D12303" s="21" t="n">
        <v>440800</v>
      </c>
      <c r="E12303" s="21" t="inlineStr">
        <is>
          <t>广东省湛江市</t>
        </is>
      </c>
    </row>
    <row r="12304">
      <c r="B12304" s="41" t="inlineStr">
        <is>
          <t>AreaCode</t>
        </is>
      </c>
      <c r="C12304" s="129" t="inlineStr">
        <is>
          <t>地区代码</t>
        </is>
      </c>
      <c r="D12304" s="21" t="n">
        <v>440801</v>
      </c>
      <c r="E12304" s="21" t="inlineStr">
        <is>
          <t>广东省湛江市市辖区</t>
        </is>
      </c>
    </row>
    <row r="12305">
      <c r="B12305" s="41" t="inlineStr">
        <is>
          <t>AreaCode</t>
        </is>
      </c>
      <c r="C12305" s="129" t="inlineStr">
        <is>
          <t>地区代码</t>
        </is>
      </c>
      <c r="D12305" s="21" t="n">
        <v>440802</v>
      </c>
      <c r="E12305" s="21" t="inlineStr">
        <is>
          <t>广东省湛江市赤坎区</t>
        </is>
      </c>
    </row>
    <row r="12306">
      <c r="B12306" s="41" t="inlineStr">
        <is>
          <t>AreaCode</t>
        </is>
      </c>
      <c r="C12306" s="129" t="inlineStr">
        <is>
          <t>地区代码</t>
        </is>
      </c>
      <c r="D12306" s="21" t="n">
        <v>440803</v>
      </c>
      <c r="E12306" s="21" t="inlineStr">
        <is>
          <t>广东省湛江市霞山区</t>
        </is>
      </c>
    </row>
    <row r="12307">
      <c r="B12307" s="41" t="inlineStr">
        <is>
          <t>AreaCode</t>
        </is>
      </c>
      <c r="C12307" s="129" t="inlineStr">
        <is>
          <t>地区代码</t>
        </is>
      </c>
      <c r="D12307" s="21" t="n">
        <v>440804</v>
      </c>
      <c r="E12307" s="21" t="inlineStr">
        <is>
          <t>广东省湛江市坡头区</t>
        </is>
      </c>
    </row>
    <row r="12308">
      <c r="B12308" s="41" t="inlineStr">
        <is>
          <t>AreaCode</t>
        </is>
      </c>
      <c r="C12308" s="129" t="inlineStr">
        <is>
          <t>地区代码</t>
        </is>
      </c>
      <c r="D12308" s="21" t="n">
        <v>440811</v>
      </c>
      <c r="E12308" s="21" t="inlineStr">
        <is>
          <t>广东省湛江市麻章区</t>
        </is>
      </c>
    </row>
    <row r="12309">
      <c r="B12309" s="41" t="inlineStr">
        <is>
          <t>AreaCode</t>
        </is>
      </c>
      <c r="C12309" s="129" t="inlineStr">
        <is>
          <t>地区代码</t>
        </is>
      </c>
      <c r="D12309" s="21" t="n">
        <v>440823</v>
      </c>
      <c r="E12309" s="21" t="inlineStr">
        <is>
          <t>广东省湛江市遂溪县</t>
        </is>
      </c>
    </row>
    <row r="12310">
      <c r="B12310" s="41" t="inlineStr">
        <is>
          <t>AreaCode</t>
        </is>
      </c>
      <c r="C12310" s="129" t="inlineStr">
        <is>
          <t>地区代码</t>
        </is>
      </c>
      <c r="D12310" s="21" t="n">
        <v>440825</v>
      </c>
      <c r="E12310" s="21" t="inlineStr">
        <is>
          <t>广东省湛江市徐闻县</t>
        </is>
      </c>
    </row>
    <row r="12311">
      <c r="B12311" s="41" t="inlineStr">
        <is>
          <t>AreaCode</t>
        </is>
      </c>
      <c r="C12311" s="129" t="inlineStr">
        <is>
          <t>地区代码</t>
        </is>
      </c>
      <c r="D12311" s="21" t="n">
        <v>440881</v>
      </c>
      <c r="E12311" s="21" t="inlineStr">
        <is>
          <t>广东省湛江市廉江市</t>
        </is>
      </c>
    </row>
    <row r="12312">
      <c r="B12312" s="41" t="inlineStr">
        <is>
          <t>AreaCode</t>
        </is>
      </c>
      <c r="C12312" s="129" t="inlineStr">
        <is>
          <t>地区代码</t>
        </is>
      </c>
      <c r="D12312" s="21" t="n">
        <v>440882</v>
      </c>
      <c r="E12312" s="21" t="inlineStr">
        <is>
          <t>广东省湛江市雷州市</t>
        </is>
      </c>
    </row>
    <row r="12313">
      <c r="B12313" s="41" t="inlineStr">
        <is>
          <t>AreaCode</t>
        </is>
      </c>
      <c r="C12313" s="129" t="inlineStr">
        <is>
          <t>地区代码</t>
        </is>
      </c>
      <c r="D12313" s="21" t="n">
        <v>440883</v>
      </c>
      <c r="E12313" s="21" t="inlineStr">
        <is>
          <t>广东省湛江市吴川市</t>
        </is>
      </c>
    </row>
    <row r="12314">
      <c r="B12314" s="41" t="inlineStr">
        <is>
          <t>AreaCode</t>
        </is>
      </c>
      <c r="C12314" s="129" t="inlineStr">
        <is>
          <t>地区代码</t>
        </is>
      </c>
      <c r="D12314" s="21" t="n">
        <v>440900</v>
      </c>
      <c r="E12314" s="21" t="inlineStr">
        <is>
          <t>广东省茂名市</t>
        </is>
      </c>
    </row>
    <row r="12315">
      <c r="B12315" s="41" t="inlineStr">
        <is>
          <t>AreaCode</t>
        </is>
      </c>
      <c r="C12315" s="129" t="inlineStr">
        <is>
          <t>地区代码</t>
        </is>
      </c>
      <c r="D12315" s="21" t="n">
        <v>440901</v>
      </c>
      <c r="E12315" s="21" t="inlineStr">
        <is>
          <t>广东省茂名市市辖区</t>
        </is>
      </c>
    </row>
    <row r="12316">
      <c r="B12316" s="41" t="inlineStr">
        <is>
          <t>AreaCode</t>
        </is>
      </c>
      <c r="C12316" s="129" t="inlineStr">
        <is>
          <t>地区代码</t>
        </is>
      </c>
      <c r="D12316" s="21" t="n">
        <v>440902</v>
      </c>
      <c r="E12316" s="21" t="inlineStr">
        <is>
          <t>广东省茂名市茂南区</t>
        </is>
      </c>
    </row>
    <row r="12317">
      <c r="B12317" s="41" t="inlineStr">
        <is>
          <t>AreaCode</t>
        </is>
      </c>
      <c r="C12317" s="129" t="inlineStr">
        <is>
          <t>地区代码</t>
        </is>
      </c>
      <c r="D12317" s="21" t="n">
        <v>440903</v>
      </c>
      <c r="E12317" s="21" t="inlineStr">
        <is>
          <t>广东省茂名市茂港区</t>
        </is>
      </c>
    </row>
    <row r="12318">
      <c r="B12318" s="41" t="inlineStr">
        <is>
          <t>AreaCode</t>
        </is>
      </c>
      <c r="C12318" s="129" t="inlineStr">
        <is>
          <t>地区代码</t>
        </is>
      </c>
      <c r="D12318" s="21" t="n">
        <v>440904</v>
      </c>
      <c r="E12318" s="21" t="inlineStr">
        <is>
          <t>广东省茂名市电白区</t>
        </is>
      </c>
    </row>
    <row r="12319">
      <c r="B12319" s="41" t="inlineStr">
        <is>
          <t>AreaCode</t>
        </is>
      </c>
      <c r="C12319" s="129" t="inlineStr">
        <is>
          <t>地区代码</t>
        </is>
      </c>
      <c r="D12319" s="21" t="n">
        <v>440981</v>
      </c>
      <c r="E12319" s="21" t="inlineStr">
        <is>
          <t>广东省茂名市高州市</t>
        </is>
      </c>
    </row>
    <row r="12320">
      <c r="B12320" s="41" t="inlineStr">
        <is>
          <t>AreaCode</t>
        </is>
      </c>
      <c r="C12320" s="129" t="inlineStr">
        <is>
          <t>地区代码</t>
        </is>
      </c>
      <c r="D12320" s="21" t="n">
        <v>440982</v>
      </c>
      <c r="E12320" s="21" t="inlineStr">
        <is>
          <t>广东省茂名市化州市</t>
        </is>
      </c>
    </row>
    <row r="12321">
      <c r="B12321" s="41" t="inlineStr">
        <is>
          <t>AreaCode</t>
        </is>
      </c>
      <c r="C12321" s="129" t="inlineStr">
        <is>
          <t>地区代码</t>
        </is>
      </c>
      <c r="D12321" s="21" t="n">
        <v>440983</v>
      </c>
      <c r="E12321" s="21" t="inlineStr">
        <is>
          <t>广东省茂名市信宜市</t>
        </is>
      </c>
    </row>
    <row r="12322">
      <c r="B12322" s="41" t="inlineStr">
        <is>
          <t>AreaCode</t>
        </is>
      </c>
      <c r="C12322" s="129" t="inlineStr">
        <is>
          <t>地区代码</t>
        </is>
      </c>
      <c r="D12322" s="21" t="n">
        <v>441200</v>
      </c>
      <c r="E12322" s="21" t="inlineStr">
        <is>
          <t>广东省肇庆市</t>
        </is>
      </c>
    </row>
    <row r="12323">
      <c r="B12323" s="41" t="inlineStr">
        <is>
          <t>AreaCode</t>
        </is>
      </c>
      <c r="C12323" s="129" t="inlineStr">
        <is>
          <t>地区代码</t>
        </is>
      </c>
      <c r="D12323" s="21" t="n">
        <v>441201</v>
      </c>
      <c r="E12323" s="21" t="inlineStr">
        <is>
          <t>广东省肇庆市市辖区</t>
        </is>
      </c>
    </row>
    <row r="12324">
      <c r="B12324" s="41" t="inlineStr">
        <is>
          <t>AreaCode</t>
        </is>
      </c>
      <c r="C12324" s="129" t="inlineStr">
        <is>
          <t>地区代码</t>
        </is>
      </c>
      <c r="D12324" s="21" t="n">
        <v>441202</v>
      </c>
      <c r="E12324" s="21" t="inlineStr">
        <is>
          <t>广东省肇庆市端州区</t>
        </is>
      </c>
    </row>
    <row r="12325">
      <c r="B12325" s="41" t="inlineStr">
        <is>
          <t>AreaCode</t>
        </is>
      </c>
      <c r="C12325" s="129" t="inlineStr">
        <is>
          <t>地区代码</t>
        </is>
      </c>
      <c r="D12325" s="21" t="n">
        <v>441203</v>
      </c>
      <c r="E12325" s="21" t="inlineStr">
        <is>
          <t>广东省肇庆市鼎湖区</t>
        </is>
      </c>
    </row>
    <row r="12326">
      <c r="B12326" s="41" t="inlineStr">
        <is>
          <t>AreaCode</t>
        </is>
      </c>
      <c r="C12326" s="129" t="inlineStr">
        <is>
          <t>地区代码</t>
        </is>
      </c>
      <c r="D12326" s="21" t="n">
        <v>441223</v>
      </c>
      <c r="E12326" s="21" t="inlineStr">
        <is>
          <t>广东省肇庆市广宁县</t>
        </is>
      </c>
    </row>
    <row r="12327">
      <c r="B12327" s="41" t="inlineStr">
        <is>
          <t>AreaCode</t>
        </is>
      </c>
      <c r="C12327" s="129" t="inlineStr">
        <is>
          <t>地区代码</t>
        </is>
      </c>
      <c r="D12327" s="21" t="n">
        <v>441224</v>
      </c>
      <c r="E12327" s="21" t="inlineStr">
        <is>
          <t>广东省肇庆市怀集县</t>
        </is>
      </c>
    </row>
    <row r="12328">
      <c r="B12328" s="41" t="inlineStr">
        <is>
          <t>AreaCode</t>
        </is>
      </c>
      <c r="C12328" s="129" t="inlineStr">
        <is>
          <t>地区代码</t>
        </is>
      </c>
      <c r="D12328" s="21" t="n">
        <v>441225</v>
      </c>
      <c r="E12328" s="21" t="inlineStr">
        <is>
          <t>广东省肇庆市封开县</t>
        </is>
      </c>
    </row>
    <row r="12329">
      <c r="B12329" s="41" t="inlineStr">
        <is>
          <t>AreaCode</t>
        </is>
      </c>
      <c r="C12329" s="129" t="inlineStr">
        <is>
          <t>地区代码</t>
        </is>
      </c>
      <c r="D12329" s="21" t="n">
        <v>441226</v>
      </c>
      <c r="E12329" s="21" t="inlineStr">
        <is>
          <t>广东省肇庆市德庆县</t>
        </is>
      </c>
    </row>
    <row r="12330">
      <c r="B12330" s="41" t="inlineStr">
        <is>
          <t>AreaCode</t>
        </is>
      </c>
      <c r="C12330" s="129" t="inlineStr">
        <is>
          <t>地区代码</t>
        </is>
      </c>
      <c r="D12330" s="21" t="n">
        <v>441283</v>
      </c>
      <c r="E12330" s="21" t="inlineStr">
        <is>
          <t>广东省肇庆市高要市</t>
        </is>
      </c>
    </row>
    <row r="12331">
      <c r="B12331" s="41" t="inlineStr">
        <is>
          <t>AreaCode</t>
        </is>
      </c>
      <c r="C12331" s="129" t="inlineStr">
        <is>
          <t>地区代码</t>
        </is>
      </c>
      <c r="D12331" s="21" t="n">
        <v>441284</v>
      </c>
      <c r="E12331" s="21" t="inlineStr">
        <is>
          <t>广东省肇庆市四会市</t>
        </is>
      </c>
    </row>
    <row r="12332">
      <c r="B12332" s="41" t="inlineStr">
        <is>
          <t>AreaCode</t>
        </is>
      </c>
      <c r="C12332" s="129" t="inlineStr">
        <is>
          <t>地区代码</t>
        </is>
      </c>
      <c r="D12332" s="21" t="n">
        <v>441300</v>
      </c>
      <c r="E12332" s="21" t="inlineStr">
        <is>
          <t>广东省惠州市</t>
        </is>
      </c>
    </row>
    <row r="12333">
      <c r="B12333" s="41" t="inlineStr">
        <is>
          <t>AreaCode</t>
        </is>
      </c>
      <c r="C12333" s="129" t="inlineStr">
        <is>
          <t>地区代码</t>
        </is>
      </c>
      <c r="D12333" s="21" t="n">
        <v>441301</v>
      </c>
      <c r="E12333" s="21" t="inlineStr">
        <is>
          <t>广东省惠州市市辖区</t>
        </is>
      </c>
    </row>
    <row r="12334">
      <c r="B12334" s="41" t="inlineStr">
        <is>
          <t>AreaCode</t>
        </is>
      </c>
      <c r="C12334" s="129" t="inlineStr">
        <is>
          <t>地区代码</t>
        </is>
      </c>
      <c r="D12334" s="21" t="n">
        <v>441302</v>
      </c>
      <c r="E12334" s="21" t="inlineStr">
        <is>
          <t>广东省惠州市惠城区</t>
        </is>
      </c>
    </row>
    <row r="12335">
      <c r="B12335" s="41" t="inlineStr">
        <is>
          <t>AreaCode</t>
        </is>
      </c>
      <c r="C12335" s="129" t="inlineStr">
        <is>
          <t>地区代码</t>
        </is>
      </c>
      <c r="D12335" s="21" t="n">
        <v>441303</v>
      </c>
      <c r="E12335" s="21" t="inlineStr">
        <is>
          <t>广东省惠州市惠阳区</t>
        </is>
      </c>
    </row>
    <row r="12336">
      <c r="B12336" s="41" t="inlineStr">
        <is>
          <t>AreaCode</t>
        </is>
      </c>
      <c r="C12336" s="129" t="inlineStr">
        <is>
          <t>地区代码</t>
        </is>
      </c>
      <c r="D12336" s="21" t="n">
        <v>441322</v>
      </c>
      <c r="E12336" s="21" t="inlineStr">
        <is>
          <t>广东省惠州市博罗县</t>
        </is>
      </c>
    </row>
    <row r="12337">
      <c r="B12337" s="41" t="inlineStr">
        <is>
          <t>AreaCode</t>
        </is>
      </c>
      <c r="C12337" s="129" t="inlineStr">
        <is>
          <t>地区代码</t>
        </is>
      </c>
      <c r="D12337" s="21" t="n">
        <v>441323</v>
      </c>
      <c r="E12337" s="21" t="inlineStr">
        <is>
          <t>广东省惠州市惠东县</t>
        </is>
      </c>
    </row>
    <row r="12338">
      <c r="B12338" s="41" t="inlineStr">
        <is>
          <t>AreaCode</t>
        </is>
      </c>
      <c r="C12338" s="129" t="inlineStr">
        <is>
          <t>地区代码</t>
        </is>
      </c>
      <c r="D12338" s="21" t="n">
        <v>441324</v>
      </c>
      <c r="E12338" s="21" t="inlineStr">
        <is>
          <t>广东省惠州市龙门县</t>
        </is>
      </c>
    </row>
    <row r="12339">
      <c r="B12339" s="41" t="inlineStr">
        <is>
          <t>AreaCode</t>
        </is>
      </c>
      <c r="C12339" s="129" t="inlineStr">
        <is>
          <t>地区代码</t>
        </is>
      </c>
      <c r="D12339" s="21" t="n">
        <v>441400</v>
      </c>
      <c r="E12339" s="21" t="inlineStr">
        <is>
          <t>广东省梅州市</t>
        </is>
      </c>
    </row>
    <row r="12340">
      <c r="B12340" s="41" t="inlineStr">
        <is>
          <t>AreaCode</t>
        </is>
      </c>
      <c r="C12340" s="129" t="inlineStr">
        <is>
          <t>地区代码</t>
        </is>
      </c>
      <c r="D12340" s="21" t="n">
        <v>441401</v>
      </c>
      <c r="E12340" s="21" t="inlineStr">
        <is>
          <t>广东省梅州市市辖区</t>
        </is>
      </c>
    </row>
    <row r="12341">
      <c r="B12341" s="41" t="inlineStr">
        <is>
          <t>AreaCode</t>
        </is>
      </c>
      <c r="C12341" s="129" t="inlineStr">
        <is>
          <t>地区代码</t>
        </is>
      </c>
      <c r="D12341" s="21" t="n">
        <v>441402</v>
      </c>
      <c r="E12341" s="21" t="inlineStr">
        <is>
          <t>广东省梅州市梅江区</t>
        </is>
      </c>
    </row>
    <row r="12342">
      <c r="B12342" s="41" t="inlineStr">
        <is>
          <t>AreaCode</t>
        </is>
      </c>
      <c r="C12342" s="129" t="inlineStr">
        <is>
          <t>地区代码</t>
        </is>
      </c>
      <c r="D12342" s="21" t="n">
        <v>441403</v>
      </c>
      <c r="E12342" s="21" t="inlineStr">
        <is>
          <t>广东省梅州市梅县区</t>
        </is>
      </c>
    </row>
    <row r="12343">
      <c r="B12343" s="41" t="inlineStr">
        <is>
          <t>AreaCode</t>
        </is>
      </c>
      <c r="C12343" s="129" t="inlineStr">
        <is>
          <t>地区代码</t>
        </is>
      </c>
      <c r="D12343" s="21" t="n">
        <v>441422</v>
      </c>
      <c r="E12343" s="21" t="inlineStr">
        <is>
          <t>广东省梅州市大埔县</t>
        </is>
      </c>
    </row>
    <row r="12344">
      <c r="B12344" s="41" t="inlineStr">
        <is>
          <t>AreaCode</t>
        </is>
      </c>
      <c r="C12344" s="129" t="inlineStr">
        <is>
          <t>地区代码</t>
        </is>
      </c>
      <c r="D12344" s="21" t="n">
        <v>441423</v>
      </c>
      <c r="E12344" s="21" t="inlineStr">
        <is>
          <t>广东省梅州市丰顺县</t>
        </is>
      </c>
    </row>
    <row r="12345">
      <c r="B12345" s="41" t="inlineStr">
        <is>
          <t>AreaCode</t>
        </is>
      </c>
      <c r="C12345" s="129" t="inlineStr">
        <is>
          <t>地区代码</t>
        </is>
      </c>
      <c r="D12345" s="21" t="n">
        <v>441424</v>
      </c>
      <c r="E12345" s="21" t="inlineStr">
        <is>
          <t>广东省梅州市五华县</t>
        </is>
      </c>
    </row>
    <row r="12346">
      <c r="B12346" s="41" t="inlineStr">
        <is>
          <t>AreaCode</t>
        </is>
      </c>
      <c r="C12346" s="129" t="inlineStr">
        <is>
          <t>地区代码</t>
        </is>
      </c>
      <c r="D12346" s="21" t="n">
        <v>441426</v>
      </c>
      <c r="E12346" s="21" t="inlineStr">
        <is>
          <t>广东省梅州市平远县</t>
        </is>
      </c>
    </row>
    <row r="12347">
      <c r="B12347" s="41" t="inlineStr">
        <is>
          <t>AreaCode</t>
        </is>
      </c>
      <c r="C12347" s="129" t="inlineStr">
        <is>
          <t>地区代码</t>
        </is>
      </c>
      <c r="D12347" s="21" t="n">
        <v>441427</v>
      </c>
      <c r="E12347" s="21" t="inlineStr">
        <is>
          <t>广东省梅州市蕉岭县</t>
        </is>
      </c>
    </row>
    <row r="12348">
      <c r="B12348" s="41" t="inlineStr">
        <is>
          <t>AreaCode</t>
        </is>
      </c>
      <c r="C12348" s="129" t="inlineStr">
        <is>
          <t>地区代码</t>
        </is>
      </c>
      <c r="D12348" s="21" t="n">
        <v>441481</v>
      </c>
      <c r="E12348" s="21" t="inlineStr">
        <is>
          <t>广东省梅州市兴宁市</t>
        </is>
      </c>
    </row>
    <row r="12349">
      <c r="B12349" s="41" t="inlineStr">
        <is>
          <t>AreaCode</t>
        </is>
      </c>
      <c r="C12349" s="129" t="inlineStr">
        <is>
          <t>地区代码</t>
        </is>
      </c>
      <c r="D12349" s="21" t="n">
        <v>441500</v>
      </c>
      <c r="E12349" s="21" t="inlineStr">
        <is>
          <t>广东省汕尾市</t>
        </is>
      </c>
    </row>
    <row r="12350">
      <c r="B12350" s="41" t="inlineStr">
        <is>
          <t>AreaCode</t>
        </is>
      </c>
      <c r="C12350" s="129" t="inlineStr">
        <is>
          <t>地区代码</t>
        </is>
      </c>
      <c r="D12350" s="21" t="n">
        <v>441501</v>
      </c>
      <c r="E12350" s="21" t="inlineStr">
        <is>
          <t>广东省汕尾市市辖区</t>
        </is>
      </c>
    </row>
    <row r="12351">
      <c r="B12351" s="41" t="inlineStr">
        <is>
          <t>AreaCode</t>
        </is>
      </c>
      <c r="C12351" s="129" t="inlineStr">
        <is>
          <t>地区代码</t>
        </is>
      </c>
      <c r="D12351" s="21" t="n">
        <v>441502</v>
      </c>
      <c r="E12351" s="21" t="inlineStr">
        <is>
          <t>广东省汕尾市城区</t>
        </is>
      </c>
    </row>
    <row r="12352">
      <c r="B12352" s="41" t="inlineStr">
        <is>
          <t>AreaCode</t>
        </is>
      </c>
      <c r="C12352" s="129" t="inlineStr">
        <is>
          <t>地区代码</t>
        </is>
      </c>
      <c r="D12352" s="21" t="n">
        <v>441521</v>
      </c>
      <c r="E12352" s="21" t="inlineStr">
        <is>
          <t>广东省汕尾市海丰县</t>
        </is>
      </c>
    </row>
    <row r="12353">
      <c r="B12353" s="41" t="inlineStr">
        <is>
          <t>AreaCode</t>
        </is>
      </c>
      <c r="C12353" s="129" t="inlineStr">
        <is>
          <t>地区代码</t>
        </is>
      </c>
      <c r="D12353" s="21" t="n">
        <v>441523</v>
      </c>
      <c r="E12353" s="21" t="inlineStr">
        <is>
          <t>广东省汕尾市陆河县</t>
        </is>
      </c>
    </row>
    <row r="12354">
      <c r="B12354" s="41" t="inlineStr">
        <is>
          <t>AreaCode</t>
        </is>
      </c>
      <c r="C12354" s="129" t="inlineStr">
        <is>
          <t>地区代码</t>
        </is>
      </c>
      <c r="D12354" s="21" t="n">
        <v>441581</v>
      </c>
      <c r="E12354" s="21" t="inlineStr">
        <is>
          <t>广东省汕尾市陆丰市</t>
        </is>
      </c>
    </row>
    <row r="12355">
      <c r="B12355" s="41" t="inlineStr">
        <is>
          <t>AreaCode</t>
        </is>
      </c>
      <c r="C12355" s="129" t="inlineStr">
        <is>
          <t>地区代码</t>
        </is>
      </c>
      <c r="D12355" s="21" t="n">
        <v>441600</v>
      </c>
      <c r="E12355" s="21" t="inlineStr">
        <is>
          <t>广东省河源市</t>
        </is>
      </c>
    </row>
    <row r="12356">
      <c r="B12356" s="41" t="inlineStr">
        <is>
          <t>AreaCode</t>
        </is>
      </c>
      <c r="C12356" s="129" t="inlineStr">
        <is>
          <t>地区代码</t>
        </is>
      </c>
      <c r="D12356" s="21" t="n">
        <v>441601</v>
      </c>
      <c r="E12356" s="21" t="inlineStr">
        <is>
          <t>广东省河源市市辖区</t>
        </is>
      </c>
    </row>
    <row r="12357">
      <c r="B12357" s="41" t="inlineStr">
        <is>
          <t>AreaCode</t>
        </is>
      </c>
      <c r="C12357" s="129" t="inlineStr">
        <is>
          <t>地区代码</t>
        </is>
      </c>
      <c r="D12357" s="21" t="n">
        <v>441602</v>
      </c>
      <c r="E12357" s="21" t="inlineStr">
        <is>
          <t>广东省河源市源城区</t>
        </is>
      </c>
    </row>
    <row r="12358">
      <c r="B12358" s="41" t="inlineStr">
        <is>
          <t>AreaCode</t>
        </is>
      </c>
      <c r="C12358" s="129" t="inlineStr">
        <is>
          <t>地区代码</t>
        </is>
      </c>
      <c r="D12358" s="21" t="n">
        <v>441621</v>
      </c>
      <c r="E12358" s="21" t="inlineStr">
        <is>
          <t>广东省河源市紫金县</t>
        </is>
      </c>
    </row>
    <row r="12359">
      <c r="B12359" s="41" t="inlineStr">
        <is>
          <t>AreaCode</t>
        </is>
      </c>
      <c r="C12359" s="129" t="inlineStr">
        <is>
          <t>地区代码</t>
        </is>
      </c>
      <c r="D12359" s="21" t="n">
        <v>441622</v>
      </c>
      <c r="E12359" s="21" t="inlineStr">
        <is>
          <t>广东省河源市龙川县</t>
        </is>
      </c>
    </row>
    <row r="12360">
      <c r="B12360" s="41" t="inlineStr">
        <is>
          <t>AreaCode</t>
        </is>
      </c>
      <c r="C12360" s="129" t="inlineStr">
        <is>
          <t>地区代码</t>
        </is>
      </c>
      <c r="D12360" s="21" t="n">
        <v>441623</v>
      </c>
      <c r="E12360" s="21" t="inlineStr">
        <is>
          <t>广东省河源市连平县</t>
        </is>
      </c>
    </row>
    <row r="12361">
      <c r="B12361" s="41" t="inlineStr">
        <is>
          <t>AreaCode</t>
        </is>
      </c>
      <c r="C12361" s="129" t="inlineStr">
        <is>
          <t>地区代码</t>
        </is>
      </c>
      <c r="D12361" s="21" t="n">
        <v>441624</v>
      </c>
      <c r="E12361" s="21" t="inlineStr">
        <is>
          <t>广东省河源市和平县</t>
        </is>
      </c>
    </row>
    <row r="12362">
      <c r="B12362" s="41" t="inlineStr">
        <is>
          <t>AreaCode</t>
        </is>
      </c>
      <c r="C12362" s="129" t="inlineStr">
        <is>
          <t>地区代码</t>
        </is>
      </c>
      <c r="D12362" s="21" t="n">
        <v>441625</v>
      </c>
      <c r="E12362" s="21" t="inlineStr">
        <is>
          <t>广东省河源市东源县</t>
        </is>
      </c>
    </row>
    <row r="12363">
      <c r="B12363" s="41" t="inlineStr">
        <is>
          <t>AreaCode</t>
        </is>
      </c>
      <c r="C12363" s="129" t="inlineStr">
        <is>
          <t>地区代码</t>
        </is>
      </c>
      <c r="D12363" s="21" t="n">
        <v>441700</v>
      </c>
      <c r="E12363" s="21" t="inlineStr">
        <is>
          <t>广东省阳江市</t>
        </is>
      </c>
    </row>
    <row r="12364">
      <c r="B12364" s="41" t="inlineStr">
        <is>
          <t>AreaCode</t>
        </is>
      </c>
      <c r="C12364" s="129" t="inlineStr">
        <is>
          <t>地区代码</t>
        </is>
      </c>
      <c r="D12364" s="21" t="n">
        <v>441701</v>
      </c>
      <c r="E12364" s="21" t="inlineStr">
        <is>
          <t>广东省阳江市市辖区</t>
        </is>
      </c>
    </row>
    <row r="12365">
      <c r="B12365" s="41" t="inlineStr">
        <is>
          <t>AreaCode</t>
        </is>
      </c>
      <c r="C12365" s="129" t="inlineStr">
        <is>
          <t>地区代码</t>
        </is>
      </c>
      <c r="D12365" s="21" t="n">
        <v>441702</v>
      </c>
      <c r="E12365" s="21" t="inlineStr">
        <is>
          <t>广东省阳江市江城区</t>
        </is>
      </c>
    </row>
    <row r="12366">
      <c r="B12366" s="41" t="inlineStr">
        <is>
          <t>AreaCode</t>
        </is>
      </c>
      <c r="C12366" s="129" t="inlineStr">
        <is>
          <t>地区代码</t>
        </is>
      </c>
      <c r="D12366" s="21" t="n">
        <v>441721</v>
      </c>
      <c r="E12366" s="21" t="inlineStr">
        <is>
          <t>广东省阳江市阳西县</t>
        </is>
      </c>
    </row>
    <row r="12367">
      <c r="B12367" s="41" t="inlineStr">
        <is>
          <t>AreaCode</t>
        </is>
      </c>
      <c r="C12367" s="129" t="inlineStr">
        <is>
          <t>地区代码</t>
        </is>
      </c>
      <c r="D12367" s="21" t="n">
        <v>441723</v>
      </c>
      <c r="E12367" s="21" t="inlineStr">
        <is>
          <t>广东省阳江市阳东县</t>
        </is>
      </c>
    </row>
    <row r="12368">
      <c r="B12368" s="41" t="inlineStr">
        <is>
          <t>AreaCode</t>
        </is>
      </c>
      <c r="C12368" s="129" t="inlineStr">
        <is>
          <t>地区代码</t>
        </is>
      </c>
      <c r="D12368" s="21" t="n">
        <v>441781</v>
      </c>
      <c r="E12368" s="21" t="inlineStr">
        <is>
          <t>广东省阳江市阳春市</t>
        </is>
      </c>
    </row>
    <row r="12369">
      <c r="B12369" s="41" t="inlineStr">
        <is>
          <t>AreaCode</t>
        </is>
      </c>
      <c r="C12369" s="129" t="inlineStr">
        <is>
          <t>地区代码</t>
        </is>
      </c>
      <c r="D12369" s="21" t="n">
        <v>441800</v>
      </c>
      <c r="E12369" s="21" t="inlineStr">
        <is>
          <t>广东省清远市</t>
        </is>
      </c>
    </row>
    <row r="12370">
      <c r="B12370" s="41" t="inlineStr">
        <is>
          <t>AreaCode</t>
        </is>
      </c>
      <c r="C12370" s="129" t="inlineStr">
        <is>
          <t>地区代码</t>
        </is>
      </c>
      <c r="D12370" s="21" t="n">
        <v>441801</v>
      </c>
      <c r="E12370" s="21" t="inlineStr">
        <is>
          <t>广东省清远市市辖区</t>
        </is>
      </c>
    </row>
    <row r="12371">
      <c r="B12371" s="41" t="inlineStr">
        <is>
          <t>AreaCode</t>
        </is>
      </c>
      <c r="C12371" s="129" t="inlineStr">
        <is>
          <t>地区代码</t>
        </is>
      </c>
      <c r="D12371" s="21" t="n">
        <v>441802</v>
      </c>
      <c r="E12371" s="21" t="inlineStr">
        <is>
          <t>广东省清远市清城区</t>
        </is>
      </c>
    </row>
    <row r="12372">
      <c r="B12372" s="41" t="inlineStr">
        <is>
          <t>AreaCode</t>
        </is>
      </c>
      <c r="C12372" s="129" t="inlineStr">
        <is>
          <t>地区代码</t>
        </is>
      </c>
      <c r="D12372" s="21" t="n">
        <v>441803</v>
      </c>
      <c r="E12372" s="21" t="inlineStr">
        <is>
          <t>广东省清远市清新区</t>
        </is>
      </c>
    </row>
    <row r="12373">
      <c r="B12373" s="41" t="inlineStr">
        <is>
          <t>AreaCode</t>
        </is>
      </c>
      <c r="C12373" s="129" t="inlineStr">
        <is>
          <t>地区代码</t>
        </is>
      </c>
      <c r="D12373" s="21" t="n">
        <v>441821</v>
      </c>
      <c r="E12373" s="21" t="inlineStr">
        <is>
          <t>广东省清远市佛冈县</t>
        </is>
      </c>
    </row>
    <row r="12374">
      <c r="B12374" s="41" t="inlineStr">
        <is>
          <t>AreaCode</t>
        </is>
      </c>
      <c r="C12374" s="129" t="inlineStr">
        <is>
          <t>地区代码</t>
        </is>
      </c>
      <c r="D12374" s="21" t="n">
        <v>441823</v>
      </c>
      <c r="E12374" s="21" t="inlineStr">
        <is>
          <t>广东省清远市阳山县</t>
        </is>
      </c>
    </row>
    <row r="12375">
      <c r="B12375" s="41" t="inlineStr">
        <is>
          <t>AreaCode</t>
        </is>
      </c>
      <c r="C12375" s="129" t="inlineStr">
        <is>
          <t>地区代码</t>
        </is>
      </c>
      <c r="D12375" s="21" t="n">
        <v>441825</v>
      </c>
      <c r="E12375" s="21" t="inlineStr">
        <is>
          <t>广东省清远市连山壮族瑶族自治县</t>
        </is>
      </c>
    </row>
    <row r="12376">
      <c r="B12376" s="41" t="inlineStr">
        <is>
          <t>AreaCode</t>
        </is>
      </c>
      <c r="C12376" s="129" t="inlineStr">
        <is>
          <t>地区代码</t>
        </is>
      </c>
      <c r="D12376" s="21" t="n">
        <v>441826</v>
      </c>
      <c r="E12376" s="21" t="inlineStr">
        <is>
          <t>广东省清远市连南瑶族自治县</t>
        </is>
      </c>
    </row>
    <row r="12377">
      <c r="B12377" s="41" t="inlineStr">
        <is>
          <t>AreaCode</t>
        </is>
      </c>
      <c r="C12377" s="129" t="inlineStr">
        <is>
          <t>地区代码</t>
        </is>
      </c>
      <c r="D12377" s="21" t="n">
        <v>441881</v>
      </c>
      <c r="E12377" s="21" t="inlineStr">
        <is>
          <t>广东省清远市英德市</t>
        </is>
      </c>
    </row>
    <row r="12378">
      <c r="B12378" s="41" t="inlineStr">
        <is>
          <t>AreaCode</t>
        </is>
      </c>
      <c r="C12378" s="129" t="inlineStr">
        <is>
          <t>地区代码</t>
        </is>
      </c>
      <c r="D12378" s="21" t="n">
        <v>441882</v>
      </c>
      <c r="E12378" s="21" t="inlineStr">
        <is>
          <t>广东省清远市连州市</t>
        </is>
      </c>
    </row>
    <row r="12379">
      <c r="B12379" s="41" t="inlineStr">
        <is>
          <t>AreaCode</t>
        </is>
      </c>
      <c r="C12379" s="129" t="inlineStr">
        <is>
          <t>地区代码</t>
        </is>
      </c>
      <c r="D12379" s="21" t="n">
        <v>441900</v>
      </c>
      <c r="E12379" s="21" t="inlineStr">
        <is>
          <t>广东省东莞市</t>
        </is>
      </c>
    </row>
    <row r="12380">
      <c r="B12380" s="41" t="inlineStr">
        <is>
          <t>AreaCode</t>
        </is>
      </c>
      <c r="C12380" s="129" t="inlineStr">
        <is>
          <t>地区代码</t>
        </is>
      </c>
      <c r="D12380" s="21" t="n">
        <v>441901</v>
      </c>
      <c r="E12380" s="21" t="inlineStr">
        <is>
          <t>广东省东莞市全辖</t>
        </is>
      </c>
    </row>
    <row r="12381">
      <c r="B12381" s="41" t="inlineStr">
        <is>
          <t>AreaCode</t>
        </is>
      </c>
      <c r="C12381" s="129" t="inlineStr">
        <is>
          <t>地区代码</t>
        </is>
      </c>
      <c r="D12381" s="21" t="n">
        <v>442000</v>
      </c>
      <c r="E12381" s="21" t="inlineStr">
        <is>
          <t>广东省中山市</t>
        </is>
      </c>
    </row>
    <row r="12382">
      <c r="B12382" s="41" t="inlineStr">
        <is>
          <t>AreaCode</t>
        </is>
      </c>
      <c r="C12382" s="129" t="inlineStr">
        <is>
          <t>地区代码</t>
        </is>
      </c>
      <c r="D12382" s="21" t="n">
        <v>442001</v>
      </c>
      <c r="E12382" s="21" t="inlineStr">
        <is>
          <t>广东省中山市市辖区</t>
        </is>
      </c>
    </row>
    <row r="12383">
      <c r="B12383" s="130" t="inlineStr">
        <is>
          <t>AreaCode</t>
        </is>
      </c>
      <c r="C12383" s="131" t="inlineStr">
        <is>
          <t>地区代码</t>
        </is>
      </c>
      <c r="D12383" s="48" t="n">
        <v>445100</v>
      </c>
      <c r="E12383" s="48" t="inlineStr">
        <is>
          <t>广东省潮州市</t>
        </is>
      </c>
    </row>
    <row r="12384">
      <c r="B12384" s="41" t="inlineStr">
        <is>
          <t>AreaCode</t>
        </is>
      </c>
      <c r="C12384" s="129" t="inlineStr">
        <is>
          <t>地区代码</t>
        </is>
      </c>
      <c r="D12384" s="21" t="n">
        <v>445101</v>
      </c>
      <c r="E12384" s="21" t="inlineStr">
        <is>
          <t>广东省潮州市市辖区</t>
        </is>
      </c>
      <c r="F12384" s="21" t="n"/>
    </row>
    <row r="12385">
      <c r="B12385" s="41" t="inlineStr">
        <is>
          <t>AreaCode</t>
        </is>
      </c>
      <c r="C12385" s="129" t="inlineStr">
        <is>
          <t>地区代码</t>
        </is>
      </c>
      <c r="D12385" s="21" t="n">
        <v>445102</v>
      </c>
      <c r="E12385" s="21" t="inlineStr">
        <is>
          <t>广东省潮州市湘桥区</t>
        </is>
      </c>
      <c r="F12385" s="21" t="n"/>
    </row>
    <row r="12386">
      <c r="B12386" s="41" t="inlineStr">
        <is>
          <t>AreaCode</t>
        </is>
      </c>
      <c r="C12386" s="129" t="inlineStr">
        <is>
          <t>地区代码</t>
        </is>
      </c>
      <c r="D12386" s="21" t="n">
        <v>445121</v>
      </c>
      <c r="E12386" s="21" t="inlineStr">
        <is>
          <t>广东省潮州市潮安县</t>
        </is>
      </c>
      <c r="F12386" s="21" t="n"/>
    </row>
    <row r="12387">
      <c r="B12387" s="41" t="inlineStr">
        <is>
          <t>AreaCode</t>
        </is>
      </c>
      <c r="C12387" s="129" t="inlineStr">
        <is>
          <t>地区代码</t>
        </is>
      </c>
      <c r="D12387" s="21" t="n">
        <v>445122</v>
      </c>
      <c r="E12387" s="21" t="inlineStr">
        <is>
          <t>广东省潮州市饶平县</t>
        </is>
      </c>
      <c r="F12387" s="21" t="n"/>
    </row>
    <row r="12388">
      <c r="B12388" s="41" t="inlineStr">
        <is>
          <t>AreaCode</t>
        </is>
      </c>
      <c r="C12388" s="129" t="inlineStr">
        <is>
          <t>地区代码</t>
        </is>
      </c>
      <c r="D12388" s="21" t="n">
        <v>445200</v>
      </c>
      <c r="E12388" s="21" t="inlineStr">
        <is>
          <t>广东省揭阳市</t>
        </is>
      </c>
      <c r="F12388" s="21" t="n"/>
    </row>
    <row r="12389">
      <c r="B12389" s="41" t="inlineStr">
        <is>
          <t>AreaCode</t>
        </is>
      </c>
      <c r="C12389" s="129" t="inlineStr">
        <is>
          <t>地区代码</t>
        </is>
      </c>
      <c r="D12389" s="21" t="n">
        <v>445201</v>
      </c>
      <c r="E12389" s="21" t="inlineStr">
        <is>
          <t>广东省揭阳市市辖区</t>
        </is>
      </c>
      <c r="F12389" s="21" t="n"/>
    </row>
    <row r="12390">
      <c r="B12390" s="41" t="inlineStr">
        <is>
          <t>AreaCode</t>
        </is>
      </c>
      <c r="C12390" s="129" t="inlineStr">
        <is>
          <t>地区代码</t>
        </is>
      </c>
      <c r="D12390" s="21" t="n">
        <v>445202</v>
      </c>
      <c r="E12390" s="21" t="inlineStr">
        <is>
          <t>广东省揭阳市榕城区</t>
        </is>
      </c>
      <c r="F12390" s="21" t="n"/>
    </row>
    <row r="12391">
      <c r="B12391" s="41" t="inlineStr">
        <is>
          <t>AreaCode</t>
        </is>
      </c>
      <c r="C12391" s="129" t="inlineStr">
        <is>
          <t>地区代码</t>
        </is>
      </c>
      <c r="D12391" s="21" t="n">
        <v>445221</v>
      </c>
      <c r="E12391" s="21" t="inlineStr">
        <is>
          <t>广东省揭阳市揭东区</t>
        </is>
      </c>
      <c r="F12391" s="21" t="n"/>
    </row>
    <row r="12392">
      <c r="B12392" s="41" t="inlineStr">
        <is>
          <t>AreaCode</t>
        </is>
      </c>
      <c r="C12392" s="129" t="inlineStr">
        <is>
          <t>地区代码</t>
        </is>
      </c>
      <c r="D12392" s="21" t="n">
        <v>445222</v>
      </c>
      <c r="E12392" s="21" t="inlineStr">
        <is>
          <t>广东省揭阳市揭西县</t>
        </is>
      </c>
      <c r="F12392" s="21" t="n"/>
    </row>
    <row r="12393">
      <c r="B12393" s="41" t="inlineStr">
        <is>
          <t>AreaCode</t>
        </is>
      </c>
      <c r="C12393" s="129" t="inlineStr">
        <is>
          <t>地区代码</t>
        </is>
      </c>
      <c r="D12393" s="21" t="n">
        <v>445224</v>
      </c>
      <c r="E12393" s="21" t="inlineStr">
        <is>
          <t>广东省揭阳市惠来县</t>
        </is>
      </c>
      <c r="F12393" s="21" t="n"/>
    </row>
    <row r="12394">
      <c r="B12394" s="41" t="inlineStr">
        <is>
          <t>AreaCode</t>
        </is>
      </c>
      <c r="C12394" s="129" t="inlineStr">
        <is>
          <t>地区代码</t>
        </is>
      </c>
      <c r="D12394" s="21" t="n">
        <v>445281</v>
      </c>
      <c r="E12394" s="21" t="inlineStr">
        <is>
          <t>广东省揭阳市普宁市</t>
        </is>
      </c>
      <c r="F12394" s="21" t="n"/>
    </row>
    <row r="12395">
      <c r="B12395" s="41" t="inlineStr">
        <is>
          <t>AreaCode</t>
        </is>
      </c>
      <c r="C12395" s="129" t="inlineStr">
        <is>
          <t>地区代码</t>
        </is>
      </c>
      <c r="D12395" s="21" t="n">
        <v>445300</v>
      </c>
      <c r="E12395" s="21" t="inlineStr">
        <is>
          <t>广东省云浮市</t>
        </is>
      </c>
      <c r="F12395" s="21" t="n"/>
    </row>
    <row r="12396">
      <c r="B12396" s="41" t="inlineStr">
        <is>
          <t>AreaCode</t>
        </is>
      </c>
      <c r="C12396" s="129" t="inlineStr">
        <is>
          <t>地区代码</t>
        </is>
      </c>
      <c r="D12396" s="21" t="n">
        <v>445301</v>
      </c>
      <c r="E12396" s="21" t="inlineStr">
        <is>
          <t>广东省云浮市市辖区</t>
        </is>
      </c>
      <c r="F12396" s="21" t="n"/>
    </row>
    <row r="12397">
      <c r="B12397" s="41" t="inlineStr">
        <is>
          <t>AreaCode</t>
        </is>
      </c>
      <c r="C12397" s="129" t="inlineStr">
        <is>
          <t>地区代码</t>
        </is>
      </c>
      <c r="D12397" s="21" t="n">
        <v>445302</v>
      </c>
      <c r="E12397" s="21" t="inlineStr">
        <is>
          <t>广东省云浮市云城区</t>
        </is>
      </c>
      <c r="F12397" s="21" t="n"/>
    </row>
    <row r="12398">
      <c r="B12398" s="41" t="inlineStr">
        <is>
          <t>AreaCode</t>
        </is>
      </c>
      <c r="C12398" s="129" t="inlineStr">
        <is>
          <t>地区代码</t>
        </is>
      </c>
      <c r="D12398" s="21" t="n">
        <v>445303</v>
      </c>
      <c r="E12398" s="21" t="inlineStr">
        <is>
          <t>广东省云浮市云安区</t>
        </is>
      </c>
      <c r="F12398" s="21" t="n"/>
    </row>
    <row r="12399">
      <c r="B12399" s="41" t="inlineStr">
        <is>
          <t>AreaCode</t>
        </is>
      </c>
      <c r="C12399" s="129" t="inlineStr">
        <is>
          <t>地区代码</t>
        </is>
      </c>
      <c r="D12399" s="21" t="n">
        <v>445321</v>
      </c>
      <c r="E12399" s="21" t="inlineStr">
        <is>
          <t>广东省云浮市新兴县</t>
        </is>
      </c>
      <c r="F12399" s="21" t="n"/>
    </row>
    <row r="12400">
      <c r="B12400" s="41" t="inlineStr">
        <is>
          <t>AreaCode</t>
        </is>
      </c>
      <c r="C12400" s="129" t="inlineStr">
        <is>
          <t>地区代码</t>
        </is>
      </c>
      <c r="D12400" s="21" t="n">
        <v>445322</v>
      </c>
      <c r="E12400" s="21" t="inlineStr">
        <is>
          <t>广东省云浮市郁南县</t>
        </is>
      </c>
      <c r="F12400" s="21" t="n"/>
    </row>
    <row r="12401">
      <c r="B12401" s="41" t="inlineStr">
        <is>
          <t>AreaCode</t>
        </is>
      </c>
      <c r="C12401" s="129" t="inlineStr">
        <is>
          <t>地区代码</t>
        </is>
      </c>
      <c r="D12401" s="21" t="n">
        <v>445381</v>
      </c>
      <c r="E12401" s="21" t="inlineStr">
        <is>
          <t>广东省云浮市罗定市</t>
        </is>
      </c>
      <c r="F12401" s="21" t="n"/>
    </row>
    <row r="12402">
      <c r="B12402" s="41" t="inlineStr">
        <is>
          <t>AreaCode</t>
        </is>
      </c>
      <c r="C12402" s="129" t="inlineStr">
        <is>
          <t>地区代码</t>
        </is>
      </c>
      <c r="D12402" s="21" t="n">
        <v>450000</v>
      </c>
      <c r="E12402" s="21" t="inlineStr">
        <is>
          <t>广西壮族自治区</t>
        </is>
      </c>
      <c r="F12402" s="21" t="n"/>
    </row>
    <row r="12403">
      <c r="B12403" s="41" t="inlineStr">
        <is>
          <t>AreaCode</t>
        </is>
      </c>
      <c r="C12403" s="129" t="inlineStr">
        <is>
          <t>地区代码</t>
        </is>
      </c>
      <c r="D12403" s="21" t="n">
        <v>450100</v>
      </c>
      <c r="E12403" s="21" t="inlineStr">
        <is>
          <t>广西壮族自治区南宁市</t>
        </is>
      </c>
      <c r="F12403" s="21" t="n"/>
    </row>
    <row r="12404">
      <c r="B12404" s="41" t="inlineStr">
        <is>
          <t>AreaCode</t>
        </is>
      </c>
      <c r="C12404" s="129" t="inlineStr">
        <is>
          <t>地区代码</t>
        </is>
      </c>
      <c r="D12404" s="21" t="n">
        <v>450101</v>
      </c>
      <c r="E12404" s="21" t="inlineStr">
        <is>
          <t>广西壮族自治区南宁市市辖区</t>
        </is>
      </c>
      <c r="F12404" s="21" t="n"/>
    </row>
    <row r="12405">
      <c r="B12405" s="41" t="inlineStr">
        <is>
          <t>AreaCode</t>
        </is>
      </c>
      <c r="C12405" s="129" t="inlineStr">
        <is>
          <t>地区代码</t>
        </is>
      </c>
      <c r="D12405" s="21" t="n">
        <v>450102</v>
      </c>
      <c r="E12405" s="21" t="inlineStr">
        <is>
          <t>广西壮族自治区南宁市兴宁区</t>
        </is>
      </c>
      <c r="F12405" s="21" t="n"/>
    </row>
    <row r="12406">
      <c r="B12406" s="41" t="inlineStr">
        <is>
          <t>AreaCode</t>
        </is>
      </c>
      <c r="C12406" s="129" t="inlineStr">
        <is>
          <t>地区代码</t>
        </is>
      </c>
      <c r="D12406" s="21" t="n">
        <v>450103</v>
      </c>
      <c r="E12406" s="21" t="inlineStr">
        <is>
          <t>广西壮族自治区南宁市青秀区</t>
        </is>
      </c>
      <c r="F12406" s="21" t="n"/>
    </row>
    <row r="12407">
      <c r="B12407" s="41" t="inlineStr">
        <is>
          <t>AreaCode</t>
        </is>
      </c>
      <c r="C12407" s="129" t="inlineStr">
        <is>
          <t>地区代码</t>
        </is>
      </c>
      <c r="D12407" s="21" t="n">
        <v>450105</v>
      </c>
      <c r="E12407" s="21" t="inlineStr">
        <is>
          <t>广西壮族自治区南宁市江南区</t>
        </is>
      </c>
      <c r="F12407" s="21" t="n"/>
    </row>
    <row r="12408">
      <c r="B12408" s="41" t="inlineStr">
        <is>
          <t>AreaCode</t>
        </is>
      </c>
      <c r="C12408" s="129" t="inlineStr">
        <is>
          <t>地区代码</t>
        </is>
      </c>
      <c r="D12408" s="21" t="n">
        <v>450107</v>
      </c>
      <c r="E12408" s="21" t="inlineStr">
        <is>
          <t>广西壮族自治区南宁市西乡塘区</t>
        </is>
      </c>
      <c r="F12408" s="21" t="n"/>
    </row>
    <row r="12409">
      <c r="B12409" s="41" t="inlineStr">
        <is>
          <t>AreaCode</t>
        </is>
      </c>
      <c r="C12409" s="129" t="inlineStr">
        <is>
          <t>地区代码</t>
        </is>
      </c>
      <c r="D12409" s="21" t="n">
        <v>450108</v>
      </c>
      <c r="E12409" s="21" t="inlineStr">
        <is>
          <t>广西壮族自治区南宁市良庆区</t>
        </is>
      </c>
      <c r="F12409" s="21" t="n"/>
    </row>
    <row r="12410">
      <c r="B12410" s="41" t="inlineStr">
        <is>
          <t>AreaCode</t>
        </is>
      </c>
      <c r="C12410" s="129" t="inlineStr">
        <is>
          <t>地区代码</t>
        </is>
      </c>
      <c r="D12410" s="21" t="n">
        <v>450109</v>
      </c>
      <c r="E12410" s="21" t="inlineStr">
        <is>
          <t>广西壮族自治区南宁市邕宁区</t>
        </is>
      </c>
      <c r="F12410" s="21" t="n"/>
    </row>
    <row r="12411">
      <c r="B12411" s="41" t="inlineStr">
        <is>
          <t>AreaCode</t>
        </is>
      </c>
      <c r="C12411" s="129" t="inlineStr">
        <is>
          <t>地区代码</t>
        </is>
      </c>
      <c r="D12411" s="21" t="n">
        <v>450122</v>
      </c>
      <c r="E12411" s="21" t="inlineStr">
        <is>
          <t>广西壮族自治区南宁市武鸣县</t>
        </is>
      </c>
      <c r="F12411" s="21" t="n"/>
    </row>
    <row r="12412">
      <c r="B12412" s="41" t="inlineStr">
        <is>
          <t>AreaCode</t>
        </is>
      </c>
      <c r="C12412" s="129" t="inlineStr">
        <is>
          <t>地区代码</t>
        </is>
      </c>
      <c r="D12412" s="21" t="n">
        <v>450123</v>
      </c>
      <c r="E12412" s="21" t="inlineStr">
        <is>
          <t>广西壮族自治区南宁市隆安县</t>
        </is>
      </c>
      <c r="F12412" s="21" t="n"/>
    </row>
    <row r="12413">
      <c r="B12413" s="41" t="inlineStr">
        <is>
          <t>AreaCode</t>
        </is>
      </c>
      <c r="C12413" s="129" t="inlineStr">
        <is>
          <t>地区代码</t>
        </is>
      </c>
      <c r="D12413" s="21" t="n">
        <v>450124</v>
      </c>
      <c r="E12413" s="21" t="inlineStr">
        <is>
          <t>广西壮族自治区南宁市马山县</t>
        </is>
      </c>
      <c r="F12413" s="21" t="n"/>
    </row>
    <row r="12414">
      <c r="B12414" s="41" t="inlineStr">
        <is>
          <t>AreaCode</t>
        </is>
      </c>
      <c r="C12414" s="129" t="inlineStr">
        <is>
          <t>地区代码</t>
        </is>
      </c>
      <c r="D12414" s="21" t="n">
        <v>450125</v>
      </c>
      <c r="E12414" s="21" t="inlineStr">
        <is>
          <t>广西壮族自治区南宁市上林县</t>
        </is>
      </c>
      <c r="F12414" s="21" t="n"/>
    </row>
    <row r="12415">
      <c r="B12415" s="41" t="inlineStr">
        <is>
          <t>AreaCode</t>
        </is>
      </c>
      <c r="C12415" s="129" t="inlineStr">
        <is>
          <t>地区代码</t>
        </is>
      </c>
      <c r="D12415" s="21" t="n">
        <v>450126</v>
      </c>
      <c r="E12415" s="21" t="inlineStr">
        <is>
          <t>广西壮族自治区南宁市宾阳县</t>
        </is>
      </c>
      <c r="F12415" s="21" t="n"/>
    </row>
    <row r="12416">
      <c r="B12416" s="41" t="inlineStr">
        <is>
          <t>AreaCode</t>
        </is>
      </c>
      <c r="C12416" s="129" t="inlineStr">
        <is>
          <t>地区代码</t>
        </is>
      </c>
      <c r="D12416" s="21" t="n">
        <v>450127</v>
      </c>
      <c r="E12416" s="21" t="inlineStr">
        <is>
          <t>广西壮族自治区南宁市横县</t>
        </is>
      </c>
      <c r="F12416" s="21" t="n"/>
    </row>
    <row r="12417">
      <c r="B12417" s="41" t="inlineStr">
        <is>
          <t>AreaCode</t>
        </is>
      </c>
      <c r="C12417" s="129" t="inlineStr">
        <is>
          <t>地区代码</t>
        </is>
      </c>
      <c r="D12417" s="21" t="n">
        <v>450200</v>
      </c>
      <c r="E12417" s="21" t="inlineStr">
        <is>
          <t>广西壮族自治区柳州市</t>
        </is>
      </c>
      <c r="F12417" s="21" t="n"/>
    </row>
    <row r="12418">
      <c r="B12418" s="41" t="inlineStr">
        <is>
          <t>AreaCode</t>
        </is>
      </c>
      <c r="C12418" s="129" t="inlineStr">
        <is>
          <t>地区代码</t>
        </is>
      </c>
      <c r="D12418" s="21" t="n">
        <v>450201</v>
      </c>
      <c r="E12418" s="21" t="inlineStr">
        <is>
          <t>广西壮族自治区柳州市市辖区</t>
        </is>
      </c>
      <c r="F12418" s="21" t="n"/>
    </row>
    <row r="12419">
      <c r="B12419" s="41" t="inlineStr">
        <is>
          <t>AreaCode</t>
        </is>
      </c>
      <c r="C12419" s="129" t="inlineStr">
        <is>
          <t>地区代码</t>
        </is>
      </c>
      <c r="D12419" s="21" t="n">
        <v>450202</v>
      </c>
      <c r="E12419" s="21" t="inlineStr">
        <is>
          <t>广西壮族自治区柳州市城中区</t>
        </is>
      </c>
      <c r="F12419" s="21" t="n"/>
    </row>
    <row r="12420">
      <c r="B12420" s="41" t="inlineStr">
        <is>
          <t>AreaCode</t>
        </is>
      </c>
      <c r="C12420" s="129" t="inlineStr">
        <is>
          <t>地区代码</t>
        </is>
      </c>
      <c r="D12420" s="21" t="n">
        <v>450203</v>
      </c>
      <c r="E12420" s="21" t="inlineStr">
        <is>
          <t>广西壮族自治区柳州市鱼峰区</t>
        </is>
      </c>
      <c r="F12420" s="21" t="n"/>
    </row>
    <row r="12421">
      <c r="B12421" s="41" t="inlineStr">
        <is>
          <t>AreaCode</t>
        </is>
      </c>
      <c r="C12421" s="129" t="inlineStr">
        <is>
          <t>地区代码</t>
        </is>
      </c>
      <c r="D12421" s="21" t="n">
        <v>450204</v>
      </c>
      <c r="E12421" s="21" t="inlineStr">
        <is>
          <t>广西壮族自治区柳州市柳南区</t>
        </is>
      </c>
      <c r="F12421" s="21" t="n"/>
    </row>
    <row r="12422">
      <c r="B12422" s="41" t="inlineStr">
        <is>
          <t>AreaCode</t>
        </is>
      </c>
      <c r="C12422" s="129" t="inlineStr">
        <is>
          <t>地区代码</t>
        </is>
      </c>
      <c r="D12422" s="21" t="n">
        <v>450205</v>
      </c>
      <c r="E12422" s="21" t="inlineStr">
        <is>
          <t>广西壮族自治区柳州市柳北区</t>
        </is>
      </c>
      <c r="F12422" s="21" t="n"/>
    </row>
    <row r="12423">
      <c r="B12423" s="41" t="inlineStr">
        <is>
          <t>AreaCode</t>
        </is>
      </c>
      <c r="C12423" s="129" t="inlineStr">
        <is>
          <t>地区代码</t>
        </is>
      </c>
      <c r="D12423" s="21" t="n">
        <v>450221</v>
      </c>
      <c r="E12423" s="21" t="inlineStr">
        <is>
          <t>广西壮族自治区柳州市柳江县</t>
        </is>
      </c>
      <c r="F12423" s="21" t="n"/>
    </row>
    <row r="12424">
      <c r="B12424" s="41" t="inlineStr">
        <is>
          <t>AreaCode</t>
        </is>
      </c>
      <c r="C12424" s="129" t="inlineStr">
        <is>
          <t>地区代码</t>
        </is>
      </c>
      <c r="D12424" s="21" t="n">
        <v>450222</v>
      </c>
      <c r="E12424" s="21" t="inlineStr">
        <is>
          <t>广西壮族自治区柳州市柳城县</t>
        </is>
      </c>
      <c r="F12424" s="21" t="n"/>
    </row>
    <row r="12425">
      <c r="B12425" s="41" t="inlineStr">
        <is>
          <t>AreaCode</t>
        </is>
      </c>
      <c r="C12425" s="129" t="inlineStr">
        <is>
          <t>地区代码</t>
        </is>
      </c>
      <c r="D12425" s="21" t="n">
        <v>450223</v>
      </c>
      <c r="E12425" s="21" t="inlineStr">
        <is>
          <t>广西壮族自治区柳州市鹿寨县</t>
        </is>
      </c>
      <c r="F12425" s="21" t="n"/>
    </row>
    <row r="12426">
      <c r="B12426" s="41" t="inlineStr">
        <is>
          <t>AreaCode</t>
        </is>
      </c>
      <c r="C12426" s="129" t="inlineStr">
        <is>
          <t>地区代码</t>
        </is>
      </c>
      <c r="D12426" s="21" t="n">
        <v>450224</v>
      </c>
      <c r="E12426" s="21" t="inlineStr">
        <is>
          <t>广西壮族自治区柳州市融安县</t>
        </is>
      </c>
      <c r="F12426" s="21" t="n"/>
    </row>
    <row r="12427">
      <c r="B12427" s="41" t="inlineStr">
        <is>
          <t>AreaCode</t>
        </is>
      </c>
      <c r="C12427" s="129" t="inlineStr">
        <is>
          <t>地区代码</t>
        </is>
      </c>
      <c r="D12427" s="21" t="n">
        <v>450225</v>
      </c>
      <c r="E12427" s="21" t="inlineStr">
        <is>
          <t>广西壮族自治区柳州市融水苗族自治县</t>
        </is>
      </c>
      <c r="F12427" s="21" t="n"/>
    </row>
    <row r="12428">
      <c r="B12428" s="41" t="inlineStr">
        <is>
          <t>AreaCode</t>
        </is>
      </c>
      <c r="C12428" s="129" t="inlineStr">
        <is>
          <t>地区代码</t>
        </is>
      </c>
      <c r="D12428" s="21" t="n">
        <v>450226</v>
      </c>
      <c r="E12428" s="21" t="inlineStr">
        <is>
          <t>广西壮族自治区柳州市三江侗族自治县</t>
        </is>
      </c>
      <c r="F12428" s="21" t="n"/>
    </row>
    <row r="12429">
      <c r="B12429" s="41" t="inlineStr">
        <is>
          <t>AreaCode</t>
        </is>
      </c>
      <c r="C12429" s="129" t="inlineStr">
        <is>
          <t>地区代码</t>
        </is>
      </c>
      <c r="D12429" s="21" t="n">
        <v>450300</v>
      </c>
      <c r="E12429" s="21" t="inlineStr">
        <is>
          <t>广西壮族自治区桂林市</t>
        </is>
      </c>
      <c r="F12429" s="21" t="n"/>
    </row>
    <row r="12430">
      <c r="B12430" s="41" t="inlineStr">
        <is>
          <t>AreaCode</t>
        </is>
      </c>
      <c r="C12430" s="129" t="inlineStr">
        <is>
          <t>地区代码</t>
        </is>
      </c>
      <c r="D12430" s="21" t="n">
        <v>450301</v>
      </c>
      <c r="E12430" s="21" t="inlineStr">
        <is>
          <t>广西壮族自治区桂林市市辖区</t>
        </is>
      </c>
      <c r="F12430" s="21" t="n"/>
    </row>
    <row r="12431">
      <c r="B12431" s="41" t="inlineStr">
        <is>
          <t>AreaCode</t>
        </is>
      </c>
      <c r="C12431" s="129" t="inlineStr">
        <is>
          <t>地区代码</t>
        </is>
      </c>
      <c r="D12431" s="21" t="n">
        <v>450302</v>
      </c>
      <c r="E12431" s="21" t="inlineStr">
        <is>
          <t>广西壮族自治区桂林市秀峰区</t>
        </is>
      </c>
      <c r="F12431" s="21" t="n"/>
    </row>
    <row r="12432">
      <c r="B12432" s="41" t="inlineStr">
        <is>
          <t>AreaCode</t>
        </is>
      </c>
      <c r="C12432" s="129" t="inlineStr">
        <is>
          <t>地区代码</t>
        </is>
      </c>
      <c r="D12432" s="21" t="n">
        <v>450303</v>
      </c>
      <c r="E12432" s="21" t="inlineStr">
        <is>
          <t>广西壮族自治区桂林市叠彩区</t>
        </is>
      </c>
      <c r="F12432" s="21" t="n"/>
    </row>
    <row r="12433">
      <c r="B12433" s="41" t="inlineStr">
        <is>
          <t>AreaCode</t>
        </is>
      </c>
      <c r="C12433" s="129" t="inlineStr">
        <is>
          <t>地区代码</t>
        </is>
      </c>
      <c r="D12433" s="21" t="n">
        <v>450304</v>
      </c>
      <c r="E12433" s="21" t="inlineStr">
        <is>
          <t>广西壮族自治区桂林市象山区</t>
        </is>
      </c>
      <c r="F12433" s="21" t="n"/>
    </row>
    <row r="12434">
      <c r="B12434" s="41" t="inlineStr">
        <is>
          <t>AreaCode</t>
        </is>
      </c>
      <c r="C12434" s="129" t="inlineStr">
        <is>
          <t>地区代码</t>
        </is>
      </c>
      <c r="D12434" s="21" t="n">
        <v>450305</v>
      </c>
      <c r="E12434" s="21" t="inlineStr">
        <is>
          <t>广西壮族自治区桂林市七星区</t>
        </is>
      </c>
      <c r="F12434" s="21" t="n"/>
    </row>
    <row r="12435">
      <c r="B12435" s="41" t="inlineStr">
        <is>
          <t>AreaCode</t>
        </is>
      </c>
      <c r="C12435" s="129" t="inlineStr">
        <is>
          <t>地区代码</t>
        </is>
      </c>
      <c r="D12435" s="21" t="n">
        <v>450311</v>
      </c>
      <c r="E12435" s="21" t="inlineStr">
        <is>
          <t>广西壮族自治区桂林市雁山区</t>
        </is>
      </c>
      <c r="F12435" s="21" t="n"/>
    </row>
    <row r="12436">
      <c r="B12436" s="41" t="inlineStr">
        <is>
          <t>AreaCode</t>
        </is>
      </c>
      <c r="C12436" s="129" t="inlineStr">
        <is>
          <t>地区代码</t>
        </is>
      </c>
      <c r="D12436" s="21" t="n">
        <v>450321</v>
      </c>
      <c r="E12436" s="21" t="inlineStr">
        <is>
          <t>广西壮族自治区桂林市阳朔县</t>
        </is>
      </c>
      <c r="F12436" s="21" t="n"/>
    </row>
    <row r="12437">
      <c r="B12437" s="41" t="inlineStr">
        <is>
          <t>AreaCode</t>
        </is>
      </c>
      <c r="C12437" s="129" t="inlineStr">
        <is>
          <t>地区代码</t>
        </is>
      </c>
      <c r="D12437" s="21" t="n">
        <v>450322</v>
      </c>
      <c r="E12437" s="21" t="inlineStr">
        <is>
          <t>广西壮族自治区桂林市临桂县</t>
        </is>
      </c>
      <c r="F12437" s="21" t="n"/>
    </row>
    <row r="12438">
      <c r="B12438" s="41" t="inlineStr">
        <is>
          <t>AreaCode</t>
        </is>
      </c>
      <c r="C12438" s="129" t="inlineStr">
        <is>
          <t>地区代码</t>
        </is>
      </c>
      <c r="D12438" s="21" t="n">
        <v>450323</v>
      </c>
      <c r="E12438" s="21" t="inlineStr">
        <is>
          <t>广西壮族自治区桂林市灵川县</t>
        </is>
      </c>
      <c r="F12438" s="21" t="n"/>
    </row>
    <row r="12439">
      <c r="B12439" s="41" t="inlineStr">
        <is>
          <t>AreaCode</t>
        </is>
      </c>
      <c r="C12439" s="129" t="inlineStr">
        <is>
          <t>地区代码</t>
        </is>
      </c>
      <c r="D12439" s="21" t="n">
        <v>450324</v>
      </c>
      <c r="E12439" s="21" t="inlineStr">
        <is>
          <t>广西壮族自治区桂林市全州县</t>
        </is>
      </c>
      <c r="F12439" s="21" t="n"/>
    </row>
    <row r="12440">
      <c r="B12440" s="41" t="inlineStr">
        <is>
          <t>AreaCode</t>
        </is>
      </c>
      <c r="C12440" s="129" t="inlineStr">
        <is>
          <t>地区代码</t>
        </is>
      </c>
      <c r="D12440" s="21" t="n">
        <v>450325</v>
      </c>
      <c r="E12440" s="21" t="inlineStr">
        <is>
          <t>广西壮族自治区桂林市兴安县</t>
        </is>
      </c>
      <c r="F12440" s="21" t="n"/>
    </row>
    <row r="12441">
      <c r="B12441" s="41" t="inlineStr">
        <is>
          <t>AreaCode</t>
        </is>
      </c>
      <c r="C12441" s="129" t="inlineStr">
        <is>
          <t>地区代码</t>
        </is>
      </c>
      <c r="D12441" s="21" t="n">
        <v>450326</v>
      </c>
      <c r="E12441" s="21" t="inlineStr">
        <is>
          <t>广西壮族自治区桂林市永福县</t>
        </is>
      </c>
      <c r="F12441" s="21" t="n"/>
    </row>
    <row r="12442">
      <c r="B12442" s="41" t="inlineStr">
        <is>
          <t>AreaCode</t>
        </is>
      </c>
      <c r="C12442" s="129" t="inlineStr">
        <is>
          <t>地区代码</t>
        </is>
      </c>
      <c r="D12442" s="21" t="n">
        <v>450327</v>
      </c>
      <c r="E12442" s="21" t="inlineStr">
        <is>
          <t>广西壮族自治区桂林市灌阳县</t>
        </is>
      </c>
      <c r="F12442" s="21" t="n"/>
    </row>
    <row r="12443">
      <c r="B12443" s="41" t="inlineStr">
        <is>
          <t>AreaCode</t>
        </is>
      </c>
      <c r="C12443" s="129" t="inlineStr">
        <is>
          <t>地区代码</t>
        </is>
      </c>
      <c r="D12443" s="21" t="n">
        <v>450328</v>
      </c>
      <c r="E12443" s="21" t="inlineStr">
        <is>
          <t>广西壮族自治区桂林市龙胜各族自治县</t>
        </is>
      </c>
      <c r="F12443" s="21" t="n"/>
    </row>
    <row r="12444">
      <c r="B12444" s="41" t="inlineStr">
        <is>
          <t>AreaCode</t>
        </is>
      </c>
      <c r="C12444" s="129" t="inlineStr">
        <is>
          <t>地区代码</t>
        </is>
      </c>
      <c r="D12444" s="21" t="n">
        <v>450329</v>
      </c>
      <c r="E12444" s="21" t="inlineStr">
        <is>
          <t>广西壮族自治区桂林市资源县</t>
        </is>
      </c>
      <c r="F12444" s="21" t="n"/>
    </row>
    <row r="12445">
      <c r="B12445" s="41" t="inlineStr">
        <is>
          <t>AreaCode</t>
        </is>
      </c>
      <c r="C12445" s="129" t="inlineStr">
        <is>
          <t>地区代码</t>
        </is>
      </c>
      <c r="D12445" s="21" t="n">
        <v>450330</v>
      </c>
      <c r="E12445" s="21" t="inlineStr">
        <is>
          <t>广西壮族自治区桂林市平乐县</t>
        </is>
      </c>
      <c r="F12445" s="21" t="n"/>
    </row>
    <row r="12446">
      <c r="B12446" s="41" t="inlineStr">
        <is>
          <t>AreaCode</t>
        </is>
      </c>
      <c r="C12446" s="129" t="inlineStr">
        <is>
          <t>地区代码</t>
        </is>
      </c>
      <c r="D12446" s="21" t="n">
        <v>450331</v>
      </c>
      <c r="E12446" s="21" t="inlineStr">
        <is>
          <t>广西壮族自治区桂林市荔浦县</t>
        </is>
      </c>
      <c r="F12446" s="21" t="n"/>
    </row>
    <row r="12447">
      <c r="B12447" s="41" t="inlineStr">
        <is>
          <t>AreaCode</t>
        </is>
      </c>
      <c r="C12447" s="129" t="inlineStr">
        <is>
          <t>地区代码</t>
        </is>
      </c>
      <c r="D12447" s="21" t="n">
        <v>450332</v>
      </c>
      <c r="E12447" s="21" t="inlineStr">
        <is>
          <t>广西壮族自治区桂林市恭城瑶族自治县</t>
        </is>
      </c>
      <c r="F12447" s="21" t="n"/>
    </row>
    <row r="12448">
      <c r="B12448" s="41" t="inlineStr">
        <is>
          <t>AreaCode</t>
        </is>
      </c>
      <c r="C12448" s="129" t="inlineStr">
        <is>
          <t>地区代码</t>
        </is>
      </c>
      <c r="D12448" s="21" t="n">
        <v>450400</v>
      </c>
      <c r="E12448" s="21" t="inlineStr">
        <is>
          <t>广西壮族自治区梧州市</t>
        </is>
      </c>
      <c r="F12448" s="21" t="n"/>
    </row>
    <row r="12449">
      <c r="B12449" s="41" t="inlineStr">
        <is>
          <t>AreaCode</t>
        </is>
      </c>
      <c r="C12449" s="129" t="inlineStr">
        <is>
          <t>地区代码</t>
        </is>
      </c>
      <c r="D12449" s="21" t="n">
        <v>450401</v>
      </c>
      <c r="E12449" s="21" t="inlineStr">
        <is>
          <t>广西壮族自治区梧州市市辖区</t>
        </is>
      </c>
      <c r="F12449" s="21" t="n"/>
    </row>
    <row r="12450">
      <c r="B12450" s="41" t="inlineStr">
        <is>
          <t>AreaCode</t>
        </is>
      </c>
      <c r="C12450" s="129" t="inlineStr">
        <is>
          <t>地区代码</t>
        </is>
      </c>
      <c r="D12450" s="21" t="n">
        <v>450403</v>
      </c>
      <c r="E12450" s="21" t="inlineStr">
        <is>
          <t>广西壮族自治区梧州市万秀区</t>
        </is>
      </c>
      <c r="F12450" s="21" t="n"/>
    </row>
    <row r="12451">
      <c r="B12451" s="41" t="inlineStr">
        <is>
          <t>AreaCode</t>
        </is>
      </c>
      <c r="C12451" s="129" t="inlineStr">
        <is>
          <t>地区代码</t>
        </is>
      </c>
      <c r="D12451" s="21" t="n">
        <v>450405</v>
      </c>
      <c r="E12451" s="21" t="inlineStr">
        <is>
          <t>广西壮族自治区梧州市长洲区</t>
        </is>
      </c>
      <c r="F12451" s="21" t="n"/>
    </row>
    <row r="12452">
      <c r="B12452" s="41" t="inlineStr">
        <is>
          <t>AreaCode</t>
        </is>
      </c>
      <c r="C12452" s="129" t="inlineStr">
        <is>
          <t>地区代码</t>
        </is>
      </c>
      <c r="D12452" s="21" t="n">
        <v>450406</v>
      </c>
      <c r="E12452" s="21" t="inlineStr">
        <is>
          <t>广西壮族自治区梧州市龙圩区</t>
        </is>
      </c>
      <c r="F12452" s="21" t="n"/>
    </row>
    <row r="12453">
      <c r="B12453" s="41" t="inlineStr">
        <is>
          <t>AreaCode</t>
        </is>
      </c>
      <c r="C12453" s="129" t="inlineStr">
        <is>
          <t>地区代码</t>
        </is>
      </c>
      <c r="D12453" s="21" t="n">
        <v>450421</v>
      </c>
      <c r="E12453" s="21" t="inlineStr">
        <is>
          <t>广西壮族自治区梧州市苍梧县</t>
        </is>
      </c>
      <c r="F12453" s="21" t="n"/>
    </row>
    <row r="12454">
      <c r="B12454" s="41" t="inlineStr">
        <is>
          <t>AreaCode</t>
        </is>
      </c>
      <c r="C12454" s="129" t="inlineStr">
        <is>
          <t>地区代码</t>
        </is>
      </c>
      <c r="D12454" s="21" t="n">
        <v>450422</v>
      </c>
      <c r="E12454" s="21" t="inlineStr">
        <is>
          <t>广西壮族自治区梧州市藤县</t>
        </is>
      </c>
      <c r="F12454" s="21" t="n"/>
    </row>
    <row r="12455">
      <c r="B12455" s="41" t="inlineStr">
        <is>
          <t>AreaCode</t>
        </is>
      </c>
      <c r="C12455" s="129" t="inlineStr">
        <is>
          <t>地区代码</t>
        </is>
      </c>
      <c r="D12455" s="21" t="n">
        <v>450423</v>
      </c>
      <c r="E12455" s="21" t="inlineStr">
        <is>
          <t>广西壮族自治区梧州市蒙山县</t>
        </is>
      </c>
      <c r="F12455" s="21" t="n"/>
    </row>
    <row r="12456">
      <c r="B12456" s="41" t="inlineStr">
        <is>
          <t>AreaCode</t>
        </is>
      </c>
      <c r="C12456" s="129" t="inlineStr">
        <is>
          <t>地区代码</t>
        </is>
      </c>
      <c r="D12456" s="21" t="n">
        <v>450481</v>
      </c>
      <c r="E12456" s="21" t="inlineStr">
        <is>
          <t>广西壮族自治区梧州市岑溪市</t>
        </is>
      </c>
      <c r="F12456" s="21" t="n"/>
    </row>
    <row r="12457">
      <c r="B12457" s="41" t="inlineStr">
        <is>
          <t>AreaCode</t>
        </is>
      </c>
      <c r="C12457" s="129" t="inlineStr">
        <is>
          <t>地区代码</t>
        </is>
      </c>
      <c r="D12457" s="21" t="n">
        <v>450500</v>
      </c>
      <c r="E12457" s="21" t="inlineStr">
        <is>
          <t>广西壮族自治区北海市</t>
        </is>
      </c>
      <c r="F12457" s="21" t="n"/>
    </row>
    <row r="12458">
      <c r="B12458" s="41" t="inlineStr">
        <is>
          <t>AreaCode</t>
        </is>
      </c>
      <c r="C12458" s="129" t="inlineStr">
        <is>
          <t>地区代码</t>
        </is>
      </c>
      <c r="D12458" s="21" t="n">
        <v>450501</v>
      </c>
      <c r="E12458" s="21" t="inlineStr">
        <is>
          <t>广西壮族自治区北海市市辖区</t>
        </is>
      </c>
      <c r="F12458" s="21" t="n"/>
    </row>
    <row r="12459">
      <c r="B12459" s="41" t="inlineStr">
        <is>
          <t>AreaCode</t>
        </is>
      </c>
      <c r="C12459" s="129" t="inlineStr">
        <is>
          <t>地区代码</t>
        </is>
      </c>
      <c r="D12459" s="21" t="n">
        <v>450502</v>
      </c>
      <c r="E12459" s="21" t="inlineStr">
        <is>
          <t>广西壮族自治区北海市海城区</t>
        </is>
      </c>
      <c r="F12459" s="21" t="n"/>
    </row>
    <row r="12460">
      <c r="B12460" s="41" t="inlineStr">
        <is>
          <t>AreaCode</t>
        </is>
      </c>
      <c r="C12460" s="129" t="inlineStr">
        <is>
          <t>地区代码</t>
        </is>
      </c>
      <c r="D12460" s="21" t="n">
        <v>450503</v>
      </c>
      <c r="E12460" s="21" t="inlineStr">
        <is>
          <t>广西壮族自治区北海市银海区</t>
        </is>
      </c>
      <c r="F12460" s="21" t="n"/>
    </row>
    <row r="12461">
      <c r="B12461" s="41" t="inlineStr">
        <is>
          <t>AreaCode</t>
        </is>
      </c>
      <c r="C12461" s="129" t="inlineStr">
        <is>
          <t>地区代码</t>
        </is>
      </c>
      <c r="D12461" s="21" t="n">
        <v>450512</v>
      </c>
      <c r="E12461" s="21" t="inlineStr">
        <is>
          <t>广西壮族自治区北海市铁山港区</t>
        </is>
      </c>
      <c r="F12461" s="21" t="n"/>
    </row>
    <row r="12462">
      <c r="B12462" s="41" t="inlineStr">
        <is>
          <t>AreaCode</t>
        </is>
      </c>
      <c r="C12462" s="129" t="inlineStr">
        <is>
          <t>地区代码</t>
        </is>
      </c>
      <c r="D12462" s="21" t="n">
        <v>450521</v>
      </c>
      <c r="E12462" s="21" t="inlineStr">
        <is>
          <t>广西壮族自治区北海市合浦县</t>
        </is>
      </c>
      <c r="F12462" s="21" t="n"/>
    </row>
    <row r="12463">
      <c r="B12463" s="41" t="inlineStr">
        <is>
          <t>AreaCode</t>
        </is>
      </c>
      <c r="C12463" s="129" t="inlineStr">
        <is>
          <t>地区代码</t>
        </is>
      </c>
      <c r="D12463" s="21" t="n">
        <v>450600</v>
      </c>
      <c r="E12463" s="21" t="inlineStr">
        <is>
          <t>广西壮族自治区防城港市</t>
        </is>
      </c>
      <c r="F12463" s="21" t="n"/>
    </row>
    <row r="12464">
      <c r="B12464" s="41" t="inlineStr">
        <is>
          <t>AreaCode</t>
        </is>
      </c>
      <c r="C12464" s="129" t="inlineStr">
        <is>
          <t>地区代码</t>
        </is>
      </c>
      <c r="D12464" s="21" t="n">
        <v>450601</v>
      </c>
      <c r="E12464" s="21" t="inlineStr">
        <is>
          <t>广西壮族自治区防城港市市辖区</t>
        </is>
      </c>
      <c r="F12464" s="21" t="n"/>
    </row>
    <row r="12465">
      <c r="B12465" s="41" t="inlineStr">
        <is>
          <t>AreaCode</t>
        </is>
      </c>
      <c r="C12465" s="129" t="inlineStr">
        <is>
          <t>地区代码</t>
        </is>
      </c>
      <c r="D12465" s="21" t="n">
        <v>450602</v>
      </c>
      <c r="E12465" s="21" t="inlineStr">
        <is>
          <t>广西壮族自治区防城港市港口区</t>
        </is>
      </c>
      <c r="F12465" s="21" t="n"/>
    </row>
    <row r="12466">
      <c r="B12466" s="41" t="inlineStr">
        <is>
          <t>AreaCode</t>
        </is>
      </c>
      <c r="C12466" s="129" t="inlineStr">
        <is>
          <t>地区代码</t>
        </is>
      </c>
      <c r="D12466" s="21" t="n">
        <v>450603</v>
      </c>
      <c r="E12466" s="21" t="inlineStr">
        <is>
          <t>广西壮族自治区防城港市防城区</t>
        </is>
      </c>
      <c r="F12466" s="21" t="n"/>
    </row>
    <row r="12467">
      <c r="B12467" s="41" t="inlineStr">
        <is>
          <t>AreaCode</t>
        </is>
      </c>
      <c r="C12467" s="129" t="inlineStr">
        <is>
          <t>地区代码</t>
        </is>
      </c>
      <c r="D12467" s="21" t="n">
        <v>450621</v>
      </c>
      <c r="E12467" s="21" t="inlineStr">
        <is>
          <t>广西壮族自治区防城港市上思县</t>
        </is>
      </c>
      <c r="F12467" s="21" t="n"/>
    </row>
    <row r="12468">
      <c r="B12468" s="41" t="inlineStr">
        <is>
          <t>AreaCode</t>
        </is>
      </c>
      <c r="C12468" s="129" t="inlineStr">
        <is>
          <t>地区代码</t>
        </is>
      </c>
      <c r="D12468" s="21" t="n">
        <v>450681</v>
      </c>
      <c r="E12468" s="21" t="inlineStr">
        <is>
          <t>广西壮族自治区防城港市东兴市</t>
        </is>
      </c>
      <c r="F12468" s="21" t="n"/>
    </row>
    <row r="12469">
      <c r="B12469" s="41" t="inlineStr">
        <is>
          <t>AreaCode</t>
        </is>
      </c>
      <c r="C12469" s="129" t="inlineStr">
        <is>
          <t>地区代码</t>
        </is>
      </c>
      <c r="D12469" s="21" t="n">
        <v>450700</v>
      </c>
      <c r="E12469" s="21" t="inlineStr">
        <is>
          <t>广西壮族自治区钦州市</t>
        </is>
      </c>
      <c r="F12469" s="21" t="n"/>
    </row>
    <row r="12470">
      <c r="B12470" s="41" t="inlineStr">
        <is>
          <t>AreaCode</t>
        </is>
      </c>
      <c r="C12470" s="129" t="inlineStr">
        <is>
          <t>地区代码</t>
        </is>
      </c>
      <c r="D12470" s="21" t="n">
        <v>450701</v>
      </c>
      <c r="E12470" s="21" t="inlineStr">
        <is>
          <t>广西壮族自治区钦州市市辖区</t>
        </is>
      </c>
      <c r="F12470" s="21" t="n"/>
    </row>
    <row r="12471">
      <c r="B12471" s="41" t="inlineStr">
        <is>
          <t>AreaCode</t>
        </is>
      </c>
      <c r="C12471" s="129" t="inlineStr">
        <is>
          <t>地区代码</t>
        </is>
      </c>
      <c r="D12471" s="21" t="n">
        <v>450702</v>
      </c>
      <c r="E12471" s="21" t="inlineStr">
        <is>
          <t>广西壮族自治区钦州市钦南区</t>
        </is>
      </c>
      <c r="F12471" s="21" t="n"/>
    </row>
    <row r="12472">
      <c r="B12472" s="41" t="inlineStr">
        <is>
          <t>AreaCode</t>
        </is>
      </c>
      <c r="C12472" s="129" t="inlineStr">
        <is>
          <t>地区代码</t>
        </is>
      </c>
      <c r="D12472" s="21" t="n">
        <v>450703</v>
      </c>
      <c r="E12472" s="21" t="inlineStr">
        <is>
          <t>广西壮族自治区钦州市钦北区</t>
        </is>
      </c>
      <c r="F12472" s="21" t="n"/>
    </row>
    <row r="12473">
      <c r="B12473" s="41" t="inlineStr">
        <is>
          <t>AreaCode</t>
        </is>
      </c>
      <c r="C12473" s="129" t="inlineStr">
        <is>
          <t>地区代码</t>
        </is>
      </c>
      <c r="D12473" s="21" t="n">
        <v>450721</v>
      </c>
      <c r="E12473" s="21" t="inlineStr">
        <is>
          <t>广西壮族自治区钦州市灵山县</t>
        </is>
      </c>
      <c r="F12473" s="21" t="n"/>
    </row>
    <row r="12474">
      <c r="B12474" s="41" t="inlineStr">
        <is>
          <t>AreaCode</t>
        </is>
      </c>
      <c r="C12474" s="129" t="inlineStr">
        <is>
          <t>地区代码</t>
        </is>
      </c>
      <c r="D12474" s="21" t="n">
        <v>450722</v>
      </c>
      <c r="E12474" s="21" t="inlineStr">
        <is>
          <t>广西壮族自治区钦州市浦北县</t>
        </is>
      </c>
      <c r="F12474" s="21" t="n"/>
    </row>
    <row r="12475">
      <c r="B12475" s="41" t="inlineStr">
        <is>
          <t>AreaCode</t>
        </is>
      </c>
      <c r="C12475" s="129" t="inlineStr">
        <is>
          <t>地区代码</t>
        </is>
      </c>
      <c r="D12475" s="21" t="n">
        <v>450800</v>
      </c>
      <c r="E12475" s="21" t="inlineStr">
        <is>
          <t>广西壮族自治区贵港市</t>
        </is>
      </c>
      <c r="F12475" s="21" t="n"/>
    </row>
    <row r="12476">
      <c r="B12476" s="41" t="inlineStr">
        <is>
          <t>AreaCode</t>
        </is>
      </c>
      <c r="C12476" s="129" t="inlineStr">
        <is>
          <t>地区代码</t>
        </is>
      </c>
      <c r="D12476" s="21" t="n">
        <v>450801</v>
      </c>
      <c r="E12476" s="21" t="inlineStr">
        <is>
          <t>广西壮族自治区贵港市市辖区</t>
        </is>
      </c>
      <c r="F12476" s="21" t="n"/>
    </row>
    <row r="12477">
      <c r="B12477" s="41" t="inlineStr">
        <is>
          <t>AreaCode</t>
        </is>
      </c>
      <c r="C12477" s="129" t="inlineStr">
        <is>
          <t>地区代码</t>
        </is>
      </c>
      <c r="D12477" s="21" t="n">
        <v>450802</v>
      </c>
      <c r="E12477" s="21" t="inlineStr">
        <is>
          <t>广西壮族自治区贵港市港北区</t>
        </is>
      </c>
      <c r="F12477" s="21" t="n"/>
    </row>
    <row r="12478">
      <c r="B12478" s="41" t="inlineStr">
        <is>
          <t>AreaCode</t>
        </is>
      </c>
      <c r="C12478" s="129" t="inlineStr">
        <is>
          <t>地区代码</t>
        </is>
      </c>
      <c r="D12478" s="21" t="n">
        <v>450803</v>
      </c>
      <c r="E12478" s="21" t="inlineStr">
        <is>
          <t>广西壮族自治区贵港市港南区</t>
        </is>
      </c>
      <c r="F12478" s="21" t="n"/>
    </row>
    <row r="12479">
      <c r="B12479" s="41" t="inlineStr">
        <is>
          <t>AreaCode</t>
        </is>
      </c>
      <c r="C12479" s="129" t="inlineStr">
        <is>
          <t>地区代码</t>
        </is>
      </c>
      <c r="D12479" s="21" t="n">
        <v>450804</v>
      </c>
      <c r="E12479" s="21" t="inlineStr">
        <is>
          <t>广西壮族自治区贵港市覃塘区</t>
        </is>
      </c>
      <c r="F12479" s="21" t="n"/>
    </row>
    <row r="12480">
      <c r="B12480" s="41" t="inlineStr">
        <is>
          <t>AreaCode</t>
        </is>
      </c>
      <c r="C12480" s="129" t="inlineStr">
        <is>
          <t>地区代码</t>
        </is>
      </c>
      <c r="D12480" s="21" t="n">
        <v>450821</v>
      </c>
      <c r="E12480" s="21" t="inlineStr">
        <is>
          <t>广西壮族自治区贵港市平南县</t>
        </is>
      </c>
      <c r="F12480" s="21" t="n"/>
    </row>
    <row r="12481">
      <c r="B12481" s="41" t="inlineStr">
        <is>
          <t>AreaCode</t>
        </is>
      </c>
      <c r="C12481" s="129" t="inlineStr">
        <is>
          <t>地区代码</t>
        </is>
      </c>
      <c r="D12481" s="21" t="n">
        <v>450881</v>
      </c>
      <c r="E12481" s="21" t="inlineStr">
        <is>
          <t>广西壮族自治区贵港市桂平市</t>
        </is>
      </c>
      <c r="F12481" s="21" t="n"/>
    </row>
    <row r="12482">
      <c r="B12482" s="41" t="inlineStr">
        <is>
          <t>AreaCode</t>
        </is>
      </c>
      <c r="C12482" s="129" t="inlineStr">
        <is>
          <t>地区代码</t>
        </is>
      </c>
      <c r="D12482" s="21" t="n">
        <v>450900</v>
      </c>
      <c r="E12482" s="21" t="inlineStr">
        <is>
          <t>广西壮族自治区玉林市</t>
        </is>
      </c>
      <c r="F12482" s="21" t="n"/>
    </row>
    <row r="12483">
      <c r="B12483" s="41" t="inlineStr">
        <is>
          <t>AreaCode</t>
        </is>
      </c>
      <c r="C12483" s="129" t="inlineStr">
        <is>
          <t>地区代码</t>
        </is>
      </c>
      <c r="D12483" s="21" t="n">
        <v>450901</v>
      </c>
      <c r="E12483" s="21" t="inlineStr">
        <is>
          <t>广西壮族自治区玉林市市辖区</t>
        </is>
      </c>
      <c r="F12483" s="21" t="n"/>
    </row>
    <row r="12484">
      <c r="B12484" s="41" t="inlineStr">
        <is>
          <t>AreaCode</t>
        </is>
      </c>
      <c r="C12484" s="129" t="inlineStr">
        <is>
          <t>地区代码</t>
        </is>
      </c>
      <c r="D12484" s="21" t="n">
        <v>450902</v>
      </c>
      <c r="E12484" s="21" t="inlineStr">
        <is>
          <t>广西壮族自治区玉林市玉州区</t>
        </is>
      </c>
      <c r="F12484" s="21" t="n"/>
    </row>
    <row r="12485">
      <c r="B12485" s="41" t="inlineStr">
        <is>
          <t>AreaCode</t>
        </is>
      </c>
      <c r="C12485" s="129" t="inlineStr">
        <is>
          <t>地区代码</t>
        </is>
      </c>
      <c r="D12485" s="21" t="n">
        <v>450903</v>
      </c>
      <c r="E12485" s="21" t="inlineStr">
        <is>
          <t>广西壮族自治区玉林市福绵区</t>
        </is>
      </c>
      <c r="F12485" s="21" t="n"/>
    </row>
    <row r="12486">
      <c r="B12486" s="41" t="inlineStr">
        <is>
          <t>AreaCode</t>
        </is>
      </c>
      <c r="C12486" s="129" t="inlineStr">
        <is>
          <t>地区代码</t>
        </is>
      </c>
      <c r="D12486" s="21" t="n">
        <v>450921</v>
      </c>
      <c r="E12486" s="21" t="inlineStr">
        <is>
          <t>广西壮族自治区玉林市容县</t>
        </is>
      </c>
      <c r="F12486" s="21" t="n"/>
    </row>
    <row r="12487">
      <c r="B12487" s="41" t="inlineStr">
        <is>
          <t>AreaCode</t>
        </is>
      </c>
      <c r="C12487" s="129" t="inlineStr">
        <is>
          <t>地区代码</t>
        </is>
      </c>
      <c r="D12487" s="21" t="n">
        <v>450922</v>
      </c>
      <c r="E12487" s="21" t="inlineStr">
        <is>
          <t>广西壮族自治区玉林市陆川县</t>
        </is>
      </c>
      <c r="F12487" s="21" t="n"/>
    </row>
    <row r="12488">
      <c r="B12488" s="41" t="inlineStr">
        <is>
          <t>AreaCode</t>
        </is>
      </c>
      <c r="C12488" s="129" t="inlineStr">
        <is>
          <t>地区代码</t>
        </is>
      </c>
      <c r="D12488" s="21" t="n">
        <v>450923</v>
      </c>
      <c r="E12488" s="21" t="inlineStr">
        <is>
          <t>广西壮族自治区玉林市博白县</t>
        </is>
      </c>
      <c r="F12488" s="21" t="n"/>
    </row>
    <row r="12489">
      <c r="B12489" s="41" t="inlineStr">
        <is>
          <t>AreaCode</t>
        </is>
      </c>
      <c r="C12489" s="129" t="inlineStr">
        <is>
          <t>地区代码</t>
        </is>
      </c>
      <c r="D12489" s="21" t="n">
        <v>450924</v>
      </c>
      <c r="E12489" s="21" t="inlineStr">
        <is>
          <t>广西壮族自治区玉林市兴业县</t>
        </is>
      </c>
      <c r="F12489" s="21" t="n"/>
    </row>
    <row r="12490">
      <c r="B12490" s="41" t="inlineStr">
        <is>
          <t>AreaCode</t>
        </is>
      </c>
      <c r="C12490" s="129" t="inlineStr">
        <is>
          <t>地区代码</t>
        </is>
      </c>
      <c r="D12490" s="21" t="n">
        <v>450981</v>
      </c>
      <c r="E12490" s="21" t="inlineStr">
        <is>
          <t>广西壮族自治区玉林市北流市</t>
        </is>
      </c>
      <c r="F12490" s="21" t="n"/>
    </row>
    <row r="12491">
      <c r="B12491" s="41" t="inlineStr">
        <is>
          <t>AreaCode</t>
        </is>
      </c>
      <c r="C12491" s="129" t="inlineStr">
        <is>
          <t>地区代码</t>
        </is>
      </c>
      <c r="D12491" s="21" t="n">
        <v>451000</v>
      </c>
      <c r="E12491" s="21" t="inlineStr">
        <is>
          <t>广西壮族自治区百色市</t>
        </is>
      </c>
      <c r="F12491" s="21" t="n"/>
    </row>
    <row r="12492">
      <c r="B12492" s="41" t="inlineStr">
        <is>
          <t>AreaCode</t>
        </is>
      </c>
      <c r="C12492" s="129" t="inlineStr">
        <is>
          <t>地区代码</t>
        </is>
      </c>
      <c r="D12492" s="21" t="n">
        <v>451001</v>
      </c>
      <c r="E12492" s="21" t="inlineStr">
        <is>
          <t>广西壮族自治区百色市市辖区</t>
        </is>
      </c>
      <c r="F12492" s="21" t="n"/>
    </row>
    <row r="12493">
      <c r="B12493" s="41" t="inlineStr">
        <is>
          <t>AreaCode</t>
        </is>
      </c>
      <c r="C12493" s="129" t="inlineStr">
        <is>
          <t>地区代码</t>
        </is>
      </c>
      <c r="D12493" s="21" t="n">
        <v>451002</v>
      </c>
      <c r="E12493" s="21" t="inlineStr">
        <is>
          <t>广西壮族自治区百色市右江区</t>
        </is>
      </c>
      <c r="F12493" s="21" t="n"/>
    </row>
    <row r="12494">
      <c r="B12494" s="41" t="inlineStr">
        <is>
          <t>AreaCode</t>
        </is>
      </c>
      <c r="C12494" s="129" t="inlineStr">
        <is>
          <t>地区代码</t>
        </is>
      </c>
      <c r="D12494" s="21" t="n">
        <v>451021</v>
      </c>
      <c r="E12494" s="21" t="inlineStr">
        <is>
          <t>广西壮族自治区百色市田阳县</t>
        </is>
      </c>
      <c r="F12494" s="21" t="n"/>
    </row>
    <row r="12495">
      <c r="B12495" s="41" t="inlineStr">
        <is>
          <t>AreaCode</t>
        </is>
      </c>
      <c r="C12495" s="129" t="inlineStr">
        <is>
          <t>地区代码</t>
        </is>
      </c>
      <c r="D12495" s="21" t="n">
        <v>451022</v>
      </c>
      <c r="E12495" s="21" t="inlineStr">
        <is>
          <t>广西壮族自治区百色市田东县</t>
        </is>
      </c>
      <c r="F12495" s="21" t="n"/>
    </row>
    <row r="12496">
      <c r="B12496" s="41" t="inlineStr">
        <is>
          <t>AreaCode</t>
        </is>
      </c>
      <c r="C12496" s="129" t="inlineStr">
        <is>
          <t>地区代码</t>
        </is>
      </c>
      <c r="D12496" s="21" t="n">
        <v>451023</v>
      </c>
      <c r="E12496" s="21" t="inlineStr">
        <is>
          <t>广西壮族自治区百色市平果县</t>
        </is>
      </c>
      <c r="F12496" s="21" t="n"/>
    </row>
    <row r="12497">
      <c r="B12497" s="41" t="inlineStr">
        <is>
          <t>AreaCode</t>
        </is>
      </c>
      <c r="C12497" s="129" t="inlineStr">
        <is>
          <t>地区代码</t>
        </is>
      </c>
      <c r="D12497" s="21" t="n">
        <v>451024</v>
      </c>
      <c r="E12497" s="21" t="inlineStr">
        <is>
          <t>广西壮族自治区百色市德保县</t>
        </is>
      </c>
      <c r="F12497" s="21" t="n"/>
    </row>
    <row r="12498">
      <c r="B12498" s="41" t="inlineStr">
        <is>
          <t>AreaCode</t>
        </is>
      </c>
      <c r="C12498" s="129" t="inlineStr">
        <is>
          <t>地区代码</t>
        </is>
      </c>
      <c r="D12498" s="21" t="n">
        <v>451025</v>
      </c>
      <c r="E12498" s="21" t="inlineStr">
        <is>
          <t>广西壮族自治区百色市靖西县</t>
        </is>
      </c>
      <c r="F12498" s="21" t="n"/>
    </row>
    <row r="12499">
      <c r="B12499" s="41" t="inlineStr">
        <is>
          <t>AreaCode</t>
        </is>
      </c>
      <c r="C12499" s="129" t="inlineStr">
        <is>
          <t>地区代码</t>
        </is>
      </c>
      <c r="D12499" s="21" t="n">
        <v>451026</v>
      </c>
      <c r="E12499" s="21" t="inlineStr">
        <is>
          <t>广西壮族自治区百色市那坡县</t>
        </is>
      </c>
      <c r="F12499" s="21" t="n"/>
    </row>
    <row r="12500">
      <c r="B12500" s="41" t="inlineStr">
        <is>
          <t>AreaCode</t>
        </is>
      </c>
      <c r="C12500" s="129" t="inlineStr">
        <is>
          <t>地区代码</t>
        </is>
      </c>
      <c r="D12500" s="21" t="n">
        <v>451027</v>
      </c>
      <c r="E12500" s="21" t="inlineStr">
        <is>
          <t>广西壮族自治区百色市凌云县</t>
        </is>
      </c>
      <c r="F12500" s="21" t="n"/>
    </row>
    <row r="12501">
      <c r="B12501" s="41" t="inlineStr">
        <is>
          <t>AreaCode</t>
        </is>
      </c>
      <c r="C12501" s="129" t="inlineStr">
        <is>
          <t>地区代码</t>
        </is>
      </c>
      <c r="D12501" s="21" t="n">
        <v>451028</v>
      </c>
      <c r="E12501" s="21" t="inlineStr">
        <is>
          <t>广西壮族自治区百色市乐业县</t>
        </is>
      </c>
      <c r="F12501" s="21" t="n"/>
    </row>
    <row r="12502">
      <c r="B12502" s="41" t="inlineStr">
        <is>
          <t>AreaCode</t>
        </is>
      </c>
      <c r="C12502" s="129" t="inlineStr">
        <is>
          <t>地区代码</t>
        </is>
      </c>
      <c r="D12502" s="21" t="n">
        <v>451029</v>
      </c>
      <c r="E12502" s="21" t="inlineStr">
        <is>
          <t>广西壮族自治区百色市田林县</t>
        </is>
      </c>
      <c r="F12502" s="21" t="n"/>
    </row>
    <row r="12503">
      <c r="B12503" s="41" t="inlineStr">
        <is>
          <t>AreaCode</t>
        </is>
      </c>
      <c r="C12503" s="129" t="inlineStr">
        <is>
          <t>地区代码</t>
        </is>
      </c>
      <c r="D12503" s="21" t="n">
        <v>451030</v>
      </c>
      <c r="E12503" s="21" t="inlineStr">
        <is>
          <t>广西壮族自治区百色市西林县</t>
        </is>
      </c>
      <c r="F12503" s="21" t="n"/>
    </row>
    <row r="12504">
      <c r="B12504" s="41" t="inlineStr">
        <is>
          <t>AreaCode</t>
        </is>
      </c>
      <c r="C12504" s="129" t="inlineStr">
        <is>
          <t>地区代码</t>
        </is>
      </c>
      <c r="D12504" s="21" t="n">
        <v>451031</v>
      </c>
      <c r="E12504" s="21" t="inlineStr">
        <is>
          <t>广西壮族自治区百色市隆林各族自治县</t>
        </is>
      </c>
      <c r="F12504" s="21" t="n"/>
    </row>
    <row r="12505">
      <c r="B12505" s="41" t="inlineStr">
        <is>
          <t>AreaCode</t>
        </is>
      </c>
      <c r="C12505" s="129" t="inlineStr">
        <is>
          <t>地区代码</t>
        </is>
      </c>
      <c r="D12505" s="21" t="n">
        <v>451100</v>
      </c>
      <c r="E12505" s="21" t="inlineStr">
        <is>
          <t>广西壮族自治区贺州市</t>
        </is>
      </c>
      <c r="F12505" s="21" t="n"/>
    </row>
    <row r="12506">
      <c r="B12506" s="41" t="inlineStr">
        <is>
          <t>AreaCode</t>
        </is>
      </c>
      <c r="C12506" s="129" t="inlineStr">
        <is>
          <t>地区代码</t>
        </is>
      </c>
      <c r="D12506" s="21" t="n">
        <v>451101</v>
      </c>
      <c r="E12506" s="21" t="inlineStr">
        <is>
          <t>广西壮族自治区贺州市市辖区</t>
        </is>
      </c>
      <c r="F12506" s="21" t="n"/>
    </row>
    <row r="12507">
      <c r="B12507" s="41" t="inlineStr">
        <is>
          <t>AreaCode</t>
        </is>
      </c>
      <c r="C12507" s="129" t="inlineStr">
        <is>
          <t>地区代码</t>
        </is>
      </c>
      <c r="D12507" s="21" t="n">
        <v>451102</v>
      </c>
      <c r="E12507" s="21" t="inlineStr">
        <is>
          <t>广西壮族自治区贺州市八步区</t>
        </is>
      </c>
      <c r="F12507" s="21" t="n"/>
    </row>
    <row r="12508">
      <c r="B12508" s="41" t="inlineStr">
        <is>
          <t>AreaCode</t>
        </is>
      </c>
      <c r="C12508" s="129" t="inlineStr">
        <is>
          <t>地区代码</t>
        </is>
      </c>
      <c r="D12508" s="21" t="n">
        <v>451121</v>
      </c>
      <c r="E12508" s="21" t="inlineStr">
        <is>
          <t>广西壮族自治区贺州市昭平县</t>
        </is>
      </c>
      <c r="F12508" s="21" t="n"/>
    </row>
    <row r="12509">
      <c r="B12509" s="41" t="inlineStr">
        <is>
          <t>AreaCode</t>
        </is>
      </c>
      <c r="C12509" s="129" t="inlineStr">
        <is>
          <t>地区代码</t>
        </is>
      </c>
      <c r="D12509" s="21" t="n">
        <v>451122</v>
      </c>
      <c r="E12509" s="21" t="inlineStr">
        <is>
          <t>广西壮族自治区贺州市钟山县</t>
        </is>
      </c>
      <c r="F12509" s="21" t="n"/>
    </row>
    <row r="12510">
      <c r="B12510" s="41" t="inlineStr">
        <is>
          <t>AreaCode</t>
        </is>
      </c>
      <c r="C12510" s="129" t="inlineStr">
        <is>
          <t>地区代码</t>
        </is>
      </c>
      <c r="D12510" s="21" t="n">
        <v>451123</v>
      </c>
      <c r="E12510" s="21" t="inlineStr">
        <is>
          <t>广西壮族自治区贺州市富川瑶族自治县</t>
        </is>
      </c>
      <c r="F12510" s="21" t="n"/>
    </row>
    <row r="12511">
      <c r="B12511" s="41" t="inlineStr">
        <is>
          <t>AreaCode</t>
        </is>
      </c>
      <c r="C12511" s="129" t="inlineStr">
        <is>
          <t>地区代码</t>
        </is>
      </c>
      <c r="D12511" s="21" t="n">
        <v>451200</v>
      </c>
      <c r="E12511" s="21" t="inlineStr">
        <is>
          <t>广西壮族自治区河池市</t>
        </is>
      </c>
      <c r="F12511" s="21" t="n"/>
    </row>
    <row r="12512">
      <c r="B12512" s="41" t="inlineStr">
        <is>
          <t>AreaCode</t>
        </is>
      </c>
      <c r="C12512" s="129" t="inlineStr">
        <is>
          <t>地区代码</t>
        </is>
      </c>
      <c r="D12512" s="21" t="n">
        <v>451201</v>
      </c>
      <c r="E12512" s="21" t="inlineStr">
        <is>
          <t>广西壮族自治区河池市市辖区</t>
        </is>
      </c>
      <c r="F12512" s="21" t="n"/>
    </row>
    <row r="12513">
      <c r="B12513" s="41" t="inlineStr">
        <is>
          <t>AreaCode</t>
        </is>
      </c>
      <c r="C12513" s="129" t="inlineStr">
        <is>
          <t>地区代码</t>
        </is>
      </c>
      <c r="D12513" s="21" t="n">
        <v>451202</v>
      </c>
      <c r="E12513" s="21" t="inlineStr">
        <is>
          <t>广西壮族自治区河池市金城江区</t>
        </is>
      </c>
      <c r="F12513" s="21" t="n"/>
    </row>
    <row r="12514">
      <c r="B12514" s="41" t="inlineStr">
        <is>
          <t>AreaCode</t>
        </is>
      </c>
      <c r="C12514" s="129" t="inlineStr">
        <is>
          <t>地区代码</t>
        </is>
      </c>
      <c r="D12514" s="21" t="n">
        <v>451221</v>
      </c>
      <c r="E12514" s="21" t="inlineStr">
        <is>
          <t>广西壮族自治区河池市南丹县</t>
        </is>
      </c>
      <c r="F12514" s="21" t="n"/>
    </row>
    <row r="12515">
      <c r="B12515" s="41" t="inlineStr">
        <is>
          <t>AreaCode</t>
        </is>
      </c>
      <c r="C12515" s="129" t="inlineStr">
        <is>
          <t>地区代码</t>
        </is>
      </c>
      <c r="D12515" s="21" t="n">
        <v>451222</v>
      </c>
      <c r="E12515" s="21" t="inlineStr">
        <is>
          <t>广西壮族自治区河池市天峨县</t>
        </is>
      </c>
      <c r="F12515" s="21" t="n"/>
    </row>
    <row r="12516">
      <c r="B12516" s="41" t="inlineStr">
        <is>
          <t>AreaCode</t>
        </is>
      </c>
      <c r="C12516" s="129" t="inlineStr">
        <is>
          <t>地区代码</t>
        </is>
      </c>
      <c r="D12516" s="21" t="n">
        <v>451223</v>
      </c>
      <c r="E12516" s="21" t="inlineStr">
        <is>
          <t>广西壮族自治区河池市凤山县</t>
        </is>
      </c>
      <c r="F12516" s="21" t="n"/>
    </row>
    <row r="12517">
      <c r="B12517" s="41" t="inlineStr">
        <is>
          <t>AreaCode</t>
        </is>
      </c>
      <c r="C12517" s="129" t="inlineStr">
        <is>
          <t>地区代码</t>
        </is>
      </c>
      <c r="D12517" s="21" t="n">
        <v>451224</v>
      </c>
      <c r="E12517" s="21" t="inlineStr">
        <is>
          <t>广西壮族自治区河池市东兰县</t>
        </is>
      </c>
      <c r="F12517" s="21" t="n"/>
    </row>
    <row r="12518">
      <c r="B12518" s="41" t="inlineStr">
        <is>
          <t>AreaCode</t>
        </is>
      </c>
      <c r="C12518" s="129" t="inlineStr">
        <is>
          <t>地区代码</t>
        </is>
      </c>
      <c r="D12518" s="21" t="n">
        <v>451225</v>
      </c>
      <c r="E12518" s="21" t="inlineStr">
        <is>
          <t>广西壮族自治区河池市罗城仫佬族自治县</t>
        </is>
      </c>
      <c r="F12518" s="21" t="n"/>
    </row>
    <row r="12519">
      <c r="B12519" s="41" t="inlineStr">
        <is>
          <t>AreaCode</t>
        </is>
      </c>
      <c r="C12519" s="129" t="inlineStr">
        <is>
          <t>地区代码</t>
        </is>
      </c>
      <c r="D12519" s="21" t="n">
        <v>451226</v>
      </c>
      <c r="E12519" s="21" t="inlineStr">
        <is>
          <t>广西壮族自治区河池市环江毛南族自治县</t>
        </is>
      </c>
      <c r="F12519" s="21" t="n"/>
    </row>
    <row r="12520">
      <c r="B12520" s="41" t="inlineStr">
        <is>
          <t>AreaCode</t>
        </is>
      </c>
      <c r="C12520" s="129" t="inlineStr">
        <is>
          <t>地区代码</t>
        </is>
      </c>
      <c r="D12520" s="21" t="n">
        <v>451227</v>
      </c>
      <c r="E12520" s="21" t="inlineStr">
        <is>
          <t>广西壮族自治区河池市巴马瑶族自治县</t>
        </is>
      </c>
      <c r="F12520" s="21" t="n"/>
    </row>
    <row r="12521">
      <c r="B12521" s="41" t="inlineStr">
        <is>
          <t>AreaCode</t>
        </is>
      </c>
      <c r="C12521" s="129" t="inlineStr">
        <is>
          <t>地区代码</t>
        </is>
      </c>
      <c r="D12521" s="21" t="n">
        <v>451228</v>
      </c>
      <c r="E12521" s="21" t="inlineStr">
        <is>
          <t>广西壮族自治区河池市都安瑶族自治县</t>
        </is>
      </c>
      <c r="F12521" s="21" t="n"/>
    </row>
    <row r="12522">
      <c r="B12522" s="41" t="inlineStr">
        <is>
          <t>AreaCode</t>
        </is>
      </c>
      <c r="C12522" s="129" t="inlineStr">
        <is>
          <t>地区代码</t>
        </is>
      </c>
      <c r="D12522" s="21" t="n">
        <v>451229</v>
      </c>
      <c r="E12522" s="21" t="inlineStr">
        <is>
          <t>广西壮族自治区河池市大化瑶族自治县</t>
        </is>
      </c>
      <c r="F12522" s="21" t="n"/>
    </row>
    <row r="12523">
      <c r="B12523" s="41" t="inlineStr">
        <is>
          <t>AreaCode</t>
        </is>
      </c>
      <c r="C12523" s="129" t="inlineStr">
        <is>
          <t>地区代码</t>
        </is>
      </c>
      <c r="D12523" s="21" t="n">
        <v>451281</v>
      </c>
      <c r="E12523" s="21" t="inlineStr">
        <is>
          <t>广西壮族自治区河池市宜州市</t>
        </is>
      </c>
      <c r="F12523" s="21" t="n"/>
    </row>
    <row r="12524">
      <c r="B12524" s="41" t="inlineStr">
        <is>
          <t>AreaCode</t>
        </is>
      </c>
      <c r="C12524" s="129" t="inlineStr">
        <is>
          <t>地区代码</t>
        </is>
      </c>
      <c r="D12524" s="21" t="n">
        <v>451300</v>
      </c>
      <c r="E12524" s="21" t="inlineStr">
        <is>
          <t>广西壮族自治区来宾市</t>
        </is>
      </c>
      <c r="F12524" s="21" t="n"/>
    </row>
    <row r="12525">
      <c r="B12525" s="41" t="inlineStr">
        <is>
          <t>AreaCode</t>
        </is>
      </c>
      <c r="C12525" s="129" t="inlineStr">
        <is>
          <t>地区代码</t>
        </is>
      </c>
      <c r="D12525" s="21" t="n">
        <v>451301</v>
      </c>
      <c r="E12525" s="21" t="inlineStr">
        <is>
          <t>广西壮族自治区来宾市市辖区</t>
        </is>
      </c>
      <c r="F12525" s="21" t="n"/>
    </row>
    <row r="12526">
      <c r="B12526" s="41" t="inlineStr">
        <is>
          <t>AreaCode</t>
        </is>
      </c>
      <c r="C12526" s="129" t="inlineStr">
        <is>
          <t>地区代码</t>
        </is>
      </c>
      <c r="D12526" s="21" t="n">
        <v>451302</v>
      </c>
      <c r="E12526" s="21" t="inlineStr">
        <is>
          <t>广西壮族自治区来宾市兴宾区</t>
        </is>
      </c>
      <c r="F12526" s="21" t="n"/>
    </row>
    <row r="12527">
      <c r="B12527" s="41" t="inlineStr">
        <is>
          <t>AreaCode</t>
        </is>
      </c>
      <c r="C12527" s="129" t="inlineStr">
        <is>
          <t>地区代码</t>
        </is>
      </c>
      <c r="D12527" s="21" t="n">
        <v>451321</v>
      </c>
      <c r="E12527" s="21" t="inlineStr">
        <is>
          <t>广西壮族自治区来宾市忻城县</t>
        </is>
      </c>
      <c r="F12527" s="21" t="n"/>
    </row>
    <row r="12528">
      <c r="B12528" s="41" t="inlineStr">
        <is>
          <t>AreaCode</t>
        </is>
      </c>
      <c r="C12528" s="129" t="inlineStr">
        <is>
          <t>地区代码</t>
        </is>
      </c>
      <c r="D12528" s="21" t="n">
        <v>451322</v>
      </c>
      <c r="E12528" s="21" t="inlineStr">
        <is>
          <t>广西壮族自治区来宾市象州县</t>
        </is>
      </c>
      <c r="F12528" s="21" t="n"/>
    </row>
    <row r="12529">
      <c r="B12529" s="41" t="inlineStr">
        <is>
          <t>AreaCode</t>
        </is>
      </c>
      <c r="C12529" s="129" t="inlineStr">
        <is>
          <t>地区代码</t>
        </is>
      </c>
      <c r="D12529" s="21" t="n">
        <v>451323</v>
      </c>
      <c r="E12529" s="21" t="inlineStr">
        <is>
          <t>广西壮族自治区来宾市武宣县</t>
        </is>
      </c>
      <c r="F12529" s="21" t="n"/>
    </row>
    <row r="12530">
      <c r="B12530" s="41" t="inlineStr">
        <is>
          <t>AreaCode</t>
        </is>
      </c>
      <c r="C12530" s="129" t="inlineStr">
        <is>
          <t>地区代码</t>
        </is>
      </c>
      <c r="D12530" s="21" t="n">
        <v>451324</v>
      </c>
      <c r="E12530" s="21" t="inlineStr">
        <is>
          <t>广西壮族自治区来宾市金秀瑶族自治县</t>
        </is>
      </c>
      <c r="F12530" s="21" t="n"/>
    </row>
    <row r="12531">
      <c r="B12531" s="41" t="inlineStr">
        <is>
          <t>AreaCode</t>
        </is>
      </c>
      <c r="C12531" s="129" t="inlineStr">
        <is>
          <t>地区代码</t>
        </is>
      </c>
      <c r="D12531" s="21" t="n">
        <v>451381</v>
      </c>
      <c r="E12531" s="21" t="inlineStr">
        <is>
          <t>广西壮族自治区来宾市合山市</t>
        </is>
      </c>
      <c r="F12531" s="21" t="n"/>
    </row>
    <row r="12532">
      <c r="B12532" s="41" t="inlineStr">
        <is>
          <t>AreaCode</t>
        </is>
      </c>
      <c r="C12532" s="129" t="inlineStr">
        <is>
          <t>地区代码</t>
        </is>
      </c>
      <c r="D12532" s="21" t="n">
        <v>451400</v>
      </c>
      <c r="E12532" s="21" t="inlineStr">
        <is>
          <t>广西壮族自治区崇左市</t>
        </is>
      </c>
      <c r="F12532" s="21" t="n"/>
    </row>
    <row r="12533">
      <c r="B12533" s="41" t="inlineStr">
        <is>
          <t>AreaCode</t>
        </is>
      </c>
      <c r="C12533" s="129" t="inlineStr">
        <is>
          <t>地区代码</t>
        </is>
      </c>
      <c r="D12533" s="21" t="n">
        <v>451401</v>
      </c>
      <c r="E12533" s="21" t="inlineStr">
        <is>
          <t>广西壮族自治区崇左市市辖区</t>
        </is>
      </c>
      <c r="F12533" s="21" t="n"/>
    </row>
    <row r="12534">
      <c r="B12534" s="41" t="inlineStr">
        <is>
          <t>AreaCode</t>
        </is>
      </c>
      <c r="C12534" s="129" t="inlineStr">
        <is>
          <t>地区代码</t>
        </is>
      </c>
      <c r="D12534" s="21" t="n">
        <v>451402</v>
      </c>
      <c r="E12534" s="21" t="inlineStr">
        <is>
          <t>广西壮族自治区崇左市江洲区</t>
        </is>
      </c>
      <c r="F12534" s="21" t="n"/>
    </row>
    <row r="12535">
      <c r="B12535" s="41" t="inlineStr">
        <is>
          <t>AreaCode</t>
        </is>
      </c>
      <c r="C12535" s="129" t="inlineStr">
        <is>
          <t>地区代码</t>
        </is>
      </c>
      <c r="D12535" s="21" t="n">
        <v>451421</v>
      </c>
      <c r="E12535" s="21" t="inlineStr">
        <is>
          <t>广西壮族自治区崇左市扶绥县</t>
        </is>
      </c>
      <c r="F12535" s="21" t="n"/>
    </row>
    <row r="12536">
      <c r="B12536" s="41" t="inlineStr">
        <is>
          <t>AreaCode</t>
        </is>
      </c>
      <c r="C12536" s="129" t="inlineStr">
        <is>
          <t>地区代码</t>
        </is>
      </c>
      <c r="D12536" s="21" t="n">
        <v>451422</v>
      </c>
      <c r="E12536" s="21" t="inlineStr">
        <is>
          <t>广西壮族自治区崇左市宁明县</t>
        </is>
      </c>
      <c r="F12536" s="21" t="n"/>
    </row>
    <row r="12537">
      <c r="B12537" s="41" t="inlineStr">
        <is>
          <t>AreaCode</t>
        </is>
      </c>
      <c r="C12537" s="129" t="inlineStr">
        <is>
          <t>地区代码</t>
        </is>
      </c>
      <c r="D12537" s="21" t="n">
        <v>451423</v>
      </c>
      <c r="E12537" s="21" t="inlineStr">
        <is>
          <t>广西壮族自治区崇左市龙州县</t>
        </is>
      </c>
      <c r="F12537" s="21" t="n"/>
    </row>
    <row r="12538">
      <c r="B12538" s="41" t="inlineStr">
        <is>
          <t>AreaCode</t>
        </is>
      </c>
      <c r="C12538" s="129" t="inlineStr">
        <is>
          <t>地区代码</t>
        </is>
      </c>
      <c r="D12538" s="21" t="n">
        <v>451424</v>
      </c>
      <c r="E12538" s="21" t="inlineStr">
        <is>
          <t>广西壮族自治区崇左市大新县</t>
        </is>
      </c>
      <c r="F12538" s="21" t="n"/>
    </row>
    <row r="12539">
      <c r="B12539" s="41" t="inlineStr">
        <is>
          <t>AreaCode</t>
        </is>
      </c>
      <c r="C12539" s="129" t="inlineStr">
        <is>
          <t>地区代码</t>
        </is>
      </c>
      <c r="D12539" s="21" t="n">
        <v>451425</v>
      </c>
      <c r="E12539" s="21" t="inlineStr">
        <is>
          <t>广西壮族自治区崇左市天等县</t>
        </is>
      </c>
      <c r="F12539" s="21" t="n"/>
    </row>
    <row r="12540">
      <c r="B12540" s="41" t="inlineStr">
        <is>
          <t>AreaCode</t>
        </is>
      </c>
      <c r="C12540" s="129" t="inlineStr">
        <is>
          <t>地区代码</t>
        </is>
      </c>
      <c r="D12540" s="21" t="n">
        <v>451481</v>
      </c>
      <c r="E12540" s="21" t="inlineStr">
        <is>
          <t>广西壮族自治区崇左市凭祥市</t>
        </is>
      </c>
      <c r="F12540" s="21" t="n"/>
    </row>
    <row r="12541">
      <c r="B12541" s="41" t="inlineStr">
        <is>
          <t>AreaCode</t>
        </is>
      </c>
      <c r="C12541" s="129" t="inlineStr">
        <is>
          <t>地区代码</t>
        </is>
      </c>
      <c r="D12541" s="21" t="n">
        <v>460000</v>
      </c>
      <c r="E12541" s="21" t="inlineStr">
        <is>
          <t>海南省</t>
        </is>
      </c>
      <c r="F12541" s="21" t="n"/>
    </row>
    <row r="12542">
      <c r="B12542" s="41" t="inlineStr">
        <is>
          <t>AreaCode</t>
        </is>
      </c>
      <c r="C12542" s="129" t="inlineStr">
        <is>
          <t>地区代码</t>
        </is>
      </c>
      <c r="D12542" s="21" t="n">
        <v>460100</v>
      </c>
      <c r="E12542" s="21" t="inlineStr">
        <is>
          <t>海南省海口市</t>
        </is>
      </c>
      <c r="F12542" s="21" t="n"/>
    </row>
    <row r="12543">
      <c r="B12543" s="41" t="inlineStr">
        <is>
          <t>AreaCode</t>
        </is>
      </c>
      <c r="C12543" s="129" t="inlineStr">
        <is>
          <t>地区代码</t>
        </is>
      </c>
      <c r="D12543" s="21" t="n">
        <v>460101</v>
      </c>
      <c r="E12543" s="21" t="inlineStr">
        <is>
          <t>海南省海口市市辖区</t>
        </is>
      </c>
      <c r="F12543" s="21" t="n"/>
    </row>
    <row r="12544">
      <c r="B12544" s="41" t="inlineStr">
        <is>
          <t>AreaCode</t>
        </is>
      </c>
      <c r="C12544" s="129" t="inlineStr">
        <is>
          <t>地区代码</t>
        </is>
      </c>
      <c r="D12544" s="21" t="n">
        <v>460105</v>
      </c>
      <c r="E12544" s="21" t="inlineStr">
        <is>
          <t>海南省海口市秀英区</t>
        </is>
      </c>
      <c r="F12544" s="21" t="n"/>
    </row>
    <row r="12545">
      <c r="B12545" s="41" t="inlineStr">
        <is>
          <t>AreaCode</t>
        </is>
      </c>
      <c r="C12545" s="129" t="inlineStr">
        <is>
          <t>地区代码</t>
        </is>
      </c>
      <c r="D12545" s="21" t="n">
        <v>460106</v>
      </c>
      <c r="E12545" s="21" t="inlineStr">
        <is>
          <t>海南省海口市龙华区</t>
        </is>
      </c>
      <c r="F12545" s="21" t="n"/>
    </row>
    <row r="12546">
      <c r="B12546" s="41" t="inlineStr">
        <is>
          <t>AreaCode</t>
        </is>
      </c>
      <c r="C12546" s="129" t="inlineStr">
        <is>
          <t>地区代码</t>
        </is>
      </c>
      <c r="D12546" s="21" t="n">
        <v>460107</v>
      </c>
      <c r="E12546" s="21" t="inlineStr">
        <is>
          <t>海南省海口市琼山区</t>
        </is>
      </c>
      <c r="F12546" s="21" t="n"/>
    </row>
    <row r="12547">
      <c r="B12547" s="41" t="inlineStr">
        <is>
          <t>AreaCode</t>
        </is>
      </c>
      <c r="C12547" s="129" t="inlineStr">
        <is>
          <t>地区代码</t>
        </is>
      </c>
      <c r="D12547" s="21" t="n">
        <v>460108</v>
      </c>
      <c r="E12547" s="21" t="inlineStr">
        <is>
          <t>海南省海口市美兰区</t>
        </is>
      </c>
      <c r="F12547" s="21" t="n"/>
    </row>
    <row r="12548">
      <c r="B12548" s="41" t="inlineStr">
        <is>
          <t>AreaCode</t>
        </is>
      </c>
      <c r="C12548" s="129" t="inlineStr">
        <is>
          <t>地区代码</t>
        </is>
      </c>
      <c r="D12548" s="21" t="n">
        <v>460200</v>
      </c>
      <c r="E12548" s="21" t="inlineStr">
        <is>
          <t>海南省三亚市</t>
        </is>
      </c>
      <c r="F12548" s="21" t="n"/>
    </row>
    <row r="12549">
      <c r="B12549" s="41" t="inlineStr">
        <is>
          <t>AreaCode</t>
        </is>
      </c>
      <c r="C12549" s="129" t="inlineStr">
        <is>
          <t>地区代码</t>
        </is>
      </c>
      <c r="D12549" s="21" t="n">
        <v>460201</v>
      </c>
      <c r="E12549" s="21" t="inlineStr">
        <is>
          <t>海南省三亚市市辖区</t>
        </is>
      </c>
      <c r="F12549" s="21" t="n"/>
    </row>
    <row r="12550">
      <c r="B12550" s="41" t="inlineStr">
        <is>
          <t>AreaCode</t>
        </is>
      </c>
      <c r="C12550" s="129" t="inlineStr">
        <is>
          <t>地区代码</t>
        </is>
      </c>
      <c r="D12550" s="21" t="n">
        <v>460202</v>
      </c>
      <c r="E12550" s="21" t="inlineStr">
        <is>
          <t>海南省三亚市海棠区</t>
        </is>
      </c>
      <c r="F12550" s="21" t="n"/>
    </row>
    <row r="12551">
      <c r="B12551" s="41" t="inlineStr">
        <is>
          <t>AreaCode</t>
        </is>
      </c>
      <c r="C12551" s="129" t="inlineStr">
        <is>
          <t>地区代码</t>
        </is>
      </c>
      <c r="D12551" s="21" t="n">
        <v>460203</v>
      </c>
      <c r="E12551" s="21" t="inlineStr">
        <is>
          <t>海南省三亚市吉阳区</t>
        </is>
      </c>
      <c r="F12551" s="21" t="n"/>
    </row>
    <row r="12552">
      <c r="B12552" s="41" t="inlineStr">
        <is>
          <t>AreaCode</t>
        </is>
      </c>
      <c r="C12552" s="129" t="inlineStr">
        <is>
          <t>地区代码</t>
        </is>
      </c>
      <c r="D12552" s="21" t="n">
        <v>460204</v>
      </c>
      <c r="E12552" s="21" t="inlineStr">
        <is>
          <t>海南省三亚市天涯区</t>
        </is>
      </c>
      <c r="F12552" s="21" t="n"/>
    </row>
    <row r="12553">
      <c r="B12553" s="41" t="inlineStr">
        <is>
          <t>AreaCode</t>
        </is>
      </c>
      <c r="C12553" s="129" t="inlineStr">
        <is>
          <t>地区代码</t>
        </is>
      </c>
      <c r="D12553" s="21" t="n">
        <v>460205</v>
      </c>
      <c r="E12553" s="21" t="inlineStr">
        <is>
          <t>海南省三亚市崖州区</t>
        </is>
      </c>
      <c r="F12553" s="21" t="n"/>
    </row>
    <row r="12554">
      <c r="B12554" s="41" t="inlineStr">
        <is>
          <t>AreaCode</t>
        </is>
      </c>
      <c r="C12554" s="129" t="inlineStr">
        <is>
          <t>地区代码</t>
        </is>
      </c>
      <c r="D12554" s="21" t="n">
        <v>460300</v>
      </c>
      <c r="E12554" s="21" t="inlineStr">
        <is>
          <t>海南省三沙市</t>
        </is>
      </c>
      <c r="F12554" s="21" t="n"/>
    </row>
    <row r="12555">
      <c r="B12555" s="41" t="inlineStr">
        <is>
          <t>AreaCode</t>
        </is>
      </c>
      <c r="C12555" s="129" t="inlineStr">
        <is>
          <t>地区代码</t>
        </is>
      </c>
      <c r="D12555" s="21" t="n">
        <v>469000</v>
      </c>
      <c r="E12555" s="21" t="inlineStr">
        <is>
          <t>海南省省直辖县级行政单位</t>
        </is>
      </c>
      <c r="F12555" s="21" t="n"/>
    </row>
    <row r="12556">
      <c r="B12556" s="41" t="inlineStr">
        <is>
          <t>AreaCode</t>
        </is>
      </c>
      <c r="C12556" s="129" t="inlineStr">
        <is>
          <t>地区代码</t>
        </is>
      </c>
      <c r="D12556" s="21" t="n">
        <v>469001</v>
      </c>
      <c r="E12556" s="21" t="inlineStr">
        <is>
          <t>海南省五指山市</t>
        </is>
      </c>
      <c r="F12556" s="21" t="n"/>
    </row>
    <row r="12557">
      <c r="B12557" s="41" t="inlineStr">
        <is>
          <t>AreaCode</t>
        </is>
      </c>
      <c r="C12557" s="129" t="inlineStr">
        <is>
          <t>地区代码</t>
        </is>
      </c>
      <c r="D12557" s="21" t="n">
        <v>469002</v>
      </c>
      <c r="E12557" s="21" t="inlineStr">
        <is>
          <t>海南省琼海市</t>
        </is>
      </c>
      <c r="F12557" s="21" t="n"/>
    </row>
    <row r="12558">
      <c r="B12558" s="41" t="inlineStr">
        <is>
          <t>AreaCode</t>
        </is>
      </c>
      <c r="C12558" s="129" t="inlineStr">
        <is>
          <t>地区代码</t>
        </is>
      </c>
      <c r="D12558" s="21" t="n">
        <v>469003</v>
      </c>
      <c r="E12558" s="21" t="inlineStr">
        <is>
          <t>海南省儋州市</t>
        </is>
      </c>
      <c r="F12558" s="21" t="n"/>
    </row>
    <row r="12559">
      <c r="B12559" s="41" t="inlineStr">
        <is>
          <t>AreaCode</t>
        </is>
      </c>
      <c r="C12559" s="129" t="inlineStr">
        <is>
          <t>地区代码</t>
        </is>
      </c>
      <c r="D12559" s="21" t="n">
        <v>469005</v>
      </c>
      <c r="E12559" s="21" t="inlineStr">
        <is>
          <t>海南省文昌市</t>
        </is>
      </c>
      <c r="F12559" s="21" t="n"/>
    </row>
    <row r="12560">
      <c r="B12560" s="41" t="inlineStr">
        <is>
          <t>AreaCode</t>
        </is>
      </c>
      <c r="C12560" s="129" t="inlineStr">
        <is>
          <t>地区代码</t>
        </is>
      </c>
      <c r="D12560" s="21" t="n">
        <v>469006</v>
      </c>
      <c r="E12560" s="21" t="inlineStr">
        <is>
          <t>海南省万宁市</t>
        </is>
      </c>
      <c r="F12560" s="21" t="n"/>
    </row>
    <row r="12561">
      <c r="B12561" s="41" t="inlineStr">
        <is>
          <t>AreaCode</t>
        </is>
      </c>
      <c r="C12561" s="129" t="inlineStr">
        <is>
          <t>地区代码</t>
        </is>
      </c>
      <c r="D12561" s="21" t="n">
        <v>469007</v>
      </c>
      <c r="E12561" s="21" t="inlineStr">
        <is>
          <t>海南省东方市</t>
        </is>
      </c>
      <c r="F12561" s="21" t="n"/>
    </row>
    <row r="12562">
      <c r="B12562" s="41" t="inlineStr">
        <is>
          <t>AreaCode</t>
        </is>
      </c>
      <c r="C12562" s="129" t="inlineStr">
        <is>
          <t>地区代码</t>
        </is>
      </c>
      <c r="D12562" s="21" t="n">
        <v>469021</v>
      </c>
      <c r="E12562" s="21" t="inlineStr">
        <is>
          <t>海南省定安县</t>
        </is>
      </c>
      <c r="F12562" s="21" t="n"/>
    </row>
    <row r="12563">
      <c r="B12563" s="41" t="inlineStr">
        <is>
          <t>AreaCode</t>
        </is>
      </c>
      <c r="C12563" s="129" t="inlineStr">
        <is>
          <t>地区代码</t>
        </is>
      </c>
      <c r="D12563" s="21" t="n">
        <v>469022</v>
      </c>
      <c r="E12563" s="21" t="inlineStr">
        <is>
          <t>海南省屯昌县</t>
        </is>
      </c>
      <c r="F12563" s="21" t="n"/>
    </row>
    <row r="12564">
      <c r="B12564" s="41" t="inlineStr">
        <is>
          <t>AreaCode</t>
        </is>
      </c>
      <c r="C12564" s="129" t="inlineStr">
        <is>
          <t>地区代码</t>
        </is>
      </c>
      <c r="D12564" s="21" t="n">
        <v>469023</v>
      </c>
      <c r="E12564" s="21" t="inlineStr">
        <is>
          <t>海南省澄迈县</t>
        </is>
      </c>
      <c r="F12564" s="21" t="n"/>
    </row>
    <row r="12565">
      <c r="B12565" s="41" t="inlineStr">
        <is>
          <t>AreaCode</t>
        </is>
      </c>
      <c r="C12565" s="129" t="inlineStr">
        <is>
          <t>地区代码</t>
        </is>
      </c>
      <c r="D12565" s="21" t="n">
        <v>469024</v>
      </c>
      <c r="E12565" s="21" t="inlineStr">
        <is>
          <t>海海南省临高县</t>
        </is>
      </c>
      <c r="F12565" s="21" t="n"/>
    </row>
    <row r="12566">
      <c r="B12566" s="41" t="inlineStr">
        <is>
          <t>AreaCode</t>
        </is>
      </c>
      <c r="C12566" s="129" t="inlineStr">
        <is>
          <t>地区代码</t>
        </is>
      </c>
      <c r="D12566" s="21" t="n">
        <v>469025</v>
      </c>
      <c r="E12566" s="21" t="inlineStr">
        <is>
          <t>海南省白沙黎族自治县</t>
        </is>
      </c>
      <c r="F12566" s="21" t="n"/>
    </row>
    <row r="12567">
      <c r="B12567" s="41" t="inlineStr">
        <is>
          <t>AreaCode</t>
        </is>
      </c>
      <c r="C12567" s="129" t="inlineStr">
        <is>
          <t>地区代码</t>
        </is>
      </c>
      <c r="D12567" s="21" t="n">
        <v>469026</v>
      </c>
      <c r="E12567" s="21" t="inlineStr">
        <is>
          <t>海南省昌江黎族自治县</t>
        </is>
      </c>
      <c r="F12567" s="21" t="n"/>
    </row>
    <row r="12568">
      <c r="B12568" s="41" t="inlineStr">
        <is>
          <t>AreaCode</t>
        </is>
      </c>
      <c r="C12568" s="129" t="inlineStr">
        <is>
          <t>地区代码</t>
        </is>
      </c>
      <c r="D12568" s="21" t="n">
        <v>469027</v>
      </c>
      <c r="E12568" s="21" t="inlineStr">
        <is>
          <t>海南省乐东黎族自治县</t>
        </is>
      </c>
      <c r="F12568" s="21" t="n"/>
    </row>
    <row r="12569">
      <c r="B12569" s="41" t="inlineStr">
        <is>
          <t>AreaCode</t>
        </is>
      </c>
      <c r="C12569" s="129" t="inlineStr">
        <is>
          <t>地区代码</t>
        </is>
      </c>
      <c r="D12569" s="21" t="n">
        <v>469028</v>
      </c>
      <c r="E12569" s="21" t="inlineStr">
        <is>
          <t>海南省陵水黎族自治县</t>
        </is>
      </c>
      <c r="F12569" s="21" t="n"/>
    </row>
    <row r="12570">
      <c r="B12570" s="41" t="inlineStr">
        <is>
          <t>AreaCode</t>
        </is>
      </c>
      <c r="C12570" s="129" t="inlineStr">
        <is>
          <t>地区代码</t>
        </is>
      </c>
      <c r="D12570" s="21" t="n">
        <v>469029</v>
      </c>
      <c r="E12570" s="21" t="inlineStr">
        <is>
          <t>海南省保亭黎族苗族自治县</t>
        </is>
      </c>
      <c r="F12570" s="21" t="n"/>
    </row>
    <row r="12571">
      <c r="B12571" s="41" t="inlineStr">
        <is>
          <t>AreaCode</t>
        </is>
      </c>
      <c r="C12571" s="129" t="inlineStr">
        <is>
          <t>地区代码</t>
        </is>
      </c>
      <c r="D12571" s="21" t="n">
        <v>469030</v>
      </c>
      <c r="E12571" s="21" t="inlineStr">
        <is>
          <t>海南省琼中黎族苗族自治县</t>
        </is>
      </c>
      <c r="F12571" s="21" t="n"/>
    </row>
    <row r="12572">
      <c r="B12572" s="41" t="inlineStr">
        <is>
          <t>AreaCode</t>
        </is>
      </c>
      <c r="C12572" s="129" t="inlineStr">
        <is>
          <t>地区代码</t>
        </is>
      </c>
      <c r="D12572" s="21" t="n">
        <v>500000</v>
      </c>
      <c r="E12572" s="21" t="inlineStr">
        <is>
          <t>重庆市</t>
        </is>
      </c>
      <c r="F12572" s="21" t="n"/>
    </row>
    <row r="12573">
      <c r="B12573" s="41" t="inlineStr">
        <is>
          <t>AreaCode</t>
        </is>
      </c>
      <c r="C12573" s="129" t="inlineStr">
        <is>
          <t>地区代码</t>
        </is>
      </c>
      <c r="D12573" s="21" t="n">
        <v>500100</v>
      </c>
      <c r="E12573" s="21" t="inlineStr">
        <is>
          <t>重庆市市辖区</t>
        </is>
      </c>
      <c r="F12573" s="21" t="n"/>
    </row>
    <row r="12574">
      <c r="B12574" s="41" t="inlineStr">
        <is>
          <t>AreaCode</t>
        </is>
      </c>
      <c r="C12574" s="129" t="inlineStr">
        <is>
          <t>地区代码</t>
        </is>
      </c>
      <c r="D12574" s="21" t="n">
        <v>500101</v>
      </c>
      <c r="E12574" s="21" t="inlineStr">
        <is>
          <t>重庆市万州区</t>
        </is>
      </c>
      <c r="F12574" s="21" t="n"/>
    </row>
    <row r="12575">
      <c r="B12575" s="41" t="inlineStr">
        <is>
          <t>AreaCode</t>
        </is>
      </c>
      <c r="C12575" s="129" t="inlineStr">
        <is>
          <t>地区代码</t>
        </is>
      </c>
      <c r="D12575" s="21" t="n">
        <v>500102</v>
      </c>
      <c r="E12575" s="21" t="inlineStr">
        <is>
          <t>重庆市涪陵区</t>
        </is>
      </c>
      <c r="F12575" s="21" t="n"/>
    </row>
    <row r="12576">
      <c r="B12576" s="41" t="inlineStr">
        <is>
          <t>AreaCode</t>
        </is>
      </c>
      <c r="C12576" s="129" t="inlineStr">
        <is>
          <t>地区代码</t>
        </is>
      </c>
      <c r="D12576" s="21" t="n">
        <v>500103</v>
      </c>
      <c r="E12576" s="21" t="inlineStr">
        <is>
          <t>重庆市渝中区</t>
        </is>
      </c>
      <c r="F12576" s="21" t="n"/>
    </row>
    <row r="12577">
      <c r="B12577" s="41" t="inlineStr">
        <is>
          <t>AreaCode</t>
        </is>
      </c>
      <c r="C12577" s="129" t="inlineStr">
        <is>
          <t>地区代码</t>
        </is>
      </c>
      <c r="D12577" s="21" t="n">
        <v>500104</v>
      </c>
      <c r="E12577" s="21" t="inlineStr">
        <is>
          <t>重庆市大渡口区</t>
        </is>
      </c>
      <c r="F12577" s="21" t="n"/>
    </row>
    <row r="12578">
      <c r="B12578" s="41" t="inlineStr">
        <is>
          <t>AreaCode</t>
        </is>
      </c>
      <c r="C12578" s="129" t="inlineStr">
        <is>
          <t>地区代码</t>
        </is>
      </c>
      <c r="D12578" s="21" t="n">
        <v>500105</v>
      </c>
      <c r="E12578" s="21" t="inlineStr">
        <is>
          <t>重庆市江北区</t>
        </is>
      </c>
      <c r="F12578" s="21" t="n"/>
    </row>
    <row r="12579">
      <c r="B12579" s="41" t="inlineStr">
        <is>
          <t>AreaCode</t>
        </is>
      </c>
      <c r="C12579" s="129" t="inlineStr">
        <is>
          <t>地区代码</t>
        </is>
      </c>
      <c r="D12579" s="21" t="n">
        <v>500106</v>
      </c>
      <c r="E12579" s="21" t="inlineStr">
        <is>
          <t>重庆市沙坪坝区</t>
        </is>
      </c>
      <c r="F12579" s="21" t="n"/>
    </row>
    <row r="12580">
      <c r="B12580" s="41" t="inlineStr">
        <is>
          <t>AreaCode</t>
        </is>
      </c>
      <c r="C12580" s="129" t="inlineStr">
        <is>
          <t>地区代码</t>
        </is>
      </c>
      <c r="D12580" s="21" t="n">
        <v>500107</v>
      </c>
      <c r="E12580" s="21" t="inlineStr">
        <is>
          <t>重庆市九龙坡区</t>
        </is>
      </c>
      <c r="F12580" s="21" t="n"/>
    </row>
    <row r="12581">
      <c r="B12581" s="41" t="inlineStr">
        <is>
          <t>AreaCode</t>
        </is>
      </c>
      <c r="C12581" s="129" t="inlineStr">
        <is>
          <t>地区代码</t>
        </is>
      </c>
      <c r="D12581" s="21" t="n">
        <v>500108</v>
      </c>
      <c r="E12581" s="21" t="inlineStr">
        <is>
          <t>重庆市南岸区</t>
        </is>
      </c>
      <c r="F12581" s="21" t="n"/>
    </row>
    <row r="12582">
      <c r="B12582" s="41" t="inlineStr">
        <is>
          <t>AreaCode</t>
        </is>
      </c>
      <c r="C12582" s="129" t="inlineStr">
        <is>
          <t>地区代码</t>
        </is>
      </c>
      <c r="D12582" s="21" t="n">
        <v>500109</v>
      </c>
      <c r="E12582" s="21" t="inlineStr">
        <is>
          <t>重庆市北碚区</t>
        </is>
      </c>
      <c r="F12582" s="21" t="n"/>
    </row>
    <row r="12583">
      <c r="B12583" s="41" t="inlineStr">
        <is>
          <t>AreaCode</t>
        </is>
      </c>
      <c r="C12583" s="129" t="inlineStr">
        <is>
          <t>地区代码</t>
        </is>
      </c>
      <c r="D12583" s="21" t="n">
        <v>500110</v>
      </c>
      <c r="E12583" s="21" t="inlineStr">
        <is>
          <t>重庆市綦江区</t>
        </is>
      </c>
      <c r="F12583" s="21" t="n"/>
    </row>
    <row r="12584">
      <c r="B12584" s="41" t="inlineStr">
        <is>
          <t>AreaCode</t>
        </is>
      </c>
      <c r="C12584" s="129" t="inlineStr">
        <is>
          <t>地区代码</t>
        </is>
      </c>
      <c r="D12584" s="21" t="n">
        <v>500111</v>
      </c>
      <c r="E12584" s="21" t="inlineStr">
        <is>
          <t>重庆市大足区</t>
        </is>
      </c>
      <c r="F12584" s="21" t="n"/>
    </row>
    <row r="12585">
      <c r="B12585" s="41" t="inlineStr">
        <is>
          <t>AreaCode</t>
        </is>
      </c>
      <c r="C12585" s="129" t="inlineStr">
        <is>
          <t>地区代码</t>
        </is>
      </c>
      <c r="D12585" s="21" t="n">
        <v>500112</v>
      </c>
      <c r="E12585" s="21" t="inlineStr">
        <is>
          <t>重庆市渝北区</t>
        </is>
      </c>
      <c r="F12585" s="21" t="n"/>
    </row>
    <row r="12586">
      <c r="B12586" s="41" t="inlineStr">
        <is>
          <t>AreaCode</t>
        </is>
      </c>
      <c r="C12586" s="129" t="inlineStr">
        <is>
          <t>地区代码</t>
        </is>
      </c>
      <c r="D12586" s="21" t="n">
        <v>500113</v>
      </c>
      <c r="E12586" s="21" t="inlineStr">
        <is>
          <t>重庆市巴南区</t>
        </is>
      </c>
      <c r="F12586" s="21" t="n"/>
    </row>
    <row r="12587">
      <c r="B12587" s="41" t="inlineStr">
        <is>
          <t>AreaCode</t>
        </is>
      </c>
      <c r="C12587" s="129" t="inlineStr">
        <is>
          <t>地区代码</t>
        </is>
      </c>
      <c r="D12587" s="21" t="n">
        <v>500114</v>
      </c>
      <c r="E12587" s="21" t="inlineStr">
        <is>
          <t>重庆市黔江区</t>
        </is>
      </c>
      <c r="F12587" s="21" t="n"/>
    </row>
    <row r="12588">
      <c r="B12588" s="41" t="inlineStr">
        <is>
          <t>AreaCode</t>
        </is>
      </c>
      <c r="C12588" s="129" t="inlineStr">
        <is>
          <t>地区代码</t>
        </is>
      </c>
      <c r="D12588" s="21" t="n">
        <v>500115</v>
      </c>
      <c r="E12588" s="21" t="inlineStr">
        <is>
          <t>重庆市长寿区</t>
        </is>
      </c>
      <c r="F12588" s="21" t="n"/>
    </row>
    <row r="12589">
      <c r="B12589" s="41" t="inlineStr">
        <is>
          <t>AreaCode</t>
        </is>
      </c>
      <c r="C12589" s="129" t="inlineStr">
        <is>
          <t>地区代码</t>
        </is>
      </c>
      <c r="D12589" s="21" t="n">
        <v>500116</v>
      </c>
      <c r="E12589" s="21" t="inlineStr">
        <is>
          <t>重庆市江津区</t>
        </is>
      </c>
      <c r="F12589" s="21" t="n"/>
    </row>
    <row r="12590">
      <c r="B12590" s="41" t="inlineStr">
        <is>
          <t>AreaCode</t>
        </is>
      </c>
      <c r="C12590" s="129" t="inlineStr">
        <is>
          <t>地区代码</t>
        </is>
      </c>
      <c r="D12590" s="21" t="n">
        <v>500117</v>
      </c>
      <c r="E12590" s="21" t="inlineStr">
        <is>
          <t>重庆市合川区</t>
        </is>
      </c>
      <c r="F12590" s="21" t="n"/>
    </row>
    <row r="12591">
      <c r="B12591" s="41" t="inlineStr">
        <is>
          <t>AreaCode</t>
        </is>
      </c>
      <c r="C12591" s="129" t="inlineStr">
        <is>
          <t>地区代码</t>
        </is>
      </c>
      <c r="D12591" s="21" t="n">
        <v>500118</v>
      </c>
      <c r="E12591" s="21" t="inlineStr">
        <is>
          <t>重庆市永川区</t>
        </is>
      </c>
      <c r="F12591" s="21" t="n"/>
    </row>
    <row r="12592">
      <c r="B12592" s="41" t="inlineStr">
        <is>
          <t>AreaCode</t>
        </is>
      </c>
      <c r="C12592" s="129" t="inlineStr">
        <is>
          <t>地区代码</t>
        </is>
      </c>
      <c r="D12592" s="21" t="n">
        <v>500119</v>
      </c>
      <c r="E12592" s="21" t="inlineStr">
        <is>
          <t>重庆市南川区</t>
        </is>
      </c>
      <c r="F12592" s="21" t="n"/>
    </row>
    <row r="12593">
      <c r="B12593" s="41" t="inlineStr">
        <is>
          <t>AreaCode</t>
        </is>
      </c>
      <c r="C12593" s="129" t="inlineStr">
        <is>
          <t>地区代码</t>
        </is>
      </c>
      <c r="D12593" s="21" t="n">
        <v>500120</v>
      </c>
      <c r="E12593" s="21" t="inlineStr">
        <is>
          <t>重庆市璧山区</t>
        </is>
      </c>
      <c r="F12593" s="21" t="n"/>
    </row>
    <row r="12594">
      <c r="B12594" s="41" t="inlineStr">
        <is>
          <t>AreaCode</t>
        </is>
      </c>
      <c r="C12594" s="129" t="inlineStr">
        <is>
          <t>地区代码</t>
        </is>
      </c>
      <c r="D12594" s="21" t="n">
        <v>500151</v>
      </c>
      <c r="E12594" s="21" t="inlineStr">
        <is>
          <t>重庆市铜梁区</t>
        </is>
      </c>
      <c r="F12594" s="21" t="n"/>
    </row>
    <row r="12595">
      <c r="B12595" s="41" t="inlineStr">
        <is>
          <t>AreaCode</t>
        </is>
      </c>
      <c r="C12595" s="129" t="inlineStr">
        <is>
          <t>地区代码</t>
        </is>
      </c>
      <c r="D12595" s="21" t="n">
        <v>500200</v>
      </c>
      <c r="E12595" s="21" t="inlineStr">
        <is>
          <t>重庆市县</t>
        </is>
      </c>
      <c r="F12595" s="21" t="n"/>
    </row>
    <row r="12596">
      <c r="B12596" s="41" t="inlineStr">
        <is>
          <t>AreaCode</t>
        </is>
      </c>
      <c r="C12596" s="129" t="inlineStr">
        <is>
          <t>地区代码</t>
        </is>
      </c>
      <c r="D12596" s="21" t="n">
        <v>500223</v>
      </c>
      <c r="E12596" s="21" t="inlineStr">
        <is>
          <t>重庆市潼南县</t>
        </is>
      </c>
      <c r="F12596" s="21" t="n"/>
    </row>
    <row r="12597">
      <c r="B12597" s="41" t="inlineStr">
        <is>
          <t>AreaCode</t>
        </is>
      </c>
      <c r="C12597" s="129" t="inlineStr">
        <is>
          <t>地区代码</t>
        </is>
      </c>
      <c r="D12597" s="21" t="n">
        <v>500226</v>
      </c>
      <c r="E12597" s="21" t="inlineStr">
        <is>
          <t>重庆市荣昌县</t>
        </is>
      </c>
      <c r="F12597" s="21" t="n"/>
    </row>
    <row r="12598">
      <c r="B12598" s="41" t="inlineStr">
        <is>
          <t>AreaCode</t>
        </is>
      </c>
      <c r="C12598" s="129" t="inlineStr">
        <is>
          <t>地区代码</t>
        </is>
      </c>
      <c r="D12598" s="21" t="n">
        <v>500228</v>
      </c>
      <c r="E12598" s="21" t="inlineStr">
        <is>
          <t>重庆市梁平县</t>
        </is>
      </c>
      <c r="F12598" s="21" t="n"/>
    </row>
    <row r="12599">
      <c r="B12599" s="41" t="inlineStr">
        <is>
          <t>AreaCode</t>
        </is>
      </c>
      <c r="C12599" s="129" t="inlineStr">
        <is>
          <t>地区代码</t>
        </is>
      </c>
      <c r="D12599" s="21" t="n">
        <v>500229</v>
      </c>
      <c r="E12599" s="21" t="inlineStr">
        <is>
          <t>重庆市城口县</t>
        </is>
      </c>
      <c r="F12599" s="21" t="n"/>
    </row>
    <row r="12600">
      <c r="B12600" s="41" t="inlineStr">
        <is>
          <t>AreaCode</t>
        </is>
      </c>
      <c r="C12600" s="129" t="inlineStr">
        <is>
          <t>地区代码</t>
        </is>
      </c>
      <c r="D12600" s="21" t="n">
        <v>500230</v>
      </c>
      <c r="E12600" s="21" t="inlineStr">
        <is>
          <t>重庆市丰都县</t>
        </is>
      </c>
      <c r="F12600" s="21" t="n"/>
    </row>
    <row r="12601">
      <c r="B12601" s="41" t="inlineStr">
        <is>
          <t>AreaCode</t>
        </is>
      </c>
      <c r="C12601" s="129" t="inlineStr">
        <is>
          <t>地区代码</t>
        </is>
      </c>
      <c r="D12601" s="21" t="n">
        <v>500231</v>
      </c>
      <c r="E12601" s="21" t="inlineStr">
        <is>
          <t>重庆市垫江县</t>
        </is>
      </c>
      <c r="F12601" s="21" t="n"/>
    </row>
    <row r="12602">
      <c r="B12602" s="41" t="inlineStr">
        <is>
          <t>AreaCode</t>
        </is>
      </c>
      <c r="C12602" s="129" t="inlineStr">
        <is>
          <t>地区代码</t>
        </is>
      </c>
      <c r="D12602" s="21" t="n">
        <v>500232</v>
      </c>
      <c r="E12602" s="21" t="inlineStr">
        <is>
          <t>重庆市武隆县</t>
        </is>
      </c>
      <c r="F12602" s="21" t="n"/>
    </row>
    <row r="12603">
      <c r="B12603" s="41" t="inlineStr">
        <is>
          <t>AreaCode</t>
        </is>
      </c>
      <c r="C12603" s="129" t="inlineStr">
        <is>
          <t>地区代码</t>
        </is>
      </c>
      <c r="D12603" s="21" t="n">
        <v>500233</v>
      </c>
      <c r="E12603" s="21" t="inlineStr">
        <is>
          <t>重庆市忠县</t>
        </is>
      </c>
      <c r="F12603" s="21" t="n"/>
    </row>
    <row r="12604">
      <c r="B12604" s="41" t="inlineStr">
        <is>
          <t>AreaCode</t>
        </is>
      </c>
      <c r="C12604" s="129" t="inlineStr">
        <is>
          <t>地区代码</t>
        </is>
      </c>
      <c r="D12604" s="21" t="n">
        <v>500234</v>
      </c>
      <c r="E12604" s="21" t="inlineStr">
        <is>
          <t>重庆市开县</t>
        </is>
      </c>
      <c r="F12604" s="21" t="n"/>
    </row>
    <row r="12605">
      <c r="B12605" s="41" t="inlineStr">
        <is>
          <t>AreaCode</t>
        </is>
      </c>
      <c r="C12605" s="129" t="inlineStr">
        <is>
          <t>地区代码</t>
        </is>
      </c>
      <c r="D12605" s="21" t="n">
        <v>500235</v>
      </c>
      <c r="E12605" s="21" t="inlineStr">
        <is>
          <t>重庆市云阳县</t>
        </is>
      </c>
      <c r="F12605" s="21" t="n"/>
    </row>
    <row r="12606">
      <c r="B12606" s="41" t="inlineStr">
        <is>
          <t>AreaCode</t>
        </is>
      </c>
      <c r="C12606" s="129" t="inlineStr">
        <is>
          <t>地区代码</t>
        </is>
      </c>
      <c r="D12606" s="21" t="n">
        <v>500236</v>
      </c>
      <c r="E12606" s="21" t="inlineStr">
        <is>
          <t>重庆市奉节县</t>
        </is>
      </c>
      <c r="F12606" s="21" t="n"/>
    </row>
    <row r="12607">
      <c r="B12607" s="41" t="inlineStr">
        <is>
          <t>AreaCode</t>
        </is>
      </c>
      <c r="C12607" s="129" t="inlineStr">
        <is>
          <t>地区代码</t>
        </is>
      </c>
      <c r="D12607" s="21" t="n">
        <v>500237</v>
      </c>
      <c r="E12607" s="21" t="inlineStr">
        <is>
          <t>重庆市巫山县</t>
        </is>
      </c>
      <c r="F12607" s="21" t="n"/>
    </row>
    <row r="12608">
      <c r="B12608" s="41" t="inlineStr">
        <is>
          <t>AreaCode</t>
        </is>
      </c>
      <c r="C12608" s="129" t="inlineStr">
        <is>
          <t>地区代码</t>
        </is>
      </c>
      <c r="D12608" s="21" t="n">
        <v>500238</v>
      </c>
      <c r="E12608" s="21" t="inlineStr">
        <is>
          <t>重庆市巫溪县</t>
        </is>
      </c>
      <c r="F12608" s="21" t="n"/>
    </row>
    <row r="12609">
      <c r="B12609" s="41" t="inlineStr">
        <is>
          <t>AreaCode</t>
        </is>
      </c>
      <c r="C12609" s="129" t="inlineStr">
        <is>
          <t>地区代码</t>
        </is>
      </c>
      <c r="D12609" s="21" t="n">
        <v>500240</v>
      </c>
      <c r="E12609" s="21" t="inlineStr">
        <is>
          <t>重庆市石柱土家族自治县</t>
        </is>
      </c>
      <c r="F12609" s="21" t="n"/>
    </row>
    <row r="12610">
      <c r="B12610" s="41" t="inlineStr">
        <is>
          <t>AreaCode</t>
        </is>
      </c>
      <c r="C12610" s="129" t="inlineStr">
        <is>
          <t>地区代码</t>
        </is>
      </c>
      <c r="D12610" s="21" t="n">
        <v>500241</v>
      </c>
      <c r="E12610" s="21" t="inlineStr">
        <is>
          <t>重庆市秀山土家族苗族自治县</t>
        </is>
      </c>
      <c r="F12610" s="21" t="n"/>
    </row>
    <row r="12611">
      <c r="B12611" s="41" t="inlineStr">
        <is>
          <t>AreaCode</t>
        </is>
      </c>
      <c r="C12611" s="129" t="inlineStr">
        <is>
          <t>地区代码</t>
        </is>
      </c>
      <c r="D12611" s="21" t="n">
        <v>500242</v>
      </c>
      <c r="E12611" s="21" t="inlineStr">
        <is>
          <t>重庆市酉阳土家族苗族自治县</t>
        </is>
      </c>
      <c r="F12611" s="21" t="n"/>
    </row>
    <row r="12612">
      <c r="B12612" s="41" t="inlineStr">
        <is>
          <t>AreaCode</t>
        </is>
      </c>
      <c r="C12612" s="129" t="inlineStr">
        <is>
          <t>地区代码</t>
        </is>
      </c>
      <c r="D12612" s="21" t="n">
        <v>500243</v>
      </c>
      <c r="E12612" s="21" t="inlineStr">
        <is>
          <t>重庆市彭水苗族土家族自治县</t>
        </is>
      </c>
      <c r="F12612" s="21" t="n"/>
    </row>
    <row r="12613">
      <c r="B12613" s="41" t="inlineStr">
        <is>
          <t>AreaCode</t>
        </is>
      </c>
      <c r="C12613" s="129" t="inlineStr">
        <is>
          <t>地区代码</t>
        </is>
      </c>
      <c r="D12613" s="21" t="n">
        <v>510000</v>
      </c>
      <c r="E12613" s="21" t="inlineStr">
        <is>
          <t>四川省</t>
        </is>
      </c>
      <c r="F12613" s="21" t="n"/>
    </row>
    <row r="12614">
      <c r="B12614" s="41" t="inlineStr">
        <is>
          <t>AreaCode</t>
        </is>
      </c>
      <c r="C12614" s="129" t="inlineStr">
        <is>
          <t>地区代码</t>
        </is>
      </c>
      <c r="D12614" s="21" t="n">
        <v>510100</v>
      </c>
      <c r="E12614" s="21" t="inlineStr">
        <is>
          <t>四川省成都市</t>
        </is>
      </c>
      <c r="F12614" s="21" t="n"/>
    </row>
    <row r="12615">
      <c r="B12615" s="41" t="inlineStr">
        <is>
          <t>AreaCode</t>
        </is>
      </c>
      <c r="C12615" s="129" t="inlineStr">
        <is>
          <t>地区代码</t>
        </is>
      </c>
      <c r="D12615" s="21" t="n">
        <v>510101</v>
      </c>
      <c r="E12615" s="21" t="inlineStr">
        <is>
          <t>四川省成都市市辖区</t>
        </is>
      </c>
      <c r="F12615" s="21" t="n"/>
    </row>
    <row r="12616">
      <c r="B12616" s="41" t="inlineStr">
        <is>
          <t>AreaCode</t>
        </is>
      </c>
      <c r="C12616" s="129" t="inlineStr">
        <is>
          <t>地区代码</t>
        </is>
      </c>
      <c r="D12616" s="21" t="n">
        <v>510104</v>
      </c>
      <c r="E12616" s="21" t="inlineStr">
        <is>
          <t>四川省成都市锦江区</t>
        </is>
      </c>
      <c r="F12616" s="21" t="n"/>
    </row>
    <row r="12617">
      <c r="B12617" s="41" t="inlineStr">
        <is>
          <t>AreaCode</t>
        </is>
      </c>
      <c r="C12617" s="129" t="inlineStr">
        <is>
          <t>地区代码</t>
        </is>
      </c>
      <c r="D12617" s="21" t="n">
        <v>510105</v>
      </c>
      <c r="E12617" s="21" t="inlineStr">
        <is>
          <t>四川省成都市青羊区</t>
        </is>
      </c>
      <c r="F12617" s="21" t="n"/>
    </row>
    <row r="12618">
      <c r="B12618" s="41" t="inlineStr">
        <is>
          <t>AreaCode</t>
        </is>
      </c>
      <c r="C12618" s="129" t="inlineStr">
        <is>
          <t>地区代码</t>
        </is>
      </c>
      <c r="D12618" s="21" t="n">
        <v>510106</v>
      </c>
      <c r="E12618" s="21" t="inlineStr">
        <is>
          <t>四川省成都市金牛区</t>
        </is>
      </c>
      <c r="F12618" s="21" t="n"/>
    </row>
    <row r="12619">
      <c r="B12619" s="41" t="inlineStr">
        <is>
          <t>AreaCode</t>
        </is>
      </c>
      <c r="C12619" s="129" t="inlineStr">
        <is>
          <t>地区代码</t>
        </is>
      </c>
      <c r="D12619" s="21" t="n">
        <v>510107</v>
      </c>
      <c r="E12619" s="21" t="inlineStr">
        <is>
          <t>四川省成都市武侯区</t>
        </is>
      </c>
      <c r="F12619" s="21" t="n"/>
    </row>
    <row r="12620">
      <c r="B12620" s="41" t="inlineStr">
        <is>
          <t>AreaCode</t>
        </is>
      </c>
      <c r="C12620" s="129" t="inlineStr">
        <is>
          <t>地区代码</t>
        </is>
      </c>
      <c r="D12620" s="21" t="n">
        <v>510108</v>
      </c>
      <c r="E12620" s="21" t="inlineStr">
        <is>
          <t>四川省成都市成华区</t>
        </is>
      </c>
      <c r="F12620" s="21" t="n"/>
    </row>
    <row r="12621">
      <c r="B12621" s="41" t="inlineStr">
        <is>
          <t>AreaCode</t>
        </is>
      </c>
      <c r="C12621" s="129" t="inlineStr">
        <is>
          <t>地区代码</t>
        </is>
      </c>
      <c r="D12621" s="21" t="n">
        <v>510112</v>
      </c>
      <c r="E12621" s="21" t="inlineStr">
        <is>
          <t>四川省成都市龙泉驿区</t>
        </is>
      </c>
      <c r="F12621" s="21" t="n"/>
    </row>
    <row r="12622">
      <c r="B12622" s="41" t="inlineStr">
        <is>
          <t>AreaCode</t>
        </is>
      </c>
      <c r="C12622" s="129" t="inlineStr">
        <is>
          <t>地区代码</t>
        </is>
      </c>
      <c r="D12622" s="21" t="n">
        <v>510113</v>
      </c>
      <c r="E12622" s="21" t="inlineStr">
        <is>
          <t>四川省成都市青白江区</t>
        </is>
      </c>
      <c r="F12622" s="21" t="n"/>
    </row>
    <row r="12623">
      <c r="B12623" s="41" t="inlineStr">
        <is>
          <t>AreaCode</t>
        </is>
      </c>
      <c r="C12623" s="129" t="inlineStr">
        <is>
          <t>地区代码</t>
        </is>
      </c>
      <c r="D12623" s="21" t="n">
        <v>510114</v>
      </c>
      <c r="E12623" s="21" t="inlineStr">
        <is>
          <t>四川省成都市新都区</t>
        </is>
      </c>
      <c r="F12623" s="21" t="n"/>
    </row>
    <row r="12624">
      <c r="B12624" s="41" t="inlineStr">
        <is>
          <t>AreaCode</t>
        </is>
      </c>
      <c r="C12624" s="129" t="inlineStr">
        <is>
          <t>地区代码</t>
        </is>
      </c>
      <c r="D12624" s="21" t="n">
        <v>510115</v>
      </c>
      <c r="E12624" s="21" t="inlineStr">
        <is>
          <t>四川省成都市温江区</t>
        </is>
      </c>
      <c r="F12624" s="21" t="n"/>
    </row>
    <row r="12625">
      <c r="B12625" s="41" t="inlineStr">
        <is>
          <t>AreaCode</t>
        </is>
      </c>
      <c r="C12625" s="129" t="inlineStr">
        <is>
          <t>地区代码</t>
        </is>
      </c>
      <c r="D12625" s="21" t="n">
        <v>510121</v>
      </c>
      <c r="E12625" s="21" t="inlineStr">
        <is>
          <t>四川省成都市金堂县</t>
        </is>
      </c>
      <c r="F12625" s="21" t="n"/>
    </row>
    <row r="12626">
      <c r="B12626" s="41" t="inlineStr">
        <is>
          <t>AreaCode</t>
        </is>
      </c>
      <c r="C12626" s="129" t="inlineStr">
        <is>
          <t>地区代码</t>
        </is>
      </c>
      <c r="D12626" s="21" t="n">
        <v>510122</v>
      </c>
      <c r="E12626" s="21" t="inlineStr">
        <is>
          <t>四川省成都市双流县</t>
        </is>
      </c>
      <c r="F12626" s="21" t="n"/>
    </row>
    <row r="12627">
      <c r="B12627" s="41" t="inlineStr">
        <is>
          <t>AreaCode</t>
        </is>
      </c>
      <c r="C12627" s="129" t="inlineStr">
        <is>
          <t>地区代码</t>
        </is>
      </c>
      <c r="D12627" s="21" t="n">
        <v>510124</v>
      </c>
      <c r="E12627" s="21" t="inlineStr">
        <is>
          <t>四川省成都市郫县</t>
        </is>
      </c>
      <c r="F12627" s="21" t="n"/>
    </row>
    <row r="12628">
      <c r="B12628" s="41" t="inlineStr">
        <is>
          <t>AreaCode</t>
        </is>
      </c>
      <c r="C12628" s="129" t="inlineStr">
        <is>
          <t>地区代码</t>
        </is>
      </c>
      <c r="D12628" s="21" t="n">
        <v>510129</v>
      </c>
      <c r="E12628" s="21" t="inlineStr">
        <is>
          <t>四川省成都市大邑县</t>
        </is>
      </c>
      <c r="F12628" s="21" t="n"/>
    </row>
    <row r="12629">
      <c r="B12629" s="41" t="inlineStr">
        <is>
          <t>AreaCode</t>
        </is>
      </c>
      <c r="C12629" s="129" t="inlineStr">
        <is>
          <t>地区代码</t>
        </is>
      </c>
      <c r="D12629" s="21" t="n">
        <v>510131</v>
      </c>
      <c r="E12629" s="21" t="inlineStr">
        <is>
          <t>四川省成都市蒲江县</t>
        </is>
      </c>
      <c r="F12629" s="21" t="n"/>
    </row>
    <row r="12630">
      <c r="B12630" s="41" t="inlineStr">
        <is>
          <t>AreaCode</t>
        </is>
      </c>
      <c r="C12630" s="129" t="inlineStr">
        <is>
          <t>地区代码</t>
        </is>
      </c>
      <c r="D12630" s="21" t="n">
        <v>510132</v>
      </c>
      <c r="E12630" s="21" t="inlineStr">
        <is>
          <t>四川省成都市新津县</t>
        </is>
      </c>
      <c r="F12630" s="21" t="n"/>
    </row>
    <row r="12631">
      <c r="B12631" s="41" t="inlineStr">
        <is>
          <t>AreaCode</t>
        </is>
      </c>
      <c r="C12631" s="129" t="inlineStr">
        <is>
          <t>地区代码</t>
        </is>
      </c>
      <c r="D12631" s="21" t="n">
        <v>510181</v>
      </c>
      <c r="E12631" s="21" t="inlineStr">
        <is>
          <t>四川省成都市都江堰市</t>
        </is>
      </c>
      <c r="F12631" s="21" t="n"/>
    </row>
    <row r="12632">
      <c r="B12632" s="41" t="inlineStr">
        <is>
          <t>AreaCode</t>
        </is>
      </c>
      <c r="C12632" s="129" t="inlineStr">
        <is>
          <t>地区代码</t>
        </is>
      </c>
      <c r="D12632" s="21" t="n">
        <v>510182</v>
      </c>
      <c r="E12632" s="21" t="inlineStr">
        <is>
          <t>四川省成都市彭州市</t>
        </is>
      </c>
      <c r="F12632" s="21" t="n"/>
    </row>
    <row r="12633">
      <c r="B12633" s="41" t="inlineStr">
        <is>
          <t>AreaCode</t>
        </is>
      </c>
      <c r="C12633" s="129" t="inlineStr">
        <is>
          <t>地区代码</t>
        </is>
      </c>
      <c r="D12633" s="21" t="n">
        <v>510183</v>
      </c>
      <c r="E12633" s="21" t="inlineStr">
        <is>
          <t>四川省成都市邛崃市</t>
        </is>
      </c>
      <c r="F12633" s="21" t="n"/>
    </row>
    <row r="12634">
      <c r="B12634" s="41" t="inlineStr">
        <is>
          <t>AreaCode</t>
        </is>
      </c>
      <c r="C12634" s="129" t="inlineStr">
        <is>
          <t>地区代码</t>
        </is>
      </c>
      <c r="D12634" s="21" t="n">
        <v>510184</v>
      </c>
      <c r="E12634" s="21" t="inlineStr">
        <is>
          <t>四川省成都市崇州市</t>
        </is>
      </c>
      <c r="F12634" s="21" t="n"/>
    </row>
    <row r="12635">
      <c r="B12635" s="41" t="inlineStr">
        <is>
          <t>AreaCode</t>
        </is>
      </c>
      <c r="C12635" s="129" t="inlineStr">
        <is>
          <t>地区代码</t>
        </is>
      </c>
      <c r="D12635" s="21" t="n">
        <v>510300</v>
      </c>
      <c r="E12635" s="21" t="inlineStr">
        <is>
          <t>四川省自贡市</t>
        </is>
      </c>
      <c r="F12635" s="21" t="n"/>
    </row>
    <row r="12636">
      <c r="B12636" s="41" t="inlineStr">
        <is>
          <t>AreaCode</t>
        </is>
      </c>
      <c r="C12636" s="129" t="inlineStr">
        <is>
          <t>地区代码</t>
        </is>
      </c>
      <c r="D12636" s="21" t="n">
        <v>510301</v>
      </c>
      <c r="E12636" s="21" t="inlineStr">
        <is>
          <t>四川省自贡市市辖区</t>
        </is>
      </c>
      <c r="F12636" s="21" t="n"/>
    </row>
    <row r="12637">
      <c r="B12637" s="41" t="inlineStr">
        <is>
          <t>AreaCode</t>
        </is>
      </c>
      <c r="C12637" s="129" t="inlineStr">
        <is>
          <t>地区代码</t>
        </is>
      </c>
      <c r="D12637" s="21" t="n">
        <v>510302</v>
      </c>
      <c r="E12637" s="21" t="inlineStr">
        <is>
          <t>四川省自贡市自流井区</t>
        </is>
      </c>
      <c r="F12637" s="21" t="n"/>
    </row>
    <row r="12638">
      <c r="B12638" s="41" t="inlineStr">
        <is>
          <t>AreaCode</t>
        </is>
      </c>
      <c r="C12638" s="129" t="inlineStr">
        <is>
          <t>地区代码</t>
        </is>
      </c>
      <c r="D12638" s="21" t="n">
        <v>510303</v>
      </c>
      <c r="E12638" s="21" t="inlineStr">
        <is>
          <t>四川省自贡市贡井区</t>
        </is>
      </c>
      <c r="F12638" s="21" t="n"/>
    </row>
    <row r="12639">
      <c r="B12639" s="41" t="inlineStr">
        <is>
          <t>AreaCode</t>
        </is>
      </c>
      <c r="C12639" s="129" t="inlineStr">
        <is>
          <t>地区代码</t>
        </is>
      </c>
      <c r="D12639" s="21" t="n">
        <v>510304</v>
      </c>
      <c r="E12639" s="21" t="inlineStr">
        <is>
          <t>四川省自贡市大安区</t>
        </is>
      </c>
      <c r="F12639" s="21" t="n"/>
    </row>
    <row r="12640">
      <c r="B12640" s="41" t="inlineStr">
        <is>
          <t>AreaCode</t>
        </is>
      </c>
      <c r="C12640" s="129" t="inlineStr">
        <is>
          <t>地区代码</t>
        </is>
      </c>
      <c r="D12640" s="21" t="n">
        <v>510311</v>
      </c>
      <c r="E12640" s="21" t="inlineStr">
        <is>
          <t>四川省自贡市沿滩区</t>
        </is>
      </c>
      <c r="F12640" s="21" t="n"/>
    </row>
    <row r="12641">
      <c r="B12641" s="41" t="inlineStr">
        <is>
          <t>AreaCode</t>
        </is>
      </c>
      <c r="C12641" s="129" t="inlineStr">
        <is>
          <t>地区代码</t>
        </is>
      </c>
      <c r="D12641" s="21" t="n">
        <v>510321</v>
      </c>
      <c r="E12641" s="21" t="inlineStr">
        <is>
          <t>四川省自贡市荣县</t>
        </is>
      </c>
      <c r="F12641" s="21" t="n"/>
    </row>
    <row r="12642">
      <c r="B12642" s="41" t="inlineStr">
        <is>
          <t>AreaCode</t>
        </is>
      </c>
      <c r="C12642" s="129" t="inlineStr">
        <is>
          <t>地区代码</t>
        </is>
      </c>
      <c r="D12642" s="21" t="n">
        <v>510322</v>
      </c>
      <c r="E12642" s="21" t="inlineStr">
        <is>
          <t>四川省自贡市富顺县</t>
        </is>
      </c>
      <c r="F12642" s="21" t="n"/>
    </row>
    <row r="12643">
      <c r="B12643" s="41" t="inlineStr">
        <is>
          <t>AreaCode</t>
        </is>
      </c>
      <c r="C12643" s="129" t="inlineStr">
        <is>
          <t>地区代码</t>
        </is>
      </c>
      <c r="D12643" s="21" t="n">
        <v>510400</v>
      </c>
      <c r="E12643" s="21" t="inlineStr">
        <is>
          <t>四川省攀枝花市</t>
        </is>
      </c>
      <c r="F12643" s="21" t="n"/>
    </row>
    <row r="12644">
      <c r="B12644" s="41" t="inlineStr">
        <is>
          <t>AreaCode</t>
        </is>
      </c>
      <c r="C12644" s="129" t="inlineStr">
        <is>
          <t>地区代码</t>
        </is>
      </c>
      <c r="D12644" s="21" t="n">
        <v>510401</v>
      </c>
      <c r="E12644" s="21" t="inlineStr">
        <is>
          <t>四川省攀枝花市市辖区</t>
        </is>
      </c>
      <c r="F12644" s="21" t="n"/>
    </row>
    <row r="12645">
      <c r="B12645" s="41" t="inlineStr">
        <is>
          <t>AreaCode</t>
        </is>
      </c>
      <c r="C12645" s="129" t="inlineStr">
        <is>
          <t>地区代码</t>
        </is>
      </c>
      <c r="D12645" s="21" t="n">
        <v>510402</v>
      </c>
      <c r="E12645" s="21" t="inlineStr">
        <is>
          <t>四川省攀枝花市东区</t>
        </is>
      </c>
      <c r="F12645" s="21" t="n"/>
    </row>
    <row r="12646">
      <c r="B12646" s="41" t="inlineStr">
        <is>
          <t>AreaCode</t>
        </is>
      </c>
      <c r="C12646" s="129" t="inlineStr">
        <is>
          <t>地区代码</t>
        </is>
      </c>
      <c r="D12646" s="21" t="n">
        <v>510403</v>
      </c>
      <c r="E12646" s="21" t="inlineStr">
        <is>
          <t>四川省攀枝花市西区</t>
        </is>
      </c>
      <c r="F12646" s="21" t="n"/>
    </row>
    <row r="12647">
      <c r="B12647" s="41" t="inlineStr">
        <is>
          <t>AreaCode</t>
        </is>
      </c>
      <c r="C12647" s="129" t="inlineStr">
        <is>
          <t>地区代码</t>
        </is>
      </c>
      <c r="D12647" s="21" t="n">
        <v>510411</v>
      </c>
      <c r="E12647" s="21" t="inlineStr">
        <is>
          <t>四川省攀枝花市仁和区</t>
        </is>
      </c>
      <c r="F12647" s="21" t="n"/>
    </row>
    <row r="12648">
      <c r="B12648" s="41" t="inlineStr">
        <is>
          <t>AreaCode</t>
        </is>
      </c>
      <c r="C12648" s="129" t="inlineStr">
        <is>
          <t>地区代码</t>
        </is>
      </c>
      <c r="D12648" s="21" t="n">
        <v>510421</v>
      </c>
      <c r="E12648" s="21" t="inlineStr">
        <is>
          <t>四川省攀枝花市米易县</t>
        </is>
      </c>
      <c r="F12648" s="21" t="n"/>
    </row>
    <row r="12649">
      <c r="B12649" s="41" t="inlineStr">
        <is>
          <t>AreaCode</t>
        </is>
      </c>
      <c r="C12649" s="129" t="inlineStr">
        <is>
          <t>地区代码</t>
        </is>
      </c>
      <c r="D12649" s="21" t="n">
        <v>510422</v>
      </c>
      <c r="E12649" s="21" t="inlineStr">
        <is>
          <t>四川省攀枝花市盐边县</t>
        </is>
      </c>
      <c r="F12649" s="21" t="n"/>
    </row>
    <row r="12650">
      <c r="B12650" s="41" t="inlineStr">
        <is>
          <t>AreaCode</t>
        </is>
      </c>
      <c r="C12650" s="129" t="inlineStr">
        <is>
          <t>地区代码</t>
        </is>
      </c>
      <c r="D12650" s="21" t="n">
        <v>510500</v>
      </c>
      <c r="E12650" s="21" t="inlineStr">
        <is>
          <t>四川省泸州市</t>
        </is>
      </c>
      <c r="F12650" s="21" t="n"/>
    </row>
    <row r="12651">
      <c r="B12651" s="41" t="inlineStr">
        <is>
          <t>AreaCode</t>
        </is>
      </c>
      <c r="C12651" s="129" t="inlineStr">
        <is>
          <t>地区代码</t>
        </is>
      </c>
      <c r="D12651" s="21" t="n">
        <v>510501</v>
      </c>
      <c r="E12651" s="21" t="inlineStr">
        <is>
          <t>四川省泸州市市辖区</t>
        </is>
      </c>
      <c r="F12651" s="21" t="n"/>
    </row>
    <row r="12652">
      <c r="B12652" s="41" t="inlineStr">
        <is>
          <t>AreaCode</t>
        </is>
      </c>
      <c r="C12652" s="129" t="inlineStr">
        <is>
          <t>地区代码</t>
        </is>
      </c>
      <c r="D12652" s="21" t="n">
        <v>510502</v>
      </c>
      <c r="E12652" s="21" t="inlineStr">
        <is>
          <t>四川省泸州市江阳区</t>
        </is>
      </c>
      <c r="F12652" s="21" t="n"/>
    </row>
    <row r="12653">
      <c r="B12653" s="41" t="inlineStr">
        <is>
          <t>AreaCode</t>
        </is>
      </c>
      <c r="C12653" s="129" t="inlineStr">
        <is>
          <t>地区代码</t>
        </is>
      </c>
      <c r="D12653" s="21" t="n">
        <v>510503</v>
      </c>
      <c r="E12653" s="21" t="inlineStr">
        <is>
          <t>四川省泸州市纳溪区</t>
        </is>
      </c>
      <c r="F12653" s="21" t="n"/>
    </row>
    <row r="12654">
      <c r="B12654" s="41" t="inlineStr">
        <is>
          <t>AreaCode</t>
        </is>
      </c>
      <c r="C12654" s="129" t="inlineStr">
        <is>
          <t>地区代码</t>
        </is>
      </c>
      <c r="D12654" s="21" t="n">
        <v>510504</v>
      </c>
      <c r="E12654" s="21" t="inlineStr">
        <is>
          <t>四川省泸州市龙马潭区</t>
        </is>
      </c>
      <c r="F12654" s="21" t="n"/>
    </row>
    <row r="12655">
      <c r="B12655" s="41" t="inlineStr">
        <is>
          <t>AreaCode</t>
        </is>
      </c>
      <c r="C12655" s="129" t="inlineStr">
        <is>
          <t>地区代码</t>
        </is>
      </c>
      <c r="D12655" s="21" t="n">
        <v>510521</v>
      </c>
      <c r="E12655" s="21" t="inlineStr">
        <is>
          <t>四川省泸州市泸县</t>
        </is>
      </c>
      <c r="F12655" s="21" t="n"/>
    </row>
    <row r="12656">
      <c r="B12656" s="41" t="inlineStr">
        <is>
          <t>AreaCode</t>
        </is>
      </c>
      <c r="C12656" s="129" t="inlineStr">
        <is>
          <t>地区代码</t>
        </is>
      </c>
      <c r="D12656" s="21" t="n">
        <v>510522</v>
      </c>
      <c r="E12656" s="21" t="inlineStr">
        <is>
          <t>四川省泸州市合江县</t>
        </is>
      </c>
      <c r="F12656" s="21" t="n"/>
    </row>
    <row r="12657">
      <c r="B12657" s="41" t="inlineStr">
        <is>
          <t>AreaCode</t>
        </is>
      </c>
      <c r="C12657" s="129" t="inlineStr">
        <is>
          <t>地区代码</t>
        </is>
      </c>
      <c r="D12657" s="21" t="n">
        <v>510524</v>
      </c>
      <c r="E12657" s="21" t="inlineStr">
        <is>
          <t>四川省泸州市叙永县</t>
        </is>
      </c>
      <c r="F12657" s="21" t="n"/>
    </row>
    <row r="12658">
      <c r="B12658" s="41" t="inlineStr">
        <is>
          <t>AreaCode</t>
        </is>
      </c>
      <c r="C12658" s="129" t="inlineStr">
        <is>
          <t>地区代码</t>
        </is>
      </c>
      <c r="D12658" s="21" t="n">
        <v>510525</v>
      </c>
      <c r="E12658" s="21" t="inlineStr">
        <is>
          <t>四川省泸州市古蔺县</t>
        </is>
      </c>
      <c r="F12658" s="21" t="n"/>
    </row>
    <row r="12659">
      <c r="B12659" s="41" t="inlineStr">
        <is>
          <t>AreaCode</t>
        </is>
      </c>
      <c r="C12659" s="129" t="inlineStr">
        <is>
          <t>地区代码</t>
        </is>
      </c>
      <c r="D12659" s="21" t="n">
        <v>510600</v>
      </c>
      <c r="E12659" s="21" t="inlineStr">
        <is>
          <t>四川省德阳市</t>
        </is>
      </c>
      <c r="F12659" s="21" t="n"/>
    </row>
    <row r="12660">
      <c r="B12660" s="41" t="inlineStr">
        <is>
          <t>AreaCode</t>
        </is>
      </c>
      <c r="C12660" s="129" t="inlineStr">
        <is>
          <t>地区代码</t>
        </is>
      </c>
      <c r="D12660" s="21" t="n">
        <v>510601</v>
      </c>
      <c r="E12660" s="21" t="inlineStr">
        <is>
          <t>四川省德阳市市辖区</t>
        </is>
      </c>
      <c r="F12660" s="21" t="n"/>
    </row>
    <row r="12661">
      <c r="B12661" s="41" t="inlineStr">
        <is>
          <t>AreaCode</t>
        </is>
      </c>
      <c r="C12661" s="129" t="inlineStr">
        <is>
          <t>地区代码</t>
        </is>
      </c>
      <c r="D12661" s="21" t="n">
        <v>510603</v>
      </c>
      <c r="E12661" s="21" t="inlineStr">
        <is>
          <t>四川省德阳市旌阳区</t>
        </is>
      </c>
      <c r="F12661" s="21" t="n"/>
    </row>
    <row r="12662">
      <c r="B12662" s="41" t="inlineStr">
        <is>
          <t>AreaCode</t>
        </is>
      </c>
      <c r="C12662" s="129" t="inlineStr">
        <is>
          <t>地区代码</t>
        </is>
      </c>
      <c r="D12662" s="21" t="n">
        <v>510623</v>
      </c>
      <c r="E12662" s="21" t="inlineStr">
        <is>
          <t>四川省德阳市中江县</t>
        </is>
      </c>
      <c r="F12662" s="21" t="n"/>
    </row>
    <row r="12663">
      <c r="B12663" s="41" t="inlineStr">
        <is>
          <t>AreaCode</t>
        </is>
      </c>
      <c r="C12663" s="129" t="inlineStr">
        <is>
          <t>地区代码</t>
        </is>
      </c>
      <c r="D12663" s="21" t="n">
        <v>510626</v>
      </c>
      <c r="E12663" s="21" t="inlineStr">
        <is>
          <t>四川省德阳市罗江县</t>
        </is>
      </c>
      <c r="F12663" s="21" t="n"/>
    </row>
    <row r="12664">
      <c r="B12664" s="41" t="inlineStr">
        <is>
          <t>AreaCode</t>
        </is>
      </c>
      <c r="C12664" s="129" t="inlineStr">
        <is>
          <t>地区代码</t>
        </is>
      </c>
      <c r="D12664" s="21" t="n">
        <v>510681</v>
      </c>
      <c r="E12664" s="21" t="inlineStr">
        <is>
          <t>四川省德阳市广汉市</t>
        </is>
      </c>
      <c r="F12664" s="21" t="n"/>
    </row>
    <row r="12665">
      <c r="B12665" s="41" t="inlineStr">
        <is>
          <t>AreaCode</t>
        </is>
      </c>
      <c r="C12665" s="129" t="inlineStr">
        <is>
          <t>地区代码</t>
        </is>
      </c>
      <c r="D12665" s="21" t="n">
        <v>510682</v>
      </c>
      <c r="E12665" s="21" t="inlineStr">
        <is>
          <t>四川省德阳市什邡市</t>
        </is>
      </c>
      <c r="F12665" s="21" t="n"/>
    </row>
    <row r="12666">
      <c r="B12666" s="41" t="inlineStr">
        <is>
          <t>AreaCode</t>
        </is>
      </c>
      <c r="C12666" s="129" t="inlineStr">
        <is>
          <t>地区代码</t>
        </is>
      </c>
      <c r="D12666" s="21" t="n">
        <v>510683</v>
      </c>
      <c r="E12666" s="21" t="inlineStr">
        <is>
          <t>四川省德阳市绵竹市</t>
        </is>
      </c>
      <c r="F12666" s="21" t="n"/>
    </row>
    <row r="12667">
      <c r="B12667" s="41" t="inlineStr">
        <is>
          <t>AreaCode</t>
        </is>
      </c>
      <c r="C12667" s="129" t="inlineStr">
        <is>
          <t>地区代码</t>
        </is>
      </c>
      <c r="D12667" s="21" t="n">
        <v>510700</v>
      </c>
      <c r="E12667" s="21" t="inlineStr">
        <is>
          <t>四川省绵阳市</t>
        </is>
      </c>
      <c r="F12667" s="21" t="n"/>
    </row>
    <row r="12668">
      <c r="B12668" s="41" t="inlineStr">
        <is>
          <t>AreaCode</t>
        </is>
      </c>
      <c r="C12668" s="129" t="inlineStr">
        <is>
          <t>地区代码</t>
        </is>
      </c>
      <c r="D12668" s="21" t="n">
        <v>510701</v>
      </c>
      <c r="E12668" s="21" t="inlineStr">
        <is>
          <t>四川省绵阳市市辖区</t>
        </is>
      </c>
      <c r="F12668" s="21" t="n"/>
    </row>
    <row r="12669">
      <c r="B12669" s="41" t="inlineStr">
        <is>
          <t>AreaCode</t>
        </is>
      </c>
      <c r="C12669" s="129" t="inlineStr">
        <is>
          <t>地区代码</t>
        </is>
      </c>
      <c r="D12669" s="21" t="n">
        <v>510703</v>
      </c>
      <c r="E12669" s="21" t="inlineStr">
        <is>
          <t>四川省绵阳市涪城区</t>
        </is>
      </c>
      <c r="F12669" s="21" t="n"/>
    </row>
    <row r="12670">
      <c r="B12670" s="41" t="inlineStr">
        <is>
          <t>AreaCode</t>
        </is>
      </c>
      <c r="C12670" s="129" t="inlineStr">
        <is>
          <t>地区代码</t>
        </is>
      </c>
      <c r="D12670" s="21" t="n">
        <v>510704</v>
      </c>
      <c r="E12670" s="21" t="inlineStr">
        <is>
          <t>四川省绵阳市游仙区</t>
        </is>
      </c>
      <c r="F12670" s="21" t="n"/>
    </row>
    <row r="12671">
      <c r="B12671" s="41" t="inlineStr">
        <is>
          <t>AreaCode</t>
        </is>
      </c>
      <c r="C12671" s="129" t="inlineStr">
        <is>
          <t>地区代码</t>
        </is>
      </c>
      <c r="D12671" s="21" t="n">
        <v>510722</v>
      </c>
      <c r="E12671" s="21" t="inlineStr">
        <is>
          <t>四川省绵阳市三台县</t>
        </is>
      </c>
      <c r="F12671" s="21" t="n"/>
    </row>
    <row r="12672">
      <c r="B12672" s="41" t="inlineStr">
        <is>
          <t>AreaCode</t>
        </is>
      </c>
      <c r="C12672" s="129" t="inlineStr">
        <is>
          <t>地区代码</t>
        </is>
      </c>
      <c r="D12672" s="21" t="n">
        <v>510723</v>
      </c>
      <c r="E12672" s="21" t="inlineStr">
        <is>
          <t>四川省绵阳市盐亭县</t>
        </is>
      </c>
      <c r="F12672" s="21" t="n"/>
    </row>
    <row r="12673">
      <c r="B12673" s="41" t="inlineStr">
        <is>
          <t>AreaCode</t>
        </is>
      </c>
      <c r="C12673" s="129" t="inlineStr">
        <is>
          <t>地区代码</t>
        </is>
      </c>
      <c r="D12673" s="21" t="n">
        <v>510724</v>
      </c>
      <c r="E12673" s="21" t="inlineStr">
        <is>
          <t>四川省绵阳市安县</t>
        </is>
      </c>
      <c r="F12673" s="21" t="n"/>
    </row>
    <row r="12674">
      <c r="B12674" s="41" t="inlineStr">
        <is>
          <t>AreaCode</t>
        </is>
      </c>
      <c r="C12674" s="129" t="inlineStr">
        <is>
          <t>地区代码</t>
        </is>
      </c>
      <c r="D12674" s="21" t="n">
        <v>510725</v>
      </c>
      <c r="E12674" s="21" t="inlineStr">
        <is>
          <t>四川省绵阳市梓潼县</t>
        </is>
      </c>
      <c r="F12674" s="21" t="n"/>
    </row>
    <row r="12675">
      <c r="B12675" s="41" t="inlineStr">
        <is>
          <t>AreaCode</t>
        </is>
      </c>
      <c r="C12675" s="129" t="inlineStr">
        <is>
          <t>地区代码</t>
        </is>
      </c>
      <c r="D12675" s="21" t="n">
        <v>510726</v>
      </c>
      <c r="E12675" s="21" t="inlineStr">
        <is>
          <t>四川省绵阳市北川羌族自治县</t>
        </is>
      </c>
      <c r="F12675" s="21" t="n"/>
    </row>
    <row r="12676">
      <c r="B12676" s="41" t="inlineStr">
        <is>
          <t>AreaCode</t>
        </is>
      </c>
      <c r="C12676" s="129" t="inlineStr">
        <is>
          <t>地区代码</t>
        </is>
      </c>
      <c r="D12676" s="21" t="n">
        <v>510727</v>
      </c>
      <c r="E12676" s="21" t="inlineStr">
        <is>
          <t>四川省绵阳市平武县</t>
        </is>
      </c>
      <c r="F12676" s="21" t="n"/>
    </row>
    <row r="12677">
      <c r="B12677" s="41" t="inlineStr">
        <is>
          <t>AreaCode</t>
        </is>
      </c>
      <c r="C12677" s="129" t="inlineStr">
        <is>
          <t>地区代码</t>
        </is>
      </c>
      <c r="D12677" s="21" t="n">
        <v>510781</v>
      </c>
      <c r="E12677" s="21" t="inlineStr">
        <is>
          <t>四川省绵阳市江油市</t>
        </is>
      </c>
      <c r="F12677" s="21" t="n"/>
    </row>
    <row r="12678">
      <c r="B12678" s="41" t="inlineStr">
        <is>
          <t>AreaCode</t>
        </is>
      </c>
      <c r="C12678" s="129" t="inlineStr">
        <is>
          <t>地区代码</t>
        </is>
      </c>
      <c r="D12678" s="21" t="n">
        <v>510800</v>
      </c>
      <c r="E12678" s="21" t="inlineStr">
        <is>
          <t>四川省广元市</t>
        </is>
      </c>
      <c r="F12678" s="21" t="n"/>
    </row>
    <row r="12679">
      <c r="B12679" s="41" t="inlineStr">
        <is>
          <t>AreaCode</t>
        </is>
      </c>
      <c r="C12679" s="129" t="inlineStr">
        <is>
          <t>地区代码</t>
        </is>
      </c>
      <c r="D12679" s="21" t="n">
        <v>510801</v>
      </c>
      <c r="E12679" s="21" t="inlineStr">
        <is>
          <t>四川省广元市市辖区</t>
        </is>
      </c>
      <c r="F12679" s="21" t="n"/>
    </row>
    <row r="12680">
      <c r="B12680" s="41" t="inlineStr">
        <is>
          <t>AreaCode</t>
        </is>
      </c>
      <c r="C12680" s="129" t="inlineStr">
        <is>
          <t>地区代码</t>
        </is>
      </c>
      <c r="D12680" s="21" t="n">
        <v>510802</v>
      </c>
      <c r="E12680" s="21" t="inlineStr">
        <is>
          <t>四川省广元市利州区</t>
        </is>
      </c>
      <c r="F12680" s="21" t="n"/>
    </row>
    <row r="12681">
      <c r="B12681" s="41" t="inlineStr">
        <is>
          <t>AreaCode</t>
        </is>
      </c>
      <c r="C12681" s="129" t="inlineStr">
        <is>
          <t>地区代码</t>
        </is>
      </c>
      <c r="D12681" s="21" t="n">
        <v>510811</v>
      </c>
      <c r="E12681" s="21" t="inlineStr">
        <is>
          <t>四川省广元市昭化区</t>
        </is>
      </c>
      <c r="F12681" s="21" t="n"/>
    </row>
    <row r="12682">
      <c r="B12682" s="41" t="inlineStr">
        <is>
          <t>AreaCode</t>
        </is>
      </c>
      <c r="C12682" s="129" t="inlineStr">
        <is>
          <t>地区代码</t>
        </is>
      </c>
      <c r="D12682" s="21" t="n">
        <v>510812</v>
      </c>
      <c r="E12682" s="21" t="inlineStr">
        <is>
          <t>四川省广元市朝天区</t>
        </is>
      </c>
      <c r="F12682" s="21" t="n"/>
    </row>
    <row r="12683">
      <c r="B12683" s="41" t="inlineStr">
        <is>
          <t>AreaCode</t>
        </is>
      </c>
      <c r="C12683" s="129" t="inlineStr">
        <is>
          <t>地区代码</t>
        </is>
      </c>
      <c r="D12683" s="21" t="n">
        <v>510821</v>
      </c>
      <c r="E12683" s="21" t="inlineStr">
        <is>
          <t>四川省广元市旺苍县</t>
        </is>
      </c>
      <c r="F12683" s="21" t="n"/>
    </row>
    <row r="12684">
      <c r="B12684" s="41" t="inlineStr">
        <is>
          <t>AreaCode</t>
        </is>
      </c>
      <c r="C12684" s="129" t="inlineStr">
        <is>
          <t>地区代码</t>
        </is>
      </c>
      <c r="D12684" s="21" t="n">
        <v>510822</v>
      </c>
      <c r="E12684" s="21" t="inlineStr">
        <is>
          <t>四川省广元市青川县</t>
        </is>
      </c>
      <c r="F12684" s="21" t="n"/>
    </row>
    <row r="12685">
      <c r="B12685" s="41" t="inlineStr">
        <is>
          <t>AreaCode</t>
        </is>
      </c>
      <c r="C12685" s="129" t="inlineStr">
        <is>
          <t>地区代码</t>
        </is>
      </c>
      <c r="D12685" s="21" t="n">
        <v>510823</v>
      </c>
      <c r="E12685" s="21" t="inlineStr">
        <is>
          <t>四川省广元市剑阁县</t>
        </is>
      </c>
      <c r="F12685" s="21" t="n"/>
    </row>
    <row r="12686">
      <c r="B12686" s="41" t="inlineStr">
        <is>
          <t>AreaCode</t>
        </is>
      </c>
      <c r="C12686" s="129" t="inlineStr">
        <is>
          <t>地区代码</t>
        </is>
      </c>
      <c r="D12686" s="21" t="n">
        <v>510824</v>
      </c>
      <c r="E12686" s="21" t="inlineStr">
        <is>
          <t>四川省广元市苍溪县</t>
        </is>
      </c>
      <c r="F12686" s="21" t="n"/>
    </row>
    <row r="12687">
      <c r="B12687" s="41" t="inlineStr">
        <is>
          <t>AreaCode</t>
        </is>
      </c>
      <c r="C12687" s="129" t="inlineStr">
        <is>
          <t>地区代码</t>
        </is>
      </c>
      <c r="D12687" s="21" t="n">
        <v>510900</v>
      </c>
      <c r="E12687" s="21" t="inlineStr">
        <is>
          <t>四川省遂宁市</t>
        </is>
      </c>
      <c r="F12687" s="21" t="n"/>
    </row>
    <row r="12688">
      <c r="B12688" s="41" t="inlineStr">
        <is>
          <t>AreaCode</t>
        </is>
      </c>
      <c r="C12688" s="129" t="inlineStr">
        <is>
          <t>地区代码</t>
        </is>
      </c>
      <c r="D12688" s="21" t="n">
        <v>510901</v>
      </c>
      <c r="E12688" s="21" t="inlineStr">
        <is>
          <t>四川省遂宁市市辖区</t>
        </is>
      </c>
      <c r="F12688" s="21" t="n"/>
    </row>
    <row r="12689">
      <c r="B12689" s="41" t="inlineStr">
        <is>
          <t>AreaCode</t>
        </is>
      </c>
      <c r="C12689" s="129" t="inlineStr">
        <is>
          <t>地区代码</t>
        </is>
      </c>
      <c r="D12689" s="21" t="n">
        <v>510903</v>
      </c>
      <c r="E12689" s="21" t="inlineStr">
        <is>
          <t>四川省遂宁市船山区</t>
        </is>
      </c>
      <c r="F12689" s="21" t="n"/>
    </row>
    <row r="12690">
      <c r="B12690" s="41" t="inlineStr">
        <is>
          <t>AreaCode</t>
        </is>
      </c>
      <c r="C12690" s="129" t="inlineStr">
        <is>
          <t>地区代码</t>
        </is>
      </c>
      <c r="D12690" s="21" t="n">
        <v>510904</v>
      </c>
      <c r="E12690" s="21" t="inlineStr">
        <is>
          <t>四川省遂宁市安居区</t>
        </is>
      </c>
      <c r="F12690" s="21" t="n"/>
    </row>
    <row r="12691">
      <c r="B12691" s="41" t="inlineStr">
        <is>
          <t>AreaCode</t>
        </is>
      </c>
      <c r="C12691" s="129" t="inlineStr">
        <is>
          <t>地区代码</t>
        </is>
      </c>
      <c r="D12691" s="21" t="n">
        <v>510921</v>
      </c>
      <c r="E12691" s="21" t="inlineStr">
        <is>
          <t>四川省遂宁市蓬溪县</t>
        </is>
      </c>
      <c r="F12691" s="21" t="n"/>
    </row>
    <row r="12692">
      <c r="B12692" s="41" t="inlineStr">
        <is>
          <t>AreaCode</t>
        </is>
      </c>
      <c r="C12692" s="129" t="inlineStr">
        <is>
          <t>地区代码</t>
        </is>
      </c>
      <c r="D12692" s="21" t="n">
        <v>510922</v>
      </c>
      <c r="E12692" s="21" t="inlineStr">
        <is>
          <t>四川省遂宁市射洪县</t>
        </is>
      </c>
      <c r="F12692" s="21" t="n"/>
    </row>
    <row r="12693">
      <c r="B12693" s="41" t="inlineStr">
        <is>
          <t>AreaCode</t>
        </is>
      </c>
      <c r="C12693" s="129" t="inlineStr">
        <is>
          <t>地区代码</t>
        </is>
      </c>
      <c r="D12693" s="21" t="n">
        <v>510923</v>
      </c>
      <c r="E12693" s="21" t="inlineStr">
        <is>
          <t>四川省遂宁市大英县</t>
        </is>
      </c>
      <c r="F12693" s="21" t="n"/>
    </row>
    <row r="12694">
      <c r="B12694" s="41" t="inlineStr">
        <is>
          <t>AreaCode</t>
        </is>
      </c>
      <c r="C12694" s="129" t="inlineStr">
        <is>
          <t>地区代码</t>
        </is>
      </c>
      <c r="D12694" s="21" t="n">
        <v>511000</v>
      </c>
      <c r="E12694" s="21" t="inlineStr">
        <is>
          <t>四川省内江市</t>
        </is>
      </c>
      <c r="F12694" s="21" t="n"/>
    </row>
    <row r="12695">
      <c r="B12695" s="41" t="inlineStr">
        <is>
          <t>AreaCode</t>
        </is>
      </c>
      <c r="C12695" s="129" t="inlineStr">
        <is>
          <t>地区代码</t>
        </is>
      </c>
      <c r="D12695" s="21" t="n">
        <v>511001</v>
      </c>
      <c r="E12695" s="21" t="inlineStr">
        <is>
          <t>四川省内江市市辖区</t>
        </is>
      </c>
      <c r="F12695" s="21" t="n"/>
    </row>
    <row r="12696">
      <c r="B12696" s="41" t="inlineStr">
        <is>
          <t>AreaCode</t>
        </is>
      </c>
      <c r="C12696" s="129" t="inlineStr">
        <is>
          <t>地区代码</t>
        </is>
      </c>
      <c r="D12696" s="21" t="n">
        <v>511002</v>
      </c>
      <c r="E12696" s="21" t="inlineStr">
        <is>
          <t>四川省内江市市中区</t>
        </is>
      </c>
      <c r="F12696" s="21" t="n"/>
    </row>
    <row r="12697">
      <c r="B12697" s="41" t="inlineStr">
        <is>
          <t>AreaCode</t>
        </is>
      </c>
      <c r="C12697" s="129" t="inlineStr">
        <is>
          <t>地区代码</t>
        </is>
      </c>
      <c r="D12697" s="21" t="n">
        <v>511011</v>
      </c>
      <c r="E12697" s="21" t="inlineStr">
        <is>
          <t>四川省内江市东兴区</t>
        </is>
      </c>
      <c r="F12697" s="21" t="n"/>
    </row>
    <row r="12698">
      <c r="B12698" s="41" t="inlineStr">
        <is>
          <t>AreaCode</t>
        </is>
      </c>
      <c r="C12698" s="129" t="inlineStr">
        <is>
          <t>地区代码</t>
        </is>
      </c>
      <c r="D12698" s="21" t="n">
        <v>511024</v>
      </c>
      <c r="E12698" s="21" t="inlineStr">
        <is>
          <t>四川省内江市威远县</t>
        </is>
      </c>
      <c r="F12698" s="21" t="n"/>
    </row>
    <row r="12699">
      <c r="B12699" s="41" t="inlineStr">
        <is>
          <t>AreaCode</t>
        </is>
      </c>
      <c r="C12699" s="129" t="inlineStr">
        <is>
          <t>地区代码</t>
        </is>
      </c>
      <c r="D12699" s="21" t="n">
        <v>511025</v>
      </c>
      <c r="E12699" s="21" t="inlineStr">
        <is>
          <t>四川省内江市资中县</t>
        </is>
      </c>
      <c r="F12699" s="21" t="n"/>
    </row>
    <row r="12700">
      <c r="B12700" s="41" t="inlineStr">
        <is>
          <t>AreaCode</t>
        </is>
      </c>
      <c r="C12700" s="129" t="inlineStr">
        <is>
          <t>地区代码</t>
        </is>
      </c>
      <c r="D12700" s="21" t="n">
        <v>511028</v>
      </c>
      <c r="E12700" s="21" t="inlineStr">
        <is>
          <t>四川省内江市隆昌县</t>
        </is>
      </c>
      <c r="F12700" s="21" t="n"/>
    </row>
    <row r="12701">
      <c r="B12701" s="41" t="inlineStr">
        <is>
          <t>AreaCode</t>
        </is>
      </c>
      <c r="C12701" s="129" t="inlineStr">
        <is>
          <t>地区代码</t>
        </is>
      </c>
      <c r="D12701" s="21" t="n">
        <v>511100</v>
      </c>
      <c r="E12701" s="21" t="inlineStr">
        <is>
          <t>四川省乐山市</t>
        </is>
      </c>
      <c r="F12701" s="21" t="n"/>
    </row>
    <row r="12702">
      <c r="B12702" s="41" t="inlineStr">
        <is>
          <t>AreaCode</t>
        </is>
      </c>
      <c r="C12702" s="129" t="inlineStr">
        <is>
          <t>地区代码</t>
        </is>
      </c>
      <c r="D12702" s="21" t="n">
        <v>511101</v>
      </c>
      <c r="E12702" s="21" t="inlineStr">
        <is>
          <t>四川省乐山市市辖区</t>
        </is>
      </c>
      <c r="F12702" s="21" t="n"/>
    </row>
    <row r="12703">
      <c r="B12703" s="41" t="inlineStr">
        <is>
          <t>AreaCode</t>
        </is>
      </c>
      <c r="C12703" s="129" t="inlineStr">
        <is>
          <t>地区代码</t>
        </is>
      </c>
      <c r="D12703" s="21" t="n">
        <v>511102</v>
      </c>
      <c r="E12703" s="21" t="inlineStr">
        <is>
          <t>四川省乐山市市中区</t>
        </is>
      </c>
      <c r="F12703" s="21" t="n"/>
    </row>
    <row r="12704">
      <c r="B12704" s="41" t="inlineStr">
        <is>
          <t>AreaCode</t>
        </is>
      </c>
      <c r="C12704" s="129" t="inlineStr">
        <is>
          <t>地区代码</t>
        </is>
      </c>
      <c r="D12704" s="21" t="n">
        <v>511111</v>
      </c>
      <c r="E12704" s="21" t="inlineStr">
        <is>
          <t>四川省乐山市沙湾区</t>
        </is>
      </c>
      <c r="F12704" s="21" t="n"/>
    </row>
    <row r="12705">
      <c r="B12705" s="41" t="inlineStr">
        <is>
          <t>AreaCode</t>
        </is>
      </c>
      <c r="C12705" s="129" t="inlineStr">
        <is>
          <t>地区代码</t>
        </is>
      </c>
      <c r="D12705" s="21" t="n">
        <v>511112</v>
      </c>
      <c r="E12705" s="21" t="inlineStr">
        <is>
          <t>四川省乐山市五通桥区</t>
        </is>
      </c>
      <c r="F12705" s="21" t="n"/>
    </row>
    <row r="12706">
      <c r="B12706" s="41" t="inlineStr">
        <is>
          <t>AreaCode</t>
        </is>
      </c>
      <c r="C12706" s="129" t="inlineStr">
        <is>
          <t>地区代码</t>
        </is>
      </c>
      <c r="D12706" s="21" t="n">
        <v>511113</v>
      </c>
      <c r="E12706" s="21" t="inlineStr">
        <is>
          <t>四川省乐山市金口河区</t>
        </is>
      </c>
      <c r="F12706" s="21" t="n"/>
    </row>
    <row r="12707">
      <c r="B12707" s="41" t="inlineStr">
        <is>
          <t>AreaCode</t>
        </is>
      </c>
      <c r="C12707" s="129" t="inlineStr">
        <is>
          <t>地区代码</t>
        </is>
      </c>
      <c r="D12707" s="21" t="n">
        <v>511123</v>
      </c>
      <c r="E12707" s="21" t="inlineStr">
        <is>
          <t>四川省乐山市犍为县</t>
        </is>
      </c>
      <c r="F12707" s="21" t="n"/>
    </row>
    <row r="12708">
      <c r="B12708" s="41" t="inlineStr">
        <is>
          <t>AreaCode</t>
        </is>
      </c>
      <c r="C12708" s="129" t="inlineStr">
        <is>
          <t>地区代码</t>
        </is>
      </c>
      <c r="D12708" s="21" t="n">
        <v>511124</v>
      </c>
      <c r="E12708" s="21" t="inlineStr">
        <is>
          <t>四川省乐山市井研县</t>
        </is>
      </c>
      <c r="F12708" s="21" t="n"/>
    </row>
    <row r="12709">
      <c r="B12709" s="41" t="inlineStr">
        <is>
          <t>AreaCode</t>
        </is>
      </c>
      <c r="C12709" s="129" t="inlineStr">
        <is>
          <t>地区代码</t>
        </is>
      </c>
      <c r="D12709" s="21" t="n">
        <v>511126</v>
      </c>
      <c r="E12709" s="21" t="inlineStr">
        <is>
          <t>四川省乐山市夹江县</t>
        </is>
      </c>
      <c r="F12709" s="21" t="n"/>
    </row>
    <row r="12710">
      <c r="B12710" s="41" t="inlineStr">
        <is>
          <t>AreaCode</t>
        </is>
      </c>
      <c r="C12710" s="129" t="inlineStr">
        <is>
          <t>地区代码</t>
        </is>
      </c>
      <c r="D12710" s="21" t="n">
        <v>511129</v>
      </c>
      <c r="E12710" s="21" t="inlineStr">
        <is>
          <t>四川省乐山市沐川县</t>
        </is>
      </c>
      <c r="F12710" s="21" t="n"/>
    </row>
    <row r="12711">
      <c r="B12711" s="41" t="inlineStr">
        <is>
          <t>AreaCode</t>
        </is>
      </c>
      <c r="C12711" s="129" t="inlineStr">
        <is>
          <t>地区代码</t>
        </is>
      </c>
      <c r="D12711" s="21" t="n">
        <v>511132</v>
      </c>
      <c r="E12711" s="21" t="inlineStr">
        <is>
          <t>四川省乐山市峨边彝族自治县</t>
        </is>
      </c>
      <c r="F12711" s="21" t="n"/>
    </row>
    <row r="12712">
      <c r="B12712" s="41" t="inlineStr">
        <is>
          <t>AreaCode</t>
        </is>
      </c>
      <c r="C12712" s="129" t="inlineStr">
        <is>
          <t>地区代码</t>
        </is>
      </c>
      <c r="D12712" s="21" t="n">
        <v>511133</v>
      </c>
      <c r="E12712" s="21" t="inlineStr">
        <is>
          <t>四川省乐山市马边彝族自治县</t>
        </is>
      </c>
      <c r="F12712" s="21" t="n"/>
    </row>
    <row r="12713">
      <c r="B12713" s="41" t="inlineStr">
        <is>
          <t>AreaCode</t>
        </is>
      </c>
      <c r="C12713" s="129" t="inlineStr">
        <is>
          <t>地区代码</t>
        </is>
      </c>
      <c r="D12713" s="21" t="n">
        <v>511181</v>
      </c>
      <c r="E12713" s="21" t="inlineStr">
        <is>
          <t>四川省乐山市峨眉山市</t>
        </is>
      </c>
      <c r="F12713" s="21" t="n"/>
    </row>
    <row r="12714">
      <c r="B12714" s="41" t="inlineStr">
        <is>
          <t>AreaCode</t>
        </is>
      </c>
      <c r="C12714" s="129" t="inlineStr">
        <is>
          <t>地区代码</t>
        </is>
      </c>
      <c r="D12714" s="21" t="n">
        <v>511300</v>
      </c>
      <c r="E12714" s="21" t="inlineStr">
        <is>
          <t>四川省南充市</t>
        </is>
      </c>
      <c r="F12714" s="21" t="n"/>
    </row>
    <row r="12715">
      <c r="B12715" s="41" t="inlineStr">
        <is>
          <t>AreaCode</t>
        </is>
      </c>
      <c r="C12715" s="129" t="inlineStr">
        <is>
          <t>地区代码</t>
        </is>
      </c>
      <c r="D12715" s="21" t="n">
        <v>511301</v>
      </c>
      <c r="E12715" s="21" t="inlineStr">
        <is>
          <t>四川省南充市市辖区</t>
        </is>
      </c>
      <c r="F12715" s="21" t="n"/>
    </row>
    <row r="12716">
      <c r="B12716" s="41" t="inlineStr">
        <is>
          <t>AreaCode</t>
        </is>
      </c>
      <c r="C12716" s="129" t="inlineStr">
        <is>
          <t>地区代码</t>
        </is>
      </c>
      <c r="D12716" s="21" t="n">
        <v>511302</v>
      </c>
      <c r="E12716" s="21" t="inlineStr">
        <is>
          <t>四川省南充市顺庆区</t>
        </is>
      </c>
      <c r="F12716" s="21" t="n"/>
    </row>
    <row r="12717">
      <c r="B12717" s="41" t="inlineStr">
        <is>
          <t>AreaCode</t>
        </is>
      </c>
      <c r="C12717" s="129" t="inlineStr">
        <is>
          <t>地区代码</t>
        </is>
      </c>
      <c r="D12717" s="21" t="n">
        <v>511303</v>
      </c>
      <c r="E12717" s="21" t="inlineStr">
        <is>
          <t>四川省南充市高坪区</t>
        </is>
      </c>
      <c r="F12717" s="21" t="n"/>
    </row>
    <row r="12718">
      <c r="B12718" s="41" t="inlineStr">
        <is>
          <t>AreaCode</t>
        </is>
      </c>
      <c r="C12718" s="129" t="inlineStr">
        <is>
          <t>地区代码</t>
        </is>
      </c>
      <c r="D12718" s="21" t="n">
        <v>511304</v>
      </c>
      <c r="E12718" s="21" t="inlineStr">
        <is>
          <t>四川省南充市嘉陵区</t>
        </is>
      </c>
      <c r="F12718" s="21" t="n"/>
    </row>
    <row r="12719">
      <c r="B12719" s="41" t="inlineStr">
        <is>
          <t>AreaCode</t>
        </is>
      </c>
      <c r="C12719" s="129" t="inlineStr">
        <is>
          <t>地区代码</t>
        </is>
      </c>
      <c r="D12719" s="21" t="n">
        <v>511321</v>
      </c>
      <c r="E12719" s="21" t="inlineStr">
        <is>
          <t>四川省南充市南部县</t>
        </is>
      </c>
      <c r="F12719" s="21" t="n"/>
    </row>
    <row r="12720">
      <c r="B12720" s="41" t="inlineStr">
        <is>
          <t>AreaCode</t>
        </is>
      </c>
      <c r="C12720" s="129" t="inlineStr">
        <is>
          <t>地区代码</t>
        </is>
      </c>
      <c r="D12720" s="21" t="n">
        <v>511322</v>
      </c>
      <c r="E12720" s="21" t="inlineStr">
        <is>
          <t>四川省南充市营山县</t>
        </is>
      </c>
    </row>
    <row r="12721">
      <c r="B12721" s="41" t="inlineStr">
        <is>
          <t>AreaCode</t>
        </is>
      </c>
      <c r="C12721" s="129" t="inlineStr">
        <is>
          <t>地区代码</t>
        </is>
      </c>
      <c r="D12721" s="21" t="n">
        <v>511323</v>
      </c>
      <c r="E12721" s="21" t="inlineStr">
        <is>
          <t>四川省南充市蓬安县</t>
        </is>
      </c>
    </row>
    <row r="12722">
      <c r="B12722" s="41" t="inlineStr">
        <is>
          <t>AreaCode</t>
        </is>
      </c>
      <c r="C12722" s="129" t="inlineStr">
        <is>
          <t>地区代码</t>
        </is>
      </c>
      <c r="D12722" s="21" t="n">
        <v>511324</v>
      </c>
      <c r="E12722" s="21" t="inlineStr">
        <is>
          <t>四川省南充市仪陇县</t>
        </is>
      </c>
    </row>
    <row r="12723">
      <c r="B12723" s="41" t="inlineStr">
        <is>
          <t>AreaCode</t>
        </is>
      </c>
      <c r="C12723" s="129" t="inlineStr">
        <is>
          <t>地区代码</t>
        </is>
      </c>
      <c r="D12723" s="21" t="n">
        <v>511325</v>
      </c>
      <c r="E12723" s="21" t="inlineStr">
        <is>
          <t>四川省南充市西充县</t>
        </is>
      </c>
    </row>
    <row r="12724">
      <c r="B12724" s="41" t="inlineStr">
        <is>
          <t>AreaCode</t>
        </is>
      </c>
      <c r="C12724" s="129" t="inlineStr">
        <is>
          <t>地区代码</t>
        </is>
      </c>
      <c r="D12724" s="21" t="n">
        <v>511381</v>
      </c>
      <c r="E12724" s="21" t="inlineStr">
        <is>
          <t>四川省南充市阆中市</t>
        </is>
      </c>
    </row>
    <row r="12725">
      <c r="B12725" s="41" t="inlineStr">
        <is>
          <t>AreaCode</t>
        </is>
      </c>
      <c r="C12725" s="129" t="inlineStr">
        <is>
          <t>地区代码</t>
        </is>
      </c>
      <c r="D12725" s="21" t="n">
        <v>511400</v>
      </c>
      <c r="E12725" s="21" t="inlineStr">
        <is>
          <t>四川省眉山市</t>
        </is>
      </c>
    </row>
    <row r="12726">
      <c r="B12726" s="41" t="inlineStr">
        <is>
          <t>AreaCode</t>
        </is>
      </c>
      <c r="C12726" s="129" t="inlineStr">
        <is>
          <t>地区代码</t>
        </is>
      </c>
      <c r="D12726" s="21" t="n">
        <v>511401</v>
      </c>
      <c r="E12726" s="21" t="inlineStr">
        <is>
          <t>四川省眉山市市辖区</t>
        </is>
      </c>
    </row>
    <row r="12727">
      <c r="B12727" s="41" t="inlineStr">
        <is>
          <t>AreaCode</t>
        </is>
      </c>
      <c r="C12727" s="129" t="inlineStr">
        <is>
          <t>地区代码</t>
        </is>
      </c>
      <c r="D12727" s="21" t="n">
        <v>511402</v>
      </c>
      <c r="E12727" s="21" t="inlineStr">
        <is>
          <t>四川省眉山市东坡区</t>
        </is>
      </c>
    </row>
    <row r="12728">
      <c r="B12728" s="41" t="inlineStr">
        <is>
          <t>AreaCode</t>
        </is>
      </c>
      <c r="C12728" s="129" t="inlineStr">
        <is>
          <t>地区代码</t>
        </is>
      </c>
      <c r="D12728" s="21" t="n">
        <v>511421</v>
      </c>
      <c r="E12728" s="21" t="inlineStr">
        <is>
          <t>四川省眉山市仁寿县</t>
        </is>
      </c>
    </row>
    <row r="12729">
      <c r="B12729" s="41" t="inlineStr">
        <is>
          <t>AreaCode</t>
        </is>
      </c>
      <c r="C12729" s="129" t="inlineStr">
        <is>
          <t>地区代码</t>
        </is>
      </c>
      <c r="D12729" s="21" t="n">
        <v>511422</v>
      </c>
      <c r="E12729" s="21" t="inlineStr">
        <is>
          <t>四川省眉山市彭山县</t>
        </is>
      </c>
    </row>
    <row r="12730">
      <c r="B12730" s="41" t="inlineStr">
        <is>
          <t>AreaCode</t>
        </is>
      </c>
      <c r="C12730" s="129" t="inlineStr">
        <is>
          <t>地区代码</t>
        </is>
      </c>
      <c r="D12730" s="21" t="n">
        <v>511423</v>
      </c>
      <c r="E12730" s="21" t="inlineStr">
        <is>
          <t>四川省眉山市洪雅县</t>
        </is>
      </c>
    </row>
    <row r="12731">
      <c r="B12731" s="41" t="inlineStr">
        <is>
          <t>AreaCode</t>
        </is>
      </c>
      <c r="C12731" s="129" t="inlineStr">
        <is>
          <t>地区代码</t>
        </is>
      </c>
      <c r="D12731" s="21" t="n">
        <v>511424</v>
      </c>
      <c r="E12731" s="21" t="inlineStr">
        <is>
          <t>四川省眉山市丹棱县</t>
        </is>
      </c>
    </row>
    <row r="12732">
      <c r="B12732" s="41" t="inlineStr">
        <is>
          <t>AreaCode</t>
        </is>
      </c>
      <c r="C12732" s="129" t="inlineStr">
        <is>
          <t>地区代码</t>
        </is>
      </c>
      <c r="D12732" s="21" t="n">
        <v>511425</v>
      </c>
      <c r="E12732" s="21" t="inlineStr">
        <is>
          <t>四川省眉山市青神县</t>
        </is>
      </c>
    </row>
    <row r="12733">
      <c r="B12733" s="41" t="inlineStr">
        <is>
          <t>AreaCode</t>
        </is>
      </c>
      <c r="C12733" s="129" t="inlineStr">
        <is>
          <t>地区代码</t>
        </is>
      </c>
      <c r="D12733" s="21" t="n">
        <v>511500</v>
      </c>
      <c r="E12733" s="21" t="inlineStr">
        <is>
          <t>四川省宜宾市</t>
        </is>
      </c>
    </row>
    <row r="12734">
      <c r="B12734" s="41" t="inlineStr">
        <is>
          <t>AreaCode</t>
        </is>
      </c>
      <c r="C12734" s="129" t="inlineStr">
        <is>
          <t>地区代码</t>
        </is>
      </c>
      <c r="D12734" s="21" t="n">
        <v>511501</v>
      </c>
      <c r="E12734" s="21" t="inlineStr">
        <is>
          <t>四川省宜宾市市辖区</t>
        </is>
      </c>
    </row>
    <row r="12735">
      <c r="B12735" s="41" t="inlineStr">
        <is>
          <t>AreaCode</t>
        </is>
      </c>
      <c r="C12735" s="129" t="inlineStr">
        <is>
          <t>地区代码</t>
        </is>
      </c>
      <c r="D12735" s="21" t="n">
        <v>511502</v>
      </c>
      <c r="E12735" s="21" t="inlineStr">
        <is>
          <t>四川省宜宾市翠屏区</t>
        </is>
      </c>
    </row>
    <row r="12736">
      <c r="B12736" s="41" t="inlineStr">
        <is>
          <t>AreaCode</t>
        </is>
      </c>
      <c r="C12736" s="129" t="inlineStr">
        <is>
          <t>地区代码</t>
        </is>
      </c>
      <c r="D12736" s="21" t="n">
        <v>511503</v>
      </c>
      <c r="E12736" s="21" t="inlineStr">
        <is>
          <t>四川省宜宾市南溪区</t>
        </is>
      </c>
    </row>
    <row r="12737">
      <c r="B12737" s="41" t="inlineStr">
        <is>
          <t>AreaCode</t>
        </is>
      </c>
      <c r="C12737" s="129" t="inlineStr">
        <is>
          <t>地区代码</t>
        </is>
      </c>
      <c r="D12737" s="21" t="n">
        <v>511521</v>
      </c>
      <c r="E12737" s="21" t="inlineStr">
        <is>
          <t>四川省宜宾市宜宾县</t>
        </is>
      </c>
    </row>
    <row r="12738">
      <c r="B12738" s="41" t="inlineStr">
        <is>
          <t>AreaCode</t>
        </is>
      </c>
      <c r="C12738" s="129" t="inlineStr">
        <is>
          <t>地区代码</t>
        </is>
      </c>
      <c r="D12738" s="21" t="n">
        <v>511523</v>
      </c>
      <c r="E12738" s="21" t="inlineStr">
        <is>
          <t>四川省宜宾市江安县</t>
        </is>
      </c>
    </row>
    <row r="12739">
      <c r="B12739" s="41" t="inlineStr">
        <is>
          <t>AreaCode</t>
        </is>
      </c>
      <c r="C12739" s="129" t="inlineStr">
        <is>
          <t>地区代码</t>
        </is>
      </c>
      <c r="D12739" s="21" t="n">
        <v>511524</v>
      </c>
      <c r="E12739" s="21" t="inlineStr">
        <is>
          <t>四川省宜宾市长宁县</t>
        </is>
      </c>
    </row>
    <row r="12740">
      <c r="B12740" s="41" t="inlineStr">
        <is>
          <t>AreaCode</t>
        </is>
      </c>
      <c r="C12740" s="129" t="inlineStr">
        <is>
          <t>地区代码</t>
        </is>
      </c>
      <c r="D12740" s="21" t="n">
        <v>511525</v>
      </c>
      <c r="E12740" s="21" t="inlineStr">
        <is>
          <t>四川省宜宾市高县</t>
        </is>
      </c>
    </row>
    <row r="12741">
      <c r="B12741" s="41" t="inlineStr">
        <is>
          <t>AreaCode</t>
        </is>
      </c>
      <c r="C12741" s="129" t="inlineStr">
        <is>
          <t>地区代码</t>
        </is>
      </c>
      <c r="D12741" s="21" t="n">
        <v>511526</v>
      </c>
      <c r="E12741" s="21" t="inlineStr">
        <is>
          <t>四川省宜宾市珙县</t>
        </is>
      </c>
    </row>
    <row r="12742">
      <c r="B12742" s="41" t="inlineStr">
        <is>
          <t>AreaCode</t>
        </is>
      </c>
      <c r="C12742" s="129" t="inlineStr">
        <is>
          <t>地区代码</t>
        </is>
      </c>
      <c r="D12742" s="21" t="n">
        <v>511527</v>
      </c>
      <c r="E12742" s="21" t="inlineStr">
        <is>
          <t>四川省宜宾市筠连县</t>
        </is>
      </c>
    </row>
    <row r="12743">
      <c r="B12743" s="41" t="inlineStr">
        <is>
          <t>AreaCode</t>
        </is>
      </c>
      <c r="C12743" s="129" t="inlineStr">
        <is>
          <t>地区代码</t>
        </is>
      </c>
      <c r="D12743" s="21" t="n">
        <v>511528</v>
      </c>
      <c r="E12743" s="21" t="inlineStr">
        <is>
          <t>四川省宜宾市兴文县</t>
        </is>
      </c>
    </row>
    <row r="12744">
      <c r="B12744" s="41" t="inlineStr">
        <is>
          <t>AreaCode</t>
        </is>
      </c>
      <c r="C12744" s="129" t="inlineStr">
        <is>
          <t>地区代码</t>
        </is>
      </c>
      <c r="D12744" s="21" t="n">
        <v>511529</v>
      </c>
      <c r="E12744" s="21" t="inlineStr">
        <is>
          <t>四川省宜宾市屏山县</t>
        </is>
      </c>
    </row>
    <row r="12745">
      <c r="B12745" s="41" t="inlineStr">
        <is>
          <t>AreaCode</t>
        </is>
      </c>
      <c r="C12745" s="129" t="inlineStr">
        <is>
          <t>地区代码</t>
        </is>
      </c>
      <c r="D12745" s="21" t="n">
        <v>511600</v>
      </c>
      <c r="E12745" s="21" t="inlineStr">
        <is>
          <t>四川省广安市</t>
        </is>
      </c>
    </row>
    <row r="12746">
      <c r="B12746" s="41" t="inlineStr">
        <is>
          <t>AreaCode</t>
        </is>
      </c>
      <c r="C12746" s="129" t="inlineStr">
        <is>
          <t>地区代码</t>
        </is>
      </c>
      <c r="D12746" s="21" t="n">
        <v>511601</v>
      </c>
      <c r="E12746" s="21" t="inlineStr">
        <is>
          <t>四川省广安市市辖区</t>
        </is>
      </c>
    </row>
    <row r="12747">
      <c r="B12747" s="41" t="inlineStr">
        <is>
          <t>AreaCode</t>
        </is>
      </c>
      <c r="C12747" s="129" t="inlineStr">
        <is>
          <t>地区代码</t>
        </is>
      </c>
      <c r="D12747" s="21" t="n">
        <v>511602</v>
      </c>
      <c r="E12747" s="21" t="inlineStr">
        <is>
          <t>四川省广安市广安区</t>
        </is>
      </c>
    </row>
    <row r="12748">
      <c r="B12748" s="41" t="inlineStr">
        <is>
          <t>AreaCode</t>
        </is>
      </c>
      <c r="C12748" s="129" t="inlineStr">
        <is>
          <t>地区代码</t>
        </is>
      </c>
      <c r="D12748" s="21" t="n">
        <v>511603</v>
      </c>
      <c r="E12748" s="21" t="inlineStr">
        <is>
          <t>四川省广安市前锋区</t>
        </is>
      </c>
    </row>
    <row r="12749">
      <c r="B12749" s="41" t="inlineStr">
        <is>
          <t>AreaCode</t>
        </is>
      </c>
      <c r="C12749" s="129" t="inlineStr">
        <is>
          <t>地区代码</t>
        </is>
      </c>
      <c r="D12749" s="21" t="n">
        <v>511621</v>
      </c>
      <c r="E12749" s="21" t="inlineStr">
        <is>
          <t>四川省广安市岳池县</t>
        </is>
      </c>
    </row>
    <row r="12750">
      <c r="B12750" s="41" t="inlineStr">
        <is>
          <t>AreaCode</t>
        </is>
      </c>
      <c r="C12750" s="129" t="inlineStr">
        <is>
          <t>地区代码</t>
        </is>
      </c>
      <c r="D12750" s="21" t="n">
        <v>511622</v>
      </c>
      <c r="E12750" s="21" t="inlineStr">
        <is>
          <t>四川省广安市武胜县</t>
        </is>
      </c>
    </row>
    <row r="12751">
      <c r="B12751" s="41" t="inlineStr">
        <is>
          <t>AreaCode</t>
        </is>
      </c>
      <c r="C12751" s="129" t="inlineStr">
        <is>
          <t>地区代码</t>
        </is>
      </c>
      <c r="D12751" s="21" t="n">
        <v>511623</v>
      </c>
      <c r="E12751" s="21" t="inlineStr">
        <is>
          <t>四川省广安市邻水县</t>
        </is>
      </c>
    </row>
    <row r="12752">
      <c r="B12752" s="41" t="inlineStr">
        <is>
          <t>AreaCode</t>
        </is>
      </c>
      <c r="C12752" s="129" t="inlineStr">
        <is>
          <t>地区代码</t>
        </is>
      </c>
      <c r="D12752" s="21" t="n">
        <v>511681</v>
      </c>
      <c r="E12752" s="21" t="inlineStr">
        <is>
          <t>四川省广安市华蓥市</t>
        </is>
      </c>
    </row>
    <row r="12753">
      <c r="B12753" s="41" t="inlineStr">
        <is>
          <t>AreaCode</t>
        </is>
      </c>
      <c r="C12753" s="129" t="inlineStr">
        <is>
          <t>地区代码</t>
        </is>
      </c>
      <c r="D12753" s="21" t="n">
        <v>511700</v>
      </c>
      <c r="E12753" s="21" t="inlineStr">
        <is>
          <t>四川省达州市</t>
        </is>
      </c>
    </row>
    <row r="12754">
      <c r="B12754" s="41" t="inlineStr">
        <is>
          <t>AreaCode</t>
        </is>
      </c>
      <c r="C12754" s="129" t="inlineStr">
        <is>
          <t>地区代码</t>
        </is>
      </c>
      <c r="D12754" s="21" t="n">
        <v>511701</v>
      </c>
      <c r="E12754" s="21" t="inlineStr">
        <is>
          <t>四川省达州市市辖区</t>
        </is>
      </c>
    </row>
    <row r="12755">
      <c r="B12755" s="41" t="inlineStr">
        <is>
          <t>AreaCode</t>
        </is>
      </c>
      <c r="C12755" s="129" t="inlineStr">
        <is>
          <t>地区代码</t>
        </is>
      </c>
      <c r="D12755" s="21" t="n">
        <v>511702</v>
      </c>
      <c r="E12755" s="21" t="inlineStr">
        <is>
          <t>四川省达州市通川区</t>
        </is>
      </c>
    </row>
    <row r="12756">
      <c r="B12756" s="41" t="inlineStr">
        <is>
          <t>AreaCode</t>
        </is>
      </c>
      <c r="C12756" s="129" t="inlineStr">
        <is>
          <t>地区代码</t>
        </is>
      </c>
      <c r="D12756" s="21" t="n">
        <v>511703</v>
      </c>
      <c r="E12756" s="21" t="inlineStr">
        <is>
          <t>四川省达州市达川区</t>
        </is>
      </c>
    </row>
    <row r="12757">
      <c r="B12757" s="41" t="inlineStr">
        <is>
          <t>AreaCode</t>
        </is>
      </c>
      <c r="C12757" s="129" t="inlineStr">
        <is>
          <t>地区代码</t>
        </is>
      </c>
      <c r="D12757" s="21" t="n">
        <v>511722</v>
      </c>
      <c r="E12757" s="21" t="inlineStr">
        <is>
          <t>四川省达州市宣汉县</t>
        </is>
      </c>
    </row>
    <row r="12758">
      <c r="B12758" s="41" t="inlineStr">
        <is>
          <t>AreaCode</t>
        </is>
      </c>
      <c r="C12758" s="129" t="inlineStr">
        <is>
          <t>地区代码</t>
        </is>
      </c>
      <c r="D12758" s="21" t="n">
        <v>511723</v>
      </c>
      <c r="E12758" s="21" t="inlineStr">
        <is>
          <t>四川省达州市开江县</t>
        </is>
      </c>
    </row>
    <row r="12759">
      <c r="B12759" s="41" t="inlineStr">
        <is>
          <t>AreaCode</t>
        </is>
      </c>
      <c r="C12759" s="129" t="inlineStr">
        <is>
          <t>地区代码</t>
        </is>
      </c>
      <c r="D12759" s="21" t="n">
        <v>511724</v>
      </c>
      <c r="E12759" s="21" t="inlineStr">
        <is>
          <t>四川省达州市大竹县</t>
        </is>
      </c>
    </row>
    <row r="12760">
      <c r="B12760" s="41" t="inlineStr">
        <is>
          <t>AreaCode</t>
        </is>
      </c>
      <c r="C12760" s="129" t="inlineStr">
        <is>
          <t>地区代码</t>
        </is>
      </c>
      <c r="D12760" s="21" t="n">
        <v>511725</v>
      </c>
      <c r="E12760" s="21" t="inlineStr">
        <is>
          <t>四川省达州市渠县</t>
        </is>
      </c>
    </row>
    <row r="12761">
      <c r="B12761" s="41" t="inlineStr">
        <is>
          <t>AreaCode</t>
        </is>
      </c>
      <c r="C12761" s="129" t="inlineStr">
        <is>
          <t>地区代码</t>
        </is>
      </c>
      <c r="D12761" s="21" t="n">
        <v>511781</v>
      </c>
      <c r="E12761" s="21" t="inlineStr">
        <is>
          <t>四川省达州市万源市</t>
        </is>
      </c>
    </row>
    <row r="12762">
      <c r="B12762" s="41" t="inlineStr">
        <is>
          <t>AreaCode</t>
        </is>
      </c>
      <c r="C12762" s="129" t="inlineStr">
        <is>
          <t>地区代码</t>
        </is>
      </c>
      <c r="D12762" s="21" t="n">
        <v>511800</v>
      </c>
      <c r="E12762" s="21" t="inlineStr">
        <is>
          <t>四川省雅安市</t>
        </is>
      </c>
    </row>
    <row r="12763">
      <c r="B12763" s="41" t="inlineStr">
        <is>
          <t>AreaCode</t>
        </is>
      </c>
      <c r="C12763" s="129" t="inlineStr">
        <is>
          <t>地区代码</t>
        </is>
      </c>
      <c r="D12763" s="21" t="n">
        <v>511801</v>
      </c>
      <c r="E12763" s="21" t="inlineStr">
        <is>
          <t>四川省雅安市市辖区</t>
        </is>
      </c>
    </row>
    <row r="12764">
      <c r="B12764" s="41" t="inlineStr">
        <is>
          <t>AreaCode</t>
        </is>
      </c>
      <c r="C12764" s="129" t="inlineStr">
        <is>
          <t>地区代码</t>
        </is>
      </c>
      <c r="D12764" s="21" t="n">
        <v>511802</v>
      </c>
      <c r="E12764" s="21" t="inlineStr">
        <is>
          <t>四川省雅安市雨城区</t>
        </is>
      </c>
    </row>
    <row r="12765">
      <c r="B12765" s="41" t="inlineStr">
        <is>
          <t>AreaCode</t>
        </is>
      </c>
      <c r="C12765" s="129" t="inlineStr">
        <is>
          <t>地区代码</t>
        </is>
      </c>
      <c r="D12765" s="21" t="n">
        <v>511803</v>
      </c>
      <c r="E12765" s="21" t="inlineStr">
        <is>
          <t>四川省雅安市名山区</t>
        </is>
      </c>
    </row>
    <row r="12766">
      <c r="B12766" s="41" t="inlineStr">
        <is>
          <t>AreaCode</t>
        </is>
      </c>
      <c r="C12766" s="129" t="inlineStr">
        <is>
          <t>地区代码</t>
        </is>
      </c>
      <c r="D12766" s="21" t="n">
        <v>511822</v>
      </c>
      <c r="E12766" s="21" t="inlineStr">
        <is>
          <t>四川省雅安市荥经县</t>
        </is>
      </c>
    </row>
    <row r="12767">
      <c r="B12767" s="41" t="inlineStr">
        <is>
          <t>AreaCode</t>
        </is>
      </c>
      <c r="C12767" s="129" t="inlineStr">
        <is>
          <t>地区代码</t>
        </is>
      </c>
      <c r="D12767" s="21" t="n">
        <v>511823</v>
      </c>
      <c r="E12767" s="21" t="inlineStr">
        <is>
          <t>四川省雅安市汉源县</t>
        </is>
      </c>
    </row>
    <row r="12768">
      <c r="B12768" s="41" t="inlineStr">
        <is>
          <t>AreaCode</t>
        </is>
      </c>
      <c r="C12768" s="129" t="inlineStr">
        <is>
          <t>地区代码</t>
        </is>
      </c>
      <c r="D12768" s="21" t="n">
        <v>511824</v>
      </c>
      <c r="E12768" s="21" t="inlineStr">
        <is>
          <t>四川省雅安市石棉县</t>
        </is>
      </c>
    </row>
    <row r="12769">
      <c r="B12769" s="41" t="inlineStr">
        <is>
          <t>AreaCode</t>
        </is>
      </c>
      <c r="C12769" s="129" t="inlineStr">
        <is>
          <t>地区代码</t>
        </is>
      </c>
      <c r="D12769" s="21" t="n">
        <v>511825</v>
      </c>
      <c r="E12769" s="21" t="inlineStr">
        <is>
          <t>四川省雅安市天全县</t>
        </is>
      </c>
    </row>
    <row r="12770">
      <c r="B12770" s="41" t="inlineStr">
        <is>
          <t>AreaCode</t>
        </is>
      </c>
      <c r="C12770" s="129" t="inlineStr">
        <is>
          <t>地区代码</t>
        </is>
      </c>
      <c r="D12770" s="21" t="n">
        <v>511826</v>
      </c>
      <c r="E12770" s="21" t="inlineStr">
        <is>
          <t>四川省雅安市芦山县</t>
        </is>
      </c>
    </row>
    <row r="12771">
      <c r="B12771" s="41" t="inlineStr">
        <is>
          <t>AreaCode</t>
        </is>
      </c>
      <c r="C12771" s="129" t="inlineStr">
        <is>
          <t>地区代码</t>
        </is>
      </c>
      <c r="D12771" s="21" t="n">
        <v>511827</v>
      </c>
      <c r="E12771" s="21" t="inlineStr">
        <is>
          <t>四川省雅安市宝兴县</t>
        </is>
      </c>
    </row>
    <row r="12772">
      <c r="B12772" s="41" t="inlineStr">
        <is>
          <t>AreaCode</t>
        </is>
      </c>
      <c r="C12772" s="129" t="inlineStr">
        <is>
          <t>地区代码</t>
        </is>
      </c>
      <c r="D12772" s="21" t="n">
        <v>511900</v>
      </c>
      <c r="E12772" s="21" t="inlineStr">
        <is>
          <t>四川省巴中市</t>
        </is>
      </c>
    </row>
    <row r="12773">
      <c r="B12773" s="41" t="inlineStr">
        <is>
          <t>AreaCode</t>
        </is>
      </c>
      <c r="C12773" s="129" t="inlineStr">
        <is>
          <t>地区代码</t>
        </is>
      </c>
      <c r="D12773" s="21" t="n">
        <v>511901</v>
      </c>
      <c r="E12773" s="21" t="inlineStr">
        <is>
          <t>四川省巴中市市辖区</t>
        </is>
      </c>
    </row>
    <row r="12774">
      <c r="B12774" s="41" t="inlineStr">
        <is>
          <t>AreaCode</t>
        </is>
      </c>
      <c r="C12774" s="129" t="inlineStr">
        <is>
          <t>地区代码</t>
        </is>
      </c>
      <c r="D12774" s="21" t="n">
        <v>511902</v>
      </c>
      <c r="E12774" s="21" t="inlineStr">
        <is>
          <t>四川省巴中市巴州区</t>
        </is>
      </c>
    </row>
    <row r="12775">
      <c r="B12775" s="41" t="inlineStr">
        <is>
          <t>AreaCode</t>
        </is>
      </c>
      <c r="C12775" s="129" t="inlineStr">
        <is>
          <t>地区代码</t>
        </is>
      </c>
      <c r="D12775" s="21" t="n">
        <v>511903</v>
      </c>
      <c r="E12775" s="21" t="inlineStr">
        <is>
          <t>四川省巴中市恩阳区</t>
        </is>
      </c>
    </row>
    <row r="12776">
      <c r="B12776" s="41" t="inlineStr">
        <is>
          <t>AreaCode</t>
        </is>
      </c>
      <c r="C12776" s="129" t="inlineStr">
        <is>
          <t>地区代码</t>
        </is>
      </c>
      <c r="D12776" s="21" t="n">
        <v>511921</v>
      </c>
      <c r="E12776" s="21" t="inlineStr">
        <is>
          <t>四川省巴中市通江县</t>
        </is>
      </c>
    </row>
    <row r="12777">
      <c r="B12777" s="41" t="inlineStr">
        <is>
          <t>AreaCode</t>
        </is>
      </c>
      <c r="C12777" s="129" t="inlineStr">
        <is>
          <t>地区代码</t>
        </is>
      </c>
      <c r="D12777" s="21" t="n">
        <v>511922</v>
      </c>
      <c r="E12777" s="21" t="inlineStr">
        <is>
          <t>四川省巴中市南江县</t>
        </is>
      </c>
    </row>
    <row r="12778">
      <c r="B12778" s="41" t="inlineStr">
        <is>
          <t>AreaCode</t>
        </is>
      </c>
      <c r="C12778" s="129" t="inlineStr">
        <is>
          <t>地区代码</t>
        </is>
      </c>
      <c r="D12778" s="21" t="n">
        <v>511923</v>
      </c>
      <c r="E12778" s="21" t="inlineStr">
        <is>
          <t>四川省巴中市平昌县</t>
        </is>
      </c>
    </row>
    <row r="12779">
      <c r="B12779" s="41" t="inlineStr">
        <is>
          <t>AreaCode</t>
        </is>
      </c>
      <c r="C12779" s="129" t="inlineStr">
        <is>
          <t>地区代码</t>
        </is>
      </c>
      <c r="D12779" s="21" t="n">
        <v>512000</v>
      </c>
      <c r="E12779" s="21" t="inlineStr">
        <is>
          <t>四川省资阳市</t>
        </is>
      </c>
    </row>
    <row r="12780">
      <c r="B12780" s="41" t="inlineStr">
        <is>
          <t>AreaCode</t>
        </is>
      </c>
      <c r="C12780" s="129" t="inlineStr">
        <is>
          <t>地区代码</t>
        </is>
      </c>
      <c r="D12780" s="21" t="n">
        <v>512001</v>
      </c>
      <c r="E12780" s="21" t="inlineStr">
        <is>
          <t>四川省资阳市市辖区</t>
        </is>
      </c>
    </row>
    <row r="12781">
      <c r="B12781" s="41" t="inlineStr">
        <is>
          <t>AreaCode</t>
        </is>
      </c>
      <c r="C12781" s="129" t="inlineStr">
        <is>
          <t>地区代码</t>
        </is>
      </c>
      <c r="D12781" s="21" t="n">
        <v>512002</v>
      </c>
      <c r="E12781" s="21" t="inlineStr">
        <is>
          <t>四川省资阳市雁江区</t>
        </is>
      </c>
    </row>
    <row r="12782">
      <c r="B12782" s="41" t="inlineStr">
        <is>
          <t>AreaCode</t>
        </is>
      </c>
      <c r="C12782" s="129" t="inlineStr">
        <is>
          <t>地区代码</t>
        </is>
      </c>
      <c r="D12782" s="21" t="n">
        <v>512021</v>
      </c>
      <c r="E12782" s="21" t="inlineStr">
        <is>
          <t>四川省资阳市安岳县</t>
        </is>
      </c>
    </row>
    <row r="12783">
      <c r="B12783" s="41" t="inlineStr">
        <is>
          <t>AreaCode</t>
        </is>
      </c>
      <c r="C12783" s="129" t="inlineStr">
        <is>
          <t>地区代码</t>
        </is>
      </c>
      <c r="D12783" s="21" t="n">
        <v>512022</v>
      </c>
      <c r="E12783" s="21" t="inlineStr">
        <is>
          <t>四川省资阳市乐至县</t>
        </is>
      </c>
    </row>
    <row r="12784">
      <c r="B12784" s="41" t="inlineStr">
        <is>
          <t>AreaCode</t>
        </is>
      </c>
      <c r="C12784" s="129" t="inlineStr">
        <is>
          <t>地区代码</t>
        </is>
      </c>
      <c r="D12784" s="21" t="n">
        <v>512081</v>
      </c>
      <c r="E12784" s="21" t="inlineStr">
        <is>
          <t>四川省资阳市简阳市</t>
        </is>
      </c>
    </row>
    <row r="12785">
      <c r="B12785" s="41" t="inlineStr">
        <is>
          <t>AreaCode</t>
        </is>
      </c>
      <c r="C12785" s="129" t="inlineStr">
        <is>
          <t>地区代码</t>
        </is>
      </c>
      <c r="D12785" s="21" t="n">
        <v>513200</v>
      </c>
      <c r="E12785" s="21" t="inlineStr">
        <is>
          <t>四川省阿坝藏族羌族自治州</t>
        </is>
      </c>
    </row>
    <row r="12786">
      <c r="B12786" s="41" t="inlineStr">
        <is>
          <t>AreaCode</t>
        </is>
      </c>
      <c r="C12786" s="129" t="inlineStr">
        <is>
          <t>地区代码</t>
        </is>
      </c>
      <c r="D12786" s="21" t="n">
        <v>513221</v>
      </c>
      <c r="E12786" s="21" t="inlineStr">
        <is>
          <t>四川省阿坝藏族羌族自治州汶川县</t>
        </is>
      </c>
    </row>
    <row r="12787">
      <c r="B12787" s="41" t="inlineStr">
        <is>
          <t>AreaCode</t>
        </is>
      </c>
      <c r="C12787" s="129" t="inlineStr">
        <is>
          <t>地区代码</t>
        </is>
      </c>
      <c r="D12787" s="21" t="n">
        <v>513222</v>
      </c>
      <c r="E12787" s="21" t="inlineStr">
        <is>
          <t>四川省阿坝藏族羌族自治州理县</t>
        </is>
      </c>
    </row>
    <row r="12788">
      <c r="B12788" s="41" t="inlineStr">
        <is>
          <t>AreaCode</t>
        </is>
      </c>
      <c r="C12788" s="129" t="inlineStr">
        <is>
          <t>地区代码</t>
        </is>
      </c>
      <c r="D12788" s="21" t="n">
        <v>513223</v>
      </c>
      <c r="E12788" s="21" t="inlineStr">
        <is>
          <t>四川省阿坝藏族羌族自治州茂县</t>
        </is>
      </c>
    </row>
    <row r="12789">
      <c r="B12789" s="41" t="inlineStr">
        <is>
          <t>AreaCode</t>
        </is>
      </c>
      <c r="C12789" s="129" t="inlineStr">
        <is>
          <t>地区代码</t>
        </is>
      </c>
      <c r="D12789" s="21" t="n">
        <v>513224</v>
      </c>
      <c r="E12789" s="21" t="inlineStr">
        <is>
          <t>四川省阿坝藏族羌族自治州松潘县</t>
        </is>
      </c>
    </row>
    <row r="12790">
      <c r="B12790" s="41" t="inlineStr">
        <is>
          <t>AreaCode</t>
        </is>
      </c>
      <c r="C12790" s="129" t="inlineStr">
        <is>
          <t>地区代码</t>
        </is>
      </c>
      <c r="D12790" s="21" t="n">
        <v>513225</v>
      </c>
      <c r="E12790" s="21" t="inlineStr">
        <is>
          <t>四川省阿坝藏族羌族自治州九寨沟县</t>
        </is>
      </c>
    </row>
    <row r="12791">
      <c r="B12791" s="41" t="inlineStr">
        <is>
          <t>AreaCode</t>
        </is>
      </c>
      <c r="C12791" s="129" t="inlineStr">
        <is>
          <t>地区代码</t>
        </is>
      </c>
      <c r="D12791" s="21" t="n">
        <v>513226</v>
      </c>
      <c r="E12791" s="21" t="inlineStr">
        <is>
          <t>四川省阿坝藏族羌族自治州金川县</t>
        </is>
      </c>
    </row>
    <row r="12792">
      <c r="B12792" s="41" t="inlineStr">
        <is>
          <t>AreaCode</t>
        </is>
      </c>
      <c r="C12792" s="129" t="inlineStr">
        <is>
          <t>地区代码</t>
        </is>
      </c>
      <c r="D12792" s="21" t="n">
        <v>513227</v>
      </c>
      <c r="E12792" s="21" t="inlineStr">
        <is>
          <t>四川省阿坝藏族羌族自治州小金县</t>
        </is>
      </c>
    </row>
    <row r="12793">
      <c r="B12793" s="41" t="inlineStr">
        <is>
          <t>AreaCode</t>
        </is>
      </c>
      <c r="C12793" s="129" t="inlineStr">
        <is>
          <t>地区代码</t>
        </is>
      </c>
      <c r="D12793" s="21" t="n">
        <v>513228</v>
      </c>
      <c r="E12793" s="21" t="inlineStr">
        <is>
          <t>四川省阿坝藏族羌族自治州黑水县</t>
        </is>
      </c>
    </row>
    <row r="12794">
      <c r="B12794" s="41" t="inlineStr">
        <is>
          <t>AreaCode</t>
        </is>
      </c>
      <c r="C12794" s="129" t="inlineStr">
        <is>
          <t>地区代码</t>
        </is>
      </c>
      <c r="D12794" s="21" t="n">
        <v>513229</v>
      </c>
      <c r="E12794" s="21" t="inlineStr">
        <is>
          <t>四川省阿坝藏族羌族自治州马尔康县</t>
        </is>
      </c>
    </row>
    <row r="12795">
      <c r="B12795" s="41" t="inlineStr">
        <is>
          <t>AreaCode</t>
        </is>
      </c>
      <c r="C12795" s="129" t="inlineStr">
        <is>
          <t>地区代码</t>
        </is>
      </c>
      <c r="D12795" s="21" t="n">
        <v>513230</v>
      </c>
      <c r="E12795" s="21" t="inlineStr">
        <is>
          <t>四川省阿坝藏族羌族自治州壤塘县</t>
        </is>
      </c>
    </row>
    <row r="12796">
      <c r="B12796" s="41" t="inlineStr">
        <is>
          <t>AreaCode</t>
        </is>
      </c>
      <c r="C12796" s="129" t="inlineStr">
        <is>
          <t>地区代码</t>
        </is>
      </c>
      <c r="D12796" s="21" t="n">
        <v>513231</v>
      </c>
      <c r="E12796" s="21" t="inlineStr">
        <is>
          <t>四川省阿坝藏族羌族自治州阿坝县</t>
        </is>
      </c>
    </row>
    <row r="12797">
      <c r="B12797" s="41" t="inlineStr">
        <is>
          <t>AreaCode</t>
        </is>
      </c>
      <c r="C12797" s="129" t="inlineStr">
        <is>
          <t>地区代码</t>
        </is>
      </c>
      <c r="D12797" s="21" t="n">
        <v>513232</v>
      </c>
      <c r="E12797" s="21" t="inlineStr">
        <is>
          <t>四川省阿坝藏族羌族自治州若尔盖县</t>
        </is>
      </c>
    </row>
    <row r="12798">
      <c r="B12798" s="41" t="inlineStr">
        <is>
          <t>AreaCode</t>
        </is>
      </c>
      <c r="C12798" s="129" t="inlineStr">
        <is>
          <t>地区代码</t>
        </is>
      </c>
      <c r="D12798" s="21" t="n">
        <v>513233</v>
      </c>
      <c r="E12798" s="21" t="inlineStr">
        <is>
          <t>四川省阿坝藏族羌族自治州红原县</t>
        </is>
      </c>
    </row>
    <row r="12799">
      <c r="B12799" s="41" t="inlineStr">
        <is>
          <t>AreaCode</t>
        </is>
      </c>
      <c r="C12799" s="129" t="inlineStr">
        <is>
          <t>地区代码</t>
        </is>
      </c>
      <c r="D12799" s="21" t="n">
        <v>513300</v>
      </c>
      <c r="E12799" s="21" t="inlineStr">
        <is>
          <t>四川省甘孜藏族自治州</t>
        </is>
      </c>
    </row>
    <row r="12800">
      <c r="B12800" s="41" t="inlineStr">
        <is>
          <t>AreaCode</t>
        </is>
      </c>
      <c r="C12800" s="129" t="inlineStr">
        <is>
          <t>地区代码</t>
        </is>
      </c>
      <c r="D12800" s="21" t="n">
        <v>513321</v>
      </c>
      <c r="E12800" s="21" t="inlineStr">
        <is>
          <t>四川省甘孜藏族自治州康定县</t>
        </is>
      </c>
    </row>
    <row r="12801">
      <c r="B12801" s="41" t="inlineStr">
        <is>
          <t>AreaCode</t>
        </is>
      </c>
      <c r="C12801" s="129" t="inlineStr">
        <is>
          <t>地区代码</t>
        </is>
      </c>
      <c r="D12801" s="21" t="n">
        <v>513322</v>
      </c>
      <c r="E12801" s="21" t="inlineStr">
        <is>
          <t>四川省甘孜藏族自治州泸定县</t>
        </is>
      </c>
    </row>
    <row r="12802">
      <c r="B12802" s="41" t="inlineStr">
        <is>
          <t>AreaCode</t>
        </is>
      </c>
      <c r="C12802" s="129" t="inlineStr">
        <is>
          <t>地区代码</t>
        </is>
      </c>
      <c r="D12802" s="21" t="n">
        <v>513323</v>
      </c>
      <c r="E12802" s="21" t="inlineStr">
        <is>
          <t>四川省甘孜藏族自治州丹巴县</t>
        </is>
      </c>
    </row>
    <row r="12803">
      <c r="B12803" s="41" t="inlineStr">
        <is>
          <t>AreaCode</t>
        </is>
      </c>
      <c r="C12803" s="129" t="inlineStr">
        <is>
          <t>地区代码</t>
        </is>
      </c>
      <c r="D12803" s="21" t="n">
        <v>513324</v>
      </c>
      <c r="E12803" s="21" t="inlineStr">
        <is>
          <t>四川省甘孜藏族自治州九龙县</t>
        </is>
      </c>
    </row>
    <row r="12804">
      <c r="B12804" s="41" t="inlineStr">
        <is>
          <t>AreaCode</t>
        </is>
      </c>
      <c r="C12804" s="129" t="inlineStr">
        <is>
          <t>地区代码</t>
        </is>
      </c>
      <c r="D12804" s="21" t="n">
        <v>513325</v>
      </c>
      <c r="E12804" s="21" t="inlineStr">
        <is>
          <t>四川省甘孜藏族自治州雅江县</t>
        </is>
      </c>
    </row>
    <row r="12805">
      <c r="B12805" s="41" t="inlineStr">
        <is>
          <t>AreaCode</t>
        </is>
      </c>
      <c r="C12805" s="129" t="inlineStr">
        <is>
          <t>地区代码</t>
        </is>
      </c>
      <c r="D12805" s="21" t="n">
        <v>513326</v>
      </c>
      <c r="E12805" s="21" t="inlineStr">
        <is>
          <t>四川省甘孜藏族自治州道孚县</t>
        </is>
      </c>
    </row>
    <row r="12806">
      <c r="B12806" s="41" t="inlineStr">
        <is>
          <t>AreaCode</t>
        </is>
      </c>
      <c r="C12806" s="129" t="inlineStr">
        <is>
          <t>地区代码</t>
        </is>
      </c>
      <c r="D12806" s="21" t="n">
        <v>513327</v>
      </c>
      <c r="E12806" s="21" t="inlineStr">
        <is>
          <t>四川省甘孜藏族自治州炉霍县</t>
        </is>
      </c>
    </row>
    <row r="12807">
      <c r="B12807" s="41" t="inlineStr">
        <is>
          <t>AreaCode</t>
        </is>
      </c>
      <c r="C12807" s="129" t="inlineStr">
        <is>
          <t>地区代码</t>
        </is>
      </c>
      <c r="D12807" s="21" t="n">
        <v>513328</v>
      </c>
      <c r="E12807" s="21" t="inlineStr">
        <is>
          <t>四川省甘孜藏族自治州甘孜县</t>
        </is>
      </c>
    </row>
    <row r="12808">
      <c r="B12808" s="41" t="inlineStr">
        <is>
          <t>AreaCode</t>
        </is>
      </c>
      <c r="C12808" s="129" t="inlineStr">
        <is>
          <t>地区代码</t>
        </is>
      </c>
      <c r="D12808" s="21" t="n">
        <v>513329</v>
      </c>
      <c r="E12808" s="21" t="inlineStr">
        <is>
          <t>四川省甘孜藏族自治州新龙县</t>
        </is>
      </c>
    </row>
    <row r="12809">
      <c r="B12809" s="41" t="inlineStr">
        <is>
          <t>AreaCode</t>
        </is>
      </c>
      <c r="C12809" s="129" t="inlineStr">
        <is>
          <t>地区代码</t>
        </is>
      </c>
      <c r="D12809" s="21" t="n">
        <v>513330</v>
      </c>
      <c r="E12809" s="21" t="inlineStr">
        <is>
          <t>四川省甘孜藏族自治州德格县</t>
        </is>
      </c>
    </row>
    <row r="12810">
      <c r="B12810" s="41" t="inlineStr">
        <is>
          <t>AreaCode</t>
        </is>
      </c>
      <c r="C12810" s="129" t="inlineStr">
        <is>
          <t>地区代码</t>
        </is>
      </c>
      <c r="D12810" s="21" t="n">
        <v>513331</v>
      </c>
      <c r="E12810" s="21" t="inlineStr">
        <is>
          <t>四川省甘孜藏族自治州白玉县</t>
        </is>
      </c>
    </row>
    <row r="12811">
      <c r="B12811" s="41" t="inlineStr">
        <is>
          <t>AreaCode</t>
        </is>
      </c>
      <c r="C12811" s="129" t="inlineStr">
        <is>
          <t>地区代码</t>
        </is>
      </c>
      <c r="D12811" s="21" t="n">
        <v>513332</v>
      </c>
      <c r="E12811" s="21" t="inlineStr">
        <is>
          <t>四川省甘孜藏族自治州石渠县</t>
        </is>
      </c>
    </row>
    <row r="12812">
      <c r="B12812" s="41" t="inlineStr">
        <is>
          <t>AreaCode</t>
        </is>
      </c>
      <c r="C12812" s="129" t="inlineStr">
        <is>
          <t>地区代码</t>
        </is>
      </c>
      <c r="D12812" s="21" t="n">
        <v>513333</v>
      </c>
      <c r="E12812" s="21" t="inlineStr">
        <is>
          <t>四川省甘孜藏族自治州色达县</t>
        </is>
      </c>
    </row>
    <row r="12813">
      <c r="B12813" s="41" t="inlineStr">
        <is>
          <t>AreaCode</t>
        </is>
      </c>
      <c r="C12813" s="129" t="inlineStr">
        <is>
          <t>地区代码</t>
        </is>
      </c>
      <c r="D12813" s="21" t="n">
        <v>513334</v>
      </c>
      <c r="E12813" s="21" t="inlineStr">
        <is>
          <t>四川省甘孜藏族自治州理塘县</t>
        </is>
      </c>
    </row>
    <row r="12814">
      <c r="B12814" s="41" t="inlineStr">
        <is>
          <t>AreaCode</t>
        </is>
      </c>
      <c r="C12814" s="129" t="inlineStr">
        <is>
          <t>地区代码</t>
        </is>
      </c>
      <c r="D12814" s="21" t="n">
        <v>513335</v>
      </c>
      <c r="E12814" s="21" t="inlineStr">
        <is>
          <t>四川省甘孜藏族自治州巴塘县</t>
        </is>
      </c>
    </row>
    <row r="12815">
      <c r="B12815" s="41" t="inlineStr">
        <is>
          <t>AreaCode</t>
        </is>
      </c>
      <c r="C12815" s="129" t="inlineStr">
        <is>
          <t>地区代码</t>
        </is>
      </c>
      <c r="D12815" s="21" t="n">
        <v>513336</v>
      </c>
      <c r="E12815" s="21" t="inlineStr">
        <is>
          <t>四川省甘孜藏族自治州乡城县</t>
        </is>
      </c>
    </row>
    <row r="12816">
      <c r="B12816" s="41" t="inlineStr">
        <is>
          <t>AreaCode</t>
        </is>
      </c>
      <c r="C12816" s="129" t="inlineStr">
        <is>
          <t>地区代码</t>
        </is>
      </c>
      <c r="D12816" s="21" t="n">
        <v>513337</v>
      </c>
      <c r="E12816" s="21" t="inlineStr">
        <is>
          <t>四川省甘孜藏族自治州稻城县</t>
        </is>
      </c>
    </row>
    <row r="12817">
      <c r="B12817" s="41" t="inlineStr">
        <is>
          <t>AreaCode</t>
        </is>
      </c>
      <c r="C12817" s="129" t="inlineStr">
        <is>
          <t>地区代码</t>
        </is>
      </c>
      <c r="D12817" s="21" t="n">
        <v>513338</v>
      </c>
      <c r="E12817" s="21" t="inlineStr">
        <is>
          <t>四川省甘孜藏族自治州得荣县</t>
        </is>
      </c>
    </row>
    <row r="12818">
      <c r="B12818" s="41" t="inlineStr">
        <is>
          <t>AreaCode</t>
        </is>
      </c>
      <c r="C12818" s="129" t="inlineStr">
        <is>
          <t>地区代码</t>
        </is>
      </c>
      <c r="D12818" s="21" t="n">
        <v>513400</v>
      </c>
      <c r="E12818" s="21" t="inlineStr">
        <is>
          <t>四川省凉山彝族自治州</t>
        </is>
      </c>
    </row>
    <row r="12819">
      <c r="B12819" s="41" t="inlineStr">
        <is>
          <t>AreaCode</t>
        </is>
      </c>
      <c r="C12819" s="129" t="inlineStr">
        <is>
          <t>地区代码</t>
        </is>
      </c>
      <c r="D12819" s="21" t="n">
        <v>513401</v>
      </c>
      <c r="E12819" s="21" t="inlineStr">
        <is>
          <t>四川省凉山彝族自治州西昌市</t>
        </is>
      </c>
    </row>
    <row r="12820">
      <c r="B12820" s="41" t="inlineStr">
        <is>
          <t>AreaCode</t>
        </is>
      </c>
      <c r="C12820" s="129" t="inlineStr">
        <is>
          <t>地区代码</t>
        </is>
      </c>
      <c r="D12820" s="21" t="n">
        <v>513422</v>
      </c>
      <c r="E12820" s="21" t="inlineStr">
        <is>
          <t>四川省凉山彝族自治州木里藏族自治县</t>
        </is>
      </c>
    </row>
    <row r="12821">
      <c r="B12821" s="41" t="inlineStr">
        <is>
          <t>AreaCode</t>
        </is>
      </c>
      <c r="C12821" s="129" t="inlineStr">
        <is>
          <t>地区代码</t>
        </is>
      </c>
      <c r="D12821" s="21" t="n">
        <v>513423</v>
      </c>
      <c r="E12821" s="21" t="inlineStr">
        <is>
          <t>四川省凉山彝族自治州盐源县</t>
        </is>
      </c>
    </row>
    <row r="12822">
      <c r="B12822" s="41" t="inlineStr">
        <is>
          <t>AreaCode</t>
        </is>
      </c>
      <c r="C12822" s="129" t="inlineStr">
        <is>
          <t>地区代码</t>
        </is>
      </c>
      <c r="D12822" s="21" t="n">
        <v>513424</v>
      </c>
      <c r="E12822" s="21" t="inlineStr">
        <is>
          <t>四川省凉山彝族自治州德昌县</t>
        </is>
      </c>
    </row>
    <row r="12823">
      <c r="B12823" s="41" t="inlineStr">
        <is>
          <t>AreaCode</t>
        </is>
      </c>
      <c r="C12823" s="129" t="inlineStr">
        <is>
          <t>地区代码</t>
        </is>
      </c>
      <c r="D12823" s="21" t="n">
        <v>513425</v>
      </c>
      <c r="E12823" s="21" t="inlineStr">
        <is>
          <t>四川省凉山彝族自治州会理县</t>
        </is>
      </c>
    </row>
    <row r="12824">
      <c r="B12824" s="41" t="inlineStr">
        <is>
          <t>AreaCode</t>
        </is>
      </c>
      <c r="C12824" s="129" t="inlineStr">
        <is>
          <t>地区代码</t>
        </is>
      </c>
      <c r="D12824" s="21" t="n">
        <v>513426</v>
      </c>
      <c r="E12824" s="21" t="inlineStr">
        <is>
          <t>四川省凉山彝族自治州会东县</t>
        </is>
      </c>
    </row>
    <row r="12825">
      <c r="B12825" s="41" t="inlineStr">
        <is>
          <t>AreaCode</t>
        </is>
      </c>
      <c r="C12825" s="129" t="inlineStr">
        <is>
          <t>地区代码</t>
        </is>
      </c>
      <c r="D12825" s="21" t="n">
        <v>513427</v>
      </c>
      <c r="E12825" s="21" t="inlineStr">
        <is>
          <t>四川省凉山彝族自治州宁南县</t>
        </is>
      </c>
    </row>
    <row r="12826">
      <c r="B12826" s="41" t="inlineStr">
        <is>
          <t>AreaCode</t>
        </is>
      </c>
      <c r="C12826" s="129" t="inlineStr">
        <is>
          <t>地区代码</t>
        </is>
      </c>
      <c r="D12826" s="21" t="n">
        <v>513428</v>
      </c>
      <c r="E12826" s="21" t="inlineStr">
        <is>
          <t>四川省凉山彝族自治州普格县</t>
        </is>
      </c>
    </row>
    <row r="12827">
      <c r="B12827" s="41" t="inlineStr">
        <is>
          <t>AreaCode</t>
        </is>
      </c>
      <c r="C12827" s="129" t="inlineStr">
        <is>
          <t>地区代码</t>
        </is>
      </c>
      <c r="D12827" s="21" t="n">
        <v>513429</v>
      </c>
      <c r="E12827" s="21" t="inlineStr">
        <is>
          <t>四川省凉山彝族自治州布拖县</t>
        </is>
      </c>
    </row>
    <row r="12828">
      <c r="B12828" s="41" t="inlineStr">
        <is>
          <t>AreaCode</t>
        </is>
      </c>
      <c r="C12828" s="129" t="inlineStr">
        <is>
          <t>地区代码</t>
        </is>
      </c>
      <c r="D12828" s="21" t="n">
        <v>513430</v>
      </c>
      <c r="E12828" s="21" t="inlineStr">
        <is>
          <t>四川省凉山彝族自治州金阳县</t>
        </is>
      </c>
    </row>
    <row r="12829">
      <c r="B12829" s="41" t="inlineStr">
        <is>
          <t>AreaCode</t>
        </is>
      </c>
      <c r="C12829" s="129" t="inlineStr">
        <is>
          <t>地区代码</t>
        </is>
      </c>
      <c r="D12829" s="21" t="n">
        <v>513431</v>
      </c>
      <c r="E12829" s="21" t="inlineStr">
        <is>
          <t>四川省凉山彝族自治州昭觉县</t>
        </is>
      </c>
    </row>
    <row r="12830">
      <c r="B12830" s="41" t="inlineStr">
        <is>
          <t>AreaCode</t>
        </is>
      </c>
      <c r="C12830" s="129" t="inlineStr">
        <is>
          <t>地区代码</t>
        </is>
      </c>
      <c r="D12830" s="21" t="n">
        <v>513432</v>
      </c>
      <c r="E12830" s="21" t="inlineStr">
        <is>
          <t>四川省凉山彝族自治州喜德县</t>
        </is>
      </c>
    </row>
    <row r="12831">
      <c r="B12831" s="41" t="inlineStr">
        <is>
          <t>AreaCode</t>
        </is>
      </c>
      <c r="C12831" s="129" t="inlineStr">
        <is>
          <t>地区代码</t>
        </is>
      </c>
      <c r="D12831" s="21" t="n">
        <v>513433</v>
      </c>
      <c r="E12831" s="21" t="inlineStr">
        <is>
          <t>四川省凉山彝族自治州冕宁县</t>
        </is>
      </c>
    </row>
    <row r="12832">
      <c r="B12832" s="41" t="inlineStr">
        <is>
          <t>AreaCode</t>
        </is>
      </c>
      <c r="C12832" s="129" t="inlineStr">
        <is>
          <t>地区代码</t>
        </is>
      </c>
      <c r="D12832" s="21" t="n">
        <v>513434</v>
      </c>
      <c r="E12832" s="21" t="inlineStr">
        <is>
          <t>四川省凉山彝族自治州越西县</t>
        </is>
      </c>
    </row>
    <row r="12833">
      <c r="B12833" s="41" t="inlineStr">
        <is>
          <t>AreaCode</t>
        </is>
      </c>
      <c r="C12833" s="129" t="inlineStr">
        <is>
          <t>地区代码</t>
        </is>
      </c>
      <c r="D12833" s="21" t="n">
        <v>513435</v>
      </c>
      <c r="E12833" s="21" t="inlineStr">
        <is>
          <t>四川省凉山彝族自治州甘洛县</t>
        </is>
      </c>
    </row>
    <row r="12834">
      <c r="B12834" s="41" t="inlineStr">
        <is>
          <t>AreaCode</t>
        </is>
      </c>
      <c r="C12834" s="129" t="inlineStr">
        <is>
          <t>地区代码</t>
        </is>
      </c>
      <c r="D12834" s="21" t="n">
        <v>513436</v>
      </c>
      <c r="E12834" s="21" t="inlineStr">
        <is>
          <t>四川省凉山彝族自治州美姑县</t>
        </is>
      </c>
    </row>
    <row r="12835">
      <c r="B12835" s="41" t="inlineStr">
        <is>
          <t>AreaCode</t>
        </is>
      </c>
      <c r="C12835" s="129" t="inlineStr">
        <is>
          <t>地区代码</t>
        </is>
      </c>
      <c r="D12835" s="21" t="n">
        <v>513437</v>
      </c>
      <c r="E12835" s="21" t="inlineStr">
        <is>
          <t>四川省凉山彝族自治州雷波县</t>
        </is>
      </c>
    </row>
    <row r="12836">
      <c r="B12836" s="41" t="inlineStr">
        <is>
          <t>AreaCode</t>
        </is>
      </c>
      <c r="C12836" s="129" t="inlineStr">
        <is>
          <t>地区代码</t>
        </is>
      </c>
      <c r="D12836" s="21" t="n">
        <v>520000</v>
      </c>
      <c r="E12836" s="21" t="inlineStr">
        <is>
          <t>贵州省</t>
        </is>
      </c>
    </row>
    <row r="12837">
      <c r="B12837" s="41" t="inlineStr">
        <is>
          <t>AreaCode</t>
        </is>
      </c>
      <c r="C12837" s="129" t="inlineStr">
        <is>
          <t>地区代码</t>
        </is>
      </c>
      <c r="D12837" s="21" t="n">
        <v>520100</v>
      </c>
      <c r="E12837" s="21" t="inlineStr">
        <is>
          <t>贵州省贵阳市</t>
        </is>
      </c>
    </row>
    <row r="12838">
      <c r="B12838" s="41" t="inlineStr">
        <is>
          <t>AreaCode</t>
        </is>
      </c>
      <c r="C12838" s="129" t="inlineStr">
        <is>
          <t>地区代码</t>
        </is>
      </c>
      <c r="D12838" s="21" t="n">
        <v>520101</v>
      </c>
      <c r="E12838" s="21" t="inlineStr">
        <is>
          <t>贵州省贵阳市市辖区</t>
        </is>
      </c>
    </row>
    <row r="12839">
      <c r="B12839" s="41" t="inlineStr">
        <is>
          <t>AreaCode</t>
        </is>
      </c>
      <c r="C12839" s="129" t="inlineStr">
        <is>
          <t>地区代码</t>
        </is>
      </c>
      <c r="D12839" s="21" t="n">
        <v>520102</v>
      </c>
      <c r="E12839" s="21" t="inlineStr">
        <is>
          <t>贵州省贵阳市南明区</t>
        </is>
      </c>
    </row>
    <row r="12840">
      <c r="B12840" s="41" t="inlineStr">
        <is>
          <t>AreaCode</t>
        </is>
      </c>
      <c r="C12840" s="129" t="inlineStr">
        <is>
          <t>地区代码</t>
        </is>
      </c>
      <c r="D12840" s="21" t="n">
        <v>520103</v>
      </c>
      <c r="E12840" s="21" t="inlineStr">
        <is>
          <t>贵州省贵阳市云岩区</t>
        </is>
      </c>
    </row>
    <row r="12841">
      <c r="B12841" s="41" t="inlineStr">
        <is>
          <t>AreaCode</t>
        </is>
      </c>
      <c r="C12841" s="129" t="inlineStr">
        <is>
          <t>地区代码</t>
        </is>
      </c>
      <c r="D12841" s="21" t="n">
        <v>520111</v>
      </c>
      <c r="E12841" s="21" t="inlineStr">
        <is>
          <t>贵州省贵阳市花溪区</t>
        </is>
      </c>
    </row>
    <row r="12842">
      <c r="B12842" s="41" t="inlineStr">
        <is>
          <t>AreaCode</t>
        </is>
      </c>
      <c r="C12842" s="129" t="inlineStr">
        <is>
          <t>地区代码</t>
        </is>
      </c>
      <c r="D12842" s="21" t="n">
        <v>520112</v>
      </c>
      <c r="E12842" s="21" t="inlineStr">
        <is>
          <t>贵州省贵阳市乌当区</t>
        </is>
      </c>
    </row>
    <row r="12843">
      <c r="B12843" s="41" t="inlineStr">
        <is>
          <t>AreaCode</t>
        </is>
      </c>
      <c r="C12843" s="129" t="inlineStr">
        <is>
          <t>地区代码</t>
        </is>
      </c>
      <c r="D12843" s="21" t="n">
        <v>520113</v>
      </c>
      <c r="E12843" s="21" t="inlineStr">
        <is>
          <t>贵州省贵阳市白云区</t>
        </is>
      </c>
    </row>
    <row r="12844">
      <c r="B12844" s="41" t="inlineStr">
        <is>
          <t>AreaCode</t>
        </is>
      </c>
      <c r="C12844" s="129" t="inlineStr">
        <is>
          <t>地区代码</t>
        </is>
      </c>
      <c r="D12844" s="21" t="n">
        <v>520115</v>
      </c>
      <c r="E12844" s="21" t="inlineStr">
        <is>
          <t>贵州省贵阳市观山湖区</t>
        </is>
      </c>
    </row>
    <row r="12845">
      <c r="B12845" s="41" t="inlineStr">
        <is>
          <t>AreaCode</t>
        </is>
      </c>
      <c r="C12845" s="129" t="inlineStr">
        <is>
          <t>地区代码</t>
        </is>
      </c>
      <c r="D12845" s="21" t="n">
        <v>520121</v>
      </c>
      <c r="E12845" s="21" t="inlineStr">
        <is>
          <t>贵州省贵阳市开阳县</t>
        </is>
      </c>
    </row>
    <row r="12846">
      <c r="B12846" s="41" t="inlineStr">
        <is>
          <t>AreaCode</t>
        </is>
      </c>
      <c r="C12846" s="129" t="inlineStr">
        <is>
          <t>地区代码</t>
        </is>
      </c>
      <c r="D12846" s="21" t="n">
        <v>520122</v>
      </c>
      <c r="E12846" s="21" t="inlineStr">
        <is>
          <t>贵州省贵阳市息烽县</t>
        </is>
      </c>
    </row>
    <row r="12847">
      <c r="B12847" s="41" t="inlineStr">
        <is>
          <t>AreaCode</t>
        </is>
      </c>
      <c r="C12847" s="129" t="inlineStr">
        <is>
          <t>地区代码</t>
        </is>
      </c>
      <c r="D12847" s="21" t="n">
        <v>520123</v>
      </c>
      <c r="E12847" s="21" t="inlineStr">
        <is>
          <t>贵州省贵阳市修文县</t>
        </is>
      </c>
    </row>
    <row r="12848">
      <c r="B12848" s="41" t="inlineStr">
        <is>
          <t>AreaCode</t>
        </is>
      </c>
      <c r="C12848" s="129" t="inlineStr">
        <is>
          <t>地区代码</t>
        </is>
      </c>
      <c r="D12848" s="21" t="n">
        <v>520181</v>
      </c>
      <c r="E12848" s="21" t="inlineStr">
        <is>
          <t>贵州省贵阳市清镇市</t>
        </is>
      </c>
    </row>
    <row r="12849">
      <c r="B12849" s="41" t="inlineStr">
        <is>
          <t>AreaCode</t>
        </is>
      </c>
      <c r="C12849" s="129" t="inlineStr">
        <is>
          <t>地区代码</t>
        </is>
      </c>
      <c r="D12849" s="21" t="n">
        <v>520200</v>
      </c>
      <c r="E12849" s="21" t="inlineStr">
        <is>
          <t>贵州省六盘水市</t>
        </is>
      </c>
    </row>
    <row r="12850">
      <c r="B12850" s="41" t="inlineStr">
        <is>
          <t>AreaCode</t>
        </is>
      </c>
      <c r="C12850" s="129" t="inlineStr">
        <is>
          <t>地区代码</t>
        </is>
      </c>
      <c r="D12850" s="21" t="n">
        <v>520201</v>
      </c>
      <c r="E12850" s="21" t="inlineStr">
        <is>
          <t>贵州省六盘水市钟山区</t>
        </is>
      </c>
    </row>
    <row r="12851">
      <c r="B12851" s="41" t="inlineStr">
        <is>
          <t>AreaCode</t>
        </is>
      </c>
      <c r="C12851" s="129" t="inlineStr">
        <is>
          <t>地区代码</t>
        </is>
      </c>
      <c r="D12851" s="21" t="n">
        <v>520203</v>
      </c>
      <c r="E12851" s="21" t="inlineStr">
        <is>
          <t>贵州省六盘水市六枝特区</t>
        </is>
      </c>
    </row>
    <row r="12852">
      <c r="B12852" s="41" t="inlineStr">
        <is>
          <t>AreaCode</t>
        </is>
      </c>
      <c r="C12852" s="129" t="inlineStr">
        <is>
          <t>地区代码</t>
        </is>
      </c>
      <c r="D12852" s="21" t="n">
        <v>520221</v>
      </c>
      <c r="E12852" s="21" t="inlineStr">
        <is>
          <t>贵州省六盘水市水城县</t>
        </is>
      </c>
    </row>
    <row r="12853">
      <c r="B12853" s="41" t="inlineStr">
        <is>
          <t>AreaCode</t>
        </is>
      </c>
      <c r="C12853" s="129" t="inlineStr">
        <is>
          <t>地区代码</t>
        </is>
      </c>
      <c r="D12853" s="21" t="n">
        <v>520222</v>
      </c>
      <c r="E12853" s="21" t="inlineStr">
        <is>
          <t>贵州省六盘水市盘县</t>
        </is>
      </c>
    </row>
    <row r="12854">
      <c r="B12854" s="41" t="inlineStr">
        <is>
          <t>AreaCode</t>
        </is>
      </c>
      <c r="C12854" s="129" t="inlineStr">
        <is>
          <t>地区代码</t>
        </is>
      </c>
      <c r="D12854" s="21" t="n">
        <v>520300</v>
      </c>
      <c r="E12854" s="21" t="inlineStr">
        <is>
          <t>贵州省遵义市</t>
        </is>
      </c>
    </row>
    <row r="12855">
      <c r="B12855" s="41" t="inlineStr">
        <is>
          <t>AreaCode</t>
        </is>
      </c>
      <c r="C12855" s="129" t="inlineStr">
        <is>
          <t>地区代码</t>
        </is>
      </c>
      <c r="D12855" s="21" t="n">
        <v>520301</v>
      </c>
      <c r="E12855" s="21" t="inlineStr">
        <is>
          <t>贵州省遵义市市辖区</t>
        </is>
      </c>
    </row>
    <row r="12856">
      <c r="B12856" s="41" t="inlineStr">
        <is>
          <t>AreaCode</t>
        </is>
      </c>
      <c r="C12856" s="129" t="inlineStr">
        <is>
          <t>地区代码</t>
        </is>
      </c>
      <c r="D12856" s="21" t="n">
        <v>520302</v>
      </c>
      <c r="E12856" s="21" t="inlineStr">
        <is>
          <t>贵州省遵义市红花岗区</t>
        </is>
      </c>
    </row>
    <row r="12857">
      <c r="B12857" s="41" t="inlineStr">
        <is>
          <t>AreaCode</t>
        </is>
      </c>
      <c r="C12857" s="129" t="inlineStr">
        <is>
          <t>地区代码</t>
        </is>
      </c>
      <c r="D12857" s="21" t="n">
        <v>520303</v>
      </c>
      <c r="E12857" s="21" t="inlineStr">
        <is>
          <t>贵州省遵义市汇川区</t>
        </is>
      </c>
    </row>
    <row r="12858">
      <c r="B12858" s="41" t="inlineStr">
        <is>
          <t>AreaCode</t>
        </is>
      </c>
      <c r="C12858" s="129" t="inlineStr">
        <is>
          <t>地区代码</t>
        </is>
      </c>
      <c r="D12858" s="21" t="n">
        <v>520321</v>
      </c>
      <c r="E12858" s="21" t="inlineStr">
        <is>
          <t>贵州省遵义市遵义县</t>
        </is>
      </c>
    </row>
    <row r="12859">
      <c r="B12859" s="41" t="inlineStr">
        <is>
          <t>AreaCode</t>
        </is>
      </c>
      <c r="C12859" s="129" t="inlineStr">
        <is>
          <t>地区代码</t>
        </is>
      </c>
      <c r="D12859" s="21" t="n">
        <v>520322</v>
      </c>
      <c r="E12859" s="21" t="inlineStr">
        <is>
          <t>贵州省遵义市桐梓县</t>
        </is>
      </c>
    </row>
    <row r="12860">
      <c r="B12860" s="41" t="inlineStr">
        <is>
          <t>AreaCode</t>
        </is>
      </c>
      <c r="C12860" s="129" t="inlineStr">
        <is>
          <t>地区代码</t>
        </is>
      </c>
      <c r="D12860" s="21" t="n">
        <v>520323</v>
      </c>
      <c r="E12860" s="21" t="inlineStr">
        <is>
          <t>贵州省遵义市绥阳县</t>
        </is>
      </c>
    </row>
    <row r="12861">
      <c r="B12861" s="41" t="inlineStr">
        <is>
          <t>AreaCode</t>
        </is>
      </c>
      <c r="C12861" s="129" t="inlineStr">
        <is>
          <t>地区代码</t>
        </is>
      </c>
      <c r="D12861" s="21" t="n">
        <v>520324</v>
      </c>
      <c r="E12861" s="21" t="inlineStr">
        <is>
          <t>贵州省遵义市正安县</t>
        </is>
      </c>
    </row>
    <row r="12862">
      <c r="B12862" s="41" t="inlineStr">
        <is>
          <t>AreaCode</t>
        </is>
      </c>
      <c r="C12862" s="129" t="inlineStr">
        <is>
          <t>地区代码</t>
        </is>
      </c>
      <c r="D12862" s="21" t="n">
        <v>520325</v>
      </c>
      <c r="E12862" s="21" t="inlineStr">
        <is>
          <t>贵州省遵义市道真仡佬族苗族自治县</t>
        </is>
      </c>
    </row>
    <row r="12863">
      <c r="B12863" s="41" t="inlineStr">
        <is>
          <t>AreaCode</t>
        </is>
      </c>
      <c r="C12863" s="129" t="inlineStr">
        <is>
          <t>地区代码</t>
        </is>
      </c>
      <c r="D12863" s="21" t="n">
        <v>520326</v>
      </c>
      <c r="E12863" s="21" t="inlineStr">
        <is>
          <t>贵州省遵义市务川仡佬族苗族自治县</t>
        </is>
      </c>
    </row>
    <row r="12864">
      <c r="B12864" s="41" t="inlineStr">
        <is>
          <t>AreaCode</t>
        </is>
      </c>
      <c r="C12864" s="129" t="inlineStr">
        <is>
          <t>地区代码</t>
        </is>
      </c>
      <c r="D12864" s="21" t="n">
        <v>520327</v>
      </c>
      <c r="E12864" s="21" t="inlineStr">
        <is>
          <t>贵州省遵义市凤冈县</t>
        </is>
      </c>
    </row>
    <row r="12865">
      <c r="B12865" s="41" t="inlineStr">
        <is>
          <t>AreaCode</t>
        </is>
      </c>
      <c r="C12865" s="129" t="inlineStr">
        <is>
          <t>地区代码</t>
        </is>
      </c>
      <c r="D12865" s="21" t="n">
        <v>520328</v>
      </c>
      <c r="E12865" s="21" t="inlineStr">
        <is>
          <t>贵州省遵义市湄潭县</t>
        </is>
      </c>
    </row>
    <row r="12866">
      <c r="B12866" s="41" t="inlineStr">
        <is>
          <t>AreaCode</t>
        </is>
      </c>
      <c r="C12866" s="129" t="inlineStr">
        <is>
          <t>地区代码</t>
        </is>
      </c>
      <c r="D12866" s="21" t="n">
        <v>520329</v>
      </c>
      <c r="E12866" s="21" t="inlineStr">
        <is>
          <t>贵州省遵义市余庆县</t>
        </is>
      </c>
    </row>
    <row r="12867">
      <c r="B12867" s="41" t="inlineStr">
        <is>
          <t>AreaCode</t>
        </is>
      </c>
      <c r="C12867" s="129" t="inlineStr">
        <is>
          <t>地区代码</t>
        </is>
      </c>
      <c r="D12867" s="21" t="n">
        <v>520330</v>
      </c>
      <c r="E12867" s="21" t="inlineStr">
        <is>
          <t>贵州省遵义市习水县</t>
        </is>
      </c>
    </row>
    <row r="12868">
      <c r="B12868" s="41" t="inlineStr">
        <is>
          <t>AreaCode</t>
        </is>
      </c>
      <c r="C12868" s="129" t="inlineStr">
        <is>
          <t>地区代码</t>
        </is>
      </c>
      <c r="D12868" s="21" t="n">
        <v>520381</v>
      </c>
      <c r="E12868" s="21" t="inlineStr">
        <is>
          <t>贵州省遵义市赤水市</t>
        </is>
      </c>
    </row>
    <row r="12869">
      <c r="B12869" s="41" t="inlineStr">
        <is>
          <t>AreaCode</t>
        </is>
      </c>
      <c r="C12869" s="129" t="inlineStr">
        <is>
          <t>地区代码</t>
        </is>
      </c>
      <c r="D12869" s="21" t="n">
        <v>520382</v>
      </c>
      <c r="E12869" s="21" t="inlineStr">
        <is>
          <t>贵州省遵义市仁怀市</t>
        </is>
      </c>
    </row>
    <row r="12870">
      <c r="B12870" s="41" t="inlineStr">
        <is>
          <t>AreaCode</t>
        </is>
      </c>
      <c r="C12870" s="129" t="inlineStr">
        <is>
          <t>地区代码</t>
        </is>
      </c>
      <c r="D12870" s="21" t="n">
        <v>520400</v>
      </c>
      <c r="E12870" s="21" t="inlineStr">
        <is>
          <t>贵州省安顺市</t>
        </is>
      </c>
    </row>
    <row r="12871">
      <c r="B12871" s="41" t="inlineStr">
        <is>
          <t>AreaCode</t>
        </is>
      </c>
      <c r="C12871" s="129" t="inlineStr">
        <is>
          <t>地区代码</t>
        </is>
      </c>
      <c r="D12871" s="21" t="n">
        <v>520401</v>
      </c>
      <c r="E12871" s="21" t="inlineStr">
        <is>
          <t>贵州省安顺市市辖区</t>
        </is>
      </c>
    </row>
    <row r="12872">
      <c r="B12872" s="41" t="inlineStr">
        <is>
          <t>AreaCode</t>
        </is>
      </c>
      <c r="C12872" s="129" t="inlineStr">
        <is>
          <t>地区代码</t>
        </is>
      </c>
      <c r="D12872" s="21" t="n">
        <v>520402</v>
      </c>
      <c r="E12872" s="21" t="inlineStr">
        <is>
          <t>贵州省安顺市西秀区</t>
        </is>
      </c>
    </row>
    <row r="12873">
      <c r="B12873" s="41" t="inlineStr">
        <is>
          <t>AreaCode</t>
        </is>
      </c>
      <c r="C12873" s="129" t="inlineStr">
        <is>
          <t>地区代码</t>
        </is>
      </c>
      <c r="D12873" s="21" t="n">
        <v>520421</v>
      </c>
      <c r="E12873" s="21" t="inlineStr">
        <is>
          <t>贵州省安顺市平坝县</t>
        </is>
      </c>
    </row>
    <row r="12874">
      <c r="B12874" s="41" t="inlineStr">
        <is>
          <t>AreaCode</t>
        </is>
      </c>
      <c r="C12874" s="129" t="inlineStr">
        <is>
          <t>地区代码</t>
        </is>
      </c>
      <c r="D12874" s="21" t="n">
        <v>520422</v>
      </c>
      <c r="E12874" s="21" t="inlineStr">
        <is>
          <t>贵州省安顺市普定县</t>
        </is>
      </c>
    </row>
    <row r="12875">
      <c r="B12875" s="41" t="inlineStr">
        <is>
          <t>AreaCode</t>
        </is>
      </c>
      <c r="C12875" s="129" t="inlineStr">
        <is>
          <t>地区代码</t>
        </is>
      </c>
      <c r="D12875" s="21" t="n">
        <v>520423</v>
      </c>
      <c r="E12875" s="21" t="inlineStr">
        <is>
          <t>贵州省安顺市镇宁布依族苗族自治县</t>
        </is>
      </c>
    </row>
    <row r="12876">
      <c r="B12876" s="41" t="inlineStr">
        <is>
          <t>AreaCode</t>
        </is>
      </c>
      <c r="C12876" s="129" t="inlineStr">
        <is>
          <t>地区代码</t>
        </is>
      </c>
      <c r="D12876" s="21" t="n">
        <v>520424</v>
      </c>
      <c r="E12876" s="21" t="inlineStr">
        <is>
          <t>贵州省安顺市关岭布依族苗族自治县</t>
        </is>
      </c>
    </row>
    <row r="12877">
      <c r="B12877" s="41" t="inlineStr">
        <is>
          <t>AreaCode</t>
        </is>
      </c>
      <c r="C12877" s="129" t="inlineStr">
        <is>
          <t>地区代码</t>
        </is>
      </c>
      <c r="D12877" s="21" t="n">
        <v>520425</v>
      </c>
      <c r="E12877" s="21" t="inlineStr">
        <is>
          <t>贵州省安顺市紫云苗族布依族自治县</t>
        </is>
      </c>
    </row>
    <row r="12878">
      <c r="B12878" s="41" t="inlineStr">
        <is>
          <t>AreaCode</t>
        </is>
      </c>
      <c r="C12878" s="129" t="inlineStr">
        <is>
          <t>地区代码</t>
        </is>
      </c>
      <c r="D12878" s="21" t="n">
        <v>520500</v>
      </c>
      <c r="E12878" s="21" t="inlineStr">
        <is>
          <t>贵州省毕节市</t>
        </is>
      </c>
    </row>
    <row r="12879">
      <c r="B12879" s="41" t="inlineStr">
        <is>
          <t>AreaCode</t>
        </is>
      </c>
      <c r="C12879" s="129" t="inlineStr">
        <is>
          <t>地区代码</t>
        </is>
      </c>
      <c r="D12879" s="21" t="n">
        <v>520501</v>
      </c>
      <c r="E12879" s="21" t="inlineStr">
        <is>
          <t>贵州省毕节市市辖区</t>
        </is>
      </c>
    </row>
    <row r="12880">
      <c r="B12880" s="41" t="inlineStr">
        <is>
          <t>AreaCode</t>
        </is>
      </c>
      <c r="C12880" s="129" t="inlineStr">
        <is>
          <t>地区代码</t>
        </is>
      </c>
      <c r="D12880" s="21" t="n">
        <v>520502</v>
      </c>
      <c r="E12880" s="21" t="inlineStr">
        <is>
          <t>贵州省毕节市七星关区</t>
        </is>
      </c>
    </row>
    <row r="12881">
      <c r="B12881" s="41" t="inlineStr">
        <is>
          <t>AreaCode</t>
        </is>
      </c>
      <c r="C12881" s="129" t="inlineStr">
        <is>
          <t>地区代码</t>
        </is>
      </c>
      <c r="D12881" s="21" t="n">
        <v>520521</v>
      </c>
      <c r="E12881" s="21" t="inlineStr">
        <is>
          <t>贵州省毕节市大方县</t>
        </is>
      </c>
    </row>
    <row r="12882">
      <c r="B12882" s="41" t="inlineStr">
        <is>
          <t>AreaCode</t>
        </is>
      </c>
      <c r="C12882" s="129" t="inlineStr">
        <is>
          <t>地区代码</t>
        </is>
      </c>
      <c r="D12882" s="21" t="n">
        <v>520522</v>
      </c>
      <c r="E12882" s="21" t="inlineStr">
        <is>
          <t>贵州省毕节市黔西县</t>
        </is>
      </c>
    </row>
    <row r="12883">
      <c r="B12883" s="41" t="inlineStr">
        <is>
          <t>AreaCode</t>
        </is>
      </c>
      <c r="C12883" s="129" t="inlineStr">
        <is>
          <t>地区代码</t>
        </is>
      </c>
      <c r="D12883" s="21" t="n">
        <v>520523</v>
      </c>
      <c r="E12883" s="21" t="inlineStr">
        <is>
          <t>贵州省毕节市金沙县</t>
        </is>
      </c>
    </row>
    <row r="12884">
      <c r="B12884" s="41" t="inlineStr">
        <is>
          <t>AreaCode</t>
        </is>
      </c>
      <c r="C12884" s="129" t="inlineStr">
        <is>
          <t>地区代码</t>
        </is>
      </c>
      <c r="D12884" s="21" t="n">
        <v>520524</v>
      </c>
      <c r="E12884" s="21" t="inlineStr">
        <is>
          <t>贵州省毕节市织金县</t>
        </is>
      </c>
    </row>
    <row r="12885">
      <c r="B12885" s="41" t="inlineStr">
        <is>
          <t>AreaCode</t>
        </is>
      </c>
      <c r="C12885" s="129" t="inlineStr">
        <is>
          <t>地区代码</t>
        </is>
      </c>
      <c r="D12885" s="21" t="n">
        <v>520525</v>
      </c>
      <c r="E12885" s="21" t="inlineStr">
        <is>
          <t>贵州省毕节市纳雍县</t>
        </is>
      </c>
    </row>
    <row r="12886">
      <c r="B12886" s="41" t="inlineStr">
        <is>
          <t>AreaCode</t>
        </is>
      </c>
      <c r="C12886" s="129" t="inlineStr">
        <is>
          <t>地区代码</t>
        </is>
      </c>
      <c r="D12886" s="21" t="n">
        <v>520526</v>
      </c>
      <c r="E12886" s="21" t="inlineStr">
        <is>
          <t>贵州省毕节市威宁彝族回族苗族自治县</t>
        </is>
      </c>
    </row>
    <row r="12887">
      <c r="B12887" s="41" t="inlineStr">
        <is>
          <t>AreaCode</t>
        </is>
      </c>
      <c r="C12887" s="129" t="inlineStr">
        <is>
          <t>地区代码</t>
        </is>
      </c>
      <c r="D12887" s="21" t="n">
        <v>520527</v>
      </c>
      <c r="E12887" s="21" t="inlineStr">
        <is>
          <t>贵州省毕节市赫章县</t>
        </is>
      </c>
    </row>
    <row r="12888">
      <c r="B12888" s="41" t="inlineStr">
        <is>
          <t>AreaCode</t>
        </is>
      </c>
      <c r="C12888" s="129" t="inlineStr">
        <is>
          <t>地区代码</t>
        </is>
      </c>
      <c r="D12888" s="21" t="n">
        <v>520600</v>
      </c>
      <c r="E12888" s="21" t="inlineStr">
        <is>
          <t>贵州省铜仁市</t>
        </is>
      </c>
    </row>
    <row r="12889">
      <c r="B12889" s="41" t="inlineStr">
        <is>
          <t>AreaCode</t>
        </is>
      </c>
      <c r="C12889" s="129" t="inlineStr">
        <is>
          <t>地区代码</t>
        </is>
      </c>
      <c r="D12889" s="21" t="n">
        <v>520601</v>
      </c>
      <c r="E12889" s="21" t="inlineStr">
        <is>
          <t>贵州省铜仁市市辖区</t>
        </is>
      </c>
    </row>
    <row r="12890">
      <c r="B12890" s="41" t="inlineStr">
        <is>
          <t>AreaCode</t>
        </is>
      </c>
      <c r="C12890" s="129" t="inlineStr">
        <is>
          <t>地区代码</t>
        </is>
      </c>
      <c r="D12890" s="21" t="n">
        <v>520602</v>
      </c>
      <c r="E12890" s="21" t="inlineStr">
        <is>
          <t>贵州省铜仁市碧江区</t>
        </is>
      </c>
    </row>
    <row r="12891">
      <c r="B12891" s="41" t="inlineStr">
        <is>
          <t>AreaCode</t>
        </is>
      </c>
      <c r="C12891" s="129" t="inlineStr">
        <is>
          <t>地区代码</t>
        </is>
      </c>
      <c r="D12891" s="21" t="n">
        <v>520603</v>
      </c>
      <c r="E12891" s="21" t="inlineStr">
        <is>
          <t>贵州省铜仁市万山区</t>
        </is>
      </c>
    </row>
    <row r="12892">
      <c r="B12892" s="41" t="inlineStr">
        <is>
          <t>AreaCode</t>
        </is>
      </c>
      <c r="C12892" s="129" t="inlineStr">
        <is>
          <t>地区代码</t>
        </is>
      </c>
      <c r="D12892" s="21" t="n">
        <v>520621</v>
      </c>
      <c r="E12892" s="21" t="inlineStr">
        <is>
          <t>贵州省铜仁市江口县</t>
        </is>
      </c>
    </row>
    <row r="12893">
      <c r="B12893" s="41" t="inlineStr">
        <is>
          <t>AreaCode</t>
        </is>
      </c>
      <c r="C12893" s="129" t="inlineStr">
        <is>
          <t>地区代码</t>
        </is>
      </c>
      <c r="D12893" s="21" t="n">
        <v>520622</v>
      </c>
      <c r="E12893" s="21" t="inlineStr">
        <is>
          <t>贵州省铜仁市玉屏侗族自治县</t>
        </is>
      </c>
    </row>
    <row r="12894">
      <c r="B12894" s="41" t="inlineStr">
        <is>
          <t>AreaCode</t>
        </is>
      </c>
      <c r="C12894" s="129" t="inlineStr">
        <is>
          <t>地区代码</t>
        </is>
      </c>
      <c r="D12894" s="21" t="n">
        <v>520623</v>
      </c>
      <c r="E12894" s="21" t="inlineStr">
        <is>
          <t>贵州省铜仁市石阡县</t>
        </is>
      </c>
    </row>
    <row r="12895">
      <c r="B12895" s="41" t="inlineStr">
        <is>
          <t>AreaCode</t>
        </is>
      </c>
      <c r="C12895" s="129" t="inlineStr">
        <is>
          <t>地区代码</t>
        </is>
      </c>
      <c r="D12895" s="21" t="n">
        <v>520624</v>
      </c>
      <c r="E12895" s="21" t="inlineStr">
        <is>
          <t>贵州省铜仁市思南县</t>
        </is>
      </c>
    </row>
    <row r="12896">
      <c r="B12896" s="41" t="inlineStr">
        <is>
          <t>AreaCode</t>
        </is>
      </c>
      <c r="C12896" s="129" t="inlineStr">
        <is>
          <t>地区代码</t>
        </is>
      </c>
      <c r="D12896" s="21" t="n">
        <v>520625</v>
      </c>
      <c r="E12896" s="21" t="inlineStr">
        <is>
          <t>贵州省铜仁市印江土家族苗族自治县</t>
        </is>
      </c>
    </row>
    <row r="12897">
      <c r="B12897" s="41" t="inlineStr">
        <is>
          <t>AreaCode</t>
        </is>
      </c>
      <c r="C12897" s="129" t="inlineStr">
        <is>
          <t>地区代码</t>
        </is>
      </c>
      <c r="D12897" s="21" t="n">
        <v>520626</v>
      </c>
      <c r="E12897" s="21" t="inlineStr">
        <is>
          <t>贵州省铜仁市德江县</t>
        </is>
      </c>
    </row>
    <row r="12898">
      <c r="B12898" s="41" t="inlineStr">
        <is>
          <t>AreaCode</t>
        </is>
      </c>
      <c r="C12898" s="129" t="inlineStr">
        <is>
          <t>地区代码</t>
        </is>
      </c>
      <c r="D12898" s="21" t="n">
        <v>520627</v>
      </c>
      <c r="E12898" s="21" t="inlineStr">
        <is>
          <t>贵州省铜仁市沿河土家族自治县</t>
        </is>
      </c>
    </row>
    <row r="12899">
      <c r="B12899" s="41" t="inlineStr">
        <is>
          <t>AreaCode</t>
        </is>
      </c>
      <c r="C12899" s="129" t="inlineStr">
        <is>
          <t>地区代码</t>
        </is>
      </c>
      <c r="D12899" s="21" t="n">
        <v>520628</v>
      </c>
      <c r="E12899" s="21" t="inlineStr">
        <is>
          <t>贵州省铜仁市松桃苗族自治县</t>
        </is>
      </c>
    </row>
    <row r="12900">
      <c r="B12900" s="41" t="inlineStr">
        <is>
          <t>AreaCode</t>
        </is>
      </c>
      <c r="C12900" s="129" t="inlineStr">
        <is>
          <t>地区代码</t>
        </is>
      </c>
      <c r="D12900" s="21" t="n">
        <v>522300</v>
      </c>
      <c r="E12900" s="21" t="inlineStr">
        <is>
          <t>贵州省黔西南布依族苗族自治州</t>
        </is>
      </c>
    </row>
    <row r="12901">
      <c r="B12901" s="41" t="inlineStr">
        <is>
          <t>AreaCode</t>
        </is>
      </c>
      <c r="C12901" s="129" t="inlineStr">
        <is>
          <t>地区代码</t>
        </is>
      </c>
      <c r="D12901" s="21" t="n">
        <v>522301</v>
      </c>
      <c r="E12901" s="21" t="inlineStr">
        <is>
          <t>贵州省黔西南布依族苗族自治州兴义市</t>
        </is>
      </c>
    </row>
    <row r="12902">
      <c r="B12902" s="41" t="inlineStr">
        <is>
          <t>AreaCode</t>
        </is>
      </c>
      <c r="C12902" s="129" t="inlineStr">
        <is>
          <t>地区代码</t>
        </is>
      </c>
      <c r="D12902" s="21" t="n">
        <v>522322</v>
      </c>
      <c r="E12902" s="21" t="inlineStr">
        <is>
          <t>贵州省黔西南布依族苗族自治州兴仁县</t>
        </is>
      </c>
    </row>
    <row r="12903">
      <c r="B12903" s="41" t="inlineStr">
        <is>
          <t>AreaCode</t>
        </is>
      </c>
      <c r="C12903" s="129" t="inlineStr">
        <is>
          <t>地区代码</t>
        </is>
      </c>
      <c r="D12903" s="21" t="n">
        <v>522323</v>
      </c>
      <c r="E12903" s="21" t="inlineStr">
        <is>
          <t>贵州省黔西南布依族苗族自治州普安县</t>
        </is>
      </c>
    </row>
    <row r="12904">
      <c r="B12904" s="41" t="inlineStr">
        <is>
          <t>AreaCode</t>
        </is>
      </c>
      <c r="C12904" s="129" t="inlineStr">
        <is>
          <t>地区代码</t>
        </is>
      </c>
      <c r="D12904" s="21" t="n">
        <v>522324</v>
      </c>
      <c r="E12904" s="21" t="inlineStr">
        <is>
          <t>贵州省黔西南布依族苗族自治州晴隆县</t>
        </is>
      </c>
    </row>
    <row r="12905">
      <c r="B12905" s="41" t="inlineStr">
        <is>
          <t>AreaCode</t>
        </is>
      </c>
      <c r="C12905" s="129" t="inlineStr">
        <is>
          <t>地区代码</t>
        </is>
      </c>
      <c r="D12905" s="21" t="n">
        <v>522325</v>
      </c>
      <c r="E12905" s="21" t="inlineStr">
        <is>
          <t>贵州省黔西南布依族苗族自治州贞丰县</t>
        </is>
      </c>
    </row>
    <row r="12906">
      <c r="B12906" s="41" t="inlineStr">
        <is>
          <t>AreaCode</t>
        </is>
      </c>
      <c r="C12906" s="129" t="inlineStr">
        <is>
          <t>地区代码</t>
        </is>
      </c>
      <c r="D12906" s="21" t="n">
        <v>522326</v>
      </c>
      <c r="E12906" s="21" t="inlineStr">
        <is>
          <t>贵州省黔西南布依族苗族自治州望谟县</t>
        </is>
      </c>
    </row>
    <row r="12907">
      <c r="B12907" s="41" t="inlineStr">
        <is>
          <t>AreaCode</t>
        </is>
      </c>
      <c r="C12907" s="129" t="inlineStr">
        <is>
          <t>地区代码</t>
        </is>
      </c>
      <c r="D12907" s="21" t="n">
        <v>522327</v>
      </c>
      <c r="E12907" s="21" t="inlineStr">
        <is>
          <t>贵州省黔西南布依族苗族自治州册亨县</t>
        </is>
      </c>
    </row>
    <row r="12908">
      <c r="B12908" s="41" t="inlineStr">
        <is>
          <t>AreaCode</t>
        </is>
      </c>
      <c r="C12908" s="129" t="inlineStr">
        <is>
          <t>地区代码</t>
        </is>
      </c>
      <c r="D12908" s="21" t="n">
        <v>522328</v>
      </c>
      <c r="E12908" s="21" t="inlineStr">
        <is>
          <t>贵州省黔西南布依族苗族自治州安龙县</t>
        </is>
      </c>
    </row>
    <row r="12909">
      <c r="B12909" s="41" t="inlineStr">
        <is>
          <t>AreaCode</t>
        </is>
      </c>
      <c r="C12909" s="129" t="inlineStr">
        <is>
          <t>地区代码</t>
        </is>
      </c>
      <c r="D12909" s="21" t="n">
        <v>522600</v>
      </c>
      <c r="E12909" s="21" t="inlineStr">
        <is>
          <t>贵州省黔东南苗族侗族自治州</t>
        </is>
      </c>
    </row>
    <row r="12910">
      <c r="B12910" s="41" t="inlineStr">
        <is>
          <t>AreaCode</t>
        </is>
      </c>
      <c r="C12910" s="129" t="inlineStr">
        <is>
          <t>地区代码</t>
        </is>
      </c>
      <c r="D12910" s="21" t="n">
        <v>522601</v>
      </c>
      <c r="E12910" s="21" t="inlineStr">
        <is>
          <t>贵州省黔东南苗族侗族自治州凯里市</t>
        </is>
      </c>
    </row>
    <row r="12911">
      <c r="B12911" s="41" t="inlineStr">
        <is>
          <t>AreaCode</t>
        </is>
      </c>
      <c r="C12911" s="129" t="inlineStr">
        <is>
          <t>地区代码</t>
        </is>
      </c>
      <c r="D12911" s="21" t="n">
        <v>522622</v>
      </c>
      <c r="E12911" s="21" t="inlineStr">
        <is>
          <t>贵州省黔东南苗族侗族自治州黄平县</t>
        </is>
      </c>
    </row>
    <row r="12912">
      <c r="B12912" s="41" t="inlineStr">
        <is>
          <t>AreaCode</t>
        </is>
      </c>
      <c r="C12912" s="129" t="inlineStr">
        <is>
          <t>地区代码</t>
        </is>
      </c>
      <c r="D12912" s="21" t="n">
        <v>522623</v>
      </c>
      <c r="E12912" s="21" t="inlineStr">
        <is>
          <t>贵州省黔东南苗族侗族自治州施秉县</t>
        </is>
      </c>
    </row>
    <row r="12913">
      <c r="B12913" s="41" t="inlineStr">
        <is>
          <t>AreaCode</t>
        </is>
      </c>
      <c r="C12913" s="129" t="inlineStr">
        <is>
          <t>地区代码</t>
        </is>
      </c>
      <c r="D12913" s="21" t="n">
        <v>522624</v>
      </c>
      <c r="E12913" s="21" t="inlineStr">
        <is>
          <t>贵州省黔东南苗族侗族自治州三穗县</t>
        </is>
      </c>
    </row>
    <row r="12914">
      <c r="B12914" s="41" t="inlineStr">
        <is>
          <t>AreaCode</t>
        </is>
      </c>
      <c r="C12914" s="129" t="inlineStr">
        <is>
          <t>地区代码</t>
        </is>
      </c>
      <c r="D12914" s="21" t="n">
        <v>522625</v>
      </c>
      <c r="E12914" s="21" t="inlineStr">
        <is>
          <t>贵州省黔东南苗族侗族自治州镇远县</t>
        </is>
      </c>
    </row>
    <row r="12915">
      <c r="B12915" s="41" t="inlineStr">
        <is>
          <t>AreaCode</t>
        </is>
      </c>
      <c r="C12915" s="129" t="inlineStr">
        <is>
          <t>地区代码</t>
        </is>
      </c>
      <c r="D12915" s="21" t="n">
        <v>522626</v>
      </c>
      <c r="E12915" s="21" t="inlineStr">
        <is>
          <t>贵州省黔东南苗族侗族自治州岑巩县</t>
        </is>
      </c>
    </row>
    <row r="12916">
      <c r="B12916" s="41" t="inlineStr">
        <is>
          <t>AreaCode</t>
        </is>
      </c>
      <c r="C12916" s="129" t="inlineStr">
        <is>
          <t>地区代码</t>
        </is>
      </c>
      <c r="D12916" s="21" t="n">
        <v>522627</v>
      </c>
      <c r="E12916" s="21" t="inlineStr">
        <is>
          <t>贵州省黔东南苗族侗族自治州天柱县</t>
        </is>
      </c>
    </row>
    <row r="12917">
      <c r="B12917" s="41" t="inlineStr">
        <is>
          <t>AreaCode</t>
        </is>
      </c>
      <c r="C12917" s="129" t="inlineStr">
        <is>
          <t>地区代码</t>
        </is>
      </c>
      <c r="D12917" s="21" t="n">
        <v>522628</v>
      </c>
      <c r="E12917" s="21" t="inlineStr">
        <is>
          <t>贵州省黔东南苗族侗族自治州锦屏县</t>
        </is>
      </c>
    </row>
    <row r="12918">
      <c r="B12918" s="41" t="inlineStr">
        <is>
          <t>AreaCode</t>
        </is>
      </c>
      <c r="C12918" s="129" t="inlineStr">
        <is>
          <t>地区代码</t>
        </is>
      </c>
      <c r="D12918" s="21" t="n">
        <v>522629</v>
      </c>
      <c r="E12918" s="21" t="inlineStr">
        <is>
          <t>贵州省黔东南苗族侗族自治州剑河县</t>
        </is>
      </c>
    </row>
    <row r="12919">
      <c r="B12919" s="41" t="inlineStr">
        <is>
          <t>AreaCode</t>
        </is>
      </c>
      <c r="C12919" s="129" t="inlineStr">
        <is>
          <t>地区代码</t>
        </is>
      </c>
      <c r="D12919" s="21" t="n">
        <v>522630</v>
      </c>
      <c r="E12919" s="21" t="inlineStr">
        <is>
          <t>贵州省黔东南苗族侗族自治州台江县</t>
        </is>
      </c>
    </row>
    <row r="12920">
      <c r="B12920" s="41" t="inlineStr">
        <is>
          <t>AreaCode</t>
        </is>
      </c>
      <c r="C12920" s="129" t="inlineStr">
        <is>
          <t>地区代码</t>
        </is>
      </c>
      <c r="D12920" s="21" t="n">
        <v>522631</v>
      </c>
      <c r="E12920" s="21" t="inlineStr">
        <is>
          <t>贵州省黔东南苗族侗族自治州黎平县</t>
        </is>
      </c>
    </row>
    <row r="12921">
      <c r="B12921" s="41" t="inlineStr">
        <is>
          <t>AreaCode</t>
        </is>
      </c>
      <c r="C12921" s="129" t="inlineStr">
        <is>
          <t>地区代码</t>
        </is>
      </c>
      <c r="D12921" s="21" t="n">
        <v>522632</v>
      </c>
      <c r="E12921" s="21" t="inlineStr">
        <is>
          <t>贵州省黔东南苗族侗族自治州榕江县</t>
        </is>
      </c>
    </row>
    <row r="12922">
      <c r="B12922" s="41" t="inlineStr">
        <is>
          <t>AreaCode</t>
        </is>
      </c>
      <c r="C12922" s="129" t="inlineStr">
        <is>
          <t>地区代码</t>
        </is>
      </c>
      <c r="D12922" s="21" t="n">
        <v>522633</v>
      </c>
      <c r="E12922" s="21" t="inlineStr">
        <is>
          <t>贵州省黔东南苗族侗族自治州从江县</t>
        </is>
      </c>
    </row>
    <row r="12923">
      <c r="B12923" s="41" t="inlineStr">
        <is>
          <t>AreaCode</t>
        </is>
      </c>
      <c r="C12923" s="129" t="inlineStr">
        <is>
          <t>地区代码</t>
        </is>
      </c>
      <c r="D12923" s="21" t="n">
        <v>522634</v>
      </c>
      <c r="E12923" s="21" t="inlineStr">
        <is>
          <t>贵州省黔东南苗族侗族自治州雷山县</t>
        </is>
      </c>
    </row>
    <row r="12924">
      <c r="B12924" s="41" t="inlineStr">
        <is>
          <t>AreaCode</t>
        </is>
      </c>
      <c r="C12924" s="129" t="inlineStr">
        <is>
          <t>地区代码</t>
        </is>
      </c>
      <c r="D12924" s="21" t="n">
        <v>522635</v>
      </c>
      <c r="E12924" s="21" t="inlineStr">
        <is>
          <t>贵州省黔东南苗族侗族自治州麻江县</t>
        </is>
      </c>
    </row>
    <row r="12925">
      <c r="B12925" s="41" t="inlineStr">
        <is>
          <t>AreaCode</t>
        </is>
      </c>
      <c r="C12925" s="129" t="inlineStr">
        <is>
          <t>地区代码</t>
        </is>
      </c>
      <c r="D12925" s="21" t="n">
        <v>522636</v>
      </c>
      <c r="E12925" s="21" t="inlineStr">
        <is>
          <t>贵州省黔东南苗族侗族自治州丹寨县</t>
        </is>
      </c>
    </row>
    <row r="12926">
      <c r="B12926" s="41" t="inlineStr">
        <is>
          <t>AreaCode</t>
        </is>
      </c>
      <c r="C12926" s="129" t="inlineStr">
        <is>
          <t>地区代码</t>
        </is>
      </c>
      <c r="D12926" s="21" t="n">
        <v>522700</v>
      </c>
      <c r="E12926" s="21" t="inlineStr">
        <is>
          <t>贵州省黔南布依族苗族自治州</t>
        </is>
      </c>
    </row>
    <row r="12927">
      <c r="B12927" s="41" t="inlineStr">
        <is>
          <t>AreaCode</t>
        </is>
      </c>
      <c r="C12927" s="129" t="inlineStr">
        <is>
          <t>地区代码</t>
        </is>
      </c>
      <c r="D12927" s="21" t="n">
        <v>522701</v>
      </c>
      <c r="E12927" s="21" t="inlineStr">
        <is>
          <t>贵州省黔南布依族苗族自治州都匀市</t>
        </is>
      </c>
    </row>
    <row r="12928">
      <c r="B12928" s="41" t="inlineStr">
        <is>
          <t>AreaCode</t>
        </is>
      </c>
      <c r="C12928" s="129" t="inlineStr">
        <is>
          <t>地区代码</t>
        </is>
      </c>
      <c r="D12928" s="21" t="n">
        <v>522702</v>
      </c>
      <c r="E12928" s="21" t="inlineStr">
        <is>
          <t>贵州省黔南布依族苗族自治州福泉市</t>
        </is>
      </c>
    </row>
    <row r="12929">
      <c r="B12929" s="41" t="inlineStr">
        <is>
          <t>AreaCode</t>
        </is>
      </c>
      <c r="C12929" s="129" t="inlineStr">
        <is>
          <t>地区代码</t>
        </is>
      </c>
      <c r="D12929" s="21" t="n">
        <v>522722</v>
      </c>
      <c r="E12929" s="21" t="inlineStr">
        <is>
          <t>贵州省黔南布依族苗族自治州荔波县</t>
        </is>
      </c>
    </row>
    <row r="12930">
      <c r="B12930" s="41" t="inlineStr">
        <is>
          <t>AreaCode</t>
        </is>
      </c>
      <c r="C12930" s="129" t="inlineStr">
        <is>
          <t>地区代码</t>
        </is>
      </c>
      <c r="D12930" s="21" t="n">
        <v>522723</v>
      </c>
      <c r="E12930" s="21" t="inlineStr">
        <is>
          <t>贵州省黔南布依族苗族自治州贵定县</t>
        </is>
      </c>
    </row>
    <row r="12931">
      <c r="B12931" s="41" t="inlineStr">
        <is>
          <t>AreaCode</t>
        </is>
      </c>
      <c r="C12931" s="129" t="inlineStr">
        <is>
          <t>地区代码</t>
        </is>
      </c>
      <c r="D12931" s="21" t="n">
        <v>522725</v>
      </c>
      <c r="E12931" s="21" t="inlineStr">
        <is>
          <t>贵州省黔南布依族苗族自治州瓮安县</t>
        </is>
      </c>
    </row>
    <row r="12932">
      <c r="B12932" s="41" t="inlineStr">
        <is>
          <t>AreaCode</t>
        </is>
      </c>
      <c r="C12932" s="129" t="inlineStr">
        <is>
          <t>地区代码</t>
        </is>
      </c>
      <c r="D12932" s="21" t="n">
        <v>522726</v>
      </c>
      <c r="E12932" s="21" t="inlineStr">
        <is>
          <t>贵州省黔南布依族苗族自治州独山县</t>
        </is>
      </c>
    </row>
    <row r="12933">
      <c r="B12933" s="41" t="inlineStr">
        <is>
          <t>AreaCode</t>
        </is>
      </c>
      <c r="C12933" s="129" t="inlineStr">
        <is>
          <t>地区代码</t>
        </is>
      </c>
      <c r="D12933" s="21" t="n">
        <v>522727</v>
      </c>
      <c r="E12933" s="21" t="inlineStr">
        <is>
          <t>贵州省黔南布依族苗族自治州平塘县</t>
        </is>
      </c>
    </row>
    <row r="12934">
      <c r="B12934" s="41" t="inlineStr">
        <is>
          <t>AreaCode</t>
        </is>
      </c>
      <c r="C12934" s="129" t="inlineStr">
        <is>
          <t>地区代码</t>
        </is>
      </c>
      <c r="D12934" s="21" t="n">
        <v>522728</v>
      </c>
      <c r="E12934" s="21" t="inlineStr">
        <is>
          <t>贵州省黔南布依族苗族自治州罗甸县</t>
        </is>
      </c>
    </row>
    <row r="12935">
      <c r="B12935" s="41" t="inlineStr">
        <is>
          <t>AreaCode</t>
        </is>
      </c>
      <c r="C12935" s="129" t="inlineStr">
        <is>
          <t>地区代码</t>
        </is>
      </c>
      <c r="D12935" s="21" t="n">
        <v>522729</v>
      </c>
      <c r="E12935" s="21" t="inlineStr">
        <is>
          <t>贵州省黔南布依族苗族自治州长顺县</t>
        </is>
      </c>
    </row>
    <row r="12936">
      <c r="B12936" s="41" t="inlineStr">
        <is>
          <t>AreaCode</t>
        </is>
      </c>
      <c r="C12936" s="129" t="inlineStr">
        <is>
          <t>地区代码</t>
        </is>
      </c>
      <c r="D12936" s="21" t="n">
        <v>522730</v>
      </c>
      <c r="E12936" s="21" t="inlineStr">
        <is>
          <t>贵州省黔南布依族苗族自治州龙里县</t>
        </is>
      </c>
    </row>
    <row r="12937">
      <c r="B12937" s="41" t="inlineStr">
        <is>
          <t>AreaCode</t>
        </is>
      </c>
      <c r="C12937" s="129" t="inlineStr">
        <is>
          <t>地区代码</t>
        </is>
      </c>
      <c r="D12937" s="21" t="n">
        <v>522731</v>
      </c>
      <c r="E12937" s="21" t="inlineStr">
        <is>
          <t>贵州省黔南布依族苗族自治州惠水县</t>
        </is>
      </c>
    </row>
    <row r="12938">
      <c r="B12938" s="41" t="inlineStr">
        <is>
          <t>AreaCode</t>
        </is>
      </c>
      <c r="C12938" s="129" t="inlineStr">
        <is>
          <t>地区代码</t>
        </is>
      </c>
      <c r="D12938" s="21" t="n">
        <v>522732</v>
      </c>
      <c r="E12938" s="21" t="inlineStr">
        <is>
          <t>贵州省黔南布依族苗族自治州三都水族自治县</t>
        </is>
      </c>
    </row>
    <row r="12939">
      <c r="B12939" s="41" t="inlineStr">
        <is>
          <t>AreaCode</t>
        </is>
      </c>
      <c r="C12939" s="129" t="inlineStr">
        <is>
          <t>地区代码</t>
        </is>
      </c>
      <c r="D12939" s="21" t="n">
        <v>530000</v>
      </c>
      <c r="E12939" s="21" t="inlineStr">
        <is>
          <t>云南省</t>
        </is>
      </c>
    </row>
    <row r="12940">
      <c r="B12940" s="41" t="inlineStr">
        <is>
          <t>AreaCode</t>
        </is>
      </c>
      <c r="C12940" s="129" t="inlineStr">
        <is>
          <t>地区代码</t>
        </is>
      </c>
      <c r="D12940" s="21" t="n">
        <v>530100</v>
      </c>
      <c r="E12940" s="21" t="inlineStr">
        <is>
          <t>云南省昆明市</t>
        </is>
      </c>
    </row>
    <row r="12941">
      <c r="B12941" s="41" t="inlineStr">
        <is>
          <t>AreaCode</t>
        </is>
      </c>
      <c r="C12941" s="129" t="inlineStr">
        <is>
          <t>地区代码</t>
        </is>
      </c>
      <c r="D12941" s="21" t="n">
        <v>530101</v>
      </c>
      <c r="E12941" s="21" t="inlineStr">
        <is>
          <t>云南省昆明市市辖区</t>
        </is>
      </c>
    </row>
    <row r="12942">
      <c r="B12942" s="41" t="inlineStr">
        <is>
          <t>AreaCode</t>
        </is>
      </c>
      <c r="C12942" s="129" t="inlineStr">
        <is>
          <t>地区代码</t>
        </is>
      </c>
      <c r="D12942" s="21" t="n">
        <v>530102</v>
      </c>
      <c r="E12942" s="21" t="inlineStr">
        <is>
          <t>云南省昆明市五华区</t>
        </is>
      </c>
    </row>
    <row r="12943">
      <c r="B12943" s="41" t="inlineStr">
        <is>
          <t>AreaCode</t>
        </is>
      </c>
      <c r="C12943" s="129" t="inlineStr">
        <is>
          <t>地区代码</t>
        </is>
      </c>
      <c r="D12943" s="21" t="n">
        <v>530103</v>
      </c>
      <c r="E12943" s="21" t="inlineStr">
        <is>
          <t>云南省昆明市盘龙区</t>
        </is>
      </c>
    </row>
    <row r="12944">
      <c r="B12944" s="41" t="inlineStr">
        <is>
          <t>AreaCode</t>
        </is>
      </c>
      <c r="C12944" s="129" t="inlineStr">
        <is>
          <t>地区代码</t>
        </is>
      </c>
      <c r="D12944" s="21" t="n">
        <v>530111</v>
      </c>
      <c r="E12944" s="21" t="inlineStr">
        <is>
          <t>云南省昆明市官渡区</t>
        </is>
      </c>
    </row>
    <row r="12945">
      <c r="B12945" s="41" t="inlineStr">
        <is>
          <t>AreaCode</t>
        </is>
      </c>
      <c r="C12945" s="129" t="inlineStr">
        <is>
          <t>地区代码</t>
        </is>
      </c>
      <c r="D12945" s="21" t="n">
        <v>530112</v>
      </c>
      <c r="E12945" s="21" t="inlineStr">
        <is>
          <t>云南省昆明市西山区</t>
        </is>
      </c>
    </row>
    <row r="12946">
      <c r="B12946" s="41" t="inlineStr">
        <is>
          <t>AreaCode</t>
        </is>
      </c>
      <c r="C12946" s="129" t="inlineStr">
        <is>
          <t>地区代码</t>
        </is>
      </c>
      <c r="D12946" s="21" t="n">
        <v>530113</v>
      </c>
      <c r="E12946" s="21" t="inlineStr">
        <is>
          <t>云南省昆明市东川区</t>
        </is>
      </c>
    </row>
    <row r="12947">
      <c r="B12947" s="41" t="inlineStr">
        <is>
          <t>AreaCode</t>
        </is>
      </c>
      <c r="C12947" s="129" t="inlineStr">
        <is>
          <t>地区代码</t>
        </is>
      </c>
      <c r="D12947" s="21" t="n">
        <v>530121</v>
      </c>
      <c r="E12947" s="21" t="inlineStr">
        <is>
          <t>云南省昆明市呈贡县</t>
        </is>
      </c>
    </row>
    <row r="12948">
      <c r="B12948" s="41" t="inlineStr">
        <is>
          <t>AreaCode</t>
        </is>
      </c>
      <c r="C12948" s="129" t="inlineStr">
        <is>
          <t>地区代码</t>
        </is>
      </c>
      <c r="D12948" s="21" t="n">
        <v>530122</v>
      </c>
      <c r="E12948" s="21" t="inlineStr">
        <is>
          <t>云南省昆明市晋宁县</t>
        </is>
      </c>
    </row>
    <row r="12949">
      <c r="B12949" s="41" t="inlineStr">
        <is>
          <t>AreaCode</t>
        </is>
      </c>
      <c r="C12949" s="129" t="inlineStr">
        <is>
          <t>地区代码</t>
        </is>
      </c>
      <c r="D12949" s="21" t="n">
        <v>530124</v>
      </c>
      <c r="E12949" s="21" t="inlineStr">
        <is>
          <t>云南省昆明市富民县</t>
        </is>
      </c>
    </row>
    <row r="12950">
      <c r="B12950" s="41" t="inlineStr">
        <is>
          <t>AreaCode</t>
        </is>
      </c>
      <c r="C12950" s="129" t="inlineStr">
        <is>
          <t>地区代码</t>
        </is>
      </c>
      <c r="D12950" s="21" t="n">
        <v>530125</v>
      </c>
      <c r="E12950" s="21" t="inlineStr">
        <is>
          <t>云南省昆明市宜良县</t>
        </is>
      </c>
    </row>
    <row r="12951">
      <c r="B12951" s="41" t="inlineStr">
        <is>
          <t>AreaCode</t>
        </is>
      </c>
      <c r="C12951" s="129" t="inlineStr">
        <is>
          <t>地区代码</t>
        </is>
      </c>
      <c r="D12951" s="21" t="n">
        <v>530126</v>
      </c>
      <c r="E12951" s="21" t="inlineStr">
        <is>
          <t>云南省昆明市石林彝族自治县</t>
        </is>
      </c>
    </row>
    <row r="12952">
      <c r="B12952" s="41" t="inlineStr">
        <is>
          <t>AreaCode</t>
        </is>
      </c>
      <c r="C12952" s="129" t="inlineStr">
        <is>
          <t>地区代码</t>
        </is>
      </c>
      <c r="D12952" s="21" t="n">
        <v>530127</v>
      </c>
      <c r="E12952" s="21" t="inlineStr">
        <is>
          <t>云南省昆明市嵩明县</t>
        </is>
      </c>
    </row>
    <row r="12953">
      <c r="B12953" s="41" t="inlineStr">
        <is>
          <t>AreaCode</t>
        </is>
      </c>
      <c r="C12953" s="129" t="inlineStr">
        <is>
          <t>地区代码</t>
        </is>
      </c>
      <c r="D12953" s="21" t="n">
        <v>530128</v>
      </c>
      <c r="E12953" s="21" t="inlineStr">
        <is>
          <t>云南省昆明市禄劝彝族苗族自治县</t>
        </is>
      </c>
    </row>
    <row r="12954">
      <c r="B12954" s="41" t="inlineStr">
        <is>
          <t>AreaCode</t>
        </is>
      </c>
      <c r="C12954" s="129" t="inlineStr">
        <is>
          <t>地区代码</t>
        </is>
      </c>
      <c r="D12954" s="21" t="n">
        <v>530129</v>
      </c>
      <c r="E12954" s="21" t="inlineStr">
        <is>
          <t>云南省昆明市寻甸回族彝族自治县</t>
        </is>
      </c>
    </row>
    <row r="12955">
      <c r="B12955" s="41" t="inlineStr">
        <is>
          <t>AreaCode</t>
        </is>
      </c>
      <c r="C12955" s="129" t="inlineStr">
        <is>
          <t>地区代码</t>
        </is>
      </c>
      <c r="D12955" s="21" t="n">
        <v>530181</v>
      </c>
      <c r="E12955" s="21" t="inlineStr">
        <is>
          <t>云南省昆明市安宁市</t>
        </is>
      </c>
    </row>
    <row r="12956">
      <c r="B12956" s="41" t="inlineStr">
        <is>
          <t>AreaCode</t>
        </is>
      </c>
      <c r="C12956" s="129" t="inlineStr">
        <is>
          <t>地区代码</t>
        </is>
      </c>
      <c r="D12956" s="21" t="n">
        <v>530300</v>
      </c>
      <c r="E12956" s="21" t="inlineStr">
        <is>
          <t>云南省曲靖市</t>
        </is>
      </c>
    </row>
    <row r="12957">
      <c r="B12957" s="41" t="inlineStr">
        <is>
          <t>AreaCode</t>
        </is>
      </c>
      <c r="C12957" s="129" t="inlineStr">
        <is>
          <t>地区代码</t>
        </is>
      </c>
      <c r="D12957" s="21" t="n">
        <v>530301</v>
      </c>
      <c r="E12957" s="21" t="inlineStr">
        <is>
          <t>云南省曲靖市市辖区</t>
        </is>
      </c>
    </row>
    <row r="12958">
      <c r="B12958" s="41" t="inlineStr">
        <is>
          <t>AreaCode</t>
        </is>
      </c>
      <c r="C12958" s="129" t="inlineStr">
        <is>
          <t>地区代码</t>
        </is>
      </c>
      <c r="D12958" s="21" t="n">
        <v>530302</v>
      </c>
      <c r="E12958" s="21" t="inlineStr">
        <is>
          <t>云南省曲靖市麒麟区</t>
        </is>
      </c>
    </row>
    <row r="12959">
      <c r="B12959" s="41" t="inlineStr">
        <is>
          <t>AreaCode</t>
        </is>
      </c>
      <c r="C12959" s="129" t="inlineStr">
        <is>
          <t>地区代码</t>
        </is>
      </c>
      <c r="D12959" s="21" t="n">
        <v>530321</v>
      </c>
      <c r="E12959" s="21" t="inlineStr">
        <is>
          <t>云南省曲靖市马龙县</t>
        </is>
      </c>
    </row>
    <row r="12960">
      <c r="B12960" s="41" t="inlineStr">
        <is>
          <t>AreaCode</t>
        </is>
      </c>
      <c r="C12960" s="129" t="inlineStr">
        <is>
          <t>地区代码</t>
        </is>
      </c>
      <c r="D12960" s="21" t="n">
        <v>530322</v>
      </c>
      <c r="E12960" s="21" t="inlineStr">
        <is>
          <t>云南省曲靖市陆良县</t>
        </is>
      </c>
    </row>
    <row r="12961">
      <c r="B12961" s="41" t="inlineStr">
        <is>
          <t>AreaCode</t>
        </is>
      </c>
      <c r="C12961" s="129" t="inlineStr">
        <is>
          <t>地区代码</t>
        </is>
      </c>
      <c r="D12961" s="21" t="n">
        <v>530323</v>
      </c>
      <c r="E12961" s="21" t="inlineStr">
        <is>
          <t>云南省曲靖市师宗县</t>
        </is>
      </c>
    </row>
    <row r="12962">
      <c r="B12962" s="41" t="inlineStr">
        <is>
          <t>AreaCode</t>
        </is>
      </c>
      <c r="C12962" s="129" t="inlineStr">
        <is>
          <t>地区代码</t>
        </is>
      </c>
      <c r="D12962" s="21" t="n">
        <v>530324</v>
      </c>
      <c r="E12962" s="21" t="inlineStr">
        <is>
          <t>云南省曲靖市罗平县</t>
        </is>
      </c>
    </row>
    <row r="12963">
      <c r="B12963" s="41" t="inlineStr">
        <is>
          <t>AreaCode</t>
        </is>
      </c>
      <c r="C12963" s="129" t="inlineStr">
        <is>
          <t>地区代码</t>
        </is>
      </c>
      <c r="D12963" s="21" t="n">
        <v>530325</v>
      </c>
      <c r="E12963" s="21" t="inlineStr">
        <is>
          <t>云南省曲靖市富源县</t>
        </is>
      </c>
    </row>
    <row r="12964">
      <c r="B12964" s="41" t="inlineStr">
        <is>
          <t>AreaCode</t>
        </is>
      </c>
      <c r="C12964" s="129" t="inlineStr">
        <is>
          <t>地区代码</t>
        </is>
      </c>
      <c r="D12964" s="21" t="n">
        <v>530326</v>
      </c>
      <c r="E12964" s="21" t="inlineStr">
        <is>
          <t>云南省曲靖市会泽县</t>
        </is>
      </c>
    </row>
    <row r="12965">
      <c r="B12965" s="41" t="inlineStr">
        <is>
          <t>AreaCode</t>
        </is>
      </c>
      <c r="C12965" s="129" t="inlineStr">
        <is>
          <t>地区代码</t>
        </is>
      </c>
      <c r="D12965" s="21" t="n">
        <v>530328</v>
      </c>
      <c r="E12965" s="21" t="inlineStr">
        <is>
          <t>云南省曲靖市沾益县</t>
        </is>
      </c>
    </row>
    <row r="12966">
      <c r="B12966" s="41" t="inlineStr">
        <is>
          <t>AreaCode</t>
        </is>
      </c>
      <c r="C12966" s="129" t="inlineStr">
        <is>
          <t>地区代码</t>
        </is>
      </c>
      <c r="D12966" s="21" t="n">
        <v>530381</v>
      </c>
      <c r="E12966" s="21" t="inlineStr">
        <is>
          <t>云南省曲靖市宣威市</t>
        </is>
      </c>
    </row>
    <row r="12967">
      <c r="B12967" s="41" t="inlineStr">
        <is>
          <t>AreaCode</t>
        </is>
      </c>
      <c r="C12967" s="129" t="inlineStr">
        <is>
          <t>地区代码</t>
        </is>
      </c>
      <c r="D12967" s="21" t="n">
        <v>530400</v>
      </c>
      <c r="E12967" s="21" t="inlineStr">
        <is>
          <t>云南省玉溪市</t>
        </is>
      </c>
    </row>
    <row r="12968">
      <c r="B12968" s="41" t="inlineStr">
        <is>
          <t>AreaCode</t>
        </is>
      </c>
      <c r="C12968" s="129" t="inlineStr">
        <is>
          <t>地区代码</t>
        </is>
      </c>
      <c r="D12968" s="21" t="n">
        <v>530401</v>
      </c>
      <c r="E12968" s="21" t="inlineStr">
        <is>
          <t>云南省玉溪市市辖区</t>
        </is>
      </c>
    </row>
    <row r="12969">
      <c r="B12969" s="41" t="inlineStr">
        <is>
          <t>AreaCode</t>
        </is>
      </c>
      <c r="C12969" s="129" t="inlineStr">
        <is>
          <t>地区代码</t>
        </is>
      </c>
      <c r="D12969" s="21" t="n">
        <v>530402</v>
      </c>
      <c r="E12969" s="21" t="inlineStr">
        <is>
          <t>云南省玉溪市红塔区</t>
        </is>
      </c>
    </row>
    <row r="12970">
      <c r="B12970" s="41" t="inlineStr">
        <is>
          <t>AreaCode</t>
        </is>
      </c>
      <c r="C12970" s="129" t="inlineStr">
        <is>
          <t>地区代码</t>
        </is>
      </c>
      <c r="D12970" s="21" t="n">
        <v>530421</v>
      </c>
      <c r="E12970" s="21" t="inlineStr">
        <is>
          <t>云南省玉溪市江川县</t>
        </is>
      </c>
    </row>
    <row r="12971">
      <c r="B12971" s="41" t="inlineStr">
        <is>
          <t>AreaCode</t>
        </is>
      </c>
      <c r="C12971" s="129" t="inlineStr">
        <is>
          <t>地区代码</t>
        </is>
      </c>
      <c r="D12971" s="21" t="n">
        <v>530422</v>
      </c>
      <c r="E12971" s="21" t="inlineStr">
        <is>
          <t>云南省玉溪市澄江县</t>
        </is>
      </c>
    </row>
    <row r="12972">
      <c r="B12972" s="41" t="inlineStr">
        <is>
          <t>AreaCode</t>
        </is>
      </c>
      <c r="C12972" s="129" t="inlineStr">
        <is>
          <t>地区代码</t>
        </is>
      </c>
      <c r="D12972" s="21" t="n">
        <v>530423</v>
      </c>
      <c r="E12972" s="21" t="inlineStr">
        <is>
          <t>云南省玉溪市通海县</t>
        </is>
      </c>
    </row>
    <row r="12973">
      <c r="B12973" s="41" t="inlineStr">
        <is>
          <t>AreaCode</t>
        </is>
      </c>
      <c r="C12973" s="129" t="inlineStr">
        <is>
          <t>地区代码</t>
        </is>
      </c>
      <c r="D12973" s="21" t="n">
        <v>530424</v>
      </c>
      <c r="E12973" s="21" t="inlineStr">
        <is>
          <t>云南省玉溪市华宁县</t>
        </is>
      </c>
    </row>
    <row r="12974">
      <c r="B12974" s="41" t="inlineStr">
        <is>
          <t>AreaCode</t>
        </is>
      </c>
      <c r="C12974" s="129" t="inlineStr">
        <is>
          <t>地区代码</t>
        </is>
      </c>
      <c r="D12974" s="21" t="n">
        <v>530425</v>
      </c>
      <c r="E12974" s="21" t="inlineStr">
        <is>
          <t>云南省玉溪市易门县</t>
        </is>
      </c>
    </row>
    <row r="12975">
      <c r="B12975" s="41" t="inlineStr">
        <is>
          <t>AreaCode</t>
        </is>
      </c>
      <c r="C12975" s="129" t="inlineStr">
        <is>
          <t>地区代码</t>
        </is>
      </c>
      <c r="D12975" s="21" t="n">
        <v>530426</v>
      </c>
      <c r="E12975" s="21" t="inlineStr">
        <is>
          <t>云南省玉溪市峨山彝族自治县</t>
        </is>
      </c>
    </row>
    <row r="12976">
      <c r="B12976" s="41" t="inlineStr">
        <is>
          <t>AreaCode</t>
        </is>
      </c>
      <c r="C12976" s="129" t="inlineStr">
        <is>
          <t>地区代码</t>
        </is>
      </c>
      <c r="D12976" s="21" t="n">
        <v>530427</v>
      </c>
      <c r="E12976" s="21" t="inlineStr">
        <is>
          <t>云南省玉溪市新平彝族傣族自治县</t>
        </is>
      </c>
    </row>
    <row r="12977">
      <c r="B12977" s="41" t="inlineStr">
        <is>
          <t>AreaCode</t>
        </is>
      </c>
      <c r="C12977" s="129" t="inlineStr">
        <is>
          <t>地区代码</t>
        </is>
      </c>
      <c r="D12977" s="21" t="n">
        <v>530428</v>
      </c>
      <c r="E12977" s="21" t="inlineStr">
        <is>
          <t>云南省玉溪市元江哈尼族彝族傣族自治县</t>
        </is>
      </c>
    </row>
    <row r="12978">
      <c r="B12978" s="41" t="inlineStr">
        <is>
          <t>AreaCode</t>
        </is>
      </c>
      <c r="C12978" s="129" t="inlineStr">
        <is>
          <t>地区代码</t>
        </is>
      </c>
      <c r="D12978" s="21" t="n">
        <v>530500</v>
      </c>
      <c r="E12978" s="21" t="inlineStr">
        <is>
          <t>云南省保山市</t>
        </is>
      </c>
    </row>
    <row r="12979">
      <c r="B12979" s="41" t="inlineStr">
        <is>
          <t>AreaCode</t>
        </is>
      </c>
      <c r="C12979" s="129" t="inlineStr">
        <is>
          <t>地区代码</t>
        </is>
      </c>
      <c r="D12979" s="21" t="n">
        <v>530501</v>
      </c>
      <c r="E12979" s="21" t="inlineStr">
        <is>
          <t>云南省保山市市辖区</t>
        </is>
      </c>
    </row>
    <row r="12980">
      <c r="B12980" s="41" t="inlineStr">
        <is>
          <t>AreaCode</t>
        </is>
      </c>
      <c r="C12980" s="129" t="inlineStr">
        <is>
          <t>地区代码</t>
        </is>
      </c>
      <c r="D12980" s="21" t="n">
        <v>530502</v>
      </c>
      <c r="E12980" s="21" t="inlineStr">
        <is>
          <t>云南省保山市隆阳区</t>
        </is>
      </c>
    </row>
    <row r="12981">
      <c r="B12981" s="41" t="inlineStr">
        <is>
          <t>AreaCode</t>
        </is>
      </c>
      <c r="C12981" s="129" t="inlineStr">
        <is>
          <t>地区代码</t>
        </is>
      </c>
      <c r="D12981" s="21" t="n">
        <v>530521</v>
      </c>
      <c r="E12981" s="21" t="inlineStr">
        <is>
          <t>云南省保山市施甸县</t>
        </is>
      </c>
    </row>
    <row r="12982">
      <c r="B12982" s="41" t="inlineStr">
        <is>
          <t>AreaCode</t>
        </is>
      </c>
      <c r="C12982" s="129" t="inlineStr">
        <is>
          <t>地区代码</t>
        </is>
      </c>
      <c r="D12982" s="21" t="n">
        <v>530522</v>
      </c>
      <c r="E12982" s="21" t="inlineStr">
        <is>
          <t>云南省保山市腾冲县</t>
        </is>
      </c>
    </row>
    <row r="12983">
      <c r="B12983" s="41" t="inlineStr">
        <is>
          <t>AreaCode</t>
        </is>
      </c>
      <c r="C12983" s="129" t="inlineStr">
        <is>
          <t>地区代码</t>
        </is>
      </c>
      <c r="D12983" s="21" t="n">
        <v>530523</v>
      </c>
      <c r="E12983" s="21" t="inlineStr">
        <is>
          <t>云南省保山市龙陵县</t>
        </is>
      </c>
    </row>
    <row r="12984">
      <c r="B12984" s="41" t="inlineStr">
        <is>
          <t>AreaCode</t>
        </is>
      </c>
      <c r="C12984" s="129" t="inlineStr">
        <is>
          <t>地区代码</t>
        </is>
      </c>
      <c r="D12984" s="21" t="n">
        <v>530524</v>
      </c>
      <c r="E12984" s="21" t="inlineStr">
        <is>
          <t>云南省保山市昌宁县</t>
        </is>
      </c>
    </row>
    <row r="12985">
      <c r="B12985" s="41" t="inlineStr">
        <is>
          <t>AreaCode</t>
        </is>
      </c>
      <c r="C12985" s="129" t="inlineStr">
        <is>
          <t>地区代码</t>
        </is>
      </c>
      <c r="D12985" s="21" t="n">
        <v>530600</v>
      </c>
      <c r="E12985" s="21" t="inlineStr">
        <is>
          <t>云南省昭通市</t>
        </is>
      </c>
    </row>
    <row r="12986">
      <c r="B12986" s="41" t="inlineStr">
        <is>
          <t>AreaCode</t>
        </is>
      </c>
      <c r="C12986" s="129" t="inlineStr">
        <is>
          <t>地区代码</t>
        </is>
      </c>
      <c r="D12986" s="21" t="n">
        <v>530601</v>
      </c>
      <c r="E12986" s="21" t="inlineStr">
        <is>
          <t>云南省昭通市市辖区</t>
        </is>
      </c>
    </row>
    <row r="12987">
      <c r="B12987" s="41" t="inlineStr">
        <is>
          <t>AreaCode</t>
        </is>
      </c>
      <c r="C12987" s="129" t="inlineStr">
        <is>
          <t>地区代码</t>
        </is>
      </c>
      <c r="D12987" s="21" t="n">
        <v>530602</v>
      </c>
      <c r="E12987" s="21" t="inlineStr">
        <is>
          <t>云南省昭通市昭阳区</t>
        </is>
      </c>
    </row>
    <row r="12988">
      <c r="B12988" s="41" t="inlineStr">
        <is>
          <t>AreaCode</t>
        </is>
      </c>
      <c r="C12988" s="129" t="inlineStr">
        <is>
          <t>地区代码</t>
        </is>
      </c>
      <c r="D12988" s="21" t="n">
        <v>530621</v>
      </c>
      <c r="E12988" s="21" t="inlineStr">
        <is>
          <t>云南省昭通市鲁甸县</t>
        </is>
      </c>
    </row>
    <row r="12989">
      <c r="B12989" s="41" t="inlineStr">
        <is>
          <t>AreaCode</t>
        </is>
      </c>
      <c r="C12989" s="129" t="inlineStr">
        <is>
          <t>地区代码</t>
        </is>
      </c>
      <c r="D12989" s="21" t="n">
        <v>530622</v>
      </c>
      <c r="E12989" s="21" t="inlineStr">
        <is>
          <t>云南省昭通市巧家县</t>
        </is>
      </c>
    </row>
    <row r="12990">
      <c r="B12990" s="41" t="inlineStr">
        <is>
          <t>AreaCode</t>
        </is>
      </c>
      <c r="C12990" s="129" t="inlineStr">
        <is>
          <t>地区代码</t>
        </is>
      </c>
      <c r="D12990" s="21" t="n">
        <v>530623</v>
      </c>
      <c r="E12990" s="21" t="inlineStr">
        <is>
          <t>云南省昭通市盐津县</t>
        </is>
      </c>
    </row>
    <row r="12991">
      <c r="B12991" s="41" t="inlineStr">
        <is>
          <t>AreaCode</t>
        </is>
      </c>
      <c r="C12991" s="129" t="inlineStr">
        <is>
          <t>地区代码</t>
        </is>
      </c>
      <c r="D12991" s="21" t="n">
        <v>530624</v>
      </c>
      <c r="E12991" s="21" t="inlineStr">
        <is>
          <t>云南省昭通市大关县</t>
        </is>
      </c>
    </row>
    <row r="12992">
      <c r="B12992" s="41" t="inlineStr">
        <is>
          <t>AreaCode</t>
        </is>
      </c>
      <c r="C12992" s="129" t="inlineStr">
        <is>
          <t>地区代码</t>
        </is>
      </c>
      <c r="D12992" s="21" t="n">
        <v>530625</v>
      </c>
      <c r="E12992" s="21" t="inlineStr">
        <is>
          <t>云南省昭通市永善县</t>
        </is>
      </c>
    </row>
    <row r="12993">
      <c r="B12993" s="41" t="inlineStr">
        <is>
          <t>AreaCode</t>
        </is>
      </c>
      <c r="C12993" s="129" t="inlineStr">
        <is>
          <t>地区代码</t>
        </is>
      </c>
      <c r="D12993" s="21" t="n">
        <v>530626</v>
      </c>
      <c r="E12993" s="21" t="inlineStr">
        <is>
          <t>云南省昭通市绥江县</t>
        </is>
      </c>
    </row>
    <row r="12994">
      <c r="B12994" s="41" t="inlineStr">
        <is>
          <t>AreaCode</t>
        </is>
      </c>
      <c r="C12994" s="129" t="inlineStr">
        <is>
          <t>地区代码</t>
        </is>
      </c>
      <c r="D12994" s="21" t="n">
        <v>530627</v>
      </c>
      <c r="E12994" s="21" t="inlineStr">
        <is>
          <t>云南省昭通市镇雄县</t>
        </is>
      </c>
    </row>
    <row r="12995">
      <c r="B12995" s="41" t="inlineStr">
        <is>
          <t>AreaCode</t>
        </is>
      </c>
      <c r="C12995" s="129" t="inlineStr">
        <is>
          <t>地区代码</t>
        </is>
      </c>
      <c r="D12995" s="21" t="n">
        <v>530628</v>
      </c>
      <c r="E12995" s="21" t="inlineStr">
        <is>
          <t>云南省昭通市彝良县</t>
        </is>
      </c>
    </row>
    <row r="12996">
      <c r="B12996" s="41" t="inlineStr">
        <is>
          <t>AreaCode</t>
        </is>
      </c>
      <c r="C12996" s="129" t="inlineStr">
        <is>
          <t>地区代码</t>
        </is>
      </c>
      <c r="D12996" s="21" t="n">
        <v>530629</v>
      </c>
      <c r="E12996" s="21" t="inlineStr">
        <is>
          <t>云南省昭通市威信县</t>
        </is>
      </c>
    </row>
    <row r="12997">
      <c r="B12997" s="41" t="inlineStr">
        <is>
          <t>AreaCode</t>
        </is>
      </c>
      <c r="C12997" s="129" t="inlineStr">
        <is>
          <t>地区代码</t>
        </is>
      </c>
      <c r="D12997" s="21" t="n">
        <v>530630</v>
      </c>
      <c r="E12997" s="21" t="inlineStr">
        <is>
          <t>云南省昭通市水富县</t>
        </is>
      </c>
    </row>
    <row r="12998">
      <c r="B12998" s="41" t="inlineStr">
        <is>
          <t>AreaCode</t>
        </is>
      </c>
      <c r="C12998" s="129" t="inlineStr">
        <is>
          <t>地区代码</t>
        </is>
      </c>
      <c r="D12998" s="21" t="n">
        <v>530700</v>
      </c>
      <c r="E12998" s="21" t="inlineStr">
        <is>
          <t>云南省丽江市</t>
        </is>
      </c>
    </row>
    <row r="12999">
      <c r="B12999" s="41" t="inlineStr">
        <is>
          <t>AreaCode</t>
        </is>
      </c>
      <c r="C12999" s="129" t="inlineStr">
        <is>
          <t>地区代码</t>
        </is>
      </c>
      <c r="D12999" s="21" t="n">
        <v>530701</v>
      </c>
      <c r="E12999" s="21" t="inlineStr">
        <is>
          <t>云南省丽江市市辖区</t>
        </is>
      </c>
    </row>
    <row r="13000">
      <c r="B13000" s="41" t="inlineStr">
        <is>
          <t>AreaCode</t>
        </is>
      </c>
      <c r="C13000" s="129" t="inlineStr">
        <is>
          <t>地区代码</t>
        </is>
      </c>
      <c r="D13000" s="21" t="n">
        <v>530702</v>
      </c>
      <c r="E13000" s="21" t="inlineStr">
        <is>
          <t>云南省丽江市古城区</t>
        </is>
      </c>
    </row>
    <row r="13001">
      <c r="B13001" s="41" t="inlineStr">
        <is>
          <t>AreaCode</t>
        </is>
      </c>
      <c r="C13001" s="129" t="inlineStr">
        <is>
          <t>地区代码</t>
        </is>
      </c>
      <c r="D13001" s="21" t="n">
        <v>530721</v>
      </c>
      <c r="E13001" s="21" t="inlineStr">
        <is>
          <t>云南省丽江市玉龙纳西族自治县</t>
        </is>
      </c>
    </row>
    <row r="13002">
      <c r="B13002" s="41" t="inlineStr">
        <is>
          <t>AreaCode</t>
        </is>
      </c>
      <c r="C13002" s="129" t="inlineStr">
        <is>
          <t>地区代码</t>
        </is>
      </c>
      <c r="D13002" s="21" t="n">
        <v>530722</v>
      </c>
      <c r="E13002" s="21" t="inlineStr">
        <is>
          <t>云南省丽江市永胜县</t>
        </is>
      </c>
    </row>
    <row r="13003">
      <c r="B13003" s="41" t="inlineStr">
        <is>
          <t>AreaCode</t>
        </is>
      </c>
      <c r="C13003" s="129" t="inlineStr">
        <is>
          <t>地区代码</t>
        </is>
      </c>
      <c r="D13003" s="21" t="n">
        <v>530723</v>
      </c>
      <c r="E13003" s="21" t="inlineStr">
        <is>
          <t>云南省丽江市华坪县</t>
        </is>
      </c>
    </row>
    <row r="13004">
      <c r="B13004" s="41" t="inlineStr">
        <is>
          <t>AreaCode</t>
        </is>
      </c>
      <c r="C13004" s="129" t="inlineStr">
        <is>
          <t>地区代码</t>
        </is>
      </c>
      <c r="D13004" s="21" t="n">
        <v>530724</v>
      </c>
      <c r="E13004" s="21" t="inlineStr">
        <is>
          <t>云南省丽江市宁蒗彝族自治县</t>
        </is>
      </c>
    </row>
    <row r="13005">
      <c r="B13005" s="41" t="inlineStr">
        <is>
          <t>AreaCode</t>
        </is>
      </c>
      <c r="C13005" s="129" t="inlineStr">
        <is>
          <t>地区代码</t>
        </is>
      </c>
      <c r="D13005" s="21" t="n">
        <v>530800</v>
      </c>
      <c r="E13005" s="21" t="inlineStr">
        <is>
          <t>云南省普洱市</t>
        </is>
      </c>
    </row>
    <row r="13006">
      <c r="B13006" s="41" t="inlineStr">
        <is>
          <t>AreaCode</t>
        </is>
      </c>
      <c r="C13006" s="129" t="inlineStr">
        <is>
          <t>地区代码</t>
        </is>
      </c>
      <c r="D13006" s="21" t="n">
        <v>530801</v>
      </c>
      <c r="E13006" s="21" t="inlineStr">
        <is>
          <t>云南省普洱市市辖区</t>
        </is>
      </c>
    </row>
    <row r="13007">
      <c r="B13007" s="41" t="inlineStr">
        <is>
          <t>AreaCode</t>
        </is>
      </c>
      <c r="C13007" s="129" t="inlineStr">
        <is>
          <t>地区代码</t>
        </is>
      </c>
      <c r="D13007" s="21" t="n">
        <v>530802</v>
      </c>
      <c r="E13007" s="21" t="inlineStr">
        <is>
          <t>云南省普洱市思茅区</t>
        </is>
      </c>
    </row>
    <row r="13008">
      <c r="B13008" s="41" t="inlineStr">
        <is>
          <t>AreaCode</t>
        </is>
      </c>
      <c r="C13008" s="129" t="inlineStr">
        <is>
          <t>地区代码</t>
        </is>
      </c>
      <c r="D13008" s="21" t="n">
        <v>530821</v>
      </c>
      <c r="E13008" s="21" t="inlineStr">
        <is>
          <t>云南省普洱市宁洱哈尼族彝族自治县</t>
        </is>
      </c>
    </row>
    <row r="13009">
      <c r="B13009" s="41" t="inlineStr">
        <is>
          <t>AreaCode</t>
        </is>
      </c>
      <c r="C13009" s="129" t="inlineStr">
        <is>
          <t>地区代码</t>
        </is>
      </c>
      <c r="D13009" s="21" t="n">
        <v>530822</v>
      </c>
      <c r="E13009" s="21" t="inlineStr">
        <is>
          <t>云南省普洱市墨江哈尼族自治县</t>
        </is>
      </c>
    </row>
    <row r="13010">
      <c r="B13010" s="41" t="inlineStr">
        <is>
          <t>AreaCode</t>
        </is>
      </c>
      <c r="C13010" s="129" t="inlineStr">
        <is>
          <t>地区代码</t>
        </is>
      </c>
      <c r="D13010" s="21" t="n">
        <v>530823</v>
      </c>
      <c r="E13010" s="21" t="inlineStr">
        <is>
          <t>云南省普洱市景东彝族自治县</t>
        </is>
      </c>
    </row>
    <row r="13011">
      <c r="B13011" s="41" t="inlineStr">
        <is>
          <t>AreaCode</t>
        </is>
      </c>
      <c r="C13011" s="129" t="inlineStr">
        <is>
          <t>地区代码</t>
        </is>
      </c>
      <c r="D13011" s="21" t="n">
        <v>530824</v>
      </c>
      <c r="E13011" s="21" t="inlineStr">
        <is>
          <t>云南省普洱市景谷傣族彝族自治县</t>
        </is>
      </c>
    </row>
    <row r="13012">
      <c r="B13012" s="41" t="inlineStr">
        <is>
          <t>AreaCode</t>
        </is>
      </c>
      <c r="C13012" s="129" t="inlineStr">
        <is>
          <t>地区代码</t>
        </is>
      </c>
      <c r="D13012" s="21" t="n">
        <v>530825</v>
      </c>
      <c r="E13012" s="21" t="inlineStr">
        <is>
          <t>云南省普洱市镇沅彝族哈尼族拉祜族自治县</t>
        </is>
      </c>
    </row>
    <row r="13013">
      <c r="B13013" s="41" t="inlineStr">
        <is>
          <t>AreaCode</t>
        </is>
      </c>
      <c r="C13013" s="129" t="inlineStr">
        <is>
          <t>地区代码</t>
        </is>
      </c>
      <c r="D13013" s="21" t="n">
        <v>530826</v>
      </c>
      <c r="E13013" s="21" t="inlineStr">
        <is>
          <t>云南省普洱市江城哈尼族彝族自治县</t>
        </is>
      </c>
    </row>
    <row r="13014">
      <c r="B13014" s="41" t="inlineStr">
        <is>
          <t>AreaCode</t>
        </is>
      </c>
      <c r="C13014" s="129" t="inlineStr">
        <is>
          <t>地区代码</t>
        </is>
      </c>
      <c r="D13014" s="21" t="n">
        <v>530827</v>
      </c>
      <c r="E13014" s="21" t="inlineStr">
        <is>
          <t>云南省普洱市孟连傣族拉祜族佤族自治县</t>
        </is>
      </c>
    </row>
    <row r="13015">
      <c r="B13015" s="41" t="inlineStr">
        <is>
          <t>AreaCode</t>
        </is>
      </c>
      <c r="C13015" s="129" t="inlineStr">
        <is>
          <t>地区代码</t>
        </is>
      </c>
      <c r="D13015" s="21" t="n">
        <v>530828</v>
      </c>
      <c r="E13015" s="21" t="inlineStr">
        <is>
          <t>云南省普洱市澜沧拉祜族自治县</t>
        </is>
      </c>
    </row>
    <row r="13016">
      <c r="B13016" s="41" t="inlineStr">
        <is>
          <t>AreaCode</t>
        </is>
      </c>
      <c r="C13016" s="129" t="inlineStr">
        <is>
          <t>地区代码</t>
        </is>
      </c>
      <c r="D13016" s="21" t="n">
        <v>530829</v>
      </c>
      <c r="E13016" s="21" t="inlineStr">
        <is>
          <t>云南省普洱市西盟佤族自治县</t>
        </is>
      </c>
    </row>
    <row r="13017">
      <c r="B13017" s="41" t="inlineStr">
        <is>
          <t>AreaCode</t>
        </is>
      </c>
      <c r="C13017" s="129" t="inlineStr">
        <is>
          <t>地区代码</t>
        </is>
      </c>
      <c r="D13017" s="21" t="n">
        <v>530900</v>
      </c>
      <c r="E13017" s="21" t="inlineStr">
        <is>
          <t>云南省临沧市</t>
        </is>
      </c>
    </row>
    <row r="13018">
      <c r="B13018" s="41" t="inlineStr">
        <is>
          <t>AreaCode</t>
        </is>
      </c>
      <c r="C13018" s="129" t="inlineStr">
        <is>
          <t>地区代码</t>
        </is>
      </c>
      <c r="D13018" s="21" t="n">
        <v>530901</v>
      </c>
      <c r="E13018" s="21" t="inlineStr">
        <is>
          <t>云南省临沧市市辖区</t>
        </is>
      </c>
    </row>
    <row r="13019">
      <c r="B13019" s="41" t="inlineStr">
        <is>
          <t>AreaCode</t>
        </is>
      </c>
      <c r="C13019" s="129" t="inlineStr">
        <is>
          <t>地区代码</t>
        </is>
      </c>
      <c r="D13019" s="21" t="n">
        <v>530902</v>
      </c>
      <c r="E13019" s="21" t="inlineStr">
        <is>
          <t>云南省临沧市临翔区</t>
        </is>
      </c>
    </row>
    <row r="13020">
      <c r="B13020" s="41" t="inlineStr">
        <is>
          <t>AreaCode</t>
        </is>
      </c>
      <c r="C13020" s="129" t="inlineStr">
        <is>
          <t>地区代码</t>
        </is>
      </c>
      <c r="D13020" s="21" t="n">
        <v>530921</v>
      </c>
      <c r="E13020" s="21" t="inlineStr">
        <is>
          <t>云南省临沧市凤庆县</t>
        </is>
      </c>
    </row>
    <row r="13021">
      <c r="B13021" s="41" t="inlineStr">
        <is>
          <t>AreaCode</t>
        </is>
      </c>
      <c r="C13021" s="129" t="inlineStr">
        <is>
          <t>地区代码</t>
        </is>
      </c>
      <c r="D13021" s="21" t="n">
        <v>530922</v>
      </c>
      <c r="E13021" s="21" t="inlineStr">
        <is>
          <t>云南省临沧市云县</t>
        </is>
      </c>
    </row>
    <row r="13022">
      <c r="B13022" s="41" t="inlineStr">
        <is>
          <t>AreaCode</t>
        </is>
      </c>
      <c r="C13022" s="129" t="inlineStr">
        <is>
          <t>地区代码</t>
        </is>
      </c>
      <c r="D13022" s="21" t="n">
        <v>530923</v>
      </c>
      <c r="E13022" s="21" t="inlineStr">
        <is>
          <t>云南省临沧市永德县</t>
        </is>
      </c>
    </row>
    <row r="13023">
      <c r="B13023" s="41" t="inlineStr">
        <is>
          <t>AreaCode</t>
        </is>
      </c>
      <c r="C13023" s="129" t="inlineStr">
        <is>
          <t>地区代码</t>
        </is>
      </c>
      <c r="D13023" s="21" t="n">
        <v>530924</v>
      </c>
      <c r="E13023" s="21" t="inlineStr">
        <is>
          <t>云南省临沧市镇康县</t>
        </is>
      </c>
    </row>
    <row r="13024">
      <c r="B13024" s="41" t="inlineStr">
        <is>
          <t>AreaCode</t>
        </is>
      </c>
      <c r="C13024" s="129" t="inlineStr">
        <is>
          <t>地区代码</t>
        </is>
      </c>
      <c r="D13024" s="21" t="n">
        <v>530925</v>
      </c>
      <c r="E13024" s="21" t="inlineStr">
        <is>
          <t>云南省临沧市双江拉祜族佤族布朗族傣族自治县</t>
        </is>
      </c>
    </row>
    <row r="13025">
      <c r="B13025" s="41" t="inlineStr">
        <is>
          <t>AreaCode</t>
        </is>
      </c>
      <c r="C13025" s="129" t="inlineStr">
        <is>
          <t>地区代码</t>
        </is>
      </c>
      <c r="D13025" s="21" t="n">
        <v>530926</v>
      </c>
      <c r="E13025" s="21" t="inlineStr">
        <is>
          <t>云南省临沧市耿马傣族佤族自治县</t>
        </is>
      </c>
    </row>
    <row r="13026">
      <c r="B13026" s="41" t="inlineStr">
        <is>
          <t>AreaCode</t>
        </is>
      </c>
      <c r="C13026" s="129" t="inlineStr">
        <is>
          <t>地区代码</t>
        </is>
      </c>
      <c r="D13026" s="21" t="n">
        <v>530927</v>
      </c>
      <c r="E13026" s="21" t="inlineStr">
        <is>
          <t>云南省临沧市沧源佤族自治县</t>
        </is>
      </c>
    </row>
    <row r="13027">
      <c r="B13027" s="41" t="inlineStr">
        <is>
          <t>AreaCode</t>
        </is>
      </c>
      <c r="C13027" s="129" t="inlineStr">
        <is>
          <t>地区代码</t>
        </is>
      </c>
      <c r="D13027" s="21" t="n">
        <v>532300</v>
      </c>
      <c r="E13027" s="21" t="inlineStr">
        <is>
          <t>云南省楚雄彝族自治州</t>
        </is>
      </c>
    </row>
    <row r="13028">
      <c r="B13028" s="41" t="inlineStr">
        <is>
          <t>AreaCode</t>
        </is>
      </c>
      <c r="C13028" s="129" t="inlineStr">
        <is>
          <t>地区代码</t>
        </is>
      </c>
      <c r="D13028" s="21" t="n">
        <v>532301</v>
      </c>
      <c r="E13028" s="21" t="inlineStr">
        <is>
          <t>云南省楚雄彝族自治州楚雄市</t>
        </is>
      </c>
    </row>
    <row r="13029">
      <c r="B13029" s="41" t="inlineStr">
        <is>
          <t>AreaCode</t>
        </is>
      </c>
      <c r="C13029" s="129" t="inlineStr">
        <is>
          <t>地区代码</t>
        </is>
      </c>
      <c r="D13029" s="21" t="n">
        <v>532322</v>
      </c>
      <c r="E13029" s="21" t="inlineStr">
        <is>
          <t>云南省楚雄彝族自治州双柏县</t>
        </is>
      </c>
    </row>
    <row r="13030">
      <c r="B13030" s="41" t="inlineStr">
        <is>
          <t>AreaCode</t>
        </is>
      </c>
      <c r="C13030" s="129" t="inlineStr">
        <is>
          <t>地区代码</t>
        </is>
      </c>
      <c r="D13030" s="21" t="n">
        <v>532323</v>
      </c>
      <c r="E13030" s="21" t="inlineStr">
        <is>
          <t>云南省楚雄彝族自治州牟定县</t>
        </is>
      </c>
    </row>
    <row r="13031">
      <c r="B13031" s="41" t="inlineStr">
        <is>
          <t>AreaCode</t>
        </is>
      </c>
      <c r="C13031" s="129" t="inlineStr">
        <is>
          <t>地区代码</t>
        </is>
      </c>
      <c r="D13031" s="21" t="n">
        <v>532324</v>
      </c>
      <c r="E13031" s="21" t="inlineStr">
        <is>
          <t>云南省楚雄彝族自治州南华县</t>
        </is>
      </c>
    </row>
    <row r="13032">
      <c r="B13032" s="41" t="inlineStr">
        <is>
          <t>AreaCode</t>
        </is>
      </c>
      <c r="C13032" s="129" t="inlineStr">
        <is>
          <t>地区代码</t>
        </is>
      </c>
      <c r="D13032" s="21" t="n">
        <v>532325</v>
      </c>
      <c r="E13032" s="21" t="inlineStr">
        <is>
          <t>云南省楚雄彝族自治州姚安县</t>
        </is>
      </c>
    </row>
    <row r="13033">
      <c r="B13033" s="41" t="inlineStr">
        <is>
          <t>AreaCode</t>
        </is>
      </c>
      <c r="C13033" s="129" t="inlineStr">
        <is>
          <t>地区代码</t>
        </is>
      </c>
      <c r="D13033" s="21" t="n">
        <v>532326</v>
      </c>
      <c r="E13033" s="21" t="inlineStr">
        <is>
          <t>云南省楚雄彝族自治州大姚县</t>
        </is>
      </c>
    </row>
    <row r="13034">
      <c r="B13034" s="41" t="inlineStr">
        <is>
          <t>AreaCode</t>
        </is>
      </c>
      <c r="C13034" s="129" t="inlineStr">
        <is>
          <t>地区代码</t>
        </is>
      </c>
      <c r="D13034" s="21" t="n">
        <v>532327</v>
      </c>
      <c r="E13034" s="21" t="inlineStr">
        <is>
          <t>云南省楚雄彝族自治州永仁县</t>
        </is>
      </c>
    </row>
    <row r="13035">
      <c r="B13035" s="41" t="inlineStr">
        <is>
          <t>AreaCode</t>
        </is>
      </c>
      <c r="C13035" s="129" t="inlineStr">
        <is>
          <t>地区代码</t>
        </is>
      </c>
      <c r="D13035" s="21" t="n">
        <v>532328</v>
      </c>
      <c r="E13035" s="21" t="inlineStr">
        <is>
          <t>云南省楚雄彝族自治州元谋县</t>
        </is>
      </c>
    </row>
    <row r="13036">
      <c r="B13036" s="41" t="inlineStr">
        <is>
          <t>AreaCode</t>
        </is>
      </c>
      <c r="C13036" s="129" t="inlineStr">
        <is>
          <t>地区代码</t>
        </is>
      </c>
      <c r="D13036" s="21" t="n">
        <v>532329</v>
      </c>
      <c r="E13036" s="21" t="inlineStr">
        <is>
          <t>云南省楚雄彝族自治州武定县</t>
        </is>
      </c>
    </row>
    <row r="13037">
      <c r="B13037" s="41" t="inlineStr">
        <is>
          <t>AreaCode</t>
        </is>
      </c>
      <c r="C13037" s="129" t="inlineStr">
        <is>
          <t>地区代码</t>
        </is>
      </c>
      <c r="D13037" s="21" t="n">
        <v>532331</v>
      </c>
      <c r="E13037" s="21" t="inlineStr">
        <is>
          <t>云南省楚雄彝族自治州禄丰县</t>
        </is>
      </c>
    </row>
    <row r="13038">
      <c r="B13038" s="41" t="inlineStr">
        <is>
          <t>AreaCode</t>
        </is>
      </c>
      <c r="C13038" s="129" t="inlineStr">
        <is>
          <t>地区代码</t>
        </is>
      </c>
      <c r="D13038" s="21" t="n">
        <v>532500</v>
      </c>
      <c r="E13038" s="21" t="inlineStr">
        <is>
          <t>云南省红河哈尼族彝族自治州</t>
        </is>
      </c>
    </row>
    <row r="13039">
      <c r="B13039" s="41" t="inlineStr">
        <is>
          <t>AreaCode</t>
        </is>
      </c>
      <c r="C13039" s="129" t="inlineStr">
        <is>
          <t>地区代码</t>
        </is>
      </c>
      <c r="D13039" s="21" t="n">
        <v>532501</v>
      </c>
      <c r="E13039" s="21" t="inlineStr">
        <is>
          <t>云南省红河哈尼族彝族自治州个旧市</t>
        </is>
      </c>
    </row>
    <row r="13040">
      <c r="B13040" s="41" t="inlineStr">
        <is>
          <t>AreaCode</t>
        </is>
      </c>
      <c r="C13040" s="129" t="inlineStr">
        <is>
          <t>地区代码</t>
        </is>
      </c>
      <c r="D13040" s="21" t="n">
        <v>532502</v>
      </c>
      <c r="E13040" s="21" t="inlineStr">
        <is>
          <t>云南省红河哈尼族彝族自治州开远市</t>
        </is>
      </c>
    </row>
    <row r="13041">
      <c r="B13041" s="41" t="inlineStr">
        <is>
          <t>AreaCode</t>
        </is>
      </c>
      <c r="C13041" s="129" t="inlineStr">
        <is>
          <t>地区代码</t>
        </is>
      </c>
      <c r="D13041" s="21" t="n">
        <v>532503</v>
      </c>
      <c r="E13041" s="21" t="inlineStr">
        <is>
          <t>云南省红河哈尼族彝族自治州蒙自市</t>
        </is>
      </c>
    </row>
    <row r="13042">
      <c r="B13042" s="41" t="inlineStr">
        <is>
          <t>AreaCode</t>
        </is>
      </c>
      <c r="C13042" s="129" t="inlineStr">
        <is>
          <t>地区代码</t>
        </is>
      </c>
      <c r="D13042" s="21" t="n">
        <v>532504</v>
      </c>
      <c r="E13042" s="21" t="inlineStr">
        <is>
          <t>云南省红河哈尼族彝族自治州弥勒市</t>
        </is>
      </c>
    </row>
    <row r="13043">
      <c r="B13043" s="41" t="inlineStr">
        <is>
          <t>AreaCode</t>
        </is>
      </c>
      <c r="C13043" s="129" t="inlineStr">
        <is>
          <t>地区代码</t>
        </is>
      </c>
      <c r="D13043" s="21" t="n">
        <v>532523</v>
      </c>
      <c r="E13043" s="21" t="inlineStr">
        <is>
          <t>云南省红河哈尼族彝族自治州屏边苗族自治县</t>
        </is>
      </c>
    </row>
    <row r="13044">
      <c r="B13044" s="41" t="inlineStr">
        <is>
          <t>AreaCode</t>
        </is>
      </c>
      <c r="C13044" s="129" t="inlineStr">
        <is>
          <t>地区代码</t>
        </is>
      </c>
      <c r="D13044" s="21" t="n">
        <v>532524</v>
      </c>
      <c r="E13044" s="21" t="inlineStr">
        <is>
          <t>云南省红河哈尼族彝族自治州建水县</t>
        </is>
      </c>
    </row>
    <row r="13045">
      <c r="B13045" s="41" t="inlineStr">
        <is>
          <t>AreaCode</t>
        </is>
      </c>
      <c r="C13045" s="129" t="inlineStr">
        <is>
          <t>地区代码</t>
        </is>
      </c>
      <c r="D13045" s="21" t="n">
        <v>532525</v>
      </c>
      <c r="E13045" s="21" t="inlineStr">
        <is>
          <t>云南省红河哈尼族彝族自治州石屏县</t>
        </is>
      </c>
    </row>
    <row r="13046">
      <c r="B13046" s="41" t="inlineStr">
        <is>
          <t>AreaCode</t>
        </is>
      </c>
      <c r="C13046" s="129" t="inlineStr">
        <is>
          <t>地区代码</t>
        </is>
      </c>
      <c r="D13046" s="21" t="n">
        <v>532527</v>
      </c>
      <c r="E13046" s="21" t="inlineStr">
        <is>
          <t>云南省红河哈尼族彝族自治州泸西县</t>
        </is>
      </c>
    </row>
    <row r="13047">
      <c r="B13047" s="41" t="inlineStr">
        <is>
          <t>AreaCode</t>
        </is>
      </c>
      <c r="C13047" s="129" t="inlineStr">
        <is>
          <t>地区代码</t>
        </is>
      </c>
      <c r="D13047" s="21" t="n">
        <v>532528</v>
      </c>
      <c r="E13047" s="21" t="inlineStr">
        <is>
          <t>云南省红河哈尼族彝族自治州元阳县</t>
        </is>
      </c>
    </row>
    <row r="13048">
      <c r="B13048" s="41" t="inlineStr">
        <is>
          <t>AreaCode</t>
        </is>
      </c>
      <c r="C13048" s="129" t="inlineStr">
        <is>
          <t>地区代码</t>
        </is>
      </c>
      <c r="D13048" s="21" t="n">
        <v>532529</v>
      </c>
      <c r="E13048" s="21" t="inlineStr">
        <is>
          <t>云南省红河哈尼族彝族自治州红河县</t>
        </is>
      </c>
    </row>
    <row r="13049">
      <c r="B13049" s="41" t="inlineStr">
        <is>
          <t>AreaCode</t>
        </is>
      </c>
      <c r="C13049" s="129" t="inlineStr">
        <is>
          <t>地区代码</t>
        </is>
      </c>
      <c r="D13049" s="21" t="n">
        <v>532530</v>
      </c>
      <c r="E13049" s="21" t="inlineStr">
        <is>
          <t>云南省红河哈尼族彝族自治州金平苗族瑶族傣族自治县</t>
        </is>
      </c>
    </row>
    <row r="13050">
      <c r="B13050" s="41" t="inlineStr">
        <is>
          <t>AreaCode</t>
        </is>
      </c>
      <c r="C13050" s="129" t="inlineStr">
        <is>
          <t>地区代码</t>
        </is>
      </c>
      <c r="D13050" s="21" t="n">
        <v>532531</v>
      </c>
      <c r="E13050" s="21" t="inlineStr">
        <is>
          <t>云南省红河哈尼族彝族自治州绿春县</t>
        </is>
      </c>
    </row>
    <row r="13051">
      <c r="B13051" s="41" t="inlineStr">
        <is>
          <t>AreaCode</t>
        </is>
      </c>
      <c r="C13051" s="129" t="inlineStr">
        <is>
          <t>地区代码</t>
        </is>
      </c>
      <c r="D13051" s="21" t="n">
        <v>532532</v>
      </c>
      <c r="E13051" s="21" t="inlineStr">
        <is>
          <t>云南省红河哈尼族彝族自治州河口瑶族自治县</t>
        </is>
      </c>
    </row>
    <row r="13052">
      <c r="B13052" s="41" t="inlineStr">
        <is>
          <t>AreaCode</t>
        </is>
      </c>
      <c r="C13052" s="129" t="inlineStr">
        <is>
          <t>地区代码</t>
        </is>
      </c>
      <c r="D13052" s="21" t="n">
        <v>532600</v>
      </c>
      <c r="E13052" s="21" t="inlineStr">
        <is>
          <t>云南省文山壮族苗族自治州</t>
        </is>
      </c>
    </row>
    <row r="13053">
      <c r="B13053" s="41" t="inlineStr">
        <is>
          <t>AreaCode</t>
        </is>
      </c>
      <c r="C13053" s="129" t="inlineStr">
        <is>
          <t>地区代码</t>
        </is>
      </c>
      <c r="D13053" s="21" t="n">
        <v>532601</v>
      </c>
      <c r="E13053" s="21" t="inlineStr">
        <is>
          <t>云南省文山壮族苗族自治州文山市</t>
        </is>
      </c>
    </row>
    <row r="13054">
      <c r="B13054" s="41" t="inlineStr">
        <is>
          <t>AreaCode</t>
        </is>
      </c>
      <c r="C13054" s="129" t="inlineStr">
        <is>
          <t>地区代码</t>
        </is>
      </c>
      <c r="D13054" s="21" t="n">
        <v>532622</v>
      </c>
      <c r="E13054" s="21" t="inlineStr">
        <is>
          <t>云南省文山壮族苗族自治州砚山县</t>
        </is>
      </c>
    </row>
    <row r="13055">
      <c r="B13055" s="41" t="inlineStr">
        <is>
          <t>AreaCode</t>
        </is>
      </c>
      <c r="C13055" s="129" t="inlineStr">
        <is>
          <t>地区代码</t>
        </is>
      </c>
      <c r="D13055" s="21" t="n">
        <v>532623</v>
      </c>
      <c r="E13055" s="21" t="inlineStr">
        <is>
          <t>云南省文山壮族苗族自治州西畴县</t>
        </is>
      </c>
    </row>
    <row r="13056">
      <c r="B13056" s="41" t="inlineStr">
        <is>
          <t>AreaCode</t>
        </is>
      </c>
      <c r="C13056" s="129" t="inlineStr">
        <is>
          <t>地区代码</t>
        </is>
      </c>
      <c r="D13056" s="21" t="n">
        <v>532624</v>
      </c>
      <c r="E13056" s="21" t="inlineStr">
        <is>
          <t>云南省文山壮族苗族自治州麻栗坡县</t>
        </is>
      </c>
    </row>
    <row r="13057">
      <c r="B13057" s="41" t="inlineStr">
        <is>
          <t>AreaCode</t>
        </is>
      </c>
      <c r="C13057" s="129" t="inlineStr">
        <is>
          <t>地区代码</t>
        </is>
      </c>
      <c r="D13057" s="21" t="n">
        <v>532625</v>
      </c>
      <c r="E13057" s="21" t="inlineStr">
        <is>
          <t>云南省文山壮族苗族自治州马关县</t>
        </is>
      </c>
    </row>
    <row r="13058">
      <c r="B13058" s="41" t="inlineStr">
        <is>
          <t>AreaCode</t>
        </is>
      </c>
      <c r="C13058" s="129" t="inlineStr">
        <is>
          <t>地区代码</t>
        </is>
      </c>
      <c r="D13058" s="21" t="n">
        <v>532626</v>
      </c>
      <c r="E13058" s="21" t="inlineStr">
        <is>
          <t>云南省文山壮族苗族自治州丘北县</t>
        </is>
      </c>
    </row>
    <row r="13059">
      <c r="B13059" s="41" t="inlineStr">
        <is>
          <t>AreaCode</t>
        </is>
      </c>
      <c r="C13059" s="129" t="inlineStr">
        <is>
          <t>地区代码</t>
        </is>
      </c>
      <c r="D13059" s="21" t="n">
        <v>532627</v>
      </c>
      <c r="E13059" s="21" t="inlineStr">
        <is>
          <t>云南省文山壮族苗族自治州广南县</t>
        </is>
      </c>
    </row>
    <row r="13060">
      <c r="B13060" s="41" t="inlineStr">
        <is>
          <t>AreaCode</t>
        </is>
      </c>
      <c r="C13060" s="129" t="inlineStr">
        <is>
          <t>地区代码</t>
        </is>
      </c>
      <c r="D13060" s="21" t="n">
        <v>532628</v>
      </c>
      <c r="E13060" s="21" t="inlineStr">
        <is>
          <t>云南省文山壮族苗族自治州富宁县</t>
        </is>
      </c>
    </row>
    <row r="13061">
      <c r="B13061" s="41" t="inlineStr">
        <is>
          <t>AreaCode</t>
        </is>
      </c>
      <c r="C13061" s="129" t="inlineStr">
        <is>
          <t>地区代码</t>
        </is>
      </c>
      <c r="D13061" s="21" t="n">
        <v>532800</v>
      </c>
      <c r="E13061" s="21" t="inlineStr">
        <is>
          <t>云南省西双版纳傣族自治州</t>
        </is>
      </c>
    </row>
    <row r="13062">
      <c r="B13062" s="41" t="inlineStr">
        <is>
          <t>AreaCode</t>
        </is>
      </c>
      <c r="C13062" s="129" t="inlineStr">
        <is>
          <t>地区代码</t>
        </is>
      </c>
      <c r="D13062" s="21" t="n">
        <v>532801</v>
      </c>
      <c r="E13062" s="21" t="inlineStr">
        <is>
          <t>云南省西双版纳傣族自治州景洪市</t>
        </is>
      </c>
    </row>
    <row r="13063">
      <c r="B13063" s="41" t="inlineStr">
        <is>
          <t>AreaCode</t>
        </is>
      </c>
      <c r="C13063" s="129" t="inlineStr">
        <is>
          <t>地区代码</t>
        </is>
      </c>
      <c r="D13063" s="21" t="n">
        <v>532822</v>
      </c>
      <c r="E13063" s="21" t="inlineStr">
        <is>
          <t>云南省西双版纳傣族自治州勐海县</t>
        </is>
      </c>
    </row>
    <row r="13064">
      <c r="B13064" s="41" t="inlineStr">
        <is>
          <t>AreaCode</t>
        </is>
      </c>
      <c r="C13064" s="129" t="inlineStr">
        <is>
          <t>地区代码</t>
        </is>
      </c>
      <c r="D13064" s="21" t="n">
        <v>532823</v>
      </c>
      <c r="E13064" s="21" t="inlineStr">
        <is>
          <t>云南省西双版纳傣族自治州勐腊县</t>
        </is>
      </c>
    </row>
    <row r="13065">
      <c r="B13065" s="41" t="inlineStr">
        <is>
          <t>AreaCode</t>
        </is>
      </c>
      <c r="C13065" s="129" t="inlineStr">
        <is>
          <t>地区代码</t>
        </is>
      </c>
      <c r="D13065" s="21" t="n">
        <v>532900</v>
      </c>
      <c r="E13065" s="21" t="inlineStr">
        <is>
          <t>云南省大理白族自治州</t>
        </is>
      </c>
    </row>
    <row r="13066">
      <c r="B13066" s="41" t="inlineStr">
        <is>
          <t>AreaCode</t>
        </is>
      </c>
      <c r="C13066" s="129" t="inlineStr">
        <is>
          <t>地区代码</t>
        </is>
      </c>
      <c r="D13066" s="21" t="n">
        <v>532901</v>
      </c>
      <c r="E13066" s="21" t="inlineStr">
        <is>
          <t>云南省大理白族自治州大理市</t>
        </is>
      </c>
    </row>
    <row r="13067">
      <c r="B13067" s="41" t="inlineStr">
        <is>
          <t>AreaCode</t>
        </is>
      </c>
      <c r="C13067" s="129" t="inlineStr">
        <is>
          <t>地区代码</t>
        </is>
      </c>
      <c r="D13067" s="21" t="n">
        <v>532922</v>
      </c>
      <c r="E13067" s="21" t="inlineStr">
        <is>
          <t>云南省大理白族自治州漾濞彝族自治县</t>
        </is>
      </c>
    </row>
    <row r="13068">
      <c r="B13068" s="41" t="inlineStr">
        <is>
          <t>AreaCode</t>
        </is>
      </c>
      <c r="C13068" s="129" t="inlineStr">
        <is>
          <t>地区代码</t>
        </is>
      </c>
      <c r="D13068" s="21" t="n">
        <v>532923</v>
      </c>
      <c r="E13068" s="21" t="inlineStr">
        <is>
          <t>云南省大理白族自治州祥云县</t>
        </is>
      </c>
    </row>
    <row r="13069">
      <c r="B13069" s="41" t="inlineStr">
        <is>
          <t>AreaCode</t>
        </is>
      </c>
      <c r="C13069" s="129" t="inlineStr">
        <is>
          <t>地区代码</t>
        </is>
      </c>
      <c r="D13069" s="21" t="n">
        <v>532924</v>
      </c>
      <c r="E13069" s="21" t="inlineStr">
        <is>
          <t>云南省大理白族自治州宾川县</t>
        </is>
      </c>
    </row>
    <row r="13070">
      <c r="B13070" s="41" t="inlineStr">
        <is>
          <t>AreaCode</t>
        </is>
      </c>
      <c r="C13070" s="129" t="inlineStr">
        <is>
          <t>地区代码</t>
        </is>
      </c>
      <c r="D13070" s="21" t="n">
        <v>532925</v>
      </c>
      <c r="E13070" s="21" t="inlineStr">
        <is>
          <t>云南省大理白族自治州弥渡县</t>
        </is>
      </c>
    </row>
    <row r="13071">
      <c r="B13071" s="41" t="inlineStr">
        <is>
          <t>AreaCode</t>
        </is>
      </c>
      <c r="C13071" s="129" t="inlineStr">
        <is>
          <t>地区代码</t>
        </is>
      </c>
      <c r="D13071" s="21" t="n">
        <v>532926</v>
      </c>
      <c r="E13071" s="21" t="inlineStr">
        <is>
          <t>云南省大理白族自治州南涧彝族自治县</t>
        </is>
      </c>
    </row>
    <row r="13072">
      <c r="B13072" s="41" t="inlineStr">
        <is>
          <t>AreaCode</t>
        </is>
      </c>
      <c r="C13072" s="129" t="inlineStr">
        <is>
          <t>地区代码</t>
        </is>
      </c>
      <c r="D13072" s="21" t="n">
        <v>532927</v>
      </c>
      <c r="E13072" s="21" t="inlineStr">
        <is>
          <t>云南省大理白族自治州巍山彝族回族自治县</t>
        </is>
      </c>
    </row>
    <row r="13073">
      <c r="B13073" s="41" t="inlineStr">
        <is>
          <t>AreaCode</t>
        </is>
      </c>
      <c r="C13073" s="129" t="inlineStr">
        <is>
          <t>地区代码</t>
        </is>
      </c>
      <c r="D13073" s="21" t="n">
        <v>532928</v>
      </c>
      <c r="E13073" s="21" t="inlineStr">
        <is>
          <t>云南省大理白族自治州永平县</t>
        </is>
      </c>
    </row>
    <row r="13074">
      <c r="B13074" s="41" t="inlineStr">
        <is>
          <t>AreaCode</t>
        </is>
      </c>
      <c r="C13074" s="129" t="inlineStr">
        <is>
          <t>地区代码</t>
        </is>
      </c>
      <c r="D13074" s="21" t="n">
        <v>532929</v>
      </c>
      <c r="E13074" s="21" t="inlineStr">
        <is>
          <t>云南省大理白族自治州云龙县</t>
        </is>
      </c>
    </row>
    <row r="13075">
      <c r="B13075" s="41" t="inlineStr">
        <is>
          <t>AreaCode</t>
        </is>
      </c>
      <c r="C13075" s="129" t="inlineStr">
        <is>
          <t>地区代码</t>
        </is>
      </c>
      <c r="D13075" s="21" t="n">
        <v>532930</v>
      </c>
      <c r="E13075" s="21" t="inlineStr">
        <is>
          <t>云南省大理白族自治州洱源县</t>
        </is>
      </c>
    </row>
    <row r="13076">
      <c r="B13076" s="41" t="inlineStr">
        <is>
          <t>AreaCode</t>
        </is>
      </c>
      <c r="C13076" s="129" t="inlineStr">
        <is>
          <t>地区代码</t>
        </is>
      </c>
      <c r="D13076" s="21" t="n">
        <v>532931</v>
      </c>
      <c r="E13076" s="21" t="inlineStr">
        <is>
          <t>云南省大理白族自治州剑川县</t>
        </is>
      </c>
    </row>
    <row r="13077">
      <c r="B13077" s="41" t="inlineStr">
        <is>
          <t>AreaCode</t>
        </is>
      </c>
      <c r="C13077" s="129" t="inlineStr">
        <is>
          <t>地区代码</t>
        </is>
      </c>
      <c r="D13077" s="21" t="n">
        <v>532932</v>
      </c>
      <c r="E13077" s="21" t="inlineStr">
        <is>
          <t>云南省大理白族自治州鹤庆县</t>
        </is>
      </c>
    </row>
    <row r="13078">
      <c r="B13078" s="41" t="inlineStr">
        <is>
          <t>AreaCode</t>
        </is>
      </c>
      <c r="C13078" s="129" t="inlineStr">
        <is>
          <t>地区代码</t>
        </is>
      </c>
      <c r="D13078" s="21" t="n">
        <v>533100</v>
      </c>
      <c r="E13078" s="21" t="inlineStr">
        <is>
          <t>云南省德宏傣族景颇族自治州</t>
        </is>
      </c>
    </row>
    <row r="13079">
      <c r="B13079" s="41" t="inlineStr">
        <is>
          <t>AreaCode</t>
        </is>
      </c>
      <c r="C13079" s="129" t="inlineStr">
        <is>
          <t>地区代码</t>
        </is>
      </c>
      <c r="D13079" s="21" t="n">
        <v>533102</v>
      </c>
      <c r="E13079" s="21" t="inlineStr">
        <is>
          <t>云南省德宏傣族景颇族自治州瑞丽市</t>
        </is>
      </c>
    </row>
    <row r="13080">
      <c r="B13080" s="41" t="inlineStr">
        <is>
          <t>AreaCode</t>
        </is>
      </c>
      <c r="C13080" s="129" t="inlineStr">
        <is>
          <t>地区代码</t>
        </is>
      </c>
      <c r="D13080" s="21" t="n">
        <v>533103</v>
      </c>
      <c r="E13080" s="21" t="inlineStr">
        <is>
          <t>云南省德宏傣族景颇族自治州芒市</t>
        </is>
      </c>
    </row>
    <row r="13081">
      <c r="B13081" s="41" t="inlineStr">
        <is>
          <t>AreaCode</t>
        </is>
      </c>
      <c r="C13081" s="129" t="inlineStr">
        <is>
          <t>地区代码</t>
        </is>
      </c>
      <c r="D13081" s="21" t="n">
        <v>533122</v>
      </c>
      <c r="E13081" s="21" t="inlineStr">
        <is>
          <t>云南省德宏傣族景颇族自治州梁河县</t>
        </is>
      </c>
    </row>
    <row r="13082">
      <c r="B13082" s="41" t="inlineStr">
        <is>
          <t>AreaCode</t>
        </is>
      </c>
      <c r="C13082" s="129" t="inlineStr">
        <is>
          <t>地区代码</t>
        </is>
      </c>
      <c r="D13082" s="21" t="n">
        <v>533123</v>
      </c>
      <c r="E13082" s="21" t="inlineStr">
        <is>
          <t>云南省德宏傣族景颇族自治州盈江县</t>
        </is>
      </c>
    </row>
    <row r="13083">
      <c r="B13083" s="41" t="inlineStr">
        <is>
          <t>AreaCode</t>
        </is>
      </c>
      <c r="C13083" s="129" t="inlineStr">
        <is>
          <t>地区代码</t>
        </is>
      </c>
      <c r="D13083" s="21" t="n">
        <v>533124</v>
      </c>
      <c r="E13083" s="21" t="inlineStr">
        <is>
          <t>云南省德宏傣族景颇族自治州陇川县</t>
        </is>
      </c>
    </row>
    <row r="13084">
      <c r="B13084" s="41" t="inlineStr">
        <is>
          <t>AreaCode</t>
        </is>
      </c>
      <c r="C13084" s="129" t="inlineStr">
        <is>
          <t>地区代码</t>
        </is>
      </c>
      <c r="D13084" s="21" t="n">
        <v>533300</v>
      </c>
      <c r="E13084" s="21" t="inlineStr">
        <is>
          <t>云南省怒江傈僳族自治州</t>
        </is>
      </c>
    </row>
    <row r="13085">
      <c r="B13085" s="41" t="inlineStr">
        <is>
          <t>AreaCode</t>
        </is>
      </c>
      <c r="C13085" s="129" t="inlineStr">
        <is>
          <t>地区代码</t>
        </is>
      </c>
      <c r="D13085" s="21" t="n">
        <v>533321</v>
      </c>
      <c r="E13085" s="21" t="inlineStr">
        <is>
          <t>云南省怒江傈僳族自治州泸水县</t>
        </is>
      </c>
    </row>
    <row r="13086">
      <c r="B13086" s="41" t="inlineStr">
        <is>
          <t>AreaCode</t>
        </is>
      </c>
      <c r="C13086" s="129" t="inlineStr">
        <is>
          <t>地区代码</t>
        </is>
      </c>
      <c r="D13086" s="21" t="n">
        <v>533323</v>
      </c>
      <c r="E13086" s="21" t="inlineStr">
        <is>
          <t>云南省怒江傈僳族自治州福贡县</t>
        </is>
      </c>
    </row>
    <row r="13087">
      <c r="B13087" s="41" t="inlineStr">
        <is>
          <t>AreaCode</t>
        </is>
      </c>
      <c r="C13087" s="129" t="inlineStr">
        <is>
          <t>地区代码</t>
        </is>
      </c>
      <c r="D13087" s="21" t="n">
        <v>533324</v>
      </c>
      <c r="E13087" s="21" t="inlineStr">
        <is>
          <t>云南省怒江傈僳族自治州贡山独龙族怒族自治县</t>
        </is>
      </c>
    </row>
    <row r="13088">
      <c r="B13088" s="41" t="inlineStr">
        <is>
          <t>AreaCode</t>
        </is>
      </c>
      <c r="C13088" s="129" t="inlineStr">
        <is>
          <t>地区代码</t>
        </is>
      </c>
      <c r="D13088" s="21" t="n">
        <v>533325</v>
      </c>
      <c r="E13088" s="21" t="inlineStr">
        <is>
          <t>云南省怒江傈僳族自治州兰坪白族普米族自治县</t>
        </is>
      </c>
    </row>
    <row r="13089">
      <c r="B13089" s="41" t="inlineStr">
        <is>
          <t>AreaCode</t>
        </is>
      </c>
      <c r="C13089" s="129" t="inlineStr">
        <is>
          <t>地区代码</t>
        </is>
      </c>
      <c r="D13089" s="21" t="n">
        <v>533400</v>
      </c>
      <c r="E13089" s="21" t="inlineStr">
        <is>
          <t>云南省迪庆藏族自治州</t>
        </is>
      </c>
    </row>
    <row r="13090">
      <c r="B13090" s="41" t="inlineStr">
        <is>
          <t>AreaCode</t>
        </is>
      </c>
      <c r="C13090" s="129" t="inlineStr">
        <is>
          <t>地区代码</t>
        </is>
      </c>
      <c r="D13090" s="21" t="n">
        <v>533421</v>
      </c>
      <c r="E13090" s="21" t="inlineStr">
        <is>
          <t>云南省迪庆藏族自治州香格里拉县</t>
        </is>
      </c>
    </row>
    <row r="13091">
      <c r="B13091" s="41" t="inlineStr">
        <is>
          <t>AreaCode</t>
        </is>
      </c>
      <c r="C13091" s="129" t="inlineStr">
        <is>
          <t>地区代码</t>
        </is>
      </c>
      <c r="D13091" s="21" t="n">
        <v>533422</v>
      </c>
      <c r="E13091" s="21" t="inlineStr">
        <is>
          <t>云南省迪庆藏族自治州德钦县</t>
        </is>
      </c>
    </row>
    <row r="13092">
      <c r="B13092" s="41" t="inlineStr">
        <is>
          <t>AreaCode</t>
        </is>
      </c>
      <c r="C13092" s="129" t="inlineStr">
        <is>
          <t>地区代码</t>
        </is>
      </c>
      <c r="D13092" s="21" t="n">
        <v>533423</v>
      </c>
      <c r="E13092" s="21" t="inlineStr">
        <is>
          <t>云南省迪庆藏族自治州维西傈僳族自治县</t>
        </is>
      </c>
    </row>
    <row r="13093">
      <c r="B13093" s="41" t="inlineStr">
        <is>
          <t>AreaCode</t>
        </is>
      </c>
      <c r="C13093" s="129" t="inlineStr">
        <is>
          <t>地区代码</t>
        </is>
      </c>
      <c r="D13093" s="21" t="n">
        <v>540000</v>
      </c>
      <c r="E13093" s="21" t="inlineStr">
        <is>
          <t>西藏自治区</t>
        </is>
      </c>
    </row>
    <row r="13094">
      <c r="B13094" s="41" t="inlineStr">
        <is>
          <t>AreaCode</t>
        </is>
      </c>
      <c r="C13094" s="129" t="inlineStr">
        <is>
          <t>地区代码</t>
        </is>
      </c>
      <c r="D13094" s="21" t="n">
        <v>540100</v>
      </c>
      <c r="E13094" s="21" t="inlineStr">
        <is>
          <t>西藏自治区拉萨市</t>
        </is>
      </c>
    </row>
    <row r="13095">
      <c r="B13095" s="41" t="inlineStr">
        <is>
          <t>AreaCode</t>
        </is>
      </c>
      <c r="C13095" s="129" t="inlineStr">
        <is>
          <t>地区代码</t>
        </is>
      </c>
      <c r="D13095" s="21" t="n">
        <v>540101</v>
      </c>
      <c r="E13095" s="21" t="inlineStr">
        <is>
          <t>西藏自治区拉萨市市辖区</t>
        </is>
      </c>
    </row>
    <row r="13096">
      <c r="B13096" s="41" t="inlineStr">
        <is>
          <t>AreaCode</t>
        </is>
      </c>
      <c r="C13096" s="129" t="inlineStr">
        <is>
          <t>地区代码</t>
        </is>
      </c>
      <c r="D13096" s="21" t="n">
        <v>540102</v>
      </c>
      <c r="E13096" s="21" t="inlineStr">
        <is>
          <t>西藏自治区拉萨市城关区</t>
        </is>
      </c>
    </row>
    <row r="13097">
      <c r="B13097" s="41" t="inlineStr">
        <is>
          <t>AreaCode</t>
        </is>
      </c>
      <c r="C13097" s="129" t="inlineStr">
        <is>
          <t>地区代码</t>
        </is>
      </c>
      <c r="D13097" s="21" t="n">
        <v>540121</v>
      </c>
      <c r="E13097" s="21" t="inlineStr">
        <is>
          <t>西藏自治区拉萨市林周县</t>
        </is>
      </c>
    </row>
    <row r="13098">
      <c r="B13098" s="41" t="inlineStr">
        <is>
          <t>AreaCode</t>
        </is>
      </c>
      <c r="C13098" s="129" t="inlineStr">
        <is>
          <t>地区代码</t>
        </is>
      </c>
      <c r="D13098" s="21" t="n">
        <v>540122</v>
      </c>
      <c r="E13098" s="21" t="inlineStr">
        <is>
          <t>西藏自治区拉萨市当雄县</t>
        </is>
      </c>
    </row>
    <row r="13099">
      <c r="B13099" s="41" t="inlineStr">
        <is>
          <t>AreaCode</t>
        </is>
      </c>
      <c r="C13099" s="129" t="inlineStr">
        <is>
          <t>地区代码</t>
        </is>
      </c>
      <c r="D13099" s="21" t="n">
        <v>540123</v>
      </c>
      <c r="E13099" s="21" t="inlineStr">
        <is>
          <t>西藏自治区拉萨市尼木县</t>
        </is>
      </c>
    </row>
    <row r="13100">
      <c r="B13100" s="41" t="inlineStr">
        <is>
          <t>AreaCode</t>
        </is>
      </c>
      <c r="C13100" s="129" t="inlineStr">
        <is>
          <t>地区代码</t>
        </is>
      </c>
      <c r="D13100" s="21" t="n">
        <v>540124</v>
      </c>
      <c r="E13100" s="21" t="inlineStr">
        <is>
          <t>西藏自治区拉萨市曲水县</t>
        </is>
      </c>
    </row>
    <row r="13101">
      <c r="B13101" s="41" t="inlineStr">
        <is>
          <t>AreaCode</t>
        </is>
      </c>
      <c r="C13101" s="129" t="inlineStr">
        <is>
          <t>地区代码</t>
        </is>
      </c>
      <c r="D13101" s="21" t="n">
        <v>540125</v>
      </c>
      <c r="E13101" s="21" t="inlineStr">
        <is>
          <t>西藏自治区拉萨市堆龙德庆县</t>
        </is>
      </c>
    </row>
    <row r="13102">
      <c r="B13102" s="41" t="inlineStr">
        <is>
          <t>AreaCode</t>
        </is>
      </c>
      <c r="C13102" s="129" t="inlineStr">
        <is>
          <t>地区代码</t>
        </is>
      </c>
      <c r="D13102" s="21" t="n">
        <v>540126</v>
      </c>
      <c r="E13102" s="21" t="inlineStr">
        <is>
          <t>西藏自治区拉萨市达孜县</t>
        </is>
      </c>
    </row>
    <row r="13103">
      <c r="B13103" s="41" t="inlineStr">
        <is>
          <t>AreaCode</t>
        </is>
      </c>
      <c r="C13103" s="129" t="inlineStr">
        <is>
          <t>地区代码</t>
        </is>
      </c>
      <c r="D13103" s="21" t="n">
        <v>540127</v>
      </c>
      <c r="E13103" s="21" t="inlineStr">
        <is>
          <t>西藏自治区拉萨市墨竹工卡县</t>
        </is>
      </c>
    </row>
    <row r="13104">
      <c r="B13104" s="41" t="inlineStr">
        <is>
          <t>AreaCode</t>
        </is>
      </c>
      <c r="C13104" s="129" t="inlineStr">
        <is>
          <t>地区代码</t>
        </is>
      </c>
      <c r="D13104" s="21" t="n">
        <v>540200</v>
      </c>
      <c r="E13104" s="21" t="inlineStr">
        <is>
          <t>西藏自治区日喀则市</t>
        </is>
      </c>
    </row>
    <row r="13105">
      <c r="B13105" s="41" t="inlineStr">
        <is>
          <t>AreaCode</t>
        </is>
      </c>
      <c r="C13105" s="129" t="inlineStr">
        <is>
          <t>地区代码</t>
        </is>
      </c>
      <c r="D13105" s="21" t="n">
        <v>540202</v>
      </c>
      <c r="E13105" s="21" t="inlineStr">
        <is>
          <t>西藏自治区日喀则市桑珠孜区</t>
        </is>
      </c>
    </row>
    <row r="13106">
      <c r="B13106" s="41" t="inlineStr">
        <is>
          <t>AreaCode</t>
        </is>
      </c>
      <c r="C13106" s="129" t="inlineStr">
        <is>
          <t>地区代码</t>
        </is>
      </c>
      <c r="D13106" s="21" t="n">
        <v>540221</v>
      </c>
      <c r="E13106" s="21" t="inlineStr">
        <is>
          <t>西藏自治区日喀则市南木林县</t>
        </is>
      </c>
    </row>
    <row r="13107">
      <c r="B13107" s="41" t="inlineStr">
        <is>
          <t>AreaCode</t>
        </is>
      </c>
      <c r="C13107" s="129" t="inlineStr">
        <is>
          <t>地区代码</t>
        </is>
      </c>
      <c r="D13107" s="21" t="n">
        <v>540222</v>
      </c>
      <c r="E13107" s="21" t="inlineStr">
        <is>
          <t>西藏自治区日喀则市江孜县</t>
        </is>
      </c>
    </row>
    <row r="13108">
      <c r="B13108" s="41" t="inlineStr">
        <is>
          <t>AreaCode</t>
        </is>
      </c>
      <c r="C13108" s="129" t="inlineStr">
        <is>
          <t>地区代码</t>
        </is>
      </c>
      <c r="D13108" s="21" t="n">
        <v>540223</v>
      </c>
      <c r="E13108" s="21" t="inlineStr">
        <is>
          <t>西藏自治区日喀则市定日县</t>
        </is>
      </c>
    </row>
    <row r="13109">
      <c r="B13109" s="41" t="inlineStr">
        <is>
          <t>AreaCode</t>
        </is>
      </c>
      <c r="C13109" s="129" t="inlineStr">
        <is>
          <t>地区代码</t>
        </is>
      </c>
      <c r="D13109" s="21" t="n">
        <v>540224</v>
      </c>
      <c r="E13109" s="21" t="inlineStr">
        <is>
          <t>西藏自治区日喀则市萨迦县</t>
        </is>
      </c>
    </row>
    <row r="13110">
      <c r="B13110" s="41" t="inlineStr">
        <is>
          <t>AreaCode</t>
        </is>
      </c>
      <c r="C13110" s="129" t="inlineStr">
        <is>
          <t>地区代码</t>
        </is>
      </c>
      <c r="D13110" s="21" t="n">
        <v>540225</v>
      </c>
      <c r="E13110" s="21" t="inlineStr">
        <is>
          <t>西藏自治区日喀则市拉孜县</t>
        </is>
      </c>
    </row>
    <row r="13111">
      <c r="B13111" s="41" t="inlineStr">
        <is>
          <t>AreaCode</t>
        </is>
      </c>
      <c r="C13111" s="129" t="inlineStr">
        <is>
          <t>地区代码</t>
        </is>
      </c>
      <c r="D13111" s="21" t="n">
        <v>540226</v>
      </c>
      <c r="E13111" s="21" t="inlineStr">
        <is>
          <t>西藏自治区日喀则市昂仁县</t>
        </is>
      </c>
    </row>
    <row r="13112">
      <c r="B13112" s="41" t="inlineStr">
        <is>
          <t>AreaCode</t>
        </is>
      </c>
      <c r="C13112" s="129" t="inlineStr">
        <is>
          <t>地区代码</t>
        </is>
      </c>
      <c r="D13112" s="21" t="n">
        <v>540227</v>
      </c>
      <c r="E13112" s="21" t="inlineStr">
        <is>
          <t>西藏自治区日喀则市谢通门县</t>
        </is>
      </c>
    </row>
    <row r="13113">
      <c r="B13113" s="41" t="inlineStr">
        <is>
          <t>AreaCode</t>
        </is>
      </c>
      <c r="C13113" s="129" t="inlineStr">
        <is>
          <t>地区代码</t>
        </is>
      </c>
      <c r="D13113" s="21" t="n">
        <v>540228</v>
      </c>
      <c r="E13113" s="21" t="inlineStr">
        <is>
          <t>西藏自治区日喀则市白朗县</t>
        </is>
      </c>
    </row>
    <row r="13114">
      <c r="B13114" s="41" t="inlineStr">
        <is>
          <t>AreaCode</t>
        </is>
      </c>
      <c r="C13114" s="129" t="inlineStr">
        <is>
          <t>地区代码</t>
        </is>
      </c>
      <c r="D13114" s="21" t="n">
        <v>540229</v>
      </c>
      <c r="E13114" s="21" t="inlineStr">
        <is>
          <t>西藏自治区日喀则市仁布县</t>
        </is>
      </c>
    </row>
    <row r="13115">
      <c r="B13115" s="41" t="inlineStr">
        <is>
          <t>AreaCode</t>
        </is>
      </c>
      <c r="C13115" s="129" t="inlineStr">
        <is>
          <t>地区代码</t>
        </is>
      </c>
      <c r="D13115" s="21" t="n">
        <v>540230</v>
      </c>
      <c r="E13115" s="21" t="inlineStr">
        <is>
          <t>西藏自治区日喀则市康马县</t>
        </is>
      </c>
    </row>
    <row r="13116">
      <c r="B13116" s="41" t="inlineStr">
        <is>
          <t>AreaCode</t>
        </is>
      </c>
      <c r="C13116" s="129" t="inlineStr">
        <is>
          <t>地区代码</t>
        </is>
      </c>
      <c r="D13116" s="21" t="n">
        <v>540231</v>
      </c>
      <c r="E13116" s="21" t="inlineStr">
        <is>
          <t>西藏自治区日喀则市定结县</t>
        </is>
      </c>
    </row>
    <row r="13117">
      <c r="B13117" s="41" t="inlineStr">
        <is>
          <t>AreaCode</t>
        </is>
      </c>
      <c r="C13117" s="129" t="inlineStr">
        <is>
          <t>地区代码</t>
        </is>
      </c>
      <c r="D13117" s="21" t="n">
        <v>540232</v>
      </c>
      <c r="E13117" s="21" t="inlineStr">
        <is>
          <t>西藏自治区日喀则市仲巴县</t>
        </is>
      </c>
    </row>
    <row r="13118">
      <c r="B13118" s="41" t="inlineStr">
        <is>
          <t>AreaCode</t>
        </is>
      </c>
      <c r="C13118" s="129" t="inlineStr">
        <is>
          <t>地区代码</t>
        </is>
      </c>
      <c r="D13118" s="21" t="n">
        <v>540233</v>
      </c>
      <c r="E13118" s="21" t="inlineStr">
        <is>
          <t>西藏自治区日喀则市亚东县</t>
        </is>
      </c>
    </row>
    <row r="13119">
      <c r="B13119" s="41" t="inlineStr">
        <is>
          <t>AreaCode</t>
        </is>
      </c>
      <c r="C13119" s="129" t="inlineStr">
        <is>
          <t>地区代码</t>
        </is>
      </c>
      <c r="D13119" s="21" t="n">
        <v>540234</v>
      </c>
      <c r="E13119" s="21" t="inlineStr">
        <is>
          <t>西藏自治区日喀则市吉隆县</t>
        </is>
      </c>
    </row>
    <row r="13120">
      <c r="B13120" s="41" t="inlineStr">
        <is>
          <t>AreaCode</t>
        </is>
      </c>
      <c r="C13120" s="129" t="inlineStr">
        <is>
          <t>地区代码</t>
        </is>
      </c>
      <c r="D13120" s="21" t="n">
        <v>540235</v>
      </c>
      <c r="E13120" s="21" t="inlineStr">
        <is>
          <t>西藏自治区日喀则市聂拉木县</t>
        </is>
      </c>
    </row>
    <row r="13121">
      <c r="B13121" s="41" t="inlineStr">
        <is>
          <t>AreaCode</t>
        </is>
      </c>
      <c r="C13121" s="129" t="inlineStr">
        <is>
          <t>地区代码</t>
        </is>
      </c>
      <c r="D13121" s="21" t="n">
        <v>540236</v>
      </c>
      <c r="E13121" s="21" t="inlineStr">
        <is>
          <t>西藏自治区日喀则市萨嘎县</t>
        </is>
      </c>
    </row>
    <row r="13122">
      <c r="B13122" s="41" t="inlineStr">
        <is>
          <t>AreaCode</t>
        </is>
      </c>
      <c r="C13122" s="129" t="inlineStr">
        <is>
          <t>地区代码</t>
        </is>
      </c>
      <c r="D13122" s="21" t="n">
        <v>540237</v>
      </c>
      <c r="E13122" s="21" t="inlineStr">
        <is>
          <t>西藏自治区日喀则市岗巴县</t>
        </is>
      </c>
    </row>
    <row r="13123">
      <c r="B13123" s="41" t="inlineStr">
        <is>
          <t>AreaCode</t>
        </is>
      </c>
      <c r="C13123" s="129" t="inlineStr">
        <is>
          <t>地区代码</t>
        </is>
      </c>
      <c r="D13123" s="21" t="n">
        <v>542100</v>
      </c>
      <c r="E13123" s="21" t="inlineStr">
        <is>
          <t>西藏自治区昌都地区</t>
        </is>
      </c>
    </row>
    <row r="13124">
      <c r="B13124" s="41" t="inlineStr">
        <is>
          <t>AreaCode</t>
        </is>
      </c>
      <c r="C13124" s="129" t="inlineStr">
        <is>
          <t>地区代码</t>
        </is>
      </c>
      <c r="D13124" s="21" t="n">
        <v>542121</v>
      </c>
      <c r="E13124" s="21" t="inlineStr">
        <is>
          <t>西藏自治区昌都地区昌都县</t>
        </is>
      </c>
    </row>
    <row r="13125">
      <c r="B13125" s="41" t="inlineStr">
        <is>
          <t>AreaCode</t>
        </is>
      </c>
      <c r="C13125" s="129" t="inlineStr">
        <is>
          <t>地区代码</t>
        </is>
      </c>
      <c r="D13125" s="21" t="n">
        <v>542122</v>
      </c>
      <c r="E13125" s="21" t="inlineStr">
        <is>
          <t>西藏自治区昌都地区江达县</t>
        </is>
      </c>
    </row>
    <row r="13126">
      <c r="B13126" s="41" t="inlineStr">
        <is>
          <t>AreaCode</t>
        </is>
      </c>
      <c r="C13126" s="129" t="inlineStr">
        <is>
          <t>地区代码</t>
        </is>
      </c>
      <c r="D13126" s="21" t="n">
        <v>542123</v>
      </c>
      <c r="E13126" s="21" t="inlineStr">
        <is>
          <t>西藏自治区昌都地区贡觉县</t>
        </is>
      </c>
    </row>
    <row r="13127">
      <c r="B13127" s="41" t="inlineStr">
        <is>
          <t>AreaCode</t>
        </is>
      </c>
      <c r="C13127" s="129" t="inlineStr">
        <is>
          <t>地区代码</t>
        </is>
      </c>
      <c r="D13127" s="21" t="n">
        <v>542124</v>
      </c>
      <c r="E13127" s="21" t="inlineStr">
        <is>
          <t>西藏自治区昌都地区类乌齐县</t>
        </is>
      </c>
    </row>
    <row r="13128">
      <c r="B13128" s="41" t="inlineStr">
        <is>
          <t>AreaCode</t>
        </is>
      </c>
      <c r="C13128" s="129" t="inlineStr">
        <is>
          <t>地区代码</t>
        </is>
      </c>
      <c r="D13128" s="21" t="n">
        <v>542125</v>
      </c>
      <c r="E13128" s="21" t="inlineStr">
        <is>
          <t>西藏自治区昌都地区丁青县</t>
        </is>
      </c>
    </row>
    <row r="13129">
      <c r="B13129" s="41" t="inlineStr">
        <is>
          <t>AreaCode</t>
        </is>
      </c>
      <c r="C13129" s="129" t="inlineStr">
        <is>
          <t>地区代码</t>
        </is>
      </c>
      <c r="D13129" s="21" t="n">
        <v>542126</v>
      </c>
      <c r="E13129" s="21" t="inlineStr">
        <is>
          <t>西藏自治区昌都地区察雅县</t>
        </is>
      </c>
    </row>
    <row r="13130">
      <c r="B13130" s="41" t="inlineStr">
        <is>
          <t>AreaCode</t>
        </is>
      </c>
      <c r="C13130" s="129" t="inlineStr">
        <is>
          <t>地区代码</t>
        </is>
      </c>
      <c r="D13130" s="21" t="n">
        <v>542127</v>
      </c>
      <c r="E13130" s="21" t="inlineStr">
        <is>
          <t>西藏自治区昌都地区八宿县</t>
        </is>
      </c>
    </row>
    <row r="13131">
      <c r="B13131" s="41" t="inlineStr">
        <is>
          <t>AreaCode</t>
        </is>
      </c>
      <c r="C13131" s="129" t="inlineStr">
        <is>
          <t>地区代码</t>
        </is>
      </c>
      <c r="D13131" s="21" t="n">
        <v>542128</v>
      </c>
      <c r="E13131" s="21" t="inlineStr">
        <is>
          <t>西藏自治区昌都地区左贡县</t>
        </is>
      </c>
    </row>
    <row r="13132">
      <c r="B13132" s="41" t="inlineStr">
        <is>
          <t>AreaCode</t>
        </is>
      </c>
      <c r="C13132" s="129" t="inlineStr">
        <is>
          <t>地区代码</t>
        </is>
      </c>
      <c r="D13132" s="21" t="n">
        <v>542129</v>
      </c>
      <c r="E13132" s="21" t="inlineStr">
        <is>
          <t>西藏自治区昌都地区芒康县</t>
        </is>
      </c>
    </row>
    <row r="13133">
      <c r="B13133" s="41" t="inlineStr">
        <is>
          <t>AreaCode</t>
        </is>
      </c>
      <c r="C13133" s="129" t="inlineStr">
        <is>
          <t>地区代码</t>
        </is>
      </c>
      <c r="D13133" s="21" t="n">
        <v>542132</v>
      </c>
      <c r="E13133" s="21" t="inlineStr">
        <is>
          <t>西藏自治区昌都地区洛隆县</t>
        </is>
      </c>
    </row>
    <row r="13134">
      <c r="B13134" s="41" t="inlineStr">
        <is>
          <t>AreaCode</t>
        </is>
      </c>
      <c r="C13134" s="129" t="inlineStr">
        <is>
          <t>地区代码</t>
        </is>
      </c>
      <c r="D13134" s="21" t="n">
        <v>542133</v>
      </c>
      <c r="E13134" s="21" t="inlineStr">
        <is>
          <t>西藏自治区昌都地区边坝县</t>
        </is>
      </c>
    </row>
    <row r="13135">
      <c r="B13135" s="41" t="inlineStr">
        <is>
          <t>AreaCode</t>
        </is>
      </c>
      <c r="C13135" s="129" t="inlineStr">
        <is>
          <t>地区代码</t>
        </is>
      </c>
      <c r="D13135" s="21" t="n">
        <v>542200</v>
      </c>
      <c r="E13135" s="21" t="inlineStr">
        <is>
          <t>西藏自治区山南地区</t>
        </is>
      </c>
    </row>
    <row r="13136">
      <c r="B13136" s="41" t="inlineStr">
        <is>
          <t>AreaCode</t>
        </is>
      </c>
      <c r="C13136" s="129" t="inlineStr">
        <is>
          <t>地区代码</t>
        </is>
      </c>
      <c r="D13136" s="21" t="n">
        <v>542221</v>
      </c>
      <c r="E13136" s="21" t="inlineStr">
        <is>
          <t>西藏自治区山南地区乃东县</t>
        </is>
      </c>
    </row>
    <row r="13137">
      <c r="B13137" s="41" t="inlineStr">
        <is>
          <t>AreaCode</t>
        </is>
      </c>
      <c r="C13137" s="129" t="inlineStr">
        <is>
          <t>地区代码</t>
        </is>
      </c>
      <c r="D13137" s="21" t="n">
        <v>542222</v>
      </c>
      <c r="E13137" s="21" t="inlineStr">
        <is>
          <t>西藏自治区山南地区扎囊县</t>
        </is>
      </c>
    </row>
    <row r="13138">
      <c r="B13138" s="41" t="inlineStr">
        <is>
          <t>AreaCode</t>
        </is>
      </c>
      <c r="C13138" s="129" t="inlineStr">
        <is>
          <t>地区代码</t>
        </is>
      </c>
      <c r="D13138" s="21" t="n">
        <v>542223</v>
      </c>
      <c r="E13138" s="21" t="inlineStr">
        <is>
          <t>西藏自治区山南地区贡嘎县</t>
        </is>
      </c>
    </row>
    <row r="13139">
      <c r="B13139" s="41" t="inlineStr">
        <is>
          <t>AreaCode</t>
        </is>
      </c>
      <c r="C13139" s="129" t="inlineStr">
        <is>
          <t>地区代码</t>
        </is>
      </c>
      <c r="D13139" s="21" t="n">
        <v>542224</v>
      </c>
      <c r="E13139" s="21" t="inlineStr">
        <is>
          <t>西藏自治区山南地区桑日县</t>
        </is>
      </c>
    </row>
    <row r="13140">
      <c r="B13140" s="41" t="inlineStr">
        <is>
          <t>AreaCode</t>
        </is>
      </c>
      <c r="C13140" s="129" t="inlineStr">
        <is>
          <t>地区代码</t>
        </is>
      </c>
      <c r="D13140" s="21" t="n">
        <v>542225</v>
      </c>
      <c r="E13140" s="21" t="inlineStr">
        <is>
          <t>西藏自治区山南地区琼结县</t>
        </is>
      </c>
    </row>
    <row r="13141">
      <c r="B13141" s="41" t="inlineStr">
        <is>
          <t>AreaCode</t>
        </is>
      </c>
      <c r="C13141" s="129" t="inlineStr">
        <is>
          <t>地区代码</t>
        </is>
      </c>
      <c r="D13141" s="21" t="n">
        <v>542226</v>
      </c>
      <c r="E13141" s="21" t="inlineStr">
        <is>
          <t>西藏自治区山南地区曲松县</t>
        </is>
      </c>
    </row>
    <row r="13142">
      <c r="B13142" s="41" t="inlineStr">
        <is>
          <t>AreaCode</t>
        </is>
      </c>
      <c r="C13142" s="129" t="inlineStr">
        <is>
          <t>地区代码</t>
        </is>
      </c>
      <c r="D13142" s="21" t="n">
        <v>542227</v>
      </c>
      <c r="E13142" s="21" t="inlineStr">
        <is>
          <t>西藏自治区山南地区措美县</t>
        </is>
      </c>
    </row>
    <row r="13143">
      <c r="B13143" s="41" t="inlineStr">
        <is>
          <t>AreaCode</t>
        </is>
      </c>
      <c r="C13143" s="129" t="inlineStr">
        <is>
          <t>地区代码</t>
        </is>
      </c>
      <c r="D13143" s="21" t="n">
        <v>542228</v>
      </c>
      <c r="E13143" s="21" t="inlineStr">
        <is>
          <t>西藏自治区山南地区洛扎县</t>
        </is>
      </c>
    </row>
    <row r="13144">
      <c r="B13144" s="41" t="inlineStr">
        <is>
          <t>AreaCode</t>
        </is>
      </c>
      <c r="C13144" s="129" t="inlineStr">
        <is>
          <t>地区代码</t>
        </is>
      </c>
      <c r="D13144" s="21" t="n">
        <v>542229</v>
      </c>
      <c r="E13144" s="21" t="inlineStr">
        <is>
          <t>西藏自治区山南地区加查县</t>
        </is>
      </c>
    </row>
    <row r="13145">
      <c r="B13145" s="41" t="inlineStr">
        <is>
          <t>AreaCode</t>
        </is>
      </c>
      <c r="C13145" s="129" t="inlineStr">
        <is>
          <t>地区代码</t>
        </is>
      </c>
      <c r="D13145" s="21" t="n">
        <v>542231</v>
      </c>
      <c r="E13145" s="21" t="inlineStr">
        <is>
          <t>西藏自治区山南地区隆子县</t>
        </is>
      </c>
    </row>
    <row r="13146">
      <c r="B13146" s="41" t="inlineStr">
        <is>
          <t>AreaCode</t>
        </is>
      </c>
      <c r="C13146" s="129" t="inlineStr">
        <is>
          <t>地区代码</t>
        </is>
      </c>
      <c r="D13146" s="21" t="n">
        <v>542232</v>
      </c>
      <c r="E13146" s="21" t="inlineStr">
        <is>
          <t>西藏自治区山南地区错那县</t>
        </is>
      </c>
    </row>
    <row r="13147">
      <c r="B13147" s="41" t="inlineStr">
        <is>
          <t>AreaCode</t>
        </is>
      </c>
      <c r="C13147" s="129" t="inlineStr">
        <is>
          <t>地区代码</t>
        </is>
      </c>
      <c r="D13147" s="21" t="n">
        <v>542233</v>
      </c>
      <c r="E13147" s="21" t="inlineStr">
        <is>
          <t>西藏自治区山南地区浪卡子县</t>
        </is>
      </c>
    </row>
    <row r="13148">
      <c r="B13148" s="41" t="inlineStr">
        <is>
          <t>AreaCode</t>
        </is>
      </c>
      <c r="C13148" s="129" t="inlineStr">
        <is>
          <t>地区代码</t>
        </is>
      </c>
      <c r="D13148" s="21" t="n">
        <v>542400</v>
      </c>
      <c r="E13148" s="21" t="inlineStr">
        <is>
          <t>西藏自治区那曲地区</t>
        </is>
      </c>
    </row>
    <row r="13149">
      <c r="B13149" s="41" t="inlineStr">
        <is>
          <t>AreaCode</t>
        </is>
      </c>
      <c r="C13149" s="129" t="inlineStr">
        <is>
          <t>地区代码</t>
        </is>
      </c>
      <c r="D13149" s="21" t="n">
        <v>542421</v>
      </c>
      <c r="E13149" s="21" t="inlineStr">
        <is>
          <t>西藏自治区那曲地区那曲县</t>
        </is>
      </c>
    </row>
    <row r="13150">
      <c r="B13150" s="41" t="inlineStr">
        <is>
          <t>AreaCode</t>
        </is>
      </c>
      <c r="C13150" s="129" t="inlineStr">
        <is>
          <t>地区代码</t>
        </is>
      </c>
      <c r="D13150" s="21" t="n">
        <v>542422</v>
      </c>
      <c r="E13150" s="21" t="inlineStr">
        <is>
          <t>西藏自治区那曲地区嘉黎县</t>
        </is>
      </c>
    </row>
    <row r="13151">
      <c r="B13151" s="41" t="inlineStr">
        <is>
          <t>AreaCode</t>
        </is>
      </c>
      <c r="C13151" s="129" t="inlineStr">
        <is>
          <t>地区代码</t>
        </is>
      </c>
      <c r="D13151" s="21" t="n">
        <v>542423</v>
      </c>
      <c r="E13151" s="21" t="inlineStr">
        <is>
          <t>西藏自治区那曲地区比如县</t>
        </is>
      </c>
    </row>
    <row r="13152">
      <c r="B13152" s="41" t="inlineStr">
        <is>
          <t>AreaCode</t>
        </is>
      </c>
      <c r="C13152" s="129" t="inlineStr">
        <is>
          <t>地区代码</t>
        </is>
      </c>
      <c r="D13152" s="21" t="n">
        <v>542424</v>
      </c>
      <c r="E13152" s="21" t="inlineStr">
        <is>
          <t>西藏自治区那曲地区聂荣县</t>
        </is>
      </c>
    </row>
    <row r="13153">
      <c r="B13153" s="41" t="inlineStr">
        <is>
          <t>AreaCode</t>
        </is>
      </c>
      <c r="C13153" s="129" t="inlineStr">
        <is>
          <t>地区代码</t>
        </is>
      </c>
      <c r="D13153" s="21" t="n">
        <v>542425</v>
      </c>
      <c r="E13153" s="21" t="inlineStr">
        <is>
          <t>西藏自治区那曲地区安多县</t>
        </is>
      </c>
    </row>
    <row r="13154">
      <c r="B13154" s="41" t="inlineStr">
        <is>
          <t>AreaCode</t>
        </is>
      </c>
      <c r="C13154" s="129" t="inlineStr">
        <is>
          <t>地区代码</t>
        </is>
      </c>
      <c r="D13154" s="21" t="n">
        <v>542426</v>
      </c>
      <c r="E13154" s="21" t="inlineStr">
        <is>
          <t>西藏自治区那曲地区申扎县</t>
        </is>
      </c>
    </row>
    <row r="13155">
      <c r="B13155" s="41" t="inlineStr">
        <is>
          <t>AreaCode</t>
        </is>
      </c>
      <c r="C13155" s="129" t="inlineStr">
        <is>
          <t>地区代码</t>
        </is>
      </c>
      <c r="D13155" s="21" t="n">
        <v>542427</v>
      </c>
      <c r="E13155" s="21" t="inlineStr">
        <is>
          <t>西藏自治区那曲地区索县</t>
        </is>
      </c>
    </row>
    <row r="13156">
      <c r="B13156" s="41" t="inlineStr">
        <is>
          <t>AreaCode</t>
        </is>
      </c>
      <c r="C13156" s="129" t="inlineStr">
        <is>
          <t>地区代码</t>
        </is>
      </c>
      <c r="D13156" s="21" t="n">
        <v>542428</v>
      </c>
      <c r="E13156" s="21" t="inlineStr">
        <is>
          <t>西藏自治区那曲地区班戈县</t>
        </is>
      </c>
    </row>
    <row r="13157">
      <c r="B13157" s="41" t="inlineStr">
        <is>
          <t>AreaCode</t>
        </is>
      </c>
      <c r="C13157" s="129" t="inlineStr">
        <is>
          <t>地区代码</t>
        </is>
      </c>
      <c r="D13157" s="21" t="n">
        <v>542429</v>
      </c>
      <c r="E13157" s="21" t="inlineStr">
        <is>
          <t>西藏自治区那曲地区巴青县</t>
        </is>
      </c>
    </row>
    <row r="13158">
      <c r="B13158" s="41" t="inlineStr">
        <is>
          <t>AreaCode</t>
        </is>
      </c>
      <c r="C13158" s="129" t="inlineStr">
        <is>
          <t>地区代码</t>
        </is>
      </c>
      <c r="D13158" s="21" t="n">
        <v>542430</v>
      </c>
      <c r="E13158" s="21" t="inlineStr">
        <is>
          <t>西藏自治区那曲地区尼玛县</t>
        </is>
      </c>
    </row>
    <row r="13159">
      <c r="B13159" s="41" t="inlineStr">
        <is>
          <t>AreaCode</t>
        </is>
      </c>
      <c r="C13159" s="129" t="inlineStr">
        <is>
          <t>地区代码</t>
        </is>
      </c>
      <c r="D13159" s="21" t="n">
        <v>542431</v>
      </c>
      <c r="E13159" s="21" t="inlineStr">
        <is>
          <t>西藏自治区那曲地区双湖县</t>
        </is>
      </c>
    </row>
    <row r="13160">
      <c r="B13160" s="41" t="inlineStr">
        <is>
          <t>AreaCode</t>
        </is>
      </c>
      <c r="C13160" s="129" t="inlineStr">
        <is>
          <t>地区代码</t>
        </is>
      </c>
      <c r="D13160" s="21" t="n">
        <v>542500</v>
      </c>
      <c r="E13160" s="21" t="inlineStr">
        <is>
          <t>西藏自治区阿里地区</t>
        </is>
      </c>
    </row>
    <row r="13161">
      <c r="B13161" s="41" t="inlineStr">
        <is>
          <t>AreaCode</t>
        </is>
      </c>
      <c r="C13161" s="129" t="inlineStr">
        <is>
          <t>地区代码</t>
        </is>
      </c>
      <c r="D13161" s="21" t="n">
        <v>542521</v>
      </c>
      <c r="E13161" s="21" t="inlineStr">
        <is>
          <t>西藏自治区阿里地区普兰县</t>
        </is>
      </c>
    </row>
    <row r="13162">
      <c r="B13162" s="41" t="inlineStr">
        <is>
          <t>AreaCode</t>
        </is>
      </c>
      <c r="C13162" s="129" t="inlineStr">
        <is>
          <t>地区代码</t>
        </is>
      </c>
      <c r="D13162" s="21" t="n">
        <v>542522</v>
      </c>
      <c r="E13162" s="21" t="inlineStr">
        <is>
          <t>西藏自治区阿里地区札达县</t>
        </is>
      </c>
    </row>
    <row r="13163">
      <c r="B13163" s="41" t="inlineStr">
        <is>
          <t>AreaCode</t>
        </is>
      </c>
      <c r="C13163" s="129" t="inlineStr">
        <is>
          <t>地区代码</t>
        </is>
      </c>
      <c r="D13163" s="21" t="n">
        <v>542523</v>
      </c>
      <c r="E13163" s="21" t="inlineStr">
        <is>
          <t>西藏自治区阿里地区噶尔县</t>
        </is>
      </c>
    </row>
    <row r="13164">
      <c r="B13164" s="41" t="inlineStr">
        <is>
          <t>AreaCode</t>
        </is>
      </c>
      <c r="C13164" s="129" t="inlineStr">
        <is>
          <t>地区代码</t>
        </is>
      </c>
      <c r="D13164" s="21" t="n">
        <v>542524</v>
      </c>
      <c r="E13164" s="21" t="inlineStr">
        <is>
          <t>西藏自治区阿里地区日土县</t>
        </is>
      </c>
    </row>
    <row r="13165">
      <c r="B13165" s="41" t="inlineStr">
        <is>
          <t>AreaCode</t>
        </is>
      </c>
      <c r="C13165" s="129" t="inlineStr">
        <is>
          <t>地区代码</t>
        </is>
      </c>
      <c r="D13165" s="21" t="n">
        <v>542525</v>
      </c>
      <c r="E13165" s="21" t="inlineStr">
        <is>
          <t>西藏自治区阿里地区革吉县</t>
        </is>
      </c>
    </row>
    <row r="13166">
      <c r="B13166" s="41" t="inlineStr">
        <is>
          <t>AreaCode</t>
        </is>
      </c>
      <c r="C13166" s="129" t="inlineStr">
        <is>
          <t>地区代码</t>
        </is>
      </c>
      <c r="D13166" s="21" t="n">
        <v>542526</v>
      </c>
      <c r="E13166" s="21" t="inlineStr">
        <is>
          <t>西藏自治区阿里地区改则县</t>
        </is>
      </c>
    </row>
    <row r="13167">
      <c r="B13167" s="41" t="inlineStr">
        <is>
          <t>AreaCode</t>
        </is>
      </c>
      <c r="C13167" s="129" t="inlineStr">
        <is>
          <t>地区代码</t>
        </is>
      </c>
      <c r="D13167" s="21" t="n">
        <v>542527</v>
      </c>
      <c r="E13167" s="21" t="inlineStr">
        <is>
          <t>西藏自治区阿里地区措勤县</t>
        </is>
      </c>
    </row>
    <row r="13168">
      <c r="B13168" s="41" t="inlineStr">
        <is>
          <t>AreaCode</t>
        </is>
      </c>
      <c r="C13168" s="129" t="inlineStr">
        <is>
          <t>地区代码</t>
        </is>
      </c>
      <c r="D13168" s="21" t="n">
        <v>542600</v>
      </c>
      <c r="E13168" s="21" t="inlineStr">
        <is>
          <t>西藏自治区林芝地区</t>
        </is>
      </c>
    </row>
    <row r="13169">
      <c r="B13169" s="41" t="inlineStr">
        <is>
          <t>AreaCode</t>
        </is>
      </c>
      <c r="C13169" s="129" t="inlineStr">
        <is>
          <t>地区代码</t>
        </is>
      </c>
      <c r="D13169" s="21" t="n">
        <v>542621</v>
      </c>
      <c r="E13169" s="21" t="inlineStr">
        <is>
          <t>西藏自治区林芝地区林芝县</t>
        </is>
      </c>
    </row>
    <row r="13170">
      <c r="B13170" s="41" t="inlineStr">
        <is>
          <t>AreaCode</t>
        </is>
      </c>
      <c r="C13170" s="129" t="inlineStr">
        <is>
          <t>地区代码</t>
        </is>
      </c>
      <c r="D13170" s="21" t="n">
        <v>542622</v>
      </c>
      <c r="E13170" s="21" t="inlineStr">
        <is>
          <t>西藏自治区林芝地区工布江达县</t>
        </is>
      </c>
    </row>
    <row r="13171">
      <c r="B13171" s="41" t="inlineStr">
        <is>
          <t>AreaCode</t>
        </is>
      </c>
      <c r="C13171" s="129" t="inlineStr">
        <is>
          <t>地区代码</t>
        </is>
      </c>
      <c r="D13171" s="21" t="n">
        <v>542623</v>
      </c>
      <c r="E13171" s="21" t="inlineStr">
        <is>
          <t>西藏自治区林芝地区米林县</t>
        </is>
      </c>
    </row>
    <row r="13172">
      <c r="B13172" s="41" t="inlineStr">
        <is>
          <t>AreaCode</t>
        </is>
      </c>
      <c r="C13172" s="129" t="inlineStr">
        <is>
          <t>地区代码</t>
        </is>
      </c>
      <c r="D13172" s="21" t="n">
        <v>542624</v>
      </c>
      <c r="E13172" s="21" t="inlineStr">
        <is>
          <t>西藏自治区林芝地区墨脱县</t>
        </is>
      </c>
    </row>
    <row r="13173">
      <c r="B13173" s="41" t="inlineStr">
        <is>
          <t>AreaCode</t>
        </is>
      </c>
      <c r="C13173" s="129" t="inlineStr">
        <is>
          <t>地区代码</t>
        </is>
      </c>
      <c r="D13173" s="21" t="n">
        <v>542625</v>
      </c>
      <c r="E13173" s="21" t="inlineStr">
        <is>
          <t>西藏自治区林芝地区波密县</t>
        </is>
      </c>
    </row>
    <row r="13174">
      <c r="B13174" s="41" t="inlineStr">
        <is>
          <t>AreaCode</t>
        </is>
      </c>
      <c r="C13174" s="129" t="inlineStr">
        <is>
          <t>地区代码</t>
        </is>
      </c>
      <c r="D13174" s="21" t="n">
        <v>542626</v>
      </c>
      <c r="E13174" s="21" t="inlineStr">
        <is>
          <t>西藏自治区林芝地区察隅县</t>
        </is>
      </c>
    </row>
    <row r="13175">
      <c r="B13175" s="41" t="inlineStr">
        <is>
          <t>AreaCode</t>
        </is>
      </c>
      <c r="C13175" s="129" t="inlineStr">
        <is>
          <t>地区代码</t>
        </is>
      </c>
      <c r="D13175" s="21" t="n">
        <v>542627</v>
      </c>
      <c r="E13175" s="21" t="inlineStr">
        <is>
          <t>西藏自治区林芝地区朗县</t>
        </is>
      </c>
    </row>
    <row r="13176">
      <c r="B13176" s="41" t="inlineStr">
        <is>
          <t>AreaCode</t>
        </is>
      </c>
      <c r="C13176" s="129" t="inlineStr">
        <is>
          <t>地区代码</t>
        </is>
      </c>
      <c r="D13176" s="21" t="n">
        <v>610000</v>
      </c>
      <c r="E13176" s="21" t="inlineStr">
        <is>
          <t>陕西省</t>
        </is>
      </c>
    </row>
    <row r="13177">
      <c r="B13177" s="41" t="inlineStr">
        <is>
          <t>AreaCode</t>
        </is>
      </c>
      <c r="C13177" s="129" t="inlineStr">
        <is>
          <t>地区代码</t>
        </is>
      </c>
      <c r="D13177" s="21" t="n">
        <v>610100</v>
      </c>
      <c r="E13177" s="21" t="inlineStr">
        <is>
          <t>陕西省西安市</t>
        </is>
      </c>
    </row>
    <row r="13178">
      <c r="B13178" s="41" t="inlineStr">
        <is>
          <t>AreaCode</t>
        </is>
      </c>
      <c r="C13178" s="129" t="inlineStr">
        <is>
          <t>地区代码</t>
        </is>
      </c>
      <c r="D13178" s="21" t="n">
        <v>610101</v>
      </c>
      <c r="E13178" s="21" t="inlineStr">
        <is>
          <t>陕西省西安市市辖区</t>
        </is>
      </c>
    </row>
    <row r="13179">
      <c r="B13179" s="41" t="inlineStr">
        <is>
          <t>AreaCode</t>
        </is>
      </c>
      <c r="C13179" s="129" t="inlineStr">
        <is>
          <t>地区代码</t>
        </is>
      </c>
      <c r="D13179" s="21" t="n">
        <v>610102</v>
      </c>
      <c r="E13179" s="21" t="inlineStr">
        <is>
          <t>陕西省西安市新城区</t>
        </is>
      </c>
    </row>
    <row r="13180">
      <c r="B13180" s="41" t="inlineStr">
        <is>
          <t>AreaCode</t>
        </is>
      </c>
      <c r="C13180" s="129" t="inlineStr">
        <is>
          <t>地区代码</t>
        </is>
      </c>
      <c r="D13180" s="21" t="n">
        <v>610103</v>
      </c>
      <c r="E13180" s="21" t="inlineStr">
        <is>
          <t>陕西省西安市碑林区</t>
        </is>
      </c>
    </row>
    <row r="13181">
      <c r="B13181" s="41" t="inlineStr">
        <is>
          <t>AreaCode</t>
        </is>
      </c>
      <c r="C13181" s="129" t="inlineStr">
        <is>
          <t>地区代码</t>
        </is>
      </c>
      <c r="D13181" s="21" t="n">
        <v>610104</v>
      </c>
      <c r="E13181" s="21" t="inlineStr">
        <is>
          <t>陕西省西安市莲湖区</t>
        </is>
      </c>
    </row>
    <row r="13182">
      <c r="B13182" s="41" t="inlineStr">
        <is>
          <t>AreaCode</t>
        </is>
      </c>
      <c r="C13182" s="129" t="inlineStr">
        <is>
          <t>地区代码</t>
        </is>
      </c>
      <c r="D13182" s="21" t="n">
        <v>610111</v>
      </c>
      <c r="E13182" s="21" t="inlineStr">
        <is>
          <t>陕西省西安市灞桥区</t>
        </is>
      </c>
    </row>
    <row r="13183">
      <c r="B13183" s="41" t="inlineStr">
        <is>
          <t>AreaCode</t>
        </is>
      </c>
      <c r="C13183" s="129" t="inlineStr">
        <is>
          <t>地区代码</t>
        </is>
      </c>
      <c r="D13183" s="21" t="n">
        <v>610112</v>
      </c>
      <c r="E13183" s="21" t="inlineStr">
        <is>
          <t>陕西省西安市未央区</t>
        </is>
      </c>
    </row>
    <row r="13184">
      <c r="B13184" s="41" t="inlineStr">
        <is>
          <t>AreaCode</t>
        </is>
      </c>
      <c r="C13184" s="129" t="inlineStr">
        <is>
          <t>地区代码</t>
        </is>
      </c>
      <c r="D13184" s="21" t="n">
        <v>610113</v>
      </c>
      <c r="E13184" s="21" t="inlineStr">
        <is>
          <t>陕西省西安市雁塔区</t>
        </is>
      </c>
    </row>
    <row r="13185">
      <c r="B13185" s="41" t="inlineStr">
        <is>
          <t>AreaCode</t>
        </is>
      </c>
      <c r="C13185" s="129" t="inlineStr">
        <is>
          <t>地区代码</t>
        </is>
      </c>
      <c r="D13185" s="21" t="n">
        <v>610114</v>
      </c>
      <c r="E13185" s="21" t="inlineStr">
        <is>
          <t>陕西省西安市阎良区</t>
        </is>
      </c>
    </row>
    <row r="13186">
      <c r="B13186" s="41" t="inlineStr">
        <is>
          <t>AreaCode</t>
        </is>
      </c>
      <c r="C13186" s="129" t="inlineStr">
        <is>
          <t>地区代码</t>
        </is>
      </c>
      <c r="D13186" s="21" t="n">
        <v>610115</v>
      </c>
      <c r="E13186" s="21" t="inlineStr">
        <is>
          <t>陕西省西安市临潼区</t>
        </is>
      </c>
    </row>
    <row r="13187">
      <c r="B13187" s="41" t="inlineStr">
        <is>
          <t>AreaCode</t>
        </is>
      </c>
      <c r="C13187" s="129" t="inlineStr">
        <is>
          <t>地区代码</t>
        </is>
      </c>
      <c r="D13187" s="21" t="n">
        <v>610116</v>
      </c>
      <c r="E13187" s="21" t="inlineStr">
        <is>
          <t>陕西省西安市长安区</t>
        </is>
      </c>
    </row>
    <row r="13188">
      <c r="B13188" s="41" t="inlineStr">
        <is>
          <t>AreaCode</t>
        </is>
      </c>
      <c r="C13188" s="129" t="inlineStr">
        <is>
          <t>地区代码</t>
        </is>
      </c>
      <c r="D13188" s="21" t="n">
        <v>610122</v>
      </c>
      <c r="E13188" s="21" t="inlineStr">
        <is>
          <t>陕西省西安市蓝田县</t>
        </is>
      </c>
    </row>
    <row r="13189">
      <c r="B13189" s="41" t="inlineStr">
        <is>
          <t>AreaCode</t>
        </is>
      </c>
      <c r="C13189" s="129" t="inlineStr">
        <is>
          <t>地区代码</t>
        </is>
      </c>
      <c r="D13189" s="21" t="n">
        <v>610124</v>
      </c>
      <c r="E13189" s="21" t="inlineStr">
        <is>
          <t>陕西省西安市周至县</t>
        </is>
      </c>
    </row>
    <row r="13190">
      <c r="B13190" s="41" t="inlineStr">
        <is>
          <t>AreaCode</t>
        </is>
      </c>
      <c r="C13190" s="129" t="inlineStr">
        <is>
          <t>地区代码</t>
        </is>
      </c>
      <c r="D13190" s="21" t="n">
        <v>610125</v>
      </c>
      <c r="E13190" s="21" t="inlineStr">
        <is>
          <t>陕西省西安市户县</t>
        </is>
      </c>
    </row>
    <row r="13191">
      <c r="B13191" s="41" t="inlineStr">
        <is>
          <t>AreaCode</t>
        </is>
      </c>
      <c r="C13191" s="129" t="inlineStr">
        <is>
          <t>地区代码</t>
        </is>
      </c>
      <c r="D13191" s="21" t="n">
        <v>610126</v>
      </c>
      <c r="E13191" s="21" t="inlineStr">
        <is>
          <t>陕西省西安市高陵县</t>
        </is>
      </c>
    </row>
    <row r="13192">
      <c r="B13192" s="41" t="inlineStr">
        <is>
          <t>AreaCode</t>
        </is>
      </c>
      <c r="C13192" s="129" t="inlineStr">
        <is>
          <t>地区代码</t>
        </is>
      </c>
      <c r="D13192" s="21" t="n">
        <v>610200</v>
      </c>
      <c r="E13192" s="21" t="inlineStr">
        <is>
          <t>陕西省铜川市</t>
        </is>
      </c>
    </row>
    <row r="13193">
      <c r="B13193" s="41" t="inlineStr">
        <is>
          <t>AreaCode</t>
        </is>
      </c>
      <c r="C13193" s="129" t="inlineStr">
        <is>
          <t>地区代码</t>
        </is>
      </c>
      <c r="D13193" s="21" t="n">
        <v>610201</v>
      </c>
      <c r="E13193" s="21" t="inlineStr">
        <is>
          <t>陕西省铜川市市辖区</t>
        </is>
      </c>
    </row>
    <row r="13194">
      <c r="B13194" s="41" t="inlineStr">
        <is>
          <t>AreaCode</t>
        </is>
      </c>
      <c r="C13194" s="129" t="inlineStr">
        <is>
          <t>地区代码</t>
        </is>
      </c>
      <c r="D13194" s="21" t="n">
        <v>610202</v>
      </c>
      <c r="E13194" s="21" t="inlineStr">
        <is>
          <t>陕西省铜川市王益区</t>
        </is>
      </c>
    </row>
    <row r="13195">
      <c r="B13195" s="41" t="inlineStr">
        <is>
          <t>AreaCode</t>
        </is>
      </c>
      <c r="C13195" s="129" t="inlineStr">
        <is>
          <t>地区代码</t>
        </is>
      </c>
      <c r="D13195" s="21" t="n">
        <v>610203</v>
      </c>
      <c r="E13195" s="21" t="inlineStr">
        <is>
          <t>陕西省铜川市印台区</t>
        </is>
      </c>
    </row>
    <row r="13196">
      <c r="B13196" s="41" t="inlineStr">
        <is>
          <t>AreaCode</t>
        </is>
      </c>
      <c r="C13196" s="129" t="inlineStr">
        <is>
          <t>地区代码</t>
        </is>
      </c>
      <c r="D13196" s="21" t="n">
        <v>610204</v>
      </c>
      <c r="E13196" s="21" t="inlineStr">
        <is>
          <t>陕西省铜川市耀州区</t>
        </is>
      </c>
    </row>
    <row r="13197">
      <c r="B13197" s="41" t="inlineStr">
        <is>
          <t>AreaCode</t>
        </is>
      </c>
      <c r="C13197" s="129" t="inlineStr">
        <is>
          <t>地区代码</t>
        </is>
      </c>
      <c r="D13197" s="21" t="n">
        <v>610222</v>
      </c>
      <c r="E13197" s="21" t="inlineStr">
        <is>
          <t>陕西省铜川市宜君县</t>
        </is>
      </c>
    </row>
    <row r="13198">
      <c r="B13198" s="41" t="inlineStr">
        <is>
          <t>AreaCode</t>
        </is>
      </c>
      <c r="C13198" s="129" t="inlineStr">
        <is>
          <t>地区代码</t>
        </is>
      </c>
      <c r="D13198" s="21" t="n">
        <v>610300</v>
      </c>
      <c r="E13198" s="21" t="inlineStr">
        <is>
          <t>陕西省宝鸡市</t>
        </is>
      </c>
    </row>
    <row r="13199">
      <c r="B13199" s="41" t="inlineStr">
        <is>
          <t>AreaCode</t>
        </is>
      </c>
      <c r="C13199" s="129" t="inlineStr">
        <is>
          <t>地区代码</t>
        </is>
      </c>
      <c r="D13199" s="21" t="n">
        <v>610301</v>
      </c>
      <c r="E13199" s="21" t="inlineStr">
        <is>
          <t>陕西省宝鸡市市辖区</t>
        </is>
      </c>
    </row>
    <row r="13200">
      <c r="B13200" s="41" t="inlineStr">
        <is>
          <t>AreaCode</t>
        </is>
      </c>
      <c r="C13200" s="129" t="inlineStr">
        <is>
          <t>地区代码</t>
        </is>
      </c>
      <c r="D13200" s="21" t="n">
        <v>610302</v>
      </c>
      <c r="E13200" s="21" t="inlineStr">
        <is>
          <t>陕西省宝鸡市渭滨区</t>
        </is>
      </c>
    </row>
    <row r="13201">
      <c r="B13201" s="41" t="inlineStr">
        <is>
          <t>AreaCode</t>
        </is>
      </c>
      <c r="C13201" s="129" t="inlineStr">
        <is>
          <t>地区代码</t>
        </is>
      </c>
      <c r="D13201" s="21" t="n">
        <v>610303</v>
      </c>
      <c r="E13201" s="21" t="inlineStr">
        <is>
          <t>陕西省宝鸡市金台区</t>
        </is>
      </c>
    </row>
    <row r="13202">
      <c r="B13202" s="41" t="inlineStr">
        <is>
          <t>AreaCode</t>
        </is>
      </c>
      <c r="C13202" s="129" t="inlineStr">
        <is>
          <t>地区代码</t>
        </is>
      </c>
      <c r="D13202" s="21" t="n">
        <v>610304</v>
      </c>
      <c r="E13202" s="21" t="inlineStr">
        <is>
          <t>陕西省宝鸡市陈仓区</t>
        </is>
      </c>
    </row>
    <row r="13203">
      <c r="B13203" s="41" t="inlineStr">
        <is>
          <t>AreaCode</t>
        </is>
      </c>
      <c r="C13203" s="129" t="inlineStr">
        <is>
          <t>地区代码</t>
        </is>
      </c>
      <c r="D13203" s="21" t="n">
        <v>610322</v>
      </c>
      <c r="E13203" s="21" t="inlineStr">
        <is>
          <t>陕西省宝鸡市凤翔县</t>
        </is>
      </c>
    </row>
    <row r="13204">
      <c r="B13204" s="41" t="inlineStr">
        <is>
          <t>AreaCode</t>
        </is>
      </c>
      <c r="C13204" s="129" t="inlineStr">
        <is>
          <t>地区代码</t>
        </is>
      </c>
      <c r="D13204" s="21" t="n">
        <v>610323</v>
      </c>
      <c r="E13204" s="21" t="inlineStr">
        <is>
          <t>陕西省宝鸡市岐山县</t>
        </is>
      </c>
    </row>
    <row r="13205">
      <c r="B13205" s="41" t="inlineStr">
        <is>
          <t>AreaCode</t>
        </is>
      </c>
      <c r="C13205" s="129" t="inlineStr">
        <is>
          <t>地区代码</t>
        </is>
      </c>
      <c r="D13205" s="21" t="n">
        <v>610324</v>
      </c>
      <c r="E13205" s="21" t="inlineStr">
        <is>
          <t>陕西省宝鸡市扶风县</t>
        </is>
      </c>
    </row>
    <row r="13206">
      <c r="B13206" s="41" t="inlineStr">
        <is>
          <t>AreaCode</t>
        </is>
      </c>
      <c r="C13206" s="129" t="inlineStr">
        <is>
          <t>地区代码</t>
        </is>
      </c>
      <c r="D13206" s="21" t="n">
        <v>610326</v>
      </c>
      <c r="E13206" s="21" t="inlineStr">
        <is>
          <t>陕西省宝鸡市眉县</t>
        </is>
      </c>
    </row>
    <row r="13207">
      <c r="B13207" s="41" t="inlineStr">
        <is>
          <t>AreaCode</t>
        </is>
      </c>
      <c r="C13207" s="129" t="inlineStr">
        <is>
          <t>地区代码</t>
        </is>
      </c>
      <c r="D13207" s="21" t="n">
        <v>610327</v>
      </c>
      <c r="E13207" s="21" t="inlineStr">
        <is>
          <t>陕西省宝鸡市陇县</t>
        </is>
      </c>
    </row>
    <row r="13208">
      <c r="B13208" s="41" t="inlineStr">
        <is>
          <t>AreaCode</t>
        </is>
      </c>
      <c r="C13208" s="129" t="inlineStr">
        <is>
          <t>地区代码</t>
        </is>
      </c>
      <c r="D13208" s="21" t="n">
        <v>610328</v>
      </c>
      <c r="E13208" s="21" t="inlineStr">
        <is>
          <t>陕西省宝鸡市千阳县</t>
        </is>
      </c>
    </row>
    <row r="13209">
      <c r="B13209" s="41" t="inlineStr">
        <is>
          <t>AreaCode</t>
        </is>
      </c>
      <c r="C13209" s="129" t="inlineStr">
        <is>
          <t>地区代码</t>
        </is>
      </c>
      <c r="D13209" s="21" t="n">
        <v>610329</v>
      </c>
      <c r="E13209" s="21" t="inlineStr">
        <is>
          <t>陕西省宝鸡市麟游县</t>
        </is>
      </c>
    </row>
    <row r="13210">
      <c r="B13210" s="41" t="inlineStr">
        <is>
          <t>AreaCode</t>
        </is>
      </c>
      <c r="C13210" s="129" t="inlineStr">
        <is>
          <t>地区代码</t>
        </is>
      </c>
      <c r="D13210" s="21" t="n">
        <v>610330</v>
      </c>
      <c r="E13210" s="21" t="inlineStr">
        <is>
          <t>陕西省宝鸡市凤县</t>
        </is>
      </c>
    </row>
    <row r="13211">
      <c r="B13211" s="41" t="inlineStr">
        <is>
          <t>AreaCode</t>
        </is>
      </c>
      <c r="C13211" s="129" t="inlineStr">
        <is>
          <t>地区代码</t>
        </is>
      </c>
      <c r="D13211" s="21" t="n">
        <v>610331</v>
      </c>
      <c r="E13211" s="21" t="inlineStr">
        <is>
          <t>陕西省宝鸡市太白县</t>
        </is>
      </c>
    </row>
    <row r="13212">
      <c r="B13212" s="41" t="inlineStr">
        <is>
          <t>AreaCode</t>
        </is>
      </c>
      <c r="C13212" s="129" t="inlineStr">
        <is>
          <t>地区代码</t>
        </is>
      </c>
      <c r="D13212" s="21" t="n">
        <v>610400</v>
      </c>
      <c r="E13212" s="21" t="inlineStr">
        <is>
          <t>陕西省咸阳市</t>
        </is>
      </c>
    </row>
    <row r="13213">
      <c r="B13213" s="41" t="inlineStr">
        <is>
          <t>AreaCode</t>
        </is>
      </c>
      <c r="C13213" s="129" t="inlineStr">
        <is>
          <t>地区代码</t>
        </is>
      </c>
      <c r="D13213" s="21" t="n">
        <v>610401</v>
      </c>
      <c r="E13213" s="21" t="inlineStr">
        <is>
          <t>陕西省咸阳市市辖区</t>
        </is>
      </c>
    </row>
    <row r="13214">
      <c r="B13214" s="41" t="inlineStr">
        <is>
          <t>AreaCode</t>
        </is>
      </c>
      <c r="C13214" s="129" t="inlineStr">
        <is>
          <t>地区代码</t>
        </is>
      </c>
      <c r="D13214" s="21" t="n">
        <v>610402</v>
      </c>
      <c r="E13214" s="21" t="inlineStr">
        <is>
          <t>陕西省咸阳市秦都区</t>
        </is>
      </c>
    </row>
    <row r="13215">
      <c r="B13215" s="41" t="inlineStr">
        <is>
          <t>AreaCode</t>
        </is>
      </c>
      <c r="C13215" s="129" t="inlineStr">
        <is>
          <t>地区代码</t>
        </is>
      </c>
      <c r="D13215" s="21" t="n">
        <v>610403</v>
      </c>
      <c r="E13215" s="21" t="inlineStr">
        <is>
          <t>陕西省咸阳市杨凌区</t>
        </is>
      </c>
    </row>
    <row r="13216">
      <c r="B13216" s="41" t="inlineStr">
        <is>
          <t>AreaCode</t>
        </is>
      </c>
      <c r="C13216" s="129" t="inlineStr">
        <is>
          <t>地区代码</t>
        </is>
      </c>
      <c r="D13216" s="21" t="n">
        <v>610404</v>
      </c>
      <c r="E13216" s="21" t="inlineStr">
        <is>
          <t>陕西省咸阳市渭城区</t>
        </is>
      </c>
    </row>
    <row r="13217">
      <c r="B13217" s="41" t="inlineStr">
        <is>
          <t>AreaCode</t>
        </is>
      </c>
      <c r="C13217" s="129" t="inlineStr">
        <is>
          <t>地区代码</t>
        </is>
      </c>
      <c r="D13217" s="21" t="n">
        <v>610422</v>
      </c>
      <c r="E13217" s="21" t="inlineStr">
        <is>
          <t>陕西省咸阳市三原县</t>
        </is>
      </c>
    </row>
    <row r="13218">
      <c r="B13218" s="41" t="inlineStr">
        <is>
          <t>AreaCode</t>
        </is>
      </c>
      <c r="C13218" s="129" t="inlineStr">
        <is>
          <t>地区代码</t>
        </is>
      </c>
      <c r="D13218" s="21" t="n">
        <v>610423</v>
      </c>
      <c r="E13218" s="21" t="inlineStr">
        <is>
          <t>陕西省咸阳市泾阳县</t>
        </is>
      </c>
    </row>
    <row r="13219">
      <c r="B13219" s="41" t="inlineStr">
        <is>
          <t>AreaCode</t>
        </is>
      </c>
      <c r="C13219" s="129" t="inlineStr">
        <is>
          <t>地区代码</t>
        </is>
      </c>
      <c r="D13219" s="21" t="n">
        <v>610424</v>
      </c>
      <c r="E13219" s="21" t="inlineStr">
        <is>
          <t>陕西省咸阳市乾县</t>
        </is>
      </c>
    </row>
    <row r="13220">
      <c r="B13220" s="41" t="inlineStr">
        <is>
          <t>AreaCode</t>
        </is>
      </c>
      <c r="C13220" s="129" t="inlineStr">
        <is>
          <t>地区代码</t>
        </is>
      </c>
      <c r="D13220" s="21" t="n">
        <v>610425</v>
      </c>
      <c r="E13220" s="21" t="inlineStr">
        <is>
          <t>陕西省咸阳市礼泉县</t>
        </is>
      </c>
    </row>
    <row r="13221">
      <c r="B13221" s="41" t="inlineStr">
        <is>
          <t>AreaCode</t>
        </is>
      </c>
      <c r="C13221" s="129" t="inlineStr">
        <is>
          <t>地区代码</t>
        </is>
      </c>
      <c r="D13221" s="21" t="n">
        <v>610426</v>
      </c>
      <c r="E13221" s="21" t="inlineStr">
        <is>
          <t>陕西省咸阳市永寿县</t>
        </is>
      </c>
    </row>
    <row r="13222">
      <c r="B13222" s="41" t="inlineStr">
        <is>
          <t>AreaCode</t>
        </is>
      </c>
      <c r="C13222" s="129" t="inlineStr">
        <is>
          <t>地区代码</t>
        </is>
      </c>
      <c r="D13222" s="21" t="n">
        <v>610427</v>
      </c>
      <c r="E13222" s="21" t="inlineStr">
        <is>
          <t>陕西省咸阳市彬县</t>
        </is>
      </c>
    </row>
    <row r="13223">
      <c r="B13223" s="41" t="inlineStr">
        <is>
          <t>AreaCode</t>
        </is>
      </c>
      <c r="C13223" s="129" t="inlineStr">
        <is>
          <t>地区代码</t>
        </is>
      </c>
      <c r="D13223" s="21" t="n">
        <v>610428</v>
      </c>
      <c r="E13223" s="21" t="inlineStr">
        <is>
          <t>陕西省咸阳市长武县</t>
        </is>
      </c>
    </row>
    <row r="13224">
      <c r="B13224" s="41" t="inlineStr">
        <is>
          <t>AreaCode</t>
        </is>
      </c>
      <c r="C13224" s="129" t="inlineStr">
        <is>
          <t>地区代码</t>
        </is>
      </c>
      <c r="D13224" s="21" t="n">
        <v>610429</v>
      </c>
      <c r="E13224" s="21" t="inlineStr">
        <is>
          <t>陕西省咸阳市旬邑县</t>
        </is>
      </c>
    </row>
    <row r="13225">
      <c r="B13225" s="41" t="inlineStr">
        <is>
          <t>AreaCode</t>
        </is>
      </c>
      <c r="C13225" s="129" t="inlineStr">
        <is>
          <t>地区代码</t>
        </is>
      </c>
      <c r="D13225" s="21" t="n">
        <v>610430</v>
      </c>
      <c r="E13225" s="21" t="inlineStr">
        <is>
          <t>陕西省咸阳市淳化县</t>
        </is>
      </c>
    </row>
    <row r="13226">
      <c r="B13226" s="41" t="inlineStr">
        <is>
          <t>AreaCode</t>
        </is>
      </c>
      <c r="C13226" s="129" t="inlineStr">
        <is>
          <t>地区代码</t>
        </is>
      </c>
      <c r="D13226" s="21" t="n">
        <v>610431</v>
      </c>
      <c r="E13226" s="21" t="inlineStr">
        <is>
          <t>陕西省咸阳市武功县</t>
        </is>
      </c>
    </row>
    <row r="13227">
      <c r="B13227" s="41" t="inlineStr">
        <is>
          <t>AreaCode</t>
        </is>
      </c>
      <c r="C13227" s="129" t="inlineStr">
        <is>
          <t>地区代码</t>
        </is>
      </c>
      <c r="D13227" s="21" t="n">
        <v>610481</v>
      </c>
      <c r="E13227" s="21" t="inlineStr">
        <is>
          <t>陕西省咸阳市兴平市</t>
        </is>
      </c>
    </row>
    <row r="13228">
      <c r="B13228" s="41" t="inlineStr">
        <is>
          <t>AreaCode</t>
        </is>
      </c>
      <c r="C13228" s="129" t="inlineStr">
        <is>
          <t>地区代码</t>
        </is>
      </c>
      <c r="D13228" s="21" t="n">
        <v>610500</v>
      </c>
      <c r="E13228" s="21" t="inlineStr">
        <is>
          <t>陕西省渭南市</t>
        </is>
      </c>
    </row>
    <row r="13229">
      <c r="B13229" s="41" t="inlineStr">
        <is>
          <t>AreaCode</t>
        </is>
      </c>
      <c r="C13229" s="129" t="inlineStr">
        <is>
          <t>地区代码</t>
        </is>
      </c>
      <c r="D13229" s="21" t="n">
        <v>610501</v>
      </c>
      <c r="E13229" s="21" t="inlineStr">
        <is>
          <t>陕西省渭南市市辖区</t>
        </is>
      </c>
    </row>
    <row r="13230">
      <c r="B13230" s="41" t="inlineStr">
        <is>
          <t>AreaCode</t>
        </is>
      </c>
      <c r="C13230" s="129" t="inlineStr">
        <is>
          <t>地区代码</t>
        </is>
      </c>
      <c r="D13230" s="21" t="n">
        <v>610502</v>
      </c>
      <c r="E13230" s="21" t="inlineStr">
        <is>
          <t>陕西省渭南市临渭区</t>
        </is>
      </c>
    </row>
    <row r="13231">
      <c r="B13231" s="41" t="inlineStr">
        <is>
          <t>AreaCode</t>
        </is>
      </c>
      <c r="C13231" s="129" t="inlineStr">
        <is>
          <t>地区代码</t>
        </is>
      </c>
      <c r="D13231" s="21" t="n">
        <v>610521</v>
      </c>
      <c r="E13231" s="21" t="inlineStr">
        <is>
          <t>陕西省渭南市华县</t>
        </is>
      </c>
    </row>
    <row r="13232">
      <c r="B13232" s="41" t="inlineStr">
        <is>
          <t>AreaCode</t>
        </is>
      </c>
      <c r="C13232" s="129" t="inlineStr">
        <is>
          <t>地区代码</t>
        </is>
      </c>
      <c r="D13232" s="21" t="n">
        <v>610522</v>
      </c>
      <c r="E13232" s="21" t="inlineStr">
        <is>
          <t>陕西省渭南市潼关县</t>
        </is>
      </c>
    </row>
    <row r="13233">
      <c r="B13233" s="41" t="inlineStr">
        <is>
          <t>AreaCode</t>
        </is>
      </c>
      <c r="C13233" s="129" t="inlineStr">
        <is>
          <t>地区代码</t>
        </is>
      </c>
      <c r="D13233" s="21" t="n">
        <v>610523</v>
      </c>
      <c r="E13233" s="21" t="inlineStr">
        <is>
          <t>陕西省渭南市大荔县</t>
        </is>
      </c>
    </row>
    <row r="13234">
      <c r="B13234" s="41" t="inlineStr">
        <is>
          <t>AreaCode</t>
        </is>
      </c>
      <c r="C13234" s="129" t="inlineStr">
        <is>
          <t>地区代码</t>
        </is>
      </c>
      <c r="D13234" s="21" t="n">
        <v>610524</v>
      </c>
      <c r="E13234" s="21" t="inlineStr">
        <is>
          <t>陕西省渭南市合阳县</t>
        </is>
      </c>
    </row>
    <row r="13235">
      <c r="B13235" s="41" t="inlineStr">
        <is>
          <t>AreaCode</t>
        </is>
      </c>
      <c r="C13235" s="129" t="inlineStr">
        <is>
          <t>地区代码</t>
        </is>
      </c>
      <c r="D13235" s="21" t="n">
        <v>610525</v>
      </c>
      <c r="E13235" s="21" t="inlineStr">
        <is>
          <t>陕西省渭南市澄城县</t>
        </is>
      </c>
    </row>
    <row r="13236">
      <c r="B13236" s="41" t="inlineStr">
        <is>
          <t>AreaCode</t>
        </is>
      </c>
      <c r="C13236" s="129" t="inlineStr">
        <is>
          <t>地区代码</t>
        </is>
      </c>
      <c r="D13236" s="21" t="n">
        <v>610526</v>
      </c>
      <c r="E13236" s="21" t="inlineStr">
        <is>
          <t>陕西省渭南市蒲城县</t>
        </is>
      </c>
    </row>
    <row r="13237">
      <c r="B13237" s="41" t="inlineStr">
        <is>
          <t>AreaCode</t>
        </is>
      </c>
      <c r="C13237" s="129" t="inlineStr">
        <is>
          <t>地区代码</t>
        </is>
      </c>
      <c r="D13237" s="21" t="n">
        <v>610527</v>
      </c>
      <c r="E13237" s="21" t="inlineStr">
        <is>
          <t>陕西省渭南市白水县</t>
        </is>
      </c>
    </row>
    <row r="13238">
      <c r="B13238" s="41" t="inlineStr">
        <is>
          <t>AreaCode</t>
        </is>
      </c>
      <c r="C13238" s="129" t="inlineStr">
        <is>
          <t>地区代码</t>
        </is>
      </c>
      <c r="D13238" s="21" t="n">
        <v>610528</v>
      </c>
      <c r="E13238" s="21" t="inlineStr">
        <is>
          <t>陕西省渭南市富平县</t>
        </is>
      </c>
    </row>
    <row r="13239">
      <c r="B13239" s="41" t="inlineStr">
        <is>
          <t>AreaCode</t>
        </is>
      </c>
      <c r="C13239" s="129" t="inlineStr">
        <is>
          <t>地区代码</t>
        </is>
      </c>
      <c r="D13239" s="21" t="n">
        <v>610581</v>
      </c>
      <c r="E13239" s="21" t="inlineStr">
        <is>
          <t>陕西省渭南市韩城市</t>
        </is>
      </c>
    </row>
    <row r="13240">
      <c r="B13240" s="41" t="inlineStr">
        <is>
          <t>AreaCode</t>
        </is>
      </c>
      <c r="C13240" s="129" t="inlineStr">
        <is>
          <t>地区代码</t>
        </is>
      </c>
      <c r="D13240" s="21" t="n">
        <v>610582</v>
      </c>
      <c r="E13240" s="21" t="inlineStr">
        <is>
          <t>陕西省渭南市华阴市</t>
        </is>
      </c>
    </row>
    <row r="13241">
      <c r="B13241" s="41" t="inlineStr">
        <is>
          <t>AreaCode</t>
        </is>
      </c>
      <c r="C13241" s="129" t="inlineStr">
        <is>
          <t>地区代码</t>
        </is>
      </c>
      <c r="D13241" s="21" t="n">
        <v>610600</v>
      </c>
      <c r="E13241" s="21" t="inlineStr">
        <is>
          <t>陕西省延安市</t>
        </is>
      </c>
    </row>
    <row r="13242">
      <c r="B13242" s="41" t="inlineStr">
        <is>
          <t>AreaCode</t>
        </is>
      </c>
      <c r="C13242" s="129" t="inlineStr">
        <is>
          <t>地区代码</t>
        </is>
      </c>
      <c r="D13242" s="21" t="n">
        <v>610601</v>
      </c>
      <c r="E13242" s="21" t="inlineStr">
        <is>
          <t>陕西省延安市市辖区</t>
        </is>
      </c>
    </row>
    <row r="13243">
      <c r="B13243" s="41" t="inlineStr">
        <is>
          <t>AreaCode</t>
        </is>
      </c>
      <c r="C13243" s="129" t="inlineStr">
        <is>
          <t>地区代码</t>
        </is>
      </c>
      <c r="D13243" s="21" t="n">
        <v>610602</v>
      </c>
      <c r="E13243" s="21" t="inlineStr">
        <is>
          <t>陕西省延安市宝塔区</t>
        </is>
      </c>
    </row>
    <row r="13244">
      <c r="B13244" s="41" t="inlineStr">
        <is>
          <t>AreaCode</t>
        </is>
      </c>
      <c r="C13244" s="129" t="inlineStr">
        <is>
          <t>地区代码</t>
        </is>
      </c>
      <c r="D13244" s="21" t="n">
        <v>610621</v>
      </c>
      <c r="E13244" s="21" t="inlineStr">
        <is>
          <t>陕西省延安市延长县</t>
        </is>
      </c>
    </row>
    <row r="13245">
      <c r="B13245" s="41" t="inlineStr">
        <is>
          <t>AreaCode</t>
        </is>
      </c>
      <c r="C13245" s="129" t="inlineStr">
        <is>
          <t>地区代码</t>
        </is>
      </c>
      <c r="D13245" s="21" t="n">
        <v>610622</v>
      </c>
      <c r="E13245" s="21" t="inlineStr">
        <is>
          <t>陕西省延安市延川县</t>
        </is>
      </c>
    </row>
    <row r="13246">
      <c r="B13246" s="41" t="inlineStr">
        <is>
          <t>AreaCode</t>
        </is>
      </c>
      <c r="C13246" s="129" t="inlineStr">
        <is>
          <t>地区代码</t>
        </is>
      </c>
      <c r="D13246" s="21" t="n">
        <v>610623</v>
      </c>
      <c r="E13246" s="21" t="inlineStr">
        <is>
          <t>陕西省延安市子长县</t>
        </is>
      </c>
    </row>
    <row r="13247">
      <c r="B13247" s="41" t="inlineStr">
        <is>
          <t>AreaCode</t>
        </is>
      </c>
      <c r="C13247" s="129" t="inlineStr">
        <is>
          <t>地区代码</t>
        </is>
      </c>
      <c r="D13247" s="21" t="n">
        <v>610624</v>
      </c>
      <c r="E13247" s="21" t="inlineStr">
        <is>
          <t>陕西省延安市安塞县</t>
        </is>
      </c>
    </row>
    <row r="13248">
      <c r="B13248" s="41" t="inlineStr">
        <is>
          <t>AreaCode</t>
        </is>
      </c>
      <c r="C13248" s="129" t="inlineStr">
        <is>
          <t>地区代码</t>
        </is>
      </c>
      <c r="D13248" s="21" t="n">
        <v>610625</v>
      </c>
      <c r="E13248" s="21" t="inlineStr">
        <is>
          <t>陕西省延安市志丹县</t>
        </is>
      </c>
    </row>
    <row r="13249">
      <c r="B13249" s="41" t="inlineStr">
        <is>
          <t>AreaCode</t>
        </is>
      </c>
      <c r="C13249" s="129" t="inlineStr">
        <is>
          <t>地区代码</t>
        </is>
      </c>
      <c r="D13249" s="21" t="n">
        <v>610626</v>
      </c>
      <c r="E13249" s="21" t="inlineStr">
        <is>
          <t>陕西省延安市吴起县</t>
        </is>
      </c>
    </row>
    <row r="13250">
      <c r="B13250" s="41" t="inlineStr">
        <is>
          <t>AreaCode</t>
        </is>
      </c>
      <c r="C13250" s="129" t="inlineStr">
        <is>
          <t>地区代码</t>
        </is>
      </c>
      <c r="D13250" s="21" t="n">
        <v>610627</v>
      </c>
      <c r="E13250" s="21" t="inlineStr">
        <is>
          <t>陕西省延安市甘泉县</t>
        </is>
      </c>
    </row>
    <row r="13251">
      <c r="B13251" s="41" t="inlineStr">
        <is>
          <t>AreaCode</t>
        </is>
      </c>
      <c r="C13251" s="129" t="inlineStr">
        <is>
          <t>地区代码</t>
        </is>
      </c>
      <c r="D13251" s="21" t="n">
        <v>610628</v>
      </c>
      <c r="E13251" s="21" t="inlineStr">
        <is>
          <t>陕西省延安市富县</t>
        </is>
      </c>
    </row>
    <row r="13252">
      <c r="B13252" s="41" t="inlineStr">
        <is>
          <t>AreaCode</t>
        </is>
      </c>
      <c r="C13252" s="129" t="inlineStr">
        <is>
          <t>地区代码</t>
        </is>
      </c>
      <c r="D13252" s="21" t="n">
        <v>610629</v>
      </c>
      <c r="E13252" s="21" t="inlineStr">
        <is>
          <t>陕西省延安市洛川县</t>
        </is>
      </c>
    </row>
    <row r="13253">
      <c r="B13253" s="41" t="inlineStr">
        <is>
          <t>AreaCode</t>
        </is>
      </c>
      <c r="C13253" s="129" t="inlineStr">
        <is>
          <t>地区代码</t>
        </is>
      </c>
      <c r="D13253" s="21" t="n">
        <v>610630</v>
      </c>
      <c r="E13253" s="21" t="inlineStr">
        <is>
          <t>陕西省延安市宜川县</t>
        </is>
      </c>
    </row>
    <row r="13254">
      <c r="B13254" s="41" t="inlineStr">
        <is>
          <t>AreaCode</t>
        </is>
      </c>
      <c r="C13254" s="129" t="inlineStr">
        <is>
          <t>地区代码</t>
        </is>
      </c>
      <c r="D13254" s="21" t="n">
        <v>610631</v>
      </c>
      <c r="E13254" s="21" t="inlineStr">
        <is>
          <t>陕西省延安市黄龙县</t>
        </is>
      </c>
    </row>
    <row r="13255">
      <c r="B13255" s="41" t="inlineStr">
        <is>
          <t>AreaCode</t>
        </is>
      </c>
      <c r="C13255" s="129" t="inlineStr">
        <is>
          <t>地区代码</t>
        </is>
      </c>
      <c r="D13255" s="21" t="n">
        <v>610632</v>
      </c>
      <c r="E13255" s="21" t="inlineStr">
        <is>
          <t>陕西省延安市黄陵县</t>
        </is>
      </c>
    </row>
    <row r="13256">
      <c r="B13256" s="41" t="inlineStr">
        <is>
          <t>AreaCode</t>
        </is>
      </c>
      <c r="C13256" s="129" t="inlineStr">
        <is>
          <t>地区代码</t>
        </is>
      </c>
      <c r="D13256" s="21" t="n">
        <v>610700</v>
      </c>
      <c r="E13256" s="21" t="inlineStr">
        <is>
          <t>陕西省汉中市</t>
        </is>
      </c>
    </row>
    <row r="13257">
      <c r="B13257" s="41" t="inlineStr">
        <is>
          <t>AreaCode</t>
        </is>
      </c>
      <c r="C13257" s="129" t="inlineStr">
        <is>
          <t>地区代码</t>
        </is>
      </c>
      <c r="D13257" s="21" t="n">
        <v>610701</v>
      </c>
      <c r="E13257" s="21" t="inlineStr">
        <is>
          <t>陕西省汉中市市辖区</t>
        </is>
      </c>
    </row>
    <row r="13258">
      <c r="B13258" s="41" t="inlineStr">
        <is>
          <t>AreaCode</t>
        </is>
      </c>
      <c r="C13258" s="129" t="inlineStr">
        <is>
          <t>地区代码</t>
        </is>
      </c>
      <c r="D13258" s="21" t="n">
        <v>610702</v>
      </c>
      <c r="E13258" s="21" t="inlineStr">
        <is>
          <t>陕西省汉中市汉台区</t>
        </is>
      </c>
    </row>
    <row r="13259">
      <c r="B13259" s="41" t="inlineStr">
        <is>
          <t>AreaCode</t>
        </is>
      </c>
      <c r="C13259" s="129" t="inlineStr">
        <is>
          <t>地区代码</t>
        </is>
      </c>
      <c r="D13259" s="21" t="n">
        <v>610721</v>
      </c>
      <c r="E13259" s="21" t="inlineStr">
        <is>
          <t>陕西省汉中市南郑县</t>
        </is>
      </c>
    </row>
    <row r="13260">
      <c r="B13260" s="41" t="inlineStr">
        <is>
          <t>AreaCode</t>
        </is>
      </c>
      <c r="C13260" s="129" t="inlineStr">
        <is>
          <t>地区代码</t>
        </is>
      </c>
      <c r="D13260" s="21" t="n">
        <v>610722</v>
      </c>
      <c r="E13260" s="21" t="inlineStr">
        <is>
          <t>陕西省汉中市城固县</t>
        </is>
      </c>
    </row>
    <row r="13261">
      <c r="B13261" s="41" t="inlineStr">
        <is>
          <t>AreaCode</t>
        </is>
      </c>
      <c r="C13261" s="129" t="inlineStr">
        <is>
          <t>地区代码</t>
        </is>
      </c>
      <c r="D13261" s="21" t="n">
        <v>610723</v>
      </c>
      <c r="E13261" s="21" t="inlineStr">
        <is>
          <t>陕西省汉中市洋县</t>
        </is>
      </c>
    </row>
    <row r="13262">
      <c r="B13262" s="41" t="inlineStr">
        <is>
          <t>AreaCode</t>
        </is>
      </c>
      <c r="C13262" s="129" t="inlineStr">
        <is>
          <t>地区代码</t>
        </is>
      </c>
      <c r="D13262" s="21" t="n">
        <v>610724</v>
      </c>
      <c r="E13262" s="21" t="inlineStr">
        <is>
          <t>陕西省汉中市西乡县</t>
        </is>
      </c>
    </row>
    <row r="13263">
      <c r="B13263" s="41" t="inlineStr">
        <is>
          <t>AreaCode</t>
        </is>
      </c>
      <c r="C13263" s="129" t="inlineStr">
        <is>
          <t>地区代码</t>
        </is>
      </c>
      <c r="D13263" s="21" t="n">
        <v>610725</v>
      </c>
      <c r="E13263" s="21" t="inlineStr">
        <is>
          <t>陕西省汉中市勉县</t>
        </is>
      </c>
    </row>
    <row r="13264">
      <c r="B13264" s="41" t="inlineStr">
        <is>
          <t>AreaCode</t>
        </is>
      </c>
      <c r="C13264" s="129" t="inlineStr">
        <is>
          <t>地区代码</t>
        </is>
      </c>
      <c r="D13264" s="21" t="n">
        <v>610726</v>
      </c>
      <c r="E13264" s="21" t="inlineStr">
        <is>
          <t>陕西省汉中市宁强县</t>
        </is>
      </c>
    </row>
    <row r="13265">
      <c r="B13265" s="41" t="inlineStr">
        <is>
          <t>AreaCode</t>
        </is>
      </c>
      <c r="C13265" s="129" t="inlineStr">
        <is>
          <t>地区代码</t>
        </is>
      </c>
      <c r="D13265" s="21" t="n">
        <v>610727</v>
      </c>
      <c r="E13265" s="21" t="inlineStr">
        <is>
          <t>陕西省汉中市略阳县</t>
        </is>
      </c>
    </row>
    <row r="13266">
      <c r="B13266" s="41" t="inlineStr">
        <is>
          <t>AreaCode</t>
        </is>
      </c>
      <c r="C13266" s="129" t="inlineStr">
        <is>
          <t>地区代码</t>
        </is>
      </c>
      <c r="D13266" s="21" t="n">
        <v>610728</v>
      </c>
      <c r="E13266" s="21" t="inlineStr">
        <is>
          <t>陕西省汉中市镇巴县</t>
        </is>
      </c>
    </row>
    <row r="13267">
      <c r="B13267" s="41" t="inlineStr">
        <is>
          <t>AreaCode</t>
        </is>
      </c>
      <c r="C13267" s="129" t="inlineStr">
        <is>
          <t>地区代码</t>
        </is>
      </c>
      <c r="D13267" s="21" t="n">
        <v>610729</v>
      </c>
      <c r="E13267" s="21" t="inlineStr">
        <is>
          <t>陕西省汉中市留坝县</t>
        </is>
      </c>
    </row>
    <row r="13268">
      <c r="B13268" s="41" t="inlineStr">
        <is>
          <t>AreaCode</t>
        </is>
      </c>
      <c r="C13268" s="129" t="inlineStr">
        <is>
          <t>地区代码</t>
        </is>
      </c>
      <c r="D13268" s="21" t="n">
        <v>610730</v>
      </c>
      <c r="E13268" s="21" t="inlineStr">
        <is>
          <t>陕西省汉中市佛坪县</t>
        </is>
      </c>
    </row>
    <row r="13269">
      <c r="B13269" s="41" t="inlineStr">
        <is>
          <t>AreaCode</t>
        </is>
      </c>
      <c r="C13269" s="129" t="inlineStr">
        <is>
          <t>地区代码</t>
        </is>
      </c>
      <c r="D13269" s="21" t="n">
        <v>610800</v>
      </c>
      <c r="E13269" s="21" t="inlineStr">
        <is>
          <t>陕西省榆林市</t>
        </is>
      </c>
    </row>
    <row r="13270">
      <c r="B13270" s="41" t="inlineStr">
        <is>
          <t>AreaCode</t>
        </is>
      </c>
      <c r="C13270" s="129" t="inlineStr">
        <is>
          <t>地区代码</t>
        </is>
      </c>
      <c r="D13270" s="21" t="n">
        <v>610801</v>
      </c>
      <c r="E13270" s="21" t="inlineStr">
        <is>
          <t>陕西省榆林市市辖区</t>
        </is>
      </c>
    </row>
    <row r="13271">
      <c r="B13271" s="41" t="inlineStr">
        <is>
          <t>AreaCode</t>
        </is>
      </c>
      <c r="C13271" s="129" t="inlineStr">
        <is>
          <t>地区代码</t>
        </is>
      </c>
      <c r="D13271" s="21" t="n">
        <v>610802</v>
      </c>
      <c r="E13271" s="21" t="inlineStr">
        <is>
          <t>陕西省榆林市榆阳区</t>
        </is>
      </c>
    </row>
    <row r="13272">
      <c r="B13272" s="41" t="inlineStr">
        <is>
          <t>AreaCode</t>
        </is>
      </c>
      <c r="C13272" s="129" t="inlineStr">
        <is>
          <t>地区代码</t>
        </is>
      </c>
      <c r="D13272" s="21" t="n">
        <v>610821</v>
      </c>
      <c r="E13272" s="21" t="inlineStr">
        <is>
          <t>陕西省榆林市神木县</t>
        </is>
      </c>
    </row>
    <row r="13273">
      <c r="B13273" s="41" t="inlineStr">
        <is>
          <t>AreaCode</t>
        </is>
      </c>
      <c r="C13273" s="129" t="inlineStr">
        <is>
          <t>地区代码</t>
        </is>
      </c>
      <c r="D13273" s="21" t="n">
        <v>610822</v>
      </c>
      <c r="E13273" s="21" t="inlineStr">
        <is>
          <t>陕西省榆林市府谷县</t>
        </is>
      </c>
    </row>
    <row r="13274">
      <c r="B13274" s="41" t="inlineStr">
        <is>
          <t>AreaCode</t>
        </is>
      </c>
      <c r="C13274" s="129" t="inlineStr">
        <is>
          <t>地区代码</t>
        </is>
      </c>
      <c r="D13274" s="21" t="n">
        <v>610823</v>
      </c>
      <c r="E13274" s="21" t="inlineStr">
        <is>
          <t>陕西省榆林市横山县</t>
        </is>
      </c>
    </row>
    <row r="13275">
      <c r="B13275" s="41" t="inlineStr">
        <is>
          <t>AreaCode</t>
        </is>
      </c>
      <c r="C13275" s="129" t="inlineStr">
        <is>
          <t>地区代码</t>
        </is>
      </c>
      <c r="D13275" s="21" t="n">
        <v>610824</v>
      </c>
      <c r="E13275" s="21" t="inlineStr">
        <is>
          <t>陕西省榆林市靖边县</t>
        </is>
      </c>
    </row>
    <row r="13276">
      <c r="B13276" s="41" t="inlineStr">
        <is>
          <t>AreaCode</t>
        </is>
      </c>
      <c r="C13276" s="129" t="inlineStr">
        <is>
          <t>地区代码</t>
        </is>
      </c>
      <c r="D13276" s="21" t="n">
        <v>610825</v>
      </c>
      <c r="E13276" s="21" t="inlineStr">
        <is>
          <t>陕西省榆林市定边县</t>
        </is>
      </c>
    </row>
    <row r="13277">
      <c r="B13277" s="41" t="inlineStr">
        <is>
          <t>AreaCode</t>
        </is>
      </c>
      <c r="C13277" s="129" t="inlineStr">
        <is>
          <t>地区代码</t>
        </is>
      </c>
      <c r="D13277" s="21" t="n">
        <v>610826</v>
      </c>
      <c r="E13277" s="21" t="inlineStr">
        <is>
          <t>陕西省榆林市绥德县</t>
        </is>
      </c>
    </row>
    <row r="13278">
      <c r="B13278" s="41" t="inlineStr">
        <is>
          <t>AreaCode</t>
        </is>
      </c>
      <c r="C13278" s="129" t="inlineStr">
        <is>
          <t>地区代码</t>
        </is>
      </c>
      <c r="D13278" s="21" t="n">
        <v>610827</v>
      </c>
      <c r="E13278" s="21" t="inlineStr">
        <is>
          <t>陕西省榆林市米脂县</t>
        </is>
      </c>
    </row>
    <row r="13279">
      <c r="B13279" s="41" t="inlineStr">
        <is>
          <t>AreaCode</t>
        </is>
      </c>
      <c r="C13279" s="129" t="inlineStr">
        <is>
          <t>地区代码</t>
        </is>
      </c>
      <c r="D13279" s="21" t="n">
        <v>610828</v>
      </c>
      <c r="E13279" s="21" t="inlineStr">
        <is>
          <t>陕西省榆林市佳县</t>
        </is>
      </c>
    </row>
    <row r="13280">
      <c r="B13280" s="41" t="inlineStr">
        <is>
          <t>AreaCode</t>
        </is>
      </c>
      <c r="C13280" s="129" t="inlineStr">
        <is>
          <t>地区代码</t>
        </is>
      </c>
      <c r="D13280" s="21" t="n">
        <v>610829</v>
      </c>
      <c r="E13280" s="21" t="inlineStr">
        <is>
          <t>陕西省榆林市吴堡县</t>
        </is>
      </c>
    </row>
    <row r="13281">
      <c r="B13281" s="41" t="inlineStr">
        <is>
          <t>AreaCode</t>
        </is>
      </c>
      <c r="C13281" s="129" t="inlineStr">
        <is>
          <t>地区代码</t>
        </is>
      </c>
      <c r="D13281" s="21" t="n">
        <v>610830</v>
      </c>
      <c r="E13281" s="21" t="inlineStr">
        <is>
          <t>陕西省榆林市清涧县</t>
        </is>
      </c>
    </row>
    <row r="13282">
      <c r="B13282" s="41" t="inlineStr">
        <is>
          <t>AreaCode</t>
        </is>
      </c>
      <c r="C13282" s="129" t="inlineStr">
        <is>
          <t>地区代码</t>
        </is>
      </c>
      <c r="D13282" s="21" t="n">
        <v>610831</v>
      </c>
      <c r="E13282" s="21" t="inlineStr">
        <is>
          <t>陕西省榆林市子洲县</t>
        </is>
      </c>
    </row>
    <row r="13283">
      <c r="B13283" s="41" t="inlineStr">
        <is>
          <t>AreaCode</t>
        </is>
      </c>
      <c r="C13283" s="129" t="inlineStr">
        <is>
          <t>地区代码</t>
        </is>
      </c>
      <c r="D13283" s="21" t="n">
        <v>610900</v>
      </c>
      <c r="E13283" s="21" t="inlineStr">
        <is>
          <t>陕西省安康市</t>
        </is>
      </c>
    </row>
    <row r="13284">
      <c r="B13284" s="41" t="inlineStr">
        <is>
          <t>AreaCode</t>
        </is>
      </c>
      <c r="C13284" s="129" t="inlineStr">
        <is>
          <t>地区代码</t>
        </is>
      </c>
      <c r="D13284" s="21" t="n">
        <v>610901</v>
      </c>
      <c r="E13284" s="21" t="inlineStr">
        <is>
          <t>陕西省安康市市辖区</t>
        </is>
      </c>
    </row>
    <row r="13285">
      <c r="B13285" s="41" t="inlineStr">
        <is>
          <t>AreaCode</t>
        </is>
      </c>
      <c r="C13285" s="129" t="inlineStr">
        <is>
          <t>地区代码</t>
        </is>
      </c>
      <c r="D13285" s="21" t="n">
        <v>610902</v>
      </c>
      <c r="E13285" s="21" t="inlineStr">
        <is>
          <t>陕西省安康市汉滨区</t>
        </is>
      </c>
    </row>
    <row r="13286">
      <c r="B13286" s="41" t="inlineStr">
        <is>
          <t>AreaCode</t>
        </is>
      </c>
      <c r="C13286" s="129" t="inlineStr">
        <is>
          <t>地区代码</t>
        </is>
      </c>
      <c r="D13286" s="21" t="n">
        <v>610921</v>
      </c>
      <c r="E13286" s="21" t="inlineStr">
        <is>
          <t>陕西省安康市汉阴县</t>
        </is>
      </c>
    </row>
    <row r="13287">
      <c r="B13287" s="41" t="inlineStr">
        <is>
          <t>AreaCode</t>
        </is>
      </c>
      <c r="C13287" s="129" t="inlineStr">
        <is>
          <t>地区代码</t>
        </is>
      </c>
      <c r="D13287" s="21" t="n">
        <v>610922</v>
      </c>
      <c r="E13287" s="21" t="inlineStr">
        <is>
          <t>陕西省安康市石泉县</t>
        </is>
      </c>
    </row>
    <row r="13288">
      <c r="B13288" s="41" t="inlineStr">
        <is>
          <t>AreaCode</t>
        </is>
      </c>
      <c r="C13288" s="129" t="inlineStr">
        <is>
          <t>地区代码</t>
        </is>
      </c>
      <c r="D13288" s="21" t="n">
        <v>610923</v>
      </c>
      <c r="E13288" s="21" t="inlineStr">
        <is>
          <t>陕西省安康市宁陕县</t>
        </is>
      </c>
    </row>
    <row r="13289">
      <c r="B13289" s="41" t="inlineStr">
        <is>
          <t>AreaCode</t>
        </is>
      </c>
      <c r="C13289" s="129" t="inlineStr">
        <is>
          <t>地区代码</t>
        </is>
      </c>
      <c r="D13289" s="21" t="n">
        <v>610924</v>
      </c>
      <c r="E13289" s="21" t="inlineStr">
        <is>
          <t>陕西省安康市紫阳县</t>
        </is>
      </c>
    </row>
    <row r="13290">
      <c r="B13290" s="41" t="inlineStr">
        <is>
          <t>AreaCode</t>
        </is>
      </c>
      <c r="C13290" s="129" t="inlineStr">
        <is>
          <t>地区代码</t>
        </is>
      </c>
      <c r="D13290" s="21" t="n">
        <v>610925</v>
      </c>
      <c r="E13290" s="21" t="inlineStr">
        <is>
          <t>陕西省安康市岚皋县</t>
        </is>
      </c>
    </row>
    <row r="13291">
      <c r="B13291" s="41" t="inlineStr">
        <is>
          <t>AreaCode</t>
        </is>
      </c>
      <c r="C13291" s="129" t="inlineStr">
        <is>
          <t>地区代码</t>
        </is>
      </c>
      <c r="D13291" s="21" t="n">
        <v>610926</v>
      </c>
      <c r="E13291" s="21" t="inlineStr">
        <is>
          <t>陕西省安康市平利县</t>
        </is>
      </c>
    </row>
    <row r="13292">
      <c r="B13292" s="41" t="inlineStr">
        <is>
          <t>AreaCode</t>
        </is>
      </c>
      <c r="C13292" s="129" t="inlineStr">
        <is>
          <t>地区代码</t>
        </is>
      </c>
      <c r="D13292" s="21" t="n">
        <v>610927</v>
      </c>
      <c r="E13292" s="21" t="inlineStr">
        <is>
          <t>陕西省安康市镇坪县</t>
        </is>
      </c>
    </row>
    <row r="13293">
      <c r="B13293" s="41" t="inlineStr">
        <is>
          <t>AreaCode</t>
        </is>
      </c>
      <c r="C13293" s="129" t="inlineStr">
        <is>
          <t>地区代码</t>
        </is>
      </c>
      <c r="D13293" s="21" t="n">
        <v>610928</v>
      </c>
      <c r="E13293" s="21" t="inlineStr">
        <is>
          <t>陕西省安康市旬阳县</t>
        </is>
      </c>
    </row>
    <row r="13294">
      <c r="B13294" s="41" t="inlineStr">
        <is>
          <t>AreaCode</t>
        </is>
      </c>
      <c r="C13294" s="129" t="inlineStr">
        <is>
          <t>地区代码</t>
        </is>
      </c>
      <c r="D13294" s="21" t="n">
        <v>610929</v>
      </c>
      <c r="E13294" s="21" t="inlineStr">
        <is>
          <t>陕西省安康市白河县</t>
        </is>
      </c>
    </row>
    <row r="13295">
      <c r="B13295" s="41" t="inlineStr">
        <is>
          <t>AreaCode</t>
        </is>
      </c>
      <c r="C13295" s="129" t="inlineStr">
        <is>
          <t>地区代码</t>
        </is>
      </c>
      <c r="D13295" s="21" t="n">
        <v>611000</v>
      </c>
      <c r="E13295" s="21" t="inlineStr">
        <is>
          <t>陕西省商洛市</t>
        </is>
      </c>
    </row>
    <row r="13296">
      <c r="B13296" s="41" t="inlineStr">
        <is>
          <t>AreaCode</t>
        </is>
      </c>
      <c r="C13296" s="129" t="inlineStr">
        <is>
          <t>地区代码</t>
        </is>
      </c>
      <c r="D13296" s="21" t="n">
        <v>611001</v>
      </c>
      <c r="E13296" s="21" t="inlineStr">
        <is>
          <t>陕西省商洛市市辖区</t>
        </is>
      </c>
    </row>
    <row r="13297">
      <c r="B13297" s="41" t="inlineStr">
        <is>
          <t>AreaCode</t>
        </is>
      </c>
      <c r="C13297" s="129" t="inlineStr">
        <is>
          <t>地区代码</t>
        </is>
      </c>
      <c r="D13297" s="21" t="n">
        <v>611002</v>
      </c>
      <c r="E13297" s="21" t="inlineStr">
        <is>
          <t>陕西省商洛市商州区</t>
        </is>
      </c>
    </row>
    <row r="13298">
      <c r="B13298" s="41" t="inlineStr">
        <is>
          <t>AreaCode</t>
        </is>
      </c>
      <c r="C13298" s="129" t="inlineStr">
        <is>
          <t>地区代码</t>
        </is>
      </c>
      <c r="D13298" s="21" t="n">
        <v>611021</v>
      </c>
      <c r="E13298" s="21" t="inlineStr">
        <is>
          <t>陕西省商洛市洛南县</t>
        </is>
      </c>
    </row>
    <row r="13299">
      <c r="B13299" s="41" t="inlineStr">
        <is>
          <t>AreaCode</t>
        </is>
      </c>
      <c r="C13299" s="129" t="inlineStr">
        <is>
          <t>地区代码</t>
        </is>
      </c>
      <c r="D13299" s="21" t="n">
        <v>611022</v>
      </c>
      <c r="E13299" s="21" t="inlineStr">
        <is>
          <t>陕西省商洛市丹凤县</t>
        </is>
      </c>
    </row>
    <row r="13300">
      <c r="B13300" s="41" t="inlineStr">
        <is>
          <t>AreaCode</t>
        </is>
      </c>
      <c r="C13300" s="129" t="inlineStr">
        <is>
          <t>地区代码</t>
        </is>
      </c>
      <c r="D13300" s="21" t="n">
        <v>611023</v>
      </c>
      <c r="E13300" s="21" t="inlineStr">
        <is>
          <t>陕西省商洛市商南县</t>
        </is>
      </c>
    </row>
    <row r="13301">
      <c r="B13301" s="41" t="inlineStr">
        <is>
          <t>AreaCode</t>
        </is>
      </c>
      <c r="C13301" s="129" t="inlineStr">
        <is>
          <t>地区代码</t>
        </is>
      </c>
      <c r="D13301" s="21" t="n">
        <v>611024</v>
      </c>
      <c r="E13301" s="21" t="inlineStr">
        <is>
          <t>陕西省商洛市山阳县</t>
        </is>
      </c>
    </row>
    <row r="13302">
      <c r="B13302" s="41" t="inlineStr">
        <is>
          <t>AreaCode</t>
        </is>
      </c>
      <c r="C13302" s="129" t="inlineStr">
        <is>
          <t>地区代码</t>
        </is>
      </c>
      <c r="D13302" s="21" t="n">
        <v>611025</v>
      </c>
      <c r="E13302" s="21" t="inlineStr">
        <is>
          <t>陕西省商洛市镇安县</t>
        </is>
      </c>
    </row>
    <row r="13303">
      <c r="B13303" s="41" t="inlineStr">
        <is>
          <t>AreaCode</t>
        </is>
      </c>
      <c r="C13303" s="129" t="inlineStr">
        <is>
          <t>地区代码</t>
        </is>
      </c>
      <c r="D13303" s="21" t="n">
        <v>611026</v>
      </c>
      <c r="E13303" s="21" t="inlineStr">
        <is>
          <t>陕西省商洛市柞水县</t>
        </is>
      </c>
    </row>
    <row r="13304">
      <c r="B13304" s="41" t="inlineStr">
        <is>
          <t>AreaCode</t>
        </is>
      </c>
      <c r="C13304" s="129" t="inlineStr">
        <is>
          <t>地区代码</t>
        </is>
      </c>
      <c r="D13304" s="21" t="n">
        <v>620000</v>
      </c>
      <c r="E13304" s="21" t="inlineStr">
        <is>
          <t>甘肃省</t>
        </is>
      </c>
    </row>
    <row r="13305">
      <c r="B13305" s="41" t="inlineStr">
        <is>
          <t>AreaCode</t>
        </is>
      </c>
      <c r="C13305" s="129" t="inlineStr">
        <is>
          <t>地区代码</t>
        </is>
      </c>
      <c r="D13305" s="21" t="n">
        <v>620100</v>
      </c>
      <c r="E13305" s="21" t="inlineStr">
        <is>
          <t>甘肃省兰州市</t>
        </is>
      </c>
    </row>
    <row r="13306">
      <c r="B13306" s="41" t="inlineStr">
        <is>
          <t>AreaCode</t>
        </is>
      </c>
      <c r="C13306" s="129" t="inlineStr">
        <is>
          <t>地区代码</t>
        </is>
      </c>
      <c r="D13306" s="21" t="n">
        <v>620101</v>
      </c>
      <c r="E13306" s="21" t="inlineStr">
        <is>
          <t>甘肃省兰州市市辖区</t>
        </is>
      </c>
    </row>
    <row r="13307">
      <c r="B13307" s="41" t="inlineStr">
        <is>
          <t>AreaCode</t>
        </is>
      </c>
      <c r="C13307" s="129" t="inlineStr">
        <is>
          <t>地区代码</t>
        </is>
      </c>
      <c r="D13307" s="21" t="n">
        <v>620102</v>
      </c>
      <c r="E13307" s="21" t="inlineStr">
        <is>
          <t>甘肃省兰州市城关区</t>
        </is>
      </c>
    </row>
    <row r="13308">
      <c r="B13308" s="41" t="inlineStr">
        <is>
          <t>AreaCode</t>
        </is>
      </c>
      <c r="C13308" s="129" t="inlineStr">
        <is>
          <t>地区代码</t>
        </is>
      </c>
      <c r="D13308" s="21" t="n">
        <v>620103</v>
      </c>
      <c r="E13308" s="21" t="inlineStr">
        <is>
          <t>甘肃省兰州市七里河区</t>
        </is>
      </c>
    </row>
    <row r="13309">
      <c r="B13309" s="41" t="inlineStr">
        <is>
          <t>AreaCode</t>
        </is>
      </c>
      <c r="C13309" s="129" t="inlineStr">
        <is>
          <t>地区代码</t>
        </is>
      </c>
      <c r="D13309" s="21" t="n">
        <v>620104</v>
      </c>
      <c r="E13309" s="21" t="inlineStr">
        <is>
          <t>甘肃省兰州市西固区</t>
        </is>
      </c>
    </row>
    <row r="13310">
      <c r="B13310" s="41" t="inlineStr">
        <is>
          <t>AreaCode</t>
        </is>
      </c>
      <c r="C13310" s="129" t="inlineStr">
        <is>
          <t>地区代码</t>
        </is>
      </c>
      <c r="D13310" s="21" t="n">
        <v>620105</v>
      </c>
      <c r="E13310" s="21" t="inlineStr">
        <is>
          <t>甘肃省兰州市安宁区</t>
        </is>
      </c>
    </row>
    <row r="13311">
      <c r="B13311" s="41" t="inlineStr">
        <is>
          <t>AreaCode</t>
        </is>
      </c>
      <c r="C13311" s="129" t="inlineStr">
        <is>
          <t>地区代码</t>
        </is>
      </c>
      <c r="D13311" s="21" t="n">
        <v>620111</v>
      </c>
      <c r="E13311" s="21" t="inlineStr">
        <is>
          <t>甘肃省兰州市红古区</t>
        </is>
      </c>
    </row>
    <row r="13312">
      <c r="B13312" s="41" t="inlineStr">
        <is>
          <t>AreaCode</t>
        </is>
      </c>
      <c r="C13312" s="129" t="inlineStr">
        <is>
          <t>地区代码</t>
        </is>
      </c>
      <c r="D13312" s="21" t="n">
        <v>620121</v>
      </c>
      <c r="E13312" s="21" t="inlineStr">
        <is>
          <t>甘肃省兰州市永登县</t>
        </is>
      </c>
    </row>
    <row r="13313">
      <c r="B13313" s="41" t="inlineStr">
        <is>
          <t>AreaCode</t>
        </is>
      </c>
      <c r="C13313" s="129" t="inlineStr">
        <is>
          <t>地区代码</t>
        </is>
      </c>
      <c r="D13313" s="21" t="n">
        <v>620122</v>
      </c>
      <c r="E13313" s="21" t="inlineStr">
        <is>
          <t>甘肃省兰州市皋兰县</t>
        </is>
      </c>
    </row>
    <row r="13314">
      <c r="B13314" s="41" t="inlineStr">
        <is>
          <t>AreaCode</t>
        </is>
      </c>
      <c r="C13314" s="129" t="inlineStr">
        <is>
          <t>地区代码</t>
        </is>
      </c>
      <c r="D13314" s="21" t="n">
        <v>620123</v>
      </c>
      <c r="E13314" s="21" t="inlineStr">
        <is>
          <t>甘肃省兰州市榆中县</t>
        </is>
      </c>
    </row>
    <row r="13315">
      <c r="B13315" s="41" t="inlineStr">
        <is>
          <t>AreaCode</t>
        </is>
      </c>
      <c r="C13315" s="129" t="inlineStr">
        <is>
          <t>地区代码</t>
        </is>
      </c>
      <c r="D13315" s="21" t="n">
        <v>620200</v>
      </c>
      <c r="E13315" s="21" t="inlineStr">
        <is>
          <t>甘肃省嘉峪关市</t>
        </is>
      </c>
    </row>
    <row r="13316">
      <c r="B13316" s="41" t="inlineStr">
        <is>
          <t>AreaCode</t>
        </is>
      </c>
      <c r="C13316" s="129" t="inlineStr">
        <is>
          <t>地区代码</t>
        </is>
      </c>
      <c r="D13316" s="21" t="n">
        <v>620201</v>
      </c>
      <c r="E13316" s="21" t="inlineStr">
        <is>
          <t>甘肃省嘉峪关市市辖区</t>
        </is>
      </c>
    </row>
    <row r="13317">
      <c r="B13317" s="41" t="inlineStr">
        <is>
          <t>AreaCode</t>
        </is>
      </c>
      <c r="C13317" s="129" t="inlineStr">
        <is>
          <t>地区代码</t>
        </is>
      </c>
      <c r="D13317" s="21" t="n">
        <v>620300</v>
      </c>
      <c r="E13317" s="21" t="inlineStr">
        <is>
          <t>甘肃省金昌市</t>
        </is>
      </c>
    </row>
    <row r="13318">
      <c r="B13318" s="41" t="inlineStr">
        <is>
          <t>AreaCode</t>
        </is>
      </c>
      <c r="C13318" s="129" t="inlineStr">
        <is>
          <t>地区代码</t>
        </is>
      </c>
      <c r="D13318" s="21" t="n">
        <v>620301</v>
      </c>
      <c r="E13318" s="21" t="inlineStr">
        <is>
          <t>甘肃省金昌市市辖区</t>
        </is>
      </c>
    </row>
    <row r="13319">
      <c r="B13319" s="41" t="inlineStr">
        <is>
          <t>AreaCode</t>
        </is>
      </c>
      <c r="C13319" s="129" t="inlineStr">
        <is>
          <t>地区代码</t>
        </is>
      </c>
      <c r="D13319" s="21" t="n">
        <v>620302</v>
      </c>
      <c r="E13319" s="21" t="inlineStr">
        <is>
          <t>甘肃省金昌市金川区</t>
        </is>
      </c>
    </row>
    <row r="13320">
      <c r="B13320" s="41" t="inlineStr">
        <is>
          <t>AreaCode</t>
        </is>
      </c>
      <c r="C13320" s="129" t="inlineStr">
        <is>
          <t>地区代码</t>
        </is>
      </c>
      <c r="D13320" s="21" t="n">
        <v>620321</v>
      </c>
      <c r="E13320" s="21" t="inlineStr">
        <is>
          <t>甘肃省金昌市永昌县</t>
        </is>
      </c>
    </row>
    <row r="13321">
      <c r="B13321" s="41" t="inlineStr">
        <is>
          <t>AreaCode</t>
        </is>
      </c>
      <c r="C13321" s="129" t="inlineStr">
        <is>
          <t>地区代码</t>
        </is>
      </c>
      <c r="D13321" s="21" t="n">
        <v>620400</v>
      </c>
      <c r="E13321" s="21" t="inlineStr">
        <is>
          <t>甘肃省白银市</t>
        </is>
      </c>
    </row>
    <row r="13322">
      <c r="B13322" s="41" t="inlineStr">
        <is>
          <t>AreaCode</t>
        </is>
      </c>
      <c r="C13322" s="129" t="inlineStr">
        <is>
          <t>地区代码</t>
        </is>
      </c>
      <c r="D13322" s="21" t="n">
        <v>620401</v>
      </c>
      <c r="E13322" s="21" t="inlineStr">
        <is>
          <t>甘肃省白银市市辖区</t>
        </is>
      </c>
    </row>
    <row r="13323">
      <c r="B13323" s="41" t="inlineStr">
        <is>
          <t>AreaCode</t>
        </is>
      </c>
      <c r="C13323" s="129" t="inlineStr">
        <is>
          <t>地区代码</t>
        </is>
      </c>
      <c r="D13323" s="21" t="n">
        <v>620402</v>
      </c>
      <c r="E13323" s="21" t="inlineStr">
        <is>
          <t>甘肃省白银市白银区</t>
        </is>
      </c>
    </row>
    <row r="13324">
      <c r="B13324" s="41" t="inlineStr">
        <is>
          <t>AreaCode</t>
        </is>
      </c>
      <c r="C13324" s="129" t="inlineStr">
        <is>
          <t>地区代码</t>
        </is>
      </c>
      <c r="D13324" s="21" t="n">
        <v>620403</v>
      </c>
      <c r="E13324" s="21" t="inlineStr">
        <is>
          <t>甘肃省白银市平川区</t>
        </is>
      </c>
    </row>
    <row r="13325">
      <c r="B13325" s="41" t="inlineStr">
        <is>
          <t>AreaCode</t>
        </is>
      </c>
      <c r="C13325" s="129" t="inlineStr">
        <is>
          <t>地区代码</t>
        </is>
      </c>
      <c r="D13325" s="21" t="n">
        <v>620421</v>
      </c>
      <c r="E13325" s="21" t="inlineStr">
        <is>
          <t>甘肃省白银市靖远县</t>
        </is>
      </c>
    </row>
    <row r="13326">
      <c r="B13326" s="41" t="inlineStr">
        <is>
          <t>AreaCode</t>
        </is>
      </c>
      <c r="C13326" s="129" t="inlineStr">
        <is>
          <t>地区代码</t>
        </is>
      </c>
      <c r="D13326" s="21" t="n">
        <v>620422</v>
      </c>
      <c r="E13326" s="21" t="inlineStr">
        <is>
          <t>甘肃省白银市会宁县</t>
        </is>
      </c>
    </row>
    <row r="13327">
      <c r="B13327" s="41" t="inlineStr">
        <is>
          <t>AreaCode</t>
        </is>
      </c>
      <c r="C13327" s="129" t="inlineStr">
        <is>
          <t>地区代码</t>
        </is>
      </c>
      <c r="D13327" s="21" t="n">
        <v>620423</v>
      </c>
      <c r="E13327" s="21" t="inlineStr">
        <is>
          <t>甘肃省白银市景泰县</t>
        </is>
      </c>
    </row>
    <row r="13328">
      <c r="B13328" s="41" t="inlineStr">
        <is>
          <t>AreaCode</t>
        </is>
      </c>
      <c r="C13328" s="129" t="inlineStr">
        <is>
          <t>地区代码</t>
        </is>
      </c>
      <c r="D13328" s="21" t="n">
        <v>620500</v>
      </c>
      <c r="E13328" s="21" t="inlineStr">
        <is>
          <t>甘肃省天水市</t>
        </is>
      </c>
    </row>
    <row r="13329">
      <c r="B13329" s="41" t="inlineStr">
        <is>
          <t>AreaCode</t>
        </is>
      </c>
      <c r="C13329" s="129" t="inlineStr">
        <is>
          <t>地区代码</t>
        </is>
      </c>
      <c r="D13329" s="21" t="n">
        <v>620501</v>
      </c>
      <c r="E13329" s="21" t="inlineStr">
        <is>
          <t>甘肃省天水市市辖区</t>
        </is>
      </c>
    </row>
    <row r="13330">
      <c r="B13330" s="41" t="inlineStr">
        <is>
          <t>AreaCode</t>
        </is>
      </c>
      <c r="C13330" s="129" t="inlineStr">
        <is>
          <t>地区代码</t>
        </is>
      </c>
      <c r="D13330" s="21" t="n">
        <v>620502</v>
      </c>
      <c r="E13330" s="21" t="inlineStr">
        <is>
          <t>甘肃省天水市秦城区</t>
        </is>
      </c>
    </row>
    <row r="13331">
      <c r="B13331" s="41" t="inlineStr">
        <is>
          <t>AreaCode</t>
        </is>
      </c>
      <c r="C13331" s="129" t="inlineStr">
        <is>
          <t>地区代码</t>
        </is>
      </c>
      <c r="D13331" s="21" t="n">
        <v>620503</v>
      </c>
      <c r="E13331" s="21" t="inlineStr">
        <is>
          <t>甘肃省天水市麦积区</t>
        </is>
      </c>
    </row>
    <row r="13332">
      <c r="B13332" s="41" t="inlineStr">
        <is>
          <t>AreaCode</t>
        </is>
      </c>
      <c r="C13332" s="129" t="inlineStr">
        <is>
          <t>地区代码</t>
        </is>
      </c>
      <c r="D13332" s="21" t="n">
        <v>620521</v>
      </c>
      <c r="E13332" s="21" t="inlineStr">
        <is>
          <t>甘肃省天水市清水县</t>
        </is>
      </c>
    </row>
    <row r="13333">
      <c r="B13333" s="41" t="inlineStr">
        <is>
          <t>AreaCode</t>
        </is>
      </c>
      <c r="C13333" s="129" t="inlineStr">
        <is>
          <t>地区代码</t>
        </is>
      </c>
      <c r="D13333" s="21" t="n">
        <v>620522</v>
      </c>
      <c r="E13333" s="21" t="inlineStr">
        <is>
          <t>甘肃省天水市秦安县</t>
        </is>
      </c>
    </row>
    <row r="13334">
      <c r="B13334" s="41" t="inlineStr">
        <is>
          <t>AreaCode</t>
        </is>
      </c>
      <c r="C13334" s="129" t="inlineStr">
        <is>
          <t>地区代码</t>
        </is>
      </c>
      <c r="D13334" s="21" t="n">
        <v>620523</v>
      </c>
      <c r="E13334" s="21" t="inlineStr">
        <is>
          <t>甘肃省天水市甘谷县</t>
        </is>
      </c>
    </row>
    <row r="13335">
      <c r="B13335" s="41" t="inlineStr">
        <is>
          <t>AreaCode</t>
        </is>
      </c>
      <c r="C13335" s="129" t="inlineStr">
        <is>
          <t>地区代码</t>
        </is>
      </c>
      <c r="D13335" s="21" t="n">
        <v>620524</v>
      </c>
      <c r="E13335" s="21" t="inlineStr">
        <is>
          <t>甘肃省天水市武山县</t>
        </is>
      </c>
    </row>
    <row r="13336">
      <c r="B13336" s="41" t="inlineStr">
        <is>
          <t>AreaCode</t>
        </is>
      </c>
      <c r="C13336" s="129" t="inlineStr">
        <is>
          <t>地区代码</t>
        </is>
      </c>
      <c r="D13336" s="21" t="n">
        <v>620525</v>
      </c>
      <c r="E13336" s="21" t="inlineStr">
        <is>
          <t>甘肃省天水市张家川回族自治县</t>
        </is>
      </c>
    </row>
    <row r="13337">
      <c r="B13337" s="41" t="inlineStr">
        <is>
          <t>AreaCode</t>
        </is>
      </c>
      <c r="C13337" s="129" t="inlineStr">
        <is>
          <t>地区代码</t>
        </is>
      </c>
      <c r="D13337" s="21" t="n">
        <v>620600</v>
      </c>
      <c r="E13337" s="21" t="inlineStr">
        <is>
          <t>甘肃省武威市</t>
        </is>
      </c>
    </row>
    <row r="13338">
      <c r="B13338" s="41" t="inlineStr">
        <is>
          <t>AreaCode</t>
        </is>
      </c>
      <c r="C13338" s="129" t="inlineStr">
        <is>
          <t>地区代码</t>
        </is>
      </c>
      <c r="D13338" s="21" t="n">
        <v>620601</v>
      </c>
      <c r="E13338" s="21" t="inlineStr">
        <is>
          <t>甘肃省武威市市辖区</t>
        </is>
      </c>
    </row>
    <row r="13339">
      <c r="B13339" s="41" t="inlineStr">
        <is>
          <t>AreaCode</t>
        </is>
      </c>
      <c r="C13339" s="129" t="inlineStr">
        <is>
          <t>地区代码</t>
        </is>
      </c>
      <c r="D13339" s="21" t="n">
        <v>620602</v>
      </c>
      <c r="E13339" s="21" t="inlineStr">
        <is>
          <t>甘肃省武威市凉州区</t>
        </is>
      </c>
    </row>
    <row r="13340">
      <c r="B13340" s="41" t="inlineStr">
        <is>
          <t>AreaCode</t>
        </is>
      </c>
      <c r="C13340" s="129" t="inlineStr">
        <is>
          <t>地区代码</t>
        </is>
      </c>
      <c r="D13340" s="21" t="n">
        <v>620621</v>
      </c>
      <c r="E13340" s="21" t="inlineStr">
        <is>
          <t>甘肃省武威市民勤县</t>
        </is>
      </c>
    </row>
    <row r="13341">
      <c r="B13341" s="41" t="inlineStr">
        <is>
          <t>AreaCode</t>
        </is>
      </c>
      <c r="C13341" s="129" t="inlineStr">
        <is>
          <t>地区代码</t>
        </is>
      </c>
      <c r="D13341" s="21" t="n">
        <v>620622</v>
      </c>
      <c r="E13341" s="21" t="inlineStr">
        <is>
          <t>甘肃省武威市古浪县</t>
        </is>
      </c>
    </row>
    <row r="13342">
      <c r="B13342" s="41" t="inlineStr">
        <is>
          <t>AreaCode</t>
        </is>
      </c>
      <c r="C13342" s="129" t="inlineStr">
        <is>
          <t>地区代码</t>
        </is>
      </c>
      <c r="D13342" s="21" t="n">
        <v>620623</v>
      </c>
      <c r="E13342" s="21" t="inlineStr">
        <is>
          <t>甘肃省武威市天祝藏族自治县</t>
        </is>
      </c>
    </row>
    <row r="13343">
      <c r="B13343" s="41" t="inlineStr">
        <is>
          <t>AreaCode</t>
        </is>
      </c>
      <c r="C13343" s="129" t="inlineStr">
        <is>
          <t>地区代码</t>
        </is>
      </c>
      <c r="D13343" s="21" t="n">
        <v>620700</v>
      </c>
      <c r="E13343" s="21" t="inlineStr">
        <is>
          <t>甘肃省张掖市</t>
        </is>
      </c>
    </row>
    <row r="13344">
      <c r="B13344" s="41" t="inlineStr">
        <is>
          <t>AreaCode</t>
        </is>
      </c>
      <c r="C13344" s="129" t="inlineStr">
        <is>
          <t>地区代码</t>
        </is>
      </c>
      <c r="D13344" s="21" t="n">
        <v>620701</v>
      </c>
      <c r="E13344" s="21" t="inlineStr">
        <is>
          <t>甘肃省张掖市市辖区</t>
        </is>
      </c>
    </row>
    <row r="13345">
      <c r="B13345" s="41" t="inlineStr">
        <is>
          <t>AreaCode</t>
        </is>
      </c>
      <c r="C13345" s="129" t="inlineStr">
        <is>
          <t>地区代码</t>
        </is>
      </c>
      <c r="D13345" s="21" t="n">
        <v>620702</v>
      </c>
      <c r="E13345" s="21" t="inlineStr">
        <is>
          <t>甘肃省张掖市甘州区</t>
        </is>
      </c>
    </row>
    <row r="13346">
      <c r="B13346" s="41" t="inlineStr">
        <is>
          <t>AreaCode</t>
        </is>
      </c>
      <c r="C13346" s="129" t="inlineStr">
        <is>
          <t>地区代码</t>
        </is>
      </c>
      <c r="D13346" s="21" t="n">
        <v>620721</v>
      </c>
      <c r="E13346" s="21" t="inlineStr">
        <is>
          <t>甘肃省张掖市肃南裕固族自治县</t>
        </is>
      </c>
    </row>
    <row r="13347">
      <c r="B13347" s="41" t="inlineStr">
        <is>
          <t>AreaCode</t>
        </is>
      </c>
      <c r="C13347" s="129" t="inlineStr">
        <is>
          <t>地区代码</t>
        </is>
      </c>
      <c r="D13347" s="21" t="n">
        <v>620722</v>
      </c>
      <c r="E13347" s="21" t="inlineStr">
        <is>
          <t>甘肃省张掖市民乐县</t>
        </is>
      </c>
    </row>
    <row r="13348">
      <c r="B13348" s="41" t="inlineStr">
        <is>
          <t>AreaCode</t>
        </is>
      </c>
      <c r="C13348" s="129" t="inlineStr">
        <is>
          <t>地区代码</t>
        </is>
      </c>
      <c r="D13348" s="21" t="n">
        <v>620723</v>
      </c>
      <c r="E13348" s="21" t="inlineStr">
        <is>
          <t>甘肃省张掖市临泽县</t>
        </is>
      </c>
    </row>
    <row r="13349">
      <c r="B13349" s="41" t="inlineStr">
        <is>
          <t>AreaCode</t>
        </is>
      </c>
      <c r="C13349" s="129" t="inlineStr">
        <is>
          <t>地区代码</t>
        </is>
      </c>
      <c r="D13349" s="21" t="n">
        <v>620724</v>
      </c>
      <c r="E13349" s="21" t="inlineStr">
        <is>
          <t>甘肃省张掖市高台县</t>
        </is>
      </c>
    </row>
    <row r="13350">
      <c r="B13350" s="41" t="inlineStr">
        <is>
          <t>AreaCode</t>
        </is>
      </c>
      <c r="C13350" s="129" t="inlineStr">
        <is>
          <t>地区代码</t>
        </is>
      </c>
      <c r="D13350" s="21" t="n">
        <v>620725</v>
      </c>
      <c r="E13350" s="21" t="inlineStr">
        <is>
          <t>甘肃省张掖市山丹县</t>
        </is>
      </c>
    </row>
    <row r="13351">
      <c r="B13351" s="41" t="inlineStr">
        <is>
          <t>AreaCode</t>
        </is>
      </c>
      <c r="C13351" s="129" t="inlineStr">
        <is>
          <t>地区代码</t>
        </is>
      </c>
      <c r="D13351" s="21" t="n">
        <v>620800</v>
      </c>
      <c r="E13351" s="21" t="inlineStr">
        <is>
          <t>甘肃省平凉市</t>
        </is>
      </c>
    </row>
    <row r="13352">
      <c r="B13352" s="41" t="inlineStr">
        <is>
          <t>AreaCode</t>
        </is>
      </c>
      <c r="C13352" s="129" t="inlineStr">
        <is>
          <t>地区代码</t>
        </is>
      </c>
      <c r="D13352" s="21" t="n">
        <v>620801</v>
      </c>
      <c r="E13352" s="21" t="inlineStr">
        <is>
          <t>甘肃省平凉市市辖区</t>
        </is>
      </c>
    </row>
    <row r="13353">
      <c r="B13353" s="41" t="inlineStr">
        <is>
          <t>AreaCode</t>
        </is>
      </c>
      <c r="C13353" s="129" t="inlineStr">
        <is>
          <t>地区代码</t>
        </is>
      </c>
      <c r="D13353" s="21" t="n">
        <v>620802</v>
      </c>
      <c r="E13353" s="21" t="inlineStr">
        <is>
          <t>甘肃省平凉市崆峒区</t>
        </is>
      </c>
    </row>
    <row r="13354">
      <c r="B13354" s="41" t="inlineStr">
        <is>
          <t>AreaCode</t>
        </is>
      </c>
      <c r="C13354" s="129" t="inlineStr">
        <is>
          <t>地区代码</t>
        </is>
      </c>
      <c r="D13354" s="21" t="n">
        <v>620821</v>
      </c>
      <c r="E13354" s="21" t="inlineStr">
        <is>
          <t>甘肃省平凉市泾川县</t>
        </is>
      </c>
    </row>
    <row r="13355">
      <c r="B13355" s="41" t="inlineStr">
        <is>
          <t>AreaCode</t>
        </is>
      </c>
      <c r="C13355" s="129" t="inlineStr">
        <is>
          <t>地区代码</t>
        </is>
      </c>
      <c r="D13355" s="21" t="n">
        <v>620822</v>
      </c>
      <c r="E13355" s="21" t="inlineStr">
        <is>
          <t>甘肃省平凉市灵台县</t>
        </is>
      </c>
    </row>
    <row r="13356">
      <c r="B13356" s="41" t="inlineStr">
        <is>
          <t>AreaCode</t>
        </is>
      </c>
      <c r="C13356" s="129" t="inlineStr">
        <is>
          <t>地区代码</t>
        </is>
      </c>
      <c r="D13356" s="21" t="n">
        <v>620823</v>
      </c>
      <c r="E13356" s="21" t="inlineStr">
        <is>
          <t>甘肃省平凉市崇信县</t>
        </is>
      </c>
    </row>
    <row r="13357">
      <c r="B13357" s="41" t="inlineStr">
        <is>
          <t>AreaCode</t>
        </is>
      </c>
      <c r="C13357" s="129" t="inlineStr">
        <is>
          <t>地区代码</t>
        </is>
      </c>
      <c r="D13357" s="21" t="n">
        <v>620824</v>
      </c>
      <c r="E13357" s="21" t="inlineStr">
        <is>
          <t>甘肃省平凉市华亭县</t>
        </is>
      </c>
    </row>
    <row r="13358">
      <c r="B13358" s="41" t="inlineStr">
        <is>
          <t>AreaCode</t>
        </is>
      </c>
      <c r="C13358" s="129" t="inlineStr">
        <is>
          <t>地区代码</t>
        </is>
      </c>
      <c r="D13358" s="21" t="n">
        <v>620825</v>
      </c>
      <c r="E13358" s="21" t="inlineStr">
        <is>
          <t>甘肃省平凉市庄浪县</t>
        </is>
      </c>
    </row>
    <row r="13359">
      <c r="B13359" s="41" t="inlineStr">
        <is>
          <t>AreaCode</t>
        </is>
      </c>
      <c r="C13359" s="129" t="inlineStr">
        <is>
          <t>地区代码</t>
        </is>
      </c>
      <c r="D13359" s="21" t="n">
        <v>620826</v>
      </c>
      <c r="E13359" s="21" t="inlineStr">
        <is>
          <t>甘肃省平凉市静宁县</t>
        </is>
      </c>
    </row>
    <row r="13360">
      <c r="B13360" s="41" t="inlineStr">
        <is>
          <t>AreaCode</t>
        </is>
      </c>
      <c r="C13360" s="129" t="inlineStr">
        <is>
          <t>地区代码</t>
        </is>
      </c>
      <c r="D13360" s="21" t="n">
        <v>620900</v>
      </c>
      <c r="E13360" s="21" t="inlineStr">
        <is>
          <t>甘肃省酒泉市</t>
        </is>
      </c>
    </row>
    <row r="13361">
      <c r="B13361" s="41" t="inlineStr">
        <is>
          <t>AreaCode</t>
        </is>
      </c>
      <c r="C13361" s="129" t="inlineStr">
        <is>
          <t>地区代码</t>
        </is>
      </c>
      <c r="D13361" s="21" t="n">
        <v>620901</v>
      </c>
      <c r="E13361" s="21" t="inlineStr">
        <is>
          <t>甘肃省酒泉市市辖区</t>
        </is>
      </c>
    </row>
    <row r="13362">
      <c r="B13362" s="41" t="inlineStr">
        <is>
          <t>AreaCode</t>
        </is>
      </c>
      <c r="C13362" s="129" t="inlineStr">
        <is>
          <t>地区代码</t>
        </is>
      </c>
      <c r="D13362" s="21" t="n">
        <v>620902</v>
      </c>
      <c r="E13362" s="21" t="inlineStr">
        <is>
          <t>甘肃省酒泉市肃州区</t>
        </is>
      </c>
    </row>
    <row r="13363">
      <c r="B13363" s="41" t="inlineStr">
        <is>
          <t>AreaCode</t>
        </is>
      </c>
      <c r="C13363" s="129" t="inlineStr">
        <is>
          <t>地区代码</t>
        </is>
      </c>
      <c r="D13363" s="21" t="n">
        <v>620921</v>
      </c>
      <c r="E13363" s="21" t="inlineStr">
        <is>
          <t>甘肃省酒泉市金塔县</t>
        </is>
      </c>
    </row>
    <row r="13364">
      <c r="B13364" s="41" t="inlineStr">
        <is>
          <t>AreaCode</t>
        </is>
      </c>
      <c r="C13364" s="129" t="inlineStr">
        <is>
          <t>地区代码</t>
        </is>
      </c>
      <c r="D13364" s="21" t="n">
        <v>620922</v>
      </c>
      <c r="E13364" s="21" t="inlineStr">
        <is>
          <t>甘肃省酒泉市瓜州县</t>
        </is>
      </c>
    </row>
    <row r="13365">
      <c r="B13365" s="41" t="inlineStr">
        <is>
          <t>AreaCode</t>
        </is>
      </c>
      <c r="C13365" s="129" t="inlineStr">
        <is>
          <t>地区代码</t>
        </is>
      </c>
      <c r="D13365" s="21" t="n">
        <v>620923</v>
      </c>
      <c r="E13365" s="21" t="inlineStr">
        <is>
          <t>甘肃省酒泉市肃北蒙古族自治县</t>
        </is>
      </c>
    </row>
    <row r="13366">
      <c r="B13366" s="41" t="inlineStr">
        <is>
          <t>AreaCode</t>
        </is>
      </c>
      <c r="C13366" s="129" t="inlineStr">
        <is>
          <t>地区代码</t>
        </is>
      </c>
      <c r="D13366" s="21" t="n">
        <v>620924</v>
      </c>
      <c r="E13366" s="21" t="inlineStr">
        <is>
          <t>甘肃省酒泉市阿克塞哈萨克族自治县</t>
        </is>
      </c>
    </row>
    <row r="13367">
      <c r="B13367" s="41" t="inlineStr">
        <is>
          <t>AreaCode</t>
        </is>
      </c>
      <c r="C13367" s="129" t="inlineStr">
        <is>
          <t>地区代码</t>
        </is>
      </c>
      <c r="D13367" s="21" t="n">
        <v>620981</v>
      </c>
      <c r="E13367" s="21" t="inlineStr">
        <is>
          <t>甘肃省酒泉市玉门市</t>
        </is>
      </c>
    </row>
    <row r="13368">
      <c r="B13368" s="41" t="inlineStr">
        <is>
          <t>AreaCode</t>
        </is>
      </c>
      <c r="C13368" s="129" t="inlineStr">
        <is>
          <t>地区代码</t>
        </is>
      </c>
      <c r="D13368" s="21" t="n">
        <v>620982</v>
      </c>
      <c r="E13368" s="21" t="inlineStr">
        <is>
          <t>甘肃省酒泉市敦煌市</t>
        </is>
      </c>
    </row>
    <row r="13369">
      <c r="B13369" s="41" t="inlineStr">
        <is>
          <t>AreaCode</t>
        </is>
      </c>
      <c r="C13369" s="129" t="inlineStr">
        <is>
          <t>地区代码</t>
        </is>
      </c>
      <c r="D13369" s="21" t="n">
        <v>621000</v>
      </c>
      <c r="E13369" s="21" t="inlineStr">
        <is>
          <t>甘肃省庆阳市</t>
        </is>
      </c>
    </row>
    <row r="13370">
      <c r="B13370" s="41" t="inlineStr">
        <is>
          <t>AreaCode</t>
        </is>
      </c>
      <c r="C13370" s="129" t="inlineStr">
        <is>
          <t>地区代码</t>
        </is>
      </c>
      <c r="D13370" s="21" t="n">
        <v>621001</v>
      </c>
      <c r="E13370" s="21" t="inlineStr">
        <is>
          <t>甘肃省庆阳市市辖区</t>
        </is>
      </c>
    </row>
    <row r="13371">
      <c r="B13371" s="41" t="inlineStr">
        <is>
          <t>AreaCode</t>
        </is>
      </c>
      <c r="C13371" s="129" t="inlineStr">
        <is>
          <t>地区代码</t>
        </is>
      </c>
      <c r="D13371" s="21" t="n">
        <v>621002</v>
      </c>
      <c r="E13371" s="21" t="inlineStr">
        <is>
          <t>甘肃省庆阳市西峰区</t>
        </is>
      </c>
    </row>
    <row r="13372">
      <c r="B13372" s="41" t="inlineStr">
        <is>
          <t>AreaCode</t>
        </is>
      </c>
      <c r="C13372" s="129" t="inlineStr">
        <is>
          <t>地区代码</t>
        </is>
      </c>
      <c r="D13372" s="21" t="n">
        <v>621021</v>
      </c>
      <c r="E13372" s="21" t="inlineStr">
        <is>
          <t>甘肃省庆阳市庆城县</t>
        </is>
      </c>
    </row>
    <row r="13373">
      <c r="B13373" s="41" t="inlineStr">
        <is>
          <t>AreaCode</t>
        </is>
      </c>
      <c r="C13373" s="129" t="inlineStr">
        <is>
          <t>地区代码</t>
        </is>
      </c>
      <c r="D13373" s="21" t="n">
        <v>621022</v>
      </c>
      <c r="E13373" s="21" t="inlineStr">
        <is>
          <t>甘肃省庆阳市环县</t>
        </is>
      </c>
    </row>
    <row r="13374">
      <c r="B13374" s="41" t="inlineStr">
        <is>
          <t>AreaCode</t>
        </is>
      </c>
      <c r="C13374" s="129" t="inlineStr">
        <is>
          <t>地区代码</t>
        </is>
      </c>
      <c r="D13374" s="21" t="n">
        <v>621023</v>
      </c>
      <c r="E13374" s="21" t="inlineStr">
        <is>
          <t>甘肃省庆阳市华池县</t>
        </is>
      </c>
    </row>
    <row r="13375">
      <c r="B13375" s="41" t="inlineStr">
        <is>
          <t>AreaCode</t>
        </is>
      </c>
      <c r="C13375" s="129" t="inlineStr">
        <is>
          <t>地区代码</t>
        </is>
      </c>
      <c r="D13375" s="21" t="n">
        <v>621024</v>
      </c>
      <c r="E13375" s="21" t="inlineStr">
        <is>
          <t>甘肃省庆阳市合水县</t>
        </is>
      </c>
    </row>
    <row r="13376">
      <c r="B13376" s="41" t="inlineStr">
        <is>
          <t>AreaCode</t>
        </is>
      </c>
      <c r="C13376" s="129" t="inlineStr">
        <is>
          <t>地区代码</t>
        </is>
      </c>
      <c r="D13376" s="21" t="n">
        <v>621025</v>
      </c>
      <c r="E13376" s="21" t="inlineStr">
        <is>
          <t>甘肃省庆阳市正宁县</t>
        </is>
      </c>
    </row>
    <row r="13377">
      <c r="B13377" s="41" t="inlineStr">
        <is>
          <t>AreaCode</t>
        </is>
      </c>
      <c r="C13377" s="129" t="inlineStr">
        <is>
          <t>地区代码</t>
        </is>
      </c>
      <c r="D13377" s="21" t="n">
        <v>621026</v>
      </c>
      <c r="E13377" s="21" t="inlineStr">
        <is>
          <t>甘肃省庆阳市宁县</t>
        </is>
      </c>
    </row>
    <row r="13378">
      <c r="B13378" s="41" t="inlineStr">
        <is>
          <t>AreaCode</t>
        </is>
      </c>
      <c r="C13378" s="129" t="inlineStr">
        <is>
          <t>地区代码</t>
        </is>
      </c>
      <c r="D13378" s="21" t="n">
        <v>621027</v>
      </c>
      <c r="E13378" s="21" t="inlineStr">
        <is>
          <t>甘肃省庆阳市镇原县</t>
        </is>
      </c>
    </row>
    <row r="13379">
      <c r="B13379" s="41" t="inlineStr">
        <is>
          <t>AreaCode</t>
        </is>
      </c>
      <c r="C13379" s="129" t="inlineStr">
        <is>
          <t>地区代码</t>
        </is>
      </c>
      <c r="D13379" s="21" t="n">
        <v>621100</v>
      </c>
      <c r="E13379" s="21" t="inlineStr">
        <is>
          <t>甘肃省定西市</t>
        </is>
      </c>
    </row>
    <row r="13380">
      <c r="B13380" s="41" t="inlineStr">
        <is>
          <t>AreaCode</t>
        </is>
      </c>
      <c r="C13380" s="129" t="inlineStr">
        <is>
          <t>地区代码</t>
        </is>
      </c>
      <c r="D13380" s="21" t="n">
        <v>621101</v>
      </c>
      <c r="E13380" s="21" t="inlineStr">
        <is>
          <t>甘肃省定西市市辖区</t>
        </is>
      </c>
    </row>
    <row r="13381">
      <c r="B13381" s="41" t="inlineStr">
        <is>
          <t>AreaCode</t>
        </is>
      </c>
      <c r="C13381" s="129" t="inlineStr">
        <is>
          <t>地区代码</t>
        </is>
      </c>
      <c r="D13381" s="21" t="n">
        <v>621102</v>
      </c>
      <c r="E13381" s="21" t="inlineStr">
        <is>
          <t>甘肃省定西市安定区</t>
        </is>
      </c>
    </row>
    <row r="13382">
      <c r="B13382" s="41" t="inlineStr">
        <is>
          <t>AreaCode</t>
        </is>
      </c>
      <c r="C13382" s="129" t="inlineStr">
        <is>
          <t>地区代码</t>
        </is>
      </c>
      <c r="D13382" s="21" t="n">
        <v>621121</v>
      </c>
      <c r="E13382" s="21" t="inlineStr">
        <is>
          <t>甘肃省定西市通渭县</t>
        </is>
      </c>
    </row>
    <row r="13383">
      <c r="B13383" s="41" t="inlineStr">
        <is>
          <t>AreaCode</t>
        </is>
      </c>
      <c r="C13383" s="129" t="inlineStr">
        <is>
          <t>地区代码</t>
        </is>
      </c>
      <c r="D13383" s="21" t="n">
        <v>621122</v>
      </c>
      <c r="E13383" s="21" t="inlineStr">
        <is>
          <t>甘肃省定西市陇西县</t>
        </is>
      </c>
    </row>
    <row r="13384">
      <c r="B13384" s="41" t="inlineStr">
        <is>
          <t>AreaCode</t>
        </is>
      </c>
      <c r="C13384" s="129" t="inlineStr">
        <is>
          <t>地区代码</t>
        </is>
      </c>
      <c r="D13384" s="21" t="n">
        <v>621123</v>
      </c>
      <c r="E13384" s="21" t="inlineStr">
        <is>
          <t>甘肃省定西市渭源县</t>
        </is>
      </c>
    </row>
    <row r="13385">
      <c r="B13385" s="41" t="inlineStr">
        <is>
          <t>AreaCode</t>
        </is>
      </c>
      <c r="C13385" s="129" t="inlineStr">
        <is>
          <t>地区代码</t>
        </is>
      </c>
      <c r="D13385" s="21" t="n">
        <v>621124</v>
      </c>
      <c r="E13385" s="21" t="inlineStr">
        <is>
          <t>甘肃省定西市临洮县</t>
        </is>
      </c>
    </row>
    <row r="13386">
      <c r="B13386" s="41" t="inlineStr">
        <is>
          <t>AreaCode</t>
        </is>
      </c>
      <c r="C13386" s="129" t="inlineStr">
        <is>
          <t>地区代码</t>
        </is>
      </c>
      <c r="D13386" s="21" t="n">
        <v>621125</v>
      </c>
      <c r="E13386" s="21" t="inlineStr">
        <is>
          <t>甘肃省定西市漳县</t>
        </is>
      </c>
    </row>
    <row r="13387">
      <c r="B13387" s="41" t="inlineStr">
        <is>
          <t>AreaCode</t>
        </is>
      </c>
      <c r="C13387" s="129" t="inlineStr">
        <is>
          <t>地区代码</t>
        </is>
      </c>
      <c r="D13387" s="21" t="n">
        <v>621126</v>
      </c>
      <c r="E13387" s="21" t="inlineStr">
        <is>
          <t>甘肃省定西市岷县</t>
        </is>
      </c>
    </row>
    <row r="13388">
      <c r="B13388" s="41" t="inlineStr">
        <is>
          <t>AreaCode</t>
        </is>
      </c>
      <c r="C13388" s="129" t="inlineStr">
        <is>
          <t>地区代码</t>
        </is>
      </c>
      <c r="D13388" s="21" t="n">
        <v>621200</v>
      </c>
      <c r="E13388" s="21" t="inlineStr">
        <is>
          <t>甘肃省陇南市</t>
        </is>
      </c>
    </row>
    <row r="13389">
      <c r="B13389" s="41" t="inlineStr">
        <is>
          <t>AreaCode</t>
        </is>
      </c>
      <c r="C13389" s="129" t="inlineStr">
        <is>
          <t>地区代码</t>
        </is>
      </c>
      <c r="D13389" s="21" t="n">
        <v>621201</v>
      </c>
      <c r="E13389" s="21" t="inlineStr">
        <is>
          <t>甘肃省陇南市市辖区</t>
        </is>
      </c>
    </row>
    <row r="13390">
      <c r="B13390" s="41" t="inlineStr">
        <is>
          <t>AreaCode</t>
        </is>
      </c>
      <c r="C13390" s="129" t="inlineStr">
        <is>
          <t>地区代码</t>
        </is>
      </c>
      <c r="D13390" s="21" t="n">
        <v>621202</v>
      </c>
      <c r="E13390" s="21" t="inlineStr">
        <is>
          <t>甘肃省陇南市武都区</t>
        </is>
      </c>
    </row>
    <row r="13391">
      <c r="B13391" s="41" t="inlineStr">
        <is>
          <t>AreaCode</t>
        </is>
      </c>
      <c r="C13391" s="129" t="inlineStr">
        <is>
          <t>地区代码</t>
        </is>
      </c>
      <c r="D13391" s="21" t="n">
        <v>621221</v>
      </c>
      <c r="E13391" s="21" t="inlineStr">
        <is>
          <t>甘肃省陇南市成县</t>
        </is>
      </c>
    </row>
    <row r="13392">
      <c r="B13392" s="41" t="inlineStr">
        <is>
          <t>AreaCode</t>
        </is>
      </c>
      <c r="C13392" s="129" t="inlineStr">
        <is>
          <t>地区代码</t>
        </is>
      </c>
      <c r="D13392" s="21" t="n">
        <v>621222</v>
      </c>
      <c r="E13392" s="21" t="inlineStr">
        <is>
          <t>甘肃省陇南市文县</t>
        </is>
      </c>
    </row>
    <row r="13393">
      <c r="B13393" s="41" t="inlineStr">
        <is>
          <t>AreaCode</t>
        </is>
      </c>
      <c r="C13393" s="129" t="inlineStr">
        <is>
          <t>地区代码</t>
        </is>
      </c>
      <c r="D13393" s="21" t="n">
        <v>621223</v>
      </c>
      <c r="E13393" s="21" t="inlineStr">
        <is>
          <t>甘肃省陇南市宕昌县</t>
        </is>
      </c>
    </row>
    <row r="13394">
      <c r="B13394" s="41" t="inlineStr">
        <is>
          <t>AreaCode</t>
        </is>
      </c>
      <c r="C13394" s="129" t="inlineStr">
        <is>
          <t>地区代码</t>
        </is>
      </c>
      <c r="D13394" s="21" t="n">
        <v>621224</v>
      </c>
      <c r="E13394" s="21" t="inlineStr">
        <is>
          <t>甘肃省陇南市康县</t>
        </is>
      </c>
    </row>
    <row r="13395">
      <c r="B13395" s="41" t="inlineStr">
        <is>
          <t>AreaCode</t>
        </is>
      </c>
      <c r="C13395" s="129" t="inlineStr">
        <is>
          <t>地区代码</t>
        </is>
      </c>
      <c r="D13395" s="21" t="n">
        <v>621225</v>
      </c>
      <c r="E13395" s="21" t="inlineStr">
        <is>
          <t>甘肃省陇南市西和县</t>
        </is>
      </c>
    </row>
    <row r="13396">
      <c r="B13396" s="41" t="inlineStr">
        <is>
          <t>AreaCode</t>
        </is>
      </c>
      <c r="C13396" s="129" t="inlineStr">
        <is>
          <t>地区代码</t>
        </is>
      </c>
      <c r="D13396" s="21" t="n">
        <v>621226</v>
      </c>
      <c r="E13396" s="21" t="inlineStr">
        <is>
          <t>甘肃省陇南市礼县</t>
        </is>
      </c>
    </row>
    <row r="13397">
      <c r="B13397" s="41" t="inlineStr">
        <is>
          <t>AreaCode</t>
        </is>
      </c>
      <c r="C13397" s="129" t="inlineStr">
        <is>
          <t>地区代码</t>
        </is>
      </c>
      <c r="D13397" s="21" t="n">
        <v>621227</v>
      </c>
      <c r="E13397" s="21" t="inlineStr">
        <is>
          <t>甘肃省陇南市徽县</t>
        </is>
      </c>
    </row>
    <row r="13398">
      <c r="B13398" s="41" t="inlineStr">
        <is>
          <t>AreaCode</t>
        </is>
      </c>
      <c r="C13398" s="129" t="inlineStr">
        <is>
          <t>地区代码</t>
        </is>
      </c>
      <c r="D13398" s="21" t="n">
        <v>621228</v>
      </c>
      <c r="E13398" s="21" t="inlineStr">
        <is>
          <t>甘肃省陇南市两当县</t>
        </is>
      </c>
    </row>
    <row r="13399">
      <c r="B13399" s="41" t="inlineStr">
        <is>
          <t>AreaCode</t>
        </is>
      </c>
      <c r="C13399" s="129" t="inlineStr">
        <is>
          <t>地区代码</t>
        </is>
      </c>
      <c r="D13399" s="21" t="n">
        <v>622900</v>
      </c>
      <c r="E13399" s="21" t="inlineStr">
        <is>
          <t>甘肃省临夏回族自治州</t>
        </is>
      </c>
    </row>
    <row r="13400">
      <c r="B13400" s="41" t="inlineStr">
        <is>
          <t>AreaCode</t>
        </is>
      </c>
      <c r="C13400" s="129" t="inlineStr">
        <is>
          <t>地区代码</t>
        </is>
      </c>
      <c r="D13400" s="21" t="n">
        <v>622901</v>
      </c>
      <c r="E13400" s="21" t="inlineStr">
        <is>
          <t>甘肃省临夏回族自治州临夏市</t>
        </is>
      </c>
    </row>
    <row r="13401">
      <c r="B13401" s="41" t="inlineStr">
        <is>
          <t>AreaCode</t>
        </is>
      </c>
      <c r="C13401" s="129" t="inlineStr">
        <is>
          <t>地区代码</t>
        </is>
      </c>
      <c r="D13401" s="21" t="n">
        <v>622921</v>
      </c>
      <c r="E13401" s="21" t="inlineStr">
        <is>
          <t>甘肃省临夏回族自治州临夏县</t>
        </is>
      </c>
    </row>
    <row r="13402">
      <c r="B13402" s="41" t="inlineStr">
        <is>
          <t>AreaCode</t>
        </is>
      </c>
      <c r="C13402" s="129" t="inlineStr">
        <is>
          <t>地区代码</t>
        </is>
      </c>
      <c r="D13402" s="21" t="n">
        <v>622922</v>
      </c>
      <c r="E13402" s="21" t="inlineStr">
        <is>
          <t>甘肃省临夏回族自治州康乐县</t>
        </is>
      </c>
    </row>
    <row r="13403">
      <c r="B13403" s="41" t="inlineStr">
        <is>
          <t>AreaCode</t>
        </is>
      </c>
      <c r="C13403" s="129" t="inlineStr">
        <is>
          <t>地区代码</t>
        </is>
      </c>
      <c r="D13403" s="21" t="n">
        <v>622923</v>
      </c>
      <c r="E13403" s="21" t="inlineStr">
        <is>
          <t>甘肃省临夏回族自治州永靖县</t>
        </is>
      </c>
    </row>
    <row r="13404">
      <c r="B13404" s="41" t="inlineStr">
        <is>
          <t>AreaCode</t>
        </is>
      </c>
      <c r="C13404" s="129" t="inlineStr">
        <is>
          <t>地区代码</t>
        </is>
      </c>
      <c r="D13404" s="21" t="n">
        <v>622924</v>
      </c>
      <c r="E13404" s="21" t="inlineStr">
        <is>
          <t>甘肃省临夏回族自治州广河县</t>
        </is>
      </c>
    </row>
    <row r="13405">
      <c r="B13405" s="41" t="inlineStr">
        <is>
          <t>AreaCode</t>
        </is>
      </c>
      <c r="C13405" s="129" t="inlineStr">
        <is>
          <t>地区代码</t>
        </is>
      </c>
      <c r="D13405" s="21" t="n">
        <v>622925</v>
      </c>
      <c r="E13405" s="21" t="inlineStr">
        <is>
          <t>甘肃省临夏回族自治州和政县</t>
        </is>
      </c>
    </row>
    <row r="13406">
      <c r="B13406" s="41" t="inlineStr">
        <is>
          <t>AreaCode</t>
        </is>
      </c>
      <c r="C13406" s="129" t="inlineStr">
        <is>
          <t>地区代码</t>
        </is>
      </c>
      <c r="D13406" s="21" t="n">
        <v>622926</v>
      </c>
      <c r="E13406" s="21" t="inlineStr">
        <is>
          <t>甘肃省临夏回族自治州东乡族自治县</t>
        </is>
      </c>
    </row>
    <row r="13407">
      <c r="B13407" s="41" t="inlineStr">
        <is>
          <t>AreaCode</t>
        </is>
      </c>
      <c r="C13407" s="129" t="inlineStr">
        <is>
          <t>地区代码</t>
        </is>
      </c>
      <c r="D13407" s="21" t="n">
        <v>622927</v>
      </c>
      <c r="E13407" s="21" t="inlineStr">
        <is>
          <t>甘肃省临夏回族自治州积石山保安族东乡族撒拉族自治县</t>
        </is>
      </c>
    </row>
    <row r="13408">
      <c r="B13408" s="41" t="inlineStr">
        <is>
          <t>AreaCode</t>
        </is>
      </c>
      <c r="C13408" s="129" t="inlineStr">
        <is>
          <t>地区代码</t>
        </is>
      </c>
      <c r="D13408" s="21" t="n">
        <v>623000</v>
      </c>
      <c r="E13408" s="21" t="inlineStr">
        <is>
          <t>甘肃省甘南藏族自治州</t>
        </is>
      </c>
    </row>
    <row r="13409">
      <c r="B13409" s="41" t="inlineStr">
        <is>
          <t>AreaCode</t>
        </is>
      </c>
      <c r="C13409" s="129" t="inlineStr">
        <is>
          <t>地区代码</t>
        </is>
      </c>
      <c r="D13409" s="21" t="n">
        <v>623001</v>
      </c>
      <c r="E13409" s="21" t="inlineStr">
        <is>
          <t>甘肃省甘南藏族自治州合作市</t>
        </is>
      </c>
    </row>
    <row r="13410">
      <c r="B13410" s="41" t="inlineStr">
        <is>
          <t>AreaCode</t>
        </is>
      </c>
      <c r="C13410" s="129" t="inlineStr">
        <is>
          <t>地区代码</t>
        </is>
      </c>
      <c r="D13410" s="21" t="n">
        <v>623021</v>
      </c>
      <c r="E13410" s="21" t="inlineStr">
        <is>
          <t>甘肃省甘南藏族自治州临潭县</t>
        </is>
      </c>
    </row>
    <row r="13411">
      <c r="B13411" s="41" t="inlineStr">
        <is>
          <t>AreaCode</t>
        </is>
      </c>
      <c r="C13411" s="129" t="inlineStr">
        <is>
          <t>地区代码</t>
        </is>
      </c>
      <c r="D13411" s="21" t="n">
        <v>623022</v>
      </c>
      <c r="E13411" s="21" t="inlineStr">
        <is>
          <t>甘肃省甘南藏族自治州卓尼县</t>
        </is>
      </c>
    </row>
    <row r="13412">
      <c r="B13412" s="41" t="inlineStr">
        <is>
          <t>AreaCode</t>
        </is>
      </c>
      <c r="C13412" s="129" t="inlineStr">
        <is>
          <t>地区代码</t>
        </is>
      </c>
      <c r="D13412" s="21" t="n">
        <v>623023</v>
      </c>
      <c r="E13412" s="21" t="inlineStr">
        <is>
          <t>甘肃省甘南藏族自治州舟曲县</t>
        </is>
      </c>
    </row>
    <row r="13413">
      <c r="B13413" s="41" t="inlineStr">
        <is>
          <t>AreaCode</t>
        </is>
      </c>
      <c r="C13413" s="129" t="inlineStr">
        <is>
          <t>地区代码</t>
        </is>
      </c>
      <c r="D13413" s="21" t="n">
        <v>623024</v>
      </c>
      <c r="E13413" s="21" t="inlineStr">
        <is>
          <t>甘肃省甘南藏族自治州迭部县</t>
        </is>
      </c>
    </row>
    <row r="13414">
      <c r="B13414" s="41" t="inlineStr">
        <is>
          <t>AreaCode</t>
        </is>
      </c>
      <c r="C13414" s="129" t="inlineStr">
        <is>
          <t>地区代码</t>
        </is>
      </c>
      <c r="D13414" s="21" t="n">
        <v>623025</v>
      </c>
      <c r="E13414" s="21" t="inlineStr">
        <is>
          <t>甘肃省甘南藏族自治州玛曲县</t>
        </is>
      </c>
    </row>
    <row r="13415">
      <c r="B13415" s="41" t="inlineStr">
        <is>
          <t>AreaCode</t>
        </is>
      </c>
      <c r="C13415" s="129" t="inlineStr">
        <is>
          <t>地区代码</t>
        </is>
      </c>
      <c r="D13415" s="21" t="n">
        <v>623026</v>
      </c>
      <c r="E13415" s="21" t="inlineStr">
        <is>
          <t>甘肃省甘南藏族自治州碌曲县</t>
        </is>
      </c>
    </row>
    <row r="13416">
      <c r="B13416" s="41" t="inlineStr">
        <is>
          <t>AreaCode</t>
        </is>
      </c>
      <c r="C13416" s="129" t="inlineStr">
        <is>
          <t>地区代码</t>
        </is>
      </c>
      <c r="D13416" s="21" t="n">
        <v>623027</v>
      </c>
      <c r="E13416" s="21" t="inlineStr">
        <is>
          <t>甘肃省甘南藏族自治州夏河县</t>
        </is>
      </c>
    </row>
    <row r="13417">
      <c r="B13417" s="41" t="inlineStr">
        <is>
          <t>AreaCode</t>
        </is>
      </c>
      <c r="C13417" s="129" t="inlineStr">
        <is>
          <t>地区代码</t>
        </is>
      </c>
      <c r="D13417" s="21" t="n">
        <v>630000</v>
      </c>
      <c r="E13417" s="21" t="inlineStr">
        <is>
          <t>青海省</t>
        </is>
      </c>
    </row>
    <row r="13418">
      <c r="B13418" s="41" t="inlineStr">
        <is>
          <t>AreaCode</t>
        </is>
      </c>
      <c r="C13418" s="129" t="inlineStr">
        <is>
          <t>地区代码</t>
        </is>
      </c>
      <c r="D13418" s="21" t="n">
        <v>630100</v>
      </c>
      <c r="E13418" s="21" t="inlineStr">
        <is>
          <t>青海省西宁市</t>
        </is>
      </c>
    </row>
    <row r="13419">
      <c r="B13419" s="41" t="inlineStr">
        <is>
          <t>AreaCode</t>
        </is>
      </c>
      <c r="C13419" s="129" t="inlineStr">
        <is>
          <t>地区代码</t>
        </is>
      </c>
      <c r="D13419" s="21" t="n">
        <v>630101</v>
      </c>
      <c r="E13419" s="21" t="inlineStr">
        <is>
          <t>青海省西宁市市辖区</t>
        </is>
      </c>
    </row>
    <row r="13420">
      <c r="B13420" s="41" t="inlineStr">
        <is>
          <t>AreaCode</t>
        </is>
      </c>
      <c r="C13420" s="129" t="inlineStr">
        <is>
          <t>地区代码</t>
        </is>
      </c>
      <c r="D13420" s="21" t="n">
        <v>630102</v>
      </c>
      <c r="E13420" s="21" t="inlineStr">
        <is>
          <t>青海省西宁市城东区</t>
        </is>
      </c>
    </row>
    <row r="13421">
      <c r="B13421" s="41" t="inlineStr">
        <is>
          <t>AreaCode</t>
        </is>
      </c>
      <c r="C13421" s="129" t="inlineStr">
        <is>
          <t>地区代码</t>
        </is>
      </c>
      <c r="D13421" s="21" t="n">
        <v>630103</v>
      </c>
      <c r="E13421" s="21" t="inlineStr">
        <is>
          <t>青海省西宁市城中区</t>
        </is>
      </c>
    </row>
    <row r="13422">
      <c r="B13422" s="41" t="inlineStr">
        <is>
          <t>AreaCode</t>
        </is>
      </c>
      <c r="C13422" s="129" t="inlineStr">
        <is>
          <t>地区代码</t>
        </is>
      </c>
      <c r="D13422" s="21" t="n">
        <v>630104</v>
      </c>
      <c r="E13422" s="21" t="inlineStr">
        <is>
          <t>青海省西宁市城西区</t>
        </is>
      </c>
    </row>
    <row r="13423">
      <c r="B13423" s="41" t="inlineStr">
        <is>
          <t>AreaCode</t>
        </is>
      </c>
      <c r="C13423" s="129" t="inlineStr">
        <is>
          <t>地区代码</t>
        </is>
      </c>
      <c r="D13423" s="21" t="n">
        <v>630105</v>
      </c>
      <c r="E13423" s="21" t="inlineStr">
        <is>
          <t>青海省西宁市城北区</t>
        </is>
      </c>
    </row>
    <row r="13424">
      <c r="B13424" s="41" t="inlineStr">
        <is>
          <t>AreaCode</t>
        </is>
      </c>
      <c r="C13424" s="129" t="inlineStr">
        <is>
          <t>地区代码</t>
        </is>
      </c>
      <c r="D13424" s="21" t="n">
        <v>630121</v>
      </c>
      <c r="E13424" s="21" t="inlineStr">
        <is>
          <t>青海省西宁市大通回族土族自治县</t>
        </is>
      </c>
    </row>
    <row r="13425">
      <c r="B13425" s="41" t="inlineStr">
        <is>
          <t>AreaCode</t>
        </is>
      </c>
      <c r="C13425" s="129" t="inlineStr">
        <is>
          <t>地区代码</t>
        </is>
      </c>
      <c r="D13425" s="21" t="n">
        <v>630122</v>
      </c>
      <c r="E13425" s="21" t="inlineStr">
        <is>
          <t>青海省西宁市湟中县</t>
        </is>
      </c>
    </row>
    <row r="13426">
      <c r="B13426" s="41" t="inlineStr">
        <is>
          <t>AreaCode</t>
        </is>
      </c>
      <c r="C13426" s="129" t="inlineStr">
        <is>
          <t>地区代码</t>
        </is>
      </c>
      <c r="D13426" s="21" t="n">
        <v>630123</v>
      </c>
      <c r="E13426" s="21" t="inlineStr">
        <is>
          <t>青海省西宁市湟源县</t>
        </is>
      </c>
    </row>
    <row r="13427">
      <c r="B13427" s="41" t="inlineStr">
        <is>
          <t>AreaCode</t>
        </is>
      </c>
      <c r="C13427" s="129" t="inlineStr">
        <is>
          <t>地区代码</t>
        </is>
      </c>
      <c r="D13427" s="21" t="n">
        <v>630200</v>
      </c>
      <c r="E13427" s="21" t="inlineStr">
        <is>
          <t>青海省海东市</t>
        </is>
      </c>
    </row>
    <row r="13428">
      <c r="B13428" s="41" t="inlineStr">
        <is>
          <t>AreaCode</t>
        </is>
      </c>
      <c r="C13428" s="129" t="inlineStr">
        <is>
          <t>地区代码</t>
        </is>
      </c>
      <c r="D13428" s="21" t="n">
        <v>630202</v>
      </c>
      <c r="E13428" s="21" t="inlineStr">
        <is>
          <t>青海省海东市乐都区</t>
        </is>
      </c>
    </row>
    <row r="13429">
      <c r="B13429" s="41" t="inlineStr">
        <is>
          <t>AreaCode</t>
        </is>
      </c>
      <c r="C13429" s="129" t="inlineStr">
        <is>
          <t>地区代码</t>
        </is>
      </c>
      <c r="D13429" s="21" t="n">
        <v>630221</v>
      </c>
      <c r="E13429" s="21" t="inlineStr">
        <is>
          <t>青海省海东市平安县</t>
        </is>
      </c>
    </row>
    <row r="13430">
      <c r="B13430" s="41" t="inlineStr">
        <is>
          <t>AreaCode</t>
        </is>
      </c>
      <c r="C13430" s="129" t="inlineStr">
        <is>
          <t>地区代码</t>
        </is>
      </c>
      <c r="D13430" s="21" t="n">
        <v>630222</v>
      </c>
      <c r="E13430" s="21" t="inlineStr">
        <is>
          <t>青海省海东市民和回族土族自治县</t>
        </is>
      </c>
    </row>
    <row r="13431">
      <c r="B13431" s="41" t="inlineStr">
        <is>
          <t>AreaCode</t>
        </is>
      </c>
      <c r="C13431" s="129" t="inlineStr">
        <is>
          <t>地区代码</t>
        </is>
      </c>
      <c r="D13431" s="21" t="n">
        <v>630223</v>
      </c>
      <c r="E13431" s="21" t="inlineStr">
        <is>
          <t>青海省海东市互助土族自治县</t>
        </is>
      </c>
    </row>
    <row r="13432">
      <c r="B13432" s="41" t="inlineStr">
        <is>
          <t>AreaCode</t>
        </is>
      </c>
      <c r="C13432" s="129" t="inlineStr">
        <is>
          <t>地区代码</t>
        </is>
      </c>
      <c r="D13432" s="21" t="n">
        <v>630224</v>
      </c>
      <c r="E13432" s="21" t="inlineStr">
        <is>
          <t>青海省海东市化隆回族自治县</t>
        </is>
      </c>
    </row>
    <row r="13433">
      <c r="B13433" s="41" t="inlineStr">
        <is>
          <t>AreaCode</t>
        </is>
      </c>
      <c r="C13433" s="129" t="inlineStr">
        <is>
          <t>地区代码</t>
        </is>
      </c>
      <c r="D13433" s="21" t="n">
        <v>630225</v>
      </c>
      <c r="E13433" s="21" t="inlineStr">
        <is>
          <t>青海省海东市循化撒拉族自治县</t>
        </is>
      </c>
    </row>
    <row r="13434">
      <c r="B13434" s="41" t="inlineStr">
        <is>
          <t>AreaCode</t>
        </is>
      </c>
      <c r="C13434" s="129" t="inlineStr">
        <is>
          <t>地区代码</t>
        </is>
      </c>
      <c r="D13434" s="21" t="n">
        <v>632200</v>
      </c>
      <c r="E13434" s="21" t="inlineStr">
        <is>
          <t>青海省海北藏族自治州</t>
        </is>
      </c>
    </row>
    <row r="13435">
      <c r="B13435" s="41" t="inlineStr">
        <is>
          <t>AreaCode</t>
        </is>
      </c>
      <c r="C13435" s="129" t="inlineStr">
        <is>
          <t>地区代码</t>
        </is>
      </c>
      <c r="D13435" s="21" t="n">
        <v>632221</v>
      </c>
      <c r="E13435" s="21" t="inlineStr">
        <is>
          <t>青海省海北藏族自治州门源回族自治县</t>
        </is>
      </c>
    </row>
    <row r="13436">
      <c r="B13436" s="41" t="inlineStr">
        <is>
          <t>AreaCode</t>
        </is>
      </c>
      <c r="C13436" s="129" t="inlineStr">
        <is>
          <t>地区代码</t>
        </is>
      </c>
      <c r="D13436" s="21" t="n">
        <v>632222</v>
      </c>
      <c r="E13436" s="21" t="inlineStr">
        <is>
          <t>青海省海北藏族自治州祁连县</t>
        </is>
      </c>
    </row>
    <row r="13437">
      <c r="B13437" s="41" t="inlineStr">
        <is>
          <t>AreaCode</t>
        </is>
      </c>
      <c r="C13437" s="129" t="inlineStr">
        <is>
          <t>地区代码</t>
        </is>
      </c>
      <c r="D13437" s="21" t="n">
        <v>632223</v>
      </c>
      <c r="E13437" s="21" t="inlineStr">
        <is>
          <t>青海省海北藏族自治州海晏县</t>
        </is>
      </c>
    </row>
    <row r="13438">
      <c r="B13438" s="41" t="inlineStr">
        <is>
          <t>AreaCode</t>
        </is>
      </c>
      <c r="C13438" s="129" t="inlineStr">
        <is>
          <t>地区代码</t>
        </is>
      </c>
      <c r="D13438" s="21" t="n">
        <v>632224</v>
      </c>
      <c r="E13438" s="21" t="inlineStr">
        <is>
          <t>青海省海北藏族自治州刚察县</t>
        </is>
      </c>
    </row>
    <row r="13439">
      <c r="B13439" s="41" t="inlineStr">
        <is>
          <t>AreaCode</t>
        </is>
      </c>
      <c r="C13439" s="129" t="inlineStr">
        <is>
          <t>地区代码</t>
        </is>
      </c>
      <c r="D13439" s="21" t="n">
        <v>632300</v>
      </c>
      <c r="E13439" s="21" t="inlineStr">
        <is>
          <t>青海省黄南藏族自治州</t>
        </is>
      </c>
    </row>
    <row r="13440">
      <c r="B13440" s="41" t="inlineStr">
        <is>
          <t>AreaCode</t>
        </is>
      </c>
      <c r="C13440" s="129" t="inlineStr">
        <is>
          <t>地区代码</t>
        </is>
      </c>
      <c r="D13440" s="21" t="n">
        <v>632321</v>
      </c>
      <c r="E13440" s="21" t="inlineStr">
        <is>
          <t>青海省黄南藏族自治州同仁县</t>
        </is>
      </c>
    </row>
    <row r="13441">
      <c r="B13441" s="41" t="inlineStr">
        <is>
          <t>AreaCode</t>
        </is>
      </c>
      <c r="C13441" s="129" t="inlineStr">
        <is>
          <t>地区代码</t>
        </is>
      </c>
      <c r="D13441" s="21" t="n">
        <v>632322</v>
      </c>
      <c r="E13441" s="21" t="inlineStr">
        <is>
          <t>青海省黄南藏族自治州尖扎县</t>
        </is>
      </c>
    </row>
    <row r="13442">
      <c r="B13442" s="41" t="inlineStr">
        <is>
          <t>AreaCode</t>
        </is>
      </c>
      <c r="C13442" s="129" t="inlineStr">
        <is>
          <t>地区代码</t>
        </is>
      </c>
      <c r="D13442" s="21" t="n">
        <v>632323</v>
      </c>
      <c r="E13442" s="21" t="inlineStr">
        <is>
          <t>青海省黄南藏族自治州泽库县</t>
        </is>
      </c>
    </row>
    <row r="13443">
      <c r="B13443" s="41" t="inlineStr">
        <is>
          <t>AreaCode</t>
        </is>
      </c>
      <c r="C13443" s="129" t="inlineStr">
        <is>
          <t>地区代码</t>
        </is>
      </c>
      <c r="D13443" s="21" t="n">
        <v>632324</v>
      </c>
      <c r="E13443" s="21" t="inlineStr">
        <is>
          <t>青海省黄南藏族自治州河南蒙古族自治县</t>
        </is>
      </c>
    </row>
    <row r="13444">
      <c r="B13444" s="41" t="inlineStr">
        <is>
          <t>AreaCode</t>
        </is>
      </c>
      <c r="C13444" s="129" t="inlineStr">
        <is>
          <t>地区代码</t>
        </is>
      </c>
      <c r="D13444" s="21" t="n">
        <v>632500</v>
      </c>
      <c r="E13444" s="21" t="inlineStr">
        <is>
          <t>青海省海南藏族自治州</t>
        </is>
      </c>
    </row>
    <row r="13445">
      <c r="B13445" s="41" t="inlineStr">
        <is>
          <t>AreaCode</t>
        </is>
      </c>
      <c r="C13445" s="129" t="inlineStr">
        <is>
          <t>地区代码</t>
        </is>
      </c>
      <c r="D13445" s="21" t="n">
        <v>632521</v>
      </c>
      <c r="E13445" s="21" t="inlineStr">
        <is>
          <t>青海省海南藏族自治州共和县</t>
        </is>
      </c>
    </row>
    <row r="13446">
      <c r="B13446" s="41" t="inlineStr">
        <is>
          <t>AreaCode</t>
        </is>
      </c>
      <c r="C13446" s="129" t="inlineStr">
        <is>
          <t>地区代码</t>
        </is>
      </c>
      <c r="D13446" s="21" t="n">
        <v>632522</v>
      </c>
      <c r="E13446" s="21" t="inlineStr">
        <is>
          <t>青海省海南藏族自治州同德县</t>
        </is>
      </c>
    </row>
    <row r="13447">
      <c r="B13447" s="41" t="inlineStr">
        <is>
          <t>AreaCode</t>
        </is>
      </c>
      <c r="C13447" s="129" t="inlineStr">
        <is>
          <t>地区代码</t>
        </is>
      </c>
      <c r="D13447" s="21" t="n">
        <v>632523</v>
      </c>
      <c r="E13447" s="21" t="inlineStr">
        <is>
          <t>青海省海南藏族自治州贵德县</t>
        </is>
      </c>
    </row>
    <row r="13448">
      <c r="B13448" s="41" t="inlineStr">
        <is>
          <t>AreaCode</t>
        </is>
      </c>
      <c r="C13448" s="129" t="inlineStr">
        <is>
          <t>地区代码</t>
        </is>
      </c>
      <c r="D13448" s="21" t="n">
        <v>632524</v>
      </c>
      <c r="E13448" s="21" t="inlineStr">
        <is>
          <t>青海省海南藏族自治州兴海县</t>
        </is>
      </c>
    </row>
    <row r="13449">
      <c r="B13449" s="41" t="inlineStr">
        <is>
          <t>AreaCode</t>
        </is>
      </c>
      <c r="C13449" s="129" t="inlineStr">
        <is>
          <t>地区代码</t>
        </is>
      </c>
      <c r="D13449" s="21" t="n">
        <v>632525</v>
      </c>
      <c r="E13449" s="21" t="inlineStr">
        <is>
          <t>青海省海南藏族自治州贵南县</t>
        </is>
      </c>
    </row>
    <row r="13450">
      <c r="B13450" s="41" t="inlineStr">
        <is>
          <t>AreaCode</t>
        </is>
      </c>
      <c r="C13450" s="129" t="inlineStr">
        <is>
          <t>地区代码</t>
        </is>
      </c>
      <c r="D13450" s="21" t="n">
        <v>632600</v>
      </c>
      <c r="E13450" s="21" t="inlineStr">
        <is>
          <t>青海省果洛藏族自治州</t>
        </is>
      </c>
    </row>
    <row r="13451">
      <c r="B13451" s="41" t="inlineStr">
        <is>
          <t>AreaCode</t>
        </is>
      </c>
      <c r="C13451" s="129" t="inlineStr">
        <is>
          <t>地区代码</t>
        </is>
      </c>
      <c r="D13451" s="21" t="n">
        <v>632621</v>
      </c>
      <c r="E13451" s="21" t="inlineStr">
        <is>
          <t>青海省果洛藏族自治州玛沁县</t>
        </is>
      </c>
    </row>
    <row r="13452">
      <c r="B13452" s="41" t="inlineStr">
        <is>
          <t>AreaCode</t>
        </is>
      </c>
      <c r="C13452" s="129" t="inlineStr">
        <is>
          <t>地区代码</t>
        </is>
      </c>
      <c r="D13452" s="21" t="n">
        <v>632622</v>
      </c>
      <c r="E13452" s="21" t="inlineStr">
        <is>
          <t>青海省果洛藏族自治州班玛县</t>
        </is>
      </c>
    </row>
    <row r="13453">
      <c r="B13453" s="41" t="inlineStr">
        <is>
          <t>AreaCode</t>
        </is>
      </c>
      <c r="C13453" s="129" t="inlineStr">
        <is>
          <t>地区代码</t>
        </is>
      </c>
      <c r="D13453" s="21" t="n">
        <v>632623</v>
      </c>
      <c r="E13453" s="21" t="inlineStr">
        <is>
          <t>青海省果洛藏族自治州甘德县</t>
        </is>
      </c>
    </row>
    <row r="13454">
      <c r="B13454" s="41" t="inlineStr">
        <is>
          <t>AreaCode</t>
        </is>
      </c>
      <c r="C13454" s="129" t="inlineStr">
        <is>
          <t>地区代码</t>
        </is>
      </c>
      <c r="D13454" s="21" t="n">
        <v>632624</v>
      </c>
      <c r="E13454" s="21" t="inlineStr">
        <is>
          <t>青海省果洛藏族自治州达日县</t>
        </is>
      </c>
    </row>
    <row r="13455">
      <c r="B13455" s="41" t="inlineStr">
        <is>
          <t>AreaCode</t>
        </is>
      </c>
      <c r="C13455" s="129" t="inlineStr">
        <is>
          <t>地区代码</t>
        </is>
      </c>
      <c r="D13455" s="21" t="n">
        <v>632625</v>
      </c>
      <c r="E13455" s="21" t="inlineStr">
        <is>
          <t>青海省果洛藏族自治州久治县</t>
        </is>
      </c>
    </row>
    <row r="13456">
      <c r="B13456" s="41" t="inlineStr">
        <is>
          <t>AreaCode</t>
        </is>
      </c>
      <c r="C13456" s="129" t="inlineStr">
        <is>
          <t>地区代码</t>
        </is>
      </c>
      <c r="D13456" s="21" t="n">
        <v>632626</v>
      </c>
      <c r="E13456" s="21" t="inlineStr">
        <is>
          <t>青海省果洛藏族自治州玛多县</t>
        </is>
      </c>
    </row>
    <row r="13457">
      <c r="B13457" s="41" t="inlineStr">
        <is>
          <t>AreaCode</t>
        </is>
      </c>
      <c r="C13457" s="129" t="inlineStr">
        <is>
          <t>地区代码</t>
        </is>
      </c>
      <c r="D13457" s="21" t="n">
        <v>632700</v>
      </c>
      <c r="E13457" s="21" t="inlineStr">
        <is>
          <t>青海省玉树藏族自治州</t>
        </is>
      </c>
    </row>
    <row r="13458">
      <c r="B13458" s="41" t="inlineStr">
        <is>
          <t>AreaCode</t>
        </is>
      </c>
      <c r="C13458" s="129" t="inlineStr">
        <is>
          <t>地区代码</t>
        </is>
      </c>
      <c r="D13458" s="21" t="n">
        <v>632701</v>
      </c>
      <c r="E13458" s="21" t="inlineStr">
        <is>
          <t>青海省玉树藏族自治州玉树市</t>
        </is>
      </c>
    </row>
    <row r="13459">
      <c r="B13459" s="41" t="inlineStr">
        <is>
          <t>AreaCode</t>
        </is>
      </c>
      <c r="C13459" s="129" t="inlineStr">
        <is>
          <t>地区代码</t>
        </is>
      </c>
      <c r="D13459" s="21" t="n">
        <v>632722</v>
      </c>
      <c r="E13459" s="21" t="inlineStr">
        <is>
          <t>青海省玉树藏族自治州杂多县</t>
        </is>
      </c>
    </row>
    <row r="13460">
      <c r="B13460" s="41" t="inlineStr">
        <is>
          <t>AreaCode</t>
        </is>
      </c>
      <c r="C13460" s="129" t="inlineStr">
        <is>
          <t>地区代码</t>
        </is>
      </c>
      <c r="D13460" s="21" t="n">
        <v>632723</v>
      </c>
      <c r="E13460" s="21" t="inlineStr">
        <is>
          <t>青海省玉树藏族自治州称多县</t>
        </is>
      </c>
    </row>
    <row r="13461">
      <c r="B13461" s="41" t="inlineStr">
        <is>
          <t>AreaCode</t>
        </is>
      </c>
      <c r="C13461" s="129" t="inlineStr">
        <is>
          <t>地区代码</t>
        </is>
      </c>
      <c r="D13461" s="21" t="n">
        <v>632724</v>
      </c>
      <c r="E13461" s="21" t="inlineStr">
        <is>
          <t>青海省玉树藏族自治州治多县</t>
        </is>
      </c>
    </row>
    <row r="13462">
      <c r="B13462" s="41" t="inlineStr">
        <is>
          <t>AreaCode</t>
        </is>
      </c>
      <c r="C13462" s="129" t="inlineStr">
        <is>
          <t>地区代码</t>
        </is>
      </c>
      <c r="D13462" s="21" t="n">
        <v>632725</v>
      </c>
      <c r="E13462" s="21" t="inlineStr">
        <is>
          <t>青海省玉树藏族自治州囊谦县</t>
        </is>
      </c>
    </row>
    <row r="13463">
      <c r="B13463" s="41" t="inlineStr">
        <is>
          <t>AreaCode</t>
        </is>
      </c>
      <c r="C13463" s="129" t="inlineStr">
        <is>
          <t>地区代码</t>
        </is>
      </c>
      <c r="D13463" s="21" t="n">
        <v>632726</v>
      </c>
      <c r="E13463" s="21" t="inlineStr">
        <is>
          <t>青海省玉树藏族自治州曲麻莱县</t>
        </is>
      </c>
    </row>
    <row r="13464">
      <c r="B13464" s="41" t="inlineStr">
        <is>
          <t>AreaCode</t>
        </is>
      </c>
      <c r="C13464" s="129" t="inlineStr">
        <is>
          <t>地区代码</t>
        </is>
      </c>
      <c r="D13464" s="21" t="n">
        <v>632800</v>
      </c>
      <c r="E13464" s="21" t="inlineStr">
        <is>
          <t>青海省海西蒙古族藏族自治州</t>
        </is>
      </c>
    </row>
    <row r="13465">
      <c r="B13465" s="41" t="inlineStr">
        <is>
          <t>AreaCode</t>
        </is>
      </c>
      <c r="C13465" s="129" t="inlineStr">
        <is>
          <t>地区代码</t>
        </is>
      </c>
      <c r="D13465" s="21" t="n">
        <v>632801</v>
      </c>
      <c r="E13465" s="21" t="inlineStr">
        <is>
          <t>青海省海西蒙古族藏族自治州格尔木市</t>
        </is>
      </c>
    </row>
    <row r="13466">
      <c r="B13466" s="41" t="inlineStr">
        <is>
          <t>AreaCode</t>
        </is>
      </c>
      <c r="C13466" s="129" t="inlineStr">
        <is>
          <t>地区代码</t>
        </is>
      </c>
      <c r="D13466" s="21" t="n">
        <v>632802</v>
      </c>
      <c r="E13466" s="21" t="inlineStr">
        <is>
          <t>青海省海西蒙古族藏族自治州德令哈市</t>
        </is>
      </c>
    </row>
    <row r="13467">
      <c r="B13467" s="41" t="inlineStr">
        <is>
          <t>AreaCode</t>
        </is>
      </c>
      <c r="C13467" s="129" t="inlineStr">
        <is>
          <t>地区代码</t>
        </is>
      </c>
      <c r="D13467" s="21" t="n">
        <v>632821</v>
      </c>
      <c r="E13467" s="21" t="inlineStr">
        <is>
          <t>青海省海西蒙古族藏族自治州乌兰县</t>
        </is>
      </c>
    </row>
    <row r="13468">
      <c r="B13468" s="41" t="inlineStr">
        <is>
          <t>AreaCode</t>
        </is>
      </c>
      <c r="C13468" s="129" t="inlineStr">
        <is>
          <t>地区代码</t>
        </is>
      </c>
      <c r="D13468" s="21" t="n">
        <v>632822</v>
      </c>
      <c r="E13468" s="21" t="inlineStr">
        <is>
          <t>青海省海西蒙古族藏族自治州都兰县</t>
        </is>
      </c>
    </row>
    <row r="13469">
      <c r="B13469" s="41" t="inlineStr">
        <is>
          <t>AreaCode</t>
        </is>
      </c>
      <c r="C13469" s="129" t="inlineStr">
        <is>
          <t>地区代码</t>
        </is>
      </c>
      <c r="D13469" s="21" t="n">
        <v>632823</v>
      </c>
      <c r="E13469" s="21" t="inlineStr">
        <is>
          <t>青海省海西蒙古族藏族自治州天峻县</t>
        </is>
      </c>
    </row>
    <row r="13470">
      <c r="B13470" s="41" t="inlineStr">
        <is>
          <t>AreaCode</t>
        </is>
      </c>
      <c r="C13470" s="129" t="inlineStr">
        <is>
          <t>地区代码</t>
        </is>
      </c>
      <c r="D13470" s="21" t="n">
        <v>640000</v>
      </c>
      <c r="E13470" s="21" t="inlineStr">
        <is>
          <t>宁夏回族自治区</t>
        </is>
      </c>
    </row>
    <row r="13471">
      <c r="B13471" s="41" t="inlineStr">
        <is>
          <t>AreaCode</t>
        </is>
      </c>
      <c r="C13471" s="129" t="inlineStr">
        <is>
          <t>地区代码</t>
        </is>
      </c>
      <c r="D13471" s="21" t="n">
        <v>640100</v>
      </c>
      <c r="E13471" s="21" t="inlineStr">
        <is>
          <t>宁夏回族自治区银川市</t>
        </is>
      </c>
    </row>
    <row r="13472">
      <c r="B13472" s="41" t="inlineStr">
        <is>
          <t>AreaCode</t>
        </is>
      </c>
      <c r="C13472" s="129" t="inlineStr">
        <is>
          <t>地区代码</t>
        </is>
      </c>
      <c r="D13472" s="21" t="n">
        <v>640101</v>
      </c>
      <c r="E13472" s="21" t="inlineStr">
        <is>
          <t>宁夏回族自治区银川市市辖区</t>
        </is>
      </c>
    </row>
    <row r="13473">
      <c r="B13473" s="41" t="inlineStr">
        <is>
          <t>AreaCode</t>
        </is>
      </c>
      <c r="C13473" s="129" t="inlineStr">
        <is>
          <t>地区代码</t>
        </is>
      </c>
      <c r="D13473" s="21" t="n">
        <v>640104</v>
      </c>
      <c r="E13473" s="21" t="inlineStr">
        <is>
          <t>宁夏回族自治区银川市兴庆区</t>
        </is>
      </c>
    </row>
    <row r="13474">
      <c r="B13474" s="41" t="inlineStr">
        <is>
          <t>AreaCode</t>
        </is>
      </c>
      <c r="C13474" s="129" t="inlineStr">
        <is>
          <t>地区代码</t>
        </is>
      </c>
      <c r="D13474" s="21" t="n">
        <v>640105</v>
      </c>
      <c r="E13474" s="21" t="inlineStr">
        <is>
          <t>宁夏回族自治区银川市西夏区</t>
        </is>
      </c>
    </row>
    <row r="13475">
      <c r="B13475" s="41" t="inlineStr">
        <is>
          <t>AreaCode</t>
        </is>
      </c>
      <c r="C13475" s="129" t="inlineStr">
        <is>
          <t>地区代码</t>
        </is>
      </c>
      <c r="D13475" s="21" t="n">
        <v>640106</v>
      </c>
      <c r="E13475" s="21" t="inlineStr">
        <is>
          <t>宁夏回族自治区银川市金凤区</t>
        </is>
      </c>
    </row>
    <row r="13476">
      <c r="B13476" s="41" t="inlineStr">
        <is>
          <t>AreaCode</t>
        </is>
      </c>
      <c r="C13476" s="129" t="inlineStr">
        <is>
          <t>地区代码</t>
        </is>
      </c>
      <c r="D13476" s="21" t="n">
        <v>640121</v>
      </c>
      <c r="E13476" s="21" t="inlineStr">
        <is>
          <t>宁夏回族自治区银川市永宁县</t>
        </is>
      </c>
    </row>
    <row r="13477">
      <c r="B13477" s="41" t="inlineStr">
        <is>
          <t>AreaCode</t>
        </is>
      </c>
      <c r="C13477" s="129" t="inlineStr">
        <is>
          <t>地区代码</t>
        </is>
      </c>
      <c r="D13477" s="21" t="n">
        <v>640122</v>
      </c>
      <c r="E13477" s="21" t="inlineStr">
        <is>
          <t>宁夏回族自治区银川市贺兰县</t>
        </is>
      </c>
    </row>
    <row r="13478">
      <c r="B13478" s="41" t="inlineStr">
        <is>
          <t>AreaCode</t>
        </is>
      </c>
      <c r="C13478" s="129" t="inlineStr">
        <is>
          <t>地区代码</t>
        </is>
      </c>
      <c r="D13478" s="21" t="n">
        <v>640181</v>
      </c>
      <c r="E13478" s="21" t="inlineStr">
        <is>
          <t>宁夏回族自治区银川市灵武市</t>
        </is>
      </c>
    </row>
    <row r="13479">
      <c r="B13479" s="41" t="inlineStr">
        <is>
          <t>AreaCode</t>
        </is>
      </c>
      <c r="C13479" s="129" t="inlineStr">
        <is>
          <t>地区代码</t>
        </is>
      </c>
      <c r="D13479" s="21" t="n">
        <v>640200</v>
      </c>
      <c r="E13479" s="21" t="inlineStr">
        <is>
          <t>宁夏回族自治区石嘴山市</t>
        </is>
      </c>
    </row>
    <row r="13480">
      <c r="B13480" s="41" t="inlineStr">
        <is>
          <t>AreaCode</t>
        </is>
      </c>
      <c r="C13480" s="129" t="inlineStr">
        <is>
          <t>地区代码</t>
        </is>
      </c>
      <c r="D13480" s="21" t="n">
        <v>640201</v>
      </c>
      <c r="E13480" s="21" t="inlineStr">
        <is>
          <t>宁夏回族自治区石嘴山市市辖区</t>
        </is>
      </c>
    </row>
    <row r="13481">
      <c r="B13481" s="41" t="inlineStr">
        <is>
          <t>AreaCode</t>
        </is>
      </c>
      <c r="C13481" s="129" t="inlineStr">
        <is>
          <t>地区代码</t>
        </is>
      </c>
      <c r="D13481" s="21" t="n">
        <v>640202</v>
      </c>
      <c r="E13481" s="21" t="inlineStr">
        <is>
          <t>宁夏回族自治区石嘴山市大武口区</t>
        </is>
      </c>
    </row>
    <row r="13482">
      <c r="B13482" s="41" t="inlineStr">
        <is>
          <t>AreaCode</t>
        </is>
      </c>
      <c r="C13482" s="129" t="inlineStr">
        <is>
          <t>地区代码</t>
        </is>
      </c>
      <c r="D13482" s="21" t="n">
        <v>640205</v>
      </c>
      <c r="E13482" s="21" t="inlineStr">
        <is>
          <t>宁夏回族自治区石嘴山市惠农区</t>
        </is>
      </c>
    </row>
    <row r="13483">
      <c r="B13483" s="41" t="inlineStr">
        <is>
          <t>AreaCode</t>
        </is>
      </c>
      <c r="C13483" s="129" t="inlineStr">
        <is>
          <t>地区代码</t>
        </is>
      </c>
      <c r="D13483" s="21" t="n">
        <v>640221</v>
      </c>
      <c r="E13483" s="21" t="inlineStr">
        <is>
          <t>宁夏回族自治区石嘴山市平罗县</t>
        </is>
      </c>
    </row>
    <row r="13484">
      <c r="B13484" s="41" t="inlineStr">
        <is>
          <t>AreaCode</t>
        </is>
      </c>
      <c r="C13484" s="129" t="inlineStr">
        <is>
          <t>地区代码</t>
        </is>
      </c>
      <c r="D13484" s="21" t="n">
        <v>640300</v>
      </c>
      <c r="E13484" s="21" t="inlineStr">
        <is>
          <t>宁夏回族自治区吴忠市</t>
        </is>
      </c>
    </row>
    <row r="13485">
      <c r="B13485" s="41" t="inlineStr">
        <is>
          <t>AreaCode</t>
        </is>
      </c>
      <c r="C13485" s="129" t="inlineStr">
        <is>
          <t>地区代码</t>
        </is>
      </c>
      <c r="D13485" s="21" t="n">
        <v>640301</v>
      </c>
      <c r="E13485" s="21" t="inlineStr">
        <is>
          <t>宁夏回族自治区吴忠市市辖区</t>
        </is>
      </c>
    </row>
    <row r="13486">
      <c r="B13486" s="41" t="inlineStr">
        <is>
          <t>AreaCode</t>
        </is>
      </c>
      <c r="C13486" s="129" t="inlineStr">
        <is>
          <t>地区代码</t>
        </is>
      </c>
      <c r="D13486" s="21" t="n">
        <v>640302</v>
      </c>
      <c r="E13486" s="21" t="inlineStr">
        <is>
          <t>宁夏回族自治区吴忠市利通区</t>
        </is>
      </c>
    </row>
    <row r="13487">
      <c r="B13487" s="41" t="inlineStr">
        <is>
          <t>AreaCode</t>
        </is>
      </c>
      <c r="C13487" s="129" t="inlineStr">
        <is>
          <t>地区代码</t>
        </is>
      </c>
      <c r="D13487" s="21" t="n">
        <v>640303</v>
      </c>
      <c r="E13487" s="21" t="inlineStr">
        <is>
          <t>宁夏回族自治区吴忠市红寺堡区</t>
        </is>
      </c>
    </row>
    <row r="13488">
      <c r="B13488" s="41" t="inlineStr">
        <is>
          <t>AreaCode</t>
        </is>
      </c>
      <c r="C13488" s="129" t="inlineStr">
        <is>
          <t>地区代码</t>
        </is>
      </c>
      <c r="D13488" s="21" t="n">
        <v>640323</v>
      </c>
      <c r="E13488" s="21" t="inlineStr">
        <is>
          <t>宁夏回族自治区吴忠市盐池县</t>
        </is>
      </c>
    </row>
    <row r="13489">
      <c r="B13489" s="41" t="inlineStr">
        <is>
          <t>AreaCode</t>
        </is>
      </c>
      <c r="C13489" s="129" t="inlineStr">
        <is>
          <t>地区代码</t>
        </is>
      </c>
      <c r="D13489" s="21" t="n">
        <v>640324</v>
      </c>
      <c r="E13489" s="21" t="inlineStr">
        <is>
          <t>宁夏回族自治区吴忠市同心县</t>
        </is>
      </c>
    </row>
    <row r="13490">
      <c r="B13490" s="41" t="inlineStr">
        <is>
          <t>AreaCode</t>
        </is>
      </c>
      <c r="C13490" s="129" t="inlineStr">
        <is>
          <t>地区代码</t>
        </is>
      </c>
      <c r="D13490" s="21" t="n">
        <v>640381</v>
      </c>
      <c r="E13490" s="21" t="inlineStr">
        <is>
          <t>宁夏回族自治区吴忠市青铜峡市</t>
        </is>
      </c>
    </row>
    <row r="13491">
      <c r="B13491" s="41" t="inlineStr">
        <is>
          <t>AreaCode</t>
        </is>
      </c>
      <c r="C13491" s="129" t="inlineStr">
        <is>
          <t>地区代码</t>
        </is>
      </c>
      <c r="D13491" s="21" t="n">
        <v>640400</v>
      </c>
      <c r="E13491" s="21" t="inlineStr">
        <is>
          <t>宁夏回族自治区固原市</t>
        </is>
      </c>
    </row>
    <row r="13492">
      <c r="B13492" s="41" t="inlineStr">
        <is>
          <t>AreaCode</t>
        </is>
      </c>
      <c r="C13492" s="129" t="inlineStr">
        <is>
          <t>地区代码</t>
        </is>
      </c>
      <c r="D13492" s="21" t="n">
        <v>640401</v>
      </c>
      <c r="E13492" s="21" t="inlineStr">
        <is>
          <t>宁夏回族自治区固原市市辖区</t>
        </is>
      </c>
    </row>
    <row r="13493">
      <c r="B13493" s="41" t="inlineStr">
        <is>
          <t>AreaCode</t>
        </is>
      </c>
      <c r="C13493" s="129" t="inlineStr">
        <is>
          <t>地区代码</t>
        </is>
      </c>
      <c r="D13493" s="21" t="n">
        <v>640402</v>
      </c>
      <c r="E13493" s="21" t="inlineStr">
        <is>
          <t>宁夏回族自治区固原市原州区</t>
        </is>
      </c>
    </row>
    <row r="13494">
      <c r="B13494" s="41" t="inlineStr">
        <is>
          <t>AreaCode</t>
        </is>
      </c>
      <c r="C13494" s="129" t="inlineStr">
        <is>
          <t>地区代码</t>
        </is>
      </c>
      <c r="D13494" s="21" t="n">
        <v>640422</v>
      </c>
      <c r="E13494" s="21" t="inlineStr">
        <is>
          <t>宁夏回族自治区固原市西吉县</t>
        </is>
      </c>
    </row>
    <row r="13495">
      <c r="B13495" s="41" t="inlineStr">
        <is>
          <t>AreaCode</t>
        </is>
      </c>
      <c r="C13495" s="129" t="inlineStr">
        <is>
          <t>地区代码</t>
        </is>
      </c>
      <c r="D13495" s="21" t="n">
        <v>640423</v>
      </c>
      <c r="E13495" s="21" t="inlineStr">
        <is>
          <t>宁夏回族自治区固原市隆德县</t>
        </is>
      </c>
    </row>
    <row r="13496">
      <c r="B13496" s="41" t="inlineStr">
        <is>
          <t>AreaCode</t>
        </is>
      </c>
      <c r="C13496" s="129" t="inlineStr">
        <is>
          <t>地区代码</t>
        </is>
      </c>
      <c r="D13496" s="21" t="n">
        <v>640424</v>
      </c>
      <c r="E13496" s="21" t="inlineStr">
        <is>
          <t>宁夏回族自治区固原市泾源县</t>
        </is>
      </c>
    </row>
    <row r="13497">
      <c r="B13497" s="41" t="inlineStr">
        <is>
          <t>AreaCode</t>
        </is>
      </c>
      <c r="C13497" s="129" t="inlineStr">
        <is>
          <t>地区代码</t>
        </is>
      </c>
      <c r="D13497" s="21" t="n">
        <v>640425</v>
      </c>
      <c r="E13497" s="21" t="inlineStr">
        <is>
          <t>宁夏回族自治区固原市彭阳县</t>
        </is>
      </c>
    </row>
    <row r="13498">
      <c r="B13498" s="41" t="inlineStr">
        <is>
          <t>AreaCode</t>
        </is>
      </c>
      <c r="C13498" s="129" t="inlineStr">
        <is>
          <t>地区代码</t>
        </is>
      </c>
      <c r="D13498" s="21" t="n">
        <v>640500</v>
      </c>
      <c r="E13498" s="21" t="inlineStr">
        <is>
          <t>宁夏回族自治区中卫市</t>
        </is>
      </c>
    </row>
    <row r="13499">
      <c r="B13499" s="41" t="inlineStr">
        <is>
          <t>AreaCode</t>
        </is>
      </c>
      <c r="C13499" s="129" t="inlineStr">
        <is>
          <t>地区代码</t>
        </is>
      </c>
      <c r="D13499" s="21" t="n">
        <v>640501</v>
      </c>
      <c r="E13499" s="21" t="inlineStr">
        <is>
          <t>宁夏回族自治区中卫市市辖区</t>
        </is>
      </c>
    </row>
    <row r="13500">
      <c r="B13500" s="41" t="inlineStr">
        <is>
          <t>AreaCode</t>
        </is>
      </c>
      <c r="C13500" s="129" t="inlineStr">
        <is>
          <t>地区代码</t>
        </is>
      </c>
      <c r="D13500" s="21" t="n">
        <v>640502</v>
      </c>
      <c r="E13500" s="21" t="inlineStr">
        <is>
          <t>宁夏回族自治区中卫市沙坡头区</t>
        </is>
      </c>
    </row>
    <row r="13501">
      <c r="B13501" s="41" t="inlineStr">
        <is>
          <t>AreaCode</t>
        </is>
      </c>
      <c r="C13501" s="129" t="inlineStr">
        <is>
          <t>地区代码</t>
        </is>
      </c>
      <c r="D13501" s="21" t="n">
        <v>640521</v>
      </c>
      <c r="E13501" s="21" t="inlineStr">
        <is>
          <t>宁夏回族自治区中卫市中宁县</t>
        </is>
      </c>
    </row>
    <row r="13502">
      <c r="B13502" s="41" t="inlineStr">
        <is>
          <t>AreaCode</t>
        </is>
      </c>
      <c r="C13502" s="129" t="inlineStr">
        <is>
          <t>地区代码</t>
        </is>
      </c>
      <c r="D13502" s="21" t="n">
        <v>640522</v>
      </c>
      <c r="E13502" s="21" t="inlineStr">
        <is>
          <t>宁夏回族自治区中卫市海原县</t>
        </is>
      </c>
    </row>
    <row r="13503">
      <c r="B13503" s="41" t="inlineStr">
        <is>
          <t>AreaCode</t>
        </is>
      </c>
      <c r="C13503" s="129" t="inlineStr">
        <is>
          <t>地区代码</t>
        </is>
      </c>
      <c r="D13503" s="21" t="n">
        <v>650000</v>
      </c>
      <c r="E13503" s="21" t="inlineStr">
        <is>
          <t>新疆维吾尔自治区</t>
        </is>
      </c>
    </row>
    <row r="13504">
      <c r="B13504" s="41" t="inlineStr">
        <is>
          <t>AreaCode</t>
        </is>
      </c>
      <c r="C13504" s="129" t="inlineStr">
        <is>
          <t>地区代码</t>
        </is>
      </c>
      <c r="D13504" s="21" t="n">
        <v>650100</v>
      </c>
      <c r="E13504" s="21" t="inlineStr">
        <is>
          <t>新疆维吾尔自治区乌鲁木齐市</t>
        </is>
      </c>
    </row>
    <row r="13505">
      <c r="B13505" s="41" t="inlineStr">
        <is>
          <t>AreaCode</t>
        </is>
      </c>
      <c r="C13505" s="129" t="inlineStr">
        <is>
          <t>地区代码</t>
        </is>
      </c>
      <c r="D13505" s="21" t="n">
        <v>650101</v>
      </c>
      <c r="E13505" s="21" t="inlineStr">
        <is>
          <t>新疆维吾尔自治区乌鲁木齐市市辖区</t>
        </is>
      </c>
    </row>
    <row r="13506">
      <c r="B13506" s="41" t="inlineStr">
        <is>
          <t>AreaCode</t>
        </is>
      </c>
      <c r="C13506" s="129" t="inlineStr">
        <is>
          <t>地区代码</t>
        </is>
      </c>
      <c r="D13506" s="21" t="n">
        <v>650102</v>
      </c>
      <c r="E13506" s="21" t="inlineStr">
        <is>
          <t>新疆维吾尔自治区乌鲁木齐市天山区</t>
        </is>
      </c>
    </row>
    <row r="13507">
      <c r="B13507" s="41" t="inlineStr">
        <is>
          <t>AreaCode</t>
        </is>
      </c>
      <c r="C13507" s="129" t="inlineStr">
        <is>
          <t>地区代码</t>
        </is>
      </c>
      <c r="D13507" s="21" t="n">
        <v>650103</v>
      </c>
      <c r="E13507" s="21" t="inlineStr">
        <is>
          <t>新疆维吾尔自治区乌鲁木齐市沙依巴克区</t>
        </is>
      </c>
    </row>
    <row r="13508">
      <c r="B13508" s="41" t="inlineStr">
        <is>
          <t>AreaCode</t>
        </is>
      </c>
      <c r="C13508" s="129" t="inlineStr">
        <is>
          <t>地区代码</t>
        </is>
      </c>
      <c r="D13508" s="21" t="n">
        <v>650104</v>
      </c>
      <c r="E13508" s="21" t="inlineStr">
        <is>
          <t>新疆维吾尔自治区乌鲁木齐市新市区</t>
        </is>
      </c>
    </row>
    <row r="13509">
      <c r="B13509" s="41" t="inlineStr">
        <is>
          <t>AreaCode</t>
        </is>
      </c>
      <c r="C13509" s="129" t="inlineStr">
        <is>
          <t>地区代码</t>
        </is>
      </c>
      <c r="D13509" s="21" t="n">
        <v>650105</v>
      </c>
      <c r="E13509" s="21" t="inlineStr">
        <is>
          <t>新疆维吾尔自治区乌鲁木齐市水磨沟区</t>
        </is>
      </c>
    </row>
    <row r="13510">
      <c r="B13510" s="41" t="inlineStr">
        <is>
          <t>AreaCode</t>
        </is>
      </c>
      <c r="C13510" s="129" t="inlineStr">
        <is>
          <t>地区代码</t>
        </is>
      </c>
      <c r="D13510" s="21" t="n">
        <v>650106</v>
      </c>
      <c r="E13510" s="21" t="inlineStr">
        <is>
          <t>新疆维吾尔自治区乌鲁木齐市头屯河区</t>
        </is>
      </c>
    </row>
    <row r="13511">
      <c r="B13511" s="41" t="inlineStr">
        <is>
          <t>AreaCode</t>
        </is>
      </c>
      <c r="C13511" s="129" t="inlineStr">
        <is>
          <t>地区代码</t>
        </is>
      </c>
      <c r="D13511" s="21" t="n">
        <v>650107</v>
      </c>
      <c r="E13511" s="21" t="inlineStr">
        <is>
          <t>新疆维吾尔自治区乌鲁木齐市达坂城区</t>
        </is>
      </c>
    </row>
    <row r="13512">
      <c r="B13512" s="41" t="inlineStr">
        <is>
          <t>AreaCode</t>
        </is>
      </c>
      <c r="C13512" s="129" t="inlineStr">
        <is>
          <t>地区代码</t>
        </is>
      </c>
      <c r="D13512" s="21" t="n">
        <v>650109</v>
      </c>
      <c r="E13512" s="21" t="inlineStr">
        <is>
          <t>新疆维吾尔自治区乌鲁木齐市米东区</t>
        </is>
      </c>
    </row>
    <row r="13513">
      <c r="B13513" s="41" t="inlineStr">
        <is>
          <t>AreaCode</t>
        </is>
      </c>
      <c r="C13513" s="129" t="inlineStr">
        <is>
          <t>地区代码</t>
        </is>
      </c>
      <c r="D13513" s="21" t="n">
        <v>650121</v>
      </c>
      <c r="E13513" s="21" t="inlineStr">
        <is>
          <t>新疆维吾尔自治区乌鲁木齐市乌鲁木齐县</t>
        </is>
      </c>
    </row>
    <row r="13514">
      <c r="B13514" s="41" t="inlineStr">
        <is>
          <t>AreaCode</t>
        </is>
      </c>
      <c r="C13514" s="129" t="inlineStr">
        <is>
          <t>地区代码</t>
        </is>
      </c>
      <c r="D13514" s="21" t="n">
        <v>650200</v>
      </c>
      <c r="E13514" s="21" t="inlineStr">
        <is>
          <t>新疆维吾尔自治区克拉玛依市</t>
        </is>
      </c>
    </row>
    <row r="13515">
      <c r="B13515" s="41" t="inlineStr">
        <is>
          <t>AreaCode</t>
        </is>
      </c>
      <c r="C13515" s="129" t="inlineStr">
        <is>
          <t>地区代码</t>
        </is>
      </c>
      <c r="D13515" s="21" t="n">
        <v>650201</v>
      </c>
      <c r="E13515" s="21" t="inlineStr">
        <is>
          <t>新疆维吾尔自治区克拉玛依市市辖区</t>
        </is>
      </c>
    </row>
    <row r="13516">
      <c r="B13516" s="41" t="inlineStr">
        <is>
          <t>AreaCode</t>
        </is>
      </c>
      <c r="C13516" s="129" t="inlineStr">
        <is>
          <t>地区代码</t>
        </is>
      </c>
      <c r="D13516" s="21" t="n">
        <v>650202</v>
      </c>
      <c r="E13516" s="21" t="inlineStr">
        <is>
          <t>新疆维吾尔自治区克拉玛依市独山子区</t>
        </is>
      </c>
    </row>
    <row r="13517">
      <c r="B13517" s="41" t="inlineStr">
        <is>
          <t>AreaCode</t>
        </is>
      </c>
      <c r="C13517" s="129" t="inlineStr">
        <is>
          <t>地区代码</t>
        </is>
      </c>
      <c r="D13517" s="21" t="n">
        <v>650203</v>
      </c>
      <c r="E13517" s="21" t="inlineStr">
        <is>
          <t>新疆维吾尔自治区克拉玛依市克拉玛依区</t>
        </is>
      </c>
    </row>
    <row r="13518">
      <c r="B13518" s="41" t="inlineStr">
        <is>
          <t>AreaCode</t>
        </is>
      </c>
      <c r="C13518" s="129" t="inlineStr">
        <is>
          <t>地区代码</t>
        </is>
      </c>
      <c r="D13518" s="21" t="n">
        <v>650204</v>
      </c>
      <c r="E13518" s="21" t="inlineStr">
        <is>
          <t>新疆维吾尔自治区克拉玛依市白碱滩区</t>
        </is>
      </c>
    </row>
    <row r="13519">
      <c r="B13519" s="41" t="inlineStr">
        <is>
          <t>AreaCode</t>
        </is>
      </c>
      <c r="C13519" s="129" t="inlineStr">
        <is>
          <t>地区代码</t>
        </is>
      </c>
      <c r="D13519" s="21" t="n">
        <v>650205</v>
      </c>
      <c r="E13519" s="21" t="inlineStr">
        <is>
          <t>新疆维吾尔自治区克拉玛依市乌尔禾区</t>
        </is>
      </c>
    </row>
    <row r="13520">
      <c r="B13520" s="41" t="inlineStr">
        <is>
          <t>AreaCode</t>
        </is>
      </c>
      <c r="C13520" s="129" t="inlineStr">
        <is>
          <t>地区代码</t>
        </is>
      </c>
      <c r="D13520" s="21" t="n">
        <v>652100</v>
      </c>
      <c r="E13520" s="21" t="inlineStr">
        <is>
          <t>新疆维吾尔自治区吐鲁番地区</t>
        </is>
      </c>
    </row>
    <row r="13521">
      <c r="B13521" s="41" t="inlineStr">
        <is>
          <t>AreaCode</t>
        </is>
      </c>
      <c r="C13521" s="129" t="inlineStr">
        <is>
          <t>地区代码</t>
        </is>
      </c>
      <c r="D13521" s="21" t="n">
        <v>652101</v>
      </c>
      <c r="E13521" s="21" t="inlineStr">
        <is>
          <t>新疆维吾尔自治区吐鲁番地区吐鲁番市</t>
        </is>
      </c>
    </row>
    <row r="13522">
      <c r="B13522" s="41" t="inlineStr">
        <is>
          <t>AreaCode</t>
        </is>
      </c>
      <c r="C13522" s="129" t="inlineStr">
        <is>
          <t>地区代码</t>
        </is>
      </c>
      <c r="D13522" s="21" t="n">
        <v>652122</v>
      </c>
      <c r="E13522" s="21" t="inlineStr">
        <is>
          <t>新疆维吾尔自治区吐鲁番地区鄯善县</t>
        </is>
      </c>
    </row>
    <row r="13523">
      <c r="B13523" s="41" t="inlineStr">
        <is>
          <t>AreaCode</t>
        </is>
      </c>
      <c r="C13523" s="129" t="inlineStr">
        <is>
          <t>地区代码</t>
        </is>
      </c>
      <c r="D13523" s="21" t="n">
        <v>652123</v>
      </c>
      <c r="E13523" s="21" t="inlineStr">
        <is>
          <t>新疆维吾尔自治区吐鲁番地区托克逊县</t>
        </is>
      </c>
    </row>
    <row r="13524">
      <c r="B13524" s="41" t="inlineStr">
        <is>
          <t>AreaCode</t>
        </is>
      </c>
      <c r="C13524" s="129" t="inlineStr">
        <is>
          <t>地区代码</t>
        </is>
      </c>
      <c r="D13524" s="21" t="n">
        <v>652200</v>
      </c>
      <c r="E13524" s="21" t="inlineStr">
        <is>
          <t>新疆维吾尔自治区哈密地区</t>
        </is>
      </c>
    </row>
    <row r="13525">
      <c r="B13525" s="41" t="inlineStr">
        <is>
          <t>AreaCode</t>
        </is>
      </c>
      <c r="C13525" s="129" t="inlineStr">
        <is>
          <t>地区代码</t>
        </is>
      </c>
      <c r="D13525" s="21" t="n">
        <v>652201</v>
      </c>
      <c r="E13525" s="21" t="inlineStr">
        <is>
          <t>新疆维吾尔自治区哈密地区哈密市</t>
        </is>
      </c>
    </row>
    <row r="13526">
      <c r="B13526" s="41" t="inlineStr">
        <is>
          <t>AreaCode</t>
        </is>
      </c>
      <c r="C13526" s="129" t="inlineStr">
        <is>
          <t>地区代码</t>
        </is>
      </c>
      <c r="D13526" s="21" t="n">
        <v>652222</v>
      </c>
      <c r="E13526" s="21" t="inlineStr">
        <is>
          <t>新疆维吾尔自治区哈密地区巴里坤哈萨克自治县</t>
        </is>
      </c>
    </row>
    <row r="13527">
      <c r="B13527" s="41" t="inlineStr">
        <is>
          <t>AreaCode</t>
        </is>
      </c>
      <c r="C13527" s="129" t="inlineStr">
        <is>
          <t>地区代码</t>
        </is>
      </c>
      <c r="D13527" s="21" t="n">
        <v>652223</v>
      </c>
      <c r="E13527" s="21" t="inlineStr">
        <is>
          <t>新疆维吾尔自治区哈密地区伊吾县</t>
        </is>
      </c>
    </row>
    <row r="13528">
      <c r="B13528" s="41" t="inlineStr">
        <is>
          <t>AreaCode</t>
        </is>
      </c>
      <c r="C13528" s="129" t="inlineStr">
        <is>
          <t>地区代码</t>
        </is>
      </c>
      <c r="D13528" s="21" t="n">
        <v>652300</v>
      </c>
      <c r="E13528" s="21" t="inlineStr">
        <is>
          <t>新疆维吾尔自治区昌吉回族自治州</t>
        </is>
      </c>
    </row>
    <row r="13529">
      <c r="B13529" s="41" t="inlineStr">
        <is>
          <t>AreaCode</t>
        </is>
      </c>
      <c r="C13529" s="129" t="inlineStr">
        <is>
          <t>地区代码</t>
        </is>
      </c>
      <c r="D13529" s="21" t="n">
        <v>652301</v>
      </c>
      <c r="E13529" s="21" t="inlineStr">
        <is>
          <t>新疆维吾尔自治区昌吉回族自治州昌吉市</t>
        </is>
      </c>
    </row>
    <row r="13530">
      <c r="B13530" s="41" t="inlineStr">
        <is>
          <t>AreaCode</t>
        </is>
      </c>
      <c r="C13530" s="129" t="inlineStr">
        <is>
          <t>地区代码</t>
        </is>
      </c>
      <c r="D13530" s="21" t="n">
        <v>652302</v>
      </c>
      <c r="E13530" s="21" t="inlineStr">
        <is>
          <t>新疆维吾尔自治区昌吉回族自治州阜康市</t>
        </is>
      </c>
    </row>
    <row r="13531">
      <c r="B13531" s="41" t="inlineStr">
        <is>
          <t>AreaCode</t>
        </is>
      </c>
      <c r="C13531" s="129" t="inlineStr">
        <is>
          <t>地区代码</t>
        </is>
      </c>
      <c r="D13531" s="21" t="n">
        <v>652323</v>
      </c>
      <c r="E13531" s="21" t="inlineStr">
        <is>
          <t>新疆维吾尔自治区昌吉回族自治州呼图壁县</t>
        </is>
      </c>
    </row>
    <row r="13532">
      <c r="B13532" s="41" t="inlineStr">
        <is>
          <t>AreaCode</t>
        </is>
      </c>
      <c r="C13532" s="129" t="inlineStr">
        <is>
          <t>地区代码</t>
        </is>
      </c>
      <c r="D13532" s="21" t="n">
        <v>652324</v>
      </c>
      <c r="E13532" s="21" t="inlineStr">
        <is>
          <t>新疆维吾尔自治区昌吉回族自治州玛纳斯县</t>
        </is>
      </c>
    </row>
    <row r="13533">
      <c r="B13533" s="41" t="inlineStr">
        <is>
          <t>AreaCode</t>
        </is>
      </c>
      <c r="C13533" s="129" t="inlineStr">
        <is>
          <t>地区代码</t>
        </is>
      </c>
      <c r="D13533" s="21" t="n">
        <v>652325</v>
      </c>
      <c r="E13533" s="21" t="inlineStr">
        <is>
          <t>新疆维吾尔自治区昌吉回族自治州奇台县</t>
        </is>
      </c>
    </row>
    <row r="13534">
      <c r="B13534" s="41" t="inlineStr">
        <is>
          <t>AreaCode</t>
        </is>
      </c>
      <c r="C13534" s="129" t="inlineStr">
        <is>
          <t>地区代码</t>
        </is>
      </c>
      <c r="D13534" s="21" t="n">
        <v>652327</v>
      </c>
      <c r="E13534" s="21" t="inlineStr">
        <is>
          <t>新疆维吾尔自治区昌吉回族自治州吉木萨尔县</t>
        </is>
      </c>
    </row>
    <row r="13535">
      <c r="B13535" s="41" t="inlineStr">
        <is>
          <t>AreaCode</t>
        </is>
      </c>
      <c r="C13535" s="129" t="inlineStr">
        <is>
          <t>地区代码</t>
        </is>
      </c>
      <c r="D13535" s="21" t="n">
        <v>652328</v>
      </c>
      <c r="E13535" s="21" t="inlineStr">
        <is>
          <t>新疆维吾尔自治区昌吉回族自治州木垒哈萨克自治县</t>
        </is>
      </c>
    </row>
    <row r="13536">
      <c r="B13536" s="41" t="inlineStr">
        <is>
          <t>AreaCode</t>
        </is>
      </c>
      <c r="C13536" s="129" t="inlineStr">
        <is>
          <t>地区代码</t>
        </is>
      </c>
      <c r="D13536" s="21" t="n">
        <v>652700</v>
      </c>
      <c r="E13536" s="21" t="inlineStr">
        <is>
          <t>新疆维吾尔自治区博尔塔拉蒙古自治州</t>
        </is>
      </c>
    </row>
    <row r="13537">
      <c r="B13537" s="41" t="inlineStr">
        <is>
          <t>AreaCode</t>
        </is>
      </c>
      <c r="C13537" s="129" t="inlineStr">
        <is>
          <t>地区代码</t>
        </is>
      </c>
      <c r="D13537" s="21" t="n">
        <v>652701</v>
      </c>
      <c r="E13537" s="21" t="inlineStr">
        <is>
          <t>新疆维吾尔自治区博尔塔拉蒙古自治州博乐市</t>
        </is>
      </c>
    </row>
    <row r="13538">
      <c r="B13538" s="41" t="inlineStr">
        <is>
          <t>AreaCode</t>
        </is>
      </c>
      <c r="C13538" s="129" t="inlineStr">
        <is>
          <t>地区代码</t>
        </is>
      </c>
      <c r="D13538" s="21" t="n">
        <v>652702</v>
      </c>
      <c r="E13538" s="21" t="inlineStr">
        <is>
          <t>新疆维吾尔自治区博尔塔拉蒙古自治州阿拉山口市</t>
        </is>
      </c>
    </row>
    <row r="13539">
      <c r="B13539" s="41" t="inlineStr">
        <is>
          <t>AreaCode</t>
        </is>
      </c>
      <c r="C13539" s="129" t="inlineStr">
        <is>
          <t>地区代码</t>
        </is>
      </c>
      <c r="D13539" s="21" t="n">
        <v>652722</v>
      </c>
      <c r="E13539" s="21" t="inlineStr">
        <is>
          <t>新疆维吾尔自治区博尔塔拉蒙古自治州精河县</t>
        </is>
      </c>
    </row>
    <row r="13540">
      <c r="B13540" s="41" t="inlineStr">
        <is>
          <t>AreaCode</t>
        </is>
      </c>
      <c r="C13540" s="129" t="inlineStr">
        <is>
          <t>地区代码</t>
        </is>
      </c>
      <c r="D13540" s="21" t="n">
        <v>652723</v>
      </c>
      <c r="E13540" s="21" t="inlineStr">
        <is>
          <t>新疆维吾尔自治区博尔塔拉蒙古自治州温泉县</t>
        </is>
      </c>
    </row>
    <row r="13541">
      <c r="B13541" s="41" t="inlineStr">
        <is>
          <t>AreaCode</t>
        </is>
      </c>
      <c r="C13541" s="129" t="inlineStr">
        <is>
          <t>地区代码</t>
        </is>
      </c>
      <c r="D13541" s="21" t="n">
        <v>652800</v>
      </c>
      <c r="E13541" s="21" t="inlineStr">
        <is>
          <t>新疆维吾尔自治区巴音郭楞蒙古自治州</t>
        </is>
      </c>
    </row>
    <row r="13542">
      <c r="B13542" s="41" t="inlineStr">
        <is>
          <t>AreaCode</t>
        </is>
      </c>
      <c r="C13542" s="129" t="inlineStr">
        <is>
          <t>地区代码</t>
        </is>
      </c>
      <c r="D13542" s="21" t="n">
        <v>652801</v>
      </c>
      <c r="E13542" s="21" t="inlineStr">
        <is>
          <t>新疆维吾尔自治区巴音郭楞蒙古自治州库尔勒市</t>
        </is>
      </c>
    </row>
    <row r="13543">
      <c r="B13543" s="41" t="inlineStr">
        <is>
          <t>AreaCode</t>
        </is>
      </c>
      <c r="C13543" s="129" t="inlineStr">
        <is>
          <t>地区代码</t>
        </is>
      </c>
      <c r="D13543" s="21" t="n">
        <v>652822</v>
      </c>
      <c r="E13543" s="21" t="inlineStr">
        <is>
          <t>新疆维吾尔自治区巴音郭楞蒙古自治州轮台县</t>
        </is>
      </c>
    </row>
    <row r="13544">
      <c r="B13544" s="41" t="inlineStr">
        <is>
          <t>AreaCode</t>
        </is>
      </c>
      <c r="C13544" s="129" t="inlineStr">
        <is>
          <t>地区代码</t>
        </is>
      </c>
      <c r="D13544" s="21" t="n">
        <v>652823</v>
      </c>
      <c r="E13544" s="21" t="inlineStr">
        <is>
          <t>新疆维吾尔自治区巴音郭楞蒙古自治州尉犁县</t>
        </is>
      </c>
    </row>
    <row r="13545">
      <c r="B13545" s="41" t="inlineStr">
        <is>
          <t>AreaCode</t>
        </is>
      </c>
      <c r="C13545" s="129" t="inlineStr">
        <is>
          <t>地区代码</t>
        </is>
      </c>
      <c r="D13545" s="21" t="n">
        <v>652824</v>
      </c>
      <c r="E13545" s="21" t="inlineStr">
        <is>
          <t>新疆维吾尔自治区巴音郭楞蒙古自治州若羌县</t>
        </is>
      </c>
    </row>
    <row r="13546">
      <c r="B13546" s="41" t="inlineStr">
        <is>
          <t>AreaCode</t>
        </is>
      </c>
      <c r="C13546" s="129" t="inlineStr">
        <is>
          <t>地区代码</t>
        </is>
      </c>
      <c r="D13546" s="21" t="n">
        <v>652825</v>
      </c>
      <c r="E13546" s="21" t="inlineStr">
        <is>
          <t>新疆维吾尔自治区巴音郭楞蒙古自治州且末县</t>
        </is>
      </c>
    </row>
    <row r="13547">
      <c r="B13547" s="41" t="inlineStr">
        <is>
          <t>AreaCode</t>
        </is>
      </c>
      <c r="C13547" s="129" t="inlineStr">
        <is>
          <t>地区代码</t>
        </is>
      </c>
      <c r="D13547" s="21" t="n">
        <v>652826</v>
      </c>
      <c r="E13547" s="21" t="inlineStr">
        <is>
          <t>新疆维吾尔自治区巴音郭楞蒙古自治州焉耆回族自治县</t>
        </is>
      </c>
    </row>
    <row r="13548">
      <c r="B13548" s="41" t="inlineStr">
        <is>
          <t>AreaCode</t>
        </is>
      </c>
      <c r="C13548" s="129" t="inlineStr">
        <is>
          <t>地区代码</t>
        </is>
      </c>
      <c r="D13548" s="21" t="n">
        <v>652827</v>
      </c>
      <c r="E13548" s="21" t="inlineStr">
        <is>
          <t>新疆维吾尔自治区巴音郭楞蒙古自治州和静县</t>
        </is>
      </c>
    </row>
    <row r="13549">
      <c r="B13549" s="41" t="inlineStr">
        <is>
          <t>AreaCode</t>
        </is>
      </c>
      <c r="C13549" s="129" t="inlineStr">
        <is>
          <t>地区代码</t>
        </is>
      </c>
      <c r="D13549" s="21" t="n">
        <v>652828</v>
      </c>
      <c r="E13549" s="21" t="inlineStr">
        <is>
          <t>新疆维吾尔自治区巴音郭楞蒙古自治州和硕县</t>
        </is>
      </c>
    </row>
    <row r="13550">
      <c r="B13550" s="41" t="inlineStr">
        <is>
          <t>AreaCode</t>
        </is>
      </c>
      <c r="C13550" s="129" t="inlineStr">
        <is>
          <t>地区代码</t>
        </is>
      </c>
      <c r="D13550" s="21" t="n">
        <v>652829</v>
      </c>
      <c r="E13550" s="21" t="inlineStr">
        <is>
          <t>新疆维吾尔自治区巴音郭楞蒙古自治州博湖县</t>
        </is>
      </c>
    </row>
    <row r="13551">
      <c r="B13551" s="41" t="inlineStr">
        <is>
          <t>AreaCode</t>
        </is>
      </c>
      <c r="C13551" s="129" t="inlineStr">
        <is>
          <t>地区代码</t>
        </is>
      </c>
      <c r="D13551" s="21" t="n">
        <v>652900</v>
      </c>
      <c r="E13551" s="21" t="inlineStr">
        <is>
          <t>新疆维吾尔自治区阿克苏地区</t>
        </is>
      </c>
    </row>
    <row r="13552">
      <c r="B13552" s="41" t="inlineStr">
        <is>
          <t>AreaCode</t>
        </is>
      </c>
      <c r="C13552" s="129" t="inlineStr">
        <is>
          <t>地区代码</t>
        </is>
      </c>
      <c r="D13552" s="21" t="n">
        <v>652901</v>
      </c>
      <c r="E13552" s="21" t="inlineStr">
        <is>
          <t>新疆维吾尔自治区阿克苏地区阿克苏市</t>
        </is>
      </c>
    </row>
    <row r="13553">
      <c r="B13553" s="41" t="inlineStr">
        <is>
          <t>AreaCode</t>
        </is>
      </c>
      <c r="C13553" s="129" t="inlineStr">
        <is>
          <t>地区代码</t>
        </is>
      </c>
      <c r="D13553" s="21" t="n">
        <v>652922</v>
      </c>
      <c r="E13553" s="21" t="inlineStr">
        <is>
          <t>新疆维吾尔自治区阿克苏地区温宿县</t>
        </is>
      </c>
    </row>
    <row r="13554">
      <c r="B13554" s="41" t="inlineStr">
        <is>
          <t>AreaCode</t>
        </is>
      </c>
      <c r="C13554" s="129" t="inlineStr">
        <is>
          <t>地区代码</t>
        </is>
      </c>
      <c r="D13554" s="21" t="n">
        <v>652923</v>
      </c>
      <c r="E13554" s="21" t="inlineStr">
        <is>
          <t>新疆维吾尔自治区阿克苏地区库车县</t>
        </is>
      </c>
    </row>
    <row r="13555">
      <c r="B13555" s="41" t="inlineStr">
        <is>
          <t>AreaCode</t>
        </is>
      </c>
      <c r="C13555" s="129" t="inlineStr">
        <is>
          <t>地区代码</t>
        </is>
      </c>
      <c r="D13555" s="21" t="n">
        <v>652924</v>
      </c>
      <c r="E13555" s="21" t="inlineStr">
        <is>
          <t>新疆维吾尔自治区阿克苏地区沙雅县</t>
        </is>
      </c>
    </row>
    <row r="13556">
      <c r="B13556" s="41" t="inlineStr">
        <is>
          <t>AreaCode</t>
        </is>
      </c>
      <c r="C13556" s="129" t="inlineStr">
        <is>
          <t>地区代码</t>
        </is>
      </c>
      <c r="D13556" s="21" t="n">
        <v>652925</v>
      </c>
      <c r="E13556" s="21" t="inlineStr">
        <is>
          <t>新疆维吾尔自治区阿克苏地区新和县</t>
        </is>
      </c>
    </row>
    <row r="13557">
      <c r="B13557" s="41" t="inlineStr">
        <is>
          <t>AreaCode</t>
        </is>
      </c>
      <c r="C13557" s="129" t="inlineStr">
        <is>
          <t>地区代码</t>
        </is>
      </c>
      <c r="D13557" s="21" t="n">
        <v>652926</v>
      </c>
      <c r="E13557" s="21" t="inlineStr">
        <is>
          <t>新疆维吾尔自治区阿克苏地区拜城县</t>
        </is>
      </c>
    </row>
    <row r="13558">
      <c r="B13558" s="41" t="inlineStr">
        <is>
          <t>AreaCode</t>
        </is>
      </c>
      <c r="C13558" s="129" t="inlineStr">
        <is>
          <t>地区代码</t>
        </is>
      </c>
      <c r="D13558" s="21" t="n">
        <v>652927</v>
      </c>
      <c r="E13558" s="21" t="inlineStr">
        <is>
          <t>新疆维吾尔自治区阿克苏地区乌什县</t>
        </is>
      </c>
    </row>
    <row r="13559">
      <c r="B13559" s="41" t="inlineStr">
        <is>
          <t>AreaCode</t>
        </is>
      </c>
      <c r="C13559" s="129" t="inlineStr">
        <is>
          <t>地区代码</t>
        </is>
      </c>
      <c r="D13559" s="21" t="n">
        <v>652928</v>
      </c>
      <c r="E13559" s="21" t="inlineStr">
        <is>
          <t>新疆维吾尔自治区阿克苏地区阿瓦提县</t>
        </is>
      </c>
    </row>
    <row r="13560">
      <c r="B13560" s="41" t="inlineStr">
        <is>
          <t>AreaCode</t>
        </is>
      </c>
      <c r="C13560" s="129" t="inlineStr">
        <is>
          <t>地区代码</t>
        </is>
      </c>
      <c r="D13560" s="21" t="n">
        <v>652929</v>
      </c>
      <c r="E13560" s="21" t="inlineStr">
        <is>
          <t>新疆维吾尔自治区阿克苏地区柯坪县</t>
        </is>
      </c>
    </row>
    <row r="13561">
      <c r="B13561" s="41" t="inlineStr">
        <is>
          <t>AreaCode</t>
        </is>
      </c>
      <c r="C13561" s="129" t="inlineStr">
        <is>
          <t>地区代码</t>
        </is>
      </c>
      <c r="D13561" s="21" t="n">
        <v>653000</v>
      </c>
      <c r="E13561" s="21" t="inlineStr">
        <is>
          <t>新疆维吾尔自治区克孜勒苏柯尔克孜自治州</t>
        </is>
      </c>
    </row>
    <row r="13562">
      <c r="B13562" s="41" t="inlineStr">
        <is>
          <t>AreaCode</t>
        </is>
      </c>
      <c r="C13562" s="129" t="inlineStr">
        <is>
          <t>地区代码</t>
        </is>
      </c>
      <c r="D13562" s="21" t="n">
        <v>653001</v>
      </c>
      <c r="E13562" s="21" t="inlineStr">
        <is>
          <t>新疆维吾尔自治区克孜勒苏柯尔克孜自治州阿图什市</t>
        </is>
      </c>
    </row>
    <row r="13563">
      <c r="B13563" s="41" t="inlineStr">
        <is>
          <t>AreaCode</t>
        </is>
      </c>
      <c r="C13563" s="129" t="inlineStr">
        <is>
          <t>地区代码</t>
        </is>
      </c>
      <c r="D13563" s="21" t="n">
        <v>653022</v>
      </c>
      <c r="E13563" s="21" t="inlineStr">
        <is>
          <t>新疆维吾尔自治区克孜勒苏柯尔克孜自治州阿克陶县</t>
        </is>
      </c>
    </row>
    <row r="13564">
      <c r="B13564" s="41" t="inlineStr">
        <is>
          <t>AreaCode</t>
        </is>
      </c>
      <c r="C13564" s="129" t="inlineStr">
        <is>
          <t>地区代码</t>
        </is>
      </c>
      <c r="D13564" s="21" t="n">
        <v>653023</v>
      </c>
      <c r="E13564" s="21" t="inlineStr">
        <is>
          <t>新疆维吾尔自治区克孜勒苏柯尔克孜自治州阿合奇县</t>
        </is>
      </c>
    </row>
    <row r="13565">
      <c r="B13565" s="41" t="inlineStr">
        <is>
          <t>AreaCode</t>
        </is>
      </c>
      <c r="C13565" s="129" t="inlineStr">
        <is>
          <t>地区代码</t>
        </is>
      </c>
      <c r="D13565" s="21" t="n">
        <v>653024</v>
      </c>
      <c r="E13565" s="21" t="inlineStr">
        <is>
          <t>新疆维吾尔自治区克孜勒苏柯尔克孜自治州乌恰县</t>
        </is>
      </c>
    </row>
    <row r="13566">
      <c r="B13566" s="41" t="inlineStr">
        <is>
          <t>AreaCode</t>
        </is>
      </c>
      <c r="C13566" s="129" t="inlineStr">
        <is>
          <t>地区代码</t>
        </is>
      </c>
      <c r="D13566" s="21" t="n">
        <v>653100</v>
      </c>
      <c r="E13566" s="21" t="inlineStr">
        <is>
          <t>新疆维吾尔自治区喀什地区</t>
        </is>
      </c>
    </row>
    <row r="13567">
      <c r="B13567" s="41" t="inlineStr">
        <is>
          <t>AreaCode</t>
        </is>
      </c>
      <c r="C13567" s="129" t="inlineStr">
        <is>
          <t>地区代码</t>
        </is>
      </c>
      <c r="D13567" s="21" t="n">
        <v>653101</v>
      </c>
      <c r="E13567" s="21" t="inlineStr">
        <is>
          <t>新疆维吾尔自治区喀什地区喀什市</t>
        </is>
      </c>
    </row>
    <row r="13568">
      <c r="B13568" s="41" t="inlineStr">
        <is>
          <t>AreaCode</t>
        </is>
      </c>
      <c r="C13568" s="129" t="inlineStr">
        <is>
          <t>地区代码</t>
        </is>
      </c>
      <c r="D13568" s="21" t="n">
        <v>653121</v>
      </c>
      <c r="E13568" s="21" t="inlineStr">
        <is>
          <t>新疆维吾尔自治区喀什地区疏附县</t>
        </is>
      </c>
    </row>
    <row r="13569">
      <c r="B13569" s="41" t="inlineStr">
        <is>
          <t>AreaCode</t>
        </is>
      </c>
      <c r="C13569" s="129" t="inlineStr">
        <is>
          <t>地区代码</t>
        </is>
      </c>
      <c r="D13569" s="21" t="n">
        <v>653122</v>
      </c>
      <c r="E13569" s="21" t="inlineStr">
        <is>
          <t>新疆维吾尔自治区喀什地区疏勒县</t>
        </is>
      </c>
    </row>
    <row r="13570">
      <c r="B13570" s="41" t="inlineStr">
        <is>
          <t>AreaCode</t>
        </is>
      </c>
      <c r="C13570" s="129" t="inlineStr">
        <is>
          <t>地区代码</t>
        </is>
      </c>
      <c r="D13570" s="21" t="n">
        <v>653123</v>
      </c>
      <c r="E13570" s="21" t="inlineStr">
        <is>
          <t>新疆维吾尔自治区喀什地区英吉沙县</t>
        </is>
      </c>
    </row>
    <row r="13571">
      <c r="B13571" s="41" t="inlineStr">
        <is>
          <t>AreaCode</t>
        </is>
      </c>
      <c r="C13571" s="129" t="inlineStr">
        <is>
          <t>地区代码</t>
        </is>
      </c>
      <c r="D13571" s="21" t="n">
        <v>653124</v>
      </c>
      <c r="E13571" s="21" t="inlineStr">
        <is>
          <t>新疆维吾尔自治区喀什地区泽普县</t>
        </is>
      </c>
    </row>
    <row r="13572">
      <c r="B13572" s="41" t="inlineStr">
        <is>
          <t>AreaCode</t>
        </is>
      </c>
      <c r="C13572" s="129" t="inlineStr">
        <is>
          <t>地区代码</t>
        </is>
      </c>
      <c r="D13572" s="21" t="n">
        <v>653125</v>
      </c>
      <c r="E13572" s="21" t="inlineStr">
        <is>
          <t>新疆维吾尔自治区喀什地区莎车县</t>
        </is>
      </c>
    </row>
    <row r="13573">
      <c r="B13573" s="41" t="inlineStr">
        <is>
          <t>AreaCode</t>
        </is>
      </c>
      <c r="C13573" s="129" t="inlineStr">
        <is>
          <t>地区代码</t>
        </is>
      </c>
      <c r="D13573" s="21" t="n">
        <v>653126</v>
      </c>
      <c r="E13573" s="21" t="inlineStr">
        <is>
          <t>新疆维吾尔自治区喀什地区叶城县</t>
        </is>
      </c>
    </row>
    <row r="13574">
      <c r="B13574" s="41" t="inlineStr">
        <is>
          <t>AreaCode</t>
        </is>
      </c>
      <c r="C13574" s="129" t="inlineStr">
        <is>
          <t>地区代码</t>
        </is>
      </c>
      <c r="D13574" s="21" t="n">
        <v>653127</v>
      </c>
      <c r="E13574" s="21" t="inlineStr">
        <is>
          <t>新疆维吾尔自治区喀什地区麦盖提县</t>
        </is>
      </c>
    </row>
    <row r="13575">
      <c r="B13575" s="41" t="inlineStr">
        <is>
          <t>AreaCode</t>
        </is>
      </c>
      <c r="C13575" s="129" t="inlineStr">
        <is>
          <t>地区代码</t>
        </is>
      </c>
      <c r="D13575" s="21" t="n">
        <v>653128</v>
      </c>
      <c r="E13575" s="21" t="inlineStr">
        <is>
          <t>新疆维吾尔自治区喀什地区岳普湖县</t>
        </is>
      </c>
    </row>
    <row r="13576">
      <c r="B13576" s="41" t="inlineStr">
        <is>
          <t>AreaCode</t>
        </is>
      </c>
      <c r="C13576" s="129" t="inlineStr">
        <is>
          <t>地区代码</t>
        </is>
      </c>
      <c r="D13576" s="21" t="n">
        <v>653129</v>
      </c>
      <c r="E13576" s="21" t="inlineStr">
        <is>
          <t>新疆维吾尔自治区喀什地区伽师县</t>
        </is>
      </c>
    </row>
    <row r="13577">
      <c r="B13577" s="41" t="inlineStr">
        <is>
          <t>AreaCode</t>
        </is>
      </c>
      <c r="C13577" s="129" t="inlineStr">
        <is>
          <t>地区代码</t>
        </is>
      </c>
      <c r="D13577" s="21" t="n">
        <v>653130</v>
      </c>
      <c r="E13577" s="21" t="inlineStr">
        <is>
          <t>新疆维吾尔自治区喀什地区巴楚县</t>
        </is>
      </c>
    </row>
    <row r="13578">
      <c r="B13578" s="41" t="inlineStr">
        <is>
          <t>AreaCode</t>
        </is>
      </c>
      <c r="C13578" s="129" t="inlineStr">
        <is>
          <t>地区代码</t>
        </is>
      </c>
      <c r="D13578" s="21" t="n">
        <v>653131</v>
      </c>
      <c r="E13578" s="21" t="inlineStr">
        <is>
          <t>新疆维吾尔自治区喀什地区塔什库尔干塔吉克自治县</t>
        </is>
      </c>
    </row>
    <row r="13579">
      <c r="B13579" s="41" t="inlineStr">
        <is>
          <t>AreaCode</t>
        </is>
      </c>
      <c r="C13579" s="129" t="inlineStr">
        <is>
          <t>地区代码</t>
        </is>
      </c>
      <c r="D13579" s="21" t="n">
        <v>653200</v>
      </c>
      <c r="E13579" s="21" t="inlineStr">
        <is>
          <t>新疆维吾尔自治区和田地区</t>
        </is>
      </c>
    </row>
    <row r="13580">
      <c r="B13580" s="41" t="inlineStr">
        <is>
          <t>AreaCode</t>
        </is>
      </c>
      <c r="C13580" s="129" t="inlineStr">
        <is>
          <t>地区代码</t>
        </is>
      </c>
      <c r="D13580" s="21" t="n">
        <v>653201</v>
      </c>
      <c r="E13580" s="21" t="inlineStr">
        <is>
          <t>新疆维吾尔自治区和田地区和田市</t>
        </is>
      </c>
    </row>
    <row r="13581">
      <c r="B13581" s="41" t="inlineStr">
        <is>
          <t>AreaCode</t>
        </is>
      </c>
      <c r="C13581" s="129" t="inlineStr">
        <is>
          <t>地区代码</t>
        </is>
      </c>
      <c r="D13581" s="21" t="n">
        <v>653221</v>
      </c>
      <c r="E13581" s="21" t="inlineStr">
        <is>
          <t>新疆维吾尔自治区和田地区和田县</t>
        </is>
      </c>
    </row>
    <row r="13582">
      <c r="B13582" s="41" t="inlineStr">
        <is>
          <t>AreaCode</t>
        </is>
      </c>
      <c r="C13582" s="129" t="inlineStr">
        <is>
          <t>地区代码</t>
        </is>
      </c>
      <c r="D13582" s="21" t="n">
        <v>653222</v>
      </c>
      <c r="E13582" s="21" t="inlineStr">
        <is>
          <t>新疆维吾尔自治区和田地区墨玉县</t>
        </is>
      </c>
    </row>
    <row r="13583">
      <c r="B13583" s="41" t="inlineStr">
        <is>
          <t>AreaCode</t>
        </is>
      </c>
      <c r="C13583" s="129" t="inlineStr">
        <is>
          <t>地区代码</t>
        </is>
      </c>
      <c r="D13583" s="21" t="n">
        <v>653223</v>
      </c>
      <c r="E13583" s="21" t="inlineStr">
        <is>
          <t>新疆维吾尔自治区和田地区皮山县</t>
        </is>
      </c>
    </row>
    <row r="13584">
      <c r="B13584" s="41" t="inlineStr">
        <is>
          <t>AreaCode</t>
        </is>
      </c>
      <c r="C13584" s="129" t="inlineStr">
        <is>
          <t>地区代码</t>
        </is>
      </c>
      <c r="D13584" s="21" t="n">
        <v>653224</v>
      </c>
      <c r="E13584" s="21" t="inlineStr">
        <is>
          <t>新疆维吾尔自治区和田地区洛浦县</t>
        </is>
      </c>
    </row>
    <row r="13585">
      <c r="B13585" s="41" t="inlineStr">
        <is>
          <t>AreaCode</t>
        </is>
      </c>
      <c r="C13585" s="129" t="inlineStr">
        <is>
          <t>地区代码</t>
        </is>
      </c>
      <c r="D13585" s="21" t="n">
        <v>653225</v>
      </c>
      <c r="E13585" s="21" t="inlineStr">
        <is>
          <t>新疆维吾尔自治区和田地区策勒县</t>
        </is>
      </c>
    </row>
    <row r="13586">
      <c r="B13586" s="41" t="inlineStr">
        <is>
          <t>AreaCode</t>
        </is>
      </c>
      <c r="C13586" s="129" t="inlineStr">
        <is>
          <t>地区代码</t>
        </is>
      </c>
      <c r="D13586" s="21" t="n">
        <v>653226</v>
      </c>
      <c r="E13586" s="21" t="inlineStr">
        <is>
          <t>新疆维吾尔自治区和田地区于田县</t>
        </is>
      </c>
    </row>
    <row r="13587">
      <c r="B13587" s="41" t="inlineStr">
        <is>
          <t>AreaCode</t>
        </is>
      </c>
      <c r="C13587" s="129" t="inlineStr">
        <is>
          <t>地区代码</t>
        </is>
      </c>
      <c r="D13587" s="21" t="n">
        <v>653227</v>
      </c>
      <c r="E13587" s="21" t="inlineStr">
        <is>
          <t>新疆维吾尔自治区和田地区民丰县</t>
        </is>
      </c>
    </row>
    <row r="13588">
      <c r="B13588" s="41" t="inlineStr">
        <is>
          <t>AreaCode</t>
        </is>
      </c>
      <c r="C13588" s="129" t="inlineStr">
        <is>
          <t>地区代码</t>
        </is>
      </c>
      <c r="D13588" s="21" t="n">
        <v>654000</v>
      </c>
      <c r="E13588" s="21" t="inlineStr">
        <is>
          <t>新疆维吾尔自治区伊犁哈萨克自治州</t>
        </is>
      </c>
    </row>
    <row r="13589">
      <c r="B13589" s="41" t="inlineStr">
        <is>
          <t>AreaCode</t>
        </is>
      </c>
      <c r="C13589" s="129" t="inlineStr">
        <is>
          <t>地区代码</t>
        </is>
      </c>
      <c r="D13589" s="21" t="n">
        <v>654002</v>
      </c>
      <c r="E13589" s="21" t="inlineStr">
        <is>
          <t>新疆维吾尔自治区伊犁哈萨克自治州伊宁市</t>
        </is>
      </c>
    </row>
    <row r="13590">
      <c r="B13590" s="41" t="inlineStr">
        <is>
          <t>AreaCode</t>
        </is>
      </c>
      <c r="C13590" s="129" t="inlineStr">
        <is>
          <t>地区代码</t>
        </is>
      </c>
      <c r="D13590" s="21" t="n">
        <v>654003</v>
      </c>
      <c r="E13590" s="21" t="inlineStr">
        <is>
          <t>新疆维吾尔自治区伊犁哈萨克自治州奎屯市</t>
        </is>
      </c>
    </row>
    <row r="13591">
      <c r="B13591" s="41" t="inlineStr">
        <is>
          <t>AreaCode</t>
        </is>
      </c>
      <c r="C13591" s="129" t="inlineStr">
        <is>
          <t>地区代码</t>
        </is>
      </c>
      <c r="D13591" s="21" t="n">
        <v>654021</v>
      </c>
      <c r="E13591" s="21" t="inlineStr">
        <is>
          <t>新疆维吾尔自治区伊犁哈萨克自治州伊宁县</t>
        </is>
      </c>
    </row>
    <row r="13592">
      <c r="B13592" s="41" t="inlineStr">
        <is>
          <t>AreaCode</t>
        </is>
      </c>
      <c r="C13592" s="129" t="inlineStr">
        <is>
          <t>地区代码</t>
        </is>
      </c>
      <c r="D13592" s="21" t="n">
        <v>654022</v>
      </c>
      <c r="E13592" s="21" t="inlineStr">
        <is>
          <t>新疆维吾尔自治区伊犁哈萨克自治州察布查尔锡伯自治县</t>
        </is>
      </c>
    </row>
    <row r="13593">
      <c r="B13593" s="41" t="inlineStr">
        <is>
          <t>AreaCode</t>
        </is>
      </c>
      <c r="C13593" s="129" t="inlineStr">
        <is>
          <t>地区代码</t>
        </is>
      </c>
      <c r="D13593" s="21" t="n">
        <v>654023</v>
      </c>
      <c r="E13593" s="21" t="inlineStr">
        <is>
          <t>新疆维吾尔自治区伊犁哈萨克自治州霍城县</t>
        </is>
      </c>
    </row>
    <row r="13594">
      <c r="B13594" s="41" t="inlineStr">
        <is>
          <t>AreaCode</t>
        </is>
      </c>
      <c r="C13594" s="129" t="inlineStr">
        <is>
          <t>地区代码</t>
        </is>
      </c>
      <c r="D13594" s="21" t="n">
        <v>654024</v>
      </c>
      <c r="E13594" s="21" t="inlineStr">
        <is>
          <t>新疆维吾尔自治区伊犁哈萨克自治州巩留县</t>
        </is>
      </c>
    </row>
    <row r="13595">
      <c r="B13595" s="41" t="inlineStr">
        <is>
          <t>AreaCode</t>
        </is>
      </c>
      <c r="C13595" s="129" t="inlineStr">
        <is>
          <t>地区代码</t>
        </is>
      </c>
      <c r="D13595" s="21" t="n">
        <v>654025</v>
      </c>
      <c r="E13595" s="21" t="inlineStr">
        <is>
          <t>新疆维吾尔自治区伊犁哈萨克自治州新源县</t>
        </is>
      </c>
    </row>
    <row r="13596">
      <c r="B13596" s="41" t="inlineStr">
        <is>
          <t>AreaCode</t>
        </is>
      </c>
      <c r="C13596" s="129" t="inlineStr">
        <is>
          <t>地区代码</t>
        </is>
      </c>
      <c r="D13596" s="21" t="n">
        <v>654026</v>
      </c>
      <c r="E13596" s="21" t="inlineStr">
        <is>
          <t>新疆维吾尔自治区伊犁哈萨克自治州昭苏县</t>
        </is>
      </c>
    </row>
    <row r="13597">
      <c r="B13597" s="41" t="inlineStr">
        <is>
          <t>AreaCode</t>
        </is>
      </c>
      <c r="C13597" s="129" t="inlineStr">
        <is>
          <t>地区代码</t>
        </is>
      </c>
      <c r="D13597" s="21" t="n">
        <v>654027</v>
      </c>
      <c r="E13597" s="21" t="inlineStr">
        <is>
          <t>新疆维吾尔自治区伊犁哈萨克自治州特克斯县</t>
        </is>
      </c>
    </row>
    <row r="13598">
      <c r="B13598" s="41" t="inlineStr">
        <is>
          <t>AreaCode</t>
        </is>
      </c>
      <c r="C13598" s="129" t="inlineStr">
        <is>
          <t>地区代码</t>
        </is>
      </c>
      <c r="D13598" s="21" t="n">
        <v>654028</v>
      </c>
      <c r="E13598" s="21" t="inlineStr">
        <is>
          <t>新疆维吾尔自治区伊犁哈萨克自治州尼勒克县</t>
        </is>
      </c>
    </row>
    <row r="13599">
      <c r="B13599" s="41" t="inlineStr">
        <is>
          <t>AreaCode</t>
        </is>
      </c>
      <c r="C13599" s="129" t="inlineStr">
        <is>
          <t>地区代码</t>
        </is>
      </c>
      <c r="D13599" s="21" t="n">
        <v>654200</v>
      </c>
      <c r="E13599" s="21" t="inlineStr">
        <is>
          <t>新疆维吾尔自治区塔城地区</t>
        </is>
      </c>
    </row>
    <row r="13600">
      <c r="B13600" s="41" t="inlineStr">
        <is>
          <t>AreaCode</t>
        </is>
      </c>
      <c r="C13600" s="129" t="inlineStr">
        <is>
          <t>地区代码</t>
        </is>
      </c>
      <c r="D13600" s="21" t="n">
        <v>654201</v>
      </c>
      <c r="E13600" s="21" t="inlineStr">
        <is>
          <t>新疆维吾尔自治区塔城地区塔城市</t>
        </is>
      </c>
    </row>
    <row r="13601">
      <c r="B13601" s="41" t="inlineStr">
        <is>
          <t>AreaCode</t>
        </is>
      </c>
      <c r="C13601" s="129" t="inlineStr">
        <is>
          <t>地区代码</t>
        </is>
      </c>
      <c r="D13601" s="21" t="n">
        <v>654202</v>
      </c>
      <c r="E13601" s="21" t="inlineStr">
        <is>
          <t>新疆维吾尔自治区塔城地区乌苏市</t>
        </is>
      </c>
    </row>
    <row r="13602">
      <c r="B13602" s="41" t="inlineStr">
        <is>
          <t>AreaCode</t>
        </is>
      </c>
      <c r="C13602" s="129" t="inlineStr">
        <is>
          <t>地区代码</t>
        </is>
      </c>
      <c r="D13602" s="21" t="n">
        <v>654221</v>
      </c>
      <c r="E13602" s="21" t="inlineStr">
        <is>
          <t>新疆维吾尔自治区塔城地区额敏县</t>
        </is>
      </c>
    </row>
    <row r="13603">
      <c r="B13603" s="41" t="inlineStr">
        <is>
          <t>AreaCode</t>
        </is>
      </c>
      <c r="C13603" s="129" t="inlineStr">
        <is>
          <t>地区代码</t>
        </is>
      </c>
      <c r="D13603" s="21" t="n">
        <v>654223</v>
      </c>
      <c r="E13603" s="21" t="inlineStr">
        <is>
          <t>新疆维吾尔自治区塔城地区沙湾县</t>
        </is>
      </c>
    </row>
    <row r="13604">
      <c r="B13604" s="41" t="inlineStr">
        <is>
          <t>AreaCode</t>
        </is>
      </c>
      <c r="C13604" s="129" t="inlineStr">
        <is>
          <t>地区代码</t>
        </is>
      </c>
      <c r="D13604" s="21" t="n">
        <v>654224</v>
      </c>
      <c r="E13604" s="21" t="inlineStr">
        <is>
          <t>新疆维吾尔自治区塔城地区托里县</t>
        </is>
      </c>
    </row>
    <row r="13605">
      <c r="B13605" s="41" t="inlineStr">
        <is>
          <t>AreaCode</t>
        </is>
      </c>
      <c r="C13605" s="129" t="inlineStr">
        <is>
          <t>地区代码</t>
        </is>
      </c>
      <c r="D13605" s="21" t="n">
        <v>654225</v>
      </c>
      <c r="E13605" s="21" t="inlineStr">
        <is>
          <t>新疆维吾尔自治区塔城地区裕民县</t>
        </is>
      </c>
    </row>
    <row r="13606">
      <c r="B13606" s="41" t="inlineStr">
        <is>
          <t>AreaCode</t>
        </is>
      </c>
      <c r="C13606" s="129" t="inlineStr">
        <is>
          <t>地区代码</t>
        </is>
      </c>
      <c r="D13606" s="21" t="n">
        <v>654226</v>
      </c>
      <c r="E13606" s="21" t="inlineStr">
        <is>
          <t>新疆维吾尔自治区塔城地区和布克赛尔蒙古自治县</t>
        </is>
      </c>
    </row>
    <row r="13607">
      <c r="B13607" s="41" t="inlineStr">
        <is>
          <t>AreaCode</t>
        </is>
      </c>
      <c r="C13607" s="129" t="inlineStr">
        <is>
          <t>地区代码</t>
        </is>
      </c>
      <c r="D13607" s="21" t="n">
        <v>654300</v>
      </c>
      <c r="E13607" s="21" t="inlineStr">
        <is>
          <t>新疆维吾尔自治区阿勒泰地区</t>
        </is>
      </c>
    </row>
    <row r="13608">
      <c r="B13608" s="41" t="inlineStr">
        <is>
          <t>AreaCode</t>
        </is>
      </c>
      <c r="C13608" s="129" t="inlineStr">
        <is>
          <t>地区代码</t>
        </is>
      </c>
      <c r="D13608" s="21" t="n">
        <v>654301</v>
      </c>
      <c r="E13608" s="21" t="inlineStr">
        <is>
          <t>新疆维吾尔自治区阿勒泰地区阿勒泰市</t>
        </is>
      </c>
    </row>
    <row r="13609">
      <c r="B13609" s="41" t="inlineStr">
        <is>
          <t>AreaCode</t>
        </is>
      </c>
      <c r="C13609" s="129" t="inlineStr">
        <is>
          <t>地区代码</t>
        </is>
      </c>
      <c r="D13609" s="21" t="n">
        <v>654321</v>
      </c>
      <c r="E13609" s="21" t="inlineStr">
        <is>
          <t>新疆维吾尔自治区阿勒泰地区布尔津县</t>
        </is>
      </c>
    </row>
    <row r="13610">
      <c r="B13610" s="41" t="inlineStr">
        <is>
          <t>AreaCode</t>
        </is>
      </c>
      <c r="C13610" s="129" t="inlineStr">
        <is>
          <t>地区代码</t>
        </is>
      </c>
      <c r="D13610" s="21" t="n">
        <v>654322</v>
      </c>
      <c r="E13610" s="21" t="inlineStr">
        <is>
          <t>新疆维吾尔自治区阿勒泰地区富蕴县</t>
        </is>
      </c>
    </row>
    <row r="13611">
      <c r="B13611" s="41" t="inlineStr">
        <is>
          <t>AreaCode</t>
        </is>
      </c>
      <c r="C13611" s="129" t="inlineStr">
        <is>
          <t>地区代码</t>
        </is>
      </c>
      <c r="D13611" s="21" t="n">
        <v>654323</v>
      </c>
      <c r="E13611" s="21" t="inlineStr">
        <is>
          <t>新疆维吾尔自治区阿勒泰地区福海县</t>
        </is>
      </c>
    </row>
    <row r="13612">
      <c r="B13612" s="41" t="inlineStr">
        <is>
          <t>AreaCode</t>
        </is>
      </c>
      <c r="C13612" s="129" t="inlineStr">
        <is>
          <t>地区代码</t>
        </is>
      </c>
      <c r="D13612" s="21" t="n">
        <v>654324</v>
      </c>
      <c r="E13612" s="21" t="inlineStr">
        <is>
          <t>新疆维吾尔自治区阿勒泰地区哈巴河县</t>
        </is>
      </c>
    </row>
    <row r="13613">
      <c r="B13613" s="41" t="inlineStr">
        <is>
          <t>AreaCode</t>
        </is>
      </c>
      <c r="C13613" s="129" t="inlineStr">
        <is>
          <t>地区代码</t>
        </is>
      </c>
      <c r="D13613" s="21" t="n">
        <v>654325</v>
      </c>
      <c r="E13613" s="21" t="inlineStr">
        <is>
          <t>新疆维吾尔自治区阿勒泰地区青河县</t>
        </is>
      </c>
    </row>
    <row r="13614">
      <c r="B13614" s="41" t="inlineStr">
        <is>
          <t>AreaCode</t>
        </is>
      </c>
      <c r="C13614" s="129" t="inlineStr">
        <is>
          <t>地区代码</t>
        </is>
      </c>
      <c r="D13614" s="21" t="n">
        <v>654326</v>
      </c>
      <c r="E13614" s="21" t="inlineStr">
        <is>
          <t>新疆维吾尔自治区阿勒泰地区吉木乃县</t>
        </is>
      </c>
    </row>
    <row r="13615">
      <c r="B13615" s="41" t="inlineStr">
        <is>
          <t>AreaCode</t>
        </is>
      </c>
      <c r="C13615" s="129" t="inlineStr">
        <is>
          <t>地区代码</t>
        </is>
      </c>
      <c r="D13615" s="21" t="n">
        <v>659000</v>
      </c>
      <c r="E13615" s="21" t="inlineStr">
        <is>
          <t>新疆维吾尔自治区自治区直辖县行政区划</t>
        </is>
      </c>
    </row>
    <row r="13616">
      <c r="B13616" s="41" t="inlineStr">
        <is>
          <t>AreaCode</t>
        </is>
      </c>
      <c r="C13616" s="129" t="inlineStr">
        <is>
          <t>地区代码</t>
        </is>
      </c>
      <c r="D13616" s="21" t="n">
        <v>659001</v>
      </c>
      <c r="E13616" s="21" t="inlineStr">
        <is>
          <t>新疆维吾尔自治区石河子市</t>
        </is>
      </c>
    </row>
    <row r="13617">
      <c r="B13617" s="41" t="inlineStr">
        <is>
          <t>AreaCode</t>
        </is>
      </c>
      <c r="C13617" s="129" t="inlineStr">
        <is>
          <t>地区代码</t>
        </is>
      </c>
      <c r="D13617" s="21" t="n">
        <v>659002</v>
      </c>
      <c r="E13617" s="21" t="inlineStr">
        <is>
          <t>新疆维吾尔自治区阿拉尔市</t>
        </is>
      </c>
    </row>
    <row r="13618">
      <c r="B13618" s="41" t="inlineStr">
        <is>
          <t>AreaCode</t>
        </is>
      </c>
      <c r="C13618" s="129" t="inlineStr">
        <is>
          <t>地区代码</t>
        </is>
      </c>
      <c r="D13618" s="21" t="n">
        <v>659003</v>
      </c>
      <c r="E13618" s="21" t="inlineStr">
        <is>
          <t>新疆维吾尔自治区图木舒克市</t>
        </is>
      </c>
    </row>
    <row r="13619">
      <c r="B13619" s="41" t="inlineStr">
        <is>
          <t>AreaCode</t>
        </is>
      </c>
      <c r="C13619" s="129" t="inlineStr">
        <is>
          <t>地区代码</t>
        </is>
      </c>
      <c r="D13619" s="21" t="n">
        <v>659004</v>
      </c>
      <c r="E13619" s="21" t="inlineStr">
        <is>
          <t>新疆维吾尔自治区五家渠市</t>
        </is>
      </c>
    </row>
    <row r="13620">
      <c r="B13620" s="41" t="inlineStr">
        <is>
          <t>AreaCode</t>
        </is>
      </c>
      <c r="C13620" s="129" t="inlineStr">
        <is>
          <t>地区代码</t>
        </is>
      </c>
      <c r="D13620" s="21" t="n">
        <v>71</v>
      </c>
      <c r="E13620" s="21" t="inlineStr">
        <is>
          <t>台湾省</t>
        </is>
      </c>
    </row>
    <row r="13621">
      <c r="B13621" s="41" t="inlineStr">
        <is>
          <t>AreaCode</t>
        </is>
      </c>
      <c r="C13621" s="129" t="inlineStr">
        <is>
          <t>地区代码</t>
        </is>
      </c>
      <c r="D13621" s="21" t="n">
        <v>710000</v>
      </c>
      <c r="E13621" s="21" t="inlineStr">
        <is>
          <t>台湾省</t>
        </is>
      </c>
    </row>
    <row r="13622">
      <c r="B13622" s="41" t="inlineStr">
        <is>
          <t>AreaCode</t>
        </is>
      </c>
      <c r="C13622" s="129" t="inlineStr">
        <is>
          <t>地区代码</t>
        </is>
      </c>
      <c r="D13622" s="21" t="n">
        <v>710001</v>
      </c>
      <c r="E13622" s="21" t="inlineStr">
        <is>
          <t>台湾省</t>
        </is>
      </c>
    </row>
    <row r="13623">
      <c r="B13623" s="41" t="inlineStr">
        <is>
          <t>AreaCode</t>
        </is>
      </c>
      <c r="C13623" s="129" t="inlineStr">
        <is>
          <t>地区代码</t>
        </is>
      </c>
      <c r="D13623" s="21" t="n">
        <v>81</v>
      </c>
      <c r="E13623" s="21" t="inlineStr">
        <is>
          <t>香港特别行政区</t>
        </is>
      </c>
    </row>
    <row r="13624">
      <c r="B13624" s="41" t="inlineStr">
        <is>
          <t>AreaCode</t>
        </is>
      </c>
      <c r="C13624" s="129" t="inlineStr">
        <is>
          <t>地区代码</t>
        </is>
      </c>
      <c r="D13624" s="21" t="n">
        <v>810000</v>
      </c>
      <c r="E13624" s="21" t="inlineStr">
        <is>
          <t>香港特别行政区</t>
        </is>
      </c>
    </row>
    <row r="13625">
      <c r="B13625" s="41" t="inlineStr">
        <is>
          <t>AreaCode</t>
        </is>
      </c>
      <c r="C13625" s="129" t="inlineStr">
        <is>
          <t>地区代码</t>
        </is>
      </c>
      <c r="D13625" s="21" t="n">
        <v>810001</v>
      </c>
      <c r="E13625" s="21" t="inlineStr">
        <is>
          <t>香港特别行政区</t>
        </is>
      </c>
    </row>
    <row r="13626">
      <c r="B13626" s="41" t="inlineStr">
        <is>
          <t>AreaCode</t>
        </is>
      </c>
      <c r="C13626" s="129" t="inlineStr">
        <is>
          <t>地区代码</t>
        </is>
      </c>
      <c r="D13626" s="21" t="n">
        <v>91</v>
      </c>
      <c r="E13626" s="21" t="inlineStr">
        <is>
          <t>澳门特别行政区</t>
        </is>
      </c>
    </row>
    <row r="13627">
      <c r="B13627" s="41" t="inlineStr">
        <is>
          <t>AreaCode</t>
        </is>
      </c>
      <c r="C13627" s="129" t="inlineStr">
        <is>
          <t>地区代码</t>
        </is>
      </c>
      <c r="D13627" s="21" t="n">
        <v>910000</v>
      </c>
      <c r="E13627" s="21" t="inlineStr">
        <is>
          <t>澳门特别行政区</t>
        </is>
      </c>
    </row>
    <row r="13628">
      <c r="B13628" s="41" t="inlineStr">
        <is>
          <t>AreaCode</t>
        </is>
      </c>
      <c r="C13628" s="129" t="inlineStr">
        <is>
          <t>地区代码</t>
        </is>
      </c>
      <c r="D13628" s="21" t="n">
        <v>910001</v>
      </c>
      <c r="E13628" s="21" t="inlineStr">
        <is>
          <t>澳门特别行政区</t>
        </is>
      </c>
    </row>
    <row r="13629" ht="16.75" customHeight="1" s="170">
      <c r="B13629" s="122" t="inlineStr">
        <is>
          <t>码值：pressureIndex</t>
        </is>
      </c>
    </row>
    <row r="13630">
      <c r="B13630" s="24" t="inlineStr">
        <is>
          <t>pressureIndex</t>
        </is>
      </c>
      <c r="C13630" s="53" t="inlineStr">
        <is>
          <t>压力测试种类</t>
        </is>
      </c>
      <c r="D13630" s="24" t="n">
        <v>1</v>
      </c>
      <c r="E13630" s="24" t="inlineStr">
        <is>
          <t>足值率</t>
        </is>
      </c>
    </row>
    <row r="13631">
      <c r="B13631" s="24" t="inlineStr">
        <is>
          <t>pressureIndex</t>
        </is>
      </c>
      <c r="C13631" s="53" t="inlineStr">
        <is>
          <t>压力测试种类</t>
        </is>
      </c>
      <c r="D13631" s="109" t="n">
        <v>2</v>
      </c>
      <c r="E13631" s="109" t="inlineStr">
        <is>
          <t>抵质押率</t>
        </is>
      </c>
    </row>
    <row r="13632">
      <c r="B13632" s="24" t="inlineStr">
        <is>
          <t>pressureIndex</t>
        </is>
      </c>
      <c r="C13632" s="53" t="inlineStr">
        <is>
          <t>压力测试种类</t>
        </is>
      </c>
      <c r="D13632" s="41" t="n">
        <v>3</v>
      </c>
      <c r="E13632" s="41" t="inlineStr">
        <is>
          <t>最新认定价值</t>
        </is>
      </c>
    </row>
    <row r="13633" ht="16.75" customHeight="1" s="170">
      <c r="B13633" s="122" t="inlineStr">
        <is>
          <t>码值：dimensionType</t>
        </is>
      </c>
    </row>
    <row r="13634">
      <c r="B13634" s="24" t="inlineStr">
        <is>
          <t>dimensionType</t>
        </is>
      </c>
      <c r="C13634" s="53" t="inlineStr">
        <is>
          <t>压力测试参数</t>
        </is>
      </c>
      <c r="D13634" s="24" t="n">
        <v>1</v>
      </c>
      <c r="E13634" s="24" t="inlineStr">
        <is>
          <t>机构</t>
        </is>
      </c>
    </row>
    <row r="13635">
      <c r="B13635" s="24" t="inlineStr">
        <is>
          <t>dimensionType</t>
        </is>
      </c>
      <c r="C13635" s="53" t="inlineStr">
        <is>
          <t>压力测试参数</t>
        </is>
      </c>
      <c r="D13635" s="109" t="n">
        <v>2</v>
      </c>
      <c r="E13635" s="109" t="inlineStr">
        <is>
          <t>贷款投向</t>
        </is>
      </c>
    </row>
    <row r="13636">
      <c r="B13636" s="24" t="inlineStr">
        <is>
          <t>dimensionType</t>
        </is>
      </c>
      <c r="C13636" s="53" t="inlineStr">
        <is>
          <t>压力测试参数</t>
        </is>
      </c>
      <c r="D13636" s="41" t="n">
        <v>3</v>
      </c>
      <c r="E13636" s="41" t="inlineStr">
        <is>
          <t>押品所在地</t>
        </is>
      </c>
    </row>
    <row r="13637" ht="16" customHeight="1" s="170">
      <c r="B13637" s="127" t="inlineStr">
        <is>
          <t>码值：Trademarket</t>
        </is>
      </c>
    </row>
    <row r="13638">
      <c r="B13638" s="41" t="inlineStr">
        <is>
          <t>Trademarket</t>
        </is>
      </c>
      <c r="C13638" s="128" t="inlineStr">
        <is>
          <t>股票交易场所</t>
        </is>
      </c>
      <c r="D13638" s="41" t="inlineStr">
        <is>
          <t>A</t>
        </is>
      </c>
      <c r="E13638" s="41" t="inlineStr">
        <is>
          <t>美国证券交易所</t>
        </is>
      </c>
    </row>
    <row r="13639">
      <c r="B13639" s="41" t="inlineStr">
        <is>
          <t>Trademarket</t>
        </is>
      </c>
      <c r="C13639" s="128" t="inlineStr">
        <is>
          <t>股票交易场所</t>
        </is>
      </c>
      <c r="D13639" s="41" t="inlineStr">
        <is>
          <t>AS</t>
        </is>
      </c>
      <c r="E13639" s="41" t="inlineStr">
        <is>
          <t>阿姆斯特丹证券交易所</t>
        </is>
      </c>
    </row>
    <row r="13640">
      <c r="B13640" s="41" t="inlineStr">
        <is>
          <t>Trademarket</t>
        </is>
      </c>
      <c r="C13640" s="128" t="inlineStr">
        <is>
          <t>股票交易场所</t>
        </is>
      </c>
      <c r="D13640" s="41" t="inlineStr">
        <is>
          <t>AT</t>
        </is>
      </c>
      <c r="E13640" s="41" t="inlineStr">
        <is>
          <t>雅典证券交易所</t>
        </is>
      </c>
    </row>
    <row r="13641">
      <c r="B13641" s="41" t="inlineStr">
        <is>
          <t>Trademarket</t>
        </is>
      </c>
      <c r="C13641" s="128" t="inlineStr">
        <is>
          <t>股票交易场所</t>
        </is>
      </c>
      <c r="D13641" s="21" t="inlineStr">
        <is>
          <t>AX</t>
        </is>
      </c>
      <c r="E13641" s="21" t="inlineStr">
        <is>
          <t>澳大利亚证券交易所</t>
        </is>
      </c>
    </row>
    <row r="13642">
      <c r="B13642" s="41" t="inlineStr">
        <is>
          <t>Trademarket</t>
        </is>
      </c>
      <c r="C13642" s="128" t="inlineStr">
        <is>
          <t>股票交易场所</t>
        </is>
      </c>
      <c r="D13642" s="21" t="inlineStr">
        <is>
          <t>BK</t>
        </is>
      </c>
      <c r="E13642" s="21" t="inlineStr">
        <is>
          <t>泰国证券交易所</t>
        </is>
      </c>
    </row>
    <row r="13643">
      <c r="B13643" s="41" t="inlineStr">
        <is>
          <t>Trademarket</t>
        </is>
      </c>
      <c r="C13643" s="128" t="inlineStr">
        <is>
          <t>股票交易场所</t>
        </is>
      </c>
      <c r="D13643" s="21" t="inlineStr">
        <is>
          <t>BO</t>
        </is>
      </c>
      <c r="E13643" s="21" t="inlineStr">
        <is>
          <t>孟买证券交易所</t>
        </is>
      </c>
    </row>
    <row r="13644">
      <c r="B13644" s="41" t="inlineStr">
        <is>
          <t>Trademarket</t>
        </is>
      </c>
      <c r="C13644" s="128" t="inlineStr">
        <is>
          <t>股票交易场所</t>
        </is>
      </c>
      <c r="D13644" s="21" t="inlineStr">
        <is>
          <t>BR</t>
        </is>
      </c>
      <c r="E13644" s="21" t="inlineStr">
        <is>
          <t>布鲁塞尔证券交易所</t>
        </is>
      </c>
    </row>
    <row r="13645">
      <c r="B13645" s="41" t="inlineStr">
        <is>
          <t>Trademarket</t>
        </is>
      </c>
      <c r="C13645" s="128" t="inlineStr">
        <is>
          <t>股票交易场所</t>
        </is>
      </c>
      <c r="D13645" s="21" t="inlineStr">
        <is>
          <t>CM</t>
        </is>
      </c>
      <c r="E13645" s="21" t="inlineStr">
        <is>
          <t>科伦坡证券交易所</t>
        </is>
      </c>
    </row>
    <row r="13646">
      <c r="B13646" s="41" t="inlineStr">
        <is>
          <t>Trademarket</t>
        </is>
      </c>
      <c r="C13646" s="128" t="inlineStr">
        <is>
          <t>股票交易场所</t>
        </is>
      </c>
      <c r="D13646" s="21" t="inlineStr">
        <is>
          <t>CO</t>
        </is>
      </c>
      <c r="E13646" s="21" t="inlineStr">
        <is>
          <t>哥本哈根证券交易所</t>
        </is>
      </c>
    </row>
    <row r="13647">
      <c r="B13647" s="41" t="inlineStr">
        <is>
          <t>Trademarket</t>
        </is>
      </c>
      <c r="C13647" s="128" t="inlineStr">
        <is>
          <t>股票交易场所</t>
        </is>
      </c>
      <c r="D13647" s="21" t="inlineStr">
        <is>
          <t>CR</t>
        </is>
      </c>
      <c r="E13647" s="21" t="inlineStr">
        <is>
          <t>加拉加斯证券交易所</t>
        </is>
      </c>
    </row>
    <row r="13648">
      <c r="B13648" s="41" t="inlineStr">
        <is>
          <t>Trademarket</t>
        </is>
      </c>
      <c r="C13648" s="128" t="inlineStr">
        <is>
          <t>股票交易场所</t>
        </is>
      </c>
      <c r="D13648" s="21" t="inlineStr">
        <is>
          <t>DE</t>
        </is>
      </c>
      <c r="E13648" s="21" t="inlineStr">
        <is>
          <t>德国证券交易所</t>
        </is>
      </c>
    </row>
    <row r="13649">
      <c r="B13649" s="41" t="inlineStr">
        <is>
          <t>Trademarket</t>
        </is>
      </c>
      <c r="C13649" s="128" t="inlineStr">
        <is>
          <t>股票交易场所</t>
        </is>
      </c>
      <c r="D13649" s="21" t="inlineStr">
        <is>
          <t>F</t>
        </is>
      </c>
      <c r="E13649" s="21" t="inlineStr">
        <is>
          <t>法兰克福证券交易所</t>
        </is>
      </c>
    </row>
    <row r="13650">
      <c r="B13650" s="41" t="inlineStr">
        <is>
          <t>Trademarket</t>
        </is>
      </c>
      <c r="C13650" s="128" t="inlineStr">
        <is>
          <t>股票交易场所</t>
        </is>
      </c>
      <c r="D13650" s="21" t="inlineStr">
        <is>
          <t>HE</t>
        </is>
      </c>
      <c r="E13650" s="21" t="inlineStr">
        <is>
          <t>赫尔辛基证券交易所</t>
        </is>
      </c>
    </row>
    <row r="13651">
      <c r="B13651" s="41" t="inlineStr">
        <is>
          <t>Trademarket</t>
        </is>
      </c>
      <c r="C13651" s="128" t="inlineStr">
        <is>
          <t>股票交易场所</t>
        </is>
      </c>
      <c r="D13651" s="21" t="inlineStr">
        <is>
          <t>HK</t>
        </is>
      </c>
      <c r="E13651" s="21" t="inlineStr">
        <is>
          <t>香港证券交易所</t>
        </is>
      </c>
    </row>
    <row r="13652">
      <c r="B13652" s="41" t="inlineStr">
        <is>
          <t>Trademarket</t>
        </is>
      </c>
      <c r="C13652" s="128" t="inlineStr">
        <is>
          <t>股票交易场所</t>
        </is>
      </c>
      <c r="D13652" s="21" t="inlineStr">
        <is>
          <t>IC</t>
        </is>
      </c>
      <c r="E13652" s="21" t="inlineStr">
        <is>
          <t>冰岛证券交易所</t>
        </is>
      </c>
    </row>
    <row r="13653">
      <c r="B13653" s="41" t="inlineStr">
        <is>
          <t>Trademarket</t>
        </is>
      </c>
      <c r="C13653" s="128" t="inlineStr">
        <is>
          <t>股票交易场所</t>
        </is>
      </c>
      <c r="D13653" s="21" t="inlineStr">
        <is>
          <t>IS</t>
        </is>
      </c>
      <c r="E13653" s="21" t="inlineStr">
        <is>
          <t>河内证券交易所</t>
        </is>
      </c>
    </row>
    <row r="13654">
      <c r="B13654" s="41" t="inlineStr">
        <is>
          <t>Trademarket</t>
        </is>
      </c>
      <c r="C13654" s="128" t="inlineStr">
        <is>
          <t>股票交易场所</t>
        </is>
      </c>
      <c r="D13654" s="21" t="inlineStr">
        <is>
          <t>JK</t>
        </is>
      </c>
      <c r="E13654" s="21" t="inlineStr">
        <is>
          <t>印尼证券交易所</t>
        </is>
      </c>
    </row>
    <row r="13655">
      <c r="B13655" s="41" t="inlineStr">
        <is>
          <t>Trademarket</t>
        </is>
      </c>
      <c r="C13655" s="128" t="inlineStr">
        <is>
          <t>股票交易场所</t>
        </is>
      </c>
      <c r="D13655" s="21" t="inlineStr">
        <is>
          <t>JO</t>
        </is>
      </c>
      <c r="E13655" s="21" t="inlineStr">
        <is>
          <t>南非约翰内斯堡证券交易所</t>
        </is>
      </c>
    </row>
    <row r="13656">
      <c r="B13656" s="41" t="inlineStr">
        <is>
          <t>Trademarket</t>
        </is>
      </c>
      <c r="C13656" s="128" t="inlineStr">
        <is>
          <t>股票交易场所</t>
        </is>
      </c>
      <c r="D13656" s="21" t="inlineStr">
        <is>
          <t>KL</t>
        </is>
      </c>
      <c r="E13656" s="21" t="inlineStr">
        <is>
          <t>吉隆坡交易所</t>
        </is>
      </c>
    </row>
    <row r="13657">
      <c r="B13657" s="41" t="inlineStr">
        <is>
          <t>Trademarket</t>
        </is>
      </c>
      <c r="C13657" s="128" t="inlineStr">
        <is>
          <t>股票交易场所</t>
        </is>
      </c>
      <c r="D13657" s="21" t="inlineStr">
        <is>
          <t>KS</t>
        </is>
      </c>
      <c r="E13657" s="21" t="inlineStr">
        <is>
          <t>韩国证券交易所</t>
        </is>
      </c>
    </row>
    <row r="13658">
      <c r="B13658" s="41" t="inlineStr">
        <is>
          <t>Trademarket</t>
        </is>
      </c>
      <c r="C13658" s="128" t="inlineStr">
        <is>
          <t>股票交易场所</t>
        </is>
      </c>
      <c r="D13658" s="21" t="inlineStr">
        <is>
          <t>L</t>
        </is>
      </c>
      <c r="E13658" s="21" t="inlineStr">
        <is>
          <t>伦敦证券交易所</t>
        </is>
      </c>
    </row>
    <row r="13659">
      <c r="B13659" s="41" t="inlineStr">
        <is>
          <t>Trademarket</t>
        </is>
      </c>
      <c r="C13659" s="128" t="inlineStr">
        <is>
          <t>股票交易场所</t>
        </is>
      </c>
      <c r="D13659" s="21" t="inlineStr">
        <is>
          <t>LS</t>
        </is>
      </c>
      <c r="E13659" s="21" t="inlineStr">
        <is>
          <t>里斯本证券交易所</t>
        </is>
      </c>
    </row>
    <row r="13660">
      <c r="B13660" s="41" t="inlineStr">
        <is>
          <t>Trademarket</t>
        </is>
      </c>
      <c r="C13660" s="128" t="inlineStr">
        <is>
          <t>股票交易场所</t>
        </is>
      </c>
      <c r="D13660" s="21" t="inlineStr">
        <is>
          <t>MC</t>
        </is>
      </c>
      <c r="E13660" s="21" t="inlineStr">
        <is>
          <t>马德里证券交易所</t>
        </is>
      </c>
    </row>
    <row r="13661">
      <c r="B13661" s="41" t="inlineStr">
        <is>
          <t>Trademarket</t>
        </is>
      </c>
      <c r="C13661" s="128" t="inlineStr">
        <is>
          <t>股票交易场所</t>
        </is>
      </c>
      <c r="D13661" s="21" t="inlineStr">
        <is>
          <t>ME</t>
        </is>
      </c>
      <c r="E13661" s="21" t="inlineStr">
        <is>
          <t>莫斯科证券交易所</t>
        </is>
      </c>
    </row>
    <row r="13662">
      <c r="B13662" s="41" t="inlineStr">
        <is>
          <t>Trademarket</t>
        </is>
      </c>
      <c r="C13662" s="128" t="inlineStr">
        <is>
          <t>股票交易场所</t>
        </is>
      </c>
      <c r="D13662" s="21" t="inlineStr">
        <is>
          <t>MI</t>
        </is>
      </c>
      <c r="E13662" s="21" t="inlineStr">
        <is>
          <t>意大利证券交易所</t>
        </is>
      </c>
    </row>
    <row r="13663">
      <c r="B13663" s="41" t="inlineStr">
        <is>
          <t>Trademarket</t>
        </is>
      </c>
      <c r="C13663" s="128" t="inlineStr">
        <is>
          <t>股票交易场所</t>
        </is>
      </c>
      <c r="D13663" s="21" t="inlineStr">
        <is>
          <t>MX</t>
        </is>
      </c>
      <c r="E13663" s="21" t="inlineStr">
        <is>
          <t>墨西哥证券交易所</t>
        </is>
      </c>
    </row>
    <row r="13664">
      <c r="B13664" s="41" t="inlineStr">
        <is>
          <t>Trademarket</t>
        </is>
      </c>
      <c r="C13664" s="128" t="inlineStr">
        <is>
          <t>股票交易场所</t>
        </is>
      </c>
      <c r="D13664" s="21" t="inlineStr">
        <is>
          <t>N</t>
        </is>
      </c>
      <c r="E13664" s="21" t="inlineStr">
        <is>
          <t>纽约证券交易所</t>
        </is>
      </c>
    </row>
    <row r="13665">
      <c r="B13665" s="41" t="inlineStr">
        <is>
          <t>Trademarket</t>
        </is>
      </c>
      <c r="C13665" s="128" t="inlineStr">
        <is>
          <t>股票交易场所</t>
        </is>
      </c>
      <c r="D13665" s="21" t="inlineStr">
        <is>
          <t>NQ</t>
        </is>
      </c>
      <c r="E13665" s="21" t="inlineStr">
        <is>
          <t>股份转让市场</t>
        </is>
      </c>
    </row>
    <row r="13666">
      <c r="B13666" s="41" t="inlineStr">
        <is>
          <t>Trademarket</t>
        </is>
      </c>
      <c r="C13666" s="128" t="inlineStr">
        <is>
          <t>股票交易场所</t>
        </is>
      </c>
      <c r="D13666" s="21" t="inlineStr">
        <is>
          <t>NS</t>
        </is>
      </c>
      <c r="E13666" s="21" t="inlineStr">
        <is>
          <t>印度国家证券交易所</t>
        </is>
      </c>
    </row>
    <row r="13667">
      <c r="B13667" s="41" t="inlineStr">
        <is>
          <t>Trademarket</t>
        </is>
      </c>
      <c r="C13667" s="128" t="inlineStr">
        <is>
          <t>股票交易场所</t>
        </is>
      </c>
      <c r="D13667" s="21" t="inlineStr">
        <is>
          <t>NZ</t>
        </is>
      </c>
      <c r="E13667" s="21" t="inlineStr">
        <is>
          <t>新西兰证券交易所</t>
        </is>
      </c>
    </row>
    <row r="13668">
      <c r="B13668" s="41" t="inlineStr">
        <is>
          <t>Trademarket</t>
        </is>
      </c>
      <c r="C13668" s="128" t="inlineStr">
        <is>
          <t>股票交易场所</t>
        </is>
      </c>
      <c r="D13668" s="21" t="inlineStr">
        <is>
          <t>O</t>
        </is>
      </c>
      <c r="E13668" s="21" t="inlineStr">
        <is>
          <t>纳斯达克</t>
        </is>
      </c>
    </row>
    <row r="13669">
      <c r="B13669" s="41" t="inlineStr">
        <is>
          <t>Trademarket</t>
        </is>
      </c>
      <c r="C13669" s="128" t="inlineStr">
        <is>
          <t>股票交易场所</t>
        </is>
      </c>
      <c r="D13669" s="21" t="inlineStr">
        <is>
          <t>OL</t>
        </is>
      </c>
      <c r="E13669" s="21" t="inlineStr">
        <is>
          <t>奥斯陆证券交易所</t>
        </is>
      </c>
    </row>
    <row r="13670">
      <c r="B13670" s="41" t="inlineStr">
        <is>
          <t>Trademarket</t>
        </is>
      </c>
      <c r="C13670" s="128" t="inlineStr">
        <is>
          <t>股票交易场所</t>
        </is>
      </c>
      <c r="D13670" s="21" t="inlineStr">
        <is>
          <t>OS</t>
        </is>
      </c>
      <c r="E13670" s="21" t="inlineStr">
        <is>
          <t>大阪证券交易所</t>
        </is>
      </c>
    </row>
    <row r="13671">
      <c r="B13671" s="41" t="inlineStr">
        <is>
          <t>Trademarket</t>
        </is>
      </c>
      <c r="C13671" s="128" t="inlineStr">
        <is>
          <t>股票交易场所</t>
        </is>
      </c>
      <c r="D13671" s="21" t="inlineStr">
        <is>
          <t>PA</t>
        </is>
      </c>
      <c r="E13671" s="21" t="inlineStr">
        <is>
          <t>巴黎证券交易所</t>
        </is>
      </c>
    </row>
    <row r="13672">
      <c r="B13672" s="41" t="inlineStr">
        <is>
          <t>Trademarket</t>
        </is>
      </c>
      <c r="C13672" s="128" t="inlineStr">
        <is>
          <t>股票交易场所</t>
        </is>
      </c>
      <c r="D13672" s="21" t="inlineStr">
        <is>
          <t>PR</t>
        </is>
      </c>
      <c r="E13672" s="21" t="inlineStr">
        <is>
          <t>布拉格证券交易所</t>
        </is>
      </c>
    </row>
    <row r="13673">
      <c r="B13673" s="41" t="inlineStr">
        <is>
          <t>Trademarket</t>
        </is>
      </c>
      <c r="C13673" s="128" t="inlineStr">
        <is>
          <t>股票交易场所</t>
        </is>
      </c>
      <c r="D13673" s="21" t="inlineStr">
        <is>
          <t>PS</t>
        </is>
      </c>
      <c r="E13673" s="21" t="inlineStr">
        <is>
          <t>菲律宾证券交易所</t>
        </is>
      </c>
    </row>
    <row r="13674">
      <c r="B13674" s="41" t="inlineStr">
        <is>
          <t>Trademarket</t>
        </is>
      </c>
      <c r="C13674" s="128" t="inlineStr">
        <is>
          <t>股票交易场所</t>
        </is>
      </c>
      <c r="D13674" s="21" t="inlineStr">
        <is>
          <t>RS</t>
        </is>
      </c>
      <c r="E13674" s="21" t="inlineStr">
        <is>
          <t>俄罗斯证券交易所</t>
        </is>
      </c>
    </row>
    <row r="13675">
      <c r="B13675" s="41" t="inlineStr">
        <is>
          <t>Trademarket</t>
        </is>
      </c>
      <c r="C13675" s="128" t="inlineStr">
        <is>
          <t>股票交易场所</t>
        </is>
      </c>
      <c r="D13675" s="21" t="inlineStr">
        <is>
          <t>SA</t>
        </is>
      </c>
      <c r="E13675" s="21" t="inlineStr">
        <is>
          <t>圣保罗证券交易所</t>
        </is>
      </c>
    </row>
    <row r="13676">
      <c r="B13676" s="41" t="inlineStr">
        <is>
          <t>Trademarket</t>
        </is>
      </c>
      <c r="C13676" s="128" t="inlineStr">
        <is>
          <t>股票交易场所</t>
        </is>
      </c>
      <c r="D13676" s="21" t="inlineStr">
        <is>
          <t>SG</t>
        </is>
      </c>
      <c r="E13676" s="21" t="inlineStr">
        <is>
          <t>斯图加特证券交易所</t>
        </is>
      </c>
    </row>
    <row r="13677">
      <c r="B13677" s="41" t="inlineStr">
        <is>
          <t>Trademarket</t>
        </is>
      </c>
      <c r="C13677" s="128" t="inlineStr">
        <is>
          <t>股票交易场所</t>
        </is>
      </c>
      <c r="D13677" s="21" t="inlineStr">
        <is>
          <t>SH</t>
        </is>
      </c>
      <c r="E13677" s="21" t="inlineStr">
        <is>
          <t>上海证券交易所</t>
        </is>
      </c>
    </row>
    <row r="13678">
      <c r="B13678" s="41" t="inlineStr">
        <is>
          <t>Trademarket</t>
        </is>
      </c>
      <c r="C13678" s="128" t="inlineStr">
        <is>
          <t>股票交易场所</t>
        </is>
      </c>
      <c r="D13678" s="21" t="inlineStr">
        <is>
          <t>SI</t>
        </is>
      </c>
      <c r="E13678" s="21" t="inlineStr">
        <is>
          <t>新加坡交易所</t>
        </is>
      </c>
    </row>
    <row r="13679">
      <c r="B13679" s="41" t="inlineStr">
        <is>
          <t>Trademarket</t>
        </is>
      </c>
      <c r="C13679" s="128" t="inlineStr">
        <is>
          <t>股票交易场所</t>
        </is>
      </c>
      <c r="D13679" s="21" t="inlineStr">
        <is>
          <t>ST</t>
        </is>
      </c>
      <c r="E13679" s="21" t="inlineStr">
        <is>
          <t>斯德哥尔摩证券交易所</t>
        </is>
      </c>
    </row>
    <row r="13680">
      <c r="B13680" s="41" t="inlineStr">
        <is>
          <t>Trademarket</t>
        </is>
      </c>
      <c r="C13680" s="128" t="inlineStr">
        <is>
          <t>股票交易场所</t>
        </is>
      </c>
      <c r="D13680" s="21" t="inlineStr">
        <is>
          <t>SW</t>
        </is>
      </c>
      <c r="E13680" s="21" t="inlineStr">
        <is>
          <t>瑞士证券交易所</t>
        </is>
      </c>
    </row>
    <row r="13681">
      <c r="B13681" s="41" t="inlineStr">
        <is>
          <t>Trademarket</t>
        </is>
      </c>
      <c r="C13681" s="128" t="inlineStr">
        <is>
          <t>股票交易场所</t>
        </is>
      </c>
      <c r="D13681" s="21" t="inlineStr">
        <is>
          <t>SZ</t>
        </is>
      </c>
      <c r="E13681" s="21" t="inlineStr">
        <is>
          <t>深圳证券交易所</t>
        </is>
      </c>
    </row>
    <row r="13682">
      <c r="B13682" s="41" t="inlineStr">
        <is>
          <t>Trademarket</t>
        </is>
      </c>
      <c r="C13682" s="128" t="inlineStr">
        <is>
          <t>股票交易场所</t>
        </is>
      </c>
      <c r="D13682" s="21" t="inlineStr">
        <is>
          <t>T</t>
        </is>
      </c>
      <c r="E13682" s="21" t="inlineStr">
        <is>
          <t>东京证券交易所</t>
        </is>
      </c>
    </row>
    <row r="13683">
      <c r="B13683" s="41" t="inlineStr">
        <is>
          <t>Trademarket</t>
        </is>
      </c>
      <c r="C13683" s="128" t="inlineStr">
        <is>
          <t>股票交易场所</t>
        </is>
      </c>
      <c r="D13683" s="21" t="inlineStr">
        <is>
          <t>TA</t>
        </is>
      </c>
      <c r="E13683" s="21" t="inlineStr">
        <is>
          <t>特拉维夫证券交易所</t>
        </is>
      </c>
    </row>
    <row r="13684">
      <c r="B13684" s="41" t="inlineStr">
        <is>
          <t>Trademarket</t>
        </is>
      </c>
      <c r="C13684" s="128" t="inlineStr">
        <is>
          <t>股票交易场所</t>
        </is>
      </c>
      <c r="D13684" s="21" t="inlineStr">
        <is>
          <t>TO</t>
        </is>
      </c>
      <c r="E13684" s="21" t="inlineStr">
        <is>
          <t>多伦多证券交易所</t>
        </is>
      </c>
    </row>
    <row r="13685">
      <c r="B13685" s="41" t="inlineStr">
        <is>
          <t>Trademarket</t>
        </is>
      </c>
      <c r="C13685" s="128" t="inlineStr">
        <is>
          <t>股票交易场所</t>
        </is>
      </c>
      <c r="D13685" s="21" t="inlineStr">
        <is>
          <t>TW</t>
        </is>
      </c>
      <c r="E13685" s="21" t="inlineStr">
        <is>
          <t>台湾证券交易所</t>
        </is>
      </c>
    </row>
    <row r="13686">
      <c r="B13686" s="41" t="inlineStr">
        <is>
          <t>Trademarket</t>
        </is>
      </c>
      <c r="C13686" s="128" t="inlineStr">
        <is>
          <t>股票交易场所</t>
        </is>
      </c>
      <c r="D13686" s="21" t="inlineStr">
        <is>
          <t>V</t>
        </is>
      </c>
      <c r="E13686" s="21" t="inlineStr">
        <is>
          <t>加拿大风险资本交易所</t>
        </is>
      </c>
    </row>
    <row r="13687">
      <c r="B13687" s="41" t="inlineStr">
        <is>
          <t>Trademarket</t>
        </is>
      </c>
      <c r="C13687" s="128" t="inlineStr">
        <is>
          <t>股票交易场所</t>
        </is>
      </c>
      <c r="D13687" s="21" t="inlineStr">
        <is>
          <t>VI</t>
        </is>
      </c>
      <c r="E13687" s="21" t="inlineStr">
        <is>
          <t>维也纳证券交易所</t>
        </is>
      </c>
    </row>
    <row r="13688" ht="16" customHeight="1" s="170">
      <c r="B13688" s="127" t="inlineStr">
        <is>
          <t>码值：AssistStatus</t>
        </is>
      </c>
    </row>
    <row r="13689">
      <c r="B13689" s="41" t="inlineStr">
        <is>
          <t>AssistStatus</t>
        </is>
      </c>
      <c r="C13689" s="128" t="inlineStr">
        <is>
          <t>状态</t>
        </is>
      </c>
      <c r="D13689" s="41" t="n">
        <v>1</v>
      </c>
      <c r="E13689" s="41" t="inlineStr">
        <is>
          <t>待处理</t>
        </is>
      </c>
    </row>
    <row r="13690">
      <c r="B13690" s="41" t="inlineStr">
        <is>
          <t>AssistStatus</t>
        </is>
      </c>
      <c r="C13690" s="128" t="inlineStr">
        <is>
          <t>状态</t>
        </is>
      </c>
      <c r="D13690" s="41" t="n">
        <v>2</v>
      </c>
      <c r="E13690" s="41" t="inlineStr">
        <is>
          <t>已处理</t>
        </is>
      </c>
    </row>
    <row r="13691" ht="16" customHeight="1" s="170">
      <c r="B13691" s="127" t="inlineStr">
        <is>
          <t>码值：WorkBench</t>
        </is>
      </c>
    </row>
    <row r="13692">
      <c r="B13692" s="41" t="inlineStr">
        <is>
          <t>WorkBench</t>
        </is>
      </c>
      <c r="C13692" s="128" t="inlineStr">
        <is>
          <t>工作台</t>
        </is>
      </c>
      <c r="D13692" s="41" t="n">
        <v>1</v>
      </c>
      <c r="E13692" s="128" t="inlineStr">
        <is>
          <t>普通工作台</t>
        </is>
      </c>
    </row>
    <row r="13693">
      <c r="B13693" s="41" t="inlineStr">
        <is>
          <t>WorkBench</t>
        </is>
      </c>
      <c r="C13693" s="128" t="inlineStr">
        <is>
          <t>工作台</t>
        </is>
      </c>
      <c r="D13693" s="41" t="n">
        <v>2</v>
      </c>
      <c r="E13693" s="41" t="inlineStr">
        <is>
          <t>领导工作台</t>
        </is>
      </c>
    </row>
    <row r="13694" ht="15.95" customHeight="1" s="170">
      <c r="B13694" s="122" t="inlineStr">
        <is>
          <t>码值：ClrRightStatus</t>
        </is>
      </c>
    </row>
    <row r="13695">
      <c r="B13695" s="24" t="inlineStr">
        <is>
          <t>ClrGntStatus</t>
        </is>
      </c>
      <c r="C13695" s="24" t="inlineStr">
        <is>
          <t>押品准入状态</t>
        </is>
      </c>
      <c r="D13695" s="24" t="inlineStr">
        <is>
          <t>01</t>
        </is>
      </c>
      <c r="E13695" s="24" t="inlineStr">
        <is>
          <t>未确立押权</t>
        </is>
      </c>
    </row>
    <row r="13696">
      <c r="B13696" s="109" t="inlineStr">
        <is>
          <t>ClrGntStatus</t>
        </is>
      </c>
      <c r="C13696" s="109" t="inlineStr">
        <is>
          <t>押品准入状态</t>
        </is>
      </c>
      <c r="D13696" s="109" t="inlineStr">
        <is>
          <t>02</t>
        </is>
      </c>
      <c r="E13696" s="109" t="inlineStr">
        <is>
          <t>已确立押权</t>
        </is>
      </c>
    </row>
    <row r="13697">
      <c r="B13697" s="132" t="inlineStr">
        <is>
          <t>StoreType</t>
        </is>
      </c>
      <c r="C13697" s="59" t="inlineStr">
        <is>
          <t>权证介质</t>
        </is>
      </c>
      <c r="D13697" s="60" t="n"/>
      <c r="E13697" s="60" t="n"/>
      <c r="F13697" s="2" t="inlineStr">
        <is>
          <t>新增</t>
        </is>
      </c>
    </row>
    <row r="13698">
      <c r="B13698" s="60" t="inlineStr">
        <is>
          <t>StoreType</t>
        </is>
      </c>
      <c r="C13698" s="60" t="n"/>
      <c r="D13698" s="60" t="n">
        <v>1</v>
      </c>
      <c r="E13698" s="59" t="inlineStr">
        <is>
          <t>电子权证</t>
        </is>
      </c>
    </row>
    <row r="13699">
      <c r="B13699" s="60" t="inlineStr">
        <is>
          <t>StoreType</t>
        </is>
      </c>
      <c r="C13699" s="60" t="n"/>
      <c r="D13699" s="60" t="n">
        <v>2</v>
      </c>
      <c r="E13699" s="59" t="inlineStr">
        <is>
          <t>纸质权证</t>
        </is>
      </c>
    </row>
    <row r="13700">
      <c r="B13700" s="133" t="inlineStr">
        <is>
          <t>PackageStatus</t>
        </is>
      </c>
      <c r="C13700" s="81" t="n"/>
      <c r="D13700" s="60" t="n"/>
      <c r="E13700" s="60" t="n"/>
      <c r="F13700" s="2" t="inlineStr">
        <is>
          <t>新增</t>
        </is>
      </c>
    </row>
    <row r="13701">
      <c r="B13701" s="60" t="n"/>
      <c r="C13701" s="60" t="n"/>
      <c r="D13701" s="60" t="n">
        <v>1</v>
      </c>
      <c r="E13701" s="59" t="inlineStr">
        <is>
          <t>未入库</t>
        </is>
      </c>
    </row>
    <row r="13702">
      <c r="B13702" s="60" t="n"/>
      <c r="C13702" s="60" t="n"/>
      <c r="D13702" s="60" t="n">
        <v>2</v>
      </c>
      <c r="E13702" s="59" t="inlineStr">
        <is>
          <t>已入库</t>
        </is>
      </c>
    </row>
    <row r="13703">
      <c r="B13703" s="60" t="n"/>
      <c r="C13703" s="60" t="n"/>
      <c r="D13703" s="60" t="n">
        <v>3</v>
      </c>
      <c r="E13703" s="59" t="inlineStr">
        <is>
          <t>已出库</t>
        </is>
      </c>
    </row>
  </sheetData>
  <pageMargins left="0.75" right="0.75" top="1" bottom="1" header="0.5" footer="0.5"/>
  <pageSetup orientation="portrait" paperSize="1" horizontalDpi="300" verticalDpi="300"/>
</worksheet>
</file>

<file path=xl/worksheets/sheet7.xml><?xml version="1.0" encoding="utf-8"?>
<worksheet xmlns="http://schemas.openxmlformats.org/spreadsheetml/2006/main">
  <sheetPr>
    <outlinePr summaryBelow="1" summaryRight="1"/>
    <pageSetUpPr/>
  </sheetPr>
  <dimension ref="A1:P19"/>
  <sheetViews>
    <sheetView workbookViewId="0">
      <selection activeCell="F11" sqref="F1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审计信息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A3" t="inlineStr">
        <is>
          <t>审计信息</t>
        </is>
      </c>
      <c r="B3" s="24" t="inlineStr">
        <is>
          <t>audit_info</t>
        </is>
      </c>
      <c r="C3" s="24" t="inlineStr">
        <is>
          <t>SERIALNO</t>
        </is>
      </c>
      <c r="D3" s="24" t="inlineStr">
        <is>
          <t>varchar(32)</t>
        </is>
      </c>
      <c r="E3" s="24" t="inlineStr">
        <is>
          <t>NO</t>
        </is>
      </c>
      <c r="F3" s="24" t="inlineStr">
        <is>
          <t>流水号</t>
        </is>
      </c>
      <c r="G3" s="24" t="n"/>
      <c r="H3" s="24" t="n"/>
      <c r="I3" s="24" t="inlineStr"/>
      <c r="J3" s="24" t="inlineStr">
        <is>
          <t>2023/01/12</t>
        </is>
      </c>
      <c r="K3">
        <f>A3</f>
        <v/>
      </c>
      <c r="L3">
        <f>B3</f>
        <v/>
      </c>
      <c r="M3">
        <f>F3</f>
        <v/>
      </c>
      <c r="N3">
        <f>C3</f>
        <v/>
      </c>
      <c r="O3">
        <f>IFERROR(LEFT(D3,FIND("(",D3)-1),D3)</f>
        <v/>
      </c>
      <c r="P3">
        <f>IFERROR(MID(D3,FIND("(",D3)+1,FIND(")",D3)-FIND("(",D3)-1),"")</f>
        <v/>
      </c>
    </row>
    <row r="4">
      <c r="A4" t="inlineStr">
        <is>
          <t>审计信息</t>
        </is>
      </c>
      <c r="B4" s="24" t="inlineStr">
        <is>
          <t>audit_info</t>
        </is>
      </c>
      <c r="C4" s="24" t="inlineStr">
        <is>
          <t>OPERATOR</t>
        </is>
      </c>
      <c r="D4" s="24" t="inlineStr">
        <is>
          <t>varchar(80)</t>
        </is>
      </c>
      <c r="E4" s="24" t="inlineStr">
        <is>
          <t>YES</t>
        </is>
      </c>
      <c r="F4" s="24" t="inlineStr">
        <is>
          <t>操作人</t>
        </is>
      </c>
      <c r="G4" s="24" t="n"/>
      <c r="H4" s="24" t="n"/>
      <c r="I4" s="24" t="inlineStr"/>
      <c r="J4" s="24" t="inlineStr">
        <is>
          <t>2023/01/12</t>
        </is>
      </c>
      <c r="K4">
        <f>A4</f>
        <v/>
      </c>
      <c r="L4">
        <f>B4</f>
        <v/>
      </c>
      <c r="M4">
        <f>F4</f>
        <v/>
      </c>
      <c r="N4">
        <f>C4</f>
        <v/>
      </c>
      <c r="O4">
        <f>IFERROR(LEFT(D4,FIND("(",D4)-1),D4)</f>
        <v/>
      </c>
      <c r="P4">
        <f>IFERROR(MID(D4,FIND("(",D4)+1,FIND(")",D4)-FIND("(",D4)-1),"")</f>
        <v/>
      </c>
    </row>
    <row r="5">
      <c r="A5" t="inlineStr">
        <is>
          <t>审计信息</t>
        </is>
      </c>
      <c r="B5" s="24" t="inlineStr">
        <is>
          <t>audit_info</t>
        </is>
      </c>
      <c r="C5" s="24" t="inlineStr">
        <is>
          <t>SERVERADDRESS</t>
        </is>
      </c>
      <c r="D5" s="24" t="inlineStr">
        <is>
          <t>varchar(80)</t>
        </is>
      </c>
      <c r="E5" s="24" t="inlineStr">
        <is>
          <t>YES</t>
        </is>
      </c>
      <c r="F5" s="24" t="inlineStr">
        <is>
          <t>服务器地址</t>
        </is>
      </c>
      <c r="G5" s="24" t="n"/>
      <c r="H5" s="24" t="n"/>
      <c r="I5" s="24" t="inlineStr"/>
      <c r="J5" s="24" t="inlineStr">
        <is>
          <t>2023/01/12</t>
        </is>
      </c>
      <c r="K5">
        <f>A5</f>
        <v/>
      </c>
      <c r="L5">
        <f>B5</f>
        <v/>
      </c>
      <c r="M5">
        <f>F5</f>
        <v/>
      </c>
      <c r="N5">
        <f>C5</f>
        <v/>
      </c>
      <c r="O5">
        <f>IFERROR(LEFT(D5,FIND("(",D5)-1),D5)</f>
        <v/>
      </c>
      <c r="P5">
        <f>IFERROR(MID(D5,FIND("(",D5)+1,FIND(")",D5)-FIND("(",D5)-1),"")</f>
        <v/>
      </c>
    </row>
    <row r="6">
      <c r="A6" t="inlineStr">
        <is>
          <t>审计信息</t>
        </is>
      </c>
      <c r="B6" s="24" t="inlineStr">
        <is>
          <t>audit_info</t>
        </is>
      </c>
      <c r="C6" s="24" t="inlineStr">
        <is>
          <t>CLIENTADDRESS</t>
        </is>
      </c>
      <c r="D6" s="24" t="inlineStr">
        <is>
          <t>varchar(80)</t>
        </is>
      </c>
      <c r="E6" s="24" t="inlineStr">
        <is>
          <t>YES</t>
        </is>
      </c>
      <c r="F6" s="24" t="inlineStr">
        <is>
          <t>客户端地址</t>
        </is>
      </c>
      <c r="G6" s="24" t="n"/>
      <c r="H6" s="24" t="n"/>
      <c r="I6" s="24" t="inlineStr"/>
      <c r="J6" s="24" t="inlineStr">
        <is>
          <t>2023/01/12</t>
        </is>
      </c>
      <c r="K6">
        <f>A6</f>
        <v/>
      </c>
      <c r="L6">
        <f>B6</f>
        <v/>
      </c>
      <c r="M6">
        <f>F6</f>
        <v/>
      </c>
      <c r="N6">
        <f>C6</f>
        <v/>
      </c>
      <c r="O6">
        <f>IFERROR(LEFT(D6,FIND("(",D6)-1),D6)</f>
        <v/>
      </c>
      <c r="P6">
        <f>IFERROR(MID(D6,FIND("(",D6)+1,FIND(")",D6)-FIND("(",D6)-1),"")</f>
        <v/>
      </c>
    </row>
    <row r="7">
      <c r="A7" t="inlineStr">
        <is>
          <t>审计信息</t>
        </is>
      </c>
      <c r="B7" s="24" t="inlineStr">
        <is>
          <t>audit_info</t>
        </is>
      </c>
      <c r="C7" s="24" t="inlineStr">
        <is>
          <t>APPLICATION</t>
        </is>
      </c>
      <c r="D7" s="24" t="inlineStr">
        <is>
          <t>varchar(200)</t>
        </is>
      </c>
      <c r="E7" s="24" t="inlineStr">
        <is>
          <t>YES</t>
        </is>
      </c>
      <c r="F7" s="24" t="inlineStr">
        <is>
          <t>应用</t>
        </is>
      </c>
      <c r="G7" s="24" t="n"/>
      <c r="H7" s="24" t="n"/>
      <c r="I7" s="24" t="inlineStr"/>
      <c r="J7" s="24" t="inlineStr">
        <is>
          <t>2023/01/12</t>
        </is>
      </c>
      <c r="K7">
        <f>A7</f>
        <v/>
      </c>
      <c r="L7">
        <f>B7</f>
        <v/>
      </c>
      <c r="M7">
        <f>F7</f>
        <v/>
      </c>
      <c r="N7">
        <f>C7</f>
        <v/>
      </c>
      <c r="O7">
        <f>IFERROR(LEFT(D7,FIND("(",D7)-1),D7)</f>
        <v/>
      </c>
      <c r="P7">
        <f>IFERROR(MID(D7,FIND("(",D7)+1,FIND(")",D7)-FIND("(",D7)-1),"")</f>
        <v/>
      </c>
    </row>
    <row r="8">
      <c r="A8" t="inlineStr">
        <is>
          <t>审计信息</t>
        </is>
      </c>
      <c r="B8" s="24" t="inlineStr">
        <is>
          <t>audit_info</t>
        </is>
      </c>
      <c r="C8" s="24" t="inlineStr">
        <is>
          <t>ADDITIONALINFO</t>
        </is>
      </c>
      <c r="D8" s="24" t="inlineStr">
        <is>
          <t>varchar(200)</t>
        </is>
      </c>
      <c r="E8" s="24" t="inlineStr">
        <is>
          <t>YES</t>
        </is>
      </c>
      <c r="F8" s="24" t="inlineStr">
        <is>
          <t>附加信息</t>
        </is>
      </c>
      <c r="G8" s="24" t="n"/>
      <c r="H8" s="24" t="n"/>
      <c r="I8" s="24" t="inlineStr"/>
      <c r="J8" s="24" t="inlineStr">
        <is>
          <t>2023/01/12</t>
        </is>
      </c>
      <c r="K8">
        <f>A8</f>
        <v/>
      </c>
      <c r="L8">
        <f>B8</f>
        <v/>
      </c>
      <c r="M8">
        <f>F8</f>
        <v/>
      </c>
      <c r="N8">
        <f>C8</f>
        <v/>
      </c>
      <c r="O8">
        <f>IFERROR(LEFT(D8,FIND("(",D8)-1),D8)</f>
        <v/>
      </c>
      <c r="P8">
        <f>IFERROR(MID(D8,FIND("(",D8)+1,FIND(")",D8)-FIND("(",D8)-1),"")</f>
        <v/>
      </c>
    </row>
    <row r="9">
      <c r="A9" t="inlineStr">
        <is>
          <t>审计信息</t>
        </is>
      </c>
      <c r="B9" s="24" t="inlineStr">
        <is>
          <t>audit_info</t>
        </is>
      </c>
      <c r="C9" s="24" t="inlineStr">
        <is>
          <t>RECORDTYPE</t>
        </is>
      </c>
      <c r="D9" s="24" t="inlineStr">
        <is>
          <t>varchar(32)</t>
        </is>
      </c>
      <c r="E9" s="24" t="inlineStr">
        <is>
          <t>YES</t>
        </is>
      </c>
      <c r="F9" s="24" t="inlineStr">
        <is>
          <t>记录类型</t>
        </is>
      </c>
      <c r="G9" s="24" t="n"/>
      <c r="H9" s="24" t="n"/>
      <c r="I9" s="24" t="inlineStr"/>
      <c r="J9" s="24" t="inlineStr">
        <is>
          <t>2023/01/12</t>
        </is>
      </c>
      <c r="K9">
        <f>A9</f>
        <v/>
      </c>
      <c r="L9">
        <f>B9</f>
        <v/>
      </c>
      <c r="M9">
        <f>F9</f>
        <v/>
      </c>
      <c r="N9">
        <f>C9</f>
        <v/>
      </c>
      <c r="O9">
        <f>IFERROR(LEFT(D9,FIND("(",D9)-1),D9)</f>
        <v/>
      </c>
      <c r="P9">
        <f>IFERROR(MID(D9,FIND("(",D9)+1,FIND(")",D9)-FIND("(",D9)-1),"")</f>
        <v/>
      </c>
    </row>
    <row r="10">
      <c r="A10" t="inlineStr">
        <is>
          <t>审计信息</t>
        </is>
      </c>
      <c r="B10" s="24" t="inlineStr">
        <is>
          <t>audit_info</t>
        </is>
      </c>
      <c r="C10" s="24" t="inlineStr">
        <is>
          <t>RECORDACTION</t>
        </is>
      </c>
      <c r="D10" s="24" t="inlineStr">
        <is>
          <t>varchar(32)</t>
        </is>
      </c>
      <c r="E10" s="24" t="inlineStr">
        <is>
          <t>YES</t>
        </is>
      </c>
      <c r="F10" s="24" t="inlineStr">
        <is>
          <t>记录动作</t>
        </is>
      </c>
      <c r="G10" s="24" t="n"/>
      <c r="H10" s="24" t="n"/>
      <c r="I10" s="24" t="inlineStr"/>
      <c r="J10" s="24" t="inlineStr">
        <is>
          <t>2023/01/12</t>
        </is>
      </c>
      <c r="K10">
        <f>A10</f>
        <v/>
      </c>
      <c r="L10">
        <f>B10</f>
        <v/>
      </c>
      <c r="M10">
        <f>F10</f>
        <v/>
      </c>
      <c r="N10">
        <f>C10</f>
        <v/>
      </c>
      <c r="O10">
        <f>IFERROR(LEFT(D10,FIND("(",D10)-1),D10)</f>
        <v/>
      </c>
      <c r="P10">
        <f>IFERROR(MID(D10,FIND("(",D10)+1,FIND(")",D10)-FIND("(",D10)-1),"")</f>
        <v/>
      </c>
    </row>
    <row r="11">
      <c r="A11" t="inlineStr">
        <is>
          <t>审计信息</t>
        </is>
      </c>
      <c r="B11" s="24" t="inlineStr">
        <is>
          <t>audit_info</t>
        </is>
      </c>
      <c r="C11" s="24" t="inlineStr">
        <is>
          <t>RECORDTARGET</t>
        </is>
      </c>
      <c r="D11" s="24" t="inlineStr">
        <is>
          <t>varchar(200)</t>
        </is>
      </c>
      <c r="E11" s="24" t="inlineStr">
        <is>
          <t>YES</t>
        </is>
      </c>
      <c r="F11" s="24" t="inlineStr">
        <is>
          <t>记录目标</t>
        </is>
      </c>
      <c r="G11" s="24" t="n"/>
      <c r="H11" s="24" t="n"/>
      <c r="I11" s="24" t="inlineStr"/>
      <c r="J11" s="24" t="inlineStr">
        <is>
          <t>2023/01/12</t>
        </is>
      </c>
      <c r="K11">
        <f>A11</f>
        <v/>
      </c>
      <c r="L11">
        <f>B11</f>
        <v/>
      </c>
      <c r="M11">
        <f>F11</f>
        <v/>
      </c>
      <c r="N11">
        <f>C11</f>
        <v/>
      </c>
      <c r="O11">
        <f>IFERROR(LEFT(D11,FIND("(",D11)-1),D11)</f>
        <v/>
      </c>
      <c r="P11">
        <f>IFERROR(MID(D11,FIND("(",D11)+1,FIND(")",D11)-FIND("(",D11)-1),"")</f>
        <v/>
      </c>
    </row>
    <row r="12">
      <c r="A12" t="inlineStr">
        <is>
          <t>审计信息</t>
        </is>
      </c>
      <c r="B12" s="24" t="inlineStr">
        <is>
          <t>audit_info</t>
        </is>
      </c>
      <c r="C12" s="24" t="inlineStr">
        <is>
          <t>AUDITTIME</t>
        </is>
      </c>
      <c r="D12" s="24" t="inlineStr">
        <is>
          <t>varchar(32)</t>
        </is>
      </c>
      <c r="E12" s="24" t="inlineStr">
        <is>
          <t>YES</t>
        </is>
      </c>
      <c r="F12" s="24" t="inlineStr">
        <is>
          <t>修改时间</t>
        </is>
      </c>
      <c r="G12" s="24" t="n"/>
      <c r="H12" s="24" t="n"/>
      <c r="I12" s="24" t="inlineStr"/>
      <c r="J12" s="24" t="inlineStr">
        <is>
          <t>2023/01/12</t>
        </is>
      </c>
      <c r="K12">
        <f>A12</f>
        <v/>
      </c>
      <c r="L12">
        <f>B12</f>
        <v/>
      </c>
      <c r="M12">
        <f>F12</f>
        <v/>
      </c>
      <c r="N12">
        <f>C12</f>
        <v/>
      </c>
      <c r="O12">
        <f>IFERROR(LEFT(D12,FIND("(",D12)-1),D12)</f>
        <v/>
      </c>
      <c r="P12">
        <f>IFERROR(MID(D12,FIND("(",D12)+1,FIND(")",D12)-FIND("(",D12)-1),"")</f>
        <v/>
      </c>
    </row>
    <row r="13">
      <c r="A13" t="inlineStr">
        <is>
          <t>审计信息</t>
        </is>
      </c>
      <c r="B13" s="24" t="inlineStr">
        <is>
          <t>audit_info</t>
        </is>
      </c>
      <c r="C13" s="24" t="inlineStr">
        <is>
          <t>INPUTORGID</t>
        </is>
      </c>
      <c r="D13" s="24" t="inlineStr">
        <is>
          <t>varchar(32)</t>
        </is>
      </c>
      <c r="E13" s="24" t="inlineStr">
        <is>
          <t>YES</t>
        </is>
      </c>
      <c r="F13" s="24" t="inlineStr">
        <is>
          <t>登记机构</t>
        </is>
      </c>
      <c r="G13" s="24" t="n"/>
      <c r="H13" s="24" t="n"/>
      <c r="I13" s="24" t="inlineStr"/>
      <c r="J13" s="24" t="inlineStr">
        <is>
          <t>2023/01/12</t>
        </is>
      </c>
      <c r="K13">
        <f>A13</f>
        <v/>
      </c>
      <c r="L13">
        <f>B13</f>
        <v/>
      </c>
      <c r="M13">
        <f>F13</f>
        <v/>
      </c>
      <c r="N13">
        <f>C13</f>
        <v/>
      </c>
      <c r="O13">
        <f>IFERROR(LEFT(D13,FIND("(",D13)-1),D13)</f>
        <v/>
      </c>
      <c r="P13">
        <f>IFERROR(MID(D13,FIND("(",D13)+1,FIND(")",D13)-FIND("(",D13)-1),"")</f>
        <v/>
      </c>
    </row>
    <row r="14">
      <c r="A14" t="inlineStr">
        <is>
          <t>审计信息</t>
        </is>
      </c>
      <c r="B14" s="24" t="inlineStr">
        <is>
          <t>audit_info</t>
        </is>
      </c>
      <c r="C14" s="24" t="inlineStr">
        <is>
          <t>INPUTUSERID</t>
        </is>
      </c>
      <c r="D14" s="24" t="inlineStr">
        <is>
          <t>varchar(32)</t>
        </is>
      </c>
      <c r="E14" s="24" t="inlineStr">
        <is>
          <t>YES</t>
        </is>
      </c>
      <c r="F14" s="24" t="inlineStr">
        <is>
          <t>登记人</t>
        </is>
      </c>
      <c r="G14" s="24" t="n"/>
      <c r="H14" s="24" t="n"/>
      <c r="I14" s="24" t="inlineStr"/>
      <c r="J14" s="24" t="inlineStr">
        <is>
          <t>2023/01/12</t>
        </is>
      </c>
      <c r="K14">
        <f>A14</f>
        <v/>
      </c>
      <c r="L14">
        <f>B14</f>
        <v/>
      </c>
      <c r="M14">
        <f>F14</f>
        <v/>
      </c>
      <c r="N14">
        <f>C14</f>
        <v/>
      </c>
      <c r="O14">
        <f>IFERROR(LEFT(D14,FIND("(",D14)-1),D14)</f>
        <v/>
      </c>
      <c r="P14">
        <f>IFERROR(MID(D14,FIND("(",D14)+1,FIND(")",D14)-FIND("(",D14)-1),"")</f>
        <v/>
      </c>
    </row>
    <row r="15">
      <c r="A15" t="inlineStr">
        <is>
          <t>审计信息</t>
        </is>
      </c>
      <c r="B15" s="24" t="inlineStr">
        <is>
          <t>audit_info</t>
        </is>
      </c>
      <c r="C15" s="24" t="inlineStr">
        <is>
          <t>INPUTDATE</t>
        </is>
      </c>
      <c r="D15" s="24" t="inlineStr">
        <is>
          <t>varchar(18)</t>
        </is>
      </c>
      <c r="E15" s="24" t="inlineStr">
        <is>
          <t>YES</t>
        </is>
      </c>
      <c r="F15" s="24" t="inlineStr">
        <is>
          <t>登记日期</t>
        </is>
      </c>
      <c r="G15" s="24" t="n"/>
      <c r="H15" s="24" t="n"/>
      <c r="I15" s="24" t="inlineStr"/>
      <c r="J15" s="24" t="inlineStr">
        <is>
          <t>2023/01/12</t>
        </is>
      </c>
      <c r="K15">
        <f>A15</f>
        <v/>
      </c>
      <c r="L15">
        <f>B15</f>
        <v/>
      </c>
      <c r="M15">
        <f>F15</f>
        <v/>
      </c>
      <c r="N15">
        <f>C15</f>
        <v/>
      </c>
      <c r="O15">
        <f>IFERROR(LEFT(D15,FIND("(",D15)-1),D15)</f>
        <v/>
      </c>
      <c r="P15">
        <f>IFERROR(MID(D15,FIND("(",D15)+1,FIND(")",D15)-FIND("(",D15)-1),"")</f>
        <v/>
      </c>
    </row>
    <row r="16">
      <c r="A16" t="inlineStr">
        <is>
          <t>审计信息</t>
        </is>
      </c>
      <c r="B16" s="24" t="inlineStr">
        <is>
          <t>audit_info</t>
        </is>
      </c>
      <c r="C16" s="24" t="inlineStr">
        <is>
          <t>UPDATEORGID</t>
        </is>
      </c>
      <c r="D16" s="24" t="inlineStr">
        <is>
          <t>varchar(32)</t>
        </is>
      </c>
      <c r="E16" s="24" t="inlineStr">
        <is>
          <t>YES</t>
        </is>
      </c>
      <c r="F16" s="24" t="inlineStr">
        <is>
          <t>更新机构</t>
        </is>
      </c>
      <c r="G16" s="24" t="n"/>
      <c r="H16" s="24" t="n"/>
      <c r="I16" s="24" t="inlineStr"/>
      <c r="J16" s="24" t="inlineStr">
        <is>
          <t>2023/01/12</t>
        </is>
      </c>
      <c r="K16">
        <f>A16</f>
        <v/>
      </c>
      <c r="L16">
        <f>B16</f>
        <v/>
      </c>
      <c r="M16">
        <f>F16</f>
        <v/>
      </c>
      <c r="N16">
        <f>C16</f>
        <v/>
      </c>
      <c r="O16">
        <f>IFERROR(LEFT(D16,FIND("(",D16)-1),D16)</f>
        <v/>
      </c>
      <c r="P16">
        <f>IFERROR(MID(D16,FIND("(",D16)+1,FIND(")",D16)-FIND("(",D16)-1),"")</f>
        <v/>
      </c>
    </row>
    <row r="17">
      <c r="A17" t="inlineStr">
        <is>
          <t>审计信息</t>
        </is>
      </c>
      <c r="B17" s="24" t="inlineStr">
        <is>
          <t>audit_info</t>
        </is>
      </c>
      <c r="C17" s="24" t="inlineStr">
        <is>
          <t>UPDATEUSERID</t>
        </is>
      </c>
      <c r="D17" s="24" t="inlineStr">
        <is>
          <t>varchar(32)</t>
        </is>
      </c>
      <c r="E17" s="24" t="inlineStr">
        <is>
          <t>YES</t>
        </is>
      </c>
      <c r="F17" s="24" t="inlineStr">
        <is>
          <t>更新人</t>
        </is>
      </c>
      <c r="G17" s="24" t="n"/>
      <c r="H17" s="24" t="n"/>
      <c r="I17" s="24" t="inlineStr"/>
      <c r="J17" s="24" t="inlineStr">
        <is>
          <t>2023/01/12</t>
        </is>
      </c>
      <c r="K17">
        <f>A17</f>
        <v/>
      </c>
      <c r="L17">
        <f>B17</f>
        <v/>
      </c>
      <c r="M17">
        <f>F17</f>
        <v/>
      </c>
      <c r="N17">
        <f>C17</f>
        <v/>
      </c>
      <c r="O17">
        <f>IFERROR(LEFT(D17,FIND("(",D17)-1),D17)</f>
        <v/>
      </c>
      <c r="P17">
        <f>IFERROR(MID(D17,FIND("(",D17)+1,FIND(")",D17)-FIND("(",D17)-1),"")</f>
        <v/>
      </c>
    </row>
    <row r="18">
      <c r="A18" t="inlineStr">
        <is>
          <t>审计信息</t>
        </is>
      </c>
      <c r="B18" s="24" t="inlineStr">
        <is>
          <t>audit_info</t>
        </is>
      </c>
      <c r="C18" s="24" t="inlineStr">
        <is>
          <t>UPDATEDATE</t>
        </is>
      </c>
      <c r="D18" s="24" t="inlineStr">
        <is>
          <t>varchar(18)</t>
        </is>
      </c>
      <c r="E18" s="24" t="inlineStr">
        <is>
          <t>YES</t>
        </is>
      </c>
      <c r="F18" s="24" t="inlineStr">
        <is>
          <t>更新日期</t>
        </is>
      </c>
      <c r="G18" s="24" t="n"/>
      <c r="H18" s="24" t="n"/>
      <c r="I18" s="24" t="inlineStr"/>
      <c r="J18" s="24" t="inlineStr">
        <is>
          <t>2023/01/12</t>
        </is>
      </c>
      <c r="K18">
        <f>A18</f>
        <v/>
      </c>
      <c r="L18">
        <f>B18</f>
        <v/>
      </c>
      <c r="M18">
        <f>F18</f>
        <v/>
      </c>
      <c r="N18">
        <f>C18</f>
        <v/>
      </c>
      <c r="O18">
        <f>IFERROR(LEFT(D18,FIND("(",D18)-1),D18)</f>
        <v/>
      </c>
      <c r="P18">
        <f>IFERROR(MID(D18,FIND("(",D18)+1,FIND(")",D18)-FIND("(",D18)-1),"")</f>
        <v/>
      </c>
    </row>
    <row r="19">
      <c r="A19" t="inlineStr">
        <is>
          <t>审计信息</t>
        </is>
      </c>
      <c r="B19" s="24" t="inlineStr">
        <is>
          <t>audit_info</t>
        </is>
      </c>
      <c r="C19" s="24" t="inlineStr">
        <is>
          <t>AUDITDATA</t>
        </is>
      </c>
      <c r="D19" s="24" t="inlineStr">
        <is>
          <t>varchar(2000)</t>
        </is>
      </c>
      <c r="E19" s="24" t="inlineStr">
        <is>
          <t>YES</t>
        </is>
      </c>
      <c r="F19" s="24" t="inlineStr">
        <is>
          <t>审计数据</t>
        </is>
      </c>
      <c r="G19" s="24" t="n"/>
      <c r="H19" s="24" t="n"/>
      <c r="I19" s="24" t="inlineStr"/>
      <c r="J19" s="24" t="inlineStr">
        <is>
          <t>2023/01/12</t>
        </is>
      </c>
      <c r="K19">
        <f>A19</f>
        <v/>
      </c>
      <c r="L19">
        <f>B19</f>
        <v/>
      </c>
      <c r="M19">
        <f>F19</f>
        <v/>
      </c>
      <c r="N19">
        <f>C19</f>
        <v/>
      </c>
      <c r="O19">
        <f>IFERROR(LEFT(D19,FIND("(",D19)-1),D19)</f>
        <v/>
      </c>
      <c r="P19">
        <f>IFERROR(MID(D19,FIND("(",D19)+1,FIND(")",D19)-FIND("(",D19)-1),"")</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1"/>
  <sheetViews>
    <sheetView zoomScale="112" zoomScaleNormal="112"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评估机构</t>
        </is>
      </c>
    </row>
    <row r="2">
      <c r="A2" t="inlineStr">
        <is>
          <t>评估机构</t>
        </is>
      </c>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A3" t="inlineStr">
        <is>
          <t>评估机构</t>
        </is>
      </c>
      <c r="B3" s="24" t="inlineStr">
        <is>
          <t>appraisal_agency</t>
        </is>
      </c>
      <c r="C3" s="24" t="inlineStr">
        <is>
          <t>APPRAISALORGID</t>
        </is>
      </c>
      <c r="D3" s="24" t="inlineStr">
        <is>
          <t>varchar(32)</t>
        </is>
      </c>
      <c r="E3" s="24" t="inlineStr">
        <is>
          <t>NO</t>
        </is>
      </c>
      <c r="F3" s="24" t="inlineStr">
        <is>
          <t>评估机构编号</t>
        </is>
      </c>
      <c r="G3" s="24" t="n"/>
      <c r="H3" s="24" t="n"/>
      <c r="I3" s="24" t="inlineStr"/>
      <c r="J3" s="24" t="inlineStr">
        <is>
          <t>2023/01/12</t>
        </is>
      </c>
      <c r="K3">
        <f>A3</f>
        <v/>
      </c>
      <c r="L3">
        <f>B3</f>
        <v/>
      </c>
      <c r="M3">
        <f>F3</f>
        <v/>
      </c>
      <c r="N3">
        <f>C3</f>
        <v/>
      </c>
      <c r="O3">
        <f>IFERROR(LEFT(D3,FIND("(",D3)-1),D3)</f>
        <v/>
      </c>
      <c r="P3">
        <f>IFERROR(MID(D3,FIND("(",D3)+1,FIND(")",D3)-FIND("(",D3)-1),"")</f>
        <v/>
      </c>
    </row>
    <row r="4">
      <c r="A4" t="inlineStr">
        <is>
          <t>评估机构</t>
        </is>
      </c>
      <c r="B4" s="24" t="inlineStr">
        <is>
          <t>appraisal_agency</t>
        </is>
      </c>
      <c r="C4" s="24" t="inlineStr">
        <is>
          <t>APPRAISALORGNAME</t>
        </is>
      </c>
      <c r="D4" s="24" t="inlineStr">
        <is>
          <t>varchar(80)</t>
        </is>
      </c>
      <c r="E4" s="24" t="inlineStr">
        <is>
          <t>YES</t>
        </is>
      </c>
      <c r="F4" s="24" t="inlineStr">
        <is>
          <t>评估机构名称</t>
        </is>
      </c>
      <c r="G4" s="24" t="n"/>
      <c r="H4" s="24" t="n"/>
      <c r="I4" s="24" t="inlineStr"/>
      <c r="J4" s="24" t="inlineStr">
        <is>
          <t>2023/01/12</t>
        </is>
      </c>
      <c r="K4">
        <f>A4</f>
        <v/>
      </c>
      <c r="L4">
        <f>B4</f>
        <v/>
      </c>
      <c r="M4">
        <f>F4</f>
        <v/>
      </c>
      <c r="N4">
        <f>C4</f>
        <v/>
      </c>
      <c r="O4">
        <f>IFERROR(LEFT(D4,FIND("(",D4)-1),D4)</f>
        <v/>
      </c>
      <c r="P4">
        <f>IFERROR(MID(D4,FIND("(",D4)+1,FIND(")",D4)-FIND("(",D4)-1),"")</f>
        <v/>
      </c>
    </row>
    <row r="5">
      <c r="A5" t="inlineStr">
        <is>
          <t>评估机构</t>
        </is>
      </c>
      <c r="B5" s="24" t="inlineStr">
        <is>
          <t>appraisal_agency</t>
        </is>
      </c>
      <c r="C5" s="24" t="inlineStr">
        <is>
          <t>APPRAISALORGTYPE</t>
        </is>
      </c>
      <c r="D5" s="24" t="inlineStr">
        <is>
          <t>varchar(18)</t>
        </is>
      </c>
      <c r="E5" s="24" t="inlineStr">
        <is>
          <t>YES</t>
        </is>
      </c>
      <c r="F5" s="24" t="inlineStr">
        <is>
          <t>评估公司类型
02  特殊资产准入
03  特别准入;一次性)</t>
        </is>
      </c>
      <c r="G5" s="52">
        <f>HYPERLINK("#码值映射清单!B9420","AppraisalOrgType")</f>
        <v/>
      </c>
      <c r="H5" s="24" t="n"/>
      <c r="I5" s="24" t="inlineStr"/>
      <c r="J5" s="24" t="inlineStr">
        <is>
          <t>2023/01/12</t>
        </is>
      </c>
      <c r="K5">
        <f>A5</f>
        <v/>
      </c>
      <c r="L5">
        <f>B5</f>
        <v/>
      </c>
      <c r="M5">
        <f>F5</f>
        <v/>
      </c>
      <c r="N5">
        <f>C5</f>
        <v/>
      </c>
      <c r="O5">
        <f>IFERROR(LEFT(D5,FIND("(",D5)-1),D5)</f>
        <v/>
      </c>
      <c r="P5">
        <f>IFERROR(MID(D5,FIND("(",D5)+1,FIND(")",D5)-FIND("(",D5)-1),"")</f>
        <v/>
      </c>
    </row>
    <row r="6">
      <c r="A6" t="inlineStr">
        <is>
          <t>评估机构</t>
        </is>
      </c>
      <c r="B6" s="24" t="inlineStr">
        <is>
          <t>appraisal_agency</t>
        </is>
      </c>
      <c r="C6" s="24" t="inlineStr">
        <is>
          <t>APPRAISALORGADDRESS</t>
        </is>
      </c>
      <c r="D6" s="24" t="inlineStr">
        <is>
          <t>varchar(500)</t>
        </is>
      </c>
      <c r="E6" s="24" t="inlineStr">
        <is>
          <t>YES</t>
        </is>
      </c>
      <c r="F6" s="24" t="inlineStr">
        <is>
          <t>机构地址</t>
        </is>
      </c>
      <c r="G6" s="24" t="n"/>
      <c r="H6" s="24" t="n"/>
      <c r="I6" s="24" t="inlineStr"/>
      <c r="J6" s="24" t="inlineStr">
        <is>
          <t>2023/01/12</t>
        </is>
      </c>
      <c r="K6">
        <f>A6</f>
        <v/>
      </c>
      <c r="L6">
        <f>B6</f>
        <v/>
      </c>
      <c r="M6">
        <f>F6</f>
        <v/>
      </c>
      <c r="N6">
        <f>C6</f>
        <v/>
      </c>
      <c r="O6">
        <f>IFERROR(LEFT(D6,FIND("(",D6)-1),D6)</f>
        <v/>
      </c>
      <c r="P6">
        <f>IFERROR(MID(D6,FIND("(",D6)+1,FIND(")",D6)-FIND("(",D6)-1),"")</f>
        <v/>
      </c>
    </row>
    <row r="7">
      <c r="A7" t="inlineStr">
        <is>
          <t>评估机构</t>
        </is>
      </c>
      <c r="B7" s="24" t="inlineStr">
        <is>
          <t>appraisal_agency</t>
        </is>
      </c>
      <c r="C7" s="24" t="inlineStr">
        <is>
          <t>APPRAISALORGSTATUS</t>
        </is>
      </c>
      <c r="D7" s="24" t="inlineStr">
        <is>
          <t>varchar(6)</t>
        </is>
      </c>
      <c r="E7" s="24" t="inlineStr">
        <is>
          <t>YES</t>
        </is>
      </c>
      <c r="F7" s="49" t="inlineStr">
        <is>
          <t>评估机构状态</t>
        </is>
      </c>
      <c r="G7" s="72">
        <f>HYPERLINK("#码值映射清单!B9986","AgencyStatus")</f>
        <v/>
      </c>
      <c r="H7" s="46" t="inlineStr">
        <is>
          <t>1-生效、2-失效</t>
        </is>
      </c>
      <c r="I7" s="24" t="inlineStr"/>
      <c r="J7" s="180" t="n">
        <v>45740</v>
      </c>
      <c r="K7">
        <f>A7</f>
        <v/>
      </c>
      <c r="L7">
        <f>B7</f>
        <v/>
      </c>
      <c r="M7">
        <f>F7</f>
        <v/>
      </c>
      <c r="N7">
        <f>C7</f>
        <v/>
      </c>
      <c r="O7">
        <f>IFERROR(LEFT(D7,FIND("(",D7)-1),D7)</f>
        <v/>
      </c>
      <c r="P7">
        <f>IFERROR(MID(D7,FIND("(",D7)+1,FIND(")",D7)-FIND("(",D7)-1),"")</f>
        <v/>
      </c>
    </row>
    <row r="8">
      <c r="A8" t="inlineStr">
        <is>
          <t>评估机构</t>
        </is>
      </c>
      <c r="B8" s="24" t="inlineStr">
        <is>
          <t>appraisal_agency</t>
        </is>
      </c>
      <c r="C8" s="24" t="inlineStr">
        <is>
          <t>REGISTERDATE</t>
        </is>
      </c>
      <c r="D8" s="24" t="inlineStr">
        <is>
          <t>datetime</t>
        </is>
      </c>
      <c r="E8" s="24" t="inlineStr">
        <is>
          <t>YES</t>
        </is>
      </c>
      <c r="F8" s="24" t="inlineStr">
        <is>
          <t>机构成立日期</t>
        </is>
      </c>
      <c r="G8" s="24" t="n"/>
      <c r="H8" s="24" t="n"/>
      <c r="I8" s="24" t="inlineStr"/>
      <c r="J8" s="24" t="inlineStr">
        <is>
          <t>2023/01/12</t>
        </is>
      </c>
      <c r="K8">
        <f>A8</f>
        <v/>
      </c>
      <c r="L8">
        <f>B8</f>
        <v/>
      </c>
      <c r="M8">
        <f>F8</f>
        <v/>
      </c>
      <c r="N8">
        <f>C8</f>
        <v/>
      </c>
      <c r="O8">
        <f>IFERROR(LEFT(D8,FIND("(",D8)-1),D8)</f>
        <v/>
      </c>
      <c r="P8">
        <f>IFERROR(MID(D8,FIND("(",D8)+1,FIND(")",D8)-FIND("(",D8)-1),"")</f>
        <v/>
      </c>
    </row>
    <row r="9">
      <c r="A9" t="inlineStr">
        <is>
          <t>评估机构</t>
        </is>
      </c>
      <c r="B9" s="24" t="inlineStr">
        <is>
          <t>appraisal_agency</t>
        </is>
      </c>
      <c r="C9" s="24" t="inlineStr">
        <is>
          <t>ASSETSTYPE</t>
        </is>
      </c>
      <c r="D9" s="24" t="inlineStr">
        <is>
          <t>varchar(18)</t>
        </is>
      </c>
      <c r="E9" s="24" t="inlineStr">
        <is>
          <t>YES</t>
        </is>
      </c>
      <c r="F9" s="24" t="inlineStr">
        <is>
          <t>可评估资产类型</t>
        </is>
      </c>
      <c r="G9" s="52">
        <f>HYPERLINK("#码值映射清单!B8049","AssessAssetsType")</f>
        <v/>
      </c>
      <c r="H9" s="24" t="n"/>
      <c r="I9" s="24" t="inlineStr"/>
      <c r="J9" s="24" t="inlineStr">
        <is>
          <t>2023/01/12</t>
        </is>
      </c>
      <c r="K9">
        <f>A9</f>
        <v/>
      </c>
      <c r="L9">
        <f>B9</f>
        <v/>
      </c>
      <c r="M9">
        <f>F9</f>
        <v/>
      </c>
      <c r="N9">
        <f>C9</f>
        <v/>
      </c>
      <c r="O9">
        <f>IFERROR(LEFT(D9,FIND("(",D9)-1),D9)</f>
        <v/>
      </c>
      <c r="P9">
        <f>IFERROR(MID(D9,FIND("(",D9)+1,FIND(")",D9)-FIND("(",D9)-1),"")</f>
        <v/>
      </c>
    </row>
    <row r="10">
      <c r="A10" t="inlineStr">
        <is>
          <t>评估机构</t>
        </is>
      </c>
      <c r="B10" s="24" t="inlineStr">
        <is>
          <t>appraisal_agency</t>
        </is>
      </c>
      <c r="C10" s="24" t="inlineStr">
        <is>
          <t>QUALIFYLEVEL</t>
        </is>
      </c>
      <c r="D10" s="24" t="inlineStr">
        <is>
          <t>varchar(18)</t>
        </is>
      </c>
      <c r="E10" s="24" t="inlineStr">
        <is>
          <t>YES</t>
        </is>
      </c>
      <c r="F10" s="24" t="inlineStr">
        <is>
          <t>执业资质等级</t>
        </is>
      </c>
      <c r="G10" s="24" t="n"/>
      <c r="H10" s="24" t="n"/>
      <c r="I10" s="24" t="inlineStr"/>
      <c r="J10" s="24" t="inlineStr">
        <is>
          <t>2023/01/12</t>
        </is>
      </c>
      <c r="K10">
        <f>A10</f>
        <v/>
      </c>
      <c r="L10">
        <f>B10</f>
        <v/>
      </c>
      <c r="M10">
        <f>F10</f>
        <v/>
      </c>
      <c r="N10">
        <f>C10</f>
        <v/>
      </c>
      <c r="O10">
        <f>IFERROR(LEFT(D10,FIND("(",D10)-1),D10)</f>
        <v/>
      </c>
      <c r="P10">
        <f>IFERROR(MID(D10,FIND("(",D10)+1,FIND(")",D10)-FIND("(",D10)-1),"")</f>
        <v/>
      </c>
    </row>
    <row r="11">
      <c r="A11" t="inlineStr">
        <is>
          <t>评估机构</t>
        </is>
      </c>
      <c r="B11" s="24" t="inlineStr">
        <is>
          <t>appraisal_agency</t>
        </is>
      </c>
      <c r="C11" s="24" t="inlineStr">
        <is>
          <t>ASSESSAREA</t>
        </is>
      </c>
      <c r="D11" s="24" t="inlineStr">
        <is>
          <t>varchar(80)</t>
        </is>
      </c>
      <c r="E11" s="24" t="inlineStr">
        <is>
          <t>YES</t>
        </is>
      </c>
      <c r="F11" s="24" t="inlineStr">
        <is>
          <t>可估价地域范围</t>
        </is>
      </c>
      <c r="G11" s="52">
        <f>HYPERLINK("#码值映射清单!B9045","AssessArea")</f>
        <v/>
      </c>
      <c r="H11" s="24" t="n"/>
      <c r="I11" s="24" t="inlineStr"/>
      <c r="J11" s="24" t="inlineStr">
        <is>
          <t>2023/01/12</t>
        </is>
      </c>
      <c r="K11">
        <f>A11</f>
        <v/>
      </c>
      <c r="L11">
        <f>B11</f>
        <v/>
      </c>
      <c r="M11">
        <f>F11</f>
        <v/>
      </c>
      <c r="N11">
        <f>C11</f>
        <v/>
      </c>
      <c r="O11">
        <f>IFERROR(LEFT(D11,FIND("(",D11)-1),D11)</f>
        <v/>
      </c>
      <c r="P11">
        <f>IFERROR(MID(D11,FIND("(",D11)+1,FIND(")",D11)-FIND("(",D11)-1),"")</f>
        <v/>
      </c>
    </row>
    <row r="12">
      <c r="A12" t="inlineStr">
        <is>
          <t>评估机构</t>
        </is>
      </c>
      <c r="B12" s="24" t="inlineStr">
        <is>
          <t>appraisal_agency</t>
        </is>
      </c>
      <c r="C12" s="24" t="inlineStr">
        <is>
          <t>CERTNAME</t>
        </is>
      </c>
      <c r="D12" s="24" t="inlineStr">
        <is>
          <t>varchar(80)</t>
        </is>
      </c>
      <c r="E12" s="24" t="inlineStr">
        <is>
          <t>YES</t>
        </is>
      </c>
      <c r="F12" s="24" t="inlineStr">
        <is>
          <t>资质证书名称</t>
        </is>
      </c>
      <c r="G12" s="24" t="n"/>
      <c r="H12" s="24" t="n"/>
      <c r="I12" s="24" t="inlineStr"/>
      <c r="J12" s="24" t="inlineStr">
        <is>
          <t>2023/01/12</t>
        </is>
      </c>
      <c r="K12">
        <f>A12</f>
        <v/>
      </c>
      <c r="L12">
        <f>B12</f>
        <v/>
      </c>
      <c r="M12">
        <f>F12</f>
        <v/>
      </c>
      <c r="N12">
        <f>C12</f>
        <v/>
      </c>
      <c r="O12">
        <f>IFERROR(LEFT(D12,FIND("(",D12)-1),D12)</f>
        <v/>
      </c>
      <c r="P12">
        <f>IFERROR(MID(D12,FIND("(",D12)+1,FIND(")",D12)-FIND("(",D12)-1),"")</f>
        <v/>
      </c>
    </row>
    <row r="13">
      <c r="A13" t="inlineStr">
        <is>
          <t>评估机构</t>
        </is>
      </c>
      <c r="B13" s="24" t="inlineStr">
        <is>
          <t>appraisal_agency</t>
        </is>
      </c>
      <c r="C13" s="24" t="inlineStr">
        <is>
          <t>CERTID</t>
        </is>
      </c>
      <c r="D13" s="24" t="inlineStr">
        <is>
          <t>varchar(32)</t>
        </is>
      </c>
      <c r="E13" s="24" t="inlineStr">
        <is>
          <t>YES</t>
        </is>
      </c>
      <c r="F13" s="24" t="inlineStr">
        <is>
          <t>资质证书标号</t>
        </is>
      </c>
      <c r="G13" s="24" t="n"/>
      <c r="H13" s="24" t="n"/>
      <c r="I13" s="24" t="inlineStr"/>
      <c r="J13" s="24" t="inlineStr">
        <is>
          <t>2023/01/12</t>
        </is>
      </c>
      <c r="K13">
        <f>A13</f>
        <v/>
      </c>
      <c r="L13">
        <f>B13</f>
        <v/>
      </c>
      <c r="M13">
        <f>F13</f>
        <v/>
      </c>
      <c r="N13">
        <f>C13</f>
        <v/>
      </c>
      <c r="O13">
        <f>IFERROR(LEFT(D13,FIND("(",D13)-1),D13)</f>
        <v/>
      </c>
      <c r="P13">
        <f>IFERROR(MID(D13,FIND("(",D13)+1,FIND(")",D13)-FIND("(",D13)-1),"")</f>
        <v/>
      </c>
    </row>
    <row r="14">
      <c r="A14" t="inlineStr">
        <is>
          <t>评估机构</t>
        </is>
      </c>
      <c r="B14" s="24" t="inlineStr">
        <is>
          <t>appraisal_agency</t>
        </is>
      </c>
      <c r="C14" s="24" t="inlineStr">
        <is>
          <t>APPROVEDATE</t>
        </is>
      </c>
      <c r="D14" s="24" t="inlineStr">
        <is>
          <t>datetime</t>
        </is>
      </c>
      <c r="E14" s="24" t="inlineStr">
        <is>
          <t>YES</t>
        </is>
      </c>
      <c r="F14" s="24" t="inlineStr">
        <is>
          <t>资质核准日期</t>
        </is>
      </c>
      <c r="G14" s="24" t="n"/>
      <c r="H14" s="24" t="n"/>
      <c r="I14" s="24" t="inlineStr"/>
      <c r="J14" s="24" t="inlineStr">
        <is>
          <t>2023/01/12</t>
        </is>
      </c>
      <c r="K14">
        <f>A14</f>
        <v/>
      </c>
      <c r="L14">
        <f>B14</f>
        <v/>
      </c>
      <c r="M14">
        <f>F14</f>
        <v/>
      </c>
      <c r="N14">
        <f>C14</f>
        <v/>
      </c>
      <c r="O14">
        <f>IFERROR(LEFT(D14,FIND("(",D14)-1),D14)</f>
        <v/>
      </c>
      <c r="P14">
        <f>IFERROR(MID(D14,FIND("(",D14)+1,FIND(")",D14)-FIND("(",D14)-1),"")</f>
        <v/>
      </c>
    </row>
    <row r="15">
      <c r="A15" t="inlineStr">
        <is>
          <t>评估机构</t>
        </is>
      </c>
      <c r="B15" s="24" t="inlineStr">
        <is>
          <t>appraisal_agency</t>
        </is>
      </c>
      <c r="C15" s="24" t="inlineStr">
        <is>
          <t>APPROVEENDDATE</t>
        </is>
      </c>
      <c r="D15" s="24" t="inlineStr">
        <is>
          <t>datetime</t>
        </is>
      </c>
      <c r="E15" s="24" t="inlineStr">
        <is>
          <t>YES</t>
        </is>
      </c>
      <c r="F15" s="24" t="inlineStr">
        <is>
          <t>资质到期日期</t>
        </is>
      </c>
      <c r="G15" s="24" t="n"/>
      <c r="H15" s="24" t="n"/>
      <c r="I15" s="24" t="inlineStr"/>
      <c r="J15" s="24" t="inlineStr">
        <is>
          <t>2023/01/12</t>
        </is>
      </c>
      <c r="K15">
        <f>A15</f>
        <v/>
      </c>
      <c r="L15">
        <f>B15</f>
        <v/>
      </c>
      <c r="M15">
        <f>F15</f>
        <v/>
      </c>
      <c r="N15">
        <f>C15</f>
        <v/>
      </c>
      <c r="O15">
        <f>IFERROR(LEFT(D15,FIND("(",D15)-1),D15)</f>
        <v/>
      </c>
      <c r="P15">
        <f>IFERROR(MID(D15,FIND("(",D15)+1,FIND(")",D15)-FIND("(",D15)-1),"")</f>
        <v/>
      </c>
    </row>
    <row r="16">
      <c r="A16" t="inlineStr">
        <is>
          <t>评估机构</t>
        </is>
      </c>
      <c r="B16" s="24" t="inlineStr">
        <is>
          <t>appraisal_agency</t>
        </is>
      </c>
      <c r="C16" s="24" t="inlineStr">
        <is>
          <t>DEPARTMENTCARE</t>
        </is>
      </c>
      <c r="D16" s="24" t="inlineStr">
        <is>
          <t>varchar(6)</t>
        </is>
      </c>
      <c r="E16" s="24" t="inlineStr">
        <is>
          <t>YES</t>
        </is>
      </c>
      <c r="F16" s="24" t="inlineStr">
        <is>
          <t>行业主管部门是否年审</t>
        </is>
      </c>
      <c r="G16" s="52">
        <f>HYPERLINK("#码值映射清单!B5150","YesNo")</f>
        <v/>
      </c>
      <c r="H16" s="24" t="n"/>
      <c r="I16" s="24" t="inlineStr"/>
      <c r="J16" s="24" t="inlineStr">
        <is>
          <t>2023/01/12</t>
        </is>
      </c>
      <c r="K16">
        <f>A16</f>
        <v/>
      </c>
      <c r="L16">
        <f>B16</f>
        <v/>
      </c>
      <c r="M16">
        <f>F16</f>
        <v/>
      </c>
      <c r="N16">
        <f>C16</f>
        <v/>
      </c>
      <c r="O16">
        <f>IFERROR(LEFT(D16,FIND("(",D16)-1),D16)</f>
        <v/>
      </c>
      <c r="P16">
        <f>IFERROR(MID(D16,FIND("(",D16)+1,FIND(")",D16)-FIND("(",D16)-1),"")</f>
        <v/>
      </c>
    </row>
    <row r="17">
      <c r="A17" t="inlineStr">
        <is>
          <t>评估机构</t>
        </is>
      </c>
      <c r="B17" s="24" t="inlineStr">
        <is>
          <t>appraisal_agency</t>
        </is>
      </c>
      <c r="C17" s="24" t="inlineStr">
        <is>
          <t>INPUTUSER</t>
        </is>
      </c>
      <c r="D17" s="24" t="inlineStr">
        <is>
          <t>varchar(80)</t>
        </is>
      </c>
      <c r="E17" s="24" t="inlineStr">
        <is>
          <t>YES</t>
        </is>
      </c>
      <c r="F17" s="24" t="inlineStr">
        <is>
          <t>基本信息录入岗</t>
        </is>
      </c>
      <c r="G17" s="24" t="n"/>
      <c r="H17" s="24" t="n"/>
      <c r="I17" s="24" t="inlineStr"/>
      <c r="J17" s="24" t="inlineStr">
        <is>
          <t>2023/01/12</t>
        </is>
      </c>
      <c r="K17">
        <f>A17</f>
        <v/>
      </c>
      <c r="L17">
        <f>B17</f>
        <v/>
      </c>
      <c r="M17">
        <f>F17</f>
        <v/>
      </c>
      <c r="N17">
        <f>C17</f>
        <v/>
      </c>
      <c r="O17">
        <f>IFERROR(LEFT(D17,FIND("(",D17)-1),D17)</f>
        <v/>
      </c>
      <c r="P17">
        <f>IFERROR(MID(D17,FIND("(",D17)+1,FIND(")",D17)-FIND("(",D17)-1),"")</f>
        <v/>
      </c>
    </row>
    <row r="18">
      <c r="A18" t="inlineStr">
        <is>
          <t>评估机构</t>
        </is>
      </c>
      <c r="B18" s="24" t="inlineStr">
        <is>
          <t>appraisal_agency</t>
        </is>
      </c>
      <c r="C18" s="24" t="inlineStr">
        <is>
          <t>CONTINUETIME</t>
        </is>
      </c>
      <c r="D18" s="24" t="inlineStr">
        <is>
          <t>int</t>
        </is>
      </c>
      <c r="E18" s="24" t="inlineStr">
        <is>
          <t>YES</t>
        </is>
      </c>
      <c r="F18" s="24" t="inlineStr">
        <is>
          <t>连续执业时间</t>
        </is>
      </c>
      <c r="G18" s="24" t="n"/>
      <c r="H18" s="24" t="n"/>
      <c r="I18" s="24" t="inlineStr"/>
      <c r="J18" s="24" t="inlineStr">
        <is>
          <t>2023/01/12</t>
        </is>
      </c>
      <c r="K18">
        <f>A18</f>
        <v/>
      </c>
      <c r="L18">
        <f>B18</f>
        <v/>
      </c>
      <c r="M18">
        <f>F18</f>
        <v/>
      </c>
      <c r="N18">
        <f>C18</f>
        <v/>
      </c>
      <c r="O18">
        <f>IFERROR(LEFT(D18,FIND("(",D18)-1),D18)</f>
        <v/>
      </c>
      <c r="P18">
        <f>IFERROR(MID(D18,FIND("(",D18)+1,FIND(")",D18)-FIND("(",D18)-1),"")</f>
        <v/>
      </c>
    </row>
    <row r="19">
      <c r="A19" t="inlineStr">
        <is>
          <t>评估机构</t>
        </is>
      </c>
      <c r="B19" s="24" t="inlineStr">
        <is>
          <t>appraisal_agency</t>
        </is>
      </c>
      <c r="C19" s="24" t="inlineStr">
        <is>
          <t>BUSINESSSCOPE</t>
        </is>
      </c>
      <c r="D19" s="24" t="inlineStr">
        <is>
          <t>varchar(500)</t>
        </is>
      </c>
      <c r="E19" s="24" t="inlineStr">
        <is>
          <t>YES</t>
        </is>
      </c>
      <c r="F19" s="24" t="inlineStr">
        <is>
          <t>经营范围</t>
        </is>
      </c>
      <c r="G19" s="24" t="n"/>
      <c r="H19" s="24" t="n"/>
      <c r="I19" s="24" t="inlineStr"/>
      <c r="J19" s="24" t="inlineStr">
        <is>
          <t>2023/01/12</t>
        </is>
      </c>
      <c r="K19">
        <f>A19</f>
        <v/>
      </c>
      <c r="L19">
        <f>B19</f>
        <v/>
      </c>
      <c r="M19">
        <f>F19</f>
        <v/>
      </c>
      <c r="N19">
        <f>C19</f>
        <v/>
      </c>
      <c r="O19">
        <f>IFERROR(LEFT(D19,FIND("(",D19)-1),D19)</f>
        <v/>
      </c>
      <c r="P19">
        <f>IFERROR(MID(D19,FIND("(",D19)+1,FIND(")",D19)-FIND("(",D19)-1),"")</f>
        <v/>
      </c>
    </row>
    <row r="20">
      <c r="A20" t="inlineStr">
        <is>
          <t>评估机构</t>
        </is>
      </c>
      <c r="B20" s="24" t="inlineStr">
        <is>
          <t>appraisal_agency</t>
        </is>
      </c>
      <c r="C20" s="24" t="inlineStr">
        <is>
          <t>REGISTERCAPITAL</t>
        </is>
      </c>
      <c r="D20" s="24" t="inlineStr">
        <is>
          <t>decimal(24,6)</t>
        </is>
      </c>
      <c r="E20" s="24" t="inlineStr">
        <is>
          <t>YES</t>
        </is>
      </c>
      <c r="F20" s="24" t="inlineStr">
        <is>
          <t>注册资金</t>
        </is>
      </c>
      <c r="G20" s="24" t="n"/>
      <c r="H20" s="24" t="n"/>
      <c r="I20" s="24" t="inlineStr"/>
      <c r="J20" s="24" t="inlineStr">
        <is>
          <t>2023/01/12</t>
        </is>
      </c>
      <c r="K20">
        <f>A20</f>
        <v/>
      </c>
      <c r="L20">
        <f>B20</f>
        <v/>
      </c>
      <c r="M20">
        <f>F20</f>
        <v/>
      </c>
      <c r="N20">
        <f>C20</f>
        <v/>
      </c>
      <c r="O20">
        <f>IFERROR(LEFT(D20,FIND("(",D20)-1),D20)</f>
        <v/>
      </c>
      <c r="P20">
        <f>IFERROR(MID(D20,FIND("(",D20)+1,FIND(")",D20)-FIND("(",D20)-1),"")</f>
        <v/>
      </c>
    </row>
    <row r="21">
      <c r="A21" t="inlineStr">
        <is>
          <t>评估机构</t>
        </is>
      </c>
      <c r="B21" s="24" t="inlineStr">
        <is>
          <t>appraisal_agency</t>
        </is>
      </c>
      <c r="C21" s="24" t="inlineStr">
        <is>
          <t>LEGALREP</t>
        </is>
      </c>
      <c r="D21" s="24" t="inlineStr">
        <is>
          <t>varchar(80)</t>
        </is>
      </c>
      <c r="E21" s="24" t="inlineStr">
        <is>
          <t>YES</t>
        </is>
      </c>
      <c r="F21" s="24" t="inlineStr">
        <is>
          <t>法人代表</t>
        </is>
      </c>
      <c r="G21" s="24" t="n"/>
      <c r="H21" s="24" t="n"/>
      <c r="I21" s="24" t="inlineStr"/>
      <c r="J21" s="24" t="inlineStr">
        <is>
          <t>2023/01/12</t>
        </is>
      </c>
      <c r="K21">
        <f>A21</f>
        <v/>
      </c>
      <c r="L21">
        <f>B21</f>
        <v/>
      </c>
      <c r="M21">
        <f>F21</f>
        <v/>
      </c>
      <c r="N21">
        <f>C21</f>
        <v/>
      </c>
      <c r="O21">
        <f>IFERROR(LEFT(D21,FIND("(",D21)-1),D21)</f>
        <v/>
      </c>
      <c r="P21">
        <f>IFERROR(MID(D21,FIND("(",D21)+1,FIND(")",D21)-FIND("(",D21)-1),"")</f>
        <v/>
      </c>
    </row>
    <row r="22">
      <c r="A22" t="inlineStr">
        <is>
          <t>评估机构</t>
        </is>
      </c>
      <c r="B22" s="24" t="inlineStr">
        <is>
          <t>appraisal_agency</t>
        </is>
      </c>
      <c r="C22" s="24" t="inlineStr">
        <is>
          <t>ORGTELEPHONE</t>
        </is>
      </c>
      <c r="D22" s="24" t="inlineStr">
        <is>
          <t>varchar(18)</t>
        </is>
      </c>
      <c r="E22" s="24" t="inlineStr">
        <is>
          <t>YES</t>
        </is>
      </c>
      <c r="F22" s="24" t="inlineStr">
        <is>
          <t>评估机构电话</t>
        </is>
      </c>
      <c r="G22" s="24" t="n"/>
      <c r="H22" s="24" t="n"/>
      <c r="I22" s="24" t="inlineStr"/>
      <c r="J22" s="24" t="inlineStr">
        <is>
          <t>2023/01/12</t>
        </is>
      </c>
      <c r="K22">
        <f>A22</f>
        <v/>
      </c>
      <c r="L22">
        <f>B22</f>
        <v/>
      </c>
      <c r="M22">
        <f>F22</f>
        <v/>
      </c>
      <c r="N22">
        <f>C22</f>
        <v/>
      </c>
      <c r="O22">
        <f>IFERROR(LEFT(D22,FIND("(",D22)-1),D22)</f>
        <v/>
      </c>
      <c r="P22">
        <f>IFERROR(MID(D22,FIND("(",D22)+1,FIND(")",D22)-FIND("(",D22)-1),"")</f>
        <v/>
      </c>
    </row>
    <row r="23">
      <c r="A23" t="inlineStr">
        <is>
          <t>评估机构</t>
        </is>
      </c>
      <c r="B23" s="24" t="inlineStr">
        <is>
          <t>appraisal_agency</t>
        </is>
      </c>
      <c r="C23" s="24" t="inlineStr">
        <is>
          <t>ORGFAX</t>
        </is>
      </c>
      <c r="D23" s="24" t="inlineStr">
        <is>
          <t>varchar(18)</t>
        </is>
      </c>
      <c r="E23" s="24" t="inlineStr">
        <is>
          <t>YES</t>
        </is>
      </c>
      <c r="F23" s="24" t="inlineStr">
        <is>
          <t>评估机构传真电话</t>
        </is>
      </c>
      <c r="G23" s="24" t="n"/>
      <c r="H23" s="24" t="n"/>
      <c r="I23" s="24" t="inlineStr"/>
      <c r="J23" s="24" t="inlineStr">
        <is>
          <t>2023/01/12</t>
        </is>
      </c>
      <c r="K23">
        <f>A23</f>
        <v/>
      </c>
      <c r="L23">
        <f>B23</f>
        <v/>
      </c>
      <c r="M23">
        <f>F23</f>
        <v/>
      </c>
      <c r="N23">
        <f>C23</f>
        <v/>
      </c>
      <c r="O23">
        <f>IFERROR(LEFT(D23,FIND("(",D23)-1),D23)</f>
        <v/>
      </c>
      <c r="P23">
        <f>IFERROR(MID(D23,FIND("(",D23)+1,FIND(")",D23)-FIND("(",D23)-1),"")</f>
        <v/>
      </c>
    </row>
    <row r="24">
      <c r="A24" t="inlineStr">
        <is>
          <t>评估机构</t>
        </is>
      </c>
      <c r="B24" s="24" t="inlineStr">
        <is>
          <t>appraisal_agency</t>
        </is>
      </c>
      <c r="C24" s="24" t="inlineStr">
        <is>
          <t>ORGEMAIL</t>
        </is>
      </c>
      <c r="D24" s="24" t="inlineStr">
        <is>
          <t>varchar(32)</t>
        </is>
      </c>
      <c r="E24" s="24" t="inlineStr">
        <is>
          <t>YES</t>
        </is>
      </c>
      <c r="F24" s="24" t="inlineStr">
        <is>
          <t>评估机构电子邮箱</t>
        </is>
      </c>
      <c r="G24" s="24" t="n"/>
      <c r="H24" s="24" t="n"/>
      <c r="I24" s="24" t="inlineStr"/>
      <c r="J24" s="24" t="inlineStr">
        <is>
          <t>2023/01/12</t>
        </is>
      </c>
      <c r="K24">
        <f>A24</f>
        <v/>
      </c>
      <c r="L24">
        <f>B24</f>
        <v/>
      </c>
      <c r="M24">
        <f>F24</f>
        <v/>
      </c>
      <c r="N24">
        <f>C24</f>
        <v/>
      </c>
      <c r="O24">
        <f>IFERROR(LEFT(D24,FIND("(",D24)-1),D24)</f>
        <v/>
      </c>
      <c r="P24">
        <f>IFERROR(MID(D24,FIND("(",D24)+1,FIND(")",D24)-FIND("(",D24)-1),"")</f>
        <v/>
      </c>
    </row>
    <row r="25">
      <c r="A25" t="inlineStr">
        <is>
          <t>评估机构</t>
        </is>
      </c>
      <c r="B25" s="24" t="inlineStr">
        <is>
          <t>appraisal_agency</t>
        </is>
      </c>
      <c r="C25" s="24" t="inlineStr">
        <is>
          <t>APPRAISERNUM</t>
        </is>
      </c>
      <c r="D25" s="24" t="inlineStr">
        <is>
          <t>int</t>
        </is>
      </c>
      <c r="E25" s="24" t="inlineStr">
        <is>
          <t>YES</t>
        </is>
      </c>
      <c r="F25" s="24" t="inlineStr">
        <is>
          <t>评估师数量</t>
        </is>
      </c>
      <c r="G25" s="24" t="n"/>
      <c r="H25" s="24" t="n"/>
      <c r="I25" s="24" t="inlineStr"/>
      <c r="J25" s="24" t="inlineStr">
        <is>
          <t>2023/01/12</t>
        </is>
      </c>
      <c r="K25">
        <f>A25</f>
        <v/>
      </c>
      <c r="L25">
        <f>B25</f>
        <v/>
      </c>
      <c r="M25">
        <f>F25</f>
        <v/>
      </c>
      <c r="N25">
        <f>C25</f>
        <v/>
      </c>
      <c r="O25">
        <f>IFERROR(LEFT(D25,FIND("(",D25)-1),D25)</f>
        <v/>
      </c>
      <c r="P25">
        <f>IFERROR(MID(D25,FIND("(",D25)+1,FIND(")",D25)-FIND("(",D25)-1),"")</f>
        <v/>
      </c>
    </row>
    <row r="26">
      <c r="A26" t="inlineStr">
        <is>
          <t>评估机构</t>
        </is>
      </c>
      <c r="B26" s="24" t="inlineStr">
        <is>
          <t>appraisal_agency</t>
        </is>
      </c>
      <c r="C26" s="24" t="inlineStr">
        <is>
          <t>ISINBLACKLIST</t>
        </is>
      </c>
      <c r="D26" s="24" t="inlineStr">
        <is>
          <t>char(1)</t>
        </is>
      </c>
      <c r="E26" s="24" t="inlineStr">
        <is>
          <t>YES</t>
        </is>
      </c>
      <c r="F26" s="24" t="inlineStr">
        <is>
          <t>是否黑名单</t>
        </is>
      </c>
      <c r="G26" s="52">
        <f>HYPERLINK("#码值映射清单!B5150","YesNo")</f>
        <v/>
      </c>
      <c r="H26" s="24" t="n"/>
      <c r="I26" s="24" t="inlineStr"/>
      <c r="J26" s="24" t="inlineStr">
        <is>
          <t>2023/01/12</t>
        </is>
      </c>
      <c r="K26">
        <f>A26</f>
        <v/>
      </c>
      <c r="L26">
        <f>B26</f>
        <v/>
      </c>
      <c r="M26">
        <f>F26</f>
        <v/>
      </c>
      <c r="N26">
        <f>C26</f>
        <v/>
      </c>
      <c r="O26">
        <f>IFERROR(LEFT(D26,FIND("(",D26)-1),D26)</f>
        <v/>
      </c>
      <c r="P26">
        <f>IFERROR(MID(D26,FIND("(",D26)+1,FIND(")",D26)-FIND("(",D26)-1),"")</f>
        <v/>
      </c>
    </row>
    <row r="27">
      <c r="A27" t="inlineStr">
        <is>
          <t>评估机构</t>
        </is>
      </c>
      <c r="B27" s="24" t="inlineStr">
        <is>
          <t>appraisal_agency</t>
        </is>
      </c>
      <c r="C27" s="24" t="inlineStr">
        <is>
          <t>PARENTORGID</t>
        </is>
      </c>
      <c r="D27" s="24" t="inlineStr">
        <is>
          <t>varchar(80)</t>
        </is>
      </c>
      <c r="E27" s="24" t="inlineStr">
        <is>
          <t>YES</t>
        </is>
      </c>
      <c r="F27" s="24" t="inlineStr">
        <is>
          <t>所属分行</t>
        </is>
      </c>
      <c r="G27" s="24" t="n"/>
      <c r="H27" s="24" t="n"/>
      <c r="I27" s="24" t="inlineStr"/>
      <c r="J27" s="24" t="inlineStr">
        <is>
          <t>2023/01/12</t>
        </is>
      </c>
      <c r="K27">
        <f>A27</f>
        <v/>
      </c>
      <c r="L27">
        <f>B27</f>
        <v/>
      </c>
      <c r="M27">
        <f>F27</f>
        <v/>
      </c>
      <c r="N27">
        <f>C27</f>
        <v/>
      </c>
      <c r="O27">
        <f>IFERROR(LEFT(D27,FIND("(",D27)-1),D27)</f>
        <v/>
      </c>
      <c r="P27">
        <f>IFERROR(MID(D27,FIND("(",D27)+1,FIND(")",D27)-FIND("(",D27)-1),"")</f>
        <v/>
      </c>
    </row>
    <row r="28">
      <c r="A28" t="inlineStr">
        <is>
          <t>评估机构</t>
        </is>
      </c>
      <c r="B28" s="24" t="inlineStr">
        <is>
          <t>appraisal_agency</t>
        </is>
      </c>
      <c r="C28" s="24" t="inlineStr">
        <is>
          <t>APPRAISALCERTID</t>
        </is>
      </c>
      <c r="D28" s="24" t="inlineStr">
        <is>
          <t>varchar(32)</t>
        </is>
      </c>
      <c r="E28" s="24" t="inlineStr">
        <is>
          <t>YES</t>
        </is>
      </c>
      <c r="F28" s="24" t="inlineStr">
        <is>
          <t>评估机构证件号码</t>
        </is>
      </c>
      <c r="G28" s="24" t="n"/>
      <c r="H28" s="24" t="n"/>
      <c r="I28" s="24" t="inlineStr"/>
      <c r="J28" s="24" t="inlineStr">
        <is>
          <t>2023/01/12</t>
        </is>
      </c>
      <c r="K28">
        <f>A28</f>
        <v/>
      </c>
      <c r="L28">
        <f>B28</f>
        <v/>
      </c>
      <c r="M28">
        <f>F28</f>
        <v/>
      </c>
      <c r="N28">
        <f>C28</f>
        <v/>
      </c>
      <c r="O28">
        <f>IFERROR(LEFT(D28,FIND("(",D28)-1),D28)</f>
        <v/>
      </c>
      <c r="P28">
        <f>IFERROR(MID(D28,FIND("(",D28)+1,FIND(")",D28)-FIND("(",D28)-1),"")</f>
        <v/>
      </c>
    </row>
    <row r="29">
      <c r="A29" t="inlineStr">
        <is>
          <t>评估机构</t>
        </is>
      </c>
      <c r="B29" s="24" t="inlineStr">
        <is>
          <t>appraisal_agency</t>
        </is>
      </c>
      <c r="C29" s="24" t="inlineStr">
        <is>
          <t>APPRAISALCERTTYPE</t>
        </is>
      </c>
      <c r="D29" s="24" t="inlineStr">
        <is>
          <t>varchar(18)</t>
        </is>
      </c>
      <c r="E29" s="24" t="inlineStr">
        <is>
          <t>YES</t>
        </is>
      </c>
      <c r="F29" s="24" t="inlineStr">
        <is>
          <t>评估机构证件类型</t>
        </is>
      </c>
      <c r="G29" s="61">
        <f>HYPERLINK("#码值映射清单!B6810","EntCertType")</f>
        <v/>
      </c>
      <c r="H29" s="24" t="n"/>
      <c r="I29" s="24" t="inlineStr"/>
      <c r="J29" s="24" t="inlineStr">
        <is>
          <t>2023/01/12</t>
        </is>
      </c>
      <c r="K29">
        <f>A29</f>
        <v/>
      </c>
      <c r="L29">
        <f>B29</f>
        <v/>
      </c>
      <c r="M29">
        <f>F29</f>
        <v/>
      </c>
      <c r="N29">
        <f>C29</f>
        <v/>
      </c>
      <c r="O29">
        <f>IFERROR(LEFT(D29,FIND("(",D29)-1),D29)</f>
        <v/>
      </c>
      <c r="P29">
        <f>IFERROR(MID(D29,FIND("(",D29)+1,FIND(")",D29)-FIND("(",D29)-1),"")</f>
        <v/>
      </c>
    </row>
    <row r="30">
      <c r="A30" t="inlineStr">
        <is>
          <t>评估机构</t>
        </is>
      </c>
      <c r="B30" s="24" t="inlineStr">
        <is>
          <t>appraisal_agency</t>
        </is>
      </c>
      <c r="C30" s="24" t="inlineStr">
        <is>
          <t>RELACERTID</t>
        </is>
      </c>
      <c r="D30" s="24" t="inlineStr">
        <is>
          <t>varchar(32)</t>
        </is>
      </c>
      <c r="E30" s="24" t="inlineStr">
        <is>
          <t>YES</t>
        </is>
      </c>
      <c r="F30" s="24" t="inlineStr">
        <is>
          <t>关联机构</t>
        </is>
      </c>
      <c r="G30" s="24" t="n"/>
      <c r="H30" s="24" t="n"/>
      <c r="I30" s="24" t="inlineStr"/>
      <c r="J30" s="24" t="inlineStr">
        <is>
          <t>2023/01/12</t>
        </is>
      </c>
      <c r="K30">
        <f>A30</f>
        <v/>
      </c>
      <c r="L30">
        <f>B30</f>
        <v/>
      </c>
      <c r="M30">
        <f>F30</f>
        <v/>
      </c>
      <c r="N30">
        <f>C30</f>
        <v/>
      </c>
      <c r="O30">
        <f>IFERROR(LEFT(D30,FIND("(",D30)-1),D30)</f>
        <v/>
      </c>
      <c r="P30">
        <f>IFERROR(MID(D30,FIND("(",D30)+1,FIND(")",D30)-FIND("(",D30)-1),"")</f>
        <v/>
      </c>
    </row>
    <row r="31">
      <c r="A31" t="inlineStr">
        <is>
          <t>评估机构</t>
        </is>
      </c>
      <c r="B31" s="24" t="inlineStr">
        <is>
          <t>appraisal_agency</t>
        </is>
      </c>
      <c r="C31" s="24" t="inlineStr">
        <is>
          <t>TEMPSAVEFLAG</t>
        </is>
      </c>
      <c r="D31" s="24" t="inlineStr">
        <is>
          <t>char(1)</t>
        </is>
      </c>
      <c r="E31" s="24" t="inlineStr">
        <is>
          <t>YES</t>
        </is>
      </c>
      <c r="F31" s="24" t="inlineStr">
        <is>
          <t>暂存标志</t>
        </is>
      </c>
      <c r="G31" s="24" t="n"/>
      <c r="H31" s="24" t="n"/>
      <c r="I31" s="24" t="inlineStr"/>
      <c r="J31" s="24" t="inlineStr">
        <is>
          <t>2023/01/12</t>
        </is>
      </c>
      <c r="K31">
        <f>A31</f>
        <v/>
      </c>
      <c r="L31">
        <f>B31</f>
        <v/>
      </c>
      <c r="M31">
        <f>F31</f>
        <v/>
      </c>
      <c r="N31">
        <f>C31</f>
        <v/>
      </c>
      <c r="O31">
        <f>IFERROR(LEFT(D31,FIND("(",D31)-1),D31)</f>
        <v/>
      </c>
      <c r="P31">
        <f>IFERROR(MID(D31,FIND("(",D31)+1,FIND(")",D31)-FIND("(",D31)-1),"")</f>
        <v/>
      </c>
    </row>
    <row r="32">
      <c r="A32" t="inlineStr">
        <is>
          <t>评估机构</t>
        </is>
      </c>
      <c r="B32" s="24" t="inlineStr">
        <is>
          <t>appraisal_agency</t>
        </is>
      </c>
      <c r="C32" s="24" t="inlineStr">
        <is>
          <t>ISINALERTLIST</t>
        </is>
      </c>
      <c r="D32" s="24" t="inlineStr">
        <is>
          <t>char(1)</t>
        </is>
      </c>
      <c r="E32" s="24" t="inlineStr">
        <is>
          <t>YES</t>
        </is>
      </c>
      <c r="F32" s="24" t="inlineStr">
        <is>
          <t>警示标识</t>
        </is>
      </c>
      <c r="G32" s="24" t="n"/>
      <c r="H32" s="24" t="n"/>
      <c r="I32" s="24" t="inlineStr"/>
      <c r="J32" s="24" t="inlineStr">
        <is>
          <t>2023/01/12</t>
        </is>
      </c>
      <c r="K32">
        <f>A32</f>
        <v/>
      </c>
      <c r="L32">
        <f>B32</f>
        <v/>
      </c>
      <c r="M32">
        <f>F32</f>
        <v/>
      </c>
      <c r="N32">
        <f>C32</f>
        <v/>
      </c>
      <c r="O32">
        <f>IFERROR(LEFT(D32,FIND("(",D32)-1),D32)</f>
        <v/>
      </c>
      <c r="P32">
        <f>IFERROR(MID(D32,FIND("(",D32)+1,FIND(")",D32)-FIND("(",D32)-1),"")</f>
        <v/>
      </c>
    </row>
    <row r="33">
      <c r="A33" t="inlineStr">
        <is>
          <t>评估机构</t>
        </is>
      </c>
      <c r="B33" s="24" t="inlineStr">
        <is>
          <t>appraisal_agency</t>
        </is>
      </c>
      <c r="C33" s="24" t="inlineStr">
        <is>
          <t>INPUTUSERID</t>
        </is>
      </c>
      <c r="D33" s="24" t="inlineStr">
        <is>
          <t>varchar(32)</t>
        </is>
      </c>
      <c r="E33" s="24" t="inlineStr">
        <is>
          <t>YES</t>
        </is>
      </c>
      <c r="F33" s="24" t="inlineStr">
        <is>
          <t>登记人</t>
        </is>
      </c>
      <c r="G33" s="24" t="n"/>
      <c r="H33" s="24" t="n"/>
      <c r="I33" s="24" t="inlineStr"/>
      <c r="J33" s="24" t="inlineStr">
        <is>
          <t>2023/01/12</t>
        </is>
      </c>
      <c r="K33">
        <f>A33</f>
        <v/>
      </c>
      <c r="L33">
        <f>B33</f>
        <v/>
      </c>
      <c r="M33">
        <f>F33</f>
        <v/>
      </c>
      <c r="N33">
        <f>C33</f>
        <v/>
      </c>
      <c r="O33">
        <f>IFERROR(LEFT(D33,FIND("(",D33)-1),D33)</f>
        <v/>
      </c>
      <c r="P33">
        <f>IFERROR(MID(D33,FIND("(",D33)+1,FIND(")",D33)-FIND("(",D33)-1),"")</f>
        <v/>
      </c>
    </row>
    <row r="34">
      <c r="A34" t="inlineStr">
        <is>
          <t>评估机构</t>
        </is>
      </c>
      <c r="B34" s="24" t="inlineStr">
        <is>
          <t>appraisal_agency</t>
        </is>
      </c>
      <c r="C34" s="24" t="inlineStr">
        <is>
          <t>INPUTORGID</t>
        </is>
      </c>
      <c r="D34" s="24" t="inlineStr">
        <is>
          <t>varchar(32)</t>
        </is>
      </c>
      <c r="E34" s="24" t="inlineStr">
        <is>
          <t>YES</t>
        </is>
      </c>
      <c r="F34" s="24" t="inlineStr">
        <is>
          <t>登记机构</t>
        </is>
      </c>
      <c r="G34" s="24" t="n"/>
      <c r="H34" s="24" t="n"/>
      <c r="I34" s="24" t="inlineStr"/>
      <c r="J34" s="24" t="inlineStr">
        <is>
          <t>2023/01/12</t>
        </is>
      </c>
      <c r="K34">
        <f>A34</f>
        <v/>
      </c>
      <c r="L34">
        <f>B34</f>
        <v/>
      </c>
      <c r="M34">
        <f>F34</f>
        <v/>
      </c>
      <c r="N34">
        <f>C34</f>
        <v/>
      </c>
      <c r="O34">
        <f>IFERROR(LEFT(D34,FIND("(",D34)-1),D34)</f>
        <v/>
      </c>
      <c r="P34">
        <f>IFERROR(MID(D34,FIND("(",D34)+1,FIND(")",D34)-FIND("(",D34)-1),"")</f>
        <v/>
      </c>
    </row>
    <row r="35">
      <c r="A35" t="inlineStr">
        <is>
          <t>评估机构</t>
        </is>
      </c>
      <c r="B35" s="24" t="inlineStr">
        <is>
          <t>appraisal_agency</t>
        </is>
      </c>
      <c r="C35" s="24" t="inlineStr">
        <is>
          <t>INPUTDATE</t>
        </is>
      </c>
      <c r="D35" s="24" t="inlineStr">
        <is>
          <t>datetime</t>
        </is>
      </c>
      <c r="E35" s="24" t="inlineStr">
        <is>
          <t>YES</t>
        </is>
      </c>
      <c r="F35" s="24" t="inlineStr">
        <is>
          <t>登记日期</t>
        </is>
      </c>
      <c r="G35" s="24" t="n"/>
      <c r="H35" s="24" t="n"/>
      <c r="I35" s="24" t="inlineStr"/>
      <c r="J35" s="24" t="inlineStr">
        <is>
          <t>2023/01/12</t>
        </is>
      </c>
      <c r="K35">
        <f>A35</f>
        <v/>
      </c>
      <c r="L35">
        <f>B35</f>
        <v/>
      </c>
      <c r="M35">
        <f>F35</f>
        <v/>
      </c>
      <c r="N35">
        <f>C35</f>
        <v/>
      </c>
      <c r="O35">
        <f>IFERROR(LEFT(D35,FIND("(",D35)-1),D35)</f>
        <v/>
      </c>
      <c r="P35">
        <f>IFERROR(MID(D35,FIND("(",D35)+1,FIND(")",D35)-FIND("(",D35)-1),"")</f>
        <v/>
      </c>
    </row>
    <row r="36">
      <c r="A36" t="inlineStr">
        <is>
          <t>评估机构</t>
        </is>
      </c>
      <c r="B36" s="24" t="inlineStr">
        <is>
          <t>appraisal_agency</t>
        </is>
      </c>
      <c r="C36" s="24" t="inlineStr">
        <is>
          <t>UPDATEUSERID</t>
        </is>
      </c>
      <c r="D36" s="24" t="inlineStr">
        <is>
          <t>varchar(32)</t>
        </is>
      </c>
      <c r="E36" s="24" t="inlineStr">
        <is>
          <t>YES</t>
        </is>
      </c>
      <c r="F36" s="24" t="inlineStr">
        <is>
          <t>更新人</t>
        </is>
      </c>
      <c r="G36" s="24" t="n"/>
      <c r="H36" s="24" t="n"/>
      <c r="I36" s="24" t="inlineStr"/>
      <c r="J36" s="24" t="inlineStr">
        <is>
          <t>2023/01/12</t>
        </is>
      </c>
      <c r="K36">
        <f>A36</f>
        <v/>
      </c>
      <c r="L36">
        <f>B36</f>
        <v/>
      </c>
      <c r="M36">
        <f>F36</f>
        <v/>
      </c>
      <c r="N36">
        <f>C36</f>
        <v/>
      </c>
      <c r="O36">
        <f>IFERROR(LEFT(D36,FIND("(",D36)-1),D36)</f>
        <v/>
      </c>
      <c r="P36">
        <f>IFERROR(MID(D36,FIND("(",D36)+1,FIND(")",D36)-FIND("(",D36)-1),"")</f>
        <v/>
      </c>
    </row>
    <row r="37">
      <c r="A37" t="inlineStr">
        <is>
          <t>评估机构</t>
        </is>
      </c>
      <c r="B37" s="24" t="inlineStr">
        <is>
          <t>appraisal_agency</t>
        </is>
      </c>
      <c r="C37" s="24" t="inlineStr">
        <is>
          <t>UPDATEORGID</t>
        </is>
      </c>
      <c r="D37" s="24" t="inlineStr">
        <is>
          <t>varchar(32)</t>
        </is>
      </c>
      <c r="E37" s="24" t="inlineStr">
        <is>
          <t>YES</t>
        </is>
      </c>
      <c r="F37" s="24" t="inlineStr">
        <is>
          <t>更新机构</t>
        </is>
      </c>
      <c r="G37" s="24" t="n"/>
      <c r="H37" s="24" t="n"/>
      <c r="I37" s="24" t="inlineStr"/>
      <c r="J37" s="24" t="inlineStr">
        <is>
          <t>2023/01/12</t>
        </is>
      </c>
      <c r="K37">
        <f>A37</f>
        <v/>
      </c>
      <c r="L37">
        <f>B37</f>
        <v/>
      </c>
      <c r="M37">
        <f>F37</f>
        <v/>
      </c>
      <c r="N37">
        <f>C37</f>
        <v/>
      </c>
      <c r="O37">
        <f>IFERROR(LEFT(D37,FIND("(",D37)-1),D37)</f>
        <v/>
      </c>
      <c r="P37">
        <f>IFERROR(MID(D37,FIND("(",D37)+1,FIND(")",D37)-FIND("(",D37)-1),"")</f>
        <v/>
      </c>
    </row>
    <row r="38">
      <c r="A38" t="inlineStr">
        <is>
          <t>评估机构</t>
        </is>
      </c>
      <c r="B38" s="24" t="inlineStr">
        <is>
          <t>appraisal_agency</t>
        </is>
      </c>
      <c r="C38" s="24" t="inlineStr">
        <is>
          <t>UPDATEDATE</t>
        </is>
      </c>
      <c r="D38" s="24" t="inlineStr">
        <is>
          <t>datetime</t>
        </is>
      </c>
      <c r="E38" s="24" t="inlineStr">
        <is>
          <t>YES</t>
        </is>
      </c>
      <c r="F38" s="24" t="inlineStr">
        <is>
          <t>更新日期</t>
        </is>
      </c>
      <c r="G38" s="24" t="n"/>
      <c r="H38" s="24" t="n"/>
      <c r="I38" s="24" t="inlineStr"/>
      <c r="J38" s="24" t="inlineStr">
        <is>
          <t>2023/01/12</t>
        </is>
      </c>
      <c r="K38">
        <f>A38</f>
        <v/>
      </c>
      <c r="L38">
        <f>B38</f>
        <v/>
      </c>
      <c r="M38">
        <f>F38</f>
        <v/>
      </c>
      <c r="N38">
        <f>C38</f>
        <v/>
      </c>
      <c r="O38">
        <f>IFERROR(LEFT(D38,FIND("(",D38)-1),D38)</f>
        <v/>
      </c>
      <c r="P38">
        <f>IFERROR(MID(D38,FIND("(",D38)+1,FIND(")",D38)-FIND("(",D38)-1),"")</f>
        <v/>
      </c>
    </row>
    <row r="39">
      <c r="A39" t="inlineStr">
        <is>
          <t>评估机构</t>
        </is>
      </c>
      <c r="B39" s="24" t="inlineStr">
        <is>
          <t>appraisal_agency</t>
        </is>
      </c>
      <c r="C39" s="24" t="inlineStr">
        <is>
          <t>REMARK</t>
        </is>
      </c>
      <c r="D39" s="24" t="inlineStr">
        <is>
          <t>varchar(1000)</t>
        </is>
      </c>
      <c r="E39" s="24" t="inlineStr">
        <is>
          <t>YES</t>
        </is>
      </c>
      <c r="F39" s="24" t="inlineStr">
        <is>
          <t>备注</t>
        </is>
      </c>
      <c r="G39" s="24" t="n"/>
      <c r="H39" s="24" t="n"/>
      <c r="I39" s="24" t="inlineStr"/>
      <c r="J39" s="24" t="inlineStr">
        <is>
          <t>2023/01/12</t>
        </is>
      </c>
      <c r="K39">
        <f>A39</f>
        <v/>
      </c>
      <c r="L39">
        <f>B39</f>
        <v/>
      </c>
      <c r="M39">
        <f>F39</f>
        <v/>
      </c>
      <c r="N39">
        <f>C39</f>
        <v/>
      </c>
      <c r="O39">
        <f>IFERROR(LEFT(D39,FIND("(",D39)-1),D39)</f>
        <v/>
      </c>
      <c r="P39">
        <f>IFERROR(MID(D39,FIND("(",D39)+1,FIND(")",D39)-FIND("(",D39)-1),"")</f>
        <v/>
      </c>
    </row>
    <row r="40">
      <c r="A40" t="inlineStr">
        <is>
          <t>评估机构</t>
        </is>
      </c>
      <c r="B40" s="109" t="inlineStr">
        <is>
          <t>appraisal_agency</t>
        </is>
      </c>
      <c r="C40" s="109" t="inlineStr">
        <is>
          <t>CORPORGID</t>
        </is>
      </c>
      <c r="D40" s="109" t="inlineStr">
        <is>
          <t>varchar(32)</t>
        </is>
      </c>
      <c r="E40" s="109" t="inlineStr">
        <is>
          <t>YES</t>
        </is>
      </c>
      <c r="F40" s="109" t="inlineStr">
        <is>
          <t>法人机构编号</t>
        </is>
      </c>
      <c r="G40" s="109" t="n"/>
      <c r="H40" s="109" t="n"/>
      <c r="I40" s="109" t="inlineStr"/>
      <c r="J40" s="109" t="inlineStr">
        <is>
          <t>2023/01/12</t>
        </is>
      </c>
      <c r="K40">
        <f>A40</f>
        <v/>
      </c>
      <c r="L40">
        <f>B40</f>
        <v/>
      </c>
      <c r="M40">
        <f>F40</f>
        <v/>
      </c>
      <c r="N40">
        <f>C40</f>
        <v/>
      </c>
      <c r="O40">
        <f>IFERROR(LEFT(D40,FIND("(",D40)-1),D40)</f>
        <v/>
      </c>
      <c r="P40">
        <f>IFERROR(MID(D40,FIND("(",D40)+1,FIND(")",D40)-FIND("(",D40)-1),"")</f>
        <v/>
      </c>
    </row>
    <row r="41">
      <c r="A41" t="inlineStr">
        <is>
          <t>评估机构</t>
        </is>
      </c>
      <c r="B41" s="65" t="inlineStr">
        <is>
          <t>appraisal_agency</t>
        </is>
      </c>
      <c r="C41" s="60" t="inlineStr">
        <is>
          <t>ISONLINE</t>
        </is>
      </c>
      <c r="D41" s="65" t="inlineStr">
        <is>
          <t>varchar(6)</t>
        </is>
      </c>
      <c r="E41" s="60" t="inlineStr">
        <is>
          <t>YES</t>
        </is>
      </c>
      <c r="F41" s="59" t="inlineStr">
        <is>
          <t>线上评估是否启用</t>
        </is>
      </c>
      <c r="G41" s="120">
        <f>HYPERLINK("#码值映射清单!B5150","YesNo")</f>
        <v/>
      </c>
      <c r="H41" s="60" t="n"/>
      <c r="I41" s="60" t="n"/>
      <c r="J41" s="181" t="n">
        <v>45740</v>
      </c>
      <c r="K41">
        <f>A41</f>
        <v/>
      </c>
      <c r="L41">
        <f>B41</f>
        <v/>
      </c>
      <c r="M41">
        <f>F41</f>
        <v/>
      </c>
      <c r="N41">
        <f>C41</f>
        <v/>
      </c>
      <c r="O41">
        <f>IFERROR(LEFT(D41,FIND("(",D41)-1),D41)</f>
        <v/>
      </c>
      <c r="P41">
        <f>IFERROR(MID(D41,FIND("(",D41)+1,FIND(")",D41)-FIND("(",D41)-1),"")</f>
        <v/>
      </c>
    </row>
  </sheetData>
  <pageMargins left="0.75" right="0.75" top="1" bottom="1" header="0.5" footer="0.5"/>
  <pageSetup orientation="portrait" paperSize="1" horizontalDpi="300" verticalDpi="300"/>
</worksheet>
</file>

<file path=xl/worksheets/sheet9.xml><?xml version="1.0" encoding="utf-8"?>
<worksheet xmlns="http://schemas.openxmlformats.org/spreadsheetml/2006/main">
  <sheetPr>
    <outlinePr summaryBelow="1" summaryRight="1"/>
    <pageSetUpPr/>
  </sheetPr>
  <dimension ref="A1:J14"/>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8.8571428571429" customWidth="1" style="170" min="7" max="7"/>
    <col width="11.7053571428571" customWidth="1" style="170" min="10" max="10"/>
  </cols>
  <sheetData>
    <row r="1">
      <c r="A1" s="51">
        <f>HYPERLINK("#表结构清单!A1","返回")</f>
        <v/>
      </c>
      <c r="B1" t="inlineStr">
        <is>
          <t>评估机构申请信息表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appraisal_agency_apply</t>
        </is>
      </c>
      <c r="C3" s="24" t="inlineStr">
        <is>
          <t>EVENTSERIALNO</t>
        </is>
      </c>
      <c r="D3" s="24" t="inlineStr">
        <is>
          <t>varchar(32)</t>
        </is>
      </c>
      <c r="E3" s="24" t="inlineStr">
        <is>
          <t>NO</t>
        </is>
      </c>
      <c r="F3" s="24" t="inlineStr">
        <is>
          <t>评估机构事件编号</t>
        </is>
      </c>
      <c r="G3" s="24" t="n"/>
      <c r="H3" s="24" t="n"/>
      <c r="I3" s="24" t="inlineStr"/>
      <c r="J3" s="24" t="inlineStr">
        <is>
          <t>2023/01/12</t>
        </is>
      </c>
    </row>
    <row r="4">
      <c r="B4" s="24" t="inlineStr">
        <is>
          <t>appraisal_agency_apply</t>
        </is>
      </c>
      <c r="C4" s="24" t="inlineStr">
        <is>
          <t>APPLYTYPE</t>
        </is>
      </c>
      <c r="D4" s="24" t="inlineStr">
        <is>
          <t>varchar(32)</t>
        </is>
      </c>
      <c r="E4" s="24" t="inlineStr">
        <is>
          <t>YES</t>
        </is>
      </c>
      <c r="F4" s="24" t="inlineStr">
        <is>
          <t>申请类型</t>
        </is>
      </c>
      <c r="G4" s="61">
        <f>HYPERLINK("#码值映射清单!B7547","AppraisalFlowType2")</f>
        <v/>
      </c>
      <c r="H4" s="24" t="n"/>
      <c r="I4" s="24" t="inlineStr"/>
      <c r="J4" s="24" t="inlineStr">
        <is>
          <t>2023/01/12</t>
        </is>
      </c>
    </row>
    <row r="5">
      <c r="B5" s="24" t="inlineStr">
        <is>
          <t>appraisal_agency_apply</t>
        </is>
      </c>
      <c r="C5" s="24" t="inlineStr">
        <is>
          <t>APPROVESTATUS</t>
        </is>
      </c>
      <c r="D5" s="24" t="inlineStr">
        <is>
          <t>varchar(32)</t>
        </is>
      </c>
      <c r="E5" s="24" t="inlineStr">
        <is>
          <t>YES</t>
        </is>
      </c>
      <c r="F5" s="24" t="inlineStr">
        <is>
          <t>申请状态</t>
        </is>
      </c>
      <c r="G5" s="52">
        <f>HYPERLINK("#码值映射清单!B1429","ApproveStatus")</f>
        <v/>
      </c>
      <c r="H5" s="24" t="n"/>
      <c r="I5" s="24" t="inlineStr"/>
      <c r="J5" s="24" t="inlineStr">
        <is>
          <t>2023/01/12</t>
        </is>
      </c>
    </row>
    <row r="6">
      <c r="B6" s="24" t="inlineStr">
        <is>
          <t>appraisal_agency_apply</t>
        </is>
      </c>
      <c r="C6" s="24" t="inlineStr">
        <is>
          <t>FLOWTYPE</t>
        </is>
      </c>
      <c r="D6" s="24" t="inlineStr">
        <is>
          <t>varchar(32)</t>
        </is>
      </c>
      <c r="E6" s="24" t="inlineStr">
        <is>
          <t>YES</t>
        </is>
      </c>
      <c r="F6" s="24" t="inlineStr">
        <is>
          <t>流程类型</t>
        </is>
      </c>
      <c r="G6" s="24" t="n"/>
      <c r="H6" s="24" t="n"/>
      <c r="I6" s="24" t="inlineStr"/>
      <c r="J6" s="24" t="inlineStr">
        <is>
          <t>2023/01/12</t>
        </is>
      </c>
    </row>
    <row r="7">
      <c r="B7" s="24" t="inlineStr">
        <is>
          <t>appraisal_agency_apply</t>
        </is>
      </c>
      <c r="C7" s="24" t="inlineStr">
        <is>
          <t>INPUTUSERID</t>
        </is>
      </c>
      <c r="D7" s="24" t="inlineStr">
        <is>
          <t>varchar(32)</t>
        </is>
      </c>
      <c r="E7" s="24" t="inlineStr">
        <is>
          <t>YES</t>
        </is>
      </c>
      <c r="F7" s="24" t="inlineStr">
        <is>
          <t>登记人</t>
        </is>
      </c>
      <c r="G7" s="24" t="n"/>
      <c r="H7" s="24" t="n"/>
      <c r="I7" s="24" t="inlineStr"/>
      <c r="J7" s="24" t="inlineStr">
        <is>
          <t>2023/01/12</t>
        </is>
      </c>
    </row>
    <row r="8">
      <c r="B8" s="24" t="inlineStr">
        <is>
          <t>appraisal_agency_apply</t>
        </is>
      </c>
      <c r="C8" s="24" t="inlineStr">
        <is>
          <t>INPUTORGID</t>
        </is>
      </c>
      <c r="D8" s="24" t="inlineStr">
        <is>
          <t>varchar(32)</t>
        </is>
      </c>
      <c r="E8" s="24" t="inlineStr">
        <is>
          <t>YES</t>
        </is>
      </c>
      <c r="F8" s="24" t="inlineStr">
        <is>
          <t>登记机构</t>
        </is>
      </c>
      <c r="G8" s="24" t="n"/>
      <c r="H8" s="24" t="n"/>
      <c r="I8" s="24" t="inlineStr"/>
      <c r="J8" s="24" t="inlineStr">
        <is>
          <t>2023/01/12</t>
        </is>
      </c>
    </row>
    <row r="9">
      <c r="B9" s="24" t="inlineStr">
        <is>
          <t>appraisal_agency_apply</t>
        </is>
      </c>
      <c r="C9" s="24" t="inlineStr">
        <is>
          <t>INPUTDATE</t>
        </is>
      </c>
      <c r="D9" s="24" t="inlineStr">
        <is>
          <t>datetime</t>
        </is>
      </c>
      <c r="E9" s="24" t="inlineStr">
        <is>
          <t>YES</t>
        </is>
      </c>
      <c r="F9" s="24" t="inlineStr">
        <is>
          <t>登记日期</t>
        </is>
      </c>
      <c r="G9" s="24" t="n"/>
      <c r="H9" s="24" t="n"/>
      <c r="I9" s="24" t="inlineStr"/>
      <c r="J9" s="24" t="inlineStr">
        <is>
          <t>2023/01/12</t>
        </is>
      </c>
    </row>
    <row r="10">
      <c r="B10" s="24" t="inlineStr">
        <is>
          <t>appraisal_agency_apply</t>
        </is>
      </c>
      <c r="C10" s="24" t="inlineStr">
        <is>
          <t>UPDATEUSERID</t>
        </is>
      </c>
      <c r="D10" s="24" t="inlineStr">
        <is>
          <t>varchar(32)</t>
        </is>
      </c>
      <c r="E10" s="24" t="inlineStr">
        <is>
          <t>YES</t>
        </is>
      </c>
      <c r="F10" s="24" t="inlineStr">
        <is>
          <t>更新人</t>
        </is>
      </c>
      <c r="G10" s="24" t="n"/>
      <c r="H10" s="24" t="n"/>
      <c r="I10" s="24" t="inlineStr"/>
      <c r="J10" s="24" t="inlineStr">
        <is>
          <t>2023/01/12</t>
        </is>
      </c>
    </row>
    <row r="11">
      <c r="B11" s="24" t="inlineStr">
        <is>
          <t>appraisal_agency_apply</t>
        </is>
      </c>
      <c r="C11" s="24" t="inlineStr">
        <is>
          <t>UPDATEORGID</t>
        </is>
      </c>
      <c r="D11" s="24" t="inlineStr">
        <is>
          <t>varchar(32)</t>
        </is>
      </c>
      <c r="E11" s="24" t="inlineStr">
        <is>
          <t>YES</t>
        </is>
      </c>
      <c r="F11" s="24" t="inlineStr">
        <is>
          <t>更新机构</t>
        </is>
      </c>
      <c r="G11" s="24" t="n"/>
      <c r="H11" s="24" t="n"/>
      <c r="I11" s="24" t="inlineStr"/>
      <c r="J11" s="24" t="inlineStr">
        <is>
          <t>2023/01/12</t>
        </is>
      </c>
    </row>
    <row r="12">
      <c r="B12" s="24" t="inlineStr">
        <is>
          <t>appraisal_agency_apply</t>
        </is>
      </c>
      <c r="C12" s="24" t="inlineStr">
        <is>
          <t>UPDATEDATE</t>
        </is>
      </c>
      <c r="D12" s="24" t="inlineStr">
        <is>
          <t>datetime</t>
        </is>
      </c>
      <c r="E12" s="24" t="inlineStr">
        <is>
          <t>YES</t>
        </is>
      </c>
      <c r="F12" s="24" t="inlineStr">
        <is>
          <t>更新日期</t>
        </is>
      </c>
      <c r="G12" s="24" t="n"/>
      <c r="H12" s="24" t="n"/>
      <c r="I12" s="24" t="inlineStr"/>
      <c r="J12" s="24" t="inlineStr">
        <is>
          <t>2023/01/12</t>
        </is>
      </c>
    </row>
    <row r="13">
      <c r="B13" s="24" t="inlineStr">
        <is>
          <t>appraisal_agency_apply</t>
        </is>
      </c>
      <c r="C13" s="24" t="inlineStr">
        <is>
          <t>REMARK</t>
        </is>
      </c>
      <c r="D13" s="24" t="inlineStr">
        <is>
          <t>varchar(500)</t>
        </is>
      </c>
      <c r="E13" s="24" t="inlineStr">
        <is>
          <t>YES</t>
        </is>
      </c>
      <c r="F13" s="24" t="inlineStr">
        <is>
          <t>备注</t>
        </is>
      </c>
      <c r="G13" s="61">
        <f>HYPERLINK("#码值映射清单!B5361","AppraisalFlowType")</f>
        <v/>
      </c>
      <c r="H13" s="24" t="n"/>
      <c r="I13" s="24" t="inlineStr"/>
      <c r="J13" s="24" t="inlineStr">
        <is>
          <t>2023/01/12</t>
        </is>
      </c>
    </row>
    <row r="14">
      <c r="B14" s="24" t="inlineStr">
        <is>
          <t>appraisal_agency_apply</t>
        </is>
      </c>
      <c r="C14" s="24" t="inlineStr">
        <is>
          <t>CORPORGID</t>
        </is>
      </c>
      <c r="D14" s="24" t="inlineStr">
        <is>
          <t>varchar(32)</t>
        </is>
      </c>
      <c r="E14" s="24" t="inlineStr">
        <is>
          <t>YES</t>
        </is>
      </c>
      <c r="F14" s="24" t="inlineStr">
        <is>
          <t>法人机构编号</t>
        </is>
      </c>
      <c r="G14" s="24" t="n"/>
      <c r="H14" s="24" t="n"/>
      <c r="I14" s="24" t="inlineStr"/>
      <c r="J14" s="24" t="inlineStr">
        <is>
          <t>2023/01/12</t>
        </is>
      </c>
    </row>
  </sheetData>
  <pageMargins left="0.75" right="0.75" top="1" bottom="1" header="0.5" footer="0.5"/>
  <pageSetup orientation="portrait" paperSize="1" horizontalDpi="300" verticalDpi="300"/>
</worksheet>
</file>

<file path=xl/worksheets/sheet10.xml><?xml version="1.0" encoding="utf-8"?>
<worksheet xmlns="http://schemas.openxmlformats.org/spreadsheetml/2006/main">
  <sheetPr>
    <outlinePr summaryBelow="1" summaryRight="1"/>
    <pageSetUpPr/>
  </sheetPr>
  <dimension ref="A1:J19"/>
  <sheetViews>
    <sheetView zoomScaleSheetLayoutView="60" workbookViewId="0">
      <selection activeCell="D21" sqref="D2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评价调查信息管理</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appraisal_agency_appraise</t>
        </is>
      </c>
      <c r="C3" s="24" t="inlineStr">
        <is>
          <t>EVENTSERIALNO</t>
        </is>
      </c>
      <c r="D3" s="24" t="inlineStr">
        <is>
          <t>varchar(32)</t>
        </is>
      </c>
      <c r="E3" s="24" t="inlineStr">
        <is>
          <t>NO</t>
        </is>
      </c>
      <c r="F3" s="24" t="inlineStr">
        <is>
          <t>评估机构事件编号</t>
        </is>
      </c>
      <c r="G3" s="24" t="n"/>
      <c r="H3" s="24" t="n"/>
      <c r="I3" s="24" t="inlineStr"/>
      <c r="J3" s="24" t="inlineStr">
        <is>
          <t>2023/01/12</t>
        </is>
      </c>
    </row>
    <row r="4">
      <c r="B4" s="24" t="inlineStr">
        <is>
          <t>appraisal_agency_appraise</t>
        </is>
      </c>
      <c r="C4" s="24" t="inlineStr">
        <is>
          <t>EVENTTYPE</t>
        </is>
      </c>
      <c r="D4" s="24" t="inlineStr">
        <is>
          <t>varchar(32)</t>
        </is>
      </c>
      <c r="E4" s="24" t="inlineStr">
        <is>
          <t>YES</t>
        </is>
      </c>
      <c r="F4" s="24" t="inlineStr">
        <is>
          <t>事件类型</t>
        </is>
      </c>
      <c r="G4" s="24" t="n"/>
      <c r="H4" s="24" t="n"/>
      <c r="I4" s="24" t="inlineStr"/>
      <c r="J4" s="24" t="inlineStr">
        <is>
          <t>2023/01/12</t>
        </is>
      </c>
    </row>
    <row r="5">
      <c r="B5" s="24" t="inlineStr">
        <is>
          <t>appraisal_agency_appraise</t>
        </is>
      </c>
      <c r="C5" s="24" t="inlineStr">
        <is>
          <t>CLRID</t>
        </is>
      </c>
      <c r="D5" s="24" t="inlineStr">
        <is>
          <t>varchar(32)</t>
        </is>
      </c>
      <c r="E5" s="24" t="inlineStr">
        <is>
          <t>YES</t>
        </is>
      </c>
      <c r="F5" s="24" t="inlineStr">
        <is>
          <t>抵质押品编号</t>
        </is>
      </c>
      <c r="G5" s="24" t="n"/>
      <c r="H5" s="24" t="n"/>
      <c r="I5" s="24" t="inlineStr"/>
      <c r="J5" s="24" t="inlineStr">
        <is>
          <t>2023/01/12</t>
        </is>
      </c>
    </row>
    <row r="6">
      <c r="B6" s="24" t="inlineStr">
        <is>
          <t>appraisal_agency_appraise</t>
        </is>
      </c>
      <c r="C6" s="24" t="inlineStr">
        <is>
          <t>BUSINESSTYPE</t>
        </is>
      </c>
      <c r="D6" s="24" t="inlineStr">
        <is>
          <t>varchar(18)</t>
        </is>
      </c>
      <c r="E6" s="24" t="inlineStr">
        <is>
          <t>YES</t>
        </is>
      </c>
      <c r="F6" s="24" t="inlineStr">
        <is>
          <t>委托业务类型</t>
        </is>
      </c>
      <c r="G6" s="24" t="n"/>
      <c r="H6" s="24" t="n"/>
      <c r="I6" s="24" t="inlineStr"/>
      <c r="J6" s="24" t="inlineStr">
        <is>
          <t>2023/01/12</t>
        </is>
      </c>
    </row>
    <row r="7">
      <c r="B7" s="24" t="inlineStr">
        <is>
          <t>appraisal_agency_appraise</t>
        </is>
      </c>
      <c r="C7" s="24" t="inlineStr">
        <is>
          <t>PERSONFEEDBACK</t>
        </is>
      </c>
      <c r="D7" s="24" t="inlineStr">
        <is>
          <t>varchar(1000)</t>
        </is>
      </c>
      <c r="E7" s="24" t="inlineStr">
        <is>
          <t>YES</t>
        </is>
      </c>
      <c r="F7" s="24" t="inlineStr">
        <is>
          <t>人员反馈事项</t>
        </is>
      </c>
      <c r="G7" s="24" t="n"/>
      <c r="H7" s="24" t="n"/>
      <c r="I7" s="24" t="inlineStr"/>
      <c r="J7" s="24" t="inlineStr">
        <is>
          <t>2023/01/12</t>
        </is>
      </c>
    </row>
    <row r="8">
      <c r="B8" s="24" t="inlineStr">
        <is>
          <t>appraisal_agency_appraise</t>
        </is>
      </c>
      <c r="C8" s="24" t="inlineStr">
        <is>
          <t>OTHERFEEDBACK</t>
        </is>
      </c>
      <c r="D8" s="24" t="inlineStr">
        <is>
          <t>varchar(1000)</t>
        </is>
      </c>
      <c r="E8" s="24" t="inlineStr">
        <is>
          <t>YES</t>
        </is>
      </c>
      <c r="F8" s="24" t="inlineStr">
        <is>
          <t>其他反馈事项</t>
        </is>
      </c>
      <c r="G8" s="24" t="n"/>
      <c r="H8" s="24" t="n"/>
      <c r="I8" s="24" t="inlineStr"/>
      <c r="J8" s="24" t="inlineStr">
        <is>
          <t>2023/01/12</t>
        </is>
      </c>
    </row>
    <row r="9">
      <c r="B9" s="24" t="inlineStr">
        <is>
          <t>appraisal_agency_appraise</t>
        </is>
      </c>
      <c r="C9" s="24" t="inlineStr">
        <is>
          <t>FEEDMATTERADD</t>
        </is>
      </c>
      <c r="D9" s="24" t="inlineStr">
        <is>
          <t>varchar(1000)</t>
        </is>
      </c>
      <c r="E9" s="24" t="inlineStr">
        <is>
          <t>YES</t>
        </is>
      </c>
      <c r="F9" s="24" t="inlineStr">
        <is>
          <t>人员反馈事项补充</t>
        </is>
      </c>
      <c r="G9" s="24" t="n"/>
      <c r="H9" s="24" t="n"/>
      <c r="I9" s="24" t="inlineStr"/>
      <c r="J9" s="24" t="inlineStr">
        <is>
          <t>2023/01/12</t>
        </is>
      </c>
    </row>
    <row r="10">
      <c r="B10" s="24" t="inlineStr">
        <is>
          <t>appraisal_agency_appraise</t>
        </is>
      </c>
      <c r="C10" s="24" t="inlineStr">
        <is>
          <t>APPRAISALDATE</t>
        </is>
      </c>
      <c r="D10" s="24" t="inlineStr">
        <is>
          <t>datetime</t>
        </is>
      </c>
      <c r="E10" s="24" t="inlineStr">
        <is>
          <t>YES</t>
        </is>
      </c>
      <c r="F10" s="24" t="inlineStr">
        <is>
          <t>评价日期</t>
        </is>
      </c>
      <c r="G10" s="24" t="n"/>
      <c r="H10" s="24" t="n"/>
      <c r="I10" s="24" t="inlineStr"/>
      <c r="J10" s="24" t="inlineStr">
        <is>
          <t>2023/01/12</t>
        </is>
      </c>
    </row>
    <row r="11">
      <c r="B11" s="24" t="inlineStr">
        <is>
          <t>appraisal_agency_appraise</t>
        </is>
      </c>
      <c r="C11" s="24" t="inlineStr">
        <is>
          <t>INPUTUSERID</t>
        </is>
      </c>
      <c r="D11" s="24" t="inlineStr">
        <is>
          <t>varchar(32)</t>
        </is>
      </c>
      <c r="E11" s="24" t="inlineStr">
        <is>
          <t>YES</t>
        </is>
      </c>
      <c r="F11" s="24" t="inlineStr">
        <is>
          <t>登记人</t>
        </is>
      </c>
      <c r="G11" s="24" t="n"/>
      <c r="H11" s="24" t="n"/>
      <c r="I11" s="24" t="inlineStr"/>
      <c r="J11" s="24" t="inlineStr">
        <is>
          <t>2023/01/12</t>
        </is>
      </c>
    </row>
    <row r="12">
      <c r="B12" s="24" t="inlineStr">
        <is>
          <t>appraisal_agency_appraise</t>
        </is>
      </c>
      <c r="C12" s="24" t="inlineStr">
        <is>
          <t>INPUTORGID</t>
        </is>
      </c>
      <c r="D12" s="24" t="inlineStr">
        <is>
          <t>varchar(32)</t>
        </is>
      </c>
      <c r="E12" s="24" t="inlineStr">
        <is>
          <t>YES</t>
        </is>
      </c>
      <c r="F12" s="24" t="inlineStr">
        <is>
          <t>登记机构</t>
        </is>
      </c>
      <c r="G12" s="24" t="n"/>
      <c r="H12" s="24" t="n"/>
      <c r="I12" s="24" t="inlineStr"/>
      <c r="J12" s="24" t="inlineStr">
        <is>
          <t>2023/01/12</t>
        </is>
      </c>
    </row>
    <row r="13">
      <c r="B13" s="24" t="inlineStr">
        <is>
          <t>appraisal_agency_appraise</t>
        </is>
      </c>
      <c r="C13" s="24" t="inlineStr">
        <is>
          <t>INPUTDATE</t>
        </is>
      </c>
      <c r="D13" s="24" t="inlineStr">
        <is>
          <t>datetime</t>
        </is>
      </c>
      <c r="E13" s="24" t="inlineStr">
        <is>
          <t>YES</t>
        </is>
      </c>
      <c r="F13" s="24" t="inlineStr">
        <is>
          <t>登记日期</t>
        </is>
      </c>
      <c r="G13" s="24" t="n"/>
      <c r="H13" s="24" t="n"/>
      <c r="I13" s="24" t="inlineStr"/>
      <c r="J13" s="24" t="inlineStr">
        <is>
          <t>2023/01/12</t>
        </is>
      </c>
    </row>
    <row r="14">
      <c r="B14" s="24" t="inlineStr">
        <is>
          <t>appraisal_agency_appraise</t>
        </is>
      </c>
      <c r="C14" s="24" t="inlineStr">
        <is>
          <t>UPDATEUSERID</t>
        </is>
      </c>
      <c r="D14" s="24" t="inlineStr">
        <is>
          <t>varchar(32)</t>
        </is>
      </c>
      <c r="E14" s="24" t="inlineStr">
        <is>
          <t>YES</t>
        </is>
      </c>
      <c r="F14" s="24" t="inlineStr">
        <is>
          <t>更新人</t>
        </is>
      </c>
      <c r="G14" s="24" t="n"/>
      <c r="H14" s="24" t="n"/>
      <c r="I14" s="24" t="inlineStr"/>
      <c r="J14" s="24" t="inlineStr">
        <is>
          <t>2023/01/12</t>
        </is>
      </c>
    </row>
    <row r="15">
      <c r="B15" s="24" t="inlineStr">
        <is>
          <t>appraisal_agency_appraise</t>
        </is>
      </c>
      <c r="C15" s="24" t="inlineStr">
        <is>
          <t>UPDATEORGID</t>
        </is>
      </c>
      <c r="D15" s="24" t="inlineStr">
        <is>
          <t>varchar(32)</t>
        </is>
      </c>
      <c r="E15" s="24" t="inlineStr">
        <is>
          <t>YES</t>
        </is>
      </c>
      <c r="F15" s="24" t="inlineStr">
        <is>
          <t>更新机构</t>
        </is>
      </c>
      <c r="G15" s="24" t="n"/>
      <c r="H15" s="24" t="n"/>
      <c r="I15" s="24" t="inlineStr"/>
      <c r="J15" s="24" t="inlineStr">
        <is>
          <t>2023/01/12</t>
        </is>
      </c>
    </row>
    <row r="16">
      <c r="B16" s="24" t="inlineStr">
        <is>
          <t>appraisal_agency_appraise</t>
        </is>
      </c>
      <c r="C16" s="24" t="inlineStr">
        <is>
          <t>UPDATEDATE</t>
        </is>
      </c>
      <c r="D16" s="24" t="inlineStr">
        <is>
          <t>datetime</t>
        </is>
      </c>
      <c r="E16" s="24" t="inlineStr">
        <is>
          <t>YES</t>
        </is>
      </c>
      <c r="F16" s="24" t="inlineStr">
        <is>
          <t>更新日期</t>
        </is>
      </c>
      <c r="G16" s="24" t="n"/>
      <c r="H16" s="24" t="n"/>
      <c r="I16" s="24" t="inlineStr"/>
      <c r="J16" s="24" t="inlineStr">
        <is>
          <t>2023/01/12</t>
        </is>
      </c>
    </row>
    <row r="17">
      <c r="B17" s="24" t="inlineStr">
        <is>
          <t>appraisal_agency_appraise</t>
        </is>
      </c>
      <c r="C17" s="24" t="inlineStr">
        <is>
          <t>REMARK</t>
        </is>
      </c>
      <c r="D17" s="24" t="inlineStr">
        <is>
          <t>varchar(1000)</t>
        </is>
      </c>
      <c r="E17" s="24" t="inlineStr">
        <is>
          <t>YES</t>
        </is>
      </c>
      <c r="F17" s="24" t="inlineStr">
        <is>
          <t>备注</t>
        </is>
      </c>
      <c r="G17" s="24" t="n"/>
      <c r="H17" s="24" t="n"/>
      <c r="I17" s="24" t="inlineStr"/>
      <c r="J17" s="24" t="inlineStr">
        <is>
          <t>2023/01/12</t>
        </is>
      </c>
    </row>
    <row r="18">
      <c r="B18" s="24" t="inlineStr">
        <is>
          <t>appraisal_agency_appraise</t>
        </is>
      </c>
      <c r="C18" s="24" t="inlineStr">
        <is>
          <t>CORPORGID</t>
        </is>
      </c>
      <c r="D18" s="24" t="inlineStr">
        <is>
          <t>varchar(32)</t>
        </is>
      </c>
      <c r="E18" s="24" t="inlineStr">
        <is>
          <t>YES</t>
        </is>
      </c>
      <c r="F18" s="24" t="inlineStr">
        <is>
          <t>法人机构编号</t>
        </is>
      </c>
      <c r="G18" s="24" t="n"/>
      <c r="H18" s="24" t="n"/>
      <c r="I18" s="24" t="inlineStr"/>
      <c r="J18" s="24" t="inlineStr">
        <is>
          <t>2023/01/12</t>
        </is>
      </c>
    </row>
    <row r="19">
      <c r="B19" s="24" t="inlineStr">
        <is>
          <t>appraisal_agency_appraise</t>
        </is>
      </c>
      <c r="C19" s="24" t="inlineStr">
        <is>
          <t>OPINION</t>
        </is>
      </c>
      <c r="D19" s="24" t="inlineStr">
        <is>
          <t>varchar(4000)</t>
        </is>
      </c>
      <c r="E19" s="24" t="inlineStr">
        <is>
          <t>YES</t>
        </is>
      </c>
      <c r="F19" s="24" t="inlineStr">
        <is>
          <t>人员总体意见</t>
        </is>
      </c>
      <c r="G19" s="24" t="n"/>
      <c r="H19" s="24" t="n"/>
      <c r="I19" s="24" t="inlineStr"/>
      <c r="J19" s="24" t="inlineStr">
        <is>
          <t>2023/01/12</t>
        </is>
      </c>
    </row>
  </sheetData>
  <pageMargins left="0.75" right="0.75" top="1" bottom="1" header="0.5" footer="0.5"/>
  <pageSetup orientation="portrait" paperSize="1" horizontalDpi="300" verticalDpi="300"/>
</worksheet>
</file>

<file path=xl/worksheets/sheet11.xml><?xml version="1.0" encoding="utf-8"?>
<worksheet xmlns="http://schemas.openxmlformats.org/spreadsheetml/2006/main">
  <sheetPr>
    <outlinePr summaryBelow="1" summaryRight="1"/>
    <pageSetUpPr/>
  </sheetPr>
  <dimension ref="A1:J23"/>
  <sheetViews>
    <sheetView zoomScaleSheetLayoutView="60" workbookViewId="0">
      <selection activeCell="F3" sqref="F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评估机构合作协议</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appraisal_agency_cooperation</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appraisal_agency_cooperation</t>
        </is>
      </c>
      <c r="C4" s="24" t="inlineStr">
        <is>
          <t>AGRMID</t>
        </is>
      </c>
      <c r="D4" s="24" t="inlineStr">
        <is>
          <t>varchar(32)</t>
        </is>
      </c>
      <c r="E4" s="24" t="inlineStr">
        <is>
          <t>YES</t>
        </is>
      </c>
      <c r="F4" s="24" t="inlineStr">
        <is>
          <t>合作协议编号</t>
        </is>
      </c>
      <c r="G4" s="24" t="n"/>
      <c r="H4" s="24" t="n"/>
      <c r="I4" s="24" t="inlineStr"/>
      <c r="J4" s="24" t="inlineStr">
        <is>
          <t>2023/01/12</t>
        </is>
      </c>
    </row>
    <row r="5">
      <c r="B5" s="24" t="inlineStr">
        <is>
          <t>appraisal_agency_cooperation</t>
        </is>
      </c>
      <c r="C5" s="24" t="inlineStr">
        <is>
          <t>APPRAISALORGID</t>
        </is>
      </c>
      <c r="D5" s="24" t="inlineStr">
        <is>
          <t>varchar(32)</t>
        </is>
      </c>
      <c r="E5" s="24" t="inlineStr">
        <is>
          <t>YES</t>
        </is>
      </c>
      <c r="F5" s="24" t="inlineStr">
        <is>
          <t>评估机构编号</t>
        </is>
      </c>
      <c r="G5" s="24" t="n"/>
      <c r="H5" s="24" t="n"/>
      <c r="I5" s="24" t="inlineStr"/>
      <c r="J5" s="24" t="inlineStr">
        <is>
          <t>2023/01/12</t>
        </is>
      </c>
    </row>
    <row r="6">
      <c r="B6" s="24" t="inlineStr">
        <is>
          <t>appraisal_agency_cooperation</t>
        </is>
      </c>
      <c r="C6" s="24" t="inlineStr">
        <is>
          <t>APPRAISALAPPLYNO</t>
        </is>
      </c>
      <c r="D6" s="24" t="inlineStr">
        <is>
          <t>varchar(32)</t>
        </is>
      </c>
      <c r="E6" s="24" t="inlineStr">
        <is>
          <t>YES</t>
        </is>
      </c>
      <c r="F6" s="24" t="inlineStr">
        <is>
          <t>评估机构流程申请编号</t>
        </is>
      </c>
      <c r="G6" s="24" t="n"/>
      <c r="H6" s="24" t="n"/>
      <c r="I6" s="24" t="inlineStr"/>
      <c r="J6" s="24" t="inlineStr">
        <is>
          <t>2023/01/12</t>
        </is>
      </c>
    </row>
    <row r="7">
      <c r="B7" s="24" t="inlineStr">
        <is>
          <t>appraisal_agency_cooperation</t>
        </is>
      </c>
      <c r="C7" s="24" t="inlineStr">
        <is>
          <t>EFFECTIVEDATE</t>
        </is>
      </c>
      <c r="D7" s="24" t="inlineStr">
        <is>
          <t>datetime</t>
        </is>
      </c>
      <c r="E7" s="24" t="inlineStr">
        <is>
          <t>YES</t>
        </is>
      </c>
      <c r="F7" s="24" t="inlineStr">
        <is>
          <t>生效日期</t>
        </is>
      </c>
      <c r="G7" s="24" t="n"/>
      <c r="H7" s="24" t="n"/>
      <c r="I7" s="24" t="inlineStr"/>
      <c r="J7" s="24" t="inlineStr">
        <is>
          <t>2023/01/12</t>
        </is>
      </c>
    </row>
    <row r="8">
      <c r="B8" s="24" t="inlineStr">
        <is>
          <t>appraisal_agency_cooperation</t>
        </is>
      </c>
      <c r="C8" s="24" t="inlineStr">
        <is>
          <t>EXPIRYDATE</t>
        </is>
      </c>
      <c r="D8" s="24" t="inlineStr">
        <is>
          <t>datetime</t>
        </is>
      </c>
      <c r="E8" s="24" t="inlineStr">
        <is>
          <t>YES</t>
        </is>
      </c>
      <c r="F8" s="24" t="inlineStr">
        <is>
          <t>失效日期</t>
        </is>
      </c>
      <c r="G8" s="24" t="n"/>
      <c r="H8" s="24" t="n"/>
      <c r="I8" s="24" t="inlineStr"/>
      <c r="J8" s="24" t="inlineStr">
        <is>
          <t>2023/01/12</t>
        </is>
      </c>
    </row>
    <row r="9">
      <c r="B9" s="24" t="inlineStr">
        <is>
          <t>appraisal_agency_cooperation</t>
        </is>
      </c>
      <c r="C9" s="24" t="inlineStr">
        <is>
          <t>STATUS</t>
        </is>
      </c>
      <c r="D9" s="24" t="inlineStr">
        <is>
          <t>varchar(6)</t>
        </is>
      </c>
      <c r="E9" s="24" t="inlineStr">
        <is>
          <t>YES</t>
        </is>
      </c>
      <c r="F9" s="24" t="inlineStr">
        <is>
          <t>状态</t>
        </is>
      </c>
      <c r="G9" s="24" t="n"/>
      <c r="H9" s="24" t="n"/>
      <c r="I9" s="24" t="inlineStr"/>
      <c r="J9" s="24" t="inlineStr">
        <is>
          <t>2023/01/12</t>
        </is>
      </c>
    </row>
    <row r="10">
      <c r="B10" s="24" t="inlineStr">
        <is>
          <t>appraisal_agency_cooperation</t>
        </is>
      </c>
      <c r="C10" s="24" t="inlineStr">
        <is>
          <t>BUSINESSTYPE</t>
        </is>
      </c>
      <c r="D10" s="24" t="inlineStr">
        <is>
          <t>varchar(18)</t>
        </is>
      </c>
      <c r="E10" s="24" t="inlineStr">
        <is>
          <t>YES</t>
        </is>
      </c>
      <c r="F10" s="24" t="inlineStr">
        <is>
          <t>开展业务种类</t>
        </is>
      </c>
      <c r="G10" s="52">
        <f>HYPERLINK("#码值映射清单!B8049","AssessAssetsType")</f>
        <v/>
      </c>
      <c r="H10" s="24" t="n"/>
      <c r="I10" s="24" t="inlineStr"/>
      <c r="J10" s="24" t="inlineStr">
        <is>
          <t>2023/01/12</t>
        </is>
      </c>
    </row>
    <row r="11">
      <c r="B11" s="24" t="inlineStr">
        <is>
          <t>appraisal_agency_cooperation</t>
        </is>
      </c>
      <c r="C11" s="24" t="inlineStr">
        <is>
          <t>RISKDEPOSIT</t>
        </is>
      </c>
      <c r="D11" s="24" t="inlineStr">
        <is>
          <t>decimal(24,6)</t>
        </is>
      </c>
      <c r="E11" s="24" t="inlineStr">
        <is>
          <t>YES</t>
        </is>
      </c>
      <c r="F11" s="24" t="inlineStr">
        <is>
          <t>风险保证金金额</t>
        </is>
      </c>
      <c r="G11" s="24" t="n"/>
      <c r="H11" s="24" t="n"/>
      <c r="I11" s="24" t="inlineStr"/>
      <c r="J11" s="24" t="inlineStr">
        <is>
          <t>2023/01/12</t>
        </is>
      </c>
    </row>
    <row r="12">
      <c r="B12" s="24" t="inlineStr">
        <is>
          <t>appraisal_agency_cooperation</t>
        </is>
      </c>
      <c r="C12" s="24" t="inlineStr">
        <is>
          <t>PAYDEPOSITDATE</t>
        </is>
      </c>
      <c r="D12" s="24" t="inlineStr">
        <is>
          <t>datetime</t>
        </is>
      </c>
      <c r="E12" s="24" t="inlineStr">
        <is>
          <t>YES</t>
        </is>
      </c>
      <c r="F12" s="24" t="inlineStr">
        <is>
          <t>风险保证金交存日期</t>
        </is>
      </c>
      <c r="G12" s="24" t="n"/>
      <c r="H12" s="24" t="n"/>
      <c r="I12" s="24" t="inlineStr"/>
      <c r="J12" s="24" t="inlineStr">
        <is>
          <t>2023/01/12</t>
        </is>
      </c>
    </row>
    <row r="13">
      <c r="B13" s="24" t="inlineStr">
        <is>
          <t>appraisal_agency_cooperation</t>
        </is>
      </c>
      <c r="C13" s="24" t="inlineStr">
        <is>
          <t>RELIEVEDEPOSITDATES</t>
        </is>
      </c>
      <c r="D13" s="24" t="inlineStr">
        <is>
          <t>datetime</t>
        </is>
      </c>
      <c r="E13" s="24" t="inlineStr">
        <is>
          <t>YES</t>
        </is>
      </c>
      <c r="F13" s="24" t="inlineStr">
        <is>
          <t>合作协议解除日期</t>
        </is>
      </c>
      <c r="G13" s="24" t="n"/>
      <c r="H13" s="24" t="n"/>
      <c r="I13" s="24" t="inlineStr"/>
      <c r="J13" s="24" t="inlineStr">
        <is>
          <t>2023/01/12</t>
        </is>
      </c>
    </row>
    <row r="14">
      <c r="B14" s="24" t="inlineStr">
        <is>
          <t>appraisal_agency_cooperation</t>
        </is>
      </c>
      <c r="C14" s="24" t="inlineStr">
        <is>
          <t>AGGREEMENTSIGNDATE</t>
        </is>
      </c>
      <c r="D14" s="24" t="inlineStr">
        <is>
          <t>datetime</t>
        </is>
      </c>
      <c r="E14" s="24" t="inlineStr">
        <is>
          <t>YES</t>
        </is>
      </c>
      <c r="F14" s="24" t="inlineStr">
        <is>
          <t>合作协议书签署日期</t>
        </is>
      </c>
      <c r="G14" s="24" t="n"/>
      <c r="H14" s="24" t="n"/>
      <c r="I14" s="24" t="inlineStr"/>
      <c r="J14" s="24" t="inlineStr">
        <is>
          <t>2023/01/12</t>
        </is>
      </c>
    </row>
    <row r="15">
      <c r="B15" s="24" t="inlineStr">
        <is>
          <t>appraisal_agency_cooperation</t>
        </is>
      </c>
      <c r="C15" s="24" t="inlineStr">
        <is>
          <t>INPUTUSERID</t>
        </is>
      </c>
      <c r="D15" s="24" t="inlineStr">
        <is>
          <t>varchar(32)</t>
        </is>
      </c>
      <c r="E15" s="24" t="inlineStr">
        <is>
          <t>YES</t>
        </is>
      </c>
      <c r="F15" s="24" t="inlineStr">
        <is>
          <t>登记人</t>
        </is>
      </c>
      <c r="G15" s="24" t="n"/>
      <c r="H15" s="24" t="n"/>
      <c r="I15" s="24" t="inlineStr"/>
      <c r="J15" s="24" t="inlineStr">
        <is>
          <t>2023/01/12</t>
        </is>
      </c>
    </row>
    <row r="16">
      <c r="B16" s="24" t="inlineStr">
        <is>
          <t>appraisal_agency_cooperation</t>
        </is>
      </c>
      <c r="C16" s="24" t="inlineStr">
        <is>
          <t>INPUTORGID</t>
        </is>
      </c>
      <c r="D16" s="24" t="inlineStr">
        <is>
          <t>varchar(32)</t>
        </is>
      </c>
      <c r="E16" s="24" t="inlineStr">
        <is>
          <t>YES</t>
        </is>
      </c>
      <c r="F16" s="24" t="inlineStr">
        <is>
          <t>登记机构</t>
        </is>
      </c>
      <c r="G16" s="24" t="n"/>
      <c r="H16" s="24" t="n"/>
      <c r="I16" s="24" t="inlineStr"/>
      <c r="J16" s="24" t="inlineStr">
        <is>
          <t>2023/01/12</t>
        </is>
      </c>
    </row>
    <row r="17">
      <c r="B17" s="24" t="inlineStr">
        <is>
          <t>appraisal_agency_cooperation</t>
        </is>
      </c>
      <c r="C17" s="24" t="inlineStr">
        <is>
          <t>INPUTDATE</t>
        </is>
      </c>
      <c r="D17" s="24" t="inlineStr">
        <is>
          <t>datetime</t>
        </is>
      </c>
      <c r="E17" s="24" t="inlineStr">
        <is>
          <t>YES</t>
        </is>
      </c>
      <c r="F17" s="24" t="inlineStr">
        <is>
          <t>登记日期</t>
        </is>
      </c>
      <c r="G17" s="24" t="n"/>
      <c r="H17" s="24" t="n"/>
      <c r="I17" s="24" t="inlineStr"/>
      <c r="J17" s="24" t="inlineStr">
        <is>
          <t>2023/01/12</t>
        </is>
      </c>
    </row>
    <row r="18">
      <c r="B18" s="24" t="inlineStr">
        <is>
          <t>appraisal_agency_cooperation</t>
        </is>
      </c>
      <c r="C18" s="24" t="inlineStr">
        <is>
          <t>UPDATEUSERID</t>
        </is>
      </c>
      <c r="D18" s="24" t="inlineStr">
        <is>
          <t>varchar(32)</t>
        </is>
      </c>
      <c r="E18" s="24" t="inlineStr">
        <is>
          <t>YES</t>
        </is>
      </c>
      <c r="F18" s="24" t="inlineStr">
        <is>
          <t>更新人</t>
        </is>
      </c>
      <c r="G18" s="24" t="n"/>
      <c r="H18" s="24" t="n"/>
      <c r="I18" s="24" t="inlineStr"/>
      <c r="J18" s="24" t="inlineStr">
        <is>
          <t>2023/01/12</t>
        </is>
      </c>
    </row>
    <row r="19">
      <c r="B19" s="24" t="inlineStr">
        <is>
          <t>appraisal_agency_cooperation</t>
        </is>
      </c>
      <c r="C19" s="24" t="inlineStr">
        <is>
          <t>UPDATEORGID</t>
        </is>
      </c>
      <c r="D19" s="24" t="inlineStr">
        <is>
          <t>varchar(32)</t>
        </is>
      </c>
      <c r="E19" s="24" t="inlineStr">
        <is>
          <t>YES</t>
        </is>
      </c>
      <c r="F19" s="24" t="inlineStr">
        <is>
          <t>更新机构</t>
        </is>
      </c>
      <c r="G19" s="24" t="n"/>
      <c r="H19" s="24" t="n"/>
      <c r="I19" s="24" t="inlineStr"/>
      <c r="J19" s="24" t="inlineStr">
        <is>
          <t>2023/01/12</t>
        </is>
      </c>
    </row>
    <row r="20">
      <c r="B20" s="24" t="inlineStr">
        <is>
          <t>appraisal_agency_cooperation</t>
        </is>
      </c>
      <c r="C20" s="24" t="inlineStr">
        <is>
          <t>UPDATEDATE</t>
        </is>
      </c>
      <c r="D20" s="24" t="inlineStr">
        <is>
          <t>datetime</t>
        </is>
      </c>
      <c r="E20" s="24" t="inlineStr">
        <is>
          <t>YES</t>
        </is>
      </c>
      <c r="F20" s="24" t="inlineStr">
        <is>
          <t>更新日期</t>
        </is>
      </c>
      <c r="G20" s="24" t="n"/>
      <c r="H20" s="24" t="n"/>
      <c r="I20" s="24" t="inlineStr"/>
      <c r="J20" s="24" t="inlineStr">
        <is>
          <t>2023/01/12</t>
        </is>
      </c>
    </row>
    <row r="21">
      <c r="B21" s="24" t="inlineStr">
        <is>
          <t>appraisal_agency_cooperation</t>
        </is>
      </c>
      <c r="C21" s="24" t="inlineStr">
        <is>
          <t>REMARK</t>
        </is>
      </c>
      <c r="D21" s="24" t="inlineStr">
        <is>
          <t>varchar(1000)</t>
        </is>
      </c>
      <c r="E21" s="24" t="inlineStr">
        <is>
          <t>YES</t>
        </is>
      </c>
      <c r="F21" s="24" t="inlineStr">
        <is>
          <t>备注</t>
        </is>
      </c>
      <c r="G21" s="24" t="n"/>
      <c r="H21" s="24" t="n"/>
      <c r="I21" s="24" t="inlineStr"/>
      <c r="J21" s="24" t="inlineStr">
        <is>
          <t>2023/01/12</t>
        </is>
      </c>
    </row>
    <row r="22">
      <c r="B22" s="24" t="inlineStr">
        <is>
          <t>appraisal_agency_cooperation</t>
        </is>
      </c>
      <c r="C22" s="24" t="inlineStr">
        <is>
          <t>CORPORGID</t>
        </is>
      </c>
      <c r="D22" s="24" t="inlineStr">
        <is>
          <t>varchar(32)</t>
        </is>
      </c>
      <c r="E22" s="24" t="inlineStr">
        <is>
          <t>YES</t>
        </is>
      </c>
      <c r="F22" s="24" t="inlineStr">
        <is>
          <t>法人机构编号</t>
        </is>
      </c>
      <c r="G22" s="24" t="n"/>
      <c r="H22" s="24" t="n"/>
      <c r="I22" s="24" t="inlineStr"/>
      <c r="J22" s="24" t="inlineStr">
        <is>
          <t>2023/01/12</t>
        </is>
      </c>
    </row>
    <row r="23">
      <c r="B23" s="24" t="inlineStr">
        <is>
          <t>appraisal_agency_cooperation</t>
        </is>
      </c>
      <c r="C23" s="24" t="inlineStr">
        <is>
          <t>AGRMTXT</t>
        </is>
      </c>
      <c r="D23" s="24" t="inlineStr">
        <is>
          <t>varchar(4000)</t>
        </is>
      </c>
      <c r="E23" s="24" t="inlineStr">
        <is>
          <t>YES</t>
        </is>
      </c>
      <c r="F23" s="24" t="inlineStr">
        <is>
          <t>合作协议文本</t>
        </is>
      </c>
      <c r="G23" s="24" t="n"/>
      <c r="H23" s="24" t="n"/>
      <c r="I23" s="24" t="inlineStr"/>
      <c r="J23" s="24" t="inlineStr">
        <is>
          <t>2023/01/12</t>
        </is>
      </c>
    </row>
  </sheetData>
  <pageMargins left="0.75" right="0.75" top="1" bottom="1" header="0.5" footer="0.5"/>
  <pageSetup orientation="portrait" paperSize="1" horizontalDpi="300" verticalDpi="300"/>
</worksheet>
</file>

<file path=xl/worksheets/sheet12.xml><?xml version="1.0" encoding="utf-8"?>
<worksheet xmlns="http://schemas.openxmlformats.org/spreadsheetml/2006/main">
  <sheetPr>
    <outlinePr summaryBelow="1" summaryRight="1"/>
    <pageSetUpPr/>
  </sheetPr>
  <dimension ref="A1:J23"/>
  <sheetViews>
    <sheetView zoomScaleSheetLayoutView="60" workbookViewId="0">
      <selection activeCell="L39" sqref="L3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评估机构事件表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appraisal_agency_event</t>
        </is>
      </c>
      <c r="C3" s="24" t="inlineStr">
        <is>
          <t>EVENTSERIALNO</t>
        </is>
      </c>
      <c r="D3" s="24" t="inlineStr">
        <is>
          <t>varchar(32)</t>
        </is>
      </c>
      <c r="E3" s="24" t="inlineStr">
        <is>
          <t>NO</t>
        </is>
      </c>
      <c r="F3" s="24" t="inlineStr">
        <is>
          <t>评估机构事件编号</t>
        </is>
      </c>
      <c r="G3" s="24" t="n"/>
      <c r="H3" s="24" t="n"/>
      <c r="I3" s="24" t="inlineStr"/>
      <c r="J3" s="24" t="inlineStr">
        <is>
          <t>2023/01/12</t>
        </is>
      </c>
    </row>
    <row r="4">
      <c r="B4" s="24" t="inlineStr">
        <is>
          <t>appraisal_agency_event</t>
        </is>
      </c>
      <c r="C4" s="24" t="inlineStr">
        <is>
          <t>RELATIVESERIALNO</t>
        </is>
      </c>
      <c r="D4" s="24" t="inlineStr">
        <is>
          <t>varchar(32)</t>
        </is>
      </c>
      <c r="E4" s="24" t="inlineStr">
        <is>
          <t>YES</t>
        </is>
      </c>
      <c r="F4" s="24" t="inlineStr">
        <is>
          <t>关联解除事件编号</t>
        </is>
      </c>
      <c r="G4" s="24" t="n"/>
      <c r="H4" s="24" t="n"/>
      <c r="I4" s="24" t="inlineStr"/>
      <c r="J4" s="24" t="inlineStr">
        <is>
          <t>2023/01/12</t>
        </is>
      </c>
    </row>
    <row r="5">
      <c r="B5" s="24" t="inlineStr">
        <is>
          <t>appraisal_agency_event</t>
        </is>
      </c>
      <c r="C5" s="24" t="inlineStr">
        <is>
          <t>EVENTTYPE</t>
        </is>
      </c>
      <c r="D5" s="24" t="inlineStr">
        <is>
          <t>varchar(32)</t>
        </is>
      </c>
      <c r="E5" s="24" t="inlineStr">
        <is>
          <t>YES</t>
        </is>
      </c>
      <c r="F5" s="24" t="inlineStr">
        <is>
          <t>事件类型</t>
        </is>
      </c>
      <c r="G5" s="24" t="n"/>
      <c r="H5" s="24" t="n"/>
      <c r="I5" s="24" t="inlineStr"/>
      <c r="J5" s="24" t="inlineStr">
        <is>
          <t>2023/01/12</t>
        </is>
      </c>
    </row>
    <row r="6">
      <c r="B6" s="24" t="inlineStr">
        <is>
          <t>appraisal_agency_event</t>
        </is>
      </c>
      <c r="C6" s="24" t="inlineStr">
        <is>
          <t>EVENTSTATUS</t>
        </is>
      </c>
      <c r="D6" s="24" t="inlineStr">
        <is>
          <t>varchar(6)</t>
        </is>
      </c>
      <c r="E6" s="24" t="inlineStr">
        <is>
          <t>YES</t>
        </is>
      </c>
      <c r="F6" s="24" t="inlineStr">
        <is>
          <t>事件状态</t>
        </is>
      </c>
      <c r="G6" s="24" t="n"/>
      <c r="H6" s="24" t="n"/>
      <c r="I6" s="24" t="inlineStr"/>
      <c r="J6" s="24" t="inlineStr">
        <is>
          <t>2023/01/12</t>
        </is>
      </c>
    </row>
    <row r="7">
      <c r="B7" s="24" t="inlineStr">
        <is>
          <t>appraisal_agency_event</t>
        </is>
      </c>
      <c r="C7" s="24" t="inlineStr">
        <is>
          <t>EVENTRULES</t>
        </is>
      </c>
      <c r="D7" s="24" t="inlineStr">
        <is>
          <t>varchar(6)</t>
        </is>
      </c>
      <c r="E7" s="24" t="inlineStr">
        <is>
          <t>YES</t>
        </is>
      </c>
      <c r="F7" s="24" t="inlineStr">
        <is>
          <t>事件规则</t>
        </is>
      </c>
      <c r="G7" s="24" t="n"/>
      <c r="H7" s="24" t="n"/>
      <c r="I7" s="24" t="inlineStr"/>
      <c r="J7" s="24" t="inlineStr">
        <is>
          <t>2023/01/12</t>
        </is>
      </c>
    </row>
    <row r="8">
      <c r="B8" s="24" t="inlineStr">
        <is>
          <t>appraisal_agency_event</t>
        </is>
      </c>
      <c r="C8" s="24" t="inlineStr">
        <is>
          <t>EVENTREASON</t>
        </is>
      </c>
      <c r="D8" s="24" t="inlineStr">
        <is>
          <t>varchar(500)</t>
        </is>
      </c>
      <c r="E8" s="24" t="inlineStr">
        <is>
          <t>YES</t>
        </is>
      </c>
      <c r="F8" s="24" t="inlineStr">
        <is>
          <t>事件说明</t>
        </is>
      </c>
      <c r="G8" s="24" t="n"/>
      <c r="H8" s="24" t="n"/>
      <c r="I8" s="24" t="inlineStr"/>
      <c r="J8" s="24" t="inlineStr">
        <is>
          <t>2023/01/12</t>
        </is>
      </c>
    </row>
    <row r="9">
      <c r="B9" s="24" t="inlineStr">
        <is>
          <t>appraisal_agency_event</t>
        </is>
      </c>
      <c r="C9" s="24" t="inlineStr">
        <is>
          <t>AFFIRMUSERID</t>
        </is>
      </c>
      <c r="D9" s="24" t="inlineStr">
        <is>
          <t>varchar(32)</t>
        </is>
      </c>
      <c r="E9" s="24" t="inlineStr">
        <is>
          <t>YES</t>
        </is>
      </c>
      <c r="F9" s="24" t="inlineStr">
        <is>
          <t>认定人</t>
        </is>
      </c>
      <c r="G9" s="24" t="n"/>
      <c r="H9" s="24" t="n"/>
      <c r="I9" s="24" t="inlineStr"/>
      <c r="J9" s="24" t="inlineStr">
        <is>
          <t>2023/01/12</t>
        </is>
      </c>
    </row>
    <row r="10">
      <c r="B10" s="24" t="inlineStr">
        <is>
          <t>appraisal_agency_event</t>
        </is>
      </c>
      <c r="C10" s="24" t="inlineStr">
        <is>
          <t>AFFIRMORGID</t>
        </is>
      </c>
      <c r="D10" s="24" t="inlineStr">
        <is>
          <t>varchar(32)</t>
        </is>
      </c>
      <c r="E10" s="24" t="inlineStr">
        <is>
          <t>YES</t>
        </is>
      </c>
      <c r="F10" s="24" t="inlineStr">
        <is>
          <t>认定机构</t>
        </is>
      </c>
      <c r="G10" s="24" t="n"/>
      <c r="H10" s="24" t="n"/>
      <c r="I10" s="24" t="inlineStr"/>
      <c r="J10" s="24" t="inlineStr">
        <is>
          <t>2023/01/12</t>
        </is>
      </c>
    </row>
    <row r="11">
      <c r="B11" s="24" t="inlineStr">
        <is>
          <t>appraisal_agency_event</t>
        </is>
      </c>
      <c r="C11" s="24" t="inlineStr">
        <is>
          <t>AFFIRMDATE</t>
        </is>
      </c>
      <c r="D11" s="24" t="inlineStr">
        <is>
          <t>datetime</t>
        </is>
      </c>
      <c r="E11" s="24" t="inlineStr">
        <is>
          <t>YES</t>
        </is>
      </c>
      <c r="F11" s="24" t="inlineStr">
        <is>
          <t>认定时间</t>
        </is>
      </c>
      <c r="G11" s="24" t="n"/>
      <c r="H11" s="24" t="n"/>
      <c r="I11" s="24" t="inlineStr"/>
      <c r="J11" s="24" t="inlineStr">
        <is>
          <t>2023/01/12</t>
        </is>
      </c>
    </row>
    <row r="12">
      <c r="B12" s="24" t="inlineStr">
        <is>
          <t>appraisal_agency_event</t>
        </is>
      </c>
      <c r="C12" s="24" t="inlineStr">
        <is>
          <t>RELEASEUSERID</t>
        </is>
      </c>
      <c r="D12" s="24" t="inlineStr">
        <is>
          <t>varchar(32)</t>
        </is>
      </c>
      <c r="E12" s="24" t="inlineStr">
        <is>
          <t>YES</t>
        </is>
      </c>
      <c r="F12" s="24" t="inlineStr">
        <is>
          <t>解除人</t>
        </is>
      </c>
      <c r="G12" s="24" t="n"/>
      <c r="H12" s="24" t="n"/>
      <c r="I12" s="24" t="inlineStr"/>
      <c r="J12" s="24" t="inlineStr">
        <is>
          <t>2023/01/12</t>
        </is>
      </c>
    </row>
    <row r="13">
      <c r="B13" s="24" t="inlineStr">
        <is>
          <t>appraisal_agency_event</t>
        </is>
      </c>
      <c r="C13" s="24" t="inlineStr">
        <is>
          <t>RELEASEORGID</t>
        </is>
      </c>
      <c r="D13" s="24" t="inlineStr">
        <is>
          <t>varchar(32)</t>
        </is>
      </c>
      <c r="E13" s="24" t="inlineStr">
        <is>
          <t>YES</t>
        </is>
      </c>
      <c r="F13" s="24" t="inlineStr">
        <is>
          <t>解除机构</t>
        </is>
      </c>
      <c r="G13" s="24" t="n"/>
      <c r="H13" s="24" t="n"/>
      <c r="I13" s="24" t="inlineStr"/>
      <c r="J13" s="24" t="inlineStr">
        <is>
          <t>2023/01/12</t>
        </is>
      </c>
    </row>
    <row r="14">
      <c r="B14" s="24" t="inlineStr">
        <is>
          <t>appraisal_agency_event</t>
        </is>
      </c>
      <c r="C14" s="24" t="inlineStr">
        <is>
          <t>RELEASEDATE</t>
        </is>
      </c>
      <c r="D14" s="24" t="inlineStr">
        <is>
          <t>datetime</t>
        </is>
      </c>
      <c r="E14" s="24" t="inlineStr">
        <is>
          <t>YES</t>
        </is>
      </c>
      <c r="F14" s="24" t="inlineStr">
        <is>
          <t>解除时间</t>
        </is>
      </c>
      <c r="G14" s="24" t="n"/>
      <c r="H14" s="24" t="n"/>
      <c r="I14" s="24" t="inlineStr"/>
      <c r="J14" s="24" t="inlineStr">
        <is>
          <t>2023/01/12</t>
        </is>
      </c>
    </row>
    <row r="15">
      <c r="B15" s="24" t="inlineStr">
        <is>
          <t>appraisal_agency_event</t>
        </is>
      </c>
      <c r="C15" s="24" t="inlineStr">
        <is>
          <t>RELEASEREASON</t>
        </is>
      </c>
      <c r="D15" s="24" t="inlineStr">
        <is>
          <t>varchar(500)</t>
        </is>
      </c>
      <c r="E15" s="24" t="inlineStr">
        <is>
          <t>YES</t>
        </is>
      </c>
      <c r="F15" s="24" t="inlineStr">
        <is>
          <t>解除原因</t>
        </is>
      </c>
      <c r="G15" s="24" t="n"/>
      <c r="H15" s="24" t="n"/>
      <c r="I15" s="24" t="inlineStr"/>
      <c r="J15" s="24" t="inlineStr">
        <is>
          <t>2023/01/12</t>
        </is>
      </c>
    </row>
    <row r="16">
      <c r="B16" s="24" t="inlineStr">
        <is>
          <t>appraisal_agency_event</t>
        </is>
      </c>
      <c r="C16" s="24" t="inlineStr">
        <is>
          <t>REMARK</t>
        </is>
      </c>
      <c r="D16" s="24" t="inlineStr">
        <is>
          <t>varchar(500)</t>
        </is>
      </c>
      <c r="E16" s="24" t="inlineStr">
        <is>
          <t>YES</t>
        </is>
      </c>
      <c r="F16" s="24" t="inlineStr">
        <is>
          <t>备注</t>
        </is>
      </c>
      <c r="G16" s="24" t="n"/>
      <c r="H16" s="24" t="n"/>
      <c r="I16" s="24" t="inlineStr"/>
      <c r="J16" s="24" t="inlineStr">
        <is>
          <t>2023/01/12</t>
        </is>
      </c>
    </row>
    <row r="17">
      <c r="B17" s="24" t="inlineStr">
        <is>
          <t>appraisal_agency_event</t>
        </is>
      </c>
      <c r="C17" s="24" t="inlineStr">
        <is>
          <t>INPUTUSERID</t>
        </is>
      </c>
      <c r="D17" s="24" t="inlineStr">
        <is>
          <t>varchar(32)</t>
        </is>
      </c>
      <c r="E17" s="24" t="inlineStr">
        <is>
          <t>YES</t>
        </is>
      </c>
      <c r="F17" s="24" t="inlineStr">
        <is>
          <t>登记人</t>
        </is>
      </c>
      <c r="G17" s="24" t="n"/>
      <c r="H17" s="24" t="n"/>
      <c r="I17" s="24" t="inlineStr"/>
      <c r="J17" s="24" t="inlineStr">
        <is>
          <t>2023/01/12</t>
        </is>
      </c>
    </row>
    <row r="18">
      <c r="B18" s="24" t="inlineStr">
        <is>
          <t>appraisal_agency_event</t>
        </is>
      </c>
      <c r="C18" s="24" t="inlineStr">
        <is>
          <t>INPUTORGID</t>
        </is>
      </c>
      <c r="D18" s="24" t="inlineStr">
        <is>
          <t>varchar(32)</t>
        </is>
      </c>
      <c r="E18" s="24" t="inlineStr">
        <is>
          <t>YES</t>
        </is>
      </c>
      <c r="F18" s="24" t="inlineStr">
        <is>
          <t>登记机构</t>
        </is>
      </c>
      <c r="G18" s="24" t="n"/>
      <c r="H18" s="24" t="n"/>
      <c r="I18" s="24" t="inlineStr"/>
      <c r="J18" s="24" t="inlineStr">
        <is>
          <t>2023/01/12</t>
        </is>
      </c>
    </row>
    <row r="19">
      <c r="B19" s="24" t="inlineStr">
        <is>
          <t>appraisal_agency_event</t>
        </is>
      </c>
      <c r="C19" s="24" t="inlineStr">
        <is>
          <t>INPUTDATE</t>
        </is>
      </c>
      <c r="D19" s="24" t="inlineStr">
        <is>
          <t>datetime</t>
        </is>
      </c>
      <c r="E19" s="24" t="inlineStr">
        <is>
          <t>YES</t>
        </is>
      </c>
      <c r="F19" s="24" t="inlineStr">
        <is>
          <t>登记日期</t>
        </is>
      </c>
      <c r="G19" s="24" t="n"/>
      <c r="H19" s="24" t="n"/>
      <c r="I19" s="24" t="inlineStr"/>
      <c r="J19" s="24" t="inlineStr">
        <is>
          <t>2023/01/12</t>
        </is>
      </c>
    </row>
    <row r="20">
      <c r="B20" s="24" t="inlineStr">
        <is>
          <t>appraisal_agency_event</t>
        </is>
      </c>
      <c r="C20" s="24" t="inlineStr">
        <is>
          <t>UPDATEUSERID</t>
        </is>
      </c>
      <c r="D20" s="24" t="inlineStr">
        <is>
          <t>varchar(32)</t>
        </is>
      </c>
      <c r="E20" s="24" t="inlineStr">
        <is>
          <t>YES</t>
        </is>
      </c>
      <c r="F20" s="24" t="inlineStr">
        <is>
          <t>更新人</t>
        </is>
      </c>
      <c r="G20" s="24" t="n"/>
      <c r="H20" s="24" t="n"/>
      <c r="I20" s="24" t="inlineStr"/>
      <c r="J20" s="24" t="inlineStr">
        <is>
          <t>2023/01/12</t>
        </is>
      </c>
    </row>
    <row r="21">
      <c r="B21" s="24" t="inlineStr">
        <is>
          <t>appraisal_agency_event</t>
        </is>
      </c>
      <c r="C21" s="24" t="inlineStr">
        <is>
          <t>UPDATEORGID</t>
        </is>
      </c>
      <c r="D21" s="24" t="inlineStr">
        <is>
          <t>varchar(32)</t>
        </is>
      </c>
      <c r="E21" s="24" t="inlineStr">
        <is>
          <t>YES</t>
        </is>
      </c>
      <c r="F21" s="24" t="inlineStr">
        <is>
          <t>更新机构</t>
        </is>
      </c>
      <c r="G21" s="24" t="n"/>
      <c r="H21" s="24" t="n"/>
      <c r="I21" s="24" t="inlineStr"/>
      <c r="J21" s="24" t="inlineStr">
        <is>
          <t>2023/01/12</t>
        </is>
      </c>
    </row>
    <row r="22">
      <c r="B22" s="24" t="inlineStr">
        <is>
          <t>appraisal_agency_event</t>
        </is>
      </c>
      <c r="C22" s="24" t="inlineStr">
        <is>
          <t>UPDATEDATE</t>
        </is>
      </c>
      <c r="D22" s="24" t="inlineStr">
        <is>
          <t>datetime</t>
        </is>
      </c>
      <c r="E22" s="24" t="inlineStr">
        <is>
          <t>YES</t>
        </is>
      </c>
      <c r="F22" s="24" t="inlineStr">
        <is>
          <t>更新日期</t>
        </is>
      </c>
      <c r="G22" s="24" t="n"/>
      <c r="H22" s="24" t="n"/>
      <c r="I22" s="24" t="inlineStr"/>
      <c r="J22" s="24" t="inlineStr">
        <is>
          <t>2023/01/12</t>
        </is>
      </c>
    </row>
    <row r="23">
      <c r="B23" s="24" t="inlineStr">
        <is>
          <t>appraisal_agency_event</t>
        </is>
      </c>
      <c r="C23" s="24" t="inlineStr">
        <is>
          <t>CORPORGID</t>
        </is>
      </c>
      <c r="D23" s="24" t="inlineStr">
        <is>
          <t>varchar(32)</t>
        </is>
      </c>
      <c r="E23" s="24" t="inlineStr">
        <is>
          <t>YES</t>
        </is>
      </c>
      <c r="F23" s="24" t="inlineStr">
        <is>
          <t>法人机构编号</t>
        </is>
      </c>
      <c r="G23" s="24" t="n"/>
      <c r="H23" s="24" t="n"/>
      <c r="I23" s="24" t="inlineStr"/>
      <c r="J23" s="24" t="inlineStr">
        <is>
          <t>2023/01/12</t>
        </is>
      </c>
    </row>
  </sheetData>
  <pageMargins left="0.75" right="0.75" top="1" bottom="1" header="0.5" footer="0.5"/>
  <pageSetup orientation="portrait" paperSize="1" horizontalDpi="300" verticalDpi="300"/>
</worksheet>
</file>

<file path=xl/worksheets/sheet13.xml><?xml version="1.0" encoding="utf-8"?>
<worksheet xmlns="http://schemas.openxmlformats.org/spreadsheetml/2006/main">
  <sheetPr>
    <outlinePr summaryBelow="1" summaryRight="1"/>
    <pageSetUpPr/>
  </sheetPr>
  <dimension ref="A1:J16"/>
  <sheetViews>
    <sheetView zoomScaleSheetLayoutView="60" workbookViewId="0">
      <selection activeCell="F7" sqref="F7"/>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评估机构费用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appraisal_agency_expenses</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appraisal_agency_expenses</t>
        </is>
      </c>
      <c r="C4" s="24" t="inlineStr">
        <is>
          <t>APPRAISALORGID</t>
        </is>
      </c>
      <c r="D4" s="24" t="inlineStr">
        <is>
          <t>varchar(32)</t>
        </is>
      </c>
      <c r="E4" s="24" t="inlineStr">
        <is>
          <t>NO</t>
        </is>
      </c>
      <c r="F4" s="24" t="inlineStr">
        <is>
          <t>评估公司组织机构代码证</t>
        </is>
      </c>
      <c r="G4" s="24" t="n"/>
      <c r="H4" s="24" t="n"/>
      <c r="I4" s="24" t="inlineStr"/>
      <c r="J4" s="24" t="inlineStr">
        <is>
          <t>2023/01/12</t>
        </is>
      </c>
    </row>
    <row r="5">
      <c r="B5" s="24" t="inlineStr">
        <is>
          <t>appraisal_agency_expenses</t>
        </is>
      </c>
      <c r="C5" s="24" t="inlineStr">
        <is>
          <t>EVALRECORDID</t>
        </is>
      </c>
      <c r="D5" s="24" t="inlineStr">
        <is>
          <t>varchar(32)</t>
        </is>
      </c>
      <c r="E5" s="24" t="inlineStr">
        <is>
          <t>YES</t>
        </is>
      </c>
      <c r="F5" s="24" t="inlineStr">
        <is>
          <t>评估记录流水号</t>
        </is>
      </c>
      <c r="G5" s="24" t="n"/>
      <c r="H5" s="24" t="n"/>
      <c r="I5" s="24" t="inlineStr"/>
      <c r="J5" s="24" t="inlineStr">
        <is>
          <t>2023/01/12</t>
        </is>
      </c>
    </row>
    <row r="6">
      <c r="B6" s="24" t="inlineStr">
        <is>
          <t>appraisal_agency_expenses</t>
        </is>
      </c>
      <c r="C6" s="24" t="inlineStr">
        <is>
          <t>FEENAME</t>
        </is>
      </c>
      <c r="D6" s="24" t="inlineStr">
        <is>
          <t>varchar(80)</t>
        </is>
      </c>
      <c r="E6" s="24" t="inlineStr">
        <is>
          <t>YES</t>
        </is>
      </c>
      <c r="F6" s="24" t="inlineStr">
        <is>
          <t>费用名称</t>
        </is>
      </c>
      <c r="G6" s="24" t="n"/>
      <c r="H6" s="24" t="n"/>
      <c r="I6" s="24" t="inlineStr"/>
      <c r="J6" s="24" t="inlineStr">
        <is>
          <t>2023/01/12</t>
        </is>
      </c>
    </row>
    <row r="7">
      <c r="B7" s="24" t="inlineStr">
        <is>
          <t>appraisal_agency_expenses</t>
        </is>
      </c>
      <c r="C7" s="24" t="inlineStr">
        <is>
          <t>FEEACCOUNT</t>
        </is>
      </c>
      <c r="D7" s="24" t="inlineStr">
        <is>
          <t>decimal(24,6)</t>
        </is>
      </c>
      <c r="E7" s="24" t="inlineStr">
        <is>
          <t>YES</t>
        </is>
      </c>
      <c r="F7" s="24" t="inlineStr">
        <is>
          <t>费用金额</t>
        </is>
      </c>
      <c r="G7" s="24" t="n"/>
      <c r="H7" s="24" t="n"/>
      <c r="I7" s="24" t="inlineStr"/>
      <c r="J7" s="24" t="inlineStr">
        <is>
          <t>2023/01/12</t>
        </is>
      </c>
    </row>
    <row r="8">
      <c r="B8" s="24" t="inlineStr">
        <is>
          <t>appraisal_agency_expenses</t>
        </is>
      </c>
      <c r="C8" s="24" t="inlineStr">
        <is>
          <t>OCCURDATE</t>
        </is>
      </c>
      <c r="D8" s="24" t="inlineStr">
        <is>
          <t>datetime</t>
        </is>
      </c>
      <c r="E8" s="24" t="inlineStr">
        <is>
          <t>NO</t>
        </is>
      </c>
      <c r="F8" s="24" t="inlineStr">
        <is>
          <t>费用发生日期</t>
        </is>
      </c>
      <c r="G8" s="24" t="n"/>
      <c r="H8" s="24" t="n"/>
      <c r="I8" s="24" t="inlineStr"/>
      <c r="J8" s="24" t="inlineStr">
        <is>
          <t>2023/01/12</t>
        </is>
      </c>
    </row>
    <row r="9">
      <c r="B9" s="24" t="inlineStr">
        <is>
          <t>appraisal_agency_expenses</t>
        </is>
      </c>
      <c r="C9" s="24" t="inlineStr">
        <is>
          <t>INPUTUSERID</t>
        </is>
      </c>
      <c r="D9" s="24" t="inlineStr">
        <is>
          <t>varchar(32)</t>
        </is>
      </c>
      <c r="E9" s="24" t="inlineStr">
        <is>
          <t>YES</t>
        </is>
      </c>
      <c r="F9" s="24" t="inlineStr">
        <is>
          <t>登记人</t>
        </is>
      </c>
      <c r="G9" s="24" t="n"/>
      <c r="H9" s="24" t="n"/>
      <c r="I9" s="24" t="inlineStr"/>
      <c r="J9" s="24" t="inlineStr">
        <is>
          <t>2023/01/12</t>
        </is>
      </c>
    </row>
    <row r="10">
      <c r="B10" s="24" t="inlineStr">
        <is>
          <t>appraisal_agency_expenses</t>
        </is>
      </c>
      <c r="C10" s="24" t="inlineStr">
        <is>
          <t>INPUTORGID</t>
        </is>
      </c>
      <c r="D10" s="24" t="inlineStr">
        <is>
          <t>varchar(32)</t>
        </is>
      </c>
      <c r="E10" s="24" t="inlineStr">
        <is>
          <t>YES</t>
        </is>
      </c>
      <c r="F10" s="24" t="inlineStr">
        <is>
          <t>登记机构</t>
        </is>
      </c>
      <c r="G10" s="24" t="n"/>
      <c r="H10" s="24" t="n"/>
      <c r="I10" s="24" t="inlineStr"/>
      <c r="J10" s="24" t="inlineStr">
        <is>
          <t>2023/01/12</t>
        </is>
      </c>
    </row>
    <row r="11">
      <c r="B11" s="24" t="inlineStr">
        <is>
          <t>appraisal_agency_expenses</t>
        </is>
      </c>
      <c r="C11" s="24" t="inlineStr">
        <is>
          <t>INPUTDATE</t>
        </is>
      </c>
      <c r="D11" s="24" t="inlineStr">
        <is>
          <t>datetime</t>
        </is>
      </c>
      <c r="E11" s="24" t="inlineStr">
        <is>
          <t>YES</t>
        </is>
      </c>
      <c r="F11" s="24" t="inlineStr">
        <is>
          <t>登记日期</t>
        </is>
      </c>
      <c r="G11" s="24" t="n"/>
      <c r="H11" s="24" t="n"/>
      <c r="I11" s="24" t="inlineStr"/>
      <c r="J11" s="24" t="inlineStr">
        <is>
          <t>2023/01/12</t>
        </is>
      </c>
    </row>
    <row r="12">
      <c r="B12" s="24" t="inlineStr">
        <is>
          <t>appraisal_agency_expenses</t>
        </is>
      </c>
      <c r="C12" s="24" t="inlineStr">
        <is>
          <t>UPDATEUSERID</t>
        </is>
      </c>
      <c r="D12" s="24" t="inlineStr">
        <is>
          <t>varchar(32)</t>
        </is>
      </c>
      <c r="E12" s="24" t="inlineStr">
        <is>
          <t>YES</t>
        </is>
      </c>
      <c r="F12" s="24" t="inlineStr">
        <is>
          <t>更新人</t>
        </is>
      </c>
      <c r="G12" s="24" t="n"/>
      <c r="H12" s="24" t="n"/>
      <c r="I12" s="24" t="inlineStr"/>
      <c r="J12" s="24" t="inlineStr">
        <is>
          <t>2023/01/12</t>
        </is>
      </c>
    </row>
    <row r="13">
      <c r="B13" s="24" t="inlineStr">
        <is>
          <t>appraisal_agency_expenses</t>
        </is>
      </c>
      <c r="C13" s="24" t="inlineStr">
        <is>
          <t>UPDATEORGID</t>
        </is>
      </c>
      <c r="D13" s="24" t="inlineStr">
        <is>
          <t>varchar(32)</t>
        </is>
      </c>
      <c r="E13" s="24" t="inlineStr">
        <is>
          <t>YES</t>
        </is>
      </c>
      <c r="F13" s="24" t="inlineStr">
        <is>
          <t>更新机构</t>
        </is>
      </c>
      <c r="G13" s="24" t="n"/>
      <c r="H13" s="24" t="n"/>
      <c r="I13" s="24" t="inlineStr"/>
      <c r="J13" s="24" t="inlineStr">
        <is>
          <t>2023/01/12</t>
        </is>
      </c>
    </row>
    <row r="14">
      <c r="B14" s="24" t="inlineStr">
        <is>
          <t>appraisal_agency_expenses</t>
        </is>
      </c>
      <c r="C14" s="24" t="inlineStr">
        <is>
          <t>UPDATEDATE</t>
        </is>
      </c>
      <c r="D14" s="24" t="inlineStr">
        <is>
          <t>datetime</t>
        </is>
      </c>
      <c r="E14" s="24" t="inlineStr">
        <is>
          <t>YES</t>
        </is>
      </c>
      <c r="F14" s="24" t="inlineStr">
        <is>
          <t>更新日期</t>
        </is>
      </c>
      <c r="G14" s="24" t="n"/>
      <c r="H14" s="24" t="n"/>
      <c r="I14" s="24" t="inlineStr"/>
      <c r="J14" s="24" t="inlineStr">
        <is>
          <t>2023/01/12</t>
        </is>
      </c>
    </row>
    <row r="15">
      <c r="B15" s="24" t="inlineStr">
        <is>
          <t>appraisal_agency_expenses</t>
        </is>
      </c>
      <c r="C15" s="24" t="inlineStr">
        <is>
          <t>REMARK</t>
        </is>
      </c>
      <c r="D15" s="24" t="inlineStr">
        <is>
          <t>varchar(500)</t>
        </is>
      </c>
      <c r="E15" s="24" t="inlineStr">
        <is>
          <t>YES</t>
        </is>
      </c>
      <c r="F15" s="24" t="inlineStr">
        <is>
          <t>备注</t>
        </is>
      </c>
      <c r="G15" s="24" t="n"/>
      <c r="H15" s="24" t="n"/>
      <c r="I15" s="24" t="inlineStr"/>
      <c r="J15" s="24" t="inlineStr">
        <is>
          <t>2023/01/12</t>
        </is>
      </c>
    </row>
    <row r="16">
      <c r="B16" s="24" t="inlineStr">
        <is>
          <t>appraisal_agency_expenses</t>
        </is>
      </c>
      <c r="C16" s="24" t="inlineStr">
        <is>
          <t>CORPORGID</t>
        </is>
      </c>
      <c r="D16" s="24" t="inlineStr">
        <is>
          <t>varchar(32)</t>
        </is>
      </c>
      <c r="E16" s="24" t="inlineStr">
        <is>
          <t>YES</t>
        </is>
      </c>
      <c r="F16" s="24" t="inlineStr">
        <is>
          <t>法人机构编号</t>
        </is>
      </c>
      <c r="G16" s="24" t="n"/>
      <c r="H16" s="24" t="n"/>
      <c r="I16" s="24" t="inlineStr"/>
      <c r="J16" s="24" t="inlineStr">
        <is>
          <t>2023/01/12</t>
        </is>
      </c>
    </row>
  </sheetData>
  <pageMargins left="0.75" right="0.75" top="1" bottom="1" header="0.5" footer="0.5"/>
  <pageSetup orientation="portrait" paperSize="1" horizontalDpi="300" verticalDpi="300"/>
</worksheet>
</file>

<file path=xl/worksheets/sheet14.xml><?xml version="1.0" encoding="utf-8"?>
<worksheet xmlns="http://schemas.openxmlformats.org/spreadsheetml/2006/main">
  <sheetPr>
    <outlinePr summaryBelow="1" summaryRight="1"/>
    <pageSetUpPr/>
  </sheetPr>
  <dimension ref="A1:J13"/>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评级机构附件</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appraisal_agency_file</t>
        </is>
      </c>
      <c r="C3" s="24" t="inlineStr">
        <is>
          <t>FILENO</t>
        </is>
      </c>
      <c r="D3" s="24" t="inlineStr">
        <is>
          <t>varchar(32)</t>
        </is>
      </c>
      <c r="E3" s="24" t="inlineStr">
        <is>
          <t>NO</t>
        </is>
      </c>
      <c r="F3" s="24" t="inlineStr">
        <is>
          <t>文档编号</t>
        </is>
      </c>
      <c r="G3" s="24" t="n"/>
      <c r="H3" s="24" t="n"/>
      <c r="I3" s="24" t="inlineStr"/>
      <c r="J3" s="24" t="inlineStr">
        <is>
          <t>2023/01/12</t>
        </is>
      </c>
    </row>
    <row r="4">
      <c r="B4" s="24" t="inlineStr">
        <is>
          <t>appraisal_agency_file</t>
        </is>
      </c>
      <c r="C4" s="24" t="inlineStr">
        <is>
          <t>APPRAISALORGID</t>
        </is>
      </c>
      <c r="D4" s="24" t="inlineStr">
        <is>
          <t>varchar(32)</t>
        </is>
      </c>
      <c r="E4" s="24" t="inlineStr">
        <is>
          <t>NO</t>
        </is>
      </c>
      <c r="F4" s="24" t="inlineStr">
        <is>
          <t>评估公司组织机构代码证</t>
        </is>
      </c>
      <c r="G4" s="24" t="n"/>
      <c r="H4" s="24" t="n"/>
      <c r="I4" s="24" t="inlineStr"/>
      <c r="J4" s="24" t="inlineStr">
        <is>
          <t>2023/01/12</t>
        </is>
      </c>
    </row>
    <row r="5">
      <c r="B5" s="24" t="inlineStr">
        <is>
          <t>appraisal_agency_file</t>
        </is>
      </c>
      <c r="C5" s="24" t="inlineStr">
        <is>
          <t>FILENAME</t>
        </is>
      </c>
      <c r="D5" s="24" t="inlineStr">
        <is>
          <t>varchar(80)</t>
        </is>
      </c>
      <c r="E5" s="24" t="inlineStr">
        <is>
          <t>YES</t>
        </is>
      </c>
      <c r="F5" s="24" t="inlineStr">
        <is>
          <t>文档名称</t>
        </is>
      </c>
      <c r="G5" s="24" t="n"/>
      <c r="H5" s="24" t="n"/>
      <c r="I5" s="24" t="inlineStr"/>
      <c r="J5" s="24" t="inlineStr">
        <is>
          <t>2023/01/12</t>
        </is>
      </c>
    </row>
    <row r="6">
      <c r="B6" s="24" t="inlineStr">
        <is>
          <t>appraisal_agency_file</t>
        </is>
      </c>
      <c r="C6" s="24" t="inlineStr">
        <is>
          <t>INPUTUSERID</t>
        </is>
      </c>
      <c r="D6" s="24" t="inlineStr">
        <is>
          <t>varchar(32)</t>
        </is>
      </c>
      <c r="E6" s="24" t="inlineStr">
        <is>
          <t>YES</t>
        </is>
      </c>
      <c r="F6" s="24" t="inlineStr">
        <is>
          <t>登记人</t>
        </is>
      </c>
      <c r="G6" s="24" t="n"/>
      <c r="H6" s="24" t="n"/>
      <c r="I6" s="24" t="inlineStr"/>
      <c r="J6" s="24" t="inlineStr">
        <is>
          <t>2023/01/12</t>
        </is>
      </c>
    </row>
    <row r="7">
      <c r="B7" s="24" t="inlineStr">
        <is>
          <t>appraisal_agency_file</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appraisal_agency_file</t>
        </is>
      </c>
      <c r="C8" s="24" t="inlineStr">
        <is>
          <t>INPUTDATE</t>
        </is>
      </c>
      <c r="D8" s="24" t="inlineStr">
        <is>
          <t>datetime</t>
        </is>
      </c>
      <c r="E8" s="24" t="inlineStr">
        <is>
          <t>YES</t>
        </is>
      </c>
      <c r="F8" s="24" t="inlineStr">
        <is>
          <t>登记日期</t>
        </is>
      </c>
      <c r="G8" s="24" t="n"/>
      <c r="H8" s="24" t="n"/>
      <c r="I8" s="24" t="inlineStr"/>
      <c r="J8" s="24" t="inlineStr">
        <is>
          <t>2023/01/12</t>
        </is>
      </c>
    </row>
    <row r="9">
      <c r="B9" s="24" t="inlineStr">
        <is>
          <t>appraisal_agency_file</t>
        </is>
      </c>
      <c r="C9" s="24" t="inlineStr">
        <is>
          <t>UPDATEUSERID</t>
        </is>
      </c>
      <c r="D9" s="24" t="inlineStr">
        <is>
          <t>varchar(32)</t>
        </is>
      </c>
      <c r="E9" s="24" t="inlineStr">
        <is>
          <t>YES</t>
        </is>
      </c>
      <c r="F9" s="24" t="inlineStr">
        <is>
          <t>更新人</t>
        </is>
      </c>
      <c r="G9" s="24" t="n"/>
      <c r="H9" s="24" t="n"/>
      <c r="I9" s="24" t="inlineStr"/>
      <c r="J9" s="24" t="inlineStr">
        <is>
          <t>2023/01/12</t>
        </is>
      </c>
    </row>
    <row r="10">
      <c r="B10" s="24" t="inlineStr">
        <is>
          <t>appraisal_agency_file</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appraisal_agency_file</t>
        </is>
      </c>
      <c r="C11" s="24" t="inlineStr">
        <is>
          <t>UPDATEDATE</t>
        </is>
      </c>
      <c r="D11" s="24" t="inlineStr">
        <is>
          <t>datetime</t>
        </is>
      </c>
      <c r="E11" s="24" t="inlineStr">
        <is>
          <t>YES</t>
        </is>
      </c>
      <c r="F11" s="24" t="inlineStr">
        <is>
          <t>更新日期</t>
        </is>
      </c>
      <c r="G11" s="24" t="n"/>
      <c r="H11" s="24" t="n"/>
      <c r="I11" s="24" t="inlineStr"/>
      <c r="J11" s="24" t="inlineStr">
        <is>
          <t>2023/01/12</t>
        </is>
      </c>
    </row>
    <row r="12">
      <c r="B12" s="24" t="inlineStr">
        <is>
          <t>appraisal_agency_file</t>
        </is>
      </c>
      <c r="C12" s="24" t="inlineStr">
        <is>
          <t>REMARK</t>
        </is>
      </c>
      <c r="D12" s="24" t="inlineStr">
        <is>
          <t>varchar(500)</t>
        </is>
      </c>
      <c r="E12" s="24" t="inlineStr">
        <is>
          <t>YES</t>
        </is>
      </c>
      <c r="F12" s="24" t="inlineStr">
        <is>
          <t>备注</t>
        </is>
      </c>
      <c r="G12" s="24" t="n"/>
      <c r="H12" s="24" t="n"/>
      <c r="I12" s="24" t="inlineStr"/>
      <c r="J12" s="24" t="inlineStr">
        <is>
          <t>2023/01/12</t>
        </is>
      </c>
    </row>
    <row r="13">
      <c r="B13" s="24" t="inlineStr">
        <is>
          <t>appraisal_agency_file</t>
        </is>
      </c>
      <c r="C13" s="24" t="inlineStr">
        <is>
          <t>CORPORGID</t>
        </is>
      </c>
      <c r="D13" s="24" t="inlineStr">
        <is>
          <t>varchar(32)</t>
        </is>
      </c>
      <c r="E13" s="24" t="inlineStr">
        <is>
          <t>YES</t>
        </is>
      </c>
      <c r="F13" s="24" t="inlineStr">
        <is>
          <t>法人机构编号</t>
        </is>
      </c>
      <c r="G13" s="24" t="n"/>
      <c r="H13" s="24" t="n"/>
      <c r="I13" s="24" t="inlineStr"/>
      <c r="J13" s="24" t="inlineStr">
        <is>
          <t>2023/01/12</t>
        </is>
      </c>
    </row>
  </sheetData>
  <pageMargins left="0.75" right="0.75" top="1" bottom="1" header="0.5" footer="0.5"/>
  <pageSetup orientation="portrait" paperSize="1" horizontalDpi="300" verticalDpi="300"/>
</worksheet>
</file>

<file path=xl/worksheets/sheet15.xml><?xml version="1.0" encoding="utf-8"?>
<worksheet xmlns="http://schemas.openxmlformats.org/spreadsheetml/2006/main">
  <sheetPr>
    <outlinePr summaryBelow="1" summaryRight="1"/>
    <pageSetUpPr/>
  </sheetPr>
  <dimension ref="A1:J21"/>
  <sheetViews>
    <sheetView zoomScaleSheetLayoutView="60" workbookViewId="0">
      <selection activeCell="D21" sqref="D2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42.8571428571429" customWidth="1" style="170" min="7" max="7"/>
    <col width="11.7053571428571" customWidth="1" style="170" min="10" max="10"/>
  </cols>
  <sheetData>
    <row r="1">
      <c r="A1" s="51">
        <f>HYPERLINK("#表结构清单!A1","返回")</f>
        <v/>
      </c>
      <c r="B1" t="inlineStr">
        <is>
          <t>评估公司相关信息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appraisal_agency_information</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appraisal_agency_information</t>
        </is>
      </c>
      <c r="C4" s="24" t="inlineStr">
        <is>
          <t>APPRAISALORGID</t>
        </is>
      </c>
      <c r="D4" s="24" t="inlineStr">
        <is>
          <t>varchar(32)</t>
        </is>
      </c>
      <c r="E4" s="24" t="inlineStr">
        <is>
          <t>NO</t>
        </is>
      </c>
      <c r="F4" s="24" t="inlineStr">
        <is>
          <t>评估公司组织机构代码证</t>
        </is>
      </c>
      <c r="G4" s="24" t="n"/>
      <c r="H4" s="24" t="n"/>
      <c r="I4" s="24" t="inlineStr"/>
      <c r="J4" s="24" t="inlineStr">
        <is>
          <t>2023/01/12</t>
        </is>
      </c>
    </row>
    <row r="5">
      <c r="B5" s="24" t="inlineStr">
        <is>
          <t>appraisal_agency_information</t>
        </is>
      </c>
      <c r="C5" s="24" t="inlineStr">
        <is>
          <t>INFORMATIONTYPE</t>
        </is>
      </c>
      <c r="D5" s="24" t="inlineStr">
        <is>
          <t>varchar(18)</t>
        </is>
      </c>
      <c r="E5" s="24" t="inlineStr">
        <is>
          <t>YES</t>
        </is>
      </c>
      <c r="F5" s="24" t="inlineStr">
        <is>
          <t>信息类型</t>
        </is>
      </c>
      <c r="G5" s="62">
        <f>HYPERLINK("#码值映射清单!B10076","AgencyInformationType")</f>
        <v/>
      </c>
      <c r="H5" s="24" t="n"/>
      <c r="I5" s="24" t="inlineStr"/>
      <c r="J5" s="24" t="inlineStr">
        <is>
          <t>2023/01/12</t>
        </is>
      </c>
    </row>
    <row r="6">
      <c r="B6" s="24" t="inlineStr">
        <is>
          <t>appraisal_agency_information</t>
        </is>
      </c>
      <c r="C6" s="24" t="inlineStr">
        <is>
          <t>ATTRIBUTE1</t>
        </is>
      </c>
      <c r="D6" s="24" t="inlineStr">
        <is>
          <t>varchar(80)</t>
        </is>
      </c>
      <c r="E6" s="24" t="inlineStr">
        <is>
          <t>YES</t>
        </is>
      </c>
      <c r="F6" s="24" t="inlineStr">
        <is>
          <t>联系人列表_姓名;资质情况_资质证书名称，专家信息_姓名，大事信息_标题</t>
        </is>
      </c>
      <c r="G6" s="24" t="n"/>
      <c r="H6" s="24" t="n"/>
      <c r="I6" s="24" t="inlineStr"/>
      <c r="J6" s="24" t="inlineStr">
        <is>
          <t>2023/01/12</t>
        </is>
      </c>
    </row>
    <row r="7">
      <c r="B7" s="24" t="inlineStr">
        <is>
          <t>appraisal_agency_information</t>
        </is>
      </c>
      <c r="C7" s="24" t="inlineStr">
        <is>
          <t>ATTRIBUTE2</t>
        </is>
      </c>
      <c r="D7" s="24" t="inlineStr">
        <is>
          <t>varchar(32)</t>
        </is>
      </c>
      <c r="E7" s="24" t="inlineStr">
        <is>
          <t>YES</t>
        </is>
      </c>
      <c r="F7" s="24" t="inlineStr">
        <is>
          <t>联系人列表_电话;资质情况_资质证书标号，专家信息_电话，大事信息_无</t>
        </is>
      </c>
      <c r="G7" s="24" t="n"/>
      <c r="H7" s="24" t="n"/>
      <c r="I7" s="24" t="inlineStr"/>
      <c r="J7" s="24" t="inlineStr">
        <is>
          <t>2023/01/12</t>
        </is>
      </c>
    </row>
    <row r="8">
      <c r="B8" s="24" t="inlineStr">
        <is>
          <t>appraisal_agency_information</t>
        </is>
      </c>
      <c r="C8" s="24" t="inlineStr">
        <is>
          <t>ATTRIBUTE3</t>
        </is>
      </c>
      <c r="D8" s="24" t="inlineStr">
        <is>
          <t>varchar(32)</t>
        </is>
      </c>
      <c r="E8" s="24" t="inlineStr">
        <is>
          <t>YES</t>
        </is>
      </c>
      <c r="F8" s="24" t="inlineStr">
        <is>
          <t>联系人列表_所属部门;资质情况_无，专家信息_所属部门，大事信息_无</t>
        </is>
      </c>
      <c r="G8" s="24" t="n"/>
      <c r="H8" s="24" t="n"/>
      <c r="I8" s="24" t="inlineStr"/>
      <c r="J8" s="24" t="inlineStr">
        <is>
          <t>2023/01/12</t>
        </is>
      </c>
    </row>
    <row r="9">
      <c r="B9" s="24" t="inlineStr">
        <is>
          <t>appraisal_agency_information</t>
        </is>
      </c>
      <c r="C9" s="24" t="inlineStr">
        <is>
          <t>ATTRIBUTE4</t>
        </is>
      </c>
      <c r="D9" s="24" t="inlineStr">
        <is>
          <t>varchar(18)</t>
        </is>
      </c>
      <c r="E9" s="24" t="inlineStr">
        <is>
          <t>YES</t>
        </is>
      </c>
      <c r="F9" s="24" t="inlineStr">
        <is>
          <t>联系人列表_是否有效;资质情况_执业资质等级，专家信息_无，大事信息_是否有效</t>
        </is>
      </c>
      <c r="G9" s="61">
        <f>HYPERLINK("#码值映射清单!B5150","YesNo")</f>
        <v/>
      </c>
      <c r="H9" s="24" t="n"/>
      <c r="I9" s="24" t="inlineStr"/>
      <c r="J9" s="24" t="inlineStr">
        <is>
          <t>2023/01/12</t>
        </is>
      </c>
    </row>
    <row r="10">
      <c r="B10" s="24" t="inlineStr">
        <is>
          <t>appraisal_agency_information</t>
        </is>
      </c>
      <c r="C10" s="24" t="inlineStr">
        <is>
          <t>ATTRIBUTE6</t>
        </is>
      </c>
      <c r="D10" s="24" t="inlineStr">
        <is>
          <t>datetime</t>
        </is>
      </c>
      <c r="E10" s="24" t="inlineStr">
        <is>
          <t>YES</t>
        </is>
      </c>
      <c r="F10" s="24" t="inlineStr">
        <is>
          <t>联系人列表_无;资质情况_资质核准日期，专家信息_无，大事信息_发生日期</t>
        </is>
      </c>
      <c r="G10" s="24" t="n"/>
      <c r="H10" s="24" t="n"/>
      <c r="I10" s="24" t="inlineStr"/>
      <c r="J10" s="24" t="inlineStr">
        <is>
          <t>2023/01/12</t>
        </is>
      </c>
    </row>
    <row r="11">
      <c r="B11" s="24" t="inlineStr">
        <is>
          <t>appraisal_agency_information</t>
        </is>
      </c>
      <c r="C11" s="24" t="inlineStr">
        <is>
          <t>ATTRIBUTE7</t>
        </is>
      </c>
      <c r="D11" s="24" t="inlineStr">
        <is>
          <t>datetime</t>
        </is>
      </c>
      <c r="E11" s="24" t="inlineStr">
        <is>
          <t>YES</t>
        </is>
      </c>
      <c r="F11" s="24" t="inlineStr">
        <is>
          <t>联系人列表_无;资质情况_资质到期日期，专家信息_无，大事信息_无</t>
        </is>
      </c>
      <c r="G11" s="24" t="n"/>
      <c r="H11" s="24" t="n"/>
      <c r="I11" s="24" t="inlineStr"/>
      <c r="J11" s="24" t="inlineStr">
        <is>
          <t>2023/01/12</t>
        </is>
      </c>
    </row>
    <row r="12">
      <c r="B12" s="24" t="inlineStr">
        <is>
          <t>appraisal_agency_information</t>
        </is>
      </c>
      <c r="C12" s="24" t="inlineStr">
        <is>
          <t>WORKYEARS</t>
        </is>
      </c>
      <c r="D12" s="24" t="inlineStr">
        <is>
          <t>varchar(6)</t>
        </is>
      </c>
      <c r="E12" s="24" t="inlineStr">
        <is>
          <t>YES</t>
        </is>
      </c>
      <c r="F12" s="24" t="inlineStr">
        <is>
          <t>从业年限</t>
        </is>
      </c>
      <c r="G12" s="24" t="n"/>
      <c r="H12" s="24" t="n"/>
      <c r="I12" s="24" t="inlineStr"/>
      <c r="J12" s="24" t="inlineStr">
        <is>
          <t>2023/01/12</t>
        </is>
      </c>
    </row>
    <row r="13">
      <c r="B13" s="24" t="inlineStr">
        <is>
          <t>appraisal_agency_information</t>
        </is>
      </c>
      <c r="C13" s="24" t="inlineStr">
        <is>
          <t>INPUTUSERID</t>
        </is>
      </c>
      <c r="D13" s="24" t="inlineStr">
        <is>
          <t>varchar(32)</t>
        </is>
      </c>
      <c r="E13" s="24" t="inlineStr">
        <is>
          <t>YES</t>
        </is>
      </c>
      <c r="F13" s="24" t="inlineStr">
        <is>
          <t>登记人</t>
        </is>
      </c>
      <c r="G13" s="24" t="n"/>
      <c r="H13" s="24" t="n"/>
      <c r="I13" s="24" t="inlineStr"/>
      <c r="J13" s="24" t="inlineStr">
        <is>
          <t>2023/01/12</t>
        </is>
      </c>
    </row>
    <row r="14">
      <c r="B14" s="24" t="inlineStr">
        <is>
          <t>appraisal_agency_information</t>
        </is>
      </c>
      <c r="C14" s="24" t="inlineStr">
        <is>
          <t>INPUTORGID</t>
        </is>
      </c>
      <c r="D14" s="24" t="inlineStr">
        <is>
          <t>varchar(32)</t>
        </is>
      </c>
      <c r="E14" s="24" t="inlineStr">
        <is>
          <t>YES</t>
        </is>
      </c>
      <c r="F14" s="24" t="inlineStr">
        <is>
          <t>登记机构</t>
        </is>
      </c>
      <c r="G14" s="24" t="n"/>
      <c r="H14" s="24" t="n"/>
      <c r="I14" s="24" t="inlineStr"/>
      <c r="J14" s="24" t="inlineStr">
        <is>
          <t>2023/01/12</t>
        </is>
      </c>
    </row>
    <row r="15">
      <c r="B15" s="24" t="inlineStr">
        <is>
          <t>appraisal_agency_information</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appraisal_agency_information</t>
        </is>
      </c>
      <c r="C16" s="24" t="inlineStr">
        <is>
          <t>UPDATEUSERID</t>
        </is>
      </c>
      <c r="D16" s="24" t="inlineStr">
        <is>
          <t>varchar(32)</t>
        </is>
      </c>
      <c r="E16" s="24" t="inlineStr">
        <is>
          <t>YES</t>
        </is>
      </c>
      <c r="F16" s="24" t="inlineStr">
        <is>
          <t>更新人</t>
        </is>
      </c>
      <c r="G16" s="24" t="n"/>
      <c r="H16" s="24" t="n"/>
      <c r="I16" s="24" t="inlineStr"/>
      <c r="J16" s="24" t="inlineStr">
        <is>
          <t>2023/01/12</t>
        </is>
      </c>
    </row>
    <row r="17">
      <c r="B17" s="24" t="inlineStr">
        <is>
          <t>appraisal_agency_information</t>
        </is>
      </c>
      <c r="C17" s="24" t="inlineStr">
        <is>
          <t>UPDATEORGID</t>
        </is>
      </c>
      <c r="D17" s="24" t="inlineStr">
        <is>
          <t>varchar(32)</t>
        </is>
      </c>
      <c r="E17" s="24" t="inlineStr">
        <is>
          <t>YES</t>
        </is>
      </c>
      <c r="F17" s="24" t="inlineStr">
        <is>
          <t>更新机构</t>
        </is>
      </c>
      <c r="G17" s="24" t="n"/>
      <c r="H17" s="24" t="n"/>
      <c r="I17" s="24" t="inlineStr"/>
      <c r="J17" s="24" t="inlineStr">
        <is>
          <t>2023/01/12</t>
        </is>
      </c>
    </row>
    <row r="18">
      <c r="B18" s="24" t="inlineStr">
        <is>
          <t>appraisal_agency_information</t>
        </is>
      </c>
      <c r="C18" s="24" t="inlineStr">
        <is>
          <t>UPDATEDATE</t>
        </is>
      </c>
      <c r="D18" s="24" t="inlineStr">
        <is>
          <t>datetime</t>
        </is>
      </c>
      <c r="E18" s="24" t="inlineStr">
        <is>
          <t>YES</t>
        </is>
      </c>
      <c r="F18" s="24" t="inlineStr">
        <is>
          <t>更新日期</t>
        </is>
      </c>
      <c r="G18" s="24" t="n"/>
      <c r="H18" s="24" t="n"/>
      <c r="I18" s="24" t="inlineStr"/>
      <c r="J18" s="24" t="inlineStr">
        <is>
          <t>2023/01/12</t>
        </is>
      </c>
    </row>
    <row r="19">
      <c r="B19" s="24" t="inlineStr">
        <is>
          <t>appraisal_agency_information</t>
        </is>
      </c>
      <c r="C19" s="24" t="inlineStr">
        <is>
          <t>REMARK</t>
        </is>
      </c>
      <c r="D19" s="24" t="inlineStr">
        <is>
          <t>varchar(500)</t>
        </is>
      </c>
      <c r="E19" s="24" t="inlineStr">
        <is>
          <t>YES</t>
        </is>
      </c>
      <c r="F19" s="24" t="inlineStr">
        <is>
          <t>备注</t>
        </is>
      </c>
      <c r="G19" s="24" t="n"/>
      <c r="H19" s="24" t="n"/>
      <c r="I19" s="24" t="inlineStr"/>
      <c r="J19" s="24" t="inlineStr">
        <is>
          <t>2023/01/12</t>
        </is>
      </c>
    </row>
    <row r="20">
      <c r="B20" s="24" t="inlineStr">
        <is>
          <t>appraisal_agency_information</t>
        </is>
      </c>
      <c r="C20" s="24" t="inlineStr">
        <is>
          <t>CORPORGID</t>
        </is>
      </c>
      <c r="D20" s="24" t="inlineStr">
        <is>
          <t>varchar(32)</t>
        </is>
      </c>
      <c r="E20" s="24" t="inlineStr">
        <is>
          <t>YES</t>
        </is>
      </c>
      <c r="F20" s="24" t="inlineStr">
        <is>
          <t>法人机构编号</t>
        </is>
      </c>
      <c r="G20" s="24" t="n"/>
      <c r="H20" s="24" t="n"/>
      <c r="I20" s="24" t="inlineStr"/>
      <c r="J20" s="24" t="inlineStr">
        <is>
          <t>2023/01/12</t>
        </is>
      </c>
    </row>
    <row r="21">
      <c r="B21" s="24" t="inlineStr">
        <is>
          <t>appraisal_agency_information</t>
        </is>
      </c>
      <c r="C21" s="24" t="inlineStr">
        <is>
          <t>ATTRIBUTE5</t>
        </is>
      </c>
      <c r="D21" s="24" t="inlineStr">
        <is>
          <t>varchar(1000)</t>
        </is>
      </c>
      <c r="E21" s="24" t="inlineStr">
        <is>
          <t>YES</t>
        </is>
      </c>
      <c r="F21" s="24" t="inlineStr">
        <is>
          <t>联系人列表_无;资质情况_无，专家信息_专业领域，大事信息_事件描述及原因</t>
        </is>
      </c>
      <c r="G21" s="24" t="n"/>
      <c r="H21" s="24" t="n"/>
      <c r="I21" s="24" t="inlineStr"/>
      <c r="J21" s="24" t="inlineStr">
        <is>
          <t>2023/01/12</t>
        </is>
      </c>
    </row>
  </sheetData>
  <pageMargins left="0.75" right="0.75" top="1" bottom="1" header="0.5" footer="0.5"/>
  <pageSetup orientation="portrait" paperSize="1" horizontalDpi="300" verticalDpi="300"/>
</worksheet>
</file>

<file path=xl/worksheets/sheet16.xml><?xml version="1.0" encoding="utf-8"?>
<worksheet xmlns="http://schemas.openxmlformats.org/spreadsheetml/2006/main">
  <sheetPr>
    <outlinePr summaryBelow="1" summaryRight="1"/>
    <pageSetUpPr/>
  </sheetPr>
  <dimension ref="A1:J18"/>
  <sheetViews>
    <sheetView zoomScaleSheetLayoutView="60" workbookViewId="0">
      <selection activeCell="F27" sqref="F27"/>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评估机构资质表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appraisal_agency_qualification</t>
        </is>
      </c>
      <c r="C3" s="24" t="inlineStr">
        <is>
          <t>EVENTSERIALNO</t>
        </is>
      </c>
      <c r="D3" s="24" t="inlineStr">
        <is>
          <t>varchar(32)</t>
        </is>
      </c>
      <c r="E3" s="24" t="inlineStr">
        <is>
          <t>NO</t>
        </is>
      </c>
      <c r="F3" s="24" t="inlineStr">
        <is>
          <t>评估机构事件编号</t>
        </is>
      </c>
      <c r="G3" s="24" t="n"/>
      <c r="H3" s="24" t="n"/>
      <c r="I3" s="24" t="inlineStr"/>
      <c r="J3" s="24" t="inlineStr">
        <is>
          <t>2023/01/12</t>
        </is>
      </c>
    </row>
    <row r="4">
      <c r="B4" s="24" t="inlineStr">
        <is>
          <t>appraisal_agency_qualification</t>
        </is>
      </c>
      <c r="C4" s="24" t="inlineStr">
        <is>
          <t>EVENTTYPE</t>
        </is>
      </c>
      <c r="D4" s="24" t="inlineStr">
        <is>
          <t>varchar(32)</t>
        </is>
      </c>
      <c r="E4" s="24" t="inlineStr">
        <is>
          <t>YES</t>
        </is>
      </c>
      <c r="F4" s="24" t="inlineStr">
        <is>
          <t>事件类型</t>
        </is>
      </c>
      <c r="G4" s="24" t="n"/>
      <c r="H4" s="24" t="n"/>
      <c r="I4" s="24" t="inlineStr"/>
      <c r="J4" s="24" t="inlineStr">
        <is>
          <t>2023/01/12</t>
        </is>
      </c>
    </row>
    <row r="5">
      <c r="B5" s="24" t="inlineStr">
        <is>
          <t>appraisal_agency_qualification</t>
        </is>
      </c>
      <c r="C5" s="24" t="inlineStr">
        <is>
          <t>ADMITTANCETYPE</t>
        </is>
      </c>
      <c r="D5" s="24" t="inlineStr">
        <is>
          <t>varchar(18)</t>
        </is>
      </c>
      <c r="E5" s="24" t="inlineStr">
        <is>
          <t>YES</t>
        </is>
      </c>
      <c r="F5" s="24" t="inlineStr">
        <is>
          <t>准入评估类型</t>
        </is>
      </c>
      <c r="G5" s="24" t="n"/>
      <c r="H5" s="24" t="n"/>
      <c r="I5" s="24" t="inlineStr"/>
      <c r="J5" s="24" t="inlineStr">
        <is>
          <t>2023/01/12</t>
        </is>
      </c>
    </row>
    <row r="6">
      <c r="B6" s="24" t="inlineStr">
        <is>
          <t>appraisal_agency_qualification</t>
        </is>
      </c>
      <c r="C6" s="24" t="inlineStr">
        <is>
          <t>ISONCEACCESS</t>
        </is>
      </c>
      <c r="D6" s="24" t="inlineStr">
        <is>
          <t>char(1)</t>
        </is>
      </c>
      <c r="E6" s="24" t="inlineStr">
        <is>
          <t>YES</t>
        </is>
      </c>
      <c r="F6" s="24" t="inlineStr">
        <is>
          <t>是否曾经准入</t>
        </is>
      </c>
      <c r="G6" s="24" t="n"/>
      <c r="H6" s="24" t="n"/>
      <c r="I6" s="24" t="inlineStr"/>
      <c r="J6" s="24" t="inlineStr">
        <is>
          <t>2023/01/12</t>
        </is>
      </c>
    </row>
    <row r="7">
      <c r="B7" s="24" t="inlineStr">
        <is>
          <t>appraisal_agency_qualification</t>
        </is>
      </c>
      <c r="C7" s="24" t="inlineStr">
        <is>
          <t>ISSPECIALACCESS</t>
        </is>
      </c>
      <c r="D7" s="24" t="inlineStr">
        <is>
          <t>char(1)</t>
        </is>
      </c>
      <c r="E7" s="24" t="inlineStr">
        <is>
          <t>YES</t>
        </is>
      </c>
      <c r="F7" s="24" t="inlineStr">
        <is>
          <t>是否为特殊准入</t>
        </is>
      </c>
      <c r="G7" s="24" t="n"/>
      <c r="H7" s="24" t="n"/>
      <c r="I7" s="24" t="inlineStr"/>
      <c r="J7" s="24" t="inlineStr">
        <is>
          <t>2023/01/12</t>
        </is>
      </c>
    </row>
    <row r="8">
      <c r="B8" s="24" t="inlineStr">
        <is>
          <t>appraisal_agency_qualification</t>
        </is>
      </c>
      <c r="C8" s="24" t="inlineStr">
        <is>
          <t>COMPOSITESCOPE</t>
        </is>
      </c>
      <c r="D8" s="24" t="inlineStr">
        <is>
          <t>decimal(18,8)</t>
        </is>
      </c>
      <c r="E8" s="24" t="inlineStr">
        <is>
          <t>YES</t>
        </is>
      </c>
      <c r="F8" s="24" t="inlineStr">
        <is>
          <t>评估机构综合得分</t>
        </is>
      </c>
      <c r="G8" s="24" t="n"/>
      <c r="H8" s="24" t="n"/>
      <c r="I8" s="24" t="inlineStr"/>
      <c r="J8" s="24" t="inlineStr">
        <is>
          <t>2023/01/12</t>
        </is>
      </c>
    </row>
    <row r="9">
      <c r="B9" s="24" t="inlineStr">
        <is>
          <t>appraisal_agency_qualification</t>
        </is>
      </c>
      <c r="C9" s="24" t="inlineStr">
        <is>
          <t>OCCURYEAR</t>
        </is>
      </c>
      <c r="D9" s="24" t="inlineStr">
        <is>
          <t>int</t>
        </is>
      </c>
      <c r="E9" s="24" t="inlineStr">
        <is>
          <t>YES</t>
        </is>
      </c>
      <c r="F9" s="24" t="inlineStr">
        <is>
          <t>发生年度</t>
        </is>
      </c>
      <c r="G9" s="24" t="n"/>
      <c r="H9" s="24" t="n"/>
      <c r="I9" s="24" t="inlineStr"/>
      <c r="J9" s="24" t="inlineStr">
        <is>
          <t>2023/01/12</t>
        </is>
      </c>
    </row>
    <row r="10">
      <c r="B10" s="24" t="inlineStr">
        <is>
          <t>appraisal_agency_qualification</t>
        </is>
      </c>
      <c r="C10" s="24" t="inlineStr">
        <is>
          <t>OCCURREASON</t>
        </is>
      </c>
      <c r="D10" s="24" t="inlineStr">
        <is>
          <t>varchar(500)</t>
        </is>
      </c>
      <c r="E10" s="24" t="inlineStr">
        <is>
          <t>YES</t>
        </is>
      </c>
      <c r="F10" s="24" t="inlineStr">
        <is>
          <t>发生原因</t>
        </is>
      </c>
      <c r="G10" s="24" t="n"/>
      <c r="H10" s="24" t="n"/>
      <c r="I10" s="24" t="inlineStr"/>
      <c r="J10" s="24" t="inlineStr">
        <is>
          <t>2023/01/12</t>
        </is>
      </c>
    </row>
    <row r="11">
      <c r="B11" s="24" t="inlineStr">
        <is>
          <t>appraisal_agency_qualification</t>
        </is>
      </c>
      <c r="C11" s="24" t="inlineStr">
        <is>
          <t>REMARK</t>
        </is>
      </c>
      <c r="D11" s="24" t="inlineStr">
        <is>
          <t>varchar(500)</t>
        </is>
      </c>
      <c r="E11" s="24" t="inlineStr">
        <is>
          <t>YES</t>
        </is>
      </c>
      <c r="F11" s="24" t="inlineStr">
        <is>
          <t>备注</t>
        </is>
      </c>
      <c r="G11" s="24" t="n"/>
      <c r="H11" s="24" t="n"/>
      <c r="I11" s="24" t="inlineStr"/>
      <c r="J11" s="24" t="inlineStr">
        <is>
          <t>2023/01/12</t>
        </is>
      </c>
    </row>
    <row r="12">
      <c r="B12" s="24" t="inlineStr">
        <is>
          <t>appraisal_agency_qualification</t>
        </is>
      </c>
      <c r="C12" s="24" t="inlineStr">
        <is>
          <t>INPUTUSERID</t>
        </is>
      </c>
      <c r="D12" s="24" t="inlineStr">
        <is>
          <t>varchar(32)</t>
        </is>
      </c>
      <c r="E12" s="24" t="inlineStr">
        <is>
          <t>YES</t>
        </is>
      </c>
      <c r="F12" s="24" t="inlineStr">
        <is>
          <t>登记人</t>
        </is>
      </c>
      <c r="G12" s="24" t="n"/>
      <c r="H12" s="24" t="n"/>
      <c r="I12" s="24" t="inlineStr"/>
      <c r="J12" s="24" t="inlineStr">
        <is>
          <t>2023/01/12</t>
        </is>
      </c>
    </row>
    <row r="13">
      <c r="B13" s="24" t="inlineStr">
        <is>
          <t>appraisal_agency_qualification</t>
        </is>
      </c>
      <c r="C13" s="24" t="inlineStr">
        <is>
          <t>INPUTORGID</t>
        </is>
      </c>
      <c r="D13" s="24" t="inlineStr">
        <is>
          <t>varchar(32)</t>
        </is>
      </c>
      <c r="E13" s="24" t="inlineStr">
        <is>
          <t>YES</t>
        </is>
      </c>
      <c r="F13" s="24" t="inlineStr">
        <is>
          <t>登记机构</t>
        </is>
      </c>
      <c r="G13" s="24" t="n"/>
      <c r="H13" s="24" t="n"/>
      <c r="I13" s="24" t="inlineStr"/>
      <c r="J13" s="24" t="inlineStr">
        <is>
          <t>2023/01/12</t>
        </is>
      </c>
    </row>
    <row r="14">
      <c r="B14" s="24" t="inlineStr">
        <is>
          <t>appraisal_agency_qualification</t>
        </is>
      </c>
      <c r="C14" s="24" t="inlineStr">
        <is>
          <t>INPUTDATE</t>
        </is>
      </c>
      <c r="D14" s="24" t="inlineStr">
        <is>
          <t>datetime</t>
        </is>
      </c>
      <c r="E14" s="24" t="inlineStr">
        <is>
          <t>YES</t>
        </is>
      </c>
      <c r="F14" s="24" t="inlineStr">
        <is>
          <t>登记日期</t>
        </is>
      </c>
      <c r="G14" s="24" t="n"/>
      <c r="H14" s="24" t="n"/>
      <c r="I14" s="24" t="inlineStr"/>
      <c r="J14" s="24" t="inlineStr">
        <is>
          <t>2023/01/12</t>
        </is>
      </c>
    </row>
    <row r="15">
      <c r="B15" s="24" t="inlineStr">
        <is>
          <t>appraisal_agency_qualification</t>
        </is>
      </c>
      <c r="C15" s="24" t="inlineStr">
        <is>
          <t>UPDATEUSERID</t>
        </is>
      </c>
      <c r="D15" s="24" t="inlineStr">
        <is>
          <t>varchar(32)</t>
        </is>
      </c>
      <c r="E15" s="24" t="inlineStr">
        <is>
          <t>YES</t>
        </is>
      </c>
      <c r="F15" s="24" t="inlineStr">
        <is>
          <t>更新人</t>
        </is>
      </c>
      <c r="G15" s="24" t="n"/>
      <c r="H15" s="24" t="n"/>
      <c r="I15" s="24" t="inlineStr"/>
      <c r="J15" s="24" t="inlineStr">
        <is>
          <t>2023/01/12</t>
        </is>
      </c>
    </row>
    <row r="16">
      <c r="B16" s="24" t="inlineStr">
        <is>
          <t>appraisal_agency_qualification</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appraisal_agency_qualification</t>
        </is>
      </c>
      <c r="C17" s="24" t="inlineStr">
        <is>
          <t>UPDATEDATE</t>
        </is>
      </c>
      <c r="D17" s="24" t="inlineStr">
        <is>
          <t>datetime</t>
        </is>
      </c>
      <c r="E17" s="24" t="inlineStr">
        <is>
          <t>YES</t>
        </is>
      </c>
      <c r="F17" s="24" t="inlineStr">
        <is>
          <t>更新日期</t>
        </is>
      </c>
      <c r="G17" s="24" t="n"/>
      <c r="H17" s="24" t="n"/>
      <c r="I17" s="24" t="inlineStr"/>
      <c r="J17" s="24" t="inlineStr">
        <is>
          <t>2023/01/12</t>
        </is>
      </c>
    </row>
    <row r="18">
      <c r="B18" s="24" t="inlineStr">
        <is>
          <t>appraisal_agency_qualification</t>
        </is>
      </c>
      <c r="C18" s="24" t="inlineStr">
        <is>
          <t>CORPORGID</t>
        </is>
      </c>
      <c r="D18" s="24" t="inlineStr">
        <is>
          <t>varchar(32)</t>
        </is>
      </c>
      <c r="E18" s="24" t="inlineStr">
        <is>
          <t>YES</t>
        </is>
      </c>
      <c r="F18" s="24" t="inlineStr">
        <is>
          <t>法人机构编号</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17.xml><?xml version="1.0" encoding="utf-8"?>
<worksheet xmlns="http://schemas.openxmlformats.org/spreadsheetml/2006/main">
  <sheetPr>
    <outlinePr summaryBelow="1" summaryRight="1"/>
    <pageSetUpPr/>
  </sheetPr>
  <dimension ref="A1:J11"/>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评级机构申请关联表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appraisal_apply_relative</t>
        </is>
      </c>
      <c r="C3" s="24" t="inlineStr">
        <is>
          <t>EVENTSERIALNO</t>
        </is>
      </c>
      <c r="D3" s="24" t="inlineStr">
        <is>
          <t>varchar(32)</t>
        </is>
      </c>
      <c r="E3" s="24" t="inlineStr">
        <is>
          <t>NO</t>
        </is>
      </c>
      <c r="F3" s="24" t="inlineStr">
        <is>
          <t>评估机构事件编号</t>
        </is>
      </c>
      <c r="G3" s="24" t="n"/>
      <c r="H3" s="24" t="n"/>
      <c r="I3" s="24" t="inlineStr"/>
      <c r="J3" s="24" t="inlineStr">
        <is>
          <t>2023/01/12</t>
        </is>
      </c>
    </row>
    <row r="4">
      <c r="B4" s="24" t="inlineStr">
        <is>
          <t>appraisal_apply_relative</t>
        </is>
      </c>
      <c r="C4" s="24" t="inlineStr">
        <is>
          <t>APPRAISALORGID</t>
        </is>
      </c>
      <c r="D4" s="24" t="inlineStr">
        <is>
          <t>varchar(32)</t>
        </is>
      </c>
      <c r="E4" s="24" t="inlineStr">
        <is>
          <t>YES</t>
        </is>
      </c>
      <c r="F4" s="24" t="inlineStr">
        <is>
          <t>评估机构编号</t>
        </is>
      </c>
      <c r="G4" s="24" t="n"/>
      <c r="H4" s="24" t="n"/>
      <c r="I4" s="24" t="inlineStr"/>
      <c r="J4" s="24" t="inlineStr">
        <is>
          <t>2023/01/12</t>
        </is>
      </c>
    </row>
    <row r="5">
      <c r="B5" s="24" t="inlineStr">
        <is>
          <t>appraisal_apply_relative</t>
        </is>
      </c>
      <c r="C5" s="24" t="inlineStr">
        <is>
          <t>REMARK</t>
        </is>
      </c>
      <c r="D5" s="24" t="inlineStr">
        <is>
          <t>varchar(1000)</t>
        </is>
      </c>
      <c r="E5" s="24" t="inlineStr">
        <is>
          <t>YES</t>
        </is>
      </c>
      <c r="F5" s="24" t="inlineStr">
        <is>
          <t>备注</t>
        </is>
      </c>
      <c r="G5" s="24" t="n"/>
      <c r="H5" s="24" t="n"/>
      <c r="I5" s="24" t="inlineStr"/>
      <c r="J5" s="24" t="inlineStr">
        <is>
          <t>2023/01/12</t>
        </is>
      </c>
    </row>
    <row r="6">
      <c r="B6" s="24" t="inlineStr">
        <is>
          <t>appraisal_apply_relative</t>
        </is>
      </c>
      <c r="C6" s="24" t="inlineStr">
        <is>
          <t>INPUTUSERID</t>
        </is>
      </c>
      <c r="D6" s="24" t="inlineStr">
        <is>
          <t>varchar(32)</t>
        </is>
      </c>
      <c r="E6" s="24" t="inlineStr">
        <is>
          <t>YES</t>
        </is>
      </c>
      <c r="F6" s="24" t="inlineStr">
        <is>
          <t>登记人</t>
        </is>
      </c>
      <c r="G6" s="24" t="n"/>
      <c r="H6" s="24" t="n"/>
      <c r="I6" s="24" t="inlineStr"/>
      <c r="J6" s="24" t="inlineStr">
        <is>
          <t>2023/01/12</t>
        </is>
      </c>
    </row>
    <row r="7">
      <c r="B7" s="24" t="inlineStr">
        <is>
          <t>appraisal_apply_relative</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appraisal_apply_relative</t>
        </is>
      </c>
      <c r="C8" s="24" t="inlineStr">
        <is>
          <t>INPUTDATE</t>
        </is>
      </c>
      <c r="D8" s="24" t="inlineStr">
        <is>
          <t>datetime</t>
        </is>
      </c>
      <c r="E8" s="24" t="inlineStr">
        <is>
          <t>YES</t>
        </is>
      </c>
      <c r="F8" s="24" t="inlineStr">
        <is>
          <t>登记日期</t>
        </is>
      </c>
      <c r="G8" s="24" t="n"/>
      <c r="H8" s="24" t="n"/>
      <c r="I8" s="24" t="inlineStr"/>
      <c r="J8" s="24" t="inlineStr">
        <is>
          <t>2023/01/12</t>
        </is>
      </c>
    </row>
    <row r="9">
      <c r="B9" s="24" t="inlineStr">
        <is>
          <t>appraisal_apply_relative</t>
        </is>
      </c>
      <c r="C9" s="24" t="inlineStr">
        <is>
          <t>UPDATEUSERID</t>
        </is>
      </c>
      <c r="D9" s="24" t="inlineStr">
        <is>
          <t>varchar(32)</t>
        </is>
      </c>
      <c r="E9" s="24" t="inlineStr">
        <is>
          <t>YES</t>
        </is>
      </c>
      <c r="F9" s="24" t="inlineStr">
        <is>
          <t>更新人</t>
        </is>
      </c>
      <c r="G9" s="24" t="n"/>
      <c r="H9" s="24" t="n"/>
      <c r="I9" s="24" t="inlineStr"/>
      <c r="J9" s="24" t="inlineStr">
        <is>
          <t>2023/01/12</t>
        </is>
      </c>
    </row>
    <row r="10">
      <c r="B10" s="24" t="inlineStr">
        <is>
          <t>appraisal_apply_relative</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appraisal_apply_relative</t>
        </is>
      </c>
      <c r="C11" s="24" t="inlineStr">
        <is>
          <t>UPDATEDATE</t>
        </is>
      </c>
      <c r="D11" s="24" t="inlineStr">
        <is>
          <t>datetime</t>
        </is>
      </c>
      <c r="E11" s="24" t="inlineStr">
        <is>
          <t>YES</t>
        </is>
      </c>
      <c r="F11" s="24" t="inlineStr">
        <is>
          <t>更新日期</t>
        </is>
      </c>
      <c r="G11" s="24" t="n"/>
      <c r="H11" s="24" t="n"/>
      <c r="I11" s="24" t="inlineStr"/>
      <c r="J11" s="24" t="inlineStr">
        <is>
          <t>2023/01/12</t>
        </is>
      </c>
    </row>
  </sheetData>
  <pageMargins left="0.75" right="0.75" top="1" bottom="1" header="0.5" footer="0.5"/>
  <pageSetup orientation="portrait" paperSize="1" horizontalDpi="300" verticalDpi="300"/>
</worksheet>
</file>

<file path=xl/worksheets/sheet18.xml><?xml version="1.0" encoding="utf-8"?>
<worksheet xmlns="http://schemas.openxmlformats.org/spreadsheetml/2006/main">
  <sheetPr>
    <outlinePr summaryBelow="1" summaryRight="1"/>
    <pageSetUpPr/>
  </sheetPr>
  <dimension ref="A1:J11"/>
  <sheetViews>
    <sheetView zoomScaleSheetLayoutView="60" workbookViewId="0">
      <selection activeCell="F11" sqref="F1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业务文件详情</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awe_bizfile_info</t>
        </is>
      </c>
      <c r="C3" s="24" t="inlineStr">
        <is>
          <t>FILENO</t>
        </is>
      </c>
      <c r="D3" s="24" t="inlineStr">
        <is>
          <t>varchar(32)</t>
        </is>
      </c>
      <c r="E3" s="24" t="inlineStr">
        <is>
          <t>NO</t>
        </is>
      </c>
      <c r="F3" s="24" t="inlineStr">
        <is>
          <t>文件编号;</t>
        </is>
      </c>
      <c r="G3" s="24" t="n"/>
      <c r="H3" s="24" t="n"/>
      <c r="I3" s="24" t="inlineStr"/>
      <c r="J3" s="24" t="inlineStr">
        <is>
          <t>2023/01/12</t>
        </is>
      </c>
    </row>
    <row r="4">
      <c r="B4" s="24" t="inlineStr">
        <is>
          <t>awe_bizfile_info</t>
        </is>
      </c>
      <c r="C4" s="24" t="inlineStr">
        <is>
          <t>FILEPATH</t>
        </is>
      </c>
      <c r="D4" s="24" t="inlineStr">
        <is>
          <t>varchar(500)</t>
        </is>
      </c>
      <c r="E4" s="24" t="inlineStr">
        <is>
          <t>YES</t>
        </is>
      </c>
      <c r="F4" s="24" t="inlineStr">
        <is>
          <t>文件路径;</t>
        </is>
      </c>
      <c r="G4" s="24" t="n"/>
      <c r="H4" s="24" t="n"/>
      <c r="I4" s="24" t="inlineStr"/>
      <c r="J4" s="24" t="inlineStr">
        <is>
          <t>2023/01/12</t>
        </is>
      </c>
    </row>
    <row r="5">
      <c r="B5" s="24" t="inlineStr">
        <is>
          <t>awe_bizfile_info</t>
        </is>
      </c>
      <c r="C5" s="24" t="inlineStr">
        <is>
          <t>FILEDESC</t>
        </is>
      </c>
      <c r="D5" s="24" t="inlineStr">
        <is>
          <t>varchar(500)</t>
        </is>
      </c>
      <c r="E5" s="24" t="inlineStr">
        <is>
          <t>YES</t>
        </is>
      </c>
      <c r="F5" s="24" t="inlineStr">
        <is>
          <t>文件描述;</t>
        </is>
      </c>
      <c r="G5" s="24" t="n"/>
      <c r="H5" s="24" t="n"/>
      <c r="I5" s="24" t="inlineStr"/>
      <c r="J5" s="24" t="inlineStr">
        <is>
          <t>2023/01/12</t>
        </is>
      </c>
    </row>
    <row r="6">
      <c r="B6" s="24" t="inlineStr">
        <is>
          <t>awe_bizfile_info</t>
        </is>
      </c>
      <c r="C6" s="24" t="inlineStr">
        <is>
          <t>CATALOGINFO</t>
        </is>
      </c>
      <c r="D6" s="24" t="inlineStr">
        <is>
          <t>varchar(500)</t>
        </is>
      </c>
      <c r="E6" s="24" t="inlineStr">
        <is>
          <t>YES</t>
        </is>
      </c>
      <c r="F6" s="24" t="inlineStr">
        <is>
          <t>目录详情;</t>
        </is>
      </c>
      <c r="G6" s="24" t="n"/>
      <c r="H6" s="24" t="n"/>
      <c r="I6" s="24" t="inlineStr"/>
      <c r="J6" s="24" t="inlineStr">
        <is>
          <t>2023/01/12</t>
        </is>
      </c>
    </row>
    <row r="7">
      <c r="B7" s="24" t="inlineStr">
        <is>
          <t>awe_bizfile_info</t>
        </is>
      </c>
      <c r="C7" s="24" t="inlineStr">
        <is>
          <t>ISTEMPORARY</t>
        </is>
      </c>
      <c r="D7" s="24" t="inlineStr">
        <is>
          <t>varchar(18)</t>
        </is>
      </c>
      <c r="E7" s="24" t="inlineStr">
        <is>
          <t>YES</t>
        </is>
      </c>
      <c r="F7" s="24" t="inlineStr">
        <is>
          <t>是否临时;</t>
        </is>
      </c>
      <c r="G7" s="24" t="n"/>
      <c r="H7" s="24" t="n"/>
      <c r="I7" s="24" t="inlineStr"/>
      <c r="J7" s="24" t="inlineStr">
        <is>
          <t>2023/01/12</t>
        </is>
      </c>
    </row>
    <row r="8">
      <c r="B8" s="24" t="inlineStr">
        <is>
          <t>awe_bizfile_info</t>
        </is>
      </c>
      <c r="C8" s="24" t="inlineStr">
        <is>
          <t>LATESTDOUSERID</t>
        </is>
      </c>
      <c r="D8" s="24" t="inlineStr">
        <is>
          <t>varchar(32)</t>
        </is>
      </c>
      <c r="E8" s="24" t="inlineStr">
        <is>
          <t>YES</t>
        </is>
      </c>
      <c r="F8" s="24" t="inlineStr">
        <is>
          <t>最新下载用户;</t>
        </is>
      </c>
      <c r="G8" s="24" t="n"/>
      <c r="H8" s="24" t="n"/>
      <c r="I8" s="24" t="inlineStr"/>
      <c r="J8" s="24" t="inlineStr">
        <is>
          <t>2023/01/12</t>
        </is>
      </c>
    </row>
    <row r="9">
      <c r="B9" s="24" t="inlineStr">
        <is>
          <t>awe_bizfile_info</t>
        </is>
      </c>
      <c r="C9" s="24" t="inlineStr">
        <is>
          <t>DOWNLOADCOUNT</t>
        </is>
      </c>
      <c r="D9" s="24" t="inlineStr">
        <is>
          <t>int</t>
        </is>
      </c>
      <c r="E9" s="24" t="inlineStr">
        <is>
          <t>YES</t>
        </is>
      </c>
      <c r="F9" s="24" t="inlineStr">
        <is>
          <t>下载次数;</t>
        </is>
      </c>
      <c r="G9" s="24" t="n"/>
      <c r="H9" s="24" t="n"/>
      <c r="I9" s="24" t="inlineStr"/>
      <c r="J9" s="24" t="inlineStr">
        <is>
          <t>2023/01/12</t>
        </is>
      </c>
    </row>
    <row r="10">
      <c r="B10" s="24" t="inlineStr">
        <is>
          <t>awe_bizfile_info</t>
        </is>
      </c>
      <c r="C10" s="24" t="inlineStr">
        <is>
          <t>CREATEUSER</t>
        </is>
      </c>
      <c r="D10" s="24" t="inlineStr">
        <is>
          <t>varchar(32)</t>
        </is>
      </c>
      <c r="E10" s="24" t="inlineStr">
        <is>
          <t>YES</t>
        </is>
      </c>
      <c r="F10" s="24" t="inlineStr">
        <is>
          <t>创建人;</t>
        </is>
      </c>
      <c r="G10" s="24" t="n"/>
      <c r="H10" s="24" t="n"/>
      <c r="I10" s="24" t="inlineStr"/>
      <c r="J10" s="24" t="inlineStr">
        <is>
          <t>2023/01/12</t>
        </is>
      </c>
    </row>
    <row r="11">
      <c r="B11" s="24" t="inlineStr">
        <is>
          <t>awe_bizfile_info</t>
        </is>
      </c>
      <c r="C11" s="24" t="inlineStr">
        <is>
          <t>CREATETIME</t>
        </is>
      </c>
      <c r="D11" s="24" t="inlineStr">
        <is>
          <t>varchar(32)</t>
        </is>
      </c>
      <c r="E11" s="24" t="inlineStr">
        <is>
          <t>YES</t>
        </is>
      </c>
      <c r="F11" s="53" t="inlineStr">
        <is>
          <t>创建时间</t>
        </is>
      </c>
      <c r="G11" s="24" t="n"/>
      <c r="H11" s="24" t="n"/>
      <c r="I11" s="24" t="inlineStr"/>
      <c r="J11" s="24" t="inlineStr">
        <is>
          <t>2023/01/12</t>
        </is>
      </c>
    </row>
  </sheetData>
  <pageMargins left="0.75" right="0.75" top="1" bottom="1" header="0.5" footer="0.5"/>
  <pageSetup orientation="portrait" paperSize="1" horizontalDpi="300" verticalDpi="300"/>
</worksheet>
</file>

<file path=xl/worksheets/sheet19.xml><?xml version="1.0" encoding="utf-8"?>
<worksheet xmlns="http://schemas.openxmlformats.org/spreadsheetml/2006/main">
  <sheetPr>
    <outlinePr summaryBelow="1" summaryRight="1"/>
    <pageSetUpPr/>
  </sheetPr>
  <dimension ref="A1:J17"/>
  <sheetViews>
    <sheetView zoomScaleSheetLayoutView="60" workbookViewId="0">
      <selection activeCell="C20" sqref="C20"/>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信息提示</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awe_dict_errmsg</t>
        </is>
      </c>
      <c r="C3" s="24" t="inlineStr">
        <is>
          <t>MSGNO</t>
        </is>
      </c>
      <c r="D3" s="24" t="inlineStr">
        <is>
          <t>varchar(32)</t>
        </is>
      </c>
      <c r="E3" s="24" t="inlineStr">
        <is>
          <t>NO</t>
        </is>
      </c>
      <c r="F3" s="24" t="inlineStr">
        <is>
          <t>错误编号</t>
        </is>
      </c>
      <c r="G3" s="24" t="n"/>
      <c r="H3" s="24" t="n"/>
      <c r="I3" s="24" t="inlineStr"/>
      <c r="J3" s="24" t="inlineStr">
        <is>
          <t>2023/01/12</t>
        </is>
      </c>
    </row>
    <row r="4">
      <c r="B4" s="24" t="inlineStr">
        <is>
          <t>awe_dict_errmsg</t>
        </is>
      </c>
      <c r="C4" s="24" t="inlineStr">
        <is>
          <t>MSGTYPE</t>
        </is>
      </c>
      <c r="D4" s="24" t="inlineStr">
        <is>
          <t>varchar(18)</t>
        </is>
      </c>
      <c r="E4" s="24" t="inlineStr">
        <is>
          <t>YES</t>
        </is>
      </c>
      <c r="F4" s="24" t="inlineStr">
        <is>
          <t>错误主题</t>
        </is>
      </c>
      <c r="G4" s="24" t="n"/>
      <c r="H4" s="24" t="n"/>
      <c r="I4" s="24" t="inlineStr"/>
      <c r="J4" s="24" t="inlineStr">
        <is>
          <t>2023/01/12</t>
        </is>
      </c>
    </row>
    <row r="5">
      <c r="B5" s="24" t="inlineStr">
        <is>
          <t>awe_dict_errmsg</t>
        </is>
      </c>
      <c r="C5" s="24" t="inlineStr">
        <is>
          <t>MSGTEXT</t>
        </is>
      </c>
      <c r="D5" s="24" t="inlineStr">
        <is>
          <t>varchar(500)</t>
        </is>
      </c>
      <c r="E5" s="24" t="inlineStr">
        <is>
          <t>YES</t>
        </is>
      </c>
      <c r="F5" s="24" t="inlineStr">
        <is>
          <t>报告内容</t>
        </is>
      </c>
      <c r="G5" s="24" t="n"/>
      <c r="H5" s="24" t="n"/>
      <c r="I5" s="24" t="inlineStr"/>
      <c r="J5" s="24" t="inlineStr">
        <is>
          <t>2023/01/12</t>
        </is>
      </c>
    </row>
    <row r="6">
      <c r="B6" s="24" t="inlineStr">
        <is>
          <t>awe_dict_errmsg</t>
        </is>
      </c>
      <c r="C6" s="24" t="inlineStr">
        <is>
          <t>ENTEXT</t>
        </is>
      </c>
      <c r="D6" s="24" t="inlineStr">
        <is>
          <t>varchar(500)</t>
        </is>
      </c>
      <c r="E6" s="24" t="inlineStr">
        <is>
          <t>YES</t>
        </is>
      </c>
      <c r="F6" s="24" t="inlineStr">
        <is>
          <t>图片地址</t>
        </is>
      </c>
      <c r="G6" s="24" t="n"/>
      <c r="H6" s="24" t="n"/>
      <c r="I6" s="24" t="inlineStr"/>
      <c r="J6" s="24" t="inlineStr">
        <is>
          <t>2023/01/12</t>
        </is>
      </c>
    </row>
    <row r="7">
      <c r="B7" s="24" t="inlineStr">
        <is>
          <t>awe_dict_errmsg</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awe_dict_errmsg</t>
        </is>
      </c>
      <c r="C8" s="24" t="inlineStr">
        <is>
          <t>INPUTUSERID</t>
        </is>
      </c>
      <c r="D8" s="24" t="inlineStr">
        <is>
          <t>varchar(32)</t>
        </is>
      </c>
      <c r="E8" s="24" t="inlineStr">
        <is>
          <t>YES</t>
        </is>
      </c>
      <c r="F8" s="24" t="inlineStr">
        <is>
          <t>登记人</t>
        </is>
      </c>
      <c r="G8" s="24" t="n"/>
      <c r="H8" s="24" t="n"/>
      <c r="I8" s="24" t="inlineStr"/>
      <c r="J8" s="24" t="inlineStr">
        <is>
          <t>2023/01/12</t>
        </is>
      </c>
    </row>
    <row r="9">
      <c r="B9" s="24" t="inlineStr">
        <is>
          <t>awe_dict_errmsg</t>
        </is>
      </c>
      <c r="C9" s="24" t="inlineStr">
        <is>
          <t>INPUTDATE</t>
        </is>
      </c>
      <c r="D9" s="24" t="inlineStr">
        <is>
          <t>datetime</t>
        </is>
      </c>
      <c r="E9" s="24" t="inlineStr">
        <is>
          <t>YES</t>
        </is>
      </c>
      <c r="F9" s="24" t="inlineStr">
        <is>
          <t>登记日期</t>
        </is>
      </c>
      <c r="G9" s="24" t="n"/>
      <c r="H9" s="24" t="n"/>
      <c r="I9" s="24" t="inlineStr"/>
      <c r="J9" s="24" t="inlineStr">
        <is>
          <t>2023/01/12</t>
        </is>
      </c>
    </row>
    <row r="10">
      <c r="B10" s="24" t="inlineStr">
        <is>
          <t>awe_dict_errmsg</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awe_dict_errmsg</t>
        </is>
      </c>
      <c r="C11" s="24" t="inlineStr">
        <is>
          <t>UPDATEUSERID</t>
        </is>
      </c>
      <c r="D11" s="24" t="inlineStr">
        <is>
          <t>varchar(32)</t>
        </is>
      </c>
      <c r="E11" s="24" t="inlineStr">
        <is>
          <t>YES</t>
        </is>
      </c>
      <c r="F11" s="24" t="inlineStr">
        <is>
          <t>更新人</t>
        </is>
      </c>
      <c r="G11" s="24" t="n"/>
      <c r="H11" s="24" t="n"/>
      <c r="I11" s="24" t="inlineStr"/>
      <c r="J11" s="24" t="inlineStr">
        <is>
          <t>2023/01/12</t>
        </is>
      </c>
    </row>
    <row r="12">
      <c r="B12" s="24" t="inlineStr">
        <is>
          <t>awe_dict_errmsg</t>
        </is>
      </c>
      <c r="C12" s="24" t="inlineStr">
        <is>
          <t>UPDATEDATE</t>
        </is>
      </c>
      <c r="D12" s="24" t="inlineStr">
        <is>
          <t>datetime</t>
        </is>
      </c>
      <c r="E12" s="24" t="inlineStr">
        <is>
          <t>YES</t>
        </is>
      </c>
      <c r="F12" s="24" t="inlineStr">
        <is>
          <t>更新时间</t>
        </is>
      </c>
      <c r="G12" s="24" t="n"/>
      <c r="H12" s="24" t="n"/>
      <c r="I12" s="24" t="inlineStr"/>
      <c r="J12" s="24" t="inlineStr">
        <is>
          <t>2023/01/12</t>
        </is>
      </c>
    </row>
    <row r="13">
      <c r="B13" s="24" t="inlineStr">
        <is>
          <t>awe_dict_errmsg</t>
        </is>
      </c>
      <c r="C13" s="24" t="inlineStr">
        <is>
          <t>INPUTTIME</t>
        </is>
      </c>
      <c r="D13" s="24" t="inlineStr">
        <is>
          <t>datetime</t>
        </is>
      </c>
      <c r="E13" s="24" t="inlineStr">
        <is>
          <t>YES</t>
        </is>
      </c>
      <c r="F13" s="24" t="inlineStr">
        <is>
          <t>录入时间</t>
        </is>
      </c>
      <c r="G13" s="24" t="n"/>
      <c r="H13" s="24" t="n"/>
      <c r="I13" s="24" t="inlineStr"/>
      <c r="J13" s="24" t="inlineStr">
        <is>
          <t>2023/01/12</t>
        </is>
      </c>
    </row>
    <row r="14">
      <c r="B14" s="24" t="inlineStr">
        <is>
          <t>awe_dict_errmsg</t>
        </is>
      </c>
      <c r="C14" s="24" t="inlineStr">
        <is>
          <t>UPDATETIME</t>
        </is>
      </c>
      <c r="D14" s="24" t="inlineStr">
        <is>
          <t>datetime</t>
        </is>
      </c>
      <c r="E14" s="24" t="inlineStr">
        <is>
          <t>YES</t>
        </is>
      </c>
      <c r="F14" s="24" t="inlineStr">
        <is>
          <t>更新时间</t>
        </is>
      </c>
      <c r="G14" s="24" t="n"/>
      <c r="H14" s="24" t="n"/>
      <c r="I14" s="24" t="inlineStr"/>
      <c r="J14" s="24" t="inlineStr">
        <is>
          <t>2023/01/12</t>
        </is>
      </c>
    </row>
    <row r="15">
      <c r="B15" s="24" t="inlineStr">
        <is>
          <t>awe_dict_errmsg</t>
        </is>
      </c>
      <c r="C15" s="24" t="inlineStr">
        <is>
          <t>INPUTUSER</t>
        </is>
      </c>
      <c r="D15" s="24" t="inlineStr">
        <is>
          <t>varchar(80)</t>
        </is>
      </c>
      <c r="E15" s="24" t="inlineStr">
        <is>
          <t>YES</t>
        </is>
      </c>
      <c r="F15" s="24" t="inlineStr">
        <is>
          <t>录入人</t>
        </is>
      </c>
      <c r="G15" s="24" t="n"/>
      <c r="H15" s="24" t="n"/>
      <c r="I15" s="24" t="inlineStr"/>
      <c r="J15" s="24" t="inlineStr">
        <is>
          <t>2023/01/12</t>
        </is>
      </c>
    </row>
    <row r="16">
      <c r="B16" s="24" t="inlineStr">
        <is>
          <t>awe_dict_errmsg</t>
        </is>
      </c>
      <c r="C16" s="24" t="inlineStr">
        <is>
          <t>INPUTORG</t>
        </is>
      </c>
      <c r="D16" s="24" t="inlineStr">
        <is>
          <t>varchar(80)</t>
        </is>
      </c>
      <c r="E16" s="24" t="inlineStr">
        <is>
          <t>YES</t>
        </is>
      </c>
      <c r="F16" s="24" t="inlineStr">
        <is>
          <t>录入机构</t>
        </is>
      </c>
      <c r="G16" s="24" t="n"/>
      <c r="H16" s="24" t="n"/>
      <c r="I16" s="24" t="inlineStr"/>
      <c r="J16" s="24" t="inlineStr">
        <is>
          <t>2023/01/12</t>
        </is>
      </c>
    </row>
    <row r="17">
      <c r="B17" s="24" t="inlineStr">
        <is>
          <t>awe_dict_errmsg</t>
        </is>
      </c>
      <c r="C17" s="24" t="inlineStr">
        <is>
          <t>UPDATEUSER</t>
        </is>
      </c>
      <c r="D17" s="24" t="inlineStr">
        <is>
          <t>varchar(80)</t>
        </is>
      </c>
      <c r="E17" s="24" t="inlineStr">
        <is>
          <t>YES</t>
        </is>
      </c>
      <c r="F17" s="24" t="inlineStr">
        <is>
          <t>更新人</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20.xml><?xml version="1.0" encoding="utf-8"?>
<worksheet xmlns="http://schemas.openxmlformats.org/spreadsheetml/2006/main">
  <sheetPr>
    <outlinePr summaryBelow="1" summaryRight="1"/>
    <pageSetUpPr/>
  </sheetPr>
  <dimension ref="A1:J25"/>
  <sheetViews>
    <sheetView zoomScaleSheetLayoutView="60" workbookViewId="0">
      <selection activeCell="F23" sqref="F2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OW显示模板场景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awe_do_catalog</t>
        </is>
      </c>
      <c r="C3" s="24" t="inlineStr">
        <is>
          <t>DONO</t>
        </is>
      </c>
      <c r="D3" s="24" t="inlineStr">
        <is>
          <t>varchar(80)</t>
        </is>
      </c>
      <c r="E3" s="24" t="inlineStr">
        <is>
          <t>NO</t>
        </is>
      </c>
      <c r="F3" s="24" t="inlineStr">
        <is>
          <t>显示模板编号</t>
        </is>
      </c>
      <c r="G3" s="24" t="n"/>
      <c r="H3" s="24" t="n"/>
      <c r="I3" s="24" t="inlineStr"/>
      <c r="J3" s="24" t="inlineStr">
        <is>
          <t>2023/01/12</t>
        </is>
      </c>
    </row>
    <row r="4">
      <c r="B4" s="24" t="inlineStr">
        <is>
          <t>awe_do_catalog</t>
        </is>
      </c>
      <c r="C4" s="24" t="inlineStr">
        <is>
          <t>DONAME</t>
        </is>
      </c>
      <c r="D4" s="24" t="inlineStr">
        <is>
          <t>varchar(80)</t>
        </is>
      </c>
      <c r="E4" s="24" t="inlineStr">
        <is>
          <t>YES</t>
        </is>
      </c>
      <c r="F4" s="24" t="inlineStr">
        <is>
          <t>名称</t>
        </is>
      </c>
      <c r="G4" s="24" t="n"/>
      <c r="H4" s="24" t="n"/>
      <c r="I4" s="24" t="inlineStr"/>
      <c r="J4" s="24" t="inlineStr">
        <is>
          <t>2023/01/12</t>
        </is>
      </c>
    </row>
    <row r="5">
      <c r="B5" s="24" t="inlineStr">
        <is>
          <t>awe_do_catalog</t>
        </is>
      </c>
      <c r="C5" s="24" t="inlineStr">
        <is>
          <t>DODESCRIBE</t>
        </is>
      </c>
      <c r="D5" s="24" t="inlineStr">
        <is>
          <t>varchar(500)</t>
        </is>
      </c>
      <c r="E5" s="24" t="inlineStr">
        <is>
          <t>YES</t>
        </is>
      </c>
      <c r="F5" s="24" t="inlineStr">
        <is>
          <t>描述</t>
        </is>
      </c>
      <c r="G5" s="24" t="n"/>
      <c r="H5" s="24" t="n"/>
      <c r="I5" s="24" t="inlineStr"/>
      <c r="J5" s="24" t="inlineStr">
        <is>
          <t>2023/01/12</t>
        </is>
      </c>
    </row>
    <row r="6">
      <c r="B6" s="24" t="inlineStr">
        <is>
          <t>awe_do_catalog</t>
        </is>
      </c>
      <c r="C6" s="24" t="inlineStr">
        <is>
          <t>DOTYPE</t>
        </is>
      </c>
      <c r="D6" s="24" t="inlineStr">
        <is>
          <t>varchar(18)</t>
        </is>
      </c>
      <c r="E6" s="24" t="inlineStr">
        <is>
          <t>YES</t>
        </is>
      </c>
      <c r="F6" s="24" t="inlineStr">
        <is>
          <t>用途</t>
        </is>
      </c>
      <c r="G6" s="24" t="n"/>
      <c r="H6" s="24" t="n"/>
      <c r="I6" s="24" t="inlineStr"/>
      <c r="J6" s="24" t="inlineStr">
        <is>
          <t>2023/01/12</t>
        </is>
      </c>
    </row>
    <row r="7">
      <c r="B7" s="24" t="inlineStr">
        <is>
          <t>awe_do_catalog</t>
        </is>
      </c>
      <c r="C7" s="24" t="inlineStr">
        <is>
          <t>DOCLASS</t>
        </is>
      </c>
      <c r="D7" s="24" t="inlineStr">
        <is>
          <t>varchar(18)</t>
        </is>
      </c>
      <c r="E7" s="24" t="inlineStr">
        <is>
          <t>YES</t>
        </is>
      </c>
      <c r="F7" s="24" t="inlineStr">
        <is>
          <t>分类</t>
        </is>
      </c>
      <c r="G7" s="24" t="n"/>
      <c r="H7" s="24" t="n"/>
      <c r="I7" s="24" t="inlineStr"/>
      <c r="J7" s="24" t="inlineStr">
        <is>
          <t>2023/01/12</t>
        </is>
      </c>
    </row>
    <row r="8">
      <c r="B8" s="24" t="inlineStr">
        <is>
          <t>awe_do_catalog</t>
        </is>
      </c>
      <c r="C8" s="24" t="inlineStr">
        <is>
          <t>ISINUSE</t>
        </is>
      </c>
      <c r="D8" s="24" t="inlineStr">
        <is>
          <t>varchar(6)</t>
        </is>
      </c>
      <c r="E8" s="24" t="inlineStr">
        <is>
          <t>YES</t>
        </is>
      </c>
      <c r="F8" s="24" t="inlineStr">
        <is>
          <t>是否有效</t>
        </is>
      </c>
      <c r="G8" s="24" t="n"/>
      <c r="H8" s="24" t="n"/>
      <c r="I8" s="24" t="inlineStr"/>
      <c r="J8" s="24" t="inlineStr">
        <is>
          <t>2023/01/12</t>
        </is>
      </c>
    </row>
    <row r="9">
      <c r="B9" s="24" t="inlineStr">
        <is>
          <t>awe_do_catalog</t>
        </is>
      </c>
      <c r="C9" s="24" t="inlineStr">
        <is>
          <t>COLCOUNT</t>
        </is>
      </c>
      <c r="D9" s="24" t="inlineStr">
        <is>
          <t>char(1)</t>
        </is>
      </c>
      <c r="E9" s="24" t="inlineStr">
        <is>
          <t>YES</t>
        </is>
      </c>
      <c r="F9" s="24" t="inlineStr">
        <is>
          <t>分栏数</t>
        </is>
      </c>
      <c r="G9" s="24" t="n"/>
      <c r="H9" s="24" t="n"/>
      <c r="I9" s="24" t="inlineStr"/>
      <c r="J9" s="24" t="inlineStr">
        <is>
          <t>2023/01/12</t>
        </is>
      </c>
    </row>
    <row r="10">
      <c r="B10" s="24" t="inlineStr">
        <is>
          <t>awe_do_catalog</t>
        </is>
      </c>
      <c r="C10" s="24" t="inlineStr">
        <is>
          <t>MODEID</t>
        </is>
      </c>
      <c r="D10" s="24" t="inlineStr">
        <is>
          <t>varchar(32)</t>
        </is>
      </c>
      <c r="E10" s="24" t="inlineStr">
        <is>
          <t>YES</t>
        </is>
      </c>
      <c r="F10" s="24" t="inlineStr">
        <is>
          <t>风格编号</t>
        </is>
      </c>
      <c r="G10" s="24" t="n"/>
      <c r="H10" s="24" t="n"/>
      <c r="I10" s="24" t="inlineStr"/>
      <c r="J10" s="24" t="inlineStr">
        <is>
          <t>2023/01/12</t>
        </is>
      </c>
    </row>
    <row r="11">
      <c r="B11" s="24" t="inlineStr">
        <is>
          <t>awe_do_catalog</t>
        </is>
      </c>
      <c r="C11" s="24" t="inlineStr">
        <is>
          <t>JBOCLASS</t>
        </is>
      </c>
      <c r="D11" s="24" t="inlineStr">
        <is>
          <t>varchar(500)</t>
        </is>
      </c>
      <c r="E11" s="24" t="inlineStr">
        <is>
          <t>YES</t>
        </is>
      </c>
      <c r="F11" s="24" t="inlineStr">
        <is>
          <t>JBO定义名</t>
        </is>
      </c>
      <c r="G11" s="24" t="n"/>
      <c r="H11" s="24" t="n"/>
      <c r="I11" s="24" t="inlineStr"/>
      <c r="J11" s="24" t="inlineStr">
        <is>
          <t>2023/01/12</t>
        </is>
      </c>
    </row>
    <row r="12">
      <c r="B12" s="24" t="inlineStr">
        <is>
          <t>awe_do_catalog</t>
        </is>
      </c>
      <c r="C12" s="24" t="inlineStr">
        <is>
          <t>JBOFROM</t>
        </is>
      </c>
      <c r="D12" s="24" t="inlineStr">
        <is>
          <t>varchar(4000)</t>
        </is>
      </c>
      <c r="E12" s="24" t="inlineStr">
        <is>
          <t>YES</t>
        </is>
      </c>
      <c r="F12" s="24" t="inlineStr">
        <is>
          <t>from子句</t>
        </is>
      </c>
      <c r="G12" s="24" t="n"/>
      <c r="H12" s="24" t="n"/>
      <c r="I12" s="24" t="inlineStr"/>
      <c r="J12" s="24" t="inlineStr">
        <is>
          <t>2023/01/12</t>
        </is>
      </c>
    </row>
    <row r="13">
      <c r="B13" s="24" t="inlineStr">
        <is>
          <t>awe_do_catalog</t>
        </is>
      </c>
      <c r="C13" s="24" t="inlineStr">
        <is>
          <t>JBOWHERE</t>
        </is>
      </c>
      <c r="D13" s="24" t="inlineStr">
        <is>
          <t>varchar(4000)</t>
        </is>
      </c>
      <c r="E13" s="24" t="inlineStr">
        <is>
          <t>YES</t>
        </is>
      </c>
      <c r="F13" s="24" t="inlineStr">
        <is>
          <t>查询条件</t>
        </is>
      </c>
      <c r="G13" s="24" t="n"/>
      <c r="H13" s="24" t="n"/>
      <c r="I13" s="24" t="inlineStr"/>
      <c r="J13" s="24" t="inlineStr">
        <is>
          <t>2023/01/12</t>
        </is>
      </c>
    </row>
    <row r="14">
      <c r="B14" s="24" t="inlineStr">
        <is>
          <t>awe_do_catalog</t>
        </is>
      </c>
      <c r="C14" s="24" t="inlineStr">
        <is>
          <t>JBOGROUP</t>
        </is>
      </c>
      <c r="D14" s="24" t="inlineStr">
        <is>
          <t>varchar(1000)</t>
        </is>
      </c>
      <c r="E14" s="24" t="inlineStr">
        <is>
          <t>YES</t>
        </is>
      </c>
      <c r="F14" s="24" t="inlineStr">
        <is>
          <t>分组</t>
        </is>
      </c>
      <c r="G14" s="24" t="n"/>
      <c r="H14" s="24" t="n"/>
      <c r="I14" s="24" t="inlineStr"/>
      <c r="J14" s="24" t="inlineStr">
        <is>
          <t>2023/01/12</t>
        </is>
      </c>
    </row>
    <row r="15">
      <c r="B15" s="24" t="inlineStr">
        <is>
          <t>awe_do_catalog</t>
        </is>
      </c>
      <c r="C15" s="24" t="inlineStr">
        <is>
          <t>JBOORDER</t>
        </is>
      </c>
      <c r="D15" s="24" t="inlineStr">
        <is>
          <t>varchar(1000)</t>
        </is>
      </c>
      <c r="E15" s="24" t="inlineStr">
        <is>
          <t>YES</t>
        </is>
      </c>
      <c r="F15" s="24" t="inlineStr">
        <is>
          <t>排序</t>
        </is>
      </c>
      <c r="G15" s="24" t="n"/>
      <c r="H15" s="24" t="n"/>
      <c r="I15" s="24" t="inlineStr"/>
      <c r="J15" s="24" t="inlineStr">
        <is>
          <t>2023/01/12</t>
        </is>
      </c>
    </row>
    <row r="16">
      <c r="B16" s="24" t="inlineStr">
        <is>
          <t>awe_do_catalog</t>
        </is>
      </c>
      <c r="C16" s="24" t="inlineStr">
        <is>
          <t>BUSINESSPROCESS</t>
        </is>
      </c>
      <c r="D16" s="24" t="inlineStr">
        <is>
          <t>varchar(500)</t>
        </is>
      </c>
      <c r="E16" s="24" t="inlineStr">
        <is>
          <t>YES</t>
        </is>
      </c>
      <c r="F16" s="24" t="inlineStr">
        <is>
          <t>业务模型</t>
        </is>
      </c>
      <c r="G16" s="24" t="n"/>
      <c r="H16" s="24" t="n"/>
      <c r="I16" s="24" t="inlineStr"/>
      <c r="J16" s="24" t="inlineStr">
        <is>
          <t>2023/01/12</t>
        </is>
      </c>
    </row>
    <row r="17">
      <c r="B17" s="24" t="inlineStr">
        <is>
          <t>awe_do_catalog</t>
        </is>
      </c>
      <c r="C17" s="24" t="inlineStr">
        <is>
          <t>EXPORTFLAG</t>
        </is>
      </c>
      <c r="D17" s="24" t="inlineStr">
        <is>
          <t>char(1)</t>
        </is>
      </c>
      <c r="E17" s="24" t="inlineStr">
        <is>
          <t>YES</t>
        </is>
      </c>
      <c r="F17" s="24" t="inlineStr">
        <is>
          <t>导出标志</t>
        </is>
      </c>
      <c r="G17" s="24" t="n"/>
      <c r="H17" s="24" t="n"/>
      <c r="I17" s="24" t="inlineStr"/>
      <c r="J17" s="24" t="inlineStr">
        <is>
          <t>2023/01/12</t>
        </is>
      </c>
    </row>
    <row r="18">
      <c r="B18" s="24" t="inlineStr">
        <is>
          <t>awe_do_catalog</t>
        </is>
      </c>
      <c r="C18" s="24" t="inlineStr">
        <is>
          <t>INPUTUSER</t>
        </is>
      </c>
      <c r="D18" s="24" t="inlineStr">
        <is>
          <t>varchar(32)</t>
        </is>
      </c>
      <c r="E18" s="24" t="inlineStr">
        <is>
          <t>YES</t>
        </is>
      </c>
      <c r="F18" s="24" t="inlineStr">
        <is>
          <t>登记人</t>
        </is>
      </c>
      <c r="G18" s="24" t="n"/>
      <c r="H18" s="24" t="n"/>
      <c r="I18" s="24" t="inlineStr"/>
      <c r="J18" s="24" t="inlineStr">
        <is>
          <t>2023/01/12</t>
        </is>
      </c>
    </row>
    <row r="19">
      <c r="B19" s="24" t="inlineStr">
        <is>
          <t>awe_do_catalog</t>
        </is>
      </c>
      <c r="C19" s="24" t="inlineStr">
        <is>
          <t>INPUTTIME</t>
        </is>
      </c>
      <c r="D19" s="24" t="inlineStr">
        <is>
          <t>datetime</t>
        </is>
      </c>
      <c r="E19" s="24" t="inlineStr">
        <is>
          <t>YES</t>
        </is>
      </c>
      <c r="F19" s="24" t="inlineStr">
        <is>
          <t>登记时间</t>
        </is>
      </c>
      <c r="G19" s="24" t="n"/>
      <c r="H19" s="24" t="n"/>
      <c r="I19" s="24" t="inlineStr"/>
      <c r="J19" s="24" t="inlineStr">
        <is>
          <t>2023/01/12</t>
        </is>
      </c>
    </row>
    <row r="20">
      <c r="B20" s="24" t="inlineStr">
        <is>
          <t>awe_do_catalog</t>
        </is>
      </c>
      <c r="C20" s="24" t="inlineStr">
        <is>
          <t>UPDATEUSER</t>
        </is>
      </c>
      <c r="D20" s="24" t="inlineStr">
        <is>
          <t>varchar(32)</t>
        </is>
      </c>
      <c r="E20" s="24" t="inlineStr">
        <is>
          <t>YES</t>
        </is>
      </c>
      <c r="F20" s="24" t="inlineStr">
        <is>
          <t>更新人</t>
        </is>
      </c>
      <c r="G20" s="24" t="n"/>
      <c r="H20" s="24" t="n"/>
      <c r="I20" s="24" t="inlineStr"/>
      <c r="J20" s="24" t="inlineStr">
        <is>
          <t>2023/01/12</t>
        </is>
      </c>
    </row>
    <row r="21">
      <c r="B21" s="24" t="inlineStr">
        <is>
          <t>awe_do_catalog</t>
        </is>
      </c>
      <c r="C21" s="24" t="inlineStr">
        <is>
          <t>UPDATETIME</t>
        </is>
      </c>
      <c r="D21" s="24" t="inlineStr">
        <is>
          <t>datetime</t>
        </is>
      </c>
      <c r="E21" s="24" t="inlineStr">
        <is>
          <t>YES</t>
        </is>
      </c>
      <c r="F21" s="24" t="inlineStr">
        <is>
          <t>更新时间</t>
        </is>
      </c>
      <c r="G21" s="24" t="n"/>
      <c r="H21" s="24" t="n"/>
      <c r="I21" s="24" t="inlineStr"/>
      <c r="J21" s="24" t="inlineStr">
        <is>
          <t>2023/01/12</t>
        </is>
      </c>
    </row>
    <row r="22">
      <c r="B22" s="24" t="inlineStr">
        <is>
          <t>awe_do_catalog</t>
        </is>
      </c>
      <c r="C22" s="24" t="inlineStr">
        <is>
          <t>REMARK</t>
        </is>
      </c>
      <c r="D22" s="24" t="inlineStr">
        <is>
          <t>varchar(500)</t>
        </is>
      </c>
      <c r="E22" s="24" t="inlineStr">
        <is>
          <t>YES</t>
        </is>
      </c>
      <c r="F22" s="24" t="inlineStr">
        <is>
          <t>备注</t>
        </is>
      </c>
      <c r="G22" s="24" t="n"/>
      <c r="H22" s="24" t="n"/>
      <c r="I22" s="24" t="inlineStr"/>
      <c r="J22" s="24" t="inlineStr">
        <is>
          <t>2023/01/12</t>
        </is>
      </c>
    </row>
    <row r="23">
      <c r="B23" s="24" t="inlineStr">
        <is>
          <t>awe_do_catalog</t>
        </is>
      </c>
      <c r="C23" s="24" t="inlineStr">
        <is>
          <t>ISVALIDATE</t>
        </is>
      </c>
      <c r="D23" s="24" t="inlineStr">
        <is>
          <t>char(1)</t>
        </is>
      </c>
      <c r="E23" s="24" t="inlineStr">
        <is>
          <t>YES</t>
        </is>
      </c>
      <c r="F23" s="24" t="inlineStr">
        <is>
          <t>是否启用校验</t>
        </is>
      </c>
      <c r="G23" s="24" t="n"/>
      <c r="H23" s="24" t="n"/>
      <c r="I23" s="24" t="inlineStr"/>
      <c r="J23" s="24" t="inlineStr">
        <is>
          <t>2023/01/12</t>
        </is>
      </c>
    </row>
    <row r="24">
      <c r="B24" s="24" t="inlineStr">
        <is>
          <t>awe_do_catalog</t>
        </is>
      </c>
      <c r="C24" s="24" t="inlineStr">
        <is>
          <t>PARENT</t>
        </is>
      </c>
      <c r="D24" s="24" t="inlineStr">
        <is>
          <t>varchar(32)</t>
        </is>
      </c>
      <c r="E24" s="24" t="inlineStr">
        <is>
          <t>YES</t>
        </is>
      </c>
      <c r="F24" s="24" t="inlineStr">
        <is>
          <t>父模板</t>
        </is>
      </c>
      <c r="G24" s="24" t="n"/>
      <c r="H24" s="24" t="n"/>
      <c r="I24" s="24" t="inlineStr"/>
      <c r="J24" s="24" t="inlineStr">
        <is>
          <t>2023/01/12</t>
        </is>
      </c>
    </row>
    <row r="25">
      <c r="B25" s="24" t="inlineStr">
        <is>
          <t>awe_do_catalog</t>
        </is>
      </c>
      <c r="C25" s="24" t="inlineStr">
        <is>
          <t>ISOSFSERVICE</t>
        </is>
      </c>
      <c r="D25" s="24" t="inlineStr">
        <is>
          <t>varchar(6)</t>
        </is>
      </c>
      <c r="E25" s="24" t="inlineStr">
        <is>
          <t>YES</t>
        </is>
      </c>
      <c r="F25" s="24" t="inlineStr">
        <is>
          <t>是否是OSF服务</t>
        </is>
      </c>
      <c r="G25" s="24" t="n"/>
      <c r="H25" s="24" t="n"/>
      <c r="I25" s="24" t="inlineStr"/>
      <c r="J25" s="24" t="inlineStr">
        <is>
          <t>2023/01/12</t>
        </is>
      </c>
    </row>
  </sheetData>
  <pageMargins left="0.75" right="0.75" top="1" bottom="1" header="0.5" footer="0.5"/>
  <pageSetup orientation="portrait" paperSize="1" horizontalDpi="300" verticalDpi="300"/>
</worksheet>
</file>

<file path=xl/worksheets/sheet21.xml><?xml version="1.0" encoding="utf-8"?>
<worksheet xmlns="http://schemas.openxmlformats.org/spreadsheetml/2006/main">
  <sheetPr>
    <outlinePr summaryBelow="1" summaryRight="1"/>
    <pageSetUpPr/>
  </sheetPr>
  <dimension ref="A1:J18"/>
  <sheetViews>
    <sheetView zoomScaleSheetLayoutView="60" workbookViewId="0">
      <selection activeCell="F18" sqref="F18"/>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DW字段验证规则</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awe_do_col_validate</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awe_do_col_validate</t>
        </is>
      </c>
      <c r="C4" s="24" t="inlineStr">
        <is>
          <t>DONO</t>
        </is>
      </c>
      <c r="D4" s="24" t="inlineStr">
        <is>
          <t>varchar(80)</t>
        </is>
      </c>
      <c r="E4" s="24" t="inlineStr">
        <is>
          <t>YES</t>
        </is>
      </c>
      <c r="F4" s="24" t="inlineStr">
        <is>
          <t>显示模板编号</t>
        </is>
      </c>
      <c r="G4" s="24" t="n"/>
      <c r="H4" s="24" t="n"/>
      <c r="I4" s="24" t="inlineStr"/>
      <c r="J4" s="24" t="inlineStr">
        <is>
          <t>2023/01/12</t>
        </is>
      </c>
    </row>
    <row r="5">
      <c r="B5" s="24" t="inlineStr">
        <is>
          <t>awe_do_col_validate</t>
        </is>
      </c>
      <c r="C5" s="24" t="inlineStr">
        <is>
          <t>COLNAME</t>
        </is>
      </c>
      <c r="D5" s="24" t="inlineStr">
        <is>
          <t>varchar(80)</t>
        </is>
      </c>
      <c r="E5" s="24" t="inlineStr">
        <is>
          <t>YES</t>
        </is>
      </c>
      <c r="F5" s="24" t="inlineStr">
        <is>
          <t>jbo属性名</t>
        </is>
      </c>
      <c r="G5" s="24" t="n"/>
      <c r="H5" s="24" t="n"/>
      <c r="I5" s="24" t="inlineStr"/>
      <c r="J5" s="24" t="inlineStr">
        <is>
          <t>2023/01/12</t>
        </is>
      </c>
    </row>
    <row r="6">
      <c r="B6" s="24" t="inlineStr">
        <is>
          <t>awe_do_col_validate</t>
        </is>
      </c>
      <c r="C6" s="24" t="inlineStr">
        <is>
          <t>VALIDATORNAME</t>
        </is>
      </c>
      <c r="D6" s="24" t="inlineStr">
        <is>
          <t>varchar(80)</t>
        </is>
      </c>
      <c r="E6" s="24" t="inlineStr">
        <is>
          <t>YES</t>
        </is>
      </c>
      <c r="F6" s="24" t="inlineStr">
        <is>
          <t>对应验证规则</t>
        </is>
      </c>
      <c r="G6" s="24" t="n"/>
      <c r="H6" s="24" t="n"/>
      <c r="I6" s="24" t="inlineStr"/>
      <c r="J6" s="24" t="inlineStr">
        <is>
          <t>2023/01/12</t>
        </is>
      </c>
    </row>
    <row r="7">
      <c r="B7" s="24" t="inlineStr">
        <is>
          <t>awe_do_col_validate</t>
        </is>
      </c>
      <c r="C7" s="24" t="inlineStr">
        <is>
          <t>PARAM1</t>
        </is>
      </c>
      <c r="D7" s="24" t="inlineStr">
        <is>
          <t>varchar(4000)</t>
        </is>
      </c>
      <c r="E7" s="24" t="inlineStr">
        <is>
          <t>YES</t>
        </is>
      </c>
      <c r="F7" s="24" t="inlineStr">
        <is>
          <t>参数</t>
        </is>
      </c>
      <c r="G7" s="24" t="n"/>
      <c r="H7" s="24" t="n"/>
      <c r="I7" s="24" t="inlineStr"/>
      <c r="J7" s="24" t="inlineStr">
        <is>
          <t>2023/01/12</t>
        </is>
      </c>
    </row>
    <row r="8">
      <c r="B8" s="24" t="inlineStr">
        <is>
          <t>awe_do_col_validate</t>
        </is>
      </c>
      <c r="C8" s="24" t="inlineStr">
        <is>
          <t>PARAM2</t>
        </is>
      </c>
      <c r="D8" s="24" t="inlineStr">
        <is>
          <t>varchar(500)</t>
        </is>
      </c>
      <c r="E8" s="24" t="inlineStr">
        <is>
          <t>YES</t>
        </is>
      </c>
      <c r="F8" s="24" t="inlineStr">
        <is>
          <t>参数</t>
        </is>
      </c>
      <c r="G8" s="24" t="n"/>
      <c r="H8" s="24" t="n"/>
      <c r="I8" s="24" t="inlineStr"/>
      <c r="J8" s="24" t="inlineStr">
        <is>
          <t>2023/01/12</t>
        </is>
      </c>
    </row>
    <row r="9">
      <c r="B9" s="24" t="inlineStr">
        <is>
          <t>awe_do_col_validate</t>
        </is>
      </c>
      <c r="C9" s="24" t="inlineStr">
        <is>
          <t>PARAM3</t>
        </is>
      </c>
      <c r="D9" s="24" t="inlineStr">
        <is>
          <t>varchar(500)</t>
        </is>
      </c>
      <c r="E9" s="24" t="inlineStr">
        <is>
          <t>YES</t>
        </is>
      </c>
      <c r="F9" s="24" t="inlineStr">
        <is>
          <t>参数</t>
        </is>
      </c>
      <c r="G9" s="24" t="n"/>
      <c r="H9" s="24" t="n"/>
      <c r="I9" s="24" t="inlineStr"/>
      <c r="J9" s="24" t="inlineStr">
        <is>
          <t>2023/01/12</t>
        </is>
      </c>
    </row>
    <row r="10">
      <c r="B10" s="24" t="inlineStr">
        <is>
          <t>awe_do_col_validate</t>
        </is>
      </c>
      <c r="C10" s="24" t="inlineStr">
        <is>
          <t>PARAM4</t>
        </is>
      </c>
      <c r="D10" s="24" t="inlineStr">
        <is>
          <t>varchar(500)</t>
        </is>
      </c>
      <c r="E10" s="24" t="inlineStr">
        <is>
          <t>YES</t>
        </is>
      </c>
      <c r="F10" s="24" t="inlineStr">
        <is>
          <t>参数</t>
        </is>
      </c>
      <c r="G10" s="24" t="n"/>
      <c r="H10" s="24" t="n"/>
      <c r="I10" s="24" t="inlineStr"/>
      <c r="J10" s="24" t="inlineStr">
        <is>
          <t>2023/01/12</t>
        </is>
      </c>
    </row>
    <row r="11">
      <c r="B11" s="24" t="inlineStr">
        <is>
          <t>awe_do_col_validate</t>
        </is>
      </c>
      <c r="C11" s="24" t="inlineStr">
        <is>
          <t>PARAM5</t>
        </is>
      </c>
      <c r="D11" s="24" t="inlineStr">
        <is>
          <t>varchar(32)</t>
        </is>
      </c>
      <c r="E11" s="24" t="inlineStr">
        <is>
          <t>YES</t>
        </is>
      </c>
      <c r="F11" s="24" t="inlineStr">
        <is>
          <t>参数</t>
        </is>
      </c>
      <c r="G11" s="24" t="n"/>
      <c r="H11" s="24" t="n"/>
      <c r="I11" s="24" t="inlineStr"/>
      <c r="J11" s="24" t="inlineStr">
        <is>
          <t>2023/01/12</t>
        </is>
      </c>
    </row>
    <row r="12">
      <c r="B12" s="24" t="inlineStr">
        <is>
          <t>awe_do_col_validate</t>
        </is>
      </c>
      <c r="C12" s="24" t="inlineStr">
        <is>
          <t>PARAM6</t>
        </is>
      </c>
      <c r="D12" s="24" t="inlineStr">
        <is>
          <t>varchar(32)</t>
        </is>
      </c>
      <c r="E12" s="24" t="inlineStr">
        <is>
          <t>YES</t>
        </is>
      </c>
      <c r="F12" s="24" t="inlineStr">
        <is>
          <t>参数</t>
        </is>
      </c>
      <c r="G12" s="24" t="n"/>
      <c r="H12" s="24" t="n"/>
      <c r="I12" s="24" t="inlineStr"/>
      <c r="J12" s="24" t="inlineStr">
        <is>
          <t>2023/01/12</t>
        </is>
      </c>
    </row>
    <row r="13">
      <c r="B13" s="24" t="inlineStr">
        <is>
          <t>awe_do_col_validate</t>
        </is>
      </c>
      <c r="C13" s="24" t="inlineStr">
        <is>
          <t>PARAM7</t>
        </is>
      </c>
      <c r="D13" s="24" t="inlineStr">
        <is>
          <t>varchar(32)</t>
        </is>
      </c>
      <c r="E13" s="24" t="inlineStr">
        <is>
          <t>YES</t>
        </is>
      </c>
      <c r="F13" s="24" t="inlineStr">
        <is>
          <t>参数</t>
        </is>
      </c>
      <c r="G13" s="24" t="n"/>
      <c r="H13" s="24" t="n"/>
      <c r="I13" s="24" t="inlineStr"/>
      <c r="J13" s="24" t="inlineStr">
        <is>
          <t>2023/01/12</t>
        </is>
      </c>
    </row>
    <row r="14">
      <c r="B14" s="24" t="inlineStr">
        <is>
          <t>awe_do_col_validate</t>
        </is>
      </c>
      <c r="C14" s="24" t="inlineStr">
        <is>
          <t>PARAM8</t>
        </is>
      </c>
      <c r="D14" s="24" t="inlineStr">
        <is>
          <t>varchar(32)</t>
        </is>
      </c>
      <c r="E14" s="24" t="inlineStr">
        <is>
          <t>YES</t>
        </is>
      </c>
      <c r="F14" s="24" t="inlineStr">
        <is>
          <t>参数</t>
        </is>
      </c>
      <c r="G14" s="24" t="n"/>
      <c r="H14" s="24" t="n"/>
      <c r="I14" s="24" t="inlineStr"/>
      <c r="J14" s="24" t="inlineStr">
        <is>
          <t>2023/01/12</t>
        </is>
      </c>
    </row>
    <row r="15">
      <c r="B15" s="24" t="inlineStr">
        <is>
          <t>awe_do_col_validate</t>
        </is>
      </c>
      <c r="C15" s="24" t="inlineStr">
        <is>
          <t>PARAM9</t>
        </is>
      </c>
      <c r="D15" s="24" t="inlineStr">
        <is>
          <t>varchar(32)</t>
        </is>
      </c>
      <c r="E15" s="24" t="inlineStr">
        <is>
          <t>YES</t>
        </is>
      </c>
      <c r="F15" s="24" t="inlineStr">
        <is>
          <t>参数</t>
        </is>
      </c>
      <c r="G15" s="24" t="n"/>
      <c r="H15" s="24" t="n"/>
      <c r="I15" s="24" t="inlineStr"/>
      <c r="J15" s="24" t="inlineStr">
        <is>
          <t>2023/01/12</t>
        </is>
      </c>
    </row>
    <row r="16">
      <c r="B16" s="24" t="inlineStr">
        <is>
          <t>awe_do_col_validate</t>
        </is>
      </c>
      <c r="C16" s="24" t="inlineStr">
        <is>
          <t>PARAM10</t>
        </is>
      </c>
      <c r="D16" s="24" t="inlineStr">
        <is>
          <t>varchar(32)</t>
        </is>
      </c>
      <c r="E16" s="24" t="inlineStr">
        <is>
          <t>YES</t>
        </is>
      </c>
      <c r="F16" s="24" t="inlineStr">
        <is>
          <t>参数</t>
        </is>
      </c>
      <c r="G16" s="24" t="n"/>
      <c r="H16" s="24" t="n"/>
      <c r="I16" s="24" t="inlineStr"/>
      <c r="J16" s="24" t="inlineStr">
        <is>
          <t>2023/01/12</t>
        </is>
      </c>
    </row>
    <row r="17">
      <c r="B17" s="24" t="inlineStr">
        <is>
          <t>awe_do_col_validate</t>
        </is>
      </c>
      <c r="C17" s="24" t="inlineStr">
        <is>
          <t>USESTATUS</t>
        </is>
      </c>
      <c r="D17" s="24" t="inlineStr">
        <is>
          <t>varchar(32)</t>
        </is>
      </c>
      <c r="E17" s="24" t="inlineStr">
        <is>
          <t>YES</t>
        </is>
      </c>
      <c r="F17" s="24" t="inlineStr">
        <is>
          <t>编辑状态</t>
        </is>
      </c>
      <c r="G17" s="24" t="n"/>
      <c r="H17" s="24" t="n"/>
      <c r="I17" s="24" t="inlineStr"/>
      <c r="J17" s="24" t="inlineStr">
        <is>
          <t>2023/01/12</t>
        </is>
      </c>
    </row>
    <row r="18">
      <c r="B18" s="24" t="inlineStr">
        <is>
          <t>awe_do_col_validate</t>
        </is>
      </c>
      <c r="C18" s="24" t="inlineStr">
        <is>
          <t>ISINUSE</t>
        </is>
      </c>
      <c r="D18" s="24" t="inlineStr">
        <is>
          <t>char(1)</t>
        </is>
      </c>
      <c r="E18" s="24" t="inlineStr">
        <is>
          <t>YES</t>
        </is>
      </c>
      <c r="F18" s="53" t="inlineStr">
        <is>
          <t>是否使用</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22.xml><?xml version="1.0" encoding="utf-8"?>
<worksheet xmlns="http://schemas.openxmlformats.org/spreadsheetml/2006/main">
  <sheetPr>
    <outlinePr summaryBelow="1" summaryRight="1"/>
    <pageSetUpPr/>
  </sheetPr>
  <dimension ref="A1:J12"/>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OW字段事件</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awe_do_event</t>
        </is>
      </c>
      <c r="C3" s="24" t="inlineStr">
        <is>
          <t>DONO</t>
        </is>
      </c>
      <c r="D3" s="24" t="inlineStr">
        <is>
          <t>varchar(80)</t>
        </is>
      </c>
      <c r="E3" s="24" t="inlineStr">
        <is>
          <t>NO</t>
        </is>
      </c>
      <c r="F3" s="24" t="inlineStr">
        <is>
          <t>显示模板编号</t>
        </is>
      </c>
      <c r="G3" s="24" t="n"/>
      <c r="H3" s="24" t="n"/>
      <c r="I3" s="24" t="inlineStr"/>
      <c r="J3" s="24" t="inlineStr">
        <is>
          <t>2023/01/12</t>
        </is>
      </c>
    </row>
    <row r="4">
      <c r="B4" s="24" t="inlineStr">
        <is>
          <t>awe_do_event</t>
        </is>
      </c>
      <c r="C4" s="24" t="inlineStr">
        <is>
          <t>COLNAME</t>
        </is>
      </c>
      <c r="D4" s="24" t="inlineStr">
        <is>
          <t>varchar(80)</t>
        </is>
      </c>
      <c r="E4" s="24" t="inlineStr">
        <is>
          <t>NO</t>
        </is>
      </c>
      <c r="F4" s="24" t="inlineStr">
        <is>
          <t>jbo属性名</t>
        </is>
      </c>
      <c r="G4" s="24" t="n"/>
      <c r="H4" s="24" t="n"/>
      <c r="I4" s="24" t="inlineStr"/>
      <c r="J4" s="24" t="inlineStr">
        <is>
          <t>2023/01/12</t>
        </is>
      </c>
    </row>
    <row r="5">
      <c r="B5" s="24" t="inlineStr">
        <is>
          <t>awe_do_event</t>
        </is>
      </c>
      <c r="C5" s="24" t="inlineStr">
        <is>
          <t>EVENT</t>
        </is>
      </c>
      <c r="D5" s="24" t="inlineStr">
        <is>
          <t>varchar(80)</t>
        </is>
      </c>
      <c r="E5" s="24" t="inlineStr">
        <is>
          <t>NO</t>
        </is>
      </c>
      <c r="F5" s="24" t="inlineStr">
        <is>
          <t>事件名</t>
        </is>
      </c>
      <c r="G5" s="24" t="n"/>
      <c r="H5" s="24" t="n"/>
      <c r="I5" s="24" t="inlineStr"/>
      <c r="J5" s="24" t="inlineStr">
        <is>
          <t>2023/01/12</t>
        </is>
      </c>
    </row>
    <row r="6">
      <c r="B6" s="24" t="inlineStr">
        <is>
          <t>awe_do_event</t>
        </is>
      </c>
      <c r="C6" s="24" t="inlineStr">
        <is>
          <t>EVENTPARAMS</t>
        </is>
      </c>
      <c r="D6" s="24" t="inlineStr">
        <is>
          <t>varchar(500)</t>
        </is>
      </c>
      <c r="E6" s="24" t="inlineStr">
        <is>
          <t>YES</t>
        </is>
      </c>
      <c r="F6" s="24" t="inlineStr">
        <is>
          <t>方法执行参数</t>
        </is>
      </c>
      <c r="G6" s="24" t="n"/>
      <c r="H6" s="24" t="n"/>
      <c r="I6" s="24" t="inlineStr"/>
      <c r="J6" s="24" t="inlineStr">
        <is>
          <t>2023/01/12</t>
        </is>
      </c>
    </row>
    <row r="7">
      <c r="B7" s="24" t="inlineStr">
        <is>
          <t>awe_do_event</t>
        </is>
      </c>
      <c r="C7" s="24" t="inlineStr">
        <is>
          <t>SCRIPT</t>
        </is>
      </c>
      <c r="D7" s="24" t="inlineStr">
        <is>
          <t>varchar(500)</t>
        </is>
      </c>
      <c r="E7" s="24" t="inlineStr">
        <is>
          <t>YES</t>
        </is>
      </c>
      <c r="F7" s="24" t="inlineStr">
        <is>
          <t>事件执行方法</t>
        </is>
      </c>
      <c r="G7" s="24" t="n"/>
      <c r="H7" s="24" t="n"/>
      <c r="I7" s="24" t="inlineStr"/>
      <c r="J7" s="24" t="inlineStr">
        <is>
          <t>2023/01/12</t>
        </is>
      </c>
    </row>
    <row r="8">
      <c r="B8" s="24" t="inlineStr">
        <is>
          <t>awe_do_event</t>
        </is>
      </c>
      <c r="C8" s="24" t="inlineStr">
        <is>
          <t>ISINUSE</t>
        </is>
      </c>
      <c r="D8" s="24" t="inlineStr">
        <is>
          <t>varchar(6)</t>
        </is>
      </c>
      <c r="E8" s="24" t="inlineStr">
        <is>
          <t>YES</t>
        </is>
      </c>
      <c r="F8" s="24" t="inlineStr">
        <is>
          <t>是否有效</t>
        </is>
      </c>
      <c r="G8" s="24" t="n"/>
      <c r="H8" s="24" t="n"/>
      <c r="I8" s="24" t="inlineStr"/>
      <c r="J8" s="24" t="inlineStr">
        <is>
          <t>2023/01/12</t>
        </is>
      </c>
    </row>
    <row r="9">
      <c r="B9" s="24" t="inlineStr">
        <is>
          <t>awe_do_event</t>
        </is>
      </c>
      <c r="C9" s="24" t="inlineStr">
        <is>
          <t>INPUTUSER</t>
        </is>
      </c>
      <c r="D9" s="24" t="inlineStr">
        <is>
          <t>varchar(32)</t>
        </is>
      </c>
      <c r="E9" s="24" t="inlineStr">
        <is>
          <t>YES</t>
        </is>
      </c>
      <c r="F9" s="24" t="inlineStr">
        <is>
          <t>登记人</t>
        </is>
      </c>
      <c r="G9" s="24" t="n"/>
      <c r="H9" s="24" t="n"/>
      <c r="I9" s="24" t="inlineStr"/>
      <c r="J9" s="24" t="inlineStr">
        <is>
          <t>2023/01/12</t>
        </is>
      </c>
    </row>
    <row r="10">
      <c r="B10" s="24" t="inlineStr">
        <is>
          <t>awe_do_event</t>
        </is>
      </c>
      <c r="C10" s="24" t="inlineStr">
        <is>
          <t>INPUTTIME</t>
        </is>
      </c>
      <c r="D10" s="24" t="inlineStr">
        <is>
          <t>datetime</t>
        </is>
      </c>
      <c r="E10" s="24" t="inlineStr">
        <is>
          <t>YES</t>
        </is>
      </c>
      <c r="F10" s="24" t="inlineStr">
        <is>
          <t>登记时间</t>
        </is>
      </c>
      <c r="G10" s="24" t="n"/>
      <c r="H10" s="24" t="n"/>
      <c r="I10" s="24" t="inlineStr"/>
      <c r="J10" s="24" t="inlineStr">
        <is>
          <t>2023/01/12</t>
        </is>
      </c>
    </row>
    <row r="11">
      <c r="B11" s="24" t="inlineStr">
        <is>
          <t>awe_do_event</t>
        </is>
      </c>
      <c r="C11" s="24" t="inlineStr">
        <is>
          <t>UPDATEUSER</t>
        </is>
      </c>
      <c r="D11" s="24" t="inlineStr">
        <is>
          <t>varchar(32)</t>
        </is>
      </c>
      <c r="E11" s="24" t="inlineStr">
        <is>
          <t>YES</t>
        </is>
      </c>
      <c r="F11" s="24" t="inlineStr">
        <is>
          <t>更新人</t>
        </is>
      </c>
      <c r="G11" s="24" t="n"/>
      <c r="H11" s="24" t="n"/>
      <c r="I11" s="24" t="inlineStr"/>
      <c r="J11" s="24" t="inlineStr">
        <is>
          <t>2023/01/12</t>
        </is>
      </c>
    </row>
    <row r="12">
      <c r="B12" s="24" t="inlineStr">
        <is>
          <t>awe_do_event</t>
        </is>
      </c>
      <c r="C12" s="24" t="inlineStr">
        <is>
          <t>UPDATETIME</t>
        </is>
      </c>
      <c r="D12" s="24" t="inlineStr">
        <is>
          <t>datetime</t>
        </is>
      </c>
      <c r="E12" s="24" t="inlineStr">
        <is>
          <t>YES</t>
        </is>
      </c>
      <c r="F12" s="24" t="inlineStr">
        <is>
          <t>更新时间</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23.xml><?xml version="1.0" encoding="utf-8"?>
<worksheet xmlns="http://schemas.openxmlformats.org/spreadsheetml/2006/main">
  <sheetPr>
    <outlinePr summaryBelow="1" summaryRight="1"/>
    <pageSetUpPr/>
  </sheetPr>
  <dimension ref="A1:J12"/>
  <sheetViews>
    <sheetView zoomScaleSheetLayoutView="60" workbookViewId="0">
      <selection activeCell="F11" sqref="F1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OW脚本方法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awe_do_function</t>
        </is>
      </c>
      <c r="C3" s="24" t="inlineStr">
        <is>
          <t>FUNCTIONNAME</t>
        </is>
      </c>
      <c r="D3" s="24" t="inlineStr">
        <is>
          <t>varchar(80)</t>
        </is>
      </c>
      <c r="E3" s="24" t="inlineStr">
        <is>
          <t>NO</t>
        </is>
      </c>
      <c r="F3" s="24" t="inlineStr">
        <is>
          <t>方法名</t>
        </is>
      </c>
      <c r="G3" s="24" t="n"/>
      <c r="H3" s="24" t="n"/>
      <c r="I3" s="24" t="inlineStr"/>
      <c r="J3" s="24" t="inlineStr">
        <is>
          <t>2023/01/12</t>
        </is>
      </c>
    </row>
    <row r="4">
      <c r="B4" s="24" t="inlineStr">
        <is>
          <t>awe_do_function</t>
        </is>
      </c>
      <c r="C4" s="24" t="inlineStr">
        <is>
          <t>DONO</t>
        </is>
      </c>
      <c r="D4" s="24" t="inlineStr">
        <is>
          <t>varchar(80)</t>
        </is>
      </c>
      <c r="E4" s="24" t="inlineStr">
        <is>
          <t>NO</t>
        </is>
      </c>
      <c r="F4" s="24" t="inlineStr">
        <is>
          <t>OW显示模板编号</t>
        </is>
      </c>
      <c r="G4" s="24" t="n"/>
      <c r="H4" s="24" t="n"/>
      <c r="I4" s="24" t="inlineStr"/>
      <c r="J4" s="24" t="inlineStr">
        <is>
          <t>2023/01/12</t>
        </is>
      </c>
    </row>
    <row r="5">
      <c r="B5" s="24" t="inlineStr">
        <is>
          <t>awe_do_function</t>
        </is>
      </c>
      <c r="C5" s="24" t="inlineStr">
        <is>
          <t>FUNCTIONPARAMS</t>
        </is>
      </c>
      <c r="D5" s="24" t="inlineStr">
        <is>
          <t>varchar(500)</t>
        </is>
      </c>
      <c r="E5" s="24" t="inlineStr">
        <is>
          <t>YES</t>
        </is>
      </c>
      <c r="F5" s="24" t="inlineStr">
        <is>
          <t>方法参数</t>
        </is>
      </c>
      <c r="G5" s="24" t="n"/>
      <c r="H5" s="24" t="n"/>
      <c r="I5" s="24" t="inlineStr"/>
      <c r="J5" s="24" t="inlineStr">
        <is>
          <t>2023/01/12</t>
        </is>
      </c>
    </row>
    <row r="6">
      <c r="B6" s="24" t="inlineStr">
        <is>
          <t>awe_do_function</t>
        </is>
      </c>
      <c r="C6" s="24" t="inlineStr">
        <is>
          <t>FUNCTIONDESC</t>
        </is>
      </c>
      <c r="D6" s="24" t="inlineStr">
        <is>
          <t>varchar(500)</t>
        </is>
      </c>
      <c r="E6" s="24" t="inlineStr">
        <is>
          <t>YES</t>
        </is>
      </c>
      <c r="F6" s="24" t="inlineStr">
        <is>
          <t>方法描述</t>
        </is>
      </c>
      <c r="G6" s="24" t="n"/>
      <c r="H6" s="24" t="n"/>
      <c r="I6" s="24" t="inlineStr"/>
      <c r="J6" s="24" t="inlineStr">
        <is>
          <t>2023/01/12</t>
        </is>
      </c>
    </row>
    <row r="7">
      <c r="B7" s="24" t="inlineStr">
        <is>
          <t>awe_do_function</t>
        </is>
      </c>
      <c r="C7" s="24" t="inlineStr">
        <is>
          <t>INPUTTIME</t>
        </is>
      </c>
      <c r="D7" s="24" t="inlineStr">
        <is>
          <t>datetime</t>
        </is>
      </c>
      <c r="E7" s="24" t="inlineStr">
        <is>
          <t>YES</t>
        </is>
      </c>
      <c r="F7" s="24" t="inlineStr">
        <is>
          <t>登记时间</t>
        </is>
      </c>
      <c r="G7" s="24" t="n"/>
      <c r="H7" s="24" t="n"/>
      <c r="I7" s="24" t="inlineStr"/>
      <c r="J7" s="24" t="inlineStr">
        <is>
          <t>2023/01/12</t>
        </is>
      </c>
    </row>
    <row r="8">
      <c r="B8" s="24" t="inlineStr">
        <is>
          <t>awe_do_function</t>
        </is>
      </c>
      <c r="C8" s="24" t="inlineStr">
        <is>
          <t>INPUTUSER</t>
        </is>
      </c>
      <c r="D8" s="24" t="inlineStr">
        <is>
          <t>varchar(32)</t>
        </is>
      </c>
      <c r="E8" s="24" t="inlineStr">
        <is>
          <t>YES</t>
        </is>
      </c>
      <c r="F8" s="24" t="inlineStr">
        <is>
          <t>登记人</t>
        </is>
      </c>
      <c r="G8" s="24" t="n"/>
      <c r="H8" s="24" t="n"/>
      <c r="I8" s="24" t="inlineStr"/>
      <c r="J8" s="24" t="inlineStr">
        <is>
          <t>2023/01/12</t>
        </is>
      </c>
    </row>
    <row r="9">
      <c r="B9" s="24" t="inlineStr">
        <is>
          <t>awe_do_function</t>
        </is>
      </c>
      <c r="C9" s="24" t="inlineStr">
        <is>
          <t>UPDATETIME</t>
        </is>
      </c>
      <c r="D9" s="24" t="inlineStr">
        <is>
          <t>datetime</t>
        </is>
      </c>
      <c r="E9" s="24" t="inlineStr">
        <is>
          <t>YES</t>
        </is>
      </c>
      <c r="F9" s="24" t="inlineStr">
        <is>
          <t>更新时间</t>
        </is>
      </c>
      <c r="G9" s="24" t="n"/>
      <c r="H9" s="24" t="n"/>
      <c r="I9" s="24" t="inlineStr"/>
      <c r="J9" s="24" t="inlineStr">
        <is>
          <t>2023/01/12</t>
        </is>
      </c>
    </row>
    <row r="10">
      <c r="B10" s="24" t="inlineStr">
        <is>
          <t>awe_do_function</t>
        </is>
      </c>
      <c r="C10" s="24" t="inlineStr">
        <is>
          <t>UPDATEUSER</t>
        </is>
      </c>
      <c r="D10" s="24" t="inlineStr">
        <is>
          <t>varchar(32)</t>
        </is>
      </c>
      <c r="E10" s="24" t="inlineStr">
        <is>
          <t>YES</t>
        </is>
      </c>
      <c r="F10" s="24" t="inlineStr">
        <is>
          <t>更新人</t>
        </is>
      </c>
      <c r="G10" s="24" t="n"/>
      <c r="H10" s="24" t="n"/>
      <c r="I10" s="24" t="inlineStr"/>
      <c r="J10" s="24" t="inlineStr">
        <is>
          <t>2023/01/12</t>
        </is>
      </c>
    </row>
    <row r="11">
      <c r="B11" s="24" t="inlineStr">
        <is>
          <t>awe_do_function</t>
        </is>
      </c>
      <c r="C11" s="24" t="inlineStr">
        <is>
          <t>ISINUSE</t>
        </is>
      </c>
      <c r="D11" s="24" t="inlineStr">
        <is>
          <t>char(1)</t>
        </is>
      </c>
      <c r="E11" s="24" t="inlineStr">
        <is>
          <t>YES</t>
        </is>
      </c>
      <c r="F11" s="53" t="inlineStr">
        <is>
          <t>是否使用</t>
        </is>
      </c>
      <c r="G11" s="24" t="n"/>
      <c r="H11" s="24" t="n"/>
      <c r="I11" s="24" t="inlineStr"/>
      <c r="J11" s="24" t="inlineStr">
        <is>
          <t>2023/01/12</t>
        </is>
      </c>
    </row>
    <row r="12">
      <c r="B12" s="24" t="inlineStr">
        <is>
          <t>awe_do_function</t>
        </is>
      </c>
      <c r="C12" s="24" t="inlineStr">
        <is>
          <t>FUNCTIONBODY</t>
        </is>
      </c>
      <c r="D12" s="24" t="inlineStr">
        <is>
          <t>varchar(4000)</t>
        </is>
      </c>
      <c r="E12" s="24" t="inlineStr">
        <is>
          <t>YES</t>
        </is>
      </c>
      <c r="F12" s="24" t="inlineStr">
        <is>
          <t>方法体</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24.xml><?xml version="1.0" encoding="utf-8"?>
<worksheet xmlns="http://schemas.openxmlformats.org/spreadsheetml/2006/main">
  <sheetPr>
    <outlinePr summaryBelow="1" summaryRight="1"/>
    <pageSetUpPr/>
  </sheetPr>
  <dimension ref="A1:J19"/>
  <sheetViews>
    <sheetView zoomScaleSheetLayoutView="60" workbookViewId="0">
      <selection activeCell="F22" sqref="F2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OW分组信息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awe_do_group</t>
        </is>
      </c>
      <c r="C3" s="24" t="inlineStr">
        <is>
          <t>DONO</t>
        </is>
      </c>
      <c r="D3" s="24" t="inlineStr">
        <is>
          <t>varchar(80)</t>
        </is>
      </c>
      <c r="E3" s="24" t="inlineStr">
        <is>
          <t>NO</t>
        </is>
      </c>
      <c r="F3" s="24" t="inlineStr">
        <is>
          <t>显示模板编号</t>
        </is>
      </c>
      <c r="G3" s="24" t="n"/>
      <c r="H3" s="24" t="n"/>
      <c r="I3" s="24" t="inlineStr"/>
      <c r="J3" s="24" t="inlineStr">
        <is>
          <t>2023/01/12</t>
        </is>
      </c>
    </row>
    <row r="4">
      <c r="B4" s="24" t="inlineStr">
        <is>
          <t>awe_do_group</t>
        </is>
      </c>
      <c r="C4" s="24" t="inlineStr">
        <is>
          <t>DOCKID</t>
        </is>
      </c>
      <c r="D4" s="24" t="inlineStr">
        <is>
          <t>varchar(32)</t>
        </is>
      </c>
      <c r="E4" s="24" t="inlineStr">
        <is>
          <t>NO</t>
        </is>
      </c>
      <c r="F4" s="24" t="inlineStr">
        <is>
          <t>分组编号</t>
        </is>
      </c>
      <c r="G4" s="24" t="n"/>
      <c r="H4" s="24" t="n"/>
      <c r="I4" s="24" t="inlineStr"/>
      <c r="J4" s="24" t="inlineStr">
        <is>
          <t>2023/01/12</t>
        </is>
      </c>
    </row>
    <row r="5">
      <c r="B5" s="24" t="inlineStr">
        <is>
          <t>awe_do_group</t>
        </is>
      </c>
      <c r="C5" s="24" t="inlineStr">
        <is>
          <t>DOCKNAME</t>
        </is>
      </c>
      <c r="D5" s="24" t="inlineStr">
        <is>
          <t>varchar(80)</t>
        </is>
      </c>
      <c r="E5" s="24" t="inlineStr">
        <is>
          <t>YES</t>
        </is>
      </c>
      <c r="F5" s="24" t="inlineStr">
        <is>
          <t>分组名称</t>
        </is>
      </c>
      <c r="G5" s="24" t="n"/>
      <c r="H5" s="24" t="n"/>
      <c r="I5" s="24" t="inlineStr"/>
      <c r="J5" s="24" t="inlineStr">
        <is>
          <t>2023/01/12</t>
        </is>
      </c>
    </row>
    <row r="6">
      <c r="B6" s="24" t="inlineStr">
        <is>
          <t>awe_do_group</t>
        </is>
      </c>
      <c r="C6" s="24" t="inlineStr">
        <is>
          <t>INPUTUSER</t>
        </is>
      </c>
      <c r="D6" s="24" t="inlineStr">
        <is>
          <t>varchar(32)</t>
        </is>
      </c>
      <c r="E6" s="24" t="inlineStr">
        <is>
          <t>YES</t>
        </is>
      </c>
      <c r="F6" s="24" t="inlineStr">
        <is>
          <t>录入人</t>
        </is>
      </c>
      <c r="G6" s="24" t="n"/>
      <c r="H6" s="24" t="n"/>
      <c r="I6" s="24" t="inlineStr"/>
      <c r="J6" s="24" t="inlineStr">
        <is>
          <t>2023/01/12</t>
        </is>
      </c>
    </row>
    <row r="7">
      <c r="B7" s="24" t="inlineStr">
        <is>
          <t>awe_do_group</t>
        </is>
      </c>
      <c r="C7" s="24" t="inlineStr">
        <is>
          <t>INPUTTIME</t>
        </is>
      </c>
      <c r="D7" s="24" t="inlineStr">
        <is>
          <t>datetime</t>
        </is>
      </c>
      <c r="E7" s="24" t="inlineStr">
        <is>
          <t>YES</t>
        </is>
      </c>
      <c r="F7" s="24" t="inlineStr">
        <is>
          <t>录入时间</t>
        </is>
      </c>
      <c r="G7" s="24" t="n"/>
      <c r="H7" s="24" t="n"/>
      <c r="I7" s="24" t="inlineStr"/>
      <c r="J7" s="24" t="inlineStr">
        <is>
          <t>2023/01/12</t>
        </is>
      </c>
    </row>
    <row r="8">
      <c r="B8" s="24" t="inlineStr">
        <is>
          <t>awe_do_group</t>
        </is>
      </c>
      <c r="C8" s="24" t="inlineStr">
        <is>
          <t>UPDATEUSER</t>
        </is>
      </c>
      <c r="D8" s="24" t="inlineStr">
        <is>
          <t>varchar(32)</t>
        </is>
      </c>
      <c r="E8" s="24" t="inlineStr">
        <is>
          <t>YES</t>
        </is>
      </c>
      <c r="F8" s="24" t="inlineStr">
        <is>
          <t>更新人</t>
        </is>
      </c>
      <c r="G8" s="24" t="n"/>
      <c r="H8" s="24" t="n"/>
      <c r="I8" s="24" t="inlineStr"/>
      <c r="J8" s="24" t="inlineStr">
        <is>
          <t>2023/01/12</t>
        </is>
      </c>
    </row>
    <row r="9">
      <c r="B9" s="24" t="inlineStr">
        <is>
          <t>awe_do_group</t>
        </is>
      </c>
      <c r="C9" s="24" t="inlineStr">
        <is>
          <t>UPDATETIME</t>
        </is>
      </c>
      <c r="D9" s="24" t="inlineStr">
        <is>
          <t>datetime</t>
        </is>
      </c>
      <c r="E9" s="24" t="inlineStr">
        <is>
          <t>YES</t>
        </is>
      </c>
      <c r="F9" s="24" t="inlineStr">
        <is>
          <t>更新时间</t>
        </is>
      </c>
      <c r="G9" s="24" t="n"/>
      <c r="H9" s="24" t="n"/>
      <c r="I9" s="24" t="inlineStr"/>
      <c r="J9" s="24" t="inlineStr">
        <is>
          <t>2023/01/12</t>
        </is>
      </c>
    </row>
    <row r="10">
      <c r="B10" s="24" t="inlineStr">
        <is>
          <t>awe_do_group</t>
        </is>
      </c>
      <c r="C10" s="24" t="inlineStr">
        <is>
          <t>INPUTORG</t>
        </is>
      </c>
      <c r="D10" s="24" t="inlineStr">
        <is>
          <t>varchar(32)</t>
        </is>
      </c>
      <c r="E10" s="24" t="inlineStr">
        <is>
          <t>YES</t>
        </is>
      </c>
      <c r="F10" s="24" t="inlineStr">
        <is>
          <t>录入机构</t>
        </is>
      </c>
      <c r="G10" s="24" t="n"/>
      <c r="H10" s="24" t="n"/>
      <c r="I10" s="24" t="inlineStr"/>
      <c r="J10" s="24" t="inlineStr">
        <is>
          <t>2023/01/12</t>
        </is>
      </c>
    </row>
    <row r="11">
      <c r="B11" s="24" t="inlineStr">
        <is>
          <t>awe_do_group</t>
        </is>
      </c>
      <c r="C11" s="24" t="inlineStr">
        <is>
          <t>SORTNO</t>
        </is>
      </c>
      <c r="D11" s="24" t="inlineStr">
        <is>
          <t>varchar(32)</t>
        </is>
      </c>
      <c r="E11" s="24" t="inlineStr">
        <is>
          <t>YES</t>
        </is>
      </c>
      <c r="F11" s="24" t="inlineStr">
        <is>
          <t>排序号</t>
        </is>
      </c>
      <c r="G11" s="24" t="n"/>
      <c r="H11" s="24" t="n"/>
      <c r="I11" s="24" t="inlineStr"/>
      <c r="J11" s="24" t="inlineStr">
        <is>
          <t>2023/01/12</t>
        </is>
      </c>
    </row>
    <row r="12">
      <c r="B12" s="24" t="inlineStr">
        <is>
          <t>awe_do_group</t>
        </is>
      </c>
      <c r="C12" s="24" t="inlineStr">
        <is>
          <t>COLCOUNT</t>
        </is>
      </c>
      <c r="D12" s="24" t="inlineStr">
        <is>
          <t>int</t>
        </is>
      </c>
      <c r="E12" s="24" t="inlineStr">
        <is>
          <t>YES</t>
        </is>
      </c>
      <c r="F12" s="24" t="inlineStr">
        <is>
          <t>每行列数</t>
        </is>
      </c>
      <c r="G12" s="24" t="n"/>
      <c r="H12" s="24" t="n"/>
      <c r="I12" s="24" t="inlineStr"/>
      <c r="J12" s="24" t="inlineStr">
        <is>
          <t>2023/01/12</t>
        </is>
      </c>
    </row>
    <row r="13">
      <c r="B13" s="24" t="inlineStr">
        <is>
          <t>awe_do_group</t>
        </is>
      </c>
      <c r="C13" s="24" t="inlineStr">
        <is>
          <t>STYLEID</t>
        </is>
      </c>
      <c r="D13" s="24" t="inlineStr">
        <is>
          <t>varchar(32)</t>
        </is>
      </c>
      <c r="E13" s="24" t="inlineStr">
        <is>
          <t>YES</t>
        </is>
      </c>
      <c r="F13" s="24" t="inlineStr">
        <is>
          <t>使用样式编号</t>
        </is>
      </c>
      <c r="G13" s="24" t="n"/>
      <c r="H13" s="24" t="n"/>
      <c r="I13" s="24" t="inlineStr"/>
      <c r="J13" s="24" t="inlineStr">
        <is>
          <t>2023/01/12</t>
        </is>
      </c>
    </row>
    <row r="14">
      <c r="B14" s="24" t="inlineStr">
        <is>
          <t>awe_do_group</t>
        </is>
      </c>
      <c r="C14" s="24" t="inlineStr">
        <is>
          <t>ISEXPAND</t>
        </is>
      </c>
      <c r="D14" s="24" t="inlineStr">
        <is>
          <t>char(1)</t>
        </is>
      </c>
      <c r="E14" s="24" t="inlineStr">
        <is>
          <t>YES</t>
        </is>
      </c>
      <c r="F14" s="53" t="inlineStr">
        <is>
          <t>分组是否展开</t>
        </is>
      </c>
      <c r="G14" s="24" t="n"/>
      <c r="H14" s="24" t="n"/>
      <c r="I14" s="24" t="inlineStr"/>
      <c r="J14" s="24" t="inlineStr">
        <is>
          <t>2023/01/12</t>
        </is>
      </c>
    </row>
    <row r="15">
      <c r="B15" s="24" t="inlineStr">
        <is>
          <t>awe_do_group</t>
        </is>
      </c>
      <c r="C15" s="24" t="inlineStr">
        <is>
          <t>GROUPBODY2</t>
        </is>
      </c>
      <c r="D15" s="24" t="inlineStr">
        <is>
          <t>varchar(4000)</t>
        </is>
      </c>
      <c r="E15" s="24" t="inlineStr">
        <is>
          <t>YES</t>
        </is>
      </c>
      <c r="F15" s="24" t="inlineStr">
        <is>
          <t>分组体2</t>
        </is>
      </c>
      <c r="G15" s="24" t="n"/>
      <c r="H15" s="24" t="n"/>
      <c r="I15" s="24" t="inlineStr"/>
      <c r="J15" s="24" t="inlineStr">
        <is>
          <t>2023/01/12</t>
        </is>
      </c>
    </row>
    <row r="16">
      <c r="B16" s="24" t="inlineStr">
        <is>
          <t>awe_do_group</t>
        </is>
      </c>
      <c r="C16" s="24" t="inlineStr">
        <is>
          <t>GROUPBODY1</t>
        </is>
      </c>
      <c r="D16" s="24" t="inlineStr">
        <is>
          <t>varchar(4000)</t>
        </is>
      </c>
      <c r="E16" s="24" t="inlineStr">
        <is>
          <t>YES</t>
        </is>
      </c>
      <c r="F16" s="24" t="inlineStr">
        <is>
          <t>分组体1</t>
        </is>
      </c>
      <c r="G16" s="24" t="n"/>
      <c r="H16" s="24" t="n"/>
      <c r="I16" s="24" t="inlineStr"/>
      <c r="J16" s="24" t="inlineStr">
        <is>
          <t>2023/01/12</t>
        </is>
      </c>
    </row>
    <row r="17">
      <c r="B17" s="24" t="inlineStr">
        <is>
          <t>awe_do_group</t>
        </is>
      </c>
      <c r="C17" s="24" t="inlineStr">
        <is>
          <t>GROUPBODY</t>
        </is>
      </c>
      <c r="D17" s="24" t="inlineStr">
        <is>
          <t>varchar(4000)</t>
        </is>
      </c>
      <c r="E17" s="24" t="inlineStr">
        <is>
          <t>YES</t>
        </is>
      </c>
      <c r="F17" s="24" t="inlineStr">
        <is>
          <t>分组体</t>
        </is>
      </c>
      <c r="G17" s="24" t="n"/>
      <c r="H17" s="24" t="n"/>
      <c r="I17" s="24" t="inlineStr"/>
      <c r="J17" s="24" t="inlineStr">
        <is>
          <t>2023/01/12</t>
        </is>
      </c>
    </row>
    <row r="18">
      <c r="B18" s="24" t="inlineStr">
        <is>
          <t>awe_do_group</t>
        </is>
      </c>
      <c r="C18" s="24" t="inlineStr">
        <is>
          <t>GROUPFOOT</t>
        </is>
      </c>
      <c r="D18" s="24" t="inlineStr">
        <is>
          <t>varchar(4000)</t>
        </is>
      </c>
      <c r="E18" s="24" t="inlineStr">
        <is>
          <t>YES</t>
        </is>
      </c>
      <c r="F18" s="24" t="inlineStr">
        <is>
          <t>分组尾</t>
        </is>
      </c>
      <c r="G18" s="24" t="n"/>
      <c r="H18" s="24" t="n"/>
      <c r="I18" s="24" t="inlineStr"/>
      <c r="J18" s="24" t="inlineStr">
        <is>
          <t>2023/01/12</t>
        </is>
      </c>
    </row>
    <row r="19">
      <c r="B19" s="24" t="inlineStr">
        <is>
          <t>awe_do_group</t>
        </is>
      </c>
      <c r="C19" s="24" t="inlineStr">
        <is>
          <t>GROUPHEAD</t>
        </is>
      </c>
      <c r="D19" s="24" t="inlineStr">
        <is>
          <t>varchar(4000)</t>
        </is>
      </c>
      <c r="E19" s="24" t="inlineStr">
        <is>
          <t>YES</t>
        </is>
      </c>
      <c r="F19" s="24" t="inlineStr">
        <is>
          <t>分组头</t>
        </is>
      </c>
      <c r="G19" s="24" t="n"/>
      <c r="H19" s="24" t="n"/>
      <c r="I19" s="24" t="inlineStr"/>
      <c r="J19" s="24" t="inlineStr">
        <is>
          <t>2023/01/12</t>
        </is>
      </c>
    </row>
  </sheetData>
  <pageMargins left="0.75" right="0.75" top="1" bottom="1" header="0.5" footer="0.5"/>
  <pageSetup orientation="portrait" paperSize="1" horizontalDpi="300" verticalDpi="300"/>
</worksheet>
</file>

<file path=xl/worksheets/sheet25.xml><?xml version="1.0" encoding="utf-8"?>
<worksheet xmlns="http://schemas.openxmlformats.org/spreadsheetml/2006/main">
  <sheetPr>
    <outlinePr summaryBelow="1" summaryRight="1"/>
    <pageSetUpPr/>
  </sheetPr>
  <dimension ref="A1:J12"/>
  <sheetViews>
    <sheetView zoomScaleSheetLayoutView="60" workbookViewId="0">
      <selection activeCell="F7" sqref="F7"/>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OW通用js方法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awe_do_js_function</t>
        </is>
      </c>
      <c r="C3" s="24" t="inlineStr">
        <is>
          <t>FUNCTIONNAME</t>
        </is>
      </c>
      <c r="D3" s="24" t="inlineStr">
        <is>
          <t>varchar(80)</t>
        </is>
      </c>
      <c r="E3" s="24" t="inlineStr">
        <is>
          <t>NO</t>
        </is>
      </c>
      <c r="F3" s="24" t="inlineStr">
        <is>
          <t>函数名</t>
        </is>
      </c>
      <c r="G3" s="24" t="n"/>
      <c r="H3" s="24" t="n"/>
      <c r="I3" s="24" t="inlineStr"/>
      <c r="J3" s="24" t="inlineStr">
        <is>
          <t>2023/01/12</t>
        </is>
      </c>
    </row>
    <row r="4">
      <c r="B4" s="24" t="inlineStr">
        <is>
          <t>awe_do_js_function</t>
        </is>
      </c>
      <c r="C4" s="24" t="inlineStr">
        <is>
          <t>FUNCTIONPARAMS</t>
        </is>
      </c>
      <c r="D4" s="24" t="inlineStr">
        <is>
          <t>varchar(500)</t>
        </is>
      </c>
      <c r="E4" s="24" t="inlineStr">
        <is>
          <t>YES</t>
        </is>
      </c>
      <c r="F4" s="24" t="inlineStr">
        <is>
          <t>函数参数</t>
        </is>
      </c>
      <c r="G4" s="24" t="n"/>
      <c r="H4" s="24" t="n"/>
      <c r="I4" s="24" t="inlineStr"/>
      <c r="J4" s="24" t="inlineStr">
        <is>
          <t>2023/01/12</t>
        </is>
      </c>
    </row>
    <row r="5">
      <c r="B5" s="24" t="inlineStr">
        <is>
          <t>awe_do_js_function</t>
        </is>
      </c>
      <c r="C5" s="24" t="inlineStr">
        <is>
          <t>INVOKEEXAMPLE</t>
        </is>
      </c>
      <c r="D5" s="24" t="inlineStr">
        <is>
          <t>varchar(500)</t>
        </is>
      </c>
      <c r="E5" s="24" t="inlineStr">
        <is>
          <t>YES</t>
        </is>
      </c>
      <c r="F5" s="24" t="inlineStr">
        <is>
          <t>函数示例</t>
        </is>
      </c>
      <c r="G5" s="24" t="n"/>
      <c r="H5" s="24" t="n"/>
      <c r="I5" s="24" t="inlineStr"/>
      <c r="J5" s="24" t="inlineStr">
        <is>
          <t>2023/01/12</t>
        </is>
      </c>
    </row>
    <row r="6">
      <c r="B6" s="24" t="inlineStr">
        <is>
          <t>awe_do_js_function</t>
        </is>
      </c>
      <c r="C6" s="24" t="inlineStr">
        <is>
          <t>FUNCTIONTYPE</t>
        </is>
      </c>
      <c r="D6" s="24" t="inlineStr">
        <is>
          <t>varchar(80)</t>
        </is>
      </c>
      <c r="E6" s="24" t="inlineStr">
        <is>
          <t>YES</t>
        </is>
      </c>
      <c r="F6" s="24" t="inlineStr">
        <is>
          <t>函数分类</t>
        </is>
      </c>
      <c r="G6" s="24" t="n"/>
      <c r="H6" s="24" t="n"/>
      <c r="I6" s="24" t="inlineStr"/>
      <c r="J6" s="24" t="inlineStr">
        <is>
          <t>2023/01/12</t>
        </is>
      </c>
    </row>
    <row r="7">
      <c r="B7" s="24" t="inlineStr">
        <is>
          <t>awe_do_js_function</t>
        </is>
      </c>
      <c r="C7" s="24" t="inlineStr">
        <is>
          <t>ISINUSE</t>
        </is>
      </c>
      <c r="D7" s="24" t="inlineStr">
        <is>
          <t>char(1)</t>
        </is>
      </c>
      <c r="E7" s="24" t="inlineStr">
        <is>
          <t>YES</t>
        </is>
      </c>
      <c r="F7" s="53" t="inlineStr">
        <is>
          <t>是否使用</t>
        </is>
      </c>
      <c r="G7" s="24" t="n"/>
      <c r="H7" s="24" t="n"/>
      <c r="I7" s="24" t="inlineStr"/>
      <c r="J7" s="24" t="inlineStr">
        <is>
          <t>2023/01/12</t>
        </is>
      </c>
    </row>
    <row r="8">
      <c r="B8" s="24" t="inlineStr">
        <is>
          <t>awe_do_js_function</t>
        </is>
      </c>
      <c r="C8" s="24" t="inlineStr">
        <is>
          <t>FUNCTIONDESC</t>
        </is>
      </c>
      <c r="D8" s="24" t="inlineStr">
        <is>
          <t>varchar(500)</t>
        </is>
      </c>
      <c r="E8" s="24" t="inlineStr">
        <is>
          <t>YES</t>
        </is>
      </c>
      <c r="F8" s="24" t="inlineStr">
        <is>
          <t>函数描述</t>
        </is>
      </c>
      <c r="G8" s="24" t="n"/>
      <c r="H8" s="24" t="n"/>
      <c r="I8" s="24" t="inlineStr"/>
      <c r="J8" s="24" t="inlineStr">
        <is>
          <t>2023/01/12</t>
        </is>
      </c>
    </row>
    <row r="9">
      <c r="B9" s="24" t="inlineStr">
        <is>
          <t>awe_do_js_function</t>
        </is>
      </c>
      <c r="C9" s="24" t="inlineStr">
        <is>
          <t>INPUTUSER</t>
        </is>
      </c>
      <c r="D9" s="24" t="inlineStr">
        <is>
          <t>varchar(32)</t>
        </is>
      </c>
      <c r="E9" s="24" t="inlineStr">
        <is>
          <t>YES</t>
        </is>
      </c>
      <c r="F9" s="24" t="inlineStr">
        <is>
          <t>输入人</t>
        </is>
      </c>
      <c r="G9" s="24" t="n"/>
      <c r="H9" s="24" t="n"/>
      <c r="I9" s="24" t="inlineStr"/>
      <c r="J9" s="24" t="inlineStr">
        <is>
          <t>2023/01/12</t>
        </is>
      </c>
    </row>
    <row r="10">
      <c r="B10" s="24" t="inlineStr">
        <is>
          <t>awe_do_js_function</t>
        </is>
      </c>
      <c r="C10" s="24" t="inlineStr">
        <is>
          <t>INPUTTIME</t>
        </is>
      </c>
      <c r="D10" s="24" t="inlineStr">
        <is>
          <t>varchar(32)</t>
        </is>
      </c>
      <c r="E10" s="24" t="inlineStr">
        <is>
          <t>YES</t>
        </is>
      </c>
      <c r="F10" s="24" t="inlineStr">
        <is>
          <t>输入时间</t>
        </is>
      </c>
      <c r="G10" s="24" t="n"/>
      <c r="H10" s="24" t="n"/>
      <c r="I10" s="24" t="inlineStr"/>
      <c r="J10" s="24" t="inlineStr">
        <is>
          <t>2023/01/12</t>
        </is>
      </c>
    </row>
    <row r="11">
      <c r="B11" s="24" t="inlineStr">
        <is>
          <t>awe_do_js_function</t>
        </is>
      </c>
      <c r="C11" s="24" t="inlineStr">
        <is>
          <t>UPDATEUSER</t>
        </is>
      </c>
      <c r="D11" s="24" t="inlineStr">
        <is>
          <t>varchar(32)</t>
        </is>
      </c>
      <c r="E11" s="24" t="inlineStr">
        <is>
          <t>YES</t>
        </is>
      </c>
      <c r="F11" s="24" t="inlineStr">
        <is>
          <t>更新人</t>
        </is>
      </c>
      <c r="G11" s="24" t="n"/>
      <c r="H11" s="24" t="n"/>
      <c r="I11" s="24" t="inlineStr"/>
      <c r="J11" s="24" t="inlineStr">
        <is>
          <t>2023/01/12</t>
        </is>
      </c>
    </row>
    <row r="12">
      <c r="B12" s="24" t="inlineStr">
        <is>
          <t>awe_do_js_function</t>
        </is>
      </c>
      <c r="C12" s="24" t="inlineStr">
        <is>
          <t>UPDATETIME</t>
        </is>
      </c>
      <c r="D12" s="24" t="inlineStr">
        <is>
          <t>varchar(32)</t>
        </is>
      </c>
      <c r="E12" s="24" t="inlineStr">
        <is>
          <t>YES</t>
        </is>
      </c>
      <c r="F12" s="24" t="inlineStr">
        <is>
          <t>更新时间</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26.xml><?xml version="1.0" encoding="utf-8"?>
<worksheet xmlns="http://schemas.openxmlformats.org/spreadsheetml/2006/main">
  <sheetPr>
    <outlinePr summaryBelow="1" summaryRight="1"/>
    <pageSetUpPr/>
  </sheetPr>
  <dimension ref="A1:J13"/>
  <sheetViews>
    <sheetView zoomScaleSheetLayoutView="60" workbookViewId="0">
      <selection activeCell="D29" sqref="D2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OW关键字查询</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awe_do_keyfilter</t>
        </is>
      </c>
      <c r="C3" s="24" t="inlineStr">
        <is>
          <t>SERIALNO</t>
        </is>
      </c>
      <c r="D3" s="24" t="inlineStr">
        <is>
          <t>varchar(32)</t>
        </is>
      </c>
      <c r="E3" s="24" t="inlineStr">
        <is>
          <t>NO</t>
        </is>
      </c>
      <c r="F3" s="24" t="inlineStr">
        <is>
          <t>自动编号</t>
        </is>
      </c>
      <c r="G3" s="24" t="n"/>
      <c r="H3" s="24" t="n"/>
      <c r="I3" s="24" t="inlineStr"/>
      <c r="J3" s="24" t="inlineStr">
        <is>
          <t>2023/01/12</t>
        </is>
      </c>
    </row>
    <row r="4">
      <c r="B4" s="24" t="inlineStr">
        <is>
          <t>awe_do_keyfilter</t>
        </is>
      </c>
      <c r="C4" s="24" t="inlineStr">
        <is>
          <t>DONO</t>
        </is>
      </c>
      <c r="D4" s="24" t="inlineStr">
        <is>
          <t>varchar(80)</t>
        </is>
      </c>
      <c r="E4" s="24" t="inlineStr">
        <is>
          <t>YES</t>
        </is>
      </c>
      <c r="F4" s="24" t="inlineStr">
        <is>
          <t>验证类型</t>
        </is>
      </c>
      <c r="G4" s="24" t="n"/>
      <c r="H4" s="24" t="n"/>
      <c r="I4" s="24" t="inlineStr"/>
      <c r="J4" s="24" t="inlineStr">
        <is>
          <t>2023/01/12</t>
        </is>
      </c>
    </row>
    <row r="5">
      <c r="B5" s="24" t="inlineStr">
        <is>
          <t>awe_do_keyfilter</t>
        </is>
      </c>
      <c r="C5" s="24" t="inlineStr">
        <is>
          <t>COLNAME</t>
        </is>
      </c>
      <c r="D5" s="24" t="inlineStr">
        <is>
          <t>varchar(80)</t>
        </is>
      </c>
      <c r="E5" s="24" t="inlineStr">
        <is>
          <t>YES</t>
        </is>
      </c>
      <c r="F5" s="24" t="inlineStr">
        <is>
          <t>字段名</t>
        </is>
      </c>
      <c r="G5" s="24" t="n"/>
      <c r="H5" s="24" t="n"/>
      <c r="I5" s="24" t="inlineStr"/>
      <c r="J5" s="24" t="inlineStr">
        <is>
          <t>2023/01/12</t>
        </is>
      </c>
    </row>
    <row r="6">
      <c r="B6" s="24" t="inlineStr">
        <is>
          <t>awe_do_keyfilter</t>
        </is>
      </c>
      <c r="C6" s="24" t="inlineStr">
        <is>
          <t>TRADEKEY</t>
        </is>
      </c>
      <c r="D6" s="24" t="inlineStr">
        <is>
          <t>varchar(80)</t>
        </is>
      </c>
      <c r="E6" s="24" t="inlineStr">
        <is>
          <t>YES</t>
        </is>
      </c>
      <c r="F6" s="24" t="inlineStr">
        <is>
          <t>关键字</t>
        </is>
      </c>
      <c r="G6" s="24" t="n"/>
      <c r="H6" s="24" t="n"/>
      <c r="I6" s="24" t="inlineStr"/>
      <c r="J6" s="24" t="inlineStr">
        <is>
          <t>2023/01/12</t>
        </is>
      </c>
    </row>
    <row r="7">
      <c r="B7" s="24" t="inlineStr">
        <is>
          <t>awe_do_keyfilter</t>
        </is>
      </c>
      <c r="C7" s="24" t="inlineStr">
        <is>
          <t>TRADEVALUE</t>
        </is>
      </c>
      <c r="D7" s="24" t="inlineStr">
        <is>
          <t>varchar(80)</t>
        </is>
      </c>
      <c r="E7" s="24" t="inlineStr">
        <is>
          <t>YES</t>
        </is>
      </c>
      <c r="F7" s="24" t="inlineStr">
        <is>
          <t>值</t>
        </is>
      </c>
      <c r="G7" s="24" t="n"/>
      <c r="H7" s="24" t="n"/>
      <c r="I7" s="24" t="inlineStr"/>
      <c r="J7" s="24" t="inlineStr">
        <is>
          <t>2023/01/12</t>
        </is>
      </c>
    </row>
    <row r="8">
      <c r="B8" s="24" t="inlineStr">
        <is>
          <t>awe_do_keyfilter</t>
        </is>
      </c>
      <c r="C8" s="24" t="inlineStr">
        <is>
          <t>INPUTTIME</t>
        </is>
      </c>
      <c r="D8" s="24" t="inlineStr">
        <is>
          <t>varchar(32)</t>
        </is>
      </c>
      <c r="E8" s="24" t="inlineStr">
        <is>
          <t>YES</t>
        </is>
      </c>
      <c r="F8" s="24" t="inlineStr">
        <is>
          <t>录入时间</t>
        </is>
      </c>
      <c r="G8" s="24" t="n"/>
      <c r="H8" s="24" t="n"/>
      <c r="I8" s="24" t="inlineStr"/>
      <c r="J8" s="24" t="inlineStr">
        <is>
          <t>2023/01/12</t>
        </is>
      </c>
    </row>
    <row r="9">
      <c r="B9" s="24" t="inlineStr">
        <is>
          <t>awe_do_keyfilter</t>
        </is>
      </c>
      <c r="C9" s="24" t="inlineStr">
        <is>
          <t>UPDATETIME</t>
        </is>
      </c>
      <c r="D9" s="24" t="inlineStr">
        <is>
          <t>varchar(32)</t>
        </is>
      </c>
      <c r="E9" s="24" t="inlineStr">
        <is>
          <t>YES</t>
        </is>
      </c>
      <c r="F9" s="24" t="inlineStr">
        <is>
          <t>更新时间</t>
        </is>
      </c>
      <c r="G9" s="24" t="n"/>
      <c r="H9" s="24" t="n"/>
      <c r="I9" s="24" t="inlineStr"/>
      <c r="J9" s="24" t="inlineStr">
        <is>
          <t>2023/01/12</t>
        </is>
      </c>
    </row>
    <row r="10">
      <c r="B10" s="24" t="inlineStr">
        <is>
          <t>awe_do_keyfilter</t>
        </is>
      </c>
      <c r="C10" s="24" t="inlineStr">
        <is>
          <t>INPUTUSER</t>
        </is>
      </c>
      <c r="D10" s="24" t="inlineStr">
        <is>
          <t>varchar(32)</t>
        </is>
      </c>
      <c r="E10" s="24" t="inlineStr">
        <is>
          <t>YES</t>
        </is>
      </c>
      <c r="F10" s="24" t="inlineStr">
        <is>
          <t>录入人</t>
        </is>
      </c>
      <c r="G10" s="24" t="n"/>
      <c r="H10" s="24" t="n"/>
      <c r="I10" s="24" t="inlineStr"/>
      <c r="J10" s="24" t="inlineStr">
        <is>
          <t>2023/01/12</t>
        </is>
      </c>
    </row>
    <row r="11">
      <c r="B11" s="24" t="inlineStr">
        <is>
          <t>awe_do_keyfilter</t>
        </is>
      </c>
      <c r="C11" s="24" t="inlineStr">
        <is>
          <t>UPDATEUSER</t>
        </is>
      </c>
      <c r="D11" s="24" t="inlineStr">
        <is>
          <t>varchar(32)</t>
        </is>
      </c>
      <c r="E11" s="24" t="inlineStr">
        <is>
          <t>YES</t>
        </is>
      </c>
      <c r="F11" s="24" t="inlineStr">
        <is>
          <t>更新人</t>
        </is>
      </c>
      <c r="G11" s="24" t="n"/>
      <c r="H11" s="24" t="n"/>
      <c r="I11" s="24" t="inlineStr"/>
      <c r="J11" s="24" t="inlineStr">
        <is>
          <t>2023/01/12</t>
        </is>
      </c>
    </row>
    <row r="12">
      <c r="B12" s="24" t="inlineStr">
        <is>
          <t>awe_do_keyfilter</t>
        </is>
      </c>
      <c r="C12" s="24" t="inlineStr">
        <is>
          <t>TITLE</t>
        </is>
      </c>
      <c r="D12" s="24" t="inlineStr">
        <is>
          <t>varchar(80)</t>
        </is>
      </c>
      <c r="E12" s="24" t="inlineStr">
        <is>
          <t>YES</t>
        </is>
      </c>
      <c r="F12" s="24" t="inlineStr">
        <is>
          <t>标题</t>
        </is>
      </c>
      <c r="G12" s="24" t="n"/>
      <c r="H12" s="24" t="n"/>
      <c r="I12" s="24" t="inlineStr"/>
      <c r="J12" s="24" t="inlineStr">
        <is>
          <t>2023/01/12</t>
        </is>
      </c>
    </row>
    <row r="13">
      <c r="B13" s="24" t="inlineStr">
        <is>
          <t>awe_do_keyfilter</t>
        </is>
      </c>
      <c r="C13" s="24" t="inlineStr">
        <is>
          <t>HIT</t>
        </is>
      </c>
      <c r="D13" s="24" t="inlineStr">
        <is>
          <t>varchar(18)</t>
        </is>
      </c>
      <c r="E13" s="24" t="inlineStr">
        <is>
          <t>YES</t>
        </is>
      </c>
      <c r="F13" s="24" t="inlineStr">
        <is>
          <t>点击次数</t>
        </is>
      </c>
      <c r="G13" s="24" t="n"/>
      <c r="H13" s="24" t="n"/>
      <c r="I13" s="24" t="inlineStr"/>
      <c r="J13" s="24" t="inlineStr">
        <is>
          <t>2023/01/12</t>
        </is>
      </c>
    </row>
  </sheetData>
  <pageMargins left="0.75" right="0.75" top="1" bottom="1" header="0.5" footer="0.5"/>
  <pageSetup orientation="portrait" paperSize="1" horizontalDpi="300" verticalDpi="300"/>
</worksheet>
</file>

<file path=xl/worksheets/sheet27.xml><?xml version="1.0" encoding="utf-8"?>
<worksheet xmlns="http://schemas.openxmlformats.org/spreadsheetml/2006/main">
  <sheetPr>
    <outlinePr summaryBelow="1" summaryRight="1"/>
    <pageSetUpPr/>
  </sheetPr>
  <dimension ref="A1:J42"/>
  <sheetViews>
    <sheetView topLeftCell="A11" zoomScaleSheetLayoutView="60" workbookViewId="0">
      <selection activeCell="F35" sqref="F35"/>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OW显示模板字段信息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awe_do_library</t>
        </is>
      </c>
      <c r="C3" s="24" t="inlineStr">
        <is>
          <t>DONO</t>
        </is>
      </c>
      <c r="D3" s="24" t="inlineStr">
        <is>
          <t>varchar(80)</t>
        </is>
      </c>
      <c r="E3" s="24" t="inlineStr">
        <is>
          <t>NO</t>
        </is>
      </c>
      <c r="F3" s="24" t="inlineStr">
        <is>
          <t>显示模板编号</t>
        </is>
      </c>
      <c r="G3" s="24" t="n"/>
      <c r="H3" s="24" t="n"/>
      <c r="I3" s="24" t="inlineStr"/>
      <c r="J3" s="24" t="inlineStr">
        <is>
          <t>2023/01/12</t>
        </is>
      </c>
    </row>
    <row r="4">
      <c r="B4" s="24" t="inlineStr">
        <is>
          <t>awe_do_library</t>
        </is>
      </c>
      <c r="C4" s="24" t="inlineStr">
        <is>
          <t>COLINDEX</t>
        </is>
      </c>
      <c r="D4" s="24" t="inlineStr">
        <is>
          <t>varchar(32)</t>
        </is>
      </c>
      <c r="E4" s="24" t="inlineStr">
        <is>
          <t>NO</t>
        </is>
      </c>
      <c r="F4" s="24" t="inlineStr">
        <is>
          <t>序号</t>
        </is>
      </c>
      <c r="G4" s="24" t="n"/>
      <c r="H4" s="24" t="n"/>
      <c r="I4" s="24" t="inlineStr"/>
      <c r="J4" s="24" t="inlineStr">
        <is>
          <t>2023/01/12</t>
        </is>
      </c>
    </row>
    <row r="5">
      <c r="B5" s="24" t="inlineStr">
        <is>
          <t>awe_do_library</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awe_do_library</t>
        </is>
      </c>
      <c r="C6" s="24" t="inlineStr">
        <is>
          <t>ISINUSE</t>
        </is>
      </c>
      <c r="D6" s="24" t="inlineStr">
        <is>
          <t>varchar(6)</t>
        </is>
      </c>
      <c r="E6" s="24" t="inlineStr">
        <is>
          <t>YES</t>
        </is>
      </c>
      <c r="F6" s="24" t="inlineStr">
        <is>
          <t>有效</t>
        </is>
      </c>
      <c r="G6" s="24" t="n"/>
      <c r="H6" s="24" t="n"/>
      <c r="I6" s="24" t="inlineStr"/>
      <c r="J6" s="24" t="inlineStr">
        <is>
          <t>2023/01/12</t>
        </is>
      </c>
    </row>
    <row r="7">
      <c r="B7" s="24" t="inlineStr">
        <is>
          <t>awe_do_library</t>
        </is>
      </c>
      <c r="C7" s="24" t="inlineStr">
        <is>
          <t>COLTABLENAME</t>
        </is>
      </c>
      <c r="D7" s="24" t="inlineStr">
        <is>
          <t>varchar(200)</t>
        </is>
      </c>
      <c r="E7" s="24" t="inlineStr">
        <is>
          <t>YES</t>
        </is>
      </c>
      <c r="F7" s="24" t="inlineStr">
        <is>
          <t>JBO类名</t>
        </is>
      </c>
      <c r="G7" s="24" t="n"/>
      <c r="H7" s="24" t="n"/>
      <c r="I7" s="24" t="inlineStr"/>
      <c r="J7" s="24" t="inlineStr">
        <is>
          <t>2023/01/12</t>
        </is>
      </c>
    </row>
    <row r="8">
      <c r="B8" s="24" t="inlineStr">
        <is>
          <t>awe_do_library</t>
        </is>
      </c>
      <c r="C8" s="24" t="inlineStr">
        <is>
          <t>COLACTUALNAME</t>
        </is>
      </c>
      <c r="D8" s="24" t="inlineStr">
        <is>
          <t>varchar(200)</t>
        </is>
      </c>
      <c r="E8" s="24" t="inlineStr">
        <is>
          <t>YES</t>
        </is>
      </c>
      <c r="F8" s="24" t="inlineStr">
        <is>
          <t>列名</t>
        </is>
      </c>
      <c r="G8" s="24" t="n"/>
      <c r="H8" s="24" t="n"/>
      <c r="I8" s="24" t="inlineStr"/>
      <c r="J8" s="24" t="inlineStr">
        <is>
          <t>2023/01/12</t>
        </is>
      </c>
    </row>
    <row r="9">
      <c r="B9" s="24" t="inlineStr">
        <is>
          <t>awe_do_library</t>
        </is>
      </c>
      <c r="C9" s="24" t="inlineStr">
        <is>
          <t>COLNAME</t>
        </is>
      </c>
      <c r="D9" s="24" t="inlineStr">
        <is>
          <t>varchar(200)</t>
        </is>
      </c>
      <c r="E9" s="24" t="inlineStr">
        <is>
          <t>YES</t>
        </is>
      </c>
      <c r="F9" s="24" t="inlineStr">
        <is>
          <t>使用名</t>
        </is>
      </c>
      <c r="G9" s="24" t="n"/>
      <c r="H9" s="24" t="n"/>
      <c r="I9" s="24" t="inlineStr"/>
      <c r="J9" s="24" t="inlineStr">
        <is>
          <t>2023/01/12</t>
        </is>
      </c>
    </row>
    <row r="10">
      <c r="B10" s="24" t="inlineStr">
        <is>
          <t>awe_do_library</t>
        </is>
      </c>
      <c r="C10" s="24" t="inlineStr">
        <is>
          <t>COLTYPE</t>
        </is>
      </c>
      <c r="D10" s="24" t="inlineStr">
        <is>
          <t>varchar(32)</t>
        </is>
      </c>
      <c r="E10" s="24" t="inlineStr">
        <is>
          <t>YES</t>
        </is>
      </c>
      <c r="F10" s="24" t="inlineStr">
        <is>
          <t>值类型</t>
        </is>
      </c>
      <c r="G10" s="24" t="n"/>
      <c r="H10" s="24" t="n"/>
      <c r="I10" s="24" t="inlineStr"/>
      <c r="J10" s="24" t="inlineStr">
        <is>
          <t>2023/01/12</t>
        </is>
      </c>
    </row>
    <row r="11">
      <c r="B11" s="24" t="inlineStr">
        <is>
          <t>awe_do_library</t>
        </is>
      </c>
      <c r="C11" s="24" t="inlineStr">
        <is>
          <t>COLDEFAULTVALUE</t>
        </is>
      </c>
      <c r="D11" s="24" t="inlineStr">
        <is>
          <t>varchar(80)</t>
        </is>
      </c>
      <c r="E11" s="24" t="inlineStr">
        <is>
          <t>YES</t>
        </is>
      </c>
      <c r="F11" s="24" t="inlineStr">
        <is>
          <t>值类型</t>
        </is>
      </c>
      <c r="G11" s="24" t="n"/>
      <c r="H11" s="24" t="n"/>
      <c r="I11" s="24" t="inlineStr"/>
      <c r="J11" s="24" t="inlineStr">
        <is>
          <t>2023/01/12</t>
        </is>
      </c>
    </row>
    <row r="12">
      <c r="B12" s="24" t="inlineStr">
        <is>
          <t>awe_do_library</t>
        </is>
      </c>
      <c r="C12" s="24" t="inlineStr">
        <is>
          <t>COLHEADER</t>
        </is>
      </c>
      <c r="D12" s="24" t="inlineStr">
        <is>
          <t>varchar(200)</t>
        </is>
      </c>
      <c r="E12" s="24" t="inlineStr">
        <is>
          <t>YES</t>
        </is>
      </c>
      <c r="F12" s="24" t="inlineStr">
        <is>
          <t>中文显示</t>
        </is>
      </c>
      <c r="G12" s="24" t="n"/>
      <c r="H12" s="24" t="n"/>
      <c r="I12" s="24" t="inlineStr"/>
      <c r="J12" s="24" t="inlineStr">
        <is>
          <t>2023/01/12</t>
        </is>
      </c>
    </row>
    <row r="13">
      <c r="B13" s="24" t="inlineStr">
        <is>
          <t>awe_do_library</t>
        </is>
      </c>
      <c r="C13" s="24" t="inlineStr">
        <is>
          <t>COLUNIT</t>
        </is>
      </c>
      <c r="D13" s="24" t="inlineStr">
        <is>
          <t>varchar(500)</t>
        </is>
      </c>
      <c r="E13" s="24" t="inlineStr">
        <is>
          <t>YES</t>
        </is>
      </c>
      <c r="F13" s="24" t="inlineStr">
        <is>
          <t>显示后缀</t>
        </is>
      </c>
      <c r="G13" s="24" t="n"/>
      <c r="H13" s="24" t="n"/>
      <c r="I13" s="24" t="inlineStr"/>
      <c r="J13" s="24" t="inlineStr">
        <is>
          <t>2023/01/12</t>
        </is>
      </c>
    </row>
    <row r="14">
      <c r="B14" s="24" t="inlineStr">
        <is>
          <t>awe_do_library</t>
        </is>
      </c>
      <c r="C14" s="24" t="inlineStr">
        <is>
          <t>COLCOLUMNTYPE</t>
        </is>
      </c>
      <c r="D14" s="24" t="inlineStr">
        <is>
          <t>varchar(32)</t>
        </is>
      </c>
      <c r="E14" s="24" t="inlineStr">
        <is>
          <t>YES</t>
        </is>
      </c>
      <c r="F14" s="24" t="inlineStr">
        <is>
          <t>是否Sum</t>
        </is>
      </c>
      <c r="G14" s="24" t="n"/>
      <c r="H14" s="24" t="n"/>
      <c r="I14" s="24" t="inlineStr"/>
      <c r="J14" s="24" t="inlineStr">
        <is>
          <t>2023/01/12</t>
        </is>
      </c>
    </row>
    <row r="15">
      <c r="B15" s="24" t="inlineStr">
        <is>
          <t>awe_do_library</t>
        </is>
      </c>
      <c r="C15" s="24" t="inlineStr">
        <is>
          <t>COLEDITSTYLE</t>
        </is>
      </c>
      <c r="D15" s="24" t="inlineStr">
        <is>
          <t>varchar(32)</t>
        </is>
      </c>
      <c r="E15" s="24" t="inlineStr">
        <is>
          <t>YES</t>
        </is>
      </c>
      <c r="F15" s="24" t="inlineStr">
        <is>
          <t>编辑形式</t>
        </is>
      </c>
      <c r="G15" s="24" t="n"/>
      <c r="H15" s="24" t="n"/>
      <c r="I15" s="24" t="inlineStr"/>
      <c r="J15" s="24" t="inlineStr">
        <is>
          <t>2023/01/12</t>
        </is>
      </c>
    </row>
    <row r="16">
      <c r="B16" s="24" t="inlineStr">
        <is>
          <t>awe_do_library</t>
        </is>
      </c>
      <c r="C16" s="24" t="inlineStr">
        <is>
          <t>COLCHECKFORMAT</t>
        </is>
      </c>
      <c r="D16" s="24" t="inlineStr">
        <is>
          <t>varchar(32)</t>
        </is>
      </c>
      <c r="E16" s="24" t="inlineStr">
        <is>
          <t>YES</t>
        </is>
      </c>
      <c r="F16" s="24" t="inlineStr">
        <is>
          <t>特殊输入格式</t>
        </is>
      </c>
      <c r="G16" s="24" t="n"/>
      <c r="H16" s="24" t="n"/>
      <c r="I16" s="24" t="inlineStr"/>
      <c r="J16" s="24" t="inlineStr">
        <is>
          <t>2023/01/12</t>
        </is>
      </c>
    </row>
    <row r="17">
      <c r="B17" s="24" t="inlineStr">
        <is>
          <t>awe_do_library</t>
        </is>
      </c>
      <c r="C17" s="24" t="inlineStr">
        <is>
          <t>COLALIGN</t>
        </is>
      </c>
      <c r="D17" s="24" t="inlineStr">
        <is>
          <t>varchar(32)</t>
        </is>
      </c>
      <c r="E17" s="24" t="inlineStr">
        <is>
          <t>YES</t>
        </is>
      </c>
      <c r="F17" s="24" t="inlineStr">
        <is>
          <t>对齐</t>
        </is>
      </c>
      <c r="G17" s="24" t="n"/>
      <c r="H17" s="24" t="n"/>
      <c r="I17" s="24" t="inlineStr"/>
      <c r="J17" s="24" t="inlineStr">
        <is>
          <t>2023/01/12</t>
        </is>
      </c>
    </row>
    <row r="18">
      <c r="B18" s="24" t="inlineStr">
        <is>
          <t>awe_do_library</t>
        </is>
      </c>
      <c r="C18" s="24" t="inlineStr">
        <is>
          <t>COLEDITSOURCETYPE</t>
        </is>
      </c>
      <c r="D18" s="24" t="inlineStr">
        <is>
          <t>varchar(32)</t>
        </is>
      </c>
      <c r="E18" s="24" t="inlineStr">
        <is>
          <t>YES</t>
        </is>
      </c>
      <c r="F18" s="24" t="inlineStr">
        <is>
          <t>下拉框来源</t>
        </is>
      </c>
      <c r="G18" s="24" t="n"/>
      <c r="H18" s="24" t="n"/>
      <c r="I18" s="24" t="inlineStr"/>
      <c r="J18" s="24" t="inlineStr">
        <is>
          <t>2023/01/12</t>
        </is>
      </c>
    </row>
    <row r="19">
      <c r="B19" s="24" t="inlineStr">
        <is>
          <t>awe_do_library</t>
        </is>
      </c>
      <c r="C19" s="24" t="inlineStr">
        <is>
          <t>COLEDITSOURCE</t>
        </is>
      </c>
      <c r="D19" s="24" t="inlineStr">
        <is>
          <t>varchar(500)</t>
        </is>
      </c>
      <c r="E19" s="24" t="inlineStr">
        <is>
          <t>YES</t>
        </is>
      </c>
      <c r="F19" s="24" t="inlineStr">
        <is>
          <t>来源描述</t>
        </is>
      </c>
      <c r="G19" s="24" t="n"/>
      <c r="H19" s="24" t="n"/>
      <c r="I19" s="24" t="inlineStr"/>
      <c r="J19" s="24" t="inlineStr">
        <is>
          <t>2023/01/12</t>
        </is>
      </c>
    </row>
    <row r="20">
      <c r="B20" s="24" t="inlineStr">
        <is>
          <t>awe_do_library</t>
        </is>
      </c>
      <c r="C20" s="24" t="inlineStr">
        <is>
          <t>COLHTMLSTYLE</t>
        </is>
      </c>
      <c r="D20" s="24" t="inlineStr">
        <is>
          <t>varchar(500)</t>
        </is>
      </c>
      <c r="E20" s="24" t="inlineStr">
        <is>
          <t>YES</t>
        </is>
      </c>
      <c r="F20" s="24" t="inlineStr">
        <is>
          <t>HTML格式</t>
        </is>
      </c>
      <c r="G20" s="24" t="n"/>
      <c r="H20" s="24" t="n"/>
      <c r="I20" s="24" t="inlineStr"/>
      <c r="J20" s="24" t="inlineStr">
        <is>
          <t>2023/01/12</t>
        </is>
      </c>
    </row>
    <row r="21">
      <c r="B21" s="24" t="inlineStr">
        <is>
          <t>awe_do_library</t>
        </is>
      </c>
      <c r="C21" s="24" t="inlineStr">
        <is>
          <t>COLLIMIT</t>
        </is>
      </c>
      <c r="D21" s="24" t="inlineStr">
        <is>
          <t>varchar(18)</t>
        </is>
      </c>
      <c r="E21" s="24" t="inlineStr">
        <is>
          <t>YES</t>
        </is>
      </c>
      <c r="F21" s="24" t="inlineStr">
        <is>
          <t>长度</t>
        </is>
      </c>
      <c r="G21" s="24" t="n"/>
      <c r="H21" s="24" t="n"/>
      <c r="I21" s="24" t="inlineStr"/>
      <c r="J21" s="24" t="inlineStr">
        <is>
          <t>2023/01/12</t>
        </is>
      </c>
    </row>
    <row r="22">
      <c r="B22" s="24" t="inlineStr">
        <is>
          <t>awe_do_library</t>
        </is>
      </c>
      <c r="C22" s="24" t="inlineStr">
        <is>
          <t>COLVISIBLE</t>
        </is>
      </c>
      <c r="D22" s="24" t="inlineStr">
        <is>
          <t>char(1)</t>
        </is>
      </c>
      <c r="E22" s="24" t="inlineStr">
        <is>
          <t>YES</t>
        </is>
      </c>
      <c r="F22" s="24" t="inlineStr">
        <is>
          <t>是否可见</t>
        </is>
      </c>
      <c r="G22" s="24" t="n"/>
      <c r="H22" s="24" t="n"/>
      <c r="I22" s="24" t="inlineStr"/>
      <c r="J22" s="24" t="inlineStr">
        <is>
          <t>2023/01/12</t>
        </is>
      </c>
    </row>
    <row r="23">
      <c r="B23" s="24" t="inlineStr">
        <is>
          <t>awe_do_library</t>
        </is>
      </c>
      <c r="C23" s="24" t="inlineStr">
        <is>
          <t>COLREADONLY</t>
        </is>
      </c>
      <c r="D23" s="24" t="inlineStr">
        <is>
          <t>char(1)</t>
        </is>
      </c>
      <c r="E23" s="24" t="inlineStr">
        <is>
          <t>YES</t>
        </is>
      </c>
      <c r="F23" s="53" t="inlineStr">
        <is>
          <t>是否只读</t>
        </is>
      </c>
      <c r="G23" s="24" t="n"/>
      <c r="H23" s="24" t="n"/>
      <c r="I23" s="24" t="inlineStr"/>
      <c r="J23" s="24" t="inlineStr">
        <is>
          <t>2023/01/12</t>
        </is>
      </c>
    </row>
    <row r="24">
      <c r="B24" s="24" t="inlineStr">
        <is>
          <t>awe_do_library</t>
        </is>
      </c>
      <c r="C24" s="24" t="inlineStr">
        <is>
          <t>COLREQUIRED</t>
        </is>
      </c>
      <c r="D24" s="24" t="inlineStr">
        <is>
          <t>char(1)</t>
        </is>
      </c>
      <c r="E24" s="24" t="inlineStr">
        <is>
          <t>YES</t>
        </is>
      </c>
      <c r="F24" s="24" t="inlineStr">
        <is>
          <t>是否必需</t>
        </is>
      </c>
      <c r="G24" s="24" t="n"/>
      <c r="H24" s="24" t="n"/>
      <c r="I24" s="24" t="inlineStr"/>
      <c r="J24" s="24" t="inlineStr">
        <is>
          <t>2023/01/12</t>
        </is>
      </c>
    </row>
    <row r="25">
      <c r="B25" s="24" t="inlineStr">
        <is>
          <t>awe_do_library</t>
        </is>
      </c>
      <c r="C25" s="24" t="inlineStr">
        <is>
          <t>COLSORTABLE</t>
        </is>
      </c>
      <c r="D25" s="24" t="inlineStr">
        <is>
          <t>char(1)</t>
        </is>
      </c>
      <c r="E25" s="24" t="inlineStr">
        <is>
          <t>YES</t>
        </is>
      </c>
      <c r="F25" s="24" t="inlineStr">
        <is>
          <t>是否可排序</t>
        </is>
      </c>
      <c r="G25" s="24" t="n"/>
      <c r="H25" s="24" t="n"/>
      <c r="I25" s="24" t="inlineStr"/>
      <c r="J25" s="24" t="inlineStr">
        <is>
          <t>2023/01/12</t>
        </is>
      </c>
    </row>
    <row r="26">
      <c r="B26" s="24" t="inlineStr">
        <is>
          <t>awe_do_library</t>
        </is>
      </c>
      <c r="C26" s="24" t="inlineStr">
        <is>
          <t>ISFILTER</t>
        </is>
      </c>
      <c r="D26" s="24" t="inlineStr">
        <is>
          <t>char(1)</t>
        </is>
      </c>
      <c r="E26" s="24" t="inlineStr">
        <is>
          <t>YES</t>
        </is>
      </c>
      <c r="F26" s="24" t="inlineStr">
        <is>
          <t>是否查询</t>
        </is>
      </c>
      <c r="G26" s="24" t="n"/>
      <c r="H26" s="24" t="n"/>
      <c r="I26" s="24" t="inlineStr"/>
      <c r="J26" s="24" t="inlineStr">
        <is>
          <t>2023/01/12</t>
        </is>
      </c>
    </row>
    <row r="27">
      <c r="B27" s="24" t="inlineStr">
        <is>
          <t>awe_do_library</t>
        </is>
      </c>
      <c r="C27" s="24" t="inlineStr">
        <is>
          <t>COLSPAN</t>
        </is>
      </c>
      <c r="D27" s="24" t="inlineStr">
        <is>
          <t>int</t>
        </is>
      </c>
      <c r="E27" s="24" t="inlineStr">
        <is>
          <t>YES</t>
        </is>
      </c>
      <c r="F27" s="24" t="inlineStr">
        <is>
          <t>跨几栏</t>
        </is>
      </c>
      <c r="G27" s="24" t="n"/>
      <c r="H27" s="24" t="n"/>
      <c r="I27" s="24" t="inlineStr"/>
      <c r="J27" s="24" t="inlineStr">
        <is>
          <t>2023/01/12</t>
        </is>
      </c>
    </row>
    <row r="28">
      <c r="B28" s="24" t="inlineStr">
        <is>
          <t>awe_do_library</t>
        </is>
      </c>
      <c r="C28" s="24" t="inlineStr">
        <is>
          <t>ISAUTOCOMPLETE</t>
        </is>
      </c>
      <c r="D28" s="24" t="inlineStr">
        <is>
          <t>char(1)</t>
        </is>
      </c>
      <c r="E28" s="24" t="inlineStr">
        <is>
          <t>YES</t>
        </is>
      </c>
      <c r="F28" s="24" t="inlineStr">
        <is>
          <t>是否自动完成</t>
        </is>
      </c>
      <c r="G28" s="24" t="n"/>
      <c r="H28" s="24" t="n"/>
      <c r="I28" s="24" t="inlineStr"/>
      <c r="J28" s="24" t="inlineStr">
        <is>
          <t>2023/01/12</t>
        </is>
      </c>
    </row>
    <row r="29">
      <c r="B29" s="24" t="inlineStr">
        <is>
          <t>awe_do_library</t>
        </is>
      </c>
      <c r="C29" s="24" t="inlineStr">
        <is>
          <t>GROUPID</t>
        </is>
      </c>
      <c r="D29" s="24" t="inlineStr">
        <is>
          <t>varchar(32)</t>
        </is>
      </c>
      <c r="E29" s="24" t="inlineStr">
        <is>
          <t>YES</t>
        </is>
      </c>
      <c r="F29" s="24" t="inlineStr">
        <is>
          <t>所属组</t>
        </is>
      </c>
      <c r="G29" s="24" t="n"/>
      <c r="H29" s="24" t="n"/>
      <c r="I29" s="24" t="inlineStr"/>
      <c r="J29" s="24" t="inlineStr">
        <is>
          <t>2023/01/12</t>
        </is>
      </c>
    </row>
    <row r="30">
      <c r="B30" s="24" t="inlineStr">
        <is>
          <t>awe_do_library</t>
        </is>
      </c>
      <c r="C30" s="24" t="inlineStr">
        <is>
          <t>COLFILTERREFID</t>
        </is>
      </c>
      <c r="D30" s="24" t="inlineStr">
        <is>
          <t>varchar(32)</t>
        </is>
      </c>
      <c r="E30" s="24" t="inlineStr">
        <is>
          <t>YES</t>
        </is>
      </c>
      <c r="F30" s="24" t="inlineStr">
        <is>
          <t>关联的实际字段</t>
        </is>
      </c>
      <c r="G30" s="24" t="n"/>
      <c r="H30" s="24" t="n"/>
      <c r="I30" s="24" t="inlineStr"/>
      <c r="J30" s="24" t="inlineStr">
        <is>
          <t>2023/01/12</t>
        </is>
      </c>
    </row>
    <row r="31">
      <c r="B31" s="24" t="inlineStr">
        <is>
          <t>awe_do_library</t>
        </is>
      </c>
      <c r="C31" s="24" t="inlineStr">
        <is>
          <t>INPUTUSER</t>
        </is>
      </c>
      <c r="D31" s="24" t="inlineStr">
        <is>
          <t>varchar(32)</t>
        </is>
      </c>
      <c r="E31" s="24" t="inlineStr">
        <is>
          <t>YES</t>
        </is>
      </c>
      <c r="F31" s="24" t="inlineStr">
        <is>
          <t>输入人</t>
        </is>
      </c>
      <c r="G31" s="24" t="n"/>
      <c r="H31" s="24" t="n"/>
      <c r="I31" s="24" t="inlineStr"/>
      <c r="J31" s="24" t="inlineStr">
        <is>
          <t>2023/01/12</t>
        </is>
      </c>
    </row>
    <row r="32">
      <c r="B32" s="24" t="inlineStr">
        <is>
          <t>awe_do_library</t>
        </is>
      </c>
      <c r="C32" s="24" t="inlineStr">
        <is>
          <t>INPUTTIME</t>
        </is>
      </c>
      <c r="D32" s="24" t="inlineStr">
        <is>
          <t>varchar(32)</t>
        </is>
      </c>
      <c r="E32" s="24" t="inlineStr">
        <is>
          <t>YES</t>
        </is>
      </c>
      <c r="F32" s="24" t="inlineStr">
        <is>
          <t>输入时间</t>
        </is>
      </c>
      <c r="G32" s="24" t="n"/>
      <c r="H32" s="24" t="n"/>
      <c r="I32" s="24" t="inlineStr"/>
      <c r="J32" s="24" t="inlineStr">
        <is>
          <t>2023/01/12</t>
        </is>
      </c>
    </row>
    <row r="33">
      <c r="B33" s="24" t="inlineStr">
        <is>
          <t>awe_do_library</t>
        </is>
      </c>
      <c r="C33" s="24" t="inlineStr">
        <is>
          <t>UPDATEUSER</t>
        </is>
      </c>
      <c r="D33" s="24" t="inlineStr">
        <is>
          <t>varchar(32)</t>
        </is>
      </c>
      <c r="E33" s="24" t="inlineStr">
        <is>
          <t>YES</t>
        </is>
      </c>
      <c r="F33" s="24" t="inlineStr">
        <is>
          <t>更新人</t>
        </is>
      </c>
      <c r="G33" s="24" t="n"/>
      <c r="H33" s="24" t="n"/>
      <c r="I33" s="24" t="inlineStr"/>
      <c r="J33" s="24" t="inlineStr">
        <is>
          <t>2023/01/12</t>
        </is>
      </c>
    </row>
    <row r="34">
      <c r="B34" s="24" t="inlineStr">
        <is>
          <t>awe_do_library</t>
        </is>
      </c>
      <c r="C34" s="24" t="inlineStr">
        <is>
          <t>UPDATETIME</t>
        </is>
      </c>
      <c r="D34" s="24" t="inlineStr">
        <is>
          <t>varchar(32)</t>
        </is>
      </c>
      <c r="E34" s="24" t="inlineStr">
        <is>
          <t>YES</t>
        </is>
      </c>
      <c r="F34" s="24" t="inlineStr">
        <is>
          <t>更新时间</t>
        </is>
      </c>
      <c r="G34" s="24" t="n"/>
      <c r="H34" s="24" t="n"/>
      <c r="I34" s="24" t="inlineStr"/>
      <c r="J34" s="24" t="inlineStr">
        <is>
          <t>2023/01/12</t>
        </is>
      </c>
    </row>
    <row r="35">
      <c r="B35" s="24" t="inlineStr">
        <is>
          <t>awe_do_library</t>
        </is>
      </c>
      <c r="C35" s="24" t="inlineStr">
        <is>
          <t>ISAUDIT</t>
        </is>
      </c>
      <c r="D35" s="24" t="inlineStr">
        <is>
          <t>char(1)</t>
        </is>
      </c>
      <c r="E35" s="24" t="inlineStr">
        <is>
          <t>YES</t>
        </is>
      </c>
      <c r="F35" s="24" t="inlineStr">
        <is>
          <t>是否审计</t>
        </is>
      </c>
      <c r="G35" s="24" t="n"/>
      <c r="H35" s="24" t="n"/>
      <c r="I35" s="24" t="inlineStr"/>
      <c r="J35" s="24" t="inlineStr">
        <is>
          <t>2023/01/12</t>
        </is>
      </c>
    </row>
    <row r="36">
      <c r="B36" s="24" t="inlineStr">
        <is>
          <t>awe_do_library</t>
        </is>
      </c>
      <c r="C36" s="24" t="inlineStr">
        <is>
          <t>COLFILTERATTRS</t>
        </is>
      </c>
      <c r="D36" s="24" t="inlineStr">
        <is>
          <t>varchar(500)</t>
        </is>
      </c>
      <c r="E36" s="24" t="inlineStr">
        <is>
          <t>YES</t>
        </is>
      </c>
      <c r="F36" s="24" t="inlineStr">
        <is>
          <t>过滤属性</t>
        </is>
      </c>
      <c r="G36" s="24" t="n"/>
      <c r="H36" s="24" t="n"/>
      <c r="I36" s="24" t="inlineStr"/>
      <c r="J36" s="24" t="inlineStr">
        <is>
          <t>2023/01/12</t>
        </is>
      </c>
    </row>
    <row r="37">
      <c r="B37" s="24" t="inlineStr">
        <is>
          <t>awe_do_library</t>
        </is>
      </c>
      <c r="C37" s="24" t="inlineStr">
        <is>
          <t>ISUPDATE</t>
        </is>
      </c>
      <c r="D37" s="24" t="inlineStr">
        <is>
          <t>varchar(6)</t>
        </is>
      </c>
      <c r="E37" s="24" t="inlineStr">
        <is>
          <t>YES</t>
        </is>
      </c>
      <c r="F37" s="24" t="inlineStr">
        <is>
          <t>是否已更新</t>
        </is>
      </c>
      <c r="G37" s="24" t="n"/>
      <c r="H37" s="24" t="n"/>
      <c r="I37" s="24" t="inlineStr"/>
      <c r="J37" s="24" t="inlineStr">
        <is>
          <t>2023/01/12</t>
        </is>
      </c>
    </row>
    <row r="38">
      <c r="B38" s="24" t="inlineStr">
        <is>
          <t>awe_do_library</t>
        </is>
      </c>
      <c r="C38" s="24" t="inlineStr">
        <is>
          <t>PARENTCOLINDEX</t>
        </is>
      </c>
      <c r="D38" s="24" t="inlineStr">
        <is>
          <t>varchar(32)</t>
        </is>
      </c>
      <c r="E38" s="24" t="inlineStr">
        <is>
          <t>YES</t>
        </is>
      </c>
      <c r="F38" s="24" t="inlineStr">
        <is>
          <t>父序号</t>
        </is>
      </c>
      <c r="G38" s="24" t="n"/>
      <c r="H38" s="24" t="n"/>
      <c r="I38" s="24" t="inlineStr"/>
      <c r="J38" s="24" t="inlineStr">
        <is>
          <t>2023/01/12</t>
        </is>
      </c>
    </row>
    <row r="39">
      <c r="B39" s="24" t="inlineStr">
        <is>
          <t>awe_do_library</t>
        </is>
      </c>
      <c r="C39" s="24" t="inlineStr">
        <is>
          <t>TIPS</t>
        </is>
      </c>
      <c r="D39" s="24" t="inlineStr">
        <is>
          <t>varchar(500)</t>
        </is>
      </c>
      <c r="E39" s="24" t="inlineStr">
        <is>
          <t>YES</t>
        </is>
      </c>
      <c r="F39" s="24" t="inlineStr">
        <is>
          <t>提示</t>
        </is>
      </c>
      <c r="G39" s="24" t="n"/>
      <c r="H39" s="24" t="n"/>
      <c r="I39" s="24" t="inlineStr"/>
      <c r="J39" s="24" t="inlineStr">
        <is>
          <t>2023/01/12</t>
        </is>
      </c>
    </row>
    <row r="40">
      <c r="B40" s="24" t="inlineStr">
        <is>
          <t>awe_do_library</t>
        </is>
      </c>
      <c r="C40" s="24" t="inlineStr">
        <is>
          <t>COLINNERBTEVENT</t>
        </is>
      </c>
      <c r="D40" s="24" t="inlineStr">
        <is>
          <t>varchar(500)</t>
        </is>
      </c>
      <c r="E40" s="24" t="inlineStr">
        <is>
          <t>YES</t>
        </is>
      </c>
      <c r="F40" s="24" t="inlineStr">
        <is>
          <t>内置按钮事件</t>
        </is>
      </c>
      <c r="G40" s="24" t="n"/>
      <c r="H40" s="24" t="n"/>
      <c r="I40" s="24" t="inlineStr"/>
      <c r="J40" s="24" t="inlineStr">
        <is>
          <t>2023/01/12</t>
        </is>
      </c>
    </row>
    <row r="41">
      <c r="B41" s="24" t="inlineStr">
        <is>
          <t>awe_do_library</t>
        </is>
      </c>
      <c r="C41" s="24" t="inlineStr">
        <is>
          <t>COLFILTEROPTIONS</t>
        </is>
      </c>
      <c r="D41" s="24" t="inlineStr">
        <is>
          <t>varchar(500)</t>
        </is>
      </c>
      <c r="E41" s="24" t="inlineStr">
        <is>
          <t>YES</t>
        </is>
      </c>
      <c r="F41" s="24" t="inlineStr">
        <is>
          <t>查询操作符定义</t>
        </is>
      </c>
      <c r="G41" s="24" t="n"/>
      <c r="H41" s="24" t="n"/>
      <c r="I41" s="24" t="inlineStr"/>
      <c r="J41" s="24" t="inlineStr">
        <is>
          <t>2023/01/12</t>
        </is>
      </c>
    </row>
    <row r="42">
      <c r="B42" s="24" t="inlineStr">
        <is>
          <t>awe_do_library</t>
        </is>
      </c>
      <c r="C42" s="24" t="inlineStr">
        <is>
          <t>AUTOCOMPLETEFUN</t>
        </is>
      </c>
      <c r="D42" s="24" t="inlineStr">
        <is>
          <t>varchar(200)</t>
        </is>
      </c>
      <c r="E42" s="24" t="inlineStr">
        <is>
          <t>YES</t>
        </is>
      </c>
      <c r="F42" s="24" t="inlineStr">
        <is>
          <t>自动完成触发的js函数;</t>
        </is>
      </c>
      <c r="G42" s="24" t="n"/>
      <c r="H42" s="24" t="n"/>
      <c r="I42" s="24" t="inlineStr"/>
      <c r="J42" s="24" t="inlineStr">
        <is>
          <t>2023/01/12</t>
        </is>
      </c>
    </row>
  </sheetData>
  <pageMargins left="0.75" right="0.75" top="1" bottom="1" header="0.5" footer="0.5"/>
  <pageSetup orientation="portrait" paperSize="1" horizontalDpi="300" verticalDpi="300"/>
</worksheet>
</file>

<file path=xl/worksheets/sheet28.xml><?xml version="1.0" encoding="utf-8"?>
<worksheet xmlns="http://schemas.openxmlformats.org/spreadsheetml/2006/main">
  <sheetPr>
    <outlinePr summaryBelow="1" summaryRight="1"/>
    <pageSetUpPr/>
  </sheetPr>
  <dimension ref="A1:J15"/>
  <sheetViews>
    <sheetView zoomScaleSheetLayoutView="60" workbookViewId="0">
      <selection activeCell="D27" sqref="D27"/>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OW显示模板样式表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awe_do_modes</t>
        </is>
      </c>
      <c r="C3" s="24" t="inlineStr">
        <is>
          <t>MODEID</t>
        </is>
      </c>
      <c r="D3" s="24" t="inlineStr">
        <is>
          <t>varchar(32)</t>
        </is>
      </c>
      <c r="E3" s="24" t="inlineStr">
        <is>
          <t>NO</t>
        </is>
      </c>
      <c r="F3" s="24" t="inlineStr">
        <is>
          <t>编号</t>
        </is>
      </c>
      <c r="G3" s="24" t="n"/>
      <c r="H3" s="24" t="n"/>
      <c r="I3" s="24" t="inlineStr"/>
      <c r="J3" s="24" t="inlineStr">
        <is>
          <t>2023/01/12</t>
        </is>
      </c>
    </row>
    <row r="4">
      <c r="B4" s="24" t="inlineStr">
        <is>
          <t>awe_do_modes</t>
        </is>
      </c>
      <c r="C4" s="24" t="inlineStr">
        <is>
          <t>COLCOUNT</t>
        </is>
      </c>
      <c r="D4" s="24" t="inlineStr">
        <is>
          <t>int</t>
        </is>
      </c>
      <c r="E4" s="24" t="inlineStr">
        <is>
          <t>YES</t>
        </is>
      </c>
      <c r="F4" s="24" t="inlineStr">
        <is>
          <t>分栏数</t>
        </is>
      </c>
      <c r="G4" s="24" t="n"/>
      <c r="H4" s="24" t="n"/>
      <c r="I4" s="24" t="inlineStr"/>
      <c r="J4" s="24" t="inlineStr">
        <is>
          <t>2023/01/12</t>
        </is>
      </c>
    </row>
    <row r="5">
      <c r="B5" s="24" t="inlineStr">
        <is>
          <t>awe_do_modes</t>
        </is>
      </c>
      <c r="C5" s="24" t="inlineStr">
        <is>
          <t>MODENAME</t>
        </is>
      </c>
      <c r="D5" s="24" t="inlineStr">
        <is>
          <t>varchar(80)</t>
        </is>
      </c>
      <c r="E5" s="24" t="inlineStr">
        <is>
          <t>YES</t>
        </is>
      </c>
      <c r="F5" s="24" t="inlineStr">
        <is>
          <t>样式名</t>
        </is>
      </c>
      <c r="G5" s="24" t="n"/>
      <c r="H5" s="24" t="n"/>
      <c r="I5" s="24" t="inlineStr"/>
      <c r="J5" s="24" t="inlineStr">
        <is>
          <t>2023/01/12</t>
        </is>
      </c>
    </row>
    <row r="6">
      <c r="B6" s="24" t="inlineStr">
        <is>
          <t>awe_do_modes</t>
        </is>
      </c>
      <c r="C6" s="24" t="inlineStr">
        <is>
          <t>MODEDESC</t>
        </is>
      </c>
      <c r="D6" s="24" t="inlineStr">
        <is>
          <t>varchar(500)</t>
        </is>
      </c>
      <c r="E6" s="24" t="inlineStr">
        <is>
          <t>YES</t>
        </is>
      </c>
      <c r="F6" s="24" t="inlineStr">
        <is>
          <t>样式描述</t>
        </is>
      </c>
      <c r="G6" s="24" t="n"/>
      <c r="H6" s="24" t="n"/>
      <c r="I6" s="24" t="inlineStr"/>
      <c r="J6" s="24" t="inlineStr">
        <is>
          <t>2023/01/12</t>
        </is>
      </c>
    </row>
    <row r="7">
      <c r="B7" s="24" t="inlineStr">
        <is>
          <t>awe_do_modes</t>
        </is>
      </c>
      <c r="C7" s="24" t="inlineStr">
        <is>
          <t>CONTROLHEAD</t>
        </is>
      </c>
      <c r="D7" s="24" t="inlineStr">
        <is>
          <t>varchar(200)</t>
        </is>
      </c>
      <c r="E7" s="24" t="inlineStr">
        <is>
          <t>YES</t>
        </is>
      </c>
      <c r="F7" s="24" t="inlineStr">
        <is>
          <t>控制头文件地址</t>
        </is>
      </c>
      <c r="G7" s="24" t="n"/>
      <c r="H7" s="24" t="n"/>
      <c r="I7" s="24" t="inlineStr"/>
      <c r="J7" s="24" t="inlineStr">
        <is>
          <t>2023/01/12</t>
        </is>
      </c>
    </row>
    <row r="8">
      <c r="B8" s="24" t="inlineStr">
        <is>
          <t>awe_do_modes</t>
        </is>
      </c>
      <c r="C8" s="24" t="inlineStr">
        <is>
          <t>CONTROLFOOT</t>
        </is>
      </c>
      <c r="D8" s="24" t="inlineStr">
        <is>
          <t>varchar(200)</t>
        </is>
      </c>
      <c r="E8" s="24" t="inlineStr">
        <is>
          <t>YES</t>
        </is>
      </c>
      <c r="F8" s="24" t="inlineStr">
        <is>
          <t>控制尾文件地址</t>
        </is>
      </c>
      <c r="G8" s="24" t="n"/>
      <c r="H8" s="24" t="n"/>
      <c r="I8" s="24" t="inlineStr"/>
      <c r="J8" s="24" t="inlineStr">
        <is>
          <t>2023/01/12</t>
        </is>
      </c>
    </row>
    <row r="9">
      <c r="B9" s="24" t="inlineStr">
        <is>
          <t>awe_do_modes</t>
        </is>
      </c>
      <c r="C9" s="24" t="inlineStr">
        <is>
          <t>GROUPBODYPARSER</t>
        </is>
      </c>
      <c r="D9" s="24" t="inlineStr">
        <is>
          <t>varchar(500)</t>
        </is>
      </c>
      <c r="E9" s="24" t="inlineStr">
        <is>
          <t>YES</t>
        </is>
      </c>
      <c r="F9" s="24" t="inlineStr">
        <is>
          <t>类型体解析</t>
        </is>
      </c>
      <c r="G9" s="24" t="n"/>
      <c r="H9" s="24" t="n"/>
      <c r="I9" s="24" t="inlineStr"/>
      <c r="J9" s="24" t="inlineStr">
        <is>
          <t>2023/01/12</t>
        </is>
      </c>
    </row>
    <row r="10">
      <c r="B10" s="24" t="inlineStr">
        <is>
          <t>awe_do_modes</t>
        </is>
      </c>
      <c r="C10" s="24" t="inlineStr">
        <is>
          <t>HTMLFOOT</t>
        </is>
      </c>
      <c r="D10" s="24" t="inlineStr">
        <is>
          <t>text</t>
        </is>
      </c>
      <c r="E10" s="24" t="inlineStr">
        <is>
          <t>YES</t>
        </is>
      </c>
      <c r="F10" s="24" t="inlineStr">
        <is>
          <t>HTML尾</t>
        </is>
      </c>
      <c r="G10" s="24" t="n"/>
      <c r="H10" s="24" t="n"/>
      <c r="I10" s="24" t="inlineStr"/>
      <c r="J10" s="24" t="inlineStr">
        <is>
          <t>2023/01/12</t>
        </is>
      </c>
    </row>
    <row r="11">
      <c r="B11" s="24" t="inlineStr">
        <is>
          <t>awe_do_modes</t>
        </is>
      </c>
      <c r="C11" s="24" t="inlineStr">
        <is>
          <t>HTMLHEAD</t>
        </is>
      </c>
      <c r="D11" s="24" t="inlineStr">
        <is>
          <t>text</t>
        </is>
      </c>
      <c r="E11" s="24" t="inlineStr">
        <is>
          <t>YES</t>
        </is>
      </c>
      <c r="F11" s="24" t="inlineStr">
        <is>
          <t>HTML头</t>
        </is>
      </c>
      <c r="G11" s="24" t="n"/>
      <c r="H11" s="24" t="n"/>
      <c r="I11" s="24" t="inlineStr"/>
      <c r="J11" s="24" t="inlineStr">
        <is>
          <t>2023/01/12</t>
        </is>
      </c>
    </row>
    <row r="12">
      <c r="B12" s="24" t="inlineStr">
        <is>
          <t>awe_do_modes</t>
        </is>
      </c>
      <c r="C12" s="24" t="inlineStr">
        <is>
          <t>GROUPBODY2</t>
        </is>
      </c>
      <c r="D12" s="24" t="inlineStr">
        <is>
          <t>varchar(4000)</t>
        </is>
      </c>
      <c r="E12" s="24" t="inlineStr">
        <is>
          <t>YES</t>
        </is>
      </c>
      <c r="F12" s="24" t="inlineStr">
        <is>
          <t>分组体2</t>
        </is>
      </c>
      <c r="G12" s="24" t="n"/>
      <c r="H12" s="24" t="n"/>
      <c r="I12" s="24" t="inlineStr"/>
      <c r="J12" s="24" t="inlineStr">
        <is>
          <t>2023/01/12</t>
        </is>
      </c>
    </row>
    <row r="13">
      <c r="B13" s="24" t="inlineStr">
        <is>
          <t>awe_do_modes</t>
        </is>
      </c>
      <c r="C13" s="24" t="inlineStr">
        <is>
          <t>GROUPBODY1</t>
        </is>
      </c>
      <c r="D13" s="24" t="inlineStr">
        <is>
          <t>varchar(4000)</t>
        </is>
      </c>
      <c r="E13" s="24" t="inlineStr">
        <is>
          <t>YES</t>
        </is>
      </c>
      <c r="F13" s="24" t="inlineStr">
        <is>
          <t>分组体1</t>
        </is>
      </c>
      <c r="G13" s="24" t="n"/>
      <c r="H13" s="24" t="n"/>
      <c r="I13" s="24" t="inlineStr"/>
      <c r="J13" s="24" t="inlineStr">
        <is>
          <t>2023/01/12</t>
        </is>
      </c>
    </row>
    <row r="14">
      <c r="B14" s="24" t="inlineStr">
        <is>
          <t>awe_do_modes</t>
        </is>
      </c>
      <c r="C14" s="24" t="inlineStr">
        <is>
          <t>GROUPFOOT</t>
        </is>
      </c>
      <c r="D14" s="24" t="inlineStr">
        <is>
          <t>text</t>
        </is>
      </c>
      <c r="E14" s="24" t="inlineStr">
        <is>
          <t>YES</t>
        </is>
      </c>
      <c r="F14" s="24" t="inlineStr">
        <is>
          <t>分组尾信息</t>
        </is>
      </c>
      <c r="G14" s="24" t="n"/>
      <c r="H14" s="24" t="n"/>
      <c r="I14" s="24" t="inlineStr"/>
      <c r="J14" s="24" t="inlineStr">
        <is>
          <t>2023/01/12</t>
        </is>
      </c>
    </row>
    <row r="15">
      <c r="B15" s="24" t="inlineStr">
        <is>
          <t>awe_do_modes</t>
        </is>
      </c>
      <c r="C15" s="24" t="inlineStr">
        <is>
          <t>GROUPHEAD</t>
        </is>
      </c>
      <c r="D15" s="24" t="inlineStr">
        <is>
          <t>text</t>
        </is>
      </c>
      <c r="E15" s="24" t="inlineStr">
        <is>
          <t>YES</t>
        </is>
      </c>
      <c r="F15" s="24" t="inlineStr">
        <is>
          <t>分组头信息</t>
        </is>
      </c>
      <c r="G15" s="24" t="n"/>
      <c r="H15" s="24" t="n"/>
      <c r="I15" s="24" t="inlineStr"/>
      <c r="J15" s="24" t="inlineStr">
        <is>
          <t>2023/01/12</t>
        </is>
      </c>
    </row>
  </sheetData>
  <pageMargins left="0.75" right="0.75" top="1" bottom="1" header="0.5" footer="0.5"/>
  <pageSetup orientation="portrait" paperSize="1" horizontalDpi="300" verticalDpi="300"/>
</worksheet>
</file>

<file path=xl/worksheets/sheet29.xml><?xml version="1.0" encoding="utf-8"?>
<worksheet xmlns="http://schemas.openxmlformats.org/spreadsheetml/2006/main">
  <sheetPr>
    <outlinePr summaryBelow="1" summaryRight="1"/>
    <pageSetUpPr/>
  </sheetPr>
  <dimension ref="A1:J16"/>
  <sheetViews>
    <sheetView zoomScaleSheetLayoutView="60" workbookViewId="0">
      <selection activeCell="F20" sqref="F20"/>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数据验证类</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awe_do_validate</t>
        </is>
      </c>
      <c r="C3" s="24" t="inlineStr">
        <is>
          <t>VALIDATORNAME</t>
        </is>
      </c>
      <c r="D3" s="24" t="inlineStr">
        <is>
          <t>varchar(80)</t>
        </is>
      </c>
      <c r="E3" s="24" t="inlineStr">
        <is>
          <t>NO</t>
        </is>
      </c>
      <c r="F3" s="24" t="inlineStr">
        <is>
          <t>验证名</t>
        </is>
      </c>
      <c r="G3" s="24" t="n"/>
      <c r="H3" s="24" t="n"/>
      <c r="I3" s="24" t="inlineStr"/>
      <c r="J3" s="24" t="inlineStr">
        <is>
          <t>2023/01/12</t>
        </is>
      </c>
    </row>
    <row r="4">
      <c r="B4" s="24" t="inlineStr">
        <is>
          <t>awe_do_validate</t>
        </is>
      </c>
      <c r="C4" s="24" t="inlineStr">
        <is>
          <t>VALIDATORTYPE</t>
        </is>
      </c>
      <c r="D4" s="24" t="inlineStr">
        <is>
          <t>varchar(18)</t>
        </is>
      </c>
      <c r="E4" s="24" t="inlineStr">
        <is>
          <t>YES</t>
        </is>
      </c>
      <c r="F4" s="24" t="inlineStr">
        <is>
          <t>验证类型</t>
        </is>
      </c>
      <c r="G4" s="24" t="n"/>
      <c r="H4" s="24" t="n"/>
      <c r="I4" s="24" t="inlineStr"/>
      <c r="J4" s="24" t="inlineStr">
        <is>
          <t>2023/01/12</t>
        </is>
      </c>
    </row>
    <row r="5">
      <c r="B5" s="24" t="inlineStr">
        <is>
          <t>awe_do_validate</t>
        </is>
      </c>
      <c r="C5" s="24" t="inlineStr">
        <is>
          <t>ERRMSG</t>
        </is>
      </c>
      <c r="D5" s="24" t="inlineStr">
        <is>
          <t>varchar(200)</t>
        </is>
      </c>
      <c r="E5" s="24" t="inlineStr">
        <is>
          <t>YES</t>
        </is>
      </c>
      <c r="F5" s="24" t="inlineStr">
        <is>
          <t>出错信息</t>
        </is>
      </c>
      <c r="G5" s="24" t="n"/>
      <c r="H5" s="24" t="n"/>
      <c r="I5" s="24" t="inlineStr"/>
      <c r="J5" s="24" t="inlineStr">
        <is>
          <t>2023/01/12</t>
        </is>
      </c>
    </row>
    <row r="6">
      <c r="B6" s="24" t="inlineStr">
        <is>
          <t>awe_do_validate</t>
        </is>
      </c>
      <c r="C6" s="24" t="inlineStr">
        <is>
          <t>CONTROLTO</t>
        </is>
      </c>
      <c r="D6" s="24" t="inlineStr">
        <is>
          <t>varchar(80)</t>
        </is>
      </c>
      <c r="E6" s="24" t="inlineStr">
        <is>
          <t>YES</t>
        </is>
      </c>
      <c r="F6" s="24" t="inlineStr">
        <is>
          <t>对应控件名</t>
        </is>
      </c>
      <c r="G6" s="24" t="n"/>
      <c r="H6" s="24" t="n"/>
      <c r="I6" s="24" t="inlineStr"/>
      <c r="J6" s="24" t="inlineStr">
        <is>
          <t>2023/01/12</t>
        </is>
      </c>
    </row>
    <row r="7">
      <c r="B7" s="24" t="inlineStr">
        <is>
          <t>awe_do_validate</t>
        </is>
      </c>
      <c r="C7" s="24" t="inlineStr">
        <is>
          <t>REGULAR</t>
        </is>
      </c>
      <c r="D7" s="24" t="inlineStr">
        <is>
          <t>varchar(500)</t>
        </is>
      </c>
      <c r="E7" s="24" t="inlineStr">
        <is>
          <t>YES</t>
        </is>
      </c>
      <c r="F7" s="24" t="inlineStr">
        <is>
          <t>规则</t>
        </is>
      </c>
      <c r="G7" s="24" t="n"/>
      <c r="H7" s="24" t="n"/>
      <c r="I7" s="24" t="inlineStr"/>
      <c r="J7" s="24" t="inlineStr">
        <is>
          <t>2023/01/12</t>
        </is>
      </c>
    </row>
    <row r="8">
      <c r="B8" s="24" t="inlineStr">
        <is>
          <t>awe_do_validate</t>
        </is>
      </c>
      <c r="C8" s="24" t="inlineStr">
        <is>
          <t>CUSFUNCTION</t>
        </is>
      </c>
      <c r="D8" s="24" t="inlineStr">
        <is>
          <t>varchar(200)</t>
        </is>
      </c>
      <c r="E8" s="24" t="inlineStr">
        <is>
          <t>YES</t>
        </is>
      </c>
      <c r="F8" s="24" t="inlineStr">
        <is>
          <t>方法</t>
        </is>
      </c>
      <c r="G8" s="24" t="n"/>
      <c r="H8" s="24" t="n"/>
      <c r="I8" s="24" t="inlineStr"/>
      <c r="J8" s="24" t="inlineStr">
        <is>
          <t>2023/01/12</t>
        </is>
      </c>
    </row>
    <row r="9">
      <c r="B9" s="24" t="inlineStr">
        <is>
          <t>awe_do_validate</t>
        </is>
      </c>
      <c r="C9" s="24" t="inlineStr">
        <is>
          <t>COMPARETO</t>
        </is>
      </c>
      <c r="D9" s="24" t="inlineStr">
        <is>
          <t>varchar(200)</t>
        </is>
      </c>
      <c r="E9" s="24" t="inlineStr">
        <is>
          <t>YES</t>
        </is>
      </c>
      <c r="F9" s="24" t="inlineStr">
        <is>
          <t>比较控件</t>
        </is>
      </c>
      <c r="G9" s="24" t="n"/>
      <c r="H9" s="24" t="n"/>
      <c r="I9" s="24" t="inlineStr"/>
      <c r="J9" s="24" t="inlineStr">
        <is>
          <t>2023/01/12</t>
        </is>
      </c>
    </row>
    <row r="10">
      <c r="B10" s="24" t="inlineStr">
        <is>
          <t>awe_do_validate</t>
        </is>
      </c>
      <c r="C10" s="24" t="inlineStr">
        <is>
          <t>MINVALUE</t>
        </is>
      </c>
      <c r="D10" s="24" t="inlineStr">
        <is>
          <t>varchar(80)</t>
        </is>
      </c>
      <c r="E10" s="24" t="inlineStr">
        <is>
          <t>YES</t>
        </is>
      </c>
      <c r="F10" s="24" t="inlineStr">
        <is>
          <t>最小值</t>
        </is>
      </c>
      <c r="G10" s="24" t="n"/>
      <c r="H10" s="24" t="n"/>
      <c r="I10" s="24" t="inlineStr"/>
      <c r="J10" s="24" t="inlineStr">
        <is>
          <t>2023/01/12</t>
        </is>
      </c>
    </row>
    <row r="11">
      <c r="B11" s="24" t="inlineStr">
        <is>
          <t>awe_do_validate</t>
        </is>
      </c>
      <c r="C11" s="24" t="inlineStr">
        <is>
          <t>MAXVALUE</t>
        </is>
      </c>
      <c r="D11" s="24" t="inlineStr">
        <is>
          <t>varchar(80)</t>
        </is>
      </c>
      <c r="E11" s="24" t="inlineStr">
        <is>
          <t>YES</t>
        </is>
      </c>
      <c r="F11" s="24" t="inlineStr">
        <is>
          <t>最大值</t>
        </is>
      </c>
      <c r="G11" s="24" t="n"/>
      <c r="H11" s="24" t="n"/>
      <c r="I11" s="24" t="inlineStr"/>
      <c r="J11" s="24" t="inlineStr">
        <is>
          <t>2023/01/12</t>
        </is>
      </c>
    </row>
    <row r="12">
      <c r="B12" s="24" t="inlineStr">
        <is>
          <t>awe_do_validate</t>
        </is>
      </c>
      <c r="C12" s="24" t="inlineStr">
        <is>
          <t>INPUTTIME</t>
        </is>
      </c>
      <c r="D12" s="24" t="inlineStr">
        <is>
          <t>datetime</t>
        </is>
      </c>
      <c r="E12" s="24" t="inlineStr">
        <is>
          <t>YES</t>
        </is>
      </c>
      <c r="F12" s="24" t="inlineStr">
        <is>
          <t>输入时间</t>
        </is>
      </c>
      <c r="G12" s="24" t="n"/>
      <c r="H12" s="24" t="n"/>
      <c r="I12" s="24" t="inlineStr"/>
      <c r="J12" s="24" t="inlineStr">
        <is>
          <t>2023/01/12</t>
        </is>
      </c>
    </row>
    <row r="13">
      <c r="B13" s="24" t="inlineStr">
        <is>
          <t>awe_do_validate</t>
        </is>
      </c>
      <c r="C13" s="24" t="inlineStr">
        <is>
          <t>ISSYSTEM</t>
        </is>
      </c>
      <c r="D13" s="24" t="inlineStr">
        <is>
          <t>char(1)</t>
        </is>
      </c>
      <c r="E13" s="24" t="inlineStr">
        <is>
          <t>YES</t>
        </is>
      </c>
      <c r="F13" s="53" t="inlineStr">
        <is>
          <t>系统保留</t>
        </is>
      </c>
      <c r="G13" s="24" t="n"/>
      <c r="H13" s="24" t="n"/>
      <c r="I13" s="24" t="inlineStr"/>
      <c r="J13" s="24" t="inlineStr">
        <is>
          <t>2023/01/12</t>
        </is>
      </c>
    </row>
    <row r="14">
      <c r="B14" s="24" t="inlineStr">
        <is>
          <t>awe_do_validate</t>
        </is>
      </c>
      <c r="C14" s="24" t="inlineStr">
        <is>
          <t>COMPAREOBJ</t>
        </is>
      </c>
      <c r="D14" s="24" t="inlineStr">
        <is>
          <t>varchar(80)</t>
        </is>
      </c>
      <c r="E14" s="24" t="inlineStr">
        <is>
          <t>YES</t>
        </is>
      </c>
      <c r="F14" s="24" t="inlineStr">
        <is>
          <t>有条件比较对象</t>
        </is>
      </c>
      <c r="G14" s="24" t="n"/>
      <c r="H14" s="24" t="n"/>
      <c r="I14" s="24" t="inlineStr"/>
      <c r="J14" s="24" t="inlineStr">
        <is>
          <t>2023/01/12</t>
        </is>
      </c>
    </row>
    <row r="15">
      <c r="B15" s="24" t="inlineStr">
        <is>
          <t>awe_do_validate</t>
        </is>
      </c>
      <c r="C15" s="24" t="inlineStr">
        <is>
          <t>VALIDATORTITLE</t>
        </is>
      </c>
      <c r="D15" s="24" t="inlineStr">
        <is>
          <t>varchar(80)</t>
        </is>
      </c>
      <c r="E15" s="24" t="inlineStr">
        <is>
          <t>YES</t>
        </is>
      </c>
      <c r="F15" s="24" t="inlineStr">
        <is>
          <t>验证类标题</t>
        </is>
      </c>
      <c r="G15" s="24" t="n"/>
      <c r="H15" s="24" t="n"/>
      <c r="I15" s="24" t="inlineStr"/>
      <c r="J15" s="24" t="inlineStr">
        <is>
          <t>2023/01/12</t>
        </is>
      </c>
    </row>
    <row r="16">
      <c r="B16" s="24" t="inlineStr">
        <is>
          <t>awe_do_validate</t>
        </is>
      </c>
      <c r="C16" s="24" t="inlineStr">
        <is>
          <t>BUSINESSTYPE</t>
        </is>
      </c>
      <c r="D16" s="24" t="inlineStr">
        <is>
          <t>varchar(18)</t>
        </is>
      </c>
      <c r="E16" s="24" t="inlineStr">
        <is>
          <t>YES</t>
        </is>
      </c>
      <c r="F16" s="24" t="inlineStr">
        <is>
          <t>业务类型</t>
        </is>
      </c>
      <c r="G16" s="24" t="n"/>
      <c r="H16" s="24" t="n"/>
      <c r="I16" s="24" t="inlineStr"/>
      <c r="J16" s="24" t="inlineStr">
        <is>
          <t>2023/01/12</t>
        </is>
      </c>
    </row>
  </sheetData>
  <pageMargins left="0.75" right="0.75" top="1" bottom="1" header="0.5" footer="0.5"/>
  <pageSetup orientation="portrait" paperSize="1" horizontalDpi="300" verticalDpi="300"/>
</worksheet>
</file>

<file path=xl/worksheets/sheet30.xml><?xml version="1.0" encoding="utf-8"?>
<worksheet xmlns="http://schemas.openxmlformats.org/spreadsheetml/2006/main">
  <sheetPr>
    <outlinePr summaryBelow="1" summaryRight="1"/>
    <pageSetUpPr/>
  </sheetPr>
  <dimension ref="A1:J14"/>
  <sheetViews>
    <sheetView zoomScaleSheetLayoutView="60" workbookViewId="0">
      <selection activeCell="F19" sqref="F1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数据验证业务分类</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awe_do_validate_catalog</t>
        </is>
      </c>
      <c r="C3" s="24" t="inlineStr">
        <is>
          <t>CATALOGNO</t>
        </is>
      </c>
      <c r="D3" s="24" t="inlineStr">
        <is>
          <t>varchar(32)</t>
        </is>
      </c>
      <c r="E3" s="24" t="inlineStr">
        <is>
          <t>NO</t>
        </is>
      </c>
      <c r="F3" s="24" t="inlineStr">
        <is>
          <t>分类编号</t>
        </is>
      </c>
      <c r="G3" s="24" t="n"/>
      <c r="H3" s="24" t="n"/>
      <c r="I3" s="24" t="inlineStr"/>
      <c r="J3" s="24" t="inlineStr">
        <is>
          <t>2023/01/12</t>
        </is>
      </c>
    </row>
    <row r="4">
      <c r="B4" s="24" t="inlineStr">
        <is>
          <t>awe_do_validate_catalog</t>
        </is>
      </c>
      <c r="C4" s="24" t="inlineStr">
        <is>
          <t>CATALOGTITLE</t>
        </is>
      </c>
      <c r="D4" s="24" t="inlineStr">
        <is>
          <t>varchar(80)</t>
        </is>
      </c>
      <c r="E4" s="24" t="inlineStr">
        <is>
          <t>YES</t>
        </is>
      </c>
      <c r="F4" s="24" t="inlineStr">
        <is>
          <t>分类标题</t>
        </is>
      </c>
      <c r="G4" s="24" t="n"/>
      <c r="H4" s="24" t="n"/>
      <c r="I4" s="24" t="inlineStr"/>
      <c r="J4" s="24" t="inlineStr">
        <is>
          <t>2023/01/12</t>
        </is>
      </c>
    </row>
    <row r="5">
      <c r="B5" s="24" t="inlineStr">
        <is>
          <t>awe_do_validate_catalog</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awe_do_validate_catalog</t>
        </is>
      </c>
      <c r="C6" s="24" t="inlineStr">
        <is>
          <t>ISINUSE</t>
        </is>
      </c>
      <c r="D6" s="24" t="inlineStr">
        <is>
          <t>char(1)</t>
        </is>
      </c>
      <c r="E6" s="24" t="inlineStr">
        <is>
          <t>YES</t>
        </is>
      </c>
      <c r="F6" s="53" t="inlineStr">
        <is>
          <t>是否使用</t>
        </is>
      </c>
      <c r="G6" s="24" t="n"/>
      <c r="H6" s="24" t="n"/>
      <c r="I6" s="24" t="inlineStr"/>
      <c r="J6" s="24" t="inlineStr">
        <is>
          <t>2023/01/12</t>
        </is>
      </c>
    </row>
    <row r="7">
      <c r="B7" s="24" t="inlineStr">
        <is>
          <t>awe_do_validate_catalog</t>
        </is>
      </c>
      <c r="C7" s="24" t="inlineStr">
        <is>
          <t>ATTRIBUTE1</t>
        </is>
      </c>
      <c r="D7" s="24" t="inlineStr">
        <is>
          <t>varchar(32)</t>
        </is>
      </c>
      <c r="E7" s="24" t="inlineStr">
        <is>
          <t>YES</t>
        </is>
      </c>
      <c r="F7" s="24" t="inlineStr">
        <is>
          <t>参数1</t>
        </is>
      </c>
      <c r="G7" s="24" t="n"/>
      <c r="H7" s="24" t="n"/>
      <c r="I7" s="24" t="inlineStr"/>
      <c r="J7" s="24" t="inlineStr">
        <is>
          <t>2023/01/12</t>
        </is>
      </c>
    </row>
    <row r="8">
      <c r="B8" s="24" t="inlineStr">
        <is>
          <t>awe_do_validate_catalog</t>
        </is>
      </c>
      <c r="C8" s="24" t="inlineStr">
        <is>
          <t>ATTRIBUTE2</t>
        </is>
      </c>
      <c r="D8" s="24" t="inlineStr">
        <is>
          <t>varchar(32)</t>
        </is>
      </c>
      <c r="E8" s="24" t="inlineStr">
        <is>
          <t>YES</t>
        </is>
      </c>
      <c r="F8" s="24" t="inlineStr">
        <is>
          <t>参数2</t>
        </is>
      </c>
      <c r="G8" s="24" t="n"/>
      <c r="H8" s="24" t="n"/>
      <c r="I8" s="24" t="inlineStr"/>
      <c r="J8" s="24" t="inlineStr">
        <is>
          <t>2023/01/12</t>
        </is>
      </c>
    </row>
    <row r="9">
      <c r="B9" s="24" t="inlineStr">
        <is>
          <t>awe_do_validate_catalog</t>
        </is>
      </c>
      <c r="C9" s="24" t="inlineStr">
        <is>
          <t>ATTRIBUTE3</t>
        </is>
      </c>
      <c r="D9" s="24" t="inlineStr">
        <is>
          <t>varchar(32)</t>
        </is>
      </c>
      <c r="E9" s="24" t="inlineStr">
        <is>
          <t>YES</t>
        </is>
      </c>
      <c r="F9" s="24" t="inlineStr">
        <is>
          <t>参数3</t>
        </is>
      </c>
      <c r="G9" s="24" t="n"/>
      <c r="H9" s="24" t="n"/>
      <c r="I9" s="24" t="inlineStr"/>
      <c r="J9" s="24" t="inlineStr">
        <is>
          <t>2023/01/12</t>
        </is>
      </c>
    </row>
    <row r="10">
      <c r="B10" s="24" t="inlineStr">
        <is>
          <t>awe_do_validate_catalog</t>
        </is>
      </c>
      <c r="C10" s="24" t="inlineStr">
        <is>
          <t>ATTRIBUTE4</t>
        </is>
      </c>
      <c r="D10" s="24" t="inlineStr">
        <is>
          <t>varchar(32)</t>
        </is>
      </c>
      <c r="E10" s="24" t="inlineStr">
        <is>
          <t>YES</t>
        </is>
      </c>
      <c r="F10" s="24" t="inlineStr">
        <is>
          <t>参数4</t>
        </is>
      </c>
      <c r="G10" s="24" t="n"/>
      <c r="H10" s="24" t="n"/>
      <c r="I10" s="24" t="inlineStr"/>
      <c r="J10" s="24" t="inlineStr">
        <is>
          <t>2023/01/12</t>
        </is>
      </c>
    </row>
    <row r="11">
      <c r="B11" s="24" t="inlineStr">
        <is>
          <t>awe_do_validate_catalog</t>
        </is>
      </c>
      <c r="C11" s="24" t="inlineStr">
        <is>
          <t>ATTRIBUTE5</t>
        </is>
      </c>
      <c r="D11" s="24" t="inlineStr">
        <is>
          <t>varchar(500)</t>
        </is>
      </c>
      <c r="E11" s="24" t="inlineStr">
        <is>
          <t>YES</t>
        </is>
      </c>
      <c r="F11" s="24" t="inlineStr">
        <is>
          <t>参数5</t>
        </is>
      </c>
      <c r="G11" s="24" t="n"/>
      <c r="H11" s="24" t="n"/>
      <c r="I11" s="24" t="inlineStr"/>
      <c r="J11" s="24" t="inlineStr">
        <is>
          <t>2023/01/12</t>
        </is>
      </c>
    </row>
    <row r="12">
      <c r="B12" s="24" t="inlineStr">
        <is>
          <t>awe_do_validate_catalog</t>
        </is>
      </c>
      <c r="C12" s="24" t="inlineStr">
        <is>
          <t>ATTRIBUTE6</t>
        </is>
      </c>
      <c r="D12" s="24" t="inlineStr">
        <is>
          <t>varchar(500)</t>
        </is>
      </c>
      <c r="E12" s="24" t="inlineStr">
        <is>
          <t>YES</t>
        </is>
      </c>
      <c r="F12" s="24" t="inlineStr">
        <is>
          <t>参数6</t>
        </is>
      </c>
      <c r="G12" s="24" t="n"/>
      <c r="H12" s="24" t="n"/>
      <c r="I12" s="24" t="inlineStr"/>
      <c r="J12" s="24" t="inlineStr">
        <is>
          <t>2023/01/12</t>
        </is>
      </c>
    </row>
    <row r="13">
      <c r="B13" s="24" t="inlineStr">
        <is>
          <t>awe_do_validate_catalog</t>
        </is>
      </c>
      <c r="C13" s="24" t="inlineStr">
        <is>
          <t>ATTRIBUTE7</t>
        </is>
      </c>
      <c r="D13" s="24" t="inlineStr">
        <is>
          <t>varchar(500)</t>
        </is>
      </c>
      <c r="E13" s="24" t="inlineStr">
        <is>
          <t>YES</t>
        </is>
      </c>
      <c r="F13" s="24" t="inlineStr">
        <is>
          <t>参数7</t>
        </is>
      </c>
      <c r="G13" s="24" t="n"/>
      <c r="H13" s="24" t="n"/>
      <c r="I13" s="24" t="inlineStr"/>
      <c r="J13" s="24" t="inlineStr">
        <is>
          <t>2023/01/12</t>
        </is>
      </c>
    </row>
    <row r="14">
      <c r="B14" s="24" t="inlineStr">
        <is>
          <t>awe_do_validate_catalog</t>
        </is>
      </c>
      <c r="C14" s="24" t="inlineStr">
        <is>
          <t>ATTRIBUTE8</t>
        </is>
      </c>
      <c r="D14" s="24" t="inlineStr">
        <is>
          <t>varchar(500)</t>
        </is>
      </c>
      <c r="E14" s="24" t="inlineStr">
        <is>
          <t>YES</t>
        </is>
      </c>
      <c r="F14" s="24" t="inlineStr">
        <is>
          <t>参数8</t>
        </is>
      </c>
      <c r="G14" s="24" t="n"/>
      <c r="H14" s="24" t="n"/>
      <c r="I14" s="24" t="inlineStr"/>
      <c r="J14" s="24" t="inlineStr">
        <is>
          <t>2023/01/12</t>
        </is>
      </c>
    </row>
  </sheetData>
  <pageMargins left="0.75" right="0.75" top="1" bottom="1" header="0.5" footer="0.5"/>
  <pageSetup orientation="portrait" paperSize="1" horizontalDpi="300" verticalDpi="300"/>
</worksheet>
</file>

<file path=xl/worksheets/sheet31.xml><?xml version="1.0" encoding="utf-8"?>
<worksheet xmlns="http://schemas.openxmlformats.org/spreadsheetml/2006/main">
  <sheetPr>
    <outlinePr summaryBelow="1" summaryRight="1"/>
    <pageSetUpPr/>
  </sheetPr>
  <dimension ref="A1:J6"/>
  <sheetViews>
    <sheetView zoomScaleSheetLayoutView="60" workbookViewId="0">
      <selection activeCell="A1" sqref="A1"/>
    </sheetView>
  </sheetViews>
  <sheetFormatPr baseColWidth="8" defaultColWidth="9.142857142857141" defaultRowHeight="15.2" outlineLevelRow="5"/>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显示模板环境</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awe_dw_context</t>
        </is>
      </c>
      <c r="C3" s="24" t="inlineStr">
        <is>
          <t>SERIALNO</t>
        </is>
      </c>
      <c r="D3" s="24" t="inlineStr">
        <is>
          <t>varchar(32)</t>
        </is>
      </c>
      <c r="E3" s="24" t="inlineStr">
        <is>
          <t>NO</t>
        </is>
      </c>
      <c r="F3" s="24" t="inlineStr">
        <is>
          <t>自动编号</t>
        </is>
      </c>
      <c r="G3" s="24" t="n"/>
      <c r="H3" s="24" t="n"/>
      <c r="I3" s="24" t="inlineStr"/>
      <c r="J3" s="24" t="inlineStr">
        <is>
          <t>2023/01/12</t>
        </is>
      </c>
    </row>
    <row r="4">
      <c r="B4" s="24" t="inlineStr">
        <is>
          <t>awe_dw_context</t>
        </is>
      </c>
      <c r="C4" s="24" t="inlineStr">
        <is>
          <t>OBJECTTYPE</t>
        </is>
      </c>
      <c r="D4" s="24" t="inlineStr">
        <is>
          <t>varchar(32)</t>
        </is>
      </c>
      <c r="E4" s="24" t="inlineStr">
        <is>
          <t>YES</t>
        </is>
      </c>
      <c r="F4" s="24" t="inlineStr">
        <is>
          <t>对象类型</t>
        </is>
      </c>
      <c r="G4" s="24" t="n"/>
      <c r="H4" s="24" t="n"/>
      <c r="I4" s="24" t="inlineStr"/>
      <c r="J4" s="24" t="inlineStr">
        <is>
          <t>2023/01/12</t>
        </is>
      </c>
    </row>
    <row r="5">
      <c r="B5" s="24" t="inlineStr">
        <is>
          <t>awe_dw_context</t>
        </is>
      </c>
      <c r="C5" s="24" t="inlineStr">
        <is>
          <t>OBJECTNO</t>
        </is>
      </c>
      <c r="D5" s="24" t="inlineStr">
        <is>
          <t>varchar(32)</t>
        </is>
      </c>
      <c r="E5" s="24" t="inlineStr">
        <is>
          <t>YES</t>
        </is>
      </c>
      <c r="F5" s="24" t="inlineStr">
        <is>
          <t>对象名</t>
        </is>
      </c>
      <c r="G5" s="24" t="n"/>
      <c r="H5" s="24" t="n"/>
      <c r="I5" s="24" t="inlineStr"/>
      <c r="J5" s="24" t="inlineStr">
        <is>
          <t>2023/01/12</t>
        </is>
      </c>
    </row>
    <row r="6">
      <c r="B6" s="24" t="inlineStr">
        <is>
          <t>awe_dw_context</t>
        </is>
      </c>
      <c r="C6" s="24" t="inlineStr">
        <is>
          <t>CONTENT</t>
        </is>
      </c>
      <c r="D6" s="24" t="inlineStr">
        <is>
          <t>varchar(4000)</t>
        </is>
      </c>
      <c r="E6" s="24" t="inlineStr">
        <is>
          <t>YES</t>
        </is>
      </c>
      <c r="F6" s="24" t="inlineStr">
        <is>
          <t>内容</t>
        </is>
      </c>
      <c r="G6" s="24" t="n"/>
      <c r="H6" s="24" t="n"/>
      <c r="I6" s="24" t="inlineStr"/>
      <c r="J6" s="24" t="inlineStr">
        <is>
          <t>2023/01/12</t>
        </is>
      </c>
    </row>
  </sheetData>
  <pageMargins left="0.75" right="0.75" top="1" bottom="1" header="0.5" footer="0.5"/>
  <pageSetup orientation="portrait" paperSize="1" horizontalDpi="300" verticalDpi="300"/>
</worksheet>
</file>

<file path=xl/worksheets/sheet32.xml><?xml version="1.0" encoding="utf-8"?>
<worksheet xmlns="http://schemas.openxmlformats.org/spreadsheetml/2006/main">
  <sheetPr>
    <outlinePr summaryBelow="1" summaryRight="1"/>
    <pageSetUpPr/>
  </sheetPr>
  <dimension ref="A1:J17"/>
  <sheetViews>
    <sheetView zoomScaleSheetLayoutView="60" workbookViewId="0">
      <selection activeCell="D33" sqref="D3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功能点信息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awe_function_info</t>
        </is>
      </c>
      <c r="C3" s="24" t="inlineStr">
        <is>
          <t>FUNCTIONID</t>
        </is>
      </c>
      <c r="D3" s="24" t="inlineStr">
        <is>
          <t>varchar(32)</t>
        </is>
      </c>
      <c r="E3" s="24" t="inlineStr">
        <is>
          <t>NO</t>
        </is>
      </c>
      <c r="F3" s="24" t="inlineStr">
        <is>
          <t>功能点id</t>
        </is>
      </c>
      <c r="G3" s="24" t="n"/>
      <c r="H3" s="24" t="n"/>
      <c r="I3" s="24" t="inlineStr"/>
      <c r="J3" s="24" t="inlineStr">
        <is>
          <t>2023/01/12</t>
        </is>
      </c>
    </row>
    <row r="4">
      <c r="B4" s="24" t="inlineStr">
        <is>
          <t>awe_function_info</t>
        </is>
      </c>
      <c r="C4" s="24" t="inlineStr">
        <is>
          <t>FUNCTIONNAME</t>
        </is>
      </c>
      <c r="D4" s="24" t="inlineStr">
        <is>
          <t>varchar(80)</t>
        </is>
      </c>
      <c r="E4" s="24" t="inlineStr">
        <is>
          <t>YES</t>
        </is>
      </c>
      <c r="F4" s="24" t="inlineStr">
        <is>
          <t>功能点名</t>
        </is>
      </c>
      <c r="G4" s="24" t="n"/>
      <c r="H4" s="24" t="n"/>
      <c r="I4" s="24" t="inlineStr"/>
      <c r="J4" s="24" t="inlineStr">
        <is>
          <t>2023/01/12</t>
        </is>
      </c>
    </row>
    <row r="5">
      <c r="B5" s="24" t="inlineStr">
        <is>
          <t>awe_function_info</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awe_function_info</t>
        </is>
      </c>
      <c r="C6" s="24" t="inlineStr">
        <is>
          <t>ISINUSE</t>
        </is>
      </c>
      <c r="D6" s="24" t="inlineStr">
        <is>
          <t>varchar(6)</t>
        </is>
      </c>
      <c r="E6" s="24" t="inlineStr">
        <is>
          <t>YES</t>
        </is>
      </c>
      <c r="F6" s="24" t="inlineStr">
        <is>
          <t>是否可用</t>
        </is>
      </c>
      <c r="G6" s="52">
        <f>HYPERLINK("#码值映射清单!B1110","IsInUse")</f>
        <v/>
      </c>
      <c r="H6" s="24" t="n"/>
      <c r="I6" s="24" t="inlineStr"/>
      <c r="J6" s="24" t="inlineStr">
        <is>
          <t>2023/01/12</t>
        </is>
      </c>
    </row>
    <row r="7">
      <c r="B7" s="24" t="inlineStr">
        <is>
          <t>awe_function_info</t>
        </is>
      </c>
      <c r="C7" s="24" t="inlineStr">
        <is>
          <t>APPID</t>
        </is>
      </c>
      <c r="D7" s="24" t="inlineStr">
        <is>
          <t>varchar(32)</t>
        </is>
      </c>
      <c r="E7" s="24" t="inlineStr">
        <is>
          <t>YES</t>
        </is>
      </c>
      <c r="F7" s="24" t="inlineStr">
        <is>
          <t>菜单ID</t>
        </is>
      </c>
      <c r="G7" s="24" t="n"/>
      <c r="H7" s="24" t="n"/>
      <c r="I7" s="24" t="inlineStr"/>
      <c r="J7" s="24" t="inlineStr">
        <is>
          <t>2023/01/12</t>
        </is>
      </c>
    </row>
    <row r="8">
      <c r="B8" s="24" t="inlineStr">
        <is>
          <t>awe_function_info</t>
        </is>
      </c>
      <c r="C8" s="24" t="inlineStr">
        <is>
          <t>MODULEID</t>
        </is>
      </c>
      <c r="D8" s="24" t="inlineStr">
        <is>
          <t>varchar(32)</t>
        </is>
      </c>
      <c r="E8" s="24" t="inlineStr">
        <is>
          <t>YES</t>
        </is>
      </c>
      <c r="F8" s="24" t="inlineStr">
        <is>
          <t>模块ID</t>
        </is>
      </c>
      <c r="G8" s="24" t="n"/>
      <c r="H8" s="24" t="n"/>
      <c r="I8" s="24" t="inlineStr"/>
      <c r="J8" s="24" t="inlineStr">
        <is>
          <t>2023/01/12</t>
        </is>
      </c>
    </row>
    <row r="9">
      <c r="B9" s="24" t="inlineStr">
        <is>
          <t>awe_function_info</t>
        </is>
      </c>
      <c r="C9" s="24" t="inlineStr">
        <is>
          <t>MODULENAME</t>
        </is>
      </c>
      <c r="D9" s="24" t="inlineStr">
        <is>
          <t>varchar(80)</t>
        </is>
      </c>
      <c r="E9" s="24" t="inlineStr">
        <is>
          <t>YES</t>
        </is>
      </c>
      <c r="F9" s="24" t="inlineStr">
        <is>
          <t>模块名</t>
        </is>
      </c>
      <c r="G9" s="24" t="n"/>
      <c r="H9" s="24" t="n"/>
      <c r="I9" s="24" t="inlineStr"/>
      <c r="J9" s="24" t="inlineStr">
        <is>
          <t>2023/01/12</t>
        </is>
      </c>
    </row>
    <row r="10">
      <c r="B10" s="24" t="inlineStr">
        <is>
          <t>awe_function_info</t>
        </is>
      </c>
      <c r="C10" s="24" t="inlineStr">
        <is>
          <t>ENTRYURL</t>
        </is>
      </c>
      <c r="D10" s="24" t="inlineStr">
        <is>
          <t>varchar(500)</t>
        </is>
      </c>
      <c r="E10" s="24" t="inlineStr">
        <is>
          <t>YES</t>
        </is>
      </c>
      <c r="F10" s="24" t="inlineStr">
        <is>
          <t>允许的URL</t>
        </is>
      </c>
      <c r="G10" s="24" t="n"/>
      <c r="H10" s="24" t="n"/>
      <c r="I10" s="24" t="inlineStr"/>
      <c r="J10" s="24" t="inlineStr">
        <is>
          <t>2023/01/12</t>
        </is>
      </c>
    </row>
    <row r="11">
      <c r="B11" s="24" t="inlineStr">
        <is>
          <t>awe_function_info</t>
        </is>
      </c>
      <c r="C11" s="24" t="inlineStr">
        <is>
          <t>REMARK</t>
        </is>
      </c>
      <c r="D11" s="24" t="inlineStr">
        <is>
          <t>varchar(500)</t>
        </is>
      </c>
      <c r="E11" s="24" t="inlineStr">
        <is>
          <t>YES</t>
        </is>
      </c>
      <c r="F11" s="24" t="inlineStr">
        <is>
          <t>备注</t>
        </is>
      </c>
      <c r="G11" s="24" t="n"/>
      <c r="H11" s="24" t="n"/>
      <c r="I11" s="24" t="inlineStr"/>
      <c r="J11" s="24" t="inlineStr">
        <is>
          <t>2023/01/12</t>
        </is>
      </c>
    </row>
    <row r="12">
      <c r="B12" s="24" t="inlineStr">
        <is>
          <t>awe_function_info</t>
        </is>
      </c>
      <c r="C12" s="24" t="inlineStr">
        <is>
          <t>INPUTORGID</t>
        </is>
      </c>
      <c r="D12" s="24" t="inlineStr">
        <is>
          <t>varchar(32)</t>
        </is>
      </c>
      <c r="E12" s="24" t="inlineStr">
        <is>
          <t>YES</t>
        </is>
      </c>
      <c r="F12" s="24" t="inlineStr">
        <is>
          <t>登记机构</t>
        </is>
      </c>
      <c r="G12" s="24" t="n"/>
      <c r="H12" s="24" t="n"/>
      <c r="I12" s="24" t="inlineStr"/>
      <c r="J12" s="24" t="inlineStr">
        <is>
          <t>2023/01/12</t>
        </is>
      </c>
    </row>
    <row r="13">
      <c r="B13" s="24" t="inlineStr">
        <is>
          <t>awe_function_info</t>
        </is>
      </c>
      <c r="C13" s="24" t="inlineStr">
        <is>
          <t>INPUTUSERID</t>
        </is>
      </c>
      <c r="D13" s="24" t="inlineStr">
        <is>
          <t>varchar(32)</t>
        </is>
      </c>
      <c r="E13" s="24" t="inlineStr">
        <is>
          <t>YES</t>
        </is>
      </c>
      <c r="F13" s="24" t="inlineStr">
        <is>
          <t>登记人</t>
        </is>
      </c>
      <c r="G13" s="24" t="n"/>
      <c r="H13" s="24" t="n"/>
      <c r="I13" s="24" t="inlineStr"/>
      <c r="J13" s="24" t="inlineStr">
        <is>
          <t>2023/01/12</t>
        </is>
      </c>
    </row>
    <row r="14">
      <c r="B14" s="24" t="inlineStr">
        <is>
          <t>awe_function_info</t>
        </is>
      </c>
      <c r="C14" s="24" t="inlineStr">
        <is>
          <t>INPUTTIME</t>
        </is>
      </c>
      <c r="D14" s="24" t="inlineStr">
        <is>
          <t>datetime</t>
        </is>
      </c>
      <c r="E14" s="24" t="inlineStr">
        <is>
          <t>YES</t>
        </is>
      </c>
      <c r="F14" s="24" t="inlineStr">
        <is>
          <t>登记时间</t>
        </is>
      </c>
      <c r="G14" s="24" t="n"/>
      <c r="H14" s="24" t="n"/>
      <c r="I14" s="24" t="inlineStr"/>
      <c r="J14" s="24" t="inlineStr">
        <is>
          <t>2023/01/12</t>
        </is>
      </c>
    </row>
    <row r="15">
      <c r="B15" s="24" t="inlineStr">
        <is>
          <t>awe_function_info</t>
        </is>
      </c>
      <c r="C15" s="24" t="inlineStr">
        <is>
          <t>UPDATEORGID</t>
        </is>
      </c>
      <c r="D15" s="24" t="inlineStr">
        <is>
          <t>varchar(32)</t>
        </is>
      </c>
      <c r="E15" s="24" t="inlineStr">
        <is>
          <t>YES</t>
        </is>
      </c>
      <c r="F15" s="24" t="inlineStr">
        <is>
          <t>更新机构</t>
        </is>
      </c>
      <c r="G15" s="24" t="n"/>
      <c r="H15" s="24" t="n"/>
      <c r="I15" s="24" t="inlineStr"/>
      <c r="J15" s="24" t="inlineStr">
        <is>
          <t>2023/01/12</t>
        </is>
      </c>
    </row>
    <row r="16">
      <c r="B16" s="24" t="inlineStr">
        <is>
          <t>awe_function_info</t>
        </is>
      </c>
      <c r="C16" s="24" t="inlineStr">
        <is>
          <t>UPDATEUSERID</t>
        </is>
      </c>
      <c r="D16" s="24" t="inlineStr">
        <is>
          <t>varchar(32)</t>
        </is>
      </c>
      <c r="E16" s="24" t="inlineStr">
        <is>
          <t>YES</t>
        </is>
      </c>
      <c r="F16" s="24" t="inlineStr">
        <is>
          <t>更新人</t>
        </is>
      </c>
      <c r="G16" s="24" t="n"/>
      <c r="H16" s="24" t="n"/>
      <c r="I16" s="24" t="inlineStr"/>
      <c r="J16" s="24" t="inlineStr">
        <is>
          <t>2023/01/12</t>
        </is>
      </c>
    </row>
    <row r="17">
      <c r="B17" s="24" t="inlineStr">
        <is>
          <t>awe_function_info</t>
        </is>
      </c>
      <c r="C17" s="24" t="inlineStr">
        <is>
          <t>UPDATETIME</t>
        </is>
      </c>
      <c r="D17" s="24" t="inlineStr">
        <is>
          <t>datetime</t>
        </is>
      </c>
      <c r="E17" s="24" t="inlineStr">
        <is>
          <t>YES</t>
        </is>
      </c>
      <c r="F17" s="24" t="inlineStr">
        <is>
          <t>更新时间</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33.xml><?xml version="1.0" encoding="utf-8"?>
<worksheet xmlns="http://schemas.openxmlformats.org/spreadsheetml/2006/main">
  <sheetPr>
    <outlinePr summaryBelow="1" summaryRight="1"/>
    <pageSetUpPr/>
  </sheetPr>
  <dimension ref="A1:J14"/>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功能点URL</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awe_function_url</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awe_function_url</t>
        </is>
      </c>
      <c r="C4" s="24" t="inlineStr">
        <is>
          <t>FUNCTIONID</t>
        </is>
      </c>
      <c r="D4" s="24" t="inlineStr">
        <is>
          <t>varchar(32)</t>
        </is>
      </c>
      <c r="E4" s="24" t="inlineStr">
        <is>
          <t>YES</t>
        </is>
      </c>
      <c r="F4" s="24" t="inlineStr">
        <is>
          <t>功能点ID</t>
        </is>
      </c>
      <c r="G4" s="24" t="n"/>
      <c r="H4" s="24" t="n"/>
      <c r="I4" s="24" t="inlineStr"/>
      <c r="J4" s="24" t="inlineStr">
        <is>
          <t>2023/01/12</t>
        </is>
      </c>
    </row>
    <row r="5">
      <c r="B5" s="24" t="inlineStr">
        <is>
          <t>awe_function_url</t>
        </is>
      </c>
      <c r="C5" s="24" t="inlineStr">
        <is>
          <t>RIGHTPOINTTYPE</t>
        </is>
      </c>
      <c r="D5" s="24" t="inlineStr">
        <is>
          <t>varchar(80)</t>
        </is>
      </c>
      <c r="E5" s="24" t="inlineStr">
        <is>
          <t>NO</t>
        </is>
      </c>
      <c r="F5" s="24" t="inlineStr">
        <is>
          <t>权限类型</t>
        </is>
      </c>
      <c r="G5" s="52">
        <f>HYPERLINK("#码值映射清单!B2943","RightPointType")</f>
        <v/>
      </c>
      <c r="H5" s="24" t="n"/>
      <c r="I5" s="24" t="inlineStr"/>
      <c r="J5" s="24" t="inlineStr">
        <is>
          <t>2023/01/12</t>
        </is>
      </c>
    </row>
    <row r="6">
      <c r="B6" s="24" t="inlineStr">
        <is>
          <t>awe_function_url</t>
        </is>
      </c>
      <c r="C6" s="24" t="inlineStr">
        <is>
          <t>RIGHTPOINTNAME</t>
        </is>
      </c>
      <c r="D6" s="24" t="inlineStr">
        <is>
          <t>varchar(80)</t>
        </is>
      </c>
      <c r="E6" s="24" t="inlineStr">
        <is>
          <t>NO</t>
        </is>
      </c>
      <c r="F6" s="24" t="inlineStr">
        <is>
          <t>权限名</t>
        </is>
      </c>
      <c r="G6" s="24" t="n"/>
      <c r="H6" s="24" t="n"/>
      <c r="I6" s="24" t="inlineStr"/>
      <c r="J6" s="24" t="inlineStr">
        <is>
          <t>2023/01/12</t>
        </is>
      </c>
    </row>
    <row r="7">
      <c r="B7" s="24" t="inlineStr">
        <is>
          <t>awe_function_url</t>
        </is>
      </c>
      <c r="C7" s="24" t="inlineStr">
        <is>
          <t>URL</t>
        </is>
      </c>
      <c r="D7" s="24" t="inlineStr">
        <is>
          <t>varchar(500)</t>
        </is>
      </c>
      <c r="E7" s="24" t="inlineStr">
        <is>
          <t>NO</t>
        </is>
      </c>
      <c r="F7" s="24" t="inlineStr">
        <is>
          <t>URL</t>
        </is>
      </c>
      <c r="G7" s="24" t="n"/>
      <c r="H7" s="24" t="n"/>
      <c r="I7" s="24" t="inlineStr"/>
      <c r="J7" s="24" t="inlineStr">
        <is>
          <t>2023/01/12</t>
        </is>
      </c>
    </row>
    <row r="8">
      <c r="B8" s="24" t="inlineStr">
        <is>
          <t>awe_function_url</t>
        </is>
      </c>
      <c r="C8" s="24" t="inlineStr">
        <is>
          <t>REMARK</t>
        </is>
      </c>
      <c r="D8" s="24" t="inlineStr">
        <is>
          <t>varchar(500)</t>
        </is>
      </c>
      <c r="E8" s="24" t="inlineStr">
        <is>
          <t>YES</t>
        </is>
      </c>
      <c r="F8" s="24" t="inlineStr">
        <is>
          <t>备注</t>
        </is>
      </c>
      <c r="G8" s="24" t="n"/>
      <c r="H8" s="24" t="n"/>
      <c r="I8" s="24" t="inlineStr"/>
      <c r="J8" s="24" t="inlineStr">
        <is>
          <t>2023/01/12</t>
        </is>
      </c>
    </row>
    <row r="9">
      <c r="B9" s="24" t="inlineStr">
        <is>
          <t>awe_function_url</t>
        </is>
      </c>
      <c r="C9" s="24" t="inlineStr">
        <is>
          <t>INPUTORGID</t>
        </is>
      </c>
      <c r="D9" s="24" t="inlineStr">
        <is>
          <t>varchar(32)</t>
        </is>
      </c>
      <c r="E9" s="24" t="inlineStr">
        <is>
          <t>YES</t>
        </is>
      </c>
      <c r="F9" s="24" t="inlineStr">
        <is>
          <t>登记机构</t>
        </is>
      </c>
      <c r="G9" s="24" t="n"/>
      <c r="H9" s="24" t="n"/>
      <c r="I9" s="24" t="inlineStr"/>
      <c r="J9" s="24" t="inlineStr">
        <is>
          <t>2023/01/12</t>
        </is>
      </c>
    </row>
    <row r="10">
      <c r="B10" s="24" t="inlineStr">
        <is>
          <t>awe_function_url</t>
        </is>
      </c>
      <c r="C10" s="24" t="inlineStr">
        <is>
          <t>INPUTUSERID</t>
        </is>
      </c>
      <c r="D10" s="24" t="inlineStr">
        <is>
          <t>varchar(32)</t>
        </is>
      </c>
      <c r="E10" s="24" t="inlineStr">
        <is>
          <t>YES</t>
        </is>
      </c>
      <c r="F10" s="24" t="inlineStr">
        <is>
          <t>登记用户</t>
        </is>
      </c>
      <c r="G10" s="24" t="n"/>
      <c r="H10" s="24" t="n"/>
      <c r="I10" s="24" t="inlineStr"/>
      <c r="J10" s="24" t="inlineStr">
        <is>
          <t>2023/01/12</t>
        </is>
      </c>
    </row>
    <row r="11">
      <c r="B11" s="24" t="inlineStr">
        <is>
          <t>awe_function_url</t>
        </is>
      </c>
      <c r="C11" s="24" t="inlineStr">
        <is>
          <t>INPUTTIME</t>
        </is>
      </c>
      <c r="D11" s="24" t="inlineStr">
        <is>
          <t>varchar(32)</t>
        </is>
      </c>
      <c r="E11" s="24" t="inlineStr">
        <is>
          <t>YES</t>
        </is>
      </c>
      <c r="F11" s="24" t="inlineStr">
        <is>
          <t>登记时间</t>
        </is>
      </c>
      <c r="G11" s="24" t="n"/>
      <c r="H11" s="24" t="n"/>
      <c r="I11" s="24" t="inlineStr"/>
      <c r="J11" s="24" t="inlineStr">
        <is>
          <t>2023/01/12</t>
        </is>
      </c>
    </row>
    <row r="12">
      <c r="B12" s="24" t="inlineStr">
        <is>
          <t>awe_function_url</t>
        </is>
      </c>
      <c r="C12" s="24" t="inlineStr">
        <is>
          <t>UPDATEORGID</t>
        </is>
      </c>
      <c r="D12" s="24" t="inlineStr">
        <is>
          <t>varchar(32)</t>
        </is>
      </c>
      <c r="E12" s="24" t="inlineStr">
        <is>
          <t>YES</t>
        </is>
      </c>
      <c r="F12" s="24" t="inlineStr">
        <is>
          <t>更新机构</t>
        </is>
      </c>
      <c r="G12" s="24" t="n"/>
      <c r="H12" s="24" t="n"/>
      <c r="I12" s="24" t="inlineStr"/>
      <c r="J12" s="24" t="inlineStr">
        <is>
          <t>2023/01/12</t>
        </is>
      </c>
    </row>
    <row r="13">
      <c r="B13" s="24" t="inlineStr">
        <is>
          <t>awe_function_url</t>
        </is>
      </c>
      <c r="C13" s="24" t="inlineStr">
        <is>
          <t>UPDATEUSERID</t>
        </is>
      </c>
      <c r="D13" s="24" t="inlineStr">
        <is>
          <t>varchar(32)</t>
        </is>
      </c>
      <c r="E13" s="24" t="inlineStr">
        <is>
          <t>YES</t>
        </is>
      </c>
      <c r="F13" s="24" t="inlineStr">
        <is>
          <t>更新用户</t>
        </is>
      </c>
      <c r="G13" s="24" t="n"/>
      <c r="H13" s="24" t="n"/>
      <c r="I13" s="24" t="inlineStr"/>
      <c r="J13" s="24" t="inlineStr">
        <is>
          <t>2023/01/12</t>
        </is>
      </c>
    </row>
    <row r="14">
      <c r="B14" s="24" t="inlineStr">
        <is>
          <t>awe_function_url</t>
        </is>
      </c>
      <c r="C14" s="24" t="inlineStr">
        <is>
          <t>UPDATETIME</t>
        </is>
      </c>
      <c r="D14" s="24" t="inlineStr">
        <is>
          <t>varchar(32)</t>
        </is>
      </c>
      <c r="E14" s="24" t="inlineStr">
        <is>
          <t>YES</t>
        </is>
      </c>
      <c r="F14" s="24" t="inlineStr">
        <is>
          <t>更新时间</t>
        </is>
      </c>
      <c r="G14" s="24" t="n"/>
      <c r="H14" s="24" t="n"/>
      <c r="I14" s="24" t="inlineStr"/>
      <c r="J14" s="24" t="inlineStr">
        <is>
          <t>2023/01/12</t>
        </is>
      </c>
    </row>
  </sheetData>
  <pageMargins left="0.75" right="0.75" top="1" bottom="1" header="0.5" footer="0.5"/>
  <pageSetup orientation="portrait" paperSize="1" horizontalDpi="300" verticalDpi="300"/>
</worksheet>
</file>

<file path=xl/worksheets/sheet34.xml><?xml version="1.0" encoding="utf-8"?>
<worksheet xmlns="http://schemas.openxmlformats.org/spreadsheetml/2006/main">
  <sheetPr>
    <outlinePr summaryBelow="1" summaryRight="1"/>
    <pageSetUpPr/>
  </sheetPr>
  <dimension ref="A1:J20"/>
  <sheetViews>
    <sheetView zoomScaleSheetLayoutView="60" workbookViewId="0">
      <selection activeCell="D28" sqref="D28"/>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组合页面目录信息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awe_group_catalog</t>
        </is>
      </c>
      <c r="C3" s="24" t="inlineStr">
        <is>
          <t>GROUPID</t>
        </is>
      </c>
      <c r="D3" s="24" t="inlineStr">
        <is>
          <t>varchar(32)</t>
        </is>
      </c>
      <c r="E3" s="24" t="inlineStr">
        <is>
          <t>NO</t>
        </is>
      </c>
      <c r="F3" s="24" t="inlineStr">
        <is>
          <t>组合编号</t>
        </is>
      </c>
      <c r="G3" s="24" t="n"/>
      <c r="H3" s="24" t="n"/>
      <c r="I3" s="24" t="inlineStr"/>
      <c r="J3" s="24" t="inlineStr">
        <is>
          <t>2023/01/12</t>
        </is>
      </c>
    </row>
    <row r="4">
      <c r="B4" s="24" t="inlineStr">
        <is>
          <t>awe_group_catalog</t>
        </is>
      </c>
      <c r="C4" s="24" t="inlineStr">
        <is>
          <t>GROUPNAME</t>
        </is>
      </c>
      <c r="D4" s="24" t="inlineStr">
        <is>
          <t>varchar(80)</t>
        </is>
      </c>
      <c r="E4" s="24" t="inlineStr">
        <is>
          <t>YES</t>
        </is>
      </c>
      <c r="F4" s="24" t="inlineStr">
        <is>
          <t>组合名称</t>
        </is>
      </c>
      <c r="G4" s="24" t="n"/>
      <c r="H4" s="24" t="n"/>
      <c r="I4" s="24" t="inlineStr"/>
      <c r="J4" s="24" t="inlineStr">
        <is>
          <t>2023/01/12</t>
        </is>
      </c>
    </row>
    <row r="5">
      <c r="B5" s="24" t="inlineStr">
        <is>
          <t>awe_group_catalog</t>
        </is>
      </c>
      <c r="C5" s="24" t="inlineStr">
        <is>
          <t>GROUPDESCRIBE</t>
        </is>
      </c>
      <c r="D5" s="24" t="inlineStr">
        <is>
          <t>varchar(200)</t>
        </is>
      </c>
      <c r="E5" s="24" t="inlineStr">
        <is>
          <t>YES</t>
        </is>
      </c>
      <c r="F5" s="24" t="inlineStr">
        <is>
          <t>描述</t>
        </is>
      </c>
      <c r="G5" s="24" t="n"/>
      <c r="H5" s="24" t="n"/>
      <c r="I5" s="24" t="inlineStr"/>
      <c r="J5" s="24" t="inlineStr">
        <is>
          <t>2023/01/12</t>
        </is>
      </c>
    </row>
    <row r="6">
      <c r="B6" s="24" t="inlineStr">
        <is>
          <t>awe_group_catalog</t>
        </is>
      </c>
      <c r="C6" s="24" t="inlineStr">
        <is>
          <t>CLASSIFYID</t>
        </is>
      </c>
      <c r="D6" s="24" t="inlineStr">
        <is>
          <t>varchar(32)</t>
        </is>
      </c>
      <c r="E6" s="24" t="inlineStr">
        <is>
          <t>YES</t>
        </is>
      </c>
      <c r="F6" s="24" t="inlineStr">
        <is>
          <t>分类编号</t>
        </is>
      </c>
      <c r="G6" s="24" t="n"/>
      <c r="H6" s="24" t="n"/>
      <c r="I6" s="24" t="inlineStr"/>
      <c r="J6" s="24" t="inlineStr">
        <is>
          <t>2023/01/12</t>
        </is>
      </c>
    </row>
    <row r="7">
      <c r="B7" s="24" t="inlineStr">
        <is>
          <t>awe_group_catalog</t>
        </is>
      </c>
      <c r="C7" s="24" t="inlineStr">
        <is>
          <t>DISPLAYTYPE</t>
        </is>
      </c>
      <c r="D7" s="24" t="inlineStr">
        <is>
          <t>varchar(18)</t>
        </is>
      </c>
      <c r="E7" s="24" t="inlineStr">
        <is>
          <t>YES</t>
        </is>
      </c>
      <c r="F7" s="24" t="inlineStr">
        <is>
          <t>展现类型</t>
        </is>
      </c>
      <c r="G7" s="52">
        <f>HYPERLINK("#码值映射清单!B4203","DisplayType")</f>
        <v/>
      </c>
      <c r="H7" s="24" t="n"/>
      <c r="I7" s="24" t="inlineStr"/>
      <c r="J7" s="24" t="inlineStr">
        <is>
          <t>2023/01/12</t>
        </is>
      </c>
    </row>
    <row r="8">
      <c r="B8" s="24" t="inlineStr">
        <is>
          <t>awe_group_catalog</t>
        </is>
      </c>
      <c r="C8" s="24" t="inlineStr">
        <is>
          <t>DEFAULTPAGE</t>
        </is>
      </c>
      <c r="D8" s="24" t="inlineStr">
        <is>
          <t>varchar(500)</t>
        </is>
      </c>
      <c r="E8" s="24" t="inlineStr">
        <is>
          <t>YES</t>
        </is>
      </c>
      <c r="F8" s="24" t="inlineStr">
        <is>
          <t>默认页面</t>
        </is>
      </c>
      <c r="G8" s="24" t="n"/>
      <c r="H8" s="24" t="n"/>
      <c r="I8" s="24" t="inlineStr"/>
      <c r="J8" s="24" t="inlineStr">
        <is>
          <t>2023/01/12</t>
        </is>
      </c>
    </row>
    <row r="9">
      <c r="B9" s="24" t="inlineStr">
        <is>
          <t>awe_group_catalog</t>
        </is>
      </c>
      <c r="C9" s="24" t="inlineStr">
        <is>
          <t>ISINUSE</t>
        </is>
      </c>
      <c r="D9" s="24" t="inlineStr">
        <is>
          <t>varchar(6)</t>
        </is>
      </c>
      <c r="E9" s="24" t="inlineStr">
        <is>
          <t>YES</t>
        </is>
      </c>
      <c r="F9" s="24" t="inlineStr">
        <is>
          <t>是否使用</t>
        </is>
      </c>
      <c r="G9" s="52">
        <f>HYPERLINK("#码值映射清单!B5150","YesNo")</f>
        <v/>
      </c>
      <c r="H9" s="24" t="n"/>
      <c r="I9" s="24" t="inlineStr"/>
      <c r="J9" s="24" t="inlineStr">
        <is>
          <t>2023/01/12</t>
        </is>
      </c>
    </row>
    <row r="10">
      <c r="B10" s="24" t="inlineStr">
        <is>
          <t>awe_group_catalog</t>
        </is>
      </c>
      <c r="C10" s="24" t="inlineStr">
        <is>
          <t>ATTRIBUTE1</t>
        </is>
      </c>
      <c r="D10" s="24" t="inlineStr">
        <is>
          <t>varchar(200)</t>
        </is>
      </c>
      <c r="E10" s="24" t="inlineStr">
        <is>
          <t>YES</t>
        </is>
      </c>
      <c r="F10" s="24" t="inlineStr">
        <is>
          <t>属性1</t>
        </is>
      </c>
      <c r="G10" s="52">
        <f>HYPERLINK("#码值映射清单!B10029","有无")</f>
        <v/>
      </c>
      <c r="H10" s="24" t="n"/>
      <c r="I10" s="24" t="inlineStr"/>
      <c r="J10" s="24" t="inlineStr">
        <is>
          <t>2023/01/12</t>
        </is>
      </c>
    </row>
    <row r="11">
      <c r="B11" s="24" t="inlineStr">
        <is>
          <t>awe_group_catalog</t>
        </is>
      </c>
      <c r="C11" s="24" t="inlineStr">
        <is>
          <t>ATTRIBUTE2</t>
        </is>
      </c>
      <c r="D11" s="24" t="inlineStr">
        <is>
          <t>varchar(200)</t>
        </is>
      </c>
      <c r="E11" s="24" t="inlineStr">
        <is>
          <t>YES</t>
        </is>
      </c>
      <c r="F11" s="24" t="inlineStr">
        <is>
          <t>属性2</t>
        </is>
      </c>
      <c r="G11" s="24" t="n"/>
      <c r="H11" s="24" t="n"/>
      <c r="I11" s="24" t="inlineStr"/>
      <c r="J11" s="24" t="inlineStr">
        <is>
          <t>2023/01/12</t>
        </is>
      </c>
    </row>
    <row r="12">
      <c r="B12" s="24" t="inlineStr">
        <is>
          <t>awe_group_catalog</t>
        </is>
      </c>
      <c r="C12" s="24" t="inlineStr">
        <is>
          <t>ATTRIBUTE3</t>
        </is>
      </c>
      <c r="D12" s="24" t="inlineStr">
        <is>
          <t>varchar(200)</t>
        </is>
      </c>
      <c r="E12" s="24" t="inlineStr">
        <is>
          <t>YES</t>
        </is>
      </c>
      <c r="F12" s="24" t="inlineStr">
        <is>
          <t>属性3</t>
        </is>
      </c>
      <c r="G12" s="24" t="n"/>
      <c r="H12" s="24" t="n"/>
      <c r="I12" s="24" t="inlineStr"/>
      <c r="J12" s="24" t="inlineStr">
        <is>
          <t>2023/01/12</t>
        </is>
      </c>
    </row>
    <row r="13">
      <c r="B13" s="24" t="inlineStr">
        <is>
          <t>awe_group_catalog</t>
        </is>
      </c>
      <c r="C13" s="24" t="inlineStr">
        <is>
          <t>ATTRIBUTE4</t>
        </is>
      </c>
      <c r="D13" s="24" t="inlineStr">
        <is>
          <t>varchar(200)</t>
        </is>
      </c>
      <c r="E13" s="24" t="inlineStr">
        <is>
          <t>YES</t>
        </is>
      </c>
      <c r="F13" s="24" t="inlineStr">
        <is>
          <t>属性4</t>
        </is>
      </c>
      <c r="G13" s="24" t="n"/>
      <c r="H13" s="24" t="n"/>
      <c r="I13" s="24" t="inlineStr"/>
      <c r="J13" s="24" t="inlineStr">
        <is>
          <t>2023/01/12</t>
        </is>
      </c>
    </row>
    <row r="14">
      <c r="B14" s="24" t="inlineStr">
        <is>
          <t>awe_group_catalog</t>
        </is>
      </c>
      <c r="C14" s="24" t="inlineStr">
        <is>
          <t>ATTRIBUTE5</t>
        </is>
      </c>
      <c r="D14" s="24" t="inlineStr">
        <is>
          <t>varchar(200)</t>
        </is>
      </c>
      <c r="E14" s="24" t="inlineStr">
        <is>
          <t>YES</t>
        </is>
      </c>
      <c r="F14" s="24" t="inlineStr">
        <is>
          <t>属性5</t>
        </is>
      </c>
      <c r="G14" s="24" t="n"/>
      <c r="H14" s="24" t="n"/>
      <c r="I14" s="24" t="inlineStr"/>
      <c r="J14" s="24" t="inlineStr">
        <is>
          <t>2023/01/12</t>
        </is>
      </c>
    </row>
    <row r="15">
      <c r="B15" s="24" t="inlineStr">
        <is>
          <t>awe_group_catalog</t>
        </is>
      </c>
      <c r="C15" s="24" t="inlineStr">
        <is>
          <t>INPUTORG</t>
        </is>
      </c>
      <c r="D15" s="24" t="inlineStr">
        <is>
          <t>varchar(32)</t>
        </is>
      </c>
      <c r="E15" s="24" t="inlineStr">
        <is>
          <t>YES</t>
        </is>
      </c>
      <c r="F15" s="24" t="inlineStr">
        <is>
          <t>创建机构</t>
        </is>
      </c>
      <c r="G15" s="24" t="n"/>
      <c r="H15" s="24" t="n"/>
      <c r="I15" s="24" t="inlineStr"/>
      <c r="J15" s="24" t="inlineStr">
        <is>
          <t>2023/01/12</t>
        </is>
      </c>
    </row>
    <row r="16">
      <c r="B16" s="24" t="inlineStr">
        <is>
          <t>awe_group_catalog</t>
        </is>
      </c>
      <c r="C16" s="24" t="inlineStr">
        <is>
          <t>INPUTUSER</t>
        </is>
      </c>
      <c r="D16" s="24" t="inlineStr">
        <is>
          <t>varchar(32)</t>
        </is>
      </c>
      <c r="E16" s="24" t="inlineStr">
        <is>
          <t>YES</t>
        </is>
      </c>
      <c r="F16" s="24" t="inlineStr">
        <is>
          <t>创建人员</t>
        </is>
      </c>
      <c r="G16" s="24" t="n"/>
      <c r="H16" s="24" t="n"/>
      <c r="I16" s="24" t="inlineStr"/>
      <c r="J16" s="24" t="inlineStr">
        <is>
          <t>2023/01/12</t>
        </is>
      </c>
    </row>
    <row r="17">
      <c r="B17" s="24" t="inlineStr">
        <is>
          <t>awe_group_catalog</t>
        </is>
      </c>
      <c r="C17" s="24" t="inlineStr">
        <is>
          <t>INPUTTIME</t>
        </is>
      </c>
      <c r="D17" s="24" t="inlineStr">
        <is>
          <t>datetime</t>
        </is>
      </c>
      <c r="E17" s="24" t="inlineStr">
        <is>
          <t>YES</t>
        </is>
      </c>
      <c r="F17" s="24" t="inlineStr">
        <is>
          <t>创建日期</t>
        </is>
      </c>
      <c r="G17" s="24" t="n"/>
      <c r="H17" s="24" t="n"/>
      <c r="I17" s="24" t="inlineStr"/>
      <c r="J17" s="24" t="inlineStr">
        <is>
          <t>2023/01/12</t>
        </is>
      </c>
    </row>
    <row r="18">
      <c r="B18" s="24" t="inlineStr">
        <is>
          <t>awe_group_catalog</t>
        </is>
      </c>
      <c r="C18" s="24" t="inlineStr">
        <is>
          <t>UPDATEUSER</t>
        </is>
      </c>
      <c r="D18" s="24" t="inlineStr">
        <is>
          <t>varchar(32)</t>
        </is>
      </c>
      <c r="E18" s="24" t="inlineStr">
        <is>
          <t>YES</t>
        </is>
      </c>
      <c r="F18" s="24" t="inlineStr">
        <is>
          <t>更新人</t>
        </is>
      </c>
      <c r="G18" s="24" t="n"/>
      <c r="H18" s="24" t="n"/>
      <c r="I18" s="24" t="inlineStr"/>
      <c r="J18" s="24" t="inlineStr">
        <is>
          <t>2023/01/12</t>
        </is>
      </c>
    </row>
    <row r="19">
      <c r="B19" s="24" t="inlineStr">
        <is>
          <t>awe_group_catalog</t>
        </is>
      </c>
      <c r="C19" s="24" t="inlineStr">
        <is>
          <t>UPDATETIME</t>
        </is>
      </c>
      <c r="D19" s="24" t="inlineStr">
        <is>
          <t>datetime</t>
        </is>
      </c>
      <c r="E19" s="24" t="inlineStr">
        <is>
          <t>YES</t>
        </is>
      </c>
      <c r="F19" s="24" t="inlineStr">
        <is>
          <t>更新日期</t>
        </is>
      </c>
      <c r="G19" s="24" t="n"/>
      <c r="H19" s="24" t="n"/>
      <c r="I19" s="24" t="inlineStr"/>
      <c r="J19" s="24" t="inlineStr">
        <is>
          <t>2023/01/12</t>
        </is>
      </c>
    </row>
    <row r="20">
      <c r="B20" s="24" t="inlineStr">
        <is>
          <t>awe_group_catalog</t>
        </is>
      </c>
      <c r="C20" s="24" t="inlineStr">
        <is>
          <t>REMARK</t>
        </is>
      </c>
      <c r="D20" s="24" t="inlineStr">
        <is>
          <t>varchar(500)</t>
        </is>
      </c>
      <c r="E20" s="24" t="inlineStr">
        <is>
          <t>YES</t>
        </is>
      </c>
      <c r="F20" s="24" t="inlineStr">
        <is>
          <t>备注</t>
        </is>
      </c>
      <c r="G20" s="24" t="n"/>
      <c r="H20" s="24" t="n"/>
      <c r="I20" s="24" t="inlineStr"/>
      <c r="J20" s="24" t="inlineStr">
        <is>
          <t>2023/01/12</t>
        </is>
      </c>
    </row>
  </sheetData>
  <pageMargins left="0.75" right="0.75" top="1" bottom="1" header="0.5" footer="0.5"/>
  <pageSetup orientation="portrait" paperSize="1" horizontalDpi="300" verticalDpi="300"/>
</worksheet>
</file>

<file path=xl/worksheets/sheet35.xml><?xml version="1.0" encoding="utf-8"?>
<worksheet xmlns="http://schemas.openxmlformats.org/spreadsheetml/2006/main">
  <sheetPr>
    <outlinePr summaryBelow="1" summaryRight="1"/>
    <pageSetUpPr/>
  </sheetPr>
  <dimension ref="A1:J12"/>
  <sheetViews>
    <sheetView zoomScaleSheetLayoutView="60" workbookViewId="0">
      <selection activeCell="E26" sqref="E26:E27"/>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组合页面分类信息表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awe_group_classify</t>
        </is>
      </c>
      <c r="C3" s="24" t="inlineStr">
        <is>
          <t>CLASSIFYID</t>
        </is>
      </c>
      <c r="D3" s="24" t="inlineStr">
        <is>
          <t>varchar(32)</t>
        </is>
      </c>
      <c r="E3" s="24" t="inlineStr">
        <is>
          <t>NO</t>
        </is>
      </c>
      <c r="F3" s="24" t="inlineStr">
        <is>
          <t>分类编号</t>
        </is>
      </c>
      <c r="G3" s="24" t="n"/>
      <c r="H3" s="24" t="n"/>
      <c r="I3" s="24" t="inlineStr"/>
      <c r="J3" s="24" t="inlineStr">
        <is>
          <t>2023/01/12</t>
        </is>
      </c>
    </row>
    <row r="4">
      <c r="B4" s="24" t="inlineStr">
        <is>
          <t>awe_group_classify</t>
        </is>
      </c>
      <c r="C4" s="24" t="inlineStr">
        <is>
          <t>CLASSIFYNAME</t>
        </is>
      </c>
      <c r="D4" s="24" t="inlineStr">
        <is>
          <t>varchar(200)</t>
        </is>
      </c>
      <c r="E4" s="24" t="inlineStr">
        <is>
          <t>YES</t>
        </is>
      </c>
      <c r="F4" s="24" t="inlineStr">
        <is>
          <t>分类名称</t>
        </is>
      </c>
      <c r="G4" s="24" t="n"/>
      <c r="H4" s="24" t="n"/>
      <c r="I4" s="24" t="inlineStr"/>
      <c r="J4" s="24" t="inlineStr">
        <is>
          <t>2023/01/12</t>
        </is>
      </c>
    </row>
    <row r="5">
      <c r="B5" s="24" t="inlineStr">
        <is>
          <t>awe_group_classify</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awe_group_classify</t>
        </is>
      </c>
      <c r="C6" s="24" t="inlineStr">
        <is>
          <t>ISINUSE</t>
        </is>
      </c>
      <c r="D6" s="24" t="inlineStr">
        <is>
          <t>varchar(6)</t>
        </is>
      </c>
      <c r="E6" s="24" t="inlineStr">
        <is>
          <t>YES</t>
        </is>
      </c>
      <c r="F6" s="24" t="inlineStr">
        <is>
          <t>是否使用</t>
        </is>
      </c>
      <c r="G6" s="52">
        <f>HYPERLINK("#码值映射清单!B1110","IsInUse")</f>
        <v/>
      </c>
      <c r="H6" s="24" t="n"/>
      <c r="I6" s="24" t="inlineStr"/>
      <c r="J6" s="24" t="inlineStr">
        <is>
          <t>2023/01/12</t>
        </is>
      </c>
    </row>
    <row r="7">
      <c r="B7" s="24" t="inlineStr">
        <is>
          <t>awe_group_classify</t>
        </is>
      </c>
      <c r="C7" s="24" t="inlineStr">
        <is>
          <t>INPUTUSER</t>
        </is>
      </c>
      <c r="D7" s="24" t="inlineStr">
        <is>
          <t>varchar(80)</t>
        </is>
      </c>
      <c r="E7" s="24" t="inlineStr">
        <is>
          <t>YES</t>
        </is>
      </c>
      <c r="F7" s="24" t="inlineStr">
        <is>
          <t>创建人员</t>
        </is>
      </c>
      <c r="G7" s="24" t="n"/>
      <c r="H7" s="24" t="n"/>
      <c r="I7" s="24" t="inlineStr"/>
      <c r="J7" s="24" t="inlineStr">
        <is>
          <t>2023/01/12</t>
        </is>
      </c>
    </row>
    <row r="8">
      <c r="B8" s="24" t="inlineStr">
        <is>
          <t>awe_group_classify</t>
        </is>
      </c>
      <c r="C8" s="24" t="inlineStr">
        <is>
          <t>INPUTORG</t>
        </is>
      </c>
      <c r="D8" s="24" t="inlineStr">
        <is>
          <t>varchar(80)</t>
        </is>
      </c>
      <c r="E8" s="24" t="inlineStr">
        <is>
          <t>YES</t>
        </is>
      </c>
      <c r="F8" s="24" t="inlineStr">
        <is>
          <t>创建机构</t>
        </is>
      </c>
      <c r="G8" s="24" t="n"/>
      <c r="H8" s="24" t="n"/>
      <c r="I8" s="24" t="inlineStr"/>
      <c r="J8" s="24" t="inlineStr">
        <is>
          <t>2023/01/12</t>
        </is>
      </c>
    </row>
    <row r="9">
      <c r="B9" s="24" t="inlineStr">
        <is>
          <t>awe_group_classify</t>
        </is>
      </c>
      <c r="C9" s="24" t="inlineStr">
        <is>
          <t>INPUTTIME</t>
        </is>
      </c>
      <c r="D9" s="24" t="inlineStr">
        <is>
          <t>varchar(80)</t>
        </is>
      </c>
      <c r="E9" s="24" t="inlineStr">
        <is>
          <t>YES</t>
        </is>
      </c>
      <c r="F9" s="24" t="inlineStr">
        <is>
          <t>创建日期</t>
        </is>
      </c>
      <c r="G9" s="24" t="n"/>
      <c r="H9" s="24" t="n"/>
      <c r="I9" s="24" t="inlineStr"/>
      <c r="J9" s="24" t="inlineStr">
        <is>
          <t>2023/01/12</t>
        </is>
      </c>
    </row>
    <row r="10">
      <c r="B10" s="24" t="inlineStr">
        <is>
          <t>awe_group_classify</t>
        </is>
      </c>
      <c r="C10" s="24" t="inlineStr">
        <is>
          <t>UPDATEUSER</t>
        </is>
      </c>
      <c r="D10" s="24" t="inlineStr">
        <is>
          <t>varchar(80)</t>
        </is>
      </c>
      <c r="E10" s="24" t="inlineStr">
        <is>
          <t>YES</t>
        </is>
      </c>
      <c r="F10" s="24" t="inlineStr">
        <is>
          <t>更新机构</t>
        </is>
      </c>
      <c r="G10" s="24" t="n"/>
      <c r="H10" s="24" t="n"/>
      <c r="I10" s="24" t="inlineStr"/>
      <c r="J10" s="24" t="inlineStr">
        <is>
          <t>2023/01/12</t>
        </is>
      </c>
    </row>
    <row r="11">
      <c r="B11" s="24" t="inlineStr">
        <is>
          <t>awe_group_classify</t>
        </is>
      </c>
      <c r="C11" s="24" t="inlineStr">
        <is>
          <t>UPDATEORG</t>
        </is>
      </c>
      <c r="D11" s="24" t="inlineStr">
        <is>
          <t>varchar(80)</t>
        </is>
      </c>
      <c r="E11" s="24" t="inlineStr">
        <is>
          <t>YES</t>
        </is>
      </c>
      <c r="F11" s="24" t="inlineStr">
        <is>
          <t>更新人</t>
        </is>
      </c>
      <c r="G11" s="24" t="n"/>
      <c r="H11" s="24" t="n"/>
      <c r="I11" s="24" t="inlineStr"/>
      <c r="J11" s="24" t="inlineStr">
        <is>
          <t>2023/01/12</t>
        </is>
      </c>
    </row>
    <row r="12">
      <c r="B12" s="24" t="inlineStr">
        <is>
          <t>awe_group_classify</t>
        </is>
      </c>
      <c r="C12" s="24" t="inlineStr">
        <is>
          <t>UPDATETIME</t>
        </is>
      </c>
      <c r="D12" s="24" t="inlineStr">
        <is>
          <t>varchar(32)</t>
        </is>
      </c>
      <c r="E12" s="24" t="inlineStr">
        <is>
          <t>YES</t>
        </is>
      </c>
      <c r="F12" s="24" t="inlineStr">
        <is>
          <t>更新日期</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36.xml><?xml version="1.0" encoding="utf-8"?>
<worksheet xmlns="http://schemas.openxmlformats.org/spreadsheetml/2006/main">
  <sheetPr>
    <outlinePr summaryBelow="1" summaryRight="1"/>
    <pageSetUpPr/>
  </sheetPr>
  <dimension ref="A1:J22"/>
  <sheetViews>
    <sheetView zoomScaleSheetLayoutView="60" workbookViewId="0">
      <selection activeCell="D24" sqref="D24"/>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组合页面详细信息表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awe_group_item</t>
        </is>
      </c>
      <c r="C3" s="24" t="inlineStr">
        <is>
          <t>GROUPID</t>
        </is>
      </c>
      <c r="D3" s="24" t="inlineStr">
        <is>
          <t>varchar(32)</t>
        </is>
      </c>
      <c r="E3" s="24" t="inlineStr">
        <is>
          <t>NO</t>
        </is>
      </c>
      <c r="F3" s="24" t="inlineStr">
        <is>
          <t>组合编号</t>
        </is>
      </c>
      <c r="G3" s="24" t="n"/>
      <c r="H3" s="24" t="n"/>
      <c r="I3" s="24" t="inlineStr"/>
      <c r="J3" s="24" t="inlineStr">
        <is>
          <t>2023/01/12</t>
        </is>
      </c>
    </row>
    <row r="4">
      <c r="B4" s="24" t="inlineStr">
        <is>
          <t>awe_group_item</t>
        </is>
      </c>
      <c r="C4" s="24" t="inlineStr">
        <is>
          <t>ITEMNO</t>
        </is>
      </c>
      <c r="D4" s="24" t="inlineStr">
        <is>
          <t>varchar(32)</t>
        </is>
      </c>
      <c r="E4" s="24" t="inlineStr">
        <is>
          <t>NO</t>
        </is>
      </c>
      <c r="F4" s="24" t="inlineStr">
        <is>
          <t>项目编号</t>
        </is>
      </c>
      <c r="G4" s="24" t="n"/>
      <c r="H4" s="24" t="n"/>
      <c r="I4" s="24" t="inlineStr"/>
      <c r="J4" s="24" t="inlineStr">
        <is>
          <t>2023/01/12</t>
        </is>
      </c>
    </row>
    <row r="5">
      <c r="B5" s="24" t="inlineStr">
        <is>
          <t>awe_group_item</t>
        </is>
      </c>
      <c r="C5" s="24" t="inlineStr">
        <is>
          <t>ITEMNAME</t>
        </is>
      </c>
      <c r="D5" s="24" t="inlineStr">
        <is>
          <t>varchar(80)</t>
        </is>
      </c>
      <c r="E5" s="24" t="inlineStr">
        <is>
          <t>YES</t>
        </is>
      </c>
      <c r="F5" s="24" t="inlineStr">
        <is>
          <t>项目名称</t>
        </is>
      </c>
      <c r="G5" s="24" t="n"/>
      <c r="H5" s="24" t="n"/>
      <c r="I5" s="24" t="inlineStr"/>
      <c r="J5" s="24" t="inlineStr">
        <is>
          <t>2023/01/12</t>
        </is>
      </c>
    </row>
    <row r="6">
      <c r="B6" s="24" t="inlineStr">
        <is>
          <t>awe_group_item</t>
        </is>
      </c>
      <c r="C6" s="24" t="inlineStr">
        <is>
          <t>ITEMDESCRIBE</t>
        </is>
      </c>
      <c r="D6" s="24" t="inlineStr">
        <is>
          <t>varchar(200)</t>
        </is>
      </c>
      <c r="E6" s="24" t="inlineStr">
        <is>
          <t>YES</t>
        </is>
      </c>
      <c r="F6" s="24" t="inlineStr">
        <is>
          <t>描述</t>
        </is>
      </c>
      <c r="G6" s="24" t="n"/>
      <c r="H6" s="24" t="n"/>
      <c r="I6" s="24" t="inlineStr"/>
      <c r="J6" s="24" t="inlineStr">
        <is>
          <t>2023/01/12</t>
        </is>
      </c>
    </row>
    <row r="7">
      <c r="B7" s="24" t="inlineStr">
        <is>
          <t>awe_group_item</t>
        </is>
      </c>
      <c r="C7" s="24" t="inlineStr">
        <is>
          <t>SORTNO</t>
        </is>
      </c>
      <c r="D7" s="24" t="inlineStr">
        <is>
          <t>varchar(32)</t>
        </is>
      </c>
      <c r="E7" s="24" t="inlineStr">
        <is>
          <t>YES</t>
        </is>
      </c>
      <c r="F7" s="24" t="inlineStr">
        <is>
          <t>排序号</t>
        </is>
      </c>
      <c r="G7" s="24" t="n"/>
      <c r="H7" s="24" t="n"/>
      <c r="I7" s="24" t="inlineStr"/>
      <c r="J7" s="24" t="inlineStr">
        <is>
          <t>2023/01/12</t>
        </is>
      </c>
    </row>
    <row r="8">
      <c r="B8" s="24" t="inlineStr">
        <is>
          <t>awe_group_item</t>
        </is>
      </c>
      <c r="C8" s="24" t="inlineStr">
        <is>
          <t>URL</t>
        </is>
      </c>
      <c r="D8" s="24" t="inlineStr">
        <is>
          <t>varchar(500)</t>
        </is>
      </c>
      <c r="E8" s="24" t="inlineStr">
        <is>
          <t>YES</t>
        </is>
      </c>
      <c r="F8" s="24" t="inlineStr">
        <is>
          <t>页面路径</t>
        </is>
      </c>
      <c r="G8" s="24" t="n"/>
      <c r="H8" s="24" t="n"/>
      <c r="I8" s="24" t="inlineStr"/>
      <c r="J8" s="24" t="inlineStr">
        <is>
          <t>2023/01/12</t>
        </is>
      </c>
    </row>
    <row r="9">
      <c r="B9" s="24" t="inlineStr">
        <is>
          <t>awe_group_item</t>
        </is>
      </c>
      <c r="C9" s="24" t="inlineStr">
        <is>
          <t>PARAMS</t>
        </is>
      </c>
      <c r="D9" s="24" t="inlineStr">
        <is>
          <t>varchar(500)</t>
        </is>
      </c>
      <c r="E9" s="24" t="inlineStr">
        <is>
          <t>YES</t>
        </is>
      </c>
      <c r="F9" s="24" t="inlineStr">
        <is>
          <t>参数</t>
        </is>
      </c>
      <c r="G9" s="24" t="n"/>
      <c r="H9" s="24" t="n"/>
      <c r="I9" s="24" t="inlineStr"/>
      <c r="J9" s="24" t="inlineStr">
        <is>
          <t>2023/01/12</t>
        </is>
      </c>
    </row>
    <row r="10">
      <c r="B10" s="24" t="inlineStr">
        <is>
          <t>awe_group_item</t>
        </is>
      </c>
      <c r="C10" s="24" t="inlineStr">
        <is>
          <t>CHECKMETHOD</t>
        </is>
      </c>
      <c r="D10" s="24" t="inlineStr">
        <is>
          <t>varchar(500)</t>
        </is>
      </c>
      <c r="E10" s="24" t="inlineStr">
        <is>
          <t>YES</t>
        </is>
      </c>
      <c r="F10" s="24" t="inlineStr">
        <is>
          <t>检验方法</t>
        </is>
      </c>
      <c r="G10" s="24" t="n"/>
      <c r="H10" s="24" t="n"/>
      <c r="I10" s="24" t="inlineStr"/>
      <c r="J10" s="24" t="inlineStr">
        <is>
          <t>2023/01/12</t>
        </is>
      </c>
    </row>
    <row r="11">
      <c r="B11" s="24" t="inlineStr">
        <is>
          <t>awe_group_item</t>
        </is>
      </c>
      <c r="C11" s="24" t="inlineStr">
        <is>
          <t>ISINUSE</t>
        </is>
      </c>
      <c r="D11" s="24" t="inlineStr">
        <is>
          <t>varchar(6)</t>
        </is>
      </c>
      <c r="E11" s="24" t="inlineStr">
        <is>
          <t>YES</t>
        </is>
      </c>
      <c r="F11" s="24" t="inlineStr">
        <is>
          <t>是否使用</t>
        </is>
      </c>
      <c r="G11" s="52">
        <f>HYPERLINK("#码值映射清单!B5150","YesNo")</f>
        <v/>
      </c>
      <c r="H11" s="24" t="n"/>
      <c r="I11" s="24" t="inlineStr"/>
      <c r="J11" s="24" t="inlineStr">
        <is>
          <t>2023/01/12</t>
        </is>
      </c>
    </row>
    <row r="12">
      <c r="B12" s="24" t="inlineStr">
        <is>
          <t>awe_group_item</t>
        </is>
      </c>
      <c r="C12" s="24" t="inlineStr">
        <is>
          <t>ATTRIBUTE1</t>
        </is>
      </c>
      <c r="D12" s="24" t="inlineStr">
        <is>
          <t>varchar(200)</t>
        </is>
      </c>
      <c r="E12" s="24" t="inlineStr">
        <is>
          <t>YES</t>
        </is>
      </c>
      <c r="F12" s="24" t="inlineStr">
        <is>
          <t>属性1</t>
        </is>
      </c>
      <c r="G12" s="24" t="n"/>
      <c r="H12" s="24" t="n"/>
      <c r="I12" s="24" t="inlineStr"/>
      <c r="J12" s="24" t="inlineStr">
        <is>
          <t>2023/01/12</t>
        </is>
      </c>
    </row>
    <row r="13">
      <c r="B13" s="24" t="inlineStr">
        <is>
          <t>awe_group_item</t>
        </is>
      </c>
      <c r="C13" s="24" t="inlineStr">
        <is>
          <t>ATTRIBUTE2</t>
        </is>
      </c>
      <c r="D13" s="24" t="inlineStr">
        <is>
          <t>varchar(200)</t>
        </is>
      </c>
      <c r="E13" s="24" t="inlineStr">
        <is>
          <t>YES</t>
        </is>
      </c>
      <c r="F13" s="24" t="inlineStr">
        <is>
          <t>属性2</t>
        </is>
      </c>
      <c r="G13" s="24" t="n"/>
      <c r="H13" s="24" t="n"/>
      <c r="I13" s="24" t="inlineStr"/>
      <c r="J13" s="24" t="inlineStr">
        <is>
          <t>2023/01/12</t>
        </is>
      </c>
    </row>
    <row r="14">
      <c r="B14" s="24" t="inlineStr">
        <is>
          <t>awe_group_item</t>
        </is>
      </c>
      <c r="C14" s="24" t="inlineStr">
        <is>
          <t>ATTRIBUTE3</t>
        </is>
      </c>
      <c r="D14" s="24" t="inlineStr">
        <is>
          <t>varchar(200)</t>
        </is>
      </c>
      <c r="E14" s="24" t="inlineStr">
        <is>
          <t>YES</t>
        </is>
      </c>
      <c r="F14" s="24" t="inlineStr">
        <is>
          <t>属性3</t>
        </is>
      </c>
      <c r="G14" s="24" t="n"/>
      <c r="H14" s="24" t="n"/>
      <c r="I14" s="24" t="inlineStr"/>
      <c r="J14" s="24" t="inlineStr">
        <is>
          <t>2023/01/12</t>
        </is>
      </c>
    </row>
    <row r="15">
      <c r="B15" s="24" t="inlineStr">
        <is>
          <t>awe_group_item</t>
        </is>
      </c>
      <c r="C15" s="24" t="inlineStr">
        <is>
          <t>ATTRIBUTE4</t>
        </is>
      </c>
      <c r="D15" s="24" t="inlineStr">
        <is>
          <t>varchar(200)</t>
        </is>
      </c>
      <c r="E15" s="24" t="inlineStr">
        <is>
          <t>YES</t>
        </is>
      </c>
      <c r="F15" s="24" t="inlineStr">
        <is>
          <t>属性4</t>
        </is>
      </c>
      <c r="G15" s="24" t="n"/>
      <c r="H15" s="24" t="n"/>
      <c r="I15" s="24" t="inlineStr"/>
      <c r="J15" s="24" t="inlineStr">
        <is>
          <t>2023/01/12</t>
        </is>
      </c>
    </row>
    <row r="16">
      <c r="B16" s="24" t="inlineStr">
        <is>
          <t>awe_group_item</t>
        </is>
      </c>
      <c r="C16" s="24" t="inlineStr">
        <is>
          <t>ATTRIBUTE5</t>
        </is>
      </c>
      <c r="D16" s="24" t="inlineStr">
        <is>
          <t>varchar(200)</t>
        </is>
      </c>
      <c r="E16" s="24" t="inlineStr">
        <is>
          <t>YES</t>
        </is>
      </c>
      <c r="F16" s="24" t="inlineStr">
        <is>
          <t>属性5</t>
        </is>
      </c>
      <c r="G16" s="24" t="n"/>
      <c r="H16" s="24" t="n"/>
      <c r="I16" s="24" t="inlineStr"/>
      <c r="J16" s="24" t="inlineStr">
        <is>
          <t>2023/01/12</t>
        </is>
      </c>
    </row>
    <row r="17">
      <c r="B17" s="24" t="inlineStr">
        <is>
          <t>awe_group_item</t>
        </is>
      </c>
      <c r="C17" s="24" t="inlineStr">
        <is>
          <t>INPUTORG</t>
        </is>
      </c>
      <c r="D17" s="24" t="inlineStr">
        <is>
          <t>varchar(32)</t>
        </is>
      </c>
      <c r="E17" s="24" t="inlineStr">
        <is>
          <t>YES</t>
        </is>
      </c>
      <c r="F17" s="24" t="inlineStr">
        <is>
          <t>创建机构</t>
        </is>
      </c>
      <c r="G17" s="24" t="n"/>
      <c r="H17" s="24" t="n"/>
      <c r="I17" s="24" t="inlineStr"/>
      <c r="J17" s="24" t="inlineStr">
        <is>
          <t>2023/01/12</t>
        </is>
      </c>
    </row>
    <row r="18">
      <c r="B18" s="24" t="inlineStr">
        <is>
          <t>awe_group_item</t>
        </is>
      </c>
      <c r="C18" s="24" t="inlineStr">
        <is>
          <t>INPUTUSER</t>
        </is>
      </c>
      <c r="D18" s="24" t="inlineStr">
        <is>
          <t>varchar(32)</t>
        </is>
      </c>
      <c r="E18" s="24" t="inlineStr">
        <is>
          <t>YES</t>
        </is>
      </c>
      <c r="F18" s="24" t="inlineStr">
        <is>
          <t>创建人员</t>
        </is>
      </c>
      <c r="G18" s="24" t="n"/>
      <c r="H18" s="24" t="n"/>
      <c r="I18" s="24" t="inlineStr"/>
      <c r="J18" s="24" t="inlineStr">
        <is>
          <t>2023/01/12</t>
        </is>
      </c>
    </row>
    <row r="19">
      <c r="B19" s="24" t="inlineStr">
        <is>
          <t>awe_group_item</t>
        </is>
      </c>
      <c r="C19" s="24" t="inlineStr">
        <is>
          <t>INPUTTIME</t>
        </is>
      </c>
      <c r="D19" s="24" t="inlineStr">
        <is>
          <t>datetime</t>
        </is>
      </c>
      <c r="E19" s="24" t="inlineStr">
        <is>
          <t>YES</t>
        </is>
      </c>
      <c r="F19" s="24" t="inlineStr">
        <is>
          <t>创建日期</t>
        </is>
      </c>
      <c r="G19" s="24" t="n"/>
      <c r="H19" s="24" t="n"/>
      <c r="I19" s="24" t="inlineStr"/>
      <c r="J19" s="24" t="inlineStr">
        <is>
          <t>2023/01/12</t>
        </is>
      </c>
    </row>
    <row r="20">
      <c r="B20" s="24" t="inlineStr">
        <is>
          <t>awe_group_item</t>
        </is>
      </c>
      <c r="C20" s="24" t="inlineStr">
        <is>
          <t>UPDATEUSER</t>
        </is>
      </c>
      <c r="D20" s="24" t="inlineStr">
        <is>
          <t>varchar(32)</t>
        </is>
      </c>
      <c r="E20" s="24" t="inlineStr">
        <is>
          <t>YES</t>
        </is>
      </c>
      <c r="F20" s="24" t="inlineStr">
        <is>
          <t>更新人</t>
        </is>
      </c>
      <c r="G20" s="24" t="n"/>
      <c r="H20" s="24" t="n"/>
      <c r="I20" s="24" t="inlineStr"/>
      <c r="J20" s="24" t="inlineStr">
        <is>
          <t>2023/01/12</t>
        </is>
      </c>
    </row>
    <row r="21">
      <c r="B21" s="24" t="inlineStr">
        <is>
          <t>awe_group_item</t>
        </is>
      </c>
      <c r="C21" s="24" t="inlineStr">
        <is>
          <t>UPDATETIME</t>
        </is>
      </c>
      <c r="D21" s="24" t="inlineStr">
        <is>
          <t>datetime</t>
        </is>
      </c>
      <c r="E21" s="24" t="inlineStr">
        <is>
          <t>YES</t>
        </is>
      </c>
      <c r="F21" s="24" t="inlineStr">
        <is>
          <t>更新日期</t>
        </is>
      </c>
      <c r="G21" s="24" t="n"/>
      <c r="H21" s="24" t="n"/>
      <c r="I21" s="24" t="inlineStr"/>
      <c r="J21" s="24" t="inlineStr">
        <is>
          <t>2023/01/12</t>
        </is>
      </c>
    </row>
    <row r="22">
      <c r="B22" s="24" t="inlineStr">
        <is>
          <t>awe_group_item</t>
        </is>
      </c>
      <c r="C22" s="24" t="inlineStr">
        <is>
          <t>REMARK</t>
        </is>
      </c>
      <c r="D22" s="24" t="inlineStr">
        <is>
          <t>varchar(500)</t>
        </is>
      </c>
      <c r="E22" s="24" t="inlineStr">
        <is>
          <t>YES</t>
        </is>
      </c>
      <c r="F22" s="24" t="inlineStr">
        <is>
          <t>备注</t>
        </is>
      </c>
      <c r="G22" s="24" t="n"/>
      <c r="H22" s="24" t="n"/>
      <c r="I22" s="24" t="inlineStr"/>
      <c r="J22" s="24" t="inlineStr">
        <is>
          <t>2023/01/12</t>
        </is>
      </c>
    </row>
  </sheetData>
  <pageMargins left="0.75" right="0.75" top="1" bottom="1" header="0.5" footer="0.5"/>
  <pageSetup orientation="portrait" paperSize="1" horizontalDpi="300" verticalDpi="300"/>
</worksheet>
</file>

<file path=xl/worksheets/sheet37.xml><?xml version="1.0" encoding="utf-8"?>
<worksheet xmlns="http://schemas.openxmlformats.org/spreadsheetml/2006/main">
  <sheetPr>
    <outlinePr summaryBelow="1" summaryRight="1"/>
    <pageSetUpPr/>
  </sheetPr>
  <dimension ref="A1:J11"/>
  <sheetViews>
    <sheetView zoomScaleSheetLayoutView="60" workbookViewId="0">
      <selection activeCell="D22" sqref="D2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链接信息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awe_href_info</t>
        </is>
      </c>
      <c r="C3" s="24" t="inlineStr">
        <is>
          <t>HREF</t>
        </is>
      </c>
      <c r="D3" s="24" t="inlineStr">
        <is>
          <t>varchar(500)</t>
        </is>
      </c>
      <c r="E3" s="24" t="inlineStr">
        <is>
          <t>NO</t>
        </is>
      </c>
      <c r="F3" s="24" t="inlineStr">
        <is>
          <t>链接</t>
        </is>
      </c>
      <c r="G3" s="24" t="n"/>
      <c r="H3" s="24" t="n"/>
      <c r="I3" s="24" t="inlineStr"/>
      <c r="J3" s="24" t="inlineStr">
        <is>
          <t>2023/01/12</t>
        </is>
      </c>
    </row>
    <row r="4">
      <c r="B4" s="24" t="inlineStr">
        <is>
          <t>awe_href_info</t>
        </is>
      </c>
      <c r="C4" s="24" t="inlineStr">
        <is>
          <t>HREFTYPE</t>
        </is>
      </c>
      <c r="D4" s="24" t="inlineStr">
        <is>
          <t>varchar(500)</t>
        </is>
      </c>
      <c r="E4" s="24" t="inlineStr">
        <is>
          <t>YES</t>
        </is>
      </c>
      <c r="F4" s="24" t="inlineStr">
        <is>
          <t>链接类型</t>
        </is>
      </c>
      <c r="G4" s="24" t="n"/>
      <c r="H4" s="24" t="n"/>
      <c r="I4" s="24" t="inlineStr"/>
      <c r="J4" s="24" t="inlineStr">
        <is>
          <t>2023/01/12</t>
        </is>
      </c>
    </row>
    <row r="5">
      <c r="B5" s="24" t="inlineStr">
        <is>
          <t>awe_href_info</t>
        </is>
      </c>
      <c r="C5" s="24" t="inlineStr">
        <is>
          <t>HREFDESCRIBE</t>
        </is>
      </c>
      <c r="D5" s="24" t="inlineStr">
        <is>
          <t>varchar(500)</t>
        </is>
      </c>
      <c r="E5" s="24" t="inlineStr">
        <is>
          <t>YES</t>
        </is>
      </c>
      <c r="F5" s="24" t="inlineStr">
        <is>
          <t>描述</t>
        </is>
      </c>
      <c r="G5" s="24" t="n"/>
      <c r="H5" s="24" t="n"/>
      <c r="I5" s="24" t="inlineStr"/>
      <c r="J5" s="24" t="inlineStr">
        <is>
          <t>2023/01/12</t>
        </is>
      </c>
    </row>
    <row r="6">
      <c r="B6" s="24" t="inlineStr">
        <is>
          <t>awe_href_info</t>
        </is>
      </c>
      <c r="C6" s="24" t="inlineStr">
        <is>
          <t>INPUTORGID</t>
        </is>
      </c>
      <c r="D6" s="24" t="inlineStr">
        <is>
          <t>varchar(32)</t>
        </is>
      </c>
      <c r="E6" s="24" t="inlineStr">
        <is>
          <t>YES</t>
        </is>
      </c>
      <c r="F6" s="24" t="inlineStr">
        <is>
          <t>登记机构</t>
        </is>
      </c>
      <c r="G6" s="24" t="n"/>
      <c r="H6" s="24" t="n"/>
      <c r="I6" s="24" t="inlineStr"/>
      <c r="J6" s="24" t="inlineStr">
        <is>
          <t>2023/01/12</t>
        </is>
      </c>
    </row>
    <row r="7">
      <c r="B7" s="24" t="inlineStr">
        <is>
          <t>awe_href_info</t>
        </is>
      </c>
      <c r="C7" s="24" t="inlineStr">
        <is>
          <t>INPUTUSERID</t>
        </is>
      </c>
      <c r="D7" s="24" t="inlineStr">
        <is>
          <t>varchar(32)</t>
        </is>
      </c>
      <c r="E7" s="24" t="inlineStr">
        <is>
          <t>YES</t>
        </is>
      </c>
      <c r="F7" s="24" t="inlineStr">
        <is>
          <t>登记人</t>
        </is>
      </c>
      <c r="G7" s="24" t="n"/>
      <c r="H7" s="24" t="n"/>
      <c r="I7" s="24" t="inlineStr"/>
      <c r="J7" s="24" t="inlineStr">
        <is>
          <t>2023/01/12</t>
        </is>
      </c>
    </row>
    <row r="8">
      <c r="B8" s="24" t="inlineStr">
        <is>
          <t>awe_href_info</t>
        </is>
      </c>
      <c r="C8" s="24" t="inlineStr">
        <is>
          <t>INPUTTIME</t>
        </is>
      </c>
      <c r="D8" s="24" t="inlineStr">
        <is>
          <t>datetime</t>
        </is>
      </c>
      <c r="E8" s="24" t="inlineStr">
        <is>
          <t>YES</t>
        </is>
      </c>
      <c r="F8" s="24" t="inlineStr">
        <is>
          <t>登记时间</t>
        </is>
      </c>
      <c r="G8" s="24" t="n"/>
      <c r="H8" s="24" t="n"/>
      <c r="I8" s="24" t="inlineStr"/>
      <c r="J8" s="24" t="inlineStr">
        <is>
          <t>2023/01/12</t>
        </is>
      </c>
    </row>
    <row r="9">
      <c r="B9" s="24" t="inlineStr">
        <is>
          <t>awe_href_info</t>
        </is>
      </c>
      <c r="C9" s="24" t="inlineStr">
        <is>
          <t>UPDATEORGID</t>
        </is>
      </c>
      <c r="D9" s="24" t="inlineStr">
        <is>
          <t>varchar(32)</t>
        </is>
      </c>
      <c r="E9" s="24" t="inlineStr">
        <is>
          <t>YES</t>
        </is>
      </c>
      <c r="F9" s="24" t="inlineStr">
        <is>
          <t>更新机构</t>
        </is>
      </c>
      <c r="G9" s="24" t="n"/>
      <c r="H9" s="24" t="n"/>
      <c r="I9" s="24" t="inlineStr"/>
      <c r="J9" s="24" t="inlineStr">
        <is>
          <t>2023/01/12</t>
        </is>
      </c>
    </row>
    <row r="10">
      <c r="B10" s="24" t="inlineStr">
        <is>
          <t>awe_href_info</t>
        </is>
      </c>
      <c r="C10" s="24" t="inlineStr">
        <is>
          <t>UPDATEUSERID</t>
        </is>
      </c>
      <c r="D10" s="24" t="inlineStr">
        <is>
          <t>varchar(32)</t>
        </is>
      </c>
      <c r="E10" s="24" t="inlineStr">
        <is>
          <t>YES</t>
        </is>
      </c>
      <c r="F10" s="24" t="inlineStr">
        <is>
          <t>更新人</t>
        </is>
      </c>
      <c r="G10" s="24" t="n"/>
      <c r="H10" s="24" t="n"/>
      <c r="I10" s="24" t="inlineStr"/>
      <c r="J10" s="24" t="inlineStr">
        <is>
          <t>2023/01/12</t>
        </is>
      </c>
    </row>
    <row r="11">
      <c r="B11" s="24" t="inlineStr">
        <is>
          <t>awe_href_info</t>
        </is>
      </c>
      <c r="C11" s="24" t="inlineStr">
        <is>
          <t>UPDATETIME</t>
        </is>
      </c>
      <c r="D11" s="24" t="inlineStr">
        <is>
          <t>datetime</t>
        </is>
      </c>
      <c r="E11" s="24" t="inlineStr">
        <is>
          <t>YES</t>
        </is>
      </c>
      <c r="F11" s="24" t="inlineStr">
        <is>
          <t>更新时间</t>
        </is>
      </c>
      <c r="G11" s="24" t="n"/>
      <c r="H11" s="24" t="n"/>
      <c r="I11" s="24" t="inlineStr"/>
      <c r="J11" s="24" t="inlineStr">
        <is>
          <t>2023/01/12</t>
        </is>
      </c>
    </row>
  </sheetData>
  <pageMargins left="0.75" right="0.75" top="1" bottom="1" header="0.5" footer="0.5"/>
  <pageSetup orientation="portrait" paperSize="1" horizontalDpi="300" verticalDpi="300"/>
</worksheet>
</file>

<file path=xl/worksheets/sheet38.xml><?xml version="1.0" encoding="utf-8"?>
<worksheet xmlns="http://schemas.openxmlformats.org/spreadsheetml/2006/main">
  <sheetPr>
    <outlinePr summaryBelow="1" summaryRight="1"/>
    <pageSetUpPr/>
  </sheetPr>
  <dimension ref="A1:J7"/>
  <sheetViews>
    <sheetView zoomScaleSheetLayoutView="60" workbookViewId="0">
      <selection activeCell="C9" sqref="C9"/>
    </sheetView>
  </sheetViews>
  <sheetFormatPr baseColWidth="8" defaultColWidth="9.142857142857141" defaultRowHeight="15.2" outlineLevelRow="6"/>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jsp页面访问统计表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awe_jsp_runtime</t>
        </is>
      </c>
      <c r="C3" s="24" t="inlineStr">
        <is>
          <t>JRTYPE</t>
        </is>
      </c>
      <c r="D3" s="24" t="inlineStr">
        <is>
          <t>varchar(6)</t>
        </is>
      </c>
      <c r="E3" s="24" t="inlineStr">
        <is>
          <t>YES</t>
        </is>
      </c>
      <c r="F3" s="24" t="inlineStr">
        <is>
          <t>统计类型</t>
        </is>
      </c>
      <c r="G3" s="24" t="n"/>
      <c r="H3" s="24" t="n"/>
      <c r="I3" s="24" t="inlineStr"/>
      <c r="J3" s="24" t="inlineStr">
        <is>
          <t>2023/01/12</t>
        </is>
      </c>
    </row>
    <row r="4">
      <c r="B4" s="24" t="inlineStr">
        <is>
          <t>awe_jsp_runtime</t>
        </is>
      </c>
      <c r="C4" s="24" t="inlineStr">
        <is>
          <t>JRTERM</t>
        </is>
      </c>
      <c r="D4" s="24" t="inlineStr">
        <is>
          <t>varchar(18)</t>
        </is>
      </c>
      <c r="E4" s="24" t="inlineStr">
        <is>
          <t>YES</t>
        </is>
      </c>
      <c r="F4" s="24" t="inlineStr">
        <is>
          <t>统计周期</t>
        </is>
      </c>
      <c r="G4" s="24" t="n"/>
      <c r="H4" s="24" t="n"/>
      <c r="I4" s="24" t="inlineStr"/>
      <c r="J4" s="24" t="inlineStr">
        <is>
          <t>2023/01/12</t>
        </is>
      </c>
    </row>
    <row r="5">
      <c r="B5" s="24" t="inlineStr">
        <is>
          <t>awe_jsp_runtime</t>
        </is>
      </c>
      <c r="C5" s="24" t="inlineStr">
        <is>
          <t>SERVERID</t>
        </is>
      </c>
      <c r="D5" s="24" t="inlineStr">
        <is>
          <t>varchar(200)</t>
        </is>
      </c>
      <c r="E5" s="24" t="inlineStr">
        <is>
          <t>YES</t>
        </is>
      </c>
      <c r="F5" s="24" t="inlineStr">
        <is>
          <t>服务标识</t>
        </is>
      </c>
      <c r="G5" s="24" t="n"/>
      <c r="H5" s="24" t="n"/>
      <c r="I5" s="24" t="inlineStr"/>
      <c r="J5" s="24" t="inlineStr">
        <is>
          <t>2023/01/12</t>
        </is>
      </c>
    </row>
    <row r="6">
      <c r="B6" s="24" t="inlineStr">
        <is>
          <t>awe_jsp_runtime</t>
        </is>
      </c>
      <c r="C6" s="24" t="inlineStr">
        <is>
          <t>JRCOUNT</t>
        </is>
      </c>
      <c r="D6" s="24" t="inlineStr">
        <is>
          <t>int</t>
        </is>
      </c>
      <c r="E6" s="24" t="inlineStr">
        <is>
          <t>YES</t>
        </is>
      </c>
      <c r="F6" s="24" t="inlineStr">
        <is>
          <t>运行次数</t>
        </is>
      </c>
      <c r="G6" s="24" t="n"/>
      <c r="H6" s="24" t="n"/>
      <c r="I6" s="24" t="inlineStr"/>
      <c r="J6" s="24" t="inlineStr">
        <is>
          <t>2023/01/12</t>
        </is>
      </c>
    </row>
    <row r="7">
      <c r="B7" s="24" t="inlineStr">
        <is>
          <t>awe_jsp_runtime</t>
        </is>
      </c>
      <c r="C7" s="24" t="inlineStr">
        <is>
          <t>JRTIME</t>
        </is>
      </c>
      <c r="D7" s="24" t="inlineStr">
        <is>
          <t>decimal(18,2)</t>
        </is>
      </c>
      <c r="E7" s="24" t="inlineStr">
        <is>
          <t>YES</t>
        </is>
      </c>
      <c r="F7" s="24" t="inlineStr">
        <is>
          <t>耗时</t>
        </is>
      </c>
      <c r="G7" s="24" t="n"/>
      <c r="H7" s="24" t="n"/>
      <c r="I7" s="24" t="inlineStr"/>
      <c r="J7" s="24" t="inlineStr">
        <is>
          <t>2023/01/12</t>
        </is>
      </c>
    </row>
  </sheetData>
  <pageMargins left="0.75" right="0.75" top="1" bottom="1" header="0.5" footer="0.5"/>
  <pageSetup orientation="portrait" paperSize="1" horizontalDpi="300" verticalDpi="300"/>
</worksheet>
</file>

<file path=xl/worksheets/sheet39.xml><?xml version="1.0" encoding="utf-8"?>
<worksheet xmlns="http://schemas.openxmlformats.org/spreadsheetml/2006/main">
  <sheetPr>
    <outlinePr summaryBelow="1" summaryRight="1"/>
    <pageSetUpPr/>
  </sheetPr>
  <dimension ref="A1:J25"/>
  <sheetViews>
    <sheetView zoomScaleSheetLayoutView="60" workbookViewId="0">
      <selection activeCell="D22" sqref="D22:D2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系统菜单表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awe_menu_info</t>
        </is>
      </c>
      <c r="C3" s="24" t="inlineStr">
        <is>
          <t>MENUID</t>
        </is>
      </c>
      <c r="D3" s="24" t="inlineStr">
        <is>
          <t>varchar(32)</t>
        </is>
      </c>
      <c r="E3" s="24" t="inlineStr">
        <is>
          <t>NO</t>
        </is>
      </c>
      <c r="F3" s="24" t="inlineStr">
        <is>
          <t>菜单编号</t>
        </is>
      </c>
      <c r="G3" s="24" t="n"/>
      <c r="H3" s="24" t="n"/>
      <c r="I3" s="24" t="inlineStr"/>
      <c r="J3" s="24" t="inlineStr">
        <is>
          <t>2023/01/12</t>
        </is>
      </c>
    </row>
    <row r="4">
      <c r="B4" s="24" t="inlineStr">
        <is>
          <t>awe_menu_info</t>
        </is>
      </c>
      <c r="C4" s="24" t="inlineStr">
        <is>
          <t>MENUNAME</t>
        </is>
      </c>
      <c r="D4" s="24" t="inlineStr">
        <is>
          <t>varchar(500)</t>
        </is>
      </c>
      <c r="E4" s="24" t="inlineStr">
        <is>
          <t>YES</t>
        </is>
      </c>
      <c r="F4" s="24" t="inlineStr">
        <is>
          <t>菜单名称</t>
        </is>
      </c>
      <c r="G4" s="24" t="n"/>
      <c r="H4" s="24" t="n"/>
      <c r="I4" s="24" t="inlineStr"/>
      <c r="J4" s="24" t="inlineStr">
        <is>
          <t>2023/01/12</t>
        </is>
      </c>
    </row>
    <row r="5">
      <c r="B5" s="24" t="inlineStr">
        <is>
          <t>awe_menu_info</t>
        </is>
      </c>
      <c r="C5" s="24" t="inlineStr">
        <is>
          <t>DISPLAYNAME</t>
        </is>
      </c>
      <c r="D5" s="24" t="inlineStr">
        <is>
          <t>varchar(32)</t>
        </is>
      </c>
      <c r="E5" s="24" t="inlineStr">
        <is>
          <t>YES</t>
        </is>
      </c>
      <c r="F5" s="24" t="inlineStr">
        <is>
          <t>展示名称</t>
        </is>
      </c>
      <c r="G5" s="24" t="n"/>
      <c r="H5" s="24" t="n"/>
      <c r="I5" s="24" t="inlineStr"/>
      <c r="J5" s="24" t="inlineStr">
        <is>
          <t>2023/01/12</t>
        </is>
      </c>
    </row>
    <row r="6">
      <c r="B6" s="24" t="inlineStr">
        <is>
          <t>awe_menu_info</t>
        </is>
      </c>
      <c r="C6" s="24" t="inlineStr">
        <is>
          <t>SORTNO</t>
        </is>
      </c>
      <c r="D6" s="24" t="inlineStr">
        <is>
          <t>varchar(32)</t>
        </is>
      </c>
      <c r="E6" s="24" t="inlineStr">
        <is>
          <t>YES</t>
        </is>
      </c>
      <c r="F6" s="24" t="inlineStr">
        <is>
          <t>排序号</t>
        </is>
      </c>
      <c r="G6" s="24" t="n"/>
      <c r="H6" s="24" t="n"/>
      <c r="I6" s="24" t="inlineStr"/>
      <c r="J6" s="24" t="inlineStr">
        <is>
          <t>2023/01/12</t>
        </is>
      </c>
    </row>
    <row r="7">
      <c r="B7" s="24" t="inlineStr">
        <is>
          <t>awe_menu_info</t>
        </is>
      </c>
      <c r="C7" s="24" t="inlineStr">
        <is>
          <t>URL</t>
        </is>
      </c>
      <c r="D7" s="24" t="inlineStr">
        <is>
          <t>varchar(500)</t>
        </is>
      </c>
      <c r="E7" s="24" t="inlineStr">
        <is>
          <t>YES</t>
        </is>
      </c>
      <c r="F7" s="24" t="inlineStr">
        <is>
          <t>URL路径</t>
        </is>
      </c>
      <c r="G7" s="24" t="n"/>
      <c r="H7" s="24" t="n"/>
      <c r="I7" s="24" t="inlineStr"/>
      <c r="J7" s="24" t="inlineStr">
        <is>
          <t>2023/01/12</t>
        </is>
      </c>
    </row>
    <row r="8">
      <c r="B8" s="24" t="inlineStr">
        <is>
          <t>awe_menu_info</t>
        </is>
      </c>
      <c r="C8" s="24" t="inlineStr">
        <is>
          <t>URLPARAM</t>
        </is>
      </c>
      <c r="D8" s="24" t="inlineStr">
        <is>
          <t>varchar(500)</t>
        </is>
      </c>
      <c r="E8" s="24" t="inlineStr">
        <is>
          <t>YES</t>
        </is>
      </c>
      <c r="F8" s="24" t="inlineStr">
        <is>
          <t>参数</t>
        </is>
      </c>
      <c r="G8" s="24" t="n"/>
      <c r="H8" s="24" t="n"/>
      <c r="I8" s="24" t="inlineStr"/>
      <c r="J8" s="24" t="inlineStr">
        <is>
          <t>2023/01/12</t>
        </is>
      </c>
    </row>
    <row r="9">
      <c r="B9" s="24" t="inlineStr">
        <is>
          <t>awe_menu_info</t>
        </is>
      </c>
      <c r="C9" s="24" t="inlineStr">
        <is>
          <t>TARGET</t>
        </is>
      </c>
      <c r="D9" s="24" t="inlineStr">
        <is>
          <t>varchar(32)</t>
        </is>
      </c>
      <c r="E9" s="24" t="inlineStr">
        <is>
          <t>YES</t>
        </is>
      </c>
      <c r="F9" s="24" t="inlineStr">
        <is>
          <t>目标窗口</t>
        </is>
      </c>
      <c r="G9" s="24" t="n"/>
      <c r="H9" s="24" t="n"/>
      <c r="I9" s="24" t="inlineStr"/>
      <c r="J9" s="24" t="inlineStr">
        <is>
          <t>2023/01/12</t>
        </is>
      </c>
    </row>
    <row r="10">
      <c r="B10" s="24" t="inlineStr">
        <is>
          <t>awe_menu_info</t>
        </is>
      </c>
      <c r="C10" s="24" t="inlineStr">
        <is>
          <t>STYLE</t>
        </is>
      </c>
      <c r="D10" s="24" t="inlineStr">
        <is>
          <t>varchar(32)</t>
        </is>
      </c>
      <c r="E10" s="24" t="inlineStr">
        <is>
          <t>YES</t>
        </is>
      </c>
      <c r="F10" s="24" t="inlineStr">
        <is>
          <t>样式</t>
        </is>
      </c>
      <c r="G10" s="24" t="n"/>
      <c r="H10" s="24" t="n"/>
      <c r="I10" s="24" t="inlineStr"/>
      <c r="J10" s="24" t="inlineStr">
        <is>
          <t>2023/01/12</t>
        </is>
      </c>
    </row>
    <row r="11">
      <c r="B11" s="24" t="inlineStr">
        <is>
          <t>awe_menu_info</t>
        </is>
      </c>
      <c r="C11" s="24" t="inlineStr">
        <is>
          <t>ISINUSE</t>
        </is>
      </c>
      <c r="D11" s="24" t="inlineStr">
        <is>
          <t>varchar(6)</t>
        </is>
      </c>
      <c r="E11" s="24" t="inlineStr">
        <is>
          <t>YES</t>
        </is>
      </c>
      <c r="F11" s="24" t="inlineStr">
        <is>
          <t>是否使用</t>
        </is>
      </c>
      <c r="G11" s="62">
        <f>HYPERLINK("#码值映射清单!B10081","MenuStatus")</f>
        <v/>
      </c>
      <c r="H11" s="24" t="n"/>
      <c r="I11" s="24" t="inlineStr"/>
      <c r="J11" s="24" t="inlineStr">
        <is>
          <t>2023/01/12</t>
        </is>
      </c>
    </row>
    <row r="12">
      <c r="B12" s="24" t="inlineStr">
        <is>
          <t>awe_menu_info</t>
        </is>
      </c>
      <c r="C12" s="24" t="inlineStr">
        <is>
          <t>REMARK</t>
        </is>
      </c>
      <c r="D12" s="24" t="inlineStr">
        <is>
          <t>varchar(500)</t>
        </is>
      </c>
      <c r="E12" s="24" t="inlineStr">
        <is>
          <t>YES</t>
        </is>
      </c>
      <c r="F12" s="24" t="inlineStr">
        <is>
          <t>备注</t>
        </is>
      </c>
      <c r="G12" s="24" t="n"/>
      <c r="H12" s="24" t="n"/>
      <c r="I12" s="24" t="inlineStr"/>
      <c r="J12" s="24" t="inlineStr">
        <is>
          <t>2023/01/12</t>
        </is>
      </c>
    </row>
    <row r="13">
      <c r="B13" s="24" t="inlineStr">
        <is>
          <t>awe_menu_info</t>
        </is>
      </c>
      <c r="C13" s="24" t="inlineStr">
        <is>
          <t>INPUTORGID</t>
        </is>
      </c>
      <c r="D13" s="24" t="inlineStr">
        <is>
          <t>varchar(32)</t>
        </is>
      </c>
      <c r="E13" s="24" t="inlineStr">
        <is>
          <t>YES</t>
        </is>
      </c>
      <c r="F13" s="24" t="inlineStr">
        <is>
          <t>录入机构</t>
        </is>
      </c>
      <c r="G13" s="24" t="n"/>
      <c r="H13" s="24" t="n"/>
      <c r="I13" s="24" t="inlineStr"/>
      <c r="J13" s="24" t="inlineStr">
        <is>
          <t>2023/01/12</t>
        </is>
      </c>
    </row>
    <row r="14">
      <c r="B14" s="24" t="inlineStr">
        <is>
          <t>awe_menu_info</t>
        </is>
      </c>
      <c r="C14" s="24" t="inlineStr">
        <is>
          <t>INPUTUSERID</t>
        </is>
      </c>
      <c r="D14" s="24" t="inlineStr">
        <is>
          <t>varchar(32)</t>
        </is>
      </c>
      <c r="E14" s="24" t="inlineStr">
        <is>
          <t>YES</t>
        </is>
      </c>
      <c r="F14" s="24" t="inlineStr">
        <is>
          <t>录入人</t>
        </is>
      </c>
      <c r="G14" s="24" t="n"/>
      <c r="H14" s="24" t="n"/>
      <c r="I14" s="24" t="inlineStr"/>
      <c r="J14" s="24" t="inlineStr">
        <is>
          <t>2023/01/12</t>
        </is>
      </c>
    </row>
    <row r="15">
      <c r="B15" s="24" t="inlineStr">
        <is>
          <t>awe_menu_info</t>
        </is>
      </c>
      <c r="C15" s="24" t="inlineStr">
        <is>
          <t>INPUTTIME</t>
        </is>
      </c>
      <c r="D15" s="24" t="inlineStr">
        <is>
          <t>varchar(32)</t>
        </is>
      </c>
      <c r="E15" s="24" t="inlineStr">
        <is>
          <t>YES</t>
        </is>
      </c>
      <c r="F15" s="24" t="inlineStr">
        <is>
          <t>录入时间</t>
        </is>
      </c>
      <c r="G15" s="24" t="n"/>
      <c r="H15" s="24" t="n"/>
      <c r="I15" s="24" t="inlineStr"/>
      <c r="J15" s="24" t="inlineStr">
        <is>
          <t>2023/01/12</t>
        </is>
      </c>
    </row>
    <row r="16">
      <c r="B16" s="24" t="inlineStr">
        <is>
          <t>awe_menu_info</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awe_menu_info</t>
        </is>
      </c>
      <c r="C17" s="24" t="inlineStr">
        <is>
          <t>UPDATEUSERID</t>
        </is>
      </c>
      <c r="D17" s="24" t="inlineStr">
        <is>
          <t>varchar(32)</t>
        </is>
      </c>
      <c r="E17" s="24" t="inlineStr">
        <is>
          <t>YES</t>
        </is>
      </c>
      <c r="F17" s="24" t="inlineStr">
        <is>
          <t>更新人</t>
        </is>
      </c>
      <c r="G17" s="24" t="n"/>
      <c r="H17" s="24" t="n"/>
      <c r="I17" s="24" t="inlineStr"/>
      <c r="J17" s="24" t="inlineStr">
        <is>
          <t>2023/01/12</t>
        </is>
      </c>
    </row>
    <row r="18">
      <c r="B18" s="24" t="inlineStr">
        <is>
          <t>awe_menu_info</t>
        </is>
      </c>
      <c r="C18" s="24" t="inlineStr">
        <is>
          <t>UPDATETIME</t>
        </is>
      </c>
      <c r="D18" s="24" t="inlineStr">
        <is>
          <t>varchar(32)</t>
        </is>
      </c>
      <c r="E18" s="24" t="inlineStr">
        <is>
          <t>YES</t>
        </is>
      </c>
      <c r="F18" s="24" t="inlineStr">
        <is>
          <t>更新时间</t>
        </is>
      </c>
      <c r="G18" s="24" t="n"/>
      <c r="H18" s="24" t="n"/>
      <c r="I18" s="24" t="inlineStr"/>
      <c r="J18" s="24" t="inlineStr">
        <is>
          <t>2023/01/12</t>
        </is>
      </c>
    </row>
    <row r="19">
      <c r="B19" s="24" t="inlineStr">
        <is>
          <t>awe_menu_info</t>
        </is>
      </c>
      <c r="C19" s="24" t="inlineStr">
        <is>
          <t>ACCESSTYPE</t>
        </is>
      </c>
      <c r="D19" s="24" t="inlineStr">
        <is>
          <t>varchar(32)</t>
        </is>
      </c>
      <c r="E19" s="24" t="inlineStr">
        <is>
          <t>YES</t>
        </is>
      </c>
      <c r="F19" s="24" t="inlineStr">
        <is>
          <t>打开方式</t>
        </is>
      </c>
      <c r="G19" s="62">
        <f>HYPERLINK("#码值映射清单!B10084","AccessType")</f>
        <v/>
      </c>
      <c r="H19" s="24" t="n"/>
      <c r="I19" s="24" t="inlineStr"/>
      <c r="J19" s="24" t="inlineStr">
        <is>
          <t>2023/01/12</t>
        </is>
      </c>
    </row>
    <row r="20">
      <c r="B20" s="24" t="inlineStr">
        <is>
          <t>awe_menu_info</t>
        </is>
      </c>
      <c r="C20" s="24" t="inlineStr">
        <is>
          <t>ICON</t>
        </is>
      </c>
      <c r="D20" s="24" t="inlineStr">
        <is>
          <t>varchar(80)</t>
        </is>
      </c>
      <c r="E20" s="24" t="inlineStr">
        <is>
          <t>YES</t>
        </is>
      </c>
      <c r="F20" s="24" t="inlineStr">
        <is>
          <t>图标</t>
        </is>
      </c>
      <c r="G20" s="24" t="n"/>
      <c r="H20" s="24" t="n"/>
      <c r="I20" s="24" t="inlineStr"/>
      <c r="J20" s="24" t="inlineStr">
        <is>
          <t>2023/01/12</t>
        </is>
      </c>
    </row>
    <row r="21">
      <c r="B21" s="24" t="inlineStr">
        <is>
          <t>awe_menu_info</t>
        </is>
      </c>
      <c r="C21" s="24" t="inlineStr">
        <is>
          <t>APPICON</t>
        </is>
      </c>
      <c r="D21" s="24" t="inlineStr">
        <is>
          <t>varchar(80)</t>
        </is>
      </c>
      <c r="E21" s="24" t="inlineStr">
        <is>
          <t>YES</t>
        </is>
      </c>
      <c r="F21" s="24" t="inlineStr">
        <is>
          <t>子系统图标</t>
        </is>
      </c>
      <c r="G21" s="24" t="n"/>
      <c r="H21" s="24" t="n"/>
      <c r="I21" s="24" t="inlineStr"/>
      <c r="J21" s="24" t="inlineStr">
        <is>
          <t>2023/01/12</t>
        </is>
      </c>
    </row>
    <row r="22">
      <c r="B22" s="24" t="inlineStr">
        <is>
          <t>awe_menu_info</t>
        </is>
      </c>
      <c r="C22" s="24" t="inlineStr">
        <is>
          <t>USERID</t>
        </is>
      </c>
      <c r="D22" s="24" t="inlineStr">
        <is>
          <t>varchar(32)</t>
        </is>
      </c>
      <c r="E22" s="24" t="inlineStr">
        <is>
          <t>YES</t>
        </is>
      </c>
      <c r="F22" s="24" t="inlineStr">
        <is>
          <t>用户Id</t>
        </is>
      </c>
      <c r="G22" s="24" t="n"/>
      <c r="H22" s="24" t="n"/>
      <c r="I22" s="24" t="inlineStr"/>
      <c r="J22" s="24" t="inlineStr">
        <is>
          <t>2023/01/12</t>
        </is>
      </c>
    </row>
    <row r="23">
      <c r="B23" s="24" t="inlineStr">
        <is>
          <t>awe_menu_info</t>
        </is>
      </c>
      <c r="C23" s="24" t="inlineStr">
        <is>
          <t>QUICKMENUID</t>
        </is>
      </c>
      <c r="D23" s="24" t="inlineStr">
        <is>
          <t>varchar(32)</t>
        </is>
      </c>
      <c r="E23" s="24" t="inlineStr">
        <is>
          <t>YES</t>
        </is>
      </c>
      <c r="F23" s="24" t="inlineStr">
        <is>
          <t>快捷菜单ID</t>
        </is>
      </c>
      <c r="G23" s="24" t="n"/>
      <c r="H23" s="24" t="n"/>
      <c r="I23" s="24" t="inlineStr"/>
      <c r="J23" s="24" t="inlineStr">
        <is>
          <t>2023/01/12</t>
        </is>
      </c>
    </row>
    <row r="24">
      <c r="B24" s="24" t="inlineStr">
        <is>
          <t>awe_menu_info</t>
        </is>
      </c>
      <c r="C24" s="24" t="inlineStr">
        <is>
          <t>INPUTDATE</t>
        </is>
      </c>
      <c r="D24" s="24" t="inlineStr">
        <is>
          <t>datetime</t>
        </is>
      </c>
      <c r="E24" s="24" t="inlineStr">
        <is>
          <t>YES</t>
        </is>
      </c>
      <c r="F24" s="24" t="inlineStr">
        <is>
          <t>录入日期</t>
        </is>
      </c>
      <c r="G24" s="24" t="n"/>
      <c r="H24" s="24" t="n"/>
      <c r="I24" s="24" t="inlineStr"/>
      <c r="J24" s="24" t="inlineStr">
        <is>
          <t>2023/01/12</t>
        </is>
      </c>
    </row>
    <row r="25">
      <c r="B25" s="24" t="inlineStr">
        <is>
          <t>awe_menu_info</t>
        </is>
      </c>
      <c r="C25" s="24" t="inlineStr">
        <is>
          <t>UPDATEDATE</t>
        </is>
      </c>
      <c r="D25" s="24" t="inlineStr">
        <is>
          <t>datetime</t>
        </is>
      </c>
      <c r="E25" s="24" t="inlineStr">
        <is>
          <t>YES</t>
        </is>
      </c>
      <c r="F25" s="24" t="inlineStr">
        <is>
          <t>更新日期</t>
        </is>
      </c>
      <c r="G25" s="24" t="n"/>
      <c r="H25" s="24" t="n"/>
      <c r="I25" s="24" t="inlineStr"/>
      <c r="J25" s="24" t="inlineStr">
        <is>
          <t>2023/01/12</t>
        </is>
      </c>
    </row>
  </sheetData>
  <pageMargins left="0.75" right="0.75" top="1" bottom="1" header="0.5" footer="0.5"/>
  <pageSetup orientation="portrait" paperSize="1" horizontalDpi="300" verticalDpi="300"/>
</worksheet>
</file>

<file path=xl/worksheets/sheet40.xml><?xml version="1.0" encoding="utf-8"?>
<worksheet xmlns="http://schemas.openxmlformats.org/spreadsheetml/2006/main">
  <sheetPr>
    <outlinePr summaryBelow="1" summaryRight="1"/>
    <pageSetUpPr/>
  </sheetPr>
  <dimension ref="A1:J8"/>
  <sheetViews>
    <sheetView zoomScaleSheetLayoutView="60" workbookViewId="0">
      <selection activeCell="D16" sqref="D16"/>
    </sheetView>
  </sheetViews>
  <sheetFormatPr baseColWidth="8" defaultColWidth="9.142857142857141" defaultRowHeight="15.2" outlineLevelRow="7"/>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站内信对象</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awe_message_info</t>
        </is>
      </c>
      <c r="C3" s="24" t="inlineStr">
        <is>
          <t>MESSAGEID</t>
        </is>
      </c>
      <c r="D3" s="24" t="inlineStr">
        <is>
          <t>varchar(32)</t>
        </is>
      </c>
      <c r="E3" s="24" t="inlineStr">
        <is>
          <t>NO</t>
        </is>
      </c>
      <c r="F3" s="24" t="inlineStr">
        <is>
          <t>消息编号</t>
        </is>
      </c>
      <c r="G3" s="24" t="n"/>
      <c r="H3" s="24" t="n"/>
      <c r="I3" s="24" t="inlineStr"/>
      <c r="J3" s="24" t="inlineStr">
        <is>
          <t>2023/01/12</t>
        </is>
      </c>
    </row>
    <row r="4">
      <c r="B4" s="24" t="inlineStr">
        <is>
          <t>awe_message_info</t>
        </is>
      </c>
      <c r="C4" s="24" t="inlineStr">
        <is>
          <t>RELATIVEID</t>
        </is>
      </c>
      <c r="D4" s="24" t="inlineStr">
        <is>
          <t>varchar(32)</t>
        </is>
      </c>
      <c r="E4" s="24" t="inlineStr">
        <is>
          <t>YES</t>
        </is>
      </c>
      <c r="F4" s="24" t="inlineStr">
        <is>
          <t>回复消息编号</t>
        </is>
      </c>
      <c r="G4" s="24" t="n"/>
      <c r="H4" s="24" t="n"/>
      <c r="I4" s="24" t="inlineStr"/>
      <c r="J4" s="24" t="inlineStr">
        <is>
          <t>2023/01/12</t>
        </is>
      </c>
    </row>
    <row r="5">
      <c r="B5" s="24" t="inlineStr">
        <is>
          <t>awe_message_info</t>
        </is>
      </c>
      <c r="C5" s="24" t="inlineStr">
        <is>
          <t>MESSAGETITLE</t>
        </is>
      </c>
      <c r="D5" s="24" t="inlineStr">
        <is>
          <t>varchar(200)</t>
        </is>
      </c>
      <c r="E5" s="24" t="inlineStr">
        <is>
          <t>YES</t>
        </is>
      </c>
      <c r="F5" s="24" t="inlineStr">
        <is>
          <t>消息标题</t>
        </is>
      </c>
      <c r="G5" s="24" t="n"/>
      <c r="H5" s="24" t="n"/>
      <c r="I5" s="24" t="inlineStr"/>
      <c r="J5" s="24" t="inlineStr">
        <is>
          <t>2023/01/12</t>
        </is>
      </c>
    </row>
    <row r="6">
      <c r="B6" s="24" t="inlineStr">
        <is>
          <t>awe_message_info</t>
        </is>
      </c>
      <c r="C6" s="24" t="inlineStr">
        <is>
          <t>SENDTIME</t>
        </is>
      </c>
      <c r="D6" s="24" t="inlineStr">
        <is>
          <t>varchar(32)</t>
        </is>
      </c>
      <c r="E6" s="24" t="inlineStr">
        <is>
          <t>YES</t>
        </is>
      </c>
      <c r="F6" s="24" t="inlineStr">
        <is>
          <t>发送时间</t>
        </is>
      </c>
      <c r="G6" s="24" t="n"/>
      <c r="H6" s="24" t="n"/>
      <c r="I6" s="24" t="inlineStr"/>
      <c r="J6" s="24" t="inlineStr">
        <is>
          <t>2023/01/12</t>
        </is>
      </c>
    </row>
    <row r="7">
      <c r="B7" s="24" t="inlineStr">
        <is>
          <t>awe_message_info</t>
        </is>
      </c>
      <c r="C7" s="24" t="inlineStr">
        <is>
          <t>USERID</t>
        </is>
      </c>
      <c r="D7" s="24" t="inlineStr">
        <is>
          <t>varchar(32)</t>
        </is>
      </c>
      <c r="E7" s="24" t="inlineStr">
        <is>
          <t>YES</t>
        </is>
      </c>
      <c r="F7" s="24" t="inlineStr">
        <is>
          <t>发送人</t>
        </is>
      </c>
      <c r="G7" s="24" t="n"/>
      <c r="H7" s="24" t="n"/>
      <c r="I7" s="24" t="inlineStr"/>
      <c r="J7" s="24" t="inlineStr">
        <is>
          <t>2023/01/12</t>
        </is>
      </c>
    </row>
    <row r="8">
      <c r="B8" s="24" t="inlineStr">
        <is>
          <t>awe_message_info</t>
        </is>
      </c>
      <c r="C8" s="24" t="inlineStr">
        <is>
          <t>MESSAGEDESC</t>
        </is>
      </c>
      <c r="D8" s="24" t="inlineStr">
        <is>
          <t>varchar(4000)</t>
        </is>
      </c>
      <c r="E8" s="24" t="inlineStr">
        <is>
          <t>YES</t>
        </is>
      </c>
      <c r="F8" s="24" t="inlineStr">
        <is>
          <t>消息主体</t>
        </is>
      </c>
      <c r="G8" s="24" t="n"/>
      <c r="H8" s="24" t="n"/>
      <c r="I8" s="24" t="inlineStr"/>
      <c r="J8" s="24" t="inlineStr">
        <is>
          <t>2023/01/12</t>
        </is>
      </c>
    </row>
  </sheetData>
  <pageMargins left="0.75" right="0.75" top="1" bottom="1" header="0.5" footer="0.5"/>
  <pageSetup orientation="portrait" paperSize="1" horizontalDpi="300" verticalDpi="300"/>
</worksheet>
</file>

<file path=xl/worksheets/sheet41.xml><?xml version="1.0" encoding="utf-8"?>
<worksheet xmlns="http://schemas.openxmlformats.org/spreadsheetml/2006/main">
  <sheetPr>
    <outlinePr summaryBelow="1" summaryRight="1"/>
    <pageSetUpPr/>
  </sheetPr>
  <dimension ref="A1:J7"/>
  <sheetViews>
    <sheetView zoomScaleSheetLayoutView="60" workbookViewId="0">
      <selection activeCell="A1" sqref="A1"/>
    </sheetView>
  </sheetViews>
  <sheetFormatPr baseColWidth="8" defaultColWidth="9.142857142857141" defaultRowHeight="15.2" outlineLevelRow="6"/>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站内信发送/关联用户</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awe_message_user</t>
        </is>
      </c>
      <c r="C3" s="24" t="inlineStr">
        <is>
          <t>MESSAGEID</t>
        </is>
      </c>
      <c r="D3" s="24" t="inlineStr">
        <is>
          <t>varchar(32)</t>
        </is>
      </c>
      <c r="E3" s="24" t="inlineStr">
        <is>
          <t>NO</t>
        </is>
      </c>
      <c r="F3" s="24" t="inlineStr">
        <is>
          <t>消息编号</t>
        </is>
      </c>
      <c r="G3" s="24" t="n"/>
      <c r="H3" s="24" t="n"/>
      <c r="I3" s="24" t="inlineStr"/>
      <c r="J3" s="24" t="inlineStr">
        <is>
          <t>2023/01/12</t>
        </is>
      </c>
    </row>
    <row r="4">
      <c r="B4" s="24" t="inlineStr">
        <is>
          <t>awe_message_user</t>
        </is>
      </c>
      <c r="C4" s="24" t="inlineStr">
        <is>
          <t>USERID</t>
        </is>
      </c>
      <c r="D4" s="24" t="inlineStr">
        <is>
          <t>varchar(32)</t>
        </is>
      </c>
      <c r="E4" s="24" t="inlineStr">
        <is>
          <t>NO</t>
        </is>
      </c>
      <c r="F4" s="24" t="inlineStr">
        <is>
          <t>发送用户</t>
        </is>
      </c>
      <c r="G4" s="24" t="n"/>
      <c r="H4" s="24" t="n"/>
      <c r="I4" s="24" t="inlineStr"/>
      <c r="J4" s="24" t="inlineStr">
        <is>
          <t>2023/01/12</t>
        </is>
      </c>
    </row>
    <row r="5">
      <c r="B5" s="24" t="inlineStr">
        <is>
          <t>awe_message_user</t>
        </is>
      </c>
      <c r="C5" s="24" t="inlineStr">
        <is>
          <t>FIRSTSHOWTIME</t>
        </is>
      </c>
      <c r="D5" s="24" t="inlineStr">
        <is>
          <t>varchar(32)</t>
        </is>
      </c>
      <c r="E5" s="24" t="inlineStr">
        <is>
          <t>YES</t>
        </is>
      </c>
      <c r="F5" s="24" t="inlineStr">
        <is>
          <t>收到时间</t>
        </is>
      </c>
      <c r="G5" s="24" t="n"/>
      <c r="H5" s="24" t="n"/>
      <c r="I5" s="24" t="inlineStr"/>
      <c r="J5" s="24" t="inlineStr">
        <is>
          <t>2023/01/12</t>
        </is>
      </c>
    </row>
    <row r="6">
      <c r="B6" s="24" t="inlineStr">
        <is>
          <t>awe_message_user</t>
        </is>
      </c>
      <c r="C6" s="24" t="inlineStr">
        <is>
          <t>READTIME</t>
        </is>
      </c>
      <c r="D6" s="24" t="inlineStr">
        <is>
          <t>varchar(32)</t>
        </is>
      </c>
      <c r="E6" s="24" t="inlineStr">
        <is>
          <t>YES</t>
        </is>
      </c>
      <c r="F6" s="24" t="inlineStr">
        <is>
          <t>读取时间</t>
        </is>
      </c>
      <c r="G6" s="24" t="n"/>
      <c r="H6" s="24" t="n"/>
      <c r="I6" s="24" t="inlineStr"/>
      <c r="J6" s="24" t="inlineStr">
        <is>
          <t>2023/01/12</t>
        </is>
      </c>
    </row>
    <row r="7">
      <c r="B7" s="24" t="inlineStr">
        <is>
          <t>awe_message_user</t>
        </is>
      </c>
      <c r="C7" s="24" t="inlineStr">
        <is>
          <t>DELETETIME</t>
        </is>
      </c>
      <c r="D7" s="24" t="inlineStr">
        <is>
          <t>varchar(32)</t>
        </is>
      </c>
      <c r="E7" s="24" t="inlineStr">
        <is>
          <t>YES</t>
        </is>
      </c>
      <c r="F7" s="24" t="inlineStr">
        <is>
          <t>删除时间</t>
        </is>
      </c>
      <c r="G7" s="24" t="n"/>
      <c r="H7" s="24" t="n"/>
      <c r="I7" s="24" t="inlineStr"/>
      <c r="J7" s="24" t="inlineStr">
        <is>
          <t>2023/01/12</t>
        </is>
      </c>
    </row>
  </sheetData>
  <pageMargins left="0.75" right="0.75" top="1" bottom="1" header="0.5" footer="0.5"/>
  <pageSetup orientation="portrait" paperSize="1" horizontalDpi="300" verticalDpi="300"/>
</worksheet>
</file>

<file path=xl/worksheets/sheet42.xml><?xml version="1.0" encoding="utf-8"?>
<worksheet xmlns="http://schemas.openxmlformats.org/spreadsheetml/2006/main">
  <sheetPr>
    <outlinePr summaryBelow="1" summaryRight="1"/>
    <pageSetUpPr/>
  </sheetPr>
  <dimension ref="A1:J20"/>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查询配置基本信息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awe_query_info</t>
        </is>
      </c>
      <c r="C3" s="24" t="inlineStr">
        <is>
          <t>QUERYSCHEMENO</t>
        </is>
      </c>
      <c r="D3" s="24" t="inlineStr">
        <is>
          <t>varchar(32)</t>
        </is>
      </c>
      <c r="E3" s="24" t="inlineStr">
        <is>
          <t>NO</t>
        </is>
      </c>
      <c r="F3" s="24" t="inlineStr">
        <is>
          <t>查询方案编号</t>
        </is>
      </c>
      <c r="G3" s="24" t="n"/>
      <c r="H3" s="24" t="n"/>
      <c r="I3" s="24" t="inlineStr"/>
      <c r="J3" s="24" t="inlineStr">
        <is>
          <t>2023/01/12</t>
        </is>
      </c>
    </row>
    <row r="4">
      <c r="B4" s="24" t="inlineStr">
        <is>
          <t>awe_query_info</t>
        </is>
      </c>
      <c r="C4" s="24" t="inlineStr">
        <is>
          <t>QUERYSCHEMENAME</t>
        </is>
      </c>
      <c r="D4" s="24" t="inlineStr">
        <is>
          <t>varchar(80)</t>
        </is>
      </c>
      <c r="E4" s="24" t="inlineStr">
        <is>
          <t>YES</t>
        </is>
      </c>
      <c r="F4" s="24" t="inlineStr">
        <is>
          <t>查询方案名称</t>
        </is>
      </c>
      <c r="G4" s="24" t="n"/>
      <c r="H4" s="24" t="n"/>
      <c r="I4" s="24" t="inlineStr"/>
      <c r="J4" s="24" t="inlineStr">
        <is>
          <t>2023/01/12</t>
        </is>
      </c>
    </row>
    <row r="5">
      <c r="B5" s="24" t="inlineStr">
        <is>
          <t>awe_query_info</t>
        </is>
      </c>
      <c r="C5" s="24" t="inlineStr">
        <is>
          <t>BIZOBJCLASS</t>
        </is>
      </c>
      <c r="D5" s="24" t="inlineStr">
        <is>
          <t>varchar(80)</t>
        </is>
      </c>
      <c r="E5" s="24" t="inlineStr">
        <is>
          <t>NO</t>
        </is>
      </c>
      <c r="F5" s="24" t="inlineStr">
        <is>
          <t>主对象</t>
        </is>
      </c>
      <c r="G5" s="24" t="n"/>
      <c r="H5" s="24" t="n"/>
      <c r="I5" s="24" t="inlineStr"/>
      <c r="J5" s="24" t="inlineStr">
        <is>
          <t>2023/01/12</t>
        </is>
      </c>
    </row>
    <row r="6">
      <c r="B6" s="24" t="inlineStr">
        <is>
          <t>awe_query_info</t>
        </is>
      </c>
      <c r="C6" s="24" t="inlineStr">
        <is>
          <t>RELATEDCLASS</t>
        </is>
      </c>
      <c r="D6" s="24" t="inlineStr">
        <is>
          <t>varchar(500)</t>
        </is>
      </c>
      <c r="E6" s="24" t="inlineStr">
        <is>
          <t>YES</t>
        </is>
      </c>
      <c r="F6" s="24" t="inlineStr">
        <is>
          <t>关联对象串;JSON格式）</t>
        </is>
      </c>
      <c r="G6" s="24" t="n"/>
      <c r="H6" s="24" t="n"/>
      <c r="I6" s="24" t="inlineStr"/>
      <c r="J6" s="24" t="inlineStr">
        <is>
          <t>2023/01/12</t>
        </is>
      </c>
    </row>
    <row r="7">
      <c r="B7" s="24" t="inlineStr">
        <is>
          <t>awe_query_info</t>
        </is>
      </c>
      <c r="C7" s="24" t="inlineStr">
        <is>
          <t>GROUPITEMS</t>
        </is>
      </c>
      <c r="D7" s="24" t="inlineStr">
        <is>
          <t>varchar(500)</t>
        </is>
      </c>
      <c r="E7" s="24" t="inlineStr">
        <is>
          <t>YES</t>
        </is>
      </c>
      <c r="F7" s="24" t="inlineStr">
        <is>
          <t>汇总信息项</t>
        </is>
      </c>
      <c r="G7" s="24" t="n"/>
      <c r="H7" s="24" t="n"/>
      <c r="I7" s="24" t="inlineStr"/>
      <c r="J7" s="24" t="inlineStr">
        <is>
          <t>2023/01/12</t>
        </is>
      </c>
    </row>
    <row r="8">
      <c r="B8" s="24" t="inlineStr">
        <is>
          <t>awe_query_info</t>
        </is>
      </c>
      <c r="C8" s="24" t="inlineStr">
        <is>
          <t>SUMMARYITEMS</t>
        </is>
      </c>
      <c r="D8" s="24" t="inlineStr">
        <is>
          <t>varchar(500)</t>
        </is>
      </c>
      <c r="E8" s="24" t="inlineStr">
        <is>
          <t>YES</t>
        </is>
      </c>
      <c r="F8" s="24" t="inlineStr">
        <is>
          <t>合计信息项</t>
        </is>
      </c>
      <c r="G8" s="24" t="n"/>
      <c r="H8" s="24" t="n"/>
      <c r="I8" s="24" t="inlineStr"/>
      <c r="J8" s="24" t="inlineStr">
        <is>
          <t>2023/01/12</t>
        </is>
      </c>
    </row>
    <row r="9">
      <c r="B9" s="24" t="inlineStr">
        <is>
          <t>awe_query_info</t>
        </is>
      </c>
      <c r="C9" s="24" t="inlineStr">
        <is>
          <t>ISPRIVATE</t>
        </is>
      </c>
      <c r="D9" s="24" t="inlineStr">
        <is>
          <t>varchar(6)</t>
        </is>
      </c>
      <c r="E9" s="24" t="inlineStr">
        <is>
          <t>YES</t>
        </is>
      </c>
      <c r="F9" s="24" t="inlineStr">
        <is>
          <t>是否私有</t>
        </is>
      </c>
      <c r="G9" s="24" t="n"/>
      <c r="H9" s="24" t="n"/>
      <c r="I9" s="24" t="inlineStr"/>
      <c r="J9" s="24" t="inlineStr">
        <is>
          <t>2023/01/12</t>
        </is>
      </c>
    </row>
    <row r="10">
      <c r="B10" s="24" t="inlineStr">
        <is>
          <t>awe_query_info</t>
        </is>
      </c>
      <c r="C10" s="24" t="inlineStr">
        <is>
          <t>FREQUENCY</t>
        </is>
      </c>
      <c r="D10" s="24" t="inlineStr">
        <is>
          <t>int</t>
        </is>
      </c>
      <c r="E10" s="24" t="inlineStr">
        <is>
          <t>YES</t>
        </is>
      </c>
      <c r="F10" s="24" t="inlineStr">
        <is>
          <t>查询频率</t>
        </is>
      </c>
      <c r="G10" s="24" t="n"/>
      <c r="H10" s="24" t="n"/>
      <c r="I10" s="24" t="inlineStr"/>
      <c r="J10" s="24" t="inlineStr">
        <is>
          <t>2023/01/12</t>
        </is>
      </c>
    </row>
    <row r="11">
      <c r="B11" s="24" t="inlineStr">
        <is>
          <t>awe_query_info</t>
        </is>
      </c>
      <c r="C11" s="24" t="inlineStr">
        <is>
          <t>USERID</t>
        </is>
      </c>
      <c r="D11" s="24" t="inlineStr">
        <is>
          <t>varchar(32)</t>
        </is>
      </c>
      <c r="E11" s="24" t="inlineStr">
        <is>
          <t>YES</t>
        </is>
      </c>
      <c r="F11" s="24" t="inlineStr">
        <is>
          <t>录入人</t>
        </is>
      </c>
      <c r="G11" s="24" t="n"/>
      <c r="H11" s="24" t="n"/>
      <c r="I11" s="24" t="inlineStr"/>
      <c r="J11" s="24" t="inlineStr">
        <is>
          <t>2023/01/12</t>
        </is>
      </c>
    </row>
    <row r="12">
      <c r="B12" s="24" t="inlineStr">
        <is>
          <t>awe_query_info</t>
        </is>
      </c>
      <c r="C12" s="24" t="inlineStr">
        <is>
          <t>ORGID</t>
        </is>
      </c>
      <c r="D12" s="24" t="inlineStr">
        <is>
          <t>varchar(32)</t>
        </is>
      </c>
      <c r="E12" s="24" t="inlineStr">
        <is>
          <t>YES</t>
        </is>
      </c>
      <c r="F12" s="24" t="inlineStr">
        <is>
          <t>录入机构</t>
        </is>
      </c>
      <c r="G12" s="24" t="n"/>
      <c r="H12" s="24" t="n"/>
      <c r="I12" s="24" t="inlineStr"/>
      <c r="J12" s="24" t="inlineStr">
        <is>
          <t>2023/01/12</t>
        </is>
      </c>
    </row>
    <row r="13">
      <c r="B13" s="24" t="inlineStr">
        <is>
          <t>awe_query_info</t>
        </is>
      </c>
      <c r="C13" s="24" t="inlineStr">
        <is>
          <t>UPDATEDATE</t>
        </is>
      </c>
      <c r="D13" s="24" t="inlineStr">
        <is>
          <t>datetime</t>
        </is>
      </c>
      <c r="E13" s="24" t="inlineStr">
        <is>
          <t>YES</t>
        </is>
      </c>
      <c r="F13" s="24" t="inlineStr">
        <is>
          <t>更新时间</t>
        </is>
      </c>
      <c r="G13" s="24" t="n"/>
      <c r="H13" s="24" t="n"/>
      <c r="I13" s="24" t="inlineStr"/>
      <c r="J13" s="24" t="inlineStr">
        <is>
          <t>2023/01/12</t>
        </is>
      </c>
    </row>
    <row r="14">
      <c r="B14" s="24" t="inlineStr">
        <is>
          <t>awe_query_info</t>
        </is>
      </c>
      <c r="C14" s="24" t="inlineStr">
        <is>
          <t>QUERYSQL</t>
        </is>
      </c>
      <c r="D14" s="24" t="inlineStr">
        <is>
          <t>text</t>
        </is>
      </c>
      <c r="E14" s="24" t="inlineStr">
        <is>
          <t>YES</t>
        </is>
      </c>
      <c r="F14" s="24" t="inlineStr">
        <is>
          <t>查询脚本</t>
        </is>
      </c>
      <c r="G14" s="24" t="n"/>
      <c r="H14" s="24" t="n"/>
      <c r="I14" s="24" t="inlineStr"/>
      <c r="J14" s="24" t="inlineStr">
        <is>
          <t>2023/01/12</t>
        </is>
      </c>
    </row>
    <row r="15">
      <c r="B15" s="24" t="inlineStr">
        <is>
          <t>awe_query_info</t>
        </is>
      </c>
      <c r="C15" s="24" t="inlineStr">
        <is>
          <t>QUERYPARAMS</t>
        </is>
      </c>
      <c r="D15" s="24" t="inlineStr">
        <is>
          <t>text</t>
        </is>
      </c>
      <c r="E15" s="24" t="inlineStr">
        <is>
          <t>YES</t>
        </is>
      </c>
      <c r="F15" s="24" t="inlineStr">
        <is>
          <t>参数变量串</t>
        </is>
      </c>
      <c r="G15" s="24" t="n"/>
      <c r="H15" s="24" t="n"/>
      <c r="I15" s="24" t="inlineStr"/>
      <c r="J15" s="24" t="inlineStr">
        <is>
          <t>2023/01/12</t>
        </is>
      </c>
    </row>
    <row r="16">
      <c r="B16" s="24" t="inlineStr">
        <is>
          <t>awe_query_info</t>
        </is>
      </c>
      <c r="C16" s="24" t="inlineStr">
        <is>
          <t>ORDERITEMS</t>
        </is>
      </c>
      <c r="D16" s="24" t="inlineStr">
        <is>
          <t>text</t>
        </is>
      </c>
      <c r="E16" s="24" t="inlineStr">
        <is>
          <t>YES</t>
        </is>
      </c>
      <c r="F16" s="24" t="inlineStr">
        <is>
          <t>排序信息项</t>
        </is>
      </c>
      <c r="G16" s="24" t="n"/>
      <c r="H16" s="24" t="n"/>
      <c r="I16" s="24" t="inlineStr"/>
      <c r="J16" s="24" t="inlineStr">
        <is>
          <t>2023/01/12</t>
        </is>
      </c>
    </row>
    <row r="17">
      <c r="B17" s="24" t="inlineStr">
        <is>
          <t>awe_query_info</t>
        </is>
      </c>
      <c r="C17" s="24" t="inlineStr">
        <is>
          <t>FILTERCOLS</t>
        </is>
      </c>
      <c r="D17" s="24" t="inlineStr">
        <is>
          <t>varchar(4000)</t>
        </is>
      </c>
      <c r="E17" s="24" t="inlineStr">
        <is>
          <t>YES</t>
        </is>
      </c>
      <c r="F17" s="24" t="inlineStr">
        <is>
          <t>查询条件列</t>
        </is>
      </c>
      <c r="G17" s="24" t="n"/>
      <c r="H17" s="24" t="n"/>
      <c r="I17" s="24" t="inlineStr"/>
      <c r="J17" s="24" t="inlineStr">
        <is>
          <t>2023/01/12</t>
        </is>
      </c>
    </row>
    <row r="18">
      <c r="B18" s="24" t="inlineStr">
        <is>
          <t>awe_query_info</t>
        </is>
      </c>
      <c r="C18" s="24" t="inlineStr">
        <is>
          <t>DISPLAYITEMS</t>
        </is>
      </c>
      <c r="D18" s="24" t="inlineStr">
        <is>
          <t>varchar(4000)</t>
        </is>
      </c>
      <c r="E18" s="24" t="inlineStr">
        <is>
          <t>YES</t>
        </is>
      </c>
      <c r="F18" s="24" t="inlineStr">
        <is>
          <t>输出信息项</t>
        </is>
      </c>
      <c r="G18" s="24" t="n"/>
      <c r="H18" s="24" t="n"/>
      <c r="I18" s="24" t="inlineStr"/>
      <c r="J18" s="24" t="inlineStr">
        <is>
          <t>2023/01/12</t>
        </is>
      </c>
    </row>
    <row r="19">
      <c r="B19" s="24" t="inlineStr">
        <is>
          <t>awe_query_info</t>
        </is>
      </c>
      <c r="C19" s="24" t="inlineStr">
        <is>
          <t>QUERYCLAUSE</t>
        </is>
      </c>
      <c r="D19" s="24" t="inlineStr">
        <is>
          <t>text</t>
        </is>
      </c>
      <c r="E19" s="24" t="inlineStr">
        <is>
          <t>YES</t>
        </is>
      </c>
      <c r="F19" s="24" t="inlineStr">
        <is>
          <t>查询条件</t>
        </is>
      </c>
      <c r="G19" s="24" t="n"/>
      <c r="H19" s="24" t="n"/>
      <c r="I19" s="24" t="inlineStr"/>
      <c r="J19" s="24" t="inlineStr">
        <is>
          <t>2023/01/12</t>
        </is>
      </c>
    </row>
    <row r="20">
      <c r="B20" s="24" t="inlineStr">
        <is>
          <t>awe_query_info</t>
        </is>
      </c>
      <c r="C20" s="24" t="inlineStr">
        <is>
          <t>RELATION</t>
        </is>
      </c>
      <c r="D20" s="24" t="inlineStr">
        <is>
          <t>text</t>
        </is>
      </c>
      <c r="E20" s="24" t="inlineStr">
        <is>
          <t>YES</t>
        </is>
      </c>
      <c r="F20" s="24" t="inlineStr">
        <is>
          <t>对象间关系</t>
        </is>
      </c>
      <c r="G20" s="24" t="n"/>
      <c r="H20" s="24" t="n"/>
      <c r="I20" s="24" t="inlineStr"/>
      <c r="J20" s="24" t="inlineStr">
        <is>
          <t>2023/01/12</t>
        </is>
      </c>
    </row>
  </sheetData>
  <pageMargins left="0.75" right="0.75" top="1" bottom="1" header="0.5" footer="0.5"/>
  <pageSetup orientation="portrait" paperSize="1" horizontalDpi="300" verticalDpi="300"/>
</worksheet>
</file>

<file path=xl/worksheets/sheet43.xml><?xml version="1.0" encoding="utf-8"?>
<worksheet xmlns="http://schemas.openxmlformats.org/spreadsheetml/2006/main">
  <sheetPr>
    <outlinePr summaryBelow="1" summaryRight="1"/>
    <pageSetUpPr/>
  </sheetPr>
  <dimension ref="A1:J11"/>
  <sheetViews>
    <sheetView zoomScaleSheetLayoutView="60" workbookViewId="0">
      <selection activeCell="D16" sqref="D16"/>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快速查询统计表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awe_query_user</t>
        </is>
      </c>
      <c r="C3" s="24" t="inlineStr">
        <is>
          <t>SERIALNO</t>
        </is>
      </c>
      <c r="D3" s="24" t="inlineStr">
        <is>
          <t>varchar(32)</t>
        </is>
      </c>
      <c r="E3" s="24" t="inlineStr">
        <is>
          <t>NO</t>
        </is>
      </c>
      <c r="F3" s="24" t="inlineStr">
        <is>
          <t>编号</t>
        </is>
      </c>
      <c r="G3" s="24" t="n"/>
      <c r="H3" s="24" t="n"/>
      <c r="I3" s="24" t="inlineStr"/>
      <c r="J3" s="24" t="inlineStr">
        <is>
          <t>2023/01/12</t>
        </is>
      </c>
    </row>
    <row r="4">
      <c r="B4" s="24" t="inlineStr">
        <is>
          <t>awe_query_user</t>
        </is>
      </c>
      <c r="C4" s="24" t="inlineStr">
        <is>
          <t>USERID</t>
        </is>
      </c>
      <c r="D4" s="24" t="inlineStr">
        <is>
          <t>varchar(32)</t>
        </is>
      </c>
      <c r="E4" s="24" t="inlineStr">
        <is>
          <t>YES</t>
        </is>
      </c>
      <c r="F4" s="24" t="inlineStr">
        <is>
          <t>用户编号</t>
        </is>
      </c>
      <c r="G4" s="24" t="n"/>
      <c r="H4" s="24" t="n"/>
      <c r="I4" s="24" t="inlineStr"/>
      <c r="J4" s="24" t="inlineStr">
        <is>
          <t>2023/01/12</t>
        </is>
      </c>
    </row>
    <row r="5">
      <c r="B5" s="24" t="inlineStr">
        <is>
          <t>awe_query_user</t>
        </is>
      </c>
      <c r="C5" s="24" t="inlineStr">
        <is>
          <t>QUERYID</t>
        </is>
      </c>
      <c r="D5" s="24" t="inlineStr">
        <is>
          <t>varchar(32)</t>
        </is>
      </c>
      <c r="E5" s="24" t="inlineStr">
        <is>
          <t>YES</t>
        </is>
      </c>
      <c r="F5" s="24" t="inlineStr">
        <is>
          <t>查询id</t>
        </is>
      </c>
      <c r="G5" s="24" t="n"/>
      <c r="H5" s="24" t="n"/>
      <c r="I5" s="24" t="inlineStr"/>
      <c r="J5" s="24" t="inlineStr">
        <is>
          <t>2023/01/12</t>
        </is>
      </c>
    </row>
    <row r="6">
      <c r="B6" s="24" t="inlineStr">
        <is>
          <t>awe_query_user</t>
        </is>
      </c>
      <c r="C6" s="24" t="inlineStr">
        <is>
          <t>STATUS</t>
        </is>
      </c>
      <c r="D6" s="24" t="inlineStr">
        <is>
          <t>varchar(6)</t>
        </is>
      </c>
      <c r="E6" s="24" t="inlineStr">
        <is>
          <t>YES</t>
        </is>
      </c>
      <c r="F6" s="24" t="inlineStr">
        <is>
          <t>状态</t>
        </is>
      </c>
      <c r="G6" s="24" t="n"/>
      <c r="H6" s="24" t="n"/>
      <c r="I6" s="24" t="inlineStr"/>
      <c r="J6" s="24" t="inlineStr">
        <is>
          <t>2023/01/12</t>
        </is>
      </c>
    </row>
    <row r="7">
      <c r="B7" s="24" t="inlineStr">
        <is>
          <t>awe_query_user</t>
        </is>
      </c>
      <c r="C7" s="24" t="inlineStr">
        <is>
          <t>REMARK</t>
        </is>
      </c>
      <c r="D7" s="24" t="inlineStr">
        <is>
          <t>varchar(500)</t>
        </is>
      </c>
      <c r="E7" s="24" t="inlineStr">
        <is>
          <t>YES</t>
        </is>
      </c>
      <c r="F7" s="24" t="inlineStr">
        <is>
          <t>备注</t>
        </is>
      </c>
      <c r="G7" s="24" t="n"/>
      <c r="H7" s="24" t="n"/>
      <c r="I7" s="24" t="inlineStr"/>
      <c r="J7" s="24" t="inlineStr">
        <is>
          <t>2023/01/12</t>
        </is>
      </c>
    </row>
    <row r="8">
      <c r="B8" s="24" t="inlineStr">
        <is>
          <t>awe_query_user</t>
        </is>
      </c>
      <c r="C8" s="24" t="inlineStr">
        <is>
          <t>PATH</t>
        </is>
      </c>
      <c r="D8" s="24" t="inlineStr">
        <is>
          <t>varchar(500)</t>
        </is>
      </c>
      <c r="E8" s="24" t="inlineStr">
        <is>
          <t>YES</t>
        </is>
      </c>
      <c r="F8" s="24" t="inlineStr">
        <is>
          <t>路径</t>
        </is>
      </c>
      <c r="G8" s="24" t="n"/>
      <c r="H8" s="24" t="n"/>
      <c r="I8" s="24" t="inlineStr"/>
      <c r="J8" s="24" t="inlineStr">
        <is>
          <t>2023/01/12</t>
        </is>
      </c>
    </row>
    <row r="9">
      <c r="B9" s="24" t="inlineStr">
        <is>
          <t>awe_query_user</t>
        </is>
      </c>
      <c r="C9" s="24" t="inlineStr">
        <is>
          <t>FILENAME</t>
        </is>
      </c>
      <c r="D9" s="24" t="inlineStr">
        <is>
          <t>varchar(500)</t>
        </is>
      </c>
      <c r="E9" s="24" t="inlineStr">
        <is>
          <t>YES</t>
        </is>
      </c>
      <c r="F9" s="24" t="inlineStr">
        <is>
          <t>文件名</t>
        </is>
      </c>
      <c r="G9" s="24" t="n"/>
      <c r="H9" s="24" t="n"/>
      <c r="I9" s="24" t="inlineStr"/>
      <c r="J9" s="24" t="inlineStr">
        <is>
          <t>2023/01/12</t>
        </is>
      </c>
    </row>
    <row r="10">
      <c r="B10" s="24" t="inlineStr">
        <is>
          <t>awe_query_user</t>
        </is>
      </c>
      <c r="C10" s="24" t="inlineStr">
        <is>
          <t>BAK1</t>
        </is>
      </c>
      <c r="D10" s="24" t="inlineStr">
        <is>
          <t>varchar(32)</t>
        </is>
      </c>
      <c r="E10" s="24" t="inlineStr">
        <is>
          <t>YES</t>
        </is>
      </c>
      <c r="F10" s="24" t="inlineStr">
        <is>
          <t>预留1</t>
        </is>
      </c>
      <c r="G10" s="24" t="n"/>
      <c r="H10" s="24" t="n"/>
      <c r="I10" s="24" t="inlineStr"/>
      <c r="J10" s="24" t="inlineStr">
        <is>
          <t>2023/01/12</t>
        </is>
      </c>
    </row>
    <row r="11">
      <c r="B11" s="24" t="inlineStr">
        <is>
          <t>awe_query_user</t>
        </is>
      </c>
      <c r="C11" s="24" t="inlineStr">
        <is>
          <t>BAK2</t>
        </is>
      </c>
      <c r="D11" s="24" t="inlineStr">
        <is>
          <t>varchar(32)</t>
        </is>
      </c>
      <c r="E11" s="24" t="inlineStr">
        <is>
          <t>YES</t>
        </is>
      </c>
      <c r="F11" s="24" t="inlineStr">
        <is>
          <t>预留2</t>
        </is>
      </c>
      <c r="G11" s="24" t="n"/>
      <c r="H11" s="24" t="n"/>
      <c r="I11" s="24" t="inlineStr"/>
      <c r="J11" s="24" t="inlineStr">
        <is>
          <t>2023/01/12</t>
        </is>
      </c>
    </row>
  </sheetData>
  <pageMargins left="0.75" right="0.75" top="1" bottom="1" header="0.5" footer="0.5"/>
  <pageSetup orientation="portrait" paperSize="1" horizontalDpi="300" verticalDpi="300"/>
</worksheet>
</file>

<file path=xl/worksheets/sheet44.xml><?xml version="1.0" encoding="utf-8"?>
<worksheet xmlns="http://schemas.openxmlformats.org/spreadsheetml/2006/main">
  <sheetPr>
    <outlinePr summaryBelow="1" summaryRight="1"/>
    <pageSetUpPr/>
  </sheetPr>
  <dimension ref="A1:J16"/>
  <sheetViews>
    <sheetView zoomScaleSheetLayoutView="60" workbookViewId="0">
      <selection activeCell="F19" sqref="F1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快捷链接</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awe_quick_href</t>
        </is>
      </c>
      <c r="C3" s="24" t="inlineStr">
        <is>
          <t>QUICKID</t>
        </is>
      </c>
      <c r="D3" s="24" t="inlineStr">
        <is>
          <t>varchar(32)</t>
        </is>
      </c>
      <c r="E3" s="24" t="inlineStr">
        <is>
          <t>NO</t>
        </is>
      </c>
      <c r="F3" s="24" t="inlineStr">
        <is>
          <t>编号</t>
        </is>
      </c>
      <c r="G3" s="24" t="n"/>
      <c r="H3" s="24" t="n"/>
      <c r="I3" s="24" t="inlineStr"/>
      <c r="J3" s="24" t="inlineStr">
        <is>
          <t>2023/01/12</t>
        </is>
      </c>
    </row>
    <row r="4">
      <c r="B4" s="24" t="inlineStr">
        <is>
          <t>awe_quick_href</t>
        </is>
      </c>
      <c r="C4" s="24" t="inlineStr">
        <is>
          <t>QUICKNAME</t>
        </is>
      </c>
      <c r="D4" s="24" t="inlineStr">
        <is>
          <t>varchar(80)</t>
        </is>
      </c>
      <c r="E4" s="24" t="inlineStr">
        <is>
          <t>NO</t>
        </is>
      </c>
      <c r="F4" s="24" t="inlineStr">
        <is>
          <t>名称</t>
        </is>
      </c>
      <c r="G4" s="24" t="n"/>
      <c r="H4" s="24" t="n"/>
      <c r="I4" s="24" t="inlineStr"/>
      <c r="J4" s="24" t="inlineStr">
        <is>
          <t>2023/01/12</t>
        </is>
      </c>
    </row>
    <row r="5">
      <c r="B5" s="24" t="inlineStr">
        <is>
          <t>awe_quick_href</t>
        </is>
      </c>
      <c r="C5" s="24" t="inlineStr">
        <is>
          <t>QUICKTYPE</t>
        </is>
      </c>
      <c r="D5" s="24" t="inlineStr">
        <is>
          <t>varchar(80)</t>
        </is>
      </c>
      <c r="E5" s="24" t="inlineStr">
        <is>
          <t>NO</t>
        </is>
      </c>
      <c r="F5" s="24" t="inlineStr">
        <is>
          <t>类型</t>
        </is>
      </c>
      <c r="G5" s="24" t="n"/>
      <c r="H5" s="24" t="n"/>
      <c r="I5" s="24" t="inlineStr"/>
      <c r="J5" s="24" t="inlineStr">
        <is>
          <t>2023/01/12</t>
        </is>
      </c>
    </row>
    <row r="6">
      <c r="B6" s="24" t="inlineStr">
        <is>
          <t>awe_quick_href</t>
        </is>
      </c>
      <c r="C6" s="24" t="inlineStr">
        <is>
          <t>QUICKPARAMS</t>
        </is>
      </c>
      <c r="D6" s="24" t="inlineStr">
        <is>
          <t>varchar(500)</t>
        </is>
      </c>
      <c r="E6" s="24" t="inlineStr">
        <is>
          <t>YES</t>
        </is>
      </c>
      <c r="F6" s="24" t="inlineStr">
        <is>
          <t>参数</t>
        </is>
      </c>
      <c r="G6" s="24" t="n"/>
      <c r="H6" s="24" t="n"/>
      <c r="I6" s="24" t="inlineStr"/>
      <c r="J6" s="24" t="inlineStr">
        <is>
          <t>2023/01/12</t>
        </is>
      </c>
    </row>
    <row r="7">
      <c r="B7" s="24" t="inlineStr">
        <is>
          <t>awe_quick_href</t>
        </is>
      </c>
      <c r="C7" s="24" t="inlineStr">
        <is>
          <t>REMARK</t>
        </is>
      </c>
      <c r="D7" s="24" t="inlineStr">
        <is>
          <t>varchar(500)</t>
        </is>
      </c>
      <c r="E7" s="24" t="inlineStr">
        <is>
          <t>YES</t>
        </is>
      </c>
      <c r="F7" s="24" t="inlineStr">
        <is>
          <t>备注</t>
        </is>
      </c>
      <c r="G7" s="24" t="n"/>
      <c r="H7" s="24" t="n"/>
      <c r="I7" s="24" t="inlineStr"/>
      <c r="J7" s="24" t="inlineStr">
        <is>
          <t>2023/01/12</t>
        </is>
      </c>
    </row>
    <row r="8">
      <c r="B8" s="24" t="inlineStr">
        <is>
          <t>awe_quick_href</t>
        </is>
      </c>
      <c r="C8" s="24" t="inlineStr">
        <is>
          <t>FORUSER</t>
        </is>
      </c>
      <c r="D8" s="24" t="inlineStr">
        <is>
          <t>varchar(32)</t>
        </is>
      </c>
      <c r="E8" s="24" t="inlineStr">
        <is>
          <t>NO</t>
        </is>
      </c>
      <c r="F8" s="24" t="inlineStr">
        <is>
          <t>服务用户</t>
        </is>
      </c>
      <c r="G8" s="24" t="n"/>
      <c r="H8" s="24" t="n"/>
      <c r="I8" s="24" t="inlineStr"/>
      <c r="J8" s="24" t="inlineStr">
        <is>
          <t>2023/01/12</t>
        </is>
      </c>
    </row>
    <row r="9">
      <c r="B9" s="24" t="inlineStr">
        <is>
          <t>awe_quick_href</t>
        </is>
      </c>
      <c r="C9" s="24" t="inlineStr">
        <is>
          <t>ISINUSE</t>
        </is>
      </c>
      <c r="D9" s="24" t="inlineStr">
        <is>
          <t>char(1)</t>
        </is>
      </c>
      <c r="E9" s="24" t="inlineStr">
        <is>
          <t>YES</t>
        </is>
      </c>
      <c r="F9" s="53" t="inlineStr">
        <is>
          <t>有效标记，代码CODE_LIBRARY.CodeNo=IsInUse</t>
        </is>
      </c>
      <c r="G9" s="24" t="n"/>
      <c r="H9" s="24" t="n"/>
      <c r="I9" s="24" t="inlineStr"/>
      <c r="J9" s="24" t="inlineStr">
        <is>
          <t>2023/01/12</t>
        </is>
      </c>
    </row>
    <row r="10">
      <c r="B10" s="24" t="inlineStr">
        <is>
          <t>awe_quick_href</t>
        </is>
      </c>
      <c r="C10" s="24" t="inlineStr">
        <is>
          <t>SORTNO</t>
        </is>
      </c>
      <c r="D10" s="24" t="inlineStr">
        <is>
          <t>varchar(32)</t>
        </is>
      </c>
      <c r="E10" s="24" t="inlineStr">
        <is>
          <t>YES</t>
        </is>
      </c>
      <c r="F10" s="24" t="inlineStr">
        <is>
          <t>排序</t>
        </is>
      </c>
      <c r="G10" s="24" t="n"/>
      <c r="H10" s="24" t="n"/>
      <c r="I10" s="24" t="inlineStr"/>
      <c r="J10" s="24" t="inlineStr">
        <is>
          <t>2023/01/12</t>
        </is>
      </c>
    </row>
    <row r="11">
      <c r="B11" s="24" t="inlineStr">
        <is>
          <t>awe_quick_href</t>
        </is>
      </c>
      <c r="C11" s="24" t="inlineStr">
        <is>
          <t>INPUTORG</t>
        </is>
      </c>
      <c r="D11" s="24" t="inlineStr">
        <is>
          <t>varchar(32)</t>
        </is>
      </c>
      <c r="E11" s="24" t="inlineStr">
        <is>
          <t>YES</t>
        </is>
      </c>
      <c r="F11" s="24" t="inlineStr">
        <is>
          <t>录入机构</t>
        </is>
      </c>
      <c r="G11" s="24" t="n"/>
      <c r="H11" s="24" t="n"/>
      <c r="I11" s="24" t="inlineStr"/>
      <c r="J11" s="24" t="inlineStr">
        <is>
          <t>2023/01/12</t>
        </is>
      </c>
    </row>
    <row r="12">
      <c r="B12" s="24" t="inlineStr">
        <is>
          <t>awe_quick_href</t>
        </is>
      </c>
      <c r="C12" s="24" t="inlineStr">
        <is>
          <t>INPUTUSER</t>
        </is>
      </c>
      <c r="D12" s="24" t="inlineStr">
        <is>
          <t>varchar(32)</t>
        </is>
      </c>
      <c r="E12" s="24" t="inlineStr">
        <is>
          <t>YES</t>
        </is>
      </c>
      <c r="F12" s="24" t="inlineStr">
        <is>
          <t>录入用户</t>
        </is>
      </c>
      <c r="G12" s="24" t="n"/>
      <c r="H12" s="24" t="n"/>
      <c r="I12" s="24" t="inlineStr"/>
      <c r="J12" s="24" t="inlineStr">
        <is>
          <t>2023/01/12</t>
        </is>
      </c>
    </row>
    <row r="13">
      <c r="B13" s="24" t="inlineStr">
        <is>
          <t>awe_quick_href</t>
        </is>
      </c>
      <c r="C13" s="24" t="inlineStr">
        <is>
          <t>INPUTTIME</t>
        </is>
      </c>
      <c r="D13" s="24" t="inlineStr">
        <is>
          <t>datetime</t>
        </is>
      </c>
      <c r="E13" s="24" t="inlineStr">
        <is>
          <t>YES</t>
        </is>
      </c>
      <c r="F13" s="24" t="inlineStr">
        <is>
          <t>录入时间</t>
        </is>
      </c>
      <c r="G13" s="24" t="n"/>
      <c r="H13" s="24" t="n"/>
      <c r="I13" s="24" t="inlineStr"/>
      <c r="J13" s="24" t="inlineStr">
        <is>
          <t>2023/01/12</t>
        </is>
      </c>
    </row>
    <row r="14">
      <c r="B14" s="24" t="inlineStr">
        <is>
          <t>awe_quick_href</t>
        </is>
      </c>
      <c r="C14" s="24" t="inlineStr">
        <is>
          <t>UPDATEORG</t>
        </is>
      </c>
      <c r="D14" s="24" t="inlineStr">
        <is>
          <t>varchar(32)</t>
        </is>
      </c>
      <c r="E14" s="24" t="inlineStr">
        <is>
          <t>YES</t>
        </is>
      </c>
      <c r="F14" s="24" t="inlineStr">
        <is>
          <t>更新机构</t>
        </is>
      </c>
      <c r="G14" s="24" t="n"/>
      <c r="H14" s="24" t="n"/>
      <c r="I14" s="24" t="inlineStr"/>
      <c r="J14" s="24" t="inlineStr">
        <is>
          <t>2023/01/12</t>
        </is>
      </c>
    </row>
    <row r="15">
      <c r="B15" s="24" t="inlineStr">
        <is>
          <t>awe_quick_href</t>
        </is>
      </c>
      <c r="C15" s="24" t="inlineStr">
        <is>
          <t>UPDATEUSER</t>
        </is>
      </c>
      <c r="D15" s="24" t="inlineStr">
        <is>
          <t>varchar(32)</t>
        </is>
      </c>
      <c r="E15" s="24" t="inlineStr">
        <is>
          <t>YES</t>
        </is>
      </c>
      <c r="F15" s="24" t="inlineStr">
        <is>
          <t>更新用户</t>
        </is>
      </c>
      <c r="G15" s="24" t="n"/>
      <c r="H15" s="24" t="n"/>
      <c r="I15" s="24" t="inlineStr"/>
      <c r="J15" s="24" t="inlineStr">
        <is>
          <t>2023/01/12</t>
        </is>
      </c>
    </row>
    <row r="16">
      <c r="B16" s="24" t="inlineStr">
        <is>
          <t>awe_quick_href</t>
        </is>
      </c>
      <c r="C16" s="24" t="inlineStr">
        <is>
          <t>UPDATETIME</t>
        </is>
      </c>
      <c r="D16" s="24" t="inlineStr">
        <is>
          <t>datetime</t>
        </is>
      </c>
      <c r="E16" s="24" t="inlineStr">
        <is>
          <t>YES</t>
        </is>
      </c>
      <c r="F16" s="24" t="inlineStr">
        <is>
          <t>更新时间</t>
        </is>
      </c>
      <c r="G16" s="24" t="n"/>
      <c r="H16" s="24" t="n"/>
      <c r="I16" s="24" t="inlineStr"/>
      <c r="J16" s="24" t="inlineStr">
        <is>
          <t>2023/01/12</t>
        </is>
      </c>
    </row>
  </sheetData>
  <pageMargins left="0.75" right="0.75" top="1" bottom="1" header="0.5" footer="0.5"/>
  <pageSetup orientation="portrait" paperSize="1" horizontalDpi="300" verticalDpi="300"/>
</worksheet>
</file>

<file path=xl/worksheets/sheet45.xml><?xml version="1.0" encoding="utf-8"?>
<worksheet xmlns="http://schemas.openxmlformats.org/spreadsheetml/2006/main">
  <sheetPr>
    <outlinePr summaryBelow="1" summaryRight="1"/>
    <pageSetUpPr/>
  </sheetPr>
  <dimension ref="A1:J7"/>
  <sheetViews>
    <sheetView zoomScaleSheetLayoutView="60" workbookViewId="0">
      <selection activeCell="A1" sqref="A1"/>
    </sheetView>
  </sheetViews>
  <sheetFormatPr baseColWidth="8" defaultColWidth="9.142857142857141" defaultRowHeight="15.2" outlineLevelRow="6"/>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特殊信息记录表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awe_record_info</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awe_record_info</t>
        </is>
      </c>
      <c r="C4" s="24" t="inlineStr">
        <is>
          <t>RECORDUSER</t>
        </is>
      </c>
      <c r="D4" s="24" t="inlineStr">
        <is>
          <t>varchar(32)</t>
        </is>
      </c>
      <c r="E4" s="24" t="inlineStr">
        <is>
          <t>YES</t>
        </is>
      </c>
      <c r="F4" s="24" t="inlineStr">
        <is>
          <t>记录员</t>
        </is>
      </c>
      <c r="G4" s="24" t="n"/>
      <c r="H4" s="24" t="n"/>
      <c r="I4" s="24" t="inlineStr"/>
      <c r="J4" s="24" t="inlineStr">
        <is>
          <t>2023/01/12</t>
        </is>
      </c>
    </row>
    <row r="5">
      <c r="B5" s="24" t="inlineStr">
        <is>
          <t>awe_record_info</t>
        </is>
      </c>
      <c r="C5" s="24" t="inlineStr">
        <is>
          <t>RECORDTIME</t>
        </is>
      </c>
      <c r="D5" s="24" t="inlineStr">
        <is>
          <t>varchar(32)</t>
        </is>
      </c>
      <c r="E5" s="24" t="inlineStr">
        <is>
          <t>YES</t>
        </is>
      </c>
      <c r="F5" s="24" t="inlineStr">
        <is>
          <t>记录时间</t>
        </is>
      </c>
      <c r="G5" s="24" t="n"/>
      <c r="H5" s="24" t="n"/>
      <c r="I5" s="24" t="inlineStr"/>
      <c r="J5" s="24" t="inlineStr">
        <is>
          <t>2023/01/12</t>
        </is>
      </c>
    </row>
    <row r="6">
      <c r="B6" s="24" t="inlineStr">
        <is>
          <t>awe_record_info</t>
        </is>
      </c>
      <c r="C6" s="24" t="inlineStr">
        <is>
          <t>RECORDREASON</t>
        </is>
      </c>
      <c r="D6" s="24" t="inlineStr">
        <is>
          <t>varchar(500)</t>
        </is>
      </c>
      <c r="E6" s="24" t="inlineStr">
        <is>
          <t>YES</t>
        </is>
      </c>
      <c r="F6" s="24" t="inlineStr">
        <is>
          <t>记录原因</t>
        </is>
      </c>
      <c r="G6" s="24" t="n"/>
      <c r="H6" s="24" t="n"/>
      <c r="I6" s="24" t="inlineStr"/>
      <c r="J6" s="24" t="inlineStr">
        <is>
          <t>2023/01/12</t>
        </is>
      </c>
    </row>
    <row r="7">
      <c r="B7" s="24" t="inlineStr">
        <is>
          <t>awe_record_info</t>
        </is>
      </c>
      <c r="C7" s="24" t="inlineStr">
        <is>
          <t>RECORDCONTENT</t>
        </is>
      </c>
      <c r="D7" s="24" t="inlineStr">
        <is>
          <t>varchar(4000)</t>
        </is>
      </c>
      <c r="E7" s="24" t="inlineStr">
        <is>
          <t>YES</t>
        </is>
      </c>
      <c r="F7" s="24" t="inlineStr">
        <is>
          <t>记录内容</t>
        </is>
      </c>
      <c r="G7" s="24" t="n"/>
      <c r="H7" s="24" t="n"/>
      <c r="I7" s="24" t="inlineStr"/>
      <c r="J7" s="24" t="inlineStr">
        <is>
          <t>2023/01/12</t>
        </is>
      </c>
    </row>
  </sheetData>
  <pageMargins left="0.75" right="0.75" top="1" bottom="1" header="0.5" footer="0.5"/>
  <pageSetup orientation="portrait" paperSize="1" horizontalDpi="300" verticalDpi="300"/>
</worksheet>
</file>

<file path=xl/worksheets/sheet46.xml><?xml version="1.0" encoding="utf-8"?>
<worksheet xmlns="http://schemas.openxmlformats.org/spreadsheetml/2006/main">
  <sheetPr>
    <outlinePr summaryBelow="1" summaryRight="1"/>
    <pageSetUpPr/>
  </sheetPr>
  <dimension ref="A1:J4"/>
  <sheetViews>
    <sheetView zoomScaleSheetLayoutView="60" workbookViewId="0">
      <selection activeCell="A1" sqref="A1"/>
    </sheetView>
  </sheetViews>
  <sheetFormatPr baseColWidth="8" defaultColWidth="9.142857142857141" defaultRowHeight="15.2" outlineLevelRow="3"/>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菜单权限表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awe_right_menu</t>
        </is>
      </c>
      <c r="C3" s="24" t="inlineStr">
        <is>
          <t>RIGHTID</t>
        </is>
      </c>
      <c r="D3" s="24" t="inlineStr">
        <is>
          <t>varchar(32)</t>
        </is>
      </c>
      <c r="E3" s="24" t="inlineStr">
        <is>
          <t>NO</t>
        </is>
      </c>
      <c r="F3" s="24" t="inlineStr">
        <is>
          <t>权限编号</t>
        </is>
      </c>
      <c r="G3" s="24" t="n"/>
      <c r="H3" s="24" t="n"/>
      <c r="I3" s="24" t="inlineStr"/>
      <c r="J3" s="24" t="inlineStr">
        <is>
          <t>2023/01/12</t>
        </is>
      </c>
    </row>
    <row r="4">
      <c r="B4" s="24" t="inlineStr">
        <is>
          <t>awe_right_menu</t>
        </is>
      </c>
      <c r="C4" s="24" t="inlineStr">
        <is>
          <t>MENUID</t>
        </is>
      </c>
      <c r="D4" s="24" t="inlineStr">
        <is>
          <t>varchar(32)</t>
        </is>
      </c>
      <c r="E4" s="24" t="inlineStr">
        <is>
          <t>NO</t>
        </is>
      </c>
      <c r="F4" s="24" t="inlineStr">
        <is>
          <t>菜单编号</t>
        </is>
      </c>
      <c r="G4" s="24" t="n"/>
      <c r="H4" s="24" t="n"/>
      <c r="I4" s="24" t="inlineStr"/>
      <c r="J4" s="24" t="inlineStr">
        <is>
          <t>2023/01/12</t>
        </is>
      </c>
    </row>
  </sheetData>
  <pageMargins left="0.75" right="0.75" top="1" bottom="1" header="0.5" footer="0.5"/>
  <pageSetup orientation="portrait" paperSize="1" horizontalDpi="300" verticalDpi="300"/>
</worksheet>
</file>

<file path=xl/worksheets/sheet47.xml><?xml version="1.0" encoding="utf-8"?>
<worksheet xmlns="http://schemas.openxmlformats.org/spreadsheetml/2006/main">
  <sheetPr>
    <outlinePr summaryBelow="1" summaryRight="1"/>
    <pageSetUpPr/>
  </sheetPr>
  <dimension ref="A1:J4"/>
  <sheetViews>
    <sheetView zoomScaleSheetLayoutView="60" workbookViewId="0">
      <selection activeCell="A1" sqref="A1"/>
    </sheetView>
  </sheetViews>
  <sheetFormatPr baseColWidth="8" defaultColWidth="9.142857142857141" defaultRowHeight="15.2" outlineLevelRow="3"/>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角色和功能点关联表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awe_role_function</t>
        </is>
      </c>
      <c r="C3" s="24" t="inlineStr">
        <is>
          <t>ROLEID</t>
        </is>
      </c>
      <c r="D3" s="24" t="inlineStr">
        <is>
          <t>varchar(32)</t>
        </is>
      </c>
      <c r="E3" s="24" t="inlineStr">
        <is>
          <t>NO</t>
        </is>
      </c>
      <c r="F3" s="24" t="inlineStr">
        <is>
          <t>角色编号</t>
        </is>
      </c>
      <c r="G3" s="24" t="n"/>
      <c r="H3" s="24" t="n"/>
      <c r="I3" s="24" t="inlineStr"/>
      <c r="J3" s="24" t="inlineStr">
        <is>
          <t>2023/01/12</t>
        </is>
      </c>
    </row>
    <row r="4">
      <c r="B4" s="24" t="inlineStr">
        <is>
          <t>awe_role_function</t>
        </is>
      </c>
      <c r="C4" s="24" t="inlineStr">
        <is>
          <t>FUNCTIONID</t>
        </is>
      </c>
      <c r="D4" s="24" t="inlineStr">
        <is>
          <t>varchar(32)</t>
        </is>
      </c>
      <c r="E4" s="24" t="inlineStr">
        <is>
          <t>NO</t>
        </is>
      </c>
      <c r="F4" s="24" t="inlineStr">
        <is>
          <t>功能点编号</t>
        </is>
      </c>
      <c r="G4" s="24" t="n"/>
      <c r="H4" s="24" t="n"/>
      <c r="I4" s="24" t="inlineStr"/>
      <c r="J4" s="24" t="inlineStr">
        <is>
          <t>2023/01/12</t>
        </is>
      </c>
    </row>
  </sheetData>
  <pageMargins left="0.75" right="0.75" top="1" bottom="1" header="0.5" footer="0.5"/>
  <pageSetup orientation="portrait" paperSize="1" horizontalDpi="300" verticalDpi="300"/>
</worksheet>
</file>

<file path=xl/worksheets/sheet48.xml><?xml version="1.0" encoding="utf-8"?>
<worksheet xmlns="http://schemas.openxmlformats.org/spreadsheetml/2006/main">
  <sheetPr>
    <outlinePr summaryBelow="1" summaryRight="1"/>
    <pageSetUpPr/>
  </sheetPr>
  <dimension ref="A1:J4"/>
  <sheetViews>
    <sheetView zoomScaleSheetLayoutView="60" workbookViewId="0">
      <selection activeCell="A1" sqref="A1"/>
    </sheetView>
  </sheetViews>
  <sheetFormatPr baseColWidth="8" defaultColWidth="9.142857142857141" defaultRowHeight="15.2" outlineLevelRow="3"/>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角色、菜单关联</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awe_role_menu</t>
        </is>
      </c>
      <c r="C3" s="24" t="inlineStr">
        <is>
          <t>ROLEID</t>
        </is>
      </c>
      <c r="D3" s="24" t="inlineStr">
        <is>
          <t>varchar(32)</t>
        </is>
      </c>
      <c r="E3" s="24" t="inlineStr">
        <is>
          <t>NO</t>
        </is>
      </c>
      <c r="F3" s="24" t="inlineStr">
        <is>
          <t>角色编号</t>
        </is>
      </c>
      <c r="G3" s="24" t="n"/>
      <c r="H3" s="24" t="n"/>
      <c r="I3" s="24" t="inlineStr"/>
      <c r="J3" s="24" t="inlineStr">
        <is>
          <t>2023/01/12</t>
        </is>
      </c>
    </row>
    <row r="4">
      <c r="B4" s="24" t="inlineStr">
        <is>
          <t>awe_role_menu</t>
        </is>
      </c>
      <c r="C4" s="24" t="inlineStr">
        <is>
          <t>MENUID</t>
        </is>
      </c>
      <c r="D4" s="24" t="inlineStr">
        <is>
          <t>varchar(32)</t>
        </is>
      </c>
      <c r="E4" s="24" t="inlineStr">
        <is>
          <t>NO</t>
        </is>
      </c>
      <c r="F4" s="24" t="inlineStr">
        <is>
          <t>菜单编号</t>
        </is>
      </c>
      <c r="G4" s="24" t="n"/>
      <c r="H4" s="24" t="n"/>
      <c r="I4" s="24" t="inlineStr"/>
      <c r="J4" s="24" t="inlineStr">
        <is>
          <t>2023/01/12</t>
        </is>
      </c>
    </row>
  </sheetData>
  <pageMargins left="0.75" right="0.75" top="1" bottom="1" header="0.5" footer="0.5"/>
  <pageSetup orientation="portrait" paperSize="1" horizontalDpi="300" verticalDpi="300"/>
</worksheet>
</file>

<file path=xl/worksheets/sheet49.xml><?xml version="1.0" encoding="utf-8"?>
<worksheet xmlns="http://schemas.openxmlformats.org/spreadsheetml/2006/main">
  <sheetPr>
    <outlinePr summaryBelow="1" summaryRight="1"/>
    <pageSetUpPr/>
  </sheetPr>
  <dimension ref="A1:J10"/>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角色权限系统表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awe_role_right</t>
        </is>
      </c>
      <c r="C3" s="24" t="inlineStr">
        <is>
          <t>ROLEID</t>
        </is>
      </c>
      <c r="D3" s="24" t="inlineStr">
        <is>
          <t>varchar(32)</t>
        </is>
      </c>
      <c r="E3" s="24" t="inlineStr">
        <is>
          <t>NO</t>
        </is>
      </c>
      <c r="F3" s="24" t="inlineStr">
        <is>
          <t>角色编号</t>
        </is>
      </c>
      <c r="G3" s="24" t="n"/>
      <c r="H3" s="24" t="n"/>
      <c r="I3" s="24" t="inlineStr"/>
      <c r="J3" s="24" t="inlineStr">
        <is>
          <t>2023/01/12</t>
        </is>
      </c>
    </row>
    <row r="4">
      <c r="B4" s="24" t="inlineStr">
        <is>
          <t>awe_role_right</t>
        </is>
      </c>
      <c r="C4" s="24" t="inlineStr">
        <is>
          <t>RIGHTID</t>
        </is>
      </c>
      <c r="D4" s="24" t="inlineStr">
        <is>
          <t>varchar(32)</t>
        </is>
      </c>
      <c r="E4" s="24" t="inlineStr">
        <is>
          <t>NO</t>
        </is>
      </c>
      <c r="F4" s="24" t="inlineStr">
        <is>
          <t>权限编号</t>
        </is>
      </c>
      <c r="G4" s="24" t="n"/>
      <c r="H4" s="24" t="n"/>
      <c r="I4" s="24" t="inlineStr"/>
      <c r="J4" s="24" t="inlineStr">
        <is>
          <t>2023/01/12</t>
        </is>
      </c>
    </row>
    <row r="5">
      <c r="B5" s="24" t="inlineStr">
        <is>
          <t>awe_role_right</t>
        </is>
      </c>
      <c r="C5" s="24" t="inlineStr">
        <is>
          <t>REMARK</t>
        </is>
      </c>
      <c r="D5" s="24" t="inlineStr">
        <is>
          <t>varchar(500)</t>
        </is>
      </c>
      <c r="E5" s="24" t="inlineStr">
        <is>
          <t>YES</t>
        </is>
      </c>
      <c r="F5" s="24" t="inlineStr">
        <is>
          <t>备注</t>
        </is>
      </c>
      <c r="G5" s="24" t="n"/>
      <c r="H5" s="24" t="n"/>
      <c r="I5" s="24" t="inlineStr"/>
      <c r="J5" s="24" t="inlineStr">
        <is>
          <t>2023/01/12</t>
        </is>
      </c>
    </row>
    <row r="6">
      <c r="B6" s="24" t="inlineStr">
        <is>
          <t>awe_role_right</t>
        </is>
      </c>
      <c r="C6" s="24" t="inlineStr">
        <is>
          <t>INPUTORG</t>
        </is>
      </c>
      <c r="D6" s="24" t="inlineStr">
        <is>
          <t>varchar(32)</t>
        </is>
      </c>
      <c r="E6" s="24" t="inlineStr">
        <is>
          <t>YES</t>
        </is>
      </c>
      <c r="F6" s="24" t="inlineStr">
        <is>
          <t>登记机构</t>
        </is>
      </c>
      <c r="G6" s="24" t="n"/>
      <c r="H6" s="24" t="n"/>
      <c r="I6" s="24" t="inlineStr"/>
      <c r="J6" s="24" t="inlineStr">
        <is>
          <t>2023/01/12</t>
        </is>
      </c>
    </row>
    <row r="7">
      <c r="B7" s="24" t="inlineStr">
        <is>
          <t>awe_role_right</t>
        </is>
      </c>
      <c r="C7" s="24" t="inlineStr">
        <is>
          <t>INPUTUSER</t>
        </is>
      </c>
      <c r="D7" s="24" t="inlineStr">
        <is>
          <t>varchar(32)</t>
        </is>
      </c>
      <c r="E7" s="24" t="inlineStr">
        <is>
          <t>YES</t>
        </is>
      </c>
      <c r="F7" s="24" t="inlineStr">
        <is>
          <t>登记人</t>
        </is>
      </c>
      <c r="G7" s="24" t="n"/>
      <c r="H7" s="24" t="n"/>
      <c r="I7" s="24" t="inlineStr"/>
      <c r="J7" s="24" t="inlineStr">
        <is>
          <t>2023/01/12</t>
        </is>
      </c>
    </row>
    <row r="8">
      <c r="B8" s="24" t="inlineStr">
        <is>
          <t>awe_role_right</t>
        </is>
      </c>
      <c r="C8" s="24" t="inlineStr">
        <is>
          <t>INPUTTIME</t>
        </is>
      </c>
      <c r="D8" s="24" t="inlineStr">
        <is>
          <t>datetime</t>
        </is>
      </c>
      <c r="E8" s="24" t="inlineStr">
        <is>
          <t>YES</t>
        </is>
      </c>
      <c r="F8" s="24" t="inlineStr">
        <is>
          <t>登记时间</t>
        </is>
      </c>
      <c r="G8" s="24" t="n"/>
      <c r="H8" s="24" t="n"/>
      <c r="I8" s="24" t="inlineStr"/>
      <c r="J8" s="24" t="inlineStr">
        <is>
          <t>2023/01/12</t>
        </is>
      </c>
    </row>
    <row r="9">
      <c r="B9" s="24" t="inlineStr">
        <is>
          <t>awe_role_right</t>
        </is>
      </c>
      <c r="C9" s="24" t="inlineStr">
        <is>
          <t>UPDATEUSER</t>
        </is>
      </c>
      <c r="D9" s="24" t="inlineStr">
        <is>
          <t>varchar(32)</t>
        </is>
      </c>
      <c r="E9" s="24" t="inlineStr">
        <is>
          <t>YES</t>
        </is>
      </c>
      <c r="F9" s="24" t="inlineStr">
        <is>
          <t>更新人</t>
        </is>
      </c>
      <c r="G9" s="24" t="n"/>
      <c r="H9" s="24" t="n"/>
      <c r="I9" s="24" t="inlineStr"/>
      <c r="J9" s="24" t="inlineStr">
        <is>
          <t>2023/01/12</t>
        </is>
      </c>
    </row>
    <row r="10">
      <c r="B10" s="24" t="inlineStr">
        <is>
          <t>awe_role_right</t>
        </is>
      </c>
      <c r="C10" s="24" t="inlineStr">
        <is>
          <t>UPDATETIME</t>
        </is>
      </c>
      <c r="D10" s="24" t="inlineStr">
        <is>
          <t>datetime</t>
        </is>
      </c>
      <c r="E10" s="24" t="inlineStr">
        <is>
          <t>YES</t>
        </is>
      </c>
      <c r="F10" s="24" t="inlineStr">
        <is>
          <t>更新时间</t>
        </is>
      </c>
      <c r="G10" s="24" t="n"/>
      <c r="H10" s="24" t="n"/>
      <c r="I10" s="24" t="inlineStr"/>
      <c r="J10" s="24" t="inlineStr">
        <is>
          <t>2023/01/12</t>
        </is>
      </c>
    </row>
  </sheetData>
  <pageMargins left="0.75" right="0.75" top="1" bottom="1" header="0.5" footer="0.5"/>
  <pageSetup orientation="portrait" paperSize="1" horizontalDpi="300" verticalDpi="300"/>
</worksheet>
</file>

<file path=xl/worksheets/sheet50.xml><?xml version="1.0" encoding="utf-8"?>
<worksheet xmlns="http://schemas.openxmlformats.org/spreadsheetml/2006/main">
  <sheetPr>
    <outlinePr summaryBelow="1" summaryRight="1"/>
    <pageSetUpPr/>
  </sheetPr>
  <dimension ref="A1:J10"/>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角色权限URL</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awe_role_url</t>
        </is>
      </c>
      <c r="C3" s="24" t="inlineStr">
        <is>
          <t>ROLEID</t>
        </is>
      </c>
      <c r="D3" s="24" t="inlineStr">
        <is>
          <t>varchar(32)</t>
        </is>
      </c>
      <c r="E3" s="24" t="inlineStr">
        <is>
          <t>NO</t>
        </is>
      </c>
      <c r="F3" s="24" t="inlineStr">
        <is>
          <t>角色编号</t>
        </is>
      </c>
      <c r="G3" s="24" t="n"/>
      <c r="H3" s="24" t="n"/>
      <c r="I3" s="24" t="inlineStr"/>
      <c r="J3" s="24" t="inlineStr">
        <is>
          <t>2023/01/12</t>
        </is>
      </c>
    </row>
    <row r="4">
      <c r="B4" s="24" t="inlineStr">
        <is>
          <t>awe_role_url</t>
        </is>
      </c>
      <c r="C4" s="24" t="inlineStr">
        <is>
          <t>URL</t>
        </is>
      </c>
      <c r="D4" s="24" t="inlineStr">
        <is>
          <t>varchar(500)</t>
        </is>
      </c>
      <c r="E4" s="24" t="inlineStr">
        <is>
          <t>NO</t>
        </is>
      </c>
      <c r="F4" s="24" t="inlineStr">
        <is>
          <t>URL路径</t>
        </is>
      </c>
      <c r="G4" s="24" t="n"/>
      <c r="H4" s="24" t="n"/>
      <c r="I4" s="24" t="inlineStr"/>
      <c r="J4" s="24" t="inlineStr">
        <is>
          <t>2023/01/12</t>
        </is>
      </c>
    </row>
    <row r="5">
      <c r="B5" s="24" t="inlineStr">
        <is>
          <t>awe_role_url</t>
        </is>
      </c>
      <c r="C5" s="24" t="inlineStr">
        <is>
          <t>INPUTORGID</t>
        </is>
      </c>
      <c r="D5" s="24" t="inlineStr">
        <is>
          <t>varchar(32)</t>
        </is>
      </c>
      <c r="E5" s="24" t="inlineStr">
        <is>
          <t>YES</t>
        </is>
      </c>
      <c r="F5" s="24" t="inlineStr">
        <is>
          <t>登记机构</t>
        </is>
      </c>
      <c r="G5" s="24" t="n"/>
      <c r="H5" s="24" t="n"/>
      <c r="I5" s="24" t="inlineStr"/>
      <c r="J5" s="24" t="inlineStr">
        <is>
          <t>2023/01/12</t>
        </is>
      </c>
    </row>
    <row r="6">
      <c r="B6" s="24" t="inlineStr">
        <is>
          <t>awe_role_url</t>
        </is>
      </c>
      <c r="C6" s="24" t="inlineStr">
        <is>
          <t>INPUTUSERID</t>
        </is>
      </c>
      <c r="D6" s="24" t="inlineStr">
        <is>
          <t>varchar(32)</t>
        </is>
      </c>
      <c r="E6" s="24" t="inlineStr">
        <is>
          <t>YES</t>
        </is>
      </c>
      <c r="F6" s="24" t="inlineStr">
        <is>
          <t>登记人</t>
        </is>
      </c>
      <c r="G6" s="24" t="n"/>
      <c r="H6" s="24" t="n"/>
      <c r="I6" s="24" t="inlineStr"/>
      <c r="J6" s="24" t="inlineStr">
        <is>
          <t>2023/01/12</t>
        </is>
      </c>
    </row>
    <row r="7">
      <c r="B7" s="24" t="inlineStr">
        <is>
          <t>awe_role_url</t>
        </is>
      </c>
      <c r="C7" s="24" t="inlineStr">
        <is>
          <t>INPUTDATE</t>
        </is>
      </c>
      <c r="D7" s="24" t="inlineStr">
        <is>
          <t>datetime</t>
        </is>
      </c>
      <c r="E7" s="24" t="inlineStr">
        <is>
          <t>YES</t>
        </is>
      </c>
      <c r="F7" s="24" t="inlineStr">
        <is>
          <t>登记日期</t>
        </is>
      </c>
      <c r="G7" s="24" t="n"/>
      <c r="H7" s="24" t="n"/>
      <c r="I7" s="24" t="inlineStr"/>
      <c r="J7" s="24" t="inlineStr">
        <is>
          <t>2023/01/12</t>
        </is>
      </c>
    </row>
    <row r="8">
      <c r="B8" s="24" t="inlineStr">
        <is>
          <t>awe_role_url</t>
        </is>
      </c>
      <c r="C8" s="24" t="inlineStr">
        <is>
          <t>UPDATEORGID</t>
        </is>
      </c>
      <c r="D8" s="24" t="inlineStr">
        <is>
          <t>varchar(32)</t>
        </is>
      </c>
      <c r="E8" s="24" t="inlineStr">
        <is>
          <t>YES</t>
        </is>
      </c>
      <c r="F8" s="24" t="inlineStr">
        <is>
          <t>更新机构</t>
        </is>
      </c>
      <c r="G8" s="24" t="n"/>
      <c r="H8" s="24" t="n"/>
      <c r="I8" s="24" t="inlineStr"/>
      <c r="J8" s="24" t="inlineStr">
        <is>
          <t>2023/01/12</t>
        </is>
      </c>
    </row>
    <row r="9">
      <c r="B9" s="24" t="inlineStr">
        <is>
          <t>awe_role_url</t>
        </is>
      </c>
      <c r="C9" s="24" t="inlineStr">
        <is>
          <t>UPDATEUSERID</t>
        </is>
      </c>
      <c r="D9" s="24" t="inlineStr">
        <is>
          <t>varchar(32)</t>
        </is>
      </c>
      <c r="E9" s="24" t="inlineStr">
        <is>
          <t>YES</t>
        </is>
      </c>
      <c r="F9" s="24" t="inlineStr">
        <is>
          <t>更新人</t>
        </is>
      </c>
      <c r="G9" s="24" t="n"/>
      <c r="H9" s="24" t="n"/>
      <c r="I9" s="24" t="inlineStr"/>
      <c r="J9" s="24" t="inlineStr">
        <is>
          <t>2023/01/12</t>
        </is>
      </c>
    </row>
    <row r="10">
      <c r="B10" s="24" t="inlineStr">
        <is>
          <t>awe_role_url</t>
        </is>
      </c>
      <c r="C10" s="24" t="inlineStr">
        <is>
          <t>UPDATEDATE</t>
        </is>
      </c>
      <c r="D10" s="24" t="inlineStr">
        <is>
          <t>datetime</t>
        </is>
      </c>
      <c r="E10" s="24" t="inlineStr">
        <is>
          <t>YES</t>
        </is>
      </c>
      <c r="F10" s="24" t="inlineStr">
        <is>
          <t>更新日期</t>
        </is>
      </c>
      <c r="G10" s="24" t="n"/>
      <c r="H10" s="24" t="n"/>
      <c r="I10" s="24" t="inlineStr"/>
      <c r="J10" s="24" t="inlineStr">
        <is>
          <t>2023/01/12</t>
        </is>
      </c>
    </row>
  </sheetData>
  <pageMargins left="0.75" right="0.75" top="1" bottom="1" header="0.5" footer="0.5"/>
  <pageSetup orientation="portrait" paperSize="1" horizontalDpi="300" verticalDpi="300"/>
</worksheet>
</file>

<file path=xl/worksheets/sheet51.xml><?xml version="1.0" encoding="utf-8"?>
<worksheet xmlns="http://schemas.openxmlformats.org/spreadsheetml/2006/main">
  <sheetPr>
    <outlinePr summaryBelow="1" summaryRight="1"/>
    <pageSetUpPr/>
  </sheetPr>
  <dimension ref="A1:J17"/>
  <sheetViews>
    <sheetView zoomScaleSheetLayoutView="60" workbookViewId="0">
      <selection activeCell="D27" sqref="D27"/>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系统默认快捷菜单表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awe_shortcut</t>
        </is>
      </c>
      <c r="C3" s="24" t="inlineStr">
        <is>
          <t>SHORTCUTID</t>
        </is>
      </c>
      <c r="D3" s="24" t="inlineStr">
        <is>
          <t>varchar(32)</t>
        </is>
      </c>
      <c r="E3" s="24" t="inlineStr">
        <is>
          <t>NO</t>
        </is>
      </c>
      <c r="F3" s="24" t="inlineStr">
        <is>
          <t>快捷编号</t>
        </is>
      </c>
      <c r="G3" s="24" t="n"/>
      <c r="H3" s="24" t="n"/>
      <c r="I3" s="24" t="inlineStr"/>
      <c r="J3" s="24" t="inlineStr">
        <is>
          <t>2023/01/12</t>
        </is>
      </c>
    </row>
    <row r="4">
      <c r="B4" s="24" t="inlineStr">
        <is>
          <t>awe_shortcut</t>
        </is>
      </c>
      <c r="C4" s="24" t="inlineStr">
        <is>
          <t>SHORTCUTNAME</t>
        </is>
      </c>
      <c r="D4" s="24" t="inlineStr">
        <is>
          <t>varchar(200)</t>
        </is>
      </c>
      <c r="E4" s="24" t="inlineStr">
        <is>
          <t>NO</t>
        </is>
      </c>
      <c r="F4" s="24" t="inlineStr">
        <is>
          <t>快捷名称</t>
        </is>
      </c>
      <c r="G4" s="24" t="n"/>
      <c r="H4" s="24" t="n"/>
      <c r="I4" s="24" t="inlineStr"/>
      <c r="J4" s="24" t="inlineStr">
        <is>
          <t>2023/01/12</t>
        </is>
      </c>
    </row>
    <row r="5">
      <c r="B5" s="24" t="inlineStr">
        <is>
          <t>awe_shortcut</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awe_shortcut</t>
        </is>
      </c>
      <c r="C6" s="24" t="inlineStr">
        <is>
          <t>ISINUSE</t>
        </is>
      </c>
      <c r="D6" s="24" t="inlineStr">
        <is>
          <t>varchar(6)</t>
        </is>
      </c>
      <c r="E6" s="24" t="inlineStr">
        <is>
          <t>NO</t>
        </is>
      </c>
      <c r="F6" s="24" t="inlineStr">
        <is>
          <t>是否使用</t>
        </is>
      </c>
      <c r="G6" s="24" t="n"/>
      <c r="H6" s="24" t="n"/>
      <c r="I6" s="24" t="inlineStr"/>
      <c r="J6" s="24" t="inlineStr">
        <is>
          <t>2023/01/12</t>
        </is>
      </c>
    </row>
    <row r="7">
      <c r="B7" s="24" t="inlineStr">
        <is>
          <t>awe_shortcut</t>
        </is>
      </c>
      <c r="C7" s="24" t="inlineStr">
        <is>
          <t>ISSYSDEFAULT</t>
        </is>
      </c>
      <c r="D7" s="24" t="inlineStr">
        <is>
          <t>varchar(6)</t>
        </is>
      </c>
      <c r="E7" s="24" t="inlineStr">
        <is>
          <t>YES</t>
        </is>
      </c>
      <c r="F7" s="24" t="inlineStr">
        <is>
          <t>是否系统默认</t>
        </is>
      </c>
      <c r="G7" s="24" t="n"/>
      <c r="H7" s="24" t="n"/>
      <c r="I7" s="24" t="inlineStr"/>
      <c r="J7" s="24" t="inlineStr">
        <is>
          <t>2023/01/12</t>
        </is>
      </c>
    </row>
    <row r="8">
      <c r="B8" s="24" t="inlineStr">
        <is>
          <t>awe_shortcut</t>
        </is>
      </c>
      <c r="C8" s="24" t="inlineStr">
        <is>
          <t>BELONGAPPID</t>
        </is>
      </c>
      <c r="D8" s="24" t="inlineStr">
        <is>
          <t>varchar(200)</t>
        </is>
      </c>
      <c r="E8" s="24" t="inlineStr">
        <is>
          <t>NO</t>
        </is>
      </c>
      <c r="F8" s="24" t="inlineStr">
        <is>
          <t>所属子系统编号</t>
        </is>
      </c>
      <c r="G8" s="24" t="n"/>
      <c r="H8" s="24" t="n"/>
      <c r="I8" s="24" t="inlineStr"/>
      <c r="J8" s="24" t="inlineStr">
        <is>
          <t>2023/01/12</t>
        </is>
      </c>
    </row>
    <row r="9">
      <c r="B9" s="24" t="inlineStr">
        <is>
          <t>awe_shortcut</t>
        </is>
      </c>
      <c r="C9" s="24" t="inlineStr">
        <is>
          <t>BELONGROLEID</t>
        </is>
      </c>
      <c r="D9" s="24" t="inlineStr">
        <is>
          <t>varchar(80)</t>
        </is>
      </c>
      <c r="E9" s="24" t="inlineStr">
        <is>
          <t>YES</t>
        </is>
      </c>
      <c r="F9" s="24" t="inlineStr">
        <is>
          <t>所属角色编号</t>
        </is>
      </c>
      <c r="G9" s="24" t="n"/>
      <c r="H9" s="24" t="n"/>
      <c r="I9" s="24" t="inlineStr"/>
      <c r="J9" s="24" t="inlineStr">
        <is>
          <t>2023/01/12</t>
        </is>
      </c>
    </row>
    <row r="10">
      <c r="B10" s="24" t="inlineStr">
        <is>
          <t>awe_shortcut</t>
        </is>
      </c>
      <c r="C10" s="24" t="inlineStr">
        <is>
          <t>REMARK</t>
        </is>
      </c>
      <c r="D10" s="24" t="inlineStr">
        <is>
          <t>varchar(500)</t>
        </is>
      </c>
      <c r="E10" s="24" t="inlineStr">
        <is>
          <t>YES</t>
        </is>
      </c>
      <c r="F10" s="24" t="inlineStr">
        <is>
          <t>备注</t>
        </is>
      </c>
      <c r="G10" s="24" t="n"/>
      <c r="H10" s="24" t="n"/>
      <c r="I10" s="24" t="inlineStr"/>
      <c r="J10" s="24" t="inlineStr">
        <is>
          <t>2023/01/12</t>
        </is>
      </c>
    </row>
    <row r="11">
      <c r="B11" s="24" t="inlineStr">
        <is>
          <t>awe_shortcut</t>
        </is>
      </c>
      <c r="C11" s="24" t="inlineStr">
        <is>
          <t>INPUTORGID</t>
        </is>
      </c>
      <c r="D11" s="24" t="inlineStr">
        <is>
          <t>varchar(80)</t>
        </is>
      </c>
      <c r="E11" s="24" t="inlineStr">
        <is>
          <t>YES</t>
        </is>
      </c>
      <c r="F11" s="24" t="inlineStr">
        <is>
          <t>登记机构</t>
        </is>
      </c>
      <c r="G11" s="24" t="n"/>
      <c r="H11" s="24" t="n"/>
      <c r="I11" s="24" t="inlineStr"/>
      <c r="J11" s="24" t="inlineStr">
        <is>
          <t>2023/01/12</t>
        </is>
      </c>
    </row>
    <row r="12">
      <c r="B12" s="24" t="inlineStr">
        <is>
          <t>awe_shortcut</t>
        </is>
      </c>
      <c r="C12" s="24" t="inlineStr">
        <is>
          <t>INPUTUSERID</t>
        </is>
      </c>
      <c r="D12" s="24" t="inlineStr">
        <is>
          <t>varchar(80)</t>
        </is>
      </c>
      <c r="E12" s="24" t="inlineStr">
        <is>
          <t>YES</t>
        </is>
      </c>
      <c r="F12" s="24" t="inlineStr">
        <is>
          <t>登记人</t>
        </is>
      </c>
      <c r="G12" s="24" t="n"/>
      <c r="H12" s="24" t="n"/>
      <c r="I12" s="24" t="inlineStr"/>
      <c r="J12" s="24" t="inlineStr">
        <is>
          <t>2023/01/12</t>
        </is>
      </c>
    </row>
    <row r="13">
      <c r="B13" s="24" t="inlineStr">
        <is>
          <t>awe_shortcut</t>
        </is>
      </c>
      <c r="C13" s="24" t="inlineStr">
        <is>
          <t>INPUTDATE</t>
        </is>
      </c>
      <c r="D13" s="24" t="inlineStr">
        <is>
          <t>datetime</t>
        </is>
      </c>
      <c r="E13" s="24" t="inlineStr">
        <is>
          <t>YES</t>
        </is>
      </c>
      <c r="F13" s="24" t="inlineStr">
        <is>
          <t>登记日期</t>
        </is>
      </c>
      <c r="G13" s="24" t="n"/>
      <c r="H13" s="24" t="n"/>
      <c r="I13" s="24" t="inlineStr"/>
      <c r="J13" s="24" t="inlineStr">
        <is>
          <t>2023/01/12</t>
        </is>
      </c>
    </row>
    <row r="14">
      <c r="B14" s="24" t="inlineStr">
        <is>
          <t>awe_shortcut</t>
        </is>
      </c>
      <c r="C14" s="24" t="inlineStr">
        <is>
          <t>UPDATEORGID</t>
        </is>
      </c>
      <c r="D14" s="24" t="inlineStr">
        <is>
          <t>varchar(80)</t>
        </is>
      </c>
      <c r="E14" s="24" t="inlineStr">
        <is>
          <t>YES</t>
        </is>
      </c>
      <c r="F14" s="24" t="inlineStr">
        <is>
          <t>更新机构</t>
        </is>
      </c>
      <c r="G14" s="24" t="n"/>
      <c r="H14" s="24" t="n"/>
      <c r="I14" s="24" t="inlineStr"/>
      <c r="J14" s="24" t="inlineStr">
        <is>
          <t>2023/01/12</t>
        </is>
      </c>
    </row>
    <row r="15">
      <c r="B15" s="24" t="inlineStr">
        <is>
          <t>awe_shortcut</t>
        </is>
      </c>
      <c r="C15" s="24" t="inlineStr">
        <is>
          <t>UPDATEUSERID</t>
        </is>
      </c>
      <c r="D15" s="24" t="inlineStr">
        <is>
          <t>varchar(80)</t>
        </is>
      </c>
      <c r="E15" s="24" t="inlineStr">
        <is>
          <t>YES</t>
        </is>
      </c>
      <c r="F15" s="24" t="inlineStr">
        <is>
          <t>更新人</t>
        </is>
      </c>
      <c r="G15" s="24" t="n"/>
      <c r="H15" s="24" t="n"/>
      <c r="I15" s="24" t="inlineStr"/>
      <c r="J15" s="24" t="inlineStr">
        <is>
          <t>2023/01/12</t>
        </is>
      </c>
    </row>
    <row r="16">
      <c r="B16" s="24" t="inlineStr">
        <is>
          <t>awe_shortcut</t>
        </is>
      </c>
      <c r="C16" s="24" t="inlineStr">
        <is>
          <t>UPDATEDATE</t>
        </is>
      </c>
      <c r="D16" s="24" t="inlineStr">
        <is>
          <t>datetime</t>
        </is>
      </c>
      <c r="E16" s="24" t="inlineStr">
        <is>
          <t>YES</t>
        </is>
      </c>
      <c r="F16" s="24" t="inlineStr">
        <is>
          <t>更新日期</t>
        </is>
      </c>
      <c r="G16" s="24" t="n"/>
      <c r="H16" s="24" t="n"/>
      <c r="I16" s="24" t="inlineStr"/>
      <c r="J16" s="24" t="inlineStr">
        <is>
          <t>2023/01/12</t>
        </is>
      </c>
    </row>
    <row r="17">
      <c r="B17" s="24" t="inlineStr">
        <is>
          <t>awe_shortcut</t>
        </is>
      </c>
      <c r="C17" s="24" t="inlineStr">
        <is>
          <t>DESCRIBE</t>
        </is>
      </c>
      <c r="D17" s="24" t="inlineStr">
        <is>
          <t>varchar(4000)</t>
        </is>
      </c>
      <c r="E17" s="24" t="inlineStr">
        <is>
          <t>YES</t>
        </is>
      </c>
      <c r="F17" s="24" t="inlineStr">
        <is>
          <t>描述</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52.xml><?xml version="1.0" encoding="utf-8"?>
<worksheet xmlns="http://schemas.openxmlformats.org/spreadsheetml/2006/main">
  <sheetPr>
    <outlinePr summaryBelow="1" summaryRight="1"/>
    <pageSetUpPr/>
  </sheetPr>
  <dimension ref="A1:J18"/>
  <sheetViews>
    <sheetView zoomScaleSheetLayoutView="60" workbookViewId="0">
      <selection activeCell="D29" sqref="D2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系统功能库</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awe_shortcutitem</t>
        </is>
      </c>
      <c r="C3" s="24" t="inlineStr">
        <is>
          <t>ITEMNO</t>
        </is>
      </c>
      <c r="D3" s="24" t="inlineStr">
        <is>
          <t>varchar(32)</t>
        </is>
      </c>
      <c r="E3" s="24" t="inlineStr">
        <is>
          <t>NO</t>
        </is>
      </c>
      <c r="F3" s="24" t="inlineStr">
        <is>
          <t>项目编号</t>
        </is>
      </c>
      <c r="G3" s="24" t="n"/>
      <c r="H3" s="24" t="n"/>
      <c r="I3" s="24" t="inlineStr"/>
      <c r="J3" s="24" t="inlineStr">
        <is>
          <t>2023/01/12</t>
        </is>
      </c>
    </row>
    <row r="4">
      <c r="B4" s="24" t="inlineStr">
        <is>
          <t>awe_shortcutitem</t>
        </is>
      </c>
      <c r="C4" s="24" t="inlineStr">
        <is>
          <t>ITEMNAME</t>
        </is>
      </c>
      <c r="D4" s="24" t="inlineStr">
        <is>
          <t>varchar(80)</t>
        </is>
      </c>
      <c r="E4" s="24" t="inlineStr">
        <is>
          <t>NO</t>
        </is>
      </c>
      <c r="F4" s="24" t="inlineStr">
        <is>
          <t>项目名称</t>
        </is>
      </c>
      <c r="G4" s="24" t="n"/>
      <c r="H4" s="24" t="n"/>
      <c r="I4" s="24" t="inlineStr"/>
      <c r="J4" s="24" t="inlineStr">
        <is>
          <t>2023/01/12</t>
        </is>
      </c>
    </row>
    <row r="5">
      <c r="B5" s="24" t="inlineStr">
        <is>
          <t>awe_shortcutitem</t>
        </is>
      </c>
      <c r="C5" s="24" t="inlineStr">
        <is>
          <t>ITEMTIP</t>
        </is>
      </c>
      <c r="D5" s="24" t="inlineStr">
        <is>
          <t>varchar(80)</t>
        </is>
      </c>
      <c r="E5" s="24" t="inlineStr">
        <is>
          <t>YES</t>
        </is>
      </c>
      <c r="F5" s="24" t="inlineStr">
        <is>
          <t>项目提示</t>
        </is>
      </c>
      <c r="G5" s="24" t="n"/>
      <c r="H5" s="24" t="n"/>
      <c r="I5" s="24" t="inlineStr"/>
      <c r="J5" s="24" t="inlineStr">
        <is>
          <t>2023/01/12</t>
        </is>
      </c>
    </row>
    <row r="6">
      <c r="B6" s="24" t="inlineStr">
        <is>
          <t>awe_shortcutitem</t>
        </is>
      </c>
      <c r="C6" s="24" t="inlineStr">
        <is>
          <t>JSACTION</t>
        </is>
      </c>
      <c r="D6" s="24" t="inlineStr">
        <is>
          <t>varchar(500)</t>
        </is>
      </c>
      <c r="E6" s="24" t="inlineStr">
        <is>
          <t>YES</t>
        </is>
      </c>
      <c r="F6" s="24" t="inlineStr">
        <is>
          <t>脚本事件</t>
        </is>
      </c>
      <c r="G6" s="24" t="n"/>
      <c r="H6" s="24" t="n"/>
      <c r="I6" s="24" t="inlineStr"/>
      <c r="J6" s="24" t="inlineStr">
        <is>
          <t>2023/01/12</t>
        </is>
      </c>
    </row>
    <row r="7">
      <c r="B7" s="24" t="inlineStr">
        <is>
          <t>awe_shortcutitem</t>
        </is>
      </c>
      <c r="C7" s="24" t="inlineStr">
        <is>
          <t>ITEMSHORTCUTKEY</t>
        </is>
      </c>
      <c r="D7" s="24" t="inlineStr">
        <is>
          <t>varchar(200)</t>
        </is>
      </c>
      <c r="E7" s="24" t="inlineStr">
        <is>
          <t>YES</t>
        </is>
      </c>
      <c r="F7" s="24" t="inlineStr">
        <is>
          <t>项目快捷键</t>
        </is>
      </c>
      <c r="G7" s="24" t="n"/>
      <c r="H7" s="24" t="n"/>
      <c r="I7" s="24" t="inlineStr"/>
      <c r="J7" s="24" t="inlineStr">
        <is>
          <t>2023/01/12</t>
        </is>
      </c>
    </row>
    <row r="8">
      <c r="B8" s="24" t="inlineStr">
        <is>
          <t>awe_shortcutitem</t>
        </is>
      </c>
      <c r="C8" s="24" t="inlineStr">
        <is>
          <t>CSS</t>
        </is>
      </c>
      <c r="D8" s="24" t="inlineStr">
        <is>
          <t>varchar(80)</t>
        </is>
      </c>
      <c r="E8" s="24" t="inlineStr">
        <is>
          <t>YES</t>
        </is>
      </c>
      <c r="F8" s="24" t="inlineStr">
        <is>
          <t>项目样式</t>
        </is>
      </c>
      <c r="G8" s="24" t="n"/>
      <c r="H8" s="24" t="n"/>
      <c r="I8" s="24" t="inlineStr"/>
      <c r="J8" s="24" t="inlineStr">
        <is>
          <t>2023/01/12</t>
        </is>
      </c>
    </row>
    <row r="9">
      <c r="B9" s="24" t="inlineStr">
        <is>
          <t>awe_shortcutitem</t>
        </is>
      </c>
      <c r="C9" s="24" t="inlineStr">
        <is>
          <t>ISSYSDEFAULT</t>
        </is>
      </c>
      <c r="D9" s="24" t="inlineStr">
        <is>
          <t>varchar(6)</t>
        </is>
      </c>
      <c r="E9" s="24" t="inlineStr">
        <is>
          <t>YES</t>
        </is>
      </c>
      <c r="F9" s="24" t="inlineStr">
        <is>
          <t>是否系统默认</t>
        </is>
      </c>
      <c r="G9" s="24" t="n"/>
      <c r="H9" s="24" t="n"/>
      <c r="I9" s="24" t="inlineStr"/>
      <c r="J9" s="24" t="inlineStr">
        <is>
          <t>2023/01/12</t>
        </is>
      </c>
    </row>
    <row r="10">
      <c r="B10" s="24" t="inlineStr">
        <is>
          <t>awe_shortcutitem</t>
        </is>
      </c>
      <c r="C10" s="24" t="inlineStr">
        <is>
          <t>ISINUSE</t>
        </is>
      </c>
      <c r="D10" s="24" t="inlineStr">
        <is>
          <t>varchar(6)</t>
        </is>
      </c>
      <c r="E10" s="24" t="inlineStr">
        <is>
          <t>NO</t>
        </is>
      </c>
      <c r="F10" s="24" t="inlineStr">
        <is>
          <t>是否使用</t>
        </is>
      </c>
      <c r="G10" s="24" t="n"/>
      <c r="H10" s="24" t="n"/>
      <c r="I10" s="24" t="inlineStr"/>
      <c r="J10" s="24" t="inlineStr">
        <is>
          <t>2023/01/12</t>
        </is>
      </c>
    </row>
    <row r="11">
      <c r="B11" s="24" t="inlineStr">
        <is>
          <t>awe_shortcutitem</t>
        </is>
      </c>
      <c r="C11" s="24" t="inlineStr">
        <is>
          <t>BELONGSHORTCUTID</t>
        </is>
      </c>
      <c r="D11" s="24" t="inlineStr">
        <is>
          <t>varchar(80)</t>
        </is>
      </c>
      <c r="E11" s="24" t="inlineStr">
        <is>
          <t>NO</t>
        </is>
      </c>
      <c r="F11" s="24" t="inlineStr">
        <is>
          <t>所属快捷编号</t>
        </is>
      </c>
      <c r="G11" s="24" t="n"/>
      <c r="H11" s="24" t="n"/>
      <c r="I11" s="24" t="inlineStr"/>
      <c r="J11" s="24" t="inlineStr">
        <is>
          <t>2023/01/12</t>
        </is>
      </c>
    </row>
    <row r="12">
      <c r="B12" s="24" t="inlineStr">
        <is>
          <t>awe_shortcutitem</t>
        </is>
      </c>
      <c r="C12" s="24" t="inlineStr">
        <is>
          <t>REMARK</t>
        </is>
      </c>
      <c r="D12" s="24" t="inlineStr">
        <is>
          <t>varchar(500)</t>
        </is>
      </c>
      <c r="E12" s="24" t="inlineStr">
        <is>
          <t>YES</t>
        </is>
      </c>
      <c r="F12" s="24" t="inlineStr">
        <is>
          <t>备注</t>
        </is>
      </c>
      <c r="G12" s="24" t="n"/>
      <c r="H12" s="24" t="n"/>
      <c r="I12" s="24" t="inlineStr"/>
      <c r="J12" s="24" t="inlineStr">
        <is>
          <t>2023/01/12</t>
        </is>
      </c>
    </row>
    <row r="13">
      <c r="B13" s="24" t="inlineStr">
        <is>
          <t>awe_shortcutitem</t>
        </is>
      </c>
      <c r="C13" s="24" t="inlineStr">
        <is>
          <t>INPUTORGID</t>
        </is>
      </c>
      <c r="D13" s="24" t="inlineStr">
        <is>
          <t>varchar(32)</t>
        </is>
      </c>
      <c r="E13" s="24" t="inlineStr">
        <is>
          <t>YES</t>
        </is>
      </c>
      <c r="F13" s="24" t="inlineStr">
        <is>
          <t>登记机构</t>
        </is>
      </c>
      <c r="G13" s="24" t="n"/>
      <c r="H13" s="24" t="n"/>
      <c r="I13" s="24" t="inlineStr"/>
      <c r="J13" s="24" t="inlineStr">
        <is>
          <t>2023/01/12</t>
        </is>
      </c>
    </row>
    <row r="14">
      <c r="B14" s="24" t="inlineStr">
        <is>
          <t>awe_shortcutitem</t>
        </is>
      </c>
      <c r="C14" s="24" t="inlineStr">
        <is>
          <t>INPUTUSERID</t>
        </is>
      </c>
      <c r="D14" s="24" t="inlineStr">
        <is>
          <t>varchar(32)</t>
        </is>
      </c>
      <c r="E14" s="24" t="inlineStr">
        <is>
          <t>YES</t>
        </is>
      </c>
      <c r="F14" s="24" t="inlineStr">
        <is>
          <t>登记人</t>
        </is>
      </c>
      <c r="G14" s="24" t="n"/>
      <c r="H14" s="24" t="n"/>
      <c r="I14" s="24" t="inlineStr"/>
      <c r="J14" s="24" t="inlineStr">
        <is>
          <t>2023/01/12</t>
        </is>
      </c>
    </row>
    <row r="15">
      <c r="B15" s="24" t="inlineStr">
        <is>
          <t>awe_shortcutitem</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awe_shortcutitem</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awe_shortcutitem</t>
        </is>
      </c>
      <c r="C17" s="24" t="inlineStr">
        <is>
          <t>UPDATEUSERID</t>
        </is>
      </c>
      <c r="D17" s="24" t="inlineStr">
        <is>
          <t>varchar(32)</t>
        </is>
      </c>
      <c r="E17" s="24" t="inlineStr">
        <is>
          <t>YES</t>
        </is>
      </c>
      <c r="F17" s="24" t="inlineStr">
        <is>
          <t>更新人</t>
        </is>
      </c>
      <c r="G17" s="24" t="n"/>
      <c r="H17" s="24" t="n"/>
      <c r="I17" s="24" t="inlineStr"/>
      <c r="J17" s="24" t="inlineStr">
        <is>
          <t>2023/01/12</t>
        </is>
      </c>
    </row>
    <row r="18">
      <c r="B18" s="24" t="inlineStr">
        <is>
          <t>awe_shortcutitem</t>
        </is>
      </c>
      <c r="C18" s="24" t="inlineStr">
        <is>
          <t>UPDATEDATE</t>
        </is>
      </c>
      <c r="D18" s="24" t="inlineStr">
        <is>
          <t>datetime</t>
        </is>
      </c>
      <c r="E18" s="24" t="inlineStr">
        <is>
          <t>YES</t>
        </is>
      </c>
      <c r="F18" s="24" t="inlineStr">
        <is>
          <t>更新日期</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53.xml><?xml version="1.0" encoding="utf-8"?>
<worksheet xmlns="http://schemas.openxmlformats.org/spreadsheetml/2006/main">
  <sheetPr>
    <outlinePr summaryBelow="1" summaryRight="1"/>
    <pageSetUpPr/>
  </sheetPr>
  <dimension ref="A1:J23"/>
  <sheetViews>
    <sheetView zoomScaleSheetLayoutView="60" workbookViewId="0">
      <selection activeCell="F28" sqref="F28"/>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任务信息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awe_task_info</t>
        </is>
      </c>
      <c r="C3" s="24" t="inlineStr">
        <is>
          <t>SERIALNO</t>
        </is>
      </c>
      <c r="D3" s="24" t="inlineStr">
        <is>
          <t>varchar(32)</t>
        </is>
      </c>
      <c r="E3" s="24" t="inlineStr">
        <is>
          <t>NO</t>
        </is>
      </c>
      <c r="F3" s="24" t="inlineStr">
        <is>
          <t>任务编号</t>
        </is>
      </c>
      <c r="G3" s="24" t="n"/>
      <c r="H3" s="24" t="n"/>
      <c r="I3" s="24" t="inlineStr"/>
      <c r="J3" s="24" t="inlineStr">
        <is>
          <t>2023/01/12</t>
        </is>
      </c>
    </row>
    <row r="4">
      <c r="B4" s="24" t="inlineStr">
        <is>
          <t>awe_task_info</t>
        </is>
      </c>
      <c r="C4" s="24" t="inlineStr">
        <is>
          <t>TASKTITLE</t>
        </is>
      </c>
      <c r="D4" s="24" t="inlineStr">
        <is>
          <t>varchar(200)</t>
        </is>
      </c>
      <c r="E4" s="24" t="inlineStr">
        <is>
          <t>YES</t>
        </is>
      </c>
      <c r="F4" s="24" t="inlineStr">
        <is>
          <t>任务名</t>
        </is>
      </c>
      <c r="G4" s="24" t="n"/>
      <c r="H4" s="24" t="n"/>
      <c r="I4" s="24" t="inlineStr"/>
      <c r="J4" s="24" t="inlineStr">
        <is>
          <t>2023/01/12</t>
        </is>
      </c>
    </row>
    <row r="5">
      <c r="B5" s="24" t="inlineStr">
        <is>
          <t>awe_task_info</t>
        </is>
      </c>
      <c r="C5" s="24" t="inlineStr">
        <is>
          <t>TASKDESC</t>
        </is>
      </c>
      <c r="D5" s="24" t="inlineStr">
        <is>
          <t>varchar(500)</t>
        </is>
      </c>
      <c r="E5" s="24" t="inlineStr">
        <is>
          <t>YES</t>
        </is>
      </c>
      <c r="F5" s="24" t="inlineStr">
        <is>
          <t>任务描述</t>
        </is>
      </c>
      <c r="G5" s="24" t="n"/>
      <c r="H5" s="24" t="n"/>
      <c r="I5" s="24" t="inlineStr"/>
      <c r="J5" s="24" t="inlineStr">
        <is>
          <t>2023/01/12</t>
        </is>
      </c>
    </row>
    <row r="6">
      <c r="B6" s="24" t="inlineStr">
        <is>
          <t>awe_task_info</t>
        </is>
      </c>
      <c r="C6" s="24" t="inlineStr">
        <is>
          <t>STARTUSERID</t>
        </is>
      </c>
      <c r="D6" s="24" t="inlineStr">
        <is>
          <t>varchar(32)</t>
        </is>
      </c>
      <c r="E6" s="24" t="inlineStr">
        <is>
          <t>YES</t>
        </is>
      </c>
      <c r="F6" s="24" t="inlineStr">
        <is>
          <t>发起人</t>
        </is>
      </c>
      <c r="G6" s="24" t="n"/>
      <c r="H6" s="24" t="n"/>
      <c r="I6" s="24" t="inlineStr"/>
      <c r="J6" s="24" t="inlineStr">
        <is>
          <t>2023/01/12</t>
        </is>
      </c>
    </row>
    <row r="7">
      <c r="B7" s="24" t="inlineStr">
        <is>
          <t>awe_task_info</t>
        </is>
      </c>
      <c r="C7" s="24" t="inlineStr">
        <is>
          <t>DOUSERID</t>
        </is>
      </c>
      <c r="D7" s="24" t="inlineStr">
        <is>
          <t>varchar(32)</t>
        </is>
      </c>
      <c r="E7" s="24" t="inlineStr">
        <is>
          <t>YES</t>
        </is>
      </c>
      <c r="F7" s="24" t="inlineStr">
        <is>
          <t>执行人</t>
        </is>
      </c>
      <c r="G7" s="24" t="n"/>
      <c r="H7" s="24" t="n"/>
      <c r="I7" s="24" t="inlineStr"/>
      <c r="J7" s="24" t="inlineStr">
        <is>
          <t>2023/01/12</t>
        </is>
      </c>
    </row>
    <row r="8">
      <c r="B8" s="24" t="inlineStr">
        <is>
          <t>awe_task_info</t>
        </is>
      </c>
      <c r="C8" s="24" t="inlineStr">
        <is>
          <t>STARTTIME</t>
        </is>
      </c>
      <c r="D8" s="24" t="inlineStr">
        <is>
          <t>varchar(32)</t>
        </is>
      </c>
      <c r="E8" s="24" t="inlineStr">
        <is>
          <t>YES</t>
        </is>
      </c>
      <c r="F8" s="24" t="inlineStr">
        <is>
          <t>发起时间</t>
        </is>
      </c>
      <c r="G8" s="24" t="n"/>
      <c r="H8" s="24" t="n"/>
      <c r="I8" s="24" t="inlineStr"/>
      <c r="J8" s="24" t="inlineStr">
        <is>
          <t>2023/01/12</t>
        </is>
      </c>
    </row>
    <row r="9">
      <c r="B9" s="24" t="inlineStr">
        <is>
          <t>awe_task_info</t>
        </is>
      </c>
      <c r="C9" s="24" t="inlineStr">
        <is>
          <t>PREENDTIME</t>
        </is>
      </c>
      <c r="D9" s="24" t="inlineStr">
        <is>
          <t>varchar(32)</t>
        </is>
      </c>
      <c r="E9" s="24" t="inlineStr">
        <is>
          <t>YES</t>
        </is>
      </c>
      <c r="F9" s="24" t="inlineStr">
        <is>
          <t>预计完成时间</t>
        </is>
      </c>
      <c r="G9" s="24" t="n"/>
      <c r="H9" s="24" t="n"/>
      <c r="I9" s="24" t="inlineStr"/>
      <c r="J9" s="24" t="inlineStr">
        <is>
          <t>2023/01/12</t>
        </is>
      </c>
    </row>
    <row r="10">
      <c r="B10" s="24" t="inlineStr">
        <is>
          <t>awe_task_info</t>
        </is>
      </c>
      <c r="C10" s="24" t="inlineStr">
        <is>
          <t>TRUEENDTIME</t>
        </is>
      </c>
      <c r="D10" s="24" t="inlineStr">
        <is>
          <t>varchar(32)</t>
        </is>
      </c>
      <c r="E10" s="24" t="inlineStr">
        <is>
          <t>YES</t>
        </is>
      </c>
      <c r="F10" s="24" t="inlineStr">
        <is>
          <t>实际完成时间</t>
        </is>
      </c>
      <c r="G10" s="24" t="n"/>
      <c r="H10" s="24" t="n"/>
      <c r="I10" s="24" t="inlineStr"/>
      <c r="J10" s="24" t="inlineStr">
        <is>
          <t>2023/01/12</t>
        </is>
      </c>
    </row>
    <row r="11">
      <c r="B11" s="24" t="inlineStr">
        <is>
          <t>awe_task_info</t>
        </is>
      </c>
      <c r="C11" s="24" t="inlineStr">
        <is>
          <t>FINISHFLAG</t>
        </is>
      </c>
      <c r="D11" s="24" t="inlineStr">
        <is>
          <t>char(1)</t>
        </is>
      </c>
      <c r="E11" s="24" t="inlineStr">
        <is>
          <t>YES</t>
        </is>
      </c>
      <c r="F11" s="53" t="inlineStr">
        <is>
          <t>完成状态</t>
        </is>
      </c>
      <c r="G11" s="24" t="n"/>
      <c r="H11" s="24" t="n"/>
      <c r="I11" s="24" t="inlineStr"/>
      <c r="J11" s="24" t="inlineStr">
        <is>
          <t>2023/01/12</t>
        </is>
      </c>
    </row>
    <row r="12">
      <c r="B12" s="24" t="inlineStr">
        <is>
          <t>awe_task_info</t>
        </is>
      </c>
      <c r="C12" s="24" t="inlineStr">
        <is>
          <t>ACTIONTYPE</t>
        </is>
      </c>
      <c r="D12" s="24" t="inlineStr">
        <is>
          <t>varchar(200)</t>
        </is>
      </c>
      <c r="E12" s="24" t="inlineStr">
        <is>
          <t>YES</t>
        </is>
      </c>
      <c r="F12" s="24" t="inlineStr">
        <is>
          <t>操作分类</t>
        </is>
      </c>
      <c r="G12" s="24" t="n"/>
      <c r="H12" s="24" t="n"/>
      <c r="I12" s="24" t="inlineStr"/>
      <c r="J12" s="24" t="inlineStr">
        <is>
          <t>2023/01/12</t>
        </is>
      </c>
    </row>
    <row r="13">
      <c r="B13" s="24" t="inlineStr">
        <is>
          <t>awe_task_info</t>
        </is>
      </c>
      <c r="C13" s="24" t="inlineStr">
        <is>
          <t>ACTIONPARAM</t>
        </is>
      </c>
      <c r="D13" s="24" t="inlineStr">
        <is>
          <t>varchar(500)</t>
        </is>
      </c>
      <c r="E13" s="24" t="inlineStr">
        <is>
          <t>YES</t>
        </is>
      </c>
      <c r="F13" s="24" t="inlineStr">
        <is>
          <t>操作参数</t>
        </is>
      </c>
      <c r="G13" s="24" t="n"/>
      <c r="H13" s="24" t="n"/>
      <c r="I13" s="24" t="inlineStr"/>
      <c r="J13" s="24" t="inlineStr">
        <is>
          <t>2023/01/12</t>
        </is>
      </c>
    </row>
    <row r="14">
      <c r="B14" s="24" t="inlineStr">
        <is>
          <t>awe_task_info</t>
        </is>
      </c>
      <c r="C14" s="24" t="inlineStr">
        <is>
          <t>CATALOGID</t>
        </is>
      </c>
      <c r="D14" s="24" t="inlineStr">
        <is>
          <t>varchar(32)</t>
        </is>
      </c>
      <c r="E14" s="24" t="inlineStr">
        <is>
          <t>YES</t>
        </is>
      </c>
      <c r="F14" s="24" t="inlineStr">
        <is>
          <t>任务分类编号</t>
        </is>
      </c>
      <c r="G14" s="24" t="n"/>
      <c r="H14" s="24" t="n"/>
      <c r="I14" s="24" t="inlineStr"/>
      <c r="J14" s="24" t="inlineStr">
        <is>
          <t>2023/01/12</t>
        </is>
      </c>
    </row>
    <row r="15">
      <c r="B15" s="24" t="inlineStr">
        <is>
          <t>awe_task_info</t>
        </is>
      </c>
      <c r="C15" s="24" t="inlineStr">
        <is>
          <t>CATALOGTITLE</t>
        </is>
      </c>
      <c r="D15" s="24" t="inlineStr">
        <is>
          <t>varchar(80)</t>
        </is>
      </c>
      <c r="E15" s="24" t="inlineStr">
        <is>
          <t>YES</t>
        </is>
      </c>
      <c r="F15" s="24" t="inlineStr">
        <is>
          <t>任务分类名</t>
        </is>
      </c>
      <c r="G15" s="24" t="n"/>
      <c r="H15" s="24" t="n"/>
      <c r="I15" s="24" t="inlineStr"/>
      <c r="J15" s="24" t="inlineStr">
        <is>
          <t>2023/01/12</t>
        </is>
      </c>
    </row>
    <row r="16">
      <c r="B16" s="24" t="inlineStr">
        <is>
          <t>awe_task_info</t>
        </is>
      </c>
      <c r="C16" s="24" t="inlineStr">
        <is>
          <t>INPUTDATE</t>
        </is>
      </c>
      <c r="D16" s="24" t="inlineStr">
        <is>
          <t>varchar(32)</t>
        </is>
      </c>
      <c r="E16" s="24" t="inlineStr">
        <is>
          <t>YES</t>
        </is>
      </c>
      <c r="F16" s="24" t="inlineStr">
        <is>
          <t>登记日期</t>
        </is>
      </c>
      <c r="G16" s="24" t="n"/>
      <c r="H16" s="24" t="n"/>
      <c r="I16" s="24" t="inlineStr"/>
      <c r="J16" s="24" t="inlineStr">
        <is>
          <t>2023/01/12</t>
        </is>
      </c>
    </row>
    <row r="17">
      <c r="B17" s="24" t="inlineStr">
        <is>
          <t>awe_task_info</t>
        </is>
      </c>
      <c r="C17" s="24" t="inlineStr">
        <is>
          <t>INPUTUSER</t>
        </is>
      </c>
      <c r="D17" s="24" t="inlineStr">
        <is>
          <t>varchar(32)</t>
        </is>
      </c>
      <c r="E17" s="24" t="inlineStr">
        <is>
          <t>YES</t>
        </is>
      </c>
      <c r="F17" s="24" t="inlineStr">
        <is>
          <t>登记人</t>
        </is>
      </c>
      <c r="G17" s="24" t="n"/>
      <c r="H17" s="24" t="n"/>
      <c r="I17" s="24" t="inlineStr"/>
      <c r="J17" s="24" t="inlineStr">
        <is>
          <t>2023/01/12</t>
        </is>
      </c>
    </row>
    <row r="18">
      <c r="B18" s="24" t="inlineStr">
        <is>
          <t>awe_task_info</t>
        </is>
      </c>
      <c r="C18" s="24" t="inlineStr">
        <is>
          <t>UPDATEDATE</t>
        </is>
      </c>
      <c r="D18" s="24" t="inlineStr">
        <is>
          <t>varchar(32)</t>
        </is>
      </c>
      <c r="E18" s="24" t="inlineStr">
        <is>
          <t>YES</t>
        </is>
      </c>
      <c r="F18" s="24" t="inlineStr">
        <is>
          <t>更新日期</t>
        </is>
      </c>
      <c r="G18" s="24" t="n"/>
      <c r="H18" s="24" t="n"/>
      <c r="I18" s="24" t="inlineStr"/>
      <c r="J18" s="24" t="inlineStr">
        <is>
          <t>2023/01/12</t>
        </is>
      </c>
    </row>
    <row r="19">
      <c r="B19" s="24" t="inlineStr">
        <is>
          <t>awe_task_info</t>
        </is>
      </c>
      <c r="C19" s="24" t="inlineStr">
        <is>
          <t>UPDATEUSER</t>
        </is>
      </c>
      <c r="D19" s="24" t="inlineStr">
        <is>
          <t>varchar(32)</t>
        </is>
      </c>
      <c r="E19" s="24" t="inlineStr">
        <is>
          <t>YES</t>
        </is>
      </c>
      <c r="F19" s="24" t="inlineStr">
        <is>
          <t>更新人</t>
        </is>
      </c>
      <c r="G19" s="24" t="n"/>
      <c r="H19" s="24" t="n"/>
      <c r="I19" s="24" t="inlineStr"/>
      <c r="J19" s="24" t="inlineStr">
        <is>
          <t>2023/01/12</t>
        </is>
      </c>
    </row>
    <row r="20">
      <c r="B20" s="24" t="inlineStr">
        <is>
          <t>awe_task_info</t>
        </is>
      </c>
      <c r="C20" s="24" t="inlineStr">
        <is>
          <t>EXPORTEDCOUNT</t>
        </is>
      </c>
      <c r="D20" s="24" t="inlineStr">
        <is>
          <t>int</t>
        </is>
      </c>
      <c r="E20" s="24" t="inlineStr">
        <is>
          <t>YES</t>
        </is>
      </c>
      <c r="F20" s="24" t="inlineStr">
        <is>
          <t>导出数量</t>
        </is>
      </c>
      <c r="G20" s="24" t="n"/>
      <c r="H20" s="24" t="n"/>
      <c r="I20" s="24" t="inlineStr"/>
      <c r="J20" s="24" t="inlineStr">
        <is>
          <t>2023/01/12</t>
        </is>
      </c>
    </row>
    <row r="21">
      <c r="B21" s="24" t="inlineStr">
        <is>
          <t>awe_task_info</t>
        </is>
      </c>
      <c r="C21" s="24" t="inlineStr">
        <is>
          <t>PRIORITY</t>
        </is>
      </c>
      <c r="D21" s="24" t="inlineStr">
        <is>
          <t>varchar(6)</t>
        </is>
      </c>
      <c r="E21" s="24" t="inlineStr">
        <is>
          <t>YES</t>
        </is>
      </c>
      <c r="F21" s="24" t="inlineStr">
        <is>
          <t>优先级</t>
        </is>
      </c>
      <c r="G21" s="24" t="n"/>
      <c r="H21" s="24" t="n"/>
      <c r="I21" s="24" t="inlineStr"/>
      <c r="J21" s="24" t="inlineStr">
        <is>
          <t>2023/01/12</t>
        </is>
      </c>
    </row>
    <row r="22">
      <c r="B22" s="24" t="inlineStr">
        <is>
          <t>awe_task_info</t>
        </is>
      </c>
      <c r="C22" s="24" t="inlineStr">
        <is>
          <t>FILEPATHNAME</t>
        </is>
      </c>
      <c r="D22" s="24" t="inlineStr">
        <is>
          <t>varchar(200)</t>
        </is>
      </c>
      <c r="E22" s="24" t="inlineStr">
        <is>
          <t>YES</t>
        </is>
      </c>
      <c r="F22" s="24" t="inlineStr">
        <is>
          <t>文件名称</t>
        </is>
      </c>
      <c r="G22" s="24" t="n"/>
      <c r="H22" s="24" t="n"/>
      <c r="I22" s="24" t="inlineStr"/>
      <c r="J22" s="24" t="inlineStr">
        <is>
          <t>2023/01/12</t>
        </is>
      </c>
    </row>
    <row r="23">
      <c r="B23" s="24" t="inlineStr">
        <is>
          <t>awe_task_info</t>
        </is>
      </c>
      <c r="C23" s="24" t="inlineStr">
        <is>
          <t>QUERYINFO</t>
        </is>
      </c>
      <c r="D23" s="24" t="inlineStr">
        <is>
          <t>varchar(4000)</t>
        </is>
      </c>
      <c r="E23" s="24" t="inlineStr">
        <is>
          <t>YES</t>
        </is>
      </c>
      <c r="F23" s="24" t="inlineStr">
        <is>
          <t>文件描述</t>
        </is>
      </c>
      <c r="G23" s="24" t="n"/>
      <c r="H23" s="24" t="n"/>
      <c r="I23" s="24" t="inlineStr"/>
      <c r="J23" s="24" t="inlineStr">
        <is>
          <t>2023/01/12</t>
        </is>
      </c>
    </row>
  </sheetData>
  <pageMargins left="0.75" right="0.75" top="1" bottom="1" header="0.5" footer="0.5"/>
  <pageSetup orientation="portrait" paperSize="1" horizontalDpi="300" verticalDpi="300"/>
</worksheet>
</file>

<file path=xl/worksheets/sheet54.xml><?xml version="1.0" encoding="utf-8"?>
<worksheet xmlns="http://schemas.openxmlformats.org/spreadsheetml/2006/main">
  <sheetPr>
    <outlinePr summaryBelow="1" summaryRight="1"/>
    <pageSetUpPr/>
  </sheetPr>
  <dimension ref="A1:J9"/>
  <sheetViews>
    <sheetView zoomScaleSheetLayoutView="60" workbookViewId="0">
      <selection activeCell="F9" sqref="F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任务进度信息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awe_task_process</t>
        </is>
      </c>
      <c r="C3" s="24" t="inlineStr">
        <is>
          <t>TASKID</t>
        </is>
      </c>
      <c r="D3" s="24" t="inlineStr">
        <is>
          <t>varchar(32)</t>
        </is>
      </c>
      <c r="E3" s="24" t="inlineStr">
        <is>
          <t>NO</t>
        </is>
      </c>
      <c r="F3" s="24" t="inlineStr">
        <is>
          <t>任务编号</t>
        </is>
      </c>
      <c r="G3" s="24" t="n"/>
      <c r="H3" s="24" t="n"/>
      <c r="I3" s="24" t="inlineStr"/>
      <c r="J3" s="24" t="inlineStr">
        <is>
          <t>2023/01/12</t>
        </is>
      </c>
    </row>
    <row r="4">
      <c r="B4" s="24" t="inlineStr">
        <is>
          <t>awe_task_process</t>
        </is>
      </c>
      <c r="C4" s="24" t="inlineStr">
        <is>
          <t>USERID</t>
        </is>
      </c>
      <c r="D4" s="24" t="inlineStr">
        <is>
          <t>varchar(32)</t>
        </is>
      </c>
      <c r="E4" s="24" t="inlineStr">
        <is>
          <t>YES</t>
        </is>
      </c>
      <c r="F4" s="24" t="inlineStr">
        <is>
          <t>用户名称</t>
        </is>
      </c>
      <c r="G4" s="24" t="n"/>
      <c r="H4" s="24" t="n"/>
      <c r="I4" s="24" t="inlineStr"/>
      <c r="J4" s="24" t="inlineStr">
        <is>
          <t>2023/01/12</t>
        </is>
      </c>
    </row>
    <row r="5">
      <c r="B5" s="24" t="inlineStr">
        <is>
          <t>awe_task_process</t>
        </is>
      </c>
      <c r="C5" s="24" t="inlineStr">
        <is>
          <t>TOTALCOUNT</t>
        </is>
      </c>
      <c r="D5" s="24" t="inlineStr">
        <is>
          <t>varchar(32)</t>
        </is>
      </c>
      <c r="E5" s="24" t="inlineStr">
        <is>
          <t>YES</t>
        </is>
      </c>
      <c r="F5" s="24" t="inlineStr">
        <is>
          <t>总数量</t>
        </is>
      </c>
      <c r="G5" s="24" t="n"/>
      <c r="H5" s="24" t="n"/>
      <c r="I5" s="24" t="inlineStr"/>
      <c r="J5" s="24" t="inlineStr">
        <is>
          <t>2023/01/12</t>
        </is>
      </c>
    </row>
    <row r="6">
      <c r="B6" s="24" t="inlineStr">
        <is>
          <t>awe_task_process</t>
        </is>
      </c>
      <c r="C6" s="24" t="inlineStr">
        <is>
          <t>EXPORTEDCOUNT</t>
        </is>
      </c>
      <c r="D6" s="24" t="inlineStr">
        <is>
          <t>varchar(32)</t>
        </is>
      </c>
      <c r="E6" s="24" t="inlineStr">
        <is>
          <t>YES</t>
        </is>
      </c>
      <c r="F6" s="24" t="inlineStr">
        <is>
          <t>任务数量</t>
        </is>
      </c>
      <c r="G6" s="24" t="n"/>
      <c r="H6" s="24" t="n"/>
      <c r="I6" s="24" t="inlineStr"/>
      <c r="J6" s="24" t="inlineStr">
        <is>
          <t>2023/01/12</t>
        </is>
      </c>
    </row>
    <row r="7">
      <c r="B7" s="24" t="inlineStr">
        <is>
          <t>awe_task_process</t>
        </is>
      </c>
      <c r="C7" s="24" t="inlineStr">
        <is>
          <t>THREADID</t>
        </is>
      </c>
      <c r="D7" s="24" t="inlineStr">
        <is>
          <t>varchar(32)</t>
        </is>
      </c>
      <c r="E7" s="24" t="inlineStr">
        <is>
          <t>YES</t>
        </is>
      </c>
      <c r="F7" s="24" t="inlineStr">
        <is>
          <t>线程号</t>
        </is>
      </c>
      <c r="G7" s="24" t="n"/>
      <c r="H7" s="24" t="n"/>
      <c r="I7" s="24" t="inlineStr"/>
      <c r="J7" s="24" t="inlineStr">
        <is>
          <t>2023/01/12</t>
        </is>
      </c>
    </row>
    <row r="8">
      <c r="B8" s="24" t="inlineStr">
        <is>
          <t>awe_task_process</t>
        </is>
      </c>
      <c r="C8" s="24" t="inlineStr">
        <is>
          <t>UPDATETIME</t>
        </is>
      </c>
      <c r="D8" s="24" t="inlineStr">
        <is>
          <t>varchar(32)</t>
        </is>
      </c>
      <c r="E8" s="24" t="inlineStr">
        <is>
          <t>YES</t>
        </is>
      </c>
      <c r="F8" s="24" t="inlineStr">
        <is>
          <t>更新时间</t>
        </is>
      </c>
      <c r="G8" s="24" t="n"/>
      <c r="H8" s="24" t="n"/>
      <c r="I8" s="24" t="inlineStr"/>
      <c r="J8" s="24" t="inlineStr">
        <is>
          <t>2023/01/12</t>
        </is>
      </c>
    </row>
    <row r="9">
      <c r="B9" s="24" t="inlineStr">
        <is>
          <t>awe_task_process</t>
        </is>
      </c>
      <c r="C9" s="24" t="inlineStr">
        <is>
          <t>CANRUN</t>
        </is>
      </c>
      <c r="D9" s="24" t="inlineStr">
        <is>
          <t>char(1)</t>
        </is>
      </c>
      <c r="E9" s="24" t="inlineStr">
        <is>
          <t>YES</t>
        </is>
      </c>
      <c r="F9" s="53" t="inlineStr">
        <is>
          <t>运行状态</t>
        </is>
      </c>
      <c r="G9" s="24" t="n"/>
      <c r="H9" s="24" t="n"/>
      <c r="I9" s="24" t="inlineStr"/>
      <c r="J9" s="24" t="inlineStr">
        <is>
          <t>2023/01/12</t>
        </is>
      </c>
    </row>
  </sheetData>
  <pageMargins left="0.75" right="0.75" top="1" bottom="1" header="0.5" footer="0.5"/>
  <pageSetup orientation="portrait" paperSize="1" horizontalDpi="300" verticalDpi="300"/>
</worksheet>
</file>

<file path=xl/worksheets/sheet55.xml><?xml version="1.0" encoding="utf-8"?>
<worksheet xmlns="http://schemas.openxmlformats.org/spreadsheetml/2006/main">
  <sheetPr>
    <outlinePr summaryBelow="1" summaryRight="1"/>
    <pageSetUpPr/>
  </sheetPr>
  <dimension ref="A1:J11"/>
  <sheetViews>
    <sheetView zoomScaleSheetLayoutView="60" workbookViewId="0">
      <selection activeCell="D17" sqref="D17"/>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向导目录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awe_wizard_catalog</t>
        </is>
      </c>
      <c r="C3" s="24" t="inlineStr">
        <is>
          <t>WIZARDID</t>
        </is>
      </c>
      <c r="D3" s="24" t="inlineStr">
        <is>
          <t>varchar(32)</t>
        </is>
      </c>
      <c r="E3" s="24" t="inlineStr">
        <is>
          <t>NO</t>
        </is>
      </c>
      <c r="F3" s="24" t="inlineStr">
        <is>
          <t>向导编号</t>
        </is>
      </c>
      <c r="G3" s="24" t="n"/>
      <c r="H3" s="24" t="n"/>
      <c r="I3" s="24" t="inlineStr"/>
      <c r="J3" s="24" t="inlineStr">
        <is>
          <t>2023/01/12</t>
        </is>
      </c>
    </row>
    <row r="4">
      <c r="B4" s="24" t="inlineStr">
        <is>
          <t>awe_wizard_catalog</t>
        </is>
      </c>
      <c r="C4" s="24" t="inlineStr">
        <is>
          <t>WIZARDNAME</t>
        </is>
      </c>
      <c r="D4" s="24" t="inlineStr">
        <is>
          <t>varchar(80)</t>
        </is>
      </c>
      <c r="E4" s="24" t="inlineStr">
        <is>
          <t>YES</t>
        </is>
      </c>
      <c r="F4" s="24" t="inlineStr">
        <is>
          <t>向导名称</t>
        </is>
      </c>
      <c r="G4" s="24" t="n"/>
      <c r="H4" s="24" t="n"/>
      <c r="I4" s="24" t="inlineStr"/>
      <c r="J4" s="24" t="inlineStr">
        <is>
          <t>2023/01/12</t>
        </is>
      </c>
    </row>
    <row r="5">
      <c r="B5" s="24" t="inlineStr">
        <is>
          <t>awe_wizard_catalog</t>
        </is>
      </c>
      <c r="C5" s="24" t="inlineStr">
        <is>
          <t>REMARK</t>
        </is>
      </c>
      <c r="D5" s="24" t="inlineStr">
        <is>
          <t>varchar(500)</t>
        </is>
      </c>
      <c r="E5" s="24" t="inlineStr">
        <is>
          <t>YES</t>
        </is>
      </c>
      <c r="F5" s="24" t="inlineStr">
        <is>
          <t>备注</t>
        </is>
      </c>
      <c r="G5" s="24" t="n"/>
      <c r="H5" s="24" t="n"/>
      <c r="I5" s="24" t="inlineStr"/>
      <c r="J5" s="24" t="inlineStr">
        <is>
          <t>2023/01/12</t>
        </is>
      </c>
    </row>
    <row r="6">
      <c r="B6" s="24" t="inlineStr">
        <is>
          <t>awe_wizard_catalog</t>
        </is>
      </c>
      <c r="C6" s="24" t="inlineStr">
        <is>
          <t>INPUTUSER</t>
        </is>
      </c>
      <c r="D6" s="24" t="inlineStr">
        <is>
          <t>varchar(32)</t>
        </is>
      </c>
      <c r="E6" s="24" t="inlineStr">
        <is>
          <t>YES</t>
        </is>
      </c>
      <c r="F6" s="24" t="inlineStr">
        <is>
          <t>录入用户</t>
        </is>
      </c>
      <c r="G6" s="24" t="n"/>
      <c r="H6" s="24" t="n"/>
      <c r="I6" s="24" t="inlineStr"/>
      <c r="J6" s="24" t="inlineStr">
        <is>
          <t>2023/01/12</t>
        </is>
      </c>
    </row>
    <row r="7">
      <c r="B7" s="24" t="inlineStr">
        <is>
          <t>awe_wizard_catalog</t>
        </is>
      </c>
      <c r="C7" s="24" t="inlineStr">
        <is>
          <t>INPUTORG</t>
        </is>
      </c>
      <c r="D7" s="24" t="inlineStr">
        <is>
          <t>varchar(32)</t>
        </is>
      </c>
      <c r="E7" s="24" t="inlineStr">
        <is>
          <t>YES</t>
        </is>
      </c>
      <c r="F7" s="24" t="inlineStr">
        <is>
          <t>录入机构</t>
        </is>
      </c>
      <c r="G7" s="24" t="n"/>
      <c r="H7" s="24" t="n"/>
      <c r="I7" s="24" t="inlineStr"/>
      <c r="J7" s="24" t="inlineStr">
        <is>
          <t>2023/01/12</t>
        </is>
      </c>
    </row>
    <row r="8">
      <c r="B8" s="24" t="inlineStr">
        <is>
          <t>awe_wizard_catalog</t>
        </is>
      </c>
      <c r="C8" s="24" t="inlineStr">
        <is>
          <t>INPUTDATE</t>
        </is>
      </c>
      <c r="D8" s="24" t="inlineStr">
        <is>
          <t>datetime</t>
        </is>
      </c>
      <c r="E8" s="24" t="inlineStr">
        <is>
          <t>YES</t>
        </is>
      </c>
      <c r="F8" s="24" t="inlineStr">
        <is>
          <t>录入日期</t>
        </is>
      </c>
      <c r="G8" s="24" t="n"/>
      <c r="H8" s="24" t="n"/>
      <c r="I8" s="24" t="inlineStr"/>
      <c r="J8" s="24" t="inlineStr">
        <is>
          <t>2023/01/12</t>
        </is>
      </c>
    </row>
    <row r="9">
      <c r="B9" s="24" t="inlineStr">
        <is>
          <t>awe_wizard_catalog</t>
        </is>
      </c>
      <c r="C9" s="24" t="inlineStr">
        <is>
          <t>UPDATEUSER</t>
        </is>
      </c>
      <c r="D9" s="24" t="inlineStr">
        <is>
          <t>varchar(32)</t>
        </is>
      </c>
      <c r="E9" s="24" t="inlineStr">
        <is>
          <t>YES</t>
        </is>
      </c>
      <c r="F9" s="24" t="inlineStr">
        <is>
          <t>更新用户</t>
        </is>
      </c>
      <c r="G9" s="24" t="n"/>
      <c r="H9" s="24" t="n"/>
      <c r="I9" s="24" t="inlineStr"/>
      <c r="J9" s="24" t="inlineStr">
        <is>
          <t>2023/01/12</t>
        </is>
      </c>
    </row>
    <row r="10">
      <c r="B10" s="24" t="inlineStr">
        <is>
          <t>awe_wizard_catalog</t>
        </is>
      </c>
      <c r="C10" s="24" t="inlineStr">
        <is>
          <t>UPDATEORG</t>
        </is>
      </c>
      <c r="D10" s="24" t="inlineStr">
        <is>
          <t>varchar(32)</t>
        </is>
      </c>
      <c r="E10" s="24" t="inlineStr">
        <is>
          <t>YES</t>
        </is>
      </c>
      <c r="F10" s="24" t="inlineStr">
        <is>
          <t>更新机构</t>
        </is>
      </c>
      <c r="G10" s="24" t="n"/>
      <c r="H10" s="24" t="n"/>
      <c r="I10" s="24" t="inlineStr"/>
      <c r="J10" s="24" t="inlineStr">
        <is>
          <t>2023/01/12</t>
        </is>
      </c>
    </row>
    <row r="11">
      <c r="B11" s="24" t="inlineStr">
        <is>
          <t>awe_wizard_catalog</t>
        </is>
      </c>
      <c r="C11" s="24" t="inlineStr">
        <is>
          <t>UPDATEDATE</t>
        </is>
      </c>
      <c r="D11" s="24" t="inlineStr">
        <is>
          <t>datetime</t>
        </is>
      </c>
      <c r="E11" s="24" t="inlineStr">
        <is>
          <t>YES</t>
        </is>
      </c>
      <c r="F11" s="24" t="inlineStr">
        <is>
          <t>更新日期</t>
        </is>
      </c>
      <c r="G11" s="24" t="n"/>
      <c r="H11" s="24" t="n"/>
      <c r="I11" s="24" t="inlineStr"/>
      <c r="J11" s="24" t="inlineStr">
        <is>
          <t>2023/01/12</t>
        </is>
      </c>
    </row>
  </sheetData>
  <pageMargins left="0.75" right="0.75" top="1" bottom="1" header="0.5" footer="0.5"/>
  <pageSetup orientation="portrait" paperSize="1" horizontalDpi="300" verticalDpi="300"/>
</worksheet>
</file>

<file path=xl/worksheets/sheet56.xml><?xml version="1.0" encoding="utf-8"?>
<worksheet xmlns="http://schemas.openxmlformats.org/spreadsheetml/2006/main">
  <sheetPr>
    <outlinePr summaryBelow="1" summaryRight="1"/>
    <pageSetUpPr/>
  </sheetPr>
  <dimension ref="A1:J16"/>
  <sheetViews>
    <sheetView zoomScaleSheetLayoutView="60" workbookViewId="0">
      <selection activeCell="F21" sqref="F2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向导定义</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awe_wizard_library</t>
        </is>
      </c>
      <c r="C3" s="24" t="inlineStr">
        <is>
          <t>WIZARDID</t>
        </is>
      </c>
      <c r="D3" s="24" t="inlineStr">
        <is>
          <t>varchar(32)</t>
        </is>
      </c>
      <c r="E3" s="24" t="inlineStr">
        <is>
          <t>NO</t>
        </is>
      </c>
      <c r="F3" s="24" t="inlineStr">
        <is>
          <t>向导编号</t>
        </is>
      </c>
      <c r="G3" s="24" t="n"/>
      <c r="H3" s="24" t="n"/>
      <c r="I3" s="24" t="inlineStr"/>
      <c r="J3" s="24" t="inlineStr">
        <is>
          <t>2023/01/12</t>
        </is>
      </c>
    </row>
    <row r="4">
      <c r="B4" s="24" t="inlineStr">
        <is>
          <t>awe_wizard_library</t>
        </is>
      </c>
      <c r="C4" s="24" t="inlineStr">
        <is>
          <t>ITEMNO</t>
        </is>
      </c>
      <c r="D4" s="24" t="inlineStr">
        <is>
          <t>varchar(80)</t>
        </is>
      </c>
      <c r="E4" s="24" t="inlineStr">
        <is>
          <t>NO</t>
        </is>
      </c>
      <c r="F4" s="24" t="inlineStr">
        <is>
          <t>项目编号</t>
        </is>
      </c>
      <c r="G4" s="24" t="n"/>
      <c r="H4" s="24" t="n"/>
      <c r="I4" s="24" t="inlineStr"/>
      <c r="J4" s="24" t="inlineStr">
        <is>
          <t>2023/01/12</t>
        </is>
      </c>
    </row>
    <row r="5">
      <c r="B5" s="24" t="inlineStr">
        <is>
          <t>awe_wizard_library</t>
        </is>
      </c>
      <c r="C5" s="24" t="inlineStr">
        <is>
          <t>ITEMNAME</t>
        </is>
      </c>
      <c r="D5" s="24" t="inlineStr">
        <is>
          <t>varchar(80)</t>
        </is>
      </c>
      <c r="E5" s="24" t="inlineStr">
        <is>
          <t>YES</t>
        </is>
      </c>
      <c r="F5" s="24" t="inlineStr">
        <is>
          <t>项目名称</t>
        </is>
      </c>
      <c r="G5" s="24" t="n"/>
      <c r="H5" s="24" t="n"/>
      <c r="I5" s="24" t="inlineStr"/>
      <c r="J5" s="24" t="inlineStr">
        <is>
          <t>2023/01/12</t>
        </is>
      </c>
    </row>
    <row r="6">
      <c r="B6" s="24" t="inlineStr">
        <is>
          <t>awe_wizard_library</t>
        </is>
      </c>
      <c r="C6" s="24" t="inlineStr">
        <is>
          <t>SORTNO</t>
        </is>
      </c>
      <c r="D6" s="24" t="inlineStr">
        <is>
          <t>varchar(500)</t>
        </is>
      </c>
      <c r="E6" s="24" t="inlineStr">
        <is>
          <t>YES</t>
        </is>
      </c>
      <c r="F6" s="24" t="inlineStr">
        <is>
          <t>排序号</t>
        </is>
      </c>
      <c r="G6" s="24" t="n"/>
      <c r="H6" s="24" t="n"/>
      <c r="I6" s="24" t="inlineStr"/>
      <c r="J6" s="24" t="inlineStr">
        <is>
          <t>2023/01/12</t>
        </is>
      </c>
    </row>
    <row r="7">
      <c r="B7" s="24" t="inlineStr">
        <is>
          <t>awe_wizard_library</t>
        </is>
      </c>
      <c r="C7" s="24" t="inlineStr">
        <is>
          <t>URL</t>
        </is>
      </c>
      <c r="D7" s="24" t="inlineStr">
        <is>
          <t>varchar(500)</t>
        </is>
      </c>
      <c r="E7" s="24" t="inlineStr">
        <is>
          <t>YES</t>
        </is>
      </c>
      <c r="F7" s="24" t="inlineStr">
        <is>
          <t>访问路径</t>
        </is>
      </c>
      <c r="G7" s="24" t="n"/>
      <c r="H7" s="24" t="n"/>
      <c r="I7" s="24" t="inlineStr"/>
      <c r="J7" s="24" t="inlineStr">
        <is>
          <t>2023/01/12</t>
        </is>
      </c>
    </row>
    <row r="8">
      <c r="B8" s="24" t="inlineStr">
        <is>
          <t>awe_wizard_library</t>
        </is>
      </c>
      <c r="C8" s="24" t="inlineStr">
        <is>
          <t>PARAM</t>
        </is>
      </c>
      <c r="D8" s="24" t="inlineStr">
        <is>
          <t>varchar(500)</t>
        </is>
      </c>
      <c r="E8" s="24" t="inlineStr">
        <is>
          <t>YES</t>
        </is>
      </c>
      <c r="F8" s="24" t="inlineStr">
        <is>
          <t>参数</t>
        </is>
      </c>
      <c r="G8" s="24" t="n"/>
      <c r="H8" s="24" t="n"/>
      <c r="I8" s="24" t="inlineStr"/>
      <c r="J8" s="24" t="inlineStr">
        <is>
          <t>2023/01/12</t>
        </is>
      </c>
    </row>
    <row r="9">
      <c r="B9" s="24" t="inlineStr">
        <is>
          <t>awe_wizard_library</t>
        </is>
      </c>
      <c r="C9" s="24" t="inlineStr">
        <is>
          <t>ISINUSE</t>
        </is>
      </c>
      <c r="D9" s="24" t="inlineStr">
        <is>
          <t>char(1)</t>
        </is>
      </c>
      <c r="E9" s="24" t="inlineStr">
        <is>
          <t>YES</t>
        </is>
      </c>
      <c r="F9" s="53" t="inlineStr">
        <is>
          <t>是否可用</t>
        </is>
      </c>
      <c r="G9" s="24" t="n"/>
      <c r="H9" s="24" t="n"/>
      <c r="I9" s="24" t="inlineStr"/>
      <c r="J9" s="24" t="inlineStr">
        <is>
          <t>2023/01/12</t>
        </is>
      </c>
    </row>
    <row r="10">
      <c r="B10" s="24" t="inlineStr">
        <is>
          <t>awe_wizard_library</t>
        </is>
      </c>
      <c r="C10" s="24" t="inlineStr">
        <is>
          <t>REMARK</t>
        </is>
      </c>
      <c r="D10" s="24" t="inlineStr">
        <is>
          <t>varchar(500)</t>
        </is>
      </c>
      <c r="E10" s="24" t="inlineStr">
        <is>
          <t>YES</t>
        </is>
      </c>
      <c r="F10" s="24" t="inlineStr">
        <is>
          <t>备注</t>
        </is>
      </c>
      <c r="G10" s="24" t="n"/>
      <c r="H10" s="24" t="n"/>
      <c r="I10" s="24" t="inlineStr"/>
      <c r="J10" s="24" t="inlineStr">
        <is>
          <t>2023/01/12</t>
        </is>
      </c>
    </row>
    <row r="11">
      <c r="B11" s="24" t="inlineStr">
        <is>
          <t>awe_wizard_library</t>
        </is>
      </c>
      <c r="C11" s="24" t="inlineStr">
        <is>
          <t>INPUTORG</t>
        </is>
      </c>
      <c r="D11" s="24" t="inlineStr">
        <is>
          <t>varchar(32)</t>
        </is>
      </c>
      <c r="E11" s="24" t="inlineStr">
        <is>
          <t>YES</t>
        </is>
      </c>
      <c r="F11" s="24" t="inlineStr">
        <is>
          <t>登记机构</t>
        </is>
      </c>
      <c r="G11" s="24" t="n"/>
      <c r="H11" s="24" t="n"/>
      <c r="I11" s="24" t="inlineStr"/>
      <c r="J11" s="24" t="inlineStr">
        <is>
          <t>2023/01/12</t>
        </is>
      </c>
    </row>
    <row r="12">
      <c r="B12" s="24" t="inlineStr">
        <is>
          <t>awe_wizard_library</t>
        </is>
      </c>
      <c r="C12" s="24" t="inlineStr">
        <is>
          <t>INPUTUSER</t>
        </is>
      </c>
      <c r="D12" s="24" t="inlineStr">
        <is>
          <t>varchar(32)</t>
        </is>
      </c>
      <c r="E12" s="24" t="inlineStr">
        <is>
          <t>YES</t>
        </is>
      </c>
      <c r="F12" s="24" t="inlineStr">
        <is>
          <t>登记人</t>
        </is>
      </c>
      <c r="G12" s="24" t="n"/>
      <c r="H12" s="24" t="n"/>
      <c r="I12" s="24" t="inlineStr"/>
      <c r="J12" s="24" t="inlineStr">
        <is>
          <t>2023/01/12</t>
        </is>
      </c>
    </row>
    <row r="13">
      <c r="B13" s="24" t="inlineStr">
        <is>
          <t>awe_wizard_library</t>
        </is>
      </c>
      <c r="C13" s="24" t="inlineStr">
        <is>
          <t>INPUTDATE</t>
        </is>
      </c>
      <c r="D13" s="24" t="inlineStr">
        <is>
          <t>datetime</t>
        </is>
      </c>
      <c r="E13" s="24" t="inlineStr">
        <is>
          <t>YES</t>
        </is>
      </c>
      <c r="F13" s="24" t="inlineStr">
        <is>
          <t>登记日期</t>
        </is>
      </c>
      <c r="G13" s="24" t="n"/>
      <c r="H13" s="24" t="n"/>
      <c r="I13" s="24" t="inlineStr"/>
      <c r="J13" s="24" t="inlineStr">
        <is>
          <t>2023/01/12</t>
        </is>
      </c>
    </row>
    <row r="14">
      <c r="B14" s="24" t="inlineStr">
        <is>
          <t>awe_wizard_library</t>
        </is>
      </c>
      <c r="C14" s="24" t="inlineStr">
        <is>
          <t>UPDATEORG</t>
        </is>
      </c>
      <c r="D14" s="24" t="inlineStr">
        <is>
          <t>varchar(32)</t>
        </is>
      </c>
      <c r="E14" s="24" t="inlineStr">
        <is>
          <t>YES</t>
        </is>
      </c>
      <c r="F14" s="24" t="inlineStr">
        <is>
          <t>更新机构</t>
        </is>
      </c>
      <c r="G14" s="24" t="n"/>
      <c r="H14" s="24" t="n"/>
      <c r="I14" s="24" t="inlineStr"/>
      <c r="J14" s="24" t="inlineStr">
        <is>
          <t>2023/01/12</t>
        </is>
      </c>
    </row>
    <row r="15">
      <c r="B15" s="24" t="inlineStr">
        <is>
          <t>awe_wizard_library</t>
        </is>
      </c>
      <c r="C15" s="24" t="inlineStr">
        <is>
          <t>UPDATEUSER</t>
        </is>
      </c>
      <c r="D15" s="24" t="inlineStr">
        <is>
          <t>varchar(32)</t>
        </is>
      </c>
      <c r="E15" s="24" t="inlineStr">
        <is>
          <t>YES</t>
        </is>
      </c>
      <c r="F15" s="24" t="inlineStr">
        <is>
          <t>更新人</t>
        </is>
      </c>
      <c r="G15" s="24" t="n"/>
      <c r="H15" s="24" t="n"/>
      <c r="I15" s="24" t="inlineStr"/>
      <c r="J15" s="24" t="inlineStr">
        <is>
          <t>2023/01/12</t>
        </is>
      </c>
    </row>
    <row r="16">
      <c r="B16" s="24" t="inlineStr">
        <is>
          <t>awe_wizard_library</t>
        </is>
      </c>
      <c r="C16" s="24" t="inlineStr">
        <is>
          <t>UPDATEDATE</t>
        </is>
      </c>
      <c r="D16" s="24" t="inlineStr">
        <is>
          <t>datetime</t>
        </is>
      </c>
      <c r="E16" s="24" t="inlineStr">
        <is>
          <t>YES</t>
        </is>
      </c>
      <c r="F16" s="24" t="inlineStr">
        <is>
          <t>更新日期</t>
        </is>
      </c>
      <c r="G16" s="24" t="n"/>
      <c r="H16" s="24" t="n"/>
      <c r="I16" s="24" t="inlineStr"/>
      <c r="J16" s="24" t="inlineStr">
        <is>
          <t>2023/01/12</t>
        </is>
      </c>
    </row>
  </sheetData>
  <pageMargins left="0.75" right="0.75" top="1" bottom="1" header="0.5" footer="0.5"/>
  <pageSetup orientation="portrait" paperSize="1" horizontalDpi="300" verticalDpi="300"/>
</worksheet>
</file>

<file path=xl/worksheets/sheet57.xml><?xml version="1.0" encoding="utf-8"?>
<worksheet xmlns="http://schemas.openxmlformats.org/spreadsheetml/2006/main">
  <sheetPr>
    <outlinePr summaryBelow="1" summaryRight="1"/>
    <pageSetUpPr/>
  </sheetPr>
  <dimension ref="A1:J11"/>
  <sheetViews>
    <sheetView zoomScaleSheetLayoutView="60" workbookViewId="0">
      <selection activeCell="D19" sqref="D1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向导运行记录表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awe_wizard_runner</t>
        </is>
      </c>
      <c r="C3" s="24" t="inlineStr">
        <is>
          <t>WIZARDID</t>
        </is>
      </c>
      <c r="D3" s="24" t="inlineStr">
        <is>
          <t>varchar(32)</t>
        </is>
      </c>
      <c r="E3" s="24" t="inlineStr">
        <is>
          <t>NO</t>
        </is>
      </c>
      <c r="F3" s="24" t="inlineStr">
        <is>
          <t>向导编号</t>
        </is>
      </c>
      <c r="G3" s="24" t="n"/>
      <c r="H3" s="24" t="n"/>
      <c r="I3" s="24" t="inlineStr"/>
      <c r="J3" s="24" t="inlineStr">
        <is>
          <t>2023/01/12</t>
        </is>
      </c>
    </row>
    <row r="4">
      <c r="B4" s="24" t="inlineStr">
        <is>
          <t>awe_wizard_runner</t>
        </is>
      </c>
      <c r="C4" s="24" t="inlineStr">
        <is>
          <t>OBJECTNO</t>
        </is>
      </c>
      <c r="D4" s="24" t="inlineStr">
        <is>
          <t>varchar(32)</t>
        </is>
      </c>
      <c r="E4" s="24" t="inlineStr">
        <is>
          <t>NO</t>
        </is>
      </c>
      <c r="F4" s="24" t="inlineStr">
        <is>
          <t>向导运行对象</t>
        </is>
      </c>
      <c r="G4" s="24" t="n"/>
      <c r="H4" s="24" t="n"/>
      <c r="I4" s="24" t="inlineStr"/>
      <c r="J4" s="24" t="inlineStr">
        <is>
          <t>2023/01/12</t>
        </is>
      </c>
    </row>
    <row r="5">
      <c r="B5" s="24" t="inlineStr">
        <is>
          <t>awe_wizard_runner</t>
        </is>
      </c>
      <c r="C5" s="24" t="inlineStr">
        <is>
          <t>INPUTORGID</t>
        </is>
      </c>
      <c r="D5" s="24" t="inlineStr">
        <is>
          <t>varchar(32)</t>
        </is>
      </c>
      <c r="E5" s="24" t="inlineStr">
        <is>
          <t>YES</t>
        </is>
      </c>
      <c r="F5" s="24" t="inlineStr">
        <is>
          <t>登记机构</t>
        </is>
      </c>
      <c r="G5" s="24" t="n"/>
      <c r="H5" s="24" t="n"/>
      <c r="I5" s="24" t="inlineStr"/>
      <c r="J5" s="24" t="inlineStr">
        <is>
          <t>2023/01/12</t>
        </is>
      </c>
    </row>
    <row r="6">
      <c r="B6" s="24" t="inlineStr">
        <is>
          <t>awe_wizard_runner</t>
        </is>
      </c>
      <c r="C6" s="24" t="inlineStr">
        <is>
          <t>INPUTUSERID</t>
        </is>
      </c>
      <c r="D6" s="24" t="inlineStr">
        <is>
          <t>varchar(32)</t>
        </is>
      </c>
      <c r="E6" s="24" t="inlineStr">
        <is>
          <t>YES</t>
        </is>
      </c>
      <c r="F6" s="24" t="inlineStr">
        <is>
          <t>登记人</t>
        </is>
      </c>
      <c r="G6" s="24" t="n"/>
      <c r="H6" s="24" t="n"/>
      <c r="I6" s="24" t="inlineStr"/>
      <c r="J6" s="24" t="inlineStr">
        <is>
          <t>2023/01/12</t>
        </is>
      </c>
    </row>
    <row r="7">
      <c r="B7" s="24" t="inlineStr">
        <is>
          <t>awe_wizard_runner</t>
        </is>
      </c>
      <c r="C7" s="24" t="inlineStr">
        <is>
          <t>INPUTDATE</t>
        </is>
      </c>
      <c r="D7" s="24" t="inlineStr">
        <is>
          <t>varchar(18)</t>
        </is>
      </c>
      <c r="E7" s="24" t="inlineStr">
        <is>
          <t>YES</t>
        </is>
      </c>
      <c r="F7" s="24" t="inlineStr">
        <is>
          <t>登记日期</t>
        </is>
      </c>
      <c r="G7" s="24" t="n"/>
      <c r="H7" s="24" t="n"/>
      <c r="I7" s="24" t="inlineStr"/>
      <c r="J7" s="24" t="inlineStr">
        <is>
          <t>2023/01/12</t>
        </is>
      </c>
    </row>
    <row r="8">
      <c r="B8" s="24" t="inlineStr">
        <is>
          <t>awe_wizard_runner</t>
        </is>
      </c>
      <c r="C8" s="24" t="inlineStr">
        <is>
          <t>UPDATEORGID</t>
        </is>
      </c>
      <c r="D8" s="24" t="inlineStr">
        <is>
          <t>varchar(32)</t>
        </is>
      </c>
      <c r="E8" s="24" t="inlineStr">
        <is>
          <t>YES</t>
        </is>
      </c>
      <c r="F8" s="24" t="inlineStr">
        <is>
          <t>更新机构</t>
        </is>
      </c>
      <c r="G8" s="24" t="n"/>
      <c r="H8" s="24" t="n"/>
      <c r="I8" s="24" t="inlineStr"/>
      <c r="J8" s="24" t="inlineStr">
        <is>
          <t>2023/01/12</t>
        </is>
      </c>
    </row>
    <row r="9">
      <c r="B9" s="24" t="inlineStr">
        <is>
          <t>awe_wizard_runner</t>
        </is>
      </c>
      <c r="C9" s="24" t="inlineStr">
        <is>
          <t>UPDATEUSERID</t>
        </is>
      </c>
      <c r="D9" s="24" t="inlineStr">
        <is>
          <t>varchar(32)</t>
        </is>
      </c>
      <c r="E9" s="24" t="inlineStr">
        <is>
          <t>YES</t>
        </is>
      </c>
      <c r="F9" s="24" t="inlineStr">
        <is>
          <t>更新人</t>
        </is>
      </c>
      <c r="G9" s="24" t="n"/>
      <c r="H9" s="24" t="n"/>
      <c r="I9" s="24" t="inlineStr"/>
      <c r="J9" s="24" t="inlineStr">
        <is>
          <t>2023/01/12</t>
        </is>
      </c>
    </row>
    <row r="10">
      <c r="B10" s="24" t="inlineStr">
        <is>
          <t>awe_wizard_runner</t>
        </is>
      </c>
      <c r="C10" s="24" t="inlineStr">
        <is>
          <t>UPDATEDATE</t>
        </is>
      </c>
      <c r="D10" s="24" t="inlineStr">
        <is>
          <t>varchar(18)</t>
        </is>
      </c>
      <c r="E10" s="24" t="inlineStr">
        <is>
          <t>YES</t>
        </is>
      </c>
      <c r="F10" s="24" t="inlineStr">
        <is>
          <t>更新日期</t>
        </is>
      </c>
      <c r="G10" s="24" t="n"/>
      <c r="H10" s="24" t="n"/>
      <c r="I10" s="24" t="inlineStr"/>
      <c r="J10" s="24" t="inlineStr">
        <is>
          <t>2023/01/12</t>
        </is>
      </c>
    </row>
    <row r="11">
      <c r="B11" s="24" t="inlineStr">
        <is>
          <t>awe_wizard_runner</t>
        </is>
      </c>
      <c r="C11" s="24" t="inlineStr">
        <is>
          <t>WIZARDINFO</t>
        </is>
      </c>
      <c r="D11" s="24" t="inlineStr">
        <is>
          <t>varchar(4000)</t>
        </is>
      </c>
      <c r="E11" s="24" t="inlineStr">
        <is>
          <t>YES</t>
        </is>
      </c>
      <c r="F11" s="24" t="inlineStr">
        <is>
          <t>向导运行记录</t>
        </is>
      </c>
      <c r="G11" s="24" t="n"/>
      <c r="H11" s="24" t="n"/>
      <c r="I11" s="24" t="inlineStr"/>
      <c r="J11" s="24" t="inlineStr">
        <is>
          <t>2023/01/12</t>
        </is>
      </c>
    </row>
  </sheetData>
  <pageMargins left="0.75" right="0.75" top="1" bottom="1" header="0.5" footer="0.5"/>
  <pageSetup orientation="portrait" paperSize="1" horizontalDpi="300" verticalDpi="300"/>
</worksheet>
</file>

<file path=xl/worksheets/sheet58.xml><?xml version="1.0" encoding="utf-8"?>
<worksheet xmlns="http://schemas.openxmlformats.org/spreadsheetml/2006/main">
  <sheetPr>
    <outlinePr summaryBelow="1" summaryRight="1"/>
    <pageSetUpPr/>
  </sheetPr>
  <dimension ref="A1:J24"/>
  <sheetViews>
    <sheetView zoomScaleSheetLayoutView="60" workbookViewId="0">
      <selection activeCell="D31" sqref="D31:D3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批量错误日志信息表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bat_task_error</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bat_task_error</t>
        </is>
      </c>
      <c r="C4" s="24" t="inlineStr">
        <is>
          <t>TASKNAME</t>
        </is>
      </c>
      <c r="D4" s="24" t="inlineStr">
        <is>
          <t>varchar(80)</t>
        </is>
      </c>
      <c r="E4" s="24" t="inlineStr">
        <is>
          <t>YES</t>
        </is>
      </c>
      <c r="F4" s="24" t="inlineStr">
        <is>
          <t>任务名称</t>
        </is>
      </c>
      <c r="G4" s="24" t="n"/>
      <c r="H4" s="24" t="n"/>
      <c r="I4" s="24" t="inlineStr"/>
      <c r="J4" s="24" t="inlineStr">
        <is>
          <t>2023/01/12</t>
        </is>
      </c>
    </row>
    <row r="5">
      <c r="B5" s="24" t="inlineStr">
        <is>
          <t>bat_task_error</t>
        </is>
      </c>
      <c r="C5" s="24" t="inlineStr">
        <is>
          <t>OBJECTTYPE</t>
        </is>
      </c>
      <c r="D5" s="24" t="inlineStr">
        <is>
          <t>varchar(80)</t>
        </is>
      </c>
      <c r="E5" s="24" t="inlineStr">
        <is>
          <t>YES</t>
        </is>
      </c>
      <c r="F5" s="24" t="inlineStr">
        <is>
          <t>对象类型</t>
        </is>
      </c>
      <c r="G5" s="24" t="n"/>
      <c r="H5" s="24" t="n"/>
      <c r="I5" s="24" t="inlineStr"/>
      <c r="J5" s="24" t="inlineStr">
        <is>
          <t>2023/01/12</t>
        </is>
      </c>
    </row>
    <row r="6">
      <c r="B6" s="24" t="inlineStr">
        <is>
          <t>bat_task_error</t>
        </is>
      </c>
      <c r="C6" s="24" t="inlineStr">
        <is>
          <t>OBJECTNO</t>
        </is>
      </c>
      <c r="D6" s="24" t="inlineStr">
        <is>
          <t>varchar(32)</t>
        </is>
      </c>
      <c r="E6" s="24" t="inlineStr">
        <is>
          <t>YES</t>
        </is>
      </c>
      <c r="F6" s="24" t="inlineStr">
        <is>
          <t>对象编号</t>
        </is>
      </c>
      <c r="G6" s="24" t="n"/>
      <c r="H6" s="24" t="n"/>
      <c r="I6" s="24" t="inlineStr"/>
      <c r="J6" s="24" t="inlineStr">
        <is>
          <t>2023/01/12</t>
        </is>
      </c>
    </row>
    <row r="7">
      <c r="B7" s="24" t="inlineStr">
        <is>
          <t>bat_task_error</t>
        </is>
      </c>
      <c r="C7" s="24" t="inlineStr">
        <is>
          <t>ERRORDESC</t>
        </is>
      </c>
      <c r="D7" s="24" t="inlineStr">
        <is>
          <t>varchar(500)</t>
        </is>
      </c>
      <c r="E7" s="24" t="inlineStr">
        <is>
          <t>YES</t>
        </is>
      </c>
      <c r="F7" s="24" t="inlineStr">
        <is>
          <t>错误描述</t>
        </is>
      </c>
      <c r="G7" s="24" t="n"/>
      <c r="H7" s="24" t="n"/>
      <c r="I7" s="24" t="inlineStr"/>
      <c r="J7" s="24" t="inlineStr">
        <is>
          <t>2023/01/12</t>
        </is>
      </c>
    </row>
    <row r="8">
      <c r="B8" s="24" t="inlineStr">
        <is>
          <t>bat_task_error</t>
        </is>
      </c>
      <c r="C8" s="24" t="inlineStr">
        <is>
          <t>INPUTTIME</t>
        </is>
      </c>
      <c r="D8" s="24" t="inlineStr">
        <is>
          <t>datetime</t>
        </is>
      </c>
      <c r="E8" s="24" t="inlineStr">
        <is>
          <t>YES</t>
        </is>
      </c>
      <c r="F8" s="24" t="inlineStr">
        <is>
          <t>记录时间</t>
        </is>
      </c>
      <c r="G8" s="24" t="n"/>
      <c r="H8" s="24" t="n"/>
      <c r="I8" s="24" t="inlineStr"/>
      <c r="J8" s="24" t="inlineStr">
        <is>
          <t>2023/01/12</t>
        </is>
      </c>
    </row>
    <row r="9">
      <c r="B9" s="24" t="inlineStr">
        <is>
          <t>bat_task_error</t>
        </is>
      </c>
      <c r="C9" s="24" t="inlineStr">
        <is>
          <t>ATTRIBUTE1</t>
        </is>
      </c>
      <c r="D9" s="24" t="inlineStr">
        <is>
          <t>varchar(80)</t>
        </is>
      </c>
      <c r="E9" s="24" t="inlineStr">
        <is>
          <t>YES</t>
        </is>
      </c>
      <c r="F9" s="24" t="inlineStr">
        <is>
          <t>参数1</t>
        </is>
      </c>
      <c r="G9" s="24" t="n"/>
      <c r="H9" s="24" t="n"/>
      <c r="I9" s="24" t="inlineStr"/>
      <c r="J9" s="24" t="inlineStr">
        <is>
          <t>2023/01/12</t>
        </is>
      </c>
    </row>
    <row r="10">
      <c r="B10" s="24" t="inlineStr">
        <is>
          <t>bat_task_error</t>
        </is>
      </c>
      <c r="C10" s="24" t="inlineStr">
        <is>
          <t>ATTRIBUTE2</t>
        </is>
      </c>
      <c r="D10" s="24" t="inlineStr">
        <is>
          <t>varchar(80)</t>
        </is>
      </c>
      <c r="E10" s="24" t="inlineStr">
        <is>
          <t>YES</t>
        </is>
      </c>
      <c r="F10" s="24" t="inlineStr">
        <is>
          <t>参数2</t>
        </is>
      </c>
      <c r="G10" s="24" t="n"/>
      <c r="H10" s="24" t="n"/>
      <c r="I10" s="24" t="inlineStr"/>
      <c r="J10" s="24" t="inlineStr">
        <is>
          <t>2023/01/12</t>
        </is>
      </c>
    </row>
    <row r="11">
      <c r="B11" s="24" t="inlineStr">
        <is>
          <t>bat_task_error</t>
        </is>
      </c>
      <c r="C11" s="24" t="inlineStr">
        <is>
          <t>ATTRIBUTE3</t>
        </is>
      </c>
      <c r="D11" s="24" t="inlineStr">
        <is>
          <t>varchar(80)</t>
        </is>
      </c>
      <c r="E11" s="24" t="inlineStr">
        <is>
          <t>YES</t>
        </is>
      </c>
      <c r="F11" s="24" t="inlineStr">
        <is>
          <t>参数3</t>
        </is>
      </c>
      <c r="G11" s="24" t="n"/>
      <c r="H11" s="24" t="n"/>
      <c r="I11" s="24" t="inlineStr"/>
      <c r="J11" s="24" t="inlineStr">
        <is>
          <t>2023/01/12</t>
        </is>
      </c>
    </row>
    <row r="12">
      <c r="B12" s="24" t="inlineStr">
        <is>
          <t>bat_task_error</t>
        </is>
      </c>
      <c r="C12" s="24" t="inlineStr">
        <is>
          <t>ATTRIBUTE4</t>
        </is>
      </c>
      <c r="D12" s="24" t="inlineStr">
        <is>
          <t>varchar(80)</t>
        </is>
      </c>
      <c r="E12" s="24" t="inlineStr">
        <is>
          <t>YES</t>
        </is>
      </c>
      <c r="F12" s="24" t="inlineStr">
        <is>
          <t>参数4</t>
        </is>
      </c>
      <c r="G12" s="24" t="n"/>
      <c r="H12" s="24" t="n"/>
      <c r="I12" s="24" t="inlineStr"/>
      <c r="J12" s="24" t="inlineStr">
        <is>
          <t>2023/01/12</t>
        </is>
      </c>
    </row>
    <row r="13">
      <c r="B13" s="24" t="inlineStr">
        <is>
          <t>bat_task_error</t>
        </is>
      </c>
      <c r="C13" s="24" t="inlineStr">
        <is>
          <t>ATTRIBUTE5</t>
        </is>
      </c>
      <c r="D13" s="24" t="inlineStr">
        <is>
          <t>varchar(80)</t>
        </is>
      </c>
      <c r="E13" s="24" t="inlineStr">
        <is>
          <t>YES</t>
        </is>
      </c>
      <c r="F13" s="24" t="inlineStr">
        <is>
          <t>参数5</t>
        </is>
      </c>
      <c r="G13" s="24" t="n"/>
      <c r="H13" s="24" t="n"/>
      <c r="I13" s="24" t="inlineStr"/>
      <c r="J13" s="24" t="inlineStr">
        <is>
          <t>2023/01/12</t>
        </is>
      </c>
    </row>
    <row r="14">
      <c r="B14" s="24" t="inlineStr">
        <is>
          <t>bat_task_error</t>
        </is>
      </c>
      <c r="C14" s="24" t="inlineStr">
        <is>
          <t>ATTRIBUTE6</t>
        </is>
      </c>
      <c r="D14" s="24" t="inlineStr">
        <is>
          <t>decimal(24,6)</t>
        </is>
      </c>
      <c r="E14" s="24" t="inlineStr">
        <is>
          <t>YES</t>
        </is>
      </c>
      <c r="F14" s="24" t="inlineStr">
        <is>
          <t>参数6</t>
        </is>
      </c>
      <c r="G14" s="24" t="n"/>
      <c r="H14" s="24" t="n"/>
      <c r="I14" s="24" t="inlineStr"/>
      <c r="J14" s="24" t="inlineStr">
        <is>
          <t>2023/01/12</t>
        </is>
      </c>
    </row>
    <row r="15">
      <c r="B15" s="24" t="inlineStr">
        <is>
          <t>bat_task_error</t>
        </is>
      </c>
      <c r="C15" s="24" t="inlineStr">
        <is>
          <t>ATTRIBUTE7</t>
        </is>
      </c>
      <c r="D15" s="24" t="inlineStr">
        <is>
          <t>decimal(24,6)</t>
        </is>
      </c>
      <c r="E15" s="24" t="inlineStr">
        <is>
          <t>YES</t>
        </is>
      </c>
      <c r="F15" s="24" t="inlineStr">
        <is>
          <t>参数7</t>
        </is>
      </c>
      <c r="G15" s="24" t="n"/>
      <c r="H15" s="24" t="n"/>
      <c r="I15" s="24" t="inlineStr"/>
      <c r="J15" s="24" t="inlineStr">
        <is>
          <t>2023/01/12</t>
        </is>
      </c>
    </row>
    <row r="16">
      <c r="B16" s="24" t="inlineStr">
        <is>
          <t>bat_task_error</t>
        </is>
      </c>
      <c r="C16" s="24" t="inlineStr">
        <is>
          <t>ATTRIBUTE8</t>
        </is>
      </c>
      <c r="D16" s="24" t="inlineStr">
        <is>
          <t>decimal(24,6)</t>
        </is>
      </c>
      <c r="E16" s="24" t="inlineStr">
        <is>
          <t>YES</t>
        </is>
      </c>
      <c r="F16" s="24" t="inlineStr">
        <is>
          <t>参数8</t>
        </is>
      </c>
      <c r="G16" s="24" t="n"/>
      <c r="H16" s="24" t="n"/>
      <c r="I16" s="24" t="inlineStr"/>
      <c r="J16" s="24" t="inlineStr">
        <is>
          <t>2023/01/12</t>
        </is>
      </c>
    </row>
    <row r="17">
      <c r="B17" s="24" t="inlineStr">
        <is>
          <t>bat_task_error</t>
        </is>
      </c>
      <c r="C17" s="24" t="inlineStr">
        <is>
          <t>ATTRIBUTE9</t>
        </is>
      </c>
      <c r="D17" s="24" t="inlineStr">
        <is>
          <t>decimal(24,6)</t>
        </is>
      </c>
      <c r="E17" s="24" t="inlineStr">
        <is>
          <t>YES</t>
        </is>
      </c>
      <c r="F17" s="24" t="inlineStr">
        <is>
          <t>参数9</t>
        </is>
      </c>
      <c r="G17" s="24" t="n"/>
      <c r="H17" s="24" t="n"/>
      <c r="I17" s="24" t="inlineStr"/>
      <c r="J17" s="24" t="inlineStr">
        <is>
          <t>2023/01/12</t>
        </is>
      </c>
    </row>
    <row r="18">
      <c r="B18" s="24" t="inlineStr">
        <is>
          <t>bat_task_error</t>
        </is>
      </c>
      <c r="C18" s="24" t="inlineStr">
        <is>
          <t>ATTRIBUTE10</t>
        </is>
      </c>
      <c r="D18" s="24" t="inlineStr">
        <is>
          <t>decimal(24,6)</t>
        </is>
      </c>
      <c r="E18" s="24" t="inlineStr">
        <is>
          <t>YES</t>
        </is>
      </c>
      <c r="F18" s="24" t="inlineStr">
        <is>
          <t>参数10</t>
        </is>
      </c>
      <c r="G18" s="24" t="n"/>
      <c r="H18" s="24" t="n"/>
      <c r="I18" s="24" t="inlineStr"/>
      <c r="J18" s="24" t="inlineStr">
        <is>
          <t>2023/01/12</t>
        </is>
      </c>
    </row>
    <row r="19">
      <c r="B19" s="24" t="inlineStr">
        <is>
          <t>bat_task_error</t>
        </is>
      </c>
      <c r="C19" s="24" t="inlineStr">
        <is>
          <t>INPUTORGID</t>
        </is>
      </c>
      <c r="D19" s="24" t="inlineStr">
        <is>
          <t>varchar(32)</t>
        </is>
      </c>
      <c r="E19" s="24" t="inlineStr">
        <is>
          <t>YES</t>
        </is>
      </c>
      <c r="F19" s="24" t="inlineStr">
        <is>
          <t>登记机构</t>
        </is>
      </c>
      <c r="G19" s="24" t="n"/>
      <c r="H19" s="24" t="n"/>
      <c r="I19" s="24" t="inlineStr"/>
      <c r="J19" s="24" t="inlineStr">
        <is>
          <t>2023/01/12</t>
        </is>
      </c>
    </row>
    <row r="20">
      <c r="B20" s="24" t="inlineStr">
        <is>
          <t>bat_task_error</t>
        </is>
      </c>
      <c r="C20" s="24" t="inlineStr">
        <is>
          <t>INPUTUSERID</t>
        </is>
      </c>
      <c r="D20" s="24" t="inlineStr">
        <is>
          <t>varchar(32)</t>
        </is>
      </c>
      <c r="E20" s="24" t="inlineStr">
        <is>
          <t>YES</t>
        </is>
      </c>
      <c r="F20" s="24" t="inlineStr">
        <is>
          <t>登记人</t>
        </is>
      </c>
      <c r="G20" s="24" t="n"/>
      <c r="H20" s="24" t="n"/>
      <c r="I20" s="24" t="inlineStr"/>
      <c r="J20" s="24" t="inlineStr">
        <is>
          <t>2023/01/12</t>
        </is>
      </c>
    </row>
    <row r="21">
      <c r="B21" s="24" t="inlineStr">
        <is>
          <t>bat_task_error</t>
        </is>
      </c>
      <c r="C21" s="24" t="inlineStr">
        <is>
          <t>INPUTDATE</t>
        </is>
      </c>
      <c r="D21" s="24" t="inlineStr">
        <is>
          <t>datetime</t>
        </is>
      </c>
      <c r="E21" s="24" t="inlineStr">
        <is>
          <t>YES</t>
        </is>
      </c>
      <c r="F21" s="24" t="inlineStr">
        <is>
          <t>登记日期</t>
        </is>
      </c>
      <c r="G21" s="24" t="n"/>
      <c r="H21" s="24" t="n"/>
      <c r="I21" s="24" t="inlineStr"/>
      <c r="J21" s="24" t="inlineStr">
        <is>
          <t>2023/01/12</t>
        </is>
      </c>
    </row>
    <row r="22">
      <c r="B22" s="24" t="inlineStr">
        <is>
          <t>bat_task_error</t>
        </is>
      </c>
      <c r="C22" s="24" t="inlineStr">
        <is>
          <t>UPDATEORGID</t>
        </is>
      </c>
      <c r="D22" s="24" t="inlineStr">
        <is>
          <t>varchar(32)</t>
        </is>
      </c>
      <c r="E22" s="24" t="inlineStr">
        <is>
          <t>YES</t>
        </is>
      </c>
      <c r="F22" s="24" t="inlineStr">
        <is>
          <t>更新机构</t>
        </is>
      </c>
      <c r="G22" s="24" t="n"/>
      <c r="H22" s="24" t="n"/>
      <c r="I22" s="24" t="inlineStr"/>
      <c r="J22" s="24" t="inlineStr">
        <is>
          <t>2023/01/12</t>
        </is>
      </c>
    </row>
    <row r="23">
      <c r="B23" s="24" t="inlineStr">
        <is>
          <t>bat_task_error</t>
        </is>
      </c>
      <c r="C23" s="24" t="inlineStr">
        <is>
          <t>UPDATEUSERID</t>
        </is>
      </c>
      <c r="D23" s="24" t="inlineStr">
        <is>
          <t>varchar(32)</t>
        </is>
      </c>
      <c r="E23" s="24" t="inlineStr">
        <is>
          <t>YES</t>
        </is>
      </c>
      <c r="F23" s="24" t="inlineStr">
        <is>
          <t>更新人</t>
        </is>
      </c>
      <c r="G23" s="24" t="n"/>
      <c r="H23" s="24" t="n"/>
      <c r="I23" s="24" t="inlineStr"/>
      <c r="J23" s="24" t="inlineStr">
        <is>
          <t>2023/01/12</t>
        </is>
      </c>
    </row>
    <row r="24">
      <c r="B24" s="24" t="inlineStr">
        <is>
          <t>bat_task_error</t>
        </is>
      </c>
      <c r="C24" s="24" t="inlineStr">
        <is>
          <t>UPDATEDATE</t>
        </is>
      </c>
      <c r="D24" s="24" t="inlineStr">
        <is>
          <t>datetime</t>
        </is>
      </c>
      <c r="E24" s="24" t="inlineStr">
        <is>
          <t>YES</t>
        </is>
      </c>
      <c r="F24" s="24" t="inlineStr">
        <is>
          <t>更新日期</t>
        </is>
      </c>
      <c r="G24" s="24" t="n"/>
      <c r="H24" s="24" t="n"/>
      <c r="I24" s="24" t="inlineStr"/>
      <c r="J24" s="24" t="inlineStr">
        <is>
          <t>2023/01/12</t>
        </is>
      </c>
    </row>
  </sheetData>
  <pageMargins left="0.75" right="0.75" top="1" bottom="1" header="0.5" footer="0.5"/>
  <pageSetup orientation="portrait" paperSize="1" horizontalDpi="300" verticalDpi="300"/>
</worksheet>
</file>

<file path=xl/worksheets/sheet59.xml><?xml version="1.0" encoding="utf-8"?>
<worksheet xmlns="http://schemas.openxmlformats.org/spreadsheetml/2006/main">
  <sheetPr>
    <outlinePr summaryBelow="1" summaryRight="1"/>
    <pageSetUpPr/>
  </sheetPr>
  <dimension ref="A1:J17"/>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批量记录表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bat_task_log</t>
        </is>
      </c>
      <c r="C3" s="24" t="inlineStr">
        <is>
          <t>BATCHDATE</t>
        </is>
      </c>
      <c r="D3" s="24" t="inlineStr">
        <is>
          <t>varchar(18)</t>
        </is>
      </c>
      <c r="E3" s="24" t="inlineStr">
        <is>
          <t>NO</t>
        </is>
      </c>
      <c r="F3" s="24" t="inlineStr">
        <is>
          <t>批量日期</t>
        </is>
      </c>
      <c r="G3" s="24" t="n"/>
      <c r="H3" s="24" t="n"/>
      <c r="I3" s="24" t="inlineStr"/>
      <c r="J3" s="24" t="inlineStr">
        <is>
          <t>2023/01/12</t>
        </is>
      </c>
    </row>
    <row r="4">
      <c r="B4" s="24" t="inlineStr">
        <is>
          <t>bat_task_log</t>
        </is>
      </c>
      <c r="C4" s="24" t="inlineStr">
        <is>
          <t>BUSINESSDATE</t>
        </is>
      </c>
      <c r="D4" s="24" t="inlineStr">
        <is>
          <t>varchar(18)</t>
        </is>
      </c>
      <c r="E4" s="24" t="inlineStr">
        <is>
          <t>YES</t>
        </is>
      </c>
      <c r="F4" s="24" t="inlineStr">
        <is>
          <t>业务日期</t>
        </is>
      </c>
      <c r="G4" s="24" t="n"/>
      <c r="H4" s="24" t="n"/>
      <c r="I4" s="24" t="inlineStr"/>
      <c r="J4" s="24" t="inlineStr">
        <is>
          <t>2023/01/12</t>
        </is>
      </c>
    </row>
    <row r="5">
      <c r="B5" s="24" t="inlineStr">
        <is>
          <t>bat_task_log</t>
        </is>
      </c>
      <c r="C5" s="24" t="inlineStr">
        <is>
          <t>TASKNAME</t>
        </is>
      </c>
      <c r="D5" s="24" t="inlineStr">
        <is>
          <t>varchar(80)</t>
        </is>
      </c>
      <c r="E5" s="24" t="inlineStr">
        <is>
          <t>NO</t>
        </is>
      </c>
      <c r="F5" s="24" t="inlineStr">
        <is>
          <t>一级任务名称</t>
        </is>
      </c>
      <c r="G5" s="24" t="n"/>
      <c r="H5" s="24" t="n"/>
      <c r="I5" s="24" t="inlineStr"/>
      <c r="J5" s="24" t="inlineStr">
        <is>
          <t>2023/01/12</t>
        </is>
      </c>
    </row>
    <row r="6">
      <c r="B6" s="24" t="inlineStr">
        <is>
          <t>bat_task_log</t>
        </is>
      </c>
      <c r="C6" s="24" t="inlineStr">
        <is>
          <t>TASKDESCRIBE</t>
        </is>
      </c>
      <c r="D6" s="24" t="inlineStr">
        <is>
          <t>varchar(200)</t>
        </is>
      </c>
      <c r="E6" s="24" t="inlineStr">
        <is>
          <t>YES</t>
        </is>
      </c>
      <c r="F6" s="24" t="inlineStr">
        <is>
          <t>二级任务描述</t>
        </is>
      </c>
      <c r="G6" s="24" t="n"/>
      <c r="H6" s="24" t="n"/>
      <c r="I6" s="24" t="inlineStr"/>
      <c r="J6" s="24" t="inlineStr">
        <is>
          <t>2023/01/12</t>
        </is>
      </c>
    </row>
    <row r="7">
      <c r="B7" s="24" t="inlineStr">
        <is>
          <t>bat_task_log</t>
        </is>
      </c>
      <c r="C7" s="24" t="inlineStr">
        <is>
          <t>TARGETNAME</t>
        </is>
      </c>
      <c r="D7" s="24" t="inlineStr">
        <is>
          <t>varchar(80)</t>
        </is>
      </c>
      <c r="E7" s="24" t="inlineStr">
        <is>
          <t>NO</t>
        </is>
      </c>
      <c r="F7" s="24" t="inlineStr">
        <is>
          <t>二级任务名称</t>
        </is>
      </c>
      <c r="G7" s="24" t="n"/>
      <c r="H7" s="24" t="n"/>
      <c r="I7" s="24" t="inlineStr"/>
      <c r="J7" s="24" t="inlineStr">
        <is>
          <t>2023/01/12</t>
        </is>
      </c>
    </row>
    <row r="8">
      <c r="B8" s="24" t="inlineStr">
        <is>
          <t>bat_task_log</t>
        </is>
      </c>
      <c r="C8" s="24" t="inlineStr">
        <is>
          <t>TARGETDESCRIBE</t>
        </is>
      </c>
      <c r="D8" s="24" t="inlineStr">
        <is>
          <t>varchar(200)</t>
        </is>
      </c>
      <c r="E8" s="24" t="inlineStr">
        <is>
          <t>YES</t>
        </is>
      </c>
      <c r="F8" s="24" t="inlineStr">
        <is>
          <t>一级任务描述</t>
        </is>
      </c>
      <c r="G8" s="24" t="n"/>
      <c r="H8" s="24" t="n"/>
      <c r="I8" s="24" t="inlineStr"/>
      <c r="J8" s="24" t="inlineStr">
        <is>
          <t>2023/01/12</t>
        </is>
      </c>
    </row>
    <row r="9">
      <c r="B9" s="24" t="inlineStr">
        <is>
          <t>bat_task_log</t>
        </is>
      </c>
      <c r="C9" s="24" t="inlineStr">
        <is>
          <t>BEGINTIME</t>
        </is>
      </c>
      <c r="D9" s="24" t="inlineStr">
        <is>
          <t>varchar(32)</t>
        </is>
      </c>
      <c r="E9" s="24" t="inlineStr">
        <is>
          <t>YES</t>
        </is>
      </c>
      <c r="F9" s="24" t="inlineStr">
        <is>
          <t>记录时间</t>
        </is>
      </c>
      <c r="G9" s="24" t="n"/>
      <c r="H9" s="24" t="n"/>
      <c r="I9" s="24" t="inlineStr"/>
      <c r="J9" s="24" t="inlineStr">
        <is>
          <t>2023/01/12</t>
        </is>
      </c>
    </row>
    <row r="10">
      <c r="B10" s="24" t="inlineStr">
        <is>
          <t>bat_task_log</t>
        </is>
      </c>
      <c r="C10" s="24" t="inlineStr">
        <is>
          <t>ENDTIME</t>
        </is>
      </c>
      <c r="D10" s="24" t="inlineStr">
        <is>
          <t>varchar(32)</t>
        </is>
      </c>
      <c r="E10" s="24" t="inlineStr">
        <is>
          <t>YES</t>
        </is>
      </c>
      <c r="F10" s="24" t="inlineStr">
        <is>
          <t>结束时间</t>
        </is>
      </c>
      <c r="G10" s="24" t="n"/>
      <c r="H10" s="24" t="n"/>
      <c r="I10" s="24" t="inlineStr"/>
      <c r="J10" s="24" t="inlineStr">
        <is>
          <t>2023/01/12</t>
        </is>
      </c>
    </row>
    <row r="11">
      <c r="B11" s="24" t="inlineStr">
        <is>
          <t>bat_task_log</t>
        </is>
      </c>
      <c r="C11" s="24" t="inlineStr">
        <is>
          <t>STATUS</t>
        </is>
      </c>
      <c r="D11" s="24" t="inlineStr">
        <is>
          <t>varchar(18)</t>
        </is>
      </c>
      <c r="E11" s="24" t="inlineStr">
        <is>
          <t>YES</t>
        </is>
      </c>
      <c r="F11" s="24" t="inlineStr">
        <is>
          <t>状态;Code:BatchTaskStatus）</t>
        </is>
      </c>
      <c r="G11" s="24" t="n"/>
      <c r="H11" s="24" t="n"/>
      <c r="I11" s="24" t="inlineStr"/>
      <c r="J11" s="24" t="inlineStr">
        <is>
          <t>2023/01/12</t>
        </is>
      </c>
    </row>
    <row r="12">
      <c r="B12" s="24" t="inlineStr">
        <is>
          <t>bat_task_log</t>
        </is>
      </c>
      <c r="C12" s="24" t="inlineStr">
        <is>
          <t>INPUTORGID</t>
        </is>
      </c>
      <c r="D12" s="24" t="inlineStr">
        <is>
          <t>varchar(32)</t>
        </is>
      </c>
      <c r="E12" s="24" t="inlineStr">
        <is>
          <t>YES</t>
        </is>
      </c>
      <c r="F12" s="24" t="inlineStr">
        <is>
          <t>登记机构</t>
        </is>
      </c>
      <c r="G12" s="24" t="n"/>
      <c r="H12" s="24" t="n"/>
      <c r="I12" s="24" t="inlineStr"/>
      <c r="J12" s="24" t="inlineStr">
        <is>
          <t>2023/01/12</t>
        </is>
      </c>
    </row>
    <row r="13">
      <c r="B13" s="24" t="inlineStr">
        <is>
          <t>bat_task_log</t>
        </is>
      </c>
      <c r="C13" s="24" t="inlineStr">
        <is>
          <t>INPUTUSERID</t>
        </is>
      </c>
      <c r="D13" s="24" t="inlineStr">
        <is>
          <t>varchar(32)</t>
        </is>
      </c>
      <c r="E13" s="24" t="inlineStr">
        <is>
          <t>YES</t>
        </is>
      </c>
      <c r="F13" s="24" t="inlineStr">
        <is>
          <t>登记人</t>
        </is>
      </c>
      <c r="G13" s="24" t="n"/>
      <c r="H13" s="24" t="n"/>
      <c r="I13" s="24" t="inlineStr"/>
      <c r="J13" s="24" t="inlineStr">
        <is>
          <t>2023/01/12</t>
        </is>
      </c>
    </row>
    <row r="14">
      <c r="B14" s="24" t="inlineStr">
        <is>
          <t>bat_task_log</t>
        </is>
      </c>
      <c r="C14" s="24" t="inlineStr">
        <is>
          <t>INPUTDATE</t>
        </is>
      </c>
      <c r="D14" s="24" t="inlineStr">
        <is>
          <t>datetime</t>
        </is>
      </c>
      <c r="E14" s="24" t="inlineStr">
        <is>
          <t>YES</t>
        </is>
      </c>
      <c r="F14" s="24" t="inlineStr">
        <is>
          <t>登记日期</t>
        </is>
      </c>
      <c r="G14" s="24" t="n"/>
      <c r="H14" s="24" t="n"/>
      <c r="I14" s="24" t="inlineStr"/>
      <c r="J14" s="24" t="inlineStr">
        <is>
          <t>2023/01/12</t>
        </is>
      </c>
    </row>
    <row r="15">
      <c r="B15" s="24" t="inlineStr">
        <is>
          <t>bat_task_log</t>
        </is>
      </c>
      <c r="C15" s="24" t="inlineStr">
        <is>
          <t>UPDATEORGID</t>
        </is>
      </c>
      <c r="D15" s="24" t="inlineStr">
        <is>
          <t>varchar(32)</t>
        </is>
      </c>
      <c r="E15" s="24" t="inlineStr">
        <is>
          <t>YES</t>
        </is>
      </c>
      <c r="F15" s="24" t="inlineStr">
        <is>
          <t>更新机构</t>
        </is>
      </c>
      <c r="G15" s="24" t="n"/>
      <c r="H15" s="24" t="n"/>
      <c r="I15" s="24" t="inlineStr"/>
      <c r="J15" s="24" t="inlineStr">
        <is>
          <t>2023/01/12</t>
        </is>
      </c>
    </row>
    <row r="16">
      <c r="B16" s="24" t="inlineStr">
        <is>
          <t>bat_task_log</t>
        </is>
      </c>
      <c r="C16" s="24" t="inlineStr">
        <is>
          <t>UPDATEUSERID</t>
        </is>
      </c>
      <c r="D16" s="24" t="inlineStr">
        <is>
          <t>varchar(32)</t>
        </is>
      </c>
      <c r="E16" s="24" t="inlineStr">
        <is>
          <t>YES</t>
        </is>
      </c>
      <c r="F16" s="24" t="inlineStr">
        <is>
          <t>更新人</t>
        </is>
      </c>
      <c r="G16" s="24" t="n"/>
      <c r="H16" s="24" t="n"/>
      <c r="I16" s="24" t="inlineStr"/>
      <c r="J16" s="24" t="inlineStr">
        <is>
          <t>2023/01/12</t>
        </is>
      </c>
    </row>
    <row r="17">
      <c r="B17" s="24" t="inlineStr">
        <is>
          <t>bat_task_log</t>
        </is>
      </c>
      <c r="C17" s="24" t="inlineStr">
        <is>
          <t>UPDATEDATE</t>
        </is>
      </c>
      <c r="D17" s="24" t="inlineStr">
        <is>
          <t>datetime</t>
        </is>
      </c>
      <c r="E17" s="24" t="inlineStr">
        <is>
          <t>YES</t>
        </is>
      </c>
      <c r="F17" s="24" t="inlineStr">
        <is>
          <t>更新日期</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60.xml><?xml version="1.0" encoding="utf-8"?>
<worksheet xmlns="http://schemas.openxmlformats.org/spreadsheetml/2006/main">
  <sheetPr>
    <outlinePr summaryBelow="1" summaryRight="1"/>
    <pageSetUpPr/>
  </sheetPr>
  <dimension ref="A1:J28"/>
  <sheetViews>
    <sheetView zoomScaleSheetLayoutView="60" workbookViewId="0">
      <selection activeCell="D33" sqref="D3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批量上传</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bat_upload</t>
        </is>
      </c>
      <c r="C3" s="24" t="inlineStr">
        <is>
          <t>SERIALNO</t>
        </is>
      </c>
      <c r="D3" s="24" t="inlineStr">
        <is>
          <t>varchar(32)</t>
        </is>
      </c>
      <c r="E3" s="24" t="inlineStr">
        <is>
          <t>NO</t>
        </is>
      </c>
      <c r="F3" s="24" t="inlineStr">
        <is>
          <t>批次编号</t>
        </is>
      </c>
      <c r="G3" s="24" t="n"/>
      <c r="H3" s="24" t="n"/>
      <c r="I3" s="24" t="inlineStr"/>
      <c r="J3" s="24" t="inlineStr">
        <is>
          <t>2023/01/12</t>
        </is>
      </c>
    </row>
    <row r="4">
      <c r="B4" s="24" t="inlineStr">
        <is>
          <t>bat_upload</t>
        </is>
      </c>
      <c r="C4" s="24" t="inlineStr">
        <is>
          <t>TRANSDATE</t>
        </is>
      </c>
      <c r="D4" s="24" t="inlineStr">
        <is>
          <t>varchar(18)</t>
        </is>
      </c>
      <c r="E4" s="24" t="inlineStr">
        <is>
          <t>YES</t>
        </is>
      </c>
      <c r="F4" s="24" t="inlineStr">
        <is>
          <t>交易日期</t>
        </is>
      </c>
      <c r="G4" s="24" t="n"/>
      <c r="H4" s="24" t="n"/>
      <c r="I4" s="24" t="inlineStr"/>
      <c r="J4" s="24" t="inlineStr">
        <is>
          <t>2023/01/12</t>
        </is>
      </c>
    </row>
    <row r="5">
      <c r="B5" s="24" t="inlineStr">
        <is>
          <t>bat_upload</t>
        </is>
      </c>
      <c r="C5" s="24" t="inlineStr">
        <is>
          <t>RCNT</t>
        </is>
      </c>
      <c r="D5" s="24" t="inlineStr">
        <is>
          <t>int</t>
        </is>
      </c>
      <c r="E5" s="24" t="inlineStr">
        <is>
          <t>YES</t>
        </is>
      </c>
      <c r="F5" s="24" t="inlineStr">
        <is>
          <t>总记录</t>
        </is>
      </c>
      <c r="G5" s="24" t="n"/>
      <c r="H5" s="24" t="n"/>
      <c r="I5" s="24" t="inlineStr"/>
      <c r="J5" s="24" t="inlineStr">
        <is>
          <t>2023/01/12</t>
        </is>
      </c>
    </row>
    <row r="6">
      <c r="B6" s="24" t="inlineStr">
        <is>
          <t>bat_upload</t>
        </is>
      </c>
      <c r="C6" s="24" t="inlineStr">
        <is>
          <t>RAMT</t>
        </is>
      </c>
      <c r="D6" s="24" t="inlineStr">
        <is>
          <t>decimal(24,6)</t>
        </is>
      </c>
      <c r="E6" s="24" t="inlineStr">
        <is>
          <t>YES</t>
        </is>
      </c>
      <c r="F6" s="24" t="inlineStr">
        <is>
          <t>总金额</t>
        </is>
      </c>
      <c r="G6" s="24" t="n"/>
      <c r="H6" s="24" t="n"/>
      <c r="I6" s="24" t="inlineStr"/>
      <c r="J6" s="24" t="inlineStr">
        <is>
          <t>2023/01/12</t>
        </is>
      </c>
    </row>
    <row r="7">
      <c r="B7" s="24" t="inlineStr">
        <is>
          <t>bat_upload</t>
        </is>
      </c>
      <c r="C7" s="24" t="inlineStr">
        <is>
          <t>NRCNT</t>
        </is>
      </c>
      <c r="D7" s="24" t="inlineStr">
        <is>
          <t>int</t>
        </is>
      </c>
      <c r="E7" s="24" t="inlineStr">
        <is>
          <t>YES</t>
        </is>
      </c>
      <c r="F7" s="24" t="inlineStr">
        <is>
          <t>正常记录</t>
        </is>
      </c>
      <c r="G7" s="24" t="n"/>
      <c r="H7" s="24" t="n"/>
      <c r="I7" s="24" t="inlineStr"/>
      <c r="J7" s="24" t="inlineStr">
        <is>
          <t>2023/01/12</t>
        </is>
      </c>
    </row>
    <row r="8">
      <c r="B8" s="24" t="inlineStr">
        <is>
          <t>bat_upload</t>
        </is>
      </c>
      <c r="C8" s="24" t="inlineStr">
        <is>
          <t>NRAMT</t>
        </is>
      </c>
      <c r="D8" s="24" t="inlineStr">
        <is>
          <t>decimal(24,6)</t>
        </is>
      </c>
      <c r="E8" s="24" t="inlineStr">
        <is>
          <t>YES</t>
        </is>
      </c>
      <c r="F8" s="24" t="inlineStr">
        <is>
          <t>正常金额;用于支付的金额）</t>
        </is>
      </c>
      <c r="G8" s="24" t="n"/>
      <c r="H8" s="24" t="n"/>
      <c r="I8" s="24" t="inlineStr"/>
      <c r="J8" s="24" t="inlineStr">
        <is>
          <t>2023/01/12</t>
        </is>
      </c>
    </row>
    <row r="9">
      <c r="B9" s="24" t="inlineStr">
        <is>
          <t>bat_upload</t>
        </is>
      </c>
      <c r="C9" s="24" t="inlineStr">
        <is>
          <t>ABNRCNT1</t>
        </is>
      </c>
      <c r="D9" s="24" t="inlineStr">
        <is>
          <t>int</t>
        </is>
      </c>
      <c r="E9" s="24" t="inlineStr">
        <is>
          <t>YES</t>
        </is>
      </c>
      <c r="F9" s="24" t="inlineStr">
        <is>
          <t>异常记录;信息不匹配</t>
        </is>
      </c>
      <c r="G9" s="24" t="n"/>
      <c r="H9" s="24" t="n"/>
      <c r="I9" s="24" t="inlineStr"/>
      <c r="J9" s="24" t="inlineStr">
        <is>
          <t>2023/01/12</t>
        </is>
      </c>
    </row>
    <row r="10">
      <c r="B10" s="24" t="inlineStr">
        <is>
          <t>bat_upload</t>
        </is>
      </c>
      <c r="C10" s="24" t="inlineStr">
        <is>
          <t>ABNRAMT1</t>
        </is>
      </c>
      <c r="D10" s="24" t="inlineStr">
        <is>
          <t>decimal(24,6)</t>
        </is>
      </c>
      <c r="E10" s="24" t="inlineStr">
        <is>
          <t>YES</t>
        </is>
      </c>
      <c r="F10" s="24" t="inlineStr">
        <is>
          <t>异常金额;信息不匹配</t>
        </is>
      </c>
      <c r="G10" s="24" t="n"/>
      <c r="H10" s="24" t="n"/>
      <c r="I10" s="24" t="inlineStr"/>
      <c r="J10" s="24" t="inlineStr">
        <is>
          <t>2023/01/12</t>
        </is>
      </c>
    </row>
    <row r="11">
      <c r="B11" s="24" t="inlineStr">
        <is>
          <t>bat_upload</t>
        </is>
      </c>
      <c r="C11" s="24" t="inlineStr">
        <is>
          <t>ABNRCNT2</t>
        </is>
      </c>
      <c r="D11" s="24" t="inlineStr">
        <is>
          <t>int</t>
        </is>
      </c>
      <c r="E11" s="24" t="inlineStr">
        <is>
          <t>YES</t>
        </is>
      </c>
      <c r="F11" s="24" t="inlineStr">
        <is>
          <t>异常记录;运营商缺失</t>
        </is>
      </c>
      <c r="G11" s="24" t="n"/>
      <c r="H11" s="24" t="n"/>
      <c r="I11" s="24" t="inlineStr"/>
      <c r="J11" s="24" t="inlineStr">
        <is>
          <t>2023/01/12</t>
        </is>
      </c>
    </row>
    <row r="12">
      <c r="B12" s="24" t="inlineStr">
        <is>
          <t>bat_upload</t>
        </is>
      </c>
      <c r="C12" s="24" t="inlineStr">
        <is>
          <t>ABNRAMT2</t>
        </is>
      </c>
      <c r="D12" s="24" t="inlineStr">
        <is>
          <t>decimal(24,6)</t>
        </is>
      </c>
      <c r="E12" s="24" t="inlineStr">
        <is>
          <t>YES</t>
        </is>
      </c>
      <c r="F12" s="24" t="inlineStr">
        <is>
          <t>异常金额;运营商缺失</t>
        </is>
      </c>
      <c r="G12" s="24" t="n"/>
      <c r="H12" s="24" t="n"/>
      <c r="I12" s="24" t="inlineStr"/>
      <c r="J12" s="24" t="inlineStr">
        <is>
          <t>2023/01/12</t>
        </is>
      </c>
    </row>
    <row r="13">
      <c r="B13" s="24" t="inlineStr">
        <is>
          <t>bat_upload</t>
        </is>
      </c>
      <c r="C13" s="24" t="inlineStr">
        <is>
          <t>ABNRCNT3</t>
        </is>
      </c>
      <c r="D13" s="24" t="inlineStr">
        <is>
          <t>int</t>
        </is>
      </c>
      <c r="E13" s="24" t="inlineStr">
        <is>
          <t>YES</t>
        </is>
      </c>
      <c r="F13" s="24" t="inlineStr">
        <is>
          <t>异常记录;主系统缺失</t>
        </is>
      </c>
      <c r="G13" s="24" t="n"/>
      <c r="H13" s="24" t="n"/>
      <c r="I13" s="24" t="inlineStr"/>
      <c r="J13" s="24" t="inlineStr">
        <is>
          <t>2023/01/12</t>
        </is>
      </c>
    </row>
    <row r="14">
      <c r="B14" s="24" t="inlineStr">
        <is>
          <t>bat_upload</t>
        </is>
      </c>
      <c r="C14" s="24" t="inlineStr">
        <is>
          <t>ABNRAMT3</t>
        </is>
      </c>
      <c r="D14" s="24" t="inlineStr">
        <is>
          <t>decimal(24,6)</t>
        </is>
      </c>
      <c r="E14" s="24" t="inlineStr">
        <is>
          <t>YES</t>
        </is>
      </c>
      <c r="F14" s="24" t="inlineStr">
        <is>
          <t>异常金额;主系统缺失</t>
        </is>
      </c>
      <c r="G14" s="24" t="n"/>
      <c r="H14" s="24" t="n"/>
      <c r="I14" s="24" t="inlineStr"/>
      <c r="J14" s="24" t="inlineStr">
        <is>
          <t>2023/01/12</t>
        </is>
      </c>
    </row>
    <row r="15">
      <c r="B15" s="24" t="inlineStr">
        <is>
          <t>bat_upload</t>
        </is>
      </c>
      <c r="C15" s="24" t="inlineStr">
        <is>
          <t>ABNRCNT4</t>
        </is>
      </c>
      <c r="D15" s="24" t="inlineStr">
        <is>
          <t>int</t>
        </is>
      </c>
      <c r="E15" s="24" t="inlineStr">
        <is>
          <t>YES</t>
        </is>
      </c>
      <c r="F15" s="24" t="inlineStr">
        <is>
          <t>异常记录;其他</t>
        </is>
      </c>
      <c r="G15" s="24" t="n"/>
      <c r="H15" s="24" t="n"/>
      <c r="I15" s="24" t="inlineStr"/>
      <c r="J15" s="24" t="inlineStr">
        <is>
          <t>2023/01/12</t>
        </is>
      </c>
    </row>
    <row r="16">
      <c r="B16" s="24" t="inlineStr">
        <is>
          <t>bat_upload</t>
        </is>
      </c>
      <c r="C16" s="24" t="inlineStr">
        <is>
          <t>ABNRAMT4</t>
        </is>
      </c>
      <c r="D16" s="24" t="inlineStr">
        <is>
          <t>decimal(24,6)</t>
        </is>
      </c>
      <c r="E16" s="24" t="inlineStr">
        <is>
          <t>YES</t>
        </is>
      </c>
      <c r="F16" s="24" t="inlineStr">
        <is>
          <t>异常金额;其他</t>
        </is>
      </c>
      <c r="G16" s="24" t="n"/>
      <c r="H16" s="24" t="n"/>
      <c r="I16" s="24" t="inlineStr"/>
      <c r="J16" s="24" t="inlineStr">
        <is>
          <t>2023/01/12</t>
        </is>
      </c>
    </row>
    <row r="17">
      <c r="B17" s="24" t="inlineStr">
        <is>
          <t>bat_upload</t>
        </is>
      </c>
      <c r="C17" s="24" t="inlineStr">
        <is>
          <t>STATUS</t>
        </is>
      </c>
      <c r="D17" s="24" t="inlineStr">
        <is>
          <t>varchar(18)</t>
        </is>
      </c>
      <c r="E17" s="24" t="inlineStr">
        <is>
          <t>YES</t>
        </is>
      </c>
      <c r="F17" s="24" t="inlineStr">
        <is>
          <t>当前状态</t>
        </is>
      </c>
      <c r="G17" s="52">
        <f>HYPERLINK("#码值映射清单!B7618","BatUploadStatus")</f>
        <v/>
      </c>
      <c r="H17" s="24" t="n"/>
      <c r="I17" s="24" t="inlineStr"/>
      <c r="J17" s="24" t="inlineStr">
        <is>
          <t>2023/01/12</t>
        </is>
      </c>
    </row>
    <row r="18">
      <c r="B18" s="24" t="inlineStr">
        <is>
          <t>bat_upload</t>
        </is>
      </c>
      <c r="C18" s="24" t="inlineStr">
        <is>
          <t>INPUTUSERID</t>
        </is>
      </c>
      <c r="D18" s="24" t="inlineStr">
        <is>
          <t>varchar(32)</t>
        </is>
      </c>
      <c r="E18" s="24" t="inlineStr">
        <is>
          <t>YES</t>
        </is>
      </c>
      <c r="F18" s="24" t="inlineStr">
        <is>
          <t>登记人人</t>
        </is>
      </c>
      <c r="G18" s="24" t="n"/>
      <c r="H18" s="24" t="n"/>
      <c r="I18" s="24" t="inlineStr"/>
      <c r="J18" s="24" t="inlineStr">
        <is>
          <t>2023/01/12</t>
        </is>
      </c>
    </row>
    <row r="19">
      <c r="B19" s="24" t="inlineStr">
        <is>
          <t>bat_upload</t>
        </is>
      </c>
      <c r="C19" s="24" t="inlineStr">
        <is>
          <t>INPUTORGID</t>
        </is>
      </c>
      <c r="D19" s="24" t="inlineStr">
        <is>
          <t>varchar(32)</t>
        </is>
      </c>
      <c r="E19" s="24" t="inlineStr">
        <is>
          <t>YES</t>
        </is>
      </c>
      <c r="F19" s="24" t="inlineStr">
        <is>
          <t>登记机构</t>
        </is>
      </c>
      <c r="G19" s="24" t="n"/>
      <c r="H19" s="24" t="n"/>
      <c r="I19" s="24" t="inlineStr"/>
      <c r="J19" s="24" t="inlineStr">
        <is>
          <t>2023/01/12</t>
        </is>
      </c>
    </row>
    <row r="20">
      <c r="B20" s="24" t="inlineStr">
        <is>
          <t>bat_upload</t>
        </is>
      </c>
      <c r="C20" s="24" t="inlineStr">
        <is>
          <t>UPDATEUSERID</t>
        </is>
      </c>
      <c r="D20" s="24" t="inlineStr">
        <is>
          <t>varchar(32)</t>
        </is>
      </c>
      <c r="E20" s="24" t="inlineStr">
        <is>
          <t>YES</t>
        </is>
      </c>
      <c r="F20" s="24" t="inlineStr">
        <is>
          <t>更新人</t>
        </is>
      </c>
      <c r="G20" s="24" t="n"/>
      <c r="H20" s="24" t="n"/>
      <c r="I20" s="24" t="inlineStr"/>
      <c r="J20" s="24" t="inlineStr">
        <is>
          <t>2023/01/12</t>
        </is>
      </c>
    </row>
    <row r="21">
      <c r="B21" s="24" t="inlineStr">
        <is>
          <t>bat_upload</t>
        </is>
      </c>
      <c r="C21" s="24" t="inlineStr">
        <is>
          <t>UPDATEORGID</t>
        </is>
      </c>
      <c r="D21" s="24" t="inlineStr">
        <is>
          <t>varchar(32)</t>
        </is>
      </c>
      <c r="E21" s="24" t="inlineStr">
        <is>
          <t>YES</t>
        </is>
      </c>
      <c r="F21" s="24" t="inlineStr">
        <is>
          <t>更新机构</t>
        </is>
      </c>
      <c r="G21" s="24" t="n"/>
      <c r="H21" s="24" t="n"/>
      <c r="I21" s="24" t="inlineStr"/>
      <c r="J21" s="24" t="inlineStr">
        <is>
          <t>2023/01/12</t>
        </is>
      </c>
    </row>
    <row r="22">
      <c r="B22" s="24" t="inlineStr">
        <is>
          <t>bat_upload</t>
        </is>
      </c>
      <c r="C22" s="24" t="inlineStr">
        <is>
          <t>BATCHTYPE</t>
        </is>
      </c>
      <c r="D22" s="24" t="inlineStr">
        <is>
          <t>varchar(18)</t>
        </is>
      </c>
      <c r="E22" s="24" t="inlineStr">
        <is>
          <t>YES</t>
        </is>
      </c>
      <c r="F22" s="24" t="inlineStr">
        <is>
          <t>导入类型</t>
        </is>
      </c>
      <c r="G22" s="52">
        <f>HYPERLINK("#码值映射清单!B462","BatchType")</f>
        <v/>
      </c>
      <c r="H22" s="24" t="n"/>
      <c r="I22" s="24" t="inlineStr"/>
      <c r="J22" s="24" t="inlineStr">
        <is>
          <t>2023/01/12</t>
        </is>
      </c>
    </row>
    <row r="23">
      <c r="B23" s="24" t="inlineStr">
        <is>
          <t>bat_upload</t>
        </is>
      </c>
      <c r="C23" s="24" t="inlineStr">
        <is>
          <t>ERRORCODE</t>
        </is>
      </c>
      <c r="D23" s="24" t="inlineStr">
        <is>
          <t>varchar(500)</t>
        </is>
      </c>
      <c r="E23" s="24" t="inlineStr">
        <is>
          <t>YES</t>
        </is>
      </c>
      <c r="F23" s="24" t="inlineStr">
        <is>
          <t>错误代码</t>
        </is>
      </c>
      <c r="G23" s="24" t="n"/>
      <c r="H23" s="24" t="n"/>
      <c r="I23" s="24" t="inlineStr"/>
      <c r="J23" s="24" t="inlineStr">
        <is>
          <t>2023/01/12</t>
        </is>
      </c>
    </row>
    <row r="24">
      <c r="B24" s="24" t="inlineStr">
        <is>
          <t>bat_upload</t>
        </is>
      </c>
      <c r="C24" s="24" t="inlineStr">
        <is>
          <t>FILEPATH</t>
        </is>
      </c>
      <c r="D24" s="24" t="inlineStr">
        <is>
          <t>varchar(200)</t>
        </is>
      </c>
      <c r="E24" s="24" t="inlineStr">
        <is>
          <t>YES</t>
        </is>
      </c>
      <c r="F24" s="24" t="inlineStr">
        <is>
          <t>文件路径</t>
        </is>
      </c>
      <c r="G24" s="24" t="n"/>
      <c r="H24" s="24" t="n"/>
      <c r="I24" s="24" t="inlineStr"/>
      <c r="J24" s="24" t="inlineStr">
        <is>
          <t>2023/01/12</t>
        </is>
      </c>
    </row>
    <row r="25">
      <c r="B25" s="24" t="inlineStr">
        <is>
          <t>bat_upload</t>
        </is>
      </c>
      <c r="C25" s="24" t="inlineStr">
        <is>
          <t>FILENAME</t>
        </is>
      </c>
      <c r="D25" s="24" t="inlineStr">
        <is>
          <t>varchar(200)</t>
        </is>
      </c>
      <c r="E25" s="24" t="inlineStr">
        <is>
          <t>YES</t>
        </is>
      </c>
      <c r="F25" s="24" t="inlineStr">
        <is>
          <t>文件名</t>
        </is>
      </c>
      <c r="G25" s="24" t="n"/>
      <c r="H25" s="24" t="n"/>
      <c r="I25" s="24" t="inlineStr"/>
      <c r="J25" s="24" t="inlineStr">
        <is>
          <t>2023/01/12</t>
        </is>
      </c>
    </row>
    <row r="26">
      <c r="B26" s="24" t="inlineStr">
        <is>
          <t>bat_upload</t>
        </is>
      </c>
      <c r="C26" s="24" t="inlineStr">
        <is>
          <t>REMARK</t>
        </is>
      </c>
      <c r="D26" s="24" t="inlineStr">
        <is>
          <t>varchar(500)</t>
        </is>
      </c>
      <c r="E26" s="24" t="inlineStr">
        <is>
          <t>YES</t>
        </is>
      </c>
      <c r="F26" s="24" t="inlineStr">
        <is>
          <t>备注</t>
        </is>
      </c>
      <c r="G26" s="24" t="n"/>
      <c r="H26" s="24" t="n"/>
      <c r="I26" s="24" t="inlineStr"/>
      <c r="J26" s="24" t="inlineStr">
        <is>
          <t>2023/01/12</t>
        </is>
      </c>
    </row>
    <row r="27">
      <c r="B27" s="24" t="inlineStr">
        <is>
          <t>bat_upload</t>
        </is>
      </c>
      <c r="C27" s="24" t="inlineStr">
        <is>
          <t>INPUTDATE</t>
        </is>
      </c>
      <c r="D27" s="24" t="inlineStr">
        <is>
          <t>datetime</t>
        </is>
      </c>
      <c r="E27" s="24" t="inlineStr">
        <is>
          <t>YES</t>
        </is>
      </c>
      <c r="F27" s="24" t="inlineStr">
        <is>
          <t>登记日期</t>
        </is>
      </c>
      <c r="G27" s="24" t="n"/>
      <c r="H27" s="24" t="n"/>
      <c r="I27" s="24" t="inlineStr"/>
      <c r="J27" s="24" t="inlineStr">
        <is>
          <t>2023/01/12</t>
        </is>
      </c>
    </row>
    <row r="28">
      <c r="B28" s="24" t="inlineStr">
        <is>
          <t>bat_upload</t>
        </is>
      </c>
      <c r="C28" s="24" t="inlineStr">
        <is>
          <t>UPDATEDATE</t>
        </is>
      </c>
      <c r="D28" s="24" t="inlineStr">
        <is>
          <t>datetime</t>
        </is>
      </c>
      <c r="E28" s="24" t="inlineStr">
        <is>
          <t>YES</t>
        </is>
      </c>
      <c r="F28" s="24" t="inlineStr">
        <is>
          <t>更新日期</t>
        </is>
      </c>
      <c r="G28" s="24" t="n"/>
      <c r="H28" s="24" t="n"/>
      <c r="I28" s="24" t="inlineStr"/>
      <c r="J28" s="24" t="inlineStr">
        <is>
          <t>2023/01/12</t>
        </is>
      </c>
    </row>
  </sheetData>
  <pageMargins left="0.75" right="0.75" top="1" bottom="1" header="0.5" footer="0.5"/>
  <pageSetup orientation="portrait" paperSize="1" horizontalDpi="300" verticalDpi="300"/>
</worksheet>
</file>

<file path=xl/worksheets/sheet61.xml><?xml version="1.0" encoding="utf-8"?>
<worksheet xmlns="http://schemas.openxmlformats.org/spreadsheetml/2006/main">
  <sheetPr>
    <outlinePr summaryBelow="1" summaryRight="1"/>
    <pageSetUpPr/>
  </sheetPr>
  <dimension ref="A1:J52"/>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t="n"/>
      <c r="B1" t="inlineStr">
        <is>
          <t>票据信息表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bill_info</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bill_info</t>
        </is>
      </c>
      <c r="C4" s="24" t="inlineStr">
        <is>
          <t>BILLNO</t>
        </is>
      </c>
      <c r="D4" s="24" t="inlineStr">
        <is>
          <t>varchar(32)</t>
        </is>
      </c>
      <c r="E4" s="24" t="inlineStr">
        <is>
          <t>YES</t>
        </is>
      </c>
      <c r="F4" s="24" t="inlineStr">
        <is>
          <t>票据编号</t>
        </is>
      </c>
      <c r="G4" s="24" t="n"/>
      <c r="H4" s="24" t="n"/>
      <c r="I4" s="24" t="inlineStr"/>
      <c r="J4" s="24" t="inlineStr">
        <is>
          <t>2023/01/12</t>
        </is>
      </c>
    </row>
    <row r="5">
      <c r="B5" s="24" t="inlineStr">
        <is>
          <t>bill_info</t>
        </is>
      </c>
      <c r="C5" s="24" t="inlineStr">
        <is>
          <t>OBJECTNO</t>
        </is>
      </c>
      <c r="D5" s="24" t="inlineStr">
        <is>
          <t>varchar(32)</t>
        </is>
      </c>
      <c r="E5" s="24" t="inlineStr">
        <is>
          <t>YES</t>
        </is>
      </c>
      <c r="F5" s="24" t="inlineStr">
        <is>
          <t>对象编号</t>
        </is>
      </c>
      <c r="G5" s="24" t="n"/>
      <c r="H5" s="24" t="n"/>
      <c r="I5" s="24" t="inlineStr"/>
      <c r="J5" s="24" t="inlineStr">
        <is>
          <t>2023/01/12</t>
        </is>
      </c>
    </row>
    <row r="6">
      <c r="B6" s="24" t="inlineStr">
        <is>
          <t>bill_info</t>
        </is>
      </c>
      <c r="C6" s="24" t="inlineStr">
        <is>
          <t>OBJECTTYPE</t>
        </is>
      </c>
      <c r="D6" s="24" t="inlineStr">
        <is>
          <t>varchar(32)</t>
        </is>
      </c>
      <c r="E6" s="24" t="inlineStr">
        <is>
          <t>YES</t>
        </is>
      </c>
      <c r="F6" s="24" t="inlineStr">
        <is>
          <t>对象类型</t>
        </is>
      </c>
      <c r="G6" s="24" t="n"/>
      <c r="H6" s="24" t="n"/>
      <c r="I6" s="24" t="inlineStr"/>
      <c r="J6" s="24" t="inlineStr">
        <is>
          <t>2023/01/12</t>
        </is>
      </c>
    </row>
    <row r="7">
      <c r="B7" s="24" t="inlineStr">
        <is>
          <t>bill_info</t>
        </is>
      </c>
      <c r="C7" s="24" t="inlineStr">
        <is>
          <t>BILLFORM</t>
        </is>
      </c>
      <c r="D7" s="24" t="inlineStr">
        <is>
          <t>varchar(18)</t>
        </is>
      </c>
      <c r="E7" s="24" t="inlineStr">
        <is>
          <t>YES</t>
        </is>
      </c>
      <c r="F7" s="24" t="inlineStr">
        <is>
          <t>票据形式;电票/纸票)</t>
        </is>
      </c>
      <c r="G7" s="52">
        <f>HYPERLINK("#码值映射清单!B6600","BillForm")</f>
        <v/>
      </c>
      <c r="H7" s="24" t="n"/>
      <c r="I7" s="24" t="inlineStr"/>
      <c r="J7" s="24" t="inlineStr">
        <is>
          <t>2023/01/12</t>
        </is>
      </c>
    </row>
    <row r="8">
      <c r="B8" s="24" t="inlineStr">
        <is>
          <t>bill_info</t>
        </is>
      </c>
      <c r="C8" s="24" t="inlineStr">
        <is>
          <t>BILLRESOURCE</t>
        </is>
      </c>
      <c r="D8" s="24" t="inlineStr">
        <is>
          <t>varchar(18)</t>
        </is>
      </c>
      <c r="E8" s="24" t="inlineStr">
        <is>
          <t>YES</t>
        </is>
      </c>
      <c r="F8" s="24" t="inlineStr">
        <is>
          <t>票据来源;0 同城;1 异地;)</t>
        </is>
      </c>
      <c r="G8" s="24" t="n"/>
      <c r="H8" s="24" t="n"/>
      <c r="I8" s="24" t="inlineStr"/>
      <c r="J8" s="24" t="inlineStr">
        <is>
          <t>2023/01/12</t>
        </is>
      </c>
    </row>
    <row r="9">
      <c r="B9" s="24" t="inlineStr">
        <is>
          <t>bill_info</t>
        </is>
      </c>
      <c r="C9" s="24" t="inlineStr">
        <is>
          <t>CURRENCY</t>
        </is>
      </c>
      <c r="D9" s="24" t="inlineStr">
        <is>
          <t>varchar(18)</t>
        </is>
      </c>
      <c r="E9" s="24" t="inlineStr">
        <is>
          <t>YES</t>
        </is>
      </c>
      <c r="F9" s="24" t="inlineStr">
        <is>
          <t>币种</t>
        </is>
      </c>
      <c r="G9" s="52">
        <f>HYPERLINK("#码值映射清单!B2469","Currency")</f>
        <v/>
      </c>
      <c r="H9" s="24" t="n"/>
      <c r="I9" s="24" t="inlineStr"/>
      <c r="J9" s="24" t="inlineStr">
        <is>
          <t>2023/01/12</t>
        </is>
      </c>
    </row>
    <row r="10">
      <c r="B10" s="24" t="inlineStr">
        <is>
          <t>bill_info</t>
        </is>
      </c>
      <c r="C10" s="24" t="inlineStr">
        <is>
          <t>PARVALUE</t>
        </is>
      </c>
      <c r="D10" s="24" t="inlineStr">
        <is>
          <t>decimal(24,6)</t>
        </is>
      </c>
      <c r="E10" s="24" t="inlineStr">
        <is>
          <t>YES</t>
        </is>
      </c>
      <c r="F10" s="24" t="inlineStr">
        <is>
          <t>票面金额</t>
        </is>
      </c>
      <c r="G10" s="24" t="n"/>
      <c r="H10" s="24" t="n"/>
      <c r="I10" s="24" t="inlineStr"/>
      <c r="J10" s="24" t="inlineStr">
        <is>
          <t>2023/01/12</t>
        </is>
      </c>
    </row>
    <row r="11">
      <c r="B11" s="24" t="inlineStr">
        <is>
          <t>bill_info</t>
        </is>
      </c>
      <c r="C11" s="24" t="inlineStr">
        <is>
          <t>INTERESTSUM</t>
        </is>
      </c>
      <c r="D11" s="24" t="inlineStr">
        <is>
          <t>decimal(24,6)</t>
        </is>
      </c>
      <c r="E11" s="24" t="inlineStr">
        <is>
          <t>YES</t>
        </is>
      </c>
      <c r="F11" s="24" t="inlineStr">
        <is>
          <t>利息金额</t>
        </is>
      </c>
      <c r="G11" s="24" t="n"/>
      <c r="H11" s="24" t="n"/>
      <c r="I11" s="24" t="inlineStr"/>
      <c r="J11" s="24" t="inlineStr">
        <is>
          <t>2023/01/12</t>
        </is>
      </c>
    </row>
    <row r="12">
      <c r="B12" s="24" t="inlineStr">
        <is>
          <t>bill_info</t>
        </is>
      </c>
      <c r="C12" s="24" t="inlineStr">
        <is>
          <t>ISREALDEALCONDITION</t>
        </is>
      </c>
      <c r="D12" s="24" t="inlineStr">
        <is>
          <t>varchar(6)</t>
        </is>
      </c>
      <c r="E12" s="24" t="inlineStr">
        <is>
          <t>YES</t>
        </is>
      </c>
      <c r="F12" s="24" t="inlineStr">
        <is>
          <t>是否具有真实的交易背景</t>
        </is>
      </c>
      <c r="G12" s="24" t="n"/>
      <c r="H12" s="24" t="n"/>
      <c r="I12" s="24" t="inlineStr"/>
      <c r="J12" s="24" t="inlineStr">
        <is>
          <t>2023/01/12</t>
        </is>
      </c>
    </row>
    <row r="13">
      <c r="B13" s="24" t="inlineStr">
        <is>
          <t>bill_info</t>
        </is>
      </c>
      <c r="C13" s="24" t="inlineStr">
        <is>
          <t>ISHONORBYSELF</t>
        </is>
      </c>
      <c r="D13" s="24" t="inlineStr">
        <is>
          <t>varchar(6)</t>
        </is>
      </c>
      <c r="E13" s="24" t="inlineStr">
        <is>
          <t>YES</t>
        </is>
      </c>
      <c r="F13" s="24" t="inlineStr">
        <is>
          <t>是否我行承兑</t>
        </is>
      </c>
      <c r="G13" s="24" t="n"/>
      <c r="H13" s="24" t="n"/>
      <c r="I13" s="24" t="inlineStr"/>
      <c r="J13" s="24" t="inlineStr">
        <is>
          <t>2023/01/12</t>
        </is>
      </c>
    </row>
    <row r="14">
      <c r="B14" s="24" t="inlineStr">
        <is>
          <t>bill_info</t>
        </is>
      </c>
      <c r="C14" s="24" t="inlineStr">
        <is>
          <t>HONORCODE</t>
        </is>
      </c>
      <c r="D14" s="24" t="inlineStr">
        <is>
          <t>varchar(32)</t>
        </is>
      </c>
      <c r="E14" s="24" t="inlineStr">
        <is>
          <t>YES</t>
        </is>
      </c>
      <c r="F14" s="24" t="inlineStr">
        <is>
          <t>承兑人编号</t>
        </is>
      </c>
      <c r="G14" s="24" t="n"/>
      <c r="H14" s="24" t="n"/>
      <c r="I14" s="24" t="inlineStr"/>
      <c r="J14" s="24" t="inlineStr">
        <is>
          <t>2023/01/12</t>
        </is>
      </c>
    </row>
    <row r="15">
      <c r="B15" s="24" t="inlineStr">
        <is>
          <t>bill_info</t>
        </is>
      </c>
      <c r="C15" s="24" t="inlineStr">
        <is>
          <t>HONORNAME</t>
        </is>
      </c>
      <c r="D15" s="24" t="inlineStr">
        <is>
          <t>varchar(80)</t>
        </is>
      </c>
      <c r="E15" s="24" t="inlineStr">
        <is>
          <t>YES</t>
        </is>
      </c>
      <c r="F15" s="24" t="inlineStr">
        <is>
          <t>承兑人名称</t>
        </is>
      </c>
      <c r="G15" s="24" t="n"/>
      <c r="H15" s="24" t="n"/>
      <c r="I15" s="24" t="inlineStr"/>
      <c r="J15" s="24" t="inlineStr">
        <is>
          <t>2023/01/12</t>
        </is>
      </c>
    </row>
    <row r="16">
      <c r="B16" s="24" t="inlineStr">
        <is>
          <t>bill_info</t>
        </is>
      </c>
      <c r="C16" s="24" t="inlineStr">
        <is>
          <t>HONORBANKNO</t>
        </is>
      </c>
      <c r="D16" s="24" t="inlineStr">
        <is>
          <t>varchar(32)</t>
        </is>
      </c>
      <c r="E16" s="24" t="inlineStr">
        <is>
          <t>YES</t>
        </is>
      </c>
      <c r="F16" s="24" t="inlineStr">
        <is>
          <t>承兑行编号/承兑人开户行行号</t>
        </is>
      </c>
      <c r="G16" s="24" t="n"/>
      <c r="H16" s="24" t="n"/>
      <c r="I16" s="24" t="inlineStr"/>
      <c r="J16" s="24" t="inlineStr">
        <is>
          <t>2023/01/12</t>
        </is>
      </c>
    </row>
    <row r="17">
      <c r="B17" s="24" t="inlineStr">
        <is>
          <t>bill_info</t>
        </is>
      </c>
      <c r="C17" s="24" t="inlineStr">
        <is>
          <t>HONORBANKNAME</t>
        </is>
      </c>
      <c r="D17" s="24" t="inlineStr">
        <is>
          <t>varchar(80)</t>
        </is>
      </c>
      <c r="E17" s="24" t="inlineStr">
        <is>
          <t>YES</t>
        </is>
      </c>
      <c r="F17" s="24" t="inlineStr">
        <is>
          <t>承兑行名称/承兑人开户行名称</t>
        </is>
      </c>
      <c r="G17" s="24" t="n"/>
      <c r="H17" s="24" t="n"/>
      <c r="I17" s="24" t="inlineStr"/>
      <c r="J17" s="24" t="inlineStr">
        <is>
          <t>2023/01/12</t>
        </is>
      </c>
    </row>
    <row r="18">
      <c r="B18" s="24" t="inlineStr">
        <is>
          <t>bill_info</t>
        </is>
      </c>
      <c r="C18" s="24" t="inlineStr">
        <is>
          <t>SPECIFICHONORBANK</t>
        </is>
      </c>
      <c r="D18" s="24" t="inlineStr">
        <is>
          <t>varchar(80)</t>
        </is>
      </c>
      <c r="E18" s="24" t="inlineStr">
        <is>
          <t>YES</t>
        </is>
      </c>
      <c r="F18" s="24" t="inlineStr">
        <is>
          <t>承兑行具体分支行</t>
        </is>
      </c>
      <c r="G18" s="24" t="n"/>
      <c r="H18" s="24" t="n"/>
      <c r="I18" s="24" t="inlineStr"/>
      <c r="J18" s="24" t="inlineStr">
        <is>
          <t>2023/01/12</t>
        </is>
      </c>
    </row>
    <row r="19">
      <c r="B19" s="24" t="inlineStr">
        <is>
          <t>bill_info</t>
        </is>
      </c>
      <c r="C19" s="24" t="inlineStr">
        <is>
          <t>HONORBANKISACCEPTED</t>
        </is>
      </c>
      <c r="D19" s="24" t="inlineStr">
        <is>
          <t>varchar(6)</t>
        </is>
      </c>
      <c r="E19" s="24" t="inlineStr">
        <is>
          <t>YES</t>
        </is>
      </c>
      <c r="F19" s="24" t="inlineStr">
        <is>
          <t>承兑行是否我行认可</t>
        </is>
      </c>
      <c r="G19" s="24" t="n"/>
      <c r="H19" s="24" t="n"/>
      <c r="I19" s="24" t="inlineStr"/>
      <c r="J19" s="24" t="inlineStr">
        <is>
          <t>2023/01/12</t>
        </is>
      </c>
    </row>
    <row r="20">
      <c r="B20" s="24" t="inlineStr">
        <is>
          <t>bill_info</t>
        </is>
      </c>
      <c r="C20" s="24" t="inlineStr">
        <is>
          <t>HONORBANKISAUTHORIZED</t>
        </is>
      </c>
      <c r="D20" s="24" t="inlineStr">
        <is>
          <t>varchar(6)</t>
        </is>
      </c>
      <c r="E20" s="24" t="inlineStr">
        <is>
          <t>YES</t>
        </is>
      </c>
      <c r="F20" s="24" t="inlineStr">
        <is>
          <t>承兑行是否在授权范围内</t>
        </is>
      </c>
      <c r="G20" s="24" t="n"/>
      <c r="H20" s="24" t="n"/>
      <c r="I20" s="24" t="inlineStr"/>
      <c r="J20" s="24" t="inlineStr">
        <is>
          <t>2023/01/12</t>
        </is>
      </c>
    </row>
    <row r="21">
      <c r="B21" s="24" t="inlineStr">
        <is>
          <t>bill_info</t>
        </is>
      </c>
      <c r="C21" s="24" t="inlineStr">
        <is>
          <t>BILLPUBLISHDATE</t>
        </is>
      </c>
      <c r="D21" s="24" t="inlineStr">
        <is>
          <t>datetime</t>
        </is>
      </c>
      <c r="E21" s="24" t="inlineStr">
        <is>
          <t>YES</t>
        </is>
      </c>
      <c r="F21" s="24" t="inlineStr">
        <is>
          <t>票据签发日期</t>
        </is>
      </c>
      <c r="G21" s="24" t="n"/>
      <c r="H21" s="24" t="n"/>
      <c r="I21" s="24" t="inlineStr"/>
      <c r="J21" s="24" t="inlineStr">
        <is>
          <t>2023/01/12</t>
        </is>
      </c>
    </row>
    <row r="22">
      <c r="B22" s="24" t="inlineStr">
        <is>
          <t>bill_info</t>
        </is>
      </c>
      <c r="C22" s="24" t="inlineStr">
        <is>
          <t>BILLMATURITY</t>
        </is>
      </c>
      <c r="D22" s="24" t="inlineStr">
        <is>
          <t>datetime</t>
        </is>
      </c>
      <c r="E22" s="24" t="inlineStr">
        <is>
          <t>YES</t>
        </is>
      </c>
      <c r="F22" s="24" t="inlineStr">
        <is>
          <t>票据到期日</t>
        </is>
      </c>
      <c r="G22" s="24" t="n"/>
      <c r="H22" s="24" t="n"/>
      <c r="I22" s="24" t="inlineStr"/>
      <c r="J22" s="24" t="inlineStr">
        <is>
          <t>2023/01/12</t>
        </is>
      </c>
    </row>
    <row r="23">
      <c r="B23" s="24" t="inlineStr">
        <is>
          <t>bill_info</t>
        </is>
      </c>
      <c r="C23" s="24" t="inlineStr">
        <is>
          <t>DISCOUNTDATE</t>
        </is>
      </c>
      <c r="D23" s="24" t="inlineStr">
        <is>
          <t>datetime</t>
        </is>
      </c>
      <c r="E23" s="24" t="inlineStr">
        <is>
          <t>YES</t>
        </is>
      </c>
      <c r="F23" s="24" t="inlineStr">
        <is>
          <t>贴现日期</t>
        </is>
      </c>
      <c r="G23" s="24" t="n"/>
      <c r="H23" s="24" t="n"/>
      <c r="I23" s="24" t="inlineStr"/>
      <c r="J23" s="24" t="inlineStr">
        <is>
          <t>2023/01/12</t>
        </is>
      </c>
    </row>
    <row r="24">
      <c r="B24" s="24" t="inlineStr">
        <is>
          <t>bill_info</t>
        </is>
      </c>
      <c r="C24" s="24" t="inlineStr">
        <is>
          <t>ADJUSTDAYS</t>
        </is>
      </c>
      <c r="D24" s="24" t="inlineStr">
        <is>
          <t>int</t>
        </is>
      </c>
      <c r="E24" s="24" t="inlineStr">
        <is>
          <t>YES</t>
        </is>
      </c>
      <c r="F24" s="24" t="inlineStr">
        <is>
          <t>调整天数</t>
        </is>
      </c>
      <c r="G24" s="24" t="n"/>
      <c r="H24" s="24" t="n"/>
      <c r="I24" s="24" t="inlineStr"/>
      <c r="J24" s="24" t="inlineStr">
        <is>
          <t>2023/01/12</t>
        </is>
      </c>
    </row>
    <row r="25">
      <c r="B25" s="24" t="inlineStr">
        <is>
          <t>bill_info</t>
        </is>
      </c>
      <c r="C25" s="24" t="inlineStr">
        <is>
          <t>DISCOUNTYEARRATE</t>
        </is>
      </c>
      <c r="D25" s="24" t="inlineStr">
        <is>
          <t>decimal(18,8)</t>
        </is>
      </c>
      <c r="E25" s="24" t="inlineStr">
        <is>
          <t>YES</t>
        </is>
      </c>
      <c r="F25" s="24" t="inlineStr">
        <is>
          <t>贴现年利率</t>
        </is>
      </c>
      <c r="G25" s="24" t="n"/>
      <c r="H25" s="24" t="n"/>
      <c r="I25" s="24" t="inlineStr"/>
      <c r="J25" s="24" t="inlineStr">
        <is>
          <t>2023/01/12</t>
        </is>
      </c>
    </row>
    <row r="26">
      <c r="B26" s="24" t="inlineStr">
        <is>
          <t>bill_info</t>
        </is>
      </c>
      <c r="C26" s="24" t="inlineStr">
        <is>
          <t>DISCOUNTRATE</t>
        </is>
      </c>
      <c r="D26" s="24" t="inlineStr">
        <is>
          <t>decimal(18,8)</t>
        </is>
      </c>
      <c r="E26" s="24" t="inlineStr">
        <is>
          <t>YES</t>
        </is>
      </c>
      <c r="F26" s="24" t="inlineStr">
        <is>
          <t>转贴现利率</t>
        </is>
      </c>
      <c r="G26" s="24" t="n"/>
      <c r="H26" s="24" t="n"/>
      <c r="I26" s="24" t="inlineStr"/>
      <c r="J26" s="24" t="inlineStr">
        <is>
          <t>2023/01/12</t>
        </is>
      </c>
    </row>
    <row r="27">
      <c r="B27" s="24" t="inlineStr">
        <is>
          <t>bill_info</t>
        </is>
      </c>
      <c r="C27" s="24" t="inlineStr">
        <is>
          <t>INTERESTPAYTYPE</t>
        </is>
      </c>
      <c r="D27" s="24" t="inlineStr">
        <is>
          <t>varchar(18)</t>
        </is>
      </c>
      <c r="E27" s="24" t="inlineStr">
        <is>
          <t>YES</t>
        </is>
      </c>
      <c r="F27" s="24" t="inlineStr">
        <is>
          <t>贴现付息方式</t>
        </is>
      </c>
      <c r="G27" s="52">
        <f>HYPERLINK("#码值映射清单!B5669","InterestPayType")</f>
        <v/>
      </c>
      <c r="H27" s="24" t="n"/>
      <c r="I27" s="24" t="inlineStr"/>
      <c r="J27" s="24" t="inlineStr">
        <is>
          <t>2023/01/12</t>
        </is>
      </c>
    </row>
    <row r="28">
      <c r="B28" s="24" t="inlineStr">
        <is>
          <t>bill_info</t>
        </is>
      </c>
      <c r="C28" s="24" t="inlineStr">
        <is>
          <t>PAYINTERESTACCOUNT</t>
        </is>
      </c>
      <c r="D28" s="24" t="inlineStr">
        <is>
          <t>varchar(32)</t>
        </is>
      </c>
      <c r="E28" s="24" t="inlineStr">
        <is>
          <t>YES</t>
        </is>
      </c>
      <c r="F28" s="24" t="inlineStr">
        <is>
          <t>买方付息帐号</t>
        </is>
      </c>
      <c r="G28" s="24" t="n"/>
      <c r="H28" s="24" t="n"/>
      <c r="I28" s="24" t="inlineStr"/>
      <c r="J28" s="24" t="inlineStr">
        <is>
          <t>2023/01/12</t>
        </is>
      </c>
    </row>
    <row r="29">
      <c r="B29" s="24" t="inlineStr">
        <is>
          <t>bill_info</t>
        </is>
      </c>
      <c r="C29" s="24" t="inlineStr">
        <is>
          <t>BILLISSUEDATE</t>
        </is>
      </c>
      <c r="D29" s="24" t="inlineStr">
        <is>
          <t>datetime</t>
        </is>
      </c>
      <c r="E29" s="24" t="inlineStr">
        <is>
          <t>YES</t>
        </is>
      </c>
      <c r="F29" s="24" t="inlineStr">
        <is>
          <t>出票日期</t>
        </is>
      </c>
      <c r="G29" s="24" t="n"/>
      <c r="H29" s="24" t="n"/>
      <c r="I29" s="24" t="inlineStr"/>
      <c r="J29" s="24" t="inlineStr">
        <is>
          <t>2023/01/12</t>
        </is>
      </c>
    </row>
    <row r="30">
      <c r="B30" s="24" t="inlineStr">
        <is>
          <t>bill_info</t>
        </is>
      </c>
      <c r="C30" s="24" t="inlineStr">
        <is>
          <t>BILLISSUERNAME</t>
        </is>
      </c>
      <c r="D30" s="24" t="inlineStr">
        <is>
          <t>varchar(80)</t>
        </is>
      </c>
      <c r="E30" s="24" t="inlineStr">
        <is>
          <t>YES</t>
        </is>
      </c>
      <c r="F30" s="24" t="inlineStr">
        <is>
          <t>出票人名称</t>
        </is>
      </c>
      <c r="G30" s="24" t="n"/>
      <c r="H30" s="24" t="n"/>
      <c r="I30" s="24" t="inlineStr"/>
      <c r="J30" s="24" t="inlineStr">
        <is>
          <t>2023/01/12</t>
        </is>
      </c>
    </row>
    <row r="31">
      <c r="B31" s="24" t="inlineStr">
        <is>
          <t>bill_info</t>
        </is>
      </c>
      <c r="C31" s="24" t="inlineStr">
        <is>
          <t>ENDORSETIMES</t>
        </is>
      </c>
      <c r="D31" s="24" t="inlineStr">
        <is>
          <t>int</t>
        </is>
      </c>
      <c r="E31" s="24" t="inlineStr">
        <is>
          <t>YES</t>
        </is>
      </c>
      <c r="F31" s="24" t="inlineStr">
        <is>
          <t>背书次数</t>
        </is>
      </c>
      <c r="G31" s="24" t="n"/>
      <c r="H31" s="24" t="n"/>
      <c r="I31" s="24" t="inlineStr"/>
      <c r="J31" s="24" t="inlineStr">
        <is>
          <t>2023/01/12</t>
        </is>
      </c>
    </row>
    <row r="32">
      <c r="B32" s="24" t="inlineStr">
        <is>
          <t>bill_info</t>
        </is>
      </c>
      <c r="C32" s="24" t="inlineStr">
        <is>
          <t>ACTUALPAYSUM</t>
        </is>
      </c>
      <c r="D32" s="24" t="inlineStr">
        <is>
          <t>decimal(24,6)</t>
        </is>
      </c>
      <c r="E32" s="24" t="inlineStr">
        <is>
          <t>YES</t>
        </is>
      </c>
      <c r="F32" s="24" t="inlineStr">
        <is>
          <t>实付金额</t>
        </is>
      </c>
      <c r="G32" s="24" t="n"/>
      <c r="H32" s="24" t="n"/>
      <c r="I32" s="24" t="inlineStr"/>
      <c r="J32" s="24" t="inlineStr">
        <is>
          <t>2023/01/12</t>
        </is>
      </c>
    </row>
    <row r="33">
      <c r="B33" s="24" t="inlineStr">
        <is>
          <t>bill_info</t>
        </is>
      </c>
      <c r="C33" s="24" t="inlineStr">
        <is>
          <t>REDISCOUNTTYPE</t>
        </is>
      </c>
      <c r="D33" s="24" t="inlineStr">
        <is>
          <t>varchar(18)</t>
        </is>
      </c>
      <c r="E33" s="24" t="inlineStr">
        <is>
          <t>YES</t>
        </is>
      </c>
      <c r="F33" s="24" t="inlineStr">
        <is>
          <t>再贴现方式</t>
        </is>
      </c>
      <c r="G33" s="24" t="n"/>
      <c r="H33" s="24" t="n"/>
      <c r="I33" s="24" t="inlineStr"/>
      <c r="J33" s="24" t="inlineStr">
        <is>
          <t>2023/01/12</t>
        </is>
      </c>
    </row>
    <row r="34">
      <c r="B34" s="24" t="inlineStr">
        <is>
          <t>bill_info</t>
        </is>
      </c>
      <c r="C34" s="24" t="inlineStr">
        <is>
          <t>PAYMENTBANK</t>
        </is>
      </c>
      <c r="D34" s="24" t="inlineStr">
        <is>
          <t>varchar(32)</t>
        </is>
      </c>
      <c r="E34" s="24" t="inlineStr">
        <is>
          <t>YES</t>
        </is>
      </c>
      <c r="F34" s="24" t="inlineStr">
        <is>
          <t>付款行</t>
        </is>
      </c>
      <c r="G34" s="24" t="n"/>
      <c r="H34" s="24" t="n"/>
      <c r="I34" s="24" t="inlineStr"/>
      <c r="J34" s="24" t="inlineStr">
        <is>
          <t>2023/01/12</t>
        </is>
      </c>
    </row>
    <row r="35">
      <c r="B35" s="24" t="inlineStr">
        <is>
          <t>bill_info</t>
        </is>
      </c>
      <c r="C35" s="24" t="inlineStr">
        <is>
          <t>PAYMENTBANKNAME</t>
        </is>
      </c>
      <c r="D35" s="24" t="inlineStr">
        <is>
          <t>varchar(80)</t>
        </is>
      </c>
      <c r="E35" s="24" t="inlineStr">
        <is>
          <t>YES</t>
        </is>
      </c>
      <c r="F35" s="24" t="inlineStr">
        <is>
          <t>付款行全称</t>
        </is>
      </c>
      <c r="G35" s="24" t="n"/>
      <c r="H35" s="24" t="n"/>
      <c r="I35" s="24" t="inlineStr"/>
      <c r="J35" s="24" t="inlineStr">
        <is>
          <t>2023/01/12</t>
        </is>
      </c>
    </row>
    <row r="36">
      <c r="B36" s="24" t="inlineStr">
        <is>
          <t>bill_info</t>
        </is>
      </c>
      <c r="C36" s="24" t="inlineStr">
        <is>
          <t>TRANSACTIONBANK</t>
        </is>
      </c>
      <c r="D36" s="24" t="inlineStr">
        <is>
          <t>varchar(80)</t>
        </is>
      </c>
      <c r="E36" s="24" t="inlineStr">
        <is>
          <t>YES</t>
        </is>
      </c>
      <c r="F36" s="24" t="inlineStr">
        <is>
          <t>交易行</t>
        </is>
      </c>
      <c r="G36" s="24" t="n"/>
      <c r="H36" s="24" t="n"/>
      <c r="I36" s="24" t="inlineStr"/>
      <c r="J36" s="24" t="inlineStr">
        <is>
          <t>2023/01/12</t>
        </is>
      </c>
    </row>
    <row r="37">
      <c r="B37" s="24" t="inlineStr">
        <is>
          <t>bill_info</t>
        </is>
      </c>
      <c r="C37" s="24" t="inlineStr">
        <is>
          <t>TRANSACTIONBANKNO</t>
        </is>
      </c>
      <c r="D37" s="24" t="inlineStr">
        <is>
          <t>varchar(32)</t>
        </is>
      </c>
      <c r="E37" s="24" t="inlineStr">
        <is>
          <t>YES</t>
        </is>
      </c>
      <c r="F37" s="24" t="inlineStr">
        <is>
          <t>交易行号</t>
        </is>
      </c>
      <c r="G37" s="24" t="n"/>
      <c r="H37" s="24" t="n"/>
      <c r="I37" s="24" t="inlineStr"/>
      <c r="J37" s="24" t="inlineStr">
        <is>
          <t>2023/01/12</t>
        </is>
      </c>
    </row>
    <row r="38">
      <c r="B38" s="24" t="inlineStr">
        <is>
          <t>bill_info</t>
        </is>
      </c>
      <c r="C38" s="24" t="inlineStr">
        <is>
          <t>BUSINESSCHARACTER</t>
        </is>
      </c>
      <c r="D38" s="24" t="inlineStr">
        <is>
          <t>varchar(18)</t>
        </is>
      </c>
      <c r="E38" s="24" t="inlineStr">
        <is>
          <t>YES</t>
        </is>
      </c>
      <c r="F38" s="24" t="inlineStr">
        <is>
          <t>业务性质;正回购/逆回购/到期返售/到期回购/买断/卖断/行内转贴现)</t>
        </is>
      </c>
      <c r="G38" s="24" t="n"/>
      <c r="H38" s="24" t="n"/>
      <c r="I38" s="24" t="inlineStr"/>
      <c r="J38" s="24" t="inlineStr">
        <is>
          <t>2023/01/12</t>
        </is>
      </c>
    </row>
    <row r="39">
      <c r="B39" s="24" t="inlineStr">
        <is>
          <t>bill_info</t>
        </is>
      </c>
      <c r="C39" s="24" t="inlineStr">
        <is>
          <t>TRANSACTIONDATE</t>
        </is>
      </c>
      <c r="D39" s="24" t="inlineStr">
        <is>
          <t>datetime</t>
        </is>
      </c>
      <c r="E39" s="24" t="inlineStr">
        <is>
          <t>YES</t>
        </is>
      </c>
      <c r="F39" s="24" t="inlineStr">
        <is>
          <t>交易日期</t>
        </is>
      </c>
      <c r="G39" s="24" t="n"/>
      <c r="H39" s="24" t="n"/>
      <c r="I39" s="24" t="inlineStr"/>
      <c r="J39" s="24" t="inlineStr">
        <is>
          <t>2023/01/12</t>
        </is>
      </c>
    </row>
    <row r="40">
      <c r="B40" s="24" t="inlineStr">
        <is>
          <t>bill_info</t>
        </is>
      </c>
      <c r="C40" s="24" t="inlineStr">
        <is>
          <t>BUYBACKMATURITY</t>
        </is>
      </c>
      <c r="D40" s="24" t="inlineStr">
        <is>
          <t>datetime</t>
        </is>
      </c>
      <c r="E40" s="24" t="inlineStr">
        <is>
          <t>YES</t>
        </is>
      </c>
      <c r="F40" s="24" t="inlineStr">
        <is>
          <t>回购到期日</t>
        </is>
      </c>
      <c r="G40" s="24" t="n"/>
      <c r="H40" s="24" t="n"/>
      <c r="I40" s="24" t="inlineStr"/>
      <c r="J40" s="24" t="inlineStr">
        <is>
          <t>2023/01/12</t>
        </is>
      </c>
    </row>
    <row r="41">
      <c r="B41" s="24" t="inlineStr">
        <is>
          <t>bill_info</t>
        </is>
      </c>
      <c r="C41" s="24" t="inlineStr">
        <is>
          <t>BUYINORG</t>
        </is>
      </c>
      <c r="D41" s="24" t="inlineStr">
        <is>
          <t>varchar(32)</t>
        </is>
      </c>
      <c r="E41" s="24" t="inlineStr">
        <is>
          <t>YES</t>
        </is>
      </c>
      <c r="F41" s="24" t="inlineStr">
        <is>
          <t>行内买入机构</t>
        </is>
      </c>
      <c r="G41" s="24" t="n"/>
      <c r="H41" s="24" t="n"/>
      <c r="I41" s="24" t="inlineStr"/>
      <c r="J41" s="24" t="inlineStr">
        <is>
          <t>2023/01/12</t>
        </is>
      </c>
    </row>
    <row r="42">
      <c r="B42" s="24" t="inlineStr">
        <is>
          <t>bill_info</t>
        </is>
      </c>
      <c r="C42" s="24" t="inlineStr">
        <is>
          <t>ORIGAGREEMENTNO</t>
        </is>
      </c>
      <c r="D42" s="24" t="inlineStr">
        <is>
          <t>varchar(32)</t>
        </is>
      </c>
      <c r="E42" s="24" t="inlineStr">
        <is>
          <t>YES</t>
        </is>
      </c>
      <c r="F42" s="24" t="inlineStr">
        <is>
          <t>原协议编号</t>
        </is>
      </c>
      <c r="G42" s="24" t="n"/>
      <c r="H42" s="24" t="n"/>
      <c r="I42" s="24" t="inlineStr"/>
      <c r="J42" s="24" t="inlineStr">
        <is>
          <t>2023/01/12</t>
        </is>
      </c>
    </row>
    <row r="43">
      <c r="B43" s="24" t="inlineStr">
        <is>
          <t>bill_info</t>
        </is>
      </c>
      <c r="C43" s="24" t="inlineStr">
        <is>
          <t>LIMITOCCUPYBANK</t>
        </is>
      </c>
      <c r="D43" s="24" t="inlineStr">
        <is>
          <t>varchar(18)</t>
        </is>
      </c>
      <c r="E43" s="24" t="inlineStr">
        <is>
          <t>YES</t>
        </is>
      </c>
      <c r="F43" s="24" t="inlineStr">
        <is>
          <t>额度占用对象;承兑行/交易行)</t>
        </is>
      </c>
      <c r="G43" s="24" t="n"/>
      <c r="H43" s="24" t="n"/>
      <c r="I43" s="24" t="inlineStr"/>
      <c r="J43" s="24" t="inlineStr">
        <is>
          <t>2023/01/12</t>
        </is>
      </c>
    </row>
    <row r="44">
      <c r="B44" s="24" t="inlineStr">
        <is>
          <t>bill_info</t>
        </is>
      </c>
      <c r="C44" s="24" t="inlineStr">
        <is>
          <t>ONLINESETTLEMENT</t>
        </is>
      </c>
      <c r="D44" s="24" t="inlineStr">
        <is>
          <t>varchar(18)</t>
        </is>
      </c>
      <c r="E44" s="24" t="inlineStr">
        <is>
          <t>YES</t>
        </is>
      </c>
      <c r="F44" s="24" t="inlineStr">
        <is>
          <t>线上清算</t>
        </is>
      </c>
      <c r="G44" s="24" t="n"/>
      <c r="H44" s="24" t="n"/>
      <c r="I44" s="24" t="inlineStr"/>
      <c r="J44" s="24" t="inlineStr">
        <is>
          <t>2023/01/12</t>
        </is>
      </c>
    </row>
    <row r="45">
      <c r="B45" s="24" t="inlineStr">
        <is>
          <t>bill_info</t>
        </is>
      </c>
      <c r="C45" s="24" t="inlineStr">
        <is>
          <t>INPUTUSERID</t>
        </is>
      </c>
      <c r="D45" s="24" t="inlineStr">
        <is>
          <t>varchar(80)</t>
        </is>
      </c>
      <c r="E45" s="24" t="inlineStr">
        <is>
          <t>YES</t>
        </is>
      </c>
      <c r="F45" s="24" t="inlineStr">
        <is>
          <t>登记人</t>
        </is>
      </c>
      <c r="G45" s="24" t="n"/>
      <c r="H45" s="24" t="n"/>
      <c r="I45" s="24" t="inlineStr"/>
      <c r="J45" s="24" t="inlineStr">
        <is>
          <t>2023/01/12</t>
        </is>
      </c>
    </row>
    <row r="46">
      <c r="B46" s="24" t="inlineStr">
        <is>
          <t>bill_info</t>
        </is>
      </c>
      <c r="C46" s="24" t="inlineStr">
        <is>
          <t>INPUTORGID</t>
        </is>
      </c>
      <c r="D46" s="24" t="inlineStr">
        <is>
          <t>varchar(32)</t>
        </is>
      </c>
      <c r="E46" s="24" t="inlineStr">
        <is>
          <t>YES</t>
        </is>
      </c>
      <c r="F46" s="24" t="inlineStr">
        <is>
          <t>登记机构</t>
        </is>
      </c>
      <c r="G46" s="24" t="n"/>
      <c r="H46" s="24" t="n"/>
      <c r="I46" s="24" t="inlineStr"/>
      <c r="J46" s="24" t="inlineStr">
        <is>
          <t>2023/01/12</t>
        </is>
      </c>
    </row>
    <row r="47">
      <c r="B47" s="24" t="inlineStr">
        <is>
          <t>bill_info</t>
        </is>
      </c>
      <c r="C47" s="24" t="inlineStr">
        <is>
          <t>INPUTDATE</t>
        </is>
      </c>
      <c r="D47" s="24" t="inlineStr">
        <is>
          <t>datetime</t>
        </is>
      </c>
      <c r="E47" s="24" t="inlineStr">
        <is>
          <t>YES</t>
        </is>
      </c>
      <c r="F47" s="24" t="inlineStr">
        <is>
          <t>登记日期</t>
        </is>
      </c>
      <c r="G47" s="24" t="n"/>
      <c r="H47" s="24" t="n"/>
      <c r="I47" s="24" t="inlineStr"/>
      <c r="J47" s="24" t="inlineStr">
        <is>
          <t>2023/01/12</t>
        </is>
      </c>
    </row>
    <row r="48">
      <c r="B48" s="24" t="inlineStr">
        <is>
          <t>bill_info</t>
        </is>
      </c>
      <c r="C48" s="24" t="inlineStr">
        <is>
          <t>UPDATEUSERID</t>
        </is>
      </c>
      <c r="D48" s="24" t="inlineStr">
        <is>
          <t>varchar(80)</t>
        </is>
      </c>
      <c r="E48" s="24" t="inlineStr">
        <is>
          <t>YES</t>
        </is>
      </c>
      <c r="F48" s="24" t="inlineStr">
        <is>
          <t>更新人</t>
        </is>
      </c>
      <c r="G48" s="24" t="n"/>
      <c r="H48" s="24" t="n"/>
      <c r="I48" s="24" t="inlineStr"/>
      <c r="J48" s="24" t="inlineStr">
        <is>
          <t>2023/01/12</t>
        </is>
      </c>
    </row>
    <row r="49">
      <c r="B49" s="24" t="inlineStr">
        <is>
          <t>bill_info</t>
        </is>
      </c>
      <c r="C49" s="24" t="inlineStr">
        <is>
          <t>UPDATEORGID</t>
        </is>
      </c>
      <c r="D49" s="24" t="inlineStr">
        <is>
          <t>varchar(32)</t>
        </is>
      </c>
      <c r="E49" s="24" t="inlineStr">
        <is>
          <t>YES</t>
        </is>
      </c>
      <c r="F49" s="24" t="inlineStr">
        <is>
          <t>更新机构</t>
        </is>
      </c>
      <c r="G49" s="24" t="n"/>
      <c r="H49" s="24" t="n"/>
      <c r="I49" s="24" t="inlineStr"/>
      <c r="J49" s="24" t="inlineStr">
        <is>
          <t>2023/01/12</t>
        </is>
      </c>
    </row>
    <row r="50">
      <c r="B50" s="24" t="inlineStr">
        <is>
          <t>bill_info</t>
        </is>
      </c>
      <c r="C50" s="24" t="inlineStr">
        <is>
          <t>UPDATEDATE</t>
        </is>
      </c>
      <c r="D50" s="24" t="inlineStr">
        <is>
          <t>datetime</t>
        </is>
      </c>
      <c r="E50" s="24" t="inlineStr">
        <is>
          <t>YES</t>
        </is>
      </c>
      <c r="F50" s="24" t="inlineStr">
        <is>
          <t>更新日期</t>
        </is>
      </c>
      <c r="G50" s="24" t="n"/>
      <c r="H50" s="24" t="n"/>
      <c r="I50" s="24" t="inlineStr"/>
      <c r="J50" s="24" t="inlineStr">
        <is>
          <t>2023/01/12</t>
        </is>
      </c>
    </row>
    <row r="51">
      <c r="B51" s="24" t="inlineStr">
        <is>
          <t>bill_info</t>
        </is>
      </c>
      <c r="C51" s="24" t="inlineStr">
        <is>
          <t>CUSTOMERID</t>
        </is>
      </c>
      <c r="D51" s="24" t="inlineStr">
        <is>
          <t>varchar(32)</t>
        </is>
      </c>
      <c r="E51" s="24" t="inlineStr">
        <is>
          <t>YES</t>
        </is>
      </c>
      <c r="F51" s="24" t="inlineStr">
        <is>
          <t>客户编号</t>
        </is>
      </c>
      <c r="G51" s="24" t="n"/>
      <c r="H51" s="24" t="n"/>
      <c r="I51" s="24" t="inlineStr"/>
      <c r="J51" s="24" t="inlineStr">
        <is>
          <t>2023/01/12</t>
        </is>
      </c>
    </row>
    <row r="52">
      <c r="B52" s="24" t="inlineStr">
        <is>
          <t>bill_info</t>
        </is>
      </c>
      <c r="C52" s="24" t="inlineStr">
        <is>
          <t>CORPORGID</t>
        </is>
      </c>
      <c r="D52" s="24" t="inlineStr">
        <is>
          <t>varchar(32)</t>
        </is>
      </c>
      <c r="E52" s="24" t="inlineStr">
        <is>
          <t>YES</t>
        </is>
      </c>
      <c r="F52" s="24" t="inlineStr">
        <is>
          <t>法人机构编号</t>
        </is>
      </c>
      <c r="G52" s="24" t="n"/>
      <c r="H52" s="24" t="n"/>
      <c r="I52" s="24" t="inlineStr"/>
      <c r="J52" s="24" t="inlineStr">
        <is>
          <t>2023/01/12</t>
        </is>
      </c>
    </row>
  </sheetData>
  <pageMargins left="0.75" right="0.75" top="1" bottom="1" header="0.5" footer="0.5"/>
  <pageSetup orientation="portrait" paperSize="1" horizontalDpi="300" verticalDpi="300"/>
</worksheet>
</file>

<file path=xl/worksheets/sheet62.xml><?xml version="1.0" encoding="utf-8"?>
<worksheet xmlns="http://schemas.openxmlformats.org/spreadsheetml/2006/main">
  <sheetPr>
    <outlinePr summaryBelow="1" summaryRight="1"/>
    <pageSetUpPr/>
  </sheetPr>
  <dimension ref="A1:J29"/>
  <sheetViews>
    <sheetView zoomScaleSheetLayoutView="60" workbookViewId="0">
      <selection activeCell="D34" sqref="D34"/>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通告栏</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board_list</t>
        </is>
      </c>
      <c r="C3" s="24" t="inlineStr">
        <is>
          <t>BOARDNO</t>
        </is>
      </c>
      <c r="D3" s="24" t="inlineStr">
        <is>
          <t>varchar(32)</t>
        </is>
      </c>
      <c r="E3" s="24" t="inlineStr">
        <is>
          <t>NO</t>
        </is>
      </c>
      <c r="F3" s="24" t="inlineStr">
        <is>
          <t>公告编号</t>
        </is>
      </c>
      <c r="G3" s="24" t="n"/>
      <c r="H3" s="24" t="n"/>
      <c r="I3" s="24" t="inlineStr"/>
      <c r="J3" s="24" t="inlineStr">
        <is>
          <t>2023/01/12</t>
        </is>
      </c>
    </row>
    <row r="4">
      <c r="B4" s="24" t="inlineStr">
        <is>
          <t>board_list</t>
        </is>
      </c>
      <c r="C4" s="24" t="inlineStr">
        <is>
          <t>BOARDNAME</t>
        </is>
      </c>
      <c r="D4" s="24" t="inlineStr">
        <is>
          <t>varchar(80)</t>
        </is>
      </c>
      <c r="E4" s="24" t="inlineStr">
        <is>
          <t>YES</t>
        </is>
      </c>
      <c r="F4" s="24" t="inlineStr">
        <is>
          <t>公告名称</t>
        </is>
      </c>
      <c r="G4" s="24" t="n"/>
      <c r="H4" s="24" t="n"/>
      <c r="I4" s="24" t="inlineStr"/>
      <c r="J4" s="24" t="inlineStr">
        <is>
          <t>2023/01/12</t>
        </is>
      </c>
    </row>
    <row r="5">
      <c r="B5" s="24" t="inlineStr">
        <is>
          <t>board_list</t>
        </is>
      </c>
      <c r="C5" s="24" t="inlineStr">
        <is>
          <t>BOARDTITLE</t>
        </is>
      </c>
      <c r="D5" s="24" t="inlineStr">
        <is>
          <t>varchar(80)</t>
        </is>
      </c>
      <c r="E5" s="24" t="inlineStr">
        <is>
          <t>YES</t>
        </is>
      </c>
      <c r="F5" s="24" t="inlineStr">
        <is>
          <t>公告标题</t>
        </is>
      </c>
      <c r="G5" s="24" t="n"/>
      <c r="H5" s="24" t="n"/>
      <c r="I5" s="24" t="inlineStr"/>
      <c r="J5" s="24" t="inlineStr">
        <is>
          <t>2023/01/12</t>
        </is>
      </c>
    </row>
    <row r="6">
      <c r="B6" s="24" t="inlineStr">
        <is>
          <t>board_list</t>
        </is>
      </c>
      <c r="C6" s="24" t="inlineStr">
        <is>
          <t>BOARDDESC</t>
        </is>
      </c>
      <c r="D6" s="24" t="inlineStr">
        <is>
          <t>varchar(500)</t>
        </is>
      </c>
      <c r="E6" s="24" t="inlineStr">
        <is>
          <t>YES</t>
        </is>
      </c>
      <c r="F6" s="24" t="inlineStr">
        <is>
          <t>公告描述</t>
        </is>
      </c>
      <c r="G6" s="24" t="n"/>
      <c r="H6" s="24" t="n"/>
      <c r="I6" s="24" t="inlineStr"/>
      <c r="J6" s="24" t="inlineStr">
        <is>
          <t>2023/01/12</t>
        </is>
      </c>
    </row>
    <row r="7">
      <c r="B7" s="24" t="inlineStr">
        <is>
          <t>board_list</t>
        </is>
      </c>
      <c r="C7" s="24" t="inlineStr">
        <is>
          <t>ISPUBLISH</t>
        </is>
      </c>
      <c r="D7" s="24" t="inlineStr">
        <is>
          <t>varchar(32)</t>
        </is>
      </c>
      <c r="E7" s="24" t="inlineStr">
        <is>
          <t>YES</t>
        </is>
      </c>
      <c r="F7" s="24" t="inlineStr">
        <is>
          <t>是否发布</t>
        </is>
      </c>
      <c r="G7" s="52">
        <f>HYPERLINK("#码值映射清单!B5150","YesNo")</f>
        <v/>
      </c>
      <c r="H7" s="24" t="n"/>
      <c r="I7" s="24" t="inlineStr"/>
      <c r="J7" s="24" t="inlineStr">
        <is>
          <t>2023/01/12</t>
        </is>
      </c>
    </row>
    <row r="8">
      <c r="B8" s="24" t="inlineStr">
        <is>
          <t>board_list</t>
        </is>
      </c>
      <c r="C8" s="24" t="inlineStr">
        <is>
          <t>ISNEW</t>
        </is>
      </c>
      <c r="D8" s="24" t="inlineStr">
        <is>
          <t>varchar(32)</t>
        </is>
      </c>
      <c r="E8" s="24" t="inlineStr">
        <is>
          <t>YES</t>
        </is>
      </c>
      <c r="F8" s="24" t="inlineStr">
        <is>
          <t>是否新</t>
        </is>
      </c>
      <c r="G8" s="52">
        <f>HYPERLINK("#码值映射清单!B5150","YesNo")</f>
        <v/>
      </c>
      <c r="H8" s="24" t="n"/>
      <c r="I8" s="24" t="inlineStr"/>
      <c r="J8" s="24" t="inlineStr">
        <is>
          <t>2023/01/12</t>
        </is>
      </c>
    </row>
    <row r="9">
      <c r="B9" s="24" t="inlineStr">
        <is>
          <t>board_list</t>
        </is>
      </c>
      <c r="C9" s="24" t="inlineStr">
        <is>
          <t>ISEJECT</t>
        </is>
      </c>
      <c r="D9" s="24" t="inlineStr">
        <is>
          <t>varchar(32)</t>
        </is>
      </c>
      <c r="E9" s="24" t="inlineStr">
        <is>
          <t>YES</t>
        </is>
      </c>
      <c r="F9" s="24" t="inlineStr">
        <is>
          <t>是否弹出</t>
        </is>
      </c>
      <c r="G9" s="52">
        <f>HYPERLINK("#码值映射清单!B5150","YesNo")</f>
        <v/>
      </c>
      <c r="H9" s="24" t="n"/>
      <c r="I9" s="24" t="inlineStr"/>
      <c r="J9" s="24" t="inlineStr">
        <is>
          <t>2023/01/12</t>
        </is>
      </c>
    </row>
    <row r="10">
      <c r="B10" s="24" t="inlineStr">
        <is>
          <t>board_list</t>
        </is>
      </c>
      <c r="C10" s="24" t="inlineStr">
        <is>
          <t>FILENAME</t>
        </is>
      </c>
      <c r="D10" s="24" t="inlineStr">
        <is>
          <t>varchar(500)</t>
        </is>
      </c>
      <c r="E10" s="24" t="inlineStr">
        <is>
          <t>YES</t>
        </is>
      </c>
      <c r="F10" s="24" t="inlineStr">
        <is>
          <t>公告文件名</t>
        </is>
      </c>
      <c r="G10" s="24" t="n"/>
      <c r="H10" s="24" t="n"/>
      <c r="I10" s="24" t="inlineStr"/>
      <c r="J10" s="24" t="inlineStr">
        <is>
          <t>2023/01/12</t>
        </is>
      </c>
    </row>
    <row r="11">
      <c r="B11" s="24" t="inlineStr">
        <is>
          <t>board_list</t>
        </is>
      </c>
      <c r="C11" s="24" t="inlineStr">
        <is>
          <t>CONTENTTYPE</t>
        </is>
      </c>
      <c r="D11" s="24" t="inlineStr">
        <is>
          <t>varchar(80)</t>
        </is>
      </c>
      <c r="E11" s="24" t="inlineStr">
        <is>
          <t>YES</t>
        </is>
      </c>
      <c r="F11" s="24" t="inlineStr">
        <is>
          <t>内容类型</t>
        </is>
      </c>
      <c r="G11" s="24" t="n"/>
      <c r="H11" s="24" t="n"/>
      <c r="I11" s="24" t="inlineStr"/>
      <c r="J11" s="24" t="inlineStr">
        <is>
          <t>2023/01/12</t>
        </is>
      </c>
    </row>
    <row r="12">
      <c r="B12" s="24" t="inlineStr">
        <is>
          <t>board_list</t>
        </is>
      </c>
      <c r="C12" s="24" t="inlineStr">
        <is>
          <t>CONTENTLENGTH</t>
        </is>
      </c>
      <c r="D12" s="24" t="inlineStr">
        <is>
          <t>varchar(32)</t>
        </is>
      </c>
      <c r="E12" s="24" t="inlineStr">
        <is>
          <t>YES</t>
        </is>
      </c>
      <c r="F12" s="24" t="inlineStr">
        <is>
          <t>内容长度</t>
        </is>
      </c>
      <c r="G12" s="24" t="n"/>
      <c r="H12" s="24" t="n"/>
      <c r="I12" s="24" t="inlineStr"/>
      <c r="J12" s="24" t="inlineStr">
        <is>
          <t>2023/01/12</t>
        </is>
      </c>
    </row>
    <row r="13">
      <c r="B13" s="24" t="inlineStr">
        <is>
          <t>board_list</t>
        </is>
      </c>
      <c r="C13" s="24" t="inlineStr">
        <is>
          <t>UPLOADTIME</t>
        </is>
      </c>
      <c r="D13" s="24" t="inlineStr">
        <is>
          <t>varchar(32)</t>
        </is>
      </c>
      <c r="E13" s="24" t="inlineStr">
        <is>
          <t>YES</t>
        </is>
      </c>
      <c r="F13" s="24" t="inlineStr">
        <is>
          <t>上传时间</t>
        </is>
      </c>
      <c r="G13" s="24" t="n"/>
      <c r="H13" s="24" t="n"/>
      <c r="I13" s="24" t="inlineStr"/>
      <c r="J13" s="24" t="inlineStr">
        <is>
          <t>2023/01/12</t>
        </is>
      </c>
    </row>
    <row r="14">
      <c r="B14" s="24" t="inlineStr">
        <is>
          <t>board_list</t>
        </is>
      </c>
      <c r="C14" s="24" t="inlineStr">
        <is>
          <t>SHOWTOROLES</t>
        </is>
      </c>
      <c r="D14" s="24" t="inlineStr">
        <is>
          <t>varchar(80)</t>
        </is>
      </c>
      <c r="E14" s="24" t="inlineStr">
        <is>
          <t>YES</t>
        </is>
      </c>
      <c r="F14" s="24" t="inlineStr">
        <is>
          <t>可查看角色列表</t>
        </is>
      </c>
      <c r="G14" s="24" t="n"/>
      <c r="H14" s="24" t="n"/>
      <c r="I14" s="24" t="inlineStr"/>
      <c r="J14" s="24" t="inlineStr">
        <is>
          <t>2023/01/12</t>
        </is>
      </c>
    </row>
    <row r="15">
      <c r="B15" s="24" t="inlineStr">
        <is>
          <t>board_list</t>
        </is>
      </c>
      <c r="C15" s="24" t="inlineStr">
        <is>
          <t>SHOWTOORG</t>
        </is>
      </c>
      <c r="D15" s="24" t="inlineStr">
        <is>
          <t>varchar(32)</t>
        </is>
      </c>
      <c r="E15" s="24" t="inlineStr">
        <is>
          <t>YES</t>
        </is>
      </c>
      <c r="F15" s="24" t="inlineStr">
        <is>
          <t>可查看机构;含下属)</t>
        </is>
      </c>
      <c r="G15" s="24" t="n"/>
      <c r="H15" s="24" t="n"/>
      <c r="I15" s="24" t="inlineStr"/>
      <c r="J15" s="24" t="inlineStr">
        <is>
          <t>2023/01/12</t>
        </is>
      </c>
    </row>
    <row r="16">
      <c r="B16" s="24" t="inlineStr">
        <is>
          <t>board_list</t>
        </is>
      </c>
      <c r="C16" s="24" t="inlineStr">
        <is>
          <t>SHOWTOORGS</t>
        </is>
      </c>
      <c r="D16" s="24" t="inlineStr">
        <is>
          <t>varchar(32)</t>
        </is>
      </c>
      <c r="E16" s="24" t="inlineStr">
        <is>
          <t>YES</t>
        </is>
      </c>
      <c r="F16" s="24" t="inlineStr">
        <is>
          <t>可查看机构清单;不含下属)</t>
        </is>
      </c>
      <c r="G16" s="24" t="n"/>
      <c r="H16" s="24" t="n"/>
      <c r="I16" s="24" t="inlineStr"/>
      <c r="J16" s="24" t="inlineStr">
        <is>
          <t>2023/01/12</t>
        </is>
      </c>
    </row>
    <row r="17">
      <c r="B17" s="24" t="inlineStr">
        <is>
          <t>board_list</t>
        </is>
      </c>
      <c r="C17" s="24" t="inlineStr">
        <is>
          <t>FILEPATH</t>
        </is>
      </c>
      <c r="D17" s="24" t="inlineStr">
        <is>
          <t>varchar(200)</t>
        </is>
      </c>
      <c r="E17" s="24" t="inlineStr">
        <is>
          <t>YES</t>
        </is>
      </c>
      <c r="F17" s="24" t="inlineStr">
        <is>
          <t>文件路径</t>
        </is>
      </c>
      <c r="G17" s="24" t="n"/>
      <c r="H17" s="24" t="n"/>
      <c r="I17" s="24" t="inlineStr"/>
      <c r="J17" s="24" t="inlineStr">
        <is>
          <t>2023/01/12</t>
        </is>
      </c>
    </row>
    <row r="18">
      <c r="B18" s="24" t="inlineStr">
        <is>
          <t>board_list</t>
        </is>
      </c>
      <c r="C18" s="24" t="inlineStr">
        <is>
          <t>FULLPATH</t>
        </is>
      </c>
      <c r="D18" s="24" t="inlineStr">
        <is>
          <t>varchar(500)</t>
        </is>
      </c>
      <c r="E18" s="24" t="inlineStr">
        <is>
          <t>YES</t>
        </is>
      </c>
      <c r="F18" s="24" t="inlineStr">
        <is>
          <t>全路径</t>
        </is>
      </c>
      <c r="G18" s="24" t="n"/>
      <c r="H18" s="24" t="n"/>
      <c r="I18" s="24" t="inlineStr"/>
      <c r="J18" s="24" t="inlineStr">
        <is>
          <t>2023/01/12</t>
        </is>
      </c>
    </row>
    <row r="19">
      <c r="B19" s="24" t="inlineStr">
        <is>
          <t>board_list</t>
        </is>
      </c>
      <c r="C19" s="24" t="inlineStr">
        <is>
          <t>FILESAVEMODE</t>
        </is>
      </c>
      <c r="D19" s="24" t="inlineStr">
        <is>
          <t>varchar(32)</t>
        </is>
      </c>
      <c r="E19" s="24" t="inlineStr">
        <is>
          <t>YES</t>
        </is>
      </c>
      <c r="F19" s="24" t="inlineStr">
        <is>
          <t>文件保存模型</t>
        </is>
      </c>
      <c r="G19" s="24" t="n"/>
      <c r="H19" s="24" t="n"/>
      <c r="I19" s="24" t="inlineStr"/>
      <c r="J19" s="24" t="inlineStr">
        <is>
          <t>2023/01/12</t>
        </is>
      </c>
    </row>
    <row r="20">
      <c r="B20" s="24" t="inlineStr">
        <is>
          <t>board_list</t>
        </is>
      </c>
      <c r="C20" s="24" t="inlineStr">
        <is>
          <t>ENDTIME</t>
        </is>
      </c>
      <c r="D20" s="24" t="inlineStr">
        <is>
          <t>varchar(32)</t>
        </is>
      </c>
      <c r="E20" s="24" t="inlineStr">
        <is>
          <t>YES</t>
        </is>
      </c>
      <c r="F20" s="24" t="inlineStr">
        <is>
          <t>结束时间</t>
        </is>
      </c>
      <c r="G20" s="24" t="n"/>
      <c r="H20" s="24" t="n"/>
      <c r="I20" s="24" t="inlineStr"/>
      <c r="J20" s="24" t="inlineStr">
        <is>
          <t>2023/01/12</t>
        </is>
      </c>
    </row>
    <row r="21">
      <c r="B21" s="24" t="inlineStr">
        <is>
          <t>board_list</t>
        </is>
      </c>
      <c r="C21" s="24" t="inlineStr">
        <is>
          <t>DOCNO</t>
        </is>
      </c>
      <c r="D21" s="24" t="inlineStr">
        <is>
          <t>varchar(32)</t>
        </is>
      </c>
      <c r="E21" s="24" t="inlineStr">
        <is>
          <t>YES</t>
        </is>
      </c>
      <c r="F21" s="24" t="inlineStr">
        <is>
          <t>附件编号</t>
        </is>
      </c>
      <c r="G21" s="24" t="n"/>
      <c r="H21" s="24" t="n"/>
      <c r="I21" s="24" t="inlineStr"/>
      <c r="J21" s="24" t="inlineStr">
        <is>
          <t>2023/01/12</t>
        </is>
      </c>
    </row>
    <row r="22">
      <c r="B22" s="24" t="inlineStr">
        <is>
          <t>board_list</t>
        </is>
      </c>
      <c r="C22" s="24" t="inlineStr">
        <is>
          <t>INPUTORGID</t>
        </is>
      </c>
      <c r="D22" s="24" t="inlineStr">
        <is>
          <t>varchar(32)</t>
        </is>
      </c>
      <c r="E22" s="24" t="inlineStr">
        <is>
          <t>YES</t>
        </is>
      </c>
      <c r="F22" s="24" t="inlineStr">
        <is>
          <t>登记机构</t>
        </is>
      </c>
      <c r="G22" s="24" t="n"/>
      <c r="H22" s="24" t="n"/>
      <c r="I22" s="24" t="inlineStr"/>
      <c r="J22" s="24" t="inlineStr">
        <is>
          <t>2023/01/12</t>
        </is>
      </c>
    </row>
    <row r="23">
      <c r="B23" s="24" t="inlineStr">
        <is>
          <t>board_list</t>
        </is>
      </c>
      <c r="C23" s="24" t="inlineStr">
        <is>
          <t>INPUTUSERID</t>
        </is>
      </c>
      <c r="D23" s="24" t="inlineStr">
        <is>
          <t>varchar(32)</t>
        </is>
      </c>
      <c r="E23" s="24" t="inlineStr">
        <is>
          <t>YES</t>
        </is>
      </c>
      <c r="F23" s="24" t="inlineStr">
        <is>
          <t>登记人</t>
        </is>
      </c>
      <c r="G23" s="24" t="n"/>
      <c r="H23" s="24" t="n"/>
      <c r="I23" s="24" t="inlineStr"/>
      <c r="J23" s="24" t="inlineStr">
        <is>
          <t>2023/01/12</t>
        </is>
      </c>
    </row>
    <row r="24">
      <c r="B24" s="24" t="inlineStr">
        <is>
          <t>board_list</t>
        </is>
      </c>
      <c r="C24" s="24" t="inlineStr">
        <is>
          <t>INPUTDATE</t>
        </is>
      </c>
      <c r="D24" s="24" t="inlineStr">
        <is>
          <t>datetime</t>
        </is>
      </c>
      <c r="E24" s="24" t="inlineStr">
        <is>
          <t>YES</t>
        </is>
      </c>
      <c r="F24" s="24" t="inlineStr">
        <is>
          <t>登记日期</t>
        </is>
      </c>
      <c r="G24" s="24" t="n"/>
      <c r="H24" s="24" t="n"/>
      <c r="I24" s="24" t="inlineStr"/>
      <c r="J24" s="24" t="inlineStr">
        <is>
          <t>2023/01/12</t>
        </is>
      </c>
    </row>
    <row r="25">
      <c r="B25" s="24" t="inlineStr">
        <is>
          <t>board_list</t>
        </is>
      </c>
      <c r="C25" s="24" t="inlineStr">
        <is>
          <t>UPDATEORGID</t>
        </is>
      </c>
      <c r="D25" s="24" t="inlineStr">
        <is>
          <t>varchar(32)</t>
        </is>
      </c>
      <c r="E25" s="24" t="inlineStr">
        <is>
          <t>YES</t>
        </is>
      </c>
      <c r="F25" s="24" t="inlineStr">
        <is>
          <t>更新机构</t>
        </is>
      </c>
      <c r="G25" s="24" t="n"/>
      <c r="H25" s="24" t="n"/>
      <c r="I25" s="24" t="inlineStr"/>
      <c r="J25" s="24" t="inlineStr">
        <is>
          <t>2023/01/12</t>
        </is>
      </c>
    </row>
    <row r="26">
      <c r="B26" s="24" t="inlineStr">
        <is>
          <t>board_list</t>
        </is>
      </c>
      <c r="C26" s="24" t="inlineStr">
        <is>
          <t>UPDATEUSERID</t>
        </is>
      </c>
      <c r="D26" s="24" t="inlineStr">
        <is>
          <t>varchar(32)</t>
        </is>
      </c>
      <c r="E26" s="24" t="inlineStr">
        <is>
          <t>YES</t>
        </is>
      </c>
      <c r="F26" s="24" t="inlineStr">
        <is>
          <t>更新人</t>
        </is>
      </c>
      <c r="G26" s="24" t="n"/>
      <c r="H26" s="24" t="n"/>
      <c r="I26" s="24" t="inlineStr"/>
      <c r="J26" s="24" t="inlineStr">
        <is>
          <t>2023/01/12</t>
        </is>
      </c>
    </row>
    <row r="27">
      <c r="B27" s="24" t="inlineStr">
        <is>
          <t>board_list</t>
        </is>
      </c>
      <c r="C27" s="24" t="inlineStr">
        <is>
          <t>UPDATEDATE</t>
        </is>
      </c>
      <c r="D27" s="24" t="inlineStr">
        <is>
          <t>datetime</t>
        </is>
      </c>
      <c r="E27" s="24" t="inlineStr">
        <is>
          <t>YES</t>
        </is>
      </c>
      <c r="F27" s="24" t="inlineStr">
        <is>
          <t>更新日期</t>
        </is>
      </c>
      <c r="G27" s="24" t="n"/>
      <c r="H27" s="24" t="n"/>
      <c r="I27" s="24" t="inlineStr"/>
      <c r="J27" s="24" t="inlineStr">
        <is>
          <t>2023/01/12</t>
        </is>
      </c>
    </row>
    <row r="28">
      <c r="B28" s="24" t="inlineStr">
        <is>
          <t>board_list</t>
        </is>
      </c>
      <c r="C28" s="24" t="inlineStr">
        <is>
          <t>CORPORGID</t>
        </is>
      </c>
      <c r="D28" s="24" t="inlineStr">
        <is>
          <t>varchar(32)</t>
        </is>
      </c>
      <c r="E28" s="24" t="inlineStr">
        <is>
          <t>YES</t>
        </is>
      </c>
      <c r="F28" s="24" t="inlineStr">
        <is>
          <t>法人机构编号</t>
        </is>
      </c>
      <c r="G28" s="24" t="n"/>
      <c r="H28" s="24" t="n"/>
      <c r="I28" s="24" t="inlineStr"/>
      <c r="J28" s="24" t="inlineStr">
        <is>
          <t>2023/01/12</t>
        </is>
      </c>
    </row>
    <row r="29">
      <c r="B29" s="24" t="inlineStr">
        <is>
          <t>board_list</t>
        </is>
      </c>
      <c r="C29" s="24" t="inlineStr">
        <is>
          <t>DOCCONTENT</t>
        </is>
      </c>
      <c r="D29" s="24" t="inlineStr">
        <is>
          <t>text</t>
        </is>
      </c>
      <c r="E29" s="24" t="inlineStr">
        <is>
          <t>YES</t>
        </is>
      </c>
      <c r="F29" s="24" t="inlineStr">
        <is>
          <t>文档内容</t>
        </is>
      </c>
      <c r="G29" s="24" t="n"/>
      <c r="H29" s="24" t="n"/>
      <c r="I29" s="24" t="inlineStr"/>
      <c r="J29" s="24" t="inlineStr">
        <is>
          <t>2023/01/12</t>
        </is>
      </c>
    </row>
  </sheetData>
  <pageMargins left="0.75" right="0.75" top="1" bottom="1" header="0.5" footer="0.5"/>
  <pageSetup orientation="portrait" paperSize="1" horizontalDpi="300" verticalDpi="300"/>
</worksheet>
</file>

<file path=xl/worksheets/sheet63.xml><?xml version="1.0" encoding="utf-8"?>
<worksheet xmlns="http://schemas.openxmlformats.org/spreadsheetml/2006/main">
  <sheetPr>
    <outlinePr summaryBelow="1" summaryRight="1"/>
    <pageSetUpPr/>
  </sheetPr>
  <dimension ref="A1:J6"/>
  <sheetViews>
    <sheetView zoomScaleSheetLayoutView="60" workbookViewId="0">
      <selection activeCell="C49" sqref="C49"/>
    </sheetView>
  </sheetViews>
  <sheetFormatPr baseColWidth="8" defaultColWidth="9.142857142857141" defaultRowHeight="15.2" outlineLevelRow="5"/>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用户通告</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board_user</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board_user</t>
        </is>
      </c>
      <c r="C4" s="24" t="inlineStr">
        <is>
          <t>INPUTUSERID</t>
        </is>
      </c>
      <c r="D4" s="24" t="inlineStr">
        <is>
          <t>varchar(32)</t>
        </is>
      </c>
      <c r="E4" s="24" t="inlineStr">
        <is>
          <t>YES</t>
        </is>
      </c>
      <c r="F4" s="24" t="inlineStr">
        <is>
          <t>登记人;</t>
        </is>
      </c>
      <c r="G4" s="24" t="n"/>
      <c r="H4" s="24" t="n"/>
      <c r="I4" s="24" t="inlineStr"/>
      <c r="J4" s="24" t="inlineStr">
        <is>
          <t>2023/01/12</t>
        </is>
      </c>
    </row>
    <row r="5">
      <c r="B5" s="24" t="inlineStr">
        <is>
          <t>board_user</t>
        </is>
      </c>
      <c r="C5" s="24" t="inlineStr">
        <is>
          <t>ISALREADYREAD</t>
        </is>
      </c>
      <c r="D5" s="24" t="inlineStr">
        <is>
          <t>varchar(18)</t>
        </is>
      </c>
      <c r="E5" s="24" t="inlineStr">
        <is>
          <t>YES</t>
        </is>
      </c>
      <c r="F5" s="24" t="inlineStr">
        <is>
          <t>是否查看;</t>
        </is>
      </c>
      <c r="G5" s="24" t="n"/>
      <c r="H5" s="24" t="n"/>
      <c r="I5" s="24" t="inlineStr"/>
      <c r="J5" s="24" t="inlineStr">
        <is>
          <t>2023/01/12</t>
        </is>
      </c>
    </row>
    <row r="6">
      <c r="B6" s="24" t="inlineStr">
        <is>
          <t>board_user</t>
        </is>
      </c>
      <c r="C6" s="24" t="inlineStr">
        <is>
          <t>INPUTDATE</t>
        </is>
      </c>
      <c r="D6" s="24" t="inlineStr">
        <is>
          <t>datetime</t>
        </is>
      </c>
      <c r="E6" s="24" t="inlineStr">
        <is>
          <t>YES</t>
        </is>
      </c>
      <c r="F6" s="24" t="inlineStr">
        <is>
          <t>登记时间;</t>
        </is>
      </c>
      <c r="G6" s="24" t="n"/>
      <c r="H6" s="24" t="n"/>
      <c r="I6" s="24" t="inlineStr"/>
      <c r="J6" s="24" t="inlineStr">
        <is>
          <t>2023/01/12</t>
        </is>
      </c>
    </row>
  </sheetData>
  <pageMargins left="0.75" right="0.75" top="1" bottom="1" header="0.5" footer="0.5"/>
  <pageSetup orientation="portrait" paperSize="1" horizontalDpi="300" verticalDpi="300"/>
</worksheet>
</file>

<file path=xl/worksheets/sheet64.xml><?xml version="1.0" encoding="utf-8"?>
<worksheet xmlns="http://schemas.openxmlformats.org/spreadsheetml/2006/main">
  <sheetPr>
    <outlinePr summaryBelow="1" summaryRight="1"/>
    <pageSetUpPr/>
  </sheetPr>
  <dimension ref="A1:J25"/>
  <sheetViews>
    <sheetView zoomScaleSheetLayoutView="60" workbookViewId="0">
      <selection activeCell="D33" sqref="D3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合同信息表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business_contract</t>
        </is>
      </c>
      <c r="C3" s="24" t="inlineStr">
        <is>
          <t>SERIALNO</t>
        </is>
      </c>
      <c r="D3" s="24" t="inlineStr">
        <is>
          <t>varchar(32)</t>
        </is>
      </c>
      <c r="E3" s="24" t="inlineStr">
        <is>
          <t>NO</t>
        </is>
      </c>
      <c r="F3" s="24" t="inlineStr">
        <is>
          <t>合同编号</t>
        </is>
      </c>
      <c r="G3" s="24" t="n"/>
      <c r="H3" s="24" t="n"/>
      <c r="I3" s="24" t="inlineStr"/>
      <c r="J3" s="24" t="inlineStr">
        <is>
          <t>2023/01/12</t>
        </is>
      </c>
    </row>
    <row r="4">
      <c r="B4" s="24" t="inlineStr">
        <is>
          <t>business_contract</t>
        </is>
      </c>
      <c r="C4" s="24" t="inlineStr">
        <is>
          <t>CUSTOMERID</t>
        </is>
      </c>
      <c r="D4" s="24" t="inlineStr">
        <is>
          <t>varchar(32)</t>
        </is>
      </c>
      <c r="E4" s="24" t="inlineStr">
        <is>
          <t>YES</t>
        </is>
      </c>
      <c r="F4" s="24" t="inlineStr">
        <is>
          <t>客户编号</t>
        </is>
      </c>
      <c r="G4" s="52">
        <f>HYPERLINK("#码值映射清单!B2469","Currency")</f>
        <v/>
      </c>
      <c r="H4" s="24" t="n"/>
      <c r="I4" s="24" t="inlineStr"/>
      <c r="J4" s="24" t="inlineStr">
        <is>
          <t>2023/01/12</t>
        </is>
      </c>
    </row>
    <row r="5">
      <c r="B5" s="24" t="inlineStr">
        <is>
          <t>business_contract</t>
        </is>
      </c>
      <c r="C5" s="24" t="inlineStr">
        <is>
          <t>CUSTOMERNAME</t>
        </is>
      </c>
      <c r="D5" s="24" t="inlineStr">
        <is>
          <t>varchar(80)</t>
        </is>
      </c>
      <c r="E5" s="24" t="inlineStr">
        <is>
          <t>YES</t>
        </is>
      </c>
      <c r="F5" s="24" t="inlineStr">
        <is>
          <t>客户名称</t>
        </is>
      </c>
      <c r="G5" s="52">
        <f>HYPERLINK("#码值映射清单!B2469","Currency")</f>
        <v/>
      </c>
      <c r="H5" s="24" t="n"/>
      <c r="I5" s="24" t="inlineStr"/>
      <c r="J5" s="24" t="inlineStr">
        <is>
          <t>2023/01/12</t>
        </is>
      </c>
    </row>
    <row r="6">
      <c r="B6" s="24" t="inlineStr">
        <is>
          <t>business_contract</t>
        </is>
      </c>
      <c r="C6" s="24" t="inlineStr">
        <is>
          <t>CURRENCY</t>
        </is>
      </c>
      <c r="D6" s="24" t="inlineStr">
        <is>
          <t>varchar(18)</t>
        </is>
      </c>
      <c r="E6" s="24" t="inlineStr">
        <is>
          <t>YES</t>
        </is>
      </c>
      <c r="F6" s="24" t="inlineStr">
        <is>
          <t>额度/业务币种</t>
        </is>
      </c>
      <c r="G6" s="52">
        <f>HYPERLINK("#码值映射清单!B2469","Currency")</f>
        <v/>
      </c>
      <c r="H6" s="24" t="n"/>
      <c r="I6" s="24" t="inlineStr"/>
      <c r="J6" s="24" t="inlineStr">
        <is>
          <t>2023/01/12</t>
        </is>
      </c>
    </row>
    <row r="7">
      <c r="B7" s="24" t="inlineStr">
        <is>
          <t>business_contract</t>
        </is>
      </c>
      <c r="C7" s="24" t="inlineStr">
        <is>
          <t>BUSINESSSUM</t>
        </is>
      </c>
      <c r="D7" s="24" t="inlineStr">
        <is>
          <t>decimal(24,6)</t>
        </is>
      </c>
      <c r="E7" s="24" t="inlineStr">
        <is>
          <t>YES</t>
        </is>
      </c>
      <c r="F7" s="24" t="inlineStr">
        <is>
          <t>合同金额</t>
        </is>
      </c>
      <c r="G7" s="24" t="n"/>
      <c r="H7" s="24" t="n"/>
      <c r="I7" s="24" t="inlineStr"/>
      <c r="J7" s="24" t="inlineStr">
        <is>
          <t>2023/01/12</t>
        </is>
      </c>
    </row>
    <row r="8">
      <c r="B8" s="24" t="inlineStr">
        <is>
          <t>business_contract</t>
        </is>
      </c>
      <c r="C8" s="24" t="inlineStr">
        <is>
          <t>PRODUCTID</t>
        </is>
      </c>
      <c r="D8" s="24" t="inlineStr">
        <is>
          <t>varchar(32)</t>
        </is>
      </c>
      <c r="E8" s="24" t="inlineStr">
        <is>
          <t>YES</t>
        </is>
      </c>
      <c r="F8" s="24" t="inlineStr">
        <is>
          <t>产品编号</t>
        </is>
      </c>
      <c r="G8" s="24" t="n"/>
      <c r="H8" s="24" t="n"/>
      <c r="I8" s="24" t="inlineStr"/>
      <c r="J8" s="24" t="inlineStr">
        <is>
          <t>2023/01/12</t>
        </is>
      </c>
    </row>
    <row r="9">
      <c r="B9" s="24" t="inlineStr">
        <is>
          <t>business_contract</t>
        </is>
      </c>
      <c r="C9" s="24" t="inlineStr">
        <is>
          <t>STARTDATE</t>
        </is>
      </c>
      <c r="D9" s="24" t="inlineStr">
        <is>
          <t>datetime</t>
        </is>
      </c>
      <c r="E9" s="24" t="inlineStr">
        <is>
          <t>YES</t>
        </is>
      </c>
      <c r="F9" s="24" t="inlineStr">
        <is>
          <t>合同起始日</t>
        </is>
      </c>
      <c r="G9" s="24" t="n"/>
      <c r="H9" s="24" t="n"/>
      <c r="I9" s="24" t="inlineStr"/>
      <c r="J9" s="24" t="inlineStr">
        <is>
          <t>2023/01/12</t>
        </is>
      </c>
    </row>
    <row r="10">
      <c r="B10" s="24" t="inlineStr">
        <is>
          <t>business_contract</t>
        </is>
      </c>
      <c r="C10" s="24" t="inlineStr">
        <is>
          <t>MATURITY</t>
        </is>
      </c>
      <c r="D10" s="24" t="inlineStr">
        <is>
          <t>datetime</t>
        </is>
      </c>
      <c r="E10" s="24" t="inlineStr">
        <is>
          <t>YES</t>
        </is>
      </c>
      <c r="F10" s="24" t="inlineStr">
        <is>
          <t>合同到期日</t>
        </is>
      </c>
      <c r="G10" s="24" t="n"/>
      <c r="H10" s="24" t="n"/>
      <c r="I10" s="24" t="inlineStr"/>
      <c r="J10" s="24" t="inlineStr">
        <is>
          <t>2023/01/12</t>
        </is>
      </c>
    </row>
    <row r="11">
      <c r="B11" s="24" t="inlineStr">
        <is>
          <t>business_contract</t>
        </is>
      </c>
      <c r="C11" s="24" t="inlineStr">
        <is>
          <t>INPUTUSERID</t>
        </is>
      </c>
      <c r="D11" s="24" t="inlineStr">
        <is>
          <t>varchar(32)</t>
        </is>
      </c>
      <c r="E11" s="24" t="inlineStr">
        <is>
          <t>YES</t>
        </is>
      </c>
      <c r="F11" s="24" t="inlineStr">
        <is>
          <t>登记人</t>
        </is>
      </c>
      <c r="G11" s="24" t="n"/>
      <c r="H11" s="24" t="n"/>
      <c r="I11" s="24" t="inlineStr"/>
      <c r="J11" s="24" t="inlineStr">
        <is>
          <t>2023/01/12</t>
        </is>
      </c>
    </row>
    <row r="12">
      <c r="B12" s="24" t="inlineStr">
        <is>
          <t>business_contract</t>
        </is>
      </c>
      <c r="C12" s="24" t="inlineStr">
        <is>
          <t>INPUTORGID</t>
        </is>
      </c>
      <c r="D12" s="24" t="inlineStr">
        <is>
          <t>varchar(32)</t>
        </is>
      </c>
      <c r="E12" s="24" t="inlineStr">
        <is>
          <t>YES</t>
        </is>
      </c>
      <c r="F12" s="24" t="inlineStr">
        <is>
          <t>登记机构</t>
        </is>
      </c>
      <c r="G12" s="24" t="n"/>
      <c r="H12" s="24" t="n"/>
      <c r="I12" s="24" t="inlineStr"/>
      <c r="J12" s="24" t="inlineStr">
        <is>
          <t>2023/01/12</t>
        </is>
      </c>
    </row>
    <row r="13">
      <c r="B13" s="24" t="inlineStr">
        <is>
          <t>business_contract</t>
        </is>
      </c>
      <c r="C13" s="24" t="inlineStr">
        <is>
          <t>INPUTDATE</t>
        </is>
      </c>
      <c r="D13" s="24" t="inlineStr">
        <is>
          <t>datetime</t>
        </is>
      </c>
      <c r="E13" s="24" t="inlineStr">
        <is>
          <t>YES</t>
        </is>
      </c>
      <c r="F13" s="24" t="inlineStr">
        <is>
          <t>登记日期</t>
        </is>
      </c>
      <c r="G13" s="24" t="n"/>
      <c r="H13" s="24" t="n"/>
      <c r="I13" s="24" t="inlineStr"/>
      <c r="J13" s="24" t="inlineStr">
        <is>
          <t>2023/01/12</t>
        </is>
      </c>
    </row>
    <row r="14">
      <c r="B14" s="24" t="inlineStr">
        <is>
          <t>business_contract</t>
        </is>
      </c>
      <c r="C14" s="24" t="inlineStr">
        <is>
          <t>UPDATEUSERID</t>
        </is>
      </c>
      <c r="D14" s="24" t="inlineStr">
        <is>
          <t>varchar(32)</t>
        </is>
      </c>
      <c r="E14" s="24" t="inlineStr">
        <is>
          <t>YES</t>
        </is>
      </c>
      <c r="F14" s="24" t="inlineStr">
        <is>
          <t>更新人</t>
        </is>
      </c>
      <c r="G14" s="24" t="n"/>
      <c r="H14" s="24" t="n"/>
      <c r="I14" s="24" t="inlineStr"/>
      <c r="J14" s="24" t="inlineStr">
        <is>
          <t>2023/01/12</t>
        </is>
      </c>
    </row>
    <row r="15">
      <c r="B15" s="24" t="inlineStr">
        <is>
          <t>business_contract</t>
        </is>
      </c>
      <c r="C15" s="24" t="inlineStr">
        <is>
          <t>UPDATEORGID</t>
        </is>
      </c>
      <c r="D15" s="24" t="inlineStr">
        <is>
          <t>varchar(32)</t>
        </is>
      </c>
      <c r="E15" s="24" t="inlineStr">
        <is>
          <t>YES</t>
        </is>
      </c>
      <c r="F15" s="24" t="inlineStr">
        <is>
          <t>更新机构</t>
        </is>
      </c>
      <c r="G15" s="24" t="n"/>
      <c r="H15" s="24" t="n"/>
      <c r="I15" s="24" t="inlineStr"/>
      <c r="J15" s="24" t="inlineStr">
        <is>
          <t>2023/01/12</t>
        </is>
      </c>
    </row>
    <row r="16">
      <c r="B16" s="24" t="inlineStr">
        <is>
          <t>business_contract</t>
        </is>
      </c>
      <c r="C16" s="24" t="inlineStr">
        <is>
          <t>UPDATEDATE</t>
        </is>
      </c>
      <c r="D16" s="24" t="inlineStr">
        <is>
          <t>datetime</t>
        </is>
      </c>
      <c r="E16" s="24" t="inlineStr">
        <is>
          <t>YES</t>
        </is>
      </c>
      <c r="F16" s="24" t="inlineStr">
        <is>
          <t>更新日期</t>
        </is>
      </c>
      <c r="G16" s="24" t="n"/>
      <c r="H16" s="24" t="n"/>
      <c r="I16" s="24" t="inlineStr"/>
      <c r="J16" s="24" t="inlineStr">
        <is>
          <t>2023/01/12</t>
        </is>
      </c>
    </row>
    <row r="17">
      <c r="B17" s="24" t="inlineStr">
        <is>
          <t>business_contract</t>
        </is>
      </c>
      <c r="C17" s="24" t="inlineStr">
        <is>
          <t>CORPORGID</t>
        </is>
      </c>
      <c r="D17" s="24" t="inlineStr">
        <is>
          <t>varchar(32)</t>
        </is>
      </c>
      <c r="E17" s="24" t="inlineStr">
        <is>
          <t>YES</t>
        </is>
      </c>
      <c r="F17" s="24" t="inlineStr">
        <is>
          <t>法人机构编号</t>
        </is>
      </c>
      <c r="G17" s="24" t="n"/>
      <c r="H17" s="24" t="n"/>
      <c r="I17" s="24" t="inlineStr"/>
      <c r="J17" s="24" t="inlineStr">
        <is>
          <t>2023/01/12</t>
        </is>
      </c>
    </row>
    <row r="18">
      <c r="B18" s="24" t="inlineStr">
        <is>
          <t>business_contract</t>
        </is>
      </c>
      <c r="C18" s="24" t="inlineStr">
        <is>
          <t>PRODUCTNAME</t>
        </is>
      </c>
      <c r="D18" s="24" t="inlineStr">
        <is>
          <t>varchar(80)</t>
        </is>
      </c>
      <c r="E18" s="24" t="inlineStr">
        <is>
          <t>YES</t>
        </is>
      </c>
      <c r="F18" s="24" t="inlineStr">
        <is>
          <t>产品名称</t>
        </is>
      </c>
      <c r="G18" s="55" t="n"/>
      <c r="H18" s="24" t="n"/>
      <c r="I18" s="24" t="inlineStr"/>
      <c r="J18" s="24" t="inlineStr">
        <is>
          <t>2023/01/12</t>
        </is>
      </c>
    </row>
    <row r="19">
      <c r="B19" s="24" t="inlineStr">
        <is>
          <t>business_contract</t>
        </is>
      </c>
      <c r="C19" s="24" t="inlineStr">
        <is>
          <t>SOURCESYSTEM</t>
        </is>
      </c>
      <c r="D19" s="24" t="inlineStr">
        <is>
          <t>varchar(18)</t>
        </is>
      </c>
      <c r="E19" s="24" t="inlineStr">
        <is>
          <t>YES</t>
        </is>
      </c>
      <c r="F19" s="24" t="inlineStr">
        <is>
          <t>来源系统</t>
        </is>
      </c>
      <c r="G19" s="24" t="n"/>
      <c r="H19" s="24" t="n"/>
      <c r="I19" s="24" t="inlineStr"/>
      <c r="J19" s="24" t="inlineStr">
        <is>
          <t>2023/01/12</t>
        </is>
      </c>
    </row>
    <row r="20">
      <c r="B20" s="24" t="inlineStr">
        <is>
          <t>business_contract</t>
        </is>
      </c>
      <c r="C20" s="24" t="inlineStr">
        <is>
          <t>BUSINESSFLAG</t>
        </is>
      </c>
      <c r="D20" s="24" t="inlineStr">
        <is>
          <t>varchar(6)</t>
        </is>
      </c>
      <c r="E20" s="24" t="inlineStr">
        <is>
          <t>YES</t>
        </is>
      </c>
      <c r="F20" s="24" t="inlineStr">
        <is>
          <t>额度/业务标志</t>
        </is>
      </c>
      <c r="G20" s="24" t="n"/>
      <c r="H20" s="24" t="n"/>
      <c r="I20" s="24" t="inlineStr"/>
      <c r="J20" s="24" t="inlineStr">
        <is>
          <t>2023/01/12</t>
        </is>
      </c>
    </row>
    <row r="21">
      <c r="B21" s="24" t="inlineStr">
        <is>
          <t>business_contract</t>
        </is>
      </c>
      <c r="C21" s="24" t="inlineStr">
        <is>
          <t>STATUS</t>
        </is>
      </c>
      <c r="D21" s="24" t="inlineStr">
        <is>
          <t>varchar(18)</t>
        </is>
      </c>
      <c r="E21" s="24" t="inlineStr">
        <is>
          <t>YES</t>
        </is>
      </c>
      <c r="F21" s="24" t="inlineStr">
        <is>
          <t>合同状态</t>
        </is>
      </c>
      <c r="G21" s="52">
        <f>HYPERLINK("#码值映射清单!B8642","ContractStatus")</f>
        <v/>
      </c>
      <c r="H21" s="24" t="n"/>
      <c r="I21" s="24" t="inlineStr"/>
      <c r="J21" s="24" t="inlineStr">
        <is>
          <t>2023/01/12</t>
        </is>
      </c>
    </row>
    <row r="22">
      <c r="B22" s="24" t="inlineStr">
        <is>
          <t>business_contract</t>
        </is>
      </c>
      <c r="C22" s="24" t="inlineStr">
        <is>
          <t>CONTRACTTYPE</t>
        </is>
      </c>
      <c r="D22" s="24" t="inlineStr">
        <is>
          <t>varchar(18)</t>
        </is>
      </c>
      <c r="E22" s="24" t="inlineStr">
        <is>
          <t>YES</t>
        </is>
      </c>
      <c r="F22" s="24" t="inlineStr">
        <is>
          <t>合同类型</t>
        </is>
      </c>
      <c r="G22" s="24" t="n"/>
      <c r="H22" s="24" t="n"/>
      <c r="I22" s="24" t="inlineStr"/>
      <c r="J22" s="24" t="inlineStr">
        <is>
          <t>2023/01/12</t>
        </is>
      </c>
    </row>
    <row r="23">
      <c r="B23" s="24" t="inlineStr">
        <is>
          <t>business_contract</t>
        </is>
      </c>
      <c r="C23" s="24" t="inlineStr">
        <is>
          <t>nationalindustrytype</t>
        </is>
      </c>
      <c r="D23" s="24" t="inlineStr">
        <is>
          <t>varchar(32)</t>
        </is>
      </c>
      <c r="E23" s="24" t="inlineStr">
        <is>
          <t>YES</t>
        </is>
      </c>
      <c r="F23" s="24" t="inlineStr">
        <is>
          <t>国标行业投向</t>
        </is>
      </c>
      <c r="G23" s="52">
        <f>HYPERLINK("#码值映射清单!B5150","YesNo")</f>
        <v/>
      </c>
      <c r="H23" s="24" t="n"/>
      <c r="I23" s="24" t="inlineStr"/>
      <c r="J23" s="24" t="inlineStr">
        <is>
          <t>2023/01/12</t>
        </is>
      </c>
    </row>
    <row r="24">
      <c r="B24" s="24" t="inlineStr">
        <is>
          <t>business_contract</t>
        </is>
      </c>
      <c r="C24" s="24" t="inlineStr">
        <is>
          <t>operateOrgId</t>
        </is>
      </c>
      <c r="D24" s="24" t="inlineStr">
        <is>
          <t>varchar(32)</t>
        </is>
      </c>
      <c r="E24" s="24" t="inlineStr">
        <is>
          <t>YES</t>
        </is>
      </c>
      <c r="F24" s="24" t="inlineStr">
        <is>
          <t>经办机构</t>
        </is>
      </c>
      <c r="G24" s="24" t="n"/>
      <c r="H24" s="24" t="n"/>
      <c r="I24" s="24" t="inlineStr"/>
      <c r="J24" s="24" t="inlineStr">
        <is>
          <t>2023/01/12</t>
        </is>
      </c>
    </row>
    <row r="25">
      <c r="B25" s="24" t="inlineStr">
        <is>
          <t>business_contract</t>
        </is>
      </c>
      <c r="C25" s="24" t="inlineStr">
        <is>
          <t>balance</t>
        </is>
      </c>
      <c r="D25" s="24" t="inlineStr">
        <is>
          <t>decimal(24,6)</t>
        </is>
      </c>
      <c r="E25" s="24" t="inlineStr">
        <is>
          <t>YES</t>
        </is>
      </c>
      <c r="F25" s="24" t="inlineStr">
        <is>
          <t>合同余额</t>
        </is>
      </c>
      <c r="G25" s="24" t="n"/>
      <c r="H25" s="24" t="n"/>
      <c r="I25" s="24" t="inlineStr"/>
      <c r="J25" s="24" t="inlineStr">
        <is>
          <t>2023/01/12</t>
        </is>
      </c>
    </row>
  </sheetData>
  <pageMargins left="0.75" right="0.75" top="1" bottom="1" header="0.5" footer="0.5"/>
  <pageSetup orientation="portrait" paperSize="1" horizontalDpi="300" verticalDpi="300"/>
</worksheet>
</file>

<file path=xl/worksheets/sheet65.xml><?xml version="1.0" encoding="utf-8"?>
<worksheet xmlns="http://schemas.openxmlformats.org/spreadsheetml/2006/main">
  <sheetPr>
    <outlinePr summaryBelow="1" summaryRight="1"/>
    <pageSetUpPr/>
  </sheetPr>
  <dimension ref="A1:J15"/>
  <sheetViews>
    <sheetView zoomScaleSheetLayoutView="60" workbookViewId="0">
      <selection activeCell="E20" sqref="E20"/>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方法库目录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class_catalog</t>
        </is>
      </c>
      <c r="C3" s="24" t="inlineStr">
        <is>
          <t>CLASSNAME</t>
        </is>
      </c>
      <c r="D3" s="24" t="inlineStr">
        <is>
          <t>varchar(200)</t>
        </is>
      </c>
      <c r="E3" s="24" t="inlineStr">
        <is>
          <t>NO</t>
        </is>
      </c>
      <c r="F3" s="24" t="inlineStr">
        <is>
          <t>类名称</t>
        </is>
      </c>
      <c r="G3" s="24" t="n"/>
      <c r="H3" s="24" t="n"/>
      <c r="I3" s="24" t="inlineStr"/>
      <c r="J3" s="24" t="inlineStr">
        <is>
          <t>2023/01/12</t>
        </is>
      </c>
    </row>
    <row r="4">
      <c r="B4" s="24" t="inlineStr">
        <is>
          <t>class_catalog</t>
        </is>
      </c>
      <c r="C4" s="24" t="inlineStr">
        <is>
          <t>CLASSTYPE</t>
        </is>
      </c>
      <c r="D4" s="24" t="inlineStr">
        <is>
          <t>varchar(32)</t>
        </is>
      </c>
      <c r="E4" s="24" t="inlineStr">
        <is>
          <t>YES</t>
        </is>
      </c>
      <c r="F4" s="24" t="inlineStr">
        <is>
          <t>类分类</t>
        </is>
      </c>
      <c r="G4" s="24" t="n"/>
      <c r="H4" s="24" t="n"/>
      <c r="I4" s="24" t="inlineStr"/>
      <c r="J4" s="24" t="inlineStr">
        <is>
          <t>2023/01/12</t>
        </is>
      </c>
    </row>
    <row r="5">
      <c r="B5" s="24" t="inlineStr">
        <is>
          <t>class_catalog</t>
        </is>
      </c>
      <c r="C5" s="24" t="inlineStr">
        <is>
          <t>CLASSDESCRIBE</t>
        </is>
      </c>
      <c r="D5" s="24" t="inlineStr">
        <is>
          <t>varchar(500)</t>
        </is>
      </c>
      <c r="E5" s="24" t="inlineStr">
        <is>
          <t>YES</t>
        </is>
      </c>
      <c r="F5" s="24" t="inlineStr">
        <is>
          <t>类描述</t>
        </is>
      </c>
      <c r="G5" s="24" t="n"/>
      <c r="H5" s="24" t="n"/>
      <c r="I5" s="24" t="inlineStr"/>
      <c r="J5" s="24" t="inlineStr">
        <is>
          <t>2023/01/12</t>
        </is>
      </c>
    </row>
    <row r="6">
      <c r="B6" s="24" t="inlineStr">
        <is>
          <t>class_catalog</t>
        </is>
      </c>
      <c r="C6" s="24" t="inlineStr">
        <is>
          <t>PARENTCLASS</t>
        </is>
      </c>
      <c r="D6" s="24" t="inlineStr">
        <is>
          <t>varchar(200)</t>
        </is>
      </c>
      <c r="E6" s="24" t="inlineStr">
        <is>
          <t>YES</t>
        </is>
      </c>
      <c r="F6" s="24" t="inlineStr">
        <is>
          <t>父类名称</t>
        </is>
      </c>
      <c r="G6" s="24" t="n"/>
      <c r="H6" s="24" t="n"/>
      <c r="I6" s="24" t="inlineStr"/>
      <c r="J6" s="24" t="inlineStr">
        <is>
          <t>2023/01/12</t>
        </is>
      </c>
    </row>
    <row r="7">
      <c r="B7" s="24" t="inlineStr">
        <is>
          <t>class_catalog</t>
        </is>
      </c>
      <c r="C7" s="24" t="inlineStr">
        <is>
          <t>REMARK</t>
        </is>
      </c>
      <c r="D7" s="24" t="inlineStr">
        <is>
          <t>varchar(500)</t>
        </is>
      </c>
      <c r="E7" s="24" t="inlineStr">
        <is>
          <t>YES</t>
        </is>
      </c>
      <c r="F7" s="24" t="inlineStr">
        <is>
          <t>备注</t>
        </is>
      </c>
      <c r="G7" s="24" t="n"/>
      <c r="H7" s="24" t="n"/>
      <c r="I7" s="24" t="inlineStr"/>
      <c r="J7" s="24" t="inlineStr">
        <is>
          <t>2023/01/12</t>
        </is>
      </c>
    </row>
    <row r="8">
      <c r="B8" s="24" t="inlineStr">
        <is>
          <t>class_catalog</t>
        </is>
      </c>
      <c r="C8" s="24" t="inlineStr">
        <is>
          <t>INPUTORG</t>
        </is>
      </c>
      <c r="D8" s="24" t="inlineStr">
        <is>
          <t>varchar(80)</t>
        </is>
      </c>
      <c r="E8" s="24" t="inlineStr">
        <is>
          <t>YES</t>
        </is>
      </c>
      <c r="F8" s="24" t="inlineStr">
        <is>
          <t>登记机构</t>
        </is>
      </c>
      <c r="G8" s="24" t="n"/>
      <c r="H8" s="24" t="n"/>
      <c r="I8" s="24" t="inlineStr"/>
      <c r="J8" s="24" t="inlineStr">
        <is>
          <t>2023/01/12</t>
        </is>
      </c>
    </row>
    <row r="9">
      <c r="B9" s="24" t="inlineStr">
        <is>
          <t>class_catalog</t>
        </is>
      </c>
      <c r="C9" s="24" t="inlineStr">
        <is>
          <t>INPUTUSER</t>
        </is>
      </c>
      <c r="D9" s="24" t="inlineStr">
        <is>
          <t>varchar(80)</t>
        </is>
      </c>
      <c r="E9" s="24" t="inlineStr">
        <is>
          <t>YES</t>
        </is>
      </c>
      <c r="F9" s="24" t="inlineStr">
        <is>
          <t>登记人</t>
        </is>
      </c>
      <c r="G9" s="24" t="n"/>
      <c r="H9" s="24" t="n"/>
      <c r="I9" s="24" t="inlineStr"/>
      <c r="J9" s="24" t="inlineStr">
        <is>
          <t>2023/01/12</t>
        </is>
      </c>
    </row>
    <row r="10">
      <c r="B10" s="24" t="inlineStr">
        <is>
          <t>class_catalog</t>
        </is>
      </c>
      <c r="C10" s="24" t="inlineStr">
        <is>
          <t>INPUTDATE</t>
        </is>
      </c>
      <c r="D10" s="24" t="inlineStr">
        <is>
          <t>datetime</t>
        </is>
      </c>
      <c r="E10" s="24" t="inlineStr">
        <is>
          <t>YES</t>
        </is>
      </c>
      <c r="F10" s="24" t="inlineStr">
        <is>
          <t>登记日期</t>
        </is>
      </c>
      <c r="G10" s="24" t="n"/>
      <c r="H10" s="24" t="n"/>
      <c r="I10" s="24" t="inlineStr"/>
      <c r="J10" s="24" t="inlineStr">
        <is>
          <t>2023/01/12</t>
        </is>
      </c>
    </row>
    <row r="11">
      <c r="B11" s="24" t="inlineStr">
        <is>
          <t>class_catalog</t>
        </is>
      </c>
      <c r="C11" s="24" t="inlineStr">
        <is>
          <t>UPDATEORG</t>
        </is>
      </c>
      <c r="D11" s="24" t="inlineStr">
        <is>
          <t>varchar(80)</t>
        </is>
      </c>
      <c r="E11" s="24" t="inlineStr">
        <is>
          <t>YES</t>
        </is>
      </c>
      <c r="F11" s="24" t="inlineStr">
        <is>
          <t>更新机构</t>
        </is>
      </c>
      <c r="G11" s="24" t="n"/>
      <c r="H11" s="24" t="n"/>
      <c r="I11" s="24" t="inlineStr"/>
      <c r="J11" s="24" t="inlineStr">
        <is>
          <t>2023/01/12</t>
        </is>
      </c>
    </row>
    <row r="12">
      <c r="B12" s="24" t="inlineStr">
        <is>
          <t>class_catalog</t>
        </is>
      </c>
      <c r="C12" s="24" t="inlineStr">
        <is>
          <t>UPDATEUSER</t>
        </is>
      </c>
      <c r="D12" s="24" t="inlineStr">
        <is>
          <t>varchar(80)</t>
        </is>
      </c>
      <c r="E12" s="24" t="inlineStr">
        <is>
          <t>YES</t>
        </is>
      </c>
      <c r="F12" s="24" t="inlineStr">
        <is>
          <t>更新人</t>
        </is>
      </c>
      <c r="G12" s="24" t="n"/>
      <c r="H12" s="24" t="n"/>
      <c r="I12" s="24" t="inlineStr"/>
      <c r="J12" s="24" t="inlineStr">
        <is>
          <t>2023/01/12</t>
        </is>
      </c>
    </row>
    <row r="13">
      <c r="B13" s="24" t="inlineStr">
        <is>
          <t>class_catalog</t>
        </is>
      </c>
      <c r="C13" s="24" t="inlineStr">
        <is>
          <t>UPDATEDATE</t>
        </is>
      </c>
      <c r="D13" s="24" t="inlineStr">
        <is>
          <t>datetime</t>
        </is>
      </c>
      <c r="E13" s="24" t="inlineStr">
        <is>
          <t>YES</t>
        </is>
      </c>
      <c r="F13" s="24" t="inlineStr">
        <is>
          <t>更新日期</t>
        </is>
      </c>
      <c r="G13" s="24" t="n"/>
      <c r="H13" s="24" t="n"/>
      <c r="I13" s="24" t="inlineStr"/>
      <c r="J13" s="24" t="inlineStr">
        <is>
          <t>2023/01/12</t>
        </is>
      </c>
    </row>
    <row r="14">
      <c r="B14" s="24" t="inlineStr">
        <is>
          <t>class_catalog</t>
        </is>
      </c>
      <c r="C14" s="24" t="inlineStr">
        <is>
          <t>INPUTTIME</t>
        </is>
      </c>
      <c r="D14" s="24" t="inlineStr">
        <is>
          <t>datetime</t>
        </is>
      </c>
      <c r="E14" s="24" t="inlineStr">
        <is>
          <t>YES</t>
        </is>
      </c>
      <c r="F14" s="24" t="inlineStr">
        <is>
          <t>登记日期</t>
        </is>
      </c>
      <c r="G14" s="24" t="n"/>
      <c r="H14" s="24" t="n"/>
      <c r="I14" s="24" t="inlineStr"/>
      <c r="J14" s="24" t="inlineStr">
        <is>
          <t>2023/01/12</t>
        </is>
      </c>
    </row>
    <row r="15">
      <c r="B15" s="24" t="inlineStr">
        <is>
          <t>class_catalog</t>
        </is>
      </c>
      <c r="C15" s="24" t="inlineStr">
        <is>
          <t>UPDATETIME</t>
        </is>
      </c>
      <c r="D15" s="24" t="inlineStr">
        <is>
          <t>datetime</t>
        </is>
      </c>
      <c r="E15" s="24" t="inlineStr">
        <is>
          <t>YES</t>
        </is>
      </c>
      <c r="F15" s="24" t="inlineStr">
        <is>
          <t>更新日期</t>
        </is>
      </c>
      <c r="G15" s="24" t="n"/>
      <c r="H15" s="24" t="n"/>
      <c r="I15" s="24" t="inlineStr"/>
      <c r="J15" s="24" t="inlineStr">
        <is>
          <t>2023/01/12</t>
        </is>
      </c>
    </row>
  </sheetData>
  <pageMargins left="0.75" right="0.75" top="1" bottom="1" header="0.5" footer="0.5"/>
  <pageSetup orientation="portrait" paperSize="1" horizontalDpi="300" verticalDpi="300"/>
</worksheet>
</file>

<file path=xl/worksheets/sheet66.xml><?xml version="1.0" encoding="utf-8"?>
<worksheet xmlns="http://schemas.openxmlformats.org/spreadsheetml/2006/main">
  <sheetPr>
    <outlinePr summaryBelow="1" summaryRight="1"/>
    <pageSetUpPr/>
  </sheetPr>
  <dimension ref="A1:J18"/>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方法库明细</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class_method</t>
        </is>
      </c>
      <c r="C3" s="24" t="inlineStr">
        <is>
          <t>CLASSNAME</t>
        </is>
      </c>
      <c r="D3" s="24" t="inlineStr">
        <is>
          <t>varchar(80)</t>
        </is>
      </c>
      <c r="E3" s="24" t="inlineStr">
        <is>
          <t>NO</t>
        </is>
      </c>
      <c r="F3" s="24" t="inlineStr">
        <is>
          <t>类名称</t>
        </is>
      </c>
      <c r="G3" s="24" t="n"/>
      <c r="H3" s="24" t="n"/>
      <c r="I3" s="24" t="inlineStr"/>
      <c r="J3" s="24" t="inlineStr">
        <is>
          <t>2023/01/12</t>
        </is>
      </c>
    </row>
    <row r="4">
      <c r="B4" s="24" t="inlineStr">
        <is>
          <t>class_method</t>
        </is>
      </c>
      <c r="C4" s="24" t="inlineStr">
        <is>
          <t>METHODNAME</t>
        </is>
      </c>
      <c r="D4" s="24" t="inlineStr">
        <is>
          <t>varchar(80)</t>
        </is>
      </c>
      <c r="E4" s="24" t="inlineStr">
        <is>
          <t>NO</t>
        </is>
      </c>
      <c r="F4" s="24" t="inlineStr">
        <is>
          <t>方法名称</t>
        </is>
      </c>
      <c r="G4" s="24" t="n"/>
      <c r="H4" s="24" t="n"/>
      <c r="I4" s="24" t="inlineStr"/>
      <c r="J4" s="24" t="inlineStr">
        <is>
          <t>2023/01/12</t>
        </is>
      </c>
    </row>
    <row r="5">
      <c r="B5" s="24" t="inlineStr">
        <is>
          <t>class_method</t>
        </is>
      </c>
      <c r="C5" s="24" t="inlineStr">
        <is>
          <t>METHODTYPE</t>
        </is>
      </c>
      <c r="D5" s="24" t="inlineStr">
        <is>
          <t>varchar(18)</t>
        </is>
      </c>
      <c r="E5" s="24" t="inlineStr">
        <is>
          <t>YES</t>
        </is>
      </c>
      <c r="F5" s="24" t="inlineStr">
        <is>
          <t>方法类型</t>
        </is>
      </c>
      <c r="G5" s="52">
        <f>HYPERLINK("#码值映射清单!B5641","MethodType")</f>
        <v/>
      </c>
      <c r="H5" s="24" t="n"/>
      <c r="I5" s="24" t="inlineStr"/>
      <c r="J5" s="24" t="inlineStr">
        <is>
          <t>2023/01/12</t>
        </is>
      </c>
    </row>
    <row r="6">
      <c r="B6" s="24" t="inlineStr">
        <is>
          <t>class_method</t>
        </is>
      </c>
      <c r="C6" s="24" t="inlineStr">
        <is>
          <t>METHODDESCRIBE</t>
        </is>
      </c>
      <c r="D6" s="24" t="inlineStr">
        <is>
          <t>varchar(500)</t>
        </is>
      </c>
      <c r="E6" s="24" t="inlineStr">
        <is>
          <t>YES</t>
        </is>
      </c>
      <c r="F6" s="24" t="inlineStr">
        <is>
          <t>方法描述</t>
        </is>
      </c>
      <c r="G6" s="24" t="n"/>
      <c r="H6" s="24" t="n"/>
      <c r="I6" s="24" t="inlineStr"/>
      <c r="J6" s="24" t="inlineStr">
        <is>
          <t>2023/01/12</t>
        </is>
      </c>
    </row>
    <row r="7">
      <c r="B7" s="24" t="inlineStr">
        <is>
          <t>class_method</t>
        </is>
      </c>
      <c r="C7" s="24" t="inlineStr">
        <is>
          <t>RETURNTYPE</t>
        </is>
      </c>
      <c r="D7" s="24" t="inlineStr">
        <is>
          <t>varchar(18)</t>
        </is>
      </c>
      <c r="E7" s="24" t="inlineStr">
        <is>
          <t>YES</t>
        </is>
      </c>
      <c r="F7" s="24" t="inlineStr">
        <is>
          <t>返回值类型</t>
        </is>
      </c>
      <c r="G7" s="24" t="n"/>
      <c r="H7" s="24" t="n"/>
      <c r="I7" s="24" t="inlineStr"/>
      <c r="J7" s="24" t="inlineStr">
        <is>
          <t>2023/01/12</t>
        </is>
      </c>
    </row>
    <row r="8">
      <c r="B8" s="24" t="inlineStr">
        <is>
          <t>class_method</t>
        </is>
      </c>
      <c r="C8" s="24" t="inlineStr">
        <is>
          <t>METHODARGS</t>
        </is>
      </c>
      <c r="D8" s="24" t="inlineStr">
        <is>
          <t>varchar(500)</t>
        </is>
      </c>
      <c r="E8" s="24" t="inlineStr">
        <is>
          <t>YES</t>
        </is>
      </c>
      <c r="F8" s="24" t="inlineStr">
        <is>
          <t>方法参数</t>
        </is>
      </c>
      <c r="G8" s="24" t="n"/>
      <c r="H8" s="24" t="n"/>
      <c r="I8" s="24" t="inlineStr"/>
      <c r="J8" s="24" t="inlineStr">
        <is>
          <t>2023/01/12</t>
        </is>
      </c>
    </row>
    <row r="9">
      <c r="B9" s="24" t="inlineStr">
        <is>
          <t>class_method</t>
        </is>
      </c>
      <c r="C9" s="24" t="inlineStr">
        <is>
          <t>METHODCODE</t>
        </is>
      </c>
      <c r="D9" s="24" t="inlineStr">
        <is>
          <t>varchar(4000)</t>
        </is>
      </c>
      <c r="E9" s="24" t="inlineStr">
        <is>
          <t>YES</t>
        </is>
      </c>
      <c r="F9" s="24" t="inlineStr">
        <is>
          <t>方法实现代码</t>
        </is>
      </c>
      <c r="G9" s="24" t="n"/>
      <c r="H9" s="24" t="n"/>
      <c r="I9" s="24" t="inlineStr"/>
      <c r="J9" s="24" t="inlineStr">
        <is>
          <t>2023/01/12</t>
        </is>
      </c>
    </row>
    <row r="10">
      <c r="B10" s="24" t="inlineStr">
        <is>
          <t>class_method</t>
        </is>
      </c>
      <c r="C10" s="24" t="inlineStr">
        <is>
          <t>REMARK</t>
        </is>
      </c>
      <c r="D10" s="24" t="inlineStr">
        <is>
          <t>varchar(500)</t>
        </is>
      </c>
      <c r="E10" s="24" t="inlineStr">
        <is>
          <t>YES</t>
        </is>
      </c>
      <c r="F10" s="24" t="inlineStr">
        <is>
          <t>备注</t>
        </is>
      </c>
      <c r="G10" s="24" t="n"/>
      <c r="H10" s="24" t="n"/>
      <c r="I10" s="24" t="inlineStr"/>
      <c r="J10" s="24" t="inlineStr">
        <is>
          <t>2023/01/12</t>
        </is>
      </c>
    </row>
    <row r="11">
      <c r="B11" s="24" t="inlineStr">
        <is>
          <t>class_method</t>
        </is>
      </c>
      <c r="C11" s="24" t="inlineStr">
        <is>
          <t>INPUTUSER</t>
        </is>
      </c>
      <c r="D11" s="24" t="inlineStr">
        <is>
          <t>varchar(80)</t>
        </is>
      </c>
      <c r="E11" s="24" t="inlineStr">
        <is>
          <t>YES</t>
        </is>
      </c>
      <c r="F11" s="24" t="inlineStr">
        <is>
          <t>登记人</t>
        </is>
      </c>
      <c r="G11" s="24" t="n"/>
      <c r="H11" s="24" t="n"/>
      <c r="I11" s="24" t="inlineStr"/>
      <c r="J11" s="24" t="inlineStr">
        <is>
          <t>2023/01/12</t>
        </is>
      </c>
    </row>
    <row r="12">
      <c r="B12" s="24" t="inlineStr">
        <is>
          <t>class_method</t>
        </is>
      </c>
      <c r="C12" s="24" t="inlineStr">
        <is>
          <t>INPUTORG</t>
        </is>
      </c>
      <c r="D12" s="24" t="inlineStr">
        <is>
          <t>varchar(80)</t>
        </is>
      </c>
      <c r="E12" s="24" t="inlineStr">
        <is>
          <t>YES</t>
        </is>
      </c>
      <c r="F12" s="24" t="inlineStr">
        <is>
          <t>登记机构</t>
        </is>
      </c>
      <c r="G12" s="24" t="n"/>
      <c r="H12" s="24" t="n"/>
      <c r="I12" s="24" t="inlineStr"/>
      <c r="J12" s="24" t="inlineStr">
        <is>
          <t>2023/01/12</t>
        </is>
      </c>
    </row>
    <row r="13">
      <c r="B13" s="24" t="inlineStr">
        <is>
          <t>class_method</t>
        </is>
      </c>
      <c r="C13" s="24" t="inlineStr">
        <is>
          <t>INPUTDATE</t>
        </is>
      </c>
      <c r="D13" s="24" t="inlineStr">
        <is>
          <t>datetime</t>
        </is>
      </c>
      <c r="E13" s="24" t="inlineStr">
        <is>
          <t>YES</t>
        </is>
      </c>
      <c r="F13" s="24" t="inlineStr">
        <is>
          <t>登记日期</t>
        </is>
      </c>
      <c r="G13" s="24" t="n"/>
      <c r="H13" s="24" t="n"/>
      <c r="I13" s="24" t="inlineStr"/>
      <c r="J13" s="24" t="inlineStr">
        <is>
          <t>2023/01/12</t>
        </is>
      </c>
    </row>
    <row r="14">
      <c r="B14" s="24" t="inlineStr">
        <is>
          <t>class_method</t>
        </is>
      </c>
      <c r="C14" s="24" t="inlineStr">
        <is>
          <t>UPDATEUSER</t>
        </is>
      </c>
      <c r="D14" s="24" t="inlineStr">
        <is>
          <t>varchar(80)</t>
        </is>
      </c>
      <c r="E14" s="24" t="inlineStr">
        <is>
          <t>YES</t>
        </is>
      </c>
      <c r="F14" s="24" t="inlineStr">
        <is>
          <t>更新人</t>
        </is>
      </c>
      <c r="G14" s="24" t="n"/>
      <c r="H14" s="24" t="n"/>
      <c r="I14" s="24" t="inlineStr"/>
      <c r="J14" s="24" t="inlineStr">
        <is>
          <t>2023/01/12</t>
        </is>
      </c>
    </row>
    <row r="15">
      <c r="B15" s="24" t="inlineStr">
        <is>
          <t>class_method</t>
        </is>
      </c>
      <c r="C15" s="24" t="inlineStr">
        <is>
          <t>UPDATEORG</t>
        </is>
      </c>
      <c r="D15" s="24" t="inlineStr">
        <is>
          <t>varchar(80)</t>
        </is>
      </c>
      <c r="E15" s="24" t="inlineStr">
        <is>
          <t>YES</t>
        </is>
      </c>
      <c r="F15" s="24" t="inlineStr">
        <is>
          <t>更新机构</t>
        </is>
      </c>
      <c r="G15" s="24" t="n"/>
      <c r="H15" s="24" t="n"/>
      <c r="I15" s="24" t="inlineStr"/>
      <c r="J15" s="24" t="inlineStr">
        <is>
          <t>2023/01/12</t>
        </is>
      </c>
    </row>
    <row r="16">
      <c r="B16" s="24" t="inlineStr">
        <is>
          <t>class_method</t>
        </is>
      </c>
      <c r="C16" s="24" t="inlineStr">
        <is>
          <t>UPDATEDATE</t>
        </is>
      </c>
      <c r="D16" s="24" t="inlineStr">
        <is>
          <t>datetime</t>
        </is>
      </c>
      <c r="E16" s="24" t="inlineStr">
        <is>
          <t>YES</t>
        </is>
      </c>
      <c r="F16" s="24" t="inlineStr">
        <is>
          <t>登记日期</t>
        </is>
      </c>
      <c r="G16" s="24" t="n"/>
      <c r="H16" s="24" t="n"/>
      <c r="I16" s="24" t="inlineStr"/>
      <c r="J16" s="24" t="inlineStr">
        <is>
          <t>2023/01/12</t>
        </is>
      </c>
    </row>
    <row r="17">
      <c r="B17" s="24" t="inlineStr">
        <is>
          <t>class_method</t>
        </is>
      </c>
      <c r="C17" s="24" t="inlineStr">
        <is>
          <t>INPUTTIME</t>
        </is>
      </c>
      <c r="D17" s="24" t="inlineStr">
        <is>
          <t>datetime</t>
        </is>
      </c>
      <c r="E17" s="24" t="inlineStr">
        <is>
          <t>YES</t>
        </is>
      </c>
      <c r="F17" s="24" t="inlineStr">
        <is>
          <t>登记时间</t>
        </is>
      </c>
      <c r="G17" s="24" t="n"/>
      <c r="H17" s="24" t="n"/>
      <c r="I17" s="24" t="inlineStr"/>
      <c r="J17" s="24" t="inlineStr">
        <is>
          <t>2023/01/12</t>
        </is>
      </c>
    </row>
    <row r="18">
      <c r="B18" s="24" t="inlineStr">
        <is>
          <t>class_method</t>
        </is>
      </c>
      <c r="C18" s="24" t="inlineStr">
        <is>
          <t>UPDATETIME</t>
        </is>
      </c>
      <c r="D18" s="24" t="inlineStr">
        <is>
          <t>datetime</t>
        </is>
      </c>
      <c r="E18" s="24" t="inlineStr">
        <is>
          <t>YES</t>
        </is>
      </c>
      <c r="F18" s="24" t="inlineStr">
        <is>
          <t>更新时间</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67.xml><?xml version="1.0" encoding="utf-8"?>
<worksheet xmlns="http://schemas.openxmlformats.org/spreadsheetml/2006/main">
  <sheetPr>
    <outlinePr summaryBelow="1" summaryRight="1"/>
    <pageSetUpPr/>
  </sheetPr>
  <dimension ref="A1:L166"/>
  <sheetViews>
    <sheetView zoomScaleSheetLayoutView="60" workbookViewId="0">
      <pane ySplit="2" topLeftCell="A56" activePane="bottomLeft" state="frozen"/>
      <selection activeCell="A1" sqref="A1"/>
      <selection pane="bottomLeft" activeCell="C56" sqref="C56:H56"/>
    </sheetView>
  </sheetViews>
  <sheetFormatPr baseColWidth="8" defaultColWidth="9.142857142857141" defaultRowHeight="15.2"/>
  <cols>
    <col width="19.5357142857143" customWidth="1" style="170" min="2" max="2"/>
    <col width="28.8660714285714" customWidth="1" style="170" min="3" max="3"/>
    <col width="15.625" customWidth="1" style="170" min="4" max="4"/>
    <col width="7.80357142857143" customWidth="1" style="170" min="5" max="5"/>
    <col width="39.0625" customWidth="1" style="170" min="6" max="6"/>
    <col width="15.625" customWidth="1" style="170" min="7" max="7"/>
    <col width="11.7053571428571" customWidth="1" style="170" min="10" max="10"/>
    <col width="14.5803571428571" customWidth="1" style="170" min="11" max="11"/>
    <col width="17.1071428571429" customWidth="1" style="170" min="12" max="12"/>
  </cols>
  <sheetData>
    <row r="1">
      <c r="A1" s="1">
        <f>HYPERLINK("#表结构清单!A1","返回")</f>
        <v/>
      </c>
      <c r="B1" t="inlineStr">
        <is>
          <t>金融类质押品</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clr_asset_finance</t>
        </is>
      </c>
      <c r="C3" s="24" t="inlineStr">
        <is>
          <t>CLRID</t>
        </is>
      </c>
      <c r="D3" s="24" t="inlineStr">
        <is>
          <t>varchar(32)</t>
        </is>
      </c>
      <c r="E3" s="24" t="inlineStr">
        <is>
          <t>NO</t>
        </is>
      </c>
      <c r="F3" s="24" t="inlineStr">
        <is>
          <t>押品编号</t>
        </is>
      </c>
      <c r="G3" s="24" t="n"/>
      <c r="H3" s="24" t="n"/>
      <c r="I3" s="24" t="inlineStr"/>
      <c r="J3" s="24" t="inlineStr">
        <is>
          <t>2023/01/12</t>
        </is>
      </c>
    </row>
    <row r="4">
      <c r="B4" s="24" t="inlineStr">
        <is>
          <t>clr_asset_finance</t>
        </is>
      </c>
      <c r="C4" s="24" t="inlineStr">
        <is>
          <t>DEPOSITNO</t>
        </is>
      </c>
      <c r="D4" s="24" t="inlineStr">
        <is>
          <t>varchar(32)</t>
        </is>
      </c>
      <c r="E4" s="24" t="inlineStr">
        <is>
          <t>YES</t>
        </is>
      </c>
      <c r="F4" s="24" t="inlineStr">
        <is>
          <t>存单号码</t>
        </is>
      </c>
      <c r="G4" s="24" t="n"/>
      <c r="H4" s="24" t="n"/>
      <c r="I4" s="24" t="inlineStr"/>
      <c r="J4" s="24" t="inlineStr">
        <is>
          <t>2023/01/12</t>
        </is>
      </c>
    </row>
    <row r="5">
      <c r="B5" s="24" t="inlineStr">
        <is>
          <t>clr_asset_finance</t>
        </is>
      </c>
      <c r="C5" s="24" t="inlineStr">
        <is>
          <t>SAVINGMODE</t>
        </is>
      </c>
      <c r="D5" s="24" t="inlineStr">
        <is>
          <t>varchar(6)</t>
        </is>
      </c>
      <c r="E5" s="24" t="inlineStr">
        <is>
          <t>YES</t>
        </is>
      </c>
      <c r="F5" s="24" t="inlineStr">
        <is>
          <t>储蓄方式</t>
        </is>
      </c>
      <c r="G5" s="52">
        <f>HYPERLINK("#码值映射清单!B758","SavingMode")</f>
        <v/>
      </c>
      <c r="H5" s="24" t="n"/>
      <c r="I5" s="24" t="inlineStr"/>
      <c r="J5" s="24" t="inlineStr">
        <is>
          <t>2023/01/12</t>
        </is>
      </c>
    </row>
    <row r="6">
      <c r="B6" s="24" t="inlineStr">
        <is>
          <t>clr_asset_finance</t>
        </is>
      </c>
      <c r="C6" s="24" t="inlineStr">
        <is>
          <t>SAVEDATE</t>
        </is>
      </c>
      <c r="D6" s="24" t="inlineStr">
        <is>
          <t>datetime</t>
        </is>
      </c>
      <c r="E6" s="24" t="inlineStr">
        <is>
          <t>YES</t>
        </is>
      </c>
      <c r="F6" s="24" t="inlineStr">
        <is>
          <t>存入日期</t>
        </is>
      </c>
      <c r="G6" s="24" t="n"/>
      <c r="H6" s="24" t="n"/>
      <c r="I6" s="24" t="inlineStr"/>
      <c r="J6" s="24" t="inlineStr">
        <is>
          <t>2023/01/12</t>
        </is>
      </c>
    </row>
    <row r="7">
      <c r="B7" s="24" t="inlineStr">
        <is>
          <t>clr_asset_finance</t>
        </is>
      </c>
      <c r="C7" s="24" t="inlineStr">
        <is>
          <t>DRAWMODE</t>
        </is>
      </c>
      <c r="D7" s="24" t="inlineStr">
        <is>
          <t>varchar(6)</t>
        </is>
      </c>
      <c r="E7" s="24" t="inlineStr">
        <is>
          <t>YES</t>
        </is>
      </c>
      <c r="F7" s="24" t="inlineStr">
        <is>
          <t>存单支取方式</t>
        </is>
      </c>
      <c r="G7" s="24" t="n"/>
      <c r="H7" s="24" t="n"/>
      <c r="I7" s="24" t="inlineStr"/>
      <c r="J7" s="24" t="inlineStr">
        <is>
          <t>2023/01/12</t>
        </is>
      </c>
    </row>
    <row r="8">
      <c r="B8" s="24" t="inlineStr">
        <is>
          <t>clr_asset_finance</t>
        </is>
      </c>
      <c r="C8" s="24" t="inlineStr">
        <is>
          <t>BANKBOOKCARDNO</t>
        </is>
      </c>
      <c r="D8" s="24" t="inlineStr">
        <is>
          <t>varchar(32)</t>
        </is>
      </c>
      <c r="E8" s="24" t="inlineStr">
        <is>
          <t>YES</t>
        </is>
      </c>
      <c r="F8" s="24" t="inlineStr">
        <is>
          <t>存折卡号</t>
        </is>
      </c>
      <c r="G8" s="24" t="n"/>
      <c r="H8" s="24" t="n"/>
      <c r="I8" s="24" t="inlineStr"/>
      <c r="J8" s="24" t="inlineStr">
        <is>
          <t>2023/01/12</t>
        </is>
      </c>
    </row>
    <row r="9">
      <c r="B9" s="24" t="inlineStr">
        <is>
          <t>clr_asset_finance</t>
        </is>
      </c>
      <c r="C9" s="24" t="inlineStr">
        <is>
          <t>OPENDATE</t>
        </is>
      </c>
      <c r="D9" s="24" t="inlineStr">
        <is>
          <t>datetime</t>
        </is>
      </c>
      <c r="E9" s="24" t="inlineStr">
        <is>
          <t>YES</t>
        </is>
      </c>
      <c r="F9" s="24" t="inlineStr">
        <is>
          <t>开户日期</t>
        </is>
      </c>
      <c r="G9" s="24" t="n"/>
      <c r="H9" s="24" t="n"/>
      <c r="I9" s="24" t="inlineStr"/>
      <c r="J9" s="24" t="inlineStr">
        <is>
          <t>2023/01/12</t>
        </is>
      </c>
    </row>
    <row r="10">
      <c r="B10" s="24" t="inlineStr">
        <is>
          <t>clr_asset_finance</t>
        </is>
      </c>
      <c r="C10" s="24" t="inlineStr">
        <is>
          <t>BAILCOMESOURCE</t>
        </is>
      </c>
      <c r="D10" s="24" t="inlineStr">
        <is>
          <t>varchar(80)</t>
        </is>
      </c>
      <c r="E10" s="24" t="inlineStr">
        <is>
          <t>YES</t>
        </is>
      </c>
      <c r="F10" s="43" t="inlineStr">
        <is>
          <t>保证金来源</t>
        </is>
      </c>
      <c r="G10" s="24" t="n"/>
      <c r="H10" s="24" t="n"/>
      <c r="I10" s="24" t="inlineStr"/>
      <c r="J10" s="24" t="inlineStr">
        <is>
          <t>2023/01/12</t>
        </is>
      </c>
    </row>
    <row r="11">
      <c r="B11" s="24" t="inlineStr">
        <is>
          <t>clr_asset_finance</t>
        </is>
      </c>
      <c r="C11" s="24" t="inlineStr">
        <is>
          <t>ACCOUNTTYPE</t>
        </is>
      </c>
      <c r="D11" s="24" t="inlineStr">
        <is>
          <t>varchar(18)</t>
        </is>
      </c>
      <c r="E11" s="24" t="inlineStr">
        <is>
          <t>YES</t>
        </is>
      </c>
      <c r="F11" s="43" t="inlineStr">
        <is>
          <t>账户类型/上市类型</t>
        </is>
      </c>
      <c r="G11" s="52">
        <f>HYPERLINK("#码值映射清单!B6265","StockMarketType")</f>
        <v/>
      </c>
      <c r="H11" s="24" t="n"/>
      <c r="I11" s="24" t="inlineStr"/>
      <c r="J11" s="24" t="inlineStr">
        <is>
          <t>2023/01/12</t>
        </is>
      </c>
    </row>
    <row r="12">
      <c r="B12" s="24" t="inlineStr">
        <is>
          <t>clr_asset_finance</t>
        </is>
      </c>
      <c r="C12" s="24" t="inlineStr">
        <is>
          <t>ACCOUNTNO</t>
        </is>
      </c>
      <c r="D12" s="24" t="inlineStr">
        <is>
          <t>varchar(32)</t>
        </is>
      </c>
      <c r="E12" s="24" t="inlineStr">
        <is>
          <t>YES</t>
        </is>
      </c>
      <c r="F12" s="43" t="inlineStr">
        <is>
          <t>账号/资金帐号/收款人账号/股票账户/基金持有人的资金账号/保险缴纳账号/持有人自己账户</t>
        </is>
      </c>
      <c r="G12" s="52">
        <f>HYPERLINK("#码值映射清单!B5150","YesNo")</f>
        <v/>
      </c>
      <c r="H12" s="24" t="n"/>
      <c r="I12" s="24" t="inlineStr"/>
      <c r="J12" s="24" t="inlineStr">
        <is>
          <t>2023/01/12</t>
        </is>
      </c>
    </row>
    <row r="13">
      <c r="B13" s="24" t="inlineStr">
        <is>
          <t>clr_asset_finance</t>
        </is>
      </c>
      <c r="C13" s="24" t="inlineStr">
        <is>
          <t>ACCOUNTNAME</t>
        </is>
      </c>
      <c r="D13" s="24" t="inlineStr">
        <is>
          <t>varchar(80)</t>
        </is>
      </c>
      <c r="E13" s="24" t="inlineStr">
        <is>
          <t>YES</t>
        </is>
      </c>
      <c r="F13" s="24" t="inlineStr">
        <is>
          <t>户名</t>
        </is>
      </c>
      <c r="G13" s="24" t="n"/>
      <c r="H13" s="24" t="n"/>
      <c r="I13" s="24" t="inlineStr"/>
      <c r="J13" s="24" t="inlineStr">
        <is>
          <t>2023/01/12</t>
        </is>
      </c>
    </row>
    <row r="14">
      <c r="B14" s="24" t="inlineStr">
        <is>
          <t>clr_asset_finance</t>
        </is>
      </c>
      <c r="C14" s="24" t="inlineStr">
        <is>
          <t>OPENBANKNO</t>
        </is>
      </c>
      <c r="D14" s="24" t="inlineStr">
        <is>
          <t>varchar(80)</t>
        </is>
      </c>
      <c r="E14" s="24" t="inlineStr">
        <is>
          <t>YES</t>
        </is>
      </c>
      <c r="F14" s="43" t="inlineStr">
        <is>
          <t>开户银行行号/存单所属行行号/保险费用缴纳开户行号</t>
        </is>
      </c>
      <c r="G14" s="24" t="n"/>
      <c r="H14" s="24" t="n"/>
      <c r="I14" s="24" t="inlineStr"/>
      <c r="J14" s="24" t="inlineStr">
        <is>
          <t>2023/01/12</t>
        </is>
      </c>
    </row>
    <row r="15">
      <c r="B15" s="24" t="inlineStr">
        <is>
          <t>clr_asset_finance</t>
        </is>
      </c>
      <c r="C15" s="24" t="inlineStr">
        <is>
          <t>OPENBANKNAME</t>
        </is>
      </c>
      <c r="D15" s="24" t="inlineStr">
        <is>
          <t>varchar(80)</t>
        </is>
      </c>
      <c r="E15" s="24" t="inlineStr">
        <is>
          <t>YES</t>
        </is>
      </c>
      <c r="F15" s="43" t="inlineStr">
        <is>
          <t>开户行名称/债券发行人/收款人开户银行/存单所属行名称/保险费用缴纳开户行</t>
        </is>
      </c>
      <c r="G15" s="24" t="n"/>
      <c r="H15" s="24" t="n"/>
      <c r="I15" s="24" t="inlineStr"/>
      <c r="J15" s="24" t="inlineStr">
        <is>
          <t>2023/01/12</t>
        </is>
      </c>
    </row>
    <row r="16">
      <c r="B16" s="24" t="inlineStr">
        <is>
          <t>clr_asset_finance</t>
        </is>
      </c>
      <c r="C16" s="24" t="inlineStr">
        <is>
          <t>DATEOFVALUE</t>
        </is>
      </c>
      <c r="D16" s="24" t="inlineStr">
        <is>
          <t>datetime</t>
        </is>
      </c>
      <c r="E16" s="24" t="inlineStr">
        <is>
          <t>YES</t>
        </is>
      </c>
      <c r="F16" s="24" t="inlineStr">
        <is>
          <t>起息日期/债券开户日/发行日/出票日期/保单生效日</t>
        </is>
      </c>
      <c r="G16" s="24" t="n"/>
      <c r="H16" s="24" t="n"/>
      <c r="I16" s="24" t="inlineStr"/>
      <c r="J16" s="24" t="inlineStr">
        <is>
          <t>2023/01/12</t>
        </is>
      </c>
    </row>
    <row r="17">
      <c r="B17" s="24" t="inlineStr">
        <is>
          <t>clr_asset_finance</t>
        </is>
      </c>
      <c r="C17" s="24" t="inlineStr">
        <is>
          <t>MATURITYDATE</t>
        </is>
      </c>
      <c r="D17" s="24" t="inlineStr">
        <is>
          <t>datetime</t>
        </is>
      </c>
      <c r="E17" s="24" t="inlineStr">
        <is>
          <t>YES</t>
        </is>
      </c>
      <c r="F17" s="43" t="inlineStr">
        <is>
          <t>到期日期/债券到期日/到期日期/保单到期日期</t>
        </is>
      </c>
      <c r="G17" s="24" t="n"/>
      <c r="H17" s="24" t="n"/>
      <c r="I17" s="24" t="inlineStr"/>
      <c r="J17" s="24" t="inlineStr">
        <is>
          <t>2023/01/12</t>
        </is>
      </c>
    </row>
    <row r="18">
      <c r="B18" s="24" t="inlineStr">
        <is>
          <t>clr_asset_finance</t>
        </is>
      </c>
      <c r="C18" s="24" t="inlineStr">
        <is>
          <t>CASHDEVTYPE</t>
        </is>
      </c>
      <c r="D18" s="24" t="inlineStr">
        <is>
          <t>varchar(6)</t>
        </is>
      </c>
      <c r="E18" s="24" t="inlineStr">
        <is>
          <t>YES</t>
        </is>
      </c>
      <c r="F18" s="24" t="inlineStr">
        <is>
          <t>票据类型</t>
        </is>
      </c>
      <c r="G18" s="52">
        <f>HYPERLINK("#码值映射清单!B4072","InsuranceType")</f>
        <v/>
      </c>
      <c r="H18" s="24" t="n"/>
      <c r="I18" s="24" t="inlineStr"/>
      <c r="J18" s="24" t="inlineStr">
        <is>
          <t>2023/01/12</t>
        </is>
      </c>
    </row>
    <row r="19">
      <c r="B19" s="24" t="inlineStr">
        <is>
          <t>clr_asset_finance</t>
        </is>
      </c>
      <c r="C19" s="24" t="inlineStr">
        <is>
          <t>DESPOSITTYPE</t>
        </is>
      </c>
      <c r="D19" s="24" t="inlineStr">
        <is>
          <t>varchar(6)</t>
        </is>
      </c>
      <c r="E19" s="24" t="inlineStr">
        <is>
          <t>YES</t>
        </is>
      </c>
      <c r="F19" s="43" t="inlineStr">
        <is>
          <t>存单类型/债券市场类型/票据类型/基金投资类型/保险种类/保证金账户类型/我行理财产品类型</t>
        </is>
      </c>
      <c r="G19" s="61">
        <f>HYPERLINK("#码值映射清单!B1934","DepositType")</f>
        <v/>
      </c>
      <c r="H19" s="24" t="n"/>
      <c r="I19" s="24" t="inlineStr"/>
      <c r="J19" s="24" t="inlineStr">
        <is>
          <t>2023/01/12</t>
        </is>
      </c>
    </row>
    <row r="20">
      <c r="B20" s="24" t="inlineStr">
        <is>
          <t>clr_asset_finance</t>
        </is>
      </c>
      <c r="C20" s="24" t="inlineStr">
        <is>
          <t>BALANCE</t>
        </is>
      </c>
      <c r="D20" s="24" t="inlineStr">
        <is>
          <t>decimal(24,6)</t>
        </is>
      </c>
      <c r="E20" s="24" t="inlineStr">
        <is>
          <t>YES</t>
        </is>
      </c>
      <c r="F20" s="24" t="inlineStr">
        <is>
          <t>余额/最近一个交易日市价;净值）/保险承保金额</t>
        </is>
      </c>
      <c r="G20" s="24" t="n"/>
      <c r="H20" s="24" t="n"/>
      <c r="I20" s="24" t="inlineStr"/>
      <c r="J20" s="24" t="inlineStr">
        <is>
          <t>2023/01/12</t>
        </is>
      </c>
    </row>
    <row r="21">
      <c r="B21" s="24" t="inlineStr">
        <is>
          <t>clr_asset_finance</t>
        </is>
      </c>
      <c r="C21" s="24" t="inlineStr">
        <is>
          <t>TRADECONTRACTNO</t>
        </is>
      </c>
      <c r="D21" s="46" t="inlineStr">
        <is>
          <t>varchar(50)</t>
        </is>
      </c>
      <c r="E21" s="46" t="inlineStr">
        <is>
          <t>YES</t>
        </is>
      </c>
      <c r="F21" s="49" t="inlineStr">
        <is>
          <t>贵金属交易合约号/汇票交易合同号码/保险合同号/理财协议编号</t>
        </is>
      </c>
      <c r="G21" s="24" t="n"/>
      <c r="H21" s="24" t="n"/>
      <c r="I21" s="24" t="inlineStr"/>
      <c r="J21" s="180" t="n">
        <v>45740</v>
      </c>
    </row>
    <row r="22">
      <c r="B22" s="24" t="inlineStr">
        <is>
          <t>clr_asset_finance</t>
        </is>
      </c>
      <c r="C22" s="24" t="inlineStr">
        <is>
          <t>GOLDACCOUNTNUMBER</t>
        </is>
      </c>
      <c r="D22" s="24" t="inlineStr">
        <is>
          <t>varchar(32)</t>
        </is>
      </c>
      <c r="E22" s="24" t="inlineStr">
        <is>
          <t>YES</t>
        </is>
      </c>
      <c r="F22" s="24" t="inlineStr">
        <is>
          <t>黄金交易账户编码/股东代码/贵金属交易账号</t>
        </is>
      </c>
      <c r="G22" s="24" t="n"/>
      <c r="H22" s="24" t="n"/>
      <c r="I22" s="24" t="inlineStr"/>
      <c r="J22" s="24" t="inlineStr">
        <is>
          <t>2023/01/12</t>
        </is>
      </c>
    </row>
    <row r="23">
      <c r="B23" s="24" t="inlineStr">
        <is>
          <t>clr_asset_finance</t>
        </is>
      </c>
      <c r="C23" s="24" t="inlineStr">
        <is>
          <t>TRADENO</t>
        </is>
      </c>
      <c r="D23" s="24" t="inlineStr">
        <is>
          <t>varchar(32)</t>
        </is>
      </c>
      <c r="E23" s="24" t="inlineStr">
        <is>
          <t>YES</t>
        </is>
      </c>
      <c r="F23" s="24" t="inlineStr">
        <is>
          <t>交易号</t>
        </is>
      </c>
      <c r="G23" s="24" t="n"/>
      <c r="H23" s="24" t="n"/>
      <c r="I23" s="24" t="inlineStr"/>
      <c r="J23" s="24" t="inlineStr">
        <is>
          <t>2023/01/12</t>
        </is>
      </c>
    </row>
    <row r="24">
      <c r="B24" s="24" t="inlineStr">
        <is>
          <t>clr_asset_finance</t>
        </is>
      </c>
      <c r="C24" s="24" t="inlineStr">
        <is>
          <t>NOBLEMETALTYPE</t>
        </is>
      </c>
      <c r="D24" s="24" t="inlineStr">
        <is>
          <t>varchar(18)</t>
        </is>
      </c>
      <c r="E24" s="24" t="inlineStr">
        <is>
          <t>YES</t>
        </is>
      </c>
      <c r="F24" s="24" t="inlineStr">
        <is>
          <t>贵金属品种</t>
        </is>
      </c>
      <c r="G24" s="52">
        <f>HYPERLINK("#码值映射清单!B1421","MyNobleMetalType")</f>
        <v/>
      </c>
      <c r="H24" s="24" t="n"/>
      <c r="I24" s="24" t="inlineStr"/>
      <c r="J24" s="24" t="inlineStr">
        <is>
          <t>2023/01/12</t>
        </is>
      </c>
    </row>
    <row r="25">
      <c r="B25" s="24" t="inlineStr">
        <is>
          <t>clr_asset_finance</t>
        </is>
      </c>
      <c r="C25" s="24" t="inlineStr">
        <is>
          <t>NOBLEMETALNORMS</t>
        </is>
      </c>
      <c r="D25" s="24" t="inlineStr">
        <is>
          <t>varchar(80)</t>
        </is>
      </c>
      <c r="E25" s="24" t="inlineStr">
        <is>
          <t>YES</t>
        </is>
      </c>
      <c r="F25" s="24" t="inlineStr">
        <is>
          <t>贵金属规格</t>
        </is>
      </c>
      <c r="G25" s="24" t="n"/>
      <c r="H25" s="24" t="n"/>
      <c r="I25" s="24" t="inlineStr"/>
      <c r="J25" s="24" t="inlineStr">
        <is>
          <t>2023/01/12</t>
        </is>
      </c>
    </row>
    <row r="26">
      <c r="B26" s="24" t="inlineStr">
        <is>
          <t>clr_asset_finance</t>
        </is>
      </c>
      <c r="C26" s="24" t="inlineStr">
        <is>
          <t>NOBLEMETALQUANTITY</t>
        </is>
      </c>
      <c r="D26" s="24" t="inlineStr">
        <is>
          <t>int</t>
        </is>
      </c>
      <c r="E26" s="24" t="inlineStr">
        <is>
          <t>YES</t>
        </is>
      </c>
      <c r="F26" s="24" t="inlineStr">
        <is>
          <t>贵金属数量/持有股票数量/持有基金份数</t>
        </is>
      </c>
      <c r="G26" s="24" t="n"/>
      <c r="H26" s="24" t="n"/>
      <c r="I26" s="24" t="inlineStr"/>
      <c r="J26" s="24" t="inlineStr">
        <is>
          <t>2023/01/12</t>
        </is>
      </c>
    </row>
    <row r="27">
      <c r="B27" s="24" t="inlineStr">
        <is>
          <t>clr_asset_finance</t>
        </is>
      </c>
      <c r="C27" s="24" t="inlineStr">
        <is>
          <t>PURCHASEDATE</t>
        </is>
      </c>
      <c r="D27" s="24" t="inlineStr">
        <is>
          <t>datetime</t>
        </is>
      </c>
      <c r="E27" s="24" t="inlineStr">
        <is>
          <t>YES</t>
        </is>
      </c>
      <c r="F27" s="24" t="inlineStr">
        <is>
          <t>贵金属购入日期/债券购入日期/签发日期/最近一个交易日日期</t>
        </is>
      </c>
      <c r="G27" s="24" t="n"/>
      <c r="H27" s="24" t="n"/>
      <c r="I27" s="24" t="inlineStr"/>
      <c r="J27" s="24" t="inlineStr">
        <is>
          <t>2023/01/12</t>
        </is>
      </c>
    </row>
    <row r="28">
      <c r="B28" s="24" t="inlineStr">
        <is>
          <t>clr_asset_finance</t>
        </is>
      </c>
      <c r="C28" s="24" t="inlineStr">
        <is>
          <t>PURCHASEVALUE</t>
        </is>
      </c>
      <c r="D28" s="24" t="inlineStr">
        <is>
          <t>decimal(24,6)</t>
        </is>
      </c>
      <c r="E28" s="24" t="inlineStr">
        <is>
          <t>YES</t>
        </is>
      </c>
      <c r="F28" s="24" t="inlineStr">
        <is>
          <t>贵金属购入价值/最近一年;净值）均价</t>
        </is>
      </c>
      <c r="G28" s="24" t="n"/>
      <c r="H28" s="24" t="n"/>
      <c r="I28" s="24" t="inlineStr"/>
      <c r="J28" s="24" t="inlineStr">
        <is>
          <t>2023/01/12</t>
        </is>
      </c>
    </row>
    <row r="29">
      <c r="B29" s="24" t="inlineStr">
        <is>
          <t>clr_asset_finance</t>
        </is>
      </c>
      <c r="C29" s="24" t="inlineStr">
        <is>
          <t>CURRPRICE</t>
        </is>
      </c>
      <c r="D29" s="24" t="inlineStr">
        <is>
          <t>decimal(24,6)</t>
        </is>
      </c>
      <c r="E29" s="24" t="inlineStr">
        <is>
          <t>YES</t>
        </is>
      </c>
      <c r="F29" s="43" t="inlineStr">
        <is>
          <t>贵金属当前市场价格/保险价值/折合人民币</t>
        </is>
      </c>
      <c r="G29" s="24" t="n"/>
      <c r="H29" s="24" t="n"/>
      <c r="I29" s="24" t="inlineStr"/>
      <c r="J29" s="24" t="inlineStr">
        <is>
          <t>2023/01/12</t>
        </is>
      </c>
    </row>
    <row r="30">
      <c r="B30" s="24" t="inlineStr">
        <is>
          <t>clr_asset_finance</t>
        </is>
      </c>
      <c r="C30" s="24" t="inlineStr">
        <is>
          <t>CURRPRICEEVALDATE</t>
        </is>
      </c>
      <c r="D30" s="24" t="inlineStr">
        <is>
          <t>date</t>
        </is>
      </c>
      <c r="E30" s="24" t="inlineStr">
        <is>
          <t>YES</t>
        </is>
      </c>
      <c r="F30" s="24" t="inlineStr">
        <is>
          <t>贵金属市场价格评估日期</t>
        </is>
      </c>
      <c r="G30" s="24" t="n"/>
      <c r="H30" s="24" t="n"/>
      <c r="I30" s="24" t="inlineStr"/>
      <c r="J30" s="24" t="inlineStr">
        <is>
          <t>2023/01/12</t>
        </is>
      </c>
    </row>
    <row r="31">
      <c r="B31" s="24" t="inlineStr">
        <is>
          <t>clr_asset_finance</t>
        </is>
      </c>
      <c r="C31" s="24" t="inlineStr">
        <is>
          <t>BILLNO</t>
        </is>
      </c>
      <c r="D31" s="24" t="inlineStr">
        <is>
          <t>varchar(32)</t>
        </is>
      </c>
      <c r="E31" s="24" t="inlineStr">
        <is>
          <t>YES</t>
        </is>
      </c>
      <c r="F31" s="24" t="inlineStr">
        <is>
          <t>债券券号/票据号/股票代码/基金代码</t>
        </is>
      </c>
      <c r="G31" s="24" t="n"/>
      <c r="H31" s="24" t="n"/>
      <c r="I31" s="24" t="inlineStr"/>
      <c r="J31" s="24" t="inlineStr">
        <is>
          <t>2023/01/12</t>
        </is>
      </c>
    </row>
    <row r="32">
      <c r="B32" s="24" t="inlineStr">
        <is>
          <t>clr_asset_finance</t>
        </is>
      </c>
      <c r="C32" s="24" t="inlineStr">
        <is>
          <t>BILLNAME</t>
        </is>
      </c>
      <c r="D32" s="24" t="inlineStr">
        <is>
          <t>varchar(80)</t>
        </is>
      </c>
      <c r="E32" s="24" t="inlineStr">
        <is>
          <t>YES</t>
        </is>
      </c>
      <c r="F32" s="43" t="inlineStr">
        <is>
          <t>债券名称/股票名称/基金名称/保险机构名称/理财产品名称</t>
        </is>
      </c>
      <c r="G32" s="52">
        <f>HYPERLINK("#码值映射清单!B5791","InsuranceCompany")</f>
        <v/>
      </c>
      <c r="H32" s="24" t="n"/>
      <c r="I32" s="24" t="inlineStr"/>
      <c r="J32" s="24" t="inlineStr">
        <is>
          <t>2023/01/12</t>
        </is>
      </c>
    </row>
    <row r="33">
      <c r="B33" s="24" t="inlineStr">
        <is>
          <t>clr_asset_finance</t>
        </is>
      </c>
      <c r="C33" s="24" t="inlineStr">
        <is>
          <t>OWNER</t>
        </is>
      </c>
      <c r="D33" s="24" t="inlineStr">
        <is>
          <t>varchar(80)</t>
        </is>
      </c>
      <c r="E33" s="24" t="inlineStr">
        <is>
          <t>YES</t>
        </is>
      </c>
      <c r="F33" s="24" t="inlineStr">
        <is>
          <t>债券持有人/持票人/未上市股票的托管单位/被保险人/基金持有人</t>
        </is>
      </c>
      <c r="G33" s="24" t="n"/>
      <c r="H33" s="24" t="n"/>
      <c r="I33" s="24" t="inlineStr"/>
      <c r="J33" s="24" t="inlineStr">
        <is>
          <t>2023/01/12</t>
        </is>
      </c>
    </row>
    <row r="34">
      <c r="B34" s="24" t="inlineStr">
        <is>
          <t>clr_asset_finance</t>
        </is>
      </c>
      <c r="C34" s="24" t="inlineStr">
        <is>
          <t>INTERESTPAYTYPE</t>
        </is>
      </c>
      <c r="D34" s="24" t="inlineStr">
        <is>
          <t>varchar(18)</t>
        </is>
      </c>
      <c r="E34" s="24" t="inlineStr">
        <is>
          <t>YES</t>
        </is>
      </c>
      <c r="F34" s="24" t="inlineStr">
        <is>
          <t>利息支付方式</t>
        </is>
      </c>
      <c r="G34" s="52">
        <f>HYPERLINK("#码值映射清单!B2868","BondInterestType")</f>
        <v/>
      </c>
      <c r="H34" s="24" t="n"/>
      <c r="I34" s="24" t="inlineStr"/>
      <c r="J34" s="24" t="inlineStr">
        <is>
          <t>2023/01/12</t>
        </is>
      </c>
    </row>
    <row r="35">
      <c r="B35" s="24" t="inlineStr">
        <is>
          <t>clr_asset_finance</t>
        </is>
      </c>
      <c r="C35" s="24" t="inlineStr">
        <is>
          <t>INCOMERATE</t>
        </is>
      </c>
      <c r="D35" s="24" t="inlineStr">
        <is>
          <t>decimal(18,8)</t>
        </is>
      </c>
      <c r="E35" s="24" t="inlineStr">
        <is>
          <t>YES</t>
        </is>
      </c>
      <c r="F35" s="24" t="inlineStr">
        <is>
          <t>债券到期收益率</t>
        </is>
      </c>
      <c r="G35" s="24" t="n"/>
      <c r="H35" s="24" t="n"/>
      <c r="I35" s="24" t="inlineStr"/>
      <c r="J35" s="24" t="inlineStr">
        <is>
          <t>2023/01/12</t>
        </is>
      </c>
    </row>
    <row r="36">
      <c r="B36" s="24" t="inlineStr">
        <is>
          <t>clr_asset_finance</t>
        </is>
      </c>
      <c r="C36" s="24" t="inlineStr">
        <is>
          <t>INTERESTPERIOD</t>
        </is>
      </c>
      <c r="D36" s="24" t="inlineStr">
        <is>
          <t>varchar(18)</t>
        </is>
      </c>
      <c r="E36" s="24" t="inlineStr">
        <is>
          <t>YES</t>
        </is>
      </c>
      <c r="F36" s="24" t="inlineStr">
        <is>
          <t>计息周期</t>
        </is>
      </c>
      <c r="G36" s="52">
        <f>HYPERLINK("#码值映射清单!B7853","CalcCircle")</f>
        <v/>
      </c>
      <c r="H36" s="24" t="n"/>
      <c r="I36" s="24" t="inlineStr"/>
      <c r="J36" s="24" t="inlineStr">
        <is>
          <t>2023/01/12</t>
        </is>
      </c>
    </row>
    <row r="37">
      <c r="B37" s="24" t="inlineStr">
        <is>
          <t>clr_asset_finance</t>
        </is>
      </c>
      <c r="C37" s="24" t="inlineStr">
        <is>
          <t>BILLVALUE</t>
        </is>
      </c>
      <c r="D37" s="24" t="inlineStr">
        <is>
          <t>decimal(24,6)</t>
        </is>
      </c>
      <c r="E37" s="24" t="inlineStr">
        <is>
          <t>YES</t>
        </is>
      </c>
      <c r="F37" s="43" t="inlineStr">
        <is>
          <t>债券票面价值/票面金额/保险费用/存单金额</t>
        </is>
      </c>
      <c r="G37" s="24" t="n"/>
      <c r="H37" s="24" t="n"/>
      <c r="I37" s="24" t="inlineStr"/>
      <c r="J37" s="24" t="inlineStr">
        <is>
          <t>2023/01/12</t>
        </is>
      </c>
    </row>
    <row r="38">
      <c r="B38" s="24" t="inlineStr">
        <is>
          <t>clr_asset_finance</t>
        </is>
      </c>
      <c r="C38" s="24" t="inlineStr">
        <is>
          <t>BONDAGENCYPUBLISHER</t>
        </is>
      </c>
      <c r="D38" s="24" t="inlineStr">
        <is>
          <t>varchar(80)</t>
        </is>
      </c>
      <c r="E38" s="24" t="inlineStr">
        <is>
          <t>YES</t>
        </is>
      </c>
      <c r="F38" s="43" t="inlineStr">
        <is>
          <t>债券代理发行机构/出票人/公司名称/基金发行公司名称/投保人/标的公司名称</t>
        </is>
      </c>
      <c r="G38" s="24" t="n"/>
      <c r="H38" s="24" t="n"/>
      <c r="I38" s="24" t="inlineStr"/>
      <c r="J38" s="24" t="inlineStr">
        <is>
          <t>2023/01/12</t>
        </is>
      </c>
    </row>
    <row r="39">
      <c r="B39" s="24" t="inlineStr">
        <is>
          <t>clr_asset_finance</t>
        </is>
      </c>
      <c r="C39" s="24" t="inlineStr">
        <is>
          <t>BONDCREDITLEVEL</t>
        </is>
      </c>
      <c r="D39" s="24" t="inlineStr">
        <is>
          <t>varchar(1000)</t>
        </is>
      </c>
      <c r="E39" s="24" t="inlineStr">
        <is>
          <t>YES</t>
        </is>
      </c>
      <c r="F39" s="24" t="inlineStr">
        <is>
          <t>债券信用等级</t>
        </is>
      </c>
      <c r="G39" s="24" t="n"/>
      <c r="H39" s="24" t="n"/>
      <c r="I39" s="24" t="inlineStr"/>
      <c r="J39" s="24" t="inlineStr">
        <is>
          <t>2023/01/12</t>
        </is>
      </c>
    </row>
    <row r="40">
      <c r="B40" s="24" t="inlineStr">
        <is>
          <t>clr_asset_finance</t>
        </is>
      </c>
      <c r="C40" s="24" t="inlineStr">
        <is>
          <t>BILLPAYEE</t>
        </is>
      </c>
      <c r="D40" s="24" t="inlineStr">
        <is>
          <t>varchar(80)</t>
        </is>
      </c>
      <c r="E40" s="24" t="inlineStr">
        <is>
          <t>YES</t>
        </is>
      </c>
      <c r="F40" s="24" t="inlineStr">
        <is>
          <t>收款人/受益人</t>
        </is>
      </c>
      <c r="G40" s="24" t="n"/>
      <c r="H40" s="24" t="n"/>
      <c r="I40" s="24" t="inlineStr"/>
      <c r="J40" s="24" t="inlineStr">
        <is>
          <t>2023/01/12</t>
        </is>
      </c>
    </row>
    <row r="41">
      <c r="B41" s="24" t="inlineStr">
        <is>
          <t>clr_asset_finance</t>
        </is>
      </c>
      <c r="C41" s="24" t="inlineStr">
        <is>
          <t>DRAWERACCOUNTNO</t>
        </is>
      </c>
      <c r="D41" s="24" t="inlineStr">
        <is>
          <t>varchar(32)</t>
        </is>
      </c>
      <c r="E41" s="24" t="inlineStr">
        <is>
          <t>YES</t>
        </is>
      </c>
      <c r="F41" s="24" t="inlineStr">
        <is>
          <t>出票人账号</t>
        </is>
      </c>
      <c r="G41" s="24" t="n"/>
      <c r="H41" s="24" t="n"/>
      <c r="I41" s="24" t="inlineStr"/>
      <c r="J41" s="24" t="inlineStr">
        <is>
          <t>2023/01/12</t>
        </is>
      </c>
    </row>
    <row r="42">
      <c r="B42" s="24" t="inlineStr">
        <is>
          <t>clr_asset_finance</t>
        </is>
      </c>
      <c r="C42" s="24" t="inlineStr">
        <is>
          <t>ACCEPTORNAME</t>
        </is>
      </c>
      <c r="D42" s="24" t="inlineStr">
        <is>
          <t>varchar(80)</t>
        </is>
      </c>
      <c r="E42" s="24" t="inlineStr">
        <is>
          <t>YES</t>
        </is>
      </c>
      <c r="F42" s="24" t="inlineStr">
        <is>
          <t>承兑人名称</t>
        </is>
      </c>
      <c r="G42" s="24" t="n"/>
      <c r="H42" s="24" t="n"/>
      <c r="I42" s="24" t="inlineStr"/>
      <c r="J42" s="24" t="inlineStr">
        <is>
          <t>2023/01/12</t>
        </is>
      </c>
    </row>
    <row r="43">
      <c r="B43" s="24" t="inlineStr">
        <is>
          <t>clr_asset_finance</t>
        </is>
      </c>
      <c r="C43" s="24" t="inlineStr">
        <is>
          <t>ACCEPTORBANKNAME</t>
        </is>
      </c>
      <c r="D43" s="24" t="inlineStr">
        <is>
          <t>varchar(80)</t>
        </is>
      </c>
      <c r="E43" s="24" t="inlineStr">
        <is>
          <t>YES</t>
        </is>
      </c>
      <c r="F43" s="24" t="inlineStr">
        <is>
          <t>承兑行名称</t>
        </is>
      </c>
      <c r="G43" s="24" t="n"/>
      <c r="H43" s="24" t="n"/>
      <c r="I43" s="24" t="inlineStr"/>
      <c r="J43" s="24" t="inlineStr">
        <is>
          <t>2023/01/12</t>
        </is>
      </c>
    </row>
    <row r="44">
      <c r="B44" s="24" t="inlineStr">
        <is>
          <t>clr_asset_finance</t>
        </is>
      </c>
      <c r="C44" s="24" t="inlineStr">
        <is>
          <t>ACCEPTORBANKNO</t>
        </is>
      </c>
      <c r="D44" s="24" t="inlineStr">
        <is>
          <t>varchar(32)</t>
        </is>
      </c>
      <c r="E44" s="24" t="inlineStr">
        <is>
          <t>YES</t>
        </is>
      </c>
      <c r="F44" s="24" t="inlineStr">
        <is>
          <t>承兑行行号</t>
        </is>
      </c>
      <c r="G44" s="24" t="n"/>
      <c r="H44" s="24" t="n"/>
      <c r="I44" s="24" t="inlineStr"/>
      <c r="J44" s="24" t="inlineStr">
        <is>
          <t>2023/01/12</t>
        </is>
      </c>
    </row>
    <row r="45">
      <c r="B45" s="24" t="inlineStr">
        <is>
          <t>clr_asset_finance</t>
        </is>
      </c>
      <c r="C45" s="24" t="inlineStr">
        <is>
          <t>DRAWEEBANKNO</t>
        </is>
      </c>
      <c r="D45" s="24" t="inlineStr">
        <is>
          <t>varchar(32)</t>
        </is>
      </c>
      <c r="E45" s="24" t="inlineStr">
        <is>
          <t>YES</t>
        </is>
      </c>
      <c r="F45" s="24" t="inlineStr">
        <is>
          <t>付款行行号</t>
        </is>
      </c>
      <c r="G45" s="24" t="n"/>
      <c r="H45" s="24" t="n"/>
      <c r="I45" s="24" t="inlineStr"/>
      <c r="J45" s="24" t="inlineStr">
        <is>
          <t>2023/01/12</t>
        </is>
      </c>
    </row>
    <row r="46">
      <c r="B46" s="24" t="inlineStr">
        <is>
          <t>clr_asset_finance</t>
        </is>
      </c>
      <c r="C46" s="24" t="inlineStr">
        <is>
          <t>DRAWEEBANK</t>
        </is>
      </c>
      <c r="D46" s="24" t="inlineStr">
        <is>
          <t>varchar(80)</t>
        </is>
      </c>
      <c r="E46" s="24" t="inlineStr">
        <is>
          <t>YES</t>
        </is>
      </c>
      <c r="F46" s="24" t="inlineStr">
        <is>
          <t>汇票付款行</t>
        </is>
      </c>
      <c r="G46" s="24" t="n"/>
      <c r="H46" s="24" t="n"/>
      <c r="I46" s="24" t="inlineStr"/>
      <c r="J46" s="24" t="inlineStr">
        <is>
          <t>2023/01/12</t>
        </is>
      </c>
    </row>
    <row r="47">
      <c r="B47" s="24" t="inlineStr">
        <is>
          <t>clr_asset_finance</t>
        </is>
      </c>
      <c r="C47" s="24" t="inlineStr">
        <is>
          <t>BILLUSAGE</t>
        </is>
      </c>
      <c r="D47" s="24" t="inlineStr">
        <is>
          <t>varchar(1000)</t>
        </is>
      </c>
      <c r="E47" s="24" t="inlineStr">
        <is>
          <t>YES</t>
        </is>
      </c>
      <c r="F47" s="24" t="inlineStr">
        <is>
          <t>票据用途</t>
        </is>
      </c>
      <c r="G47" s="52">
        <f>HYPERLINK("#码值映射清单!B8534","BillUsageType")</f>
        <v/>
      </c>
      <c r="H47" s="24" t="n"/>
      <c r="I47" s="24" t="inlineStr"/>
      <c r="J47" s="24" t="inlineStr">
        <is>
          <t>2023/01/12</t>
        </is>
      </c>
    </row>
    <row r="48">
      <c r="B48" s="24" t="inlineStr">
        <is>
          <t>clr_asset_finance</t>
        </is>
      </c>
      <c r="C48" s="24" t="inlineStr">
        <is>
          <t>CIRCULATIONQUANTITY</t>
        </is>
      </c>
      <c r="D48" s="24" t="inlineStr">
        <is>
          <t>int</t>
        </is>
      </c>
      <c r="E48" s="24" t="inlineStr">
        <is>
          <t>YES</t>
        </is>
      </c>
      <c r="F48" s="24" t="inlineStr">
        <is>
          <t>流通数量</t>
        </is>
      </c>
      <c r="G48" s="24" t="n"/>
      <c r="H48" s="24" t="n"/>
      <c r="I48" s="24" t="inlineStr"/>
      <c r="J48" s="24" t="inlineStr">
        <is>
          <t>2023/01/12</t>
        </is>
      </c>
    </row>
    <row r="49">
      <c r="B49" s="24" t="inlineStr">
        <is>
          <t>clr_asset_finance</t>
        </is>
      </c>
      <c r="C49" s="24" t="inlineStr">
        <is>
          <t>PERATIO</t>
        </is>
      </c>
      <c r="D49" s="24" t="inlineStr">
        <is>
          <t>decimal(18,8)</t>
        </is>
      </c>
      <c r="E49" s="24" t="inlineStr">
        <is>
          <t>YES</t>
        </is>
      </c>
      <c r="F49" s="24" t="inlineStr">
        <is>
          <t>市盈率(P/E)</t>
        </is>
      </c>
      <c r="G49" s="24" t="n"/>
      <c r="H49" s="24" t="n"/>
      <c r="I49" s="24" t="inlineStr"/>
      <c r="J49" s="24" t="inlineStr">
        <is>
          <t>2023/01/12</t>
        </is>
      </c>
    </row>
    <row r="50">
      <c r="B50" s="24" t="inlineStr">
        <is>
          <t>clr_asset_finance</t>
        </is>
      </c>
      <c r="C50" s="24" t="inlineStr">
        <is>
          <t>STOCKHOLDERTYPE</t>
        </is>
      </c>
      <c r="D50" s="24" t="inlineStr">
        <is>
          <t>varchar(18)</t>
        </is>
      </c>
      <c r="E50" s="24" t="inlineStr">
        <is>
          <t>YES</t>
        </is>
      </c>
      <c r="F50" s="43" t="inlineStr">
        <is>
          <t>股权/股票持有类型/基金契约类型/缴费方式/理财来源</t>
        </is>
      </c>
      <c r="G50" s="52">
        <f>HYPERLINK("#码值映射清单!B2895","StockHolderType")</f>
        <v/>
      </c>
      <c r="H50" s="24" t="n"/>
      <c r="I50" s="24" t="inlineStr"/>
      <c r="J50" s="24" t="inlineStr">
        <is>
          <t>2023/01/12</t>
        </is>
      </c>
    </row>
    <row r="51">
      <c r="B51" s="24" t="inlineStr">
        <is>
          <t>clr_asset_finance</t>
        </is>
      </c>
      <c r="C51" s="24" t="inlineStr">
        <is>
          <t>NAVPS</t>
        </is>
      </c>
      <c r="D51" s="24" t="inlineStr">
        <is>
          <t>decimal(24,6)</t>
        </is>
      </c>
      <c r="E51" s="24" t="inlineStr">
        <is>
          <t>YES</t>
        </is>
      </c>
      <c r="F51" s="24" t="inlineStr">
        <is>
          <t>每股净资产</t>
        </is>
      </c>
      <c r="G51" s="24" t="n"/>
      <c r="H51" s="24" t="n"/>
      <c r="I51" s="24" t="inlineStr"/>
      <c r="J51" s="24" t="inlineStr">
        <is>
          <t>2023/01/12</t>
        </is>
      </c>
    </row>
    <row r="52">
      <c r="B52" s="24" t="inlineStr">
        <is>
          <t>clr_asset_finance</t>
        </is>
      </c>
      <c r="C52" s="24" t="inlineStr">
        <is>
          <t>PAYMENTSTARTDATE</t>
        </is>
      </c>
      <c r="D52" s="24" t="inlineStr">
        <is>
          <t>datetime</t>
        </is>
      </c>
      <c r="E52" s="24" t="inlineStr">
        <is>
          <t>YES</t>
        </is>
      </c>
      <c r="F52" s="49" t="inlineStr">
        <is>
          <t>缴费起始日期</t>
        </is>
      </c>
      <c r="G52" s="24" t="n"/>
      <c r="H52" s="24" t="n"/>
      <c r="I52" s="24" t="inlineStr"/>
      <c r="J52" s="180" t="n">
        <v>45740</v>
      </c>
    </row>
    <row r="53">
      <c r="B53" s="24" t="inlineStr">
        <is>
          <t>clr_asset_finance</t>
        </is>
      </c>
      <c r="C53" s="24" t="inlineStr">
        <is>
          <t>PAYMENTENDDATE</t>
        </is>
      </c>
      <c r="D53" s="24" t="inlineStr">
        <is>
          <t>datetime</t>
        </is>
      </c>
      <c r="E53" s="24" t="inlineStr">
        <is>
          <t>YES</t>
        </is>
      </c>
      <c r="F53" s="49" t="inlineStr">
        <is>
          <t>缴费终止日期</t>
        </is>
      </c>
      <c r="G53" s="24" t="n"/>
      <c r="H53" s="24" t="n"/>
      <c r="I53" s="24" t="inlineStr"/>
      <c r="J53" s="180" t="n">
        <v>45740</v>
      </c>
    </row>
    <row r="54">
      <c r="B54" s="24" t="inlineStr">
        <is>
          <t>clr_asset_finance</t>
        </is>
      </c>
      <c r="C54" s="24" t="inlineStr">
        <is>
          <t>ABOUTBONUS</t>
        </is>
      </c>
      <c r="D54" s="24" t="inlineStr">
        <is>
          <t>varchar(1000)</t>
        </is>
      </c>
      <c r="E54" s="24" t="inlineStr">
        <is>
          <t>YES</t>
        </is>
      </c>
      <c r="F54" s="24" t="inlineStr">
        <is>
          <t>分红情况</t>
        </is>
      </c>
      <c r="G54" s="24" t="n"/>
      <c r="H54" s="24" t="n"/>
      <c r="I54" s="24" t="inlineStr"/>
      <c r="J54" s="24" t="inlineStr">
        <is>
          <t>2023/01/12</t>
        </is>
      </c>
    </row>
    <row r="55">
      <c r="B55" s="24" t="inlineStr">
        <is>
          <t>clr_asset_finance</t>
        </is>
      </c>
      <c r="C55" s="24" t="inlineStr">
        <is>
          <t>INTERESTRATE</t>
        </is>
      </c>
      <c r="D55" s="24" t="inlineStr">
        <is>
          <t>decimal(18,8)</t>
        </is>
      </c>
      <c r="E55" s="24" t="inlineStr">
        <is>
          <t>YES</t>
        </is>
      </c>
      <c r="F55" s="43" t="inlineStr">
        <is>
          <t>利率/债券利率</t>
        </is>
      </c>
      <c r="G55" s="24" t="n"/>
      <c r="H55" s="24" t="n"/>
      <c r="I55" s="24" t="inlineStr"/>
      <c r="J55" s="24" t="inlineStr">
        <is>
          <t>2023/01/12</t>
        </is>
      </c>
    </row>
    <row r="56">
      <c r="B56" s="24" t="inlineStr">
        <is>
          <t>clr_asset_finance</t>
        </is>
      </c>
      <c r="C56" s="24" t="inlineStr">
        <is>
          <t>CURRENCY</t>
        </is>
      </c>
      <c r="D56" s="24" t="inlineStr">
        <is>
          <t>varchar(18)</t>
        </is>
      </c>
      <c r="E56" s="24" t="inlineStr">
        <is>
          <t>YES</t>
        </is>
      </c>
      <c r="F56" s="24" t="inlineStr">
        <is>
          <t>币种</t>
        </is>
      </c>
      <c r="G56" s="52">
        <f>HYPERLINK("#码值映射清单!B2469","Currency")</f>
        <v/>
      </c>
      <c r="H56" s="24" t="n"/>
      <c r="I56" s="24" t="inlineStr"/>
      <c r="J56" s="24" t="inlineStr">
        <is>
          <t>2023/01/12</t>
        </is>
      </c>
    </row>
    <row r="57">
      <c r="B57" s="24" t="inlineStr">
        <is>
          <t>clr_asset_finance</t>
        </is>
      </c>
      <c r="C57" s="24" t="inlineStr">
        <is>
          <t>TRADETYPE</t>
        </is>
      </c>
      <c r="D57" s="24" t="inlineStr">
        <is>
          <t>varchar(6)</t>
        </is>
      </c>
      <c r="E57" s="24" t="inlineStr">
        <is>
          <t>YES</t>
        </is>
      </c>
      <c r="F57" s="24" t="inlineStr">
        <is>
          <t>交易类型</t>
        </is>
      </c>
      <c r="G57" s="24" t="n"/>
      <c r="H57" s="24" t="n"/>
      <c r="I57" s="24" t="inlineStr"/>
      <c r="J57" s="24" t="inlineStr">
        <is>
          <t>2023/01/12</t>
        </is>
      </c>
    </row>
    <row r="58">
      <c r="B58" s="24" t="inlineStr">
        <is>
          <t>clr_asset_finance</t>
        </is>
      </c>
      <c r="C58" s="24" t="inlineStr">
        <is>
          <t>HOLDPERIOD</t>
        </is>
      </c>
      <c r="D58" s="24" t="inlineStr">
        <is>
          <t>int</t>
        </is>
      </c>
      <c r="E58" s="24" t="inlineStr">
        <is>
          <t>YES</t>
        </is>
      </c>
      <c r="F58" s="24" t="inlineStr">
        <is>
          <t>持有期</t>
        </is>
      </c>
      <c r="G58" s="24" t="n"/>
      <c r="H58" s="24" t="n"/>
      <c r="I58" s="24" t="inlineStr"/>
      <c r="J58" s="24" t="inlineStr">
        <is>
          <t>2023/01/12</t>
        </is>
      </c>
    </row>
    <row r="59">
      <c r="B59" s="24" t="inlineStr">
        <is>
          <t>clr_asset_finance</t>
        </is>
      </c>
      <c r="C59" s="24" t="inlineStr">
        <is>
          <t>MTMDAYS</t>
        </is>
      </c>
      <c r="D59" s="24" t="inlineStr">
        <is>
          <t>int</t>
        </is>
      </c>
      <c r="E59" s="24" t="inlineStr">
        <is>
          <t>YES</t>
        </is>
      </c>
      <c r="F59" s="24" t="inlineStr">
        <is>
          <t>盯市天数</t>
        </is>
      </c>
      <c r="G59" s="24" t="n"/>
      <c r="H59" s="24" t="n"/>
      <c r="I59" s="24" t="inlineStr"/>
      <c r="J59" s="24" t="inlineStr">
        <is>
          <t>2023/01/12</t>
        </is>
      </c>
    </row>
    <row r="60">
      <c r="B60" s="24" t="inlineStr">
        <is>
          <t>clr_asset_finance</t>
        </is>
      </c>
      <c r="C60" s="24" t="inlineStr">
        <is>
          <t>BONDFLAG01</t>
        </is>
      </c>
      <c r="D60" s="24" t="inlineStr">
        <is>
          <t>char(1)</t>
        </is>
      </c>
      <c r="E60" s="24" t="inlineStr">
        <is>
          <t>YES</t>
        </is>
      </c>
      <c r="F60" s="24" t="inlineStr">
        <is>
          <t>是否为通过总行认定的政策性金融债</t>
        </is>
      </c>
      <c r="G60" s="52">
        <f>HYPERLINK("#码值映射清单!B5150","YesNo")</f>
        <v/>
      </c>
      <c r="H60" s="24" t="n"/>
      <c r="I60" s="24" t="inlineStr"/>
      <c r="J60" s="24" t="inlineStr">
        <is>
          <t>2023/01/12</t>
        </is>
      </c>
    </row>
    <row r="61">
      <c r="B61" s="24" t="inlineStr">
        <is>
          <t>clr_asset_finance</t>
        </is>
      </c>
      <c r="C61" s="24" t="inlineStr">
        <is>
          <t>BONDFLAG02</t>
        </is>
      </c>
      <c r="D61" s="24" t="inlineStr">
        <is>
          <t>char(1)</t>
        </is>
      </c>
      <c r="E61" s="24" t="inlineStr">
        <is>
          <t>YES</t>
        </is>
      </c>
      <c r="F61" s="24" t="inlineStr">
        <is>
          <t>是否经中国人民银行批准可在全国银行间债券市场上市</t>
        </is>
      </c>
      <c r="G61" s="52">
        <f>HYPERLINK("#码值映射清单!B5150","YesNo")</f>
        <v/>
      </c>
      <c r="H61" s="24" t="n"/>
      <c r="I61" s="24" t="inlineStr"/>
      <c r="J61" s="24" t="inlineStr">
        <is>
          <t>2023/01/12</t>
        </is>
      </c>
    </row>
    <row r="62">
      <c r="B62" s="24" t="inlineStr">
        <is>
          <t>clr_asset_finance</t>
        </is>
      </c>
      <c r="C62" s="24" t="inlineStr">
        <is>
          <t>BONDFLAG03</t>
        </is>
      </c>
      <c r="D62" s="24" t="inlineStr">
        <is>
          <t>char(1)</t>
        </is>
      </c>
      <c r="E62" s="24" t="inlineStr">
        <is>
          <t>YES</t>
        </is>
      </c>
      <c r="F62" s="24" t="inlineStr">
        <is>
          <t>是否是记名债券</t>
        </is>
      </c>
      <c r="G62" s="52">
        <f>HYPERLINK("#码值映射清单!B5150","YesNo")</f>
        <v/>
      </c>
      <c r="H62" s="24" t="n"/>
      <c r="I62" s="24" t="inlineStr"/>
      <c r="J62" s="24" t="inlineStr">
        <is>
          <t>2023/01/12</t>
        </is>
      </c>
    </row>
    <row r="63">
      <c r="B63" s="24" t="inlineStr">
        <is>
          <t>clr_asset_finance</t>
        </is>
      </c>
      <c r="C63" s="24" t="inlineStr">
        <is>
          <t>BONDFLAG04</t>
        </is>
      </c>
      <c r="D63" s="24" t="inlineStr">
        <is>
          <t>char(1)</t>
        </is>
      </c>
      <c r="E63" s="24" t="inlineStr">
        <is>
          <t>YES</t>
        </is>
      </c>
      <c r="F63" s="24" t="inlineStr">
        <is>
          <t>是否需要办理止付</t>
        </is>
      </c>
      <c r="G63" s="52">
        <f>HYPERLINK("#码值映射清单!B5150","YesNo")</f>
        <v/>
      </c>
      <c r="H63" s="24" t="n"/>
      <c r="I63" s="24" t="inlineStr"/>
      <c r="J63" s="24" t="inlineStr">
        <is>
          <t>2023/01/12</t>
        </is>
      </c>
    </row>
    <row r="64">
      <c r="B64" s="24" t="inlineStr">
        <is>
          <t>clr_asset_finance</t>
        </is>
      </c>
      <c r="C64" s="24" t="inlineStr">
        <is>
          <t>BONDFLAG05</t>
        </is>
      </c>
      <c r="D64" s="24" t="inlineStr">
        <is>
          <t>char(1)</t>
        </is>
      </c>
      <c r="E64" s="24" t="inlineStr">
        <is>
          <t>YES</t>
        </is>
      </c>
      <c r="F64" s="24" t="inlineStr">
        <is>
          <t>是否已提交其他相关股权凭证</t>
        </is>
      </c>
      <c r="G64" s="52">
        <f>HYPERLINK("#码值映射清单!B5150","YesNo")</f>
        <v/>
      </c>
      <c r="H64" s="24" t="n"/>
      <c r="I64" s="24" t="inlineStr"/>
      <c r="J64" s="24" t="inlineStr">
        <is>
          <t>2023/01/12</t>
        </is>
      </c>
    </row>
    <row r="65">
      <c r="B65" s="24" t="inlineStr">
        <is>
          <t>clr_asset_finance</t>
        </is>
      </c>
      <c r="C65" s="24" t="inlineStr">
        <is>
          <t>BONDFLAG06</t>
        </is>
      </c>
      <c r="D65" s="24" t="inlineStr">
        <is>
          <t>char(1)</t>
        </is>
      </c>
      <c r="E65" s="24" t="inlineStr">
        <is>
          <t>YES</t>
        </is>
      </c>
      <c r="F65" s="24" t="inlineStr">
        <is>
          <t>是否为集中公开交易的债券</t>
        </is>
      </c>
      <c r="G65" s="52">
        <f>HYPERLINK("#码值映射清单!B5150","YesNo")</f>
        <v/>
      </c>
      <c r="H65" s="24" t="n"/>
      <c r="I65" s="24" t="inlineStr"/>
      <c r="J65" s="24" t="inlineStr">
        <is>
          <t>2023/01/12</t>
        </is>
      </c>
    </row>
    <row r="66">
      <c r="B66" s="24" t="inlineStr">
        <is>
          <t>clr_asset_finance</t>
        </is>
      </c>
      <c r="C66" s="24" t="inlineStr">
        <is>
          <t>BONDFLAG07</t>
        </is>
      </c>
      <c r="D66" s="24" t="inlineStr">
        <is>
          <t>char(1)</t>
        </is>
      </c>
      <c r="E66" s="24" t="inlineStr">
        <is>
          <t>YES</t>
        </is>
      </c>
      <c r="F66" s="24" t="inlineStr">
        <is>
          <t>是否已提交债券凭证</t>
        </is>
      </c>
      <c r="G66" s="52">
        <f>HYPERLINK("#码值映射清单!B5150","YesNo")</f>
        <v/>
      </c>
      <c r="H66" s="24" t="n"/>
      <c r="I66" s="24" t="inlineStr"/>
      <c r="J66" s="24" t="inlineStr">
        <is>
          <t>2023/01/12</t>
        </is>
      </c>
    </row>
    <row r="67">
      <c r="B67" s="24" t="inlineStr">
        <is>
          <t>clr_asset_finance</t>
        </is>
      </c>
      <c r="C67" s="24" t="inlineStr">
        <is>
          <t>BONDFLAG08</t>
        </is>
      </c>
      <c r="D67" s="24" t="inlineStr">
        <is>
          <t>char(1)</t>
        </is>
      </c>
      <c r="E67" s="24" t="inlineStr">
        <is>
          <t>YES</t>
        </is>
      </c>
      <c r="F67" s="24" t="inlineStr">
        <is>
          <t>是否已提交相关债券评级证书</t>
        </is>
      </c>
      <c r="G67" s="52">
        <f>HYPERLINK("#码值映射清单!B5150","YesNo")</f>
        <v/>
      </c>
      <c r="H67" s="24" t="n"/>
      <c r="I67" s="24" t="inlineStr"/>
      <c r="J67" s="24" t="inlineStr">
        <is>
          <t>2023/01/12</t>
        </is>
      </c>
    </row>
    <row r="68">
      <c r="B68" s="24" t="inlineStr">
        <is>
          <t>clr_asset_finance</t>
        </is>
      </c>
      <c r="C68" s="24" t="inlineStr">
        <is>
          <t>BONDFLAG09</t>
        </is>
      </c>
      <c r="D68" s="24" t="inlineStr">
        <is>
          <t>char(1)</t>
        </is>
      </c>
      <c r="E68" s="24" t="inlineStr">
        <is>
          <t>YES</t>
        </is>
      </c>
      <c r="F68" s="24" t="inlineStr">
        <is>
          <t>是否已提交债券募集说明书</t>
        </is>
      </c>
      <c r="G68" s="52">
        <f>HYPERLINK("#码值映射清单!B5150","YesNo")</f>
        <v/>
      </c>
      <c r="H68" s="24" t="n"/>
      <c r="I68" s="24" t="inlineStr"/>
      <c r="J68" s="24" t="inlineStr">
        <is>
          <t>2023/01/12</t>
        </is>
      </c>
    </row>
    <row r="69">
      <c r="B69" s="24" t="inlineStr">
        <is>
          <t>clr_asset_finance</t>
        </is>
      </c>
      <c r="C69" s="24" t="inlineStr">
        <is>
          <t>NOBLEMETALFLAG1</t>
        </is>
      </c>
      <c r="D69" s="24" t="inlineStr">
        <is>
          <t>char(1)</t>
        </is>
      </c>
      <c r="E69" s="24" t="inlineStr">
        <is>
          <t>YES</t>
        </is>
      </c>
      <c r="F69" s="24" t="inlineStr">
        <is>
          <t>是否已提交贵金属购买合约</t>
        </is>
      </c>
      <c r="G69" s="52">
        <f>HYPERLINK("#码值映射清单!B5150","YesNo")</f>
        <v/>
      </c>
      <c r="H69" s="24" t="n"/>
      <c r="I69" s="24" t="inlineStr"/>
      <c r="J69" s="24" t="inlineStr">
        <is>
          <t>2023/01/12</t>
        </is>
      </c>
    </row>
    <row r="70">
      <c r="B70" s="24" t="inlineStr">
        <is>
          <t>clr_asset_finance</t>
        </is>
      </c>
      <c r="C70" s="24" t="inlineStr">
        <is>
          <t>NOBLEMETALFLAG2</t>
        </is>
      </c>
      <c r="D70" s="24" t="inlineStr">
        <is>
          <t>char(1)</t>
        </is>
      </c>
      <c r="E70" s="24" t="inlineStr">
        <is>
          <t>YES</t>
        </is>
      </c>
      <c r="F70" s="24" t="inlineStr">
        <is>
          <t>是否已提交黄金交易账户卡</t>
        </is>
      </c>
      <c r="G70" s="24" t="n"/>
      <c r="H70" s="24" t="n"/>
      <c r="I70" s="24" t="inlineStr"/>
      <c r="J70" s="24" t="inlineStr">
        <is>
          <t>2023/01/12</t>
        </is>
      </c>
    </row>
    <row r="71">
      <c r="B71" s="24" t="inlineStr">
        <is>
          <t>clr_asset_finance</t>
        </is>
      </c>
      <c r="C71" s="24" t="inlineStr">
        <is>
          <t>NOBLEMETALFLAG3</t>
        </is>
      </c>
      <c r="D71" s="24" t="inlineStr">
        <is>
          <t>char(1)</t>
        </is>
      </c>
      <c r="E71" s="24" t="inlineStr">
        <is>
          <t>YES</t>
        </is>
      </c>
      <c r="F71" s="24" t="inlineStr">
        <is>
          <t>是否已提交金交所托管合约</t>
        </is>
      </c>
      <c r="G71" s="24" t="n"/>
      <c r="H71" s="24" t="n"/>
      <c r="I71" s="24" t="inlineStr"/>
      <c r="J71" s="24" t="inlineStr">
        <is>
          <t>2023/01/12</t>
        </is>
      </c>
    </row>
    <row r="72">
      <c r="B72" s="24" t="inlineStr">
        <is>
          <t>clr_asset_finance</t>
        </is>
      </c>
      <c r="C72" s="24" t="inlineStr">
        <is>
          <t>NOBLEMETALFLAG4</t>
        </is>
      </c>
      <c r="D72" s="24" t="inlineStr">
        <is>
          <t>char(1)</t>
        </is>
      </c>
      <c r="E72" s="24" t="inlineStr">
        <is>
          <t>YES</t>
        </is>
      </c>
      <c r="F72" s="24" t="inlineStr">
        <is>
          <t>是否已提交贵金属交易账户凭证</t>
        </is>
      </c>
      <c r="G72" s="52">
        <f>HYPERLINK("#码值映射清单!B5150","YesNo")</f>
        <v/>
      </c>
      <c r="H72" s="24" t="n"/>
      <c r="I72" s="24" t="inlineStr"/>
      <c r="J72" s="24" t="inlineStr">
        <is>
          <t>2023/01/12</t>
        </is>
      </c>
    </row>
    <row r="73">
      <c r="B73" s="24" t="inlineStr">
        <is>
          <t>clr_asset_finance</t>
        </is>
      </c>
      <c r="C73" s="24" t="inlineStr">
        <is>
          <t>DEPCTFFLAG01</t>
        </is>
      </c>
      <c r="D73" s="24" t="inlineStr">
        <is>
          <t>char(1)</t>
        </is>
      </c>
      <c r="E73" s="24" t="inlineStr">
        <is>
          <t>YES</t>
        </is>
      </c>
      <c r="F73" s="24" t="inlineStr">
        <is>
          <t>是否为借款人公开向不特定的自然人、法人和其他组织募集的个人存单</t>
        </is>
      </c>
      <c r="G73" s="52">
        <f>HYPERLINK("#码值映射清单!B5150","YesNo")</f>
        <v/>
      </c>
      <c r="H73" s="24" t="n"/>
      <c r="I73" s="24" t="inlineStr"/>
      <c r="J73" s="24" t="inlineStr">
        <is>
          <t>2023/01/12</t>
        </is>
      </c>
    </row>
    <row r="74">
      <c r="B74" s="24" t="inlineStr">
        <is>
          <t>clr_asset_finance</t>
        </is>
      </c>
      <c r="C74" s="24" t="inlineStr">
        <is>
          <t>DEPCTFFLAG02</t>
        </is>
      </c>
      <c r="D74" s="24" t="inlineStr">
        <is>
          <t>char(1)</t>
        </is>
      </c>
      <c r="E74" s="24" t="inlineStr">
        <is>
          <t>YES</t>
        </is>
      </c>
      <c r="F74" s="24" t="inlineStr">
        <is>
          <t>是否已取得存款行出具的个人定期存单真实性确认书，并且存款行已落实登记止付手续</t>
        </is>
      </c>
      <c r="G74" s="52">
        <f>HYPERLINK("#码值映射清单!B5150","YesNo")</f>
        <v/>
      </c>
      <c r="H74" s="24" t="n"/>
      <c r="I74" s="24" t="inlineStr"/>
      <c r="J74" s="24" t="inlineStr">
        <is>
          <t>2023/01/12</t>
        </is>
      </c>
    </row>
    <row r="75">
      <c r="B75" s="24" t="inlineStr">
        <is>
          <t>clr_asset_finance</t>
        </is>
      </c>
      <c r="C75" s="24" t="inlineStr">
        <is>
          <t>DEPCTFFLAG03</t>
        </is>
      </c>
      <c r="D75" s="24" t="inlineStr">
        <is>
          <t>char(1)</t>
        </is>
      </c>
      <c r="E75" s="24" t="inlineStr">
        <is>
          <t>YES</t>
        </is>
      </c>
      <c r="F75" s="24" t="inlineStr">
        <is>
          <t>是否已提交存单所有人名下所有东方卡号</t>
        </is>
      </c>
      <c r="G75" s="52">
        <f>HYPERLINK("#码值映射清单!B5150","YesNo")</f>
        <v/>
      </c>
      <c r="H75" s="24" t="n"/>
      <c r="I75" s="24" t="inlineStr"/>
      <c r="J75" s="24" t="inlineStr">
        <is>
          <t>2023/01/12</t>
        </is>
      </c>
    </row>
    <row r="76">
      <c r="B76" s="24" t="inlineStr">
        <is>
          <t>clr_asset_finance</t>
        </is>
      </c>
      <c r="C76" s="24" t="inlineStr">
        <is>
          <t>DEPCTFFLAG04</t>
        </is>
      </c>
      <c r="D76" s="24" t="inlineStr">
        <is>
          <t>char(1)</t>
        </is>
      </c>
      <c r="E76" s="24" t="inlineStr">
        <is>
          <t>YES</t>
        </is>
      </c>
      <c r="F76" s="24" t="inlineStr">
        <is>
          <t>是否已提交“存单凭证”</t>
        </is>
      </c>
      <c r="G76" s="52">
        <f>HYPERLINK("#码值映射清单!B5150","YesNo")</f>
        <v/>
      </c>
      <c r="H76" s="24" t="n"/>
      <c r="I76" s="24" t="inlineStr"/>
      <c r="J76" s="24" t="inlineStr">
        <is>
          <t>2023/01/12</t>
        </is>
      </c>
    </row>
    <row r="77">
      <c r="B77" s="24" t="inlineStr">
        <is>
          <t>clr_asset_finance</t>
        </is>
      </c>
      <c r="C77" s="24" t="inlineStr">
        <is>
          <t>DEPCTFFLAG05</t>
        </is>
      </c>
      <c r="D77" s="24" t="inlineStr">
        <is>
          <t>char(1)</t>
        </is>
      </c>
      <c r="E77" s="24" t="inlineStr">
        <is>
          <t>YES</t>
        </is>
      </c>
      <c r="F77" s="24" t="inlineStr">
        <is>
          <t>是否已提交“个人定期存单真实性确认书”</t>
        </is>
      </c>
      <c r="G77" s="52">
        <f>HYPERLINK("#码值映射清单!B5150","YesNo")</f>
        <v/>
      </c>
      <c r="H77" s="24" t="n"/>
      <c r="I77" s="24" t="inlineStr"/>
      <c r="J77" s="24" t="inlineStr">
        <is>
          <t>2023/01/12</t>
        </is>
      </c>
    </row>
    <row r="78">
      <c r="B78" s="24" t="inlineStr">
        <is>
          <t>clr_asset_finance</t>
        </is>
      </c>
      <c r="C78" s="24" t="inlineStr">
        <is>
          <t>DEPCTFFLAG06</t>
        </is>
      </c>
      <c r="D78" s="24" t="inlineStr">
        <is>
          <t>char(1)</t>
        </is>
      </c>
      <c r="E78" s="24" t="inlineStr">
        <is>
          <t>YES</t>
        </is>
      </c>
      <c r="F78" s="24" t="inlineStr">
        <is>
          <t>是否已提交“单位定期存单确认书”</t>
        </is>
      </c>
      <c r="G78" s="52">
        <f>HYPERLINK("#码值映射清单!B5150","YesNo")</f>
        <v/>
      </c>
      <c r="H78" s="24" t="n"/>
      <c r="I78" s="24" t="inlineStr"/>
      <c r="J78" s="24" t="inlineStr">
        <is>
          <t>2023/01/12</t>
        </is>
      </c>
    </row>
    <row r="79">
      <c r="B79" s="24" t="inlineStr">
        <is>
          <t>clr_asset_finance</t>
        </is>
      </c>
      <c r="C79" s="24" t="inlineStr">
        <is>
          <t>BAILFLAG01</t>
        </is>
      </c>
      <c r="D79" s="24" t="inlineStr">
        <is>
          <t>char(1)</t>
        </is>
      </c>
      <c r="E79" s="24" t="inlineStr">
        <is>
          <t>YES</t>
        </is>
      </c>
      <c r="F79" s="24" t="inlineStr">
        <is>
          <t>是否子账户</t>
        </is>
      </c>
      <c r="G79" s="24" t="n"/>
      <c r="H79" s="24" t="n"/>
      <c r="I79" s="24" t="inlineStr"/>
      <c r="J79" s="24" t="inlineStr">
        <is>
          <t>2023/01/12</t>
        </is>
      </c>
    </row>
    <row r="80">
      <c r="B80" s="24" t="inlineStr">
        <is>
          <t>clr_asset_finance</t>
        </is>
      </c>
      <c r="C80" s="24" t="inlineStr">
        <is>
          <t>BAILFLAG02</t>
        </is>
      </c>
      <c r="D80" s="24" t="inlineStr">
        <is>
          <t>varchar(32)</t>
        </is>
      </c>
      <c r="E80" s="24" t="inlineStr">
        <is>
          <t>YES</t>
        </is>
      </c>
      <c r="F80" s="24" t="inlineStr">
        <is>
          <t>是否已提交保证金相关存单凭证</t>
        </is>
      </c>
      <c r="G80" s="52">
        <f>HYPERLINK("#码值映射清单!B5150","YesNo")</f>
        <v/>
      </c>
      <c r="H80" s="24" t="n"/>
      <c r="I80" s="24" t="inlineStr"/>
      <c r="J80" s="24" t="inlineStr">
        <is>
          <t>2023/01/12</t>
        </is>
      </c>
    </row>
    <row r="81">
      <c r="B81" s="24" t="inlineStr">
        <is>
          <t>clr_asset_finance</t>
        </is>
      </c>
      <c r="C81" s="24" t="inlineStr">
        <is>
          <t>NDEPCTFFLAG01</t>
        </is>
      </c>
      <c r="D81" s="24" t="inlineStr">
        <is>
          <t>char(1)</t>
        </is>
      </c>
      <c r="E81" s="24" t="inlineStr">
        <is>
          <t>YES</t>
        </is>
      </c>
      <c r="F81" s="24" t="inlineStr">
        <is>
          <t>是否已提交存款所有人名下所有东方卡号</t>
        </is>
      </c>
      <c r="G81" s="24" t="n"/>
      <c r="H81" s="24" t="n"/>
      <c r="I81" s="24" t="inlineStr"/>
      <c r="J81" s="24" t="inlineStr">
        <is>
          <t>2023/01/12</t>
        </is>
      </c>
    </row>
    <row r="82">
      <c r="B82" s="24" t="inlineStr">
        <is>
          <t>clr_asset_finance</t>
        </is>
      </c>
      <c r="C82" s="24" t="inlineStr">
        <is>
          <t>NDEPCTFFLAG02</t>
        </is>
      </c>
      <c r="D82" s="24" t="inlineStr">
        <is>
          <t>char(1)</t>
        </is>
      </c>
      <c r="E82" s="24" t="inlineStr">
        <is>
          <t>YES</t>
        </is>
      </c>
      <c r="F82" s="24" t="inlineStr">
        <is>
          <t>是否已提交相关存款证明</t>
        </is>
      </c>
      <c r="G82" s="24" t="n"/>
      <c r="H82" s="24" t="n"/>
      <c r="I82" s="24" t="inlineStr"/>
      <c r="J82" s="24" t="inlineStr">
        <is>
          <t>2023/01/12</t>
        </is>
      </c>
    </row>
    <row r="83">
      <c r="B83" s="24" t="inlineStr">
        <is>
          <t>clr_asset_finance</t>
        </is>
      </c>
      <c r="C83" s="24" t="inlineStr">
        <is>
          <t>MARGINLEVEL</t>
        </is>
      </c>
      <c r="D83" s="24" t="inlineStr">
        <is>
          <t>varchar(6)</t>
        </is>
      </c>
      <c r="E83" s="24" t="inlineStr">
        <is>
          <t>YES</t>
        </is>
      </c>
      <c r="F83" s="24" t="inlineStr">
        <is>
          <t>保证金层级</t>
        </is>
      </c>
      <c r="G83" s="52">
        <f>HYPERLINK("#码值映射清单!B9423","MarginLevel")</f>
        <v/>
      </c>
      <c r="H83" s="24" t="n"/>
      <c r="I83" s="24" t="inlineStr"/>
      <c r="J83" s="24" t="inlineStr">
        <is>
          <t>2023/01/12</t>
        </is>
      </c>
    </row>
    <row r="84">
      <c r="B84" s="24" t="inlineStr">
        <is>
          <t>clr_asset_finance</t>
        </is>
      </c>
      <c r="C84" s="24" t="inlineStr">
        <is>
          <t>RELATEDBUSINESSNO</t>
        </is>
      </c>
      <c r="D84" s="24" t="inlineStr">
        <is>
          <t>varchar(32)</t>
        </is>
      </c>
      <c r="E84" s="24" t="inlineStr">
        <is>
          <t>YES</t>
        </is>
      </c>
      <c r="F84" s="24" t="inlineStr">
        <is>
          <t>对应业务编号</t>
        </is>
      </c>
      <c r="G84" s="24" t="n"/>
      <c r="H84" s="24" t="n"/>
      <c r="I84" s="24" t="inlineStr"/>
      <c r="J84" s="24" t="inlineStr">
        <is>
          <t>2023/01/12</t>
        </is>
      </c>
    </row>
    <row r="85">
      <c r="B85" s="24" t="inlineStr">
        <is>
          <t>clr_asset_finance</t>
        </is>
      </c>
      <c r="C85" s="24" t="inlineStr">
        <is>
          <t>BONDTYPE</t>
        </is>
      </c>
      <c r="D85" s="24" t="inlineStr">
        <is>
          <t>varchar(18)</t>
        </is>
      </c>
      <c r="E85" s="24" t="inlineStr">
        <is>
          <t>YES</t>
        </is>
      </c>
      <c r="F85" s="24" t="inlineStr">
        <is>
          <t>债券形态</t>
        </is>
      </c>
      <c r="G85" s="52">
        <f>HYPERLINK("#码值映射清单!B2575","BondMode")</f>
        <v/>
      </c>
      <c r="H85" s="24" t="n"/>
      <c r="I85" s="24" t="inlineStr"/>
      <c r="J85" s="24" t="inlineStr">
        <is>
          <t>2023/01/12</t>
        </is>
      </c>
    </row>
    <row r="86">
      <c r="B86" s="24" t="inlineStr">
        <is>
          <t>clr_asset_finance</t>
        </is>
      </c>
      <c r="C86" s="24" t="inlineStr">
        <is>
          <t>BONDVALUE</t>
        </is>
      </c>
      <c r="D86" s="24" t="inlineStr">
        <is>
          <t>decimal(24,6)</t>
        </is>
      </c>
      <c r="E86" s="24" t="inlineStr">
        <is>
          <t>YES</t>
        </is>
      </c>
      <c r="F86" s="24" t="inlineStr">
        <is>
          <t>债券发行价值</t>
        </is>
      </c>
      <c r="G86" s="24" t="n"/>
      <c r="H86" s="24" t="n"/>
      <c r="I86" s="24" t="inlineStr"/>
      <c r="J86" s="24" t="inlineStr">
        <is>
          <t>2023/01/12</t>
        </is>
      </c>
    </row>
    <row r="87">
      <c r="B87" s="24" t="inlineStr">
        <is>
          <t>clr_asset_finance</t>
        </is>
      </c>
      <c r="C87" s="24" t="inlineStr">
        <is>
          <t>BONDLISTTYPE</t>
        </is>
      </c>
      <c r="D87" s="24" t="inlineStr">
        <is>
          <t>varchar(6)</t>
        </is>
      </c>
      <c r="E87" s="24" t="inlineStr">
        <is>
          <t>YES</t>
        </is>
      </c>
      <c r="F87" s="24" t="inlineStr">
        <is>
          <t>债券上市类别</t>
        </is>
      </c>
      <c r="G87" s="52">
        <f>HYPERLINK("#码值映射清单!B2399","BondStockType")</f>
        <v/>
      </c>
      <c r="H87" s="24" t="n"/>
      <c r="I87" s="24" t="inlineStr"/>
      <c r="J87" s="24" t="inlineStr">
        <is>
          <t>2023/01/12</t>
        </is>
      </c>
    </row>
    <row r="88">
      <c r="B88" s="24" t="inlineStr">
        <is>
          <t>clr_asset_finance</t>
        </is>
      </c>
      <c r="C88" s="24" t="inlineStr">
        <is>
          <t>BONDRATING</t>
        </is>
      </c>
      <c r="D88" s="24" t="inlineStr">
        <is>
          <t>varchar(18)</t>
        </is>
      </c>
      <c r="E88" s="24" t="inlineStr">
        <is>
          <t>YES</t>
        </is>
      </c>
      <c r="F88" s="24" t="inlineStr">
        <is>
          <t>债券评级</t>
        </is>
      </c>
      <c r="G88" s="52">
        <f>HYPERLINK("#码值映射清单!B5914","BondRating")</f>
        <v/>
      </c>
      <c r="H88" s="24" t="n"/>
      <c r="I88" s="24" t="inlineStr"/>
      <c r="J88" s="24" t="inlineStr">
        <is>
          <t>2023/01/12</t>
        </is>
      </c>
    </row>
    <row r="89">
      <c r="B89" s="24" t="inlineStr">
        <is>
          <t>clr_asset_finance</t>
        </is>
      </c>
      <c r="C89" s="24" t="inlineStr">
        <is>
          <t>RATINGAGENCY</t>
        </is>
      </c>
      <c r="D89" s="24" t="inlineStr">
        <is>
          <t>varchar(32)</t>
        </is>
      </c>
      <c r="E89" s="24" t="inlineStr">
        <is>
          <t>YES</t>
        </is>
      </c>
      <c r="F89" s="24" t="inlineStr">
        <is>
          <t>债券评级机构</t>
        </is>
      </c>
      <c r="G89" s="52">
        <f>HYPERLINK("#码值映射清单!B9086","RatingAgency")</f>
        <v/>
      </c>
      <c r="H89" s="24" t="n"/>
      <c r="I89" s="24" t="inlineStr"/>
      <c r="J89" s="24" t="inlineStr">
        <is>
          <t>2023/01/12</t>
        </is>
      </c>
    </row>
    <row r="90">
      <c r="B90" s="24" t="inlineStr">
        <is>
          <t>clr_asset_finance</t>
        </is>
      </c>
      <c r="C90" s="24" t="inlineStr">
        <is>
          <t>DRAWEROPENBANKNAME</t>
        </is>
      </c>
      <c r="D90" s="24" t="inlineStr">
        <is>
          <t>varchar(80)</t>
        </is>
      </c>
      <c r="E90" s="24" t="inlineStr">
        <is>
          <t>YES</t>
        </is>
      </c>
      <c r="F90" s="24" t="inlineStr">
        <is>
          <t>出票人开户行</t>
        </is>
      </c>
      <c r="G90" s="24" t="n"/>
      <c r="H90" s="24" t="n"/>
      <c r="I90" s="24" t="inlineStr"/>
      <c r="J90" s="24" t="inlineStr">
        <is>
          <t>2023/01/12</t>
        </is>
      </c>
    </row>
    <row r="91">
      <c r="B91" s="24" t="inlineStr">
        <is>
          <t>clr_asset_finance</t>
        </is>
      </c>
      <c r="C91" s="24" t="inlineStr">
        <is>
          <t>SECURITYTYPE</t>
        </is>
      </c>
      <c r="D91" s="24" t="inlineStr">
        <is>
          <t>varchar(6)</t>
        </is>
      </c>
      <c r="E91" s="24" t="inlineStr">
        <is>
          <t>YES</t>
        </is>
      </c>
      <c r="F91" s="24" t="inlineStr">
        <is>
          <t>证券类型</t>
        </is>
      </c>
      <c r="G91" s="52">
        <f>HYPERLINK("#码值映射清单!B8172","ShareType01")</f>
        <v/>
      </c>
      <c r="H91" s="24" t="n"/>
      <c r="I91" s="24" t="inlineStr"/>
      <c r="J91" s="24" t="inlineStr">
        <is>
          <t>2023/01/12</t>
        </is>
      </c>
    </row>
    <row r="92">
      <c r="B92" s="24" t="inlineStr">
        <is>
          <t>clr_asset_finance</t>
        </is>
      </c>
      <c r="C92" s="24" t="inlineStr">
        <is>
          <t>STOCKHOLDERNAME</t>
        </is>
      </c>
      <c r="D92" s="24" t="inlineStr">
        <is>
          <t>varchar(80)</t>
        </is>
      </c>
      <c r="E92" s="24" t="inlineStr">
        <is>
          <t>YES</t>
        </is>
      </c>
      <c r="F92" s="24" t="inlineStr">
        <is>
          <t>股票持有人名称/持有人名称/基金持有人名称</t>
        </is>
      </c>
      <c r="G92" s="24" t="n"/>
      <c r="H92" s="24" t="n"/>
      <c r="I92" s="24" t="inlineStr"/>
      <c r="J92" s="24" t="inlineStr">
        <is>
          <t>2023/01/12</t>
        </is>
      </c>
    </row>
    <row r="93">
      <c r="B93" s="24" t="inlineStr">
        <is>
          <t>clr_asset_finance</t>
        </is>
      </c>
      <c r="C93" s="24" t="inlineStr">
        <is>
          <t>BAILACCOUNTNO</t>
        </is>
      </c>
      <c r="D93" s="24" t="inlineStr">
        <is>
          <t>varchar(80)</t>
        </is>
      </c>
      <c r="E93" s="24" t="inlineStr">
        <is>
          <t>YES</t>
        </is>
      </c>
      <c r="F93" s="24" t="inlineStr">
        <is>
          <t>保证金账户号码</t>
        </is>
      </c>
      <c r="G93" s="24" t="n"/>
      <c r="H93" s="24" t="n"/>
      <c r="I93" s="24" t="inlineStr"/>
      <c r="J93" s="24" t="inlineStr">
        <is>
          <t>2023/01/12</t>
        </is>
      </c>
    </row>
    <row r="94">
      <c r="B94" s="24" t="inlineStr">
        <is>
          <t>clr_asset_finance</t>
        </is>
      </c>
      <c r="C94" s="24" t="inlineStr">
        <is>
          <t>DRAWBILLPLACE</t>
        </is>
      </c>
      <c r="D94" s="24" t="inlineStr">
        <is>
          <t>varchar(80)</t>
        </is>
      </c>
      <c r="E94" s="24" t="inlineStr">
        <is>
          <t>YES</t>
        </is>
      </c>
      <c r="F94" s="24" t="inlineStr">
        <is>
          <t>出票地</t>
        </is>
      </c>
      <c r="G94" s="24" t="n"/>
      <c r="H94" s="24" t="n"/>
      <c r="I94" s="24" t="inlineStr"/>
      <c r="J94" s="24" t="inlineStr">
        <is>
          <t>2023/01/12</t>
        </is>
      </c>
    </row>
    <row r="95">
      <c r="B95" s="24" t="inlineStr">
        <is>
          <t>clr_asset_finance</t>
        </is>
      </c>
      <c r="C95" s="24" t="inlineStr">
        <is>
          <t>PAYPLACE</t>
        </is>
      </c>
      <c r="D95" s="24" t="inlineStr">
        <is>
          <t>varchar(80)</t>
        </is>
      </c>
      <c r="E95" s="24" t="inlineStr">
        <is>
          <t>YES</t>
        </is>
      </c>
      <c r="F95" s="24" t="inlineStr">
        <is>
          <t>付款地</t>
        </is>
      </c>
      <c r="G95" s="24" t="n"/>
      <c r="H95" s="24" t="n"/>
      <c r="I95" s="24" t="inlineStr"/>
      <c r="J95" s="24" t="inlineStr">
        <is>
          <t>2023/01/12</t>
        </is>
      </c>
    </row>
    <row r="96">
      <c r="B96" s="24" t="inlineStr">
        <is>
          <t>clr_asset_finance</t>
        </is>
      </c>
      <c r="C96" s="24" t="inlineStr">
        <is>
          <t>STOCKHOLDERCODE</t>
        </is>
      </c>
      <c r="D96" s="24" t="inlineStr">
        <is>
          <t>varchar(32)</t>
        </is>
      </c>
      <c r="E96" s="24" t="inlineStr">
        <is>
          <t>YES</t>
        </is>
      </c>
      <c r="F96" s="24" t="inlineStr">
        <is>
          <t>基金持有人代码/股票持有人代码</t>
        </is>
      </c>
      <c r="G96" s="24" t="n"/>
      <c r="H96" s="24" t="n"/>
      <c r="I96" s="24" t="inlineStr"/>
      <c r="J96" s="24" t="inlineStr">
        <is>
          <t>2023/01/12</t>
        </is>
      </c>
    </row>
    <row r="97">
      <c r="B97" s="24" t="inlineStr">
        <is>
          <t>clr_asset_finance</t>
        </is>
      </c>
      <c r="C97" s="24" t="inlineStr">
        <is>
          <t>CURRTRANSDATE</t>
        </is>
      </c>
      <c r="D97" s="24" t="inlineStr">
        <is>
          <t>datetime</t>
        </is>
      </c>
      <c r="E97" s="24" t="inlineStr">
        <is>
          <t>YES</t>
        </is>
      </c>
      <c r="F97" s="24" t="inlineStr">
        <is>
          <t>当前交易日日期</t>
        </is>
      </c>
      <c r="G97" s="24" t="n"/>
      <c r="H97" s="24" t="n"/>
      <c r="I97" s="24" t="inlineStr"/>
      <c r="J97" s="24" t="inlineStr">
        <is>
          <t>2023/01/12</t>
        </is>
      </c>
    </row>
    <row r="98">
      <c r="B98" s="24" t="inlineStr">
        <is>
          <t>clr_asset_finance</t>
        </is>
      </c>
      <c r="C98" s="24" t="inlineStr">
        <is>
          <t>CURRTRANSPRICE</t>
        </is>
      </c>
      <c r="D98" s="24" t="inlineStr">
        <is>
          <t>decimal(24,6)</t>
        </is>
      </c>
      <c r="E98" s="24" t="inlineStr">
        <is>
          <t>YES</t>
        </is>
      </c>
      <c r="F98" s="24" t="inlineStr">
        <is>
          <t>当前交易日市价;净值)</t>
        </is>
      </c>
      <c r="G98" s="24" t="n"/>
      <c r="H98" s="24" t="n"/>
      <c r="I98" s="24" t="inlineStr"/>
      <c r="J98" s="24" t="inlineStr">
        <is>
          <t>2023/01/12</t>
        </is>
      </c>
    </row>
    <row r="99">
      <c r="B99" s="24" t="inlineStr">
        <is>
          <t>clr_asset_finance</t>
        </is>
      </c>
      <c r="C99" s="24" t="inlineStr">
        <is>
          <t>AVGPRICE</t>
        </is>
      </c>
      <c r="D99" s="24" t="inlineStr">
        <is>
          <t>decimal(24,6)</t>
        </is>
      </c>
      <c r="E99" s="24" t="inlineStr">
        <is>
          <t>YES</t>
        </is>
      </c>
      <c r="F99" s="24" t="inlineStr">
        <is>
          <t>最近一年均价;净值）</t>
        </is>
      </c>
      <c r="G99" s="24" t="n"/>
      <c r="H99" s="24" t="n"/>
      <c r="I99" s="24" t="inlineStr"/>
      <c r="J99" s="24" t="inlineStr">
        <is>
          <t>2023/01/12</t>
        </is>
      </c>
    </row>
    <row r="100">
      <c r="B100" s="24" t="inlineStr">
        <is>
          <t>clr_asset_finance</t>
        </is>
      </c>
      <c r="C100" s="24" t="inlineStr">
        <is>
          <t>BONDDENOMINATION</t>
        </is>
      </c>
      <c r="D100" s="24" t="inlineStr">
        <is>
          <t>decimal(24,6)</t>
        </is>
      </c>
      <c r="E100" s="24" t="inlineStr">
        <is>
          <t>YES</t>
        </is>
      </c>
      <c r="F100" s="24" t="inlineStr">
        <is>
          <t>债券面额;或数量</t>
        </is>
      </c>
      <c r="G100" s="24" t="n"/>
      <c r="H100" s="24" t="n"/>
      <c r="I100" s="24" t="inlineStr"/>
      <c r="J100" s="24" t="inlineStr">
        <is>
          <t>2023/01/12</t>
        </is>
      </c>
    </row>
    <row r="101">
      <c r="B101" s="24" t="inlineStr">
        <is>
          <t>clr_asset_finance</t>
        </is>
      </c>
      <c r="C101" s="24" t="inlineStr">
        <is>
          <t>HOLDERNAME</t>
        </is>
      </c>
      <c r="D101" s="24" t="inlineStr">
        <is>
          <t>varchar(80)</t>
        </is>
      </c>
      <c r="E101" s="24" t="inlineStr">
        <is>
          <t>YES</t>
        </is>
      </c>
      <c r="F101" s="43" t="inlineStr">
        <is>
          <t>持有人名称/贵金属持有人</t>
        </is>
      </c>
      <c r="G101" s="24" t="n"/>
      <c r="H101" s="24" t="n"/>
      <c r="I101" s="24" t="inlineStr"/>
      <c r="J101" s="24" t="inlineStr">
        <is>
          <t>2023/01/12</t>
        </is>
      </c>
    </row>
    <row r="102">
      <c r="B102" s="24" t="inlineStr">
        <is>
          <t>clr_asset_finance</t>
        </is>
      </c>
      <c r="C102" s="24" t="inlineStr">
        <is>
          <t>HOLDERFUNDCODE</t>
        </is>
      </c>
      <c r="D102" s="24" t="inlineStr">
        <is>
          <t>varchar(32)</t>
        </is>
      </c>
      <c r="E102" s="24" t="inlineStr">
        <is>
          <t>YES</t>
        </is>
      </c>
      <c r="F102" s="24" t="inlineStr">
        <is>
          <t>持有人资金代码</t>
        </is>
      </c>
      <c r="G102" s="24" t="n"/>
      <c r="H102" s="24" t="n"/>
      <c r="I102" s="24" t="inlineStr"/>
      <c r="J102" s="24" t="inlineStr">
        <is>
          <t>2023/01/12</t>
        </is>
      </c>
    </row>
    <row r="103">
      <c r="B103" s="24" t="inlineStr">
        <is>
          <t>clr_asset_finance</t>
        </is>
      </c>
      <c r="C103" s="24" t="inlineStr">
        <is>
          <t>TYPENAME</t>
        </is>
      </c>
      <c r="D103" s="24" t="inlineStr">
        <is>
          <t>varchar(80)</t>
        </is>
      </c>
      <c r="E103" s="24" t="inlineStr">
        <is>
          <t>YES</t>
        </is>
      </c>
      <c r="F103" s="24" t="inlineStr">
        <is>
          <t>类型名称</t>
        </is>
      </c>
      <c r="G103" s="24" t="n"/>
      <c r="H103" s="24" t="n"/>
      <c r="I103" s="24" t="inlineStr"/>
      <c r="J103" s="24" t="inlineStr">
        <is>
          <t>2023/01/12</t>
        </is>
      </c>
    </row>
    <row r="104">
      <c r="B104" s="24" t="inlineStr">
        <is>
          <t>clr_asset_finance</t>
        </is>
      </c>
      <c r="C104" s="24" t="inlineStr">
        <is>
          <t>CREDITORGSHORT</t>
        </is>
      </c>
      <c r="D104" s="24" t="inlineStr">
        <is>
          <t>varchar(80)</t>
        </is>
      </c>
      <c r="E104" s="24" t="inlineStr">
        <is>
          <t>YES</t>
        </is>
      </c>
      <c r="F104" s="24" t="inlineStr">
        <is>
          <t>评级机构;短期）</t>
        </is>
      </c>
      <c r="G104" s="24" t="n"/>
      <c r="H104" s="24" t="n"/>
      <c r="I104" s="24" t="inlineStr"/>
      <c r="J104" s="24" t="inlineStr">
        <is>
          <t>2023/01/12</t>
        </is>
      </c>
    </row>
    <row r="105">
      <c r="B105" s="24" t="inlineStr">
        <is>
          <t>clr_asset_finance</t>
        </is>
      </c>
      <c r="C105" s="24" t="inlineStr">
        <is>
          <t>CREDITLEVELSHORT</t>
        </is>
      </c>
      <c r="D105" s="24" t="inlineStr">
        <is>
          <t>varchar(18)</t>
        </is>
      </c>
      <c r="E105" s="24" t="inlineStr">
        <is>
          <t>YES</t>
        </is>
      </c>
      <c r="F105" s="24" t="inlineStr">
        <is>
          <t>评级等级;短期）</t>
        </is>
      </c>
      <c r="G105" s="24" t="n"/>
      <c r="H105" s="24" t="n"/>
      <c r="I105" s="24" t="inlineStr"/>
      <c r="J105" s="24" t="inlineStr">
        <is>
          <t>2023/01/12</t>
        </is>
      </c>
    </row>
    <row r="106">
      <c r="B106" s="24" t="inlineStr">
        <is>
          <t>clr_asset_finance</t>
        </is>
      </c>
      <c r="C106" s="24" t="inlineStr">
        <is>
          <t>CREDITORGLONG</t>
        </is>
      </c>
      <c r="D106" s="24" t="inlineStr">
        <is>
          <t>varchar(80)</t>
        </is>
      </c>
      <c r="E106" s="24" t="inlineStr">
        <is>
          <t>YES</t>
        </is>
      </c>
      <c r="F106" s="24" t="inlineStr">
        <is>
          <t>评级机构;长期)</t>
        </is>
      </c>
      <c r="G106" s="24" t="n"/>
      <c r="H106" s="24" t="n"/>
      <c r="I106" s="24" t="inlineStr"/>
      <c r="J106" s="24" t="inlineStr">
        <is>
          <t>2023/01/12</t>
        </is>
      </c>
    </row>
    <row r="107">
      <c r="B107" s="24" t="inlineStr">
        <is>
          <t>clr_asset_finance</t>
        </is>
      </c>
      <c r="C107" s="24" t="inlineStr">
        <is>
          <t>CREDITLEVELLONG</t>
        </is>
      </c>
      <c r="D107" s="24" t="inlineStr">
        <is>
          <t>varchar(18)</t>
        </is>
      </c>
      <c r="E107" s="24" t="inlineStr">
        <is>
          <t>YES</t>
        </is>
      </c>
      <c r="F107" s="24" t="inlineStr">
        <is>
          <t>评级等级;长期)</t>
        </is>
      </c>
      <c r="G107" s="24" t="n"/>
      <c r="H107" s="24" t="n"/>
      <c r="I107" s="24" t="inlineStr"/>
      <c r="J107" s="24" t="inlineStr">
        <is>
          <t>2023/01/12</t>
        </is>
      </c>
    </row>
    <row r="108">
      <c r="B108" s="24" t="inlineStr">
        <is>
          <t>clr_asset_finance</t>
        </is>
      </c>
      <c r="C108" s="24" t="inlineStr">
        <is>
          <t>PUBLISHERCODE</t>
        </is>
      </c>
      <c r="D108" s="24" t="inlineStr">
        <is>
          <t>varchar(32)</t>
        </is>
      </c>
      <c r="E108" s="24" t="inlineStr">
        <is>
          <t>YES</t>
        </is>
      </c>
      <c r="F108" s="24" t="inlineStr">
        <is>
          <t>发行人代码</t>
        </is>
      </c>
      <c r="G108" s="24" t="n"/>
      <c r="H108" s="24" t="n"/>
      <c r="I108" s="24" t="inlineStr"/>
      <c r="J108" s="24" t="inlineStr">
        <is>
          <t>2023/01/12</t>
        </is>
      </c>
    </row>
    <row r="109">
      <c r="B109" s="24" t="inlineStr">
        <is>
          <t>clr_asset_finance</t>
        </is>
      </c>
      <c r="C109" s="24" t="inlineStr">
        <is>
          <t>PUBLISHER</t>
        </is>
      </c>
      <c r="D109" s="24" t="inlineStr">
        <is>
          <t>varchar(80)</t>
        </is>
      </c>
      <c r="E109" s="24" t="inlineStr">
        <is>
          <t>YES</t>
        </is>
      </c>
      <c r="F109" s="24" t="inlineStr">
        <is>
          <t>发行人名称</t>
        </is>
      </c>
      <c r="G109" s="24" t="n"/>
      <c r="H109" s="24" t="n"/>
      <c r="I109" s="24" t="inlineStr"/>
      <c r="J109" s="24" t="inlineStr">
        <is>
          <t>2023/01/12</t>
        </is>
      </c>
    </row>
    <row r="110">
      <c r="B110" s="24" t="inlineStr">
        <is>
          <t>clr_asset_finance</t>
        </is>
      </c>
      <c r="C110" s="24" t="inlineStr">
        <is>
          <t>PUBTRADETYPE</t>
        </is>
      </c>
      <c r="D110" s="24" t="inlineStr">
        <is>
          <t>varchar(18)</t>
        </is>
      </c>
      <c r="E110" s="24" t="inlineStr">
        <is>
          <t>YES</t>
        </is>
      </c>
      <c r="F110" s="24" t="inlineStr">
        <is>
          <t>发行人交易对手类别</t>
        </is>
      </c>
      <c r="G110" s="24" t="n"/>
      <c r="H110" s="24" t="n"/>
      <c r="I110" s="24" t="inlineStr"/>
      <c r="J110" s="24" t="inlineStr">
        <is>
          <t>2023/01/12</t>
        </is>
      </c>
    </row>
    <row r="111">
      <c r="B111" s="24" t="inlineStr">
        <is>
          <t>clr_asset_finance</t>
        </is>
      </c>
      <c r="C111" s="24" t="inlineStr">
        <is>
          <t>PUBLONGCREDITORG</t>
        </is>
      </c>
      <c r="D111" s="24" t="inlineStr">
        <is>
          <t>varchar(80)</t>
        </is>
      </c>
      <c r="E111" s="24" t="inlineStr">
        <is>
          <t>YES</t>
        </is>
      </c>
      <c r="F111" s="24" t="inlineStr">
        <is>
          <t>发行人长期评级机构</t>
        </is>
      </c>
      <c r="G111" s="24" t="n"/>
      <c r="H111" s="24" t="n"/>
      <c r="I111" s="24" t="inlineStr"/>
      <c r="J111" s="24" t="inlineStr">
        <is>
          <t>2023/01/12</t>
        </is>
      </c>
    </row>
    <row r="112">
      <c r="B112" s="24" t="inlineStr">
        <is>
          <t>clr_asset_finance</t>
        </is>
      </c>
      <c r="C112" s="24" t="inlineStr">
        <is>
          <t>PUBLONGCREDITLEVEL</t>
        </is>
      </c>
      <c r="D112" s="24" t="inlineStr">
        <is>
          <t>varchar(18)</t>
        </is>
      </c>
      <c r="E112" s="24" t="inlineStr">
        <is>
          <t>YES</t>
        </is>
      </c>
      <c r="F112" s="24" t="inlineStr">
        <is>
          <t>发行人长期评级等级</t>
        </is>
      </c>
      <c r="G112" s="24" t="n"/>
      <c r="H112" s="24" t="n"/>
      <c r="I112" s="24" t="inlineStr"/>
      <c r="J112" s="24" t="inlineStr">
        <is>
          <t>2023/01/12</t>
        </is>
      </c>
    </row>
    <row r="113">
      <c r="B113" s="24" t="inlineStr">
        <is>
          <t>clr_asset_finance</t>
        </is>
      </c>
      <c r="C113" s="24" t="inlineStr">
        <is>
          <t>PUBCOUNTRY</t>
        </is>
      </c>
      <c r="D113" s="24" t="inlineStr">
        <is>
          <t>varchar(80)</t>
        </is>
      </c>
      <c r="E113" s="24" t="inlineStr">
        <is>
          <t>YES</t>
        </is>
      </c>
      <c r="F113" s="24" t="inlineStr">
        <is>
          <t>发行人所在国家</t>
        </is>
      </c>
      <c r="G113" s="24" t="n"/>
      <c r="H113" s="24" t="n"/>
      <c r="I113" s="24" t="inlineStr"/>
      <c r="J113" s="24" t="inlineStr">
        <is>
          <t>2023/01/12</t>
        </is>
      </c>
    </row>
    <row r="114">
      <c r="B114" s="24" t="inlineStr">
        <is>
          <t>clr_asset_finance</t>
        </is>
      </c>
      <c r="C114" s="24" t="inlineStr">
        <is>
          <t>ISPROFIT</t>
        </is>
      </c>
      <c r="D114" s="24" t="inlineStr">
        <is>
          <t>char(1)</t>
        </is>
      </c>
      <c r="E114" s="24" t="inlineStr">
        <is>
          <t>YES</t>
        </is>
      </c>
      <c r="F114" s="43" t="inlineStr">
        <is>
          <t>上市公司是否盈利/公司是否盈利</t>
        </is>
      </c>
      <c r="G114" s="24" t="n"/>
      <c r="H114" s="24" t="n"/>
      <c r="I114" s="24" t="inlineStr"/>
      <c r="J114" s="24" t="inlineStr">
        <is>
          <t>2023/01/12</t>
        </is>
      </c>
    </row>
    <row r="115">
      <c r="B115" s="24" t="inlineStr">
        <is>
          <t>clr_asset_finance</t>
        </is>
      </c>
      <c r="C115" s="24" t="inlineStr">
        <is>
          <t>FINANCEFLAG01</t>
        </is>
      </c>
      <c r="D115" s="24" t="inlineStr">
        <is>
          <t>char(1)</t>
        </is>
      </c>
      <c r="E115" s="24" t="inlineStr">
        <is>
          <t>YES</t>
        </is>
      </c>
      <c r="F115" s="24" t="inlineStr">
        <is>
          <t>是否具有现金价值</t>
        </is>
      </c>
      <c r="G115" s="24" t="n"/>
      <c r="H115" s="24" t="n"/>
      <c r="I115" s="24" t="inlineStr"/>
      <c r="J115" s="24" t="inlineStr">
        <is>
          <t>2023/01/12</t>
        </is>
      </c>
    </row>
    <row r="116">
      <c r="B116" s="24" t="inlineStr">
        <is>
          <t>clr_asset_finance</t>
        </is>
      </c>
      <c r="C116" s="24" t="inlineStr">
        <is>
          <t>FINANCEFLAG02</t>
        </is>
      </c>
      <c r="D116" s="24" t="inlineStr">
        <is>
          <t>char(1)</t>
        </is>
      </c>
      <c r="E116" s="24" t="inlineStr">
        <is>
          <t>YES</t>
        </is>
      </c>
      <c r="F116" s="24" t="inlineStr">
        <is>
          <t>是否于认可的交易所上交易</t>
        </is>
      </c>
      <c r="G116" s="24" t="n"/>
      <c r="H116" s="24" t="n"/>
      <c r="I116" s="24" t="inlineStr"/>
      <c r="J116" s="24" t="inlineStr">
        <is>
          <t>2023/01/12</t>
        </is>
      </c>
    </row>
    <row r="117">
      <c r="B117" s="24" t="inlineStr">
        <is>
          <t>clr_asset_finance</t>
        </is>
      </c>
      <c r="C117" s="24" t="inlineStr">
        <is>
          <t>FINANCEFLAG03</t>
        </is>
      </c>
      <c r="D117" s="24" t="inlineStr">
        <is>
          <t>char(1)</t>
        </is>
      </c>
      <c r="E117" s="24" t="inlineStr">
        <is>
          <t>YES</t>
        </is>
      </c>
      <c r="F117" s="24" t="inlineStr">
        <is>
          <t>是否主要交易指数成分</t>
        </is>
      </c>
      <c r="G117" s="24" t="n"/>
      <c r="H117" s="24" t="n"/>
      <c r="I117" s="24" t="inlineStr"/>
      <c r="J117" s="24" t="inlineStr">
        <is>
          <t>2023/01/12</t>
        </is>
      </c>
    </row>
    <row r="118">
      <c r="B118" s="24" t="inlineStr">
        <is>
          <t>clr_asset_finance</t>
        </is>
      </c>
      <c r="C118" s="24" t="inlineStr">
        <is>
          <t>STOCKMANANGER</t>
        </is>
      </c>
      <c r="D118" s="24" t="inlineStr">
        <is>
          <t>varchar(80)</t>
        </is>
      </c>
      <c r="E118" s="24" t="inlineStr">
        <is>
          <t>YES</t>
        </is>
      </c>
      <c r="F118" s="24" t="inlineStr">
        <is>
          <t>股票托管券商</t>
        </is>
      </c>
      <c r="G118" s="24" t="n"/>
      <c r="H118" s="24" t="n"/>
      <c r="I118" s="24" t="inlineStr"/>
      <c r="J118" s="24" t="inlineStr">
        <is>
          <t>2023/01/12</t>
        </is>
      </c>
    </row>
    <row r="119">
      <c r="B119" s="24" t="inlineStr">
        <is>
          <t>clr_asset_finance</t>
        </is>
      </c>
      <c r="C119" s="24" t="inlineStr">
        <is>
          <t>ACCOUNTSUM</t>
        </is>
      </c>
      <c r="D119" s="24" t="inlineStr">
        <is>
          <t>decimal(24,6)</t>
        </is>
      </c>
      <c r="E119" s="24" t="inlineStr">
        <is>
          <t>YES</t>
        </is>
      </c>
      <c r="F119" s="24" t="inlineStr">
        <is>
          <t>保证金账户金额</t>
        </is>
      </c>
      <c r="G119" s="24" t="n"/>
      <c r="H119" s="24" t="n"/>
      <c r="I119" s="24" t="inlineStr"/>
      <c r="J119" s="24" t="inlineStr">
        <is>
          <t>2023/01/12</t>
        </is>
      </c>
    </row>
    <row r="120">
      <c r="B120" s="24" t="inlineStr">
        <is>
          <t>clr_asset_finance</t>
        </is>
      </c>
      <c r="C120" s="24" t="inlineStr">
        <is>
          <t>BAILACCOUNTSOURCE</t>
        </is>
      </c>
      <c r="D120" s="24" t="inlineStr">
        <is>
          <t>varchar(6)</t>
        </is>
      </c>
      <c r="E120" s="24" t="inlineStr">
        <is>
          <t>YES</t>
        </is>
      </c>
      <c r="F120" s="24" t="inlineStr">
        <is>
          <t>01-在岸;02-离岸;02-离岸</t>
        </is>
      </c>
      <c r="G120" s="24" t="n"/>
      <c r="H120" s="24" t="n"/>
      <c r="I120" s="24" t="inlineStr"/>
      <c r="J120" s="24" t="inlineStr">
        <is>
          <t>2023/01/12</t>
        </is>
      </c>
    </row>
    <row r="121">
      <c r="B121" s="24" t="inlineStr">
        <is>
          <t>clr_asset_finance</t>
        </is>
      </c>
      <c r="C121" s="24" t="inlineStr">
        <is>
          <t>ACCOUNTCTRLSUM</t>
        </is>
      </c>
      <c r="D121" s="24" t="inlineStr">
        <is>
          <t>decimal(24,6)</t>
        </is>
      </c>
      <c r="E121" s="24" t="inlineStr">
        <is>
          <t>YES</t>
        </is>
      </c>
      <c r="F121" s="24" t="inlineStr">
        <is>
          <t>保证金账户已控制金额</t>
        </is>
      </c>
      <c r="G121" s="24" t="n"/>
      <c r="H121" s="24" t="n"/>
      <c r="I121" s="24" t="inlineStr"/>
      <c r="J121" s="24" t="inlineStr">
        <is>
          <t>2023/01/12</t>
        </is>
      </c>
    </row>
    <row r="122">
      <c r="B122" s="24" t="inlineStr">
        <is>
          <t>clr_asset_finance</t>
        </is>
      </c>
      <c r="C122" s="24" t="inlineStr">
        <is>
          <t>ACCOUNTSTATUS</t>
        </is>
      </c>
      <c r="D122" s="24" t="inlineStr">
        <is>
          <t>varchar(6)</t>
        </is>
      </c>
      <c r="E122" s="24" t="inlineStr">
        <is>
          <t>YES</t>
        </is>
      </c>
      <c r="F122" s="24" t="inlineStr">
        <is>
          <t>01;正常；02 销户；;正常；02 销户；</t>
        </is>
      </c>
      <c r="G122" s="24" t="n"/>
      <c r="H122" s="24" t="n"/>
      <c r="I122" s="24" t="inlineStr"/>
      <c r="J122" s="24" t="inlineStr">
        <is>
          <t>2023/01/12</t>
        </is>
      </c>
    </row>
    <row r="123">
      <c r="B123" s="24" t="inlineStr">
        <is>
          <t>clr_asset_finance</t>
        </is>
      </c>
      <c r="C123" s="24" t="inlineStr">
        <is>
          <t>ACCOUNTUPDATEDATE</t>
        </is>
      </c>
      <c r="D123" s="24" t="inlineStr">
        <is>
          <t>datetime</t>
        </is>
      </c>
      <c r="E123" s="24" t="inlineStr">
        <is>
          <t>YES</t>
        </is>
      </c>
      <c r="F123" s="24" t="inlineStr">
        <is>
          <t>保证金账户数据更新日期</t>
        </is>
      </c>
      <c r="G123" s="24" t="n"/>
      <c r="H123" s="24" t="n"/>
      <c r="I123" s="24" t="inlineStr"/>
      <c r="J123" s="24" t="inlineStr">
        <is>
          <t>2023/01/12</t>
        </is>
      </c>
    </row>
    <row r="124">
      <c r="B124" s="24" t="inlineStr">
        <is>
          <t>clr_asset_finance</t>
        </is>
      </c>
      <c r="C124" s="24" t="inlineStr">
        <is>
          <t>INPUTORGID</t>
        </is>
      </c>
      <c r="D124" s="24" t="inlineStr">
        <is>
          <t>varchar(32)</t>
        </is>
      </c>
      <c r="E124" s="24" t="inlineStr">
        <is>
          <t>YES</t>
        </is>
      </c>
      <c r="F124" s="24" t="inlineStr">
        <is>
          <t>登记机构</t>
        </is>
      </c>
      <c r="G124" s="24" t="n"/>
      <c r="H124" s="24" t="n"/>
      <c r="I124" s="24" t="inlineStr"/>
      <c r="J124" s="24" t="inlineStr">
        <is>
          <t>2023/01/12</t>
        </is>
      </c>
    </row>
    <row r="125">
      <c r="B125" s="24" t="inlineStr">
        <is>
          <t>clr_asset_finance</t>
        </is>
      </c>
      <c r="C125" s="24" t="inlineStr">
        <is>
          <t>INPUTUSERID</t>
        </is>
      </c>
      <c r="D125" s="24" t="inlineStr">
        <is>
          <t>varchar(32)</t>
        </is>
      </c>
      <c r="E125" s="24" t="inlineStr">
        <is>
          <t>YES</t>
        </is>
      </c>
      <c r="F125" s="24" t="inlineStr">
        <is>
          <t>登记人</t>
        </is>
      </c>
      <c r="G125" s="24" t="n"/>
      <c r="H125" s="24" t="n"/>
      <c r="I125" s="24" t="inlineStr"/>
      <c r="J125" s="24" t="inlineStr">
        <is>
          <t>2023/01/12</t>
        </is>
      </c>
    </row>
    <row r="126">
      <c r="B126" s="24" t="inlineStr">
        <is>
          <t>clr_asset_finance</t>
        </is>
      </c>
      <c r="C126" s="24" t="inlineStr">
        <is>
          <t>INPUTDATE</t>
        </is>
      </c>
      <c r="D126" s="24" t="inlineStr">
        <is>
          <t>datetime</t>
        </is>
      </c>
      <c r="E126" s="24" t="inlineStr">
        <is>
          <t>YES</t>
        </is>
      </c>
      <c r="F126" s="24" t="inlineStr">
        <is>
          <t>登记日期</t>
        </is>
      </c>
      <c r="G126" s="24" t="n"/>
      <c r="H126" s="24" t="n"/>
      <c r="I126" s="24" t="inlineStr"/>
      <c r="J126" s="24" t="inlineStr">
        <is>
          <t>2023/01/12</t>
        </is>
      </c>
    </row>
    <row r="127">
      <c r="B127" s="24" t="inlineStr">
        <is>
          <t>clr_asset_finance</t>
        </is>
      </c>
      <c r="C127" s="24" t="inlineStr">
        <is>
          <t>UPDATEORGID</t>
        </is>
      </c>
      <c r="D127" s="24" t="inlineStr">
        <is>
          <t>varchar(32)</t>
        </is>
      </c>
      <c r="E127" s="24" t="inlineStr">
        <is>
          <t>YES</t>
        </is>
      </c>
      <c r="F127" s="24" t="inlineStr">
        <is>
          <t>更新机构</t>
        </is>
      </c>
      <c r="G127" s="24" t="n"/>
      <c r="H127" s="24" t="n"/>
      <c r="I127" s="24" t="inlineStr"/>
      <c r="J127" s="24" t="inlineStr">
        <is>
          <t>2023/01/12</t>
        </is>
      </c>
    </row>
    <row r="128">
      <c r="B128" s="24" t="inlineStr">
        <is>
          <t>clr_asset_finance</t>
        </is>
      </c>
      <c r="C128" s="24" t="inlineStr">
        <is>
          <t>UPDATEUSERID</t>
        </is>
      </c>
      <c r="D128" s="24" t="inlineStr">
        <is>
          <t>varchar(32)</t>
        </is>
      </c>
      <c r="E128" s="24" t="inlineStr">
        <is>
          <t>YES</t>
        </is>
      </c>
      <c r="F128" s="24" t="inlineStr">
        <is>
          <t>更新人</t>
        </is>
      </c>
      <c r="G128" s="24" t="n"/>
      <c r="H128" s="24" t="n"/>
      <c r="I128" s="24" t="inlineStr"/>
      <c r="J128" s="24" t="inlineStr">
        <is>
          <t>2023/01/12</t>
        </is>
      </c>
    </row>
    <row r="129">
      <c r="B129" s="24" t="inlineStr">
        <is>
          <t>clr_asset_finance</t>
        </is>
      </c>
      <c r="C129" s="24" t="inlineStr">
        <is>
          <t>UPDATEDATE</t>
        </is>
      </c>
      <c r="D129" s="24" t="inlineStr">
        <is>
          <t>datetime</t>
        </is>
      </c>
      <c r="E129" s="24" t="inlineStr">
        <is>
          <t>YES</t>
        </is>
      </c>
      <c r="F129" s="24" t="inlineStr">
        <is>
          <t>更新日期</t>
        </is>
      </c>
      <c r="G129" s="24" t="n"/>
      <c r="H129" s="24" t="n"/>
      <c r="I129" s="24" t="inlineStr"/>
      <c r="J129" s="24" t="inlineStr">
        <is>
          <t>2023/01/12</t>
        </is>
      </c>
    </row>
    <row r="130">
      <c r="B130" s="24" t="inlineStr">
        <is>
          <t>clr_asset_finance</t>
        </is>
      </c>
      <c r="C130" s="24" t="inlineStr">
        <is>
          <t>REMARK</t>
        </is>
      </c>
      <c r="D130" s="24" t="inlineStr">
        <is>
          <t>varchar(1000)</t>
        </is>
      </c>
      <c r="E130" s="24" t="inlineStr">
        <is>
          <t>YES</t>
        </is>
      </c>
      <c r="F130" s="24" t="inlineStr">
        <is>
          <t>备注</t>
        </is>
      </c>
      <c r="G130" s="24" t="n"/>
      <c r="H130" s="24" t="n"/>
      <c r="I130" s="24" t="inlineStr"/>
      <c r="J130" s="24" t="inlineStr">
        <is>
          <t>2023/01/12</t>
        </is>
      </c>
    </row>
    <row r="131">
      <c r="B131" s="24" t="inlineStr">
        <is>
          <t>clr_asset_finance</t>
        </is>
      </c>
      <c r="C131" s="24" t="inlineStr">
        <is>
          <t>CORPORGID</t>
        </is>
      </c>
      <c r="D131" s="24" t="inlineStr">
        <is>
          <t>varchar(32)</t>
        </is>
      </c>
      <c r="E131" s="24" t="inlineStr">
        <is>
          <t>YES</t>
        </is>
      </c>
      <c r="F131" s="24" t="inlineStr">
        <is>
          <t>法人机构编号</t>
        </is>
      </c>
      <c r="G131" s="24" t="n"/>
      <c r="H131" s="24" t="n"/>
      <c r="I131" s="24" t="inlineStr"/>
      <c r="J131" s="24" t="inlineStr">
        <is>
          <t>2023/01/12</t>
        </is>
      </c>
    </row>
    <row r="132">
      <c r="B132" s="109" t="inlineStr">
        <is>
          <t>clr_asset_finance</t>
        </is>
      </c>
      <c r="C132" s="109" t="inlineStr">
        <is>
          <t>TRADEMARKET</t>
        </is>
      </c>
      <c r="D132" s="109" t="inlineStr">
        <is>
          <t>varchar(6)</t>
        </is>
      </c>
      <c r="E132" s="109" t="inlineStr">
        <is>
          <t>YES</t>
        </is>
      </c>
      <c r="F132" s="116" t="inlineStr">
        <is>
          <t>股票交易场所</t>
        </is>
      </c>
      <c r="G132" s="117">
        <f>HYPERLINK("#码值映射清单!B13637","Trademarket")</f>
        <v/>
      </c>
      <c r="H132" s="109" t="n"/>
      <c r="I132" s="109" t="inlineStr"/>
      <c r="J132" s="109" t="inlineStr">
        <is>
          <t>2023/01/12</t>
        </is>
      </c>
    </row>
    <row r="133">
      <c r="B133" s="37" t="inlineStr">
        <is>
          <t>clr_asset_finance</t>
        </is>
      </c>
      <c r="C133" s="37" t="inlineStr">
        <is>
          <t>BILLRANGESTART</t>
        </is>
      </c>
      <c r="D133" s="37" t="inlineStr">
        <is>
          <t>varchar(20)</t>
        </is>
      </c>
      <c r="E133" s="37" t="inlineStr">
        <is>
          <t>YES</t>
        </is>
      </c>
      <c r="F133" s="38" t="inlineStr">
        <is>
          <t>开始票据区间</t>
        </is>
      </c>
      <c r="G133" s="37" t="n"/>
      <c r="H133" s="37" t="n"/>
      <c r="I133" s="37" t="n"/>
      <c r="J133" s="180" t="n">
        <v>45740</v>
      </c>
    </row>
    <row r="134">
      <c r="B134" s="37" t="inlineStr">
        <is>
          <t>clr_asset_finance</t>
        </is>
      </c>
      <c r="C134" s="37" t="inlineStr">
        <is>
          <t>BILLRANGEEND</t>
        </is>
      </c>
      <c r="D134" s="37" t="inlineStr">
        <is>
          <t>varchar(20)</t>
        </is>
      </c>
      <c r="E134" s="37" t="inlineStr">
        <is>
          <t>YES</t>
        </is>
      </c>
      <c r="F134" s="38" t="inlineStr">
        <is>
          <t>截止票据区间</t>
        </is>
      </c>
      <c r="G134" s="37" t="n"/>
      <c r="H134" s="37" t="n"/>
      <c r="I134" s="37" t="n"/>
      <c r="J134" s="180" t="n">
        <v>45740</v>
      </c>
    </row>
    <row r="135">
      <c r="B135" s="65" t="inlineStr">
        <is>
          <t>clr_asset_finance</t>
        </is>
      </c>
      <c r="C135" s="97" t="inlineStr">
        <is>
          <t>FRZNO</t>
        </is>
      </c>
      <c r="D135" s="97" t="inlineStr">
        <is>
          <t>varchar(32)</t>
        </is>
      </c>
      <c r="E135" s="118" t="inlineStr">
        <is>
          <t>YES</t>
        </is>
      </c>
      <c r="F135" s="119" t="inlineStr">
        <is>
          <t>冻结止付编号</t>
        </is>
      </c>
      <c r="G135" s="97" t="n"/>
      <c r="H135" s="97" t="n"/>
      <c r="I135" s="97" t="n"/>
      <c r="J135" s="182" t="n">
        <v>45740</v>
      </c>
    </row>
    <row r="136" ht="16" customHeight="1" s="170">
      <c r="B136" s="65" t="inlineStr">
        <is>
          <t>clr_asset_finance</t>
        </is>
      </c>
      <c r="C136" s="60" t="inlineStr">
        <is>
          <t>BILLMEDIUM</t>
        </is>
      </c>
      <c r="D136" s="65" t="inlineStr">
        <is>
          <t>varchar(6)</t>
        </is>
      </c>
      <c r="E136" s="65" t="inlineStr">
        <is>
          <t>YES</t>
        </is>
      </c>
      <c r="F136" s="82" t="inlineStr">
        <is>
          <t>存单介质/票据介质</t>
        </is>
      </c>
      <c r="G136" s="60" t="n"/>
      <c r="H136" s="60" t="inlineStr">
        <is>
          <t>1-纸质、2-电子</t>
        </is>
      </c>
      <c r="I136" s="60" t="n"/>
      <c r="J136" s="183" t="n">
        <v>45740</v>
      </c>
    </row>
    <row r="137">
      <c r="B137" s="65" t="inlineStr">
        <is>
          <t>clr_asset_finance</t>
        </is>
      </c>
      <c r="C137" s="60" t="inlineStr">
        <is>
          <t>REGISTERINFO</t>
        </is>
      </c>
      <c r="D137" s="60" t="inlineStr">
        <is>
          <t>varchar(500)</t>
        </is>
      </c>
      <c r="E137" s="65" t="inlineStr">
        <is>
          <t>YES</t>
        </is>
      </c>
      <c r="F137" s="82" t="inlineStr">
        <is>
          <t>质押物登记情况</t>
        </is>
      </c>
      <c r="G137" s="60" t="n"/>
      <c r="H137" s="60" t="n"/>
      <c r="I137" s="60" t="n"/>
      <c r="J137" s="183" t="n">
        <v>45740</v>
      </c>
    </row>
    <row r="138" ht="46" customHeight="1" s="170">
      <c r="B138" s="65" t="inlineStr">
        <is>
          <t>clr_asset_finance</t>
        </is>
      </c>
      <c r="C138" s="60" t="inlineStr">
        <is>
          <t>FRZSTATUS</t>
        </is>
      </c>
      <c r="D138" s="65" t="inlineStr">
        <is>
          <t>varchar(6)</t>
        </is>
      </c>
      <c r="E138" s="65" t="inlineStr">
        <is>
          <t>YES</t>
        </is>
      </c>
      <c r="F138" s="82" t="inlineStr">
        <is>
          <t>冻结状态/冻结类型</t>
        </is>
      </c>
      <c r="G138" s="60" t="n"/>
      <c r="H138" s="66" t="inlineStr">
        <is>
          <t>冻结类型：1.冻结
2.未冻结</t>
        </is>
      </c>
      <c r="I138" s="60" t="n"/>
      <c r="J138" s="183" t="n">
        <v>45740</v>
      </c>
    </row>
    <row r="139" ht="16" customHeight="1" s="170">
      <c r="B139" s="65" t="inlineStr">
        <is>
          <t>clr_asset_finance</t>
        </is>
      </c>
      <c r="C139" s="60" t="inlineStr">
        <is>
          <t>PAYOUTTYPE</t>
        </is>
      </c>
      <c r="D139" s="65" t="inlineStr">
        <is>
          <t>varchar(6)</t>
        </is>
      </c>
      <c r="E139" s="65" t="inlineStr">
        <is>
          <t>YES</t>
        </is>
      </c>
      <c r="F139" s="82" t="inlineStr">
        <is>
          <t>支出类型</t>
        </is>
      </c>
      <c r="G139" s="60" t="n"/>
      <c r="H139" s="60" t="inlineStr">
        <is>
          <t>01 -密码  、  02- 证件 、03 -印鉴</t>
        </is>
      </c>
      <c r="I139" s="60" t="n"/>
      <c r="J139" s="183" t="n">
        <v>45740</v>
      </c>
    </row>
    <row r="140">
      <c r="B140" s="65" t="inlineStr">
        <is>
          <t>clr_asset_finance</t>
        </is>
      </c>
      <c r="C140" s="60" t="inlineStr">
        <is>
          <t>LOANCARDNO</t>
        </is>
      </c>
      <c r="D140" s="60" t="inlineStr">
        <is>
          <t>varchar(32)</t>
        </is>
      </c>
      <c r="E140" s="65" t="inlineStr">
        <is>
          <t>YES</t>
        </is>
      </c>
      <c r="F140" s="82" t="inlineStr">
        <is>
          <t>出质人贷款卡号</t>
        </is>
      </c>
      <c r="G140" s="60" t="n"/>
      <c r="H140" s="60" t="n"/>
      <c r="I140" s="60" t="n"/>
      <c r="J140" s="183" t="n">
        <v>45740</v>
      </c>
      <c r="K140" s="114" t="n"/>
      <c r="L140" s="114" t="n"/>
    </row>
    <row r="141">
      <c r="B141" s="65" t="inlineStr">
        <is>
          <t>clr_asset_finance</t>
        </is>
      </c>
      <c r="C141" s="60" t="inlineStr">
        <is>
          <t>SELLAGRENO</t>
        </is>
      </c>
      <c r="D141" s="60" t="inlineStr">
        <is>
          <t>varchar(50)</t>
        </is>
      </c>
      <c r="E141" s="65" t="inlineStr">
        <is>
          <t>YES</t>
        </is>
      </c>
      <c r="F141" s="82" t="inlineStr">
        <is>
          <t>款项</t>
        </is>
      </c>
      <c r="G141" s="60" t="n"/>
      <c r="H141" s="60" t="n"/>
      <c r="I141" s="60" t="n"/>
      <c r="J141" s="183" t="n">
        <v>45740</v>
      </c>
      <c r="K141" s="114" t="n"/>
      <c r="L141" s="114" t="n"/>
    </row>
    <row r="142">
      <c r="B142" s="65" t="inlineStr">
        <is>
          <t>clr_asset_finance</t>
        </is>
      </c>
      <c r="C142" s="60" t="inlineStr">
        <is>
          <t>REALIZATIONVALUE</t>
        </is>
      </c>
      <c r="D142" s="65" t="inlineStr">
        <is>
          <t>decimal(24,6)</t>
        </is>
      </c>
      <c r="E142" s="65" t="inlineStr">
        <is>
          <t>YES</t>
        </is>
      </c>
      <c r="F142" s="82" t="inlineStr">
        <is>
          <t>预计变现值</t>
        </is>
      </c>
      <c r="G142" s="60" t="n"/>
      <c r="H142" s="60" t="n"/>
      <c r="I142" s="60" t="n"/>
      <c r="J142" s="183" t="n">
        <v>45740</v>
      </c>
      <c r="K142" s="114" t="n"/>
      <c r="L142" s="114" t="n"/>
    </row>
    <row r="143">
      <c r="B143" s="65" t="inlineStr">
        <is>
          <t>clr_asset_finance</t>
        </is>
      </c>
      <c r="C143" s="60" t="inlineStr">
        <is>
          <t>REALIZATIONCOST</t>
        </is>
      </c>
      <c r="D143" s="65" t="inlineStr">
        <is>
          <t>decimal(24,6)</t>
        </is>
      </c>
      <c r="E143" s="65" t="inlineStr">
        <is>
          <t>YES</t>
        </is>
      </c>
      <c r="F143" s="82" t="inlineStr">
        <is>
          <t>预计变现成本</t>
        </is>
      </c>
      <c r="G143" s="60" t="n"/>
      <c r="H143" s="60" t="n"/>
      <c r="I143" s="60" t="n"/>
      <c r="J143" s="183" t="n">
        <v>45740</v>
      </c>
      <c r="K143" s="114" t="n"/>
      <c r="L143" s="114" t="n"/>
    </row>
    <row r="144">
      <c r="B144" s="65" t="inlineStr">
        <is>
          <t>clr_asset_finance</t>
        </is>
      </c>
      <c r="C144" s="60" t="inlineStr">
        <is>
          <t>ISOWNDEPOSIT</t>
        </is>
      </c>
      <c r="D144" s="65" t="inlineStr">
        <is>
          <t>varchar(6)</t>
        </is>
      </c>
      <c r="E144" s="65" t="inlineStr">
        <is>
          <t>YES</t>
        </is>
      </c>
      <c r="F144" s="99" t="inlineStr">
        <is>
          <t>是否我行存单</t>
        </is>
      </c>
      <c r="G144" s="60" t="n"/>
      <c r="H144" s="60" t="n"/>
      <c r="I144" s="60" t="n"/>
      <c r="J144" s="183" t="n">
        <v>45740</v>
      </c>
      <c r="K144" s="114" t="n"/>
      <c r="L144" s="114" t="n"/>
    </row>
    <row r="145">
      <c r="B145" s="65" t="inlineStr">
        <is>
          <t>clr_asset_finance</t>
        </is>
      </c>
      <c r="C145" s="60" t="inlineStr">
        <is>
          <t>MARGINRATIO</t>
        </is>
      </c>
      <c r="D145" s="65" t="inlineStr">
        <is>
          <t>decimal(18,8)</t>
        </is>
      </c>
      <c r="E145" s="65" t="inlineStr">
        <is>
          <t>YES</t>
        </is>
      </c>
      <c r="F145" s="59" t="inlineStr">
        <is>
          <t>保证金比例/持有股权比例</t>
        </is>
      </c>
      <c r="G145" s="60" t="n"/>
      <c r="H145" s="60" t="n"/>
      <c r="I145" s="60" t="n"/>
      <c r="J145" s="183" t="n">
        <v>45740</v>
      </c>
      <c r="K145" s="114" t="n"/>
      <c r="L145" s="114" t="n"/>
    </row>
    <row r="146" ht="16" customHeight="1" s="170">
      <c r="B146" s="65" t="inlineStr">
        <is>
          <t>clr_asset_finance</t>
        </is>
      </c>
      <c r="C146" s="111" t="inlineStr">
        <is>
          <t>OTHERAGREEMENTS</t>
        </is>
      </c>
      <c r="D146" s="60" t="inlineStr">
        <is>
          <t>varchar(200)</t>
        </is>
      </c>
      <c r="E146" s="65" t="inlineStr">
        <is>
          <t>YES</t>
        </is>
      </c>
      <c r="F146" s="59" t="inlineStr">
        <is>
          <t>其他特别约定</t>
        </is>
      </c>
      <c r="G146" s="60" t="n"/>
      <c r="H146" s="60" t="n"/>
      <c r="I146" s="60" t="n"/>
      <c r="J146" s="183" t="n">
        <v>45740</v>
      </c>
      <c r="K146" s="114" t="n"/>
      <c r="L146" s="114" t="n"/>
    </row>
    <row r="147" ht="16" customHeight="1" s="170">
      <c r="B147" s="65" t="inlineStr">
        <is>
          <t>clr_asset_finance</t>
        </is>
      </c>
      <c r="C147" s="111" t="inlineStr">
        <is>
          <t>UNDERWRITINGDATE</t>
        </is>
      </c>
      <c r="D147" s="65" t="inlineStr">
        <is>
          <t>datetime</t>
        </is>
      </c>
      <c r="E147" s="65" t="inlineStr">
        <is>
          <t>YES</t>
        </is>
      </c>
      <c r="F147" s="60" t="inlineStr">
        <is>
          <t>核保时间</t>
        </is>
      </c>
      <c r="G147" s="60" t="n"/>
      <c r="H147" s="60" t="n"/>
      <c r="I147" s="60" t="n"/>
      <c r="J147" s="183" t="n">
        <v>45740</v>
      </c>
      <c r="K147" s="114" t="n"/>
      <c r="L147" s="114" t="n"/>
    </row>
    <row r="148" ht="16" customHeight="1" s="170">
      <c r="B148" s="65" t="inlineStr">
        <is>
          <t>clr_asset_finance</t>
        </is>
      </c>
      <c r="C148" s="111" t="inlineStr">
        <is>
          <t>UNDERWRITER</t>
        </is>
      </c>
      <c r="D148" s="60" t="inlineStr">
        <is>
          <t>varchar(80)</t>
        </is>
      </c>
      <c r="E148" s="65" t="inlineStr">
        <is>
          <t>YES</t>
        </is>
      </c>
      <c r="F148" s="59" t="inlineStr">
        <is>
          <t>核保人</t>
        </is>
      </c>
      <c r="G148" s="60" t="n"/>
      <c r="H148" s="60" t="n"/>
      <c r="I148" s="60" t="n"/>
      <c r="J148" s="183" t="n">
        <v>45740</v>
      </c>
      <c r="K148" s="114" t="n"/>
      <c r="L148" s="114" t="n"/>
    </row>
    <row r="149" ht="16" customHeight="1" s="170">
      <c r="B149" s="65" t="inlineStr">
        <is>
          <t>clr_asset_finance</t>
        </is>
      </c>
      <c r="C149" s="111" t="inlineStr">
        <is>
          <t>RECEPTIONISTNAME</t>
        </is>
      </c>
      <c r="D149" s="60" t="inlineStr">
        <is>
          <t>varchar(80)</t>
        </is>
      </c>
      <c r="E149" s="65" t="inlineStr">
        <is>
          <t>YES</t>
        </is>
      </c>
      <c r="F149" s="59" t="inlineStr">
        <is>
          <t>接待人姓名</t>
        </is>
      </c>
      <c r="G149" s="60" t="n"/>
      <c r="H149" s="60" t="n"/>
      <c r="I149" s="60" t="n"/>
      <c r="J149" s="183" t="n">
        <v>45740</v>
      </c>
      <c r="K149" s="114" t="n"/>
      <c r="L149" s="114" t="n"/>
    </row>
    <row r="150" ht="16" customHeight="1" s="170">
      <c r="B150" s="65" t="inlineStr">
        <is>
          <t>clr_asset_finance</t>
        </is>
      </c>
      <c r="C150" s="111" t="inlineStr">
        <is>
          <t>RECEPTIONISTPOSITION</t>
        </is>
      </c>
      <c r="D150" s="60" t="inlineStr">
        <is>
          <t>varchar(80)</t>
        </is>
      </c>
      <c r="E150" s="65" t="inlineStr">
        <is>
          <t>YES</t>
        </is>
      </c>
      <c r="F150" s="59" t="inlineStr">
        <is>
          <t>接待人职务</t>
        </is>
      </c>
      <c r="G150" s="60" t="n"/>
      <c r="H150" s="60" t="n"/>
      <c r="I150" s="60" t="n"/>
      <c r="J150" s="183" t="n">
        <v>45740</v>
      </c>
      <c r="K150" s="114" t="n"/>
      <c r="L150" s="114" t="n"/>
    </row>
    <row r="151" ht="16" customHeight="1" s="170">
      <c r="B151" s="65" t="inlineStr">
        <is>
          <t>clr_asset_finance</t>
        </is>
      </c>
      <c r="C151" s="111" t="inlineStr">
        <is>
          <t>GUARANTEEOPINION</t>
        </is>
      </c>
      <c r="D151" s="60" t="inlineStr">
        <is>
          <t>varchar(200)</t>
        </is>
      </c>
      <c r="E151" s="65" t="inlineStr">
        <is>
          <t>YES</t>
        </is>
      </c>
      <c r="F151" s="59" t="inlineStr">
        <is>
          <t>担保意见</t>
        </is>
      </c>
      <c r="G151" s="60" t="n"/>
      <c r="H151" s="60" t="n"/>
      <c r="I151" s="60" t="n"/>
      <c r="J151" s="183" t="n">
        <v>45740</v>
      </c>
      <c r="K151" s="114" t="n"/>
      <c r="L151" s="114" t="n"/>
    </row>
    <row r="152" ht="16" customHeight="1" s="170">
      <c r="B152" s="65" t="inlineStr">
        <is>
          <t>clr_asset_finance</t>
        </is>
      </c>
      <c r="C152" s="111" t="inlineStr">
        <is>
          <t>RATETYPE</t>
        </is>
      </c>
      <c r="D152" s="60" t="inlineStr">
        <is>
          <t>varchar(6)</t>
        </is>
      </c>
      <c r="E152" s="65" t="inlineStr">
        <is>
          <t>YES</t>
        </is>
      </c>
      <c r="F152" s="59" t="inlineStr">
        <is>
          <t>债券利率类型</t>
        </is>
      </c>
      <c r="G152" s="60" t="n"/>
      <c r="H152" s="60" t="n"/>
      <c r="I152" s="60" t="n"/>
      <c r="J152" s="183" t="n">
        <v>45740</v>
      </c>
      <c r="K152" s="114" t="n"/>
      <c r="L152" s="114" t="n"/>
    </row>
    <row r="153" ht="16" customHeight="1" s="170">
      <c r="B153" s="65" t="inlineStr">
        <is>
          <t>clr_asset_finance</t>
        </is>
      </c>
      <c r="C153" s="111" t="inlineStr">
        <is>
          <t>ISSTOPPAYMENTREQUIRED</t>
        </is>
      </c>
      <c r="D153" s="60" t="inlineStr">
        <is>
          <t>varchar(6)</t>
        </is>
      </c>
      <c r="E153" s="65" t="inlineStr">
        <is>
          <t>YES</t>
        </is>
      </c>
      <c r="F153" s="99" t="inlineStr">
        <is>
          <t>是否需要办理止付</t>
        </is>
      </c>
      <c r="G153" s="60" t="n"/>
      <c r="H153" s="60" t="n"/>
      <c r="I153" s="60" t="n"/>
      <c r="J153" s="183" t="n">
        <v>45740</v>
      </c>
      <c r="K153" s="114" t="n"/>
      <c r="L153" s="114" t="n"/>
    </row>
    <row r="154" ht="16" customHeight="1" s="170">
      <c r="B154" s="65" t="inlineStr">
        <is>
          <t>clr_asset_finance</t>
        </is>
      </c>
      <c r="C154" s="111" t="inlineStr">
        <is>
          <t>PAYINGBANKNAME</t>
        </is>
      </c>
      <c r="D154" s="60" t="inlineStr">
        <is>
          <t>varchar(32)</t>
        </is>
      </c>
      <c r="E154" s="65" t="inlineStr">
        <is>
          <t>YES</t>
        </is>
      </c>
      <c r="F154" s="59" t="inlineStr">
        <is>
          <t>付款行名称</t>
        </is>
      </c>
      <c r="G154" s="60" t="n"/>
      <c r="H154" s="60" t="n"/>
      <c r="I154" s="60" t="n"/>
      <c r="J154" s="183" t="n">
        <v>45740</v>
      </c>
      <c r="K154" s="114" t="n"/>
      <c r="L154" s="114" t="n"/>
    </row>
    <row r="155" ht="16" customHeight="1" s="170">
      <c r="B155" s="65" t="inlineStr">
        <is>
          <t>clr_asset_finance</t>
        </is>
      </c>
      <c r="C155" s="111" t="inlineStr">
        <is>
          <t>HASREALTRADEBACKGROUND</t>
        </is>
      </c>
      <c r="D155" s="60" t="inlineStr">
        <is>
          <t>varchar(6)</t>
        </is>
      </c>
      <c r="E155" s="65" t="inlineStr">
        <is>
          <t>YES</t>
        </is>
      </c>
      <c r="F155" s="82" t="inlineStr">
        <is>
          <t>是否具有真实的商品交易背景</t>
        </is>
      </c>
      <c r="G155" s="60" t="n"/>
      <c r="H155" s="60" t="n"/>
      <c r="I155" s="60" t="n"/>
      <c r="J155" s="183" t="n">
        <v>45740</v>
      </c>
      <c r="K155" s="114" t="n"/>
      <c r="L155" s="114" t="n"/>
    </row>
    <row r="156" ht="16" customHeight="1" s="170">
      <c r="B156" s="65" t="inlineStr">
        <is>
          <t>clr_asset_finance</t>
        </is>
      </c>
      <c r="C156" s="111" t="inlineStr">
        <is>
          <t>MARGINACCOUNT</t>
        </is>
      </c>
      <c r="D156" s="60" t="inlineStr">
        <is>
          <t>varchar(40)</t>
        </is>
      </c>
      <c r="E156" s="65" t="inlineStr">
        <is>
          <t>YES</t>
        </is>
      </c>
      <c r="F156" s="82" t="inlineStr">
        <is>
          <t>托收收款保证金账号</t>
        </is>
      </c>
      <c r="G156" s="60" t="n"/>
      <c r="H156" s="60" t="n"/>
      <c r="I156" s="60" t="n"/>
      <c r="J156" s="183" t="n">
        <v>45740</v>
      </c>
      <c r="K156" s="114" t="n"/>
      <c r="L156" s="114" t="n"/>
    </row>
    <row r="157" ht="16" customHeight="1" s="170">
      <c r="B157" s="65" t="inlineStr">
        <is>
          <t>clr_asset_finance</t>
        </is>
      </c>
      <c r="C157" s="111" t="inlineStr">
        <is>
          <t>ISPROFITABLE</t>
        </is>
      </c>
      <c r="D157" s="60" t="inlineStr">
        <is>
          <t>varchar(6)</t>
        </is>
      </c>
      <c r="E157" s="65" t="inlineStr">
        <is>
          <t>YES</t>
        </is>
      </c>
      <c r="F157" s="82" t="inlineStr">
        <is>
          <t>上市公司是否盈利</t>
        </is>
      </c>
      <c r="G157" s="60" t="n"/>
      <c r="H157" s="60" t="n"/>
      <c r="I157" s="60" t="n"/>
      <c r="J157" s="183" t="n">
        <v>45740</v>
      </c>
      <c r="K157" s="114" t="n"/>
      <c r="L157" s="114" t="n"/>
    </row>
    <row r="158" ht="16" customHeight="1" s="170">
      <c r="B158" s="65" t="inlineStr">
        <is>
          <t>clr_asset_finance</t>
        </is>
      </c>
      <c r="C158" s="111" t="inlineStr">
        <is>
          <t>SHARERATIO</t>
        </is>
      </c>
      <c r="D158" s="60" t="inlineStr">
        <is>
          <t>decimal(24,6)</t>
        </is>
      </c>
      <c r="E158" s="65" t="inlineStr">
        <is>
          <t>YES</t>
        </is>
      </c>
      <c r="F158" s="82" t="inlineStr">
        <is>
          <t>质押基金份额占总额</t>
        </is>
      </c>
      <c r="G158" s="60" t="n"/>
      <c r="H158" s="60" t="n"/>
      <c r="I158" s="60" t="n"/>
      <c r="J158" s="183" t="n">
        <v>45740</v>
      </c>
      <c r="K158" s="114" t="n"/>
      <c r="L158" s="114" t="n"/>
    </row>
    <row r="159" ht="16" customHeight="1" s="170">
      <c r="B159" s="65" t="inlineStr">
        <is>
          <t>clr_asset_finance</t>
        </is>
      </c>
      <c r="C159" s="111" t="inlineStr">
        <is>
          <t>CONFIRMDEPARTMENT</t>
        </is>
      </c>
      <c r="D159" s="60" t="inlineStr">
        <is>
          <t>varchar(80)</t>
        </is>
      </c>
      <c r="E159" s="65" t="inlineStr">
        <is>
          <t>YES</t>
        </is>
      </c>
      <c r="F159" s="99" t="inlineStr">
        <is>
          <t>保单现金价值确认部门</t>
        </is>
      </c>
      <c r="G159" s="60" t="n"/>
      <c r="H159" s="60" t="n"/>
      <c r="I159" s="60" t="n"/>
      <c r="J159" s="183" t="n">
        <v>45740</v>
      </c>
      <c r="K159" s="114" t="n"/>
      <c r="L159" s="114" t="n"/>
    </row>
    <row r="160" ht="16" customHeight="1" s="170">
      <c r="B160" s="65" t="inlineStr">
        <is>
          <t>clr_asset_finance</t>
        </is>
      </c>
      <c r="C160" s="111" t="inlineStr">
        <is>
          <t>PAYMENTPERIOD</t>
        </is>
      </c>
      <c r="D160" s="60" t="inlineStr">
        <is>
          <t>datetime</t>
        </is>
      </c>
      <c r="E160" s="65" t="inlineStr">
        <is>
          <t>YES</t>
        </is>
      </c>
      <c r="F160" s="82" t="inlineStr">
        <is>
          <t>保险费交缴期限</t>
        </is>
      </c>
      <c r="G160" s="60" t="n"/>
      <c r="H160" s="60" t="n"/>
      <c r="I160" s="60" t="n"/>
      <c r="J160" s="183" t="n">
        <v>45740</v>
      </c>
      <c r="K160" s="114" t="n"/>
      <c r="L160" s="114" t="n"/>
    </row>
    <row r="161" ht="41" customHeight="1" s="170">
      <c r="B161" s="65" t="inlineStr">
        <is>
          <t>clr_asset_finance</t>
        </is>
      </c>
      <c r="C161" s="111" t="inlineStr">
        <is>
          <t>PLEDGESCOPE</t>
        </is>
      </c>
      <c r="D161" s="60" t="inlineStr">
        <is>
          <t>varchar(6)</t>
        </is>
      </c>
      <c r="E161" s="65" t="inlineStr">
        <is>
          <t>YES</t>
        </is>
      </c>
      <c r="F161" s="59" t="inlineStr">
        <is>
          <t>理财质押范围</t>
        </is>
      </c>
      <c r="G161" s="60" t="n"/>
      <c r="H161" s="100" t="inlineStr">
        <is>
          <t>01 本金、02 本金及未来收益</t>
        </is>
      </c>
      <c r="I161" s="60" t="n"/>
      <c r="J161" s="183" t="n">
        <v>45740</v>
      </c>
      <c r="K161" s="114" t="n"/>
      <c r="L161" s="114" t="n"/>
    </row>
    <row r="162" ht="16" customHeight="1" s="170">
      <c r="B162" s="65" t="inlineStr">
        <is>
          <t>clr_asset_finance</t>
        </is>
      </c>
      <c r="C162" s="111" t="inlineStr">
        <is>
          <t>BENEFICIARYCERTIFICATE</t>
        </is>
      </c>
      <c r="D162" s="60" t="inlineStr">
        <is>
          <t>varchar(50)</t>
        </is>
      </c>
      <c r="E162" s="65" t="inlineStr">
        <is>
          <t>YES</t>
        </is>
      </c>
      <c r="F162" s="99" t="inlineStr">
        <is>
          <t>受益凭证</t>
        </is>
      </c>
      <c r="G162" s="60" t="n"/>
      <c r="H162" s="60" t="n"/>
      <c r="I162" s="60" t="n"/>
      <c r="J162" s="183" t="n">
        <v>45740</v>
      </c>
    </row>
    <row r="163" ht="16" customHeight="1" s="170">
      <c r="B163" s="65" t="inlineStr">
        <is>
          <t>clr_asset_finance</t>
        </is>
      </c>
      <c r="C163" s="111" t="inlineStr">
        <is>
          <t>ISPRINCIPALGUARANTEED</t>
        </is>
      </c>
      <c r="D163" s="60" t="inlineStr">
        <is>
          <t>varchar(6)</t>
        </is>
      </c>
      <c r="E163" s="65" t="inlineStr">
        <is>
          <t>YES</t>
        </is>
      </c>
      <c r="F163" s="99" t="inlineStr">
        <is>
          <t>是否保本型</t>
        </is>
      </c>
      <c r="G163" s="60" t="n"/>
      <c r="H163" s="60" t="n"/>
      <c r="I163" s="60" t="n"/>
      <c r="J163" s="183" t="n">
        <v>45740</v>
      </c>
    </row>
    <row r="164" ht="16" customHeight="1" s="170">
      <c r="B164" s="65" t="inlineStr">
        <is>
          <t>clr_asset_finance</t>
        </is>
      </c>
      <c r="C164" s="111" t="inlineStr">
        <is>
          <t>ACCOUNTNAME</t>
        </is>
      </c>
      <c r="D164" s="60" t="inlineStr">
        <is>
          <t>varchar(100)</t>
        </is>
      </c>
      <c r="E164" s="65" t="inlineStr">
        <is>
          <t>YES</t>
        </is>
      </c>
      <c r="F164" s="99" t="inlineStr">
        <is>
          <t>户主/姓名</t>
        </is>
      </c>
      <c r="G164" s="60" t="n"/>
      <c r="H164" s="60" t="n"/>
      <c r="I164" s="60" t="n"/>
      <c r="J164" s="183" t="n">
        <v>45740</v>
      </c>
    </row>
    <row r="165" ht="16" customHeight="1" s="170">
      <c r="B165" s="65" t="inlineStr">
        <is>
          <t>clr_asset_finance</t>
        </is>
      </c>
      <c r="C165" s="111" t="inlineStr">
        <is>
          <t>RIGHTCERTNO</t>
        </is>
      </c>
      <c r="D165" s="60" t="inlineStr">
        <is>
          <t>varchar(200)</t>
        </is>
      </c>
      <c r="E165" s="65" t="inlineStr">
        <is>
          <t>YES</t>
        </is>
      </c>
      <c r="F165" s="99" t="inlineStr">
        <is>
          <t>权利凭证编号</t>
        </is>
      </c>
      <c r="G165" s="60" t="n"/>
      <c r="H165" s="60" t="n"/>
      <c r="I165" s="60" t="n"/>
      <c r="J165" s="183" t="n">
        <v>45740</v>
      </c>
    </row>
    <row r="166" ht="16" customHeight="1" s="170">
      <c r="B166" s="65" t="inlineStr">
        <is>
          <t>clr_asset_finance</t>
        </is>
      </c>
      <c r="C166" s="111" t="inlineStr">
        <is>
          <t>PLEDGEEXPIRATIONDATE</t>
        </is>
      </c>
      <c r="D166" s="60" t="inlineStr">
        <is>
          <t>datetime</t>
        </is>
      </c>
      <c r="E166" s="65" t="inlineStr">
        <is>
          <t>YES</t>
        </is>
      </c>
      <c r="F166" s="99" t="inlineStr">
        <is>
          <t>质押到期日期</t>
        </is>
      </c>
      <c r="G166" s="60" t="n"/>
      <c r="H166" s="60" t="n"/>
      <c r="I166" s="60" t="n"/>
      <c r="J166" s="183" t="n">
        <v>45740</v>
      </c>
    </row>
  </sheetData>
  <pageMargins left="0.75" right="0.75" top="1" bottom="1" header="0.5" footer="0.5"/>
  <pageSetup orientation="portrait" paperSize="1" horizontalDpi="300" verticalDpi="300"/>
</worksheet>
</file>

<file path=xl/worksheets/sheet68.xml><?xml version="1.0" encoding="utf-8"?>
<worksheet xmlns="http://schemas.openxmlformats.org/spreadsheetml/2006/main">
  <sheetPr>
    <outlinePr summaryBelow="1" summaryRight="1"/>
    <pageSetUpPr/>
  </sheetPr>
  <dimension ref="A1:M144"/>
  <sheetViews>
    <sheetView zoomScaleSheetLayoutView="60" workbookViewId="0">
      <pane ySplit="2" topLeftCell="A112" activePane="bottomLeft" state="frozen"/>
      <selection activeCell="A1" sqref="A1"/>
      <selection pane="bottomLeft" activeCell="C141" sqref="C141"/>
    </sheetView>
  </sheetViews>
  <sheetFormatPr baseColWidth="8" defaultColWidth="9.142857142857141" defaultRowHeight="15.2"/>
  <cols>
    <col width="23.9285714285714" customWidth="1" style="170" min="2" max="2"/>
    <col width="27.5714285714286" customWidth="1" style="170" min="3" max="3"/>
    <col width="15.625" customWidth="1" style="170" min="4" max="4"/>
    <col width="7.80357142857143" customWidth="1" style="170" min="5" max="5"/>
    <col width="39.0625" customWidth="1" style="170" min="6" max="6"/>
    <col width="15.625" customWidth="1" style="170" min="7" max="7"/>
    <col width="11.7053571428571" customWidth="1" style="170" min="10" max="10"/>
  </cols>
  <sheetData>
    <row r="1">
      <c r="A1" s="96">
        <f>HYPERLINK("#表结构清单!A1","返回")</f>
        <v/>
      </c>
      <c r="B1" t="inlineStr">
        <is>
          <t>交通和机械设备</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clr_asset_others_equipment</t>
        </is>
      </c>
      <c r="C3" s="24" t="inlineStr">
        <is>
          <t>CLRID</t>
        </is>
      </c>
      <c r="D3" s="24" t="inlineStr">
        <is>
          <t>varchar(32)</t>
        </is>
      </c>
      <c r="E3" s="24" t="inlineStr">
        <is>
          <t>NO</t>
        </is>
      </c>
      <c r="F3" s="24" t="inlineStr">
        <is>
          <t>押品编号</t>
        </is>
      </c>
      <c r="G3" s="24" t="n"/>
      <c r="H3" s="24" t="n"/>
      <c r="I3" s="24" t="inlineStr"/>
      <c r="J3" s="24" t="inlineStr">
        <is>
          <t>2023/01/12</t>
        </is>
      </c>
    </row>
    <row r="4">
      <c r="B4" s="24" t="inlineStr">
        <is>
          <t>clr_asset_others_equipment</t>
        </is>
      </c>
      <c r="C4" s="24" t="inlineStr">
        <is>
          <t>TRANPORTNAME</t>
        </is>
      </c>
      <c r="D4" s="24" t="inlineStr">
        <is>
          <t>varchar(80)</t>
        </is>
      </c>
      <c r="E4" s="24" t="inlineStr">
        <is>
          <t>YES</t>
        </is>
      </c>
      <c r="F4" s="24" t="inlineStr">
        <is>
          <t>车辆/船舶/航空器名称</t>
        </is>
      </c>
      <c r="G4" s="24" t="n"/>
      <c r="H4" s="24" t="n"/>
      <c r="I4" s="24" t="inlineStr"/>
      <c r="J4" s="24" t="inlineStr">
        <is>
          <t>2023/01/12</t>
        </is>
      </c>
    </row>
    <row r="5">
      <c r="B5" s="24" t="inlineStr">
        <is>
          <t>clr_asset_others_equipment</t>
        </is>
      </c>
      <c r="C5" s="24" t="inlineStr">
        <is>
          <t>VEHICLETYPE</t>
        </is>
      </c>
      <c r="D5" s="24" t="inlineStr">
        <is>
          <t>varchar(18)</t>
        </is>
      </c>
      <c r="E5" s="24" t="inlineStr">
        <is>
          <t>YES</t>
        </is>
      </c>
      <c r="F5" s="24" t="inlineStr">
        <is>
          <t>车辆类型</t>
        </is>
      </c>
      <c r="G5" s="52">
        <f>HYPERLINK("#码值映射清单!B5645","VehicleType")</f>
        <v/>
      </c>
      <c r="H5" s="24" t="n"/>
      <c r="I5" s="24" t="inlineStr"/>
      <c r="J5" s="24" t="inlineStr">
        <is>
          <t>2023/01/12</t>
        </is>
      </c>
    </row>
    <row r="6">
      <c r="B6" s="24" t="inlineStr">
        <is>
          <t>clr_asset_others_equipment</t>
        </is>
      </c>
      <c r="C6" s="24" t="inlineStr">
        <is>
          <t>EQUIPMENTNAME</t>
        </is>
      </c>
      <c r="D6" s="24" t="inlineStr">
        <is>
          <t>varchar(80)</t>
        </is>
      </c>
      <c r="E6" s="24" t="inlineStr">
        <is>
          <t>YES</t>
        </is>
      </c>
      <c r="F6" s="43" t="inlineStr">
        <is>
          <t>设备名称/押品具体名称</t>
        </is>
      </c>
      <c r="G6" s="24" t="n"/>
      <c r="H6" s="24" t="n"/>
      <c r="I6" s="24" t="inlineStr"/>
      <c r="J6" s="24" t="inlineStr">
        <is>
          <t>2023/01/12</t>
        </is>
      </c>
    </row>
    <row r="7">
      <c r="B7" s="24" t="inlineStr">
        <is>
          <t>clr_asset_others_equipment</t>
        </is>
      </c>
      <c r="C7" s="24" t="inlineStr">
        <is>
          <t>ENGINENO</t>
        </is>
      </c>
      <c r="D7" s="24" t="inlineStr">
        <is>
          <t>varchar(80)</t>
        </is>
      </c>
      <c r="E7" s="24" t="inlineStr">
        <is>
          <t>YES</t>
        </is>
      </c>
      <c r="F7" s="24" t="inlineStr">
        <is>
          <t>发动机号</t>
        </is>
      </c>
      <c r="G7" s="24" t="n"/>
      <c r="H7" s="24" t="n"/>
      <c r="I7" s="24" t="inlineStr"/>
      <c r="J7" s="24" t="inlineStr">
        <is>
          <t>2023/01/12</t>
        </is>
      </c>
    </row>
    <row r="8">
      <c r="B8" s="24" t="inlineStr">
        <is>
          <t>clr_asset_others_equipment</t>
        </is>
      </c>
      <c r="C8" s="24" t="inlineStr">
        <is>
          <t>ENGINETYPE</t>
        </is>
      </c>
      <c r="D8" s="24" t="inlineStr">
        <is>
          <t>varchar(18)</t>
        </is>
      </c>
      <c r="E8" s="24" t="inlineStr">
        <is>
          <t>YES</t>
        </is>
      </c>
      <c r="F8" s="24" t="inlineStr">
        <is>
          <t>航空器、在建航空器的发动机型号</t>
        </is>
      </c>
      <c r="G8" s="24" t="n"/>
      <c r="H8" s="24" t="n"/>
      <c r="I8" s="24" t="inlineStr"/>
      <c r="J8" s="24" t="inlineStr">
        <is>
          <t>2023/01/12</t>
        </is>
      </c>
    </row>
    <row r="9">
      <c r="B9" s="24" t="inlineStr">
        <is>
          <t>clr_asset_others_equipment</t>
        </is>
      </c>
      <c r="C9" s="24" t="inlineStr">
        <is>
          <t>ENGINEPRODUCTIONDATE</t>
        </is>
      </c>
      <c r="D9" s="24" t="inlineStr">
        <is>
          <t>varchar(18)</t>
        </is>
      </c>
      <c r="E9" s="24" t="inlineStr">
        <is>
          <t>YES</t>
        </is>
      </c>
      <c r="F9" s="24" t="inlineStr">
        <is>
          <t>发动机出厂日期</t>
        </is>
      </c>
      <c r="G9" s="24" t="n"/>
      <c r="H9" s="24" t="n"/>
      <c r="I9" s="24" t="inlineStr"/>
      <c r="J9" s="24" t="inlineStr">
        <is>
          <t>2023/01/12</t>
        </is>
      </c>
    </row>
    <row r="10">
      <c r="B10" s="24" t="inlineStr">
        <is>
          <t>clr_asset_others_equipment</t>
        </is>
      </c>
      <c r="C10" s="24" t="inlineStr">
        <is>
          <t>SHIPTYPE</t>
        </is>
      </c>
      <c r="D10" s="24" t="inlineStr">
        <is>
          <t>varchar(6)</t>
        </is>
      </c>
      <c r="E10" s="24" t="inlineStr">
        <is>
          <t>YES</t>
        </is>
      </c>
      <c r="F10" s="24" t="inlineStr">
        <is>
          <t>船舶类型</t>
        </is>
      </c>
      <c r="G10" s="52">
        <f>HYPERLINK("#码值映射清单!B8615","ShipType")</f>
        <v/>
      </c>
      <c r="H10" s="24" t="n"/>
      <c r="I10" s="24" t="inlineStr"/>
      <c r="J10" s="24" t="inlineStr">
        <is>
          <t>2023/01/12</t>
        </is>
      </c>
    </row>
    <row r="11">
      <c r="B11" s="24" t="inlineStr">
        <is>
          <t>clr_asset_others_equipment</t>
        </is>
      </c>
      <c r="C11" s="24" t="inlineStr">
        <is>
          <t>MODELNO</t>
        </is>
      </c>
      <c r="D11" s="24" t="inlineStr">
        <is>
          <t>varchar(80)</t>
        </is>
      </c>
      <c r="E11" s="24" t="inlineStr">
        <is>
          <t>YES</t>
        </is>
      </c>
      <c r="F11" s="24" t="inlineStr">
        <is>
          <t>设备型号</t>
        </is>
      </c>
      <c r="G11" s="24" t="n"/>
      <c r="H11" s="24" t="n"/>
      <c r="I11" s="24" t="inlineStr"/>
      <c r="J11" s="24" t="inlineStr">
        <is>
          <t>2023/01/12</t>
        </is>
      </c>
    </row>
    <row r="12">
      <c r="B12" s="24" t="inlineStr">
        <is>
          <t>clr_asset_others_equipment</t>
        </is>
      </c>
      <c r="C12" s="24" t="inlineStr">
        <is>
          <t>BRAND</t>
        </is>
      </c>
      <c r="D12" s="24" t="inlineStr">
        <is>
          <t>varchar(80)</t>
        </is>
      </c>
      <c r="E12" s="24" t="inlineStr">
        <is>
          <t>YES</t>
        </is>
      </c>
      <c r="F12" s="43" t="inlineStr">
        <is>
          <t>品牌型号/品牌/型号</t>
        </is>
      </c>
      <c r="G12" s="24" t="n"/>
      <c r="H12" s="24" t="n"/>
      <c r="I12" s="24" t="inlineStr"/>
      <c r="J12" s="24" t="inlineStr">
        <is>
          <t>2023/01/12</t>
        </is>
      </c>
    </row>
    <row r="13">
      <c r="B13" s="24" t="inlineStr">
        <is>
          <t>clr_asset_others_equipment</t>
        </is>
      </c>
      <c r="C13" s="24" t="inlineStr">
        <is>
          <t>MANUFACTURER</t>
        </is>
      </c>
      <c r="D13" s="24" t="inlineStr">
        <is>
          <t>varchar(80)</t>
        </is>
      </c>
      <c r="E13" s="24" t="inlineStr">
        <is>
          <t>YES</t>
        </is>
      </c>
      <c r="F13" s="24" t="inlineStr">
        <is>
          <t>生产厂家</t>
        </is>
      </c>
      <c r="G13" s="24" t="n"/>
      <c r="H13" s="24" t="n"/>
      <c r="I13" s="24" t="inlineStr"/>
      <c r="J13" s="24" t="inlineStr">
        <is>
          <t>2023/01/12</t>
        </is>
      </c>
    </row>
    <row r="14">
      <c r="B14" s="24" t="inlineStr">
        <is>
          <t>clr_asset_others_equipment</t>
        </is>
      </c>
      <c r="C14" s="24" t="inlineStr">
        <is>
          <t>ORIGIN</t>
        </is>
      </c>
      <c r="D14" s="24" t="inlineStr">
        <is>
          <t>varchar(32)</t>
        </is>
      </c>
      <c r="E14" s="24" t="inlineStr">
        <is>
          <t>YES</t>
        </is>
      </c>
      <c r="F14" s="24" t="inlineStr">
        <is>
          <t>生产地</t>
        </is>
      </c>
      <c r="G14" s="24" t="n"/>
      <c r="H14" s="24" t="n"/>
      <c r="I14" s="24" t="inlineStr"/>
      <c r="J14" s="24" t="inlineStr">
        <is>
          <t>2023/01/12</t>
        </is>
      </c>
    </row>
    <row r="15">
      <c r="B15" s="24" t="inlineStr">
        <is>
          <t>clr_asset_others_equipment</t>
        </is>
      </c>
      <c r="C15" s="24" t="inlineStr">
        <is>
          <t>ORIGINCOUNTRY</t>
        </is>
      </c>
      <c r="D15" s="24" t="inlineStr">
        <is>
          <t>varchar(18)</t>
        </is>
      </c>
      <c r="E15" s="24" t="inlineStr">
        <is>
          <t>YES</t>
        </is>
      </c>
      <c r="F15" s="24" t="inlineStr">
        <is>
          <t>生产国别</t>
        </is>
      </c>
      <c r="G15" s="24" t="n"/>
      <c r="H15" s="24" t="n"/>
      <c r="I15" s="24" t="inlineStr"/>
      <c r="J15" s="24" t="inlineStr">
        <is>
          <t>2023/01/12</t>
        </is>
      </c>
    </row>
    <row r="16">
      <c r="B16" s="24" t="inlineStr">
        <is>
          <t>clr_asset_others_equipment</t>
        </is>
      </c>
      <c r="C16" s="24" t="inlineStr">
        <is>
          <t>SPECIFICATION</t>
        </is>
      </c>
      <c r="D16" s="24" t="inlineStr">
        <is>
          <t>varchar(500)</t>
        </is>
      </c>
      <c r="E16" s="24" t="inlineStr">
        <is>
          <t>YES</t>
        </is>
      </c>
      <c r="F16" s="24" t="inlineStr">
        <is>
          <t>主要规格/设备规格</t>
        </is>
      </c>
      <c r="G16" s="24" t="n"/>
      <c r="H16" s="24" t="n"/>
      <c r="I16" s="24" t="inlineStr"/>
      <c r="J16" s="24" t="inlineStr">
        <is>
          <t>2023/01/12</t>
        </is>
      </c>
    </row>
    <row r="17">
      <c r="B17" s="24" t="inlineStr">
        <is>
          <t>clr_asset_others_equipment</t>
        </is>
      </c>
      <c r="C17" s="24" t="inlineStr">
        <is>
          <t>COLOR</t>
        </is>
      </c>
      <c r="D17" s="24" t="inlineStr">
        <is>
          <t>varchar(18)</t>
        </is>
      </c>
      <c r="E17" s="24" t="inlineStr">
        <is>
          <t>YES</t>
        </is>
      </c>
      <c r="F17" s="24" t="inlineStr">
        <is>
          <t>颜色</t>
        </is>
      </c>
      <c r="G17" s="24" t="n"/>
      <c r="H17" s="24" t="n"/>
      <c r="I17" s="24" t="inlineStr"/>
      <c r="J17" s="24" t="inlineStr">
        <is>
          <t>2023/01/12</t>
        </is>
      </c>
    </row>
    <row r="18">
      <c r="B18" s="24" t="inlineStr">
        <is>
          <t>clr_asset_others_equipment</t>
        </is>
      </c>
      <c r="C18" s="24" t="inlineStr">
        <is>
          <t>VIN</t>
        </is>
      </c>
      <c r="D18" s="24" t="inlineStr">
        <is>
          <t>varchar(32)</t>
        </is>
      </c>
      <c r="E18" s="24" t="inlineStr">
        <is>
          <t>YES</t>
        </is>
      </c>
      <c r="F18" s="24" t="inlineStr">
        <is>
          <t>车架号</t>
        </is>
      </c>
      <c r="G18" s="24" t="n"/>
      <c r="H18" s="24" t="n"/>
      <c r="I18" s="24" t="inlineStr"/>
      <c r="J18" s="24" t="inlineStr">
        <is>
          <t>2023/01/12</t>
        </is>
      </c>
    </row>
    <row r="19">
      <c r="B19" s="24" t="inlineStr">
        <is>
          <t>clr_asset_others_equipment</t>
        </is>
      </c>
      <c r="C19" s="24" t="inlineStr">
        <is>
          <t>LPN</t>
        </is>
      </c>
      <c r="D19" s="24" t="inlineStr">
        <is>
          <t>varchar(32)</t>
        </is>
      </c>
      <c r="E19" s="24" t="inlineStr">
        <is>
          <t>YES</t>
        </is>
      </c>
      <c r="F19" s="24" t="inlineStr">
        <is>
          <t>车牌号</t>
        </is>
      </c>
      <c r="G19" s="24" t="n"/>
      <c r="H19" s="24" t="n"/>
      <c r="I19" s="24" t="inlineStr"/>
      <c r="J19" s="24" t="inlineStr">
        <is>
          <t>2023/01/12</t>
        </is>
      </c>
    </row>
    <row r="20">
      <c r="B20" s="24" t="inlineStr">
        <is>
          <t>clr_asset_others_equipment</t>
        </is>
      </c>
      <c r="C20" s="24" t="inlineStr">
        <is>
          <t>MAINTAINENCE</t>
        </is>
      </c>
      <c r="D20" s="24" t="inlineStr">
        <is>
          <t>varchar(500)</t>
        </is>
      </c>
      <c r="E20" s="24" t="inlineStr">
        <is>
          <t>YES</t>
        </is>
      </c>
      <c r="F20" s="24" t="inlineStr">
        <is>
          <t>技术故障及维修状况</t>
        </is>
      </c>
      <c r="G20" s="24" t="n"/>
      <c r="H20" s="24" t="n"/>
      <c r="I20" s="24" t="inlineStr"/>
      <c r="J20" s="24" t="inlineStr">
        <is>
          <t>2023/01/12</t>
        </is>
      </c>
    </row>
    <row r="21">
      <c r="B21" s="24" t="inlineStr">
        <is>
          <t>clr_asset_others_equipment</t>
        </is>
      </c>
      <c r="C21" s="24" t="inlineStr">
        <is>
          <t>SHIPRGISTNO</t>
        </is>
      </c>
      <c r="D21" s="24" t="inlineStr">
        <is>
          <t>varchar(32)</t>
        </is>
      </c>
      <c r="E21" s="24" t="inlineStr">
        <is>
          <t>YES</t>
        </is>
      </c>
      <c r="F21" s="24" t="inlineStr">
        <is>
          <t>船舶登记号/航空器编号</t>
        </is>
      </c>
      <c r="G21" s="24" t="n"/>
      <c r="H21" s="24" t="n"/>
      <c r="I21" s="24" t="inlineStr"/>
      <c r="J21" s="24" t="inlineStr">
        <is>
          <t>2023/01/12</t>
        </is>
      </c>
    </row>
    <row r="22">
      <c r="B22" s="24" t="inlineStr">
        <is>
          <t>clr_asset_others_equipment</t>
        </is>
      </c>
      <c r="C22" s="24" t="inlineStr">
        <is>
          <t>AIRCRAFTTYPE</t>
        </is>
      </c>
      <c r="D22" s="24" t="inlineStr">
        <is>
          <t>varchar(18)</t>
        </is>
      </c>
      <c r="E22" s="24" t="inlineStr">
        <is>
          <t>YES</t>
        </is>
      </c>
      <c r="F22" s="24" t="inlineStr">
        <is>
          <t>航空器类型</t>
        </is>
      </c>
      <c r="G22" s="24" t="n"/>
      <c r="H22" s="24" t="n"/>
      <c r="I22" s="24" t="inlineStr"/>
      <c r="J22" s="24" t="inlineStr">
        <is>
          <t>2023/01/12</t>
        </is>
      </c>
    </row>
    <row r="23">
      <c r="B23" s="24" t="inlineStr">
        <is>
          <t>clr_asset_others_equipment</t>
        </is>
      </c>
      <c r="C23" s="24" t="inlineStr">
        <is>
          <t>HOMEPORT</t>
        </is>
      </c>
      <c r="D23" s="24" t="inlineStr">
        <is>
          <t>varchar(80)</t>
        </is>
      </c>
      <c r="E23" s="24" t="inlineStr">
        <is>
          <t>YES</t>
        </is>
      </c>
      <c r="F23" s="43" t="inlineStr">
        <is>
          <t>船籍港</t>
        </is>
      </c>
      <c r="G23" s="24" t="n"/>
      <c r="H23" s="24" t="n"/>
      <c r="I23" s="24" t="inlineStr"/>
      <c r="J23" s="24" t="inlineStr">
        <is>
          <t>2023/01/12</t>
        </is>
      </c>
    </row>
    <row r="24">
      <c r="B24" s="24" t="inlineStr">
        <is>
          <t>clr_asset_others_equipment</t>
        </is>
      </c>
      <c r="C24" s="24" t="inlineStr">
        <is>
          <t>SHIPCLASS</t>
        </is>
      </c>
      <c r="D24" s="24" t="inlineStr">
        <is>
          <t>varchar(18)</t>
        </is>
      </c>
      <c r="E24" s="24" t="inlineStr">
        <is>
          <t>YES</t>
        </is>
      </c>
      <c r="F24" s="43" t="inlineStr">
        <is>
          <t>船级</t>
        </is>
      </c>
      <c r="G24" s="24" t="n"/>
      <c r="H24" s="24" t="n"/>
      <c r="I24" s="24" t="inlineStr"/>
      <c r="J24" s="24" t="inlineStr">
        <is>
          <t>2023/01/12</t>
        </is>
      </c>
    </row>
    <row r="25">
      <c r="B25" s="24" t="inlineStr">
        <is>
          <t>clr_asset_others_equipment</t>
        </is>
      </c>
      <c r="C25" s="24" t="inlineStr">
        <is>
          <t>NAVIGATINGZONE</t>
        </is>
      </c>
      <c r="D25" s="24" t="inlineStr">
        <is>
          <t>varchar(80)</t>
        </is>
      </c>
      <c r="E25" s="24" t="inlineStr">
        <is>
          <t>YES</t>
        </is>
      </c>
      <c r="F25" s="24" t="inlineStr">
        <is>
          <t>航区</t>
        </is>
      </c>
      <c r="G25" s="24" t="n"/>
      <c r="H25" s="24" t="n"/>
      <c r="I25" s="24" t="inlineStr"/>
      <c r="J25" s="24" t="inlineStr">
        <is>
          <t>2023/01/12</t>
        </is>
      </c>
    </row>
    <row r="26">
      <c r="B26" s="24" t="inlineStr">
        <is>
          <t>clr_asset_others_equipment</t>
        </is>
      </c>
      <c r="C26" s="24" t="inlineStr">
        <is>
          <t>LENGTH</t>
        </is>
      </c>
      <c r="D26" s="24" t="inlineStr">
        <is>
          <t>decimal(18,2)</t>
        </is>
      </c>
      <c r="E26" s="24" t="inlineStr">
        <is>
          <t>YES</t>
        </is>
      </c>
      <c r="F26" s="24" t="inlineStr">
        <is>
          <t>总长</t>
        </is>
      </c>
      <c r="G26" s="24" t="n"/>
      <c r="H26" s="24" t="n"/>
      <c r="I26" s="24" t="inlineStr"/>
      <c r="J26" s="24" t="inlineStr">
        <is>
          <t>2023/01/12</t>
        </is>
      </c>
    </row>
    <row r="27">
      <c r="B27" s="24" t="inlineStr">
        <is>
          <t>clr_asset_others_equipment</t>
        </is>
      </c>
      <c r="C27" s="24" t="inlineStr">
        <is>
          <t>MOLDEDBREADTH</t>
        </is>
      </c>
      <c r="D27" s="24" t="inlineStr">
        <is>
          <t>decimal(18,2)</t>
        </is>
      </c>
      <c r="E27" s="24" t="inlineStr">
        <is>
          <t>YES</t>
        </is>
      </c>
      <c r="F27" s="24" t="inlineStr">
        <is>
          <t>型宽</t>
        </is>
      </c>
      <c r="G27" s="24" t="n"/>
      <c r="H27" s="24" t="n"/>
      <c r="I27" s="24" t="inlineStr"/>
      <c r="J27" s="24" t="inlineStr">
        <is>
          <t>2023/01/12</t>
        </is>
      </c>
    </row>
    <row r="28">
      <c r="B28" s="24" t="inlineStr">
        <is>
          <t>clr_asset_others_equipment</t>
        </is>
      </c>
      <c r="C28" s="24" t="inlineStr">
        <is>
          <t>MOLDEDDEPTH</t>
        </is>
      </c>
      <c r="D28" s="24" t="inlineStr">
        <is>
          <t>decimal(18,2)</t>
        </is>
      </c>
      <c r="E28" s="24" t="inlineStr">
        <is>
          <t>YES</t>
        </is>
      </c>
      <c r="F28" s="24" t="inlineStr">
        <is>
          <t>型深</t>
        </is>
      </c>
      <c r="G28" s="24" t="n"/>
      <c r="H28" s="24" t="n"/>
      <c r="I28" s="24" t="inlineStr"/>
      <c r="J28" s="24" t="inlineStr">
        <is>
          <t>2023/01/12</t>
        </is>
      </c>
    </row>
    <row r="29">
      <c r="B29" s="24" t="inlineStr">
        <is>
          <t>clr_asset_others_equipment</t>
        </is>
      </c>
      <c r="C29" s="24" t="inlineStr">
        <is>
          <t>LOADCAPCITY</t>
        </is>
      </c>
      <c r="D29" s="24" t="inlineStr">
        <is>
          <t>decimal(18,2)</t>
        </is>
      </c>
      <c r="E29" s="24" t="inlineStr">
        <is>
          <t>YES</t>
        </is>
      </c>
      <c r="F29" s="24" t="inlineStr">
        <is>
          <t>总载重量/载重量/汽车载重量</t>
        </is>
      </c>
      <c r="G29" s="24" t="n"/>
      <c r="H29" s="24" t="n"/>
      <c r="I29" s="24" t="inlineStr"/>
      <c r="J29" s="24" t="inlineStr">
        <is>
          <t>2023/01/12</t>
        </is>
      </c>
    </row>
    <row r="30">
      <c r="B30" s="24" t="inlineStr">
        <is>
          <t>clr_asset_others_equipment</t>
        </is>
      </c>
      <c r="C30" s="24" t="inlineStr">
        <is>
          <t>LOADDISPLACEMENT</t>
        </is>
      </c>
      <c r="D30" s="24" t="inlineStr">
        <is>
          <t>decimal(18,2)</t>
        </is>
      </c>
      <c r="E30" s="24" t="inlineStr">
        <is>
          <t>YES</t>
        </is>
      </c>
      <c r="F30" s="24" t="inlineStr">
        <is>
          <t>满载排水量/载客量</t>
        </is>
      </c>
      <c r="G30" s="24" t="n"/>
      <c r="H30" s="24" t="n"/>
      <c r="I30" s="24" t="inlineStr"/>
      <c r="J30" s="24" t="inlineStr">
        <is>
          <t>2023/01/12</t>
        </is>
      </c>
    </row>
    <row r="31">
      <c r="B31" s="24" t="inlineStr">
        <is>
          <t>clr_asset_others_equipment</t>
        </is>
      </c>
      <c r="C31" s="24" t="inlineStr">
        <is>
          <t>MAINENGINEMODELNO</t>
        </is>
      </c>
      <c r="D31" s="24" t="inlineStr">
        <is>
          <t>varchar(80)</t>
        </is>
      </c>
      <c r="E31" s="24" t="inlineStr">
        <is>
          <t>YES</t>
        </is>
      </c>
      <c r="F31" s="24" t="inlineStr">
        <is>
          <t>主机型号</t>
        </is>
      </c>
      <c r="G31" s="24" t="n"/>
      <c r="H31" s="24" t="n"/>
      <c r="I31" s="24" t="inlineStr"/>
      <c r="J31" s="24" t="inlineStr">
        <is>
          <t>2023/01/12</t>
        </is>
      </c>
    </row>
    <row r="32">
      <c r="B32" s="24" t="inlineStr">
        <is>
          <t>clr_asset_others_equipment</t>
        </is>
      </c>
      <c r="C32" s="24" t="inlineStr">
        <is>
          <t>MAINENGINEPOWER</t>
        </is>
      </c>
      <c r="D32" s="24" t="inlineStr">
        <is>
          <t>varchar(80)</t>
        </is>
      </c>
      <c r="E32" s="24" t="inlineStr">
        <is>
          <t>YES</t>
        </is>
      </c>
      <c r="F32" s="24" t="inlineStr">
        <is>
          <t>主机功率</t>
        </is>
      </c>
      <c r="G32" s="24" t="n"/>
      <c r="H32" s="24" t="n"/>
      <c r="I32" s="24" t="inlineStr"/>
      <c r="J32" s="24" t="inlineStr">
        <is>
          <t>2023/01/12</t>
        </is>
      </c>
    </row>
    <row r="33">
      <c r="B33" s="24" t="inlineStr">
        <is>
          <t>clr_asset_others_equipment</t>
        </is>
      </c>
      <c r="C33" s="24" t="inlineStr">
        <is>
          <t>MAINENGINETYPE</t>
        </is>
      </c>
      <c r="D33" s="24" t="inlineStr">
        <is>
          <t>varchar(80)</t>
        </is>
      </c>
      <c r="E33" s="24" t="inlineStr">
        <is>
          <t>YES</t>
        </is>
      </c>
      <c r="F33" s="24" t="inlineStr">
        <is>
          <t>主机类型</t>
        </is>
      </c>
      <c r="G33" s="24" t="n"/>
      <c r="H33" s="24" t="n"/>
      <c r="I33" s="24" t="inlineStr"/>
      <c r="J33" s="24" t="inlineStr">
        <is>
          <t>2023/01/12</t>
        </is>
      </c>
    </row>
    <row r="34">
      <c r="B34" s="24" t="inlineStr">
        <is>
          <t>clr_asset_others_equipment</t>
        </is>
      </c>
      <c r="C34" s="24" t="inlineStr">
        <is>
          <t>COMPLETIONDATE</t>
        </is>
      </c>
      <c r="D34" s="24" t="inlineStr">
        <is>
          <t>varchar(18)</t>
        </is>
      </c>
      <c r="E34" s="24" t="inlineStr">
        <is>
          <t>YES</t>
        </is>
      </c>
      <c r="F34" s="43" t="inlineStr">
        <is>
          <t>完工日期/到期日期</t>
        </is>
      </c>
      <c r="G34" s="24" t="n"/>
      <c r="H34" s="24" t="n"/>
      <c r="I34" s="24" t="inlineStr"/>
      <c r="J34" s="24" t="inlineStr">
        <is>
          <t>2023/01/12</t>
        </is>
      </c>
    </row>
    <row r="35">
      <c r="B35" s="24" t="inlineStr">
        <is>
          <t>clr_asset_others_equipment</t>
        </is>
      </c>
      <c r="C35" s="24" t="inlineStr">
        <is>
          <t>ISDELIVERED</t>
        </is>
      </c>
      <c r="D35" s="24" t="inlineStr">
        <is>
          <t>char(1)</t>
        </is>
      </c>
      <c r="E35" s="24" t="inlineStr">
        <is>
          <t>YES</t>
        </is>
      </c>
      <c r="F35" s="24" t="inlineStr">
        <is>
          <t>是否已交付</t>
        </is>
      </c>
      <c r="G35" s="52">
        <f>HYPERLINK("#码值映射清单!B5150","YesNo")</f>
        <v/>
      </c>
      <c r="H35" s="24" t="n"/>
      <c r="I35" s="24" t="inlineStr"/>
      <c r="J35" s="24" t="inlineStr">
        <is>
          <t>2023/01/12</t>
        </is>
      </c>
    </row>
    <row r="36">
      <c r="B36" s="24" t="inlineStr">
        <is>
          <t>clr_asset_others_equipment</t>
        </is>
      </c>
      <c r="C36" s="24" t="inlineStr">
        <is>
          <t>DEIVERYDATE</t>
        </is>
      </c>
      <c r="D36" s="24" t="inlineStr">
        <is>
          <t>varchar(18)</t>
        </is>
      </c>
      <c r="E36" s="24" t="inlineStr">
        <is>
          <t>YES</t>
        </is>
      </c>
      <c r="F36" s="24" t="inlineStr">
        <is>
          <t>交付使用日期/航空器、在建航空器的交付使用日期</t>
        </is>
      </c>
      <c r="G36" s="24" t="n"/>
      <c r="H36" s="24" t="n"/>
      <c r="I36" s="24" t="inlineStr"/>
      <c r="J36" s="24" t="inlineStr">
        <is>
          <t>2023/01/12</t>
        </is>
      </c>
    </row>
    <row r="37">
      <c r="B37" s="24" t="inlineStr">
        <is>
          <t>clr_asset_others_equipment</t>
        </is>
      </c>
      <c r="C37" s="24" t="inlineStr">
        <is>
          <t>MARKETDATE</t>
        </is>
      </c>
      <c r="D37" s="24" t="inlineStr">
        <is>
          <t>varchar(18)</t>
        </is>
      </c>
      <c r="E37" s="24" t="inlineStr">
        <is>
          <t>YES</t>
        </is>
      </c>
      <c r="F37" s="24" t="inlineStr">
        <is>
          <t>市场价格评估日期</t>
        </is>
      </c>
      <c r="G37" s="24" t="n"/>
      <c r="H37" s="24" t="n"/>
      <c r="I37" s="24" t="inlineStr"/>
      <c r="J37" s="24" t="inlineStr">
        <is>
          <t>2023/01/12</t>
        </is>
      </c>
    </row>
    <row r="38">
      <c r="B38" s="24" t="inlineStr">
        <is>
          <t>clr_asset_others_equipment</t>
        </is>
      </c>
      <c r="C38" s="24" t="inlineStr">
        <is>
          <t>HOMEAGRMPRICE</t>
        </is>
      </c>
      <c r="D38" s="24" t="inlineStr">
        <is>
          <t>decimal(24,6)</t>
        </is>
      </c>
      <c r="E38" s="24" t="inlineStr">
        <is>
          <t>YES</t>
        </is>
      </c>
      <c r="F38" s="24" t="inlineStr">
        <is>
          <t>国内合同售价/最新参考购置价</t>
        </is>
      </c>
      <c r="G38" s="24" t="n"/>
      <c r="H38" s="24" t="n"/>
      <c r="I38" s="24" t="inlineStr"/>
      <c r="J38" s="24" t="inlineStr">
        <is>
          <t>2023/01/12</t>
        </is>
      </c>
    </row>
    <row r="39">
      <c r="B39" s="24" t="inlineStr">
        <is>
          <t>clr_asset_others_equipment</t>
        </is>
      </c>
      <c r="C39" s="24" t="inlineStr">
        <is>
          <t>EXECUTEDTIME</t>
        </is>
      </c>
      <c r="D39" s="24" t="inlineStr">
        <is>
          <t>int</t>
        </is>
      </c>
      <c r="E39" s="24" t="inlineStr">
        <is>
          <t>YES</t>
        </is>
      </c>
      <c r="F39" s="24" t="inlineStr">
        <is>
          <t>已投入运营时间/已行驶公里数</t>
        </is>
      </c>
      <c r="G39" s="24" t="n"/>
      <c r="H39" s="24" t="n"/>
      <c r="I39" s="24" t="inlineStr"/>
      <c r="J39" s="24" t="inlineStr">
        <is>
          <t>2023/01/12</t>
        </is>
      </c>
    </row>
    <row r="40">
      <c r="B40" s="24" t="inlineStr">
        <is>
          <t>clr_asset_others_equipment</t>
        </is>
      </c>
      <c r="C40" s="24" t="inlineStr">
        <is>
          <t>SERVICEYEARSTATED</t>
        </is>
      </c>
      <c r="D40" s="24" t="inlineStr">
        <is>
          <t>int</t>
        </is>
      </c>
      <c r="E40" s="24" t="inlineStr">
        <is>
          <t>YES</t>
        </is>
      </c>
      <c r="F40" s="43" t="inlineStr">
        <is>
          <t>规定使用年限/使用年限说明</t>
        </is>
      </c>
      <c r="G40" s="24" t="n"/>
      <c r="H40" s="24" t="n"/>
      <c r="I40" s="24" t="inlineStr"/>
      <c r="J40" s="24" t="inlineStr">
        <is>
          <t>2023/01/12</t>
        </is>
      </c>
    </row>
    <row r="41">
      <c r="B41" s="24" t="inlineStr">
        <is>
          <t>clr_asset_others_equipment</t>
        </is>
      </c>
      <c r="C41" s="24" t="inlineStr">
        <is>
          <t>SURPLUSSERVICELIFE</t>
        </is>
      </c>
      <c r="D41" s="24" t="inlineStr">
        <is>
          <t>int</t>
        </is>
      </c>
      <c r="E41" s="24" t="inlineStr">
        <is>
          <t>YES</t>
        </is>
      </c>
      <c r="F41" s="24" t="inlineStr">
        <is>
          <t>船舶、在建船舶的剩余使用年限</t>
        </is>
      </c>
      <c r="G41" s="24" t="n"/>
      <c r="H41" s="24" t="n"/>
      <c r="I41" s="24" t="inlineStr"/>
      <c r="J41" s="24" t="inlineStr">
        <is>
          <t>2023/01/12</t>
        </is>
      </c>
    </row>
    <row r="42">
      <c r="B42" s="24" t="inlineStr">
        <is>
          <t>clr_asset_others_equipment</t>
        </is>
      </c>
      <c r="C42" s="24" t="inlineStr">
        <is>
          <t>SERVICEHOURSTATED</t>
        </is>
      </c>
      <c r="D42" s="24" t="inlineStr">
        <is>
          <t>int</t>
        </is>
      </c>
      <c r="E42" s="24" t="inlineStr">
        <is>
          <t>YES</t>
        </is>
      </c>
      <c r="F42" s="24" t="inlineStr">
        <is>
          <t>规定总寿命小时/起落</t>
        </is>
      </c>
      <c r="G42" s="24" t="n"/>
      <c r="H42" s="24" t="n"/>
      <c r="I42" s="24" t="inlineStr"/>
      <c r="J42" s="24" t="inlineStr">
        <is>
          <t>2023/01/12</t>
        </is>
      </c>
    </row>
    <row r="43">
      <c r="B43" s="24" t="inlineStr">
        <is>
          <t>clr_asset_others_equipment</t>
        </is>
      </c>
      <c r="C43" s="24" t="inlineStr">
        <is>
          <t>REBUILDHOURSTATED</t>
        </is>
      </c>
      <c r="D43" s="24" t="inlineStr">
        <is>
          <t>int</t>
        </is>
      </c>
      <c r="E43" s="24" t="inlineStr">
        <is>
          <t>YES</t>
        </is>
      </c>
      <c r="F43" s="24" t="inlineStr">
        <is>
          <t>翻修;含D检）时限小时/飞行起落</t>
        </is>
      </c>
      <c r="G43" s="24" t="n"/>
      <c r="H43" s="24" t="n"/>
      <c r="I43" s="24" t="inlineStr"/>
      <c r="J43" s="24" t="inlineStr">
        <is>
          <t>2023/01/12</t>
        </is>
      </c>
    </row>
    <row r="44">
      <c r="B44" s="24" t="inlineStr">
        <is>
          <t>clr_asset_others_equipment</t>
        </is>
      </c>
      <c r="C44" s="24" t="inlineStr">
        <is>
          <t>REBUILDHOURPASSED</t>
        </is>
      </c>
      <c r="D44" s="24" t="inlineStr">
        <is>
          <t>int</t>
        </is>
      </c>
      <c r="E44" s="24" t="inlineStr">
        <is>
          <t>YES</t>
        </is>
      </c>
      <c r="F44" s="24" t="inlineStr">
        <is>
          <t>翻修;含D检）后已用小时/飞行起落</t>
        </is>
      </c>
      <c r="G44" s="24" t="n"/>
      <c r="H44" s="24" t="n"/>
      <c r="I44" s="24" t="inlineStr"/>
      <c r="J44" s="24" t="inlineStr">
        <is>
          <t>2023/01/12</t>
        </is>
      </c>
    </row>
    <row r="45">
      <c r="B45" s="24" t="inlineStr">
        <is>
          <t>clr_asset_others_equipment</t>
        </is>
      </c>
      <c r="C45" s="24" t="inlineStr">
        <is>
          <t>REBUILDTIMES</t>
        </is>
      </c>
      <c r="D45" s="24" t="inlineStr">
        <is>
          <t>int</t>
        </is>
      </c>
      <c r="E45" s="24" t="inlineStr">
        <is>
          <t>YES</t>
        </is>
      </c>
      <c r="F45" s="24" t="inlineStr">
        <is>
          <t>翻修;含D检）次数</t>
        </is>
      </c>
      <c r="G45" s="24" t="n"/>
      <c r="H45" s="24" t="n"/>
      <c r="I45" s="24" t="inlineStr"/>
      <c r="J45" s="24" t="inlineStr">
        <is>
          <t>2023/01/12</t>
        </is>
      </c>
    </row>
    <row r="46">
      <c r="B46" s="24" t="inlineStr">
        <is>
          <t>clr_asset_others_equipment</t>
        </is>
      </c>
      <c r="C46" s="24" t="inlineStr">
        <is>
          <t>FOB</t>
        </is>
      </c>
      <c r="D46" s="24" t="inlineStr">
        <is>
          <t>decimal(24,6)</t>
        </is>
      </c>
      <c r="E46" s="24" t="inlineStr">
        <is>
          <t>YES</t>
        </is>
      </c>
      <c r="F46" s="24" t="inlineStr">
        <is>
          <t>离岸合同价;美元）</t>
        </is>
      </c>
      <c r="G46" s="24" t="n"/>
      <c r="H46" s="24" t="n"/>
      <c r="I46" s="24" t="inlineStr"/>
      <c r="J46" s="24" t="inlineStr">
        <is>
          <t>2023/01/12</t>
        </is>
      </c>
    </row>
    <row r="47">
      <c r="B47" s="24" t="inlineStr">
        <is>
          <t>clr_asset_others_equipment</t>
        </is>
      </c>
      <c r="C47" s="24" t="inlineStr">
        <is>
          <t>CIF</t>
        </is>
      </c>
      <c r="D47" s="24" t="inlineStr">
        <is>
          <t>decimal(24,6)</t>
        </is>
      </c>
      <c r="E47" s="24" t="inlineStr">
        <is>
          <t>YES</t>
        </is>
      </c>
      <c r="F47" s="24" t="inlineStr">
        <is>
          <t>到岸合同价;美元）/到手价格</t>
        </is>
      </c>
      <c r="G47" s="24" t="n"/>
      <c r="H47" s="24" t="n"/>
      <c r="I47" s="24" t="inlineStr"/>
      <c r="J47" s="24" t="inlineStr">
        <is>
          <t>2023/01/12</t>
        </is>
      </c>
    </row>
    <row r="48">
      <c r="B48" s="24" t="inlineStr">
        <is>
          <t>clr_asset_others_equipment</t>
        </is>
      </c>
      <c r="C48" s="24" t="inlineStr">
        <is>
          <t>TARIFFRATE</t>
        </is>
      </c>
      <c r="D48" s="24" t="inlineStr">
        <is>
          <t>decimal(18,8)</t>
        </is>
      </c>
      <c r="E48" s="24" t="inlineStr">
        <is>
          <t>YES</t>
        </is>
      </c>
      <c r="F48" s="24" t="inlineStr">
        <is>
          <t>关税税率</t>
        </is>
      </c>
      <c r="G48" s="24" t="n"/>
      <c r="H48" s="24" t="n"/>
      <c r="I48" s="24" t="inlineStr"/>
      <c r="J48" s="24" t="inlineStr">
        <is>
          <t>2023/01/12</t>
        </is>
      </c>
    </row>
    <row r="49">
      <c r="B49" s="24" t="inlineStr">
        <is>
          <t>clr_asset_others_equipment</t>
        </is>
      </c>
      <c r="C49" s="24" t="inlineStr">
        <is>
          <t>CURRMARKETVALUE</t>
        </is>
      </c>
      <c r="D49" s="24" t="inlineStr">
        <is>
          <t>decimal(24,6)</t>
        </is>
      </c>
      <c r="E49" s="24" t="inlineStr">
        <is>
          <t>YES</t>
        </is>
      </c>
      <c r="F49" s="24" t="inlineStr">
        <is>
          <t>当前市场价格</t>
        </is>
      </c>
      <c r="G49" s="24" t="n"/>
      <c r="H49" s="24" t="n"/>
      <c r="I49" s="24" t="inlineStr"/>
      <c r="J49" s="24" t="inlineStr">
        <is>
          <t>2023/01/12</t>
        </is>
      </c>
    </row>
    <row r="50">
      <c r="B50" s="24" t="inlineStr">
        <is>
          <t>clr_asset_others_equipment</t>
        </is>
      </c>
      <c r="C50" s="24" t="inlineStr">
        <is>
          <t>VALUEEXPECTED</t>
        </is>
      </c>
      <c r="D50" s="24" t="inlineStr">
        <is>
          <t>decimal(24,6)</t>
        </is>
      </c>
      <c r="E50" s="24" t="inlineStr">
        <is>
          <t>YES</t>
        </is>
      </c>
      <c r="F50" s="24" t="inlineStr">
        <is>
          <t>预计完工后价值</t>
        </is>
      </c>
      <c r="G50" s="24" t="n"/>
      <c r="H50" s="24" t="n"/>
      <c r="I50" s="24" t="inlineStr"/>
      <c r="J50" s="24" t="inlineStr">
        <is>
          <t>2023/01/12</t>
        </is>
      </c>
    </row>
    <row r="51">
      <c r="B51" s="24" t="inlineStr">
        <is>
          <t>clr_asset_others_equipment</t>
        </is>
      </c>
      <c r="C51" s="24" t="inlineStr">
        <is>
          <t>RUNNEDHOURS</t>
        </is>
      </c>
      <c r="D51" s="24" t="inlineStr">
        <is>
          <t>int</t>
        </is>
      </c>
      <c r="E51" s="24" t="inlineStr">
        <is>
          <t>YES</t>
        </is>
      </c>
      <c r="F51" s="24" t="inlineStr">
        <is>
          <t>船舶、在建船舶的已运转小时数/自开始已用小时/飞行起落</t>
        </is>
      </c>
      <c r="G51" s="24" t="n"/>
      <c r="H51" s="24" t="n"/>
      <c r="I51" s="24" t="inlineStr"/>
      <c r="J51" s="24" t="inlineStr">
        <is>
          <t>2023/01/12</t>
        </is>
      </c>
    </row>
    <row r="52">
      <c r="B52" s="24" t="inlineStr">
        <is>
          <t>clr_asset_others_equipment</t>
        </is>
      </c>
      <c r="C52" s="24" t="inlineStr">
        <is>
          <t>CONTAINERCOUNT</t>
        </is>
      </c>
      <c r="D52" s="24" t="inlineStr">
        <is>
          <t>int</t>
        </is>
      </c>
      <c r="E52" s="24" t="inlineStr">
        <is>
          <t>YES</t>
        </is>
      </c>
      <c r="F52" s="24" t="inlineStr">
        <is>
          <t>集装箱数</t>
        </is>
      </c>
      <c r="G52" s="24" t="n"/>
      <c r="H52" s="24" t="n"/>
      <c r="I52" s="24" t="inlineStr"/>
      <c r="J52" s="24" t="inlineStr">
        <is>
          <t>2023/01/12</t>
        </is>
      </c>
    </row>
    <row r="53">
      <c r="B53" s="24" t="inlineStr">
        <is>
          <t>clr_asset_others_equipment</t>
        </is>
      </c>
      <c r="C53" s="24" t="inlineStr">
        <is>
          <t>REASONABLEDUILDPERIOD</t>
        </is>
      </c>
      <c r="D53" s="24" t="inlineStr">
        <is>
          <t>decimal(18,2)</t>
        </is>
      </c>
      <c r="E53" s="24" t="inlineStr">
        <is>
          <t>YES</t>
        </is>
      </c>
      <c r="F53" s="24" t="inlineStr">
        <is>
          <t>合理建造期</t>
        </is>
      </c>
      <c r="G53" s="24" t="n"/>
      <c r="H53" s="24" t="n"/>
      <c r="I53" s="24" t="inlineStr"/>
      <c r="J53" s="24" t="inlineStr">
        <is>
          <t>2023/01/12</t>
        </is>
      </c>
    </row>
    <row r="54">
      <c r="B54" s="24" t="inlineStr">
        <is>
          <t>clr_asset_others_equipment</t>
        </is>
      </c>
      <c r="C54" s="24" t="inlineStr">
        <is>
          <t>PROGRESSSCHEDULE</t>
        </is>
      </c>
      <c r="D54" s="24" t="inlineStr">
        <is>
          <t>varchar(200)</t>
        </is>
      </c>
      <c r="E54" s="24" t="inlineStr">
        <is>
          <t>YES</t>
        </is>
      </c>
      <c r="F54" s="24" t="inlineStr">
        <is>
          <t>工程进度估计/航空器、在建航空器的工程进度估计</t>
        </is>
      </c>
      <c r="G54" s="24" t="n"/>
      <c r="H54" s="24" t="n"/>
      <c r="I54" s="24" t="inlineStr"/>
      <c r="J54" s="24" t="inlineStr">
        <is>
          <t>2023/01/12</t>
        </is>
      </c>
    </row>
    <row r="55">
      <c r="B55" s="24" t="inlineStr">
        <is>
          <t>clr_asset_others_equipment</t>
        </is>
      </c>
      <c r="C55" s="24" t="inlineStr">
        <is>
          <t>UNFINISHPOSSIBILITY</t>
        </is>
      </c>
      <c r="D55" s="24" t="inlineStr">
        <is>
          <t>varchar(200)</t>
        </is>
      </c>
      <c r="E55" s="24" t="inlineStr">
        <is>
          <t>YES</t>
        </is>
      </c>
      <c r="F55" s="24" t="inlineStr">
        <is>
          <t>工程烂尾可能性估计/航空器、在建航空器的工程烂尾可能性估计</t>
        </is>
      </c>
      <c r="G55" s="24" t="n"/>
      <c r="H55" s="24" t="n"/>
      <c r="I55" s="24" t="inlineStr"/>
      <c r="J55" s="24" t="inlineStr">
        <is>
          <t>2023/01/12</t>
        </is>
      </c>
    </row>
    <row r="56">
      <c r="B56" s="24" t="inlineStr">
        <is>
          <t>clr_asset_others_equipment</t>
        </is>
      </c>
      <c r="C56" s="24" t="inlineStr">
        <is>
          <t>RENTING</t>
        </is>
      </c>
      <c r="D56" s="24" t="inlineStr">
        <is>
          <t>varchar(500)</t>
        </is>
      </c>
      <c r="E56" s="24" t="inlineStr">
        <is>
          <t>YES</t>
        </is>
      </c>
      <c r="F56" s="24" t="inlineStr">
        <is>
          <t>租赁业务情况</t>
        </is>
      </c>
      <c r="G56" s="24" t="n"/>
      <c r="H56" s="24" t="n"/>
      <c r="I56" s="24" t="inlineStr"/>
      <c r="J56" s="24" t="inlineStr">
        <is>
          <t>2023/01/12</t>
        </is>
      </c>
    </row>
    <row r="57">
      <c r="B57" s="24" t="inlineStr">
        <is>
          <t>clr_asset_others_equipment</t>
        </is>
      </c>
      <c r="C57" s="24" t="inlineStr">
        <is>
          <t>TRANSPORTAGRM</t>
        </is>
      </c>
      <c r="D57" s="24" t="inlineStr">
        <is>
          <t>varchar(500)</t>
        </is>
      </c>
      <c r="E57" s="24" t="inlineStr">
        <is>
          <t>YES</t>
        </is>
      </c>
      <c r="F57" s="24" t="inlineStr">
        <is>
          <t>已有运输业务合同情况</t>
        </is>
      </c>
      <c r="G57" s="24" t="n"/>
      <c r="H57" s="24" t="n"/>
      <c r="I57" s="24" t="inlineStr"/>
      <c r="J57" s="24" t="inlineStr">
        <is>
          <t>2023/01/12</t>
        </is>
      </c>
    </row>
    <row r="58">
      <c r="B58" s="24" t="inlineStr">
        <is>
          <t>clr_asset_others_equipment</t>
        </is>
      </c>
      <c r="C58" s="24" t="inlineStr">
        <is>
          <t>QUANTITY</t>
        </is>
      </c>
      <c r="D58" s="24" t="inlineStr">
        <is>
          <t>int</t>
        </is>
      </c>
      <c r="E58" s="24" t="inlineStr">
        <is>
          <t>YES</t>
        </is>
      </c>
      <c r="F58" s="24" t="inlineStr">
        <is>
          <t>设备数量</t>
        </is>
      </c>
      <c r="G58" s="24" t="n"/>
      <c r="H58" s="24" t="n"/>
      <c r="I58" s="24" t="inlineStr"/>
      <c r="J58" s="24" t="inlineStr">
        <is>
          <t>2023/01/12</t>
        </is>
      </c>
    </row>
    <row r="59">
      <c r="B59" s="24" t="inlineStr">
        <is>
          <t>clr_asset_others_equipment</t>
        </is>
      </c>
      <c r="C59" s="24" t="inlineStr">
        <is>
          <t>DEPOSITPLACE</t>
        </is>
      </c>
      <c r="D59" s="24" t="inlineStr">
        <is>
          <t>varchar(200)</t>
        </is>
      </c>
      <c r="E59" s="24" t="inlineStr">
        <is>
          <t>YES</t>
        </is>
      </c>
      <c r="F59" s="24" t="inlineStr">
        <is>
          <t>存放地</t>
        </is>
      </c>
      <c r="G59" s="24" t="n"/>
      <c r="H59" s="24" t="n"/>
      <c r="I59" s="24" t="inlineStr"/>
      <c r="J59" s="24" t="inlineStr">
        <is>
          <t>2023/01/12</t>
        </is>
      </c>
    </row>
    <row r="60">
      <c r="B60" s="24" t="inlineStr">
        <is>
          <t>clr_asset_others_equipment</t>
        </is>
      </c>
      <c r="C60" s="24" t="inlineStr">
        <is>
          <t>AGENCY</t>
        </is>
      </c>
      <c r="D60" s="24" t="inlineStr">
        <is>
          <t>varchar(80)</t>
        </is>
      </c>
      <c r="E60" s="24" t="inlineStr">
        <is>
          <t>YES</t>
        </is>
      </c>
      <c r="F60" s="24" t="inlineStr">
        <is>
          <t>经销商</t>
        </is>
      </c>
      <c r="G60" s="24" t="n"/>
      <c r="H60" s="24" t="n"/>
      <c r="I60" s="24" t="inlineStr"/>
      <c r="J60" s="24" t="inlineStr">
        <is>
          <t>2023/01/12</t>
        </is>
      </c>
    </row>
    <row r="61">
      <c r="B61" s="24" t="inlineStr">
        <is>
          <t>clr_asset_others_equipment</t>
        </is>
      </c>
      <c r="C61" s="24" t="inlineStr">
        <is>
          <t>USEDETAIL</t>
        </is>
      </c>
      <c r="D61" s="24" t="inlineStr">
        <is>
          <t>varchar(200)</t>
        </is>
      </c>
      <c r="E61" s="24" t="inlineStr">
        <is>
          <t>YES</t>
        </is>
      </c>
      <c r="F61" s="24" t="inlineStr">
        <is>
          <t>设备用途</t>
        </is>
      </c>
      <c r="G61" s="24" t="n"/>
      <c r="H61" s="24" t="n"/>
      <c r="I61" s="24" t="inlineStr"/>
      <c r="J61" s="24" t="inlineStr">
        <is>
          <t>2023/01/12</t>
        </is>
      </c>
    </row>
    <row r="62">
      <c r="B62" s="24" t="inlineStr">
        <is>
          <t>clr_asset_others_equipment</t>
        </is>
      </c>
      <c r="C62" s="24" t="inlineStr">
        <is>
          <t>PRODUCTIONDATE</t>
        </is>
      </c>
      <c r="D62" s="24" t="inlineStr">
        <is>
          <t>varchar(18)</t>
        </is>
      </c>
      <c r="E62" s="24" t="inlineStr">
        <is>
          <t>YES</t>
        </is>
      </c>
      <c r="F62" s="43" t="inlineStr">
        <is>
          <t>出厂日期/航空器出厂日期</t>
        </is>
      </c>
      <c r="G62" s="24" t="n"/>
      <c r="H62" s="24" t="n"/>
      <c r="I62" s="24" t="inlineStr"/>
      <c r="J62" s="24" t="inlineStr">
        <is>
          <t>2023/01/12</t>
        </is>
      </c>
    </row>
    <row r="63">
      <c r="B63" s="24" t="inlineStr">
        <is>
          <t>clr_asset_others_equipment</t>
        </is>
      </c>
      <c r="C63" s="24" t="inlineStr">
        <is>
          <t>PURCHASEDATE</t>
        </is>
      </c>
      <c r="D63" s="24" t="inlineStr">
        <is>
          <t>varchar(18)</t>
        </is>
      </c>
      <c r="E63" s="24" t="inlineStr">
        <is>
          <t>YES</t>
        </is>
      </c>
      <c r="F63" s="43" t="inlineStr">
        <is>
          <t>购置日期/购入日期</t>
        </is>
      </c>
      <c r="G63" s="24" t="n"/>
      <c r="H63" s="24" t="n"/>
      <c r="I63" s="24" t="inlineStr"/>
      <c r="J63" s="24" t="inlineStr">
        <is>
          <t>2023/01/12</t>
        </is>
      </c>
    </row>
    <row r="64">
      <c r="B64" s="24" t="inlineStr">
        <is>
          <t>clr_asset_others_equipment</t>
        </is>
      </c>
      <c r="C64" s="24" t="inlineStr">
        <is>
          <t>EQUIPMENTTYPE</t>
        </is>
      </c>
      <c r="D64" s="24" t="inlineStr">
        <is>
          <t>varchar(6)</t>
        </is>
      </c>
      <c r="E64" s="24" t="inlineStr">
        <is>
          <t>YES</t>
        </is>
      </c>
      <c r="F64" s="24" t="inlineStr">
        <is>
          <t>设备类型</t>
        </is>
      </c>
      <c r="G64" s="52">
        <f>HYPERLINK("#码值映射清单!B8382","EquipmentType")</f>
        <v/>
      </c>
      <c r="H64" s="24" t="n"/>
      <c r="I64" s="24" t="inlineStr"/>
      <c r="J64" s="24" t="inlineStr">
        <is>
          <t>2023/01/12</t>
        </is>
      </c>
    </row>
    <row r="65">
      <c r="B65" s="24" t="inlineStr">
        <is>
          <t>clr_asset_others_equipment</t>
        </is>
      </c>
      <c r="C65" s="24" t="inlineStr">
        <is>
          <t>EFFICIENCY</t>
        </is>
      </c>
      <c r="D65" s="24" t="inlineStr">
        <is>
          <t>varchar(200)</t>
        </is>
      </c>
      <c r="E65" s="24" t="inlineStr">
        <is>
          <t>YES</t>
        </is>
      </c>
      <c r="F65" s="24" t="inlineStr">
        <is>
          <t>生产能力</t>
        </is>
      </c>
      <c r="G65" s="24" t="n"/>
      <c r="H65" s="24" t="n"/>
      <c r="I65" s="24" t="inlineStr"/>
      <c r="J65" s="24" t="inlineStr">
        <is>
          <t>2023/01/12</t>
        </is>
      </c>
    </row>
    <row r="66">
      <c r="B66" s="24" t="inlineStr">
        <is>
          <t>clr_asset_others_equipment</t>
        </is>
      </c>
      <c r="C66" s="24" t="inlineStr">
        <is>
          <t>OVERHAULTIMES</t>
        </is>
      </c>
      <c r="D66" s="24" t="inlineStr">
        <is>
          <t>int</t>
        </is>
      </c>
      <c r="E66" s="24" t="inlineStr">
        <is>
          <t>YES</t>
        </is>
      </c>
      <c r="F66" s="24" t="inlineStr">
        <is>
          <t>大修次数</t>
        </is>
      </c>
      <c r="G66" s="24" t="n"/>
      <c r="H66" s="24" t="n"/>
      <c r="I66" s="24" t="inlineStr"/>
      <c r="J66" s="24" t="inlineStr">
        <is>
          <t>2023/01/12</t>
        </is>
      </c>
    </row>
    <row r="67">
      <c r="B67" s="24" t="inlineStr">
        <is>
          <t>clr_asset_others_equipment</t>
        </is>
      </c>
      <c r="C67" s="24" t="inlineStr">
        <is>
          <t>BILLPRICE</t>
        </is>
      </c>
      <c r="D67" s="24" t="inlineStr">
        <is>
          <t>decimal(24,6)</t>
        </is>
      </c>
      <c r="E67" s="24" t="inlineStr">
        <is>
          <t>YES</t>
        </is>
      </c>
      <c r="F67" s="49" t="inlineStr">
        <is>
          <t>发票价格/合同价格/合同建造价格</t>
        </is>
      </c>
      <c r="G67" s="24" t="n"/>
      <c r="H67" s="24" t="n"/>
      <c r="I67" s="24" t="inlineStr"/>
      <c r="J67" s="24" t="inlineStr">
        <is>
          <t>2023/01/12</t>
        </is>
      </c>
    </row>
    <row r="68">
      <c r="B68" s="24" t="inlineStr">
        <is>
          <t>clr_asset_others_equipment</t>
        </is>
      </c>
      <c r="C68" s="24" t="inlineStr">
        <is>
          <t>CONTRACTCURRENCY</t>
        </is>
      </c>
      <c r="D68" s="24" t="inlineStr">
        <is>
          <t>varchar(18)</t>
        </is>
      </c>
      <c r="E68" s="24" t="inlineStr">
        <is>
          <t>YES</t>
        </is>
      </c>
      <c r="F68" s="24" t="inlineStr">
        <is>
          <t>合同建造价格币种</t>
        </is>
      </c>
      <c r="G68" s="52">
        <f>HYPERLINK("#码值映射清单!B2469","Currency")</f>
        <v/>
      </c>
      <c r="H68" s="24" t="n"/>
      <c r="I68" s="24" t="inlineStr"/>
      <c r="J68" s="24" t="inlineStr">
        <is>
          <t>2023/01/12</t>
        </is>
      </c>
    </row>
    <row r="69">
      <c r="B69" s="24" t="inlineStr">
        <is>
          <t>clr_asset_others_equipment</t>
        </is>
      </c>
      <c r="C69" s="24" t="inlineStr">
        <is>
          <t>ASSEMBLEFEE</t>
        </is>
      </c>
      <c r="D69" s="24" t="inlineStr">
        <is>
          <t>decimal(24,6)</t>
        </is>
      </c>
      <c r="E69" s="24" t="inlineStr">
        <is>
          <t>YES</t>
        </is>
      </c>
      <c r="F69" s="24" t="inlineStr">
        <is>
          <t>设备安装费</t>
        </is>
      </c>
      <c r="G69" s="24" t="n"/>
      <c r="H69" s="24" t="n"/>
      <c r="I69" s="24" t="inlineStr"/>
      <c r="J69" s="24" t="inlineStr">
        <is>
          <t>2023/01/12</t>
        </is>
      </c>
    </row>
    <row r="70">
      <c r="B70" s="24" t="inlineStr">
        <is>
          <t>clr_asset_others_equipment</t>
        </is>
      </c>
      <c r="C70" s="24" t="inlineStr">
        <is>
          <t>REASONABLEBUILDPERIOD</t>
        </is>
      </c>
      <c r="D70" s="24" t="inlineStr">
        <is>
          <t>int</t>
        </is>
      </c>
      <c r="E70" s="24" t="inlineStr">
        <is>
          <t>YES</t>
        </is>
      </c>
      <c r="F70" s="24" t="inlineStr">
        <is>
          <t>合理工期;年）</t>
        </is>
      </c>
      <c r="G70" s="24" t="n"/>
      <c r="H70" s="24" t="n"/>
      <c r="I70" s="24" t="inlineStr"/>
      <c r="J70" s="24" t="inlineStr">
        <is>
          <t>2023/01/12</t>
        </is>
      </c>
    </row>
    <row r="71">
      <c r="B71" s="24" t="inlineStr">
        <is>
          <t>clr_asset_others_equipment</t>
        </is>
      </c>
      <c r="C71" s="24" t="inlineStr">
        <is>
          <t>SEVICELIFE</t>
        </is>
      </c>
      <c r="D71" s="24" t="inlineStr">
        <is>
          <t>int</t>
        </is>
      </c>
      <c r="E71" s="24" t="inlineStr">
        <is>
          <t>YES</t>
        </is>
      </c>
      <c r="F71" s="24" t="inlineStr">
        <is>
          <t>使用年限</t>
        </is>
      </c>
      <c r="G71" s="24" t="n"/>
      <c r="H71" s="24" t="n"/>
      <c r="I71" s="24" t="inlineStr"/>
      <c r="J71" s="24" t="inlineStr">
        <is>
          <t>2023/01/12</t>
        </is>
      </c>
    </row>
    <row r="72">
      <c r="B72" s="24" t="inlineStr">
        <is>
          <t>clr_asset_others_equipment</t>
        </is>
      </c>
      <c r="C72" s="24" t="inlineStr">
        <is>
          <t>SURPLUSSERVICELIFEOTHER</t>
        </is>
      </c>
      <c r="D72" s="24" t="inlineStr">
        <is>
          <t>int</t>
        </is>
      </c>
      <c r="E72" s="24" t="inlineStr">
        <is>
          <t>YES</t>
        </is>
      </c>
      <c r="F72" s="24" t="inlineStr">
        <is>
          <t>剩余使用年限</t>
        </is>
      </c>
      <c r="G72" s="24" t="n"/>
      <c r="H72" s="24" t="n"/>
      <c r="I72" s="24" t="inlineStr"/>
      <c r="J72" s="24" t="inlineStr">
        <is>
          <t>2023/01/12</t>
        </is>
      </c>
    </row>
    <row r="73">
      <c r="B73" s="24" t="inlineStr">
        <is>
          <t>clr_asset_others_equipment</t>
        </is>
      </c>
      <c r="C73" s="24" t="inlineStr">
        <is>
          <t>RUNNEDHOURSOTHER</t>
        </is>
      </c>
      <c r="D73" s="24" t="inlineStr">
        <is>
          <t>int</t>
        </is>
      </c>
      <c r="E73" s="24" t="inlineStr">
        <is>
          <t>YES</t>
        </is>
      </c>
      <c r="F73" s="24" t="inlineStr">
        <is>
          <t>已运转小时数</t>
        </is>
      </c>
      <c r="G73" s="24" t="n"/>
      <c r="H73" s="24" t="n"/>
      <c r="I73" s="24" t="inlineStr"/>
      <c r="J73" s="24" t="inlineStr">
        <is>
          <t>2023/01/12</t>
        </is>
      </c>
    </row>
    <row r="74">
      <c r="B74" s="24" t="inlineStr">
        <is>
          <t>clr_asset_others_equipment</t>
        </is>
      </c>
      <c r="C74" s="24" t="inlineStr">
        <is>
          <t>ANNUALSURVEY</t>
        </is>
      </c>
      <c r="D74" s="24" t="inlineStr">
        <is>
          <t>varchar(500)</t>
        </is>
      </c>
      <c r="E74" s="24" t="inlineStr">
        <is>
          <t>YES</t>
        </is>
      </c>
      <c r="F74" s="24" t="inlineStr">
        <is>
          <t>年检情况</t>
        </is>
      </c>
      <c r="G74" s="24" t="n"/>
      <c r="H74" s="24" t="n"/>
      <c r="I74" s="24" t="inlineStr"/>
      <c r="J74" s="24" t="inlineStr">
        <is>
          <t>2023/01/12</t>
        </is>
      </c>
    </row>
    <row r="75">
      <c r="B75" s="24" t="inlineStr">
        <is>
          <t>clr_asset_others_equipment</t>
        </is>
      </c>
      <c r="C75" s="24" t="inlineStr">
        <is>
          <t>TRANSPORTFLAG01</t>
        </is>
      </c>
      <c r="D75" s="24" t="inlineStr">
        <is>
          <t>char(1)</t>
        </is>
      </c>
      <c r="E75" s="24" t="inlineStr">
        <is>
          <t>YES</t>
        </is>
      </c>
      <c r="F75" s="24" t="inlineStr">
        <is>
          <t>是否已提交购置合同与发票</t>
        </is>
      </c>
      <c r="G75" s="52">
        <f>HYPERLINK("#码值映射清单!B5150","YesNo")</f>
        <v/>
      </c>
      <c r="H75" s="24" t="n"/>
      <c r="I75" s="24" t="inlineStr"/>
      <c r="J75" s="24" t="inlineStr">
        <is>
          <t>2023/01/12</t>
        </is>
      </c>
    </row>
    <row r="76">
      <c r="B76" s="24" t="inlineStr">
        <is>
          <t>clr_asset_others_equipment</t>
        </is>
      </c>
      <c r="C76" s="24" t="inlineStr">
        <is>
          <t>TRANSPORTFLAG02</t>
        </is>
      </c>
      <c r="D76" s="24" t="inlineStr">
        <is>
          <t>char(1)</t>
        </is>
      </c>
      <c r="E76" s="24" t="inlineStr">
        <is>
          <t>YES</t>
        </is>
      </c>
      <c r="F76" s="24" t="inlineStr">
        <is>
          <t>是否已提交相关的行驶证</t>
        </is>
      </c>
      <c r="G76" s="52">
        <f>HYPERLINK("#码值映射清单!B5150","YesNo")</f>
        <v/>
      </c>
      <c r="H76" s="24" t="n"/>
      <c r="I76" s="24" t="inlineStr"/>
      <c r="J76" s="24" t="inlineStr">
        <is>
          <t>2023/01/12</t>
        </is>
      </c>
    </row>
    <row r="77">
      <c r="B77" s="24" t="inlineStr">
        <is>
          <t>clr_asset_others_equipment</t>
        </is>
      </c>
      <c r="C77" s="24" t="inlineStr">
        <is>
          <t>TRANSPORTFLAG03</t>
        </is>
      </c>
      <c r="D77" s="24" t="inlineStr">
        <is>
          <t>char(1)</t>
        </is>
      </c>
      <c r="E77" s="24" t="inlineStr">
        <is>
          <t>YES</t>
        </is>
      </c>
      <c r="F77" s="24" t="inlineStr">
        <is>
          <t>是否已提交相关的年检记录</t>
        </is>
      </c>
      <c r="G77" s="52">
        <f>HYPERLINK("#码值映射清单!B5150","YesNo")</f>
        <v/>
      </c>
      <c r="H77" s="24" t="n"/>
      <c r="I77" s="24" t="inlineStr"/>
      <c r="J77" s="24" t="inlineStr">
        <is>
          <t>2023/01/12</t>
        </is>
      </c>
    </row>
    <row r="78">
      <c r="B78" s="24" t="inlineStr">
        <is>
          <t>clr_asset_others_equipment</t>
        </is>
      </c>
      <c r="C78" s="24" t="inlineStr">
        <is>
          <t>TRANSPORTFLAG04</t>
        </is>
      </c>
      <c r="D78" s="24" t="inlineStr">
        <is>
          <t>char(1)</t>
        </is>
      </c>
      <c r="E78" s="24" t="inlineStr">
        <is>
          <t>YES</t>
        </is>
      </c>
      <c r="F78" s="24" t="inlineStr">
        <is>
          <t>是否有行驶证</t>
        </is>
      </c>
      <c r="G78" s="52">
        <f>HYPERLINK("#码值映射清单!B5150","YesNo")</f>
        <v/>
      </c>
      <c r="H78" s="24" t="n"/>
      <c r="I78" s="24" t="inlineStr"/>
      <c r="J78" s="24" t="inlineStr">
        <is>
          <t>2023/01/12</t>
        </is>
      </c>
    </row>
    <row r="79">
      <c r="B79" s="24" t="inlineStr">
        <is>
          <t>clr_asset_others_equipment</t>
        </is>
      </c>
      <c r="C79" s="24" t="inlineStr">
        <is>
          <t>SHIPFLAG01</t>
        </is>
      </c>
      <c r="D79" s="24" t="inlineStr">
        <is>
          <t>char(1)</t>
        </is>
      </c>
      <c r="E79" s="24" t="inlineStr">
        <is>
          <t>YES</t>
        </is>
      </c>
      <c r="F79" s="24" t="inlineStr">
        <is>
          <t>是否满足其他认定条件</t>
        </is>
      </c>
      <c r="G79" s="52">
        <f>HYPERLINK("#码值映射清单!B5150","YesNo")</f>
        <v/>
      </c>
      <c r="H79" s="24" t="n"/>
      <c r="I79" s="24" t="inlineStr"/>
      <c r="J79" s="24" t="inlineStr">
        <is>
          <t>2023/01/12</t>
        </is>
      </c>
    </row>
    <row r="80">
      <c r="B80" s="24" t="inlineStr">
        <is>
          <t>clr_asset_others_equipment</t>
        </is>
      </c>
      <c r="C80" s="24" t="inlineStr">
        <is>
          <t>SHIPFLAG02</t>
        </is>
      </c>
      <c r="D80" s="24" t="inlineStr">
        <is>
          <t>char(1)</t>
        </is>
      </c>
      <c r="E80" s="24" t="inlineStr">
        <is>
          <t>YES</t>
        </is>
      </c>
      <c r="F80" s="24" t="inlineStr">
        <is>
          <t>是否已提交船舶所有权登记证书/是否已提交航空器所有权证明文件</t>
        </is>
      </c>
      <c r="G80" s="52">
        <f>HYPERLINK("#码值映射清单!B5150","YesNo")</f>
        <v/>
      </c>
      <c r="H80" s="24" t="n"/>
      <c r="I80" s="24" t="inlineStr"/>
      <c r="J80" s="24" t="inlineStr">
        <is>
          <t>2023/01/12</t>
        </is>
      </c>
    </row>
    <row r="81">
      <c r="B81" s="24" t="inlineStr">
        <is>
          <t>clr_asset_others_equipment</t>
        </is>
      </c>
      <c r="C81" s="24" t="inlineStr">
        <is>
          <t>SHIPFLAG03</t>
        </is>
      </c>
      <c r="D81" s="24" t="inlineStr">
        <is>
          <t>char(1)</t>
        </is>
      </c>
      <c r="E81" s="24" t="inlineStr">
        <is>
          <t>YES</t>
        </is>
      </c>
      <c r="F81" s="24" t="inlineStr">
        <is>
          <t>是否已提交船舶检验证书簿</t>
        </is>
      </c>
      <c r="G81" s="52">
        <f>HYPERLINK("#码值映射清单!B5150","YesNo")</f>
        <v/>
      </c>
      <c r="H81" s="24" t="n"/>
      <c r="I81" s="24" t="inlineStr"/>
      <c r="J81" s="24" t="inlineStr">
        <is>
          <t>2023/01/12</t>
        </is>
      </c>
    </row>
    <row r="82">
      <c r="B82" s="24" t="inlineStr">
        <is>
          <t>clr_asset_others_equipment</t>
        </is>
      </c>
      <c r="C82" s="24" t="inlineStr">
        <is>
          <t>SHIPFLAG04</t>
        </is>
      </c>
      <c r="D82" s="24" t="inlineStr">
        <is>
          <t>char(1)</t>
        </is>
      </c>
      <c r="E82" s="24" t="inlineStr">
        <is>
          <t>YES</t>
        </is>
      </c>
      <c r="F82" s="24" t="inlineStr">
        <is>
          <t>是否已提交船舶船级证书</t>
        </is>
      </c>
      <c r="G82" s="52">
        <f>HYPERLINK("#码值映射清单!B5150","YesNo")</f>
        <v/>
      </c>
      <c r="H82" s="24" t="n"/>
      <c r="I82" s="24" t="inlineStr"/>
      <c r="J82" s="24" t="inlineStr">
        <is>
          <t>2023/01/12</t>
        </is>
      </c>
    </row>
    <row r="83">
      <c r="B83" s="24" t="inlineStr">
        <is>
          <t>clr_asset_others_equipment</t>
        </is>
      </c>
      <c r="C83" s="24" t="inlineStr">
        <is>
          <t>SHIPFLAG05</t>
        </is>
      </c>
      <c r="D83" s="24" t="inlineStr">
        <is>
          <t>char(1)</t>
        </is>
      </c>
      <c r="E83" s="24" t="inlineStr">
        <is>
          <t>YES</t>
        </is>
      </c>
      <c r="F83" s="24" t="inlineStr">
        <is>
          <t>是否已提交航行日志/是否已提交飞行记录本</t>
        </is>
      </c>
      <c r="G83" s="52">
        <f>HYPERLINK("#码值映射清单!B5150","YesNo")</f>
        <v/>
      </c>
      <c r="H83" s="24" t="n"/>
      <c r="I83" s="24" t="inlineStr"/>
      <c r="J83" s="24" t="inlineStr">
        <is>
          <t>2023/01/12</t>
        </is>
      </c>
    </row>
    <row r="84">
      <c r="B84" s="24" t="inlineStr">
        <is>
          <t>clr_asset_others_equipment</t>
        </is>
      </c>
      <c r="C84" s="24" t="inlineStr">
        <is>
          <t>SHIPFLAG06</t>
        </is>
      </c>
      <c r="D84" s="24" t="inlineStr">
        <is>
          <t>char(1)</t>
        </is>
      </c>
      <c r="E84" s="24" t="inlineStr">
        <is>
          <t>YES</t>
        </is>
      </c>
      <c r="F84" s="24" t="inlineStr">
        <is>
          <t>是否已提交相关租赁合同</t>
        </is>
      </c>
      <c r="G84" s="52">
        <f>HYPERLINK("#码值映射清单!B5150","YesNo")</f>
        <v/>
      </c>
      <c r="H84" s="24" t="n"/>
      <c r="I84" s="24" t="inlineStr"/>
      <c r="J84" s="24" t="inlineStr">
        <is>
          <t>2023/01/12</t>
        </is>
      </c>
    </row>
    <row r="85">
      <c r="B85" s="24" t="inlineStr">
        <is>
          <t>clr_asset_others_equipment</t>
        </is>
      </c>
      <c r="C85" s="24" t="inlineStr">
        <is>
          <t>SHIPFLAG07</t>
        </is>
      </c>
      <c r="D85" s="24" t="inlineStr">
        <is>
          <t>char(1)</t>
        </is>
      </c>
      <c r="E85" s="24" t="inlineStr">
        <is>
          <t>YES</t>
        </is>
      </c>
      <c r="F85" s="24" t="inlineStr">
        <is>
          <t>是否已提交船舶适航证书/是否已提交适航证</t>
        </is>
      </c>
      <c r="G85" s="52">
        <f>HYPERLINK("#码值映射清单!B5150","YesNo")</f>
        <v/>
      </c>
      <c r="H85" s="24" t="n"/>
      <c r="I85" s="24" t="inlineStr"/>
      <c r="J85" s="24" t="inlineStr">
        <is>
          <t>2023/01/12</t>
        </is>
      </c>
    </row>
    <row r="86">
      <c r="B86" s="24" t="inlineStr">
        <is>
          <t>clr_asset_others_equipment</t>
        </is>
      </c>
      <c r="C86" s="24" t="inlineStr">
        <is>
          <t>SHIPFLAG09</t>
        </is>
      </c>
      <c r="D86" s="24" t="inlineStr">
        <is>
          <t>char(1)</t>
        </is>
      </c>
      <c r="E86" s="24" t="inlineStr">
        <is>
          <t>YES</t>
        </is>
      </c>
      <c r="F86" s="24" t="inlineStr">
        <is>
          <t>是否已提交船舶保险单正本（原件）</t>
        </is>
      </c>
      <c r="G86" s="52">
        <f>HYPERLINK("#码值映射清单!B5150","YesNo")</f>
        <v/>
      </c>
      <c r="H86" s="24" t="n"/>
      <c r="I86" s="24" t="inlineStr"/>
      <c r="J86" s="24" t="inlineStr">
        <is>
          <t>2023/01/12</t>
        </is>
      </c>
    </row>
    <row r="87">
      <c r="B87" s="24" t="inlineStr">
        <is>
          <t>clr_asset_others_equipment</t>
        </is>
      </c>
      <c r="C87" s="24" t="inlineStr">
        <is>
          <t>SHIPFLAG10</t>
        </is>
      </c>
      <c r="D87" s="24" t="inlineStr">
        <is>
          <t>char(1)</t>
        </is>
      </c>
      <c r="E87" s="24" t="inlineStr">
        <is>
          <t>YES</t>
        </is>
      </c>
      <c r="F87" s="24" t="inlineStr">
        <is>
          <t>是否已提交船舶吨位证书</t>
        </is>
      </c>
      <c r="G87" s="52">
        <f>HYPERLINK("#码值映射清单!B5150","YesNo")</f>
        <v/>
      </c>
      <c r="H87" s="24" t="n"/>
      <c r="I87" s="24" t="inlineStr"/>
      <c r="J87" s="24" t="inlineStr">
        <is>
          <t>2023/01/12</t>
        </is>
      </c>
    </row>
    <row r="88">
      <c r="B88" s="24" t="inlineStr">
        <is>
          <t>clr_asset_others_equipment</t>
        </is>
      </c>
      <c r="C88" s="24" t="inlineStr">
        <is>
          <t>SHIPFLAG11</t>
        </is>
      </c>
      <c r="D88" s="24" t="inlineStr">
        <is>
          <t>char(1)</t>
        </is>
      </c>
      <c r="E88" s="24" t="inlineStr">
        <is>
          <t>YES</t>
        </is>
      </c>
      <c r="F88" s="24" t="inlineStr">
        <is>
          <t>是否已提交船舶建造企业是否书面签署无条件放弃对该船舶留置权的声明合同</t>
        </is>
      </c>
      <c r="G88" s="52">
        <f>HYPERLINK("#码值映射清单!B5150","YesNo")</f>
        <v/>
      </c>
      <c r="H88" s="24" t="n"/>
      <c r="I88" s="24" t="inlineStr"/>
      <c r="J88" s="24" t="inlineStr">
        <is>
          <t>2023/01/12</t>
        </is>
      </c>
    </row>
    <row r="89">
      <c r="B89" s="24" t="inlineStr">
        <is>
          <t>clr_asset_others_equipment</t>
        </is>
      </c>
      <c r="C89" s="24" t="inlineStr">
        <is>
          <t>SHIPFLAG12</t>
        </is>
      </c>
      <c r="D89" s="24" t="inlineStr">
        <is>
          <t>char(1)</t>
        </is>
      </c>
      <c r="E89" s="24" t="inlineStr">
        <is>
          <t>YES</t>
        </is>
      </c>
      <c r="F89" s="24" t="inlineStr">
        <is>
          <t>是否已提交与船舶、在建船舶相关的当年车船使用税证/是否有当年车船使用税证</t>
        </is>
      </c>
      <c r="G89" s="52">
        <f>HYPERLINK("#码值映射清单!B5150","YesNo")</f>
        <v/>
      </c>
      <c r="H89" s="24" t="n"/>
      <c r="I89" s="24" t="inlineStr"/>
      <c r="J89" s="24" t="inlineStr">
        <is>
          <t>2023/01/12</t>
        </is>
      </c>
    </row>
    <row r="90">
      <c r="B90" s="24" t="inlineStr">
        <is>
          <t>clr_asset_others_equipment</t>
        </is>
      </c>
      <c r="C90" s="24" t="inlineStr">
        <is>
          <t>SHIPFLAG13</t>
        </is>
      </c>
      <c r="D90" s="24" t="inlineStr">
        <is>
          <t>char(1)</t>
        </is>
      </c>
      <c r="E90" s="24" t="inlineStr">
        <is>
          <t>YES</t>
        </is>
      </c>
      <c r="F90" s="24" t="inlineStr">
        <is>
          <t>是否已提交船舶国籍证书/是否已提交民用航空器国籍登记证书</t>
        </is>
      </c>
      <c r="G90" s="52">
        <f>HYPERLINK("#码值映射清单!B5150","YesNo")</f>
        <v/>
      </c>
      <c r="H90" s="24" t="n"/>
      <c r="I90" s="24" t="inlineStr"/>
      <c r="J90" s="24" t="inlineStr">
        <is>
          <t>2023/01/12</t>
        </is>
      </c>
    </row>
    <row r="91">
      <c r="B91" s="24" t="inlineStr">
        <is>
          <t>clr_asset_others_equipment</t>
        </is>
      </c>
      <c r="C91" s="24" t="inlineStr">
        <is>
          <t>AIRCRAFTFLAG03</t>
        </is>
      </c>
      <c r="D91" s="24" t="inlineStr">
        <is>
          <t>char(1)</t>
        </is>
      </c>
      <c r="E91" s="24" t="inlineStr">
        <is>
          <t>YES</t>
        </is>
      </c>
      <c r="F91" s="24" t="inlineStr">
        <is>
          <t>是否已提交交付证书</t>
        </is>
      </c>
      <c r="G91" s="52">
        <f>HYPERLINK("#码值映射清单!B5150","YesNo")</f>
        <v/>
      </c>
      <c r="H91" s="24" t="n"/>
      <c r="I91" s="24" t="inlineStr"/>
      <c r="J91" s="24" t="inlineStr">
        <is>
          <t>2023/01/12</t>
        </is>
      </c>
    </row>
    <row r="92">
      <c r="B92" s="24" t="inlineStr">
        <is>
          <t>clr_asset_others_equipment</t>
        </is>
      </c>
      <c r="C92" s="24" t="inlineStr">
        <is>
          <t>AIRCRAFTFLAG07</t>
        </is>
      </c>
      <c r="D92" s="24" t="inlineStr">
        <is>
          <t>char(1)</t>
        </is>
      </c>
      <c r="E92" s="24" t="inlineStr">
        <is>
          <t>YES</t>
        </is>
      </c>
      <c r="F92" s="24" t="inlineStr">
        <is>
          <t>是否已提交航空器使用手册</t>
        </is>
      </c>
      <c r="G92" s="52">
        <f>HYPERLINK("#码值映射清单!B5150","YesNo")</f>
        <v/>
      </c>
      <c r="H92" s="24" t="n"/>
      <c r="I92" s="24" t="inlineStr"/>
      <c r="J92" s="24" t="inlineStr">
        <is>
          <t>2023/01/12</t>
        </is>
      </c>
    </row>
    <row r="93">
      <c r="B93" s="24" t="inlineStr">
        <is>
          <t>clr_asset_others_equipment</t>
        </is>
      </c>
      <c r="C93" s="24" t="inlineStr">
        <is>
          <t>VEHICLEFLAG01</t>
        </is>
      </c>
      <c r="D93" s="24" t="inlineStr">
        <is>
          <t>char(1)</t>
        </is>
      </c>
      <c r="E93" s="24" t="inlineStr">
        <is>
          <t>YES</t>
        </is>
      </c>
      <c r="F93" s="24" t="inlineStr">
        <is>
          <t>是否已提交车辆铭牌</t>
        </is>
      </c>
      <c r="G93" s="52">
        <f>HYPERLINK("#码值映射清单!B5150","YesNo")</f>
        <v/>
      </c>
      <c r="H93" s="24" t="n"/>
      <c r="I93" s="24" t="inlineStr"/>
      <c r="J93" s="24" t="inlineStr">
        <is>
          <t>2023/01/12</t>
        </is>
      </c>
    </row>
    <row r="94">
      <c r="B94" s="24" t="inlineStr">
        <is>
          <t>clr_asset_others_equipment</t>
        </is>
      </c>
      <c r="C94" s="24" t="inlineStr">
        <is>
          <t>VEHICLEFLAG03</t>
        </is>
      </c>
      <c r="D94" s="24" t="inlineStr">
        <is>
          <t>char(1)</t>
        </is>
      </c>
      <c r="E94" s="24" t="inlineStr">
        <is>
          <t>YES</t>
        </is>
      </c>
      <c r="F94" s="24" t="inlineStr">
        <is>
          <t>是否已提交机动车登记证书</t>
        </is>
      </c>
      <c r="G94" s="52">
        <f>HYPERLINK("#码值映射清单!B5150","YesNo")</f>
        <v/>
      </c>
      <c r="H94" s="24" t="n"/>
      <c r="I94" s="24" t="inlineStr"/>
      <c r="J94" s="24" t="inlineStr">
        <is>
          <t>2023/01/12</t>
        </is>
      </c>
    </row>
    <row r="95">
      <c r="B95" s="24" t="inlineStr">
        <is>
          <t>clr_asset_others_equipment</t>
        </is>
      </c>
      <c r="C95" s="24" t="inlineStr">
        <is>
          <t>VEHICLEFLAG04</t>
        </is>
      </c>
      <c r="D95" s="24" t="inlineStr">
        <is>
          <t>char(1)</t>
        </is>
      </c>
      <c r="E95" s="24" t="inlineStr">
        <is>
          <t>YES</t>
        </is>
      </c>
      <c r="F95" s="24" t="inlineStr">
        <is>
          <t>是否已提交机动车牌证</t>
        </is>
      </c>
      <c r="G95" s="52">
        <f>HYPERLINK("#码值映射清单!B5150","YesNo")</f>
        <v/>
      </c>
      <c r="H95" s="24" t="n"/>
      <c r="I95" s="24" t="inlineStr"/>
      <c r="J95" s="24" t="inlineStr">
        <is>
          <t>2023/01/12</t>
        </is>
      </c>
    </row>
    <row r="96">
      <c r="B96" s="24" t="inlineStr">
        <is>
          <t>clr_asset_others_equipment</t>
        </is>
      </c>
      <c r="C96" s="24" t="inlineStr">
        <is>
          <t>VEHICLEFLAG05</t>
        </is>
      </c>
      <c r="D96" s="24" t="inlineStr">
        <is>
          <t>char(1)</t>
        </is>
      </c>
      <c r="E96" s="24" t="inlineStr">
        <is>
          <t>YES</t>
        </is>
      </c>
      <c r="F96" s="24" t="inlineStr">
        <is>
          <t>是否有车辆购置附加税证</t>
        </is>
      </c>
      <c r="G96" s="52">
        <f>HYPERLINK("#码值映射清单!B5150","YesNo")</f>
        <v/>
      </c>
      <c r="H96" s="24" t="n"/>
      <c r="I96" s="24" t="inlineStr"/>
      <c r="J96" s="24" t="inlineStr">
        <is>
          <t>2023/01/12</t>
        </is>
      </c>
    </row>
    <row r="97">
      <c r="B97" s="24" t="inlineStr">
        <is>
          <t>clr_asset_others_equipment</t>
        </is>
      </c>
      <c r="C97" s="24" t="inlineStr">
        <is>
          <t>EQUIPMENTFLAG01</t>
        </is>
      </c>
      <c r="D97" s="24" t="inlineStr">
        <is>
          <t>char(1)</t>
        </is>
      </c>
      <c r="E97" s="24" t="inlineStr">
        <is>
          <t>YES</t>
        </is>
      </c>
      <c r="F97" s="24" t="inlineStr">
        <is>
          <t>同类资产在最近3个月内是否有成交记录</t>
        </is>
      </c>
      <c r="G97" s="52">
        <f>HYPERLINK("#码值映射清单!B5150","YesNo")</f>
        <v/>
      </c>
      <c r="H97" s="24" t="n"/>
      <c r="I97" s="24" t="inlineStr"/>
      <c r="J97" s="24" t="inlineStr">
        <is>
          <t>2023/01/12</t>
        </is>
      </c>
    </row>
    <row r="98">
      <c r="B98" s="24" t="inlineStr">
        <is>
          <t>clr_asset_others_equipment</t>
        </is>
      </c>
      <c r="C98" s="24" t="inlineStr">
        <is>
          <t>EQUIPMENTFLAG02</t>
        </is>
      </c>
      <c r="D98" s="24" t="inlineStr">
        <is>
          <t>char(1)</t>
        </is>
      </c>
      <c r="E98" s="24" t="inlineStr">
        <is>
          <t>YES</t>
        </is>
      </c>
      <c r="F98" s="24" t="inlineStr">
        <is>
          <t>该机器设备是否为某成套设备中的一部分</t>
        </is>
      </c>
      <c r="G98" s="52">
        <f>HYPERLINK("#码值映射清单!B5150","YesNo")</f>
        <v/>
      </c>
      <c r="H98" s="24" t="n"/>
      <c r="I98" s="24" t="inlineStr"/>
      <c r="J98" s="24" t="inlineStr">
        <is>
          <t>2023/01/12</t>
        </is>
      </c>
    </row>
    <row r="99">
      <c r="B99" s="24" t="inlineStr">
        <is>
          <t>clr_asset_others_equipment</t>
        </is>
      </c>
      <c r="C99" s="24" t="inlineStr">
        <is>
          <t>EQUIPMENTFLAG03</t>
        </is>
      </c>
      <c r="D99" s="24" t="inlineStr">
        <is>
          <t>char(1)</t>
        </is>
      </c>
      <c r="E99" s="24" t="inlineStr">
        <is>
          <t>YES</t>
        </is>
      </c>
      <c r="F99" s="24" t="inlineStr">
        <is>
          <t>是否已提交同类资产最近3个月内成交记录证明</t>
        </is>
      </c>
      <c r="G99" s="52">
        <f>HYPERLINK("#码值映射清单!B5150","YesNo")</f>
        <v/>
      </c>
      <c r="H99" s="24" t="n"/>
      <c r="I99" s="24" t="inlineStr"/>
      <c r="J99" s="24" t="inlineStr">
        <is>
          <t>2023/01/12</t>
        </is>
      </c>
    </row>
    <row r="100">
      <c r="B100" s="24" t="inlineStr">
        <is>
          <t>clr_asset_others_equipment</t>
        </is>
      </c>
      <c r="C100" s="24" t="inlineStr">
        <is>
          <t>EQUIPMENTFLAG04</t>
        </is>
      </c>
      <c r="D100" s="24" t="inlineStr">
        <is>
          <t>char(1)</t>
        </is>
      </c>
      <c r="E100" s="24" t="inlineStr">
        <is>
          <t>YES</t>
        </is>
      </c>
      <c r="F100" s="24" t="inlineStr">
        <is>
          <t>是否已提交设备购置合同与发票、产品保修卡</t>
        </is>
      </c>
      <c r="G100" s="52">
        <f>HYPERLINK("#码值映射清单!B5150","YesNo")</f>
        <v/>
      </c>
      <c r="H100" s="24" t="n"/>
      <c r="I100" s="24" t="inlineStr"/>
      <c r="J100" s="24" t="inlineStr">
        <is>
          <t>2023/01/12</t>
        </is>
      </c>
    </row>
    <row r="101">
      <c r="B101" s="24" t="inlineStr">
        <is>
          <t>clr_asset_others_equipment</t>
        </is>
      </c>
      <c r="C101" s="24" t="inlineStr">
        <is>
          <t>EQUIPMENTFLAG05</t>
        </is>
      </c>
      <c r="D101" s="24" t="inlineStr">
        <is>
          <t>char(1)</t>
        </is>
      </c>
      <c r="E101" s="24" t="inlineStr">
        <is>
          <t>YES</t>
        </is>
      </c>
      <c r="F101" s="24" t="inlineStr">
        <is>
          <t>该设备是否市场普遍流通</t>
        </is>
      </c>
      <c r="G101" s="52">
        <f>HYPERLINK("#码值映射清单!B5150","YesNo")</f>
        <v/>
      </c>
      <c r="H101" s="24" t="n"/>
      <c r="I101" s="24" t="inlineStr"/>
      <c r="J101" s="24" t="inlineStr">
        <is>
          <t>2023/01/12</t>
        </is>
      </c>
    </row>
    <row r="102">
      <c r="B102" s="24" t="inlineStr">
        <is>
          <t>clr_asset_others_equipment</t>
        </is>
      </c>
      <c r="C102" s="24" t="inlineStr">
        <is>
          <t>INPUTORGID</t>
        </is>
      </c>
      <c r="D102" s="24" t="inlineStr">
        <is>
          <t>varchar(32)</t>
        </is>
      </c>
      <c r="E102" s="24" t="inlineStr">
        <is>
          <t>YES</t>
        </is>
      </c>
      <c r="F102" s="43" t="inlineStr">
        <is>
          <t>登记机构</t>
        </is>
      </c>
      <c r="G102" s="24" t="n"/>
      <c r="H102" s="24" t="n"/>
      <c r="I102" s="24" t="inlineStr"/>
      <c r="J102" s="24" t="inlineStr">
        <is>
          <t>2023/01/12</t>
        </is>
      </c>
    </row>
    <row r="103">
      <c r="B103" s="24" t="inlineStr">
        <is>
          <t>clr_asset_others_equipment</t>
        </is>
      </c>
      <c r="C103" s="24" t="inlineStr">
        <is>
          <t>INPUTUSERID</t>
        </is>
      </c>
      <c r="D103" s="24" t="inlineStr">
        <is>
          <t>varchar(32)</t>
        </is>
      </c>
      <c r="E103" s="24" t="inlineStr">
        <is>
          <t>YES</t>
        </is>
      </c>
      <c r="F103" s="24" t="inlineStr">
        <is>
          <t>登记人</t>
        </is>
      </c>
      <c r="G103" s="24" t="n"/>
      <c r="H103" s="24" t="n"/>
      <c r="I103" s="24" t="inlineStr"/>
      <c r="J103" s="24" t="inlineStr">
        <is>
          <t>2023/01/12</t>
        </is>
      </c>
    </row>
    <row r="104">
      <c r="B104" s="24" t="inlineStr">
        <is>
          <t>clr_asset_others_equipment</t>
        </is>
      </c>
      <c r="C104" s="24" t="inlineStr">
        <is>
          <t>INPUTDATE</t>
        </is>
      </c>
      <c r="D104" s="24" t="inlineStr">
        <is>
          <t>datetime</t>
        </is>
      </c>
      <c r="E104" s="24" t="inlineStr">
        <is>
          <t>YES</t>
        </is>
      </c>
      <c r="F104" s="24" t="inlineStr">
        <is>
          <t>登记日期</t>
        </is>
      </c>
      <c r="G104" s="24" t="n"/>
      <c r="H104" s="24" t="n"/>
      <c r="I104" s="24" t="inlineStr"/>
      <c r="J104" s="24" t="inlineStr">
        <is>
          <t>2023/01/12</t>
        </is>
      </c>
    </row>
    <row r="105">
      <c r="B105" s="24" t="inlineStr">
        <is>
          <t>clr_asset_others_equipment</t>
        </is>
      </c>
      <c r="C105" s="24" t="inlineStr">
        <is>
          <t>UPDATEORGID</t>
        </is>
      </c>
      <c r="D105" s="24" t="inlineStr">
        <is>
          <t>varchar(32)</t>
        </is>
      </c>
      <c r="E105" s="24" t="inlineStr">
        <is>
          <t>YES</t>
        </is>
      </c>
      <c r="F105" s="24" t="inlineStr">
        <is>
          <t>更新机构</t>
        </is>
      </c>
      <c r="G105" s="24" t="n"/>
      <c r="H105" s="24" t="n"/>
      <c r="I105" s="24" t="inlineStr"/>
      <c r="J105" s="24" t="inlineStr">
        <is>
          <t>2023/01/12</t>
        </is>
      </c>
    </row>
    <row r="106">
      <c r="B106" s="24" t="inlineStr">
        <is>
          <t>clr_asset_others_equipment</t>
        </is>
      </c>
      <c r="C106" s="24" t="inlineStr">
        <is>
          <t>UPDATEUSERID</t>
        </is>
      </c>
      <c r="D106" s="24" t="inlineStr">
        <is>
          <t>varchar(32)</t>
        </is>
      </c>
      <c r="E106" s="24" t="inlineStr">
        <is>
          <t>YES</t>
        </is>
      </c>
      <c r="F106" s="24" t="inlineStr">
        <is>
          <t>更新人</t>
        </is>
      </c>
      <c r="G106" s="24" t="n"/>
      <c r="H106" s="24" t="n"/>
      <c r="I106" s="24" t="inlineStr"/>
      <c r="J106" s="24" t="inlineStr">
        <is>
          <t>2023/01/12</t>
        </is>
      </c>
    </row>
    <row r="107">
      <c r="B107" s="24" t="inlineStr">
        <is>
          <t>clr_asset_others_equipment</t>
        </is>
      </c>
      <c r="C107" s="24" t="inlineStr">
        <is>
          <t>UPDATEDATE</t>
        </is>
      </c>
      <c r="D107" s="24" t="inlineStr">
        <is>
          <t>datetime</t>
        </is>
      </c>
      <c r="E107" s="24" t="inlineStr">
        <is>
          <t>YES</t>
        </is>
      </c>
      <c r="F107" s="24" t="inlineStr">
        <is>
          <t>更新日期</t>
        </is>
      </c>
      <c r="G107" s="24" t="n"/>
      <c r="H107" s="24" t="n"/>
      <c r="I107" s="24" t="inlineStr"/>
      <c r="J107" s="24" t="inlineStr">
        <is>
          <t>2023/01/12</t>
        </is>
      </c>
    </row>
    <row r="108">
      <c r="B108" s="24" t="inlineStr">
        <is>
          <t>clr_asset_others_equipment</t>
        </is>
      </c>
      <c r="C108" s="24" t="inlineStr">
        <is>
          <t>REMARK</t>
        </is>
      </c>
      <c r="D108" s="24" t="inlineStr">
        <is>
          <t>varchar(500)</t>
        </is>
      </c>
      <c r="E108" s="24" t="inlineStr">
        <is>
          <t>YES</t>
        </is>
      </c>
      <c r="F108" s="24" t="inlineStr">
        <is>
          <t>备注</t>
        </is>
      </c>
      <c r="G108" s="24" t="n"/>
      <c r="H108" s="24" t="n"/>
      <c r="I108" s="24" t="inlineStr"/>
      <c r="J108" s="24" t="inlineStr">
        <is>
          <t>2023/01/12</t>
        </is>
      </c>
    </row>
    <row r="109">
      <c r="B109" s="109" t="inlineStr">
        <is>
          <t>clr_asset_others_equipment</t>
        </is>
      </c>
      <c r="C109" s="109" t="inlineStr">
        <is>
          <t>CORPORGID</t>
        </is>
      </c>
      <c r="D109" s="109" t="inlineStr">
        <is>
          <t>varchar(32)</t>
        </is>
      </c>
      <c r="E109" s="109" t="inlineStr">
        <is>
          <t>YES</t>
        </is>
      </c>
      <c r="F109" s="109" t="inlineStr">
        <is>
          <t>法人机构编号</t>
        </is>
      </c>
      <c r="G109" s="109" t="n"/>
      <c r="H109" s="109" t="n"/>
      <c r="I109" s="109" t="inlineStr"/>
      <c r="J109" s="109" t="inlineStr">
        <is>
          <t>2023/01/12</t>
        </is>
      </c>
    </row>
    <row r="110" ht="16.8" customHeight="1" s="170">
      <c r="B110" s="65" t="inlineStr">
        <is>
          <t>clr_asset_others_equipment</t>
        </is>
      </c>
      <c r="C110" s="60" t="inlineStr">
        <is>
          <t>LOANCARDNO</t>
        </is>
      </c>
      <c r="D110" s="60" t="inlineStr">
        <is>
          <t>varchar(32)</t>
        </is>
      </c>
      <c r="E110" s="65" t="inlineStr">
        <is>
          <t>YES</t>
        </is>
      </c>
      <c r="F110" s="100" t="inlineStr">
        <is>
          <t>权利人贷款卡号</t>
        </is>
      </c>
      <c r="G110" s="60" t="n"/>
      <c r="H110" s="60" t="n"/>
      <c r="I110" s="60" t="n"/>
      <c r="J110" s="183" t="n">
        <v>45740</v>
      </c>
      <c r="K110" s="113" t="inlineStr">
        <is>
          <t>LINE</t>
        </is>
      </c>
    </row>
    <row r="111" ht="16" customHeight="1" s="170">
      <c r="B111" s="65" t="inlineStr">
        <is>
          <t>clr_asset_others_equipment</t>
        </is>
      </c>
      <c r="C111" s="60" t="inlineStr">
        <is>
          <t>EQUIPSTATUS</t>
        </is>
      </c>
      <c r="D111" s="60" t="inlineStr">
        <is>
          <t>varchar(6)</t>
        </is>
      </c>
      <c r="E111" s="65" t="inlineStr">
        <is>
          <t>YES</t>
        </is>
      </c>
      <c r="F111" s="100" t="inlineStr">
        <is>
          <t>设备现状</t>
        </is>
      </c>
      <c r="G111" s="60" t="n"/>
      <c r="H111" s="60" t="inlineStr">
        <is>
          <t xml:space="preserve">01 -出租、02-占用、03-闲置、04-自用、05-其他 </t>
        </is>
      </c>
      <c r="I111" s="60" t="n"/>
      <c r="J111" s="183" t="n">
        <v>45740</v>
      </c>
    </row>
    <row r="112">
      <c r="B112" s="65" t="inlineStr">
        <is>
          <t>clr_asset_others_equipment</t>
        </is>
      </c>
      <c r="C112" s="60" t="inlineStr">
        <is>
          <t>GUARANTYDESCRIPT</t>
        </is>
      </c>
      <c r="D112" s="60" t="inlineStr">
        <is>
          <t>varchar(800)</t>
        </is>
      </c>
      <c r="E112" s="65" t="inlineStr">
        <is>
          <t>YES</t>
        </is>
      </c>
      <c r="F112" s="100" t="inlineStr">
        <is>
          <t>抵押物说明</t>
        </is>
      </c>
      <c r="G112" s="60" t="n"/>
      <c r="H112" s="60" t="n"/>
      <c r="I112" s="60" t="n"/>
      <c r="J112" s="183" t="n">
        <v>45740</v>
      </c>
    </row>
    <row r="113">
      <c r="B113" s="65" t="inlineStr">
        <is>
          <t>clr_asset_others_equipment</t>
        </is>
      </c>
      <c r="C113" s="60" t="inlineStr">
        <is>
          <t>GUARANTYRIGHTID</t>
        </is>
      </c>
      <c r="D113" s="60" t="inlineStr">
        <is>
          <t>varchar(800)</t>
        </is>
      </c>
      <c r="E113" s="65" t="inlineStr">
        <is>
          <t>YES</t>
        </is>
      </c>
      <c r="F113" s="99" t="inlineStr">
        <is>
          <t>权证号</t>
        </is>
      </c>
      <c r="G113" s="60" t="n"/>
      <c r="H113" s="60" t="n"/>
      <c r="I113" s="60" t="n"/>
      <c r="J113" s="183" t="n">
        <v>45740</v>
      </c>
    </row>
    <row r="114">
      <c r="B114" s="65" t="inlineStr">
        <is>
          <t>clr_asset_others_equipment</t>
        </is>
      </c>
      <c r="C114" s="60" t="inlineStr">
        <is>
          <t>ISPARTMORTGAGED</t>
        </is>
      </c>
      <c r="D114" s="60" t="inlineStr">
        <is>
          <t>varchar(6)</t>
        </is>
      </c>
      <c r="E114" s="65" t="inlineStr">
        <is>
          <t>YES</t>
        </is>
      </c>
      <c r="F114" s="99" t="inlineStr">
        <is>
          <t>是否部分抵押</t>
        </is>
      </c>
      <c r="G114" s="60" t="n"/>
      <c r="H114" s="60" t="n"/>
      <c r="I114" s="60" t="n"/>
      <c r="J114" s="183" t="n">
        <v>45740</v>
      </c>
    </row>
    <row r="115">
      <c r="B115" s="65" t="inlineStr">
        <is>
          <t>clr_asset_others_equipment</t>
        </is>
      </c>
      <c r="C115" s="60" t="inlineStr">
        <is>
          <t>REALIZATIONVALUE</t>
        </is>
      </c>
      <c r="D115" s="60" t="inlineStr">
        <is>
          <t>decimal(24,6)</t>
        </is>
      </c>
      <c r="E115" s="65" t="inlineStr">
        <is>
          <t>YES</t>
        </is>
      </c>
      <c r="F115" s="99" t="inlineStr">
        <is>
          <t>预计变现值</t>
        </is>
      </c>
      <c r="G115" s="60" t="n"/>
      <c r="H115" s="60" t="n"/>
      <c r="I115" s="60" t="n"/>
      <c r="J115" s="183" t="n">
        <v>45740</v>
      </c>
      <c r="L115" s="114" t="n"/>
      <c r="M115" s="114" t="n"/>
    </row>
    <row r="116">
      <c r="B116" s="65" t="inlineStr">
        <is>
          <t>clr_asset_others_equipment</t>
        </is>
      </c>
      <c r="C116" s="60" t="inlineStr">
        <is>
          <t>REALIZATIONCOST</t>
        </is>
      </c>
      <c r="D116" s="60" t="inlineStr">
        <is>
          <t>decimal(24,6)</t>
        </is>
      </c>
      <c r="E116" s="65" t="inlineStr">
        <is>
          <t>YES</t>
        </is>
      </c>
      <c r="F116" s="99" t="inlineStr">
        <is>
          <t>预计变现成本</t>
        </is>
      </c>
      <c r="G116" s="60" t="n"/>
      <c r="H116" s="60" t="n"/>
      <c r="I116" s="60" t="n"/>
      <c r="J116" s="183" t="n">
        <v>45740</v>
      </c>
      <c r="L116" s="114" t="n"/>
      <c r="M116" s="114" t="n"/>
    </row>
    <row r="117">
      <c r="B117" s="65" t="inlineStr">
        <is>
          <t>clr_asset_others_equipment</t>
        </is>
      </c>
      <c r="C117" s="65" t="inlineStr">
        <is>
          <t>OTHERSRIGHTID</t>
        </is>
      </c>
      <c r="D117" s="65" t="inlineStr">
        <is>
          <t>varchar(100)</t>
        </is>
      </c>
      <c r="E117" s="65" t="inlineStr">
        <is>
          <t>YES</t>
        </is>
      </c>
      <c r="F117" s="99" t="inlineStr">
        <is>
          <t>他项权证号</t>
        </is>
      </c>
      <c r="G117" s="60" t="n"/>
      <c r="H117" s="60" t="n"/>
      <c r="I117" s="60" t="n"/>
      <c r="J117" s="183" t="n">
        <v>45740</v>
      </c>
      <c r="L117" s="114" t="n"/>
      <c r="M117" s="114" t="n"/>
    </row>
    <row r="118" ht="16" customHeight="1" s="170">
      <c r="B118" s="65" t="inlineStr">
        <is>
          <t>clr_asset_others_equipment</t>
        </is>
      </c>
      <c r="C118" s="111" t="inlineStr">
        <is>
          <t>HASVEHICLEBUYTAX</t>
        </is>
      </c>
      <c r="D118" s="60" t="inlineStr">
        <is>
          <t>varchar(6)</t>
        </is>
      </c>
      <c r="E118" s="65" t="inlineStr">
        <is>
          <t>YES</t>
        </is>
      </c>
      <c r="F118" s="100" t="inlineStr">
        <is>
          <t>是否有车辆购置附加税证</t>
        </is>
      </c>
      <c r="G118" s="60" t="n"/>
      <c r="H118" s="60" t="n"/>
      <c r="I118" s="60" t="n"/>
      <c r="J118" s="183" t="n">
        <v>45740</v>
      </c>
      <c r="L118" s="114" t="n"/>
      <c r="M118" s="114" t="n"/>
    </row>
    <row r="119" ht="16" customHeight="1" s="170">
      <c r="B119" s="65" t="inlineStr">
        <is>
          <t>clr_asset_others_equipment</t>
        </is>
      </c>
      <c r="C119" s="111" t="inlineStr">
        <is>
          <t>HASVEHICLEUSETAX</t>
        </is>
      </c>
      <c r="D119" s="60" t="inlineStr">
        <is>
          <t>varchar(6)</t>
        </is>
      </c>
      <c r="E119" s="65" t="inlineStr">
        <is>
          <t>YES</t>
        </is>
      </c>
      <c r="F119" s="100" t="inlineStr">
        <is>
          <t>是否有当年车船使用税证</t>
        </is>
      </c>
      <c r="G119" s="60" t="n"/>
      <c r="H119" s="60" t="n"/>
      <c r="I119" s="60" t="n"/>
      <c r="J119" s="183" t="n">
        <v>45740</v>
      </c>
      <c r="L119" s="114" t="n"/>
      <c r="M119" s="114" t="n"/>
    </row>
    <row r="120">
      <c r="B120" s="65" t="inlineStr">
        <is>
          <t>clr_asset_others_equipment</t>
        </is>
      </c>
      <c r="C120" s="65" t="inlineStr">
        <is>
          <t>OTHERSRIGHTDATE</t>
        </is>
      </c>
      <c r="D120" s="60" t="inlineStr">
        <is>
          <t>datetime</t>
        </is>
      </c>
      <c r="E120" s="65" t="inlineStr">
        <is>
          <t>YES</t>
        </is>
      </c>
      <c r="F120" s="99" t="inlineStr">
        <is>
          <t>取得他项权证时间</t>
        </is>
      </c>
      <c r="G120" s="60" t="n"/>
      <c r="H120" s="60" t="n"/>
      <c r="I120" s="60" t="n"/>
      <c r="J120" s="183" t="n">
        <v>45740</v>
      </c>
      <c r="L120" s="114" t="n"/>
      <c r="M120" s="114" t="n"/>
    </row>
    <row r="121">
      <c r="B121" s="65" t="inlineStr">
        <is>
          <t>clr_asset_others_equipment</t>
        </is>
      </c>
      <c r="C121" s="60" t="inlineStr">
        <is>
          <t>REGISTERINFO</t>
        </is>
      </c>
      <c r="D121" s="60" t="inlineStr">
        <is>
          <t>varchar(500)</t>
        </is>
      </c>
      <c r="E121" s="65" t="inlineStr">
        <is>
          <t>YES</t>
        </is>
      </c>
      <c r="F121" s="100" t="inlineStr">
        <is>
          <t>抵押物登记情况</t>
        </is>
      </c>
      <c r="G121" s="60" t="n"/>
      <c r="H121" s="60" t="n"/>
      <c r="I121" s="60" t="n"/>
      <c r="J121" s="183" t="n">
        <v>45740</v>
      </c>
      <c r="L121" s="114" t="n"/>
      <c r="M121" s="114" t="n"/>
    </row>
    <row r="122" ht="16" customHeight="1" s="170">
      <c r="B122" s="65" t="inlineStr">
        <is>
          <t>clr_asset_others_equipment</t>
        </is>
      </c>
      <c r="C122" s="111" t="inlineStr">
        <is>
          <t>ISMORTGAGEDSELF</t>
        </is>
      </c>
      <c r="D122" s="60" t="inlineStr">
        <is>
          <t>varchar(6)</t>
        </is>
      </c>
      <c r="E122" s="65" t="inlineStr">
        <is>
          <t>YES</t>
        </is>
      </c>
      <c r="F122" s="100" t="inlineStr">
        <is>
          <t>此抵押物是否当前申请所购/所抵资产</t>
        </is>
      </c>
      <c r="G122" s="60" t="n"/>
      <c r="H122" s="60" t="n"/>
      <c r="I122" s="60" t="n"/>
      <c r="J122" s="183" t="n">
        <v>45740</v>
      </c>
      <c r="L122" s="114" t="n"/>
      <c r="M122" s="114" t="n"/>
    </row>
    <row r="123" ht="16" customHeight="1" s="170">
      <c r="B123" s="65" t="inlineStr">
        <is>
          <t>clr_asset_others_equipment</t>
        </is>
      </c>
      <c r="C123" s="111" t="inlineStr">
        <is>
          <t>CHASSISNUMBER</t>
        </is>
      </c>
      <c r="D123" s="60" t="inlineStr">
        <is>
          <t>varchar(50)</t>
        </is>
      </c>
      <c r="E123" s="65" t="inlineStr">
        <is>
          <t>YES</t>
        </is>
      </c>
      <c r="F123" s="100" t="inlineStr">
        <is>
          <t>底盘编号</t>
        </is>
      </c>
      <c r="G123" s="60" t="n"/>
      <c r="H123" s="60" t="n"/>
      <c r="I123" s="60" t="n"/>
      <c r="J123" s="183" t="n">
        <v>45740</v>
      </c>
      <c r="L123" s="114" t="n"/>
      <c r="M123" s="114" t="n"/>
    </row>
    <row r="124" ht="16" customHeight="1" s="170">
      <c r="B124" s="65" t="inlineStr">
        <is>
          <t>clr_asset_others_equipment</t>
        </is>
      </c>
      <c r="C124" s="111" t="inlineStr">
        <is>
          <t>CERTIFICATENUMBER</t>
        </is>
      </c>
      <c r="D124" s="60" t="inlineStr">
        <is>
          <t>varchar(50)</t>
        </is>
      </c>
      <c r="E124" s="65" t="inlineStr">
        <is>
          <t>YES</t>
        </is>
      </c>
      <c r="F124" s="100" t="inlineStr">
        <is>
          <t>合格证编号</t>
        </is>
      </c>
      <c r="G124" s="60" t="n"/>
      <c r="H124" s="60" t="n"/>
      <c r="I124" s="60" t="n"/>
      <c r="J124" s="183" t="n">
        <v>45740</v>
      </c>
      <c r="L124" s="114" t="n"/>
      <c r="M124" s="114" t="n"/>
    </row>
    <row r="125" ht="16" customHeight="1" s="170">
      <c r="B125" s="65" t="inlineStr">
        <is>
          <t>clr_asset_others_equipment</t>
        </is>
      </c>
      <c r="C125" s="111" t="inlineStr">
        <is>
          <t>VEHICLECERT</t>
        </is>
      </c>
      <c r="D125" s="60" t="inlineStr">
        <is>
          <t>varchar(50)</t>
        </is>
      </c>
      <c r="E125" s="65" t="inlineStr">
        <is>
          <t>YES</t>
        </is>
      </c>
      <c r="F125" s="100" t="inlineStr">
        <is>
          <t>机动车登记证编号</t>
        </is>
      </c>
      <c r="G125" s="60" t="n"/>
      <c r="H125" s="60" t="n"/>
      <c r="I125" s="60" t="n"/>
      <c r="J125" s="183" t="n">
        <v>45740</v>
      </c>
      <c r="L125" s="114" t="n"/>
      <c r="M125" s="114" t="n"/>
    </row>
    <row r="126" ht="16" customHeight="1" s="170">
      <c r="B126" s="65" t="inlineStr">
        <is>
          <t>clr_asset_others_equipment</t>
        </is>
      </c>
      <c r="C126" s="111" t="inlineStr">
        <is>
          <t>VEHICLEAGE</t>
        </is>
      </c>
      <c r="D126" s="112" t="inlineStr">
        <is>
          <t>INTEGER(4)</t>
        </is>
      </c>
      <c r="E126" s="65" t="inlineStr">
        <is>
          <t>YES</t>
        </is>
      </c>
      <c r="F126" s="100" t="inlineStr">
        <is>
          <t>车龄</t>
        </is>
      </c>
      <c r="G126" s="60" t="n"/>
      <c r="H126" s="60" t="n"/>
      <c r="I126" s="60" t="n"/>
      <c r="J126" s="183" t="n">
        <v>45740</v>
      </c>
      <c r="L126" s="114" t="n"/>
      <c r="M126" s="114" t="n"/>
    </row>
    <row r="127" ht="16" customHeight="1" s="170">
      <c r="B127" s="65" t="inlineStr">
        <is>
          <t>clr_asset_others_equipment</t>
        </is>
      </c>
      <c r="C127" s="111" t="inlineStr">
        <is>
          <t>VEHICLENATURE</t>
        </is>
      </c>
      <c r="D127" s="60" t="inlineStr">
        <is>
          <t>varchar(10)</t>
        </is>
      </c>
      <c r="E127" s="65" t="inlineStr">
        <is>
          <t>YES</t>
        </is>
      </c>
      <c r="F127" s="100" t="inlineStr">
        <is>
          <t>车辆性质</t>
        </is>
      </c>
      <c r="G127" s="60" t="n"/>
      <c r="H127" s="60" t="n"/>
      <c r="I127" s="60" t="n"/>
      <c r="J127" s="183" t="n">
        <v>45740</v>
      </c>
      <c r="L127" s="114" t="n"/>
      <c r="M127" s="114" t="n"/>
    </row>
    <row r="128" ht="16" customHeight="1" s="170">
      <c r="B128" s="65" t="inlineStr">
        <is>
          <t>clr_asset_others_equipment</t>
        </is>
      </c>
      <c r="C128" s="111" t="inlineStr">
        <is>
          <t>USAGE</t>
        </is>
      </c>
      <c r="D128" s="60" t="inlineStr">
        <is>
          <t>varchar(10)</t>
        </is>
      </c>
      <c r="E128" s="65" t="inlineStr">
        <is>
          <t>YES</t>
        </is>
      </c>
      <c r="F128" s="100" t="inlineStr">
        <is>
          <t>购买用途</t>
        </is>
      </c>
      <c r="G128" s="60" t="n"/>
      <c r="H128" s="60" t="n"/>
      <c r="I128" s="60" t="n"/>
      <c r="J128" s="183" t="n">
        <v>45740</v>
      </c>
      <c r="L128" s="114" t="n"/>
      <c r="M128" s="114" t="n"/>
    </row>
    <row r="129" ht="16" customHeight="1" s="170">
      <c r="B129" s="65" t="inlineStr">
        <is>
          <t>clr_asset_others_equipment</t>
        </is>
      </c>
      <c r="C129" s="111" t="inlineStr">
        <is>
          <t>OPERATIONLICENSE</t>
        </is>
      </c>
      <c r="D129" s="60" t="inlineStr">
        <is>
          <t>varchar(200)</t>
        </is>
      </c>
      <c r="E129" s="65" t="inlineStr">
        <is>
          <t>YES</t>
        </is>
      </c>
      <c r="F129" s="100" t="inlineStr">
        <is>
          <t>营运许可证号</t>
        </is>
      </c>
      <c r="G129" s="60" t="n"/>
      <c r="H129" s="60" t="n"/>
      <c r="I129" s="60" t="n"/>
      <c r="J129" s="183" t="n">
        <v>45740</v>
      </c>
      <c r="L129" s="114" t="n"/>
      <c r="M129" s="114" t="n"/>
    </row>
    <row r="130" ht="16" customHeight="1" s="170">
      <c r="B130" s="65" t="inlineStr">
        <is>
          <t>clr_asset_others_equipment</t>
        </is>
      </c>
      <c r="C130" s="111" t="inlineStr">
        <is>
          <t>SALESNUMBER</t>
        </is>
      </c>
      <c r="D130" s="60" t="inlineStr">
        <is>
          <t>varchar(50)</t>
        </is>
      </c>
      <c r="E130" s="65" t="inlineStr">
        <is>
          <t>YES</t>
        </is>
      </c>
      <c r="F130" s="100" t="inlineStr">
        <is>
          <t>销售协议编号</t>
        </is>
      </c>
      <c r="G130" s="60" t="n"/>
      <c r="H130" s="60" t="n"/>
      <c r="I130" s="60" t="n"/>
      <c r="J130" s="183" t="n">
        <v>45740</v>
      </c>
      <c r="L130" s="114" t="n"/>
      <c r="M130" s="114" t="n"/>
    </row>
    <row r="131" ht="16" customHeight="1" s="170">
      <c r="B131" s="65" t="inlineStr">
        <is>
          <t>clr_asset_others_equipment</t>
        </is>
      </c>
      <c r="C131" s="111" t="inlineStr">
        <is>
          <t>DOWNPAYMENT</t>
        </is>
      </c>
      <c r="D131" s="60" t="inlineStr">
        <is>
          <t>decimal(24,6)</t>
        </is>
      </c>
      <c r="E131" s="65" t="inlineStr">
        <is>
          <t>YES</t>
        </is>
      </c>
      <c r="F131" s="100" t="inlineStr">
        <is>
          <t>首付款</t>
        </is>
      </c>
      <c r="G131" s="60" t="n"/>
      <c r="H131" s="60" t="n"/>
      <c r="I131" s="60" t="n"/>
      <c r="J131" s="183" t="n">
        <v>45740</v>
      </c>
      <c r="L131" s="114" t="n"/>
      <c r="M131" s="114" t="n"/>
    </row>
    <row r="132" ht="16" customHeight="1" s="170">
      <c r="B132" s="65" t="inlineStr">
        <is>
          <t>clr_asset_others_equipment</t>
        </is>
      </c>
      <c r="C132" s="111" t="inlineStr">
        <is>
          <t>VEHICLEDATE</t>
        </is>
      </c>
      <c r="D132" s="60" t="inlineStr">
        <is>
          <t>datetime</t>
        </is>
      </c>
      <c r="E132" s="65" t="inlineStr">
        <is>
          <t>YES</t>
        </is>
      </c>
      <c r="F132" s="100" t="inlineStr">
        <is>
          <t>提车日期</t>
        </is>
      </c>
      <c r="G132" s="60" t="n"/>
      <c r="H132" s="60" t="n"/>
      <c r="I132" s="60" t="n"/>
      <c r="J132" s="183" t="n">
        <v>45740</v>
      </c>
      <c r="L132" s="114" t="n"/>
      <c r="M132" s="114" t="n"/>
    </row>
    <row r="133">
      <c r="B133" s="65" t="inlineStr">
        <is>
          <t>clr_asset_others_equipment</t>
        </is>
      </c>
      <c r="C133" s="60" t="inlineStr">
        <is>
          <t>PAYOUTTYPE</t>
        </is>
      </c>
      <c r="D133" s="60" t="inlineStr">
        <is>
          <t>varchar(6)</t>
        </is>
      </c>
      <c r="E133" s="65" t="inlineStr">
        <is>
          <t>YES</t>
        </is>
      </c>
      <c r="F133" s="99" t="inlineStr">
        <is>
          <t>支出类型</t>
        </is>
      </c>
      <c r="G133" s="60" t="n"/>
      <c r="H133" s="60" t="inlineStr">
        <is>
          <t>01 -密码  、  02- 证件 、03 -印鉴</t>
        </is>
      </c>
      <c r="I133" s="60" t="n"/>
      <c r="J133" s="183" t="n">
        <v>45740</v>
      </c>
      <c r="L133" s="114" t="n"/>
      <c r="M133" s="114" t="n"/>
    </row>
    <row r="134" ht="16" customHeight="1" s="170">
      <c r="B134" s="65" t="inlineStr">
        <is>
          <t>clr_asset_others_equipment</t>
        </is>
      </c>
      <c r="C134" s="111" t="inlineStr">
        <is>
          <t>ISANNUALTEST</t>
        </is>
      </c>
      <c r="D134" s="60" t="inlineStr">
        <is>
          <t>varchar(6)</t>
        </is>
      </c>
      <c r="E134" s="65" t="inlineStr">
        <is>
          <t>YES</t>
        </is>
      </c>
      <c r="F134" s="100" t="inlineStr">
        <is>
          <t>年检是否正常</t>
        </is>
      </c>
      <c r="G134" s="60" t="n"/>
      <c r="H134" s="60" t="n"/>
      <c r="I134" s="60" t="n"/>
      <c r="J134" s="183" t="n">
        <v>45740</v>
      </c>
      <c r="L134" s="114" t="n"/>
      <c r="M134" s="114" t="n"/>
    </row>
    <row r="135" ht="16" customHeight="1" s="170">
      <c r="B135" s="65" t="inlineStr">
        <is>
          <t>clr_asset_others_equipment</t>
        </is>
      </c>
      <c r="C135" s="111" t="inlineStr">
        <is>
          <t>VEHICLETYPE</t>
        </is>
      </c>
      <c r="D135" s="60" t="inlineStr">
        <is>
          <t>varchar(200)</t>
        </is>
      </c>
      <c r="E135" s="65" t="inlineStr">
        <is>
          <t>YES</t>
        </is>
      </c>
      <c r="F135" s="99" t="inlineStr">
        <is>
          <t>运输工具类型</t>
        </is>
      </c>
      <c r="G135" s="60" t="n"/>
      <c r="H135" s="60" t="n"/>
      <c r="I135" s="60" t="n"/>
      <c r="J135" s="183" t="n">
        <v>45740</v>
      </c>
      <c r="L135" s="114" t="n"/>
      <c r="M135" s="114" t="n"/>
    </row>
    <row r="136" ht="16" customHeight="1" s="170">
      <c r="B136" s="65" t="inlineStr">
        <is>
          <t>clr_asset_others_equipment</t>
        </is>
      </c>
      <c r="C136" s="111" t="inlineStr">
        <is>
          <t>SHIPNATIONALITY</t>
        </is>
      </c>
      <c r="D136" s="60" t="inlineStr">
        <is>
          <t>varchar(32)</t>
        </is>
      </c>
      <c r="E136" s="65" t="inlineStr">
        <is>
          <t>YES</t>
        </is>
      </c>
      <c r="F136" s="99" t="inlineStr">
        <is>
          <t>船籍</t>
        </is>
      </c>
      <c r="G136" s="60" t="n"/>
      <c r="H136" s="60" t="n"/>
      <c r="I136" s="60" t="n"/>
      <c r="J136" s="183" t="n">
        <v>45740</v>
      </c>
      <c r="L136" s="114" t="n"/>
      <c r="M136" s="114" t="n"/>
    </row>
    <row r="137" ht="16" customHeight="1" s="170">
      <c r="B137" s="65" t="inlineStr">
        <is>
          <t>clr_asset_others_equipment</t>
        </is>
      </c>
      <c r="C137" s="111" t="inlineStr">
        <is>
          <t>ISSHIPPINGCERT</t>
        </is>
      </c>
      <c r="D137" s="60" t="inlineStr">
        <is>
          <t>varchar(6)</t>
        </is>
      </c>
      <c r="E137" s="65" t="inlineStr">
        <is>
          <t>YES</t>
        </is>
      </c>
      <c r="F137" s="99" t="inlineStr">
        <is>
          <t>是否有航运证</t>
        </is>
      </c>
      <c r="G137" s="60" t="n"/>
      <c r="H137" s="60" t="n"/>
      <c r="I137" s="60" t="n"/>
      <c r="J137" s="183" t="n">
        <v>45740</v>
      </c>
      <c r="L137" s="114" t="n"/>
      <c r="M137" s="114" t="n"/>
    </row>
    <row r="138" ht="16" customHeight="1" s="170">
      <c r="B138" s="65" t="inlineStr">
        <is>
          <t>clr_asset_others_equipment</t>
        </is>
      </c>
      <c r="C138" s="111" t="inlineStr">
        <is>
          <t>MILEAGE</t>
        </is>
      </c>
      <c r="D138" s="60" t="inlineStr">
        <is>
          <t>decimal(24,6)</t>
        </is>
      </c>
      <c r="E138" s="65" t="inlineStr">
        <is>
          <t>YES</t>
        </is>
      </c>
      <c r="F138" s="99" t="inlineStr">
        <is>
          <t>已行驶里程数</t>
        </is>
      </c>
      <c r="G138" s="60" t="n"/>
      <c r="H138" s="60" t="n"/>
      <c r="I138" s="60" t="n"/>
      <c r="J138" s="183" t="n">
        <v>45740</v>
      </c>
      <c r="L138" s="114" t="n"/>
      <c r="M138" s="114" t="n"/>
    </row>
    <row r="139" ht="16" customHeight="1" s="170">
      <c r="B139" s="65" t="inlineStr">
        <is>
          <t>clr_asset_others_equipment</t>
        </is>
      </c>
      <c r="C139" s="111" t="inlineStr">
        <is>
          <t>RIGHTHOLDER</t>
        </is>
      </c>
      <c r="D139" s="60" t="inlineStr">
        <is>
          <t>varchar(80)</t>
        </is>
      </c>
      <c r="E139" s="65" t="inlineStr">
        <is>
          <t>YES</t>
        </is>
      </c>
      <c r="F139" s="99" t="inlineStr">
        <is>
          <t>权利人</t>
        </is>
      </c>
      <c r="G139" s="60" t="n"/>
      <c r="H139" s="60" t="n"/>
      <c r="I139" s="60" t="n"/>
      <c r="J139" s="183" t="n">
        <v>45740</v>
      </c>
      <c r="L139" s="114" t="n"/>
      <c r="M139" s="114" t="n"/>
    </row>
    <row r="140">
      <c r="L140" s="114" t="n"/>
      <c r="M140" s="114" t="n"/>
    </row>
    <row r="141" ht="15.6" customHeight="1" s="170">
      <c r="L141" s="115" t="n"/>
    </row>
    <row r="142" ht="15.6" customHeight="1" s="170">
      <c r="L142" s="115" t="n"/>
    </row>
    <row r="143" ht="15.6" customHeight="1" s="170">
      <c r="L143" s="115" t="n"/>
    </row>
    <row r="144" ht="15.6" customHeight="1" s="170">
      <c r="L144" s="115" t="n"/>
    </row>
  </sheetData>
  <hyperlinks>
    <hyperlink ref="K110" location="新增字段查找!A1" display="LINE"/>
  </hyperlinks>
  <pageMargins left="0.75" right="0.75" top="1" bottom="1" header="0.5" footer="0.5"/>
  <pageSetup orientation="portrait" paperSize="1" horizontalDpi="300" verticalDpi="300"/>
</worksheet>
</file>

<file path=xl/worksheets/sheet69.xml><?xml version="1.0" encoding="utf-8"?>
<worksheet xmlns="http://schemas.openxmlformats.org/spreadsheetml/2006/main">
  <sheetPr>
    <outlinePr summaryBelow="1" summaryRight="1"/>
    <pageSetUpPr/>
  </sheetPr>
  <dimension ref="A1:J111"/>
  <sheetViews>
    <sheetView topLeftCell="A92" zoomScaleSheetLayoutView="60" workbookViewId="0">
      <selection activeCell="J98" sqref="J98:J11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实物存货/货权/出口退税账户</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clr_asset_others_inventory</t>
        </is>
      </c>
      <c r="C3" s="24" t="inlineStr">
        <is>
          <t>CLRID</t>
        </is>
      </c>
      <c r="D3" s="24" t="inlineStr">
        <is>
          <t>varchar(32)</t>
        </is>
      </c>
      <c r="E3" s="24" t="inlineStr">
        <is>
          <t>NO</t>
        </is>
      </c>
      <c r="F3" s="24" t="inlineStr">
        <is>
          <t>押品编号</t>
        </is>
      </c>
      <c r="G3" s="24" t="n"/>
      <c r="H3" s="24" t="n"/>
      <c r="I3" s="24" t="inlineStr"/>
      <c r="J3" s="24" t="inlineStr">
        <is>
          <t>2023/01/12</t>
        </is>
      </c>
    </row>
    <row r="4">
      <c r="B4" s="24" t="inlineStr">
        <is>
          <t>clr_asset_others_inventory</t>
        </is>
      </c>
      <c r="C4" s="24" t="inlineStr">
        <is>
          <t>INVENTORYID</t>
        </is>
      </c>
      <c r="D4" s="24" t="inlineStr">
        <is>
          <t>varchar(32)</t>
        </is>
      </c>
      <c r="E4" s="24" t="inlineStr">
        <is>
          <t>YES</t>
        </is>
      </c>
      <c r="F4" s="43" t="inlineStr">
        <is>
          <t>存货编号/存货号</t>
        </is>
      </c>
      <c r="G4" s="24" t="n"/>
      <c r="H4" s="24" t="n"/>
      <c r="I4" s="24" t="inlineStr"/>
      <c r="J4" s="24" t="inlineStr">
        <is>
          <t>2023/01/12</t>
        </is>
      </c>
    </row>
    <row r="5">
      <c r="B5" s="24" t="inlineStr">
        <is>
          <t>clr_asset_others_inventory</t>
        </is>
      </c>
      <c r="C5" s="24" t="inlineStr">
        <is>
          <t>WAREHOUSERECENO</t>
        </is>
      </c>
      <c r="D5" s="24" t="inlineStr">
        <is>
          <t>varchar(32)</t>
        </is>
      </c>
      <c r="E5" s="24" t="inlineStr">
        <is>
          <t>YES</t>
        </is>
      </c>
      <c r="F5" s="43" t="inlineStr">
        <is>
          <t>仓单号/提单号</t>
        </is>
      </c>
      <c r="G5" s="24" t="n"/>
      <c r="H5" s="24" t="n"/>
      <c r="I5" s="24" t="inlineStr"/>
      <c r="J5" s="24" t="inlineStr">
        <is>
          <t>2023/01/12</t>
        </is>
      </c>
    </row>
    <row r="6">
      <c r="B6" s="24" t="inlineStr">
        <is>
          <t>clr_asset_others_inventory</t>
        </is>
      </c>
      <c r="C6" s="24" t="inlineStr">
        <is>
          <t>REGNUMBER</t>
        </is>
      </c>
      <c r="D6" s="24" t="inlineStr">
        <is>
          <t>varchar(32)</t>
        </is>
      </c>
      <c r="E6" s="24" t="inlineStr">
        <is>
          <t>YES</t>
        </is>
      </c>
      <c r="F6" s="43" t="inlineStr">
        <is>
          <t>出口退税登记号码</t>
        </is>
      </c>
      <c r="G6" s="24" t="n"/>
      <c r="H6" s="24" t="n"/>
      <c r="I6" s="24" t="inlineStr"/>
      <c r="J6" s="24" t="inlineStr">
        <is>
          <t>2023/01/12</t>
        </is>
      </c>
    </row>
    <row r="7">
      <c r="B7" s="24" t="inlineStr">
        <is>
          <t>clr_asset_others_inventory</t>
        </is>
      </c>
      <c r="C7" s="24" t="inlineStr">
        <is>
          <t>ACCOUNTNAME</t>
        </is>
      </c>
      <c r="D7" s="24" t="inlineStr">
        <is>
          <t>varchar(80)</t>
        </is>
      </c>
      <c r="E7" s="24" t="inlineStr">
        <is>
          <t>YES</t>
        </is>
      </c>
      <c r="F7" s="43" t="inlineStr">
        <is>
          <t>出口退税账户户名</t>
        </is>
      </c>
      <c r="G7" s="24" t="n"/>
      <c r="H7" s="24" t="n"/>
      <c r="I7" s="24" t="inlineStr"/>
      <c r="J7" s="24" t="inlineStr">
        <is>
          <t>2023/01/12</t>
        </is>
      </c>
    </row>
    <row r="8">
      <c r="B8" s="24" t="inlineStr">
        <is>
          <t>clr_asset_others_inventory</t>
        </is>
      </c>
      <c r="C8" s="24" t="inlineStr">
        <is>
          <t>ACCOUNTBANKNO</t>
        </is>
      </c>
      <c r="D8" s="24" t="inlineStr">
        <is>
          <t>varchar(80)</t>
        </is>
      </c>
      <c r="E8" s="24" t="inlineStr">
        <is>
          <t>YES</t>
        </is>
      </c>
      <c r="F8" s="24" t="inlineStr">
        <is>
          <t>出口退税账户开户行</t>
        </is>
      </c>
      <c r="G8" s="24" t="n"/>
      <c r="H8" s="24" t="n"/>
      <c r="I8" s="24" t="inlineStr"/>
      <c r="J8" s="24" t="inlineStr">
        <is>
          <t>2023/01/12</t>
        </is>
      </c>
    </row>
    <row r="9">
      <c r="B9" s="24" t="inlineStr">
        <is>
          <t>clr_asset_others_inventory</t>
        </is>
      </c>
      <c r="C9" s="24" t="inlineStr">
        <is>
          <t>TRANSPORTCONTRACTNO</t>
        </is>
      </c>
      <c r="D9" s="24" t="inlineStr">
        <is>
          <t>varchar(32)</t>
        </is>
      </c>
      <c r="E9" s="24" t="inlineStr">
        <is>
          <t>YES</t>
        </is>
      </c>
      <c r="F9" s="24" t="inlineStr">
        <is>
          <t>运输合同号码</t>
        </is>
      </c>
      <c r="G9" s="24" t="n"/>
      <c r="H9" s="24" t="n"/>
      <c r="I9" s="24" t="inlineStr"/>
      <c r="J9" s="24" t="inlineStr">
        <is>
          <t>2023/01/12</t>
        </is>
      </c>
    </row>
    <row r="10">
      <c r="B10" s="24" t="inlineStr">
        <is>
          <t>clr_asset_others_inventory</t>
        </is>
      </c>
      <c r="C10" s="24" t="inlineStr">
        <is>
          <t>TRANSPORTCONTRACTNAME</t>
        </is>
      </c>
      <c r="D10" s="24" t="inlineStr">
        <is>
          <t>varchar(80)</t>
        </is>
      </c>
      <c r="E10" s="24" t="inlineStr">
        <is>
          <t>YES</t>
        </is>
      </c>
      <c r="F10" s="24" t="inlineStr">
        <is>
          <t>运输合同名称</t>
        </is>
      </c>
      <c r="G10" s="24" t="n"/>
      <c r="H10" s="24" t="n"/>
      <c r="I10" s="24" t="inlineStr"/>
      <c r="J10" s="24" t="inlineStr">
        <is>
          <t>2023/01/12</t>
        </is>
      </c>
    </row>
    <row r="11">
      <c r="B11" s="24" t="inlineStr">
        <is>
          <t>clr_asset_others_inventory</t>
        </is>
      </c>
      <c r="C11" s="24" t="inlineStr">
        <is>
          <t>CARRIER</t>
        </is>
      </c>
      <c r="D11" s="24" t="inlineStr">
        <is>
          <t>varchar(80)</t>
        </is>
      </c>
      <c r="E11" s="24" t="inlineStr">
        <is>
          <t>YES</t>
        </is>
      </c>
      <c r="F11" s="24" t="inlineStr">
        <is>
          <t>承运人</t>
        </is>
      </c>
      <c r="G11" s="24" t="n"/>
      <c r="H11" s="24" t="n"/>
      <c r="I11" s="24" t="inlineStr"/>
      <c r="J11" s="24" t="inlineStr">
        <is>
          <t>2023/01/12</t>
        </is>
      </c>
    </row>
    <row r="12">
      <c r="B12" s="24" t="inlineStr">
        <is>
          <t>clr_asset_others_inventory</t>
        </is>
      </c>
      <c r="C12" s="24" t="inlineStr">
        <is>
          <t>CONSIGNOR</t>
        </is>
      </c>
      <c r="D12" s="24" t="inlineStr">
        <is>
          <t>varchar(80)</t>
        </is>
      </c>
      <c r="E12" s="24" t="inlineStr">
        <is>
          <t>YES</t>
        </is>
      </c>
      <c r="F12" s="24" t="inlineStr">
        <is>
          <t>托运人</t>
        </is>
      </c>
      <c r="G12" s="24" t="n"/>
      <c r="H12" s="24" t="n"/>
      <c r="I12" s="24" t="inlineStr"/>
      <c r="J12" s="24" t="inlineStr">
        <is>
          <t>2023/01/12</t>
        </is>
      </c>
    </row>
    <row r="13">
      <c r="B13" s="24" t="inlineStr">
        <is>
          <t>clr_asset_others_inventory</t>
        </is>
      </c>
      <c r="C13" s="24" t="inlineStr">
        <is>
          <t>CONSIGNEE</t>
        </is>
      </c>
      <c r="D13" s="24" t="inlineStr">
        <is>
          <t>varchar(80)</t>
        </is>
      </c>
      <c r="E13" s="24" t="inlineStr">
        <is>
          <t>YES</t>
        </is>
      </c>
      <c r="F13" s="24" t="inlineStr">
        <is>
          <t>收货人</t>
        </is>
      </c>
      <c r="G13" s="24" t="n"/>
      <c r="H13" s="24" t="n"/>
      <c r="I13" s="24" t="inlineStr"/>
      <c r="J13" s="24" t="inlineStr">
        <is>
          <t>2023/01/12</t>
        </is>
      </c>
    </row>
    <row r="14">
      <c r="B14" s="24" t="inlineStr">
        <is>
          <t>clr_asset_others_inventory</t>
        </is>
      </c>
      <c r="C14" s="24" t="inlineStr">
        <is>
          <t>RECIVEPLACE</t>
        </is>
      </c>
      <c r="D14" s="24" t="inlineStr">
        <is>
          <t>varchar(500)</t>
        </is>
      </c>
      <c r="E14" s="24" t="inlineStr">
        <is>
          <t>YES</t>
        </is>
      </c>
      <c r="F14" s="24" t="inlineStr">
        <is>
          <t>接货地</t>
        </is>
      </c>
      <c r="G14" s="24" t="n"/>
      <c r="H14" s="24" t="n"/>
      <c r="I14" s="24" t="inlineStr"/>
      <c r="J14" s="24" t="inlineStr">
        <is>
          <t>2023/01/12</t>
        </is>
      </c>
    </row>
    <row r="15">
      <c r="B15" s="24" t="inlineStr">
        <is>
          <t>clr_asset_others_inventory</t>
        </is>
      </c>
      <c r="C15" s="24" t="inlineStr">
        <is>
          <t>GETPLACE</t>
        </is>
      </c>
      <c r="D15" s="24" t="inlineStr">
        <is>
          <t>varchar(500)</t>
        </is>
      </c>
      <c r="E15" s="24" t="inlineStr">
        <is>
          <t>YES</t>
        </is>
      </c>
      <c r="F15" s="24" t="inlineStr">
        <is>
          <t>卸货地</t>
        </is>
      </c>
      <c r="G15" s="24" t="n"/>
      <c r="H15" s="24" t="n"/>
      <c r="I15" s="24" t="inlineStr"/>
      <c r="J15" s="24" t="inlineStr">
        <is>
          <t>2023/01/12</t>
        </is>
      </c>
    </row>
    <row r="16">
      <c r="B16" s="24" t="inlineStr">
        <is>
          <t>clr_asset_others_inventory</t>
        </is>
      </c>
      <c r="C16" s="24" t="inlineStr">
        <is>
          <t>LOADOFPLACE</t>
        </is>
      </c>
      <c r="D16" s="24" t="inlineStr">
        <is>
          <t>varchar(500)</t>
        </is>
      </c>
      <c r="E16" s="24" t="inlineStr">
        <is>
          <t>YES</t>
        </is>
      </c>
      <c r="F16" s="24" t="inlineStr">
        <is>
          <t>装货地</t>
        </is>
      </c>
      <c r="G16" s="24" t="n"/>
      <c r="H16" s="24" t="n"/>
      <c r="I16" s="24" t="inlineStr"/>
      <c r="J16" s="24" t="inlineStr">
        <is>
          <t>2023/01/12</t>
        </is>
      </c>
    </row>
    <row r="17">
      <c r="B17" s="24" t="inlineStr">
        <is>
          <t>clr_asset_others_inventory</t>
        </is>
      </c>
      <c r="C17" s="24" t="inlineStr">
        <is>
          <t>NOTIFY</t>
        </is>
      </c>
      <c r="D17" s="24" t="inlineStr">
        <is>
          <t>varchar(500)</t>
        </is>
      </c>
      <c r="E17" s="24" t="inlineStr">
        <is>
          <t>YES</t>
        </is>
      </c>
      <c r="F17" s="24" t="inlineStr">
        <is>
          <t>通知方</t>
        </is>
      </c>
      <c r="G17" s="24" t="n"/>
      <c r="H17" s="24" t="n"/>
      <c r="I17" s="24" t="inlineStr"/>
      <c r="J17" s="24" t="inlineStr">
        <is>
          <t>2023/01/12</t>
        </is>
      </c>
    </row>
    <row r="18">
      <c r="B18" s="24" t="inlineStr">
        <is>
          <t>clr_asset_others_inventory</t>
        </is>
      </c>
      <c r="C18" s="24" t="inlineStr">
        <is>
          <t>ROUGHWEIGHT</t>
        </is>
      </c>
      <c r="D18" s="24" t="inlineStr">
        <is>
          <t>decimal(18,2)</t>
        </is>
      </c>
      <c r="E18" s="24" t="inlineStr">
        <is>
          <t>YES</t>
        </is>
      </c>
      <c r="F18" s="24" t="inlineStr">
        <is>
          <t>毛重</t>
        </is>
      </c>
      <c r="G18" s="24" t="n"/>
      <c r="H18" s="24" t="n"/>
      <c r="I18" s="24" t="inlineStr"/>
      <c r="J18" s="24" t="inlineStr">
        <is>
          <t>2023/01/12</t>
        </is>
      </c>
    </row>
    <row r="19">
      <c r="B19" s="24" t="inlineStr">
        <is>
          <t>clr_asset_others_inventory</t>
        </is>
      </c>
      <c r="C19" s="24" t="inlineStr">
        <is>
          <t>INVENTORYSIZE</t>
        </is>
      </c>
      <c r="D19" s="24" t="inlineStr">
        <is>
          <t>decimal(18,2)</t>
        </is>
      </c>
      <c r="E19" s="24" t="inlineStr">
        <is>
          <t>YES</t>
        </is>
      </c>
      <c r="F19" s="24" t="inlineStr">
        <is>
          <t>尺码</t>
        </is>
      </c>
      <c r="G19" s="24" t="n"/>
      <c r="H19" s="24" t="n"/>
      <c r="I19" s="24" t="inlineStr"/>
      <c r="J19" s="24" t="inlineStr">
        <is>
          <t>2023/01/12</t>
        </is>
      </c>
    </row>
    <row r="20">
      <c r="B20" s="24" t="inlineStr">
        <is>
          <t>clr_asset_others_inventory</t>
        </is>
      </c>
      <c r="C20" s="24" t="inlineStr">
        <is>
          <t>SUBPLACE</t>
        </is>
      </c>
      <c r="D20" s="24" t="inlineStr">
        <is>
          <t>varchar(500)</t>
        </is>
      </c>
      <c r="E20" s="24" t="inlineStr">
        <is>
          <t>YES</t>
        </is>
      </c>
      <c r="F20" s="24" t="inlineStr">
        <is>
          <t>交货地</t>
        </is>
      </c>
      <c r="G20" s="24" t="n"/>
      <c r="H20" s="24" t="n"/>
      <c r="I20" s="24" t="inlineStr"/>
      <c r="J20" s="24" t="inlineStr">
        <is>
          <t>2023/01/12</t>
        </is>
      </c>
    </row>
    <row r="21">
      <c r="B21" s="24" t="inlineStr">
        <is>
          <t>clr_asset_others_inventory</t>
        </is>
      </c>
      <c r="C21" s="24" t="inlineStr">
        <is>
          <t>CARGOTYPE</t>
        </is>
      </c>
      <c r="D21" s="24" t="inlineStr">
        <is>
          <t>varchar(6)</t>
        </is>
      </c>
      <c r="E21" s="24" t="inlineStr">
        <is>
          <t>YES</t>
        </is>
      </c>
      <c r="F21" s="24" t="inlineStr">
        <is>
          <t>货物类型</t>
        </is>
      </c>
      <c r="G21" s="52">
        <f>HYPERLINK("#码值映射清单!B2740","CargoType")</f>
        <v/>
      </c>
      <c r="H21" s="24" t="n"/>
      <c r="I21" s="24" t="inlineStr"/>
      <c r="J21" s="24" t="inlineStr">
        <is>
          <t>2023/01/12</t>
        </is>
      </c>
    </row>
    <row r="22">
      <c r="B22" s="24" t="inlineStr">
        <is>
          <t>clr_asset_others_inventory</t>
        </is>
      </c>
      <c r="C22" s="24" t="inlineStr">
        <is>
          <t>CARGONAME</t>
        </is>
      </c>
      <c r="D22" s="24" t="inlineStr">
        <is>
          <t>varchar(80)</t>
        </is>
      </c>
      <c r="E22" s="24" t="inlineStr">
        <is>
          <t>YES</t>
        </is>
      </c>
      <c r="F22" s="24" t="inlineStr">
        <is>
          <t>货物名称</t>
        </is>
      </c>
      <c r="G22" s="24" t="n"/>
      <c r="H22" s="24" t="n"/>
      <c r="I22" s="24" t="inlineStr"/>
      <c r="J22" s="24" t="inlineStr">
        <is>
          <t>2023/01/12</t>
        </is>
      </c>
    </row>
    <row r="23">
      <c r="B23" s="24" t="inlineStr">
        <is>
          <t>clr_asset_others_inventory</t>
        </is>
      </c>
      <c r="C23" s="24" t="inlineStr">
        <is>
          <t>CARGOQUANTITY</t>
        </is>
      </c>
      <c r="D23" s="24" t="inlineStr">
        <is>
          <t>decimal(18,2)</t>
        </is>
      </c>
      <c r="E23" s="24" t="inlineStr">
        <is>
          <t>YES</t>
        </is>
      </c>
      <c r="F23" s="43" t="inlineStr">
        <is>
          <t>货物数量;或重量）/毛重/数量</t>
        </is>
      </c>
      <c r="G23" s="24" t="n"/>
      <c r="H23" s="24" t="n"/>
      <c r="I23" s="24" t="inlineStr"/>
      <c r="J23" s="24" t="inlineStr">
        <is>
          <t>2023/01/12</t>
        </is>
      </c>
    </row>
    <row r="24">
      <c r="B24" s="24" t="inlineStr">
        <is>
          <t>clr_asset_others_inventory</t>
        </is>
      </c>
      <c r="C24" s="24" t="inlineStr">
        <is>
          <t>MEASUREUNIT</t>
        </is>
      </c>
      <c r="D24" s="24" t="inlineStr">
        <is>
          <t>varchar(18)</t>
        </is>
      </c>
      <c r="E24" s="24" t="inlineStr">
        <is>
          <t>YES</t>
        </is>
      </c>
      <c r="F24" s="24" t="inlineStr">
        <is>
          <t>货物计量单位</t>
        </is>
      </c>
      <c r="G24" s="24" t="n"/>
      <c r="H24" s="24" t="n"/>
      <c r="I24" s="24" t="inlineStr"/>
      <c r="J24" s="24" t="inlineStr">
        <is>
          <t>2023/01/12</t>
        </is>
      </c>
    </row>
    <row r="25">
      <c r="B25" s="24" t="inlineStr">
        <is>
          <t>clr_asset_others_inventory</t>
        </is>
      </c>
      <c r="C25" s="24" t="inlineStr">
        <is>
          <t>SPECIFICATION</t>
        </is>
      </c>
      <c r="D25" s="24" t="inlineStr">
        <is>
          <t>varchar(500)</t>
        </is>
      </c>
      <c r="E25" s="24" t="inlineStr">
        <is>
          <t>YES</t>
        </is>
      </c>
      <c r="F25" s="24" t="inlineStr">
        <is>
          <t>规格</t>
        </is>
      </c>
      <c r="G25" s="24" t="n"/>
      <c r="H25" s="24" t="n"/>
      <c r="I25" s="24" t="inlineStr"/>
      <c r="J25" s="24" t="inlineStr">
        <is>
          <t>2023/01/12</t>
        </is>
      </c>
    </row>
    <row r="26">
      <c r="B26" s="24" t="inlineStr">
        <is>
          <t>clr_asset_others_inventory</t>
        </is>
      </c>
      <c r="C26" s="24" t="inlineStr">
        <is>
          <t>ORIGIN</t>
        </is>
      </c>
      <c r="D26" s="24" t="inlineStr">
        <is>
          <t>varchar(80)</t>
        </is>
      </c>
      <c r="E26" s="24" t="inlineStr">
        <is>
          <t>YES</t>
        </is>
      </c>
      <c r="F26" s="24" t="inlineStr">
        <is>
          <t>产地</t>
        </is>
      </c>
      <c r="G26" s="24" t="n"/>
      <c r="H26" s="24" t="n"/>
      <c r="I26" s="24" t="inlineStr"/>
      <c r="J26" s="24" t="inlineStr">
        <is>
          <t>2023/01/12</t>
        </is>
      </c>
    </row>
    <row r="27">
      <c r="B27" s="24" t="inlineStr">
        <is>
          <t>clr_asset_others_inventory</t>
        </is>
      </c>
      <c r="C27" s="24" t="inlineStr">
        <is>
          <t>UNITPRICE</t>
        </is>
      </c>
      <c r="D27" s="24" t="inlineStr">
        <is>
          <t>decimal(24,6)</t>
        </is>
      </c>
      <c r="E27" s="24" t="inlineStr">
        <is>
          <t>YES</t>
        </is>
      </c>
      <c r="F27" s="24" t="inlineStr">
        <is>
          <t>单价</t>
        </is>
      </c>
      <c r="G27" s="24" t="n"/>
      <c r="H27" s="24" t="n"/>
      <c r="I27" s="24" t="inlineStr"/>
      <c r="J27" s="24" t="inlineStr">
        <is>
          <t>2023/01/12</t>
        </is>
      </c>
    </row>
    <row r="28">
      <c r="B28" s="24" t="inlineStr">
        <is>
          <t>clr_asset_others_inventory</t>
        </is>
      </c>
      <c r="C28" s="24" t="inlineStr">
        <is>
          <t>STORAGECOMPANYNAME</t>
        </is>
      </c>
      <c r="D28" s="24" t="inlineStr">
        <is>
          <t>varchar(80)</t>
        </is>
      </c>
      <c r="E28" s="24" t="inlineStr">
        <is>
          <t>YES</t>
        </is>
      </c>
      <c r="F28" s="24" t="inlineStr">
        <is>
          <t>仓储公司名称</t>
        </is>
      </c>
      <c r="G28" s="24" t="n"/>
      <c r="H28" s="24" t="n"/>
      <c r="I28" s="24" t="inlineStr"/>
      <c r="J28" s="24" t="inlineStr">
        <is>
          <t>2023/01/12</t>
        </is>
      </c>
    </row>
    <row r="29">
      <c r="B29" s="24" t="inlineStr">
        <is>
          <t>clr_asset_others_inventory</t>
        </is>
      </c>
      <c r="C29" s="24" t="inlineStr">
        <is>
          <t>STORAGESTARTDATE</t>
        </is>
      </c>
      <c r="D29" s="24" t="inlineStr">
        <is>
          <t>datetime</t>
        </is>
      </c>
      <c r="E29" s="24" t="inlineStr">
        <is>
          <t>YES</t>
        </is>
      </c>
      <c r="F29" s="24" t="inlineStr">
        <is>
          <t>存放起始日期/存储起始日</t>
        </is>
      </c>
      <c r="G29" s="24" t="n"/>
      <c r="H29" s="24" t="n"/>
      <c r="I29" s="24" t="inlineStr"/>
      <c r="J29" s="24" t="inlineStr">
        <is>
          <t>2023/01/12</t>
        </is>
      </c>
    </row>
    <row r="30">
      <c r="B30" s="24" t="inlineStr">
        <is>
          <t>clr_asset_others_inventory</t>
        </is>
      </c>
      <c r="C30" s="24" t="inlineStr">
        <is>
          <t>STORAGEDUEDATE</t>
        </is>
      </c>
      <c r="D30" s="24" t="inlineStr">
        <is>
          <t>datetime</t>
        </is>
      </c>
      <c r="E30" s="24" t="inlineStr">
        <is>
          <t>YES</t>
        </is>
      </c>
      <c r="F30" s="43" t="inlineStr">
        <is>
          <t>存储到期日/提单到期日期</t>
        </is>
      </c>
      <c r="G30" s="24" t="n"/>
      <c r="H30" s="24" t="n"/>
      <c r="I30" s="24" t="inlineStr"/>
      <c r="J30" s="24" t="inlineStr">
        <is>
          <t>2023/01/12</t>
        </is>
      </c>
    </row>
    <row r="31">
      <c r="B31" s="24" t="inlineStr">
        <is>
          <t>clr_asset_others_inventory</t>
        </is>
      </c>
      <c r="C31" s="24" t="inlineStr">
        <is>
          <t>INSURANCE</t>
        </is>
      </c>
      <c r="D31" s="24" t="inlineStr">
        <is>
          <t>varchar(500)</t>
        </is>
      </c>
      <c r="E31" s="24" t="inlineStr">
        <is>
          <t>YES</t>
        </is>
      </c>
      <c r="F31" s="24" t="inlineStr">
        <is>
          <t>保险情况</t>
        </is>
      </c>
      <c r="G31" s="24" t="n"/>
      <c r="H31" s="24" t="n"/>
      <c r="I31" s="24" t="inlineStr"/>
      <c r="J31" s="24" t="inlineStr">
        <is>
          <t>2023/01/12</t>
        </is>
      </c>
    </row>
    <row r="32">
      <c r="B32" s="24" t="inlineStr">
        <is>
          <t>clr_asset_others_inventory</t>
        </is>
      </c>
      <c r="C32" s="24" t="inlineStr">
        <is>
          <t>CURRMARKETPRICE</t>
        </is>
      </c>
      <c r="D32" s="24" t="inlineStr">
        <is>
          <t>decimal(24,6)</t>
        </is>
      </c>
      <c r="E32" s="24" t="inlineStr">
        <is>
          <t>YES</t>
        </is>
      </c>
      <c r="F32" s="24" t="inlineStr">
        <is>
          <t>当前市场价格</t>
        </is>
      </c>
      <c r="G32" s="24" t="n"/>
      <c r="H32" s="24" t="n"/>
      <c r="I32" s="24" t="inlineStr"/>
      <c r="J32" s="24" t="inlineStr">
        <is>
          <t>2023/01/12</t>
        </is>
      </c>
    </row>
    <row r="33">
      <c r="B33" s="24" t="inlineStr">
        <is>
          <t>clr_asset_others_inventory</t>
        </is>
      </c>
      <c r="C33" s="24" t="inlineStr">
        <is>
          <t>STORINGADDRESS</t>
        </is>
      </c>
      <c r="D33" s="24" t="inlineStr">
        <is>
          <t>varchar(80)</t>
        </is>
      </c>
      <c r="E33" s="24" t="inlineStr">
        <is>
          <t>YES</t>
        </is>
      </c>
      <c r="F33" s="24" t="inlineStr">
        <is>
          <t>货物存放地</t>
        </is>
      </c>
      <c r="G33" s="24" t="n"/>
      <c r="H33" s="24" t="n"/>
      <c r="I33" s="24" t="inlineStr"/>
      <c r="J33" s="24" t="inlineStr">
        <is>
          <t>2023/01/12</t>
        </is>
      </c>
    </row>
    <row r="34">
      <c r="B34" s="24" t="inlineStr">
        <is>
          <t>clr_asset_others_inventory</t>
        </is>
      </c>
      <c r="C34" s="24" t="inlineStr">
        <is>
          <t>PURCHASEPRICE</t>
        </is>
      </c>
      <c r="D34" s="24" t="inlineStr">
        <is>
          <t>decimal(24,6)</t>
        </is>
      </c>
      <c r="E34" s="24" t="inlineStr">
        <is>
          <t>YES</t>
        </is>
      </c>
      <c r="F34" s="24" t="inlineStr">
        <is>
          <t>购入单价</t>
        </is>
      </c>
      <c r="G34" s="24" t="n"/>
      <c r="H34" s="24" t="n"/>
      <c r="I34" s="24" t="inlineStr"/>
      <c r="J34" s="24" t="inlineStr">
        <is>
          <t>2023/01/12</t>
        </is>
      </c>
    </row>
    <row r="35">
      <c r="B35" s="24" t="inlineStr">
        <is>
          <t>clr_asset_others_inventory</t>
        </is>
      </c>
      <c r="C35" s="24" t="inlineStr">
        <is>
          <t>LEGALITY</t>
        </is>
      </c>
      <c r="D35" s="24" t="inlineStr">
        <is>
          <t>varchar(500)</t>
        </is>
      </c>
      <c r="E35" s="24" t="inlineStr">
        <is>
          <t>YES</t>
        </is>
      </c>
      <c r="F35" s="24" t="inlineStr">
        <is>
          <t>未来货权合法性情况</t>
        </is>
      </c>
      <c r="G35" s="24" t="n"/>
      <c r="H35" s="24" t="n"/>
      <c r="I35" s="24" t="inlineStr"/>
      <c r="J35" s="24" t="inlineStr">
        <is>
          <t>2023/01/12</t>
        </is>
      </c>
    </row>
    <row r="36">
      <c r="B36" s="24" t="inlineStr">
        <is>
          <t>clr_asset_others_inventory</t>
        </is>
      </c>
      <c r="C36" s="24" t="inlineStr">
        <is>
          <t>WRDUEDATE</t>
        </is>
      </c>
      <c r="D36" s="24" t="inlineStr">
        <is>
          <t>datetime</t>
        </is>
      </c>
      <c r="E36" s="24" t="inlineStr">
        <is>
          <t>YES</t>
        </is>
      </c>
      <c r="F36" s="24" t="inlineStr">
        <is>
          <t>仓单到期日</t>
        </is>
      </c>
      <c r="G36" s="24" t="n"/>
      <c r="H36" s="24" t="n"/>
      <c r="I36" s="24" t="inlineStr"/>
      <c r="J36" s="24" t="inlineStr">
        <is>
          <t>2023/01/12</t>
        </is>
      </c>
    </row>
    <row r="37">
      <c r="B37" s="24" t="inlineStr">
        <is>
          <t>clr_asset_others_inventory</t>
        </is>
      </c>
      <c r="C37" s="24" t="inlineStr">
        <is>
          <t>MARKETPRICETIME</t>
        </is>
      </c>
      <c r="D37" s="24" t="inlineStr">
        <is>
          <t>decimal(24,6)</t>
        </is>
      </c>
      <c r="E37" s="24" t="inlineStr">
        <is>
          <t>YES</t>
        </is>
      </c>
      <c r="F37" s="24" t="inlineStr">
        <is>
          <t>市场价格采用时间</t>
        </is>
      </c>
      <c r="G37" s="24" t="n"/>
      <c r="H37" s="24" t="n"/>
      <c r="I37" s="24" t="inlineStr"/>
      <c r="J37" s="24" t="inlineStr">
        <is>
          <t>2023/01/12</t>
        </is>
      </c>
    </row>
    <row r="38">
      <c r="B38" s="24" t="inlineStr">
        <is>
          <t>clr_asset_others_inventory</t>
        </is>
      </c>
      <c r="C38" s="24" t="inlineStr">
        <is>
          <t>PRICEINFOSOURCE</t>
        </is>
      </c>
      <c r="D38" s="24" t="inlineStr">
        <is>
          <t>varchar(500)</t>
        </is>
      </c>
      <c r="E38" s="24" t="inlineStr">
        <is>
          <t>YES</t>
        </is>
      </c>
      <c r="F38" s="24" t="inlineStr">
        <is>
          <t>采用价格信息来源</t>
        </is>
      </c>
      <c r="G38" s="24" t="n"/>
      <c r="H38" s="24" t="n"/>
      <c r="I38" s="24" t="inlineStr"/>
      <c r="J38" s="24" t="inlineStr">
        <is>
          <t>2023/01/12</t>
        </is>
      </c>
    </row>
    <row r="39">
      <c r="B39" s="24" t="inlineStr">
        <is>
          <t>clr_asset_others_inventory</t>
        </is>
      </c>
      <c r="C39" s="24" t="inlineStr">
        <is>
          <t>TITLETYPE</t>
        </is>
      </c>
      <c r="D39" s="24" t="inlineStr">
        <is>
          <t>varchar(18)</t>
        </is>
      </c>
      <c r="E39" s="24" t="inlineStr">
        <is>
          <t>YES</t>
        </is>
      </c>
      <c r="F39" s="24" t="inlineStr">
        <is>
          <t>埃森哲数据标准中的“押品类型”:01;标准仓单
02 非标准仓单
03 提单
04 其他
在浦发管理办法中通过押品类型区分</t>
        </is>
      </c>
      <c r="G39" s="24" t="n"/>
      <c r="H39" s="24" t="n"/>
      <c r="I39" s="24" t="inlineStr"/>
      <c r="J39" s="24" t="inlineStr">
        <is>
          <t>2023/01/12</t>
        </is>
      </c>
    </row>
    <row r="40">
      <c r="B40" s="24" t="inlineStr">
        <is>
          <t>clr_asset_others_inventory</t>
        </is>
      </c>
      <c r="C40" s="24" t="inlineStr">
        <is>
          <t>TITLENO</t>
        </is>
      </c>
      <c r="D40" s="24" t="inlineStr">
        <is>
          <t>varchar(32)</t>
        </is>
      </c>
      <c r="E40" s="24" t="inlineStr">
        <is>
          <t>YES</t>
        </is>
      </c>
      <c r="F40" s="24" t="inlineStr">
        <is>
          <t>入库验收报告单号/提单号</t>
        </is>
      </c>
      <c r="G40" s="24" t="n"/>
      <c r="H40" s="24" t="n"/>
      <c r="I40" s="24" t="inlineStr"/>
      <c r="J40" s="24" t="inlineStr">
        <is>
          <t>2023/01/12</t>
        </is>
      </c>
    </row>
    <row r="41">
      <c r="B41" s="24" t="inlineStr">
        <is>
          <t>clr_asset_others_inventory</t>
        </is>
      </c>
      <c r="C41" s="24" t="inlineStr">
        <is>
          <t>MEMBERID</t>
        </is>
      </c>
      <c r="D41" s="24" t="inlineStr">
        <is>
          <t>varchar(32)</t>
        </is>
      </c>
      <c r="E41" s="24" t="inlineStr">
        <is>
          <t>YES</t>
        </is>
      </c>
      <c r="F41" s="24" t="inlineStr">
        <is>
          <t>会员号</t>
        </is>
      </c>
      <c r="G41" s="24" t="n"/>
      <c r="H41" s="24" t="n"/>
      <c r="I41" s="24" t="inlineStr"/>
      <c r="J41" s="24" t="inlineStr">
        <is>
          <t>2023/01/12</t>
        </is>
      </c>
    </row>
    <row r="42">
      <c r="B42" s="24" t="inlineStr">
        <is>
          <t>clr_asset_others_inventory</t>
        </is>
      </c>
      <c r="C42" s="24" t="inlineStr">
        <is>
          <t>ISSUER</t>
        </is>
      </c>
      <c r="D42" s="24" t="inlineStr">
        <is>
          <t>varchar(80)</t>
        </is>
      </c>
      <c r="E42" s="24" t="inlineStr">
        <is>
          <t>YES</t>
        </is>
      </c>
      <c r="F42" s="24" t="inlineStr">
        <is>
          <t>填发人/签发人</t>
        </is>
      </c>
      <c r="G42" s="24" t="n"/>
      <c r="H42" s="24" t="n"/>
      <c r="I42" s="24" t="inlineStr"/>
      <c r="J42" s="24" t="inlineStr">
        <is>
          <t>2023/01/12</t>
        </is>
      </c>
    </row>
    <row r="43">
      <c r="B43" s="24" t="inlineStr">
        <is>
          <t>clr_asset_others_inventory</t>
        </is>
      </c>
      <c r="C43" s="24" t="inlineStr">
        <is>
          <t>ISSUEPLACE</t>
        </is>
      </c>
      <c r="D43" s="24" t="inlineStr">
        <is>
          <t>varchar(80)</t>
        </is>
      </c>
      <c r="E43" s="24" t="inlineStr">
        <is>
          <t>YES</t>
        </is>
      </c>
      <c r="F43" s="24" t="inlineStr">
        <is>
          <t>填发地/签发地点</t>
        </is>
      </c>
      <c r="G43" s="24" t="n"/>
      <c r="H43" s="24" t="n"/>
      <c r="I43" s="24" t="inlineStr"/>
      <c r="J43" s="24" t="inlineStr">
        <is>
          <t>2023/01/12</t>
        </is>
      </c>
    </row>
    <row r="44">
      <c r="B44" s="24" t="inlineStr">
        <is>
          <t>clr_asset_others_inventory</t>
        </is>
      </c>
      <c r="C44" s="24" t="inlineStr">
        <is>
          <t>ISSUEDATE</t>
        </is>
      </c>
      <c r="D44" s="24" t="inlineStr">
        <is>
          <t>datetime</t>
        </is>
      </c>
      <c r="E44" s="24" t="inlineStr">
        <is>
          <t>YES</t>
        </is>
      </c>
      <c r="F44" s="24" t="inlineStr">
        <is>
          <t>填发日期/签发日期</t>
        </is>
      </c>
      <c r="G44" s="24" t="n"/>
      <c r="H44" s="24" t="n"/>
      <c r="I44" s="24" t="inlineStr"/>
      <c r="J44" s="24" t="inlineStr">
        <is>
          <t>2023/01/12</t>
        </is>
      </c>
    </row>
    <row r="45">
      <c r="B45" s="24" t="inlineStr">
        <is>
          <t>clr_asset_others_inventory</t>
        </is>
      </c>
      <c r="C45" s="24" t="inlineStr">
        <is>
          <t>WREFFECTIVEDATE</t>
        </is>
      </c>
      <c r="D45" s="24" t="inlineStr">
        <is>
          <t>datetime</t>
        </is>
      </c>
      <c r="E45" s="24" t="inlineStr">
        <is>
          <t>YES</t>
        </is>
      </c>
      <c r="F45" s="24" t="inlineStr">
        <is>
          <t>仓单生效日</t>
        </is>
      </c>
      <c r="G45" s="24" t="n"/>
      <c r="H45" s="24" t="n"/>
      <c r="I45" s="24" t="inlineStr"/>
      <c r="J45" s="24" t="inlineStr">
        <is>
          <t>2023/01/12</t>
        </is>
      </c>
    </row>
    <row r="46">
      <c r="B46" s="24" t="inlineStr">
        <is>
          <t>clr_asset_others_inventory</t>
        </is>
      </c>
      <c r="C46" s="24" t="inlineStr">
        <is>
          <t>COMMODITYFUTURE</t>
        </is>
      </c>
      <c r="D46" s="24" t="inlineStr">
        <is>
          <t>varchar(6)</t>
        </is>
      </c>
      <c r="E46" s="24" t="inlineStr">
        <is>
          <t>YES</t>
        </is>
      </c>
      <c r="F46" s="24" t="inlineStr">
        <is>
          <t>所属商品期货交易所</t>
        </is>
      </c>
      <c r="G46" s="52">
        <f>HYPERLINK("#码值映射清单!B9899","CommodityFuture")</f>
        <v/>
      </c>
      <c r="H46" s="24" t="n"/>
      <c r="I46" s="24" t="inlineStr"/>
      <c r="J46" s="24" t="inlineStr">
        <is>
          <t>2023/01/12</t>
        </is>
      </c>
    </row>
    <row r="47">
      <c r="B47" s="24" t="inlineStr">
        <is>
          <t>clr_asset_others_inventory</t>
        </is>
      </c>
      <c r="C47" s="24" t="inlineStr">
        <is>
          <t>HOLDINGLOT</t>
        </is>
      </c>
      <c r="D47" s="24" t="inlineStr">
        <is>
          <t>varchar(500)</t>
        </is>
      </c>
      <c r="E47" s="24" t="inlineStr">
        <is>
          <t>YES</t>
        </is>
      </c>
      <c r="F47" s="24" t="inlineStr">
        <is>
          <t>持有手数</t>
        </is>
      </c>
      <c r="G47" s="24" t="n"/>
      <c r="H47" s="24" t="n"/>
      <c r="I47" s="24" t="inlineStr"/>
      <c r="J47" s="24" t="inlineStr">
        <is>
          <t>2023/01/12</t>
        </is>
      </c>
    </row>
    <row r="48">
      <c r="B48" s="24" t="inlineStr">
        <is>
          <t>clr_asset_others_inventory</t>
        </is>
      </c>
      <c r="C48" s="24" t="inlineStr">
        <is>
          <t>HOLDINGLOTCOUNT</t>
        </is>
      </c>
      <c r="D48" s="24" t="inlineStr">
        <is>
          <t>int</t>
        </is>
      </c>
      <c r="E48" s="24" t="inlineStr">
        <is>
          <t>YES</t>
        </is>
      </c>
      <c r="F48" s="24" t="inlineStr">
        <is>
          <t>持有手数数量/签发份数</t>
        </is>
      </c>
      <c r="G48" s="24" t="n"/>
      <c r="H48" s="24" t="n"/>
      <c r="I48" s="24" t="inlineStr"/>
      <c r="J48" s="24" t="inlineStr">
        <is>
          <t>2023/01/12</t>
        </is>
      </c>
    </row>
    <row r="49">
      <c r="B49" s="24" t="inlineStr">
        <is>
          <t>clr_asset_others_inventory</t>
        </is>
      </c>
      <c r="C49" s="24" t="inlineStr">
        <is>
          <t>WRAPTYPE</t>
        </is>
      </c>
      <c r="D49" s="24" t="inlineStr">
        <is>
          <t>varchar(500)</t>
        </is>
      </c>
      <c r="E49" s="24" t="inlineStr">
        <is>
          <t>YES</t>
        </is>
      </c>
      <c r="F49" s="24" t="inlineStr">
        <is>
          <t>货物包装种类</t>
        </is>
      </c>
      <c r="G49" s="24" t="n"/>
      <c r="H49" s="24" t="n"/>
      <c r="I49" s="24" t="inlineStr"/>
      <c r="J49" s="24" t="inlineStr">
        <is>
          <t>2023/01/12</t>
        </is>
      </c>
    </row>
    <row r="50">
      <c r="B50" s="24" t="inlineStr">
        <is>
          <t>clr_asset_others_inventory</t>
        </is>
      </c>
      <c r="C50" s="24" t="inlineStr">
        <is>
          <t>FREIGHTPAYTYPE</t>
        </is>
      </c>
      <c r="D50" s="24" t="inlineStr">
        <is>
          <t>varchar(18)</t>
        </is>
      </c>
      <c r="E50" s="24" t="inlineStr">
        <is>
          <t>YES</t>
        </is>
      </c>
      <c r="F50" s="24" t="inlineStr">
        <is>
          <t>运费支付类型</t>
        </is>
      </c>
      <c r="G50" s="52">
        <f>HYPERLINK("#码值映射清单!B1667","CarriagePaymentType")</f>
        <v/>
      </c>
      <c r="H50" s="24" t="n"/>
      <c r="I50" s="24" t="inlineStr"/>
      <c r="J50" s="24" t="inlineStr">
        <is>
          <t>2023/01/12</t>
        </is>
      </c>
    </row>
    <row r="51">
      <c r="B51" s="24" t="inlineStr">
        <is>
          <t>clr_asset_others_inventory</t>
        </is>
      </c>
      <c r="C51" s="24" t="inlineStr">
        <is>
          <t>FREIGHTSUM</t>
        </is>
      </c>
      <c r="D51" s="24" t="inlineStr">
        <is>
          <t>decimal(24,6)</t>
        </is>
      </c>
      <c r="E51" s="24" t="inlineStr">
        <is>
          <t>YES</t>
        </is>
      </c>
      <c r="F51" s="24" t="inlineStr">
        <is>
          <t>运费金额</t>
        </is>
      </c>
      <c r="G51" s="24" t="n"/>
      <c r="H51" s="24" t="n"/>
      <c r="I51" s="24" t="inlineStr"/>
      <c r="J51" s="24" t="inlineStr">
        <is>
          <t>2023/01/12</t>
        </is>
      </c>
    </row>
    <row r="52">
      <c r="B52" s="24" t="inlineStr">
        <is>
          <t>clr_asset_others_inventory</t>
        </is>
      </c>
      <c r="C52" s="24" t="inlineStr">
        <is>
          <t>EXPORTREBATESCERTID</t>
        </is>
      </c>
      <c r="D52" s="24" t="inlineStr">
        <is>
          <t>varchar(32)</t>
        </is>
      </c>
      <c r="E52" s="24" t="inlineStr">
        <is>
          <t>YES</t>
        </is>
      </c>
      <c r="F52" s="24" t="inlineStr">
        <is>
          <t>出口退税账户相关营业执照编号</t>
        </is>
      </c>
      <c r="G52" s="24" t="n"/>
      <c r="H52" s="24" t="n"/>
      <c r="I52" s="24" t="inlineStr"/>
      <c r="J52" s="24" t="inlineStr">
        <is>
          <t>2023/01/12</t>
        </is>
      </c>
    </row>
    <row r="53">
      <c r="B53" s="24" t="inlineStr">
        <is>
          <t>clr_asset_others_inventory</t>
        </is>
      </c>
      <c r="C53" s="24" t="inlineStr">
        <is>
          <t>EXPORTREBATESACCOUNT</t>
        </is>
      </c>
      <c r="D53" s="24" t="inlineStr">
        <is>
          <t>varchar(32)</t>
        </is>
      </c>
      <c r="E53" s="24" t="inlineStr">
        <is>
          <t>YES</t>
        </is>
      </c>
      <c r="F53" s="43" t="inlineStr">
        <is>
          <t>出口退税账户账号</t>
        </is>
      </c>
      <c r="G53" s="24" t="n"/>
      <c r="H53" s="24" t="n"/>
      <c r="I53" s="24" t="inlineStr"/>
      <c r="J53" s="24" t="inlineStr">
        <is>
          <t>2023/01/12</t>
        </is>
      </c>
    </row>
    <row r="54">
      <c r="B54" s="24" t="inlineStr">
        <is>
          <t>clr_asset_others_inventory</t>
        </is>
      </c>
      <c r="C54" s="24" t="inlineStr">
        <is>
          <t>ENTREBATESLEVEL</t>
        </is>
      </c>
      <c r="D54" s="24" t="inlineStr">
        <is>
          <t>varchar(6)</t>
        </is>
      </c>
      <c r="E54" s="24" t="inlineStr">
        <is>
          <t>YES</t>
        </is>
      </c>
      <c r="F54" s="24" t="inlineStr">
        <is>
          <t>企业退税等级</t>
        </is>
      </c>
      <c r="G54" s="24" t="n"/>
      <c r="H54" s="24" t="n"/>
      <c r="I54" s="24" t="inlineStr"/>
      <c r="J54" s="24" t="inlineStr">
        <is>
          <t>2023/01/12</t>
        </is>
      </c>
    </row>
    <row r="55">
      <c r="B55" s="24" t="inlineStr">
        <is>
          <t>clr_asset_others_inventory</t>
        </is>
      </c>
      <c r="C55" s="24" t="inlineStr">
        <is>
          <t>EXPORTREBATESRATE</t>
        </is>
      </c>
      <c r="D55" s="24" t="inlineStr">
        <is>
          <t>decimal(18,8)</t>
        </is>
      </c>
      <c r="E55" s="24" t="inlineStr">
        <is>
          <t>YES</t>
        </is>
      </c>
      <c r="F55" s="24" t="inlineStr">
        <is>
          <t>出口退税率</t>
        </is>
      </c>
      <c r="G55" s="24" t="n"/>
      <c r="H55" s="24" t="n"/>
      <c r="I55" s="24" t="inlineStr"/>
      <c r="J55" s="24" t="inlineStr">
        <is>
          <t>2023/01/12</t>
        </is>
      </c>
    </row>
    <row r="56">
      <c r="B56" s="24" t="inlineStr">
        <is>
          <t>clr_asset_others_inventory</t>
        </is>
      </c>
      <c r="C56" s="24" t="inlineStr">
        <is>
          <t>ARRIVALTIME</t>
        </is>
      </c>
      <c r="D56" s="24" t="inlineStr">
        <is>
          <t>datetime</t>
        </is>
      </c>
      <c r="E56" s="24" t="inlineStr">
        <is>
          <t>YES</t>
        </is>
      </c>
      <c r="F56" s="43" t="inlineStr">
        <is>
          <t>预计到账时间</t>
        </is>
      </c>
      <c r="G56" s="24" t="n"/>
      <c r="H56" s="24" t="n"/>
      <c r="I56" s="24" t="inlineStr"/>
      <c r="J56" s="24" t="inlineStr">
        <is>
          <t>2023/01/12</t>
        </is>
      </c>
    </row>
    <row r="57">
      <c r="B57" s="24" t="inlineStr">
        <is>
          <t>clr_asset_others_inventory</t>
        </is>
      </c>
      <c r="C57" s="24" t="inlineStr">
        <is>
          <t>REBATEMETHOD</t>
        </is>
      </c>
      <c r="D57" s="24" t="inlineStr">
        <is>
          <t>varchar(500)</t>
        </is>
      </c>
      <c r="E57" s="24" t="inlineStr">
        <is>
          <t>YES</t>
        </is>
      </c>
      <c r="F57" s="24" t="inlineStr">
        <is>
          <t>退付办法</t>
        </is>
      </c>
      <c r="G57" s="24" t="n"/>
      <c r="H57" s="24" t="n"/>
      <c r="I57" s="24" t="inlineStr"/>
      <c r="J57" s="24" t="inlineStr">
        <is>
          <t>2023/01/12</t>
        </is>
      </c>
    </row>
    <row r="58">
      <c r="B58" s="24" t="inlineStr">
        <is>
          <t>clr_asset_others_inventory</t>
        </is>
      </c>
      <c r="C58" s="24" t="inlineStr">
        <is>
          <t>COMMODITYNAME</t>
        </is>
      </c>
      <c r="D58" s="24" t="inlineStr">
        <is>
          <t>varchar(80)</t>
        </is>
      </c>
      <c r="E58" s="24" t="inlineStr">
        <is>
          <t>YES</t>
        </is>
      </c>
      <c r="F58" s="24" t="inlineStr">
        <is>
          <t>商品名称</t>
        </is>
      </c>
      <c r="G58" s="24" t="n"/>
      <c r="H58" s="24" t="n"/>
      <c r="I58" s="24" t="inlineStr"/>
      <c r="J58" s="24" t="inlineStr">
        <is>
          <t>2023/01/12</t>
        </is>
      </c>
    </row>
    <row r="59">
      <c r="B59" s="24" t="inlineStr">
        <is>
          <t>clr_asset_others_inventory</t>
        </is>
      </c>
      <c r="C59" s="24" t="inlineStr">
        <is>
          <t>COMMODITYPRICE</t>
        </is>
      </c>
      <c r="D59" s="24" t="inlineStr">
        <is>
          <t>decimal(24,6)</t>
        </is>
      </c>
      <c r="E59" s="24" t="inlineStr">
        <is>
          <t>YES</t>
        </is>
      </c>
      <c r="F59" s="24" t="inlineStr">
        <is>
          <t>商品单价</t>
        </is>
      </c>
      <c r="G59" s="24" t="n"/>
      <c r="H59" s="24" t="n"/>
      <c r="I59" s="24" t="inlineStr"/>
      <c r="J59" s="24" t="inlineStr">
        <is>
          <t>2023/01/12</t>
        </is>
      </c>
    </row>
    <row r="60">
      <c r="B60" s="24" t="inlineStr">
        <is>
          <t>clr_asset_others_inventory</t>
        </is>
      </c>
      <c r="C60" s="24" t="inlineStr">
        <is>
          <t>EXPORTVOLUME</t>
        </is>
      </c>
      <c r="D60" s="24" t="inlineStr">
        <is>
          <t>decimal(18,2)</t>
        </is>
      </c>
      <c r="E60" s="24" t="inlineStr">
        <is>
          <t>YES</t>
        </is>
      </c>
      <c r="F60" s="24" t="inlineStr">
        <is>
          <t>出口量</t>
        </is>
      </c>
      <c r="G60" s="24" t="n"/>
      <c r="H60" s="24" t="n"/>
      <c r="I60" s="24" t="inlineStr"/>
      <c r="J60" s="24" t="inlineStr">
        <is>
          <t>2023/01/12</t>
        </is>
      </c>
    </row>
    <row r="61">
      <c r="B61" s="24" t="inlineStr">
        <is>
          <t>clr_asset_others_inventory</t>
        </is>
      </c>
      <c r="C61" s="24" t="inlineStr">
        <is>
          <t>PRODUCTSALEPLACE</t>
        </is>
      </c>
      <c r="D61" s="24" t="inlineStr">
        <is>
          <t>varchar(80)</t>
        </is>
      </c>
      <c r="E61" s="24" t="inlineStr">
        <is>
          <t>YES</t>
        </is>
      </c>
      <c r="F61" s="24" t="inlineStr">
        <is>
          <t>产品销往地</t>
        </is>
      </c>
      <c r="G61" s="24" t="n"/>
      <c r="H61" s="24" t="n"/>
      <c r="I61" s="24" t="inlineStr"/>
      <c r="J61" s="24" t="inlineStr">
        <is>
          <t>2023/01/12</t>
        </is>
      </c>
    </row>
    <row r="62">
      <c r="B62" s="24" t="inlineStr">
        <is>
          <t>clr_asset_others_inventory</t>
        </is>
      </c>
      <c r="C62" s="24" t="inlineStr">
        <is>
          <t>ISCOMMITCONTRACT</t>
        </is>
      </c>
      <c r="D62" s="24" t="inlineStr">
        <is>
          <t>char(1)</t>
        </is>
      </c>
      <c r="E62" s="24" t="inlineStr">
        <is>
          <t>YES</t>
        </is>
      </c>
      <c r="F62" s="24" t="inlineStr">
        <is>
          <t>是否已提交商品买卖合同</t>
        </is>
      </c>
      <c r="G62" s="52">
        <f>HYPERLINK("#码值映射清单!B5150","YesNo")</f>
        <v/>
      </c>
      <c r="H62" s="24" t="n"/>
      <c r="I62" s="24" t="inlineStr"/>
      <c r="J62" s="24" t="inlineStr">
        <is>
          <t>2023/01/12</t>
        </is>
      </c>
    </row>
    <row r="63">
      <c r="B63" s="24" t="inlineStr">
        <is>
          <t>clr_asset_others_inventory</t>
        </is>
      </c>
      <c r="C63" s="24" t="inlineStr">
        <is>
          <t>INVENTORYFLAG06</t>
        </is>
      </c>
      <c r="D63" s="24" t="inlineStr">
        <is>
          <t>char(1)</t>
        </is>
      </c>
      <c r="E63" s="24" t="inlineStr">
        <is>
          <t>YES</t>
        </is>
      </c>
      <c r="F63" s="24" t="inlineStr">
        <is>
          <t>是否已提交商品交易发票</t>
        </is>
      </c>
      <c r="G63" s="52">
        <f>HYPERLINK("#码值映射清单!B5150","YesNo")</f>
        <v/>
      </c>
      <c r="H63" s="24" t="n"/>
      <c r="I63" s="24" t="inlineStr"/>
      <c r="J63" s="24" t="inlineStr">
        <is>
          <t>2023/01/12</t>
        </is>
      </c>
    </row>
    <row r="64">
      <c r="B64" s="24" t="inlineStr">
        <is>
          <t>clr_asset_others_inventory</t>
        </is>
      </c>
      <c r="C64" s="24" t="inlineStr">
        <is>
          <t>INVENTORYFLAG09</t>
        </is>
      </c>
      <c r="D64" s="24" t="inlineStr">
        <is>
          <t>char(1)</t>
        </is>
      </c>
      <c r="E64" s="24" t="inlineStr">
        <is>
          <t>YES</t>
        </is>
      </c>
      <c r="F64" s="24" t="inlineStr">
        <is>
          <t>是否已提交相关保险证明</t>
        </is>
      </c>
      <c r="G64" s="52">
        <f>HYPERLINK("#码值映射清单!B5150","YesNo")</f>
        <v/>
      </c>
      <c r="H64" s="24" t="n"/>
      <c r="I64" s="24" t="inlineStr"/>
      <c r="J64" s="24" t="inlineStr">
        <is>
          <t>2023/01/12</t>
        </is>
      </c>
    </row>
    <row r="65">
      <c r="B65" s="24" t="inlineStr">
        <is>
          <t>clr_asset_others_inventory</t>
        </is>
      </c>
      <c r="C65" s="24" t="inlineStr">
        <is>
          <t>INVENTORYFLAG01</t>
        </is>
      </c>
      <c r="D65" s="24" t="inlineStr">
        <is>
          <t>char(1)</t>
        </is>
      </c>
      <c r="E65" s="24" t="inlineStr">
        <is>
          <t>YES</t>
        </is>
      </c>
      <c r="F65" s="24" t="inlineStr">
        <is>
          <t>是否为法律和行规法规禁止流通的货物</t>
        </is>
      </c>
      <c r="G65" s="52">
        <f>HYPERLINK("#码值映射清单!B5150","YesNo")</f>
        <v/>
      </c>
      <c r="H65" s="24" t="n"/>
      <c r="I65" s="24" t="inlineStr"/>
      <c r="J65" s="24" t="inlineStr">
        <is>
          <t>2023/01/12</t>
        </is>
      </c>
    </row>
    <row r="66">
      <c r="B66" s="24" t="inlineStr">
        <is>
          <t>clr_asset_others_inventory</t>
        </is>
      </c>
      <c r="C66" s="24" t="inlineStr">
        <is>
          <t>INVENTORYFLAG02</t>
        </is>
      </c>
      <c r="D66" s="24" t="inlineStr">
        <is>
          <t>char(1)</t>
        </is>
      </c>
      <c r="E66" s="24" t="inlineStr">
        <is>
          <t>YES</t>
        </is>
      </c>
      <c r="F66" s="24" t="inlineStr">
        <is>
          <t>是否已提交质检单</t>
        </is>
      </c>
      <c r="G66" s="52">
        <f>HYPERLINK("#码值映射清单!B5150","YesNo")</f>
        <v/>
      </c>
      <c r="H66" s="24" t="n"/>
      <c r="I66" s="24" t="inlineStr"/>
      <c r="J66" s="24" t="inlineStr">
        <is>
          <t>2023/01/12</t>
        </is>
      </c>
    </row>
    <row r="67">
      <c r="B67" s="24" t="inlineStr">
        <is>
          <t>clr_asset_others_inventory</t>
        </is>
      </c>
      <c r="C67" s="24" t="inlineStr">
        <is>
          <t>INVENTORYFLAG03</t>
        </is>
      </c>
      <c r="D67" s="24" t="inlineStr">
        <is>
          <t>char(1)</t>
        </is>
      </c>
      <c r="E67" s="24" t="inlineStr">
        <is>
          <t>YES</t>
        </is>
      </c>
      <c r="F67" s="24" t="inlineStr">
        <is>
          <t>是否已提交合格证</t>
        </is>
      </c>
      <c r="G67" s="52">
        <f>HYPERLINK("#码值映射清单!B5150","YesNo")</f>
        <v/>
      </c>
      <c r="H67" s="24" t="n"/>
      <c r="I67" s="24" t="inlineStr"/>
      <c r="J67" s="24" t="inlineStr">
        <is>
          <t>2023/01/12</t>
        </is>
      </c>
    </row>
    <row r="68">
      <c r="B68" s="24" t="inlineStr">
        <is>
          <t>clr_asset_others_inventory</t>
        </is>
      </c>
      <c r="C68" s="24" t="inlineStr">
        <is>
          <t>INVENTORYFLAG04</t>
        </is>
      </c>
      <c r="D68" s="24" t="inlineStr">
        <is>
          <t>char(1)</t>
        </is>
      </c>
      <c r="E68" s="24" t="inlineStr">
        <is>
          <t>YES</t>
        </is>
      </c>
      <c r="F68" s="24" t="inlineStr">
        <is>
          <t>是否已提交商检证明</t>
        </is>
      </c>
      <c r="G68" s="52">
        <f>HYPERLINK("#码值映射清单!B5150","YesNo")</f>
        <v/>
      </c>
      <c r="H68" s="24" t="n"/>
      <c r="I68" s="24" t="inlineStr"/>
      <c r="J68" s="24" t="inlineStr">
        <is>
          <t>2023/01/12</t>
        </is>
      </c>
    </row>
    <row r="69">
      <c r="B69" s="24" t="inlineStr">
        <is>
          <t>clr_asset_others_inventory</t>
        </is>
      </c>
      <c r="C69" s="24" t="inlineStr">
        <is>
          <t>INVENTORYFLAG07</t>
        </is>
      </c>
      <c r="D69" s="24" t="inlineStr">
        <is>
          <t>char(1)</t>
        </is>
      </c>
      <c r="E69" s="24" t="inlineStr">
        <is>
          <t>YES</t>
        </is>
      </c>
      <c r="F69" s="24" t="inlineStr">
        <is>
          <t>是否已提交货物存放证明</t>
        </is>
      </c>
      <c r="G69" s="52">
        <f>HYPERLINK("#码值映射清单!B5150","YesNo")</f>
        <v/>
      </c>
      <c r="H69" s="24" t="n"/>
      <c r="I69" s="24" t="inlineStr"/>
      <c r="J69" s="24" t="inlineStr">
        <is>
          <t>2023/01/12</t>
        </is>
      </c>
    </row>
    <row r="70">
      <c r="B70" s="24" t="inlineStr">
        <is>
          <t>clr_asset_others_inventory</t>
        </is>
      </c>
      <c r="C70" s="24" t="inlineStr">
        <is>
          <t>INVENTORYFLAG08</t>
        </is>
      </c>
      <c r="D70" s="24" t="inlineStr">
        <is>
          <t>char(1)</t>
        </is>
      </c>
      <c r="E70" s="24" t="inlineStr">
        <is>
          <t>YES</t>
        </is>
      </c>
      <c r="F70" s="24" t="inlineStr">
        <is>
          <t>是否已提交货运合同</t>
        </is>
      </c>
      <c r="G70" s="52">
        <f>HYPERLINK("#码值映射清单!B5150","YesNo")</f>
        <v/>
      </c>
      <c r="H70" s="24" t="n"/>
      <c r="I70" s="24" t="inlineStr"/>
      <c r="J70" s="24" t="inlineStr">
        <is>
          <t>2023/01/12</t>
        </is>
      </c>
    </row>
    <row r="71">
      <c r="B71" s="24" t="inlineStr">
        <is>
          <t>clr_asset_others_inventory</t>
        </is>
      </c>
      <c r="C71" s="24" t="inlineStr">
        <is>
          <t>INVENTORYFLAG10</t>
        </is>
      </c>
      <c r="D71" s="24" t="inlineStr">
        <is>
          <t>char(1)</t>
        </is>
      </c>
      <c r="E71" s="24" t="inlineStr">
        <is>
          <t>YES</t>
        </is>
      </c>
      <c r="F71" s="24" t="inlineStr">
        <is>
          <t>是否已提交由托管机构指定仓库提供的出质人名下的贵金属的证明文件</t>
        </is>
      </c>
      <c r="G71" s="52">
        <f>HYPERLINK("#码值映射清单!B5150","YesNo")</f>
        <v/>
      </c>
      <c r="H71" s="24" t="n"/>
      <c r="I71" s="24" t="inlineStr"/>
      <c r="J71" s="24" t="inlineStr">
        <is>
          <t>2023/01/12</t>
        </is>
      </c>
    </row>
    <row r="72">
      <c r="B72" s="24" t="inlineStr">
        <is>
          <t>clr_asset_others_inventory</t>
        </is>
      </c>
      <c r="C72" s="24" t="inlineStr">
        <is>
          <t>INVENTORYFLAG11</t>
        </is>
      </c>
      <c r="D72" s="24" t="inlineStr">
        <is>
          <t>char(1)</t>
        </is>
      </c>
      <c r="E72" s="24" t="inlineStr">
        <is>
          <t>YES</t>
        </is>
      </c>
      <c r="F72" s="24" t="inlineStr">
        <is>
          <t>是否已提交信用证项下的货物、权利凭证</t>
        </is>
      </c>
      <c r="G72" s="52">
        <f>HYPERLINK("#码值映射清单!B5150","YesNo")</f>
        <v/>
      </c>
      <c r="H72" s="24" t="n"/>
      <c r="I72" s="24" t="inlineStr"/>
      <c r="J72" s="24" t="inlineStr">
        <is>
          <t>2023/01/12</t>
        </is>
      </c>
    </row>
    <row r="73">
      <c r="B73" s="24" t="inlineStr">
        <is>
          <t>clr_asset_others_inventory</t>
        </is>
      </c>
      <c r="C73" s="24" t="inlineStr">
        <is>
          <t>ISCOMMITWR</t>
        </is>
      </c>
      <c r="D73" s="24" t="inlineStr">
        <is>
          <t>char(1)</t>
        </is>
      </c>
      <c r="E73" s="24" t="inlineStr">
        <is>
          <t>YES</t>
        </is>
      </c>
      <c r="F73" s="24" t="inlineStr">
        <is>
          <t>是否已提交仓单凭证</t>
        </is>
      </c>
      <c r="G73" s="52">
        <f>HYPERLINK("#码值映射清单!B5150","YesNo")</f>
        <v/>
      </c>
      <c r="H73" s="24" t="n"/>
      <c r="I73" s="24" t="inlineStr"/>
      <c r="J73" s="24" t="inlineStr">
        <is>
          <t>2023/01/12</t>
        </is>
      </c>
    </row>
    <row r="74">
      <c r="B74" s="24" t="inlineStr">
        <is>
          <t>clr_asset_others_inventory</t>
        </is>
      </c>
      <c r="C74" s="24" t="inlineStr">
        <is>
          <t>ISCOMMITSOURCECERT</t>
        </is>
      </c>
      <c r="D74" s="24" t="inlineStr">
        <is>
          <t>char(1)</t>
        </is>
      </c>
      <c r="E74" s="24" t="inlineStr">
        <is>
          <t>YES</t>
        </is>
      </c>
      <c r="F74" s="24" t="inlineStr">
        <is>
          <t>是否已提交原产地证</t>
        </is>
      </c>
      <c r="G74" s="52">
        <f>HYPERLINK("#码值映射清单!B5150","YesNo")</f>
        <v/>
      </c>
      <c r="H74" s="24" t="n"/>
      <c r="I74" s="24" t="inlineStr"/>
      <c r="J74" s="24" t="inlineStr">
        <is>
          <t>2023/01/12</t>
        </is>
      </c>
    </row>
    <row r="75">
      <c r="B75" s="24" t="inlineStr">
        <is>
          <t>clr_asset_others_inventory</t>
        </is>
      </c>
      <c r="C75" s="24" t="inlineStr">
        <is>
          <t>ISCOMMITPAYMENTVOUCHER</t>
        </is>
      </c>
      <c r="D75" s="24" t="inlineStr">
        <is>
          <t>char(1)</t>
        </is>
      </c>
      <c r="E75" s="24" t="inlineStr">
        <is>
          <t>YES</t>
        </is>
      </c>
      <c r="F75" s="24" t="inlineStr">
        <is>
          <t>是否已提交付款凭证</t>
        </is>
      </c>
      <c r="G75" s="52">
        <f>HYPERLINK("#码值映射清单!B5150","YesNo")</f>
        <v/>
      </c>
      <c r="H75" s="24" t="n"/>
      <c r="I75" s="24" t="inlineStr"/>
      <c r="J75" s="24" t="inlineStr">
        <is>
          <t>2023/01/12</t>
        </is>
      </c>
    </row>
    <row r="76">
      <c r="B76" s="24" t="inlineStr">
        <is>
          <t>clr_asset_others_inventory</t>
        </is>
      </c>
      <c r="C76" s="24" t="inlineStr">
        <is>
          <t>ISCOMMITTRANSBILLS</t>
        </is>
      </c>
      <c r="D76" s="24" t="inlineStr">
        <is>
          <t>char(1)</t>
        </is>
      </c>
      <c r="E76" s="24" t="inlineStr">
        <is>
          <t>YES</t>
        </is>
      </c>
      <c r="F76" s="24" t="inlineStr">
        <is>
          <t>是否已提交运输单据</t>
        </is>
      </c>
      <c r="G76" s="52">
        <f>HYPERLINK("#码值映射清单!B5150","YesNo")</f>
        <v/>
      </c>
      <c r="H76" s="24" t="n"/>
      <c r="I76" s="24" t="inlineStr"/>
      <c r="J76" s="24" t="inlineStr">
        <is>
          <t>2023/01/12</t>
        </is>
      </c>
    </row>
    <row r="77">
      <c r="B77" s="24" t="inlineStr">
        <is>
          <t>clr_asset_others_inventory</t>
        </is>
      </c>
      <c r="C77" s="24" t="inlineStr">
        <is>
          <t>ISCOMMITQUALITYINSPECTION</t>
        </is>
      </c>
      <c r="D77" s="24" t="inlineStr">
        <is>
          <t>char(1)</t>
        </is>
      </c>
      <c r="E77" s="24" t="inlineStr">
        <is>
          <t>YES</t>
        </is>
      </c>
      <c r="F77" s="24" t="inlineStr">
        <is>
          <t>是否已提交质量和重量检验证明</t>
        </is>
      </c>
      <c r="G77" s="52">
        <f>HYPERLINK("#码值映射清单!B5150","YesNo")</f>
        <v/>
      </c>
      <c r="H77" s="24" t="n"/>
      <c r="I77" s="24" t="inlineStr"/>
      <c r="J77" s="24" t="inlineStr">
        <is>
          <t>2023/01/12</t>
        </is>
      </c>
    </row>
    <row r="78">
      <c r="B78" s="24" t="inlineStr">
        <is>
          <t>clr_asset_others_inventory</t>
        </is>
      </c>
      <c r="C78" s="24" t="inlineStr">
        <is>
          <t>ETRA01</t>
        </is>
      </c>
      <c r="D78" s="24" t="inlineStr">
        <is>
          <t>char(1)</t>
        </is>
      </c>
      <c r="E78" s="24" t="inlineStr">
        <is>
          <t>YES</t>
        </is>
      </c>
      <c r="F78" s="24" t="inlineStr">
        <is>
          <t>是否已提交出口货物报关单（出口退税联）</t>
        </is>
      </c>
      <c r="G78" s="52">
        <f>HYPERLINK("#码值映射清单!B5150","YesNo")</f>
        <v/>
      </c>
      <c r="H78" s="24" t="n"/>
      <c r="I78" s="24" t="inlineStr"/>
      <c r="J78" s="24" t="inlineStr">
        <is>
          <t>2023/01/12</t>
        </is>
      </c>
    </row>
    <row r="79">
      <c r="B79" s="24" t="inlineStr">
        <is>
          <t>clr_asset_others_inventory</t>
        </is>
      </c>
      <c r="C79" s="24" t="inlineStr">
        <is>
          <t>ETRA02</t>
        </is>
      </c>
      <c r="D79" s="24" t="inlineStr">
        <is>
          <t>char(1)</t>
        </is>
      </c>
      <c r="E79" s="24" t="inlineStr">
        <is>
          <t>YES</t>
        </is>
      </c>
      <c r="F79" s="24" t="inlineStr">
        <is>
          <t>是否已提交与出口退税账户相关的企业法人营业执照</t>
        </is>
      </c>
      <c r="G79" s="52">
        <f>HYPERLINK("#码值映射清单!B5150","YesNo")</f>
        <v/>
      </c>
      <c r="H79" s="24" t="n"/>
      <c r="I79" s="24" t="inlineStr"/>
      <c r="J79" s="24" t="inlineStr">
        <is>
          <t>2023/01/12</t>
        </is>
      </c>
    </row>
    <row r="80">
      <c r="B80" s="24" t="inlineStr">
        <is>
          <t>clr_asset_others_inventory</t>
        </is>
      </c>
      <c r="C80" s="24" t="inlineStr">
        <is>
          <t>ETRA03</t>
        </is>
      </c>
      <c r="D80" s="24" t="inlineStr">
        <is>
          <t>char(1)</t>
        </is>
      </c>
      <c r="E80" s="24" t="inlineStr">
        <is>
          <t>YES</t>
        </is>
      </c>
      <c r="F80" s="24" t="inlineStr">
        <is>
          <t>是否已提交外汇核销单</t>
        </is>
      </c>
      <c r="G80" s="52">
        <f>HYPERLINK("#码值映射清单!B5150","YesNo")</f>
        <v/>
      </c>
      <c r="H80" s="24" t="n"/>
      <c r="I80" s="24" t="inlineStr"/>
      <c r="J80" s="24" t="inlineStr">
        <is>
          <t>2023/01/12</t>
        </is>
      </c>
    </row>
    <row r="81">
      <c r="B81" s="24" t="inlineStr">
        <is>
          <t>clr_asset_others_inventory</t>
        </is>
      </c>
      <c r="C81" s="24" t="inlineStr">
        <is>
          <t>ETRA04</t>
        </is>
      </c>
      <c r="D81" s="24" t="inlineStr">
        <is>
          <t>char(1)</t>
        </is>
      </c>
      <c r="E81" s="24" t="inlineStr">
        <is>
          <t>YES</t>
        </is>
      </c>
      <c r="F81" s="24" t="inlineStr">
        <is>
          <t>是否已提交出口收汇税单</t>
        </is>
      </c>
      <c r="G81" s="52">
        <f>HYPERLINK("#码值映射清单!B5150","YesNo")</f>
        <v/>
      </c>
      <c r="H81" s="24" t="n"/>
      <c r="I81" s="24" t="inlineStr"/>
      <c r="J81" s="24" t="inlineStr">
        <is>
          <t>2023/01/12</t>
        </is>
      </c>
    </row>
    <row r="82">
      <c r="B82" s="24" t="inlineStr">
        <is>
          <t>clr_asset_others_inventory</t>
        </is>
      </c>
      <c r="C82" s="24" t="inlineStr">
        <is>
          <t>ETRA05</t>
        </is>
      </c>
      <c r="D82" s="24" t="inlineStr">
        <is>
          <t>char(1)</t>
        </is>
      </c>
      <c r="E82" s="24" t="inlineStr">
        <is>
          <t>YES</t>
        </is>
      </c>
      <c r="F82" s="24" t="inlineStr">
        <is>
          <t>是否已提交增值税专用发票</t>
        </is>
      </c>
      <c r="G82" s="52">
        <f>HYPERLINK("#码值映射清单!B5150","YesNo")</f>
        <v/>
      </c>
      <c r="H82" s="24" t="n"/>
      <c r="I82" s="24" t="inlineStr"/>
      <c r="J82" s="24" t="inlineStr">
        <is>
          <t>2023/01/12</t>
        </is>
      </c>
    </row>
    <row r="83">
      <c r="B83" s="24" t="inlineStr">
        <is>
          <t>clr_asset_others_inventory</t>
        </is>
      </c>
      <c r="C83" s="24" t="inlineStr">
        <is>
          <t>ETRA06</t>
        </is>
      </c>
      <c r="D83" s="24" t="inlineStr">
        <is>
          <t>char(1)</t>
        </is>
      </c>
      <c r="E83" s="24" t="inlineStr">
        <is>
          <t>YES</t>
        </is>
      </c>
      <c r="F83" s="24" t="inlineStr">
        <is>
          <t>是否已提交税收（出口货物专用）缴款书</t>
        </is>
      </c>
      <c r="G83" s="52">
        <f>HYPERLINK("#码值映射清单!B5150","YesNo")</f>
        <v/>
      </c>
      <c r="H83" s="24" t="n"/>
      <c r="I83" s="24" t="inlineStr"/>
      <c r="J83" s="24" t="inlineStr">
        <is>
          <t>2023/01/12</t>
        </is>
      </c>
    </row>
    <row r="84">
      <c r="B84" s="24" t="inlineStr">
        <is>
          <t>clr_asset_others_inventory</t>
        </is>
      </c>
      <c r="C84" s="24" t="inlineStr">
        <is>
          <t>ETRA07</t>
        </is>
      </c>
      <c r="D84" s="24" t="inlineStr">
        <is>
          <t>char(1)</t>
        </is>
      </c>
      <c r="E84" s="24" t="inlineStr">
        <is>
          <t>YES</t>
        </is>
      </c>
      <c r="F84" s="24" t="inlineStr">
        <is>
          <t>是否已提交商品出口协议</t>
        </is>
      </c>
      <c r="G84" s="52">
        <f>HYPERLINK("#码值映射清单!B5150","YesNo")</f>
        <v/>
      </c>
      <c r="H84" s="24" t="n"/>
      <c r="I84" s="24" t="inlineStr"/>
      <c r="J84" s="24" t="inlineStr">
        <is>
          <t>2023/01/12</t>
        </is>
      </c>
    </row>
    <row r="85">
      <c r="B85" s="24" t="inlineStr">
        <is>
          <t>clr_asset_others_inventory</t>
        </is>
      </c>
      <c r="C85" s="24" t="inlineStr">
        <is>
          <t>ETRA08</t>
        </is>
      </c>
      <c r="D85" s="24" t="inlineStr">
        <is>
          <t>char(1)</t>
        </is>
      </c>
      <c r="E85" s="24" t="inlineStr">
        <is>
          <t>YES</t>
        </is>
      </c>
      <c r="F85" s="24" t="inlineStr">
        <is>
          <t>是否已提交国税局签发的未退税金额情况证明</t>
        </is>
      </c>
      <c r="G85" s="52">
        <f>HYPERLINK("#码值映射清单!B5150","YesNo")</f>
        <v/>
      </c>
      <c r="H85" s="24" t="n"/>
      <c r="I85" s="24" t="inlineStr"/>
      <c r="J85" s="24" t="inlineStr">
        <is>
          <t>2023/01/12</t>
        </is>
      </c>
    </row>
    <row r="86">
      <c r="B86" s="24" t="inlineStr">
        <is>
          <t>clr_asset_others_inventory</t>
        </is>
      </c>
      <c r="C86" s="24" t="inlineStr">
        <is>
          <t>ETRA09</t>
        </is>
      </c>
      <c r="D86" s="24" t="inlineStr">
        <is>
          <t>char(1)</t>
        </is>
      </c>
      <c r="E86" s="24" t="inlineStr">
        <is>
          <t>YES</t>
        </is>
      </c>
      <c r="F86" s="24" t="inlineStr">
        <is>
          <t>是否已提交外经贸委签发的未退税额证明</t>
        </is>
      </c>
      <c r="G86" s="52">
        <f>HYPERLINK("#码值映射清单!B5150","YesNo")</f>
        <v/>
      </c>
      <c r="H86" s="24" t="n"/>
      <c r="I86" s="24" t="inlineStr"/>
      <c r="J86" s="24" t="inlineStr">
        <is>
          <t>2023/01/12</t>
        </is>
      </c>
    </row>
    <row r="87">
      <c r="B87" s="24" t="inlineStr">
        <is>
          <t>clr_asset_others_inventory</t>
        </is>
      </c>
      <c r="C87" s="24" t="inlineStr">
        <is>
          <t>ETRA10</t>
        </is>
      </c>
      <c r="D87" s="24" t="inlineStr">
        <is>
          <t>char(1)</t>
        </is>
      </c>
      <c r="E87" s="24" t="inlineStr">
        <is>
          <t>YES</t>
        </is>
      </c>
      <c r="F87" s="24" t="inlineStr">
        <is>
          <t>是否已提交借款人应退未退税款数额的相应稽核证明</t>
        </is>
      </c>
      <c r="G87" s="52">
        <f>HYPERLINK("#码值映射清单!B5150","YesNo")</f>
        <v/>
      </c>
      <c r="H87" s="24" t="n"/>
      <c r="I87" s="24" t="inlineStr"/>
      <c r="J87" s="24" t="inlineStr">
        <is>
          <t>2023/01/12</t>
        </is>
      </c>
    </row>
    <row r="88">
      <c r="B88" s="24" t="inlineStr">
        <is>
          <t>clr_asset_others_inventory</t>
        </is>
      </c>
      <c r="C88" s="24" t="inlineStr">
        <is>
          <t>ETRA11</t>
        </is>
      </c>
      <c r="D88" s="24" t="inlineStr">
        <is>
          <t>char(1)</t>
        </is>
      </c>
      <c r="E88" s="24" t="inlineStr">
        <is>
          <t>YES</t>
        </is>
      </c>
      <c r="F88" s="24" t="inlineStr">
        <is>
          <t>是否已提交出口退税账号相关存折或凭证</t>
        </is>
      </c>
      <c r="G88" s="52">
        <f>HYPERLINK("#码值映射清单!B5150","YesNo")</f>
        <v/>
      </c>
      <c r="H88" s="24" t="n"/>
      <c r="I88" s="24" t="inlineStr"/>
      <c r="J88" s="24" t="inlineStr">
        <is>
          <t>2023/01/12</t>
        </is>
      </c>
    </row>
    <row r="89">
      <c r="B89" s="24" t="inlineStr">
        <is>
          <t>clr_asset_others_inventory</t>
        </is>
      </c>
      <c r="C89" s="24" t="inlineStr">
        <is>
          <t>ETRA12</t>
        </is>
      </c>
      <c r="D89" s="24" t="inlineStr">
        <is>
          <t>char(1)</t>
        </is>
      </c>
      <c r="E89" s="24" t="inlineStr">
        <is>
          <t>YES</t>
        </is>
      </c>
      <c r="F89" s="24" t="inlineStr">
        <is>
          <t>市价是否由独立的价值评估者所估计</t>
        </is>
      </c>
      <c r="G89" s="24" t="n"/>
      <c r="H89" s="24" t="n"/>
      <c r="I89" s="24" t="inlineStr"/>
      <c r="J89" s="24" t="inlineStr">
        <is>
          <t>2023/01/12</t>
        </is>
      </c>
    </row>
    <row r="90">
      <c r="B90" s="24" t="inlineStr">
        <is>
          <t>clr_asset_others_inventory</t>
        </is>
      </c>
      <c r="C90" s="24" t="inlineStr">
        <is>
          <t>INPUTORGID</t>
        </is>
      </c>
      <c r="D90" s="24" t="inlineStr">
        <is>
          <t>varchar(32)</t>
        </is>
      </c>
      <c r="E90" s="24" t="inlineStr">
        <is>
          <t>YES</t>
        </is>
      </c>
      <c r="F90" s="24" t="inlineStr">
        <is>
          <t>登记机构</t>
        </is>
      </c>
      <c r="G90" s="24" t="n"/>
      <c r="H90" s="24" t="n"/>
      <c r="I90" s="24" t="inlineStr"/>
      <c r="J90" s="24" t="inlineStr">
        <is>
          <t>2023/01/12</t>
        </is>
      </c>
    </row>
    <row r="91">
      <c r="B91" s="24" t="inlineStr">
        <is>
          <t>clr_asset_others_inventory</t>
        </is>
      </c>
      <c r="C91" s="24" t="inlineStr">
        <is>
          <t>INPUTUSERID</t>
        </is>
      </c>
      <c r="D91" s="24" t="inlineStr">
        <is>
          <t>varchar(32)</t>
        </is>
      </c>
      <c r="E91" s="24" t="inlineStr">
        <is>
          <t>YES</t>
        </is>
      </c>
      <c r="F91" s="24" t="inlineStr">
        <is>
          <t>登记人</t>
        </is>
      </c>
      <c r="G91" s="24" t="n"/>
      <c r="H91" s="24" t="n"/>
      <c r="I91" s="24" t="inlineStr"/>
      <c r="J91" s="24" t="inlineStr">
        <is>
          <t>2023/01/12</t>
        </is>
      </c>
    </row>
    <row r="92">
      <c r="B92" s="24" t="inlineStr">
        <is>
          <t>clr_asset_others_inventory</t>
        </is>
      </c>
      <c r="C92" s="24" t="inlineStr">
        <is>
          <t>INPUTDATE</t>
        </is>
      </c>
      <c r="D92" s="24" t="inlineStr">
        <is>
          <t>datetime</t>
        </is>
      </c>
      <c r="E92" s="24" t="inlineStr">
        <is>
          <t>YES</t>
        </is>
      </c>
      <c r="F92" s="24" t="inlineStr">
        <is>
          <t>登记日期</t>
        </is>
      </c>
      <c r="G92" s="24" t="n"/>
      <c r="H92" s="24" t="n"/>
      <c r="I92" s="24" t="inlineStr"/>
      <c r="J92" s="24" t="inlineStr">
        <is>
          <t>2023/01/12</t>
        </is>
      </c>
    </row>
    <row r="93">
      <c r="B93" s="24" t="inlineStr">
        <is>
          <t>clr_asset_others_inventory</t>
        </is>
      </c>
      <c r="C93" s="24" t="inlineStr">
        <is>
          <t>UPDATEORGID</t>
        </is>
      </c>
      <c r="D93" s="24" t="inlineStr">
        <is>
          <t>varchar(32)</t>
        </is>
      </c>
      <c r="E93" s="24" t="inlineStr">
        <is>
          <t>YES</t>
        </is>
      </c>
      <c r="F93" s="24" t="inlineStr">
        <is>
          <t>更新机构</t>
        </is>
      </c>
      <c r="G93" s="24" t="n"/>
      <c r="H93" s="24" t="n"/>
      <c r="I93" s="24" t="inlineStr"/>
      <c r="J93" s="24" t="inlineStr">
        <is>
          <t>2023/01/12</t>
        </is>
      </c>
    </row>
    <row r="94">
      <c r="B94" s="24" t="inlineStr">
        <is>
          <t>clr_asset_others_inventory</t>
        </is>
      </c>
      <c r="C94" s="24" t="inlineStr">
        <is>
          <t>UPDATEUSERID</t>
        </is>
      </c>
      <c r="D94" s="24" t="inlineStr">
        <is>
          <t>varchar(32)</t>
        </is>
      </c>
      <c r="E94" s="24" t="inlineStr">
        <is>
          <t>YES</t>
        </is>
      </c>
      <c r="F94" s="24" t="inlineStr">
        <is>
          <t>更新人</t>
        </is>
      </c>
      <c r="G94" s="24" t="n"/>
      <c r="H94" s="24" t="n"/>
      <c r="I94" s="24" t="inlineStr"/>
      <c r="J94" s="24" t="inlineStr">
        <is>
          <t>2023/01/12</t>
        </is>
      </c>
    </row>
    <row r="95">
      <c r="B95" s="24" t="inlineStr">
        <is>
          <t>clr_asset_others_inventory</t>
        </is>
      </c>
      <c r="C95" s="24" t="inlineStr">
        <is>
          <t>UPDATEDATE</t>
        </is>
      </c>
      <c r="D95" s="24" t="inlineStr">
        <is>
          <t>datetime</t>
        </is>
      </c>
      <c r="E95" s="24" t="inlineStr">
        <is>
          <t>YES</t>
        </is>
      </c>
      <c r="F95" s="24" t="inlineStr">
        <is>
          <t>更新日期</t>
        </is>
      </c>
      <c r="G95" s="24" t="n"/>
      <c r="H95" s="24" t="n"/>
      <c r="I95" s="24" t="inlineStr"/>
      <c r="J95" s="24" t="inlineStr">
        <is>
          <t>2023/01/12</t>
        </is>
      </c>
    </row>
    <row r="96">
      <c r="B96" s="24" t="inlineStr">
        <is>
          <t>clr_asset_others_inventory</t>
        </is>
      </c>
      <c r="C96" s="24" t="inlineStr">
        <is>
          <t>REMARK</t>
        </is>
      </c>
      <c r="D96" s="24" t="inlineStr">
        <is>
          <t>varchar(500)</t>
        </is>
      </c>
      <c r="E96" s="24" t="inlineStr">
        <is>
          <t>YES</t>
        </is>
      </c>
      <c r="F96" s="24" t="inlineStr">
        <is>
          <t>备注</t>
        </is>
      </c>
      <c r="G96" s="24" t="n"/>
      <c r="H96" s="24" t="n"/>
      <c r="I96" s="24" t="inlineStr"/>
      <c r="J96" s="24" t="inlineStr">
        <is>
          <t>2023/01/12</t>
        </is>
      </c>
    </row>
    <row r="97">
      <c r="B97" s="109" t="inlineStr">
        <is>
          <t>clr_asset_others_inventory</t>
        </is>
      </c>
      <c r="C97" s="109" t="inlineStr">
        <is>
          <t>CORPORGID</t>
        </is>
      </c>
      <c r="D97" s="109" t="inlineStr">
        <is>
          <t>varchar(32)</t>
        </is>
      </c>
      <c r="E97" s="109" t="inlineStr">
        <is>
          <t>YES</t>
        </is>
      </c>
      <c r="F97" s="109" t="inlineStr">
        <is>
          <t>法人机构编号</t>
        </is>
      </c>
      <c r="G97" s="109" t="n"/>
      <c r="H97" s="109" t="n"/>
      <c r="I97" s="109" t="inlineStr"/>
      <c r="J97" s="109" t="inlineStr">
        <is>
          <t>2023/01/12</t>
        </is>
      </c>
    </row>
    <row r="98">
      <c r="B98" s="73" t="inlineStr">
        <is>
          <t>clr_asset_others_inventory</t>
        </is>
      </c>
      <c r="C98" s="60" t="inlineStr">
        <is>
          <t>LOANCARDNO</t>
        </is>
      </c>
      <c r="D98" s="60" t="inlineStr">
        <is>
          <t>varchar(32)</t>
        </is>
      </c>
      <c r="E98" s="60" t="inlineStr">
        <is>
          <t>YES</t>
        </is>
      </c>
      <c r="F98" s="100" t="inlineStr">
        <is>
          <t>出质人贷款卡号</t>
        </is>
      </c>
      <c r="G98" s="60" t="n"/>
      <c r="H98" s="60" t="n"/>
      <c r="I98" s="60" t="n"/>
      <c r="J98" s="183" t="n">
        <v>45740</v>
      </c>
    </row>
    <row r="99">
      <c r="B99" s="73" t="inlineStr">
        <is>
          <t>clr_asset_others_inventory</t>
        </is>
      </c>
      <c r="C99" s="60" t="inlineStr">
        <is>
          <t>GUARANTYAMOUNT</t>
        </is>
      </c>
      <c r="D99" s="60" t="inlineStr">
        <is>
          <t>decimal(24,6)</t>
        </is>
      </c>
      <c r="E99" s="60" t="inlineStr">
        <is>
          <t>YES</t>
        </is>
      </c>
      <c r="F99" s="100" t="inlineStr">
        <is>
          <t>质押物数量</t>
        </is>
      </c>
      <c r="G99" s="60" t="n"/>
      <c r="H99" s="60" t="n"/>
      <c r="I99" s="60" t="n"/>
      <c r="J99" s="183" t="n">
        <v>45740</v>
      </c>
    </row>
    <row r="100">
      <c r="B100" s="73" t="inlineStr">
        <is>
          <t>clr_asset_others_inventory</t>
        </is>
      </c>
      <c r="C100" s="60" t="inlineStr">
        <is>
          <t>GUARANTYRIGHTID</t>
        </is>
      </c>
      <c r="D100" s="60" t="inlineStr">
        <is>
          <t>varchar(800)</t>
        </is>
      </c>
      <c r="E100" s="60" t="inlineStr">
        <is>
          <t>YES</t>
        </is>
      </c>
      <c r="F100" s="99" t="inlineStr">
        <is>
          <t>权证号</t>
        </is>
      </c>
      <c r="G100" s="60" t="n"/>
      <c r="H100" s="60" t="n"/>
      <c r="I100" s="60" t="n"/>
      <c r="J100" s="183" t="n">
        <v>45740</v>
      </c>
    </row>
    <row r="101">
      <c r="B101" s="73" t="inlineStr">
        <is>
          <t>clr_asset_others_inventory</t>
        </is>
      </c>
      <c r="C101" s="60" t="inlineStr">
        <is>
          <t>GUARANTYVALUE</t>
        </is>
      </c>
      <c r="D101" s="60" t="inlineStr">
        <is>
          <t>decimal(24,6)</t>
        </is>
      </c>
      <c r="E101" s="60" t="inlineStr">
        <is>
          <t>YES</t>
        </is>
      </c>
      <c r="F101" s="100" t="inlineStr">
        <is>
          <t>存货价值</t>
        </is>
      </c>
      <c r="G101" s="60" t="n"/>
      <c r="H101" s="60" t="n"/>
      <c r="I101" s="60" t="n"/>
      <c r="J101" s="183" t="n">
        <v>45740</v>
      </c>
    </row>
    <row r="102">
      <c r="B102" s="73" t="inlineStr">
        <is>
          <t>clr_asset_others_inventory</t>
        </is>
      </c>
      <c r="C102" s="37" t="inlineStr">
        <is>
          <t>CURRENCY</t>
        </is>
      </c>
      <c r="D102" s="37" t="inlineStr">
        <is>
          <t>varchar(18)</t>
        </is>
      </c>
      <c r="E102" s="37" t="inlineStr">
        <is>
          <t>YES</t>
        </is>
      </c>
      <c r="F102" s="100" t="inlineStr">
        <is>
          <t>质押物原币种</t>
        </is>
      </c>
      <c r="G102" s="110">
        <f>HYPERLINK("#码值映射清单!B2469","Currency")</f>
        <v/>
      </c>
      <c r="H102" s="37" t="n"/>
      <c r="I102" s="60" t="n"/>
      <c r="J102" s="183" t="n">
        <v>45740</v>
      </c>
    </row>
    <row r="103">
      <c r="B103" s="73" t="inlineStr">
        <is>
          <t>clr_asset_others_inventory</t>
        </is>
      </c>
      <c r="C103" s="60" t="inlineStr">
        <is>
          <t>ORIGINALVALUE</t>
        </is>
      </c>
      <c r="D103" s="60" t="inlineStr">
        <is>
          <t>decimal(24,6)</t>
        </is>
      </c>
      <c r="E103" s="60" t="inlineStr">
        <is>
          <t>YES</t>
        </is>
      </c>
      <c r="F103" s="100" t="inlineStr">
        <is>
          <t>质押物原价值</t>
        </is>
      </c>
      <c r="G103" s="60" t="n"/>
      <c r="H103" s="60" t="n"/>
      <c r="I103" s="60" t="n"/>
      <c r="J103" s="183" t="n">
        <v>45740</v>
      </c>
    </row>
    <row r="104">
      <c r="B104" s="73" t="inlineStr">
        <is>
          <t>clr_asset_others_inventory</t>
        </is>
      </c>
      <c r="C104" s="60" t="inlineStr">
        <is>
          <t>REALIZATIONVALUE</t>
        </is>
      </c>
      <c r="D104" s="60" t="inlineStr">
        <is>
          <t>decimal(24,6)</t>
        </is>
      </c>
      <c r="E104" s="60" t="inlineStr">
        <is>
          <t>YES</t>
        </is>
      </c>
      <c r="F104" s="100" t="inlineStr">
        <is>
          <t>预计变现值</t>
        </is>
      </c>
      <c r="G104" s="60" t="n"/>
      <c r="H104" s="60" t="n"/>
      <c r="I104" s="60" t="n"/>
      <c r="J104" s="183" t="n">
        <v>45740</v>
      </c>
    </row>
    <row r="105">
      <c r="B105" s="73" t="inlineStr">
        <is>
          <t>clr_asset_others_inventory</t>
        </is>
      </c>
      <c r="C105" s="60" t="inlineStr">
        <is>
          <t>REALIZATIONCOST</t>
        </is>
      </c>
      <c r="D105" s="60" t="inlineStr">
        <is>
          <t>decimal(24,6)</t>
        </is>
      </c>
      <c r="E105" s="60" t="inlineStr">
        <is>
          <t>YES</t>
        </is>
      </c>
      <c r="F105" s="99" t="inlineStr">
        <is>
          <t>预计变现成本</t>
        </is>
      </c>
      <c r="G105" s="60" t="n"/>
      <c r="H105" s="60" t="n"/>
      <c r="I105" s="60" t="n"/>
      <c r="J105" s="183" t="n">
        <v>45740</v>
      </c>
    </row>
    <row r="106">
      <c r="B106" s="73" t="inlineStr">
        <is>
          <t>clr_asset_others_inventory</t>
        </is>
      </c>
      <c r="C106" s="60" t="inlineStr">
        <is>
          <t>PURCHASEDVALUE</t>
        </is>
      </c>
      <c r="D106" s="60" t="inlineStr">
        <is>
          <t>decimal(24,6)</t>
        </is>
      </c>
      <c r="E106" s="60" t="inlineStr">
        <is>
          <t>YES</t>
        </is>
      </c>
      <c r="F106" s="100" t="inlineStr">
        <is>
          <t>货物购入价值</t>
        </is>
      </c>
      <c r="G106" s="60" t="n"/>
      <c r="H106" s="60" t="n"/>
      <c r="I106" s="60" t="n"/>
      <c r="J106" s="183" t="n">
        <v>45740</v>
      </c>
    </row>
    <row r="107">
      <c r="B107" s="73" t="inlineStr">
        <is>
          <t>clr_asset_others_inventory</t>
        </is>
      </c>
      <c r="C107" s="60" t="inlineStr">
        <is>
          <t>STORAGELOCATION</t>
        </is>
      </c>
      <c r="D107" s="60" t="inlineStr">
        <is>
          <t>varchar(200)</t>
        </is>
      </c>
      <c r="E107" s="60" t="inlineStr">
        <is>
          <t>YES</t>
        </is>
      </c>
      <c r="F107" s="100" t="inlineStr">
        <is>
          <t>存放地点/提货地点</t>
        </is>
      </c>
      <c r="G107" s="60" t="n"/>
      <c r="H107" s="60" t="n"/>
      <c r="I107" s="60" t="n"/>
      <c r="J107" s="183" t="n">
        <v>45740</v>
      </c>
    </row>
    <row r="108">
      <c r="B108" s="73" t="inlineStr">
        <is>
          <t>clr_asset_others_inventory</t>
        </is>
      </c>
      <c r="C108" s="37" t="inlineStr">
        <is>
          <t>SUPPLIERNAME</t>
        </is>
      </c>
      <c r="D108" s="60" t="inlineStr">
        <is>
          <t>varchar(80)</t>
        </is>
      </c>
      <c r="E108" s="60" t="inlineStr">
        <is>
          <t>YES</t>
        </is>
      </c>
      <c r="F108" s="99" t="inlineStr">
        <is>
          <t>供应商名称</t>
        </is>
      </c>
      <c r="G108" s="60" t="n"/>
      <c r="H108" s="60" t="n"/>
      <c r="I108" s="60" t="n"/>
      <c r="J108" s="183" t="n">
        <v>45740</v>
      </c>
    </row>
    <row r="109">
      <c r="B109" s="73" t="inlineStr">
        <is>
          <t>clr_asset_others_inventory</t>
        </is>
      </c>
      <c r="C109" s="60" t="inlineStr">
        <is>
          <t>DUETAX</t>
        </is>
      </c>
      <c r="D109" s="60" t="inlineStr">
        <is>
          <t>decimal(24,6)</t>
        </is>
      </c>
      <c r="E109" s="60" t="inlineStr">
        <is>
          <t>YES</t>
        </is>
      </c>
      <c r="F109" s="99" t="inlineStr">
        <is>
          <t>应退未退税金额</t>
        </is>
      </c>
      <c r="G109" s="60" t="n"/>
      <c r="H109" s="60" t="n"/>
      <c r="I109" s="60" t="n"/>
      <c r="J109" s="183" t="n">
        <v>45740</v>
      </c>
    </row>
    <row r="110">
      <c r="B110" s="73" t="inlineStr">
        <is>
          <t>clr_asset_others_inventory</t>
        </is>
      </c>
      <c r="C110" s="60" t="inlineStr">
        <is>
          <t>LIVESTOCKTYPE</t>
        </is>
      </c>
      <c r="D110" s="60" t="inlineStr">
        <is>
          <t>varchar(32)</t>
        </is>
      </c>
      <c r="E110" s="60" t="inlineStr">
        <is>
          <t>YES</t>
        </is>
      </c>
      <c r="F110" s="59" t="inlineStr">
        <is>
          <t>活畜种类</t>
        </is>
      </c>
      <c r="G110" s="60" t="n"/>
      <c r="H110" s="60" t="n"/>
      <c r="I110" s="60" t="n"/>
      <c r="J110" s="183" t="n">
        <v>45740</v>
      </c>
    </row>
    <row r="111">
      <c r="B111" s="73" t="inlineStr">
        <is>
          <t>clr_asset_others_inventory</t>
        </is>
      </c>
      <c r="C111" s="60" t="inlineStr">
        <is>
          <t>RIGHTHOLDER</t>
        </is>
      </c>
      <c r="D111" s="60" t="inlineStr">
        <is>
          <t>varchar(80)</t>
        </is>
      </c>
      <c r="E111" s="60" t="inlineStr">
        <is>
          <t>YES</t>
        </is>
      </c>
      <c r="F111" s="59" t="inlineStr">
        <is>
          <t>权利人</t>
        </is>
      </c>
      <c r="G111" s="60" t="n"/>
      <c r="H111" s="60" t="n"/>
      <c r="I111" s="60" t="n"/>
      <c r="J111" s="183" t="n">
        <v>45740</v>
      </c>
    </row>
  </sheetData>
  <pageMargins left="0.75" right="0.75" top="1" bottom="1" header="0.5" footer="0.5"/>
  <pageSetup orientation="portrait" paperSize="1" horizontalDpi="300" verticalDpi="300"/>
</worksheet>
</file>

<file path=xl/worksheets/sheet70.xml><?xml version="1.0" encoding="utf-8"?>
<worksheet xmlns="http://schemas.openxmlformats.org/spreadsheetml/2006/main">
  <sheetPr>
    <outlinePr summaryBelow="1" summaryRight="1"/>
    <pageSetUpPr/>
  </sheetPr>
  <dimension ref="A1:K142"/>
  <sheetViews>
    <sheetView topLeftCell="A127" zoomScaleSheetLayoutView="60" workbookViewId="0">
      <selection activeCell="J129" sqref="J129:J14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 width="76.4821428571429" customWidth="1" style="170" min="11" max="11"/>
  </cols>
  <sheetData>
    <row r="1">
      <c r="A1" s="1">
        <f>HYPERLINK("#表结构清单!A1","返回")</f>
        <v/>
      </c>
      <c r="B1" t="inlineStr">
        <is>
          <t>资源资产</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clr_asset_others_resource</t>
        </is>
      </c>
      <c r="C3" s="24" t="inlineStr">
        <is>
          <t>CLRID</t>
        </is>
      </c>
      <c r="D3" s="24" t="inlineStr">
        <is>
          <t>varchar(32)</t>
        </is>
      </c>
      <c r="E3" s="24" t="inlineStr">
        <is>
          <t>NO</t>
        </is>
      </c>
      <c r="F3" s="24" t="inlineStr">
        <is>
          <t>押品编号</t>
        </is>
      </c>
      <c r="G3" s="24" t="n"/>
      <c r="H3" s="24" t="n"/>
      <c r="I3" s="24" t="inlineStr"/>
      <c r="J3" s="24" t="inlineStr">
        <is>
          <t>2023/01/12</t>
        </is>
      </c>
    </row>
    <row r="4">
      <c r="B4" s="24" t="inlineStr">
        <is>
          <t>clr_asset_others_resource</t>
        </is>
      </c>
      <c r="C4" s="24" t="inlineStr">
        <is>
          <t>LEGALREPRESENTATIVE</t>
        </is>
      </c>
      <c r="D4" s="24" t="inlineStr">
        <is>
          <t>varchar(80)</t>
        </is>
      </c>
      <c r="E4" s="24" t="inlineStr">
        <is>
          <t>YES</t>
        </is>
      </c>
      <c r="F4" s="43" t="inlineStr">
        <is>
          <t>法定代表人/森林或林木所有权权利人/资产权利人</t>
        </is>
      </c>
      <c r="G4" s="24" t="n"/>
      <c r="H4" s="24" t="n"/>
      <c r="I4" s="24" t="inlineStr"/>
      <c r="J4" s="24" t="inlineStr">
        <is>
          <t>2023/01/12</t>
        </is>
      </c>
    </row>
    <row r="5">
      <c r="B5" s="24" t="inlineStr">
        <is>
          <t>clr_asset_others_resource</t>
        </is>
      </c>
      <c r="C5" s="24" t="inlineStr">
        <is>
          <t>FORESTLANDUSETYPE</t>
        </is>
      </c>
      <c r="D5" s="24" t="inlineStr">
        <is>
          <t>varchar(6)</t>
        </is>
      </c>
      <c r="E5" s="24" t="inlineStr">
        <is>
          <t>YES</t>
        </is>
      </c>
      <c r="F5" s="43" t="inlineStr">
        <is>
          <t>林地用途类型</t>
        </is>
      </c>
      <c r="G5" s="52">
        <f>HYPERLINK("#码值映射清单!B7213","ForestUseType")</f>
        <v/>
      </c>
      <c r="H5" s="24" t="n"/>
      <c r="I5" s="24" t="inlineStr"/>
      <c r="J5" s="24" t="inlineStr">
        <is>
          <t>2023/01/12</t>
        </is>
      </c>
    </row>
    <row r="6">
      <c r="B6" s="24" t="inlineStr">
        <is>
          <t>clr_asset_others_resource</t>
        </is>
      </c>
      <c r="C6" s="24" t="inlineStr">
        <is>
          <t>RESOURCERIGHTTYPE</t>
        </is>
      </c>
      <c r="D6" s="24" t="inlineStr">
        <is>
          <t>varchar(6)</t>
        </is>
      </c>
      <c r="E6" s="24" t="inlineStr">
        <is>
          <t>YES</t>
        </is>
      </c>
      <c r="F6" s="24" t="inlineStr">
        <is>
          <t>林地资源权属类型</t>
        </is>
      </c>
      <c r="G6" s="52">
        <f>HYPERLINK("#码值映射清单!B3620","ResourceRightType")</f>
        <v/>
      </c>
      <c r="H6" s="24" t="n"/>
      <c r="I6" s="24" t="inlineStr"/>
      <c r="J6" s="24" t="inlineStr">
        <is>
          <t>2023/01/12</t>
        </is>
      </c>
    </row>
    <row r="7">
      <c r="B7" s="24" t="inlineStr">
        <is>
          <t>clr_asset_others_resource</t>
        </is>
      </c>
      <c r="C7" s="24" t="inlineStr">
        <is>
          <t>FOURBOUNDARY</t>
        </is>
      </c>
      <c r="D7" s="24" t="inlineStr">
        <is>
          <t>varchar(200)</t>
        </is>
      </c>
      <c r="E7" s="24" t="inlineStr">
        <is>
          <t>YES</t>
        </is>
      </c>
      <c r="F7" s="24" t="inlineStr">
        <is>
          <t>四至/荒地四至</t>
        </is>
      </c>
      <c r="G7" s="24" t="n"/>
      <c r="H7" s="24" t="n"/>
      <c r="I7" s="24" t="inlineStr"/>
      <c r="J7" s="24" t="inlineStr">
        <is>
          <t>2023/01/12</t>
        </is>
      </c>
    </row>
    <row r="8">
      <c r="B8" s="24" t="inlineStr">
        <is>
          <t>clr_asset_others_resource</t>
        </is>
      </c>
      <c r="C8" s="24" t="inlineStr">
        <is>
          <t>FORESTCATEGORY</t>
        </is>
      </c>
      <c r="D8" s="24" t="inlineStr">
        <is>
          <t>varchar(80)</t>
        </is>
      </c>
      <c r="E8" s="24" t="inlineStr">
        <is>
          <t>YES</t>
        </is>
      </c>
      <c r="F8" s="24" t="inlineStr">
        <is>
          <t>林地林种</t>
        </is>
      </c>
      <c r="G8" s="24" t="n"/>
      <c r="H8" s="24" t="n"/>
      <c r="I8" s="24" t="inlineStr"/>
      <c r="J8" s="24" t="inlineStr">
        <is>
          <t>2023/01/12</t>
        </is>
      </c>
    </row>
    <row r="9">
      <c r="B9" s="24" t="inlineStr">
        <is>
          <t>clr_asset_others_resource</t>
        </is>
      </c>
      <c r="C9" s="24" t="inlineStr">
        <is>
          <t>TREESPECY</t>
        </is>
      </c>
      <c r="D9" s="24" t="inlineStr">
        <is>
          <t>varchar(80)</t>
        </is>
      </c>
      <c r="E9" s="24" t="inlineStr">
        <is>
          <t>YES</t>
        </is>
      </c>
      <c r="F9" s="24" t="inlineStr">
        <is>
          <t>林地树种</t>
        </is>
      </c>
      <c r="G9" s="24" t="n"/>
      <c r="H9" s="24" t="n"/>
      <c r="I9" s="24" t="inlineStr"/>
      <c r="J9" s="24" t="inlineStr">
        <is>
          <t>2023/01/12</t>
        </is>
      </c>
    </row>
    <row r="10">
      <c r="B10" s="24" t="inlineStr">
        <is>
          <t>clr_asset_others_resource</t>
        </is>
      </c>
      <c r="C10" s="24" t="inlineStr">
        <is>
          <t>TREEAGE</t>
        </is>
      </c>
      <c r="D10" s="24" t="inlineStr">
        <is>
          <t>int</t>
        </is>
      </c>
      <c r="E10" s="24" t="inlineStr">
        <is>
          <t>YES</t>
        </is>
      </c>
      <c r="F10" s="24" t="inlineStr">
        <is>
          <t>林地树龄</t>
        </is>
      </c>
      <c r="G10" s="24" t="n"/>
      <c r="H10" s="24" t="n"/>
      <c r="I10" s="24" t="inlineStr"/>
      <c r="J10" s="24" t="inlineStr">
        <is>
          <t>2023/01/12</t>
        </is>
      </c>
    </row>
    <row r="11">
      <c r="B11" s="24" t="inlineStr">
        <is>
          <t>clr_asset_others_resource</t>
        </is>
      </c>
      <c r="C11" s="24" t="inlineStr">
        <is>
          <t>FORESTAGE</t>
        </is>
      </c>
      <c r="D11" s="24" t="inlineStr">
        <is>
          <t>int</t>
        </is>
      </c>
      <c r="E11" s="24" t="inlineStr">
        <is>
          <t>YES</t>
        </is>
      </c>
      <c r="F11" s="24" t="inlineStr">
        <is>
          <t>林地林龄</t>
        </is>
      </c>
      <c r="G11" s="24" t="n"/>
      <c r="H11" s="24" t="n"/>
      <c r="I11" s="24" t="inlineStr"/>
      <c r="J11" s="24" t="inlineStr">
        <is>
          <t>2023/01/12</t>
        </is>
      </c>
    </row>
    <row r="12">
      <c r="B12" s="24" t="inlineStr">
        <is>
          <t>clr_asset_others_resource</t>
        </is>
      </c>
      <c r="C12" s="24" t="inlineStr">
        <is>
          <t>TREEAMOUNT</t>
        </is>
      </c>
      <c r="D12" s="24" t="inlineStr">
        <is>
          <t>int</t>
        </is>
      </c>
      <c r="E12" s="24" t="inlineStr">
        <is>
          <t>YES</t>
        </is>
      </c>
      <c r="F12" s="24" t="inlineStr">
        <is>
          <t>林地株数</t>
        </is>
      </c>
      <c r="G12" s="24" t="n"/>
      <c r="H12" s="24" t="n"/>
      <c r="I12" s="24" t="inlineStr"/>
      <c r="J12" s="24" t="inlineStr">
        <is>
          <t>2023/01/12</t>
        </is>
      </c>
    </row>
    <row r="13">
      <c r="B13" s="24" t="inlineStr">
        <is>
          <t>clr_asset_others_resource</t>
        </is>
      </c>
      <c r="C13" s="24" t="inlineStr">
        <is>
          <t>SAVEUP</t>
        </is>
      </c>
      <c r="D13" s="24" t="inlineStr">
        <is>
          <t>int</t>
        </is>
      </c>
      <c r="E13" s="24" t="inlineStr">
        <is>
          <t>YES</t>
        </is>
      </c>
      <c r="F13" s="24" t="inlineStr">
        <is>
          <t>林地蓄积</t>
        </is>
      </c>
      <c r="G13" s="24" t="n"/>
      <c r="H13" s="24" t="n"/>
      <c r="I13" s="24" t="inlineStr"/>
      <c r="J13" s="24" t="inlineStr">
        <is>
          <t>2023/01/12</t>
        </is>
      </c>
    </row>
    <row r="14">
      <c r="B14" s="24" t="inlineStr">
        <is>
          <t>clr_asset_others_resource</t>
        </is>
      </c>
      <c r="C14" s="24" t="inlineStr">
        <is>
          <t>DOMINANTSHAREHOLDER</t>
        </is>
      </c>
      <c r="D14" s="24" t="inlineStr">
        <is>
          <t>varchar(80)</t>
        </is>
      </c>
      <c r="E14" s="24" t="inlineStr">
        <is>
          <t>YES</t>
        </is>
      </c>
      <c r="F14" s="24" t="inlineStr">
        <is>
          <t>控股股东</t>
        </is>
      </c>
      <c r="G14" s="24" t="n"/>
      <c r="H14" s="24" t="n"/>
      <c r="I14" s="24" t="inlineStr"/>
      <c r="J14" s="24" t="inlineStr">
        <is>
          <t>2023/01/12</t>
        </is>
      </c>
    </row>
    <row r="15">
      <c r="B15" s="24" t="inlineStr">
        <is>
          <t>clr_asset_others_resource</t>
        </is>
      </c>
      <c r="C15" s="24" t="inlineStr">
        <is>
          <t>MINENAME</t>
        </is>
      </c>
      <c r="D15" s="24" t="inlineStr">
        <is>
          <t>varchar(80)</t>
        </is>
      </c>
      <c r="E15" s="24" t="inlineStr">
        <is>
          <t>YES</t>
        </is>
      </c>
      <c r="F15" s="24" t="inlineStr">
        <is>
          <t>矿山名称/项目名称</t>
        </is>
      </c>
      <c r="G15" s="24" t="n"/>
      <c r="H15" s="24" t="n"/>
      <c r="I15" s="24" t="inlineStr"/>
      <c r="J15" s="24" t="inlineStr">
        <is>
          <t>2023/01/12</t>
        </is>
      </c>
    </row>
    <row r="16">
      <c r="B16" s="24" t="inlineStr">
        <is>
          <t>clr_asset_others_resource</t>
        </is>
      </c>
      <c r="C16" s="24" t="inlineStr">
        <is>
          <t>MINERALTYPE</t>
        </is>
      </c>
      <c r="D16" s="24" t="inlineStr">
        <is>
          <t>varchar(200)</t>
        </is>
      </c>
      <c r="E16" s="24" t="inlineStr">
        <is>
          <t>YES</t>
        </is>
      </c>
      <c r="F16" s="24" t="inlineStr">
        <is>
          <t>矿产种类</t>
        </is>
      </c>
      <c r="G16" s="24" t="n"/>
      <c r="H16" s="24" t="n"/>
      <c r="I16" s="24" t="inlineStr"/>
      <c r="J16" s="24" t="inlineStr">
        <is>
          <t>2023/01/12</t>
        </is>
      </c>
    </row>
    <row r="17">
      <c r="B17" s="24" t="inlineStr">
        <is>
          <t>clr_asset_others_resource</t>
        </is>
      </c>
      <c r="C17" s="24" t="inlineStr">
        <is>
          <t>MRSTARTDATE</t>
        </is>
      </c>
      <c r="D17" s="24" t="inlineStr">
        <is>
          <t>varchar(18)</t>
        </is>
      </c>
      <c r="E17" s="24" t="inlineStr">
        <is>
          <t>YES</t>
        </is>
      </c>
      <c r="F17" s="43" t="inlineStr">
        <is>
          <t>采矿权起始日/探矿权起始日/许可证起始日/发证起始日</t>
        </is>
      </c>
      <c r="G17" s="24" t="n"/>
      <c r="H17" s="24" t="n"/>
      <c r="I17" s="24" t="inlineStr"/>
      <c r="J17" s="24" t="inlineStr">
        <is>
          <t>2023/01/12</t>
        </is>
      </c>
    </row>
    <row r="18">
      <c r="B18" s="24" t="inlineStr">
        <is>
          <t>clr_asset_others_resource</t>
        </is>
      </c>
      <c r="C18" s="24" t="inlineStr">
        <is>
          <t>MRDUEDATE</t>
        </is>
      </c>
      <c r="D18" s="24" t="inlineStr">
        <is>
          <t>varchar(18)</t>
        </is>
      </c>
      <c r="E18" s="24" t="inlineStr">
        <is>
          <t>YES</t>
        </is>
      </c>
      <c r="F18" s="43" t="inlineStr">
        <is>
          <t>采矿权到期日/探矿权到期日/许可证到期日/发证到期日</t>
        </is>
      </c>
      <c r="G18" s="24" t="n"/>
      <c r="H18" s="24" t="n"/>
      <c r="I18" s="24" t="inlineStr"/>
      <c r="J18" s="24" t="inlineStr">
        <is>
          <t>2023/01/12</t>
        </is>
      </c>
    </row>
    <row r="19">
      <c r="B19" s="24" t="inlineStr">
        <is>
          <t>clr_asset_others_resource</t>
        </is>
      </c>
      <c r="C19" s="24" t="inlineStr">
        <is>
          <t>MININGMETHOD</t>
        </is>
      </c>
      <c r="D19" s="24" t="inlineStr">
        <is>
          <t>varchar(80)</t>
        </is>
      </c>
      <c r="E19" s="24" t="inlineStr">
        <is>
          <t>YES</t>
        </is>
      </c>
      <c r="F19" s="24" t="inlineStr">
        <is>
          <t>开采方式</t>
        </is>
      </c>
      <c r="G19" s="24" t="n"/>
      <c r="H19" s="24" t="n"/>
      <c r="I19" s="24" t="inlineStr"/>
      <c r="J19" s="24" t="inlineStr">
        <is>
          <t>2023/01/12</t>
        </is>
      </c>
    </row>
    <row r="20">
      <c r="B20" s="24" t="inlineStr">
        <is>
          <t>clr_asset_others_resource</t>
        </is>
      </c>
      <c r="C20" s="24" t="inlineStr">
        <is>
          <t>RETAINEDRESERVES</t>
        </is>
      </c>
      <c r="D20" s="24" t="inlineStr">
        <is>
          <t>varchar(200)</t>
        </is>
      </c>
      <c r="E20" s="24" t="inlineStr">
        <is>
          <t>YES</t>
        </is>
      </c>
      <c r="F20" s="24" t="inlineStr">
        <is>
          <t>保有资源储量</t>
        </is>
      </c>
      <c r="G20" s="24" t="n"/>
      <c r="H20" s="24" t="n"/>
      <c r="I20" s="24" t="inlineStr"/>
      <c r="J20" s="24" t="inlineStr">
        <is>
          <t>2023/01/12</t>
        </is>
      </c>
    </row>
    <row r="21">
      <c r="B21" s="24" t="inlineStr">
        <is>
          <t>clr_asset_others_resource</t>
        </is>
      </c>
      <c r="C21" s="24" t="inlineStr">
        <is>
          <t>MINERALGRADE</t>
        </is>
      </c>
      <c r="D21" s="24" t="inlineStr">
        <is>
          <t>varchar(200)</t>
        </is>
      </c>
      <c r="E21" s="24" t="inlineStr">
        <is>
          <t>YES</t>
        </is>
      </c>
      <c r="F21" s="24" t="inlineStr">
        <is>
          <t>矿产品位</t>
        </is>
      </c>
      <c r="G21" s="24" t="n"/>
      <c r="H21" s="24" t="n"/>
      <c r="I21" s="24" t="inlineStr"/>
      <c r="J21" s="24" t="inlineStr">
        <is>
          <t>2023/01/12</t>
        </is>
      </c>
    </row>
    <row r="22">
      <c r="B22" s="24" t="inlineStr">
        <is>
          <t>clr_asset_others_resource</t>
        </is>
      </c>
      <c r="C22" s="24" t="inlineStr">
        <is>
          <t>VERIFIEDRESERVES</t>
        </is>
      </c>
      <c r="D22" s="24" t="inlineStr">
        <is>
          <t>varchar(200)</t>
        </is>
      </c>
      <c r="E22" s="24" t="inlineStr">
        <is>
          <t>YES</t>
        </is>
      </c>
      <c r="F22" s="24" t="inlineStr">
        <is>
          <t>探明的经济基础储量</t>
        </is>
      </c>
      <c r="G22" s="24" t="n"/>
      <c r="H22" s="24" t="n"/>
      <c r="I22" s="24" t="inlineStr"/>
      <c r="J22" s="24" t="inlineStr">
        <is>
          <t>2023/01/12</t>
        </is>
      </c>
    </row>
    <row r="23">
      <c r="B23" s="24" t="inlineStr">
        <is>
          <t>clr_asset_others_resource</t>
        </is>
      </c>
      <c r="C23" s="24" t="inlineStr">
        <is>
          <t>EXPLIOTEDRESERVES</t>
        </is>
      </c>
      <c r="D23" s="24" t="inlineStr">
        <is>
          <t>varchar(200)</t>
        </is>
      </c>
      <c r="E23" s="24" t="inlineStr">
        <is>
          <t>YES</t>
        </is>
      </c>
      <c r="F23" s="24" t="inlineStr">
        <is>
          <t>其中已开采消耗储量</t>
        </is>
      </c>
      <c r="G23" s="24" t="n"/>
      <c r="H23" s="24" t="n"/>
      <c r="I23" s="24" t="inlineStr"/>
      <c r="J23" s="24" t="inlineStr">
        <is>
          <t>2023/01/12</t>
        </is>
      </c>
    </row>
    <row r="24">
      <c r="B24" s="24" t="inlineStr">
        <is>
          <t>clr_asset_others_resource</t>
        </is>
      </c>
      <c r="C24" s="24" t="inlineStr">
        <is>
          <t>CONTROLLEDRESERVES</t>
        </is>
      </c>
      <c r="D24" s="24" t="inlineStr">
        <is>
          <t>varchar(200)</t>
        </is>
      </c>
      <c r="E24" s="24" t="inlineStr">
        <is>
          <t>YES</t>
        </is>
      </c>
      <c r="F24" s="24" t="inlineStr">
        <is>
          <t>控制的经济基础储量</t>
        </is>
      </c>
      <c r="G24" s="24" t="n"/>
      <c r="H24" s="24" t="n"/>
      <c r="I24" s="24" t="inlineStr"/>
      <c r="J24" s="24" t="inlineStr">
        <is>
          <t>2023/01/12</t>
        </is>
      </c>
    </row>
    <row r="25">
      <c r="B25" s="24" t="inlineStr">
        <is>
          <t>clr_asset_others_resource</t>
        </is>
      </c>
      <c r="C25" s="24" t="inlineStr">
        <is>
          <t>INFERREDRESERVES</t>
        </is>
      </c>
      <c r="D25" s="24" t="inlineStr">
        <is>
          <t>varchar(200)</t>
        </is>
      </c>
      <c r="E25" s="24" t="inlineStr">
        <is>
          <t>YES</t>
        </is>
      </c>
      <c r="F25" s="24" t="inlineStr">
        <is>
          <t>推断内蕴经济资源量</t>
        </is>
      </c>
      <c r="G25" s="24" t="n"/>
      <c r="H25" s="24" t="n"/>
      <c r="I25" s="24" t="inlineStr"/>
      <c r="J25" s="24" t="inlineStr">
        <is>
          <t>2023/01/12</t>
        </is>
      </c>
    </row>
    <row r="26">
      <c r="B26" s="24" t="inlineStr">
        <is>
          <t>clr_asset_others_resource</t>
        </is>
      </c>
      <c r="C26" s="24" t="inlineStr">
        <is>
          <t>RECOVERYRATE</t>
        </is>
      </c>
      <c r="D26" s="24" t="inlineStr">
        <is>
          <t>decimal(18,8)</t>
        </is>
      </c>
      <c r="E26" s="24" t="inlineStr">
        <is>
          <t>YES</t>
        </is>
      </c>
      <c r="F26" s="24" t="inlineStr">
        <is>
          <t>回采率</t>
        </is>
      </c>
      <c r="G26" s="24" t="n"/>
      <c r="H26" s="24" t="n"/>
      <c r="I26" s="24" t="inlineStr"/>
      <c r="J26" s="24" t="inlineStr">
        <is>
          <t>2023/01/12</t>
        </is>
      </c>
    </row>
    <row r="27">
      <c r="B27" s="24" t="inlineStr">
        <is>
          <t>clr_asset_others_resource</t>
        </is>
      </c>
      <c r="C27" s="24" t="inlineStr">
        <is>
          <t>PRODUCTIONSCALE</t>
        </is>
      </c>
      <c r="D27" s="24" t="inlineStr">
        <is>
          <t>varchar(200)</t>
        </is>
      </c>
      <c r="E27" s="24" t="inlineStr">
        <is>
          <t>YES</t>
        </is>
      </c>
      <c r="F27" s="24" t="inlineStr">
        <is>
          <t>生产规模能力</t>
        </is>
      </c>
      <c r="G27" s="24" t="n"/>
      <c r="H27" s="24" t="n"/>
      <c r="I27" s="24" t="inlineStr"/>
      <c r="J27" s="24" t="inlineStr">
        <is>
          <t>2023/01/12</t>
        </is>
      </c>
    </row>
    <row r="28">
      <c r="B28" s="24" t="inlineStr">
        <is>
          <t>clr_asset_others_resource</t>
        </is>
      </c>
      <c r="C28" s="24" t="inlineStr">
        <is>
          <t>PRODUCTONTIMEPASSED</t>
        </is>
      </c>
      <c r="D28" s="24" t="inlineStr">
        <is>
          <t>decimal(18,2)</t>
        </is>
      </c>
      <c r="E28" s="24" t="inlineStr">
        <is>
          <t>YES</t>
        </is>
      </c>
      <c r="F28" s="24" t="inlineStr">
        <is>
          <t>已投入采矿生产时间</t>
        </is>
      </c>
      <c r="G28" s="24" t="n"/>
      <c r="H28" s="24" t="n"/>
      <c r="I28" s="24" t="inlineStr"/>
      <c r="J28" s="24" t="inlineStr">
        <is>
          <t>2023/01/12</t>
        </is>
      </c>
    </row>
    <row r="29">
      <c r="B29" s="24" t="inlineStr">
        <is>
          <t>clr_asset_others_resource</t>
        </is>
      </c>
      <c r="C29" s="24" t="inlineStr">
        <is>
          <t>PRODUCTIONTIMEREMAINED</t>
        </is>
      </c>
      <c r="D29" s="24" t="inlineStr">
        <is>
          <t>decimal(18,2)</t>
        </is>
      </c>
      <c r="E29" s="24" t="inlineStr">
        <is>
          <t>YES</t>
        </is>
      </c>
      <c r="F29" s="24" t="inlineStr">
        <is>
          <t>预计剩余可生产时间</t>
        </is>
      </c>
      <c r="G29" s="24" t="n"/>
      <c r="H29" s="24" t="n"/>
      <c r="I29" s="24" t="inlineStr"/>
      <c r="J29" s="24" t="inlineStr">
        <is>
          <t>2023/01/12</t>
        </is>
      </c>
    </row>
    <row r="30">
      <c r="B30" s="24" t="inlineStr">
        <is>
          <t>clr_asset_others_resource</t>
        </is>
      </c>
      <c r="C30" s="24" t="inlineStr">
        <is>
          <t>ANNUALOUTPUT</t>
        </is>
      </c>
      <c r="D30" s="24" t="inlineStr">
        <is>
          <t>varchar(200)</t>
        </is>
      </c>
      <c r="E30" s="24" t="inlineStr">
        <is>
          <t>YES</t>
        </is>
      </c>
      <c r="F30" s="24" t="inlineStr">
        <is>
          <t>年产量</t>
        </is>
      </c>
      <c r="G30" s="24" t="n"/>
      <c r="H30" s="24" t="n"/>
      <c r="I30" s="24" t="inlineStr"/>
      <c r="J30" s="24" t="inlineStr">
        <is>
          <t>2023/01/12</t>
        </is>
      </c>
    </row>
    <row r="31">
      <c r="B31" s="24" t="inlineStr">
        <is>
          <t>clr_asset_others_resource</t>
        </is>
      </c>
      <c r="C31" s="24" t="inlineStr">
        <is>
          <t>PRODUCTIONPRICE</t>
        </is>
      </c>
      <c r="D31" s="24" t="inlineStr">
        <is>
          <t>varchar(200)</t>
        </is>
      </c>
      <c r="E31" s="24" t="inlineStr">
        <is>
          <t>YES</t>
        </is>
      </c>
      <c r="F31" s="24" t="inlineStr">
        <is>
          <t>产品价格</t>
        </is>
      </c>
      <c r="G31" s="24" t="n"/>
      <c r="H31" s="24" t="n"/>
      <c r="I31" s="24" t="inlineStr"/>
      <c r="J31" s="24" t="inlineStr">
        <is>
          <t>2023/01/12</t>
        </is>
      </c>
    </row>
    <row r="32">
      <c r="B32" s="24" t="inlineStr">
        <is>
          <t>clr_asset_others_resource</t>
        </is>
      </c>
      <c r="C32" s="24" t="inlineStr">
        <is>
          <t>DSHEXPERIENCE</t>
        </is>
      </c>
      <c r="D32" s="24" t="inlineStr">
        <is>
          <t>decimal(18,2)</t>
        </is>
      </c>
      <c r="E32" s="24" t="inlineStr">
        <is>
          <t>YES</t>
        </is>
      </c>
      <c r="F32" s="24" t="inlineStr">
        <is>
          <t>控股股东从事矿业开采从业时间</t>
        </is>
      </c>
      <c r="G32" s="24" t="n"/>
      <c r="H32" s="24" t="n"/>
      <c r="I32" s="24" t="inlineStr"/>
      <c r="J32" s="24" t="inlineStr">
        <is>
          <t>2023/01/12</t>
        </is>
      </c>
    </row>
    <row r="33">
      <c r="B33" s="24" t="inlineStr">
        <is>
          <t>clr_asset_others_resource</t>
        </is>
      </c>
      <c r="C33" s="24" t="inlineStr">
        <is>
          <t>MININGATT01</t>
        </is>
      </c>
      <c r="D33" s="24" t="inlineStr">
        <is>
          <t>varchar(200)</t>
        </is>
      </c>
      <c r="E33" s="24" t="inlineStr">
        <is>
          <t>YES</t>
        </is>
      </c>
      <c r="F33" s="24" t="inlineStr">
        <is>
          <t>采矿权使用费及采矿权价款缴纳情况</t>
        </is>
      </c>
      <c r="G33" s="24" t="n"/>
      <c r="H33" s="24" t="n"/>
      <c r="I33" s="24" t="inlineStr"/>
      <c r="J33" s="24" t="inlineStr">
        <is>
          <t>2023/01/12</t>
        </is>
      </c>
    </row>
    <row r="34">
      <c r="B34" s="24" t="inlineStr">
        <is>
          <t>clr_asset_others_resource</t>
        </is>
      </c>
      <c r="C34" s="24" t="inlineStr">
        <is>
          <t>MININGATT02</t>
        </is>
      </c>
      <c r="D34" s="24" t="inlineStr">
        <is>
          <t>varchar(200)</t>
        </is>
      </c>
      <c r="E34" s="24" t="inlineStr">
        <is>
          <t>YES</t>
        </is>
      </c>
      <c r="F34" s="24" t="inlineStr">
        <is>
          <t>矿产资源补偿费缴纳情况</t>
        </is>
      </c>
      <c r="G34" s="24" t="n"/>
      <c r="H34" s="24" t="n"/>
      <c r="I34" s="24" t="inlineStr"/>
      <c r="J34" s="24" t="inlineStr">
        <is>
          <t>2023/01/12</t>
        </is>
      </c>
    </row>
    <row r="35">
      <c r="B35" s="24" t="inlineStr">
        <is>
          <t>clr_asset_others_resource</t>
        </is>
      </c>
      <c r="C35" s="24" t="inlineStr">
        <is>
          <t>MININGATT03</t>
        </is>
      </c>
      <c r="D35" s="24" t="inlineStr">
        <is>
          <t>varchar(200)</t>
        </is>
      </c>
      <c r="E35" s="24" t="inlineStr">
        <is>
          <t>YES</t>
        </is>
      </c>
      <c r="F35" s="24" t="inlineStr">
        <is>
          <t>资源税缴纳情况</t>
        </is>
      </c>
      <c r="G35" s="24" t="n"/>
      <c r="H35" s="24" t="n"/>
      <c r="I35" s="24" t="inlineStr"/>
      <c r="J35" s="24" t="inlineStr">
        <is>
          <t>2023/01/12</t>
        </is>
      </c>
    </row>
    <row r="36">
      <c r="B36" s="24" t="inlineStr">
        <is>
          <t>clr_asset_others_resource</t>
        </is>
      </c>
      <c r="C36" s="24" t="inlineStr">
        <is>
          <t>MININGATT04</t>
        </is>
      </c>
      <c r="D36" s="24" t="inlineStr">
        <is>
          <t>varchar(200)</t>
        </is>
      </c>
      <c r="E36" s="24" t="inlineStr">
        <is>
          <t>YES</t>
        </is>
      </c>
      <c r="F36" s="24" t="inlineStr">
        <is>
          <t>安全评估情况</t>
        </is>
      </c>
      <c r="G36" s="24" t="n"/>
      <c r="H36" s="24" t="n"/>
      <c r="I36" s="24" t="inlineStr"/>
      <c r="J36" s="24" t="inlineStr">
        <is>
          <t>2023/01/12</t>
        </is>
      </c>
    </row>
    <row r="37">
      <c r="B37" s="24" t="inlineStr">
        <is>
          <t>clr_asset_others_resource</t>
        </is>
      </c>
      <c r="C37" s="24" t="inlineStr">
        <is>
          <t>MININGATT05</t>
        </is>
      </c>
      <c r="D37" s="24" t="inlineStr">
        <is>
          <t>varchar(200)</t>
        </is>
      </c>
      <c r="E37" s="24" t="inlineStr">
        <is>
          <t>YES</t>
        </is>
      </c>
      <c r="F37" s="24" t="inlineStr">
        <is>
          <t>年度审查情况</t>
        </is>
      </c>
      <c r="G37" s="24" t="n"/>
      <c r="H37" s="24" t="n"/>
      <c r="I37" s="24" t="inlineStr"/>
      <c r="J37" s="24" t="inlineStr">
        <is>
          <t>2023/01/12</t>
        </is>
      </c>
    </row>
    <row r="38">
      <c r="B38" s="24" t="inlineStr">
        <is>
          <t>clr_asset_others_resource</t>
        </is>
      </c>
      <c r="C38" s="24" t="inlineStr">
        <is>
          <t>MININGFLAG01</t>
        </is>
      </c>
      <c r="D38" s="24" t="inlineStr">
        <is>
          <t>varchar(200)</t>
        </is>
      </c>
      <c r="E38" s="24" t="inlineStr">
        <is>
          <t>YES</t>
        </is>
      </c>
      <c r="F38" s="24" t="inlineStr">
        <is>
          <t>是否需要申请项目融资</t>
        </is>
      </c>
      <c r="G38" s="52">
        <f>HYPERLINK("#码值映射清单!B5150","YesNo")</f>
        <v/>
      </c>
      <c r="H38" s="24" t="n"/>
      <c r="I38" s="24" t="inlineStr"/>
      <c r="J38" s="24" t="inlineStr">
        <is>
          <t>2023/01/12</t>
        </is>
      </c>
    </row>
    <row r="39">
      <c r="B39" s="24" t="inlineStr">
        <is>
          <t>clr_asset_others_resource</t>
        </is>
      </c>
      <c r="C39" s="24" t="inlineStr">
        <is>
          <t>WOODLANDOBLIGEE</t>
        </is>
      </c>
      <c r="D39" s="24" t="inlineStr">
        <is>
          <t>varchar(80)</t>
        </is>
      </c>
      <c r="E39" s="24" t="inlineStr">
        <is>
          <t>YES</t>
        </is>
      </c>
      <c r="F39" s="24" t="inlineStr">
        <is>
          <t>林地所有权权利人</t>
        </is>
      </c>
      <c r="G39" s="24" t="n"/>
      <c r="H39" s="24" t="n"/>
      <c r="I39" s="24" t="inlineStr"/>
      <c r="J39" s="24" t="inlineStr">
        <is>
          <t>2023/01/12</t>
        </is>
      </c>
    </row>
    <row r="40">
      <c r="B40" s="24" t="inlineStr">
        <is>
          <t>clr_asset_others_resource</t>
        </is>
      </c>
      <c r="C40" s="24" t="inlineStr">
        <is>
          <t>FORESTOBLIGEE</t>
        </is>
      </c>
      <c r="D40" s="24" t="inlineStr">
        <is>
          <t>varchar(80)</t>
        </is>
      </c>
      <c r="E40" s="24" t="inlineStr">
        <is>
          <t>YES</t>
        </is>
      </c>
      <c r="F40" s="24" t="inlineStr">
        <is>
          <t>森林或林木所有权权利人</t>
        </is>
      </c>
      <c r="G40" s="24" t="n"/>
      <c r="H40" s="24" t="n"/>
      <c r="I40" s="24" t="inlineStr"/>
      <c r="J40" s="24" t="inlineStr">
        <is>
          <t>2023/01/12</t>
        </is>
      </c>
    </row>
    <row r="41">
      <c r="B41" s="24" t="inlineStr">
        <is>
          <t>clr_asset_others_resource</t>
        </is>
      </c>
      <c r="C41" s="24" t="inlineStr">
        <is>
          <t>WOODLANDSECONDLEVELTYPE</t>
        </is>
      </c>
      <c r="D41" s="24" t="inlineStr">
        <is>
          <t>varchar(18)</t>
        </is>
      </c>
      <c r="E41" s="24" t="inlineStr">
        <is>
          <t>YES</t>
        </is>
      </c>
      <c r="F41" s="24" t="inlineStr">
        <is>
          <t>林地二级地类</t>
        </is>
      </c>
      <c r="G41" s="52">
        <f>HYPERLINK("#码值映射清单!B7958","WoodlandSubType")</f>
        <v/>
      </c>
      <c r="H41" s="24" t="n"/>
      <c r="I41" s="24" t="inlineStr"/>
      <c r="J41" s="24" t="inlineStr">
        <is>
          <t>2023/01/12</t>
        </is>
      </c>
    </row>
    <row r="42">
      <c r="B42" s="24" t="inlineStr">
        <is>
          <t>clr_asset_others_resource</t>
        </is>
      </c>
      <c r="C42" s="24" t="inlineStr">
        <is>
          <t>NATURALCALAMITY</t>
        </is>
      </c>
      <c r="D42" s="24" t="inlineStr">
        <is>
          <t>varchar(200)</t>
        </is>
      </c>
      <c r="E42" s="24" t="inlineStr">
        <is>
          <t>YES</t>
        </is>
      </c>
      <c r="F42" s="24" t="inlineStr">
        <is>
          <t>自然灾害发生情况</t>
        </is>
      </c>
      <c r="G42" s="24" t="n"/>
      <c r="H42" s="24" t="n"/>
      <c r="I42" s="24" t="inlineStr"/>
      <c r="J42" s="24" t="inlineStr">
        <is>
          <t>2023/01/12</t>
        </is>
      </c>
    </row>
    <row r="43">
      <c r="B43" s="24" t="inlineStr">
        <is>
          <t>clr_asset_others_resource</t>
        </is>
      </c>
      <c r="C43" s="24" t="inlineStr">
        <is>
          <t>ROWSPACING</t>
        </is>
      </c>
      <c r="D43" s="24" t="inlineStr">
        <is>
          <t>varchar(200)</t>
        </is>
      </c>
      <c r="E43" s="24" t="inlineStr">
        <is>
          <t>YES</t>
        </is>
      </c>
      <c r="F43" s="24" t="inlineStr">
        <is>
          <t>株行距情况</t>
        </is>
      </c>
      <c r="G43" s="24" t="n"/>
      <c r="H43" s="24" t="n"/>
      <c r="I43" s="24" t="inlineStr"/>
      <c r="J43" s="24" t="inlineStr">
        <is>
          <t>2023/01/12</t>
        </is>
      </c>
    </row>
    <row r="44">
      <c r="B44" s="24" t="inlineStr">
        <is>
          <t>clr_asset_others_resource</t>
        </is>
      </c>
      <c r="C44" s="24" t="inlineStr">
        <is>
          <t>RCP</t>
        </is>
      </c>
      <c r="D44" s="24" t="inlineStr">
        <is>
          <t>decimal(18,2)</t>
        </is>
      </c>
      <c r="E44" s="24" t="inlineStr">
        <is>
          <t>YES</t>
        </is>
      </c>
      <c r="F44" s="24" t="inlineStr">
        <is>
          <t>轮伐期</t>
        </is>
      </c>
      <c r="G44" s="24" t="n"/>
      <c r="H44" s="24" t="n"/>
      <c r="I44" s="24" t="inlineStr"/>
      <c r="J44" s="24" t="inlineStr">
        <is>
          <t>2023/01/12</t>
        </is>
      </c>
    </row>
    <row r="45">
      <c r="B45" s="24" t="inlineStr">
        <is>
          <t>clr_asset_others_resource</t>
        </is>
      </c>
      <c r="C45" s="24" t="inlineStr">
        <is>
          <t>OTHERVEGETATION</t>
        </is>
      </c>
      <c r="D45" s="24" t="inlineStr">
        <is>
          <t>varchar(200)</t>
        </is>
      </c>
      <c r="E45" s="24" t="inlineStr">
        <is>
          <t>YES</t>
        </is>
      </c>
      <c r="F45" s="24" t="inlineStr">
        <is>
          <t>其他植被情况</t>
        </is>
      </c>
      <c r="G45" s="24" t="n"/>
      <c r="H45" s="24" t="n"/>
      <c r="I45" s="24" t="inlineStr"/>
      <c r="J45" s="24" t="inlineStr">
        <is>
          <t>2023/01/12</t>
        </is>
      </c>
    </row>
    <row r="46">
      <c r="B46" s="24" t="inlineStr">
        <is>
          <t>clr_asset_others_resource</t>
        </is>
      </c>
      <c r="C46" s="24" t="inlineStr">
        <is>
          <t>WOODANNUALOUTPUT</t>
        </is>
      </c>
      <c r="D46" s="24" t="inlineStr">
        <is>
          <t>varchar(200)</t>
        </is>
      </c>
      <c r="E46" s="24" t="inlineStr">
        <is>
          <t>YES</t>
        </is>
      </c>
      <c r="F46" s="24" t="inlineStr">
        <is>
          <t>林木年产量情况</t>
        </is>
      </c>
      <c r="G46" s="24" t="n"/>
      <c r="H46" s="24" t="n"/>
      <c r="I46" s="24" t="inlineStr"/>
      <c r="J46" s="24" t="inlineStr">
        <is>
          <t>2023/01/12</t>
        </is>
      </c>
    </row>
    <row r="47">
      <c r="B47" s="24" t="inlineStr">
        <is>
          <t>clr_asset_others_resource</t>
        </is>
      </c>
      <c r="C47" s="24" t="inlineStr">
        <is>
          <t>WOODPRICEMEMO</t>
        </is>
      </c>
      <c r="D47" s="24" t="inlineStr">
        <is>
          <t>varchar(200)</t>
        </is>
      </c>
      <c r="E47" s="24" t="inlineStr">
        <is>
          <t>YES</t>
        </is>
      </c>
      <c r="F47" s="24" t="inlineStr">
        <is>
          <t>木材价格描述</t>
        </is>
      </c>
      <c r="G47" s="24" t="n"/>
      <c r="H47" s="24" t="n"/>
      <c r="I47" s="24" t="inlineStr"/>
      <c r="J47" s="24" t="inlineStr">
        <is>
          <t>2023/01/12</t>
        </is>
      </c>
    </row>
    <row r="48">
      <c r="B48" s="24" t="inlineStr">
        <is>
          <t>clr_asset_others_resource</t>
        </is>
      </c>
      <c r="C48" s="24" t="inlineStr">
        <is>
          <t>MECHANIZATIONLEVEL</t>
        </is>
      </c>
      <c r="D48" s="24" t="inlineStr">
        <is>
          <t>varchar(200)</t>
        </is>
      </c>
      <c r="E48" s="24" t="inlineStr">
        <is>
          <t>YES</t>
        </is>
      </c>
      <c r="F48" s="24" t="inlineStr">
        <is>
          <t>机械化水平/农业技术水平</t>
        </is>
      </c>
      <c r="G48" s="24" t="n"/>
      <c r="H48" s="24" t="n"/>
      <c r="I48" s="24" t="inlineStr"/>
      <c r="J48" s="24" t="inlineStr">
        <is>
          <t>2023/01/12</t>
        </is>
      </c>
    </row>
    <row r="49">
      <c r="B49" s="24" t="inlineStr">
        <is>
          <t>clr_asset_others_resource</t>
        </is>
      </c>
      <c r="C49" s="24" t="inlineStr">
        <is>
          <t>USAGEPERIOD</t>
        </is>
      </c>
      <c r="D49" s="24" t="inlineStr">
        <is>
          <t>decimal(18,2)</t>
        </is>
      </c>
      <c r="E49" s="24" t="inlineStr">
        <is>
          <t>YES</t>
        </is>
      </c>
      <c r="F49" s="24" t="inlineStr">
        <is>
          <t>林地使用期</t>
        </is>
      </c>
      <c r="G49" s="24" t="n"/>
      <c r="H49" s="24" t="n"/>
      <c r="I49" s="24" t="inlineStr"/>
      <c r="J49" s="24" t="inlineStr">
        <is>
          <t>2023/01/12</t>
        </is>
      </c>
    </row>
    <row r="50">
      <c r="B50" s="24" t="inlineStr">
        <is>
          <t>clr_asset_others_resource</t>
        </is>
      </c>
      <c r="C50" s="24" t="inlineStr">
        <is>
          <t>TIMEPASSED</t>
        </is>
      </c>
      <c r="D50" s="24" t="inlineStr">
        <is>
          <t>decimal(18,2)</t>
        </is>
      </c>
      <c r="E50" s="24" t="inlineStr">
        <is>
          <t>YES</t>
        </is>
      </c>
      <c r="F50" s="24" t="inlineStr">
        <is>
          <t>林地已使用时间</t>
        </is>
      </c>
      <c r="G50" s="24" t="n"/>
      <c r="H50" s="24" t="n"/>
      <c r="I50" s="24" t="inlineStr"/>
      <c r="J50" s="24" t="inlineStr">
        <is>
          <t>2023/01/12</t>
        </is>
      </c>
    </row>
    <row r="51">
      <c r="B51" s="24" t="inlineStr">
        <is>
          <t>clr_asset_others_resource</t>
        </is>
      </c>
      <c r="C51" s="24" t="inlineStr">
        <is>
          <t>WOODLANDRIGHTDUEDATE</t>
        </is>
      </c>
      <c r="D51" s="24" t="inlineStr">
        <is>
          <t>varchar(18)</t>
        </is>
      </c>
      <c r="E51" s="24" t="inlineStr">
        <is>
          <t>YES</t>
        </is>
      </c>
      <c r="F51" s="24" t="inlineStr">
        <is>
          <t>林地使用权终止日期</t>
        </is>
      </c>
      <c r="G51" s="24" t="n"/>
      <c r="H51" s="24" t="n"/>
      <c r="I51" s="24" t="inlineStr"/>
      <c r="J51" s="24" t="inlineStr">
        <is>
          <t>2023/01/12</t>
        </is>
      </c>
    </row>
    <row r="52">
      <c r="B52" s="24" t="inlineStr">
        <is>
          <t>clr_asset_others_resource</t>
        </is>
      </c>
      <c r="C52" s="24" t="inlineStr">
        <is>
          <t>TRAFFICCONDITON</t>
        </is>
      </c>
      <c r="D52" s="24" t="inlineStr">
        <is>
          <t>varchar(200)</t>
        </is>
      </c>
      <c r="E52" s="24" t="inlineStr">
        <is>
          <t>YES</t>
        </is>
      </c>
      <c r="F52" s="24" t="inlineStr">
        <is>
          <t>交通条件</t>
        </is>
      </c>
      <c r="G52" s="24" t="n"/>
      <c r="H52" s="24" t="n"/>
      <c r="I52" s="24" t="inlineStr"/>
      <c r="J52" s="24" t="inlineStr">
        <is>
          <t>2023/01/12</t>
        </is>
      </c>
    </row>
    <row r="53">
      <c r="B53" s="24" t="inlineStr">
        <is>
          <t>clr_asset_others_resource</t>
        </is>
      </c>
      <c r="C53" s="24" t="inlineStr">
        <is>
          <t>NATIONPOLICY</t>
        </is>
      </c>
      <c r="D53" s="24" t="inlineStr">
        <is>
          <t>varchar(200)</t>
        </is>
      </c>
      <c r="E53" s="24" t="inlineStr">
        <is>
          <t>YES</t>
        </is>
      </c>
      <c r="F53" s="24" t="inlineStr">
        <is>
          <t>国家政策</t>
        </is>
      </c>
      <c r="G53" s="24" t="n"/>
      <c r="H53" s="24" t="n"/>
      <c r="I53" s="24" t="inlineStr"/>
      <c r="J53" s="24" t="inlineStr">
        <is>
          <t>2023/01/12</t>
        </is>
      </c>
    </row>
    <row r="54">
      <c r="B54" s="24" t="inlineStr">
        <is>
          <t>clr_asset_others_resource</t>
        </is>
      </c>
      <c r="C54" s="24" t="inlineStr">
        <is>
          <t>LANDRENTINCOME</t>
        </is>
      </c>
      <c r="D54" s="24" t="inlineStr">
        <is>
          <t>decimal(24,6)</t>
        </is>
      </c>
      <c r="E54" s="24" t="inlineStr">
        <is>
          <t>YES</t>
        </is>
      </c>
      <c r="F54" s="24" t="inlineStr">
        <is>
          <t>土地租金年收入</t>
        </is>
      </c>
      <c r="G54" s="24" t="n"/>
      <c r="H54" s="24" t="n"/>
      <c r="I54" s="24" t="inlineStr"/>
      <c r="J54" s="24" t="inlineStr">
        <is>
          <t>2023/01/12</t>
        </is>
      </c>
    </row>
    <row r="55">
      <c r="B55" s="24" t="inlineStr">
        <is>
          <t>clr_asset_others_resource</t>
        </is>
      </c>
      <c r="C55" s="24" t="inlineStr">
        <is>
          <t>MININGFLAG02</t>
        </is>
      </c>
      <c r="D55" s="24" t="inlineStr">
        <is>
          <t>char(1)</t>
        </is>
      </c>
      <c r="E55" s="24" t="inlineStr">
        <is>
          <t>YES</t>
        </is>
      </c>
      <c r="F55" s="24" t="inlineStr">
        <is>
          <t>采矿权是否符合转让条件</t>
        </is>
      </c>
      <c r="G55" s="52">
        <f>HYPERLINK("#码值映射清单!B5150","YesNo")</f>
        <v/>
      </c>
      <c r="H55" s="24" t="n"/>
      <c r="I55" s="24" t="inlineStr"/>
      <c r="J55" s="24" t="inlineStr">
        <is>
          <t>2023/01/12</t>
        </is>
      </c>
    </row>
    <row r="56">
      <c r="B56" s="24" t="inlineStr">
        <is>
          <t>clr_asset_others_resource</t>
        </is>
      </c>
      <c r="C56" s="24" t="inlineStr">
        <is>
          <t>MININGFLAG03</t>
        </is>
      </c>
      <c r="D56" s="24" t="inlineStr">
        <is>
          <t>char(1)</t>
        </is>
      </c>
      <c r="E56" s="24" t="inlineStr">
        <is>
          <t>YES</t>
        </is>
      </c>
      <c r="F56" s="24" t="inlineStr">
        <is>
          <t>采矿权是否已出租</t>
        </is>
      </c>
      <c r="G56" s="52">
        <f>HYPERLINK("#码值映射清单!B5150","YesNo")</f>
        <v/>
      </c>
      <c r="H56" s="24" t="n"/>
      <c r="I56" s="24" t="inlineStr"/>
      <c r="J56" s="24" t="inlineStr">
        <is>
          <t>2023/01/12</t>
        </is>
      </c>
    </row>
    <row r="57">
      <c r="B57" s="24" t="inlineStr">
        <is>
          <t>clr_asset_others_resource</t>
        </is>
      </c>
      <c r="C57" s="24" t="inlineStr">
        <is>
          <t>RESOURCERIGHTNO</t>
        </is>
      </c>
      <c r="D57" s="24" t="inlineStr">
        <is>
          <t>varchar(80)</t>
        </is>
      </c>
      <c r="E57" s="24" t="inlineStr">
        <is>
          <t>YES</t>
        </is>
      </c>
      <c r="F57" s="43" t="inlineStr">
        <is>
          <t>采矿权权证号/海域使用权登记号/探矿权权证号/林权证编号/资产权证号/证书编号</t>
        </is>
      </c>
      <c r="G57" s="24" t="n"/>
      <c r="H57" s="24" t="n"/>
      <c r="I57" s="24" t="inlineStr"/>
      <c r="J57" s="24" t="inlineStr">
        <is>
          <t>2023/01/12</t>
        </is>
      </c>
    </row>
    <row r="58">
      <c r="B58" s="24" t="inlineStr">
        <is>
          <t>clr_asset_others_resource</t>
        </is>
      </c>
      <c r="C58" s="24" t="inlineStr">
        <is>
          <t>BOUNDARY</t>
        </is>
      </c>
      <c r="D58" s="24" t="inlineStr">
        <is>
          <t>varchar(200)</t>
        </is>
      </c>
      <c r="E58" s="24" t="inlineStr">
        <is>
          <t>YES</t>
        </is>
      </c>
      <c r="F58" s="24" t="inlineStr">
        <is>
          <t>海域界址</t>
        </is>
      </c>
      <c r="G58" s="24" t="n"/>
      <c r="H58" s="24" t="n"/>
      <c r="I58" s="24" t="inlineStr"/>
      <c r="J58" s="24" t="inlineStr">
        <is>
          <t>2023/01/12</t>
        </is>
      </c>
    </row>
    <row r="59">
      <c r="B59" s="24" t="inlineStr">
        <is>
          <t>clr_asset_others_resource</t>
        </is>
      </c>
      <c r="C59" s="24" t="inlineStr">
        <is>
          <t>GNTWATERSAREA</t>
        </is>
      </c>
      <c r="D59" s="24" t="inlineStr">
        <is>
          <t>decimal(18,2)</t>
        </is>
      </c>
      <c r="E59" s="24" t="inlineStr">
        <is>
          <t>YES</t>
        </is>
      </c>
      <c r="F59" s="24" t="inlineStr">
        <is>
          <t>宗海面积</t>
        </is>
      </c>
      <c r="G59" s="24" t="n"/>
      <c r="H59" s="24" t="n"/>
      <c r="I59" s="24" t="inlineStr"/>
      <c r="J59" s="24" t="inlineStr">
        <is>
          <t>2023/01/12</t>
        </is>
      </c>
    </row>
    <row r="60">
      <c r="B60" s="24" t="inlineStr">
        <is>
          <t>clr_asset_others_resource</t>
        </is>
      </c>
      <c r="C60" s="24" t="inlineStr">
        <is>
          <t>ANNUALSURVEY</t>
        </is>
      </c>
      <c r="D60" s="24" t="inlineStr">
        <is>
          <t>varchar(200)</t>
        </is>
      </c>
      <c r="E60" s="24" t="inlineStr">
        <is>
          <t>YES</t>
        </is>
      </c>
      <c r="F60" s="24" t="inlineStr">
        <is>
          <t>海域使用权的年度审查情况</t>
        </is>
      </c>
      <c r="G60" s="24" t="n"/>
      <c r="H60" s="24" t="n"/>
      <c r="I60" s="24" t="inlineStr"/>
      <c r="J60" s="24" t="inlineStr">
        <is>
          <t>2023/01/12</t>
        </is>
      </c>
    </row>
    <row r="61">
      <c r="B61" s="24" t="inlineStr">
        <is>
          <t>clr_asset_others_resource</t>
        </is>
      </c>
      <c r="C61" s="24" t="inlineStr">
        <is>
          <t>WATERSGRADE</t>
        </is>
      </c>
      <c r="D61" s="24" t="inlineStr">
        <is>
          <t>varchar(200)</t>
        </is>
      </c>
      <c r="E61" s="24" t="inlineStr">
        <is>
          <t>YES</t>
        </is>
      </c>
      <c r="F61" s="24" t="inlineStr">
        <is>
          <t>海域等级</t>
        </is>
      </c>
      <c r="G61" s="24" t="n"/>
      <c r="H61" s="24" t="n"/>
      <c r="I61" s="24" t="inlineStr"/>
      <c r="J61" s="24" t="inlineStr">
        <is>
          <t>2023/01/12</t>
        </is>
      </c>
    </row>
    <row r="62">
      <c r="B62" s="24" t="inlineStr">
        <is>
          <t>clr_asset_others_resource</t>
        </is>
      </c>
      <c r="C62" s="24" t="inlineStr">
        <is>
          <t>USAGETYPE</t>
        </is>
      </c>
      <c r="D62" s="24" t="inlineStr">
        <is>
          <t>varchar(6)</t>
        </is>
      </c>
      <c r="E62" s="24" t="inlineStr">
        <is>
          <t>YES</t>
        </is>
      </c>
      <c r="F62" s="24" t="inlineStr">
        <is>
          <t>用海类型</t>
        </is>
      </c>
      <c r="G62" s="52">
        <f>HYPERLINK("#码值映射清单!B7690","WatersUsageType")</f>
        <v/>
      </c>
      <c r="H62" s="24" t="n"/>
      <c r="I62" s="24" t="inlineStr"/>
      <c r="J62" s="24" t="inlineStr">
        <is>
          <t>2023/01/12</t>
        </is>
      </c>
    </row>
    <row r="63">
      <c r="B63" s="24" t="inlineStr">
        <is>
          <t>clr_asset_others_resource</t>
        </is>
      </c>
      <c r="C63" s="24" t="inlineStr">
        <is>
          <t>ASSIGNMENTFEE</t>
        </is>
      </c>
      <c r="D63" s="24" t="inlineStr">
        <is>
          <t>decimal(24,6)</t>
        </is>
      </c>
      <c r="E63" s="24" t="inlineStr">
        <is>
          <t>YES</t>
        </is>
      </c>
      <c r="F63" s="24" t="inlineStr">
        <is>
          <t>海域出让金/海域转让金</t>
        </is>
      </c>
      <c r="G63" s="24" t="n"/>
      <c r="H63" s="24" t="n"/>
      <c r="I63" s="24" t="inlineStr"/>
      <c r="J63" s="24" t="inlineStr">
        <is>
          <t>2023/01/12</t>
        </is>
      </c>
    </row>
    <row r="64">
      <c r="B64" s="24" t="inlineStr">
        <is>
          <t>clr_asset_others_resource</t>
        </is>
      </c>
      <c r="C64" s="24" t="inlineStr">
        <is>
          <t>USAGESTARTDATE</t>
        </is>
      </c>
      <c r="D64" s="24" t="inlineStr">
        <is>
          <t>varchar(18)</t>
        </is>
      </c>
      <c r="E64" s="24" t="inlineStr">
        <is>
          <t>YES</t>
        </is>
      </c>
      <c r="F64" s="24" t="inlineStr">
        <is>
          <t>海域使用权批准使用起始日期</t>
        </is>
      </c>
      <c r="G64" s="24" t="n"/>
      <c r="H64" s="24" t="n"/>
      <c r="I64" s="24" t="inlineStr"/>
      <c r="J64" s="24" t="inlineStr">
        <is>
          <t>2023/01/12</t>
        </is>
      </c>
    </row>
    <row r="65">
      <c r="B65" s="24" t="inlineStr">
        <is>
          <t>clr_asset_others_resource</t>
        </is>
      </c>
      <c r="C65" s="24" t="inlineStr">
        <is>
          <t>USAGEDUEDATE</t>
        </is>
      </c>
      <c r="D65" s="24" t="inlineStr">
        <is>
          <t>varchar(18)</t>
        </is>
      </c>
      <c r="E65" s="24" t="inlineStr">
        <is>
          <t>YES</t>
        </is>
      </c>
      <c r="F65" s="24" t="inlineStr">
        <is>
          <t>海域使用权批准使用终止日期</t>
        </is>
      </c>
      <c r="G65" s="24" t="n"/>
      <c r="H65" s="24" t="n"/>
      <c r="I65" s="24" t="inlineStr"/>
      <c r="J65" s="24" t="inlineStr">
        <is>
          <t>2023/01/12</t>
        </is>
      </c>
    </row>
    <row r="66">
      <c r="B66" s="24" t="inlineStr">
        <is>
          <t>clr_asset_others_resource</t>
        </is>
      </c>
      <c r="C66" s="24" t="inlineStr">
        <is>
          <t>WASTELANDCONTRACTNO</t>
        </is>
      </c>
      <c r="D66" s="24" t="inlineStr">
        <is>
          <t>varchar(32)</t>
        </is>
      </c>
      <c r="E66" s="24" t="inlineStr">
        <is>
          <t>YES</t>
        </is>
      </c>
      <c r="F66" s="24" t="inlineStr">
        <is>
          <t>荒地承包合同编号</t>
        </is>
      </c>
      <c r="G66" s="24" t="n"/>
      <c r="H66" s="24" t="n"/>
      <c r="I66" s="24" t="inlineStr"/>
      <c r="J66" s="24" t="inlineStr">
        <is>
          <t>2023/01/12</t>
        </is>
      </c>
    </row>
    <row r="67">
      <c r="B67" s="24" t="inlineStr">
        <is>
          <t>clr_asset_others_resource</t>
        </is>
      </c>
      <c r="C67" s="24" t="inlineStr">
        <is>
          <t>WASTELANDCERTTID</t>
        </is>
      </c>
      <c r="D67" s="24" t="inlineStr">
        <is>
          <t>varchar(80)</t>
        </is>
      </c>
      <c r="E67" s="24" t="inlineStr">
        <is>
          <t>YES</t>
        </is>
      </c>
      <c r="F67" s="24" t="inlineStr">
        <is>
          <t>荒地所属土地使用权证号</t>
        </is>
      </c>
      <c r="G67" s="24" t="n"/>
      <c r="H67" s="24" t="n"/>
      <c r="I67" s="24" t="inlineStr"/>
      <c r="J67" s="24" t="inlineStr">
        <is>
          <t>2023/01/12</t>
        </is>
      </c>
    </row>
    <row r="68">
      <c r="B68" s="24" t="inlineStr">
        <is>
          <t>clr_asset_others_resource</t>
        </is>
      </c>
      <c r="C68" s="24" t="inlineStr">
        <is>
          <t>WASTELANDDUEDATE</t>
        </is>
      </c>
      <c r="D68" s="24" t="inlineStr">
        <is>
          <t>varchar(18)</t>
        </is>
      </c>
      <c r="E68" s="24" t="inlineStr">
        <is>
          <t>YES</t>
        </is>
      </c>
      <c r="F68" s="24" t="inlineStr">
        <is>
          <t>荒地所属土地使用权到期日</t>
        </is>
      </c>
      <c r="G68" s="24" t="n"/>
      <c r="H68" s="24" t="n"/>
      <c r="I68" s="24" t="inlineStr"/>
      <c r="J68" s="24" t="inlineStr">
        <is>
          <t>2023/01/12</t>
        </is>
      </c>
    </row>
    <row r="69">
      <c r="B69" s="24" t="inlineStr">
        <is>
          <t>clr_asset_others_resource</t>
        </is>
      </c>
      <c r="C69" s="24" t="inlineStr">
        <is>
          <t>WASTELANDUSAGE</t>
        </is>
      </c>
      <c r="D69" s="24" t="inlineStr">
        <is>
          <t>varchar(6)</t>
        </is>
      </c>
      <c r="E69" s="24" t="inlineStr">
        <is>
          <t>YES</t>
        </is>
      </c>
      <c r="F69" s="24" t="inlineStr">
        <is>
          <t>荒地用途</t>
        </is>
      </c>
      <c r="G69" s="52">
        <f>HYPERLINK("#码值映射清单!B7307","WasteLandUsageType")</f>
        <v/>
      </c>
      <c r="H69" s="24" t="n"/>
      <c r="I69" s="24" t="inlineStr"/>
      <c r="J69" s="24" t="inlineStr">
        <is>
          <t>2023/01/12</t>
        </is>
      </c>
    </row>
    <row r="70">
      <c r="B70" s="24" t="inlineStr">
        <is>
          <t>clr_asset_others_resource</t>
        </is>
      </c>
      <c r="C70" s="24" t="inlineStr">
        <is>
          <t>CONTRACTPERIOD</t>
        </is>
      </c>
      <c r="D70" s="24" t="inlineStr">
        <is>
          <t>int</t>
        </is>
      </c>
      <c r="E70" s="24" t="inlineStr">
        <is>
          <t>YES</t>
        </is>
      </c>
      <c r="F70" s="24" t="inlineStr">
        <is>
          <t>荒地承包期限</t>
        </is>
      </c>
      <c r="G70" s="24" t="n"/>
      <c r="H70" s="24" t="n"/>
      <c r="I70" s="24" t="inlineStr"/>
      <c r="J70" s="24" t="inlineStr">
        <is>
          <t>2023/01/12</t>
        </is>
      </c>
    </row>
    <row r="71">
      <c r="B71" s="24" t="inlineStr">
        <is>
          <t>clr_asset_others_resource</t>
        </is>
      </c>
      <c r="C71" s="24" t="inlineStr">
        <is>
          <t>CONTRACTSUM</t>
        </is>
      </c>
      <c r="D71" s="24" t="inlineStr">
        <is>
          <t>decimal(24,6)</t>
        </is>
      </c>
      <c r="E71" s="24" t="inlineStr">
        <is>
          <t>YES</t>
        </is>
      </c>
      <c r="F71" s="43" t="inlineStr">
        <is>
          <t>荒地承包金额/资产金额</t>
        </is>
      </c>
      <c r="G71" s="24" t="n"/>
      <c r="H71" s="24" t="n"/>
      <c r="I71" s="24" t="inlineStr"/>
      <c r="J71" s="24" t="inlineStr">
        <is>
          <t>2023/01/12</t>
        </is>
      </c>
    </row>
    <row r="72">
      <c r="B72" s="24" t="inlineStr">
        <is>
          <t>clr_asset_others_resource</t>
        </is>
      </c>
      <c r="C72" s="24" t="inlineStr">
        <is>
          <t>LUR03ATT01</t>
        </is>
      </c>
      <c r="D72" s="24" t="inlineStr">
        <is>
          <t>varchar(200)</t>
        </is>
      </c>
      <c r="E72" s="24" t="inlineStr">
        <is>
          <t>YES</t>
        </is>
      </c>
      <c r="F72" s="24" t="inlineStr">
        <is>
          <t>合同终止时地上附着物处置方式</t>
        </is>
      </c>
      <c r="G72" s="24" t="n"/>
      <c r="H72" s="24" t="n"/>
      <c r="I72" s="24" t="inlineStr"/>
      <c r="J72" s="24" t="inlineStr">
        <is>
          <t>2023/01/12</t>
        </is>
      </c>
    </row>
    <row r="73">
      <c r="B73" s="24" t="inlineStr">
        <is>
          <t>clr_asset_others_resource</t>
        </is>
      </c>
      <c r="C73" s="24" t="inlineStr">
        <is>
          <t>LUR03ATT02</t>
        </is>
      </c>
      <c r="D73" s="24" t="inlineStr">
        <is>
          <t>varchar(200)</t>
        </is>
      </c>
      <c r="E73" s="24" t="inlineStr">
        <is>
          <t>YES</t>
        </is>
      </c>
      <c r="F73" s="24" t="inlineStr">
        <is>
          <t>荒地地貌</t>
        </is>
      </c>
      <c r="G73" s="24" t="n"/>
      <c r="H73" s="24" t="n"/>
      <c r="I73" s="24" t="inlineStr"/>
      <c r="J73" s="24" t="inlineStr">
        <is>
          <t>2023/01/12</t>
        </is>
      </c>
    </row>
    <row r="74">
      <c r="B74" s="24" t="inlineStr">
        <is>
          <t>clr_asset_others_resource</t>
        </is>
      </c>
      <c r="C74" s="24" t="inlineStr">
        <is>
          <t>LUR03ATT03</t>
        </is>
      </c>
      <c r="D74" s="24" t="inlineStr">
        <is>
          <t>varchar(200)</t>
        </is>
      </c>
      <c r="E74" s="24" t="inlineStr">
        <is>
          <t>YES</t>
        </is>
      </c>
      <c r="F74" s="24" t="inlineStr">
        <is>
          <t>荒地所属土地流转情况</t>
        </is>
      </c>
      <c r="G74" s="24" t="n"/>
      <c r="H74" s="24" t="n"/>
      <c r="I74" s="24" t="inlineStr"/>
      <c r="J74" s="24" t="inlineStr">
        <is>
          <t>2023/01/12</t>
        </is>
      </c>
    </row>
    <row r="75">
      <c r="B75" s="24" t="inlineStr">
        <is>
          <t>clr_asset_others_resource</t>
        </is>
      </c>
      <c r="C75" s="24" t="inlineStr">
        <is>
          <t>OWNERNAME</t>
        </is>
      </c>
      <c r="D75" s="24" t="inlineStr">
        <is>
          <t>varchar(80)</t>
        </is>
      </c>
      <c r="E75" s="24" t="inlineStr">
        <is>
          <t>YES</t>
        </is>
      </c>
      <c r="F75" s="43" t="inlineStr">
        <is>
          <t>权利人名称/探矿权人名称</t>
        </is>
      </c>
      <c r="G75" s="24" t="n"/>
      <c r="H75" s="24" t="n"/>
      <c r="I75" s="24" t="inlineStr"/>
      <c r="J75" s="24" t="inlineStr">
        <is>
          <t>2023/01/12</t>
        </is>
      </c>
    </row>
    <row r="76">
      <c r="B76" s="24" t="inlineStr">
        <is>
          <t>clr_asset_others_resource</t>
        </is>
      </c>
      <c r="C76" s="24" t="inlineStr">
        <is>
          <t>APPROVEORG</t>
        </is>
      </c>
      <c r="D76" s="24" t="inlineStr">
        <is>
          <t>varchar(80)</t>
        </is>
      </c>
      <c r="E76" s="24" t="inlineStr">
        <is>
          <t>YES</t>
        </is>
      </c>
      <c r="F76" s="24" t="inlineStr">
        <is>
          <t>权利批准机关</t>
        </is>
      </c>
      <c r="G76" s="24" t="n"/>
      <c r="H76" s="24" t="n"/>
      <c r="I76" s="24" t="inlineStr"/>
      <c r="J76" s="24" t="inlineStr">
        <is>
          <t>2023/01/12</t>
        </is>
      </c>
    </row>
    <row r="77">
      <c r="B77" s="24" t="inlineStr">
        <is>
          <t>clr_asset_others_resource</t>
        </is>
      </c>
      <c r="C77" s="24" t="inlineStr">
        <is>
          <t>LUR03FLAG01</t>
        </is>
      </c>
      <c r="D77" s="24" t="inlineStr">
        <is>
          <t>char(1)</t>
        </is>
      </c>
      <c r="E77" s="24" t="inlineStr">
        <is>
          <t>YES</t>
        </is>
      </c>
      <c r="F77" s="24" t="inlineStr">
        <is>
          <t>荒地可否续期</t>
        </is>
      </c>
      <c r="G77" s="52">
        <f>HYPERLINK("#码值映射清单!B5150","YesNo")</f>
        <v/>
      </c>
      <c r="H77" s="24" t="n"/>
      <c r="I77" s="24" t="inlineStr"/>
      <c r="J77" s="24" t="inlineStr">
        <is>
          <t>2023/01/12</t>
        </is>
      </c>
    </row>
    <row r="78">
      <c r="B78" s="24" t="inlineStr">
        <is>
          <t>clr_asset_others_resource</t>
        </is>
      </c>
      <c r="C78" s="24" t="inlineStr">
        <is>
          <t>LUR03FLAG02</t>
        </is>
      </c>
      <c r="D78" s="24" t="inlineStr">
        <is>
          <t>char(1)</t>
        </is>
      </c>
      <c r="E78" s="24" t="inlineStr">
        <is>
          <t>YES</t>
        </is>
      </c>
      <c r="F78" s="24" t="inlineStr">
        <is>
          <t>是否已提交荒地所属土地使用权证</t>
        </is>
      </c>
      <c r="G78" s="52">
        <f>HYPERLINK("#码值映射清单!B5150","YesNo")</f>
        <v/>
      </c>
      <c r="H78" s="24" t="n"/>
      <c r="I78" s="24" t="inlineStr"/>
      <c r="J78" s="24" t="inlineStr">
        <is>
          <t>2023/01/12</t>
        </is>
      </c>
    </row>
    <row r="79">
      <c r="B79" s="24" t="inlineStr">
        <is>
          <t>clr_asset_others_resource</t>
        </is>
      </c>
      <c r="C79" s="24" t="inlineStr">
        <is>
          <t>LUR03FLAG03</t>
        </is>
      </c>
      <c r="D79" s="24" t="inlineStr">
        <is>
          <t>char(1)</t>
        </is>
      </c>
      <c r="E79" s="24" t="inlineStr">
        <is>
          <t>YES</t>
        </is>
      </c>
      <c r="F79" s="24" t="inlineStr">
        <is>
          <t>是否已提交四荒地承包合同</t>
        </is>
      </c>
      <c r="G79" s="52">
        <f>HYPERLINK("#码值映射清单!B5150","YesNo")</f>
        <v/>
      </c>
      <c r="H79" s="24" t="n"/>
      <c r="I79" s="24" t="inlineStr"/>
      <c r="J79" s="24" t="inlineStr">
        <is>
          <t>2023/01/12</t>
        </is>
      </c>
    </row>
    <row r="80">
      <c r="B80" s="24" t="inlineStr">
        <is>
          <t>clr_asset_others_resource</t>
        </is>
      </c>
      <c r="C80" s="24" t="inlineStr">
        <is>
          <t>LUR03FLAG04</t>
        </is>
      </c>
      <c r="D80" s="24" t="inlineStr">
        <is>
          <t>char(1)</t>
        </is>
      </c>
      <c r="E80" s="24" t="inlineStr">
        <is>
          <t>YES</t>
        </is>
      </c>
      <c r="F80" s="24" t="inlineStr">
        <is>
          <t>是否已提交农村土地承包经营权证书</t>
        </is>
      </c>
      <c r="G80" s="52">
        <f>HYPERLINK("#码值映射清单!B5150","YesNo")</f>
        <v/>
      </c>
      <c r="H80" s="24" t="n"/>
      <c r="I80" s="24" t="inlineStr"/>
      <c r="J80" s="24" t="inlineStr">
        <is>
          <t>2023/01/12</t>
        </is>
      </c>
    </row>
    <row r="81">
      <c r="B81" s="24" t="inlineStr">
        <is>
          <t>clr_asset_others_resource</t>
        </is>
      </c>
      <c r="C81" s="24" t="inlineStr">
        <is>
          <t>MININGFLAG04</t>
        </is>
      </c>
      <c r="D81" s="24" t="inlineStr">
        <is>
          <t>char(1)</t>
        </is>
      </c>
      <c r="E81" s="24" t="inlineStr">
        <is>
          <t>YES</t>
        </is>
      </c>
      <c r="F81" s="24" t="inlineStr">
        <is>
          <t>矿山是否已经按要求关闭或被列入关闭计划</t>
        </is>
      </c>
      <c r="G81" s="52">
        <f>HYPERLINK("#码值映射清单!B5150","YesNo")</f>
        <v/>
      </c>
      <c r="H81" s="24" t="n"/>
      <c r="I81" s="24" t="inlineStr"/>
      <c r="J81" s="24" t="inlineStr">
        <is>
          <t>2023/01/12</t>
        </is>
      </c>
    </row>
    <row r="82">
      <c r="B82" s="24" t="inlineStr">
        <is>
          <t>clr_asset_others_resource</t>
        </is>
      </c>
      <c r="C82" s="24" t="inlineStr">
        <is>
          <t>MININGFLAG05</t>
        </is>
      </c>
      <c r="D82" s="24" t="inlineStr">
        <is>
          <t>char(1)</t>
        </is>
      </c>
      <c r="E82" s="24" t="inlineStr">
        <is>
          <t>YES</t>
        </is>
      </c>
      <c r="F82" s="24" t="inlineStr">
        <is>
          <t>是否已提交采矿权许可证</t>
        </is>
      </c>
      <c r="G82" s="52">
        <f>HYPERLINK("#码值映射清单!B5150","YesNo")</f>
        <v/>
      </c>
      <c r="H82" s="24" t="n"/>
      <c r="I82" s="24" t="inlineStr"/>
      <c r="J82" s="24" t="inlineStr">
        <is>
          <t>2023/01/12</t>
        </is>
      </c>
    </row>
    <row r="83">
      <c r="B83" s="24" t="inlineStr">
        <is>
          <t>clr_asset_others_resource</t>
        </is>
      </c>
      <c r="C83" s="24" t="inlineStr">
        <is>
          <t>MININGFLAG06</t>
        </is>
      </c>
      <c r="D83" s="24" t="inlineStr">
        <is>
          <t>char(1)</t>
        </is>
      </c>
      <c r="E83" s="24" t="inlineStr">
        <is>
          <t>YES</t>
        </is>
      </c>
      <c r="F83" s="24" t="inlineStr">
        <is>
          <t>是否已提交与采矿权相关的企业法人营业执照</t>
        </is>
      </c>
      <c r="G83" s="52">
        <f>HYPERLINK("#码值映射清单!B5150","YesNo")</f>
        <v/>
      </c>
      <c r="H83" s="24" t="n"/>
      <c r="I83" s="24" t="inlineStr"/>
      <c r="J83" s="24" t="inlineStr">
        <is>
          <t>2023/01/12</t>
        </is>
      </c>
    </row>
    <row r="84">
      <c r="B84" s="24" t="inlineStr">
        <is>
          <t>clr_asset_others_resource</t>
        </is>
      </c>
      <c r="C84" s="24" t="inlineStr">
        <is>
          <t>MININGFLAG07</t>
        </is>
      </c>
      <c r="D84" s="24" t="inlineStr">
        <is>
          <t>char(1)</t>
        </is>
      </c>
      <c r="E84" s="24" t="inlineStr">
        <is>
          <t>YES</t>
        </is>
      </c>
      <c r="F84" s="24" t="inlineStr">
        <is>
          <t>是否已提交企业财务会计报表</t>
        </is>
      </c>
      <c r="G84" s="52">
        <f>HYPERLINK("#码值映射清单!B5150","YesNo")</f>
        <v/>
      </c>
      <c r="H84" s="24" t="n"/>
      <c r="I84" s="24" t="inlineStr"/>
      <c r="J84" s="24" t="inlineStr">
        <is>
          <t>2023/01/12</t>
        </is>
      </c>
    </row>
    <row r="85">
      <c r="B85" s="24" t="inlineStr">
        <is>
          <t>clr_asset_others_resource</t>
        </is>
      </c>
      <c r="C85" s="24" t="inlineStr">
        <is>
          <t>MININGFLAG08</t>
        </is>
      </c>
      <c r="D85" s="24" t="inlineStr">
        <is>
          <t>char(1)</t>
        </is>
      </c>
      <c r="E85" s="24" t="inlineStr">
        <is>
          <t>YES</t>
        </is>
      </c>
      <c r="F85" s="24" t="inlineStr">
        <is>
          <t>是否已提交资源储量核实报告</t>
        </is>
      </c>
      <c r="G85" s="52">
        <f>HYPERLINK("#码值映射清单!B5150","YesNo")</f>
        <v/>
      </c>
      <c r="H85" s="24" t="n"/>
      <c r="I85" s="24" t="inlineStr"/>
      <c r="J85" s="24" t="inlineStr">
        <is>
          <t>2023/01/12</t>
        </is>
      </c>
    </row>
    <row r="86">
      <c r="B86" s="24" t="inlineStr">
        <is>
          <t>clr_asset_others_resource</t>
        </is>
      </c>
      <c r="C86" s="24" t="inlineStr">
        <is>
          <t>MININGFLAG09</t>
        </is>
      </c>
      <c r="D86" s="24" t="inlineStr">
        <is>
          <t>char(1)</t>
        </is>
      </c>
      <c r="E86" s="24" t="inlineStr">
        <is>
          <t>YES</t>
        </is>
      </c>
      <c r="F86" s="24" t="inlineStr">
        <is>
          <t>是否已提交地质勘查报告</t>
        </is>
      </c>
      <c r="G86" s="52">
        <f>HYPERLINK("#码值映射清单!B5150","YesNo")</f>
        <v/>
      </c>
      <c r="H86" s="24" t="n"/>
      <c r="I86" s="24" t="inlineStr"/>
      <c r="J86" s="24" t="inlineStr">
        <is>
          <t>2023/01/12</t>
        </is>
      </c>
    </row>
    <row r="87">
      <c r="B87" s="24" t="inlineStr">
        <is>
          <t>clr_asset_others_resource</t>
        </is>
      </c>
      <c r="C87" s="24" t="inlineStr">
        <is>
          <t>MININGFLAG10</t>
        </is>
      </c>
      <c r="D87" s="24" t="inlineStr">
        <is>
          <t>char(1)</t>
        </is>
      </c>
      <c r="E87" s="24" t="inlineStr">
        <is>
          <t>YES</t>
        </is>
      </c>
      <c r="F87" s="53" t="inlineStr">
        <is>
          <t>是否已提交（预）可行性研究报告</t>
        </is>
      </c>
      <c r="G87" s="52">
        <f>HYPERLINK("#码值映射清单!B5150","YesNo")</f>
        <v/>
      </c>
      <c r="H87" s="24" t="n"/>
      <c r="I87" s="24" t="inlineStr"/>
      <c r="J87" s="24" t="inlineStr">
        <is>
          <t>2023/01/12</t>
        </is>
      </c>
    </row>
    <row r="88">
      <c r="B88" s="24" t="inlineStr">
        <is>
          <t>clr_asset_others_resource</t>
        </is>
      </c>
      <c r="C88" s="24" t="inlineStr">
        <is>
          <t>MININGFLAG11</t>
        </is>
      </c>
      <c r="D88" s="24" t="inlineStr">
        <is>
          <t>char(1)</t>
        </is>
      </c>
      <c r="E88" s="24" t="inlineStr">
        <is>
          <t>YES</t>
        </is>
      </c>
      <c r="F88" s="24" t="inlineStr">
        <is>
          <t>是否已提交矿产资源开发利用方案</t>
        </is>
      </c>
      <c r="G88" s="52">
        <f>HYPERLINK("#码值映射清单!B5150","YesNo")</f>
        <v/>
      </c>
      <c r="H88" s="24" t="n"/>
      <c r="I88" s="24" t="inlineStr"/>
      <c r="J88" s="24" t="inlineStr">
        <is>
          <t>2023/01/12</t>
        </is>
      </c>
    </row>
    <row r="89">
      <c r="B89" s="24" t="inlineStr">
        <is>
          <t>clr_asset_others_resource</t>
        </is>
      </c>
      <c r="C89" s="24" t="inlineStr">
        <is>
          <t>MININGFLAG12</t>
        </is>
      </c>
      <c r="D89" s="24" t="inlineStr">
        <is>
          <t>char(1)</t>
        </is>
      </c>
      <c r="E89" s="24" t="inlineStr">
        <is>
          <t>YES</t>
        </is>
      </c>
      <c r="F89" s="24" t="inlineStr">
        <is>
          <t>是否已提交矿山设计（初步设计、生产设计等）</t>
        </is>
      </c>
      <c r="G89" s="52">
        <f>HYPERLINK("#码值映射清单!B5150","YesNo")</f>
        <v/>
      </c>
      <c r="H89" s="24" t="n"/>
      <c r="I89" s="24" t="inlineStr"/>
      <c r="J89" s="24" t="inlineStr">
        <is>
          <t>2023/01/12</t>
        </is>
      </c>
    </row>
    <row r="90">
      <c r="B90" s="24" t="inlineStr">
        <is>
          <t>clr_asset_others_resource</t>
        </is>
      </c>
      <c r="C90" s="24" t="inlineStr">
        <is>
          <t>MININGFLAG13</t>
        </is>
      </c>
      <c r="D90" s="24" t="inlineStr">
        <is>
          <t>char(1)</t>
        </is>
      </c>
      <c r="E90" s="24" t="inlineStr">
        <is>
          <t>YES</t>
        </is>
      </c>
      <c r="F90" s="24" t="inlineStr">
        <is>
          <t>是否已提交采矿权评估报告确认书</t>
        </is>
      </c>
      <c r="G90" s="52">
        <f>HYPERLINK("#码值映射清单!B5150","YesNo")</f>
        <v/>
      </c>
      <c r="H90" s="24" t="n"/>
      <c r="I90" s="24" t="inlineStr"/>
      <c r="J90" s="24" t="inlineStr">
        <is>
          <t>2023/01/12</t>
        </is>
      </c>
    </row>
    <row r="91">
      <c r="B91" s="24" t="inlineStr">
        <is>
          <t>clr_asset_others_resource</t>
        </is>
      </c>
      <c r="C91" s="24" t="inlineStr">
        <is>
          <t>MININGFLAG14</t>
        </is>
      </c>
      <c r="D91" s="24" t="inlineStr">
        <is>
          <t>char(1)</t>
        </is>
      </c>
      <c r="E91" s="24" t="inlineStr">
        <is>
          <t>YES</t>
        </is>
      </c>
      <c r="F91" s="24" t="inlineStr">
        <is>
          <t>是否已提交矿山环境影响评价报告书</t>
        </is>
      </c>
      <c r="G91" s="52">
        <f>HYPERLINK("#码值映射清单!B5150","YesNo")</f>
        <v/>
      </c>
      <c r="H91" s="24" t="n"/>
      <c r="I91" s="24" t="inlineStr"/>
      <c r="J91" s="24" t="inlineStr">
        <is>
          <t>2023/01/12</t>
        </is>
      </c>
    </row>
    <row r="92">
      <c r="B92" s="24" t="inlineStr">
        <is>
          <t>clr_asset_others_resource</t>
        </is>
      </c>
      <c r="C92" s="24" t="inlineStr">
        <is>
          <t>MININGFLAG15</t>
        </is>
      </c>
      <c r="D92" s="24" t="inlineStr">
        <is>
          <t>char(1)</t>
        </is>
      </c>
      <c r="E92" s="24" t="inlineStr">
        <is>
          <t>YES</t>
        </is>
      </c>
      <c r="F92" s="24" t="inlineStr">
        <is>
          <t>是否已提交地震安全评价或地质环境影响评价报告及保护方案</t>
        </is>
      </c>
      <c r="G92" s="52">
        <f>HYPERLINK("#码值映射清单!B5150","YesNo")</f>
        <v/>
      </c>
      <c r="H92" s="24" t="n"/>
      <c r="I92" s="24" t="inlineStr"/>
      <c r="J92" s="24" t="inlineStr">
        <is>
          <t>2023/01/12</t>
        </is>
      </c>
    </row>
    <row r="93">
      <c r="B93" s="24" t="inlineStr">
        <is>
          <t>clr_asset_others_resource</t>
        </is>
      </c>
      <c r="C93" s="24" t="inlineStr">
        <is>
          <t>MININGFLAG16</t>
        </is>
      </c>
      <c r="D93" s="24" t="inlineStr">
        <is>
          <t>char(1)</t>
        </is>
      </c>
      <c r="E93" s="24" t="inlineStr">
        <is>
          <t>YES</t>
        </is>
      </c>
      <c r="F93" s="24" t="inlineStr">
        <is>
          <t>是否已提交矿山企业主管部门的许可或得到国有资产管理部门的批准文件</t>
        </is>
      </c>
      <c r="G93" s="52">
        <f>HYPERLINK("#码值映射清单!B5150","YesNo")</f>
        <v/>
      </c>
      <c r="H93" s="24" t="n"/>
      <c r="I93" s="24" t="inlineStr"/>
      <c r="J93" s="24" t="inlineStr">
        <is>
          <t>2023/01/12</t>
        </is>
      </c>
    </row>
    <row r="94">
      <c r="B94" s="24" t="inlineStr">
        <is>
          <t>clr_asset_others_resource</t>
        </is>
      </c>
      <c r="C94" s="24" t="inlineStr">
        <is>
          <t>MININGFLAG17</t>
        </is>
      </c>
      <c r="D94" s="24" t="inlineStr">
        <is>
          <t>char(1)</t>
        </is>
      </c>
      <c r="E94" s="24" t="inlineStr">
        <is>
          <t>YES</t>
        </is>
      </c>
      <c r="F94" s="24" t="inlineStr">
        <is>
          <t>是否已提交矿山建设安全设施设计审查批准意见书</t>
        </is>
      </c>
      <c r="G94" s="52">
        <f>HYPERLINK("#码值映射清单!B5150","YesNo")</f>
        <v/>
      </c>
      <c r="H94" s="24" t="n"/>
      <c r="I94" s="24" t="inlineStr"/>
      <c r="J94" s="24" t="inlineStr">
        <is>
          <t>2023/01/12</t>
        </is>
      </c>
    </row>
    <row r="95">
      <c r="B95" s="24" t="inlineStr">
        <is>
          <t>clr_asset_others_resource</t>
        </is>
      </c>
      <c r="C95" s="24" t="inlineStr">
        <is>
          <t>MININGFLAG18</t>
        </is>
      </c>
      <c r="D95" s="24" t="inlineStr">
        <is>
          <t>char(1)</t>
        </is>
      </c>
      <c r="E95" s="24" t="inlineStr">
        <is>
          <t>YES</t>
        </is>
      </c>
      <c r="F95" s="24" t="inlineStr">
        <is>
          <t>是否已提交国土资源厅关于资源储量报告的审查意见函</t>
        </is>
      </c>
      <c r="G95" s="52">
        <f>HYPERLINK("#码值映射清单!B5150","YesNo")</f>
        <v/>
      </c>
      <c r="H95" s="24" t="n"/>
      <c r="I95" s="24" t="inlineStr"/>
      <c r="J95" s="24" t="inlineStr">
        <is>
          <t>2023/01/12</t>
        </is>
      </c>
    </row>
    <row r="96">
      <c r="B96" s="24" t="inlineStr">
        <is>
          <t>clr_asset_others_resource</t>
        </is>
      </c>
      <c r="C96" s="24" t="inlineStr">
        <is>
          <t>MININGFLAG19</t>
        </is>
      </c>
      <c r="D96" s="24" t="inlineStr">
        <is>
          <t>char(1)</t>
        </is>
      </c>
      <c r="E96" s="24" t="inlineStr">
        <is>
          <t>YES</t>
        </is>
      </c>
      <c r="F96" s="24" t="inlineStr">
        <is>
          <t>是否已提交储量动用报告</t>
        </is>
      </c>
      <c r="G96" s="52">
        <f>HYPERLINK("#码值映射清单!B5150","YesNo")</f>
        <v/>
      </c>
      <c r="H96" s="24" t="n"/>
      <c r="I96" s="24" t="inlineStr"/>
      <c r="J96" s="24" t="inlineStr">
        <is>
          <t>2023/01/12</t>
        </is>
      </c>
    </row>
    <row r="97">
      <c r="B97" s="24" t="inlineStr">
        <is>
          <t>clr_asset_others_resource</t>
        </is>
      </c>
      <c r="C97" s="24" t="inlineStr">
        <is>
          <t>MININGFLAG20</t>
        </is>
      </c>
      <c r="D97" s="24" t="inlineStr">
        <is>
          <t>char(1)</t>
        </is>
      </c>
      <c r="E97" s="24" t="inlineStr">
        <is>
          <t>YES</t>
        </is>
      </c>
      <c r="F97" s="24" t="inlineStr">
        <is>
          <t>是否已提交增值税发票</t>
        </is>
      </c>
      <c r="G97" s="52">
        <f>HYPERLINK("#码值映射清单!B5150","YesNo")</f>
        <v/>
      </c>
      <c r="H97" s="24" t="n"/>
      <c r="I97" s="24" t="inlineStr"/>
      <c r="J97" s="24" t="inlineStr">
        <is>
          <t>2023/01/12</t>
        </is>
      </c>
    </row>
    <row r="98">
      <c r="B98" s="24" t="inlineStr">
        <is>
          <t>clr_asset_others_resource</t>
        </is>
      </c>
      <c r="C98" s="24" t="inlineStr">
        <is>
          <t>MININGFLAG21</t>
        </is>
      </c>
      <c r="D98" s="24" t="inlineStr">
        <is>
          <t>char(1)</t>
        </is>
      </c>
      <c r="E98" s="24" t="inlineStr">
        <is>
          <t>YES</t>
        </is>
      </c>
      <c r="F98" s="24" t="inlineStr">
        <is>
          <t>是否已提交采矿权评估报告（如有）</t>
        </is>
      </c>
      <c r="G98" s="52">
        <f>HYPERLINK("#码值映射清单!B5150","YesNo")</f>
        <v/>
      </c>
      <c r="H98" s="24" t="n"/>
      <c r="I98" s="24" t="inlineStr"/>
      <c r="J98" s="24" t="inlineStr">
        <is>
          <t>2023/01/12</t>
        </is>
      </c>
    </row>
    <row r="99">
      <c r="B99" s="24" t="inlineStr">
        <is>
          <t>clr_asset_others_resource</t>
        </is>
      </c>
      <c r="C99" s="24" t="inlineStr">
        <is>
          <t>MININGFLAG22</t>
        </is>
      </c>
      <c r="D99" s="24" t="inlineStr">
        <is>
          <t>char(1)</t>
        </is>
      </c>
      <c r="E99" s="24" t="inlineStr">
        <is>
          <t>YES</t>
        </is>
      </c>
      <c r="F99" s="24" t="inlineStr">
        <is>
          <t>是否已提交由矿产资源补偿费征收管理机关出具的有关矿产资源补偿费缴纳情况的证明材料</t>
        </is>
      </c>
      <c r="G99" s="52">
        <f>HYPERLINK("#码值映射清单!B5150","YesNo")</f>
        <v/>
      </c>
      <c r="H99" s="24" t="n"/>
      <c r="I99" s="24" t="inlineStr"/>
      <c r="J99" s="24" t="inlineStr">
        <is>
          <t>2023/01/12</t>
        </is>
      </c>
    </row>
    <row r="100">
      <c r="B100" s="24" t="inlineStr">
        <is>
          <t>clr_asset_others_resource</t>
        </is>
      </c>
      <c r="C100" s="24" t="inlineStr">
        <is>
          <t>MININGFLAG23</t>
        </is>
      </c>
      <c r="D100" s="24" t="inlineStr">
        <is>
          <t>char(1)</t>
        </is>
      </c>
      <c r="E100" s="24" t="inlineStr">
        <is>
          <t>YES</t>
        </is>
      </c>
      <c r="F100" s="24" t="inlineStr">
        <is>
          <t>是否已提交由资源税征收管理机关出具的有关资源税缴纳情况的证明材料</t>
        </is>
      </c>
      <c r="G100" s="52">
        <f>HYPERLINK("#码值映射清单!B5150","YesNo")</f>
        <v/>
      </c>
      <c r="H100" s="24" t="n"/>
      <c r="I100" s="24" t="inlineStr"/>
      <c r="J100" s="24" t="inlineStr">
        <is>
          <t>2023/01/12</t>
        </is>
      </c>
    </row>
    <row r="101">
      <c r="B101" s="24" t="inlineStr">
        <is>
          <t>clr_asset_others_resource</t>
        </is>
      </c>
      <c r="C101" s="24" t="inlineStr">
        <is>
          <t>FORESTFLAG01</t>
        </is>
      </c>
      <c r="D101" s="24" t="inlineStr">
        <is>
          <t>char(1)</t>
        </is>
      </c>
      <c r="E101" s="24" t="inlineStr">
        <is>
          <t>YES</t>
        </is>
      </c>
      <c r="F101" s="24" t="inlineStr">
        <is>
          <t>是否已提交林地相关的林权证</t>
        </is>
      </c>
      <c r="G101" s="52">
        <f>HYPERLINK("#码值映射清单!B5150","YesNo")</f>
        <v/>
      </c>
      <c r="H101" s="24" t="n"/>
      <c r="I101" s="24" t="inlineStr"/>
      <c r="J101" s="24" t="inlineStr">
        <is>
          <t>2023/01/12</t>
        </is>
      </c>
    </row>
    <row r="102">
      <c r="B102" s="24" t="inlineStr">
        <is>
          <t>clr_asset_others_resource</t>
        </is>
      </c>
      <c r="C102" s="24" t="inlineStr">
        <is>
          <t>LUR02FLAG02</t>
        </is>
      </c>
      <c r="D102" s="24" t="inlineStr">
        <is>
          <t>char(1)</t>
        </is>
      </c>
      <c r="E102" s="24" t="inlineStr">
        <is>
          <t>YES</t>
        </is>
      </c>
      <c r="F102" s="24" t="inlineStr">
        <is>
          <t>是否已提交相关租让合同</t>
        </is>
      </c>
      <c r="G102" s="52">
        <f>HYPERLINK("#码值映射清单!B5150","YesNo")</f>
        <v/>
      </c>
      <c r="H102" s="24" t="n"/>
      <c r="I102" s="24" t="inlineStr"/>
      <c r="J102" s="24" t="inlineStr">
        <is>
          <t>2023/01/12</t>
        </is>
      </c>
    </row>
    <row r="103">
      <c r="B103" s="24" t="inlineStr">
        <is>
          <t>clr_asset_others_resource</t>
        </is>
      </c>
      <c r="C103" s="24" t="inlineStr">
        <is>
          <t>WATERSFLAG01</t>
        </is>
      </c>
      <c r="D103" s="24" t="inlineStr">
        <is>
          <t>char(1)</t>
        </is>
      </c>
      <c r="E103" s="24" t="inlineStr">
        <is>
          <t>YES</t>
        </is>
      </c>
      <c r="F103" s="24" t="inlineStr">
        <is>
          <t>是否已提交海域使用权证书</t>
        </is>
      </c>
      <c r="G103" s="52">
        <f>HYPERLINK("#码值映射清单!B5150","YesNo")</f>
        <v/>
      </c>
      <c r="H103" s="24" t="n"/>
      <c r="I103" s="24" t="inlineStr"/>
      <c r="J103" s="24" t="inlineStr">
        <is>
          <t>2023/01/12</t>
        </is>
      </c>
    </row>
    <row r="104">
      <c r="B104" s="24" t="inlineStr">
        <is>
          <t>clr_asset_others_resource</t>
        </is>
      </c>
      <c r="C104" s="24" t="inlineStr">
        <is>
          <t>WATERSFLAG02</t>
        </is>
      </c>
      <c r="D104" s="24" t="inlineStr">
        <is>
          <t>char(1)</t>
        </is>
      </c>
      <c r="E104" s="24" t="inlineStr">
        <is>
          <t>YES</t>
        </is>
      </c>
      <c r="F104" s="24" t="inlineStr">
        <is>
          <t>是否已提交海域出让合同/海域转让合同</t>
        </is>
      </c>
      <c r="G104" s="52">
        <f>HYPERLINK("#码值映射清单!B5150","YesNo")</f>
        <v/>
      </c>
      <c r="H104" s="24" t="n"/>
      <c r="I104" s="24" t="inlineStr"/>
      <c r="J104" s="24" t="inlineStr">
        <is>
          <t>2023/01/12</t>
        </is>
      </c>
    </row>
    <row r="105">
      <c r="B105" s="24" t="inlineStr">
        <is>
          <t>clr_asset_others_resource</t>
        </is>
      </c>
      <c r="C105" s="24" t="inlineStr">
        <is>
          <t>FOREST01FLAG02</t>
        </is>
      </c>
      <c r="D105" s="24" t="inlineStr">
        <is>
          <t>char(1)</t>
        </is>
      </c>
      <c r="E105" s="24" t="inlineStr">
        <is>
          <t>YES</t>
        </is>
      </c>
      <c r="F105" s="24" t="inlineStr">
        <is>
          <t>是否已提交森林和林木所属的土地使用权证</t>
        </is>
      </c>
      <c r="G105" s="52">
        <f>HYPERLINK("#码值映射清单!B5150","YesNo")</f>
        <v/>
      </c>
      <c r="H105" s="24" t="n"/>
      <c r="I105" s="24" t="inlineStr"/>
      <c r="J105" s="24" t="inlineStr">
        <is>
          <t>2023/01/12</t>
        </is>
      </c>
    </row>
    <row r="106">
      <c r="B106" s="24" t="inlineStr">
        <is>
          <t>clr_asset_others_resource</t>
        </is>
      </c>
      <c r="C106" s="24" t="inlineStr">
        <is>
          <t>WOODLANDDESCRIPTION</t>
        </is>
      </c>
      <c r="D106" s="24" t="inlineStr">
        <is>
          <t>varchar(200)</t>
        </is>
      </c>
      <c r="E106" s="24" t="inlineStr">
        <is>
          <t>YES</t>
        </is>
      </c>
      <c r="F106" s="43" t="inlineStr">
        <is>
          <t>林地描述</t>
        </is>
      </c>
      <c r="G106" s="24" t="n"/>
      <c r="H106" s="24" t="n"/>
      <c r="I106" s="24" t="inlineStr"/>
      <c r="J106" s="24" t="inlineStr">
        <is>
          <t>2023/01/12</t>
        </is>
      </c>
    </row>
    <row r="107">
      <c r="B107" s="24" t="inlineStr">
        <is>
          <t>clr_asset_others_resource</t>
        </is>
      </c>
      <c r="C107" s="24" t="inlineStr">
        <is>
          <t>ACREAGE</t>
        </is>
      </c>
      <c r="D107" s="24" t="inlineStr">
        <is>
          <t>decimal(18,2)</t>
        </is>
      </c>
      <c r="E107" s="24" t="inlineStr">
        <is>
          <t>YES</t>
        </is>
      </c>
      <c r="F107" s="49" t="inlineStr">
        <is>
          <t>面积/勘察面积</t>
        </is>
      </c>
      <c r="G107" s="24" t="n"/>
      <c r="H107" s="24" t="n"/>
      <c r="I107" s="24" t="inlineStr"/>
      <c r="J107" s="24" t="inlineStr">
        <is>
          <t>2023/01/12</t>
        </is>
      </c>
    </row>
    <row r="108">
      <c r="B108" s="24" t="inlineStr">
        <is>
          <t>clr_asset_others_resource</t>
        </is>
      </c>
      <c r="C108" s="24" t="inlineStr">
        <is>
          <t>INPUTORGID</t>
        </is>
      </c>
      <c r="D108" s="24" t="inlineStr">
        <is>
          <t>varchar(32)</t>
        </is>
      </c>
      <c r="E108" s="24" t="inlineStr">
        <is>
          <t>YES</t>
        </is>
      </c>
      <c r="F108" s="24" t="inlineStr">
        <is>
          <t>登记机构</t>
        </is>
      </c>
      <c r="G108" s="24" t="n"/>
      <c r="H108" s="24" t="n"/>
      <c r="I108" s="24" t="inlineStr"/>
      <c r="J108" s="24" t="inlineStr">
        <is>
          <t>2023/01/12</t>
        </is>
      </c>
    </row>
    <row r="109">
      <c r="B109" s="24" t="inlineStr">
        <is>
          <t>clr_asset_others_resource</t>
        </is>
      </c>
      <c r="C109" s="24" t="inlineStr">
        <is>
          <t>INPUTUSERID</t>
        </is>
      </c>
      <c r="D109" s="24" t="inlineStr">
        <is>
          <t>varchar(32)</t>
        </is>
      </c>
      <c r="E109" s="24" t="inlineStr">
        <is>
          <t>YES</t>
        </is>
      </c>
      <c r="F109" s="24" t="inlineStr">
        <is>
          <t>登记人</t>
        </is>
      </c>
      <c r="G109" s="24" t="n"/>
      <c r="H109" s="24" t="n"/>
      <c r="I109" s="24" t="inlineStr"/>
      <c r="J109" s="24" t="inlineStr">
        <is>
          <t>2023/01/12</t>
        </is>
      </c>
    </row>
    <row r="110">
      <c r="B110" s="24" t="inlineStr">
        <is>
          <t>clr_asset_others_resource</t>
        </is>
      </c>
      <c r="C110" s="24" t="inlineStr">
        <is>
          <t>INPUTDATE</t>
        </is>
      </c>
      <c r="D110" s="24" t="inlineStr">
        <is>
          <t>datetime</t>
        </is>
      </c>
      <c r="E110" s="24" t="inlineStr">
        <is>
          <t>YES</t>
        </is>
      </c>
      <c r="F110" s="24" t="inlineStr">
        <is>
          <t>登记日期</t>
        </is>
      </c>
      <c r="G110" s="24" t="n"/>
      <c r="H110" s="24" t="n"/>
      <c r="I110" s="24" t="inlineStr"/>
      <c r="J110" s="24" t="inlineStr">
        <is>
          <t>2023/01/12</t>
        </is>
      </c>
    </row>
    <row r="111">
      <c r="B111" s="24" t="inlineStr">
        <is>
          <t>clr_asset_others_resource</t>
        </is>
      </c>
      <c r="C111" s="24" t="inlineStr">
        <is>
          <t>UPDATEORGID</t>
        </is>
      </c>
      <c r="D111" s="24" t="inlineStr">
        <is>
          <t>varchar(32)</t>
        </is>
      </c>
      <c r="E111" s="24" t="inlineStr">
        <is>
          <t>YES</t>
        </is>
      </c>
      <c r="F111" s="24" t="inlineStr">
        <is>
          <t>更新机构</t>
        </is>
      </c>
      <c r="G111" s="24" t="n"/>
      <c r="H111" s="24" t="n"/>
      <c r="I111" s="24" t="inlineStr"/>
      <c r="J111" s="24" t="inlineStr">
        <is>
          <t>2023/01/12</t>
        </is>
      </c>
    </row>
    <row r="112">
      <c r="B112" s="24" t="inlineStr">
        <is>
          <t>clr_asset_others_resource</t>
        </is>
      </c>
      <c r="C112" s="24" t="inlineStr">
        <is>
          <t>UPDATEUSERID</t>
        </is>
      </c>
      <c r="D112" s="24" t="inlineStr">
        <is>
          <t>varchar(32)</t>
        </is>
      </c>
      <c r="E112" s="24" t="inlineStr">
        <is>
          <t>YES</t>
        </is>
      </c>
      <c r="F112" s="24" t="inlineStr">
        <is>
          <t>更新人</t>
        </is>
      </c>
      <c r="G112" s="24" t="n"/>
      <c r="H112" s="24" t="n"/>
      <c r="I112" s="24" t="inlineStr"/>
      <c r="J112" s="24" t="inlineStr">
        <is>
          <t>2023/01/12</t>
        </is>
      </c>
    </row>
    <row r="113">
      <c r="B113" s="24" t="inlineStr">
        <is>
          <t>clr_asset_others_resource</t>
        </is>
      </c>
      <c r="C113" s="24" t="inlineStr">
        <is>
          <t>UPDATEDATE</t>
        </is>
      </c>
      <c r="D113" s="24" t="inlineStr">
        <is>
          <t>datetime</t>
        </is>
      </c>
      <c r="E113" s="24" t="inlineStr">
        <is>
          <t>YES</t>
        </is>
      </c>
      <c r="F113" s="24" t="inlineStr">
        <is>
          <t>更新日期</t>
        </is>
      </c>
      <c r="G113" s="24" t="n"/>
      <c r="H113" s="24" t="n"/>
      <c r="I113" s="24" t="inlineStr"/>
      <c r="J113" s="24" t="inlineStr">
        <is>
          <t>2023/01/12</t>
        </is>
      </c>
    </row>
    <row r="114">
      <c r="B114" s="24" t="inlineStr">
        <is>
          <t>clr_asset_others_resource</t>
        </is>
      </c>
      <c r="C114" s="24" t="inlineStr">
        <is>
          <t>REMARK</t>
        </is>
      </c>
      <c r="D114" s="24" t="inlineStr">
        <is>
          <t>varchar(500)</t>
        </is>
      </c>
      <c r="E114" s="24" t="inlineStr">
        <is>
          <t>YES</t>
        </is>
      </c>
      <c r="F114" s="24" t="inlineStr">
        <is>
          <t>备注</t>
        </is>
      </c>
      <c r="G114" s="24" t="n"/>
      <c r="H114" s="24" t="n"/>
      <c r="I114" s="24" t="inlineStr"/>
      <c r="J114" s="24" t="inlineStr">
        <is>
          <t>2023/01/12</t>
        </is>
      </c>
    </row>
    <row r="115">
      <c r="B115" s="109" t="inlineStr">
        <is>
          <t>clr_asset_others_resource</t>
        </is>
      </c>
      <c r="C115" s="109" t="inlineStr">
        <is>
          <t>CORPORGID</t>
        </is>
      </c>
      <c r="D115" s="109" t="inlineStr">
        <is>
          <t>varchar(32)</t>
        </is>
      </c>
      <c r="E115" s="109" t="inlineStr">
        <is>
          <t>YES</t>
        </is>
      </c>
      <c r="F115" s="109" t="inlineStr">
        <is>
          <t>法人机构编号</t>
        </is>
      </c>
      <c r="G115" s="109" t="n"/>
      <c r="H115" s="109" t="n"/>
      <c r="I115" s="109" t="inlineStr"/>
      <c r="J115" s="109" t="inlineStr">
        <is>
          <t>2023/01/12</t>
        </is>
      </c>
    </row>
    <row r="116" ht="17.6" customHeight="1" s="170">
      <c r="B116" s="65" t="inlineStr">
        <is>
          <t>clr_asset_others_resource</t>
        </is>
      </c>
      <c r="C116" s="60" t="inlineStr">
        <is>
          <t>MININGADDRESS</t>
        </is>
      </c>
      <c r="D116" s="60" t="inlineStr">
        <is>
          <t>varchar(32)</t>
        </is>
      </c>
      <c r="E116" s="60" t="inlineStr">
        <is>
          <t>YES</t>
        </is>
      </c>
      <c r="F116" s="59" t="inlineStr">
        <is>
          <t>矿区地址/注册地址</t>
        </is>
      </c>
      <c r="G116" s="60" t="inlineStr"/>
      <c r="H116" s="60" t="inlineStr"/>
      <c r="I116" s="60" t="n"/>
      <c r="J116" s="183" t="n">
        <v>45740</v>
      </c>
      <c r="K116" s="107" t="n"/>
    </row>
    <row r="117" ht="17.6" customHeight="1" s="170">
      <c r="B117" s="65" t="inlineStr">
        <is>
          <t>clr_asset_others_resource</t>
        </is>
      </c>
      <c r="C117" s="60" t="inlineStr">
        <is>
          <t>RIGHTSRANK</t>
        </is>
      </c>
      <c r="D117" s="99" t="inlineStr">
        <is>
          <t>INTEGER(4)</t>
        </is>
      </c>
      <c r="E117" s="60" t="inlineStr">
        <is>
          <t>YES</t>
        </is>
      </c>
      <c r="F117" s="82" t="inlineStr">
        <is>
          <t>我行抵押权顺位</t>
        </is>
      </c>
      <c r="G117" s="60" t="inlineStr"/>
      <c r="H117" s="60" t="inlineStr"/>
      <c r="I117" s="60" t="n"/>
      <c r="J117" s="183" t="n">
        <v>45740</v>
      </c>
      <c r="K117" s="107" t="n"/>
    </row>
    <row r="118" ht="17.6" customHeight="1" s="170">
      <c r="B118" s="65" t="inlineStr">
        <is>
          <t>clr_asset_others_resource</t>
        </is>
      </c>
      <c r="C118" s="60" t="inlineStr">
        <is>
          <t>LOANCARDNO</t>
        </is>
      </c>
      <c r="D118" s="60" t="inlineStr">
        <is>
          <t>varchar(32)</t>
        </is>
      </c>
      <c r="E118" s="60" t="inlineStr">
        <is>
          <t>YES</t>
        </is>
      </c>
      <c r="F118" s="100" t="inlineStr">
        <is>
          <t>权利人贷款卡号</t>
        </is>
      </c>
      <c r="G118" s="60" t="n"/>
      <c r="H118" s="60" t="n"/>
      <c r="I118" s="60" t="n"/>
      <c r="J118" s="183" t="n">
        <v>45740</v>
      </c>
      <c r="K118" s="107" t="n"/>
    </row>
    <row r="119" ht="17.6" customHeight="1" s="170">
      <c r="B119" s="65" t="inlineStr">
        <is>
          <t>clr_asset_others_resource</t>
        </is>
      </c>
      <c r="C119" s="60" t="inlineStr">
        <is>
          <t>AMOUNTPAID</t>
        </is>
      </c>
      <c r="D119" s="60" t="inlineStr">
        <is>
          <t>decimal(24,6)</t>
        </is>
      </c>
      <c r="E119" s="60" t="inlineStr">
        <is>
          <t>YES</t>
        </is>
      </c>
      <c r="F119" s="100" t="inlineStr">
        <is>
          <t>已交采矿权价款</t>
        </is>
      </c>
      <c r="G119" s="60" t="n"/>
      <c r="H119" s="60" t="n"/>
      <c r="I119" s="60" t="n"/>
      <c r="J119" s="183" t="n">
        <v>45740</v>
      </c>
      <c r="K119" s="107" t="n"/>
    </row>
    <row r="120" ht="17.6" customHeight="1" s="170">
      <c r="B120" s="65" t="inlineStr">
        <is>
          <t>clr_asset_others_resource</t>
        </is>
      </c>
      <c r="C120" s="60" t="inlineStr">
        <is>
          <t>COALTONNAGE</t>
        </is>
      </c>
      <c r="D120" s="60" t="inlineStr">
        <is>
          <t>decimal(24,6)</t>
        </is>
      </c>
      <c r="E120" s="60" t="inlineStr">
        <is>
          <t>YES</t>
        </is>
      </c>
      <c r="F120" s="100" t="inlineStr">
        <is>
          <t>已交采矿权价款折合煤炭吨数</t>
        </is>
      </c>
      <c r="G120" s="60" t="n"/>
      <c r="H120" s="60" t="n"/>
      <c r="I120" s="60" t="n"/>
      <c r="J120" s="183" t="n">
        <v>45740</v>
      </c>
      <c r="K120" s="107" t="n"/>
    </row>
    <row r="121" ht="17.6" customHeight="1" s="170">
      <c r="B121" s="65" t="inlineStr">
        <is>
          <t>clr_asset_others_resource</t>
        </is>
      </c>
      <c r="C121" s="60" t="inlineStr">
        <is>
          <t>MININGSEAMNO</t>
        </is>
      </c>
      <c r="D121" s="60" t="inlineStr">
        <is>
          <t>varchar(40)</t>
        </is>
      </c>
      <c r="E121" s="60" t="inlineStr">
        <is>
          <t>YES</t>
        </is>
      </c>
      <c r="F121" s="100" t="inlineStr">
        <is>
          <t>开采层号</t>
        </is>
      </c>
      <c r="G121" s="60" t="n"/>
      <c r="H121" s="60" t="n"/>
      <c r="I121" s="60" t="n"/>
      <c r="J121" s="183" t="n">
        <v>45740</v>
      </c>
      <c r="K121" s="107" t="n"/>
    </row>
    <row r="122" ht="17.6" customHeight="1" s="170">
      <c r="B122" s="65" t="inlineStr">
        <is>
          <t>clr_asset_others_resource</t>
        </is>
      </c>
      <c r="C122" s="60" t="inlineStr">
        <is>
          <t>SAFECERTNO</t>
        </is>
      </c>
      <c r="D122" s="60" t="inlineStr">
        <is>
          <t>varchar(40)</t>
        </is>
      </c>
      <c r="E122" s="60" t="inlineStr">
        <is>
          <t>YES</t>
        </is>
      </c>
      <c r="F122" s="100" t="inlineStr">
        <is>
          <t>安全生产许可证编号</t>
        </is>
      </c>
      <c r="G122" s="60" t="n"/>
      <c r="H122" s="60" t="n"/>
      <c r="I122" s="60" t="n"/>
      <c r="J122" s="183" t="n">
        <v>45740</v>
      </c>
      <c r="K122" s="107" t="n"/>
    </row>
    <row r="123" ht="17.6" customHeight="1" s="170">
      <c r="B123" s="65" t="inlineStr">
        <is>
          <t>clr_asset_others_resource</t>
        </is>
      </c>
      <c r="C123" s="60" t="inlineStr">
        <is>
          <t>SAFECERTPERIOD</t>
        </is>
      </c>
      <c r="D123" s="60" t="inlineStr">
        <is>
          <t>varchar(10)</t>
        </is>
      </c>
      <c r="E123" s="60" t="inlineStr">
        <is>
          <t>YES</t>
        </is>
      </c>
      <c r="F123" s="100" t="inlineStr">
        <is>
          <t>安全生产许可证有效期</t>
        </is>
      </c>
      <c r="G123" s="60" t="n"/>
      <c r="H123" s="60" t="n"/>
      <c r="I123" s="60" t="n"/>
      <c r="J123" s="183" t="n">
        <v>45740</v>
      </c>
      <c r="K123" s="107" t="n"/>
    </row>
    <row r="124" ht="17.6" customHeight="1" s="170">
      <c r="B124" s="65" t="inlineStr">
        <is>
          <t>clr_asset_others_resource</t>
        </is>
      </c>
      <c r="C124" s="60" t="inlineStr">
        <is>
          <t>COALPRDNO</t>
        </is>
      </c>
      <c r="D124" s="60" t="inlineStr">
        <is>
          <t>varchar(40)</t>
        </is>
      </c>
      <c r="E124" s="60" t="inlineStr">
        <is>
          <t>YES</t>
        </is>
      </c>
      <c r="F124" s="100" t="inlineStr">
        <is>
          <t>煤炭生产许可证编号</t>
        </is>
      </c>
      <c r="G124" s="60" t="n"/>
      <c r="H124" s="60" t="n"/>
      <c r="I124" s="60" t="n"/>
      <c r="J124" s="183" t="n">
        <v>45740</v>
      </c>
      <c r="K124" s="107" t="n"/>
    </row>
    <row r="125" ht="17.6" customHeight="1" s="170">
      <c r="B125" s="65" t="inlineStr">
        <is>
          <t>clr_asset_others_resource</t>
        </is>
      </c>
      <c r="C125" s="60" t="inlineStr">
        <is>
          <t>COALPRDPERIOD</t>
        </is>
      </c>
      <c r="D125" s="60" t="inlineStr">
        <is>
          <t>varchar(10)</t>
        </is>
      </c>
      <c r="E125" s="60" t="inlineStr">
        <is>
          <t>YES</t>
        </is>
      </c>
      <c r="F125" s="100" t="inlineStr">
        <is>
          <t>煤炭生产许可证有效期</t>
        </is>
      </c>
      <c r="G125" s="60" t="n"/>
      <c r="H125" s="60" t="n"/>
      <c r="I125" s="60" t="n"/>
      <c r="J125" s="183" t="n">
        <v>45740</v>
      </c>
      <c r="K125" s="107" t="n"/>
    </row>
    <row r="126" ht="17.6" customHeight="1" s="170">
      <c r="B126" s="65" t="inlineStr">
        <is>
          <t>clr_asset_others_resource</t>
        </is>
      </c>
      <c r="C126" s="60" t="inlineStr">
        <is>
          <t>FILENO1</t>
        </is>
      </c>
      <c r="D126" s="60" t="inlineStr">
        <is>
          <t>varchar(40)</t>
        </is>
      </c>
      <c r="E126" s="60" t="inlineStr">
        <is>
          <t>YES</t>
        </is>
      </c>
      <c r="F126" s="100" t="inlineStr">
        <is>
          <t>《矿产资源评审备案证明》编号</t>
        </is>
      </c>
      <c r="G126" s="60" t="n"/>
      <c r="H126" s="60" t="n"/>
      <c r="I126" s="60" t="n"/>
      <c r="J126" s="183" t="n">
        <v>45740</v>
      </c>
      <c r="K126" s="107" t="n"/>
    </row>
    <row r="127" ht="17.6" customHeight="1" s="170">
      <c r="B127" s="65" t="inlineStr">
        <is>
          <t>clr_asset_others_resource</t>
        </is>
      </c>
      <c r="C127" s="60" t="inlineStr">
        <is>
          <t>FILEDATE1</t>
        </is>
      </c>
      <c r="D127" s="60" t="inlineStr">
        <is>
          <t>varchar(10)</t>
        </is>
      </c>
      <c r="E127" s="60" t="inlineStr">
        <is>
          <t>YES</t>
        </is>
      </c>
      <c r="F127" s="100" t="inlineStr">
        <is>
          <t>《矿产资源评审备案证明》评审基准日</t>
        </is>
      </c>
      <c r="G127" s="60" t="n"/>
      <c r="H127" s="60" t="n"/>
      <c r="I127" s="60" t="n"/>
      <c r="J127" s="183" t="n">
        <v>45740</v>
      </c>
      <c r="K127" s="107" t="n"/>
    </row>
    <row r="128" ht="17.6" customHeight="1" s="170">
      <c r="B128" s="65" t="inlineStr">
        <is>
          <t>clr_asset_others_resource</t>
        </is>
      </c>
      <c r="C128" s="60" t="inlineStr">
        <is>
          <t>FILENO2</t>
        </is>
      </c>
      <c r="D128" s="60" t="inlineStr">
        <is>
          <t>varchar(40)</t>
        </is>
      </c>
      <c r="E128" s="60" t="inlineStr">
        <is>
          <t>YES</t>
        </is>
      </c>
      <c r="F128" s="100" t="inlineStr">
        <is>
          <t>《资源储量核实报告》编号</t>
        </is>
      </c>
      <c r="G128" s="60" t="n"/>
      <c r="H128" s="60" t="n"/>
      <c r="I128" s="60" t="n"/>
      <c r="J128" s="183" t="n">
        <v>45740</v>
      </c>
      <c r="K128" s="107" t="n"/>
    </row>
    <row r="129" ht="17.6" customHeight="1" s="170">
      <c r="B129" s="65" t="inlineStr">
        <is>
          <t>clr_asset_others_resource</t>
        </is>
      </c>
      <c r="C129" s="60" t="inlineStr">
        <is>
          <t>FILEDATE2</t>
        </is>
      </c>
      <c r="D129" s="60" t="inlineStr">
        <is>
          <t>varchar(10)</t>
        </is>
      </c>
      <c r="E129" s="60" t="inlineStr">
        <is>
          <t>YES</t>
        </is>
      </c>
      <c r="F129" s="100" t="inlineStr">
        <is>
          <t>《资源储量核实报告》提交日期</t>
        </is>
      </c>
      <c r="G129" s="60" t="n"/>
      <c r="H129" s="60" t="n"/>
      <c r="I129" s="60" t="n"/>
      <c r="J129" s="183" t="n">
        <v>45740</v>
      </c>
      <c r="K129" s="107" t="n"/>
    </row>
    <row r="130" ht="17.6" customHeight="1" s="170">
      <c r="B130" s="65" t="inlineStr">
        <is>
          <t>clr_asset_others_resource</t>
        </is>
      </c>
      <c r="C130" s="60" t="inlineStr">
        <is>
          <t>FILENO3</t>
        </is>
      </c>
      <c r="D130" s="60" t="inlineStr">
        <is>
          <t>varchar(40)</t>
        </is>
      </c>
      <c r="E130" s="60" t="inlineStr">
        <is>
          <t>YES</t>
        </is>
      </c>
      <c r="F130" s="100" t="inlineStr">
        <is>
          <t>《占用矿产资源储量登记证》编号</t>
        </is>
      </c>
      <c r="G130" s="60" t="n"/>
      <c r="H130" s="60" t="n"/>
      <c r="I130" s="60" t="n"/>
      <c r="J130" s="183" t="n">
        <v>45740</v>
      </c>
      <c r="K130" s="107" t="n"/>
    </row>
    <row r="131" ht="17.6" customHeight="1" s="170">
      <c r="B131" s="65" t="inlineStr">
        <is>
          <t>clr_asset_others_resource</t>
        </is>
      </c>
      <c r="C131" s="60" t="inlineStr">
        <is>
          <t>ASSETSTATUS</t>
        </is>
      </c>
      <c r="D131" s="60" t="inlineStr">
        <is>
          <t>varchar(40)</t>
        </is>
      </c>
      <c r="E131" s="60" t="inlineStr">
        <is>
          <t>YES</t>
        </is>
      </c>
      <c r="F131" s="100" t="inlineStr">
        <is>
          <t>资产状况</t>
        </is>
      </c>
      <c r="G131" s="60" t="n"/>
      <c r="H131" s="60" t="n"/>
      <c r="I131" s="60" t="n"/>
      <c r="J131" s="183" t="n">
        <v>45740</v>
      </c>
      <c r="K131" s="107" t="n"/>
    </row>
    <row r="132" ht="17.6" customHeight="1" s="170">
      <c r="B132" s="65" t="inlineStr">
        <is>
          <t>clr_asset_others_resource</t>
        </is>
      </c>
      <c r="C132" s="60" t="inlineStr">
        <is>
          <t>ISPARTMORTGAGED</t>
        </is>
      </c>
      <c r="D132" s="60" t="inlineStr">
        <is>
          <t>varchar(6)</t>
        </is>
      </c>
      <c r="E132" s="60" t="inlineStr">
        <is>
          <t>YES</t>
        </is>
      </c>
      <c r="F132" s="99" t="inlineStr">
        <is>
          <t>是否部分抵押</t>
        </is>
      </c>
      <c r="G132" s="60" t="n"/>
      <c r="H132" s="60" t="n"/>
      <c r="I132" s="60" t="n"/>
      <c r="J132" s="183" t="n">
        <v>45740</v>
      </c>
      <c r="K132" s="107" t="n"/>
    </row>
    <row r="133" ht="17.6" customHeight="1" s="170">
      <c r="B133" s="65" t="inlineStr">
        <is>
          <t>clr_asset_others_resource</t>
        </is>
      </c>
      <c r="C133" s="60" t="inlineStr">
        <is>
          <t>GUARANTYDESCRIBE</t>
        </is>
      </c>
      <c r="D133" s="60" t="inlineStr">
        <is>
          <t>varchar(200)</t>
        </is>
      </c>
      <c r="E133" s="60" t="inlineStr">
        <is>
          <t>YES</t>
        </is>
      </c>
      <c r="F133" s="99" t="inlineStr">
        <is>
          <t>权利说明</t>
        </is>
      </c>
      <c r="G133" s="60" t="n"/>
      <c r="H133" s="60" t="n"/>
      <c r="I133" s="60" t="n"/>
      <c r="J133" s="183" t="n">
        <v>45740</v>
      </c>
      <c r="K133" s="107" t="n"/>
    </row>
    <row r="134" ht="17.6" customHeight="1" s="170">
      <c r="B134" s="65" t="inlineStr">
        <is>
          <t>clr_asset_others_resource</t>
        </is>
      </c>
      <c r="C134" s="60" t="inlineStr">
        <is>
          <t>REALIZATIONVALUE</t>
        </is>
      </c>
      <c r="D134" s="60" t="inlineStr">
        <is>
          <t>decimal(24,6)</t>
        </is>
      </c>
      <c r="E134" s="60" t="inlineStr">
        <is>
          <t>YES</t>
        </is>
      </c>
      <c r="F134" s="99" t="inlineStr">
        <is>
          <t>预计变现值</t>
        </is>
      </c>
      <c r="G134" s="60" t="n"/>
      <c r="H134" s="60" t="n"/>
      <c r="I134" s="60" t="n"/>
      <c r="J134" s="183" t="n">
        <v>45740</v>
      </c>
      <c r="K134" s="107" t="n"/>
    </row>
    <row r="135" ht="17.6" customHeight="1" s="170">
      <c r="B135" s="65" t="inlineStr">
        <is>
          <t>clr_asset_others_resource</t>
        </is>
      </c>
      <c r="C135" s="60" t="inlineStr">
        <is>
          <t>REALIZATIONCOST</t>
        </is>
      </c>
      <c r="D135" s="60" t="inlineStr">
        <is>
          <t>decimal(24,6)</t>
        </is>
      </c>
      <c r="E135" s="60" t="inlineStr">
        <is>
          <t>YES</t>
        </is>
      </c>
      <c r="F135" s="99" t="inlineStr">
        <is>
          <t>预计变现成本</t>
        </is>
      </c>
      <c r="G135" s="60" t="n"/>
      <c r="H135" s="60" t="n"/>
      <c r="I135" s="60" t="n"/>
      <c r="J135" s="183" t="n">
        <v>45740</v>
      </c>
      <c r="K135" s="107" t="n"/>
    </row>
    <row r="136" ht="17.6" customHeight="1" s="170">
      <c r="B136" s="65" t="inlineStr">
        <is>
          <t>clr_asset_others_resource</t>
        </is>
      </c>
      <c r="C136" s="60" t="inlineStr">
        <is>
          <t>SURVEYINGUNIT</t>
        </is>
      </c>
      <c r="D136" s="60" t="inlineStr">
        <is>
          <t>varchar(32)</t>
        </is>
      </c>
      <c r="E136" s="60" t="inlineStr">
        <is>
          <t>YES</t>
        </is>
      </c>
      <c r="F136" s="59" t="inlineStr">
        <is>
          <t>勘察单位</t>
        </is>
      </c>
      <c r="G136" s="60" t="inlineStr"/>
      <c r="H136" s="60" t="inlineStr"/>
      <c r="I136" s="60" t="n"/>
      <c r="J136" s="183" t="n">
        <v>45740</v>
      </c>
      <c r="K136" s="107" t="n"/>
    </row>
    <row r="137" ht="17.6" customHeight="1" s="170">
      <c r="B137" s="65" t="inlineStr">
        <is>
          <t>clr_asset_others_resource</t>
        </is>
      </c>
      <c r="C137" s="60" t="inlineStr">
        <is>
          <t>RIGHTHOLDER</t>
        </is>
      </c>
      <c r="D137" s="60" t="inlineStr">
        <is>
          <t>varchar(80)</t>
        </is>
      </c>
      <c r="E137" s="60" t="inlineStr">
        <is>
          <t>YES</t>
        </is>
      </c>
      <c r="F137" s="59" t="inlineStr">
        <is>
          <t>林地使用权人/海域使用权人</t>
        </is>
      </c>
      <c r="G137" s="60" t="inlineStr"/>
      <c r="H137" s="60" t="inlineStr"/>
      <c r="I137" s="60" t="n"/>
      <c r="J137" s="183" t="n">
        <v>45740</v>
      </c>
      <c r="K137" s="107" t="n"/>
    </row>
    <row r="138" ht="92" customHeight="1" s="170">
      <c r="B138" s="65" t="inlineStr">
        <is>
          <t>clr_asset_others_resource</t>
        </is>
      </c>
      <c r="C138" s="60" t="inlineStr">
        <is>
          <t>ASSETPURPOSE</t>
        </is>
      </c>
      <c r="D138" s="60" t="inlineStr">
        <is>
          <t>varchar(6)</t>
        </is>
      </c>
      <c r="E138" s="60" t="inlineStr">
        <is>
          <t>YES</t>
        </is>
      </c>
      <c r="F138" s="59" t="inlineStr">
        <is>
          <t>资产用途</t>
        </is>
      </c>
      <c r="G138" s="60" t="inlineStr"/>
      <c r="H138" s="111" t="inlineStr">
        <is>
          <t>01-种植业、02-林业、03-畜牧业、04-渔业生产、05-其他</t>
        </is>
      </c>
      <c r="I138" s="60" t="n"/>
      <c r="J138" s="183" t="n">
        <v>45740</v>
      </c>
      <c r="K138" s="107" t="n"/>
    </row>
    <row r="139" ht="17.6" customHeight="1" s="170">
      <c r="B139" s="65" t="inlineStr">
        <is>
          <t>clr_asset_others_resource</t>
        </is>
      </c>
      <c r="C139" s="60" t="inlineStr">
        <is>
          <t>ISSUINGAUTHORITY</t>
        </is>
      </c>
      <c r="D139" s="60" t="inlineStr">
        <is>
          <t>varchar(32)</t>
        </is>
      </c>
      <c r="E139" s="60" t="inlineStr">
        <is>
          <t>YES</t>
        </is>
      </c>
      <c r="F139" s="59" t="inlineStr">
        <is>
          <t>发证机关</t>
        </is>
      </c>
      <c r="G139" s="60" t="inlineStr"/>
      <c r="H139" s="60" t="inlineStr"/>
      <c r="I139" s="60" t="n"/>
      <c r="J139" s="183" t="n">
        <v>45740</v>
      </c>
      <c r="K139" s="107" t="n"/>
    </row>
    <row r="140" ht="17.6" customHeight="1" s="170">
      <c r="B140" s="65" t="inlineStr">
        <is>
          <t>clr_asset_others_resource</t>
        </is>
      </c>
      <c r="C140" s="60" t="inlineStr">
        <is>
          <t>ISSUINGDATE</t>
        </is>
      </c>
      <c r="D140" s="60" t="inlineStr">
        <is>
          <t>datetime</t>
        </is>
      </c>
      <c r="E140" s="60" t="inlineStr">
        <is>
          <t>YES</t>
        </is>
      </c>
      <c r="F140" s="59" t="inlineStr">
        <is>
          <t>发证日期</t>
        </is>
      </c>
      <c r="G140" s="60" t="inlineStr"/>
      <c r="H140" s="60" t="inlineStr"/>
      <c r="I140" s="60" t="n"/>
      <c r="J140" s="183" t="n">
        <v>45740</v>
      </c>
      <c r="K140" s="107" t="n"/>
    </row>
    <row r="141" ht="17.6" customHeight="1" s="170">
      <c r="B141" s="65" t="inlineStr">
        <is>
          <t>clr_asset_others_resource</t>
        </is>
      </c>
      <c r="C141" s="60" t="inlineStr">
        <is>
          <t>PRDADDRESS</t>
        </is>
      </c>
      <c r="D141" s="60" t="inlineStr">
        <is>
          <t>varchar(80)</t>
        </is>
      </c>
      <c r="E141" s="60" t="inlineStr">
        <is>
          <t>YES</t>
        </is>
      </c>
      <c r="F141" s="59" t="inlineStr">
        <is>
          <t>生产经营场所地址</t>
        </is>
      </c>
      <c r="G141" s="60" t="inlineStr"/>
      <c r="H141" s="60" t="inlineStr"/>
      <c r="I141" s="60" t="n"/>
      <c r="J141" s="183" t="n">
        <v>45740</v>
      </c>
      <c r="K141" s="107" t="n"/>
    </row>
    <row r="142" ht="17.6" customHeight="1" s="170">
      <c r="B142" s="65" t="inlineStr">
        <is>
          <t>clr_asset_others_resource</t>
        </is>
      </c>
      <c r="C142" s="60" t="inlineStr">
        <is>
          <t>RIGHTSGEOSCOPE</t>
        </is>
      </c>
      <c r="D142" s="60" t="inlineStr">
        <is>
          <t>varchar(80)</t>
        </is>
      </c>
      <c r="E142" s="60" t="inlineStr">
        <is>
          <t>YES</t>
        </is>
      </c>
      <c r="F142" s="59" t="inlineStr">
        <is>
          <t>权利地域范围</t>
        </is>
      </c>
      <c r="G142" s="60" t="inlineStr"/>
      <c r="H142" s="60" t="inlineStr"/>
      <c r="I142" s="60" t="n"/>
      <c r="J142" s="183" t="n">
        <v>45740</v>
      </c>
      <c r="K142" s="107" t="n"/>
    </row>
  </sheetData>
  <pageMargins left="0.75" right="0.75" top="1" bottom="1" header="0.5" footer="0.5"/>
  <pageSetup orientation="portrait" paperSize="1" horizontalDpi="300" verticalDpi="300"/>
</worksheet>
</file>

<file path=xl/worksheets/sheet71.xml><?xml version="1.0" encoding="utf-8"?>
<worksheet xmlns="http://schemas.openxmlformats.org/spreadsheetml/2006/main">
  <sheetPr>
    <outlinePr summaryBelow="1" summaryRight="1"/>
    <pageSetUpPr/>
  </sheetPr>
  <dimension ref="A1:J51"/>
  <sheetViews>
    <sheetView topLeftCell="A31" zoomScaleSheetLayoutView="60" workbookViewId="0">
      <selection activeCell="E49" sqref="E49:E5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特殊建筑构造物</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clr_asset_others_sbc</t>
        </is>
      </c>
      <c r="C3" s="24" t="inlineStr">
        <is>
          <t>CLRID</t>
        </is>
      </c>
      <c r="D3" s="24" t="inlineStr">
        <is>
          <t>varchar(32)</t>
        </is>
      </c>
      <c r="E3" s="24" t="inlineStr">
        <is>
          <t>NO</t>
        </is>
      </c>
      <c r="F3" s="24" t="inlineStr">
        <is>
          <t>押品编号</t>
        </is>
      </c>
      <c r="G3" s="24" t="n"/>
      <c r="H3" s="24" t="n"/>
      <c r="I3" s="24" t="inlineStr"/>
      <c r="J3" s="24" t="inlineStr">
        <is>
          <t>2023/01/12</t>
        </is>
      </c>
    </row>
    <row r="4">
      <c r="B4" s="24" t="inlineStr">
        <is>
          <t>clr_asset_others_sbc</t>
        </is>
      </c>
      <c r="C4" s="24" t="inlineStr">
        <is>
          <t>REFTOLLRIGHTOWNER</t>
        </is>
      </c>
      <c r="D4" s="24" t="inlineStr">
        <is>
          <t>varchar(80)</t>
        </is>
      </c>
      <c r="E4" s="24" t="inlineStr">
        <is>
          <t>YES</t>
        </is>
      </c>
      <c r="F4" s="24" t="inlineStr">
        <is>
          <t>相关收费权所有人</t>
        </is>
      </c>
      <c r="G4" s="24" t="n"/>
      <c r="H4" s="24" t="n"/>
      <c r="I4" s="24" t="inlineStr"/>
      <c r="J4" s="24" t="inlineStr">
        <is>
          <t>2023/01/12</t>
        </is>
      </c>
    </row>
    <row r="5">
      <c r="B5" s="24" t="inlineStr">
        <is>
          <t>clr_asset_others_sbc</t>
        </is>
      </c>
      <c r="C5" s="24" t="inlineStr">
        <is>
          <t>STRUCTURENAME</t>
        </is>
      </c>
      <c r="D5" s="24" t="inlineStr">
        <is>
          <t>varchar(80)</t>
        </is>
      </c>
      <c r="E5" s="24" t="inlineStr">
        <is>
          <t>YES</t>
        </is>
      </c>
      <c r="F5" s="24" t="inlineStr">
        <is>
          <t>构造物名称</t>
        </is>
      </c>
      <c r="G5" s="24" t="n"/>
      <c r="H5" s="24" t="n"/>
      <c r="I5" s="24" t="inlineStr"/>
      <c r="J5" s="24" t="inlineStr">
        <is>
          <t>2023/01/12</t>
        </is>
      </c>
    </row>
    <row r="6">
      <c r="B6" s="24" t="inlineStr">
        <is>
          <t>clr_asset_others_sbc</t>
        </is>
      </c>
      <c r="C6" s="24" t="inlineStr">
        <is>
          <t>STRUCTUREHOLDER</t>
        </is>
      </c>
      <c r="D6" s="24" t="inlineStr">
        <is>
          <t>varchar(80)</t>
        </is>
      </c>
      <c r="E6" s="24" t="inlineStr">
        <is>
          <t>YES</t>
        </is>
      </c>
      <c r="F6" s="24" t="inlineStr">
        <is>
          <t>构造物持有人</t>
        </is>
      </c>
      <c r="G6" s="24" t="n"/>
      <c r="H6" s="24" t="n"/>
      <c r="I6" s="24" t="inlineStr"/>
      <c r="J6" s="24" t="inlineStr">
        <is>
          <t>2023/01/12</t>
        </is>
      </c>
    </row>
    <row r="7">
      <c r="B7" s="24" t="inlineStr">
        <is>
          <t>clr_asset_others_sbc</t>
        </is>
      </c>
      <c r="C7" s="24" t="inlineStr">
        <is>
          <t>STRUCTURELOCATION</t>
        </is>
      </c>
      <c r="D7" s="24" t="inlineStr">
        <is>
          <t>varchar(500)</t>
        </is>
      </c>
      <c r="E7" s="24" t="inlineStr">
        <is>
          <t>YES</t>
        </is>
      </c>
      <c r="F7" s="43" t="inlineStr">
        <is>
          <t>构造物的坐落位置/详细地址</t>
        </is>
      </c>
      <c r="G7" s="24" t="n"/>
      <c r="H7" s="24" t="n"/>
      <c r="I7" s="24" t="inlineStr"/>
      <c r="J7" s="24" t="inlineStr">
        <is>
          <t>2023/01/12</t>
        </is>
      </c>
    </row>
    <row r="8">
      <c r="B8" s="24" t="inlineStr">
        <is>
          <t>clr_asset_others_sbc</t>
        </is>
      </c>
      <c r="C8" s="24" t="inlineStr">
        <is>
          <t>STRUCTUREDEVELOPER</t>
        </is>
      </c>
      <c r="D8" s="24" t="inlineStr">
        <is>
          <t>varchar(80)</t>
        </is>
      </c>
      <c r="E8" s="24" t="inlineStr">
        <is>
          <t>YES</t>
        </is>
      </c>
      <c r="F8" s="24" t="inlineStr">
        <is>
          <t>构造物开发商名称</t>
        </is>
      </c>
      <c r="G8" s="24" t="n"/>
      <c r="H8" s="24" t="n"/>
      <c r="I8" s="24" t="inlineStr"/>
      <c r="J8" s="24" t="inlineStr">
        <is>
          <t>2023/01/12</t>
        </is>
      </c>
    </row>
    <row r="9">
      <c r="B9" s="24" t="inlineStr">
        <is>
          <t>clr_asset_others_sbc</t>
        </is>
      </c>
      <c r="C9" s="24" t="inlineStr">
        <is>
          <t>ZIPCODE</t>
        </is>
      </c>
      <c r="D9" s="24" t="inlineStr">
        <is>
          <t>varchar(18)</t>
        </is>
      </c>
      <c r="E9" s="24" t="inlineStr">
        <is>
          <t>YES</t>
        </is>
      </c>
      <c r="F9" s="24" t="inlineStr">
        <is>
          <t>邮政编码</t>
        </is>
      </c>
      <c r="G9" s="24" t="n"/>
      <c r="H9" s="24" t="n"/>
      <c r="I9" s="24" t="inlineStr"/>
      <c r="J9" s="24" t="inlineStr">
        <is>
          <t>2023/01/12</t>
        </is>
      </c>
    </row>
    <row r="10">
      <c r="B10" s="24" t="inlineStr">
        <is>
          <t>clr_asset_others_sbc</t>
        </is>
      </c>
      <c r="C10" s="24" t="inlineStr">
        <is>
          <t>LANDNO</t>
        </is>
      </c>
      <c r="D10" s="24" t="inlineStr">
        <is>
          <t>varchar(32)</t>
        </is>
      </c>
      <c r="E10" s="24" t="inlineStr">
        <is>
          <t>YES</t>
        </is>
      </c>
      <c r="F10" s="24" t="inlineStr">
        <is>
          <t>构造物所属土地地号</t>
        </is>
      </c>
      <c r="G10" s="24" t="n"/>
      <c r="H10" s="24" t="n"/>
      <c r="I10" s="24" t="inlineStr"/>
      <c r="J10" s="24" t="inlineStr">
        <is>
          <t>2023/01/12</t>
        </is>
      </c>
    </row>
    <row r="11">
      <c r="B11" s="24" t="inlineStr">
        <is>
          <t>clr_asset_others_sbc</t>
        </is>
      </c>
      <c r="C11" s="24" t="inlineStr">
        <is>
          <t>LANDUSER</t>
        </is>
      </c>
      <c r="D11" s="24" t="inlineStr">
        <is>
          <t>varchar(80)</t>
        </is>
      </c>
      <c r="E11" s="24" t="inlineStr">
        <is>
          <t>YES</t>
        </is>
      </c>
      <c r="F11" s="24" t="inlineStr">
        <is>
          <t>构造物所属土地使用权人</t>
        </is>
      </c>
      <c r="G11" s="24" t="n"/>
      <c r="H11" s="24" t="n"/>
      <c r="I11" s="24" t="inlineStr"/>
      <c r="J11" s="24" t="inlineStr">
        <is>
          <t>2023/01/12</t>
        </is>
      </c>
    </row>
    <row r="12">
      <c r="B12" s="24" t="inlineStr">
        <is>
          <t>clr_asset_others_sbc</t>
        </is>
      </c>
      <c r="C12" s="24" t="inlineStr">
        <is>
          <t>LANDCERTID</t>
        </is>
      </c>
      <c r="D12" s="24" t="inlineStr">
        <is>
          <t>varchar(32)</t>
        </is>
      </c>
      <c r="E12" s="24" t="inlineStr">
        <is>
          <t>YES</t>
        </is>
      </c>
      <c r="F12" s="43" t="inlineStr">
        <is>
          <t>构造物所属土地使用权证号</t>
        </is>
      </c>
      <c r="G12" s="24" t="n"/>
      <c r="H12" s="24" t="n"/>
      <c r="I12" s="24" t="inlineStr"/>
      <c r="J12" s="24" t="inlineStr">
        <is>
          <t>2023/01/12</t>
        </is>
      </c>
    </row>
    <row r="13">
      <c r="B13" s="24" t="inlineStr">
        <is>
          <t>clr_asset_others_sbc</t>
        </is>
      </c>
      <c r="C13" s="24" t="inlineStr">
        <is>
          <t>STRUCTURETYPE</t>
        </is>
      </c>
      <c r="D13" s="24" t="inlineStr">
        <is>
          <t>varchar(6)</t>
        </is>
      </c>
      <c r="E13" s="24" t="inlineStr">
        <is>
          <t>YES</t>
        </is>
      </c>
      <c r="F13" s="24" t="inlineStr">
        <is>
          <t>构造物类型</t>
        </is>
      </c>
      <c r="G13" s="52">
        <f>HYPERLINK("#码值映射清单!B8937","SpecialStructureType")</f>
        <v/>
      </c>
      <c r="H13" s="24" t="n"/>
      <c r="I13" s="24" t="inlineStr"/>
      <c r="J13" s="24" t="inlineStr">
        <is>
          <t>2023/01/12</t>
        </is>
      </c>
    </row>
    <row r="14">
      <c r="B14" s="24" t="inlineStr">
        <is>
          <t>clr_asset_others_sbc</t>
        </is>
      </c>
      <c r="C14" s="24" t="inlineStr">
        <is>
          <t>STRUCTURESOURCE</t>
        </is>
      </c>
      <c r="D14" s="24" t="inlineStr">
        <is>
          <t>varchar(6)</t>
        </is>
      </c>
      <c r="E14" s="24" t="inlineStr">
        <is>
          <t>YES</t>
        </is>
      </c>
      <c r="F14" s="43" t="inlineStr">
        <is>
          <t>构造物来源/权属来源</t>
        </is>
      </c>
      <c r="G14" s="52">
        <f>HYPERLINK("#码值映射清单!B9119","RealtyRightSource")</f>
        <v/>
      </c>
      <c r="H14" s="24" t="n"/>
      <c r="I14" s="24" t="inlineStr"/>
      <c r="J14" s="24" t="inlineStr">
        <is>
          <t>2023/01/12</t>
        </is>
      </c>
    </row>
    <row r="15">
      <c r="B15" s="24" t="inlineStr">
        <is>
          <t>clr_asset_others_sbc</t>
        </is>
      </c>
      <c r="C15" s="24" t="inlineStr">
        <is>
          <t>STRUCTURELEVEL</t>
        </is>
      </c>
      <c r="D15" s="24" t="inlineStr">
        <is>
          <t>varchar(80)</t>
        </is>
      </c>
      <c r="E15" s="24" t="inlineStr">
        <is>
          <t>YES</t>
        </is>
      </c>
      <c r="F15" s="24" t="inlineStr">
        <is>
          <t>构造物等级</t>
        </is>
      </c>
      <c r="G15" s="24" t="n"/>
      <c r="H15" s="24" t="n"/>
      <c r="I15" s="24" t="inlineStr"/>
      <c r="J15" s="24" t="inlineStr">
        <is>
          <t>2023/01/12</t>
        </is>
      </c>
    </row>
    <row r="16">
      <c r="B16" s="24" t="inlineStr">
        <is>
          <t>clr_asset_others_sbc</t>
        </is>
      </c>
      <c r="C16" s="24" t="inlineStr">
        <is>
          <t>STRUCTUREUSEAREA</t>
        </is>
      </c>
      <c r="D16" s="24" t="inlineStr">
        <is>
          <t>decimal(18,2)</t>
        </is>
      </c>
      <c r="E16" s="24" t="inlineStr">
        <is>
          <t>YES</t>
        </is>
      </c>
      <c r="F16" s="24" t="inlineStr">
        <is>
          <t>构造物所属土地使用权面积</t>
        </is>
      </c>
      <c r="G16" s="24" t="n"/>
      <c r="H16" s="24" t="n"/>
      <c r="I16" s="24" t="inlineStr"/>
      <c r="J16" s="24" t="inlineStr">
        <is>
          <t>2023/01/12</t>
        </is>
      </c>
    </row>
    <row r="17">
      <c r="B17" s="24" t="inlineStr">
        <is>
          <t>clr_asset_others_sbc</t>
        </is>
      </c>
      <c r="C17" s="24" t="inlineStr">
        <is>
          <t>STRUCTUREUSETYPE</t>
        </is>
      </c>
      <c r="D17" s="24" t="inlineStr">
        <is>
          <t>varchar(6)</t>
        </is>
      </c>
      <c r="E17" s="24" t="inlineStr">
        <is>
          <t>YES</t>
        </is>
      </c>
      <c r="F17" s="24" t="inlineStr">
        <is>
          <t>构造物所属土地使用权类型</t>
        </is>
      </c>
      <c r="G17" s="52">
        <f>HYPERLINK("#码值映射清单!B4520","LandUseType")</f>
        <v/>
      </c>
      <c r="H17" s="24" t="n"/>
      <c r="I17" s="24" t="inlineStr"/>
      <c r="J17" s="24" t="inlineStr">
        <is>
          <t>2023/01/12</t>
        </is>
      </c>
    </row>
    <row r="18">
      <c r="B18" s="24" t="inlineStr">
        <is>
          <t>clr_asset_others_sbc</t>
        </is>
      </c>
      <c r="C18" s="24" t="inlineStr">
        <is>
          <t>STRUCTURELANDLEVEL</t>
        </is>
      </c>
      <c r="D18" s="24" t="inlineStr">
        <is>
          <t>varchar(80)</t>
        </is>
      </c>
      <c r="E18" s="24" t="inlineStr">
        <is>
          <t>YES</t>
        </is>
      </c>
      <c r="F18" s="24" t="inlineStr">
        <is>
          <t>构造物所属土地分级</t>
        </is>
      </c>
      <c r="G18" s="52">
        <f>HYPERLINK("#码值映射清单!B4530","CopyrightOwnerShip")</f>
        <v/>
      </c>
      <c r="H18" s="24" t="n"/>
      <c r="I18" s="24" t="inlineStr"/>
      <c r="J18" s="24" t="inlineStr">
        <is>
          <t>2023/01/12</t>
        </is>
      </c>
    </row>
    <row r="19">
      <c r="B19" s="24" t="inlineStr">
        <is>
          <t>clr_asset_others_sbc</t>
        </is>
      </c>
      <c r="C19" s="24" t="inlineStr">
        <is>
          <t>STRUCTUREACHIEVECOST</t>
        </is>
      </c>
      <c r="D19" s="24" t="inlineStr">
        <is>
          <t>decimal(24,6)</t>
        </is>
      </c>
      <c r="E19" s="24" t="inlineStr">
        <is>
          <t>YES</t>
        </is>
      </c>
      <c r="F19" s="43" t="inlineStr">
        <is>
          <t>构造物所属土地使用权取得价格/使用权购入价值</t>
        </is>
      </c>
      <c r="G19" s="24" t="n"/>
      <c r="H19" s="24" t="n"/>
      <c r="I19" s="24" t="inlineStr"/>
      <c r="J19" s="24" t="inlineStr">
        <is>
          <t>2023/01/12</t>
        </is>
      </c>
    </row>
    <row r="20">
      <c r="B20" s="24" t="inlineStr">
        <is>
          <t>clr_asset_others_sbc</t>
        </is>
      </c>
      <c r="C20" s="24" t="inlineStr">
        <is>
          <t>COMPLETIONDATE</t>
        </is>
      </c>
      <c r="D20" s="24" t="inlineStr">
        <is>
          <t>datetime</t>
        </is>
      </c>
      <c r="E20" s="24" t="inlineStr">
        <is>
          <t>YES</t>
        </is>
      </c>
      <c r="F20" s="24" t="inlineStr">
        <is>
          <t>构造物竣工日期</t>
        </is>
      </c>
      <c r="G20" s="24" t="n"/>
      <c r="H20" s="24" t="n"/>
      <c r="I20" s="24" t="inlineStr"/>
      <c r="J20" s="24" t="inlineStr">
        <is>
          <t>2023/01/12</t>
        </is>
      </c>
    </row>
    <row r="21">
      <c r="B21" s="24" t="inlineStr">
        <is>
          <t>clr_asset_others_sbc</t>
        </is>
      </c>
      <c r="C21" s="24" t="inlineStr">
        <is>
          <t>RUNNEDPERIOD</t>
        </is>
      </c>
      <c r="D21" s="24" t="inlineStr">
        <is>
          <t>decimal(18,2)</t>
        </is>
      </c>
      <c r="E21" s="24" t="inlineStr">
        <is>
          <t>YES</t>
        </is>
      </c>
      <c r="F21" s="24" t="inlineStr">
        <is>
          <t>构造物已运营时间</t>
        </is>
      </c>
      <c r="G21" s="24" t="n"/>
      <c r="H21" s="24" t="n"/>
      <c r="I21" s="24" t="inlineStr"/>
      <c r="J21" s="24" t="inlineStr">
        <is>
          <t>2023/01/12</t>
        </is>
      </c>
    </row>
    <row r="22">
      <c r="B22" s="24" t="inlineStr">
        <is>
          <t>clr_asset_others_sbc</t>
        </is>
      </c>
      <c r="C22" s="24" t="inlineStr">
        <is>
          <t>RUNNINGSCALE</t>
        </is>
      </c>
      <c r="D22" s="24" t="inlineStr">
        <is>
          <t>varchar(1000)</t>
        </is>
      </c>
      <c r="E22" s="24" t="inlineStr">
        <is>
          <t>YES</t>
        </is>
      </c>
      <c r="F22" s="24" t="inlineStr">
        <is>
          <t>构造物运营规模</t>
        </is>
      </c>
      <c r="G22" s="24" t="n"/>
      <c r="H22" s="24" t="n"/>
      <c r="I22" s="24" t="inlineStr"/>
      <c r="J22" s="24" t="inlineStr">
        <is>
          <t>2023/01/12</t>
        </is>
      </c>
    </row>
    <row r="23">
      <c r="B23" s="24" t="inlineStr">
        <is>
          <t>clr_asset_others_sbc</t>
        </is>
      </c>
      <c r="C23" s="24" t="inlineStr">
        <is>
          <t>ANNUALINCOME</t>
        </is>
      </c>
      <c r="D23" s="24" t="inlineStr">
        <is>
          <t>decimal(24,6)</t>
        </is>
      </c>
      <c r="E23" s="24" t="inlineStr">
        <is>
          <t>YES</t>
        </is>
      </c>
      <c r="F23" s="24" t="inlineStr">
        <is>
          <t>构造物年平均运营收入</t>
        </is>
      </c>
      <c r="G23" s="24" t="n"/>
      <c r="H23" s="24" t="n"/>
      <c r="I23" s="24" t="inlineStr"/>
      <c r="J23" s="24" t="inlineStr">
        <is>
          <t>2023/01/12</t>
        </is>
      </c>
    </row>
    <row r="24">
      <c r="B24" s="24" t="inlineStr">
        <is>
          <t>clr_asset_others_sbc</t>
        </is>
      </c>
      <c r="C24" s="24" t="inlineStr">
        <is>
          <t>STRUCTUREEQUIPMENT</t>
        </is>
      </c>
      <c r="D24" s="24" t="inlineStr">
        <is>
          <t>varchar(500)</t>
        </is>
      </c>
      <c r="E24" s="24" t="inlineStr">
        <is>
          <t>YES</t>
        </is>
      </c>
      <c r="F24" s="43" t="inlineStr">
        <is>
          <t>构造物配套设施设备</t>
        </is>
      </c>
      <c r="G24" s="24" t="n"/>
      <c r="H24" s="24" t="n"/>
      <c r="I24" s="24" t="inlineStr"/>
      <c r="J24" s="24" t="inlineStr">
        <is>
          <t>2023/01/12</t>
        </is>
      </c>
    </row>
    <row r="25">
      <c r="B25" s="24" t="inlineStr">
        <is>
          <t>clr_asset_others_sbc</t>
        </is>
      </c>
      <c r="C25" s="24" t="inlineStr">
        <is>
          <t>MATCHBUILDING</t>
        </is>
      </c>
      <c r="D25" s="24" t="inlineStr">
        <is>
          <t>varchar(500)</t>
        </is>
      </c>
      <c r="E25" s="24" t="inlineStr">
        <is>
          <t>YES</t>
        </is>
      </c>
      <c r="F25" s="24" t="inlineStr">
        <is>
          <t>构造物配套建筑</t>
        </is>
      </c>
      <c r="G25" s="24" t="n"/>
      <c r="H25" s="24" t="n"/>
      <c r="I25" s="24" t="inlineStr"/>
      <c r="J25" s="24" t="inlineStr">
        <is>
          <t>2023/01/12</t>
        </is>
      </c>
    </row>
    <row r="26">
      <c r="B26" s="24" t="inlineStr">
        <is>
          <t>clr_asset_others_sbc</t>
        </is>
      </c>
      <c r="C26" s="24" t="inlineStr">
        <is>
          <t>STRUCTUREDESCRIBE</t>
        </is>
      </c>
      <c r="D26" s="24" t="inlineStr">
        <is>
          <t>varchar(500)</t>
        </is>
      </c>
      <c r="E26" s="24" t="inlineStr">
        <is>
          <t>YES</t>
        </is>
      </c>
      <c r="F26" s="24" t="inlineStr">
        <is>
          <t>构造物基础设施情况描述</t>
        </is>
      </c>
      <c r="G26" s="24" t="n"/>
      <c r="H26" s="24" t="n"/>
      <c r="I26" s="24" t="inlineStr"/>
      <c r="J26" s="24" t="inlineStr">
        <is>
          <t>2023/01/12</t>
        </is>
      </c>
    </row>
    <row r="27">
      <c r="B27" s="24" t="inlineStr">
        <is>
          <t>clr_asset_others_sbc</t>
        </is>
      </c>
      <c r="C27" s="24" t="inlineStr">
        <is>
          <t>VACANCYPERIOD</t>
        </is>
      </c>
      <c r="D27" s="24" t="inlineStr">
        <is>
          <t>decimal(18,2)</t>
        </is>
      </c>
      <c r="E27" s="24" t="inlineStr">
        <is>
          <t>YES</t>
        </is>
      </c>
      <c r="F27" s="24" t="inlineStr">
        <is>
          <t>构造物空置时间</t>
        </is>
      </c>
      <c r="G27" s="24" t="n"/>
      <c r="H27" s="24" t="n"/>
      <c r="I27" s="24" t="inlineStr"/>
      <c r="J27" s="24" t="inlineStr">
        <is>
          <t>2023/01/12</t>
        </is>
      </c>
    </row>
    <row r="28">
      <c r="B28" s="24" t="inlineStr">
        <is>
          <t>clr_asset_others_sbc</t>
        </is>
      </c>
      <c r="C28" s="24" t="inlineStr">
        <is>
          <t>REMAINUSEYEARS</t>
        </is>
      </c>
      <c r="D28" s="24" t="inlineStr">
        <is>
          <t>decimal(18,2)</t>
        </is>
      </c>
      <c r="E28" s="24" t="inlineStr">
        <is>
          <t>YES</t>
        </is>
      </c>
      <c r="F28" s="43" t="inlineStr">
        <is>
          <t>构造物所属土地剩余使用年限</t>
        </is>
      </c>
      <c r="G28" s="24" t="n"/>
      <c r="H28" s="24" t="n"/>
      <c r="I28" s="24" t="inlineStr"/>
      <c r="J28" s="24" t="inlineStr">
        <is>
          <t>2023/01/12</t>
        </is>
      </c>
    </row>
    <row r="29">
      <c r="B29" s="24" t="inlineStr">
        <is>
          <t>clr_asset_others_sbc</t>
        </is>
      </c>
      <c r="C29" s="24" t="inlineStr">
        <is>
          <t>RENTTYPE</t>
        </is>
      </c>
      <c r="D29" s="24" t="inlineStr">
        <is>
          <t>varchar(6)</t>
        </is>
      </c>
      <c r="E29" s="24" t="inlineStr">
        <is>
          <t>YES</t>
        </is>
      </c>
      <c r="F29" s="24" t="inlineStr">
        <is>
          <t>构造物租赁形式</t>
        </is>
      </c>
      <c r="G29" s="52">
        <f>HYPERLINK("#码值映射清单!B1217","RentType")</f>
        <v/>
      </c>
      <c r="H29" s="24" t="n"/>
      <c r="I29" s="24" t="inlineStr"/>
      <c r="J29" s="24" t="inlineStr">
        <is>
          <t>2023/01/12</t>
        </is>
      </c>
    </row>
    <row r="30">
      <c r="B30" s="24" t="inlineStr">
        <is>
          <t>clr_asset_others_sbc</t>
        </is>
      </c>
      <c r="C30" s="24" t="inlineStr">
        <is>
          <t>LEASEMENTSTARTDATE</t>
        </is>
      </c>
      <c r="D30" s="24" t="inlineStr">
        <is>
          <t>datetime</t>
        </is>
      </c>
      <c r="E30" s="24" t="inlineStr">
        <is>
          <t>YES</t>
        </is>
      </c>
      <c r="F30" s="24" t="inlineStr">
        <is>
          <t>构造物租赁合同生效日</t>
        </is>
      </c>
      <c r="G30" s="24" t="n"/>
      <c r="H30" s="24" t="n"/>
      <c r="I30" s="24" t="inlineStr"/>
      <c r="J30" s="24" t="inlineStr">
        <is>
          <t>2023/01/12</t>
        </is>
      </c>
    </row>
    <row r="31">
      <c r="B31" s="24" t="inlineStr">
        <is>
          <t>clr_asset_others_sbc</t>
        </is>
      </c>
      <c r="C31" s="24" t="inlineStr">
        <is>
          <t>LEASEMENTENDDATE</t>
        </is>
      </c>
      <c r="D31" s="24" t="inlineStr">
        <is>
          <t>datetime</t>
        </is>
      </c>
      <c r="E31" s="24" t="inlineStr">
        <is>
          <t>YES</t>
        </is>
      </c>
      <c r="F31" s="24" t="inlineStr">
        <is>
          <t>构造物租赁合同到期日</t>
        </is>
      </c>
      <c r="G31" s="24" t="n"/>
      <c r="H31" s="24" t="n"/>
      <c r="I31" s="24" t="inlineStr"/>
      <c r="J31" s="24" t="inlineStr">
        <is>
          <t>2023/01/12</t>
        </is>
      </c>
    </row>
    <row r="32">
      <c r="B32" s="24" t="inlineStr">
        <is>
          <t>clr_asset_others_sbc</t>
        </is>
      </c>
      <c r="C32" s="24" t="inlineStr">
        <is>
          <t>LANDUSEYEARS</t>
        </is>
      </c>
      <c r="D32" s="24" t="inlineStr">
        <is>
          <t>decimal(18,2)</t>
        </is>
      </c>
      <c r="E32" s="24" t="inlineStr">
        <is>
          <t>YES</t>
        </is>
      </c>
      <c r="F32" s="24" t="inlineStr">
        <is>
          <t>所属土地使用权年限</t>
        </is>
      </c>
      <c r="G32" s="24" t="n"/>
      <c r="H32" s="24" t="n"/>
      <c r="I32" s="24" t="inlineStr"/>
      <c r="J32" s="24" t="inlineStr">
        <is>
          <t>2023/01/12</t>
        </is>
      </c>
    </row>
    <row r="33">
      <c r="B33" s="24" t="inlineStr">
        <is>
          <t>clr_asset_others_sbc</t>
        </is>
      </c>
      <c r="C33" s="24" t="inlineStr">
        <is>
          <t>LANDUSEENDDATE</t>
        </is>
      </c>
      <c r="D33" s="24" t="inlineStr">
        <is>
          <t>datetime</t>
        </is>
      </c>
      <c r="E33" s="24" t="inlineStr">
        <is>
          <t>YES</t>
        </is>
      </c>
      <c r="F33" s="24" t="inlineStr">
        <is>
          <t>所属土地使用权到期日</t>
        </is>
      </c>
      <c r="G33" s="24" t="n"/>
      <c r="H33" s="24" t="n"/>
      <c r="I33" s="24" t="inlineStr"/>
      <c r="J33" s="24" t="inlineStr">
        <is>
          <t>2023/01/12</t>
        </is>
      </c>
    </row>
    <row r="34">
      <c r="B34" s="24" t="inlineStr">
        <is>
          <t>clr_asset_others_sbc</t>
        </is>
      </c>
      <c r="C34" s="24" t="inlineStr">
        <is>
          <t>BUILDINGSTAUTS</t>
        </is>
      </c>
      <c r="D34" s="24" t="inlineStr">
        <is>
          <t>varchar(500)</t>
        </is>
      </c>
      <c r="E34" s="24" t="inlineStr">
        <is>
          <t>YES</t>
        </is>
      </c>
      <c r="F34" s="24" t="inlineStr">
        <is>
          <t>房屋状况</t>
        </is>
      </c>
      <c r="G34" s="24" t="n"/>
      <c r="H34" s="24" t="n"/>
      <c r="I34" s="24" t="inlineStr"/>
      <c r="J34" s="24" t="inlineStr">
        <is>
          <t>2023/01/12</t>
        </is>
      </c>
    </row>
    <row r="35">
      <c r="B35" s="24" t="inlineStr">
        <is>
          <t>clr_asset_others_sbc</t>
        </is>
      </c>
      <c r="C35" s="24" t="inlineStr">
        <is>
          <t>ISINDEPENDENTCERT</t>
        </is>
      </c>
      <c r="D35" s="24" t="inlineStr">
        <is>
          <t>char(1)</t>
        </is>
      </c>
      <c r="E35" s="24" t="inlineStr">
        <is>
          <t>YES</t>
        </is>
      </c>
      <c r="F35" s="24" t="inlineStr">
        <is>
          <t>构造物是否已办妥独立产权证或能办理独立产权证</t>
        </is>
      </c>
      <c r="G35" s="52">
        <f>HYPERLINK("#码值映射清单!B5150","YesNo")</f>
        <v/>
      </c>
      <c r="H35" s="24" t="n"/>
      <c r="I35" s="24" t="inlineStr"/>
      <c r="J35" s="24" t="inlineStr">
        <is>
          <t>2023/01/12</t>
        </is>
      </c>
    </row>
    <row r="36">
      <c r="B36" s="24" t="inlineStr">
        <is>
          <t>clr_asset_others_sbc</t>
        </is>
      </c>
      <c r="C36" s="24" t="inlineStr">
        <is>
          <t>ISSTATEPROPERTY</t>
        </is>
      </c>
      <c r="D36" s="24" t="inlineStr">
        <is>
          <t>char(1)</t>
        </is>
      </c>
      <c r="E36" s="24" t="inlineStr">
        <is>
          <t>YES</t>
        </is>
      </c>
      <c r="F36" s="24" t="inlineStr">
        <is>
          <t>构造物是否为国家财产</t>
        </is>
      </c>
      <c r="G36" s="52">
        <f>HYPERLINK("#码值映射清单!B5150","YesNo")</f>
        <v/>
      </c>
      <c r="H36" s="24" t="n"/>
      <c r="I36" s="24" t="inlineStr"/>
      <c r="J36" s="24" t="inlineStr">
        <is>
          <t>2023/01/12</t>
        </is>
      </c>
    </row>
    <row r="37">
      <c r="B37" s="24" t="inlineStr">
        <is>
          <t>clr_asset_others_sbc</t>
        </is>
      </c>
      <c r="C37" s="24" t="inlineStr">
        <is>
          <t>ISMEANINGFULBUIDING</t>
        </is>
      </c>
      <c r="D37" s="24" t="inlineStr">
        <is>
          <t>char(1)</t>
        </is>
      </c>
      <c r="E37" s="24" t="inlineStr">
        <is>
          <t>YES</t>
        </is>
      </c>
      <c r="F37" s="24" t="inlineStr">
        <is>
          <t>构造物是否包含被列为文物保护的古建筑或是有重要纪念意义的建筑物</t>
        </is>
      </c>
      <c r="G37" s="52">
        <f>HYPERLINK("#码值映射清单!B5150","YesNo")</f>
        <v/>
      </c>
      <c r="H37" s="24" t="n"/>
      <c r="I37" s="24" t="inlineStr"/>
      <c r="J37" s="24" t="inlineStr">
        <is>
          <t>2023/01/12</t>
        </is>
      </c>
    </row>
    <row r="38">
      <c r="B38" s="24" t="inlineStr">
        <is>
          <t>clr_asset_others_sbc</t>
        </is>
      </c>
      <c r="C38" s="24" t="inlineStr">
        <is>
          <t>ISDEMOLITIONBUILDING</t>
        </is>
      </c>
      <c r="D38" s="24" t="inlineStr">
        <is>
          <t>char(1)</t>
        </is>
      </c>
      <c r="E38" s="24" t="inlineStr">
        <is>
          <t>YES</t>
        </is>
      </c>
      <c r="F38" s="24" t="inlineStr">
        <is>
          <t>构造物是否包含已依法公告在国家建设征用拆迁范围内的房地产</t>
        </is>
      </c>
      <c r="G38" s="52">
        <f>HYPERLINK("#码值映射清单!B5150","YesNo")</f>
        <v/>
      </c>
      <c r="H38" s="24" t="n"/>
      <c r="I38" s="24" t="inlineStr"/>
      <c r="J38" s="24" t="inlineStr">
        <is>
          <t>2023/01/12</t>
        </is>
      </c>
    </row>
    <row r="39">
      <c r="B39" s="24" t="inlineStr">
        <is>
          <t>clr_asset_others_sbc</t>
        </is>
      </c>
      <c r="C39" s="24" t="inlineStr">
        <is>
          <t>ISQUESTIONABLEBUILDING</t>
        </is>
      </c>
      <c r="D39" s="24" t="inlineStr">
        <is>
          <t>char(1)</t>
        </is>
      </c>
      <c r="E39" s="24" t="inlineStr">
        <is>
          <t>YES</t>
        </is>
      </c>
      <c r="F39" s="24" t="inlineStr">
        <is>
          <t>构造物是否为违法、违章建筑物或依法被查封、扣押、监管或采用其他强制性措施的财产</t>
        </is>
      </c>
      <c r="G39" s="52">
        <f>HYPERLINK("#码值映射清单!B5150","YesNo")</f>
        <v/>
      </c>
      <c r="H39" s="24" t="n"/>
      <c r="I39" s="24" t="inlineStr"/>
      <c r="J39" s="24" t="inlineStr">
        <is>
          <t>2023/01/12</t>
        </is>
      </c>
    </row>
    <row r="40">
      <c r="B40" s="24" t="inlineStr">
        <is>
          <t>clr_asset_others_sbc</t>
        </is>
      </c>
      <c r="C40" s="24" t="inlineStr">
        <is>
          <t>ISQUALIFIED</t>
        </is>
      </c>
      <c r="D40" s="24" t="inlineStr">
        <is>
          <t>char(1)</t>
        </is>
      </c>
      <c r="E40" s="24" t="inlineStr">
        <is>
          <t>YES</t>
        </is>
      </c>
      <c r="F40" s="24" t="inlineStr">
        <is>
          <t>构造物是否已竣工验收并通过最近一次年检</t>
        </is>
      </c>
      <c r="G40" s="52">
        <f>HYPERLINK("#码值映射清单!B5150","YesNo")</f>
        <v/>
      </c>
      <c r="H40" s="24" t="n"/>
      <c r="I40" s="24" t="inlineStr"/>
      <c r="J40" s="24" t="inlineStr">
        <is>
          <t>2023/01/12</t>
        </is>
      </c>
    </row>
    <row r="41">
      <c r="B41" s="24" t="inlineStr">
        <is>
          <t>clr_asset_others_sbc</t>
        </is>
      </c>
      <c r="C41" s="24" t="inlineStr">
        <is>
          <t>OWNERCERTIFICATION</t>
        </is>
      </c>
      <c r="D41" s="24" t="inlineStr">
        <is>
          <t>char(1)</t>
        </is>
      </c>
      <c r="E41" s="24" t="inlineStr">
        <is>
          <t>YES</t>
        </is>
      </c>
      <c r="F41" s="24" t="inlineStr">
        <is>
          <t>是否已提交构造物相关权属证明</t>
        </is>
      </c>
      <c r="G41" s="52">
        <f>HYPERLINK("#码值映射清单!B5150","YesNo")</f>
        <v/>
      </c>
      <c r="H41" s="24" t="n"/>
      <c r="I41" s="24" t="inlineStr"/>
      <c r="J41" s="24" t="inlineStr">
        <is>
          <t>2023/01/12</t>
        </is>
      </c>
    </row>
    <row r="42">
      <c r="B42" s="24" t="inlineStr">
        <is>
          <t>clr_asset_others_sbc</t>
        </is>
      </c>
      <c r="C42" s="24" t="inlineStr">
        <is>
          <t>RELATIVECERTIFY</t>
        </is>
      </c>
      <c r="D42" s="24" t="inlineStr">
        <is>
          <t>char(1)</t>
        </is>
      </c>
      <c r="E42" s="24" t="inlineStr">
        <is>
          <t>YES</t>
        </is>
      </c>
      <c r="F42" s="24" t="inlineStr">
        <is>
          <t>是否已提交构造物相关的出租合同与相关登记证明</t>
        </is>
      </c>
      <c r="G42" s="52">
        <f>HYPERLINK("#码值映射清单!B5150","YesNo")</f>
        <v/>
      </c>
      <c r="H42" s="24" t="n"/>
      <c r="I42" s="24" t="inlineStr"/>
      <c r="J42" s="24" t="inlineStr">
        <is>
          <t>2023/01/12</t>
        </is>
      </c>
    </row>
    <row r="43">
      <c r="B43" s="24" t="inlineStr">
        <is>
          <t>clr_asset_others_sbc</t>
        </is>
      </c>
      <c r="C43" s="24" t="inlineStr">
        <is>
          <t>FINANCEREPORTFLAG</t>
        </is>
      </c>
      <c r="D43" s="24" t="inlineStr">
        <is>
          <t>char(1)</t>
        </is>
      </c>
      <c r="E43" s="24" t="inlineStr">
        <is>
          <t>YES</t>
        </is>
      </c>
      <c r="F43" s="24" t="inlineStr">
        <is>
          <t>是否已提交构造物相关的企业财务报表</t>
        </is>
      </c>
      <c r="G43" s="52">
        <f>HYPERLINK("#码值映射清单!B5150","YesNo")</f>
        <v/>
      </c>
      <c r="H43" s="24" t="n"/>
      <c r="I43" s="24" t="inlineStr"/>
      <c r="J43" s="24" t="inlineStr">
        <is>
          <t>2023/01/12</t>
        </is>
      </c>
    </row>
    <row r="44">
      <c r="B44" s="24" t="inlineStr">
        <is>
          <t>clr_asset_others_sbc</t>
        </is>
      </c>
      <c r="C44" s="24" t="inlineStr">
        <is>
          <t>LANDUSEFLAG</t>
        </is>
      </c>
      <c r="D44" s="24" t="inlineStr">
        <is>
          <t>char(1)</t>
        </is>
      </c>
      <c r="E44" s="24" t="inlineStr">
        <is>
          <t>YES</t>
        </is>
      </c>
      <c r="F44" s="24" t="inlineStr">
        <is>
          <t>是否已提交构造物相关的土地使用权证</t>
        </is>
      </c>
      <c r="G44" s="52">
        <f>HYPERLINK("#码值映射清单!B5150","YesNo")</f>
        <v/>
      </c>
      <c r="H44" s="24" t="n"/>
      <c r="I44" s="24" t="inlineStr"/>
      <c r="J44" s="24" t="inlineStr">
        <is>
          <t>2023/01/12</t>
        </is>
      </c>
    </row>
    <row r="45">
      <c r="B45" s="24" t="inlineStr">
        <is>
          <t>clr_asset_others_sbc</t>
        </is>
      </c>
      <c r="C45" s="24" t="inlineStr">
        <is>
          <t>LANDUSESELLFLAG</t>
        </is>
      </c>
      <c r="D45" s="24" t="inlineStr">
        <is>
          <t>char(1)</t>
        </is>
      </c>
      <c r="E45" s="24" t="inlineStr">
        <is>
          <t>YES</t>
        </is>
      </c>
      <c r="F45" s="24" t="inlineStr">
        <is>
          <t>是否已提交构造物相关的土地使用权出让合同</t>
        </is>
      </c>
      <c r="G45" s="52">
        <f>HYPERLINK("#码值映射清单!B5150","YesNo")</f>
        <v/>
      </c>
      <c r="H45" s="24" t="n"/>
      <c r="I45" s="24" t="inlineStr"/>
      <c r="J45" s="24" t="inlineStr">
        <is>
          <t>2023/01/12</t>
        </is>
      </c>
    </row>
    <row r="46">
      <c r="B46" s="24" t="inlineStr">
        <is>
          <t>clr_asset_others_sbc</t>
        </is>
      </c>
      <c r="C46" s="24" t="inlineStr">
        <is>
          <t>ANNUALSURVEYDATA</t>
        </is>
      </c>
      <c r="D46" s="24" t="inlineStr">
        <is>
          <t>char(1)</t>
        </is>
      </c>
      <c r="E46" s="24" t="inlineStr">
        <is>
          <t>YES</t>
        </is>
      </c>
      <c r="F46" s="24" t="inlineStr">
        <is>
          <t>是否已提交构造物相关的年检材料</t>
        </is>
      </c>
      <c r="G46" s="52">
        <f>HYPERLINK("#码值映射清单!B5150","YesNo")</f>
        <v/>
      </c>
      <c r="H46" s="24" t="n"/>
      <c r="I46" s="24" t="inlineStr"/>
      <c r="J46" s="24" t="inlineStr">
        <is>
          <t>2023/01/12</t>
        </is>
      </c>
    </row>
    <row r="47">
      <c r="B47" s="24" t="inlineStr">
        <is>
          <t>clr_asset_others_sbc</t>
        </is>
      </c>
      <c r="C47" s="24" t="inlineStr">
        <is>
          <t>CORPORGID</t>
        </is>
      </c>
      <c r="D47" s="24" t="inlineStr">
        <is>
          <t>varchar(32)</t>
        </is>
      </c>
      <c r="E47" s="24" t="inlineStr">
        <is>
          <t>YES</t>
        </is>
      </c>
      <c r="F47" s="24" t="inlineStr">
        <is>
          <t>法人机构编号</t>
        </is>
      </c>
      <c r="G47" s="24" t="n"/>
      <c r="H47" s="24" t="n"/>
      <c r="I47" s="24" t="inlineStr"/>
      <c r="J47" s="24" t="inlineStr">
        <is>
          <t>2023/01/12</t>
        </is>
      </c>
    </row>
    <row r="48">
      <c r="B48" s="109" t="inlineStr">
        <is>
          <t>clr_asset_others_sbc</t>
        </is>
      </c>
      <c r="C48" s="109" t="inlineStr">
        <is>
          <t>URBANPLANNING</t>
        </is>
      </c>
      <c r="D48" s="109" t="inlineStr">
        <is>
          <t>varchar(1000)</t>
        </is>
      </c>
      <c r="E48" s="109" t="inlineStr">
        <is>
          <t>YES</t>
        </is>
      </c>
      <c r="F48" s="109" t="inlineStr">
        <is>
          <t>当前或未来设计押品所在区域的城市规划计划或特殊政策</t>
        </is>
      </c>
      <c r="G48" s="109" t="n"/>
      <c r="H48" s="109" t="n"/>
      <c r="I48" s="109" t="inlineStr"/>
      <c r="J48" s="109" t="inlineStr">
        <is>
          <t>2023/01/12</t>
        </is>
      </c>
    </row>
    <row r="49">
      <c r="B49" s="65" t="inlineStr">
        <is>
          <t>clr_asset_others_sbc</t>
        </is>
      </c>
      <c r="C49" s="60" t="inlineStr">
        <is>
          <t>ISCOMBINEDCERT</t>
        </is>
      </c>
      <c r="D49" s="60" t="inlineStr">
        <is>
          <t>varchar(6)</t>
        </is>
      </c>
      <c r="E49" s="73" t="inlineStr">
        <is>
          <t>YES</t>
        </is>
      </c>
      <c r="F49" s="59" t="inlineStr">
        <is>
          <t>是否双证合一</t>
        </is>
      </c>
      <c r="G49" s="60" t="n"/>
      <c r="H49" s="60" t="n"/>
      <c r="I49" s="60" t="n"/>
      <c r="J49" s="183" t="n">
        <v>45740</v>
      </c>
    </row>
    <row r="50">
      <c r="B50" s="65" t="inlineStr">
        <is>
          <t>clr_asset_others_sbc</t>
        </is>
      </c>
      <c r="C50" s="60" t="inlineStr">
        <is>
          <t>LANDNO</t>
        </is>
      </c>
      <c r="D50" s="60" t="inlineStr">
        <is>
          <t>varchar(32)</t>
        </is>
      </c>
      <c r="E50" s="73" t="inlineStr">
        <is>
          <t>YES</t>
        </is>
      </c>
      <c r="F50" s="59" t="inlineStr">
        <is>
          <t>所属土地宗地号</t>
        </is>
      </c>
      <c r="G50" s="60" t="n"/>
      <c r="H50" s="60" t="n"/>
      <c r="I50" s="60" t="n"/>
      <c r="J50" s="183" t="n">
        <v>45740</v>
      </c>
    </row>
    <row r="51">
      <c r="B51" s="65" t="inlineStr">
        <is>
          <t>clr_asset_others_sbc</t>
        </is>
      </c>
      <c r="C51" s="60" t="inlineStr">
        <is>
          <t>FACILITIES</t>
        </is>
      </c>
      <c r="D51" s="60" t="inlineStr">
        <is>
          <t>varchar(200)</t>
        </is>
      </c>
      <c r="E51" s="73" t="inlineStr">
        <is>
          <t>YES</t>
        </is>
      </c>
      <c r="F51" s="59" t="inlineStr">
        <is>
          <t>配套设施情况</t>
        </is>
      </c>
      <c r="G51" s="60" t="n"/>
      <c r="H51" s="60" t="n"/>
      <c r="I51" s="60" t="n"/>
      <c r="J51" s="183" t="n">
        <v>45740</v>
      </c>
    </row>
  </sheetData>
  <pageMargins left="0.75" right="0.75" top="1" bottom="1" header="0.5" footer="0.5"/>
  <pageSetup orientation="portrait" paperSize="1" horizontalDpi="300" verticalDpi="300"/>
</worksheet>
</file>

<file path=xl/worksheets/sheet72.xml><?xml version="1.0" encoding="utf-8"?>
<worksheet xmlns="http://schemas.openxmlformats.org/spreadsheetml/2006/main">
  <sheetPr>
    <outlinePr summaryBelow="1" summaryRight="1"/>
    <pageSetUpPr/>
  </sheetPr>
  <dimension ref="A1:J83"/>
  <sheetViews>
    <sheetView zoomScaleSheetLayoutView="60" workbookViewId="0">
      <pane ySplit="2" topLeftCell="A67" activePane="bottomLeft" state="frozen"/>
      <selection activeCell="A1" sqref="A1"/>
      <selection pane="bottomLeft" activeCell="J75" sqref="J75:J8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可转让知识产权中的财产权</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clr_asset_others_tlpr</t>
        </is>
      </c>
      <c r="C3" s="24" t="inlineStr">
        <is>
          <t>CLRID</t>
        </is>
      </c>
      <c r="D3" s="24" t="inlineStr">
        <is>
          <t>varchar(32)</t>
        </is>
      </c>
      <c r="E3" s="24" t="inlineStr">
        <is>
          <t>NO</t>
        </is>
      </c>
      <c r="F3" s="24" t="inlineStr">
        <is>
          <t>押品编号</t>
        </is>
      </c>
      <c r="G3" s="24" t="n"/>
      <c r="H3" s="24" t="n"/>
      <c r="I3" s="24" t="inlineStr"/>
      <c r="J3" s="24" t="inlineStr">
        <is>
          <t>2023/01/12</t>
        </is>
      </c>
    </row>
    <row r="4">
      <c r="B4" s="24" t="inlineStr">
        <is>
          <t>clr_asset_others_tlpr</t>
        </is>
      </c>
      <c r="C4" s="24" t="inlineStr">
        <is>
          <t>PATENTNAME</t>
        </is>
      </c>
      <c r="D4" s="24" t="inlineStr">
        <is>
          <t>varchar(80)</t>
        </is>
      </c>
      <c r="E4" s="24" t="inlineStr">
        <is>
          <t>YES</t>
        </is>
      </c>
      <c r="F4" s="43" t="inlineStr">
        <is>
          <t>专利名称/权利名称</t>
        </is>
      </c>
      <c r="G4" s="24" t="n"/>
      <c r="H4" s="24" t="n"/>
      <c r="I4" s="24" t="inlineStr"/>
      <c r="J4" s="24" t="inlineStr">
        <is>
          <t>2023/01/12</t>
        </is>
      </c>
    </row>
    <row r="5">
      <c r="B5" s="24" t="inlineStr">
        <is>
          <t>clr_asset_others_tlpr</t>
        </is>
      </c>
      <c r="C5" s="24" t="inlineStr">
        <is>
          <t>COPYRIGHTRGSTNO</t>
        </is>
      </c>
      <c r="D5" s="24" t="inlineStr">
        <is>
          <t>varchar(80)</t>
        </is>
      </c>
      <c r="E5" s="24" t="inlineStr">
        <is>
          <t>YES</t>
        </is>
      </c>
      <c r="F5" s="43" t="inlineStr">
        <is>
          <t>著作权登记号/专利号/商标注册证号码</t>
        </is>
      </c>
      <c r="G5" s="24" t="n"/>
      <c r="H5" s="24" t="n"/>
      <c r="I5" s="24" t="inlineStr"/>
      <c r="J5" s="24" t="inlineStr">
        <is>
          <t>2023/01/12</t>
        </is>
      </c>
    </row>
    <row r="6">
      <c r="B6" s="24" t="inlineStr">
        <is>
          <t>clr_asset_others_tlpr</t>
        </is>
      </c>
      <c r="C6" s="24" t="inlineStr">
        <is>
          <t>AUTHOR</t>
        </is>
      </c>
      <c r="D6" s="24" t="inlineStr">
        <is>
          <t>varchar(80)</t>
        </is>
      </c>
      <c r="E6" s="24" t="inlineStr">
        <is>
          <t>YES</t>
        </is>
      </c>
      <c r="F6" s="24" t="inlineStr">
        <is>
          <t>作者/专利设计人</t>
        </is>
      </c>
      <c r="G6" s="24" t="n"/>
      <c r="H6" s="24" t="n"/>
      <c r="I6" s="24" t="inlineStr"/>
      <c r="J6" s="24" t="inlineStr">
        <is>
          <t>2023/01/12</t>
        </is>
      </c>
    </row>
    <row r="7">
      <c r="B7" s="24" t="inlineStr">
        <is>
          <t>clr_asset_others_tlpr</t>
        </is>
      </c>
      <c r="C7" s="24" t="inlineStr">
        <is>
          <t>RIGHTOWNER</t>
        </is>
      </c>
      <c r="D7" s="24" t="inlineStr">
        <is>
          <t>varchar(80)</t>
        </is>
      </c>
      <c r="E7" s="24" t="inlineStr">
        <is>
          <t>YES</t>
        </is>
      </c>
      <c r="F7" s="43" t="inlineStr">
        <is>
          <t>专利权人/著作权人/有权人</t>
        </is>
      </c>
      <c r="G7" s="24" t="n"/>
      <c r="H7" s="24" t="n"/>
      <c r="I7" s="24" t="inlineStr"/>
      <c r="J7" s="24" t="inlineStr">
        <is>
          <t>2023/01/12</t>
        </is>
      </c>
    </row>
    <row r="8">
      <c r="B8" s="24" t="inlineStr">
        <is>
          <t>clr_asset_others_tlpr</t>
        </is>
      </c>
      <c r="C8" s="24" t="inlineStr">
        <is>
          <t>PUBLICAITONSERAILNO</t>
        </is>
      </c>
      <c r="D8" s="24" t="inlineStr">
        <is>
          <t>varchar(18)</t>
        </is>
      </c>
      <c r="E8" s="24" t="inlineStr">
        <is>
          <t>YES</t>
        </is>
      </c>
      <c r="F8" s="24" t="inlineStr">
        <is>
          <t>出版物序列号</t>
        </is>
      </c>
      <c r="G8" s="24" t="n"/>
      <c r="H8" s="24" t="n"/>
      <c r="I8" s="24" t="inlineStr"/>
      <c r="J8" s="24" t="inlineStr">
        <is>
          <t>2023/01/12</t>
        </is>
      </c>
    </row>
    <row r="9">
      <c r="B9" s="24" t="inlineStr">
        <is>
          <t>clr_asset_others_tlpr</t>
        </is>
      </c>
      <c r="C9" s="24" t="inlineStr">
        <is>
          <t>COMPLETIONDATE</t>
        </is>
      </c>
      <c r="D9" s="24" t="inlineStr">
        <is>
          <t>varchar(18)</t>
        </is>
      </c>
      <c r="E9" s="24" t="inlineStr">
        <is>
          <t>YES</t>
        </is>
      </c>
      <c r="F9" s="24" t="inlineStr">
        <is>
          <t>作品创作完成时间</t>
        </is>
      </c>
      <c r="G9" s="24" t="n"/>
      <c r="H9" s="24" t="n"/>
      <c r="I9" s="24" t="inlineStr"/>
      <c r="J9" s="24" t="inlineStr">
        <is>
          <t>2023/01/12</t>
        </is>
      </c>
    </row>
    <row r="10">
      <c r="B10" s="24" t="inlineStr">
        <is>
          <t>clr_asset_others_tlpr</t>
        </is>
      </c>
      <c r="C10" s="24" t="inlineStr">
        <is>
          <t>FIRSTRELEASEDATE</t>
        </is>
      </c>
      <c r="D10" s="24" t="inlineStr">
        <is>
          <t>date</t>
        </is>
      </c>
      <c r="E10" s="24" t="inlineStr">
        <is>
          <t>YES</t>
        </is>
      </c>
      <c r="F10" s="24" t="inlineStr">
        <is>
          <t>首次发表时间</t>
        </is>
      </c>
      <c r="G10" s="24" t="n"/>
      <c r="H10" s="24" t="n"/>
      <c r="I10" s="24" t="inlineStr"/>
      <c r="J10" s="24" t="inlineStr">
        <is>
          <t>2023/01/12</t>
        </is>
      </c>
    </row>
    <row r="11">
      <c r="B11" s="24" t="inlineStr">
        <is>
          <t>clr_asset_others_tlpr</t>
        </is>
      </c>
      <c r="C11" s="24" t="inlineStr">
        <is>
          <t>OWNERSHIP</t>
        </is>
      </c>
      <c r="D11" s="24" t="inlineStr">
        <is>
          <t>varchar(200)</t>
        </is>
      </c>
      <c r="E11" s="24" t="inlineStr">
        <is>
          <t>YES</t>
        </is>
      </c>
      <c r="F11" s="43" t="inlineStr">
        <is>
          <t>著作权所有关系/著作权享有关系</t>
        </is>
      </c>
      <c r="G11" s="52">
        <f>HYPERLINK("#码值映射清单!B4530","CopyrightOwnerShip")</f>
        <v/>
      </c>
      <c r="H11" s="24" t="n"/>
      <c r="I11" s="24" t="inlineStr"/>
      <c r="J11" s="24" t="inlineStr">
        <is>
          <t>2023/01/12</t>
        </is>
      </c>
    </row>
    <row r="12">
      <c r="B12" s="24" t="inlineStr">
        <is>
          <t>clr_asset_others_tlpr</t>
        </is>
      </c>
      <c r="C12" s="24" t="inlineStr">
        <is>
          <t>COPYRIGHTSOURCE</t>
        </is>
      </c>
      <c r="D12" s="24" t="inlineStr">
        <is>
          <t>varchar(6)</t>
        </is>
      </c>
      <c r="E12" s="24" t="inlineStr">
        <is>
          <t>YES</t>
        </is>
      </c>
      <c r="F12" s="49" t="inlineStr">
        <is>
          <t>著作权取得方式/取得方式</t>
        </is>
      </c>
      <c r="G12" s="52">
        <f>HYPERLINK("#码值映射清单!B1792","CopyrightSource")</f>
        <v/>
      </c>
      <c r="H12" s="24" t="n"/>
      <c r="I12" s="24" t="inlineStr"/>
      <c r="J12" s="24" t="inlineStr">
        <is>
          <t>2023/01/12</t>
        </is>
      </c>
    </row>
    <row r="13">
      <c r="B13" s="24" t="inlineStr">
        <is>
          <t>clr_asset_others_tlpr</t>
        </is>
      </c>
      <c r="C13" s="24" t="inlineStr">
        <is>
          <t>COPYRIGHTRATIO</t>
        </is>
      </c>
      <c r="D13" s="24" t="inlineStr">
        <is>
          <t>decimal(18,8)</t>
        </is>
      </c>
      <c r="E13" s="24" t="inlineStr">
        <is>
          <t>YES</t>
        </is>
      </c>
      <c r="F13" s="24" t="inlineStr">
        <is>
          <t>著作权享有比例</t>
        </is>
      </c>
      <c r="G13" s="24" t="n"/>
      <c r="H13" s="24" t="n"/>
      <c r="I13" s="24" t="inlineStr"/>
      <c r="J13" s="24" t="inlineStr">
        <is>
          <t>2023/01/12</t>
        </is>
      </c>
    </row>
    <row r="14">
      <c r="B14" s="24" t="inlineStr">
        <is>
          <t>clr_asset_others_tlpr</t>
        </is>
      </c>
      <c r="C14" s="24" t="inlineStr">
        <is>
          <t>WORKSTITLE</t>
        </is>
      </c>
      <c r="D14" s="24" t="inlineStr">
        <is>
          <t>varchar(200)</t>
        </is>
      </c>
      <c r="E14" s="24" t="inlineStr">
        <is>
          <t>YES</t>
        </is>
      </c>
      <c r="F14" s="24" t="inlineStr">
        <is>
          <t>作品名称</t>
        </is>
      </c>
      <c r="G14" s="24" t="n"/>
      <c r="H14" s="24" t="n"/>
      <c r="I14" s="24" t="inlineStr"/>
      <c r="J14" s="24" t="inlineStr">
        <is>
          <t>2023/01/12</t>
        </is>
      </c>
    </row>
    <row r="15">
      <c r="B15" s="24" t="inlineStr">
        <is>
          <t>clr_asset_others_tlpr</t>
        </is>
      </c>
      <c r="C15" s="24" t="inlineStr">
        <is>
          <t>CONTENT</t>
        </is>
      </c>
      <c r="D15" s="24" t="inlineStr">
        <is>
          <t>varchar(200)</t>
        </is>
      </c>
      <c r="E15" s="24" t="inlineStr">
        <is>
          <t>YES</t>
        </is>
      </c>
      <c r="F15" s="24" t="inlineStr">
        <is>
          <t>内容</t>
        </is>
      </c>
      <c r="G15" s="24" t="n"/>
      <c r="H15" s="24" t="n"/>
      <c r="I15" s="24" t="inlineStr"/>
      <c r="J15" s="24" t="inlineStr">
        <is>
          <t>2023/01/12</t>
        </is>
      </c>
    </row>
    <row r="16">
      <c r="B16" s="24" t="inlineStr">
        <is>
          <t>clr_asset_others_tlpr</t>
        </is>
      </c>
      <c r="C16" s="24" t="inlineStr">
        <is>
          <t>USEDETAIL</t>
        </is>
      </c>
      <c r="D16" s="24" t="inlineStr">
        <is>
          <t>varchar(200)</t>
        </is>
      </c>
      <c r="E16" s="24" t="inlineStr">
        <is>
          <t>YES</t>
        </is>
      </c>
      <c r="F16" s="24" t="inlineStr">
        <is>
          <t>使用情况</t>
        </is>
      </c>
      <c r="G16" s="24" t="n"/>
      <c r="H16" s="24" t="n"/>
      <c r="I16" s="24" t="inlineStr"/>
      <c r="J16" s="24" t="inlineStr">
        <is>
          <t>2023/01/12</t>
        </is>
      </c>
    </row>
    <row r="17">
      <c r="B17" s="24" t="inlineStr">
        <is>
          <t>clr_asset_others_tlpr</t>
        </is>
      </c>
      <c r="C17" s="24" t="inlineStr">
        <is>
          <t>COPYRIGHTTYPE</t>
        </is>
      </c>
      <c r="D17" s="24" t="inlineStr">
        <is>
          <t>varchar(18)</t>
        </is>
      </c>
      <c r="E17" s="24" t="inlineStr">
        <is>
          <t>YES</t>
        </is>
      </c>
      <c r="F17" s="24" t="inlineStr">
        <is>
          <t>著作权类型/专利权客体类型</t>
        </is>
      </c>
      <c r="G17" s="52">
        <f>HYPERLINK("#码值映射清单!B3107","PatentCopyrightType")</f>
        <v/>
      </c>
      <c r="H17" s="24" t="n"/>
      <c r="I17" s="24" t="inlineStr"/>
      <c r="J17" s="24" t="inlineStr">
        <is>
          <t>2023/01/12</t>
        </is>
      </c>
    </row>
    <row r="18">
      <c r="B18" s="24" t="inlineStr">
        <is>
          <t>clr_asset_others_tlpr</t>
        </is>
      </c>
      <c r="C18" s="24" t="inlineStr">
        <is>
          <t>WORKSTYPE</t>
        </is>
      </c>
      <c r="D18" s="24" t="inlineStr">
        <is>
          <t>varchar(6)</t>
        </is>
      </c>
      <c r="E18" s="24" t="inlineStr">
        <is>
          <t>YES</t>
        </is>
      </c>
      <c r="F18" s="24" t="inlineStr">
        <is>
          <t>作品类别</t>
        </is>
      </c>
      <c r="G18" s="52">
        <f>HYPERLINK("#码值映射清单!B5978","WorksType")</f>
        <v/>
      </c>
      <c r="H18" s="24" t="n"/>
      <c r="I18" s="24" t="inlineStr"/>
      <c r="J18" s="24" t="inlineStr">
        <is>
          <t>2023/01/12</t>
        </is>
      </c>
    </row>
    <row r="19">
      <c r="B19" s="24" t="inlineStr">
        <is>
          <t>clr_asset_others_tlpr</t>
        </is>
      </c>
      <c r="C19" s="24" t="inlineStr">
        <is>
          <t>WORKSCREATIONMODE</t>
        </is>
      </c>
      <c r="D19" s="24" t="inlineStr">
        <is>
          <t>varchar(6)</t>
        </is>
      </c>
      <c r="E19" s="24" t="inlineStr">
        <is>
          <t>YES</t>
        </is>
      </c>
      <c r="F19" s="24" t="inlineStr">
        <is>
          <t>作品创作形式</t>
        </is>
      </c>
      <c r="G19" s="52">
        <f>HYPERLINK("#码值映射清单!B1298","WorksCreationMode")</f>
        <v/>
      </c>
      <c r="H19" s="24" t="n"/>
      <c r="I19" s="24" t="inlineStr"/>
      <c r="J19" s="24" t="inlineStr">
        <is>
          <t>2023/01/12</t>
        </is>
      </c>
    </row>
    <row r="20">
      <c r="B20" s="24" t="inlineStr">
        <is>
          <t>clr_asset_others_tlpr</t>
        </is>
      </c>
      <c r="C20" s="24" t="inlineStr">
        <is>
          <t>HISTORIALTRANSACTIONS</t>
        </is>
      </c>
      <c r="D20" s="24" t="inlineStr">
        <is>
          <t>varchar(200)</t>
        </is>
      </c>
      <c r="E20" s="24" t="inlineStr">
        <is>
          <t>YES</t>
        </is>
      </c>
      <c r="F20" s="24" t="inlineStr">
        <is>
          <t>以往评估交易情况</t>
        </is>
      </c>
      <c r="G20" s="24" t="n"/>
      <c r="H20" s="24" t="n"/>
      <c r="I20" s="24" t="inlineStr"/>
      <c r="J20" s="24" t="inlineStr">
        <is>
          <t>2023/01/12</t>
        </is>
      </c>
    </row>
    <row r="21">
      <c r="B21" s="24" t="inlineStr">
        <is>
          <t>clr_asset_others_tlpr</t>
        </is>
      </c>
      <c r="C21" s="24" t="inlineStr">
        <is>
          <t>EFFECTIVEDATE</t>
        </is>
      </c>
      <c r="D21" s="24" t="inlineStr">
        <is>
          <t>varchar(18)</t>
        </is>
      </c>
      <c r="E21" s="24" t="inlineStr">
        <is>
          <t>YES</t>
        </is>
      </c>
      <c r="F21" s="43" t="inlineStr">
        <is>
          <t>生效日/注册生效日/专利申请日期/著作权生效日期</t>
        </is>
      </c>
      <c r="G21" s="24" t="n"/>
      <c r="H21" s="24" t="n"/>
      <c r="I21" s="24" t="inlineStr"/>
      <c r="J21" s="24" t="inlineStr">
        <is>
          <t>2023/01/12</t>
        </is>
      </c>
    </row>
    <row r="22">
      <c r="B22" s="24" t="inlineStr">
        <is>
          <t>clr_asset_others_tlpr</t>
        </is>
      </c>
      <c r="C22" s="24" t="inlineStr">
        <is>
          <t>EXPIRYDATE</t>
        </is>
      </c>
      <c r="D22" s="24" t="inlineStr">
        <is>
          <t>varchar(18)</t>
        </is>
      </c>
      <c r="E22" s="24" t="inlineStr">
        <is>
          <t>YES</t>
        </is>
      </c>
      <c r="F22" s="43" t="inlineStr">
        <is>
          <t>到期日/注册失效日/专利到期日期</t>
        </is>
      </c>
      <c r="G22" s="52">
        <f>HYPERLINK("#码值映射清单!B1792","CopyrightSource")</f>
        <v/>
      </c>
      <c r="H22" s="24" t="n"/>
      <c r="I22" s="24" t="inlineStr"/>
      <c r="J22" s="24" t="inlineStr">
        <is>
          <t>2023/01/12</t>
        </is>
      </c>
    </row>
    <row r="23">
      <c r="B23" s="24" t="inlineStr">
        <is>
          <t>clr_asset_others_tlpr</t>
        </is>
      </c>
      <c r="C23" s="24" t="inlineStr">
        <is>
          <t>PROTECTIONTERMREMAINED</t>
        </is>
      </c>
      <c r="D23" s="24" t="inlineStr">
        <is>
          <t>decimal(18,2)</t>
        </is>
      </c>
      <c r="E23" s="24" t="inlineStr">
        <is>
          <t>YES</t>
        </is>
      </c>
      <c r="F23" s="24" t="inlineStr">
        <is>
          <t>专利距离保护期届满的期间</t>
        </is>
      </c>
      <c r="G23" s="24" t="n"/>
      <c r="H23" s="24" t="n"/>
      <c r="I23" s="24" t="inlineStr"/>
      <c r="J23" s="24" t="inlineStr">
        <is>
          <t>2023/01/12</t>
        </is>
      </c>
    </row>
    <row r="24">
      <c r="B24" s="24" t="inlineStr">
        <is>
          <t>clr_asset_others_tlpr</t>
        </is>
      </c>
      <c r="C24" s="24" t="inlineStr">
        <is>
          <t>LEGALLIFE</t>
        </is>
      </c>
      <c r="D24" s="24" t="inlineStr">
        <is>
          <t>decimal(18,2)</t>
        </is>
      </c>
      <c r="E24" s="24" t="inlineStr">
        <is>
          <t>YES</t>
        </is>
      </c>
      <c r="F24" s="24" t="inlineStr">
        <is>
          <t>专利法定寿命</t>
        </is>
      </c>
      <c r="G24" s="24" t="n"/>
      <c r="H24" s="24" t="n"/>
      <c r="I24" s="24" t="inlineStr"/>
      <c r="J24" s="24" t="inlineStr">
        <is>
          <t>2023/01/12</t>
        </is>
      </c>
    </row>
    <row r="25">
      <c r="B25" s="24" t="inlineStr">
        <is>
          <t>clr_asset_others_tlpr</t>
        </is>
      </c>
      <c r="C25" s="24" t="inlineStr">
        <is>
          <t>INCOMEPV</t>
        </is>
      </c>
      <c r="D25" s="24" t="inlineStr">
        <is>
          <t>decimal(24,6)</t>
        </is>
      </c>
      <c r="E25" s="24" t="inlineStr">
        <is>
          <t>YES</t>
        </is>
      </c>
      <c r="F25" s="24" t="inlineStr">
        <is>
          <t>专利收入现值</t>
        </is>
      </c>
      <c r="G25" s="24" t="n"/>
      <c r="H25" s="24" t="n"/>
      <c r="I25" s="24" t="inlineStr"/>
      <c r="J25" s="24" t="inlineStr">
        <is>
          <t>2023/01/12</t>
        </is>
      </c>
    </row>
    <row r="26">
      <c r="B26" s="24" t="inlineStr">
        <is>
          <t>clr_asset_others_tlpr</t>
        </is>
      </c>
      <c r="C26" s="24" t="inlineStr">
        <is>
          <t>APPLICATIONFEE</t>
        </is>
      </c>
      <c r="D26" s="24" t="inlineStr">
        <is>
          <t>decimal(24,6)</t>
        </is>
      </c>
      <c r="E26" s="24" t="inlineStr">
        <is>
          <t>YES</t>
        </is>
      </c>
      <c r="F26" s="24" t="inlineStr">
        <is>
          <t>专利申请费/每年维权打假费用</t>
        </is>
      </c>
      <c r="G26" s="24" t="n"/>
      <c r="H26" s="24" t="n"/>
      <c r="I26" s="24" t="inlineStr"/>
      <c r="J26" s="24" t="inlineStr">
        <is>
          <t>2023/01/12</t>
        </is>
      </c>
    </row>
    <row r="27">
      <c r="B27" s="24" t="inlineStr">
        <is>
          <t>clr_asset_others_tlpr</t>
        </is>
      </c>
      <c r="C27" s="24" t="inlineStr">
        <is>
          <t>ANNUALFEE</t>
        </is>
      </c>
      <c r="D27" s="24" t="inlineStr">
        <is>
          <t>decimal(24,6)</t>
        </is>
      </c>
      <c r="E27" s="24" t="inlineStr">
        <is>
          <t>YES</t>
        </is>
      </c>
      <c r="F27" s="24" t="inlineStr">
        <is>
          <t>年费/每年广告宣传费用</t>
        </is>
      </c>
      <c r="G27" s="24" t="n"/>
      <c r="H27" s="24" t="n"/>
      <c r="I27" s="24" t="inlineStr"/>
      <c r="J27" s="24" t="inlineStr">
        <is>
          <t>2023/01/12</t>
        </is>
      </c>
    </row>
    <row r="28">
      <c r="B28" s="24" t="inlineStr">
        <is>
          <t>clr_asset_others_tlpr</t>
        </is>
      </c>
      <c r="C28" s="24" t="inlineStr">
        <is>
          <t>PATENTOBJECT</t>
        </is>
      </c>
      <c r="D28" s="24" t="inlineStr">
        <is>
          <t>varchar(80)</t>
        </is>
      </c>
      <c r="E28" s="24" t="inlineStr">
        <is>
          <t>YES</t>
        </is>
      </c>
      <c r="F28" s="24" t="inlineStr">
        <is>
          <t>专利权客体</t>
        </is>
      </c>
      <c r="G28" s="24" t="n"/>
      <c r="H28" s="24" t="n"/>
      <c r="I28" s="24" t="inlineStr"/>
      <c r="J28" s="24" t="inlineStr">
        <is>
          <t>2023/01/12</t>
        </is>
      </c>
    </row>
    <row r="29">
      <c r="B29" s="24" t="inlineStr">
        <is>
          <t>clr_asset_others_tlpr</t>
        </is>
      </c>
      <c r="C29" s="24" t="inlineStr">
        <is>
          <t>PATENTAPPLYSTATUS</t>
        </is>
      </c>
      <c r="D29" s="24" t="inlineStr">
        <is>
          <t>varchar(6)</t>
        </is>
      </c>
      <c r="E29" s="24" t="inlineStr">
        <is>
          <t>YES</t>
        </is>
      </c>
      <c r="F29" s="24" t="inlineStr">
        <is>
          <t>专利申请状态</t>
        </is>
      </c>
      <c r="G29" s="52">
        <f>HYPERLINK("#码值映射清单!B9684","PatentApplStatus")</f>
        <v/>
      </c>
      <c r="H29" s="24" t="n"/>
      <c r="I29" s="24" t="inlineStr"/>
      <c r="J29" s="24" t="inlineStr">
        <is>
          <t>2023/01/12</t>
        </is>
      </c>
    </row>
    <row r="30">
      <c r="B30" s="24" t="inlineStr">
        <is>
          <t>clr_asset_others_tlpr</t>
        </is>
      </c>
      <c r="C30" s="24" t="inlineStr">
        <is>
          <t>AWARDINGCOUNTRY</t>
        </is>
      </c>
      <c r="D30" s="24" t="inlineStr">
        <is>
          <t>varchar(18)</t>
        </is>
      </c>
      <c r="E30" s="24" t="inlineStr">
        <is>
          <t>YES</t>
        </is>
      </c>
      <c r="F30" s="24" t="inlineStr">
        <is>
          <t>专利授予国</t>
        </is>
      </c>
      <c r="G30" s="24" t="n"/>
      <c r="H30" s="24" t="n"/>
      <c r="I30" s="24" t="inlineStr"/>
      <c r="J30" s="24" t="inlineStr">
        <is>
          <t>2023/01/12</t>
        </is>
      </c>
    </row>
    <row r="31">
      <c r="B31" s="24" t="inlineStr">
        <is>
          <t>clr_asset_others_tlpr</t>
        </is>
      </c>
      <c r="C31" s="24" t="inlineStr">
        <is>
          <t>SUBORDINATIONINFO</t>
        </is>
      </c>
      <c r="D31" s="24" t="inlineStr">
        <is>
          <t>varchar(200)</t>
        </is>
      </c>
      <c r="E31" s="24" t="inlineStr">
        <is>
          <t>YES</t>
        </is>
      </c>
      <c r="F31" s="24" t="inlineStr">
        <is>
          <t>专利从属信息</t>
        </is>
      </c>
      <c r="G31" s="24" t="n"/>
      <c r="H31" s="24" t="n"/>
      <c r="I31" s="24" t="inlineStr"/>
      <c r="J31" s="24" t="inlineStr">
        <is>
          <t>2023/01/12</t>
        </is>
      </c>
    </row>
    <row r="32">
      <c r="B32" s="24" t="inlineStr">
        <is>
          <t>clr_asset_others_tlpr</t>
        </is>
      </c>
      <c r="C32" s="24" t="inlineStr">
        <is>
          <t>ASSIGNMENTINFO</t>
        </is>
      </c>
      <c r="D32" s="24" t="inlineStr">
        <is>
          <t>varchar(200)</t>
        </is>
      </c>
      <c r="E32" s="24" t="inlineStr">
        <is>
          <t>YES</t>
        </is>
      </c>
      <c r="F32" s="43" t="inlineStr">
        <is>
          <t>使用权转让情况</t>
        </is>
      </c>
      <c r="G32" s="24" t="n"/>
      <c r="H32" s="24" t="n"/>
      <c r="I32" s="24" t="inlineStr"/>
      <c r="J32" s="24" t="inlineStr">
        <is>
          <t>2023/01/12</t>
        </is>
      </c>
    </row>
    <row r="33">
      <c r="B33" s="24" t="inlineStr">
        <is>
          <t>clr_asset_others_tlpr</t>
        </is>
      </c>
      <c r="C33" s="24" t="inlineStr">
        <is>
          <t>COVERINGGOODS</t>
        </is>
      </c>
      <c r="D33" s="24" t="inlineStr">
        <is>
          <t>varchar(80)</t>
        </is>
      </c>
      <c r="E33" s="24" t="inlineStr">
        <is>
          <t>YES</t>
        </is>
      </c>
      <c r="F33" s="24" t="inlineStr">
        <is>
          <t>核定使用商品</t>
        </is>
      </c>
      <c r="G33" s="24" t="n"/>
      <c r="H33" s="24" t="n"/>
      <c r="I33" s="24" t="inlineStr"/>
      <c r="J33" s="24" t="inlineStr">
        <is>
          <t>2023/01/12</t>
        </is>
      </c>
    </row>
    <row r="34">
      <c r="B34" s="24" t="inlineStr">
        <is>
          <t>clr_asset_others_tlpr</t>
        </is>
      </c>
      <c r="C34" s="24" t="inlineStr">
        <is>
          <t>REGISTRANT</t>
        </is>
      </c>
      <c r="D34" s="24" t="inlineStr">
        <is>
          <t>varchar(80)</t>
        </is>
      </c>
      <c r="E34" s="24" t="inlineStr">
        <is>
          <t>YES</t>
        </is>
      </c>
      <c r="F34" s="24" t="inlineStr">
        <is>
          <t>注册人</t>
        </is>
      </c>
      <c r="G34" s="24" t="n"/>
      <c r="H34" s="24" t="n"/>
      <c r="I34" s="24" t="inlineStr"/>
      <c r="J34" s="24" t="inlineStr">
        <is>
          <t>2023/01/12</t>
        </is>
      </c>
    </row>
    <row r="35">
      <c r="B35" s="24" t="inlineStr">
        <is>
          <t>clr_asset_others_tlpr</t>
        </is>
      </c>
      <c r="C35" s="24" t="inlineStr">
        <is>
          <t>ENTERPRISETYPE</t>
        </is>
      </c>
      <c r="D35" s="24" t="inlineStr">
        <is>
          <t>varchar(18)</t>
        </is>
      </c>
      <c r="E35" s="24" t="inlineStr">
        <is>
          <t>YES</t>
        </is>
      </c>
      <c r="F35" s="43" t="inlineStr">
        <is>
          <t>企业类型/注册企业类型</t>
        </is>
      </c>
      <c r="G35" s="52">
        <f>HYPERLINK("#码值映射清单!B9145","EnterpriseType")</f>
        <v/>
      </c>
      <c r="H35" s="24" t="n"/>
      <c r="I35" s="24" t="inlineStr"/>
      <c r="J35" s="24" t="inlineStr">
        <is>
          <t>2023/01/12</t>
        </is>
      </c>
    </row>
    <row r="36">
      <c r="B36" s="24" t="inlineStr">
        <is>
          <t>clr_asset_others_tlpr</t>
        </is>
      </c>
      <c r="C36" s="24" t="inlineStr">
        <is>
          <t>BUSINESSSCOPE</t>
        </is>
      </c>
      <c r="D36" s="24" t="inlineStr">
        <is>
          <t>varchar(200)</t>
        </is>
      </c>
      <c r="E36" s="24" t="inlineStr">
        <is>
          <t>YES</t>
        </is>
      </c>
      <c r="F36" s="24" t="inlineStr">
        <is>
          <t>公司经营范围</t>
        </is>
      </c>
      <c r="G36" s="24" t="n"/>
      <c r="H36" s="24" t="n"/>
      <c r="I36" s="24" t="inlineStr"/>
      <c r="J36" s="24" t="inlineStr">
        <is>
          <t>2023/01/12</t>
        </is>
      </c>
    </row>
    <row r="37">
      <c r="B37" s="24" t="inlineStr">
        <is>
          <t>clr_asset_others_tlpr</t>
        </is>
      </c>
      <c r="C37" s="24" t="inlineStr">
        <is>
          <t>TRADEMARKTYPE</t>
        </is>
      </c>
      <c r="D37" s="24" t="inlineStr">
        <is>
          <t>varchar(6)</t>
        </is>
      </c>
      <c r="E37" s="24" t="inlineStr">
        <is>
          <t>YES</t>
        </is>
      </c>
      <c r="F37" s="24" t="inlineStr">
        <is>
          <t>商标类型</t>
        </is>
      </c>
      <c r="G37" s="52">
        <f>HYPERLINK("#码值映射清单!B7281","TrademarkType")</f>
        <v/>
      </c>
      <c r="H37" s="24" t="n"/>
      <c r="I37" s="24" t="inlineStr"/>
      <c r="J37" s="24" t="inlineStr">
        <is>
          <t>2023/01/12</t>
        </is>
      </c>
    </row>
    <row r="38">
      <c r="B38" s="24" t="inlineStr">
        <is>
          <t>clr_asset_others_tlpr</t>
        </is>
      </c>
      <c r="C38" s="24" t="inlineStr">
        <is>
          <t>TRADEMARKREPUTAITON</t>
        </is>
      </c>
      <c r="D38" s="24" t="inlineStr">
        <is>
          <t>varchar(6)</t>
        </is>
      </c>
      <c r="E38" s="24" t="inlineStr">
        <is>
          <t>YES</t>
        </is>
      </c>
      <c r="F38" s="43" t="inlineStr">
        <is>
          <t>商标信誉情况</t>
        </is>
      </c>
      <c r="G38" s="52">
        <f>HYPERLINK("#码值映射清单!B7531","TrademarkReputaiton")</f>
        <v/>
      </c>
      <c r="H38" s="24" t="n"/>
      <c r="I38" s="24" t="inlineStr"/>
      <c r="J38" s="24" t="inlineStr">
        <is>
          <t>2023/01/12</t>
        </is>
      </c>
    </row>
    <row r="39">
      <c r="B39" s="24" t="inlineStr">
        <is>
          <t>clr_asset_others_tlpr</t>
        </is>
      </c>
      <c r="C39" s="24" t="inlineStr">
        <is>
          <t>GOODSQUALITY</t>
        </is>
      </c>
      <c r="D39" s="24" t="inlineStr">
        <is>
          <t>varchar(200)</t>
        </is>
      </c>
      <c r="E39" s="24" t="inlineStr">
        <is>
          <t>YES</t>
        </is>
      </c>
      <c r="F39" s="43" t="inlineStr">
        <is>
          <t>商品质量情况</t>
        </is>
      </c>
      <c r="G39" s="24" t="n"/>
      <c r="H39" s="24" t="n"/>
      <c r="I39" s="24" t="inlineStr"/>
      <c r="J39" s="24" t="inlineStr">
        <is>
          <t>2023/01/12</t>
        </is>
      </c>
    </row>
    <row r="40">
      <c r="B40" s="24" t="inlineStr">
        <is>
          <t>clr_asset_others_tlpr</t>
        </is>
      </c>
      <c r="C40" s="24" t="inlineStr">
        <is>
          <t>AFERSERVICE</t>
        </is>
      </c>
      <c r="D40" s="24" t="inlineStr">
        <is>
          <t>varchar(200)</t>
        </is>
      </c>
      <c r="E40" s="24" t="inlineStr">
        <is>
          <t>YES</t>
        </is>
      </c>
      <c r="F40" s="43" t="inlineStr">
        <is>
          <t>商品售后服务情况</t>
        </is>
      </c>
      <c r="G40" s="24" t="n"/>
      <c r="H40" s="24" t="n"/>
      <c r="I40" s="24" t="inlineStr"/>
      <c r="J40" s="24" t="inlineStr">
        <is>
          <t>2023/01/12</t>
        </is>
      </c>
    </row>
    <row r="41">
      <c r="B41" s="24" t="inlineStr">
        <is>
          <t>clr_asset_others_tlpr</t>
        </is>
      </c>
      <c r="C41" s="24" t="inlineStr">
        <is>
          <t>SELLINGNETWORK</t>
        </is>
      </c>
      <c r="D41" s="24" t="inlineStr">
        <is>
          <t>varchar(200)</t>
        </is>
      </c>
      <c r="E41" s="24" t="inlineStr">
        <is>
          <t>YES</t>
        </is>
      </c>
      <c r="F41" s="43" t="inlineStr">
        <is>
          <t>商品销售网络情况</t>
        </is>
      </c>
      <c r="G41" s="24" t="n"/>
      <c r="H41" s="24" t="n"/>
      <c r="I41" s="24" t="inlineStr"/>
      <c r="J41" s="24" t="inlineStr">
        <is>
          <t>2023/01/12</t>
        </is>
      </c>
    </row>
    <row r="42">
      <c r="B42" s="24" t="inlineStr">
        <is>
          <t>clr_asset_others_tlpr</t>
        </is>
      </c>
      <c r="C42" s="24" t="inlineStr">
        <is>
          <t>GOODSORIENTATION</t>
        </is>
      </c>
      <c r="D42" s="24" t="inlineStr">
        <is>
          <t>varchar(200)</t>
        </is>
      </c>
      <c r="E42" s="24" t="inlineStr">
        <is>
          <t>YES</t>
        </is>
      </c>
      <c r="F42" s="43" t="inlineStr">
        <is>
          <t>商品定位情况</t>
        </is>
      </c>
      <c r="G42" s="24" t="n"/>
      <c r="H42" s="24" t="n"/>
      <c r="I42" s="24" t="inlineStr"/>
      <c r="J42" s="24" t="inlineStr">
        <is>
          <t>2023/01/12</t>
        </is>
      </c>
    </row>
    <row r="43">
      <c r="B43" s="24" t="inlineStr">
        <is>
          <t>clr_asset_others_tlpr</t>
        </is>
      </c>
      <c r="C43" s="24" t="inlineStr">
        <is>
          <t>GOODSFUNCTION</t>
        </is>
      </c>
      <c r="D43" s="24" t="inlineStr">
        <is>
          <t>varchar(200)</t>
        </is>
      </c>
      <c r="E43" s="24" t="inlineStr">
        <is>
          <t>YES</t>
        </is>
      </c>
      <c r="F43" s="43" t="inlineStr">
        <is>
          <t>产品功能情况</t>
        </is>
      </c>
      <c r="G43" s="24" t="n"/>
      <c r="H43" s="24" t="n"/>
      <c r="I43" s="24" t="inlineStr"/>
      <c r="J43" s="24" t="inlineStr">
        <is>
          <t>2023/01/12</t>
        </is>
      </c>
    </row>
    <row r="44">
      <c r="B44" s="24" t="inlineStr">
        <is>
          <t>clr_asset_others_tlpr</t>
        </is>
      </c>
      <c r="C44" s="24" t="inlineStr">
        <is>
          <t>MARKETSHARE</t>
        </is>
      </c>
      <c r="D44" s="24" t="inlineStr">
        <is>
          <t>decimal(18,8)</t>
        </is>
      </c>
      <c r="E44" s="24" t="inlineStr">
        <is>
          <t>YES</t>
        </is>
      </c>
      <c r="F44" s="24" t="inlineStr">
        <is>
          <t>市场占有率</t>
        </is>
      </c>
      <c r="G44" s="24" t="n"/>
      <c r="H44" s="24" t="n"/>
      <c r="I44" s="24" t="inlineStr"/>
      <c r="J44" s="24" t="inlineStr">
        <is>
          <t>2023/01/12</t>
        </is>
      </c>
    </row>
    <row r="45">
      <c r="B45" s="24" t="inlineStr">
        <is>
          <t>clr_asset_others_tlpr</t>
        </is>
      </c>
      <c r="C45" s="24" t="inlineStr">
        <is>
          <t>ANNUALSALE</t>
        </is>
      </c>
      <c r="D45" s="24" t="inlineStr">
        <is>
          <t>decimal(24,6)</t>
        </is>
      </c>
      <c r="E45" s="24" t="inlineStr">
        <is>
          <t>YES</t>
        </is>
      </c>
      <c r="F45" s="24" t="inlineStr">
        <is>
          <t>年销售额</t>
        </is>
      </c>
      <c r="G45" s="24" t="n"/>
      <c r="H45" s="24" t="n"/>
      <c r="I45" s="24" t="inlineStr"/>
      <c r="J45" s="24" t="inlineStr">
        <is>
          <t>2023/01/12</t>
        </is>
      </c>
    </row>
    <row r="46">
      <c r="B46" s="24" t="inlineStr">
        <is>
          <t>clr_asset_others_tlpr</t>
        </is>
      </c>
      <c r="C46" s="24" t="inlineStr">
        <is>
          <t>CIRCULATEDPERIOD</t>
        </is>
      </c>
      <c r="D46" s="24" t="inlineStr">
        <is>
          <t>decimal(18,2)</t>
        </is>
      </c>
      <c r="E46" s="24" t="inlineStr">
        <is>
          <t>YES</t>
        </is>
      </c>
      <c r="F46" s="24" t="inlineStr">
        <is>
          <t>产品实际流通时间</t>
        </is>
      </c>
      <c r="G46" s="24" t="n"/>
      <c r="H46" s="24" t="n"/>
      <c r="I46" s="24" t="inlineStr"/>
      <c r="J46" s="24" t="inlineStr">
        <is>
          <t>2023/01/12</t>
        </is>
      </c>
    </row>
    <row r="47">
      <c r="B47" s="24" t="inlineStr">
        <is>
          <t>clr_asset_others_tlpr</t>
        </is>
      </c>
      <c r="C47" s="24" t="inlineStr">
        <is>
          <t>INVENTIONTYPE</t>
        </is>
      </c>
      <c r="D47" s="24" t="inlineStr">
        <is>
          <t>varchar(6)</t>
        </is>
      </c>
      <c r="E47" s="24" t="inlineStr">
        <is>
          <t>YES</t>
        </is>
      </c>
      <c r="F47" s="24" t="inlineStr">
        <is>
          <t>专利发明创造类别</t>
        </is>
      </c>
      <c r="G47" s="52">
        <f>HYPERLINK("#码值映射清单!B9116","InventionType")</f>
        <v/>
      </c>
      <c r="H47" s="24" t="n"/>
      <c r="I47" s="24" t="inlineStr"/>
      <c r="J47" s="24" t="inlineStr">
        <is>
          <t>2023/01/12</t>
        </is>
      </c>
    </row>
    <row r="48">
      <c r="B48" s="24" t="inlineStr">
        <is>
          <t>clr_asset_others_tlpr</t>
        </is>
      </c>
      <c r="C48" s="24" t="inlineStr">
        <is>
          <t>AUTHORIZATIONDATE</t>
        </is>
      </c>
      <c r="D48" s="24" t="inlineStr">
        <is>
          <t>varchar(18)</t>
        </is>
      </c>
      <c r="E48" s="24" t="inlineStr">
        <is>
          <t>YES</t>
        </is>
      </c>
      <c r="F48" s="24" t="inlineStr">
        <is>
          <t>专利授权公告日</t>
        </is>
      </c>
      <c r="G48" s="24" t="n"/>
      <c r="H48" s="24" t="n"/>
      <c r="I48" s="24" t="inlineStr"/>
      <c r="J48" s="24" t="inlineStr">
        <is>
          <t>2023/01/12</t>
        </is>
      </c>
    </row>
    <row r="49">
      <c r="B49" s="24" t="inlineStr">
        <is>
          <t>clr_asset_others_tlpr</t>
        </is>
      </c>
      <c r="C49" s="24" t="inlineStr">
        <is>
          <t>APPROVINGAGENCY</t>
        </is>
      </c>
      <c r="D49" s="24" t="inlineStr">
        <is>
          <t>varchar(80)</t>
        </is>
      </c>
      <c r="E49" s="24" t="inlineStr">
        <is>
          <t>YES</t>
        </is>
      </c>
      <c r="F49" s="24" t="inlineStr">
        <is>
          <t>商标注册机构/专利批准机构/著作权登记机构</t>
        </is>
      </c>
      <c r="G49" s="24" t="n"/>
      <c r="H49" s="24" t="n"/>
      <c r="I49" s="24" t="inlineStr"/>
      <c r="J49" s="24" t="inlineStr">
        <is>
          <t>2023/01/12</t>
        </is>
      </c>
    </row>
    <row r="50">
      <c r="B50" s="24" t="inlineStr">
        <is>
          <t>clr_asset_others_tlpr</t>
        </is>
      </c>
      <c r="C50" s="24" t="inlineStr">
        <is>
          <t>TRADEMARKFLAG01</t>
        </is>
      </c>
      <c r="D50" s="24" t="inlineStr">
        <is>
          <t>char(1)</t>
        </is>
      </c>
      <c r="E50" s="24" t="inlineStr">
        <is>
          <t>YES</t>
        </is>
      </c>
      <c r="F50" s="24" t="inlineStr">
        <is>
          <t>是否已提交专利证书/是否已提交商标注册证</t>
        </is>
      </c>
      <c r="G50" s="52">
        <f>HYPERLINK("#码值映射清单!B5150","YesNo")</f>
        <v/>
      </c>
      <c r="H50" s="24" t="n"/>
      <c r="I50" s="24" t="inlineStr"/>
      <c r="J50" s="24" t="inlineStr">
        <is>
          <t>2023/01/12</t>
        </is>
      </c>
    </row>
    <row r="51">
      <c r="B51" s="24" t="inlineStr">
        <is>
          <t>clr_asset_others_tlpr</t>
        </is>
      </c>
      <c r="C51" s="24" t="inlineStr">
        <is>
          <t>TRADEMARKFLAG02</t>
        </is>
      </c>
      <c r="D51" s="24" t="inlineStr">
        <is>
          <t>char(1)</t>
        </is>
      </c>
      <c r="E51" s="24" t="inlineStr">
        <is>
          <t>YES</t>
        </is>
      </c>
      <c r="F51" s="24" t="inlineStr">
        <is>
          <t>是否已提交与注册商标专用权相关的企业法人营业执照</t>
        </is>
      </c>
      <c r="G51" s="52">
        <f>HYPERLINK("#码值映射清单!B5150","YesNo")</f>
        <v/>
      </c>
      <c r="H51" s="24" t="n"/>
      <c r="I51" s="24" t="inlineStr"/>
      <c r="J51" s="24" t="inlineStr">
        <is>
          <t>2023/01/12</t>
        </is>
      </c>
    </row>
    <row r="52">
      <c r="B52" s="24" t="inlineStr">
        <is>
          <t>clr_asset_others_tlpr</t>
        </is>
      </c>
      <c r="C52" s="24" t="inlineStr">
        <is>
          <t>TRADEMARKFLAG03</t>
        </is>
      </c>
      <c r="D52" s="24" t="inlineStr">
        <is>
          <t>char(1)</t>
        </is>
      </c>
      <c r="E52" s="24" t="inlineStr">
        <is>
          <t>YES</t>
        </is>
      </c>
      <c r="F52" s="24" t="inlineStr">
        <is>
          <t>是否已提交与注册商标专用权相关的企业财务报表</t>
        </is>
      </c>
      <c r="G52" s="52">
        <f>HYPERLINK("#码值映射清单!B5150","YesNo")</f>
        <v/>
      </c>
      <c r="H52" s="24" t="n"/>
      <c r="I52" s="24" t="inlineStr"/>
      <c r="J52" s="24" t="inlineStr">
        <is>
          <t>2023/01/12</t>
        </is>
      </c>
    </row>
    <row r="53">
      <c r="B53" s="24" t="inlineStr">
        <is>
          <t>clr_asset_others_tlpr</t>
        </is>
      </c>
      <c r="C53" s="24" t="inlineStr">
        <is>
          <t>TRADEMARKFLAG04</t>
        </is>
      </c>
      <c r="D53" s="24" t="inlineStr">
        <is>
          <t>char(1)</t>
        </is>
      </c>
      <c r="E53" s="24" t="inlineStr">
        <is>
          <t>YES</t>
        </is>
      </c>
      <c r="F53" s="24" t="inlineStr">
        <is>
          <t>是否已提交表明商标等级的相关证书</t>
        </is>
      </c>
      <c r="G53" s="52">
        <f>HYPERLINK("#码值映射清单!B5150","YesNo")</f>
        <v/>
      </c>
      <c r="H53" s="24" t="n"/>
      <c r="I53" s="24" t="inlineStr"/>
      <c r="J53" s="24" t="inlineStr">
        <is>
          <t>2023/01/12</t>
        </is>
      </c>
    </row>
    <row r="54">
      <c r="B54" s="24" t="inlineStr">
        <is>
          <t>clr_asset_others_tlpr</t>
        </is>
      </c>
      <c r="C54" s="24" t="inlineStr">
        <is>
          <t>TRADEMARKFLAG05</t>
        </is>
      </c>
      <c r="D54" s="24" t="inlineStr">
        <is>
          <t>char(1)</t>
        </is>
      </c>
      <c r="E54" s="24" t="inlineStr">
        <is>
          <t>YES</t>
        </is>
      </c>
      <c r="F54" s="24" t="inlineStr">
        <is>
          <t>商标标识05</t>
        </is>
      </c>
      <c r="G54" s="24" t="n"/>
      <c r="H54" s="24" t="n"/>
      <c r="I54" s="24" t="inlineStr"/>
      <c r="J54" s="24" t="inlineStr">
        <is>
          <t>2023/01/12</t>
        </is>
      </c>
    </row>
    <row r="55">
      <c r="B55" s="24" t="inlineStr">
        <is>
          <t>clr_asset_others_tlpr</t>
        </is>
      </c>
      <c r="C55" s="24" t="inlineStr">
        <is>
          <t>COPYRIGHTFLAG01</t>
        </is>
      </c>
      <c r="D55" s="24" t="inlineStr">
        <is>
          <t>char(1)</t>
        </is>
      </c>
      <c r="E55" s="24" t="inlineStr">
        <is>
          <t>YES</t>
        </is>
      </c>
      <c r="F55" s="24" t="inlineStr">
        <is>
          <t>是否已提交著作权相关转让协议</t>
        </is>
      </c>
      <c r="G55" s="52">
        <f>HYPERLINK("#码值映射清单!B5150","YesNo")</f>
        <v/>
      </c>
      <c r="H55" s="24" t="n"/>
      <c r="I55" s="24" t="inlineStr"/>
      <c r="J55" s="24" t="inlineStr">
        <is>
          <t>2023/01/12</t>
        </is>
      </c>
    </row>
    <row r="56">
      <c r="B56" s="24" t="inlineStr">
        <is>
          <t>clr_asset_others_tlpr</t>
        </is>
      </c>
      <c r="C56" s="24" t="inlineStr">
        <is>
          <t>COPYRIGHTFLAG02</t>
        </is>
      </c>
      <c r="D56" s="24" t="inlineStr">
        <is>
          <t>char(1)</t>
        </is>
      </c>
      <c r="E56" s="24" t="inlineStr">
        <is>
          <t>YES</t>
        </is>
      </c>
      <c r="F56" s="24" t="inlineStr">
        <is>
          <t>是否已提交著作权登记证书</t>
        </is>
      </c>
      <c r="G56" s="52">
        <f>HYPERLINK("#码值映射清单!B5150","YesNo")</f>
        <v/>
      </c>
      <c r="H56" s="24" t="n"/>
      <c r="I56" s="24" t="inlineStr"/>
      <c r="J56" s="24" t="inlineStr">
        <is>
          <t>2023/01/12</t>
        </is>
      </c>
    </row>
    <row r="57">
      <c r="B57" s="24" t="inlineStr">
        <is>
          <t>clr_asset_others_tlpr</t>
        </is>
      </c>
      <c r="C57" s="24" t="inlineStr">
        <is>
          <t>COPYRIGHTFLAG03</t>
        </is>
      </c>
      <c r="D57" s="24" t="inlineStr">
        <is>
          <t>char(1)</t>
        </is>
      </c>
      <c r="E57" s="24" t="inlineStr">
        <is>
          <t>YES</t>
        </is>
      </c>
      <c r="F57" s="24" t="inlineStr">
        <is>
          <t>是否已提交著作权客体作品</t>
        </is>
      </c>
      <c r="G57" s="52">
        <f>HYPERLINK("#码值映射清单!B5150","YesNo")</f>
        <v/>
      </c>
      <c r="H57" s="24" t="n"/>
      <c r="I57" s="24" t="inlineStr"/>
      <c r="J57" s="24" t="inlineStr">
        <is>
          <t>2023/01/12</t>
        </is>
      </c>
    </row>
    <row r="58">
      <c r="B58" s="24" t="inlineStr">
        <is>
          <t>clr_asset_others_tlpr</t>
        </is>
      </c>
      <c r="C58" s="24" t="inlineStr">
        <is>
          <t>COPYRIGHTFLAG04</t>
        </is>
      </c>
      <c r="D58" s="24" t="inlineStr">
        <is>
          <t>char(1)</t>
        </is>
      </c>
      <c r="E58" s="24" t="inlineStr">
        <is>
          <t>YES</t>
        </is>
      </c>
      <c r="F58" s="24" t="inlineStr">
        <is>
          <t>是否已提交著作权相关交易证明</t>
        </is>
      </c>
      <c r="G58" s="52">
        <f>HYPERLINK("#码值映射清单!B5150","YesNo")</f>
        <v/>
      </c>
      <c r="H58" s="24" t="n"/>
      <c r="I58" s="24" t="inlineStr"/>
      <c r="J58" s="24" t="inlineStr">
        <is>
          <t>2023/01/12</t>
        </is>
      </c>
    </row>
    <row r="59">
      <c r="B59" s="24" t="inlineStr">
        <is>
          <t>clr_asset_others_tlpr</t>
        </is>
      </c>
      <c r="C59" s="24" t="inlineStr">
        <is>
          <t>PATENTFLAG01</t>
        </is>
      </c>
      <c r="D59" s="24" t="inlineStr">
        <is>
          <t>char(1)</t>
        </is>
      </c>
      <c r="E59" s="24" t="inlineStr">
        <is>
          <t>YES</t>
        </is>
      </c>
      <c r="F59" s="24" t="inlineStr">
        <is>
          <t>专利标识01</t>
        </is>
      </c>
      <c r="G59" s="24" t="n"/>
      <c r="H59" s="24" t="n"/>
      <c r="I59" s="24" t="inlineStr"/>
      <c r="J59" s="24" t="inlineStr">
        <is>
          <t>2023/01/12</t>
        </is>
      </c>
    </row>
    <row r="60">
      <c r="B60" s="24" t="inlineStr">
        <is>
          <t>clr_asset_others_tlpr</t>
        </is>
      </c>
      <c r="C60" s="24" t="inlineStr">
        <is>
          <t>PATENTFLAG02</t>
        </is>
      </c>
      <c r="D60" s="24" t="inlineStr">
        <is>
          <t>char(1)</t>
        </is>
      </c>
      <c r="E60" s="24" t="inlineStr">
        <is>
          <t>YES</t>
        </is>
      </c>
      <c r="F60" s="24" t="inlineStr">
        <is>
          <t>是否已提交专利说明书</t>
        </is>
      </c>
      <c r="G60" s="52">
        <f>HYPERLINK("#码值映射清单!B5150","YesNo")</f>
        <v/>
      </c>
      <c r="H60" s="24" t="n"/>
      <c r="I60" s="24" t="inlineStr"/>
      <c r="J60" s="24" t="inlineStr">
        <is>
          <t>2023/01/12</t>
        </is>
      </c>
    </row>
    <row r="61">
      <c r="B61" s="24" t="inlineStr">
        <is>
          <t>clr_asset_others_tlpr</t>
        </is>
      </c>
      <c r="C61" s="24" t="inlineStr">
        <is>
          <t>PATENTFLAG03</t>
        </is>
      </c>
      <c r="D61" s="24" t="inlineStr">
        <is>
          <t>char(1)</t>
        </is>
      </c>
      <c r="E61" s="24" t="inlineStr">
        <is>
          <t>YES</t>
        </is>
      </c>
      <c r="F61" s="24" t="inlineStr">
        <is>
          <t>是否已提交专利技术检测报告</t>
        </is>
      </c>
      <c r="G61" s="52">
        <f>HYPERLINK("#码值映射清单!B5150","YesNo")</f>
        <v/>
      </c>
      <c r="H61" s="24" t="n"/>
      <c r="I61" s="24" t="inlineStr"/>
      <c r="J61" s="24" t="inlineStr">
        <is>
          <t>2023/01/12</t>
        </is>
      </c>
    </row>
    <row r="62">
      <c r="B62" s="24" t="inlineStr">
        <is>
          <t>clr_asset_others_tlpr</t>
        </is>
      </c>
      <c r="C62" s="24" t="inlineStr">
        <is>
          <t>PATENTFLAG04</t>
        </is>
      </c>
      <c r="D62" s="24" t="inlineStr">
        <is>
          <t>char(1)</t>
        </is>
      </c>
      <c r="E62" s="24" t="inlineStr">
        <is>
          <t>YES</t>
        </is>
      </c>
      <c r="F62" s="24" t="inlineStr">
        <is>
          <t>是否已提交科学技术成果鉴定证书</t>
        </is>
      </c>
      <c r="G62" s="52">
        <f>HYPERLINK("#码值映射清单!B5150","YesNo")</f>
        <v/>
      </c>
      <c r="H62" s="24" t="n"/>
      <c r="I62" s="24" t="inlineStr"/>
      <c r="J62" s="24" t="inlineStr">
        <is>
          <t>2023/01/12</t>
        </is>
      </c>
    </row>
    <row r="63">
      <c r="B63" s="24" t="inlineStr">
        <is>
          <t>clr_asset_others_tlpr</t>
        </is>
      </c>
      <c r="C63" s="24" t="inlineStr">
        <is>
          <t>PATENTFLAG05</t>
        </is>
      </c>
      <c r="D63" s="24" t="inlineStr">
        <is>
          <t>char(1)</t>
        </is>
      </c>
      <c r="E63" s="24" t="inlineStr">
        <is>
          <t>YES</t>
        </is>
      </c>
      <c r="F63" s="24" t="inlineStr">
        <is>
          <t>是否已提交年费缴纳记录</t>
        </is>
      </c>
      <c r="G63" s="52">
        <f>HYPERLINK("#码值映射清单!B5150","YesNo")</f>
        <v/>
      </c>
      <c r="H63" s="24" t="n"/>
      <c r="I63" s="24" t="inlineStr"/>
      <c r="J63" s="24" t="inlineStr">
        <is>
          <t>2023/01/12</t>
        </is>
      </c>
    </row>
    <row r="64">
      <c r="B64" s="24" t="inlineStr">
        <is>
          <t>clr_asset_others_tlpr</t>
        </is>
      </c>
      <c r="C64" s="24" t="inlineStr">
        <is>
          <t>PATENTFLAG06</t>
        </is>
      </c>
      <c r="D64" s="24" t="inlineStr">
        <is>
          <t>char(1)</t>
        </is>
      </c>
      <c r="E64" s="24" t="inlineStr">
        <is>
          <t>YES</t>
        </is>
      </c>
      <c r="F64" s="24" t="inlineStr">
        <is>
          <t>是否已提交与专利权相关的企业财务报表</t>
        </is>
      </c>
      <c r="G64" s="52">
        <f>HYPERLINK("#码值映射清单!B5150","YesNo")</f>
        <v/>
      </c>
      <c r="H64" s="24" t="n"/>
      <c r="I64" s="24" t="inlineStr"/>
      <c r="J64" s="24" t="inlineStr">
        <is>
          <t>2023/01/12</t>
        </is>
      </c>
    </row>
    <row r="65">
      <c r="B65" s="24" t="inlineStr">
        <is>
          <t>clr_asset_others_tlpr</t>
        </is>
      </c>
      <c r="C65" s="24" t="inlineStr">
        <is>
          <t>ANNUALFEEPAYDESCRIPTION</t>
        </is>
      </c>
      <c r="D65" s="24" t="inlineStr">
        <is>
          <t>varchar(200)</t>
        </is>
      </c>
      <c r="E65" s="24" t="inlineStr">
        <is>
          <t>YES</t>
        </is>
      </c>
      <c r="F65" s="24" t="inlineStr">
        <is>
          <t>专利年费缴纳情况</t>
        </is>
      </c>
      <c r="G65" s="24" t="n"/>
      <c r="H65" s="24" t="n"/>
      <c r="I65" s="24" t="inlineStr"/>
      <c r="J65" s="24" t="inlineStr">
        <is>
          <t>2023/01/12</t>
        </is>
      </c>
    </row>
    <row r="66">
      <c r="B66" s="24" t="inlineStr">
        <is>
          <t>clr_asset_others_tlpr</t>
        </is>
      </c>
      <c r="C66" s="24" t="inlineStr">
        <is>
          <t>INPUTORGID</t>
        </is>
      </c>
      <c r="D66" s="24" t="inlineStr">
        <is>
          <t>varchar(32)</t>
        </is>
      </c>
      <c r="E66" s="24" t="inlineStr">
        <is>
          <t>YES</t>
        </is>
      </c>
      <c r="F66" s="24" t="inlineStr">
        <is>
          <t>登记机构</t>
        </is>
      </c>
      <c r="G66" s="24" t="n"/>
      <c r="H66" s="24" t="n"/>
      <c r="I66" s="24" t="inlineStr"/>
      <c r="J66" s="24" t="inlineStr">
        <is>
          <t>2023/01/12</t>
        </is>
      </c>
    </row>
    <row r="67">
      <c r="B67" s="24" t="inlineStr">
        <is>
          <t>clr_asset_others_tlpr</t>
        </is>
      </c>
      <c r="C67" s="24" t="inlineStr">
        <is>
          <t>INPUTUSERID</t>
        </is>
      </c>
      <c r="D67" s="24" t="inlineStr">
        <is>
          <t>varchar(32)</t>
        </is>
      </c>
      <c r="E67" s="24" t="inlineStr">
        <is>
          <t>YES</t>
        </is>
      </c>
      <c r="F67" s="24" t="inlineStr">
        <is>
          <t>登记人</t>
        </is>
      </c>
      <c r="G67" s="24" t="n"/>
      <c r="H67" s="24" t="n"/>
      <c r="I67" s="24" t="inlineStr"/>
      <c r="J67" s="24" t="inlineStr">
        <is>
          <t>2023/01/12</t>
        </is>
      </c>
    </row>
    <row r="68">
      <c r="B68" s="24" t="inlineStr">
        <is>
          <t>clr_asset_others_tlpr</t>
        </is>
      </c>
      <c r="C68" s="24" t="inlineStr">
        <is>
          <t>INPUTDATE</t>
        </is>
      </c>
      <c r="D68" s="24" t="inlineStr">
        <is>
          <t>datetime</t>
        </is>
      </c>
      <c r="E68" s="24" t="inlineStr">
        <is>
          <t>YES</t>
        </is>
      </c>
      <c r="F68" s="24" t="inlineStr">
        <is>
          <t>登记日期</t>
        </is>
      </c>
      <c r="G68" s="24" t="n"/>
      <c r="H68" s="24" t="n"/>
      <c r="I68" s="24" t="inlineStr"/>
      <c r="J68" s="24" t="inlineStr">
        <is>
          <t>2023/01/12</t>
        </is>
      </c>
    </row>
    <row r="69">
      <c r="B69" s="24" t="inlineStr">
        <is>
          <t>clr_asset_others_tlpr</t>
        </is>
      </c>
      <c r="C69" s="24" t="inlineStr">
        <is>
          <t>UPDATEORGID</t>
        </is>
      </c>
      <c r="D69" s="24" t="inlineStr">
        <is>
          <t>varchar(32)</t>
        </is>
      </c>
      <c r="E69" s="24" t="inlineStr">
        <is>
          <t>YES</t>
        </is>
      </c>
      <c r="F69" s="24" t="inlineStr">
        <is>
          <t>更新机构</t>
        </is>
      </c>
      <c r="G69" s="24" t="n"/>
      <c r="H69" s="24" t="n"/>
      <c r="I69" s="24" t="inlineStr"/>
      <c r="J69" s="24" t="inlineStr">
        <is>
          <t>2023/01/12</t>
        </is>
      </c>
    </row>
    <row r="70">
      <c r="B70" s="24" t="inlineStr">
        <is>
          <t>clr_asset_others_tlpr</t>
        </is>
      </c>
      <c r="C70" s="24" t="inlineStr">
        <is>
          <t>UPDATEUSERID</t>
        </is>
      </c>
      <c r="D70" s="24" t="inlineStr">
        <is>
          <t>varchar(32)</t>
        </is>
      </c>
      <c r="E70" s="24" t="inlineStr">
        <is>
          <t>YES</t>
        </is>
      </c>
      <c r="F70" s="24" t="inlineStr">
        <is>
          <t>更新人</t>
        </is>
      </c>
      <c r="G70" s="24" t="n"/>
      <c r="H70" s="24" t="n"/>
      <c r="I70" s="24" t="inlineStr"/>
      <c r="J70" s="24" t="inlineStr">
        <is>
          <t>2023/01/12</t>
        </is>
      </c>
    </row>
    <row r="71">
      <c r="B71" s="24" t="inlineStr">
        <is>
          <t>clr_asset_others_tlpr</t>
        </is>
      </c>
      <c r="C71" s="24" t="inlineStr">
        <is>
          <t>UPDATEDATE</t>
        </is>
      </c>
      <c r="D71" s="24" t="inlineStr">
        <is>
          <t>datetime</t>
        </is>
      </c>
      <c r="E71" s="24" t="inlineStr">
        <is>
          <t>YES</t>
        </is>
      </c>
      <c r="F71" s="24" t="inlineStr">
        <is>
          <t>更新日期</t>
        </is>
      </c>
      <c r="G71" s="24" t="n"/>
      <c r="H71" s="24" t="n"/>
      <c r="I71" s="24" t="inlineStr"/>
      <c r="J71" s="24" t="inlineStr">
        <is>
          <t>2023/01/12</t>
        </is>
      </c>
    </row>
    <row r="72">
      <c r="B72" s="24" t="inlineStr">
        <is>
          <t>clr_asset_others_tlpr</t>
        </is>
      </c>
      <c r="C72" s="24" t="inlineStr">
        <is>
          <t>REMARK</t>
        </is>
      </c>
      <c r="D72" s="24" t="inlineStr">
        <is>
          <t>varchar(500)</t>
        </is>
      </c>
      <c r="E72" s="24" t="inlineStr">
        <is>
          <t>YES</t>
        </is>
      </c>
      <c r="F72" s="24" t="inlineStr">
        <is>
          <t>备注</t>
        </is>
      </c>
      <c r="G72" s="24" t="n"/>
      <c r="H72" s="24" t="n"/>
      <c r="I72" s="24" t="inlineStr"/>
      <c r="J72" s="24" t="inlineStr">
        <is>
          <t>2023/01/12</t>
        </is>
      </c>
    </row>
    <row r="73">
      <c r="B73" s="24" t="inlineStr">
        <is>
          <t>clr_asset_others_tlpr</t>
        </is>
      </c>
      <c r="C73" s="24" t="inlineStr">
        <is>
          <t>CORPORGID</t>
        </is>
      </c>
      <c r="D73" s="24" t="inlineStr">
        <is>
          <t>varchar(32)</t>
        </is>
      </c>
      <c r="E73" s="24" t="inlineStr">
        <is>
          <t>YES</t>
        </is>
      </c>
      <c r="F73" s="24" t="inlineStr">
        <is>
          <t>法人机构编号</t>
        </is>
      </c>
      <c r="G73" s="24" t="n"/>
      <c r="H73" s="24" t="n"/>
      <c r="I73" s="24" t="inlineStr"/>
      <c r="J73" s="24" t="inlineStr">
        <is>
          <t>2023/01/12</t>
        </is>
      </c>
    </row>
    <row r="74">
      <c r="B74" s="109" t="inlineStr">
        <is>
          <t>clr_asset_others_tlpr</t>
        </is>
      </c>
      <c r="C74" s="109" t="inlineStr">
        <is>
          <t>ACQUISITIONCOST</t>
        </is>
      </c>
      <c r="D74" s="109" t="inlineStr">
        <is>
          <t>varchar(1000)</t>
        </is>
      </c>
      <c r="E74" s="109" t="inlineStr">
        <is>
          <t>YES</t>
        </is>
      </c>
      <c r="F74" s="109" t="inlineStr">
        <is>
          <t>专利取得成本</t>
        </is>
      </c>
      <c r="G74" s="109" t="n"/>
      <c r="H74" s="109" t="n"/>
      <c r="I74" s="109" t="inlineStr"/>
      <c r="J74" s="109" t="inlineStr">
        <is>
          <t>2023/01/12</t>
        </is>
      </c>
    </row>
    <row r="75">
      <c r="B75" s="65" t="inlineStr">
        <is>
          <t>clr_asset_others_tlpr</t>
        </is>
      </c>
      <c r="C75" s="69" t="inlineStr">
        <is>
          <t>TRADEMARKADDRESS</t>
        </is>
      </c>
      <c r="D75" s="60" t="inlineStr">
        <is>
          <t>varchar(100)</t>
        </is>
      </c>
      <c r="E75" s="60" t="inlineStr">
        <is>
          <t>YES</t>
        </is>
      </c>
      <c r="F75" s="59" t="inlineStr">
        <is>
          <t>商标注册地址</t>
        </is>
      </c>
      <c r="G75" s="60" t="inlineStr"/>
      <c r="H75" s="60" t="inlineStr"/>
      <c r="I75" s="60" t="n"/>
      <c r="J75" s="183" t="n">
        <v>45740</v>
      </c>
    </row>
    <row r="76">
      <c r="B76" s="65" t="inlineStr">
        <is>
          <t>clr_asset_others_tlpr</t>
        </is>
      </c>
      <c r="C76" s="60" t="inlineStr">
        <is>
          <t>LOANCARDNO</t>
        </is>
      </c>
      <c r="D76" s="60" t="inlineStr">
        <is>
          <t>varchar(32)</t>
        </is>
      </c>
      <c r="E76" s="60" t="inlineStr">
        <is>
          <t>YES</t>
        </is>
      </c>
      <c r="F76" s="100" t="inlineStr">
        <is>
          <t>出质人贷款卡号</t>
        </is>
      </c>
      <c r="G76" s="60" t="n"/>
      <c r="H76" s="60" t="n"/>
      <c r="I76" s="60" t="n"/>
      <c r="J76" s="183" t="n">
        <v>45740</v>
      </c>
    </row>
    <row r="77" ht="16" customHeight="1" s="170">
      <c r="B77" s="65" t="inlineStr">
        <is>
          <t>clr_asset_others_tlpr</t>
        </is>
      </c>
      <c r="C77" s="60" t="inlineStr">
        <is>
          <t>GUARANTYSUBTYPE</t>
        </is>
      </c>
      <c r="D77" s="60" t="inlineStr">
        <is>
          <t>varchar(6)</t>
        </is>
      </c>
      <c r="E77" s="60" t="inlineStr">
        <is>
          <t>YES</t>
        </is>
      </c>
      <c r="F77" s="100" t="inlineStr">
        <is>
          <t>收费权类型</t>
        </is>
      </c>
      <c r="G77" s="60" t="n"/>
      <c r="H77" s="60" t="inlineStr">
        <is>
          <t>1 -商标专用权、2- 专利权、3-著作权</t>
        </is>
      </c>
      <c r="I77" s="60" t="n"/>
      <c r="J77" s="183" t="n">
        <v>45740</v>
      </c>
    </row>
    <row r="78">
      <c r="B78" s="65" t="inlineStr">
        <is>
          <t>clr_asset_others_tlpr</t>
        </is>
      </c>
      <c r="C78" s="60" t="inlineStr">
        <is>
          <t>CURRENCY</t>
        </is>
      </c>
      <c r="D78" s="60" t="inlineStr">
        <is>
          <t>varchar(18)</t>
        </is>
      </c>
      <c r="E78" s="60" t="inlineStr">
        <is>
          <t>YES</t>
        </is>
      </c>
      <c r="F78" s="100" t="inlineStr">
        <is>
          <t>币种</t>
        </is>
      </c>
      <c r="G78" s="106">
        <f>HYPERLINK("#码值映射清单!B2469","Currency")</f>
        <v/>
      </c>
      <c r="H78" s="60" t="n"/>
      <c r="I78" s="60" t="n"/>
      <c r="J78" s="183" t="n">
        <v>45740</v>
      </c>
    </row>
    <row r="79">
      <c r="B79" s="65" t="inlineStr">
        <is>
          <t>clr_asset_others_tlpr</t>
        </is>
      </c>
      <c r="C79" s="60" t="inlineStr">
        <is>
          <t>RIGHTCERTDOC</t>
        </is>
      </c>
      <c r="D79" s="60" t="inlineStr">
        <is>
          <t>varchar(200)</t>
        </is>
      </c>
      <c r="E79" s="60" t="inlineStr">
        <is>
          <t>YES</t>
        </is>
      </c>
      <c r="F79" s="99" t="inlineStr">
        <is>
          <t>权利证明文件</t>
        </is>
      </c>
      <c r="G79" s="60" t="n"/>
      <c r="H79" s="60" t="n"/>
      <c r="I79" s="60" t="n"/>
      <c r="J79" s="183" t="n">
        <v>45740</v>
      </c>
    </row>
    <row r="80">
      <c r="B80" s="65" t="inlineStr">
        <is>
          <t>clr_asset_others_tlpr</t>
        </is>
      </c>
      <c r="C80" s="60" t="inlineStr">
        <is>
          <t>REALIZATIONVALUE</t>
        </is>
      </c>
      <c r="D80" s="60" t="inlineStr">
        <is>
          <t>decimal(24,6)</t>
        </is>
      </c>
      <c r="E80" s="60" t="inlineStr">
        <is>
          <t>YES</t>
        </is>
      </c>
      <c r="F80" s="99" t="inlineStr">
        <is>
          <t>预计变现值</t>
        </is>
      </c>
      <c r="G80" s="60" t="n"/>
      <c r="H80" s="60" t="n"/>
      <c r="I80" s="60" t="n"/>
      <c r="J80" s="183" t="n">
        <v>45740</v>
      </c>
    </row>
    <row r="81">
      <c r="B81" s="65" t="inlineStr">
        <is>
          <t>clr_asset_others_tlpr</t>
        </is>
      </c>
      <c r="C81" s="60" t="inlineStr">
        <is>
          <t>REALIZATIONCOST</t>
        </is>
      </c>
      <c r="D81" s="60" t="inlineStr">
        <is>
          <t>decimal(24,6)</t>
        </is>
      </c>
      <c r="E81" s="60" t="inlineStr">
        <is>
          <t>YES</t>
        </is>
      </c>
      <c r="F81" s="99" t="inlineStr">
        <is>
          <t>预计变现成本</t>
        </is>
      </c>
      <c r="G81" s="60" t="n"/>
      <c r="H81" s="60" t="n"/>
      <c r="I81" s="60" t="n"/>
      <c r="J81" s="183" t="n">
        <v>45740</v>
      </c>
    </row>
    <row r="82">
      <c r="B82" s="65" t="inlineStr">
        <is>
          <t>clr_asset_others_tlpr</t>
        </is>
      </c>
      <c r="C82" s="60" t="inlineStr">
        <is>
          <t>PATENTREMAIN</t>
        </is>
      </c>
      <c r="D82" s="60" t="inlineStr">
        <is>
          <t>integer(4)</t>
        </is>
      </c>
      <c r="E82" s="60" t="inlineStr">
        <is>
          <t>YES</t>
        </is>
      </c>
      <c r="F82" s="59" t="inlineStr">
        <is>
          <t>专利距离保护期届满时间（年）</t>
        </is>
      </c>
      <c r="G82" s="60" t="inlineStr"/>
      <c r="H82" s="60" t="inlineStr"/>
      <c r="I82" s="60" t="n"/>
      <c r="J82" s="183" t="n">
        <v>45740</v>
      </c>
    </row>
    <row r="83">
      <c r="B83" s="65" t="inlineStr">
        <is>
          <t>clr_asset_others_tlpr</t>
        </is>
      </c>
      <c r="C83" s="60" t="inlineStr">
        <is>
          <t>COPYRIGHTSCOPE</t>
        </is>
      </c>
      <c r="D83" s="60" t="inlineStr">
        <is>
          <t>varchar(200)</t>
        </is>
      </c>
      <c r="E83" s="60" t="inlineStr">
        <is>
          <t>YES</t>
        </is>
      </c>
      <c r="F83" s="59" t="inlineStr">
        <is>
          <t>著作权权利范围</t>
        </is>
      </c>
      <c r="G83" s="60" t="inlineStr"/>
      <c r="H83" s="60" t="inlineStr"/>
      <c r="I83" s="60" t="n"/>
      <c r="J83" s="183" t="n">
        <v>45740</v>
      </c>
    </row>
  </sheetData>
  <pageMargins left="0.75" right="0.75" top="1" bottom="1" header="0.5" footer="0.5"/>
  <pageSetup orientation="portrait" paperSize="1" horizontalDpi="300" verticalDpi="300"/>
</worksheet>
</file>

<file path=xl/worksheets/sheet73.xml><?xml version="1.0" encoding="utf-8"?>
<worksheet xmlns="http://schemas.openxmlformats.org/spreadsheetml/2006/main">
  <sheetPr>
    <outlinePr summaryBelow="1" summaryRight="1"/>
    <pageSetUpPr/>
  </sheetPr>
  <dimension ref="A1:L163"/>
  <sheetViews>
    <sheetView zoomScaleSheetLayoutView="60" workbookViewId="0">
      <pane ySplit="2" topLeftCell="A134" activePane="bottomLeft" state="frozen"/>
      <selection activeCell="A1" sqref="A1"/>
      <selection pane="bottomLeft" activeCell="J137" sqref="J137:J163"/>
    </sheetView>
  </sheetViews>
  <sheetFormatPr baseColWidth="8" defaultColWidth="9.142857142857141" defaultRowHeight="15.2"/>
  <cols>
    <col width="19.5357142857143" customWidth="1" style="170" min="2" max="2"/>
    <col width="30.9464285714286" customWidth="1" style="170" min="3" max="3"/>
    <col width="15.625" customWidth="1" style="170" min="4" max="4"/>
    <col width="7.80357142857143" customWidth="1" style="170" min="5" max="5"/>
    <col width="39.0625" customWidth="1" style="170" min="6" max="6"/>
    <col width="15.625" customWidth="1" style="170" min="7" max="7"/>
    <col width="11.7053571428571" customWidth="1" style="170" min="10" max="10"/>
    <col width="22.4642857142857" customWidth="1" style="170" min="11" max="11"/>
  </cols>
  <sheetData>
    <row r="1">
      <c r="A1" s="1">
        <f>HYPERLINK("#表结构清单!A1","返回")</f>
        <v/>
      </c>
      <c r="B1" t="inlineStr">
        <is>
          <t>房地产/土地使用权/在建工程</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clr_asset_realty</t>
        </is>
      </c>
      <c r="C3" s="24" t="inlineStr">
        <is>
          <t>CLRID</t>
        </is>
      </c>
      <c r="D3" s="24" t="inlineStr">
        <is>
          <t>varchar(32)</t>
        </is>
      </c>
      <c r="E3" s="24" t="inlineStr">
        <is>
          <t>NO</t>
        </is>
      </c>
      <c r="F3" s="24" t="inlineStr">
        <is>
          <t>押品编号</t>
        </is>
      </c>
      <c r="G3" s="24" t="n"/>
      <c r="H3" s="24" t="n"/>
      <c r="I3" s="24" t="inlineStr"/>
      <c r="J3" s="24" t="inlineStr">
        <is>
          <t>2023/01/12</t>
        </is>
      </c>
    </row>
    <row r="4" ht="16.8" customHeight="1" s="170">
      <c r="B4" s="24" t="inlineStr">
        <is>
          <t>clr_asset_realty</t>
        </is>
      </c>
      <c r="C4" s="24" t="inlineStr">
        <is>
          <t>REALESTATEID</t>
        </is>
      </c>
      <c r="D4" s="24" t="inlineStr">
        <is>
          <t>varchar(32)</t>
        </is>
      </c>
      <c r="E4" s="24" t="inlineStr">
        <is>
          <t>YES</t>
        </is>
      </c>
      <c r="F4" s="24" t="inlineStr">
        <is>
          <t>楼盘编号</t>
        </is>
      </c>
      <c r="G4" s="24" t="n"/>
      <c r="H4" s="24" t="n"/>
      <c r="I4" s="24" t="inlineStr"/>
      <c r="J4" s="24" t="inlineStr">
        <is>
          <t>2023/01/12</t>
        </is>
      </c>
      <c r="L4" s="79">
        <f>HYPERLINK("#CLR_INFO!A1","CLR_INFO")</f>
        <v/>
      </c>
    </row>
    <row r="5">
      <c r="B5" s="24" t="inlineStr">
        <is>
          <t>clr_asset_realty</t>
        </is>
      </c>
      <c r="C5" s="24" t="inlineStr">
        <is>
          <t>LANDLEVEL</t>
        </is>
      </c>
      <c r="D5" s="24" t="inlineStr">
        <is>
          <t>varchar(6)</t>
        </is>
      </c>
      <c r="E5" s="24" t="inlineStr">
        <is>
          <t>YES</t>
        </is>
      </c>
      <c r="F5" s="24" t="inlineStr">
        <is>
          <t>土地分级</t>
        </is>
      </c>
      <c r="G5" s="52">
        <f>HYPERLINK("#码值映射清单!B4837","LandingLevel")</f>
        <v/>
      </c>
      <c r="H5" s="24" t="n"/>
      <c r="I5" s="24" t="inlineStr"/>
      <c r="J5" s="24" t="inlineStr">
        <is>
          <t>2023/01/12</t>
        </is>
      </c>
    </row>
    <row r="6">
      <c r="B6" s="24" t="inlineStr">
        <is>
          <t>clr_asset_realty</t>
        </is>
      </c>
      <c r="C6" s="24" t="inlineStr">
        <is>
          <t>LANDNAME</t>
        </is>
      </c>
      <c r="D6" s="24" t="inlineStr">
        <is>
          <t>varchar(80)</t>
        </is>
      </c>
      <c r="E6" s="24" t="inlineStr">
        <is>
          <t>YES</t>
        </is>
      </c>
      <c r="F6" s="24" t="inlineStr">
        <is>
          <t>土地名称</t>
        </is>
      </c>
      <c r="G6" s="24" t="n"/>
      <c r="H6" s="24" t="n"/>
      <c r="I6" s="24" t="inlineStr"/>
      <c r="J6" s="24" t="inlineStr">
        <is>
          <t>2023/01/12</t>
        </is>
      </c>
    </row>
    <row r="7">
      <c r="B7" s="24" t="inlineStr">
        <is>
          <t>clr_asset_realty</t>
        </is>
      </c>
      <c r="C7" s="24" t="inlineStr">
        <is>
          <t>LANDPURPOSE</t>
        </is>
      </c>
      <c r="D7" s="24" t="inlineStr">
        <is>
          <t>varchar(6)</t>
        </is>
      </c>
      <c r="E7" s="24" t="inlineStr">
        <is>
          <t>YES</t>
        </is>
      </c>
      <c r="F7" s="24" t="inlineStr">
        <is>
          <t>土地用途</t>
        </is>
      </c>
      <c r="G7" s="52">
        <f>HYPERLINK("#码值映射清单!B9755","LandPurpose")</f>
        <v/>
      </c>
      <c r="H7" s="24" t="n"/>
      <c r="I7" s="24" t="inlineStr"/>
      <c r="J7" s="24" t="inlineStr">
        <is>
          <t>2023/01/12</t>
        </is>
      </c>
    </row>
    <row r="8">
      <c r="B8" s="24" t="inlineStr">
        <is>
          <t>clr_asset_realty</t>
        </is>
      </c>
      <c r="C8" s="24" t="inlineStr">
        <is>
          <t>REALTYPRESELLCONTRACTNO</t>
        </is>
      </c>
      <c r="D8" s="24" t="inlineStr">
        <is>
          <t>varchar(32)</t>
        </is>
      </c>
      <c r="E8" s="24" t="inlineStr">
        <is>
          <t>YES</t>
        </is>
      </c>
      <c r="F8" s="43" t="inlineStr">
        <is>
          <t>房屋预售合同号/房屋购买合同号</t>
        </is>
      </c>
      <c r="G8" s="24" t="n"/>
      <c r="H8" s="24" t="n"/>
      <c r="I8" s="24" t="inlineStr"/>
      <c r="J8" s="24" t="inlineStr">
        <is>
          <t>2023/01/12</t>
        </is>
      </c>
    </row>
    <row r="9">
      <c r="B9" s="24" t="inlineStr">
        <is>
          <t>clr_asset_realty</t>
        </is>
      </c>
      <c r="C9" s="24" t="inlineStr">
        <is>
          <t>REALTYCERTID</t>
        </is>
      </c>
      <c r="D9" s="24" t="inlineStr">
        <is>
          <t>varchar(32)</t>
        </is>
      </c>
      <c r="E9" s="24" t="inlineStr">
        <is>
          <t>YES</t>
        </is>
      </c>
      <c r="F9" s="43" t="inlineStr">
        <is>
          <t>房产证编号/在建类房产证编号/房屋所有权证号/农村房屋产权证编号</t>
        </is>
      </c>
      <c r="G9" s="24" t="n"/>
      <c r="H9" s="24" t="n"/>
      <c r="I9" s="24" t="inlineStr"/>
      <c r="J9" s="24" t="inlineStr">
        <is>
          <t>2023/01/12</t>
        </is>
      </c>
    </row>
    <row r="10">
      <c r="B10" s="24" t="inlineStr">
        <is>
          <t>clr_asset_realty</t>
        </is>
      </c>
      <c r="C10" s="24" t="inlineStr">
        <is>
          <t>REALTYDEVELOPERNAME</t>
        </is>
      </c>
      <c r="D10" s="24" t="inlineStr">
        <is>
          <t>varchar(500)</t>
        </is>
      </c>
      <c r="E10" s="24" t="inlineStr">
        <is>
          <t>YES</t>
        </is>
      </c>
      <c r="F10" s="24" t="inlineStr">
        <is>
          <t>房产开发商名称/地上附着物名称/在建类房产开发商名称</t>
        </is>
      </c>
      <c r="G10" s="24" t="n"/>
      <c r="H10" s="24" t="n"/>
      <c r="I10" s="24" t="inlineStr"/>
      <c r="J10" s="24" t="inlineStr">
        <is>
          <t>2023/01/12</t>
        </is>
      </c>
    </row>
    <row r="11">
      <c r="B11" s="24" t="inlineStr">
        <is>
          <t>clr_asset_realty</t>
        </is>
      </c>
      <c r="C11" s="24" t="inlineStr">
        <is>
          <t>REALTYZIPCODE</t>
        </is>
      </c>
      <c r="D11" s="24" t="inlineStr">
        <is>
          <t>varchar(32)</t>
        </is>
      </c>
      <c r="E11" s="24" t="inlineStr">
        <is>
          <t>YES</t>
        </is>
      </c>
      <c r="F11" s="24" t="inlineStr">
        <is>
          <t>房产邮政编码/在建类房产的邮政编码</t>
        </is>
      </c>
      <c r="G11" s="24" t="n"/>
      <c r="H11" s="24" t="n"/>
      <c r="I11" s="24" t="inlineStr"/>
      <c r="J11" s="24" t="inlineStr">
        <is>
          <t>2023/01/12</t>
        </is>
      </c>
    </row>
    <row r="12">
      <c r="B12" s="24" t="inlineStr">
        <is>
          <t>clr_asset_realty</t>
        </is>
      </c>
      <c r="C12" s="24" t="inlineStr">
        <is>
          <t>REALTYLANDNO</t>
        </is>
      </c>
      <c r="D12" s="24" t="inlineStr">
        <is>
          <t>varchar(80)</t>
        </is>
      </c>
      <c r="E12" s="24" t="inlineStr">
        <is>
          <t>YES</t>
        </is>
      </c>
      <c r="F12" s="24" t="inlineStr">
        <is>
          <t>房产地号/宗地编号/在建类房产的地号</t>
        </is>
      </c>
      <c r="G12" s="24" t="n"/>
      <c r="H12" s="24" t="n"/>
      <c r="I12" s="24" t="inlineStr"/>
      <c r="J12" s="24" t="inlineStr">
        <is>
          <t>2023/01/12</t>
        </is>
      </c>
    </row>
    <row r="13">
      <c r="B13" s="24" t="inlineStr">
        <is>
          <t>clr_asset_realty</t>
        </is>
      </c>
      <c r="C13" s="24" t="inlineStr">
        <is>
          <t>PROJECTNAME</t>
        </is>
      </c>
      <c r="D13" s="24" t="inlineStr">
        <is>
          <t>varchar(80)</t>
        </is>
      </c>
      <c r="E13" s="24" t="inlineStr">
        <is>
          <t>YES</t>
        </is>
      </c>
      <c r="F13" s="24" t="inlineStr">
        <is>
          <t>房产开发项目名称</t>
        </is>
      </c>
      <c r="G13" s="24" t="n"/>
      <c r="H13" s="24" t="n"/>
      <c r="I13" s="24" t="inlineStr"/>
      <c r="J13" s="24" t="inlineStr">
        <is>
          <t>2023/01/12</t>
        </is>
      </c>
    </row>
    <row r="14">
      <c r="B14" s="24" t="inlineStr">
        <is>
          <t>clr_asset_realty</t>
        </is>
      </c>
      <c r="C14" s="24" t="inlineStr">
        <is>
          <t>LANDUSER</t>
        </is>
      </c>
      <c r="D14" s="24" t="inlineStr">
        <is>
          <t>varchar(80)</t>
        </is>
      </c>
      <c r="E14" s="24" t="inlineStr">
        <is>
          <t>YES</t>
        </is>
      </c>
      <c r="F14" s="43" t="inlineStr">
        <is>
          <t>土地使用权人/使用权所有人/房产持有者/使用权所有人/宅基地所有权权利人名称</t>
        </is>
      </c>
      <c r="G14" s="24" t="n"/>
      <c r="H14" s="24" t="n"/>
      <c r="I14" s="24" t="inlineStr"/>
      <c r="J14" s="24" t="inlineStr">
        <is>
          <t>2023/01/12</t>
        </is>
      </c>
    </row>
    <row r="15">
      <c r="B15" s="24" t="inlineStr">
        <is>
          <t>clr_asset_realty</t>
        </is>
      </c>
      <c r="C15" s="24" t="inlineStr">
        <is>
          <t>LANDCERTID</t>
        </is>
      </c>
      <c r="D15" s="24" t="inlineStr">
        <is>
          <t>varchar(32)</t>
        </is>
      </c>
      <c r="E15" s="24" t="inlineStr">
        <is>
          <t>YES</t>
        </is>
      </c>
      <c r="F15" s="24" t="inlineStr">
        <is>
          <t>土地使用权证号/在建类房产土地使用权证编号</t>
        </is>
      </c>
      <c r="G15" s="24" t="n"/>
      <c r="H15" s="24" t="n"/>
      <c r="I15" s="24" t="inlineStr"/>
      <c r="J15" s="24" t="inlineStr">
        <is>
          <t>2023/01/12</t>
        </is>
      </c>
    </row>
    <row r="16">
      <c r="B16" s="24" t="inlineStr">
        <is>
          <t>clr_asset_realty</t>
        </is>
      </c>
      <c r="C16" s="24" t="inlineStr">
        <is>
          <t>BUILDINGLANDUSER</t>
        </is>
      </c>
      <c r="D16" s="24" t="inlineStr">
        <is>
          <t>varchar(200)</t>
        </is>
      </c>
      <c r="E16" s="24" t="inlineStr">
        <is>
          <t>YES</t>
        </is>
      </c>
      <c r="F16" s="24" t="inlineStr">
        <is>
          <t>在建类房产所属土地使用权人</t>
        </is>
      </c>
      <c r="G16" s="24" t="n"/>
      <c r="H16" s="24" t="n"/>
      <c r="I16" s="24" t="inlineStr"/>
      <c r="J16" s="24" t="inlineStr">
        <is>
          <t>2023/01/12</t>
        </is>
      </c>
    </row>
    <row r="17">
      <c r="B17" s="24" t="inlineStr">
        <is>
          <t>clr_asset_realty</t>
        </is>
      </c>
      <c r="C17" s="24" t="inlineStr">
        <is>
          <t>RIGHTSOURCE</t>
        </is>
      </c>
      <c r="D17" s="24" t="inlineStr">
        <is>
          <t>varchar(6)</t>
        </is>
      </c>
      <c r="E17" s="24" t="inlineStr">
        <is>
          <t>YES</t>
        </is>
      </c>
      <c r="F17" s="43" t="inlineStr">
        <is>
          <t>房屋所有权来源/土地取得方式/获取方式</t>
        </is>
      </c>
      <c r="G17" s="52">
        <f>HYPERLINK("#码值映射清单!B6008","LandRightSource")</f>
        <v/>
      </c>
      <c r="H17" s="24" t="n"/>
      <c r="I17" s="24" t="inlineStr"/>
      <c r="J17" s="24" t="inlineStr">
        <is>
          <t>2023/01/12</t>
        </is>
      </c>
    </row>
    <row r="18">
      <c r="B18" s="24" t="inlineStr">
        <is>
          <t>clr_asset_realty</t>
        </is>
      </c>
      <c r="C18" s="24" t="inlineStr">
        <is>
          <t>HOUSESHARE</t>
        </is>
      </c>
      <c r="D18" s="24" t="inlineStr">
        <is>
          <t>decimal(18,8)</t>
        </is>
      </c>
      <c r="E18" s="24" t="inlineStr">
        <is>
          <t>YES</t>
        </is>
      </c>
      <c r="F18" s="24" t="inlineStr">
        <is>
          <t>占用房屋份额</t>
        </is>
      </c>
      <c r="G18" s="24" t="n"/>
      <c r="H18" s="24" t="n"/>
      <c r="I18" s="24" t="inlineStr"/>
      <c r="J18" s="24" t="inlineStr">
        <is>
          <t>2023/01/12</t>
        </is>
      </c>
    </row>
    <row r="19">
      <c r="B19" s="24" t="inlineStr">
        <is>
          <t>clr_asset_realty</t>
        </is>
      </c>
      <c r="C19" s="24" t="inlineStr">
        <is>
          <t>FLOORAREA</t>
        </is>
      </c>
      <c r="D19" s="24" t="inlineStr">
        <is>
          <t>decimal(18,2)</t>
        </is>
      </c>
      <c r="E19" s="24" t="inlineStr">
        <is>
          <t>YES</t>
        </is>
      </c>
      <c r="F19" s="24" t="inlineStr">
        <is>
          <t>建筑面积/土地面积</t>
        </is>
      </c>
      <c r="G19" s="24" t="n"/>
      <c r="H19" s="24" t="n"/>
      <c r="I19" s="24" t="inlineStr"/>
      <c r="J19" s="24" t="inlineStr">
        <is>
          <t>2023/01/12</t>
        </is>
      </c>
    </row>
    <row r="20">
      <c r="B20" s="24" t="inlineStr">
        <is>
          <t>clr_asset_realty</t>
        </is>
      </c>
      <c r="C20" s="24" t="inlineStr">
        <is>
          <t>USEAREA</t>
        </is>
      </c>
      <c r="D20" s="24" t="inlineStr">
        <is>
          <t>decimal(18,2)</t>
        </is>
      </c>
      <c r="E20" s="24" t="inlineStr">
        <is>
          <t>YES</t>
        </is>
      </c>
      <c r="F20" s="24" t="inlineStr">
        <is>
          <t>使用面积/土地/在建工程使用权面积</t>
        </is>
      </c>
      <c r="G20" s="24" t="n"/>
      <c r="H20" s="24" t="n"/>
      <c r="I20" s="24" t="inlineStr"/>
      <c r="J20" s="24" t="inlineStr">
        <is>
          <t>2023/01/12</t>
        </is>
      </c>
    </row>
    <row r="21">
      <c r="B21" s="24" t="inlineStr">
        <is>
          <t>clr_asset_realty</t>
        </is>
      </c>
      <c r="C21" s="24" t="inlineStr">
        <is>
          <t>LANDATTAREA</t>
        </is>
      </c>
      <c r="D21" s="24" t="inlineStr">
        <is>
          <t>decimal(18,2)</t>
        </is>
      </c>
      <c r="E21" s="24" t="inlineStr">
        <is>
          <t>YES</t>
        </is>
      </c>
      <c r="F21" s="24" t="inlineStr">
        <is>
          <t>地上附着物面积</t>
        </is>
      </c>
      <c r="G21" s="24" t="n"/>
      <c r="H21" s="24" t="n"/>
      <c r="I21" s="24" t="inlineStr"/>
      <c r="J21" s="24" t="inlineStr">
        <is>
          <t>2023/01/12</t>
        </is>
      </c>
    </row>
    <row r="22">
      <c r="B22" s="24" t="inlineStr">
        <is>
          <t>clr_asset_realty</t>
        </is>
      </c>
      <c r="C22" s="24" t="inlineStr">
        <is>
          <t>ABOVEGROUNDAREA</t>
        </is>
      </c>
      <c r="D22" s="24" t="inlineStr">
        <is>
          <t>decimal(18,2)</t>
        </is>
      </c>
      <c r="E22" s="24" t="inlineStr">
        <is>
          <t>YES</t>
        </is>
      </c>
      <c r="F22" s="24" t="inlineStr">
        <is>
          <t>地上建筑总面积;m2）</t>
        </is>
      </c>
      <c r="G22" s="24" t="n"/>
      <c r="H22" s="24" t="n"/>
      <c r="I22" s="24" t="inlineStr"/>
      <c r="J22" s="24" t="inlineStr">
        <is>
          <t>2023/01/12</t>
        </is>
      </c>
    </row>
    <row r="23">
      <c r="B23" s="24" t="inlineStr">
        <is>
          <t>clr_asset_realty</t>
        </is>
      </c>
      <c r="C23" s="24" t="inlineStr">
        <is>
          <t>UNDERGROUNDAREA</t>
        </is>
      </c>
      <c r="D23" s="24" t="inlineStr">
        <is>
          <t>decimal(18,2)</t>
        </is>
      </c>
      <c r="E23" s="24" t="inlineStr">
        <is>
          <t>YES</t>
        </is>
      </c>
      <c r="F23" s="43" t="inlineStr">
        <is>
          <t>地下建筑总面积;m2）</t>
        </is>
      </c>
      <c r="G23" s="24" t="n"/>
      <c r="H23" s="24" t="n"/>
      <c r="I23" s="24" t="inlineStr"/>
      <c r="J23" s="24" t="inlineStr">
        <is>
          <t>2023/01/12</t>
        </is>
      </c>
    </row>
    <row r="24">
      <c r="B24" s="24" t="inlineStr">
        <is>
          <t>clr_asset_realty</t>
        </is>
      </c>
      <c r="C24" s="24" t="inlineStr">
        <is>
          <t>LANDUSETYPE</t>
        </is>
      </c>
      <c r="D24" s="24" t="inlineStr">
        <is>
          <t>varchar(6)</t>
        </is>
      </c>
      <c r="E24" s="24" t="inlineStr">
        <is>
          <t>YES</t>
        </is>
      </c>
      <c r="F24" s="43" t="inlineStr">
        <is>
          <t>所属土地使用权类型/土地性质</t>
        </is>
      </c>
      <c r="G24" s="61">
        <f>HYPERLINK("#码值映射清单!B5003","LandRightNature")</f>
        <v/>
      </c>
      <c r="H24" s="24" t="n"/>
      <c r="I24" s="24" t="inlineStr"/>
      <c r="J24" s="24" t="inlineStr">
        <is>
          <t>2023/01/12</t>
        </is>
      </c>
    </row>
    <row r="25">
      <c r="B25" s="24" t="inlineStr">
        <is>
          <t>clr_asset_realty</t>
        </is>
      </c>
      <c r="C25" s="24" t="inlineStr">
        <is>
          <t>REALTYTYPE</t>
        </is>
      </c>
      <c r="D25" s="24" t="inlineStr">
        <is>
          <t>varchar(6)</t>
        </is>
      </c>
      <c r="E25" s="24" t="inlineStr">
        <is>
          <t>YES</t>
        </is>
      </c>
      <c r="F25" s="24" t="inlineStr">
        <is>
          <t>房产类型/工业房地产类别</t>
        </is>
      </c>
      <c r="G25" s="52">
        <f>HYPERLINK("#码值映射清单!B1772","CommercialRealtyType")</f>
        <v/>
      </c>
      <c r="H25" s="24" t="n"/>
      <c r="I25" s="24" t="inlineStr"/>
      <c r="J25" s="24" t="inlineStr">
        <is>
          <t>2023/01/12</t>
        </is>
      </c>
    </row>
    <row r="26">
      <c r="B26" s="24" t="inlineStr">
        <is>
          <t>clr_asset_realty</t>
        </is>
      </c>
      <c r="C26" s="24" t="inlineStr">
        <is>
          <t>REMAININGUSEYEARS</t>
        </is>
      </c>
      <c r="D26" s="24" t="inlineStr">
        <is>
          <t>int</t>
        </is>
      </c>
      <c r="E26" s="24" t="inlineStr">
        <is>
          <t>YES</t>
        </is>
      </c>
      <c r="F26" s="24" t="inlineStr">
        <is>
          <t>所在土地的剩余使用年限;计算)/土地剩余使用年限/在建类房产所属土地的剩余使用年限</t>
        </is>
      </c>
      <c r="G26" s="24" t="n"/>
      <c r="H26" s="24" t="n"/>
      <c r="I26" s="24" t="inlineStr"/>
      <c r="J26" s="24" t="inlineStr">
        <is>
          <t>2023/01/12</t>
        </is>
      </c>
    </row>
    <row r="27">
      <c r="B27" s="24" t="inlineStr">
        <is>
          <t>clr_asset_realty</t>
        </is>
      </c>
      <c r="C27" s="24" t="inlineStr">
        <is>
          <t>BUILDINGYEARS</t>
        </is>
      </c>
      <c r="D27" s="24" t="inlineStr">
        <is>
          <t>int</t>
        </is>
      </c>
      <c r="E27" s="24" t="inlineStr">
        <is>
          <t>YES</t>
        </is>
      </c>
      <c r="F27" s="24" t="inlineStr">
        <is>
          <t>建筑物年限</t>
        </is>
      </c>
      <c r="G27" s="24" t="n"/>
      <c r="H27" s="24" t="n"/>
      <c r="I27" s="24" t="inlineStr"/>
      <c r="J27" s="24" t="inlineStr">
        <is>
          <t>2023/01/12</t>
        </is>
      </c>
    </row>
    <row r="28">
      <c r="B28" s="24" t="inlineStr">
        <is>
          <t>clr_asset_realty</t>
        </is>
      </c>
      <c r="C28" s="24" t="inlineStr">
        <is>
          <t>LANDUSEDUEDATE</t>
        </is>
      </c>
      <c r="D28" s="24" t="inlineStr">
        <is>
          <t>date</t>
        </is>
      </c>
      <c r="E28" s="24" t="inlineStr">
        <is>
          <t>YES</t>
        </is>
      </c>
      <c r="F28" s="24" t="inlineStr">
        <is>
          <t>土地使用权到期日</t>
        </is>
      </c>
      <c r="G28" s="24" t="n"/>
      <c r="H28" s="24" t="n"/>
      <c r="I28" s="24" t="inlineStr"/>
      <c r="J28" s="24" t="inlineStr">
        <is>
          <t>2023/01/12</t>
        </is>
      </c>
    </row>
    <row r="29">
      <c r="B29" s="24" t="inlineStr">
        <is>
          <t>clr_asset_realty</t>
        </is>
      </c>
      <c r="C29" s="24" t="inlineStr">
        <is>
          <t>STANDARDUSEYEARS</t>
        </is>
      </c>
      <c r="D29" s="24" t="inlineStr">
        <is>
          <t>int</t>
        </is>
      </c>
      <c r="E29" s="24" t="inlineStr">
        <is>
          <t>YES</t>
        </is>
      </c>
      <c r="F29" s="24" t="inlineStr">
        <is>
          <t>标准使用权年限/土地法定使用年限/房产合理工期;年)</t>
        </is>
      </c>
      <c r="G29" s="24" t="n"/>
      <c r="H29" s="24" t="n"/>
      <c r="I29" s="24" t="inlineStr"/>
      <c r="J29" s="24" t="inlineStr">
        <is>
          <t>2023/01/12</t>
        </is>
      </c>
    </row>
    <row r="30">
      <c r="B30" s="24" t="inlineStr">
        <is>
          <t>clr_asset_realty</t>
        </is>
      </c>
      <c r="C30" s="24" t="inlineStr">
        <is>
          <t>COMPLETIONDATE</t>
        </is>
      </c>
      <c r="D30" s="24" t="inlineStr">
        <is>
          <t>datetime</t>
        </is>
      </c>
      <c r="E30" s="24" t="inlineStr">
        <is>
          <t>YES</t>
        </is>
      </c>
      <c r="F30" s="43" t="inlineStr">
        <is>
          <t>竣工日期/土地使用起始日/购入日期/土地购入日期/竣工验收日期</t>
        </is>
      </c>
      <c r="G30" s="24" t="n"/>
      <c r="H30" s="24" t="n"/>
      <c r="I30" s="24" t="inlineStr"/>
      <c r="J30" s="24" t="inlineStr">
        <is>
          <t>2023/01/12</t>
        </is>
      </c>
    </row>
    <row r="31">
      <c r="B31" s="24" t="inlineStr">
        <is>
          <t>clr_asset_realty</t>
        </is>
      </c>
      <c r="C31" s="24" t="inlineStr">
        <is>
          <t>DELIVERYDATE</t>
        </is>
      </c>
      <c r="D31" s="24" t="inlineStr">
        <is>
          <t>datetime</t>
        </is>
      </c>
      <c r="E31" s="24" t="inlineStr">
        <is>
          <t>YES</t>
        </is>
      </c>
      <c r="F31" s="43" t="inlineStr">
        <is>
          <t>交房日期/房屋建成时间</t>
        </is>
      </c>
      <c r="G31" s="24" t="n"/>
      <c r="H31" s="24" t="n"/>
      <c r="I31" s="24" t="inlineStr"/>
      <c r="J31" s="24" t="inlineStr">
        <is>
          <t>2023/01/12</t>
        </is>
      </c>
    </row>
    <row r="32">
      <c r="B32" s="24" t="inlineStr">
        <is>
          <t>clr_asset_realty</t>
        </is>
      </c>
      <c r="C32" s="24" t="inlineStr">
        <is>
          <t>BUILDINGDENSITY</t>
        </is>
      </c>
      <c r="D32" s="24" t="inlineStr">
        <is>
          <t>decimal(18,8)</t>
        </is>
      </c>
      <c r="E32" s="24" t="inlineStr">
        <is>
          <t>YES</t>
        </is>
      </c>
      <c r="F32" s="24" t="inlineStr">
        <is>
          <t>建筑密度</t>
        </is>
      </c>
      <c r="G32" s="24" t="n"/>
      <c r="H32" s="24" t="n"/>
      <c r="I32" s="24" t="inlineStr"/>
      <c r="J32" s="24" t="inlineStr">
        <is>
          <t>2023/01/12</t>
        </is>
      </c>
    </row>
    <row r="33">
      <c r="B33" s="24" t="inlineStr">
        <is>
          <t>clr_asset_realty</t>
        </is>
      </c>
      <c r="C33" s="24" t="inlineStr">
        <is>
          <t>PLOTRATIO</t>
        </is>
      </c>
      <c r="D33" s="24" t="inlineStr">
        <is>
          <t>decimal(18,8)</t>
        </is>
      </c>
      <c r="E33" s="24" t="inlineStr">
        <is>
          <t>YES</t>
        </is>
      </c>
      <c r="F33" s="24" t="inlineStr">
        <is>
          <t>容积率</t>
        </is>
      </c>
      <c r="G33" s="24" t="n"/>
      <c r="H33" s="24" t="n"/>
      <c r="I33" s="24" t="inlineStr"/>
      <c r="J33" s="24" t="inlineStr">
        <is>
          <t>2023/01/12</t>
        </is>
      </c>
    </row>
    <row r="34">
      <c r="B34" s="24" t="inlineStr">
        <is>
          <t>clr_asset_realty</t>
        </is>
      </c>
      <c r="C34" s="24" t="inlineStr">
        <is>
          <t>INFRASTRUCTURE</t>
        </is>
      </c>
      <c r="D34" s="24" t="inlineStr">
        <is>
          <t>varchar(500)</t>
        </is>
      </c>
      <c r="E34" s="24" t="inlineStr">
        <is>
          <t>YES</t>
        </is>
      </c>
      <c r="F34" s="24" t="inlineStr">
        <is>
          <t>基础设施情况描述</t>
        </is>
      </c>
      <c r="G34" s="24" t="n"/>
      <c r="H34" s="24" t="n"/>
      <c r="I34" s="24" t="inlineStr"/>
      <c r="J34" s="24" t="inlineStr">
        <is>
          <t>2023/01/12</t>
        </is>
      </c>
    </row>
    <row r="35">
      <c r="B35" s="24" t="inlineStr">
        <is>
          <t>clr_asset_realty</t>
        </is>
      </c>
      <c r="C35" s="24" t="inlineStr">
        <is>
          <t>VACANCYTIME</t>
        </is>
      </c>
      <c r="D35" s="24" t="inlineStr">
        <is>
          <t>int</t>
        </is>
      </c>
      <c r="E35" s="24" t="inlineStr">
        <is>
          <t>YES</t>
        </is>
      </c>
      <c r="F35" s="24" t="inlineStr">
        <is>
          <t>房产空置时间/土地闲置时间</t>
        </is>
      </c>
      <c r="G35" s="24" t="n"/>
      <c r="H35" s="24" t="n"/>
      <c r="I35" s="24" t="inlineStr"/>
      <c r="J35" s="24" t="inlineStr">
        <is>
          <t>2023/01/12</t>
        </is>
      </c>
    </row>
    <row r="36">
      <c r="B36" s="24" t="inlineStr">
        <is>
          <t>clr_asset_realty</t>
        </is>
      </c>
      <c r="C36" s="24" t="inlineStr">
        <is>
          <t>URBANPLANNING</t>
        </is>
      </c>
      <c r="D36" s="24" t="inlineStr">
        <is>
          <t>varchar(500)</t>
        </is>
      </c>
      <c r="E36" s="24" t="inlineStr">
        <is>
          <t>YES</t>
        </is>
      </c>
      <c r="F36" s="24" t="inlineStr">
        <is>
          <t>所在区域当前或未来的城市规划计划或特殊政策/;土地)当前或未来押品所在区域的城市规划计划或特殊政策</t>
        </is>
      </c>
      <c r="G36" s="24" t="n"/>
      <c r="H36" s="24" t="n"/>
      <c r="I36" s="24" t="inlineStr"/>
      <c r="J36" s="24" t="inlineStr">
        <is>
          <t>2023/01/12</t>
        </is>
      </c>
    </row>
    <row r="37">
      <c r="B37" s="24" t="inlineStr">
        <is>
          <t>clr_asset_realty</t>
        </is>
      </c>
      <c r="C37" s="24" t="inlineStr">
        <is>
          <t>LURAREA</t>
        </is>
      </c>
      <c r="D37" s="24" t="inlineStr">
        <is>
          <t>decimal(18,2)</t>
        </is>
      </c>
      <c r="E37" s="24" t="inlineStr">
        <is>
          <t>YES</t>
        </is>
      </c>
      <c r="F37" s="43" t="inlineStr">
        <is>
          <t>房产的土地使用权面积;商办/工业)/所属土地使用权面积</t>
        </is>
      </c>
      <c r="G37" s="24" t="n"/>
      <c r="H37" s="24" t="n"/>
      <c r="I37" s="24" t="inlineStr"/>
      <c r="J37" s="24" t="inlineStr">
        <is>
          <t>2023/01/12</t>
        </is>
      </c>
    </row>
    <row r="38">
      <c r="B38" s="24" t="inlineStr">
        <is>
          <t>clr_asset_realty</t>
        </is>
      </c>
      <c r="C38" s="24" t="inlineStr">
        <is>
          <t>LURPRICE</t>
        </is>
      </c>
      <c r="D38" s="24" t="inlineStr">
        <is>
          <t>decimal(24,6)</t>
        </is>
      </c>
      <c r="E38" s="24" t="inlineStr">
        <is>
          <t>YES</t>
        </is>
      </c>
      <c r="F38" s="24" t="inlineStr">
        <is>
          <t>房产所在土地使用权取得价格;商办/工业)/土地出让价值</t>
        </is>
      </c>
      <c r="G38" s="24" t="n"/>
      <c r="H38" s="24" t="n"/>
      <c r="I38" s="24" t="inlineStr"/>
      <c r="J38" s="24" t="inlineStr">
        <is>
          <t>2023/01/12</t>
        </is>
      </c>
    </row>
    <row r="39">
      <c r="B39" s="24" t="inlineStr">
        <is>
          <t>clr_asset_realty</t>
        </is>
      </c>
      <c r="C39" s="24" t="inlineStr">
        <is>
          <t>LANDPRICE</t>
        </is>
      </c>
      <c r="D39" s="24" t="inlineStr">
        <is>
          <t>decimal(24,6)</t>
        </is>
      </c>
      <c r="E39" s="24" t="inlineStr">
        <is>
          <t>YES</t>
        </is>
      </c>
      <c r="F39" s="43" t="inlineStr">
        <is>
          <t>所属土地使用权购入价值</t>
        </is>
      </c>
      <c r="G39" s="24" t="n"/>
      <c r="H39" s="24" t="n"/>
      <c r="I39" s="24" t="inlineStr"/>
      <c r="J39" s="24" t="inlineStr">
        <is>
          <t>2023/01/12</t>
        </is>
      </c>
    </row>
    <row r="40">
      <c r="B40" s="24" t="inlineStr">
        <is>
          <t>clr_asset_realty</t>
        </is>
      </c>
      <c r="C40" s="24" t="inlineStr">
        <is>
          <t>FLOORLOADBEARING</t>
        </is>
      </c>
      <c r="D40" s="24" t="inlineStr">
        <is>
          <t>decimal(18,8)</t>
        </is>
      </c>
      <c r="E40" s="24" t="inlineStr">
        <is>
          <t>YES</t>
        </is>
      </c>
      <c r="F40" s="24" t="inlineStr">
        <is>
          <t>房产楼层承重</t>
        </is>
      </c>
      <c r="G40" s="24" t="n"/>
      <c r="H40" s="24" t="n"/>
      <c r="I40" s="24" t="inlineStr"/>
      <c r="J40" s="24" t="inlineStr">
        <is>
          <t>2023/01/12</t>
        </is>
      </c>
    </row>
    <row r="41">
      <c r="B41" s="24" t="inlineStr">
        <is>
          <t>clr_asset_realty</t>
        </is>
      </c>
      <c r="C41" s="24" t="inlineStr">
        <is>
          <t>ELECVOLUME</t>
        </is>
      </c>
      <c r="D41" s="24" t="inlineStr">
        <is>
          <t>decimal(18,8)</t>
        </is>
      </c>
      <c r="E41" s="24" t="inlineStr">
        <is>
          <t>YES</t>
        </is>
      </c>
      <c r="F41" s="24" t="inlineStr">
        <is>
          <t>房产的电容量</t>
        </is>
      </c>
      <c r="G41" s="24" t="n"/>
      <c r="H41" s="24" t="n"/>
      <c r="I41" s="24" t="inlineStr"/>
      <c r="J41" s="24" t="inlineStr">
        <is>
          <t>2023/01/12</t>
        </is>
      </c>
    </row>
    <row r="42">
      <c r="B42" s="24" t="inlineStr">
        <is>
          <t>clr_asset_realty</t>
        </is>
      </c>
      <c r="C42" s="24" t="inlineStr">
        <is>
          <t>ANCILLARYBUILDING</t>
        </is>
      </c>
      <c r="D42" s="24" t="inlineStr">
        <is>
          <t>varchar(500)</t>
        </is>
      </c>
      <c r="E42" s="24" t="inlineStr">
        <is>
          <t>YES</t>
        </is>
      </c>
      <c r="F42" s="24" t="inlineStr">
        <is>
          <t>房产的配套建筑;商办/工业)</t>
        </is>
      </c>
      <c r="G42" s="24" t="n"/>
      <c r="H42" s="24" t="n"/>
      <c r="I42" s="24" t="inlineStr"/>
      <c r="J42" s="24" t="inlineStr">
        <is>
          <t>2023/01/12</t>
        </is>
      </c>
    </row>
    <row r="43">
      <c r="B43" s="24" t="inlineStr">
        <is>
          <t>clr_asset_realty</t>
        </is>
      </c>
      <c r="C43" s="24" t="inlineStr">
        <is>
          <t>RENTTYPE</t>
        </is>
      </c>
      <c r="D43" s="24" t="inlineStr">
        <is>
          <t>varchar(6)</t>
        </is>
      </c>
      <c r="E43" s="24" t="inlineStr">
        <is>
          <t>YES</t>
        </is>
      </c>
      <c r="F43" s="24" t="inlineStr">
        <is>
          <t>房产租赁形式;商办/工业)</t>
        </is>
      </c>
      <c r="G43" s="52">
        <f>HYPERLINK("#码值映射清单!B1217","RentType")</f>
        <v/>
      </c>
      <c r="H43" s="24" t="n"/>
      <c r="I43" s="24" t="inlineStr"/>
      <c r="J43" s="24" t="inlineStr">
        <is>
          <t>2023/01/12</t>
        </is>
      </c>
    </row>
    <row r="44">
      <c r="B44" s="24" t="inlineStr">
        <is>
          <t>clr_asset_realty</t>
        </is>
      </c>
      <c r="C44" s="24" t="inlineStr">
        <is>
          <t>RENTAGRMEFFDATE</t>
        </is>
      </c>
      <c r="D44" s="24" t="inlineStr">
        <is>
          <t>datetime</t>
        </is>
      </c>
      <c r="E44" s="24" t="inlineStr">
        <is>
          <t>YES</t>
        </is>
      </c>
      <c r="F44" s="24" t="inlineStr">
        <is>
          <t>房产的租赁合同生效日;商办/工业)</t>
        </is>
      </c>
      <c r="G44" s="24" t="n"/>
      <c r="H44" s="24" t="n"/>
      <c r="I44" s="24" t="inlineStr"/>
      <c r="J44" s="24" t="inlineStr">
        <is>
          <t>2023/01/12</t>
        </is>
      </c>
    </row>
    <row r="45">
      <c r="B45" s="24" t="inlineStr">
        <is>
          <t>clr_asset_realty</t>
        </is>
      </c>
      <c r="C45" s="24" t="inlineStr">
        <is>
          <t>RENTAGRMEXPIRYDATE</t>
        </is>
      </c>
      <c r="D45" s="24" t="inlineStr">
        <is>
          <t>datetime</t>
        </is>
      </c>
      <c r="E45" s="24" t="inlineStr">
        <is>
          <t>YES</t>
        </is>
      </c>
      <c r="F45" s="24" t="inlineStr">
        <is>
          <t>房产的租赁合同到期日;商办/工业)</t>
        </is>
      </c>
      <c r="G45" s="24" t="n"/>
      <c r="H45" s="24" t="n"/>
      <c r="I45" s="24" t="inlineStr"/>
      <c r="J45" s="24" t="inlineStr">
        <is>
          <t>2023/01/12</t>
        </is>
      </c>
    </row>
    <row r="46">
      <c r="B46" s="24" t="inlineStr">
        <is>
          <t>clr_asset_realty</t>
        </is>
      </c>
      <c r="C46" s="24" t="inlineStr">
        <is>
          <t>INDUSTRIALPARKLEVEL</t>
        </is>
      </c>
      <c r="D46" s="24" t="inlineStr">
        <is>
          <t>varchar(18)</t>
        </is>
      </c>
      <c r="E46" s="24" t="inlineStr">
        <is>
          <t>YES</t>
        </is>
      </c>
      <c r="F46" s="24" t="inlineStr">
        <is>
          <t>工业园区等级</t>
        </is>
      </c>
      <c r="G46" s="24" t="n"/>
      <c r="H46" s="24" t="n"/>
      <c r="I46" s="24" t="inlineStr"/>
      <c r="J46" s="24" t="inlineStr">
        <is>
          <t>2023/01/12</t>
        </is>
      </c>
    </row>
    <row r="47">
      <c r="B47" s="24" t="inlineStr">
        <is>
          <t>clr_asset_realty</t>
        </is>
      </c>
      <c r="C47" s="24" t="inlineStr">
        <is>
          <t>INDUSTRYPOSITION</t>
        </is>
      </c>
      <c r="D47" s="24" t="inlineStr">
        <is>
          <t>varchar(500)</t>
        </is>
      </c>
      <c r="E47" s="24" t="inlineStr">
        <is>
          <t>YES</t>
        </is>
      </c>
      <c r="F47" s="24" t="inlineStr">
        <is>
          <t>产业定位</t>
        </is>
      </c>
      <c r="G47" s="24" t="n"/>
      <c r="H47" s="24" t="n"/>
      <c r="I47" s="24" t="inlineStr"/>
      <c r="J47" s="24" t="inlineStr">
        <is>
          <t>2023/01/12</t>
        </is>
      </c>
    </row>
    <row r="48">
      <c r="B48" s="24" t="inlineStr">
        <is>
          <t>clr_asset_realty</t>
        </is>
      </c>
      <c r="C48" s="24" t="inlineStr">
        <is>
          <t>DEVMODEL</t>
        </is>
      </c>
      <c r="D48" s="24" t="inlineStr">
        <is>
          <t>varchar(18)</t>
        </is>
      </c>
      <c r="E48" s="24" t="inlineStr">
        <is>
          <t>YES</t>
        </is>
      </c>
      <c r="F48" s="43" t="inlineStr">
        <is>
          <t>工业房地产开发模式</t>
        </is>
      </c>
      <c r="G48" s="52">
        <f>HYPERLINK("#码值映射清单!B5462","DevModel")</f>
        <v/>
      </c>
      <c r="H48" s="24" t="n"/>
      <c r="I48" s="24" t="inlineStr"/>
      <c r="J48" s="24" t="inlineStr">
        <is>
          <t>2023/01/12</t>
        </is>
      </c>
    </row>
    <row r="49">
      <c r="B49" s="24" t="inlineStr">
        <is>
          <t>clr_asset_realty</t>
        </is>
      </c>
      <c r="C49" s="24" t="inlineStr">
        <is>
          <t>PROFITMODEL</t>
        </is>
      </c>
      <c r="D49" s="24" t="inlineStr">
        <is>
          <t>varchar(18)</t>
        </is>
      </c>
      <c r="E49" s="24" t="inlineStr">
        <is>
          <t>YES</t>
        </is>
      </c>
      <c r="F49" s="24" t="inlineStr">
        <is>
          <t>工业房产盈利模式</t>
        </is>
      </c>
      <c r="G49" s="52">
        <f>HYPERLINK("#码值映射清单!B6571","ProfitModel")</f>
        <v/>
      </c>
      <c r="H49" s="24" t="n"/>
      <c r="I49" s="24" t="inlineStr"/>
      <c r="J49" s="24" t="inlineStr">
        <is>
          <t>2023/01/12</t>
        </is>
      </c>
    </row>
    <row r="50">
      <c r="B50" s="24" t="inlineStr">
        <is>
          <t>clr_asset_realty</t>
        </is>
      </c>
      <c r="C50" s="24" t="inlineStr">
        <is>
          <t>INDEPENDENCE</t>
        </is>
      </c>
      <c r="D50" s="24" t="inlineStr">
        <is>
          <t>varchar(18)</t>
        </is>
      </c>
      <c r="E50" s="24" t="inlineStr">
        <is>
          <t>YES</t>
        </is>
      </c>
      <c r="F50" s="24" t="inlineStr">
        <is>
          <t>工业用房产独立性</t>
        </is>
      </c>
      <c r="G50" s="52">
        <f>HYPERLINK("#码值映射清单!B3397","IndustrialRealtyIndependence")</f>
        <v/>
      </c>
      <c r="H50" s="24" t="n"/>
      <c r="I50" s="24" t="inlineStr"/>
      <c r="J50" s="24" t="inlineStr">
        <is>
          <t>2023/01/12</t>
        </is>
      </c>
    </row>
    <row r="51">
      <c r="B51" s="24" t="inlineStr">
        <is>
          <t>clr_asset_realty</t>
        </is>
      </c>
      <c r="C51" s="24" t="inlineStr">
        <is>
          <t>ISSTANDARD</t>
        </is>
      </c>
      <c r="D51" s="24" t="inlineStr">
        <is>
          <t>char(1)</t>
        </is>
      </c>
      <c r="E51" s="24" t="inlineStr">
        <is>
          <t>YES</t>
        </is>
      </c>
      <c r="F51" s="24" t="inlineStr">
        <is>
          <t>是否满足所处行业厂房设计标准</t>
        </is>
      </c>
      <c r="G51" s="52">
        <f>HYPERLINK("#码值映射清单!B5150","YesNo")</f>
        <v/>
      </c>
      <c r="H51" s="24" t="n"/>
      <c r="I51" s="24" t="inlineStr"/>
      <c r="J51" s="24" t="inlineStr">
        <is>
          <t>2023/01/12</t>
        </is>
      </c>
    </row>
    <row r="52">
      <c r="B52" s="24" t="inlineStr">
        <is>
          <t>clr_asset_realty</t>
        </is>
      </c>
      <c r="C52" s="24" t="inlineStr">
        <is>
          <t>FOOTFALL</t>
        </is>
      </c>
      <c r="D52" s="24" t="inlineStr">
        <is>
          <t>int</t>
        </is>
      </c>
      <c r="E52" s="24" t="inlineStr">
        <is>
          <t>YES</t>
        </is>
      </c>
      <c r="F52" s="24" t="inlineStr">
        <is>
          <t>客流量;商办)</t>
        </is>
      </c>
      <c r="G52" s="24" t="n"/>
      <c r="H52" s="24" t="n"/>
      <c r="I52" s="24" t="inlineStr"/>
      <c r="J52" s="24" t="inlineStr">
        <is>
          <t>2023/01/12</t>
        </is>
      </c>
    </row>
    <row r="53">
      <c r="B53" s="24" t="inlineStr">
        <is>
          <t>clr_asset_realty</t>
        </is>
      </c>
      <c r="C53" s="24" t="inlineStr">
        <is>
          <t>YEARTAKING</t>
        </is>
      </c>
      <c r="D53" s="24" t="inlineStr">
        <is>
          <t>decimal(24,6)</t>
        </is>
      </c>
      <c r="E53" s="24" t="inlineStr">
        <is>
          <t>YES</t>
        </is>
      </c>
      <c r="F53" s="24" t="inlineStr">
        <is>
          <t>年营业收入;商办)/预计完工后房产价值</t>
        </is>
      </c>
      <c r="G53" s="24" t="n"/>
      <c r="H53" s="24" t="n"/>
      <c r="I53" s="24" t="inlineStr"/>
      <c r="J53" s="24" t="inlineStr">
        <is>
          <t>2023/01/12</t>
        </is>
      </c>
    </row>
    <row r="54">
      <c r="B54" s="24" t="inlineStr">
        <is>
          <t>clr_asset_realty</t>
        </is>
      </c>
      <c r="C54" s="24" t="inlineStr">
        <is>
          <t>FLOORHEIGHT</t>
        </is>
      </c>
      <c r="D54" s="24" t="inlineStr">
        <is>
          <t>varchar(6)</t>
        </is>
      </c>
      <c r="E54" s="24" t="inlineStr">
        <is>
          <t>YES</t>
        </is>
      </c>
      <c r="F54" s="24" t="inlineStr">
        <is>
          <t>层高;商办)</t>
        </is>
      </c>
      <c r="G54" s="52">
        <f>HYPERLINK("#码值映射清单!B896","FloorHeight")</f>
        <v/>
      </c>
      <c r="H54" s="24" t="n"/>
      <c r="I54" s="24" t="inlineStr"/>
      <c r="J54" s="24" t="inlineStr">
        <is>
          <t>2023/01/12</t>
        </is>
      </c>
    </row>
    <row r="55">
      <c r="B55" s="24" t="inlineStr">
        <is>
          <t>clr_asset_realty</t>
        </is>
      </c>
      <c r="C55" s="24" t="inlineStr">
        <is>
          <t>AVAILABLECARPORT</t>
        </is>
      </c>
      <c r="D55" s="24" t="inlineStr">
        <is>
          <t>int</t>
        </is>
      </c>
      <c r="E55" s="24" t="inlineStr">
        <is>
          <t>YES</t>
        </is>
      </c>
      <c r="F55" s="24" t="inlineStr">
        <is>
          <t>可用停车场车位数</t>
        </is>
      </c>
      <c r="G55" s="24" t="n"/>
      <c r="H55" s="24" t="n"/>
      <c r="I55" s="24" t="inlineStr"/>
      <c r="J55" s="24" t="inlineStr">
        <is>
          <t>2023/01/12</t>
        </is>
      </c>
    </row>
    <row r="56">
      <c r="B56" s="24" t="inlineStr">
        <is>
          <t>clr_asset_realty</t>
        </is>
      </c>
      <c r="C56" s="24" t="inlineStr">
        <is>
          <t>RENTAL</t>
        </is>
      </c>
      <c r="D56" s="24" t="inlineStr">
        <is>
          <t>decimal(24,6)</t>
        </is>
      </c>
      <c r="E56" s="24" t="inlineStr">
        <is>
          <t>YES</t>
        </is>
      </c>
      <c r="F56" s="43" t="inlineStr">
        <is>
          <t>月租金收入/工程预算值/在建工程预算值</t>
        </is>
      </c>
      <c r="G56" s="24" t="n"/>
      <c r="H56" s="24" t="n"/>
      <c r="I56" s="24" t="inlineStr"/>
      <c r="J56" s="24" t="inlineStr">
        <is>
          <t>2023/01/12</t>
        </is>
      </c>
    </row>
    <row r="57">
      <c r="B57" s="24" t="inlineStr">
        <is>
          <t>clr_asset_realty</t>
        </is>
      </c>
      <c r="C57" s="24" t="inlineStr">
        <is>
          <t>CURRENTVACANYRATE</t>
        </is>
      </c>
      <c r="D57" s="24" t="inlineStr">
        <is>
          <t>decimal(18,8)</t>
        </is>
      </c>
      <c r="E57" s="24" t="inlineStr">
        <is>
          <t>YES</t>
        </is>
      </c>
      <c r="F57" s="24" t="inlineStr">
        <is>
          <t>当前空置率</t>
        </is>
      </c>
      <c r="G57" s="24" t="n"/>
      <c r="H57" s="24" t="n"/>
      <c r="I57" s="24" t="inlineStr"/>
      <c r="J57" s="24" t="inlineStr">
        <is>
          <t>2023/01/12</t>
        </is>
      </c>
    </row>
    <row r="58">
      <c r="B58" s="24" t="inlineStr">
        <is>
          <t>clr_asset_realty</t>
        </is>
      </c>
      <c r="C58" s="24" t="inlineStr">
        <is>
          <t>REALTYHOLDER</t>
        </is>
      </c>
      <c r="D58" s="24" t="inlineStr">
        <is>
          <t>varchar(500)</t>
        </is>
      </c>
      <c r="E58" s="24" t="inlineStr">
        <is>
          <t>YES</t>
        </is>
      </c>
      <c r="F58" s="43" t="inlineStr">
        <is>
          <t>房产持有者/使用权所有人/房屋所有权人/宅基地使用权权利人名称</t>
        </is>
      </c>
      <c r="G58" s="24" t="n"/>
      <c r="H58" s="24" t="n"/>
      <c r="I58" s="24" t="inlineStr"/>
      <c r="J58" s="24" t="inlineStr">
        <is>
          <t>2023/01/12</t>
        </is>
      </c>
    </row>
    <row r="59">
      <c r="B59" s="24" t="inlineStr">
        <is>
          <t>clr_asset_realty</t>
        </is>
      </c>
      <c r="C59" s="24" t="inlineStr">
        <is>
          <t>CURRENTSTATUS</t>
        </is>
      </c>
      <c r="D59" s="24" t="inlineStr">
        <is>
          <t>varchar(6)</t>
        </is>
      </c>
      <c r="E59" s="24" t="inlineStr">
        <is>
          <t>YES</t>
        </is>
      </c>
      <c r="F59" s="24" t="inlineStr">
        <is>
          <t>房屋状态/土地现状</t>
        </is>
      </c>
      <c r="G59" s="52">
        <f>HYPERLINK("#码值映射清单!B428","GroundStatus")</f>
        <v/>
      </c>
      <c r="H59" s="24" t="n"/>
      <c r="I59" s="24" t="inlineStr"/>
      <c r="J59" s="24" t="inlineStr">
        <is>
          <t>2023/01/12</t>
        </is>
      </c>
    </row>
    <row r="60">
      <c r="B60" s="24" t="inlineStr">
        <is>
          <t>clr_asset_realty</t>
        </is>
      </c>
      <c r="C60" s="24" t="inlineStr">
        <is>
          <t>REALTYUNITPRICE</t>
        </is>
      </c>
      <c r="D60" s="24" t="inlineStr">
        <is>
          <t>decimal(24,6)</t>
        </is>
      </c>
      <c r="E60" s="24" t="inlineStr">
        <is>
          <t>YES</t>
        </is>
      </c>
      <c r="F60" s="24" t="inlineStr">
        <is>
          <t>房屋单价;元）</t>
        </is>
      </c>
      <c r="G60" s="24" t="n"/>
      <c r="H60" s="24" t="n"/>
      <c r="I60" s="24" t="inlineStr"/>
      <c r="J60" s="24" t="inlineStr">
        <is>
          <t>2023/01/12</t>
        </is>
      </c>
    </row>
    <row r="61">
      <c r="B61" s="24" t="inlineStr">
        <is>
          <t>clr_asset_realty</t>
        </is>
      </c>
      <c r="C61" s="24" t="inlineStr">
        <is>
          <t>FITMENTLEVEL</t>
        </is>
      </c>
      <c r="D61" s="24" t="inlineStr">
        <is>
          <t>varchar(6)</t>
        </is>
      </c>
      <c r="E61" s="24" t="inlineStr">
        <is>
          <t>YES</t>
        </is>
      </c>
      <c r="F61" s="24" t="inlineStr">
        <is>
          <t>装修程度</t>
        </is>
      </c>
      <c r="G61" s="61">
        <f>HYPERLINK("#码值映射清单!B5368","FitmentLevel")</f>
        <v/>
      </c>
      <c r="H61" s="24" t="n"/>
      <c r="I61" s="24" t="inlineStr"/>
      <c r="J61" s="24" t="inlineStr">
        <is>
          <t>2023/01/12</t>
        </is>
      </c>
    </row>
    <row r="62">
      <c r="B62" s="24" t="inlineStr">
        <is>
          <t>clr_asset_realty</t>
        </is>
      </c>
      <c r="C62" s="24" t="inlineStr">
        <is>
          <t>FITMENTDETAIL</t>
        </is>
      </c>
      <c r="D62" s="24" t="inlineStr">
        <is>
          <t>varchar(500)</t>
        </is>
      </c>
      <c r="E62" s="24" t="inlineStr">
        <is>
          <t>YES</t>
        </is>
      </c>
      <c r="F62" s="24" t="inlineStr">
        <is>
          <t>装修情况</t>
        </is>
      </c>
      <c r="G62" s="24" t="n"/>
      <c r="H62" s="24" t="n"/>
      <c r="I62" s="24" t="inlineStr"/>
      <c r="J62" s="24" t="inlineStr">
        <is>
          <t>2023/01/12</t>
        </is>
      </c>
    </row>
    <row r="63">
      <c r="B63" s="24" t="inlineStr">
        <is>
          <t>clr_asset_realty</t>
        </is>
      </c>
      <c r="C63" s="24" t="inlineStr">
        <is>
          <t>REFPRICE</t>
        </is>
      </c>
      <c r="D63" s="24" t="inlineStr">
        <is>
          <t>decimal(24,6)</t>
        </is>
      </c>
      <c r="E63" s="24" t="inlineStr">
        <is>
          <t>YES</t>
        </is>
      </c>
      <c r="F63" s="24" t="inlineStr">
        <is>
          <t>同类房产参考价格/已投入工程款</t>
        </is>
      </c>
      <c r="G63" s="24" t="n"/>
      <c r="H63" s="24" t="n"/>
      <c r="I63" s="24" t="inlineStr"/>
      <c r="J63" s="24" t="inlineStr">
        <is>
          <t>2023/01/12</t>
        </is>
      </c>
    </row>
    <row r="64">
      <c r="B64" s="24" t="inlineStr">
        <is>
          <t>clr_asset_realty</t>
        </is>
      </c>
      <c r="C64" s="24" t="inlineStr">
        <is>
          <t>REFPRICECASETIME</t>
        </is>
      </c>
      <c r="D64" s="24" t="inlineStr">
        <is>
          <t>datetime</t>
        </is>
      </c>
      <c r="E64" s="24" t="inlineStr">
        <is>
          <t>YES</t>
        </is>
      </c>
      <c r="F64" s="24" t="inlineStr">
        <is>
          <t>房产参考价格基准时间</t>
        </is>
      </c>
      <c r="G64" s="24" t="n"/>
      <c r="H64" s="24" t="n"/>
      <c r="I64" s="24" t="inlineStr"/>
      <c r="J64" s="24" t="inlineStr">
        <is>
          <t>2023/01/12</t>
        </is>
      </c>
    </row>
    <row r="65">
      <c r="B65" s="24" t="inlineStr">
        <is>
          <t>clr_asset_realty</t>
        </is>
      </c>
      <c r="C65" s="24" t="inlineStr">
        <is>
          <t>REFPRICEINFOSOURCE</t>
        </is>
      </c>
      <c r="D65" s="24" t="inlineStr">
        <is>
          <t>varchar(80)</t>
        </is>
      </c>
      <c r="E65" s="24" t="inlineStr">
        <is>
          <t>YES</t>
        </is>
      </c>
      <c r="F65" s="24" t="inlineStr">
        <is>
          <t>房产参考价格信息来源</t>
        </is>
      </c>
      <c r="G65" s="24" t="n"/>
      <c r="H65" s="24" t="n"/>
      <c r="I65" s="24" t="inlineStr"/>
      <c r="J65" s="24" t="inlineStr">
        <is>
          <t>2023/01/12</t>
        </is>
      </c>
    </row>
    <row r="66">
      <c r="B66" s="24" t="inlineStr">
        <is>
          <t>clr_asset_realty</t>
        </is>
      </c>
      <c r="C66" s="24" t="inlineStr">
        <is>
          <t>STRUCTURETYPE</t>
        </is>
      </c>
      <c r="D66" s="24" t="inlineStr">
        <is>
          <t>varchar(6)</t>
        </is>
      </c>
      <c r="E66" s="24" t="inlineStr">
        <is>
          <t>YES</t>
        </is>
      </c>
      <c r="F66" s="24" t="inlineStr">
        <is>
          <t>建筑形式/建设用地使用权类型</t>
        </is>
      </c>
      <c r="G66" s="52">
        <f>HYPERLINK("#码值映射清单!B6885","StructureType")</f>
        <v/>
      </c>
      <c r="H66" s="24" t="n"/>
      <c r="I66" s="24" t="inlineStr"/>
      <c r="J66" s="24" t="inlineStr">
        <is>
          <t>2023/01/12</t>
        </is>
      </c>
    </row>
    <row r="67">
      <c r="B67" s="24" t="inlineStr">
        <is>
          <t>clr_asset_realty</t>
        </is>
      </c>
      <c r="C67" s="24" t="inlineStr">
        <is>
          <t>PLANELAYOUT</t>
        </is>
      </c>
      <c r="D67" s="24" t="inlineStr">
        <is>
          <t>varchar(6)</t>
        </is>
      </c>
      <c r="E67" s="24" t="inlineStr">
        <is>
          <t>YES</t>
        </is>
      </c>
      <c r="F67" s="24" t="inlineStr">
        <is>
          <t>平面布置</t>
        </is>
      </c>
      <c r="G67" s="62">
        <f>HYPERLINK("#码值映射清单!B10098","PlaneLayout")</f>
        <v/>
      </c>
      <c r="H67" s="24" t="n"/>
      <c r="I67" s="24" t="inlineStr"/>
      <c r="J67" s="24" t="inlineStr">
        <is>
          <t>2023/01/12</t>
        </is>
      </c>
    </row>
    <row r="68">
      <c r="B68" s="24" t="inlineStr">
        <is>
          <t>clr_asset_realty</t>
        </is>
      </c>
      <c r="C68" s="24" t="inlineStr">
        <is>
          <t>TOTALFLOOR</t>
        </is>
      </c>
      <c r="D68" s="24" t="inlineStr">
        <is>
          <t>int</t>
        </is>
      </c>
      <c r="E68" s="24" t="inlineStr">
        <is>
          <t>YES</t>
        </is>
      </c>
      <c r="F68" s="24" t="inlineStr">
        <is>
          <t>总层数</t>
        </is>
      </c>
      <c r="G68" s="24" t="n"/>
      <c r="H68" s="24" t="n"/>
      <c r="I68" s="24" t="inlineStr"/>
      <c r="J68" s="24" t="inlineStr">
        <is>
          <t>2023/01/12</t>
        </is>
      </c>
    </row>
    <row r="69">
      <c r="B69" s="24" t="inlineStr">
        <is>
          <t>clr_asset_realty</t>
        </is>
      </c>
      <c r="C69" s="24" t="inlineStr">
        <is>
          <t>REASONABLEDURATION</t>
        </is>
      </c>
      <c r="D69" s="24" t="inlineStr">
        <is>
          <t>int</t>
        </is>
      </c>
      <c r="E69" s="24" t="inlineStr">
        <is>
          <t>YES</t>
        </is>
      </c>
      <c r="F69" s="24" t="inlineStr">
        <is>
          <t>合理工期;年）</t>
        </is>
      </c>
      <c r="G69" s="24" t="n"/>
      <c r="H69" s="24" t="n"/>
      <c r="I69" s="24" t="inlineStr"/>
      <c r="J69" s="24" t="inlineStr">
        <is>
          <t>2023/01/12</t>
        </is>
      </c>
    </row>
    <row r="70">
      <c r="B70" s="24" t="inlineStr">
        <is>
          <t>clr_asset_realty</t>
        </is>
      </c>
      <c r="C70" s="24" t="inlineStr">
        <is>
          <t>USERDETAIL</t>
        </is>
      </c>
      <c r="D70" s="24" t="inlineStr">
        <is>
          <t>varchar(18)</t>
        </is>
      </c>
      <c r="E70" s="24" t="inlineStr">
        <is>
          <t>YES</t>
        </is>
      </c>
      <c r="F70" s="24" t="inlineStr">
        <is>
          <t>使用情况</t>
        </is>
      </c>
      <c r="G70" s="62">
        <f>HYPERLINK("#码值映射清单!B10102","UserStatus")</f>
        <v/>
      </c>
      <c r="H70" s="24" t="n"/>
      <c r="I70" s="24" t="inlineStr"/>
      <c r="J70" s="24" t="inlineStr">
        <is>
          <t>2023/01/12</t>
        </is>
      </c>
    </row>
    <row r="71">
      <c r="B71" s="24" t="inlineStr">
        <is>
          <t>clr_asset_realty</t>
        </is>
      </c>
      <c r="C71" s="24" t="inlineStr">
        <is>
          <t>PARKCONDITION</t>
        </is>
      </c>
      <c r="D71" s="24" t="inlineStr">
        <is>
          <t>varchar(6)</t>
        </is>
      </c>
      <c r="E71" s="24" t="inlineStr">
        <is>
          <t>YES</t>
        </is>
      </c>
      <c r="F71" s="24" t="inlineStr">
        <is>
          <t>泊车条件</t>
        </is>
      </c>
      <c r="G71" s="52">
        <f>HYPERLINK("#码值映射清单!B9904","ParkCondition")</f>
        <v/>
      </c>
      <c r="H71" s="24" t="n"/>
      <c r="I71" s="24" t="inlineStr"/>
      <c r="J71" s="24" t="inlineStr">
        <is>
          <t>2023/01/12</t>
        </is>
      </c>
    </row>
    <row r="72">
      <c r="B72" s="24" t="inlineStr">
        <is>
          <t>clr_asset_realty</t>
        </is>
      </c>
      <c r="C72" s="24" t="inlineStr">
        <is>
          <t>FRONTAGE</t>
        </is>
      </c>
      <c r="D72" s="24" t="inlineStr">
        <is>
          <t>varchar(6)</t>
        </is>
      </c>
      <c r="E72" s="24" t="inlineStr">
        <is>
          <t>YES</t>
        </is>
      </c>
      <c r="F72" s="24" t="inlineStr">
        <is>
          <t>居住/商办用房产临街情况</t>
        </is>
      </c>
      <c r="G72" s="52">
        <f>HYPERLINK("#码值映射清单!B4429","Frontage")</f>
        <v/>
      </c>
      <c r="H72" s="24" t="n"/>
      <c r="I72" s="24" t="inlineStr"/>
      <c r="J72" s="24" t="inlineStr">
        <is>
          <t>2023/01/12</t>
        </is>
      </c>
    </row>
    <row r="73">
      <c r="B73" s="24" t="inlineStr">
        <is>
          <t>clr_asset_realty</t>
        </is>
      </c>
      <c r="C73" s="24" t="inlineStr">
        <is>
          <t>NEARBYCONDITION</t>
        </is>
      </c>
      <c r="D73" s="24" t="inlineStr">
        <is>
          <t>varchar(500)</t>
        </is>
      </c>
      <c r="E73" s="24" t="inlineStr">
        <is>
          <t>YES</t>
        </is>
      </c>
      <c r="F73" s="24" t="inlineStr">
        <is>
          <t>居住/商办用房产附近的大型厂房或潜在环境污染源</t>
        </is>
      </c>
      <c r="G73" s="24" t="n"/>
      <c r="H73" s="24" t="n"/>
      <c r="I73" s="24" t="inlineStr"/>
      <c r="J73" s="24" t="inlineStr">
        <is>
          <t>2023/01/12</t>
        </is>
      </c>
    </row>
    <row r="74">
      <c r="B74" s="24" t="inlineStr">
        <is>
          <t>clr_asset_realty</t>
        </is>
      </c>
      <c r="C74" s="24" t="inlineStr">
        <is>
          <t>TAXPAY</t>
        </is>
      </c>
      <c r="D74" s="24" t="inlineStr">
        <is>
          <t>varchar(500)</t>
        </is>
      </c>
      <c r="E74" s="24" t="inlineStr">
        <is>
          <t>YES</t>
        </is>
      </c>
      <c r="F74" s="24" t="inlineStr">
        <is>
          <t>纳税情况</t>
        </is>
      </c>
      <c r="G74" s="24" t="n"/>
      <c r="H74" s="24" t="n"/>
      <c r="I74" s="24" t="inlineStr"/>
      <c r="J74" s="24" t="inlineStr">
        <is>
          <t>2023/01/12</t>
        </is>
      </c>
    </row>
    <row r="75">
      <c r="B75" s="24" t="inlineStr">
        <is>
          <t>clr_asset_realty</t>
        </is>
      </c>
      <c r="C75" s="24" t="inlineStr">
        <is>
          <t>RENTING</t>
        </is>
      </c>
      <c r="D75" s="24" t="inlineStr">
        <is>
          <t>varchar(500)</t>
        </is>
      </c>
      <c r="E75" s="24" t="inlineStr">
        <is>
          <t>YES</t>
        </is>
      </c>
      <c r="F75" s="24" t="inlineStr">
        <is>
          <t>租赁情况综述</t>
        </is>
      </c>
      <c r="G75" s="24" t="n"/>
      <c r="H75" s="24" t="n"/>
      <c r="I75" s="24" t="inlineStr"/>
      <c r="J75" s="24" t="inlineStr">
        <is>
          <t>2023/01/12</t>
        </is>
      </c>
    </row>
    <row r="76">
      <c r="B76" s="24" t="inlineStr">
        <is>
          <t>clr_asset_realty</t>
        </is>
      </c>
      <c r="C76" s="24" t="inlineStr">
        <is>
          <t>PARCELTERRAIN</t>
        </is>
      </c>
      <c r="D76" s="24" t="inlineStr">
        <is>
          <t>varchar(500)</t>
        </is>
      </c>
      <c r="E76" s="24" t="inlineStr">
        <is>
          <t>YES</t>
        </is>
      </c>
      <c r="F76" s="24" t="inlineStr">
        <is>
          <t>宗地地形</t>
        </is>
      </c>
      <c r="G76" s="24" t="n"/>
      <c r="H76" s="24" t="n"/>
      <c r="I76" s="24" t="inlineStr"/>
      <c r="J76" s="24" t="inlineStr">
        <is>
          <t>2023/01/12</t>
        </is>
      </c>
    </row>
    <row r="77">
      <c r="B77" s="24" t="inlineStr">
        <is>
          <t>clr_asset_realty</t>
        </is>
      </c>
      <c r="C77" s="24" t="inlineStr">
        <is>
          <t>LANDATT</t>
        </is>
      </c>
      <c r="D77" s="24" t="inlineStr">
        <is>
          <t>varchar(200)</t>
        </is>
      </c>
      <c r="E77" s="24" t="inlineStr">
        <is>
          <t>YES</t>
        </is>
      </c>
      <c r="F77" s="24" t="inlineStr">
        <is>
          <t>地上附着物情况</t>
        </is>
      </c>
      <c r="G77" s="24" t="n"/>
      <c r="H77" s="24" t="n"/>
      <c r="I77" s="24" t="inlineStr"/>
      <c r="J77" s="24" t="inlineStr">
        <is>
          <t>2023/01/12</t>
        </is>
      </c>
    </row>
    <row r="78">
      <c r="B78" s="24" t="inlineStr">
        <is>
          <t>clr_asset_realty</t>
        </is>
      </c>
      <c r="C78" s="24" t="inlineStr">
        <is>
          <t>TERRAINGRADIENT</t>
        </is>
      </c>
      <c r="D78" s="24" t="inlineStr">
        <is>
          <t>decimal(18,8)</t>
        </is>
      </c>
      <c r="E78" s="24" t="inlineStr">
        <is>
          <t>YES</t>
        </is>
      </c>
      <c r="F78" s="24" t="inlineStr">
        <is>
          <t>地形坡度</t>
        </is>
      </c>
      <c r="G78" s="24" t="n"/>
      <c r="H78" s="24" t="n"/>
      <c r="I78" s="24" t="inlineStr"/>
      <c r="J78" s="24" t="inlineStr">
        <is>
          <t>2023/01/12</t>
        </is>
      </c>
    </row>
    <row r="79">
      <c r="B79" s="24" t="inlineStr">
        <is>
          <t>clr_asset_realty</t>
        </is>
      </c>
      <c r="C79" s="24" t="inlineStr">
        <is>
          <t>GEOLOGICALCONDITION</t>
        </is>
      </c>
      <c r="D79" s="24" t="inlineStr">
        <is>
          <t>varchar(500)</t>
        </is>
      </c>
      <c r="E79" s="24" t="inlineStr">
        <is>
          <t>YES</t>
        </is>
      </c>
      <c r="F79" s="24" t="inlineStr">
        <is>
          <t>地质条件</t>
        </is>
      </c>
      <c r="G79" s="24" t="n"/>
      <c r="H79" s="24" t="n"/>
      <c r="I79" s="24" t="inlineStr"/>
      <c r="J79" s="24" t="inlineStr">
        <is>
          <t>2023/01/12</t>
        </is>
      </c>
    </row>
    <row r="80">
      <c r="B80" s="24" t="inlineStr">
        <is>
          <t>clr_asset_realty</t>
        </is>
      </c>
      <c r="C80" s="24" t="inlineStr">
        <is>
          <t>RECEIVINGBANK</t>
        </is>
      </c>
      <c r="D80" s="24" t="inlineStr">
        <is>
          <t>varchar(80)</t>
        </is>
      </c>
      <c r="E80" s="24" t="inlineStr">
        <is>
          <t>YES</t>
        </is>
      </c>
      <c r="F80" s="24" t="inlineStr">
        <is>
          <t>销售回款账户所在银行</t>
        </is>
      </c>
      <c r="G80" s="24" t="n"/>
      <c r="H80" s="24" t="n"/>
      <c r="I80" s="24" t="inlineStr"/>
      <c r="J80" s="24" t="inlineStr">
        <is>
          <t>2023/01/12</t>
        </is>
      </c>
    </row>
    <row r="81">
      <c r="B81" s="24" t="inlineStr">
        <is>
          <t>clr_asset_realty</t>
        </is>
      </c>
      <c r="C81" s="24" t="inlineStr">
        <is>
          <t>PROJECTPLAN</t>
        </is>
      </c>
      <c r="D81" s="24" t="inlineStr">
        <is>
          <t>varchar(500)</t>
        </is>
      </c>
      <c r="E81" s="24" t="inlineStr">
        <is>
          <t>YES</t>
        </is>
      </c>
      <c r="F81" s="24" t="inlineStr">
        <is>
          <t>房产工程进度估计</t>
        </is>
      </c>
      <c r="G81" s="24" t="n"/>
      <c r="H81" s="24" t="n"/>
      <c r="I81" s="24" t="inlineStr"/>
      <c r="J81" s="24" t="inlineStr">
        <is>
          <t>2023/01/12</t>
        </is>
      </c>
    </row>
    <row r="82">
      <c r="B82" s="24" t="inlineStr">
        <is>
          <t>clr_asset_realty</t>
        </is>
      </c>
      <c r="C82" s="24" t="inlineStr">
        <is>
          <t>UNFINISHEDPOSSIBILITY</t>
        </is>
      </c>
      <c r="D82" s="24" t="inlineStr">
        <is>
          <t>varchar(500)</t>
        </is>
      </c>
      <c r="E82" s="24" t="inlineStr">
        <is>
          <t>YES</t>
        </is>
      </c>
      <c r="F82" s="24" t="inlineStr">
        <is>
          <t>房产工程烂尾可能性估计</t>
        </is>
      </c>
      <c r="G82" s="24" t="n"/>
      <c r="H82" s="24" t="n"/>
      <c r="I82" s="24" t="inlineStr"/>
      <c r="J82" s="24" t="inlineStr">
        <is>
          <t>2023/01/12</t>
        </is>
      </c>
    </row>
    <row r="83">
      <c r="B83" s="24" t="inlineStr">
        <is>
          <t>clr_asset_realty</t>
        </is>
      </c>
      <c r="C83" s="24" t="inlineStr">
        <is>
          <t>PLANDEVLEVEL</t>
        </is>
      </c>
      <c r="D83" s="24" t="inlineStr">
        <is>
          <t>varchar(500)</t>
        </is>
      </c>
      <c r="E83" s="24" t="inlineStr">
        <is>
          <t>YES</t>
        </is>
      </c>
      <c r="F83" s="24" t="inlineStr">
        <is>
          <t>预计开发程度</t>
        </is>
      </c>
      <c r="G83" s="24" t="n"/>
      <c r="H83" s="24" t="n"/>
      <c r="I83" s="24" t="inlineStr"/>
      <c r="J83" s="24" t="inlineStr">
        <is>
          <t>2023/01/12</t>
        </is>
      </c>
    </row>
    <row r="84">
      <c r="B84" s="24" t="inlineStr">
        <is>
          <t>clr_asset_realty</t>
        </is>
      </c>
      <c r="C84" s="24" t="inlineStr">
        <is>
          <t>LANDTRANSFEES</t>
        </is>
      </c>
      <c r="D84" s="24" t="inlineStr">
        <is>
          <t>decimal(24,6)</t>
        </is>
      </c>
      <c r="E84" s="24" t="inlineStr">
        <is>
          <t>YES</t>
        </is>
      </c>
      <c r="F84" s="43" t="inlineStr">
        <is>
          <t>土地出让金已缴纳金额</t>
        </is>
      </c>
      <c r="G84" s="24" t="n"/>
      <c r="H84" s="24" t="n"/>
      <c r="I84" s="24" t="inlineStr"/>
      <c r="J84" s="24" t="inlineStr">
        <is>
          <t>2023/01/12</t>
        </is>
      </c>
    </row>
    <row r="85">
      <c r="B85" s="24" t="inlineStr">
        <is>
          <t>clr_asset_realty</t>
        </is>
      </c>
      <c r="C85" s="24" t="inlineStr">
        <is>
          <t>PROJECTTYPE</t>
        </is>
      </c>
      <c r="D85" s="24" t="inlineStr">
        <is>
          <t>varchar(6)</t>
        </is>
      </c>
      <c r="E85" s="24" t="inlineStr">
        <is>
          <t>YES</t>
        </is>
      </c>
      <c r="F85" s="24" t="inlineStr">
        <is>
          <t>在建工程类型</t>
        </is>
      </c>
      <c r="G85" s="52">
        <f>HYPERLINK("#码值映射清单!B1530","RealtyProjectType")</f>
        <v/>
      </c>
      <c r="H85" s="24" t="n"/>
      <c r="I85" s="24" t="inlineStr"/>
      <c r="J85" s="24" t="inlineStr">
        <is>
          <t>2023/01/12</t>
        </is>
      </c>
    </row>
    <row r="86">
      <c r="B86" s="24" t="inlineStr">
        <is>
          <t>clr_asset_realty</t>
        </is>
      </c>
      <c r="C86" s="24" t="inlineStr">
        <is>
          <t>LANDTRANSFEESSTATUS</t>
        </is>
      </c>
      <c r="D86" s="24" t="inlineStr">
        <is>
          <t>varchar(18)</t>
        </is>
      </c>
      <c r="E86" s="24" t="inlineStr">
        <is>
          <t>YES</t>
        </is>
      </c>
      <c r="F86" s="24" t="inlineStr">
        <is>
          <t>在建类房产所属土地出让金缴纳状态</t>
        </is>
      </c>
      <c r="G86" s="52">
        <f>HYPERLINK("#码值映射清单!B6121","LandTransFeesStatus")</f>
        <v/>
      </c>
      <c r="H86" s="24" t="n"/>
      <c r="I86" s="24" t="inlineStr"/>
      <c r="J86" s="24" t="inlineStr">
        <is>
          <t>2023/01/12</t>
        </is>
      </c>
    </row>
    <row r="87">
      <c r="B87" s="24" t="inlineStr">
        <is>
          <t>clr_asset_realty</t>
        </is>
      </c>
      <c r="C87" s="24" t="inlineStr">
        <is>
          <t>BUILDINGPLANNINGNUMBER</t>
        </is>
      </c>
      <c r="D87" s="24" t="inlineStr">
        <is>
          <t>varchar(32)</t>
        </is>
      </c>
      <c r="E87" s="24" t="inlineStr">
        <is>
          <t>YES</t>
        </is>
      </c>
      <c r="F87" s="43" t="inlineStr">
        <is>
          <t>建设工程施工许可证编号</t>
        </is>
      </c>
      <c r="G87" s="24" t="n"/>
      <c r="H87" s="24" t="n"/>
      <c r="I87" s="24" t="inlineStr"/>
      <c r="J87" s="24" t="inlineStr">
        <is>
          <t>2023/01/12</t>
        </is>
      </c>
    </row>
    <row r="88">
      <c r="B88" s="24" t="inlineStr">
        <is>
          <t>clr_asset_realty</t>
        </is>
      </c>
      <c r="C88" s="24" t="inlineStr">
        <is>
          <t>LANDPLANNINGNUMBER</t>
        </is>
      </c>
      <c r="D88" s="24" t="inlineStr">
        <is>
          <t>varchar(32)</t>
        </is>
      </c>
      <c r="E88" s="24" t="inlineStr">
        <is>
          <t>YES</t>
        </is>
      </c>
      <c r="F88" s="24" t="inlineStr">
        <is>
          <t>建设用地规划许可证编号</t>
        </is>
      </c>
      <c r="G88" s="24" t="n"/>
      <c r="H88" s="24" t="n"/>
      <c r="I88" s="24" t="inlineStr"/>
      <c r="J88" s="24" t="inlineStr">
        <is>
          <t>2023/01/12</t>
        </is>
      </c>
    </row>
    <row r="89">
      <c r="B89" s="24" t="inlineStr">
        <is>
          <t>clr_asset_realty</t>
        </is>
      </c>
      <c r="C89" s="24" t="inlineStr">
        <is>
          <t>CONSTRUCTIONPLANNINGNUMBER</t>
        </is>
      </c>
      <c r="D89" s="24" t="inlineStr">
        <is>
          <t>varchar(32)</t>
        </is>
      </c>
      <c r="E89" s="24" t="inlineStr">
        <is>
          <t>YES</t>
        </is>
      </c>
      <c r="F89" s="24" t="inlineStr">
        <is>
          <t>建筑工程规划许可证编号</t>
        </is>
      </c>
      <c r="G89" s="24" t="n"/>
      <c r="H89" s="24" t="n"/>
      <c r="I89" s="24" t="inlineStr"/>
      <c r="J89" s="24" t="inlineStr">
        <is>
          <t>2023/01/12</t>
        </is>
      </c>
    </row>
    <row r="90">
      <c r="B90" s="24" t="inlineStr">
        <is>
          <t>clr_asset_realty</t>
        </is>
      </c>
      <c r="C90" s="24" t="inlineStr">
        <is>
          <t>REALTYDETAIL</t>
        </is>
      </c>
      <c r="D90" s="24" t="inlineStr">
        <is>
          <t>varchar(500)</t>
        </is>
      </c>
      <c r="E90" s="24" t="inlineStr">
        <is>
          <t>YES</t>
        </is>
      </c>
      <c r="F90" s="24" t="inlineStr">
        <is>
          <t>房屋状况</t>
        </is>
      </c>
      <c r="G90" s="24" t="n"/>
      <c r="H90" s="24" t="n"/>
      <c r="I90" s="24" t="inlineStr"/>
      <c r="J90" s="24" t="inlineStr">
        <is>
          <t>2023/01/12</t>
        </is>
      </c>
    </row>
    <row r="91">
      <c r="B91" s="24" t="inlineStr">
        <is>
          <t>clr_asset_realty</t>
        </is>
      </c>
      <c r="C91" s="24" t="inlineStr">
        <is>
          <t>LOANPURPOSE</t>
        </is>
      </c>
      <c r="D91" s="24" t="inlineStr">
        <is>
          <t>varchar(500)</t>
        </is>
      </c>
      <c r="E91" s="24" t="inlineStr">
        <is>
          <t>YES</t>
        </is>
      </c>
      <c r="F91" s="24" t="inlineStr">
        <is>
          <t>工业用房产申请贷款用途/在建类房产贷款用途</t>
        </is>
      </c>
      <c r="G91" s="24" t="n"/>
      <c r="H91" s="24" t="n"/>
      <c r="I91" s="24" t="inlineStr"/>
      <c r="J91" s="24" t="inlineStr">
        <is>
          <t>2023/01/12</t>
        </is>
      </c>
    </row>
    <row r="92">
      <c r="B92" s="24" t="inlineStr">
        <is>
          <t>clr_asset_realty</t>
        </is>
      </c>
      <c r="C92" s="24" t="inlineStr">
        <is>
          <t>RRSFLAG13</t>
        </is>
      </c>
      <c r="D92" s="24" t="inlineStr">
        <is>
          <t>char(1)</t>
        </is>
      </c>
      <c r="E92" s="24" t="inlineStr">
        <is>
          <t>YES</t>
        </is>
      </c>
      <c r="F92" s="24" t="inlineStr">
        <is>
          <t>是否已提交国有资产管理部门或上级主管部门同意办理抵押的批准文件</t>
        </is>
      </c>
      <c r="G92" s="52">
        <f>HYPERLINK("#码值映射清单!B5150","YesNo")</f>
        <v/>
      </c>
      <c r="H92" s="24" t="n"/>
      <c r="I92" s="24" t="inlineStr"/>
      <c r="J92" s="24" t="inlineStr">
        <is>
          <t>2023/01/12</t>
        </is>
      </c>
    </row>
    <row r="93">
      <c r="B93" s="24" t="inlineStr">
        <is>
          <t>clr_asset_realty</t>
        </is>
      </c>
      <c r="C93" s="24" t="inlineStr">
        <is>
          <t>RRSFLAG14</t>
        </is>
      </c>
      <c r="D93" s="24" t="inlineStr">
        <is>
          <t>char(1)</t>
        </is>
      </c>
      <c r="E93" s="24" t="inlineStr">
        <is>
          <t>YES</t>
        </is>
      </c>
      <c r="F93" s="24" t="inlineStr">
        <is>
          <t>是否已提交地价评估及确认报告</t>
        </is>
      </c>
      <c r="G93" s="52">
        <f>HYPERLINK("#码值映射清单!B5150","YesNo")</f>
        <v/>
      </c>
      <c r="H93" s="24" t="n"/>
      <c r="I93" s="24" t="inlineStr"/>
      <c r="J93" s="24" t="inlineStr">
        <is>
          <t>2023/01/12</t>
        </is>
      </c>
    </row>
    <row r="94">
      <c r="B94" s="24" t="inlineStr">
        <is>
          <t>clr_asset_realty</t>
        </is>
      </c>
      <c r="C94" s="24" t="inlineStr">
        <is>
          <t>RRSFLAG15</t>
        </is>
      </c>
      <c r="D94" s="24" t="inlineStr">
        <is>
          <t>char(1)</t>
        </is>
      </c>
      <c r="E94" s="24" t="inlineStr">
        <is>
          <t>YES</t>
        </is>
      </c>
      <c r="F94" s="24" t="inlineStr">
        <is>
          <t>是否已提交同意抵押的职代会决议文件</t>
        </is>
      </c>
      <c r="G94" s="52">
        <f>HYPERLINK("#码值映射清单!B5150","YesNo")</f>
        <v/>
      </c>
      <c r="H94" s="24" t="n"/>
      <c r="I94" s="24" t="inlineStr"/>
      <c r="J94" s="24" t="inlineStr">
        <is>
          <t>2023/01/12</t>
        </is>
      </c>
    </row>
    <row r="95">
      <c r="B95" s="24" t="inlineStr">
        <is>
          <t>clr_asset_realty</t>
        </is>
      </c>
      <c r="C95" s="24" t="inlineStr">
        <is>
          <t>RRSFLAG16</t>
        </is>
      </c>
      <c r="D95" s="24" t="inlineStr">
        <is>
          <t>char(1)</t>
        </is>
      </c>
      <c r="E95" s="24" t="inlineStr">
        <is>
          <t>YES</t>
        </is>
      </c>
      <c r="F95" s="24" t="inlineStr">
        <is>
          <t>是否已提交在建类房产相关的土地使用权出让合同</t>
        </is>
      </c>
      <c r="G95" s="52">
        <f>HYPERLINK("#码值映射清单!B5150","YesNo")</f>
        <v/>
      </c>
      <c r="H95" s="24" t="n"/>
      <c r="I95" s="24" t="inlineStr"/>
      <c r="J95" s="24" t="inlineStr">
        <is>
          <t>2023/01/12</t>
        </is>
      </c>
    </row>
    <row r="96">
      <c r="B96" s="24" t="inlineStr">
        <is>
          <t>clr_asset_realty</t>
        </is>
      </c>
      <c r="C96" s="24" t="inlineStr">
        <is>
          <t>RRSFLAG17</t>
        </is>
      </c>
      <c r="D96" s="24" t="inlineStr">
        <is>
          <t>char(1)</t>
        </is>
      </c>
      <c r="E96" s="24" t="inlineStr">
        <is>
          <t>YES</t>
        </is>
      </c>
      <c r="F96" s="24" t="inlineStr">
        <is>
          <t>是否已提交建设工程规划许可证</t>
        </is>
      </c>
      <c r="G96" s="52">
        <f>HYPERLINK("#码值映射清单!B5150","YesNo")</f>
        <v/>
      </c>
      <c r="H96" s="24" t="n"/>
      <c r="I96" s="24" t="inlineStr"/>
      <c r="J96" s="24" t="inlineStr">
        <is>
          <t>2023/01/12</t>
        </is>
      </c>
    </row>
    <row r="97">
      <c r="B97" s="24" t="inlineStr">
        <is>
          <t>clr_asset_realty</t>
        </is>
      </c>
      <c r="C97" s="24" t="inlineStr">
        <is>
          <t>RRSFLAG18</t>
        </is>
      </c>
      <c r="D97" s="24" t="inlineStr">
        <is>
          <t>char(1)</t>
        </is>
      </c>
      <c r="E97" s="24" t="inlineStr">
        <is>
          <t>YES</t>
        </is>
      </c>
      <c r="F97" s="24" t="inlineStr">
        <is>
          <t>是否已提交建筑工程施工许可证</t>
        </is>
      </c>
      <c r="G97" s="52">
        <f>HYPERLINK("#码值映射清单!B5150","YesNo")</f>
        <v/>
      </c>
      <c r="H97" s="24" t="n"/>
      <c r="I97" s="24" t="inlineStr"/>
      <c r="J97" s="24" t="inlineStr">
        <is>
          <t>2023/01/12</t>
        </is>
      </c>
    </row>
    <row r="98">
      <c r="B98" s="24" t="inlineStr">
        <is>
          <t>clr_asset_realty</t>
        </is>
      </c>
      <c r="C98" s="24" t="inlineStr">
        <is>
          <t>RRSFLAG19</t>
        </is>
      </c>
      <c r="D98" s="24" t="inlineStr">
        <is>
          <t>char(1)</t>
        </is>
      </c>
      <c r="E98" s="24" t="inlineStr">
        <is>
          <t>YES</t>
        </is>
      </c>
      <c r="F98" s="24" t="inlineStr">
        <is>
          <t>是否已提交建设用地批准书</t>
        </is>
      </c>
      <c r="G98" s="52">
        <f>HYPERLINK("#码值映射清单!B5150","YesNo")</f>
        <v/>
      </c>
      <c r="H98" s="24" t="n"/>
      <c r="I98" s="24" t="inlineStr"/>
      <c r="J98" s="24" t="inlineStr">
        <is>
          <t>2023/01/12</t>
        </is>
      </c>
    </row>
    <row r="99">
      <c r="B99" s="24" t="inlineStr">
        <is>
          <t>clr_asset_realty</t>
        </is>
      </c>
      <c r="C99" s="24" t="inlineStr">
        <is>
          <t>RRSFLAG20</t>
        </is>
      </c>
      <c r="D99" s="24" t="inlineStr">
        <is>
          <t>char(1)</t>
        </is>
      </c>
      <c r="E99" s="24" t="inlineStr">
        <is>
          <t>YES</t>
        </is>
      </c>
      <c r="F99" s="24" t="inlineStr">
        <is>
          <t>是否已提交商品房预售许可证</t>
        </is>
      </c>
      <c r="G99" s="52">
        <f>HYPERLINK("#码值映射清单!B5150","YesNo")</f>
        <v/>
      </c>
      <c r="H99" s="24" t="n"/>
      <c r="I99" s="24" t="inlineStr"/>
      <c r="J99" s="24" t="inlineStr">
        <is>
          <t>2023/01/12</t>
        </is>
      </c>
    </row>
    <row r="100">
      <c r="B100" s="24" t="inlineStr">
        <is>
          <t>clr_asset_realty</t>
        </is>
      </c>
      <c r="C100" s="24" t="inlineStr">
        <is>
          <t>RRSFLAG21</t>
        </is>
      </c>
      <c r="D100" s="24" t="inlineStr">
        <is>
          <t>char(1)</t>
        </is>
      </c>
      <c r="E100" s="24" t="inlineStr">
        <is>
          <t>YES</t>
        </is>
      </c>
      <c r="F100" s="24" t="inlineStr">
        <is>
          <t>是否已提交建筑工程开工报告</t>
        </is>
      </c>
      <c r="G100" s="52">
        <f>HYPERLINK("#码值映射清单!B5150","YesNo")</f>
        <v/>
      </c>
      <c r="H100" s="24" t="n"/>
      <c r="I100" s="24" t="inlineStr"/>
      <c r="J100" s="24" t="inlineStr">
        <is>
          <t>2023/01/12</t>
        </is>
      </c>
    </row>
    <row r="101">
      <c r="B101" s="24" t="inlineStr">
        <is>
          <t>clr_asset_realty</t>
        </is>
      </c>
      <c r="C101" s="24" t="inlineStr">
        <is>
          <t>RRSFLAG22</t>
        </is>
      </c>
      <c r="D101" s="24" t="inlineStr">
        <is>
          <t>char(1)</t>
        </is>
      </c>
      <c r="E101" s="24" t="inlineStr">
        <is>
          <t>YES</t>
        </is>
      </c>
      <c r="F101" s="24" t="inlineStr">
        <is>
          <t>是否已提交建筑工程规划图纸</t>
        </is>
      </c>
      <c r="G101" s="52">
        <f>HYPERLINK("#码值映射清单!B5150","YesNo")</f>
        <v/>
      </c>
      <c r="H101" s="24" t="n"/>
      <c r="I101" s="24" t="inlineStr"/>
      <c r="J101" s="24" t="inlineStr">
        <is>
          <t>2023/01/12</t>
        </is>
      </c>
    </row>
    <row r="102">
      <c r="B102" s="24" t="inlineStr">
        <is>
          <t>clr_asset_realty</t>
        </is>
      </c>
      <c r="C102" s="24" t="inlineStr">
        <is>
          <t>RRSFLAG23</t>
        </is>
      </c>
      <c r="D102" s="24" t="inlineStr">
        <is>
          <t>char(1)</t>
        </is>
      </c>
      <c r="E102" s="24" t="inlineStr">
        <is>
          <t>YES</t>
        </is>
      </c>
      <c r="F102" s="24" t="inlineStr">
        <is>
          <t>是否已提交建设工程承包合同</t>
        </is>
      </c>
      <c r="G102" s="52">
        <f>HYPERLINK("#码值映射清单!B5150","YesNo")</f>
        <v/>
      </c>
      <c r="H102" s="24" t="n"/>
      <c r="I102" s="24" t="inlineStr"/>
      <c r="J102" s="24" t="inlineStr">
        <is>
          <t>2023/01/12</t>
        </is>
      </c>
    </row>
    <row r="103">
      <c r="B103" s="24" t="inlineStr">
        <is>
          <t>clr_asset_realty</t>
        </is>
      </c>
      <c r="C103" s="24" t="inlineStr">
        <is>
          <t>RRSFLAG24</t>
        </is>
      </c>
      <c r="D103" s="24" t="inlineStr">
        <is>
          <t>char(1)</t>
        </is>
      </c>
      <c r="E103" s="24" t="inlineStr">
        <is>
          <t>YES</t>
        </is>
      </c>
      <c r="F103" s="24" t="inlineStr">
        <is>
          <t>完工程度是否达90%以上</t>
        </is>
      </c>
      <c r="G103" s="52">
        <f>HYPERLINK("#码值映射清单!B5150","YesNo")</f>
        <v/>
      </c>
      <c r="H103" s="24" t="n"/>
      <c r="I103" s="24" t="inlineStr"/>
      <c r="J103" s="24" t="inlineStr">
        <is>
          <t>2023/01/12</t>
        </is>
      </c>
    </row>
    <row r="104">
      <c r="B104" s="24" t="inlineStr">
        <is>
          <t>clr_asset_realty</t>
        </is>
      </c>
      <c r="C104" s="24" t="inlineStr">
        <is>
          <t>RSFLAG01</t>
        </is>
      </c>
      <c r="D104" s="24" t="inlineStr">
        <is>
          <t>char(1)</t>
        </is>
      </c>
      <c r="E104" s="24" t="inlineStr">
        <is>
          <t>YES</t>
        </is>
      </c>
      <c r="F104" s="24" t="inlineStr">
        <is>
          <t>是否为国家机关财产</t>
        </is>
      </c>
      <c r="G104" s="52">
        <f>HYPERLINK("#码值映射清单!B5150","YesNo")</f>
        <v/>
      </c>
      <c r="H104" s="24" t="n"/>
      <c r="I104" s="24" t="inlineStr"/>
      <c r="J104" s="24" t="inlineStr">
        <is>
          <t>2023/01/12</t>
        </is>
      </c>
    </row>
    <row r="105">
      <c r="B105" s="24" t="inlineStr">
        <is>
          <t>clr_asset_realty</t>
        </is>
      </c>
      <c r="C105" s="24" t="inlineStr">
        <is>
          <t>RSFLAG02</t>
        </is>
      </c>
      <c r="D105" s="24" t="inlineStr">
        <is>
          <t>char(1)</t>
        </is>
      </c>
      <c r="E105" s="24" t="inlineStr">
        <is>
          <t>YES</t>
        </is>
      </c>
      <c r="F105" s="24" t="inlineStr">
        <is>
          <t>是否为列为文物保护的古建筑或是有重要纪念意义的建筑物/是否交清地价</t>
        </is>
      </c>
      <c r="G105" s="52">
        <f>HYPERLINK("#码值映射清单!B5150","YesNo")</f>
        <v/>
      </c>
      <c r="H105" s="24" t="n"/>
      <c r="I105" s="24" t="inlineStr"/>
      <c r="J105" s="24" t="inlineStr">
        <is>
          <t>2023/01/12</t>
        </is>
      </c>
    </row>
    <row r="106">
      <c r="B106" s="24" t="inlineStr">
        <is>
          <t>clr_asset_realty</t>
        </is>
      </c>
      <c r="C106" s="24" t="inlineStr">
        <is>
          <t>RSFLAG03</t>
        </is>
      </c>
      <c r="D106" s="24" t="inlineStr">
        <is>
          <t>char(1)</t>
        </is>
      </c>
      <c r="E106" s="24" t="inlineStr">
        <is>
          <t>YES</t>
        </is>
      </c>
      <c r="F106" s="24" t="inlineStr">
        <is>
          <t>是否为已依法公告在国家建设征用拆迁范围内的房地产</t>
        </is>
      </c>
      <c r="G106" s="52">
        <f>HYPERLINK("#码值映射清单!B5150","YesNo")</f>
        <v/>
      </c>
      <c r="H106" s="24" t="n"/>
      <c r="I106" s="24" t="inlineStr"/>
      <c r="J106" s="24" t="inlineStr">
        <is>
          <t>2023/01/12</t>
        </is>
      </c>
    </row>
    <row r="107">
      <c r="B107" s="24" t="inlineStr">
        <is>
          <t>clr_asset_realty</t>
        </is>
      </c>
      <c r="C107" s="24" t="inlineStr">
        <is>
          <t>RSFLAG04</t>
        </is>
      </c>
      <c r="D107" s="24" t="inlineStr">
        <is>
          <t>char(1)</t>
        </is>
      </c>
      <c r="E107" s="24" t="inlineStr">
        <is>
          <t>YES</t>
        </is>
      </c>
      <c r="F107" s="24" t="inlineStr">
        <is>
          <t>是否已提交房地产权证书</t>
        </is>
      </c>
      <c r="G107" s="52">
        <f>HYPERLINK("#码值映射清单!B5150","YesNo")</f>
        <v/>
      </c>
      <c r="H107" s="24" t="n"/>
      <c r="I107" s="24" t="inlineStr"/>
      <c r="J107" s="24" t="inlineStr">
        <is>
          <t>2023/01/12</t>
        </is>
      </c>
    </row>
    <row r="108">
      <c r="B108" s="24" t="inlineStr">
        <is>
          <t>clr_asset_realty</t>
        </is>
      </c>
      <c r="C108" s="24" t="inlineStr">
        <is>
          <t>RSFLAG05</t>
        </is>
      </c>
      <c r="D108" s="24" t="inlineStr">
        <is>
          <t>char(1)</t>
        </is>
      </c>
      <c r="E108" s="24" t="inlineStr">
        <is>
          <t>YES</t>
        </is>
      </c>
      <c r="F108" s="24" t="inlineStr">
        <is>
          <t>是否已提交房产的土地使用权证</t>
        </is>
      </c>
      <c r="G108" s="52">
        <f>HYPERLINK("#码值映射清单!B5150","YesNo")</f>
        <v/>
      </c>
      <c r="H108" s="24" t="n"/>
      <c r="I108" s="24" t="inlineStr"/>
      <c r="J108" s="24" t="inlineStr">
        <is>
          <t>2023/01/12</t>
        </is>
      </c>
    </row>
    <row r="109">
      <c r="B109" s="24" t="inlineStr">
        <is>
          <t>clr_asset_realty</t>
        </is>
      </c>
      <c r="C109" s="24" t="inlineStr">
        <is>
          <t>RSFLAG06</t>
        </is>
      </c>
      <c r="D109" s="24" t="inlineStr">
        <is>
          <t>char(1)</t>
        </is>
      </c>
      <c r="E109" s="24" t="inlineStr">
        <is>
          <t>YES</t>
        </is>
      </c>
      <c r="F109" s="24" t="inlineStr">
        <is>
          <t>是否已提交房产的出租合同与相关登记证明</t>
        </is>
      </c>
      <c r="G109" s="52">
        <f>HYPERLINK("#码值映射清单!B5150","YesNo")</f>
        <v/>
      </c>
      <c r="H109" s="24" t="n"/>
      <c r="I109" s="24" t="inlineStr"/>
      <c r="J109" s="24" t="inlineStr">
        <is>
          <t>2023/01/12</t>
        </is>
      </c>
    </row>
    <row r="110">
      <c r="B110" s="24" t="inlineStr">
        <is>
          <t>clr_asset_realty</t>
        </is>
      </c>
      <c r="C110" s="24" t="inlineStr">
        <is>
          <t>RSFLAG07</t>
        </is>
      </c>
      <c r="D110" s="24" t="inlineStr">
        <is>
          <t>char(1)</t>
        </is>
      </c>
      <c r="E110" s="24" t="inlineStr">
        <is>
          <t>YES</t>
        </is>
      </c>
      <c r="F110" s="24" t="inlineStr">
        <is>
          <t>是否已提交房产的土地使用权出让合同</t>
        </is>
      </c>
      <c r="G110" s="52">
        <f>HYPERLINK("#码值映射清单!B5150","YesNo")</f>
        <v/>
      </c>
      <c r="H110" s="24" t="n"/>
      <c r="I110" s="24" t="inlineStr"/>
      <c r="J110" s="24" t="inlineStr">
        <is>
          <t>2023/01/12</t>
        </is>
      </c>
    </row>
    <row r="111">
      <c r="B111" s="24" t="inlineStr">
        <is>
          <t>clr_asset_realty</t>
        </is>
      </c>
      <c r="C111" s="24" t="inlineStr">
        <is>
          <t>RRSFLAG01</t>
        </is>
      </c>
      <c r="D111" s="24" t="inlineStr">
        <is>
          <t>char(1)</t>
        </is>
      </c>
      <c r="E111" s="24" t="inlineStr">
        <is>
          <t>YES</t>
        </is>
      </c>
      <c r="F111" s="24" t="inlineStr">
        <is>
          <t>是否已存在售出的预告登记</t>
        </is>
      </c>
      <c r="G111" s="52">
        <f>HYPERLINK("#码值映射清单!B5150","YesNo")</f>
        <v/>
      </c>
      <c r="H111" s="24" t="n"/>
      <c r="I111" s="24" t="inlineStr"/>
      <c r="J111" s="24" t="inlineStr">
        <is>
          <t>2023/01/12</t>
        </is>
      </c>
    </row>
    <row r="112">
      <c r="B112" s="24" t="inlineStr">
        <is>
          <t>clr_asset_realty</t>
        </is>
      </c>
      <c r="C112" s="24" t="inlineStr">
        <is>
          <t>RRSFLAG02</t>
        </is>
      </c>
      <c r="D112" s="24" t="inlineStr">
        <is>
          <t>char(1)</t>
        </is>
      </c>
      <c r="E112" s="24" t="inlineStr">
        <is>
          <t>YES</t>
        </is>
      </c>
      <c r="F112" s="24" t="inlineStr">
        <is>
          <t>是否为政策性住房</t>
        </is>
      </c>
      <c r="G112" s="52">
        <f>HYPERLINK("#码值映射清单!B5150","YesNo")</f>
        <v/>
      </c>
      <c r="H112" s="24" t="n"/>
      <c r="I112" s="24" t="inlineStr"/>
      <c r="J112" s="24" t="inlineStr">
        <is>
          <t>2023/01/12</t>
        </is>
      </c>
    </row>
    <row r="113">
      <c r="B113" s="24" t="inlineStr">
        <is>
          <t>clr_asset_realty</t>
        </is>
      </c>
      <c r="C113" s="24" t="inlineStr">
        <is>
          <t>RRSFLAG03</t>
        </is>
      </c>
      <c r="D113" s="24" t="inlineStr">
        <is>
          <t>char(1)</t>
        </is>
      </c>
      <c r="E113" s="24" t="inlineStr">
        <is>
          <t>YES</t>
        </is>
      </c>
      <c r="F113" s="24" t="inlineStr">
        <is>
          <t>是否已提交商品房预购（售）合同</t>
        </is>
      </c>
      <c r="G113" s="52">
        <f>HYPERLINK("#码值映射清单!B5150","YesNo")</f>
        <v/>
      </c>
      <c r="H113" s="24" t="n"/>
      <c r="I113" s="24" t="inlineStr"/>
      <c r="J113" s="24" t="inlineStr">
        <is>
          <t>2023/01/12</t>
        </is>
      </c>
    </row>
    <row r="114">
      <c r="B114" s="24" t="inlineStr">
        <is>
          <t>clr_asset_realty</t>
        </is>
      </c>
      <c r="C114" s="24" t="inlineStr">
        <is>
          <t>RRSFLAG04</t>
        </is>
      </c>
      <c r="D114" s="24" t="inlineStr">
        <is>
          <t>char(1)</t>
        </is>
      </c>
      <c r="E114" s="24" t="inlineStr">
        <is>
          <t>YES</t>
        </is>
      </c>
      <c r="F114" s="24" t="inlineStr">
        <is>
          <t>是否已提交房型图复印件</t>
        </is>
      </c>
      <c r="G114" s="52">
        <f>HYPERLINK("#码值映射清单!B5150","YesNo")</f>
        <v/>
      </c>
      <c r="H114" s="24" t="n"/>
      <c r="I114" s="24" t="inlineStr"/>
      <c r="J114" s="24" t="inlineStr">
        <is>
          <t>2023/01/12</t>
        </is>
      </c>
    </row>
    <row r="115">
      <c r="B115" s="24" t="inlineStr">
        <is>
          <t>clr_asset_realty</t>
        </is>
      </c>
      <c r="C115" s="24" t="inlineStr">
        <is>
          <t>RRSFLAG05</t>
        </is>
      </c>
      <c r="D115" s="24" t="inlineStr">
        <is>
          <t>char(1)</t>
        </is>
      </c>
      <c r="E115" s="24" t="inlineStr">
        <is>
          <t>YES</t>
        </is>
      </c>
      <c r="F115" s="24" t="inlineStr">
        <is>
          <t>是否已提交抵押物共有人出具的同意抵押的书面授权文件</t>
        </is>
      </c>
      <c r="G115" s="52">
        <f>HYPERLINK("#码值映射清单!B5150","YesNo")</f>
        <v/>
      </c>
      <c r="H115" s="24" t="n"/>
      <c r="I115" s="24" t="inlineStr"/>
      <c r="J115" s="24" t="inlineStr">
        <is>
          <t>2023/01/12</t>
        </is>
      </c>
    </row>
    <row r="116">
      <c r="B116" s="24" t="inlineStr">
        <is>
          <t>clr_asset_realty</t>
        </is>
      </c>
      <c r="C116" s="24" t="inlineStr">
        <is>
          <t>RRSFLAG06</t>
        </is>
      </c>
      <c r="D116" s="24" t="inlineStr">
        <is>
          <t>char(1)</t>
        </is>
      </c>
      <c r="E116" s="24" t="inlineStr">
        <is>
          <t>YES</t>
        </is>
      </c>
      <c r="F116" s="24" t="inlineStr">
        <is>
          <t>是否已提交房屋租赁合同</t>
        </is>
      </c>
      <c r="G116" s="52">
        <f>HYPERLINK("#码值映射清单!B5150","YesNo")</f>
        <v/>
      </c>
      <c r="H116" s="24" t="n"/>
      <c r="I116" s="24" t="inlineStr"/>
      <c r="J116" s="24" t="inlineStr">
        <is>
          <t>2023/01/12</t>
        </is>
      </c>
    </row>
    <row r="117">
      <c r="B117" s="24" t="inlineStr">
        <is>
          <t>clr_asset_realty</t>
        </is>
      </c>
      <c r="C117" s="24" t="inlineStr">
        <is>
          <t>RRSFLAG07</t>
        </is>
      </c>
      <c r="D117" s="24" t="inlineStr">
        <is>
          <t>char(1)</t>
        </is>
      </c>
      <c r="E117" s="24" t="inlineStr">
        <is>
          <t>YES</t>
        </is>
      </c>
      <c r="F117" s="24" t="inlineStr">
        <is>
          <t>是否已投入商业运营</t>
        </is>
      </c>
      <c r="G117" s="52">
        <f>HYPERLINK("#码值映射清单!B5150","YesNo")</f>
        <v/>
      </c>
      <c r="H117" s="24" t="n"/>
      <c r="I117" s="24" t="inlineStr"/>
      <c r="J117" s="24" t="inlineStr">
        <is>
          <t>2023/01/12</t>
        </is>
      </c>
    </row>
    <row r="118">
      <c r="B118" s="24" t="inlineStr">
        <is>
          <t>clr_asset_realty</t>
        </is>
      </c>
      <c r="C118" s="24" t="inlineStr">
        <is>
          <t>RRSFLAG08</t>
        </is>
      </c>
      <c r="D118" s="24" t="inlineStr">
        <is>
          <t>char(1)</t>
        </is>
      </c>
      <c r="E118" s="24" t="inlineStr">
        <is>
          <t>YES</t>
        </is>
      </c>
      <c r="F118" s="24" t="inlineStr">
        <is>
          <t>是否已提交独立产权证明</t>
        </is>
      </c>
      <c r="G118" s="52">
        <f>HYPERLINK("#码值映射清单!B5150","YesNo")</f>
        <v/>
      </c>
      <c r="H118" s="24" t="n"/>
      <c r="I118" s="24" t="inlineStr"/>
      <c r="J118" s="24" t="inlineStr">
        <is>
          <t>2023/01/12</t>
        </is>
      </c>
    </row>
    <row r="119">
      <c r="B119" s="24" t="inlineStr">
        <is>
          <t>clr_asset_realty</t>
        </is>
      </c>
      <c r="C119" s="24" t="inlineStr">
        <is>
          <t>RRSFLAG09</t>
        </is>
      </c>
      <c r="D119" s="24" t="inlineStr">
        <is>
          <t>char(1)</t>
        </is>
      </c>
      <c r="E119" s="24" t="inlineStr">
        <is>
          <t>YES</t>
        </is>
      </c>
      <c r="F119" s="24" t="inlineStr">
        <is>
          <t>商办/工业用房产是否为违法、违章建筑物或依法被查封、扣押、监管或采用其他强制性措施的财产</t>
        </is>
      </c>
      <c r="G119" s="52">
        <f>HYPERLINK("#码值映射清单!B5150","YesNo")</f>
        <v/>
      </c>
      <c r="H119" s="24" t="n"/>
      <c r="I119" s="24" t="inlineStr"/>
      <c r="J119" s="24" t="inlineStr">
        <is>
          <t>2023/01/12</t>
        </is>
      </c>
    </row>
    <row r="120">
      <c r="B120" s="24" t="inlineStr">
        <is>
          <t>clr_asset_realty</t>
        </is>
      </c>
      <c r="C120" s="24" t="inlineStr">
        <is>
          <t>RRSFLAG10</t>
        </is>
      </c>
      <c r="D120" s="24" t="inlineStr">
        <is>
          <t>char(1)</t>
        </is>
      </c>
      <c r="E120" s="24" t="inlineStr">
        <is>
          <t>YES</t>
        </is>
      </c>
      <c r="F120" s="53" t="inlineStr">
        <is>
          <t>商办用房产是否已办妥独立产权证或能办理独立产权证</t>
        </is>
      </c>
      <c r="G120" s="52">
        <f>HYPERLINK("#码值映射清单!B5150","YesNo")</f>
        <v/>
      </c>
      <c r="H120" s="24" t="n"/>
      <c r="I120" s="24" t="inlineStr"/>
      <c r="J120" s="24" t="inlineStr">
        <is>
          <t>2023/01/12</t>
        </is>
      </c>
    </row>
    <row r="121">
      <c r="B121" s="24" t="inlineStr">
        <is>
          <t>clr_asset_realty</t>
        </is>
      </c>
      <c r="C121" s="24" t="inlineStr">
        <is>
          <t>RRSFLAG11</t>
        </is>
      </c>
      <c r="D121" s="24" t="inlineStr">
        <is>
          <t>char(1)</t>
        </is>
      </c>
      <c r="E121" s="24" t="inlineStr">
        <is>
          <t>YES</t>
        </is>
      </c>
      <c r="F121" s="24" t="inlineStr">
        <is>
          <t>工业用房产内是否可进行商品化交易</t>
        </is>
      </c>
      <c r="G121" s="52">
        <f>HYPERLINK("#码值映射清单!B5150","YesNo")</f>
        <v/>
      </c>
      <c r="H121" s="24" t="n"/>
      <c r="I121" s="24" t="inlineStr"/>
      <c r="J121" s="24" t="inlineStr">
        <is>
          <t>2023/01/12</t>
        </is>
      </c>
    </row>
    <row r="122">
      <c r="B122" s="24" t="inlineStr">
        <is>
          <t>clr_asset_realty</t>
        </is>
      </c>
      <c r="C122" s="24" t="inlineStr">
        <is>
          <t>RRSFLAG12</t>
        </is>
      </c>
      <c r="D122" s="24" t="inlineStr">
        <is>
          <t>char(1)</t>
        </is>
      </c>
      <c r="E122" s="24" t="inlineStr">
        <is>
          <t>YES</t>
        </is>
      </c>
      <c r="F122" s="24" t="inlineStr">
        <is>
          <t>工业用房产是否已竣工验收</t>
        </is>
      </c>
      <c r="G122" s="52">
        <f>HYPERLINK("#码值映射清单!B5150","YesNo")</f>
        <v/>
      </c>
      <c r="H122" s="24" t="n"/>
      <c r="I122" s="24" t="inlineStr"/>
      <c r="J122" s="24" t="inlineStr">
        <is>
          <t>2023/01/12</t>
        </is>
      </c>
    </row>
    <row r="123">
      <c r="B123" s="24" t="inlineStr">
        <is>
          <t>clr_asset_realty</t>
        </is>
      </c>
      <c r="C123" s="24" t="inlineStr">
        <is>
          <t>RRSFLAG25</t>
        </is>
      </c>
      <c r="D123" s="24" t="inlineStr">
        <is>
          <t>char(1)</t>
        </is>
      </c>
      <c r="E123" s="24" t="inlineStr">
        <is>
          <t>YES</t>
        </is>
      </c>
      <c r="F123" s="24" t="inlineStr">
        <is>
          <t>四证是否齐全</t>
        </is>
      </c>
      <c r="G123" s="52">
        <f>HYPERLINK("#码值映射清单!B5150","YesNo")</f>
        <v/>
      </c>
      <c r="H123" s="24" t="n"/>
      <c r="I123" s="24" t="inlineStr"/>
      <c r="J123" s="24" t="inlineStr">
        <is>
          <t>2023/01/12</t>
        </is>
      </c>
    </row>
    <row r="124">
      <c r="B124" s="24" t="inlineStr">
        <is>
          <t>clr_asset_realty</t>
        </is>
      </c>
      <c r="C124" s="24" t="inlineStr">
        <is>
          <t>WORKPERMITNMUBER</t>
        </is>
      </c>
      <c r="D124" s="24" t="inlineStr">
        <is>
          <t>varchar(32)</t>
        </is>
      </c>
      <c r="E124" s="24" t="inlineStr">
        <is>
          <t>YES</t>
        </is>
      </c>
      <c r="F124" s="24" t="inlineStr">
        <is>
          <t>建设工程施工许可证编号</t>
        </is>
      </c>
      <c r="G124" s="24" t="n"/>
      <c r="H124" s="24" t="n"/>
      <c r="I124" s="24" t="inlineStr"/>
      <c r="J124" s="24" t="inlineStr">
        <is>
          <t>2023/01/12</t>
        </is>
      </c>
    </row>
    <row r="125">
      <c r="B125" s="24" t="inlineStr">
        <is>
          <t>clr_asset_realty</t>
        </is>
      </c>
      <c r="C125" s="24" t="inlineStr">
        <is>
          <t>REALTYHEIGHT</t>
        </is>
      </c>
      <c r="D125" s="24" t="inlineStr">
        <is>
          <t>int</t>
        </is>
      </c>
      <c r="E125" s="24" t="inlineStr">
        <is>
          <t>YES</t>
        </is>
      </c>
      <c r="F125" s="24" t="inlineStr">
        <is>
          <t>房屋所在楼层</t>
        </is>
      </c>
      <c r="G125" s="24" t="n"/>
      <c r="H125" s="24" t="n"/>
      <c r="I125" s="24" t="inlineStr"/>
      <c r="J125" s="24" t="inlineStr">
        <is>
          <t>2023/01/12</t>
        </is>
      </c>
    </row>
    <row r="126">
      <c r="B126" s="24" t="inlineStr">
        <is>
          <t>clr_asset_realty</t>
        </is>
      </c>
      <c r="C126" s="24" t="inlineStr">
        <is>
          <t>INPUTORGID</t>
        </is>
      </c>
      <c r="D126" s="24" t="inlineStr">
        <is>
          <t>varchar(32)</t>
        </is>
      </c>
      <c r="E126" s="24" t="inlineStr">
        <is>
          <t>YES</t>
        </is>
      </c>
      <c r="F126" s="24" t="inlineStr">
        <is>
          <t>登记机构</t>
        </is>
      </c>
      <c r="G126" s="24" t="n"/>
      <c r="H126" s="24" t="n"/>
      <c r="I126" s="24" t="inlineStr"/>
      <c r="J126" s="24" t="inlineStr">
        <is>
          <t>2023/01/12</t>
        </is>
      </c>
    </row>
    <row r="127">
      <c r="B127" s="24" t="inlineStr">
        <is>
          <t>clr_asset_realty</t>
        </is>
      </c>
      <c r="C127" s="24" t="inlineStr">
        <is>
          <t>INPUTUSERID</t>
        </is>
      </c>
      <c r="D127" s="24" t="inlineStr">
        <is>
          <t>varchar(32)</t>
        </is>
      </c>
      <c r="E127" s="24" t="inlineStr">
        <is>
          <t>YES</t>
        </is>
      </c>
      <c r="F127" s="24" t="inlineStr">
        <is>
          <t>登记人</t>
        </is>
      </c>
      <c r="G127" s="24" t="n"/>
      <c r="H127" s="24" t="n"/>
      <c r="I127" s="24" t="inlineStr"/>
      <c r="J127" s="24" t="inlineStr">
        <is>
          <t>2023/01/12</t>
        </is>
      </c>
    </row>
    <row r="128">
      <c r="B128" s="24" t="inlineStr">
        <is>
          <t>clr_asset_realty</t>
        </is>
      </c>
      <c r="C128" s="24" t="inlineStr">
        <is>
          <t>INPUTDATE</t>
        </is>
      </c>
      <c r="D128" s="24" t="inlineStr">
        <is>
          <t>datetime</t>
        </is>
      </c>
      <c r="E128" s="24" t="inlineStr">
        <is>
          <t>YES</t>
        </is>
      </c>
      <c r="F128" s="24" t="inlineStr">
        <is>
          <t>登记日期</t>
        </is>
      </c>
      <c r="G128" s="24" t="n"/>
      <c r="H128" s="24" t="n"/>
      <c r="I128" s="24" t="inlineStr"/>
      <c r="J128" s="24" t="inlineStr">
        <is>
          <t>2023/01/12</t>
        </is>
      </c>
    </row>
    <row r="129">
      <c r="B129" s="24" t="inlineStr">
        <is>
          <t>clr_asset_realty</t>
        </is>
      </c>
      <c r="C129" s="24" t="inlineStr">
        <is>
          <t>UPDATEORGID</t>
        </is>
      </c>
      <c r="D129" s="24" t="inlineStr">
        <is>
          <t>varchar(32)</t>
        </is>
      </c>
      <c r="E129" s="24" t="inlineStr">
        <is>
          <t>YES</t>
        </is>
      </c>
      <c r="F129" s="24" t="inlineStr">
        <is>
          <t>更新机构</t>
        </is>
      </c>
      <c r="G129" s="24" t="n"/>
      <c r="H129" s="24" t="n"/>
      <c r="I129" s="24" t="inlineStr"/>
      <c r="J129" s="24" t="inlineStr">
        <is>
          <t>2023/01/12</t>
        </is>
      </c>
    </row>
    <row r="130">
      <c r="B130" s="24" t="inlineStr">
        <is>
          <t>clr_asset_realty</t>
        </is>
      </c>
      <c r="C130" s="24" t="inlineStr">
        <is>
          <t>UPDATEUSERID</t>
        </is>
      </c>
      <c r="D130" s="24" t="inlineStr">
        <is>
          <t>varchar(32)</t>
        </is>
      </c>
      <c r="E130" s="24" t="inlineStr">
        <is>
          <t>YES</t>
        </is>
      </c>
      <c r="F130" s="24" t="inlineStr">
        <is>
          <t>更新人</t>
        </is>
      </c>
      <c r="G130" s="24" t="n"/>
      <c r="H130" s="24" t="n"/>
      <c r="I130" s="24" t="inlineStr"/>
      <c r="J130" s="24" t="inlineStr">
        <is>
          <t>2023/01/12</t>
        </is>
      </c>
    </row>
    <row r="131">
      <c r="B131" s="24" t="inlineStr">
        <is>
          <t>clr_asset_realty</t>
        </is>
      </c>
      <c r="C131" s="24" t="inlineStr">
        <is>
          <t>UPDATEDATE</t>
        </is>
      </c>
      <c r="D131" s="24" t="inlineStr">
        <is>
          <t>datetime</t>
        </is>
      </c>
      <c r="E131" s="24" t="inlineStr">
        <is>
          <t>YES</t>
        </is>
      </c>
      <c r="F131" s="24" t="inlineStr">
        <is>
          <t>更新日期</t>
        </is>
      </c>
      <c r="G131" s="24" t="n"/>
      <c r="H131" s="24" t="n"/>
      <c r="I131" s="24" t="inlineStr"/>
      <c r="J131" s="24" t="inlineStr">
        <is>
          <t>2023/01/12</t>
        </is>
      </c>
    </row>
    <row r="132">
      <c r="B132" s="24" t="inlineStr">
        <is>
          <t>clr_asset_realty</t>
        </is>
      </c>
      <c r="C132" s="24" t="inlineStr">
        <is>
          <t>REMARK</t>
        </is>
      </c>
      <c r="D132" s="24" t="inlineStr">
        <is>
          <t>varchar(500)</t>
        </is>
      </c>
      <c r="E132" s="24" t="inlineStr">
        <is>
          <t>YES</t>
        </is>
      </c>
      <c r="F132" s="24" t="inlineStr">
        <is>
          <t>备注</t>
        </is>
      </c>
      <c r="G132" s="24" t="n"/>
      <c r="H132" s="24" t="n"/>
      <c r="I132" s="24" t="inlineStr"/>
      <c r="J132" s="24" t="inlineStr">
        <is>
          <t>2023/01/12</t>
        </is>
      </c>
    </row>
    <row r="133">
      <c r="B133" s="24" t="inlineStr">
        <is>
          <t>clr_asset_realty</t>
        </is>
      </c>
      <c r="C133" s="24" t="inlineStr">
        <is>
          <t>WORKPERMITNUMBER</t>
        </is>
      </c>
      <c r="D133" s="24" t="inlineStr">
        <is>
          <t>varchar(32)</t>
        </is>
      </c>
      <c r="E133" s="24" t="inlineStr">
        <is>
          <t>YES</t>
        </is>
      </c>
      <c r="F133" s="24" t="inlineStr">
        <is>
          <t>建设工程施工许可证编号</t>
        </is>
      </c>
      <c r="G133" s="24" t="n"/>
      <c r="H133" s="24" t="n"/>
      <c r="I133" s="24" t="inlineStr"/>
      <c r="J133" s="24" t="inlineStr">
        <is>
          <t>2023/01/12</t>
        </is>
      </c>
    </row>
    <row r="134">
      <c r="B134" s="24" t="inlineStr">
        <is>
          <t>clr_asset_realty</t>
        </is>
      </c>
      <c r="C134" s="24" t="inlineStr">
        <is>
          <t>CORPORGID</t>
        </is>
      </c>
      <c r="D134" s="24" t="inlineStr">
        <is>
          <t>varchar(32)</t>
        </is>
      </c>
      <c r="E134" s="24" t="inlineStr">
        <is>
          <t>YES</t>
        </is>
      </c>
      <c r="F134" s="24" t="inlineStr">
        <is>
          <t>法人机构编号</t>
        </is>
      </c>
      <c r="G134" s="24" t="n"/>
      <c r="H134" s="24" t="n"/>
      <c r="I134" s="24" t="inlineStr"/>
      <c r="J134" s="24" t="inlineStr">
        <is>
          <t>2023/01/12</t>
        </is>
      </c>
    </row>
    <row r="135">
      <c r="B135" s="24" t="inlineStr">
        <is>
          <t>clr_asset_realty</t>
        </is>
      </c>
      <c r="C135" s="24" t="inlineStr">
        <is>
          <t>ANCILLARYFACILITY</t>
        </is>
      </c>
      <c r="D135" s="24" t="inlineStr">
        <is>
          <t>varchar(1000)</t>
        </is>
      </c>
      <c r="E135" s="24" t="inlineStr">
        <is>
          <t>YES</t>
        </is>
      </c>
      <c r="F135" s="43" t="inlineStr">
        <is>
          <t>配套设施情况/在建类房产项目用途</t>
        </is>
      </c>
      <c r="G135" s="24" t="n"/>
      <c r="H135" s="24" t="n"/>
      <c r="I135" s="24" t="inlineStr"/>
      <c r="J135" s="24" t="inlineStr">
        <is>
          <t>2023/01/12</t>
        </is>
      </c>
    </row>
    <row r="136">
      <c r="B136" s="109" t="inlineStr">
        <is>
          <t>clr_asset_realty</t>
        </is>
      </c>
      <c r="C136" s="109" t="inlineStr">
        <is>
          <t>PLANLIMITCONDITION</t>
        </is>
      </c>
      <c r="D136" s="109" t="inlineStr">
        <is>
          <t>varchar(1000)</t>
        </is>
      </c>
      <c r="E136" s="109" t="inlineStr">
        <is>
          <t>YES</t>
        </is>
      </c>
      <c r="F136" s="109" t="inlineStr">
        <is>
          <t>规划限制条件</t>
        </is>
      </c>
      <c r="G136" s="109" t="n"/>
      <c r="H136" s="109" t="n"/>
      <c r="I136" s="109" t="inlineStr"/>
      <c r="J136" s="109" t="inlineStr">
        <is>
          <t>2023/01/12</t>
        </is>
      </c>
    </row>
    <row r="137">
      <c r="B137" s="73" t="inlineStr">
        <is>
          <t>clr_asset_realty</t>
        </is>
      </c>
      <c r="C137" s="60" t="inlineStr">
        <is>
          <t>ISMORTGAGE</t>
        </is>
      </c>
      <c r="D137" s="60" t="inlineStr">
        <is>
          <t>varchar(6)</t>
        </is>
      </c>
      <c r="E137" s="60" t="inlineStr">
        <is>
          <t>YES</t>
        </is>
      </c>
      <c r="F137" s="59" t="inlineStr">
        <is>
          <t>是否按揭</t>
        </is>
      </c>
      <c r="G137" s="60" t="inlineStr"/>
      <c r="H137" s="60" t="inlineStr"/>
      <c r="I137" s="60" t="n"/>
      <c r="J137" s="183" t="n">
        <v>45740</v>
      </c>
      <c r="K137" s="102" t="n"/>
    </row>
    <row r="138">
      <c r="B138" s="73" t="inlineStr">
        <is>
          <t>clr_asset_realty</t>
        </is>
      </c>
      <c r="C138" s="60" t="inlineStr">
        <is>
          <t>COUNTRY</t>
        </is>
      </c>
      <c r="D138" s="60" t="inlineStr">
        <is>
          <t>varchar(6)</t>
        </is>
      </c>
      <c r="E138" s="60" t="inlineStr">
        <is>
          <t>YES</t>
        </is>
      </c>
      <c r="F138" s="59" t="inlineStr">
        <is>
          <t>所在国家</t>
        </is>
      </c>
      <c r="G138" s="60" t="inlineStr"/>
      <c r="H138" s="60" t="inlineStr"/>
      <c r="I138" s="60" t="n"/>
      <c r="J138" s="183" t="n">
        <v>45740</v>
      </c>
      <c r="K138" s="102" t="n"/>
    </row>
    <row r="139">
      <c r="B139" s="73" t="inlineStr">
        <is>
          <t>clr_asset_realty</t>
        </is>
      </c>
      <c r="C139" s="60" t="inlineStr">
        <is>
          <t>PREMORTGAGEDTIME</t>
        </is>
      </c>
      <c r="D139" s="104" t="inlineStr">
        <is>
          <t>datetime</t>
        </is>
      </c>
      <c r="E139" s="60" t="inlineStr">
        <is>
          <t>YES</t>
        </is>
      </c>
      <c r="F139" s="100" t="inlineStr">
        <is>
          <t>预抵押登记完成时间</t>
        </is>
      </c>
      <c r="G139" s="60" t="inlineStr"/>
      <c r="H139" s="60" t="inlineStr"/>
      <c r="I139" s="60" t="n"/>
      <c r="J139" s="183" t="n">
        <v>45740</v>
      </c>
      <c r="K139" s="102" t="n"/>
    </row>
    <row r="140">
      <c r="B140" s="73" t="inlineStr">
        <is>
          <t>clr_asset_realty</t>
        </is>
      </c>
      <c r="C140" s="60" t="inlineStr">
        <is>
          <t>TRADEVALUE</t>
        </is>
      </c>
      <c r="D140" s="60" t="inlineStr">
        <is>
          <t>decimal(24,6)</t>
        </is>
      </c>
      <c r="E140" s="60" t="inlineStr">
        <is>
          <t>YES</t>
        </is>
      </c>
      <c r="F140" s="100" t="inlineStr">
        <is>
          <t>交易价值</t>
        </is>
      </c>
      <c r="G140" s="60" t="inlineStr"/>
      <c r="H140" s="60" t="inlineStr"/>
      <c r="I140" s="60" t="n"/>
      <c r="J140" s="183" t="n">
        <v>45740</v>
      </c>
      <c r="K140" s="102" t="n"/>
    </row>
    <row r="141">
      <c r="B141" s="73" t="inlineStr">
        <is>
          <t>clr_asset_realty</t>
        </is>
      </c>
      <c r="C141" s="60" t="inlineStr">
        <is>
          <t>CURRENCY</t>
        </is>
      </c>
      <c r="D141" s="60" t="inlineStr">
        <is>
          <t>varchar(18)</t>
        </is>
      </c>
      <c r="E141" s="60" t="inlineStr">
        <is>
          <t>YES</t>
        </is>
      </c>
      <c r="F141" s="100" t="inlineStr">
        <is>
          <t>币种</t>
        </is>
      </c>
      <c r="G141" s="106">
        <f>HYPERLINK("#码值映射清单!B2469","Currency")</f>
        <v/>
      </c>
      <c r="H141" s="60" t="n"/>
      <c r="I141" s="60" t="n"/>
      <c r="J141" s="183" t="n">
        <v>45740</v>
      </c>
      <c r="K141" s="102" t="n"/>
    </row>
    <row r="142">
      <c r="B142" s="73" t="inlineStr">
        <is>
          <t>clr_asset_realty</t>
        </is>
      </c>
      <c r="C142" s="60" t="inlineStr">
        <is>
          <t>PAYMENTPAID</t>
        </is>
      </c>
      <c r="D142" s="60" t="inlineStr">
        <is>
          <t>decimal(24,6)</t>
        </is>
      </c>
      <c r="E142" s="60" t="inlineStr">
        <is>
          <t>YES</t>
        </is>
      </c>
      <c r="F142" s="100" t="inlineStr">
        <is>
          <t>已付房款</t>
        </is>
      </c>
      <c r="G142" s="60" t="inlineStr"/>
      <c r="H142" s="60" t="n"/>
      <c r="I142" s="60" t="n"/>
      <c r="J142" s="183" t="n">
        <v>45740</v>
      </c>
      <c r="K142" s="102" t="n"/>
    </row>
    <row r="143">
      <c r="B143" s="73" t="inlineStr">
        <is>
          <t>clr_asset_realty</t>
        </is>
      </c>
      <c r="C143" s="60" t="inlineStr">
        <is>
          <t>LOANCARDNO</t>
        </is>
      </c>
      <c r="D143" s="60" t="inlineStr">
        <is>
          <t>varchar(32)</t>
        </is>
      </c>
      <c r="E143" s="60" t="inlineStr">
        <is>
          <t>YES</t>
        </is>
      </c>
      <c r="F143" s="100" t="inlineStr">
        <is>
          <t>贷款卡号/权利人贷款卡号</t>
        </is>
      </c>
      <c r="G143" s="60" t="inlineStr"/>
      <c r="H143" s="60" t="n"/>
      <c r="I143" s="60" t="n"/>
      <c r="J143" s="183" t="n">
        <v>45740</v>
      </c>
      <c r="K143" s="102" t="n"/>
    </row>
    <row r="144">
      <c r="B144" s="73" t="inlineStr">
        <is>
          <t>clr_asset_realty</t>
        </is>
      </c>
      <c r="C144" s="60" t="inlineStr">
        <is>
          <t>REGISTERINFO</t>
        </is>
      </c>
      <c r="D144" s="60" t="inlineStr">
        <is>
          <t>varchar(500)</t>
        </is>
      </c>
      <c r="E144" s="60" t="inlineStr">
        <is>
          <t>YES</t>
        </is>
      </c>
      <c r="F144" s="100" t="inlineStr">
        <is>
          <t>抵押物登记情况</t>
        </is>
      </c>
      <c r="G144" s="60" t="n"/>
      <c r="H144" s="60" t="n"/>
      <c r="I144" s="60" t="n"/>
      <c r="J144" s="183" t="n">
        <v>45740</v>
      </c>
      <c r="K144" s="102" t="n"/>
    </row>
    <row r="145">
      <c r="B145" s="73" t="inlineStr">
        <is>
          <t>clr_asset_realty</t>
        </is>
      </c>
      <c r="C145" s="60" t="inlineStr">
        <is>
          <t>ISMORTGAGEDSELF</t>
        </is>
      </c>
      <c r="D145" s="105" t="inlineStr">
        <is>
          <t>varchar(6)</t>
        </is>
      </c>
      <c r="E145" s="60" t="inlineStr">
        <is>
          <t>YES</t>
        </is>
      </c>
      <c r="F145" s="100" t="inlineStr">
        <is>
          <t>此抵押物是否当前申请所购/所抵资产</t>
        </is>
      </c>
      <c r="G145" s="60" t="n"/>
      <c r="H145" s="60" t="n"/>
      <c r="I145" s="60" t="n"/>
      <c r="J145" s="183" t="n">
        <v>45740</v>
      </c>
      <c r="K145" s="102" t="n"/>
    </row>
    <row r="146">
      <c r="B146" s="73" t="inlineStr">
        <is>
          <t>clr_asset_realty</t>
        </is>
      </c>
      <c r="C146" s="60" t="inlineStr">
        <is>
          <t>ISSAMECITY</t>
        </is>
      </c>
      <c r="D146" s="105" t="inlineStr">
        <is>
          <t>varchar(6)</t>
        </is>
      </c>
      <c r="E146" s="60" t="inlineStr">
        <is>
          <t>YES</t>
        </is>
      </c>
      <c r="F146" s="100" t="inlineStr">
        <is>
          <t>房产与经办机构是否在同一城市</t>
        </is>
      </c>
      <c r="G146" s="60" t="n"/>
      <c r="H146" s="60" t="n"/>
      <c r="I146" s="60" t="n"/>
      <c r="J146" s="183" t="n">
        <v>45740</v>
      </c>
      <c r="K146" s="102" t="n"/>
    </row>
    <row r="147">
      <c r="B147" s="73" t="inlineStr">
        <is>
          <t>clr_asset_realty</t>
        </is>
      </c>
      <c r="C147" s="60" t="inlineStr">
        <is>
          <t>HOUSEORDER</t>
        </is>
      </c>
      <c r="D147" s="105" t="inlineStr">
        <is>
          <t>varchar(6)</t>
        </is>
      </c>
      <c r="E147" s="60" t="inlineStr">
        <is>
          <t>YES</t>
        </is>
      </c>
      <c r="F147" s="100" t="inlineStr">
        <is>
          <t>第几套住房</t>
        </is>
      </c>
      <c r="G147" s="60" t="n"/>
      <c r="H147" s="60" t="n"/>
      <c r="I147" s="60" t="n"/>
      <c r="J147" s="183" t="n">
        <v>45740</v>
      </c>
      <c r="K147" s="102" t="n"/>
    </row>
    <row r="148">
      <c r="B148" s="73" t="inlineStr">
        <is>
          <t>clr_asset_realty</t>
        </is>
      </c>
      <c r="C148" s="60" t="inlineStr">
        <is>
          <t>HOUSEAGE</t>
        </is>
      </c>
      <c r="D148" s="105" t="inlineStr">
        <is>
          <t>varchar(6)</t>
        </is>
      </c>
      <c r="E148" s="60" t="inlineStr">
        <is>
          <t>YES</t>
        </is>
      </c>
      <c r="F148" s="100" t="inlineStr">
        <is>
          <t>房龄</t>
        </is>
      </c>
      <c r="G148" s="60" t="n"/>
      <c r="H148" s="60" t="n"/>
      <c r="I148" s="60" t="n"/>
      <c r="J148" s="183" t="n">
        <v>45740</v>
      </c>
      <c r="K148" s="102" t="n"/>
    </row>
    <row r="149">
      <c r="B149" s="73" t="inlineStr">
        <is>
          <t>clr_asset_realty</t>
        </is>
      </c>
      <c r="C149" s="60" t="inlineStr">
        <is>
          <t>LANDUSERIGHTUNIT</t>
        </is>
      </c>
      <c r="D149" s="105" t="inlineStr">
        <is>
          <t>varchar(200)</t>
        </is>
      </c>
      <c r="E149" s="60" t="inlineStr">
        <is>
          <t>YES</t>
        </is>
      </c>
      <c r="F149" s="100" t="inlineStr">
        <is>
          <t>土地使用权单位</t>
        </is>
      </c>
      <c r="G149" s="60" t="n"/>
      <c r="H149" s="60" t="n"/>
      <c r="I149" s="60" t="n"/>
      <c r="J149" s="183" t="n">
        <v>45740</v>
      </c>
      <c r="K149" s="102" t="n"/>
    </row>
    <row r="150">
      <c r="B150" s="73" t="inlineStr">
        <is>
          <t>clr_asset_realty</t>
        </is>
      </c>
      <c r="C150" s="60" t="inlineStr">
        <is>
          <t>LANDOTHERRIGHTCERT</t>
        </is>
      </c>
      <c r="D150" s="105" t="inlineStr">
        <is>
          <t>varchar(80)</t>
        </is>
      </c>
      <c r="E150" s="60" t="inlineStr">
        <is>
          <t>YES</t>
        </is>
      </c>
      <c r="F150" s="100" t="inlineStr">
        <is>
          <t>土地他项使用权利证号</t>
        </is>
      </c>
      <c r="G150" s="60" t="n"/>
      <c r="H150" s="60" t="n"/>
      <c r="I150" s="60" t="n"/>
      <c r="J150" s="183" t="n">
        <v>45740</v>
      </c>
      <c r="K150" s="102" t="n"/>
    </row>
    <row r="151">
      <c r="B151" s="73" t="inlineStr">
        <is>
          <t>clr_asset_realty</t>
        </is>
      </c>
      <c r="C151" s="60" t="inlineStr">
        <is>
          <t>LOCATION</t>
        </is>
      </c>
      <c r="D151" s="105" t="inlineStr">
        <is>
          <t>varchar(200)</t>
        </is>
      </c>
      <c r="E151" s="60" t="inlineStr">
        <is>
          <t>YES</t>
        </is>
      </c>
      <c r="F151" s="100" t="inlineStr">
        <is>
          <t>地段</t>
        </is>
      </c>
      <c r="G151" s="60" t="n"/>
      <c r="H151" s="60" t="n"/>
      <c r="I151" s="60" t="n"/>
      <c r="J151" s="183" t="n">
        <v>45740</v>
      </c>
      <c r="K151" s="102" t="n"/>
    </row>
    <row r="152">
      <c r="B152" s="73" t="inlineStr">
        <is>
          <t>clr_asset_realty</t>
        </is>
      </c>
      <c r="C152" s="60" t="inlineStr">
        <is>
          <t>MORTGAGEDACCOUNTINGSTATUS</t>
        </is>
      </c>
      <c r="D152" s="105" t="inlineStr">
        <is>
          <t>varchar(100)</t>
        </is>
      </c>
      <c r="E152" s="60" t="inlineStr">
        <is>
          <t>YES</t>
        </is>
      </c>
      <c r="F152" s="100" t="inlineStr">
        <is>
          <t>抵押物入账情况</t>
        </is>
      </c>
      <c r="G152" s="60" t="n"/>
      <c r="H152" s="60" t="n"/>
      <c r="I152" s="60" t="n"/>
      <c r="J152" s="183" t="n">
        <v>45740</v>
      </c>
      <c r="K152" s="102" t="n"/>
    </row>
    <row r="153">
      <c r="B153" s="73" t="inlineStr">
        <is>
          <t>clr_asset_realty</t>
        </is>
      </c>
      <c r="C153" s="60" t="inlineStr">
        <is>
          <t>HOUSEOTHERRIGHTCERT</t>
        </is>
      </c>
      <c r="D153" s="105" t="inlineStr">
        <is>
          <t>varchar(40)</t>
        </is>
      </c>
      <c r="E153" s="60" t="inlineStr">
        <is>
          <t>YES</t>
        </is>
      </c>
      <c r="F153" s="100" t="inlineStr">
        <is>
          <t>房屋他项权证书编号</t>
        </is>
      </c>
      <c r="G153" s="60" t="n"/>
      <c r="H153" s="60" t="n"/>
      <c r="I153" s="60" t="n"/>
      <c r="J153" s="183" t="n">
        <v>45740</v>
      </c>
      <c r="K153" s="102" t="n"/>
    </row>
    <row r="154">
      <c r="B154" s="73" t="inlineStr">
        <is>
          <t>clr_asset_realty</t>
        </is>
      </c>
      <c r="C154" s="60" t="inlineStr">
        <is>
          <t>OTHERSRIGHTDATE</t>
        </is>
      </c>
      <c r="D154" s="60" t="inlineStr">
        <is>
          <t>datetime</t>
        </is>
      </c>
      <c r="E154" s="60" t="inlineStr">
        <is>
          <t>YES</t>
        </is>
      </c>
      <c r="F154" s="100" t="inlineStr">
        <is>
          <t>取得他项权证时间</t>
        </is>
      </c>
      <c r="G154" s="60" t="n"/>
      <c r="H154" s="60" t="n"/>
      <c r="I154" s="60" t="n"/>
      <c r="J154" s="183" t="n">
        <v>45740</v>
      </c>
      <c r="K154" s="102" t="n"/>
    </row>
    <row r="155">
      <c r="B155" s="73" t="inlineStr">
        <is>
          <t>clr_asset_realty</t>
        </is>
      </c>
      <c r="C155" s="60" t="inlineStr">
        <is>
          <t>ISPARTMORTGAGED</t>
        </is>
      </c>
      <c r="D155" s="60" t="inlineStr">
        <is>
          <t>varchar(6)</t>
        </is>
      </c>
      <c r="E155" s="60" t="inlineStr">
        <is>
          <t>YES</t>
        </is>
      </c>
      <c r="F155" s="100" t="inlineStr">
        <is>
          <t>是否部分抵押</t>
        </is>
      </c>
      <c r="G155" s="60" t="n"/>
      <c r="H155" s="60" t="n"/>
      <c r="I155" s="60" t="n"/>
      <c r="J155" s="183" t="n">
        <v>45740</v>
      </c>
      <c r="K155" s="102" t="n"/>
    </row>
    <row r="156">
      <c r="B156" s="73" t="inlineStr">
        <is>
          <t>clr_asset_realty</t>
        </is>
      </c>
      <c r="C156" s="60" t="inlineStr">
        <is>
          <t>GUARANTYDESCRIPT</t>
        </is>
      </c>
      <c r="D156" s="60" t="inlineStr">
        <is>
          <t>varchar(800)</t>
        </is>
      </c>
      <c r="E156" s="60" t="inlineStr">
        <is>
          <t>YES</t>
        </is>
      </c>
      <c r="F156" s="100" t="inlineStr">
        <is>
          <t>抵押物说明</t>
        </is>
      </c>
      <c r="G156" s="60" t="n"/>
      <c r="H156" s="60" t="n"/>
      <c r="I156" s="60" t="n"/>
      <c r="J156" s="183" t="n">
        <v>45740</v>
      </c>
      <c r="K156" s="102" t="n"/>
    </row>
    <row r="157">
      <c r="B157" s="73" t="inlineStr">
        <is>
          <t>clr_asset_realty</t>
        </is>
      </c>
      <c r="C157" s="60" t="inlineStr">
        <is>
          <t>REALIZATIONVALUE</t>
        </is>
      </c>
      <c r="D157" s="60" t="inlineStr">
        <is>
          <t>decimal(24,6)</t>
        </is>
      </c>
      <c r="E157" s="60" t="inlineStr">
        <is>
          <t>YES</t>
        </is>
      </c>
      <c r="F157" s="100" t="inlineStr">
        <is>
          <t>预计变现值</t>
        </is>
      </c>
      <c r="G157" s="60" t="n"/>
      <c r="H157" s="60" t="n"/>
      <c r="I157" s="60" t="n"/>
      <c r="J157" s="183" t="n">
        <v>45740</v>
      </c>
      <c r="K157" s="102" t="n"/>
    </row>
    <row r="158">
      <c r="B158" s="73" t="inlineStr">
        <is>
          <t>clr_asset_realty</t>
        </is>
      </c>
      <c r="C158" s="60" t="inlineStr">
        <is>
          <t>REALIZATIONCOST</t>
        </is>
      </c>
      <c r="D158" s="60" t="inlineStr">
        <is>
          <t>decimal(24,6)</t>
        </is>
      </c>
      <c r="E158" s="60" t="inlineStr">
        <is>
          <t>YES</t>
        </is>
      </c>
      <c r="F158" s="100" t="inlineStr">
        <is>
          <t>预计变现成本</t>
        </is>
      </c>
      <c r="G158" s="60" t="n"/>
      <c r="H158" s="60" t="n"/>
      <c r="I158" s="60" t="n"/>
      <c r="J158" s="183" t="n">
        <v>45740</v>
      </c>
      <c r="K158" s="102" t="n"/>
    </row>
    <row r="159">
      <c r="B159" s="73" t="inlineStr">
        <is>
          <t>clr_asset_realty</t>
        </is>
      </c>
      <c r="C159" s="60" t="inlineStr">
        <is>
          <t>LANDNO</t>
        </is>
      </c>
      <c r="D159" s="60" t="inlineStr">
        <is>
          <t>varchar(32)</t>
        </is>
      </c>
      <c r="E159" s="60" t="inlineStr">
        <is>
          <t>YES</t>
        </is>
      </c>
      <c r="F159" s="59" t="inlineStr">
        <is>
          <t>所属土地宗地号</t>
        </is>
      </c>
      <c r="G159" s="60" t="n"/>
      <c r="H159" s="60" t="n"/>
      <c r="I159" s="60" t="n"/>
      <c r="J159" s="183" t="n">
        <v>45740</v>
      </c>
      <c r="K159" s="102" t="n"/>
    </row>
    <row r="160">
      <c r="B160" s="73" t="inlineStr">
        <is>
          <t>clr_asset_realty</t>
        </is>
      </c>
      <c r="C160" s="60" t="inlineStr">
        <is>
          <t>HASLANDATTACHMENT</t>
        </is>
      </c>
      <c r="D160" s="60" t="inlineStr">
        <is>
          <t>varchar(6)</t>
        </is>
      </c>
      <c r="E160" s="60" t="inlineStr">
        <is>
          <t>YES</t>
        </is>
      </c>
      <c r="F160" s="59" t="inlineStr">
        <is>
          <t>地上有无附着物</t>
        </is>
      </c>
      <c r="G160" s="60" t="inlineStr"/>
      <c r="H160" s="60" t="inlineStr"/>
      <c r="I160" s="60" t="n"/>
      <c r="J160" s="183" t="n">
        <v>45740</v>
      </c>
      <c r="K160" s="102" t="n"/>
    </row>
    <row r="161">
      <c r="B161" s="73" t="inlineStr">
        <is>
          <t>clr_asset_realty</t>
        </is>
      </c>
      <c r="C161" s="60" t="inlineStr">
        <is>
          <t>HASLANDFIXTURE</t>
        </is>
      </c>
      <c r="D161" s="60" t="inlineStr">
        <is>
          <t>varchar(6)</t>
        </is>
      </c>
      <c r="E161" s="60" t="inlineStr">
        <is>
          <t>YES</t>
        </is>
      </c>
      <c r="F161" s="99" t="inlineStr">
        <is>
          <t>是否连带地上定着物</t>
        </is>
      </c>
      <c r="G161" s="60" t="inlineStr"/>
      <c r="H161" s="60" t="inlineStr"/>
      <c r="I161" s="60" t="n"/>
      <c r="J161" s="183" t="n">
        <v>45740</v>
      </c>
      <c r="K161" s="102" t="n"/>
    </row>
    <row r="162" ht="16" customHeight="1" s="170">
      <c r="B162" s="73" t="inlineStr">
        <is>
          <t>clr_asset_realty</t>
        </is>
      </c>
      <c r="C162" s="60" t="inlineStr">
        <is>
          <t>LANDNATURE</t>
        </is>
      </c>
      <c r="D162" s="60" t="inlineStr">
        <is>
          <t>varchar(6)</t>
        </is>
      </c>
      <c r="E162" s="60" t="inlineStr">
        <is>
          <t>YES</t>
        </is>
      </c>
      <c r="F162" s="59" t="inlineStr">
        <is>
          <t>土地性质</t>
        </is>
      </c>
      <c r="G162" s="60" t="inlineStr"/>
      <c r="H162" s="60" t="inlineStr">
        <is>
          <t>01 -出让、02-划拔、03-其他</t>
        </is>
      </c>
      <c r="I162" s="60" t="n"/>
      <c r="J162" s="183" t="n">
        <v>45740</v>
      </c>
      <c r="K162" s="102" t="n"/>
    </row>
    <row r="163">
      <c r="B163" s="73" t="inlineStr">
        <is>
          <t>clr_asset_realty</t>
        </is>
      </c>
      <c r="C163" s="60" t="inlineStr">
        <is>
          <t>WORKCOMPLETED</t>
        </is>
      </c>
      <c r="D163" s="59" t="inlineStr">
        <is>
          <t>varchar(200)</t>
        </is>
      </c>
      <c r="E163" s="60" t="inlineStr">
        <is>
          <t>YES</t>
        </is>
      </c>
      <c r="F163" s="59" t="inlineStr">
        <is>
          <t>已完成工程量</t>
        </is>
      </c>
      <c r="G163" s="60" t="inlineStr"/>
      <c r="H163" s="60" t="inlineStr"/>
      <c r="I163" s="60" t="n"/>
      <c r="J163" s="183" t="n">
        <v>45740</v>
      </c>
      <c r="K163" s="102" t="n"/>
    </row>
  </sheetData>
  <pageMargins left="0.75" right="0.75" top="1" bottom="1" header="0.5" footer="0.5"/>
  <pageSetup orientation="portrait" paperSize="1" horizontalDpi="300" verticalDpi="300"/>
</worksheet>
</file>

<file path=xl/worksheets/sheet74.xml><?xml version="1.0" encoding="utf-8"?>
<worksheet xmlns="http://schemas.openxmlformats.org/spreadsheetml/2006/main">
  <sheetPr>
    <outlinePr summaryBelow="1" summaryRight="1"/>
    <pageSetUpPr/>
  </sheetPr>
  <dimension ref="A1:Q118"/>
  <sheetViews>
    <sheetView zoomScaleSheetLayoutView="60" workbookViewId="0">
      <pane ySplit="2" topLeftCell="A80" activePane="bottomLeft" state="frozen"/>
      <selection activeCell="A1" sqref="A1"/>
      <selection pane="bottomLeft"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96">
        <f>HYPERLINK("#表结构清单!A1","返回")</f>
        <v/>
      </c>
      <c r="B1" t="inlineStr">
        <is>
          <t>应收账款;交易和收费权)</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clr_asset_receivable</t>
        </is>
      </c>
      <c r="C3" s="24" t="inlineStr">
        <is>
          <t>CLRID</t>
        </is>
      </c>
      <c r="D3" s="24" t="inlineStr">
        <is>
          <t>varchar(32)</t>
        </is>
      </c>
      <c r="E3" s="24" t="inlineStr">
        <is>
          <t>NO</t>
        </is>
      </c>
      <c r="F3" s="24" t="inlineStr">
        <is>
          <t>押品编号</t>
        </is>
      </c>
      <c r="G3" s="24" t="n"/>
      <c r="H3" s="24" t="n"/>
      <c r="I3" s="24" t="inlineStr"/>
      <c r="J3" s="24" t="inlineStr">
        <is>
          <t>2023/01/12</t>
        </is>
      </c>
    </row>
    <row r="4">
      <c r="B4" s="24" t="inlineStr">
        <is>
          <t>clr_asset_receivable</t>
        </is>
      </c>
      <c r="C4" s="24" t="inlineStr">
        <is>
          <t>BUSINESSLICENCENO</t>
        </is>
      </c>
      <c r="D4" s="24" t="inlineStr">
        <is>
          <t>varchar(32)</t>
        </is>
      </c>
      <c r="E4" s="24" t="inlineStr">
        <is>
          <t>YES</t>
        </is>
      </c>
      <c r="F4" s="43" t="inlineStr">
        <is>
          <t>营业执照编号/收款人营业执照号</t>
        </is>
      </c>
      <c r="G4" s="24" t="n"/>
      <c r="H4" s="24" t="n"/>
      <c r="I4" s="24" t="inlineStr"/>
      <c r="J4" s="24" t="inlineStr">
        <is>
          <t>2023/01/12</t>
        </is>
      </c>
    </row>
    <row r="5" ht="16.8" customHeight="1" s="170">
      <c r="B5" s="24" t="inlineStr">
        <is>
          <t>clr_asset_receivable</t>
        </is>
      </c>
      <c r="C5" s="24" t="inlineStr">
        <is>
          <t>INVOICENO</t>
        </is>
      </c>
      <c r="D5" s="24" t="inlineStr">
        <is>
          <t>varchar(32)</t>
        </is>
      </c>
      <c r="E5" s="24" t="inlineStr">
        <is>
          <t>YES</t>
        </is>
      </c>
      <c r="F5" s="24" t="inlineStr">
        <is>
          <t>发票号</t>
        </is>
      </c>
      <c r="G5" s="24" t="n"/>
      <c r="H5" s="24" t="n"/>
      <c r="I5" s="24" t="inlineStr"/>
      <c r="J5" s="24" t="inlineStr">
        <is>
          <t>2023/01/12</t>
        </is>
      </c>
      <c r="L5" s="79">
        <f>HYPERLINK("#CLR_INFO!A1","CLR_INFO")</f>
        <v/>
      </c>
    </row>
    <row r="6">
      <c r="B6" s="24" t="inlineStr">
        <is>
          <t>clr_asset_receivable</t>
        </is>
      </c>
      <c r="C6" s="24" t="inlineStr">
        <is>
          <t>ORDERNO</t>
        </is>
      </c>
      <c r="D6" s="24" t="inlineStr">
        <is>
          <t>varchar(32)</t>
        </is>
      </c>
      <c r="E6" s="24" t="inlineStr">
        <is>
          <t>YES</t>
        </is>
      </c>
      <c r="F6" s="24" t="inlineStr">
        <is>
          <t>合同或订单编号</t>
        </is>
      </c>
      <c r="G6" s="24" t="n"/>
      <c r="H6" s="24" t="n"/>
      <c r="I6" s="24" t="inlineStr"/>
      <c r="J6" s="24" t="inlineStr">
        <is>
          <t>2023/01/12</t>
        </is>
      </c>
    </row>
    <row r="7">
      <c r="B7" s="24" t="inlineStr">
        <is>
          <t>clr_asset_receivable</t>
        </is>
      </c>
      <c r="C7" s="24" t="inlineStr">
        <is>
          <t>ORDERNAME</t>
        </is>
      </c>
      <c r="D7" s="24" t="inlineStr">
        <is>
          <t>varchar(80)</t>
        </is>
      </c>
      <c r="E7" s="24" t="inlineStr">
        <is>
          <t>YES</t>
        </is>
      </c>
      <c r="F7" s="24" t="inlineStr">
        <is>
          <t>合同或订单名称</t>
        </is>
      </c>
      <c r="G7" s="24" t="n"/>
      <c r="H7" s="24" t="n"/>
      <c r="I7" s="24" t="inlineStr"/>
      <c r="J7" s="24" t="inlineStr">
        <is>
          <t>2023/01/12</t>
        </is>
      </c>
    </row>
    <row r="8">
      <c r="B8" s="24" t="inlineStr">
        <is>
          <t>clr_asset_receivable</t>
        </is>
      </c>
      <c r="C8" s="24" t="inlineStr">
        <is>
          <t>PAYEE</t>
        </is>
      </c>
      <c r="D8" s="24" t="inlineStr">
        <is>
          <t>varchar(80)</t>
        </is>
      </c>
      <c r="E8" s="24" t="inlineStr">
        <is>
          <t>YES</t>
        </is>
      </c>
      <c r="F8" s="24" t="inlineStr">
        <is>
          <t>应收账款收款人</t>
        </is>
      </c>
      <c r="G8" s="24" t="n"/>
      <c r="H8" s="24" t="n"/>
      <c r="I8" s="24" t="inlineStr"/>
      <c r="J8" s="24" t="inlineStr">
        <is>
          <t>2023/01/12</t>
        </is>
      </c>
    </row>
    <row r="9">
      <c r="B9" s="24" t="inlineStr">
        <is>
          <t>clr_asset_receivable</t>
        </is>
      </c>
      <c r="C9" s="24" t="inlineStr">
        <is>
          <t>DRAWEE</t>
        </is>
      </c>
      <c r="D9" s="24" t="inlineStr">
        <is>
          <t>varchar(80)</t>
        </is>
      </c>
      <c r="E9" s="24" t="inlineStr">
        <is>
          <t>YES</t>
        </is>
      </c>
      <c r="F9" s="24" t="inlineStr">
        <is>
          <t>应收账款付款人</t>
        </is>
      </c>
      <c r="G9" s="24" t="n"/>
      <c r="H9" s="24" t="n"/>
      <c r="I9" s="24" t="inlineStr"/>
      <c r="J9" s="24" t="inlineStr">
        <is>
          <t>2023/01/12</t>
        </is>
      </c>
    </row>
    <row r="10">
      <c r="B10" s="24" t="inlineStr">
        <is>
          <t>clr_asset_receivable</t>
        </is>
      </c>
      <c r="C10" s="24" t="inlineStr">
        <is>
          <t>ACCOUNTINFO</t>
        </is>
      </c>
      <c r="D10" s="24" t="inlineStr">
        <is>
          <t>varchar(500)</t>
        </is>
      </c>
      <c r="E10" s="24" t="inlineStr">
        <is>
          <t>YES</t>
        </is>
      </c>
      <c r="F10" s="24" t="inlineStr">
        <is>
          <t>应收账款登记信息</t>
        </is>
      </c>
      <c r="G10" s="24" t="n"/>
      <c r="H10" s="24" t="n"/>
      <c r="I10" s="24" t="inlineStr"/>
      <c r="J10" s="24" t="inlineStr">
        <is>
          <t>2023/01/12</t>
        </is>
      </c>
    </row>
    <row r="11">
      <c r="B11" s="24" t="inlineStr">
        <is>
          <t>clr_asset_receivable</t>
        </is>
      </c>
      <c r="C11" s="24" t="inlineStr">
        <is>
          <t>ACCOUNTCONTENT</t>
        </is>
      </c>
      <c r="D11" s="24" t="inlineStr">
        <is>
          <t>varchar(500)</t>
        </is>
      </c>
      <c r="E11" s="24" t="inlineStr">
        <is>
          <t>YES</t>
        </is>
      </c>
      <c r="F11" s="24" t="inlineStr">
        <is>
          <t>应收账款内容</t>
        </is>
      </c>
      <c r="G11" s="24" t="n"/>
      <c r="H11" s="24" t="n"/>
      <c r="I11" s="24" t="inlineStr"/>
      <c r="J11" s="24" t="inlineStr">
        <is>
          <t>2023/01/12</t>
        </is>
      </c>
    </row>
    <row r="12">
      <c r="B12" s="24" t="inlineStr">
        <is>
          <t>clr_asset_receivable</t>
        </is>
      </c>
      <c r="C12" s="24" t="inlineStr">
        <is>
          <t>CHARGETYPE</t>
        </is>
      </c>
      <c r="D12" s="24" t="inlineStr">
        <is>
          <t>varchar(6)</t>
        </is>
      </c>
      <c r="E12" s="24" t="inlineStr">
        <is>
          <t>YES</t>
        </is>
      </c>
      <c r="F12" s="24" t="inlineStr">
        <is>
          <t>收费权类型</t>
        </is>
      </c>
      <c r="G12" s="61">
        <f>HYPERLINK("#码值映射清单!B7953","TelecomScope")</f>
        <v/>
      </c>
      <c r="H12" s="24" t="n"/>
      <c r="I12" s="24" t="inlineStr"/>
      <c r="J12" s="24" t="inlineStr">
        <is>
          <t>2023/01/12</t>
        </is>
      </c>
    </row>
    <row r="13">
      <c r="B13" s="24" t="inlineStr">
        <is>
          <t>clr_asset_receivable</t>
        </is>
      </c>
      <c r="C13" s="24" t="inlineStr">
        <is>
          <t>SPECIALACCOUNTNAME</t>
        </is>
      </c>
      <c r="D13" s="24" t="inlineStr">
        <is>
          <t>varchar(80)</t>
        </is>
      </c>
      <c r="E13" s="24" t="inlineStr">
        <is>
          <t>YES</t>
        </is>
      </c>
      <c r="F13" s="24" t="inlineStr">
        <is>
          <t>收费权专用账户户名/专用账户户名/收费权专用账户户名</t>
        </is>
      </c>
      <c r="G13" s="24" t="n"/>
      <c r="H13" s="24" t="n"/>
      <c r="I13" s="24" t="inlineStr"/>
      <c r="J13" s="24" t="inlineStr">
        <is>
          <t>2023/01/12</t>
        </is>
      </c>
    </row>
    <row r="14">
      <c r="B14" s="24" t="inlineStr">
        <is>
          <t>clr_asset_receivable</t>
        </is>
      </c>
      <c r="C14" s="24" t="inlineStr">
        <is>
          <t>SPECIALACCOUNTNO</t>
        </is>
      </c>
      <c r="D14" s="24" t="inlineStr">
        <is>
          <t>varchar(32)</t>
        </is>
      </c>
      <c r="E14" s="24" t="inlineStr">
        <is>
          <t>YES</t>
        </is>
      </c>
      <c r="F14" s="43" t="inlineStr">
        <is>
          <t>收费权专用账户账号/专用账户账号/收费权专用账户账号/应收账款收款人专用账户账号</t>
        </is>
      </c>
      <c r="G14" s="24" t="n"/>
      <c r="H14" s="24" t="n"/>
      <c r="I14" s="24" t="inlineStr"/>
      <c r="J14" s="24" t="inlineStr">
        <is>
          <t>2023/01/12</t>
        </is>
      </c>
    </row>
    <row r="15">
      <c r="B15" s="24" t="inlineStr">
        <is>
          <t>clr_asset_receivable</t>
        </is>
      </c>
      <c r="C15" s="24" t="inlineStr">
        <is>
          <t>SPECIALACCOUNTBANK</t>
        </is>
      </c>
      <c r="D15" s="24" t="inlineStr">
        <is>
          <t>varchar(80)</t>
        </is>
      </c>
      <c r="E15" s="24" t="inlineStr">
        <is>
          <t>YES</t>
        </is>
      </c>
      <c r="F15" s="43" t="inlineStr">
        <is>
          <t>收费权专用账户开户行/专用账户开户行/收费权专用账户开户行/应收账款收款人专用账户开户行</t>
        </is>
      </c>
      <c r="G15" s="24" t="n"/>
      <c r="H15" s="24" t="n"/>
      <c r="I15" s="24" t="inlineStr"/>
      <c r="J15" s="24" t="inlineStr">
        <is>
          <t>2023/01/12</t>
        </is>
      </c>
    </row>
    <row r="16">
      <c r="B16" s="24" t="inlineStr">
        <is>
          <t>clr_asset_receivable</t>
        </is>
      </c>
      <c r="C16" s="24" t="inlineStr">
        <is>
          <t>CURRENCY</t>
        </is>
      </c>
      <c r="D16" s="24" t="inlineStr">
        <is>
          <t>varchar(18)</t>
        </is>
      </c>
      <c r="E16" s="24" t="inlineStr">
        <is>
          <t>YES</t>
        </is>
      </c>
      <c r="F16" s="24" t="inlineStr">
        <is>
          <t>币种</t>
        </is>
      </c>
      <c r="G16" s="52">
        <f>HYPERLINK("#码值映射清单!B2469","Currency")</f>
        <v/>
      </c>
      <c r="H16" s="24" t="n"/>
      <c r="I16" s="24" t="inlineStr"/>
      <c r="J16" s="24" t="inlineStr">
        <is>
          <t>2023/01/12</t>
        </is>
      </c>
    </row>
    <row r="17">
      <c r="B17" s="24" t="inlineStr">
        <is>
          <t>clr_asset_receivable</t>
        </is>
      </c>
      <c r="C17" s="24" t="inlineStr">
        <is>
          <t>DEALACCOUNTAMOUNT</t>
        </is>
      </c>
      <c r="D17" s="24" t="inlineStr">
        <is>
          <t>decimal(24,6)</t>
        </is>
      </c>
      <c r="E17" s="24" t="inlineStr">
        <is>
          <t>YES</t>
        </is>
      </c>
      <c r="F17" s="43" t="inlineStr">
        <is>
          <t>交易类应收账款金额/应收账款总金额</t>
        </is>
      </c>
      <c r="G17" s="24" t="n"/>
      <c r="H17" s="24" t="n"/>
      <c r="I17" s="24" t="inlineStr"/>
      <c r="J17" s="24" t="inlineStr">
        <is>
          <t>2023/01/12</t>
        </is>
      </c>
    </row>
    <row r="18">
      <c r="B18" s="24" t="inlineStr">
        <is>
          <t>clr_asset_receivable</t>
        </is>
      </c>
      <c r="C18" s="24" t="inlineStr">
        <is>
          <t>DEALACCOUNTAGE</t>
        </is>
      </c>
      <c r="D18" s="24" t="inlineStr">
        <is>
          <t>decimal(18,2)</t>
        </is>
      </c>
      <c r="E18" s="24" t="inlineStr">
        <is>
          <t>YES</t>
        </is>
      </c>
      <c r="F18" s="24" t="inlineStr">
        <is>
          <t>交易类应收账款账龄</t>
        </is>
      </c>
      <c r="G18" s="24" t="n"/>
      <c r="H18" s="24" t="n"/>
      <c r="I18" s="24" t="inlineStr"/>
      <c r="J18" s="24" t="inlineStr">
        <is>
          <t>2023/01/12</t>
        </is>
      </c>
    </row>
    <row r="19">
      <c r="B19" s="24" t="inlineStr">
        <is>
          <t>clr_asset_receivable</t>
        </is>
      </c>
      <c r="C19" s="24" t="inlineStr">
        <is>
          <t>ACCOUNTHONOURINFO</t>
        </is>
      </c>
      <c r="D19" s="24" t="inlineStr">
        <is>
          <t>varchar(500)</t>
        </is>
      </c>
      <c r="E19" s="24" t="inlineStr">
        <is>
          <t>YES</t>
        </is>
      </c>
      <c r="F19" s="24" t="inlineStr">
        <is>
          <t>应收帐款承兑情况</t>
        </is>
      </c>
      <c r="G19" s="24" t="n"/>
      <c r="H19" s="24" t="n"/>
      <c r="I19" s="24" t="inlineStr"/>
      <c r="J19" s="24" t="inlineStr">
        <is>
          <t>2023/01/12</t>
        </is>
      </c>
    </row>
    <row r="20">
      <c r="B20" s="24" t="inlineStr">
        <is>
          <t>clr_asset_receivable</t>
        </is>
      </c>
      <c r="C20" s="24" t="inlineStr">
        <is>
          <t>BUSINESSUNREST</t>
        </is>
      </c>
      <c r="D20" s="24" t="inlineStr">
        <is>
          <t>varchar(500)</t>
        </is>
      </c>
      <c r="E20" s="24" t="inlineStr">
        <is>
          <t>YES</t>
        </is>
      </c>
      <c r="F20" s="24" t="inlineStr">
        <is>
          <t>商业纠纷记录</t>
        </is>
      </c>
      <c r="G20" s="24" t="n"/>
      <c r="H20" s="24" t="n"/>
      <c r="I20" s="24" t="inlineStr"/>
      <c r="J20" s="24" t="inlineStr">
        <is>
          <t>2023/01/12</t>
        </is>
      </c>
    </row>
    <row r="21">
      <c r="B21" s="24" t="inlineStr">
        <is>
          <t>clr_asset_receivable</t>
        </is>
      </c>
      <c r="C21" s="24" t="inlineStr">
        <is>
          <t>ROADNAME</t>
        </is>
      </c>
      <c r="D21" s="24" t="inlineStr">
        <is>
          <t>varchar(80)</t>
        </is>
      </c>
      <c r="E21" s="24" t="inlineStr">
        <is>
          <t>YES</t>
        </is>
      </c>
      <c r="F21" s="43" t="inlineStr">
        <is>
          <t>公路名称/收费公路名称</t>
        </is>
      </c>
      <c r="G21" s="24" t="n"/>
      <c r="H21" s="24" t="n"/>
      <c r="I21" s="24" t="inlineStr"/>
      <c r="J21" s="24" t="inlineStr">
        <is>
          <t>2023/01/12</t>
        </is>
      </c>
    </row>
    <row r="22">
      <c r="B22" s="24" t="inlineStr">
        <is>
          <t>clr_asset_receivable</t>
        </is>
      </c>
      <c r="C22" s="24" t="inlineStr">
        <is>
          <t>TOLLSTATION</t>
        </is>
      </c>
      <c r="D22" s="24" t="inlineStr">
        <is>
          <t>varchar(80)</t>
        </is>
      </c>
      <c r="E22" s="24" t="inlineStr">
        <is>
          <t>YES</t>
        </is>
      </c>
      <c r="F22" s="43" t="inlineStr">
        <is>
          <t>公路段所属收费站/所在收费站说明</t>
        </is>
      </c>
      <c r="G22" s="24" t="n"/>
      <c r="H22" s="24" t="n"/>
      <c r="I22" s="24" t="inlineStr"/>
      <c r="J22" s="24" t="inlineStr">
        <is>
          <t>2023/01/12</t>
        </is>
      </c>
    </row>
    <row r="23">
      <c r="B23" s="24" t="inlineStr">
        <is>
          <t>clr_asset_receivable</t>
        </is>
      </c>
      <c r="C23" s="24" t="inlineStr">
        <is>
          <t>TOLLSTARTTIME</t>
        </is>
      </c>
      <c r="D23" s="24" t="inlineStr">
        <is>
          <t>date</t>
        </is>
      </c>
      <c r="E23" s="24" t="inlineStr">
        <is>
          <t>YES</t>
        </is>
      </c>
      <c r="F23" s="43" t="inlineStr">
        <is>
          <t>收费起始时间</t>
        </is>
      </c>
      <c r="G23" s="24" t="n"/>
      <c r="H23" s="43" t="inlineStr">
        <is>
          <t>暂时不用</t>
        </is>
      </c>
      <c r="I23" s="24" t="inlineStr"/>
      <c r="J23" s="24" t="inlineStr">
        <is>
          <t>2023/01/12</t>
        </is>
      </c>
    </row>
    <row r="24">
      <c r="B24" s="24" t="inlineStr">
        <is>
          <t>clr_asset_receivable</t>
        </is>
      </c>
      <c r="C24" s="24" t="inlineStr">
        <is>
          <t>TOLLRIGHTATTR</t>
        </is>
      </c>
      <c r="D24" s="24" t="inlineStr">
        <is>
          <t>varchar(6)</t>
        </is>
      </c>
      <c r="E24" s="24" t="inlineStr">
        <is>
          <t>YES</t>
        </is>
      </c>
      <c r="F24" s="24" t="inlineStr">
        <is>
          <t>公路收费权属性</t>
        </is>
      </c>
      <c r="G24" s="24" t="n"/>
      <c r="H24" s="24" t="n"/>
      <c r="I24" s="24" t="inlineStr"/>
      <c r="J24" s="24" t="inlineStr">
        <is>
          <t>2023/01/12</t>
        </is>
      </c>
    </row>
    <row r="25">
      <c r="B25" s="24" t="inlineStr">
        <is>
          <t>clr_asset_receivable</t>
        </is>
      </c>
      <c r="C25" s="24" t="inlineStr">
        <is>
          <t>ROADTYPE</t>
        </is>
      </c>
      <c r="D25" s="24" t="inlineStr">
        <is>
          <t>varchar(6)</t>
        </is>
      </c>
      <c r="E25" s="24" t="inlineStr">
        <is>
          <t>YES</t>
        </is>
      </c>
      <c r="F25" s="24" t="inlineStr">
        <is>
          <t>公路类别</t>
        </is>
      </c>
      <c r="G25" s="52">
        <f>HYPERLINK("#码值映射清单!B9764","RoadType")</f>
        <v/>
      </c>
      <c r="H25" s="24" t="n"/>
      <c r="I25" s="24" t="inlineStr"/>
      <c r="J25" s="24" t="inlineStr">
        <is>
          <t>2023/01/12</t>
        </is>
      </c>
    </row>
    <row r="26">
      <c r="B26" s="24" t="inlineStr">
        <is>
          <t>clr_asset_receivable</t>
        </is>
      </c>
      <c r="C26" s="24" t="inlineStr">
        <is>
          <t>BUSINESSSCOPE</t>
        </is>
      </c>
      <c r="D26" s="24" t="inlineStr">
        <is>
          <t>varchar(500)</t>
        </is>
      </c>
      <c r="E26" s="24" t="inlineStr">
        <is>
          <t>YES</t>
        </is>
      </c>
      <c r="F26" s="43" t="inlineStr">
        <is>
          <t>公路收费权经营范围/收费权经营范围</t>
        </is>
      </c>
      <c r="G26" s="52">
        <f>HYPERLINK("#码值映射清单!B2635","BusinessScope")</f>
        <v/>
      </c>
      <c r="H26" s="24" t="n"/>
      <c r="I26" s="24" t="inlineStr"/>
      <c r="J26" s="24" t="inlineStr">
        <is>
          <t>2023/01/12</t>
        </is>
      </c>
    </row>
    <row r="27">
      <c r="B27" s="24" t="inlineStr">
        <is>
          <t>clr_asset_receivable</t>
        </is>
      </c>
      <c r="C27" s="24" t="inlineStr">
        <is>
          <t>BRLENGTH</t>
        </is>
      </c>
      <c r="D27" s="24" t="inlineStr">
        <is>
          <t>decimal(18,2)</t>
        </is>
      </c>
      <c r="E27" s="24" t="inlineStr">
        <is>
          <t>YES</t>
        </is>
      </c>
      <c r="F27" s="24" t="inlineStr">
        <is>
          <t>路桥长度</t>
        </is>
      </c>
      <c r="G27" s="24" t="n"/>
      <c r="H27" s="24" t="n"/>
      <c r="I27" s="24" t="inlineStr"/>
      <c r="J27" s="24" t="inlineStr">
        <is>
          <t>2023/01/12</t>
        </is>
      </c>
    </row>
    <row r="28">
      <c r="B28" s="24" t="inlineStr">
        <is>
          <t>clr_asset_receivable</t>
        </is>
      </c>
      <c r="C28" s="24" t="inlineStr">
        <is>
          <t>ROADOPENEDTIME</t>
        </is>
      </c>
      <c r="D28" s="24" t="inlineStr">
        <is>
          <t>decimal(18,2)</t>
        </is>
      </c>
      <c r="E28" s="24" t="inlineStr">
        <is>
          <t>YES</t>
        </is>
      </c>
      <c r="F28" s="24" t="inlineStr">
        <is>
          <t>公路已通车时间</t>
        </is>
      </c>
      <c r="G28" s="24" t="n"/>
      <c r="H28" s="24" t="n"/>
      <c r="I28" s="24" t="inlineStr"/>
      <c r="J28" s="24" t="inlineStr">
        <is>
          <t>2023/01/12</t>
        </is>
      </c>
    </row>
    <row r="29">
      <c r="B29" s="24" t="inlineStr">
        <is>
          <t>clr_asset_receivable</t>
        </is>
      </c>
      <c r="C29" s="24" t="inlineStr">
        <is>
          <t>ROADLEVEL</t>
        </is>
      </c>
      <c r="D29" s="24" t="inlineStr">
        <is>
          <t>varchar(6)</t>
        </is>
      </c>
      <c r="E29" s="24" t="inlineStr">
        <is>
          <t>YES</t>
        </is>
      </c>
      <c r="F29" s="24" t="inlineStr">
        <is>
          <t>公路等级</t>
        </is>
      </c>
      <c r="G29" s="52">
        <f>HYPERLINK("#码值映射清单!B3599","RoadLevel")</f>
        <v/>
      </c>
      <c r="H29" s="24" t="n"/>
      <c r="I29" s="24" t="inlineStr"/>
      <c r="J29" s="24" t="inlineStr">
        <is>
          <t>2023/01/12</t>
        </is>
      </c>
    </row>
    <row r="30">
      <c r="B30" s="24" t="inlineStr">
        <is>
          <t>clr_asset_receivable</t>
        </is>
      </c>
      <c r="C30" s="24" t="inlineStr">
        <is>
          <t>TRAFFICAMOUNT</t>
        </is>
      </c>
      <c r="D30" s="24" t="inlineStr">
        <is>
          <t>varchar(500)</t>
        </is>
      </c>
      <c r="E30" s="24" t="inlineStr">
        <is>
          <t>YES</t>
        </is>
      </c>
      <c r="F30" s="43" t="inlineStr">
        <is>
          <t>交通量说明</t>
        </is>
      </c>
      <c r="G30" s="24" t="n"/>
      <c r="H30" s="24" t="n"/>
      <c r="I30" s="24" t="inlineStr"/>
      <c r="J30" s="24" t="inlineStr">
        <is>
          <t>2023/01/12</t>
        </is>
      </c>
    </row>
    <row r="31">
      <c r="B31" s="24" t="inlineStr">
        <is>
          <t>clr_asset_receivable</t>
        </is>
      </c>
      <c r="C31" s="24" t="inlineStr">
        <is>
          <t>TOLLINCOME</t>
        </is>
      </c>
      <c r="D31" s="24" t="inlineStr">
        <is>
          <t>varchar(500)</t>
        </is>
      </c>
      <c r="E31" s="24" t="inlineStr">
        <is>
          <t>YES</t>
        </is>
      </c>
      <c r="F31" s="43" t="inlineStr">
        <is>
          <t>收费收入情况总体说明</t>
        </is>
      </c>
      <c r="G31" s="24" t="n"/>
      <c r="H31" s="24" t="n"/>
      <c r="I31" s="24" t="inlineStr"/>
      <c r="J31" s="24" t="inlineStr">
        <is>
          <t>2023/01/12</t>
        </is>
      </c>
    </row>
    <row r="32">
      <c r="B32" s="24" t="inlineStr">
        <is>
          <t>clr_asset_receivable</t>
        </is>
      </c>
      <c r="C32" s="24" t="inlineStr">
        <is>
          <t>PLANNING</t>
        </is>
      </c>
      <c r="D32" s="24" t="inlineStr">
        <is>
          <t>varchar(500)</t>
        </is>
      </c>
      <c r="E32" s="24" t="inlineStr">
        <is>
          <t>YES</t>
        </is>
      </c>
      <c r="F32" s="24" t="inlineStr">
        <is>
          <t>近期或未来涉及所在公路的规划或特殊政策</t>
        </is>
      </c>
      <c r="G32" s="24" t="n"/>
      <c r="H32" s="24" t="n"/>
      <c r="I32" s="24" t="inlineStr"/>
      <c r="J32" s="24" t="inlineStr">
        <is>
          <t>2023/01/12</t>
        </is>
      </c>
    </row>
    <row r="33">
      <c r="B33" s="24" t="inlineStr">
        <is>
          <t>clr_asset_receivable</t>
        </is>
      </c>
      <c r="C33" s="24" t="inlineStr">
        <is>
          <t>LOANUSE</t>
        </is>
      </c>
      <c r="D33" s="24" t="inlineStr">
        <is>
          <t>varchar(500)</t>
        </is>
      </c>
      <c r="E33" s="24" t="inlineStr">
        <is>
          <t>YES</t>
        </is>
      </c>
      <c r="F33" s="24" t="inlineStr">
        <is>
          <t>贷款用途</t>
        </is>
      </c>
      <c r="G33" s="24" t="n"/>
      <c r="H33" s="24" t="n"/>
      <c r="I33" s="24" t="inlineStr"/>
      <c r="J33" s="24" t="inlineStr">
        <is>
          <t>2023/01/12</t>
        </is>
      </c>
    </row>
    <row r="34">
      <c r="B34" s="24" t="inlineStr">
        <is>
          <t>clr_asset_receivable</t>
        </is>
      </c>
      <c r="C34" s="24" t="inlineStr">
        <is>
          <t>TOLLORG</t>
        </is>
      </c>
      <c r="D34" s="24" t="inlineStr">
        <is>
          <t>varchar(80)</t>
        </is>
      </c>
      <c r="E34" s="24" t="inlineStr">
        <is>
          <t>YES</t>
        </is>
      </c>
      <c r="F34" s="43" t="inlineStr">
        <is>
          <t>收费单位/收费单位名称</t>
        </is>
      </c>
      <c r="G34" s="24" t="n"/>
      <c r="H34" s="24" t="n"/>
      <c r="I34" s="24" t="inlineStr"/>
      <c r="J34" s="24" t="inlineStr">
        <is>
          <t>2023/01/12</t>
        </is>
      </c>
    </row>
    <row r="35">
      <c r="B35" s="24" t="inlineStr">
        <is>
          <t>clr_asset_receivable</t>
        </is>
      </c>
      <c r="C35" s="24" t="inlineStr">
        <is>
          <t>LICENSEAPPROVEORG</t>
        </is>
      </c>
      <c r="D35" s="24" t="inlineStr">
        <is>
          <t>varchar(80)</t>
        </is>
      </c>
      <c r="E35" s="24" t="inlineStr">
        <is>
          <t>YES</t>
        </is>
      </c>
      <c r="F35" s="43" t="inlineStr">
        <is>
          <t>收费权许可证批文单位/收费权权利证书批准单位/权利批准机构</t>
        </is>
      </c>
      <c r="G35" s="24" t="n"/>
      <c r="H35" s="24" t="n"/>
      <c r="I35" s="24" t="inlineStr"/>
      <c r="J35" s="24" t="inlineStr">
        <is>
          <t>2023/01/12</t>
        </is>
      </c>
    </row>
    <row r="36">
      <c r="B36" s="24" t="inlineStr">
        <is>
          <t>clr_asset_receivable</t>
        </is>
      </c>
      <c r="C36" s="24" t="inlineStr">
        <is>
          <t>TOLLLICENSENO</t>
        </is>
      </c>
      <c r="D36" s="24" t="inlineStr">
        <is>
          <t>varchar(80)</t>
        </is>
      </c>
      <c r="E36" s="24" t="inlineStr">
        <is>
          <t>YES</t>
        </is>
      </c>
      <c r="F36" s="43" t="inlineStr">
        <is>
          <t>收费权许可证号/收费权权利证书号码/应收账款和收费权许可证号</t>
        </is>
      </c>
      <c r="G36" s="24" t="n"/>
      <c r="H36" s="24" t="n"/>
      <c r="I36" s="24" t="inlineStr"/>
      <c r="J36" s="24" t="inlineStr">
        <is>
          <t>2023/01/12</t>
        </is>
      </c>
    </row>
    <row r="37">
      <c r="B37" s="24" t="inlineStr">
        <is>
          <t>clr_asset_receivable</t>
        </is>
      </c>
      <c r="C37" s="24" t="inlineStr">
        <is>
          <t>TOLLPROJECTNAME</t>
        </is>
      </c>
      <c r="D37" s="24" t="inlineStr">
        <is>
          <t>varchar(80)</t>
        </is>
      </c>
      <c r="E37" s="24" t="inlineStr">
        <is>
          <t>YES</t>
        </is>
      </c>
      <c r="F37" s="43" t="inlineStr">
        <is>
          <t>收费项目名称/收费权收费项目名称</t>
        </is>
      </c>
      <c r="G37" s="24" t="n"/>
      <c r="H37" s="24" t="n"/>
      <c r="I37" s="24" t="inlineStr"/>
      <c r="J37" s="24" t="inlineStr">
        <is>
          <t>2023/01/12</t>
        </is>
      </c>
    </row>
    <row r="38">
      <c r="B38" s="24" t="inlineStr">
        <is>
          <t>clr_asset_receivable</t>
        </is>
      </c>
      <c r="C38" s="24" t="inlineStr">
        <is>
          <t>TOLLSCOPE</t>
        </is>
      </c>
      <c r="D38" s="24" t="inlineStr">
        <is>
          <t>varchar(80)</t>
        </is>
      </c>
      <c r="E38" s="24" t="inlineStr">
        <is>
          <t>YES</t>
        </is>
      </c>
      <c r="F38" s="24" t="inlineStr">
        <is>
          <t>收费权适用范围</t>
        </is>
      </c>
      <c r="G38" s="24" t="n"/>
      <c r="H38" s="24" t="n"/>
      <c r="I38" s="24" t="inlineStr"/>
      <c r="J38" s="24" t="inlineStr">
        <is>
          <t>2023/01/12</t>
        </is>
      </c>
    </row>
    <row r="39">
      <c r="B39" s="24" t="inlineStr">
        <is>
          <t>clr_asset_receivable</t>
        </is>
      </c>
      <c r="C39" s="24" t="inlineStr">
        <is>
          <t>FEESCALE</t>
        </is>
      </c>
      <c r="D39" s="24" t="inlineStr">
        <is>
          <t>varchar(500)</t>
        </is>
      </c>
      <c r="E39" s="24" t="inlineStr">
        <is>
          <t>YES</t>
        </is>
      </c>
      <c r="F39" s="43" t="inlineStr">
        <is>
          <t>收费标准说明</t>
        </is>
      </c>
      <c r="G39" s="24" t="n"/>
      <c r="H39" s="24" t="n"/>
      <c r="I39" s="24" t="inlineStr"/>
      <c r="J39" s="24" t="inlineStr">
        <is>
          <t>2023/01/12</t>
        </is>
      </c>
    </row>
    <row r="40">
      <c r="B40" s="24" t="inlineStr">
        <is>
          <t>clr_asset_receivable</t>
        </is>
      </c>
      <c r="C40" s="24" t="inlineStr">
        <is>
          <t>SALEDELECVOLUME</t>
        </is>
      </c>
      <c r="D40" s="24" t="inlineStr">
        <is>
          <t>decimal(18,2)</t>
        </is>
      </c>
      <c r="E40" s="24" t="inlineStr">
        <is>
          <t>YES</t>
        </is>
      </c>
      <c r="F40" s="24" t="inlineStr">
        <is>
          <t>已销售电量</t>
        </is>
      </c>
      <c r="G40" s="24" t="n"/>
      <c r="H40" s="24" t="n"/>
      <c r="I40" s="24" t="inlineStr"/>
      <c r="J40" s="24" t="inlineStr">
        <is>
          <t>2023/01/12</t>
        </is>
      </c>
    </row>
    <row r="41">
      <c r="B41" s="24" t="inlineStr">
        <is>
          <t>clr_asset_receivable</t>
        </is>
      </c>
      <c r="C41" s="24" t="inlineStr">
        <is>
          <t>CURELECPRICE</t>
        </is>
      </c>
      <c r="D41" s="24" t="inlineStr">
        <is>
          <t>decimal(18,2)</t>
        </is>
      </c>
      <c r="E41" s="24" t="inlineStr">
        <is>
          <t>YES</t>
        </is>
      </c>
      <c r="F41" s="24" t="inlineStr">
        <is>
          <t>当前销售电价</t>
        </is>
      </c>
      <c r="G41" s="24" t="n"/>
      <c r="H41" s="24" t="n"/>
      <c r="I41" s="24" t="inlineStr"/>
      <c r="J41" s="24" t="inlineStr">
        <is>
          <t>2023/01/12</t>
        </is>
      </c>
    </row>
    <row r="42">
      <c r="B42" s="24" t="inlineStr">
        <is>
          <t>clr_asset_receivable</t>
        </is>
      </c>
      <c r="C42" s="24" t="inlineStr">
        <is>
          <t>CURELECPIRCEBASICTIME</t>
        </is>
      </c>
      <c r="D42" s="24" t="inlineStr">
        <is>
          <t>datetime</t>
        </is>
      </c>
      <c r="E42" s="24" t="inlineStr">
        <is>
          <t>YES</t>
        </is>
      </c>
      <c r="F42" s="24" t="inlineStr">
        <is>
          <t>当前电价基准时间</t>
        </is>
      </c>
      <c r="G42" s="24" t="n"/>
      <c r="H42" s="24" t="n"/>
      <c r="I42" s="24" t="inlineStr"/>
      <c r="J42" s="24" t="inlineStr">
        <is>
          <t>2023/01/12</t>
        </is>
      </c>
    </row>
    <row r="43">
      <c r="B43" s="24" t="inlineStr">
        <is>
          <t>clr_asset_receivable</t>
        </is>
      </c>
      <c r="C43" s="24" t="inlineStr">
        <is>
          <t>TOLLTRANSFERINFO</t>
        </is>
      </c>
      <c r="D43" s="24" t="inlineStr">
        <is>
          <t>varchar(500)</t>
        </is>
      </c>
      <c r="E43" s="24" t="inlineStr">
        <is>
          <t>YES</t>
        </is>
      </c>
      <c r="F43" s="24" t="inlineStr">
        <is>
          <t>收费权转让情况</t>
        </is>
      </c>
      <c r="G43" s="24" t="n"/>
      <c r="H43" s="24" t="n"/>
      <c r="I43" s="24" t="inlineStr"/>
      <c r="J43" s="24" t="inlineStr">
        <is>
          <t>2023/01/12</t>
        </is>
      </c>
    </row>
    <row r="44">
      <c r="B44" s="24" t="inlineStr">
        <is>
          <t>clr_asset_receivable</t>
        </is>
      </c>
      <c r="C44" s="24" t="inlineStr">
        <is>
          <t>STARTDATE</t>
        </is>
      </c>
      <c r="D44" s="24" t="inlineStr">
        <is>
          <t>datetime</t>
        </is>
      </c>
      <c r="E44" s="24" t="inlineStr">
        <is>
          <t>YES</t>
        </is>
      </c>
      <c r="F44" s="49" t="inlineStr">
        <is>
          <t>应收账款和收费权起始时间/应收账款起始时间</t>
        </is>
      </c>
      <c r="G44" s="24" t="n"/>
      <c r="H44" s="24" t="n"/>
      <c r="I44" s="24" t="inlineStr"/>
      <c r="J44" s="24" t="inlineStr">
        <is>
          <t>2023/01/12</t>
        </is>
      </c>
    </row>
    <row r="45">
      <c r="B45" s="24" t="inlineStr">
        <is>
          <t>clr_asset_receivable</t>
        </is>
      </c>
      <c r="C45" s="24" t="inlineStr">
        <is>
          <t>ENDDATE</t>
        </is>
      </c>
      <c r="D45" s="24" t="inlineStr">
        <is>
          <t>datetime</t>
        </is>
      </c>
      <c r="E45" s="24" t="inlineStr">
        <is>
          <t>YES</t>
        </is>
      </c>
      <c r="F45" s="43" t="inlineStr">
        <is>
          <t>应收账款和收费权终止时间/应收账款终止时间/收费权终止时间</t>
        </is>
      </c>
      <c r="G45" s="24" t="n"/>
      <c r="H45" s="24" t="n"/>
      <c r="I45" s="24" t="inlineStr"/>
      <c r="J45" s="24" t="inlineStr">
        <is>
          <t>2023/01/12</t>
        </is>
      </c>
    </row>
    <row r="46">
      <c r="B46" s="24" t="inlineStr">
        <is>
          <t>clr_asset_receivable</t>
        </is>
      </c>
      <c r="C46" s="24" t="inlineStr">
        <is>
          <t>ACCOUNTINITCODE</t>
        </is>
      </c>
      <c r="D46" s="24" t="inlineStr">
        <is>
          <t>varchar(32)</t>
        </is>
      </c>
      <c r="E46" s="24" t="inlineStr">
        <is>
          <t>YES</t>
        </is>
      </c>
      <c r="F46" s="24" t="inlineStr">
        <is>
          <t>应收账款初始登记号</t>
        </is>
      </c>
      <c r="G46" s="24" t="n"/>
      <c r="H46" s="24" t="n"/>
      <c r="I46" s="24" t="inlineStr"/>
      <c r="J46" s="24" t="inlineStr">
        <is>
          <t>2023/01/12</t>
        </is>
      </c>
    </row>
    <row r="47">
      <c r="B47" s="24" t="inlineStr">
        <is>
          <t>clr_asset_receivable</t>
        </is>
      </c>
      <c r="C47" s="24" t="inlineStr">
        <is>
          <t>PLEDGESTARTDATE</t>
        </is>
      </c>
      <c r="D47" s="24" t="inlineStr">
        <is>
          <t>datetime</t>
        </is>
      </c>
      <c r="E47" s="24" t="inlineStr">
        <is>
          <t>YES</t>
        </is>
      </c>
      <c r="F47" s="24" t="inlineStr">
        <is>
          <t>质押期起始时间;交易类应收账款不适用)</t>
        </is>
      </c>
      <c r="G47" s="24" t="n"/>
      <c r="H47" s="24" t="n"/>
      <c r="I47" s="24" t="inlineStr"/>
      <c r="J47" s="24" t="inlineStr">
        <is>
          <t>2023/01/12</t>
        </is>
      </c>
    </row>
    <row r="48">
      <c r="B48" s="24" t="inlineStr">
        <is>
          <t>clr_asset_receivable</t>
        </is>
      </c>
      <c r="C48" s="24" t="inlineStr">
        <is>
          <t>PLEDGEENDDATE</t>
        </is>
      </c>
      <c r="D48" s="24" t="inlineStr">
        <is>
          <t>datetime</t>
        </is>
      </c>
      <c r="E48" s="24" t="inlineStr">
        <is>
          <t>YES</t>
        </is>
      </c>
      <c r="F48" s="24" t="inlineStr">
        <is>
          <t>质押期终止时间;交易类应收账款不适用)</t>
        </is>
      </c>
      <c r="G48" s="24" t="n"/>
      <c r="H48" s="24" t="n"/>
      <c r="I48" s="24" t="inlineStr"/>
      <c r="J48" s="24" t="inlineStr">
        <is>
          <t>2023/01/12</t>
        </is>
      </c>
    </row>
    <row r="49">
      <c r="B49" s="24" t="inlineStr">
        <is>
          <t>clr_asset_receivable</t>
        </is>
      </c>
      <c r="C49" s="24" t="inlineStr">
        <is>
          <t>TOLLCHARGEINFO</t>
        </is>
      </c>
      <c r="D49" s="24" t="inlineStr">
        <is>
          <t>varchar(500)</t>
        </is>
      </c>
      <c r="E49" s="24" t="inlineStr">
        <is>
          <t>YES</t>
        </is>
      </c>
      <c r="F49" s="24" t="inlineStr">
        <is>
          <t>通信、网络、有限电视收费权收费收入情况</t>
        </is>
      </c>
      <c r="G49" s="24" t="n"/>
      <c r="H49" s="24" t="n"/>
      <c r="I49" s="24" t="inlineStr"/>
      <c r="J49" s="24" t="inlineStr">
        <is>
          <t>2023/01/12</t>
        </is>
      </c>
    </row>
    <row r="50">
      <c r="B50" s="24" t="inlineStr">
        <is>
          <t>clr_asset_receivable</t>
        </is>
      </c>
      <c r="C50" s="24" t="inlineStr">
        <is>
          <t>TR01FLAG01</t>
        </is>
      </c>
      <c r="D50" s="24" t="inlineStr">
        <is>
          <t>char(1)</t>
        </is>
      </c>
      <c r="E50" s="24" t="inlineStr">
        <is>
          <t>YES</t>
        </is>
      </c>
      <c r="F50" s="24" t="inlineStr">
        <is>
          <t>是否已提交公路建设经营项目立项、评估和批准开工的批文（已建成的除外）</t>
        </is>
      </c>
      <c r="G50" s="52">
        <f>HYPERLINK("#码值映射清单!B5150","YesNo")</f>
        <v/>
      </c>
      <c r="H50" s="24" t="n"/>
      <c r="I50" s="24" t="inlineStr"/>
      <c r="J50" s="24" t="inlineStr">
        <is>
          <t>2023/01/12</t>
        </is>
      </c>
    </row>
    <row r="51">
      <c r="B51" s="24" t="inlineStr">
        <is>
          <t>clr_asset_receivable</t>
        </is>
      </c>
      <c r="C51" s="24" t="inlineStr">
        <is>
          <t>TR01FLAG02</t>
        </is>
      </c>
      <c r="D51" s="24" t="inlineStr">
        <is>
          <t>char(1)</t>
        </is>
      </c>
      <c r="E51" s="24" t="inlineStr">
        <is>
          <t>YES</t>
        </is>
      </c>
      <c r="F51" s="24" t="inlineStr">
        <is>
          <t>是否已提交省级人民政府及其职能部门批准的公路收费文件（包括省级人民政府或国务院交通主管部门依法出具的关于公路收费站数量、站点的批文，省级人民政府交通主管部门会同同级物价行政主管部门出具的公路收费标准批文）</t>
        </is>
      </c>
      <c r="G51" s="52">
        <f>HYPERLINK("#码值映射清单!B5150","YesNo")</f>
        <v/>
      </c>
      <c r="H51" s="24" t="n"/>
      <c r="I51" s="24" t="inlineStr"/>
      <c r="J51" s="24" t="inlineStr">
        <is>
          <t>2023/01/12</t>
        </is>
      </c>
    </row>
    <row r="52">
      <c r="B52" s="24" t="inlineStr">
        <is>
          <t>clr_asset_receivable</t>
        </is>
      </c>
      <c r="C52" s="24" t="inlineStr">
        <is>
          <t>TR01FLAG03</t>
        </is>
      </c>
      <c r="D52" s="24" t="inlineStr">
        <is>
          <t>char(1)</t>
        </is>
      </c>
      <c r="E52" s="24" t="inlineStr">
        <is>
          <t>YES</t>
        </is>
      </c>
      <c r="F52" s="24" t="inlineStr">
        <is>
          <t>是否已提交省级人民政府对征用土地、按比例承担出资和备用资金的书面承诺（已建成的除外）</t>
        </is>
      </c>
      <c r="G52" s="52">
        <f>HYPERLINK("#码值映射清单!B5150","YesNo")</f>
        <v/>
      </c>
      <c r="H52" s="24" t="n"/>
      <c r="I52" s="24" t="inlineStr"/>
      <c r="J52" s="24" t="inlineStr">
        <is>
          <t>2023/01/12</t>
        </is>
      </c>
    </row>
    <row r="53">
      <c r="B53" s="24" t="inlineStr">
        <is>
          <t>clr_asset_receivable</t>
        </is>
      </c>
      <c r="C53" s="24" t="inlineStr">
        <is>
          <t>TR01FLAG04</t>
        </is>
      </c>
      <c r="D53" s="24" t="inlineStr">
        <is>
          <t>char(1)</t>
        </is>
      </c>
      <c r="E53" s="24" t="inlineStr">
        <is>
          <t>YES</t>
        </is>
      </c>
      <c r="F53" s="24" t="inlineStr">
        <is>
          <t>是否已提交公路建设经营项目各投资人同意公路收费权质押的书面决议</t>
        </is>
      </c>
      <c r="G53" s="52">
        <f>HYPERLINK("#码值映射清单!B5150","YesNo")</f>
        <v/>
      </c>
      <c r="H53" s="24" t="n"/>
      <c r="I53" s="24" t="inlineStr"/>
      <c r="J53" s="24" t="inlineStr">
        <is>
          <t>2023/01/12</t>
        </is>
      </c>
    </row>
    <row r="54">
      <c r="B54" s="24" t="inlineStr">
        <is>
          <t>clr_asset_receivable</t>
        </is>
      </c>
      <c r="C54" s="24" t="inlineStr">
        <is>
          <t>TR01FLAG05</t>
        </is>
      </c>
      <c r="D54" s="24" t="inlineStr">
        <is>
          <t>char(1)</t>
        </is>
      </c>
      <c r="E54" s="24" t="inlineStr">
        <is>
          <t>YES</t>
        </is>
      </c>
      <c r="F54" s="24" t="inlineStr">
        <is>
          <t>是否已提交公路建设经营项目成立项目公司的，应提供公司董事会或股东会、股东大会依公司章程作出的同意提供公司收费权质押的书面决议</t>
        </is>
      </c>
      <c r="G54" s="52">
        <f>HYPERLINK("#码值映射清单!B5150","YesNo")</f>
        <v/>
      </c>
      <c r="H54" s="24" t="n"/>
      <c r="I54" s="24" t="inlineStr"/>
      <c r="J54" s="24" t="inlineStr">
        <is>
          <t>2023/01/12</t>
        </is>
      </c>
    </row>
    <row r="55">
      <c r="B55" s="24" t="inlineStr">
        <is>
          <t>clr_asset_receivable</t>
        </is>
      </c>
      <c r="C55" s="24" t="inlineStr">
        <is>
          <t>TR01FLAG06</t>
        </is>
      </c>
      <c r="D55" s="24" t="inlineStr">
        <is>
          <t>char(1)</t>
        </is>
      </c>
      <c r="E55" s="24" t="inlineStr">
        <is>
          <t>YES</t>
        </is>
      </c>
      <c r="F55" s="24" t="inlineStr">
        <is>
          <t>是否已提交企业法人营业执照</t>
        </is>
      </c>
      <c r="G55" s="52">
        <f>HYPERLINK("#码值映射清单!B5150","YesNo")</f>
        <v/>
      </c>
      <c r="H55" s="24" t="n"/>
      <c r="I55" s="24" t="inlineStr"/>
      <c r="J55" s="24" t="inlineStr">
        <is>
          <t>2023/01/12</t>
        </is>
      </c>
    </row>
    <row r="56">
      <c r="B56" s="24" t="inlineStr">
        <is>
          <t>clr_asset_receivable</t>
        </is>
      </c>
      <c r="C56" s="24" t="inlineStr">
        <is>
          <t>TR01FLAG07</t>
        </is>
      </c>
      <c r="D56" s="24" t="inlineStr">
        <is>
          <t>char(1)</t>
        </is>
      </c>
      <c r="E56" s="24" t="inlineStr">
        <is>
          <t>YES</t>
        </is>
      </c>
      <c r="F56" s="24" t="inlineStr">
        <is>
          <t>是否已提交企业财务报表</t>
        </is>
      </c>
      <c r="G56" s="52">
        <f>HYPERLINK("#码值映射清单!B5150","YesNo")</f>
        <v/>
      </c>
      <c r="H56" s="24" t="n"/>
      <c r="I56" s="24" t="inlineStr"/>
      <c r="J56" s="24" t="inlineStr">
        <is>
          <t>2023/01/12</t>
        </is>
      </c>
    </row>
    <row r="57">
      <c r="B57" s="24" t="inlineStr">
        <is>
          <t>clr_asset_receivable</t>
        </is>
      </c>
      <c r="C57" s="24" t="inlineStr">
        <is>
          <t>TR01FLAG08</t>
        </is>
      </c>
      <c r="D57" s="24" t="inlineStr">
        <is>
          <t>char(1)</t>
        </is>
      </c>
      <c r="E57" s="24" t="inlineStr">
        <is>
          <t>YES</t>
        </is>
      </c>
      <c r="F57" s="24" t="inlineStr">
        <is>
          <t>是否已提交账户开户相关证明材料</t>
        </is>
      </c>
      <c r="G57" s="52">
        <f>HYPERLINK("#码值映射清单!B5150","YesNo")</f>
        <v/>
      </c>
      <c r="H57" s="24" t="n"/>
      <c r="I57" s="24" t="inlineStr"/>
      <c r="J57" s="24" t="inlineStr">
        <is>
          <t>2023/01/12</t>
        </is>
      </c>
    </row>
    <row r="58">
      <c r="B58" s="24" t="inlineStr">
        <is>
          <t>clr_asset_receivable</t>
        </is>
      </c>
      <c r="C58" s="24" t="inlineStr">
        <is>
          <t>RCVTRADEFLAG01</t>
        </is>
      </c>
      <c r="D58" s="24" t="inlineStr">
        <is>
          <t>char(1)</t>
        </is>
      </c>
      <c r="E58" s="24" t="inlineStr">
        <is>
          <t>YES</t>
        </is>
      </c>
      <c r="F58" s="24" t="inlineStr">
        <is>
          <t>是否有转让、质押、冻结、查封情况或被采取其他限制性措施</t>
        </is>
      </c>
      <c r="G58" s="52">
        <f>HYPERLINK("#码值映射清单!B5150","YesNo")</f>
        <v/>
      </c>
      <c r="H58" s="24" t="n"/>
      <c r="I58" s="24" t="inlineStr"/>
      <c r="J58" s="24" t="inlineStr">
        <is>
          <t>2023/01/12</t>
        </is>
      </c>
    </row>
    <row r="59">
      <c r="B59" s="24" t="inlineStr">
        <is>
          <t>clr_asset_receivable</t>
        </is>
      </c>
      <c r="C59" s="24" t="inlineStr">
        <is>
          <t>RCVTRADEFLAG02</t>
        </is>
      </c>
      <c r="D59" s="24" t="inlineStr">
        <is>
          <t>char(1)</t>
        </is>
      </c>
      <c r="E59" s="24" t="inlineStr">
        <is>
          <t>YES</t>
        </is>
      </c>
      <c r="F59" s="24" t="inlineStr">
        <is>
          <t>是否提交对应本笔应收账款的销售合同</t>
        </is>
      </c>
      <c r="G59" s="52">
        <f>HYPERLINK("#码值映射清单!B5150","YesNo")</f>
        <v/>
      </c>
      <c r="H59" s="24" t="n"/>
      <c r="I59" s="24" t="inlineStr"/>
      <c r="J59" s="24" t="inlineStr">
        <is>
          <t>2023/01/12</t>
        </is>
      </c>
    </row>
    <row r="60">
      <c r="B60" s="24" t="inlineStr">
        <is>
          <t>clr_asset_receivable</t>
        </is>
      </c>
      <c r="C60" s="24" t="inlineStr">
        <is>
          <t>RCVTRADEFLAG03</t>
        </is>
      </c>
      <c r="D60" s="24" t="inlineStr">
        <is>
          <t>char(1)</t>
        </is>
      </c>
      <c r="E60" s="24" t="inlineStr">
        <is>
          <t>YES</t>
        </is>
      </c>
      <c r="F60" s="24" t="inlineStr">
        <is>
          <t>是否提交企业法人营业执照</t>
        </is>
      </c>
      <c r="G60" s="52">
        <f>HYPERLINK("#码值映射清单!B5150","YesNo")</f>
        <v/>
      </c>
      <c r="H60" s="24" t="n"/>
      <c r="I60" s="24" t="inlineStr"/>
      <c r="J60" s="24" t="inlineStr">
        <is>
          <t>2023/01/12</t>
        </is>
      </c>
    </row>
    <row r="61">
      <c r="B61" s="24" t="inlineStr">
        <is>
          <t>clr_asset_receivable</t>
        </is>
      </c>
      <c r="C61" s="24" t="inlineStr">
        <is>
          <t>RCVTRADEFLAG04</t>
        </is>
      </c>
      <c r="D61" s="24" t="inlineStr">
        <is>
          <t>char(1)</t>
        </is>
      </c>
      <c r="E61" s="24" t="inlineStr">
        <is>
          <t>YES</t>
        </is>
      </c>
      <c r="F61" s="24" t="inlineStr">
        <is>
          <t>是否提交企业财务报表</t>
        </is>
      </c>
      <c r="G61" s="52">
        <f>HYPERLINK("#码值映射清单!B5150","YesNo")</f>
        <v/>
      </c>
      <c r="H61" s="24" t="n"/>
      <c r="I61" s="24" t="inlineStr"/>
      <c r="J61" s="24" t="inlineStr">
        <is>
          <t>2023/01/12</t>
        </is>
      </c>
    </row>
    <row r="62">
      <c r="B62" s="24" t="inlineStr">
        <is>
          <t>clr_asset_receivable</t>
        </is>
      </c>
      <c r="C62" s="24" t="inlineStr">
        <is>
          <t>RCVTRADEFLAG05</t>
        </is>
      </c>
      <c r="D62" s="24" t="inlineStr">
        <is>
          <t>char(1)</t>
        </is>
      </c>
      <c r="E62" s="24" t="inlineStr">
        <is>
          <t>YES</t>
        </is>
      </c>
      <c r="F62" s="24" t="inlineStr">
        <is>
          <t>是否提交应收账款开户相关证明</t>
        </is>
      </c>
      <c r="G62" s="52">
        <f>HYPERLINK("#码值映射清单!B5150","YesNo")</f>
        <v/>
      </c>
      <c r="H62" s="24" t="n"/>
      <c r="I62" s="24" t="inlineStr"/>
      <c r="J62" s="24" t="inlineStr">
        <is>
          <t>2023/01/12</t>
        </is>
      </c>
    </row>
    <row r="63">
      <c r="B63" s="24" t="inlineStr">
        <is>
          <t>clr_asset_receivable</t>
        </is>
      </c>
      <c r="C63" s="24" t="inlineStr">
        <is>
          <t>RCVTRADEFLAG06</t>
        </is>
      </c>
      <c r="D63" s="24" t="inlineStr">
        <is>
          <t>char(1)</t>
        </is>
      </c>
      <c r="E63" s="24" t="inlineStr">
        <is>
          <t>YES</t>
        </is>
      </c>
      <c r="F63" s="24" t="inlineStr">
        <is>
          <t>是否提交历史收费单据或发票</t>
        </is>
      </c>
      <c r="G63" s="52">
        <f>HYPERLINK("#码值映射清单!B5150","YesNo")</f>
        <v/>
      </c>
      <c r="H63" s="24" t="n"/>
      <c r="I63" s="24" t="inlineStr"/>
      <c r="J63" s="24" t="inlineStr">
        <is>
          <t>2023/01/12</t>
        </is>
      </c>
    </row>
    <row r="64">
      <c r="B64" s="24" t="inlineStr">
        <is>
          <t>clr_asset_receivable</t>
        </is>
      </c>
      <c r="C64" s="24" t="inlineStr">
        <is>
          <t>RCVTRADEFLAG07</t>
        </is>
      </c>
      <c r="D64" s="24" t="inlineStr">
        <is>
          <t>char(1)</t>
        </is>
      </c>
      <c r="E64" s="24" t="inlineStr">
        <is>
          <t>YES</t>
        </is>
      </c>
      <c r="F64" s="24" t="inlineStr">
        <is>
          <t>是否提交福费廷业务相关证明</t>
        </is>
      </c>
      <c r="G64" s="52">
        <f>HYPERLINK("#码值映射清单!B5150","YesNo")</f>
        <v/>
      </c>
      <c r="H64" s="24" t="n"/>
      <c r="I64" s="24" t="inlineStr"/>
      <c r="J64" s="24" t="inlineStr">
        <is>
          <t>2023/01/12</t>
        </is>
      </c>
    </row>
    <row r="65">
      <c r="B65" s="24" t="inlineStr">
        <is>
          <t>clr_asset_receivable</t>
        </is>
      </c>
      <c r="C65" s="24" t="inlineStr">
        <is>
          <t>RCVTRADEFLAG08</t>
        </is>
      </c>
      <c r="D65" s="24" t="inlineStr">
        <is>
          <t>char(1)</t>
        </is>
      </c>
      <c r="E65" s="24" t="inlineStr">
        <is>
          <t>YES</t>
        </is>
      </c>
      <c r="F65" s="24" t="inlineStr">
        <is>
          <t>未来业务量和价格信息是否明确或可合理预测</t>
        </is>
      </c>
      <c r="G65" s="52">
        <f>HYPERLINK("#码值映射清单!B5150","YesNo")</f>
        <v/>
      </c>
      <c r="H65" s="24" t="n"/>
      <c r="I65" s="24" t="inlineStr"/>
      <c r="J65" s="24" t="inlineStr">
        <is>
          <t>2023/01/12</t>
        </is>
      </c>
    </row>
    <row r="66">
      <c r="B66" s="24" t="inlineStr">
        <is>
          <t>clr_asset_receivable</t>
        </is>
      </c>
      <c r="C66" s="24" t="inlineStr">
        <is>
          <t>TR03FLAG01</t>
        </is>
      </c>
      <c r="D66" s="24" t="inlineStr">
        <is>
          <t>char(1)</t>
        </is>
      </c>
      <c r="E66" s="24" t="inlineStr">
        <is>
          <t>YES</t>
        </is>
      </c>
      <c r="F66" s="24" t="inlineStr">
        <is>
          <t>是否已提交收费许可证或批准文件</t>
        </is>
      </c>
      <c r="G66" s="52">
        <f>HYPERLINK("#码值映射清单!B5150","YesNo")</f>
        <v/>
      </c>
      <c r="H66" s="24" t="n"/>
      <c r="I66" s="24" t="inlineStr"/>
      <c r="J66" s="24" t="inlineStr">
        <is>
          <t>2023/01/12</t>
        </is>
      </c>
    </row>
    <row r="67">
      <c r="B67" s="24" t="inlineStr">
        <is>
          <t>clr_asset_receivable</t>
        </is>
      </c>
      <c r="C67" s="24" t="inlineStr">
        <is>
          <t>TR03FLAG02</t>
        </is>
      </c>
      <c r="D67" s="24" t="inlineStr">
        <is>
          <t>char(1)</t>
        </is>
      </c>
      <c r="E67" s="24" t="inlineStr">
        <is>
          <t>YES</t>
        </is>
      </c>
      <c r="F67" s="24" t="inlineStr">
        <is>
          <t>是否已提交和通信、网络、有限电视收费权相关的相关账户开户证明</t>
        </is>
      </c>
      <c r="G67" s="52">
        <f>HYPERLINK("#码值映射清单!B5150","YesNo")</f>
        <v/>
      </c>
      <c r="H67" s="24" t="n"/>
      <c r="I67" s="24" t="inlineStr"/>
      <c r="J67" s="24" t="inlineStr">
        <is>
          <t>2023/01/12</t>
        </is>
      </c>
    </row>
    <row r="68">
      <c r="B68" s="24" t="inlineStr">
        <is>
          <t>clr_asset_receivable</t>
        </is>
      </c>
      <c r="C68" s="24" t="inlineStr">
        <is>
          <t>TR03FLAG03</t>
        </is>
      </c>
      <c r="D68" s="24" t="inlineStr">
        <is>
          <t>char(1)</t>
        </is>
      </c>
      <c r="E68" s="24" t="inlineStr">
        <is>
          <t>YES</t>
        </is>
      </c>
      <c r="F68" s="24" t="inlineStr">
        <is>
          <t>是否已提交和通信、网络、有限电视收费权相关的企业财务报表</t>
        </is>
      </c>
      <c r="G68" s="52">
        <f>HYPERLINK("#码值映射清单!B5150","YesNo")</f>
        <v/>
      </c>
      <c r="H68" s="24" t="n"/>
      <c r="I68" s="24" t="inlineStr"/>
      <c r="J68" s="24" t="inlineStr">
        <is>
          <t>2023/01/12</t>
        </is>
      </c>
    </row>
    <row r="69">
      <c r="B69" s="24" t="inlineStr">
        <is>
          <t>clr_asset_receivable</t>
        </is>
      </c>
      <c r="C69" s="24" t="inlineStr">
        <is>
          <t>TR03FLAG04</t>
        </is>
      </c>
      <c r="D69" s="24" t="inlineStr">
        <is>
          <t>char(1)</t>
        </is>
      </c>
      <c r="E69" s="24" t="inlineStr">
        <is>
          <t>YES</t>
        </is>
      </c>
      <c r="F69" s="24" t="inlineStr">
        <is>
          <t>是否已提交企业营业执照</t>
        </is>
      </c>
      <c r="G69" s="52">
        <f>HYPERLINK("#码值映射清单!B5150","YesNo")</f>
        <v/>
      </c>
      <c r="H69" s="24" t="n"/>
      <c r="I69" s="24" t="inlineStr"/>
      <c r="J69" s="24" t="inlineStr">
        <is>
          <t>2023/01/12</t>
        </is>
      </c>
    </row>
    <row r="70">
      <c r="B70" s="24" t="inlineStr">
        <is>
          <t>clr_asset_receivable</t>
        </is>
      </c>
      <c r="C70" s="24" t="inlineStr">
        <is>
          <t>TR02FLAG01</t>
        </is>
      </c>
      <c r="D70" s="24" t="inlineStr">
        <is>
          <t>char(1)</t>
        </is>
      </c>
      <c r="E70" s="24" t="inlineStr">
        <is>
          <t>YES</t>
        </is>
      </c>
      <c r="F70" s="24" t="inlineStr">
        <is>
          <t>是否已提交销售合同</t>
        </is>
      </c>
      <c r="G70" s="24" t="n"/>
      <c r="H70" s="24" t="n"/>
      <c r="I70" s="24" t="inlineStr"/>
      <c r="J70" s="24" t="inlineStr">
        <is>
          <t>2023/01/12</t>
        </is>
      </c>
    </row>
    <row r="71">
      <c r="B71" s="24" t="inlineStr">
        <is>
          <t>clr_asset_receivable</t>
        </is>
      </c>
      <c r="C71" s="24" t="inlineStr">
        <is>
          <t>TR02FLAG02</t>
        </is>
      </c>
      <c r="D71" s="24" t="inlineStr">
        <is>
          <t>char(1)</t>
        </is>
      </c>
      <c r="E71" s="24" t="inlineStr">
        <is>
          <t>YES</t>
        </is>
      </c>
      <c r="F71" s="24" t="inlineStr">
        <is>
          <t>是否已提交营业执照</t>
        </is>
      </c>
      <c r="G71" s="52">
        <f>HYPERLINK("#码值映射清单!B5150","YesNo")</f>
        <v/>
      </c>
      <c r="H71" s="24" t="n"/>
      <c r="I71" s="24" t="inlineStr"/>
      <c r="J71" s="24" t="inlineStr">
        <is>
          <t>2023/01/12</t>
        </is>
      </c>
    </row>
    <row r="72">
      <c r="B72" s="24" t="inlineStr">
        <is>
          <t>clr_asset_receivable</t>
        </is>
      </c>
      <c r="C72" s="24" t="inlineStr">
        <is>
          <t>TR02FLAG03</t>
        </is>
      </c>
      <c r="D72" s="24" t="inlineStr">
        <is>
          <t>char(1)</t>
        </is>
      </c>
      <c r="E72" s="24" t="inlineStr">
        <is>
          <t>YES</t>
        </is>
      </c>
      <c r="F72" s="24" t="inlineStr">
        <is>
          <t>是否已提交电网经营许可证及有关电费收费权的批准文件</t>
        </is>
      </c>
      <c r="G72" s="52">
        <f>HYPERLINK("#码值映射清单!B5150","YesNo")</f>
        <v/>
      </c>
      <c r="H72" s="24" t="n"/>
      <c r="I72" s="24" t="inlineStr"/>
      <c r="J72" s="24" t="inlineStr">
        <is>
          <t>2023/01/12</t>
        </is>
      </c>
    </row>
    <row r="73">
      <c r="B73" s="24" t="inlineStr">
        <is>
          <t>clr_asset_receivable</t>
        </is>
      </c>
      <c r="C73" s="24" t="inlineStr">
        <is>
          <t>TR02FLAG04</t>
        </is>
      </c>
      <c r="D73" s="24" t="inlineStr">
        <is>
          <t>char(1)</t>
        </is>
      </c>
      <c r="E73" s="24" t="inlineStr">
        <is>
          <t>YES</t>
        </is>
      </c>
      <c r="F73" s="24" t="inlineStr">
        <is>
          <t>是否已提交和农村电网建设与改造工程电费收费权相关的省级人民政府对征用土地、按比例承担出资和备用资金的书面承诺（已建成的除外）</t>
        </is>
      </c>
      <c r="G73" s="52">
        <f>HYPERLINK("#码值映射清单!B5150","YesNo")</f>
        <v/>
      </c>
      <c r="H73" s="24" t="n"/>
      <c r="I73" s="24" t="inlineStr"/>
      <c r="J73" s="24" t="inlineStr">
        <is>
          <t>2023/01/12</t>
        </is>
      </c>
    </row>
    <row r="74">
      <c r="B74" s="24" t="inlineStr">
        <is>
          <t>clr_asset_receivable</t>
        </is>
      </c>
      <c r="C74" s="24" t="inlineStr">
        <is>
          <t>TR02FLAG05</t>
        </is>
      </c>
      <c r="D74" s="24" t="inlineStr">
        <is>
          <t>char(1)</t>
        </is>
      </c>
      <c r="E74" s="24" t="inlineStr">
        <is>
          <t>YES</t>
        </is>
      </c>
      <c r="F74" s="24" t="inlineStr">
        <is>
          <t>是否已提交和农村电网建设与改造工程电费收费权相关的企业财务报表</t>
        </is>
      </c>
      <c r="G74" s="52">
        <f>HYPERLINK("#码值映射清单!B5150","YesNo")</f>
        <v/>
      </c>
      <c r="H74" s="24" t="n"/>
      <c r="I74" s="24" t="inlineStr"/>
      <c r="J74" s="24" t="inlineStr">
        <is>
          <t>2023/01/12</t>
        </is>
      </c>
    </row>
    <row r="75">
      <c r="B75" s="24" t="inlineStr">
        <is>
          <t>clr_asset_receivable</t>
        </is>
      </c>
      <c r="C75" s="24" t="inlineStr">
        <is>
          <t>TR02FLAG06</t>
        </is>
      </c>
      <c r="D75" s="24" t="inlineStr">
        <is>
          <t>char(1)</t>
        </is>
      </c>
      <c r="E75" s="24" t="inlineStr">
        <is>
          <t>YES</t>
        </is>
      </c>
      <c r="F75" s="24" t="inlineStr">
        <is>
          <t>是否已提交相关账户开户证明</t>
        </is>
      </c>
      <c r="G75" s="52">
        <f>HYPERLINK("#码值映射清单!B5150","YesNo")</f>
        <v/>
      </c>
      <c r="H75" s="24" t="n"/>
      <c r="I75" s="24" t="inlineStr"/>
      <c r="J75" s="24" t="inlineStr">
        <is>
          <t>2023/01/12</t>
        </is>
      </c>
    </row>
    <row r="76">
      <c r="B76" s="24" t="inlineStr">
        <is>
          <t>clr_asset_receivable</t>
        </is>
      </c>
      <c r="C76" s="24" t="inlineStr">
        <is>
          <t>TR02FLAG07</t>
        </is>
      </c>
      <c r="D76" s="24" t="inlineStr">
        <is>
          <t>char(1)</t>
        </is>
      </c>
      <c r="E76" s="24" t="inlineStr">
        <is>
          <t>YES</t>
        </is>
      </c>
      <c r="F76" s="24" t="inlineStr">
        <is>
          <t>损害保险</t>
        </is>
      </c>
      <c r="G76" s="24" t="n"/>
      <c r="H76" s="24" t="n"/>
      <c r="I76" s="24" t="inlineStr"/>
      <c r="J76" s="24" t="inlineStr">
        <is>
          <t>2023/01/12</t>
        </is>
      </c>
    </row>
    <row r="77">
      <c r="B77" s="24" t="inlineStr">
        <is>
          <t>clr_asset_receivable</t>
        </is>
      </c>
      <c r="C77" s="24" t="inlineStr">
        <is>
          <t>CORPORGID</t>
        </is>
      </c>
      <c r="D77" s="24" t="inlineStr">
        <is>
          <t>varchar(32)</t>
        </is>
      </c>
      <c r="E77" s="24" t="inlineStr">
        <is>
          <t>YES</t>
        </is>
      </c>
      <c r="F77" s="24" t="inlineStr">
        <is>
          <t>法人机构编号</t>
        </is>
      </c>
      <c r="G77" s="24" t="n"/>
      <c r="H77" s="24" t="n"/>
      <c r="I77" s="24" t="inlineStr"/>
      <c r="J77" s="24" t="inlineStr">
        <is>
          <t>2023/01/12</t>
        </is>
      </c>
    </row>
    <row r="78">
      <c r="B78" s="24" t="inlineStr">
        <is>
          <t>clr_asset_receivable</t>
        </is>
      </c>
      <c r="C78" s="24" t="inlineStr">
        <is>
          <t>RIGHTBOOKNO</t>
        </is>
      </c>
      <c r="D78" s="24" t="inlineStr">
        <is>
          <t>varchar(32)</t>
        </is>
      </c>
      <c r="E78" s="24" t="inlineStr">
        <is>
          <t>YES</t>
        </is>
      </c>
      <c r="F78" s="24" t="inlineStr">
        <is>
          <t>收费权权利证书号码</t>
        </is>
      </c>
      <c r="G78" s="24" t="n"/>
      <c r="H78" s="24" t="n"/>
      <c r="I78" s="24" t="inlineStr"/>
      <c r="J78" s="24" t="inlineStr">
        <is>
          <t>2023/01/12</t>
        </is>
      </c>
    </row>
    <row r="79">
      <c r="B79" s="109" t="inlineStr">
        <is>
          <t>clr_asset_receivable</t>
        </is>
      </c>
      <c r="C79" s="109" t="inlineStr">
        <is>
          <t>LOCATIONEXPLAIN</t>
        </is>
      </c>
      <c r="D79" s="109" t="inlineStr">
        <is>
          <t>varchar(500)</t>
        </is>
      </c>
      <c r="E79" s="109" t="inlineStr">
        <is>
          <t>YES</t>
        </is>
      </c>
      <c r="F79" s="109" t="inlineStr">
        <is>
          <t>所在省、市说明</t>
        </is>
      </c>
      <c r="G79" s="109" t="n"/>
      <c r="H79" s="109" t="n"/>
      <c r="I79" s="109" t="inlineStr"/>
      <c r="J79" s="109" t="inlineStr">
        <is>
          <t>2023/01/12</t>
        </is>
      </c>
    </row>
    <row r="80" ht="46" customHeight="1" s="170">
      <c r="B80" s="73" t="inlineStr">
        <is>
          <t>clr_asset_receivable</t>
        </is>
      </c>
      <c r="C80" s="60" t="inlineStr">
        <is>
          <t>RECEIVABLETYPE</t>
        </is>
      </c>
      <c r="D80" s="60" t="inlineStr">
        <is>
          <t>varchar(6)</t>
        </is>
      </c>
      <c r="E80" s="60" t="inlineStr">
        <is>
          <t>YES</t>
        </is>
      </c>
      <c r="F80" s="59" t="inlineStr">
        <is>
          <t>应收账款类型</t>
        </is>
      </c>
      <c r="G80" s="60" t="inlineStr"/>
      <c r="H80" s="98" t="inlineStr">
        <is>
          <t>1-订单、2-合同、3-发票</t>
        </is>
      </c>
      <c r="I80" s="60" t="n"/>
      <c r="J80" s="183" t="n">
        <v>45740</v>
      </c>
    </row>
    <row r="81">
      <c r="B81" s="73" t="inlineStr">
        <is>
          <t>clr_asset_receivable</t>
        </is>
      </c>
      <c r="C81" s="60" t="inlineStr">
        <is>
          <t>BACKGROUND</t>
        </is>
      </c>
      <c r="D81" s="60" t="inlineStr">
        <is>
          <t>varchar(500)</t>
        </is>
      </c>
      <c r="E81" s="60" t="inlineStr">
        <is>
          <t>YES</t>
        </is>
      </c>
      <c r="F81" s="59" t="inlineStr">
        <is>
          <t>背景描述</t>
        </is>
      </c>
      <c r="G81" s="60" t="inlineStr"/>
      <c r="H81" s="60" t="inlineStr"/>
      <c r="I81" s="60" t="n"/>
      <c r="J81" s="183" t="n">
        <v>45740</v>
      </c>
    </row>
    <row r="82">
      <c r="B82" s="73" t="inlineStr">
        <is>
          <t>clr_asset_receivable</t>
        </is>
      </c>
      <c r="C82" s="60" t="inlineStr">
        <is>
          <t>REGISTERINFO</t>
        </is>
      </c>
      <c r="D82" s="60" t="inlineStr">
        <is>
          <t>varchar(500)</t>
        </is>
      </c>
      <c r="E82" s="60" t="inlineStr">
        <is>
          <t>YES</t>
        </is>
      </c>
      <c r="F82" s="59" t="inlineStr">
        <is>
          <t>质押物登记情况</t>
        </is>
      </c>
      <c r="G82" s="60" t="n"/>
      <c r="H82" s="60" t="n"/>
      <c r="I82" s="60" t="n"/>
      <c r="J82" s="183" t="n">
        <v>45740</v>
      </c>
    </row>
    <row r="83" ht="46" customHeight="1" s="170">
      <c r="B83" s="73" t="inlineStr">
        <is>
          <t>clr_asset_receivable</t>
        </is>
      </c>
      <c r="C83" s="60" t="inlineStr">
        <is>
          <t>FRZSTATUS</t>
        </is>
      </c>
      <c r="D83" s="65" t="inlineStr">
        <is>
          <t>varchar(6)</t>
        </is>
      </c>
      <c r="E83" s="65" t="inlineStr">
        <is>
          <t>YES</t>
        </is>
      </c>
      <c r="F83" s="59" t="inlineStr">
        <is>
          <t>冻结类型</t>
        </is>
      </c>
      <c r="G83" s="99" t="n"/>
      <c r="H83" s="66" t="inlineStr">
        <is>
          <t>冻结类型：1.冻结
2.未冻结</t>
        </is>
      </c>
      <c r="I83" s="99" t="n"/>
      <c r="J83" s="183" t="n">
        <v>45740</v>
      </c>
      <c r="K83" s="102" t="n"/>
      <c r="L83" s="102" t="n"/>
      <c r="M83" s="103" t="n"/>
      <c r="N83" s="102" t="n"/>
      <c r="O83" s="103" t="n"/>
      <c r="P83" s="103" t="n"/>
      <c r="Q83" s="103" t="n"/>
    </row>
    <row r="84">
      <c r="B84" s="73" t="inlineStr">
        <is>
          <t>clr_asset_receivable</t>
        </is>
      </c>
      <c r="C84" s="60" t="inlineStr">
        <is>
          <t>ACCOUNTTYPE</t>
        </is>
      </c>
      <c r="D84" s="60" t="inlineStr">
        <is>
          <t>varchar(10)</t>
        </is>
      </c>
      <c r="E84" s="60" t="inlineStr">
        <is>
          <t>YES</t>
        </is>
      </c>
      <c r="F84" s="59" t="inlineStr">
        <is>
          <t>帐户标识</t>
        </is>
      </c>
      <c r="G84" s="99" t="n"/>
      <c r="H84" s="99" t="n"/>
      <c r="I84" s="99" t="n"/>
      <c r="J84" s="183" t="n">
        <v>45740</v>
      </c>
      <c r="K84" s="102" t="n"/>
      <c r="L84" s="102" t="n"/>
      <c r="M84" s="103" t="n"/>
      <c r="N84" s="102" t="n"/>
      <c r="O84" s="103" t="n"/>
      <c r="P84" s="103" t="n"/>
      <c r="Q84" s="103" t="n"/>
    </row>
    <row r="85">
      <c r="B85" s="73" t="inlineStr">
        <is>
          <t>clr_asset_receivable</t>
        </is>
      </c>
      <c r="C85" s="60" t="inlineStr">
        <is>
          <t>ACCOUNTNAME</t>
        </is>
      </c>
      <c r="D85" s="60" t="inlineStr">
        <is>
          <t>varchar(32)</t>
        </is>
      </c>
      <c r="E85" s="60" t="inlineStr">
        <is>
          <t>YES</t>
        </is>
      </c>
      <c r="F85" s="59" t="inlineStr">
        <is>
          <t>户主/姓名</t>
        </is>
      </c>
      <c r="G85" s="99" t="n"/>
      <c r="H85" s="99" t="n"/>
      <c r="I85" s="99" t="n"/>
      <c r="J85" s="183" t="n">
        <v>45740</v>
      </c>
      <c r="K85" s="102" t="n"/>
      <c r="L85" s="102" t="n"/>
      <c r="M85" s="103" t="n"/>
      <c r="N85" s="102" t="n"/>
      <c r="O85" s="103" t="n"/>
      <c r="P85" s="103" t="n"/>
      <c r="Q85" s="103" t="n"/>
    </row>
    <row r="86">
      <c r="B86" s="73" t="inlineStr">
        <is>
          <t>clr_asset_receivable</t>
        </is>
      </c>
      <c r="C86" s="60" t="inlineStr">
        <is>
          <t>PAYOUTTYPE</t>
        </is>
      </c>
      <c r="D86" s="60" t="inlineStr">
        <is>
          <t>varchar(6)</t>
        </is>
      </c>
      <c r="E86" s="60" t="inlineStr">
        <is>
          <t>YES</t>
        </is>
      </c>
      <c r="F86" s="82" t="inlineStr">
        <is>
          <t>支出类型</t>
        </is>
      </c>
      <c r="G86" s="99" t="n">
        <v>0</v>
      </c>
      <c r="H86" s="99" t="inlineStr">
        <is>
          <t>01 -密码  、  02- 证件 、03 -印鉴</t>
        </is>
      </c>
      <c r="I86" s="99" t="n"/>
      <c r="J86" s="183" t="n">
        <v>45740</v>
      </c>
      <c r="K86" s="102" t="n"/>
      <c r="L86" s="102" t="n"/>
      <c r="M86" s="103" t="n"/>
      <c r="N86" s="102" t="n"/>
      <c r="O86" s="103" t="n"/>
      <c r="P86" s="103" t="n"/>
      <c r="Q86" s="103" t="n"/>
    </row>
    <row r="87">
      <c r="B87" s="73" t="inlineStr">
        <is>
          <t>clr_asset_receivable</t>
        </is>
      </c>
      <c r="C87" s="60" t="inlineStr">
        <is>
          <t>ISPBOCRECEIVABLEREGIST</t>
        </is>
      </c>
      <c r="D87" s="60" t="inlineStr">
        <is>
          <t>varchar(6)</t>
        </is>
      </c>
      <c r="E87" s="60" t="inlineStr">
        <is>
          <t>YES</t>
        </is>
      </c>
      <c r="F87" s="82" t="inlineStr">
        <is>
          <t>是否在人行应收账款系统登记</t>
        </is>
      </c>
      <c r="G87" s="60" t="inlineStr"/>
      <c r="H87" s="60" t="inlineStr"/>
      <c r="I87" s="60" t="n"/>
      <c r="J87" s="183" t="n">
        <v>45740</v>
      </c>
    </row>
    <row r="88">
      <c r="B88" s="73" t="inlineStr">
        <is>
          <t>clr_asset_receivable</t>
        </is>
      </c>
      <c r="C88" s="60" t="inlineStr">
        <is>
          <t>LOANCARDNO</t>
        </is>
      </c>
      <c r="D88" s="60" t="inlineStr">
        <is>
          <t>varchar(32)</t>
        </is>
      </c>
      <c r="E88" s="65" t="inlineStr">
        <is>
          <t>YES</t>
        </is>
      </c>
      <c r="F88" s="82" t="inlineStr">
        <is>
          <t>贷款卡卡号/出质人贷款卡卡号</t>
        </is>
      </c>
      <c r="G88" s="60" t="inlineStr"/>
      <c r="H88" s="60" t="inlineStr"/>
      <c r="I88" s="60" t="n"/>
      <c r="J88" s="183" t="n">
        <v>45740</v>
      </c>
    </row>
    <row r="89">
      <c r="B89" s="73" t="inlineStr">
        <is>
          <t>clr_asset_receivable</t>
        </is>
      </c>
      <c r="C89" s="60" t="inlineStr">
        <is>
          <t>ISREPAYNEED</t>
        </is>
      </c>
      <c r="D89" s="60" t="inlineStr">
        <is>
          <t>varchar(6)</t>
        </is>
      </c>
      <c r="E89" s="60" t="inlineStr">
        <is>
          <t>YES</t>
        </is>
      </c>
      <c r="F89" s="82" t="inlineStr">
        <is>
          <t>是否需要约定回款路径</t>
        </is>
      </c>
      <c r="G89" s="60" t="inlineStr"/>
      <c r="H89" s="60" t="inlineStr"/>
      <c r="I89" s="60" t="n"/>
      <c r="J89" s="183" t="n">
        <v>45740</v>
      </c>
    </row>
    <row r="90">
      <c r="B90" s="73" t="inlineStr">
        <is>
          <t>clr_asset_receivable</t>
        </is>
      </c>
      <c r="C90" s="69" t="inlineStr">
        <is>
          <t>ACCOUNTAGE</t>
        </is>
      </c>
      <c r="D90" s="60" t="inlineStr">
        <is>
          <t>integer(6)</t>
        </is>
      </c>
      <c r="E90" s="60" t="inlineStr">
        <is>
          <t>YES</t>
        </is>
      </c>
      <c r="F90" s="82" t="inlineStr">
        <is>
          <t>帐龄</t>
        </is>
      </c>
      <c r="G90" s="60" t="inlineStr"/>
      <c r="H90" s="60" t="inlineStr"/>
      <c r="I90" s="60" t="n"/>
      <c r="J90" s="183" t="n">
        <v>45740</v>
      </c>
    </row>
    <row r="91">
      <c r="B91" s="73" t="inlineStr">
        <is>
          <t>clr_asset_receivable</t>
        </is>
      </c>
      <c r="C91" s="60" t="inlineStr">
        <is>
          <t>ACCOUNTRECEIVABLETYPE</t>
        </is>
      </c>
      <c r="D91" s="60" t="inlineStr">
        <is>
          <t>varchar(10)</t>
        </is>
      </c>
      <c r="E91" s="60" t="inlineStr">
        <is>
          <t>YES</t>
        </is>
      </c>
      <c r="F91" s="99" t="inlineStr">
        <is>
          <t>应收账款渠道类型</t>
        </is>
      </c>
      <c r="G91" s="60" t="inlineStr"/>
      <c r="H91" s="60" t="inlineStr"/>
      <c r="I91" s="60" t="n"/>
      <c r="J91" s="183" t="n">
        <v>45740</v>
      </c>
    </row>
    <row r="92">
      <c r="B92" s="73" t="inlineStr">
        <is>
          <t>clr_asset_receivable</t>
        </is>
      </c>
      <c r="C92" s="60" t="inlineStr">
        <is>
          <t>REALIZATIONVALUE</t>
        </is>
      </c>
      <c r="D92" s="60" t="inlineStr">
        <is>
          <t>decimal(24,6)</t>
        </is>
      </c>
      <c r="E92" s="60" t="inlineStr">
        <is>
          <t>YES</t>
        </is>
      </c>
      <c r="F92" s="99" t="inlineStr">
        <is>
          <t>预计变现值</t>
        </is>
      </c>
      <c r="G92" s="60" t="n"/>
      <c r="H92" s="60" t="n"/>
      <c r="I92" s="60" t="n"/>
      <c r="J92" s="183" t="n">
        <v>45740</v>
      </c>
    </row>
    <row r="93">
      <c r="B93" s="73" t="inlineStr">
        <is>
          <t>clr_asset_receivable</t>
        </is>
      </c>
      <c r="C93" s="60" t="inlineStr">
        <is>
          <t>REALIZATIONCOST</t>
        </is>
      </c>
      <c r="D93" s="60" t="inlineStr">
        <is>
          <t>decimal(24,6)</t>
        </is>
      </c>
      <c r="E93" s="60" t="inlineStr">
        <is>
          <t>YES</t>
        </is>
      </c>
      <c r="F93" s="99" t="inlineStr">
        <is>
          <t>预计变现成本</t>
        </is>
      </c>
      <c r="G93" s="60" t="n"/>
      <c r="H93" s="60" t="n"/>
      <c r="I93" s="60" t="n"/>
      <c r="J93" s="183" t="n">
        <v>45740</v>
      </c>
    </row>
    <row r="94">
      <c r="B94" s="73" t="inlineStr">
        <is>
          <t>clr_asset_receivable</t>
        </is>
      </c>
      <c r="C94" s="60" t="inlineStr">
        <is>
          <t>RIGHTCERTNO</t>
        </is>
      </c>
      <c r="D94" s="60" t="inlineStr">
        <is>
          <t>varchar(800)</t>
        </is>
      </c>
      <c r="E94" s="60" t="inlineStr">
        <is>
          <t>YES</t>
        </is>
      </c>
      <c r="F94" s="99" t="inlineStr">
        <is>
          <t>权证号码</t>
        </is>
      </c>
      <c r="G94" s="60" t="inlineStr"/>
      <c r="H94" s="60" t="inlineStr"/>
      <c r="I94" s="60" t="n"/>
      <c r="J94" s="183" t="n">
        <v>45740</v>
      </c>
    </row>
    <row r="95">
      <c r="B95" s="73" t="inlineStr">
        <is>
          <t>clr_asset_receivable</t>
        </is>
      </c>
      <c r="C95" s="60" t="inlineStr">
        <is>
          <t>BUYERCUSTNO</t>
        </is>
      </c>
      <c r="D95" s="60" t="inlineStr">
        <is>
          <t>varchar(32)</t>
        </is>
      </c>
      <c r="E95" s="60" t="inlineStr">
        <is>
          <t>YES</t>
        </is>
      </c>
      <c r="F95" s="99" t="inlineStr">
        <is>
          <t>买方客户号</t>
        </is>
      </c>
      <c r="G95" s="60" t="inlineStr"/>
      <c r="H95" s="60" t="inlineStr"/>
      <c r="I95" s="60" t="n"/>
      <c r="J95" s="183" t="n">
        <v>45740</v>
      </c>
    </row>
    <row r="96">
      <c r="B96" s="73" t="inlineStr">
        <is>
          <t>clr_asset_receivable</t>
        </is>
      </c>
      <c r="C96" s="60" t="inlineStr">
        <is>
          <t>COREENTCODE</t>
        </is>
      </c>
      <c r="D96" s="60" t="inlineStr">
        <is>
          <t>varchar(32)</t>
        </is>
      </c>
      <c r="E96" s="60" t="inlineStr">
        <is>
          <t>YES</t>
        </is>
      </c>
      <c r="F96" s="99" t="inlineStr">
        <is>
          <t>MDM核心企业编码</t>
        </is>
      </c>
      <c r="G96" s="60" t="inlineStr"/>
      <c r="H96" s="60" t="inlineStr"/>
      <c r="I96" s="60" t="n"/>
      <c r="J96" s="183" t="n">
        <v>45740</v>
      </c>
    </row>
    <row r="97">
      <c r="B97" s="73" t="inlineStr">
        <is>
          <t>clr_asset_receivable</t>
        </is>
      </c>
      <c r="C97" s="60" t="inlineStr">
        <is>
          <t>SELLERCUSTNO</t>
        </is>
      </c>
      <c r="D97" s="60" t="inlineStr">
        <is>
          <t>varchar(32)</t>
        </is>
      </c>
      <c r="E97" s="60" t="inlineStr">
        <is>
          <t>YES</t>
        </is>
      </c>
      <c r="F97" s="99" t="inlineStr">
        <is>
          <t>卖方客户号</t>
        </is>
      </c>
      <c r="G97" s="60" t="inlineStr"/>
      <c r="H97" s="60" t="inlineStr"/>
      <c r="I97" s="60" t="n"/>
      <c r="J97" s="183" t="n">
        <v>45740</v>
      </c>
    </row>
    <row r="98">
      <c r="B98" s="73" t="inlineStr">
        <is>
          <t>clr_asset_receivable</t>
        </is>
      </c>
      <c r="C98" s="60" t="inlineStr">
        <is>
          <t>SETTLEDAMOUNT</t>
        </is>
      </c>
      <c r="D98" s="60" t="inlineStr">
        <is>
          <t>decimal(24,6)</t>
        </is>
      </c>
      <c r="E98" s="60" t="inlineStr">
        <is>
          <t>YES</t>
        </is>
      </c>
      <c r="F98" s="99" t="inlineStr">
        <is>
          <t>应收账款已结算金额及其他扣除项</t>
        </is>
      </c>
      <c r="G98" s="60" t="inlineStr"/>
      <c r="H98" s="60" t="inlineStr"/>
      <c r="I98" s="60" t="n"/>
      <c r="J98" s="183" t="n">
        <v>45740</v>
      </c>
    </row>
    <row r="99">
      <c r="B99" s="73" t="inlineStr">
        <is>
          <t>clr_asset_receivable</t>
        </is>
      </c>
      <c r="C99" s="60" t="inlineStr">
        <is>
          <t>RECEIVABLETRANSFERNO</t>
        </is>
      </c>
      <c r="D99" s="60" t="inlineStr">
        <is>
          <t>varchar(32)</t>
        </is>
      </c>
      <c r="E99" s="60" t="inlineStr">
        <is>
          <t>YES</t>
        </is>
      </c>
      <c r="F99" s="99" t="inlineStr">
        <is>
          <t>应收账款转让申请号</t>
        </is>
      </c>
      <c r="G99" s="60" t="inlineStr"/>
      <c r="H99" s="60" t="inlineStr"/>
      <c r="I99" s="60" t="n"/>
      <c r="J99" s="183" t="n">
        <v>45740</v>
      </c>
    </row>
    <row r="100">
      <c r="B100" s="73" t="inlineStr">
        <is>
          <t>clr_asset_receivable</t>
        </is>
      </c>
      <c r="C100" s="60" t="inlineStr">
        <is>
          <t>RECEIVABLETRANSFERTIME</t>
        </is>
      </c>
      <c r="D100" s="60" t="inlineStr">
        <is>
          <t>datetime</t>
        </is>
      </c>
      <c r="E100" s="60" t="inlineStr">
        <is>
          <t>YES</t>
        </is>
      </c>
      <c r="F100" s="99" t="inlineStr">
        <is>
          <t>应收账款转让申请时间</t>
        </is>
      </c>
      <c r="G100" s="60" t="inlineStr"/>
      <c r="H100" s="60" t="inlineStr"/>
      <c r="I100" s="60" t="n"/>
      <c r="J100" s="183" t="n">
        <v>45740</v>
      </c>
    </row>
    <row r="101">
      <c r="B101" s="73" t="inlineStr">
        <is>
          <t>clr_asset_receivable</t>
        </is>
      </c>
      <c r="C101" s="60" t="inlineStr">
        <is>
          <t>SELLERQUOTANO</t>
        </is>
      </c>
      <c r="D101" s="60" t="inlineStr">
        <is>
          <t>varchar(32)</t>
        </is>
      </c>
      <c r="E101" s="60" t="inlineStr">
        <is>
          <t>YES</t>
        </is>
      </c>
      <c r="F101" s="99" t="inlineStr">
        <is>
          <t>融资卖方额度号</t>
        </is>
      </c>
      <c r="G101" s="60" t="inlineStr"/>
      <c r="H101" s="60" t="inlineStr"/>
      <c r="I101" s="60" t="n"/>
      <c r="J101" s="183" t="n">
        <v>45740</v>
      </c>
    </row>
    <row r="102">
      <c r="B102" s="73" t="inlineStr">
        <is>
          <t>clr_asset_receivable</t>
        </is>
      </c>
      <c r="C102" s="60" t="inlineStr">
        <is>
          <t>SINGLEPOOL</t>
        </is>
      </c>
      <c r="D102" s="60" t="inlineStr">
        <is>
          <t>varchar(32)</t>
        </is>
      </c>
      <c r="E102" s="60" t="inlineStr">
        <is>
          <t>YES</t>
        </is>
      </c>
      <c r="F102" s="99" t="inlineStr">
        <is>
          <t>单笔/池</t>
        </is>
      </c>
      <c r="G102" s="60" t="inlineStr"/>
      <c r="H102" s="60" t="inlineStr"/>
      <c r="I102" s="60" t="n"/>
      <c r="J102" s="183" t="n">
        <v>45740</v>
      </c>
    </row>
    <row r="103">
      <c r="B103" s="73" t="inlineStr">
        <is>
          <t>clr_asset_receivable</t>
        </is>
      </c>
      <c r="C103" s="60" t="inlineStr">
        <is>
          <t>POOLNO</t>
        </is>
      </c>
      <c r="D103" s="60" t="inlineStr">
        <is>
          <t>varchar(32)</t>
        </is>
      </c>
      <c r="E103" s="60" t="inlineStr">
        <is>
          <t>YES</t>
        </is>
      </c>
      <c r="F103" s="99" t="inlineStr">
        <is>
          <t>池编号</t>
        </is>
      </c>
      <c r="G103" s="60" t="inlineStr"/>
      <c r="H103" s="60" t="inlineStr"/>
      <c r="I103" s="60" t="n"/>
      <c r="J103" s="183" t="n">
        <v>45740</v>
      </c>
    </row>
    <row r="104">
      <c r="B104" s="73" t="inlineStr">
        <is>
          <t>clr_asset_receivable</t>
        </is>
      </c>
      <c r="C104" s="60" t="inlineStr">
        <is>
          <t>TERM</t>
        </is>
      </c>
      <c r="D104" s="60" t="inlineStr">
        <is>
          <t>integer(6)</t>
        </is>
      </c>
      <c r="E104" s="60" t="inlineStr">
        <is>
          <t>YES</t>
        </is>
      </c>
      <c r="F104" s="99" t="inlineStr">
        <is>
          <t>期限（天）</t>
        </is>
      </c>
      <c r="G104" s="60" t="inlineStr"/>
      <c r="H104" s="60" t="inlineStr"/>
      <c r="I104" s="60" t="n"/>
      <c r="J104" s="183" t="n">
        <v>45740</v>
      </c>
    </row>
    <row r="105">
      <c r="B105" s="73" t="inlineStr">
        <is>
          <t>clr_asset_receivable</t>
        </is>
      </c>
      <c r="C105" s="60" t="inlineStr">
        <is>
          <t>UNITNAME</t>
        </is>
      </c>
      <c r="D105" s="60" t="inlineStr">
        <is>
          <t>varchar(80)</t>
        </is>
      </c>
      <c r="E105" s="60" t="inlineStr">
        <is>
          <t>YES</t>
        </is>
      </c>
      <c r="F105" s="99" t="inlineStr">
        <is>
          <t>具体单位名称</t>
        </is>
      </c>
      <c r="G105" s="60" t="inlineStr"/>
      <c r="H105" s="60" t="inlineStr"/>
      <c r="I105" s="60" t="n"/>
      <c r="J105" s="183" t="n">
        <v>45740</v>
      </c>
    </row>
    <row r="106">
      <c r="B106" s="73" t="inlineStr">
        <is>
          <t>clr_asset_receivable</t>
        </is>
      </c>
      <c r="C106" s="60" t="inlineStr">
        <is>
          <t>INVOICEINTEGRITY</t>
        </is>
      </c>
      <c r="D106" s="60" t="inlineStr">
        <is>
          <t>varchar(80)</t>
        </is>
      </c>
      <c r="E106" s="60" t="inlineStr">
        <is>
          <t>YES</t>
        </is>
      </c>
      <c r="F106" s="99" t="inlineStr">
        <is>
          <t>发票完整性</t>
        </is>
      </c>
      <c r="G106" s="60" t="inlineStr"/>
      <c r="H106" s="60" t="inlineStr"/>
      <c r="I106" s="60" t="n"/>
      <c r="J106" s="183" t="n">
        <v>45740</v>
      </c>
    </row>
    <row r="107">
      <c r="B107" s="73" t="inlineStr">
        <is>
          <t>clr_asset_receivable</t>
        </is>
      </c>
      <c r="C107" s="60" t="inlineStr">
        <is>
          <t>PLEDGECONTRACTNO</t>
        </is>
      </c>
      <c r="D107" s="60" t="inlineStr">
        <is>
          <t>varchar(32)</t>
        </is>
      </c>
      <c r="E107" s="60" t="inlineStr">
        <is>
          <t>YES</t>
        </is>
      </c>
      <c r="F107" s="99" t="inlineStr">
        <is>
          <t>质押合同编号</t>
        </is>
      </c>
      <c r="G107" s="60" t="inlineStr"/>
      <c r="H107" s="60" t="inlineStr"/>
      <c r="I107" s="60" t="n"/>
      <c r="J107" s="183" t="n">
        <v>45740</v>
      </c>
    </row>
    <row r="108">
      <c r="B108" s="73" t="inlineStr">
        <is>
          <t>clr_asset_receivable</t>
        </is>
      </c>
      <c r="C108" s="60" t="inlineStr">
        <is>
          <t>CONTRACTNAME</t>
        </is>
      </c>
      <c r="D108" s="60" t="inlineStr">
        <is>
          <t>varchar(80)</t>
        </is>
      </c>
      <c r="E108" s="60" t="inlineStr">
        <is>
          <t>YES</t>
        </is>
      </c>
      <c r="F108" s="99" t="inlineStr">
        <is>
          <t>合同名称</t>
        </is>
      </c>
      <c r="G108" s="60" t="inlineStr"/>
      <c r="H108" s="60" t="inlineStr"/>
      <c r="I108" s="60" t="n"/>
      <c r="J108" s="183" t="n">
        <v>45740</v>
      </c>
    </row>
    <row r="109">
      <c r="B109" s="73" t="inlineStr">
        <is>
          <t>clr_asset_receivable</t>
        </is>
      </c>
      <c r="C109" s="60" t="inlineStr">
        <is>
          <t>LEGALPERSONNAME</t>
        </is>
      </c>
      <c r="D109" s="60" t="inlineStr">
        <is>
          <t>varchar(80)</t>
        </is>
      </c>
      <c r="E109" s="60" t="inlineStr">
        <is>
          <t>YES</t>
        </is>
      </c>
      <c r="F109" s="99" t="inlineStr">
        <is>
          <t>贷款企业法人代表姓名</t>
        </is>
      </c>
      <c r="G109" s="60" t="inlineStr"/>
      <c r="H109" s="60" t="inlineStr"/>
      <c r="I109" s="60" t="n"/>
      <c r="J109" s="183" t="n">
        <v>45740</v>
      </c>
    </row>
    <row r="110">
      <c r="B110" s="73" t="inlineStr">
        <is>
          <t>clr_asset_receivable</t>
        </is>
      </c>
      <c r="C110" s="60" t="inlineStr">
        <is>
          <t>CONTRACTPERSONNAME</t>
        </is>
      </c>
      <c r="D110" s="60" t="inlineStr">
        <is>
          <t>varchar(80)</t>
        </is>
      </c>
      <c r="E110" s="60" t="inlineStr">
        <is>
          <t>YES</t>
        </is>
      </c>
      <c r="F110" s="99" t="inlineStr">
        <is>
          <t>纸质合同相对人名称</t>
        </is>
      </c>
      <c r="G110" s="60" t="inlineStr"/>
      <c r="H110" s="60" t="inlineStr"/>
      <c r="I110" s="60" t="n"/>
      <c r="J110" s="183" t="n">
        <v>45740</v>
      </c>
    </row>
    <row r="111">
      <c r="B111" s="73" t="inlineStr">
        <is>
          <t>clr_asset_receivable</t>
        </is>
      </c>
      <c r="C111" s="60" t="inlineStr">
        <is>
          <t>CONTRACTDATE</t>
        </is>
      </c>
      <c r="D111" s="60" t="inlineStr">
        <is>
          <t>datetime</t>
        </is>
      </c>
      <c r="E111" s="60" t="inlineStr">
        <is>
          <t>YES</t>
        </is>
      </c>
      <c r="F111" s="99" t="inlineStr">
        <is>
          <t>合同签订日期</t>
        </is>
      </c>
      <c r="G111" s="60" t="inlineStr"/>
      <c r="H111" s="60" t="inlineStr"/>
      <c r="I111" s="60" t="n"/>
      <c r="J111" s="183" t="n">
        <v>45740</v>
      </c>
    </row>
    <row r="112">
      <c r="B112" s="73" t="inlineStr">
        <is>
          <t>clr_asset_receivable</t>
        </is>
      </c>
      <c r="C112" s="60" t="inlineStr">
        <is>
          <t>CUSTNAME</t>
        </is>
      </c>
      <c r="D112" s="60" t="inlineStr">
        <is>
          <t>varchar(80)</t>
        </is>
      </c>
      <c r="E112" s="60" t="inlineStr">
        <is>
          <t>YES</t>
        </is>
      </c>
      <c r="F112" s="99" t="inlineStr">
        <is>
          <t>客户名称</t>
        </is>
      </c>
      <c r="G112" s="60" t="inlineStr"/>
      <c r="H112" s="60" t="inlineStr"/>
      <c r="I112" s="60" t="n"/>
      <c r="J112" s="183" t="n">
        <v>45740</v>
      </c>
    </row>
    <row r="113">
      <c r="B113" s="73" t="inlineStr">
        <is>
          <t>clr_asset_receivable</t>
        </is>
      </c>
      <c r="C113" s="60" t="inlineStr">
        <is>
          <t>CUSTNO</t>
        </is>
      </c>
      <c r="D113" s="60" t="inlineStr">
        <is>
          <t>varchar(32)</t>
        </is>
      </c>
      <c r="E113" s="60" t="inlineStr">
        <is>
          <t>YES</t>
        </is>
      </c>
      <c r="F113" s="99" t="inlineStr">
        <is>
          <t>客户号</t>
        </is>
      </c>
      <c r="G113" s="60" t="inlineStr"/>
      <c r="H113" s="60" t="inlineStr"/>
      <c r="I113" s="60" t="n"/>
      <c r="J113" s="183" t="n">
        <v>45740</v>
      </c>
    </row>
    <row r="114">
      <c r="B114" s="73" t="inlineStr">
        <is>
          <t>clr_asset_receivable</t>
        </is>
      </c>
      <c r="C114" s="60" t="inlineStr">
        <is>
          <t>PROJECTNO</t>
        </is>
      </c>
      <c r="D114" s="60" t="inlineStr">
        <is>
          <t>varchar(32)</t>
        </is>
      </c>
      <c r="E114" s="60" t="inlineStr">
        <is>
          <t>YES</t>
        </is>
      </c>
      <c r="F114" s="100" t="inlineStr">
        <is>
          <t>项目立项批文文号</t>
        </is>
      </c>
      <c r="G114" s="60" t="inlineStr"/>
      <c r="H114" s="60" t="inlineStr"/>
      <c r="I114" s="60" t="n"/>
      <c r="J114" s="183" t="n">
        <v>45740</v>
      </c>
    </row>
    <row r="115">
      <c r="B115" s="73" t="inlineStr">
        <is>
          <t>clr_asset_receivable</t>
        </is>
      </c>
      <c r="C115" s="60" t="inlineStr">
        <is>
          <t>CHARGENO</t>
        </is>
      </c>
      <c r="D115" s="60" t="inlineStr">
        <is>
          <t>varchar(32)</t>
        </is>
      </c>
      <c r="E115" s="60" t="inlineStr">
        <is>
          <t>YES</t>
        </is>
      </c>
      <c r="F115" s="100" t="inlineStr">
        <is>
          <t>收费权确认文号</t>
        </is>
      </c>
      <c r="G115" s="60" t="inlineStr"/>
      <c r="H115" s="60" t="inlineStr"/>
      <c r="I115" s="60" t="n"/>
      <c r="J115" s="183" t="n">
        <v>45740</v>
      </c>
    </row>
    <row r="116">
      <c r="B116" s="73" t="inlineStr">
        <is>
          <t>clr_asset_receivable</t>
        </is>
      </c>
      <c r="C116" s="60" t="inlineStr">
        <is>
          <t>PLEDGENO</t>
        </is>
      </c>
      <c r="D116" s="60" t="inlineStr">
        <is>
          <t>varchar(32)</t>
        </is>
      </c>
      <c r="E116" s="60" t="inlineStr">
        <is>
          <t>YES</t>
        </is>
      </c>
      <c r="F116" s="100" t="inlineStr">
        <is>
          <t>可质押批复文号</t>
        </is>
      </c>
      <c r="G116" s="60" t="inlineStr"/>
      <c r="H116" s="60" t="inlineStr"/>
      <c r="I116" s="60" t="n"/>
      <c r="J116" s="183" t="n">
        <v>45740</v>
      </c>
    </row>
    <row r="117">
      <c r="B117" s="73" t="inlineStr">
        <is>
          <t>clr_asset_receivable</t>
        </is>
      </c>
      <c r="C117" s="97" t="inlineStr">
        <is>
          <t>CURRENCY</t>
        </is>
      </c>
      <c r="D117" s="97" t="inlineStr">
        <is>
          <t>varchar(18)</t>
        </is>
      </c>
      <c r="E117" s="97" t="inlineStr">
        <is>
          <t>YES</t>
        </is>
      </c>
      <c r="F117" s="101" t="inlineStr">
        <is>
          <t>币种</t>
        </is>
      </c>
      <c r="G117" s="97" t="inlineStr">
        <is>
          <t>Currency</t>
        </is>
      </c>
      <c r="H117" s="97" t="n"/>
      <c r="I117" s="97" t="n"/>
      <c r="J117" s="183" t="n">
        <v>45740</v>
      </c>
    </row>
    <row r="118">
      <c r="B118" s="65" t="inlineStr">
        <is>
          <t>clr_asset_receivable</t>
        </is>
      </c>
      <c r="C118" s="60" t="inlineStr">
        <is>
          <t>RIGHTVALUE</t>
        </is>
      </c>
      <c r="D118" s="60" t="inlineStr">
        <is>
          <t>decimal(24,6)</t>
        </is>
      </c>
      <c r="E118" s="60" t="inlineStr">
        <is>
          <t>YES</t>
        </is>
      </c>
      <c r="F118" s="100" t="inlineStr">
        <is>
          <t>权利取得价值</t>
        </is>
      </c>
      <c r="G118" s="60" t="inlineStr"/>
      <c r="H118" s="60" t="n"/>
      <c r="I118" s="60" t="n"/>
      <c r="J118" s="183" t="n">
        <v>45740</v>
      </c>
    </row>
  </sheetData>
  <pageMargins left="0.75" right="0.75" top="1" bottom="1" header="0.5" footer="0.5"/>
  <pageSetup orientation="portrait" paperSize="1" horizontalDpi="300" verticalDpi="300"/>
</worksheet>
</file>

<file path=xl/worksheets/sheet75.xml><?xml version="1.0" encoding="utf-8"?>
<worksheet xmlns="http://schemas.openxmlformats.org/spreadsheetml/2006/main">
  <sheetPr>
    <outlinePr summaryBelow="1" summaryRight="1"/>
    <pageSetUpPr/>
  </sheetPr>
  <dimension ref="A1:J52"/>
  <sheetViews>
    <sheetView topLeftCell="A3"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货权信息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clr_cargo_info</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clr_cargo_info</t>
        </is>
      </c>
      <c r="C4" s="24" t="inlineStr">
        <is>
          <t>CLRID</t>
        </is>
      </c>
      <c r="D4" s="24" t="inlineStr">
        <is>
          <t>varchar(32)</t>
        </is>
      </c>
      <c r="E4" s="24" t="inlineStr">
        <is>
          <t>YES</t>
        </is>
      </c>
      <c r="F4" s="24" t="inlineStr">
        <is>
          <t>押品编号</t>
        </is>
      </c>
      <c r="G4" s="24" t="n"/>
      <c r="H4" s="24" t="n"/>
      <c r="I4" s="24" t="inlineStr"/>
      <c r="J4" s="24" t="inlineStr">
        <is>
          <t>2023/01/12</t>
        </is>
      </c>
    </row>
    <row r="5">
      <c r="B5" s="24" t="inlineStr">
        <is>
          <t>clr_cargo_info</t>
        </is>
      </c>
      <c r="C5" s="24" t="inlineStr">
        <is>
          <t>CARGOCODE</t>
        </is>
      </c>
      <c r="D5" s="24" t="inlineStr">
        <is>
          <t>varchar(32)</t>
        </is>
      </c>
      <c r="E5" s="24" t="inlineStr">
        <is>
          <t>YES</t>
        </is>
      </c>
      <c r="F5" s="24" t="inlineStr">
        <is>
          <t>商品代码</t>
        </is>
      </c>
      <c r="G5" s="24" t="n"/>
      <c r="H5" s="24" t="n"/>
      <c r="I5" s="24" t="inlineStr"/>
      <c r="J5" s="24" t="inlineStr">
        <is>
          <t>2023/01/12</t>
        </is>
      </c>
    </row>
    <row r="6">
      <c r="B6" s="24" t="inlineStr">
        <is>
          <t>clr_cargo_info</t>
        </is>
      </c>
      <c r="C6" s="24" t="inlineStr">
        <is>
          <t>CARGONAME</t>
        </is>
      </c>
      <c r="D6" s="24" t="inlineStr">
        <is>
          <t>varchar(80)</t>
        </is>
      </c>
      <c r="E6" s="24" t="inlineStr">
        <is>
          <t>YES</t>
        </is>
      </c>
      <c r="F6" s="24" t="inlineStr">
        <is>
          <t>商品名称</t>
        </is>
      </c>
      <c r="G6" s="24" t="n"/>
      <c r="H6" s="24" t="n"/>
      <c r="I6" s="24" t="inlineStr"/>
      <c r="J6" s="24" t="inlineStr">
        <is>
          <t>2023/01/12</t>
        </is>
      </c>
    </row>
    <row r="7">
      <c r="B7" s="24" t="inlineStr">
        <is>
          <t>clr_cargo_info</t>
        </is>
      </c>
      <c r="C7" s="24" t="inlineStr">
        <is>
          <t>CARGOHEADTYPE</t>
        </is>
      </c>
      <c r="D7" s="24" t="inlineStr">
        <is>
          <t>varchar(32)</t>
        </is>
      </c>
      <c r="E7" s="24" t="inlineStr">
        <is>
          <t>YES</t>
        </is>
      </c>
      <c r="F7" s="24" t="inlineStr">
        <is>
          <t>商品大类</t>
        </is>
      </c>
      <c r="G7" s="24" t="n"/>
      <c r="H7" s="24" t="n"/>
      <c r="I7" s="24" t="inlineStr"/>
      <c r="J7" s="24" t="inlineStr">
        <is>
          <t>2023/01/12</t>
        </is>
      </c>
    </row>
    <row r="8">
      <c r="B8" s="24" t="inlineStr">
        <is>
          <t>clr_cargo_info</t>
        </is>
      </c>
      <c r="C8" s="24" t="inlineStr">
        <is>
          <t>CARGOHEADNAME</t>
        </is>
      </c>
      <c r="D8" s="24" t="inlineStr">
        <is>
          <t>varchar(80)</t>
        </is>
      </c>
      <c r="E8" s="24" t="inlineStr">
        <is>
          <t>YES</t>
        </is>
      </c>
      <c r="F8" s="24" t="inlineStr">
        <is>
          <t>商品大类名称</t>
        </is>
      </c>
      <c r="G8" s="24" t="n"/>
      <c r="H8" s="24" t="n"/>
      <c r="I8" s="24" t="inlineStr"/>
      <c r="J8" s="24" t="inlineStr">
        <is>
          <t>2023/01/12</t>
        </is>
      </c>
    </row>
    <row r="9">
      <c r="B9" s="24" t="inlineStr">
        <is>
          <t>clr_cargo_info</t>
        </is>
      </c>
      <c r="C9" s="24" t="inlineStr">
        <is>
          <t>CARGODETAILTYPE</t>
        </is>
      </c>
      <c r="D9" s="24" t="inlineStr">
        <is>
          <t>varchar(32)</t>
        </is>
      </c>
      <c r="E9" s="24" t="inlineStr">
        <is>
          <t>YES</t>
        </is>
      </c>
      <c r="F9" s="24" t="inlineStr">
        <is>
          <t>商品细类</t>
        </is>
      </c>
      <c r="G9" s="24" t="n"/>
      <c r="H9" s="24" t="n"/>
      <c r="I9" s="24" t="inlineStr"/>
      <c r="J9" s="24" t="inlineStr">
        <is>
          <t>2023/01/12</t>
        </is>
      </c>
    </row>
    <row r="10">
      <c r="B10" s="24" t="inlineStr">
        <is>
          <t>clr_cargo_info</t>
        </is>
      </c>
      <c r="C10" s="24" t="inlineStr">
        <is>
          <t>CARGODETAILNAME</t>
        </is>
      </c>
      <c r="D10" s="24" t="inlineStr">
        <is>
          <t>varchar(80)</t>
        </is>
      </c>
      <c r="E10" s="24" t="inlineStr">
        <is>
          <t>YES</t>
        </is>
      </c>
      <c r="F10" s="24" t="inlineStr">
        <is>
          <t>商品细类名称</t>
        </is>
      </c>
      <c r="G10" s="24" t="n"/>
      <c r="H10" s="24" t="n"/>
      <c r="I10" s="24" t="inlineStr"/>
      <c r="J10" s="24" t="inlineStr">
        <is>
          <t>2023/01/12</t>
        </is>
      </c>
    </row>
    <row r="11">
      <c r="B11" s="24" t="inlineStr">
        <is>
          <t>clr_cargo_info</t>
        </is>
      </c>
      <c r="C11" s="24" t="inlineStr">
        <is>
          <t>VARIETIES</t>
        </is>
      </c>
      <c r="D11" s="24" t="inlineStr">
        <is>
          <t>varchar(80)</t>
        </is>
      </c>
      <c r="E11" s="24" t="inlineStr">
        <is>
          <t>YES</t>
        </is>
      </c>
      <c r="F11" s="24" t="inlineStr">
        <is>
          <t>品种/规格</t>
        </is>
      </c>
      <c r="G11" s="24" t="n"/>
      <c r="H11" s="24" t="n"/>
      <c r="I11" s="24" t="inlineStr"/>
      <c r="J11" s="24" t="inlineStr">
        <is>
          <t>2023/01/12</t>
        </is>
      </c>
    </row>
    <row r="12">
      <c r="B12" s="24" t="inlineStr">
        <is>
          <t>clr_cargo_info</t>
        </is>
      </c>
      <c r="C12" s="24" t="inlineStr">
        <is>
          <t>BRAND</t>
        </is>
      </c>
      <c r="D12" s="24" t="inlineStr">
        <is>
          <t>varchar(80)</t>
        </is>
      </c>
      <c r="E12" s="24" t="inlineStr">
        <is>
          <t>YES</t>
        </is>
      </c>
      <c r="F12" s="24" t="inlineStr">
        <is>
          <t>品牌</t>
        </is>
      </c>
      <c r="G12" s="24" t="n"/>
      <c r="H12" s="24" t="n"/>
      <c r="I12" s="24" t="inlineStr"/>
      <c r="J12" s="24" t="inlineStr">
        <is>
          <t>2023/01/12</t>
        </is>
      </c>
    </row>
    <row r="13">
      <c r="B13" s="24" t="inlineStr">
        <is>
          <t>clr_cargo_info</t>
        </is>
      </c>
      <c r="C13" s="24" t="inlineStr">
        <is>
          <t>MEAUNIT</t>
        </is>
      </c>
      <c r="D13" s="24" t="inlineStr">
        <is>
          <t>varchar(18)</t>
        </is>
      </c>
      <c r="E13" s="24" t="inlineStr">
        <is>
          <t>YES</t>
        </is>
      </c>
      <c r="F13" s="24" t="inlineStr">
        <is>
          <t>计量单位</t>
        </is>
      </c>
      <c r="G13" s="24" t="n"/>
      <c r="H13" s="24" t="n"/>
      <c r="I13" s="24" t="inlineStr"/>
      <c r="J13" s="24" t="inlineStr">
        <is>
          <t>2023/01/12</t>
        </is>
      </c>
    </row>
    <row r="14">
      <c r="B14" s="24" t="inlineStr">
        <is>
          <t>clr_cargo_info</t>
        </is>
      </c>
      <c r="C14" s="24" t="inlineStr">
        <is>
          <t>MEAUNITNAME</t>
        </is>
      </c>
      <c r="D14" s="24" t="inlineStr">
        <is>
          <t>varchar(80)</t>
        </is>
      </c>
      <c r="E14" s="24" t="inlineStr">
        <is>
          <t>YES</t>
        </is>
      </c>
      <c r="F14" s="24" t="inlineStr">
        <is>
          <t>计量单位名称</t>
        </is>
      </c>
      <c r="G14" s="24" t="n"/>
      <c r="H14" s="24" t="n"/>
      <c r="I14" s="24" t="inlineStr"/>
      <c r="J14" s="24" t="inlineStr">
        <is>
          <t>2023/01/12</t>
        </is>
      </c>
    </row>
    <row r="15">
      <c r="B15" s="24" t="inlineStr">
        <is>
          <t>clr_cargo_info</t>
        </is>
      </c>
      <c r="C15" s="24" t="inlineStr">
        <is>
          <t>CURRENCY</t>
        </is>
      </c>
      <c r="D15" s="24" t="inlineStr">
        <is>
          <t>varchar(18)</t>
        </is>
      </c>
      <c r="E15" s="24" t="inlineStr">
        <is>
          <t>YES</t>
        </is>
      </c>
      <c r="F15" s="24" t="inlineStr">
        <is>
          <t>币种</t>
        </is>
      </c>
      <c r="G15" s="24" t="n"/>
      <c r="H15" s="24" t="n"/>
      <c r="I15" s="24" t="inlineStr"/>
      <c r="J15" s="24" t="inlineStr">
        <is>
          <t>2023/01/12</t>
        </is>
      </c>
    </row>
    <row r="16">
      <c r="B16" s="24" t="inlineStr">
        <is>
          <t>clr_cargo_info</t>
        </is>
      </c>
      <c r="C16" s="24" t="inlineStr">
        <is>
          <t>TOTALAMOUNT</t>
        </is>
      </c>
      <c r="D16" s="24" t="inlineStr">
        <is>
          <t>decimal(24,6)</t>
        </is>
      </c>
      <c r="E16" s="24" t="inlineStr">
        <is>
          <t>YES</t>
        </is>
      </c>
      <c r="F16" s="24" t="inlineStr">
        <is>
          <t>总量</t>
        </is>
      </c>
      <c r="G16" s="24" t="n"/>
      <c r="H16" s="24" t="n"/>
      <c r="I16" s="24" t="inlineStr"/>
      <c r="J16" s="24" t="inlineStr">
        <is>
          <t>2023/01/12</t>
        </is>
      </c>
    </row>
    <row r="17">
      <c r="B17" s="24" t="inlineStr">
        <is>
          <t>clr_cargo_info</t>
        </is>
      </c>
      <c r="C17" s="24" t="inlineStr">
        <is>
          <t>GUIDINGPRICE</t>
        </is>
      </c>
      <c r="D17" s="24" t="inlineStr">
        <is>
          <t>decimal(18,2)</t>
        </is>
      </c>
      <c r="E17" s="24" t="inlineStr">
        <is>
          <t>YES</t>
        </is>
      </c>
      <c r="F17" s="24" t="inlineStr">
        <is>
          <t>指导价</t>
        </is>
      </c>
      <c r="G17" s="24" t="n"/>
      <c r="H17" s="24" t="n"/>
      <c r="I17" s="24" t="inlineStr"/>
      <c r="J17" s="24" t="inlineStr">
        <is>
          <t>2023/01/12</t>
        </is>
      </c>
    </row>
    <row r="18">
      <c r="B18" s="24" t="inlineStr">
        <is>
          <t>clr_cargo_info</t>
        </is>
      </c>
      <c r="C18" s="24" t="inlineStr">
        <is>
          <t>CURMARKETPRICE</t>
        </is>
      </c>
      <c r="D18" s="24" t="inlineStr">
        <is>
          <t>decimal(24,6)</t>
        </is>
      </c>
      <c r="E18" s="24" t="inlineStr">
        <is>
          <t>YES</t>
        </is>
      </c>
      <c r="F18" s="24" t="inlineStr">
        <is>
          <t>当前市价</t>
        </is>
      </c>
      <c r="G18" s="24" t="n"/>
      <c r="H18" s="24" t="n"/>
      <c r="I18" s="24" t="inlineStr"/>
      <c r="J18" s="24" t="inlineStr">
        <is>
          <t>2023/01/12</t>
        </is>
      </c>
    </row>
    <row r="19">
      <c r="B19" s="24" t="inlineStr">
        <is>
          <t>clr_cargo_info</t>
        </is>
      </c>
      <c r="C19" s="24" t="inlineStr">
        <is>
          <t>AUTHORIZEDPRICE</t>
        </is>
      </c>
      <c r="D19" s="24" t="inlineStr">
        <is>
          <t>decimal(24,6)</t>
        </is>
      </c>
      <c r="E19" s="24" t="inlineStr">
        <is>
          <t>YES</t>
        </is>
      </c>
      <c r="F19" s="24" t="inlineStr">
        <is>
          <t>核定单价</t>
        </is>
      </c>
      <c r="G19" s="24" t="n"/>
      <c r="H19" s="24" t="n"/>
      <c r="I19" s="24" t="inlineStr"/>
      <c r="J19" s="24" t="inlineStr">
        <is>
          <t>2023/01/12</t>
        </is>
      </c>
    </row>
    <row r="20">
      <c r="B20" s="24" t="inlineStr">
        <is>
          <t>clr_cargo_info</t>
        </is>
      </c>
      <c r="C20" s="24" t="inlineStr">
        <is>
          <t>AUTHORIZEDVALUE</t>
        </is>
      </c>
      <c r="D20" s="24" t="inlineStr">
        <is>
          <t>decimal(24,6)</t>
        </is>
      </c>
      <c r="E20" s="24" t="inlineStr">
        <is>
          <t>YES</t>
        </is>
      </c>
      <c r="F20" s="24" t="inlineStr">
        <is>
          <t>核定价值</t>
        </is>
      </c>
      <c r="G20" s="24" t="n"/>
      <c r="H20" s="24" t="n"/>
      <c r="I20" s="24" t="inlineStr"/>
      <c r="J20" s="24" t="inlineStr">
        <is>
          <t>2023/01/12</t>
        </is>
      </c>
    </row>
    <row r="21">
      <c r="B21" s="24" t="inlineStr">
        <is>
          <t>clr_cargo_info</t>
        </is>
      </c>
      <c r="C21" s="24" t="inlineStr">
        <is>
          <t>MORTGATERATE</t>
        </is>
      </c>
      <c r="D21" s="24" t="inlineStr">
        <is>
          <t>decimal(18,8)</t>
        </is>
      </c>
      <c r="E21" s="24" t="inlineStr">
        <is>
          <t>YES</t>
        </is>
      </c>
      <c r="F21" s="53" t="inlineStr">
        <is>
          <t>质押率上限</t>
        </is>
      </c>
      <c r="G21" s="24" t="n"/>
      <c r="H21" s="24" t="n"/>
      <c r="I21" s="24" t="inlineStr"/>
      <c r="J21" s="24" t="inlineStr">
        <is>
          <t>2023/01/12</t>
        </is>
      </c>
    </row>
    <row r="22">
      <c r="B22" s="24" t="inlineStr">
        <is>
          <t>clr_cargo_info</t>
        </is>
      </c>
      <c r="C22" s="24" t="inlineStr">
        <is>
          <t>REGULATOR</t>
        </is>
      </c>
      <c r="D22" s="24" t="inlineStr">
        <is>
          <t>varchar(80)</t>
        </is>
      </c>
      <c r="E22" s="24" t="inlineStr">
        <is>
          <t>YES</t>
        </is>
      </c>
      <c r="F22" s="24" t="inlineStr">
        <is>
          <t>监管方</t>
        </is>
      </c>
      <c r="G22" s="24" t="n"/>
      <c r="H22" s="24" t="n"/>
      <c r="I22" s="24" t="inlineStr"/>
      <c r="J22" s="24" t="inlineStr">
        <is>
          <t>2023/01/12</t>
        </is>
      </c>
    </row>
    <row r="23">
      <c r="B23" s="24" t="inlineStr">
        <is>
          <t>clr_cargo_info</t>
        </is>
      </c>
      <c r="C23" s="24" t="inlineStr">
        <is>
          <t>REGULATORID</t>
        </is>
      </c>
      <c r="D23" s="24" t="inlineStr">
        <is>
          <t>varchar(32)</t>
        </is>
      </c>
      <c r="E23" s="24" t="inlineStr">
        <is>
          <t>YES</t>
        </is>
      </c>
      <c r="F23" s="24" t="inlineStr">
        <is>
          <t>监管方编码</t>
        </is>
      </c>
      <c r="G23" s="24" t="n"/>
      <c r="H23" s="24" t="n"/>
      <c r="I23" s="24" t="inlineStr"/>
      <c r="J23" s="24" t="inlineStr">
        <is>
          <t>2023/01/12</t>
        </is>
      </c>
    </row>
    <row r="24">
      <c r="B24" s="24" t="inlineStr">
        <is>
          <t>clr_cargo_info</t>
        </is>
      </c>
      <c r="C24" s="24" t="inlineStr">
        <is>
          <t>STORAGEWAREHOUSE</t>
        </is>
      </c>
      <c r="D24" s="24" t="inlineStr">
        <is>
          <t>varchar(80)</t>
        </is>
      </c>
      <c r="E24" s="24" t="inlineStr">
        <is>
          <t>YES</t>
        </is>
      </c>
      <c r="F24" s="24" t="inlineStr">
        <is>
          <t>保管仓库</t>
        </is>
      </c>
      <c r="G24" s="24" t="n"/>
      <c r="H24" s="24" t="n"/>
      <c r="I24" s="24" t="inlineStr"/>
      <c r="J24" s="24" t="inlineStr">
        <is>
          <t>2023/01/12</t>
        </is>
      </c>
    </row>
    <row r="25">
      <c r="B25" s="24" t="inlineStr">
        <is>
          <t>clr_cargo_info</t>
        </is>
      </c>
      <c r="C25" s="24" t="inlineStr">
        <is>
          <t>STORAGEWAREHOUSEID</t>
        </is>
      </c>
      <c r="D25" s="24" t="inlineStr">
        <is>
          <t>varchar(32)</t>
        </is>
      </c>
      <c r="E25" s="24" t="inlineStr">
        <is>
          <t>YES</t>
        </is>
      </c>
      <c r="F25" s="24" t="inlineStr">
        <is>
          <t>保管仓库编码</t>
        </is>
      </c>
      <c r="G25" s="24" t="n"/>
      <c r="H25" s="24" t="n"/>
      <c r="I25" s="24" t="inlineStr"/>
      <c r="J25" s="24" t="inlineStr">
        <is>
          <t>2023/01/12</t>
        </is>
      </c>
    </row>
    <row r="26">
      <c r="B26" s="24" t="inlineStr">
        <is>
          <t>clr_cargo_info</t>
        </is>
      </c>
      <c r="C26" s="24" t="inlineStr">
        <is>
          <t>STATUS</t>
        </is>
      </c>
      <c r="D26" s="24" t="inlineStr">
        <is>
          <t>varchar(6)</t>
        </is>
      </c>
      <c r="E26" s="24" t="inlineStr">
        <is>
          <t>YES</t>
        </is>
      </c>
      <c r="F26" s="24" t="inlineStr">
        <is>
          <t>状态</t>
        </is>
      </c>
      <c r="G26" s="24" t="n"/>
      <c r="H26" s="24" t="n"/>
      <c r="I26" s="24" t="inlineStr"/>
      <c r="J26" s="24" t="inlineStr">
        <is>
          <t>2023/01/12</t>
        </is>
      </c>
    </row>
    <row r="27">
      <c r="B27" s="24" t="inlineStr">
        <is>
          <t>clr_cargo_info</t>
        </is>
      </c>
      <c r="C27" s="24" t="inlineStr">
        <is>
          <t>AMOUNT1</t>
        </is>
      </c>
      <c r="D27" s="24" t="inlineStr">
        <is>
          <t>decimal(18,2)</t>
        </is>
      </c>
      <c r="E27" s="24" t="inlineStr">
        <is>
          <t>YES</t>
        </is>
      </c>
      <c r="F27" s="24" t="inlineStr">
        <is>
          <t>数量1</t>
        </is>
      </c>
      <c r="G27" s="24" t="n"/>
      <c r="H27" s="24" t="n"/>
      <c r="I27" s="24" t="inlineStr"/>
      <c r="J27" s="24" t="inlineStr">
        <is>
          <t>2023/01/12</t>
        </is>
      </c>
    </row>
    <row r="28">
      <c r="B28" s="24" t="inlineStr">
        <is>
          <t>clr_cargo_info</t>
        </is>
      </c>
      <c r="C28" s="24" t="inlineStr">
        <is>
          <t>AMOUNT2</t>
        </is>
      </c>
      <c r="D28" s="24" t="inlineStr">
        <is>
          <t>decimal(18,2)</t>
        </is>
      </c>
      <c r="E28" s="24" t="inlineStr">
        <is>
          <t>YES</t>
        </is>
      </c>
      <c r="F28" s="24" t="inlineStr">
        <is>
          <t>数量2</t>
        </is>
      </c>
      <c r="G28" s="24" t="n"/>
      <c r="H28" s="24" t="n"/>
      <c r="I28" s="24" t="inlineStr"/>
      <c r="J28" s="24" t="inlineStr">
        <is>
          <t>2023/01/12</t>
        </is>
      </c>
    </row>
    <row r="29">
      <c r="B29" s="24" t="inlineStr">
        <is>
          <t>clr_cargo_info</t>
        </is>
      </c>
      <c r="C29" s="24" t="inlineStr">
        <is>
          <t>DATE1</t>
        </is>
      </c>
      <c r="D29" s="24" t="inlineStr">
        <is>
          <t>datetime</t>
        </is>
      </c>
      <c r="E29" s="24" t="inlineStr">
        <is>
          <t>YES</t>
        </is>
      </c>
      <c r="F29" s="24" t="inlineStr">
        <is>
          <t>日期1</t>
        </is>
      </c>
      <c r="G29" s="24" t="n"/>
      <c r="H29" s="24" t="n"/>
      <c r="I29" s="24" t="inlineStr"/>
      <c r="J29" s="24" t="inlineStr">
        <is>
          <t>2023/01/12</t>
        </is>
      </c>
    </row>
    <row r="30">
      <c r="B30" s="24" t="inlineStr">
        <is>
          <t>clr_cargo_info</t>
        </is>
      </c>
      <c r="C30" s="24" t="inlineStr">
        <is>
          <t>DATE2</t>
        </is>
      </c>
      <c r="D30" s="24" t="inlineStr">
        <is>
          <t>datetime</t>
        </is>
      </c>
      <c r="E30" s="24" t="inlineStr">
        <is>
          <t>YES</t>
        </is>
      </c>
      <c r="F30" s="24" t="inlineStr">
        <is>
          <t>日期2</t>
        </is>
      </c>
      <c r="G30" s="24" t="n"/>
      <c r="H30" s="24" t="n"/>
      <c r="I30" s="24" t="inlineStr"/>
      <c r="J30" s="24" t="inlineStr">
        <is>
          <t>2023/01/12</t>
        </is>
      </c>
    </row>
    <row r="31">
      <c r="B31" s="24" t="inlineStr">
        <is>
          <t>clr_cargo_info</t>
        </is>
      </c>
      <c r="C31" s="24" t="inlineStr">
        <is>
          <t>DATE3</t>
        </is>
      </c>
      <c r="D31" s="24" t="inlineStr">
        <is>
          <t>datetime</t>
        </is>
      </c>
      <c r="E31" s="24" t="inlineStr">
        <is>
          <t>YES</t>
        </is>
      </c>
      <c r="F31" s="24" t="inlineStr">
        <is>
          <t>日期3</t>
        </is>
      </c>
      <c r="G31" s="24" t="n"/>
      <c r="H31" s="24" t="n"/>
      <c r="I31" s="24" t="inlineStr"/>
      <c r="J31" s="24" t="inlineStr">
        <is>
          <t>2023/01/12</t>
        </is>
      </c>
    </row>
    <row r="32">
      <c r="B32" s="24" t="inlineStr">
        <is>
          <t>clr_cargo_info</t>
        </is>
      </c>
      <c r="C32" s="24" t="inlineStr">
        <is>
          <t>DESCRIBE1</t>
        </is>
      </c>
      <c r="D32" s="24" t="inlineStr">
        <is>
          <t>varchar(500)</t>
        </is>
      </c>
      <c r="E32" s="24" t="inlineStr">
        <is>
          <t>YES</t>
        </is>
      </c>
      <c r="F32" s="24" t="inlineStr">
        <is>
          <t>属性1</t>
        </is>
      </c>
      <c r="G32" s="24" t="n"/>
      <c r="H32" s="24" t="n"/>
      <c r="I32" s="24" t="inlineStr"/>
      <c r="J32" s="24" t="inlineStr">
        <is>
          <t>2023/01/12</t>
        </is>
      </c>
    </row>
    <row r="33">
      <c r="B33" s="24" t="inlineStr">
        <is>
          <t>clr_cargo_info</t>
        </is>
      </c>
      <c r="C33" s="24" t="inlineStr">
        <is>
          <t>DESCRIBE2</t>
        </is>
      </c>
      <c r="D33" s="24" t="inlineStr">
        <is>
          <t>varchar(500)</t>
        </is>
      </c>
      <c r="E33" s="24" t="inlineStr">
        <is>
          <t>YES</t>
        </is>
      </c>
      <c r="F33" s="24" t="inlineStr">
        <is>
          <t>属性2</t>
        </is>
      </c>
      <c r="G33" s="24" t="n"/>
      <c r="H33" s="24" t="n"/>
      <c r="I33" s="24" t="inlineStr"/>
      <c r="J33" s="24" t="inlineStr">
        <is>
          <t>2023/01/12</t>
        </is>
      </c>
    </row>
    <row r="34">
      <c r="B34" s="24" t="inlineStr">
        <is>
          <t>clr_cargo_info</t>
        </is>
      </c>
      <c r="C34" s="24" t="inlineStr">
        <is>
          <t>DESCRIBE3</t>
        </is>
      </c>
      <c r="D34" s="24" t="inlineStr">
        <is>
          <t>varchar(500)</t>
        </is>
      </c>
      <c r="E34" s="24" t="inlineStr">
        <is>
          <t>YES</t>
        </is>
      </c>
      <c r="F34" s="24" t="inlineStr">
        <is>
          <t>属性3</t>
        </is>
      </c>
      <c r="G34" s="24" t="n"/>
      <c r="H34" s="24" t="n"/>
      <c r="I34" s="24" t="inlineStr"/>
      <c r="J34" s="24" t="inlineStr">
        <is>
          <t>2023/01/12</t>
        </is>
      </c>
    </row>
    <row r="35">
      <c r="B35" s="24" t="inlineStr">
        <is>
          <t>clr_cargo_info</t>
        </is>
      </c>
      <c r="C35" s="24" t="inlineStr">
        <is>
          <t>DESCRIBE4</t>
        </is>
      </c>
      <c r="D35" s="24" t="inlineStr">
        <is>
          <t>varchar(500)</t>
        </is>
      </c>
      <c r="E35" s="24" t="inlineStr">
        <is>
          <t>YES</t>
        </is>
      </c>
      <c r="F35" s="24" t="inlineStr">
        <is>
          <t>属性4</t>
        </is>
      </c>
      <c r="G35" s="24" t="n"/>
      <c r="H35" s="24" t="n"/>
      <c r="I35" s="24" t="inlineStr"/>
      <c r="J35" s="24" t="inlineStr">
        <is>
          <t>2023/01/12</t>
        </is>
      </c>
    </row>
    <row r="36">
      <c r="B36" s="24" t="inlineStr">
        <is>
          <t>clr_cargo_info</t>
        </is>
      </c>
      <c r="C36" s="24" t="inlineStr">
        <is>
          <t>DESCRIBE5</t>
        </is>
      </c>
      <c r="D36" s="24" t="inlineStr">
        <is>
          <t>varchar(500)</t>
        </is>
      </c>
      <c r="E36" s="24" t="inlineStr">
        <is>
          <t>YES</t>
        </is>
      </c>
      <c r="F36" s="24" t="inlineStr">
        <is>
          <t>属性5</t>
        </is>
      </c>
      <c r="G36" s="24" t="n"/>
      <c r="H36" s="24" t="n"/>
      <c r="I36" s="24" t="inlineStr"/>
      <c r="J36" s="24" t="inlineStr">
        <is>
          <t>2023/01/12</t>
        </is>
      </c>
    </row>
    <row r="37">
      <c r="B37" s="24" t="inlineStr">
        <is>
          <t>clr_cargo_info</t>
        </is>
      </c>
      <c r="C37" s="24" t="inlineStr">
        <is>
          <t>DESCRIBE6</t>
        </is>
      </c>
      <c r="D37" s="24" t="inlineStr">
        <is>
          <t>varchar(500)</t>
        </is>
      </c>
      <c r="E37" s="24" t="inlineStr">
        <is>
          <t>YES</t>
        </is>
      </c>
      <c r="F37" s="24" t="inlineStr">
        <is>
          <t>属性6</t>
        </is>
      </c>
      <c r="G37" s="24" t="n"/>
      <c r="H37" s="24" t="n"/>
      <c r="I37" s="24" t="inlineStr"/>
      <c r="J37" s="24" t="inlineStr">
        <is>
          <t>2023/01/12</t>
        </is>
      </c>
    </row>
    <row r="38">
      <c r="B38" s="24" t="inlineStr">
        <is>
          <t>clr_cargo_info</t>
        </is>
      </c>
      <c r="C38" s="24" t="inlineStr">
        <is>
          <t>DESCRIBE7</t>
        </is>
      </c>
      <c r="D38" s="24" t="inlineStr">
        <is>
          <t>varchar(500)</t>
        </is>
      </c>
      <c r="E38" s="24" t="inlineStr">
        <is>
          <t>YES</t>
        </is>
      </c>
      <c r="F38" s="24" t="inlineStr">
        <is>
          <t>属性7</t>
        </is>
      </c>
      <c r="G38" s="24" t="n"/>
      <c r="H38" s="24" t="n"/>
      <c r="I38" s="24" t="inlineStr"/>
      <c r="J38" s="24" t="inlineStr">
        <is>
          <t>2023/01/12</t>
        </is>
      </c>
    </row>
    <row r="39">
      <c r="B39" s="24" t="inlineStr">
        <is>
          <t>clr_cargo_info</t>
        </is>
      </c>
      <c r="C39" s="24" t="inlineStr">
        <is>
          <t>DESCRIBE8</t>
        </is>
      </c>
      <c r="D39" s="24" t="inlineStr">
        <is>
          <t>varchar(500)</t>
        </is>
      </c>
      <c r="E39" s="24" t="inlineStr">
        <is>
          <t>YES</t>
        </is>
      </c>
      <c r="F39" s="24" t="inlineStr">
        <is>
          <t>属性8</t>
        </is>
      </c>
      <c r="G39" s="24" t="n"/>
      <c r="H39" s="24" t="n"/>
      <c r="I39" s="24" t="inlineStr"/>
      <c r="J39" s="24" t="inlineStr">
        <is>
          <t>2023/01/12</t>
        </is>
      </c>
    </row>
    <row r="40">
      <c r="B40" s="24" t="inlineStr">
        <is>
          <t>clr_cargo_info</t>
        </is>
      </c>
      <c r="C40" s="24" t="inlineStr">
        <is>
          <t>DESCRIBE9</t>
        </is>
      </c>
      <c r="D40" s="24" t="inlineStr">
        <is>
          <t>varchar(500)</t>
        </is>
      </c>
      <c r="E40" s="24" t="inlineStr">
        <is>
          <t>YES</t>
        </is>
      </c>
      <c r="F40" s="24" t="inlineStr">
        <is>
          <t>属性9</t>
        </is>
      </c>
      <c r="G40" s="24" t="n"/>
      <c r="H40" s="24" t="n"/>
      <c r="I40" s="24" t="inlineStr"/>
      <c r="J40" s="24" t="inlineStr">
        <is>
          <t>2023/01/12</t>
        </is>
      </c>
    </row>
    <row r="41">
      <c r="B41" s="24" t="inlineStr">
        <is>
          <t>clr_cargo_info</t>
        </is>
      </c>
      <c r="C41" s="24" t="inlineStr">
        <is>
          <t>DESCRIBE10</t>
        </is>
      </c>
      <c r="D41" s="24" t="inlineStr">
        <is>
          <t>varchar(500)</t>
        </is>
      </c>
      <c r="E41" s="24" t="inlineStr">
        <is>
          <t>YES</t>
        </is>
      </c>
      <c r="F41" s="24" t="inlineStr">
        <is>
          <t>属性10</t>
        </is>
      </c>
      <c r="G41" s="24" t="n"/>
      <c r="H41" s="24" t="n"/>
      <c r="I41" s="24" t="inlineStr"/>
      <c r="J41" s="24" t="inlineStr">
        <is>
          <t>2023/01/12</t>
        </is>
      </c>
    </row>
    <row r="42">
      <c r="B42" s="24" t="inlineStr">
        <is>
          <t>clr_cargo_info</t>
        </is>
      </c>
      <c r="C42" s="24" t="inlineStr">
        <is>
          <t>DESCRIBE11</t>
        </is>
      </c>
      <c r="D42" s="24" t="inlineStr">
        <is>
          <t>varchar(500)</t>
        </is>
      </c>
      <c r="E42" s="24" t="inlineStr">
        <is>
          <t>YES</t>
        </is>
      </c>
      <c r="F42" s="24" t="inlineStr">
        <is>
          <t>属性11</t>
        </is>
      </c>
      <c r="G42" s="24" t="n"/>
      <c r="H42" s="24" t="n"/>
      <c r="I42" s="24" t="inlineStr"/>
      <c r="J42" s="24" t="inlineStr">
        <is>
          <t>2023/01/12</t>
        </is>
      </c>
    </row>
    <row r="43">
      <c r="B43" s="24" t="inlineStr">
        <is>
          <t>clr_cargo_info</t>
        </is>
      </c>
      <c r="C43" s="24" t="inlineStr">
        <is>
          <t>DESCRIBE12</t>
        </is>
      </c>
      <c r="D43" s="24" t="inlineStr">
        <is>
          <t>varchar(500)</t>
        </is>
      </c>
      <c r="E43" s="24" t="inlineStr">
        <is>
          <t>YES</t>
        </is>
      </c>
      <c r="F43" s="24" t="inlineStr">
        <is>
          <t>属性12</t>
        </is>
      </c>
      <c r="G43" s="24" t="n"/>
      <c r="H43" s="24" t="n"/>
      <c r="I43" s="24" t="inlineStr"/>
      <c r="J43" s="24" t="inlineStr">
        <is>
          <t>2023/01/12</t>
        </is>
      </c>
    </row>
    <row r="44">
      <c r="B44" s="24" t="inlineStr">
        <is>
          <t>clr_cargo_info</t>
        </is>
      </c>
      <c r="C44" s="24" t="inlineStr">
        <is>
          <t>DESCRIBE13</t>
        </is>
      </c>
      <c r="D44" s="24" t="inlineStr">
        <is>
          <t>varchar(500)</t>
        </is>
      </c>
      <c r="E44" s="24" t="inlineStr">
        <is>
          <t>YES</t>
        </is>
      </c>
      <c r="F44" s="24" t="inlineStr">
        <is>
          <t>属性13</t>
        </is>
      </c>
      <c r="G44" s="24" t="n"/>
      <c r="H44" s="24" t="n"/>
      <c r="I44" s="24" t="inlineStr"/>
      <c r="J44" s="24" t="inlineStr">
        <is>
          <t>2023/01/12</t>
        </is>
      </c>
    </row>
    <row r="45">
      <c r="B45" s="24" t="inlineStr">
        <is>
          <t>clr_cargo_info</t>
        </is>
      </c>
      <c r="C45" s="24" t="inlineStr">
        <is>
          <t>INPUTUSERID</t>
        </is>
      </c>
      <c r="D45" s="24" t="inlineStr">
        <is>
          <t>varchar(32)</t>
        </is>
      </c>
      <c r="E45" s="24" t="inlineStr">
        <is>
          <t>YES</t>
        </is>
      </c>
      <c r="F45" s="24" t="inlineStr">
        <is>
          <t>登记人</t>
        </is>
      </c>
      <c r="G45" s="24" t="n"/>
      <c r="H45" s="24" t="n"/>
      <c r="I45" s="24" t="inlineStr"/>
      <c r="J45" s="24" t="inlineStr">
        <is>
          <t>2023/01/12</t>
        </is>
      </c>
    </row>
    <row r="46">
      <c r="B46" s="24" t="inlineStr">
        <is>
          <t>clr_cargo_info</t>
        </is>
      </c>
      <c r="C46" s="24" t="inlineStr">
        <is>
          <t>INPUTORGID</t>
        </is>
      </c>
      <c r="D46" s="24" t="inlineStr">
        <is>
          <t>varchar(32)</t>
        </is>
      </c>
      <c r="E46" s="24" t="inlineStr">
        <is>
          <t>YES</t>
        </is>
      </c>
      <c r="F46" s="24" t="inlineStr">
        <is>
          <t>登记机构</t>
        </is>
      </c>
      <c r="G46" s="24" t="n"/>
      <c r="H46" s="24" t="n"/>
      <c r="I46" s="24" t="inlineStr"/>
      <c r="J46" s="24" t="inlineStr">
        <is>
          <t>2023/01/12</t>
        </is>
      </c>
    </row>
    <row r="47">
      <c r="B47" s="24" t="inlineStr">
        <is>
          <t>clr_cargo_info</t>
        </is>
      </c>
      <c r="C47" s="24" t="inlineStr">
        <is>
          <t>INPUTDATE</t>
        </is>
      </c>
      <c r="D47" s="24" t="inlineStr">
        <is>
          <t>datetime</t>
        </is>
      </c>
      <c r="E47" s="24" t="inlineStr">
        <is>
          <t>YES</t>
        </is>
      </c>
      <c r="F47" s="24" t="inlineStr">
        <is>
          <t>登记日期</t>
        </is>
      </c>
      <c r="G47" s="24" t="n"/>
      <c r="H47" s="24" t="n"/>
      <c r="I47" s="24" t="inlineStr"/>
      <c r="J47" s="24" t="inlineStr">
        <is>
          <t>2023/01/12</t>
        </is>
      </c>
    </row>
    <row r="48">
      <c r="B48" s="24" t="inlineStr">
        <is>
          <t>clr_cargo_info</t>
        </is>
      </c>
      <c r="C48" s="24" t="inlineStr">
        <is>
          <t>UPDATEUSERID</t>
        </is>
      </c>
      <c r="D48" s="24" t="inlineStr">
        <is>
          <t>varchar(32)</t>
        </is>
      </c>
      <c r="E48" s="24" t="inlineStr">
        <is>
          <t>YES</t>
        </is>
      </c>
      <c r="F48" s="24" t="inlineStr">
        <is>
          <t>更新人</t>
        </is>
      </c>
      <c r="G48" s="24" t="n"/>
      <c r="H48" s="24" t="n"/>
      <c r="I48" s="24" t="inlineStr"/>
      <c r="J48" s="24" t="inlineStr">
        <is>
          <t>2023/01/12</t>
        </is>
      </c>
    </row>
    <row r="49">
      <c r="B49" s="24" t="inlineStr">
        <is>
          <t>clr_cargo_info</t>
        </is>
      </c>
      <c r="C49" s="24" t="inlineStr">
        <is>
          <t>UPDATEORGID</t>
        </is>
      </c>
      <c r="D49" s="24" t="inlineStr">
        <is>
          <t>varchar(32)</t>
        </is>
      </c>
      <c r="E49" s="24" t="inlineStr">
        <is>
          <t>YES</t>
        </is>
      </c>
      <c r="F49" s="24" t="inlineStr">
        <is>
          <t>更新机构</t>
        </is>
      </c>
      <c r="G49" s="24" t="n"/>
      <c r="H49" s="24" t="n"/>
      <c r="I49" s="24" t="inlineStr"/>
      <c r="J49" s="24" t="inlineStr">
        <is>
          <t>2023/01/12</t>
        </is>
      </c>
    </row>
    <row r="50">
      <c r="B50" s="24" t="inlineStr">
        <is>
          <t>clr_cargo_info</t>
        </is>
      </c>
      <c r="C50" s="24" t="inlineStr">
        <is>
          <t>UPDATEDATE</t>
        </is>
      </c>
      <c r="D50" s="24" t="inlineStr">
        <is>
          <t>datetime</t>
        </is>
      </c>
      <c r="E50" s="24" t="inlineStr">
        <is>
          <t>YES</t>
        </is>
      </c>
      <c r="F50" s="24" t="inlineStr">
        <is>
          <t>更新日期</t>
        </is>
      </c>
      <c r="G50" s="24" t="n"/>
      <c r="H50" s="24" t="n"/>
      <c r="I50" s="24" t="inlineStr"/>
      <c r="J50" s="24" t="inlineStr">
        <is>
          <t>2023/01/12</t>
        </is>
      </c>
    </row>
    <row r="51">
      <c r="B51" s="24" t="inlineStr">
        <is>
          <t>clr_cargo_info</t>
        </is>
      </c>
      <c r="C51" s="24" t="inlineStr">
        <is>
          <t>CORPORGID</t>
        </is>
      </c>
      <c r="D51" s="24" t="inlineStr">
        <is>
          <t>varchar(32)</t>
        </is>
      </c>
      <c r="E51" s="24" t="inlineStr">
        <is>
          <t>YES</t>
        </is>
      </c>
      <c r="F51" s="24" t="inlineStr">
        <is>
          <t>法人机构编号</t>
        </is>
      </c>
      <c r="G51" s="24" t="n"/>
      <c r="H51" s="24" t="n"/>
      <c r="I51" s="24" t="inlineStr"/>
      <c r="J51" s="24" t="inlineStr">
        <is>
          <t>2023/01/12</t>
        </is>
      </c>
    </row>
    <row r="52">
      <c r="B52" s="24" t="inlineStr">
        <is>
          <t>clr_cargo_info</t>
        </is>
      </c>
      <c r="C52" s="24" t="inlineStr">
        <is>
          <t>REMARK</t>
        </is>
      </c>
      <c r="D52" s="24" t="inlineStr">
        <is>
          <t>varchar(1000)</t>
        </is>
      </c>
      <c r="E52" s="24" t="inlineStr">
        <is>
          <t>YES</t>
        </is>
      </c>
      <c r="F52" s="24" t="inlineStr">
        <is>
          <t>备注</t>
        </is>
      </c>
      <c r="G52" s="24" t="n"/>
      <c r="H52" s="24" t="n"/>
      <c r="I52" s="24" t="inlineStr"/>
      <c r="J52" s="24" t="inlineStr">
        <is>
          <t>2023/01/12</t>
        </is>
      </c>
    </row>
  </sheetData>
  <pageMargins left="0.75" right="0.75" top="1" bottom="1" header="0.5" footer="0.5"/>
  <pageSetup orientation="portrait" paperSize="1" horizontalDpi="300" verticalDpi="300"/>
</worksheet>
</file>

<file path=xl/worksheets/sheet76.xml><?xml version="1.0" encoding="utf-8"?>
<worksheet xmlns="http://schemas.openxmlformats.org/spreadsheetml/2006/main">
  <sheetPr>
    <outlinePr summaryBelow="1" summaryRight="1"/>
    <pageSetUpPr/>
  </sheetPr>
  <dimension ref="A1:J24"/>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押品分类目录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clr_catalog</t>
        </is>
      </c>
      <c r="C3" s="24" t="inlineStr">
        <is>
          <t>CLRTYPEID</t>
        </is>
      </c>
      <c r="D3" s="24" t="inlineStr">
        <is>
          <t>varchar(32)</t>
        </is>
      </c>
      <c r="E3" s="24" t="inlineStr">
        <is>
          <t>NO</t>
        </is>
      </c>
      <c r="F3" s="24" t="inlineStr">
        <is>
          <t>押品类型编号</t>
        </is>
      </c>
      <c r="G3" s="24" t="n"/>
      <c r="H3" s="24" t="n"/>
      <c r="I3" s="24" t="inlineStr"/>
      <c r="J3" s="24" t="inlineStr">
        <is>
          <t>2023/01/12</t>
        </is>
      </c>
    </row>
    <row r="4">
      <c r="B4" s="24" t="inlineStr">
        <is>
          <t>clr_catalog</t>
        </is>
      </c>
      <c r="C4" s="24" t="inlineStr">
        <is>
          <t>CLRTYPENAME</t>
        </is>
      </c>
      <c r="D4" s="24" t="inlineStr">
        <is>
          <t>varchar(80)</t>
        </is>
      </c>
      <c r="E4" s="24" t="inlineStr">
        <is>
          <t>YES</t>
        </is>
      </c>
      <c r="F4" s="24" t="inlineStr">
        <is>
          <t>押品类型名称</t>
        </is>
      </c>
      <c r="G4" s="24" t="n"/>
      <c r="H4" s="24" t="n"/>
      <c r="I4" s="24" t="inlineStr"/>
      <c r="J4" s="24" t="inlineStr">
        <is>
          <t>2023/01/12</t>
        </is>
      </c>
    </row>
    <row r="5">
      <c r="B5" s="24" t="inlineStr">
        <is>
          <t>clr_catalog</t>
        </is>
      </c>
      <c r="C5" s="24" t="inlineStr">
        <is>
          <t>PARENTNODEID</t>
        </is>
      </c>
      <c r="D5" s="24" t="inlineStr">
        <is>
          <t>varchar(32)</t>
        </is>
      </c>
      <c r="E5" s="24" t="inlineStr">
        <is>
          <t>YES</t>
        </is>
      </c>
      <c r="F5" s="24" t="inlineStr">
        <is>
          <t>父节点编号</t>
        </is>
      </c>
      <c r="G5" s="24" t="n"/>
      <c r="H5" s="24" t="n"/>
      <c r="I5" s="24" t="inlineStr"/>
      <c r="J5" s="24" t="inlineStr">
        <is>
          <t>2023/01/12</t>
        </is>
      </c>
    </row>
    <row r="6">
      <c r="B6" s="24" t="inlineStr">
        <is>
          <t>clr_catalog</t>
        </is>
      </c>
      <c r="C6" s="24" t="inlineStr">
        <is>
          <t>ISLEAFNODE</t>
        </is>
      </c>
      <c r="D6" s="24" t="inlineStr">
        <is>
          <t>char(1)</t>
        </is>
      </c>
      <c r="E6" s="24" t="inlineStr">
        <is>
          <t>YES</t>
        </is>
      </c>
      <c r="F6" s="24" t="inlineStr">
        <is>
          <t>是否叶节点</t>
        </is>
      </c>
      <c r="G6" s="52">
        <f>HYPERLINK("#码值映射清单!B5150","YesNo")</f>
        <v/>
      </c>
      <c r="H6" s="24" t="n"/>
      <c r="I6" s="24" t="inlineStr"/>
      <c r="J6" s="24" t="inlineStr">
        <is>
          <t>2023/01/12</t>
        </is>
      </c>
    </row>
    <row r="7">
      <c r="B7" s="24" t="inlineStr">
        <is>
          <t>clr_catalog</t>
        </is>
      </c>
      <c r="C7" s="24" t="inlineStr">
        <is>
          <t>CLRTABLENAME</t>
        </is>
      </c>
      <c r="D7" s="24" t="inlineStr">
        <is>
          <t>varchar(80)</t>
        </is>
      </c>
      <c r="E7" s="24" t="inlineStr">
        <is>
          <t>YES</t>
        </is>
      </c>
      <c r="F7" s="24" t="inlineStr">
        <is>
          <t>押品表名</t>
        </is>
      </c>
      <c r="G7" s="52">
        <f>HYPERLINK("#码值映射清单!B2259","ClrTableName")</f>
        <v/>
      </c>
      <c r="H7" s="24" t="n"/>
      <c r="I7" s="24" t="inlineStr"/>
      <c r="J7" s="24" t="inlineStr">
        <is>
          <t>2023/01/12</t>
        </is>
      </c>
    </row>
    <row r="8">
      <c r="B8" s="24" t="inlineStr">
        <is>
          <t>clr_catalog</t>
        </is>
      </c>
      <c r="C8" s="24" t="inlineStr">
        <is>
          <t>TEMPLETNO</t>
        </is>
      </c>
      <c r="D8" s="24" t="inlineStr">
        <is>
          <t>varchar(32)</t>
        </is>
      </c>
      <c r="E8" s="24" t="inlineStr">
        <is>
          <t>YES</t>
        </is>
      </c>
      <c r="F8" s="24" t="inlineStr">
        <is>
          <t>模板编号</t>
        </is>
      </c>
      <c r="G8" s="24" t="n"/>
      <c r="H8" s="24" t="n"/>
      <c r="I8" s="24" t="inlineStr"/>
      <c r="J8" s="24" t="inlineStr">
        <is>
          <t>2023/01/12</t>
        </is>
      </c>
    </row>
    <row r="9">
      <c r="B9" s="24" t="inlineStr">
        <is>
          <t>clr_catalog</t>
        </is>
      </c>
      <c r="C9" s="24" t="inlineStr">
        <is>
          <t>COREFIELDS</t>
        </is>
      </c>
      <c r="D9" s="24" t="inlineStr">
        <is>
          <t>varchar(500)</t>
        </is>
      </c>
      <c r="E9" s="24" t="inlineStr">
        <is>
          <t>YES</t>
        </is>
      </c>
      <c r="F9" s="24" t="inlineStr">
        <is>
          <t>核心要素</t>
        </is>
      </c>
      <c r="G9" s="24" t="n"/>
      <c r="H9" s="24" t="n"/>
      <c r="I9" s="24" t="inlineStr"/>
      <c r="J9" s="24" t="inlineStr">
        <is>
          <t>2023/01/12</t>
        </is>
      </c>
    </row>
    <row r="10">
      <c r="B10" s="24" t="inlineStr">
        <is>
          <t>clr_catalog</t>
        </is>
      </c>
      <c r="C10" s="24" t="inlineStr">
        <is>
          <t>SUBFIELDS</t>
        </is>
      </c>
      <c r="D10" s="24" t="inlineStr">
        <is>
          <t>varchar(500)</t>
        </is>
      </c>
      <c r="E10" s="24" t="inlineStr">
        <is>
          <t>YES</t>
        </is>
      </c>
      <c r="F10" s="24" t="inlineStr">
        <is>
          <t>辅助要素</t>
        </is>
      </c>
      <c r="G10" s="24" t="n"/>
      <c r="H10" s="24" t="n"/>
      <c r="I10" s="24" t="inlineStr"/>
      <c r="J10" s="24" t="inlineStr">
        <is>
          <t>2023/01/12</t>
        </is>
      </c>
    </row>
    <row r="11">
      <c r="B11" s="24" t="inlineStr">
        <is>
          <t>clr_catalog</t>
        </is>
      </c>
      <c r="C11" s="24" t="inlineStr">
        <is>
          <t>CLRONLYSCOPE</t>
        </is>
      </c>
      <c r="D11" s="24" t="inlineStr">
        <is>
          <t>varchar(500)</t>
        </is>
      </c>
      <c r="E11" s="24" t="inlineStr">
        <is>
          <t>YES</t>
        </is>
      </c>
      <c r="F11" s="24" t="inlineStr">
        <is>
          <t>押品唯一性校验范围</t>
        </is>
      </c>
      <c r="G11" s="24" t="n"/>
      <c r="H11" s="24" t="n"/>
      <c r="I11" s="24" t="inlineStr"/>
      <c r="J11" s="24" t="inlineStr">
        <is>
          <t>2023/01/12</t>
        </is>
      </c>
    </row>
    <row r="12">
      <c r="B12" s="24" t="inlineStr">
        <is>
          <t>clr_catalog</t>
        </is>
      </c>
      <c r="C12" s="24" t="inlineStr">
        <is>
          <t>EFFECTIVEDATE</t>
        </is>
      </c>
      <c r="D12" s="24" t="inlineStr">
        <is>
          <t>datetime</t>
        </is>
      </c>
      <c r="E12" s="24" t="inlineStr">
        <is>
          <t>YES</t>
        </is>
      </c>
      <c r="F12" s="24" t="inlineStr">
        <is>
          <t>生效日期</t>
        </is>
      </c>
      <c r="G12" s="24" t="n"/>
      <c r="H12" s="24" t="n"/>
      <c r="I12" s="24" t="inlineStr"/>
      <c r="J12" s="24" t="inlineStr">
        <is>
          <t>2023/01/12</t>
        </is>
      </c>
    </row>
    <row r="13">
      <c r="B13" s="24" t="inlineStr">
        <is>
          <t>clr_catalog</t>
        </is>
      </c>
      <c r="C13" s="24" t="inlineStr">
        <is>
          <t>EXPIRYDATE</t>
        </is>
      </c>
      <c r="D13" s="24" t="inlineStr">
        <is>
          <t>datetime</t>
        </is>
      </c>
      <c r="E13" s="24" t="inlineStr">
        <is>
          <t>YES</t>
        </is>
      </c>
      <c r="F13" s="24" t="inlineStr">
        <is>
          <t>失效日期</t>
        </is>
      </c>
      <c r="G13" s="24" t="n"/>
      <c r="H13" s="24" t="n"/>
      <c r="I13" s="24" t="inlineStr"/>
      <c r="J13" s="24" t="inlineStr">
        <is>
          <t>2023/01/12</t>
        </is>
      </c>
    </row>
    <row r="14">
      <c r="B14" s="24" t="inlineStr">
        <is>
          <t>clr_catalog</t>
        </is>
      </c>
      <c r="C14" s="24" t="inlineStr">
        <is>
          <t>STATUS</t>
        </is>
      </c>
      <c r="D14" s="24" t="inlineStr">
        <is>
          <t>char(1)</t>
        </is>
      </c>
      <c r="E14" s="24" t="inlineStr">
        <is>
          <t>YES</t>
        </is>
      </c>
      <c r="F14" s="24" t="inlineStr">
        <is>
          <t>状态</t>
        </is>
      </c>
      <c r="G14" s="52">
        <f>HYPERLINK("#码值映射清单!B8509","ClrTypeStatus")</f>
        <v/>
      </c>
      <c r="H14" s="24" t="n"/>
      <c r="I14" s="24" t="inlineStr"/>
      <c r="J14" s="24" t="inlineStr">
        <is>
          <t>2023/01/12</t>
        </is>
      </c>
    </row>
    <row r="15">
      <c r="B15" s="24" t="inlineStr">
        <is>
          <t>clr_catalog</t>
        </is>
      </c>
      <c r="C15" s="24" t="inlineStr">
        <is>
          <t>INPUTORGID</t>
        </is>
      </c>
      <c r="D15" s="24" t="inlineStr">
        <is>
          <t>varchar(32)</t>
        </is>
      </c>
      <c r="E15" s="24" t="inlineStr">
        <is>
          <t>YES</t>
        </is>
      </c>
      <c r="F15" s="24" t="inlineStr">
        <is>
          <t>登记机构</t>
        </is>
      </c>
      <c r="G15" s="24" t="n"/>
      <c r="H15" s="24" t="n"/>
      <c r="I15" s="24" t="inlineStr"/>
      <c r="J15" s="24" t="inlineStr">
        <is>
          <t>2023/01/12</t>
        </is>
      </c>
    </row>
    <row r="16">
      <c r="B16" s="24" t="inlineStr">
        <is>
          <t>clr_catalog</t>
        </is>
      </c>
      <c r="C16" s="24" t="inlineStr">
        <is>
          <t>INPUTUSERID</t>
        </is>
      </c>
      <c r="D16" s="24" t="inlineStr">
        <is>
          <t>varchar(32)</t>
        </is>
      </c>
      <c r="E16" s="24" t="inlineStr">
        <is>
          <t>YES</t>
        </is>
      </c>
      <c r="F16" s="24" t="inlineStr">
        <is>
          <t>登记人</t>
        </is>
      </c>
      <c r="G16" s="24" t="n"/>
      <c r="H16" s="24" t="n"/>
      <c r="I16" s="24" t="inlineStr"/>
      <c r="J16" s="24" t="inlineStr">
        <is>
          <t>2023/01/12</t>
        </is>
      </c>
    </row>
    <row r="17">
      <c r="B17" s="24" t="inlineStr">
        <is>
          <t>clr_catalog</t>
        </is>
      </c>
      <c r="C17" s="24" t="inlineStr">
        <is>
          <t>INPUTDATE</t>
        </is>
      </c>
      <c r="D17" s="24" t="inlineStr">
        <is>
          <t>datetime</t>
        </is>
      </c>
      <c r="E17" s="24" t="inlineStr">
        <is>
          <t>YES</t>
        </is>
      </c>
      <c r="F17" s="24" t="inlineStr">
        <is>
          <t>登记日期</t>
        </is>
      </c>
      <c r="G17" s="24" t="n"/>
      <c r="H17" s="24" t="n"/>
      <c r="I17" s="24" t="inlineStr"/>
      <c r="J17" s="24" t="inlineStr">
        <is>
          <t>2023/01/12</t>
        </is>
      </c>
    </row>
    <row r="18">
      <c r="B18" s="24" t="inlineStr">
        <is>
          <t>clr_catalog</t>
        </is>
      </c>
      <c r="C18" s="24" t="inlineStr">
        <is>
          <t>UPDATEORGID</t>
        </is>
      </c>
      <c r="D18" s="24" t="inlineStr">
        <is>
          <t>varchar(32)</t>
        </is>
      </c>
      <c r="E18" s="24" t="inlineStr">
        <is>
          <t>YES</t>
        </is>
      </c>
      <c r="F18" s="24" t="inlineStr">
        <is>
          <t>更新机构</t>
        </is>
      </c>
      <c r="G18" s="24" t="n"/>
      <c r="H18" s="24" t="n"/>
      <c r="I18" s="24" t="inlineStr"/>
      <c r="J18" s="24" t="inlineStr">
        <is>
          <t>2023/01/12</t>
        </is>
      </c>
    </row>
    <row r="19">
      <c r="B19" s="24" t="inlineStr">
        <is>
          <t>clr_catalog</t>
        </is>
      </c>
      <c r="C19" s="24" t="inlineStr">
        <is>
          <t>UPDATEUSERID</t>
        </is>
      </c>
      <c r="D19" s="24" t="inlineStr">
        <is>
          <t>varchar(32)</t>
        </is>
      </c>
      <c r="E19" s="24" t="inlineStr">
        <is>
          <t>YES</t>
        </is>
      </c>
      <c r="F19" s="24" t="inlineStr">
        <is>
          <t>更新人</t>
        </is>
      </c>
      <c r="G19" s="24" t="n"/>
      <c r="H19" s="24" t="n"/>
      <c r="I19" s="24" t="inlineStr"/>
      <c r="J19" s="24" t="inlineStr">
        <is>
          <t>2023/01/12</t>
        </is>
      </c>
    </row>
    <row r="20">
      <c r="B20" s="24" t="inlineStr">
        <is>
          <t>clr_catalog</t>
        </is>
      </c>
      <c r="C20" s="24" t="inlineStr">
        <is>
          <t>UPDATEDATE</t>
        </is>
      </c>
      <c r="D20" s="24" t="inlineStr">
        <is>
          <t>datetime</t>
        </is>
      </c>
      <c r="E20" s="24" t="inlineStr">
        <is>
          <t>YES</t>
        </is>
      </c>
      <c r="F20" s="24" t="inlineStr">
        <is>
          <t>更新日期</t>
        </is>
      </c>
      <c r="G20" s="24" t="n"/>
      <c r="H20" s="24" t="n"/>
      <c r="I20" s="24" t="inlineStr"/>
      <c r="J20" s="24" t="inlineStr">
        <is>
          <t>2023/01/12</t>
        </is>
      </c>
    </row>
    <row r="21">
      <c r="B21" s="24" t="inlineStr">
        <is>
          <t>clr_catalog</t>
        </is>
      </c>
      <c r="C21" s="24" t="inlineStr">
        <is>
          <t>REMARK</t>
        </is>
      </c>
      <c r="D21" s="24" t="inlineStr">
        <is>
          <t>varchar(500)</t>
        </is>
      </c>
      <c r="E21" s="24" t="inlineStr">
        <is>
          <t>YES</t>
        </is>
      </c>
      <c r="F21" s="24" t="inlineStr">
        <is>
          <t>备注</t>
        </is>
      </c>
      <c r="G21" s="24" t="n"/>
      <c r="H21" s="24" t="n"/>
      <c r="I21" s="24" t="inlineStr"/>
      <c r="J21" s="24" t="inlineStr">
        <is>
          <t>2023/01/12</t>
        </is>
      </c>
    </row>
    <row r="22">
      <c r="B22" s="24" t="inlineStr">
        <is>
          <t>clr_catalog</t>
        </is>
      </c>
      <c r="C22" s="24" t="inlineStr">
        <is>
          <t>DETAILURL</t>
        </is>
      </c>
      <c r="D22" s="24" t="inlineStr">
        <is>
          <t>varchar(200)</t>
        </is>
      </c>
      <c r="E22" s="24" t="inlineStr">
        <is>
          <t>YES</t>
        </is>
      </c>
      <c r="F22" s="24" t="inlineStr">
        <is>
          <t>详情页面url</t>
        </is>
      </c>
      <c r="G22" s="24" t="n"/>
      <c r="H22" s="24" t="n"/>
      <c r="I22" s="24" t="inlineStr"/>
      <c r="J22" s="24" t="inlineStr">
        <is>
          <t>2023/01/12</t>
        </is>
      </c>
    </row>
    <row r="23">
      <c r="B23" s="24" t="inlineStr">
        <is>
          <t>clr_catalog</t>
        </is>
      </c>
      <c r="C23" s="24" t="inlineStr">
        <is>
          <t>EDITURL</t>
        </is>
      </c>
      <c r="D23" s="24" t="inlineStr">
        <is>
          <t>varchar(200)</t>
        </is>
      </c>
      <c r="E23" s="24" t="inlineStr">
        <is>
          <t>YES</t>
        </is>
      </c>
      <c r="F23" s="24" t="inlineStr">
        <is>
          <t>编辑页面url</t>
        </is>
      </c>
      <c r="G23" s="24" t="n"/>
      <c r="H23" s="24" t="n"/>
      <c r="I23" s="24" t="inlineStr"/>
      <c r="J23" s="24" t="inlineStr">
        <is>
          <t>2023/01/12</t>
        </is>
      </c>
    </row>
    <row r="24">
      <c r="B24" s="24" t="inlineStr">
        <is>
          <t>clr_catalog</t>
        </is>
      </c>
      <c r="C24" s="24" t="inlineStr">
        <is>
          <t>CORPORGID</t>
        </is>
      </c>
      <c r="D24" s="24" t="inlineStr">
        <is>
          <t>varchar(32)</t>
        </is>
      </c>
      <c r="E24" s="24" t="inlineStr">
        <is>
          <t>YES</t>
        </is>
      </c>
      <c r="F24" s="24" t="inlineStr">
        <is>
          <t>法人机构编号</t>
        </is>
      </c>
      <c r="G24" s="24" t="n"/>
      <c r="H24" s="24" t="n"/>
      <c r="I24" s="24" t="inlineStr"/>
      <c r="J24" s="24" t="inlineStr">
        <is>
          <t>2023/01/12</t>
        </is>
      </c>
    </row>
  </sheetData>
  <pageMargins left="0.75" right="0.75" top="1" bottom="1" header="0.5" footer="0.5"/>
  <pageSetup orientation="portrait" paperSize="1" horizontalDpi="300" verticalDpi="300"/>
</worksheet>
</file>

<file path=xl/worksheets/sheet77.xml><?xml version="1.0" encoding="utf-8"?>
<worksheet xmlns="http://schemas.openxmlformats.org/spreadsheetml/2006/main">
  <sheetPr>
    <outlinePr summaryBelow="1" summaryRight="1"/>
    <pageSetUpPr/>
  </sheetPr>
  <dimension ref="A1:J22"/>
  <sheetViews>
    <sheetView zoomScaleSheetLayoutView="60" workbookViewId="0">
      <selection activeCell="D19" sqref="D1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大宗商品盯市数据表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clr_commodity_market</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clr_commodity_market</t>
        </is>
      </c>
      <c r="C4" s="24" t="inlineStr">
        <is>
          <t>MATERIALCODE</t>
        </is>
      </c>
      <c r="D4" s="24" t="inlineStr">
        <is>
          <t>varchar(32)</t>
        </is>
      </c>
      <c r="E4" s="24" t="inlineStr">
        <is>
          <t>YES</t>
        </is>
      </c>
      <c r="F4" s="24" t="inlineStr">
        <is>
          <t>商品代码</t>
        </is>
      </c>
      <c r="G4" s="24" t="n"/>
      <c r="H4" s="24" t="n"/>
      <c r="I4" s="24" t="inlineStr"/>
      <c r="J4" s="24" t="inlineStr">
        <is>
          <t>2023/01/12</t>
        </is>
      </c>
    </row>
    <row r="5">
      <c r="B5" s="24" t="inlineStr">
        <is>
          <t>clr_commodity_market</t>
        </is>
      </c>
      <c r="C5" s="24" t="inlineStr">
        <is>
          <t>MATERIALTYPE</t>
        </is>
      </c>
      <c r="D5" s="24" t="inlineStr">
        <is>
          <t>varchar(80)</t>
        </is>
      </c>
      <c r="E5" s="24" t="inlineStr">
        <is>
          <t>YES</t>
        </is>
      </c>
      <c r="F5" s="24" t="inlineStr">
        <is>
          <t>商品类型</t>
        </is>
      </c>
      <c r="G5" s="61">
        <f>HYPERLINK("#码值映射清单!B2740","CargoType")</f>
        <v/>
      </c>
      <c r="H5" s="24" t="n"/>
      <c r="I5" s="24" t="inlineStr"/>
      <c r="J5" s="24" t="inlineStr">
        <is>
          <t>2023/01/12</t>
        </is>
      </c>
    </row>
    <row r="6">
      <c r="B6" s="24" t="inlineStr">
        <is>
          <t>clr_commodity_market</t>
        </is>
      </c>
      <c r="C6" s="24" t="inlineStr">
        <is>
          <t>MATERIALNAME</t>
        </is>
      </c>
      <c r="D6" s="24" t="inlineStr">
        <is>
          <t>varchar(80)</t>
        </is>
      </c>
      <c r="E6" s="24" t="inlineStr">
        <is>
          <t>YES</t>
        </is>
      </c>
      <c r="F6" s="24" t="inlineStr">
        <is>
          <t>商品名称</t>
        </is>
      </c>
      <c r="G6" s="61">
        <f>HYPERLINK("#码值映射清单!B9936","MaterialName")</f>
        <v/>
      </c>
      <c r="H6" s="24" t="n"/>
      <c r="I6" s="24" t="inlineStr"/>
      <c r="J6" s="24" t="inlineStr">
        <is>
          <t>2023/01/12</t>
        </is>
      </c>
    </row>
    <row r="7">
      <c r="B7" s="24" t="inlineStr">
        <is>
          <t>clr_commodity_market</t>
        </is>
      </c>
      <c r="C7" s="24" t="inlineStr">
        <is>
          <t>SPECIFICATIONS</t>
        </is>
      </c>
      <c r="D7" s="24" t="inlineStr">
        <is>
          <t>varchar(200)</t>
        </is>
      </c>
      <c r="E7" s="24" t="inlineStr">
        <is>
          <t>YES</t>
        </is>
      </c>
      <c r="F7" s="24" t="inlineStr">
        <is>
          <t>规格</t>
        </is>
      </c>
      <c r="G7" s="24" t="n"/>
      <c r="H7" s="24" t="n"/>
      <c r="I7" s="24" t="inlineStr"/>
      <c r="J7" s="24" t="inlineStr">
        <is>
          <t>2023/01/12</t>
        </is>
      </c>
    </row>
    <row r="8">
      <c r="B8" s="24" t="inlineStr">
        <is>
          <t>clr_commodity_market</t>
        </is>
      </c>
      <c r="C8" s="24" t="inlineStr">
        <is>
          <t>TRADEDATE</t>
        </is>
      </c>
      <c r="D8" s="24" t="inlineStr">
        <is>
          <t>datetime</t>
        </is>
      </c>
      <c r="E8" s="24" t="inlineStr">
        <is>
          <t>YES</t>
        </is>
      </c>
      <c r="F8" s="24" t="inlineStr">
        <is>
          <t>交易日期</t>
        </is>
      </c>
      <c r="G8" s="24" t="n"/>
      <c r="H8" s="24" t="n"/>
      <c r="I8" s="24" t="inlineStr"/>
      <c r="J8" s="24" t="inlineStr">
        <is>
          <t>2023/01/12</t>
        </is>
      </c>
    </row>
    <row r="9">
      <c r="B9" s="24" t="inlineStr">
        <is>
          <t>clr_commodity_market</t>
        </is>
      </c>
      <c r="C9" s="24" t="inlineStr">
        <is>
          <t>DAILYPRICE</t>
        </is>
      </c>
      <c r="D9" s="24" t="inlineStr">
        <is>
          <t>decimal(24,6)</t>
        </is>
      </c>
      <c r="E9" s="24" t="inlineStr">
        <is>
          <t>YES</t>
        </is>
      </c>
      <c r="F9" s="24" t="inlineStr">
        <is>
          <t>当日价格</t>
        </is>
      </c>
      <c r="G9" s="24" t="n"/>
      <c r="H9" s="24" t="n"/>
      <c r="I9" s="24" t="inlineStr"/>
      <c r="J9" s="24" t="inlineStr">
        <is>
          <t>2023/01/12</t>
        </is>
      </c>
    </row>
    <row r="10">
      <c r="B10" s="24" t="inlineStr">
        <is>
          <t>clr_commodity_market</t>
        </is>
      </c>
      <c r="C10" s="24" t="inlineStr">
        <is>
          <t>UNIT</t>
        </is>
      </c>
      <c r="D10" s="24" t="inlineStr">
        <is>
          <t>varchar(80)</t>
        </is>
      </c>
      <c r="E10" s="24" t="inlineStr">
        <is>
          <t>YES</t>
        </is>
      </c>
      <c r="F10" s="24" t="inlineStr">
        <is>
          <t>单位</t>
        </is>
      </c>
      <c r="G10" s="24" t="n"/>
      <c r="H10" s="24" t="n"/>
      <c r="I10" s="24" t="inlineStr"/>
      <c r="J10" s="24" t="inlineStr">
        <is>
          <t>2023/01/12</t>
        </is>
      </c>
    </row>
    <row r="11">
      <c r="B11" s="24" t="inlineStr">
        <is>
          <t>clr_commodity_market</t>
        </is>
      </c>
      <c r="C11" s="24" t="inlineStr">
        <is>
          <t>WEEKGAINRATE</t>
        </is>
      </c>
      <c r="D11" s="24" t="inlineStr">
        <is>
          <t>decimal(24,6)</t>
        </is>
      </c>
      <c r="E11" s="24" t="inlineStr">
        <is>
          <t>YES</t>
        </is>
      </c>
      <c r="F11" s="24" t="inlineStr">
        <is>
          <t>七日涨跌幅</t>
        </is>
      </c>
      <c r="G11" s="24" t="n"/>
      <c r="H11" s="24" t="n"/>
      <c r="I11" s="24" t="inlineStr"/>
      <c r="J11" s="24" t="inlineStr">
        <is>
          <t>2023/01/12</t>
        </is>
      </c>
    </row>
    <row r="12">
      <c r="B12" s="24" t="inlineStr">
        <is>
          <t>clr_commodity_market</t>
        </is>
      </c>
      <c r="C12" s="24" t="inlineStr">
        <is>
          <t>BEGINMONTHPRICE</t>
        </is>
      </c>
      <c r="D12" s="24" t="inlineStr">
        <is>
          <t>decimal(24,6)</t>
        </is>
      </c>
      <c r="E12" s="24" t="inlineStr">
        <is>
          <t>YES</t>
        </is>
      </c>
      <c r="F12" s="24" t="inlineStr">
        <is>
          <t>月初价格</t>
        </is>
      </c>
      <c r="G12" s="24" t="n"/>
      <c r="H12" s="24" t="n"/>
      <c r="I12" s="24" t="inlineStr"/>
      <c r="J12" s="24" t="inlineStr">
        <is>
          <t>2023/01/12</t>
        </is>
      </c>
    </row>
    <row r="13">
      <c r="B13" s="24" t="inlineStr">
        <is>
          <t>clr_commodity_market</t>
        </is>
      </c>
      <c r="C13" s="24" t="inlineStr">
        <is>
          <t>ENDMONTHPRICE</t>
        </is>
      </c>
      <c r="D13" s="24" t="inlineStr">
        <is>
          <t>decimal(24,6)</t>
        </is>
      </c>
      <c r="E13" s="24" t="inlineStr">
        <is>
          <t>YES</t>
        </is>
      </c>
      <c r="F13" s="24" t="inlineStr">
        <is>
          <t>月末价格</t>
        </is>
      </c>
      <c r="G13" s="24" t="n"/>
      <c r="H13" s="24" t="n"/>
      <c r="I13" s="24" t="inlineStr"/>
      <c r="J13" s="24" t="inlineStr">
        <is>
          <t>2023/01/12</t>
        </is>
      </c>
    </row>
    <row r="14">
      <c r="B14" s="24" t="inlineStr">
        <is>
          <t>clr_commodity_market</t>
        </is>
      </c>
      <c r="C14" s="24" t="inlineStr">
        <is>
          <t>MONTHGAINRAGE</t>
        </is>
      </c>
      <c r="D14" s="24" t="inlineStr">
        <is>
          <t>decimal(24,6)</t>
        </is>
      </c>
      <c r="E14" s="24" t="inlineStr">
        <is>
          <t>YES</t>
        </is>
      </c>
      <c r="F14" s="24" t="inlineStr">
        <is>
          <t>当月涨跌幅</t>
        </is>
      </c>
      <c r="G14" s="24" t="n"/>
      <c r="H14" s="24" t="n"/>
      <c r="I14" s="24" t="inlineStr"/>
      <c r="J14" s="24" t="inlineStr">
        <is>
          <t>2023/01/12</t>
        </is>
      </c>
    </row>
    <row r="15">
      <c r="B15" s="24" t="inlineStr">
        <is>
          <t>clr_commodity_market</t>
        </is>
      </c>
      <c r="C15" s="24" t="inlineStr">
        <is>
          <t>CORPORGID</t>
        </is>
      </c>
      <c r="D15" s="24" t="inlineStr">
        <is>
          <t>varchar(32)</t>
        </is>
      </c>
      <c r="E15" s="24" t="inlineStr">
        <is>
          <t>YES</t>
        </is>
      </c>
      <c r="F15" s="24" t="inlineStr">
        <is>
          <t>法人机构号</t>
        </is>
      </c>
      <c r="G15" s="24" t="n"/>
      <c r="H15" s="24" t="n"/>
      <c r="I15" s="24" t="inlineStr"/>
      <c r="J15" s="24" t="inlineStr">
        <is>
          <t>2023/01/12</t>
        </is>
      </c>
    </row>
    <row r="16">
      <c r="B16" s="24" t="inlineStr">
        <is>
          <t>clr_commodity_market</t>
        </is>
      </c>
      <c r="C16" s="24" t="inlineStr">
        <is>
          <t>DELETEFLAG</t>
        </is>
      </c>
      <c r="D16" s="24" t="inlineStr">
        <is>
          <t>varchar(6)</t>
        </is>
      </c>
      <c r="E16" s="24" t="inlineStr">
        <is>
          <t>YES</t>
        </is>
      </c>
      <c r="F16" s="24" t="inlineStr">
        <is>
          <t>删除标记;YesNo</t>
        </is>
      </c>
      <c r="G16" s="24" t="n"/>
      <c r="H16" s="24" t="n"/>
      <c r="I16" s="24" t="inlineStr"/>
      <c r="J16" s="24" t="inlineStr">
        <is>
          <t>2023/01/12</t>
        </is>
      </c>
    </row>
    <row r="17">
      <c r="B17" s="24" t="inlineStr">
        <is>
          <t>clr_commodity_market</t>
        </is>
      </c>
      <c r="C17" s="24" t="inlineStr">
        <is>
          <t>INPUTUSERID</t>
        </is>
      </c>
      <c r="D17" s="24" t="inlineStr">
        <is>
          <t>varchar(32)</t>
        </is>
      </c>
      <c r="E17" s="24" t="inlineStr">
        <is>
          <t>YES</t>
        </is>
      </c>
      <c r="F17" s="24" t="inlineStr">
        <is>
          <t>登记人</t>
        </is>
      </c>
      <c r="G17" s="24" t="n"/>
      <c r="H17" s="24" t="n"/>
      <c r="I17" s="24" t="inlineStr"/>
      <c r="J17" s="24" t="inlineStr">
        <is>
          <t>2023/01/12</t>
        </is>
      </c>
    </row>
    <row r="18">
      <c r="B18" s="24" t="inlineStr">
        <is>
          <t>clr_commodity_market</t>
        </is>
      </c>
      <c r="C18" s="24" t="inlineStr">
        <is>
          <t>INPUTORGID</t>
        </is>
      </c>
      <c r="D18" s="24" t="inlineStr">
        <is>
          <t>varchar(32)</t>
        </is>
      </c>
      <c r="E18" s="24" t="inlineStr">
        <is>
          <t>YES</t>
        </is>
      </c>
      <c r="F18" s="24" t="inlineStr">
        <is>
          <t>登记机构</t>
        </is>
      </c>
      <c r="G18" s="24" t="n"/>
      <c r="H18" s="24" t="n"/>
      <c r="I18" s="24" t="inlineStr"/>
      <c r="J18" s="24" t="inlineStr">
        <is>
          <t>2023/01/12</t>
        </is>
      </c>
    </row>
    <row r="19">
      <c r="B19" s="24" t="inlineStr">
        <is>
          <t>clr_commodity_market</t>
        </is>
      </c>
      <c r="C19" s="24" t="inlineStr">
        <is>
          <t>INPUTDATE</t>
        </is>
      </c>
      <c r="D19" s="24" t="inlineStr">
        <is>
          <t>datetime</t>
        </is>
      </c>
      <c r="E19" s="24" t="inlineStr">
        <is>
          <t>YES</t>
        </is>
      </c>
      <c r="F19" s="24" t="inlineStr">
        <is>
          <t>登记日期</t>
        </is>
      </c>
      <c r="G19" s="24" t="n"/>
      <c r="H19" s="24" t="n"/>
      <c r="I19" s="24" t="inlineStr"/>
      <c r="J19" s="24" t="inlineStr">
        <is>
          <t>2023/01/12</t>
        </is>
      </c>
    </row>
    <row r="20">
      <c r="B20" s="24" t="inlineStr">
        <is>
          <t>clr_commodity_market</t>
        </is>
      </c>
      <c r="C20" s="24" t="inlineStr">
        <is>
          <t>UPDATEUSERID</t>
        </is>
      </c>
      <c r="D20" s="24" t="inlineStr">
        <is>
          <t>varchar(32)</t>
        </is>
      </c>
      <c r="E20" s="24" t="inlineStr">
        <is>
          <t>YES</t>
        </is>
      </c>
      <c r="F20" s="24" t="inlineStr">
        <is>
          <t>更新人</t>
        </is>
      </c>
      <c r="G20" s="24" t="n"/>
      <c r="H20" s="24" t="n"/>
      <c r="I20" s="24" t="inlineStr"/>
      <c r="J20" s="24" t="inlineStr">
        <is>
          <t>2023/01/12</t>
        </is>
      </c>
    </row>
    <row r="21">
      <c r="B21" s="24" t="inlineStr">
        <is>
          <t>clr_commodity_market</t>
        </is>
      </c>
      <c r="C21" s="24" t="inlineStr">
        <is>
          <t>UPDATEORGID</t>
        </is>
      </c>
      <c r="D21" s="24" t="inlineStr">
        <is>
          <t>varchar(32)</t>
        </is>
      </c>
      <c r="E21" s="24" t="inlineStr">
        <is>
          <t>YES</t>
        </is>
      </c>
      <c r="F21" s="24" t="inlineStr">
        <is>
          <t>更新机构</t>
        </is>
      </c>
      <c r="G21" s="24" t="n"/>
      <c r="H21" s="24" t="n"/>
      <c r="I21" s="24" t="inlineStr"/>
      <c r="J21" s="24" t="inlineStr">
        <is>
          <t>2023/01/12</t>
        </is>
      </c>
    </row>
    <row r="22">
      <c r="B22" s="24" t="inlineStr">
        <is>
          <t>clr_commodity_market</t>
        </is>
      </c>
      <c r="C22" s="24" t="inlineStr">
        <is>
          <t>UPDATEDATE</t>
        </is>
      </c>
      <c r="D22" s="24" t="inlineStr">
        <is>
          <t>datetime</t>
        </is>
      </c>
      <c r="E22" s="24" t="inlineStr">
        <is>
          <t>YES</t>
        </is>
      </c>
      <c r="F22" s="24" t="inlineStr">
        <is>
          <t>更新日期</t>
        </is>
      </c>
      <c r="G22" s="24" t="n"/>
      <c r="H22" s="24" t="n"/>
      <c r="I22" s="24" t="inlineStr"/>
      <c r="J22" s="24" t="inlineStr">
        <is>
          <t>2023/01/12</t>
        </is>
      </c>
    </row>
  </sheetData>
  <pageMargins left="0.75" right="0.75" top="1" bottom="1" header="0.5" footer="0.5"/>
  <pageSetup orientation="portrait" paperSize="1" horizontalDpi="300" verticalDpi="300"/>
</worksheet>
</file>

<file path=xl/worksheets/sheet78.xml><?xml version="1.0" encoding="utf-8"?>
<worksheet xmlns="http://schemas.openxmlformats.org/spreadsheetml/2006/main">
  <sheetPr>
    <outlinePr summaryBelow="1" summaryRight="1"/>
    <pageSetUpPr/>
  </sheetPr>
  <dimension ref="A1:K70"/>
  <sheetViews>
    <sheetView zoomScale="116" zoomScaleNormal="116" zoomScaleSheetLayoutView="60" workbookViewId="0">
      <selection activeCell="B2" sqref="B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评估申请信息表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A3" s="84" t="n"/>
      <c r="B3" s="24" t="inlineStr">
        <is>
          <t>clr_evaluation_appl</t>
        </is>
      </c>
      <c r="C3" s="24" t="inlineStr">
        <is>
          <t>EVALAPPLID</t>
        </is>
      </c>
      <c r="D3" s="24" t="inlineStr">
        <is>
          <t>varchar(32)</t>
        </is>
      </c>
      <c r="E3" s="24" t="inlineStr">
        <is>
          <t>NO</t>
        </is>
      </c>
      <c r="F3" s="24" t="inlineStr">
        <is>
          <t>评级申请流水号</t>
        </is>
      </c>
      <c r="G3" s="24" t="n"/>
      <c r="H3" s="24" t="n"/>
      <c r="I3" s="24" t="inlineStr"/>
      <c r="J3" s="24" t="inlineStr">
        <is>
          <t>2023/01/12</t>
        </is>
      </c>
    </row>
    <row r="4">
      <c r="B4" s="24" t="inlineStr">
        <is>
          <t>clr_evaluation_appl</t>
        </is>
      </c>
      <c r="C4" s="24" t="inlineStr">
        <is>
          <t>SOURCESYSTEM</t>
        </is>
      </c>
      <c r="D4" s="24" t="inlineStr">
        <is>
          <t>varchar(32)</t>
        </is>
      </c>
      <c r="E4" s="24" t="inlineStr">
        <is>
          <t>YES</t>
        </is>
      </c>
      <c r="F4" s="24" t="inlineStr">
        <is>
          <t>调用来源</t>
        </is>
      </c>
      <c r="G4" s="24" t="n"/>
      <c r="H4" s="24" t="n"/>
      <c r="I4" s="24" t="inlineStr"/>
      <c r="J4" s="24" t="inlineStr">
        <is>
          <t>2023/01/12</t>
        </is>
      </c>
    </row>
    <row r="5">
      <c r="B5" s="24" t="inlineStr">
        <is>
          <t>clr_evaluation_appl</t>
        </is>
      </c>
      <c r="C5" s="24" t="inlineStr">
        <is>
          <t>APPROVESTATUS</t>
        </is>
      </c>
      <c r="D5" s="24" t="inlineStr">
        <is>
          <t>varchar(32)</t>
        </is>
      </c>
      <c r="E5" s="24" t="inlineStr">
        <is>
          <t>YES</t>
        </is>
      </c>
      <c r="F5" s="24" t="inlineStr">
        <is>
          <t>申请状态</t>
        </is>
      </c>
      <c r="G5" s="24" t="n"/>
      <c r="H5" s="24" t="n"/>
      <c r="I5" s="24" t="inlineStr"/>
      <c r="J5" s="24" t="inlineStr">
        <is>
          <t>2023/01/12</t>
        </is>
      </c>
    </row>
    <row r="6">
      <c r="B6" s="24" t="inlineStr">
        <is>
          <t>clr_evaluation_appl</t>
        </is>
      </c>
      <c r="C6" s="24" t="inlineStr">
        <is>
          <t>CLRID</t>
        </is>
      </c>
      <c r="D6" s="24" t="inlineStr">
        <is>
          <t>varchar(32)</t>
        </is>
      </c>
      <c r="E6" s="24" t="inlineStr">
        <is>
          <t>YES</t>
        </is>
      </c>
      <c r="F6" s="24" t="inlineStr">
        <is>
          <t>押品编号</t>
        </is>
      </c>
      <c r="G6" s="24" t="n"/>
      <c r="H6" s="24" t="n"/>
      <c r="I6" s="24" t="inlineStr"/>
      <c r="J6" s="24" t="inlineStr">
        <is>
          <t>2023/01/12</t>
        </is>
      </c>
    </row>
    <row r="7">
      <c r="B7" s="24" t="inlineStr">
        <is>
          <t>clr_evaluation_appl</t>
        </is>
      </c>
      <c r="C7" s="24" t="inlineStr">
        <is>
          <t>EVALCURRENCY</t>
        </is>
      </c>
      <c r="D7" s="24" t="inlineStr">
        <is>
          <t>varchar(18)</t>
        </is>
      </c>
      <c r="E7" s="24" t="inlineStr">
        <is>
          <t>YES</t>
        </is>
      </c>
      <c r="F7" s="24" t="inlineStr">
        <is>
          <t>评估币种</t>
        </is>
      </c>
      <c r="G7" s="24" t="n"/>
      <c r="H7" s="24" t="n"/>
      <c r="I7" s="24" t="inlineStr"/>
      <c r="J7" s="24" t="inlineStr">
        <is>
          <t>2023/01/12</t>
        </is>
      </c>
    </row>
    <row r="8">
      <c r="A8" s="84" t="n"/>
      <c r="B8" s="24" t="inlineStr">
        <is>
          <t>clr_evaluation_appl</t>
        </is>
      </c>
      <c r="C8" s="24" t="inlineStr">
        <is>
          <t>EVALOCCURTYPE</t>
        </is>
      </c>
      <c r="D8" s="24" t="inlineStr">
        <is>
          <t>varchar(6)</t>
        </is>
      </c>
      <c r="E8" s="24" t="inlineStr">
        <is>
          <t>YES</t>
        </is>
      </c>
      <c r="F8" s="24" t="inlineStr">
        <is>
          <t>发生类型</t>
        </is>
      </c>
      <c r="G8" s="62">
        <f>HYPERLINK("#码值映射清单!B921","EvalOccurType")</f>
        <v/>
      </c>
      <c r="H8" s="24" t="n"/>
      <c r="I8" s="24" t="inlineStr"/>
      <c r="J8" s="24" t="inlineStr">
        <is>
          <t>2023/01/12</t>
        </is>
      </c>
    </row>
    <row r="9">
      <c r="A9" s="84" t="n"/>
      <c r="B9" s="46" t="inlineStr">
        <is>
          <t>clr_evaluation_appl</t>
        </is>
      </c>
      <c r="C9" s="46" t="inlineStr">
        <is>
          <t>EVALSTYLE</t>
        </is>
      </c>
      <c r="D9" s="46" t="inlineStr">
        <is>
          <t>varchar(6)</t>
        </is>
      </c>
      <c r="E9" s="46" t="inlineStr">
        <is>
          <t>YES</t>
        </is>
      </c>
      <c r="F9" s="49" t="inlineStr">
        <is>
          <t>评估方法</t>
        </is>
      </c>
      <c r="G9" s="85">
        <f>HYPERLINK("#码值映射清单!B9432","EvalType")</f>
        <v/>
      </c>
      <c r="H9" s="49" t="inlineStr">
        <is>
          <t>内部评估、外部评估、内外部评估</t>
        </is>
      </c>
      <c r="I9" s="46" t="inlineStr"/>
      <c r="J9" s="180" t="n">
        <v>45740</v>
      </c>
    </row>
    <row r="10">
      <c r="B10" s="24" t="inlineStr">
        <is>
          <t>clr_evaluation_appl</t>
        </is>
      </c>
      <c r="C10" s="24" t="inlineStr">
        <is>
          <t>STARTDATE</t>
        </is>
      </c>
      <c r="D10" s="24" t="inlineStr">
        <is>
          <t>datetime</t>
        </is>
      </c>
      <c r="E10" s="24" t="inlineStr">
        <is>
          <t>YES</t>
        </is>
      </c>
      <c r="F10" s="24" t="inlineStr">
        <is>
          <t>评估开始日期</t>
        </is>
      </c>
      <c r="G10" s="24" t="n"/>
      <c r="H10" s="24" t="n"/>
      <c r="I10" s="24" t="inlineStr"/>
      <c r="J10" s="24" t="inlineStr">
        <is>
          <t>2023/01/12</t>
        </is>
      </c>
    </row>
    <row r="11">
      <c r="B11" s="24" t="inlineStr">
        <is>
          <t>clr_evaluation_appl</t>
        </is>
      </c>
      <c r="C11" s="24" t="inlineStr">
        <is>
          <t>ENDDATE</t>
        </is>
      </c>
      <c r="D11" s="24" t="inlineStr">
        <is>
          <t>datetime</t>
        </is>
      </c>
      <c r="E11" s="24" t="inlineStr">
        <is>
          <t>YES</t>
        </is>
      </c>
      <c r="F11" s="24" t="inlineStr">
        <is>
          <t>评估结束日期</t>
        </is>
      </c>
      <c r="G11" s="24" t="n"/>
      <c r="H11" s="24" t="n"/>
      <c r="I11" s="24" t="inlineStr"/>
      <c r="J11" s="24" t="inlineStr">
        <is>
          <t>2023/01/12</t>
        </is>
      </c>
    </row>
    <row r="12">
      <c r="A12" s="84" t="n"/>
      <c r="B12" s="24" t="inlineStr">
        <is>
          <t>clr_evaluation_appl</t>
        </is>
      </c>
      <c r="C12" s="24" t="inlineStr">
        <is>
          <t>EVALMODEL</t>
        </is>
      </c>
      <c r="D12" s="24" t="inlineStr">
        <is>
          <t>varchar(32)</t>
        </is>
      </c>
      <c r="E12" s="24" t="inlineStr">
        <is>
          <t>YES</t>
        </is>
      </c>
      <c r="F12" s="24" t="inlineStr">
        <is>
          <t>评估模型编号</t>
        </is>
      </c>
      <c r="G12" s="24" t="n"/>
      <c r="H12" s="24" t="n"/>
      <c r="I12" s="24" t="inlineStr"/>
      <c r="J12" s="24" t="inlineStr">
        <is>
          <t>2023/01/12</t>
        </is>
      </c>
    </row>
    <row r="13">
      <c r="B13" s="24" t="inlineStr">
        <is>
          <t>clr_evaluation_appl</t>
        </is>
      </c>
      <c r="C13" s="24" t="inlineStr">
        <is>
          <t>OUTTEREVALRESULT</t>
        </is>
      </c>
      <c r="D13" s="24" t="inlineStr">
        <is>
          <t>decimal(24,6)</t>
        </is>
      </c>
      <c r="E13" s="24" t="inlineStr">
        <is>
          <t>YES</t>
        </is>
      </c>
      <c r="F13" s="24" t="inlineStr">
        <is>
          <t>外部估值结果</t>
        </is>
      </c>
      <c r="G13" s="24" t="n"/>
      <c r="H13" s="24" t="n"/>
      <c r="I13" s="24" t="inlineStr"/>
      <c r="J13" s="24" t="inlineStr">
        <is>
          <t>2023/01/12</t>
        </is>
      </c>
    </row>
    <row r="14">
      <c r="B14" s="24" t="inlineStr">
        <is>
          <t>clr_evaluation_appl</t>
        </is>
      </c>
      <c r="C14" s="24" t="inlineStr">
        <is>
          <t>OUTTEREVALORGID</t>
        </is>
      </c>
      <c r="D14" s="24" t="inlineStr">
        <is>
          <t>varchar(32)</t>
        </is>
      </c>
      <c r="E14" s="24" t="inlineStr">
        <is>
          <t>YES</t>
        </is>
      </c>
      <c r="F14" s="24" t="inlineStr">
        <is>
          <t>外部评估机构编号</t>
        </is>
      </c>
      <c r="G14" s="24" t="n"/>
      <c r="H14" s="24" t="n"/>
      <c r="I14" s="24" t="inlineStr"/>
      <c r="J14" s="24" t="inlineStr">
        <is>
          <t>2023/01/12</t>
        </is>
      </c>
    </row>
    <row r="15">
      <c r="B15" s="24" t="inlineStr">
        <is>
          <t>clr_evaluation_appl</t>
        </is>
      </c>
      <c r="C15" s="24" t="inlineStr">
        <is>
          <t>OUTTEREVALDATE</t>
        </is>
      </c>
      <c r="D15" s="24" t="inlineStr">
        <is>
          <t>datetime</t>
        </is>
      </c>
      <c r="E15" s="24" t="inlineStr">
        <is>
          <t>YES</t>
        </is>
      </c>
      <c r="F15" s="43" t="inlineStr">
        <is>
          <t>外部评估基准日</t>
        </is>
      </c>
      <c r="G15" s="24" t="n"/>
      <c r="H15" s="24" t="n"/>
      <c r="I15" s="24" t="inlineStr"/>
      <c r="J15" s="24" t="inlineStr">
        <is>
          <t>2023/01/12</t>
        </is>
      </c>
    </row>
    <row r="16">
      <c r="B16" s="24" t="inlineStr">
        <is>
          <t>clr_evaluation_appl</t>
        </is>
      </c>
      <c r="C16" s="24" t="inlineStr">
        <is>
          <t>OUTTEREVALTYPE</t>
        </is>
      </c>
      <c r="D16" s="24" t="inlineStr">
        <is>
          <t>varchar(6)</t>
        </is>
      </c>
      <c r="E16" s="24" t="inlineStr">
        <is>
          <t>YES</t>
        </is>
      </c>
      <c r="F16" s="24" t="inlineStr">
        <is>
          <t>外部评估类型</t>
        </is>
      </c>
      <c r="G16" s="24" t="n"/>
      <c r="H16" s="24" t="n"/>
      <c r="I16" s="24" t="inlineStr"/>
      <c r="J16" s="24" t="inlineStr">
        <is>
          <t>2023/01/12</t>
        </is>
      </c>
    </row>
    <row r="17">
      <c r="B17" s="24" t="inlineStr">
        <is>
          <t>clr_evaluation_appl</t>
        </is>
      </c>
      <c r="C17" s="24" t="inlineStr">
        <is>
          <t>OUTTEREVALEXPIRYDATE</t>
        </is>
      </c>
      <c r="D17" s="24" t="inlineStr">
        <is>
          <t>datetime</t>
        </is>
      </c>
      <c r="E17" s="24" t="inlineStr">
        <is>
          <t>YES</t>
        </is>
      </c>
      <c r="F17" s="24" t="inlineStr">
        <is>
          <t>外部评估报告有效期</t>
        </is>
      </c>
      <c r="G17" s="24" t="n"/>
      <c r="H17" s="24" t="n"/>
      <c r="I17" s="24" t="inlineStr"/>
      <c r="J17" s="24" t="inlineStr">
        <is>
          <t>2023/01/12</t>
        </is>
      </c>
    </row>
    <row r="18">
      <c r="B18" s="24" t="inlineStr">
        <is>
          <t>clr_evaluation_appl</t>
        </is>
      </c>
      <c r="C18" s="24" t="inlineStr">
        <is>
          <t>OUTTEREVALMETHOD</t>
        </is>
      </c>
      <c r="D18" s="24" t="inlineStr">
        <is>
          <t>varchar(6)</t>
        </is>
      </c>
      <c r="E18" s="24" t="inlineStr">
        <is>
          <t>YES</t>
        </is>
      </c>
      <c r="F18" s="24" t="inlineStr">
        <is>
          <t>外部评估方法</t>
        </is>
      </c>
      <c r="G18" s="24" t="n"/>
      <c r="H18" s="24" t="n"/>
      <c r="I18" s="24" t="inlineStr"/>
      <c r="J18" s="24" t="inlineStr">
        <is>
          <t>2023/01/12</t>
        </is>
      </c>
    </row>
    <row r="19">
      <c r="B19" s="24" t="inlineStr">
        <is>
          <t>clr_evaluation_appl</t>
        </is>
      </c>
      <c r="C19" s="24" t="inlineStr">
        <is>
          <t>INITIALINNERRESULT</t>
        </is>
      </c>
      <c r="D19" s="24" t="inlineStr">
        <is>
          <t>decimal(24,6)</t>
        </is>
      </c>
      <c r="E19" s="24" t="inlineStr">
        <is>
          <t>YES</t>
        </is>
      </c>
      <c r="F19" s="43" t="inlineStr">
        <is>
          <t>初评岗内部估值结果</t>
        </is>
      </c>
      <c r="G19" s="24" t="n"/>
      <c r="H19" s="24" t="n"/>
      <c r="I19" s="24" t="inlineStr"/>
      <c r="J19" s="24" t="inlineStr">
        <is>
          <t>2023/01/12</t>
        </is>
      </c>
    </row>
    <row r="20">
      <c r="B20" s="24" t="inlineStr">
        <is>
          <t>clr_evaluation_appl</t>
        </is>
      </c>
      <c r="C20" s="24" t="inlineStr">
        <is>
          <t>INITIALADJUSTRESULT</t>
        </is>
      </c>
      <c r="D20" s="24" t="inlineStr">
        <is>
          <t>decimal(24,6)</t>
        </is>
      </c>
      <c r="E20" s="24" t="inlineStr">
        <is>
          <t>YES</t>
        </is>
      </c>
      <c r="F20" s="24" t="inlineStr">
        <is>
          <t>初评岗调整估值结果</t>
        </is>
      </c>
      <c r="G20" s="24" t="n"/>
      <c r="H20" s="24" t="n"/>
      <c r="I20" s="24" t="inlineStr"/>
      <c r="J20" s="24" t="inlineStr">
        <is>
          <t>2023/01/12</t>
        </is>
      </c>
    </row>
    <row r="21">
      <c r="B21" s="24" t="inlineStr">
        <is>
          <t>clr_evaluation_appl</t>
        </is>
      </c>
      <c r="C21" s="24" t="inlineStr">
        <is>
          <t>INITIALEVALWEIGHT</t>
        </is>
      </c>
      <c r="D21" s="24" t="inlineStr">
        <is>
          <t>decimal(18,8)</t>
        </is>
      </c>
      <c r="E21" s="24" t="inlineStr">
        <is>
          <t>YES</t>
        </is>
      </c>
      <c r="F21" s="24" t="inlineStr">
        <is>
          <t>初评岗调整估值外部权重</t>
        </is>
      </c>
      <c r="G21" s="24" t="n"/>
      <c r="H21" s="24" t="n"/>
      <c r="I21" s="24" t="inlineStr"/>
      <c r="J21" s="24" t="inlineStr">
        <is>
          <t>2023/01/12</t>
        </is>
      </c>
    </row>
    <row r="22">
      <c r="B22" s="24" t="inlineStr">
        <is>
          <t>clr_evaluation_appl</t>
        </is>
      </c>
      <c r="C22" s="24" t="inlineStr">
        <is>
          <t>INITIALMULTIRESULT</t>
        </is>
      </c>
      <c r="D22" s="24" t="inlineStr">
        <is>
          <t>decimal(24,6)</t>
        </is>
      </c>
      <c r="E22" s="24" t="inlineStr">
        <is>
          <t>YES</t>
        </is>
      </c>
      <c r="F22" s="24" t="inlineStr">
        <is>
          <t>初评岗综合估值结果</t>
        </is>
      </c>
      <c r="G22" s="24" t="n"/>
      <c r="H22" s="24" t="n"/>
      <c r="I22" s="24" t="inlineStr"/>
      <c r="J22" s="24" t="inlineStr">
        <is>
          <t>2023/01/12</t>
        </is>
      </c>
    </row>
    <row r="23">
      <c r="B23" s="24" t="inlineStr">
        <is>
          <t>clr_evaluation_appl</t>
        </is>
      </c>
      <c r="C23" s="24" t="inlineStr">
        <is>
          <t>INITIALVALIDATETIME</t>
        </is>
      </c>
      <c r="D23" s="24" t="inlineStr">
        <is>
          <t>datetime</t>
        </is>
      </c>
      <c r="E23" s="24" t="inlineStr">
        <is>
          <t>YES</t>
        </is>
      </c>
      <c r="F23" s="24" t="inlineStr">
        <is>
          <t>初评岗评估有效期</t>
        </is>
      </c>
      <c r="G23" s="24" t="n"/>
      <c r="H23" s="24" t="n"/>
      <c r="I23" s="24" t="inlineStr"/>
      <c r="J23" s="24" t="inlineStr">
        <is>
          <t>2023/01/12</t>
        </is>
      </c>
    </row>
    <row r="24">
      <c r="B24" s="24" t="inlineStr">
        <is>
          <t>clr_evaluation_appl</t>
        </is>
      </c>
      <c r="C24" s="24" t="inlineStr">
        <is>
          <t>INITIALFINALRESULT</t>
        </is>
      </c>
      <c r="D24" s="24" t="inlineStr">
        <is>
          <t>decimal(24,6)</t>
        </is>
      </c>
      <c r="E24" s="24" t="inlineStr">
        <is>
          <t>YES</t>
        </is>
      </c>
      <c r="F24" s="24" t="inlineStr">
        <is>
          <t>初评岗最终评估结果</t>
        </is>
      </c>
      <c r="G24" s="24" t="n"/>
      <c r="H24" s="24" t="n"/>
      <c r="I24" s="24" t="inlineStr"/>
      <c r="J24" s="24" t="inlineStr">
        <is>
          <t>2023/01/12</t>
        </is>
      </c>
    </row>
    <row r="25">
      <c r="B25" s="24" t="inlineStr">
        <is>
          <t>clr_evaluation_appl</t>
        </is>
      </c>
      <c r="C25" s="24" t="inlineStr">
        <is>
          <t>REVIEWERUSERID</t>
        </is>
      </c>
      <c r="D25" s="24" t="inlineStr">
        <is>
          <t>varchar(32)</t>
        </is>
      </c>
      <c r="E25" s="24" t="inlineStr">
        <is>
          <t>YES</t>
        </is>
      </c>
      <c r="F25" s="24" t="inlineStr">
        <is>
          <t>初评人</t>
        </is>
      </c>
      <c r="G25" s="24" t="n"/>
      <c r="H25" s="24" t="n"/>
      <c r="I25" s="24" t="inlineStr"/>
      <c r="J25" s="24" t="inlineStr">
        <is>
          <t>2023/01/12</t>
        </is>
      </c>
    </row>
    <row r="26">
      <c r="B26" s="24" t="inlineStr">
        <is>
          <t>clr_evaluation_appl</t>
        </is>
      </c>
      <c r="C26" s="24" t="inlineStr">
        <is>
          <t>REVIEWORGID</t>
        </is>
      </c>
      <c r="D26" s="24" t="inlineStr">
        <is>
          <t>varchar(32)</t>
        </is>
      </c>
      <c r="E26" s="24" t="inlineStr">
        <is>
          <t>YES</t>
        </is>
      </c>
      <c r="F26" s="24" t="inlineStr">
        <is>
          <t>初评机构</t>
        </is>
      </c>
      <c r="G26" s="24" t="n"/>
      <c r="H26" s="24" t="n"/>
      <c r="I26" s="24" t="inlineStr"/>
      <c r="J26" s="24" t="inlineStr">
        <is>
          <t>2023/01/12</t>
        </is>
      </c>
    </row>
    <row r="27">
      <c r="B27" s="24" t="inlineStr">
        <is>
          <t>clr_evaluation_appl</t>
        </is>
      </c>
      <c r="C27" s="24" t="inlineStr">
        <is>
          <t>REVIEWDATE</t>
        </is>
      </c>
      <c r="D27" s="24" t="inlineStr">
        <is>
          <t>datetime</t>
        </is>
      </c>
      <c r="E27" s="24" t="inlineStr">
        <is>
          <t>YES</t>
        </is>
      </c>
      <c r="F27" s="24" t="inlineStr">
        <is>
          <t>初评日期</t>
        </is>
      </c>
      <c r="G27" s="24" t="n"/>
      <c r="H27" s="24" t="n"/>
      <c r="I27" s="24" t="inlineStr"/>
      <c r="J27" s="24" t="inlineStr">
        <is>
          <t>2023/01/12</t>
        </is>
      </c>
    </row>
    <row r="28">
      <c r="B28" s="24" t="inlineStr">
        <is>
          <t>clr_evaluation_appl</t>
        </is>
      </c>
      <c r="C28" s="24" t="inlineStr">
        <is>
          <t>APPROVEINNERRESULT</t>
        </is>
      </c>
      <c r="D28" s="24" t="inlineStr">
        <is>
          <t>decimal(24,6)</t>
        </is>
      </c>
      <c r="E28" s="24" t="inlineStr">
        <is>
          <t>YES</t>
        </is>
      </c>
      <c r="F28" s="24" t="inlineStr">
        <is>
          <t>核定岗内部估值结果</t>
        </is>
      </c>
      <c r="G28" s="24" t="n"/>
      <c r="H28" s="24" t="n"/>
      <c r="I28" s="24" t="inlineStr"/>
      <c r="J28" s="24" t="inlineStr">
        <is>
          <t>2023/01/12</t>
        </is>
      </c>
    </row>
    <row r="29">
      <c r="B29" s="24" t="inlineStr">
        <is>
          <t>clr_evaluation_appl</t>
        </is>
      </c>
      <c r="C29" s="24" t="inlineStr">
        <is>
          <t>APPROVEADJUSTRESULT</t>
        </is>
      </c>
      <c r="D29" s="24" t="inlineStr">
        <is>
          <t>decimal(24,6)</t>
        </is>
      </c>
      <c r="E29" s="24" t="inlineStr">
        <is>
          <t>YES</t>
        </is>
      </c>
      <c r="F29" s="24" t="inlineStr">
        <is>
          <t>核定岗调整估值结果确认</t>
        </is>
      </c>
      <c r="G29" s="24" t="n"/>
      <c r="H29" s="24" t="n"/>
      <c r="I29" s="24" t="inlineStr"/>
      <c r="J29" s="24" t="inlineStr">
        <is>
          <t>2023/01/12</t>
        </is>
      </c>
    </row>
    <row r="30">
      <c r="B30" s="24" t="inlineStr">
        <is>
          <t>clr_evaluation_appl</t>
        </is>
      </c>
      <c r="C30" s="24" t="inlineStr">
        <is>
          <t>APPROVEEVALWEIGHT</t>
        </is>
      </c>
      <c r="D30" s="24" t="inlineStr">
        <is>
          <t>decimal(18,8)</t>
        </is>
      </c>
      <c r="E30" s="24" t="inlineStr">
        <is>
          <t>YES</t>
        </is>
      </c>
      <c r="F30" s="24" t="inlineStr">
        <is>
          <t>核定岗内部模型估值权重</t>
        </is>
      </c>
      <c r="G30" s="24" t="n"/>
      <c r="H30" s="24" t="n"/>
      <c r="I30" s="24" t="inlineStr"/>
      <c r="J30" s="24" t="inlineStr">
        <is>
          <t>2023/01/12</t>
        </is>
      </c>
    </row>
    <row r="31">
      <c r="B31" s="24" t="inlineStr">
        <is>
          <t>clr_evaluation_appl</t>
        </is>
      </c>
      <c r="C31" s="24" t="inlineStr">
        <is>
          <t>APPROVEMUTILRESULT</t>
        </is>
      </c>
      <c r="D31" s="24" t="inlineStr">
        <is>
          <t>decimal(24,6)</t>
        </is>
      </c>
      <c r="E31" s="24" t="inlineStr">
        <is>
          <t>YES</t>
        </is>
      </c>
      <c r="F31" s="24" t="inlineStr">
        <is>
          <t>核定岗综合估值结果</t>
        </is>
      </c>
      <c r="G31" s="24" t="n"/>
      <c r="H31" s="24" t="n"/>
      <c r="I31" s="24" t="inlineStr"/>
      <c r="J31" s="24" t="inlineStr">
        <is>
          <t>2023/01/12</t>
        </is>
      </c>
    </row>
    <row r="32">
      <c r="B32" s="24" t="inlineStr">
        <is>
          <t>clr_evaluation_appl</t>
        </is>
      </c>
      <c r="C32" s="24" t="inlineStr">
        <is>
          <t>APPROVEVALIDATETIME</t>
        </is>
      </c>
      <c r="D32" s="24" t="inlineStr">
        <is>
          <t>date</t>
        </is>
      </c>
      <c r="E32" s="24" t="inlineStr">
        <is>
          <t>YES</t>
        </is>
      </c>
      <c r="F32" s="24" t="inlineStr">
        <is>
          <t>核定岗评估有效期</t>
        </is>
      </c>
      <c r="G32" s="24" t="n"/>
      <c r="H32" s="24" t="n"/>
      <c r="I32" s="24" t="inlineStr"/>
      <c r="J32" s="24" t="inlineStr">
        <is>
          <t>2023/01/12</t>
        </is>
      </c>
    </row>
    <row r="33">
      <c r="B33" s="24" t="inlineStr">
        <is>
          <t>clr_evaluation_appl</t>
        </is>
      </c>
      <c r="C33" s="24" t="inlineStr">
        <is>
          <t>APPROVEFINALRESULT</t>
        </is>
      </c>
      <c r="D33" s="24" t="inlineStr">
        <is>
          <t>decimal(24,6)</t>
        </is>
      </c>
      <c r="E33" s="24" t="inlineStr">
        <is>
          <t>YES</t>
        </is>
      </c>
      <c r="F33" s="24" t="inlineStr">
        <is>
          <t>核定岗最终评估结果</t>
        </is>
      </c>
      <c r="G33" s="24" t="n"/>
      <c r="H33" s="24" t="n"/>
      <c r="I33" s="24" t="inlineStr"/>
      <c r="J33" s="24" t="inlineStr">
        <is>
          <t>2023/01/12</t>
        </is>
      </c>
    </row>
    <row r="34">
      <c r="B34" s="24" t="inlineStr">
        <is>
          <t>clr_evaluation_appl</t>
        </is>
      </c>
      <c r="C34" s="24" t="inlineStr">
        <is>
          <t>APPROVEUSERID</t>
        </is>
      </c>
      <c r="D34" s="24" t="inlineStr">
        <is>
          <t>varchar(80)</t>
        </is>
      </c>
      <c r="E34" s="24" t="inlineStr">
        <is>
          <t>YES</t>
        </is>
      </c>
      <c r="F34" s="24" t="inlineStr">
        <is>
          <t>核定人</t>
        </is>
      </c>
      <c r="G34" s="24" t="n"/>
      <c r="H34" s="24" t="n"/>
      <c r="I34" s="24" t="inlineStr"/>
      <c r="J34" s="24" t="inlineStr">
        <is>
          <t>2023/01/12</t>
        </is>
      </c>
    </row>
    <row r="35">
      <c r="B35" s="24" t="inlineStr">
        <is>
          <t>clr_evaluation_appl</t>
        </is>
      </c>
      <c r="C35" s="24" t="inlineStr">
        <is>
          <t>APPROVEORGID</t>
        </is>
      </c>
      <c r="D35" s="24" t="inlineStr">
        <is>
          <t>varchar(80)</t>
        </is>
      </c>
      <c r="E35" s="24" t="inlineStr">
        <is>
          <t>YES</t>
        </is>
      </c>
      <c r="F35" s="24" t="inlineStr">
        <is>
          <t>核定机构</t>
        </is>
      </c>
      <c r="G35" s="24" t="n"/>
      <c r="H35" s="24" t="n"/>
      <c r="I35" s="24" t="inlineStr"/>
      <c r="J35" s="24" t="inlineStr">
        <is>
          <t>2023/01/12</t>
        </is>
      </c>
    </row>
    <row r="36">
      <c r="B36" s="24" t="inlineStr">
        <is>
          <t>clr_evaluation_appl</t>
        </is>
      </c>
      <c r="C36" s="24" t="inlineStr">
        <is>
          <t>APPROVEDATE</t>
        </is>
      </c>
      <c r="D36" s="24" t="inlineStr">
        <is>
          <t>datetime</t>
        </is>
      </c>
      <c r="E36" s="24" t="inlineStr">
        <is>
          <t>YES</t>
        </is>
      </c>
      <c r="F36" s="24" t="inlineStr">
        <is>
          <t>核定日期</t>
        </is>
      </c>
      <c r="G36" s="24" t="n"/>
      <c r="H36" s="24" t="n"/>
      <c r="I36" s="24" t="inlineStr"/>
      <c r="J36" s="24" t="inlineStr">
        <is>
          <t>2023/01/12</t>
        </is>
      </c>
    </row>
    <row r="37">
      <c r="B37" s="24" t="inlineStr">
        <is>
          <t>clr_evaluation_appl</t>
        </is>
      </c>
      <c r="C37" s="24" t="inlineStr">
        <is>
          <t>SAMPLEPRICE1</t>
        </is>
      </c>
      <c r="D37" s="24" t="inlineStr">
        <is>
          <t>decimal(24,6)</t>
        </is>
      </c>
      <c r="E37" s="24" t="inlineStr">
        <is>
          <t>YES</t>
        </is>
      </c>
      <c r="F37" s="24" t="inlineStr">
        <is>
          <t>参考案例一单价</t>
        </is>
      </c>
      <c r="G37" s="24" t="n"/>
      <c r="H37" s="24" t="n"/>
      <c r="I37" s="24" t="inlineStr"/>
      <c r="J37" s="24" t="inlineStr">
        <is>
          <t>2023/01/12</t>
        </is>
      </c>
    </row>
    <row r="38">
      <c r="B38" s="24" t="inlineStr">
        <is>
          <t>clr_evaluation_appl</t>
        </is>
      </c>
      <c r="C38" s="24" t="inlineStr">
        <is>
          <t>SAMPLEPRICE2</t>
        </is>
      </c>
      <c r="D38" s="24" t="inlineStr">
        <is>
          <t>decimal(24,6)</t>
        </is>
      </c>
      <c r="E38" s="24" t="inlineStr">
        <is>
          <t>YES</t>
        </is>
      </c>
      <c r="F38" s="24" t="inlineStr">
        <is>
          <t>参考案例二单价</t>
        </is>
      </c>
      <c r="G38" s="24" t="n"/>
      <c r="H38" s="24" t="n"/>
      <c r="I38" s="24" t="inlineStr"/>
      <c r="J38" s="24" t="inlineStr">
        <is>
          <t>2023/01/12</t>
        </is>
      </c>
    </row>
    <row r="39">
      <c r="B39" s="24" t="inlineStr">
        <is>
          <t>clr_evaluation_appl</t>
        </is>
      </c>
      <c r="C39" s="24" t="inlineStr">
        <is>
          <t>SAMPLEPRICE3</t>
        </is>
      </c>
      <c r="D39" s="24" t="inlineStr">
        <is>
          <t>decimal(24,6)</t>
        </is>
      </c>
      <c r="E39" s="24" t="inlineStr">
        <is>
          <t>YES</t>
        </is>
      </c>
      <c r="F39" s="24" t="inlineStr">
        <is>
          <t>参考案例三单价</t>
        </is>
      </c>
      <c r="G39" s="24" t="n"/>
      <c r="H39" s="24" t="n"/>
      <c r="I39" s="24" t="inlineStr"/>
      <c r="J39" s="24" t="inlineStr">
        <is>
          <t>2023/01/12</t>
        </is>
      </c>
    </row>
    <row r="40">
      <c r="B40" s="24" t="inlineStr">
        <is>
          <t>clr_evaluation_appl</t>
        </is>
      </c>
      <c r="C40" s="24" t="inlineStr">
        <is>
          <t>INTERNALPRICE</t>
        </is>
      </c>
      <c r="D40" s="24" t="inlineStr">
        <is>
          <t>decimal(24,6)</t>
        </is>
      </c>
      <c r="E40" s="24" t="inlineStr">
        <is>
          <t>YES</t>
        </is>
      </c>
      <c r="F40" s="24" t="inlineStr">
        <is>
          <t>模型计算单价</t>
        </is>
      </c>
      <c r="G40" s="24" t="n"/>
      <c r="H40" s="24" t="n"/>
      <c r="I40" s="24" t="inlineStr"/>
      <c r="J40" s="24" t="inlineStr">
        <is>
          <t>2023/01/12</t>
        </is>
      </c>
    </row>
    <row r="41">
      <c r="B41" s="24" t="inlineStr">
        <is>
          <t>clr_evaluation_appl</t>
        </is>
      </c>
      <c r="C41" s="24" t="inlineStr">
        <is>
          <t>INTERNALTOTALPRICE</t>
        </is>
      </c>
      <c r="D41" s="24" t="inlineStr">
        <is>
          <t>decimal(24,6)</t>
        </is>
      </c>
      <c r="E41" s="24" t="inlineStr">
        <is>
          <t>YES</t>
        </is>
      </c>
      <c r="F41" s="24" t="inlineStr">
        <is>
          <t>模型计算最新总价</t>
        </is>
      </c>
      <c r="G41" s="24" t="n"/>
      <c r="H41" s="24" t="n"/>
      <c r="I41" s="24" t="inlineStr"/>
      <c r="J41" s="24" t="inlineStr">
        <is>
          <t>2023/01/12</t>
        </is>
      </c>
    </row>
    <row r="42">
      <c r="B42" s="24" t="inlineStr">
        <is>
          <t>clr_evaluation_appl</t>
        </is>
      </c>
      <c r="C42" s="24" t="inlineStr">
        <is>
          <t>BENCHDATE</t>
        </is>
      </c>
      <c r="D42" s="24" t="inlineStr">
        <is>
          <t>datetime</t>
        </is>
      </c>
      <c r="E42" s="24" t="inlineStr">
        <is>
          <t>YES</t>
        </is>
      </c>
      <c r="F42" s="24" t="inlineStr">
        <is>
          <t>评估基准日</t>
        </is>
      </c>
      <c r="G42" s="24" t="n"/>
      <c r="H42" s="24" t="n"/>
      <c r="I42" s="24" t="inlineStr"/>
      <c r="J42" s="24" t="inlineStr">
        <is>
          <t>2023/01/12</t>
        </is>
      </c>
    </row>
    <row r="43">
      <c r="B43" s="24" t="inlineStr">
        <is>
          <t>clr_evaluation_appl</t>
        </is>
      </c>
      <c r="C43" s="24" t="inlineStr">
        <is>
          <t>DEBTOR</t>
        </is>
      </c>
      <c r="D43" s="24" t="inlineStr">
        <is>
          <t>varchar(80)</t>
        </is>
      </c>
      <c r="E43" s="24" t="inlineStr">
        <is>
          <t>YES</t>
        </is>
      </c>
      <c r="F43" s="24" t="inlineStr">
        <is>
          <t>主债务人</t>
        </is>
      </c>
      <c r="G43" s="24" t="n"/>
      <c r="H43" s="24" t="n"/>
      <c r="I43" s="24" t="inlineStr"/>
      <c r="J43" s="24" t="inlineStr">
        <is>
          <t>2023/01/12</t>
        </is>
      </c>
    </row>
    <row r="44">
      <c r="B44" s="24" t="inlineStr">
        <is>
          <t>clr_evaluation_appl</t>
        </is>
      </c>
      <c r="C44" s="24" t="inlineStr">
        <is>
          <t>OWNERSTATUS</t>
        </is>
      </c>
      <c r="D44" s="24" t="inlineStr">
        <is>
          <t>varchar(6)</t>
        </is>
      </c>
      <c r="E44" s="24" t="inlineStr">
        <is>
          <t>YES</t>
        </is>
      </c>
      <c r="F44" s="24" t="inlineStr">
        <is>
          <t>抵质押品权属状况</t>
        </is>
      </c>
      <c r="G44" s="24" t="n"/>
      <c r="H44" s="24" t="n"/>
      <c r="I44" s="24" t="inlineStr"/>
      <c r="J44" s="24" t="inlineStr">
        <is>
          <t>2023/01/12</t>
        </is>
      </c>
    </row>
    <row r="45">
      <c r="B45" s="24" t="inlineStr">
        <is>
          <t>clr_evaluation_appl</t>
        </is>
      </c>
      <c r="C45" s="24" t="inlineStr">
        <is>
          <t>PRIORITYCLAIM</t>
        </is>
      </c>
      <c r="D45" s="24" t="inlineStr">
        <is>
          <t>varchar(6)</t>
        </is>
      </c>
      <c r="E45" s="24" t="inlineStr">
        <is>
          <t>YES</t>
        </is>
      </c>
      <c r="F45" s="24" t="inlineStr">
        <is>
          <t>顺位情况</t>
        </is>
      </c>
      <c r="G45" s="24" t="n"/>
      <c r="H45" s="24" t="n"/>
      <c r="I45" s="24" t="inlineStr"/>
      <c r="J45" s="24" t="inlineStr">
        <is>
          <t>2023/01/12</t>
        </is>
      </c>
    </row>
    <row r="46">
      <c r="B46" s="24" t="inlineStr">
        <is>
          <t>clr_evaluation_appl</t>
        </is>
      </c>
      <c r="C46" s="24" t="inlineStr">
        <is>
          <t>ABNORMALREASON</t>
        </is>
      </c>
      <c r="D46" s="24" t="inlineStr">
        <is>
          <t>varchar(200)</t>
        </is>
      </c>
      <c r="E46" s="24" t="inlineStr">
        <is>
          <t>YES</t>
        </is>
      </c>
      <c r="F46" s="24" t="inlineStr">
        <is>
          <t>异常原因</t>
        </is>
      </c>
      <c r="G46" s="24" t="n"/>
      <c r="H46" s="24" t="n"/>
      <c r="I46" s="24" t="inlineStr"/>
      <c r="J46" s="24" t="inlineStr">
        <is>
          <t>2023/01/12</t>
        </is>
      </c>
    </row>
    <row r="47">
      <c r="B47" s="24" t="inlineStr">
        <is>
          <t>clr_evaluation_appl</t>
        </is>
      </c>
      <c r="C47" s="24" t="inlineStr">
        <is>
          <t>OLDCLRID</t>
        </is>
      </c>
      <c r="D47" s="24" t="inlineStr">
        <is>
          <t>varchar(32)</t>
        </is>
      </c>
      <c r="E47" s="24" t="inlineStr">
        <is>
          <t>YES</t>
        </is>
      </c>
      <c r="F47" s="24" t="inlineStr">
        <is>
          <t>合并前押品编号</t>
        </is>
      </c>
      <c r="G47" s="24" t="n"/>
      <c r="H47" s="24" t="n"/>
      <c r="I47" s="24" t="inlineStr"/>
      <c r="J47" s="24" t="inlineStr">
        <is>
          <t>2023/01/12</t>
        </is>
      </c>
    </row>
    <row r="48">
      <c r="B48" s="24" t="inlineStr">
        <is>
          <t>clr_evaluation_appl</t>
        </is>
      </c>
      <c r="C48" s="24" t="inlineStr">
        <is>
          <t>INPUTORGID</t>
        </is>
      </c>
      <c r="D48" s="24" t="inlineStr">
        <is>
          <t>varchar(32)</t>
        </is>
      </c>
      <c r="E48" s="24" t="inlineStr">
        <is>
          <t>YES</t>
        </is>
      </c>
      <c r="F48" s="24" t="inlineStr">
        <is>
          <t>登记机构</t>
        </is>
      </c>
      <c r="G48" s="24" t="n"/>
      <c r="H48" s="24" t="n"/>
      <c r="I48" s="24" t="inlineStr"/>
      <c r="J48" s="24" t="inlineStr">
        <is>
          <t>2023/01/12</t>
        </is>
      </c>
    </row>
    <row r="49">
      <c r="B49" s="24" t="inlineStr">
        <is>
          <t>clr_evaluation_appl</t>
        </is>
      </c>
      <c r="C49" s="24" t="inlineStr">
        <is>
          <t>INPUTUSERID</t>
        </is>
      </c>
      <c r="D49" s="24" t="inlineStr">
        <is>
          <t>varchar(32)</t>
        </is>
      </c>
      <c r="E49" s="24" t="inlineStr">
        <is>
          <t>YES</t>
        </is>
      </c>
      <c r="F49" s="24" t="inlineStr">
        <is>
          <t>登记人</t>
        </is>
      </c>
      <c r="G49" s="24" t="n"/>
      <c r="H49" s="24" t="n"/>
      <c r="I49" s="24" t="inlineStr"/>
      <c r="J49" s="24" t="inlineStr">
        <is>
          <t>2023/01/12</t>
        </is>
      </c>
    </row>
    <row r="50">
      <c r="B50" s="24" t="inlineStr">
        <is>
          <t>clr_evaluation_appl</t>
        </is>
      </c>
      <c r="C50" s="24" t="inlineStr">
        <is>
          <t>INPUTDATE</t>
        </is>
      </c>
      <c r="D50" s="24" t="inlineStr">
        <is>
          <t>datetime</t>
        </is>
      </c>
      <c r="E50" s="24" t="inlineStr">
        <is>
          <t>YES</t>
        </is>
      </c>
      <c r="F50" s="24" t="inlineStr">
        <is>
          <t>登记日期</t>
        </is>
      </c>
      <c r="G50" s="24" t="n"/>
      <c r="H50" s="24" t="n"/>
      <c r="I50" s="24" t="inlineStr"/>
      <c r="J50" s="24" t="inlineStr">
        <is>
          <t>2023/01/12</t>
        </is>
      </c>
    </row>
    <row r="51">
      <c r="B51" s="24" t="inlineStr">
        <is>
          <t>clr_evaluation_appl</t>
        </is>
      </c>
      <c r="C51" s="24" t="inlineStr">
        <is>
          <t>UPDATEORGID</t>
        </is>
      </c>
      <c r="D51" s="24" t="inlineStr">
        <is>
          <t>varchar(32)</t>
        </is>
      </c>
      <c r="E51" s="24" t="inlineStr">
        <is>
          <t>YES</t>
        </is>
      </c>
      <c r="F51" s="24" t="inlineStr">
        <is>
          <t>更新机构</t>
        </is>
      </c>
      <c r="G51" s="24" t="n"/>
      <c r="H51" s="24" t="n"/>
      <c r="I51" s="24" t="inlineStr"/>
      <c r="J51" s="24" t="inlineStr">
        <is>
          <t>2023/01/12</t>
        </is>
      </c>
    </row>
    <row r="52">
      <c r="B52" s="24" t="inlineStr">
        <is>
          <t>clr_evaluation_appl</t>
        </is>
      </c>
      <c r="C52" s="24" t="inlineStr">
        <is>
          <t>UPDATEUSERID</t>
        </is>
      </c>
      <c r="D52" s="24" t="inlineStr">
        <is>
          <t>varchar(32)</t>
        </is>
      </c>
      <c r="E52" s="24" t="inlineStr">
        <is>
          <t>YES</t>
        </is>
      </c>
      <c r="F52" s="24" t="inlineStr">
        <is>
          <t>更新人</t>
        </is>
      </c>
      <c r="G52" s="24" t="n"/>
      <c r="H52" s="24" t="n"/>
      <c r="I52" s="24" t="inlineStr"/>
      <c r="J52" s="24" t="inlineStr">
        <is>
          <t>2023/01/12</t>
        </is>
      </c>
    </row>
    <row r="53">
      <c r="B53" s="24" t="inlineStr">
        <is>
          <t>clr_evaluation_appl</t>
        </is>
      </c>
      <c r="C53" s="24" t="inlineStr">
        <is>
          <t>UPDATEDATE</t>
        </is>
      </c>
      <c r="D53" s="24" t="inlineStr">
        <is>
          <t>datetime</t>
        </is>
      </c>
      <c r="E53" s="24" t="inlineStr">
        <is>
          <t>YES</t>
        </is>
      </c>
      <c r="F53" s="24" t="inlineStr">
        <is>
          <t>更新日期</t>
        </is>
      </c>
      <c r="G53" s="24" t="n"/>
      <c r="H53" s="24" t="n"/>
      <c r="I53" s="24" t="inlineStr"/>
      <c r="J53" s="24" t="inlineStr">
        <is>
          <t>2023/01/12</t>
        </is>
      </c>
    </row>
    <row r="54">
      <c r="B54" s="24" t="inlineStr">
        <is>
          <t>clr_evaluation_appl</t>
        </is>
      </c>
      <c r="C54" s="24" t="inlineStr">
        <is>
          <t>REMARK</t>
        </is>
      </c>
      <c r="D54" s="24" t="inlineStr">
        <is>
          <t>varchar(500)</t>
        </is>
      </c>
      <c r="E54" s="24" t="inlineStr">
        <is>
          <t>YES</t>
        </is>
      </c>
      <c r="F54" s="24" t="inlineStr">
        <is>
          <t>备注</t>
        </is>
      </c>
      <c r="G54" s="24" t="n"/>
      <c r="H54" s="24" t="n"/>
      <c r="I54" s="24" t="inlineStr"/>
      <c r="J54" s="24" t="inlineStr">
        <is>
          <t>2023/01/12</t>
        </is>
      </c>
    </row>
    <row r="55">
      <c r="B55" s="24" t="inlineStr">
        <is>
          <t>clr_evaluation_appl</t>
        </is>
      </c>
      <c r="C55" s="24" t="inlineStr">
        <is>
          <t>CORPORGID</t>
        </is>
      </c>
      <c r="D55" s="24" t="inlineStr">
        <is>
          <t>varchar(32)</t>
        </is>
      </c>
      <c r="E55" s="24" t="inlineStr">
        <is>
          <t>YES</t>
        </is>
      </c>
      <c r="F55" s="24" t="inlineStr">
        <is>
          <t>法人机构编号</t>
        </is>
      </c>
      <c r="G55" s="24" t="n"/>
      <c r="H55" s="24" t="n"/>
      <c r="I55" s="24" t="inlineStr"/>
      <c r="J55" s="24" t="inlineStr">
        <is>
          <t>2023/01/12</t>
        </is>
      </c>
    </row>
    <row r="56">
      <c r="A56" s="69" t="n"/>
      <c r="B56" s="37" t="inlineStr">
        <is>
          <t>clr_evaluation_appl</t>
        </is>
      </c>
      <c r="C56" s="37" t="inlineStr">
        <is>
          <t>EVALDATE</t>
        </is>
      </c>
      <c r="D56" s="37" t="inlineStr">
        <is>
          <t>datetime</t>
        </is>
      </c>
      <c r="E56" s="37" t="inlineStr">
        <is>
          <t>YES</t>
        </is>
      </c>
      <c r="F56" s="38" t="inlineStr">
        <is>
          <t>评估基准日</t>
        </is>
      </c>
      <c r="G56" s="70" t="n"/>
      <c r="H56" s="38" t="n"/>
      <c r="I56" s="37" t="n"/>
      <c r="J56" s="180" t="n">
        <v>45740</v>
      </c>
    </row>
    <row r="57">
      <c r="A57" s="69" t="n"/>
      <c r="B57" s="37" t="inlineStr">
        <is>
          <t>clr_evaluation_appl</t>
        </is>
      </c>
      <c r="C57" s="37" t="inlineStr">
        <is>
          <t>CLRTYPEID</t>
        </is>
      </c>
      <c r="D57" s="37" t="inlineStr">
        <is>
          <t>varchar(32)</t>
        </is>
      </c>
      <c r="E57" s="37" t="inlineStr">
        <is>
          <t>YES</t>
        </is>
      </c>
      <c r="F57" s="86" t="inlineStr">
        <is>
          <t>押品类型编号</t>
        </is>
      </c>
      <c r="G57" s="87" t="n"/>
      <c r="H57" s="86" t="n"/>
      <c r="I57" s="73" t="n"/>
      <c r="J57" s="182" t="n">
        <v>45740</v>
      </c>
    </row>
    <row r="58">
      <c r="B58" s="37" t="inlineStr">
        <is>
          <t>clr_evaluation_appl</t>
        </is>
      </c>
      <c r="C58" s="69" t="inlineStr">
        <is>
          <t>APPLBATCHNO</t>
        </is>
      </c>
      <c r="D58" s="69" t="inlineStr">
        <is>
          <t>varchar(32)</t>
        </is>
      </c>
      <c r="E58" s="56" t="inlineStr">
        <is>
          <t>YES</t>
        </is>
      </c>
      <c r="F58" s="83" t="inlineStr">
        <is>
          <t>评估组编号</t>
        </is>
      </c>
      <c r="G58" s="60" t="n"/>
      <c r="H58" s="60" t="n"/>
      <c r="I58" s="60" t="n"/>
      <c r="J58" s="183" t="n">
        <v>45740</v>
      </c>
    </row>
    <row r="59">
      <c r="B59" s="37" t="inlineStr">
        <is>
          <t>clr_evaluation_appl</t>
        </is>
      </c>
      <c r="C59" s="37" t="inlineStr">
        <is>
          <t>ISLEGAL</t>
        </is>
      </c>
      <c r="D59" s="37" t="inlineStr">
        <is>
          <t>VARCHAR（8）</t>
        </is>
      </c>
      <c r="E59" s="37" t="inlineStr">
        <is>
          <t>YES</t>
        </is>
      </c>
      <c r="F59" s="88" t="inlineStr">
        <is>
          <t>抵质押人是否具有合法的主体资格</t>
        </is>
      </c>
      <c r="G59" s="89" t="n"/>
      <c r="H59" s="90" t="n"/>
      <c r="I59" s="92" t="n"/>
      <c r="J59" s="183" t="n">
        <v>45740</v>
      </c>
      <c r="K59" s="93" t="inlineStr">
        <is>
          <t>供贷后检查用</t>
        </is>
      </c>
    </row>
    <row r="60">
      <c r="B60" s="37" t="inlineStr">
        <is>
          <t>clr_evaluation_appl</t>
        </is>
      </c>
      <c r="C60" s="37" t="inlineStr">
        <is>
          <t>HASOWNERSHIP</t>
        </is>
      </c>
      <c r="D60" s="37" t="inlineStr">
        <is>
          <t>VARCHAR（8）</t>
        </is>
      </c>
      <c r="E60" s="37" t="inlineStr">
        <is>
          <t>YES</t>
        </is>
      </c>
      <c r="F60" s="38" t="inlineStr">
        <is>
          <t>抵押人是否对抵押物享有所有权或处分权</t>
        </is>
      </c>
      <c r="G60" s="56" t="n"/>
      <c r="H60" s="60" t="n"/>
      <c r="I60" s="94" t="n"/>
      <c r="J60" s="183" t="n">
        <v>45740</v>
      </c>
      <c r="K60" s="178" t="n"/>
    </row>
    <row r="61">
      <c r="B61" s="37" t="inlineStr">
        <is>
          <t>clr_evaluation_appl</t>
        </is>
      </c>
      <c r="C61" s="37" t="inlineStr">
        <is>
          <t>ISCLRREPEAT</t>
        </is>
      </c>
      <c r="D61" s="37" t="inlineStr">
        <is>
          <t>VARCHAR（8）</t>
        </is>
      </c>
      <c r="E61" s="37" t="inlineStr">
        <is>
          <t>YES</t>
        </is>
      </c>
      <c r="F61" s="38" t="inlineStr">
        <is>
          <t>抵质押物是否存在出租、重复抵押等情况</t>
        </is>
      </c>
      <c r="G61" s="56" t="n"/>
      <c r="H61" s="60" t="n"/>
      <c r="I61" s="94" t="n"/>
      <c r="J61" s="183" t="n">
        <v>45740</v>
      </c>
      <c r="K61" s="178" t="n"/>
    </row>
    <row r="62">
      <c r="B62" s="37" t="inlineStr">
        <is>
          <t>clr_evaluation_appl</t>
        </is>
      </c>
      <c r="C62" s="37" t="inlineStr">
        <is>
          <t>ISREALIZABILITYCHG</t>
        </is>
      </c>
      <c r="D62" s="37" t="inlineStr">
        <is>
          <t>VARCHAR（8）</t>
        </is>
      </c>
      <c r="E62" s="37" t="inlineStr">
        <is>
          <t>YES</t>
        </is>
      </c>
      <c r="F62" s="38" t="inlineStr">
        <is>
          <t>抵质押物变现能力是否存在重大变化</t>
        </is>
      </c>
      <c r="G62" s="56" t="n"/>
      <c r="H62" s="60" t="n"/>
      <c r="I62" s="94" t="n"/>
      <c r="J62" s="183" t="n">
        <v>45740</v>
      </c>
      <c r="K62" s="178" t="n"/>
    </row>
    <row r="63">
      <c r="B63" s="37" t="inlineStr">
        <is>
          <t>clr_evaluation_appl</t>
        </is>
      </c>
      <c r="C63" s="37" t="inlineStr">
        <is>
          <t>ISCLRSEIZURE</t>
        </is>
      </c>
      <c r="D63" s="37" t="inlineStr">
        <is>
          <t>VARCHAR（8）</t>
        </is>
      </c>
      <c r="E63" s="37" t="inlineStr">
        <is>
          <t>YES</t>
        </is>
      </c>
      <c r="F63" s="38" t="inlineStr">
        <is>
          <t>抵押财产是否被查封、扣押等财产保全或者执行措施的</t>
        </is>
      </c>
      <c r="G63" s="56" t="n"/>
      <c r="H63" s="60" t="n"/>
      <c r="I63" s="94" t="n"/>
      <c r="J63" s="183" t="n">
        <v>45740</v>
      </c>
      <c r="K63" s="178" t="n"/>
    </row>
    <row r="64">
      <c r="B64" s="37" t="inlineStr">
        <is>
          <t>clr_evaluation_appl</t>
        </is>
      </c>
      <c r="C64" s="37" t="inlineStr">
        <is>
          <t>ISCLRSUFFICIENT</t>
        </is>
      </c>
      <c r="D64" s="37" t="inlineStr">
        <is>
          <t>VARCHAR（8）</t>
        </is>
      </c>
      <c r="E64" s="37" t="inlineStr">
        <is>
          <t>YES</t>
        </is>
      </c>
      <c r="F64" s="38" t="inlineStr">
        <is>
          <t>抵押物为在建工程的，抵押价值是否充足。</t>
        </is>
      </c>
      <c r="G64" s="56" t="n"/>
      <c r="H64" s="60" t="n"/>
      <c r="I64" s="94" t="n"/>
      <c r="J64" s="183" t="n">
        <v>45740</v>
      </c>
      <c r="K64" s="178" t="n"/>
    </row>
    <row r="65">
      <c r="B65" s="37" t="inlineStr">
        <is>
          <t>clr_evaluation_appl</t>
        </is>
      </c>
      <c r="C65" s="37" t="inlineStr">
        <is>
          <t>ISCLRSUPPLIED</t>
        </is>
      </c>
      <c r="D65" s="37" t="inlineStr">
        <is>
          <t>VARCHAR（8）</t>
        </is>
      </c>
      <c r="E65" s="37" t="inlineStr">
        <is>
          <t>YES</t>
        </is>
      </c>
      <c r="F65" s="38" t="inlineStr">
        <is>
          <t>不足的是否形成新增资产，是否进行抵押登记办理补足抵押物价值。</t>
        </is>
      </c>
      <c r="G65" s="56" t="n"/>
      <c r="H65" s="60" t="n"/>
      <c r="I65" s="94" t="n"/>
      <c r="J65" s="183" t="n">
        <v>45740</v>
      </c>
      <c r="K65" s="178" t="n"/>
    </row>
    <row r="66">
      <c r="B66" s="37" t="inlineStr">
        <is>
          <t>clr_evaluation_appl</t>
        </is>
      </c>
      <c r="C66" s="37" t="inlineStr">
        <is>
          <t>ISREGISTED</t>
        </is>
      </c>
      <c r="D66" s="37" t="inlineStr">
        <is>
          <t>VARCHAR（8）</t>
        </is>
      </c>
      <c r="E66" s="37" t="inlineStr">
        <is>
          <t>YES</t>
        </is>
      </c>
      <c r="F66" s="38" t="inlineStr">
        <is>
          <t>如完工的，是否已重新办理全部资产的抵押登记。</t>
        </is>
      </c>
      <c r="G66" s="56" t="n"/>
      <c r="H66" s="60" t="n"/>
      <c r="I66" s="94" t="n"/>
      <c r="J66" s="183" t="n">
        <v>45740</v>
      </c>
      <c r="K66" s="178" t="n"/>
    </row>
    <row r="67">
      <c r="B67" s="37" t="inlineStr">
        <is>
          <t>clr_evaluation_appl</t>
        </is>
      </c>
      <c r="C67" s="37" t="inlineStr">
        <is>
          <t>ISBROKEN</t>
        </is>
      </c>
      <c r="D67" s="37" t="inlineStr">
        <is>
          <t>VARCHAR（8）</t>
        </is>
      </c>
      <c r="E67" s="37" t="inlineStr">
        <is>
          <t>YES</t>
        </is>
      </c>
      <c r="F67" s="38" t="inlineStr">
        <is>
          <t>抵押财产是否存在损毁、灭失等</t>
        </is>
      </c>
      <c r="G67" s="56" t="n"/>
      <c r="H67" s="60" t="n"/>
      <c r="I67" s="94" t="n"/>
      <c r="J67" s="183" t="n">
        <v>45740</v>
      </c>
      <c r="K67" s="178" t="n"/>
    </row>
    <row r="68">
      <c r="B68" s="37" t="inlineStr">
        <is>
          <t>clr_evaluation_appl</t>
        </is>
      </c>
      <c r="C68" s="37" t="inlineStr">
        <is>
          <t>ISINSURANCEFEECTIVE</t>
        </is>
      </c>
      <c r="D68" s="37" t="inlineStr">
        <is>
          <t>VARCHAR（8）</t>
        </is>
      </c>
      <c r="E68" s="37" t="inlineStr">
        <is>
          <t>YES</t>
        </is>
      </c>
      <c r="F68" s="38" t="inlineStr">
        <is>
          <t>抵押财产购买保险的，保险是否在有效期内；如超期是否完成续保</t>
        </is>
      </c>
      <c r="G68" s="56" t="n"/>
      <c r="H68" s="60" t="n"/>
      <c r="I68" s="94" t="n"/>
      <c r="J68" s="183" t="n">
        <v>45740</v>
      </c>
      <c r="K68" s="178" t="n"/>
    </row>
    <row r="69">
      <c r="B69" s="37" t="inlineStr">
        <is>
          <t>clr_evaluation_appl</t>
        </is>
      </c>
      <c r="C69" s="37" t="inlineStr">
        <is>
          <t>ISBILLEFFECTIVE</t>
        </is>
      </c>
      <c r="D69" s="37" t="inlineStr">
        <is>
          <t>VARCHAR（8）</t>
        </is>
      </c>
      <c r="E69" s="37" t="inlineStr">
        <is>
          <t>YES</t>
        </is>
      </c>
      <c r="F69" s="38" t="inlineStr">
        <is>
          <t>质押财产为银票、商票的，票据是否到期，是否已转入保证金户继续为我行业务提供担保</t>
        </is>
      </c>
      <c r="G69" s="56" t="n"/>
      <c r="H69" s="60" t="n"/>
      <c r="I69" s="94" t="n"/>
      <c r="J69" s="183" t="n">
        <v>45740</v>
      </c>
      <c r="K69" s="178" t="n"/>
    </row>
    <row r="70">
      <c r="B70" s="37" t="inlineStr">
        <is>
          <t>clr_evaluation_appl</t>
        </is>
      </c>
      <c r="C70" s="37" t="inlineStr">
        <is>
          <t>MEMO</t>
        </is>
      </c>
      <c r="D70" s="37" t="inlineStr">
        <is>
          <t>VARCHAR（500）</t>
        </is>
      </c>
      <c r="E70" s="37" t="inlineStr">
        <is>
          <t>YES</t>
        </is>
      </c>
      <c r="F70" s="38" t="inlineStr">
        <is>
          <t>其他需核查的问题</t>
        </is>
      </c>
      <c r="G70" s="56" t="n"/>
      <c r="H70" s="60" t="n"/>
      <c r="I70" s="94" t="n"/>
      <c r="J70" s="183" t="n">
        <v>45740</v>
      </c>
      <c r="K70" s="179" t="n"/>
    </row>
  </sheetData>
  <mergeCells count="1">
    <mergeCell ref="K59:K70"/>
  </mergeCells>
  <pageMargins left="0.75" right="0.75" top="1" bottom="1" header="0.5" footer="0.5"/>
  <pageSetup orientation="portrait" paperSize="1" horizontalDpi="300" verticalDpi="300"/>
</worksheet>
</file>

<file path=xl/worksheets/sheet79.xml><?xml version="1.0" encoding="utf-8"?>
<worksheet xmlns="http://schemas.openxmlformats.org/spreadsheetml/2006/main">
  <sheetPr>
    <outlinePr summaryBelow="1" summaryRight="1"/>
    <pageSetUpPr/>
  </sheetPr>
  <dimension ref="A1:J39"/>
  <sheetViews>
    <sheetView zoomScale="143" zoomScaleNormal="143" zoomScaleSheetLayoutView="60" workbookViewId="0">
      <selection activeCell="A1" sqref="A1"/>
    </sheetView>
  </sheetViews>
  <sheetFormatPr baseColWidth="8" defaultColWidth="9.142857142857141" defaultRowHeight="15.2"/>
  <cols>
    <col width="19.5357142857143" customWidth="1" style="170" min="2" max="2"/>
    <col width="24.2857142857143" customWidth="1" style="170" min="3" max="3"/>
    <col width="15.625" customWidth="1" style="170" min="4"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估值数据记录表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clr_evaluation_data</t>
        </is>
      </c>
      <c r="C3" s="24" t="inlineStr">
        <is>
          <t>EVALDATEID</t>
        </is>
      </c>
      <c r="D3" s="24" t="inlineStr">
        <is>
          <t>varchar(32)</t>
        </is>
      </c>
      <c r="E3" s="24" t="inlineStr">
        <is>
          <t>NO</t>
        </is>
      </c>
      <c r="F3" s="24" t="inlineStr">
        <is>
          <t>模型评级记录流水号</t>
        </is>
      </c>
      <c r="G3" s="24" t="n"/>
      <c r="H3" s="24" t="n"/>
      <c r="I3" s="24" t="inlineStr"/>
      <c r="J3" s="24" t="inlineStr">
        <is>
          <t>2023/01/12</t>
        </is>
      </c>
    </row>
    <row r="4">
      <c r="B4" s="24" t="inlineStr">
        <is>
          <t>clr_evaluation_data</t>
        </is>
      </c>
      <c r="C4" s="24" t="inlineStr">
        <is>
          <t>SOURCESYSTEM</t>
        </is>
      </c>
      <c r="D4" s="24" t="inlineStr">
        <is>
          <t>varchar(32)</t>
        </is>
      </c>
      <c r="E4" s="24" t="inlineStr">
        <is>
          <t>YES</t>
        </is>
      </c>
      <c r="F4" s="24" t="inlineStr">
        <is>
          <t>调用来源</t>
        </is>
      </c>
      <c r="G4" s="24" t="n"/>
      <c r="H4" s="24" t="n"/>
      <c r="I4" s="24" t="inlineStr"/>
      <c r="J4" s="24" t="inlineStr">
        <is>
          <t>2023/01/12</t>
        </is>
      </c>
    </row>
    <row r="5">
      <c r="B5" s="24" t="inlineStr">
        <is>
          <t>clr_evaluation_data</t>
        </is>
      </c>
      <c r="C5" s="24" t="inlineStr">
        <is>
          <t>EVALAPPLID</t>
        </is>
      </c>
      <c r="D5" s="24" t="inlineStr">
        <is>
          <t>varchar(32)</t>
        </is>
      </c>
      <c r="E5" s="24" t="inlineStr">
        <is>
          <t>YES</t>
        </is>
      </c>
      <c r="F5" s="24" t="inlineStr">
        <is>
          <t>评级申请流水号</t>
        </is>
      </c>
      <c r="G5" s="24" t="n"/>
      <c r="H5" s="24" t="n"/>
      <c r="I5" s="24" t="inlineStr"/>
      <c r="J5" s="24" t="inlineStr">
        <is>
          <t>2023/01/12</t>
        </is>
      </c>
    </row>
    <row r="6">
      <c r="B6" s="24" t="inlineStr">
        <is>
          <t>clr_evaluation_data</t>
        </is>
      </c>
      <c r="C6" s="24" t="inlineStr">
        <is>
          <t>CLRID</t>
        </is>
      </c>
      <c r="D6" s="24" t="inlineStr">
        <is>
          <t>varchar(32)</t>
        </is>
      </c>
      <c r="E6" s="24" t="inlineStr">
        <is>
          <t>YES</t>
        </is>
      </c>
      <c r="F6" s="24" t="inlineStr">
        <is>
          <t>押品编号</t>
        </is>
      </c>
      <c r="G6" s="24" t="n"/>
      <c r="H6" s="24" t="n"/>
      <c r="I6" s="24" t="inlineStr"/>
      <c r="J6" s="24" t="inlineStr">
        <is>
          <t>2023/01/12</t>
        </is>
      </c>
    </row>
    <row r="7">
      <c r="B7" s="24" t="inlineStr">
        <is>
          <t>clr_evaluation_data</t>
        </is>
      </c>
      <c r="C7" s="24" t="inlineStr">
        <is>
          <t>EVALCURRENCY</t>
        </is>
      </c>
      <c r="D7" s="24" t="inlineStr">
        <is>
          <t>varchar(18)</t>
        </is>
      </c>
      <c r="E7" s="24" t="inlineStr">
        <is>
          <t>YES</t>
        </is>
      </c>
      <c r="F7" s="24" t="inlineStr">
        <is>
          <t>评级币种</t>
        </is>
      </c>
      <c r="G7" s="24" t="n"/>
      <c r="H7" s="24" t="n"/>
      <c r="I7" s="24" t="inlineStr"/>
      <c r="J7" s="24" t="inlineStr">
        <is>
          <t>2023/01/12</t>
        </is>
      </c>
    </row>
    <row r="8">
      <c r="B8" s="24" t="inlineStr">
        <is>
          <t>clr_evaluation_data</t>
        </is>
      </c>
      <c r="C8" s="24" t="inlineStr">
        <is>
          <t>EVALSTYLE</t>
        </is>
      </c>
      <c r="D8" s="24" t="inlineStr">
        <is>
          <t>varchar(6)</t>
        </is>
      </c>
      <c r="E8" s="24" t="inlineStr">
        <is>
          <t>YES</t>
        </is>
      </c>
      <c r="F8" s="24" t="inlineStr">
        <is>
          <t>评级类型;内部/外部）</t>
        </is>
      </c>
      <c r="G8" s="24" t="n"/>
      <c r="H8" s="24" t="n"/>
      <c r="I8" s="24" t="inlineStr"/>
      <c r="J8" s="24" t="inlineStr">
        <is>
          <t>2023/01/12</t>
        </is>
      </c>
    </row>
    <row r="9">
      <c r="B9" s="24" t="inlineStr">
        <is>
          <t>clr_evaluation_data</t>
        </is>
      </c>
      <c r="C9" s="24" t="inlineStr">
        <is>
          <t>EVALMODEL</t>
        </is>
      </c>
      <c r="D9" s="24" t="inlineStr">
        <is>
          <t>varchar(32)</t>
        </is>
      </c>
      <c r="E9" s="24" t="inlineStr">
        <is>
          <t>YES</t>
        </is>
      </c>
      <c r="F9" s="24" t="inlineStr">
        <is>
          <t>内部估值模型编号</t>
        </is>
      </c>
      <c r="G9" s="24" t="n"/>
      <c r="H9" s="24" t="n"/>
      <c r="I9" s="24" t="inlineStr"/>
      <c r="J9" s="24" t="inlineStr">
        <is>
          <t>2023/01/12</t>
        </is>
      </c>
    </row>
    <row r="10">
      <c r="B10" s="24" t="inlineStr">
        <is>
          <t>clr_evaluation_data</t>
        </is>
      </c>
      <c r="C10" s="24" t="inlineStr">
        <is>
          <t>EVALMODELVERSION</t>
        </is>
      </c>
      <c r="D10" s="24" t="inlineStr">
        <is>
          <t>varchar(32)</t>
        </is>
      </c>
      <c r="E10" s="24" t="inlineStr">
        <is>
          <t>YES</t>
        </is>
      </c>
      <c r="F10" s="24" t="inlineStr">
        <is>
          <t>内部估值模型版本号</t>
        </is>
      </c>
      <c r="G10" s="24" t="n"/>
      <c r="H10" s="24" t="n"/>
      <c r="I10" s="24" t="inlineStr"/>
      <c r="J10" s="24" t="inlineStr">
        <is>
          <t>2023/01/12</t>
        </is>
      </c>
    </row>
    <row r="11">
      <c r="B11" s="24" t="inlineStr">
        <is>
          <t>clr_evaluation_data</t>
        </is>
      </c>
      <c r="C11" s="24" t="inlineStr">
        <is>
          <t>EVALTEXT</t>
        </is>
      </c>
      <c r="D11" s="24" t="inlineStr">
        <is>
          <t>text</t>
        </is>
      </c>
      <c r="E11" s="24" t="inlineStr">
        <is>
          <t>YES</t>
        </is>
      </c>
      <c r="F11" s="24" t="inlineStr">
        <is>
          <t>内部估值评估结果文本</t>
        </is>
      </c>
      <c r="G11" s="24" t="n"/>
      <c r="H11" s="24" t="n"/>
      <c r="I11" s="24" t="inlineStr"/>
      <c r="J11" s="24" t="inlineStr">
        <is>
          <t>2023/01/12</t>
        </is>
      </c>
    </row>
    <row r="12">
      <c r="B12" s="24" t="inlineStr">
        <is>
          <t>clr_evaluation_data</t>
        </is>
      </c>
      <c r="C12" s="24" t="inlineStr">
        <is>
          <t>EVALASSUEXPLAIN</t>
        </is>
      </c>
      <c r="D12" s="24" t="inlineStr">
        <is>
          <t>varchar(1000)</t>
        </is>
      </c>
      <c r="E12" s="24" t="inlineStr">
        <is>
          <t>YES</t>
        </is>
      </c>
      <c r="F12" s="24" t="inlineStr">
        <is>
          <t>评估假设说明</t>
        </is>
      </c>
      <c r="G12" s="24" t="n"/>
      <c r="H12" s="24" t="n"/>
      <c r="I12" s="24" t="inlineStr"/>
      <c r="J12" s="24" t="inlineStr">
        <is>
          <t>2023/01/12</t>
        </is>
      </c>
    </row>
    <row r="13">
      <c r="B13" s="24" t="inlineStr">
        <is>
          <t>clr_evaluation_data</t>
        </is>
      </c>
      <c r="C13" s="24" t="inlineStr">
        <is>
          <t>EVALMETHODEXPLAIN</t>
        </is>
      </c>
      <c r="D13" s="24" t="inlineStr">
        <is>
          <t>varchar(1000)</t>
        </is>
      </c>
      <c r="E13" s="24" t="inlineStr">
        <is>
          <t>YES</t>
        </is>
      </c>
      <c r="F13" s="24" t="inlineStr">
        <is>
          <t>评估方法说明</t>
        </is>
      </c>
      <c r="G13" s="24" t="n"/>
      <c r="H13" s="24" t="n"/>
      <c r="I13" s="24" t="inlineStr"/>
      <c r="J13" s="24" t="inlineStr">
        <is>
          <t>2023/01/12</t>
        </is>
      </c>
    </row>
    <row r="14">
      <c r="B14" s="24" t="inlineStr">
        <is>
          <t>clr_evaluation_data</t>
        </is>
      </c>
      <c r="C14" s="24" t="inlineStr">
        <is>
          <t>EVALPRIORITYCOMP</t>
        </is>
      </c>
      <c r="D14" s="24" t="inlineStr">
        <is>
          <t>varchar(1000)</t>
        </is>
      </c>
      <c r="E14" s="24" t="inlineStr">
        <is>
          <t>YES</t>
        </is>
      </c>
      <c r="F14" s="24" t="inlineStr">
        <is>
          <t>优先受偿权分析</t>
        </is>
      </c>
      <c r="G14" s="24" t="n"/>
      <c r="H14" s="24" t="n"/>
      <c r="I14" s="24" t="inlineStr"/>
      <c r="J14" s="24" t="inlineStr">
        <is>
          <t>2023/01/12</t>
        </is>
      </c>
    </row>
    <row r="15">
      <c r="B15" s="24" t="inlineStr">
        <is>
          <t>clr_evaluation_data</t>
        </is>
      </c>
      <c r="C15" s="24" t="inlineStr">
        <is>
          <t>EVALDISPOSALDISC</t>
        </is>
      </c>
      <c r="D15" s="24" t="inlineStr">
        <is>
          <t>varchar(1000)</t>
        </is>
      </c>
      <c r="E15" s="24" t="inlineStr">
        <is>
          <t>YES</t>
        </is>
      </c>
      <c r="F15" s="24" t="inlineStr">
        <is>
          <t>处置折扣分析</t>
        </is>
      </c>
      <c r="G15" s="24" t="n"/>
      <c r="H15" s="24" t="n"/>
      <c r="I15" s="24" t="inlineStr"/>
      <c r="J15" s="24" t="inlineStr">
        <is>
          <t>2023/01/12</t>
        </is>
      </c>
    </row>
    <row r="16">
      <c r="B16" s="24" t="inlineStr">
        <is>
          <t>clr_evaluation_data</t>
        </is>
      </c>
      <c r="C16" s="24" t="inlineStr">
        <is>
          <t>EVALINTERNALRESULT</t>
        </is>
      </c>
      <c r="D16" s="24" t="inlineStr">
        <is>
          <t>decimal(24,6)</t>
        </is>
      </c>
      <c r="E16" s="24" t="inlineStr">
        <is>
          <t>YES</t>
        </is>
      </c>
      <c r="F16" s="24" t="inlineStr">
        <is>
          <t>内部模型估值结果</t>
        </is>
      </c>
      <c r="G16" s="24" t="n"/>
      <c r="H16" s="24" t="n"/>
      <c r="I16" s="24" t="inlineStr"/>
      <c r="J16" s="24" t="inlineStr">
        <is>
          <t>2023/01/12</t>
        </is>
      </c>
    </row>
    <row r="17">
      <c r="B17" s="24" t="inlineStr">
        <is>
          <t>clr_evaluation_data</t>
        </is>
      </c>
      <c r="C17" s="24" t="inlineStr">
        <is>
          <t>ADJUSTRESULT</t>
        </is>
      </c>
      <c r="D17" s="24" t="inlineStr">
        <is>
          <t>decimal(24,6)</t>
        </is>
      </c>
      <c r="E17" s="24" t="inlineStr">
        <is>
          <t>YES</t>
        </is>
      </c>
      <c r="F17" s="24" t="inlineStr">
        <is>
          <t>内部估值结果确认</t>
        </is>
      </c>
      <c r="G17" s="24" t="n"/>
      <c r="H17" s="24" t="n"/>
      <c r="I17" s="24" t="inlineStr"/>
      <c r="J17" s="24" t="inlineStr">
        <is>
          <t>2023/01/12</t>
        </is>
      </c>
    </row>
    <row r="18">
      <c r="B18" s="24" t="inlineStr">
        <is>
          <t>clr_evaluation_data</t>
        </is>
      </c>
      <c r="C18" s="24" t="inlineStr">
        <is>
          <t>EVALWEIGHT</t>
        </is>
      </c>
      <c r="D18" s="24" t="inlineStr">
        <is>
          <t>decimal(18,8)</t>
        </is>
      </c>
      <c r="E18" s="24" t="inlineStr">
        <is>
          <t>YES</t>
        </is>
      </c>
      <c r="F18" s="24" t="inlineStr">
        <is>
          <t>外部模型权重</t>
        </is>
      </c>
      <c r="G18" s="24" t="n"/>
      <c r="H18" s="24" t="n"/>
      <c r="I18" s="24" t="inlineStr"/>
      <c r="J18" s="24" t="inlineStr">
        <is>
          <t>2023/01/12</t>
        </is>
      </c>
    </row>
    <row r="19">
      <c r="B19" s="24" t="inlineStr">
        <is>
          <t>clr_evaluation_data</t>
        </is>
      </c>
      <c r="C19" s="24" t="inlineStr">
        <is>
          <t>EVALWEIGHTEXPLAIN</t>
        </is>
      </c>
      <c r="D19" s="24" t="inlineStr">
        <is>
          <t>varchar(1000)</t>
        </is>
      </c>
      <c r="E19" s="24" t="inlineStr">
        <is>
          <t>YES</t>
        </is>
      </c>
      <c r="F19" s="24" t="inlineStr">
        <is>
          <t>权重比列配置说明</t>
        </is>
      </c>
      <c r="G19" s="24" t="n"/>
      <c r="H19" s="24" t="n"/>
      <c r="I19" s="24" t="inlineStr"/>
      <c r="J19" s="24" t="inlineStr">
        <is>
          <t>2023/01/12</t>
        </is>
      </c>
    </row>
    <row r="20">
      <c r="B20" s="24" t="inlineStr">
        <is>
          <t>clr_evaluation_data</t>
        </is>
      </c>
      <c r="C20" s="24" t="inlineStr">
        <is>
          <t>EVALINTEGRATEDRESULT</t>
        </is>
      </c>
      <c r="D20" s="24" t="inlineStr">
        <is>
          <t>decimal(24,6)</t>
        </is>
      </c>
      <c r="E20" s="24" t="inlineStr">
        <is>
          <t>YES</t>
        </is>
      </c>
      <c r="F20" s="24" t="inlineStr">
        <is>
          <t>综合估值结果</t>
        </is>
      </c>
      <c r="G20" s="24" t="n"/>
      <c r="H20" s="24" t="n"/>
      <c r="I20" s="24" t="inlineStr"/>
      <c r="J20" s="24" t="inlineStr">
        <is>
          <t>2023/01/12</t>
        </is>
      </c>
    </row>
    <row r="21">
      <c r="B21" s="24" t="inlineStr">
        <is>
          <t>clr_evaluation_data</t>
        </is>
      </c>
      <c r="C21" s="24" t="inlineStr">
        <is>
          <t>VALIDATETIME</t>
        </is>
      </c>
      <c r="D21" s="24" t="inlineStr">
        <is>
          <t>datetime</t>
        </is>
      </c>
      <c r="E21" s="24" t="inlineStr">
        <is>
          <t>YES</t>
        </is>
      </c>
      <c r="F21" s="24" t="inlineStr">
        <is>
          <t>评估有效期</t>
        </is>
      </c>
      <c r="G21" s="24" t="n"/>
      <c r="H21" s="24" t="n"/>
      <c r="I21" s="24" t="inlineStr"/>
      <c r="J21" s="24" t="inlineStr">
        <is>
          <t>2023/01/12</t>
        </is>
      </c>
    </row>
    <row r="22">
      <c r="B22" s="24" t="inlineStr">
        <is>
          <t>clr_evaluation_data</t>
        </is>
      </c>
      <c r="C22" s="24" t="inlineStr">
        <is>
          <t>SAVEFLAG</t>
        </is>
      </c>
      <c r="D22" s="24" t="inlineStr">
        <is>
          <t>char(1)</t>
        </is>
      </c>
      <c r="E22" s="24" t="inlineStr">
        <is>
          <t>YES</t>
        </is>
      </c>
      <c r="F22" s="24" t="inlineStr">
        <is>
          <t>保存完成标志</t>
        </is>
      </c>
      <c r="G22" s="24" t="n"/>
      <c r="H22" s="24" t="n"/>
      <c r="I22" s="24" t="inlineStr"/>
      <c r="J22" s="24" t="inlineStr">
        <is>
          <t>2023/01/12</t>
        </is>
      </c>
    </row>
    <row r="23">
      <c r="B23" s="24" t="inlineStr">
        <is>
          <t>clr_evaluation_data</t>
        </is>
      </c>
      <c r="C23" s="24" t="inlineStr">
        <is>
          <t>CALCFLAG</t>
        </is>
      </c>
      <c r="D23" s="24" t="inlineStr">
        <is>
          <t>char(1)</t>
        </is>
      </c>
      <c r="E23" s="24" t="inlineStr">
        <is>
          <t>YES</t>
        </is>
      </c>
      <c r="F23" s="24" t="inlineStr">
        <is>
          <t>计算完成标志</t>
        </is>
      </c>
      <c r="G23" s="24" t="n"/>
      <c r="H23" s="24" t="n"/>
      <c r="I23" s="24" t="inlineStr"/>
      <c r="J23" s="24" t="inlineStr">
        <is>
          <t>2023/01/12</t>
        </is>
      </c>
    </row>
    <row r="24">
      <c r="B24" s="24" t="inlineStr">
        <is>
          <t>clr_evaluation_data</t>
        </is>
      </c>
      <c r="C24" s="24" t="inlineStr">
        <is>
          <t>DEBTOR</t>
        </is>
      </c>
      <c r="D24" s="24" t="inlineStr">
        <is>
          <t>varchar(80)</t>
        </is>
      </c>
      <c r="E24" s="24" t="inlineStr">
        <is>
          <t>YES</t>
        </is>
      </c>
      <c r="F24" s="24" t="inlineStr">
        <is>
          <t>主债务人</t>
        </is>
      </c>
      <c r="G24" s="24" t="n"/>
      <c r="H24" s="24" t="n"/>
      <c r="I24" s="24" t="inlineStr"/>
      <c r="J24" s="24" t="inlineStr">
        <is>
          <t>2023/01/12</t>
        </is>
      </c>
    </row>
    <row r="25">
      <c r="B25" s="24" t="inlineStr">
        <is>
          <t>clr_evaluation_data</t>
        </is>
      </c>
      <c r="C25" s="24" t="inlineStr">
        <is>
          <t>OWNERSTATUS</t>
        </is>
      </c>
      <c r="D25" s="24" t="inlineStr">
        <is>
          <t>varchar(6)</t>
        </is>
      </c>
      <c r="E25" s="24" t="inlineStr">
        <is>
          <t>YES</t>
        </is>
      </c>
      <c r="F25" s="24" t="inlineStr">
        <is>
          <t>抵质押品权属状况</t>
        </is>
      </c>
      <c r="G25" s="24" t="n"/>
      <c r="H25" s="24" t="n"/>
      <c r="I25" s="24" t="inlineStr"/>
      <c r="J25" s="24" t="inlineStr">
        <is>
          <t>2023/01/12</t>
        </is>
      </c>
    </row>
    <row r="26">
      <c r="B26" s="24" t="inlineStr">
        <is>
          <t>clr_evaluation_data</t>
        </is>
      </c>
      <c r="C26" s="24" t="inlineStr">
        <is>
          <t>PRIORITYCLAIM</t>
        </is>
      </c>
      <c r="D26" s="24" t="inlineStr">
        <is>
          <t>varchar(6)</t>
        </is>
      </c>
      <c r="E26" s="24" t="inlineStr">
        <is>
          <t>YES</t>
        </is>
      </c>
      <c r="F26" s="24" t="inlineStr">
        <is>
          <t>顺位情况</t>
        </is>
      </c>
      <c r="G26" s="24" t="n"/>
      <c r="H26" s="24" t="n"/>
      <c r="I26" s="24" t="inlineStr"/>
      <c r="J26" s="24" t="inlineStr">
        <is>
          <t>2023/01/12</t>
        </is>
      </c>
    </row>
    <row r="27">
      <c r="B27" s="24" t="inlineStr">
        <is>
          <t>clr_evaluation_data</t>
        </is>
      </c>
      <c r="C27" s="24" t="inlineStr">
        <is>
          <t>ABNORMALREASON</t>
        </is>
      </c>
      <c r="D27" s="24" t="inlineStr">
        <is>
          <t>varchar(1000)</t>
        </is>
      </c>
      <c r="E27" s="24" t="inlineStr">
        <is>
          <t>YES</t>
        </is>
      </c>
      <c r="F27" s="24" t="inlineStr">
        <is>
          <t>异常原因</t>
        </is>
      </c>
      <c r="G27" s="24" t="n"/>
      <c r="H27" s="24" t="n"/>
      <c r="I27" s="24" t="inlineStr"/>
      <c r="J27" s="24" t="inlineStr">
        <is>
          <t>2023/01/12</t>
        </is>
      </c>
    </row>
    <row r="28">
      <c r="B28" s="24" t="inlineStr">
        <is>
          <t>clr_evaluation_data</t>
        </is>
      </c>
      <c r="C28" s="24" t="inlineStr">
        <is>
          <t>FLOWSTEP</t>
        </is>
      </c>
      <c r="D28" s="24" t="inlineStr">
        <is>
          <t>int</t>
        </is>
      </c>
      <c r="E28" s="24" t="inlineStr">
        <is>
          <t>YES</t>
        </is>
      </c>
      <c r="F28" s="24" t="inlineStr">
        <is>
          <t>流程阶段</t>
        </is>
      </c>
      <c r="G28" s="24" t="n"/>
      <c r="H28" s="24" t="n"/>
      <c r="I28" s="24" t="inlineStr"/>
      <c r="J28" s="24" t="inlineStr">
        <is>
          <t>2023/01/12</t>
        </is>
      </c>
    </row>
    <row r="29">
      <c r="B29" s="24" t="inlineStr">
        <is>
          <t>clr_evaluation_data</t>
        </is>
      </c>
      <c r="C29" s="24" t="inlineStr">
        <is>
          <t>OLDCLRID</t>
        </is>
      </c>
      <c r="D29" s="24" t="inlineStr">
        <is>
          <t>varchar(32)</t>
        </is>
      </c>
      <c r="E29" s="24" t="inlineStr">
        <is>
          <t>YES</t>
        </is>
      </c>
      <c r="F29" s="24" t="inlineStr">
        <is>
          <t>合并前押品编号</t>
        </is>
      </c>
      <c r="G29" s="24" t="n"/>
      <c r="H29" s="24" t="n"/>
      <c r="I29" s="24" t="inlineStr"/>
      <c r="J29" s="24" t="inlineStr">
        <is>
          <t>2023/01/12</t>
        </is>
      </c>
    </row>
    <row r="30">
      <c r="B30" s="24" t="inlineStr">
        <is>
          <t>clr_evaluation_data</t>
        </is>
      </c>
      <c r="C30" s="24" t="inlineStr">
        <is>
          <t>INPUTORGID</t>
        </is>
      </c>
      <c r="D30" s="24" t="inlineStr">
        <is>
          <t>varchar(32)</t>
        </is>
      </c>
      <c r="E30" s="24" t="inlineStr">
        <is>
          <t>YES</t>
        </is>
      </c>
      <c r="F30" s="24" t="inlineStr">
        <is>
          <t>登记机构</t>
        </is>
      </c>
      <c r="G30" s="24" t="n"/>
      <c r="H30" s="24" t="n"/>
      <c r="I30" s="24" t="inlineStr"/>
      <c r="J30" s="24" t="inlineStr">
        <is>
          <t>2023/01/12</t>
        </is>
      </c>
    </row>
    <row r="31">
      <c r="B31" s="24" t="inlineStr">
        <is>
          <t>clr_evaluation_data</t>
        </is>
      </c>
      <c r="C31" s="24" t="inlineStr">
        <is>
          <t>INPUTUSERID</t>
        </is>
      </c>
      <c r="D31" s="24" t="inlineStr">
        <is>
          <t>varchar(32)</t>
        </is>
      </c>
      <c r="E31" s="24" t="inlineStr">
        <is>
          <t>YES</t>
        </is>
      </c>
      <c r="F31" s="24" t="inlineStr">
        <is>
          <t>登记人</t>
        </is>
      </c>
      <c r="G31" s="24" t="n"/>
      <c r="H31" s="24" t="n"/>
      <c r="I31" s="24" t="inlineStr"/>
      <c r="J31" s="24" t="inlineStr">
        <is>
          <t>2023/01/12</t>
        </is>
      </c>
    </row>
    <row r="32">
      <c r="B32" s="24" t="inlineStr">
        <is>
          <t>clr_evaluation_data</t>
        </is>
      </c>
      <c r="C32" s="24" t="inlineStr">
        <is>
          <t>INPUTDATE</t>
        </is>
      </c>
      <c r="D32" s="24" t="inlineStr">
        <is>
          <t>datetime</t>
        </is>
      </c>
      <c r="E32" s="24" t="inlineStr">
        <is>
          <t>YES</t>
        </is>
      </c>
      <c r="F32" s="24" t="inlineStr">
        <is>
          <t>登记日期</t>
        </is>
      </c>
      <c r="G32" s="24" t="n"/>
      <c r="H32" s="24" t="n"/>
      <c r="I32" s="24" t="inlineStr"/>
      <c r="J32" s="24" t="inlineStr">
        <is>
          <t>2023/01/12</t>
        </is>
      </c>
    </row>
    <row r="33">
      <c r="B33" s="24" t="inlineStr">
        <is>
          <t>clr_evaluation_data</t>
        </is>
      </c>
      <c r="C33" s="24" t="inlineStr">
        <is>
          <t>UPDATEORGID</t>
        </is>
      </c>
      <c r="D33" s="24" t="inlineStr">
        <is>
          <t>varchar(32)</t>
        </is>
      </c>
      <c r="E33" s="24" t="inlineStr">
        <is>
          <t>YES</t>
        </is>
      </c>
      <c r="F33" s="24" t="inlineStr">
        <is>
          <t>更新机构</t>
        </is>
      </c>
      <c r="G33" s="24" t="n"/>
      <c r="H33" s="24" t="n"/>
      <c r="I33" s="24" t="inlineStr"/>
      <c r="J33" s="24" t="inlineStr">
        <is>
          <t>2023/01/12</t>
        </is>
      </c>
    </row>
    <row r="34">
      <c r="B34" s="24" t="inlineStr">
        <is>
          <t>clr_evaluation_data</t>
        </is>
      </c>
      <c r="C34" s="24" t="inlineStr">
        <is>
          <t>UPDATEUSERID</t>
        </is>
      </c>
      <c r="D34" s="24" t="inlineStr">
        <is>
          <t>varchar(32)</t>
        </is>
      </c>
      <c r="E34" s="24" t="inlineStr">
        <is>
          <t>YES</t>
        </is>
      </c>
      <c r="F34" s="24" t="inlineStr">
        <is>
          <t>更新人</t>
        </is>
      </c>
      <c r="G34" s="24" t="n"/>
      <c r="H34" s="24" t="n"/>
      <c r="I34" s="24" t="inlineStr"/>
      <c r="J34" s="24" t="inlineStr">
        <is>
          <t>2023/01/12</t>
        </is>
      </c>
    </row>
    <row r="35">
      <c r="B35" s="24" t="inlineStr">
        <is>
          <t>clr_evaluation_data</t>
        </is>
      </c>
      <c r="C35" s="24" t="inlineStr">
        <is>
          <t>UPDATEDATE</t>
        </is>
      </c>
      <c r="D35" s="24" t="inlineStr">
        <is>
          <t>datetime</t>
        </is>
      </c>
      <c r="E35" s="24" t="inlineStr">
        <is>
          <t>YES</t>
        </is>
      </c>
      <c r="F35" s="24" t="inlineStr">
        <is>
          <t>更新日期</t>
        </is>
      </c>
      <c r="G35" s="24" t="n"/>
      <c r="H35" s="24" t="n"/>
      <c r="I35" s="24" t="inlineStr"/>
      <c r="J35" s="24" t="inlineStr">
        <is>
          <t>2023/01/12</t>
        </is>
      </c>
    </row>
    <row r="36">
      <c r="B36" s="24" t="inlineStr">
        <is>
          <t>clr_evaluation_data</t>
        </is>
      </c>
      <c r="C36" s="24" t="inlineStr">
        <is>
          <t>REMARK</t>
        </is>
      </c>
      <c r="D36" s="24" t="inlineStr">
        <is>
          <t>varchar(500)</t>
        </is>
      </c>
      <c r="E36" s="24" t="inlineStr">
        <is>
          <t>YES</t>
        </is>
      </c>
      <c r="F36" s="24" t="inlineStr">
        <is>
          <t>备注</t>
        </is>
      </c>
      <c r="G36" s="24" t="n"/>
      <c r="H36" s="24" t="n"/>
      <c r="I36" s="24" t="inlineStr"/>
      <c r="J36" s="24" t="inlineStr">
        <is>
          <t>2023/01/12</t>
        </is>
      </c>
    </row>
    <row r="37">
      <c r="B37" s="24" t="inlineStr">
        <is>
          <t>clr_evaluation_data</t>
        </is>
      </c>
      <c r="C37" s="24" t="inlineStr">
        <is>
          <t>CORPORGID</t>
        </is>
      </c>
      <c r="D37" s="24" t="inlineStr">
        <is>
          <t>varchar(32)</t>
        </is>
      </c>
      <c r="E37" s="24" t="inlineStr">
        <is>
          <t>YES</t>
        </is>
      </c>
      <c r="F37" s="24" t="inlineStr">
        <is>
          <t>法人机构编号</t>
        </is>
      </c>
      <c r="G37" s="24" t="n"/>
      <c r="H37" s="24" t="n"/>
      <c r="I37" s="24" t="inlineStr"/>
      <c r="J37" s="24" t="inlineStr">
        <is>
          <t>2023/01/12</t>
        </is>
      </c>
    </row>
    <row r="38">
      <c r="B38" s="109" t="inlineStr">
        <is>
          <t>clr_evaluation_data</t>
        </is>
      </c>
      <c r="C38" s="109" t="inlineStr">
        <is>
          <t>LOCALEVALTEXT</t>
        </is>
      </c>
      <c r="D38" s="109" t="inlineStr">
        <is>
          <t>varchar(4000)</t>
        </is>
      </c>
      <c r="E38" s="109" t="inlineStr">
        <is>
          <t>YES</t>
        </is>
      </c>
      <c r="F38" s="109" t="inlineStr">
        <is>
          <t>本地评估基础信息文本</t>
        </is>
      </c>
      <c r="G38" s="109" t="n"/>
      <c r="H38" s="109" t="n"/>
      <c r="I38" s="109" t="inlineStr"/>
      <c r="J38" s="109" t="inlineStr">
        <is>
          <t>2023/01/12</t>
        </is>
      </c>
    </row>
    <row r="39">
      <c r="B39" s="65" t="inlineStr">
        <is>
          <t>clr_evaluation_data</t>
        </is>
      </c>
      <c r="C39" s="60" t="inlineStr">
        <is>
          <t>CLRTYPEID</t>
        </is>
      </c>
      <c r="D39" s="65" t="inlineStr">
        <is>
          <t>varchar(32)</t>
        </is>
      </c>
      <c r="E39" s="65" t="inlineStr">
        <is>
          <t>YES</t>
        </is>
      </c>
      <c r="F39" s="59" t="inlineStr">
        <is>
          <t>押品分类</t>
        </is>
      </c>
      <c r="G39" s="60" t="n"/>
      <c r="H39" s="60" t="n"/>
      <c r="I39" s="60" t="n"/>
      <c r="J39" s="60" t="n"/>
    </row>
  </sheetData>
  <pageMargins left="0.75" right="0.75" top="1" bottom="1" header="0.5" footer="0.5"/>
  <pageSetup orientation="portrait" paperSize="1" horizontalDpi="300" verticalDpi="300"/>
</worksheet>
</file>

<file path=xl/worksheets/sheet80.xml><?xml version="1.0" encoding="utf-8"?>
<worksheet xmlns="http://schemas.openxmlformats.org/spreadsheetml/2006/main">
  <sheetPr>
    <outlinePr summaryBelow="1" summaryRight="1"/>
    <pageSetUpPr/>
  </sheetPr>
  <dimension ref="A1:J56"/>
  <sheetViews>
    <sheetView topLeftCell="A24" zoomScaleSheetLayoutView="60" workbookViewId="0">
      <selection activeCell="C43" sqref="C4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评估记录信息表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clr_evaluation_record</t>
        </is>
      </c>
      <c r="C3" s="24" t="inlineStr">
        <is>
          <t>EVALRECORDID</t>
        </is>
      </c>
      <c r="D3" s="24" t="inlineStr">
        <is>
          <t>varchar(32)</t>
        </is>
      </c>
      <c r="E3" s="24" t="inlineStr">
        <is>
          <t>NO</t>
        </is>
      </c>
      <c r="F3" s="24" t="inlineStr">
        <is>
          <t>评估记录编号</t>
        </is>
      </c>
      <c r="G3" s="24" t="n"/>
      <c r="H3" s="24" t="n"/>
      <c r="I3" s="24" t="inlineStr"/>
      <c r="J3" s="24" t="inlineStr">
        <is>
          <t>2023/01/12</t>
        </is>
      </c>
    </row>
    <row r="4">
      <c r="B4" s="24" t="inlineStr">
        <is>
          <t>clr_evaluation_record</t>
        </is>
      </c>
      <c r="C4" s="24" t="inlineStr">
        <is>
          <t>EVALAPPLID</t>
        </is>
      </c>
      <c r="D4" s="24" t="inlineStr">
        <is>
          <t>varchar(32)</t>
        </is>
      </c>
      <c r="E4" s="24" t="inlineStr">
        <is>
          <t>YES</t>
        </is>
      </c>
      <c r="F4" s="43" t="inlineStr">
        <is>
          <t>评估申请流水号</t>
        </is>
      </c>
      <c r="G4" s="24" t="n"/>
      <c r="H4" s="24" t="n"/>
      <c r="I4" s="24" t="inlineStr"/>
      <c r="J4" s="24" t="inlineStr">
        <is>
          <t>2023/01/12</t>
        </is>
      </c>
    </row>
    <row r="5">
      <c r="B5" s="24" t="inlineStr">
        <is>
          <t>clr_evaluation_record</t>
        </is>
      </c>
      <c r="C5" s="24" t="inlineStr">
        <is>
          <t>SOURCESYSTEM</t>
        </is>
      </c>
      <c r="D5" s="24" t="inlineStr">
        <is>
          <t>varchar(80)</t>
        </is>
      </c>
      <c r="E5" s="24" t="inlineStr">
        <is>
          <t>YES</t>
        </is>
      </c>
      <c r="F5" s="24" t="inlineStr">
        <is>
          <t>调用来源</t>
        </is>
      </c>
      <c r="G5" s="24" t="n"/>
      <c r="H5" s="24" t="n"/>
      <c r="I5" s="24" t="inlineStr"/>
      <c r="J5" s="24" t="inlineStr">
        <is>
          <t>2023/01/12</t>
        </is>
      </c>
    </row>
    <row r="6">
      <c r="B6" s="24" t="inlineStr">
        <is>
          <t>clr_evaluation_record</t>
        </is>
      </c>
      <c r="C6" s="24" t="inlineStr">
        <is>
          <t>APPROVESTATUS</t>
        </is>
      </c>
      <c r="D6" s="24" t="inlineStr">
        <is>
          <t>varchar(32)</t>
        </is>
      </c>
      <c r="E6" s="24" t="inlineStr">
        <is>
          <t>YES</t>
        </is>
      </c>
      <c r="F6" s="24" t="inlineStr">
        <is>
          <t>申请状态</t>
        </is>
      </c>
      <c r="G6" s="24" t="n"/>
      <c r="H6" s="24" t="n"/>
      <c r="I6" s="24" t="inlineStr"/>
      <c r="J6" s="24" t="inlineStr">
        <is>
          <t>2023/01/12</t>
        </is>
      </c>
    </row>
    <row r="7">
      <c r="B7" s="24" t="inlineStr">
        <is>
          <t>clr_evaluation_record</t>
        </is>
      </c>
      <c r="C7" s="24" t="inlineStr">
        <is>
          <t>CLRID</t>
        </is>
      </c>
      <c r="D7" s="24" t="inlineStr">
        <is>
          <t>varchar(32)</t>
        </is>
      </c>
      <c r="E7" s="24" t="inlineStr">
        <is>
          <t>YES</t>
        </is>
      </c>
      <c r="F7" s="24" t="inlineStr">
        <is>
          <t>押品编号</t>
        </is>
      </c>
      <c r="G7" s="24" t="n"/>
      <c r="H7" s="24" t="n"/>
      <c r="I7" s="24" t="inlineStr"/>
      <c r="J7" s="24" t="inlineStr">
        <is>
          <t>2023/01/12</t>
        </is>
      </c>
    </row>
    <row r="8">
      <c r="B8" s="24" t="inlineStr">
        <is>
          <t>clr_evaluation_record</t>
        </is>
      </c>
      <c r="C8" s="24" t="inlineStr">
        <is>
          <t>EVALCURRENCY</t>
        </is>
      </c>
      <c r="D8" s="24" t="inlineStr">
        <is>
          <t>varchar(18)</t>
        </is>
      </c>
      <c r="E8" s="24" t="inlineStr">
        <is>
          <t>YES</t>
        </is>
      </c>
      <c r="F8" s="24" t="inlineStr">
        <is>
          <t>评估币种</t>
        </is>
      </c>
      <c r="G8" s="24" t="n"/>
      <c r="H8" s="24" t="n"/>
      <c r="I8" s="24" t="inlineStr"/>
      <c r="J8" s="24" t="inlineStr">
        <is>
          <t>2023/01/12</t>
        </is>
      </c>
    </row>
    <row r="9">
      <c r="B9" s="24" t="inlineStr">
        <is>
          <t>clr_evaluation_record</t>
        </is>
      </c>
      <c r="C9" s="24" t="inlineStr">
        <is>
          <t>EVALOCCURTYPE</t>
        </is>
      </c>
      <c r="D9" s="24" t="inlineStr">
        <is>
          <t>varchar(6)</t>
        </is>
      </c>
      <c r="E9" s="24" t="inlineStr">
        <is>
          <t>YES</t>
        </is>
      </c>
      <c r="F9" s="24" t="inlineStr">
        <is>
          <t>发生类型</t>
        </is>
      </c>
      <c r="G9" s="52">
        <f>HYPERLINK("#码值映射清单!B921","EvalOccurType")</f>
        <v/>
      </c>
      <c r="H9" s="24" t="n"/>
      <c r="I9" s="24" t="inlineStr"/>
      <c r="J9" s="24" t="inlineStr">
        <is>
          <t>2023/01/12</t>
        </is>
      </c>
    </row>
    <row r="10">
      <c r="B10" s="24" t="inlineStr">
        <is>
          <t>clr_evaluation_record</t>
        </is>
      </c>
      <c r="C10" s="24" t="inlineStr">
        <is>
          <t>EVALSTYLE</t>
        </is>
      </c>
      <c r="D10" s="24" t="inlineStr">
        <is>
          <t>varchar(6)</t>
        </is>
      </c>
      <c r="E10" s="24" t="inlineStr">
        <is>
          <t>YES</t>
        </is>
      </c>
      <c r="F10" s="24" t="inlineStr">
        <is>
          <t>评估形式</t>
        </is>
      </c>
      <c r="G10" s="52">
        <f>HYPERLINK("#码值映射清单!B9432","EvalType")</f>
        <v/>
      </c>
      <c r="H10" s="24" t="n"/>
      <c r="I10" s="24" t="inlineStr"/>
      <c r="J10" s="24" t="inlineStr">
        <is>
          <t>2023/01/12</t>
        </is>
      </c>
    </row>
    <row r="11">
      <c r="B11" s="24" t="inlineStr">
        <is>
          <t>clr_evaluation_record</t>
        </is>
      </c>
      <c r="C11" s="24" t="inlineStr">
        <is>
          <t>EFFECTIVEDATE</t>
        </is>
      </c>
      <c r="D11" s="24" t="inlineStr">
        <is>
          <t>datetime</t>
        </is>
      </c>
      <c r="E11" s="24" t="inlineStr">
        <is>
          <t>YES</t>
        </is>
      </c>
      <c r="F11" s="24" t="inlineStr">
        <is>
          <t>发生日期</t>
        </is>
      </c>
      <c r="G11" s="24" t="n"/>
      <c r="H11" s="24" t="n"/>
      <c r="I11" s="24" t="inlineStr"/>
      <c r="J11" s="24" t="inlineStr">
        <is>
          <t>2023/01/12</t>
        </is>
      </c>
    </row>
    <row r="12">
      <c r="B12" s="24" t="inlineStr">
        <is>
          <t>clr_evaluation_record</t>
        </is>
      </c>
      <c r="C12" s="24" t="inlineStr">
        <is>
          <t>EXPIRYDATE</t>
        </is>
      </c>
      <c r="D12" s="24" t="inlineStr">
        <is>
          <t>datetime</t>
        </is>
      </c>
      <c r="E12" s="24" t="inlineStr">
        <is>
          <t>YES</t>
        </is>
      </c>
      <c r="F12" s="24" t="inlineStr">
        <is>
          <t>结束日期</t>
        </is>
      </c>
      <c r="G12" s="24" t="n"/>
      <c r="H12" s="24" t="n"/>
      <c r="I12" s="24" t="inlineStr"/>
      <c r="J12" s="24" t="inlineStr">
        <is>
          <t>2023/01/12</t>
        </is>
      </c>
    </row>
    <row r="13">
      <c r="B13" s="24" t="inlineStr">
        <is>
          <t>clr_evaluation_record</t>
        </is>
      </c>
      <c r="C13" s="24" t="inlineStr">
        <is>
          <t>EVALDUEDATE</t>
        </is>
      </c>
      <c r="D13" s="24" t="inlineStr">
        <is>
          <t>datetime</t>
        </is>
      </c>
      <c r="E13" s="24" t="inlineStr">
        <is>
          <t>YES</t>
        </is>
      </c>
      <c r="F13" s="24" t="inlineStr">
        <is>
          <t>评估期日</t>
        </is>
      </c>
      <c r="G13" s="24" t="n"/>
      <c r="H13" s="24" t="n"/>
      <c r="I13" s="24" t="inlineStr"/>
      <c r="J13" s="24" t="inlineStr">
        <is>
          <t>2023/01/12</t>
        </is>
      </c>
    </row>
    <row r="14">
      <c r="B14" s="24" t="inlineStr">
        <is>
          <t>clr_evaluation_record</t>
        </is>
      </c>
      <c r="C14" s="24" t="inlineStr">
        <is>
          <t>EVALMODEL</t>
        </is>
      </c>
      <c r="D14" s="24" t="inlineStr">
        <is>
          <t>varchar(32)</t>
        </is>
      </c>
      <c r="E14" s="24" t="inlineStr">
        <is>
          <t>YES</t>
        </is>
      </c>
      <c r="F14" s="24" t="inlineStr">
        <is>
          <t>评估模型编号</t>
        </is>
      </c>
      <c r="G14" s="52">
        <f>HYPERLINK("#码值映射清单!B5124","EvalModel")</f>
        <v/>
      </c>
      <c r="H14" s="24" t="n"/>
      <c r="I14" s="24" t="inlineStr"/>
      <c r="J14" s="24" t="inlineStr">
        <is>
          <t>2023/01/12</t>
        </is>
      </c>
    </row>
    <row r="15">
      <c r="B15" s="24" t="inlineStr">
        <is>
          <t>clr_evaluation_record</t>
        </is>
      </c>
      <c r="C15" s="24" t="inlineStr">
        <is>
          <t>OUTTEREVALRESULT</t>
        </is>
      </c>
      <c r="D15" s="24" t="inlineStr">
        <is>
          <t>decimal(24,6)</t>
        </is>
      </c>
      <c r="E15" s="24" t="inlineStr">
        <is>
          <t>YES</t>
        </is>
      </c>
      <c r="F15" s="24" t="inlineStr">
        <is>
          <t>外部估值结果</t>
        </is>
      </c>
      <c r="G15" s="24" t="n"/>
      <c r="H15" s="24" t="n"/>
      <c r="I15" s="24" t="inlineStr"/>
      <c r="J15" s="24" t="inlineStr">
        <is>
          <t>2023/01/12</t>
        </is>
      </c>
    </row>
    <row r="16">
      <c r="B16" s="24" t="inlineStr">
        <is>
          <t>clr_evaluation_record</t>
        </is>
      </c>
      <c r="C16" s="24" t="inlineStr">
        <is>
          <t>OUTTEREVALORGID</t>
        </is>
      </c>
      <c r="D16" s="24" t="inlineStr">
        <is>
          <t>varchar(32)</t>
        </is>
      </c>
      <c r="E16" s="24" t="inlineStr">
        <is>
          <t>YES</t>
        </is>
      </c>
      <c r="F16" s="24" t="inlineStr">
        <is>
          <t>外部评估机构编号</t>
        </is>
      </c>
      <c r="G16" s="24" t="n"/>
      <c r="H16" s="24" t="n"/>
      <c r="I16" s="24" t="inlineStr"/>
      <c r="J16" s="24" t="inlineStr">
        <is>
          <t>2023/01/12</t>
        </is>
      </c>
    </row>
    <row r="17">
      <c r="B17" s="24" t="inlineStr">
        <is>
          <t>clr_evaluation_record</t>
        </is>
      </c>
      <c r="C17" s="24" t="inlineStr">
        <is>
          <t>OUTTEREVALDATE</t>
        </is>
      </c>
      <c r="D17" s="24" t="inlineStr">
        <is>
          <t>datetime</t>
        </is>
      </c>
      <c r="E17" s="24" t="inlineStr">
        <is>
          <t>YES</t>
        </is>
      </c>
      <c r="F17" s="24" t="inlineStr">
        <is>
          <t>外部评估基准日</t>
        </is>
      </c>
      <c r="G17" s="24" t="n"/>
      <c r="H17" s="24" t="n"/>
      <c r="I17" s="24" t="inlineStr"/>
      <c r="J17" s="24" t="inlineStr">
        <is>
          <t>2023/01/12</t>
        </is>
      </c>
    </row>
    <row r="18">
      <c r="B18" s="24" t="inlineStr">
        <is>
          <t>clr_evaluation_record</t>
        </is>
      </c>
      <c r="C18" s="24" t="inlineStr">
        <is>
          <t>OUTTEREVALTYPE</t>
        </is>
      </c>
      <c r="D18" s="24" t="inlineStr">
        <is>
          <t>varchar(6)</t>
        </is>
      </c>
      <c r="E18" s="24" t="inlineStr">
        <is>
          <t>YES</t>
        </is>
      </c>
      <c r="F18" s="24" t="inlineStr">
        <is>
          <t>外部评估类型</t>
        </is>
      </c>
      <c r="G18" s="24" t="n"/>
      <c r="H18" s="24" t="n"/>
      <c r="I18" s="24" t="inlineStr"/>
      <c r="J18" s="24" t="inlineStr">
        <is>
          <t>2023/01/12</t>
        </is>
      </c>
    </row>
    <row r="19">
      <c r="B19" s="24" t="inlineStr">
        <is>
          <t>clr_evaluation_record</t>
        </is>
      </c>
      <c r="C19" s="24" t="inlineStr">
        <is>
          <t>OUTTEREVALEXPIRYDATE</t>
        </is>
      </c>
      <c r="D19" s="24" t="inlineStr">
        <is>
          <t>datetime</t>
        </is>
      </c>
      <c r="E19" s="24" t="inlineStr">
        <is>
          <t>YES</t>
        </is>
      </c>
      <c r="F19" s="24" t="inlineStr">
        <is>
          <t>外部评估报告有效期</t>
        </is>
      </c>
      <c r="G19" s="24" t="n"/>
      <c r="H19" s="24" t="n"/>
      <c r="I19" s="24" t="inlineStr"/>
      <c r="J19" s="24" t="inlineStr">
        <is>
          <t>2023/01/12</t>
        </is>
      </c>
    </row>
    <row r="20">
      <c r="B20" s="24" t="inlineStr">
        <is>
          <t>clr_evaluation_record</t>
        </is>
      </c>
      <c r="C20" s="24" t="inlineStr">
        <is>
          <t>OUTTEREVALMETHOD</t>
        </is>
      </c>
      <c r="D20" s="24" t="inlineStr">
        <is>
          <t>varchar(6)</t>
        </is>
      </c>
      <c r="E20" s="24" t="inlineStr">
        <is>
          <t>YES</t>
        </is>
      </c>
      <c r="F20" s="24" t="inlineStr">
        <is>
          <t>外部评估方法</t>
        </is>
      </c>
      <c r="G20" s="24" t="n"/>
      <c r="H20" s="24" t="n"/>
      <c r="I20" s="24" t="inlineStr"/>
      <c r="J20" s="24" t="inlineStr">
        <is>
          <t>2023/01/12</t>
        </is>
      </c>
    </row>
    <row r="21">
      <c r="B21" s="24" t="inlineStr">
        <is>
          <t>clr_evaluation_record</t>
        </is>
      </c>
      <c r="C21" s="24" t="inlineStr">
        <is>
          <t>INITIALINNERRESULT</t>
        </is>
      </c>
      <c r="D21" s="24" t="inlineStr">
        <is>
          <t>decimal(24,6)</t>
        </is>
      </c>
      <c r="E21" s="24" t="inlineStr">
        <is>
          <t>YES</t>
        </is>
      </c>
      <c r="F21" s="24" t="inlineStr">
        <is>
          <t>初评岗内部估值结果</t>
        </is>
      </c>
      <c r="G21" s="24" t="n"/>
      <c r="H21" s="24" t="n"/>
      <c r="I21" s="24" t="inlineStr"/>
      <c r="J21" s="24" t="inlineStr">
        <is>
          <t>2023/01/12</t>
        </is>
      </c>
    </row>
    <row r="22">
      <c r="B22" s="24" t="inlineStr">
        <is>
          <t>clr_evaluation_record</t>
        </is>
      </c>
      <c r="C22" s="24" t="inlineStr">
        <is>
          <t>INITIALADJUSTRESULT</t>
        </is>
      </c>
      <c r="D22" s="24" t="inlineStr">
        <is>
          <t>decimal(24,6)</t>
        </is>
      </c>
      <c r="E22" s="24" t="inlineStr">
        <is>
          <t>YES</t>
        </is>
      </c>
      <c r="F22" s="24" t="inlineStr">
        <is>
          <t>初评岗调整估值结果</t>
        </is>
      </c>
      <c r="G22" s="24" t="n"/>
      <c r="H22" s="24" t="n"/>
      <c r="I22" s="24" t="inlineStr"/>
      <c r="J22" s="24" t="inlineStr">
        <is>
          <t>2023/01/12</t>
        </is>
      </c>
    </row>
    <row r="23">
      <c r="B23" s="24" t="inlineStr">
        <is>
          <t>clr_evaluation_record</t>
        </is>
      </c>
      <c r="C23" s="24" t="inlineStr">
        <is>
          <t>INITIALEVALWEIGHT</t>
        </is>
      </c>
      <c r="D23" s="24" t="inlineStr">
        <is>
          <t>decimal(18,8)</t>
        </is>
      </c>
      <c r="E23" s="24" t="inlineStr">
        <is>
          <t>YES</t>
        </is>
      </c>
      <c r="F23" s="24" t="inlineStr">
        <is>
          <t>初评岗调整估值外部权重</t>
        </is>
      </c>
      <c r="G23" s="24" t="n"/>
      <c r="H23" s="24" t="n"/>
      <c r="I23" s="24" t="inlineStr"/>
      <c r="J23" s="24" t="inlineStr">
        <is>
          <t>2023/01/12</t>
        </is>
      </c>
    </row>
    <row r="24">
      <c r="B24" s="24" t="inlineStr">
        <is>
          <t>clr_evaluation_record</t>
        </is>
      </c>
      <c r="C24" s="24" t="inlineStr">
        <is>
          <t>INITIALMULTIRESULT</t>
        </is>
      </c>
      <c r="D24" s="24" t="inlineStr">
        <is>
          <t>decimal(24,6)</t>
        </is>
      </c>
      <c r="E24" s="24" t="inlineStr">
        <is>
          <t>YES</t>
        </is>
      </c>
      <c r="F24" s="24" t="inlineStr">
        <is>
          <t>初评岗综合估值结果</t>
        </is>
      </c>
      <c r="G24" s="24" t="n"/>
      <c r="H24" s="24" t="n"/>
      <c r="I24" s="24" t="inlineStr"/>
      <c r="J24" s="24" t="inlineStr">
        <is>
          <t>2023/01/12</t>
        </is>
      </c>
    </row>
    <row r="25">
      <c r="B25" s="24" t="inlineStr">
        <is>
          <t>clr_evaluation_record</t>
        </is>
      </c>
      <c r="C25" s="24" t="inlineStr">
        <is>
          <t>INITIALVALIDATETIME</t>
        </is>
      </c>
      <c r="D25" s="24" t="inlineStr">
        <is>
          <t>datetime</t>
        </is>
      </c>
      <c r="E25" s="24" t="inlineStr">
        <is>
          <t>YES</t>
        </is>
      </c>
      <c r="F25" s="24" t="inlineStr">
        <is>
          <t>初评岗评估有效期</t>
        </is>
      </c>
      <c r="G25" s="24" t="n"/>
      <c r="H25" s="24" t="n"/>
      <c r="I25" s="24" t="inlineStr"/>
      <c r="J25" s="24" t="inlineStr">
        <is>
          <t>2023/01/12</t>
        </is>
      </c>
    </row>
    <row r="26">
      <c r="B26" s="24" t="inlineStr">
        <is>
          <t>clr_evaluation_record</t>
        </is>
      </c>
      <c r="C26" s="24" t="inlineStr">
        <is>
          <t>INITIALFINALRESULT</t>
        </is>
      </c>
      <c r="D26" s="24" t="inlineStr">
        <is>
          <t>decimal(24,6)</t>
        </is>
      </c>
      <c r="E26" s="24" t="inlineStr">
        <is>
          <t>YES</t>
        </is>
      </c>
      <c r="F26" s="24" t="inlineStr">
        <is>
          <t>初评岗最终评估结果</t>
        </is>
      </c>
      <c r="G26" s="24" t="n"/>
      <c r="H26" s="24" t="n"/>
      <c r="I26" s="24" t="inlineStr"/>
      <c r="J26" s="24" t="inlineStr">
        <is>
          <t>2023/01/12</t>
        </is>
      </c>
    </row>
    <row r="27">
      <c r="B27" s="24" t="inlineStr">
        <is>
          <t>clr_evaluation_record</t>
        </is>
      </c>
      <c r="C27" s="24" t="inlineStr">
        <is>
          <t>REVIEWERUSERID</t>
        </is>
      </c>
      <c r="D27" s="24" t="inlineStr">
        <is>
          <t>varchar(80)</t>
        </is>
      </c>
      <c r="E27" s="24" t="inlineStr">
        <is>
          <t>YES</t>
        </is>
      </c>
      <c r="F27" s="24" t="inlineStr">
        <is>
          <t>初评人</t>
        </is>
      </c>
      <c r="G27" s="24" t="n"/>
      <c r="H27" s="24" t="n"/>
      <c r="I27" s="24" t="inlineStr"/>
      <c r="J27" s="24" t="inlineStr">
        <is>
          <t>2023/01/12</t>
        </is>
      </c>
    </row>
    <row r="28">
      <c r="B28" s="24" t="inlineStr">
        <is>
          <t>clr_evaluation_record</t>
        </is>
      </c>
      <c r="C28" s="24" t="inlineStr">
        <is>
          <t>REVIEWORGID</t>
        </is>
      </c>
      <c r="D28" s="24" t="inlineStr">
        <is>
          <t>varchar(80)</t>
        </is>
      </c>
      <c r="E28" s="24" t="inlineStr">
        <is>
          <t>YES</t>
        </is>
      </c>
      <c r="F28" s="24" t="inlineStr">
        <is>
          <t>初评机构</t>
        </is>
      </c>
      <c r="G28" s="24" t="n"/>
      <c r="H28" s="24" t="n"/>
      <c r="I28" s="24" t="inlineStr"/>
      <c r="J28" s="24" t="inlineStr">
        <is>
          <t>2023/01/12</t>
        </is>
      </c>
    </row>
    <row r="29">
      <c r="B29" s="24" t="inlineStr">
        <is>
          <t>clr_evaluation_record</t>
        </is>
      </c>
      <c r="C29" s="24" t="inlineStr">
        <is>
          <t>REVIEWDATE</t>
        </is>
      </c>
      <c r="D29" s="24" t="inlineStr">
        <is>
          <t>date</t>
        </is>
      </c>
      <c r="E29" s="24" t="inlineStr">
        <is>
          <t>YES</t>
        </is>
      </c>
      <c r="F29" s="24" t="inlineStr">
        <is>
          <t>初评日期</t>
        </is>
      </c>
      <c r="G29" s="24" t="n"/>
      <c r="H29" s="24" t="n"/>
      <c r="I29" s="24" t="inlineStr"/>
      <c r="J29" s="24" t="inlineStr">
        <is>
          <t>2023/01/12</t>
        </is>
      </c>
    </row>
    <row r="30">
      <c r="B30" s="24" t="inlineStr">
        <is>
          <t>clr_evaluation_record</t>
        </is>
      </c>
      <c r="C30" s="24" t="inlineStr">
        <is>
          <t>APPROVEINNERRESULT</t>
        </is>
      </c>
      <c r="D30" s="24" t="inlineStr">
        <is>
          <t>decimal(24,6)</t>
        </is>
      </c>
      <c r="E30" s="24" t="inlineStr">
        <is>
          <t>YES</t>
        </is>
      </c>
      <c r="F30" s="24" t="inlineStr">
        <is>
          <t>核定岗内部估值结果</t>
        </is>
      </c>
      <c r="G30" s="24" t="n"/>
      <c r="H30" s="24" t="n"/>
      <c r="I30" s="24" t="inlineStr"/>
      <c r="J30" s="24" t="inlineStr">
        <is>
          <t>2023/01/12</t>
        </is>
      </c>
    </row>
    <row r="31">
      <c r="B31" s="24" t="inlineStr">
        <is>
          <t>clr_evaluation_record</t>
        </is>
      </c>
      <c r="C31" s="24" t="inlineStr">
        <is>
          <t>APPROVEADJUSTRESULT</t>
        </is>
      </c>
      <c r="D31" s="24" t="inlineStr">
        <is>
          <t>decimal(24,6)</t>
        </is>
      </c>
      <c r="E31" s="24" t="inlineStr">
        <is>
          <t>YES</t>
        </is>
      </c>
      <c r="F31" s="24" t="inlineStr">
        <is>
          <t>核定岗调整估值结果确认</t>
        </is>
      </c>
      <c r="G31" s="24" t="n"/>
      <c r="H31" s="24" t="n"/>
      <c r="I31" s="24" t="inlineStr"/>
      <c r="J31" s="24" t="inlineStr">
        <is>
          <t>2023/01/12</t>
        </is>
      </c>
    </row>
    <row r="32">
      <c r="B32" s="24" t="inlineStr">
        <is>
          <t>clr_evaluation_record</t>
        </is>
      </c>
      <c r="C32" s="24" t="inlineStr">
        <is>
          <t>APPROVEEVALWEIGHT</t>
        </is>
      </c>
      <c r="D32" s="24" t="inlineStr">
        <is>
          <t>decimal(18,8)</t>
        </is>
      </c>
      <c r="E32" s="24" t="inlineStr">
        <is>
          <t>YES</t>
        </is>
      </c>
      <c r="F32" s="24" t="inlineStr">
        <is>
          <t>核定岗内部模型估值权重</t>
        </is>
      </c>
      <c r="G32" s="24" t="n"/>
      <c r="H32" s="24" t="n"/>
      <c r="I32" s="24" t="inlineStr"/>
      <c r="J32" s="24" t="inlineStr">
        <is>
          <t>2023/01/12</t>
        </is>
      </c>
    </row>
    <row r="33">
      <c r="B33" s="24" t="inlineStr">
        <is>
          <t>clr_evaluation_record</t>
        </is>
      </c>
      <c r="C33" s="24" t="inlineStr">
        <is>
          <t>APPROVEMUTILRESULT</t>
        </is>
      </c>
      <c r="D33" s="24" t="inlineStr">
        <is>
          <t>decimal(24,6)</t>
        </is>
      </c>
      <c r="E33" s="24" t="inlineStr">
        <is>
          <t>YES</t>
        </is>
      </c>
      <c r="F33" s="24" t="inlineStr">
        <is>
          <t>核定岗综合估值结果</t>
        </is>
      </c>
      <c r="G33" s="24" t="n"/>
      <c r="H33" s="24" t="n"/>
      <c r="I33" s="24" t="inlineStr"/>
      <c r="J33" s="24" t="inlineStr">
        <is>
          <t>2023/01/12</t>
        </is>
      </c>
    </row>
    <row r="34">
      <c r="B34" s="24" t="inlineStr">
        <is>
          <t>clr_evaluation_record</t>
        </is>
      </c>
      <c r="C34" s="24" t="inlineStr">
        <is>
          <t>APPROVEVALIDATETIME</t>
        </is>
      </c>
      <c r="D34" s="24" t="inlineStr">
        <is>
          <t>datetime</t>
        </is>
      </c>
      <c r="E34" s="24" t="inlineStr">
        <is>
          <t>YES</t>
        </is>
      </c>
      <c r="F34" s="24" t="inlineStr">
        <is>
          <t>核定岗评估有效期</t>
        </is>
      </c>
      <c r="G34" s="24" t="n"/>
      <c r="H34" s="24" t="n"/>
      <c r="I34" s="24" t="inlineStr"/>
      <c r="J34" s="24" t="inlineStr">
        <is>
          <t>2023/01/12</t>
        </is>
      </c>
    </row>
    <row r="35">
      <c r="B35" s="24" t="inlineStr">
        <is>
          <t>clr_evaluation_record</t>
        </is>
      </c>
      <c r="C35" s="24" t="inlineStr">
        <is>
          <t>APPROVEFINALRESULT</t>
        </is>
      </c>
      <c r="D35" s="24" t="inlineStr">
        <is>
          <t>decimal(24,6)</t>
        </is>
      </c>
      <c r="E35" s="24" t="inlineStr">
        <is>
          <t>YES</t>
        </is>
      </c>
      <c r="F35" s="24" t="inlineStr">
        <is>
          <t>核定岗最终评估结果</t>
        </is>
      </c>
      <c r="G35" s="24" t="n"/>
      <c r="H35" s="24" t="n"/>
      <c r="I35" s="24" t="inlineStr"/>
      <c r="J35" s="24" t="inlineStr">
        <is>
          <t>2023/01/12</t>
        </is>
      </c>
    </row>
    <row r="36">
      <c r="B36" s="24" t="inlineStr">
        <is>
          <t>clr_evaluation_record</t>
        </is>
      </c>
      <c r="C36" s="24" t="inlineStr">
        <is>
          <t>APPROVEUSERID</t>
        </is>
      </c>
      <c r="D36" s="24" t="inlineStr">
        <is>
          <t>varchar(32)</t>
        </is>
      </c>
      <c r="E36" s="24" t="inlineStr">
        <is>
          <t>YES</t>
        </is>
      </c>
      <c r="F36" s="24" t="inlineStr">
        <is>
          <t>核定人</t>
        </is>
      </c>
      <c r="G36" s="24" t="n"/>
      <c r="H36" s="24" t="n"/>
      <c r="I36" s="24" t="inlineStr"/>
      <c r="J36" s="24" t="inlineStr">
        <is>
          <t>2023/01/12</t>
        </is>
      </c>
    </row>
    <row r="37">
      <c r="B37" s="24" t="inlineStr">
        <is>
          <t>clr_evaluation_record</t>
        </is>
      </c>
      <c r="C37" s="24" t="inlineStr">
        <is>
          <t>APPROVEORGID</t>
        </is>
      </c>
      <c r="D37" s="24" t="inlineStr">
        <is>
          <t>varchar(32)</t>
        </is>
      </c>
      <c r="E37" s="24" t="inlineStr">
        <is>
          <t>YES</t>
        </is>
      </c>
      <c r="F37" s="24" t="inlineStr">
        <is>
          <t>核定机构</t>
        </is>
      </c>
      <c r="G37" s="24" t="n"/>
      <c r="H37" s="24" t="n"/>
      <c r="I37" s="24" t="inlineStr"/>
      <c r="J37" s="24" t="inlineStr">
        <is>
          <t>2023/01/12</t>
        </is>
      </c>
    </row>
    <row r="38">
      <c r="B38" s="24" t="inlineStr">
        <is>
          <t>clr_evaluation_record</t>
        </is>
      </c>
      <c r="C38" s="24" t="inlineStr">
        <is>
          <t>APPROVEDATE</t>
        </is>
      </c>
      <c r="D38" s="24" t="inlineStr">
        <is>
          <t>date</t>
        </is>
      </c>
      <c r="E38" s="24" t="inlineStr">
        <is>
          <t>YES</t>
        </is>
      </c>
      <c r="F38" s="24" t="inlineStr">
        <is>
          <t>核定日期</t>
        </is>
      </c>
      <c r="G38" s="24" t="n"/>
      <c r="H38" s="24" t="n"/>
      <c r="I38" s="24" t="inlineStr"/>
      <c r="J38" s="24" t="inlineStr">
        <is>
          <t>2023/01/12</t>
        </is>
      </c>
    </row>
    <row r="39">
      <c r="B39" s="24" t="inlineStr">
        <is>
          <t>clr_evaluation_record</t>
        </is>
      </c>
      <c r="C39" s="24" t="inlineStr">
        <is>
          <t>BENCHDATE</t>
        </is>
      </c>
      <c r="D39" s="24" t="inlineStr">
        <is>
          <t>date</t>
        </is>
      </c>
      <c r="E39" s="24" t="inlineStr">
        <is>
          <t>YES</t>
        </is>
      </c>
      <c r="F39" s="24" t="inlineStr">
        <is>
          <t>评估基准日</t>
        </is>
      </c>
      <c r="G39" s="24" t="n"/>
      <c r="H39" s="24" t="n"/>
      <c r="I39" s="24" t="inlineStr"/>
      <c r="J39" s="24" t="inlineStr">
        <is>
          <t>2023/01/12</t>
        </is>
      </c>
    </row>
    <row r="40">
      <c r="B40" s="24" t="inlineStr">
        <is>
          <t>clr_evaluation_record</t>
        </is>
      </c>
      <c r="C40" s="24" t="inlineStr">
        <is>
          <t>DEBTOR</t>
        </is>
      </c>
      <c r="D40" s="24" t="inlineStr">
        <is>
          <t>varchar(80)</t>
        </is>
      </c>
      <c r="E40" s="24" t="inlineStr">
        <is>
          <t>YES</t>
        </is>
      </c>
      <c r="F40" s="24" t="inlineStr">
        <is>
          <t>主债务人</t>
        </is>
      </c>
      <c r="G40" s="24" t="n"/>
      <c r="H40" s="24" t="n"/>
      <c r="I40" s="24" t="inlineStr"/>
      <c r="J40" s="24" t="inlineStr">
        <is>
          <t>2023/01/12</t>
        </is>
      </c>
    </row>
    <row r="41">
      <c r="B41" s="24" t="inlineStr">
        <is>
          <t>clr_evaluation_record</t>
        </is>
      </c>
      <c r="C41" s="24" t="inlineStr">
        <is>
          <t>OWNERSTATUS</t>
        </is>
      </c>
      <c r="D41" s="24" t="inlineStr">
        <is>
          <t>varchar(6)</t>
        </is>
      </c>
      <c r="E41" s="24" t="inlineStr">
        <is>
          <t>YES</t>
        </is>
      </c>
      <c r="F41" s="24" t="inlineStr">
        <is>
          <t>抵质押品权属状况</t>
        </is>
      </c>
      <c r="G41" s="24" t="n"/>
      <c r="H41" s="24" t="n"/>
      <c r="I41" s="24" t="inlineStr"/>
      <c r="J41" s="24" t="inlineStr">
        <is>
          <t>2023/01/12</t>
        </is>
      </c>
    </row>
    <row r="42">
      <c r="B42" s="24" t="inlineStr">
        <is>
          <t>clr_evaluation_record</t>
        </is>
      </c>
      <c r="C42" s="24" t="inlineStr">
        <is>
          <t>PRIORITYCLAIM</t>
        </is>
      </c>
      <c r="D42" s="24" t="inlineStr">
        <is>
          <t>varchar(6)</t>
        </is>
      </c>
      <c r="E42" s="24" t="inlineStr">
        <is>
          <t>YES</t>
        </is>
      </c>
      <c r="F42" s="24" t="inlineStr">
        <is>
          <t>顺位情况</t>
        </is>
      </c>
      <c r="G42" s="24" t="n"/>
      <c r="H42" s="24" t="n"/>
      <c r="I42" s="24" t="inlineStr"/>
      <c r="J42" s="24" t="inlineStr">
        <is>
          <t>2023/01/12</t>
        </is>
      </c>
    </row>
    <row r="43">
      <c r="B43" s="24" t="inlineStr">
        <is>
          <t>clr_evaluation_record</t>
        </is>
      </c>
      <c r="C43" s="24" t="inlineStr">
        <is>
          <t>ABNORMALREASON</t>
        </is>
      </c>
      <c r="D43" s="24" t="inlineStr">
        <is>
          <t>varchar(500)</t>
        </is>
      </c>
      <c r="E43" s="24" t="inlineStr">
        <is>
          <t>YES</t>
        </is>
      </c>
      <c r="F43" s="24" t="inlineStr">
        <is>
          <t>异常原因</t>
        </is>
      </c>
      <c r="G43" s="24" t="n"/>
      <c r="H43" s="24" t="n"/>
      <c r="I43" s="24" t="inlineStr"/>
      <c r="J43" s="24" t="inlineStr">
        <is>
          <t>2023/01/12</t>
        </is>
      </c>
    </row>
    <row r="44">
      <c r="B44" s="24" t="inlineStr">
        <is>
          <t>clr_evaluation_record</t>
        </is>
      </c>
      <c r="C44" s="24" t="inlineStr">
        <is>
          <t>STATUS</t>
        </is>
      </c>
      <c r="D44" s="24" t="inlineStr">
        <is>
          <t>varchar(6)</t>
        </is>
      </c>
      <c r="E44" s="24" t="inlineStr">
        <is>
          <t>YES</t>
        </is>
      </c>
      <c r="F44" s="24" t="inlineStr">
        <is>
          <t>状态</t>
        </is>
      </c>
      <c r="G44" s="24" t="n"/>
      <c r="H44" s="24" t="n"/>
      <c r="I44" s="24" t="inlineStr"/>
      <c r="J44" s="24" t="inlineStr">
        <is>
          <t>2023/01/12</t>
        </is>
      </c>
    </row>
    <row r="45">
      <c r="B45" s="24" t="inlineStr">
        <is>
          <t>clr_evaluation_record</t>
        </is>
      </c>
      <c r="C45" s="24" t="inlineStr">
        <is>
          <t>OLDCLRID</t>
        </is>
      </c>
      <c r="D45" s="24" t="inlineStr">
        <is>
          <t>varchar(32)</t>
        </is>
      </c>
      <c r="E45" s="24" t="inlineStr">
        <is>
          <t>YES</t>
        </is>
      </c>
      <c r="F45" s="24" t="inlineStr">
        <is>
          <t>合并前押品编号</t>
        </is>
      </c>
      <c r="G45" s="24" t="n"/>
      <c r="H45" s="24" t="n"/>
      <c r="I45" s="24" t="inlineStr"/>
      <c r="J45" s="24" t="inlineStr">
        <is>
          <t>2023/01/12</t>
        </is>
      </c>
    </row>
    <row r="46">
      <c r="B46" s="24" t="inlineStr">
        <is>
          <t>clr_evaluation_record</t>
        </is>
      </c>
      <c r="C46" s="24" t="inlineStr">
        <is>
          <t>INPUTORGID</t>
        </is>
      </c>
      <c r="D46" s="24" t="inlineStr">
        <is>
          <t>varchar(32)</t>
        </is>
      </c>
      <c r="E46" s="24" t="inlineStr">
        <is>
          <t>YES</t>
        </is>
      </c>
      <c r="F46" s="24" t="inlineStr">
        <is>
          <t>登记机构</t>
        </is>
      </c>
      <c r="G46" s="24" t="n"/>
      <c r="H46" s="24" t="n"/>
      <c r="I46" s="24" t="inlineStr"/>
      <c r="J46" s="24" t="inlineStr">
        <is>
          <t>2023/01/12</t>
        </is>
      </c>
    </row>
    <row r="47">
      <c r="B47" s="24" t="inlineStr">
        <is>
          <t>clr_evaluation_record</t>
        </is>
      </c>
      <c r="C47" s="24" t="inlineStr">
        <is>
          <t>INPUTUSERID</t>
        </is>
      </c>
      <c r="D47" s="24" t="inlineStr">
        <is>
          <t>varchar(32)</t>
        </is>
      </c>
      <c r="E47" s="24" t="inlineStr">
        <is>
          <t>YES</t>
        </is>
      </c>
      <c r="F47" s="24" t="inlineStr">
        <is>
          <t>登记人</t>
        </is>
      </c>
      <c r="G47" s="24" t="n"/>
      <c r="H47" s="24" t="n"/>
      <c r="I47" s="24" t="inlineStr"/>
      <c r="J47" s="24" t="inlineStr">
        <is>
          <t>2023/01/12</t>
        </is>
      </c>
    </row>
    <row r="48">
      <c r="B48" s="24" t="inlineStr">
        <is>
          <t>clr_evaluation_record</t>
        </is>
      </c>
      <c r="C48" s="24" t="inlineStr">
        <is>
          <t>INPUTDATE</t>
        </is>
      </c>
      <c r="D48" s="24" t="inlineStr">
        <is>
          <t>datetime</t>
        </is>
      </c>
      <c r="E48" s="24" t="inlineStr">
        <is>
          <t>YES</t>
        </is>
      </c>
      <c r="F48" s="24" t="inlineStr">
        <is>
          <t>登记日期</t>
        </is>
      </c>
      <c r="G48" s="24" t="n"/>
      <c r="H48" s="24" t="n"/>
      <c r="I48" s="24" t="inlineStr"/>
      <c r="J48" s="24" t="inlineStr">
        <is>
          <t>2023/01/12</t>
        </is>
      </c>
    </row>
    <row r="49">
      <c r="B49" s="24" t="inlineStr">
        <is>
          <t>clr_evaluation_record</t>
        </is>
      </c>
      <c r="C49" s="24" t="inlineStr">
        <is>
          <t>UPDATEORGID</t>
        </is>
      </c>
      <c r="D49" s="24" t="inlineStr">
        <is>
          <t>varchar(32)</t>
        </is>
      </c>
      <c r="E49" s="24" t="inlineStr">
        <is>
          <t>YES</t>
        </is>
      </c>
      <c r="F49" s="24" t="inlineStr">
        <is>
          <t>更新机构</t>
        </is>
      </c>
      <c r="G49" s="24" t="n"/>
      <c r="H49" s="24" t="n"/>
      <c r="I49" s="24" t="inlineStr"/>
      <c r="J49" s="24" t="inlineStr">
        <is>
          <t>2023/01/12</t>
        </is>
      </c>
    </row>
    <row r="50">
      <c r="B50" s="24" t="inlineStr">
        <is>
          <t>clr_evaluation_record</t>
        </is>
      </c>
      <c r="C50" s="24" t="inlineStr">
        <is>
          <t>UPDATEUSERID</t>
        </is>
      </c>
      <c r="D50" s="24" t="inlineStr">
        <is>
          <t>varchar(32)</t>
        </is>
      </c>
      <c r="E50" s="24" t="inlineStr">
        <is>
          <t>YES</t>
        </is>
      </c>
      <c r="F50" s="24" t="inlineStr">
        <is>
          <t>更新人</t>
        </is>
      </c>
      <c r="G50" s="24" t="n"/>
      <c r="H50" s="24" t="n"/>
      <c r="I50" s="24" t="inlineStr"/>
      <c r="J50" s="24" t="inlineStr">
        <is>
          <t>2023/01/12</t>
        </is>
      </c>
    </row>
    <row r="51">
      <c r="B51" s="24" t="inlineStr">
        <is>
          <t>clr_evaluation_record</t>
        </is>
      </c>
      <c r="C51" s="24" t="inlineStr">
        <is>
          <t>UPDATEDATE</t>
        </is>
      </c>
      <c r="D51" s="24" t="inlineStr">
        <is>
          <t>datetime</t>
        </is>
      </c>
      <c r="E51" s="24" t="inlineStr">
        <is>
          <t>YES</t>
        </is>
      </c>
      <c r="F51" s="24" t="inlineStr">
        <is>
          <t>更新日期</t>
        </is>
      </c>
      <c r="G51" s="24" t="n"/>
      <c r="H51" s="24" t="n"/>
      <c r="I51" s="24" t="inlineStr"/>
      <c r="J51" s="24" t="inlineStr">
        <is>
          <t>2023/01/12</t>
        </is>
      </c>
    </row>
    <row r="52">
      <c r="B52" s="24" t="inlineStr">
        <is>
          <t>clr_evaluation_record</t>
        </is>
      </c>
      <c r="C52" s="24" t="inlineStr">
        <is>
          <t>REMARK</t>
        </is>
      </c>
      <c r="D52" s="24" t="inlineStr">
        <is>
          <t>varchar(500)</t>
        </is>
      </c>
      <c r="E52" s="24" t="inlineStr">
        <is>
          <t>YES</t>
        </is>
      </c>
      <c r="F52" s="24" t="inlineStr">
        <is>
          <t>备注</t>
        </is>
      </c>
      <c r="G52" s="24" t="n"/>
      <c r="H52" s="24" t="n"/>
      <c r="I52" s="24" t="inlineStr"/>
      <c r="J52" s="24" t="inlineStr">
        <is>
          <t>2023/01/12</t>
        </is>
      </c>
    </row>
    <row r="53">
      <c r="B53" s="109" t="inlineStr">
        <is>
          <t>clr_evaluation_record</t>
        </is>
      </c>
      <c r="C53" s="109" t="inlineStr">
        <is>
          <t>CORPORGID</t>
        </is>
      </c>
      <c r="D53" s="109" t="inlineStr">
        <is>
          <t>varchar(32)</t>
        </is>
      </c>
      <c r="E53" s="109" t="inlineStr">
        <is>
          <t>YES</t>
        </is>
      </c>
      <c r="F53" s="109" t="inlineStr">
        <is>
          <t>法人机构编号</t>
        </is>
      </c>
      <c r="G53" s="109" t="n"/>
      <c r="H53" s="109" t="n"/>
      <c r="I53" s="109" t="inlineStr"/>
      <c r="J53" s="109" t="inlineStr">
        <is>
          <t>2023/01/12</t>
        </is>
      </c>
    </row>
    <row r="54">
      <c r="B54" s="65" t="inlineStr">
        <is>
          <t>clr_evaluation_record</t>
        </is>
      </c>
      <c r="C54" s="60" t="inlineStr">
        <is>
          <t>EXCHANGERATE</t>
        </is>
      </c>
      <c r="D54" s="60" t="inlineStr">
        <is>
          <t>decimal(18,8)</t>
        </is>
      </c>
      <c r="E54" s="65" t="inlineStr">
        <is>
          <t>YES</t>
        </is>
      </c>
      <c r="F54" s="83" t="inlineStr">
        <is>
          <t>汇率</t>
        </is>
      </c>
      <c r="G54" s="60" t="n"/>
      <c r="H54" s="60" t="n"/>
      <c r="I54" s="60" t="n"/>
      <c r="J54" s="180" t="n">
        <v>45740</v>
      </c>
    </row>
    <row r="55">
      <c r="B55" s="65" t="inlineStr">
        <is>
          <t>clr_evaluation_record</t>
        </is>
      </c>
      <c r="C55" s="60" t="inlineStr">
        <is>
          <t>ORIGINALCURRENCY</t>
        </is>
      </c>
      <c r="D55" s="60" t="inlineStr">
        <is>
          <t>varchar(6)</t>
        </is>
      </c>
      <c r="E55" s="65" t="inlineStr">
        <is>
          <t>YES</t>
        </is>
      </c>
      <c r="F55" s="83" t="inlineStr">
        <is>
          <t>本币币种</t>
        </is>
      </c>
      <c r="G55" s="60" t="n"/>
      <c r="H55" s="60" t="n"/>
      <c r="I55" s="60" t="n"/>
      <c r="J55" s="180" t="n">
        <v>45740</v>
      </c>
    </row>
    <row r="56">
      <c r="B56" s="65" t="inlineStr">
        <is>
          <t>clr_evaluation_record</t>
        </is>
      </c>
      <c r="C56" s="60" t="inlineStr">
        <is>
          <t>ORIGINALCURRENCYVALUE</t>
        </is>
      </c>
      <c r="D56" s="60" t="inlineStr">
        <is>
          <t>decimal(24,6)</t>
        </is>
      </c>
      <c r="E56" s="65" t="inlineStr">
        <is>
          <t>YES</t>
        </is>
      </c>
      <c r="F56" s="83" t="inlineStr">
        <is>
          <t>本币价值</t>
        </is>
      </c>
      <c r="G56" s="60" t="n"/>
      <c r="H56" s="60" t="n"/>
      <c r="I56" s="60" t="n"/>
      <c r="J56" s="180" t="n">
        <v>45740</v>
      </c>
    </row>
  </sheetData>
  <pageMargins left="0.75" right="0.75" top="1" bottom="1" header="0.5" footer="0.5"/>
  <pageSetup orientation="portrait" paperSize="1" horizontalDpi="300" verticalDpi="300"/>
</worksheet>
</file>

<file path=xl/worksheets/sheet81.xml><?xml version="1.0" encoding="utf-8"?>
<worksheet xmlns="http://schemas.openxmlformats.org/spreadsheetml/2006/main">
  <sheetPr>
    <outlinePr summaryBelow="1" summaryRight="1"/>
    <pageSetUpPr/>
  </sheetPr>
  <dimension ref="A1:J17"/>
  <sheetViews>
    <sheetView zoomScaleSheetLayoutView="60" workbookViewId="0">
      <selection activeCell="D7" sqref="D7:D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基金盯市数据表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clr_fund_market</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clr_fund_market</t>
        </is>
      </c>
      <c r="C4" s="24" t="inlineStr">
        <is>
          <t>FUNDNO</t>
        </is>
      </c>
      <c r="D4" s="24" t="inlineStr">
        <is>
          <t>varchar(32)</t>
        </is>
      </c>
      <c r="E4" s="24" t="inlineStr">
        <is>
          <t>YES</t>
        </is>
      </c>
      <c r="F4" s="24" t="inlineStr">
        <is>
          <t>基金代码</t>
        </is>
      </c>
      <c r="G4" s="24" t="n"/>
      <c r="H4" s="24" t="n"/>
      <c r="I4" s="24" t="inlineStr"/>
      <c r="J4" s="24" t="inlineStr">
        <is>
          <t>2023/01/12</t>
        </is>
      </c>
    </row>
    <row r="5">
      <c r="B5" s="24" t="inlineStr">
        <is>
          <t>clr_fund_market</t>
        </is>
      </c>
      <c r="C5" s="24" t="inlineStr">
        <is>
          <t>FUNDNAME</t>
        </is>
      </c>
      <c r="D5" s="24" t="inlineStr">
        <is>
          <t>varchar(80)</t>
        </is>
      </c>
      <c r="E5" s="24" t="inlineStr">
        <is>
          <t>YES</t>
        </is>
      </c>
      <c r="F5" s="24" t="inlineStr">
        <is>
          <t>基金名称</t>
        </is>
      </c>
      <c r="G5" s="24" t="n"/>
      <c r="H5" s="24" t="n"/>
      <c r="I5" s="24" t="inlineStr"/>
      <c r="J5" s="24" t="inlineStr">
        <is>
          <t>2023/01/12</t>
        </is>
      </c>
    </row>
    <row r="6">
      <c r="B6" s="24" t="inlineStr">
        <is>
          <t>clr_fund_market</t>
        </is>
      </c>
      <c r="C6" s="24" t="inlineStr">
        <is>
          <t>TRADEDATE</t>
        </is>
      </c>
      <c r="D6" s="24" t="inlineStr">
        <is>
          <t>date</t>
        </is>
      </c>
      <c r="E6" s="24" t="inlineStr">
        <is>
          <t>YES</t>
        </is>
      </c>
      <c r="F6" s="24" t="inlineStr">
        <is>
          <t>交易日期</t>
        </is>
      </c>
      <c r="G6" s="24" t="n"/>
      <c r="H6" s="24" t="n"/>
      <c r="I6" s="24" t="inlineStr"/>
      <c r="J6" s="24" t="inlineStr">
        <is>
          <t>2023/01/12</t>
        </is>
      </c>
    </row>
    <row r="7">
      <c r="B7" s="24" t="inlineStr">
        <is>
          <t>clr_fund_market</t>
        </is>
      </c>
      <c r="C7" s="24" t="inlineStr">
        <is>
          <t>NETASSETVALUE</t>
        </is>
      </c>
      <c r="D7" s="24" t="inlineStr">
        <is>
          <t>decimal(24,6)</t>
        </is>
      </c>
      <c r="E7" s="24" t="inlineStr">
        <is>
          <t>YES</t>
        </is>
      </c>
      <c r="F7" s="24" t="inlineStr">
        <is>
          <t>单位净值</t>
        </is>
      </c>
      <c r="G7" s="24" t="n"/>
      <c r="H7" s="24" t="n"/>
      <c r="I7" s="24" t="inlineStr"/>
      <c r="J7" s="24" t="inlineStr">
        <is>
          <t>2023/01/12</t>
        </is>
      </c>
    </row>
    <row r="8">
      <c r="B8" s="24" t="inlineStr">
        <is>
          <t>clr_fund_market</t>
        </is>
      </c>
      <c r="C8" s="24" t="inlineStr">
        <is>
          <t>NETVALUE</t>
        </is>
      </c>
      <c r="D8" s="24" t="inlineStr">
        <is>
          <t>decimal(24,6)</t>
        </is>
      </c>
      <c r="E8" s="24" t="inlineStr">
        <is>
          <t>YES</t>
        </is>
      </c>
      <c r="F8" s="24" t="inlineStr">
        <is>
          <t>累计净值</t>
        </is>
      </c>
      <c r="G8" s="24" t="n"/>
      <c r="H8" s="24" t="n"/>
      <c r="I8" s="24" t="inlineStr"/>
      <c r="J8" s="24" t="inlineStr">
        <is>
          <t>2023/01/12</t>
        </is>
      </c>
    </row>
    <row r="9">
      <c r="B9" s="24" t="inlineStr">
        <is>
          <t>clr_fund_market</t>
        </is>
      </c>
      <c r="C9" s="24" t="inlineStr">
        <is>
          <t>DAILYINCREASES</t>
        </is>
      </c>
      <c r="D9" s="24" t="inlineStr">
        <is>
          <t>decimal(24,6)</t>
        </is>
      </c>
      <c r="E9" s="24" t="inlineStr">
        <is>
          <t>YES</t>
        </is>
      </c>
      <c r="F9" s="24" t="inlineStr">
        <is>
          <t>日涨幅</t>
        </is>
      </c>
      <c r="G9" s="24" t="n"/>
      <c r="H9" s="24" t="n"/>
      <c r="I9" s="24" t="inlineStr"/>
      <c r="J9" s="24" t="inlineStr">
        <is>
          <t>2023/01/12</t>
        </is>
      </c>
    </row>
    <row r="10">
      <c r="B10" s="24" t="inlineStr">
        <is>
          <t>clr_fund_market</t>
        </is>
      </c>
      <c r="C10" s="24" t="inlineStr">
        <is>
          <t>CORPORGID</t>
        </is>
      </c>
      <c r="D10" s="24" t="inlineStr">
        <is>
          <t>varchar(32)</t>
        </is>
      </c>
      <c r="E10" s="24" t="inlineStr">
        <is>
          <t>YES</t>
        </is>
      </c>
      <c r="F10" s="24" t="inlineStr">
        <is>
          <t>法人机构号</t>
        </is>
      </c>
      <c r="G10" s="24" t="n"/>
      <c r="H10" s="24" t="n"/>
      <c r="I10" s="24" t="inlineStr"/>
      <c r="J10" s="24" t="inlineStr">
        <is>
          <t>2023/01/12</t>
        </is>
      </c>
    </row>
    <row r="11">
      <c r="B11" s="24" t="inlineStr">
        <is>
          <t>clr_fund_market</t>
        </is>
      </c>
      <c r="C11" s="24" t="inlineStr">
        <is>
          <t>DELETEFLAG</t>
        </is>
      </c>
      <c r="D11" s="24" t="inlineStr">
        <is>
          <t>varchar(6)</t>
        </is>
      </c>
      <c r="E11" s="24" t="inlineStr">
        <is>
          <t>YES</t>
        </is>
      </c>
      <c r="F11" s="24" t="inlineStr">
        <is>
          <t>删除标记</t>
        </is>
      </c>
      <c r="G11" s="24" t="n"/>
      <c r="H11" s="24" t="n"/>
      <c r="I11" s="24" t="inlineStr"/>
      <c r="J11" s="24" t="inlineStr">
        <is>
          <t>2023/01/12</t>
        </is>
      </c>
    </row>
    <row r="12">
      <c r="B12" s="24" t="inlineStr">
        <is>
          <t>clr_fund_market</t>
        </is>
      </c>
      <c r="C12" s="24" t="inlineStr">
        <is>
          <t>INPUTUSERID</t>
        </is>
      </c>
      <c r="D12" s="24" t="inlineStr">
        <is>
          <t>varchar(32)</t>
        </is>
      </c>
      <c r="E12" s="24" t="inlineStr">
        <is>
          <t>YES</t>
        </is>
      </c>
      <c r="F12" s="24" t="inlineStr">
        <is>
          <t>登记人</t>
        </is>
      </c>
      <c r="G12" s="24" t="n"/>
      <c r="H12" s="24" t="n"/>
      <c r="I12" s="24" t="inlineStr"/>
      <c r="J12" s="24" t="inlineStr">
        <is>
          <t>2023/01/12</t>
        </is>
      </c>
    </row>
    <row r="13">
      <c r="B13" s="24" t="inlineStr">
        <is>
          <t>clr_fund_market</t>
        </is>
      </c>
      <c r="C13" s="24" t="inlineStr">
        <is>
          <t>INPUTORGID</t>
        </is>
      </c>
      <c r="D13" s="24" t="inlineStr">
        <is>
          <t>varchar(32)</t>
        </is>
      </c>
      <c r="E13" s="24" t="inlineStr">
        <is>
          <t>YES</t>
        </is>
      </c>
      <c r="F13" s="24" t="inlineStr">
        <is>
          <t>登记机构</t>
        </is>
      </c>
      <c r="G13" s="24" t="n"/>
      <c r="H13" s="24" t="n"/>
      <c r="I13" s="24" t="inlineStr"/>
      <c r="J13" s="24" t="inlineStr">
        <is>
          <t>2023/01/12</t>
        </is>
      </c>
    </row>
    <row r="14">
      <c r="B14" s="24" t="inlineStr">
        <is>
          <t>clr_fund_market</t>
        </is>
      </c>
      <c r="C14" s="24" t="inlineStr">
        <is>
          <t>INPUTDATE</t>
        </is>
      </c>
      <c r="D14" s="24" t="inlineStr">
        <is>
          <t>datetime</t>
        </is>
      </c>
      <c r="E14" s="24" t="inlineStr">
        <is>
          <t>YES</t>
        </is>
      </c>
      <c r="F14" s="24" t="inlineStr">
        <is>
          <t>登记日期</t>
        </is>
      </c>
      <c r="G14" s="24" t="n"/>
      <c r="H14" s="24" t="n"/>
      <c r="I14" s="24" t="inlineStr"/>
      <c r="J14" s="24" t="inlineStr">
        <is>
          <t>2023/01/12</t>
        </is>
      </c>
    </row>
    <row r="15">
      <c r="B15" s="24" t="inlineStr">
        <is>
          <t>clr_fund_market</t>
        </is>
      </c>
      <c r="C15" s="24" t="inlineStr">
        <is>
          <t>UPDATEUSERID</t>
        </is>
      </c>
      <c r="D15" s="24" t="inlineStr">
        <is>
          <t>varchar(32)</t>
        </is>
      </c>
      <c r="E15" s="24" t="inlineStr">
        <is>
          <t>YES</t>
        </is>
      </c>
      <c r="F15" s="24" t="inlineStr">
        <is>
          <t>更新人</t>
        </is>
      </c>
      <c r="G15" s="24" t="n"/>
      <c r="H15" s="24" t="n"/>
      <c r="I15" s="24" t="inlineStr"/>
      <c r="J15" s="24" t="inlineStr">
        <is>
          <t>2023/01/12</t>
        </is>
      </c>
    </row>
    <row r="16">
      <c r="B16" s="24" t="inlineStr">
        <is>
          <t>clr_fund_market</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clr_fund_market</t>
        </is>
      </c>
      <c r="C17" s="24" t="inlineStr">
        <is>
          <t>UPDATEDATE</t>
        </is>
      </c>
      <c r="D17" s="24" t="inlineStr">
        <is>
          <t>datetime</t>
        </is>
      </c>
      <c r="E17" s="24" t="inlineStr">
        <is>
          <t>YES</t>
        </is>
      </c>
      <c r="F17" s="24" t="inlineStr">
        <is>
          <t>更新日期</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82.xml><?xml version="1.0" encoding="utf-8"?>
<worksheet xmlns="http://schemas.openxmlformats.org/spreadsheetml/2006/main">
  <sheetPr>
    <outlinePr summaryBelow="1" summaryRight="1"/>
    <pageSetUpPr/>
  </sheetPr>
  <dimension ref="A1:J17"/>
  <sheetViews>
    <sheetView zoomScaleSheetLayoutView="60" workbookViewId="0">
      <selection activeCell="D13" sqref="D1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基金盯市数据明细表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clr_fund_market_detail</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clr_fund_market_detail</t>
        </is>
      </c>
      <c r="C4" s="24" t="inlineStr">
        <is>
          <t>FUNDNO</t>
        </is>
      </c>
      <c r="D4" s="24" t="inlineStr">
        <is>
          <t>varchar(32)</t>
        </is>
      </c>
      <c r="E4" s="24" t="inlineStr">
        <is>
          <t>YES</t>
        </is>
      </c>
      <c r="F4" s="24" t="inlineStr">
        <is>
          <t>基金代码</t>
        </is>
      </c>
      <c r="G4" s="24" t="n"/>
      <c r="H4" s="24" t="n"/>
      <c r="I4" s="24" t="inlineStr"/>
      <c r="J4" s="24" t="inlineStr">
        <is>
          <t>2023/01/12</t>
        </is>
      </c>
    </row>
    <row r="5">
      <c r="B5" s="24" t="inlineStr">
        <is>
          <t>clr_fund_market_detail</t>
        </is>
      </c>
      <c r="C5" s="24" t="inlineStr">
        <is>
          <t>FUNDNAME</t>
        </is>
      </c>
      <c r="D5" s="24" t="inlineStr">
        <is>
          <t>varchar(80)</t>
        </is>
      </c>
      <c r="E5" s="24" t="inlineStr">
        <is>
          <t>YES</t>
        </is>
      </c>
      <c r="F5" s="24" t="inlineStr">
        <is>
          <t>基金名称</t>
        </is>
      </c>
      <c r="G5" s="24" t="n"/>
      <c r="H5" s="24" t="n"/>
      <c r="I5" s="24" t="inlineStr"/>
      <c r="J5" s="24" t="inlineStr">
        <is>
          <t>2023/01/12</t>
        </is>
      </c>
    </row>
    <row r="6">
      <c r="B6" s="24" t="inlineStr">
        <is>
          <t>clr_fund_market_detail</t>
        </is>
      </c>
      <c r="C6" s="24" t="inlineStr">
        <is>
          <t>TRADEDATE</t>
        </is>
      </c>
      <c r="D6" s="24" t="inlineStr">
        <is>
          <t>date</t>
        </is>
      </c>
      <c r="E6" s="24" t="inlineStr">
        <is>
          <t>YES</t>
        </is>
      </c>
      <c r="F6" s="24" t="inlineStr">
        <is>
          <t>交易日期</t>
        </is>
      </c>
      <c r="G6" s="24" t="n"/>
      <c r="H6" s="24" t="n"/>
      <c r="I6" s="24" t="inlineStr"/>
      <c r="J6" s="24" t="inlineStr">
        <is>
          <t>2023/01/12</t>
        </is>
      </c>
    </row>
    <row r="7">
      <c r="B7" s="24" t="inlineStr">
        <is>
          <t>clr_fund_market_detail</t>
        </is>
      </c>
      <c r="C7" s="24" t="inlineStr">
        <is>
          <t>NETASSETVALUE</t>
        </is>
      </c>
      <c r="D7" s="24" t="inlineStr">
        <is>
          <t>decimal(24,6)</t>
        </is>
      </c>
      <c r="E7" s="24" t="inlineStr">
        <is>
          <t>YES</t>
        </is>
      </c>
      <c r="F7" s="24" t="inlineStr">
        <is>
          <t>单位净值</t>
        </is>
      </c>
      <c r="G7" s="24" t="n"/>
      <c r="H7" s="24" t="n"/>
      <c r="I7" s="24" t="inlineStr"/>
      <c r="J7" s="24" t="inlineStr">
        <is>
          <t>2023/01/12</t>
        </is>
      </c>
    </row>
    <row r="8">
      <c r="B8" s="24" t="inlineStr">
        <is>
          <t>clr_fund_market_detail</t>
        </is>
      </c>
      <c r="C8" s="24" t="inlineStr">
        <is>
          <t>NETVALUE</t>
        </is>
      </c>
      <c r="D8" s="24" t="inlineStr">
        <is>
          <t>decimal(24,6)</t>
        </is>
      </c>
      <c r="E8" s="24" t="inlineStr">
        <is>
          <t>YES</t>
        </is>
      </c>
      <c r="F8" s="24" t="inlineStr">
        <is>
          <t>累计净值</t>
        </is>
      </c>
      <c r="G8" s="24" t="n"/>
      <c r="H8" s="24" t="n"/>
      <c r="I8" s="24" t="inlineStr"/>
      <c r="J8" s="24" t="inlineStr">
        <is>
          <t>2023/01/12</t>
        </is>
      </c>
    </row>
    <row r="9">
      <c r="B9" s="24" t="inlineStr">
        <is>
          <t>clr_fund_market_detail</t>
        </is>
      </c>
      <c r="C9" s="24" t="inlineStr">
        <is>
          <t>DAILYINCREASES</t>
        </is>
      </c>
      <c r="D9" s="24" t="inlineStr">
        <is>
          <t>decimal(24,6)</t>
        </is>
      </c>
      <c r="E9" s="24" t="inlineStr">
        <is>
          <t>YES</t>
        </is>
      </c>
      <c r="F9" s="24" t="inlineStr">
        <is>
          <t>日涨幅</t>
        </is>
      </c>
      <c r="G9" s="24" t="n"/>
      <c r="H9" s="24" t="n"/>
      <c r="I9" s="24" t="inlineStr"/>
      <c r="J9" s="24" t="inlineStr">
        <is>
          <t>2023/01/12</t>
        </is>
      </c>
    </row>
    <row r="10">
      <c r="B10" s="24" t="inlineStr">
        <is>
          <t>clr_fund_market_detail</t>
        </is>
      </c>
      <c r="C10" s="24" t="inlineStr">
        <is>
          <t>CORPORGID</t>
        </is>
      </c>
      <c r="D10" s="24" t="inlineStr">
        <is>
          <t>varchar(32)</t>
        </is>
      </c>
      <c r="E10" s="24" t="inlineStr">
        <is>
          <t>YES</t>
        </is>
      </c>
      <c r="F10" s="24" t="inlineStr">
        <is>
          <t>法人机构号</t>
        </is>
      </c>
      <c r="G10" s="24" t="n"/>
      <c r="H10" s="24" t="n"/>
      <c r="I10" s="24" t="inlineStr"/>
      <c r="J10" s="24" t="inlineStr">
        <is>
          <t>2023/01/12</t>
        </is>
      </c>
    </row>
    <row r="11">
      <c r="B11" s="24" t="inlineStr">
        <is>
          <t>clr_fund_market_detail</t>
        </is>
      </c>
      <c r="C11" s="24" t="inlineStr">
        <is>
          <t>DELETEFLAG</t>
        </is>
      </c>
      <c r="D11" s="24" t="inlineStr">
        <is>
          <t>varchar(6)</t>
        </is>
      </c>
      <c r="E11" s="24" t="inlineStr">
        <is>
          <t>YES</t>
        </is>
      </c>
      <c r="F11" s="24" t="inlineStr">
        <is>
          <t>删除标记</t>
        </is>
      </c>
      <c r="G11" s="24" t="n"/>
      <c r="H11" s="24" t="n"/>
      <c r="I11" s="24" t="inlineStr"/>
      <c r="J11" s="24" t="inlineStr">
        <is>
          <t>2023/01/12</t>
        </is>
      </c>
    </row>
    <row r="12">
      <c r="B12" s="24" t="inlineStr">
        <is>
          <t>clr_fund_market_detail</t>
        </is>
      </c>
      <c r="C12" s="24" t="inlineStr">
        <is>
          <t>INPUTUSERID</t>
        </is>
      </c>
      <c r="D12" s="24" t="inlineStr">
        <is>
          <t>varchar(32)</t>
        </is>
      </c>
      <c r="E12" s="24" t="inlineStr">
        <is>
          <t>YES</t>
        </is>
      </c>
      <c r="F12" s="24" t="inlineStr">
        <is>
          <t>登记人</t>
        </is>
      </c>
      <c r="G12" s="24" t="n"/>
      <c r="H12" s="24" t="n"/>
      <c r="I12" s="24" t="inlineStr"/>
      <c r="J12" s="24" t="inlineStr">
        <is>
          <t>2023/01/12</t>
        </is>
      </c>
    </row>
    <row r="13">
      <c r="B13" s="24" t="inlineStr">
        <is>
          <t>clr_fund_market_detail</t>
        </is>
      </c>
      <c r="C13" s="24" t="inlineStr">
        <is>
          <t>INPUTORGID</t>
        </is>
      </c>
      <c r="D13" s="24" t="inlineStr">
        <is>
          <t>varchar(32)</t>
        </is>
      </c>
      <c r="E13" s="24" t="inlineStr">
        <is>
          <t>YES</t>
        </is>
      </c>
      <c r="F13" s="24" t="inlineStr">
        <is>
          <t>登记机构</t>
        </is>
      </c>
      <c r="G13" s="24" t="n"/>
      <c r="H13" s="24" t="n"/>
      <c r="I13" s="24" t="inlineStr"/>
      <c r="J13" s="24" t="inlineStr">
        <is>
          <t>2023/01/12</t>
        </is>
      </c>
    </row>
    <row r="14">
      <c r="B14" s="24" t="inlineStr">
        <is>
          <t>clr_fund_market_detail</t>
        </is>
      </c>
      <c r="C14" s="24" t="inlineStr">
        <is>
          <t>INPUTDATE</t>
        </is>
      </c>
      <c r="D14" s="24" t="inlineStr">
        <is>
          <t>datetime</t>
        </is>
      </c>
      <c r="E14" s="24" t="inlineStr">
        <is>
          <t>YES</t>
        </is>
      </c>
      <c r="F14" s="24" t="inlineStr">
        <is>
          <t>登记日期</t>
        </is>
      </c>
      <c r="G14" s="24" t="n"/>
      <c r="H14" s="24" t="n"/>
      <c r="I14" s="24" t="inlineStr"/>
      <c r="J14" s="24" t="inlineStr">
        <is>
          <t>2023/01/12</t>
        </is>
      </c>
    </row>
    <row r="15">
      <c r="B15" s="24" t="inlineStr">
        <is>
          <t>clr_fund_market_detail</t>
        </is>
      </c>
      <c r="C15" s="24" t="inlineStr">
        <is>
          <t>UPDATEUSERID</t>
        </is>
      </c>
      <c r="D15" s="24" t="inlineStr">
        <is>
          <t>varchar(32)</t>
        </is>
      </c>
      <c r="E15" s="24" t="inlineStr">
        <is>
          <t>YES</t>
        </is>
      </c>
      <c r="F15" s="24" t="inlineStr">
        <is>
          <t>更新人</t>
        </is>
      </c>
      <c r="G15" s="24" t="n"/>
      <c r="H15" s="24" t="n"/>
      <c r="I15" s="24" t="inlineStr"/>
      <c r="J15" s="24" t="inlineStr">
        <is>
          <t>2023/01/12</t>
        </is>
      </c>
    </row>
    <row r="16">
      <c r="B16" s="24" t="inlineStr">
        <is>
          <t>clr_fund_market_detail</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clr_fund_market_detail</t>
        </is>
      </c>
      <c r="C17" s="24" t="inlineStr">
        <is>
          <t>UPDATEDATE</t>
        </is>
      </c>
      <c r="D17" s="24" t="inlineStr">
        <is>
          <t>datetime</t>
        </is>
      </c>
      <c r="E17" s="24" t="inlineStr">
        <is>
          <t>YES</t>
        </is>
      </c>
      <c r="F17" s="24" t="inlineStr">
        <is>
          <t>更新日期</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83.xml><?xml version="1.0" encoding="utf-8"?>
<worksheet xmlns="http://schemas.openxmlformats.org/spreadsheetml/2006/main">
  <sheetPr>
    <outlinePr summaryBelow="1" summaryRight="1"/>
    <pageSetUpPr/>
  </sheetPr>
  <dimension ref="A1:J34"/>
  <sheetViews>
    <sheetView zoomScaleSheetLayoutView="60" workbookViewId="0">
      <selection activeCell="F19" sqref="F1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担保方案和押品关系表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clr_guascheme_relative</t>
        </is>
      </c>
      <c r="C3" s="24" t="inlineStr">
        <is>
          <t>GUARANTYNO</t>
        </is>
      </c>
      <c r="D3" s="24" t="inlineStr">
        <is>
          <t>varchar(32)</t>
        </is>
      </c>
      <c r="E3" s="24" t="inlineStr">
        <is>
          <t>NO</t>
        </is>
      </c>
      <c r="F3" s="24" t="inlineStr">
        <is>
          <t>担保合同编号</t>
        </is>
      </c>
      <c r="G3" s="24" t="n"/>
      <c r="H3" s="24" t="n"/>
      <c r="I3" s="24" t="inlineStr"/>
      <c r="J3" s="24" t="inlineStr">
        <is>
          <t>2023/01/12</t>
        </is>
      </c>
    </row>
    <row r="4">
      <c r="B4" s="24" t="inlineStr">
        <is>
          <t>clr_guascheme_relative</t>
        </is>
      </c>
      <c r="C4" s="24" t="inlineStr">
        <is>
          <t>SOURCESYSTEM</t>
        </is>
      </c>
      <c r="D4" s="24" t="inlineStr">
        <is>
          <t>varchar(32)</t>
        </is>
      </c>
      <c r="E4" s="24" t="inlineStr">
        <is>
          <t>NO</t>
        </is>
      </c>
      <c r="F4" s="24" t="inlineStr">
        <is>
          <t>源系统</t>
        </is>
      </c>
      <c r="G4" s="24" t="n"/>
      <c r="H4" s="24" t="n"/>
      <c r="I4" s="24" t="inlineStr"/>
      <c r="J4" s="24" t="inlineStr">
        <is>
          <t>2023/01/12</t>
        </is>
      </c>
    </row>
    <row r="5">
      <c r="B5" s="24" t="inlineStr">
        <is>
          <t>clr_guascheme_relative</t>
        </is>
      </c>
      <c r="C5" s="24" t="inlineStr">
        <is>
          <t>CLRID</t>
        </is>
      </c>
      <c r="D5" s="24" t="inlineStr">
        <is>
          <t>varchar(32)</t>
        </is>
      </c>
      <c r="E5" s="24" t="inlineStr">
        <is>
          <t>NO</t>
        </is>
      </c>
      <c r="F5" s="24" t="inlineStr">
        <is>
          <t>押品编号</t>
        </is>
      </c>
      <c r="G5" s="24" t="n"/>
      <c r="H5" s="24" t="n"/>
      <c r="I5" s="24" t="inlineStr"/>
      <c r="J5" s="24" t="inlineStr">
        <is>
          <t>2023/01/12</t>
        </is>
      </c>
    </row>
    <row r="6">
      <c r="B6" s="24" t="inlineStr">
        <is>
          <t>clr_guascheme_relative</t>
        </is>
      </c>
      <c r="C6" s="24" t="inlineStr">
        <is>
          <t>RIGHTCERTID</t>
        </is>
      </c>
      <c r="D6" s="24" t="inlineStr">
        <is>
          <t>varchar(32)</t>
        </is>
      </c>
      <c r="E6" s="24" t="inlineStr">
        <is>
          <t>NO</t>
        </is>
      </c>
      <c r="F6" s="24" t="inlineStr">
        <is>
          <t>代表权证编号</t>
        </is>
      </c>
      <c r="G6" s="24" t="n"/>
      <c r="H6" s="24" t="n"/>
      <c r="I6" s="24" t="inlineStr"/>
      <c r="J6" s="24" t="inlineStr">
        <is>
          <t>2023/01/12</t>
        </is>
      </c>
    </row>
    <row r="7">
      <c r="B7" s="24" t="inlineStr">
        <is>
          <t>clr_guascheme_relative</t>
        </is>
      </c>
      <c r="C7" s="24" t="inlineStr">
        <is>
          <t>CLRDISCOUNTRATIO</t>
        </is>
      </c>
      <c r="D7" s="24" t="inlineStr">
        <is>
          <t>decimal(18,8)</t>
        </is>
      </c>
      <c r="E7" s="24" t="inlineStr">
        <is>
          <t>YES</t>
        </is>
      </c>
      <c r="F7" s="24" t="inlineStr">
        <is>
          <t>押品折现系数</t>
        </is>
      </c>
      <c r="G7" s="24" t="n"/>
      <c r="H7" s="24" t="n"/>
      <c r="I7" s="24" t="inlineStr"/>
      <c r="J7" s="24" t="inlineStr">
        <is>
          <t>2023/01/12</t>
        </is>
      </c>
    </row>
    <row r="8">
      <c r="B8" s="24" t="inlineStr">
        <is>
          <t>clr_guascheme_relative</t>
        </is>
      </c>
      <c r="C8" s="24" t="inlineStr">
        <is>
          <t>CLRVALUERATIO</t>
        </is>
      </c>
      <c r="D8" s="24" t="inlineStr">
        <is>
          <t>decimal(18,8)</t>
        </is>
      </c>
      <c r="E8" s="24" t="inlineStr">
        <is>
          <t>YES</t>
        </is>
      </c>
      <c r="F8" s="24" t="inlineStr">
        <is>
          <t>押品价值占比</t>
        </is>
      </c>
      <c r="G8" s="24" t="n"/>
      <c r="H8" s="24" t="n"/>
      <c r="I8" s="24" t="inlineStr"/>
      <c r="J8" s="24" t="inlineStr">
        <is>
          <t>2023/01/12</t>
        </is>
      </c>
    </row>
    <row r="9">
      <c r="B9" s="24" t="inlineStr">
        <is>
          <t>clr_guascheme_relative</t>
        </is>
      </c>
      <c r="C9" s="24" t="inlineStr">
        <is>
          <t>PRIORITYCLAIM</t>
        </is>
      </c>
      <c r="D9" s="24" t="inlineStr">
        <is>
          <t>varchar(18)</t>
        </is>
      </c>
      <c r="E9" s="24" t="inlineStr">
        <is>
          <t>YES</t>
        </is>
      </c>
      <c r="F9" s="24" t="inlineStr">
        <is>
          <t>债权优先顺位</t>
        </is>
      </c>
      <c r="G9" s="24" t="n"/>
      <c r="H9" s="24" t="n"/>
      <c r="I9" s="24" t="inlineStr"/>
      <c r="J9" s="24" t="inlineStr">
        <is>
          <t>2023/01/12</t>
        </is>
      </c>
    </row>
    <row r="10">
      <c r="B10" s="24" t="inlineStr">
        <is>
          <t>clr_guascheme_relative</t>
        </is>
      </c>
      <c r="C10" s="24" t="inlineStr">
        <is>
          <t>PRIORCLAIMVALUE</t>
        </is>
      </c>
      <c r="D10" s="24" t="inlineStr">
        <is>
          <t>decimal(24,6)</t>
        </is>
      </c>
      <c r="E10" s="24" t="inlineStr">
        <is>
          <t>YES</t>
        </is>
      </c>
      <c r="F10" s="24" t="inlineStr">
        <is>
          <t>优先受偿价值</t>
        </is>
      </c>
      <c r="G10" s="24" t="n"/>
      <c r="H10" s="24" t="n"/>
      <c r="I10" s="24" t="inlineStr"/>
      <c r="J10" s="24" t="inlineStr">
        <is>
          <t>2023/01/12</t>
        </is>
      </c>
    </row>
    <row r="11">
      <c r="B11" s="24" t="inlineStr">
        <is>
          <t>clr_guascheme_relative</t>
        </is>
      </c>
      <c r="C11" s="24" t="inlineStr">
        <is>
          <t>LEGALRIGHTVALUE</t>
        </is>
      </c>
      <c r="D11" s="24" t="inlineStr">
        <is>
          <t>decimal(24,6)</t>
        </is>
      </c>
      <c r="E11" s="24" t="inlineStr">
        <is>
          <t>YES</t>
        </is>
      </c>
      <c r="F11" s="24" t="inlineStr">
        <is>
          <t>法定权利价值</t>
        </is>
      </c>
      <c r="G11" s="24" t="n"/>
      <c r="H11" s="24" t="n"/>
      <c r="I11" s="24" t="inlineStr"/>
      <c r="J11" s="24" t="inlineStr">
        <is>
          <t>2023/01/12</t>
        </is>
      </c>
    </row>
    <row r="12">
      <c r="B12" s="24" t="inlineStr">
        <is>
          <t>clr_guascheme_relative</t>
        </is>
      </c>
      <c r="C12" s="24" t="inlineStr">
        <is>
          <t>RIGHTCERTTYPE</t>
        </is>
      </c>
      <c r="D12" s="24" t="inlineStr">
        <is>
          <t>varchar(18)</t>
        </is>
      </c>
      <c r="E12" s="24" t="inlineStr">
        <is>
          <t>YES</t>
        </is>
      </c>
      <c r="F12" s="24" t="inlineStr">
        <is>
          <t>代表权证类型</t>
        </is>
      </c>
      <c r="G12" s="24" t="n"/>
      <c r="H12" s="24" t="n"/>
      <c r="I12" s="24" t="inlineStr"/>
      <c r="J12" s="24" t="inlineStr">
        <is>
          <t>2023/01/12</t>
        </is>
      </c>
    </row>
    <row r="13">
      <c r="B13" s="24" t="inlineStr">
        <is>
          <t>clr_guascheme_relative</t>
        </is>
      </c>
      <c r="C13" s="24" t="inlineStr">
        <is>
          <t>RIGHTCERTNO</t>
        </is>
      </c>
      <c r="D13" s="24" t="inlineStr">
        <is>
          <t>varchar(32)</t>
        </is>
      </c>
      <c r="E13" s="24" t="inlineStr">
        <is>
          <t>YES</t>
        </is>
      </c>
      <c r="F13" s="24" t="inlineStr">
        <is>
          <t>代表权证号</t>
        </is>
      </c>
      <c r="G13" s="24" t="n"/>
      <c r="H13" s="24" t="n"/>
      <c r="I13" s="24" t="inlineStr"/>
      <c r="J13" s="24" t="inlineStr">
        <is>
          <t>2023/01/12</t>
        </is>
      </c>
    </row>
    <row r="14">
      <c r="B14" s="24" t="inlineStr">
        <is>
          <t>clr_guascheme_relative</t>
        </is>
      </c>
      <c r="C14" s="24" t="inlineStr">
        <is>
          <t>ISNEEDINSURANCE</t>
        </is>
      </c>
      <c r="D14" s="24" t="inlineStr">
        <is>
          <t>char(1)</t>
        </is>
      </c>
      <c r="E14" s="24" t="inlineStr">
        <is>
          <t>YES</t>
        </is>
      </c>
      <c r="F14" s="24" t="inlineStr">
        <is>
          <t>是否需要投保</t>
        </is>
      </c>
      <c r="G14" s="24" t="n"/>
      <c r="H14" s="24" t="n"/>
      <c r="I14" s="24" t="inlineStr"/>
      <c r="J14" s="24" t="inlineStr">
        <is>
          <t>2023/01/12</t>
        </is>
      </c>
    </row>
    <row r="15">
      <c r="B15" s="24" t="inlineStr">
        <is>
          <t>clr_guascheme_relative</t>
        </is>
      </c>
      <c r="C15" s="24" t="inlineStr">
        <is>
          <t>INSURANCESTATUS</t>
        </is>
      </c>
      <c r="D15" s="24" t="inlineStr">
        <is>
          <t>varchar(6)</t>
        </is>
      </c>
      <c r="E15" s="24" t="inlineStr">
        <is>
          <t>YES</t>
        </is>
      </c>
      <c r="F15" s="24" t="inlineStr">
        <is>
          <t>投保状态</t>
        </is>
      </c>
      <c r="G15" s="24" t="n"/>
      <c r="H15" s="24" t="n"/>
      <c r="I15" s="24" t="inlineStr"/>
      <c r="J15" s="24" t="inlineStr">
        <is>
          <t>2023/01/12</t>
        </is>
      </c>
    </row>
    <row r="16">
      <c r="B16" s="24" t="inlineStr">
        <is>
          <t>clr_guascheme_relative</t>
        </is>
      </c>
      <c r="C16" s="24" t="inlineStr">
        <is>
          <t>ISNEEDNOTARIZAITON</t>
        </is>
      </c>
      <c r="D16" s="24" t="inlineStr">
        <is>
          <t>char(1)</t>
        </is>
      </c>
      <c r="E16" s="24" t="inlineStr">
        <is>
          <t>YES</t>
        </is>
      </c>
      <c r="F16" s="24" t="inlineStr">
        <is>
          <t>是否需要公证</t>
        </is>
      </c>
      <c r="G16" s="24" t="n"/>
      <c r="H16" s="24" t="n"/>
      <c r="I16" s="24" t="inlineStr"/>
      <c r="J16" s="24" t="inlineStr">
        <is>
          <t>2023/01/12</t>
        </is>
      </c>
    </row>
    <row r="17">
      <c r="B17" s="24" t="inlineStr">
        <is>
          <t>clr_guascheme_relative</t>
        </is>
      </c>
      <c r="C17" s="24" t="inlineStr">
        <is>
          <t>ISVERIFICATION</t>
        </is>
      </c>
      <c r="D17" s="24" t="inlineStr">
        <is>
          <t>char(1)</t>
        </is>
      </c>
      <c r="E17" s="24" t="inlineStr">
        <is>
          <t>YES</t>
        </is>
      </c>
      <c r="F17" s="24" t="inlineStr">
        <is>
          <t>是否已核押</t>
        </is>
      </c>
      <c r="G17" s="24" t="n"/>
      <c r="H17" s="24" t="n"/>
      <c r="I17" s="24" t="inlineStr"/>
      <c r="J17" s="24" t="inlineStr">
        <is>
          <t>2023/01/12</t>
        </is>
      </c>
    </row>
    <row r="18">
      <c r="B18" s="24" t="inlineStr">
        <is>
          <t>clr_guascheme_relative</t>
        </is>
      </c>
      <c r="C18" s="24" t="inlineStr">
        <is>
          <t>NOTARIZESTATUS</t>
        </is>
      </c>
      <c r="D18" s="24" t="inlineStr">
        <is>
          <t>varchar(6)</t>
        </is>
      </c>
      <c r="E18" s="24" t="inlineStr">
        <is>
          <t>YES</t>
        </is>
      </c>
      <c r="F18" s="24" t="inlineStr">
        <is>
          <t>公证状态</t>
        </is>
      </c>
      <c r="G18" s="24" t="n"/>
      <c r="H18" s="24" t="n"/>
      <c r="I18" s="24" t="inlineStr"/>
      <c r="J18" s="24" t="inlineStr">
        <is>
          <t>2023/01/12</t>
        </is>
      </c>
    </row>
    <row r="19">
      <c r="B19" s="24" t="inlineStr">
        <is>
          <t>clr_guascheme_relative</t>
        </is>
      </c>
      <c r="C19" s="24" t="inlineStr">
        <is>
          <t>ISNEEDREGISTER</t>
        </is>
      </c>
      <c r="D19" s="24" t="inlineStr">
        <is>
          <t>char(1)</t>
        </is>
      </c>
      <c r="E19" s="24" t="inlineStr">
        <is>
          <t>YES</t>
        </is>
      </c>
      <c r="F19" s="24" t="inlineStr">
        <is>
          <t>是否需要抵质押登记手续</t>
        </is>
      </c>
      <c r="G19" s="24" t="n"/>
      <c r="H19" s="24" t="n"/>
      <c r="I19" s="24" t="inlineStr"/>
      <c r="J19" s="24" t="inlineStr">
        <is>
          <t>2023/01/12</t>
        </is>
      </c>
    </row>
    <row r="20">
      <c r="B20" s="24" t="inlineStr">
        <is>
          <t>clr_guascheme_relative</t>
        </is>
      </c>
      <c r="C20" s="24" t="inlineStr">
        <is>
          <t>REGISTERPROCESS</t>
        </is>
      </c>
      <c r="D20" s="24" t="inlineStr">
        <is>
          <t>varchar(6)</t>
        </is>
      </c>
      <c r="E20" s="24" t="inlineStr">
        <is>
          <t>YES</t>
        </is>
      </c>
      <c r="F20" s="24" t="inlineStr">
        <is>
          <t>抵质押登记进度</t>
        </is>
      </c>
      <c r="G20" s="24" t="n"/>
      <c r="H20" s="24" t="n"/>
      <c r="I20" s="24" t="inlineStr"/>
      <c r="J20" s="24" t="inlineStr">
        <is>
          <t>2023/01/12</t>
        </is>
      </c>
    </row>
    <row r="21">
      <c r="B21" s="24" t="inlineStr">
        <is>
          <t>clr_guascheme_relative</t>
        </is>
      </c>
      <c r="C21" s="24" t="inlineStr">
        <is>
          <t>EFFECTIVEDATE</t>
        </is>
      </c>
      <c r="D21" s="24" t="inlineStr">
        <is>
          <t>datetime</t>
        </is>
      </c>
      <c r="E21" s="24" t="inlineStr">
        <is>
          <t>YES</t>
        </is>
      </c>
      <c r="F21" s="24" t="inlineStr">
        <is>
          <t>生效日期</t>
        </is>
      </c>
      <c r="G21" s="24" t="n"/>
      <c r="H21" s="24" t="n"/>
      <c r="I21" s="24" t="inlineStr"/>
      <c r="J21" s="24" t="inlineStr">
        <is>
          <t>2023/01/12</t>
        </is>
      </c>
    </row>
    <row r="22">
      <c r="B22" s="24" t="inlineStr">
        <is>
          <t>clr_guascheme_relative</t>
        </is>
      </c>
      <c r="C22" s="24" t="inlineStr">
        <is>
          <t>EXPIRYDATE</t>
        </is>
      </c>
      <c r="D22" s="24" t="inlineStr">
        <is>
          <t>datetime</t>
        </is>
      </c>
      <c r="E22" s="24" t="inlineStr">
        <is>
          <t>YES</t>
        </is>
      </c>
      <c r="F22" s="24" t="inlineStr">
        <is>
          <t>失效日期</t>
        </is>
      </c>
      <c r="G22" s="24" t="n"/>
      <c r="H22" s="24" t="n"/>
      <c r="I22" s="24" t="inlineStr"/>
      <c r="J22" s="24" t="inlineStr">
        <is>
          <t>2023/01/12</t>
        </is>
      </c>
    </row>
    <row r="23">
      <c r="B23" s="24" t="inlineStr">
        <is>
          <t>clr_guascheme_relative</t>
        </is>
      </c>
      <c r="C23" s="24" t="inlineStr">
        <is>
          <t>GNTRIGHTEFFDATE</t>
        </is>
      </c>
      <c r="D23" s="24" t="inlineStr">
        <is>
          <t>datetime</t>
        </is>
      </c>
      <c r="E23" s="24" t="inlineStr">
        <is>
          <t>YES</t>
        </is>
      </c>
      <c r="F23" s="24" t="inlineStr">
        <is>
          <t>押权生效日期</t>
        </is>
      </c>
      <c r="G23" s="24" t="n"/>
      <c r="H23" s="24" t="n"/>
      <c r="I23" s="24" t="inlineStr"/>
      <c r="J23" s="24" t="inlineStr">
        <is>
          <t>2023/01/12</t>
        </is>
      </c>
    </row>
    <row r="24">
      <c r="B24" s="24" t="inlineStr">
        <is>
          <t>clr_guascheme_relative</t>
        </is>
      </c>
      <c r="C24" s="24" t="inlineStr">
        <is>
          <t>GNTRIGHTEXPRDATE</t>
        </is>
      </c>
      <c r="D24" s="24" t="inlineStr">
        <is>
          <t>datetime</t>
        </is>
      </c>
      <c r="E24" s="24" t="inlineStr">
        <is>
          <t>YES</t>
        </is>
      </c>
      <c r="F24" s="24" t="inlineStr">
        <is>
          <t>押权失效日期</t>
        </is>
      </c>
      <c r="G24" s="24" t="n"/>
      <c r="H24" s="24" t="n"/>
      <c r="I24" s="24" t="inlineStr"/>
      <c r="J24" s="24" t="inlineStr">
        <is>
          <t>2023/01/12</t>
        </is>
      </c>
    </row>
    <row r="25">
      <c r="B25" s="24" t="inlineStr">
        <is>
          <t>clr_guascheme_relative</t>
        </is>
      </c>
      <c r="C25" s="24" t="inlineStr">
        <is>
          <t>GNTRIGHTEXPRREASON</t>
        </is>
      </c>
      <c r="D25" s="24" t="inlineStr">
        <is>
          <t>varchar(6)</t>
        </is>
      </c>
      <c r="E25" s="24" t="inlineStr">
        <is>
          <t>YES</t>
        </is>
      </c>
      <c r="F25" s="24" t="inlineStr">
        <is>
          <t>押权失效原因;01  到期解除02  置换解除03  以物抵债04  押品灭失)</t>
        </is>
      </c>
      <c r="G25" s="24" t="n"/>
      <c r="H25" s="24" t="n"/>
      <c r="I25" s="24" t="inlineStr"/>
      <c r="J25" s="24" t="inlineStr">
        <is>
          <t>2023/01/12</t>
        </is>
      </c>
    </row>
    <row r="26">
      <c r="B26" s="24" t="inlineStr">
        <is>
          <t>clr_guascheme_relative</t>
        </is>
      </c>
      <c r="C26" s="24" t="inlineStr">
        <is>
          <t>STATUS</t>
        </is>
      </c>
      <c r="D26" s="24" t="inlineStr">
        <is>
          <t>varchar(6)</t>
        </is>
      </c>
      <c r="E26" s="24" t="inlineStr">
        <is>
          <t>YES</t>
        </is>
      </c>
      <c r="F26" s="24" t="inlineStr">
        <is>
          <t>状态</t>
        </is>
      </c>
      <c r="G26" s="24" t="n"/>
      <c r="H26" s="24" t="n"/>
      <c r="I26" s="24" t="inlineStr"/>
      <c r="J26" s="24" t="inlineStr">
        <is>
          <t>2023/01/12</t>
        </is>
      </c>
    </row>
    <row r="27">
      <c r="B27" s="24" t="inlineStr">
        <is>
          <t>clr_guascheme_relative</t>
        </is>
      </c>
      <c r="C27" s="24" t="inlineStr">
        <is>
          <t>OLDCLRID</t>
        </is>
      </c>
      <c r="D27" s="24" t="inlineStr">
        <is>
          <t>varchar(32)</t>
        </is>
      </c>
      <c r="E27" s="24" t="inlineStr">
        <is>
          <t>YES</t>
        </is>
      </c>
      <c r="F27" s="24" t="inlineStr">
        <is>
          <t>合并前押品编号</t>
        </is>
      </c>
      <c r="G27" s="24" t="n"/>
      <c r="H27" s="24" t="n"/>
      <c r="I27" s="24" t="inlineStr"/>
      <c r="J27" s="24" t="inlineStr">
        <is>
          <t>2023/01/12</t>
        </is>
      </c>
    </row>
    <row r="28">
      <c r="B28" s="24" t="inlineStr">
        <is>
          <t>clr_guascheme_relative</t>
        </is>
      </c>
      <c r="C28" s="24" t="inlineStr">
        <is>
          <t>INPUTUSERID</t>
        </is>
      </c>
      <c r="D28" s="24" t="inlineStr">
        <is>
          <t>varchar(32)</t>
        </is>
      </c>
      <c r="E28" s="24" t="inlineStr">
        <is>
          <t>YES</t>
        </is>
      </c>
      <c r="F28" s="24" t="inlineStr">
        <is>
          <t>登记人</t>
        </is>
      </c>
      <c r="G28" s="24" t="n"/>
      <c r="H28" s="24" t="n"/>
      <c r="I28" s="24" t="inlineStr"/>
      <c r="J28" s="24" t="inlineStr">
        <is>
          <t>2023/01/12</t>
        </is>
      </c>
    </row>
    <row r="29">
      <c r="B29" s="24" t="inlineStr">
        <is>
          <t>clr_guascheme_relative</t>
        </is>
      </c>
      <c r="C29" s="24" t="inlineStr">
        <is>
          <t>INPUTORGID</t>
        </is>
      </c>
      <c r="D29" s="24" t="inlineStr">
        <is>
          <t>varchar(32)</t>
        </is>
      </c>
      <c r="E29" s="24" t="inlineStr">
        <is>
          <t>YES</t>
        </is>
      </c>
      <c r="F29" s="24" t="inlineStr">
        <is>
          <t>登记机构</t>
        </is>
      </c>
      <c r="G29" s="24" t="n"/>
      <c r="H29" s="24" t="n"/>
      <c r="I29" s="24" t="inlineStr"/>
      <c r="J29" s="24" t="inlineStr">
        <is>
          <t>2023/01/12</t>
        </is>
      </c>
    </row>
    <row r="30">
      <c r="B30" s="24" t="inlineStr">
        <is>
          <t>clr_guascheme_relative</t>
        </is>
      </c>
      <c r="C30" s="24" t="inlineStr">
        <is>
          <t>INPUTDATE</t>
        </is>
      </c>
      <c r="D30" s="24" t="inlineStr">
        <is>
          <t>datetime</t>
        </is>
      </c>
      <c r="E30" s="24" t="inlineStr">
        <is>
          <t>YES</t>
        </is>
      </c>
      <c r="F30" s="24" t="inlineStr">
        <is>
          <t>登记日期</t>
        </is>
      </c>
      <c r="G30" s="24" t="n"/>
      <c r="H30" s="24" t="n"/>
      <c r="I30" s="24" t="inlineStr"/>
      <c r="J30" s="24" t="inlineStr">
        <is>
          <t>2023/01/12</t>
        </is>
      </c>
    </row>
    <row r="31">
      <c r="B31" s="24" t="inlineStr">
        <is>
          <t>clr_guascheme_relative</t>
        </is>
      </c>
      <c r="C31" s="24" t="inlineStr">
        <is>
          <t>UPDATEUSERID</t>
        </is>
      </c>
      <c r="D31" s="24" t="inlineStr">
        <is>
          <t>varchar(32)</t>
        </is>
      </c>
      <c r="E31" s="24" t="inlineStr">
        <is>
          <t>YES</t>
        </is>
      </c>
      <c r="F31" s="24" t="inlineStr">
        <is>
          <t>更新人</t>
        </is>
      </c>
      <c r="G31" s="24" t="n"/>
      <c r="H31" s="24" t="n"/>
      <c r="I31" s="24" t="inlineStr"/>
      <c r="J31" s="24" t="inlineStr">
        <is>
          <t>2023/01/12</t>
        </is>
      </c>
    </row>
    <row r="32">
      <c r="B32" s="24" t="inlineStr">
        <is>
          <t>clr_guascheme_relative</t>
        </is>
      </c>
      <c r="C32" s="24" t="inlineStr">
        <is>
          <t>UPDATEORGID</t>
        </is>
      </c>
      <c r="D32" s="24" t="inlineStr">
        <is>
          <t>varchar(32)</t>
        </is>
      </c>
      <c r="E32" s="24" t="inlineStr">
        <is>
          <t>YES</t>
        </is>
      </c>
      <c r="F32" s="24" t="inlineStr">
        <is>
          <t>更新机构</t>
        </is>
      </c>
      <c r="G32" s="24" t="n"/>
      <c r="H32" s="24" t="n"/>
      <c r="I32" s="24" t="inlineStr"/>
      <c r="J32" s="24" t="inlineStr">
        <is>
          <t>2023/01/12</t>
        </is>
      </c>
    </row>
    <row r="33">
      <c r="B33" s="24" t="inlineStr">
        <is>
          <t>clr_guascheme_relative</t>
        </is>
      </c>
      <c r="C33" s="24" t="inlineStr">
        <is>
          <t>UPDATEDATE</t>
        </is>
      </c>
      <c r="D33" s="24" t="inlineStr">
        <is>
          <t>datetime</t>
        </is>
      </c>
      <c r="E33" s="24" t="inlineStr">
        <is>
          <t>YES</t>
        </is>
      </c>
      <c r="F33" s="24" t="inlineStr">
        <is>
          <t>更新日期</t>
        </is>
      </c>
      <c r="G33" s="24" t="n"/>
      <c r="H33" s="24" t="n"/>
      <c r="I33" s="24" t="inlineStr"/>
      <c r="J33" s="24" t="inlineStr">
        <is>
          <t>2023/01/12</t>
        </is>
      </c>
    </row>
    <row r="34">
      <c r="B34" s="24" t="inlineStr">
        <is>
          <t>clr_guascheme_relative</t>
        </is>
      </c>
      <c r="C34" s="24" t="inlineStr">
        <is>
          <t>CORPORGID</t>
        </is>
      </c>
      <c r="D34" s="24" t="inlineStr">
        <is>
          <t>varchar(32)</t>
        </is>
      </c>
      <c r="E34" s="24" t="inlineStr">
        <is>
          <t>YES</t>
        </is>
      </c>
      <c r="F34" s="24" t="inlineStr">
        <is>
          <t>法人机构编号</t>
        </is>
      </c>
      <c r="G34" s="24" t="n"/>
      <c r="H34" s="24" t="n"/>
      <c r="I34" s="24" t="inlineStr"/>
      <c r="J34" s="24" t="inlineStr">
        <is>
          <t>2023/01/12</t>
        </is>
      </c>
    </row>
  </sheetData>
  <pageMargins left="0.75" right="0.75" top="1" bottom="1" header="0.5" footer="0.5"/>
  <pageSetup orientation="portrait" paperSize="1" horizontalDpi="300" verticalDpi="300"/>
</worksheet>
</file>

<file path=xl/worksheets/sheet84.xml><?xml version="1.0" encoding="utf-8"?>
<worksheet xmlns="http://schemas.openxmlformats.org/spreadsheetml/2006/main">
  <sheetPr>
    <outlinePr summaryBelow="1" summaryRight="1"/>
    <pageSetUpPr/>
  </sheetPr>
  <dimension ref="A1:J22"/>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押品处置信息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clr_handle_info</t>
        </is>
      </c>
      <c r="C3" s="24" t="inlineStr">
        <is>
          <t>CLRHANDLEID</t>
        </is>
      </c>
      <c r="D3" s="24" t="inlineStr">
        <is>
          <t>varchar(32)</t>
        </is>
      </c>
      <c r="E3" s="24" t="inlineStr">
        <is>
          <t>NO</t>
        </is>
      </c>
      <c r="F3" s="24" t="inlineStr">
        <is>
          <t>抵债资产编号</t>
        </is>
      </c>
      <c r="G3" s="24" t="n"/>
      <c r="H3" s="24" t="n"/>
      <c r="I3" s="24" t="inlineStr"/>
      <c r="J3" s="24" t="inlineStr">
        <is>
          <t>2023/01/12</t>
        </is>
      </c>
    </row>
    <row r="4">
      <c r="B4" s="24" t="inlineStr">
        <is>
          <t>clr_handle_info</t>
        </is>
      </c>
      <c r="C4" s="24" t="inlineStr">
        <is>
          <t>CLRID</t>
        </is>
      </c>
      <c r="D4" s="24" t="inlineStr">
        <is>
          <t>varchar(32)</t>
        </is>
      </c>
      <c r="E4" s="24" t="inlineStr">
        <is>
          <t>YES</t>
        </is>
      </c>
      <c r="F4" s="24" t="inlineStr">
        <is>
          <t>押品编号</t>
        </is>
      </c>
      <c r="G4" s="24" t="n"/>
      <c r="H4" s="24" t="n"/>
      <c r="I4" s="24" t="inlineStr"/>
      <c r="J4" s="24" t="inlineStr">
        <is>
          <t>2023/01/12</t>
        </is>
      </c>
    </row>
    <row r="5">
      <c r="B5" s="24" t="inlineStr">
        <is>
          <t>clr_handle_info</t>
        </is>
      </c>
      <c r="C5" s="24" t="inlineStr">
        <is>
          <t>CLRTYPEID</t>
        </is>
      </c>
      <c r="D5" s="24" t="inlineStr">
        <is>
          <t>varchar(32)</t>
        </is>
      </c>
      <c r="E5" s="24" t="inlineStr">
        <is>
          <t>YES</t>
        </is>
      </c>
      <c r="F5" s="24" t="inlineStr">
        <is>
          <t>抵债资产类型编号</t>
        </is>
      </c>
      <c r="G5" s="24" t="n"/>
      <c r="H5" s="24" t="n"/>
      <c r="I5" s="24" t="inlineStr"/>
      <c r="J5" s="24" t="inlineStr">
        <is>
          <t>2023/01/12</t>
        </is>
      </c>
    </row>
    <row r="6">
      <c r="B6" s="24" t="inlineStr">
        <is>
          <t>clr_handle_info</t>
        </is>
      </c>
      <c r="C6" s="24" t="inlineStr">
        <is>
          <t>CASHINBACKWAY</t>
        </is>
      </c>
      <c r="D6" s="24" t="inlineStr">
        <is>
          <t>varchar(80)</t>
        </is>
      </c>
      <c r="E6" s="24" t="inlineStr">
        <is>
          <t>YES</t>
        </is>
      </c>
      <c r="F6" s="24" t="inlineStr">
        <is>
          <t>回收来源</t>
        </is>
      </c>
      <c r="G6" s="24" t="n"/>
      <c r="H6" s="24" t="n"/>
      <c r="I6" s="24" t="inlineStr"/>
      <c r="J6" s="24" t="inlineStr">
        <is>
          <t>2023/01/12</t>
        </is>
      </c>
    </row>
    <row r="7">
      <c r="B7" s="24" t="inlineStr">
        <is>
          <t>clr_handle_info</t>
        </is>
      </c>
      <c r="C7" s="24" t="inlineStr">
        <is>
          <t>FORMERCURRENCY</t>
        </is>
      </c>
      <c r="D7" s="24" t="inlineStr">
        <is>
          <t>varchar(18)</t>
        </is>
      </c>
      <c r="E7" s="24" t="inlineStr">
        <is>
          <t>YES</t>
        </is>
      </c>
      <c r="F7" s="24" t="inlineStr">
        <is>
          <t>原币种</t>
        </is>
      </c>
      <c r="G7" s="52">
        <f>HYPERLINK("#码值映射清单!B2469","Currency")</f>
        <v/>
      </c>
      <c r="H7" s="24" t="n"/>
      <c r="I7" s="24" t="inlineStr"/>
      <c r="J7" s="24" t="inlineStr">
        <is>
          <t>2023/01/12</t>
        </is>
      </c>
    </row>
    <row r="8">
      <c r="B8" s="24" t="inlineStr">
        <is>
          <t>clr_handle_info</t>
        </is>
      </c>
      <c r="C8" s="24" t="inlineStr">
        <is>
          <t>RECLAIMCURRENCY</t>
        </is>
      </c>
      <c r="D8" s="24" t="inlineStr">
        <is>
          <t>varchar(18)</t>
        </is>
      </c>
      <c r="E8" s="24" t="inlineStr">
        <is>
          <t>YES</t>
        </is>
      </c>
      <c r="F8" s="24" t="inlineStr">
        <is>
          <t>收现币种</t>
        </is>
      </c>
      <c r="G8" s="52">
        <f>HYPERLINK("#码值映射清单!B2469","Currency")</f>
        <v/>
      </c>
      <c r="H8" s="24" t="n"/>
      <c r="I8" s="24" t="inlineStr"/>
      <c r="J8" s="24" t="inlineStr">
        <is>
          <t>2023/01/12</t>
        </is>
      </c>
    </row>
    <row r="9">
      <c r="B9" s="24" t="inlineStr">
        <is>
          <t>clr_handle_info</t>
        </is>
      </c>
      <c r="C9" s="24" t="inlineStr">
        <is>
          <t>RECLAIMDATE</t>
        </is>
      </c>
      <c r="D9" s="24" t="inlineStr">
        <is>
          <t>datetime</t>
        </is>
      </c>
      <c r="E9" s="24" t="inlineStr">
        <is>
          <t>YES</t>
        </is>
      </c>
      <c r="F9" s="24" t="inlineStr">
        <is>
          <t>收现日期</t>
        </is>
      </c>
      <c r="G9" s="24" t="n"/>
      <c r="H9" s="24" t="n"/>
      <c r="I9" s="24" t="inlineStr"/>
      <c r="J9" s="24" t="inlineStr">
        <is>
          <t>2023/01/12</t>
        </is>
      </c>
    </row>
    <row r="10">
      <c r="B10" s="24" t="inlineStr">
        <is>
          <t>clr_handle_info</t>
        </is>
      </c>
      <c r="C10" s="24" t="inlineStr">
        <is>
          <t>RECLAIMSUM</t>
        </is>
      </c>
      <c r="D10" s="24" t="inlineStr">
        <is>
          <t>decimal(24,6)</t>
        </is>
      </c>
      <c r="E10" s="24" t="inlineStr">
        <is>
          <t>YES</t>
        </is>
      </c>
      <c r="F10" s="24" t="inlineStr">
        <is>
          <t>收现总额</t>
        </is>
      </c>
      <c r="G10" s="24" t="n"/>
      <c r="H10" s="24" t="n"/>
      <c r="I10" s="24" t="inlineStr"/>
      <c r="J10" s="24" t="inlineStr">
        <is>
          <t>2023/01/12</t>
        </is>
      </c>
    </row>
    <row r="11">
      <c r="B11" s="24" t="inlineStr">
        <is>
          <t>clr_handle_info</t>
        </is>
      </c>
      <c r="C11" s="24" t="inlineStr">
        <is>
          <t>RMBRECLAIMSUM</t>
        </is>
      </c>
      <c r="D11" s="24" t="inlineStr">
        <is>
          <t>decimal(24,6)</t>
        </is>
      </c>
      <c r="E11" s="24" t="inlineStr">
        <is>
          <t>YES</t>
        </is>
      </c>
      <c r="F11" s="24" t="inlineStr">
        <is>
          <t>收现人民币总额</t>
        </is>
      </c>
      <c r="G11" s="24" t="n"/>
      <c r="H11" s="24" t="n"/>
      <c r="I11" s="24" t="inlineStr"/>
      <c r="J11" s="24" t="inlineStr">
        <is>
          <t>2023/01/12</t>
        </is>
      </c>
    </row>
    <row r="12">
      <c r="B12" s="24" t="inlineStr">
        <is>
          <t>clr_handle_info</t>
        </is>
      </c>
      <c r="C12" s="24" t="inlineStr">
        <is>
          <t>HANDLEFEE</t>
        </is>
      </c>
      <c r="D12" s="24" t="inlineStr">
        <is>
          <t>decimal(24,6)</t>
        </is>
      </c>
      <c r="E12" s="24" t="inlineStr">
        <is>
          <t>YES</t>
        </is>
      </c>
      <c r="F12" s="24" t="inlineStr">
        <is>
          <t>处置过程产生费用</t>
        </is>
      </c>
      <c r="G12" s="24" t="n"/>
      <c r="H12" s="24" t="n"/>
      <c r="I12" s="24" t="inlineStr"/>
      <c r="J12" s="24" t="inlineStr">
        <is>
          <t>2023/01/12</t>
        </is>
      </c>
    </row>
    <row r="13">
      <c r="B13" s="24" t="inlineStr">
        <is>
          <t>clr_handle_info</t>
        </is>
      </c>
      <c r="C13" s="24" t="inlineStr">
        <is>
          <t>HANDLEDATE</t>
        </is>
      </c>
      <c r="D13" s="24" t="inlineStr">
        <is>
          <t>datetime</t>
        </is>
      </c>
      <c r="E13" s="24" t="inlineStr">
        <is>
          <t>YES</t>
        </is>
      </c>
      <c r="F13" s="24" t="inlineStr">
        <is>
          <t>购/结汇日期</t>
        </is>
      </c>
      <c r="G13" s="24" t="n"/>
      <c r="H13" s="24" t="n"/>
      <c r="I13" s="24" t="inlineStr"/>
      <c r="J13" s="24" t="inlineStr">
        <is>
          <t>2023/01/12</t>
        </is>
      </c>
    </row>
    <row r="14">
      <c r="B14" s="24" t="inlineStr">
        <is>
          <t>clr_handle_info</t>
        </is>
      </c>
      <c r="C14" s="24" t="inlineStr">
        <is>
          <t>ENTERACCOUNTDATE</t>
        </is>
      </c>
      <c r="D14" s="24" t="inlineStr">
        <is>
          <t>datetime</t>
        </is>
      </c>
      <c r="E14" s="24" t="inlineStr">
        <is>
          <t>YES</t>
        </is>
      </c>
      <c r="F14" s="24" t="inlineStr">
        <is>
          <t>收现入账日期</t>
        </is>
      </c>
      <c r="G14" s="24" t="n"/>
      <c r="H14" s="24" t="n"/>
      <c r="I14" s="24" t="inlineStr"/>
      <c r="J14" s="24" t="inlineStr">
        <is>
          <t>2023/01/12</t>
        </is>
      </c>
    </row>
    <row r="15">
      <c r="B15" s="24" t="inlineStr">
        <is>
          <t>clr_handle_info</t>
        </is>
      </c>
      <c r="C15" s="24" t="inlineStr">
        <is>
          <t>REMARK</t>
        </is>
      </c>
      <c r="D15" s="24" t="inlineStr">
        <is>
          <t>varchar(500)</t>
        </is>
      </c>
      <c r="E15" s="24" t="inlineStr">
        <is>
          <t>YES</t>
        </is>
      </c>
      <c r="F15" s="24" t="inlineStr">
        <is>
          <t>备注</t>
        </is>
      </c>
      <c r="G15" s="24" t="n"/>
      <c r="H15" s="24" t="n"/>
      <c r="I15" s="24" t="inlineStr"/>
      <c r="J15" s="24" t="inlineStr">
        <is>
          <t>2023/01/12</t>
        </is>
      </c>
    </row>
    <row r="16">
      <c r="B16" s="24" t="inlineStr">
        <is>
          <t>clr_handle_info</t>
        </is>
      </c>
      <c r="C16" s="24" t="inlineStr">
        <is>
          <t>INPUTUSERID</t>
        </is>
      </c>
      <c r="D16" s="24" t="inlineStr">
        <is>
          <t>varchar(32)</t>
        </is>
      </c>
      <c r="E16" s="24" t="inlineStr">
        <is>
          <t>YES</t>
        </is>
      </c>
      <c r="F16" s="24" t="inlineStr">
        <is>
          <t>登记人</t>
        </is>
      </c>
      <c r="G16" s="24" t="n"/>
      <c r="H16" s="24" t="n"/>
      <c r="I16" s="24" t="inlineStr"/>
      <c r="J16" s="24" t="inlineStr">
        <is>
          <t>2023/01/12</t>
        </is>
      </c>
    </row>
    <row r="17">
      <c r="B17" s="24" t="inlineStr">
        <is>
          <t>clr_handle_info</t>
        </is>
      </c>
      <c r="C17" s="24" t="inlineStr">
        <is>
          <t>INPUTORGID</t>
        </is>
      </c>
      <c r="D17" s="24" t="inlineStr">
        <is>
          <t>varchar(32)</t>
        </is>
      </c>
      <c r="E17" s="24" t="inlineStr">
        <is>
          <t>YES</t>
        </is>
      </c>
      <c r="F17" s="24" t="inlineStr">
        <is>
          <t>登记机构</t>
        </is>
      </c>
      <c r="G17" s="24" t="n"/>
      <c r="H17" s="24" t="n"/>
      <c r="I17" s="24" t="inlineStr"/>
      <c r="J17" s="24" t="inlineStr">
        <is>
          <t>2023/01/12</t>
        </is>
      </c>
    </row>
    <row r="18">
      <c r="B18" s="24" t="inlineStr">
        <is>
          <t>clr_handle_info</t>
        </is>
      </c>
      <c r="C18" s="24" t="inlineStr">
        <is>
          <t>INPUTDATE</t>
        </is>
      </c>
      <c r="D18" s="24" t="inlineStr">
        <is>
          <t>datetime</t>
        </is>
      </c>
      <c r="E18" s="24" t="inlineStr">
        <is>
          <t>YES</t>
        </is>
      </c>
      <c r="F18" s="24" t="inlineStr">
        <is>
          <t>登记日期</t>
        </is>
      </c>
      <c r="G18" s="24" t="n"/>
      <c r="H18" s="24" t="n"/>
      <c r="I18" s="24" t="inlineStr"/>
      <c r="J18" s="24" t="inlineStr">
        <is>
          <t>2023/01/12</t>
        </is>
      </c>
    </row>
    <row r="19">
      <c r="B19" s="24" t="inlineStr">
        <is>
          <t>clr_handle_info</t>
        </is>
      </c>
      <c r="C19" s="24" t="inlineStr">
        <is>
          <t>UPDATEUSERID</t>
        </is>
      </c>
      <c r="D19" s="24" t="inlineStr">
        <is>
          <t>varchar(32)</t>
        </is>
      </c>
      <c r="E19" s="24" t="inlineStr">
        <is>
          <t>YES</t>
        </is>
      </c>
      <c r="F19" s="24" t="inlineStr">
        <is>
          <t>更新人</t>
        </is>
      </c>
      <c r="G19" s="24" t="n"/>
      <c r="H19" s="24" t="n"/>
      <c r="I19" s="24" t="inlineStr"/>
      <c r="J19" s="24" t="inlineStr">
        <is>
          <t>2023/01/12</t>
        </is>
      </c>
    </row>
    <row r="20">
      <c r="B20" s="24" t="inlineStr">
        <is>
          <t>clr_handle_info</t>
        </is>
      </c>
      <c r="C20" s="24" t="inlineStr">
        <is>
          <t>UPDATEORGID</t>
        </is>
      </c>
      <c r="D20" s="24" t="inlineStr">
        <is>
          <t>varchar(32)</t>
        </is>
      </c>
      <c r="E20" s="24" t="inlineStr">
        <is>
          <t>YES</t>
        </is>
      </c>
      <c r="F20" s="24" t="inlineStr">
        <is>
          <t>更新机构</t>
        </is>
      </c>
      <c r="G20" s="24" t="n"/>
      <c r="H20" s="24" t="n"/>
      <c r="I20" s="24" t="inlineStr"/>
      <c r="J20" s="24" t="inlineStr">
        <is>
          <t>2023/01/12</t>
        </is>
      </c>
    </row>
    <row r="21">
      <c r="B21" s="24" t="inlineStr">
        <is>
          <t>clr_handle_info</t>
        </is>
      </c>
      <c r="C21" s="24" t="inlineStr">
        <is>
          <t>UPDATEDATE</t>
        </is>
      </c>
      <c r="D21" s="24" t="inlineStr">
        <is>
          <t>datetime</t>
        </is>
      </c>
      <c r="E21" s="24" t="inlineStr">
        <is>
          <t>YES</t>
        </is>
      </c>
      <c r="F21" s="24" t="inlineStr">
        <is>
          <t>更新日期</t>
        </is>
      </c>
      <c r="G21" s="24" t="n"/>
      <c r="H21" s="24" t="n"/>
      <c r="I21" s="24" t="inlineStr"/>
      <c r="J21" s="24" t="inlineStr">
        <is>
          <t>2023/01/12</t>
        </is>
      </c>
    </row>
    <row r="22">
      <c r="B22" s="24" t="inlineStr">
        <is>
          <t>clr_handle_info</t>
        </is>
      </c>
      <c r="C22" s="24" t="inlineStr">
        <is>
          <t>CORPORGID</t>
        </is>
      </c>
      <c r="D22" s="24" t="inlineStr">
        <is>
          <t>varchar(32)</t>
        </is>
      </c>
      <c r="E22" s="24" t="inlineStr">
        <is>
          <t>YES</t>
        </is>
      </c>
      <c r="F22" s="24" t="inlineStr">
        <is>
          <t>法人机构编号</t>
        </is>
      </c>
      <c r="G22" s="24" t="n"/>
      <c r="H22" s="24" t="n"/>
      <c r="I22" s="24" t="inlineStr"/>
      <c r="J22" s="24" t="inlineStr">
        <is>
          <t>2023/01/12</t>
        </is>
      </c>
    </row>
  </sheetData>
  <pageMargins left="0.75" right="0.75" top="1" bottom="1" header="0.5" footer="0.5"/>
  <pageSetup orientation="portrait" paperSize="1" horizontalDpi="300" verticalDpi="300"/>
</worksheet>
</file>

<file path=xl/worksheets/sheet85.xml><?xml version="1.0" encoding="utf-8"?>
<worksheet xmlns="http://schemas.openxmlformats.org/spreadsheetml/2006/main">
  <sheetPr>
    <outlinePr summaryBelow="1" summaryRight="1"/>
    <pageSetUpPr/>
  </sheetPr>
  <dimension ref="A1:M90"/>
  <sheetViews>
    <sheetView topLeftCell="A56" zoomScaleSheetLayoutView="60" workbookViewId="0">
      <selection activeCell="J90" sqref="J90"/>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5982142857143" customWidth="1" style="170" min="8" max="8"/>
    <col width="11.7053571428571" customWidth="1" style="170" min="10" max="10"/>
    <col width="36.5" customWidth="1" style="170" min="13" max="13"/>
  </cols>
  <sheetData>
    <row r="1" s="170">
      <c r="A1" s="1">
        <f>HYPERLINK("#表结构清单!A1","返回")</f>
        <v/>
      </c>
      <c r="B1" t="inlineStr">
        <is>
          <t>押品信息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clr_info</t>
        </is>
      </c>
      <c r="C3" s="24" t="inlineStr">
        <is>
          <t>CLRID</t>
        </is>
      </c>
      <c r="D3" s="24" t="inlineStr">
        <is>
          <t>varchar(32)</t>
        </is>
      </c>
      <c r="E3" s="24" t="inlineStr">
        <is>
          <t>NO</t>
        </is>
      </c>
      <c r="F3" s="24" t="inlineStr">
        <is>
          <t>押品编号</t>
        </is>
      </c>
      <c r="G3" s="24" t="n"/>
      <c r="H3" s="24" t="n"/>
      <c r="I3" s="24" t="inlineStr"/>
      <c r="J3" s="24" t="inlineStr">
        <is>
          <t>2023/01/12</t>
        </is>
      </c>
    </row>
    <row r="4">
      <c r="B4" s="24" t="inlineStr">
        <is>
          <t>clr_info</t>
        </is>
      </c>
      <c r="C4" s="24" t="inlineStr">
        <is>
          <t>CLRNAME</t>
        </is>
      </c>
      <c r="D4" s="24" t="inlineStr">
        <is>
          <t>varchar(80)</t>
        </is>
      </c>
      <c r="E4" s="24" t="inlineStr">
        <is>
          <t>YES</t>
        </is>
      </c>
      <c r="F4" s="24" t="inlineStr">
        <is>
          <t>押品名称</t>
        </is>
      </c>
      <c r="G4" s="24" t="n"/>
      <c r="H4" s="24" t="n"/>
      <c r="I4" s="24" t="inlineStr"/>
      <c r="J4" s="24" t="inlineStr">
        <is>
          <t>2023/01/12</t>
        </is>
      </c>
    </row>
    <row r="5" ht="16.8" customHeight="1" s="170">
      <c r="B5" s="24" t="inlineStr">
        <is>
          <t>clr_info</t>
        </is>
      </c>
      <c r="C5" s="24" t="inlineStr">
        <is>
          <t>CLRCERTTYPE</t>
        </is>
      </c>
      <c r="D5" s="24" t="inlineStr">
        <is>
          <t>varchar(6)</t>
        </is>
      </c>
      <c r="E5" s="24" t="inlineStr">
        <is>
          <t>YES</t>
        </is>
      </c>
      <c r="F5" s="24" t="inlineStr">
        <is>
          <t>押品所有权证类型</t>
        </is>
      </c>
      <c r="G5" s="24" t="n"/>
      <c r="H5" s="24" t="n"/>
      <c r="I5" s="24" t="inlineStr"/>
      <c r="J5" s="24" t="inlineStr">
        <is>
          <t>2023/01/12</t>
        </is>
      </c>
      <c r="M5" s="79">
        <f>HYPERLINK("#CLR_ASSET_FINANCE!A1","CLR_ASSET_FINANCE")</f>
        <v/>
      </c>
    </row>
    <row r="6" ht="16.8" customHeight="1" s="170">
      <c r="B6" s="24" t="inlineStr">
        <is>
          <t>clr_info</t>
        </is>
      </c>
      <c r="C6" s="24" t="inlineStr">
        <is>
          <t>CLRCERTID</t>
        </is>
      </c>
      <c r="D6" s="24" t="inlineStr">
        <is>
          <t>varchar(80)</t>
        </is>
      </c>
      <c r="E6" s="24" t="inlineStr">
        <is>
          <t>YES</t>
        </is>
      </c>
      <c r="F6" s="24" t="inlineStr">
        <is>
          <t>所有权证编号</t>
        </is>
      </c>
      <c r="G6" s="24" t="n"/>
      <c r="H6" s="24" t="n"/>
      <c r="I6" s="24" t="inlineStr"/>
      <c r="J6" s="24" t="inlineStr">
        <is>
          <t>2023/01/12</t>
        </is>
      </c>
      <c r="M6" s="159">
        <f>HYPERLINK("#CLR_ASSET_OTHERS_EQUIPMENT!A1","CLR_ASSET_OTHERS_EQUIPMENT")</f>
        <v/>
      </c>
    </row>
    <row r="7" ht="16.8" customHeight="1" s="170">
      <c r="B7" s="24" t="inlineStr">
        <is>
          <t>clr_info</t>
        </is>
      </c>
      <c r="C7" s="24" t="inlineStr">
        <is>
          <t>CLRTYPEID</t>
        </is>
      </c>
      <c r="D7" s="24" t="inlineStr">
        <is>
          <t>varchar(32)</t>
        </is>
      </c>
      <c r="E7" s="24" t="inlineStr">
        <is>
          <t>YES</t>
        </is>
      </c>
      <c r="F7" s="24" t="inlineStr">
        <is>
          <t>押品资产类型编号</t>
        </is>
      </c>
      <c r="G7" s="24" t="n"/>
      <c r="H7" s="24" t="n"/>
      <c r="I7" s="24" t="inlineStr"/>
      <c r="J7" s="24" t="inlineStr">
        <is>
          <t>2023/01/12</t>
        </is>
      </c>
      <c r="M7" s="159">
        <f>HYPERLINK("#CLR_ASSET_OTHERS_INVENTORY!A1","CLR_ASSET_OTHERS_INVENTORY")</f>
        <v/>
      </c>
    </row>
    <row r="8" ht="16.8" customHeight="1" s="170">
      <c r="B8" s="24" t="inlineStr">
        <is>
          <t>clr_info</t>
        </is>
      </c>
      <c r="C8" s="24" t="inlineStr">
        <is>
          <t>APPROVESTATUS</t>
        </is>
      </c>
      <c r="D8" s="24" t="inlineStr">
        <is>
          <t>varchar(32)</t>
        </is>
      </c>
      <c r="E8" s="24" t="inlineStr">
        <is>
          <t>YES</t>
        </is>
      </c>
      <c r="F8" s="24" t="inlineStr">
        <is>
          <t>申请状态</t>
        </is>
      </c>
      <c r="G8" s="55">
        <f>HYPERLINK("#码值映射清单!B1429","ApproveStatus")</f>
        <v/>
      </c>
      <c r="H8" s="24" t="n"/>
      <c r="I8" s="24" t="inlineStr"/>
      <c r="J8" s="24" t="inlineStr">
        <is>
          <t>2023/01/12</t>
        </is>
      </c>
      <c r="M8" s="159">
        <f>HYPERLINK("#CLR_ASSET_OTHERS_RESOURCE!A1","CLR_ASSET_OTHERS_RESOURCE")</f>
        <v/>
      </c>
    </row>
    <row r="9" ht="16.8" customHeight="1" s="170">
      <c r="B9" s="24" t="inlineStr">
        <is>
          <t>clr_info</t>
        </is>
      </c>
      <c r="C9" s="24" t="inlineStr">
        <is>
          <t>CLRCOUNT</t>
        </is>
      </c>
      <c r="D9" s="24" t="inlineStr">
        <is>
          <t>varchar(80)</t>
        </is>
      </c>
      <c r="E9" s="24" t="inlineStr">
        <is>
          <t>YES</t>
        </is>
      </c>
      <c r="F9" s="24" t="inlineStr">
        <is>
          <t>押品资产数量</t>
        </is>
      </c>
      <c r="G9" s="24" t="n"/>
      <c r="H9" s="24" t="n"/>
      <c r="I9" s="24" t="inlineStr"/>
      <c r="J9" s="24" t="inlineStr">
        <is>
          <t>2023/01/12</t>
        </is>
      </c>
      <c r="M9" s="159">
        <f>HYPERLINK("#CLR_ASSET_OTHERS_SBC!A1","CLR_ASSET_OTHERS_SBC")</f>
        <v/>
      </c>
    </row>
    <row r="10" ht="16.8" customHeight="1" s="170">
      <c r="B10" s="24" t="inlineStr">
        <is>
          <t>clr_info</t>
        </is>
      </c>
      <c r="C10" s="24" t="inlineStr">
        <is>
          <t>COUNTRY</t>
        </is>
      </c>
      <c r="D10" s="24" t="inlineStr">
        <is>
          <t>varchar(6)</t>
        </is>
      </c>
      <c r="E10" s="24" t="inlineStr">
        <is>
          <t>YES</t>
        </is>
      </c>
      <c r="F10" s="24" t="inlineStr">
        <is>
          <t>所在国家</t>
        </is>
      </c>
      <c r="G10" s="24" t="n"/>
      <c r="H10" s="24" t="n"/>
      <c r="I10" s="24" t="inlineStr"/>
      <c r="J10" s="24" t="inlineStr">
        <is>
          <t>2023/01/12</t>
        </is>
      </c>
      <c r="M10" s="159">
        <f>HYPERLINK("#CLR_ASSET_OTHERS_TLPR!A1","CLR_ASSET_OTHERS_TLPR")</f>
        <v/>
      </c>
    </row>
    <row r="11" ht="16.8" customHeight="1" s="170">
      <c r="B11" s="24" t="inlineStr">
        <is>
          <t>clr_info</t>
        </is>
      </c>
      <c r="C11" s="24" t="inlineStr">
        <is>
          <t>PROVINCE</t>
        </is>
      </c>
      <c r="D11" s="24" t="inlineStr">
        <is>
          <t>varchar(6)</t>
        </is>
      </c>
      <c r="E11" s="24" t="inlineStr">
        <is>
          <t>YES</t>
        </is>
      </c>
      <c r="F11" s="24" t="inlineStr">
        <is>
          <t>所在省/直辖市</t>
        </is>
      </c>
      <c r="G11" s="24" t="n"/>
      <c r="H11" s="24" t="n"/>
      <c r="I11" s="24" t="inlineStr"/>
      <c r="J11" s="24" t="inlineStr">
        <is>
          <t>2023/01/12</t>
        </is>
      </c>
      <c r="M11" s="159">
        <f>HYPERLINK("#CLR_ASSET_REALTY!A1","CLR_ASSET_REALTY")</f>
        <v/>
      </c>
    </row>
    <row r="12" ht="16.8" customHeight="1" s="170">
      <c r="B12" s="24" t="inlineStr">
        <is>
          <t>clr_info</t>
        </is>
      </c>
      <c r="C12" s="24" t="inlineStr">
        <is>
          <t>CITY</t>
        </is>
      </c>
      <c r="D12" s="24" t="inlineStr">
        <is>
          <t>varchar(6)</t>
        </is>
      </c>
      <c r="E12" s="24" t="inlineStr">
        <is>
          <t>YES</t>
        </is>
      </c>
      <c r="F12" s="24" t="inlineStr">
        <is>
          <t>所在城市</t>
        </is>
      </c>
      <c r="G12" s="24" t="n"/>
      <c r="H12" s="24" t="n"/>
      <c r="I12" s="24" t="inlineStr"/>
      <c r="J12" s="24" t="inlineStr">
        <is>
          <t>2023/01/12</t>
        </is>
      </c>
      <c r="M12" s="159">
        <f>HYPERLINK("#CLR_ASSET_RECEIVABLE!A1","CLR_ASSET_RECEIVABLE")</f>
        <v/>
      </c>
    </row>
    <row r="13">
      <c r="B13" s="24" t="inlineStr">
        <is>
          <t>clr_info</t>
        </is>
      </c>
      <c r="C13" s="24" t="inlineStr">
        <is>
          <t>AREA</t>
        </is>
      </c>
      <c r="D13" s="24" t="inlineStr">
        <is>
          <t>varchar(6)</t>
        </is>
      </c>
      <c r="E13" s="24" t="inlineStr">
        <is>
          <t>YES</t>
        </is>
      </c>
      <c r="F13" s="24" t="inlineStr">
        <is>
          <t>所在区域</t>
        </is>
      </c>
      <c r="G13" s="24" t="n"/>
      <c r="H13" s="24" t="n"/>
      <c r="I13" s="24" t="inlineStr"/>
      <c r="J13" s="24" t="inlineStr">
        <is>
          <t>2023/01/12</t>
        </is>
      </c>
    </row>
    <row r="14">
      <c r="B14" s="24" t="inlineStr">
        <is>
          <t>clr_info</t>
        </is>
      </c>
      <c r="C14" s="24" t="inlineStr">
        <is>
          <t>ADDRESS</t>
        </is>
      </c>
      <c r="D14" s="24" t="inlineStr">
        <is>
          <t>varchar(500)</t>
        </is>
      </c>
      <c r="E14" s="24" t="inlineStr">
        <is>
          <t>YES</t>
        </is>
      </c>
      <c r="F14" s="24" t="inlineStr">
        <is>
          <t>详细地址</t>
        </is>
      </c>
      <c r="G14" s="24" t="n"/>
      <c r="H14" s="24" t="n"/>
      <c r="I14" s="24" t="inlineStr"/>
      <c r="J14" s="24" t="inlineStr">
        <is>
          <t>2023/01/12</t>
        </is>
      </c>
    </row>
    <row r="15">
      <c r="B15" s="24" t="inlineStr">
        <is>
          <t>clr_info</t>
        </is>
      </c>
      <c r="C15" s="24" t="inlineStr">
        <is>
          <t>AVLGNTVALUE</t>
        </is>
      </c>
      <c r="D15" s="24" t="inlineStr">
        <is>
          <t>decimal(24,6)</t>
        </is>
      </c>
      <c r="E15" s="24" t="inlineStr">
        <is>
          <t>YES</t>
        </is>
      </c>
      <c r="F15" s="24" t="inlineStr">
        <is>
          <t>当前可担保价值</t>
        </is>
      </c>
      <c r="G15" s="24" t="n"/>
      <c r="H15" s="24" t="n"/>
      <c r="I15" s="24" t="inlineStr"/>
      <c r="J15" s="24" t="inlineStr">
        <is>
          <t>2023/01/12</t>
        </is>
      </c>
    </row>
    <row r="16">
      <c r="B16" s="24" t="inlineStr">
        <is>
          <t>clr_info</t>
        </is>
      </c>
      <c r="C16" s="24" t="inlineStr">
        <is>
          <t>USEDGNTVALUE</t>
        </is>
      </c>
      <c r="D16" s="24" t="inlineStr">
        <is>
          <t>decimal(24,6)</t>
        </is>
      </c>
      <c r="E16" s="24" t="inlineStr">
        <is>
          <t>YES</t>
        </is>
      </c>
      <c r="F16" s="24" t="inlineStr">
        <is>
          <t>本行已担保债权金额</t>
        </is>
      </c>
      <c r="G16" s="24" t="n"/>
      <c r="H16" s="24" t="n"/>
      <c r="I16" s="24" t="inlineStr"/>
      <c r="J16" s="24" t="inlineStr">
        <is>
          <t>2023/01/12</t>
        </is>
      </c>
    </row>
    <row r="17">
      <c r="B17" s="24" t="inlineStr">
        <is>
          <t>clr_info</t>
        </is>
      </c>
      <c r="C17" s="24" t="inlineStr">
        <is>
          <t>OTHERGNTVALUE</t>
        </is>
      </c>
      <c r="D17" s="24" t="inlineStr">
        <is>
          <t>decimal(24,6)</t>
        </is>
      </c>
      <c r="E17" s="24" t="inlineStr">
        <is>
          <t>YES</t>
        </is>
      </c>
      <c r="F17" s="24" t="inlineStr">
        <is>
          <t>其他优先受偿权利金额</t>
        </is>
      </c>
      <c r="G17" s="24" t="n"/>
      <c r="H17" s="24" t="n"/>
      <c r="I17" s="24" t="inlineStr"/>
      <c r="J17" s="24" t="inlineStr">
        <is>
          <t>2023/01/12</t>
        </is>
      </c>
    </row>
    <row r="18">
      <c r="B18" s="24" t="inlineStr">
        <is>
          <t>clr_info</t>
        </is>
      </c>
      <c r="C18" s="24" t="inlineStr">
        <is>
          <t>CURRLTV</t>
        </is>
      </c>
      <c r="D18" s="24" t="inlineStr">
        <is>
          <t>decimal(18,8)</t>
        </is>
      </c>
      <c r="E18" s="24" t="inlineStr">
        <is>
          <t>YES</t>
        </is>
      </c>
      <c r="F18" s="24" t="inlineStr">
        <is>
          <t>当前抵质押率</t>
        </is>
      </c>
      <c r="G18" s="24" t="n"/>
      <c r="H18" s="24" t="n"/>
      <c r="I18" s="24" t="inlineStr"/>
      <c r="J18" s="24" t="inlineStr">
        <is>
          <t>2023/01/12</t>
        </is>
      </c>
    </row>
    <row r="19" ht="28" customHeight="1" s="170">
      <c r="B19" s="24" t="inlineStr">
        <is>
          <t>clr_info</t>
        </is>
      </c>
      <c r="C19" s="24" t="inlineStr">
        <is>
          <t>CLRSTATUS</t>
        </is>
      </c>
      <c r="D19" s="24" t="inlineStr">
        <is>
          <t>varchar(6)</t>
        </is>
      </c>
      <c r="E19" s="24" t="inlineStr">
        <is>
          <t>YES</t>
        </is>
      </c>
      <c r="F19" s="75" t="inlineStr">
        <is>
          <t>押品状态</t>
        </is>
      </c>
      <c r="G19" s="72">
        <f>HYPERLINK("#码值映射清单!B2371","ClrStatus")</f>
        <v/>
      </c>
      <c r="H19" s="76" t="inlineStr">
        <is>
          <t xml:space="preserve">  01正常、03已处置</t>
        </is>
      </c>
      <c r="I19" s="24" t="inlineStr"/>
      <c r="J19" s="24" t="inlineStr">
        <is>
          <t>2023/01/12</t>
        </is>
      </c>
    </row>
    <row r="20">
      <c r="B20" s="24" t="inlineStr">
        <is>
          <t>clr_info</t>
        </is>
      </c>
      <c r="C20" s="74" t="inlineStr">
        <is>
          <t>CLRGANTSTATUS</t>
        </is>
      </c>
      <c r="D20" s="74" t="inlineStr">
        <is>
          <t>varchar(6)</t>
        </is>
      </c>
      <c r="E20" s="74" t="inlineStr">
        <is>
          <t>YES</t>
        </is>
      </c>
      <c r="F20" s="77" t="inlineStr">
        <is>
          <t>押品准入状态
02;已准入未确立押权
03 已确立押权
04 已注销押权</t>
        </is>
      </c>
      <c r="G20" s="78">
        <f>HYPERLINK("#码值映射清单!B6733","ClrGntStatus")</f>
        <v/>
      </c>
      <c r="H20" s="24" t="n"/>
      <c r="I20" s="24" t="inlineStr"/>
      <c r="J20" s="24" t="inlineStr">
        <is>
          <t>2023/01/12</t>
        </is>
      </c>
    </row>
    <row r="21">
      <c r="B21" s="24" t="inlineStr">
        <is>
          <t>clr_info</t>
        </is>
      </c>
      <c r="C21" s="24" t="inlineStr">
        <is>
          <t>ISCOMPLETE</t>
        </is>
      </c>
      <c r="D21" s="24" t="inlineStr">
        <is>
          <t>char(1)</t>
        </is>
      </c>
      <c r="E21" s="24" t="inlineStr">
        <is>
          <t>YES</t>
        </is>
      </c>
      <c r="F21" s="24" t="inlineStr">
        <is>
          <t>必输信息是否完整</t>
        </is>
      </c>
      <c r="G21" s="52">
        <f>HYPERLINK("#码值映射清单!B9444","IsComplete")</f>
        <v/>
      </c>
      <c r="H21" s="24" t="n"/>
      <c r="I21" s="24" t="inlineStr"/>
      <c r="J21" s="24" t="inlineStr">
        <is>
          <t>2023/01/12</t>
        </is>
      </c>
    </row>
    <row r="22">
      <c r="B22" s="24" t="inlineStr">
        <is>
          <t>clr_info</t>
        </is>
      </c>
      <c r="C22" s="24" t="inlineStr">
        <is>
          <t>ISONLYONE</t>
        </is>
      </c>
      <c r="D22" s="24" t="inlineStr">
        <is>
          <t>char(1)</t>
        </is>
      </c>
      <c r="E22" s="24" t="inlineStr">
        <is>
          <t>YES</t>
        </is>
      </c>
      <c r="F22" s="24" t="inlineStr">
        <is>
          <t>是否重复</t>
        </is>
      </c>
      <c r="G22" s="24" t="n"/>
      <c r="H22" s="24" t="n"/>
      <c r="I22" s="24" t="inlineStr"/>
      <c r="J22" s="24" t="inlineStr">
        <is>
          <t>2023/01/12</t>
        </is>
      </c>
    </row>
    <row r="23">
      <c r="B23" s="24" t="inlineStr">
        <is>
          <t>clr_info</t>
        </is>
      </c>
      <c r="C23" s="24" t="inlineStr">
        <is>
          <t>ISRIGHTCERT</t>
        </is>
      </c>
      <c r="D23" s="24" t="inlineStr">
        <is>
          <t>char(1)</t>
        </is>
      </c>
      <c r="E23" s="24" t="inlineStr">
        <is>
          <t>YES</t>
        </is>
      </c>
      <c r="F23" s="24" t="inlineStr">
        <is>
          <t>权证信息是否完整</t>
        </is>
      </c>
      <c r="G23" s="24" t="n"/>
      <c r="H23" s="24" t="n"/>
      <c r="I23" s="24" t="inlineStr"/>
      <c r="J23" s="24" t="inlineStr">
        <is>
          <t>2023/01/12</t>
        </is>
      </c>
    </row>
    <row r="24">
      <c r="B24" s="24" t="inlineStr">
        <is>
          <t>clr_info</t>
        </is>
      </c>
      <c r="C24" s="24" t="inlineStr">
        <is>
          <t>ISINSURANCE</t>
        </is>
      </c>
      <c r="D24" s="24" t="inlineStr">
        <is>
          <t>char(1)</t>
        </is>
      </c>
      <c r="E24" s="24" t="inlineStr">
        <is>
          <t>YES</t>
        </is>
      </c>
      <c r="F24" s="24" t="inlineStr">
        <is>
          <t>保险信息是否完整</t>
        </is>
      </c>
      <c r="G24" s="24" t="n"/>
      <c r="H24" s="24" t="n"/>
      <c r="I24" s="24" t="inlineStr"/>
      <c r="J24" s="24" t="inlineStr">
        <is>
          <t>2023/01/12</t>
        </is>
      </c>
    </row>
    <row r="25">
      <c r="B25" s="24" t="inlineStr">
        <is>
          <t>clr_info</t>
        </is>
      </c>
      <c r="C25" s="24" t="inlineStr">
        <is>
          <t>ISNOTARIZATION</t>
        </is>
      </c>
      <c r="D25" s="24" t="inlineStr">
        <is>
          <t>char(1)</t>
        </is>
      </c>
      <c r="E25" s="24" t="inlineStr">
        <is>
          <t>YES</t>
        </is>
      </c>
      <c r="F25" s="24" t="inlineStr">
        <is>
          <t>公正信息是否完整</t>
        </is>
      </c>
      <c r="G25" s="24" t="n"/>
      <c r="H25" s="24" t="n"/>
      <c r="I25" s="24" t="inlineStr"/>
      <c r="J25" s="24" t="inlineStr">
        <is>
          <t>2023/01/12</t>
        </is>
      </c>
    </row>
    <row r="26">
      <c r="B26" s="24" t="inlineStr">
        <is>
          <t>clr_info</t>
        </is>
      </c>
      <c r="C26" s="24" t="inlineStr">
        <is>
          <t>ISCLROWNER</t>
        </is>
      </c>
      <c r="D26" s="24" t="inlineStr">
        <is>
          <t>char(1)</t>
        </is>
      </c>
      <c r="E26" s="24" t="inlineStr">
        <is>
          <t>YES</t>
        </is>
      </c>
      <c r="F26" s="24" t="inlineStr">
        <is>
          <t>权属人信息是否完整</t>
        </is>
      </c>
      <c r="G26" s="24" t="n"/>
      <c r="H26" s="24" t="n"/>
      <c r="I26" s="24" t="inlineStr"/>
      <c r="J26" s="24" t="inlineStr">
        <is>
          <t>2023/01/12</t>
        </is>
      </c>
    </row>
    <row r="27">
      <c r="B27" s="24" t="inlineStr">
        <is>
          <t>clr_info</t>
        </is>
      </c>
      <c r="C27" s="24" t="inlineStr">
        <is>
          <t>ADDSTATUS</t>
        </is>
      </c>
      <c r="D27" s="24" t="inlineStr">
        <is>
          <t>char(1)</t>
        </is>
      </c>
      <c r="E27" s="24" t="inlineStr">
        <is>
          <t>YES</t>
        </is>
      </c>
      <c r="F27" s="24" t="inlineStr">
        <is>
          <t>补登状态</t>
        </is>
      </c>
      <c r="G27" s="24" t="n"/>
      <c r="H27" s="24" t="n"/>
      <c r="I27" s="24" t="inlineStr"/>
      <c r="J27" s="24" t="inlineStr">
        <is>
          <t>2023/01/12</t>
        </is>
      </c>
    </row>
    <row r="28">
      <c r="B28" s="24" t="inlineStr">
        <is>
          <t>clr_info</t>
        </is>
      </c>
      <c r="C28" s="24" t="inlineStr">
        <is>
          <t>CURREVALRECORDID</t>
        </is>
      </c>
      <c r="D28" s="24" t="inlineStr">
        <is>
          <t>varchar(32)</t>
        </is>
      </c>
      <c r="E28" s="24" t="inlineStr">
        <is>
          <t>YES</t>
        </is>
      </c>
      <c r="F28" s="24" t="inlineStr">
        <is>
          <t>最新价值评估记录编号</t>
        </is>
      </c>
      <c r="G28" s="24" t="n"/>
      <c r="H28" s="24" t="n"/>
      <c r="I28" s="24" t="inlineStr"/>
      <c r="J28" s="24" t="inlineStr">
        <is>
          <t>2023/01/12</t>
        </is>
      </c>
    </row>
    <row r="29">
      <c r="B29" s="24" t="inlineStr">
        <is>
          <t>clr_info</t>
        </is>
      </c>
      <c r="C29" s="24" t="inlineStr">
        <is>
          <t>CURREVALCCY</t>
        </is>
      </c>
      <c r="D29" s="24" t="inlineStr">
        <is>
          <t>varchar(6)</t>
        </is>
      </c>
      <c r="E29" s="24" t="inlineStr">
        <is>
          <t>YES</t>
        </is>
      </c>
      <c r="F29" s="24" t="inlineStr">
        <is>
          <t>最新评估价值币种</t>
        </is>
      </c>
      <c r="G29" s="24" t="n"/>
      <c r="H29" s="24" t="n"/>
      <c r="I29" s="24" t="inlineStr"/>
      <c r="J29" s="24" t="inlineStr">
        <is>
          <t>2023/01/12</t>
        </is>
      </c>
    </row>
    <row r="30">
      <c r="B30" s="24" t="inlineStr">
        <is>
          <t>clr_info</t>
        </is>
      </c>
      <c r="C30" s="24" t="inlineStr">
        <is>
          <t>CURREVALDATE</t>
        </is>
      </c>
      <c r="D30" s="24" t="inlineStr">
        <is>
          <t>datetime</t>
        </is>
      </c>
      <c r="E30" s="24" t="inlineStr">
        <is>
          <t>YES</t>
        </is>
      </c>
      <c r="F30" s="24" t="inlineStr">
        <is>
          <t>最新价值评估日期</t>
        </is>
      </c>
      <c r="G30" s="24" t="n"/>
      <c r="H30" s="24" t="n"/>
      <c r="I30" s="24" t="inlineStr"/>
      <c r="J30" s="24" t="inlineStr">
        <is>
          <t>2023/01/12</t>
        </is>
      </c>
    </row>
    <row r="31">
      <c r="B31" s="24" t="inlineStr">
        <is>
          <t>clr_info</t>
        </is>
      </c>
      <c r="C31" s="24" t="inlineStr">
        <is>
          <t>CURREVALMODE</t>
        </is>
      </c>
      <c r="D31" s="24" t="inlineStr">
        <is>
          <t>varchar(6)</t>
        </is>
      </c>
      <c r="E31" s="24" t="inlineStr">
        <is>
          <t>YES</t>
        </is>
      </c>
      <c r="F31" s="24" t="inlineStr">
        <is>
          <t>最新价值评估方式</t>
        </is>
      </c>
      <c r="G31" s="24" t="n"/>
      <c r="H31" s="24" t="n"/>
      <c r="I31" s="24" t="inlineStr"/>
      <c r="J31" s="24" t="inlineStr">
        <is>
          <t>2023/01/12</t>
        </is>
      </c>
    </row>
    <row r="32">
      <c r="B32" s="24" t="inlineStr">
        <is>
          <t>clr_info</t>
        </is>
      </c>
      <c r="C32" s="24" t="inlineStr">
        <is>
          <t>CURREVALVALUE</t>
        </is>
      </c>
      <c r="D32" s="24" t="inlineStr">
        <is>
          <t>decimal(24,6)</t>
        </is>
      </c>
      <c r="E32" s="24" t="inlineStr">
        <is>
          <t>YES</t>
        </is>
      </c>
      <c r="F32" s="24" t="inlineStr">
        <is>
          <t>最新评估价值</t>
        </is>
      </c>
      <c r="G32" s="24" t="n"/>
      <c r="H32" s="24" t="n"/>
      <c r="I32" s="24" t="inlineStr"/>
      <c r="J32" s="24" t="inlineStr">
        <is>
          <t>2023/01/12</t>
        </is>
      </c>
    </row>
    <row r="33">
      <c r="B33" s="24" t="inlineStr">
        <is>
          <t>clr_info</t>
        </is>
      </c>
      <c r="C33" s="24" t="inlineStr">
        <is>
          <t>EVALFRQ</t>
        </is>
      </c>
      <c r="D33" s="24" t="inlineStr">
        <is>
          <t>decimal(18,8)</t>
        </is>
      </c>
      <c r="E33" s="24" t="inlineStr">
        <is>
          <t>YES</t>
        </is>
      </c>
      <c r="F33" s="24" t="inlineStr">
        <is>
          <t>价值重估频率</t>
        </is>
      </c>
      <c r="G33" s="24" t="n"/>
      <c r="H33" s="24" t="n"/>
      <c r="I33" s="24" t="inlineStr"/>
      <c r="J33" s="24" t="inlineStr">
        <is>
          <t>2023/01/12</t>
        </is>
      </c>
    </row>
    <row r="34">
      <c r="B34" s="24" t="inlineStr">
        <is>
          <t>clr_info</t>
        </is>
      </c>
      <c r="C34" s="24" t="inlineStr">
        <is>
          <t>CURRMARKETPRICE</t>
        </is>
      </c>
      <c r="D34" s="24" t="inlineStr">
        <is>
          <t>decimal(24,6)</t>
        </is>
      </c>
      <c r="E34" s="24" t="inlineStr">
        <is>
          <t>YES</t>
        </is>
      </c>
      <c r="F34" s="24" t="inlineStr">
        <is>
          <t>当前市场参考价</t>
        </is>
      </c>
      <c r="G34" s="24" t="n"/>
      <c r="H34" s="24" t="n"/>
      <c r="I34" s="24" t="inlineStr"/>
      <c r="J34" s="24" t="inlineStr">
        <is>
          <t>2023/01/12</t>
        </is>
      </c>
    </row>
    <row r="35">
      <c r="B35" s="24" t="inlineStr">
        <is>
          <t>clr_info</t>
        </is>
      </c>
      <c r="C35" s="24" t="inlineStr">
        <is>
          <t>CURRMPEVALTIME</t>
        </is>
      </c>
      <c r="D35" s="24" t="inlineStr">
        <is>
          <t>datetime</t>
        </is>
      </c>
      <c r="E35" s="24" t="inlineStr">
        <is>
          <t>YES</t>
        </is>
      </c>
      <c r="F35" s="24" t="inlineStr">
        <is>
          <t>当前市场参考价值日期</t>
        </is>
      </c>
      <c r="G35" s="24" t="n"/>
      <c r="H35" s="24" t="n"/>
      <c r="I35" s="24" t="inlineStr"/>
      <c r="J35" s="24" t="inlineStr">
        <is>
          <t>2023/01/12</t>
        </is>
      </c>
    </row>
    <row r="36">
      <c r="B36" s="24" t="inlineStr">
        <is>
          <t>clr_info</t>
        </is>
      </c>
      <c r="C36" s="24" t="inlineStr">
        <is>
          <t>CURRMPINFOSOURCE</t>
        </is>
      </c>
      <c r="D36" s="24" t="inlineStr">
        <is>
          <t>varchar(80)</t>
        </is>
      </c>
      <c r="E36" s="24" t="inlineStr">
        <is>
          <t>YES</t>
        </is>
      </c>
      <c r="F36" s="24" t="inlineStr">
        <is>
          <t>当前市场参考价信息来源</t>
        </is>
      </c>
      <c r="G36" s="24" t="n"/>
      <c r="H36" s="24" t="n"/>
      <c r="I36" s="24" t="inlineStr"/>
      <c r="J36" s="24" t="inlineStr">
        <is>
          <t>2023/01/12</t>
        </is>
      </c>
    </row>
    <row r="37">
      <c r="B37" s="24" t="inlineStr">
        <is>
          <t>clr_info</t>
        </is>
      </c>
      <c r="C37" s="24" t="inlineStr">
        <is>
          <t>CURRMPREFINDEXID</t>
        </is>
      </c>
      <c r="D37" s="24" t="inlineStr">
        <is>
          <t>varchar(32)</t>
        </is>
      </c>
      <c r="E37" s="24" t="inlineStr">
        <is>
          <t>YES</t>
        </is>
      </c>
      <c r="F37" s="24" t="inlineStr">
        <is>
          <t>当前市场价格关联指数编号</t>
        </is>
      </c>
      <c r="G37" s="24" t="n"/>
      <c r="H37" s="24" t="n"/>
      <c r="I37" s="24" t="inlineStr"/>
      <c r="J37" s="24" t="inlineStr">
        <is>
          <t>2023/01/12</t>
        </is>
      </c>
    </row>
    <row r="38">
      <c r="B38" s="24" t="inlineStr">
        <is>
          <t>clr_info</t>
        </is>
      </c>
      <c r="C38" s="24" t="inlineStr">
        <is>
          <t>MYCURRENCY</t>
        </is>
      </c>
      <c r="D38" s="24" t="inlineStr">
        <is>
          <t>varchar(18)</t>
        </is>
      </c>
      <c r="E38" s="24" t="inlineStr">
        <is>
          <t>YES</t>
        </is>
      </c>
      <c r="F38" s="24" t="inlineStr">
        <is>
          <t>我行拥有的抵押品市价币种</t>
        </is>
      </c>
      <c r="G38" s="24" t="n"/>
      <c r="H38" s="24" t="n"/>
      <c r="I38" s="24" t="inlineStr"/>
      <c r="J38" s="24" t="inlineStr">
        <is>
          <t>2023/01/12</t>
        </is>
      </c>
    </row>
    <row r="39">
      <c r="B39" s="24" t="inlineStr">
        <is>
          <t>clr_info</t>
        </is>
      </c>
      <c r="C39" s="24" t="inlineStr">
        <is>
          <t>MYBANKCLRPRICE</t>
        </is>
      </c>
      <c r="D39" s="24" t="inlineStr">
        <is>
          <t>decimal(24,6)</t>
        </is>
      </c>
      <c r="E39" s="24" t="inlineStr">
        <is>
          <t>YES</t>
        </is>
      </c>
      <c r="F39" s="24" t="inlineStr">
        <is>
          <t>我行拥有的抵押品市价</t>
        </is>
      </c>
      <c r="G39" s="24" t="n"/>
      <c r="H39" s="24" t="n"/>
      <c r="I39" s="24" t="inlineStr"/>
      <c r="J39" s="24" t="inlineStr">
        <is>
          <t>2023/01/12</t>
        </is>
      </c>
    </row>
    <row r="40">
      <c r="B40" s="24" t="inlineStr">
        <is>
          <t>clr_info</t>
        </is>
      </c>
      <c r="C40" s="24" t="inlineStr">
        <is>
          <t>INDEPENDENTEVAL</t>
        </is>
      </c>
      <c r="D40" s="24" t="inlineStr">
        <is>
          <t>char(1)</t>
        </is>
      </c>
      <c r="E40" s="24" t="inlineStr">
        <is>
          <t>YES</t>
        </is>
      </c>
      <c r="F40" s="24" t="inlineStr">
        <is>
          <t>市价是否由独立的价值评估者所估计</t>
        </is>
      </c>
      <c r="G40" s="24" t="n"/>
      <c r="H40" s="24" t="n"/>
      <c r="I40" s="24" t="inlineStr"/>
      <c r="J40" s="24" t="inlineStr">
        <is>
          <t>2023/01/12</t>
        </is>
      </c>
    </row>
    <row r="41">
      <c r="B41" s="24" t="inlineStr">
        <is>
          <t>clr_info</t>
        </is>
      </c>
      <c r="C41" s="24" t="inlineStr">
        <is>
          <t>ISREPTPLEDGE</t>
        </is>
      </c>
      <c r="D41" s="24" t="inlineStr">
        <is>
          <t>char(1)</t>
        </is>
      </c>
      <c r="E41" s="24" t="inlineStr">
        <is>
          <t>YES</t>
        </is>
      </c>
      <c r="F41" s="24" t="inlineStr">
        <is>
          <t>是否重复抵质押</t>
        </is>
      </c>
      <c r="G41" s="24" t="n"/>
      <c r="H41" s="24" t="n"/>
      <c r="I41" s="24" t="inlineStr"/>
      <c r="J41" s="24" t="inlineStr">
        <is>
          <t>2023/01/12</t>
        </is>
      </c>
    </row>
    <row r="42">
      <c r="B42" s="24" t="inlineStr">
        <is>
          <t>clr_info</t>
        </is>
      </c>
      <c r="C42" s="24" t="inlineStr">
        <is>
          <t>ISINNERREPTPLEDGE</t>
        </is>
      </c>
      <c r="D42" s="24" t="inlineStr">
        <is>
          <t>char(1)</t>
        </is>
      </c>
      <c r="E42" s="24" t="inlineStr">
        <is>
          <t>YES</t>
        </is>
      </c>
      <c r="F42" s="24" t="inlineStr">
        <is>
          <t>是否行内重复抵质押</t>
        </is>
      </c>
      <c r="G42" s="24" t="n"/>
      <c r="H42" s="24" t="n"/>
      <c r="I42" s="24" t="inlineStr"/>
      <c r="J42" s="24" t="inlineStr">
        <is>
          <t>2023/01/12</t>
        </is>
      </c>
    </row>
    <row r="43">
      <c r="B43" s="24" t="inlineStr">
        <is>
          <t>clr_info</t>
        </is>
      </c>
      <c r="C43" s="24" t="inlineStr">
        <is>
          <t>ISCLRVERIFICATION</t>
        </is>
      </c>
      <c r="D43" s="24" t="inlineStr">
        <is>
          <t>char(1)</t>
        </is>
      </c>
      <c r="E43" s="24" t="inlineStr">
        <is>
          <t>YES</t>
        </is>
      </c>
      <c r="F43" s="24" t="inlineStr">
        <is>
          <t>是否已核押登记</t>
        </is>
      </c>
      <c r="G43" s="24" t="n"/>
      <c r="H43" s="24" t="n"/>
      <c r="I43" s="24" t="inlineStr"/>
      <c r="J43" s="24" t="inlineStr">
        <is>
          <t>2023/01/12</t>
        </is>
      </c>
    </row>
    <row r="44">
      <c r="B44" s="24" t="inlineStr">
        <is>
          <t>clr_info</t>
        </is>
      </c>
      <c r="C44" s="24" t="inlineStr">
        <is>
          <t>ISCLRREGISTER</t>
        </is>
      </c>
      <c r="D44" s="24" t="inlineStr">
        <is>
          <t>char(1)</t>
        </is>
      </c>
      <c r="E44" s="24" t="inlineStr">
        <is>
          <t>YES</t>
        </is>
      </c>
      <c r="F44" s="24" t="inlineStr">
        <is>
          <t>是否已抵质押登记</t>
        </is>
      </c>
      <c r="G44" s="24" t="n"/>
      <c r="H44" s="24" t="n"/>
      <c r="I44" s="24" t="inlineStr"/>
      <c r="J44" s="24" t="inlineStr">
        <is>
          <t>2023/01/12</t>
        </is>
      </c>
    </row>
    <row r="45">
      <c r="B45" s="24" t="inlineStr">
        <is>
          <t>clr_info</t>
        </is>
      </c>
      <c r="C45" s="24" t="inlineStr">
        <is>
          <t>MANAGEUSERID</t>
        </is>
      </c>
      <c r="D45" s="24" t="inlineStr">
        <is>
          <t>varchar(32)</t>
        </is>
      </c>
      <c r="E45" s="24" t="inlineStr">
        <is>
          <t>YES</t>
        </is>
      </c>
      <c r="F45" s="24" t="inlineStr">
        <is>
          <t>管理人</t>
        </is>
      </c>
      <c r="G45" s="24" t="n"/>
      <c r="H45" s="24" t="n"/>
      <c r="I45" s="24" t="inlineStr"/>
      <c r="J45" s="24" t="inlineStr">
        <is>
          <t>2023/01/12</t>
        </is>
      </c>
    </row>
    <row r="46">
      <c r="B46" s="24" t="inlineStr">
        <is>
          <t>clr_info</t>
        </is>
      </c>
      <c r="C46" s="24" t="inlineStr">
        <is>
          <t>MANAGEORGID</t>
        </is>
      </c>
      <c r="D46" s="24" t="inlineStr">
        <is>
          <t>varchar(32)</t>
        </is>
      </c>
      <c r="E46" s="24" t="inlineStr">
        <is>
          <t>YES</t>
        </is>
      </c>
      <c r="F46" s="24" t="inlineStr">
        <is>
          <t>管理机构</t>
        </is>
      </c>
      <c r="G46" s="24" t="n"/>
      <c r="H46" s="24" t="n"/>
      <c r="I46" s="24" t="inlineStr"/>
      <c r="J46" s="24" t="inlineStr">
        <is>
          <t>2023/01/12</t>
        </is>
      </c>
    </row>
    <row r="47">
      <c r="B47" s="24" t="inlineStr">
        <is>
          <t>clr_info</t>
        </is>
      </c>
      <c r="C47" s="24" t="inlineStr">
        <is>
          <t>WRITEUSERID</t>
        </is>
      </c>
      <c r="D47" s="24" t="inlineStr">
        <is>
          <t>varchar(80)</t>
        </is>
      </c>
      <c r="E47" s="24" t="inlineStr">
        <is>
          <t>YES</t>
        </is>
      </c>
      <c r="F47" s="24" t="inlineStr">
        <is>
          <t>补录人</t>
        </is>
      </c>
      <c r="G47" s="24" t="n"/>
      <c r="H47" s="24" t="n"/>
      <c r="I47" s="24" t="inlineStr"/>
      <c r="J47" s="24" t="inlineStr">
        <is>
          <t>2023/01/12</t>
        </is>
      </c>
    </row>
    <row r="48">
      <c r="B48" s="24" t="inlineStr">
        <is>
          <t>clr_info</t>
        </is>
      </c>
      <c r="C48" s="24" t="inlineStr">
        <is>
          <t>WRITEORGID</t>
        </is>
      </c>
      <c r="D48" s="24" t="inlineStr">
        <is>
          <t>varchar(32)</t>
        </is>
      </c>
      <c r="E48" s="24" t="inlineStr">
        <is>
          <t>YES</t>
        </is>
      </c>
      <c r="F48" s="24" t="inlineStr">
        <is>
          <t>补录机构</t>
        </is>
      </c>
      <c r="G48" s="24" t="n"/>
      <c r="H48" s="24" t="n"/>
      <c r="I48" s="24" t="inlineStr"/>
      <c r="J48" s="24" t="inlineStr">
        <is>
          <t>2023/01/12</t>
        </is>
      </c>
    </row>
    <row r="49">
      <c r="B49" s="24" t="inlineStr">
        <is>
          <t>clr_info</t>
        </is>
      </c>
      <c r="C49" s="24" t="inlineStr">
        <is>
          <t>INEVALCURRENCY</t>
        </is>
      </c>
      <c r="D49" s="24" t="inlineStr">
        <is>
          <t>varchar(18)</t>
        </is>
      </c>
      <c r="E49" s="24" t="inlineStr">
        <is>
          <t>YES</t>
        </is>
      </c>
      <c r="F49" s="24" t="inlineStr">
        <is>
          <t>内部评估价值币种</t>
        </is>
      </c>
      <c r="G49" s="24" t="n"/>
      <c r="H49" s="24" t="n"/>
      <c r="I49" s="24" t="inlineStr"/>
      <c r="J49" s="24" t="inlineStr">
        <is>
          <t>2023/01/12</t>
        </is>
      </c>
    </row>
    <row r="50">
      <c r="B50" s="24" t="inlineStr">
        <is>
          <t>clr_info</t>
        </is>
      </c>
      <c r="C50" s="24" t="inlineStr">
        <is>
          <t>INEVALVAULE</t>
        </is>
      </c>
      <c r="D50" s="24" t="inlineStr">
        <is>
          <t>decimal(24,6)</t>
        </is>
      </c>
      <c r="E50" s="24" t="inlineStr">
        <is>
          <t>YES</t>
        </is>
      </c>
      <c r="F50" s="24" t="inlineStr">
        <is>
          <t>内部评估价值</t>
        </is>
      </c>
      <c r="G50" s="24" t="n"/>
      <c r="H50" s="24" t="n"/>
      <c r="I50" s="24" t="inlineStr"/>
      <c r="J50" s="24" t="inlineStr">
        <is>
          <t>2023/01/12</t>
        </is>
      </c>
    </row>
    <row r="51">
      <c r="B51" s="24" t="inlineStr">
        <is>
          <t>clr_info</t>
        </is>
      </c>
      <c r="C51" s="24" t="inlineStr">
        <is>
          <t>EXEVALCURRENCY</t>
        </is>
      </c>
      <c r="D51" s="24" t="inlineStr">
        <is>
          <t>varchar(18)</t>
        </is>
      </c>
      <c r="E51" s="24" t="inlineStr">
        <is>
          <t>YES</t>
        </is>
      </c>
      <c r="F51" s="24" t="inlineStr">
        <is>
          <t>外部评估价值币种</t>
        </is>
      </c>
      <c r="G51" s="24" t="n"/>
      <c r="H51" s="24" t="n"/>
      <c r="I51" s="24" t="inlineStr"/>
      <c r="J51" s="24" t="inlineStr">
        <is>
          <t>2023/01/12</t>
        </is>
      </c>
    </row>
    <row r="52">
      <c r="B52" s="24" t="inlineStr">
        <is>
          <t>clr_info</t>
        </is>
      </c>
      <c r="C52" s="24" t="inlineStr">
        <is>
          <t>EXEVALVALUE</t>
        </is>
      </c>
      <c r="D52" s="24" t="inlineStr">
        <is>
          <t>decimal(24,6)</t>
        </is>
      </c>
      <c r="E52" s="24" t="inlineStr">
        <is>
          <t>YES</t>
        </is>
      </c>
      <c r="F52" s="24" t="inlineStr">
        <is>
          <t>外部评估价值</t>
        </is>
      </c>
      <c r="G52" s="24" t="n"/>
      <c r="H52" s="24" t="n"/>
      <c r="I52" s="24" t="inlineStr"/>
      <c r="J52" s="24" t="inlineStr">
        <is>
          <t>2023/01/12</t>
        </is>
      </c>
    </row>
    <row r="53">
      <c r="B53" s="24" t="inlineStr">
        <is>
          <t>clr_info</t>
        </is>
      </c>
      <c r="C53" s="24" t="inlineStr">
        <is>
          <t>SOURCESYSTEM</t>
        </is>
      </c>
      <c r="D53" s="24" t="inlineStr">
        <is>
          <t>varchar(80)</t>
        </is>
      </c>
      <c r="E53" s="24" t="inlineStr">
        <is>
          <t>YES</t>
        </is>
      </c>
      <c r="F53" s="24" t="inlineStr">
        <is>
          <t>来源系统</t>
        </is>
      </c>
      <c r="G53" s="24" t="n"/>
      <c r="H53" s="24" t="n"/>
      <c r="I53" s="24" t="inlineStr"/>
      <c r="J53" s="24" t="inlineStr">
        <is>
          <t>2023/01/12</t>
        </is>
      </c>
    </row>
    <row r="54">
      <c r="B54" s="24" t="inlineStr">
        <is>
          <t>clr_info</t>
        </is>
      </c>
      <c r="C54" s="24" t="inlineStr">
        <is>
          <t>INEVALDATE</t>
        </is>
      </c>
      <c r="D54" s="24" t="inlineStr">
        <is>
          <t>datetime</t>
        </is>
      </c>
      <c r="E54" s="24" t="inlineStr">
        <is>
          <t>YES</t>
        </is>
      </c>
      <c r="F54" s="24" t="inlineStr">
        <is>
          <t>内部评估日期</t>
        </is>
      </c>
      <c r="G54" s="24" t="n"/>
      <c r="H54" s="24" t="n"/>
      <c r="I54" s="24" t="inlineStr"/>
      <c r="J54" s="24" t="inlineStr">
        <is>
          <t>2023/01/12</t>
        </is>
      </c>
    </row>
    <row r="55">
      <c r="B55" s="24" t="inlineStr">
        <is>
          <t>clr_info</t>
        </is>
      </c>
      <c r="C55" s="24" t="inlineStr">
        <is>
          <t>EXEVALDATE</t>
        </is>
      </c>
      <c r="D55" s="24" t="inlineStr">
        <is>
          <t>datetime</t>
        </is>
      </c>
      <c r="E55" s="24" t="inlineStr">
        <is>
          <t>YES</t>
        </is>
      </c>
      <c r="F55" s="24" t="inlineStr">
        <is>
          <t>外部评估日期</t>
        </is>
      </c>
      <c r="G55" s="24" t="n"/>
      <c r="H55" s="24" t="n"/>
      <c r="I55" s="24" t="inlineStr"/>
      <c r="J55" s="24" t="inlineStr">
        <is>
          <t>2023/01/12</t>
        </is>
      </c>
    </row>
    <row r="56">
      <c r="B56" s="24" t="inlineStr">
        <is>
          <t>clr_info</t>
        </is>
      </c>
      <c r="C56" s="24" t="inlineStr">
        <is>
          <t>FIRSTEVALMODE</t>
        </is>
      </c>
      <c r="D56" s="24" t="inlineStr">
        <is>
          <t>varchar(18)</t>
        </is>
      </c>
      <c r="E56" s="24" t="inlineStr">
        <is>
          <t>YES</t>
        </is>
      </c>
      <c r="F56" s="24" t="inlineStr">
        <is>
          <t>首次评估方式</t>
        </is>
      </c>
      <c r="G56" s="24" t="n"/>
      <c r="H56" s="24" t="n"/>
      <c r="I56" s="24" t="inlineStr"/>
      <c r="J56" s="24" t="inlineStr">
        <is>
          <t>2023/01/12</t>
        </is>
      </c>
    </row>
    <row r="57">
      <c r="B57" s="24" t="inlineStr">
        <is>
          <t>clr_info</t>
        </is>
      </c>
      <c r="C57" s="24" t="inlineStr">
        <is>
          <t>APPRAISALORGID</t>
        </is>
      </c>
      <c r="D57" s="24" t="inlineStr">
        <is>
          <t>varchar(32)</t>
        </is>
      </c>
      <c r="E57" s="24" t="inlineStr">
        <is>
          <t>YES</t>
        </is>
      </c>
      <c r="F57" s="24" t="inlineStr">
        <is>
          <t>评估机构编号</t>
        </is>
      </c>
      <c r="G57" s="24" t="n"/>
      <c r="H57" s="24" t="n"/>
      <c r="I57" s="24" t="inlineStr"/>
      <c r="J57" s="24" t="inlineStr">
        <is>
          <t>2023/01/12</t>
        </is>
      </c>
    </row>
    <row r="58">
      <c r="B58" s="24" t="inlineStr">
        <is>
          <t>clr_info</t>
        </is>
      </c>
      <c r="C58" s="24" t="inlineStr">
        <is>
          <t>APPRAISALORGNAME</t>
        </is>
      </c>
      <c r="D58" s="24" t="inlineStr">
        <is>
          <t>varchar(80)</t>
        </is>
      </c>
      <c r="E58" s="24" t="inlineStr">
        <is>
          <t>YES</t>
        </is>
      </c>
      <c r="F58" s="24" t="inlineStr">
        <is>
          <t>评估机构名称</t>
        </is>
      </c>
      <c r="G58" s="24" t="n"/>
      <c r="H58" s="24" t="n"/>
      <c r="I58" s="24" t="inlineStr"/>
      <c r="J58" s="24" t="inlineStr">
        <is>
          <t>2023/01/12</t>
        </is>
      </c>
    </row>
    <row r="59">
      <c r="B59" s="24" t="inlineStr">
        <is>
          <t>clr_info</t>
        </is>
      </c>
      <c r="C59" s="24" t="inlineStr">
        <is>
          <t>CURRMARKETCURRENCY</t>
        </is>
      </c>
      <c r="D59" s="24" t="inlineStr">
        <is>
          <t>varchar(18)</t>
        </is>
      </c>
      <c r="E59" s="24" t="inlineStr">
        <is>
          <t>YES</t>
        </is>
      </c>
      <c r="F59" s="24" t="inlineStr">
        <is>
          <t>当前市场参考价值币种</t>
        </is>
      </c>
      <c r="G59" s="24" t="n"/>
      <c r="H59" s="24" t="n"/>
      <c r="I59" s="24" t="inlineStr"/>
      <c r="J59" s="24" t="inlineStr">
        <is>
          <t>2023/01/12</t>
        </is>
      </c>
    </row>
    <row r="60">
      <c r="B60" s="24" t="inlineStr">
        <is>
          <t>clr_info</t>
        </is>
      </c>
      <c r="C60" s="24" t="inlineStr">
        <is>
          <t>ISDATACONV</t>
        </is>
      </c>
      <c r="D60" s="24" t="inlineStr">
        <is>
          <t>char(1)</t>
        </is>
      </c>
      <c r="E60" s="24" t="inlineStr">
        <is>
          <t>YES</t>
        </is>
      </c>
      <c r="F60" s="24" t="inlineStr">
        <is>
          <t>是否移植数据</t>
        </is>
      </c>
      <c r="G60" s="24" t="n"/>
      <c r="H60" s="24" t="n"/>
      <c r="I60" s="24" t="inlineStr"/>
      <c r="J60" s="24" t="inlineStr">
        <is>
          <t>2023/01/12</t>
        </is>
      </c>
    </row>
    <row r="61">
      <c r="B61" s="24" t="inlineStr">
        <is>
          <t>clr_info</t>
        </is>
      </c>
      <c r="C61" s="24" t="inlineStr">
        <is>
          <t>CLROWNER</t>
        </is>
      </c>
      <c r="D61" s="24" t="inlineStr">
        <is>
          <t>varchar(80)</t>
        </is>
      </c>
      <c r="E61" s="24" t="inlineStr">
        <is>
          <t>YES</t>
        </is>
      </c>
      <c r="F61" s="24" t="inlineStr">
        <is>
          <t>抵质押物持有人</t>
        </is>
      </c>
      <c r="G61" s="24" t="n"/>
      <c r="H61" s="24" t="n"/>
      <c r="I61" s="24" t="inlineStr"/>
      <c r="J61" s="24" t="inlineStr">
        <is>
          <t>2023/01/12</t>
        </is>
      </c>
    </row>
    <row r="62">
      <c r="B62" s="24" t="inlineStr">
        <is>
          <t>clr_info</t>
        </is>
      </c>
      <c r="C62" s="24" t="inlineStr">
        <is>
          <t>OTHERSUSEDGNTVALUE</t>
        </is>
      </c>
      <c r="D62" s="24" t="inlineStr">
        <is>
          <t>decimal(24,6)</t>
        </is>
      </c>
      <c r="E62" s="24" t="inlineStr">
        <is>
          <t>YES</t>
        </is>
      </c>
      <c r="F62" s="24" t="inlineStr">
        <is>
          <t>他行已担保债权金额</t>
        </is>
      </c>
      <c r="G62" s="24" t="n"/>
      <c r="H62" s="24" t="n"/>
      <c r="I62" s="24" t="inlineStr"/>
      <c r="J62" s="24" t="inlineStr">
        <is>
          <t>2023/01/12</t>
        </is>
      </c>
    </row>
    <row r="63">
      <c r="B63" s="24" t="inlineStr">
        <is>
          <t>clr_info</t>
        </is>
      </c>
      <c r="C63" s="24" t="inlineStr">
        <is>
          <t>PRIORITYCLAIM</t>
        </is>
      </c>
      <c r="D63" s="24" t="inlineStr">
        <is>
          <t>varchar(18)</t>
        </is>
      </c>
      <c r="E63" s="24" t="inlineStr">
        <is>
          <t>YES</t>
        </is>
      </c>
      <c r="F63" s="24" t="inlineStr">
        <is>
          <t>债权优先顺位</t>
        </is>
      </c>
      <c r="G63" s="24" t="n"/>
      <c r="H63" s="24" t="n"/>
      <c r="I63" s="24" t="inlineStr"/>
      <c r="J63" s="24" t="inlineStr">
        <is>
          <t>2023/01/12</t>
        </is>
      </c>
    </row>
    <row r="64">
      <c r="B64" s="24" t="inlineStr">
        <is>
          <t>clr_info</t>
        </is>
      </c>
      <c r="C64" s="24" t="inlineStr">
        <is>
          <t>EVALVALUEDUEDATE</t>
        </is>
      </c>
      <c r="D64" s="24" t="inlineStr">
        <is>
          <t>datetime</t>
        </is>
      </c>
      <c r="E64" s="24" t="inlineStr">
        <is>
          <t>YES</t>
        </is>
      </c>
      <c r="F64" s="24" t="inlineStr">
        <is>
          <t>估值到期日</t>
        </is>
      </c>
      <c r="G64" s="24" t="n"/>
      <c r="H64" s="24" t="n"/>
      <c r="I64" s="24" t="inlineStr"/>
      <c r="J64" s="24" t="inlineStr">
        <is>
          <t>2023/01/12</t>
        </is>
      </c>
    </row>
    <row r="65">
      <c r="B65" s="24" t="inlineStr">
        <is>
          <t>clr_info</t>
        </is>
      </c>
      <c r="C65" s="24" t="inlineStr">
        <is>
          <t>ISDISPOSITION</t>
        </is>
      </c>
      <c r="D65" s="24" t="inlineStr">
        <is>
          <t>char(1)</t>
        </is>
      </c>
      <c r="E65" s="24" t="inlineStr">
        <is>
          <t>YES</t>
        </is>
      </c>
      <c r="F65" s="24" t="inlineStr">
        <is>
          <t>是否已处置</t>
        </is>
      </c>
      <c r="G65" s="24" t="n"/>
      <c r="H65" s="24" t="n"/>
      <c r="I65" s="24" t="inlineStr"/>
      <c r="J65" s="24" t="inlineStr">
        <is>
          <t>2023/01/12</t>
        </is>
      </c>
    </row>
    <row r="66">
      <c r="B66" s="24" t="inlineStr">
        <is>
          <t>clr_info</t>
        </is>
      </c>
      <c r="C66" s="24" t="inlineStr">
        <is>
          <t>DISPOSALMETHOD</t>
        </is>
      </c>
      <c r="D66" s="24" t="inlineStr">
        <is>
          <t>varchar(6)</t>
        </is>
      </c>
      <c r="E66" s="24" t="inlineStr">
        <is>
          <t>YES</t>
        </is>
      </c>
      <c r="F66" s="24" t="inlineStr">
        <is>
          <t>处置方式</t>
        </is>
      </c>
      <c r="G66" s="24" t="n"/>
      <c r="H66" s="24" t="n"/>
      <c r="I66" s="24" t="inlineStr"/>
      <c r="J66" s="24" t="inlineStr">
        <is>
          <t>2023/01/12</t>
        </is>
      </c>
    </row>
    <row r="67">
      <c r="B67" s="24" t="inlineStr">
        <is>
          <t>clr_info</t>
        </is>
      </c>
      <c r="C67" s="24" t="inlineStr">
        <is>
          <t>LASTEVALVALUE</t>
        </is>
      </c>
      <c r="D67" s="24" t="inlineStr">
        <is>
          <t>decimal(24,6)</t>
        </is>
      </c>
      <c r="E67" s="24" t="inlineStr">
        <is>
          <t>YES</t>
        </is>
      </c>
      <c r="F67" s="24" t="inlineStr">
        <is>
          <t>上次评估价值</t>
        </is>
      </c>
      <c r="G67" s="24" t="n"/>
      <c r="H67" s="24" t="n"/>
      <c r="I67" s="24" t="inlineStr"/>
      <c r="J67" s="24" t="inlineStr">
        <is>
          <t>2023/01/12</t>
        </is>
      </c>
    </row>
    <row r="68">
      <c r="B68" s="24" t="inlineStr">
        <is>
          <t>clr_info</t>
        </is>
      </c>
      <c r="C68" s="24" t="inlineStr">
        <is>
          <t>LASTEVALDATE</t>
        </is>
      </c>
      <c r="D68" s="24" t="inlineStr">
        <is>
          <t>datetime</t>
        </is>
      </c>
      <c r="E68" s="24" t="inlineStr">
        <is>
          <t>YES</t>
        </is>
      </c>
      <c r="F68" s="24" t="inlineStr">
        <is>
          <t>上次价值评估日期</t>
        </is>
      </c>
      <c r="G68" s="24" t="n"/>
      <c r="H68" s="24" t="n"/>
      <c r="I68" s="24" t="inlineStr"/>
      <c r="J68" s="24" t="inlineStr">
        <is>
          <t>2023/01/12</t>
        </is>
      </c>
    </row>
    <row r="69">
      <c r="B69" s="24" t="inlineStr">
        <is>
          <t>clr_info</t>
        </is>
      </c>
      <c r="C69" s="24" t="inlineStr">
        <is>
          <t>ISADDRESSUNIQUE</t>
        </is>
      </c>
      <c r="D69" s="24" t="inlineStr">
        <is>
          <t>char(1)</t>
        </is>
      </c>
      <c r="E69" s="24" t="inlineStr">
        <is>
          <t>YES</t>
        </is>
      </c>
      <c r="F69" s="24" t="inlineStr">
        <is>
          <t>地址是否唯一</t>
        </is>
      </c>
      <c r="G69" s="24" t="n"/>
      <c r="H69" s="24" t="n"/>
      <c r="I69" s="24" t="inlineStr"/>
      <c r="J69" s="24" t="inlineStr">
        <is>
          <t>2023/01/12</t>
        </is>
      </c>
    </row>
    <row r="70">
      <c r="B70" s="24" t="inlineStr">
        <is>
          <t>clr_info</t>
        </is>
      </c>
      <c r="C70" s="24" t="inlineStr">
        <is>
          <t>POOLSTATUS</t>
        </is>
      </c>
      <c r="D70" s="24" t="inlineStr">
        <is>
          <t>varchar(6)</t>
        </is>
      </c>
      <c r="E70" s="24" t="inlineStr">
        <is>
          <t>YES</t>
        </is>
      </c>
      <c r="F70" s="24" t="inlineStr">
        <is>
          <t>出入池状态</t>
        </is>
      </c>
      <c r="G70" s="24" t="n"/>
      <c r="H70" s="24" t="n"/>
      <c r="I70" s="24" t="inlineStr"/>
      <c r="J70" s="24" t="inlineStr">
        <is>
          <t>2023/01/12</t>
        </is>
      </c>
    </row>
    <row r="71">
      <c r="B71" s="24" t="inlineStr">
        <is>
          <t>clr_info</t>
        </is>
      </c>
      <c r="C71" s="24" t="inlineStr">
        <is>
          <t>POOLID</t>
        </is>
      </c>
      <c r="D71" s="24" t="inlineStr">
        <is>
          <t>varchar(32)</t>
        </is>
      </c>
      <c r="E71" s="24" t="inlineStr">
        <is>
          <t>YES</t>
        </is>
      </c>
      <c r="F71" s="24" t="inlineStr">
        <is>
          <t>押品池编号</t>
        </is>
      </c>
      <c r="G71" s="24" t="n"/>
      <c r="H71" s="24" t="n"/>
      <c r="I71" s="24" t="inlineStr"/>
      <c r="J71" s="24" t="inlineStr">
        <is>
          <t>2023/01/12</t>
        </is>
      </c>
    </row>
    <row r="72">
      <c r="B72" s="24" t="inlineStr">
        <is>
          <t>clr_info</t>
        </is>
      </c>
      <c r="C72" s="24" t="inlineStr">
        <is>
          <t>TEMPSAVEFLAG</t>
        </is>
      </c>
      <c r="D72" s="24" t="inlineStr">
        <is>
          <t>varchar(6)</t>
        </is>
      </c>
      <c r="E72" s="24" t="inlineStr">
        <is>
          <t>YES</t>
        </is>
      </c>
      <c r="F72" s="24" t="inlineStr">
        <is>
          <t>暂存标志</t>
        </is>
      </c>
      <c r="G72" s="24" t="n"/>
      <c r="H72" s="24" t="n"/>
      <c r="I72" s="24" t="inlineStr"/>
      <c r="J72" s="24" t="inlineStr">
        <is>
          <t>2023/01/12</t>
        </is>
      </c>
    </row>
    <row r="73">
      <c r="B73" s="24" t="inlineStr">
        <is>
          <t>clr_info</t>
        </is>
      </c>
      <c r="C73" s="24" t="inlineStr">
        <is>
          <t>REMARK</t>
        </is>
      </c>
      <c r="D73" s="24" t="inlineStr">
        <is>
          <t>varchar(500)</t>
        </is>
      </c>
      <c r="E73" s="24" t="inlineStr">
        <is>
          <t>YES</t>
        </is>
      </c>
      <c r="F73" s="24" t="inlineStr">
        <is>
          <t>备注</t>
        </is>
      </c>
      <c r="G73" s="24" t="n"/>
      <c r="H73" s="24" t="n"/>
      <c r="I73" s="24" t="inlineStr"/>
      <c r="J73" s="24" t="inlineStr">
        <is>
          <t>2023/01/12</t>
        </is>
      </c>
    </row>
    <row r="74">
      <c r="B74" s="24" t="inlineStr">
        <is>
          <t>clr_info</t>
        </is>
      </c>
      <c r="C74" s="24" t="inlineStr">
        <is>
          <t>INPUTUSERID</t>
        </is>
      </c>
      <c r="D74" s="24" t="inlineStr">
        <is>
          <t>varchar(32)</t>
        </is>
      </c>
      <c r="E74" s="24" t="inlineStr">
        <is>
          <t>YES</t>
        </is>
      </c>
      <c r="F74" s="24" t="inlineStr">
        <is>
          <t>登记人</t>
        </is>
      </c>
      <c r="G74" s="24" t="n"/>
      <c r="H74" s="24" t="n"/>
      <c r="I74" s="24" t="inlineStr"/>
      <c r="J74" s="24" t="inlineStr">
        <is>
          <t>2023/01/12</t>
        </is>
      </c>
    </row>
    <row r="75">
      <c r="B75" s="24" t="inlineStr">
        <is>
          <t>clr_info</t>
        </is>
      </c>
      <c r="C75" s="24" t="inlineStr">
        <is>
          <t>INPUTORGID</t>
        </is>
      </c>
      <c r="D75" s="24" t="inlineStr">
        <is>
          <t>varchar(32)</t>
        </is>
      </c>
      <c r="E75" s="24" t="inlineStr">
        <is>
          <t>YES</t>
        </is>
      </c>
      <c r="F75" s="24" t="inlineStr">
        <is>
          <t>登记机构</t>
        </is>
      </c>
      <c r="G75" s="24" t="n"/>
      <c r="H75" s="24" t="n"/>
      <c r="I75" s="24" t="inlineStr"/>
      <c r="J75" s="24" t="inlineStr">
        <is>
          <t>2023/01/12</t>
        </is>
      </c>
    </row>
    <row r="76">
      <c r="B76" s="24" t="inlineStr">
        <is>
          <t>clr_info</t>
        </is>
      </c>
      <c r="C76" s="24" t="inlineStr">
        <is>
          <t>INPUTDATE</t>
        </is>
      </c>
      <c r="D76" s="24" t="inlineStr">
        <is>
          <t>datetime</t>
        </is>
      </c>
      <c r="E76" s="24" t="inlineStr">
        <is>
          <t>YES</t>
        </is>
      </c>
      <c r="F76" s="24" t="inlineStr">
        <is>
          <t>登记时间</t>
        </is>
      </c>
      <c r="G76" s="24" t="n"/>
      <c r="H76" s="24" t="n"/>
      <c r="I76" s="24" t="inlineStr"/>
      <c r="J76" s="24" t="inlineStr">
        <is>
          <t>2023/01/12</t>
        </is>
      </c>
    </row>
    <row r="77">
      <c r="B77" s="24" t="inlineStr">
        <is>
          <t>clr_info</t>
        </is>
      </c>
      <c r="C77" s="24" t="inlineStr">
        <is>
          <t>UPDATEUSERID</t>
        </is>
      </c>
      <c r="D77" s="24" t="inlineStr">
        <is>
          <t>varchar(32)</t>
        </is>
      </c>
      <c r="E77" s="24" t="inlineStr">
        <is>
          <t>YES</t>
        </is>
      </c>
      <c r="F77" s="24" t="inlineStr">
        <is>
          <t>更新人</t>
        </is>
      </c>
      <c r="G77" s="24" t="n"/>
      <c r="H77" s="24" t="n"/>
      <c r="I77" s="24" t="inlineStr"/>
      <c r="J77" s="24" t="inlineStr">
        <is>
          <t>2023/01/12</t>
        </is>
      </c>
    </row>
    <row r="78">
      <c r="B78" s="24" t="inlineStr">
        <is>
          <t>clr_info</t>
        </is>
      </c>
      <c r="C78" s="24" t="inlineStr">
        <is>
          <t>UPDATEORGID</t>
        </is>
      </c>
      <c r="D78" s="24" t="inlineStr">
        <is>
          <t>varchar(32)</t>
        </is>
      </c>
      <c r="E78" s="24" t="inlineStr">
        <is>
          <t>YES</t>
        </is>
      </c>
      <c r="F78" s="24" t="inlineStr">
        <is>
          <t>更新机构</t>
        </is>
      </c>
      <c r="G78" s="24" t="n"/>
      <c r="H78" s="24" t="n"/>
      <c r="I78" s="24" t="inlineStr"/>
      <c r="J78" s="24" t="inlineStr">
        <is>
          <t>2023/01/12</t>
        </is>
      </c>
    </row>
    <row r="79">
      <c r="B79" s="24" t="inlineStr">
        <is>
          <t>clr_info</t>
        </is>
      </c>
      <c r="C79" s="24" t="inlineStr">
        <is>
          <t>UPDATEDATE</t>
        </is>
      </c>
      <c r="D79" s="24" t="inlineStr">
        <is>
          <t>datetime</t>
        </is>
      </c>
      <c r="E79" s="24" t="inlineStr">
        <is>
          <t>YES</t>
        </is>
      </c>
      <c r="F79" s="24" t="inlineStr">
        <is>
          <t>更新时间</t>
        </is>
      </c>
      <c r="G79" s="24" t="n"/>
      <c r="H79" s="24" t="n"/>
      <c r="I79" s="24" t="inlineStr"/>
      <c r="J79" s="24" t="inlineStr">
        <is>
          <t>2023/01/12</t>
        </is>
      </c>
    </row>
    <row r="80">
      <c r="B80" s="24" t="inlineStr">
        <is>
          <t>clr_info</t>
        </is>
      </c>
      <c r="C80" s="24" t="inlineStr">
        <is>
          <t>CORPORGID</t>
        </is>
      </c>
      <c r="D80" s="24" t="inlineStr">
        <is>
          <t>varchar(32)</t>
        </is>
      </c>
      <c r="E80" s="24" t="inlineStr">
        <is>
          <t>YES</t>
        </is>
      </c>
      <c r="F80" s="24" t="inlineStr">
        <is>
          <t>法人机构编号</t>
        </is>
      </c>
      <c r="G80" s="24" t="n"/>
      <c r="H80" s="24" t="n"/>
      <c r="I80" s="24" t="inlineStr"/>
      <c r="J80" s="24" t="inlineStr">
        <is>
          <t>2023/01/12</t>
        </is>
      </c>
    </row>
    <row r="81">
      <c r="B81" s="109" t="inlineStr">
        <is>
          <t>clr_info</t>
        </is>
      </c>
      <c r="C81" s="109" t="inlineStr">
        <is>
          <t>POOLOUTHISTORY</t>
        </is>
      </c>
      <c r="D81" s="109" t="inlineStr">
        <is>
          <t>varchar(4000)</t>
        </is>
      </c>
      <c r="E81" s="109" t="inlineStr">
        <is>
          <t>YES</t>
        </is>
      </c>
      <c r="F81" s="109" t="inlineStr">
        <is>
          <t>出池历史</t>
        </is>
      </c>
      <c r="G81" s="109" t="n"/>
      <c r="H81" s="109" t="n"/>
      <c r="I81" s="109" t="inlineStr"/>
      <c r="J81" s="109" t="inlineStr">
        <is>
          <t>2023/01/12</t>
        </is>
      </c>
    </row>
    <row r="82">
      <c r="B82" s="65" t="inlineStr">
        <is>
          <t>clr_info</t>
        </is>
      </c>
      <c r="C82" s="65" t="inlineStr">
        <is>
          <t>MORTGAGESTATUS</t>
        </is>
      </c>
      <c r="D82" s="65" t="inlineStr">
        <is>
          <t>varchar(8)</t>
        </is>
      </c>
      <c r="E82" s="65" t="inlineStr">
        <is>
          <t>YES</t>
        </is>
      </c>
      <c r="F82" s="81" t="inlineStr">
        <is>
          <t>抵质押状态</t>
        </is>
      </c>
      <c r="G82" s="65" t="inlineStr">
        <is>
          <t>MortgageStatus</t>
        </is>
      </c>
      <c r="H82" s="81" t="inlineStr">
        <is>
          <t>营销、在途、待登记、已登记、在押、解押</t>
        </is>
      </c>
      <c r="I82" s="65" t="inlineStr"/>
      <c r="J82" s="183" t="n">
        <v>45740</v>
      </c>
    </row>
    <row r="83">
      <c r="B83" s="65" t="inlineStr">
        <is>
          <t>clr_info</t>
        </is>
      </c>
      <c r="C83" s="65" t="inlineStr">
        <is>
          <t>ACCOUNTINGSTATUS</t>
        </is>
      </c>
      <c r="D83" s="65" t="inlineStr">
        <is>
          <t>varchar(8)</t>
        </is>
      </c>
      <c r="E83" s="65" t="inlineStr">
        <is>
          <t>YES</t>
        </is>
      </c>
      <c r="F83" s="81" t="inlineStr">
        <is>
          <t>记账状态</t>
        </is>
      </c>
      <c r="G83" s="65" t="inlineStr">
        <is>
          <t>AccountingStatus</t>
        </is>
      </c>
      <c r="H83" s="81" t="inlineStr">
        <is>
          <t>未记账、已记账、已销账</t>
        </is>
      </c>
      <c r="I83" s="65" t="inlineStr"/>
      <c r="J83" s="183" t="n">
        <v>45740</v>
      </c>
    </row>
    <row r="84">
      <c r="B84" s="65" t="inlineStr">
        <is>
          <t>clr_info</t>
        </is>
      </c>
      <c r="C84" s="60" t="inlineStr">
        <is>
          <t>ORGID</t>
        </is>
      </c>
      <c r="D84" s="60" t="inlineStr">
        <is>
          <t>varchar(32)</t>
        </is>
      </c>
      <c r="E84" s="65" t="inlineStr">
        <is>
          <t>YES</t>
        </is>
      </c>
      <c r="F84" s="59" t="inlineStr">
        <is>
          <t>账务机构</t>
        </is>
      </c>
      <c r="G84" s="60" t="n"/>
      <c r="H84" s="60" t="n"/>
      <c r="I84" s="60" t="n"/>
      <c r="J84" s="183" t="n">
        <v>45740</v>
      </c>
    </row>
    <row r="85">
      <c r="B85" s="65" t="inlineStr">
        <is>
          <t>clr_info</t>
        </is>
      </c>
      <c r="C85" s="60" t="inlineStr">
        <is>
          <t>TRADENO</t>
        </is>
      </c>
      <c r="D85" s="60" t="inlineStr">
        <is>
          <t>varchar(32)</t>
        </is>
      </c>
      <c r="E85" s="65" t="inlineStr">
        <is>
          <t>YES</t>
        </is>
      </c>
      <c r="F85" s="59" t="inlineStr">
        <is>
          <t>交易流水号</t>
        </is>
      </c>
      <c r="G85" s="60" t="n"/>
      <c r="H85" s="60" t="n"/>
      <c r="I85" s="60" t="n"/>
      <c r="J85" s="183" t="n">
        <v>45740</v>
      </c>
    </row>
    <row r="86">
      <c r="B86" s="65" t="inlineStr">
        <is>
          <t>clr_info</t>
        </is>
      </c>
      <c r="C86" s="60" t="inlineStr">
        <is>
          <t>OWNERECIF</t>
        </is>
      </c>
      <c r="D86" s="60" t="inlineStr">
        <is>
          <t>varchar(32)</t>
        </is>
      </c>
      <c r="E86" s="65" t="inlineStr">
        <is>
          <t>YES</t>
        </is>
      </c>
      <c r="F86" s="59" t="inlineStr">
        <is>
          <t>权属人ECIF</t>
        </is>
      </c>
      <c r="G86" s="60" t="n"/>
      <c r="H86" s="60" t="n"/>
      <c r="I86" s="60" t="n"/>
      <c r="J86" s="183" t="n">
        <v>45740</v>
      </c>
    </row>
    <row r="87">
      <c r="B87" s="65" t="inlineStr">
        <is>
          <t>clr_info</t>
        </is>
      </c>
      <c r="C87" s="60" t="inlineStr">
        <is>
          <t>SOURCE</t>
        </is>
      </c>
      <c r="D87" s="60" t="inlineStr">
        <is>
          <t>varchar(32)</t>
        </is>
      </c>
      <c r="E87" s="65" t="inlineStr">
        <is>
          <t>YES</t>
        </is>
      </c>
      <c r="F87" s="60" t="inlineStr">
        <is>
          <t>数据来源渠道</t>
        </is>
      </c>
      <c r="G87" s="60" t="n"/>
      <c r="H87" s="60" t="n"/>
      <c r="I87" s="60" t="n"/>
      <c r="J87" s="183" t="n">
        <v>45740</v>
      </c>
    </row>
    <row r="88">
      <c r="B88" s="65" t="inlineStr">
        <is>
          <t>clr_info</t>
        </is>
      </c>
      <c r="C88" s="60" t="inlineStr">
        <is>
          <t>PLEDGEORDER</t>
        </is>
      </c>
      <c r="D88" s="60" t="inlineStr">
        <is>
          <t>integer(6)</t>
        </is>
      </c>
      <c r="E88" s="60" t="inlineStr">
        <is>
          <t>YES</t>
        </is>
      </c>
      <c r="F88" s="82" t="inlineStr">
        <is>
          <t>我行抵押权顺位</t>
        </is>
      </c>
      <c r="G88" s="60" t="n"/>
      <c r="H88" s="60" t="n"/>
      <c r="I88" s="60" t="n"/>
      <c r="J88" s="183" t="n">
        <v>45740</v>
      </c>
    </row>
    <row r="89">
      <c r="B89" s="65" t="inlineStr">
        <is>
          <t>clr_info</t>
        </is>
      </c>
      <c r="C89" s="60" t="inlineStr">
        <is>
          <t>ACCOUNTORG</t>
        </is>
      </c>
      <c r="D89" s="60" t="inlineStr">
        <is>
          <t>varchar(80)</t>
        </is>
      </c>
      <c r="E89" s="60" t="inlineStr">
        <is>
          <t>YES</t>
        </is>
      </c>
      <c r="F89" s="82" t="inlineStr">
        <is>
          <t>押品入账机构</t>
        </is>
      </c>
      <c r="G89" s="60" t="n"/>
      <c r="H89" s="60" t="n"/>
      <c r="I89" s="60" t="n"/>
      <c r="J89" s="183" t="n">
        <v>45740</v>
      </c>
    </row>
    <row r="90" ht="16" customHeight="1" s="170">
      <c r="B90" s="65" t="inlineStr">
        <is>
          <t>clr_info</t>
        </is>
      </c>
      <c r="C90" s="60" t="inlineStr">
        <is>
          <t>LOCATION</t>
        </is>
      </c>
      <c r="D90" s="60" t="inlineStr">
        <is>
          <t>varchar(80)</t>
        </is>
      </c>
      <c r="E90" s="60" t="inlineStr">
        <is>
          <t>YES</t>
        </is>
      </c>
      <c r="F90" s="59" t="inlineStr">
        <is>
          <t>详细地址/所在位置说明</t>
        </is>
      </c>
      <c r="G90" s="60" t="n"/>
      <c r="H90" s="60" t="n"/>
      <c r="I90" s="60" t="n"/>
      <c r="J90" s="183" t="n">
        <v>45740</v>
      </c>
    </row>
  </sheetData>
  <pageMargins left="0.75" right="0.75" top="1" bottom="1" header="0.5" footer="0.5"/>
  <pageSetup orientation="portrait" paperSize="1" horizontalDpi="300" verticalDpi="300"/>
</worksheet>
</file>

<file path=xl/worksheets/sheet86.xml><?xml version="1.0" encoding="utf-8"?>
<worksheet xmlns="http://schemas.openxmlformats.org/spreadsheetml/2006/main">
  <sheetPr>
    <outlinePr summaryBelow="1" summaryRight="1"/>
    <pageSetUpPr/>
  </sheetPr>
  <dimension ref="A1:J30"/>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押品保险记录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clr_insurance_record</t>
        </is>
      </c>
      <c r="C3" s="24" t="inlineStr">
        <is>
          <t>INSURANCERECORDID</t>
        </is>
      </c>
      <c r="D3" s="24" t="inlineStr">
        <is>
          <t>varchar(32)</t>
        </is>
      </c>
      <c r="E3" s="24" t="inlineStr">
        <is>
          <t>NO</t>
        </is>
      </c>
      <c r="F3" s="24" t="inlineStr">
        <is>
          <t>保险记录编号</t>
        </is>
      </c>
      <c r="G3" s="24" t="n"/>
      <c r="H3" s="24" t="n"/>
      <c r="I3" s="24" t="inlineStr"/>
      <c r="J3" s="24" t="inlineStr">
        <is>
          <t>2023/01/12</t>
        </is>
      </c>
    </row>
    <row r="4">
      <c r="B4" s="24" t="inlineStr">
        <is>
          <t>clr_insurance_record</t>
        </is>
      </c>
      <c r="C4" s="24" t="inlineStr">
        <is>
          <t>GUARANTYPLANNO</t>
        </is>
      </c>
      <c r="D4" s="24" t="inlineStr">
        <is>
          <t>varchar(32)</t>
        </is>
      </c>
      <c r="E4" s="24" t="inlineStr">
        <is>
          <t>YES</t>
        </is>
      </c>
      <c r="F4" s="24" t="inlineStr">
        <is>
          <t>担保方案编号</t>
        </is>
      </c>
      <c r="G4" s="24" t="n"/>
      <c r="H4" s="24" t="n"/>
      <c r="I4" s="24" t="inlineStr"/>
      <c r="J4" s="24" t="inlineStr">
        <is>
          <t>2023/01/12</t>
        </is>
      </c>
    </row>
    <row r="5">
      <c r="B5" s="24" t="inlineStr">
        <is>
          <t>clr_insurance_record</t>
        </is>
      </c>
      <c r="C5" s="24" t="inlineStr">
        <is>
          <t>CLRID</t>
        </is>
      </c>
      <c r="D5" s="24" t="inlineStr">
        <is>
          <t>varchar(32)</t>
        </is>
      </c>
      <c r="E5" s="24" t="inlineStr">
        <is>
          <t>YES</t>
        </is>
      </c>
      <c r="F5" s="24" t="inlineStr">
        <is>
          <t>押品编号</t>
        </is>
      </c>
      <c r="G5" s="24" t="n"/>
      <c r="H5" s="24" t="n"/>
      <c r="I5" s="24" t="inlineStr"/>
      <c r="J5" s="24" t="inlineStr">
        <is>
          <t>2023/01/12</t>
        </is>
      </c>
    </row>
    <row r="6">
      <c r="B6" s="24" t="inlineStr">
        <is>
          <t>clr_insurance_record</t>
        </is>
      </c>
      <c r="C6" s="24" t="inlineStr">
        <is>
          <t>INSURANCESTATUS</t>
        </is>
      </c>
      <c r="D6" s="24" t="inlineStr">
        <is>
          <t>varchar(18)</t>
        </is>
      </c>
      <c r="E6" s="24" t="inlineStr">
        <is>
          <t>YES</t>
        </is>
      </c>
      <c r="F6" s="24" t="inlineStr">
        <is>
          <t>保险状态</t>
        </is>
      </c>
      <c r="G6" s="52">
        <f>HYPERLINK("#码值映射清单!B9240","InsuranceStatus")</f>
        <v/>
      </c>
      <c r="H6" s="24" t="n"/>
      <c r="I6" s="24" t="inlineStr"/>
      <c r="J6" s="24" t="inlineStr">
        <is>
          <t>2023/01/12</t>
        </is>
      </c>
    </row>
    <row r="7">
      <c r="B7" s="24" t="inlineStr">
        <is>
          <t>clr_insurance_record</t>
        </is>
      </c>
      <c r="C7" s="24" t="inlineStr">
        <is>
          <t>INSURANCECOMPANY</t>
        </is>
      </c>
      <c r="D7" s="24" t="inlineStr">
        <is>
          <t>varchar(80)</t>
        </is>
      </c>
      <c r="E7" s="24" t="inlineStr">
        <is>
          <t>YES</t>
        </is>
      </c>
      <c r="F7" s="24" t="inlineStr">
        <is>
          <t>保险公司</t>
        </is>
      </c>
      <c r="G7" s="24" t="n"/>
      <c r="H7" s="24" t="n"/>
      <c r="I7" s="24" t="inlineStr"/>
      <c r="J7" s="24" t="inlineStr">
        <is>
          <t>2023/01/12</t>
        </is>
      </c>
    </row>
    <row r="8">
      <c r="B8" s="24" t="inlineStr">
        <is>
          <t>clr_insurance_record</t>
        </is>
      </c>
      <c r="C8" s="24" t="inlineStr">
        <is>
          <t>INSURANCETYPE</t>
        </is>
      </c>
      <c r="D8" s="24" t="inlineStr">
        <is>
          <t>varchar(6)</t>
        </is>
      </c>
      <c r="E8" s="24" t="inlineStr">
        <is>
          <t>YES</t>
        </is>
      </c>
      <c r="F8" s="24" t="inlineStr">
        <is>
          <t>保险类型</t>
        </is>
      </c>
      <c r="G8" s="24" t="n"/>
      <c r="H8" s="24" t="n"/>
      <c r="I8" s="24" t="inlineStr"/>
      <c r="J8" s="24" t="inlineStr">
        <is>
          <t>2023/01/12</t>
        </is>
      </c>
    </row>
    <row r="9">
      <c r="B9" s="24" t="inlineStr">
        <is>
          <t>clr_insurance_record</t>
        </is>
      </c>
      <c r="C9" s="24" t="inlineStr">
        <is>
          <t>BENIFICIARY</t>
        </is>
      </c>
      <c r="D9" s="24" t="inlineStr">
        <is>
          <t>varchar(80)</t>
        </is>
      </c>
      <c r="E9" s="24" t="inlineStr">
        <is>
          <t>YES</t>
        </is>
      </c>
      <c r="F9" s="24" t="inlineStr">
        <is>
          <t>保险受益人</t>
        </is>
      </c>
      <c r="G9" s="24" t="n"/>
      <c r="H9" s="24" t="n"/>
      <c r="I9" s="24" t="inlineStr"/>
      <c r="J9" s="24" t="inlineStr">
        <is>
          <t>2023/01/12</t>
        </is>
      </c>
    </row>
    <row r="10">
      <c r="B10" s="24" t="inlineStr">
        <is>
          <t>clr_insurance_record</t>
        </is>
      </c>
      <c r="C10" s="24" t="inlineStr">
        <is>
          <t>INSURANCEPOLICYID</t>
        </is>
      </c>
      <c r="D10" s="24" t="inlineStr">
        <is>
          <t>varchar(32)</t>
        </is>
      </c>
      <c r="E10" s="24" t="inlineStr">
        <is>
          <t>YES</t>
        </is>
      </c>
      <c r="F10" s="24" t="inlineStr">
        <is>
          <t>保单号码</t>
        </is>
      </c>
      <c r="G10" s="24" t="n"/>
      <c r="H10" s="24" t="n"/>
      <c r="I10" s="24" t="inlineStr"/>
      <c r="J10" s="24" t="inlineStr">
        <is>
          <t>2023/01/12</t>
        </is>
      </c>
    </row>
    <row r="11">
      <c r="B11" s="24" t="inlineStr">
        <is>
          <t>clr_insurance_record</t>
        </is>
      </c>
      <c r="C11" s="24" t="inlineStr">
        <is>
          <t>INSURANCEAMOUNT</t>
        </is>
      </c>
      <c r="D11" s="24" t="inlineStr">
        <is>
          <t>decimal(24,6)</t>
        </is>
      </c>
      <c r="E11" s="24" t="inlineStr">
        <is>
          <t>YES</t>
        </is>
      </c>
      <c r="F11" s="24" t="inlineStr">
        <is>
          <t>投保金额</t>
        </is>
      </c>
      <c r="G11" s="24" t="n"/>
      <c r="H11" s="24" t="n"/>
      <c r="I11" s="24" t="inlineStr"/>
      <c r="J11" s="24" t="inlineStr">
        <is>
          <t>2023/01/12</t>
        </is>
      </c>
    </row>
    <row r="12">
      <c r="B12" s="24" t="inlineStr">
        <is>
          <t>clr_insurance_record</t>
        </is>
      </c>
      <c r="C12" s="24" t="inlineStr">
        <is>
          <t>INSURANCEFEE</t>
        </is>
      </c>
      <c r="D12" s="24" t="inlineStr">
        <is>
          <t>decimal(24,6)</t>
        </is>
      </c>
      <c r="E12" s="24" t="inlineStr">
        <is>
          <t>YES</t>
        </is>
      </c>
      <c r="F12" s="24" t="inlineStr">
        <is>
          <t>保险费</t>
        </is>
      </c>
      <c r="G12" s="24" t="n"/>
      <c r="H12" s="24" t="n"/>
      <c r="I12" s="24" t="inlineStr"/>
      <c r="J12" s="24" t="inlineStr">
        <is>
          <t>2023/01/12</t>
        </is>
      </c>
    </row>
    <row r="13">
      <c r="B13" s="24" t="inlineStr">
        <is>
          <t>clr_insurance_record</t>
        </is>
      </c>
      <c r="C13" s="24" t="inlineStr">
        <is>
          <t>INSURANCEFEERATE</t>
        </is>
      </c>
      <c r="D13" s="24" t="inlineStr">
        <is>
          <t>decimal(18,8)</t>
        </is>
      </c>
      <c r="E13" s="24" t="inlineStr">
        <is>
          <t>YES</t>
        </is>
      </c>
      <c r="F13" s="24" t="inlineStr">
        <is>
          <t>保险费率</t>
        </is>
      </c>
      <c r="G13" s="24" t="n"/>
      <c r="H13" s="24" t="n"/>
      <c r="I13" s="24" t="inlineStr"/>
      <c r="J13" s="24" t="inlineStr">
        <is>
          <t>2023/01/12</t>
        </is>
      </c>
    </row>
    <row r="14">
      <c r="B14" s="24" t="inlineStr">
        <is>
          <t>clr_insurance_record</t>
        </is>
      </c>
      <c r="C14" s="24" t="inlineStr">
        <is>
          <t>PAYMENTMETHOD</t>
        </is>
      </c>
      <c r="D14" s="24" t="inlineStr">
        <is>
          <t>varchar(6)</t>
        </is>
      </c>
      <c r="E14" s="24" t="inlineStr">
        <is>
          <t>YES</t>
        </is>
      </c>
      <c r="F14" s="24" t="inlineStr">
        <is>
          <t>缴费方式</t>
        </is>
      </c>
      <c r="G14" s="52">
        <f>HYPERLINK("#码值映射清单!B4720","PaymentMethod")</f>
        <v/>
      </c>
      <c r="H14" s="24" t="n"/>
      <c r="I14" s="24" t="inlineStr"/>
      <c r="J14" s="24" t="inlineStr">
        <is>
          <t>2023/01/12</t>
        </is>
      </c>
    </row>
    <row r="15">
      <c r="B15" s="24" t="inlineStr">
        <is>
          <t>clr_insurance_record</t>
        </is>
      </c>
      <c r="C15" s="24" t="inlineStr">
        <is>
          <t>STARTDATE</t>
        </is>
      </c>
      <c r="D15" s="24" t="inlineStr">
        <is>
          <t>datetime</t>
        </is>
      </c>
      <c r="E15" s="24" t="inlineStr">
        <is>
          <t>YES</t>
        </is>
      </c>
      <c r="F15" s="24" t="inlineStr">
        <is>
          <t>保险起始日</t>
        </is>
      </c>
      <c r="G15" s="24" t="n"/>
      <c r="H15" s="24" t="n"/>
      <c r="I15" s="24" t="inlineStr"/>
      <c r="J15" s="24" t="inlineStr">
        <is>
          <t>2023/01/12</t>
        </is>
      </c>
    </row>
    <row r="16">
      <c r="B16" s="24" t="inlineStr">
        <is>
          <t>clr_insurance_record</t>
        </is>
      </c>
      <c r="C16" s="24" t="inlineStr">
        <is>
          <t>ENDDATE</t>
        </is>
      </c>
      <c r="D16" s="24" t="inlineStr">
        <is>
          <t>datetime</t>
        </is>
      </c>
      <c r="E16" s="24" t="inlineStr">
        <is>
          <t>YES</t>
        </is>
      </c>
      <c r="F16" s="24" t="inlineStr">
        <is>
          <t>保险到期日</t>
        </is>
      </c>
      <c r="G16" s="24" t="n"/>
      <c r="H16" s="24" t="n"/>
      <c r="I16" s="24" t="inlineStr"/>
      <c r="J16" s="24" t="inlineStr">
        <is>
          <t>2023/01/12</t>
        </is>
      </c>
    </row>
    <row r="17">
      <c r="B17" s="24" t="inlineStr">
        <is>
          <t>clr_insurance_record</t>
        </is>
      </c>
      <c r="C17" s="24" t="inlineStr">
        <is>
          <t>EXPIRYDATE</t>
        </is>
      </c>
      <c r="D17" s="24" t="inlineStr">
        <is>
          <t>datetime</t>
        </is>
      </c>
      <c r="E17" s="24" t="inlineStr">
        <is>
          <t>YES</t>
        </is>
      </c>
      <c r="F17" s="24" t="inlineStr">
        <is>
          <t>保险失效日</t>
        </is>
      </c>
      <c r="G17" s="24" t="n"/>
      <c r="H17" s="24" t="n"/>
      <c r="I17" s="24" t="inlineStr"/>
      <c r="J17" s="24" t="inlineStr">
        <is>
          <t>2023/01/12</t>
        </is>
      </c>
    </row>
    <row r="18">
      <c r="B18" s="24" t="inlineStr">
        <is>
          <t>clr_insurance_record</t>
        </is>
      </c>
      <c r="C18" s="24" t="inlineStr">
        <is>
          <t>EXPIRYREASON</t>
        </is>
      </c>
      <c r="D18" s="24" t="inlineStr">
        <is>
          <t>varchar(4000)</t>
        </is>
      </c>
      <c r="E18" s="24" t="inlineStr">
        <is>
          <t>YES</t>
        </is>
      </c>
      <c r="F18" s="24" t="inlineStr">
        <is>
          <t>保险失效原因</t>
        </is>
      </c>
      <c r="G18" s="24" t="n"/>
      <c r="H18" s="24" t="n"/>
      <c r="I18" s="24" t="inlineStr"/>
      <c r="J18" s="24" t="inlineStr">
        <is>
          <t>2023/01/12</t>
        </is>
      </c>
    </row>
    <row r="19">
      <c r="B19" s="24" t="inlineStr">
        <is>
          <t>clr_insurance_record</t>
        </is>
      </c>
      <c r="C19" s="24" t="inlineStr">
        <is>
          <t>ISSUEDATE</t>
        </is>
      </c>
      <c r="D19" s="24" t="inlineStr">
        <is>
          <t>datetime</t>
        </is>
      </c>
      <c r="E19" s="24" t="inlineStr">
        <is>
          <t>YES</t>
        </is>
      </c>
      <c r="F19" s="24" t="inlineStr">
        <is>
          <t>出单日期</t>
        </is>
      </c>
      <c r="G19" s="24" t="n"/>
      <c r="H19" s="24" t="n"/>
      <c r="I19" s="24" t="inlineStr"/>
      <c r="J19" s="24" t="inlineStr">
        <is>
          <t>2023/01/12</t>
        </is>
      </c>
    </row>
    <row r="20">
      <c r="B20" s="24" t="inlineStr">
        <is>
          <t>clr_insurance_record</t>
        </is>
      </c>
      <c r="C20" s="24" t="inlineStr">
        <is>
          <t>ISRENEWINSURANCE</t>
        </is>
      </c>
      <c r="D20" s="24" t="inlineStr">
        <is>
          <t>char(1)</t>
        </is>
      </c>
      <c r="E20" s="24" t="inlineStr">
        <is>
          <t>YES</t>
        </is>
      </c>
      <c r="F20" s="24" t="inlineStr">
        <is>
          <t>续保标志</t>
        </is>
      </c>
      <c r="G20" s="52">
        <f>HYPERLINK("#码值映射清单!B7102","RenewInsuranceFlag")</f>
        <v/>
      </c>
      <c r="H20" s="24" t="n"/>
      <c r="I20" s="24" t="inlineStr"/>
      <c r="J20" s="24" t="inlineStr">
        <is>
          <t>2023/01/12</t>
        </is>
      </c>
    </row>
    <row r="21">
      <c r="B21" s="24" t="inlineStr">
        <is>
          <t>clr_insurance_record</t>
        </is>
      </c>
      <c r="C21" s="24" t="inlineStr">
        <is>
          <t>ISNEEDWAREHOUSING</t>
        </is>
      </c>
      <c r="D21" s="24" t="inlineStr">
        <is>
          <t>char(1)</t>
        </is>
      </c>
      <c r="E21" s="24" t="inlineStr">
        <is>
          <t>YES</t>
        </is>
      </c>
      <c r="F21" s="24" t="inlineStr">
        <is>
          <t>是否需要入库</t>
        </is>
      </c>
      <c r="G21" s="52">
        <f>HYPERLINK("#码值映射清单!B5150","YesNo")</f>
        <v/>
      </c>
      <c r="H21" s="24" t="n"/>
      <c r="I21" s="24" t="inlineStr"/>
      <c r="J21" s="24" t="inlineStr">
        <is>
          <t>2023/01/12</t>
        </is>
      </c>
    </row>
    <row r="22">
      <c r="B22" s="24" t="inlineStr">
        <is>
          <t>clr_insurance_record</t>
        </is>
      </c>
      <c r="C22" s="24" t="inlineStr">
        <is>
          <t>INPUTUSERID</t>
        </is>
      </c>
      <c r="D22" s="24" t="inlineStr">
        <is>
          <t>varchar(32)</t>
        </is>
      </c>
      <c r="E22" s="24" t="inlineStr">
        <is>
          <t>YES</t>
        </is>
      </c>
      <c r="F22" s="24" t="inlineStr">
        <is>
          <t>登记人</t>
        </is>
      </c>
      <c r="G22" s="24" t="n"/>
      <c r="H22" s="24" t="n"/>
      <c r="I22" s="24" t="inlineStr"/>
      <c r="J22" s="24" t="inlineStr">
        <is>
          <t>2023/01/12</t>
        </is>
      </c>
    </row>
    <row r="23">
      <c r="B23" s="24" t="inlineStr">
        <is>
          <t>clr_insurance_record</t>
        </is>
      </c>
      <c r="C23" s="24" t="inlineStr">
        <is>
          <t>INPUTORGID</t>
        </is>
      </c>
      <c r="D23" s="24" t="inlineStr">
        <is>
          <t>varchar(32)</t>
        </is>
      </c>
      <c r="E23" s="24" t="inlineStr">
        <is>
          <t>YES</t>
        </is>
      </c>
      <c r="F23" s="24" t="inlineStr">
        <is>
          <t>登记机构</t>
        </is>
      </c>
      <c r="G23" s="24" t="n"/>
      <c r="H23" s="24" t="n"/>
      <c r="I23" s="24" t="inlineStr"/>
      <c r="J23" s="24" t="inlineStr">
        <is>
          <t>2023/01/12</t>
        </is>
      </c>
    </row>
    <row r="24">
      <c r="B24" s="24" t="inlineStr">
        <is>
          <t>clr_insurance_record</t>
        </is>
      </c>
      <c r="C24" s="24" t="inlineStr">
        <is>
          <t>INPUTDATE</t>
        </is>
      </c>
      <c r="D24" s="24" t="inlineStr">
        <is>
          <t>datetime</t>
        </is>
      </c>
      <c r="E24" s="24" t="inlineStr">
        <is>
          <t>YES</t>
        </is>
      </c>
      <c r="F24" s="24" t="inlineStr">
        <is>
          <t>登记日期</t>
        </is>
      </c>
      <c r="G24" s="24" t="n"/>
      <c r="H24" s="24" t="n"/>
      <c r="I24" s="24" t="inlineStr"/>
      <c r="J24" s="24" t="inlineStr">
        <is>
          <t>2023/01/12</t>
        </is>
      </c>
    </row>
    <row r="25">
      <c r="B25" s="24" t="inlineStr">
        <is>
          <t>clr_insurance_record</t>
        </is>
      </c>
      <c r="C25" s="24" t="inlineStr">
        <is>
          <t>UPDATEUSERID</t>
        </is>
      </c>
      <c r="D25" s="24" t="inlineStr">
        <is>
          <t>varchar(32)</t>
        </is>
      </c>
      <c r="E25" s="24" t="inlineStr">
        <is>
          <t>YES</t>
        </is>
      </c>
      <c r="F25" s="24" t="inlineStr">
        <is>
          <t>更新人</t>
        </is>
      </c>
      <c r="G25" s="24" t="n"/>
      <c r="H25" s="24" t="n"/>
      <c r="I25" s="24" t="inlineStr"/>
      <c r="J25" s="24" t="inlineStr">
        <is>
          <t>2023/01/12</t>
        </is>
      </c>
    </row>
    <row r="26">
      <c r="B26" s="24" t="inlineStr">
        <is>
          <t>clr_insurance_record</t>
        </is>
      </c>
      <c r="C26" s="24" t="inlineStr">
        <is>
          <t>UPDATEORGID</t>
        </is>
      </c>
      <c r="D26" s="24" t="inlineStr">
        <is>
          <t>varchar(32)</t>
        </is>
      </c>
      <c r="E26" s="24" t="inlineStr">
        <is>
          <t>YES</t>
        </is>
      </c>
      <c r="F26" s="24" t="inlineStr">
        <is>
          <t>更新机构</t>
        </is>
      </c>
      <c r="G26" s="24" t="n"/>
      <c r="H26" s="24" t="n"/>
      <c r="I26" s="24" t="inlineStr"/>
      <c r="J26" s="24" t="inlineStr">
        <is>
          <t>2023/01/12</t>
        </is>
      </c>
    </row>
    <row r="27">
      <c r="B27" s="24" t="inlineStr">
        <is>
          <t>clr_insurance_record</t>
        </is>
      </c>
      <c r="C27" s="24" t="inlineStr">
        <is>
          <t>UPDATEDATE</t>
        </is>
      </c>
      <c r="D27" s="24" t="inlineStr">
        <is>
          <t>datetime</t>
        </is>
      </c>
      <c r="E27" s="24" t="inlineStr">
        <is>
          <t>YES</t>
        </is>
      </c>
      <c r="F27" s="24" t="inlineStr">
        <is>
          <t>更新日期</t>
        </is>
      </c>
      <c r="G27" s="24" t="n"/>
      <c r="H27" s="24" t="n"/>
      <c r="I27" s="24" t="inlineStr"/>
      <c r="J27" s="24" t="inlineStr">
        <is>
          <t>2023/01/12</t>
        </is>
      </c>
    </row>
    <row r="28">
      <c r="B28" s="24" t="inlineStr">
        <is>
          <t>clr_insurance_record</t>
        </is>
      </c>
      <c r="C28" s="24" t="inlineStr">
        <is>
          <t>CORPORGID</t>
        </is>
      </c>
      <c r="D28" s="24" t="inlineStr">
        <is>
          <t>varchar(32)</t>
        </is>
      </c>
      <c r="E28" s="24" t="inlineStr">
        <is>
          <t>YES</t>
        </is>
      </c>
      <c r="F28" s="24" t="inlineStr">
        <is>
          <t>法人机构编号</t>
        </is>
      </c>
      <c r="G28" s="24" t="n"/>
      <c r="H28" s="24" t="n"/>
      <c r="I28" s="24" t="inlineStr"/>
      <c r="J28" s="24" t="inlineStr">
        <is>
          <t>2023/01/12</t>
        </is>
      </c>
    </row>
    <row r="29">
      <c r="B29" s="24" t="inlineStr">
        <is>
          <t>clr_insurance_record</t>
        </is>
      </c>
      <c r="C29" s="24" t="inlineStr">
        <is>
          <t>OLDCLRID</t>
        </is>
      </c>
      <c r="D29" s="24" t="inlineStr">
        <is>
          <t>varchar(1000)</t>
        </is>
      </c>
      <c r="E29" s="24" t="inlineStr">
        <is>
          <t>YES</t>
        </is>
      </c>
      <c r="F29" s="24" t="inlineStr">
        <is>
          <t>合并前押品编号</t>
        </is>
      </c>
      <c r="G29" s="24" t="n"/>
      <c r="H29" s="24" t="n"/>
      <c r="I29" s="24" t="inlineStr"/>
      <c r="J29" s="24" t="inlineStr">
        <is>
          <t>2023/01/12</t>
        </is>
      </c>
    </row>
    <row r="30">
      <c r="B30" s="37" t="inlineStr">
        <is>
          <t>clr_insurance_record</t>
        </is>
      </c>
      <c r="C30" s="69" t="inlineStr">
        <is>
          <t>REGISTERRECORDID</t>
        </is>
      </c>
      <c r="D30" s="56" t="inlineStr">
        <is>
          <t>varchar(32)</t>
        </is>
      </c>
      <c r="E30" s="65" t="inlineStr">
        <is>
          <t>YES</t>
        </is>
      </c>
      <c r="F30" s="59" t="inlineStr">
        <is>
          <t>抵质押登记编号</t>
        </is>
      </c>
      <c r="G30" s="60" t="n"/>
      <c r="H30" s="60" t="n"/>
      <c r="I30" s="60" t="n"/>
      <c r="J30" s="183" t="n">
        <v>45740</v>
      </c>
    </row>
  </sheetData>
  <pageMargins left="0.75" right="0.75" top="1" bottom="1" header="0.5" footer="0.5"/>
  <pageSetup orientation="portrait" paperSize="1" horizontalDpi="300" verticalDpi="300"/>
</worksheet>
</file>

<file path=xl/worksheets/sheet87.xml><?xml version="1.0" encoding="utf-8"?>
<worksheet xmlns="http://schemas.openxmlformats.org/spreadsheetml/2006/main">
  <sheetPr>
    <outlinePr summaryBelow="1" summaryRight="1"/>
    <pageSetUpPr/>
  </sheetPr>
  <dimension ref="A1:J13"/>
  <sheetViews>
    <sheetView zoomScaleSheetLayoutView="60" workbookViewId="0">
      <selection activeCell="D23" sqref="D2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商品类别信息表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clr_material_catalog</t>
        </is>
      </c>
      <c r="C3" s="24" t="inlineStr">
        <is>
          <t>MATERIALCODE</t>
        </is>
      </c>
      <c r="D3" s="24" t="inlineStr">
        <is>
          <t>varchar(6)</t>
        </is>
      </c>
      <c r="E3" s="24" t="inlineStr">
        <is>
          <t>NO</t>
        </is>
      </c>
      <c r="F3" s="24" t="inlineStr">
        <is>
          <t>商品代码</t>
        </is>
      </c>
      <c r="G3" s="24" t="n"/>
      <c r="H3" s="24" t="n"/>
      <c r="I3" s="24" t="inlineStr"/>
      <c r="J3" s="24" t="inlineStr">
        <is>
          <t>2023/01/12</t>
        </is>
      </c>
    </row>
    <row r="4">
      <c r="B4" s="24" t="inlineStr">
        <is>
          <t>clr_material_catalog</t>
        </is>
      </c>
      <c r="C4" s="24" t="inlineStr">
        <is>
          <t>MATERIALNAME</t>
        </is>
      </c>
      <c r="D4" s="24" t="inlineStr">
        <is>
          <t>varchar(80)</t>
        </is>
      </c>
      <c r="E4" s="24" t="inlineStr">
        <is>
          <t>YES</t>
        </is>
      </c>
      <c r="F4" s="24" t="inlineStr">
        <is>
          <t>商品名称</t>
        </is>
      </c>
      <c r="G4" s="24" t="n"/>
      <c r="H4" s="24" t="n"/>
      <c r="I4" s="24" t="inlineStr"/>
      <c r="J4" s="24" t="inlineStr">
        <is>
          <t>2023/01/12</t>
        </is>
      </c>
    </row>
    <row r="5">
      <c r="B5" s="24" t="inlineStr">
        <is>
          <t>clr_material_catalog</t>
        </is>
      </c>
      <c r="C5" s="24" t="inlineStr">
        <is>
          <t>MATERIALTYPE</t>
        </is>
      </c>
      <c r="D5" s="24" t="inlineStr">
        <is>
          <t>varchar(80)</t>
        </is>
      </c>
      <c r="E5" s="24" t="inlineStr">
        <is>
          <t>YES</t>
        </is>
      </c>
      <c r="F5" s="24" t="inlineStr">
        <is>
          <t>商品大类</t>
        </is>
      </c>
      <c r="G5" s="24" t="n"/>
      <c r="H5" s="24" t="n"/>
      <c r="I5" s="24" t="inlineStr"/>
      <c r="J5" s="24" t="inlineStr">
        <is>
          <t>2023/01/12</t>
        </is>
      </c>
    </row>
    <row r="6">
      <c r="B6" s="24" t="inlineStr">
        <is>
          <t>clr_material_catalog</t>
        </is>
      </c>
      <c r="C6" s="24" t="inlineStr">
        <is>
          <t>CORPORGID</t>
        </is>
      </c>
      <c r="D6" s="24" t="inlineStr">
        <is>
          <t>varchar(32)</t>
        </is>
      </c>
      <c r="E6" s="24" t="inlineStr">
        <is>
          <t>YES</t>
        </is>
      </c>
      <c r="F6" s="24" t="inlineStr">
        <is>
          <t>法人机构号</t>
        </is>
      </c>
      <c r="G6" s="24" t="n"/>
      <c r="H6" s="24" t="n"/>
      <c r="I6" s="24" t="inlineStr"/>
      <c r="J6" s="24" t="inlineStr">
        <is>
          <t>2023/01/12</t>
        </is>
      </c>
    </row>
    <row r="7">
      <c r="B7" s="24" t="inlineStr">
        <is>
          <t>clr_material_catalog</t>
        </is>
      </c>
      <c r="C7" s="24" t="inlineStr">
        <is>
          <t>DELETEFLAG</t>
        </is>
      </c>
      <c r="D7" s="24" t="inlineStr">
        <is>
          <t>varchar(6)</t>
        </is>
      </c>
      <c r="E7" s="24" t="inlineStr">
        <is>
          <t>YES</t>
        </is>
      </c>
      <c r="F7" s="24" t="inlineStr">
        <is>
          <t>删除标记</t>
        </is>
      </c>
      <c r="G7" s="24" t="n"/>
      <c r="H7" s="24" t="n"/>
      <c r="I7" s="24" t="inlineStr"/>
      <c r="J7" s="24" t="inlineStr">
        <is>
          <t>2023/01/12</t>
        </is>
      </c>
    </row>
    <row r="8">
      <c r="B8" s="24" t="inlineStr">
        <is>
          <t>clr_material_catalog</t>
        </is>
      </c>
      <c r="C8" s="24" t="inlineStr">
        <is>
          <t>INPUTUSERID</t>
        </is>
      </c>
      <c r="D8" s="24" t="inlineStr">
        <is>
          <t>varchar(32)</t>
        </is>
      </c>
      <c r="E8" s="24" t="inlineStr">
        <is>
          <t>YES</t>
        </is>
      </c>
      <c r="F8" s="24" t="inlineStr">
        <is>
          <t>登记人</t>
        </is>
      </c>
      <c r="G8" s="24" t="n"/>
      <c r="H8" s="24" t="n"/>
      <c r="I8" s="24" t="inlineStr"/>
      <c r="J8" s="24" t="inlineStr">
        <is>
          <t>2023/01/12</t>
        </is>
      </c>
    </row>
    <row r="9">
      <c r="B9" s="24" t="inlineStr">
        <is>
          <t>clr_material_catalog</t>
        </is>
      </c>
      <c r="C9" s="24" t="inlineStr">
        <is>
          <t>INPUTORGID</t>
        </is>
      </c>
      <c r="D9" s="24" t="inlineStr">
        <is>
          <t>varchar(32)</t>
        </is>
      </c>
      <c r="E9" s="24" t="inlineStr">
        <is>
          <t>YES</t>
        </is>
      </c>
      <c r="F9" s="24" t="inlineStr">
        <is>
          <t>登记机构</t>
        </is>
      </c>
      <c r="G9" s="24" t="n"/>
      <c r="H9" s="24" t="n"/>
      <c r="I9" s="24" t="inlineStr"/>
      <c r="J9" s="24" t="inlineStr">
        <is>
          <t>2023/01/12</t>
        </is>
      </c>
    </row>
    <row r="10">
      <c r="B10" s="24" t="inlineStr">
        <is>
          <t>clr_material_catalog</t>
        </is>
      </c>
      <c r="C10" s="24" t="inlineStr">
        <is>
          <t>INPUTDATE</t>
        </is>
      </c>
      <c r="D10" s="24" t="inlineStr">
        <is>
          <t>datetime</t>
        </is>
      </c>
      <c r="E10" s="24" t="inlineStr">
        <is>
          <t>YES</t>
        </is>
      </c>
      <c r="F10" s="24" t="inlineStr">
        <is>
          <t>登记日期</t>
        </is>
      </c>
      <c r="G10" s="24" t="n"/>
      <c r="H10" s="24" t="n"/>
      <c r="I10" s="24" t="inlineStr"/>
      <c r="J10" s="24" t="inlineStr">
        <is>
          <t>2023/01/12</t>
        </is>
      </c>
    </row>
    <row r="11">
      <c r="B11" s="24" t="inlineStr">
        <is>
          <t>clr_material_catalog</t>
        </is>
      </c>
      <c r="C11" s="24" t="inlineStr">
        <is>
          <t>UPDATEUSERID</t>
        </is>
      </c>
      <c r="D11" s="24" t="inlineStr">
        <is>
          <t>varchar(32)</t>
        </is>
      </c>
      <c r="E11" s="24" t="inlineStr">
        <is>
          <t>YES</t>
        </is>
      </c>
      <c r="F11" s="24" t="inlineStr">
        <is>
          <t>更新人</t>
        </is>
      </c>
      <c r="G11" s="24" t="n"/>
      <c r="H11" s="24" t="n"/>
      <c r="I11" s="24" t="inlineStr"/>
      <c r="J11" s="24" t="inlineStr">
        <is>
          <t>2023/01/12</t>
        </is>
      </c>
    </row>
    <row r="12">
      <c r="B12" s="24" t="inlineStr">
        <is>
          <t>clr_material_catalog</t>
        </is>
      </c>
      <c r="C12" s="24" t="inlineStr">
        <is>
          <t>UPDATEORGID</t>
        </is>
      </c>
      <c r="D12" s="24" t="inlineStr">
        <is>
          <t>varchar(32)</t>
        </is>
      </c>
      <c r="E12" s="24" t="inlineStr">
        <is>
          <t>YES</t>
        </is>
      </c>
      <c r="F12" s="24" t="inlineStr">
        <is>
          <t>更新机构</t>
        </is>
      </c>
      <c r="G12" s="24" t="n"/>
      <c r="H12" s="24" t="n"/>
      <c r="I12" s="24" t="inlineStr"/>
      <c r="J12" s="24" t="inlineStr">
        <is>
          <t>2023/01/12</t>
        </is>
      </c>
    </row>
    <row r="13">
      <c r="B13" s="24" t="inlineStr">
        <is>
          <t>clr_material_catalog</t>
        </is>
      </c>
      <c r="C13" s="24" t="inlineStr">
        <is>
          <t>UPDATEDATE</t>
        </is>
      </c>
      <c r="D13" s="24" t="inlineStr">
        <is>
          <t>datetime</t>
        </is>
      </c>
      <c r="E13" s="24" t="inlineStr">
        <is>
          <t>YES</t>
        </is>
      </c>
      <c r="F13" s="24" t="inlineStr">
        <is>
          <t>更新日期</t>
        </is>
      </c>
      <c r="G13" s="24" t="n"/>
      <c r="H13" s="24" t="n"/>
      <c r="I13" s="24" t="inlineStr"/>
      <c r="J13" s="24" t="inlineStr">
        <is>
          <t>2023/01/12</t>
        </is>
      </c>
    </row>
  </sheetData>
  <pageMargins left="0.75" right="0.75" top="1" bottom="1" header="0.5" footer="0.5"/>
  <pageSetup orientation="portrait" paperSize="1" horizontalDpi="300" verticalDpi="300"/>
</worksheet>
</file>

<file path=xl/worksheets/sheet88.xml><?xml version="1.0" encoding="utf-8"?>
<worksheet xmlns="http://schemas.openxmlformats.org/spreadsheetml/2006/main">
  <sheetPr>
    <outlinePr summaryBelow="1" summaryRight="1"/>
    <pageSetUpPr/>
  </sheetPr>
  <dimension ref="A1:J26"/>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押品公证记录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clr_notarization_record</t>
        </is>
      </c>
      <c r="C3" s="24" t="inlineStr">
        <is>
          <t>NOTARIZATIONRECORDID</t>
        </is>
      </c>
      <c r="D3" s="24" t="inlineStr">
        <is>
          <t>varchar(32)</t>
        </is>
      </c>
      <c r="E3" s="24" t="inlineStr">
        <is>
          <t>NO</t>
        </is>
      </c>
      <c r="F3" s="24" t="inlineStr">
        <is>
          <t>公证记录编号</t>
        </is>
      </c>
      <c r="G3" s="24" t="n"/>
      <c r="H3" s="24" t="n"/>
      <c r="I3" s="24" t="inlineStr"/>
      <c r="J3" s="24" t="inlineStr">
        <is>
          <t>2023/01/12</t>
        </is>
      </c>
    </row>
    <row r="4">
      <c r="B4" s="24" t="inlineStr">
        <is>
          <t>clr_notarization_record</t>
        </is>
      </c>
      <c r="C4" s="24" t="inlineStr">
        <is>
          <t>GUARANTYPLANNO</t>
        </is>
      </c>
      <c r="D4" s="24" t="inlineStr">
        <is>
          <t>varchar(32)</t>
        </is>
      </c>
      <c r="E4" s="24" t="inlineStr">
        <is>
          <t>YES</t>
        </is>
      </c>
      <c r="F4" s="24" t="inlineStr">
        <is>
          <t>担保方案编号</t>
        </is>
      </c>
      <c r="G4" s="24" t="n"/>
      <c r="H4" s="24" t="n"/>
      <c r="I4" s="24" t="inlineStr"/>
      <c r="J4" s="24" t="inlineStr">
        <is>
          <t>2023/01/12</t>
        </is>
      </c>
    </row>
    <row r="5">
      <c r="B5" s="24" t="inlineStr">
        <is>
          <t>clr_notarization_record</t>
        </is>
      </c>
      <c r="C5" s="24" t="inlineStr">
        <is>
          <t>CLRID</t>
        </is>
      </c>
      <c r="D5" s="24" t="inlineStr">
        <is>
          <t>varchar(32)</t>
        </is>
      </c>
      <c r="E5" s="24" t="inlineStr">
        <is>
          <t>YES</t>
        </is>
      </c>
      <c r="F5" s="24" t="inlineStr">
        <is>
          <t>押品编号</t>
        </is>
      </c>
      <c r="G5" s="24" t="n"/>
      <c r="H5" s="24" t="n"/>
      <c r="I5" s="24" t="inlineStr"/>
      <c r="J5" s="24" t="inlineStr">
        <is>
          <t>2023/01/12</t>
        </is>
      </c>
    </row>
    <row r="6">
      <c r="B6" s="24" t="inlineStr">
        <is>
          <t>clr_notarization_record</t>
        </is>
      </c>
      <c r="C6" s="24" t="inlineStr">
        <is>
          <t>NOTARYOFFICENAME</t>
        </is>
      </c>
      <c r="D6" s="24" t="inlineStr">
        <is>
          <t>varchar(80)</t>
        </is>
      </c>
      <c r="E6" s="24" t="inlineStr">
        <is>
          <t>YES</t>
        </is>
      </c>
      <c r="F6" s="24" t="inlineStr">
        <is>
          <t>公证处名称</t>
        </is>
      </c>
      <c r="G6" s="24" t="n"/>
      <c r="H6" s="24" t="n"/>
      <c r="I6" s="24" t="inlineStr"/>
      <c r="J6" s="24" t="inlineStr">
        <is>
          <t>2023/01/12</t>
        </is>
      </c>
    </row>
    <row r="7">
      <c r="B7" s="24" t="inlineStr">
        <is>
          <t>clr_notarization_record</t>
        </is>
      </c>
      <c r="C7" s="24" t="inlineStr">
        <is>
          <t>NOTARYOFFICEADDRESS</t>
        </is>
      </c>
      <c r="D7" s="24" t="inlineStr">
        <is>
          <t>varchar(80)</t>
        </is>
      </c>
      <c r="E7" s="24" t="inlineStr">
        <is>
          <t>YES</t>
        </is>
      </c>
      <c r="F7" s="24" t="inlineStr">
        <is>
          <t>公证处地址</t>
        </is>
      </c>
      <c r="G7" s="24" t="n"/>
      <c r="H7" s="24" t="n"/>
      <c r="I7" s="24" t="inlineStr"/>
      <c r="J7" s="24" t="inlineStr">
        <is>
          <t>2023/01/12</t>
        </is>
      </c>
    </row>
    <row r="8">
      <c r="B8" s="24" t="inlineStr">
        <is>
          <t>clr_notarization_record</t>
        </is>
      </c>
      <c r="C8" s="24" t="inlineStr">
        <is>
          <t>NOTARYOFFICEZIPCODE</t>
        </is>
      </c>
      <c r="D8" s="24" t="inlineStr">
        <is>
          <t>varchar(18)</t>
        </is>
      </c>
      <c r="E8" s="24" t="inlineStr">
        <is>
          <t>YES</t>
        </is>
      </c>
      <c r="F8" s="24" t="inlineStr">
        <is>
          <t>公证处邮编</t>
        </is>
      </c>
      <c r="G8" s="24" t="n"/>
      <c r="H8" s="24" t="n"/>
      <c r="I8" s="24" t="inlineStr"/>
      <c r="J8" s="24" t="inlineStr">
        <is>
          <t>2023/01/12</t>
        </is>
      </c>
    </row>
    <row r="9">
      <c r="B9" s="24" t="inlineStr">
        <is>
          <t>clr_notarization_record</t>
        </is>
      </c>
      <c r="C9" s="24" t="inlineStr">
        <is>
          <t>NOTARYOFFICETEL</t>
        </is>
      </c>
      <c r="D9" s="24" t="inlineStr">
        <is>
          <t>varchar(32)</t>
        </is>
      </c>
      <c r="E9" s="24" t="inlineStr">
        <is>
          <t>YES</t>
        </is>
      </c>
      <c r="F9" s="24" t="inlineStr">
        <is>
          <t>公证处联系电话</t>
        </is>
      </c>
      <c r="G9" s="24" t="n"/>
      <c r="H9" s="24" t="n"/>
      <c r="I9" s="24" t="inlineStr"/>
      <c r="J9" s="24" t="inlineStr">
        <is>
          <t>2023/01/12</t>
        </is>
      </c>
    </row>
    <row r="10">
      <c r="B10" s="24" t="inlineStr">
        <is>
          <t>clr_notarization_record</t>
        </is>
      </c>
      <c r="C10" s="24" t="inlineStr">
        <is>
          <t>NOTARIALFEE</t>
        </is>
      </c>
      <c r="D10" s="24" t="inlineStr">
        <is>
          <t>decimal(24,6)</t>
        </is>
      </c>
      <c r="E10" s="24" t="inlineStr">
        <is>
          <t>YES</t>
        </is>
      </c>
      <c r="F10" s="24" t="inlineStr">
        <is>
          <t>公证费用</t>
        </is>
      </c>
      <c r="G10" s="24" t="n"/>
      <c r="H10" s="24" t="n"/>
      <c r="I10" s="24" t="inlineStr"/>
      <c r="J10" s="24" t="inlineStr">
        <is>
          <t>2023/01/12</t>
        </is>
      </c>
    </row>
    <row r="11">
      <c r="B11" s="24" t="inlineStr">
        <is>
          <t>clr_notarization_record</t>
        </is>
      </c>
      <c r="C11" s="24" t="inlineStr">
        <is>
          <t>NOTARIALDOCNO</t>
        </is>
      </c>
      <c r="D11" s="24" t="inlineStr">
        <is>
          <t>varchar(32)</t>
        </is>
      </c>
      <c r="E11" s="24" t="inlineStr">
        <is>
          <t>YES</t>
        </is>
      </c>
      <c r="F11" s="24" t="inlineStr">
        <is>
          <t>公证号</t>
        </is>
      </c>
      <c r="G11" s="24" t="n"/>
      <c r="H11" s="24" t="n"/>
      <c r="I11" s="24" t="inlineStr"/>
      <c r="J11" s="24" t="inlineStr">
        <is>
          <t>2023/01/12</t>
        </is>
      </c>
    </row>
    <row r="12">
      <c r="B12" s="24" t="inlineStr">
        <is>
          <t>clr_notarization_record</t>
        </is>
      </c>
      <c r="C12" s="24" t="inlineStr">
        <is>
          <t>NOTARIZATIONEFFDATE</t>
        </is>
      </c>
      <c r="D12" s="24" t="inlineStr">
        <is>
          <t>datetime</t>
        </is>
      </c>
      <c r="E12" s="24" t="inlineStr">
        <is>
          <t>YES</t>
        </is>
      </c>
      <c r="F12" s="24" t="inlineStr">
        <is>
          <t>公证生效日</t>
        </is>
      </c>
      <c r="G12" s="24" t="n"/>
      <c r="H12" s="24" t="n"/>
      <c r="I12" s="24" t="inlineStr"/>
      <c r="J12" s="24" t="inlineStr">
        <is>
          <t>2023/01/12</t>
        </is>
      </c>
    </row>
    <row r="13">
      <c r="B13" s="24" t="inlineStr">
        <is>
          <t>clr_notarization_record</t>
        </is>
      </c>
      <c r="C13" s="24" t="inlineStr">
        <is>
          <t>NOTARIZATIONDUEDATE</t>
        </is>
      </c>
      <c r="D13" s="24" t="inlineStr">
        <is>
          <t>datetime</t>
        </is>
      </c>
      <c r="E13" s="24" t="inlineStr">
        <is>
          <t>YES</t>
        </is>
      </c>
      <c r="F13" s="24" t="inlineStr">
        <is>
          <t>公证到期日</t>
        </is>
      </c>
      <c r="G13" s="24" t="n"/>
      <c r="H13" s="24" t="n"/>
      <c r="I13" s="24" t="inlineStr"/>
      <c r="J13" s="24" t="inlineStr">
        <is>
          <t>2023/01/12</t>
        </is>
      </c>
    </row>
    <row r="14">
      <c r="B14" s="24" t="inlineStr">
        <is>
          <t>clr_notarization_record</t>
        </is>
      </c>
      <c r="C14" s="24" t="inlineStr">
        <is>
          <t>NOTARIZATIONPERSON</t>
        </is>
      </c>
      <c r="D14" s="24" t="inlineStr">
        <is>
          <t>varchar(80)</t>
        </is>
      </c>
      <c r="E14" s="24" t="inlineStr">
        <is>
          <t>YES</t>
        </is>
      </c>
      <c r="F14" s="24" t="inlineStr">
        <is>
          <t>公证人</t>
        </is>
      </c>
      <c r="G14" s="24" t="n"/>
      <c r="H14" s="24" t="n"/>
      <c r="I14" s="24" t="inlineStr"/>
      <c r="J14" s="24" t="inlineStr">
        <is>
          <t>2023/01/12</t>
        </is>
      </c>
    </row>
    <row r="15">
      <c r="B15" s="24" t="inlineStr">
        <is>
          <t>clr_notarization_record</t>
        </is>
      </c>
      <c r="C15" s="24" t="inlineStr">
        <is>
          <t>NOTARIZATIONOFFICIALPERSON</t>
        </is>
      </c>
      <c r="D15" s="24" t="inlineStr">
        <is>
          <t>varchar(80)</t>
        </is>
      </c>
      <c r="E15" s="24" t="inlineStr">
        <is>
          <t>YES</t>
        </is>
      </c>
      <c r="F15" s="24" t="inlineStr">
        <is>
          <t>公证处法人代表</t>
        </is>
      </c>
      <c r="G15" s="24" t="n"/>
      <c r="H15" s="24" t="n"/>
      <c r="I15" s="24" t="inlineStr"/>
      <c r="J15" s="24" t="inlineStr">
        <is>
          <t>2023/01/12</t>
        </is>
      </c>
    </row>
    <row r="16">
      <c r="B16" s="24" t="inlineStr">
        <is>
          <t>clr_notarization_record</t>
        </is>
      </c>
      <c r="C16" s="24" t="inlineStr">
        <is>
          <t>NOTARYSTATUS</t>
        </is>
      </c>
      <c r="D16" s="24" t="inlineStr">
        <is>
          <t>char(1)</t>
        </is>
      </c>
      <c r="E16" s="24" t="inlineStr">
        <is>
          <t>YES</t>
        </is>
      </c>
      <c r="F16" s="53" t="inlineStr">
        <is>
          <t>公正状态</t>
        </is>
      </c>
      <c r="G16" s="52">
        <f>HYPERLINK("#码值映射清单!B5150","YesNo")</f>
        <v/>
      </c>
      <c r="H16" s="24" t="n"/>
      <c r="I16" s="24" t="inlineStr"/>
      <c r="J16" s="24" t="inlineStr">
        <is>
          <t>2023/01/12</t>
        </is>
      </c>
    </row>
    <row r="17">
      <c r="B17" s="24" t="inlineStr">
        <is>
          <t>clr_notarization_record</t>
        </is>
      </c>
      <c r="C17" s="24" t="inlineStr">
        <is>
          <t>REMARK</t>
        </is>
      </c>
      <c r="D17" s="24" t="inlineStr">
        <is>
          <t>varchar(500)</t>
        </is>
      </c>
      <c r="E17" s="24" t="inlineStr">
        <is>
          <t>YES</t>
        </is>
      </c>
      <c r="F17" s="24" t="inlineStr">
        <is>
          <t>备注</t>
        </is>
      </c>
      <c r="G17" s="24" t="n"/>
      <c r="H17" s="24" t="n"/>
      <c r="I17" s="24" t="inlineStr"/>
      <c r="J17" s="24" t="inlineStr">
        <is>
          <t>2023/01/12</t>
        </is>
      </c>
    </row>
    <row r="18">
      <c r="B18" s="24" t="inlineStr">
        <is>
          <t>clr_notarization_record</t>
        </is>
      </c>
      <c r="C18" s="24" t="inlineStr">
        <is>
          <t>INPUTUSERID</t>
        </is>
      </c>
      <c r="D18" s="24" t="inlineStr">
        <is>
          <t>varchar(32)</t>
        </is>
      </c>
      <c r="E18" s="24" t="inlineStr">
        <is>
          <t>YES</t>
        </is>
      </c>
      <c r="F18" s="24" t="inlineStr">
        <is>
          <t>登记人</t>
        </is>
      </c>
      <c r="G18" s="24" t="n"/>
      <c r="H18" s="24" t="n"/>
      <c r="I18" s="24" t="inlineStr"/>
      <c r="J18" s="24" t="inlineStr">
        <is>
          <t>2023/01/12</t>
        </is>
      </c>
    </row>
    <row r="19">
      <c r="B19" s="24" t="inlineStr">
        <is>
          <t>clr_notarization_record</t>
        </is>
      </c>
      <c r="C19" s="24" t="inlineStr">
        <is>
          <t>INPUTORGID</t>
        </is>
      </c>
      <c r="D19" s="24" t="inlineStr">
        <is>
          <t>varchar(32)</t>
        </is>
      </c>
      <c r="E19" s="24" t="inlineStr">
        <is>
          <t>YES</t>
        </is>
      </c>
      <c r="F19" s="24" t="inlineStr">
        <is>
          <t>登记机构</t>
        </is>
      </c>
      <c r="G19" s="24" t="n"/>
      <c r="H19" s="24" t="n"/>
      <c r="I19" s="24" t="inlineStr"/>
      <c r="J19" s="24" t="inlineStr">
        <is>
          <t>2023/01/12</t>
        </is>
      </c>
    </row>
    <row r="20">
      <c r="B20" s="24" t="inlineStr">
        <is>
          <t>clr_notarization_record</t>
        </is>
      </c>
      <c r="C20" s="24" t="inlineStr">
        <is>
          <t>INPUTDATE</t>
        </is>
      </c>
      <c r="D20" s="24" t="inlineStr">
        <is>
          <t>datetime</t>
        </is>
      </c>
      <c r="E20" s="24" t="inlineStr">
        <is>
          <t>YES</t>
        </is>
      </c>
      <c r="F20" s="24" t="inlineStr">
        <is>
          <t>登记日期</t>
        </is>
      </c>
      <c r="G20" s="24" t="n"/>
      <c r="H20" s="24" t="n"/>
      <c r="I20" s="24" t="inlineStr"/>
      <c r="J20" s="24" t="inlineStr">
        <is>
          <t>2023/01/12</t>
        </is>
      </c>
    </row>
    <row r="21">
      <c r="B21" s="24" t="inlineStr">
        <is>
          <t>clr_notarization_record</t>
        </is>
      </c>
      <c r="C21" s="24" t="inlineStr">
        <is>
          <t>UPDATEUSERID</t>
        </is>
      </c>
      <c r="D21" s="24" t="inlineStr">
        <is>
          <t>varchar(32)</t>
        </is>
      </c>
      <c r="E21" s="24" t="inlineStr">
        <is>
          <t>YES</t>
        </is>
      </c>
      <c r="F21" s="24" t="inlineStr">
        <is>
          <t>更新人</t>
        </is>
      </c>
      <c r="G21" s="24" t="n"/>
      <c r="H21" s="24" t="n"/>
      <c r="I21" s="24" t="inlineStr"/>
      <c r="J21" s="24" t="inlineStr">
        <is>
          <t>2023/01/12</t>
        </is>
      </c>
    </row>
    <row r="22">
      <c r="B22" s="24" t="inlineStr">
        <is>
          <t>clr_notarization_record</t>
        </is>
      </c>
      <c r="C22" s="24" t="inlineStr">
        <is>
          <t>UPDATEORGID</t>
        </is>
      </c>
      <c r="D22" s="24" t="inlineStr">
        <is>
          <t>varchar(32)</t>
        </is>
      </c>
      <c r="E22" s="24" t="inlineStr">
        <is>
          <t>YES</t>
        </is>
      </c>
      <c r="F22" s="24" t="inlineStr">
        <is>
          <t>更新机构</t>
        </is>
      </c>
      <c r="G22" s="24" t="n"/>
      <c r="H22" s="24" t="n"/>
      <c r="I22" s="24" t="inlineStr"/>
      <c r="J22" s="24" t="inlineStr">
        <is>
          <t>2023/01/12</t>
        </is>
      </c>
    </row>
    <row r="23">
      <c r="B23" s="24" t="inlineStr">
        <is>
          <t>clr_notarization_record</t>
        </is>
      </c>
      <c r="C23" s="24" t="inlineStr">
        <is>
          <t>UPDATEDATE</t>
        </is>
      </c>
      <c r="D23" s="24" t="inlineStr">
        <is>
          <t>datetime</t>
        </is>
      </c>
      <c r="E23" s="24" t="inlineStr">
        <is>
          <t>YES</t>
        </is>
      </c>
      <c r="F23" s="24" t="inlineStr">
        <is>
          <t>更新日期</t>
        </is>
      </c>
      <c r="G23" s="24" t="n"/>
      <c r="H23" s="24" t="n"/>
      <c r="I23" s="24" t="inlineStr"/>
      <c r="J23" s="24" t="inlineStr">
        <is>
          <t>2023/01/12</t>
        </is>
      </c>
    </row>
    <row r="24">
      <c r="B24" s="24" t="inlineStr">
        <is>
          <t>clr_notarization_record</t>
        </is>
      </c>
      <c r="C24" s="24" t="inlineStr">
        <is>
          <t>CORPORGID</t>
        </is>
      </c>
      <c r="D24" s="24" t="inlineStr">
        <is>
          <t>varchar(32)</t>
        </is>
      </c>
      <c r="E24" s="24" t="inlineStr">
        <is>
          <t>YES</t>
        </is>
      </c>
      <c r="F24" s="24" t="inlineStr">
        <is>
          <t>法人机构编号</t>
        </is>
      </c>
      <c r="G24" s="24" t="n"/>
      <c r="H24" s="24" t="n"/>
      <c r="I24" s="24" t="inlineStr"/>
      <c r="J24" s="24" t="inlineStr">
        <is>
          <t>2023/01/12</t>
        </is>
      </c>
    </row>
    <row r="25">
      <c r="B25" s="24" t="inlineStr">
        <is>
          <t>clr_notarization_record</t>
        </is>
      </c>
      <c r="C25" s="24" t="inlineStr">
        <is>
          <t>OLDCLRID</t>
        </is>
      </c>
      <c r="D25" s="24" t="inlineStr">
        <is>
          <t>varchar(1000)</t>
        </is>
      </c>
      <c r="E25" s="109" t="inlineStr">
        <is>
          <t>YES</t>
        </is>
      </c>
      <c r="F25" s="109" t="inlineStr">
        <is>
          <t>合并前押品编号</t>
        </is>
      </c>
      <c r="G25" s="109" t="n"/>
      <c r="H25" s="109" t="n"/>
      <c r="I25" s="109" t="inlineStr"/>
      <c r="J25" s="109" t="inlineStr">
        <is>
          <t>2023/01/12</t>
        </is>
      </c>
    </row>
    <row r="26">
      <c r="B26" s="37" t="inlineStr">
        <is>
          <t>clr_notarization_record</t>
        </is>
      </c>
      <c r="C26" s="69" t="inlineStr">
        <is>
          <t>REGISTERRECORDID</t>
        </is>
      </c>
      <c r="D26" s="56" t="inlineStr">
        <is>
          <t>varchar(32)</t>
        </is>
      </c>
      <c r="E26" s="65" t="inlineStr">
        <is>
          <t>YES</t>
        </is>
      </c>
      <c r="F26" s="59" t="inlineStr">
        <is>
          <t>抵质押登记编号</t>
        </is>
      </c>
      <c r="G26" s="60" t="n"/>
      <c r="H26" s="60" t="n"/>
      <c r="I26" s="60" t="n"/>
      <c r="J26" s="183" t="n">
        <v>45740</v>
      </c>
    </row>
  </sheetData>
  <pageMargins left="0.75" right="0.75" top="1" bottom="1" header="0.5" footer="0.5"/>
  <pageSetup orientation="portrait" paperSize="1" horizontalDpi="300" verticalDpi="300"/>
</worksheet>
</file>

<file path=xl/worksheets/sheet89.xml><?xml version="1.0" encoding="utf-8"?>
<worksheet xmlns="http://schemas.openxmlformats.org/spreadsheetml/2006/main">
  <sheetPr>
    <outlinePr summaryBelow="1" summaryRight="1"/>
    <pageSetUpPr/>
  </sheetPr>
  <dimension ref="A1:J20"/>
  <sheetViews>
    <sheetView tabSelected="1" zoomScaleSheetLayoutView="60" workbookViewId="0">
      <selection activeCell="B22" sqref="B2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押品权属人</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clr_owner</t>
        </is>
      </c>
      <c r="C3" s="24" t="inlineStr">
        <is>
          <t>CLROWNERID</t>
        </is>
      </c>
      <c r="D3" s="24" t="inlineStr">
        <is>
          <t>varchar(32)</t>
        </is>
      </c>
      <c r="E3" s="24" t="inlineStr">
        <is>
          <t>NO</t>
        </is>
      </c>
      <c r="F3" s="24" t="inlineStr">
        <is>
          <t>权属人编号</t>
        </is>
      </c>
      <c r="G3" s="24" t="n"/>
      <c r="H3" s="24" t="n"/>
      <c r="I3" s="24" t="inlineStr"/>
      <c r="J3" s="24" t="inlineStr">
        <is>
          <t>2023/01/12</t>
        </is>
      </c>
    </row>
    <row r="4">
      <c r="B4" s="24" t="inlineStr">
        <is>
          <t>clr_owner</t>
        </is>
      </c>
      <c r="C4" s="24" t="inlineStr">
        <is>
          <t>CLRID</t>
        </is>
      </c>
      <c r="D4" s="24" t="inlineStr">
        <is>
          <t>varchar(32)</t>
        </is>
      </c>
      <c r="E4" s="24" t="inlineStr">
        <is>
          <t>YES</t>
        </is>
      </c>
      <c r="F4" s="24" t="inlineStr">
        <is>
          <t>押品编号</t>
        </is>
      </c>
      <c r="G4" s="24" t="n"/>
      <c r="H4" s="24" t="n"/>
      <c r="I4" s="24" t="inlineStr"/>
      <c r="J4" s="24" t="inlineStr">
        <is>
          <t>2023/01/12</t>
        </is>
      </c>
    </row>
    <row r="5">
      <c r="B5" s="24" t="inlineStr">
        <is>
          <t>clr_owner</t>
        </is>
      </c>
      <c r="C5" s="24" t="inlineStr">
        <is>
          <t>CLROWNERNAME</t>
        </is>
      </c>
      <c r="D5" s="24" t="inlineStr">
        <is>
          <t>varchar(80)</t>
        </is>
      </c>
      <c r="E5" s="24" t="inlineStr">
        <is>
          <t>YES</t>
        </is>
      </c>
      <c r="F5" s="24" t="inlineStr">
        <is>
          <t>权属人名称</t>
        </is>
      </c>
      <c r="G5" s="24" t="n"/>
      <c r="H5" s="24" t="n"/>
      <c r="I5" s="24" t="inlineStr"/>
      <c r="J5" s="24" t="inlineStr">
        <is>
          <t>2023/01/12</t>
        </is>
      </c>
    </row>
    <row r="6">
      <c r="B6" s="24" t="inlineStr">
        <is>
          <t>clr_owner</t>
        </is>
      </c>
      <c r="C6" s="24" t="inlineStr">
        <is>
          <t>CLROWNERTYPE</t>
        </is>
      </c>
      <c r="D6" s="24" t="inlineStr">
        <is>
          <t>varchar(6)</t>
        </is>
      </c>
      <c r="E6" s="24" t="inlineStr">
        <is>
          <t>YES</t>
        </is>
      </c>
      <c r="F6" s="24" t="inlineStr">
        <is>
          <t>权属人类别</t>
        </is>
      </c>
      <c r="G6" s="52">
        <f>HYPERLINK("#码值映射清单!B776","ClrOwnerType")</f>
        <v/>
      </c>
      <c r="H6" s="24" t="n"/>
      <c r="I6" s="24" t="inlineStr"/>
      <c r="J6" s="24" t="inlineStr">
        <is>
          <t>2023/01/12</t>
        </is>
      </c>
    </row>
    <row r="7">
      <c r="B7" s="24" t="inlineStr">
        <is>
          <t>clr_owner</t>
        </is>
      </c>
      <c r="C7" s="24" t="inlineStr">
        <is>
          <t>CLROWNERCERTTYPE</t>
        </is>
      </c>
      <c r="D7" s="24" t="inlineStr">
        <is>
          <t>varchar(18)</t>
        </is>
      </c>
      <c r="E7" s="24" t="inlineStr">
        <is>
          <t>YES</t>
        </is>
      </c>
      <c r="F7" s="24" t="inlineStr">
        <is>
          <t>权属人证件类型</t>
        </is>
      </c>
      <c r="G7" s="52">
        <f>HYPERLINK("#码值映射清单!B321","CertType")</f>
        <v/>
      </c>
      <c r="H7" s="24" t="n"/>
      <c r="I7" s="24" t="inlineStr"/>
      <c r="J7" s="24" t="inlineStr">
        <is>
          <t>2023/01/12</t>
        </is>
      </c>
    </row>
    <row r="8">
      <c r="B8" s="24" t="inlineStr">
        <is>
          <t>clr_owner</t>
        </is>
      </c>
      <c r="C8" s="24" t="inlineStr">
        <is>
          <t>CLROWNERCERTID</t>
        </is>
      </c>
      <c r="D8" s="24" t="inlineStr">
        <is>
          <t>varchar(32)</t>
        </is>
      </c>
      <c r="E8" s="24" t="inlineStr">
        <is>
          <t>YES</t>
        </is>
      </c>
      <c r="F8" s="24" t="inlineStr">
        <is>
          <t>权属人证件号码</t>
        </is>
      </c>
      <c r="G8" s="24" t="n"/>
      <c r="H8" s="24" t="n"/>
      <c r="I8" s="24" t="inlineStr"/>
      <c r="J8" s="24" t="inlineStr">
        <is>
          <t>2023/01/12</t>
        </is>
      </c>
    </row>
    <row r="9">
      <c r="B9" s="24" t="inlineStr">
        <is>
          <t>clr_owner</t>
        </is>
      </c>
      <c r="C9" s="24" t="inlineStr">
        <is>
          <t>PERCENTAGE</t>
        </is>
      </c>
      <c r="D9" s="24" t="inlineStr">
        <is>
          <t>decimal(18,8)</t>
        </is>
      </c>
      <c r="E9" s="24" t="inlineStr">
        <is>
          <t>YES</t>
        </is>
      </c>
      <c r="F9" s="53" t="inlineStr">
        <is>
          <t>分摊比例</t>
        </is>
      </c>
      <c r="G9" s="24" t="n"/>
      <c r="H9" s="24" t="n"/>
      <c r="I9" s="24" t="inlineStr"/>
      <c r="J9" s="24" t="inlineStr">
        <is>
          <t>2023/01/12</t>
        </is>
      </c>
    </row>
    <row r="10">
      <c r="B10" s="24" t="inlineStr">
        <is>
          <t>clr_owner</t>
        </is>
      </c>
      <c r="C10" s="24" t="inlineStr">
        <is>
          <t>RELATIONSHIP</t>
        </is>
      </c>
      <c r="D10" s="24" t="inlineStr">
        <is>
          <t>varchar(18)</t>
        </is>
      </c>
      <c r="E10" s="24" t="inlineStr">
        <is>
          <t>YES</t>
        </is>
      </c>
      <c r="F10" s="24" t="inlineStr">
        <is>
          <t>权属人与借款人关系</t>
        </is>
      </c>
      <c r="G10" s="24" t="n"/>
      <c r="H10" s="24" t="n"/>
      <c r="I10" s="24" t="inlineStr"/>
      <c r="J10" s="24" t="inlineStr">
        <is>
          <t>2023/01/12</t>
        </is>
      </c>
    </row>
    <row r="11">
      <c r="B11" s="24" t="inlineStr">
        <is>
          <t>clr_owner</t>
        </is>
      </c>
      <c r="C11" s="24" t="inlineStr">
        <is>
          <t>INPUTUSERID</t>
        </is>
      </c>
      <c r="D11" s="24" t="inlineStr">
        <is>
          <t>varchar(32)</t>
        </is>
      </c>
      <c r="E11" s="24" t="inlineStr">
        <is>
          <t>YES</t>
        </is>
      </c>
      <c r="F11" s="24" t="inlineStr">
        <is>
          <t>登记人</t>
        </is>
      </c>
      <c r="G11" s="24" t="n"/>
      <c r="H11" s="24" t="n"/>
      <c r="I11" s="24" t="inlineStr"/>
      <c r="J11" s="24" t="inlineStr">
        <is>
          <t>2023/01/12</t>
        </is>
      </c>
    </row>
    <row r="12">
      <c r="B12" s="24" t="inlineStr">
        <is>
          <t>clr_owner</t>
        </is>
      </c>
      <c r="C12" s="24" t="inlineStr">
        <is>
          <t>INPUTORGID</t>
        </is>
      </c>
      <c r="D12" s="24" t="inlineStr">
        <is>
          <t>varchar(32)</t>
        </is>
      </c>
      <c r="E12" s="24" t="inlineStr">
        <is>
          <t>YES</t>
        </is>
      </c>
      <c r="F12" s="24" t="inlineStr">
        <is>
          <t>登记机构</t>
        </is>
      </c>
      <c r="G12" s="24" t="n"/>
      <c r="H12" s="24" t="n"/>
      <c r="I12" s="24" t="inlineStr"/>
      <c r="J12" s="24" t="inlineStr">
        <is>
          <t>2023/01/12</t>
        </is>
      </c>
    </row>
    <row r="13">
      <c r="B13" s="24" t="inlineStr">
        <is>
          <t>clr_owner</t>
        </is>
      </c>
      <c r="C13" s="24" t="inlineStr">
        <is>
          <t>INPUTDATE</t>
        </is>
      </c>
      <c r="D13" s="24" t="inlineStr">
        <is>
          <t>datetime</t>
        </is>
      </c>
      <c r="E13" s="24" t="inlineStr">
        <is>
          <t>YES</t>
        </is>
      </c>
      <c r="F13" s="24" t="inlineStr">
        <is>
          <t>登记时间</t>
        </is>
      </c>
      <c r="G13" s="24" t="n"/>
      <c r="H13" s="24" t="n"/>
      <c r="I13" s="24" t="inlineStr"/>
      <c r="J13" s="24" t="inlineStr">
        <is>
          <t>2023/01/12</t>
        </is>
      </c>
    </row>
    <row r="14">
      <c r="B14" s="24" t="inlineStr">
        <is>
          <t>clr_owner</t>
        </is>
      </c>
      <c r="C14" s="24" t="inlineStr">
        <is>
          <t>UPDATEUSERID</t>
        </is>
      </c>
      <c r="D14" s="24" t="inlineStr">
        <is>
          <t>varchar(32)</t>
        </is>
      </c>
      <c r="E14" s="24" t="inlineStr">
        <is>
          <t>YES</t>
        </is>
      </c>
      <c r="F14" s="24" t="inlineStr">
        <is>
          <t>更新人</t>
        </is>
      </c>
      <c r="G14" s="24" t="n"/>
      <c r="H14" s="24" t="n"/>
      <c r="I14" s="24" t="inlineStr"/>
      <c r="J14" s="24" t="inlineStr">
        <is>
          <t>2023/01/12</t>
        </is>
      </c>
    </row>
    <row r="15">
      <c r="B15" s="24" t="inlineStr">
        <is>
          <t>clr_owner</t>
        </is>
      </c>
      <c r="C15" s="24" t="inlineStr">
        <is>
          <t>UPDATEORGID</t>
        </is>
      </c>
      <c r="D15" s="24" t="inlineStr">
        <is>
          <t>varchar(32)</t>
        </is>
      </c>
      <c r="E15" s="24" t="inlineStr">
        <is>
          <t>YES</t>
        </is>
      </c>
      <c r="F15" s="24" t="inlineStr">
        <is>
          <t>更新机构</t>
        </is>
      </c>
      <c r="G15" s="24" t="n"/>
      <c r="H15" s="24" t="n"/>
      <c r="I15" s="24" t="inlineStr"/>
      <c r="J15" s="24" t="inlineStr">
        <is>
          <t>2023/01/12</t>
        </is>
      </c>
    </row>
    <row r="16">
      <c r="B16" s="24" t="inlineStr">
        <is>
          <t>clr_owner</t>
        </is>
      </c>
      <c r="C16" s="24" t="inlineStr">
        <is>
          <t>UPDATEDATE</t>
        </is>
      </c>
      <c r="D16" s="24" t="inlineStr">
        <is>
          <t>datetime</t>
        </is>
      </c>
      <c r="E16" s="24" t="inlineStr">
        <is>
          <t>YES</t>
        </is>
      </c>
      <c r="F16" s="24" t="inlineStr">
        <is>
          <t>更新时间</t>
        </is>
      </c>
      <c r="G16" s="24" t="n"/>
      <c r="H16" s="24" t="n"/>
      <c r="I16" s="24" t="inlineStr"/>
      <c r="J16" s="24" t="inlineStr">
        <is>
          <t>2023/01/12</t>
        </is>
      </c>
    </row>
    <row r="17">
      <c r="B17" s="24" t="inlineStr">
        <is>
          <t>clr_owner</t>
        </is>
      </c>
      <c r="C17" s="24" t="inlineStr">
        <is>
          <t>CORPORGID</t>
        </is>
      </c>
      <c r="D17" s="24" t="inlineStr">
        <is>
          <t>varchar(32)</t>
        </is>
      </c>
      <c r="E17" s="24" t="inlineStr">
        <is>
          <t>YES</t>
        </is>
      </c>
      <c r="F17" s="24" t="inlineStr">
        <is>
          <t>法人机构编号</t>
        </is>
      </c>
      <c r="G17" s="24" t="n"/>
      <c r="H17" s="24" t="n"/>
      <c r="I17" s="24" t="inlineStr"/>
      <c r="J17" s="24" t="inlineStr">
        <is>
          <t>2023/01/12</t>
        </is>
      </c>
    </row>
    <row r="18">
      <c r="B18" s="24" t="inlineStr">
        <is>
          <t>clr_owner</t>
        </is>
      </c>
      <c r="C18" s="24" t="inlineStr">
        <is>
          <t>OLDCLRID</t>
        </is>
      </c>
      <c r="D18" s="24" t="inlineStr">
        <is>
          <t>varchar(1000)</t>
        </is>
      </c>
      <c r="E18" s="24" t="inlineStr">
        <is>
          <t>YES</t>
        </is>
      </c>
      <c r="F18" s="24" t="inlineStr">
        <is>
          <t>合并前押品编号</t>
        </is>
      </c>
      <c r="G18" s="24" t="n"/>
      <c r="H18" s="24" t="n"/>
      <c r="I18" s="24" t="inlineStr"/>
      <c r="J18" s="24" t="inlineStr">
        <is>
          <t>2023/01/12</t>
        </is>
      </c>
    </row>
    <row r="19">
      <c r="B19" s="24" t="inlineStr">
        <is>
          <t>clr_owner</t>
        </is>
      </c>
      <c r="C19" s="69" t="inlineStr">
        <is>
          <t>REGISTERRECORDID</t>
        </is>
      </c>
      <c r="D19" s="56" t="inlineStr">
        <is>
          <t>varchar(32)</t>
        </is>
      </c>
      <c r="E19" s="65" t="inlineStr">
        <is>
          <t>YES</t>
        </is>
      </c>
      <c r="F19" s="59" t="inlineStr">
        <is>
          <t>抵质押登记编号</t>
        </is>
      </c>
      <c r="G19" s="60" t="n"/>
      <c r="H19" s="60" t="n"/>
      <c r="I19" s="60" t="n"/>
      <c r="J19" s="183" t="n">
        <v>45740</v>
      </c>
    </row>
    <row r="20">
      <c r="B20" s="37" t="inlineStr">
        <is>
          <t>clr_owner</t>
        </is>
      </c>
      <c r="C20" s="37" t="inlineStr">
        <is>
          <t>ECIFCUSTOMERID</t>
        </is>
      </c>
      <c r="D20" s="37" t="inlineStr">
        <is>
          <t>varchar(32)</t>
        </is>
      </c>
      <c r="E20" s="37" t="inlineStr">
        <is>
          <t>YES</t>
        </is>
      </c>
      <c r="F20" s="37" t="inlineStr">
        <is>
          <t>ECIF客户号</t>
        </is>
      </c>
      <c r="G20" s="37" t="n"/>
      <c r="H20" s="37" t="n"/>
      <c r="I20" s="37" t="inlineStr"/>
      <c r="J20" s="183" t="n">
        <v>45740</v>
      </c>
    </row>
  </sheetData>
  <pageMargins left="0.75" right="0.75" top="1" bottom="1" header="0.5" footer="0.5"/>
  <pageSetup orientation="portrait" paperSize="1" horizontalDpi="300" verticalDpi="300"/>
</worksheet>
</file>

<file path=xl/worksheets/sheet90.xml><?xml version="1.0" encoding="utf-8"?>
<worksheet xmlns="http://schemas.openxmlformats.org/spreadsheetml/2006/main">
  <sheetPr>
    <outlinePr summaryBelow="1" summaryRight="1"/>
    <pageSetUpPr/>
  </sheetPr>
  <dimension ref="A1:J64"/>
  <sheetViews>
    <sheetView topLeftCell="A31" zoomScaleSheetLayoutView="60" workbookViewId="0">
      <selection activeCell="J52" sqref="J5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6.3571428571429" customWidth="1" style="170" min="8" max="8"/>
    <col width="11.7053571428571" customWidth="1" style="170" min="10" max="10"/>
  </cols>
  <sheetData>
    <row r="1">
      <c r="A1" s="1">
        <f>HYPERLINK("#表结构清单!A1","返回")</f>
        <v/>
      </c>
      <c r="B1" t="inlineStr">
        <is>
          <t>押品分类参数</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clr_param</t>
        </is>
      </c>
      <c r="C3" s="24" t="inlineStr">
        <is>
          <t>CLRTYPEID</t>
        </is>
      </c>
      <c r="D3" s="24" t="inlineStr">
        <is>
          <t>varchar(32)</t>
        </is>
      </c>
      <c r="E3" s="24" t="inlineStr">
        <is>
          <t>NO</t>
        </is>
      </c>
      <c r="F3" s="24" t="inlineStr">
        <is>
          <t>押品类型编号</t>
        </is>
      </c>
      <c r="G3" s="24" t="n"/>
      <c r="H3" s="24" t="n"/>
      <c r="I3" s="24" t="inlineStr"/>
      <c r="J3" s="24" t="inlineStr">
        <is>
          <t>2023/01/12</t>
        </is>
      </c>
    </row>
    <row r="4">
      <c r="B4" s="24" t="inlineStr">
        <is>
          <t>clr_param</t>
        </is>
      </c>
      <c r="C4" s="24" t="inlineStr">
        <is>
          <t>CLRTYPENAME</t>
        </is>
      </c>
      <c r="D4" s="24" t="inlineStr">
        <is>
          <t>varchar(80)</t>
        </is>
      </c>
      <c r="E4" s="24" t="inlineStr">
        <is>
          <t>YES</t>
        </is>
      </c>
      <c r="F4" s="24" t="inlineStr">
        <is>
          <t>押品类型名称</t>
        </is>
      </c>
      <c r="G4" s="24" t="n"/>
      <c r="H4" s="24" t="n"/>
      <c r="I4" s="24" t="inlineStr"/>
      <c r="J4" s="24" t="inlineStr">
        <is>
          <t>2023/01/12</t>
        </is>
      </c>
    </row>
    <row r="5">
      <c r="B5" s="24" t="inlineStr">
        <is>
          <t>clr_param</t>
        </is>
      </c>
      <c r="C5" s="24" t="inlineStr">
        <is>
          <t>CRMTYPE</t>
        </is>
      </c>
      <c r="D5" s="24" t="inlineStr">
        <is>
          <t>varchar(18)</t>
        </is>
      </c>
      <c r="E5" s="24" t="inlineStr">
        <is>
          <t>YES</t>
        </is>
      </c>
      <c r="F5" s="24" t="inlineStr">
        <is>
          <t>风险缓释工具类型</t>
        </is>
      </c>
      <c r="G5" s="24" t="n"/>
      <c r="H5" s="24" t="n"/>
      <c r="I5" s="24" t="inlineStr"/>
      <c r="J5" s="24" t="inlineStr">
        <is>
          <t>2023/01/12</t>
        </is>
      </c>
    </row>
    <row r="6">
      <c r="B6" s="24" t="inlineStr">
        <is>
          <t>clr_param</t>
        </is>
      </c>
      <c r="C6" s="24" t="inlineStr">
        <is>
          <t>MAXLTV</t>
        </is>
      </c>
      <c r="D6" s="24" t="inlineStr">
        <is>
          <t>decimal(18,8)</t>
        </is>
      </c>
      <c r="E6" s="24" t="inlineStr">
        <is>
          <t>YES</t>
        </is>
      </c>
      <c r="F6" s="24" t="inlineStr">
        <is>
          <t>最大抵质押率</t>
        </is>
      </c>
      <c r="G6" s="24" t="n"/>
      <c r="H6" s="24" t="n"/>
      <c r="I6" s="24" t="inlineStr"/>
      <c r="J6" s="24" t="inlineStr">
        <is>
          <t>2023/01/12</t>
        </is>
      </c>
    </row>
    <row r="7">
      <c r="B7" s="24" t="inlineStr">
        <is>
          <t>clr_param</t>
        </is>
      </c>
      <c r="C7" s="24" t="inlineStr">
        <is>
          <t>MAXLTVSCENARIO</t>
        </is>
      </c>
      <c r="D7" s="24" t="inlineStr">
        <is>
          <t>varchar(500)</t>
        </is>
      </c>
      <c r="E7" s="24" t="inlineStr">
        <is>
          <t>YES</t>
        </is>
      </c>
      <c r="F7" s="24" t="inlineStr">
        <is>
          <t>最大抵质押率适用业务场景</t>
        </is>
      </c>
      <c r="G7" s="24" t="n"/>
      <c r="H7" s="24" t="n"/>
      <c r="I7" s="24" t="inlineStr"/>
      <c r="J7" s="24" t="inlineStr">
        <is>
          <t>2023/01/12</t>
        </is>
      </c>
    </row>
    <row r="8">
      <c r="B8" s="24" t="inlineStr">
        <is>
          <t>clr_param</t>
        </is>
      </c>
      <c r="C8" s="24" t="inlineStr">
        <is>
          <t>ISALLOWEDMORT</t>
        </is>
      </c>
      <c r="D8" s="24" t="inlineStr">
        <is>
          <t>char(1)</t>
        </is>
      </c>
      <c r="E8" s="24" t="inlineStr">
        <is>
          <t>YES</t>
        </is>
      </c>
      <c r="F8" s="24" t="inlineStr">
        <is>
          <t>是否允许抵押</t>
        </is>
      </c>
      <c r="G8" s="24" t="n"/>
      <c r="H8" s="24" t="n"/>
      <c r="I8" s="24" t="inlineStr"/>
      <c r="J8" s="24" t="inlineStr">
        <is>
          <t>2023/01/12</t>
        </is>
      </c>
    </row>
    <row r="9">
      <c r="B9" s="24" t="inlineStr">
        <is>
          <t>clr_param</t>
        </is>
      </c>
      <c r="C9" s="24" t="inlineStr">
        <is>
          <t>ISALLOWEDPLEDGE</t>
        </is>
      </c>
      <c r="D9" s="24" t="inlineStr">
        <is>
          <t>char(1)</t>
        </is>
      </c>
      <c r="E9" s="24" t="inlineStr">
        <is>
          <t>YES</t>
        </is>
      </c>
      <c r="F9" s="24" t="inlineStr">
        <is>
          <t>是否允许质押</t>
        </is>
      </c>
      <c r="G9" s="24" t="n"/>
      <c r="H9" s="24" t="n"/>
      <c r="I9" s="24" t="inlineStr"/>
      <c r="J9" s="24" t="inlineStr">
        <is>
          <t>2023/01/12</t>
        </is>
      </c>
    </row>
    <row r="10">
      <c r="B10" s="24" t="inlineStr">
        <is>
          <t>clr_param</t>
        </is>
      </c>
      <c r="C10" s="24" t="inlineStr">
        <is>
          <t>ISALLOWEDREMORT</t>
        </is>
      </c>
      <c r="D10" s="24" t="inlineStr">
        <is>
          <t>char(1)</t>
        </is>
      </c>
      <c r="E10" s="24" t="inlineStr">
        <is>
          <t>YES</t>
        </is>
      </c>
      <c r="F10" s="24" t="inlineStr">
        <is>
          <t>是否允许重复抵押</t>
        </is>
      </c>
      <c r="G10" s="24" t="n"/>
      <c r="H10" s="24" t="n"/>
      <c r="I10" s="24" t="inlineStr"/>
      <c r="J10" s="24" t="inlineStr">
        <is>
          <t>2023/01/12</t>
        </is>
      </c>
    </row>
    <row r="11">
      <c r="B11" s="24" t="inlineStr">
        <is>
          <t>clr_param</t>
        </is>
      </c>
      <c r="C11" s="24" t="inlineStr">
        <is>
          <t>ISALLOWEDREMORTINLINE</t>
        </is>
      </c>
      <c r="D11" s="24" t="inlineStr">
        <is>
          <t>char(1)</t>
        </is>
      </c>
      <c r="E11" s="24" t="inlineStr">
        <is>
          <t>YES</t>
        </is>
      </c>
      <c r="F11" s="24" t="inlineStr">
        <is>
          <t>是否允许行内重复抵押</t>
        </is>
      </c>
      <c r="G11" s="24" t="n"/>
      <c r="H11" s="24" t="n"/>
      <c r="I11" s="24" t="inlineStr"/>
      <c r="J11" s="24" t="inlineStr">
        <is>
          <t>2023/01/12</t>
        </is>
      </c>
    </row>
    <row r="12">
      <c r="B12" s="24" t="inlineStr">
        <is>
          <t>clr_param</t>
        </is>
      </c>
      <c r="C12" s="24" t="inlineStr">
        <is>
          <t>ISACCEPTNFSTREPAY</t>
        </is>
      </c>
      <c r="D12" s="24" t="inlineStr">
        <is>
          <t>char(1)</t>
        </is>
      </c>
      <c r="E12" s="24" t="inlineStr">
        <is>
          <t>YES</t>
        </is>
      </c>
      <c r="F12" s="24" t="inlineStr">
        <is>
          <t>是否接受非第一顺位受偿</t>
        </is>
      </c>
      <c r="G12" s="24" t="n"/>
      <c r="H12" s="24" t="n"/>
      <c r="I12" s="24" t="inlineStr"/>
      <c r="J12" s="24" t="inlineStr">
        <is>
          <t>2023/01/12</t>
        </is>
      </c>
    </row>
    <row r="13">
      <c r="B13" s="24" t="inlineStr">
        <is>
          <t>clr_param</t>
        </is>
      </c>
      <c r="C13" s="24" t="inlineStr">
        <is>
          <t>REGISTAGENCYTYPE</t>
        </is>
      </c>
      <c r="D13" s="24" t="inlineStr">
        <is>
          <t>varchar(18)</t>
        </is>
      </c>
      <c r="E13" s="24" t="inlineStr">
        <is>
          <t>YES</t>
        </is>
      </c>
      <c r="F13" s="24" t="inlineStr">
        <is>
          <t>权利登记机关类型</t>
        </is>
      </c>
      <c r="G13" s="24" t="n"/>
      <c r="H13" s="24" t="n"/>
      <c r="I13" s="24" t="inlineStr"/>
      <c r="J13" s="24" t="inlineStr">
        <is>
          <t>2023/01/12</t>
        </is>
      </c>
    </row>
    <row r="14">
      <c r="B14" s="24" t="inlineStr">
        <is>
          <t>clr_param</t>
        </is>
      </c>
      <c r="C14" s="24" t="inlineStr">
        <is>
          <t>GNTCERTTYPE</t>
        </is>
      </c>
      <c r="D14" s="24" t="inlineStr">
        <is>
          <t>varchar(18)</t>
        </is>
      </c>
      <c r="E14" s="24" t="inlineStr">
        <is>
          <t>YES</t>
        </is>
      </c>
      <c r="F14" s="24" t="inlineStr">
        <is>
          <t>抵质押代表权证类型</t>
        </is>
      </c>
      <c r="G14" s="24" t="n"/>
      <c r="H14" s="24" t="n"/>
      <c r="I14" s="24" t="inlineStr"/>
      <c r="J14" s="24" t="inlineStr">
        <is>
          <t>2023/01/12</t>
        </is>
      </c>
    </row>
    <row r="15">
      <c r="B15" s="24" t="inlineStr">
        <is>
          <t>clr_param</t>
        </is>
      </c>
      <c r="C15" s="24" t="inlineStr">
        <is>
          <t>ATTTEMPLATE</t>
        </is>
      </c>
      <c r="D15" s="24" t="inlineStr">
        <is>
          <t>varchar(32)</t>
        </is>
      </c>
      <c r="E15" s="24" t="inlineStr">
        <is>
          <t>YES</t>
        </is>
      </c>
      <c r="F15" s="24" t="inlineStr">
        <is>
          <t>押品要素模板</t>
        </is>
      </c>
      <c r="G15" s="24" t="n"/>
      <c r="H15" s="24" t="n"/>
      <c r="I15" s="24" t="inlineStr"/>
      <c r="J15" s="24" t="inlineStr">
        <is>
          <t>2023/01/12</t>
        </is>
      </c>
    </row>
    <row r="16">
      <c r="B16" s="24" t="inlineStr">
        <is>
          <t>clr_param</t>
        </is>
      </c>
      <c r="C16" s="24" t="inlineStr">
        <is>
          <t>INFOTAB</t>
        </is>
      </c>
      <c r="D16" s="24" t="inlineStr">
        <is>
          <t>varchar(32)</t>
        </is>
      </c>
      <c r="E16" s="24" t="inlineStr">
        <is>
          <t>YES</t>
        </is>
      </c>
      <c r="F16" s="24" t="inlineStr">
        <is>
          <t>押品详细组合信息页面</t>
        </is>
      </c>
      <c r="G16" s="24" t="n"/>
      <c r="H16" s="24" t="n"/>
      <c r="I16" s="24" t="inlineStr"/>
      <c r="J16" s="24" t="inlineStr">
        <is>
          <t>2023/01/12</t>
        </is>
      </c>
    </row>
    <row r="17">
      <c r="B17" s="24" t="inlineStr">
        <is>
          <t>clr_param</t>
        </is>
      </c>
      <c r="C17" s="24" t="inlineStr">
        <is>
          <t>ISCURRMISMATCH</t>
        </is>
      </c>
      <c r="D17" s="24" t="inlineStr">
        <is>
          <t>char(1)</t>
        </is>
      </c>
      <c r="E17" s="24" t="inlineStr">
        <is>
          <t>YES</t>
        </is>
      </c>
      <c r="F17" s="24" t="inlineStr">
        <is>
          <t>是否允许币种错配</t>
        </is>
      </c>
      <c r="G17" s="24" t="n"/>
      <c r="H17" s="24" t="n"/>
      <c r="I17" s="24" t="inlineStr"/>
      <c r="J17" s="24" t="inlineStr">
        <is>
          <t>2023/01/12</t>
        </is>
      </c>
    </row>
    <row r="18">
      <c r="B18" s="24" t="inlineStr">
        <is>
          <t>clr_param</t>
        </is>
      </c>
      <c r="C18" s="24" t="inlineStr">
        <is>
          <t>ISNEEDINSURANCE</t>
        </is>
      </c>
      <c r="D18" s="24" t="inlineStr">
        <is>
          <t>char(1)</t>
        </is>
      </c>
      <c r="E18" s="24" t="inlineStr">
        <is>
          <t>YES</t>
        </is>
      </c>
      <c r="F18" s="24" t="inlineStr">
        <is>
          <t>是否需要投保</t>
        </is>
      </c>
      <c r="G18" s="24" t="n"/>
      <c r="H18" s="24" t="n"/>
      <c r="I18" s="24" t="inlineStr"/>
      <c r="J18" s="24" t="inlineStr">
        <is>
          <t>2023/01/12</t>
        </is>
      </c>
    </row>
    <row r="19">
      <c r="B19" s="24" t="inlineStr">
        <is>
          <t>clr_param</t>
        </is>
      </c>
      <c r="C19" s="24" t="inlineStr">
        <is>
          <t>RENEWALTERM</t>
        </is>
      </c>
      <c r="D19" s="24" t="inlineStr">
        <is>
          <t>int</t>
        </is>
      </c>
      <c r="E19" s="24" t="inlineStr">
        <is>
          <t>YES</t>
        </is>
      </c>
      <c r="F19" s="24" t="inlineStr">
        <is>
          <t>续保期限(年)</t>
        </is>
      </c>
      <c r="G19" s="24" t="n"/>
      <c r="H19" s="24" t="n"/>
      <c r="I19" s="24" t="inlineStr"/>
      <c r="J19" s="24" t="inlineStr">
        <is>
          <t>2023/01/12</t>
        </is>
      </c>
    </row>
    <row r="20">
      <c r="B20" s="24" t="inlineStr">
        <is>
          <t>clr_param</t>
        </is>
      </c>
      <c r="C20" s="24" t="inlineStr">
        <is>
          <t>ISNEEDNOTARIZAITON</t>
        </is>
      </c>
      <c r="D20" s="24" t="inlineStr">
        <is>
          <t>char(1)</t>
        </is>
      </c>
      <c r="E20" s="24" t="inlineStr">
        <is>
          <t>YES</t>
        </is>
      </c>
      <c r="F20" s="24" t="inlineStr">
        <is>
          <t>是否需要公证</t>
        </is>
      </c>
      <c r="G20" s="24" t="n"/>
      <c r="H20" s="24" t="n"/>
      <c r="I20" s="24" t="inlineStr"/>
      <c r="J20" s="24" t="inlineStr">
        <is>
          <t>2023/01/12</t>
        </is>
      </c>
    </row>
    <row r="21">
      <c r="B21" s="24" t="inlineStr">
        <is>
          <t>clr_param</t>
        </is>
      </c>
      <c r="C21" s="24" t="inlineStr">
        <is>
          <t>ISNEEDRGST</t>
        </is>
      </c>
      <c r="D21" s="24" t="inlineStr">
        <is>
          <t>char(1)</t>
        </is>
      </c>
      <c r="E21" s="24" t="inlineStr">
        <is>
          <t>YES</t>
        </is>
      </c>
      <c r="F21" s="24" t="inlineStr">
        <is>
          <t>是否需要抵质押登记手续</t>
        </is>
      </c>
      <c r="G21" s="24" t="n"/>
      <c r="H21" s="24" t="n"/>
      <c r="I21" s="24" t="inlineStr"/>
      <c r="J21" s="24" t="inlineStr">
        <is>
          <t>2023/01/12</t>
        </is>
      </c>
    </row>
    <row r="22">
      <c r="B22" s="24" t="inlineStr">
        <is>
          <t>clr_param</t>
        </is>
      </c>
      <c r="C22" s="24" t="inlineStr">
        <is>
          <t>ISNEEDMONITORING</t>
        </is>
      </c>
      <c r="D22" s="24" t="inlineStr">
        <is>
          <t>char(1)</t>
        </is>
      </c>
      <c r="E22" s="24" t="inlineStr">
        <is>
          <t>YES</t>
        </is>
      </c>
      <c r="F22" s="24" t="inlineStr">
        <is>
          <t>是否需要贷后现场检查</t>
        </is>
      </c>
      <c r="G22" s="24" t="n"/>
      <c r="H22" s="24" t="n"/>
      <c r="I22" s="24" t="inlineStr"/>
      <c r="J22" s="24" t="inlineStr">
        <is>
          <t>2023/01/12</t>
        </is>
      </c>
    </row>
    <row r="23">
      <c r="B23" s="24" t="inlineStr">
        <is>
          <t>clr_param</t>
        </is>
      </c>
      <c r="C23" s="24" t="inlineStr">
        <is>
          <t>MONITORINGFRQ</t>
        </is>
      </c>
      <c r="D23" s="24" t="inlineStr">
        <is>
          <t>varchar(6)</t>
        </is>
      </c>
      <c r="E23" s="24" t="inlineStr">
        <is>
          <t>YES</t>
        </is>
      </c>
      <c r="F23" s="24" t="inlineStr">
        <is>
          <t>贷后现场检查频率</t>
        </is>
      </c>
      <c r="G23" s="24" t="n"/>
      <c r="H23" s="24" t="n"/>
      <c r="I23" s="24" t="inlineStr"/>
      <c r="J23" s="24" t="inlineStr">
        <is>
          <t>2023/01/12</t>
        </is>
      </c>
    </row>
    <row r="24">
      <c r="B24" s="24" t="inlineStr">
        <is>
          <t>clr_param</t>
        </is>
      </c>
      <c r="C24" s="24" t="inlineStr">
        <is>
          <t>MAXGUATERM</t>
        </is>
      </c>
      <c r="D24" s="24" t="inlineStr">
        <is>
          <t>int</t>
        </is>
      </c>
      <c r="E24" s="24" t="inlineStr">
        <is>
          <t>YES</t>
        </is>
      </c>
      <c r="F24" s="24" t="inlineStr">
        <is>
          <t>最大担保期限</t>
        </is>
      </c>
      <c r="G24" s="24" t="n"/>
      <c r="H24" s="24" t="n"/>
      <c r="I24" s="24" t="inlineStr"/>
      <c r="J24" s="24" t="inlineStr">
        <is>
          <t>2023/01/12</t>
        </is>
      </c>
    </row>
    <row r="25">
      <c r="B25" s="24" t="inlineStr">
        <is>
          <t>clr_param</t>
        </is>
      </c>
      <c r="C25" s="24" t="inlineStr">
        <is>
          <t>MAXGUASCENARIO</t>
        </is>
      </c>
      <c r="D25" s="24" t="inlineStr">
        <is>
          <t>varchar(1000)</t>
        </is>
      </c>
      <c r="E25" s="24" t="inlineStr">
        <is>
          <t>YES</t>
        </is>
      </c>
      <c r="F25" s="24" t="inlineStr">
        <is>
          <t>最大担保期限适用业务场景</t>
        </is>
      </c>
      <c r="G25" s="24" t="n"/>
      <c r="H25" s="24" t="n"/>
      <c r="I25" s="24" t="inlineStr"/>
      <c r="J25" s="24" t="inlineStr">
        <is>
          <t>2023/01/12</t>
        </is>
      </c>
    </row>
    <row r="26">
      <c r="B26" s="24" t="inlineStr">
        <is>
          <t>clr_param</t>
        </is>
      </c>
      <c r="C26" s="24" t="inlineStr">
        <is>
          <t>EVALPERIOD</t>
        </is>
      </c>
      <c r="D26" s="24" t="inlineStr">
        <is>
          <t>int</t>
        </is>
      </c>
      <c r="E26" s="24" t="inlineStr">
        <is>
          <t>YES</t>
        </is>
      </c>
      <c r="F26" s="24" t="inlineStr">
        <is>
          <t>价值评估周期;月)</t>
        </is>
      </c>
      <c r="G26" s="24" t="n"/>
      <c r="H26" s="24" t="n"/>
      <c r="I26" s="24" t="inlineStr"/>
      <c r="J26" s="24" t="inlineStr">
        <is>
          <t>2023/01/12</t>
        </is>
      </c>
    </row>
    <row r="27">
      <c r="B27" s="24" t="inlineStr">
        <is>
          <t>clr_param</t>
        </is>
      </c>
      <c r="C27" s="24" t="inlineStr">
        <is>
          <t>ISSUITINEVAL</t>
        </is>
      </c>
      <c r="D27" s="24" t="inlineStr">
        <is>
          <t>char(1)</t>
        </is>
      </c>
      <c r="E27" s="24" t="inlineStr">
        <is>
          <t>YES</t>
        </is>
      </c>
      <c r="F27" s="24" t="inlineStr">
        <is>
          <t>是否适用内部评估</t>
        </is>
      </c>
      <c r="G27" s="52">
        <f>HYPERLINK("#码值映射清单!B5150","YesNo")</f>
        <v/>
      </c>
      <c r="H27" s="24" t="n"/>
      <c r="I27" s="24" t="inlineStr"/>
      <c r="J27" s="24" t="inlineStr">
        <is>
          <t>2023/01/12</t>
        </is>
      </c>
    </row>
    <row r="28">
      <c r="B28" s="24" t="inlineStr">
        <is>
          <t>clr_param</t>
        </is>
      </c>
      <c r="C28" s="24" t="inlineStr">
        <is>
          <t>ISSUITOUTEVAL</t>
        </is>
      </c>
      <c r="D28" s="24" t="inlineStr">
        <is>
          <t>char(1)</t>
        </is>
      </c>
      <c r="E28" s="24" t="inlineStr">
        <is>
          <t>YES</t>
        </is>
      </c>
      <c r="F28" s="24" t="inlineStr">
        <is>
          <t>是否适用外部评估</t>
        </is>
      </c>
      <c r="G28" s="52">
        <f>HYPERLINK("#码值映射清单!B5150","YesNo")</f>
        <v/>
      </c>
      <c r="H28" s="24" t="n"/>
      <c r="I28" s="24" t="inlineStr"/>
      <c r="J28" s="24" t="inlineStr">
        <is>
          <t>2023/01/12</t>
        </is>
      </c>
    </row>
    <row r="29">
      <c r="B29" s="24" t="inlineStr">
        <is>
          <t>clr_param</t>
        </is>
      </c>
      <c r="C29" s="24" t="inlineStr">
        <is>
          <t>MAINEVALMETHOD</t>
        </is>
      </c>
      <c r="D29" s="24" t="inlineStr">
        <is>
          <t>varchar(32)</t>
        </is>
      </c>
      <c r="E29" s="24" t="inlineStr">
        <is>
          <t>YES</t>
        </is>
      </c>
      <c r="F29" s="24" t="inlineStr">
        <is>
          <t>主要的估值方法</t>
        </is>
      </c>
      <c r="G29" s="52">
        <f>HYPERLINK("#码值映射清单!B1484","EvalMethod")</f>
        <v/>
      </c>
      <c r="H29" s="24" t="n"/>
      <c r="I29" s="24" t="inlineStr"/>
      <c r="J29" s="24" t="inlineStr">
        <is>
          <t>2023/01/12</t>
        </is>
      </c>
    </row>
    <row r="30">
      <c r="B30" s="24" t="inlineStr">
        <is>
          <t>clr_param</t>
        </is>
      </c>
      <c r="C30" s="24" t="inlineStr">
        <is>
          <t>DETAILEVALMODEL</t>
        </is>
      </c>
      <c r="D30" s="24" t="inlineStr">
        <is>
          <t>varchar(80)</t>
        </is>
      </c>
      <c r="E30" s="24" t="inlineStr">
        <is>
          <t>YES</t>
        </is>
      </c>
      <c r="F30" s="24" t="inlineStr">
        <is>
          <t>适用的详细评估模型</t>
        </is>
      </c>
      <c r="G30" s="24" t="n"/>
      <c r="H30" s="24" t="n"/>
      <c r="I30" s="24" t="inlineStr"/>
      <c r="J30" s="24" t="inlineStr">
        <is>
          <t>2023/01/12</t>
        </is>
      </c>
    </row>
    <row r="31">
      <c r="B31" s="24" t="inlineStr">
        <is>
          <t>clr_param</t>
        </is>
      </c>
      <c r="C31" s="24" t="inlineStr">
        <is>
          <t>FASTEVALMODEL</t>
        </is>
      </c>
      <c r="D31" s="24" t="inlineStr">
        <is>
          <t>varchar(80)</t>
        </is>
      </c>
      <c r="E31" s="24" t="inlineStr">
        <is>
          <t>YES</t>
        </is>
      </c>
      <c r="F31" s="24" t="inlineStr">
        <is>
          <t>适用的快速评估模型</t>
        </is>
      </c>
      <c r="G31" s="24" t="n"/>
      <c r="H31" s="24" t="n"/>
      <c r="I31" s="24" t="inlineStr"/>
      <c r="J31" s="24" t="inlineStr">
        <is>
          <t>2023/01/12</t>
        </is>
      </c>
    </row>
    <row r="32">
      <c r="B32" s="24" t="inlineStr">
        <is>
          <t>clr_param</t>
        </is>
      </c>
      <c r="C32" s="24" t="inlineStr">
        <is>
          <t>EVALFLOW</t>
        </is>
      </c>
      <c r="D32" s="24" t="inlineStr">
        <is>
          <t>varchar(32)</t>
        </is>
      </c>
      <c r="E32" s="24" t="inlineStr">
        <is>
          <t>YES</t>
        </is>
      </c>
      <c r="F32" s="24" t="inlineStr">
        <is>
          <t>价值评估流程</t>
        </is>
      </c>
      <c r="G32" s="24" t="n"/>
      <c r="H32" s="24" t="n"/>
      <c r="I32" s="24" t="inlineStr"/>
      <c r="J32" s="24" t="inlineStr">
        <is>
          <t>2023/01/12</t>
        </is>
      </c>
    </row>
    <row r="33">
      <c r="B33" s="24" t="inlineStr">
        <is>
          <t>clr_param</t>
        </is>
      </c>
      <c r="C33" s="24" t="inlineStr">
        <is>
          <t>APPRAISEATT</t>
        </is>
      </c>
      <c r="D33" s="24" t="inlineStr">
        <is>
          <t>varchar(1000)</t>
        </is>
      </c>
      <c r="E33" s="24" t="inlineStr">
        <is>
          <t>YES</t>
        </is>
      </c>
      <c r="F33" s="24" t="inlineStr">
        <is>
          <t>外部评估公司资质要求</t>
        </is>
      </c>
      <c r="G33" s="24" t="n"/>
      <c r="H33" s="24" t="n"/>
      <c r="I33" s="24" t="inlineStr"/>
      <c r="J33" s="24" t="inlineStr">
        <is>
          <t>2023/01/12</t>
        </is>
      </c>
    </row>
    <row r="34">
      <c r="B34" s="24" t="inlineStr">
        <is>
          <t>clr_param</t>
        </is>
      </c>
      <c r="C34" s="24" t="inlineStr">
        <is>
          <t>REEVALFRQUNIT</t>
        </is>
      </c>
      <c r="D34" s="24" t="inlineStr">
        <is>
          <t>varchar(6)</t>
        </is>
      </c>
      <c r="E34" s="24" t="inlineStr">
        <is>
          <t>YES</t>
        </is>
      </c>
      <c r="F34" s="24" t="inlineStr">
        <is>
          <t>重估频率单位</t>
        </is>
      </c>
      <c r="G34" s="52">
        <f>HYPERLINK("#码值映射清单!B6724","TermUnit")</f>
        <v/>
      </c>
      <c r="H34" s="24" t="n"/>
      <c r="I34" s="24" t="inlineStr"/>
      <c r="J34" s="24" t="inlineStr">
        <is>
          <t>2023/01/12</t>
        </is>
      </c>
    </row>
    <row r="35">
      <c r="B35" s="24" t="inlineStr">
        <is>
          <t>clr_param</t>
        </is>
      </c>
      <c r="C35" s="24" t="inlineStr">
        <is>
          <t>REEVALFRQ</t>
        </is>
      </c>
      <c r="D35" s="24" t="inlineStr">
        <is>
          <t>int</t>
        </is>
      </c>
      <c r="E35" s="24" t="inlineStr">
        <is>
          <t>YES</t>
        </is>
      </c>
      <c r="F35" s="24" t="inlineStr">
        <is>
          <t>重估频率</t>
        </is>
      </c>
      <c r="G35" s="24" t="n"/>
      <c r="H35" s="24" t="n"/>
      <c r="I35" s="24" t="inlineStr"/>
      <c r="J35" s="24" t="inlineStr">
        <is>
          <t>2023/01/12</t>
        </is>
      </c>
    </row>
    <row r="36">
      <c r="B36" s="24" t="inlineStr">
        <is>
          <t>clr_param</t>
        </is>
      </c>
      <c r="C36" s="24" t="inlineStr">
        <is>
          <t>ISAUTOREEVAL</t>
        </is>
      </c>
      <c r="D36" s="24" t="inlineStr">
        <is>
          <t>char(1)</t>
        </is>
      </c>
      <c r="E36" s="24" t="inlineStr">
        <is>
          <t>YES</t>
        </is>
      </c>
      <c r="F36" s="24" t="inlineStr">
        <is>
          <t>是否直接评估</t>
        </is>
      </c>
      <c r="G36" s="52">
        <f>HYPERLINK("#码值映射清单!B5150","YesNo")</f>
        <v/>
      </c>
      <c r="H36" s="24" t="n"/>
      <c r="I36" s="24" t="inlineStr"/>
      <c r="J36" s="24" t="inlineStr">
        <is>
          <t>2023/01/12</t>
        </is>
      </c>
    </row>
    <row r="37">
      <c r="B37" s="24" t="inlineStr">
        <is>
          <t>clr_param</t>
        </is>
      </c>
      <c r="C37" s="24" t="inlineStr">
        <is>
          <t>AUTOREEVALMODE</t>
        </is>
      </c>
      <c r="D37" s="24" t="inlineStr">
        <is>
          <t>varchar(6)</t>
        </is>
      </c>
      <c r="E37" s="24" t="inlineStr">
        <is>
          <t>YES</t>
        </is>
      </c>
      <c r="F37" s="24" t="inlineStr">
        <is>
          <t>固定日期滚动周期</t>
        </is>
      </c>
      <c r="G37" s="24" t="n"/>
      <c r="H37" s="24" t="n"/>
      <c r="I37" s="24" t="inlineStr"/>
      <c r="J37" s="24" t="inlineStr">
        <is>
          <t>2023/01/12</t>
        </is>
      </c>
    </row>
    <row r="38">
      <c r="B38" s="24" t="inlineStr">
        <is>
          <t>clr_param</t>
        </is>
      </c>
      <c r="C38" s="24" t="inlineStr">
        <is>
          <t>REEVALDATEDEF</t>
        </is>
      </c>
      <c r="D38" s="24" t="inlineStr">
        <is>
          <t>varchar(1000)</t>
        </is>
      </c>
      <c r="E38" s="24" t="inlineStr">
        <is>
          <t>YES</t>
        </is>
      </c>
      <c r="F38" s="24" t="inlineStr">
        <is>
          <t>重估日定义</t>
        </is>
      </c>
      <c r="G38" s="24" t="n"/>
      <c r="H38" s="24" t="n"/>
      <c r="I38" s="24" t="inlineStr"/>
      <c r="J38" s="24" t="inlineStr">
        <is>
          <t>2023/01/12</t>
        </is>
      </c>
    </row>
    <row r="39">
      <c r="B39" s="24" t="inlineStr">
        <is>
          <t>clr_param</t>
        </is>
      </c>
      <c r="C39" s="24" t="inlineStr">
        <is>
          <t>EXTWEIGHT</t>
        </is>
      </c>
      <c r="D39" s="24" t="inlineStr">
        <is>
          <t>decimal(18,8)</t>
        </is>
      </c>
      <c r="E39" s="24" t="inlineStr">
        <is>
          <t>YES</t>
        </is>
      </c>
      <c r="F39" s="24" t="inlineStr">
        <is>
          <t>外评权重</t>
        </is>
      </c>
      <c r="G39" s="24" t="n"/>
      <c r="H39" s="24" t="n"/>
      <c r="I39" s="24" t="inlineStr"/>
      <c r="J39" s="24" t="inlineStr">
        <is>
          <t>2023/01/12</t>
        </is>
      </c>
    </row>
    <row r="40">
      <c r="B40" s="24" t="inlineStr">
        <is>
          <t>clr_param</t>
        </is>
      </c>
      <c r="C40" s="24" t="inlineStr">
        <is>
          <t>INWEIGHT</t>
        </is>
      </c>
      <c r="D40" s="24" t="inlineStr">
        <is>
          <t>decimal(18,8)</t>
        </is>
      </c>
      <c r="E40" s="24" t="inlineStr">
        <is>
          <t>YES</t>
        </is>
      </c>
      <c r="F40" s="24" t="inlineStr">
        <is>
          <t>内评权重</t>
        </is>
      </c>
      <c r="G40" s="24" t="n"/>
      <c r="H40" s="24" t="n"/>
      <c r="I40" s="24" t="inlineStr"/>
      <c r="J40" s="24" t="inlineStr">
        <is>
          <t>2023/01/12</t>
        </is>
      </c>
    </row>
    <row r="41">
      <c r="B41" s="24" t="inlineStr">
        <is>
          <t>clr_param</t>
        </is>
      </c>
      <c r="C41" s="24" t="inlineStr">
        <is>
          <t>ISNEEDRIGHTCERT</t>
        </is>
      </c>
      <c r="D41" s="24" t="inlineStr">
        <is>
          <t>char(1)</t>
        </is>
      </c>
      <c r="E41" s="24" t="inlineStr">
        <is>
          <t>YES</t>
        </is>
      </c>
      <c r="F41" s="24" t="inlineStr">
        <is>
          <t>是否需要提交权证</t>
        </is>
      </c>
      <c r="G41" s="24" t="n"/>
      <c r="H41" s="24" t="n"/>
      <c r="I41" s="24" t="inlineStr"/>
      <c r="J41" s="24" t="inlineStr">
        <is>
          <t>2023/01/12</t>
        </is>
      </c>
    </row>
    <row r="42">
      <c r="B42" s="24" t="inlineStr">
        <is>
          <t>clr_param</t>
        </is>
      </c>
      <c r="C42" s="24" t="inlineStr">
        <is>
          <t>ISSUITCOMBINEEVAL</t>
        </is>
      </c>
      <c r="D42" s="24" t="inlineStr">
        <is>
          <t>char(1)</t>
        </is>
      </c>
      <c r="E42" s="24" t="inlineStr">
        <is>
          <t>YES</t>
        </is>
      </c>
      <c r="F42" s="24" t="inlineStr">
        <is>
          <t>是否适用内外结合评估</t>
        </is>
      </c>
      <c r="G42" s="52">
        <f>HYPERLINK("#码值映射清单!B5150","YesNo")</f>
        <v/>
      </c>
      <c r="H42" s="24" t="n"/>
      <c r="I42" s="24" t="inlineStr"/>
      <c r="J42" s="24" t="inlineStr">
        <is>
          <t>2023/01/12</t>
        </is>
      </c>
    </row>
    <row r="43">
      <c r="B43" s="24" t="inlineStr">
        <is>
          <t>clr_param</t>
        </is>
      </c>
      <c r="C43" s="24" t="inlineStr">
        <is>
          <t>ISMANUALBATCHREVAL</t>
        </is>
      </c>
      <c r="D43" s="24" t="inlineStr">
        <is>
          <t>char(1)</t>
        </is>
      </c>
      <c r="E43" s="24" t="inlineStr">
        <is>
          <t>YES</t>
        </is>
      </c>
      <c r="F43" s="24" t="inlineStr">
        <is>
          <t>是否人工批量重估</t>
        </is>
      </c>
      <c r="G43" s="52">
        <f>HYPERLINK("#码值映射清单!B5150","YesNo")</f>
        <v/>
      </c>
      <c r="H43" s="24" t="n"/>
      <c r="I43" s="24" t="inlineStr"/>
      <c r="J43" s="24" t="inlineStr">
        <is>
          <t>2023/01/12</t>
        </is>
      </c>
    </row>
    <row r="44">
      <c r="B44" s="24" t="inlineStr">
        <is>
          <t>clr_param</t>
        </is>
      </c>
      <c r="C44" s="24" t="inlineStr">
        <is>
          <t>ISSYSBATCHREVAL</t>
        </is>
      </c>
      <c r="D44" s="24" t="inlineStr">
        <is>
          <t>char(1)</t>
        </is>
      </c>
      <c r="E44" s="24" t="inlineStr">
        <is>
          <t>YES</t>
        </is>
      </c>
      <c r="F44" s="24" t="inlineStr">
        <is>
          <t>是否系统批量重估</t>
        </is>
      </c>
      <c r="G44" s="52">
        <f>HYPERLINK("#码值映射清单!B5150","YesNo")</f>
        <v/>
      </c>
      <c r="H44" s="24" t="n"/>
      <c r="I44" s="24" t="inlineStr"/>
      <c r="J44" s="24" t="inlineStr">
        <is>
          <t>2023/01/12</t>
        </is>
      </c>
    </row>
    <row r="45">
      <c r="B45" s="24" t="inlineStr">
        <is>
          <t>clr_param</t>
        </is>
      </c>
      <c r="C45" s="24" t="inlineStr">
        <is>
          <t>EVALMODELMARKET</t>
        </is>
      </c>
      <c r="D45" s="24" t="inlineStr">
        <is>
          <t>varchar(80)</t>
        </is>
      </c>
      <c r="E45" s="24" t="inlineStr">
        <is>
          <t>YES</t>
        </is>
      </c>
      <c r="F45" s="24" t="inlineStr">
        <is>
          <t>市场法估值模板</t>
        </is>
      </c>
      <c r="G45" s="52">
        <f>HYPERLINK("#码值映射清单!B8117","EvalModelMarket")</f>
        <v/>
      </c>
      <c r="H45" s="24" t="n"/>
      <c r="I45" s="24" t="inlineStr"/>
      <c r="J45" s="24" t="inlineStr">
        <is>
          <t>2023/01/12</t>
        </is>
      </c>
    </row>
    <row r="46">
      <c r="B46" s="24" t="inlineStr">
        <is>
          <t>clr_param</t>
        </is>
      </c>
      <c r="C46" s="24" t="inlineStr">
        <is>
          <t>EVALMODELPROFIT</t>
        </is>
      </c>
      <c r="D46" s="24" t="inlineStr">
        <is>
          <t>varchar(80)</t>
        </is>
      </c>
      <c r="E46" s="24" t="inlineStr">
        <is>
          <t>YES</t>
        </is>
      </c>
      <c r="F46" s="24" t="inlineStr">
        <is>
          <t>收益法估值模板</t>
        </is>
      </c>
      <c r="G46" s="52">
        <f>HYPERLINK("#码值映射清单!B7991","EvalModelProfit")</f>
        <v/>
      </c>
      <c r="H46" s="24" t="n"/>
      <c r="I46" s="24" t="inlineStr"/>
      <c r="J46" s="24" t="inlineStr">
        <is>
          <t>2023/01/12</t>
        </is>
      </c>
    </row>
    <row r="47">
      <c r="B47" s="24" t="inlineStr">
        <is>
          <t>clr_param</t>
        </is>
      </c>
      <c r="C47" s="24" t="inlineStr">
        <is>
          <t>EVALMODELCOST</t>
        </is>
      </c>
      <c r="D47" s="24" t="inlineStr">
        <is>
          <t>varchar(80)</t>
        </is>
      </c>
      <c r="E47" s="24" t="inlineStr">
        <is>
          <t>YES</t>
        </is>
      </c>
      <c r="F47" s="24" t="inlineStr">
        <is>
          <t>成本法估值模板</t>
        </is>
      </c>
      <c r="G47" s="52">
        <f>HYPERLINK("#码值映射清单!B9198","EvalModelCost")</f>
        <v/>
      </c>
      <c r="H47" s="24" t="n"/>
      <c r="I47" s="24" t="inlineStr"/>
      <c r="J47" s="24" t="inlineStr">
        <is>
          <t>2023/01/12</t>
        </is>
      </c>
    </row>
    <row r="48">
      <c r="B48" s="24" t="inlineStr">
        <is>
          <t>clr_param</t>
        </is>
      </c>
      <c r="C48" s="24" t="inlineStr">
        <is>
          <t>EVALMODELQUICK</t>
        </is>
      </c>
      <c r="D48" s="24" t="inlineStr">
        <is>
          <t>varchar(80)</t>
        </is>
      </c>
      <c r="E48" s="24" t="inlineStr">
        <is>
          <t>YES</t>
        </is>
      </c>
      <c r="F48" s="24" t="inlineStr">
        <is>
          <t>贷后快速评估模板</t>
        </is>
      </c>
      <c r="G48" s="52">
        <f>HYPERLINK("#码值映射清单!B6764","EvalModelQuick")</f>
        <v/>
      </c>
      <c r="H48" s="24" t="n"/>
      <c r="I48" s="24" t="inlineStr"/>
      <c r="J48" s="24" t="inlineStr">
        <is>
          <t>2023/01/12</t>
        </is>
      </c>
    </row>
    <row r="49">
      <c r="B49" s="24" t="inlineStr">
        <is>
          <t>clr_param</t>
        </is>
      </c>
      <c r="C49" s="24" t="inlineStr">
        <is>
          <t>ISHAVEWARRANT</t>
        </is>
      </c>
      <c r="D49" s="24" t="inlineStr">
        <is>
          <t>char(1)</t>
        </is>
      </c>
      <c r="E49" s="24" t="inlineStr">
        <is>
          <t>YES</t>
        </is>
      </c>
      <c r="F49" s="24" t="inlineStr">
        <is>
          <t>是否有他项权证</t>
        </is>
      </c>
      <c r="G49" s="24" t="n"/>
      <c r="H49" s="24" t="n"/>
      <c r="I49" s="24" t="inlineStr"/>
      <c r="J49" s="24" t="inlineStr">
        <is>
          <t>2023/01/12</t>
        </is>
      </c>
    </row>
    <row r="50">
      <c r="B50" s="24" t="inlineStr">
        <is>
          <t>clr_param</t>
        </is>
      </c>
      <c r="C50" s="24" t="inlineStr">
        <is>
          <t>ISNEEDIN</t>
        </is>
      </c>
      <c r="D50" s="24" t="inlineStr">
        <is>
          <t>char(1)</t>
        </is>
      </c>
      <c r="E50" s="24" t="inlineStr">
        <is>
          <t>YES</t>
        </is>
      </c>
      <c r="F50" s="24" t="inlineStr">
        <is>
          <t>是否需要入库</t>
        </is>
      </c>
      <c r="G50" s="24" t="n"/>
      <c r="H50" s="24" t="n"/>
      <c r="I50" s="24" t="inlineStr"/>
      <c r="J50" s="24" t="inlineStr">
        <is>
          <t>2023/01/12</t>
        </is>
      </c>
    </row>
    <row r="51">
      <c r="B51" s="24" t="inlineStr">
        <is>
          <t>clr_param</t>
        </is>
      </c>
      <c r="C51" s="24" t="inlineStr">
        <is>
          <t>ISQUALIFIED</t>
        </is>
      </c>
      <c r="D51" s="24" t="inlineStr">
        <is>
          <t>char(1)</t>
        </is>
      </c>
      <c r="E51" s="24" t="inlineStr">
        <is>
          <t>YES</t>
        </is>
      </c>
      <c r="F51" s="24" t="inlineStr">
        <is>
          <t>是否合格缓释工具</t>
        </is>
      </c>
      <c r="G51" s="24" t="n"/>
      <c r="H51" s="24" t="n"/>
      <c r="I51" s="24" t="inlineStr"/>
      <c r="J51" s="24" t="inlineStr">
        <is>
          <t>2023/01/12</t>
        </is>
      </c>
    </row>
    <row r="52">
      <c r="B52" s="46" t="inlineStr">
        <is>
          <t>clr_param</t>
        </is>
      </c>
      <c r="C52" s="46" t="inlineStr">
        <is>
          <t>VALIDCERTTYPE</t>
        </is>
      </c>
      <c r="D52" s="46" t="inlineStr">
        <is>
          <t>varchar(80)</t>
        </is>
      </c>
      <c r="E52" s="46" t="inlineStr">
        <is>
          <t>YES</t>
        </is>
      </c>
      <c r="F52" s="46" t="inlineStr">
        <is>
          <t>有效权证名称</t>
        </is>
      </c>
      <c r="G52" s="68">
        <f>HYPERLINK("#码值映射清单!B8949","RightCertType")</f>
        <v/>
      </c>
      <c r="H52" s="49" t="inlineStr">
        <is>
          <t>有效的权证类型，码值变更为RightCertType</t>
        </is>
      </c>
      <c r="I52" s="46" t="inlineStr"/>
      <c r="J52" s="180" t="n">
        <v>45740</v>
      </c>
    </row>
    <row r="53">
      <c r="B53" s="24" t="inlineStr">
        <is>
          <t>clr_param</t>
        </is>
      </c>
      <c r="C53" s="24" t="inlineStr">
        <is>
          <t>INPUTORGID</t>
        </is>
      </c>
      <c r="D53" s="24" t="inlineStr">
        <is>
          <t>varchar(32)</t>
        </is>
      </c>
      <c r="E53" s="24" t="inlineStr">
        <is>
          <t>YES</t>
        </is>
      </c>
      <c r="F53" s="24" t="inlineStr">
        <is>
          <t>登记机构</t>
        </is>
      </c>
      <c r="G53" s="24" t="n"/>
      <c r="H53" s="24" t="n"/>
      <c r="I53" s="24" t="inlineStr"/>
      <c r="J53" s="24" t="inlineStr">
        <is>
          <t>2023/01/12</t>
        </is>
      </c>
    </row>
    <row r="54">
      <c r="B54" s="24" t="inlineStr">
        <is>
          <t>clr_param</t>
        </is>
      </c>
      <c r="C54" s="24" t="inlineStr">
        <is>
          <t>INPUTUSERID</t>
        </is>
      </c>
      <c r="D54" s="24" t="inlineStr">
        <is>
          <t>varchar(32)</t>
        </is>
      </c>
      <c r="E54" s="24" t="inlineStr">
        <is>
          <t>YES</t>
        </is>
      </c>
      <c r="F54" s="24" t="inlineStr">
        <is>
          <t>登记人</t>
        </is>
      </c>
      <c r="G54" s="24" t="n"/>
      <c r="H54" s="24" t="n"/>
      <c r="I54" s="24" t="inlineStr"/>
      <c r="J54" s="24" t="inlineStr">
        <is>
          <t>2023/01/12</t>
        </is>
      </c>
    </row>
    <row r="55">
      <c r="B55" s="24" t="inlineStr">
        <is>
          <t>clr_param</t>
        </is>
      </c>
      <c r="C55" s="24" t="inlineStr">
        <is>
          <t>INPUTDATE</t>
        </is>
      </c>
      <c r="D55" s="24" t="inlineStr">
        <is>
          <t>datetime</t>
        </is>
      </c>
      <c r="E55" s="24" t="inlineStr">
        <is>
          <t>YES</t>
        </is>
      </c>
      <c r="F55" s="24" t="inlineStr">
        <is>
          <t>登记日期</t>
        </is>
      </c>
      <c r="G55" s="24" t="n"/>
      <c r="H55" s="24" t="n"/>
      <c r="I55" s="24" t="inlineStr"/>
      <c r="J55" s="24" t="inlineStr">
        <is>
          <t>2023/01/12</t>
        </is>
      </c>
    </row>
    <row r="56">
      <c r="B56" s="24" t="inlineStr">
        <is>
          <t>clr_param</t>
        </is>
      </c>
      <c r="C56" s="24" t="inlineStr">
        <is>
          <t>UPDATEORGID</t>
        </is>
      </c>
      <c r="D56" s="24" t="inlineStr">
        <is>
          <t>varchar(32)</t>
        </is>
      </c>
      <c r="E56" s="24" t="inlineStr">
        <is>
          <t>YES</t>
        </is>
      </c>
      <c r="F56" s="24" t="inlineStr">
        <is>
          <t>更新机构</t>
        </is>
      </c>
      <c r="G56" s="24" t="n"/>
      <c r="H56" s="24" t="n"/>
      <c r="I56" s="24" t="inlineStr"/>
      <c r="J56" s="24" t="inlineStr">
        <is>
          <t>2023/01/12</t>
        </is>
      </c>
    </row>
    <row r="57">
      <c r="B57" s="24" t="inlineStr">
        <is>
          <t>clr_param</t>
        </is>
      </c>
      <c r="C57" s="24" t="inlineStr">
        <is>
          <t>UPDATEUSERID</t>
        </is>
      </c>
      <c r="D57" s="24" t="inlineStr">
        <is>
          <t>varchar(32)</t>
        </is>
      </c>
      <c r="E57" s="24" t="inlineStr">
        <is>
          <t>YES</t>
        </is>
      </c>
      <c r="F57" s="24" t="inlineStr">
        <is>
          <t>更新人</t>
        </is>
      </c>
      <c r="G57" s="24" t="n"/>
      <c r="H57" s="24" t="n"/>
      <c r="I57" s="24" t="inlineStr"/>
      <c r="J57" s="24" t="inlineStr">
        <is>
          <t>2023/01/12</t>
        </is>
      </c>
    </row>
    <row r="58">
      <c r="B58" s="24" t="inlineStr">
        <is>
          <t>clr_param</t>
        </is>
      </c>
      <c r="C58" s="24" t="inlineStr">
        <is>
          <t>UPDATEDATE</t>
        </is>
      </c>
      <c r="D58" s="24" t="inlineStr">
        <is>
          <t>datetime</t>
        </is>
      </c>
      <c r="E58" s="24" t="inlineStr">
        <is>
          <t>YES</t>
        </is>
      </c>
      <c r="F58" s="24" t="inlineStr">
        <is>
          <t>更新日期</t>
        </is>
      </c>
      <c r="G58" s="24" t="n"/>
      <c r="H58" s="24" t="n"/>
      <c r="I58" s="24" t="inlineStr"/>
      <c r="J58" s="24" t="inlineStr">
        <is>
          <t>2023/01/12</t>
        </is>
      </c>
    </row>
    <row r="59">
      <c r="B59" s="24" t="inlineStr">
        <is>
          <t>clr_param</t>
        </is>
      </c>
      <c r="C59" s="24" t="inlineStr">
        <is>
          <t>REMARK</t>
        </is>
      </c>
      <c r="D59" s="24" t="inlineStr">
        <is>
          <t>varchar(500)</t>
        </is>
      </c>
      <c r="E59" s="24" t="inlineStr">
        <is>
          <t>YES</t>
        </is>
      </c>
      <c r="F59" s="24" t="inlineStr">
        <is>
          <t>备注</t>
        </is>
      </c>
      <c r="G59" s="24" t="n"/>
      <c r="H59" s="24" t="n"/>
      <c r="I59" s="24" t="inlineStr"/>
      <c r="J59" s="24" t="inlineStr">
        <is>
          <t>2023/01/12</t>
        </is>
      </c>
    </row>
    <row r="60">
      <c r="B60" s="24" t="inlineStr">
        <is>
          <t>clr_param</t>
        </is>
      </c>
      <c r="C60" s="24" t="inlineStr">
        <is>
          <t>ENTRYCRITERIA</t>
        </is>
      </c>
      <c r="D60" s="24" t="inlineStr">
        <is>
          <t>varchar(4000)</t>
        </is>
      </c>
      <c r="E60" s="24" t="inlineStr">
        <is>
          <t>YES</t>
        </is>
      </c>
      <c r="F60" s="24" t="inlineStr">
        <is>
          <t>准入条件文本</t>
        </is>
      </c>
      <c r="G60" s="24" t="n"/>
      <c r="H60" s="24" t="n"/>
      <c r="I60" s="24" t="inlineStr"/>
      <c r="J60" s="24" t="inlineStr">
        <is>
          <t>2023/01/12</t>
        </is>
      </c>
    </row>
    <row r="61">
      <c r="B61" s="24" t="inlineStr">
        <is>
          <t>clr_param</t>
        </is>
      </c>
      <c r="C61" s="24" t="inlineStr">
        <is>
          <t>PRODUCTLIST</t>
        </is>
      </c>
      <c r="D61" s="24" t="inlineStr">
        <is>
          <t>varchar(4000)</t>
        </is>
      </c>
      <c r="E61" s="24" t="inlineStr">
        <is>
          <t>YES</t>
        </is>
      </c>
      <c r="F61" s="24" t="inlineStr">
        <is>
          <t>适用的产品</t>
        </is>
      </c>
      <c r="G61" s="24" t="n"/>
      <c r="H61" s="24" t="n"/>
      <c r="I61" s="24" t="inlineStr"/>
      <c r="J61" s="24" t="inlineStr">
        <is>
          <t>2023/01/12</t>
        </is>
      </c>
    </row>
    <row r="62">
      <c r="B62" s="109" t="inlineStr">
        <is>
          <t>clr_param</t>
        </is>
      </c>
      <c r="C62" s="109" t="inlineStr">
        <is>
          <t>CLRONLYSCOPE</t>
        </is>
      </c>
      <c r="D62" s="109" t="inlineStr">
        <is>
          <t>varchar(4000)</t>
        </is>
      </c>
      <c r="E62" s="109" t="inlineStr">
        <is>
          <t>YES</t>
        </is>
      </c>
      <c r="F62" s="109" t="inlineStr">
        <is>
          <t>押品唯一性校验范围</t>
        </is>
      </c>
      <c r="G62" s="109" t="n"/>
      <c r="H62" s="109" t="n"/>
      <c r="I62" s="109" t="inlineStr"/>
      <c r="J62" s="109" t="inlineStr">
        <is>
          <t>2023/01/12</t>
        </is>
      </c>
    </row>
    <row r="63">
      <c r="B63" s="73" t="inlineStr">
        <is>
          <t>clr_param</t>
        </is>
      </c>
      <c r="C63" s="60" t="inlineStr">
        <is>
          <t>ISAUTO</t>
        </is>
      </c>
      <c r="D63" s="37" t="inlineStr">
        <is>
          <t>varchar(6)</t>
        </is>
      </c>
      <c r="E63" s="73" t="inlineStr">
        <is>
          <t>YES</t>
        </is>
      </c>
      <c r="F63" s="59" t="inlineStr">
        <is>
          <t>是否自动入库</t>
        </is>
      </c>
      <c r="G63" s="60" t="n"/>
      <c r="H63" s="59" t="inlineStr">
        <is>
          <t>不展示，后台维护</t>
        </is>
      </c>
      <c r="I63" s="60" t="n"/>
      <c r="J63" s="183" t="n">
        <v>45740</v>
      </c>
    </row>
    <row r="64">
      <c r="B64" s="37" t="inlineStr">
        <is>
          <t>clr_param</t>
        </is>
      </c>
      <c r="C64" s="37" t="inlineStr">
        <is>
          <t>ISLOWRISK</t>
        </is>
      </c>
      <c r="D64" s="37" t="inlineStr">
        <is>
          <t>char(1)</t>
        </is>
      </c>
      <c r="E64" s="37" t="inlineStr">
        <is>
          <t>YES</t>
        </is>
      </c>
      <c r="F64" s="38" t="inlineStr">
        <is>
          <t>是否低风险</t>
        </is>
      </c>
      <c r="G64" s="37" t="n"/>
      <c r="H64" s="37" t="n"/>
      <c r="I64" s="37" t="n"/>
      <c r="J64" s="183" t="n">
        <v>45740</v>
      </c>
    </row>
  </sheetData>
  <pageMargins left="0.75" right="0.75" top="1" bottom="1" header="0.5" footer="0.5"/>
  <pageSetup orientation="portrait" paperSize="1" horizontalDpi="300" verticalDpi="300"/>
</worksheet>
</file>

<file path=xl/worksheets/sheet91.xml><?xml version="1.0" encoding="utf-8"?>
<worksheet xmlns="http://schemas.openxmlformats.org/spreadsheetml/2006/main">
  <sheetPr>
    <outlinePr summaryBelow="1" summaryRight="1"/>
    <pageSetUpPr/>
  </sheetPr>
  <dimension ref="A1:J20"/>
  <sheetViews>
    <sheetView zoomScaleSheetLayoutView="60" workbookViewId="0">
      <selection activeCell="B1" sqref="B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押品市场价格指数表;指数类型-二级分类 INDLEVEL2：房产指数-二手房：100100;房产指数-商铺：100200;房产指数-写字楼：100400;房产指数-新建住宅：100500;房产指数-土地: 200100;市场价格指数类型 IndexType：010-同比 020-环比 030-定基 数据来源 IndexSource：010-手工录入 020-统计局 030-安硕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clr_priceindex</t>
        </is>
      </c>
      <c r="C3" s="24" t="inlineStr">
        <is>
          <t>INDEXTYPE</t>
        </is>
      </c>
      <c r="D3" s="24" t="inlineStr">
        <is>
          <t>varchar(32)</t>
        </is>
      </c>
      <c r="E3" s="24" t="inlineStr">
        <is>
          <t>YES</t>
        </is>
      </c>
      <c r="F3" s="24" t="inlineStr">
        <is>
          <t>市场价格指数类型</t>
        </is>
      </c>
      <c r="G3" s="24" t="n"/>
      <c r="H3" s="24" t="n"/>
      <c r="I3" s="24" t="inlineStr"/>
      <c r="J3" s="24" t="inlineStr">
        <is>
          <t>2023/01/12</t>
        </is>
      </c>
    </row>
    <row r="4">
      <c r="B4" s="24" t="inlineStr">
        <is>
          <t>clr_priceindex</t>
        </is>
      </c>
      <c r="C4" s="24" t="inlineStr">
        <is>
          <t>INDEXID</t>
        </is>
      </c>
      <c r="D4" s="24" t="inlineStr">
        <is>
          <t>varchar(32)</t>
        </is>
      </c>
      <c r="E4" s="24" t="inlineStr">
        <is>
          <t>NO</t>
        </is>
      </c>
      <c r="F4" s="24" t="inlineStr">
        <is>
          <t>市场价格指数编号</t>
        </is>
      </c>
      <c r="G4" s="24" t="n"/>
      <c r="H4" s="24" t="n"/>
      <c r="I4" s="24" t="inlineStr"/>
      <c r="J4" s="24" t="inlineStr">
        <is>
          <t>2023/01/12</t>
        </is>
      </c>
    </row>
    <row r="5">
      <c r="B5" s="24" t="inlineStr">
        <is>
          <t>clr_priceindex</t>
        </is>
      </c>
      <c r="C5" s="24" t="inlineStr">
        <is>
          <t>PRICEINDEX</t>
        </is>
      </c>
      <c r="D5" s="24" t="inlineStr">
        <is>
          <t>decimal(24,6)</t>
        </is>
      </c>
      <c r="E5" s="24" t="inlineStr">
        <is>
          <t>YES</t>
        </is>
      </c>
      <c r="F5" s="24" t="inlineStr">
        <is>
          <t>市场价格指数</t>
        </is>
      </c>
      <c r="G5" s="24" t="n"/>
      <c r="H5" s="24" t="n"/>
      <c r="I5" s="24" t="inlineStr"/>
      <c r="J5" s="24" t="inlineStr">
        <is>
          <t>2023/01/12</t>
        </is>
      </c>
    </row>
    <row r="6">
      <c r="B6" s="24" t="inlineStr">
        <is>
          <t>clr_priceindex</t>
        </is>
      </c>
      <c r="C6" s="24" t="inlineStr">
        <is>
          <t>INDEXDATE</t>
        </is>
      </c>
      <c r="D6" s="24" t="inlineStr">
        <is>
          <t>varchar(18)</t>
        </is>
      </c>
      <c r="E6" s="24" t="inlineStr">
        <is>
          <t>YES</t>
        </is>
      </c>
      <c r="F6" s="24" t="inlineStr">
        <is>
          <t>市场指数日期</t>
        </is>
      </c>
      <c r="G6" s="24" t="n"/>
      <c r="H6" s="24" t="n"/>
      <c r="I6" s="24" t="inlineStr"/>
      <c r="J6" s="24" t="inlineStr">
        <is>
          <t>2023/01/12</t>
        </is>
      </c>
    </row>
    <row r="7">
      <c r="B7" s="24" t="inlineStr">
        <is>
          <t>clr_priceindex</t>
        </is>
      </c>
      <c r="C7" s="24" t="inlineStr">
        <is>
          <t>UPANDDOWN</t>
        </is>
      </c>
      <c r="D7" s="24" t="inlineStr">
        <is>
          <t>decimal(18,8)</t>
        </is>
      </c>
      <c r="E7" s="24" t="inlineStr">
        <is>
          <t>YES</t>
        </is>
      </c>
      <c r="F7" s="53" t="inlineStr">
        <is>
          <t>涨跌幅度</t>
        </is>
      </c>
      <c r="G7" s="24" t="n"/>
      <c r="H7" s="24" t="n"/>
      <c r="I7" s="24" t="inlineStr"/>
      <c r="J7" s="24" t="inlineStr">
        <is>
          <t>2023/01/12</t>
        </is>
      </c>
    </row>
    <row r="8">
      <c r="B8" s="24" t="inlineStr">
        <is>
          <t>clr_priceindex</t>
        </is>
      </c>
      <c r="C8" s="24" t="inlineStr">
        <is>
          <t>PROVINCE</t>
        </is>
      </c>
      <c r="D8" s="24" t="inlineStr">
        <is>
          <t>varchar(32)</t>
        </is>
      </c>
      <c r="E8" s="24" t="inlineStr">
        <is>
          <t>YES</t>
        </is>
      </c>
      <c r="F8" s="24" t="inlineStr">
        <is>
          <t>省份</t>
        </is>
      </c>
      <c r="G8" s="24" t="n"/>
      <c r="H8" s="24" t="n"/>
      <c r="I8" s="24" t="inlineStr"/>
      <c r="J8" s="24" t="inlineStr">
        <is>
          <t>2023/01/12</t>
        </is>
      </c>
    </row>
    <row r="9">
      <c r="B9" s="24" t="inlineStr">
        <is>
          <t>clr_priceindex</t>
        </is>
      </c>
      <c r="C9" s="24" t="inlineStr">
        <is>
          <t>CITY</t>
        </is>
      </c>
      <c r="D9" s="24" t="inlineStr">
        <is>
          <t>varchar(32)</t>
        </is>
      </c>
      <c r="E9" s="24" t="inlineStr">
        <is>
          <t>YES</t>
        </is>
      </c>
      <c r="F9" s="24" t="inlineStr">
        <is>
          <t>城市</t>
        </is>
      </c>
      <c r="G9" s="24" t="n"/>
      <c r="H9" s="24" t="n"/>
      <c r="I9" s="24" t="inlineStr"/>
      <c r="J9" s="24" t="inlineStr">
        <is>
          <t>2023/01/12</t>
        </is>
      </c>
    </row>
    <row r="10">
      <c r="B10" s="24" t="inlineStr">
        <is>
          <t>clr_priceindex</t>
        </is>
      </c>
      <c r="C10" s="24" t="inlineStr">
        <is>
          <t>AREA</t>
        </is>
      </c>
      <c r="D10" s="24" t="inlineStr">
        <is>
          <t>varchar(32)</t>
        </is>
      </c>
      <c r="E10" s="24" t="inlineStr">
        <is>
          <t>YES</t>
        </is>
      </c>
      <c r="F10" s="24" t="inlineStr">
        <is>
          <t>区域</t>
        </is>
      </c>
      <c r="G10" s="24" t="n"/>
      <c r="H10" s="24" t="n"/>
      <c r="I10" s="24" t="inlineStr"/>
      <c r="J10" s="24" t="inlineStr">
        <is>
          <t>2023/01/12</t>
        </is>
      </c>
    </row>
    <row r="11">
      <c r="B11" s="24" t="inlineStr">
        <is>
          <t>clr_priceindex</t>
        </is>
      </c>
      <c r="C11" s="24" t="inlineStr">
        <is>
          <t>REALTYAREA</t>
        </is>
      </c>
      <c r="D11" s="24" t="inlineStr">
        <is>
          <t>decimal(18,2)</t>
        </is>
      </c>
      <c r="E11" s="24" t="inlineStr">
        <is>
          <t>YES</t>
        </is>
      </c>
      <c r="F11" s="24" t="inlineStr">
        <is>
          <t>房地产面积</t>
        </is>
      </c>
      <c r="G11" s="24" t="n"/>
      <c r="H11" s="24" t="n"/>
      <c r="I11" s="24" t="inlineStr"/>
      <c r="J11" s="24" t="inlineStr">
        <is>
          <t>2023/01/12</t>
        </is>
      </c>
    </row>
    <row r="12">
      <c r="B12" s="24" t="inlineStr">
        <is>
          <t>clr_priceindex</t>
        </is>
      </c>
      <c r="C12" s="24" t="inlineStr">
        <is>
          <t>STATUS</t>
        </is>
      </c>
      <c r="D12" s="24" t="inlineStr">
        <is>
          <t>varchar(6)</t>
        </is>
      </c>
      <c r="E12" s="24" t="inlineStr">
        <is>
          <t>YES</t>
        </is>
      </c>
      <c r="F12" s="24" t="inlineStr">
        <is>
          <t>状态</t>
        </is>
      </c>
      <c r="G12" s="24" t="n"/>
      <c r="H12" s="24" t="n"/>
      <c r="I12" s="24" t="inlineStr"/>
      <c r="J12" s="24" t="inlineStr">
        <is>
          <t>2023/01/12</t>
        </is>
      </c>
    </row>
    <row r="13">
      <c r="B13" s="24" t="inlineStr">
        <is>
          <t>clr_priceindex</t>
        </is>
      </c>
      <c r="C13" s="24" t="inlineStr">
        <is>
          <t>INDEXSOURCE</t>
        </is>
      </c>
      <c r="D13" s="24" t="inlineStr">
        <is>
          <t>varchar(80)</t>
        </is>
      </c>
      <c r="E13" s="24" t="inlineStr">
        <is>
          <t>YES</t>
        </is>
      </c>
      <c r="F13" s="24" t="inlineStr">
        <is>
          <t>数据来源</t>
        </is>
      </c>
      <c r="G13" s="24" t="n"/>
      <c r="H13" s="24" t="n"/>
      <c r="I13" s="24" t="inlineStr"/>
      <c r="J13" s="24" t="inlineStr">
        <is>
          <t>2023/01/12</t>
        </is>
      </c>
    </row>
    <row r="14">
      <c r="B14" s="24" t="inlineStr">
        <is>
          <t>clr_priceindex</t>
        </is>
      </c>
      <c r="C14" s="24" t="inlineStr">
        <is>
          <t>ORGID</t>
        </is>
      </c>
      <c r="D14" s="24" t="inlineStr">
        <is>
          <t>varchar(32)</t>
        </is>
      </c>
      <c r="E14" s="24" t="inlineStr">
        <is>
          <t>YES</t>
        </is>
      </c>
      <c r="F14" s="24" t="inlineStr">
        <is>
          <t>指数匹配机构</t>
        </is>
      </c>
      <c r="G14" s="24" t="n"/>
      <c r="H14" s="24" t="n"/>
      <c r="I14" s="24" t="inlineStr"/>
      <c r="J14" s="24" t="inlineStr">
        <is>
          <t>2023/01/12</t>
        </is>
      </c>
    </row>
    <row r="15">
      <c r="B15" s="24" t="inlineStr">
        <is>
          <t>clr_priceindex</t>
        </is>
      </c>
      <c r="C15" s="24" t="inlineStr">
        <is>
          <t>INDLEVEL1</t>
        </is>
      </c>
      <c r="D15" s="24" t="inlineStr">
        <is>
          <t>varchar(18)</t>
        </is>
      </c>
      <c r="E15" s="24" t="inlineStr">
        <is>
          <t>YES</t>
        </is>
      </c>
      <c r="F15" s="24" t="inlineStr">
        <is>
          <t>指数类型;一级分类</t>
        </is>
      </c>
      <c r="G15" s="24" t="n"/>
      <c r="H15" s="24" t="n"/>
      <c r="I15" s="24" t="inlineStr"/>
      <c r="J15" s="24" t="inlineStr">
        <is>
          <t>2023/01/12</t>
        </is>
      </c>
    </row>
    <row r="16">
      <c r="B16" s="24" t="inlineStr">
        <is>
          <t>clr_priceindex</t>
        </is>
      </c>
      <c r="C16" s="24" t="inlineStr">
        <is>
          <t>INDLEVEL2</t>
        </is>
      </c>
      <c r="D16" s="24" t="inlineStr">
        <is>
          <t>varchar(18)</t>
        </is>
      </c>
      <c r="E16" s="24" t="inlineStr">
        <is>
          <t>YES</t>
        </is>
      </c>
      <c r="F16" s="24" t="inlineStr">
        <is>
          <t>指数类型;二级分类</t>
        </is>
      </c>
      <c r="G16" s="24" t="n"/>
      <c r="H16" s="24" t="n"/>
      <c r="I16" s="24" t="inlineStr"/>
      <c r="J16" s="24" t="inlineStr">
        <is>
          <t>2023/01/12</t>
        </is>
      </c>
    </row>
    <row r="17">
      <c r="B17" s="24" t="inlineStr">
        <is>
          <t>clr_priceindex</t>
        </is>
      </c>
      <c r="C17" s="24" t="inlineStr">
        <is>
          <t>INPUTUSERID</t>
        </is>
      </c>
      <c r="D17" s="24" t="inlineStr">
        <is>
          <t>varchar(32)</t>
        </is>
      </c>
      <c r="E17" s="24" t="inlineStr">
        <is>
          <t>YES</t>
        </is>
      </c>
      <c r="F17" s="24" t="inlineStr">
        <is>
          <t>录入人</t>
        </is>
      </c>
      <c r="G17" s="24" t="n"/>
      <c r="H17" s="24" t="n"/>
      <c r="I17" s="24" t="inlineStr"/>
      <c r="J17" s="24" t="inlineStr">
        <is>
          <t>2023/01/12</t>
        </is>
      </c>
    </row>
    <row r="18">
      <c r="B18" s="24" t="inlineStr">
        <is>
          <t>clr_priceindex</t>
        </is>
      </c>
      <c r="C18" s="24" t="inlineStr">
        <is>
          <t>INPUTORGID</t>
        </is>
      </c>
      <c r="D18" s="24" t="inlineStr">
        <is>
          <t>varchar(32)</t>
        </is>
      </c>
      <c r="E18" s="24" t="inlineStr">
        <is>
          <t>YES</t>
        </is>
      </c>
      <c r="F18" s="24" t="inlineStr">
        <is>
          <t>录入机构</t>
        </is>
      </c>
      <c r="G18" s="24" t="n"/>
      <c r="H18" s="24" t="n"/>
      <c r="I18" s="24" t="inlineStr"/>
      <c r="J18" s="24" t="inlineStr">
        <is>
          <t>2023/01/12</t>
        </is>
      </c>
    </row>
    <row r="19">
      <c r="B19" s="24" t="inlineStr">
        <is>
          <t>clr_priceindex</t>
        </is>
      </c>
      <c r="C19" s="24" t="inlineStr">
        <is>
          <t>INPUTDATE</t>
        </is>
      </c>
      <c r="D19" s="24" t="inlineStr">
        <is>
          <t>datetime</t>
        </is>
      </c>
      <c r="E19" s="24" t="inlineStr">
        <is>
          <t>YES</t>
        </is>
      </c>
      <c r="F19" s="24" t="inlineStr">
        <is>
          <t>录入日期</t>
        </is>
      </c>
      <c r="G19" s="24" t="n"/>
      <c r="H19" s="24" t="n"/>
      <c r="I19" s="24" t="inlineStr"/>
      <c r="J19" s="24" t="inlineStr">
        <is>
          <t>2023/01/12</t>
        </is>
      </c>
    </row>
    <row r="20">
      <c r="B20" s="24" t="inlineStr">
        <is>
          <t>clr_priceindex</t>
        </is>
      </c>
      <c r="C20" s="24" t="inlineStr">
        <is>
          <t>REMARK</t>
        </is>
      </c>
      <c r="D20" s="24" t="inlineStr">
        <is>
          <t>varchar(500)</t>
        </is>
      </c>
      <c r="E20" s="24" t="inlineStr">
        <is>
          <t>YES</t>
        </is>
      </c>
      <c r="F20" s="24" t="inlineStr">
        <is>
          <t>备注</t>
        </is>
      </c>
      <c r="G20" s="24" t="n"/>
      <c r="H20" s="24" t="n"/>
      <c r="I20" s="24" t="inlineStr"/>
      <c r="J20" s="24" t="inlineStr">
        <is>
          <t>2023/01/12</t>
        </is>
      </c>
    </row>
  </sheetData>
  <pageMargins left="0.75" right="0.75" top="1" bottom="1" header="0.5" footer="0.5"/>
  <pageSetup orientation="portrait" paperSize="1" horizontalDpi="300" verticalDpi="300"/>
</worksheet>
</file>

<file path=xl/worksheets/sheet92.xml><?xml version="1.0" encoding="utf-8"?>
<worksheet xmlns="http://schemas.openxmlformats.org/spreadsheetml/2006/main">
  <sheetPr>
    <outlinePr summaryBelow="1" summaryRight="1"/>
    <pageSetUpPr/>
  </sheetPr>
  <dimension ref="A1:J27"/>
  <sheetViews>
    <sheetView zoomScaleSheetLayoutView="60" workbookViewId="0">
      <selection activeCell="J27" sqref="J27"/>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合格性认定信息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clr_qualification_info</t>
        </is>
      </c>
      <c r="C3" s="24" t="inlineStr">
        <is>
          <t>QUALIFICATIONNO</t>
        </is>
      </c>
      <c r="D3" s="24" t="inlineStr">
        <is>
          <t>varchar(32)</t>
        </is>
      </c>
      <c r="E3" s="24" t="inlineStr">
        <is>
          <t>NO</t>
        </is>
      </c>
      <c r="F3" s="24" t="inlineStr">
        <is>
          <t>认定信息编号</t>
        </is>
      </c>
      <c r="G3" s="24" t="n"/>
      <c r="H3" s="24" t="n"/>
      <c r="I3" s="24" t="inlineStr"/>
      <c r="J3" s="24" t="inlineStr">
        <is>
          <t>2023/01/12</t>
        </is>
      </c>
    </row>
    <row r="4">
      <c r="B4" s="24" t="inlineStr">
        <is>
          <t>clr_qualification_info</t>
        </is>
      </c>
      <c r="C4" s="24" t="inlineStr">
        <is>
          <t>CLRID</t>
        </is>
      </c>
      <c r="D4" s="24" t="inlineStr">
        <is>
          <t>varchar(32)</t>
        </is>
      </c>
      <c r="E4" s="24" t="inlineStr">
        <is>
          <t>YES</t>
        </is>
      </c>
      <c r="F4" s="24" t="inlineStr">
        <is>
          <t>押品编号</t>
        </is>
      </c>
      <c r="G4" s="24" t="n"/>
      <c r="H4" s="24" t="n"/>
      <c r="I4" s="24" t="inlineStr"/>
      <c r="J4" s="24" t="inlineStr">
        <is>
          <t>2023/01/12</t>
        </is>
      </c>
    </row>
    <row r="5">
      <c r="B5" s="24" t="inlineStr">
        <is>
          <t>clr_qualification_info</t>
        </is>
      </c>
      <c r="C5" s="24" t="inlineStr">
        <is>
          <t>CURRENTQUALIFYFLAG</t>
        </is>
      </c>
      <c r="D5" s="24" t="inlineStr">
        <is>
          <t>char(1)</t>
        </is>
      </c>
      <c r="E5" s="24" t="inlineStr">
        <is>
          <t>YES</t>
        </is>
      </c>
      <c r="F5" s="24" t="inlineStr">
        <is>
          <t>现行法合格标志</t>
        </is>
      </c>
      <c r="G5" s="52">
        <f>HYPERLINK("#码值映射清单!B7271","LegalFlag")</f>
        <v/>
      </c>
      <c r="H5" s="24" t="n"/>
      <c r="I5" s="24" t="inlineStr"/>
      <c r="J5" s="24" t="inlineStr">
        <is>
          <t>2023/01/12</t>
        </is>
      </c>
    </row>
    <row r="6">
      <c r="B6" s="24" t="inlineStr">
        <is>
          <t>clr_qualification_info</t>
        </is>
      </c>
      <c r="C6" s="24" t="inlineStr">
        <is>
          <t>STANDARDQUALIFYFLAG</t>
        </is>
      </c>
      <c r="D6" s="24" t="inlineStr">
        <is>
          <t>char(1)</t>
        </is>
      </c>
      <c r="E6" s="24" t="inlineStr">
        <is>
          <t>YES</t>
        </is>
      </c>
      <c r="F6" s="24" t="inlineStr">
        <is>
          <t>标准法合格标志</t>
        </is>
      </c>
      <c r="G6" s="52">
        <f>HYPERLINK("#码值映射清单!B5150","YesNo")</f>
        <v/>
      </c>
      <c r="H6" s="24" t="n"/>
      <c r="I6" s="24" t="inlineStr"/>
      <c r="J6" s="24" t="inlineStr">
        <is>
          <t>2023/01/12</t>
        </is>
      </c>
    </row>
    <row r="7">
      <c r="B7" s="24" t="inlineStr">
        <is>
          <t>clr_qualification_info</t>
        </is>
      </c>
      <c r="C7" s="24" t="inlineStr">
        <is>
          <t>INNERQUALIFYFLAG</t>
        </is>
      </c>
      <c r="D7" s="24" t="inlineStr">
        <is>
          <t>char(1)</t>
        </is>
      </c>
      <c r="E7" s="24" t="inlineStr">
        <is>
          <t>YES</t>
        </is>
      </c>
      <c r="F7" s="24" t="inlineStr">
        <is>
          <t>内评法合格标志</t>
        </is>
      </c>
      <c r="G7" s="52">
        <f>HYPERLINK("#码值映射清单!B7271","LegalFlag")</f>
        <v/>
      </c>
      <c r="H7" s="24" t="n"/>
      <c r="I7" s="24" t="inlineStr"/>
      <c r="J7" s="24" t="inlineStr">
        <is>
          <t>2023/01/12</t>
        </is>
      </c>
    </row>
    <row r="8">
      <c r="B8" s="24" t="inlineStr">
        <is>
          <t>clr_qualification_info</t>
        </is>
      </c>
      <c r="C8" s="24" t="inlineStr">
        <is>
          <t>SUPERVISIONQUALIFYFLAG</t>
        </is>
      </c>
      <c r="D8" s="24" t="inlineStr">
        <is>
          <t>char(1)</t>
        </is>
      </c>
      <c r="E8" s="24" t="inlineStr">
        <is>
          <t>YES</t>
        </is>
      </c>
      <c r="F8" s="24" t="inlineStr">
        <is>
          <t>是否符合监管要求的合格性认定标准</t>
        </is>
      </c>
      <c r="G8" s="52">
        <f>HYPERLINK("#码值映射清单!B5150","YesNo")</f>
        <v/>
      </c>
      <c r="H8" s="24" t="n"/>
      <c r="I8" s="24" t="inlineStr"/>
      <c r="J8" s="24" t="inlineStr">
        <is>
          <t>2023/01/12</t>
        </is>
      </c>
    </row>
    <row r="9">
      <c r="B9" s="24" t="inlineStr">
        <is>
          <t>clr_qualification_info</t>
        </is>
      </c>
      <c r="C9" s="24" t="inlineStr">
        <is>
          <t>QUALIFYDATE</t>
        </is>
      </c>
      <c r="D9" s="24" t="inlineStr">
        <is>
          <t>datetime</t>
        </is>
      </c>
      <c r="E9" s="24" t="inlineStr">
        <is>
          <t>YES</t>
        </is>
      </c>
      <c r="F9" s="24" t="inlineStr">
        <is>
          <t>合格认定日期</t>
        </is>
      </c>
      <c r="G9" s="24" t="n"/>
      <c r="H9" s="24" t="n"/>
      <c r="I9" s="24" t="inlineStr"/>
      <c r="J9" s="24" t="inlineStr">
        <is>
          <t>2023/01/12</t>
        </is>
      </c>
    </row>
    <row r="10">
      <c r="B10" s="24" t="inlineStr">
        <is>
          <t>clr_qualification_info</t>
        </is>
      </c>
      <c r="C10" s="24" t="inlineStr">
        <is>
          <t>FACTICITY</t>
        </is>
      </c>
      <c r="D10" s="24" t="inlineStr">
        <is>
          <t>char(1)</t>
        </is>
      </c>
      <c r="E10" s="24" t="inlineStr">
        <is>
          <t>YES</t>
        </is>
      </c>
      <c r="F10" s="24" t="inlineStr">
        <is>
          <t>押品真实性</t>
        </is>
      </c>
      <c r="G10" s="52">
        <f>HYPERLINK("#码值映射清单!B7184","Facticity")</f>
        <v/>
      </c>
      <c r="H10" s="24" t="n"/>
      <c r="I10" s="24" t="inlineStr"/>
      <c r="J10" s="24" t="inlineStr">
        <is>
          <t>2023/01/12</t>
        </is>
      </c>
    </row>
    <row r="11">
      <c r="B11" s="24" t="inlineStr">
        <is>
          <t>clr_qualification_info</t>
        </is>
      </c>
      <c r="C11" s="24" t="inlineStr">
        <is>
          <t>PORPERTYINSURANCE</t>
        </is>
      </c>
      <c r="D11" s="24" t="inlineStr">
        <is>
          <t>char(1)</t>
        </is>
      </c>
      <c r="E11" s="24" t="inlineStr">
        <is>
          <t>YES</t>
        </is>
      </c>
      <c r="F11" s="24" t="inlineStr">
        <is>
          <t>财产损害险</t>
        </is>
      </c>
      <c r="G11" s="52">
        <f>HYPERLINK("#码值映射清单!B5150","YesNo")</f>
        <v/>
      </c>
      <c r="H11" s="24" t="n"/>
      <c r="I11" s="24" t="inlineStr"/>
      <c r="J11" s="24" t="inlineStr">
        <is>
          <t>2023/01/12</t>
        </is>
      </c>
    </row>
    <row r="12">
      <c r="B12" s="24" t="inlineStr">
        <is>
          <t>clr_qualification_info</t>
        </is>
      </c>
      <c r="C12" s="24" t="inlineStr">
        <is>
          <t>VIRTUALCORRELATION</t>
        </is>
      </c>
      <c r="D12" s="24" t="inlineStr">
        <is>
          <t>char(1)</t>
        </is>
      </c>
      <c r="E12" s="24" t="inlineStr">
        <is>
          <t>YES</t>
        </is>
      </c>
      <c r="F12" s="24" t="inlineStr">
        <is>
          <t>实质相关性</t>
        </is>
      </c>
      <c r="G12" s="52">
        <f>HYPERLINK("#码值映射清单!B9667","VirtualCorrela")</f>
        <v/>
      </c>
      <c r="H12" s="24" t="n"/>
      <c r="I12" s="24" t="inlineStr"/>
      <c r="J12" s="24" t="inlineStr">
        <is>
          <t>2023/01/12</t>
        </is>
      </c>
    </row>
    <row r="13">
      <c r="B13" s="24" t="inlineStr">
        <is>
          <t>clr_qualification_info</t>
        </is>
      </c>
      <c r="C13" s="24" t="inlineStr">
        <is>
          <t>DEALCONVENIENCE</t>
        </is>
      </c>
      <c r="D13" s="24" t="inlineStr">
        <is>
          <t>char(1)</t>
        </is>
      </c>
      <c r="E13" s="24" t="inlineStr">
        <is>
          <t>YES</t>
        </is>
      </c>
      <c r="F13" s="24" t="inlineStr">
        <is>
          <t>处置便利性</t>
        </is>
      </c>
      <c r="G13" s="52">
        <f>HYPERLINK("#码值映射清单!B5150","YesNo")</f>
        <v/>
      </c>
      <c r="H13" s="24" t="n"/>
      <c r="I13" s="24" t="inlineStr"/>
      <c r="J13" s="24" t="inlineStr">
        <is>
          <t>2023/01/12</t>
        </is>
      </c>
    </row>
    <row r="14">
      <c r="B14" s="24" t="inlineStr">
        <is>
          <t>clr_qualification_info</t>
        </is>
      </c>
      <c r="C14" s="24" t="inlineStr">
        <is>
          <t>LIQUIDITY</t>
        </is>
      </c>
      <c r="D14" s="24" t="inlineStr">
        <is>
          <t>char(1)</t>
        </is>
      </c>
      <c r="E14" s="24" t="inlineStr">
        <is>
          <t>YES</t>
        </is>
      </c>
      <c r="F14" s="24" t="inlineStr">
        <is>
          <t>变现能力</t>
        </is>
      </c>
      <c r="G14" s="52">
        <f>HYPERLINK("#码值映射清单!B3972","Liquidity")</f>
        <v/>
      </c>
      <c r="H14" s="24" t="n"/>
      <c r="I14" s="24" t="inlineStr"/>
      <c r="J14" s="24" t="inlineStr">
        <is>
          <t>2023/01/12</t>
        </is>
      </c>
    </row>
    <row r="15">
      <c r="B15" s="24" t="inlineStr">
        <is>
          <t>clr_qualification_info</t>
        </is>
      </c>
      <c r="C15" s="24" t="inlineStr">
        <is>
          <t>PRIORITYCLAIM</t>
        </is>
      </c>
      <c r="D15" s="24" t="inlineStr">
        <is>
          <t>char(1)</t>
        </is>
      </c>
      <c r="E15" s="24" t="inlineStr">
        <is>
          <t>YES</t>
        </is>
      </c>
      <c r="F15" s="24" t="inlineStr">
        <is>
          <t>优先受偿权</t>
        </is>
      </c>
      <c r="G15" s="52">
        <f>HYPERLINK("#码值映射清单!B6176","PriorityClaim")</f>
        <v/>
      </c>
      <c r="H15" s="24" t="n"/>
      <c r="I15" s="24" t="inlineStr"/>
      <c r="J15" s="24" t="inlineStr">
        <is>
          <t>2023/01/12</t>
        </is>
      </c>
    </row>
    <row r="16">
      <c r="B16" s="24" t="inlineStr">
        <is>
          <t>clr_qualification_info</t>
        </is>
      </c>
      <c r="C16" s="24" t="inlineStr">
        <is>
          <t>ASSESSFREQUENCY</t>
        </is>
      </c>
      <c r="D16" s="24" t="inlineStr">
        <is>
          <t>char(1)</t>
        </is>
      </c>
      <c r="E16" s="24" t="inlineStr">
        <is>
          <t>YES</t>
        </is>
      </c>
      <c r="F16" s="24" t="inlineStr">
        <is>
          <t>抵押物评估频率</t>
        </is>
      </c>
      <c r="G16" s="52">
        <f>HYPERLINK("#码值映射清单!B2960","AssessFrequency")</f>
        <v/>
      </c>
      <c r="H16" s="24" t="n"/>
      <c r="I16" s="24" t="inlineStr"/>
      <c r="J16" s="24" t="inlineStr">
        <is>
          <t>2023/01/12</t>
        </is>
      </c>
    </row>
    <row r="17">
      <c r="B17" s="24" t="inlineStr">
        <is>
          <t>clr_qualification_info</t>
        </is>
      </c>
      <c r="C17" s="24" t="inlineStr">
        <is>
          <t>LEGALCERTAINTY</t>
        </is>
      </c>
      <c r="D17" s="24" t="inlineStr">
        <is>
          <t>char(1)</t>
        </is>
      </c>
      <c r="E17" s="24" t="inlineStr">
        <is>
          <t>YES</t>
        </is>
      </c>
      <c r="F17" s="24" t="inlineStr">
        <is>
          <t>法律确定性</t>
        </is>
      </c>
      <c r="G17" s="52">
        <f>HYPERLINK("#码值映射清单!B5150","YesNo")</f>
        <v/>
      </c>
      <c r="H17" s="24" t="n"/>
      <c r="I17" s="24" t="inlineStr"/>
      <c r="J17" s="24" t="inlineStr">
        <is>
          <t>2023/01/12</t>
        </is>
      </c>
    </row>
    <row r="18">
      <c r="B18" s="24" t="inlineStr">
        <is>
          <t>clr_qualification_info</t>
        </is>
      </c>
      <c r="C18" s="24" t="inlineStr">
        <is>
          <t>PROJECTCOMPLETEDEGREE</t>
        </is>
      </c>
      <c r="D18" s="24" t="inlineStr">
        <is>
          <t>char(1)</t>
        </is>
      </c>
      <c r="E18" s="24" t="inlineStr">
        <is>
          <t>YES</t>
        </is>
      </c>
      <c r="F18" s="24" t="inlineStr">
        <is>
          <t>工程完工程度</t>
        </is>
      </c>
      <c r="G18" s="24" t="n"/>
      <c r="H18" s="24" t="n"/>
      <c r="I18" s="24" t="inlineStr"/>
      <c r="J18" s="24" t="inlineStr">
        <is>
          <t>2023/01/12</t>
        </is>
      </c>
    </row>
    <row r="19">
      <c r="B19" s="24" t="inlineStr">
        <is>
          <t>clr_qualification_info</t>
        </is>
      </c>
      <c r="C19" s="24" t="inlineStr">
        <is>
          <t>PROJECTPROPERTY</t>
        </is>
      </c>
      <c r="D19" s="24" t="inlineStr">
        <is>
          <t>char(1)</t>
        </is>
      </c>
      <c r="E19" s="24" t="inlineStr">
        <is>
          <t>YES</t>
        </is>
      </c>
      <c r="F19" s="24" t="inlineStr">
        <is>
          <t>在建工程性质</t>
        </is>
      </c>
      <c r="G19" s="24" t="n"/>
      <c r="H19" s="24" t="n"/>
      <c r="I19" s="24" t="inlineStr"/>
      <c r="J19" s="24" t="inlineStr">
        <is>
          <t>2023/01/12</t>
        </is>
      </c>
    </row>
    <row r="20">
      <c r="B20" s="24" t="inlineStr">
        <is>
          <t>clr_qualification_info</t>
        </is>
      </c>
      <c r="C20" s="24" t="inlineStr">
        <is>
          <t>INPUTUSERID</t>
        </is>
      </c>
      <c r="D20" s="24" t="inlineStr">
        <is>
          <t>varchar(32)</t>
        </is>
      </c>
      <c r="E20" s="24" t="inlineStr">
        <is>
          <t>YES</t>
        </is>
      </c>
      <c r="F20" s="24" t="inlineStr">
        <is>
          <t>登记人</t>
        </is>
      </c>
      <c r="G20" s="24" t="n"/>
      <c r="H20" s="24" t="n"/>
      <c r="I20" s="24" t="inlineStr"/>
      <c r="J20" s="24" t="inlineStr">
        <is>
          <t>2023/01/12</t>
        </is>
      </c>
    </row>
    <row r="21">
      <c r="B21" s="24" t="inlineStr">
        <is>
          <t>clr_qualification_info</t>
        </is>
      </c>
      <c r="C21" s="24" t="inlineStr">
        <is>
          <t>INPUTORGID</t>
        </is>
      </c>
      <c r="D21" s="24" t="inlineStr">
        <is>
          <t>varchar(32)</t>
        </is>
      </c>
      <c r="E21" s="24" t="inlineStr">
        <is>
          <t>YES</t>
        </is>
      </c>
      <c r="F21" s="24" t="inlineStr">
        <is>
          <t>登记机构</t>
        </is>
      </c>
      <c r="G21" s="24" t="n"/>
      <c r="H21" s="24" t="n"/>
      <c r="I21" s="24" t="inlineStr"/>
      <c r="J21" s="24" t="inlineStr">
        <is>
          <t>2023/01/12</t>
        </is>
      </c>
    </row>
    <row r="22">
      <c r="B22" s="24" t="inlineStr">
        <is>
          <t>clr_qualification_info</t>
        </is>
      </c>
      <c r="C22" s="24" t="inlineStr">
        <is>
          <t>INPUTDATE</t>
        </is>
      </c>
      <c r="D22" s="24" t="inlineStr">
        <is>
          <t>datetime</t>
        </is>
      </c>
      <c r="E22" s="24" t="inlineStr">
        <is>
          <t>YES</t>
        </is>
      </c>
      <c r="F22" s="24" t="inlineStr">
        <is>
          <t>登记日期</t>
        </is>
      </c>
      <c r="G22" s="24" t="n"/>
      <c r="H22" s="24" t="n"/>
      <c r="I22" s="24" t="inlineStr"/>
      <c r="J22" s="24" t="inlineStr">
        <is>
          <t>2023/01/12</t>
        </is>
      </c>
    </row>
    <row r="23">
      <c r="B23" s="24" t="inlineStr">
        <is>
          <t>clr_qualification_info</t>
        </is>
      </c>
      <c r="C23" s="24" t="inlineStr">
        <is>
          <t>UPDATEUSERID</t>
        </is>
      </c>
      <c r="D23" s="24" t="inlineStr">
        <is>
          <t>varchar(32)</t>
        </is>
      </c>
      <c r="E23" s="24" t="inlineStr">
        <is>
          <t>YES</t>
        </is>
      </c>
      <c r="F23" s="24" t="inlineStr">
        <is>
          <t>更新人</t>
        </is>
      </c>
      <c r="G23" s="24" t="n"/>
      <c r="H23" s="24" t="n"/>
      <c r="I23" s="24" t="inlineStr"/>
      <c r="J23" s="24" t="inlineStr">
        <is>
          <t>2023/01/12</t>
        </is>
      </c>
    </row>
    <row r="24">
      <c r="B24" s="24" t="inlineStr">
        <is>
          <t>clr_qualification_info</t>
        </is>
      </c>
      <c r="C24" s="24" t="inlineStr">
        <is>
          <t>UPDATEORGID</t>
        </is>
      </c>
      <c r="D24" s="24" t="inlineStr">
        <is>
          <t>varchar(32)</t>
        </is>
      </c>
      <c r="E24" s="24" t="inlineStr">
        <is>
          <t>YES</t>
        </is>
      </c>
      <c r="F24" s="24" t="inlineStr">
        <is>
          <t>更新机构</t>
        </is>
      </c>
      <c r="G24" s="24" t="n"/>
      <c r="H24" s="24" t="n"/>
      <c r="I24" s="24" t="inlineStr"/>
      <c r="J24" s="24" t="inlineStr">
        <is>
          <t>2023/01/12</t>
        </is>
      </c>
    </row>
    <row r="25">
      <c r="B25" s="24" t="inlineStr">
        <is>
          <t>clr_qualification_info</t>
        </is>
      </c>
      <c r="C25" s="24" t="inlineStr">
        <is>
          <t>UPDATEDATE</t>
        </is>
      </c>
      <c r="D25" s="24" t="inlineStr">
        <is>
          <t>datetime</t>
        </is>
      </c>
      <c r="E25" s="24" t="inlineStr">
        <is>
          <t>YES</t>
        </is>
      </c>
      <c r="F25" s="24" t="inlineStr">
        <is>
          <t>更新日期</t>
        </is>
      </c>
      <c r="G25" s="24" t="n"/>
      <c r="H25" s="24" t="n"/>
      <c r="I25" s="24" t="inlineStr"/>
      <c r="J25" s="24" t="inlineStr">
        <is>
          <t>2023/01/12</t>
        </is>
      </c>
    </row>
    <row r="26">
      <c r="B26" s="24" t="inlineStr">
        <is>
          <t>clr_qualification_info</t>
        </is>
      </c>
      <c r="C26" s="24" t="inlineStr">
        <is>
          <t>CORPORGID</t>
        </is>
      </c>
      <c r="D26" s="24" t="inlineStr">
        <is>
          <t>varchar(32)</t>
        </is>
      </c>
      <c r="E26" s="24" t="inlineStr">
        <is>
          <t>YES</t>
        </is>
      </c>
      <c r="F26" s="24" t="inlineStr">
        <is>
          <t>法人机构编号</t>
        </is>
      </c>
      <c r="G26" s="24" t="n"/>
      <c r="H26" s="24" t="n"/>
      <c r="I26" s="24" t="inlineStr"/>
      <c r="J26" s="24" t="inlineStr">
        <is>
          <t>2023/01/12</t>
        </is>
      </c>
    </row>
    <row r="27">
      <c r="B27" s="37" t="inlineStr">
        <is>
          <t>clr_qualification_info</t>
        </is>
      </c>
      <c r="C27" s="69" t="inlineStr">
        <is>
          <t>REGISTERRECORDID</t>
        </is>
      </c>
      <c r="D27" s="56" t="inlineStr">
        <is>
          <t>varchar(32)</t>
        </is>
      </c>
      <c r="E27" s="65" t="inlineStr">
        <is>
          <t>YES</t>
        </is>
      </c>
      <c r="F27" s="59" t="inlineStr">
        <is>
          <t>抵质押登记编号</t>
        </is>
      </c>
      <c r="G27" s="60" t="n"/>
      <c r="H27" s="60" t="n"/>
      <c r="I27" s="60" t="n"/>
      <c r="J27" s="183" t="n">
        <v>45740</v>
      </c>
    </row>
  </sheetData>
  <pageMargins left="0.75" right="0.75" top="1" bottom="1" header="0.5" footer="0.5"/>
  <pageSetup orientation="portrait" paperSize="1" horizontalDpi="300" verticalDpi="300"/>
</worksheet>
</file>

<file path=xl/worksheets/sheet93.xml><?xml version="1.0" encoding="utf-8"?>
<worksheet xmlns="http://schemas.openxmlformats.org/spreadsheetml/2006/main">
  <sheetPr>
    <outlinePr summaryBelow="1" summaryRight="1"/>
    <pageSetUpPr/>
  </sheetPr>
  <dimension ref="A1:J22"/>
  <sheetViews>
    <sheetView zoomScaleSheetLayoutView="60" workbookViewId="0">
      <selection activeCell="A1" sqref="A1"/>
    </sheetView>
  </sheetViews>
  <sheetFormatPr baseColWidth="8" defaultColWidth="9.142857142857141" defaultRowHeight="15.2"/>
  <cols>
    <col width="19.5357142857143" customWidth="1" style="170" min="2" max="2"/>
    <col width="23.4285714285714" customWidth="1" style="170" min="3" max="3"/>
    <col width="15.625" customWidth="1" style="170" min="4"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抵质押登记记录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clr_register_record</t>
        </is>
      </c>
      <c r="C3" s="24" t="inlineStr">
        <is>
          <t>REGISTERRECORDID</t>
        </is>
      </c>
      <c r="D3" s="24" t="inlineStr">
        <is>
          <t>varchar(32)</t>
        </is>
      </c>
      <c r="E3" s="24" t="inlineStr">
        <is>
          <t>NO</t>
        </is>
      </c>
      <c r="F3" s="24" t="inlineStr">
        <is>
          <t>抵质押登记记录编号</t>
        </is>
      </c>
      <c r="G3" s="24" t="n"/>
      <c r="H3" s="24" t="n"/>
      <c r="I3" s="24" t="inlineStr"/>
      <c r="J3" s="24" t="inlineStr">
        <is>
          <t>2023/01/12</t>
        </is>
      </c>
    </row>
    <row r="4">
      <c r="B4" s="24" t="inlineStr">
        <is>
          <t>clr_register_record</t>
        </is>
      </c>
      <c r="C4" s="24" t="inlineStr">
        <is>
          <t>REGISTERPROCESS</t>
        </is>
      </c>
      <c r="D4" s="24" t="inlineStr">
        <is>
          <t>varchar(6)</t>
        </is>
      </c>
      <c r="E4" s="24" t="inlineStr">
        <is>
          <t>YES</t>
        </is>
      </c>
      <c r="F4" s="24" t="inlineStr">
        <is>
          <t>登记进度</t>
        </is>
      </c>
      <c r="G4" s="62">
        <f>HYPERLINK("#码值映射清单!B4026","RegisterProcess")</f>
        <v/>
      </c>
      <c r="H4" s="24" t="n"/>
      <c r="I4" s="24" t="inlineStr"/>
      <c r="J4" s="24" t="inlineStr">
        <is>
          <t>2023/01/12</t>
        </is>
      </c>
    </row>
    <row r="5">
      <c r="B5" s="24" t="inlineStr">
        <is>
          <t>clr_register_record</t>
        </is>
      </c>
      <c r="C5" s="24" t="inlineStr">
        <is>
          <t>REGISTERTYPE</t>
        </is>
      </c>
      <c r="D5" s="24" t="inlineStr">
        <is>
          <t>varchar(6)</t>
        </is>
      </c>
      <c r="E5" s="24" t="inlineStr">
        <is>
          <t>YES</t>
        </is>
      </c>
      <c r="F5" s="24" t="inlineStr">
        <is>
          <t>抵质押登记类型</t>
        </is>
      </c>
      <c r="G5" s="24" t="n"/>
      <c r="H5" s="24" t="n"/>
      <c r="I5" s="24" t="inlineStr"/>
      <c r="J5" s="24" t="inlineStr">
        <is>
          <t>2023/01/12</t>
        </is>
      </c>
    </row>
    <row r="6">
      <c r="B6" s="24" t="inlineStr">
        <is>
          <t>clr_register_record</t>
        </is>
      </c>
      <c r="C6" s="24" t="inlineStr">
        <is>
          <t>CLRID</t>
        </is>
      </c>
      <c r="D6" s="24" t="inlineStr">
        <is>
          <t>varchar(32)</t>
        </is>
      </c>
      <c r="E6" s="24" t="inlineStr">
        <is>
          <t>YES</t>
        </is>
      </c>
      <c r="F6" s="24" t="inlineStr">
        <is>
          <t>押品编号</t>
        </is>
      </c>
      <c r="G6" s="24" t="n"/>
      <c r="H6" s="24" t="n"/>
      <c r="I6" s="24" t="inlineStr"/>
      <c r="J6" s="24" t="inlineStr">
        <is>
          <t>2023/01/12</t>
        </is>
      </c>
    </row>
    <row r="7">
      <c r="B7" s="24" t="inlineStr">
        <is>
          <t>clr_register_record</t>
        </is>
      </c>
      <c r="C7" s="24" t="inlineStr">
        <is>
          <t>GUARANTYNO</t>
        </is>
      </c>
      <c r="D7" s="24" t="inlineStr">
        <is>
          <t>varchar(32)</t>
        </is>
      </c>
      <c r="E7" s="24" t="inlineStr">
        <is>
          <t>YES</t>
        </is>
      </c>
      <c r="F7" s="24" t="inlineStr">
        <is>
          <t>担保合同编号</t>
        </is>
      </c>
      <c r="G7" s="24" t="n"/>
      <c r="H7" s="24" t="n"/>
      <c r="I7" s="24" t="inlineStr"/>
      <c r="J7" s="24" t="inlineStr">
        <is>
          <t>2023/01/12</t>
        </is>
      </c>
    </row>
    <row r="8">
      <c r="B8" s="24" t="inlineStr">
        <is>
          <t>clr_register_record</t>
        </is>
      </c>
      <c r="C8" s="24" t="inlineStr">
        <is>
          <t>GUARANTYSTYLE</t>
        </is>
      </c>
      <c r="D8" s="24" t="inlineStr">
        <is>
          <t>varchar(6)</t>
        </is>
      </c>
      <c r="E8" s="24" t="inlineStr">
        <is>
          <t>YES</t>
        </is>
      </c>
      <c r="F8" s="24" t="inlineStr">
        <is>
          <t>押品类别</t>
        </is>
      </c>
      <c r="G8" s="24" t="n"/>
      <c r="H8" s="24" t="n"/>
      <c r="I8" s="24" t="inlineStr"/>
      <c r="J8" s="24" t="inlineStr">
        <is>
          <t>2023/01/12</t>
        </is>
      </c>
    </row>
    <row r="9">
      <c r="B9" s="24" t="inlineStr">
        <is>
          <t>clr_register_record</t>
        </is>
      </c>
      <c r="C9" s="24" t="inlineStr">
        <is>
          <t>CLRINPUTORGID</t>
        </is>
      </c>
      <c r="D9" s="24" t="inlineStr">
        <is>
          <t>varchar(32)</t>
        </is>
      </c>
      <c r="E9" s="24" t="inlineStr">
        <is>
          <t>YES</t>
        </is>
      </c>
      <c r="F9" s="24" t="inlineStr">
        <is>
          <t>押品登记机构</t>
        </is>
      </c>
      <c r="G9" s="24" t="n"/>
      <c r="H9" s="24" t="n"/>
      <c r="I9" s="24" t="inlineStr"/>
      <c r="J9" s="24" t="inlineStr">
        <is>
          <t>2023/01/12</t>
        </is>
      </c>
    </row>
    <row r="10">
      <c r="B10" s="24" t="inlineStr">
        <is>
          <t>clr_register_record</t>
        </is>
      </c>
      <c r="C10" s="24" t="inlineStr">
        <is>
          <t>AGENTORG</t>
        </is>
      </c>
      <c r="D10" s="24" t="inlineStr">
        <is>
          <t>varchar(80)</t>
        </is>
      </c>
      <c r="E10" s="24" t="inlineStr">
        <is>
          <t>YES</t>
        </is>
      </c>
      <c r="F10" s="24" t="inlineStr">
        <is>
          <t>委托机构</t>
        </is>
      </c>
      <c r="G10" s="24" t="n"/>
      <c r="H10" s="24" t="n"/>
      <c r="I10" s="24" t="inlineStr"/>
      <c r="J10" s="24" t="inlineStr">
        <is>
          <t>2023/01/12</t>
        </is>
      </c>
    </row>
    <row r="11">
      <c r="B11" s="24" t="inlineStr">
        <is>
          <t>clr_register_record</t>
        </is>
      </c>
      <c r="C11" s="24" t="inlineStr">
        <is>
          <t>TRANSFERMATERIALLIST</t>
        </is>
      </c>
      <c r="D11" s="24" t="inlineStr">
        <is>
          <t>varchar(500)</t>
        </is>
      </c>
      <c r="E11" s="24" t="inlineStr">
        <is>
          <t>YES</t>
        </is>
      </c>
      <c r="F11" s="24" t="inlineStr">
        <is>
          <t>移交材料清单</t>
        </is>
      </c>
      <c r="G11" s="24" t="n"/>
      <c r="H11" s="24" t="n"/>
      <c r="I11" s="24" t="inlineStr"/>
      <c r="J11" s="24" t="inlineStr">
        <is>
          <t>2023/01/12</t>
        </is>
      </c>
    </row>
    <row r="12">
      <c r="B12" s="24" t="inlineStr">
        <is>
          <t>clr_register_record</t>
        </is>
      </c>
      <c r="C12" s="24" t="inlineStr">
        <is>
          <t>REFERMATERIAL</t>
        </is>
      </c>
      <c r="D12" s="24" t="inlineStr">
        <is>
          <t>varchar(500)</t>
        </is>
      </c>
      <c r="E12" s="24" t="inlineStr">
        <is>
          <t>YES</t>
        </is>
      </c>
      <c r="F12" s="24" t="inlineStr">
        <is>
          <t>相关合同/审批材料</t>
        </is>
      </c>
      <c r="G12" s="24" t="n"/>
      <c r="H12" s="24" t="n"/>
      <c r="I12" s="24" t="inlineStr"/>
      <c r="J12" s="24" t="inlineStr">
        <is>
          <t>2023/01/12</t>
        </is>
      </c>
    </row>
    <row r="13">
      <c r="B13" s="24" t="inlineStr">
        <is>
          <t>clr_register_record</t>
        </is>
      </c>
      <c r="C13" s="24" t="inlineStr">
        <is>
          <t>INPUTUSERID</t>
        </is>
      </c>
      <c r="D13" s="24" t="inlineStr">
        <is>
          <t>varchar(32)</t>
        </is>
      </c>
      <c r="E13" s="24" t="inlineStr">
        <is>
          <t>YES</t>
        </is>
      </c>
      <c r="F13" s="24" t="inlineStr">
        <is>
          <t>登记人</t>
        </is>
      </c>
      <c r="G13" s="24" t="n"/>
      <c r="H13" s="24" t="n"/>
      <c r="I13" s="24" t="inlineStr"/>
      <c r="J13" s="24" t="inlineStr">
        <is>
          <t>2023/01/12</t>
        </is>
      </c>
    </row>
    <row r="14">
      <c r="B14" s="24" t="inlineStr">
        <is>
          <t>clr_register_record</t>
        </is>
      </c>
      <c r="C14" s="24" t="inlineStr">
        <is>
          <t>INPUTORGID</t>
        </is>
      </c>
      <c r="D14" s="24" t="inlineStr">
        <is>
          <t>varchar(32)</t>
        </is>
      </c>
      <c r="E14" s="24" t="inlineStr">
        <is>
          <t>YES</t>
        </is>
      </c>
      <c r="F14" s="24" t="inlineStr">
        <is>
          <t>登记机构</t>
        </is>
      </c>
      <c r="G14" s="24" t="n"/>
      <c r="H14" s="24" t="n"/>
      <c r="I14" s="24" t="inlineStr"/>
      <c r="J14" s="24" t="inlineStr">
        <is>
          <t>2023/01/12</t>
        </is>
      </c>
    </row>
    <row r="15">
      <c r="B15" s="24" t="inlineStr">
        <is>
          <t>clr_register_record</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clr_register_record</t>
        </is>
      </c>
      <c r="C16" s="24" t="inlineStr">
        <is>
          <t>UPDATEUSERID</t>
        </is>
      </c>
      <c r="D16" s="24" t="inlineStr">
        <is>
          <t>varchar(32)</t>
        </is>
      </c>
      <c r="E16" s="24" t="inlineStr">
        <is>
          <t>YES</t>
        </is>
      </c>
      <c r="F16" s="24" t="inlineStr">
        <is>
          <t>更新人</t>
        </is>
      </c>
      <c r="G16" s="24" t="n"/>
      <c r="H16" s="24" t="n"/>
      <c r="I16" s="24" t="inlineStr"/>
      <c r="J16" s="24" t="inlineStr">
        <is>
          <t>2023/01/12</t>
        </is>
      </c>
    </row>
    <row r="17">
      <c r="B17" s="24" t="inlineStr">
        <is>
          <t>clr_register_record</t>
        </is>
      </c>
      <c r="C17" s="24" t="inlineStr">
        <is>
          <t>UPDATEORGID</t>
        </is>
      </c>
      <c r="D17" s="24" t="inlineStr">
        <is>
          <t>varchar(32)</t>
        </is>
      </c>
      <c r="E17" s="24" t="inlineStr">
        <is>
          <t>YES</t>
        </is>
      </c>
      <c r="F17" s="24" t="inlineStr">
        <is>
          <t>更新机构</t>
        </is>
      </c>
      <c r="G17" s="24" t="n"/>
      <c r="H17" s="24" t="n"/>
      <c r="I17" s="24" t="inlineStr"/>
      <c r="J17" s="24" t="inlineStr">
        <is>
          <t>2023/01/12</t>
        </is>
      </c>
    </row>
    <row r="18">
      <c r="B18" s="24" t="inlineStr">
        <is>
          <t>clr_register_record</t>
        </is>
      </c>
      <c r="C18" s="24" t="inlineStr">
        <is>
          <t>UPDATEDATE</t>
        </is>
      </c>
      <c r="D18" s="24" t="inlineStr">
        <is>
          <t>datetime</t>
        </is>
      </c>
      <c r="E18" s="24" t="inlineStr">
        <is>
          <t>YES</t>
        </is>
      </c>
      <c r="F18" s="24" t="inlineStr">
        <is>
          <t>更新日期</t>
        </is>
      </c>
      <c r="G18" s="24" t="n"/>
      <c r="H18" s="24" t="n"/>
      <c r="I18" s="24" t="inlineStr"/>
      <c r="J18" s="24" t="inlineStr">
        <is>
          <t>2023/01/12</t>
        </is>
      </c>
    </row>
    <row r="19">
      <c r="B19" s="24" t="inlineStr">
        <is>
          <t>clr_register_record</t>
        </is>
      </c>
      <c r="C19" s="109" t="inlineStr">
        <is>
          <t>CORPORGID</t>
        </is>
      </c>
      <c r="D19" s="109" t="inlineStr">
        <is>
          <t>varchar(32)</t>
        </is>
      </c>
      <c r="E19" s="109" t="inlineStr">
        <is>
          <t>YES</t>
        </is>
      </c>
      <c r="F19" s="109" t="inlineStr">
        <is>
          <t>法人机构编号</t>
        </is>
      </c>
      <c r="G19" s="109" t="n"/>
      <c r="H19" s="109" t="n"/>
      <c r="I19" s="109" t="inlineStr"/>
      <c r="J19" s="24" t="inlineStr">
        <is>
          <t>2023/01/12</t>
        </is>
      </c>
    </row>
    <row r="20">
      <c r="B20" s="56" t="inlineStr">
        <is>
          <t>clr_register_record</t>
        </is>
      </c>
      <c r="C20" s="60" t="inlineStr">
        <is>
          <t>ORGID</t>
        </is>
      </c>
      <c r="D20" s="60" t="inlineStr">
        <is>
          <t>varchar(32)</t>
        </is>
      </c>
      <c r="E20" s="65" t="inlineStr">
        <is>
          <t>YES</t>
        </is>
      </c>
      <c r="F20" s="59" t="inlineStr">
        <is>
          <t>账务机构</t>
        </is>
      </c>
      <c r="G20" s="60" t="n"/>
      <c r="H20" s="60" t="n"/>
      <c r="I20" s="60" t="n"/>
      <c r="J20" s="180" t="n">
        <v>45740</v>
      </c>
    </row>
    <row r="21" ht="16" customHeight="1" s="170">
      <c r="B21" s="56" t="inlineStr">
        <is>
          <t>clr_register_record</t>
        </is>
      </c>
      <c r="C21" s="60" t="inlineStr">
        <is>
          <t>CLRRIGHTSTATUTS</t>
        </is>
      </c>
      <c r="D21" s="65" t="inlineStr">
        <is>
          <t>varchar(6)</t>
        </is>
      </c>
      <c r="E21" s="65" t="inlineStr">
        <is>
          <t>YES</t>
        </is>
      </c>
      <c r="F21" s="59" t="inlineStr">
        <is>
          <t>押权状态</t>
        </is>
      </c>
      <c r="G21" s="71">
        <f>HYPERLINK("#码值映射清单!B13694","ClrRightStatus")</f>
        <v/>
      </c>
      <c r="H21" s="60" t="inlineStr">
        <is>
          <t>1-已确立押权、2-未确立押权</t>
        </is>
      </c>
      <c r="I21" s="60" t="n"/>
      <c r="J21" s="180" t="n">
        <v>45740</v>
      </c>
    </row>
    <row r="22">
      <c r="B22" s="56" t="inlineStr">
        <is>
          <t>clr_register_record</t>
        </is>
      </c>
      <c r="C22" s="60" t="inlineStr">
        <is>
          <t>ISONLINE</t>
        </is>
      </c>
      <c r="D22" s="65" t="inlineStr">
        <is>
          <t>varchar(6)</t>
        </is>
      </c>
      <c r="E22" s="60" t="inlineStr">
        <is>
          <t>YES</t>
        </is>
      </c>
      <c r="F22" s="59" t="inlineStr">
        <is>
          <t>是否线上抵押</t>
        </is>
      </c>
      <c r="G22" s="60" t="n"/>
      <c r="H22" s="60" t="n"/>
      <c r="I22" s="60" t="n"/>
      <c r="J22" s="180" t="n">
        <v>45740</v>
      </c>
    </row>
  </sheetData>
  <pageMargins left="0.75" right="0.75" top="1" bottom="1" header="0.5" footer="0.5"/>
  <pageSetup orientation="portrait" paperSize="1" horizontalDpi="300" verticalDpi="300"/>
</worksheet>
</file>

<file path=xl/worksheets/sheet94.xml><?xml version="1.0" encoding="utf-8"?>
<worksheet xmlns="http://schemas.openxmlformats.org/spreadsheetml/2006/main">
  <sheetPr>
    <outlinePr summaryBelow="1" summaryRight="1"/>
    <pageSetUpPr/>
  </sheetPr>
  <dimension ref="A1:J53"/>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35.5" customWidth="1" style="170" min="8" max="8"/>
    <col width="11.7053571428571" customWidth="1" style="170" min="10" max="10"/>
  </cols>
  <sheetData>
    <row r="1">
      <c r="A1" s="1">
        <f>HYPERLINK("#表结构清单!A1","返回")</f>
        <v/>
      </c>
      <c r="B1" t="inlineStr">
        <is>
          <t>抵质押权证信息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clr_rightcert_info</t>
        </is>
      </c>
      <c r="C3" s="24" t="inlineStr">
        <is>
          <t>RIGHTCERTID</t>
        </is>
      </c>
      <c r="D3" s="24" t="inlineStr">
        <is>
          <t>varchar(32)</t>
        </is>
      </c>
      <c r="E3" s="24" t="inlineStr">
        <is>
          <t>NO</t>
        </is>
      </c>
      <c r="F3" s="24" t="inlineStr">
        <is>
          <t>权证编号</t>
        </is>
      </c>
      <c r="G3" s="24" t="n"/>
      <c r="H3" s="24" t="n"/>
      <c r="I3" s="24" t="inlineStr"/>
      <c r="J3" s="24" t="inlineStr">
        <is>
          <t>2023/01/12</t>
        </is>
      </c>
    </row>
    <row r="4">
      <c r="B4" s="24" t="inlineStr">
        <is>
          <t>clr_rightcert_info</t>
        </is>
      </c>
      <c r="C4" s="24" t="inlineStr">
        <is>
          <t>RIGHTCERTNAME</t>
        </is>
      </c>
      <c r="D4" s="24" t="inlineStr">
        <is>
          <t>varchar(80)</t>
        </is>
      </c>
      <c r="E4" s="24" t="inlineStr">
        <is>
          <t>YES</t>
        </is>
      </c>
      <c r="F4" s="24" t="inlineStr">
        <is>
          <t>权证名称</t>
        </is>
      </c>
      <c r="G4" s="24" t="n"/>
      <c r="H4" s="24" t="n"/>
      <c r="I4" s="24" t="inlineStr"/>
      <c r="J4" s="24" t="inlineStr">
        <is>
          <t>2023/01/12</t>
        </is>
      </c>
    </row>
    <row r="5">
      <c r="B5" s="24" t="inlineStr">
        <is>
          <t>clr_rightcert_info</t>
        </is>
      </c>
      <c r="C5" s="24" t="inlineStr">
        <is>
          <t>CLRID</t>
        </is>
      </c>
      <c r="D5" s="24" t="inlineStr">
        <is>
          <t>varchar(32)</t>
        </is>
      </c>
      <c r="E5" s="24" t="inlineStr">
        <is>
          <t>YES</t>
        </is>
      </c>
      <c r="F5" s="46" t="inlineStr">
        <is>
          <t>押品编号</t>
        </is>
      </c>
      <c r="G5" s="24" t="n"/>
      <c r="H5" s="24" t="n"/>
      <c r="I5" s="24" t="inlineStr"/>
      <c r="J5" s="24" t="inlineStr">
        <is>
          <t>2023/01/12</t>
        </is>
      </c>
    </row>
    <row r="6">
      <c r="B6" s="24" t="inlineStr">
        <is>
          <t>clr_rightcert_info</t>
        </is>
      </c>
      <c r="C6" s="24" t="inlineStr">
        <is>
          <t>GUARANTYPLANNO</t>
        </is>
      </c>
      <c r="D6" s="24" t="inlineStr">
        <is>
          <t>varchar(32)</t>
        </is>
      </c>
      <c r="E6" s="24" t="inlineStr">
        <is>
          <t>YES</t>
        </is>
      </c>
      <c r="F6" s="24" t="inlineStr">
        <is>
          <t>担保方案编号</t>
        </is>
      </c>
      <c r="G6" s="24" t="n"/>
      <c r="H6" s="24" t="n"/>
      <c r="I6" s="24" t="inlineStr"/>
      <c r="J6" s="24" t="inlineStr">
        <is>
          <t>2023/01/12</t>
        </is>
      </c>
    </row>
    <row r="7">
      <c r="B7" s="24" t="inlineStr">
        <is>
          <t>clr_rightcert_info</t>
        </is>
      </c>
      <c r="C7" s="24" t="inlineStr">
        <is>
          <t>SOURCESYSTEM</t>
        </is>
      </c>
      <c r="D7" s="24" t="inlineStr">
        <is>
          <t>varchar(32)</t>
        </is>
      </c>
      <c r="E7" s="24" t="inlineStr">
        <is>
          <t>YES</t>
        </is>
      </c>
      <c r="F7" s="24" t="inlineStr">
        <is>
          <t>源系统</t>
        </is>
      </c>
      <c r="G7" s="24" t="n"/>
      <c r="H7" s="24" t="n"/>
      <c r="I7" s="24" t="inlineStr"/>
      <c r="J7" s="24" t="inlineStr">
        <is>
          <t>2023/01/12</t>
        </is>
      </c>
    </row>
    <row r="8">
      <c r="B8" s="24" t="inlineStr">
        <is>
          <t>clr_rightcert_info</t>
        </is>
      </c>
      <c r="C8" s="24" t="inlineStr">
        <is>
          <t>RIGHTCERTTYPE</t>
        </is>
      </c>
      <c r="D8" s="24" t="inlineStr">
        <is>
          <t>varchar(18)</t>
        </is>
      </c>
      <c r="E8" s="24" t="inlineStr">
        <is>
          <t>YES</t>
        </is>
      </c>
      <c r="F8" s="24" t="inlineStr">
        <is>
          <t>权证类型</t>
        </is>
      </c>
      <c r="G8" s="61">
        <f>HYPERLINK("#码值映射清单!B8949","RightCertType")</f>
        <v/>
      </c>
      <c r="H8" s="24" t="n"/>
      <c r="I8" s="24" t="inlineStr"/>
      <c r="J8" s="24" t="inlineStr">
        <is>
          <t>2023/01/12</t>
        </is>
      </c>
    </row>
    <row r="9">
      <c r="B9" s="24" t="inlineStr">
        <is>
          <t>clr_rightcert_info</t>
        </is>
      </c>
      <c r="C9" s="24" t="inlineStr">
        <is>
          <t>RIGHTCERTNO</t>
        </is>
      </c>
      <c r="D9" s="24" t="inlineStr">
        <is>
          <t>varchar(80)</t>
        </is>
      </c>
      <c r="E9" s="24" t="inlineStr">
        <is>
          <t>YES</t>
        </is>
      </c>
      <c r="F9" s="24" t="inlineStr">
        <is>
          <t>权证号</t>
        </is>
      </c>
      <c r="G9" s="24" t="n"/>
      <c r="H9" s="24" t="n"/>
      <c r="I9" s="24" t="inlineStr"/>
      <c r="J9" s="24" t="inlineStr">
        <is>
          <t>2023/01/12</t>
        </is>
      </c>
    </row>
    <row r="10">
      <c r="B10" s="24" t="inlineStr">
        <is>
          <t>clr_rightcert_info</t>
        </is>
      </c>
      <c r="C10" s="24" t="inlineStr">
        <is>
          <t>RIGHTREGISTRATIONORG</t>
        </is>
      </c>
      <c r="D10" s="24" t="inlineStr">
        <is>
          <t>varchar(80)</t>
        </is>
      </c>
      <c r="E10" s="24" t="inlineStr">
        <is>
          <t>YES</t>
        </is>
      </c>
      <c r="F10" s="24" t="inlineStr">
        <is>
          <t>权证登记机关</t>
        </is>
      </c>
      <c r="G10" s="24" t="n"/>
      <c r="H10" s="24" t="n"/>
      <c r="I10" s="24" t="inlineStr"/>
      <c r="J10" s="24" t="inlineStr">
        <is>
          <t>2023/01/12</t>
        </is>
      </c>
    </row>
    <row r="11">
      <c r="B11" s="24" t="inlineStr">
        <is>
          <t>clr_rightcert_info</t>
        </is>
      </c>
      <c r="C11" s="24" t="inlineStr">
        <is>
          <t>RIGHTREGISTRATIONDATE</t>
        </is>
      </c>
      <c r="D11" s="24" t="inlineStr">
        <is>
          <t>datetime</t>
        </is>
      </c>
      <c r="E11" s="24" t="inlineStr">
        <is>
          <t>YES</t>
        </is>
      </c>
      <c r="F11" s="24" t="inlineStr">
        <is>
          <t>权证登记时间</t>
        </is>
      </c>
      <c r="G11" s="24" t="n"/>
      <c r="H11" s="24" t="n"/>
      <c r="I11" s="24" t="inlineStr"/>
      <c r="J11" s="24" t="inlineStr">
        <is>
          <t>2023/01/12</t>
        </is>
      </c>
    </row>
    <row r="12">
      <c r="B12" s="24" t="inlineStr">
        <is>
          <t>clr_rightcert_info</t>
        </is>
      </c>
      <c r="C12" s="46" t="inlineStr">
        <is>
          <t>PACKAGEID</t>
        </is>
      </c>
      <c r="D12" s="46" t="inlineStr">
        <is>
          <t>varchar(32)</t>
        </is>
      </c>
      <c r="E12" s="46" t="inlineStr">
        <is>
          <t>YES</t>
        </is>
      </c>
      <c r="F12" s="49" t="inlineStr">
        <is>
          <t>权证所属封包</t>
        </is>
      </c>
      <c r="G12" s="46" t="n"/>
      <c r="H12" s="46" t="n"/>
      <c r="I12" s="24" t="inlineStr"/>
      <c r="J12" s="180" t="n">
        <v>45740</v>
      </c>
    </row>
    <row r="13">
      <c r="B13" s="24" t="inlineStr">
        <is>
          <t>clr_rightcert_info</t>
        </is>
      </c>
      <c r="C13" s="24" t="inlineStr">
        <is>
          <t>BARCODE</t>
        </is>
      </c>
      <c r="D13" s="24" t="inlineStr">
        <is>
          <t>varchar(32)</t>
        </is>
      </c>
      <c r="E13" s="24" t="inlineStr">
        <is>
          <t>YES</t>
        </is>
      </c>
      <c r="F13" s="24" t="inlineStr">
        <is>
          <t>条形码</t>
        </is>
      </c>
      <c r="G13" s="24" t="n"/>
      <c r="H13" s="24" t="n"/>
      <c r="I13" s="24" t="inlineStr"/>
      <c r="J13" s="24" t="inlineStr">
        <is>
          <t>2023/01/12</t>
        </is>
      </c>
    </row>
    <row r="14">
      <c r="B14" s="24" t="inlineStr">
        <is>
          <t>clr_rightcert_info</t>
        </is>
      </c>
      <c r="C14" s="24" t="inlineStr">
        <is>
          <t>TRANSFERDATE</t>
        </is>
      </c>
      <c r="D14" s="24" t="inlineStr">
        <is>
          <t>datetime</t>
        </is>
      </c>
      <c r="E14" s="24" t="inlineStr">
        <is>
          <t>YES</t>
        </is>
      </c>
      <c r="F14" s="24" t="inlineStr">
        <is>
          <t>移交日期</t>
        </is>
      </c>
      <c r="G14" s="24" t="n"/>
      <c r="H14" s="24" t="n"/>
      <c r="I14" s="24" t="inlineStr"/>
      <c r="J14" s="24" t="inlineStr">
        <is>
          <t>2023/01/12</t>
        </is>
      </c>
    </row>
    <row r="15">
      <c r="B15" s="24" t="inlineStr">
        <is>
          <t>clr_rightcert_info</t>
        </is>
      </c>
      <c r="C15" s="24" t="inlineStr">
        <is>
          <t>RIGHTCERTSTATUS</t>
        </is>
      </c>
      <c r="D15" s="24" t="inlineStr">
        <is>
          <t>varchar(18)</t>
        </is>
      </c>
      <c r="E15" s="24" t="inlineStr">
        <is>
          <t>YES</t>
        </is>
      </c>
      <c r="F15" s="24" t="inlineStr">
        <is>
          <t>权证状态</t>
        </is>
      </c>
      <c r="G15" s="72">
        <f>HYPERLINK("#码值映射清单!B1876","RightCertStatus")</f>
        <v/>
      </c>
      <c r="H15" s="49" t="inlineStr">
        <is>
          <t>1-未入库、2-已入库、3-临时出库、4-已出库</t>
        </is>
      </c>
      <c r="I15" s="24" t="inlineStr"/>
      <c r="J15" s="180" t="n">
        <v>45740</v>
      </c>
    </row>
    <row r="16">
      <c r="B16" s="24" t="inlineStr">
        <is>
          <t>clr_rightcert_info</t>
        </is>
      </c>
      <c r="C16" s="24" t="inlineStr">
        <is>
          <t>RIGHTAMOUNT</t>
        </is>
      </c>
      <c r="D16" s="24" t="inlineStr">
        <is>
          <t>decimal(24,6)</t>
        </is>
      </c>
      <c r="E16" s="24" t="inlineStr">
        <is>
          <t>YES</t>
        </is>
      </c>
      <c r="F16" s="24" t="inlineStr">
        <is>
          <t>权利金额</t>
        </is>
      </c>
      <c r="G16" s="24" t="n"/>
      <c r="H16" s="24" t="n"/>
      <c r="I16" s="24" t="inlineStr"/>
      <c r="J16" s="24" t="inlineStr">
        <is>
          <t>2023/01/12</t>
        </is>
      </c>
    </row>
    <row r="17">
      <c r="B17" s="24" t="inlineStr">
        <is>
          <t>clr_rightcert_info</t>
        </is>
      </c>
      <c r="C17" s="24" t="inlineStr">
        <is>
          <t>POSSESSORTYPE</t>
        </is>
      </c>
      <c r="D17" s="24" t="inlineStr">
        <is>
          <t>varchar(6)</t>
        </is>
      </c>
      <c r="E17" s="24" t="inlineStr">
        <is>
          <t>YES</t>
        </is>
      </c>
      <c r="F17" s="24" t="inlineStr">
        <is>
          <t>权证持有者类型</t>
        </is>
      </c>
      <c r="G17" s="52">
        <f>HYPERLINK("#码值映射清单!B6956","CertPossessorType")</f>
        <v/>
      </c>
      <c r="H17" s="24" t="n"/>
      <c r="I17" s="24" t="inlineStr"/>
      <c r="J17" s="24" t="inlineStr">
        <is>
          <t>2023/01/12</t>
        </is>
      </c>
    </row>
    <row r="18">
      <c r="B18" s="24" t="inlineStr">
        <is>
          <t>clr_rightcert_info</t>
        </is>
      </c>
      <c r="C18" s="24" t="inlineStr">
        <is>
          <t>ISNEEDWAREHOUSING</t>
        </is>
      </c>
      <c r="D18" s="24" t="inlineStr">
        <is>
          <t>char(1)</t>
        </is>
      </c>
      <c r="E18" s="24" t="inlineStr">
        <is>
          <t>YES</t>
        </is>
      </c>
      <c r="F18" s="24" t="inlineStr">
        <is>
          <t>是否需要入库</t>
        </is>
      </c>
      <c r="G18" s="24" t="n"/>
      <c r="H18" s="24" t="n"/>
      <c r="I18" s="24" t="inlineStr"/>
      <c r="J18" s="24" t="inlineStr">
        <is>
          <t>2023/01/12</t>
        </is>
      </c>
    </row>
    <row r="19">
      <c r="B19" s="24" t="inlineStr">
        <is>
          <t>clr_rightcert_info</t>
        </is>
      </c>
      <c r="C19" s="24" t="inlineStr">
        <is>
          <t>INWAREHOUSINGDATE</t>
        </is>
      </c>
      <c r="D19" s="24" t="inlineStr">
        <is>
          <t>datetime</t>
        </is>
      </c>
      <c r="E19" s="24" t="inlineStr">
        <is>
          <t>YES</t>
        </is>
      </c>
      <c r="F19" s="24" t="inlineStr">
        <is>
          <t>正式入库日期</t>
        </is>
      </c>
      <c r="G19" s="24" t="n"/>
      <c r="H19" s="24" t="n"/>
      <c r="I19" s="24" t="inlineStr"/>
      <c r="J19" s="24" t="inlineStr">
        <is>
          <t>2023/01/12</t>
        </is>
      </c>
    </row>
    <row r="20">
      <c r="B20" s="24" t="inlineStr">
        <is>
          <t>clr_rightcert_info</t>
        </is>
      </c>
      <c r="C20" s="24" t="inlineStr">
        <is>
          <t>OUTWAREHOUSINGDATE</t>
        </is>
      </c>
      <c r="D20" s="24" t="inlineStr">
        <is>
          <t>datetime</t>
        </is>
      </c>
      <c r="E20" s="24" t="inlineStr">
        <is>
          <t>YES</t>
        </is>
      </c>
      <c r="F20" s="24" t="inlineStr">
        <is>
          <t>正式出库日期</t>
        </is>
      </c>
      <c r="G20" s="24" t="n"/>
      <c r="H20" s="24" t="n"/>
      <c r="I20" s="24" t="inlineStr"/>
      <c r="J20" s="24" t="inlineStr">
        <is>
          <t>2023/01/12</t>
        </is>
      </c>
    </row>
    <row r="21">
      <c r="B21" s="24" t="inlineStr">
        <is>
          <t>clr_rightcert_info</t>
        </is>
      </c>
      <c r="C21" s="24" t="inlineStr">
        <is>
          <t>TEMPOUTWHREASON</t>
        </is>
      </c>
      <c r="D21" s="24" t="inlineStr">
        <is>
          <t>datetime</t>
        </is>
      </c>
      <c r="E21" s="24" t="inlineStr">
        <is>
          <t>YES</t>
        </is>
      </c>
      <c r="F21" s="24" t="inlineStr">
        <is>
          <t>临时出库日期</t>
        </is>
      </c>
      <c r="G21" s="24" t="n"/>
      <c r="H21" s="24" t="n"/>
      <c r="I21" s="24" t="inlineStr"/>
      <c r="J21" s="24" t="inlineStr">
        <is>
          <t>2023/01/12</t>
        </is>
      </c>
    </row>
    <row r="22">
      <c r="B22" s="24" t="inlineStr">
        <is>
          <t>clr_rightcert_info</t>
        </is>
      </c>
      <c r="C22" s="24" t="inlineStr">
        <is>
          <t>LASTOUTWHDATE</t>
        </is>
      </c>
      <c r="D22" s="24" t="inlineStr">
        <is>
          <t>datetime</t>
        </is>
      </c>
      <c r="E22" s="24" t="inlineStr">
        <is>
          <t>YES</t>
        </is>
      </c>
      <c r="F22" s="24" t="inlineStr">
        <is>
          <t>最近一次出库日期</t>
        </is>
      </c>
      <c r="G22" s="24" t="n"/>
      <c r="H22" s="24" t="n"/>
      <c r="I22" s="24" t="inlineStr"/>
      <c r="J22" s="24" t="inlineStr">
        <is>
          <t>2023/01/12</t>
        </is>
      </c>
    </row>
    <row r="23">
      <c r="B23" s="24" t="inlineStr">
        <is>
          <t>clr_rightcert_info</t>
        </is>
      </c>
      <c r="C23" s="24" t="inlineStr">
        <is>
          <t>LASTINWHDATE</t>
        </is>
      </c>
      <c r="D23" s="24" t="inlineStr">
        <is>
          <t>datetime</t>
        </is>
      </c>
      <c r="E23" s="24" t="inlineStr">
        <is>
          <t>YES</t>
        </is>
      </c>
      <c r="F23" s="24" t="inlineStr">
        <is>
          <t>最近一次入库日期</t>
        </is>
      </c>
      <c r="G23" s="24" t="n"/>
      <c r="H23" s="24" t="n"/>
      <c r="I23" s="24" t="inlineStr"/>
      <c r="J23" s="24" t="inlineStr">
        <is>
          <t>2023/01/12</t>
        </is>
      </c>
    </row>
    <row r="24">
      <c r="B24" s="24" t="inlineStr">
        <is>
          <t>clr_rightcert_info</t>
        </is>
      </c>
      <c r="C24" s="24" t="inlineStr">
        <is>
          <t>EXPCRETURNDATE</t>
        </is>
      </c>
      <c r="D24" s="24" t="inlineStr">
        <is>
          <t>datetime</t>
        </is>
      </c>
      <c r="E24" s="24" t="inlineStr">
        <is>
          <t>YES</t>
        </is>
      </c>
      <c r="F24" s="24" t="inlineStr">
        <is>
          <t>临时出库预计归还日期</t>
        </is>
      </c>
      <c r="G24" s="24" t="n"/>
      <c r="H24" s="24" t="n"/>
      <c r="I24" s="24" t="inlineStr"/>
      <c r="J24" s="24" t="inlineStr">
        <is>
          <t>2023/01/12</t>
        </is>
      </c>
    </row>
    <row r="25">
      <c r="B25" s="24" t="inlineStr">
        <is>
          <t>clr_rightcert_info</t>
        </is>
      </c>
      <c r="C25" s="24" t="inlineStr">
        <is>
          <t>ISOVERDUE</t>
        </is>
      </c>
      <c r="D25" s="24" t="inlineStr">
        <is>
          <t>char(1)</t>
        </is>
      </c>
      <c r="E25" s="24" t="inlineStr">
        <is>
          <t>YES</t>
        </is>
      </c>
      <c r="F25" s="24" t="inlineStr">
        <is>
          <t>临时出库是否逾期</t>
        </is>
      </c>
      <c r="G25" s="24" t="n"/>
      <c r="H25" s="24" t="n"/>
      <c r="I25" s="24" t="inlineStr"/>
      <c r="J25" s="24" t="inlineStr">
        <is>
          <t>2023/01/12</t>
        </is>
      </c>
    </row>
    <row r="26">
      <c r="B26" s="24" t="inlineStr">
        <is>
          <t>clr_rightcert_info</t>
        </is>
      </c>
      <c r="C26" s="24" t="inlineStr">
        <is>
          <t>OVERDUEDAYS</t>
        </is>
      </c>
      <c r="D26" s="24" t="inlineStr">
        <is>
          <t>decimal(18,2)</t>
        </is>
      </c>
      <c r="E26" s="24" t="inlineStr">
        <is>
          <t>YES</t>
        </is>
      </c>
      <c r="F26" s="24" t="inlineStr">
        <is>
          <t>临时出库逾期天数</t>
        </is>
      </c>
      <c r="G26" s="24" t="n"/>
      <c r="H26" s="24" t="n"/>
      <c r="I26" s="24" t="inlineStr"/>
      <c r="J26" s="24" t="inlineStr">
        <is>
          <t>2023/01/12</t>
        </is>
      </c>
    </row>
    <row r="27">
      <c r="B27" s="24" t="inlineStr">
        <is>
          <t>clr_rightcert_info</t>
        </is>
      </c>
      <c r="C27" s="24" t="inlineStr">
        <is>
          <t>ISDATACONV</t>
        </is>
      </c>
      <c r="D27" s="24" t="inlineStr">
        <is>
          <t>char(1)</t>
        </is>
      </c>
      <c r="E27" s="24" t="inlineStr">
        <is>
          <t>YES</t>
        </is>
      </c>
      <c r="F27" s="24" t="inlineStr">
        <is>
          <t>是否为移植</t>
        </is>
      </c>
      <c r="G27" s="24" t="n"/>
      <c r="H27" s="24" t="n"/>
      <c r="I27" s="24" t="inlineStr"/>
      <c r="J27" s="24" t="inlineStr">
        <is>
          <t>2023/01/12</t>
        </is>
      </c>
    </row>
    <row r="28">
      <c r="B28" s="24" t="inlineStr">
        <is>
          <t>clr_rightcert_info</t>
        </is>
      </c>
      <c r="C28" s="24" t="inlineStr">
        <is>
          <t>REGISTRATIONUSERID</t>
        </is>
      </c>
      <c r="D28" s="24" t="inlineStr">
        <is>
          <t>varchar(80)</t>
        </is>
      </c>
      <c r="E28" s="24" t="inlineStr">
        <is>
          <t>YES</t>
        </is>
      </c>
      <c r="F28" s="24" t="inlineStr">
        <is>
          <t>抵质押办证人</t>
        </is>
      </c>
      <c r="G28" s="24" t="n"/>
      <c r="H28" s="24" t="n"/>
      <c r="I28" s="24" t="inlineStr"/>
      <c r="J28" s="24" t="inlineStr">
        <is>
          <t>2023/01/12</t>
        </is>
      </c>
    </row>
    <row r="29">
      <c r="B29" s="24" t="inlineStr">
        <is>
          <t>clr_rightcert_info</t>
        </is>
      </c>
      <c r="C29" s="24" t="inlineStr">
        <is>
          <t>RIGHTDUEDATE</t>
        </is>
      </c>
      <c r="D29" s="24" t="inlineStr">
        <is>
          <t>datetime</t>
        </is>
      </c>
      <c r="E29" s="24" t="inlineStr">
        <is>
          <t>YES</t>
        </is>
      </c>
      <c r="F29" s="24" t="inlineStr">
        <is>
          <t>权证到期日</t>
        </is>
      </c>
      <c r="G29" s="24" t="n"/>
      <c r="H29" s="24" t="n"/>
      <c r="I29" s="24" t="inlineStr"/>
      <c r="J29" s="24" t="inlineStr">
        <is>
          <t>2023/01/12</t>
        </is>
      </c>
    </row>
    <row r="30">
      <c r="B30" s="24" t="inlineStr">
        <is>
          <t>clr_rightcert_info</t>
        </is>
      </c>
      <c r="C30" s="24" t="inlineStr">
        <is>
          <t>CLROWNERID</t>
        </is>
      </c>
      <c r="D30" s="24" t="inlineStr">
        <is>
          <t>varchar(32)</t>
        </is>
      </c>
      <c r="E30" s="24" t="inlineStr">
        <is>
          <t>YES</t>
        </is>
      </c>
      <c r="F30" s="24" t="inlineStr">
        <is>
          <t>权属人编号</t>
        </is>
      </c>
      <c r="G30" s="24" t="n"/>
      <c r="H30" s="24" t="n"/>
      <c r="I30" s="24" t="inlineStr"/>
      <c r="J30" s="24" t="inlineStr">
        <is>
          <t>2023/01/12</t>
        </is>
      </c>
    </row>
    <row r="31">
      <c r="B31" s="24" t="inlineStr">
        <is>
          <t>clr_rightcert_info</t>
        </is>
      </c>
      <c r="C31" s="24" t="inlineStr">
        <is>
          <t>CLROWNERNAME</t>
        </is>
      </c>
      <c r="D31" s="24" t="inlineStr">
        <is>
          <t>varchar(80)</t>
        </is>
      </c>
      <c r="E31" s="24" t="inlineStr">
        <is>
          <t>YES</t>
        </is>
      </c>
      <c r="F31" s="24" t="inlineStr">
        <is>
          <t>权属人名称</t>
        </is>
      </c>
      <c r="G31" s="24" t="n"/>
      <c r="H31" s="24" t="n"/>
      <c r="I31" s="24" t="inlineStr"/>
      <c r="J31" s="24" t="inlineStr">
        <is>
          <t>2023/01/12</t>
        </is>
      </c>
    </row>
    <row r="32">
      <c r="B32" s="24" t="inlineStr">
        <is>
          <t>clr_rightcert_info</t>
        </is>
      </c>
      <c r="C32" s="24" t="inlineStr">
        <is>
          <t>SAVEORGID</t>
        </is>
      </c>
      <c r="D32" s="24" t="inlineStr">
        <is>
          <t>varchar(32)</t>
        </is>
      </c>
      <c r="E32" s="24" t="inlineStr">
        <is>
          <t>YES</t>
        </is>
      </c>
      <c r="F32" s="24" t="inlineStr">
        <is>
          <t>保存机构编号</t>
        </is>
      </c>
      <c r="G32" s="24" t="n"/>
      <c r="H32" s="24" t="n"/>
      <c r="I32" s="24" t="inlineStr"/>
      <c r="J32" s="24" t="inlineStr">
        <is>
          <t>2023/01/12</t>
        </is>
      </c>
    </row>
    <row r="33">
      <c r="B33" s="24" t="inlineStr">
        <is>
          <t>clr_rightcert_info</t>
        </is>
      </c>
      <c r="C33" s="24" t="inlineStr">
        <is>
          <t>CATALOGFLAG</t>
        </is>
      </c>
      <c r="D33" s="24" t="inlineStr">
        <is>
          <t>varchar(18)</t>
        </is>
      </c>
      <c r="E33" s="24" t="inlineStr">
        <is>
          <t>YES</t>
        </is>
      </c>
      <c r="F33" s="24" t="inlineStr">
        <is>
          <t>区分权证和代保品;2：权证1：代保品</t>
        </is>
      </c>
      <c r="G33" s="24" t="n"/>
      <c r="H33" s="24" t="n"/>
      <c r="I33" s="24" t="inlineStr"/>
      <c r="J33" s="24" t="inlineStr">
        <is>
          <t>2023/01/12</t>
        </is>
      </c>
    </row>
    <row r="34">
      <c r="B34" s="24" t="inlineStr">
        <is>
          <t>clr_rightcert_info</t>
        </is>
      </c>
      <c r="C34" s="24" t="inlineStr">
        <is>
          <t>CLROWNERSTARTDATE</t>
        </is>
      </c>
      <c r="D34" s="24" t="inlineStr">
        <is>
          <t>datetime</t>
        </is>
      </c>
      <c r="E34" s="24" t="inlineStr">
        <is>
          <t>YES</t>
        </is>
      </c>
      <c r="F34" s="24" t="inlineStr">
        <is>
          <t>抵押登记起始日</t>
        </is>
      </c>
      <c r="G34" s="24" t="n"/>
      <c r="H34" s="24" t="n"/>
      <c r="I34" s="24" t="inlineStr"/>
      <c r="J34" s="24" t="inlineStr">
        <is>
          <t>2023/01/12</t>
        </is>
      </c>
    </row>
    <row r="35">
      <c r="B35" s="24" t="inlineStr">
        <is>
          <t>clr_rightcert_info</t>
        </is>
      </c>
      <c r="C35" s="24" t="inlineStr">
        <is>
          <t>CLROWNERENDDATE</t>
        </is>
      </c>
      <c r="D35" s="24" t="inlineStr">
        <is>
          <t>datetime</t>
        </is>
      </c>
      <c r="E35" s="24" t="inlineStr">
        <is>
          <t>YES</t>
        </is>
      </c>
      <c r="F35" s="24" t="inlineStr">
        <is>
          <t>抵押登记到期日</t>
        </is>
      </c>
      <c r="G35" s="24" t="n"/>
      <c r="H35" s="24" t="n"/>
      <c r="I35" s="24" t="inlineStr"/>
      <c r="J35" s="24" t="inlineStr">
        <is>
          <t>2023/01/12</t>
        </is>
      </c>
    </row>
    <row r="36">
      <c r="B36" s="24" t="inlineStr">
        <is>
          <t>clr_rightcert_info</t>
        </is>
      </c>
      <c r="C36" s="24" t="inlineStr">
        <is>
          <t>CURRENCY</t>
        </is>
      </c>
      <c r="D36" s="24" t="inlineStr">
        <is>
          <t>varchar(18)</t>
        </is>
      </c>
      <c r="E36" s="24" t="inlineStr">
        <is>
          <t>YES</t>
        </is>
      </c>
      <c r="F36" s="24" t="inlineStr">
        <is>
          <t>币种</t>
        </is>
      </c>
      <c r="G36" s="52">
        <f>HYPERLINK("#码值映射清单!B2469","Currency")</f>
        <v/>
      </c>
      <c r="H36" s="24" t="n"/>
      <c r="I36" s="24" t="inlineStr"/>
      <c r="J36" s="24" t="inlineStr">
        <is>
          <t>2023/01/12</t>
        </is>
      </c>
    </row>
    <row r="37">
      <c r="B37" s="24" t="inlineStr">
        <is>
          <t>clr_rightcert_info</t>
        </is>
      </c>
      <c r="C37" s="24" t="inlineStr">
        <is>
          <t>GUARANTYREGNO</t>
        </is>
      </c>
      <c r="D37" s="24" t="inlineStr">
        <is>
          <t>varchar(32)</t>
        </is>
      </c>
      <c r="E37" s="24" t="inlineStr">
        <is>
          <t>YES</t>
        </is>
      </c>
      <c r="F37" s="24" t="inlineStr">
        <is>
          <t>抵押登记编号</t>
        </is>
      </c>
      <c r="G37" s="24" t="n"/>
      <c r="H37" s="24" t="n"/>
      <c r="I37" s="24" t="inlineStr"/>
      <c r="J37" s="24" t="inlineStr">
        <is>
          <t>2023/01/12</t>
        </is>
      </c>
    </row>
    <row r="38">
      <c r="B38" s="24" t="inlineStr">
        <is>
          <t>clr_rightcert_info</t>
        </is>
      </c>
      <c r="C38" s="24" t="inlineStr">
        <is>
          <t>MONEYIN</t>
        </is>
      </c>
      <c r="D38" s="24" t="inlineStr">
        <is>
          <t>decimal(24,6)</t>
        </is>
      </c>
      <c r="E38" s="24" t="inlineStr">
        <is>
          <t>YES</t>
        </is>
      </c>
      <c r="F38" s="24" t="inlineStr">
        <is>
          <t>入账金额</t>
        </is>
      </c>
      <c r="G38" s="24" t="n"/>
      <c r="H38" s="24" t="n"/>
      <c r="I38" s="24" t="inlineStr"/>
      <c r="J38" s="24" t="inlineStr">
        <is>
          <t>2023/01/12</t>
        </is>
      </c>
    </row>
    <row r="39">
      <c r="B39" s="24" t="inlineStr">
        <is>
          <t>clr_rightcert_info</t>
        </is>
      </c>
      <c r="C39" s="24" t="inlineStr">
        <is>
          <t>MONEYINTYPE</t>
        </is>
      </c>
      <c r="D39" s="24" t="inlineStr">
        <is>
          <t>varchar(18)</t>
        </is>
      </c>
      <c r="E39" s="24" t="inlineStr">
        <is>
          <t>YES</t>
        </is>
      </c>
      <c r="F39" s="24" t="inlineStr">
        <is>
          <t>入账金额类型</t>
        </is>
      </c>
      <c r="G39" s="52">
        <f>HYPERLINK("#码值映射清单!B4765","MoneyInType")</f>
        <v/>
      </c>
      <c r="H39" s="24" t="n"/>
      <c r="I39" s="24" t="inlineStr"/>
      <c r="J39" s="24" t="inlineStr">
        <is>
          <t>2023/01/12</t>
        </is>
      </c>
    </row>
    <row r="40">
      <c r="B40" s="24" t="inlineStr">
        <is>
          <t>clr_rightcert_info</t>
        </is>
      </c>
      <c r="C40" s="24" t="inlineStr">
        <is>
          <t>BOOKSTATUS</t>
        </is>
      </c>
      <c r="D40" s="24" t="inlineStr">
        <is>
          <t>varchar(18)</t>
        </is>
      </c>
      <c r="E40" s="24" t="inlineStr">
        <is>
          <t>YES</t>
        </is>
      </c>
      <c r="F40" s="24" t="inlineStr">
        <is>
          <t>记账状态</t>
        </is>
      </c>
      <c r="G40" s="24" t="n"/>
      <c r="H40" s="24" t="n"/>
      <c r="I40" s="24" t="inlineStr"/>
      <c r="J40" s="24" t="inlineStr">
        <is>
          <t>2023/01/12</t>
        </is>
      </c>
    </row>
    <row r="41">
      <c r="B41" s="24" t="inlineStr">
        <is>
          <t>clr_rightcert_info</t>
        </is>
      </c>
      <c r="C41" s="24" t="inlineStr">
        <is>
          <t>RIGHTREGORGTYPE</t>
        </is>
      </c>
      <c r="D41" s="24" t="inlineStr">
        <is>
          <t>varchar(6)</t>
        </is>
      </c>
      <c r="E41" s="24" t="inlineStr">
        <is>
          <t>YES</t>
        </is>
      </c>
      <c r="F41" s="24" t="inlineStr">
        <is>
          <t>登记机构类型</t>
        </is>
      </c>
      <c r="G41" s="62">
        <f>HYPERLINK("#码值映射清单!B5673","RightRegOrgType")</f>
        <v/>
      </c>
      <c r="H41" s="24" t="n"/>
      <c r="I41" s="24" t="inlineStr"/>
      <c r="J41" s="24" t="inlineStr">
        <is>
          <t>2023/01/12</t>
        </is>
      </c>
    </row>
    <row r="42">
      <c r="B42" s="24" t="inlineStr">
        <is>
          <t>clr_rightcert_info</t>
        </is>
      </c>
      <c r="C42" s="24" t="inlineStr">
        <is>
          <t>INPUTUSERID</t>
        </is>
      </c>
      <c r="D42" s="24" t="inlineStr">
        <is>
          <t>varchar(32)</t>
        </is>
      </c>
      <c r="E42" s="24" t="inlineStr">
        <is>
          <t>YES</t>
        </is>
      </c>
      <c r="F42" s="24" t="inlineStr">
        <is>
          <t>登记人</t>
        </is>
      </c>
      <c r="G42" s="24" t="n"/>
      <c r="H42" s="24" t="n"/>
      <c r="I42" s="24" t="inlineStr"/>
      <c r="J42" s="24" t="inlineStr">
        <is>
          <t>2023/01/12</t>
        </is>
      </c>
    </row>
    <row r="43">
      <c r="B43" s="24" t="inlineStr">
        <is>
          <t>clr_rightcert_info</t>
        </is>
      </c>
      <c r="C43" s="24" t="inlineStr">
        <is>
          <t>INPUTORGID</t>
        </is>
      </c>
      <c r="D43" s="24" t="inlineStr">
        <is>
          <t>varchar(32)</t>
        </is>
      </c>
      <c r="E43" s="24" t="inlineStr">
        <is>
          <t>YES</t>
        </is>
      </c>
      <c r="F43" s="24" t="inlineStr">
        <is>
          <t>登记机构</t>
        </is>
      </c>
      <c r="G43" s="24" t="n"/>
      <c r="H43" s="24" t="n"/>
      <c r="I43" s="24" t="inlineStr"/>
      <c r="J43" s="24" t="inlineStr">
        <is>
          <t>2023/01/12</t>
        </is>
      </c>
    </row>
    <row r="44">
      <c r="B44" s="24" t="inlineStr">
        <is>
          <t>clr_rightcert_info</t>
        </is>
      </c>
      <c r="C44" s="24" t="inlineStr">
        <is>
          <t>INPUTDATE</t>
        </is>
      </c>
      <c r="D44" s="24" t="inlineStr">
        <is>
          <t>datetime</t>
        </is>
      </c>
      <c r="E44" s="24" t="inlineStr">
        <is>
          <t>YES</t>
        </is>
      </c>
      <c r="F44" s="24" t="inlineStr">
        <is>
          <t>登记日期</t>
        </is>
      </c>
      <c r="G44" s="24" t="n"/>
      <c r="H44" s="24" t="n"/>
      <c r="I44" s="24" t="inlineStr"/>
      <c r="J44" s="24" t="inlineStr">
        <is>
          <t>2023/01/12</t>
        </is>
      </c>
    </row>
    <row r="45">
      <c r="B45" s="24" t="inlineStr">
        <is>
          <t>clr_rightcert_info</t>
        </is>
      </c>
      <c r="C45" s="24" t="inlineStr">
        <is>
          <t>UPDATEUSERID</t>
        </is>
      </c>
      <c r="D45" s="24" t="inlineStr">
        <is>
          <t>varchar(32)</t>
        </is>
      </c>
      <c r="E45" s="24" t="inlineStr">
        <is>
          <t>YES</t>
        </is>
      </c>
      <c r="F45" s="24" t="inlineStr">
        <is>
          <t>更新人</t>
        </is>
      </c>
      <c r="G45" s="24" t="n"/>
      <c r="H45" s="24" t="n"/>
      <c r="I45" s="24" t="inlineStr"/>
      <c r="J45" s="24" t="inlineStr">
        <is>
          <t>2023/01/12</t>
        </is>
      </c>
    </row>
    <row r="46">
      <c r="B46" s="24" t="inlineStr">
        <is>
          <t>clr_rightcert_info</t>
        </is>
      </c>
      <c r="C46" s="24" t="inlineStr">
        <is>
          <t>UPDATEORGID</t>
        </is>
      </c>
      <c r="D46" s="24" t="inlineStr">
        <is>
          <t>varchar(32)</t>
        </is>
      </c>
      <c r="E46" s="24" t="inlineStr">
        <is>
          <t>YES</t>
        </is>
      </c>
      <c r="F46" s="24" t="inlineStr">
        <is>
          <t>更新机构</t>
        </is>
      </c>
      <c r="G46" s="24" t="n"/>
      <c r="H46" s="24" t="n"/>
      <c r="I46" s="24" t="inlineStr"/>
      <c r="J46" s="24" t="inlineStr">
        <is>
          <t>2023/01/12</t>
        </is>
      </c>
    </row>
    <row r="47">
      <c r="B47" s="24" t="inlineStr">
        <is>
          <t>clr_rightcert_info</t>
        </is>
      </c>
      <c r="C47" s="24" t="inlineStr">
        <is>
          <t>UPDATEDATE</t>
        </is>
      </c>
      <c r="D47" s="24" t="inlineStr">
        <is>
          <t>datetime</t>
        </is>
      </c>
      <c r="E47" s="24" t="inlineStr">
        <is>
          <t>YES</t>
        </is>
      </c>
      <c r="F47" s="24" t="inlineStr">
        <is>
          <t>更新日期</t>
        </is>
      </c>
      <c r="G47" s="24" t="n"/>
      <c r="H47" s="24" t="n"/>
      <c r="I47" s="24" t="inlineStr"/>
      <c r="J47" s="24" t="inlineStr">
        <is>
          <t>2023/01/12</t>
        </is>
      </c>
    </row>
    <row r="48">
      <c r="B48" s="24" t="inlineStr">
        <is>
          <t>clr_rightcert_info</t>
        </is>
      </c>
      <c r="C48" s="24" t="inlineStr">
        <is>
          <t>CORPORGID</t>
        </is>
      </c>
      <c r="D48" s="24" t="inlineStr">
        <is>
          <t>varchar(32)</t>
        </is>
      </c>
      <c r="E48" s="24" t="inlineStr">
        <is>
          <t>YES</t>
        </is>
      </c>
      <c r="F48" s="24" t="inlineStr">
        <is>
          <t>法人机构编号</t>
        </is>
      </c>
      <c r="G48" s="24" t="n"/>
      <c r="H48" s="24" t="n"/>
      <c r="I48" s="24" t="inlineStr"/>
      <c r="J48" s="24" t="inlineStr">
        <is>
          <t>2023/01/12</t>
        </is>
      </c>
    </row>
    <row r="49">
      <c r="B49" s="24" t="inlineStr">
        <is>
          <t>clr_rightcert_info</t>
        </is>
      </c>
      <c r="C49" s="24" t="inlineStr">
        <is>
          <t>REMARK</t>
        </is>
      </c>
      <c r="D49" s="24" t="inlineStr">
        <is>
          <t>varchar(1000)</t>
        </is>
      </c>
      <c r="E49" s="24" t="inlineStr">
        <is>
          <t>YES</t>
        </is>
      </c>
      <c r="F49" s="24" t="inlineStr">
        <is>
          <t>备注</t>
        </is>
      </c>
      <c r="G49" s="24" t="n"/>
      <c r="H49" s="24" t="n"/>
      <c r="I49" s="24" t="inlineStr"/>
      <c r="J49" s="24" t="inlineStr">
        <is>
          <t>2023/01/12</t>
        </is>
      </c>
    </row>
    <row r="50">
      <c r="B50" s="24" t="inlineStr">
        <is>
          <t>clr_rightcert_info</t>
        </is>
      </c>
      <c r="C50" s="24" t="inlineStr">
        <is>
          <t>OLDCLRID</t>
        </is>
      </c>
      <c r="D50" s="24" t="inlineStr">
        <is>
          <t>varchar(1000)</t>
        </is>
      </c>
      <c r="E50" s="24" t="inlineStr">
        <is>
          <t>YES</t>
        </is>
      </c>
      <c r="F50" s="24" t="inlineStr">
        <is>
          <t>合并前押品编号</t>
        </is>
      </c>
      <c r="G50" s="24" t="n"/>
      <c r="H50" s="24" t="n"/>
      <c r="I50" s="24" t="inlineStr"/>
      <c r="J50" s="24" t="inlineStr">
        <is>
          <t>2023/01/12</t>
        </is>
      </c>
    </row>
    <row r="51">
      <c r="B51" s="109" t="inlineStr">
        <is>
          <t>clr_rightcert_info</t>
        </is>
      </c>
      <c r="C51" s="109" t="inlineStr">
        <is>
          <t>TWOBARCODES</t>
        </is>
      </c>
      <c r="D51" s="109" t="inlineStr">
        <is>
          <t>varchar(4000)</t>
        </is>
      </c>
      <c r="E51" s="109" t="inlineStr">
        <is>
          <t>YES</t>
        </is>
      </c>
      <c r="F51" s="109" t="inlineStr">
        <is>
          <t>二维码</t>
        </is>
      </c>
      <c r="G51" s="109" t="n"/>
      <c r="H51" s="109" t="n"/>
      <c r="I51" s="109" t="inlineStr"/>
      <c r="J51" s="109" t="inlineStr">
        <is>
          <t>2023/01/12</t>
        </is>
      </c>
    </row>
    <row r="52" ht="16" customHeight="1" s="170">
      <c r="B52" s="65" t="inlineStr">
        <is>
          <t>clr_rightcert_info</t>
        </is>
      </c>
      <c r="C52" s="60" t="inlineStr">
        <is>
          <t>STORETYPE</t>
        </is>
      </c>
      <c r="D52" s="65" t="inlineStr">
        <is>
          <t>varchar(6)</t>
        </is>
      </c>
      <c r="E52" s="65" t="inlineStr">
        <is>
          <t>YES</t>
        </is>
      </c>
      <c r="F52" s="59" t="inlineStr">
        <is>
          <t>权证介质</t>
        </is>
      </c>
      <c r="G52" s="71">
        <f>HYPERLINK("#码值映射清单!B13697","StoreType")</f>
        <v/>
      </c>
      <c r="H52" s="59" t="inlineStr">
        <is>
          <t>1-电子权证、2-纸质权证</t>
        </is>
      </c>
      <c r="I52" s="60" t="n"/>
      <c r="J52" s="180" t="n">
        <v>45740</v>
      </c>
    </row>
    <row r="53" ht="16" customHeight="1" s="170">
      <c r="B53" s="65" t="inlineStr">
        <is>
          <t>clr_rightcert_info</t>
        </is>
      </c>
      <c r="C53" s="60" t="inlineStr">
        <is>
          <t>REGISTERRECORDID</t>
        </is>
      </c>
      <c r="D53" s="65" t="inlineStr">
        <is>
          <t>varchar(32)</t>
        </is>
      </c>
      <c r="E53" s="65" t="inlineStr">
        <is>
          <t>YES</t>
        </is>
      </c>
      <c r="F53" s="59" t="inlineStr">
        <is>
          <t>抵押登记ID</t>
        </is>
      </c>
      <c r="G53" s="60" t="n"/>
      <c r="H53" s="60" t="n"/>
      <c r="I53" s="60" t="n"/>
      <c r="J53" s="180" t="n">
        <v>45740</v>
      </c>
    </row>
  </sheetData>
  <pageMargins left="0.75" right="0.75" top="1" bottom="1" header="0.5" footer="0.5"/>
  <pageSetup orientation="portrait" paperSize="1" horizontalDpi="300" verticalDpi="300"/>
</worksheet>
</file>

<file path=xl/worksheets/sheet95.xml><?xml version="1.0" encoding="utf-8"?>
<worksheet xmlns="http://schemas.openxmlformats.org/spreadsheetml/2006/main">
  <sheetPr>
    <outlinePr summaryBelow="1" summaryRight="1"/>
    <pageSetUpPr/>
  </sheetPr>
  <dimension ref="A1:J25"/>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权证封包信息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clr_rightcert_package_info</t>
        </is>
      </c>
      <c r="C3" s="24" t="inlineStr">
        <is>
          <t>PACKAGEID</t>
        </is>
      </c>
      <c r="D3" s="24" t="inlineStr">
        <is>
          <t>varchar(32)</t>
        </is>
      </c>
      <c r="E3" s="24" t="inlineStr">
        <is>
          <t>NO</t>
        </is>
      </c>
      <c r="F3" s="24" t="inlineStr">
        <is>
          <t>封包编号</t>
        </is>
      </c>
      <c r="G3" s="24" t="n"/>
      <c r="H3" s="24" t="n"/>
      <c r="I3" s="24" t="inlineStr"/>
      <c r="J3" s="24" t="inlineStr">
        <is>
          <t>2023/01/12</t>
        </is>
      </c>
    </row>
    <row r="4">
      <c r="B4" s="24" t="inlineStr">
        <is>
          <t>clr_rightcert_package_info</t>
        </is>
      </c>
      <c r="C4" s="24" t="inlineStr">
        <is>
          <t>BARCODE</t>
        </is>
      </c>
      <c r="D4" s="24" t="inlineStr">
        <is>
          <t>varchar(32)</t>
        </is>
      </c>
      <c r="E4" s="24" t="inlineStr">
        <is>
          <t>YES</t>
        </is>
      </c>
      <c r="F4" s="24" t="inlineStr">
        <is>
          <t>条形码</t>
        </is>
      </c>
      <c r="G4" s="24" t="n"/>
      <c r="H4" s="24" t="n"/>
      <c r="I4" s="24" t="inlineStr"/>
      <c r="J4" s="24" t="inlineStr">
        <is>
          <t>2023/01/12</t>
        </is>
      </c>
    </row>
    <row r="5">
      <c r="B5" s="24" t="inlineStr">
        <is>
          <t>clr_rightcert_package_info</t>
        </is>
      </c>
      <c r="C5" s="24" t="inlineStr">
        <is>
          <t>REFSERIALNO</t>
        </is>
      </c>
      <c r="D5" s="24" t="inlineStr">
        <is>
          <t>varchar(32)</t>
        </is>
      </c>
      <c r="E5" s="24" t="inlineStr">
        <is>
          <t>YES</t>
        </is>
      </c>
      <c r="F5" s="24" t="inlineStr">
        <is>
          <t>申请组流水号;本系统)</t>
        </is>
      </c>
      <c r="G5" s="24" t="n"/>
      <c r="H5" s="24" t="n"/>
      <c r="I5" s="24" t="inlineStr"/>
      <c r="J5" s="24" t="inlineStr">
        <is>
          <t>2023/01/12</t>
        </is>
      </c>
    </row>
    <row r="6">
      <c r="B6" s="24" t="inlineStr">
        <is>
          <t>clr_rightcert_package_info</t>
        </is>
      </c>
      <c r="C6" s="24" t="inlineStr">
        <is>
          <t>REFSERIALNOOTHER</t>
        </is>
      </c>
      <c r="D6" s="24" t="inlineStr">
        <is>
          <t>varchar(32)</t>
        </is>
      </c>
      <c r="E6" s="24" t="inlineStr">
        <is>
          <t>YES</t>
        </is>
      </c>
      <c r="F6" s="24" t="inlineStr">
        <is>
          <t>申请组流水号;外围系统)</t>
        </is>
      </c>
      <c r="G6" s="24" t="n"/>
      <c r="H6" s="24" t="n"/>
      <c r="I6" s="24" t="inlineStr"/>
      <c r="J6" s="24" t="inlineStr">
        <is>
          <t>2023/01/12</t>
        </is>
      </c>
    </row>
    <row r="7">
      <c r="B7" s="24" t="inlineStr">
        <is>
          <t>clr_rightcert_package_info</t>
        </is>
      </c>
      <c r="C7" s="24" t="inlineStr">
        <is>
          <t>INOUTWHTYPE</t>
        </is>
      </c>
      <c r="D7" s="24" t="inlineStr">
        <is>
          <t>varchar(6)</t>
        </is>
      </c>
      <c r="E7" s="24" t="inlineStr">
        <is>
          <t>YES</t>
        </is>
      </c>
      <c r="F7" s="24" t="inlineStr">
        <is>
          <t>权证出入库类型</t>
        </is>
      </c>
      <c r="G7" s="24" t="n"/>
      <c r="H7" s="24" t="n"/>
      <c r="I7" s="24" t="inlineStr"/>
      <c r="J7" s="24" t="inlineStr">
        <is>
          <t>2023/01/12</t>
        </is>
      </c>
    </row>
    <row r="8">
      <c r="B8" s="24" t="inlineStr">
        <is>
          <t>clr_rightcert_package_info</t>
        </is>
      </c>
      <c r="C8" s="24" t="inlineStr">
        <is>
          <t>OPERATEUSERID</t>
        </is>
      </c>
      <c r="D8" s="24" t="inlineStr">
        <is>
          <t>varchar(32)</t>
        </is>
      </c>
      <c r="E8" s="24" t="inlineStr">
        <is>
          <t>YES</t>
        </is>
      </c>
      <c r="F8" s="24" t="inlineStr">
        <is>
          <t>封包操作人</t>
        </is>
      </c>
      <c r="G8" s="24" t="n"/>
      <c r="H8" s="24" t="n"/>
      <c r="I8" s="24" t="inlineStr"/>
      <c r="J8" s="24" t="inlineStr">
        <is>
          <t>2023/01/12</t>
        </is>
      </c>
    </row>
    <row r="9">
      <c r="B9" s="24" t="inlineStr">
        <is>
          <t>clr_rightcert_package_info</t>
        </is>
      </c>
      <c r="C9" s="24" t="inlineStr">
        <is>
          <t>OPERATEORGID</t>
        </is>
      </c>
      <c r="D9" s="24" t="inlineStr">
        <is>
          <t>varchar(32)</t>
        </is>
      </c>
      <c r="E9" s="24" t="inlineStr">
        <is>
          <t>YES</t>
        </is>
      </c>
      <c r="F9" s="24" t="inlineStr">
        <is>
          <t>封包所属机构</t>
        </is>
      </c>
      <c r="G9" s="24" t="n"/>
      <c r="H9" s="24" t="n"/>
      <c r="I9" s="24" t="inlineStr"/>
      <c r="J9" s="24" t="inlineStr">
        <is>
          <t>2023/01/12</t>
        </is>
      </c>
    </row>
    <row r="10">
      <c r="B10" s="24" t="inlineStr">
        <is>
          <t>clr_rightcert_package_info</t>
        </is>
      </c>
      <c r="C10" s="24" t="inlineStr">
        <is>
          <t>OPERATEDATE</t>
        </is>
      </c>
      <c r="D10" s="24" t="inlineStr">
        <is>
          <t>datetime</t>
        </is>
      </c>
      <c r="E10" s="24" t="inlineStr">
        <is>
          <t>YES</t>
        </is>
      </c>
      <c r="F10" s="24" t="inlineStr">
        <is>
          <t>封包日期</t>
        </is>
      </c>
      <c r="G10" s="24" t="n"/>
      <c r="H10" s="24" t="n"/>
      <c r="I10" s="24" t="inlineStr"/>
      <c r="J10" s="24" t="inlineStr">
        <is>
          <t>2023/01/12</t>
        </is>
      </c>
    </row>
    <row r="11">
      <c r="B11" s="24" t="inlineStr">
        <is>
          <t>clr_rightcert_package_info</t>
        </is>
      </c>
      <c r="C11" s="24" t="inlineStr">
        <is>
          <t>PACKAGESTATUS</t>
        </is>
      </c>
      <c r="D11" s="24" t="inlineStr">
        <is>
          <t>varchar(6)</t>
        </is>
      </c>
      <c r="E11" s="24" t="inlineStr">
        <is>
          <t>YES</t>
        </is>
      </c>
      <c r="F11" s="24" t="inlineStr">
        <is>
          <t>封包状态</t>
        </is>
      </c>
      <c r="G11" s="70">
        <f>HYPERLINK("#码值映射清单!B13700","PackageStatus")</f>
        <v/>
      </c>
      <c r="H11" s="38" t="inlineStr">
        <is>
          <t>1-未入库，2-已入库，3-已出库</t>
        </is>
      </c>
      <c r="I11" s="24" t="inlineStr"/>
      <c r="J11" s="24" t="inlineStr">
        <is>
          <t>2023/01/12</t>
        </is>
      </c>
    </row>
    <row r="12">
      <c r="B12" s="24" t="inlineStr">
        <is>
          <t>clr_rightcert_package_info</t>
        </is>
      </c>
      <c r="C12" s="24" t="inlineStr">
        <is>
          <t>CSTDPACKAGEID</t>
        </is>
      </c>
      <c r="D12" s="24" t="inlineStr">
        <is>
          <t>varchar(32)</t>
        </is>
      </c>
      <c r="E12" s="24" t="inlineStr">
        <is>
          <t>YES</t>
        </is>
      </c>
      <c r="F12" s="24" t="inlineStr">
        <is>
          <t>代保管品编号;核心）</t>
        </is>
      </c>
      <c r="G12" s="24" t="n"/>
      <c r="H12" s="24" t="n"/>
      <c r="I12" s="24" t="inlineStr"/>
      <c r="J12" s="24" t="inlineStr">
        <is>
          <t>2023/01/12</t>
        </is>
      </c>
    </row>
    <row r="13">
      <c r="B13" s="24" t="inlineStr">
        <is>
          <t>clr_rightcert_package_info</t>
        </is>
      </c>
      <c r="C13" s="24" t="inlineStr">
        <is>
          <t>WHADDRESS</t>
        </is>
      </c>
      <c r="D13" s="24" t="inlineStr">
        <is>
          <t>varchar(200)</t>
        </is>
      </c>
      <c r="E13" s="24" t="inlineStr">
        <is>
          <t>YES</t>
        </is>
      </c>
      <c r="F13" s="24" t="inlineStr">
        <is>
          <t>封包存放位置</t>
        </is>
      </c>
      <c r="G13" s="24" t="n"/>
      <c r="H13" s="24" t="n"/>
      <c r="I13" s="24" t="inlineStr"/>
      <c r="J13" s="24" t="inlineStr">
        <is>
          <t>2023/01/12</t>
        </is>
      </c>
    </row>
    <row r="14">
      <c r="B14" s="24" t="inlineStr">
        <is>
          <t>clr_rightcert_package_info</t>
        </is>
      </c>
      <c r="C14" s="24" t="inlineStr">
        <is>
          <t>INPUTUSERID</t>
        </is>
      </c>
      <c r="D14" s="24" t="inlineStr">
        <is>
          <t>varchar(32)</t>
        </is>
      </c>
      <c r="E14" s="24" t="inlineStr">
        <is>
          <t>YES</t>
        </is>
      </c>
      <c r="F14" s="24" t="inlineStr">
        <is>
          <t>登记人</t>
        </is>
      </c>
      <c r="G14" s="24" t="n"/>
      <c r="H14" s="24" t="n"/>
      <c r="I14" s="24" t="inlineStr"/>
      <c r="J14" s="24" t="inlineStr">
        <is>
          <t>2023/01/12</t>
        </is>
      </c>
    </row>
    <row r="15">
      <c r="B15" s="24" t="inlineStr">
        <is>
          <t>clr_rightcert_package_info</t>
        </is>
      </c>
      <c r="C15" s="24" t="inlineStr">
        <is>
          <t>INPUTORGID</t>
        </is>
      </c>
      <c r="D15" s="24" t="inlineStr">
        <is>
          <t>varchar(32)</t>
        </is>
      </c>
      <c r="E15" s="24" t="inlineStr">
        <is>
          <t>YES</t>
        </is>
      </c>
      <c r="F15" s="24" t="inlineStr">
        <is>
          <t>登记机构</t>
        </is>
      </c>
      <c r="G15" s="24" t="n"/>
      <c r="H15" s="24" t="n"/>
      <c r="I15" s="24" t="inlineStr"/>
      <c r="J15" s="24" t="inlineStr">
        <is>
          <t>2023/01/12</t>
        </is>
      </c>
    </row>
    <row r="16">
      <c r="B16" s="24" t="inlineStr">
        <is>
          <t>clr_rightcert_package_info</t>
        </is>
      </c>
      <c r="C16" s="24" t="inlineStr">
        <is>
          <t>INPUTDATE</t>
        </is>
      </c>
      <c r="D16" s="24" t="inlineStr">
        <is>
          <t>datetime</t>
        </is>
      </c>
      <c r="E16" s="24" t="inlineStr">
        <is>
          <t>YES</t>
        </is>
      </c>
      <c r="F16" s="24" t="inlineStr">
        <is>
          <t>登记日期</t>
        </is>
      </c>
      <c r="G16" s="24" t="n"/>
      <c r="H16" s="24" t="n"/>
      <c r="I16" s="24" t="inlineStr"/>
      <c r="J16" s="24" t="inlineStr">
        <is>
          <t>2023/01/12</t>
        </is>
      </c>
    </row>
    <row r="17">
      <c r="B17" s="24" t="inlineStr">
        <is>
          <t>clr_rightcert_package_info</t>
        </is>
      </c>
      <c r="C17" s="24" t="inlineStr">
        <is>
          <t>UPDATEUSERID</t>
        </is>
      </c>
      <c r="D17" s="24" t="inlineStr">
        <is>
          <t>varchar(32)</t>
        </is>
      </c>
      <c r="E17" s="24" t="inlineStr">
        <is>
          <t>YES</t>
        </is>
      </c>
      <c r="F17" s="24" t="inlineStr">
        <is>
          <t>更新人</t>
        </is>
      </c>
      <c r="G17" s="24" t="n"/>
      <c r="H17" s="24" t="n"/>
      <c r="I17" s="24" t="inlineStr"/>
      <c r="J17" s="24" t="inlineStr">
        <is>
          <t>2023/01/12</t>
        </is>
      </c>
    </row>
    <row r="18">
      <c r="B18" s="24" t="inlineStr">
        <is>
          <t>clr_rightcert_package_info</t>
        </is>
      </c>
      <c r="C18" s="24" t="inlineStr">
        <is>
          <t>UPDATEORGID</t>
        </is>
      </c>
      <c r="D18" s="24" t="inlineStr">
        <is>
          <t>varchar(32)</t>
        </is>
      </c>
      <c r="E18" s="24" t="inlineStr">
        <is>
          <t>YES</t>
        </is>
      </c>
      <c r="F18" s="24" t="inlineStr">
        <is>
          <t>更新机构</t>
        </is>
      </c>
      <c r="G18" s="24" t="n"/>
      <c r="H18" s="24" t="n"/>
      <c r="I18" s="24" t="inlineStr"/>
      <c r="J18" s="24" t="inlineStr">
        <is>
          <t>2023/01/12</t>
        </is>
      </c>
    </row>
    <row r="19">
      <c r="B19" s="24" t="inlineStr">
        <is>
          <t>clr_rightcert_package_info</t>
        </is>
      </c>
      <c r="C19" s="24" t="inlineStr">
        <is>
          <t>UPDATEDATE</t>
        </is>
      </c>
      <c r="D19" s="24" t="inlineStr">
        <is>
          <t>datetime</t>
        </is>
      </c>
      <c r="E19" s="24" t="inlineStr">
        <is>
          <t>YES</t>
        </is>
      </c>
      <c r="F19" s="24" t="inlineStr">
        <is>
          <t>更新日期</t>
        </is>
      </c>
      <c r="G19" s="24" t="n"/>
      <c r="H19" s="24" t="n"/>
      <c r="I19" s="24" t="inlineStr"/>
      <c r="J19" s="24" t="inlineStr">
        <is>
          <t>2023/01/12</t>
        </is>
      </c>
    </row>
    <row r="20">
      <c r="B20" s="24" t="inlineStr">
        <is>
          <t>clr_rightcert_package_info</t>
        </is>
      </c>
      <c r="C20" s="24" t="inlineStr">
        <is>
          <t>CORPORGID</t>
        </is>
      </c>
      <c r="D20" s="24" t="inlineStr">
        <is>
          <t>varchar(32)</t>
        </is>
      </c>
      <c r="E20" s="24" t="inlineStr">
        <is>
          <t>YES</t>
        </is>
      </c>
      <c r="F20" s="24" t="inlineStr">
        <is>
          <t>法人机构编号</t>
        </is>
      </c>
      <c r="G20" s="24" t="n"/>
      <c r="H20" s="24" t="n"/>
      <c r="I20" s="24" t="inlineStr"/>
      <c r="J20" s="24" t="inlineStr">
        <is>
          <t>2023/01/12</t>
        </is>
      </c>
    </row>
    <row r="21">
      <c r="B21" s="109" t="inlineStr">
        <is>
          <t>clr_rightcert_package_info</t>
        </is>
      </c>
      <c r="C21" s="109" t="inlineStr">
        <is>
          <t>TWODIMCODE</t>
        </is>
      </c>
      <c r="D21" s="109" t="inlineStr">
        <is>
          <t>varchar(4000)</t>
        </is>
      </c>
      <c r="E21" s="109" t="inlineStr">
        <is>
          <t>YES</t>
        </is>
      </c>
      <c r="F21" s="109" t="inlineStr">
        <is>
          <t>二维码</t>
        </is>
      </c>
      <c r="G21" s="109" t="n"/>
      <c r="H21" s="109" t="n"/>
      <c r="I21" s="109" t="inlineStr"/>
      <c r="J21" s="109" t="inlineStr">
        <is>
          <t>2023/01/12</t>
        </is>
      </c>
    </row>
    <row r="22" ht="16" customHeight="1" s="170">
      <c r="B22" s="65" t="inlineStr">
        <is>
          <t>clr_rightcert_package_info</t>
        </is>
      </c>
      <c r="C22" s="60" t="inlineStr">
        <is>
          <t>STORETYPE</t>
        </is>
      </c>
      <c r="D22" s="65" t="inlineStr">
        <is>
          <t>varchar(6)</t>
        </is>
      </c>
      <c r="E22" s="65" t="inlineStr">
        <is>
          <t>YES</t>
        </is>
      </c>
      <c r="F22" s="59" t="inlineStr">
        <is>
          <t>介质类型</t>
        </is>
      </c>
      <c r="G22" s="71">
        <f>HYPERLINK("#码值映射清单!B13697","StoreType")</f>
        <v/>
      </c>
      <c r="H22" s="59" t="inlineStr">
        <is>
          <t>1-电子权证、2-纸质权证</t>
        </is>
      </c>
      <c r="I22" s="60" t="n"/>
      <c r="J22" s="180" t="n">
        <v>45740</v>
      </c>
    </row>
    <row r="23">
      <c r="B23" s="65" t="inlineStr">
        <is>
          <t>clr_rightcert_package_info</t>
        </is>
      </c>
      <c r="C23" s="60" t="inlineStr">
        <is>
          <t>ORGID</t>
        </is>
      </c>
      <c r="D23" s="65" t="inlineStr">
        <is>
          <t>varchar(32)</t>
        </is>
      </c>
      <c r="E23" s="65" t="inlineStr">
        <is>
          <t>YES</t>
        </is>
      </c>
      <c r="F23" s="59" t="inlineStr">
        <is>
          <t>记账机构</t>
        </is>
      </c>
      <c r="G23" s="60" t="n"/>
      <c r="H23" s="60" t="n"/>
      <c r="I23" s="60" t="n"/>
      <c r="J23" s="180" t="n">
        <v>45740</v>
      </c>
    </row>
    <row r="24">
      <c r="B24" s="65" t="inlineStr">
        <is>
          <t>clr_rightcert_package_info</t>
        </is>
      </c>
      <c r="C24" s="69" t="inlineStr">
        <is>
          <t>CONTRACTNO</t>
        </is>
      </c>
      <c r="D24" s="65" t="inlineStr">
        <is>
          <t>varchar(33)</t>
        </is>
      </c>
      <c r="E24" s="65" t="inlineStr">
        <is>
          <t>YES</t>
        </is>
      </c>
      <c r="F24" s="59" t="inlineStr">
        <is>
          <t>合同编号</t>
        </is>
      </c>
      <c r="G24" s="60" t="n"/>
      <c r="H24" s="60" t="n"/>
      <c r="I24" s="60" t="n"/>
      <c r="J24" s="180" t="n">
        <v>45740</v>
      </c>
    </row>
    <row r="25">
      <c r="B25" s="65" t="inlineStr">
        <is>
          <t>clr_rightcert_package_info</t>
        </is>
      </c>
      <c r="C25" s="69" t="inlineStr">
        <is>
          <t>APPLYNO</t>
        </is>
      </c>
      <c r="D25" s="65" t="inlineStr">
        <is>
          <t>varchar(33)</t>
        </is>
      </c>
      <c r="E25" s="65" t="inlineStr">
        <is>
          <t>YES</t>
        </is>
      </c>
      <c r="F25" s="59" t="inlineStr">
        <is>
          <t>出入库申请编号</t>
        </is>
      </c>
      <c r="G25" s="60" t="n"/>
      <c r="H25" s="60" t="n"/>
      <c r="I25" s="60" t="n"/>
      <c r="J25" s="180" t="n">
        <v>45740</v>
      </c>
    </row>
  </sheetData>
  <pageMargins left="0.75" right="0.75" top="1" bottom="1" header="0.5" footer="0.5"/>
  <pageSetup orientation="portrait" paperSize="1" horizontalDpi="300" verticalDpi="300"/>
</worksheet>
</file>

<file path=xl/worksheets/sheet96.xml><?xml version="1.0" encoding="utf-8"?>
<worksheet xmlns="http://schemas.openxmlformats.org/spreadsheetml/2006/main">
  <sheetPr>
    <outlinePr summaryBelow="1" summaryRight="1"/>
    <pageSetUpPr/>
  </sheetPr>
  <dimension ref="A1:J20"/>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权证出入库记录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clr_rightcert_tranrecord</t>
        </is>
      </c>
      <c r="C3" s="24" t="inlineStr">
        <is>
          <t>SERIALNO</t>
        </is>
      </c>
      <c r="D3" s="24" t="inlineStr">
        <is>
          <t>varchar(32)</t>
        </is>
      </c>
      <c r="E3" s="24" t="inlineStr">
        <is>
          <t>NO</t>
        </is>
      </c>
      <c r="F3" s="24" t="inlineStr">
        <is>
          <t>出入库流水号</t>
        </is>
      </c>
      <c r="G3" s="24" t="n"/>
      <c r="H3" s="24" t="n"/>
      <c r="I3" s="24" t="inlineStr"/>
      <c r="J3" s="24" t="inlineStr">
        <is>
          <t>2023/01/12</t>
        </is>
      </c>
    </row>
    <row r="4">
      <c r="B4" s="24" t="inlineStr">
        <is>
          <t>clr_rightcert_tranrecord</t>
        </is>
      </c>
      <c r="C4" s="24" t="inlineStr">
        <is>
          <t>RIGHTCERTID</t>
        </is>
      </c>
      <c r="D4" s="24" t="inlineStr">
        <is>
          <t>varchar(32)</t>
        </is>
      </c>
      <c r="E4" s="24" t="inlineStr">
        <is>
          <t>YES</t>
        </is>
      </c>
      <c r="F4" s="24" t="inlineStr">
        <is>
          <t>权证编号</t>
        </is>
      </c>
      <c r="G4" s="24" t="n"/>
      <c r="H4" s="24" t="n"/>
      <c r="I4" s="24" t="inlineStr"/>
      <c r="J4" s="24" t="inlineStr">
        <is>
          <t>2023/01/12</t>
        </is>
      </c>
    </row>
    <row r="5">
      <c r="B5" s="24" t="inlineStr">
        <is>
          <t>clr_rightcert_tranrecord</t>
        </is>
      </c>
      <c r="C5" s="24" t="inlineStr">
        <is>
          <t>CLRID</t>
        </is>
      </c>
      <c r="D5" s="24" t="inlineStr">
        <is>
          <t>varchar(32)</t>
        </is>
      </c>
      <c r="E5" s="24" t="inlineStr">
        <is>
          <t>YES</t>
        </is>
      </c>
      <c r="F5" s="24" t="inlineStr">
        <is>
          <t>押品编号</t>
        </is>
      </c>
      <c r="G5" s="24" t="n"/>
      <c r="H5" s="24" t="n"/>
      <c r="I5" s="24" t="inlineStr"/>
      <c r="J5" s="24" t="inlineStr">
        <is>
          <t>2023/01/12</t>
        </is>
      </c>
    </row>
    <row r="6">
      <c r="B6" s="24" t="inlineStr">
        <is>
          <t>clr_rightcert_tranrecord</t>
        </is>
      </c>
      <c r="C6" s="24" t="inlineStr">
        <is>
          <t>REFSERIALNO</t>
        </is>
      </c>
      <c r="D6" s="24" t="inlineStr">
        <is>
          <t>varchar(32)</t>
        </is>
      </c>
      <c r="E6" s="24" t="inlineStr">
        <is>
          <t>YES</t>
        </is>
      </c>
      <c r="F6" s="24" t="inlineStr">
        <is>
          <t>针对临时出库的凭证;其再回库记录的关联流水号为其临时出库流水号</t>
        </is>
      </c>
      <c r="G6" s="24" t="n"/>
      <c r="H6" s="24" t="n"/>
      <c r="I6" s="24" t="inlineStr"/>
      <c r="J6" s="24" t="inlineStr">
        <is>
          <t>2023/01/12</t>
        </is>
      </c>
    </row>
    <row r="7">
      <c r="B7" s="24" t="inlineStr">
        <is>
          <t>clr_rightcert_tranrecord</t>
        </is>
      </c>
      <c r="C7" s="24" t="inlineStr">
        <is>
          <t>INOUTWHTYPE</t>
        </is>
      </c>
      <c r="D7" s="24" t="inlineStr">
        <is>
          <t>varchar(6)</t>
        </is>
      </c>
      <c r="E7" s="24" t="inlineStr">
        <is>
          <t>YES</t>
        </is>
      </c>
      <c r="F7" s="43" t="inlineStr">
        <is>
          <t>出入库类型</t>
        </is>
      </c>
      <c r="G7" s="61">
        <f>HYPERLINK("#码值映射清单!B7666","InOutWHType")</f>
        <v/>
      </c>
      <c r="H7" s="43" t="n"/>
      <c r="I7" s="24" t="inlineStr"/>
      <c r="J7" s="24" t="inlineStr">
        <is>
          <t>2023/01/12</t>
        </is>
      </c>
    </row>
    <row r="8">
      <c r="B8" s="24" t="inlineStr">
        <is>
          <t>clr_rightcert_tranrecord</t>
        </is>
      </c>
      <c r="C8" s="24" t="inlineStr">
        <is>
          <t>INOUTWHREASON</t>
        </is>
      </c>
      <c r="D8" s="24" t="inlineStr">
        <is>
          <t>varchar(200)</t>
        </is>
      </c>
      <c r="E8" s="24" t="inlineStr">
        <is>
          <t>YES</t>
        </is>
      </c>
      <c r="F8" s="24" t="inlineStr">
        <is>
          <t>出入库原因</t>
        </is>
      </c>
      <c r="G8" s="68">
        <f>HYPERLINK("#码值映射清单!B3007","InOutRCReason")</f>
        <v/>
      </c>
      <c r="H8" s="24" t="n"/>
      <c r="I8" s="24" t="inlineStr"/>
      <c r="J8" s="180" t="n">
        <v>45740</v>
      </c>
    </row>
    <row r="9">
      <c r="B9" s="24" t="inlineStr">
        <is>
          <t>clr_rightcert_tranrecord</t>
        </is>
      </c>
      <c r="C9" s="24" t="inlineStr">
        <is>
          <t>PACKAGEID</t>
        </is>
      </c>
      <c r="D9" s="24" t="inlineStr">
        <is>
          <t>varchar(32)</t>
        </is>
      </c>
      <c r="E9" s="24" t="inlineStr">
        <is>
          <t>YES</t>
        </is>
      </c>
      <c r="F9" s="24" t="inlineStr">
        <is>
          <t>封包编号</t>
        </is>
      </c>
      <c r="G9" s="24" t="n"/>
      <c r="H9" s="24" t="n"/>
      <c r="I9" s="24" t="inlineStr"/>
      <c r="J9" s="24" t="inlineStr">
        <is>
          <t>2023/01/12</t>
        </is>
      </c>
    </row>
    <row r="10">
      <c r="B10" s="24" t="inlineStr">
        <is>
          <t>clr_rightcert_tranrecord</t>
        </is>
      </c>
      <c r="C10" s="24" t="inlineStr">
        <is>
          <t>APPLYORGID</t>
        </is>
      </c>
      <c r="D10" s="24" t="inlineStr">
        <is>
          <t>varchar(80)</t>
        </is>
      </c>
      <c r="E10" s="24" t="inlineStr">
        <is>
          <t>YES</t>
        </is>
      </c>
      <c r="F10" s="24" t="inlineStr">
        <is>
          <t>发起机构</t>
        </is>
      </c>
      <c r="G10" s="24" t="n"/>
      <c r="H10" s="24" t="n"/>
      <c r="I10" s="24" t="inlineStr"/>
      <c r="J10" s="24" t="inlineStr">
        <is>
          <t>2023/01/12</t>
        </is>
      </c>
    </row>
    <row r="11">
      <c r="B11" s="24" t="inlineStr">
        <is>
          <t>clr_rightcert_tranrecord</t>
        </is>
      </c>
      <c r="C11" s="24" t="inlineStr">
        <is>
          <t>APPLYUSERID</t>
        </is>
      </c>
      <c r="D11" s="24" t="inlineStr">
        <is>
          <t>varchar(80)</t>
        </is>
      </c>
      <c r="E11" s="24" t="inlineStr">
        <is>
          <t>YES</t>
        </is>
      </c>
      <c r="F11" s="24" t="inlineStr">
        <is>
          <t>发起人</t>
        </is>
      </c>
      <c r="G11" s="24" t="n"/>
      <c r="H11" s="24" t="n"/>
      <c r="I11" s="24" t="inlineStr"/>
      <c r="J11" s="24" t="inlineStr">
        <is>
          <t>2023/01/12</t>
        </is>
      </c>
    </row>
    <row r="12">
      <c r="B12" s="24" t="inlineStr">
        <is>
          <t>clr_rightcert_tranrecord</t>
        </is>
      </c>
      <c r="C12" s="24" t="inlineStr">
        <is>
          <t>APPLYDATE</t>
        </is>
      </c>
      <c r="D12" s="24" t="inlineStr">
        <is>
          <t>varchar(18)</t>
        </is>
      </c>
      <c r="E12" s="24" t="inlineStr">
        <is>
          <t>YES</t>
        </is>
      </c>
      <c r="F12" s="24" t="inlineStr">
        <is>
          <t>发起日期</t>
        </is>
      </c>
      <c r="G12" s="24" t="n"/>
      <c r="H12" s="24" t="n"/>
      <c r="I12" s="24" t="inlineStr"/>
      <c r="J12" s="24" t="inlineStr">
        <is>
          <t>2023/01/12</t>
        </is>
      </c>
    </row>
    <row r="13">
      <c r="B13" s="24" t="inlineStr">
        <is>
          <t>clr_rightcert_tranrecord</t>
        </is>
      </c>
      <c r="C13" s="24" t="inlineStr">
        <is>
          <t>REMARK</t>
        </is>
      </c>
      <c r="D13" s="24" t="inlineStr">
        <is>
          <t>varchar(1000)</t>
        </is>
      </c>
      <c r="E13" s="24" t="inlineStr">
        <is>
          <t>YES</t>
        </is>
      </c>
      <c r="F13" s="24" t="inlineStr">
        <is>
          <t>备注</t>
        </is>
      </c>
      <c r="G13" s="24" t="n"/>
      <c r="H13" s="24" t="n"/>
      <c r="I13" s="24" t="inlineStr"/>
      <c r="J13" s="24" t="inlineStr">
        <is>
          <t>2023/01/12</t>
        </is>
      </c>
    </row>
    <row r="14">
      <c r="B14" s="24" t="inlineStr">
        <is>
          <t>clr_rightcert_tranrecord</t>
        </is>
      </c>
      <c r="C14" s="24" t="inlineStr">
        <is>
          <t>INPUTUSERID</t>
        </is>
      </c>
      <c r="D14" s="24" t="inlineStr">
        <is>
          <t>varchar(32)</t>
        </is>
      </c>
      <c r="E14" s="24" t="inlineStr">
        <is>
          <t>YES</t>
        </is>
      </c>
      <c r="F14" s="24" t="inlineStr">
        <is>
          <t>登记人</t>
        </is>
      </c>
      <c r="G14" s="24" t="n"/>
      <c r="H14" s="24" t="n"/>
      <c r="I14" s="24" t="inlineStr"/>
      <c r="J14" s="24" t="inlineStr">
        <is>
          <t>2023/01/12</t>
        </is>
      </c>
    </row>
    <row r="15">
      <c r="B15" s="24" t="inlineStr">
        <is>
          <t>clr_rightcert_tranrecord</t>
        </is>
      </c>
      <c r="C15" s="24" t="inlineStr">
        <is>
          <t>INPUTORGID</t>
        </is>
      </c>
      <c r="D15" s="24" t="inlineStr">
        <is>
          <t>varchar(32)</t>
        </is>
      </c>
      <c r="E15" s="24" t="inlineStr">
        <is>
          <t>YES</t>
        </is>
      </c>
      <c r="F15" s="24" t="inlineStr">
        <is>
          <t>登记机构</t>
        </is>
      </c>
      <c r="G15" s="24" t="n"/>
      <c r="H15" s="24" t="n"/>
      <c r="I15" s="24" t="inlineStr"/>
      <c r="J15" s="24" t="inlineStr">
        <is>
          <t>2023/01/12</t>
        </is>
      </c>
    </row>
    <row r="16">
      <c r="B16" s="24" t="inlineStr">
        <is>
          <t>clr_rightcert_tranrecord</t>
        </is>
      </c>
      <c r="C16" s="24" t="inlineStr">
        <is>
          <t>INPUTDATE</t>
        </is>
      </c>
      <c r="D16" s="24" t="inlineStr">
        <is>
          <t>datetime</t>
        </is>
      </c>
      <c r="E16" s="24" t="inlineStr">
        <is>
          <t>YES</t>
        </is>
      </c>
      <c r="F16" s="24" t="inlineStr">
        <is>
          <t>登记日期</t>
        </is>
      </c>
      <c r="G16" s="24" t="n"/>
      <c r="H16" s="24" t="n"/>
      <c r="I16" s="24" t="inlineStr"/>
      <c r="J16" s="24" t="inlineStr">
        <is>
          <t>2023/01/12</t>
        </is>
      </c>
    </row>
    <row r="17">
      <c r="B17" s="24" t="inlineStr">
        <is>
          <t>clr_rightcert_tranrecord</t>
        </is>
      </c>
      <c r="C17" s="24" t="inlineStr">
        <is>
          <t>UPDATEUSERID</t>
        </is>
      </c>
      <c r="D17" s="24" t="inlineStr">
        <is>
          <t>varchar(32)</t>
        </is>
      </c>
      <c r="E17" s="24" t="inlineStr">
        <is>
          <t>YES</t>
        </is>
      </c>
      <c r="F17" s="24" t="inlineStr">
        <is>
          <t>更新人</t>
        </is>
      </c>
      <c r="G17" s="24" t="n"/>
      <c r="H17" s="24" t="n"/>
      <c r="I17" s="24" t="inlineStr"/>
      <c r="J17" s="24" t="inlineStr">
        <is>
          <t>2023/01/12</t>
        </is>
      </c>
    </row>
    <row r="18">
      <c r="B18" s="24" t="inlineStr">
        <is>
          <t>clr_rightcert_tranrecord</t>
        </is>
      </c>
      <c r="C18" s="24" t="inlineStr">
        <is>
          <t>UPDATEORGID</t>
        </is>
      </c>
      <c r="D18" s="24" t="inlineStr">
        <is>
          <t>varchar(32)</t>
        </is>
      </c>
      <c r="E18" s="24" t="inlineStr">
        <is>
          <t>YES</t>
        </is>
      </c>
      <c r="F18" s="24" t="inlineStr">
        <is>
          <t>更新机构</t>
        </is>
      </c>
      <c r="G18" s="24" t="n"/>
      <c r="H18" s="24" t="n"/>
      <c r="I18" s="24" t="inlineStr"/>
      <c r="J18" s="24" t="inlineStr">
        <is>
          <t>2023/01/12</t>
        </is>
      </c>
    </row>
    <row r="19">
      <c r="B19" s="24" t="inlineStr">
        <is>
          <t>clr_rightcert_tranrecord</t>
        </is>
      </c>
      <c r="C19" s="24" t="inlineStr">
        <is>
          <t>UPDATEDATE</t>
        </is>
      </c>
      <c r="D19" s="24" t="inlineStr">
        <is>
          <t>datetime</t>
        </is>
      </c>
      <c r="E19" s="24" t="inlineStr">
        <is>
          <t>YES</t>
        </is>
      </c>
      <c r="F19" s="24" t="inlineStr">
        <is>
          <t>更新日期</t>
        </is>
      </c>
      <c r="G19" s="24" t="n"/>
      <c r="H19" s="24" t="n"/>
      <c r="I19" s="24" t="inlineStr"/>
      <c r="J19" s="24" t="inlineStr">
        <is>
          <t>2023/01/12</t>
        </is>
      </c>
    </row>
    <row r="20">
      <c r="B20" s="24" t="inlineStr">
        <is>
          <t>clr_rightcert_tranrecord</t>
        </is>
      </c>
      <c r="C20" s="24" t="inlineStr">
        <is>
          <t>CORPORGID</t>
        </is>
      </c>
      <c r="D20" s="24" t="inlineStr">
        <is>
          <t>varchar(32)</t>
        </is>
      </c>
      <c r="E20" s="24" t="inlineStr">
        <is>
          <t>YES</t>
        </is>
      </c>
      <c r="F20" s="24" t="inlineStr">
        <is>
          <t>法人机构编号</t>
        </is>
      </c>
      <c r="G20" s="24" t="n"/>
      <c r="H20" s="24" t="n"/>
      <c r="I20" s="24" t="inlineStr"/>
      <c r="J20" s="24" t="inlineStr">
        <is>
          <t>2023/01/12</t>
        </is>
      </c>
    </row>
  </sheetData>
  <pageMargins left="0.75" right="0.75" top="1" bottom="1" header="0.5" footer="0.5"/>
  <pageSetup orientation="portrait" paperSize="1" horizontalDpi="300" verticalDpi="300"/>
</worksheet>
</file>

<file path=xl/worksheets/sheet97.xml><?xml version="1.0" encoding="utf-8"?>
<worksheet xmlns="http://schemas.openxmlformats.org/spreadsheetml/2006/main">
  <sheetPr>
    <outlinePr summaryBelow="1" summaryRight="1"/>
    <pageSetUpPr/>
  </sheetPr>
  <dimension ref="A1:J23"/>
  <sheetViews>
    <sheetView zoomScaleSheetLayoutView="60" workbookViewId="0">
      <selection activeCell="A1" sqref="A1"/>
    </sheetView>
  </sheetViews>
  <sheetFormatPr baseColWidth="8" defaultColWidth="9.142857142857141" defaultRowHeight="15.2"/>
  <cols>
    <col width="19.5357142857143" customWidth="1" style="170" min="2" max="2"/>
    <col width="20.4285714285714" customWidth="1" style="170" min="3" max="3"/>
    <col width="15.625" customWidth="1" style="170" min="4"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权证出入库申请</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clr_rightcert_trappl</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clr_rightcert_trappl</t>
        </is>
      </c>
      <c r="C4" s="24" t="inlineStr">
        <is>
          <t>REFSERIALNO</t>
        </is>
      </c>
      <c r="D4" s="24" t="inlineStr">
        <is>
          <t>varchar(32)</t>
        </is>
      </c>
      <c r="E4" s="24" t="inlineStr">
        <is>
          <t>YES</t>
        </is>
      </c>
      <c r="F4" s="24" t="inlineStr">
        <is>
          <t>关联申请组流水号;本系统）</t>
        </is>
      </c>
      <c r="G4" s="24" t="n"/>
      <c r="H4" s="24" t="n"/>
      <c r="I4" s="24" t="inlineStr"/>
      <c r="J4" s="24" t="inlineStr">
        <is>
          <t>2023/01/12</t>
        </is>
      </c>
    </row>
    <row r="5">
      <c r="B5" s="24" t="inlineStr">
        <is>
          <t>clr_rightcert_trappl</t>
        </is>
      </c>
      <c r="C5" s="24" t="inlineStr">
        <is>
          <t>INOUTWHTYPE</t>
        </is>
      </c>
      <c r="D5" s="24" t="inlineStr">
        <is>
          <t>varchar(6)</t>
        </is>
      </c>
      <c r="E5" s="24" t="inlineStr">
        <is>
          <t>YES</t>
        </is>
      </c>
      <c r="F5" s="24" t="inlineStr">
        <is>
          <t>出入库申请类型</t>
        </is>
      </c>
      <c r="G5" s="24" t="n"/>
      <c r="H5" s="49" t="inlineStr">
        <is>
          <t>申请类型：1-入库、2-出库</t>
        </is>
      </c>
      <c r="I5" s="24" t="inlineStr"/>
      <c r="J5" s="180" t="n">
        <v>45740</v>
      </c>
    </row>
    <row r="6">
      <c r="B6" s="24" t="inlineStr">
        <is>
          <t>clr_rightcert_trappl</t>
        </is>
      </c>
      <c r="C6" s="24" t="inlineStr">
        <is>
          <t>RIGHTCERTID</t>
        </is>
      </c>
      <c r="D6" s="24" t="inlineStr">
        <is>
          <t>varchar(32)</t>
        </is>
      </c>
      <c r="E6" s="24" t="inlineStr">
        <is>
          <t>YES</t>
        </is>
      </c>
      <c r="F6" s="24" t="inlineStr">
        <is>
          <t>权证编号</t>
        </is>
      </c>
      <c r="G6" s="24" t="n"/>
      <c r="H6" s="24" t="n"/>
      <c r="I6" s="24" t="inlineStr"/>
      <c r="J6" s="24" t="inlineStr">
        <is>
          <t>2023/01/12</t>
        </is>
      </c>
    </row>
    <row r="7">
      <c r="B7" s="24" t="inlineStr">
        <is>
          <t>clr_rightcert_trappl</t>
        </is>
      </c>
      <c r="C7" s="24" t="inlineStr">
        <is>
          <t>PACKAGEID</t>
        </is>
      </c>
      <c r="D7" s="24" t="inlineStr">
        <is>
          <t>varchar(32)</t>
        </is>
      </c>
      <c r="E7" s="24" t="inlineStr">
        <is>
          <t>YES</t>
        </is>
      </c>
      <c r="F7" s="24" t="inlineStr">
        <is>
          <t>封包编号</t>
        </is>
      </c>
      <c r="G7" s="24" t="n"/>
      <c r="H7" s="24" t="n"/>
      <c r="I7" s="24" t="inlineStr"/>
      <c r="J7" s="24" t="inlineStr">
        <is>
          <t>2023/01/12</t>
        </is>
      </c>
    </row>
    <row r="8">
      <c r="B8" s="24" t="inlineStr">
        <is>
          <t>clr_rightcert_trappl</t>
        </is>
      </c>
      <c r="C8" s="24" t="inlineStr">
        <is>
          <t>PACKAGESTATUS</t>
        </is>
      </c>
      <c r="D8" s="24" t="inlineStr">
        <is>
          <t>varchar(6)</t>
        </is>
      </c>
      <c r="E8" s="24" t="inlineStr">
        <is>
          <t>YES</t>
        </is>
      </c>
      <c r="F8" s="24" t="inlineStr">
        <is>
          <t>封包状态</t>
        </is>
      </c>
      <c r="G8" s="24" t="n"/>
      <c r="H8" s="24" t="n"/>
      <c r="I8" s="24" t="inlineStr"/>
      <c r="J8" s="24" t="inlineStr">
        <is>
          <t>2023/01/12</t>
        </is>
      </c>
    </row>
    <row r="9">
      <c r="B9" s="24" t="inlineStr">
        <is>
          <t>clr_rightcert_trappl</t>
        </is>
      </c>
      <c r="C9" s="24" t="inlineStr">
        <is>
          <t>OLDPACKAGEID</t>
        </is>
      </c>
      <c r="D9" s="24" t="inlineStr">
        <is>
          <t>varchar(32)</t>
        </is>
      </c>
      <c r="E9" s="24" t="inlineStr">
        <is>
          <t>YES</t>
        </is>
      </c>
      <c r="F9" s="24" t="inlineStr">
        <is>
          <t>原封包编号</t>
        </is>
      </c>
      <c r="G9" s="24" t="n"/>
      <c r="H9" s="24" t="n"/>
      <c r="I9" s="24" t="inlineStr"/>
      <c r="J9" s="24" t="inlineStr">
        <is>
          <t>2023/01/12</t>
        </is>
      </c>
    </row>
    <row r="10">
      <c r="B10" s="24" t="inlineStr">
        <is>
          <t>clr_rightcert_trappl</t>
        </is>
      </c>
      <c r="C10" s="24" t="inlineStr">
        <is>
          <t>ISNEEDREINWH</t>
        </is>
      </c>
      <c r="D10" s="24" t="inlineStr">
        <is>
          <t>char(1)</t>
        </is>
      </c>
      <c r="E10" s="24" t="inlineStr">
        <is>
          <t>YES</t>
        </is>
      </c>
      <c r="F10" s="53" t="inlineStr">
        <is>
          <t>是否需要再回库</t>
        </is>
      </c>
      <c r="G10" s="24" t="n"/>
      <c r="H10" s="24" t="n"/>
      <c r="I10" s="24" t="inlineStr"/>
      <c r="J10" s="24" t="inlineStr">
        <is>
          <t>2023/01/12</t>
        </is>
      </c>
    </row>
    <row r="11">
      <c r="B11" s="24" t="inlineStr">
        <is>
          <t>clr_rightcert_trappl</t>
        </is>
      </c>
      <c r="C11" s="24" t="inlineStr">
        <is>
          <t>EXPECTRETURNDATE</t>
        </is>
      </c>
      <c r="D11" s="24" t="inlineStr">
        <is>
          <t>varchar(18)</t>
        </is>
      </c>
      <c r="E11" s="24" t="inlineStr">
        <is>
          <t>YES</t>
        </is>
      </c>
      <c r="F11" s="24" t="inlineStr">
        <is>
          <t>预计归还日期</t>
        </is>
      </c>
      <c r="G11" s="24" t="n"/>
      <c r="H11" s="24" t="n"/>
      <c r="I11" s="24" t="inlineStr"/>
      <c r="J11" s="24" t="inlineStr">
        <is>
          <t>2023/01/12</t>
        </is>
      </c>
    </row>
    <row r="12">
      <c r="B12" s="24" t="inlineStr">
        <is>
          <t>clr_rightcert_trappl</t>
        </is>
      </c>
      <c r="C12" s="24" t="inlineStr">
        <is>
          <t>REMARK</t>
        </is>
      </c>
      <c r="D12" s="24" t="inlineStr">
        <is>
          <t>varchar(1000)</t>
        </is>
      </c>
      <c r="E12" s="24" t="inlineStr">
        <is>
          <t>YES</t>
        </is>
      </c>
      <c r="F12" s="24" t="inlineStr">
        <is>
          <t>备注</t>
        </is>
      </c>
      <c r="G12" s="24" t="n"/>
      <c r="H12" s="24" t="n"/>
      <c r="I12" s="24" t="inlineStr"/>
      <c r="J12" s="24" t="inlineStr">
        <is>
          <t>2023/01/12</t>
        </is>
      </c>
    </row>
    <row r="13">
      <c r="B13" s="24" t="inlineStr">
        <is>
          <t>clr_rightcert_trappl</t>
        </is>
      </c>
      <c r="C13" s="24" t="inlineStr">
        <is>
          <t>INPUTUSERID</t>
        </is>
      </c>
      <c r="D13" s="24" t="inlineStr">
        <is>
          <t>varchar(32)</t>
        </is>
      </c>
      <c r="E13" s="24" t="inlineStr">
        <is>
          <t>YES</t>
        </is>
      </c>
      <c r="F13" s="24" t="inlineStr">
        <is>
          <t>登记人</t>
        </is>
      </c>
      <c r="G13" s="24" t="n"/>
      <c r="H13" s="24" t="n"/>
      <c r="I13" s="24" t="inlineStr"/>
      <c r="J13" s="24" t="inlineStr">
        <is>
          <t>2023/01/12</t>
        </is>
      </c>
    </row>
    <row r="14">
      <c r="B14" s="24" t="inlineStr">
        <is>
          <t>clr_rightcert_trappl</t>
        </is>
      </c>
      <c r="C14" s="24" t="inlineStr">
        <is>
          <t>INPUTORGID</t>
        </is>
      </c>
      <c r="D14" s="24" t="inlineStr">
        <is>
          <t>varchar(32)</t>
        </is>
      </c>
      <c r="E14" s="24" t="inlineStr">
        <is>
          <t>YES</t>
        </is>
      </c>
      <c r="F14" s="24" t="inlineStr">
        <is>
          <t>登记机构</t>
        </is>
      </c>
      <c r="G14" s="24" t="n"/>
      <c r="H14" s="24" t="n"/>
      <c r="I14" s="24" t="inlineStr"/>
      <c r="J14" s="24" t="inlineStr">
        <is>
          <t>2023/01/12</t>
        </is>
      </c>
    </row>
    <row r="15">
      <c r="B15" s="24" t="inlineStr">
        <is>
          <t>clr_rightcert_trappl</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clr_rightcert_trappl</t>
        </is>
      </c>
      <c r="C16" s="24" t="inlineStr">
        <is>
          <t>UPDATEUSERID</t>
        </is>
      </c>
      <c r="D16" s="24" t="inlineStr">
        <is>
          <t>varchar(32)</t>
        </is>
      </c>
      <c r="E16" s="24" t="inlineStr">
        <is>
          <t>YES</t>
        </is>
      </c>
      <c r="F16" s="24" t="inlineStr">
        <is>
          <t>更新人</t>
        </is>
      </c>
      <c r="G16" s="24" t="n"/>
      <c r="H16" s="24" t="n"/>
      <c r="I16" s="24" t="inlineStr"/>
      <c r="J16" s="24" t="inlineStr">
        <is>
          <t>2023/01/12</t>
        </is>
      </c>
    </row>
    <row r="17">
      <c r="B17" s="24" t="inlineStr">
        <is>
          <t>clr_rightcert_trappl</t>
        </is>
      </c>
      <c r="C17" s="24" t="inlineStr">
        <is>
          <t>UPDATEORGID</t>
        </is>
      </c>
      <c r="D17" s="24" t="inlineStr">
        <is>
          <t>varchar(32)</t>
        </is>
      </c>
      <c r="E17" s="24" t="inlineStr">
        <is>
          <t>YES</t>
        </is>
      </c>
      <c r="F17" s="24" t="inlineStr">
        <is>
          <t>更新机构</t>
        </is>
      </c>
      <c r="G17" s="24" t="n"/>
      <c r="H17" s="24" t="n"/>
      <c r="I17" s="24" t="inlineStr"/>
      <c r="J17" s="24" t="inlineStr">
        <is>
          <t>2023/01/12</t>
        </is>
      </c>
    </row>
    <row r="18">
      <c r="B18" s="24" t="inlineStr">
        <is>
          <t>clr_rightcert_trappl</t>
        </is>
      </c>
      <c r="C18" s="24" t="inlineStr">
        <is>
          <t>UPDATEDATE</t>
        </is>
      </c>
      <c r="D18" s="24" t="inlineStr">
        <is>
          <t>datetime</t>
        </is>
      </c>
      <c r="E18" s="24" t="inlineStr">
        <is>
          <t>YES</t>
        </is>
      </c>
      <c r="F18" s="24" t="inlineStr">
        <is>
          <t>更新日期</t>
        </is>
      </c>
      <c r="G18" s="24" t="n"/>
      <c r="H18" s="24" t="n"/>
      <c r="I18" s="24" t="inlineStr"/>
      <c r="J18" s="24" t="inlineStr">
        <is>
          <t>2023/01/12</t>
        </is>
      </c>
    </row>
    <row r="19">
      <c r="B19" s="24" t="inlineStr">
        <is>
          <t>clr_rightcert_trappl</t>
        </is>
      </c>
      <c r="C19" s="109" t="inlineStr">
        <is>
          <t>CORPORGID</t>
        </is>
      </c>
      <c r="D19" s="109" t="inlineStr">
        <is>
          <t>varchar(32)</t>
        </is>
      </c>
      <c r="E19" s="109" t="inlineStr">
        <is>
          <t>YES</t>
        </is>
      </c>
      <c r="F19" s="109" t="inlineStr">
        <is>
          <t>法人机构编号</t>
        </is>
      </c>
      <c r="G19" s="109" t="n"/>
      <c r="H19" s="109" t="n"/>
      <c r="I19" s="109" t="inlineStr"/>
      <c r="J19" s="109" t="inlineStr">
        <is>
          <t>2023/01/12</t>
        </is>
      </c>
    </row>
    <row r="20">
      <c r="B20" s="56" t="inlineStr">
        <is>
          <t>clr_rightcert_trappl</t>
        </is>
      </c>
      <c r="C20" s="60" t="inlineStr">
        <is>
          <t>CONTRACTNO</t>
        </is>
      </c>
      <c r="D20" s="65" t="inlineStr">
        <is>
          <t>varchar(32)</t>
        </is>
      </c>
      <c r="E20" s="65" t="inlineStr">
        <is>
          <t>YES</t>
        </is>
      </c>
      <c r="F20" s="59" t="inlineStr">
        <is>
          <t>合同流水号</t>
        </is>
      </c>
      <c r="G20" s="60" t="n"/>
      <c r="H20" s="60" t="n"/>
      <c r="I20" s="60" t="n"/>
      <c r="J20" s="180" t="n">
        <v>45740</v>
      </c>
    </row>
    <row r="21">
      <c r="B21" s="56" t="inlineStr">
        <is>
          <t>clr_rightcert_trappl</t>
        </is>
      </c>
      <c r="C21" s="60" t="inlineStr">
        <is>
          <t>CUSTOMERNO</t>
        </is>
      </c>
      <c r="D21" s="65" t="inlineStr">
        <is>
          <t>varchar(32)</t>
        </is>
      </c>
      <c r="E21" s="65" t="inlineStr">
        <is>
          <t>YES</t>
        </is>
      </c>
      <c r="F21" s="59" t="inlineStr">
        <is>
          <t>客户编号</t>
        </is>
      </c>
      <c r="G21" s="60" t="n"/>
      <c r="H21" s="60" t="n"/>
      <c r="I21" s="60" t="n"/>
      <c r="J21" s="180" t="n">
        <v>45740</v>
      </c>
    </row>
    <row r="22">
      <c r="B22" s="56" t="inlineStr">
        <is>
          <t>clr_rightcert_trappl</t>
        </is>
      </c>
      <c r="C22" s="60" t="inlineStr">
        <is>
          <t>CUSTOMERNAME</t>
        </is>
      </c>
      <c r="D22" s="65" t="inlineStr">
        <is>
          <t>varchar(32)</t>
        </is>
      </c>
      <c r="E22" s="65" t="inlineStr">
        <is>
          <t>YES</t>
        </is>
      </c>
      <c r="F22" s="59" t="inlineStr">
        <is>
          <t>客户名称</t>
        </is>
      </c>
      <c r="G22" s="60" t="n"/>
      <c r="H22" s="60" t="n"/>
      <c r="I22" s="60" t="n"/>
      <c r="J22" s="180" t="n">
        <v>45740</v>
      </c>
    </row>
    <row r="23">
      <c r="B23" s="56" t="inlineStr">
        <is>
          <t>clr_rightcert_trappl</t>
        </is>
      </c>
      <c r="C23" s="60" t="inlineStr">
        <is>
          <t>REASON</t>
        </is>
      </c>
      <c r="D23" s="65" t="inlineStr">
        <is>
          <t>varchar(6)</t>
        </is>
      </c>
      <c r="E23" s="65" t="inlineStr">
        <is>
          <t>YES</t>
        </is>
      </c>
      <c r="F23" s="59" t="inlineStr">
        <is>
          <t>申请原因</t>
        </is>
      </c>
      <c r="G23" s="60">
        <f>HYPERLINK("#码值映射清单!B3007","InOutRCReason")</f>
        <v/>
      </c>
      <c r="H23" s="66" t="n"/>
      <c r="I23" s="60" t="n"/>
      <c r="J23" s="180" t="n">
        <v>45740</v>
      </c>
    </row>
  </sheetData>
  <pageMargins left="0.75" right="0.75" top="1" bottom="1" header="0.5" footer="0.5"/>
  <pageSetup orientation="portrait" paperSize="1" horizontalDpi="300" verticalDpi="300"/>
</worksheet>
</file>

<file path=xl/worksheets/sheet98.xml><?xml version="1.0" encoding="utf-8"?>
<worksheet xmlns="http://schemas.openxmlformats.org/spreadsheetml/2006/main">
  <sheetPr>
    <outlinePr summaryBelow="1" summaryRight="1"/>
    <pageSetUpPr/>
  </sheetPr>
  <dimension ref="A1:J16"/>
  <sheetViews>
    <sheetView zoomScaleSheetLayoutView="60" workbookViewId="0">
      <selection activeCell="D16" sqref="D16"/>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权证出入库申请组</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clr_rightcert_trappl_group</t>
        </is>
      </c>
      <c r="C3" s="24" t="inlineStr">
        <is>
          <t>SERIALNO</t>
        </is>
      </c>
      <c r="D3" s="24" t="inlineStr">
        <is>
          <t>varchar(32)</t>
        </is>
      </c>
      <c r="E3" s="24" t="inlineStr">
        <is>
          <t>NO</t>
        </is>
      </c>
      <c r="F3" s="24" t="inlineStr">
        <is>
          <t>申请组流水号</t>
        </is>
      </c>
      <c r="G3" s="24" t="n"/>
      <c r="H3" s="24" t="n"/>
      <c r="I3" s="24" t="inlineStr"/>
      <c r="J3" s="24" t="inlineStr">
        <is>
          <t>2023/01/12</t>
        </is>
      </c>
    </row>
    <row r="4">
      <c r="B4" s="24" t="inlineStr">
        <is>
          <t>clr_rightcert_trappl_group</t>
        </is>
      </c>
      <c r="C4" s="24" t="inlineStr">
        <is>
          <t>REFSERIALNO</t>
        </is>
      </c>
      <c r="D4" s="24" t="inlineStr">
        <is>
          <t>varchar(32)</t>
        </is>
      </c>
      <c r="E4" s="24" t="inlineStr">
        <is>
          <t>YES</t>
        </is>
      </c>
      <c r="F4" s="24" t="inlineStr">
        <is>
          <t>关联外围系统流水号</t>
        </is>
      </c>
      <c r="G4" s="24" t="n"/>
      <c r="H4" s="24" t="n"/>
      <c r="I4" s="24" t="inlineStr"/>
      <c r="J4" s="24" t="inlineStr">
        <is>
          <t>2023/01/12</t>
        </is>
      </c>
    </row>
    <row r="5">
      <c r="B5" s="24" t="inlineStr">
        <is>
          <t>clr_rightcert_trappl_group</t>
        </is>
      </c>
      <c r="C5" s="24" t="inlineStr">
        <is>
          <t>INOUTWHTYPE</t>
        </is>
      </c>
      <c r="D5" s="24" t="inlineStr">
        <is>
          <t>varchar(6)</t>
        </is>
      </c>
      <c r="E5" s="24" t="inlineStr">
        <is>
          <t>YES</t>
        </is>
      </c>
      <c r="F5" s="24" t="inlineStr">
        <is>
          <t>出入库申请类型</t>
        </is>
      </c>
      <c r="G5" s="52">
        <f>HYPERLINK("#码值映射清单!B7666","InOutWHType")</f>
        <v/>
      </c>
      <c r="H5" s="24" t="n"/>
      <c r="I5" s="24" t="inlineStr"/>
      <c r="J5" s="24" t="inlineStr">
        <is>
          <t>2023/01/12</t>
        </is>
      </c>
    </row>
    <row r="6">
      <c r="B6" s="24" t="inlineStr">
        <is>
          <t>clr_rightcert_trappl_group</t>
        </is>
      </c>
      <c r="C6" s="24" t="inlineStr">
        <is>
          <t>INOUTWHREASON</t>
        </is>
      </c>
      <c r="D6" s="24" t="inlineStr">
        <is>
          <t>varchar(18)</t>
        </is>
      </c>
      <c r="E6" s="24" t="inlineStr">
        <is>
          <t>YES</t>
        </is>
      </c>
      <c r="F6" s="24" t="inlineStr">
        <is>
          <t>出入库申请原因</t>
        </is>
      </c>
      <c r="G6" s="52">
        <f>HYPERLINK("#码值映射清单!B3007","InOutRCReason")</f>
        <v/>
      </c>
      <c r="H6" s="24" t="n"/>
      <c r="I6" s="24" t="inlineStr"/>
      <c r="J6" s="24" t="inlineStr">
        <is>
          <t>2023/01/12</t>
        </is>
      </c>
    </row>
    <row r="7">
      <c r="B7" s="24" t="inlineStr">
        <is>
          <t>clr_rightcert_trappl_group</t>
        </is>
      </c>
      <c r="C7" s="24" t="inlineStr">
        <is>
          <t>APPROVESTATUS</t>
        </is>
      </c>
      <c r="D7" s="24" t="inlineStr">
        <is>
          <t>varchar(32)</t>
        </is>
      </c>
      <c r="E7" s="24" t="inlineStr">
        <is>
          <t>YES</t>
        </is>
      </c>
      <c r="F7" s="24" t="inlineStr">
        <is>
          <t>申请状态</t>
        </is>
      </c>
      <c r="G7" s="24" t="n"/>
      <c r="H7" s="24" t="n"/>
      <c r="I7" s="24" t="inlineStr"/>
      <c r="J7" s="24" t="inlineStr">
        <is>
          <t>2023/01/12</t>
        </is>
      </c>
    </row>
    <row r="8">
      <c r="B8" s="24" t="inlineStr">
        <is>
          <t>clr_rightcert_trappl_group</t>
        </is>
      </c>
      <c r="C8" s="24" t="inlineStr">
        <is>
          <t>APPROVETXT</t>
        </is>
      </c>
      <c r="D8" s="24" t="inlineStr">
        <is>
          <t>varchar(32)</t>
        </is>
      </c>
      <c r="E8" s="24" t="inlineStr">
        <is>
          <t>YES</t>
        </is>
      </c>
      <c r="F8" s="24" t="inlineStr">
        <is>
          <t>有权部门批准文号</t>
        </is>
      </c>
      <c r="G8" s="24" t="n"/>
      <c r="H8" s="24" t="n"/>
      <c r="I8" s="24" t="inlineStr"/>
      <c r="J8" s="24" t="inlineStr">
        <is>
          <t>2023/01/12</t>
        </is>
      </c>
    </row>
    <row r="9">
      <c r="B9" s="24" t="inlineStr">
        <is>
          <t>clr_rightcert_trappl_group</t>
        </is>
      </c>
      <c r="C9" s="24" t="inlineStr">
        <is>
          <t>REMARK</t>
        </is>
      </c>
      <c r="D9" s="24" t="inlineStr">
        <is>
          <t>varchar(1000)</t>
        </is>
      </c>
      <c r="E9" s="24" t="inlineStr">
        <is>
          <t>YES</t>
        </is>
      </c>
      <c r="F9" s="24" t="inlineStr">
        <is>
          <t>备注</t>
        </is>
      </c>
      <c r="G9" s="24" t="n"/>
      <c r="H9" s="24" t="n"/>
      <c r="I9" s="24" t="inlineStr"/>
      <c r="J9" s="24" t="inlineStr">
        <is>
          <t>2023/01/12</t>
        </is>
      </c>
    </row>
    <row r="10">
      <c r="B10" s="24" t="inlineStr">
        <is>
          <t>clr_rightcert_trappl_group</t>
        </is>
      </c>
      <c r="C10" s="24" t="inlineStr">
        <is>
          <t>INPUTUSERID</t>
        </is>
      </c>
      <c r="D10" s="24" t="inlineStr">
        <is>
          <t>varchar(32)</t>
        </is>
      </c>
      <c r="E10" s="24" t="inlineStr">
        <is>
          <t>YES</t>
        </is>
      </c>
      <c r="F10" s="24" t="inlineStr">
        <is>
          <t>登记人</t>
        </is>
      </c>
      <c r="G10" s="24" t="n"/>
      <c r="H10" s="24" t="n"/>
      <c r="I10" s="24" t="inlineStr"/>
      <c r="J10" s="24" t="inlineStr">
        <is>
          <t>2023/01/12</t>
        </is>
      </c>
    </row>
    <row r="11">
      <c r="B11" s="24" t="inlineStr">
        <is>
          <t>clr_rightcert_trappl_group</t>
        </is>
      </c>
      <c r="C11" s="24" t="inlineStr">
        <is>
          <t>INPUTORGID</t>
        </is>
      </c>
      <c r="D11" s="24" t="inlineStr">
        <is>
          <t>varchar(32)</t>
        </is>
      </c>
      <c r="E11" s="24" t="inlineStr">
        <is>
          <t>YES</t>
        </is>
      </c>
      <c r="F11" s="24" t="inlineStr">
        <is>
          <t>登记机构</t>
        </is>
      </c>
      <c r="G11" s="24" t="n"/>
      <c r="H11" s="24" t="n"/>
      <c r="I11" s="24" t="inlineStr"/>
      <c r="J11" s="24" t="inlineStr">
        <is>
          <t>2023/01/12</t>
        </is>
      </c>
    </row>
    <row r="12">
      <c r="B12" s="24" t="inlineStr">
        <is>
          <t>clr_rightcert_trappl_group</t>
        </is>
      </c>
      <c r="C12" s="24" t="inlineStr">
        <is>
          <t>INPUTDATE</t>
        </is>
      </c>
      <c r="D12" s="24" t="inlineStr">
        <is>
          <t>datetime</t>
        </is>
      </c>
      <c r="E12" s="24" t="inlineStr">
        <is>
          <t>YES</t>
        </is>
      </c>
      <c r="F12" s="24" t="inlineStr">
        <is>
          <t>登记日期</t>
        </is>
      </c>
      <c r="G12" s="24" t="n"/>
      <c r="H12" s="24" t="n"/>
      <c r="I12" s="24" t="inlineStr"/>
      <c r="J12" s="24" t="inlineStr">
        <is>
          <t>2023/01/12</t>
        </is>
      </c>
    </row>
    <row r="13">
      <c r="B13" s="24" t="inlineStr">
        <is>
          <t>clr_rightcert_trappl_group</t>
        </is>
      </c>
      <c r="C13" s="24" t="inlineStr">
        <is>
          <t>UPDATEUSERID</t>
        </is>
      </c>
      <c r="D13" s="24" t="inlineStr">
        <is>
          <t>varchar(32)</t>
        </is>
      </c>
      <c r="E13" s="24" t="inlineStr">
        <is>
          <t>YES</t>
        </is>
      </c>
      <c r="F13" s="24" t="inlineStr">
        <is>
          <t>更新人</t>
        </is>
      </c>
      <c r="G13" s="24" t="n"/>
      <c r="H13" s="24" t="n"/>
      <c r="I13" s="24" t="inlineStr"/>
      <c r="J13" s="24" t="inlineStr">
        <is>
          <t>2023/01/12</t>
        </is>
      </c>
    </row>
    <row r="14">
      <c r="B14" s="24" t="inlineStr">
        <is>
          <t>clr_rightcert_trappl_group</t>
        </is>
      </c>
      <c r="C14" s="24" t="inlineStr">
        <is>
          <t>UPDATEORGID</t>
        </is>
      </c>
      <c r="D14" s="24" t="inlineStr">
        <is>
          <t>varchar(32)</t>
        </is>
      </c>
      <c r="E14" s="24" t="inlineStr">
        <is>
          <t>YES</t>
        </is>
      </c>
      <c r="F14" s="24" t="inlineStr">
        <is>
          <t>更新机构</t>
        </is>
      </c>
      <c r="G14" s="24" t="n"/>
      <c r="H14" s="24" t="n"/>
      <c r="I14" s="24" t="inlineStr"/>
      <c r="J14" s="24" t="inlineStr">
        <is>
          <t>2023/01/12</t>
        </is>
      </c>
    </row>
    <row r="15">
      <c r="B15" s="24" t="inlineStr">
        <is>
          <t>clr_rightcert_trappl_group</t>
        </is>
      </c>
      <c r="C15" s="24" t="inlineStr">
        <is>
          <t>UPDATEDATE</t>
        </is>
      </c>
      <c r="D15" s="24" t="inlineStr">
        <is>
          <t>datetime</t>
        </is>
      </c>
      <c r="E15" s="24" t="inlineStr">
        <is>
          <t>YES</t>
        </is>
      </c>
      <c r="F15" s="24" t="inlineStr">
        <is>
          <t>更新日期</t>
        </is>
      </c>
      <c r="G15" s="24" t="n"/>
      <c r="H15" s="24" t="n"/>
      <c r="I15" s="24" t="inlineStr"/>
      <c r="J15" s="24" t="inlineStr">
        <is>
          <t>2023/01/12</t>
        </is>
      </c>
    </row>
    <row r="16">
      <c r="B16" s="24" t="inlineStr">
        <is>
          <t>clr_rightcert_trappl_group</t>
        </is>
      </c>
      <c r="C16" s="24" t="inlineStr">
        <is>
          <t>CORPORGID</t>
        </is>
      </c>
      <c r="D16" s="24" t="inlineStr">
        <is>
          <t>varchar(32)</t>
        </is>
      </c>
      <c r="E16" s="24" t="inlineStr">
        <is>
          <t>YES</t>
        </is>
      </c>
      <c r="F16" s="24" t="inlineStr">
        <is>
          <t>法人机构编号</t>
        </is>
      </c>
      <c r="G16" s="24" t="n"/>
      <c r="H16" s="24" t="n"/>
      <c r="I16" s="24" t="inlineStr"/>
      <c r="J16" s="24" t="inlineStr">
        <is>
          <t>2023/01/12</t>
        </is>
      </c>
    </row>
  </sheetData>
  <pageMargins left="0.75" right="0.75" top="1" bottom="1" header="0.5" footer="0.5"/>
  <pageSetup orientation="portrait" paperSize="1" horizontalDpi="300" verticalDpi="300"/>
</worksheet>
</file>

<file path=xl/worksheets/sheet99.xml><?xml version="1.0" encoding="utf-8"?>
<worksheet xmlns="http://schemas.openxmlformats.org/spreadsheetml/2006/main">
  <sheetPr>
    <outlinePr summaryBelow="1" summaryRight="1"/>
    <pageSetUpPr/>
  </sheetPr>
  <dimension ref="A1:J46"/>
  <sheetViews>
    <sheetView zoomScaleSheetLayoutView="60" workbookViewId="0">
      <selection activeCell="D30" sqref="D30"/>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房屋类押品样本表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clr_sample_houseing</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clr_sample_houseing</t>
        </is>
      </c>
      <c r="C4" s="24" t="inlineStr">
        <is>
          <t>EVALAPPLID</t>
        </is>
      </c>
      <c r="D4" s="24" t="inlineStr">
        <is>
          <t>varchar(32)</t>
        </is>
      </c>
      <c r="E4" s="24" t="inlineStr">
        <is>
          <t>YES</t>
        </is>
      </c>
      <c r="F4" s="24" t="inlineStr">
        <is>
          <t>对应申请编号</t>
        </is>
      </c>
      <c r="G4" s="24" t="n"/>
      <c r="H4" s="24" t="n"/>
      <c r="I4" s="24" t="inlineStr"/>
      <c r="J4" s="24" t="inlineStr">
        <is>
          <t>2023/01/12</t>
        </is>
      </c>
    </row>
    <row r="5">
      <c r="B5" s="24" t="inlineStr">
        <is>
          <t>clr_sample_houseing</t>
        </is>
      </c>
      <c r="C5" s="24" t="inlineStr">
        <is>
          <t>RESIDENCEID</t>
        </is>
      </c>
      <c r="D5" s="24" t="inlineStr">
        <is>
          <t>varchar(32)</t>
        </is>
      </c>
      <c r="E5" s="24" t="inlineStr">
        <is>
          <t>YES</t>
        </is>
      </c>
      <c r="F5" s="24" t="inlineStr">
        <is>
          <t>小区ID</t>
        </is>
      </c>
      <c r="G5" s="24" t="n"/>
      <c r="H5" s="24" t="n"/>
      <c r="I5" s="24" t="inlineStr"/>
      <c r="J5" s="24" t="inlineStr">
        <is>
          <t>2023/01/12</t>
        </is>
      </c>
    </row>
    <row r="6">
      <c r="B6" s="24" t="inlineStr">
        <is>
          <t>clr_sample_houseing</t>
        </is>
      </c>
      <c r="C6" s="24" t="inlineStr">
        <is>
          <t>CITY</t>
        </is>
      </c>
      <c r="D6" s="24" t="inlineStr">
        <is>
          <t>varchar(18)</t>
        </is>
      </c>
      <c r="E6" s="24" t="inlineStr">
        <is>
          <t>YES</t>
        </is>
      </c>
      <c r="F6" s="24" t="inlineStr">
        <is>
          <t>城市</t>
        </is>
      </c>
      <c r="G6" s="24" t="n"/>
      <c r="H6" s="24" t="n"/>
      <c r="I6" s="24" t="inlineStr"/>
      <c r="J6" s="24" t="inlineStr">
        <is>
          <t>2023/01/12</t>
        </is>
      </c>
    </row>
    <row r="7">
      <c r="B7" s="24" t="inlineStr">
        <is>
          <t>clr_sample_houseing</t>
        </is>
      </c>
      <c r="C7" s="24" t="inlineStr">
        <is>
          <t>REGION</t>
        </is>
      </c>
      <c r="D7" s="24" t="inlineStr">
        <is>
          <t>varchar(80)</t>
        </is>
      </c>
      <c r="E7" s="24" t="inlineStr">
        <is>
          <t>YES</t>
        </is>
      </c>
      <c r="F7" s="24" t="inlineStr">
        <is>
          <t>区域</t>
        </is>
      </c>
      <c r="G7" s="24" t="n"/>
      <c r="H7" s="24" t="n"/>
      <c r="I7" s="24" t="inlineStr"/>
      <c r="J7" s="24" t="inlineStr">
        <is>
          <t>2023/01/12</t>
        </is>
      </c>
    </row>
    <row r="8">
      <c r="B8" s="24" t="inlineStr">
        <is>
          <t>clr_sample_houseing</t>
        </is>
      </c>
      <c r="C8" s="24" t="inlineStr">
        <is>
          <t>NAME</t>
        </is>
      </c>
      <c r="D8" s="24" t="inlineStr">
        <is>
          <t>varchar(80)</t>
        </is>
      </c>
      <c r="E8" s="24" t="inlineStr">
        <is>
          <t>YES</t>
        </is>
      </c>
      <c r="F8" s="24" t="inlineStr">
        <is>
          <t>小区名称</t>
        </is>
      </c>
      <c r="G8" s="24" t="n"/>
      <c r="H8" s="24" t="n"/>
      <c r="I8" s="24" t="inlineStr"/>
      <c r="J8" s="24" t="inlineStr">
        <is>
          <t>2023/01/12</t>
        </is>
      </c>
    </row>
    <row r="9">
      <c r="B9" s="24" t="inlineStr">
        <is>
          <t>clr_sample_houseing</t>
        </is>
      </c>
      <c r="C9" s="24" t="inlineStr">
        <is>
          <t>ADDRESS</t>
        </is>
      </c>
      <c r="D9" s="24" t="inlineStr">
        <is>
          <t>varchar(80)</t>
        </is>
      </c>
      <c r="E9" s="24" t="inlineStr">
        <is>
          <t>YES</t>
        </is>
      </c>
      <c r="F9" s="24" t="inlineStr">
        <is>
          <t>地址</t>
        </is>
      </c>
      <c r="G9" s="24" t="n"/>
      <c r="H9" s="24" t="n"/>
      <c r="I9" s="24" t="inlineStr"/>
      <c r="J9" s="24" t="inlineStr">
        <is>
          <t>2023/01/12</t>
        </is>
      </c>
    </row>
    <row r="10">
      <c r="B10" s="24" t="inlineStr">
        <is>
          <t>clr_sample_houseing</t>
        </is>
      </c>
      <c r="C10" s="24" t="inlineStr">
        <is>
          <t>BUILDTYPE</t>
        </is>
      </c>
      <c r="D10" s="24" t="inlineStr">
        <is>
          <t>varchar(6)</t>
        </is>
      </c>
      <c r="E10" s="24" t="inlineStr">
        <is>
          <t>YES</t>
        </is>
      </c>
      <c r="F10" s="24" t="inlineStr">
        <is>
          <t>建筑类型</t>
        </is>
      </c>
      <c r="G10" s="24" t="n"/>
      <c r="H10" s="24" t="n"/>
      <c r="I10" s="24" t="inlineStr"/>
      <c r="J10" s="24" t="inlineStr">
        <is>
          <t>2023/01/12</t>
        </is>
      </c>
    </row>
    <row r="11">
      <c r="B11" s="24" t="inlineStr">
        <is>
          <t>clr_sample_houseing</t>
        </is>
      </c>
      <c r="C11" s="24" t="inlineStr">
        <is>
          <t>TOTALPRICE</t>
        </is>
      </c>
      <c r="D11" s="24" t="inlineStr">
        <is>
          <t>decimal(24,6)</t>
        </is>
      </c>
      <c r="E11" s="24" t="inlineStr">
        <is>
          <t>YES</t>
        </is>
      </c>
      <c r="F11" s="24" t="inlineStr">
        <is>
          <t>房屋挂牌价格</t>
        </is>
      </c>
      <c r="G11" s="24" t="n"/>
      <c r="H11" s="24" t="n"/>
      <c r="I11" s="24" t="inlineStr"/>
      <c r="J11" s="24" t="inlineStr">
        <is>
          <t>2023/01/12</t>
        </is>
      </c>
    </row>
    <row r="12">
      <c r="B12" s="24" t="inlineStr">
        <is>
          <t>clr_sample_houseing</t>
        </is>
      </c>
      <c r="C12" s="24" t="inlineStr">
        <is>
          <t>PUBLISHDATE</t>
        </is>
      </c>
      <c r="D12" s="24" t="inlineStr">
        <is>
          <t>varchar(18)</t>
        </is>
      </c>
      <c r="E12" s="24" t="inlineStr">
        <is>
          <t>YES</t>
        </is>
      </c>
      <c r="F12" s="24" t="inlineStr">
        <is>
          <t>信息发布时间</t>
        </is>
      </c>
      <c r="G12" s="24" t="n"/>
      <c r="H12" s="24" t="n"/>
      <c r="I12" s="24" t="inlineStr"/>
      <c r="J12" s="24" t="inlineStr">
        <is>
          <t>2023/01/12</t>
        </is>
      </c>
    </row>
    <row r="13">
      <c r="B13" s="24" t="inlineStr">
        <is>
          <t>clr_sample_houseing</t>
        </is>
      </c>
      <c r="C13" s="24" t="inlineStr">
        <is>
          <t>AREA</t>
        </is>
      </c>
      <c r="D13" s="24" t="inlineStr">
        <is>
          <t>decimal(18,2)</t>
        </is>
      </c>
      <c r="E13" s="24" t="inlineStr">
        <is>
          <t>YES</t>
        </is>
      </c>
      <c r="F13" s="24" t="inlineStr">
        <is>
          <t>样本房屋面积</t>
        </is>
      </c>
      <c r="G13" s="24" t="n"/>
      <c r="H13" s="24" t="n"/>
      <c r="I13" s="24" t="inlineStr"/>
      <c r="J13" s="24" t="inlineStr">
        <is>
          <t>2023/01/12</t>
        </is>
      </c>
    </row>
    <row r="14">
      <c r="B14" s="24" t="inlineStr">
        <is>
          <t>clr_sample_houseing</t>
        </is>
      </c>
      <c r="C14" s="24" t="inlineStr">
        <is>
          <t>ROOM</t>
        </is>
      </c>
      <c r="D14" s="24" t="inlineStr">
        <is>
          <t>int</t>
        </is>
      </c>
      <c r="E14" s="24" t="inlineStr">
        <is>
          <t>YES</t>
        </is>
      </c>
      <c r="F14" s="24" t="inlineStr">
        <is>
          <t>室</t>
        </is>
      </c>
      <c r="G14" s="24" t="n"/>
      <c r="H14" s="24" t="n"/>
      <c r="I14" s="24" t="inlineStr"/>
      <c r="J14" s="24" t="inlineStr">
        <is>
          <t>2023/01/12</t>
        </is>
      </c>
    </row>
    <row r="15">
      <c r="B15" s="24" t="inlineStr">
        <is>
          <t>clr_sample_houseing</t>
        </is>
      </c>
      <c r="C15" s="24" t="inlineStr">
        <is>
          <t>HALL</t>
        </is>
      </c>
      <c r="D15" s="24" t="inlineStr">
        <is>
          <t>int</t>
        </is>
      </c>
      <c r="E15" s="24" t="inlineStr">
        <is>
          <t>YES</t>
        </is>
      </c>
      <c r="F15" s="24" t="inlineStr">
        <is>
          <t>厅</t>
        </is>
      </c>
      <c r="G15" s="24" t="n"/>
      <c r="H15" s="24" t="n"/>
      <c r="I15" s="24" t="inlineStr"/>
      <c r="J15" s="24" t="inlineStr">
        <is>
          <t>2023/01/12</t>
        </is>
      </c>
    </row>
    <row r="16">
      <c r="B16" s="24" t="inlineStr">
        <is>
          <t>clr_sample_houseing</t>
        </is>
      </c>
      <c r="C16" s="24" t="inlineStr">
        <is>
          <t>TOILET</t>
        </is>
      </c>
      <c r="D16" s="24" t="inlineStr">
        <is>
          <t>int</t>
        </is>
      </c>
      <c r="E16" s="24" t="inlineStr">
        <is>
          <t>YES</t>
        </is>
      </c>
      <c r="F16" s="24" t="inlineStr">
        <is>
          <t>卫</t>
        </is>
      </c>
      <c r="G16" s="24" t="n"/>
      <c r="H16" s="24" t="n"/>
      <c r="I16" s="24" t="inlineStr"/>
      <c r="J16" s="24" t="inlineStr">
        <is>
          <t>2023/01/12</t>
        </is>
      </c>
    </row>
    <row r="17">
      <c r="B17" s="24" t="inlineStr">
        <is>
          <t>clr_sample_houseing</t>
        </is>
      </c>
      <c r="C17" s="24" t="inlineStr">
        <is>
          <t>DIRECTION</t>
        </is>
      </c>
      <c r="D17" s="24" t="inlineStr">
        <is>
          <t>varchar(6)</t>
        </is>
      </c>
      <c r="E17" s="24" t="inlineStr">
        <is>
          <t>YES</t>
        </is>
      </c>
      <c r="F17" s="24" t="inlineStr">
        <is>
          <t>房屋主要朝向</t>
        </is>
      </c>
      <c r="G17" s="24" t="n"/>
      <c r="H17" s="24" t="n"/>
      <c r="I17" s="24" t="inlineStr"/>
      <c r="J17" s="24" t="inlineStr">
        <is>
          <t>2023/01/12</t>
        </is>
      </c>
    </row>
    <row r="18">
      <c r="B18" s="24" t="inlineStr">
        <is>
          <t>clr_sample_houseing</t>
        </is>
      </c>
      <c r="C18" s="24" t="inlineStr">
        <is>
          <t>FITMENT</t>
        </is>
      </c>
      <c r="D18" s="24" t="inlineStr">
        <is>
          <t>varchar(6)</t>
        </is>
      </c>
      <c r="E18" s="24" t="inlineStr">
        <is>
          <t>YES</t>
        </is>
      </c>
      <c r="F18" s="24" t="inlineStr">
        <is>
          <t>房屋装修程度</t>
        </is>
      </c>
      <c r="G18" s="24" t="n"/>
      <c r="H18" s="24" t="n"/>
      <c r="I18" s="24" t="inlineStr"/>
      <c r="J18" s="24" t="inlineStr">
        <is>
          <t>2023/01/12</t>
        </is>
      </c>
    </row>
    <row r="19">
      <c r="B19" s="24" t="inlineStr">
        <is>
          <t>clr_sample_houseing</t>
        </is>
      </c>
      <c r="C19" s="24" t="inlineStr">
        <is>
          <t>FLOOR</t>
        </is>
      </c>
      <c r="D19" s="24" t="inlineStr">
        <is>
          <t>int</t>
        </is>
      </c>
      <c r="E19" s="24" t="inlineStr">
        <is>
          <t>YES</t>
        </is>
      </c>
      <c r="F19" s="24" t="inlineStr">
        <is>
          <t>房屋所在楼层</t>
        </is>
      </c>
      <c r="G19" s="24" t="n"/>
      <c r="H19" s="24" t="n"/>
      <c r="I19" s="24" t="inlineStr"/>
      <c r="J19" s="24" t="inlineStr">
        <is>
          <t>2023/01/12</t>
        </is>
      </c>
    </row>
    <row r="20">
      <c r="B20" s="24" t="inlineStr">
        <is>
          <t>clr_sample_houseing</t>
        </is>
      </c>
      <c r="C20" s="24" t="inlineStr">
        <is>
          <t>HEIGHT</t>
        </is>
      </c>
      <c r="D20" s="24" t="inlineStr">
        <is>
          <t>decimal(18,2)</t>
        </is>
      </c>
      <c r="E20" s="24" t="inlineStr">
        <is>
          <t>YES</t>
        </is>
      </c>
      <c r="F20" s="24" t="inlineStr">
        <is>
          <t>房屋所在楼高</t>
        </is>
      </c>
      <c r="G20" s="24" t="n"/>
      <c r="H20" s="24" t="n"/>
      <c r="I20" s="24" t="inlineStr"/>
      <c r="J20" s="24" t="inlineStr">
        <is>
          <t>2023/01/12</t>
        </is>
      </c>
    </row>
    <row r="21">
      <c r="B21" s="24" t="inlineStr">
        <is>
          <t>clr_sample_houseing</t>
        </is>
      </c>
      <c r="C21" s="24" t="inlineStr">
        <is>
          <t>SOURCE</t>
        </is>
      </c>
      <c r="D21" s="24" t="inlineStr">
        <is>
          <t>varchar(32)</t>
        </is>
      </c>
      <c r="E21" s="24" t="inlineStr">
        <is>
          <t>YES</t>
        </is>
      </c>
      <c r="F21" s="24" t="inlineStr">
        <is>
          <t>来源</t>
        </is>
      </c>
      <c r="G21" s="24" t="n"/>
      <c r="H21" s="24" t="n"/>
      <c r="I21" s="24" t="inlineStr"/>
      <c r="J21" s="24" t="inlineStr">
        <is>
          <t>2023/01/12</t>
        </is>
      </c>
    </row>
    <row r="22">
      <c r="B22" s="24" t="inlineStr">
        <is>
          <t>clr_sample_houseing</t>
        </is>
      </c>
      <c r="C22" s="24" t="inlineStr">
        <is>
          <t>UNITPRICE</t>
        </is>
      </c>
      <c r="D22" s="24" t="inlineStr">
        <is>
          <t>decimal(24,6)</t>
        </is>
      </c>
      <c r="E22" s="24" t="inlineStr">
        <is>
          <t>YES</t>
        </is>
      </c>
      <c r="F22" s="24" t="inlineStr">
        <is>
          <t>房屋单价</t>
        </is>
      </c>
      <c r="G22" s="24" t="n"/>
      <c r="H22" s="24" t="n"/>
      <c r="I22" s="24" t="inlineStr"/>
      <c r="J22" s="24" t="inlineStr">
        <is>
          <t>2023/01/12</t>
        </is>
      </c>
    </row>
    <row r="23">
      <c r="B23" s="24" t="inlineStr">
        <is>
          <t>clr_sample_houseing</t>
        </is>
      </c>
      <c r="C23" s="24" t="inlineStr">
        <is>
          <t>BLOCK</t>
        </is>
      </c>
      <c r="D23" s="24" t="inlineStr">
        <is>
          <t>varchar(80)</t>
        </is>
      </c>
      <c r="E23" s="24" t="inlineStr">
        <is>
          <t>YES</t>
        </is>
      </c>
      <c r="F23" s="24" t="inlineStr">
        <is>
          <t>所属板块</t>
        </is>
      </c>
      <c r="G23" s="24" t="n"/>
      <c r="H23" s="24" t="n"/>
      <c r="I23" s="24" t="inlineStr"/>
      <c r="J23" s="24" t="inlineStr">
        <is>
          <t>2023/01/12</t>
        </is>
      </c>
    </row>
    <row r="24">
      <c r="B24" s="24" t="inlineStr">
        <is>
          <t>clr_sample_houseing</t>
        </is>
      </c>
      <c r="C24" s="24" t="inlineStr">
        <is>
          <t>HOUSETYPE</t>
        </is>
      </c>
      <c r="D24" s="24" t="inlineStr">
        <is>
          <t>varchar(80)</t>
        </is>
      </c>
      <c r="E24" s="24" t="inlineStr">
        <is>
          <t>YES</t>
        </is>
      </c>
      <c r="F24" s="24" t="inlineStr">
        <is>
          <t>房屋户型</t>
        </is>
      </c>
      <c r="G24" s="24" t="n"/>
      <c r="H24" s="24" t="n"/>
      <c r="I24" s="24" t="inlineStr"/>
      <c r="J24" s="24" t="inlineStr">
        <is>
          <t>2023/01/12</t>
        </is>
      </c>
    </row>
    <row r="25">
      <c r="B25" s="24" t="inlineStr">
        <is>
          <t>clr_sample_houseing</t>
        </is>
      </c>
      <c r="C25" s="24" t="inlineStr">
        <is>
          <t>AVERAGEPRICE</t>
        </is>
      </c>
      <c r="D25" s="24" t="inlineStr">
        <is>
          <t>decimal(24,6)</t>
        </is>
      </c>
      <c r="E25" s="24" t="inlineStr">
        <is>
          <t>YES</t>
        </is>
      </c>
      <c r="F25" s="24" t="inlineStr">
        <is>
          <t>房源均价</t>
        </is>
      </c>
      <c r="G25" s="24" t="n"/>
      <c r="H25" s="24" t="n"/>
      <c r="I25" s="24" t="inlineStr"/>
      <c r="J25" s="24" t="inlineStr">
        <is>
          <t>2023/01/12</t>
        </is>
      </c>
    </row>
    <row r="26">
      <c r="B26" s="24" t="inlineStr">
        <is>
          <t>clr_sample_houseing</t>
        </is>
      </c>
      <c r="C26" s="24" t="inlineStr">
        <is>
          <t>USEYEAR</t>
        </is>
      </c>
      <c r="D26" s="24" t="inlineStr">
        <is>
          <t>int</t>
        </is>
      </c>
      <c r="E26" s="24" t="inlineStr">
        <is>
          <t>YES</t>
        </is>
      </c>
      <c r="F26" s="24" t="inlineStr">
        <is>
          <t>剩余使用年限</t>
        </is>
      </c>
      <c r="G26" s="24" t="n"/>
      <c r="H26" s="24" t="n"/>
      <c r="I26" s="24" t="inlineStr"/>
      <c r="J26" s="24" t="inlineStr">
        <is>
          <t>2023/01/12</t>
        </is>
      </c>
    </row>
    <row r="27">
      <c r="B27" s="24" t="inlineStr">
        <is>
          <t>clr_sample_houseing</t>
        </is>
      </c>
      <c r="C27" s="24" t="inlineStr">
        <is>
          <t>MATCHMODEL</t>
        </is>
      </c>
      <c r="D27" s="24" t="inlineStr">
        <is>
          <t>varchar(80)</t>
        </is>
      </c>
      <c r="E27" s="24" t="inlineStr">
        <is>
          <t>YES</t>
        </is>
      </c>
      <c r="F27" s="24" t="inlineStr">
        <is>
          <t>匹配类型</t>
        </is>
      </c>
      <c r="G27" s="24" t="n"/>
      <c r="H27" s="24" t="n"/>
      <c r="I27" s="24" t="inlineStr"/>
      <c r="J27" s="24" t="inlineStr">
        <is>
          <t>2023/01/12</t>
        </is>
      </c>
    </row>
    <row r="28">
      <c r="B28" s="24" t="inlineStr">
        <is>
          <t>clr_sample_houseing</t>
        </is>
      </c>
      <c r="C28" s="24" t="inlineStr">
        <is>
          <t>ESTATETYPE</t>
        </is>
      </c>
      <c r="D28" s="24" t="inlineStr">
        <is>
          <t>varchar(80)</t>
        </is>
      </c>
      <c r="E28" s="24" t="inlineStr">
        <is>
          <t>YES</t>
        </is>
      </c>
      <c r="F28" s="24" t="inlineStr">
        <is>
          <t>物业类型</t>
        </is>
      </c>
      <c r="G28" s="24" t="n"/>
      <c r="H28" s="24" t="n"/>
      <c r="I28" s="24" t="inlineStr"/>
      <c r="J28" s="24" t="inlineStr">
        <is>
          <t>2023/01/12</t>
        </is>
      </c>
    </row>
    <row r="29">
      <c r="B29" s="24" t="inlineStr">
        <is>
          <t>clr_sample_houseing</t>
        </is>
      </c>
      <c r="C29" s="24" t="inlineStr">
        <is>
          <t>BUILDSTRUCTURE</t>
        </is>
      </c>
      <c r="D29" s="24" t="inlineStr">
        <is>
          <t>varchar(80)</t>
        </is>
      </c>
      <c r="E29" s="24" t="inlineStr">
        <is>
          <t>YES</t>
        </is>
      </c>
      <c r="F29" s="24" t="inlineStr">
        <is>
          <t>建筑结构</t>
        </is>
      </c>
      <c r="G29" s="24" t="n"/>
      <c r="H29" s="24" t="n"/>
      <c r="I29" s="24" t="inlineStr"/>
      <c r="J29" s="24" t="inlineStr">
        <is>
          <t>2023/01/12</t>
        </is>
      </c>
    </row>
    <row r="30">
      <c r="B30" s="24" t="inlineStr">
        <is>
          <t>clr_sample_houseing</t>
        </is>
      </c>
      <c r="C30" s="24" t="inlineStr">
        <is>
          <t>OPENDATE</t>
        </is>
      </c>
      <c r="D30" s="24" t="inlineStr">
        <is>
          <t>varchar(18)</t>
        </is>
      </c>
      <c r="E30" s="24" t="inlineStr">
        <is>
          <t>YES</t>
        </is>
      </c>
      <c r="F30" s="24" t="inlineStr">
        <is>
          <t>开盘时间</t>
        </is>
      </c>
      <c r="G30" s="24" t="n"/>
      <c r="H30" s="24" t="n"/>
      <c r="I30" s="24" t="inlineStr"/>
      <c r="J30" s="24" t="inlineStr">
        <is>
          <t>2023/01/12</t>
        </is>
      </c>
    </row>
    <row r="31">
      <c r="B31" s="24" t="inlineStr">
        <is>
          <t>clr_sample_houseing</t>
        </is>
      </c>
      <c r="C31" s="24" t="inlineStr">
        <is>
          <t>SCHOOLAMOUNT</t>
        </is>
      </c>
      <c r="D31" s="24" t="inlineStr">
        <is>
          <t>int</t>
        </is>
      </c>
      <c r="E31" s="24" t="inlineStr">
        <is>
          <t>YES</t>
        </is>
      </c>
      <c r="F31" s="24" t="inlineStr">
        <is>
          <t>学校数量</t>
        </is>
      </c>
      <c r="G31" s="24" t="n"/>
      <c r="H31" s="24" t="n"/>
      <c r="I31" s="24" t="inlineStr"/>
      <c r="J31" s="24" t="inlineStr">
        <is>
          <t>2023/01/12</t>
        </is>
      </c>
    </row>
    <row r="32">
      <c r="B32" s="24" t="inlineStr">
        <is>
          <t>clr_sample_houseing</t>
        </is>
      </c>
      <c r="C32" s="24" t="inlineStr">
        <is>
          <t>METROSTATIONAMOUNT</t>
        </is>
      </c>
      <c r="D32" s="24" t="inlineStr">
        <is>
          <t>int</t>
        </is>
      </c>
      <c r="E32" s="24" t="inlineStr">
        <is>
          <t>YES</t>
        </is>
      </c>
      <c r="F32" s="24" t="inlineStr">
        <is>
          <t>地铁站数量</t>
        </is>
      </c>
      <c r="G32" s="24" t="n"/>
      <c r="H32" s="24" t="n"/>
      <c r="I32" s="24" t="inlineStr"/>
      <c r="J32" s="24" t="inlineStr">
        <is>
          <t>2023/01/12</t>
        </is>
      </c>
    </row>
    <row r="33">
      <c r="B33" s="24" t="inlineStr">
        <is>
          <t>clr_sample_houseing</t>
        </is>
      </c>
      <c r="C33" s="24" t="inlineStr">
        <is>
          <t>BUSSTATIONAMOUNT</t>
        </is>
      </c>
      <c r="D33" s="24" t="inlineStr">
        <is>
          <t>int</t>
        </is>
      </c>
      <c r="E33" s="24" t="inlineStr">
        <is>
          <t>YES</t>
        </is>
      </c>
      <c r="F33" s="24" t="inlineStr">
        <is>
          <t>公交站数量</t>
        </is>
      </c>
      <c r="G33" s="24" t="n"/>
      <c r="H33" s="24" t="n"/>
      <c r="I33" s="24" t="inlineStr"/>
      <c r="J33" s="24" t="inlineStr">
        <is>
          <t>2023/01/12</t>
        </is>
      </c>
    </row>
    <row r="34">
      <c r="B34" s="24" t="inlineStr">
        <is>
          <t>clr_sample_houseing</t>
        </is>
      </c>
      <c r="C34" s="24" t="inlineStr">
        <is>
          <t>COMMUNITYPRICE</t>
        </is>
      </c>
      <c r="D34" s="24" t="inlineStr">
        <is>
          <t>decimal(24,6)</t>
        </is>
      </c>
      <c r="E34" s="24" t="inlineStr">
        <is>
          <t>YES</t>
        </is>
      </c>
      <c r="F34" s="24" t="inlineStr">
        <is>
          <t>小区均价</t>
        </is>
      </c>
      <c r="G34" s="24" t="n"/>
      <c r="H34" s="24" t="n"/>
      <c r="I34" s="24" t="inlineStr"/>
      <c r="J34" s="24" t="inlineStr">
        <is>
          <t>2023/01/12</t>
        </is>
      </c>
    </row>
    <row r="35">
      <c r="B35" s="24" t="inlineStr">
        <is>
          <t>clr_sample_houseing</t>
        </is>
      </c>
      <c r="C35" s="24" t="inlineStr">
        <is>
          <t>BUILDDATE</t>
        </is>
      </c>
      <c r="D35" s="24" t="inlineStr">
        <is>
          <t>varchar(18)</t>
        </is>
      </c>
      <c r="E35" s="24" t="inlineStr">
        <is>
          <t>YES</t>
        </is>
      </c>
      <c r="F35" s="24" t="inlineStr">
        <is>
          <t>建造年代</t>
        </is>
      </c>
      <c r="G35" s="24" t="n"/>
      <c r="H35" s="24" t="n"/>
      <c r="I35" s="24" t="inlineStr"/>
      <c r="J35" s="24" t="inlineStr">
        <is>
          <t>2023/01/12</t>
        </is>
      </c>
    </row>
    <row r="36">
      <c r="B36" s="24" t="inlineStr">
        <is>
          <t>clr_sample_houseing</t>
        </is>
      </c>
      <c r="C36" s="24" t="inlineStr">
        <is>
          <t>GREENINGRATE</t>
        </is>
      </c>
      <c r="D36" s="24" t="inlineStr">
        <is>
          <t>decimal(18,8)</t>
        </is>
      </c>
      <c r="E36" s="24" t="inlineStr">
        <is>
          <t>YES</t>
        </is>
      </c>
      <c r="F36" s="24" t="inlineStr">
        <is>
          <t>绿化率（百分比）</t>
        </is>
      </c>
      <c r="G36" s="24" t="n"/>
      <c r="H36" s="24" t="n"/>
      <c r="I36" s="24" t="inlineStr"/>
      <c r="J36" s="24" t="inlineStr">
        <is>
          <t>2023/01/12</t>
        </is>
      </c>
    </row>
    <row r="37">
      <c r="B37" s="24" t="inlineStr">
        <is>
          <t>clr_sample_houseing</t>
        </is>
      </c>
      <c r="C37" s="24" t="inlineStr">
        <is>
          <t>PLOTRATIO</t>
        </is>
      </c>
      <c r="D37" s="24" t="inlineStr">
        <is>
          <t>decimal(18,8)</t>
        </is>
      </c>
      <c r="E37" s="24" t="inlineStr">
        <is>
          <t>YES</t>
        </is>
      </c>
      <c r="F37" s="24" t="inlineStr">
        <is>
          <t>容积率(百分比)</t>
        </is>
      </c>
      <c r="G37" s="24" t="n"/>
      <c r="H37" s="24" t="n"/>
      <c r="I37" s="24" t="inlineStr"/>
      <c r="J37" s="24" t="inlineStr">
        <is>
          <t>2023/01/12</t>
        </is>
      </c>
    </row>
    <row r="38">
      <c r="B38" s="24" t="inlineStr">
        <is>
          <t>clr_sample_houseing</t>
        </is>
      </c>
      <c r="C38" s="24" t="inlineStr">
        <is>
          <t>PROPERTYFEE</t>
        </is>
      </c>
      <c r="D38" s="24" t="inlineStr">
        <is>
          <t>decimal(24,6)</t>
        </is>
      </c>
      <c r="E38" s="24" t="inlineStr">
        <is>
          <t>YES</t>
        </is>
      </c>
      <c r="F38" s="24" t="inlineStr">
        <is>
          <t>物业费</t>
        </is>
      </c>
      <c r="G38" s="24" t="n"/>
      <c r="H38" s="24" t="n"/>
      <c r="I38" s="24" t="inlineStr"/>
      <c r="J38" s="24" t="inlineStr">
        <is>
          <t>2023/01/12</t>
        </is>
      </c>
    </row>
    <row r="39">
      <c r="B39" s="24" t="inlineStr">
        <is>
          <t>clr_sample_houseing</t>
        </is>
      </c>
      <c r="C39" s="24" t="inlineStr">
        <is>
          <t>INPUTORGID</t>
        </is>
      </c>
      <c r="D39" s="24" t="inlineStr">
        <is>
          <t>varchar(32)</t>
        </is>
      </c>
      <c r="E39" s="24" t="inlineStr">
        <is>
          <t>YES</t>
        </is>
      </c>
      <c r="F39" s="24" t="inlineStr">
        <is>
          <t>登记机构</t>
        </is>
      </c>
      <c r="G39" s="24" t="n"/>
      <c r="H39" s="24" t="n"/>
      <c r="I39" s="24" t="inlineStr"/>
      <c r="J39" s="24" t="inlineStr">
        <is>
          <t>2023/01/12</t>
        </is>
      </c>
    </row>
    <row r="40">
      <c r="B40" s="24" t="inlineStr">
        <is>
          <t>clr_sample_houseing</t>
        </is>
      </c>
      <c r="C40" s="24" t="inlineStr">
        <is>
          <t>INPUTUSERID</t>
        </is>
      </c>
      <c r="D40" s="24" t="inlineStr">
        <is>
          <t>varchar(32)</t>
        </is>
      </c>
      <c r="E40" s="24" t="inlineStr">
        <is>
          <t>YES</t>
        </is>
      </c>
      <c r="F40" s="24" t="inlineStr">
        <is>
          <t>登记人</t>
        </is>
      </c>
      <c r="G40" s="24" t="n"/>
      <c r="H40" s="24" t="n"/>
      <c r="I40" s="24" t="inlineStr"/>
      <c r="J40" s="24" t="inlineStr">
        <is>
          <t>2023/01/12</t>
        </is>
      </c>
    </row>
    <row r="41">
      <c r="B41" s="24" t="inlineStr">
        <is>
          <t>clr_sample_houseing</t>
        </is>
      </c>
      <c r="C41" s="24" t="inlineStr">
        <is>
          <t>INPUTDATE</t>
        </is>
      </c>
      <c r="D41" s="24" t="inlineStr">
        <is>
          <t>datetime</t>
        </is>
      </c>
      <c r="E41" s="24" t="inlineStr">
        <is>
          <t>YES</t>
        </is>
      </c>
      <c r="F41" s="24" t="inlineStr">
        <is>
          <t>登记日期</t>
        </is>
      </c>
      <c r="G41" s="24" t="n"/>
      <c r="H41" s="24" t="n"/>
      <c r="I41" s="24" t="inlineStr"/>
      <c r="J41" s="24" t="inlineStr">
        <is>
          <t>2023/01/12</t>
        </is>
      </c>
    </row>
    <row r="42">
      <c r="B42" s="24" t="inlineStr">
        <is>
          <t>clr_sample_houseing</t>
        </is>
      </c>
      <c r="C42" s="24" t="inlineStr">
        <is>
          <t>UPDATEORGID</t>
        </is>
      </c>
      <c r="D42" s="24" t="inlineStr">
        <is>
          <t>varchar(32)</t>
        </is>
      </c>
      <c r="E42" s="24" t="inlineStr">
        <is>
          <t>YES</t>
        </is>
      </c>
      <c r="F42" s="24" t="inlineStr">
        <is>
          <t>更新机构</t>
        </is>
      </c>
      <c r="G42" s="24" t="n"/>
      <c r="H42" s="24" t="n"/>
      <c r="I42" s="24" t="inlineStr"/>
      <c r="J42" s="24" t="inlineStr">
        <is>
          <t>2023/01/12</t>
        </is>
      </c>
    </row>
    <row r="43">
      <c r="B43" s="24" t="inlineStr">
        <is>
          <t>clr_sample_houseing</t>
        </is>
      </c>
      <c r="C43" s="24" t="inlineStr">
        <is>
          <t>UPDATEUSERID</t>
        </is>
      </c>
      <c r="D43" s="24" t="inlineStr">
        <is>
          <t>varchar(32)</t>
        </is>
      </c>
      <c r="E43" s="24" t="inlineStr">
        <is>
          <t>YES</t>
        </is>
      </c>
      <c r="F43" s="24" t="inlineStr">
        <is>
          <t>更新人</t>
        </is>
      </c>
      <c r="G43" s="24" t="n"/>
      <c r="H43" s="24" t="n"/>
      <c r="I43" s="24" t="inlineStr"/>
      <c r="J43" s="24" t="inlineStr">
        <is>
          <t>2023/01/12</t>
        </is>
      </c>
    </row>
    <row r="44">
      <c r="B44" s="24" t="inlineStr">
        <is>
          <t>clr_sample_houseing</t>
        </is>
      </c>
      <c r="C44" s="24" t="inlineStr">
        <is>
          <t>UPDATEDATE</t>
        </is>
      </c>
      <c r="D44" s="24" t="inlineStr">
        <is>
          <t>datetime</t>
        </is>
      </c>
      <c r="E44" s="24" t="inlineStr">
        <is>
          <t>YES</t>
        </is>
      </c>
      <c r="F44" s="24" t="inlineStr">
        <is>
          <t>更新日期</t>
        </is>
      </c>
      <c r="G44" s="24" t="n"/>
      <c r="H44" s="24" t="n"/>
      <c r="I44" s="24" t="inlineStr"/>
      <c r="J44" s="24" t="inlineStr">
        <is>
          <t>2023/01/12</t>
        </is>
      </c>
    </row>
    <row r="45">
      <c r="B45" s="24" t="inlineStr">
        <is>
          <t>clr_sample_houseing</t>
        </is>
      </c>
      <c r="C45" s="24" t="inlineStr">
        <is>
          <t>REMARK</t>
        </is>
      </c>
      <c r="D45" s="24" t="inlineStr">
        <is>
          <t>varchar(1000)</t>
        </is>
      </c>
      <c r="E45" s="24" t="inlineStr">
        <is>
          <t>YES</t>
        </is>
      </c>
      <c r="F45" s="24" t="inlineStr">
        <is>
          <t>备注</t>
        </is>
      </c>
      <c r="G45" s="24" t="n"/>
      <c r="H45" s="24" t="n"/>
      <c r="I45" s="24" t="inlineStr"/>
      <c r="J45" s="24" t="inlineStr">
        <is>
          <t>2023/01/12</t>
        </is>
      </c>
    </row>
    <row r="46">
      <c r="B46" s="24" t="inlineStr">
        <is>
          <t>clr_sample_houseing</t>
        </is>
      </c>
      <c r="C46" s="24" t="inlineStr">
        <is>
          <t>CORPORGID</t>
        </is>
      </c>
      <c r="D46" s="24" t="inlineStr">
        <is>
          <t>varchar(32)</t>
        </is>
      </c>
      <c r="E46" s="24" t="inlineStr">
        <is>
          <t>YES</t>
        </is>
      </c>
      <c r="F46" s="24" t="inlineStr">
        <is>
          <t>法人机构编号</t>
        </is>
      </c>
      <c r="G46" s="24" t="n"/>
      <c r="H46" s="24" t="n"/>
      <c r="I46" s="24" t="inlineStr"/>
      <c r="J46" s="24" t="inlineStr">
        <is>
          <t>2023/01/12</t>
        </is>
      </c>
    </row>
  </sheetData>
  <pageMargins left="0.75" right="0.75" top="1" bottom="1" header="0.5" footer="0.5"/>
  <pageSetup orientation="portrait" paperSize="1" horizontalDpi="300" verticalDpi="300"/>
</worksheet>
</file>

<file path=xl/worksheets/sheet100.xml><?xml version="1.0" encoding="utf-8"?>
<worksheet xmlns="http://schemas.openxmlformats.org/spreadsheetml/2006/main">
  <sheetPr>
    <outlinePr summaryBelow="1" summaryRight="1"/>
    <pageSetUpPr/>
  </sheetPr>
  <dimension ref="A1:J47"/>
  <sheetViews>
    <sheetView zoomScaleSheetLayoutView="60" workbookViewId="0">
      <selection activeCell="F38" sqref="F38"/>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押品房产样本展示表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clr_sample_selected</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clr_sample_selected</t>
        </is>
      </c>
      <c r="C4" s="24" t="inlineStr">
        <is>
          <t>EVALAPPLID</t>
        </is>
      </c>
      <c r="D4" s="24" t="inlineStr">
        <is>
          <t>varchar(32)</t>
        </is>
      </c>
      <c r="E4" s="24" t="inlineStr">
        <is>
          <t>YES</t>
        </is>
      </c>
      <c r="F4" s="24" t="inlineStr">
        <is>
          <t>对应申请编号</t>
        </is>
      </c>
      <c r="G4" s="24" t="n"/>
      <c r="H4" s="24" t="n"/>
      <c r="I4" s="24" t="inlineStr"/>
      <c r="J4" s="24" t="inlineStr">
        <is>
          <t>2023/01/12</t>
        </is>
      </c>
    </row>
    <row r="5">
      <c r="B5" s="24" t="inlineStr">
        <is>
          <t>clr_sample_selected</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clr_sample_selected</t>
        </is>
      </c>
      <c r="C6" s="24" t="inlineStr">
        <is>
          <t>RESIDENCEID</t>
        </is>
      </c>
      <c r="D6" s="24" t="inlineStr">
        <is>
          <t>varchar(32)</t>
        </is>
      </c>
      <c r="E6" s="24" t="inlineStr">
        <is>
          <t>YES</t>
        </is>
      </c>
      <c r="F6" s="24" t="inlineStr">
        <is>
          <t>小区ID</t>
        </is>
      </c>
      <c r="G6" s="24" t="n"/>
      <c r="H6" s="24" t="n"/>
      <c r="I6" s="24" t="inlineStr"/>
      <c r="J6" s="24" t="inlineStr">
        <is>
          <t>2023/01/12</t>
        </is>
      </c>
    </row>
    <row r="7">
      <c r="B7" s="24" t="inlineStr">
        <is>
          <t>clr_sample_selected</t>
        </is>
      </c>
      <c r="C7" s="24" t="inlineStr">
        <is>
          <t>CITY</t>
        </is>
      </c>
      <c r="D7" s="24" t="inlineStr">
        <is>
          <t>varchar(18)</t>
        </is>
      </c>
      <c r="E7" s="24" t="inlineStr">
        <is>
          <t>YES</t>
        </is>
      </c>
      <c r="F7" s="24" t="inlineStr">
        <is>
          <t>城市</t>
        </is>
      </c>
      <c r="G7" s="24" t="n"/>
      <c r="H7" s="24" t="n"/>
      <c r="I7" s="24" t="inlineStr"/>
      <c r="J7" s="24" t="inlineStr">
        <is>
          <t>2023/01/12</t>
        </is>
      </c>
    </row>
    <row r="8">
      <c r="B8" s="24" t="inlineStr">
        <is>
          <t>clr_sample_selected</t>
        </is>
      </c>
      <c r="C8" s="24" t="inlineStr">
        <is>
          <t>REGION</t>
        </is>
      </c>
      <c r="D8" s="24" t="inlineStr">
        <is>
          <t>varchar(18)</t>
        </is>
      </c>
      <c r="E8" s="24" t="inlineStr">
        <is>
          <t>YES</t>
        </is>
      </c>
      <c r="F8" s="24" t="inlineStr">
        <is>
          <t>区域</t>
        </is>
      </c>
      <c r="G8" s="24" t="n"/>
      <c r="H8" s="24" t="n"/>
      <c r="I8" s="24" t="inlineStr"/>
      <c r="J8" s="24" t="inlineStr">
        <is>
          <t>2023/01/12</t>
        </is>
      </c>
    </row>
    <row r="9">
      <c r="B9" s="24" t="inlineStr">
        <is>
          <t>clr_sample_selected</t>
        </is>
      </c>
      <c r="C9" s="24" t="inlineStr">
        <is>
          <t>NAME</t>
        </is>
      </c>
      <c r="D9" s="24" t="inlineStr">
        <is>
          <t>varchar(80)</t>
        </is>
      </c>
      <c r="E9" s="24" t="inlineStr">
        <is>
          <t>YES</t>
        </is>
      </c>
      <c r="F9" s="24" t="inlineStr">
        <is>
          <t>小区名称</t>
        </is>
      </c>
      <c r="G9" s="24" t="n"/>
      <c r="H9" s="24" t="n"/>
      <c r="I9" s="24" t="inlineStr"/>
      <c r="J9" s="24" t="inlineStr">
        <is>
          <t>2023/01/12</t>
        </is>
      </c>
    </row>
    <row r="10">
      <c r="B10" s="24" t="inlineStr">
        <is>
          <t>clr_sample_selected</t>
        </is>
      </c>
      <c r="C10" s="24" t="inlineStr">
        <is>
          <t>ADDRESS</t>
        </is>
      </c>
      <c r="D10" s="24" t="inlineStr">
        <is>
          <t>varchar(80)</t>
        </is>
      </c>
      <c r="E10" s="24" t="inlineStr">
        <is>
          <t>YES</t>
        </is>
      </c>
      <c r="F10" s="24" t="inlineStr">
        <is>
          <t>地址</t>
        </is>
      </c>
      <c r="G10" s="24" t="n"/>
      <c r="H10" s="24" t="n"/>
      <c r="I10" s="24" t="inlineStr"/>
      <c r="J10" s="24" t="inlineStr">
        <is>
          <t>2023/01/12</t>
        </is>
      </c>
    </row>
    <row r="11">
      <c r="B11" s="24" t="inlineStr">
        <is>
          <t>clr_sample_selected</t>
        </is>
      </c>
      <c r="C11" s="24" t="inlineStr">
        <is>
          <t>BUILDTYPE</t>
        </is>
      </c>
      <c r="D11" s="24" t="inlineStr">
        <is>
          <t>varchar(6)</t>
        </is>
      </c>
      <c r="E11" s="24" t="inlineStr">
        <is>
          <t>YES</t>
        </is>
      </c>
      <c r="F11" s="24" t="inlineStr">
        <is>
          <t>建筑类型</t>
        </is>
      </c>
      <c r="G11" s="24" t="n"/>
      <c r="H11" s="24" t="n"/>
      <c r="I11" s="24" t="inlineStr"/>
      <c r="J11" s="24" t="inlineStr">
        <is>
          <t>2023/01/12</t>
        </is>
      </c>
    </row>
    <row r="12">
      <c r="B12" s="24" t="inlineStr">
        <is>
          <t>clr_sample_selected</t>
        </is>
      </c>
      <c r="C12" s="24" t="inlineStr">
        <is>
          <t>TOTALPRICE</t>
        </is>
      </c>
      <c r="D12" s="24" t="inlineStr">
        <is>
          <t>decimal(24,6)</t>
        </is>
      </c>
      <c r="E12" s="24" t="inlineStr">
        <is>
          <t>YES</t>
        </is>
      </c>
      <c r="F12" s="24" t="inlineStr">
        <is>
          <t>房屋挂牌价格</t>
        </is>
      </c>
      <c r="G12" s="24" t="n"/>
      <c r="H12" s="24" t="n"/>
      <c r="I12" s="24" t="inlineStr"/>
      <c r="J12" s="24" t="inlineStr">
        <is>
          <t>2023/01/12</t>
        </is>
      </c>
    </row>
    <row r="13">
      <c r="B13" s="24" t="inlineStr">
        <is>
          <t>clr_sample_selected</t>
        </is>
      </c>
      <c r="C13" s="24" t="inlineStr">
        <is>
          <t>PUBLISHDATE</t>
        </is>
      </c>
      <c r="D13" s="24" t="inlineStr">
        <is>
          <t>varchar(18)</t>
        </is>
      </c>
      <c r="E13" s="24" t="inlineStr">
        <is>
          <t>YES</t>
        </is>
      </c>
      <c r="F13" s="24" t="inlineStr">
        <is>
          <t>信息发布时间</t>
        </is>
      </c>
      <c r="G13" s="24" t="n"/>
      <c r="H13" s="24" t="n"/>
      <c r="I13" s="24" t="inlineStr"/>
      <c r="J13" s="24" t="inlineStr">
        <is>
          <t>2023/01/12</t>
        </is>
      </c>
    </row>
    <row r="14">
      <c r="B14" s="24" t="inlineStr">
        <is>
          <t>clr_sample_selected</t>
        </is>
      </c>
      <c r="C14" s="24" t="inlineStr">
        <is>
          <t>AREA</t>
        </is>
      </c>
      <c r="D14" s="24" t="inlineStr">
        <is>
          <t>decimal(18,2)</t>
        </is>
      </c>
      <c r="E14" s="24" t="inlineStr">
        <is>
          <t>YES</t>
        </is>
      </c>
      <c r="F14" s="24" t="inlineStr">
        <is>
          <t>样本房屋面积</t>
        </is>
      </c>
      <c r="G14" s="24" t="n"/>
      <c r="H14" s="24" t="n"/>
      <c r="I14" s="24" t="inlineStr"/>
      <c r="J14" s="24" t="inlineStr">
        <is>
          <t>2023/01/12</t>
        </is>
      </c>
    </row>
    <row r="15">
      <c r="B15" s="24" t="inlineStr">
        <is>
          <t>clr_sample_selected</t>
        </is>
      </c>
      <c r="C15" s="24" t="inlineStr">
        <is>
          <t>ROOM</t>
        </is>
      </c>
      <c r="D15" s="24" t="inlineStr">
        <is>
          <t>int</t>
        </is>
      </c>
      <c r="E15" s="24" t="inlineStr">
        <is>
          <t>YES</t>
        </is>
      </c>
      <c r="F15" s="24" t="inlineStr">
        <is>
          <t>室</t>
        </is>
      </c>
      <c r="G15" s="24" t="n"/>
      <c r="H15" s="24" t="n"/>
      <c r="I15" s="24" t="inlineStr"/>
      <c r="J15" s="24" t="inlineStr">
        <is>
          <t>2023/01/12</t>
        </is>
      </c>
    </row>
    <row r="16">
      <c r="B16" s="24" t="inlineStr">
        <is>
          <t>clr_sample_selected</t>
        </is>
      </c>
      <c r="C16" s="24" t="inlineStr">
        <is>
          <t>HALL</t>
        </is>
      </c>
      <c r="D16" s="24" t="inlineStr">
        <is>
          <t>int</t>
        </is>
      </c>
      <c r="E16" s="24" t="inlineStr">
        <is>
          <t>YES</t>
        </is>
      </c>
      <c r="F16" s="24" t="inlineStr">
        <is>
          <t>厅</t>
        </is>
      </c>
      <c r="G16" s="24" t="n"/>
      <c r="H16" s="24" t="n"/>
      <c r="I16" s="24" t="inlineStr"/>
      <c r="J16" s="24" t="inlineStr">
        <is>
          <t>2023/01/12</t>
        </is>
      </c>
    </row>
    <row r="17">
      <c r="B17" s="24" t="inlineStr">
        <is>
          <t>clr_sample_selected</t>
        </is>
      </c>
      <c r="C17" s="24" t="inlineStr">
        <is>
          <t>TOILET</t>
        </is>
      </c>
      <c r="D17" s="24" t="inlineStr">
        <is>
          <t>int</t>
        </is>
      </c>
      <c r="E17" s="24" t="inlineStr">
        <is>
          <t>YES</t>
        </is>
      </c>
      <c r="F17" s="24" t="inlineStr">
        <is>
          <t>卫</t>
        </is>
      </c>
      <c r="G17" s="24" t="n"/>
      <c r="H17" s="24" t="n"/>
      <c r="I17" s="24" t="inlineStr"/>
      <c r="J17" s="24" t="inlineStr">
        <is>
          <t>2023/01/12</t>
        </is>
      </c>
    </row>
    <row r="18">
      <c r="B18" s="24" t="inlineStr">
        <is>
          <t>clr_sample_selected</t>
        </is>
      </c>
      <c r="C18" s="24" t="inlineStr">
        <is>
          <t>DIRECTION</t>
        </is>
      </c>
      <c r="D18" s="24" t="inlineStr">
        <is>
          <t>varchar(6)</t>
        </is>
      </c>
      <c r="E18" s="24" t="inlineStr">
        <is>
          <t>YES</t>
        </is>
      </c>
      <c r="F18" s="24" t="inlineStr">
        <is>
          <t>房屋主要朝向</t>
        </is>
      </c>
      <c r="G18" s="24" t="n"/>
      <c r="H18" s="24" t="n"/>
      <c r="I18" s="24" t="inlineStr"/>
      <c r="J18" s="24" t="inlineStr">
        <is>
          <t>2023/01/12</t>
        </is>
      </c>
    </row>
    <row r="19">
      <c r="B19" s="24" t="inlineStr">
        <is>
          <t>clr_sample_selected</t>
        </is>
      </c>
      <c r="C19" s="24" t="inlineStr">
        <is>
          <t>FITMENT</t>
        </is>
      </c>
      <c r="D19" s="24" t="inlineStr">
        <is>
          <t>varchar(6)</t>
        </is>
      </c>
      <c r="E19" s="24" t="inlineStr">
        <is>
          <t>YES</t>
        </is>
      </c>
      <c r="F19" s="24" t="inlineStr">
        <is>
          <t>房屋装修程度</t>
        </is>
      </c>
      <c r="G19" s="24" t="n"/>
      <c r="H19" s="24" t="n"/>
      <c r="I19" s="24" t="inlineStr"/>
      <c r="J19" s="24" t="inlineStr">
        <is>
          <t>2023/01/12</t>
        </is>
      </c>
    </row>
    <row r="20">
      <c r="B20" s="24" t="inlineStr">
        <is>
          <t>clr_sample_selected</t>
        </is>
      </c>
      <c r="C20" s="24" t="inlineStr">
        <is>
          <t>FLOOR</t>
        </is>
      </c>
      <c r="D20" s="24" t="inlineStr">
        <is>
          <t>int</t>
        </is>
      </c>
      <c r="E20" s="24" t="inlineStr">
        <is>
          <t>YES</t>
        </is>
      </c>
      <c r="F20" s="24" t="inlineStr">
        <is>
          <t>房屋所在楼层</t>
        </is>
      </c>
      <c r="G20" s="24" t="n"/>
      <c r="H20" s="24" t="n"/>
      <c r="I20" s="24" t="inlineStr"/>
      <c r="J20" s="24" t="inlineStr">
        <is>
          <t>2023/01/12</t>
        </is>
      </c>
    </row>
    <row r="21">
      <c r="B21" s="24" t="inlineStr">
        <is>
          <t>clr_sample_selected</t>
        </is>
      </c>
      <c r="C21" s="24" t="inlineStr">
        <is>
          <t>HEIGHT</t>
        </is>
      </c>
      <c r="D21" s="24" t="inlineStr">
        <is>
          <t>decimal(18,2)</t>
        </is>
      </c>
      <c r="E21" s="24" t="inlineStr">
        <is>
          <t>YES</t>
        </is>
      </c>
      <c r="F21" s="24" t="inlineStr">
        <is>
          <t>房屋所在楼高</t>
        </is>
      </c>
      <c r="G21" s="24" t="n"/>
      <c r="H21" s="24" t="n"/>
      <c r="I21" s="24" t="inlineStr"/>
      <c r="J21" s="24" t="inlineStr">
        <is>
          <t>2023/01/12</t>
        </is>
      </c>
    </row>
    <row r="22">
      <c r="B22" s="24" t="inlineStr">
        <is>
          <t>clr_sample_selected</t>
        </is>
      </c>
      <c r="C22" s="24" t="inlineStr">
        <is>
          <t>SOURCE</t>
        </is>
      </c>
      <c r="D22" s="24" t="inlineStr">
        <is>
          <t>varchar(32)</t>
        </is>
      </c>
      <c r="E22" s="24" t="inlineStr">
        <is>
          <t>YES</t>
        </is>
      </c>
      <c r="F22" s="24" t="inlineStr">
        <is>
          <t>来源</t>
        </is>
      </c>
      <c r="G22" s="24" t="n"/>
      <c r="H22" s="24" t="n"/>
      <c r="I22" s="24" t="inlineStr"/>
      <c r="J22" s="24" t="inlineStr">
        <is>
          <t>2023/01/12</t>
        </is>
      </c>
    </row>
    <row r="23">
      <c r="B23" s="24" t="inlineStr">
        <is>
          <t>clr_sample_selected</t>
        </is>
      </c>
      <c r="C23" s="24" t="inlineStr">
        <is>
          <t>UNITPRICE</t>
        </is>
      </c>
      <c r="D23" s="24" t="inlineStr">
        <is>
          <t>decimal(24,6)</t>
        </is>
      </c>
      <c r="E23" s="24" t="inlineStr">
        <is>
          <t>YES</t>
        </is>
      </c>
      <c r="F23" s="24" t="inlineStr">
        <is>
          <t>房屋单价</t>
        </is>
      </c>
      <c r="G23" s="24" t="n"/>
      <c r="H23" s="24" t="n"/>
      <c r="I23" s="24" t="inlineStr"/>
      <c r="J23" s="24" t="inlineStr">
        <is>
          <t>2023/01/12</t>
        </is>
      </c>
    </row>
    <row r="24">
      <c r="B24" s="24" t="inlineStr">
        <is>
          <t>clr_sample_selected</t>
        </is>
      </c>
      <c r="C24" s="24" t="inlineStr">
        <is>
          <t>BLOCK</t>
        </is>
      </c>
      <c r="D24" s="24" t="inlineStr">
        <is>
          <t>varchar(80)</t>
        </is>
      </c>
      <c r="E24" s="24" t="inlineStr">
        <is>
          <t>YES</t>
        </is>
      </c>
      <c r="F24" s="24" t="inlineStr">
        <is>
          <t>所属板块</t>
        </is>
      </c>
      <c r="G24" s="24" t="n"/>
      <c r="H24" s="24" t="n"/>
      <c r="I24" s="24" t="inlineStr"/>
      <c r="J24" s="24" t="inlineStr">
        <is>
          <t>2023/01/12</t>
        </is>
      </c>
    </row>
    <row r="25">
      <c r="B25" s="24" t="inlineStr">
        <is>
          <t>clr_sample_selected</t>
        </is>
      </c>
      <c r="C25" s="24" t="inlineStr">
        <is>
          <t>HOUSETYPE</t>
        </is>
      </c>
      <c r="D25" s="24" t="inlineStr">
        <is>
          <t>varchar(80)</t>
        </is>
      </c>
      <c r="E25" s="24" t="inlineStr">
        <is>
          <t>YES</t>
        </is>
      </c>
      <c r="F25" s="24" t="inlineStr">
        <is>
          <t>房屋户型</t>
        </is>
      </c>
      <c r="G25" s="24" t="n"/>
      <c r="H25" s="24" t="n"/>
      <c r="I25" s="24" t="inlineStr"/>
      <c r="J25" s="24" t="inlineStr">
        <is>
          <t>2023/01/12</t>
        </is>
      </c>
    </row>
    <row r="26">
      <c r="B26" s="24" t="inlineStr">
        <is>
          <t>clr_sample_selected</t>
        </is>
      </c>
      <c r="C26" s="24" t="inlineStr">
        <is>
          <t>AVERAGEPRICE</t>
        </is>
      </c>
      <c r="D26" s="24" t="inlineStr">
        <is>
          <t>decimal(24,6)</t>
        </is>
      </c>
      <c r="E26" s="24" t="inlineStr">
        <is>
          <t>YES</t>
        </is>
      </c>
      <c r="F26" s="24" t="inlineStr">
        <is>
          <t>房源均价</t>
        </is>
      </c>
      <c r="G26" s="24" t="n"/>
      <c r="H26" s="24" t="n"/>
      <c r="I26" s="24" t="inlineStr"/>
      <c r="J26" s="24" t="inlineStr">
        <is>
          <t>2023/01/12</t>
        </is>
      </c>
    </row>
    <row r="27">
      <c r="B27" s="24" t="inlineStr">
        <is>
          <t>clr_sample_selected</t>
        </is>
      </c>
      <c r="C27" s="24" t="inlineStr">
        <is>
          <t>USEYEAR</t>
        </is>
      </c>
      <c r="D27" s="24" t="inlineStr">
        <is>
          <t>int</t>
        </is>
      </c>
      <c r="E27" s="24" t="inlineStr">
        <is>
          <t>YES</t>
        </is>
      </c>
      <c r="F27" s="24" t="inlineStr">
        <is>
          <t>剩余使用年限</t>
        </is>
      </c>
      <c r="G27" s="24" t="n"/>
      <c r="H27" s="24" t="n"/>
      <c r="I27" s="24" t="inlineStr"/>
      <c r="J27" s="24" t="inlineStr">
        <is>
          <t>2023/01/12</t>
        </is>
      </c>
    </row>
    <row r="28">
      <c r="B28" s="24" t="inlineStr">
        <is>
          <t>clr_sample_selected</t>
        </is>
      </c>
      <c r="C28" s="24" t="inlineStr">
        <is>
          <t>MATCHMODEL</t>
        </is>
      </c>
      <c r="D28" s="24" t="inlineStr">
        <is>
          <t>varchar(80)</t>
        </is>
      </c>
      <c r="E28" s="24" t="inlineStr">
        <is>
          <t>YES</t>
        </is>
      </c>
      <c r="F28" s="24" t="inlineStr">
        <is>
          <t>匹配类型</t>
        </is>
      </c>
      <c r="G28" s="24" t="n"/>
      <c r="H28" s="24" t="n"/>
      <c r="I28" s="24" t="inlineStr"/>
      <c r="J28" s="24" t="inlineStr">
        <is>
          <t>2023/01/12</t>
        </is>
      </c>
    </row>
    <row r="29">
      <c r="B29" s="24" t="inlineStr">
        <is>
          <t>clr_sample_selected</t>
        </is>
      </c>
      <c r="C29" s="24" t="inlineStr">
        <is>
          <t>ESTATETYPE</t>
        </is>
      </c>
      <c r="D29" s="24" t="inlineStr">
        <is>
          <t>varchar(80)</t>
        </is>
      </c>
      <c r="E29" s="24" t="inlineStr">
        <is>
          <t>YES</t>
        </is>
      </c>
      <c r="F29" s="24" t="inlineStr">
        <is>
          <t>物业类型</t>
        </is>
      </c>
      <c r="G29" s="24" t="n"/>
      <c r="H29" s="24" t="n"/>
      <c r="I29" s="24" t="inlineStr"/>
      <c r="J29" s="24" t="inlineStr">
        <is>
          <t>2023/01/12</t>
        </is>
      </c>
    </row>
    <row r="30">
      <c r="B30" s="24" t="inlineStr">
        <is>
          <t>clr_sample_selected</t>
        </is>
      </c>
      <c r="C30" s="24" t="inlineStr">
        <is>
          <t>BUILDSTRUCTURE</t>
        </is>
      </c>
      <c r="D30" s="24" t="inlineStr">
        <is>
          <t>varchar(80)</t>
        </is>
      </c>
      <c r="E30" s="24" t="inlineStr">
        <is>
          <t>YES</t>
        </is>
      </c>
      <c r="F30" s="24" t="inlineStr">
        <is>
          <t>建筑结构</t>
        </is>
      </c>
      <c r="G30" s="24" t="n"/>
      <c r="H30" s="24" t="n"/>
      <c r="I30" s="24" t="inlineStr"/>
      <c r="J30" s="24" t="inlineStr">
        <is>
          <t>2023/01/12</t>
        </is>
      </c>
    </row>
    <row r="31">
      <c r="B31" s="24" t="inlineStr">
        <is>
          <t>clr_sample_selected</t>
        </is>
      </c>
      <c r="C31" s="24" t="inlineStr">
        <is>
          <t>OPENDATE</t>
        </is>
      </c>
      <c r="D31" s="24" t="inlineStr">
        <is>
          <t>varchar(18)</t>
        </is>
      </c>
      <c r="E31" s="24" t="inlineStr">
        <is>
          <t>YES</t>
        </is>
      </c>
      <c r="F31" s="24" t="inlineStr">
        <is>
          <t>开盘时间</t>
        </is>
      </c>
      <c r="G31" s="24" t="n"/>
      <c r="H31" s="24" t="n"/>
      <c r="I31" s="24" t="inlineStr"/>
      <c r="J31" s="24" t="inlineStr">
        <is>
          <t>2023/01/12</t>
        </is>
      </c>
    </row>
    <row r="32">
      <c r="B32" s="24" t="inlineStr">
        <is>
          <t>clr_sample_selected</t>
        </is>
      </c>
      <c r="C32" s="24" t="inlineStr">
        <is>
          <t>SCHOOLAMOUNT</t>
        </is>
      </c>
      <c r="D32" s="24" t="inlineStr">
        <is>
          <t>int</t>
        </is>
      </c>
      <c r="E32" s="24" t="inlineStr">
        <is>
          <t>YES</t>
        </is>
      </c>
      <c r="F32" s="24" t="inlineStr">
        <is>
          <t>学校数量</t>
        </is>
      </c>
      <c r="G32" s="24" t="n"/>
      <c r="H32" s="24" t="n"/>
      <c r="I32" s="24" t="inlineStr"/>
      <c r="J32" s="24" t="inlineStr">
        <is>
          <t>2023/01/12</t>
        </is>
      </c>
    </row>
    <row r="33">
      <c r="B33" s="24" t="inlineStr">
        <is>
          <t>clr_sample_selected</t>
        </is>
      </c>
      <c r="C33" s="24" t="inlineStr">
        <is>
          <t>METROSTATIONAMOUNT</t>
        </is>
      </c>
      <c r="D33" s="24" t="inlineStr">
        <is>
          <t>int</t>
        </is>
      </c>
      <c r="E33" s="24" t="inlineStr">
        <is>
          <t>YES</t>
        </is>
      </c>
      <c r="F33" s="24" t="inlineStr">
        <is>
          <t>地铁站数量</t>
        </is>
      </c>
      <c r="G33" s="24" t="n"/>
      <c r="H33" s="24" t="n"/>
      <c r="I33" s="24" t="inlineStr"/>
      <c r="J33" s="24" t="inlineStr">
        <is>
          <t>2023/01/12</t>
        </is>
      </c>
    </row>
    <row r="34">
      <c r="B34" s="24" t="inlineStr">
        <is>
          <t>clr_sample_selected</t>
        </is>
      </c>
      <c r="C34" s="24" t="inlineStr">
        <is>
          <t>BUSSTATIONAMOUNT</t>
        </is>
      </c>
      <c r="D34" s="24" t="inlineStr">
        <is>
          <t>int</t>
        </is>
      </c>
      <c r="E34" s="24" t="inlineStr">
        <is>
          <t>YES</t>
        </is>
      </c>
      <c r="F34" s="24" t="inlineStr">
        <is>
          <t>公交站数量</t>
        </is>
      </c>
      <c r="G34" s="24" t="n"/>
      <c r="H34" s="24" t="n"/>
      <c r="I34" s="24" t="inlineStr"/>
      <c r="J34" s="24" t="inlineStr">
        <is>
          <t>2023/01/12</t>
        </is>
      </c>
    </row>
    <row r="35">
      <c r="B35" s="24" t="inlineStr">
        <is>
          <t>clr_sample_selected</t>
        </is>
      </c>
      <c r="C35" s="24" t="inlineStr">
        <is>
          <t>COMMUNITYPRICE</t>
        </is>
      </c>
      <c r="D35" s="24" t="inlineStr">
        <is>
          <t>decimal(24,6)</t>
        </is>
      </c>
      <c r="E35" s="24" t="inlineStr">
        <is>
          <t>YES</t>
        </is>
      </c>
      <c r="F35" s="24" t="inlineStr">
        <is>
          <t>小区均价</t>
        </is>
      </c>
      <c r="G35" s="24" t="n"/>
      <c r="H35" s="24" t="n"/>
      <c r="I35" s="24" t="inlineStr"/>
      <c r="J35" s="24" t="inlineStr">
        <is>
          <t>2023/01/12</t>
        </is>
      </c>
    </row>
    <row r="36">
      <c r="B36" s="24" t="inlineStr">
        <is>
          <t>clr_sample_selected</t>
        </is>
      </c>
      <c r="C36" s="24" t="inlineStr">
        <is>
          <t>BUILDDATE</t>
        </is>
      </c>
      <c r="D36" s="24" t="inlineStr">
        <is>
          <t>varchar(18)</t>
        </is>
      </c>
      <c r="E36" s="24" t="inlineStr">
        <is>
          <t>YES</t>
        </is>
      </c>
      <c r="F36" s="24" t="inlineStr">
        <is>
          <t>建造年代</t>
        </is>
      </c>
      <c r="G36" s="24" t="n"/>
      <c r="H36" s="24" t="n"/>
      <c r="I36" s="24" t="inlineStr"/>
      <c r="J36" s="24" t="inlineStr">
        <is>
          <t>2023/01/12</t>
        </is>
      </c>
    </row>
    <row r="37">
      <c r="B37" s="24" t="inlineStr">
        <is>
          <t>clr_sample_selected</t>
        </is>
      </c>
      <c r="C37" s="24" t="inlineStr">
        <is>
          <t>GREENINGRATE</t>
        </is>
      </c>
      <c r="D37" s="24" t="inlineStr">
        <is>
          <t>decimal(18,8)</t>
        </is>
      </c>
      <c r="E37" s="24" t="inlineStr">
        <is>
          <t>YES</t>
        </is>
      </c>
      <c r="F37" s="24" t="inlineStr">
        <is>
          <t>绿化率（百分比）</t>
        </is>
      </c>
      <c r="G37" s="24" t="n"/>
      <c r="H37" s="24" t="n"/>
      <c r="I37" s="24" t="inlineStr"/>
      <c r="J37" s="24" t="inlineStr">
        <is>
          <t>2023/01/12</t>
        </is>
      </c>
    </row>
    <row r="38">
      <c r="B38" s="24" t="inlineStr">
        <is>
          <t>clr_sample_selected</t>
        </is>
      </c>
      <c r="C38" s="24" t="inlineStr">
        <is>
          <t>PLOTRATIO</t>
        </is>
      </c>
      <c r="D38" s="24" t="inlineStr">
        <is>
          <t>decimal(18,8)</t>
        </is>
      </c>
      <c r="E38" s="24" t="inlineStr">
        <is>
          <t>YES</t>
        </is>
      </c>
      <c r="F38" s="24" t="inlineStr">
        <is>
          <t>容积率(百分比)</t>
        </is>
      </c>
      <c r="G38" s="24" t="n"/>
      <c r="H38" s="24" t="n"/>
      <c r="I38" s="24" t="inlineStr"/>
      <c r="J38" s="24" t="inlineStr">
        <is>
          <t>2023/01/12</t>
        </is>
      </c>
    </row>
    <row r="39">
      <c r="B39" s="24" t="inlineStr">
        <is>
          <t>clr_sample_selected</t>
        </is>
      </c>
      <c r="C39" s="24" t="inlineStr">
        <is>
          <t>PROPERTYFEE</t>
        </is>
      </c>
      <c r="D39" s="24" t="inlineStr">
        <is>
          <t>decimal(24,6)</t>
        </is>
      </c>
      <c r="E39" s="24" t="inlineStr">
        <is>
          <t>YES</t>
        </is>
      </c>
      <c r="F39" s="24" t="inlineStr">
        <is>
          <t>物业费</t>
        </is>
      </c>
      <c r="G39" s="24" t="n"/>
      <c r="H39" s="24" t="n"/>
      <c r="I39" s="24" t="inlineStr"/>
      <c r="J39" s="24" t="inlineStr">
        <is>
          <t>2023/01/12</t>
        </is>
      </c>
    </row>
    <row r="40">
      <c r="B40" s="24" t="inlineStr">
        <is>
          <t>clr_sample_selected</t>
        </is>
      </c>
      <c r="C40" s="24" t="inlineStr">
        <is>
          <t>INPUTORGID</t>
        </is>
      </c>
      <c r="D40" s="24" t="inlineStr">
        <is>
          <t>varchar(32)</t>
        </is>
      </c>
      <c r="E40" s="24" t="inlineStr">
        <is>
          <t>YES</t>
        </is>
      </c>
      <c r="F40" s="24" t="inlineStr">
        <is>
          <t>登记机构</t>
        </is>
      </c>
      <c r="G40" s="24" t="n"/>
      <c r="H40" s="24" t="n"/>
      <c r="I40" s="24" t="inlineStr"/>
      <c r="J40" s="24" t="inlineStr">
        <is>
          <t>2023/01/12</t>
        </is>
      </c>
    </row>
    <row r="41">
      <c r="B41" s="24" t="inlineStr">
        <is>
          <t>clr_sample_selected</t>
        </is>
      </c>
      <c r="C41" s="24" t="inlineStr">
        <is>
          <t>INPUTUSERID</t>
        </is>
      </c>
      <c r="D41" s="24" t="inlineStr">
        <is>
          <t>varchar(32)</t>
        </is>
      </c>
      <c r="E41" s="24" t="inlineStr">
        <is>
          <t>YES</t>
        </is>
      </c>
      <c r="F41" s="24" t="inlineStr">
        <is>
          <t>登记人</t>
        </is>
      </c>
      <c r="G41" s="24" t="n"/>
      <c r="H41" s="24" t="n"/>
      <c r="I41" s="24" t="inlineStr"/>
      <c r="J41" s="24" t="inlineStr">
        <is>
          <t>2023/01/12</t>
        </is>
      </c>
    </row>
    <row r="42">
      <c r="B42" s="24" t="inlineStr">
        <is>
          <t>clr_sample_selected</t>
        </is>
      </c>
      <c r="C42" s="24" t="inlineStr">
        <is>
          <t>INPUTDATE</t>
        </is>
      </c>
      <c r="D42" s="24" t="inlineStr">
        <is>
          <t>datetime</t>
        </is>
      </c>
      <c r="E42" s="24" t="inlineStr">
        <is>
          <t>YES</t>
        </is>
      </c>
      <c r="F42" s="24" t="inlineStr">
        <is>
          <t>登记日期</t>
        </is>
      </c>
      <c r="G42" s="24" t="n"/>
      <c r="H42" s="24" t="n"/>
      <c r="I42" s="24" t="inlineStr"/>
      <c r="J42" s="24" t="inlineStr">
        <is>
          <t>2023/01/12</t>
        </is>
      </c>
    </row>
    <row r="43">
      <c r="B43" s="24" t="inlineStr">
        <is>
          <t>clr_sample_selected</t>
        </is>
      </c>
      <c r="C43" s="24" t="inlineStr">
        <is>
          <t>UPDATEORGID</t>
        </is>
      </c>
      <c r="D43" s="24" t="inlineStr">
        <is>
          <t>varchar(32)</t>
        </is>
      </c>
      <c r="E43" s="24" t="inlineStr">
        <is>
          <t>YES</t>
        </is>
      </c>
      <c r="F43" s="24" t="inlineStr">
        <is>
          <t>更新机构</t>
        </is>
      </c>
      <c r="G43" s="24" t="n"/>
      <c r="H43" s="24" t="n"/>
      <c r="I43" s="24" t="inlineStr"/>
      <c r="J43" s="24" t="inlineStr">
        <is>
          <t>2023/01/12</t>
        </is>
      </c>
    </row>
    <row r="44">
      <c r="B44" s="24" t="inlineStr">
        <is>
          <t>clr_sample_selected</t>
        </is>
      </c>
      <c r="C44" s="24" t="inlineStr">
        <is>
          <t>UPDATEUSERID</t>
        </is>
      </c>
      <c r="D44" s="24" t="inlineStr">
        <is>
          <t>varchar(32)</t>
        </is>
      </c>
      <c r="E44" s="24" t="inlineStr">
        <is>
          <t>YES</t>
        </is>
      </c>
      <c r="F44" s="24" t="inlineStr">
        <is>
          <t>更新人</t>
        </is>
      </c>
      <c r="G44" s="24" t="n"/>
      <c r="H44" s="24" t="n"/>
      <c r="I44" s="24" t="inlineStr"/>
      <c r="J44" s="24" t="inlineStr">
        <is>
          <t>2023/01/12</t>
        </is>
      </c>
    </row>
    <row r="45">
      <c r="B45" s="24" t="inlineStr">
        <is>
          <t>clr_sample_selected</t>
        </is>
      </c>
      <c r="C45" s="24" t="inlineStr">
        <is>
          <t>UPDATEDATE</t>
        </is>
      </c>
      <c r="D45" s="24" t="inlineStr">
        <is>
          <t>datetime</t>
        </is>
      </c>
      <c r="E45" s="24" t="inlineStr">
        <is>
          <t>YES</t>
        </is>
      </c>
      <c r="F45" s="24" t="inlineStr">
        <is>
          <t>更新日期</t>
        </is>
      </c>
      <c r="G45" s="24" t="n"/>
      <c r="H45" s="24" t="n"/>
      <c r="I45" s="24" t="inlineStr"/>
      <c r="J45" s="24" t="inlineStr">
        <is>
          <t>2023/01/12</t>
        </is>
      </c>
    </row>
    <row r="46">
      <c r="B46" s="24" t="inlineStr">
        <is>
          <t>clr_sample_selected</t>
        </is>
      </c>
      <c r="C46" s="24" t="inlineStr">
        <is>
          <t>REMARK</t>
        </is>
      </c>
      <c r="D46" s="24" t="inlineStr">
        <is>
          <t>varchar(1000)</t>
        </is>
      </c>
      <c r="E46" s="24" t="inlineStr">
        <is>
          <t>YES</t>
        </is>
      </c>
      <c r="F46" s="24" t="inlineStr">
        <is>
          <t>备注</t>
        </is>
      </c>
      <c r="G46" s="24" t="n"/>
      <c r="H46" s="24" t="n"/>
      <c r="I46" s="24" t="inlineStr"/>
      <c r="J46" s="24" t="inlineStr">
        <is>
          <t>2023/01/12</t>
        </is>
      </c>
    </row>
    <row r="47">
      <c r="B47" s="24" t="inlineStr">
        <is>
          <t>clr_sample_selected</t>
        </is>
      </c>
      <c r="C47" s="24" t="inlineStr">
        <is>
          <t>CORPORGID</t>
        </is>
      </c>
      <c r="D47" s="24" t="inlineStr">
        <is>
          <t>varchar(32)</t>
        </is>
      </c>
      <c r="E47" s="24" t="inlineStr">
        <is>
          <t>YES</t>
        </is>
      </c>
      <c r="F47" s="24" t="inlineStr">
        <is>
          <t>法人机构编号</t>
        </is>
      </c>
      <c r="G47" s="24" t="n"/>
      <c r="H47" s="24" t="n"/>
      <c r="I47" s="24" t="inlineStr"/>
      <c r="J47" s="24" t="inlineStr">
        <is>
          <t>2023/01/12</t>
        </is>
      </c>
    </row>
  </sheetData>
  <pageMargins left="0.75" right="0.75" top="1" bottom="1" header="0.5" footer="0.5"/>
  <pageSetup orientation="portrait" paperSize="1" horizontalDpi="300" verticalDpi="300"/>
</worksheet>
</file>

<file path=xl/worksheets/sheet101.xml><?xml version="1.0" encoding="utf-8"?>
<worksheet xmlns="http://schemas.openxmlformats.org/spreadsheetml/2006/main">
  <sheetPr>
    <outlinePr summaryBelow="1" summaryRight="1"/>
    <pageSetUpPr/>
  </sheetPr>
  <dimension ref="A1:J16"/>
  <sheetViews>
    <sheetView zoomScaleSheetLayoutView="60" workbookViewId="0">
      <selection activeCell="D13" sqref="D1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股票盯市数据表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clr_stock_market</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clr_stock_market</t>
        </is>
      </c>
      <c r="C4" s="24" t="inlineStr">
        <is>
          <t>STOCKNO</t>
        </is>
      </c>
      <c r="D4" s="24" t="inlineStr">
        <is>
          <t>varchar(32)</t>
        </is>
      </c>
      <c r="E4" s="24" t="inlineStr">
        <is>
          <t>YES</t>
        </is>
      </c>
      <c r="F4" s="24" t="inlineStr">
        <is>
          <t>股票代码</t>
        </is>
      </c>
      <c r="G4" s="24" t="n"/>
      <c r="H4" s="24" t="n"/>
      <c r="I4" s="24" t="inlineStr"/>
      <c r="J4" s="24" t="inlineStr">
        <is>
          <t>2023/01/12</t>
        </is>
      </c>
    </row>
    <row r="5">
      <c r="B5" s="24" t="inlineStr">
        <is>
          <t>clr_stock_market</t>
        </is>
      </c>
      <c r="C5" s="24" t="inlineStr">
        <is>
          <t>TRADEDATE</t>
        </is>
      </c>
      <c r="D5" s="24" t="inlineStr">
        <is>
          <t>date</t>
        </is>
      </c>
      <c r="E5" s="24" t="inlineStr">
        <is>
          <t>YES</t>
        </is>
      </c>
      <c r="F5" s="24" t="inlineStr">
        <is>
          <t>交易日期</t>
        </is>
      </c>
      <c r="G5" s="24" t="n"/>
      <c r="H5" s="24" t="n"/>
      <c r="I5" s="24" t="inlineStr"/>
      <c r="J5" s="24" t="inlineStr">
        <is>
          <t>2023/01/12</t>
        </is>
      </c>
    </row>
    <row r="6">
      <c r="B6" s="24" t="inlineStr">
        <is>
          <t>clr_stock_market</t>
        </is>
      </c>
      <c r="C6" s="24" t="inlineStr">
        <is>
          <t>CLOSEPRICE</t>
        </is>
      </c>
      <c r="D6" s="24" t="inlineStr">
        <is>
          <t>decimal(24,6)</t>
        </is>
      </c>
      <c r="E6" s="24" t="inlineStr">
        <is>
          <t>YES</t>
        </is>
      </c>
      <c r="F6" s="24" t="inlineStr">
        <is>
          <t>收盘价</t>
        </is>
      </c>
      <c r="G6" s="24" t="n"/>
      <c r="H6" s="24" t="n"/>
      <c r="I6" s="24" t="inlineStr"/>
      <c r="J6" s="24" t="inlineStr">
        <is>
          <t>2023/01/12</t>
        </is>
      </c>
    </row>
    <row r="7">
      <c r="B7" s="24" t="inlineStr">
        <is>
          <t>clr_stock_market</t>
        </is>
      </c>
      <c r="C7" s="24" t="inlineStr">
        <is>
          <t>WEEKGAINRATE</t>
        </is>
      </c>
      <c r="D7" s="24" t="inlineStr">
        <is>
          <t>decimal(24,6)</t>
        </is>
      </c>
      <c r="E7" s="24" t="inlineStr">
        <is>
          <t>YES</t>
        </is>
      </c>
      <c r="F7" s="24" t="inlineStr">
        <is>
          <t>近7日涨跌幅</t>
        </is>
      </c>
      <c r="G7" s="24" t="n"/>
      <c r="H7" s="24" t="n"/>
      <c r="I7" s="24" t="inlineStr"/>
      <c r="J7" s="24" t="inlineStr">
        <is>
          <t>2023/01/12</t>
        </is>
      </c>
    </row>
    <row r="8">
      <c r="B8" s="24" t="inlineStr">
        <is>
          <t>clr_stock_market</t>
        </is>
      </c>
      <c r="C8" s="24" t="inlineStr">
        <is>
          <t>THREEMONTHGAINRATE</t>
        </is>
      </c>
      <c r="D8" s="24" t="inlineStr">
        <is>
          <t>decimal(24,6)</t>
        </is>
      </c>
      <c r="E8" s="24" t="inlineStr">
        <is>
          <t>YES</t>
        </is>
      </c>
      <c r="F8" s="24" t="inlineStr">
        <is>
          <t>近3月涨跌幅</t>
        </is>
      </c>
      <c r="G8" s="24" t="n"/>
      <c r="H8" s="24" t="n"/>
      <c r="I8" s="24" t="inlineStr"/>
      <c r="J8" s="24" t="inlineStr">
        <is>
          <t>2023/01/12</t>
        </is>
      </c>
    </row>
    <row r="9">
      <c r="B9" s="24" t="inlineStr">
        <is>
          <t>clr_stock_market</t>
        </is>
      </c>
      <c r="C9" s="24" t="inlineStr">
        <is>
          <t>CORPORGID</t>
        </is>
      </c>
      <c r="D9" s="24" t="inlineStr">
        <is>
          <t>varchar(32)</t>
        </is>
      </c>
      <c r="E9" s="24" t="inlineStr">
        <is>
          <t>YES</t>
        </is>
      </c>
      <c r="F9" s="24" t="inlineStr">
        <is>
          <t>法人机构号</t>
        </is>
      </c>
      <c r="G9" s="24" t="n"/>
      <c r="H9" s="24" t="n"/>
      <c r="I9" s="24" t="inlineStr"/>
      <c r="J9" s="24" t="inlineStr">
        <is>
          <t>2023/01/12</t>
        </is>
      </c>
    </row>
    <row r="10">
      <c r="B10" s="24" t="inlineStr">
        <is>
          <t>clr_stock_market</t>
        </is>
      </c>
      <c r="C10" s="24" t="inlineStr">
        <is>
          <t>DELETEFLAG</t>
        </is>
      </c>
      <c r="D10" s="24" t="inlineStr">
        <is>
          <t>varchar(6)</t>
        </is>
      </c>
      <c r="E10" s="24" t="inlineStr">
        <is>
          <t>YES</t>
        </is>
      </c>
      <c r="F10" s="24" t="inlineStr">
        <is>
          <t>删除标记</t>
        </is>
      </c>
      <c r="G10" s="24" t="n"/>
      <c r="H10" s="24" t="n"/>
      <c r="I10" s="24" t="inlineStr"/>
      <c r="J10" s="24" t="inlineStr">
        <is>
          <t>2023/01/12</t>
        </is>
      </c>
    </row>
    <row r="11">
      <c r="B11" s="24" t="inlineStr">
        <is>
          <t>clr_stock_market</t>
        </is>
      </c>
      <c r="C11" s="24" t="inlineStr">
        <is>
          <t>INPUTUSERID</t>
        </is>
      </c>
      <c r="D11" s="24" t="inlineStr">
        <is>
          <t>varchar(32)</t>
        </is>
      </c>
      <c r="E11" s="24" t="inlineStr">
        <is>
          <t>YES</t>
        </is>
      </c>
      <c r="F11" s="24" t="inlineStr">
        <is>
          <t>登记人</t>
        </is>
      </c>
      <c r="G11" s="24" t="n"/>
      <c r="H11" s="24" t="n"/>
      <c r="I11" s="24" t="inlineStr"/>
      <c r="J11" s="24" t="inlineStr">
        <is>
          <t>2023/01/12</t>
        </is>
      </c>
    </row>
    <row r="12">
      <c r="B12" s="24" t="inlineStr">
        <is>
          <t>clr_stock_market</t>
        </is>
      </c>
      <c r="C12" s="24" t="inlineStr">
        <is>
          <t>INPUTORGID</t>
        </is>
      </c>
      <c r="D12" s="24" t="inlineStr">
        <is>
          <t>varchar(32)</t>
        </is>
      </c>
      <c r="E12" s="24" t="inlineStr">
        <is>
          <t>YES</t>
        </is>
      </c>
      <c r="F12" s="24" t="inlineStr">
        <is>
          <t>登记机构</t>
        </is>
      </c>
      <c r="G12" s="24" t="n"/>
      <c r="H12" s="24" t="n"/>
      <c r="I12" s="24" t="inlineStr"/>
      <c r="J12" s="24" t="inlineStr">
        <is>
          <t>2023/01/12</t>
        </is>
      </c>
    </row>
    <row r="13">
      <c r="B13" s="24" t="inlineStr">
        <is>
          <t>clr_stock_market</t>
        </is>
      </c>
      <c r="C13" s="24" t="inlineStr">
        <is>
          <t>INPUTDATE</t>
        </is>
      </c>
      <c r="D13" s="24" t="inlineStr">
        <is>
          <t>datetime</t>
        </is>
      </c>
      <c r="E13" s="24" t="inlineStr">
        <is>
          <t>YES</t>
        </is>
      </c>
      <c r="F13" s="24" t="inlineStr">
        <is>
          <t>登记日期</t>
        </is>
      </c>
      <c r="G13" s="24" t="n"/>
      <c r="H13" s="24" t="n"/>
      <c r="I13" s="24" t="inlineStr"/>
      <c r="J13" s="24" t="inlineStr">
        <is>
          <t>2023/01/12</t>
        </is>
      </c>
    </row>
    <row r="14">
      <c r="B14" s="24" t="inlineStr">
        <is>
          <t>clr_stock_market</t>
        </is>
      </c>
      <c r="C14" s="24" t="inlineStr">
        <is>
          <t>UPDATEUSERID</t>
        </is>
      </c>
      <c r="D14" s="24" t="inlineStr">
        <is>
          <t>varchar(32)</t>
        </is>
      </c>
      <c r="E14" s="24" t="inlineStr">
        <is>
          <t>YES</t>
        </is>
      </c>
      <c r="F14" s="24" t="inlineStr">
        <is>
          <t>更新人</t>
        </is>
      </c>
      <c r="G14" s="24" t="n"/>
      <c r="H14" s="24" t="n"/>
      <c r="I14" s="24" t="inlineStr"/>
      <c r="J14" s="24" t="inlineStr">
        <is>
          <t>2023/01/12</t>
        </is>
      </c>
    </row>
    <row r="15">
      <c r="B15" s="24" t="inlineStr">
        <is>
          <t>clr_stock_market</t>
        </is>
      </c>
      <c r="C15" s="24" t="inlineStr">
        <is>
          <t>UPDATEORGID</t>
        </is>
      </c>
      <c r="D15" s="24" t="inlineStr">
        <is>
          <t>varchar(32)</t>
        </is>
      </c>
      <c r="E15" s="24" t="inlineStr">
        <is>
          <t>YES</t>
        </is>
      </c>
      <c r="F15" s="24" t="inlineStr">
        <is>
          <t>更新机构</t>
        </is>
      </c>
      <c r="G15" s="24" t="n"/>
      <c r="H15" s="24" t="n"/>
      <c r="I15" s="24" t="inlineStr"/>
      <c r="J15" s="24" t="inlineStr">
        <is>
          <t>2023/01/12</t>
        </is>
      </c>
    </row>
    <row r="16">
      <c r="B16" s="24" t="inlineStr">
        <is>
          <t>clr_stock_market</t>
        </is>
      </c>
      <c r="C16" s="24" t="inlineStr">
        <is>
          <t>UPDATEDATE</t>
        </is>
      </c>
      <c r="D16" s="24" t="inlineStr">
        <is>
          <t>datetime</t>
        </is>
      </c>
      <c r="E16" s="24" t="inlineStr">
        <is>
          <t>YES</t>
        </is>
      </c>
      <c r="F16" s="24" t="inlineStr">
        <is>
          <t>更新日期</t>
        </is>
      </c>
      <c r="G16" s="24" t="n"/>
      <c r="H16" s="24" t="n"/>
      <c r="I16" s="24" t="inlineStr"/>
      <c r="J16" s="24" t="inlineStr">
        <is>
          <t>2023/01/12</t>
        </is>
      </c>
    </row>
  </sheetData>
  <pageMargins left="0.75" right="0.75" top="1" bottom="1" header="0.5" footer="0.5"/>
  <pageSetup orientation="portrait" paperSize="1" horizontalDpi="300" verticalDpi="300"/>
</worksheet>
</file>

<file path=xl/worksheets/sheet102.xml><?xml version="1.0" encoding="utf-8"?>
<worksheet xmlns="http://schemas.openxmlformats.org/spreadsheetml/2006/main">
  <sheetPr>
    <outlinePr summaryBelow="1" summaryRight="1"/>
    <pageSetUpPr/>
  </sheetPr>
  <dimension ref="A1:J20"/>
  <sheetViews>
    <sheetView zoomScaleSheetLayoutView="60" workbookViewId="0">
      <selection activeCell="C49" sqref="C4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股票盯市数据明细表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clr_stock_market_detail</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clr_stock_market_detail</t>
        </is>
      </c>
      <c r="C4" s="24" t="inlineStr">
        <is>
          <t>STOCKNO</t>
        </is>
      </c>
      <c r="D4" s="24" t="inlineStr">
        <is>
          <t>varchar(32)</t>
        </is>
      </c>
      <c r="E4" s="24" t="inlineStr">
        <is>
          <t>YES</t>
        </is>
      </c>
      <c r="F4" s="24" t="inlineStr">
        <is>
          <t>股票代码</t>
        </is>
      </c>
      <c r="G4" s="24" t="n"/>
      <c r="H4" s="24" t="n"/>
      <c r="I4" s="24" t="inlineStr"/>
      <c r="J4" s="24" t="inlineStr">
        <is>
          <t>2023/01/12</t>
        </is>
      </c>
    </row>
    <row r="5">
      <c r="B5" s="24" t="inlineStr">
        <is>
          <t>clr_stock_market_detail</t>
        </is>
      </c>
      <c r="C5" s="24" t="inlineStr">
        <is>
          <t>TRADEDATE</t>
        </is>
      </c>
      <c r="D5" s="24" t="inlineStr">
        <is>
          <t>date</t>
        </is>
      </c>
      <c r="E5" s="24" t="inlineStr">
        <is>
          <t>YES</t>
        </is>
      </c>
      <c r="F5" s="24" t="inlineStr">
        <is>
          <t>交易日期</t>
        </is>
      </c>
      <c r="G5" s="24" t="n"/>
      <c r="H5" s="24" t="n"/>
      <c r="I5" s="24" t="inlineStr"/>
      <c r="J5" s="24" t="inlineStr">
        <is>
          <t>2023/01/12</t>
        </is>
      </c>
    </row>
    <row r="6">
      <c r="B6" s="24" t="inlineStr">
        <is>
          <t>clr_stock_market_detail</t>
        </is>
      </c>
      <c r="C6" s="24" t="inlineStr">
        <is>
          <t>OPENPRICE</t>
        </is>
      </c>
      <c r="D6" s="24" t="inlineStr">
        <is>
          <t>decimal(24,6)</t>
        </is>
      </c>
      <c r="E6" s="24" t="inlineStr">
        <is>
          <t>YES</t>
        </is>
      </c>
      <c r="F6" s="24" t="inlineStr">
        <is>
          <t>开盘价</t>
        </is>
      </c>
      <c r="G6" s="24" t="n"/>
      <c r="H6" s="24" t="n"/>
      <c r="I6" s="24" t="inlineStr"/>
      <c r="J6" s="24" t="inlineStr">
        <is>
          <t>2023/01/12</t>
        </is>
      </c>
    </row>
    <row r="7">
      <c r="B7" s="24" t="inlineStr">
        <is>
          <t>clr_stock_market_detail</t>
        </is>
      </c>
      <c r="C7" s="24" t="inlineStr">
        <is>
          <t>HIGHPRICE</t>
        </is>
      </c>
      <c r="D7" s="24" t="inlineStr">
        <is>
          <t>decimal(24,6)</t>
        </is>
      </c>
      <c r="E7" s="24" t="inlineStr">
        <is>
          <t>YES</t>
        </is>
      </c>
      <c r="F7" s="24" t="inlineStr">
        <is>
          <t>最高价</t>
        </is>
      </c>
      <c r="G7" s="24" t="n"/>
      <c r="H7" s="24" t="n"/>
      <c r="I7" s="24" t="inlineStr"/>
      <c r="J7" s="24" t="inlineStr">
        <is>
          <t>2023/01/12</t>
        </is>
      </c>
    </row>
    <row r="8">
      <c r="B8" s="24" t="inlineStr">
        <is>
          <t>clr_stock_market_detail</t>
        </is>
      </c>
      <c r="C8" s="24" t="inlineStr">
        <is>
          <t>LOWPRICE</t>
        </is>
      </c>
      <c r="D8" s="24" t="inlineStr">
        <is>
          <t>decimal(24,6)</t>
        </is>
      </c>
      <c r="E8" s="24" t="inlineStr">
        <is>
          <t>YES</t>
        </is>
      </c>
      <c r="F8" s="24" t="inlineStr">
        <is>
          <t>最低价</t>
        </is>
      </c>
      <c r="G8" s="24" t="n"/>
      <c r="H8" s="24" t="n"/>
      <c r="I8" s="24" t="inlineStr"/>
      <c r="J8" s="24" t="inlineStr">
        <is>
          <t>2023/01/12</t>
        </is>
      </c>
    </row>
    <row r="9">
      <c r="B9" s="24" t="inlineStr">
        <is>
          <t>clr_stock_market_detail</t>
        </is>
      </c>
      <c r="C9" s="24" t="inlineStr">
        <is>
          <t>AVGPRICE</t>
        </is>
      </c>
      <c r="D9" s="24" t="inlineStr">
        <is>
          <t>decimal(24,6)</t>
        </is>
      </c>
      <c r="E9" s="24" t="inlineStr">
        <is>
          <t>YES</t>
        </is>
      </c>
      <c r="F9" s="24" t="inlineStr">
        <is>
          <t>平均价</t>
        </is>
      </c>
      <c r="G9" s="24" t="n"/>
      <c r="H9" s="24" t="n"/>
      <c r="I9" s="24" t="inlineStr"/>
      <c r="J9" s="24" t="inlineStr">
        <is>
          <t>2023/01/12</t>
        </is>
      </c>
    </row>
    <row r="10">
      <c r="B10" s="24" t="inlineStr">
        <is>
          <t>clr_stock_market_detail</t>
        </is>
      </c>
      <c r="C10" s="24" t="inlineStr">
        <is>
          <t>CLOSEPRICE</t>
        </is>
      </c>
      <c r="D10" s="24" t="inlineStr">
        <is>
          <t>decimal(24,6)</t>
        </is>
      </c>
      <c r="E10" s="24" t="inlineStr">
        <is>
          <t>YES</t>
        </is>
      </c>
      <c r="F10" s="24" t="inlineStr">
        <is>
          <t>收盘价</t>
        </is>
      </c>
      <c r="G10" s="24" t="n"/>
      <c r="H10" s="24" t="n"/>
      <c r="I10" s="24" t="inlineStr"/>
      <c r="J10" s="24" t="inlineStr">
        <is>
          <t>2023/01/12</t>
        </is>
      </c>
    </row>
    <row r="11">
      <c r="B11" s="24" t="inlineStr">
        <is>
          <t>clr_stock_market_detail</t>
        </is>
      </c>
      <c r="C11" s="24" t="inlineStr">
        <is>
          <t>WEEKGAINRATE</t>
        </is>
      </c>
      <c r="D11" s="24" t="inlineStr">
        <is>
          <t>decimal(24,6)</t>
        </is>
      </c>
      <c r="E11" s="24" t="inlineStr">
        <is>
          <t>YES</t>
        </is>
      </c>
      <c r="F11" s="24" t="inlineStr">
        <is>
          <t>近7日涨跌幅</t>
        </is>
      </c>
      <c r="G11" s="24" t="n"/>
      <c r="H11" s="24" t="n"/>
      <c r="I11" s="24" t="inlineStr"/>
      <c r="J11" s="24" t="inlineStr">
        <is>
          <t>2023/01/12</t>
        </is>
      </c>
    </row>
    <row r="12">
      <c r="B12" s="24" t="inlineStr">
        <is>
          <t>clr_stock_market_detail</t>
        </is>
      </c>
      <c r="C12" s="24" t="inlineStr">
        <is>
          <t>THREEMONTHGAINRATE</t>
        </is>
      </c>
      <c r="D12" s="24" t="inlineStr">
        <is>
          <t>decimal(24,6)</t>
        </is>
      </c>
      <c r="E12" s="24" t="inlineStr">
        <is>
          <t>YES</t>
        </is>
      </c>
      <c r="F12" s="24" t="inlineStr">
        <is>
          <t>近3月涨跌幅</t>
        </is>
      </c>
      <c r="G12" s="24" t="n"/>
      <c r="H12" s="24" t="n"/>
      <c r="I12" s="24" t="inlineStr"/>
      <c r="J12" s="24" t="inlineStr">
        <is>
          <t>2023/01/12</t>
        </is>
      </c>
    </row>
    <row r="13">
      <c r="B13" s="24" t="inlineStr">
        <is>
          <t>clr_stock_market_detail</t>
        </is>
      </c>
      <c r="C13" s="24" t="inlineStr">
        <is>
          <t>CORPORGID</t>
        </is>
      </c>
      <c r="D13" s="24" t="inlineStr">
        <is>
          <t>varchar(32)</t>
        </is>
      </c>
      <c r="E13" s="24" t="inlineStr">
        <is>
          <t>YES</t>
        </is>
      </c>
      <c r="F13" s="24" t="inlineStr">
        <is>
          <t>法人机构号</t>
        </is>
      </c>
      <c r="G13" s="24" t="n"/>
      <c r="H13" s="24" t="n"/>
      <c r="I13" s="24" t="inlineStr"/>
      <c r="J13" s="24" t="inlineStr">
        <is>
          <t>2023/01/12</t>
        </is>
      </c>
    </row>
    <row r="14">
      <c r="B14" s="24" t="inlineStr">
        <is>
          <t>clr_stock_market_detail</t>
        </is>
      </c>
      <c r="C14" s="24" t="inlineStr">
        <is>
          <t>DELETEFLAG</t>
        </is>
      </c>
      <c r="D14" s="24" t="inlineStr">
        <is>
          <t>varchar(6)</t>
        </is>
      </c>
      <c r="E14" s="24" t="inlineStr">
        <is>
          <t>YES</t>
        </is>
      </c>
      <c r="F14" s="24" t="inlineStr">
        <is>
          <t>删除标记</t>
        </is>
      </c>
      <c r="G14" s="24" t="n"/>
      <c r="H14" s="24" t="n"/>
      <c r="I14" s="24" t="inlineStr"/>
      <c r="J14" s="24" t="inlineStr">
        <is>
          <t>2023/01/12</t>
        </is>
      </c>
    </row>
    <row r="15">
      <c r="B15" s="24" t="inlineStr">
        <is>
          <t>clr_stock_market_detail</t>
        </is>
      </c>
      <c r="C15" s="24" t="inlineStr">
        <is>
          <t>INPUTUSERID</t>
        </is>
      </c>
      <c r="D15" s="24" t="inlineStr">
        <is>
          <t>varchar(32)</t>
        </is>
      </c>
      <c r="E15" s="24" t="inlineStr">
        <is>
          <t>YES</t>
        </is>
      </c>
      <c r="F15" s="24" t="inlineStr">
        <is>
          <t>登记人</t>
        </is>
      </c>
      <c r="G15" s="24" t="n"/>
      <c r="H15" s="24" t="n"/>
      <c r="I15" s="24" t="inlineStr"/>
      <c r="J15" s="24" t="inlineStr">
        <is>
          <t>2023/01/12</t>
        </is>
      </c>
    </row>
    <row r="16">
      <c r="B16" s="24" t="inlineStr">
        <is>
          <t>clr_stock_market_detail</t>
        </is>
      </c>
      <c r="C16" s="24" t="inlineStr">
        <is>
          <t>INPUTORGID</t>
        </is>
      </c>
      <c r="D16" s="24" t="inlineStr">
        <is>
          <t>varchar(32)</t>
        </is>
      </c>
      <c r="E16" s="24" t="inlineStr">
        <is>
          <t>YES</t>
        </is>
      </c>
      <c r="F16" s="24" t="inlineStr">
        <is>
          <t>登记机构</t>
        </is>
      </c>
      <c r="G16" s="24" t="n"/>
      <c r="H16" s="24" t="n"/>
      <c r="I16" s="24" t="inlineStr"/>
      <c r="J16" s="24" t="inlineStr">
        <is>
          <t>2023/01/12</t>
        </is>
      </c>
    </row>
    <row r="17">
      <c r="B17" s="24" t="inlineStr">
        <is>
          <t>clr_stock_market_detail</t>
        </is>
      </c>
      <c r="C17" s="24" t="inlineStr">
        <is>
          <t>INPUTDATE</t>
        </is>
      </c>
      <c r="D17" s="24" t="inlineStr">
        <is>
          <t>datetime</t>
        </is>
      </c>
      <c r="E17" s="24" t="inlineStr">
        <is>
          <t>YES</t>
        </is>
      </c>
      <c r="F17" s="24" t="inlineStr">
        <is>
          <t>登记日期</t>
        </is>
      </c>
      <c r="G17" s="24" t="n"/>
      <c r="H17" s="24" t="n"/>
      <c r="I17" s="24" t="inlineStr"/>
      <c r="J17" s="24" t="inlineStr">
        <is>
          <t>2023/01/12</t>
        </is>
      </c>
    </row>
    <row r="18">
      <c r="B18" s="24" t="inlineStr">
        <is>
          <t>clr_stock_market_detail</t>
        </is>
      </c>
      <c r="C18" s="24" t="inlineStr">
        <is>
          <t>UPDATEUSERID</t>
        </is>
      </c>
      <c r="D18" s="24" t="inlineStr">
        <is>
          <t>varchar(32)</t>
        </is>
      </c>
      <c r="E18" s="24" t="inlineStr">
        <is>
          <t>YES</t>
        </is>
      </c>
      <c r="F18" s="24" t="inlineStr">
        <is>
          <t>更新人</t>
        </is>
      </c>
      <c r="G18" s="24" t="n"/>
      <c r="H18" s="24" t="n"/>
      <c r="I18" s="24" t="inlineStr"/>
      <c r="J18" s="24" t="inlineStr">
        <is>
          <t>2023/01/12</t>
        </is>
      </c>
    </row>
    <row r="19">
      <c r="B19" s="24" t="inlineStr">
        <is>
          <t>clr_stock_market_detail</t>
        </is>
      </c>
      <c r="C19" s="24" t="inlineStr">
        <is>
          <t>UPDATEORGID</t>
        </is>
      </c>
      <c r="D19" s="24" t="inlineStr">
        <is>
          <t>varchar(32)</t>
        </is>
      </c>
      <c r="E19" s="24" t="inlineStr">
        <is>
          <t>YES</t>
        </is>
      </c>
      <c r="F19" s="24" t="inlineStr">
        <is>
          <t>更新机构</t>
        </is>
      </c>
      <c r="G19" s="24" t="n"/>
      <c r="H19" s="24" t="n"/>
      <c r="I19" s="24" t="inlineStr"/>
      <c r="J19" s="24" t="inlineStr">
        <is>
          <t>2023/01/12</t>
        </is>
      </c>
    </row>
    <row r="20">
      <c r="B20" s="24" t="inlineStr">
        <is>
          <t>clr_stock_market_detail</t>
        </is>
      </c>
      <c r="C20" s="24" t="inlineStr">
        <is>
          <t>UPDATEDATE</t>
        </is>
      </c>
      <c r="D20" s="24" t="inlineStr">
        <is>
          <t>datetime</t>
        </is>
      </c>
      <c r="E20" s="24" t="inlineStr">
        <is>
          <t>YES</t>
        </is>
      </c>
      <c r="F20" s="24" t="inlineStr">
        <is>
          <t>更新日期</t>
        </is>
      </c>
      <c r="G20" s="24" t="n"/>
      <c r="H20" s="24" t="n"/>
      <c r="I20" s="24" t="inlineStr"/>
      <c r="J20" s="24" t="inlineStr">
        <is>
          <t>2023/01/12</t>
        </is>
      </c>
    </row>
  </sheetData>
  <pageMargins left="0.75" right="0.75" top="1" bottom="1" header="0.5" footer="0.5"/>
  <pageSetup orientation="portrait" paperSize="1" horizontalDpi="300" verticalDpi="300"/>
</worksheet>
</file>

<file path=xl/worksheets/sheet103.xml><?xml version="1.0" encoding="utf-8"?>
<worksheet xmlns="http://schemas.openxmlformats.org/spreadsheetml/2006/main">
  <sheetPr>
    <outlinePr summaryBelow="1" summaryRight="1"/>
    <pageSetUpPr/>
  </sheetPr>
  <dimension ref="A1:J20"/>
  <sheetViews>
    <sheetView zoomScaleSheetLayoutView="60" workbookViewId="0">
      <selection activeCell="F20" sqref="F20"/>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压力测试业务详情</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clr_stress_bu_detail</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clr_stress_bu_detail</t>
        </is>
      </c>
      <c r="C4" s="24" t="inlineStr">
        <is>
          <t>RECORDSERIALNO</t>
        </is>
      </c>
      <c r="D4" s="24" t="inlineStr">
        <is>
          <t>varchar(32)</t>
        </is>
      </c>
      <c r="E4" s="24" t="inlineStr">
        <is>
          <t>YES</t>
        </is>
      </c>
      <c r="F4" s="24" t="inlineStr">
        <is>
          <t>压力测试记录流水号</t>
        </is>
      </c>
      <c r="G4" s="24" t="n"/>
      <c r="H4" s="24" t="n"/>
      <c r="I4" s="24" t="inlineStr"/>
      <c r="J4" s="24" t="inlineStr">
        <is>
          <t>2023/01/12</t>
        </is>
      </c>
    </row>
    <row r="5">
      <c r="B5" s="24" t="inlineStr">
        <is>
          <t>clr_stress_bu_detail</t>
        </is>
      </c>
      <c r="C5" s="24" t="inlineStr">
        <is>
          <t>CUSTOMERID</t>
        </is>
      </c>
      <c r="D5" s="24" t="inlineStr">
        <is>
          <t>varchar(32)</t>
        </is>
      </c>
      <c r="E5" s="24" t="inlineStr">
        <is>
          <t>YES</t>
        </is>
      </c>
      <c r="F5" s="24" t="inlineStr">
        <is>
          <t>业务客户编号</t>
        </is>
      </c>
      <c r="G5" s="24" t="n"/>
      <c r="H5" s="24" t="n"/>
      <c r="I5" s="24" t="inlineStr"/>
      <c r="J5" s="24" t="inlineStr">
        <is>
          <t>2023/01/12</t>
        </is>
      </c>
    </row>
    <row r="6">
      <c r="B6" s="24" t="inlineStr">
        <is>
          <t>clr_stress_bu_detail</t>
        </is>
      </c>
      <c r="C6" s="24" t="inlineStr">
        <is>
          <t>CUSTOMERNAME</t>
        </is>
      </c>
      <c r="D6" s="24" t="inlineStr">
        <is>
          <t>varchar(80)</t>
        </is>
      </c>
      <c r="E6" s="24" t="inlineStr">
        <is>
          <t>YES</t>
        </is>
      </c>
      <c r="F6" s="53" t="inlineStr">
        <is>
          <t>业务客户名称</t>
        </is>
      </c>
      <c r="G6" s="24" t="n"/>
      <c r="H6" s="24" t="n"/>
      <c r="I6" s="24" t="inlineStr"/>
      <c r="J6" s="24" t="inlineStr">
        <is>
          <t>2023/01/12</t>
        </is>
      </c>
    </row>
    <row r="7">
      <c r="B7" s="24" t="inlineStr">
        <is>
          <t>clr_stress_bu_detail</t>
        </is>
      </c>
      <c r="C7" s="24" t="inlineStr">
        <is>
          <t>BUSINESSNO</t>
        </is>
      </c>
      <c r="D7" s="24" t="inlineStr">
        <is>
          <t>varchar(32)</t>
        </is>
      </c>
      <c r="E7" s="24" t="inlineStr">
        <is>
          <t>YES</t>
        </is>
      </c>
      <c r="F7" s="24" t="inlineStr">
        <is>
          <t>业务编号</t>
        </is>
      </c>
      <c r="G7" s="24" t="n"/>
      <c r="H7" s="24" t="n"/>
      <c r="I7" s="24" t="inlineStr"/>
      <c r="J7" s="24" t="inlineStr">
        <is>
          <t>2023/01/12</t>
        </is>
      </c>
    </row>
    <row r="8">
      <c r="B8" s="24" t="inlineStr">
        <is>
          <t>clr_stress_bu_detail</t>
        </is>
      </c>
      <c r="C8" s="24" t="inlineStr">
        <is>
          <t>PRODUCTID</t>
        </is>
      </c>
      <c r="D8" s="24" t="inlineStr">
        <is>
          <t>varchar(32)</t>
        </is>
      </c>
      <c r="E8" s="24" t="inlineStr">
        <is>
          <t>YES</t>
        </is>
      </c>
      <c r="F8" s="24" t="inlineStr">
        <is>
          <t>业务品种</t>
        </is>
      </c>
      <c r="G8" s="24" t="n"/>
      <c r="H8" s="24" t="n"/>
      <c r="I8" s="24" t="inlineStr"/>
      <c r="J8" s="24" t="inlineStr">
        <is>
          <t>2023/01/12</t>
        </is>
      </c>
    </row>
    <row r="9">
      <c r="B9" s="24" t="inlineStr">
        <is>
          <t>clr_stress_bu_detail</t>
        </is>
      </c>
      <c r="C9" s="24" t="inlineStr">
        <is>
          <t>PRODUCTNAME</t>
        </is>
      </c>
      <c r="D9" s="24" t="inlineStr">
        <is>
          <t>varchar(32)</t>
        </is>
      </c>
      <c r="E9" s="24" t="inlineStr">
        <is>
          <t>YES</t>
        </is>
      </c>
      <c r="F9" s="24" t="inlineStr">
        <is>
          <t>业务名称</t>
        </is>
      </c>
      <c r="G9" s="24" t="n"/>
      <c r="H9" s="24" t="n"/>
      <c r="I9" s="24" t="inlineStr"/>
      <c r="J9" s="24" t="inlineStr">
        <is>
          <t>2023/01/12</t>
        </is>
      </c>
    </row>
    <row r="10">
      <c r="B10" s="24" t="inlineStr">
        <is>
          <t>clr_stress_bu_detail</t>
        </is>
      </c>
      <c r="C10" s="24" t="inlineStr">
        <is>
          <t>OPERATEORGID</t>
        </is>
      </c>
      <c r="D10" s="24" t="inlineStr">
        <is>
          <t>varchar(32)</t>
        </is>
      </c>
      <c r="E10" s="24" t="inlineStr">
        <is>
          <t>YES</t>
        </is>
      </c>
      <c r="F10" s="24" t="inlineStr">
        <is>
          <t>经办机构</t>
        </is>
      </c>
      <c r="G10" s="24" t="n"/>
      <c r="H10" s="24" t="n"/>
      <c r="I10" s="24" t="inlineStr"/>
      <c r="J10" s="24" t="inlineStr">
        <is>
          <t>2023/01/12</t>
        </is>
      </c>
    </row>
    <row r="11">
      <c r="B11" s="24" t="inlineStr">
        <is>
          <t>clr_stress_bu_detail</t>
        </is>
      </c>
      <c r="C11" s="24" t="inlineStr">
        <is>
          <t>NATIONALINDUSTRYTARGET</t>
        </is>
      </c>
      <c r="D11" s="24" t="inlineStr">
        <is>
          <t>varchar(32)</t>
        </is>
      </c>
      <c r="E11" s="24" t="inlineStr">
        <is>
          <t>YES</t>
        </is>
      </c>
      <c r="F11" s="24" t="inlineStr">
        <is>
          <t>贷款投向</t>
        </is>
      </c>
      <c r="G11" s="64">
        <f>HYPERLINK("#码值映射清单!B3983","IndustryType")</f>
        <v/>
      </c>
      <c r="H11" s="24" t="n"/>
      <c r="I11" s="24" t="inlineStr"/>
      <c r="J11" s="24" t="inlineStr">
        <is>
          <t>2023/01/12</t>
        </is>
      </c>
    </row>
    <row r="12">
      <c r="B12" s="24" t="inlineStr">
        <is>
          <t>clr_stress_bu_detail</t>
        </is>
      </c>
      <c r="C12" s="24" t="inlineStr">
        <is>
          <t>BALANCE</t>
        </is>
      </c>
      <c r="D12" s="24" t="inlineStr">
        <is>
          <t>decimal(24,6)</t>
        </is>
      </c>
      <c r="E12" s="24" t="inlineStr">
        <is>
          <t>YES</t>
        </is>
      </c>
      <c r="F12" s="24" t="inlineStr">
        <is>
          <t>业务余额</t>
        </is>
      </c>
      <c r="G12" s="24" t="n"/>
      <c r="H12" s="24" t="n"/>
      <c r="I12" s="24" t="inlineStr"/>
      <c r="J12" s="24" t="inlineStr">
        <is>
          <t>2023/01/12</t>
        </is>
      </c>
    </row>
    <row r="13">
      <c r="B13" s="24" t="inlineStr">
        <is>
          <t>clr_stress_bu_detail</t>
        </is>
      </c>
      <c r="C13" s="24" t="inlineStr">
        <is>
          <t>SUFFIVALUERATIO</t>
        </is>
      </c>
      <c r="D13" s="24" t="inlineStr">
        <is>
          <t>decimal(24,6)</t>
        </is>
      </c>
      <c r="E13" s="24" t="inlineStr">
        <is>
          <t>YES</t>
        </is>
      </c>
      <c r="F13" s="24" t="inlineStr">
        <is>
          <t>足值率</t>
        </is>
      </c>
      <c r="G13" s="24" t="n"/>
      <c r="H13" s="24" t="n"/>
      <c r="I13" s="24" t="inlineStr"/>
      <c r="J13" s="24" t="inlineStr">
        <is>
          <t>2023/01/12</t>
        </is>
      </c>
    </row>
    <row r="14">
      <c r="B14" s="24" t="inlineStr">
        <is>
          <t>clr_stress_bu_detail</t>
        </is>
      </c>
      <c r="C14" s="24" t="inlineStr">
        <is>
          <t>MILDAFTERSUFFIVALUERATIO</t>
        </is>
      </c>
      <c r="D14" s="24" t="inlineStr">
        <is>
          <t>decimal(18,8)</t>
        </is>
      </c>
      <c r="E14" s="24" t="inlineStr">
        <is>
          <t>YES</t>
        </is>
      </c>
      <c r="F14" s="24" t="inlineStr">
        <is>
          <t>轻度压后足值率</t>
        </is>
      </c>
      <c r="G14" s="24" t="n"/>
      <c r="H14" s="24" t="n"/>
      <c r="I14" s="24" t="inlineStr"/>
      <c r="J14" s="24" t="inlineStr">
        <is>
          <t>2023/01/12</t>
        </is>
      </c>
    </row>
    <row r="15">
      <c r="B15" s="24" t="inlineStr">
        <is>
          <t>clr_stress_bu_detail</t>
        </is>
      </c>
      <c r="C15" s="24" t="inlineStr">
        <is>
          <t>MODERATEAFTERSUFFIVALUERATIO</t>
        </is>
      </c>
      <c r="D15" s="24" t="inlineStr">
        <is>
          <t>decimal(18,8)</t>
        </is>
      </c>
      <c r="E15" s="24" t="inlineStr">
        <is>
          <t>YES</t>
        </is>
      </c>
      <c r="F15" s="24" t="inlineStr">
        <is>
          <t>中度压后足值率</t>
        </is>
      </c>
      <c r="G15" s="24" t="n"/>
      <c r="H15" s="24" t="n"/>
      <c r="I15" s="24" t="inlineStr"/>
      <c r="J15" s="24" t="inlineStr">
        <is>
          <t>2023/01/12</t>
        </is>
      </c>
    </row>
    <row r="16">
      <c r="B16" s="24" t="inlineStr">
        <is>
          <t>clr_stress_bu_detail</t>
        </is>
      </c>
      <c r="C16" s="24" t="inlineStr">
        <is>
          <t>SEVEREAFTERSUFFIVALUERATIO</t>
        </is>
      </c>
      <c r="D16" s="24" t="inlineStr">
        <is>
          <t>decimal(18,8)</t>
        </is>
      </c>
      <c r="E16" s="24" t="inlineStr">
        <is>
          <t>YES</t>
        </is>
      </c>
      <c r="F16" s="24" t="inlineStr">
        <is>
          <t>重度压后足值率</t>
        </is>
      </c>
      <c r="G16" s="24" t="n"/>
      <c r="H16" s="24" t="n"/>
      <c r="I16" s="24" t="inlineStr"/>
      <c r="J16" s="24" t="inlineStr">
        <is>
          <t>2023/01/12</t>
        </is>
      </c>
    </row>
    <row r="17">
      <c r="B17" s="24" t="inlineStr">
        <is>
          <t>clr_stress_bu_detail</t>
        </is>
      </c>
      <c r="C17" s="24" t="inlineStr">
        <is>
          <t>ISENOUGH</t>
        </is>
      </c>
      <c r="D17" s="24" t="inlineStr">
        <is>
          <t>varchar(6)</t>
        </is>
      </c>
      <c r="E17" s="24" t="inlineStr">
        <is>
          <t>YES</t>
        </is>
      </c>
      <c r="F17" s="24" t="inlineStr">
        <is>
          <t>是否足值</t>
        </is>
      </c>
      <c r="G17" s="61">
        <f>HYPERLINK("#码值映射清单!B5150","YesNo")</f>
        <v/>
      </c>
      <c r="H17" s="24" t="n"/>
      <c r="I17" s="24" t="inlineStr"/>
      <c r="J17" s="24" t="inlineStr">
        <is>
          <t>2023/01/12</t>
        </is>
      </c>
    </row>
    <row r="18">
      <c r="B18" s="24" t="inlineStr">
        <is>
          <t>clr_stress_bu_detail</t>
        </is>
      </c>
      <c r="C18" s="24" t="inlineStr">
        <is>
          <t>MILDISENOUGH</t>
        </is>
      </c>
      <c r="D18" s="24" t="inlineStr">
        <is>
          <t>varchar(6)</t>
        </is>
      </c>
      <c r="E18" s="24" t="inlineStr">
        <is>
          <t>YES</t>
        </is>
      </c>
      <c r="F18" s="24" t="inlineStr">
        <is>
          <t>轻度压后是否足值</t>
        </is>
      </c>
      <c r="G18" s="52">
        <f>HYPERLINK("#码值映射清单!B5150","YesNo")</f>
        <v/>
      </c>
      <c r="H18" s="24" t="n"/>
      <c r="I18" s="24" t="inlineStr"/>
      <c r="J18" s="24" t="inlineStr">
        <is>
          <t>2023/01/12</t>
        </is>
      </c>
    </row>
    <row r="19">
      <c r="B19" s="24" t="inlineStr">
        <is>
          <t>clr_stress_bu_detail</t>
        </is>
      </c>
      <c r="C19" s="24" t="inlineStr">
        <is>
          <t>MODERATEISENOUGH</t>
        </is>
      </c>
      <c r="D19" s="24" t="inlineStr">
        <is>
          <t>varchar(6)</t>
        </is>
      </c>
      <c r="E19" s="24" t="inlineStr">
        <is>
          <t>YES</t>
        </is>
      </c>
      <c r="F19" s="24" t="inlineStr">
        <is>
          <t>中度压后是否足值</t>
        </is>
      </c>
      <c r="G19" s="52">
        <f>HYPERLINK("#码值映射清单!B5150","YesNo")</f>
        <v/>
      </c>
      <c r="H19" s="24" t="n"/>
      <c r="I19" s="24" t="inlineStr"/>
      <c r="J19" s="24" t="inlineStr">
        <is>
          <t>2023/01/12</t>
        </is>
      </c>
    </row>
    <row r="20">
      <c r="B20" s="24" t="inlineStr">
        <is>
          <t>clr_stress_bu_detail</t>
        </is>
      </c>
      <c r="C20" s="24" t="inlineStr">
        <is>
          <t>SEVEREISENOUGH</t>
        </is>
      </c>
      <c r="D20" s="24" t="inlineStr">
        <is>
          <t>varchar(6)</t>
        </is>
      </c>
      <c r="E20" s="24" t="inlineStr">
        <is>
          <t>YES</t>
        </is>
      </c>
      <c r="F20" s="24" t="inlineStr">
        <is>
          <t>重度压后是否足值</t>
        </is>
      </c>
      <c r="G20" s="52">
        <f>HYPERLINK("#码值映射清单!B5150","YesNo")</f>
        <v/>
      </c>
      <c r="H20" s="24" t="n"/>
      <c r="I20" s="24" t="inlineStr"/>
      <c r="J20" s="24" t="inlineStr">
        <is>
          <t>2023/01/12</t>
        </is>
      </c>
    </row>
  </sheetData>
  <pageMargins left="0.75" right="0.75" top="1" bottom="1" header="0.5" footer="0.5"/>
  <pageSetup orientation="portrait" paperSize="1" horizontalDpi="300" verticalDpi="300"/>
</worksheet>
</file>

<file path=xl/worksheets/sheet104.xml><?xml version="1.0" encoding="utf-8"?>
<worksheet xmlns="http://schemas.openxmlformats.org/spreadsheetml/2006/main">
  <sheetPr>
    <outlinePr summaryBelow="1" summaryRight="1"/>
    <pageSetUpPr/>
  </sheetPr>
  <dimension ref="A1:J18"/>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压力测试押品详情</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clr_stress_clr_detail</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clr_stress_clr_detail</t>
        </is>
      </c>
      <c r="C4" s="24" t="inlineStr">
        <is>
          <t>RECORDSERIALNO</t>
        </is>
      </c>
      <c r="D4" s="24" t="inlineStr">
        <is>
          <t>varchar(32)</t>
        </is>
      </c>
      <c r="E4" s="24" t="inlineStr">
        <is>
          <t>YES</t>
        </is>
      </c>
      <c r="F4" s="24" t="inlineStr">
        <is>
          <t>压力测试记录流水号</t>
        </is>
      </c>
      <c r="G4" s="24" t="n"/>
      <c r="H4" s="24" t="n"/>
      <c r="I4" s="24" t="inlineStr"/>
      <c r="J4" s="24" t="inlineStr">
        <is>
          <t>2023/01/12</t>
        </is>
      </c>
    </row>
    <row r="5">
      <c r="B5" s="24" t="inlineStr">
        <is>
          <t>clr_stress_clr_detail</t>
        </is>
      </c>
      <c r="C5" s="24" t="inlineStr">
        <is>
          <t>CLRID</t>
        </is>
      </c>
      <c r="D5" s="24" t="inlineStr">
        <is>
          <t>varchar(32)</t>
        </is>
      </c>
      <c r="E5" s="24" t="inlineStr">
        <is>
          <t>YES</t>
        </is>
      </c>
      <c r="F5" s="24" t="inlineStr">
        <is>
          <t>押品编号</t>
        </is>
      </c>
      <c r="G5" s="24" t="n"/>
      <c r="H5" s="24" t="n"/>
      <c r="I5" s="24" t="inlineStr"/>
      <c r="J5" s="24" t="inlineStr">
        <is>
          <t>2023/01/12</t>
        </is>
      </c>
    </row>
    <row r="6">
      <c r="B6" s="24" t="inlineStr">
        <is>
          <t>clr_stress_clr_detail</t>
        </is>
      </c>
      <c r="C6" s="24" t="inlineStr">
        <is>
          <t>CLRNAME</t>
        </is>
      </c>
      <c r="D6" s="24" t="inlineStr">
        <is>
          <t>varchar(500)</t>
        </is>
      </c>
      <c r="E6" s="24" t="inlineStr">
        <is>
          <t>YES</t>
        </is>
      </c>
      <c r="F6" s="24" t="inlineStr">
        <is>
          <t>押品名称</t>
        </is>
      </c>
      <c r="G6" s="24" t="n"/>
      <c r="H6" s="24" t="n"/>
      <c r="I6" s="24" t="inlineStr"/>
      <c r="J6" s="24" t="inlineStr">
        <is>
          <t>2023/01/12</t>
        </is>
      </c>
    </row>
    <row r="7">
      <c r="B7" s="24" t="inlineStr">
        <is>
          <t>clr_stress_clr_detail</t>
        </is>
      </c>
      <c r="C7" s="24" t="inlineStr">
        <is>
          <t>MANAGEUSERID</t>
        </is>
      </c>
      <c r="D7" s="24" t="inlineStr">
        <is>
          <t>varchar(32)</t>
        </is>
      </c>
      <c r="E7" s="24" t="inlineStr">
        <is>
          <t>YES</t>
        </is>
      </c>
      <c r="F7" s="24" t="inlineStr">
        <is>
          <t>押品管护客户经理</t>
        </is>
      </c>
      <c r="G7" s="24" t="n"/>
      <c r="H7" s="24" t="n"/>
      <c r="I7" s="24" t="inlineStr"/>
      <c r="J7" s="24" t="inlineStr">
        <is>
          <t>2023/01/12</t>
        </is>
      </c>
    </row>
    <row r="8">
      <c r="B8" s="24" t="inlineStr">
        <is>
          <t>clr_stress_clr_detail</t>
        </is>
      </c>
      <c r="C8" s="24" t="inlineStr">
        <is>
          <t>MANAGEORGID</t>
        </is>
      </c>
      <c r="D8" s="24" t="inlineStr">
        <is>
          <t>varchar(32)</t>
        </is>
      </c>
      <c r="E8" s="24" t="inlineStr">
        <is>
          <t>YES</t>
        </is>
      </c>
      <c r="F8" s="24" t="inlineStr">
        <is>
          <t>押品管护机构</t>
        </is>
      </c>
      <c r="G8" s="24" t="n"/>
      <c r="H8" s="24" t="n"/>
      <c r="I8" s="24" t="inlineStr"/>
      <c r="J8" s="24" t="inlineStr">
        <is>
          <t>2023/01/12</t>
        </is>
      </c>
    </row>
    <row r="9">
      <c r="B9" s="24" t="inlineStr">
        <is>
          <t>clr_stress_clr_detail</t>
        </is>
      </c>
      <c r="C9" s="24" t="inlineStr">
        <is>
          <t>CLRBELONGAREA</t>
        </is>
      </c>
      <c r="D9" s="24" t="inlineStr">
        <is>
          <t>varchar(6)</t>
        </is>
      </c>
      <c r="E9" s="24" t="inlineStr">
        <is>
          <t>YES</t>
        </is>
      </c>
      <c r="F9" s="24" t="inlineStr">
        <is>
          <t>押品所属地区</t>
        </is>
      </c>
      <c r="G9" s="63">
        <f>HYPERLINK("#码值映射清单!B10107","AreaCode")</f>
        <v/>
      </c>
      <c r="H9" s="24" t="n"/>
      <c r="I9" s="24" t="inlineStr"/>
      <c r="J9" s="24" t="inlineStr">
        <is>
          <t>2023/01/12</t>
        </is>
      </c>
    </row>
    <row r="10">
      <c r="B10" s="24" t="inlineStr">
        <is>
          <t>clr_stress_clr_detail</t>
        </is>
      </c>
      <c r="C10" s="24" t="inlineStr">
        <is>
          <t>MORTGAGERATIO</t>
        </is>
      </c>
      <c r="D10" s="24" t="inlineStr">
        <is>
          <t>decimal(18,8)</t>
        </is>
      </c>
      <c r="E10" s="24" t="inlineStr">
        <is>
          <t>YES</t>
        </is>
      </c>
      <c r="F10" s="24" t="inlineStr">
        <is>
          <t>抵质押率</t>
        </is>
      </c>
      <c r="G10" s="24" t="n"/>
      <c r="H10" s="24" t="n"/>
      <c r="I10" s="24" t="inlineStr"/>
      <c r="J10" s="24" t="inlineStr">
        <is>
          <t>2023/01/12</t>
        </is>
      </c>
    </row>
    <row r="11">
      <c r="B11" s="24" t="inlineStr">
        <is>
          <t>clr_stress_clr_detail</t>
        </is>
      </c>
      <c r="C11" s="24" t="inlineStr">
        <is>
          <t>RECOGNIZEDVALUE</t>
        </is>
      </c>
      <c r="D11" s="24" t="inlineStr">
        <is>
          <t>decimal(24,6)</t>
        </is>
      </c>
      <c r="E11" s="24" t="inlineStr">
        <is>
          <t>YES</t>
        </is>
      </c>
      <c r="F11" s="24" t="inlineStr">
        <is>
          <t>我行认定价值</t>
        </is>
      </c>
      <c r="G11" s="24" t="n"/>
      <c r="H11" s="24" t="n"/>
      <c r="I11" s="24" t="inlineStr"/>
      <c r="J11" s="24" t="inlineStr">
        <is>
          <t>2023/01/12</t>
        </is>
      </c>
    </row>
    <row r="12">
      <c r="B12" s="24" t="inlineStr">
        <is>
          <t>clr_stress_clr_detail</t>
        </is>
      </c>
      <c r="C12" s="24" t="inlineStr">
        <is>
          <t>MILDAFTERMORTGAGERATIO</t>
        </is>
      </c>
      <c r="D12" s="24" t="inlineStr">
        <is>
          <t>decimal(18,8)</t>
        </is>
      </c>
      <c r="E12" s="24" t="inlineStr">
        <is>
          <t>YES</t>
        </is>
      </c>
      <c r="F12" s="24" t="inlineStr">
        <is>
          <t>轻度压后抵质押率</t>
        </is>
      </c>
      <c r="G12" s="24" t="n"/>
      <c r="H12" s="24" t="n"/>
      <c r="I12" s="24" t="inlineStr"/>
      <c r="J12" s="24" t="inlineStr">
        <is>
          <t>2023/01/12</t>
        </is>
      </c>
    </row>
    <row r="13">
      <c r="B13" s="24" t="inlineStr">
        <is>
          <t>clr_stress_clr_detail</t>
        </is>
      </c>
      <c r="C13" s="24" t="inlineStr">
        <is>
          <t>MILDAFTERRECOGNIZEDVALUE</t>
        </is>
      </c>
      <c r="D13" s="24" t="inlineStr">
        <is>
          <t>decimal(24,6)</t>
        </is>
      </c>
      <c r="E13" s="24" t="inlineStr">
        <is>
          <t>YES</t>
        </is>
      </c>
      <c r="F13" s="24" t="inlineStr">
        <is>
          <t>轻度压后我行认定价值</t>
        </is>
      </c>
      <c r="G13" s="24" t="n"/>
      <c r="H13" s="24" t="n"/>
      <c r="I13" s="24" t="inlineStr"/>
      <c r="J13" s="24" t="inlineStr">
        <is>
          <t>2023/01/12</t>
        </is>
      </c>
    </row>
    <row r="14">
      <c r="B14" s="24" t="inlineStr">
        <is>
          <t>clr_stress_clr_detail</t>
        </is>
      </c>
      <c r="C14" s="24" t="inlineStr">
        <is>
          <t>MODERATEAFTERMORTGAGERATIO</t>
        </is>
      </c>
      <c r="D14" s="24" t="inlineStr">
        <is>
          <t>decimal(18,8)</t>
        </is>
      </c>
      <c r="E14" s="24" t="inlineStr">
        <is>
          <t>YES</t>
        </is>
      </c>
      <c r="F14" s="24" t="inlineStr">
        <is>
          <t>中度压后抵质押率</t>
        </is>
      </c>
      <c r="G14" s="24" t="n"/>
      <c r="H14" s="24" t="n"/>
      <c r="I14" s="24" t="inlineStr"/>
      <c r="J14" s="24" t="inlineStr">
        <is>
          <t>2023/01/12</t>
        </is>
      </c>
    </row>
    <row r="15">
      <c r="B15" s="24" t="inlineStr">
        <is>
          <t>clr_stress_clr_detail</t>
        </is>
      </c>
      <c r="C15" s="24" t="inlineStr">
        <is>
          <t>MODERATEAFTERRECOGNIZEDVALUE</t>
        </is>
      </c>
      <c r="D15" s="24" t="inlineStr">
        <is>
          <t>decimal(24,6)</t>
        </is>
      </c>
      <c r="E15" s="24" t="inlineStr">
        <is>
          <t>YES</t>
        </is>
      </c>
      <c r="F15" s="24" t="inlineStr">
        <is>
          <t>中度压后我行认定价值</t>
        </is>
      </c>
      <c r="G15" s="24" t="n"/>
      <c r="H15" s="24" t="n"/>
      <c r="I15" s="24" t="inlineStr"/>
      <c r="J15" s="24" t="inlineStr">
        <is>
          <t>2023/01/12</t>
        </is>
      </c>
    </row>
    <row r="16">
      <c r="B16" s="24" t="inlineStr">
        <is>
          <t>clr_stress_clr_detail</t>
        </is>
      </c>
      <c r="C16" s="24" t="inlineStr">
        <is>
          <t>SEVEREAFTERMORTGAGERATIO</t>
        </is>
      </c>
      <c r="D16" s="24" t="inlineStr">
        <is>
          <t>decimal(18,8)</t>
        </is>
      </c>
      <c r="E16" s="24" t="inlineStr">
        <is>
          <t>YES</t>
        </is>
      </c>
      <c r="F16" s="24" t="inlineStr">
        <is>
          <t>重度压后抵质押率</t>
        </is>
      </c>
      <c r="G16" s="24" t="n"/>
      <c r="H16" s="24" t="n"/>
      <c r="I16" s="24" t="inlineStr"/>
      <c r="J16" s="24" t="inlineStr">
        <is>
          <t>2023/01/12</t>
        </is>
      </c>
    </row>
    <row r="17">
      <c r="B17" s="24" t="inlineStr">
        <is>
          <t>clr_stress_clr_detail</t>
        </is>
      </c>
      <c r="C17" s="24" t="inlineStr">
        <is>
          <t>SEVEREAFTERRECOGNIZEDVALUE</t>
        </is>
      </c>
      <c r="D17" s="24" t="inlineStr">
        <is>
          <t>decimal(24,6)</t>
        </is>
      </c>
      <c r="E17" s="24" t="inlineStr">
        <is>
          <t>YES</t>
        </is>
      </c>
      <c r="F17" s="24" t="inlineStr">
        <is>
          <t>重度压后我行认定价值</t>
        </is>
      </c>
      <c r="G17" s="24" t="n"/>
      <c r="H17" s="24" t="n"/>
      <c r="I17" s="24" t="inlineStr"/>
      <c r="J17" s="24" t="inlineStr">
        <is>
          <t>2023/01/12</t>
        </is>
      </c>
    </row>
    <row r="18">
      <c r="B18" s="24" t="inlineStr">
        <is>
          <t>clr_stress_clr_detail</t>
        </is>
      </c>
      <c r="C18" s="24" t="inlineStr">
        <is>
          <t>CLRTYPEID</t>
        </is>
      </c>
      <c r="D18" s="24" t="inlineStr">
        <is>
          <t>varchar(32)</t>
        </is>
      </c>
      <c r="E18" s="24" t="inlineStr">
        <is>
          <t>YES</t>
        </is>
      </c>
      <c r="F18" s="24" t="inlineStr">
        <is>
          <t>押品类型</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105.xml><?xml version="1.0" encoding="utf-8"?>
<worksheet xmlns="http://schemas.openxmlformats.org/spreadsheetml/2006/main">
  <sheetPr>
    <outlinePr summaryBelow="1" summaryRight="1"/>
    <pageSetUpPr/>
  </sheetPr>
  <dimension ref="A1:J31"/>
  <sheetViews>
    <sheetView zoomScaleSheetLayoutView="60" workbookViewId="0">
      <selection activeCell="F13" sqref="F1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压力测试关联表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clr_stress_link</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clr_stress_link</t>
        </is>
      </c>
      <c r="C4" s="24" t="inlineStr">
        <is>
          <t>RECORDSERIALNO</t>
        </is>
      </c>
      <c r="D4" s="24" t="inlineStr">
        <is>
          <t>varchar(32)</t>
        </is>
      </c>
      <c r="E4" s="24" t="inlineStr">
        <is>
          <t>YES</t>
        </is>
      </c>
      <c r="F4" s="24" t="inlineStr">
        <is>
          <t>压力测试记录流水号</t>
        </is>
      </c>
      <c r="G4" s="24" t="n"/>
      <c r="H4" s="24" t="n"/>
      <c r="I4" s="24" t="inlineStr"/>
      <c r="J4" s="24" t="inlineStr">
        <is>
          <t>2023/01/12</t>
        </is>
      </c>
    </row>
    <row r="5">
      <c r="B5" s="24" t="inlineStr">
        <is>
          <t>clr_stress_link</t>
        </is>
      </c>
      <c r="C5" s="24" t="inlineStr">
        <is>
          <t>CUSTOMERID</t>
        </is>
      </c>
      <c r="D5" s="24" t="inlineStr">
        <is>
          <t>varchar(32)</t>
        </is>
      </c>
      <c r="E5" s="24" t="inlineStr">
        <is>
          <t>YES</t>
        </is>
      </c>
      <c r="F5" s="24" t="inlineStr">
        <is>
          <t>业务客户编号</t>
        </is>
      </c>
      <c r="G5" s="24" t="n"/>
      <c r="H5" s="24" t="n"/>
      <c r="I5" s="24" t="inlineStr"/>
      <c r="J5" s="24" t="inlineStr">
        <is>
          <t>2023/01/12</t>
        </is>
      </c>
    </row>
    <row r="6">
      <c r="B6" s="24" t="inlineStr">
        <is>
          <t>clr_stress_link</t>
        </is>
      </c>
      <c r="C6" s="24" t="inlineStr">
        <is>
          <t>CUSTOMERNAME</t>
        </is>
      </c>
      <c r="D6" s="24" t="inlineStr">
        <is>
          <t>varchar(32)</t>
        </is>
      </c>
      <c r="E6" s="24" t="inlineStr">
        <is>
          <t>YES</t>
        </is>
      </c>
      <c r="F6" s="24" t="inlineStr">
        <is>
          <t>业务客户名称</t>
        </is>
      </c>
      <c r="G6" s="24" t="n"/>
      <c r="H6" s="24" t="n"/>
      <c r="I6" s="24" t="inlineStr"/>
      <c r="J6" s="24" t="inlineStr">
        <is>
          <t>2023/01/12</t>
        </is>
      </c>
    </row>
    <row r="7">
      <c r="B7" s="24" t="inlineStr">
        <is>
          <t>clr_stress_link</t>
        </is>
      </c>
      <c r="C7" s="24" t="inlineStr">
        <is>
          <t>BUSSINESSNO</t>
        </is>
      </c>
      <c r="D7" s="24" t="inlineStr">
        <is>
          <t>varchar(32)</t>
        </is>
      </c>
      <c r="E7" s="24" t="inlineStr">
        <is>
          <t>YES</t>
        </is>
      </c>
      <c r="F7" s="24" t="inlineStr">
        <is>
          <t>业务编号</t>
        </is>
      </c>
      <c r="G7" s="24" t="n"/>
      <c r="H7" s="24" t="n"/>
      <c r="I7" s="24" t="inlineStr"/>
      <c r="J7" s="24" t="inlineStr">
        <is>
          <t>2023/01/12</t>
        </is>
      </c>
    </row>
    <row r="8">
      <c r="B8" s="24" t="inlineStr">
        <is>
          <t>clr_stress_link</t>
        </is>
      </c>
      <c r="C8" s="24" t="inlineStr">
        <is>
          <t>PRODUCTID</t>
        </is>
      </c>
      <c r="D8" s="24" t="inlineStr">
        <is>
          <t>varchar(32)</t>
        </is>
      </c>
      <c r="E8" s="24" t="inlineStr">
        <is>
          <t>YES</t>
        </is>
      </c>
      <c r="F8" s="24" t="inlineStr">
        <is>
          <t>业务品种</t>
        </is>
      </c>
      <c r="G8" s="24" t="n"/>
      <c r="H8" s="24" t="n"/>
      <c r="I8" s="24" t="inlineStr"/>
      <c r="J8" s="24" t="inlineStr">
        <is>
          <t>2023/01/12</t>
        </is>
      </c>
    </row>
    <row r="9">
      <c r="B9" s="24" t="inlineStr">
        <is>
          <t>clr_stress_link</t>
        </is>
      </c>
      <c r="C9" s="24" t="inlineStr">
        <is>
          <t>PRODUCTNAME</t>
        </is>
      </c>
      <c r="D9" s="24" t="inlineStr">
        <is>
          <t>varchar(80)</t>
        </is>
      </c>
      <c r="E9" s="24" t="inlineStr">
        <is>
          <t>YES</t>
        </is>
      </c>
      <c r="F9" s="24" t="inlineStr">
        <is>
          <t>业务名称</t>
        </is>
      </c>
      <c r="G9" s="24" t="n"/>
      <c r="H9" s="24" t="n"/>
      <c r="I9" s="24" t="inlineStr"/>
      <c r="J9" s="24" t="inlineStr">
        <is>
          <t>2023/01/12</t>
        </is>
      </c>
    </row>
    <row r="10">
      <c r="B10" s="24" t="inlineStr">
        <is>
          <t>clr_stress_link</t>
        </is>
      </c>
      <c r="C10" s="24" t="inlineStr">
        <is>
          <t>OPERATEORGID</t>
        </is>
      </c>
      <c r="D10" s="24" t="inlineStr">
        <is>
          <t>varchar(32)</t>
        </is>
      </c>
      <c r="E10" s="24" t="inlineStr">
        <is>
          <t>YES</t>
        </is>
      </c>
      <c r="F10" s="24" t="inlineStr">
        <is>
          <t>经办机构</t>
        </is>
      </c>
      <c r="G10" s="24" t="n"/>
      <c r="H10" s="24" t="n"/>
      <c r="I10" s="24" t="inlineStr"/>
      <c r="J10" s="24" t="inlineStr">
        <is>
          <t>2023/01/12</t>
        </is>
      </c>
    </row>
    <row r="11">
      <c r="B11" s="24" t="inlineStr">
        <is>
          <t>clr_stress_link</t>
        </is>
      </c>
      <c r="C11" s="24" t="inlineStr">
        <is>
          <t>CREDITSUM</t>
        </is>
      </c>
      <c r="D11" s="24" t="inlineStr">
        <is>
          <t>decimal(24,6)</t>
        </is>
      </c>
      <c r="E11" s="24" t="inlineStr">
        <is>
          <t>YES</t>
        </is>
      </c>
      <c r="F11" s="24" t="inlineStr">
        <is>
          <t>业务金额</t>
        </is>
      </c>
      <c r="G11" s="24" t="n"/>
      <c r="H11" s="24" t="n"/>
      <c r="I11" s="24" t="inlineStr"/>
      <c r="J11" s="24" t="inlineStr">
        <is>
          <t>2023/01/12</t>
        </is>
      </c>
    </row>
    <row r="12">
      <c r="B12" s="24" t="inlineStr">
        <is>
          <t>clr_stress_link</t>
        </is>
      </c>
      <c r="C12" s="24" t="inlineStr">
        <is>
          <t>BALANCE</t>
        </is>
      </c>
      <c r="D12" s="24" t="inlineStr">
        <is>
          <t>decimal(24,6)</t>
        </is>
      </c>
      <c r="E12" s="24" t="inlineStr">
        <is>
          <t>YES</t>
        </is>
      </c>
      <c r="F12" s="24" t="inlineStr">
        <is>
          <t>业务余额</t>
        </is>
      </c>
      <c r="G12" s="24" t="n"/>
      <c r="H12" s="24" t="n"/>
      <c r="I12" s="24" t="inlineStr"/>
      <c r="J12" s="24" t="inlineStr">
        <is>
          <t>2023/01/12</t>
        </is>
      </c>
    </row>
    <row r="13">
      <c r="B13" s="24" t="inlineStr">
        <is>
          <t>clr_stress_link</t>
        </is>
      </c>
      <c r="C13" s="24" t="inlineStr">
        <is>
          <t>TOTALEVALSUM</t>
        </is>
      </c>
      <c r="D13" s="24" t="inlineStr">
        <is>
          <t>decimal(24,6)</t>
        </is>
      </c>
      <c r="E13" s="24" t="inlineStr">
        <is>
          <t>YES</t>
        </is>
      </c>
      <c r="F13" s="24" t="inlineStr">
        <is>
          <t>业务对应押品总认定价值/总担保价值</t>
        </is>
      </c>
      <c r="G13" s="24" t="n"/>
      <c r="H13" s="24" t="n"/>
      <c r="I13" s="24" t="inlineStr"/>
      <c r="J13" s="24" t="inlineStr">
        <is>
          <t>2023/01/12</t>
        </is>
      </c>
    </row>
    <row r="14">
      <c r="B14" s="24" t="inlineStr">
        <is>
          <t>clr_stress_link</t>
        </is>
      </c>
      <c r="C14" s="24" t="inlineStr">
        <is>
          <t>TOTALEVALSUM1</t>
        </is>
      </c>
      <c r="D14" s="24" t="inlineStr">
        <is>
          <t>decimal(24,6)</t>
        </is>
      </c>
      <c r="E14" s="24" t="inlineStr">
        <is>
          <t>YES</t>
        </is>
      </c>
      <c r="F14" s="24" t="inlineStr">
        <is>
          <t>轻度下降后业务对应押品总认定价值</t>
        </is>
      </c>
      <c r="G14" s="24" t="n"/>
      <c r="H14" s="24" t="n"/>
      <c r="I14" s="24" t="inlineStr"/>
      <c r="J14" s="24" t="inlineStr">
        <is>
          <t>2023/01/12</t>
        </is>
      </c>
    </row>
    <row r="15">
      <c r="B15" s="24" t="inlineStr">
        <is>
          <t>clr_stress_link</t>
        </is>
      </c>
      <c r="C15" s="24" t="inlineStr">
        <is>
          <t>TOTALEVALSUM2</t>
        </is>
      </c>
      <c r="D15" s="24" t="inlineStr">
        <is>
          <t>decimal(24,6)</t>
        </is>
      </c>
      <c r="E15" s="24" t="inlineStr">
        <is>
          <t>YES</t>
        </is>
      </c>
      <c r="F15" s="24" t="inlineStr">
        <is>
          <t>中度下降后业务对应押品总认定价值</t>
        </is>
      </c>
      <c r="G15" s="24" t="n"/>
      <c r="H15" s="24" t="n"/>
      <c r="I15" s="24" t="inlineStr"/>
      <c r="J15" s="24" t="inlineStr">
        <is>
          <t>2023/01/12</t>
        </is>
      </c>
    </row>
    <row r="16">
      <c r="B16" s="24" t="inlineStr">
        <is>
          <t>clr_stress_link</t>
        </is>
      </c>
      <c r="C16" s="24" t="inlineStr">
        <is>
          <t>TOTALEVALSUM3</t>
        </is>
      </c>
      <c r="D16" s="24" t="inlineStr">
        <is>
          <t>decimal(24,6)</t>
        </is>
      </c>
      <c r="E16" s="24" t="inlineStr">
        <is>
          <t>YES</t>
        </is>
      </c>
      <c r="F16" s="24" t="inlineStr">
        <is>
          <t>重度下降后业务对应押品总认定价值</t>
        </is>
      </c>
      <c r="G16" s="24" t="n"/>
      <c r="H16" s="24" t="n"/>
      <c r="I16" s="24" t="inlineStr"/>
      <c r="J16" s="24" t="inlineStr">
        <is>
          <t>2023/01/12</t>
        </is>
      </c>
    </row>
    <row r="17">
      <c r="B17" s="24" t="inlineStr">
        <is>
          <t>clr_stress_link</t>
        </is>
      </c>
      <c r="C17" s="24" t="inlineStr">
        <is>
          <t>NATIONALINDUSTRYTARGET</t>
        </is>
      </c>
      <c r="D17" s="24" t="inlineStr">
        <is>
          <t>varchar(32)</t>
        </is>
      </c>
      <c r="E17" s="24" t="inlineStr">
        <is>
          <t>YES</t>
        </is>
      </c>
      <c r="F17" s="24" t="inlineStr">
        <is>
          <t>贷款投向</t>
        </is>
      </c>
      <c r="G17" s="24" t="n"/>
      <c r="H17" s="24" t="n"/>
      <c r="I17" s="24" t="inlineStr"/>
      <c r="J17" s="24" t="inlineStr">
        <is>
          <t>2023/01/12</t>
        </is>
      </c>
    </row>
    <row r="18">
      <c r="B18" s="24" t="inlineStr">
        <is>
          <t>clr_stress_link</t>
        </is>
      </c>
      <c r="C18" s="24" t="inlineStr">
        <is>
          <t>CLRID</t>
        </is>
      </c>
      <c r="D18" s="24" t="inlineStr">
        <is>
          <t>varchar(32)</t>
        </is>
      </c>
      <c r="E18" s="24" t="inlineStr">
        <is>
          <t>YES</t>
        </is>
      </c>
      <c r="F18" s="24" t="inlineStr">
        <is>
          <t>押品编号</t>
        </is>
      </c>
      <c r="G18" s="24" t="n"/>
      <c r="H18" s="24" t="n"/>
      <c r="I18" s="24" t="inlineStr"/>
      <c r="J18" s="24" t="inlineStr">
        <is>
          <t>2023/01/12</t>
        </is>
      </c>
    </row>
    <row r="19">
      <c r="B19" s="24" t="inlineStr">
        <is>
          <t>clr_stress_link</t>
        </is>
      </c>
      <c r="C19" s="24" t="inlineStr">
        <is>
          <t>CLRNAME</t>
        </is>
      </c>
      <c r="D19" s="24" t="inlineStr">
        <is>
          <t>varchar(32)</t>
        </is>
      </c>
      <c r="E19" s="24" t="inlineStr">
        <is>
          <t>YES</t>
        </is>
      </c>
      <c r="F19" s="24" t="inlineStr">
        <is>
          <t>押品名称</t>
        </is>
      </c>
      <c r="G19" s="24" t="n"/>
      <c r="H19" s="24" t="n"/>
      <c r="I19" s="24" t="inlineStr"/>
      <c r="J19" s="24" t="inlineStr">
        <is>
          <t>2023/01/12</t>
        </is>
      </c>
    </row>
    <row r="20">
      <c r="B20" s="24" t="inlineStr">
        <is>
          <t>clr_stress_link</t>
        </is>
      </c>
      <c r="C20" s="24" t="inlineStr">
        <is>
          <t>CLRTYPEID</t>
        </is>
      </c>
      <c r="D20" s="24" t="inlineStr">
        <is>
          <t>varchar(32)</t>
        </is>
      </c>
      <c r="E20" s="24" t="inlineStr">
        <is>
          <t>YES</t>
        </is>
      </c>
      <c r="F20" s="24" t="inlineStr">
        <is>
          <t>押品类型</t>
        </is>
      </c>
      <c r="G20" s="24" t="n"/>
      <c r="H20" s="24" t="n"/>
      <c r="I20" s="24" t="inlineStr"/>
      <c r="J20" s="24" t="inlineStr">
        <is>
          <t>2023/01/12</t>
        </is>
      </c>
    </row>
    <row r="21">
      <c r="B21" s="24" t="inlineStr">
        <is>
          <t>clr_stress_link</t>
        </is>
      </c>
      <c r="C21" s="24" t="inlineStr">
        <is>
          <t>CURREVALVALUE</t>
        </is>
      </c>
      <c r="D21" s="24" t="inlineStr">
        <is>
          <t>decimal(24,6)</t>
        </is>
      </c>
      <c r="E21" s="24" t="inlineStr">
        <is>
          <t>YES</t>
        </is>
      </c>
      <c r="F21" s="24" t="inlineStr">
        <is>
          <t>押品认定价值</t>
        </is>
      </c>
      <c r="G21" s="24" t="n"/>
      <c r="H21" s="24" t="n"/>
      <c r="I21" s="24" t="inlineStr"/>
      <c r="J21" s="24" t="inlineStr">
        <is>
          <t>2023/01/12</t>
        </is>
      </c>
    </row>
    <row r="22">
      <c r="B22" s="24" t="inlineStr">
        <is>
          <t>clr_stress_link</t>
        </is>
      </c>
      <c r="C22" s="24" t="inlineStr">
        <is>
          <t>CURREVALVALUE1</t>
        </is>
      </c>
      <c r="D22" s="24" t="inlineStr">
        <is>
          <t>decimal(24,6)</t>
        </is>
      </c>
      <c r="E22" s="24" t="inlineStr">
        <is>
          <t>YES</t>
        </is>
      </c>
      <c r="F22" s="24" t="inlineStr">
        <is>
          <t>轻度下降后押品认定价值</t>
        </is>
      </c>
      <c r="G22" s="24" t="n"/>
      <c r="H22" s="24" t="n"/>
      <c r="I22" s="24" t="inlineStr"/>
      <c r="J22" s="24" t="inlineStr">
        <is>
          <t>2023/01/12</t>
        </is>
      </c>
    </row>
    <row r="23">
      <c r="B23" s="24" t="inlineStr">
        <is>
          <t>clr_stress_link</t>
        </is>
      </c>
      <c r="C23" s="24" t="inlineStr">
        <is>
          <t>CURREVALVALUE2</t>
        </is>
      </c>
      <c r="D23" s="24" t="inlineStr">
        <is>
          <t>decimal(24,6)</t>
        </is>
      </c>
      <c r="E23" s="24" t="inlineStr">
        <is>
          <t>YES</t>
        </is>
      </c>
      <c r="F23" s="24" t="inlineStr">
        <is>
          <t>中度下降后押品认定价值</t>
        </is>
      </c>
      <c r="G23" s="24" t="n"/>
      <c r="H23" s="24" t="n"/>
      <c r="I23" s="24" t="inlineStr"/>
      <c r="J23" s="24" t="inlineStr">
        <is>
          <t>2023/01/12</t>
        </is>
      </c>
    </row>
    <row r="24">
      <c r="B24" s="24" t="inlineStr">
        <is>
          <t>clr_stress_link</t>
        </is>
      </c>
      <c r="C24" s="24" t="inlineStr">
        <is>
          <t>CURREVALVALUE3</t>
        </is>
      </c>
      <c r="D24" s="24" t="inlineStr">
        <is>
          <t>decimal(24,6)</t>
        </is>
      </c>
      <c r="E24" s="24" t="inlineStr">
        <is>
          <t>YES</t>
        </is>
      </c>
      <c r="F24" s="24" t="inlineStr">
        <is>
          <t>重度下降后押品认定价值</t>
        </is>
      </c>
      <c r="G24" s="24" t="n"/>
      <c r="H24" s="24" t="n"/>
      <c r="I24" s="24" t="inlineStr"/>
      <c r="J24" s="24" t="inlineStr">
        <is>
          <t>2023/01/12</t>
        </is>
      </c>
    </row>
    <row r="25">
      <c r="B25" s="24" t="inlineStr">
        <is>
          <t>clr_stress_link</t>
        </is>
      </c>
      <c r="C25" s="24" t="inlineStr">
        <is>
          <t>TOTALCREDITSUM</t>
        </is>
      </c>
      <c r="D25" s="24" t="inlineStr">
        <is>
          <t>decimal(24,6)</t>
        </is>
      </c>
      <c r="E25" s="24" t="inlineStr">
        <is>
          <t>YES</t>
        </is>
      </c>
      <c r="F25" s="24" t="inlineStr">
        <is>
          <t>押品对应授信业务总金额</t>
        </is>
      </c>
      <c r="G25" s="24" t="n"/>
      <c r="H25" s="24" t="n"/>
      <c r="I25" s="24" t="inlineStr"/>
      <c r="J25" s="24" t="inlineStr">
        <is>
          <t>2023/01/12</t>
        </is>
      </c>
    </row>
    <row r="26">
      <c r="B26" s="24" t="inlineStr">
        <is>
          <t>clr_stress_link</t>
        </is>
      </c>
      <c r="C26" s="24" t="inlineStr">
        <is>
          <t>MANAGEUSERID</t>
        </is>
      </c>
      <c r="D26" s="24" t="inlineStr">
        <is>
          <t>varchar(32)</t>
        </is>
      </c>
      <c r="E26" s="24" t="inlineStr">
        <is>
          <t>YES</t>
        </is>
      </c>
      <c r="F26" s="24" t="inlineStr">
        <is>
          <t>押品管护客户经理</t>
        </is>
      </c>
      <c r="G26" s="24" t="n"/>
      <c r="H26" s="24" t="n"/>
      <c r="I26" s="24" t="inlineStr"/>
      <c r="J26" s="24" t="inlineStr">
        <is>
          <t>2023/01/12</t>
        </is>
      </c>
    </row>
    <row r="27">
      <c r="B27" s="24" t="inlineStr">
        <is>
          <t>clr_stress_link</t>
        </is>
      </c>
      <c r="C27" s="24" t="inlineStr">
        <is>
          <t>MANAGEORGID</t>
        </is>
      </c>
      <c r="D27" s="24" t="inlineStr">
        <is>
          <t>varchar(32)</t>
        </is>
      </c>
      <c r="E27" s="24" t="inlineStr">
        <is>
          <t>YES</t>
        </is>
      </c>
      <c r="F27" s="24" t="inlineStr">
        <is>
          <t>押品管护机构</t>
        </is>
      </c>
      <c r="G27" s="24" t="n"/>
      <c r="H27" s="24" t="n"/>
      <c r="I27" s="24" t="inlineStr"/>
      <c r="J27" s="24" t="inlineStr">
        <is>
          <t>2023/01/12</t>
        </is>
      </c>
    </row>
    <row r="28">
      <c r="B28" s="24" t="inlineStr">
        <is>
          <t>clr_stress_link</t>
        </is>
      </c>
      <c r="C28" s="24" t="inlineStr">
        <is>
          <t>CLRBELONGAREA</t>
        </is>
      </c>
      <c r="D28" s="24" t="inlineStr">
        <is>
          <t>varchar(6)</t>
        </is>
      </c>
      <c r="E28" s="24" t="inlineStr">
        <is>
          <t>YES</t>
        </is>
      </c>
      <c r="F28" s="24" t="inlineStr">
        <is>
          <t>押品所属地区</t>
        </is>
      </c>
      <c r="G28" s="24" t="n"/>
      <c r="H28" s="24" t="n"/>
      <c r="I28" s="24" t="inlineStr"/>
      <c r="J28" s="24" t="inlineStr">
        <is>
          <t>2023/01/12</t>
        </is>
      </c>
    </row>
    <row r="29">
      <c r="B29" s="24" t="inlineStr">
        <is>
          <t>clr_stress_link</t>
        </is>
      </c>
      <c r="C29" s="24" t="inlineStr">
        <is>
          <t>TOTALGUARANTYSUM</t>
        </is>
      </c>
      <c r="D29" s="24" t="inlineStr">
        <is>
          <t>decimal(24,6)</t>
        </is>
      </c>
      <c r="E29" s="24" t="inlineStr">
        <is>
          <t>YES</t>
        </is>
      </c>
      <c r="F29" s="24" t="inlineStr">
        <is>
          <t>押品对应总担保金额</t>
        </is>
      </c>
      <c r="G29" s="24" t="n"/>
      <c r="H29" s="24" t="n"/>
      <c r="I29" s="24" t="inlineStr"/>
      <c r="J29" s="24" t="inlineStr">
        <is>
          <t>2023/01/12</t>
        </is>
      </c>
    </row>
    <row r="30">
      <c r="B30" s="24" t="inlineStr">
        <is>
          <t>clr_stress_link</t>
        </is>
      </c>
      <c r="C30" s="24" t="inlineStr">
        <is>
          <t>GUARANTYSUM</t>
        </is>
      </c>
      <c r="D30" s="24" t="inlineStr">
        <is>
          <t>decimal(24,6)</t>
        </is>
      </c>
      <c r="E30" s="24" t="inlineStr">
        <is>
          <t>YES</t>
        </is>
      </c>
      <c r="F30" s="24" t="inlineStr">
        <is>
          <t>担保债权金额</t>
        </is>
      </c>
      <c r="G30" s="24" t="n"/>
      <c r="H30" s="24" t="n"/>
      <c r="I30" s="24" t="inlineStr"/>
      <c r="J30" s="24" t="inlineStr">
        <is>
          <t>2023/01/12</t>
        </is>
      </c>
    </row>
    <row r="31">
      <c r="B31" s="24" t="inlineStr">
        <is>
          <t>clr_stress_link</t>
        </is>
      </c>
      <c r="C31" s="24" t="inlineStr">
        <is>
          <t>ACTUALGUARANTYSUM</t>
        </is>
      </c>
      <c r="D31" s="24" t="inlineStr">
        <is>
          <t>decimal(24,6)</t>
        </is>
      </c>
      <c r="E31" s="24" t="inlineStr">
        <is>
          <t>YES</t>
        </is>
      </c>
      <c r="F31" s="24" t="inlineStr">
        <is>
          <t>实际债项金额</t>
        </is>
      </c>
      <c r="G31" s="24" t="n"/>
      <c r="H31" s="24" t="n"/>
      <c r="I31" s="24" t="inlineStr"/>
      <c r="J31" s="24" t="inlineStr">
        <is>
          <t>2023/01/12</t>
        </is>
      </c>
    </row>
  </sheetData>
  <pageMargins left="0.75" right="0.75" top="1" bottom="1" header="0.5" footer="0.5"/>
  <pageSetup orientation="portrait" paperSize="1" horizontalDpi="300" verticalDpi="300"/>
</worksheet>
</file>

<file path=xl/worksheets/sheet106.xml><?xml version="1.0" encoding="utf-8"?>
<worksheet xmlns="http://schemas.openxmlformats.org/spreadsheetml/2006/main">
  <sheetPr>
    <outlinePr summaryBelow="1" summaryRight="1"/>
    <pageSetUpPr/>
  </sheetPr>
  <dimension ref="A1:J17"/>
  <sheetViews>
    <sheetView zoomScaleSheetLayoutView="60" workbookViewId="0">
      <selection activeCell="E26" sqref="E26"/>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压力测试记录表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clr_stress_record</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clr_stress_record</t>
        </is>
      </c>
      <c r="C4" s="24" t="inlineStr">
        <is>
          <t>PRESSUREINDEX</t>
        </is>
      </c>
      <c r="D4" s="24" t="inlineStr">
        <is>
          <t>varchar(32)</t>
        </is>
      </c>
      <c r="E4" s="24" t="inlineStr">
        <is>
          <t>YES</t>
        </is>
      </c>
      <c r="F4" s="24" t="inlineStr">
        <is>
          <t>承压指标</t>
        </is>
      </c>
      <c r="G4" s="62">
        <f>HYPERLINK("#码值映射清单!B13629","pressureIndex")</f>
        <v/>
      </c>
      <c r="H4" s="24" t="n"/>
      <c r="I4" s="24" t="inlineStr"/>
      <c r="J4" s="24" t="inlineStr">
        <is>
          <t>2023/01/12</t>
        </is>
      </c>
    </row>
    <row r="5">
      <c r="B5" s="24" t="inlineStr">
        <is>
          <t>clr_stress_record</t>
        </is>
      </c>
      <c r="C5" s="24" t="inlineStr">
        <is>
          <t>DIMENSIONTYPE</t>
        </is>
      </c>
      <c r="D5" s="24" t="inlineStr">
        <is>
          <t>varchar(32)</t>
        </is>
      </c>
      <c r="E5" s="24" t="inlineStr">
        <is>
          <t>YES</t>
        </is>
      </c>
      <c r="F5" s="24" t="inlineStr">
        <is>
          <t>测试范围</t>
        </is>
      </c>
      <c r="G5" s="62">
        <f>HYPERLINK("#码值映射清单!B13633","dimensionType")</f>
        <v/>
      </c>
      <c r="H5" s="24" t="n"/>
      <c r="I5" s="24" t="inlineStr"/>
      <c r="J5" s="24" t="inlineStr">
        <is>
          <t>2023/01/12</t>
        </is>
      </c>
    </row>
    <row r="6">
      <c r="B6" s="24" t="inlineStr">
        <is>
          <t>clr_stress_record</t>
        </is>
      </c>
      <c r="C6" s="24" t="inlineStr">
        <is>
          <t>DIMENSIONVALUE</t>
        </is>
      </c>
      <c r="D6" s="24" t="inlineStr">
        <is>
          <t>text</t>
        </is>
      </c>
      <c r="E6" s="24" t="inlineStr">
        <is>
          <t>YES</t>
        </is>
      </c>
      <c r="F6" s="24" t="inlineStr">
        <is>
          <t>测试范围值</t>
        </is>
      </c>
      <c r="G6" s="24" t="n"/>
      <c r="H6" s="24" t="n"/>
      <c r="I6" s="24" t="inlineStr"/>
      <c r="J6" s="24" t="inlineStr">
        <is>
          <t>2023/01/12</t>
        </is>
      </c>
    </row>
    <row r="7">
      <c r="B7" s="24" t="inlineStr">
        <is>
          <t>clr_stress_record</t>
        </is>
      </c>
      <c r="C7" s="24" t="inlineStr">
        <is>
          <t>MILDRATIO</t>
        </is>
      </c>
      <c r="D7" s="24" t="inlineStr">
        <is>
          <t>decimal(24,6)</t>
        </is>
      </c>
      <c r="E7" s="24" t="inlineStr">
        <is>
          <t>YES</t>
        </is>
      </c>
      <c r="F7" s="24" t="inlineStr">
        <is>
          <t>轻度情景幅度</t>
        </is>
      </c>
      <c r="G7" s="24" t="n"/>
      <c r="H7" s="24" t="n"/>
      <c r="I7" s="24" t="inlineStr"/>
      <c r="J7" s="24" t="inlineStr">
        <is>
          <t>2023/01/12</t>
        </is>
      </c>
    </row>
    <row r="8">
      <c r="B8" s="24" t="inlineStr">
        <is>
          <t>clr_stress_record</t>
        </is>
      </c>
      <c r="C8" s="24" t="inlineStr">
        <is>
          <t>SEVERERATIO</t>
        </is>
      </c>
      <c r="D8" s="24" t="inlineStr">
        <is>
          <t>decimal(24,6)</t>
        </is>
      </c>
      <c r="E8" s="24" t="inlineStr">
        <is>
          <t>YES</t>
        </is>
      </c>
      <c r="F8" s="24" t="inlineStr">
        <is>
          <t>重度情景幅度</t>
        </is>
      </c>
      <c r="G8" s="24" t="n"/>
      <c r="H8" s="24" t="n"/>
      <c r="I8" s="24" t="inlineStr"/>
      <c r="J8" s="24" t="inlineStr">
        <is>
          <t>2023/01/12</t>
        </is>
      </c>
    </row>
    <row r="9">
      <c r="B9" s="24" t="inlineStr">
        <is>
          <t>clr_stress_record</t>
        </is>
      </c>
      <c r="C9" s="24" t="inlineStr">
        <is>
          <t>STATUS</t>
        </is>
      </c>
      <c r="D9" s="24" t="inlineStr">
        <is>
          <t>varchar(6)</t>
        </is>
      </c>
      <c r="E9" s="24" t="inlineStr">
        <is>
          <t>YES</t>
        </is>
      </c>
      <c r="F9" s="53" t="inlineStr">
        <is>
          <t>测试结果生成状态</t>
        </is>
      </c>
      <c r="G9" s="61">
        <f>HYPERLINK("#码值映射清单!B2752","TrueFalse")</f>
        <v/>
      </c>
      <c r="H9" s="24" t="n"/>
      <c r="I9" s="24" t="inlineStr"/>
      <c r="J9" s="24" t="inlineStr">
        <is>
          <t>2023/01/12</t>
        </is>
      </c>
    </row>
    <row r="10">
      <c r="B10" s="24" t="inlineStr">
        <is>
          <t>clr_stress_record</t>
        </is>
      </c>
      <c r="C10" s="24" t="inlineStr">
        <is>
          <t>CLRTYPE</t>
        </is>
      </c>
      <c r="D10" s="24" t="inlineStr">
        <is>
          <t>text</t>
        </is>
      </c>
      <c r="E10" s="24" t="inlineStr">
        <is>
          <t>YES</t>
        </is>
      </c>
      <c r="F10" s="24" t="inlineStr">
        <is>
          <t>押品类型</t>
        </is>
      </c>
      <c r="G10" s="24" t="n"/>
      <c r="H10" s="24" t="n"/>
      <c r="I10" s="24" t="inlineStr"/>
      <c r="J10" s="24" t="inlineStr">
        <is>
          <t>2023/01/12</t>
        </is>
      </c>
    </row>
    <row r="11">
      <c r="B11" s="24" t="inlineStr">
        <is>
          <t>clr_stress_record</t>
        </is>
      </c>
      <c r="C11" s="24" t="inlineStr">
        <is>
          <t>INPUTUSERID</t>
        </is>
      </c>
      <c r="D11" s="24" t="inlineStr">
        <is>
          <t>varchar(32)</t>
        </is>
      </c>
      <c r="E11" s="24" t="inlineStr">
        <is>
          <t>YES</t>
        </is>
      </c>
      <c r="F11" s="24" t="inlineStr">
        <is>
          <t>登记人</t>
        </is>
      </c>
      <c r="G11" s="24" t="n"/>
      <c r="H11" s="24" t="n"/>
      <c r="I11" s="24" t="inlineStr"/>
      <c r="J11" s="24" t="inlineStr">
        <is>
          <t>2023/01/12</t>
        </is>
      </c>
    </row>
    <row r="12">
      <c r="B12" s="24" t="inlineStr">
        <is>
          <t>clr_stress_record</t>
        </is>
      </c>
      <c r="C12" s="24" t="inlineStr">
        <is>
          <t>INPUTORGID</t>
        </is>
      </c>
      <c r="D12" s="24" t="inlineStr">
        <is>
          <t>varchar(32)</t>
        </is>
      </c>
      <c r="E12" s="24" t="inlineStr">
        <is>
          <t>YES</t>
        </is>
      </c>
      <c r="F12" s="24" t="inlineStr">
        <is>
          <t>登记机构</t>
        </is>
      </c>
      <c r="G12" s="24" t="n"/>
      <c r="H12" s="24" t="n"/>
      <c r="I12" s="24" t="inlineStr"/>
      <c r="J12" s="24" t="inlineStr">
        <is>
          <t>2023/01/12</t>
        </is>
      </c>
    </row>
    <row r="13">
      <c r="B13" s="24" t="inlineStr">
        <is>
          <t>clr_stress_record</t>
        </is>
      </c>
      <c r="C13" s="24" t="inlineStr">
        <is>
          <t>INPUTDATE</t>
        </is>
      </c>
      <c r="D13" s="24" t="inlineStr">
        <is>
          <t>datetime</t>
        </is>
      </c>
      <c r="E13" s="24" t="inlineStr">
        <is>
          <t>YES</t>
        </is>
      </c>
      <c r="F13" s="24" t="inlineStr">
        <is>
          <t>登记日期</t>
        </is>
      </c>
      <c r="G13" s="24" t="n"/>
      <c r="H13" s="24" t="n"/>
      <c r="I13" s="24" t="inlineStr"/>
      <c r="J13" s="24" t="inlineStr">
        <is>
          <t>2023/01/12</t>
        </is>
      </c>
    </row>
    <row r="14">
      <c r="B14" s="24" t="inlineStr">
        <is>
          <t>clr_stress_record</t>
        </is>
      </c>
      <c r="C14" s="24" t="inlineStr">
        <is>
          <t>UPDATEUSERID</t>
        </is>
      </c>
      <c r="D14" s="24" t="inlineStr">
        <is>
          <t>varchar(32)</t>
        </is>
      </c>
      <c r="E14" s="24" t="inlineStr">
        <is>
          <t>YES</t>
        </is>
      </c>
      <c r="F14" s="24" t="inlineStr">
        <is>
          <t>更新人</t>
        </is>
      </c>
      <c r="G14" s="24" t="n"/>
      <c r="H14" s="24" t="n"/>
      <c r="I14" s="24" t="inlineStr"/>
      <c r="J14" s="24" t="inlineStr">
        <is>
          <t>2023/01/12</t>
        </is>
      </c>
    </row>
    <row r="15">
      <c r="B15" s="24" t="inlineStr">
        <is>
          <t>clr_stress_record</t>
        </is>
      </c>
      <c r="C15" s="24" t="inlineStr">
        <is>
          <t>UPDATEORGID</t>
        </is>
      </c>
      <c r="D15" s="24" t="inlineStr">
        <is>
          <t>varchar(32)</t>
        </is>
      </c>
      <c r="E15" s="24" t="inlineStr">
        <is>
          <t>YES</t>
        </is>
      </c>
      <c r="F15" s="24" t="inlineStr">
        <is>
          <t>更新机构</t>
        </is>
      </c>
      <c r="G15" s="24" t="n"/>
      <c r="H15" s="24" t="n"/>
      <c r="I15" s="24" t="inlineStr"/>
      <c r="J15" s="24" t="inlineStr">
        <is>
          <t>2023/01/12</t>
        </is>
      </c>
    </row>
    <row r="16">
      <c r="B16" s="24" t="inlineStr">
        <is>
          <t>clr_stress_record</t>
        </is>
      </c>
      <c r="C16" s="24" t="inlineStr">
        <is>
          <t>UPDATEDATE</t>
        </is>
      </c>
      <c r="D16" s="24" t="inlineStr">
        <is>
          <t>datetime</t>
        </is>
      </c>
      <c r="E16" s="24" t="inlineStr">
        <is>
          <t>YES</t>
        </is>
      </c>
      <c r="F16" s="24" t="inlineStr">
        <is>
          <t>更新日期</t>
        </is>
      </c>
      <c r="G16" s="24" t="n"/>
      <c r="H16" s="24" t="n"/>
      <c r="I16" s="24" t="inlineStr"/>
      <c r="J16" s="24" t="inlineStr">
        <is>
          <t>2023/01/12</t>
        </is>
      </c>
    </row>
    <row r="17">
      <c r="B17" s="24" t="inlineStr">
        <is>
          <t>clr_stress_record</t>
        </is>
      </c>
      <c r="C17" s="24" t="inlineStr">
        <is>
          <t>MODERATERATIO</t>
        </is>
      </c>
      <c r="D17" s="24" t="inlineStr">
        <is>
          <t>decimal(24,6)</t>
        </is>
      </c>
      <c r="E17" s="24" t="inlineStr">
        <is>
          <t>YES</t>
        </is>
      </c>
      <c r="F17" s="24" t="inlineStr">
        <is>
          <t>中度情景幅度</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107.xml><?xml version="1.0" encoding="utf-8"?>
<worksheet xmlns="http://schemas.openxmlformats.org/spreadsheetml/2006/main">
  <sheetPr>
    <outlinePr summaryBelow="1" summaryRight="1"/>
    <pageSetUpPr/>
  </sheetPr>
  <dimension ref="A1:J49"/>
  <sheetViews>
    <sheetView zoomScaleSheetLayoutView="60" workbookViewId="0">
      <selection activeCell="F46" sqref="F46"/>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压力测试结果表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clr_stress_test</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clr_stress_test</t>
        </is>
      </c>
      <c r="C4" s="24" t="inlineStr">
        <is>
          <t>RECORDSERIALNO</t>
        </is>
      </c>
      <c r="D4" s="24" t="inlineStr">
        <is>
          <t>varchar(32)</t>
        </is>
      </c>
      <c r="E4" s="24" t="inlineStr">
        <is>
          <t>YES</t>
        </is>
      </c>
      <c r="F4" s="24" t="inlineStr">
        <is>
          <t>记录流水号</t>
        </is>
      </c>
      <c r="G4" s="24" t="n"/>
      <c r="H4" s="24" t="n"/>
      <c r="I4" s="24" t="inlineStr"/>
      <c r="J4" s="24" t="inlineStr">
        <is>
          <t>2023/01/12</t>
        </is>
      </c>
    </row>
    <row r="5">
      <c r="B5" s="24" t="inlineStr">
        <is>
          <t>clr_stress_test</t>
        </is>
      </c>
      <c r="C5" s="24" t="inlineStr">
        <is>
          <t>DIMENSIONTYPE</t>
        </is>
      </c>
      <c r="D5" s="24" t="inlineStr">
        <is>
          <t>varchar(32)</t>
        </is>
      </c>
      <c r="E5" s="24" t="inlineStr">
        <is>
          <t>YES</t>
        </is>
      </c>
      <c r="F5" s="24" t="inlineStr">
        <is>
          <t>测试范围</t>
        </is>
      </c>
      <c r="G5" s="24" t="n"/>
      <c r="H5" s="24" t="n"/>
      <c r="I5" s="24" t="inlineStr"/>
      <c r="J5" s="24" t="inlineStr">
        <is>
          <t>2023/01/12</t>
        </is>
      </c>
    </row>
    <row r="6">
      <c r="B6" s="24" t="inlineStr">
        <is>
          <t>clr_stress_test</t>
        </is>
      </c>
      <c r="C6" s="24" t="inlineStr">
        <is>
          <t>DIMENSIONVALUE</t>
        </is>
      </c>
      <c r="D6" s="24" t="inlineStr">
        <is>
          <t>varchar(32)</t>
        </is>
      </c>
      <c r="E6" s="24" t="inlineStr">
        <is>
          <t>YES</t>
        </is>
      </c>
      <c r="F6" s="24" t="inlineStr">
        <is>
          <t>测试范围值</t>
        </is>
      </c>
      <c r="G6" s="24" t="n"/>
      <c r="H6" s="24" t="n"/>
      <c r="I6" s="24" t="inlineStr"/>
      <c r="J6" s="24" t="inlineStr">
        <is>
          <t>2023/01/12</t>
        </is>
      </c>
    </row>
    <row r="7">
      <c r="B7" s="24" t="inlineStr">
        <is>
          <t>clr_stress_test</t>
        </is>
      </c>
      <c r="C7" s="24" t="inlineStr">
        <is>
          <t>CLRTYPE</t>
        </is>
      </c>
      <c r="D7" s="24" t="inlineStr">
        <is>
          <t>varchar(2000)</t>
        </is>
      </c>
      <c r="E7" s="24" t="inlineStr">
        <is>
          <t>YES</t>
        </is>
      </c>
      <c r="F7" s="24" t="inlineStr">
        <is>
          <t>押品种类</t>
        </is>
      </c>
      <c r="G7" s="24" t="n"/>
      <c r="H7" s="24" t="n"/>
      <c r="I7" s="24" t="inlineStr"/>
      <c r="J7" s="24" t="inlineStr">
        <is>
          <t>2023/01/12</t>
        </is>
      </c>
    </row>
    <row r="8">
      <c r="B8" s="24" t="inlineStr">
        <is>
          <t>clr_stress_test</t>
        </is>
      </c>
      <c r="C8" s="24" t="inlineStr">
        <is>
          <t>SUFFICIENTVALUERATIO</t>
        </is>
      </c>
      <c r="D8" s="24" t="inlineStr">
        <is>
          <t>decimal(18,8)</t>
        </is>
      </c>
      <c r="E8" s="24" t="inlineStr">
        <is>
          <t>YES</t>
        </is>
      </c>
      <c r="F8" s="24" t="inlineStr">
        <is>
          <t>综合足值率</t>
        </is>
      </c>
      <c r="G8" s="24" t="n"/>
      <c r="H8" s="24" t="n"/>
      <c r="I8" s="24" t="inlineStr"/>
      <c r="J8" s="24" t="inlineStr">
        <is>
          <t>2023/01/12</t>
        </is>
      </c>
    </row>
    <row r="9">
      <c r="B9" s="24" t="inlineStr">
        <is>
          <t>clr_stress_test</t>
        </is>
      </c>
      <c r="C9" s="24" t="inlineStr">
        <is>
          <t>MORTGAGERATIO</t>
        </is>
      </c>
      <c r="D9" s="24" t="inlineStr">
        <is>
          <t>decimal(18,8)</t>
        </is>
      </c>
      <c r="E9" s="24" t="inlineStr">
        <is>
          <t>YES</t>
        </is>
      </c>
      <c r="F9" s="24" t="inlineStr">
        <is>
          <t>综合抵质押率</t>
        </is>
      </c>
      <c r="G9" s="24" t="n"/>
      <c r="H9" s="24" t="n"/>
      <c r="I9" s="24" t="inlineStr"/>
      <c r="J9" s="24" t="inlineStr">
        <is>
          <t>2023/01/12</t>
        </is>
      </c>
    </row>
    <row r="10">
      <c r="B10" s="24" t="inlineStr">
        <is>
          <t>clr_stress_test</t>
        </is>
      </c>
      <c r="C10" s="24" t="inlineStr">
        <is>
          <t>RECOGNIZEDVALUE</t>
        </is>
      </c>
      <c r="D10" s="24" t="inlineStr">
        <is>
          <t>decimal(24,6)</t>
        </is>
      </c>
      <c r="E10" s="24" t="inlineStr">
        <is>
          <t>YES</t>
        </is>
      </c>
      <c r="F10" s="24" t="inlineStr">
        <is>
          <t>综合我行认定价值</t>
        </is>
      </c>
      <c r="G10" s="24" t="n"/>
      <c r="H10" s="24" t="n"/>
      <c r="I10" s="24" t="inlineStr"/>
      <c r="J10" s="24" t="inlineStr">
        <is>
          <t>2023/01/12</t>
        </is>
      </c>
    </row>
    <row r="11">
      <c r="B11" s="24" t="inlineStr">
        <is>
          <t>clr_stress_test</t>
        </is>
      </c>
      <c r="C11" s="24" t="inlineStr">
        <is>
          <t>COUNTSUM</t>
        </is>
      </c>
      <c r="D11" s="24" t="inlineStr">
        <is>
          <t>int</t>
        </is>
      </c>
      <c r="E11" s="24" t="inlineStr">
        <is>
          <t>YES</t>
        </is>
      </c>
      <c r="F11" s="24" t="inlineStr">
        <is>
          <t>总业务笔数</t>
        </is>
      </c>
      <c r="G11" s="24" t="n"/>
      <c r="H11" s="24" t="n"/>
      <c r="I11" s="24" t="inlineStr"/>
      <c r="J11" s="24" t="inlineStr">
        <is>
          <t>2023/01/12</t>
        </is>
      </c>
    </row>
    <row r="12">
      <c r="B12" s="24" t="inlineStr">
        <is>
          <t>clr_stress_test</t>
        </is>
      </c>
      <c r="C12" s="24" t="inlineStr">
        <is>
          <t>LACKCOUNT</t>
        </is>
      </c>
      <c r="D12" s="24" t="inlineStr">
        <is>
          <t>int</t>
        </is>
      </c>
      <c r="E12" s="24" t="inlineStr">
        <is>
          <t>YES</t>
        </is>
      </c>
      <c r="F12" s="24" t="inlineStr">
        <is>
          <t>不足值业务笔数</t>
        </is>
      </c>
      <c r="G12" s="24" t="n"/>
      <c r="H12" s="24" t="n"/>
      <c r="I12" s="24" t="inlineStr"/>
      <c r="J12" s="24" t="inlineStr">
        <is>
          <t>2023/01/12</t>
        </is>
      </c>
    </row>
    <row r="13">
      <c r="B13" s="24" t="inlineStr">
        <is>
          <t>clr_stress_test</t>
        </is>
      </c>
      <c r="C13" s="24" t="inlineStr">
        <is>
          <t>LACKCOUNTRATIO</t>
        </is>
      </c>
      <c r="D13" s="24" t="inlineStr">
        <is>
          <t>decimal(18,8)</t>
        </is>
      </c>
      <c r="E13" s="24" t="inlineStr">
        <is>
          <t>YES</t>
        </is>
      </c>
      <c r="F13" s="24" t="inlineStr">
        <is>
          <t>不足值业务笔数占比</t>
        </is>
      </c>
      <c r="G13" s="24" t="n"/>
      <c r="H13" s="24" t="n"/>
      <c r="I13" s="24" t="inlineStr"/>
      <c r="J13" s="24" t="inlineStr">
        <is>
          <t>2023/01/12</t>
        </is>
      </c>
    </row>
    <row r="14">
      <c r="B14" s="24" t="inlineStr">
        <is>
          <t>clr_stress_test</t>
        </is>
      </c>
      <c r="C14" s="24" t="inlineStr">
        <is>
          <t>SUMBALANCE</t>
        </is>
      </c>
      <c r="D14" s="24" t="inlineStr">
        <is>
          <t>decimal(24,6)</t>
        </is>
      </c>
      <c r="E14" s="24" t="inlineStr">
        <is>
          <t>YES</t>
        </is>
      </c>
      <c r="F14" s="24" t="inlineStr">
        <is>
          <t>贷款余额</t>
        </is>
      </c>
      <c r="G14" s="24" t="n"/>
      <c r="H14" s="24" t="n"/>
      <c r="I14" s="24" t="inlineStr"/>
      <c r="J14" s="24" t="inlineStr">
        <is>
          <t>2023/01/12</t>
        </is>
      </c>
    </row>
    <row r="15">
      <c r="B15" s="24" t="inlineStr">
        <is>
          <t>clr_stress_test</t>
        </is>
      </c>
      <c r="C15" s="24" t="inlineStr">
        <is>
          <t>LACKBALANCE</t>
        </is>
      </c>
      <c r="D15" s="24" t="inlineStr">
        <is>
          <t>decimal(24,6)</t>
        </is>
      </c>
      <c r="E15" s="24" t="inlineStr">
        <is>
          <t>YES</t>
        </is>
      </c>
      <c r="F15" s="24" t="inlineStr">
        <is>
          <t>不足值业务的贷款余额</t>
        </is>
      </c>
      <c r="G15" s="24" t="n"/>
      <c r="H15" s="24" t="n"/>
      <c r="I15" s="24" t="inlineStr"/>
      <c r="J15" s="24" t="inlineStr">
        <is>
          <t>2023/01/12</t>
        </is>
      </c>
    </row>
    <row r="16">
      <c r="B16" s="24" t="inlineStr">
        <is>
          <t>clr_stress_test</t>
        </is>
      </c>
      <c r="C16" s="24" t="inlineStr">
        <is>
          <t>LACKBALANCERATIO</t>
        </is>
      </c>
      <c r="D16" s="24" t="inlineStr">
        <is>
          <t>decimal(18,8)</t>
        </is>
      </c>
      <c r="E16" s="24" t="inlineStr">
        <is>
          <t>YES</t>
        </is>
      </c>
      <c r="F16" s="24" t="inlineStr">
        <is>
          <t>不足值业务的贷款余额占比</t>
        </is>
      </c>
      <c r="G16" s="24" t="n"/>
      <c r="H16" s="24" t="n"/>
      <c r="I16" s="24" t="inlineStr"/>
      <c r="J16" s="24" t="inlineStr">
        <is>
          <t>2023/01/12</t>
        </is>
      </c>
    </row>
    <row r="17">
      <c r="B17" s="24" t="inlineStr">
        <is>
          <t>clr_stress_test</t>
        </is>
      </c>
      <c r="C17" s="24" t="inlineStr">
        <is>
          <t>CUSTSUM</t>
        </is>
      </c>
      <c r="D17" s="24" t="inlineStr">
        <is>
          <t>int</t>
        </is>
      </c>
      <c r="E17" s="24" t="inlineStr">
        <is>
          <t>YES</t>
        </is>
      </c>
      <c r="F17" s="24" t="inlineStr">
        <is>
          <t>客户数量</t>
        </is>
      </c>
      <c r="G17" s="24" t="n"/>
      <c r="H17" s="24" t="n"/>
      <c r="I17" s="24" t="inlineStr"/>
      <c r="J17" s="24" t="inlineStr">
        <is>
          <t>2023/01/12</t>
        </is>
      </c>
    </row>
    <row r="18">
      <c r="B18" s="24" t="inlineStr">
        <is>
          <t>clr_stress_test</t>
        </is>
      </c>
      <c r="C18" s="24" t="inlineStr">
        <is>
          <t>LACKCUSTSUM</t>
        </is>
      </c>
      <c r="D18" s="24" t="inlineStr">
        <is>
          <t>int</t>
        </is>
      </c>
      <c r="E18" s="24" t="inlineStr">
        <is>
          <t>YES</t>
        </is>
      </c>
      <c r="F18" s="24" t="inlineStr">
        <is>
          <t>不足值业务客户数量</t>
        </is>
      </c>
      <c r="G18" s="24" t="n"/>
      <c r="H18" s="24" t="n"/>
      <c r="I18" s="24" t="inlineStr"/>
      <c r="J18" s="24" t="inlineStr">
        <is>
          <t>2023/01/12</t>
        </is>
      </c>
    </row>
    <row r="19">
      <c r="B19" s="24" t="inlineStr">
        <is>
          <t>clr_stress_test</t>
        </is>
      </c>
      <c r="C19" s="24" t="inlineStr">
        <is>
          <t>LACKCUSTRATIO</t>
        </is>
      </c>
      <c r="D19" s="24" t="inlineStr">
        <is>
          <t>decimal(18,8)</t>
        </is>
      </c>
      <c r="E19" s="24" t="inlineStr">
        <is>
          <t>YES</t>
        </is>
      </c>
      <c r="F19" s="24" t="inlineStr">
        <is>
          <t>不足值业务客户数量占比</t>
        </is>
      </c>
      <c r="G19" s="24" t="n"/>
      <c r="H19" s="24" t="n"/>
      <c r="I19" s="24" t="inlineStr"/>
      <c r="J19" s="24" t="inlineStr">
        <is>
          <t>2023/01/12</t>
        </is>
      </c>
    </row>
    <row r="20">
      <c r="B20" s="24" t="inlineStr">
        <is>
          <t>clr_stress_test</t>
        </is>
      </c>
      <c r="C20" s="24" t="inlineStr">
        <is>
          <t>MILDAFTERSUFFIVALUERATIO</t>
        </is>
      </c>
      <c r="D20" s="24" t="inlineStr">
        <is>
          <t>decimal(18,8)</t>
        </is>
      </c>
      <c r="E20" s="24" t="inlineStr">
        <is>
          <t>YES</t>
        </is>
      </c>
      <c r="F20" s="24" t="inlineStr">
        <is>
          <t>轻度压后综合足值率</t>
        </is>
      </c>
      <c r="G20" s="24" t="n"/>
      <c r="H20" s="24" t="n"/>
      <c r="I20" s="24" t="inlineStr"/>
      <c r="J20" s="24" t="inlineStr">
        <is>
          <t>2023/01/12</t>
        </is>
      </c>
    </row>
    <row r="21">
      <c r="B21" s="24" t="inlineStr">
        <is>
          <t>clr_stress_test</t>
        </is>
      </c>
      <c r="C21" s="24" t="inlineStr">
        <is>
          <t>MILDAFTERMORTGAGERATIO</t>
        </is>
      </c>
      <c r="D21" s="24" t="inlineStr">
        <is>
          <t>decimal(18,8)</t>
        </is>
      </c>
      <c r="E21" s="24" t="inlineStr">
        <is>
          <t>YES</t>
        </is>
      </c>
      <c r="F21" s="24" t="inlineStr">
        <is>
          <t>轻度压后综合抵质押率</t>
        </is>
      </c>
      <c r="G21" s="24" t="n"/>
      <c r="H21" s="24" t="n"/>
      <c r="I21" s="24" t="inlineStr"/>
      <c r="J21" s="24" t="inlineStr">
        <is>
          <t>2023/01/12</t>
        </is>
      </c>
    </row>
    <row r="22">
      <c r="B22" s="24" t="inlineStr">
        <is>
          <t>clr_stress_test</t>
        </is>
      </c>
      <c r="C22" s="24" t="inlineStr">
        <is>
          <t>MILDAFTERRECOGNIZEDVALUE</t>
        </is>
      </c>
      <c r="D22" s="24" t="inlineStr">
        <is>
          <t>decimal(24,6)</t>
        </is>
      </c>
      <c r="E22" s="24" t="inlineStr">
        <is>
          <t>YES</t>
        </is>
      </c>
      <c r="F22" s="24" t="inlineStr">
        <is>
          <t>轻度压后综合我行认定价值</t>
        </is>
      </c>
      <c r="G22" s="24" t="n"/>
      <c r="H22" s="24" t="n"/>
      <c r="I22" s="24" t="inlineStr"/>
      <c r="J22" s="24" t="inlineStr">
        <is>
          <t>2023/01/12</t>
        </is>
      </c>
    </row>
    <row r="23">
      <c r="B23" s="24" t="inlineStr">
        <is>
          <t>clr_stress_test</t>
        </is>
      </c>
      <c r="C23" s="24" t="inlineStr">
        <is>
          <t>MILDAFTERCOUNTSUM</t>
        </is>
      </c>
      <c r="D23" s="24" t="inlineStr">
        <is>
          <t>int</t>
        </is>
      </c>
      <c r="E23" s="24" t="inlineStr">
        <is>
          <t>YES</t>
        </is>
      </c>
      <c r="F23" s="24" t="inlineStr">
        <is>
          <t>轻度压后总业务笔数</t>
        </is>
      </c>
      <c r="G23" s="24" t="n"/>
      <c r="H23" s="24" t="n"/>
      <c r="I23" s="24" t="inlineStr"/>
      <c r="J23" s="24" t="inlineStr">
        <is>
          <t>2023/01/12</t>
        </is>
      </c>
    </row>
    <row r="24">
      <c r="B24" s="24" t="inlineStr">
        <is>
          <t>clr_stress_test</t>
        </is>
      </c>
      <c r="C24" s="24" t="inlineStr">
        <is>
          <t>MILDAFTERLACKCOUNT</t>
        </is>
      </c>
      <c r="D24" s="24" t="inlineStr">
        <is>
          <t>int</t>
        </is>
      </c>
      <c r="E24" s="24" t="inlineStr">
        <is>
          <t>YES</t>
        </is>
      </c>
      <c r="F24" s="24" t="inlineStr">
        <is>
          <t>轻度压后不足值业务笔数</t>
        </is>
      </c>
      <c r="G24" s="24" t="n"/>
      <c r="H24" s="24" t="n"/>
      <c r="I24" s="24" t="inlineStr"/>
      <c r="J24" s="24" t="inlineStr">
        <is>
          <t>2023/01/12</t>
        </is>
      </c>
    </row>
    <row r="25">
      <c r="B25" s="24" t="inlineStr">
        <is>
          <t>clr_stress_test</t>
        </is>
      </c>
      <c r="C25" s="24" t="inlineStr">
        <is>
          <t>MODERATEAFTERSUFFIVALUERATIO</t>
        </is>
      </c>
      <c r="D25" s="24" t="inlineStr">
        <is>
          <t>decimal(18,8)</t>
        </is>
      </c>
      <c r="E25" s="24" t="inlineStr">
        <is>
          <t>YES</t>
        </is>
      </c>
      <c r="F25" s="24" t="inlineStr">
        <is>
          <t>中度压后综合足值率</t>
        </is>
      </c>
      <c r="G25" s="24" t="n"/>
      <c r="H25" s="24" t="n"/>
      <c r="I25" s="24" t="inlineStr"/>
      <c r="J25" s="24" t="inlineStr">
        <is>
          <t>2023/01/12</t>
        </is>
      </c>
    </row>
    <row r="26">
      <c r="B26" s="24" t="inlineStr">
        <is>
          <t>clr_stress_test</t>
        </is>
      </c>
      <c r="C26" s="24" t="inlineStr">
        <is>
          <t>MODERATEAFTERMORTGAGERATIO</t>
        </is>
      </c>
      <c r="D26" s="24" t="inlineStr">
        <is>
          <t>decimal(18,8)</t>
        </is>
      </c>
      <c r="E26" s="24" t="inlineStr">
        <is>
          <t>YES</t>
        </is>
      </c>
      <c r="F26" s="24" t="inlineStr">
        <is>
          <t>中度压后综合抵质押率</t>
        </is>
      </c>
      <c r="G26" s="24" t="n"/>
      <c r="H26" s="24" t="n"/>
      <c r="I26" s="24" t="inlineStr"/>
      <c r="J26" s="24" t="inlineStr">
        <is>
          <t>2023/01/12</t>
        </is>
      </c>
    </row>
    <row r="27">
      <c r="B27" s="24" t="inlineStr">
        <is>
          <t>clr_stress_test</t>
        </is>
      </c>
      <c r="C27" s="24" t="inlineStr">
        <is>
          <t>MODERATEAFTERRECOGNIZEDVALUE</t>
        </is>
      </c>
      <c r="D27" s="24" t="inlineStr">
        <is>
          <t>decimal(24,6)</t>
        </is>
      </c>
      <c r="E27" s="24" t="inlineStr">
        <is>
          <t>YES</t>
        </is>
      </c>
      <c r="F27" s="24" t="inlineStr">
        <is>
          <t>中度压后综合我行认定价值</t>
        </is>
      </c>
      <c r="G27" s="24" t="n"/>
      <c r="H27" s="24" t="n"/>
      <c r="I27" s="24" t="inlineStr"/>
      <c r="J27" s="24" t="inlineStr">
        <is>
          <t>2023/01/12</t>
        </is>
      </c>
    </row>
    <row r="28">
      <c r="B28" s="24" t="inlineStr">
        <is>
          <t>clr_stress_test</t>
        </is>
      </c>
      <c r="C28" s="24" t="inlineStr">
        <is>
          <t>MODERATEAFTERCOUNTSUM</t>
        </is>
      </c>
      <c r="D28" s="24" t="inlineStr">
        <is>
          <t>int</t>
        </is>
      </c>
      <c r="E28" s="24" t="inlineStr">
        <is>
          <t>YES</t>
        </is>
      </c>
      <c r="F28" s="24" t="inlineStr">
        <is>
          <t>中度压后总业务笔数</t>
        </is>
      </c>
      <c r="G28" s="24" t="n"/>
      <c r="H28" s="24" t="n"/>
      <c r="I28" s="24" t="inlineStr"/>
      <c r="J28" s="24" t="inlineStr">
        <is>
          <t>2023/01/12</t>
        </is>
      </c>
    </row>
    <row r="29">
      <c r="B29" s="24" t="inlineStr">
        <is>
          <t>clr_stress_test</t>
        </is>
      </c>
      <c r="C29" s="24" t="inlineStr">
        <is>
          <t>MODERATEAFTERLACKCOUNT</t>
        </is>
      </c>
      <c r="D29" s="24" t="inlineStr">
        <is>
          <t>int</t>
        </is>
      </c>
      <c r="E29" s="24" t="inlineStr">
        <is>
          <t>YES</t>
        </is>
      </c>
      <c r="F29" s="24" t="inlineStr">
        <is>
          <t>中度压后不足值业务笔数</t>
        </is>
      </c>
      <c r="G29" s="24" t="n"/>
      <c r="H29" s="24" t="n"/>
      <c r="I29" s="24" t="inlineStr"/>
      <c r="J29" s="24" t="inlineStr">
        <is>
          <t>2023/01/12</t>
        </is>
      </c>
    </row>
    <row r="30">
      <c r="B30" s="24" t="inlineStr">
        <is>
          <t>clr_stress_test</t>
        </is>
      </c>
      <c r="C30" s="24" t="inlineStr">
        <is>
          <t>SEVEREAFTERSUFFIVALUERATIO</t>
        </is>
      </c>
      <c r="D30" s="24" t="inlineStr">
        <is>
          <t>decimal(18,8)</t>
        </is>
      </c>
      <c r="E30" s="24" t="inlineStr">
        <is>
          <t>YES</t>
        </is>
      </c>
      <c r="F30" s="24" t="inlineStr">
        <is>
          <t>重度压后综合足值率</t>
        </is>
      </c>
      <c r="G30" s="24" t="n"/>
      <c r="H30" s="24" t="n"/>
      <c r="I30" s="24" t="inlineStr"/>
      <c r="J30" s="24" t="inlineStr">
        <is>
          <t>2023/01/12</t>
        </is>
      </c>
    </row>
    <row r="31">
      <c r="B31" s="24" t="inlineStr">
        <is>
          <t>clr_stress_test</t>
        </is>
      </c>
      <c r="C31" s="24" t="inlineStr">
        <is>
          <t>SEVEREAFTERMORTGAGERATIO</t>
        </is>
      </c>
      <c r="D31" s="24" t="inlineStr">
        <is>
          <t>decimal(18,8)</t>
        </is>
      </c>
      <c r="E31" s="24" t="inlineStr">
        <is>
          <t>YES</t>
        </is>
      </c>
      <c r="F31" s="24" t="inlineStr">
        <is>
          <t>重度压后综合抵质押率</t>
        </is>
      </c>
      <c r="G31" s="24" t="n"/>
      <c r="H31" s="24" t="n"/>
      <c r="I31" s="24" t="inlineStr"/>
      <c r="J31" s="24" t="inlineStr">
        <is>
          <t>2023/01/12</t>
        </is>
      </c>
    </row>
    <row r="32">
      <c r="B32" s="24" t="inlineStr">
        <is>
          <t>clr_stress_test</t>
        </is>
      </c>
      <c r="C32" s="24" t="inlineStr">
        <is>
          <t>SEVEREAFTERRECOGNIZEDVALUE</t>
        </is>
      </c>
      <c r="D32" s="24" t="inlineStr">
        <is>
          <t>decimal(24,6)</t>
        </is>
      </c>
      <c r="E32" s="24" t="inlineStr">
        <is>
          <t>YES</t>
        </is>
      </c>
      <c r="F32" s="24" t="inlineStr">
        <is>
          <t>重度压后综合我行认定价值</t>
        </is>
      </c>
      <c r="G32" s="24" t="n"/>
      <c r="H32" s="24" t="n"/>
      <c r="I32" s="24" t="inlineStr"/>
      <c r="J32" s="24" t="inlineStr">
        <is>
          <t>2023/01/12</t>
        </is>
      </c>
    </row>
    <row r="33">
      <c r="B33" s="24" t="inlineStr">
        <is>
          <t>clr_stress_test</t>
        </is>
      </c>
      <c r="C33" s="24" t="inlineStr">
        <is>
          <t>SEVEREAFTERCOUNTSUM</t>
        </is>
      </c>
      <c r="D33" s="24" t="inlineStr">
        <is>
          <t>int</t>
        </is>
      </c>
      <c r="E33" s="24" t="inlineStr">
        <is>
          <t>YES</t>
        </is>
      </c>
      <c r="F33" s="24" t="inlineStr">
        <is>
          <t>重度压后总业务笔数</t>
        </is>
      </c>
      <c r="G33" s="24" t="n"/>
      <c r="H33" s="24" t="n"/>
      <c r="I33" s="24" t="inlineStr"/>
      <c r="J33" s="24" t="inlineStr">
        <is>
          <t>2023/01/12</t>
        </is>
      </c>
    </row>
    <row r="34">
      <c r="B34" s="24" t="inlineStr">
        <is>
          <t>clr_stress_test</t>
        </is>
      </c>
      <c r="C34" s="24" t="inlineStr">
        <is>
          <t>SEVEREAFTERLACKCOUNT</t>
        </is>
      </c>
      <c r="D34" s="24" t="inlineStr">
        <is>
          <t>int</t>
        </is>
      </c>
      <c r="E34" s="24" t="inlineStr">
        <is>
          <t>YES</t>
        </is>
      </c>
      <c r="F34" s="24" t="inlineStr">
        <is>
          <t>重度压后不足值业务笔数</t>
        </is>
      </c>
      <c r="G34" s="24" t="n"/>
      <c r="H34" s="24" t="n"/>
      <c r="I34" s="24" t="inlineStr"/>
      <c r="J34" s="24" t="inlineStr">
        <is>
          <t>2023/01/12</t>
        </is>
      </c>
    </row>
    <row r="35">
      <c r="B35" s="24" t="inlineStr">
        <is>
          <t>clr_stress_test</t>
        </is>
      </c>
      <c r="C35" s="24" t="inlineStr">
        <is>
          <t>MILDAFTERLACKCOUNTRATIO</t>
        </is>
      </c>
      <c r="D35" s="24" t="inlineStr">
        <is>
          <t>decimal(18,8)</t>
        </is>
      </c>
      <c r="E35" s="24" t="inlineStr">
        <is>
          <t>YES</t>
        </is>
      </c>
      <c r="F35" s="24" t="inlineStr">
        <is>
          <t>轻度不足值业务笔数占比</t>
        </is>
      </c>
      <c r="G35" s="24" t="n"/>
      <c r="H35" s="24" t="n"/>
      <c r="I35" s="24" t="inlineStr"/>
      <c r="J35" s="24" t="inlineStr">
        <is>
          <t>2023/01/12</t>
        </is>
      </c>
    </row>
    <row r="36">
      <c r="B36" s="24" t="inlineStr">
        <is>
          <t>clr_stress_test</t>
        </is>
      </c>
      <c r="C36" s="24" t="inlineStr">
        <is>
          <t>MODERATEAFTERLACKCOUNTRATIO</t>
        </is>
      </c>
      <c r="D36" s="24" t="inlineStr">
        <is>
          <t>decimal(18,8)</t>
        </is>
      </c>
      <c r="E36" s="24" t="inlineStr">
        <is>
          <t>YES</t>
        </is>
      </c>
      <c r="F36" s="24" t="inlineStr">
        <is>
          <t>中度不足值业务笔数占比</t>
        </is>
      </c>
      <c r="G36" s="24" t="n"/>
      <c r="H36" s="24" t="n"/>
      <c r="I36" s="24" t="inlineStr"/>
      <c r="J36" s="24" t="inlineStr">
        <is>
          <t>2023/01/12</t>
        </is>
      </c>
    </row>
    <row r="37">
      <c r="B37" s="24" t="inlineStr">
        <is>
          <t>clr_stress_test</t>
        </is>
      </c>
      <c r="C37" s="24" t="inlineStr">
        <is>
          <t>SEVEREAFTERLACKCOUNTRATIO</t>
        </is>
      </c>
      <c r="D37" s="24" t="inlineStr">
        <is>
          <t>decimal(18,8)</t>
        </is>
      </c>
      <c r="E37" s="24" t="inlineStr">
        <is>
          <t>YES</t>
        </is>
      </c>
      <c r="F37" s="24" t="inlineStr">
        <is>
          <t>重度不足值业务笔数占比</t>
        </is>
      </c>
      <c r="G37" s="24" t="n"/>
      <c r="H37" s="24" t="n"/>
      <c r="I37" s="24" t="inlineStr"/>
      <c r="J37" s="24" t="inlineStr">
        <is>
          <t>2023/01/12</t>
        </is>
      </c>
    </row>
    <row r="38">
      <c r="B38" s="24" t="inlineStr">
        <is>
          <t>clr_stress_test</t>
        </is>
      </c>
      <c r="C38" s="24" t="inlineStr">
        <is>
          <t>MILDAFTERLACKBALANCERATIO</t>
        </is>
      </c>
      <c r="D38" s="24" t="inlineStr">
        <is>
          <t>decimal(18,8)</t>
        </is>
      </c>
      <c r="E38" s="24" t="inlineStr">
        <is>
          <t>YES</t>
        </is>
      </c>
      <c r="F38" s="24" t="inlineStr">
        <is>
          <t>轻度不足值业务的贷款余额占比</t>
        </is>
      </c>
      <c r="G38" s="24" t="n"/>
      <c r="H38" s="24" t="n"/>
      <c r="I38" s="24" t="inlineStr"/>
      <c r="J38" s="24" t="inlineStr">
        <is>
          <t>2023/01/12</t>
        </is>
      </c>
    </row>
    <row r="39">
      <c r="B39" s="24" t="inlineStr">
        <is>
          <t>clr_stress_test</t>
        </is>
      </c>
      <c r="C39" s="24" t="inlineStr">
        <is>
          <t>MODERATEAFTERLACKBALANCERATIO</t>
        </is>
      </c>
      <c r="D39" s="24" t="inlineStr">
        <is>
          <t>decimal(18,8)</t>
        </is>
      </c>
      <c r="E39" s="24" t="inlineStr">
        <is>
          <t>YES</t>
        </is>
      </c>
      <c r="F39" s="24" t="inlineStr">
        <is>
          <t>中度不足值业务的贷款余额占比</t>
        </is>
      </c>
      <c r="G39" s="24" t="n"/>
      <c r="H39" s="24" t="n"/>
      <c r="I39" s="24" t="inlineStr"/>
      <c r="J39" s="24" t="inlineStr">
        <is>
          <t>2023/01/12</t>
        </is>
      </c>
    </row>
    <row r="40">
      <c r="B40" s="24" t="inlineStr">
        <is>
          <t>clr_stress_test</t>
        </is>
      </c>
      <c r="C40" s="24" t="inlineStr">
        <is>
          <t>SEVEREAFTERLACKBALANCERATIO</t>
        </is>
      </c>
      <c r="D40" s="24" t="inlineStr">
        <is>
          <t>decimal(18,8)</t>
        </is>
      </c>
      <c r="E40" s="24" t="inlineStr">
        <is>
          <t>YES</t>
        </is>
      </c>
      <c r="F40" s="24" t="inlineStr">
        <is>
          <t>重度不足值业务的贷款余额占比</t>
        </is>
      </c>
      <c r="G40" s="24" t="n"/>
      <c r="H40" s="24" t="n"/>
      <c r="I40" s="24" t="inlineStr"/>
      <c r="J40" s="24" t="inlineStr">
        <is>
          <t>2023/01/12</t>
        </is>
      </c>
    </row>
    <row r="41">
      <c r="B41" s="24" t="inlineStr">
        <is>
          <t>clr_stress_test</t>
        </is>
      </c>
      <c r="C41" s="24" t="inlineStr">
        <is>
          <t>MILDAFTERLACKCUSTRATIO</t>
        </is>
      </c>
      <c r="D41" s="24" t="inlineStr">
        <is>
          <t>decimal(18,8)</t>
        </is>
      </c>
      <c r="E41" s="24" t="inlineStr">
        <is>
          <t>YES</t>
        </is>
      </c>
      <c r="F41" s="24" t="inlineStr">
        <is>
          <t>轻度不足值业务客户数量占比</t>
        </is>
      </c>
      <c r="G41" s="24" t="n"/>
      <c r="H41" s="24" t="n"/>
      <c r="I41" s="24" t="inlineStr"/>
      <c r="J41" s="24" t="inlineStr">
        <is>
          <t>2023/01/12</t>
        </is>
      </c>
    </row>
    <row r="42">
      <c r="B42" s="24" t="inlineStr">
        <is>
          <t>clr_stress_test</t>
        </is>
      </c>
      <c r="C42" s="24" t="inlineStr">
        <is>
          <t>MODERATEAFTERLACKCUSTRATIO</t>
        </is>
      </c>
      <c r="D42" s="24" t="inlineStr">
        <is>
          <t>decimal(18,8)</t>
        </is>
      </c>
      <c r="E42" s="24" t="inlineStr">
        <is>
          <t>YES</t>
        </is>
      </c>
      <c r="F42" s="24" t="inlineStr">
        <is>
          <t>中度不足值业务客户数量占比</t>
        </is>
      </c>
      <c r="G42" s="24" t="n"/>
      <c r="H42" s="24" t="n"/>
      <c r="I42" s="24" t="inlineStr"/>
      <c r="J42" s="24" t="inlineStr">
        <is>
          <t>2023/01/12</t>
        </is>
      </c>
    </row>
    <row r="43">
      <c r="B43" s="24" t="inlineStr">
        <is>
          <t>clr_stress_test</t>
        </is>
      </c>
      <c r="C43" s="24" t="inlineStr">
        <is>
          <t>SEVEREAFTERLACKCUSTRATIO</t>
        </is>
      </c>
      <c r="D43" s="24" t="inlineStr">
        <is>
          <t>decimal(18,8)</t>
        </is>
      </c>
      <c r="E43" s="24" t="inlineStr">
        <is>
          <t>YES</t>
        </is>
      </c>
      <c r="F43" s="24" t="inlineStr">
        <is>
          <t>重度不足值业务客户数量占比</t>
        </is>
      </c>
      <c r="G43" s="24" t="n"/>
      <c r="H43" s="24" t="n"/>
      <c r="I43" s="24" t="inlineStr"/>
      <c r="J43" s="24" t="inlineStr">
        <is>
          <t>2023/01/12</t>
        </is>
      </c>
    </row>
    <row r="44">
      <c r="B44" s="24" t="inlineStr">
        <is>
          <t>clr_stress_test</t>
        </is>
      </c>
      <c r="C44" s="24" t="inlineStr">
        <is>
          <t>MILDAFTERLACKBALANCE</t>
        </is>
      </c>
      <c r="D44" s="24" t="inlineStr">
        <is>
          <t>decimal(24,6)</t>
        </is>
      </c>
      <c r="E44" s="24" t="inlineStr">
        <is>
          <t>YES</t>
        </is>
      </c>
      <c r="F44" s="24" t="inlineStr">
        <is>
          <t>轻度不足值业务的贷款余额</t>
        </is>
      </c>
      <c r="G44" s="24" t="n"/>
      <c r="H44" s="24" t="n"/>
      <c r="I44" s="24" t="inlineStr"/>
      <c r="J44" s="24" t="inlineStr">
        <is>
          <t>2023/01/12</t>
        </is>
      </c>
    </row>
    <row r="45">
      <c r="B45" s="24" t="inlineStr">
        <is>
          <t>clr_stress_test</t>
        </is>
      </c>
      <c r="C45" s="24" t="inlineStr">
        <is>
          <t>MODERATEAFTERLACKBALANCE</t>
        </is>
      </c>
      <c r="D45" s="24" t="inlineStr">
        <is>
          <t>decimal(24,6)</t>
        </is>
      </c>
      <c r="E45" s="24" t="inlineStr">
        <is>
          <t>YES</t>
        </is>
      </c>
      <c r="F45" s="24" t="inlineStr">
        <is>
          <t>中度不足值业务的贷款余额</t>
        </is>
      </c>
      <c r="G45" s="24" t="n"/>
      <c r="H45" s="24" t="n"/>
      <c r="I45" s="24" t="inlineStr"/>
      <c r="J45" s="24" t="inlineStr">
        <is>
          <t>2023/01/12</t>
        </is>
      </c>
    </row>
    <row r="46">
      <c r="B46" s="24" t="inlineStr">
        <is>
          <t>clr_stress_test</t>
        </is>
      </c>
      <c r="C46" s="24" t="inlineStr">
        <is>
          <t>SEVEREAFTERLACKBALANCE</t>
        </is>
      </c>
      <c r="D46" s="24" t="inlineStr">
        <is>
          <t>decimal(24,6)</t>
        </is>
      </c>
      <c r="E46" s="24" t="inlineStr">
        <is>
          <t>YES</t>
        </is>
      </c>
      <c r="F46" s="24" t="inlineStr">
        <is>
          <t>重度不足值业务的贷款余额</t>
        </is>
      </c>
      <c r="G46" s="24" t="n"/>
      <c r="H46" s="24" t="n"/>
      <c r="I46" s="24" t="inlineStr"/>
      <c r="J46" s="24" t="inlineStr">
        <is>
          <t>2023/01/12</t>
        </is>
      </c>
    </row>
    <row r="47">
      <c r="B47" s="24" t="inlineStr">
        <is>
          <t>clr_stress_test</t>
        </is>
      </c>
      <c r="C47" s="24" t="inlineStr">
        <is>
          <t>MILDAFTERLACKCUSTSUM</t>
        </is>
      </c>
      <c r="D47" s="24" t="inlineStr">
        <is>
          <t>int</t>
        </is>
      </c>
      <c r="E47" s="24" t="inlineStr">
        <is>
          <t>YES</t>
        </is>
      </c>
      <c r="F47" s="24" t="inlineStr">
        <is>
          <t>轻度压后不足值业务客户数量</t>
        </is>
      </c>
      <c r="G47" s="24" t="n"/>
      <c r="H47" s="24" t="n"/>
      <c r="I47" s="24" t="inlineStr"/>
      <c r="J47" s="24" t="inlineStr">
        <is>
          <t>2023/01/12</t>
        </is>
      </c>
    </row>
    <row r="48">
      <c r="B48" s="24" t="inlineStr">
        <is>
          <t>clr_stress_test</t>
        </is>
      </c>
      <c r="C48" s="24" t="inlineStr">
        <is>
          <t>MODERATEAFTERLACKCUSTSUM</t>
        </is>
      </c>
      <c r="D48" s="24" t="inlineStr">
        <is>
          <t>int</t>
        </is>
      </c>
      <c r="E48" s="24" t="inlineStr">
        <is>
          <t>YES</t>
        </is>
      </c>
      <c r="F48" s="24" t="inlineStr">
        <is>
          <t>中度压后不足值业务客户数量</t>
        </is>
      </c>
      <c r="G48" s="24" t="n"/>
      <c r="H48" s="24" t="n"/>
      <c r="I48" s="24" t="inlineStr"/>
      <c r="J48" s="24" t="inlineStr">
        <is>
          <t>2023/01/12</t>
        </is>
      </c>
    </row>
    <row r="49">
      <c r="B49" s="24" t="inlineStr">
        <is>
          <t>clr_stress_test</t>
        </is>
      </c>
      <c r="C49" s="24" t="inlineStr">
        <is>
          <t>SEVEREAFTERLACKCUSTSUM</t>
        </is>
      </c>
      <c r="D49" s="24" t="inlineStr">
        <is>
          <t>int</t>
        </is>
      </c>
      <c r="E49" s="24" t="inlineStr">
        <is>
          <t>YES</t>
        </is>
      </c>
      <c r="F49" s="24" t="inlineStr">
        <is>
          <t>重度压后不足值业务客户数量</t>
        </is>
      </c>
      <c r="G49" s="24" t="n"/>
      <c r="H49" s="24" t="n"/>
      <c r="I49" s="24" t="inlineStr"/>
      <c r="J49" s="24" t="inlineStr">
        <is>
          <t>2023/01/12</t>
        </is>
      </c>
    </row>
  </sheetData>
  <pageMargins left="0.75" right="0.75" top="1" bottom="1" header="0.5" footer="0.5"/>
  <pageSetup orientation="portrait" paperSize="1" horizontalDpi="300" verticalDpi="300"/>
</worksheet>
</file>

<file path=xl/worksheets/sheet108.xml><?xml version="1.0" encoding="utf-8"?>
<worksheet xmlns="http://schemas.openxmlformats.org/spreadsheetml/2006/main">
  <sheetPr>
    <outlinePr summaryBelow="1" summaryRight="1"/>
    <pageSetUpPr/>
  </sheetPr>
  <dimension ref="A1:J26"/>
  <sheetViews>
    <sheetView zoomScaleSheetLayoutView="60" workbookViewId="0">
      <selection activeCell="E34" sqref="E34"/>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核押详情</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clr_verification_info</t>
        </is>
      </c>
      <c r="C3" s="24" t="inlineStr">
        <is>
          <t>BUSINESSCONTRACTNO</t>
        </is>
      </c>
      <c r="D3" s="24" t="inlineStr">
        <is>
          <t>varchar(32)</t>
        </is>
      </c>
      <c r="E3" s="24" t="inlineStr">
        <is>
          <t>NO</t>
        </is>
      </c>
      <c r="F3" s="24" t="inlineStr">
        <is>
          <t>合同号</t>
        </is>
      </c>
      <c r="G3" s="24" t="n"/>
      <c r="H3" s="24" t="n"/>
      <c r="I3" s="24" t="inlineStr"/>
      <c r="J3" s="24" t="inlineStr">
        <is>
          <t>2023/01/12</t>
        </is>
      </c>
    </row>
    <row r="4">
      <c r="B4" s="24" t="inlineStr">
        <is>
          <t>clr_verification_info</t>
        </is>
      </c>
      <c r="C4" s="24" t="inlineStr">
        <is>
          <t>CLRID</t>
        </is>
      </c>
      <c r="D4" s="24" t="inlineStr">
        <is>
          <t>varchar(32)</t>
        </is>
      </c>
      <c r="E4" s="24" t="inlineStr">
        <is>
          <t>NO</t>
        </is>
      </c>
      <c r="F4" s="24" t="inlineStr">
        <is>
          <t>押品编号</t>
        </is>
      </c>
      <c r="G4" s="24" t="n"/>
      <c r="H4" s="24" t="n"/>
      <c r="I4" s="24" t="inlineStr"/>
      <c r="J4" s="24" t="inlineStr">
        <is>
          <t>2023/01/12</t>
        </is>
      </c>
    </row>
    <row r="5">
      <c r="B5" s="24" t="inlineStr">
        <is>
          <t>clr_verification_info</t>
        </is>
      </c>
      <c r="C5" s="24" t="inlineStr">
        <is>
          <t>CHECKFLAG1</t>
        </is>
      </c>
      <c r="D5" s="24" t="inlineStr">
        <is>
          <t>char(1)</t>
        </is>
      </c>
      <c r="E5" s="24" t="inlineStr">
        <is>
          <t>YES</t>
        </is>
      </c>
      <c r="F5" s="24" t="inlineStr">
        <is>
          <t>抵质押人是否具备主体资格</t>
        </is>
      </c>
      <c r="G5" s="52">
        <f>HYPERLINK("#码值映射清单!B5150","YesNo")</f>
        <v/>
      </c>
      <c r="H5" s="24" t="n"/>
      <c r="I5" s="24" t="inlineStr"/>
      <c r="J5" s="24" t="inlineStr">
        <is>
          <t>2023/01/12</t>
        </is>
      </c>
    </row>
    <row r="6">
      <c r="B6" s="24" t="inlineStr">
        <is>
          <t>clr_verification_info</t>
        </is>
      </c>
      <c r="C6" s="24" t="inlineStr">
        <is>
          <t>CHECKFLAG2</t>
        </is>
      </c>
      <c r="D6" s="24" t="inlineStr">
        <is>
          <t>char(1)</t>
        </is>
      </c>
      <c r="E6" s="24" t="inlineStr">
        <is>
          <t>YES</t>
        </is>
      </c>
      <c r="F6" s="24" t="inlineStr">
        <is>
          <t>押品实际情况是否与权属文件相符</t>
        </is>
      </c>
      <c r="G6" s="52">
        <f>HYPERLINK("#码值映射清单!B5150","YesNo")</f>
        <v/>
      </c>
      <c r="H6" s="24" t="n"/>
      <c r="I6" s="24" t="inlineStr"/>
      <c r="J6" s="24" t="inlineStr">
        <is>
          <t>2023/01/12</t>
        </is>
      </c>
    </row>
    <row r="7">
      <c r="B7" s="24" t="inlineStr">
        <is>
          <t>clr_verification_info</t>
        </is>
      </c>
      <c r="C7" s="24" t="inlineStr">
        <is>
          <t>CHECKFLAG3</t>
        </is>
      </c>
      <c r="D7" s="24" t="inlineStr">
        <is>
          <t>char(1)</t>
        </is>
      </c>
      <c r="E7" s="24" t="inlineStr">
        <is>
          <t>YES</t>
        </is>
      </c>
      <c r="F7" s="24" t="inlineStr">
        <is>
          <t>是否对押品享有所有权和处分权</t>
        </is>
      </c>
      <c r="G7" s="52">
        <f>HYPERLINK("#码值映射清单!B5150","YesNo")</f>
        <v/>
      </c>
      <c r="H7" s="24" t="n"/>
      <c r="I7" s="24" t="inlineStr"/>
      <c r="J7" s="24" t="inlineStr">
        <is>
          <t>2023/01/12</t>
        </is>
      </c>
    </row>
    <row r="8">
      <c r="B8" s="24" t="inlineStr">
        <is>
          <t>clr_verification_info</t>
        </is>
      </c>
      <c r="C8" s="24" t="inlineStr">
        <is>
          <t>CHECKFLAG4</t>
        </is>
      </c>
      <c r="D8" s="24" t="inlineStr">
        <is>
          <t>char(1)</t>
        </is>
      </c>
      <c r="E8" s="24" t="inlineStr">
        <is>
          <t>YES</t>
        </is>
      </c>
      <c r="F8" s="24" t="inlineStr">
        <is>
          <t>抵质押人是否拖欠在建工程建设工程款</t>
        </is>
      </c>
      <c r="G8" s="52">
        <f>HYPERLINK("#码值映射清单!B5150","YesNo")</f>
        <v/>
      </c>
      <c r="H8" s="24" t="n"/>
      <c r="I8" s="24" t="inlineStr"/>
      <c r="J8" s="24" t="inlineStr">
        <is>
          <t>2023/01/12</t>
        </is>
      </c>
    </row>
    <row r="9">
      <c r="B9" s="24" t="inlineStr">
        <is>
          <t>clr_verification_info</t>
        </is>
      </c>
      <c r="C9" s="24" t="inlineStr">
        <is>
          <t>CHECKFLAG5</t>
        </is>
      </c>
      <c r="D9" s="24" t="inlineStr">
        <is>
          <t>char(1)</t>
        </is>
      </c>
      <c r="E9" s="24" t="inlineStr">
        <is>
          <t>YES</t>
        </is>
      </c>
      <c r="F9" s="24" t="inlineStr">
        <is>
          <t>设置抵质押担保是否自愿、真实</t>
        </is>
      </c>
      <c r="G9" s="52">
        <f>HYPERLINK("#码值映射清单!B5150","YesNo")</f>
        <v/>
      </c>
      <c r="H9" s="24" t="n"/>
      <c r="I9" s="24" t="inlineStr"/>
      <c r="J9" s="24" t="inlineStr">
        <is>
          <t>2023/01/12</t>
        </is>
      </c>
    </row>
    <row r="10">
      <c r="B10" s="24" t="inlineStr">
        <is>
          <t>clr_verification_info</t>
        </is>
      </c>
      <c r="C10" s="24" t="inlineStr">
        <is>
          <t>CHECKFLAG6</t>
        </is>
      </c>
      <c r="D10" s="24" t="inlineStr">
        <is>
          <t>char(1)</t>
        </is>
      </c>
      <c r="E10" s="24" t="inlineStr">
        <is>
          <t>YES</t>
        </is>
      </c>
      <c r="F10" s="24" t="inlineStr">
        <is>
          <t>押品是否存在出租、在先抵押、查封、扣押、监管等限制情况</t>
        </is>
      </c>
      <c r="G10" s="52">
        <f>HYPERLINK("#码值映射清单!B5150","YesNo")</f>
        <v/>
      </c>
      <c r="H10" s="24" t="n"/>
      <c r="I10" s="24" t="inlineStr"/>
      <c r="J10" s="24" t="inlineStr">
        <is>
          <t>2023/01/12</t>
        </is>
      </c>
    </row>
    <row r="11">
      <c r="B11" s="24" t="inlineStr">
        <is>
          <t>clr_verification_info</t>
        </is>
      </c>
      <c r="C11" s="24" t="inlineStr">
        <is>
          <t>CHECKFLAG7</t>
        </is>
      </c>
      <c r="D11" s="24" t="inlineStr">
        <is>
          <t>char(1)</t>
        </is>
      </c>
      <c r="E11" s="24" t="inlineStr">
        <is>
          <t>YES</t>
        </is>
      </c>
      <c r="F11" s="24" t="inlineStr">
        <is>
          <t>必要的政府部门、董事会、股东大会等批准文件是否真实</t>
        </is>
      </c>
      <c r="G11" s="52">
        <f>HYPERLINK("#码值映射清单!B5150","YesNo")</f>
        <v/>
      </c>
      <c r="H11" s="24" t="n"/>
      <c r="I11" s="24" t="inlineStr"/>
      <c r="J11" s="24" t="inlineStr">
        <is>
          <t>2023/01/12</t>
        </is>
      </c>
    </row>
    <row r="12">
      <c r="B12" s="24" t="inlineStr">
        <is>
          <t>clr_verification_info</t>
        </is>
      </c>
      <c r="C12" s="24" t="inlineStr">
        <is>
          <t>CHECKFLAG8</t>
        </is>
      </c>
      <c r="D12" s="24" t="inlineStr">
        <is>
          <t>char(1)</t>
        </is>
      </c>
      <c r="E12" s="24" t="inlineStr">
        <is>
          <t>YES</t>
        </is>
      </c>
      <c r="F12" s="24" t="inlineStr">
        <is>
          <t>押品权属是否明确，权属文件、抵押登记证明是否完整、真实、有效</t>
        </is>
      </c>
      <c r="G12" s="52">
        <f>HYPERLINK("#码值映射清单!B5150","YesNo")</f>
        <v/>
      </c>
      <c r="H12" s="24" t="n"/>
      <c r="I12" s="24" t="inlineStr"/>
      <c r="J12" s="24" t="inlineStr">
        <is>
          <t>2023/01/12</t>
        </is>
      </c>
    </row>
    <row r="13">
      <c r="B13" s="24" t="inlineStr">
        <is>
          <t>clr_verification_info</t>
        </is>
      </c>
      <c r="C13" s="24" t="inlineStr">
        <is>
          <t>CHECKFLAG9</t>
        </is>
      </c>
      <c r="D13" s="24" t="inlineStr">
        <is>
          <t>char(1)</t>
        </is>
      </c>
      <c r="E13" s="24" t="inlineStr">
        <is>
          <t>YES</t>
        </is>
      </c>
      <c r="F13" s="24" t="inlineStr">
        <is>
          <t>印章及签字是否真实</t>
        </is>
      </c>
      <c r="G13" s="52">
        <f>HYPERLINK("#码值映射清单!B5150","YesNo")</f>
        <v/>
      </c>
      <c r="H13" s="24" t="n"/>
      <c r="I13" s="24" t="inlineStr"/>
      <c r="J13" s="24" t="inlineStr">
        <is>
          <t>2023/01/12</t>
        </is>
      </c>
    </row>
    <row r="14">
      <c r="B14" s="24" t="inlineStr">
        <is>
          <t>clr_verification_info</t>
        </is>
      </c>
      <c r="C14" s="24" t="inlineStr">
        <is>
          <t>CHECKFLAG10</t>
        </is>
      </c>
      <c r="D14" s="24" t="inlineStr">
        <is>
          <t>char(1)</t>
        </is>
      </c>
      <c r="E14" s="24" t="inlineStr">
        <is>
          <t>YES</t>
        </is>
      </c>
      <c r="F14" s="24" t="inlineStr">
        <is>
          <t>监管协议是否由监管人确认</t>
        </is>
      </c>
      <c r="G14" s="52">
        <f>HYPERLINK("#码值映射清单!B5150","YesNo")</f>
        <v/>
      </c>
      <c r="H14" s="24" t="n"/>
      <c r="I14" s="24" t="inlineStr"/>
      <c r="J14" s="24" t="inlineStr">
        <is>
          <t>2023/01/12</t>
        </is>
      </c>
    </row>
    <row r="15">
      <c r="B15" s="24" t="inlineStr">
        <is>
          <t>clr_verification_info</t>
        </is>
      </c>
      <c r="C15" s="24" t="inlineStr">
        <is>
          <t>ISSAVED</t>
        </is>
      </c>
      <c r="D15" s="24" t="inlineStr">
        <is>
          <t>char(1)</t>
        </is>
      </c>
      <c r="E15" s="24" t="inlineStr">
        <is>
          <t>YES</t>
        </is>
      </c>
      <c r="F15" s="24" t="inlineStr">
        <is>
          <t>押品核实信息是否保存完整</t>
        </is>
      </c>
      <c r="G15" s="24" t="n"/>
      <c r="H15" s="24" t="n"/>
      <c r="I15" s="24" t="inlineStr"/>
      <c r="J15" s="24" t="inlineStr">
        <is>
          <t>2023/01/12</t>
        </is>
      </c>
    </row>
    <row r="16">
      <c r="B16" s="24" t="inlineStr">
        <is>
          <t>clr_verification_info</t>
        </is>
      </c>
      <c r="C16" s="24" t="inlineStr">
        <is>
          <t>DATATYPE</t>
        </is>
      </c>
      <c r="D16" s="24" t="inlineStr">
        <is>
          <t>varchar(18)</t>
        </is>
      </c>
      <c r="E16" s="24" t="inlineStr">
        <is>
          <t>YES</t>
        </is>
      </c>
      <c r="F16" s="24" t="inlineStr">
        <is>
          <t>数据类型</t>
        </is>
      </c>
      <c r="G16" s="24" t="n"/>
      <c r="H16" s="24" t="n"/>
      <c r="I16" s="24" t="inlineStr"/>
      <c r="J16" s="24" t="inlineStr">
        <is>
          <t>2023/01/12</t>
        </is>
      </c>
    </row>
    <row r="17">
      <c r="B17" s="24" t="inlineStr">
        <is>
          <t>clr_verification_info</t>
        </is>
      </c>
      <c r="C17" s="24" t="inlineStr">
        <is>
          <t>CONCLUSION</t>
        </is>
      </c>
      <c r="D17" s="24" t="inlineStr">
        <is>
          <t>varchar(200)</t>
        </is>
      </c>
      <c r="E17" s="24" t="inlineStr">
        <is>
          <t>YES</t>
        </is>
      </c>
      <c r="F17" s="24" t="inlineStr">
        <is>
          <t>核保结论</t>
        </is>
      </c>
      <c r="G17" s="24" t="n"/>
      <c r="H17" s="24" t="n"/>
      <c r="I17" s="24" t="inlineStr"/>
      <c r="J17" s="24" t="inlineStr">
        <is>
          <t>2023/01/12</t>
        </is>
      </c>
    </row>
    <row r="18">
      <c r="B18" s="24" t="inlineStr">
        <is>
          <t>clr_verification_info</t>
        </is>
      </c>
      <c r="C18" s="24" t="inlineStr">
        <is>
          <t>INPUTUSERID</t>
        </is>
      </c>
      <c r="D18" s="24" t="inlineStr">
        <is>
          <t>varchar(32)</t>
        </is>
      </c>
      <c r="E18" s="24" t="inlineStr">
        <is>
          <t>YES</t>
        </is>
      </c>
      <c r="F18" s="24" t="inlineStr">
        <is>
          <t>登记人</t>
        </is>
      </c>
      <c r="G18" s="24" t="n"/>
      <c r="H18" s="24" t="n"/>
      <c r="I18" s="24" t="inlineStr"/>
      <c r="J18" s="24" t="inlineStr">
        <is>
          <t>2023/01/12</t>
        </is>
      </c>
    </row>
    <row r="19">
      <c r="B19" s="24" t="inlineStr">
        <is>
          <t>clr_verification_info</t>
        </is>
      </c>
      <c r="C19" s="24" t="inlineStr">
        <is>
          <t>INPUTORGID</t>
        </is>
      </c>
      <c r="D19" s="24" t="inlineStr">
        <is>
          <t>varchar(32)</t>
        </is>
      </c>
      <c r="E19" s="24" t="inlineStr">
        <is>
          <t>YES</t>
        </is>
      </c>
      <c r="F19" s="24" t="inlineStr">
        <is>
          <t>登记机构</t>
        </is>
      </c>
      <c r="G19" s="24" t="n"/>
      <c r="H19" s="24" t="n"/>
      <c r="I19" s="24" t="inlineStr"/>
      <c r="J19" s="24" t="inlineStr">
        <is>
          <t>2023/01/12</t>
        </is>
      </c>
    </row>
    <row r="20">
      <c r="B20" s="24" t="inlineStr">
        <is>
          <t>clr_verification_info</t>
        </is>
      </c>
      <c r="C20" s="24" t="inlineStr">
        <is>
          <t>INPUTDATE</t>
        </is>
      </c>
      <c r="D20" s="24" t="inlineStr">
        <is>
          <t>datetime</t>
        </is>
      </c>
      <c r="E20" s="24" t="inlineStr">
        <is>
          <t>YES</t>
        </is>
      </c>
      <c r="F20" s="24" t="inlineStr">
        <is>
          <t>登记日期</t>
        </is>
      </c>
      <c r="G20" s="24" t="n"/>
      <c r="H20" s="24" t="n"/>
      <c r="I20" s="24" t="inlineStr"/>
      <c r="J20" s="24" t="inlineStr">
        <is>
          <t>2023/01/12</t>
        </is>
      </c>
    </row>
    <row r="21">
      <c r="B21" s="24" t="inlineStr">
        <is>
          <t>clr_verification_info</t>
        </is>
      </c>
      <c r="C21" s="24" t="inlineStr">
        <is>
          <t>UPDATEUSERID</t>
        </is>
      </c>
      <c r="D21" s="24" t="inlineStr">
        <is>
          <t>varchar(32)</t>
        </is>
      </c>
      <c r="E21" s="24" t="inlineStr">
        <is>
          <t>YES</t>
        </is>
      </c>
      <c r="F21" s="24" t="inlineStr">
        <is>
          <t>更新人</t>
        </is>
      </c>
      <c r="G21" s="24" t="n"/>
      <c r="H21" s="24" t="n"/>
      <c r="I21" s="24" t="inlineStr"/>
      <c r="J21" s="24" t="inlineStr">
        <is>
          <t>2023/01/12</t>
        </is>
      </c>
    </row>
    <row r="22">
      <c r="B22" s="24" t="inlineStr">
        <is>
          <t>clr_verification_info</t>
        </is>
      </c>
      <c r="C22" s="24" t="inlineStr">
        <is>
          <t>UPDATEORGID</t>
        </is>
      </c>
      <c r="D22" s="24" t="inlineStr">
        <is>
          <t>varchar(32)</t>
        </is>
      </c>
      <c r="E22" s="24" t="inlineStr">
        <is>
          <t>YES</t>
        </is>
      </c>
      <c r="F22" s="24" t="inlineStr">
        <is>
          <t>更新机构</t>
        </is>
      </c>
      <c r="G22" s="24" t="n"/>
      <c r="H22" s="24" t="n"/>
      <c r="I22" s="24" t="inlineStr"/>
      <c r="J22" s="24" t="inlineStr">
        <is>
          <t>2023/01/12</t>
        </is>
      </c>
    </row>
    <row r="23">
      <c r="B23" s="24" t="inlineStr">
        <is>
          <t>clr_verification_info</t>
        </is>
      </c>
      <c r="C23" s="24" t="inlineStr">
        <is>
          <t>UPDATEDATE</t>
        </is>
      </c>
      <c r="D23" s="24" t="inlineStr">
        <is>
          <t>datetime</t>
        </is>
      </c>
      <c r="E23" s="24" t="inlineStr">
        <is>
          <t>YES</t>
        </is>
      </c>
      <c r="F23" s="24" t="inlineStr">
        <is>
          <t>更新日期</t>
        </is>
      </c>
      <c r="G23" s="24" t="n"/>
      <c r="H23" s="24" t="n"/>
      <c r="I23" s="24" t="inlineStr"/>
      <c r="J23" s="24" t="inlineStr">
        <is>
          <t>2023/01/12</t>
        </is>
      </c>
    </row>
    <row r="24">
      <c r="B24" s="24" t="inlineStr">
        <is>
          <t>clr_verification_info</t>
        </is>
      </c>
      <c r="C24" s="24" t="inlineStr">
        <is>
          <t>REMARK</t>
        </is>
      </c>
      <c r="D24" s="24" t="inlineStr">
        <is>
          <t>varchar(1000)</t>
        </is>
      </c>
      <c r="E24" s="24" t="inlineStr">
        <is>
          <t>YES</t>
        </is>
      </c>
      <c r="F24" s="24" t="inlineStr">
        <is>
          <t>备注</t>
        </is>
      </c>
      <c r="G24" s="24" t="n"/>
      <c r="H24" s="24" t="n"/>
      <c r="I24" s="24" t="inlineStr"/>
      <c r="J24" s="24" t="inlineStr">
        <is>
          <t>2023/01/12</t>
        </is>
      </c>
    </row>
    <row r="25">
      <c r="B25" s="24" t="inlineStr">
        <is>
          <t>clr_verification_info</t>
        </is>
      </c>
      <c r="C25" s="24" t="inlineStr">
        <is>
          <t>CORPORGID</t>
        </is>
      </c>
      <c r="D25" s="24" t="inlineStr">
        <is>
          <t>varchar(32)</t>
        </is>
      </c>
      <c r="E25" s="24" t="inlineStr">
        <is>
          <t>YES</t>
        </is>
      </c>
      <c r="F25" s="24" t="inlineStr">
        <is>
          <t>法人机构编号</t>
        </is>
      </c>
      <c r="G25" s="24" t="n"/>
      <c r="H25" s="24" t="n"/>
      <c r="I25" s="24" t="inlineStr"/>
      <c r="J25" s="24" t="inlineStr">
        <is>
          <t>2023/01/12</t>
        </is>
      </c>
    </row>
    <row r="26">
      <c r="B26" s="24" t="inlineStr">
        <is>
          <t>clr_verification_info</t>
        </is>
      </c>
      <c r="C26" s="24" t="inlineStr">
        <is>
          <t>OTHERINFO</t>
        </is>
      </c>
      <c r="D26" s="24" t="inlineStr">
        <is>
          <t>varchar(1000)</t>
        </is>
      </c>
      <c r="E26" s="24" t="inlineStr">
        <is>
          <t>YES</t>
        </is>
      </c>
      <c r="F26" s="24" t="inlineStr">
        <is>
          <t>其他事项;具体说明）</t>
        </is>
      </c>
      <c r="G26" s="24" t="n"/>
      <c r="H26" s="24" t="n"/>
      <c r="I26" s="24" t="inlineStr"/>
      <c r="J26" s="24" t="inlineStr">
        <is>
          <t>2023/01/12</t>
        </is>
      </c>
    </row>
  </sheetData>
  <pageMargins left="0.75" right="0.75" top="1" bottom="1" header="0.5" footer="0.5"/>
  <pageSetup orientation="portrait" paperSize="1" horizontalDpi="300" verticalDpi="300"/>
</worksheet>
</file>

<file path=xl/worksheets/sheet109.xml><?xml version="1.0" encoding="utf-8"?>
<worksheet xmlns="http://schemas.openxmlformats.org/spreadsheetml/2006/main">
  <sheetPr>
    <outlinePr summaryBelow="1" summaryRight="1"/>
    <pageSetUpPr/>
  </sheetPr>
  <dimension ref="A1:J20"/>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核押信息记录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clr_verification_record</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clr_verification_record</t>
        </is>
      </c>
      <c r="C4" s="24" t="inlineStr">
        <is>
          <t>BUSINESSCONTRACTNO</t>
        </is>
      </c>
      <c r="D4" s="24" t="inlineStr">
        <is>
          <t>varchar(32)</t>
        </is>
      </c>
      <c r="E4" s="24" t="inlineStr">
        <is>
          <t>YES</t>
        </is>
      </c>
      <c r="F4" s="24" t="inlineStr">
        <is>
          <t>合同流水号</t>
        </is>
      </c>
      <c r="G4" s="24" t="n"/>
      <c r="H4" s="24" t="n"/>
      <c r="I4" s="24" t="inlineStr"/>
      <c r="J4" s="24" t="inlineStr">
        <is>
          <t>2023/01/12</t>
        </is>
      </c>
    </row>
    <row r="5">
      <c r="B5" s="24" t="inlineStr">
        <is>
          <t>clr_verification_record</t>
        </is>
      </c>
      <c r="C5" s="24" t="inlineStr">
        <is>
          <t>CUSTOMERID</t>
        </is>
      </c>
      <c r="D5" s="24" t="inlineStr">
        <is>
          <t>varchar(32)</t>
        </is>
      </c>
      <c r="E5" s="24" t="inlineStr">
        <is>
          <t>YES</t>
        </is>
      </c>
      <c r="F5" s="24" t="inlineStr">
        <is>
          <t>客户编号</t>
        </is>
      </c>
      <c r="G5" s="24" t="n"/>
      <c r="H5" s="24" t="n"/>
      <c r="I5" s="24" t="inlineStr"/>
      <c r="J5" s="24" t="inlineStr">
        <is>
          <t>2023/01/12</t>
        </is>
      </c>
    </row>
    <row r="6">
      <c r="B6" s="24" t="inlineStr">
        <is>
          <t>clr_verification_record</t>
        </is>
      </c>
      <c r="C6" s="24" t="inlineStr">
        <is>
          <t>CUSTOMERNAME</t>
        </is>
      </c>
      <c r="D6" s="24" t="inlineStr">
        <is>
          <t>varchar(80)</t>
        </is>
      </c>
      <c r="E6" s="24" t="inlineStr">
        <is>
          <t>YES</t>
        </is>
      </c>
      <c r="F6" s="24" t="inlineStr">
        <is>
          <t>客户名称</t>
        </is>
      </c>
      <c r="G6" s="24" t="n"/>
      <c r="H6" s="24" t="n"/>
      <c r="I6" s="24" t="inlineStr"/>
      <c r="J6" s="24" t="inlineStr">
        <is>
          <t>2023/01/12</t>
        </is>
      </c>
    </row>
    <row r="7">
      <c r="B7" s="24" t="inlineStr">
        <is>
          <t>clr_verification_record</t>
        </is>
      </c>
      <c r="C7" s="24" t="inlineStr">
        <is>
          <t>MAINVERIFIERID</t>
        </is>
      </c>
      <c r="D7" s="24" t="inlineStr">
        <is>
          <t>varchar(32)</t>
        </is>
      </c>
      <c r="E7" s="24" t="inlineStr">
        <is>
          <t>YES</t>
        </is>
      </c>
      <c r="F7" s="24" t="inlineStr">
        <is>
          <t>主核押人用户编号</t>
        </is>
      </c>
      <c r="G7" s="24" t="n"/>
      <c r="H7" s="24" t="n"/>
      <c r="I7" s="24" t="inlineStr"/>
      <c r="J7" s="24" t="inlineStr">
        <is>
          <t>2023/01/12</t>
        </is>
      </c>
    </row>
    <row r="8">
      <c r="B8" s="24" t="inlineStr">
        <is>
          <t>clr_verification_record</t>
        </is>
      </c>
      <c r="C8" s="24" t="inlineStr">
        <is>
          <t>MAINVERIFIER</t>
        </is>
      </c>
      <c r="D8" s="24" t="inlineStr">
        <is>
          <t>varchar(80)</t>
        </is>
      </c>
      <c r="E8" s="24" t="inlineStr">
        <is>
          <t>YES</t>
        </is>
      </c>
      <c r="F8" s="24" t="inlineStr">
        <is>
          <t>主核押人</t>
        </is>
      </c>
      <c r="G8" s="24" t="n"/>
      <c r="H8" s="24" t="n"/>
      <c r="I8" s="24" t="inlineStr"/>
      <c r="J8" s="24" t="inlineStr">
        <is>
          <t>2023/01/12</t>
        </is>
      </c>
    </row>
    <row r="9">
      <c r="B9" s="24" t="inlineStr">
        <is>
          <t>clr_verification_record</t>
        </is>
      </c>
      <c r="C9" s="24" t="inlineStr">
        <is>
          <t>VICEVERIFIERID</t>
        </is>
      </c>
      <c r="D9" s="24" t="inlineStr">
        <is>
          <t>varchar(32)</t>
        </is>
      </c>
      <c r="E9" s="24" t="inlineStr">
        <is>
          <t>YES</t>
        </is>
      </c>
      <c r="F9" s="24" t="inlineStr">
        <is>
          <t>协助核押人用户编号</t>
        </is>
      </c>
      <c r="G9" s="24" t="n"/>
      <c r="H9" s="24" t="n"/>
      <c r="I9" s="24" t="inlineStr"/>
      <c r="J9" s="24" t="inlineStr">
        <is>
          <t>2023/01/12</t>
        </is>
      </c>
    </row>
    <row r="10">
      <c r="B10" s="24" t="inlineStr">
        <is>
          <t>clr_verification_record</t>
        </is>
      </c>
      <c r="C10" s="24" t="inlineStr">
        <is>
          <t>VICEVERIFIER</t>
        </is>
      </c>
      <c r="D10" s="24" t="inlineStr">
        <is>
          <t>varchar(80)</t>
        </is>
      </c>
      <c r="E10" s="24" t="inlineStr">
        <is>
          <t>YES</t>
        </is>
      </c>
      <c r="F10" s="24" t="inlineStr">
        <is>
          <t>协助核押人</t>
        </is>
      </c>
      <c r="G10" s="24" t="n"/>
      <c r="H10" s="24" t="n"/>
      <c r="I10" s="24" t="inlineStr"/>
      <c r="J10" s="24" t="inlineStr">
        <is>
          <t>2023/01/12</t>
        </is>
      </c>
    </row>
    <row r="11">
      <c r="B11" s="24" t="inlineStr">
        <is>
          <t>clr_verification_record</t>
        </is>
      </c>
      <c r="C11" s="24" t="inlineStr">
        <is>
          <t>VERIFICATIONPLACE</t>
        </is>
      </c>
      <c r="D11" s="24" t="inlineStr">
        <is>
          <t>varchar(80)</t>
        </is>
      </c>
      <c r="E11" s="24" t="inlineStr">
        <is>
          <t>YES</t>
        </is>
      </c>
      <c r="F11" s="24" t="inlineStr">
        <is>
          <t>核保地点</t>
        </is>
      </c>
      <c r="G11" s="24" t="n"/>
      <c r="H11" s="24" t="n"/>
      <c r="I11" s="24" t="inlineStr"/>
      <c r="J11" s="24" t="inlineStr">
        <is>
          <t>2023/01/12</t>
        </is>
      </c>
    </row>
    <row r="12">
      <c r="B12" s="24" t="inlineStr">
        <is>
          <t>clr_verification_record</t>
        </is>
      </c>
      <c r="C12" s="24" t="inlineStr">
        <is>
          <t>VERIFICATIONDATE</t>
        </is>
      </c>
      <c r="D12" s="24" t="inlineStr">
        <is>
          <t>varchar(18)</t>
        </is>
      </c>
      <c r="E12" s="24" t="inlineStr">
        <is>
          <t>YES</t>
        </is>
      </c>
      <c r="F12" s="24" t="inlineStr">
        <is>
          <t>核保日期</t>
        </is>
      </c>
      <c r="G12" s="24" t="n"/>
      <c r="H12" s="24" t="n"/>
      <c r="I12" s="24" t="inlineStr"/>
      <c r="J12" s="24" t="inlineStr">
        <is>
          <t>2023/01/12</t>
        </is>
      </c>
    </row>
    <row r="13">
      <c r="B13" s="24" t="inlineStr">
        <is>
          <t>clr_verification_record</t>
        </is>
      </c>
      <c r="C13" s="24" t="inlineStr">
        <is>
          <t>INPUTUSERID</t>
        </is>
      </c>
      <c r="D13" s="24" t="inlineStr">
        <is>
          <t>varchar(32)</t>
        </is>
      </c>
      <c r="E13" s="24" t="inlineStr">
        <is>
          <t>YES</t>
        </is>
      </c>
      <c r="F13" s="24" t="inlineStr">
        <is>
          <t>登记人</t>
        </is>
      </c>
      <c r="G13" s="24" t="n"/>
      <c r="H13" s="24" t="n"/>
      <c r="I13" s="24" t="inlineStr"/>
      <c r="J13" s="24" t="inlineStr">
        <is>
          <t>2023/01/12</t>
        </is>
      </c>
    </row>
    <row r="14">
      <c r="B14" s="24" t="inlineStr">
        <is>
          <t>clr_verification_record</t>
        </is>
      </c>
      <c r="C14" s="24" t="inlineStr">
        <is>
          <t>INPUTORGID</t>
        </is>
      </c>
      <c r="D14" s="24" t="inlineStr">
        <is>
          <t>varchar(32)</t>
        </is>
      </c>
      <c r="E14" s="24" t="inlineStr">
        <is>
          <t>YES</t>
        </is>
      </c>
      <c r="F14" s="24" t="inlineStr">
        <is>
          <t>登记机构</t>
        </is>
      </c>
      <c r="G14" s="24" t="n"/>
      <c r="H14" s="24" t="n"/>
      <c r="I14" s="24" t="inlineStr"/>
      <c r="J14" s="24" t="inlineStr">
        <is>
          <t>2023/01/12</t>
        </is>
      </c>
    </row>
    <row r="15">
      <c r="B15" s="24" t="inlineStr">
        <is>
          <t>clr_verification_record</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clr_verification_record</t>
        </is>
      </c>
      <c r="C16" s="24" t="inlineStr">
        <is>
          <t>UPDATEUSERID</t>
        </is>
      </c>
      <c r="D16" s="24" t="inlineStr">
        <is>
          <t>varchar(32)</t>
        </is>
      </c>
      <c r="E16" s="24" t="inlineStr">
        <is>
          <t>YES</t>
        </is>
      </c>
      <c r="F16" s="24" t="inlineStr">
        <is>
          <t>更新人</t>
        </is>
      </c>
      <c r="G16" s="24" t="n"/>
      <c r="H16" s="24" t="n"/>
      <c r="I16" s="24" t="inlineStr"/>
      <c r="J16" s="24" t="inlineStr">
        <is>
          <t>2023/01/12</t>
        </is>
      </c>
    </row>
    <row r="17">
      <c r="B17" s="24" t="inlineStr">
        <is>
          <t>clr_verification_record</t>
        </is>
      </c>
      <c r="C17" s="24" t="inlineStr">
        <is>
          <t>UPDATEORGID</t>
        </is>
      </c>
      <c r="D17" s="24" t="inlineStr">
        <is>
          <t>varchar(32)</t>
        </is>
      </c>
      <c r="E17" s="24" t="inlineStr">
        <is>
          <t>YES</t>
        </is>
      </c>
      <c r="F17" s="24" t="inlineStr">
        <is>
          <t>更新机构</t>
        </is>
      </c>
      <c r="G17" s="24" t="n"/>
      <c r="H17" s="24" t="n"/>
      <c r="I17" s="24" t="inlineStr"/>
      <c r="J17" s="24" t="inlineStr">
        <is>
          <t>2023/01/12</t>
        </is>
      </c>
    </row>
    <row r="18">
      <c r="B18" s="24" t="inlineStr">
        <is>
          <t>clr_verification_record</t>
        </is>
      </c>
      <c r="C18" s="24" t="inlineStr">
        <is>
          <t>UPDATEDATE</t>
        </is>
      </c>
      <c r="D18" s="24" t="inlineStr">
        <is>
          <t>datetime</t>
        </is>
      </c>
      <c r="E18" s="24" t="inlineStr">
        <is>
          <t>YES</t>
        </is>
      </c>
      <c r="F18" s="24" t="inlineStr">
        <is>
          <t>更新日期</t>
        </is>
      </c>
      <c r="G18" s="24" t="n"/>
      <c r="H18" s="24" t="n"/>
      <c r="I18" s="24" t="inlineStr"/>
      <c r="J18" s="24" t="inlineStr">
        <is>
          <t>2023/01/12</t>
        </is>
      </c>
    </row>
    <row r="19">
      <c r="B19" s="24" t="inlineStr">
        <is>
          <t>clr_verification_record</t>
        </is>
      </c>
      <c r="C19" s="24" t="inlineStr">
        <is>
          <t>REMARK</t>
        </is>
      </c>
      <c r="D19" s="24" t="inlineStr">
        <is>
          <t>varchar(1000)</t>
        </is>
      </c>
      <c r="E19" s="24" t="inlineStr">
        <is>
          <t>YES</t>
        </is>
      </c>
      <c r="F19" s="24" t="inlineStr">
        <is>
          <t>备注</t>
        </is>
      </c>
      <c r="G19" s="24" t="n"/>
      <c r="H19" s="24" t="n"/>
      <c r="I19" s="24" t="inlineStr"/>
      <c r="J19" s="24" t="inlineStr">
        <is>
          <t>2023/01/12</t>
        </is>
      </c>
    </row>
    <row r="20">
      <c r="B20" s="24" t="inlineStr">
        <is>
          <t>clr_verification_record</t>
        </is>
      </c>
      <c r="C20" s="24" t="inlineStr">
        <is>
          <t>CORPORGID</t>
        </is>
      </c>
      <c r="D20" s="24" t="inlineStr">
        <is>
          <t>varchar(32)</t>
        </is>
      </c>
      <c r="E20" s="24" t="inlineStr">
        <is>
          <t>YES</t>
        </is>
      </c>
      <c r="F20" s="24" t="inlineStr">
        <is>
          <t>法人机构编号</t>
        </is>
      </c>
      <c r="G20" s="24" t="n"/>
      <c r="H20" s="24" t="n"/>
      <c r="I20" s="24" t="inlineStr"/>
      <c r="J20" s="24" t="inlineStr">
        <is>
          <t>2023/01/12</t>
        </is>
      </c>
    </row>
  </sheetData>
  <pageMargins left="0.75" right="0.75" top="1" bottom="1" header="0.5" footer="0.5"/>
  <pageSetup orientation="portrait" paperSize="1" horizontalDpi="300" verticalDpi="300"/>
</worksheet>
</file>

<file path=xl/worksheets/sheet110.xml><?xml version="1.0" encoding="utf-8"?>
<worksheet xmlns="http://schemas.openxmlformats.org/spreadsheetml/2006/main">
  <sheetPr>
    <outlinePr summaryBelow="1" summaryRight="1"/>
    <pageSetUpPr/>
  </sheetPr>
  <dimension ref="A1:J18"/>
  <sheetViews>
    <sheetView zoomScaleSheetLayoutView="60" workbookViewId="0">
      <selection activeCell="D17" sqref="D17"/>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代码管理</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code_catalog</t>
        </is>
      </c>
      <c r="C3" s="24" t="inlineStr">
        <is>
          <t>CODENO</t>
        </is>
      </c>
      <c r="D3" s="24" t="inlineStr">
        <is>
          <t>varchar(32)</t>
        </is>
      </c>
      <c r="E3" s="24" t="inlineStr">
        <is>
          <t>NO</t>
        </is>
      </c>
      <c r="F3" s="24" t="inlineStr">
        <is>
          <t>代码编号</t>
        </is>
      </c>
      <c r="G3" s="24" t="n"/>
      <c r="H3" s="24" t="n"/>
      <c r="I3" s="24" t="inlineStr"/>
      <c r="J3" s="24" t="inlineStr">
        <is>
          <t>2023/01/12</t>
        </is>
      </c>
    </row>
    <row r="4">
      <c r="B4" s="24" t="inlineStr">
        <is>
          <t>code_catalog</t>
        </is>
      </c>
      <c r="C4" s="24" t="inlineStr">
        <is>
          <t>SORTNO</t>
        </is>
      </c>
      <c r="D4" s="24" t="inlineStr">
        <is>
          <t>varchar(32)</t>
        </is>
      </c>
      <c r="E4" s="24" t="inlineStr">
        <is>
          <t>YES</t>
        </is>
      </c>
      <c r="F4" s="24" t="inlineStr">
        <is>
          <t>排序号</t>
        </is>
      </c>
      <c r="G4" s="24" t="n"/>
      <c r="H4" s="24" t="n"/>
      <c r="I4" s="24" t="inlineStr"/>
      <c r="J4" s="24" t="inlineStr">
        <is>
          <t>2023/01/12</t>
        </is>
      </c>
    </row>
    <row r="5">
      <c r="B5" s="24" t="inlineStr">
        <is>
          <t>code_catalog</t>
        </is>
      </c>
      <c r="C5" s="24" t="inlineStr">
        <is>
          <t>CODETYPEONE</t>
        </is>
      </c>
      <c r="D5" s="24" t="inlineStr">
        <is>
          <t>varchar(80)</t>
        </is>
      </c>
      <c r="E5" s="24" t="inlineStr">
        <is>
          <t>YES</t>
        </is>
      </c>
      <c r="F5" s="24" t="inlineStr">
        <is>
          <t>大类</t>
        </is>
      </c>
      <c r="G5" s="24" t="n"/>
      <c r="H5" s="24" t="n"/>
      <c r="I5" s="24" t="inlineStr"/>
      <c r="J5" s="24" t="inlineStr">
        <is>
          <t>2023/01/12</t>
        </is>
      </c>
    </row>
    <row r="6">
      <c r="B6" s="24" t="inlineStr">
        <is>
          <t>code_catalog</t>
        </is>
      </c>
      <c r="C6" s="24" t="inlineStr">
        <is>
          <t>CODETYPETWO</t>
        </is>
      </c>
      <c r="D6" s="24" t="inlineStr">
        <is>
          <t>varchar(80)</t>
        </is>
      </c>
      <c r="E6" s="24" t="inlineStr">
        <is>
          <t>YES</t>
        </is>
      </c>
      <c r="F6" s="24" t="inlineStr">
        <is>
          <t>小类</t>
        </is>
      </c>
      <c r="G6" s="24" t="n"/>
      <c r="H6" s="24" t="n"/>
      <c r="I6" s="24" t="inlineStr"/>
      <c r="J6" s="24" t="inlineStr">
        <is>
          <t>2023/01/12</t>
        </is>
      </c>
    </row>
    <row r="7">
      <c r="B7" s="24" t="inlineStr">
        <is>
          <t>code_catalog</t>
        </is>
      </c>
      <c r="C7" s="24" t="inlineStr">
        <is>
          <t>CODENAME</t>
        </is>
      </c>
      <c r="D7" s="24" t="inlineStr">
        <is>
          <t>varchar(80)</t>
        </is>
      </c>
      <c r="E7" s="24" t="inlineStr">
        <is>
          <t>YES</t>
        </is>
      </c>
      <c r="F7" s="24" t="inlineStr">
        <is>
          <t>代码名称</t>
        </is>
      </c>
      <c r="G7" s="24" t="n"/>
      <c r="H7" s="24" t="n"/>
      <c r="I7" s="24" t="inlineStr"/>
      <c r="J7" s="24" t="inlineStr">
        <is>
          <t>2023/01/12</t>
        </is>
      </c>
    </row>
    <row r="8">
      <c r="B8" s="24" t="inlineStr">
        <is>
          <t>code_catalog</t>
        </is>
      </c>
      <c r="C8" s="24" t="inlineStr">
        <is>
          <t>CODEDESCRIBE</t>
        </is>
      </c>
      <c r="D8" s="24" t="inlineStr">
        <is>
          <t>varchar(500)</t>
        </is>
      </c>
      <c r="E8" s="24" t="inlineStr">
        <is>
          <t>YES</t>
        </is>
      </c>
      <c r="F8" s="24" t="inlineStr">
        <is>
          <t>代码描述</t>
        </is>
      </c>
      <c r="G8" s="24" t="n"/>
      <c r="H8" s="24" t="n"/>
      <c r="I8" s="24" t="inlineStr"/>
      <c r="J8" s="24" t="inlineStr">
        <is>
          <t>2023/01/12</t>
        </is>
      </c>
    </row>
    <row r="9">
      <c r="B9" s="24" t="inlineStr">
        <is>
          <t>code_catalog</t>
        </is>
      </c>
      <c r="C9" s="24" t="inlineStr">
        <is>
          <t>CODEATTRIBUTE</t>
        </is>
      </c>
      <c r="D9" s="24" t="inlineStr">
        <is>
          <t>varchar(500)</t>
        </is>
      </c>
      <c r="E9" s="24" t="inlineStr">
        <is>
          <t>YES</t>
        </is>
      </c>
      <c r="F9" s="24" t="inlineStr">
        <is>
          <t>代码属性</t>
        </is>
      </c>
      <c r="G9" s="24" t="n"/>
      <c r="H9" s="24" t="n"/>
      <c r="I9" s="24" t="inlineStr"/>
      <c r="J9" s="24" t="inlineStr">
        <is>
          <t>2023/01/12</t>
        </is>
      </c>
    </row>
    <row r="10">
      <c r="B10" s="24" t="inlineStr">
        <is>
          <t>code_catalog</t>
        </is>
      </c>
      <c r="C10" s="24" t="inlineStr">
        <is>
          <t>REMARK</t>
        </is>
      </c>
      <c r="D10" s="24" t="inlineStr">
        <is>
          <t>varchar(500)</t>
        </is>
      </c>
      <c r="E10" s="24" t="inlineStr">
        <is>
          <t>YES</t>
        </is>
      </c>
      <c r="F10" s="24" t="inlineStr">
        <is>
          <t>备注</t>
        </is>
      </c>
      <c r="G10" s="24" t="n"/>
      <c r="H10" s="24" t="n"/>
      <c r="I10" s="24" t="inlineStr"/>
      <c r="J10" s="24" t="inlineStr">
        <is>
          <t>2023/01/12</t>
        </is>
      </c>
    </row>
    <row r="11">
      <c r="B11" s="24" t="inlineStr">
        <is>
          <t>code_catalog</t>
        </is>
      </c>
      <c r="C11" s="24" t="inlineStr">
        <is>
          <t>INPUTUSER</t>
        </is>
      </c>
      <c r="D11" s="24" t="inlineStr">
        <is>
          <t>varchar(32)</t>
        </is>
      </c>
      <c r="E11" s="24" t="inlineStr">
        <is>
          <t>YES</t>
        </is>
      </c>
      <c r="F11" s="24" t="inlineStr">
        <is>
          <t>登记人</t>
        </is>
      </c>
      <c r="G11" s="24" t="n"/>
      <c r="H11" s="24" t="n"/>
      <c r="I11" s="24" t="inlineStr"/>
      <c r="J11" s="24" t="inlineStr">
        <is>
          <t>2023/01/12</t>
        </is>
      </c>
    </row>
    <row r="12">
      <c r="B12" s="24" t="inlineStr">
        <is>
          <t>code_catalog</t>
        </is>
      </c>
      <c r="C12" s="24" t="inlineStr">
        <is>
          <t>INPUTORG</t>
        </is>
      </c>
      <c r="D12" s="24" t="inlineStr">
        <is>
          <t>varchar(32)</t>
        </is>
      </c>
      <c r="E12" s="24" t="inlineStr">
        <is>
          <t>YES</t>
        </is>
      </c>
      <c r="F12" s="24" t="inlineStr">
        <is>
          <t>登记机构</t>
        </is>
      </c>
      <c r="G12" s="24" t="n"/>
      <c r="H12" s="24" t="n"/>
      <c r="I12" s="24" t="inlineStr"/>
      <c r="J12" s="24" t="inlineStr">
        <is>
          <t>2023/01/12</t>
        </is>
      </c>
    </row>
    <row r="13">
      <c r="B13" s="24" t="inlineStr">
        <is>
          <t>code_catalog</t>
        </is>
      </c>
      <c r="C13" s="24" t="inlineStr">
        <is>
          <t>INPUTDATE</t>
        </is>
      </c>
      <c r="D13" s="24" t="inlineStr">
        <is>
          <t>datetime</t>
        </is>
      </c>
      <c r="E13" s="24" t="inlineStr">
        <is>
          <t>YES</t>
        </is>
      </c>
      <c r="F13" s="24" t="inlineStr">
        <is>
          <t>登记日期</t>
        </is>
      </c>
      <c r="G13" s="24" t="n"/>
      <c r="H13" s="24" t="n"/>
      <c r="I13" s="24" t="inlineStr"/>
      <c r="J13" s="24" t="inlineStr">
        <is>
          <t>2023/01/12</t>
        </is>
      </c>
    </row>
    <row r="14">
      <c r="B14" s="24" t="inlineStr">
        <is>
          <t>code_catalog</t>
        </is>
      </c>
      <c r="C14" s="24" t="inlineStr">
        <is>
          <t>UPDATEUSER</t>
        </is>
      </c>
      <c r="D14" s="24" t="inlineStr">
        <is>
          <t>varchar(32)</t>
        </is>
      </c>
      <c r="E14" s="24" t="inlineStr">
        <is>
          <t>YES</t>
        </is>
      </c>
      <c r="F14" s="24" t="inlineStr">
        <is>
          <t>更新人</t>
        </is>
      </c>
      <c r="G14" s="24" t="n"/>
      <c r="H14" s="24" t="n"/>
      <c r="I14" s="24" t="inlineStr"/>
      <c r="J14" s="24" t="inlineStr">
        <is>
          <t>2023/01/12</t>
        </is>
      </c>
    </row>
    <row r="15">
      <c r="B15" s="24" t="inlineStr">
        <is>
          <t>code_catalog</t>
        </is>
      </c>
      <c r="C15" s="24" t="inlineStr">
        <is>
          <t>UPDATEORG</t>
        </is>
      </c>
      <c r="D15" s="24" t="inlineStr">
        <is>
          <t>varchar(32)</t>
        </is>
      </c>
      <c r="E15" s="24" t="inlineStr">
        <is>
          <t>YES</t>
        </is>
      </c>
      <c r="F15" s="24" t="inlineStr">
        <is>
          <t>更新机构</t>
        </is>
      </c>
      <c r="G15" s="24" t="n"/>
      <c r="H15" s="24" t="n"/>
      <c r="I15" s="24" t="inlineStr"/>
      <c r="J15" s="24" t="inlineStr">
        <is>
          <t>2023/01/12</t>
        </is>
      </c>
    </row>
    <row r="16">
      <c r="B16" s="24" t="inlineStr">
        <is>
          <t>code_catalog</t>
        </is>
      </c>
      <c r="C16" s="24" t="inlineStr">
        <is>
          <t>UPDATEDATE</t>
        </is>
      </c>
      <c r="D16" s="24" t="inlineStr">
        <is>
          <t>datetime</t>
        </is>
      </c>
      <c r="E16" s="24" t="inlineStr">
        <is>
          <t>YES</t>
        </is>
      </c>
      <c r="F16" s="24" t="inlineStr">
        <is>
          <t>更新日期</t>
        </is>
      </c>
      <c r="G16" s="24" t="n"/>
      <c r="H16" s="24" t="n"/>
      <c r="I16" s="24" t="inlineStr"/>
      <c r="J16" s="24" t="inlineStr">
        <is>
          <t>2023/01/12</t>
        </is>
      </c>
    </row>
    <row r="17">
      <c r="B17" s="24" t="inlineStr">
        <is>
          <t>code_catalog</t>
        </is>
      </c>
      <c r="C17" s="24" t="inlineStr">
        <is>
          <t>INPUTTIME</t>
        </is>
      </c>
      <c r="D17" s="24" t="inlineStr">
        <is>
          <t>datetime</t>
        </is>
      </c>
      <c r="E17" s="24" t="inlineStr">
        <is>
          <t>YES</t>
        </is>
      </c>
      <c r="F17" s="24" t="inlineStr">
        <is>
          <t>登记时间</t>
        </is>
      </c>
      <c r="G17" s="24" t="n"/>
      <c r="H17" s="24" t="n"/>
      <c r="I17" s="24" t="inlineStr"/>
      <c r="J17" s="24" t="inlineStr">
        <is>
          <t>2023/01/12</t>
        </is>
      </c>
    </row>
    <row r="18">
      <c r="B18" s="24" t="inlineStr">
        <is>
          <t>code_catalog</t>
        </is>
      </c>
      <c r="C18" s="24" t="inlineStr">
        <is>
          <t>UPDATETIME</t>
        </is>
      </c>
      <c r="D18" s="24" t="inlineStr">
        <is>
          <t>datetime</t>
        </is>
      </c>
      <c r="E18" s="24" t="inlineStr">
        <is>
          <t>YES</t>
        </is>
      </c>
      <c r="F18" s="24" t="inlineStr">
        <is>
          <t>更新时间</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111.xml><?xml version="1.0" encoding="utf-8"?>
<worksheet xmlns="http://schemas.openxmlformats.org/spreadsheetml/2006/main">
  <sheetPr>
    <outlinePr summaryBelow="1" summaryRight="1"/>
    <pageSetUpPr/>
  </sheetPr>
  <dimension ref="A1:J30"/>
  <sheetViews>
    <sheetView zoomScaleSheetLayoutView="60" workbookViewId="0">
      <selection activeCell="D26" sqref="D26"/>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代码库</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code_library</t>
        </is>
      </c>
      <c r="C3" s="24" t="inlineStr">
        <is>
          <t>CODENO</t>
        </is>
      </c>
      <c r="D3" s="24" t="inlineStr">
        <is>
          <t>varchar(32)</t>
        </is>
      </c>
      <c r="E3" s="24" t="inlineStr">
        <is>
          <t>NO</t>
        </is>
      </c>
      <c r="F3" s="24" t="inlineStr">
        <is>
          <t>代码编号</t>
        </is>
      </c>
      <c r="G3" s="24" t="n"/>
      <c r="H3" s="24" t="n"/>
      <c r="I3" s="24" t="inlineStr"/>
      <c r="J3" s="24" t="inlineStr">
        <is>
          <t>2023/01/12</t>
        </is>
      </c>
    </row>
    <row r="4">
      <c r="B4" s="24" t="inlineStr">
        <is>
          <t>code_library</t>
        </is>
      </c>
      <c r="C4" s="24" t="inlineStr">
        <is>
          <t>ITEMNO</t>
        </is>
      </c>
      <c r="D4" s="24" t="inlineStr">
        <is>
          <t>varchar(32)</t>
        </is>
      </c>
      <c r="E4" s="24" t="inlineStr">
        <is>
          <t>NO</t>
        </is>
      </c>
      <c r="F4" s="24" t="inlineStr">
        <is>
          <t>代码项编号</t>
        </is>
      </c>
      <c r="G4" s="52">
        <f>HYPERLINK("#码值映射清单!B8655","AuthorType")</f>
        <v/>
      </c>
      <c r="H4" s="24" t="n"/>
      <c r="I4" s="24" t="inlineStr"/>
      <c r="J4" s="24" t="inlineStr">
        <is>
          <t>2023/01/12</t>
        </is>
      </c>
    </row>
    <row r="5">
      <c r="B5" s="24" t="inlineStr">
        <is>
          <t>code_library</t>
        </is>
      </c>
      <c r="C5" s="24" t="inlineStr">
        <is>
          <t>ITEMNAME</t>
        </is>
      </c>
      <c r="D5" s="24" t="inlineStr">
        <is>
          <t>varchar(500)</t>
        </is>
      </c>
      <c r="E5" s="24" t="inlineStr">
        <is>
          <t>YES</t>
        </is>
      </c>
      <c r="F5" s="24" t="inlineStr">
        <is>
          <t>代码项名称</t>
        </is>
      </c>
      <c r="G5" s="24" t="n"/>
      <c r="H5" s="24" t="n"/>
      <c r="I5" s="24" t="inlineStr"/>
      <c r="J5" s="24" t="inlineStr">
        <is>
          <t>2023/01/12</t>
        </is>
      </c>
    </row>
    <row r="6">
      <c r="B6" s="24" t="inlineStr">
        <is>
          <t>code_library</t>
        </is>
      </c>
      <c r="C6" s="24" t="inlineStr">
        <is>
          <t>BANKNO</t>
        </is>
      </c>
      <c r="D6" s="24" t="inlineStr">
        <is>
          <t>varchar(32)</t>
        </is>
      </c>
      <c r="E6" s="24" t="inlineStr">
        <is>
          <t>YES</t>
        </is>
      </c>
      <c r="F6" s="24" t="inlineStr">
        <is>
          <t>征信代码</t>
        </is>
      </c>
      <c r="G6" s="24" t="n"/>
      <c r="H6" s="24" t="n"/>
      <c r="I6" s="24" t="inlineStr"/>
      <c r="J6" s="24" t="inlineStr">
        <is>
          <t>2023/01/12</t>
        </is>
      </c>
    </row>
    <row r="7">
      <c r="B7" s="24" t="inlineStr">
        <is>
          <t>code_library</t>
        </is>
      </c>
      <c r="C7" s="24" t="inlineStr">
        <is>
          <t>SORTNO</t>
        </is>
      </c>
      <c r="D7" s="24" t="inlineStr">
        <is>
          <t>varchar(32)</t>
        </is>
      </c>
      <c r="E7" s="24" t="inlineStr">
        <is>
          <t>YES</t>
        </is>
      </c>
      <c r="F7" s="24" t="inlineStr">
        <is>
          <t>排序号</t>
        </is>
      </c>
      <c r="G7" s="24" t="n"/>
      <c r="H7" s="24" t="n"/>
      <c r="I7" s="24" t="inlineStr"/>
      <c r="J7" s="24" t="inlineStr">
        <is>
          <t>2023/01/12</t>
        </is>
      </c>
    </row>
    <row r="8">
      <c r="B8" s="24" t="inlineStr">
        <is>
          <t>code_library</t>
        </is>
      </c>
      <c r="C8" s="24" t="inlineStr">
        <is>
          <t>ISINUSE</t>
        </is>
      </c>
      <c r="D8" s="24" t="inlineStr">
        <is>
          <t>varchar(32)</t>
        </is>
      </c>
      <c r="E8" s="24" t="inlineStr">
        <is>
          <t>YES</t>
        </is>
      </c>
      <c r="F8" s="24" t="inlineStr">
        <is>
          <t>是否使用</t>
        </is>
      </c>
      <c r="G8" s="52">
        <f>HYPERLINK("#码值映射清单!B1110","IsInUse")</f>
        <v/>
      </c>
      <c r="H8" s="24" t="n"/>
      <c r="I8" s="24" t="inlineStr"/>
      <c r="J8" s="24" t="inlineStr">
        <is>
          <t>2023/01/12</t>
        </is>
      </c>
    </row>
    <row r="9">
      <c r="B9" s="24" t="inlineStr">
        <is>
          <t>code_library</t>
        </is>
      </c>
      <c r="C9" s="24" t="inlineStr">
        <is>
          <t>ITEMDESCRIBE</t>
        </is>
      </c>
      <c r="D9" s="24" t="inlineStr">
        <is>
          <t>varchar(1000)</t>
        </is>
      </c>
      <c r="E9" s="24" t="inlineStr">
        <is>
          <t>YES</t>
        </is>
      </c>
      <c r="F9" s="24" t="inlineStr">
        <is>
          <t>代码项描述</t>
        </is>
      </c>
      <c r="G9" s="52">
        <f>HYPERLINK("#码值映射清单!B5150","YesNo")</f>
        <v/>
      </c>
      <c r="H9" s="24" t="n"/>
      <c r="I9" s="24" t="inlineStr"/>
      <c r="J9" s="24" t="inlineStr">
        <is>
          <t>2023/01/12</t>
        </is>
      </c>
    </row>
    <row r="10">
      <c r="B10" s="24" t="inlineStr">
        <is>
          <t>code_library</t>
        </is>
      </c>
      <c r="C10" s="24" t="inlineStr">
        <is>
          <t>ITEMATTRIBUTE</t>
        </is>
      </c>
      <c r="D10" s="24" t="inlineStr">
        <is>
          <t>varchar(1000)</t>
        </is>
      </c>
      <c r="E10" s="24" t="inlineStr">
        <is>
          <t>YES</t>
        </is>
      </c>
      <c r="F10" s="24" t="inlineStr">
        <is>
          <t>代码项属性</t>
        </is>
      </c>
      <c r="G10" s="24" t="n"/>
      <c r="H10" s="24" t="n"/>
      <c r="I10" s="24" t="inlineStr"/>
      <c r="J10" s="24" t="inlineStr">
        <is>
          <t>2023/01/12</t>
        </is>
      </c>
    </row>
    <row r="11">
      <c r="B11" s="24" t="inlineStr">
        <is>
          <t>code_library</t>
        </is>
      </c>
      <c r="C11" s="24" t="inlineStr">
        <is>
          <t>RELATIVECODE</t>
        </is>
      </c>
      <c r="D11" s="24" t="inlineStr">
        <is>
          <t>varchar(4000)</t>
        </is>
      </c>
      <c r="E11" s="24" t="inlineStr">
        <is>
          <t>YES</t>
        </is>
      </c>
      <c r="F11" s="24" t="inlineStr">
        <is>
          <t>相关代码</t>
        </is>
      </c>
      <c r="G11" s="24" t="n"/>
      <c r="H11" s="24" t="n"/>
      <c r="I11" s="24" t="inlineStr"/>
      <c r="J11" s="24" t="inlineStr">
        <is>
          <t>2023/01/12</t>
        </is>
      </c>
    </row>
    <row r="12">
      <c r="B12" s="24" t="inlineStr">
        <is>
          <t>code_library</t>
        </is>
      </c>
      <c r="C12" s="24" t="inlineStr">
        <is>
          <t>ATTRIBUTE1</t>
        </is>
      </c>
      <c r="D12" s="24" t="inlineStr">
        <is>
          <t>varchar(1000)</t>
        </is>
      </c>
      <c r="E12" s="24" t="inlineStr">
        <is>
          <t>YES</t>
        </is>
      </c>
      <c r="F12" s="24" t="inlineStr">
        <is>
          <t>属性1</t>
        </is>
      </c>
      <c r="G12" s="52">
        <f>HYPERLINK("#码值映射清单!B5447","CLControlType")</f>
        <v/>
      </c>
      <c r="H12" s="24" t="n"/>
      <c r="I12" s="24" t="inlineStr"/>
      <c r="J12" s="24" t="inlineStr">
        <is>
          <t>2023/01/12</t>
        </is>
      </c>
    </row>
    <row r="13">
      <c r="B13" s="24" t="inlineStr">
        <is>
          <t>code_library</t>
        </is>
      </c>
      <c r="C13" s="24" t="inlineStr">
        <is>
          <t>ATTRIBUTE2</t>
        </is>
      </c>
      <c r="D13" s="24" t="inlineStr">
        <is>
          <t>varchar(500)</t>
        </is>
      </c>
      <c r="E13" s="24" t="inlineStr">
        <is>
          <t>YES</t>
        </is>
      </c>
      <c r="F13" s="24" t="inlineStr">
        <is>
          <t>属性2</t>
        </is>
      </c>
      <c r="G13" s="52">
        <f>HYPERLINK("#码值映射清单!B7672","CLCycFlag")</f>
        <v/>
      </c>
      <c r="H13" s="24" t="n"/>
      <c r="I13" s="24" t="inlineStr"/>
      <c r="J13" s="24" t="inlineStr">
        <is>
          <t>2023/01/12</t>
        </is>
      </c>
    </row>
    <row r="14">
      <c r="B14" s="24" t="inlineStr">
        <is>
          <t>code_library</t>
        </is>
      </c>
      <c r="C14" s="24" t="inlineStr">
        <is>
          <t>ATTRIBUTE3</t>
        </is>
      </c>
      <c r="D14" s="24" t="inlineStr">
        <is>
          <t>varchar(500)</t>
        </is>
      </c>
      <c r="E14" s="24" t="inlineStr">
        <is>
          <t>YES</t>
        </is>
      </c>
      <c r="F14" s="24" t="inlineStr">
        <is>
          <t>属性3</t>
        </is>
      </c>
      <c r="G14" s="52">
        <f>HYPERLINK("#码值映射清单!B7275","CLCalMethod")</f>
        <v/>
      </c>
      <c r="H14" s="24" t="n"/>
      <c r="I14" s="24" t="inlineStr"/>
      <c r="J14" s="24" t="inlineStr">
        <is>
          <t>2023/01/12</t>
        </is>
      </c>
    </row>
    <row r="15">
      <c r="B15" s="24" t="inlineStr">
        <is>
          <t>code_library</t>
        </is>
      </c>
      <c r="C15" s="24" t="inlineStr">
        <is>
          <t>ATTRIBUTE4</t>
        </is>
      </c>
      <c r="D15" s="24" t="inlineStr">
        <is>
          <t>varchar(500)</t>
        </is>
      </c>
      <c r="E15" s="24" t="inlineStr">
        <is>
          <t>YES</t>
        </is>
      </c>
      <c r="F15" s="24" t="inlineStr">
        <is>
          <t>属性4</t>
        </is>
      </c>
      <c r="G15" s="52">
        <f>HYPERLINK("#码值映射清单!B4181","CLUseRule")</f>
        <v/>
      </c>
      <c r="H15" s="24" t="n"/>
      <c r="I15" s="24" t="inlineStr"/>
      <c r="J15" s="24" t="inlineStr">
        <is>
          <t>2023/01/12</t>
        </is>
      </c>
    </row>
    <row r="16">
      <c r="B16" s="24" t="inlineStr">
        <is>
          <t>code_library</t>
        </is>
      </c>
      <c r="C16" s="24" t="inlineStr">
        <is>
          <t>ATTRIBUTE5</t>
        </is>
      </c>
      <c r="D16" s="24" t="inlineStr">
        <is>
          <t>varchar(500)</t>
        </is>
      </c>
      <c r="E16" s="24" t="inlineStr">
        <is>
          <t>YES</t>
        </is>
      </c>
      <c r="F16" s="24" t="inlineStr">
        <is>
          <t>属性5</t>
        </is>
      </c>
      <c r="G16" s="52">
        <f>HYPERLINK("#码值映射清单!B8988","CLDivideType")</f>
        <v/>
      </c>
      <c r="H16" s="24" t="n"/>
      <c r="I16" s="24" t="inlineStr"/>
      <c r="J16" s="24" t="inlineStr">
        <is>
          <t>2023/01/12</t>
        </is>
      </c>
    </row>
    <row r="17">
      <c r="B17" s="24" t="inlineStr">
        <is>
          <t>code_library</t>
        </is>
      </c>
      <c r="C17" s="24" t="inlineStr">
        <is>
          <t>ATTRIBUTE6</t>
        </is>
      </c>
      <c r="D17" s="24" t="inlineStr">
        <is>
          <t>varchar(500)</t>
        </is>
      </c>
      <c r="E17" s="24" t="inlineStr">
        <is>
          <t>YES</t>
        </is>
      </c>
      <c r="F17" s="24" t="inlineStr">
        <is>
          <t>属性6</t>
        </is>
      </c>
      <c r="G17" s="52">
        <f>HYPERLINK("#码值映射清单!B2669","LimitShareType")</f>
        <v/>
      </c>
      <c r="H17" s="24" t="n"/>
      <c r="I17" s="24" t="inlineStr"/>
      <c r="J17" s="24" t="inlineStr">
        <is>
          <t>2023/01/12</t>
        </is>
      </c>
    </row>
    <row r="18">
      <c r="B18" s="24" t="inlineStr">
        <is>
          <t>code_library</t>
        </is>
      </c>
      <c r="C18" s="24" t="inlineStr">
        <is>
          <t>ATTRIBUTE7</t>
        </is>
      </c>
      <c r="D18" s="24" t="inlineStr">
        <is>
          <t>varchar(500)</t>
        </is>
      </c>
      <c r="E18" s="24" t="inlineStr">
        <is>
          <t>YES</t>
        </is>
      </c>
      <c r="F18" s="24" t="inlineStr">
        <is>
          <t>属性7</t>
        </is>
      </c>
      <c r="G18" s="52">
        <f>HYPERLINK("#码值映射清单!B5150","YesNo")</f>
        <v/>
      </c>
      <c r="H18" s="24" t="n"/>
      <c r="I18" s="24" t="inlineStr"/>
      <c r="J18" s="24" t="inlineStr">
        <is>
          <t>2023/01/12</t>
        </is>
      </c>
    </row>
    <row r="19">
      <c r="B19" s="24" t="inlineStr">
        <is>
          <t>code_library</t>
        </is>
      </c>
      <c r="C19" s="24" t="inlineStr">
        <is>
          <t>ATTRIBUTE8</t>
        </is>
      </c>
      <c r="D19" s="24" t="inlineStr">
        <is>
          <t>varchar(500)</t>
        </is>
      </c>
      <c r="E19" s="24" t="inlineStr">
        <is>
          <t>YES</t>
        </is>
      </c>
      <c r="F19" s="24" t="inlineStr">
        <is>
          <t>属性8</t>
        </is>
      </c>
      <c r="G19" s="24" t="n"/>
      <c r="H19" s="24" t="n"/>
      <c r="I19" s="24" t="inlineStr"/>
      <c r="J19" s="24" t="inlineStr">
        <is>
          <t>2023/01/12</t>
        </is>
      </c>
    </row>
    <row r="20">
      <c r="B20" s="24" t="inlineStr">
        <is>
          <t>code_library</t>
        </is>
      </c>
      <c r="C20" s="24" t="inlineStr">
        <is>
          <t>REMARK</t>
        </is>
      </c>
      <c r="D20" s="24" t="inlineStr">
        <is>
          <t>varchar(500)</t>
        </is>
      </c>
      <c r="E20" s="24" t="inlineStr">
        <is>
          <t>YES</t>
        </is>
      </c>
      <c r="F20" s="24" t="inlineStr">
        <is>
          <t>备注</t>
        </is>
      </c>
      <c r="G20" s="24" t="n"/>
      <c r="H20" s="24" t="n"/>
      <c r="I20" s="24" t="inlineStr"/>
      <c r="J20" s="24" t="inlineStr">
        <is>
          <t>2023/01/12</t>
        </is>
      </c>
    </row>
    <row r="21">
      <c r="B21" s="24" t="inlineStr">
        <is>
          <t>code_library</t>
        </is>
      </c>
      <c r="C21" s="24" t="inlineStr">
        <is>
          <t>HELPTEXT</t>
        </is>
      </c>
      <c r="D21" s="24" t="inlineStr">
        <is>
          <t>varchar(500)</t>
        </is>
      </c>
      <c r="E21" s="24" t="inlineStr">
        <is>
          <t>YES</t>
        </is>
      </c>
      <c r="F21" s="24" t="inlineStr">
        <is>
          <t>帮助描述</t>
        </is>
      </c>
      <c r="G21" s="24" t="n"/>
      <c r="H21" s="24" t="n"/>
      <c r="I21" s="24" t="inlineStr"/>
      <c r="J21" s="24" t="inlineStr">
        <is>
          <t>2023/01/12</t>
        </is>
      </c>
    </row>
    <row r="22">
      <c r="B22" s="24" t="inlineStr">
        <is>
          <t>code_library</t>
        </is>
      </c>
      <c r="C22" s="24" t="inlineStr">
        <is>
          <t>ATTRIBUTE9</t>
        </is>
      </c>
      <c r="D22" s="24" t="inlineStr">
        <is>
          <t>varchar(500)</t>
        </is>
      </c>
      <c r="E22" s="24" t="inlineStr">
        <is>
          <t>YES</t>
        </is>
      </c>
      <c r="F22" s="24" t="inlineStr">
        <is>
          <t>属性9</t>
        </is>
      </c>
      <c r="G22" s="24" t="n"/>
      <c r="H22" s="24" t="n"/>
      <c r="I22" s="24" t="inlineStr"/>
      <c r="J22" s="24" t="inlineStr">
        <is>
          <t>2023/01/12</t>
        </is>
      </c>
    </row>
    <row r="23">
      <c r="B23" s="24" t="inlineStr">
        <is>
          <t>code_library</t>
        </is>
      </c>
      <c r="C23" s="24" t="inlineStr">
        <is>
          <t>INPUTDATE</t>
        </is>
      </c>
      <c r="D23" s="24" t="inlineStr">
        <is>
          <t>datetime</t>
        </is>
      </c>
      <c r="E23" s="24" t="inlineStr">
        <is>
          <t>YES</t>
        </is>
      </c>
      <c r="F23" s="24" t="inlineStr">
        <is>
          <t>登记日期</t>
        </is>
      </c>
      <c r="G23" s="24" t="n"/>
      <c r="H23" s="24" t="n"/>
      <c r="I23" s="24" t="inlineStr"/>
      <c r="J23" s="24" t="inlineStr">
        <is>
          <t>2023/01/12</t>
        </is>
      </c>
    </row>
    <row r="24">
      <c r="B24" s="24" t="inlineStr">
        <is>
          <t>code_library</t>
        </is>
      </c>
      <c r="C24" s="24" t="inlineStr">
        <is>
          <t>UPDATEDATE</t>
        </is>
      </c>
      <c r="D24" s="24" t="inlineStr">
        <is>
          <t>datetime</t>
        </is>
      </c>
      <c r="E24" s="24" t="inlineStr">
        <is>
          <t>YES</t>
        </is>
      </c>
      <c r="F24" s="24" t="inlineStr">
        <is>
          <t>更新日期</t>
        </is>
      </c>
      <c r="G24" s="24" t="n"/>
      <c r="H24" s="24" t="n"/>
      <c r="I24" s="24" t="inlineStr"/>
      <c r="J24" s="24" t="inlineStr">
        <is>
          <t>2023/01/12</t>
        </is>
      </c>
    </row>
    <row r="25">
      <c r="B25" s="24" t="inlineStr">
        <is>
          <t>code_library</t>
        </is>
      </c>
      <c r="C25" s="24" t="inlineStr">
        <is>
          <t>INPUTUSER</t>
        </is>
      </c>
      <c r="D25" s="24" t="inlineStr">
        <is>
          <t>varchar(32)</t>
        </is>
      </c>
      <c r="E25" s="24" t="inlineStr">
        <is>
          <t>YES</t>
        </is>
      </c>
      <c r="F25" s="24" t="inlineStr">
        <is>
          <t>登记人</t>
        </is>
      </c>
      <c r="G25" s="24" t="n"/>
      <c r="H25" s="24" t="n"/>
      <c r="I25" s="24" t="inlineStr"/>
      <c r="J25" s="24" t="inlineStr">
        <is>
          <t>2023/01/12</t>
        </is>
      </c>
    </row>
    <row r="26">
      <c r="B26" s="24" t="inlineStr">
        <is>
          <t>code_library</t>
        </is>
      </c>
      <c r="C26" s="24" t="inlineStr">
        <is>
          <t>INPUTORG</t>
        </is>
      </c>
      <c r="D26" s="24" t="inlineStr">
        <is>
          <t>varchar(32)</t>
        </is>
      </c>
      <c r="E26" s="24" t="inlineStr">
        <is>
          <t>YES</t>
        </is>
      </c>
      <c r="F26" s="24" t="inlineStr">
        <is>
          <t>登记机构</t>
        </is>
      </c>
      <c r="G26" s="24" t="n"/>
      <c r="H26" s="24" t="n"/>
      <c r="I26" s="24" t="inlineStr"/>
      <c r="J26" s="24" t="inlineStr">
        <is>
          <t>2023/01/12</t>
        </is>
      </c>
    </row>
    <row r="27">
      <c r="B27" s="24" t="inlineStr">
        <is>
          <t>code_library</t>
        </is>
      </c>
      <c r="C27" s="24" t="inlineStr">
        <is>
          <t>INPUTTIME</t>
        </is>
      </c>
      <c r="D27" s="24" t="inlineStr">
        <is>
          <t>datetime</t>
        </is>
      </c>
      <c r="E27" s="24" t="inlineStr">
        <is>
          <t>YES</t>
        </is>
      </c>
      <c r="F27" s="24" t="inlineStr">
        <is>
          <t>登记时间</t>
        </is>
      </c>
      <c r="G27" s="24" t="n"/>
      <c r="H27" s="24" t="n"/>
      <c r="I27" s="24" t="inlineStr"/>
      <c r="J27" s="24" t="inlineStr">
        <is>
          <t>2023/01/12</t>
        </is>
      </c>
    </row>
    <row r="28">
      <c r="B28" s="24" t="inlineStr">
        <is>
          <t>code_library</t>
        </is>
      </c>
      <c r="C28" s="24" t="inlineStr">
        <is>
          <t>UPDATEUSER</t>
        </is>
      </c>
      <c r="D28" s="24" t="inlineStr">
        <is>
          <t>varchar(32)</t>
        </is>
      </c>
      <c r="E28" s="24" t="inlineStr">
        <is>
          <t>YES</t>
        </is>
      </c>
      <c r="F28" s="24" t="inlineStr">
        <is>
          <t>更新人</t>
        </is>
      </c>
      <c r="G28" s="24" t="n"/>
      <c r="H28" s="24" t="n"/>
      <c r="I28" s="24" t="inlineStr"/>
      <c r="J28" s="24" t="inlineStr">
        <is>
          <t>2023/01/12</t>
        </is>
      </c>
    </row>
    <row r="29">
      <c r="B29" s="24" t="inlineStr">
        <is>
          <t>code_library</t>
        </is>
      </c>
      <c r="C29" s="24" t="inlineStr">
        <is>
          <t>UPDATEORG</t>
        </is>
      </c>
      <c r="D29" s="24" t="inlineStr">
        <is>
          <t>varchar(32)</t>
        </is>
      </c>
      <c r="E29" s="24" t="inlineStr">
        <is>
          <t>YES</t>
        </is>
      </c>
      <c r="F29" s="24" t="inlineStr">
        <is>
          <t>更新机构</t>
        </is>
      </c>
      <c r="G29" s="24" t="n"/>
      <c r="H29" s="24" t="n"/>
      <c r="I29" s="24" t="inlineStr"/>
      <c r="J29" s="24" t="inlineStr">
        <is>
          <t>2023/01/12</t>
        </is>
      </c>
    </row>
    <row r="30">
      <c r="B30" s="24" t="inlineStr">
        <is>
          <t>code_library</t>
        </is>
      </c>
      <c r="C30" s="24" t="inlineStr">
        <is>
          <t>UPDATETIME</t>
        </is>
      </c>
      <c r="D30" s="24" t="inlineStr">
        <is>
          <t>datetime</t>
        </is>
      </c>
      <c r="E30" s="24" t="inlineStr">
        <is>
          <t>YES</t>
        </is>
      </c>
      <c r="F30" s="24" t="inlineStr">
        <is>
          <t>更新时间</t>
        </is>
      </c>
      <c r="G30" s="24" t="n"/>
      <c r="H30" s="24" t="n"/>
      <c r="I30" s="24" t="inlineStr"/>
      <c r="J30" s="24" t="inlineStr">
        <is>
          <t>2023/01/12</t>
        </is>
      </c>
    </row>
  </sheetData>
  <pageMargins left="0.75" right="0.75" top="1" bottom="1" header="0.5" footer="0.5"/>
  <pageSetup orientation="portrait" paperSize="1" horizontalDpi="300" verticalDpi="300"/>
</worksheet>
</file>

<file path=xl/worksheets/sheet112.xml><?xml version="1.0" encoding="utf-8"?>
<worksheet xmlns="http://schemas.openxmlformats.org/spreadsheetml/2006/main">
  <sheetPr>
    <outlinePr summaryBelow="1" summaryRight="1"/>
    <pageSetUpPr/>
  </sheetPr>
  <dimension ref="A1:J15"/>
  <sheetViews>
    <sheetView zoomScaleSheetLayoutView="60" workbookViewId="0">
      <selection activeCell="B1" sqref="B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汇率表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conf_erate_info</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conf_erate_info</t>
        </is>
      </c>
      <c r="C4" s="24" t="inlineStr">
        <is>
          <t>EXCHANGEVALUE</t>
        </is>
      </c>
      <c r="D4" s="24" t="inlineStr">
        <is>
          <t>int</t>
        </is>
      </c>
      <c r="E4" s="24" t="inlineStr">
        <is>
          <t>YES</t>
        </is>
      </c>
      <c r="F4" s="24" t="inlineStr">
        <is>
          <t>交换值;</t>
        </is>
      </c>
      <c r="G4" s="24" t="n"/>
      <c r="H4" s="24" t="n"/>
      <c r="I4" s="24" t="inlineStr"/>
      <c r="J4" s="24" t="inlineStr">
        <is>
          <t>2023/01/12</t>
        </is>
      </c>
    </row>
    <row r="5">
      <c r="B5" s="24" t="inlineStr">
        <is>
          <t>conf_erate_info</t>
        </is>
      </c>
      <c r="C5" s="24" t="inlineStr">
        <is>
          <t>REMARK</t>
        </is>
      </c>
      <c r="D5" s="24" t="inlineStr">
        <is>
          <t>varchar(500)</t>
        </is>
      </c>
      <c r="E5" s="24" t="inlineStr">
        <is>
          <t>YES</t>
        </is>
      </c>
      <c r="F5" s="24" t="inlineStr">
        <is>
          <t>备注;</t>
        </is>
      </c>
      <c r="G5" s="24" t="n"/>
      <c r="H5" s="24" t="n"/>
      <c r="I5" s="24" t="inlineStr"/>
      <c r="J5" s="24" t="inlineStr">
        <is>
          <t>2023/01/12</t>
        </is>
      </c>
    </row>
    <row r="6">
      <c r="B6" s="24" t="inlineStr">
        <is>
          <t>conf_erate_info</t>
        </is>
      </c>
      <c r="C6" s="24" t="inlineStr">
        <is>
          <t>CURRENCY</t>
        </is>
      </c>
      <c r="D6" s="24" t="inlineStr">
        <is>
          <t>varchar(18)</t>
        </is>
      </c>
      <c r="E6" s="24" t="inlineStr">
        <is>
          <t>YES</t>
        </is>
      </c>
      <c r="F6" s="24" t="inlineStr">
        <is>
          <t>货币;</t>
        </is>
      </c>
      <c r="G6" s="24" t="n"/>
      <c r="H6" s="24" t="n"/>
      <c r="I6" s="24" t="inlineStr"/>
      <c r="J6" s="24" t="inlineStr">
        <is>
          <t>2023/01/12</t>
        </is>
      </c>
    </row>
    <row r="7">
      <c r="B7" s="24" t="inlineStr">
        <is>
          <t>conf_erate_info</t>
        </is>
      </c>
      <c r="C7" s="24" t="inlineStr">
        <is>
          <t>EFFICIENTDATE</t>
        </is>
      </c>
      <c r="D7" s="24" t="inlineStr">
        <is>
          <t>datetime</t>
        </is>
      </c>
      <c r="E7" s="24" t="inlineStr">
        <is>
          <t>YES</t>
        </is>
      </c>
      <c r="F7" s="24" t="inlineStr">
        <is>
          <t>生效日期</t>
        </is>
      </c>
      <c r="G7" s="24" t="n"/>
      <c r="H7" s="24" t="n"/>
      <c r="I7" s="24" t="inlineStr"/>
      <c r="J7" s="24" t="inlineStr">
        <is>
          <t>2023/01/12</t>
        </is>
      </c>
    </row>
    <row r="8">
      <c r="B8" s="24" t="inlineStr">
        <is>
          <t>conf_erate_info</t>
        </is>
      </c>
      <c r="C8" s="24" t="inlineStr">
        <is>
          <t>UNIT</t>
        </is>
      </c>
      <c r="D8" s="24" t="inlineStr">
        <is>
          <t>varchar(18)</t>
        </is>
      </c>
      <c r="E8" s="24" t="inlineStr">
        <is>
          <t>YES</t>
        </is>
      </c>
      <c r="F8" s="24" t="inlineStr">
        <is>
          <t>单位;</t>
        </is>
      </c>
      <c r="G8" s="24" t="n"/>
      <c r="H8" s="24" t="n"/>
      <c r="I8" s="24" t="inlineStr"/>
      <c r="J8" s="24" t="inlineStr">
        <is>
          <t>2023/01/12</t>
        </is>
      </c>
    </row>
    <row r="9">
      <c r="B9" s="24" t="inlineStr">
        <is>
          <t>conf_erate_info</t>
        </is>
      </c>
      <c r="C9" s="24" t="inlineStr">
        <is>
          <t>PRICE</t>
        </is>
      </c>
      <c r="D9" s="24" t="inlineStr">
        <is>
          <t>int</t>
        </is>
      </c>
      <c r="E9" s="24" t="inlineStr">
        <is>
          <t>YES</t>
        </is>
      </c>
      <c r="F9" s="24" t="inlineStr">
        <is>
          <t>价格;</t>
        </is>
      </c>
      <c r="G9" s="24" t="n"/>
      <c r="H9" s="24" t="n"/>
      <c r="I9" s="24" t="inlineStr"/>
      <c r="J9" s="24" t="inlineStr">
        <is>
          <t>2023/01/12</t>
        </is>
      </c>
    </row>
    <row r="10">
      <c r="B10" s="24" t="inlineStr">
        <is>
          <t>conf_erate_info</t>
        </is>
      </c>
      <c r="C10" s="24" t="inlineStr">
        <is>
          <t>INPUTUSERID</t>
        </is>
      </c>
      <c r="D10" s="24" t="inlineStr">
        <is>
          <t>varchar(32)</t>
        </is>
      </c>
      <c r="E10" s="24" t="inlineStr">
        <is>
          <t>YES</t>
        </is>
      </c>
      <c r="F10" s="24" t="inlineStr">
        <is>
          <t>登记人;</t>
        </is>
      </c>
      <c r="G10" s="24" t="n"/>
      <c r="H10" s="24" t="n"/>
      <c r="I10" s="24" t="inlineStr"/>
      <c r="J10" s="24" t="inlineStr">
        <is>
          <t>2023/01/12</t>
        </is>
      </c>
    </row>
    <row r="11">
      <c r="B11" s="24" t="inlineStr">
        <is>
          <t>conf_erate_info</t>
        </is>
      </c>
      <c r="C11" s="24" t="inlineStr">
        <is>
          <t>INPUTORGID</t>
        </is>
      </c>
      <c r="D11" s="24" t="inlineStr">
        <is>
          <t>varchar(32)</t>
        </is>
      </c>
      <c r="E11" s="24" t="inlineStr">
        <is>
          <t>YES</t>
        </is>
      </c>
      <c r="F11" s="24" t="inlineStr">
        <is>
          <t>登记机构;</t>
        </is>
      </c>
      <c r="G11" s="24" t="n"/>
      <c r="H11" s="24" t="n"/>
      <c r="I11" s="24" t="inlineStr"/>
      <c r="J11" s="24" t="inlineStr">
        <is>
          <t>2023/01/12</t>
        </is>
      </c>
    </row>
    <row r="12">
      <c r="B12" s="24" t="inlineStr">
        <is>
          <t>conf_erate_info</t>
        </is>
      </c>
      <c r="C12" s="24" t="inlineStr">
        <is>
          <t>INPUTDATE</t>
        </is>
      </c>
      <c r="D12" s="24" t="inlineStr">
        <is>
          <t>datetime</t>
        </is>
      </c>
      <c r="E12" s="24" t="inlineStr">
        <is>
          <t>YES</t>
        </is>
      </c>
      <c r="F12" s="24" t="inlineStr">
        <is>
          <t>登记日期</t>
        </is>
      </c>
      <c r="G12" s="24" t="n"/>
      <c r="H12" s="24" t="n"/>
      <c r="I12" s="24" t="inlineStr"/>
      <c r="J12" s="24" t="inlineStr">
        <is>
          <t>2023/01/12</t>
        </is>
      </c>
    </row>
    <row r="13">
      <c r="B13" s="24" t="inlineStr">
        <is>
          <t>conf_erate_info</t>
        </is>
      </c>
      <c r="C13" s="24" t="inlineStr">
        <is>
          <t>UPDATEUSERID</t>
        </is>
      </c>
      <c r="D13" s="24" t="inlineStr">
        <is>
          <t>varchar(32)</t>
        </is>
      </c>
      <c r="E13" s="24" t="inlineStr">
        <is>
          <t>YES</t>
        </is>
      </c>
      <c r="F13" s="24" t="inlineStr">
        <is>
          <t>更新人;</t>
        </is>
      </c>
      <c r="G13" s="24" t="n"/>
      <c r="H13" s="24" t="n"/>
      <c r="I13" s="24" t="inlineStr"/>
      <c r="J13" s="24" t="inlineStr">
        <is>
          <t>2023/01/12</t>
        </is>
      </c>
    </row>
    <row r="14">
      <c r="B14" s="24" t="inlineStr">
        <is>
          <t>conf_erate_info</t>
        </is>
      </c>
      <c r="C14" s="24" t="inlineStr">
        <is>
          <t>UPDATEORGID</t>
        </is>
      </c>
      <c r="D14" s="24" t="inlineStr">
        <is>
          <t>varchar(32)</t>
        </is>
      </c>
      <c r="E14" s="24" t="inlineStr">
        <is>
          <t>YES</t>
        </is>
      </c>
      <c r="F14" s="24" t="inlineStr">
        <is>
          <t>更新机构;</t>
        </is>
      </c>
      <c r="G14" s="24" t="n"/>
      <c r="H14" s="24" t="n"/>
      <c r="I14" s="24" t="inlineStr"/>
      <c r="J14" s="24" t="inlineStr">
        <is>
          <t>2023/01/12</t>
        </is>
      </c>
    </row>
    <row r="15">
      <c r="B15" s="24" t="inlineStr">
        <is>
          <t>conf_erate_info</t>
        </is>
      </c>
      <c r="C15" s="24" t="inlineStr">
        <is>
          <t>UPDATEDATE</t>
        </is>
      </c>
      <c r="D15" s="24" t="inlineStr">
        <is>
          <t>datetime</t>
        </is>
      </c>
      <c r="E15" s="24" t="inlineStr">
        <is>
          <t>YES</t>
        </is>
      </c>
      <c r="F15" s="24" t="inlineStr">
        <is>
          <t>更新日期</t>
        </is>
      </c>
      <c r="G15" s="24" t="n"/>
      <c r="H15" s="24" t="n"/>
      <c r="I15" s="24" t="inlineStr"/>
      <c r="J15" s="24" t="inlineStr">
        <is>
          <t>2023/01/12</t>
        </is>
      </c>
    </row>
  </sheetData>
  <pageMargins left="0.75" right="0.75" top="1" bottom="1" header="0.5" footer="0.5"/>
  <pageSetup orientation="portrait" paperSize="1" horizontalDpi="300" verticalDpi="300"/>
</worksheet>
</file>

<file path=xl/worksheets/sheet113.xml><?xml version="1.0" encoding="utf-8"?>
<worksheet xmlns="http://schemas.openxmlformats.org/spreadsheetml/2006/main">
  <sheetPr>
    <outlinePr summaryBelow="1" summaryRight="1"/>
    <pageSetUpPr/>
  </sheetPr>
  <dimension ref="A1:J17"/>
  <sheetViews>
    <sheetView zoomScaleSheetLayoutView="60" workbookViewId="0">
      <selection activeCell="D32" sqref="D3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工作台快捷菜单配置</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conf_quick_menu_url</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conf_quick_menu_url</t>
        </is>
      </c>
      <c r="C4" s="24" t="inlineStr">
        <is>
          <t>QUICKMENUNAME</t>
        </is>
      </c>
      <c r="D4" s="24" t="inlineStr">
        <is>
          <t>varchar(80)</t>
        </is>
      </c>
      <c r="E4" s="24" t="inlineStr">
        <is>
          <t>YES</t>
        </is>
      </c>
      <c r="F4" s="24" t="inlineStr">
        <is>
          <t>菜单名称</t>
        </is>
      </c>
      <c r="G4" s="24" t="n"/>
      <c r="H4" s="24" t="n"/>
      <c r="I4" s="24" t="inlineStr"/>
      <c r="J4" s="24" t="inlineStr">
        <is>
          <t>2023/01/12</t>
        </is>
      </c>
    </row>
    <row r="5">
      <c r="B5" s="24" t="inlineStr">
        <is>
          <t>conf_quick_menu_url</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conf_quick_menu_url</t>
        </is>
      </c>
      <c r="C6" s="24" t="inlineStr">
        <is>
          <t>URL</t>
        </is>
      </c>
      <c r="D6" s="24" t="inlineStr">
        <is>
          <t>varchar(500)</t>
        </is>
      </c>
      <c r="E6" s="24" t="inlineStr">
        <is>
          <t>YES</t>
        </is>
      </c>
      <c r="F6" s="24" t="inlineStr">
        <is>
          <t>路径</t>
        </is>
      </c>
      <c r="G6" s="24" t="n"/>
      <c r="H6" s="24" t="n"/>
      <c r="I6" s="24" t="inlineStr"/>
      <c r="J6" s="24" t="inlineStr">
        <is>
          <t>2023/01/12</t>
        </is>
      </c>
    </row>
    <row r="7">
      <c r="B7" s="24" t="inlineStr">
        <is>
          <t>conf_quick_menu_url</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conf_quick_menu_url</t>
        </is>
      </c>
      <c r="C8" s="24" t="inlineStr">
        <is>
          <t>INPUTUSERID</t>
        </is>
      </c>
      <c r="D8" s="24" t="inlineStr">
        <is>
          <t>varchar(32)</t>
        </is>
      </c>
      <c r="E8" s="24" t="inlineStr">
        <is>
          <t>YES</t>
        </is>
      </c>
      <c r="F8" s="24" t="inlineStr">
        <is>
          <t>登记人</t>
        </is>
      </c>
      <c r="G8" s="24" t="n"/>
      <c r="H8" s="24" t="n"/>
      <c r="I8" s="24" t="inlineStr"/>
      <c r="J8" s="24" t="inlineStr">
        <is>
          <t>2023/01/12</t>
        </is>
      </c>
    </row>
    <row r="9">
      <c r="B9" s="24" t="inlineStr">
        <is>
          <t>conf_quick_menu_url</t>
        </is>
      </c>
      <c r="C9" s="24" t="inlineStr">
        <is>
          <t>INPUTDATE</t>
        </is>
      </c>
      <c r="D9" s="24" t="inlineStr">
        <is>
          <t>datetime</t>
        </is>
      </c>
      <c r="E9" s="24" t="inlineStr">
        <is>
          <t>YES</t>
        </is>
      </c>
      <c r="F9" s="24" t="inlineStr">
        <is>
          <t>登记日期</t>
        </is>
      </c>
      <c r="G9" s="24" t="n"/>
      <c r="H9" s="24" t="n"/>
      <c r="I9" s="24" t="inlineStr"/>
      <c r="J9" s="24" t="inlineStr">
        <is>
          <t>2023/01/12</t>
        </is>
      </c>
    </row>
    <row r="10">
      <c r="B10" s="24" t="inlineStr">
        <is>
          <t>conf_quick_menu_url</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conf_quick_menu_url</t>
        </is>
      </c>
      <c r="C11" s="24" t="inlineStr">
        <is>
          <t>UPDATEUSERID</t>
        </is>
      </c>
      <c r="D11" s="24" t="inlineStr">
        <is>
          <t>varchar(32)</t>
        </is>
      </c>
      <c r="E11" s="24" t="inlineStr">
        <is>
          <t>YES</t>
        </is>
      </c>
      <c r="F11" s="24" t="inlineStr">
        <is>
          <t>更新人</t>
        </is>
      </c>
      <c r="G11" s="24" t="n"/>
      <c r="H11" s="24" t="n"/>
      <c r="I11" s="24" t="inlineStr"/>
      <c r="J11" s="24" t="inlineStr">
        <is>
          <t>2023/01/12</t>
        </is>
      </c>
    </row>
    <row r="12">
      <c r="B12" s="24" t="inlineStr">
        <is>
          <t>conf_quick_menu_url</t>
        </is>
      </c>
      <c r="C12" s="24" t="inlineStr">
        <is>
          <t>UPDATEDATE</t>
        </is>
      </c>
      <c r="D12" s="24" t="inlineStr">
        <is>
          <t>datetime</t>
        </is>
      </c>
      <c r="E12" s="24" t="inlineStr">
        <is>
          <t>YES</t>
        </is>
      </c>
      <c r="F12" s="24" t="inlineStr">
        <is>
          <t>更新日期</t>
        </is>
      </c>
      <c r="G12" s="24" t="n"/>
      <c r="H12" s="24" t="n"/>
      <c r="I12" s="24" t="inlineStr"/>
      <c r="J12" s="24" t="inlineStr">
        <is>
          <t>2023/01/12</t>
        </is>
      </c>
    </row>
    <row r="13">
      <c r="B13" s="24" t="inlineStr">
        <is>
          <t>conf_quick_menu_url</t>
        </is>
      </c>
      <c r="C13" s="24" t="inlineStr">
        <is>
          <t>APPID</t>
        </is>
      </c>
      <c r="D13" s="24" t="inlineStr">
        <is>
          <t>varchar(32)</t>
        </is>
      </c>
      <c r="E13" s="24" t="inlineStr">
        <is>
          <t>YES</t>
        </is>
      </c>
      <c r="F13" s="24" t="inlineStr">
        <is>
          <t>子系统号</t>
        </is>
      </c>
      <c r="G13" s="24" t="n"/>
      <c r="H13" s="24" t="n"/>
      <c r="I13" s="24" t="inlineStr"/>
      <c r="J13" s="24" t="inlineStr">
        <is>
          <t>2023/01/12</t>
        </is>
      </c>
    </row>
    <row r="14">
      <c r="B14" s="24" t="inlineStr">
        <is>
          <t>conf_quick_menu_url</t>
        </is>
      </c>
      <c r="C14" s="24" t="inlineStr">
        <is>
          <t>CORPORGID</t>
        </is>
      </c>
      <c r="D14" s="24" t="inlineStr">
        <is>
          <t>varchar(32)</t>
        </is>
      </c>
      <c r="E14" s="24" t="inlineStr">
        <is>
          <t>YES</t>
        </is>
      </c>
      <c r="F14" s="24" t="inlineStr">
        <is>
          <t>法人机构编号</t>
        </is>
      </c>
      <c r="G14" s="24" t="n"/>
      <c r="H14" s="24" t="n"/>
      <c r="I14" s="24" t="inlineStr"/>
      <c r="J14" s="24" t="inlineStr">
        <is>
          <t>2023/01/12</t>
        </is>
      </c>
    </row>
    <row r="15">
      <c r="B15" s="24" t="inlineStr">
        <is>
          <t>conf_quick_menu_url</t>
        </is>
      </c>
      <c r="C15" s="24" t="inlineStr">
        <is>
          <t>USERID</t>
        </is>
      </c>
      <c r="D15" s="24" t="inlineStr">
        <is>
          <t>varchar(32)</t>
        </is>
      </c>
      <c r="E15" s="24" t="inlineStr">
        <is>
          <t>YES</t>
        </is>
      </c>
      <c r="F15" s="24" t="inlineStr">
        <is>
          <t>用户ID;</t>
        </is>
      </c>
      <c r="G15" s="24" t="n"/>
      <c r="H15" s="24" t="n"/>
      <c r="I15" s="24" t="inlineStr"/>
      <c r="J15" s="24" t="inlineStr">
        <is>
          <t>2023/01/12</t>
        </is>
      </c>
    </row>
    <row r="16">
      <c r="B16" s="24" t="inlineStr">
        <is>
          <t>conf_quick_menu_url</t>
        </is>
      </c>
      <c r="C16" s="24" t="inlineStr">
        <is>
          <t>QUICKMENUID</t>
        </is>
      </c>
      <c r="D16" s="24" t="inlineStr">
        <is>
          <t>varchar(32)</t>
        </is>
      </c>
      <c r="E16" s="24" t="inlineStr">
        <is>
          <t>YES</t>
        </is>
      </c>
      <c r="F16" s="24" t="inlineStr">
        <is>
          <t>菜单ID;</t>
        </is>
      </c>
      <c r="G16" s="24" t="n"/>
      <c r="H16" s="24" t="n"/>
      <c r="I16" s="24" t="inlineStr"/>
      <c r="J16" s="24" t="inlineStr">
        <is>
          <t>2023/01/12</t>
        </is>
      </c>
    </row>
    <row r="17">
      <c r="B17" s="24" t="inlineStr">
        <is>
          <t>conf_quick_menu_url</t>
        </is>
      </c>
      <c r="C17" s="24" t="inlineStr">
        <is>
          <t>ROLESTRING</t>
        </is>
      </c>
      <c r="D17" s="24" t="inlineStr">
        <is>
          <t>varchar(4000)</t>
        </is>
      </c>
      <c r="E17" s="24" t="inlineStr">
        <is>
          <t>YES</t>
        </is>
      </c>
      <c r="F17" s="24" t="inlineStr">
        <is>
          <t>角色号</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114.xml><?xml version="1.0" encoding="utf-8"?>
<worksheet xmlns="http://schemas.openxmlformats.org/spreadsheetml/2006/main">
  <sheetPr>
    <outlinePr summaryBelow="1" summaryRight="1"/>
    <pageSetUpPr/>
  </sheetPr>
  <dimension ref="A1:J12"/>
  <sheetViews>
    <sheetView zoomScaleSheetLayoutView="60" workbookViewId="0">
      <selection activeCell="F11" sqref="F1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法人信息表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corporation_info</t>
        </is>
      </c>
      <c r="C3" s="24" t="inlineStr">
        <is>
          <t>CORPORATIONID</t>
        </is>
      </c>
      <c r="D3" s="24" t="inlineStr">
        <is>
          <t>varchar(32)</t>
        </is>
      </c>
      <c r="E3" s="24" t="inlineStr">
        <is>
          <t>NO</t>
        </is>
      </c>
      <c r="F3" s="24" t="inlineStr">
        <is>
          <t>法人编号</t>
        </is>
      </c>
      <c r="G3" s="24" t="n"/>
      <c r="H3" s="24" t="n"/>
      <c r="I3" s="24" t="inlineStr"/>
      <c r="J3" s="24" t="inlineStr">
        <is>
          <t>2023/01/12</t>
        </is>
      </c>
    </row>
    <row r="4">
      <c r="B4" s="24" t="inlineStr">
        <is>
          <t>corporation_info</t>
        </is>
      </c>
      <c r="C4" s="24" t="inlineStr">
        <is>
          <t>CORPORATIONNAME</t>
        </is>
      </c>
      <c r="D4" s="24" t="inlineStr">
        <is>
          <t>varchar(80)</t>
        </is>
      </c>
      <c r="E4" s="24" t="inlineStr">
        <is>
          <t>YES</t>
        </is>
      </c>
      <c r="F4" s="24" t="inlineStr">
        <is>
          <t>法人名称</t>
        </is>
      </c>
      <c r="G4" s="24" t="n"/>
      <c r="H4" s="24" t="n"/>
      <c r="I4" s="24" t="inlineStr"/>
      <c r="J4" s="24" t="inlineStr">
        <is>
          <t>2023/01/12</t>
        </is>
      </c>
    </row>
    <row r="5">
      <c r="B5" s="24" t="inlineStr">
        <is>
          <t>corporation_info</t>
        </is>
      </c>
      <c r="C5" s="24" t="inlineStr">
        <is>
          <t>STATUS</t>
        </is>
      </c>
      <c r="D5" s="24" t="inlineStr">
        <is>
          <t>varchar(6)</t>
        </is>
      </c>
      <c r="E5" s="24" t="inlineStr">
        <is>
          <t>YES</t>
        </is>
      </c>
      <c r="F5" s="24" t="inlineStr">
        <is>
          <t>状态</t>
        </is>
      </c>
      <c r="G5" s="24" t="n"/>
      <c r="H5" s="24" t="n"/>
      <c r="I5" s="24" t="inlineStr"/>
      <c r="J5" s="24" t="inlineStr">
        <is>
          <t>2023/01/12</t>
        </is>
      </c>
    </row>
    <row r="6">
      <c r="B6" s="24" t="inlineStr">
        <is>
          <t>corporation_info</t>
        </is>
      </c>
      <c r="C6" s="24" t="inlineStr">
        <is>
          <t>INPUTUSERID</t>
        </is>
      </c>
      <c r="D6" s="24" t="inlineStr">
        <is>
          <t>varchar(32)</t>
        </is>
      </c>
      <c r="E6" s="24" t="inlineStr">
        <is>
          <t>YES</t>
        </is>
      </c>
      <c r="F6" s="24" t="inlineStr">
        <is>
          <t>登记人</t>
        </is>
      </c>
      <c r="G6" s="24" t="n"/>
      <c r="H6" s="24" t="n"/>
      <c r="I6" s="24" t="inlineStr"/>
      <c r="J6" s="24" t="inlineStr">
        <is>
          <t>2023/01/12</t>
        </is>
      </c>
    </row>
    <row r="7">
      <c r="B7" s="24" t="inlineStr">
        <is>
          <t>corporation_info</t>
        </is>
      </c>
      <c r="C7" s="24" t="inlineStr">
        <is>
          <t>INPUTDATE</t>
        </is>
      </c>
      <c r="D7" s="24" t="inlineStr">
        <is>
          <t>date</t>
        </is>
      </c>
      <c r="E7" s="24" t="inlineStr">
        <is>
          <t>YES</t>
        </is>
      </c>
      <c r="F7" s="24" t="inlineStr">
        <is>
          <t>登记日期</t>
        </is>
      </c>
      <c r="G7" s="24" t="n"/>
      <c r="H7" s="24" t="n"/>
      <c r="I7" s="24" t="inlineStr"/>
      <c r="J7" s="24" t="inlineStr">
        <is>
          <t>2023/01/12</t>
        </is>
      </c>
    </row>
    <row r="8">
      <c r="B8" s="24" t="inlineStr">
        <is>
          <t>corporation_info</t>
        </is>
      </c>
      <c r="C8" s="24" t="inlineStr">
        <is>
          <t>INPUTORGID</t>
        </is>
      </c>
      <c r="D8" s="24" t="inlineStr">
        <is>
          <t>varchar(32)</t>
        </is>
      </c>
      <c r="E8" s="24" t="inlineStr">
        <is>
          <t>YES</t>
        </is>
      </c>
      <c r="F8" s="24" t="inlineStr">
        <is>
          <t>登记机构</t>
        </is>
      </c>
      <c r="G8" s="24" t="n"/>
      <c r="H8" s="24" t="n"/>
      <c r="I8" s="24" t="inlineStr"/>
      <c r="J8" s="24" t="inlineStr">
        <is>
          <t>2023/01/12</t>
        </is>
      </c>
    </row>
    <row r="9">
      <c r="B9" s="24" t="inlineStr">
        <is>
          <t>corporation_info</t>
        </is>
      </c>
      <c r="C9" s="24" t="inlineStr">
        <is>
          <t>UPDATEUSERID</t>
        </is>
      </c>
      <c r="D9" s="24" t="inlineStr">
        <is>
          <t>varchar(32)</t>
        </is>
      </c>
      <c r="E9" s="24" t="inlineStr">
        <is>
          <t>YES</t>
        </is>
      </c>
      <c r="F9" s="24" t="inlineStr">
        <is>
          <t>更新人</t>
        </is>
      </c>
      <c r="G9" s="24" t="n"/>
      <c r="H9" s="24" t="n"/>
      <c r="I9" s="24" t="inlineStr"/>
      <c r="J9" s="24" t="inlineStr">
        <is>
          <t>2023/01/12</t>
        </is>
      </c>
    </row>
    <row r="10">
      <c r="B10" s="24" t="inlineStr">
        <is>
          <t>corporation_info</t>
        </is>
      </c>
      <c r="C10" s="24" t="inlineStr">
        <is>
          <t>UPDATEDATE</t>
        </is>
      </c>
      <c r="D10" s="24" t="inlineStr">
        <is>
          <t>date</t>
        </is>
      </c>
      <c r="E10" s="24" t="inlineStr">
        <is>
          <t>YES</t>
        </is>
      </c>
      <c r="F10" s="24" t="inlineStr">
        <is>
          <t>更新日期</t>
        </is>
      </c>
      <c r="G10" s="24" t="n"/>
      <c r="H10" s="24" t="n"/>
      <c r="I10" s="24" t="inlineStr"/>
      <c r="J10" s="24" t="inlineStr">
        <is>
          <t>2023/01/12</t>
        </is>
      </c>
    </row>
    <row r="11">
      <c r="B11" s="24" t="inlineStr">
        <is>
          <t>corporation_info</t>
        </is>
      </c>
      <c r="C11" s="24" t="inlineStr">
        <is>
          <t>UPDATEORGID</t>
        </is>
      </c>
      <c r="D11" s="24" t="inlineStr">
        <is>
          <t>varchar(32)</t>
        </is>
      </c>
      <c r="E11" s="24" t="inlineStr">
        <is>
          <t>YES</t>
        </is>
      </c>
      <c r="F11" s="24" t="inlineStr">
        <is>
          <t>更新机构</t>
        </is>
      </c>
      <c r="G11" s="24" t="n"/>
      <c r="H11" s="24" t="n"/>
      <c r="I11" s="24" t="inlineStr"/>
      <c r="J11" s="24" t="inlineStr">
        <is>
          <t>2023/01/12</t>
        </is>
      </c>
    </row>
    <row r="12">
      <c r="B12" s="24" t="inlineStr">
        <is>
          <t>corporation_info</t>
        </is>
      </c>
      <c r="C12" s="24" t="inlineStr">
        <is>
          <t>parentCorpId</t>
        </is>
      </c>
      <c r="D12" s="24" t="inlineStr">
        <is>
          <t>varchar(32)</t>
        </is>
      </c>
      <c r="E12" s="24" t="inlineStr">
        <is>
          <t>YES</t>
        </is>
      </c>
      <c r="F12" s="24" t="inlineStr">
        <is>
          <t>上级法人编号</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115.xml><?xml version="1.0" encoding="utf-8"?>
<worksheet xmlns="http://schemas.openxmlformats.org/spreadsheetml/2006/main">
  <sheetPr>
    <outlinePr summaryBelow="1" summaryRight="1"/>
    <pageSetUpPr/>
  </sheetPr>
  <dimension ref="A1:J23"/>
  <sheetViews>
    <sheetView zoomScaleSheetLayoutView="60" workbookViewId="0">
      <selection activeCell="D23" sqref="D2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文档附件库</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doc_attachment</t>
        </is>
      </c>
      <c r="C3" s="24" t="inlineStr">
        <is>
          <t>ATTACHMENTNO</t>
        </is>
      </c>
      <c r="D3" s="24" t="inlineStr">
        <is>
          <t>varchar(32)</t>
        </is>
      </c>
      <c r="E3" s="24" t="inlineStr">
        <is>
          <t>NO</t>
        </is>
      </c>
      <c r="F3" s="24" t="inlineStr">
        <is>
          <t>附件编号</t>
        </is>
      </c>
      <c r="G3" s="24" t="n"/>
      <c r="H3" s="24" t="n"/>
      <c r="I3" s="24" t="inlineStr"/>
      <c r="J3" s="24" t="inlineStr">
        <is>
          <t>2023/01/12</t>
        </is>
      </c>
    </row>
    <row r="4">
      <c r="B4" s="24" t="inlineStr">
        <is>
          <t>doc_attachment</t>
        </is>
      </c>
      <c r="C4" s="24" t="inlineStr">
        <is>
          <t>FILENAME</t>
        </is>
      </c>
      <c r="D4" s="24" t="inlineStr">
        <is>
          <t>varchar(500)</t>
        </is>
      </c>
      <c r="E4" s="24" t="inlineStr">
        <is>
          <t>YES</t>
        </is>
      </c>
      <c r="F4" s="24" t="inlineStr">
        <is>
          <t>文件名</t>
        </is>
      </c>
      <c r="G4" s="24" t="n"/>
      <c r="H4" s="24" t="n"/>
      <c r="I4" s="24" t="inlineStr"/>
      <c r="J4" s="24" t="inlineStr">
        <is>
          <t>2023/01/12</t>
        </is>
      </c>
    </row>
    <row r="5">
      <c r="B5" s="24" t="inlineStr">
        <is>
          <t>doc_attachment</t>
        </is>
      </c>
      <c r="C5" s="24" t="inlineStr">
        <is>
          <t>CONTENTTYPE</t>
        </is>
      </c>
      <c r="D5" s="24" t="inlineStr">
        <is>
          <t>varchar(200)</t>
        </is>
      </c>
      <c r="E5" s="24" t="inlineStr">
        <is>
          <t>YES</t>
        </is>
      </c>
      <c r="F5" s="24" t="inlineStr">
        <is>
          <t>内容类型</t>
        </is>
      </c>
      <c r="G5" s="24" t="n"/>
      <c r="H5" s="24" t="n"/>
      <c r="I5" s="24" t="inlineStr"/>
      <c r="J5" s="24" t="inlineStr">
        <is>
          <t>2023/01/12</t>
        </is>
      </c>
    </row>
    <row r="6">
      <c r="B6" s="24" t="inlineStr">
        <is>
          <t>doc_attachment</t>
        </is>
      </c>
      <c r="C6" s="24" t="inlineStr">
        <is>
          <t>CONTENTLENGTH</t>
        </is>
      </c>
      <c r="D6" s="24" t="inlineStr">
        <is>
          <t>varchar(32)</t>
        </is>
      </c>
      <c r="E6" s="24" t="inlineStr">
        <is>
          <t>YES</t>
        </is>
      </c>
      <c r="F6" s="24" t="inlineStr">
        <is>
          <t>内容长度</t>
        </is>
      </c>
      <c r="G6" s="24" t="n"/>
      <c r="H6" s="24" t="n"/>
      <c r="I6" s="24" t="inlineStr"/>
      <c r="J6" s="24" t="inlineStr">
        <is>
          <t>2023/01/12</t>
        </is>
      </c>
    </row>
    <row r="7">
      <c r="B7" s="24" t="inlineStr">
        <is>
          <t>doc_attachment</t>
        </is>
      </c>
      <c r="C7" s="24" t="inlineStr">
        <is>
          <t>CONTENTSTATUS</t>
        </is>
      </c>
      <c r="D7" s="24" t="inlineStr">
        <is>
          <t>varchar(32)</t>
        </is>
      </c>
      <c r="E7" s="24" t="inlineStr">
        <is>
          <t>YES</t>
        </is>
      </c>
      <c r="F7" s="24" t="inlineStr">
        <is>
          <t>内容状态</t>
        </is>
      </c>
      <c r="G7" s="24" t="n"/>
      <c r="H7" s="24" t="n"/>
      <c r="I7" s="24" t="inlineStr"/>
      <c r="J7" s="24" t="inlineStr">
        <is>
          <t>2023/01/12</t>
        </is>
      </c>
    </row>
    <row r="8">
      <c r="B8" s="24" t="inlineStr">
        <is>
          <t>doc_attachment</t>
        </is>
      </c>
      <c r="C8" s="24" t="inlineStr">
        <is>
          <t>REMARK</t>
        </is>
      </c>
      <c r="D8" s="24" t="inlineStr">
        <is>
          <t>varchar(500)</t>
        </is>
      </c>
      <c r="E8" s="24" t="inlineStr">
        <is>
          <t>YES</t>
        </is>
      </c>
      <c r="F8" s="24" t="inlineStr">
        <is>
          <t>备注</t>
        </is>
      </c>
      <c r="G8" s="24" t="n"/>
      <c r="H8" s="24" t="n"/>
      <c r="I8" s="24" t="inlineStr"/>
      <c r="J8" s="24" t="inlineStr">
        <is>
          <t>2023/01/12</t>
        </is>
      </c>
    </row>
    <row r="9">
      <c r="B9" s="24" t="inlineStr">
        <is>
          <t>doc_attachment</t>
        </is>
      </c>
      <c r="C9" s="24" t="inlineStr">
        <is>
          <t>FILEPATH</t>
        </is>
      </c>
      <c r="D9" s="24" t="inlineStr">
        <is>
          <t>varchar(200)</t>
        </is>
      </c>
      <c r="E9" s="24" t="inlineStr">
        <is>
          <t>YES</t>
        </is>
      </c>
      <c r="F9" s="24" t="inlineStr">
        <is>
          <t>文件路径</t>
        </is>
      </c>
      <c r="G9" s="24" t="n"/>
      <c r="H9" s="24" t="n"/>
      <c r="I9" s="24" t="inlineStr"/>
      <c r="J9" s="24" t="inlineStr">
        <is>
          <t>2023/01/12</t>
        </is>
      </c>
    </row>
    <row r="10">
      <c r="B10" s="24" t="inlineStr">
        <is>
          <t>doc_attachment</t>
        </is>
      </c>
      <c r="C10" s="24" t="inlineStr">
        <is>
          <t>FULLPATH</t>
        </is>
      </c>
      <c r="D10" s="24" t="inlineStr">
        <is>
          <t>varchar(500)</t>
        </is>
      </c>
      <c r="E10" s="24" t="inlineStr">
        <is>
          <t>YES</t>
        </is>
      </c>
      <c r="F10" s="24" t="inlineStr">
        <is>
          <t>文件全路径</t>
        </is>
      </c>
      <c r="G10" s="24" t="n"/>
      <c r="H10" s="24" t="n"/>
      <c r="I10" s="24" t="inlineStr"/>
      <c r="J10" s="24" t="inlineStr">
        <is>
          <t>2023/01/12</t>
        </is>
      </c>
    </row>
    <row r="11">
      <c r="B11" s="24" t="inlineStr">
        <is>
          <t>doc_attachment</t>
        </is>
      </c>
      <c r="C11" s="24" t="inlineStr">
        <is>
          <t>FILESAVEMODE</t>
        </is>
      </c>
      <c r="D11" s="24" t="inlineStr">
        <is>
          <t>varchar(32)</t>
        </is>
      </c>
      <c r="E11" s="24" t="inlineStr">
        <is>
          <t>YES</t>
        </is>
      </c>
      <c r="F11" s="24" t="inlineStr">
        <is>
          <t>文件保存类型</t>
        </is>
      </c>
      <c r="G11" s="24" t="n"/>
      <c r="H11" s="24" t="n"/>
      <c r="I11" s="24" t="inlineStr"/>
      <c r="J11" s="24" t="inlineStr">
        <is>
          <t>2023/01/12</t>
        </is>
      </c>
    </row>
    <row r="12">
      <c r="B12" s="24" t="inlineStr">
        <is>
          <t>doc_attachment</t>
        </is>
      </c>
      <c r="C12" s="24" t="inlineStr">
        <is>
          <t>OBJECTTYPE</t>
        </is>
      </c>
      <c r="D12" s="24" t="inlineStr">
        <is>
          <t>varchar(32)</t>
        </is>
      </c>
      <c r="E12" s="24" t="inlineStr">
        <is>
          <t>YES</t>
        </is>
      </c>
      <c r="F12" s="24" t="inlineStr">
        <is>
          <t>对象类型</t>
        </is>
      </c>
      <c r="G12" s="24" t="n"/>
      <c r="H12" s="24" t="n"/>
      <c r="I12" s="24" t="inlineStr"/>
      <c r="J12" s="24" t="inlineStr">
        <is>
          <t>2023/01/12</t>
        </is>
      </c>
    </row>
    <row r="13">
      <c r="B13" s="24" t="inlineStr">
        <is>
          <t>doc_attachment</t>
        </is>
      </c>
      <c r="C13" s="24" t="inlineStr">
        <is>
          <t>OBJECTNO</t>
        </is>
      </c>
      <c r="D13" s="24" t="inlineStr">
        <is>
          <t>varchar(32)</t>
        </is>
      </c>
      <c r="E13" s="24" t="inlineStr">
        <is>
          <t>YES</t>
        </is>
      </c>
      <c r="F13" s="24" t="inlineStr">
        <is>
          <t>对象编号</t>
        </is>
      </c>
      <c r="G13" s="24" t="n"/>
      <c r="H13" s="24" t="n"/>
      <c r="I13" s="24" t="inlineStr"/>
      <c r="J13" s="24" t="inlineStr">
        <is>
          <t>2023/01/12</t>
        </is>
      </c>
    </row>
    <row r="14">
      <c r="B14" s="24" t="inlineStr">
        <is>
          <t>doc_attachment</t>
        </is>
      </c>
      <c r="C14" s="24" t="inlineStr">
        <is>
          <t>BEGINTIME</t>
        </is>
      </c>
      <c r="D14" s="24" t="inlineStr">
        <is>
          <t>datetime</t>
        </is>
      </c>
      <c r="E14" s="24" t="inlineStr">
        <is>
          <t>YES</t>
        </is>
      </c>
      <c r="F14" s="24" t="inlineStr">
        <is>
          <t>发送开始时间</t>
        </is>
      </c>
      <c r="G14" s="24" t="n"/>
      <c r="H14" s="24" t="n"/>
      <c r="I14" s="24" t="inlineStr"/>
      <c r="J14" s="24" t="inlineStr">
        <is>
          <t>2023/01/12</t>
        </is>
      </c>
    </row>
    <row r="15">
      <c r="B15" s="24" t="inlineStr">
        <is>
          <t>doc_attachment</t>
        </is>
      </c>
      <c r="C15" s="24" t="inlineStr">
        <is>
          <t>ENDTIME</t>
        </is>
      </c>
      <c r="D15" s="24" t="inlineStr">
        <is>
          <t>datetime</t>
        </is>
      </c>
      <c r="E15" s="24" t="inlineStr">
        <is>
          <t>YES</t>
        </is>
      </c>
      <c r="F15" s="24" t="inlineStr">
        <is>
          <t>发送完成时间</t>
        </is>
      </c>
      <c r="G15" s="24" t="n"/>
      <c r="H15" s="24" t="n"/>
      <c r="I15" s="24" t="inlineStr"/>
      <c r="J15" s="24" t="inlineStr">
        <is>
          <t>2023/01/12</t>
        </is>
      </c>
    </row>
    <row r="16">
      <c r="B16" s="24" t="inlineStr">
        <is>
          <t>doc_attachment</t>
        </is>
      </c>
      <c r="C16" s="24" t="inlineStr">
        <is>
          <t>INPUTORGID</t>
        </is>
      </c>
      <c r="D16" s="24" t="inlineStr">
        <is>
          <t>varchar(32)</t>
        </is>
      </c>
      <c r="E16" s="24" t="inlineStr">
        <is>
          <t>YES</t>
        </is>
      </c>
      <c r="F16" s="24" t="inlineStr">
        <is>
          <t>登记机构</t>
        </is>
      </c>
      <c r="G16" s="24" t="n"/>
      <c r="H16" s="24" t="n"/>
      <c r="I16" s="24" t="inlineStr"/>
      <c r="J16" s="24" t="inlineStr">
        <is>
          <t>2023/01/12</t>
        </is>
      </c>
    </row>
    <row r="17">
      <c r="B17" s="24" t="inlineStr">
        <is>
          <t>doc_attachment</t>
        </is>
      </c>
      <c r="C17" s="24" t="inlineStr">
        <is>
          <t>INPUTUSERID</t>
        </is>
      </c>
      <c r="D17" s="24" t="inlineStr">
        <is>
          <t>varchar(32)</t>
        </is>
      </c>
      <c r="E17" s="24" t="inlineStr">
        <is>
          <t>YES</t>
        </is>
      </c>
      <c r="F17" s="24" t="inlineStr">
        <is>
          <t>登记人</t>
        </is>
      </c>
      <c r="G17" s="24" t="n"/>
      <c r="H17" s="24" t="n"/>
      <c r="I17" s="24" t="inlineStr"/>
      <c r="J17" s="24" t="inlineStr">
        <is>
          <t>2023/01/12</t>
        </is>
      </c>
    </row>
    <row r="18">
      <c r="B18" s="24" t="inlineStr">
        <is>
          <t>doc_attachment</t>
        </is>
      </c>
      <c r="C18" s="24" t="inlineStr">
        <is>
          <t>INPUTDATE</t>
        </is>
      </c>
      <c r="D18" s="24" t="inlineStr">
        <is>
          <t>datetime</t>
        </is>
      </c>
      <c r="E18" s="24" t="inlineStr">
        <is>
          <t>YES</t>
        </is>
      </c>
      <c r="F18" s="24" t="inlineStr">
        <is>
          <t>登记日期</t>
        </is>
      </c>
      <c r="G18" s="24" t="n"/>
      <c r="H18" s="24" t="n"/>
      <c r="I18" s="24" t="inlineStr"/>
      <c r="J18" s="24" t="inlineStr">
        <is>
          <t>2023/01/12</t>
        </is>
      </c>
    </row>
    <row r="19">
      <c r="B19" s="24" t="inlineStr">
        <is>
          <t>doc_attachment</t>
        </is>
      </c>
      <c r="C19" s="24" t="inlineStr">
        <is>
          <t>UPDATEORGID</t>
        </is>
      </c>
      <c r="D19" s="24" t="inlineStr">
        <is>
          <t>varchar(32)</t>
        </is>
      </c>
      <c r="E19" s="24" t="inlineStr">
        <is>
          <t>YES</t>
        </is>
      </c>
      <c r="F19" s="24" t="inlineStr">
        <is>
          <t>更新机构</t>
        </is>
      </c>
      <c r="G19" s="24" t="n"/>
      <c r="H19" s="24" t="n"/>
      <c r="I19" s="24" t="inlineStr"/>
      <c r="J19" s="24" t="inlineStr">
        <is>
          <t>2023/01/12</t>
        </is>
      </c>
    </row>
    <row r="20">
      <c r="B20" s="24" t="inlineStr">
        <is>
          <t>doc_attachment</t>
        </is>
      </c>
      <c r="C20" s="24" t="inlineStr">
        <is>
          <t>UPDATEUSERID</t>
        </is>
      </c>
      <c r="D20" s="24" t="inlineStr">
        <is>
          <t>varchar(32)</t>
        </is>
      </c>
      <c r="E20" s="24" t="inlineStr">
        <is>
          <t>YES</t>
        </is>
      </c>
      <c r="F20" s="24" t="inlineStr">
        <is>
          <t>更新人</t>
        </is>
      </c>
      <c r="G20" s="24" t="n"/>
      <c r="H20" s="24" t="n"/>
      <c r="I20" s="24" t="inlineStr"/>
      <c r="J20" s="24" t="inlineStr">
        <is>
          <t>2023/01/12</t>
        </is>
      </c>
    </row>
    <row r="21">
      <c r="B21" s="24" t="inlineStr">
        <is>
          <t>doc_attachment</t>
        </is>
      </c>
      <c r="C21" s="24" t="inlineStr">
        <is>
          <t>UPDATEDATE</t>
        </is>
      </c>
      <c r="D21" s="24" t="inlineStr">
        <is>
          <t>datetime</t>
        </is>
      </c>
      <c r="E21" s="24" t="inlineStr">
        <is>
          <t>YES</t>
        </is>
      </c>
      <c r="F21" s="24" t="inlineStr">
        <is>
          <t>更新日期</t>
        </is>
      </c>
      <c r="G21" s="24" t="n"/>
      <c r="H21" s="24" t="n"/>
      <c r="I21" s="24" t="inlineStr"/>
      <c r="J21" s="24" t="inlineStr">
        <is>
          <t>2023/01/12</t>
        </is>
      </c>
    </row>
    <row r="22">
      <c r="B22" s="24" t="inlineStr">
        <is>
          <t>doc_attachment</t>
        </is>
      </c>
      <c r="C22" s="24" t="inlineStr">
        <is>
          <t>CORPORGID</t>
        </is>
      </c>
      <c r="D22" s="24" t="inlineStr">
        <is>
          <t>varchar(32)</t>
        </is>
      </c>
      <c r="E22" s="24" t="inlineStr">
        <is>
          <t>YES</t>
        </is>
      </c>
      <c r="F22" s="24" t="inlineStr">
        <is>
          <t>法人机构编号</t>
        </is>
      </c>
      <c r="G22" s="24" t="n"/>
      <c r="H22" s="24" t="n"/>
      <c r="I22" s="24" t="inlineStr"/>
      <c r="J22" s="24" t="inlineStr">
        <is>
          <t>2023/01/12</t>
        </is>
      </c>
    </row>
    <row r="23">
      <c r="B23" s="24" t="inlineStr">
        <is>
          <t>doc_attachment</t>
        </is>
      </c>
      <c r="C23" s="24" t="inlineStr">
        <is>
          <t>DOCCONTENT</t>
        </is>
      </c>
      <c r="D23" s="24" t="inlineStr">
        <is>
          <t>text</t>
        </is>
      </c>
      <c r="E23" s="24" t="inlineStr">
        <is>
          <t>YES</t>
        </is>
      </c>
      <c r="F23" s="24" t="inlineStr">
        <is>
          <t>文档内容</t>
        </is>
      </c>
      <c r="G23" s="24" t="n"/>
      <c r="H23" s="24" t="n"/>
      <c r="I23" s="24" t="inlineStr"/>
      <c r="J23" s="24" t="inlineStr">
        <is>
          <t>2023/01/12</t>
        </is>
      </c>
    </row>
  </sheetData>
  <pageMargins left="0.75" right="0.75" top="1" bottom="1" header="0.5" footer="0.5"/>
  <pageSetup orientation="portrait" paperSize="1" horizontalDpi="300" verticalDpi="300"/>
</worksheet>
</file>

<file path=xl/worksheets/sheet116.xml><?xml version="1.0" encoding="utf-8"?>
<worksheet xmlns="http://schemas.openxmlformats.org/spreadsheetml/2006/main">
  <sheetPr>
    <outlinePr summaryBelow="1" summaryRight="1"/>
    <pageSetUpPr/>
  </sheetPr>
  <dimension ref="A1:J27"/>
  <sheetViews>
    <sheetView zoomScaleSheetLayoutView="60" workbookViewId="0">
      <selection activeCell="D32" sqref="D3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文档资料库</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doc_library</t>
        </is>
      </c>
      <c r="C3" s="24" t="inlineStr">
        <is>
          <t>DOCNO</t>
        </is>
      </c>
      <c r="D3" s="24" t="inlineStr">
        <is>
          <t>varchar(32)</t>
        </is>
      </c>
      <c r="E3" s="24" t="inlineStr">
        <is>
          <t>NO</t>
        </is>
      </c>
      <c r="F3" s="24" t="inlineStr">
        <is>
          <t>文档编号</t>
        </is>
      </c>
      <c r="G3" s="24" t="n"/>
      <c r="H3" s="24" t="n"/>
      <c r="I3" s="24" t="inlineStr"/>
      <c r="J3" s="24" t="inlineStr">
        <is>
          <t>2023/01/12</t>
        </is>
      </c>
    </row>
    <row r="4">
      <c r="B4" s="24" t="inlineStr">
        <is>
          <t>doc_library</t>
        </is>
      </c>
      <c r="C4" s="24" t="inlineStr">
        <is>
          <t>OBJECTTYPE</t>
        </is>
      </c>
      <c r="D4" s="24" t="inlineStr">
        <is>
          <t>varchar(32)</t>
        </is>
      </c>
      <c r="E4" s="24" t="inlineStr">
        <is>
          <t>YES</t>
        </is>
      </c>
      <c r="F4" s="24" t="inlineStr">
        <is>
          <t>对象类型</t>
        </is>
      </c>
      <c r="G4" s="24" t="n"/>
      <c r="H4" s="24" t="n"/>
      <c r="I4" s="24" t="inlineStr"/>
      <c r="J4" s="24" t="inlineStr">
        <is>
          <t>2023/01/12</t>
        </is>
      </c>
    </row>
    <row r="5">
      <c r="B5" s="24" t="inlineStr">
        <is>
          <t>doc_library</t>
        </is>
      </c>
      <c r="C5" s="24" t="inlineStr">
        <is>
          <t>OBJECTNO</t>
        </is>
      </c>
      <c r="D5" s="24" t="inlineStr">
        <is>
          <t>varchar(32)</t>
        </is>
      </c>
      <c r="E5" s="24" t="inlineStr">
        <is>
          <t>YES</t>
        </is>
      </c>
      <c r="F5" s="24" t="inlineStr">
        <is>
          <t>对象编号</t>
        </is>
      </c>
      <c r="G5" s="24" t="n"/>
      <c r="H5" s="24" t="n"/>
      <c r="I5" s="24" t="inlineStr"/>
      <c r="J5" s="24" t="inlineStr">
        <is>
          <t>2023/01/12</t>
        </is>
      </c>
    </row>
    <row r="6">
      <c r="B6" s="24" t="inlineStr">
        <is>
          <t>doc_library</t>
        </is>
      </c>
      <c r="C6" s="24" t="inlineStr">
        <is>
          <t>DOCTITLE</t>
        </is>
      </c>
      <c r="D6" s="24" t="inlineStr">
        <is>
          <t>varchar(80)</t>
        </is>
      </c>
      <c r="E6" s="24" t="inlineStr">
        <is>
          <t>YES</t>
        </is>
      </c>
      <c r="F6" s="24" t="inlineStr">
        <is>
          <t>文档名称</t>
        </is>
      </c>
      <c r="G6" s="24" t="n"/>
      <c r="H6" s="24" t="n"/>
      <c r="I6" s="24" t="inlineStr"/>
      <c r="J6" s="24" t="inlineStr">
        <is>
          <t>2023/01/12</t>
        </is>
      </c>
    </row>
    <row r="7">
      <c r="B7" s="24" t="inlineStr">
        <is>
          <t>doc_library</t>
        </is>
      </c>
      <c r="C7" s="24" t="inlineStr">
        <is>
          <t>DOCTYPE</t>
        </is>
      </c>
      <c r="D7" s="24" t="inlineStr">
        <is>
          <t>varchar(32)</t>
        </is>
      </c>
      <c r="E7" s="24" t="inlineStr">
        <is>
          <t>YES</t>
        </is>
      </c>
      <c r="F7" s="24" t="inlineStr">
        <is>
          <t>文档类型</t>
        </is>
      </c>
      <c r="G7" s="24" t="n"/>
      <c r="H7" s="24" t="n"/>
      <c r="I7" s="24" t="inlineStr"/>
      <c r="J7" s="24" t="inlineStr">
        <is>
          <t>2023/01/12</t>
        </is>
      </c>
    </row>
    <row r="8">
      <c r="B8" s="24" t="inlineStr">
        <is>
          <t>doc_library</t>
        </is>
      </c>
      <c r="C8" s="24" t="inlineStr">
        <is>
          <t>DOCLENGTH</t>
        </is>
      </c>
      <c r="D8" s="24" t="inlineStr">
        <is>
          <t>varchar(32)</t>
        </is>
      </c>
      <c r="E8" s="24" t="inlineStr">
        <is>
          <t>YES</t>
        </is>
      </c>
      <c r="F8" s="24" t="inlineStr">
        <is>
          <t>文档长度</t>
        </is>
      </c>
      <c r="G8" s="24" t="n"/>
      <c r="H8" s="24" t="n"/>
      <c r="I8" s="24" t="inlineStr"/>
      <c r="J8" s="24" t="inlineStr">
        <is>
          <t>2023/01/12</t>
        </is>
      </c>
    </row>
    <row r="9">
      <c r="B9" s="24" t="inlineStr">
        <is>
          <t>doc_library</t>
        </is>
      </c>
      <c r="C9" s="24" t="inlineStr">
        <is>
          <t>DOCIMPORTANCE</t>
        </is>
      </c>
      <c r="D9" s="24" t="inlineStr">
        <is>
          <t>varchar(32)</t>
        </is>
      </c>
      <c r="E9" s="24" t="inlineStr">
        <is>
          <t>YES</t>
        </is>
      </c>
      <c r="F9" s="24" t="inlineStr">
        <is>
          <t>文档重要性</t>
        </is>
      </c>
      <c r="G9" s="52">
        <f>HYPERLINK("#码值映射清单!B9428","DocImportance")</f>
        <v/>
      </c>
      <c r="H9" s="24" t="n"/>
      <c r="I9" s="24" t="inlineStr"/>
      <c r="J9" s="24" t="inlineStr">
        <is>
          <t>2023/01/12</t>
        </is>
      </c>
    </row>
    <row r="10">
      <c r="B10" s="24" t="inlineStr">
        <is>
          <t>doc_library</t>
        </is>
      </c>
      <c r="C10" s="24" t="inlineStr">
        <is>
          <t>DOCSECRET</t>
        </is>
      </c>
      <c r="D10" s="24" t="inlineStr">
        <is>
          <t>varchar(32)</t>
        </is>
      </c>
      <c r="E10" s="24" t="inlineStr">
        <is>
          <t>YES</t>
        </is>
      </c>
      <c r="F10" s="24" t="inlineStr">
        <is>
          <t>文档密级</t>
        </is>
      </c>
      <c r="G10" s="24" t="n"/>
      <c r="H10" s="24" t="n"/>
      <c r="I10" s="24" t="inlineStr"/>
      <c r="J10" s="24" t="inlineStr">
        <is>
          <t>2023/01/12</t>
        </is>
      </c>
    </row>
    <row r="11">
      <c r="B11" s="24" t="inlineStr">
        <is>
          <t>doc_library</t>
        </is>
      </c>
      <c r="C11" s="24" t="inlineStr">
        <is>
          <t>DOCSTAGE</t>
        </is>
      </c>
      <c r="D11" s="24" t="inlineStr">
        <is>
          <t>varchar(32)</t>
        </is>
      </c>
      <c r="E11" s="24" t="inlineStr">
        <is>
          <t>YES</t>
        </is>
      </c>
      <c r="F11" s="24" t="inlineStr">
        <is>
          <t>所属阶段</t>
        </is>
      </c>
      <c r="G11" s="24" t="n"/>
      <c r="H11" s="24" t="n"/>
      <c r="I11" s="24" t="inlineStr"/>
      <c r="J11" s="24" t="inlineStr">
        <is>
          <t>2023/01/12</t>
        </is>
      </c>
    </row>
    <row r="12">
      <c r="B12" s="24" t="inlineStr">
        <is>
          <t>doc_library</t>
        </is>
      </c>
      <c r="C12" s="24" t="inlineStr">
        <is>
          <t>DOCSOURCE</t>
        </is>
      </c>
      <c r="D12" s="24" t="inlineStr">
        <is>
          <t>varchar(80)</t>
        </is>
      </c>
      <c r="E12" s="24" t="inlineStr">
        <is>
          <t>YES</t>
        </is>
      </c>
      <c r="F12" s="24" t="inlineStr">
        <is>
          <t>文档来源</t>
        </is>
      </c>
      <c r="G12" s="24" t="n"/>
      <c r="H12" s="24" t="n"/>
      <c r="I12" s="24" t="inlineStr"/>
      <c r="J12" s="24" t="inlineStr">
        <is>
          <t>2023/01/12</t>
        </is>
      </c>
    </row>
    <row r="13">
      <c r="B13" s="24" t="inlineStr">
        <is>
          <t>doc_library</t>
        </is>
      </c>
      <c r="C13" s="24" t="inlineStr">
        <is>
          <t>DOCUNIT</t>
        </is>
      </c>
      <c r="D13" s="24" t="inlineStr">
        <is>
          <t>varchar(80)</t>
        </is>
      </c>
      <c r="E13" s="24" t="inlineStr">
        <is>
          <t>YES</t>
        </is>
      </c>
      <c r="F13" s="24" t="inlineStr">
        <is>
          <t>编制单位</t>
        </is>
      </c>
      <c r="G13" s="24" t="n"/>
      <c r="H13" s="24" t="n"/>
      <c r="I13" s="24" t="inlineStr"/>
      <c r="J13" s="24" t="inlineStr">
        <is>
          <t>2023/01/12</t>
        </is>
      </c>
    </row>
    <row r="14">
      <c r="B14" s="24" t="inlineStr">
        <is>
          <t>doc_library</t>
        </is>
      </c>
      <c r="C14" s="24" t="inlineStr">
        <is>
          <t>DOCDATE</t>
        </is>
      </c>
      <c r="D14" s="24" t="inlineStr">
        <is>
          <t>datetime</t>
        </is>
      </c>
      <c r="E14" s="24" t="inlineStr">
        <is>
          <t>YES</t>
        </is>
      </c>
      <c r="F14" s="24" t="inlineStr">
        <is>
          <t>编制日期</t>
        </is>
      </c>
      <c r="G14" s="24" t="n"/>
      <c r="H14" s="24" t="n"/>
      <c r="I14" s="24" t="inlineStr"/>
      <c r="J14" s="24" t="inlineStr">
        <is>
          <t>2023/01/12</t>
        </is>
      </c>
    </row>
    <row r="15">
      <c r="B15" s="24" t="inlineStr">
        <is>
          <t>doc_library</t>
        </is>
      </c>
      <c r="C15" s="24" t="inlineStr">
        <is>
          <t>DOCORGANIZER</t>
        </is>
      </c>
      <c r="D15" s="24" t="inlineStr">
        <is>
          <t>varchar(80)</t>
        </is>
      </c>
      <c r="E15" s="24" t="inlineStr">
        <is>
          <t>YES</t>
        </is>
      </c>
      <c r="F15" s="24" t="inlineStr">
        <is>
          <t>编制人</t>
        </is>
      </c>
      <c r="G15" s="24" t="n"/>
      <c r="H15" s="24" t="n"/>
      <c r="I15" s="24" t="inlineStr"/>
      <c r="J15" s="24" t="inlineStr">
        <is>
          <t>2023/01/12</t>
        </is>
      </c>
    </row>
    <row r="16">
      <c r="B16" s="24" t="inlineStr">
        <is>
          <t>doc_library</t>
        </is>
      </c>
      <c r="C16" s="24" t="inlineStr">
        <is>
          <t>DOCKEYWORD</t>
        </is>
      </c>
      <c r="D16" s="24" t="inlineStr">
        <is>
          <t>varchar(500)</t>
        </is>
      </c>
      <c r="E16" s="24" t="inlineStr">
        <is>
          <t>YES</t>
        </is>
      </c>
      <c r="F16" s="24" t="inlineStr">
        <is>
          <t>文档主题词</t>
        </is>
      </c>
      <c r="G16" s="24" t="n"/>
      <c r="H16" s="24" t="n"/>
      <c r="I16" s="24" t="inlineStr"/>
      <c r="J16" s="24" t="inlineStr">
        <is>
          <t>2023/01/12</t>
        </is>
      </c>
    </row>
    <row r="17">
      <c r="B17" s="24" t="inlineStr">
        <is>
          <t>doc_library</t>
        </is>
      </c>
      <c r="C17" s="24" t="inlineStr">
        <is>
          <t>DOCABSTRACT</t>
        </is>
      </c>
      <c r="D17" s="24" t="inlineStr">
        <is>
          <t>varchar(500)</t>
        </is>
      </c>
      <c r="E17" s="24" t="inlineStr">
        <is>
          <t>YES</t>
        </is>
      </c>
      <c r="F17" s="24" t="inlineStr">
        <is>
          <t>文档摘要</t>
        </is>
      </c>
      <c r="G17" s="24" t="n"/>
      <c r="H17" s="24" t="n"/>
      <c r="I17" s="24" t="inlineStr"/>
      <c r="J17" s="24" t="inlineStr">
        <is>
          <t>2023/01/12</t>
        </is>
      </c>
    </row>
    <row r="18">
      <c r="B18" s="24" t="inlineStr">
        <is>
          <t>doc_library</t>
        </is>
      </c>
      <c r="C18" s="24" t="inlineStr">
        <is>
          <t>DOCLOCATION</t>
        </is>
      </c>
      <c r="D18" s="24" t="inlineStr">
        <is>
          <t>varchar(500)</t>
        </is>
      </c>
      <c r="E18" s="24" t="inlineStr">
        <is>
          <t>YES</t>
        </is>
      </c>
      <c r="F18" s="24" t="inlineStr">
        <is>
          <t>文档保存位置</t>
        </is>
      </c>
      <c r="G18" s="24" t="n"/>
      <c r="H18" s="24" t="n"/>
      <c r="I18" s="24" t="inlineStr"/>
      <c r="J18" s="24" t="inlineStr">
        <is>
          <t>2023/01/12</t>
        </is>
      </c>
    </row>
    <row r="19">
      <c r="B19" s="24" t="inlineStr">
        <is>
          <t>doc_library</t>
        </is>
      </c>
      <c r="C19" s="24" t="inlineStr">
        <is>
          <t>DOCATTRIBUTE</t>
        </is>
      </c>
      <c r="D19" s="24" t="inlineStr">
        <is>
          <t>varchar(32)</t>
        </is>
      </c>
      <c r="E19" s="24" t="inlineStr">
        <is>
          <t>YES</t>
        </is>
      </c>
      <c r="F19" s="24" t="inlineStr">
        <is>
          <t>文档性质</t>
        </is>
      </c>
      <c r="G19" s="24" t="n"/>
      <c r="H19" s="24" t="n"/>
      <c r="I19" s="24" t="inlineStr"/>
      <c r="J19" s="24" t="inlineStr">
        <is>
          <t>2023/01/12</t>
        </is>
      </c>
    </row>
    <row r="20">
      <c r="B20" s="24" t="inlineStr">
        <is>
          <t>doc_library</t>
        </is>
      </c>
      <c r="C20" s="24" t="inlineStr">
        <is>
          <t>REMARK</t>
        </is>
      </c>
      <c r="D20" s="24" t="inlineStr">
        <is>
          <t>varchar(500)</t>
        </is>
      </c>
      <c r="E20" s="24" t="inlineStr">
        <is>
          <t>YES</t>
        </is>
      </c>
      <c r="F20" s="24" t="inlineStr">
        <is>
          <t>备注</t>
        </is>
      </c>
      <c r="G20" s="24" t="n"/>
      <c r="H20" s="24" t="n"/>
      <c r="I20" s="24" t="inlineStr"/>
      <c r="J20" s="24" t="inlineStr">
        <is>
          <t>2023/01/12</t>
        </is>
      </c>
    </row>
    <row r="21">
      <c r="B21" s="24" t="inlineStr">
        <is>
          <t>doc_library</t>
        </is>
      </c>
      <c r="C21" s="24" t="inlineStr">
        <is>
          <t>INPUTUSERID</t>
        </is>
      </c>
      <c r="D21" s="24" t="inlineStr">
        <is>
          <t>varchar(32)</t>
        </is>
      </c>
      <c r="E21" s="24" t="inlineStr">
        <is>
          <t>YES</t>
        </is>
      </c>
      <c r="F21" s="24" t="inlineStr">
        <is>
          <t>登记人</t>
        </is>
      </c>
      <c r="G21" s="24" t="n"/>
      <c r="H21" s="24" t="n"/>
      <c r="I21" s="24" t="inlineStr"/>
      <c r="J21" s="24" t="inlineStr">
        <is>
          <t>2023/01/12</t>
        </is>
      </c>
    </row>
    <row r="22">
      <c r="B22" s="24" t="inlineStr">
        <is>
          <t>doc_library</t>
        </is>
      </c>
      <c r="C22" s="24" t="inlineStr">
        <is>
          <t>INPUTORGID</t>
        </is>
      </c>
      <c r="D22" s="24" t="inlineStr">
        <is>
          <t>varchar(32)</t>
        </is>
      </c>
      <c r="E22" s="24" t="inlineStr">
        <is>
          <t>YES</t>
        </is>
      </c>
      <c r="F22" s="24" t="inlineStr">
        <is>
          <t>登记机构</t>
        </is>
      </c>
      <c r="G22" s="24" t="n"/>
      <c r="H22" s="24" t="n"/>
      <c r="I22" s="24" t="inlineStr"/>
      <c r="J22" s="24" t="inlineStr">
        <is>
          <t>2023/01/12</t>
        </is>
      </c>
    </row>
    <row r="23">
      <c r="B23" s="24" t="inlineStr">
        <is>
          <t>doc_library</t>
        </is>
      </c>
      <c r="C23" s="24" t="inlineStr">
        <is>
          <t>INPUTDATE</t>
        </is>
      </c>
      <c r="D23" s="24" t="inlineStr">
        <is>
          <t>datetime</t>
        </is>
      </c>
      <c r="E23" s="24" t="inlineStr">
        <is>
          <t>YES</t>
        </is>
      </c>
      <c r="F23" s="24" t="inlineStr">
        <is>
          <t>登记日期</t>
        </is>
      </c>
      <c r="G23" s="24" t="n"/>
      <c r="H23" s="24" t="n"/>
      <c r="I23" s="24" t="inlineStr"/>
      <c r="J23" s="24" t="inlineStr">
        <is>
          <t>2023/01/12</t>
        </is>
      </c>
    </row>
    <row r="24">
      <c r="B24" s="24" t="inlineStr">
        <is>
          <t>doc_library</t>
        </is>
      </c>
      <c r="C24" s="24" t="inlineStr">
        <is>
          <t>UPDATEUSERID</t>
        </is>
      </c>
      <c r="D24" s="24" t="inlineStr">
        <is>
          <t>varchar(32)</t>
        </is>
      </c>
      <c r="E24" s="24" t="inlineStr">
        <is>
          <t>YES</t>
        </is>
      </c>
      <c r="F24" s="24" t="inlineStr">
        <is>
          <t>更新人</t>
        </is>
      </c>
      <c r="G24" s="24" t="n"/>
      <c r="H24" s="24" t="n"/>
      <c r="I24" s="24" t="inlineStr"/>
      <c r="J24" s="24" t="inlineStr">
        <is>
          <t>2023/01/12</t>
        </is>
      </c>
    </row>
    <row r="25">
      <c r="B25" s="24" t="inlineStr">
        <is>
          <t>doc_library</t>
        </is>
      </c>
      <c r="C25" s="24" t="inlineStr">
        <is>
          <t>UPDATEORGID</t>
        </is>
      </c>
      <c r="D25" s="24" t="inlineStr">
        <is>
          <t>varchar(32)</t>
        </is>
      </c>
      <c r="E25" s="24" t="inlineStr">
        <is>
          <t>YES</t>
        </is>
      </c>
      <c r="F25" s="24" t="inlineStr">
        <is>
          <t>更新机构</t>
        </is>
      </c>
      <c r="G25" s="24" t="n"/>
      <c r="H25" s="24" t="n"/>
      <c r="I25" s="24" t="inlineStr"/>
      <c r="J25" s="24" t="inlineStr">
        <is>
          <t>2023/01/12</t>
        </is>
      </c>
    </row>
    <row r="26">
      <c r="B26" s="24" t="inlineStr">
        <is>
          <t>doc_library</t>
        </is>
      </c>
      <c r="C26" s="24" t="inlineStr">
        <is>
          <t>UPDATEDATE</t>
        </is>
      </c>
      <c r="D26" s="24" t="inlineStr">
        <is>
          <t>datetime</t>
        </is>
      </c>
      <c r="E26" s="24" t="inlineStr">
        <is>
          <t>YES</t>
        </is>
      </c>
      <c r="F26" s="24" t="inlineStr">
        <is>
          <t>更新日期</t>
        </is>
      </c>
      <c r="G26" s="24" t="n"/>
      <c r="H26" s="24" t="n"/>
      <c r="I26" s="24" t="inlineStr"/>
      <c r="J26" s="24" t="inlineStr">
        <is>
          <t>2023/01/12</t>
        </is>
      </c>
    </row>
    <row r="27">
      <c r="B27" s="24" t="inlineStr">
        <is>
          <t>doc_library</t>
        </is>
      </c>
      <c r="C27" s="24" t="inlineStr">
        <is>
          <t>CORPORGID</t>
        </is>
      </c>
      <c r="D27" s="24" t="inlineStr">
        <is>
          <t>varchar(32)</t>
        </is>
      </c>
      <c r="E27" s="24" t="inlineStr">
        <is>
          <t>YES</t>
        </is>
      </c>
      <c r="F27" s="24" t="inlineStr">
        <is>
          <t>法人机构编号</t>
        </is>
      </c>
      <c r="G27" s="24" t="n"/>
      <c r="H27" s="24" t="n"/>
      <c r="I27" s="24" t="inlineStr"/>
      <c r="J27" s="24" t="inlineStr">
        <is>
          <t>2023/01/12</t>
        </is>
      </c>
    </row>
  </sheetData>
  <pageMargins left="0.75" right="0.75" top="1" bottom="1" header="0.5" footer="0.5"/>
  <pageSetup orientation="portrait" paperSize="1" horizontalDpi="300" verticalDpi="300"/>
</worksheet>
</file>

<file path=xl/worksheets/sheet117.xml><?xml version="1.0" encoding="utf-8"?>
<worksheet xmlns="http://schemas.openxmlformats.org/spreadsheetml/2006/main">
  <sheetPr>
    <outlinePr summaryBelow="1" summaryRight="1"/>
    <pageSetUpPr/>
  </sheetPr>
  <dimension ref="A1:J12"/>
  <sheetViews>
    <sheetView zoomScaleSheetLayoutView="60" workbookViewId="0">
      <selection activeCell="D10" sqref="D10:D1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文档关联对象表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doc_relative</t>
        </is>
      </c>
      <c r="C3" s="24" t="inlineStr">
        <is>
          <t>DOCNO</t>
        </is>
      </c>
      <c r="D3" s="24" t="inlineStr">
        <is>
          <t>varchar(32)</t>
        </is>
      </c>
      <c r="E3" s="24" t="inlineStr">
        <is>
          <t>NO</t>
        </is>
      </c>
      <c r="F3" s="24" t="inlineStr">
        <is>
          <t>文档编号</t>
        </is>
      </c>
      <c r="G3" s="24" t="n"/>
      <c r="H3" s="24" t="n"/>
      <c r="I3" s="24" t="inlineStr"/>
      <c r="J3" s="24" t="inlineStr">
        <is>
          <t>2023/01/12</t>
        </is>
      </c>
    </row>
    <row r="4">
      <c r="B4" s="24" t="inlineStr">
        <is>
          <t>doc_relative</t>
        </is>
      </c>
      <c r="C4" s="24" t="inlineStr">
        <is>
          <t>OBJECTTYPE</t>
        </is>
      </c>
      <c r="D4" s="24" t="inlineStr">
        <is>
          <t>varchar(32)</t>
        </is>
      </c>
      <c r="E4" s="24" t="inlineStr">
        <is>
          <t>NO</t>
        </is>
      </c>
      <c r="F4" s="24" t="inlineStr">
        <is>
          <t>文档关联对象类型</t>
        </is>
      </c>
      <c r="G4" s="24" t="n"/>
      <c r="H4" s="24" t="n"/>
      <c r="I4" s="24" t="inlineStr"/>
      <c r="J4" s="24" t="inlineStr">
        <is>
          <t>2023/01/12</t>
        </is>
      </c>
    </row>
    <row r="5">
      <c r="B5" s="24" t="inlineStr">
        <is>
          <t>doc_relative</t>
        </is>
      </c>
      <c r="C5" s="24" t="inlineStr">
        <is>
          <t>OBJECTNO</t>
        </is>
      </c>
      <c r="D5" s="24" t="inlineStr">
        <is>
          <t>varchar(32)</t>
        </is>
      </c>
      <c r="E5" s="24" t="inlineStr">
        <is>
          <t>NO</t>
        </is>
      </c>
      <c r="F5" s="24" t="inlineStr">
        <is>
          <t>文档关联对象编号</t>
        </is>
      </c>
      <c r="G5" s="24" t="n"/>
      <c r="H5" s="24" t="n"/>
      <c r="I5" s="24" t="inlineStr"/>
      <c r="J5" s="24" t="inlineStr">
        <is>
          <t>2023/01/12</t>
        </is>
      </c>
    </row>
    <row r="6">
      <c r="B6" s="24" t="inlineStr">
        <is>
          <t>doc_relative</t>
        </is>
      </c>
      <c r="C6" s="24" t="inlineStr">
        <is>
          <t>OBJECTNAME</t>
        </is>
      </c>
      <c r="D6" s="24" t="inlineStr">
        <is>
          <t>varchar(80)</t>
        </is>
      </c>
      <c r="E6" s="24" t="inlineStr">
        <is>
          <t>YES</t>
        </is>
      </c>
      <c r="F6" s="24" t="inlineStr">
        <is>
          <t>文档关联对象名称</t>
        </is>
      </c>
      <c r="G6" s="24" t="n"/>
      <c r="H6" s="24" t="n"/>
      <c r="I6" s="24" t="inlineStr"/>
      <c r="J6" s="24" t="inlineStr">
        <is>
          <t>2023/01/12</t>
        </is>
      </c>
    </row>
    <row r="7">
      <c r="B7" s="24" t="inlineStr">
        <is>
          <t>doc_relative</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doc_relative</t>
        </is>
      </c>
      <c r="C8" s="24" t="inlineStr">
        <is>
          <t>INPUTUSERID</t>
        </is>
      </c>
      <c r="D8" s="24" t="inlineStr">
        <is>
          <t>varchar(32)</t>
        </is>
      </c>
      <c r="E8" s="24" t="inlineStr">
        <is>
          <t>YES</t>
        </is>
      </c>
      <c r="F8" s="24" t="inlineStr">
        <is>
          <t>登记人</t>
        </is>
      </c>
      <c r="G8" s="24" t="n"/>
      <c r="H8" s="24" t="n"/>
      <c r="I8" s="24" t="inlineStr"/>
      <c r="J8" s="24" t="inlineStr">
        <is>
          <t>2023/01/12</t>
        </is>
      </c>
    </row>
    <row r="9">
      <c r="B9" s="24" t="inlineStr">
        <is>
          <t>doc_relative</t>
        </is>
      </c>
      <c r="C9" s="24" t="inlineStr">
        <is>
          <t>INPUTDATE</t>
        </is>
      </c>
      <c r="D9" s="24" t="inlineStr">
        <is>
          <t>datetime</t>
        </is>
      </c>
      <c r="E9" s="24" t="inlineStr">
        <is>
          <t>YES</t>
        </is>
      </c>
      <c r="F9" s="24" t="inlineStr">
        <is>
          <t>登记日期</t>
        </is>
      </c>
      <c r="G9" s="24" t="n"/>
      <c r="H9" s="24" t="n"/>
      <c r="I9" s="24" t="inlineStr"/>
      <c r="J9" s="24" t="inlineStr">
        <is>
          <t>2023/01/12</t>
        </is>
      </c>
    </row>
    <row r="10">
      <c r="B10" s="24" t="inlineStr">
        <is>
          <t>doc_relative</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doc_relative</t>
        </is>
      </c>
      <c r="C11" s="24" t="inlineStr">
        <is>
          <t>UPDATEUSERID</t>
        </is>
      </c>
      <c r="D11" s="24" t="inlineStr">
        <is>
          <t>varchar(32)</t>
        </is>
      </c>
      <c r="E11" s="24" t="inlineStr">
        <is>
          <t>YES</t>
        </is>
      </c>
      <c r="F11" s="24" t="inlineStr">
        <is>
          <t>更新人</t>
        </is>
      </c>
      <c r="G11" s="24" t="n"/>
      <c r="H11" s="24" t="n"/>
      <c r="I11" s="24" t="inlineStr"/>
      <c r="J11" s="24" t="inlineStr">
        <is>
          <t>2023/01/12</t>
        </is>
      </c>
    </row>
    <row r="12">
      <c r="B12" s="24" t="inlineStr">
        <is>
          <t>doc_relative</t>
        </is>
      </c>
      <c r="C12" s="24" t="inlineStr">
        <is>
          <t>UPDATEDATE</t>
        </is>
      </c>
      <c r="D12" s="24" t="inlineStr">
        <is>
          <t>datetime</t>
        </is>
      </c>
      <c r="E12" s="24" t="inlineStr">
        <is>
          <t>YES</t>
        </is>
      </c>
      <c r="F12" s="24" t="inlineStr">
        <is>
          <t>更新日期</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118.xml><?xml version="1.0" encoding="utf-8"?>
<worksheet xmlns="http://schemas.openxmlformats.org/spreadsheetml/2006/main">
  <sheetPr>
    <outlinePr summaryBelow="1" summaryRight="1"/>
    <pageSetUpPr/>
  </sheetPr>
  <dimension ref="A1:J15"/>
  <sheetViews>
    <sheetView zoomScaleSheetLayoutView="60" workbookViewId="0">
      <selection activeCell="E25" sqref="E25"/>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汇率表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erate_info</t>
        </is>
      </c>
      <c r="C3" s="24" t="inlineStr">
        <is>
          <t>EXCHANGEVALUE</t>
        </is>
      </c>
      <c r="D3" s="24" t="inlineStr">
        <is>
          <t>decimal(18,8)</t>
        </is>
      </c>
      <c r="E3" s="24" t="inlineStr">
        <is>
          <t>YES</t>
        </is>
      </c>
      <c r="F3" s="53" t="inlineStr">
        <is>
          <t>相对值</t>
        </is>
      </c>
      <c r="G3" s="24" t="n"/>
      <c r="H3" s="24" t="n"/>
      <c r="I3" s="24" t="inlineStr"/>
      <c r="J3" s="24" t="inlineStr">
        <is>
          <t>2023/01/12</t>
        </is>
      </c>
    </row>
    <row r="4">
      <c r="B4" s="24" t="inlineStr">
        <is>
          <t>erate_info</t>
        </is>
      </c>
      <c r="C4" s="24" t="inlineStr">
        <is>
          <t>REMARK</t>
        </is>
      </c>
      <c r="D4" s="24" t="inlineStr">
        <is>
          <t>varchar(500)</t>
        </is>
      </c>
      <c r="E4" s="24" t="inlineStr">
        <is>
          <t>YES</t>
        </is>
      </c>
      <c r="F4" s="24" t="inlineStr">
        <is>
          <t>备注</t>
        </is>
      </c>
      <c r="G4" s="24" t="n"/>
      <c r="H4" s="24" t="n"/>
      <c r="I4" s="24" t="inlineStr"/>
      <c r="J4" s="24" t="inlineStr">
        <is>
          <t>2023/01/12</t>
        </is>
      </c>
    </row>
    <row r="5">
      <c r="B5" s="24" t="inlineStr">
        <is>
          <t>erate_info</t>
        </is>
      </c>
      <c r="C5" s="24" t="inlineStr">
        <is>
          <t>CURRENCY</t>
        </is>
      </c>
      <c r="D5" s="24" t="inlineStr">
        <is>
          <t>varchar(18)</t>
        </is>
      </c>
      <c r="E5" s="24" t="inlineStr">
        <is>
          <t>NO</t>
        </is>
      </c>
      <c r="F5" s="24" t="inlineStr">
        <is>
          <t>币种</t>
        </is>
      </c>
      <c r="G5" s="24" t="n"/>
      <c r="H5" s="24" t="n"/>
      <c r="I5" s="24" t="inlineStr"/>
      <c r="J5" s="24" t="inlineStr">
        <is>
          <t>2023/01/12</t>
        </is>
      </c>
    </row>
    <row r="6">
      <c r="B6" s="24" t="inlineStr">
        <is>
          <t>erate_info</t>
        </is>
      </c>
      <c r="C6" s="24" t="inlineStr">
        <is>
          <t>EFFICIENTDATE</t>
        </is>
      </c>
      <c r="D6" s="24" t="inlineStr">
        <is>
          <t>varchar(18)</t>
        </is>
      </c>
      <c r="E6" s="24" t="inlineStr">
        <is>
          <t>NO</t>
        </is>
      </c>
      <c r="F6" s="24" t="inlineStr">
        <is>
          <t>生效日期</t>
        </is>
      </c>
      <c r="G6" s="24" t="n"/>
      <c r="H6" s="24" t="n"/>
      <c r="I6" s="24" t="inlineStr"/>
      <c r="J6" s="24" t="inlineStr">
        <is>
          <t>2023/01/12</t>
        </is>
      </c>
    </row>
    <row r="7">
      <c r="B7" s="24" t="inlineStr">
        <is>
          <t>erate_info</t>
        </is>
      </c>
      <c r="C7" s="24" t="inlineStr">
        <is>
          <t>UNIT</t>
        </is>
      </c>
      <c r="D7" s="24" t="inlineStr">
        <is>
          <t>varchar(32)</t>
        </is>
      </c>
      <c r="E7" s="24" t="inlineStr">
        <is>
          <t>YES</t>
        </is>
      </c>
      <c r="F7" s="24" t="inlineStr">
        <is>
          <t>单位</t>
        </is>
      </c>
      <c r="G7" s="24" t="n"/>
      <c r="H7" s="24" t="n"/>
      <c r="I7" s="24" t="inlineStr"/>
      <c r="J7" s="24" t="inlineStr">
        <is>
          <t>2023/01/12</t>
        </is>
      </c>
    </row>
    <row r="8">
      <c r="B8" s="24" t="inlineStr">
        <is>
          <t>erate_info</t>
        </is>
      </c>
      <c r="C8" s="24" t="inlineStr">
        <is>
          <t>PRICE</t>
        </is>
      </c>
      <c r="D8" s="24" t="inlineStr">
        <is>
          <t>decimal(24,6)</t>
        </is>
      </c>
      <c r="E8" s="24" t="inlineStr">
        <is>
          <t>YES</t>
        </is>
      </c>
      <c r="F8" s="24" t="inlineStr">
        <is>
          <t>中间价</t>
        </is>
      </c>
      <c r="G8" s="24" t="n"/>
      <c r="H8" s="24" t="n"/>
      <c r="I8" s="24" t="inlineStr"/>
      <c r="J8" s="24" t="inlineStr">
        <is>
          <t>2023/01/12</t>
        </is>
      </c>
    </row>
    <row r="9">
      <c r="B9" s="24" t="inlineStr">
        <is>
          <t>erate_info</t>
        </is>
      </c>
      <c r="C9" s="24" t="inlineStr">
        <is>
          <t>INPUTORGID</t>
        </is>
      </c>
      <c r="D9" s="24" t="inlineStr">
        <is>
          <t>varchar(32)</t>
        </is>
      </c>
      <c r="E9" s="24" t="inlineStr">
        <is>
          <t>YES</t>
        </is>
      </c>
      <c r="F9" s="24" t="inlineStr">
        <is>
          <t>登记机构</t>
        </is>
      </c>
      <c r="G9" s="24" t="n"/>
      <c r="H9" s="24" t="n"/>
      <c r="I9" s="24" t="inlineStr"/>
      <c r="J9" s="24" t="inlineStr">
        <is>
          <t>2023/01/12</t>
        </is>
      </c>
    </row>
    <row r="10">
      <c r="B10" s="24" t="inlineStr">
        <is>
          <t>erate_info</t>
        </is>
      </c>
      <c r="C10" s="24" t="inlineStr">
        <is>
          <t>INPUTUSERID</t>
        </is>
      </c>
      <c r="D10" s="24" t="inlineStr">
        <is>
          <t>varchar(32)</t>
        </is>
      </c>
      <c r="E10" s="24" t="inlineStr">
        <is>
          <t>YES</t>
        </is>
      </c>
      <c r="F10" s="24" t="inlineStr">
        <is>
          <t>登记人</t>
        </is>
      </c>
      <c r="G10" s="24" t="n"/>
      <c r="H10" s="24" t="n"/>
      <c r="I10" s="24" t="inlineStr"/>
      <c r="J10" s="24" t="inlineStr">
        <is>
          <t>2023/01/12</t>
        </is>
      </c>
    </row>
    <row r="11">
      <c r="B11" s="24" t="inlineStr">
        <is>
          <t>erate_info</t>
        </is>
      </c>
      <c r="C11" s="24" t="inlineStr">
        <is>
          <t>INPUTDATE</t>
        </is>
      </c>
      <c r="D11" s="24" t="inlineStr">
        <is>
          <t>datetime</t>
        </is>
      </c>
      <c r="E11" s="24" t="inlineStr">
        <is>
          <t>YES</t>
        </is>
      </c>
      <c r="F11" s="24" t="inlineStr">
        <is>
          <t>登记日期</t>
        </is>
      </c>
      <c r="G11" s="24" t="n"/>
      <c r="H11" s="24" t="n"/>
      <c r="I11" s="24" t="inlineStr"/>
      <c r="J11" s="24" t="inlineStr">
        <is>
          <t>2023/01/12</t>
        </is>
      </c>
    </row>
    <row r="12">
      <c r="B12" s="24" t="inlineStr">
        <is>
          <t>erate_info</t>
        </is>
      </c>
      <c r="C12" s="24" t="inlineStr">
        <is>
          <t>UPDATEORGID</t>
        </is>
      </c>
      <c r="D12" s="24" t="inlineStr">
        <is>
          <t>varchar(32)</t>
        </is>
      </c>
      <c r="E12" s="24" t="inlineStr">
        <is>
          <t>YES</t>
        </is>
      </c>
      <c r="F12" s="24" t="inlineStr">
        <is>
          <t>更新机构</t>
        </is>
      </c>
      <c r="G12" s="24" t="n"/>
      <c r="H12" s="24" t="n"/>
      <c r="I12" s="24" t="inlineStr"/>
      <c r="J12" s="24" t="inlineStr">
        <is>
          <t>2023/01/12</t>
        </is>
      </c>
    </row>
    <row r="13">
      <c r="B13" s="24" t="inlineStr">
        <is>
          <t>erate_info</t>
        </is>
      </c>
      <c r="C13" s="24" t="inlineStr">
        <is>
          <t>UPDATEUSERID</t>
        </is>
      </c>
      <c r="D13" s="24" t="inlineStr">
        <is>
          <t>varchar(32)</t>
        </is>
      </c>
      <c r="E13" s="24" t="inlineStr">
        <is>
          <t>YES</t>
        </is>
      </c>
      <c r="F13" s="24" t="inlineStr">
        <is>
          <t>更新人</t>
        </is>
      </c>
      <c r="G13" s="24" t="n"/>
      <c r="H13" s="24" t="n"/>
      <c r="I13" s="24" t="inlineStr"/>
      <c r="J13" s="24" t="inlineStr">
        <is>
          <t>2023/01/12</t>
        </is>
      </c>
    </row>
    <row r="14">
      <c r="B14" s="24" t="inlineStr">
        <is>
          <t>erate_info</t>
        </is>
      </c>
      <c r="C14" s="24" t="inlineStr">
        <is>
          <t>UPDATEDATE</t>
        </is>
      </c>
      <c r="D14" s="24" t="inlineStr">
        <is>
          <t>datetime</t>
        </is>
      </c>
      <c r="E14" s="24" t="inlineStr">
        <is>
          <t>YES</t>
        </is>
      </c>
      <c r="F14" s="24" t="inlineStr">
        <is>
          <t>更新日期</t>
        </is>
      </c>
      <c r="G14" s="24" t="n"/>
      <c r="H14" s="24" t="n"/>
      <c r="I14" s="24" t="inlineStr"/>
      <c r="J14" s="24" t="inlineStr">
        <is>
          <t>2023/01/12</t>
        </is>
      </c>
    </row>
    <row r="15">
      <c r="B15" s="24" t="inlineStr">
        <is>
          <t>erate_info</t>
        </is>
      </c>
      <c r="C15" s="24" t="inlineStr">
        <is>
          <t>CORPORGID</t>
        </is>
      </c>
      <c r="D15" s="24" t="inlineStr">
        <is>
          <t>varchar(32)</t>
        </is>
      </c>
      <c r="E15" s="24" t="inlineStr">
        <is>
          <t>YES</t>
        </is>
      </c>
      <c r="F15" s="24" t="inlineStr">
        <is>
          <t>法人机构编号</t>
        </is>
      </c>
      <c r="G15" s="24" t="n"/>
      <c r="H15" s="24" t="n"/>
      <c r="I15" s="24" t="inlineStr"/>
      <c r="J15" s="24" t="inlineStr">
        <is>
          <t>2023/01/12</t>
        </is>
      </c>
    </row>
  </sheetData>
  <pageMargins left="0.75" right="0.75" top="1" bottom="1" header="0.5" footer="0.5"/>
  <pageSetup orientation="portrait" paperSize="1" horizontalDpi="300" verticalDpi="300"/>
</worksheet>
</file>

<file path=xl/worksheets/sheet119.xml><?xml version="1.0" encoding="utf-8"?>
<worksheet xmlns="http://schemas.openxmlformats.org/spreadsheetml/2006/main">
  <sheetPr>
    <outlinePr summaryBelow="1" summaryRight="1"/>
    <pageSetUpPr/>
  </sheetPr>
  <dimension ref="A1:J16"/>
  <sheetViews>
    <sheetView zoomScaleSheetLayoutView="60" workbookViewId="0">
      <selection activeCell="D16" sqref="D16"/>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评估目录表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evaluate_catalog</t>
        </is>
      </c>
      <c r="C3" s="24" t="inlineStr">
        <is>
          <t>MODELNO</t>
        </is>
      </c>
      <c r="D3" s="24" t="inlineStr">
        <is>
          <t>varchar(32)</t>
        </is>
      </c>
      <c r="E3" s="24" t="inlineStr">
        <is>
          <t>NO</t>
        </is>
      </c>
      <c r="F3" s="24" t="inlineStr">
        <is>
          <t>评估表编号</t>
        </is>
      </c>
      <c r="G3" s="24" t="n"/>
      <c r="H3" s="24" t="n"/>
      <c r="I3" s="24" t="inlineStr"/>
      <c r="J3" s="24" t="inlineStr">
        <is>
          <t>2023/01/12</t>
        </is>
      </c>
    </row>
    <row r="4">
      <c r="B4" s="24" t="inlineStr">
        <is>
          <t>evaluate_catalog</t>
        </is>
      </c>
      <c r="C4" s="24" t="inlineStr">
        <is>
          <t>MODELNAME</t>
        </is>
      </c>
      <c r="D4" s="24" t="inlineStr">
        <is>
          <t>varchar(80)</t>
        </is>
      </c>
      <c r="E4" s="24" t="inlineStr">
        <is>
          <t>YES</t>
        </is>
      </c>
      <c r="F4" s="24" t="inlineStr">
        <is>
          <t>评估表名称</t>
        </is>
      </c>
      <c r="G4" s="24" t="n"/>
      <c r="H4" s="24" t="n"/>
      <c r="I4" s="24" t="inlineStr"/>
      <c r="J4" s="24" t="inlineStr">
        <is>
          <t>2023/01/12</t>
        </is>
      </c>
    </row>
    <row r="5">
      <c r="B5" s="24" t="inlineStr">
        <is>
          <t>evaluate_catalog</t>
        </is>
      </c>
      <c r="C5" s="24" t="inlineStr">
        <is>
          <t>MODELTYPE</t>
        </is>
      </c>
      <c r="D5" s="24" t="inlineStr">
        <is>
          <t>varchar(32)</t>
        </is>
      </c>
      <c r="E5" s="24" t="inlineStr">
        <is>
          <t>YES</t>
        </is>
      </c>
      <c r="F5" s="24" t="inlineStr">
        <is>
          <t>评估表类型</t>
        </is>
      </c>
      <c r="G5" s="52">
        <f>HYPERLINK("#码值映射清单!B441","EvaluateModelType")</f>
        <v/>
      </c>
      <c r="H5" s="24" t="n"/>
      <c r="I5" s="24" t="inlineStr"/>
      <c r="J5" s="24" t="inlineStr">
        <is>
          <t>2023/01/12</t>
        </is>
      </c>
    </row>
    <row r="6">
      <c r="B6" s="24" t="inlineStr">
        <is>
          <t>evaluate_catalog</t>
        </is>
      </c>
      <c r="C6" s="24" t="inlineStr">
        <is>
          <t>MODELDESCRIBE</t>
        </is>
      </c>
      <c r="D6" s="24" t="inlineStr">
        <is>
          <t>varchar(500)</t>
        </is>
      </c>
      <c r="E6" s="24" t="inlineStr">
        <is>
          <t>YES</t>
        </is>
      </c>
      <c r="F6" s="24" t="inlineStr">
        <is>
          <t>评估表描述</t>
        </is>
      </c>
      <c r="G6" s="24" t="n"/>
      <c r="H6" s="24" t="n"/>
      <c r="I6" s="24" t="inlineStr"/>
      <c r="J6" s="24" t="inlineStr">
        <is>
          <t>2023/01/12</t>
        </is>
      </c>
    </row>
    <row r="7">
      <c r="B7" s="24" t="inlineStr">
        <is>
          <t>evaluate_catalog</t>
        </is>
      </c>
      <c r="C7" s="24" t="inlineStr">
        <is>
          <t>REMARK</t>
        </is>
      </c>
      <c r="D7" s="24" t="inlineStr">
        <is>
          <t>varchar(500)</t>
        </is>
      </c>
      <c r="E7" s="24" t="inlineStr">
        <is>
          <t>YES</t>
        </is>
      </c>
      <c r="F7" s="24" t="inlineStr">
        <is>
          <t>备注</t>
        </is>
      </c>
      <c r="G7" s="24" t="n"/>
      <c r="H7" s="24" t="n"/>
      <c r="I7" s="24" t="inlineStr"/>
      <c r="J7" s="24" t="inlineStr">
        <is>
          <t>2023/01/12</t>
        </is>
      </c>
    </row>
    <row r="8">
      <c r="B8" s="24" t="inlineStr">
        <is>
          <t>evaluate_catalog</t>
        </is>
      </c>
      <c r="C8" s="24" t="inlineStr">
        <is>
          <t>INPUTORGID</t>
        </is>
      </c>
      <c r="D8" s="24" t="inlineStr">
        <is>
          <t>varchar(32)</t>
        </is>
      </c>
      <c r="E8" s="24" t="inlineStr">
        <is>
          <t>YES</t>
        </is>
      </c>
      <c r="F8" s="24" t="inlineStr">
        <is>
          <t>登记机构</t>
        </is>
      </c>
      <c r="G8" s="24" t="n"/>
      <c r="H8" s="24" t="n"/>
      <c r="I8" s="24" t="inlineStr"/>
      <c r="J8" s="24" t="inlineStr">
        <is>
          <t>2023/01/12</t>
        </is>
      </c>
    </row>
    <row r="9">
      <c r="B9" s="24" t="inlineStr">
        <is>
          <t>evaluate_catalog</t>
        </is>
      </c>
      <c r="C9" s="24" t="inlineStr">
        <is>
          <t>INPUTUSERID</t>
        </is>
      </c>
      <c r="D9" s="24" t="inlineStr">
        <is>
          <t>varchar(32)</t>
        </is>
      </c>
      <c r="E9" s="24" t="inlineStr">
        <is>
          <t>YES</t>
        </is>
      </c>
      <c r="F9" s="24" t="inlineStr">
        <is>
          <t>登记人</t>
        </is>
      </c>
      <c r="G9" s="24" t="n"/>
      <c r="H9" s="24" t="n"/>
      <c r="I9" s="24" t="inlineStr"/>
      <c r="J9" s="24" t="inlineStr">
        <is>
          <t>2023/01/12</t>
        </is>
      </c>
    </row>
    <row r="10">
      <c r="B10" s="24" t="inlineStr">
        <is>
          <t>evaluate_catalog</t>
        </is>
      </c>
      <c r="C10" s="24" t="inlineStr">
        <is>
          <t>INPUTDATE</t>
        </is>
      </c>
      <c r="D10" s="24" t="inlineStr">
        <is>
          <t>datetime</t>
        </is>
      </c>
      <c r="E10" s="24" t="inlineStr">
        <is>
          <t>YES</t>
        </is>
      </c>
      <c r="F10" s="24" t="inlineStr">
        <is>
          <t>登记日期</t>
        </is>
      </c>
      <c r="G10" s="24" t="n"/>
      <c r="H10" s="24" t="n"/>
      <c r="I10" s="24" t="inlineStr"/>
      <c r="J10" s="24" t="inlineStr">
        <is>
          <t>2023/01/12</t>
        </is>
      </c>
    </row>
    <row r="11">
      <c r="B11" s="24" t="inlineStr">
        <is>
          <t>evaluate_catalog</t>
        </is>
      </c>
      <c r="C11" s="24" t="inlineStr">
        <is>
          <t>UPDATEORGID</t>
        </is>
      </c>
      <c r="D11" s="24" t="inlineStr">
        <is>
          <t>varchar(32)</t>
        </is>
      </c>
      <c r="E11" s="24" t="inlineStr">
        <is>
          <t>YES</t>
        </is>
      </c>
      <c r="F11" s="24" t="inlineStr">
        <is>
          <t>更新机构</t>
        </is>
      </c>
      <c r="G11" s="24" t="n"/>
      <c r="H11" s="24" t="n"/>
      <c r="I11" s="24" t="inlineStr"/>
      <c r="J11" s="24" t="inlineStr">
        <is>
          <t>2023/01/12</t>
        </is>
      </c>
    </row>
    <row r="12">
      <c r="B12" s="24" t="inlineStr">
        <is>
          <t>evaluate_catalog</t>
        </is>
      </c>
      <c r="C12" s="24" t="inlineStr">
        <is>
          <t>UPDATEUSERID</t>
        </is>
      </c>
      <c r="D12" s="24" t="inlineStr">
        <is>
          <t>varchar(32)</t>
        </is>
      </c>
      <c r="E12" s="24" t="inlineStr">
        <is>
          <t>YES</t>
        </is>
      </c>
      <c r="F12" s="24" t="inlineStr">
        <is>
          <t>更新人</t>
        </is>
      </c>
      <c r="G12" s="24" t="n"/>
      <c r="H12" s="24" t="n"/>
      <c r="I12" s="24" t="inlineStr"/>
      <c r="J12" s="24" t="inlineStr">
        <is>
          <t>2023/01/12</t>
        </is>
      </c>
    </row>
    <row r="13">
      <c r="B13" s="24" t="inlineStr">
        <is>
          <t>evaluate_catalog</t>
        </is>
      </c>
      <c r="C13" s="24" t="inlineStr">
        <is>
          <t>UPDATEDATE</t>
        </is>
      </c>
      <c r="D13" s="24" t="inlineStr">
        <is>
          <t>datetime</t>
        </is>
      </c>
      <c r="E13" s="24" t="inlineStr">
        <is>
          <t>YES</t>
        </is>
      </c>
      <c r="F13" s="24" t="inlineStr">
        <is>
          <t>更新日期</t>
        </is>
      </c>
      <c r="G13" s="24" t="n"/>
      <c r="H13" s="24" t="n"/>
      <c r="I13" s="24" t="inlineStr"/>
      <c r="J13" s="24" t="inlineStr">
        <is>
          <t>2023/01/12</t>
        </is>
      </c>
    </row>
    <row r="14">
      <c r="B14" s="24" t="inlineStr">
        <is>
          <t>evaluate_catalog</t>
        </is>
      </c>
      <c r="C14" s="24" t="inlineStr">
        <is>
          <t>MAXLEVELS</t>
        </is>
      </c>
      <c r="D14" s="24" t="inlineStr">
        <is>
          <t>varchar(18)</t>
        </is>
      </c>
      <c r="E14" s="24" t="inlineStr">
        <is>
          <t>YES</t>
        </is>
      </c>
      <c r="F14" s="24" t="inlineStr">
        <is>
          <t>最大层级</t>
        </is>
      </c>
      <c r="G14" s="24" t="n"/>
      <c r="H14" s="24" t="n"/>
      <c r="I14" s="24" t="inlineStr"/>
      <c r="J14" s="24" t="inlineStr">
        <is>
          <t>2023/01/12</t>
        </is>
      </c>
    </row>
    <row r="15">
      <c r="B15" s="24" t="inlineStr">
        <is>
          <t>evaluate_catalog</t>
        </is>
      </c>
      <c r="C15" s="24" t="inlineStr">
        <is>
          <t>EVALUATECONTEXT</t>
        </is>
      </c>
      <c r="D15" s="24" t="inlineStr">
        <is>
          <t>varchar(4000)</t>
        </is>
      </c>
      <c r="E15" s="24" t="inlineStr">
        <is>
          <t>YES</t>
        </is>
      </c>
      <c r="F15" s="24" t="inlineStr">
        <is>
          <t>评估表配置</t>
        </is>
      </c>
      <c r="G15" s="24" t="n"/>
      <c r="H15" s="24" t="n"/>
      <c r="I15" s="24" t="inlineStr"/>
      <c r="J15" s="24" t="inlineStr">
        <is>
          <t>2023/01/12</t>
        </is>
      </c>
    </row>
    <row r="16">
      <c r="B16" s="24" t="inlineStr">
        <is>
          <t>evaluate_catalog</t>
        </is>
      </c>
      <c r="C16" s="24" t="inlineStr">
        <is>
          <t>TRANSFORMMETHOD</t>
        </is>
      </c>
      <c r="D16" s="24" t="inlineStr">
        <is>
          <t>varchar(4000)</t>
        </is>
      </c>
      <c r="E16" s="24" t="inlineStr">
        <is>
          <t>YES</t>
        </is>
      </c>
      <c r="F16" s="24" t="inlineStr">
        <is>
          <t>转换方法</t>
        </is>
      </c>
      <c r="G16" s="24" t="n"/>
      <c r="H16" s="24" t="n"/>
      <c r="I16" s="24" t="inlineStr"/>
      <c r="J16" s="24" t="inlineStr">
        <is>
          <t>2023/01/12</t>
        </is>
      </c>
    </row>
  </sheetData>
  <pageMargins left="0.75" right="0.75" top="1" bottom="1" header="0.5" footer="0.5"/>
  <pageSetup orientation="portrait" paperSize="1" horizontalDpi="300" verticalDpi="300"/>
</worksheet>
</file>

<file path=xl/worksheets/sheet120.xml><?xml version="1.0" encoding="utf-8"?>
<worksheet xmlns="http://schemas.openxmlformats.org/spreadsheetml/2006/main">
  <sheetPr>
    <outlinePr summaryBelow="1" summaryRight="1"/>
    <pageSetUpPr/>
  </sheetPr>
  <dimension ref="A1:J15"/>
  <sheetViews>
    <sheetView zoomScaleSheetLayoutView="60" workbookViewId="0">
      <selection activeCell="D15" sqref="D15"/>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评估数据</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evaluate_data</t>
        </is>
      </c>
      <c r="C3" s="24" t="inlineStr">
        <is>
          <t>OBJECTTYPE</t>
        </is>
      </c>
      <c r="D3" s="24" t="inlineStr">
        <is>
          <t>varchar(32)</t>
        </is>
      </c>
      <c r="E3" s="24" t="inlineStr">
        <is>
          <t>NO</t>
        </is>
      </c>
      <c r="F3" s="24" t="inlineStr">
        <is>
          <t>对象类型</t>
        </is>
      </c>
      <c r="G3" s="24" t="n"/>
      <c r="H3" s="24" t="n"/>
      <c r="I3" s="24" t="inlineStr"/>
      <c r="J3" s="24" t="inlineStr">
        <is>
          <t>2023/01/12</t>
        </is>
      </c>
    </row>
    <row r="4">
      <c r="B4" s="24" t="inlineStr">
        <is>
          <t>evaluate_data</t>
        </is>
      </c>
      <c r="C4" s="24" t="inlineStr">
        <is>
          <t>OBJECTNO</t>
        </is>
      </c>
      <c r="D4" s="24" t="inlineStr">
        <is>
          <t>varchar(32)</t>
        </is>
      </c>
      <c r="E4" s="24" t="inlineStr">
        <is>
          <t>NO</t>
        </is>
      </c>
      <c r="F4" s="24" t="inlineStr">
        <is>
          <t>对象编号</t>
        </is>
      </c>
      <c r="G4" s="24" t="n"/>
      <c r="H4" s="24" t="n"/>
      <c r="I4" s="24" t="inlineStr"/>
      <c r="J4" s="24" t="inlineStr">
        <is>
          <t>2023/01/12</t>
        </is>
      </c>
    </row>
    <row r="5">
      <c r="B5" s="24" t="inlineStr">
        <is>
          <t>evaluate_data</t>
        </is>
      </c>
      <c r="C5" s="24" t="inlineStr">
        <is>
          <t>SERIALNO</t>
        </is>
      </c>
      <c r="D5" s="24" t="inlineStr">
        <is>
          <t>varchar(32)</t>
        </is>
      </c>
      <c r="E5" s="24" t="inlineStr">
        <is>
          <t>NO</t>
        </is>
      </c>
      <c r="F5" s="24" t="inlineStr">
        <is>
          <t>流水号</t>
        </is>
      </c>
      <c r="G5" s="24" t="n"/>
      <c r="H5" s="24" t="n"/>
      <c r="I5" s="24" t="inlineStr"/>
      <c r="J5" s="24" t="inlineStr">
        <is>
          <t>2023/01/12</t>
        </is>
      </c>
    </row>
    <row r="6">
      <c r="B6" s="24" t="inlineStr">
        <is>
          <t>evaluate_data</t>
        </is>
      </c>
      <c r="C6" s="24" t="inlineStr">
        <is>
          <t>ITEMNO</t>
        </is>
      </c>
      <c r="D6" s="24" t="inlineStr">
        <is>
          <t>varchar(32)</t>
        </is>
      </c>
      <c r="E6" s="24" t="inlineStr">
        <is>
          <t>NO</t>
        </is>
      </c>
      <c r="F6" s="24" t="inlineStr">
        <is>
          <t>评级项</t>
        </is>
      </c>
      <c r="G6" s="24" t="n"/>
      <c r="H6" s="24" t="n"/>
      <c r="I6" s="24" t="inlineStr"/>
      <c r="J6" s="24" t="inlineStr">
        <is>
          <t>2023/01/12</t>
        </is>
      </c>
    </row>
    <row r="7">
      <c r="B7" s="24" t="inlineStr">
        <is>
          <t>evaluate_data</t>
        </is>
      </c>
      <c r="C7" s="24" t="inlineStr">
        <is>
          <t>ITEMVALUE</t>
        </is>
      </c>
      <c r="D7" s="24" t="inlineStr">
        <is>
          <t>varchar(80)</t>
        </is>
      </c>
      <c r="E7" s="24" t="inlineStr">
        <is>
          <t>YES</t>
        </is>
      </c>
      <c r="F7" s="24" t="inlineStr">
        <is>
          <t>项目值</t>
        </is>
      </c>
      <c r="G7" s="24" t="n"/>
      <c r="H7" s="24" t="n"/>
      <c r="I7" s="24" t="inlineStr"/>
      <c r="J7" s="24" t="inlineStr">
        <is>
          <t>2023/01/12</t>
        </is>
      </c>
    </row>
    <row r="8">
      <c r="B8" s="24" t="inlineStr">
        <is>
          <t>evaluate_data</t>
        </is>
      </c>
      <c r="C8" s="24" t="inlineStr">
        <is>
          <t>EVALUATESCORE</t>
        </is>
      </c>
      <c r="D8" s="24" t="inlineStr">
        <is>
          <t>decimal(24,6)</t>
        </is>
      </c>
      <c r="E8" s="24" t="inlineStr">
        <is>
          <t>YES</t>
        </is>
      </c>
      <c r="F8" s="24" t="inlineStr">
        <is>
          <t>项目得分</t>
        </is>
      </c>
      <c r="G8" s="24" t="n"/>
      <c r="H8" s="24" t="n"/>
      <c r="I8" s="24" t="inlineStr"/>
      <c r="J8" s="24" t="inlineStr">
        <is>
          <t>2023/01/12</t>
        </is>
      </c>
    </row>
    <row r="9">
      <c r="B9" s="24" t="inlineStr">
        <is>
          <t>evaluate_data</t>
        </is>
      </c>
      <c r="C9" s="24" t="inlineStr">
        <is>
          <t>INPUTORGID</t>
        </is>
      </c>
      <c r="D9" s="24" t="inlineStr">
        <is>
          <t>varchar(32)</t>
        </is>
      </c>
      <c r="E9" s="24" t="inlineStr">
        <is>
          <t>YES</t>
        </is>
      </c>
      <c r="F9" s="24" t="inlineStr">
        <is>
          <t>登记机构</t>
        </is>
      </c>
      <c r="G9" s="24" t="n"/>
      <c r="H9" s="24" t="n"/>
      <c r="I9" s="24" t="inlineStr"/>
      <c r="J9" s="24" t="inlineStr">
        <is>
          <t>2023/01/12</t>
        </is>
      </c>
    </row>
    <row r="10">
      <c r="B10" s="24" t="inlineStr">
        <is>
          <t>evaluate_data</t>
        </is>
      </c>
      <c r="C10" s="24" t="inlineStr">
        <is>
          <t>INPUTUSERID</t>
        </is>
      </c>
      <c r="D10" s="24" t="inlineStr">
        <is>
          <t>varchar(32)</t>
        </is>
      </c>
      <c r="E10" s="24" t="inlineStr">
        <is>
          <t>YES</t>
        </is>
      </c>
      <c r="F10" s="24" t="inlineStr">
        <is>
          <t>登记人</t>
        </is>
      </c>
      <c r="G10" s="24" t="n"/>
      <c r="H10" s="24" t="n"/>
      <c r="I10" s="24" t="inlineStr"/>
      <c r="J10" s="24" t="inlineStr">
        <is>
          <t>2023/01/12</t>
        </is>
      </c>
    </row>
    <row r="11">
      <c r="B11" s="24" t="inlineStr">
        <is>
          <t>evaluate_data</t>
        </is>
      </c>
      <c r="C11" s="24" t="inlineStr">
        <is>
          <t>INPUTDATE</t>
        </is>
      </c>
      <c r="D11" s="24" t="inlineStr">
        <is>
          <t>datetime</t>
        </is>
      </c>
      <c r="E11" s="24" t="inlineStr">
        <is>
          <t>YES</t>
        </is>
      </c>
      <c r="F11" s="24" t="inlineStr">
        <is>
          <t>登记日期</t>
        </is>
      </c>
      <c r="G11" s="24" t="n"/>
      <c r="H11" s="24" t="n"/>
      <c r="I11" s="24" t="inlineStr"/>
      <c r="J11" s="24" t="inlineStr">
        <is>
          <t>2023/01/12</t>
        </is>
      </c>
    </row>
    <row r="12">
      <c r="B12" s="24" t="inlineStr">
        <is>
          <t>evaluate_data</t>
        </is>
      </c>
      <c r="C12" s="24" t="inlineStr">
        <is>
          <t>UPDATEORGID</t>
        </is>
      </c>
      <c r="D12" s="24" t="inlineStr">
        <is>
          <t>varchar(32)</t>
        </is>
      </c>
      <c r="E12" s="24" t="inlineStr">
        <is>
          <t>YES</t>
        </is>
      </c>
      <c r="F12" s="24" t="inlineStr">
        <is>
          <t>更新机构</t>
        </is>
      </c>
      <c r="G12" s="24" t="n"/>
      <c r="H12" s="24" t="n"/>
      <c r="I12" s="24" t="inlineStr"/>
      <c r="J12" s="24" t="inlineStr">
        <is>
          <t>2023/01/12</t>
        </is>
      </c>
    </row>
    <row r="13">
      <c r="B13" s="24" t="inlineStr">
        <is>
          <t>evaluate_data</t>
        </is>
      </c>
      <c r="C13" s="24" t="inlineStr">
        <is>
          <t>UPDATEUSERID</t>
        </is>
      </c>
      <c r="D13" s="24" t="inlineStr">
        <is>
          <t>varchar(32)</t>
        </is>
      </c>
      <c r="E13" s="24" t="inlineStr">
        <is>
          <t>YES</t>
        </is>
      </c>
      <c r="F13" s="24" t="inlineStr">
        <is>
          <t>更新人</t>
        </is>
      </c>
      <c r="G13" s="24" t="n"/>
      <c r="H13" s="24" t="n"/>
      <c r="I13" s="24" t="inlineStr"/>
      <c r="J13" s="24" t="inlineStr">
        <is>
          <t>2023/01/12</t>
        </is>
      </c>
    </row>
    <row r="14">
      <c r="B14" s="24" t="inlineStr">
        <is>
          <t>evaluate_data</t>
        </is>
      </c>
      <c r="C14" s="24" t="inlineStr">
        <is>
          <t>UPDATEDATE</t>
        </is>
      </c>
      <c r="D14" s="24" t="inlineStr">
        <is>
          <t>datetime</t>
        </is>
      </c>
      <c r="E14" s="24" t="inlineStr">
        <is>
          <t>YES</t>
        </is>
      </c>
      <c r="F14" s="24" t="inlineStr">
        <is>
          <t>更新日期</t>
        </is>
      </c>
      <c r="G14" s="24" t="n"/>
      <c r="H14" s="24" t="n"/>
      <c r="I14" s="24" t="inlineStr"/>
      <c r="J14" s="24" t="inlineStr">
        <is>
          <t>2023/01/12</t>
        </is>
      </c>
    </row>
    <row r="15">
      <c r="B15" s="24" t="inlineStr">
        <is>
          <t>evaluate_data</t>
        </is>
      </c>
      <c r="C15" s="24" t="inlineStr">
        <is>
          <t>CORPORGID</t>
        </is>
      </c>
      <c r="D15" s="24" t="inlineStr">
        <is>
          <t>varchar(32)</t>
        </is>
      </c>
      <c r="E15" s="24" t="inlineStr">
        <is>
          <t>YES</t>
        </is>
      </c>
      <c r="F15" s="24" t="inlineStr">
        <is>
          <t>法人机构编号</t>
        </is>
      </c>
      <c r="G15" s="24" t="n"/>
      <c r="H15" s="24" t="n"/>
      <c r="I15" s="24" t="inlineStr"/>
      <c r="J15" s="24" t="inlineStr">
        <is>
          <t>2023/01/12</t>
        </is>
      </c>
    </row>
  </sheetData>
  <pageMargins left="0.75" right="0.75" top="1" bottom="1" header="0.5" footer="0.5"/>
  <pageSetup orientation="portrait" paperSize="1" horizontalDpi="300" verticalDpi="300"/>
</worksheet>
</file>

<file path=xl/worksheets/sheet121.xml><?xml version="1.0" encoding="utf-8"?>
<worksheet xmlns="http://schemas.openxmlformats.org/spreadsheetml/2006/main">
  <sheetPr>
    <outlinePr summaryBelow="1" summaryRight="1"/>
    <pageSetUpPr/>
  </sheetPr>
  <dimension ref="A1:J24"/>
  <sheetViews>
    <sheetView zoomScaleSheetLayoutView="60" workbookViewId="0">
      <selection activeCell="D24" sqref="D24"/>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评估模型</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evaluate_model</t>
        </is>
      </c>
      <c r="C3" s="24" t="inlineStr">
        <is>
          <t>MODELNO</t>
        </is>
      </c>
      <c r="D3" s="24" t="inlineStr">
        <is>
          <t>varchar(32)</t>
        </is>
      </c>
      <c r="E3" s="24" t="inlineStr">
        <is>
          <t>NO</t>
        </is>
      </c>
      <c r="F3" s="24" t="inlineStr">
        <is>
          <t>评估表编号</t>
        </is>
      </c>
      <c r="G3" s="24" t="n"/>
      <c r="H3" s="24" t="n"/>
      <c r="I3" s="24" t="inlineStr"/>
      <c r="J3" s="24" t="inlineStr">
        <is>
          <t>2023/01/12</t>
        </is>
      </c>
    </row>
    <row r="4">
      <c r="B4" s="24" t="inlineStr">
        <is>
          <t>evaluate_model</t>
        </is>
      </c>
      <c r="C4" s="24" t="inlineStr">
        <is>
          <t>ITEMNO</t>
        </is>
      </c>
      <c r="D4" s="24" t="inlineStr">
        <is>
          <t>varchar(32)</t>
        </is>
      </c>
      <c r="E4" s="24" t="inlineStr">
        <is>
          <t>NO</t>
        </is>
      </c>
      <c r="F4" s="24" t="inlineStr">
        <is>
          <t>项目编号</t>
        </is>
      </c>
      <c r="G4" s="24" t="n"/>
      <c r="H4" s="24" t="n"/>
      <c r="I4" s="24" t="inlineStr"/>
      <c r="J4" s="24" t="inlineStr">
        <is>
          <t>2023/01/12</t>
        </is>
      </c>
    </row>
    <row r="5">
      <c r="B5" s="24" t="inlineStr">
        <is>
          <t>evaluate_model</t>
        </is>
      </c>
      <c r="C5" s="24" t="inlineStr">
        <is>
          <t>ITEMNAME</t>
        </is>
      </c>
      <c r="D5" s="24" t="inlineStr">
        <is>
          <t>varchar(80)</t>
        </is>
      </c>
      <c r="E5" s="24" t="inlineStr">
        <is>
          <t>YES</t>
        </is>
      </c>
      <c r="F5" s="24" t="inlineStr">
        <is>
          <t>项目名称</t>
        </is>
      </c>
      <c r="G5" s="24" t="n"/>
      <c r="H5" s="24" t="n"/>
      <c r="I5" s="24" t="inlineStr"/>
      <c r="J5" s="24" t="inlineStr">
        <is>
          <t>2023/01/12</t>
        </is>
      </c>
    </row>
    <row r="6">
      <c r="B6" s="24" t="inlineStr">
        <is>
          <t>evaluate_model</t>
        </is>
      </c>
      <c r="C6" s="24" t="inlineStr">
        <is>
          <t>VALUECODE</t>
        </is>
      </c>
      <c r="D6" s="24" t="inlineStr">
        <is>
          <t>varchar(500)</t>
        </is>
      </c>
      <c r="E6" s="24" t="inlineStr">
        <is>
          <t>YES</t>
        </is>
      </c>
      <c r="F6" s="24" t="inlineStr">
        <is>
          <t>取值代码</t>
        </is>
      </c>
      <c r="G6" s="24" t="n"/>
      <c r="H6" s="24" t="n"/>
      <c r="I6" s="24" t="inlineStr"/>
      <c r="J6" s="24" t="inlineStr">
        <is>
          <t>2023/01/12</t>
        </is>
      </c>
    </row>
    <row r="7">
      <c r="B7" s="24" t="inlineStr">
        <is>
          <t>evaluate_model</t>
        </is>
      </c>
      <c r="C7" s="24" t="inlineStr">
        <is>
          <t>VALUETYPE</t>
        </is>
      </c>
      <c r="D7" s="24" t="inlineStr">
        <is>
          <t>varchar(32)</t>
        </is>
      </c>
      <c r="E7" s="24" t="inlineStr">
        <is>
          <t>YES</t>
        </is>
      </c>
      <c r="F7" s="24" t="inlineStr">
        <is>
          <t>值类型</t>
        </is>
      </c>
      <c r="G7" s="52">
        <f>HYPERLINK("#码值映射清单!B5562","DataType")</f>
        <v/>
      </c>
      <c r="H7" s="24" t="n"/>
      <c r="I7" s="24" t="inlineStr"/>
      <c r="J7" s="24" t="inlineStr">
        <is>
          <t>2023/01/12</t>
        </is>
      </c>
    </row>
    <row r="8">
      <c r="B8" s="24" t="inlineStr">
        <is>
          <t>evaluate_model</t>
        </is>
      </c>
      <c r="C8" s="24" t="inlineStr">
        <is>
          <t>EVALUATEINPUT</t>
        </is>
      </c>
      <c r="D8" s="24" t="inlineStr">
        <is>
          <t>varchar(80)</t>
        </is>
      </c>
      <c r="E8" s="24" t="inlineStr">
        <is>
          <t>YES</t>
        </is>
      </c>
      <c r="F8" s="24" t="inlineStr">
        <is>
          <t>评估输入名称</t>
        </is>
      </c>
      <c r="G8" s="24" t="n"/>
      <c r="H8" s="24" t="n"/>
      <c r="I8" s="24" t="inlineStr"/>
      <c r="J8" s="24" t="inlineStr">
        <is>
          <t>2023/01/12</t>
        </is>
      </c>
    </row>
    <row r="9">
      <c r="B9" s="24" t="inlineStr">
        <is>
          <t>evaluate_model</t>
        </is>
      </c>
      <c r="C9" s="24" t="inlineStr">
        <is>
          <t>EVALUATEOUTPUT</t>
        </is>
      </c>
      <c r="D9" s="24" t="inlineStr">
        <is>
          <t>varchar(80)</t>
        </is>
      </c>
      <c r="E9" s="24" t="inlineStr">
        <is>
          <t>YES</t>
        </is>
      </c>
      <c r="F9" s="24" t="inlineStr">
        <is>
          <t>评估输出名称</t>
        </is>
      </c>
      <c r="G9" s="24" t="n"/>
      <c r="H9" s="24" t="n"/>
      <c r="I9" s="24" t="inlineStr"/>
      <c r="J9" s="24" t="inlineStr">
        <is>
          <t>2023/01/12</t>
        </is>
      </c>
    </row>
    <row r="10">
      <c r="B10" s="24" t="inlineStr">
        <is>
          <t>evaluate_model</t>
        </is>
      </c>
      <c r="C10" s="24" t="inlineStr">
        <is>
          <t>VALUESUBJECTNO</t>
        </is>
      </c>
      <c r="D10" s="24" t="inlineStr">
        <is>
          <t>varchar(1000)</t>
        </is>
      </c>
      <c r="E10" s="24" t="inlineStr">
        <is>
          <t>YES</t>
        </is>
      </c>
      <c r="F10" s="24" t="inlineStr">
        <is>
          <t>财务指标</t>
        </is>
      </c>
      <c r="G10" s="24" t="n"/>
      <c r="H10" s="24" t="n"/>
      <c r="I10" s="24" t="inlineStr"/>
      <c r="J10" s="24" t="inlineStr">
        <is>
          <t>2023/01/12</t>
        </is>
      </c>
    </row>
    <row r="11">
      <c r="B11" s="24" t="inlineStr">
        <is>
          <t>evaluate_model</t>
        </is>
      </c>
      <c r="C11" s="24" t="inlineStr">
        <is>
          <t>REMARK</t>
        </is>
      </c>
      <c r="D11" s="24" t="inlineStr">
        <is>
          <t>varchar(1000)</t>
        </is>
      </c>
      <c r="E11" s="24" t="inlineStr">
        <is>
          <t>YES</t>
        </is>
      </c>
      <c r="F11" s="24" t="inlineStr">
        <is>
          <t>备注</t>
        </is>
      </c>
      <c r="G11" s="24" t="n"/>
      <c r="H11" s="24" t="n"/>
      <c r="I11" s="24" t="inlineStr"/>
      <c r="J11" s="24" t="inlineStr">
        <is>
          <t>2023/01/12</t>
        </is>
      </c>
    </row>
    <row r="12">
      <c r="B12" s="24" t="inlineStr">
        <is>
          <t>evaluate_model</t>
        </is>
      </c>
      <c r="C12" s="24" t="inlineStr">
        <is>
          <t>INPUTORGID</t>
        </is>
      </c>
      <c r="D12" s="24" t="inlineStr">
        <is>
          <t>varchar(32)</t>
        </is>
      </c>
      <c r="E12" s="24" t="inlineStr">
        <is>
          <t>YES</t>
        </is>
      </c>
      <c r="F12" s="24" t="inlineStr">
        <is>
          <t>登记机构</t>
        </is>
      </c>
      <c r="G12" s="24" t="n"/>
      <c r="H12" s="24" t="n"/>
      <c r="I12" s="24" t="inlineStr"/>
      <c r="J12" s="24" t="inlineStr">
        <is>
          <t>2023/01/12</t>
        </is>
      </c>
    </row>
    <row r="13">
      <c r="B13" s="24" t="inlineStr">
        <is>
          <t>evaluate_model</t>
        </is>
      </c>
      <c r="C13" s="24" t="inlineStr">
        <is>
          <t>INPUTUSERID</t>
        </is>
      </c>
      <c r="D13" s="24" t="inlineStr">
        <is>
          <t>varchar(32)</t>
        </is>
      </c>
      <c r="E13" s="24" t="inlineStr">
        <is>
          <t>YES</t>
        </is>
      </c>
      <c r="F13" s="24" t="inlineStr">
        <is>
          <t>登记人</t>
        </is>
      </c>
      <c r="G13" s="24" t="n"/>
      <c r="H13" s="24" t="n"/>
      <c r="I13" s="24" t="inlineStr"/>
      <c r="J13" s="24" t="inlineStr">
        <is>
          <t>2023/01/12</t>
        </is>
      </c>
    </row>
    <row r="14">
      <c r="B14" s="24" t="inlineStr">
        <is>
          <t>evaluate_model</t>
        </is>
      </c>
      <c r="C14" s="24" t="inlineStr">
        <is>
          <t>INPUTDATE</t>
        </is>
      </c>
      <c r="D14" s="24" t="inlineStr">
        <is>
          <t>datetime</t>
        </is>
      </c>
      <c r="E14" s="24" t="inlineStr">
        <is>
          <t>YES</t>
        </is>
      </c>
      <c r="F14" s="24" t="inlineStr">
        <is>
          <t>登记日期</t>
        </is>
      </c>
      <c r="G14" s="24" t="n"/>
      <c r="H14" s="24" t="n"/>
      <c r="I14" s="24" t="inlineStr"/>
      <c r="J14" s="24" t="inlineStr">
        <is>
          <t>2023/01/12</t>
        </is>
      </c>
    </row>
    <row r="15">
      <c r="B15" s="24" t="inlineStr">
        <is>
          <t>evaluate_model</t>
        </is>
      </c>
      <c r="C15" s="24" t="inlineStr">
        <is>
          <t>UPDATEORGID</t>
        </is>
      </c>
      <c r="D15" s="24" t="inlineStr">
        <is>
          <t>varchar(32)</t>
        </is>
      </c>
      <c r="E15" s="24" t="inlineStr">
        <is>
          <t>YES</t>
        </is>
      </c>
      <c r="F15" s="24" t="inlineStr">
        <is>
          <t>更新机构</t>
        </is>
      </c>
      <c r="G15" s="24" t="n"/>
      <c r="H15" s="24" t="n"/>
      <c r="I15" s="24" t="inlineStr"/>
      <c r="J15" s="24" t="inlineStr">
        <is>
          <t>2023/01/12</t>
        </is>
      </c>
    </row>
    <row r="16">
      <c r="B16" s="24" t="inlineStr">
        <is>
          <t>evaluate_model</t>
        </is>
      </c>
      <c r="C16" s="24" t="inlineStr">
        <is>
          <t>UPDATEUSERID</t>
        </is>
      </c>
      <c r="D16" s="24" t="inlineStr">
        <is>
          <t>varchar(32)</t>
        </is>
      </c>
      <c r="E16" s="24" t="inlineStr">
        <is>
          <t>YES</t>
        </is>
      </c>
      <c r="F16" s="24" t="inlineStr">
        <is>
          <t>更新人</t>
        </is>
      </c>
      <c r="G16" s="24" t="n"/>
      <c r="H16" s="24" t="n"/>
      <c r="I16" s="24" t="inlineStr"/>
      <c r="J16" s="24" t="inlineStr">
        <is>
          <t>2023/01/12</t>
        </is>
      </c>
    </row>
    <row r="17">
      <c r="B17" s="24" t="inlineStr">
        <is>
          <t>evaluate_model</t>
        </is>
      </c>
      <c r="C17" s="24" t="inlineStr">
        <is>
          <t>UPDATEDATE</t>
        </is>
      </c>
      <c r="D17" s="24" t="inlineStr">
        <is>
          <t>datetime</t>
        </is>
      </c>
      <c r="E17" s="24" t="inlineStr">
        <is>
          <t>YES</t>
        </is>
      </c>
      <c r="F17" s="24" t="inlineStr">
        <is>
          <t>更新日期</t>
        </is>
      </c>
      <c r="G17" s="24" t="n"/>
      <c r="H17" s="24" t="n"/>
      <c r="I17" s="24" t="inlineStr"/>
      <c r="J17" s="24" t="inlineStr">
        <is>
          <t>2023/01/12</t>
        </is>
      </c>
    </row>
    <row r="18">
      <c r="B18" s="24" t="inlineStr">
        <is>
          <t>evaluate_model</t>
        </is>
      </c>
      <c r="C18" s="24" t="inlineStr">
        <is>
          <t>ISTITLE</t>
        </is>
      </c>
      <c r="D18" s="24" t="inlineStr">
        <is>
          <t>varchar(6)</t>
        </is>
      </c>
      <c r="E18" s="24" t="inlineStr">
        <is>
          <t>YES</t>
        </is>
      </c>
      <c r="F18" s="24" t="inlineStr">
        <is>
          <t>是否是指标;标题）</t>
        </is>
      </c>
      <c r="G18" s="52">
        <f>HYPERLINK("#码值映射清单!B5150","YesNo")</f>
        <v/>
      </c>
      <c r="H18" s="24" t="n"/>
      <c r="I18" s="24" t="inlineStr"/>
      <c r="J18" s="24" t="inlineStr">
        <is>
          <t>2023/01/12</t>
        </is>
      </c>
    </row>
    <row r="19">
      <c r="B19" s="24" t="inlineStr">
        <is>
          <t>evaluate_model</t>
        </is>
      </c>
      <c r="C19" s="24" t="inlineStr">
        <is>
          <t>PARENTNO</t>
        </is>
      </c>
      <c r="D19" s="24" t="inlineStr">
        <is>
          <t>varchar(80)</t>
        </is>
      </c>
      <c r="E19" s="24" t="inlineStr">
        <is>
          <t>YES</t>
        </is>
      </c>
      <c r="F19" s="24" t="inlineStr">
        <is>
          <t>父节点值</t>
        </is>
      </c>
      <c r="G19" s="24" t="n"/>
      <c r="H19" s="24" t="n"/>
      <c r="I19" s="24" t="inlineStr"/>
      <c r="J19" s="24" t="inlineStr">
        <is>
          <t>2023/01/12</t>
        </is>
      </c>
    </row>
    <row r="20">
      <c r="B20" s="24" t="inlineStr">
        <is>
          <t>evaluate_model</t>
        </is>
      </c>
      <c r="C20" s="24" t="inlineStr">
        <is>
          <t>DISPLAYNO</t>
        </is>
      </c>
      <c r="D20" s="24" t="inlineStr">
        <is>
          <t>varchar(32)</t>
        </is>
      </c>
      <c r="E20" s="24" t="inlineStr">
        <is>
          <t>YES</t>
        </is>
      </c>
      <c r="F20" s="24" t="inlineStr">
        <is>
          <t>显示序号</t>
        </is>
      </c>
      <c r="G20" s="24" t="n"/>
      <c r="H20" s="24" t="n"/>
      <c r="I20" s="24" t="inlineStr"/>
      <c r="J20" s="24" t="inlineStr">
        <is>
          <t>2023/01/12</t>
        </is>
      </c>
    </row>
    <row r="21">
      <c r="B21" s="24" t="inlineStr">
        <is>
          <t>evaluate_model</t>
        </is>
      </c>
      <c r="C21" s="24" t="inlineStr">
        <is>
          <t>ITEMATTRIBUTE</t>
        </is>
      </c>
      <c r="D21" s="24" t="inlineStr">
        <is>
          <t>varchar(1000)</t>
        </is>
      </c>
      <c r="E21" s="24" t="inlineStr">
        <is>
          <t>YES</t>
        </is>
      </c>
      <c r="F21" s="24" t="inlineStr">
        <is>
          <t>项目属性</t>
        </is>
      </c>
      <c r="G21" s="24" t="n"/>
      <c r="H21" s="24" t="n"/>
      <c r="I21" s="24" t="inlineStr"/>
      <c r="J21" s="24" t="inlineStr">
        <is>
          <t>2023/01/12</t>
        </is>
      </c>
    </row>
    <row r="22">
      <c r="B22" s="24" t="inlineStr">
        <is>
          <t>evaluate_model</t>
        </is>
      </c>
      <c r="C22" s="24" t="inlineStr">
        <is>
          <t>COEFFICIENT</t>
        </is>
      </c>
      <c r="D22" s="24" t="inlineStr">
        <is>
          <t>decimal(24,6)</t>
        </is>
      </c>
      <c r="E22" s="24" t="inlineStr">
        <is>
          <t>YES</t>
        </is>
      </c>
      <c r="F22" s="24" t="inlineStr">
        <is>
          <t>系数</t>
        </is>
      </c>
      <c r="G22" s="24" t="n"/>
      <c r="H22" s="24" t="n"/>
      <c r="I22" s="24" t="inlineStr"/>
      <c r="J22" s="24" t="inlineStr">
        <is>
          <t>2023/01/12</t>
        </is>
      </c>
    </row>
    <row r="23">
      <c r="B23" s="24" t="inlineStr">
        <is>
          <t>evaluate_model</t>
        </is>
      </c>
      <c r="C23" s="24" t="inlineStr">
        <is>
          <t>EVALUATEMETHOD</t>
        </is>
      </c>
      <c r="D23" s="24" t="inlineStr">
        <is>
          <t>varchar(4000)</t>
        </is>
      </c>
      <c r="E23" s="24" t="inlineStr">
        <is>
          <t>YES</t>
        </is>
      </c>
      <c r="F23" s="24" t="inlineStr">
        <is>
          <t>评估方法</t>
        </is>
      </c>
      <c r="G23" s="24" t="n"/>
      <c r="H23" s="24" t="n"/>
      <c r="I23" s="24" t="inlineStr"/>
      <c r="J23" s="24" t="inlineStr">
        <is>
          <t>2023/01/12</t>
        </is>
      </c>
    </row>
    <row r="24">
      <c r="B24" s="24" t="inlineStr">
        <is>
          <t>evaluate_model</t>
        </is>
      </c>
      <c r="C24" s="24" t="inlineStr">
        <is>
          <t>VALUEMETHOD</t>
        </is>
      </c>
      <c r="D24" s="24" t="inlineStr">
        <is>
          <t>varchar(1000)</t>
        </is>
      </c>
      <c r="E24" s="24" t="inlineStr">
        <is>
          <t>YES</t>
        </is>
      </c>
      <c r="F24" s="24" t="inlineStr">
        <is>
          <t>评估方法</t>
        </is>
      </c>
      <c r="G24" s="24" t="n"/>
      <c r="H24" s="24" t="n"/>
      <c r="I24" s="24" t="inlineStr"/>
      <c r="J24" s="24" t="inlineStr">
        <is>
          <t>2023/01/12</t>
        </is>
      </c>
    </row>
  </sheetData>
  <pageMargins left="0.75" right="0.75" top="1" bottom="1" header="0.5" footer="0.5"/>
  <pageSetup orientation="portrait" paperSize="1" horizontalDpi="300" verticalDpi="300"/>
</worksheet>
</file>

<file path=xl/worksheets/sheet122.xml><?xml version="1.0" encoding="utf-8"?>
<worksheet xmlns="http://schemas.openxmlformats.org/spreadsheetml/2006/main">
  <sheetPr>
    <outlinePr summaryBelow="1" summaryRight="1"/>
    <pageSetUpPr/>
  </sheetPr>
  <dimension ref="A1:J32"/>
  <sheetViews>
    <sheetView zoomScaleSheetLayoutView="60" workbookViewId="0">
      <selection activeCell="D24" sqref="D24"/>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记录模型评定信息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evaluate_record</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evaluate_record</t>
        </is>
      </c>
      <c r="C4" s="24" t="inlineStr">
        <is>
          <t>OBJECTNO</t>
        </is>
      </c>
      <c r="D4" s="24" t="inlineStr">
        <is>
          <t>varchar(32)</t>
        </is>
      </c>
      <c r="E4" s="24" t="inlineStr">
        <is>
          <t>YES</t>
        </is>
      </c>
      <c r="F4" s="24" t="inlineStr">
        <is>
          <t>客户编号</t>
        </is>
      </c>
      <c r="G4" s="24" t="n"/>
      <c r="H4" s="24" t="n"/>
      <c r="I4" s="24" t="inlineStr"/>
      <c r="J4" s="24" t="inlineStr">
        <is>
          <t>2023/01/12</t>
        </is>
      </c>
    </row>
    <row r="5">
      <c r="B5" s="24" t="inlineStr">
        <is>
          <t>evaluate_record</t>
        </is>
      </c>
      <c r="C5" s="24" t="inlineStr">
        <is>
          <t>OBJECTTYPE</t>
        </is>
      </c>
      <c r="D5" s="24" t="inlineStr">
        <is>
          <t>varchar(32)</t>
        </is>
      </c>
      <c r="E5" s="24" t="inlineStr">
        <is>
          <t>YES</t>
        </is>
      </c>
      <c r="F5" s="24" t="inlineStr">
        <is>
          <t>对象类型</t>
        </is>
      </c>
      <c r="G5" s="24" t="n"/>
      <c r="H5" s="24" t="n"/>
      <c r="I5" s="24" t="inlineStr"/>
      <c r="J5" s="24" t="inlineStr">
        <is>
          <t>2023/01/12</t>
        </is>
      </c>
    </row>
    <row r="6">
      <c r="B6" s="24" t="inlineStr">
        <is>
          <t>evaluate_record</t>
        </is>
      </c>
      <c r="C6" s="24" t="inlineStr">
        <is>
          <t>MODELNO</t>
        </is>
      </c>
      <c r="D6" s="24" t="inlineStr">
        <is>
          <t>varchar(32)</t>
        </is>
      </c>
      <c r="E6" s="24" t="inlineStr">
        <is>
          <t>YES</t>
        </is>
      </c>
      <c r="F6" s="24" t="inlineStr">
        <is>
          <t>评估模型</t>
        </is>
      </c>
      <c r="G6" s="61">
        <f>HYPERLINK("#码值映射清单!B8605","ScorereSource")</f>
        <v/>
      </c>
      <c r="H6" s="24" t="n"/>
      <c r="I6" s="24" t="inlineStr"/>
      <c r="J6" s="24" t="inlineStr">
        <is>
          <t>2023/01/12</t>
        </is>
      </c>
    </row>
    <row r="7">
      <c r="B7" s="24" t="inlineStr">
        <is>
          <t>evaluate_record</t>
        </is>
      </c>
      <c r="C7" s="24" t="inlineStr">
        <is>
          <t>EVALUATEDATE</t>
        </is>
      </c>
      <c r="D7" s="24" t="inlineStr">
        <is>
          <t>datetime</t>
        </is>
      </c>
      <c r="E7" s="24" t="inlineStr">
        <is>
          <t>YES</t>
        </is>
      </c>
      <c r="F7" s="24" t="inlineStr">
        <is>
          <t>系统评估日期</t>
        </is>
      </c>
      <c r="G7" s="24" t="n"/>
      <c r="H7" s="24" t="n"/>
      <c r="I7" s="24" t="inlineStr"/>
      <c r="J7" s="24" t="inlineStr">
        <is>
          <t>2023/01/12</t>
        </is>
      </c>
    </row>
    <row r="8">
      <c r="B8" s="24" t="inlineStr">
        <is>
          <t>evaluate_record</t>
        </is>
      </c>
      <c r="C8" s="24" t="inlineStr">
        <is>
          <t>EVALUATESCORE</t>
        </is>
      </c>
      <c r="D8" s="24" t="inlineStr">
        <is>
          <t>decimal(24,6)</t>
        </is>
      </c>
      <c r="E8" s="24" t="inlineStr">
        <is>
          <t>YES</t>
        </is>
      </c>
      <c r="F8" s="24" t="inlineStr">
        <is>
          <t>系统评估得分</t>
        </is>
      </c>
      <c r="G8" s="24" t="n"/>
      <c r="H8" s="24" t="n"/>
      <c r="I8" s="24" t="inlineStr"/>
      <c r="J8" s="24" t="inlineStr">
        <is>
          <t>2023/01/12</t>
        </is>
      </c>
    </row>
    <row r="9">
      <c r="B9" s="24" t="inlineStr">
        <is>
          <t>evaluate_record</t>
        </is>
      </c>
      <c r="C9" s="24" t="inlineStr">
        <is>
          <t>EVALUATERESULT</t>
        </is>
      </c>
      <c r="D9" s="24" t="inlineStr">
        <is>
          <t>varchar(80)</t>
        </is>
      </c>
      <c r="E9" s="24" t="inlineStr">
        <is>
          <t>YES</t>
        </is>
      </c>
      <c r="F9" s="24" t="inlineStr">
        <is>
          <t>系统评估结果</t>
        </is>
      </c>
      <c r="G9" s="62">
        <f>HYPERLINK("#码值映射清单!B10077","Score")</f>
        <v/>
      </c>
      <c r="H9" s="24" t="n"/>
      <c r="I9" s="24" t="inlineStr"/>
      <c r="J9" s="24" t="inlineStr">
        <is>
          <t>2023/01/12</t>
        </is>
      </c>
    </row>
    <row r="10">
      <c r="B10" s="24" t="inlineStr">
        <is>
          <t>evaluate_record</t>
        </is>
      </c>
      <c r="C10" s="24" t="inlineStr">
        <is>
          <t>ORGID</t>
        </is>
      </c>
      <c r="D10" s="24" t="inlineStr">
        <is>
          <t>varchar(32)</t>
        </is>
      </c>
      <c r="E10" s="24" t="inlineStr">
        <is>
          <t>YES</t>
        </is>
      </c>
      <c r="F10" s="24" t="inlineStr">
        <is>
          <t>评估机构</t>
        </is>
      </c>
      <c r="G10" s="24" t="n"/>
      <c r="H10" s="24" t="n"/>
      <c r="I10" s="24" t="inlineStr"/>
      <c r="J10" s="24" t="inlineStr">
        <is>
          <t>2023/01/12</t>
        </is>
      </c>
    </row>
    <row r="11">
      <c r="B11" s="24" t="inlineStr">
        <is>
          <t>evaluate_record</t>
        </is>
      </c>
      <c r="C11" s="24" t="inlineStr">
        <is>
          <t>USERID</t>
        </is>
      </c>
      <c r="D11" s="24" t="inlineStr">
        <is>
          <t>varchar(80)</t>
        </is>
      </c>
      <c r="E11" s="24" t="inlineStr">
        <is>
          <t>YES</t>
        </is>
      </c>
      <c r="F11" s="24" t="inlineStr">
        <is>
          <t>评估客户经理</t>
        </is>
      </c>
      <c r="G11" s="24" t="n"/>
      <c r="H11" s="24" t="n"/>
      <c r="I11" s="24" t="inlineStr"/>
      <c r="J11" s="24" t="inlineStr">
        <is>
          <t>2023/01/12</t>
        </is>
      </c>
    </row>
    <row r="12">
      <c r="B12" s="24" t="inlineStr">
        <is>
          <t>evaluate_record</t>
        </is>
      </c>
      <c r="C12" s="24" t="inlineStr">
        <is>
          <t>COGNDATE</t>
        </is>
      </c>
      <c r="D12" s="24" t="inlineStr">
        <is>
          <t>datetime</t>
        </is>
      </c>
      <c r="E12" s="24" t="inlineStr">
        <is>
          <t>YES</t>
        </is>
      </c>
      <c r="F12" s="24" t="inlineStr">
        <is>
          <t>认定日期</t>
        </is>
      </c>
      <c r="G12" s="24" t="n"/>
      <c r="H12" s="24" t="n"/>
      <c r="I12" s="24" t="inlineStr"/>
      <c r="J12" s="24" t="inlineStr">
        <is>
          <t>2023/01/12</t>
        </is>
      </c>
    </row>
    <row r="13">
      <c r="B13" s="24" t="inlineStr">
        <is>
          <t>evaluate_record</t>
        </is>
      </c>
      <c r="C13" s="24" t="inlineStr">
        <is>
          <t>COGNSCORE</t>
        </is>
      </c>
      <c r="D13" s="24" t="inlineStr">
        <is>
          <t>decimal(24,6)</t>
        </is>
      </c>
      <c r="E13" s="24" t="inlineStr">
        <is>
          <t>YES</t>
        </is>
      </c>
      <c r="F13" s="24" t="inlineStr">
        <is>
          <t>人工认定的分</t>
        </is>
      </c>
      <c r="G13" s="24" t="n"/>
      <c r="H13" s="24" t="n"/>
      <c r="I13" s="24" t="inlineStr"/>
      <c r="J13" s="24" t="inlineStr">
        <is>
          <t>2023/01/12</t>
        </is>
      </c>
    </row>
    <row r="14">
      <c r="B14" s="24" t="inlineStr">
        <is>
          <t>evaluate_record</t>
        </is>
      </c>
      <c r="C14" s="24" t="inlineStr">
        <is>
          <t>COGNRESULT</t>
        </is>
      </c>
      <c r="D14" s="24" t="inlineStr">
        <is>
          <t>varchar(80)</t>
        </is>
      </c>
      <c r="E14" s="24" t="inlineStr">
        <is>
          <t>YES</t>
        </is>
      </c>
      <c r="F14" s="24" t="inlineStr">
        <is>
          <t>人工认定结果</t>
        </is>
      </c>
      <c r="G14" s="55">
        <f>HYPERLINK("#码值映射清单!B10077","Score")</f>
        <v/>
      </c>
      <c r="H14" s="24" t="n"/>
      <c r="I14" s="24" t="inlineStr"/>
      <c r="J14" s="24" t="inlineStr">
        <is>
          <t>2023/01/12</t>
        </is>
      </c>
    </row>
    <row r="15">
      <c r="B15" s="24" t="inlineStr">
        <is>
          <t>evaluate_record</t>
        </is>
      </c>
      <c r="C15" s="24" t="inlineStr">
        <is>
          <t>COGNORGID</t>
        </is>
      </c>
      <c r="D15" s="24" t="inlineStr">
        <is>
          <t>varchar(80)</t>
        </is>
      </c>
      <c r="E15" s="24" t="inlineStr">
        <is>
          <t>YES</t>
        </is>
      </c>
      <c r="F15" s="24" t="inlineStr">
        <is>
          <t>认定单位</t>
        </is>
      </c>
      <c r="G15" s="24" t="n"/>
      <c r="H15" s="24" t="n"/>
      <c r="I15" s="24" t="inlineStr"/>
      <c r="J15" s="24" t="inlineStr">
        <is>
          <t>2023/01/12</t>
        </is>
      </c>
    </row>
    <row r="16">
      <c r="B16" s="24" t="inlineStr">
        <is>
          <t>evaluate_record</t>
        </is>
      </c>
      <c r="C16" s="24" t="inlineStr">
        <is>
          <t>COGNUSERID</t>
        </is>
      </c>
      <c r="D16" s="24" t="inlineStr">
        <is>
          <t>varchar(80)</t>
        </is>
      </c>
      <c r="E16" s="24" t="inlineStr">
        <is>
          <t>YES</t>
        </is>
      </c>
      <c r="F16" s="24" t="inlineStr">
        <is>
          <t>认定人</t>
        </is>
      </c>
      <c r="G16" s="24" t="n"/>
      <c r="H16" s="24" t="n"/>
      <c r="I16" s="24" t="inlineStr"/>
      <c r="J16" s="24" t="inlineStr">
        <is>
          <t>2023/01/12</t>
        </is>
      </c>
    </row>
    <row r="17">
      <c r="B17" s="24" t="inlineStr">
        <is>
          <t>evaluate_record</t>
        </is>
      </c>
      <c r="C17" s="24" t="inlineStr">
        <is>
          <t>COGNREASON</t>
        </is>
      </c>
      <c r="D17" s="24" t="inlineStr">
        <is>
          <t>varchar(500)</t>
        </is>
      </c>
      <c r="E17" s="24" t="inlineStr">
        <is>
          <t>YES</t>
        </is>
      </c>
      <c r="F17" s="24" t="inlineStr">
        <is>
          <t>认定理由</t>
        </is>
      </c>
      <c r="G17" s="24" t="n"/>
      <c r="H17" s="24" t="n"/>
      <c r="I17" s="24" t="inlineStr"/>
      <c r="J17" s="24" t="inlineStr">
        <is>
          <t>2023/01/12</t>
        </is>
      </c>
    </row>
    <row r="18">
      <c r="B18" s="24" t="inlineStr">
        <is>
          <t>evaluate_record</t>
        </is>
      </c>
      <c r="C18" s="24" t="inlineStr">
        <is>
          <t>EVALUATELEVEL</t>
        </is>
      </c>
      <c r="D18" s="24" t="inlineStr">
        <is>
          <t>varchar(32)</t>
        </is>
      </c>
      <c r="E18" s="24" t="inlineStr">
        <is>
          <t>YES</t>
        </is>
      </c>
      <c r="F18" s="24" t="inlineStr">
        <is>
          <t>认定级别</t>
        </is>
      </c>
      <c r="G18" s="52">
        <f>HYPERLINK("#码值映射清单!B107","ScoreLevel")</f>
        <v/>
      </c>
      <c r="H18" s="24" t="n"/>
      <c r="I18" s="24" t="inlineStr"/>
      <c r="J18" s="24" t="inlineStr">
        <is>
          <t>2023/01/12</t>
        </is>
      </c>
    </row>
    <row r="19">
      <c r="B19" s="24" t="inlineStr">
        <is>
          <t>evaluate_record</t>
        </is>
      </c>
      <c r="C19" s="24" t="inlineStr">
        <is>
          <t>FINISHDATE</t>
        </is>
      </c>
      <c r="D19" s="24" t="inlineStr">
        <is>
          <t>datetime</t>
        </is>
      </c>
      <c r="E19" s="24" t="inlineStr">
        <is>
          <t>YES</t>
        </is>
      </c>
      <c r="F19" s="24" t="inlineStr">
        <is>
          <t>认定时间</t>
        </is>
      </c>
      <c r="G19" s="24" t="n"/>
      <c r="H19" s="24" t="n"/>
      <c r="I19" s="24" t="inlineStr"/>
      <c r="J19" s="24" t="inlineStr">
        <is>
          <t>2023/01/12</t>
        </is>
      </c>
    </row>
    <row r="20">
      <c r="B20" s="24" t="inlineStr">
        <is>
          <t>evaluate_record</t>
        </is>
      </c>
      <c r="C20" s="24" t="inlineStr">
        <is>
          <t>REMARK</t>
        </is>
      </c>
      <c r="D20" s="24" t="inlineStr">
        <is>
          <t>varchar(500)</t>
        </is>
      </c>
      <c r="E20" s="24" t="inlineStr">
        <is>
          <t>YES</t>
        </is>
      </c>
      <c r="F20" s="24" t="inlineStr">
        <is>
          <t>备注</t>
        </is>
      </c>
      <c r="G20" s="24" t="n"/>
      <c r="H20" s="24" t="n"/>
      <c r="I20" s="24" t="inlineStr"/>
      <c r="J20" s="24" t="inlineStr">
        <is>
          <t>2023/01/12</t>
        </is>
      </c>
    </row>
    <row r="21">
      <c r="B21" s="24" t="inlineStr">
        <is>
          <t>evaluate_record</t>
        </is>
      </c>
      <c r="C21" s="24" t="inlineStr">
        <is>
          <t>APPROVESTATUS</t>
        </is>
      </c>
      <c r="D21" s="24" t="inlineStr">
        <is>
          <t>varchar(32)</t>
        </is>
      </c>
      <c r="E21" s="24" t="inlineStr">
        <is>
          <t>YES</t>
        </is>
      </c>
      <c r="F21" s="24" t="inlineStr">
        <is>
          <t>申请状态</t>
        </is>
      </c>
      <c r="G21" s="24" t="n"/>
      <c r="H21" s="24" t="n"/>
      <c r="I21" s="24" t="inlineStr"/>
      <c r="J21" s="24" t="inlineStr">
        <is>
          <t>2023/01/12</t>
        </is>
      </c>
    </row>
    <row r="22">
      <c r="B22" s="24" t="inlineStr">
        <is>
          <t>evaluate_record</t>
        </is>
      </c>
      <c r="C22" s="24" t="inlineStr">
        <is>
          <t>INPUTORGID</t>
        </is>
      </c>
      <c r="D22" s="24" t="inlineStr">
        <is>
          <t>varchar(32)</t>
        </is>
      </c>
      <c r="E22" s="24" t="inlineStr">
        <is>
          <t>YES</t>
        </is>
      </c>
      <c r="F22" s="24" t="inlineStr">
        <is>
          <t>登记机构</t>
        </is>
      </c>
      <c r="G22" s="24" t="n"/>
      <c r="H22" s="24" t="n"/>
      <c r="I22" s="24" t="inlineStr"/>
      <c r="J22" s="24" t="inlineStr">
        <is>
          <t>2023/01/12</t>
        </is>
      </c>
    </row>
    <row r="23">
      <c r="B23" s="24" t="inlineStr">
        <is>
          <t>evaluate_record</t>
        </is>
      </c>
      <c r="C23" s="24" t="inlineStr">
        <is>
          <t>INPUTUSERID</t>
        </is>
      </c>
      <c r="D23" s="24" t="inlineStr">
        <is>
          <t>varchar(32)</t>
        </is>
      </c>
      <c r="E23" s="24" t="inlineStr">
        <is>
          <t>YES</t>
        </is>
      </c>
      <c r="F23" s="24" t="inlineStr">
        <is>
          <t>登记人</t>
        </is>
      </c>
      <c r="G23" s="24" t="n"/>
      <c r="H23" s="24" t="n"/>
      <c r="I23" s="24" t="inlineStr"/>
      <c r="J23" s="24" t="inlineStr">
        <is>
          <t>2023/01/12</t>
        </is>
      </c>
    </row>
    <row r="24">
      <c r="B24" s="24" t="inlineStr">
        <is>
          <t>evaluate_record</t>
        </is>
      </c>
      <c r="C24" s="24" t="inlineStr">
        <is>
          <t>INPUTDATE</t>
        </is>
      </c>
      <c r="D24" s="24" t="inlineStr">
        <is>
          <t>datetime</t>
        </is>
      </c>
      <c r="E24" s="24" t="inlineStr">
        <is>
          <t>YES</t>
        </is>
      </c>
      <c r="F24" s="24" t="inlineStr">
        <is>
          <t>登记日期</t>
        </is>
      </c>
      <c r="G24" s="24" t="n"/>
      <c r="H24" s="24" t="n"/>
      <c r="I24" s="24" t="inlineStr"/>
      <c r="J24" s="24" t="inlineStr">
        <is>
          <t>2023/01/12</t>
        </is>
      </c>
    </row>
    <row r="25">
      <c r="B25" s="24" t="inlineStr">
        <is>
          <t>evaluate_record</t>
        </is>
      </c>
      <c r="C25" s="24" t="inlineStr">
        <is>
          <t>UPDATEORGID</t>
        </is>
      </c>
      <c r="D25" s="24" t="inlineStr">
        <is>
          <t>varchar(32)</t>
        </is>
      </c>
      <c r="E25" s="24" t="inlineStr">
        <is>
          <t>YES</t>
        </is>
      </c>
      <c r="F25" s="24" t="inlineStr">
        <is>
          <t>更新机构</t>
        </is>
      </c>
      <c r="G25" s="24" t="n"/>
      <c r="H25" s="24" t="n"/>
      <c r="I25" s="24" t="inlineStr"/>
      <c r="J25" s="24" t="inlineStr">
        <is>
          <t>2023/01/12</t>
        </is>
      </c>
    </row>
    <row r="26">
      <c r="B26" s="24" t="inlineStr">
        <is>
          <t>evaluate_record</t>
        </is>
      </c>
      <c r="C26" s="24" t="inlineStr">
        <is>
          <t>UPDATEUSERID</t>
        </is>
      </c>
      <c r="D26" s="24" t="inlineStr">
        <is>
          <t>varchar(32)</t>
        </is>
      </c>
      <c r="E26" s="24" t="inlineStr">
        <is>
          <t>YES</t>
        </is>
      </c>
      <c r="F26" s="24" t="inlineStr">
        <is>
          <t>更新人</t>
        </is>
      </c>
      <c r="G26" s="24" t="n"/>
      <c r="H26" s="24" t="n"/>
      <c r="I26" s="24" t="inlineStr"/>
      <c r="J26" s="24" t="inlineStr">
        <is>
          <t>2023/01/12</t>
        </is>
      </c>
    </row>
    <row r="27">
      <c r="B27" s="24" t="inlineStr">
        <is>
          <t>evaluate_record</t>
        </is>
      </c>
      <c r="C27" s="24" t="inlineStr">
        <is>
          <t>UPDATEDATE</t>
        </is>
      </c>
      <c r="D27" s="24" t="inlineStr">
        <is>
          <t>datetime</t>
        </is>
      </c>
      <c r="E27" s="24" t="inlineStr">
        <is>
          <t>YES</t>
        </is>
      </c>
      <c r="F27" s="24" t="inlineStr">
        <is>
          <t>更新日期</t>
        </is>
      </c>
      <c r="G27" s="24" t="n"/>
      <c r="H27" s="24" t="n"/>
      <c r="I27" s="24" t="inlineStr"/>
      <c r="J27" s="24" t="inlineStr">
        <is>
          <t>2023/01/12</t>
        </is>
      </c>
    </row>
    <row r="28">
      <c r="B28" s="24" t="inlineStr">
        <is>
          <t>evaluate_record</t>
        </is>
      </c>
      <c r="C28" s="24" t="inlineStr">
        <is>
          <t>REPORTNO</t>
        </is>
      </c>
      <c r="D28" s="24" t="inlineStr">
        <is>
          <t>varchar(32)</t>
        </is>
      </c>
      <c r="E28" s="24" t="inlineStr">
        <is>
          <t>YES</t>
        </is>
      </c>
      <c r="F28" s="24" t="inlineStr">
        <is>
          <t>报表编号</t>
        </is>
      </c>
      <c r="G28" s="24" t="n"/>
      <c r="H28" s="24" t="n"/>
      <c r="I28" s="24" t="inlineStr"/>
      <c r="J28" s="24" t="inlineStr">
        <is>
          <t>2023/01/12</t>
        </is>
      </c>
    </row>
    <row r="29">
      <c r="B29" s="24" t="inlineStr">
        <is>
          <t>evaluate_record</t>
        </is>
      </c>
      <c r="C29" s="24" t="inlineStr">
        <is>
          <t>ACCOUNTINGMONTH</t>
        </is>
      </c>
      <c r="D29" s="24" t="inlineStr">
        <is>
          <t>varchar(18)</t>
        </is>
      </c>
      <c r="E29" s="24" t="inlineStr">
        <is>
          <t>YES</t>
        </is>
      </c>
      <c r="F29" s="24" t="inlineStr">
        <is>
          <t>会计月份</t>
        </is>
      </c>
      <c r="G29" s="24" t="n"/>
      <c r="H29" s="24" t="n"/>
      <c r="I29" s="24" t="inlineStr"/>
      <c r="J29" s="24" t="inlineStr">
        <is>
          <t>2023/01/12</t>
        </is>
      </c>
    </row>
    <row r="30">
      <c r="B30" s="24" t="inlineStr">
        <is>
          <t>evaluate_record</t>
        </is>
      </c>
      <c r="C30" s="24" t="inlineStr">
        <is>
          <t>REPORTSCOPE</t>
        </is>
      </c>
      <c r="D30" s="24" t="inlineStr">
        <is>
          <t>varchar(80)</t>
        </is>
      </c>
      <c r="E30" s="24" t="inlineStr">
        <is>
          <t>YES</t>
        </is>
      </c>
      <c r="F30" s="24" t="inlineStr">
        <is>
          <t>报表口径</t>
        </is>
      </c>
      <c r="G30" s="24" t="n"/>
      <c r="H30" s="24" t="n"/>
      <c r="I30" s="24" t="inlineStr"/>
      <c r="J30" s="24" t="inlineStr">
        <is>
          <t>2023/01/12</t>
        </is>
      </c>
    </row>
    <row r="31">
      <c r="B31" s="24" t="inlineStr">
        <is>
          <t>evaluate_record</t>
        </is>
      </c>
      <c r="C31" s="24" t="inlineStr">
        <is>
          <t>REPORTPERIOD</t>
        </is>
      </c>
      <c r="D31" s="24" t="inlineStr">
        <is>
          <t>varchar(80)</t>
        </is>
      </c>
      <c r="E31" s="24" t="inlineStr">
        <is>
          <t>YES</t>
        </is>
      </c>
      <c r="F31" s="24" t="inlineStr">
        <is>
          <t>报表周期</t>
        </is>
      </c>
      <c r="G31" s="24" t="n"/>
      <c r="H31" s="24" t="n"/>
      <c r="I31" s="24" t="inlineStr"/>
      <c r="J31" s="24" t="inlineStr">
        <is>
          <t>2023/01/12</t>
        </is>
      </c>
    </row>
    <row r="32">
      <c r="B32" s="24" t="inlineStr">
        <is>
          <t>evaluate_record</t>
        </is>
      </c>
      <c r="C32" s="24" t="inlineStr">
        <is>
          <t>CORPORGID</t>
        </is>
      </c>
      <c r="D32" s="24" t="inlineStr">
        <is>
          <t>varchar(32)</t>
        </is>
      </c>
      <c r="E32" s="24" t="inlineStr">
        <is>
          <t>YES</t>
        </is>
      </c>
      <c r="F32" s="24" t="inlineStr">
        <is>
          <t>法人机构编号</t>
        </is>
      </c>
      <c r="G32" s="24" t="n"/>
      <c r="H32" s="24" t="n"/>
      <c r="I32" s="24" t="inlineStr"/>
      <c r="J32" s="24" t="inlineStr">
        <is>
          <t>2023/01/12</t>
        </is>
      </c>
    </row>
  </sheetData>
  <pageMargins left="0.75" right="0.75" top="1" bottom="1" header="0.5" footer="0.5"/>
  <pageSetup orientation="portrait" paperSize="1" horizontalDpi="300" verticalDpi="300"/>
</worksheet>
</file>

<file path=xl/worksheets/sheet123.xml><?xml version="1.0" encoding="utf-8"?>
<worksheet xmlns="http://schemas.openxmlformats.org/spreadsheetml/2006/main">
  <sheetPr>
    <outlinePr summaryBelow="1" summaryRight="1"/>
    <pageSetUpPr/>
  </sheetPr>
  <dimension ref="A1:J18"/>
  <sheetViews>
    <sheetView zoomScaleSheetLayoutView="60" workbookViewId="0">
      <selection activeCell="F3" sqref="F3:F18"/>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1">
        <f>HYPERLINK("#表结构清单!A1","返回")</f>
        <v/>
      </c>
      <c r="B1" t="inlineStr">
        <is>
          <t>流程活动(节点)</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flow_activities</t>
        </is>
      </c>
      <c r="C3" s="24" t="inlineStr">
        <is>
          <t>ACTIVITYID</t>
        </is>
      </c>
      <c r="D3" s="24" t="inlineStr">
        <is>
          <t>varchar(80)</t>
        </is>
      </c>
      <c r="E3" s="24" t="inlineStr">
        <is>
          <t>NO</t>
        </is>
      </c>
      <c r="F3" s="24" t="inlineStr">
        <is>
          <t>流程活动节点编号</t>
        </is>
      </c>
      <c r="G3" s="24" t="n"/>
      <c r="H3" s="24" t="n"/>
      <c r="I3" s="24" t="inlineStr"/>
      <c r="J3" s="24" t="inlineStr">
        <is>
          <t>2023/01/12</t>
        </is>
      </c>
    </row>
    <row r="4">
      <c r="B4" s="24" t="inlineStr">
        <is>
          <t>flow_activities</t>
        </is>
      </c>
      <c r="C4" s="24" t="inlineStr">
        <is>
          <t>ACTIVITYNAME</t>
        </is>
      </c>
      <c r="D4" s="24" t="inlineStr">
        <is>
          <t>varchar(500)</t>
        </is>
      </c>
      <c r="E4" s="24" t="inlineStr">
        <is>
          <t>YES</t>
        </is>
      </c>
      <c r="F4" s="24" t="inlineStr">
        <is>
          <t>流程活动节点名称</t>
        </is>
      </c>
      <c r="G4" s="24" t="n"/>
      <c r="H4" s="24" t="n"/>
      <c r="I4" s="24" t="inlineStr"/>
      <c r="J4" s="24" t="inlineStr">
        <is>
          <t>2023/01/12</t>
        </is>
      </c>
    </row>
    <row r="5">
      <c r="B5" s="24" t="inlineStr">
        <is>
          <t>flow_activities</t>
        </is>
      </c>
      <c r="C5" s="24" t="inlineStr">
        <is>
          <t>ACTIVITYTYPE</t>
        </is>
      </c>
      <c r="D5" s="24" t="inlineStr">
        <is>
          <t>varchar(80)</t>
        </is>
      </c>
      <c r="E5" s="24" t="inlineStr">
        <is>
          <t>YES</t>
        </is>
      </c>
      <c r="F5" s="24" t="inlineStr">
        <is>
          <t>流程活动节点类型</t>
        </is>
      </c>
      <c r="G5" s="24" t="n"/>
      <c r="H5" s="24" t="n"/>
      <c r="I5" s="24" t="inlineStr"/>
      <c r="J5" s="24" t="inlineStr">
        <is>
          <t>2023/01/12</t>
        </is>
      </c>
    </row>
    <row r="6">
      <c r="B6" s="24" t="inlineStr">
        <is>
          <t>flow_activities</t>
        </is>
      </c>
      <c r="C6" s="24" t="inlineStr">
        <is>
          <t>ACTIVITYDESC</t>
        </is>
      </c>
      <c r="D6" s="24" t="inlineStr">
        <is>
          <t>varchar(2000)</t>
        </is>
      </c>
      <c r="E6" s="24" t="inlineStr">
        <is>
          <t>YES</t>
        </is>
      </c>
      <c r="F6" s="24" t="inlineStr">
        <is>
          <t>流程活动节点描述</t>
        </is>
      </c>
      <c r="G6" s="24" t="n"/>
      <c r="H6" s="24" t="n"/>
      <c r="I6" s="24" t="inlineStr"/>
      <c r="J6" s="24" t="inlineStr">
        <is>
          <t>2023/01/12</t>
        </is>
      </c>
    </row>
    <row r="7">
      <c r="B7" s="24" t="inlineStr">
        <is>
          <t>flow_activities</t>
        </is>
      </c>
      <c r="C7" s="24" t="inlineStr">
        <is>
          <t>ACTIVITYICON</t>
        </is>
      </c>
      <c r="D7" s="24" t="inlineStr">
        <is>
          <t>varchar(4000)</t>
        </is>
      </c>
      <c r="E7" s="24" t="inlineStr">
        <is>
          <t>YES</t>
        </is>
      </c>
      <c r="F7" s="24" t="inlineStr">
        <is>
          <t>流程活动节点图标</t>
        </is>
      </c>
      <c r="G7" s="24" t="n"/>
      <c r="H7" s="24" t="n"/>
      <c r="I7" s="24" t="inlineStr"/>
      <c r="J7" s="24" t="inlineStr">
        <is>
          <t>2023/01/12</t>
        </is>
      </c>
    </row>
    <row r="8">
      <c r="B8" s="24" t="inlineStr">
        <is>
          <t>flow_activities</t>
        </is>
      </c>
      <c r="C8" s="24" t="inlineStr">
        <is>
          <t>PROPERTYIDS</t>
        </is>
      </c>
      <c r="D8" s="24" t="inlineStr">
        <is>
          <t>varchar(2000)</t>
        </is>
      </c>
      <c r="E8" s="24" t="inlineStr">
        <is>
          <t>YES</t>
        </is>
      </c>
      <c r="F8" s="24" t="inlineStr">
        <is>
          <t>关联属性（多选）</t>
        </is>
      </c>
      <c r="G8" s="24" t="n"/>
      <c r="H8" s="24" t="n"/>
      <c r="I8" s="24" t="inlineStr"/>
      <c r="J8" s="24" t="inlineStr">
        <is>
          <t>2023/01/12</t>
        </is>
      </c>
    </row>
    <row r="9">
      <c r="B9" s="24" t="inlineStr">
        <is>
          <t>flow_activities</t>
        </is>
      </c>
      <c r="C9" s="24" t="inlineStr">
        <is>
          <t>ISBASIC</t>
        </is>
      </c>
      <c r="D9" s="24" t="inlineStr">
        <is>
          <t>varchar(6)</t>
        </is>
      </c>
      <c r="E9" s="24" t="inlineStr">
        <is>
          <t>YES</t>
        </is>
      </c>
      <c r="F9" s="24" t="inlineStr">
        <is>
          <t>是否基础节点</t>
        </is>
      </c>
      <c r="G9" s="24" t="n"/>
      <c r="H9" s="24" t="n"/>
      <c r="I9" s="24" t="inlineStr"/>
      <c r="J9" s="24" t="inlineStr">
        <is>
          <t>2023/01/12</t>
        </is>
      </c>
    </row>
    <row r="10">
      <c r="B10" s="24" t="inlineStr">
        <is>
          <t>flow_activities</t>
        </is>
      </c>
      <c r="C10" s="24" t="inlineStr">
        <is>
          <t>CREATEUSERID</t>
        </is>
      </c>
      <c r="D10" s="24" t="inlineStr">
        <is>
          <t>varchar(80)</t>
        </is>
      </c>
      <c r="E10" s="24" t="inlineStr">
        <is>
          <t>YES</t>
        </is>
      </c>
      <c r="F10" s="24" t="inlineStr">
        <is>
          <t>创建人(操作)</t>
        </is>
      </c>
      <c r="G10" s="24" t="n"/>
      <c r="H10" s="24" t="n"/>
      <c r="I10" s="24" t="inlineStr"/>
      <c r="J10" s="24" t="inlineStr">
        <is>
          <t>2023/01/12</t>
        </is>
      </c>
    </row>
    <row r="11">
      <c r="B11" s="24" t="inlineStr">
        <is>
          <t>flow_activities</t>
        </is>
      </c>
      <c r="C11" s="24" t="inlineStr">
        <is>
          <t>CREATETIME</t>
        </is>
      </c>
      <c r="D11" s="24" t="inlineStr">
        <is>
          <t>datetime</t>
        </is>
      </c>
      <c r="E11" s="24" t="inlineStr">
        <is>
          <t>YES</t>
        </is>
      </c>
      <c r="F11" s="24" t="inlineStr">
        <is>
          <t>创建时间</t>
        </is>
      </c>
      <c r="G11" s="24" t="n"/>
      <c r="H11" s="24" t="n"/>
      <c r="I11" s="24" t="inlineStr"/>
      <c r="J11" s="24" t="inlineStr">
        <is>
          <t>2023/01/12</t>
        </is>
      </c>
    </row>
    <row r="12">
      <c r="B12" s="24" t="inlineStr">
        <is>
          <t>flow_activities</t>
        </is>
      </c>
      <c r="C12" s="24" t="inlineStr">
        <is>
          <t>UPDATEUSERID</t>
        </is>
      </c>
      <c r="D12" s="24" t="inlineStr">
        <is>
          <t>varchar(80)</t>
        </is>
      </c>
      <c r="E12" s="24" t="inlineStr">
        <is>
          <t>YES</t>
        </is>
      </c>
      <c r="F12" s="24" t="inlineStr">
        <is>
          <t>更新人</t>
        </is>
      </c>
      <c r="G12" s="24" t="n"/>
      <c r="H12" s="24" t="n"/>
      <c r="I12" s="24" t="inlineStr"/>
      <c r="J12" s="24" t="inlineStr">
        <is>
          <t>2023/01/12</t>
        </is>
      </c>
    </row>
    <row r="13">
      <c r="B13" s="24" t="inlineStr">
        <is>
          <t>flow_activities</t>
        </is>
      </c>
      <c r="C13" s="24" t="inlineStr">
        <is>
          <t>UPDATETIME</t>
        </is>
      </c>
      <c r="D13" s="24" t="inlineStr">
        <is>
          <t>datetime</t>
        </is>
      </c>
      <c r="E13" s="24" t="inlineStr">
        <is>
          <t>YES</t>
        </is>
      </c>
      <c r="F13" s="24" t="inlineStr">
        <is>
          <t>更新时间</t>
        </is>
      </c>
      <c r="G13" s="24" t="n"/>
      <c r="H13" s="24" t="n"/>
      <c r="I13" s="24" t="inlineStr"/>
      <c r="J13" s="24" t="inlineStr">
        <is>
          <t>2023/01/12</t>
        </is>
      </c>
    </row>
    <row r="14">
      <c r="B14" s="24" t="inlineStr">
        <is>
          <t>flow_activities</t>
        </is>
      </c>
      <c r="C14" s="24" t="inlineStr">
        <is>
          <t>ACTIVITYWIDTH</t>
        </is>
      </c>
      <c r="D14" s="24" t="inlineStr">
        <is>
          <t>int</t>
        </is>
      </c>
      <c r="E14" s="24" t="inlineStr">
        <is>
          <t>YES</t>
        </is>
      </c>
      <c r="F14" s="24" t="inlineStr">
        <is>
          <t>流程活动节点宽度</t>
        </is>
      </c>
      <c r="G14" s="24" t="n"/>
      <c r="H14" s="24" t="n"/>
      <c r="I14" s="24" t="inlineStr"/>
      <c r="J14" s="24" t="inlineStr">
        <is>
          <t>2023/01/12</t>
        </is>
      </c>
    </row>
    <row r="15">
      <c r="B15" s="24" t="inlineStr">
        <is>
          <t>flow_activities</t>
        </is>
      </c>
      <c r="C15" s="24" t="inlineStr">
        <is>
          <t>ACTIVITYHEIGHT</t>
        </is>
      </c>
      <c r="D15" s="24" t="inlineStr">
        <is>
          <t>int</t>
        </is>
      </c>
      <c r="E15" s="24" t="inlineStr">
        <is>
          <t>YES</t>
        </is>
      </c>
      <c r="F15" s="24" t="inlineStr">
        <is>
          <t>流程活动节点高度</t>
        </is>
      </c>
      <c r="G15" s="24" t="n"/>
      <c r="H15" s="24" t="n"/>
      <c r="I15" s="24" t="inlineStr"/>
      <c r="J15" s="24" t="inlineStr">
        <is>
          <t>2023/01/12</t>
        </is>
      </c>
    </row>
    <row r="16">
      <c r="B16" s="24" t="inlineStr">
        <is>
          <t>flow_activities</t>
        </is>
      </c>
      <c r="C16" s="24" t="inlineStr">
        <is>
          <t>ACTIVITYSTYLE</t>
        </is>
      </c>
      <c r="D16" s="24" t="inlineStr">
        <is>
          <t>varchar(2000)</t>
        </is>
      </c>
      <c r="E16" s="24" t="inlineStr">
        <is>
          <t>YES</t>
        </is>
      </c>
      <c r="F16" s="24" t="inlineStr">
        <is>
          <t>流程活动节点样式</t>
        </is>
      </c>
      <c r="G16" s="24" t="n"/>
      <c r="H16" s="24" t="n"/>
      <c r="I16" s="24" t="inlineStr"/>
      <c r="J16" s="24" t="inlineStr">
        <is>
          <t>2023/01/12</t>
        </is>
      </c>
    </row>
    <row r="17">
      <c r="B17" s="24" t="inlineStr">
        <is>
          <t>flow_activities</t>
        </is>
      </c>
      <c r="C17" s="24" t="inlineStr">
        <is>
          <t>ACTIVITYHTML</t>
        </is>
      </c>
      <c r="D17" s="24" t="inlineStr">
        <is>
          <t>varchar(4000)</t>
        </is>
      </c>
      <c r="E17" s="24" t="inlineStr">
        <is>
          <t>YES</t>
        </is>
      </c>
      <c r="F17" s="24" t="inlineStr">
        <is>
          <t>活动HTML</t>
        </is>
      </c>
      <c r="G17" s="24" t="n"/>
      <c r="H17" s="24" t="n"/>
      <c r="I17" s="24" t="inlineStr"/>
      <c r="J17" s="24" t="inlineStr">
        <is>
          <t>2023/01/12</t>
        </is>
      </c>
    </row>
    <row r="18">
      <c r="B18" s="24" t="inlineStr">
        <is>
          <t>flow_activities</t>
        </is>
      </c>
      <c r="C18" s="24" t="inlineStr">
        <is>
          <t>SORTNO</t>
        </is>
      </c>
      <c r="D18" s="24" t="inlineStr">
        <is>
          <t>int</t>
        </is>
      </c>
      <c r="E18" s="24" t="inlineStr">
        <is>
          <t>YES</t>
        </is>
      </c>
      <c r="F18" s="24" t="inlineStr">
        <is>
          <t>排序号</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124.xml><?xml version="1.0" encoding="utf-8"?>
<worksheet xmlns="http://schemas.openxmlformats.org/spreadsheetml/2006/main">
  <sheetPr>
    <outlinePr summaryBelow="1" summaryRight="1"/>
    <pageSetUpPr/>
  </sheetPr>
  <dimension ref="A1:J9"/>
  <sheetViews>
    <sheetView zoomScaleSheetLayoutView="60" workbookViewId="0">
      <selection activeCell="F3" sqref="F3:F9"/>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流程活动的属性分组</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flow_attributegroup</t>
        </is>
      </c>
      <c r="C3" s="24" t="inlineStr">
        <is>
          <t>ATTRIBUTEGROUPID</t>
        </is>
      </c>
      <c r="D3" s="24" t="inlineStr">
        <is>
          <t>varchar(80)</t>
        </is>
      </c>
      <c r="E3" s="24" t="inlineStr">
        <is>
          <t>NO</t>
        </is>
      </c>
      <c r="F3" s="24" t="inlineStr">
        <is>
          <t>流程属性分组编号</t>
        </is>
      </c>
      <c r="G3" s="24" t="n"/>
      <c r="H3" s="24" t="n"/>
      <c r="I3" s="24" t="inlineStr"/>
      <c r="J3" s="24" t="inlineStr">
        <is>
          <t>2023/01/12</t>
        </is>
      </c>
    </row>
    <row r="4">
      <c r="B4" s="24" t="inlineStr">
        <is>
          <t>flow_attributegroup</t>
        </is>
      </c>
      <c r="C4" s="24" t="inlineStr">
        <is>
          <t>ATTRIBUTEGROUPNAME</t>
        </is>
      </c>
      <c r="D4" s="24" t="inlineStr">
        <is>
          <t>varchar(500)</t>
        </is>
      </c>
      <c r="E4" s="24" t="inlineStr">
        <is>
          <t>YES</t>
        </is>
      </c>
      <c r="F4" s="24" t="inlineStr">
        <is>
          <t>流程属性分组名称</t>
        </is>
      </c>
      <c r="G4" s="24" t="n"/>
      <c r="H4" s="24" t="n"/>
      <c r="I4" s="24" t="inlineStr"/>
      <c r="J4" s="24" t="inlineStr">
        <is>
          <t>2023/01/12</t>
        </is>
      </c>
    </row>
    <row r="5">
      <c r="B5" s="24" t="inlineStr">
        <is>
          <t>flow_attributegroup</t>
        </is>
      </c>
      <c r="C5" s="24" t="inlineStr">
        <is>
          <t>ATTRIBUTEGROUPDESCRIBE</t>
        </is>
      </c>
      <c r="D5" s="24" t="inlineStr">
        <is>
          <t>varchar(2000)</t>
        </is>
      </c>
      <c r="E5" s="24" t="inlineStr">
        <is>
          <t>YES</t>
        </is>
      </c>
      <c r="F5" s="24" t="inlineStr">
        <is>
          <t>流程属性分组描述</t>
        </is>
      </c>
      <c r="G5" s="24" t="n"/>
      <c r="H5" s="24" t="n"/>
      <c r="I5" s="24" t="inlineStr"/>
      <c r="J5" s="24" t="inlineStr">
        <is>
          <t>2023/01/12</t>
        </is>
      </c>
    </row>
    <row r="6">
      <c r="B6" s="24" t="inlineStr">
        <is>
          <t>flow_attributegroup</t>
        </is>
      </c>
      <c r="C6" s="24" t="inlineStr">
        <is>
          <t>CREATETIME</t>
        </is>
      </c>
      <c r="D6" s="24" t="inlineStr">
        <is>
          <t>datetime</t>
        </is>
      </c>
      <c r="E6" s="24" t="inlineStr">
        <is>
          <t>YES</t>
        </is>
      </c>
      <c r="F6" s="24" t="inlineStr">
        <is>
          <t>创建时间</t>
        </is>
      </c>
      <c r="G6" s="24" t="n"/>
      <c r="H6" s="24" t="n"/>
      <c r="I6" s="24" t="inlineStr"/>
      <c r="J6" s="24" t="inlineStr">
        <is>
          <t>2023/01/12</t>
        </is>
      </c>
    </row>
    <row r="7">
      <c r="B7" s="24" t="inlineStr">
        <is>
          <t>flow_attributegroup</t>
        </is>
      </c>
      <c r="C7" s="24" t="inlineStr">
        <is>
          <t>CREATEUSER</t>
        </is>
      </c>
      <c r="D7" s="24" t="inlineStr">
        <is>
          <t>varchar(80)</t>
        </is>
      </c>
      <c r="E7" s="24" t="inlineStr">
        <is>
          <t>YES</t>
        </is>
      </c>
      <c r="F7" s="24" t="inlineStr">
        <is>
          <t>创建人</t>
        </is>
      </c>
      <c r="G7" s="24" t="n"/>
      <c r="H7" s="24" t="n"/>
      <c r="I7" s="24" t="inlineStr"/>
      <c r="J7" s="24" t="inlineStr">
        <is>
          <t>2023/01/12</t>
        </is>
      </c>
    </row>
    <row r="8">
      <c r="B8" s="24" t="inlineStr">
        <is>
          <t>flow_attributegroup</t>
        </is>
      </c>
      <c r="C8" s="24" t="inlineStr">
        <is>
          <t>UPDATETIME</t>
        </is>
      </c>
      <c r="D8" s="24" t="inlineStr">
        <is>
          <t>datetime</t>
        </is>
      </c>
      <c r="E8" s="24" t="inlineStr">
        <is>
          <t>YES</t>
        </is>
      </c>
      <c r="F8" s="24" t="inlineStr">
        <is>
          <t>更新时间</t>
        </is>
      </c>
      <c r="G8" s="24" t="n"/>
      <c r="H8" s="24" t="n"/>
      <c r="I8" s="24" t="inlineStr"/>
      <c r="J8" s="24" t="inlineStr">
        <is>
          <t>2023/01/12</t>
        </is>
      </c>
    </row>
    <row r="9">
      <c r="B9" s="24" t="inlineStr">
        <is>
          <t>flow_attributegroup</t>
        </is>
      </c>
      <c r="C9" s="24" t="inlineStr">
        <is>
          <t>UPDATEUSER</t>
        </is>
      </c>
      <c r="D9" s="24" t="inlineStr">
        <is>
          <t>varchar(80)</t>
        </is>
      </c>
      <c r="E9" s="24" t="inlineStr">
        <is>
          <t>YES</t>
        </is>
      </c>
      <c r="F9" s="24" t="inlineStr">
        <is>
          <t>更新人</t>
        </is>
      </c>
      <c r="G9" s="24" t="n"/>
      <c r="H9" s="24" t="n"/>
      <c r="I9" s="24" t="inlineStr"/>
      <c r="J9" s="24" t="inlineStr">
        <is>
          <t>2023/01/12</t>
        </is>
      </c>
    </row>
  </sheetData>
  <pageMargins left="0.75" right="0.75" top="1" bottom="1" header="0.5" footer="0.5"/>
  <pageSetup orientation="portrait" paperSize="1" horizontalDpi="300" verticalDpi="300"/>
</worksheet>
</file>

<file path=xl/worksheets/sheet125.xml><?xml version="1.0" encoding="utf-8"?>
<worksheet xmlns="http://schemas.openxmlformats.org/spreadsheetml/2006/main">
  <sheetPr>
    <outlinePr summaryBelow="1" summaryRight="1"/>
    <pageSetUpPr/>
  </sheetPr>
  <dimension ref="A1:J9"/>
  <sheetViews>
    <sheetView zoomScaleSheetLayoutView="60" workbookViewId="0">
      <selection activeCell="F7" sqref="F7"/>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流程按钮组</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flow_buttongroup</t>
        </is>
      </c>
      <c r="C3" s="24" t="inlineStr">
        <is>
          <t>BUTTONGROUPID</t>
        </is>
      </c>
      <c r="D3" s="24" t="inlineStr">
        <is>
          <t>varchar(80)</t>
        </is>
      </c>
      <c r="E3" s="24" t="inlineStr">
        <is>
          <t>NO</t>
        </is>
      </c>
      <c r="F3" s="53" t="inlineStr">
        <is>
          <t>编号</t>
        </is>
      </c>
      <c r="G3" s="24" t="n"/>
      <c r="H3" s="24" t="n"/>
      <c r="I3" s="24" t="inlineStr"/>
      <c r="J3" s="24" t="inlineStr">
        <is>
          <t>2023/01/12</t>
        </is>
      </c>
    </row>
    <row r="4">
      <c r="B4" s="24" t="inlineStr">
        <is>
          <t>flow_buttongroup</t>
        </is>
      </c>
      <c r="C4" s="24" t="inlineStr">
        <is>
          <t>BUTTONGROUPNAME</t>
        </is>
      </c>
      <c r="D4" s="24" t="inlineStr">
        <is>
          <t>varchar(500)</t>
        </is>
      </c>
      <c r="E4" s="24" t="inlineStr">
        <is>
          <t>YES</t>
        </is>
      </c>
      <c r="F4" s="53" t="inlineStr">
        <is>
          <t>名称</t>
        </is>
      </c>
      <c r="G4" s="24" t="n"/>
      <c r="H4" s="24" t="n"/>
      <c r="I4" s="24" t="inlineStr"/>
      <c r="J4" s="24" t="inlineStr">
        <is>
          <t>2023/01/12</t>
        </is>
      </c>
    </row>
    <row r="5">
      <c r="B5" s="24" t="inlineStr">
        <is>
          <t>flow_buttongroup</t>
        </is>
      </c>
      <c r="C5" s="24" t="inlineStr">
        <is>
          <t>BUTTONGROUPDESC</t>
        </is>
      </c>
      <c r="D5" s="24" t="inlineStr">
        <is>
          <t>varchar(2000)</t>
        </is>
      </c>
      <c r="E5" s="24" t="inlineStr">
        <is>
          <t>YES</t>
        </is>
      </c>
      <c r="F5" s="53" t="inlineStr">
        <is>
          <t>备注</t>
        </is>
      </c>
      <c r="G5" s="24" t="n"/>
      <c r="H5" s="24" t="n"/>
      <c r="I5" s="24" t="inlineStr"/>
      <c r="J5" s="24" t="inlineStr">
        <is>
          <t>2023/01/12</t>
        </is>
      </c>
    </row>
    <row r="6">
      <c r="B6" s="24" t="inlineStr">
        <is>
          <t>flow_buttongroup</t>
        </is>
      </c>
      <c r="C6" s="24" t="inlineStr">
        <is>
          <t>CREATETIME</t>
        </is>
      </c>
      <c r="D6" s="24" t="inlineStr">
        <is>
          <t>datetime</t>
        </is>
      </c>
      <c r="E6" s="24" t="inlineStr">
        <is>
          <t>YES</t>
        </is>
      </c>
      <c r="F6" s="53" t="inlineStr">
        <is>
          <t>创建时间</t>
        </is>
      </c>
      <c r="G6" s="24" t="n"/>
      <c r="H6" s="24" t="n"/>
      <c r="I6" s="24" t="inlineStr"/>
      <c r="J6" s="24" t="inlineStr">
        <is>
          <t>2023/01/12</t>
        </is>
      </c>
    </row>
    <row r="7">
      <c r="B7" s="24" t="inlineStr">
        <is>
          <t>flow_buttongroup</t>
        </is>
      </c>
      <c r="C7" s="24" t="inlineStr">
        <is>
          <t>UPDATETIME</t>
        </is>
      </c>
      <c r="D7" s="24" t="inlineStr">
        <is>
          <t>datetime</t>
        </is>
      </c>
      <c r="E7" s="24" t="inlineStr">
        <is>
          <t>YES</t>
        </is>
      </c>
      <c r="F7" s="53" t="inlineStr">
        <is>
          <t>更新时间</t>
        </is>
      </c>
      <c r="G7" s="24" t="n"/>
      <c r="H7" s="24" t="n"/>
      <c r="I7" s="24" t="inlineStr"/>
      <c r="J7" s="24" t="inlineStr">
        <is>
          <t>2023/01/12</t>
        </is>
      </c>
    </row>
    <row r="8">
      <c r="B8" s="24" t="inlineStr">
        <is>
          <t>flow_buttongroup</t>
        </is>
      </c>
      <c r="C8" s="24" t="inlineStr">
        <is>
          <t>CREATEUSERID</t>
        </is>
      </c>
      <c r="D8" s="24" t="inlineStr">
        <is>
          <t>varchar(80)</t>
        </is>
      </c>
      <c r="E8" s="24" t="inlineStr">
        <is>
          <t>YES</t>
        </is>
      </c>
      <c r="F8" s="24" t="inlineStr">
        <is>
          <t>创建人</t>
        </is>
      </c>
      <c r="G8" s="24" t="n"/>
      <c r="H8" s="24" t="n"/>
      <c r="I8" s="24" t="inlineStr"/>
      <c r="J8" s="24" t="inlineStr">
        <is>
          <t>2023/01/12</t>
        </is>
      </c>
    </row>
    <row r="9">
      <c r="B9" s="24" t="inlineStr">
        <is>
          <t>flow_buttongroup</t>
        </is>
      </c>
      <c r="C9" s="24" t="inlineStr">
        <is>
          <t>UPDATEUSERID</t>
        </is>
      </c>
      <c r="D9" s="24" t="inlineStr">
        <is>
          <t>varchar(80)</t>
        </is>
      </c>
      <c r="E9" s="24" t="inlineStr">
        <is>
          <t>YES</t>
        </is>
      </c>
      <c r="F9" s="24" t="inlineStr">
        <is>
          <t>更新人</t>
        </is>
      </c>
      <c r="G9" s="24" t="n"/>
      <c r="H9" s="24" t="n"/>
      <c r="I9" s="24" t="inlineStr"/>
      <c r="J9" s="24" t="inlineStr">
        <is>
          <t>2023/01/12</t>
        </is>
      </c>
    </row>
  </sheetData>
  <pageMargins left="0.75" right="0.75" top="1" bottom="1" header="0.5" footer="0.5"/>
  <pageSetup orientation="portrait" paperSize="1" horizontalDpi="300" verticalDpi="300"/>
</worksheet>
</file>

<file path=xl/worksheets/sheet126.xml><?xml version="1.0" encoding="utf-8"?>
<worksheet xmlns="http://schemas.openxmlformats.org/spreadsheetml/2006/main">
  <sheetPr>
    <outlinePr summaryBelow="1" summaryRight="1"/>
    <pageSetUpPr/>
  </sheetPr>
  <dimension ref="A1:J10"/>
  <sheetViews>
    <sheetView zoomScaleSheetLayoutView="60" workbookViewId="0">
      <selection activeCell="D20" sqref="D20"/>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流程按钮</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flow_buttonitem</t>
        </is>
      </c>
      <c r="C3" s="24" t="inlineStr">
        <is>
          <t>BUTTONITEMID</t>
        </is>
      </c>
      <c r="D3" s="24" t="inlineStr">
        <is>
          <t>varchar(80)</t>
        </is>
      </c>
      <c r="E3" s="24" t="inlineStr">
        <is>
          <t>NO</t>
        </is>
      </c>
      <c r="F3" s="53" t="inlineStr">
        <is>
          <t>编号</t>
        </is>
      </c>
      <c r="G3" s="24" t="n"/>
      <c r="H3" s="24" t="n"/>
      <c r="I3" s="24" t="inlineStr"/>
      <c r="J3" s="24" t="inlineStr">
        <is>
          <t>2023/01/12</t>
        </is>
      </c>
    </row>
    <row r="4">
      <c r="B4" s="24" t="inlineStr">
        <is>
          <t>flow_buttonitem</t>
        </is>
      </c>
      <c r="C4" s="24" t="inlineStr">
        <is>
          <t>BUTTONITEMNAME</t>
        </is>
      </c>
      <c r="D4" s="24" t="inlineStr">
        <is>
          <t>varchar(500)</t>
        </is>
      </c>
      <c r="E4" s="24" t="inlineStr">
        <is>
          <t>YES</t>
        </is>
      </c>
      <c r="F4" s="24" t="inlineStr">
        <is>
          <t>名称</t>
        </is>
      </c>
      <c r="G4" s="24" t="n"/>
      <c r="H4" s="24" t="n"/>
      <c r="I4" s="24" t="inlineStr"/>
      <c r="J4" s="24" t="inlineStr">
        <is>
          <t>2023/01/12</t>
        </is>
      </c>
    </row>
    <row r="5">
      <c r="B5" s="24" t="inlineStr">
        <is>
          <t>flow_buttonitem</t>
        </is>
      </c>
      <c r="C5" s="24" t="inlineStr">
        <is>
          <t>BUTTONITEMDESC</t>
        </is>
      </c>
      <c r="D5" s="24" t="inlineStr">
        <is>
          <t>varchar(2000)</t>
        </is>
      </c>
      <c r="E5" s="24" t="inlineStr">
        <is>
          <t>YES</t>
        </is>
      </c>
      <c r="F5" s="24" t="inlineStr">
        <is>
          <t>备注</t>
        </is>
      </c>
      <c r="G5" s="24" t="n"/>
      <c r="H5" s="24" t="n"/>
      <c r="I5" s="24" t="inlineStr"/>
      <c r="J5" s="24" t="inlineStr">
        <is>
          <t>2023/01/12</t>
        </is>
      </c>
    </row>
    <row r="6">
      <c r="B6" s="24" t="inlineStr">
        <is>
          <t>flow_buttonitem</t>
        </is>
      </c>
      <c r="C6" s="24" t="inlineStr">
        <is>
          <t>BUTTONGROUPID</t>
        </is>
      </c>
      <c r="D6" s="24" t="inlineStr">
        <is>
          <t>varchar(80)</t>
        </is>
      </c>
      <c r="E6" s="24" t="inlineStr">
        <is>
          <t>YES</t>
        </is>
      </c>
      <c r="F6" s="53" t="inlineStr">
        <is>
          <t>按钮组编号</t>
        </is>
      </c>
      <c r="G6" s="24" t="n"/>
      <c r="H6" s="24" t="n"/>
      <c r="I6" s="24" t="inlineStr"/>
      <c r="J6" s="24" t="inlineStr">
        <is>
          <t>2023/01/12</t>
        </is>
      </c>
    </row>
    <row r="7">
      <c r="B7" s="24" t="inlineStr">
        <is>
          <t>flow_buttonitem</t>
        </is>
      </c>
      <c r="C7" s="24" t="inlineStr">
        <is>
          <t>CREATETIME</t>
        </is>
      </c>
      <c r="D7" s="24" t="inlineStr">
        <is>
          <t>datetime</t>
        </is>
      </c>
      <c r="E7" s="24" t="inlineStr">
        <is>
          <t>YES</t>
        </is>
      </c>
      <c r="F7" s="24" t="inlineStr">
        <is>
          <t>创建时间</t>
        </is>
      </c>
      <c r="G7" s="24" t="n"/>
      <c r="H7" s="24" t="n"/>
      <c r="I7" s="24" t="inlineStr"/>
      <c r="J7" s="24" t="inlineStr">
        <is>
          <t>2023/01/12</t>
        </is>
      </c>
    </row>
    <row r="8">
      <c r="B8" s="24" t="inlineStr">
        <is>
          <t>flow_buttonitem</t>
        </is>
      </c>
      <c r="C8" s="24" t="inlineStr">
        <is>
          <t>CREATEUSERID</t>
        </is>
      </c>
      <c r="D8" s="24" t="inlineStr">
        <is>
          <t>varchar(80)</t>
        </is>
      </c>
      <c r="E8" s="24" t="inlineStr">
        <is>
          <t>YES</t>
        </is>
      </c>
      <c r="F8" s="53" t="inlineStr">
        <is>
          <t>创建人</t>
        </is>
      </c>
      <c r="G8" s="24" t="n"/>
      <c r="H8" s="24" t="n"/>
      <c r="I8" s="24" t="inlineStr"/>
      <c r="J8" s="24" t="inlineStr">
        <is>
          <t>2023/01/12</t>
        </is>
      </c>
    </row>
    <row r="9">
      <c r="B9" s="24" t="inlineStr">
        <is>
          <t>flow_buttonitem</t>
        </is>
      </c>
      <c r="C9" s="24" t="inlineStr">
        <is>
          <t>UPDATETIME</t>
        </is>
      </c>
      <c r="D9" s="24" t="inlineStr">
        <is>
          <t>datetime</t>
        </is>
      </c>
      <c r="E9" s="24" t="inlineStr">
        <is>
          <t>YES</t>
        </is>
      </c>
      <c r="F9" s="53" t="inlineStr">
        <is>
          <t>更新时间</t>
        </is>
      </c>
      <c r="G9" s="24" t="n"/>
      <c r="H9" s="24" t="n"/>
      <c r="I9" s="24" t="inlineStr"/>
      <c r="J9" s="24" t="inlineStr">
        <is>
          <t>2023/01/12</t>
        </is>
      </c>
    </row>
    <row r="10">
      <c r="B10" s="24" t="inlineStr">
        <is>
          <t>flow_buttonitem</t>
        </is>
      </c>
      <c r="C10" s="24" t="inlineStr">
        <is>
          <t>UPDATEUSERID</t>
        </is>
      </c>
      <c r="D10" s="24" t="inlineStr">
        <is>
          <t>varchar(80)</t>
        </is>
      </c>
      <c r="E10" s="24" t="inlineStr">
        <is>
          <t>YES</t>
        </is>
      </c>
      <c r="F10" s="53" t="inlineStr">
        <is>
          <t>更新人</t>
        </is>
      </c>
      <c r="G10" s="24" t="n"/>
      <c r="H10" s="24" t="n"/>
      <c r="I10" s="24" t="inlineStr"/>
      <c r="J10" s="24" t="inlineStr">
        <is>
          <t>2023/01/12</t>
        </is>
      </c>
    </row>
  </sheetData>
  <pageMargins left="0.75" right="0.75" top="1" bottom="1" header="0.5" footer="0.5"/>
  <pageSetup orientation="portrait" paperSize="1" horizontalDpi="300" verticalDpi="300"/>
</worksheet>
</file>

<file path=xl/worksheets/sheet127.xml><?xml version="1.0" encoding="utf-8"?>
<worksheet xmlns="http://schemas.openxmlformats.org/spreadsheetml/2006/main">
  <sheetPr>
    <outlinePr summaryBelow="1" summaryRight="1"/>
    <pageSetUpPr/>
  </sheetPr>
  <dimension ref="A1:J25"/>
  <sheetViews>
    <sheetView zoomScaleSheetLayoutView="60" workbookViewId="0">
      <selection activeCell="E36" sqref="E36"/>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流程表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flow_catalog</t>
        </is>
      </c>
      <c r="C3" s="24" t="inlineStr">
        <is>
          <t>FLOWNO</t>
        </is>
      </c>
      <c r="D3" s="24" t="inlineStr">
        <is>
          <t>varchar(80)</t>
        </is>
      </c>
      <c r="E3" s="24" t="inlineStr">
        <is>
          <t>NO</t>
        </is>
      </c>
      <c r="F3" s="24" t="inlineStr">
        <is>
          <t>流程编号</t>
        </is>
      </c>
      <c r="G3" s="24" t="n"/>
      <c r="H3" s="24" t="n"/>
      <c r="I3" s="24" t="inlineStr"/>
      <c r="J3" s="24" t="inlineStr">
        <is>
          <t>2023/01/12</t>
        </is>
      </c>
    </row>
    <row r="4">
      <c r="B4" s="24" t="inlineStr">
        <is>
          <t>flow_catalog</t>
        </is>
      </c>
      <c r="C4" s="24" t="inlineStr">
        <is>
          <t>FLOWNAME</t>
        </is>
      </c>
      <c r="D4" s="24" t="inlineStr">
        <is>
          <t>varchar(80)</t>
        </is>
      </c>
      <c r="E4" s="24" t="inlineStr">
        <is>
          <t>YES</t>
        </is>
      </c>
      <c r="F4" s="24" t="inlineStr">
        <is>
          <t>流程名称</t>
        </is>
      </c>
      <c r="G4" s="24" t="n"/>
      <c r="H4" s="24" t="n"/>
      <c r="I4" s="24" t="inlineStr"/>
      <c r="J4" s="24" t="inlineStr">
        <is>
          <t>2023/01/12</t>
        </is>
      </c>
    </row>
    <row r="5">
      <c r="B5" s="24" t="inlineStr">
        <is>
          <t>flow_catalog</t>
        </is>
      </c>
      <c r="C5" s="24" t="inlineStr">
        <is>
          <t>FLOWTYPE</t>
        </is>
      </c>
      <c r="D5" s="24" t="inlineStr">
        <is>
          <t>varchar(80)</t>
        </is>
      </c>
      <c r="E5" s="24" t="inlineStr">
        <is>
          <t>YES</t>
        </is>
      </c>
      <c r="F5" s="24" t="inlineStr">
        <is>
          <t>流程类型</t>
        </is>
      </c>
      <c r="G5" s="52">
        <f>HYPERLINK("#码值映射清单!B5219","ApplyType")</f>
        <v/>
      </c>
      <c r="H5" s="24" t="n"/>
      <c r="I5" s="24" t="inlineStr"/>
      <c r="J5" s="24" t="inlineStr">
        <is>
          <t>2023/01/12</t>
        </is>
      </c>
    </row>
    <row r="6">
      <c r="B6" s="24" t="inlineStr">
        <is>
          <t>flow_catalog</t>
        </is>
      </c>
      <c r="C6" s="24" t="inlineStr">
        <is>
          <t>FLOWDESCRIBE</t>
        </is>
      </c>
      <c r="D6" s="24" t="inlineStr">
        <is>
          <t>varchar(500)</t>
        </is>
      </c>
      <c r="E6" s="24" t="inlineStr">
        <is>
          <t>YES</t>
        </is>
      </c>
      <c r="F6" s="24" t="inlineStr">
        <is>
          <t>流程描述</t>
        </is>
      </c>
      <c r="G6" s="24" t="n"/>
      <c r="H6" s="24" t="n"/>
      <c r="I6" s="24" t="inlineStr"/>
      <c r="J6" s="24" t="inlineStr">
        <is>
          <t>2023/01/12</t>
        </is>
      </c>
    </row>
    <row r="7">
      <c r="B7" s="24" t="inlineStr">
        <is>
          <t>flow_catalog</t>
        </is>
      </c>
      <c r="C7" s="24" t="inlineStr">
        <is>
          <t>INITPHASE</t>
        </is>
      </c>
      <c r="D7" s="24" t="inlineStr">
        <is>
          <t>varchar(500)</t>
        </is>
      </c>
      <c r="E7" s="24" t="inlineStr">
        <is>
          <t>YES</t>
        </is>
      </c>
      <c r="F7" s="24" t="inlineStr">
        <is>
          <t>初始阶段</t>
        </is>
      </c>
      <c r="G7" s="24" t="n"/>
      <c r="H7" s="24" t="n"/>
      <c r="I7" s="24" t="inlineStr"/>
      <c r="J7" s="24" t="inlineStr">
        <is>
          <t>2023/01/12</t>
        </is>
      </c>
    </row>
    <row r="8">
      <c r="B8" s="24" t="inlineStr">
        <is>
          <t>flow_catalog</t>
        </is>
      </c>
      <c r="C8" s="24" t="inlineStr">
        <is>
          <t>AAENABLED</t>
        </is>
      </c>
      <c r="D8" s="24" t="inlineStr">
        <is>
          <t>varchar(6)</t>
        </is>
      </c>
      <c r="E8" s="24" t="inlineStr">
        <is>
          <t>YES</t>
        </is>
      </c>
      <c r="F8" s="24" t="inlineStr">
        <is>
          <t>是否启用授权系统</t>
        </is>
      </c>
      <c r="G8" s="24" t="n"/>
      <c r="H8" s="24" t="n"/>
      <c r="I8" s="24" t="inlineStr"/>
      <c r="J8" s="24" t="inlineStr">
        <is>
          <t>2023/01/12</t>
        </is>
      </c>
    </row>
    <row r="9">
      <c r="B9" s="24" t="inlineStr">
        <is>
          <t>flow_catalog</t>
        </is>
      </c>
      <c r="C9" s="24" t="inlineStr">
        <is>
          <t>AAPOLICY</t>
        </is>
      </c>
      <c r="D9" s="24" t="inlineStr">
        <is>
          <t>varchar(32)</t>
        </is>
      </c>
      <c r="E9" s="24" t="inlineStr">
        <is>
          <t>YES</t>
        </is>
      </c>
      <c r="F9" s="24" t="inlineStr">
        <is>
          <t>授权方案</t>
        </is>
      </c>
      <c r="G9" s="24" t="n"/>
      <c r="H9" s="24" t="n"/>
      <c r="I9" s="24" t="inlineStr"/>
      <c r="J9" s="24" t="inlineStr">
        <is>
          <t>2023/01/12</t>
        </is>
      </c>
    </row>
    <row r="10">
      <c r="B10" s="24" t="inlineStr">
        <is>
          <t>flow_catalog</t>
        </is>
      </c>
      <c r="C10" s="24" t="inlineStr">
        <is>
          <t>VIEWFILELENGTH</t>
        </is>
      </c>
      <c r="D10" s="24" t="inlineStr">
        <is>
          <t>int</t>
        </is>
      </c>
      <c r="E10" s="24" t="inlineStr">
        <is>
          <t>YES</t>
        </is>
      </c>
      <c r="F10" s="24" t="inlineStr">
        <is>
          <t>流程图描述长度</t>
        </is>
      </c>
      <c r="G10" s="24" t="n"/>
      <c r="H10" s="24" t="n"/>
      <c r="I10" s="24" t="inlineStr"/>
      <c r="J10" s="24" t="inlineStr">
        <is>
          <t>2023/01/12</t>
        </is>
      </c>
    </row>
    <row r="11">
      <c r="B11" s="24" t="inlineStr">
        <is>
          <t>flow_catalog</t>
        </is>
      </c>
      <c r="C11" s="24" t="inlineStr">
        <is>
          <t>METAFLOWNO</t>
        </is>
      </c>
      <c r="D11" s="24" t="inlineStr">
        <is>
          <t>varchar(32)</t>
        </is>
      </c>
      <c r="E11" s="24" t="inlineStr">
        <is>
          <t>YES</t>
        </is>
      </c>
      <c r="F11" s="24" t="inlineStr">
        <is>
          <t>元版本号</t>
        </is>
      </c>
      <c r="G11" s="24" t="n"/>
      <c r="H11" s="24" t="n"/>
      <c r="I11" s="24" t="inlineStr"/>
      <c r="J11" s="24" t="inlineStr">
        <is>
          <t>2023/01/12</t>
        </is>
      </c>
    </row>
    <row r="12">
      <c r="B12" s="24" t="inlineStr">
        <is>
          <t>flow_catalog</t>
        </is>
      </c>
      <c r="C12" s="24" t="inlineStr">
        <is>
          <t>ISINUSE</t>
        </is>
      </c>
      <c r="D12" s="24" t="inlineStr">
        <is>
          <t>varchar(6)</t>
        </is>
      </c>
      <c r="E12" s="24" t="inlineStr">
        <is>
          <t>YES</t>
        </is>
      </c>
      <c r="F12" s="24" t="inlineStr">
        <is>
          <t>是否有效</t>
        </is>
      </c>
      <c r="G12" s="52">
        <f>HYPERLINK("#码值映射清单!B5150","YesNo")</f>
        <v/>
      </c>
      <c r="H12" s="24" t="n"/>
      <c r="I12" s="24" t="inlineStr"/>
      <c r="J12" s="24" t="inlineStr">
        <is>
          <t>2023/01/12</t>
        </is>
      </c>
    </row>
    <row r="13">
      <c r="B13" s="24" t="inlineStr">
        <is>
          <t>flow_catalog</t>
        </is>
      </c>
      <c r="C13" s="24" t="inlineStr">
        <is>
          <t>VERSION</t>
        </is>
      </c>
      <c r="D13" s="24" t="inlineStr">
        <is>
          <t>varchar(18)</t>
        </is>
      </c>
      <c r="E13" s="24" t="inlineStr">
        <is>
          <t>NO</t>
        </is>
      </c>
      <c r="F13" s="24" t="inlineStr">
        <is>
          <t>版本</t>
        </is>
      </c>
      <c r="G13" s="24" t="n"/>
      <c r="H13" s="24" t="n"/>
      <c r="I13" s="24" t="inlineStr"/>
      <c r="J13" s="24" t="inlineStr">
        <is>
          <t>2023/01/12</t>
        </is>
      </c>
    </row>
    <row r="14">
      <c r="B14" s="24" t="inlineStr">
        <is>
          <t>flow_catalog</t>
        </is>
      </c>
      <c r="C14" s="24" t="inlineStr">
        <is>
          <t>BASEFLOWNO</t>
        </is>
      </c>
      <c r="D14" s="24" t="inlineStr">
        <is>
          <t>varchar(32)</t>
        </is>
      </c>
      <c r="E14" s="24" t="inlineStr">
        <is>
          <t>YES</t>
        </is>
      </c>
      <c r="F14" s="24" t="inlineStr">
        <is>
          <t>流程号</t>
        </is>
      </c>
      <c r="G14" s="24" t="n"/>
      <c r="H14" s="24" t="n"/>
      <c r="I14" s="24" t="inlineStr"/>
      <c r="J14" s="24" t="inlineStr">
        <is>
          <t>2023/01/12</t>
        </is>
      </c>
    </row>
    <row r="15">
      <c r="B15" s="24" t="inlineStr">
        <is>
          <t>flow_catalog</t>
        </is>
      </c>
      <c r="C15" s="24" t="inlineStr">
        <is>
          <t>BASEFLOWNAME</t>
        </is>
      </c>
      <c r="D15" s="24" t="inlineStr">
        <is>
          <t>varchar(80)</t>
        </is>
      </c>
      <c r="E15" s="24" t="inlineStr">
        <is>
          <t>YES</t>
        </is>
      </c>
      <c r="F15" s="24" t="inlineStr">
        <is>
          <t>流程名称</t>
        </is>
      </c>
      <c r="G15" s="24" t="n"/>
      <c r="H15" s="24" t="n"/>
      <c r="I15" s="24" t="inlineStr"/>
      <c r="J15" s="24" t="inlineStr">
        <is>
          <t>2023/01/12</t>
        </is>
      </c>
    </row>
    <row r="16">
      <c r="B16" s="24" t="inlineStr">
        <is>
          <t>flow_catalog</t>
        </is>
      </c>
      <c r="C16" s="24" t="inlineStr">
        <is>
          <t>INPUTORGID</t>
        </is>
      </c>
      <c r="D16" s="24" t="inlineStr">
        <is>
          <t>varchar(32)</t>
        </is>
      </c>
      <c r="E16" s="24" t="inlineStr">
        <is>
          <t>YES</t>
        </is>
      </c>
      <c r="F16" s="24" t="inlineStr">
        <is>
          <t>登记机构</t>
        </is>
      </c>
      <c r="G16" s="24" t="n"/>
      <c r="H16" s="24" t="n"/>
      <c r="I16" s="24" t="inlineStr"/>
      <c r="J16" s="24" t="inlineStr">
        <is>
          <t>2023/01/12</t>
        </is>
      </c>
    </row>
    <row r="17">
      <c r="B17" s="24" t="inlineStr">
        <is>
          <t>flow_catalog</t>
        </is>
      </c>
      <c r="C17" s="24" t="inlineStr">
        <is>
          <t>INPUTUSERID</t>
        </is>
      </c>
      <c r="D17" s="24" t="inlineStr">
        <is>
          <t>varchar(32)</t>
        </is>
      </c>
      <c r="E17" s="24" t="inlineStr">
        <is>
          <t>YES</t>
        </is>
      </c>
      <c r="F17" s="24" t="inlineStr">
        <is>
          <t>登记人</t>
        </is>
      </c>
      <c r="G17" s="24" t="n"/>
      <c r="H17" s="24" t="n"/>
      <c r="I17" s="24" t="inlineStr"/>
      <c r="J17" s="24" t="inlineStr">
        <is>
          <t>2023/01/12</t>
        </is>
      </c>
    </row>
    <row r="18">
      <c r="B18" s="24" t="inlineStr">
        <is>
          <t>flow_catalog</t>
        </is>
      </c>
      <c r="C18" s="24" t="inlineStr">
        <is>
          <t>INPUTDATE</t>
        </is>
      </c>
      <c r="D18" s="24" t="inlineStr">
        <is>
          <t>datetime</t>
        </is>
      </c>
      <c r="E18" s="24" t="inlineStr">
        <is>
          <t>YES</t>
        </is>
      </c>
      <c r="F18" s="24" t="inlineStr">
        <is>
          <t>登记日期</t>
        </is>
      </c>
      <c r="G18" s="24" t="n"/>
      <c r="H18" s="24" t="n"/>
      <c r="I18" s="24" t="inlineStr"/>
      <c r="J18" s="24" t="inlineStr">
        <is>
          <t>2023/01/12</t>
        </is>
      </c>
    </row>
    <row r="19">
      <c r="B19" s="24" t="inlineStr">
        <is>
          <t>flow_catalog</t>
        </is>
      </c>
      <c r="C19" s="24" t="inlineStr">
        <is>
          <t>UPDATEORGID</t>
        </is>
      </c>
      <c r="D19" s="24" t="inlineStr">
        <is>
          <t>varchar(32)</t>
        </is>
      </c>
      <c r="E19" s="24" t="inlineStr">
        <is>
          <t>YES</t>
        </is>
      </c>
      <c r="F19" s="24" t="inlineStr">
        <is>
          <t>更新机构</t>
        </is>
      </c>
      <c r="G19" s="24" t="n"/>
      <c r="H19" s="24" t="n"/>
      <c r="I19" s="24" t="inlineStr"/>
      <c r="J19" s="24" t="inlineStr">
        <is>
          <t>2023/01/12</t>
        </is>
      </c>
    </row>
    <row r="20">
      <c r="B20" s="24" t="inlineStr">
        <is>
          <t>flow_catalog</t>
        </is>
      </c>
      <c r="C20" s="24" t="inlineStr">
        <is>
          <t>UPDATEUSERID</t>
        </is>
      </c>
      <c r="D20" s="24" t="inlineStr">
        <is>
          <t>varchar(32)</t>
        </is>
      </c>
      <c r="E20" s="24" t="inlineStr">
        <is>
          <t>YES</t>
        </is>
      </c>
      <c r="F20" s="24" t="inlineStr">
        <is>
          <t>更新人</t>
        </is>
      </c>
      <c r="G20" s="24" t="n"/>
      <c r="H20" s="24" t="n"/>
      <c r="I20" s="24" t="inlineStr"/>
      <c r="J20" s="24" t="inlineStr">
        <is>
          <t>2023/01/12</t>
        </is>
      </c>
    </row>
    <row r="21">
      <c r="B21" s="24" t="inlineStr">
        <is>
          <t>flow_catalog</t>
        </is>
      </c>
      <c r="C21" s="24" t="inlineStr">
        <is>
          <t>UPDATEDATE</t>
        </is>
      </c>
      <c r="D21" s="24" t="inlineStr">
        <is>
          <t>datetime</t>
        </is>
      </c>
      <c r="E21" s="24" t="inlineStr">
        <is>
          <t>YES</t>
        </is>
      </c>
      <c r="F21" s="24" t="inlineStr">
        <is>
          <t>更新日期</t>
        </is>
      </c>
      <c r="G21" s="24" t="n"/>
      <c r="H21" s="24" t="n"/>
      <c r="I21" s="24" t="inlineStr"/>
      <c r="J21" s="24" t="inlineStr">
        <is>
          <t>2023/01/12</t>
        </is>
      </c>
    </row>
    <row r="22">
      <c r="B22" s="24" t="inlineStr">
        <is>
          <t>flow_catalog</t>
        </is>
      </c>
      <c r="C22" s="24" t="inlineStr">
        <is>
          <t>CORPORGID</t>
        </is>
      </c>
      <c r="D22" s="24" t="inlineStr">
        <is>
          <t>varchar(32)</t>
        </is>
      </c>
      <c r="E22" s="24" t="inlineStr">
        <is>
          <t>YES</t>
        </is>
      </c>
      <c r="F22" s="24" t="inlineStr">
        <is>
          <t>法人机构编号</t>
        </is>
      </c>
      <c r="G22" s="24" t="n"/>
      <c r="H22" s="24" t="n"/>
      <c r="I22" s="24" t="inlineStr"/>
      <c r="J22" s="24" t="inlineStr">
        <is>
          <t>2023/01/12</t>
        </is>
      </c>
    </row>
    <row r="23">
      <c r="B23" s="24" t="inlineStr">
        <is>
          <t>flow_catalog</t>
        </is>
      </c>
      <c r="C23" s="24" t="inlineStr">
        <is>
          <t>GROUPTITLES</t>
        </is>
      </c>
      <c r="D23" s="24" t="inlineStr">
        <is>
          <t>varchar(4000)</t>
        </is>
      </c>
      <c r="E23" s="24" t="inlineStr">
        <is>
          <t>YES</t>
        </is>
      </c>
      <c r="F23" s="24" t="inlineStr">
        <is>
          <t>流程图分组标题</t>
        </is>
      </c>
      <c r="G23" s="24" t="n"/>
      <c r="H23" s="24" t="n"/>
      <c r="I23" s="24" t="inlineStr"/>
      <c r="J23" s="24" t="inlineStr">
        <is>
          <t>2023/01/12</t>
        </is>
      </c>
    </row>
    <row r="24">
      <c r="B24" s="24" t="inlineStr">
        <is>
          <t>flow_catalog</t>
        </is>
      </c>
      <c r="C24" s="24" t="inlineStr">
        <is>
          <t>VIEWFILE</t>
        </is>
      </c>
      <c r="D24" s="24" t="inlineStr">
        <is>
          <t>varchar(4000)</t>
        </is>
      </c>
      <c r="E24" s="24" t="inlineStr">
        <is>
          <t>YES</t>
        </is>
      </c>
      <c r="F24" s="24" t="inlineStr">
        <is>
          <t>流程图文件</t>
        </is>
      </c>
      <c r="G24" s="24" t="n"/>
      <c r="H24" s="24" t="n"/>
      <c r="I24" s="24" t="inlineStr"/>
      <c r="J24" s="24" t="inlineStr">
        <is>
          <t>2023/01/12</t>
        </is>
      </c>
    </row>
    <row r="25">
      <c r="B25" s="24" t="inlineStr">
        <is>
          <t>flow_catalog</t>
        </is>
      </c>
      <c r="C25" s="24" t="inlineStr">
        <is>
          <t>FLOWBUTTONSET</t>
        </is>
      </c>
      <c r="D25" s="24" t="inlineStr">
        <is>
          <t>varchar(80)</t>
        </is>
      </c>
      <c r="E25" s="24" t="inlineStr">
        <is>
          <t>YES</t>
        </is>
      </c>
      <c r="F25" s="24" t="inlineStr">
        <is>
          <t>流程按钮组</t>
        </is>
      </c>
      <c r="G25" s="24" t="n"/>
      <c r="H25" s="24" t="n"/>
      <c r="I25" s="24" t="inlineStr"/>
      <c r="J25" s="24" t="inlineStr">
        <is>
          <t>2023/01/12</t>
        </is>
      </c>
    </row>
  </sheetData>
  <pageMargins left="0.75" right="0.75" top="1" bottom="1" header="0.5" footer="0.5"/>
  <pageSetup orientation="portrait" paperSize="1" horizontalDpi="300" verticalDpi="300"/>
</worksheet>
</file>

<file path=xl/worksheets/sheet128.xml><?xml version="1.0" encoding="utf-8"?>
<worksheet xmlns="http://schemas.openxmlformats.org/spreadsheetml/2006/main">
  <sheetPr>
    <outlinePr summaryBelow="1" summaryRight="1"/>
    <pageSetUpPr/>
  </sheetPr>
  <dimension ref="A1:J16"/>
  <sheetViews>
    <sheetView zoomScaleSheetLayoutView="60" workbookViewId="0">
      <selection activeCell="F3" sqref="F3:F16"/>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流程定义</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flow_def</t>
        </is>
      </c>
      <c r="C3" s="24" t="inlineStr">
        <is>
          <t>DEFINITIONID</t>
        </is>
      </c>
      <c r="D3" s="24" t="inlineStr">
        <is>
          <t>varchar(200)</t>
        </is>
      </c>
      <c r="E3" s="24" t="inlineStr">
        <is>
          <t>NO</t>
        </is>
      </c>
      <c r="F3" s="24" t="inlineStr">
        <is>
          <t>流水号（模型编号＋版本号）</t>
        </is>
      </c>
      <c r="G3" s="24" t="n"/>
      <c r="H3" s="24" t="n"/>
      <c r="I3" s="24" t="inlineStr"/>
      <c r="J3" s="24" t="inlineStr">
        <is>
          <t>2023/01/12</t>
        </is>
      </c>
    </row>
    <row r="4">
      <c r="B4" s="24" t="inlineStr">
        <is>
          <t>flow_def</t>
        </is>
      </c>
      <c r="C4" s="24" t="inlineStr">
        <is>
          <t>DEFINITIONNAME</t>
        </is>
      </c>
      <c r="D4" s="24" t="inlineStr">
        <is>
          <t>varchar(500)</t>
        </is>
      </c>
      <c r="E4" s="24" t="inlineStr">
        <is>
          <t>YES</t>
        </is>
      </c>
      <c r="F4" s="24" t="inlineStr">
        <is>
          <t>流程定义名称</t>
        </is>
      </c>
      <c r="G4" s="24" t="n"/>
      <c r="H4" s="24" t="n"/>
      <c r="I4" s="24" t="inlineStr"/>
      <c r="J4" s="24" t="inlineStr">
        <is>
          <t>2023/01/12</t>
        </is>
      </c>
    </row>
    <row r="5">
      <c r="B5" s="24" t="inlineStr">
        <is>
          <t>flow_def</t>
        </is>
      </c>
      <c r="C5" s="24" t="inlineStr">
        <is>
          <t>MODELID</t>
        </is>
      </c>
      <c r="D5" s="24" t="inlineStr">
        <is>
          <t>varchar(80)</t>
        </is>
      </c>
      <c r="E5" s="24" t="inlineStr">
        <is>
          <t>YES</t>
        </is>
      </c>
      <c r="F5" s="24" t="inlineStr">
        <is>
          <t>模型编号</t>
        </is>
      </c>
      <c r="G5" s="24" t="n"/>
      <c r="H5" s="24" t="n"/>
      <c r="I5" s="24" t="inlineStr"/>
      <c r="J5" s="24" t="inlineStr">
        <is>
          <t>2023/01/12</t>
        </is>
      </c>
    </row>
    <row r="6">
      <c r="B6" s="24" t="inlineStr">
        <is>
          <t>flow_def</t>
        </is>
      </c>
      <c r="C6" s="24" t="inlineStr">
        <is>
          <t>DEFINITIONVERSION</t>
        </is>
      </c>
      <c r="D6" s="24" t="inlineStr">
        <is>
          <t>int</t>
        </is>
      </c>
      <c r="E6" s="24" t="inlineStr">
        <is>
          <t>YES</t>
        </is>
      </c>
      <c r="F6" s="24" t="inlineStr">
        <is>
          <t>版本</t>
        </is>
      </c>
      <c r="G6" s="24" t="n"/>
      <c r="H6" s="24" t="n"/>
      <c r="I6" s="24" t="inlineStr"/>
      <c r="J6" s="24" t="inlineStr">
        <is>
          <t>2023/01/12</t>
        </is>
      </c>
    </row>
    <row r="7">
      <c r="B7" s="24" t="inlineStr">
        <is>
          <t>flow_def</t>
        </is>
      </c>
      <c r="C7" s="24" t="inlineStr">
        <is>
          <t>GROUPID</t>
        </is>
      </c>
      <c r="D7" s="24" t="inlineStr">
        <is>
          <t>varchar(80)</t>
        </is>
      </c>
      <c r="E7" s="24" t="inlineStr">
        <is>
          <t>YES</t>
        </is>
      </c>
      <c r="F7" s="24" t="inlineStr">
        <is>
          <t>模型分组</t>
        </is>
      </c>
      <c r="G7" s="24" t="n"/>
      <c r="H7" s="24" t="n"/>
      <c r="I7" s="24" t="inlineStr"/>
      <c r="J7" s="24" t="inlineStr">
        <is>
          <t>2023/01/12</t>
        </is>
      </c>
    </row>
    <row r="8">
      <c r="B8" s="24" t="inlineStr">
        <is>
          <t>flow_def</t>
        </is>
      </c>
      <c r="C8" s="24" t="inlineStr">
        <is>
          <t>DEPLOYID</t>
        </is>
      </c>
      <c r="D8" s="24" t="inlineStr">
        <is>
          <t>varchar(80)</t>
        </is>
      </c>
      <c r="E8" s="24" t="inlineStr">
        <is>
          <t>YES</t>
        </is>
      </c>
      <c r="F8" s="24" t="inlineStr">
        <is>
          <t>部署流水号</t>
        </is>
      </c>
      <c r="G8" s="24" t="n"/>
      <c r="H8" s="24" t="n"/>
      <c r="I8" s="24" t="inlineStr"/>
      <c r="J8" s="24" t="inlineStr">
        <is>
          <t>2023/01/12</t>
        </is>
      </c>
    </row>
    <row r="9">
      <c r="B9" s="24" t="inlineStr">
        <is>
          <t>flow_def</t>
        </is>
      </c>
      <c r="C9" s="24" t="inlineStr">
        <is>
          <t>MODELCONTENT</t>
        </is>
      </c>
      <c r="D9" s="24" t="inlineStr">
        <is>
          <t>longtext</t>
        </is>
      </c>
      <c r="E9" s="24" t="inlineStr">
        <is>
          <t>YES</t>
        </is>
      </c>
      <c r="F9" s="24" t="inlineStr">
        <is>
          <t>JSON内容</t>
        </is>
      </c>
      <c r="G9" s="24" t="n"/>
      <c r="H9" s="24" t="n"/>
      <c r="I9" s="24" t="inlineStr"/>
      <c r="J9" s="24" t="inlineStr">
        <is>
          <t>2023/01/12</t>
        </is>
      </c>
    </row>
    <row r="10">
      <c r="B10" s="24" t="inlineStr">
        <is>
          <t>flow_def</t>
        </is>
      </c>
      <c r="C10" s="24" t="inlineStr">
        <is>
          <t>XMLCONTENT</t>
        </is>
      </c>
      <c r="D10" s="24" t="inlineStr">
        <is>
          <t>longtext</t>
        </is>
      </c>
      <c r="E10" s="24" t="inlineStr">
        <is>
          <t>YES</t>
        </is>
      </c>
      <c r="F10" s="24" t="inlineStr">
        <is>
          <t>XML内容</t>
        </is>
      </c>
      <c r="G10" s="24" t="n"/>
      <c r="H10" s="24" t="n"/>
      <c r="I10" s="24" t="inlineStr"/>
      <c r="J10" s="24" t="inlineStr">
        <is>
          <t>2023/01/12</t>
        </is>
      </c>
    </row>
    <row r="11">
      <c r="B11" s="24" t="inlineStr">
        <is>
          <t>flow_def</t>
        </is>
      </c>
      <c r="C11" s="24" t="inlineStr">
        <is>
          <t>ISINUSE</t>
        </is>
      </c>
      <c r="D11" s="24" t="inlineStr">
        <is>
          <t>varchar(6)</t>
        </is>
      </c>
      <c r="E11" s="24" t="inlineStr">
        <is>
          <t>YES</t>
        </is>
      </c>
      <c r="F11" s="24" t="inlineStr">
        <is>
          <t>是否可用</t>
        </is>
      </c>
      <c r="G11" s="24" t="n"/>
      <c r="H11" s="24" t="n"/>
      <c r="I11" s="24" t="inlineStr"/>
      <c r="J11" s="24" t="inlineStr">
        <is>
          <t>2023/01/12</t>
        </is>
      </c>
    </row>
    <row r="12">
      <c r="B12" s="24" t="inlineStr">
        <is>
          <t>flow_def</t>
        </is>
      </c>
      <c r="C12" s="24" t="inlineStr">
        <is>
          <t>DEFINITIONDESC</t>
        </is>
      </c>
      <c r="D12" s="24" t="inlineStr">
        <is>
          <t>varchar(2000)</t>
        </is>
      </c>
      <c r="E12" s="24" t="inlineStr">
        <is>
          <t>YES</t>
        </is>
      </c>
      <c r="F12" s="24" t="inlineStr">
        <is>
          <t>备注</t>
        </is>
      </c>
      <c r="G12" s="24" t="n"/>
      <c r="H12" s="24" t="n"/>
      <c r="I12" s="24" t="inlineStr"/>
      <c r="J12" s="24" t="inlineStr">
        <is>
          <t>2023/01/12</t>
        </is>
      </c>
    </row>
    <row r="13">
      <c r="B13" s="24" t="inlineStr">
        <is>
          <t>flow_def</t>
        </is>
      </c>
      <c r="C13" s="24" t="inlineStr">
        <is>
          <t>CREATETIME</t>
        </is>
      </c>
      <c r="D13" s="24" t="inlineStr">
        <is>
          <t>datetime</t>
        </is>
      </c>
      <c r="E13" s="24" t="inlineStr">
        <is>
          <t>YES</t>
        </is>
      </c>
      <c r="F13" s="24" t="inlineStr">
        <is>
          <t>创建时间</t>
        </is>
      </c>
      <c r="G13" s="24" t="n"/>
      <c r="H13" s="24" t="n"/>
      <c r="I13" s="24" t="inlineStr"/>
      <c r="J13" s="24" t="inlineStr">
        <is>
          <t>2023/01/12</t>
        </is>
      </c>
    </row>
    <row r="14">
      <c r="B14" s="109" t="inlineStr">
        <is>
          <t>flow_def</t>
        </is>
      </c>
      <c r="C14" s="109" t="inlineStr">
        <is>
          <t>CREATEUSERID</t>
        </is>
      </c>
      <c r="D14" s="109" t="inlineStr">
        <is>
          <t>varchar(80)</t>
        </is>
      </c>
      <c r="E14" s="109" t="inlineStr">
        <is>
          <t>YES</t>
        </is>
      </c>
      <c r="F14" s="109" t="inlineStr">
        <is>
          <t>创建人</t>
        </is>
      </c>
      <c r="G14" s="109" t="n"/>
      <c r="H14" s="109" t="n"/>
      <c r="I14" s="109" t="inlineStr"/>
      <c r="J14" s="109" t="inlineStr">
        <is>
          <t>2023/01/12</t>
        </is>
      </c>
    </row>
    <row r="15">
      <c r="B15" s="41" t="inlineStr">
        <is>
          <t>flow_def</t>
        </is>
      </c>
      <c r="C15" s="21" t="inlineStr">
        <is>
          <t>CREATEORGID</t>
        </is>
      </c>
      <c r="D15" s="41" t="inlineStr">
        <is>
          <t>varchar(80)</t>
        </is>
      </c>
      <c r="E15" s="41" t="inlineStr">
        <is>
          <t>YES</t>
        </is>
      </c>
      <c r="F15" s="21" t="inlineStr">
        <is>
          <t>创建机构</t>
        </is>
      </c>
      <c r="G15" s="21" t="n"/>
      <c r="H15" s="21" t="n"/>
      <c r="I15" s="21" t="n"/>
      <c r="J15" s="109" t="inlineStr">
        <is>
          <t>2023/01/12</t>
        </is>
      </c>
    </row>
    <row r="16">
      <c r="B16" s="41" t="inlineStr">
        <is>
          <t>flow_def</t>
        </is>
      </c>
      <c r="C16" s="21" t="inlineStr">
        <is>
          <t>CORPORG</t>
        </is>
      </c>
      <c r="D16" s="41" t="inlineStr">
        <is>
          <t>varchar(80)</t>
        </is>
      </c>
      <c r="E16" s="41" t="inlineStr">
        <is>
          <t>YES</t>
        </is>
      </c>
      <c r="F16" s="21" t="inlineStr">
        <is>
          <t>法人机构</t>
        </is>
      </c>
      <c r="G16" s="21" t="n"/>
      <c r="H16" s="21" t="n"/>
      <c r="I16" s="21" t="n"/>
      <c r="J16" s="109" t="inlineStr">
        <is>
          <t>2023/01/12</t>
        </is>
      </c>
    </row>
  </sheetData>
  <pageMargins left="0.75" right="0.75" top="1" bottom="1" header="0.5" footer="0.5"/>
  <pageSetup orientation="portrait" paperSize="1" horizontalDpi="300" verticalDpi="300"/>
</worksheet>
</file>

<file path=xl/worksheets/sheet129.xml><?xml version="1.0" encoding="utf-8"?>
<worksheet xmlns="http://schemas.openxmlformats.org/spreadsheetml/2006/main">
  <sheetPr>
    <outlinePr summaryBelow="1" summaryRight="1"/>
    <pageSetUpPr/>
  </sheetPr>
  <dimension ref="A1:J8"/>
  <sheetViews>
    <sheetView zoomScaleSheetLayoutView="60" workbookViewId="0">
      <selection activeCell="F4" sqref="F3:F8"/>
    </sheetView>
  </sheetViews>
  <sheetFormatPr baseColWidth="8" defaultColWidth="9.142857142857141" defaultRowHeight="15.2" outlineLevelRow="7"/>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流程部署</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flow_deploy</t>
        </is>
      </c>
      <c r="C3" s="24" t="inlineStr">
        <is>
          <t>DEPLOYID</t>
        </is>
      </c>
      <c r="D3" s="24" t="inlineStr">
        <is>
          <t>varchar(80)</t>
        </is>
      </c>
      <c r="E3" s="24" t="inlineStr">
        <is>
          <t>NO</t>
        </is>
      </c>
      <c r="F3" s="24" t="inlineStr">
        <is>
          <t>流水号</t>
        </is>
      </c>
      <c r="G3" s="24" t="n"/>
      <c r="H3" s="24" t="n"/>
      <c r="I3" s="24" t="inlineStr"/>
      <c r="J3" s="24" t="inlineStr">
        <is>
          <t>2023/01/12</t>
        </is>
      </c>
    </row>
    <row r="4">
      <c r="B4" s="24" t="inlineStr">
        <is>
          <t>flow_deploy</t>
        </is>
      </c>
      <c r="C4" s="24" t="inlineStr">
        <is>
          <t>DEPLOYNAME</t>
        </is>
      </c>
      <c r="D4" s="24" t="inlineStr">
        <is>
          <t>varchar(500)</t>
        </is>
      </c>
      <c r="E4" s="24" t="inlineStr">
        <is>
          <t>YES</t>
        </is>
      </c>
      <c r="F4" s="24" t="inlineStr">
        <is>
          <t>名称</t>
        </is>
      </c>
      <c r="G4" s="24" t="n"/>
      <c r="H4" s="24" t="n"/>
      <c r="I4" s="24" t="inlineStr"/>
      <c r="J4" s="24" t="inlineStr">
        <is>
          <t>2023/01/12</t>
        </is>
      </c>
    </row>
    <row r="5">
      <c r="B5" s="24" t="inlineStr">
        <is>
          <t>flow_deploy</t>
        </is>
      </c>
      <c r="C5" s="24" t="inlineStr">
        <is>
          <t>MODELIDS</t>
        </is>
      </c>
      <c r="D5" s="24" t="inlineStr">
        <is>
          <t>varchar(2000)</t>
        </is>
      </c>
      <c r="E5" s="24" t="inlineStr">
        <is>
          <t>YES</t>
        </is>
      </c>
      <c r="F5" s="24" t="inlineStr">
        <is>
          <t>部署模型编号</t>
        </is>
      </c>
      <c r="G5" s="24" t="n"/>
      <c r="H5" s="24" t="n"/>
      <c r="I5" s="24" t="inlineStr"/>
      <c r="J5" s="24" t="inlineStr">
        <is>
          <t>2023/01/12</t>
        </is>
      </c>
    </row>
    <row r="6">
      <c r="B6" s="24" t="inlineStr">
        <is>
          <t>flow_deploy</t>
        </is>
      </c>
      <c r="C6" s="24" t="inlineStr">
        <is>
          <t>DEPLOYDESC</t>
        </is>
      </c>
      <c r="D6" s="24" t="inlineStr">
        <is>
          <t>varchar(2000)</t>
        </is>
      </c>
      <c r="E6" s="24" t="inlineStr">
        <is>
          <t>YES</t>
        </is>
      </c>
      <c r="F6" s="24" t="inlineStr">
        <is>
          <t>备注</t>
        </is>
      </c>
      <c r="G6" s="24" t="n"/>
      <c r="H6" s="24" t="n"/>
      <c r="I6" s="24" t="inlineStr"/>
      <c r="J6" s="24" t="inlineStr">
        <is>
          <t>2023/01/12</t>
        </is>
      </c>
    </row>
    <row r="7">
      <c r="B7" s="24" t="inlineStr">
        <is>
          <t>flow_deploy</t>
        </is>
      </c>
      <c r="C7" s="24" t="inlineStr">
        <is>
          <t>CREATETIME</t>
        </is>
      </c>
      <c r="D7" s="24" t="inlineStr">
        <is>
          <t>datetime</t>
        </is>
      </c>
      <c r="E7" s="24" t="inlineStr">
        <is>
          <t>YES</t>
        </is>
      </c>
      <c r="F7" s="24" t="inlineStr">
        <is>
          <t>创建时间</t>
        </is>
      </c>
      <c r="G7" s="24" t="n"/>
      <c r="H7" s="24" t="n"/>
      <c r="I7" s="24" t="inlineStr"/>
      <c r="J7" s="24" t="inlineStr">
        <is>
          <t>2023/01/12</t>
        </is>
      </c>
    </row>
    <row r="8">
      <c r="B8" s="24" t="inlineStr">
        <is>
          <t>flow_deploy</t>
        </is>
      </c>
      <c r="C8" s="24" t="inlineStr">
        <is>
          <t>CREATEUSERID</t>
        </is>
      </c>
      <c r="D8" s="24" t="inlineStr">
        <is>
          <t>varchar(80)</t>
        </is>
      </c>
      <c r="E8" s="24" t="inlineStr">
        <is>
          <t>YES</t>
        </is>
      </c>
      <c r="F8" s="24" t="inlineStr">
        <is>
          <t>创建人</t>
        </is>
      </c>
      <c r="G8" s="24" t="n"/>
      <c r="H8" s="24" t="n"/>
      <c r="I8" s="24" t="inlineStr"/>
      <c r="J8" s="24" t="inlineStr">
        <is>
          <t>2023/01/12</t>
        </is>
      </c>
    </row>
  </sheetData>
  <pageMargins left="0.75" right="0.75" top="1" bottom="1" header="0.5" footer="0.5"/>
  <pageSetup orientation="portrait" paperSize="1" horizontalDpi="300" verticalDpi="300"/>
</worksheet>
</file>

<file path=xl/worksheets/sheet130.xml><?xml version="1.0" encoding="utf-8"?>
<worksheet xmlns="http://schemas.openxmlformats.org/spreadsheetml/2006/main">
  <sheetPr>
    <outlinePr summaryBelow="1" summaryRight="1"/>
    <pageSetUpPr/>
  </sheetPr>
  <dimension ref="A1:J14"/>
  <sheetViews>
    <sheetView zoomScaleSheetLayoutView="60" workbookViewId="0">
      <selection activeCell="F3" sqref="F3:F14"/>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流程分组</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flow_group</t>
        </is>
      </c>
      <c r="C3" s="24" t="inlineStr">
        <is>
          <t>GROUPID</t>
        </is>
      </c>
      <c r="D3" s="24" t="inlineStr">
        <is>
          <t>varchar(80)</t>
        </is>
      </c>
      <c r="E3" s="24" t="inlineStr">
        <is>
          <t>NO</t>
        </is>
      </c>
      <c r="F3" s="24" t="inlineStr">
        <is>
          <t>分组编号</t>
        </is>
      </c>
      <c r="G3" s="24" t="n"/>
      <c r="H3" s="24" t="n"/>
      <c r="I3" s="24" t="inlineStr"/>
      <c r="J3" s="24" t="inlineStr">
        <is>
          <t>2023/01/12</t>
        </is>
      </c>
    </row>
    <row r="4">
      <c r="B4" s="24" t="inlineStr">
        <is>
          <t>flow_group</t>
        </is>
      </c>
      <c r="C4" s="24" t="inlineStr">
        <is>
          <t>GROUPNAME</t>
        </is>
      </c>
      <c r="D4" s="24" t="inlineStr">
        <is>
          <t>varchar(500)</t>
        </is>
      </c>
      <c r="E4" s="24" t="inlineStr">
        <is>
          <t>YES</t>
        </is>
      </c>
      <c r="F4" s="24" t="inlineStr">
        <is>
          <t>分组名称</t>
        </is>
      </c>
      <c r="G4" s="24" t="n"/>
      <c r="H4" s="24" t="n"/>
      <c r="I4" s="24" t="inlineStr"/>
      <c r="J4" s="24" t="inlineStr">
        <is>
          <t>2023/01/12</t>
        </is>
      </c>
    </row>
    <row r="5">
      <c r="B5" s="24" t="inlineStr">
        <is>
          <t>flow_group</t>
        </is>
      </c>
      <c r="C5" s="24" t="inlineStr">
        <is>
          <t>PARENTID</t>
        </is>
      </c>
      <c r="D5" s="24" t="inlineStr">
        <is>
          <t>varchar(80)</t>
        </is>
      </c>
      <c r="E5" s="24" t="inlineStr">
        <is>
          <t>YES</t>
        </is>
      </c>
      <c r="F5" s="24" t="inlineStr">
        <is>
          <t>父节点</t>
        </is>
      </c>
      <c r="G5" s="24" t="n"/>
      <c r="H5" s="24" t="n"/>
      <c r="I5" s="24" t="inlineStr"/>
      <c r="J5" s="24" t="inlineStr">
        <is>
          <t>2023/01/12</t>
        </is>
      </c>
    </row>
    <row r="6">
      <c r="B6" s="24" t="inlineStr">
        <is>
          <t>flow_group</t>
        </is>
      </c>
      <c r="C6" s="24" t="inlineStr">
        <is>
          <t>GROUPDESC</t>
        </is>
      </c>
      <c r="D6" s="24" t="inlineStr">
        <is>
          <t>varchar(2000)</t>
        </is>
      </c>
      <c r="E6" s="24" t="inlineStr">
        <is>
          <t>YES</t>
        </is>
      </c>
      <c r="F6" s="24" t="inlineStr">
        <is>
          <t>备注</t>
        </is>
      </c>
      <c r="G6" s="24" t="n"/>
      <c r="H6" s="24" t="n"/>
      <c r="I6" s="24" t="inlineStr"/>
      <c r="J6" s="24" t="inlineStr">
        <is>
          <t>2023/01/12</t>
        </is>
      </c>
    </row>
    <row r="7">
      <c r="B7" s="24" t="inlineStr">
        <is>
          <t>flow_group</t>
        </is>
      </c>
      <c r="C7" s="24" t="inlineStr">
        <is>
          <t>CREATETIME</t>
        </is>
      </c>
      <c r="D7" s="24" t="inlineStr">
        <is>
          <t>datetime</t>
        </is>
      </c>
      <c r="E7" s="24" t="inlineStr">
        <is>
          <t>YES</t>
        </is>
      </c>
      <c r="F7" s="24" t="inlineStr">
        <is>
          <t>创建时间</t>
        </is>
      </c>
      <c r="G7" s="24" t="n"/>
      <c r="H7" s="24" t="n"/>
      <c r="I7" s="24" t="inlineStr"/>
      <c r="J7" s="24" t="inlineStr">
        <is>
          <t>2023/01/12</t>
        </is>
      </c>
    </row>
    <row r="8">
      <c r="B8" s="24" t="inlineStr">
        <is>
          <t>flow_group</t>
        </is>
      </c>
      <c r="C8" s="24" t="inlineStr">
        <is>
          <t>CREATEUSERID</t>
        </is>
      </c>
      <c r="D8" s="24" t="inlineStr">
        <is>
          <t>varchar(80)</t>
        </is>
      </c>
      <c r="E8" s="24" t="inlineStr">
        <is>
          <t>YES</t>
        </is>
      </c>
      <c r="F8" s="24" t="inlineStr">
        <is>
          <t>创建人</t>
        </is>
      </c>
      <c r="G8" s="24" t="n"/>
      <c r="H8" s="24" t="n"/>
      <c r="I8" s="24" t="inlineStr"/>
      <c r="J8" s="24" t="inlineStr">
        <is>
          <t>2023/01/12</t>
        </is>
      </c>
    </row>
    <row r="9">
      <c r="B9" s="24" t="inlineStr">
        <is>
          <t>flow_group</t>
        </is>
      </c>
      <c r="C9" s="24" t="inlineStr">
        <is>
          <t>UPDATETIME</t>
        </is>
      </c>
      <c r="D9" s="24" t="inlineStr">
        <is>
          <t>datetime</t>
        </is>
      </c>
      <c r="E9" s="24" t="inlineStr">
        <is>
          <t>YES</t>
        </is>
      </c>
      <c r="F9" s="24" t="inlineStr">
        <is>
          <t>修改时间</t>
        </is>
      </c>
      <c r="G9" s="24" t="n"/>
      <c r="H9" s="24" t="n"/>
      <c r="I9" s="24" t="inlineStr"/>
      <c r="J9" s="24" t="inlineStr">
        <is>
          <t>2023/01/12</t>
        </is>
      </c>
    </row>
    <row r="10">
      <c r="B10" s="24" t="inlineStr">
        <is>
          <t>flow_group</t>
        </is>
      </c>
      <c r="C10" s="24" t="inlineStr">
        <is>
          <t>UPDATEUSERID</t>
        </is>
      </c>
      <c r="D10" s="24" t="inlineStr">
        <is>
          <t>varchar(80)</t>
        </is>
      </c>
      <c r="E10" s="24" t="inlineStr">
        <is>
          <t>YES</t>
        </is>
      </c>
      <c r="F10" s="24" t="inlineStr">
        <is>
          <t>修改人</t>
        </is>
      </c>
      <c r="G10" s="24" t="n"/>
      <c r="H10" s="24" t="n"/>
      <c r="I10" s="24" t="inlineStr"/>
      <c r="J10" s="24" t="inlineStr">
        <is>
          <t>2023/01/12</t>
        </is>
      </c>
    </row>
    <row r="11">
      <c r="B11" s="109" t="inlineStr">
        <is>
          <t>flow_group</t>
        </is>
      </c>
      <c r="C11" s="109" t="inlineStr">
        <is>
          <t>MAINBUSINESSOBJECT</t>
        </is>
      </c>
      <c r="D11" s="109" t="inlineStr">
        <is>
          <t>varchar(200)</t>
        </is>
      </c>
      <c r="E11" s="109" t="inlineStr">
        <is>
          <t>YES</t>
        </is>
      </c>
      <c r="F11" s="109" t="inlineStr">
        <is>
          <t>主业务对象</t>
        </is>
      </c>
      <c r="G11" s="109" t="n"/>
      <c r="H11" s="109" t="n"/>
      <c r="I11" s="109" t="inlineStr"/>
      <c r="J11" s="109" t="inlineStr">
        <is>
          <t>2023/01/12</t>
        </is>
      </c>
    </row>
    <row r="12">
      <c r="B12" s="41" t="inlineStr">
        <is>
          <t>flow_group</t>
        </is>
      </c>
      <c r="C12" s="21" t="inlineStr">
        <is>
          <t>CREATEORGID</t>
        </is>
      </c>
      <c r="D12" s="21" t="inlineStr">
        <is>
          <t>varchar(80)</t>
        </is>
      </c>
      <c r="E12" s="109" t="inlineStr">
        <is>
          <t>YES</t>
        </is>
      </c>
      <c r="F12" s="21" t="inlineStr">
        <is>
          <t>创建机构</t>
        </is>
      </c>
      <c r="G12" s="21" t="n"/>
      <c r="H12" s="21" t="n"/>
      <c r="I12" s="21" t="n"/>
      <c r="J12" s="109" t="inlineStr">
        <is>
          <t>2023/01/12</t>
        </is>
      </c>
    </row>
    <row r="13">
      <c r="B13" s="41" t="inlineStr">
        <is>
          <t>flow_group</t>
        </is>
      </c>
      <c r="C13" s="21" t="inlineStr">
        <is>
          <t>UPDATEORGID</t>
        </is>
      </c>
      <c r="D13" s="21" t="inlineStr">
        <is>
          <t>varchar(80)</t>
        </is>
      </c>
      <c r="E13" s="109" t="inlineStr">
        <is>
          <t>YES</t>
        </is>
      </c>
      <c r="F13" s="21" t="inlineStr">
        <is>
          <t>更新机构</t>
        </is>
      </c>
      <c r="G13" s="21" t="n"/>
      <c r="H13" s="21" t="n"/>
      <c r="I13" s="21" t="n"/>
      <c r="J13" s="109" t="inlineStr">
        <is>
          <t>2023/01/12</t>
        </is>
      </c>
    </row>
    <row r="14">
      <c r="B14" s="41" t="inlineStr">
        <is>
          <t>flow_group</t>
        </is>
      </c>
      <c r="C14" s="21" t="inlineStr">
        <is>
          <t>CORPORG</t>
        </is>
      </c>
      <c r="D14" s="21" t="inlineStr">
        <is>
          <t>varchar(80)</t>
        </is>
      </c>
      <c r="E14" s="41" t="inlineStr">
        <is>
          <t>YES</t>
        </is>
      </c>
      <c r="F14" s="21" t="inlineStr">
        <is>
          <t>法人机构</t>
        </is>
      </c>
      <c r="G14" s="21" t="n"/>
      <c r="H14" s="21" t="n"/>
      <c r="I14" s="21" t="n"/>
      <c r="J14" s="109" t="inlineStr">
        <is>
          <t>2023/01/12</t>
        </is>
      </c>
    </row>
  </sheetData>
  <pageMargins left="0.75" right="0.75" top="1" bottom="1" header="0.5" footer="0.5"/>
  <pageSetup orientation="portrait" paperSize="1" horizontalDpi="300" verticalDpi="300"/>
</worksheet>
</file>

<file path=xl/worksheets/sheet131.xml><?xml version="1.0" encoding="utf-8"?>
<worksheet xmlns="http://schemas.openxmlformats.org/spreadsheetml/2006/main">
  <sheetPr>
    <outlinePr summaryBelow="1" summaryRight="1"/>
    <pageSetUpPr/>
  </sheetPr>
  <dimension ref="A1:J14"/>
  <sheetViews>
    <sheetView zoomScaleSheetLayoutView="60" workbookViewId="0">
      <selection activeCell="F3" sqref="F3:F14"/>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流程模型的历史</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flow_hi_model</t>
        </is>
      </c>
      <c r="C3" s="24" t="inlineStr">
        <is>
          <t>SERIALNO</t>
        </is>
      </c>
      <c r="D3" s="24" t="inlineStr">
        <is>
          <t>varchar(80)</t>
        </is>
      </c>
      <c r="E3" s="24" t="inlineStr">
        <is>
          <t>NO</t>
        </is>
      </c>
      <c r="F3" s="24" t="inlineStr">
        <is>
          <t>流水号</t>
        </is>
      </c>
      <c r="G3" s="24" t="n"/>
      <c r="H3" s="24" t="n"/>
      <c r="I3" s="24" t="inlineStr"/>
      <c r="J3" s="24" t="inlineStr">
        <is>
          <t>2023/01/12</t>
        </is>
      </c>
    </row>
    <row r="4">
      <c r="B4" s="24" t="inlineStr">
        <is>
          <t>flow_hi_model</t>
        </is>
      </c>
      <c r="C4" s="24" t="inlineStr">
        <is>
          <t>MODELID</t>
        </is>
      </c>
      <c r="D4" s="24" t="inlineStr">
        <is>
          <t>varchar(80)</t>
        </is>
      </c>
      <c r="E4" s="24" t="inlineStr">
        <is>
          <t>YES</t>
        </is>
      </c>
      <c r="F4" s="24" t="inlineStr">
        <is>
          <t>模型编号</t>
        </is>
      </c>
      <c r="G4" s="24" t="n"/>
      <c r="H4" s="24" t="n"/>
      <c r="I4" s="24" t="inlineStr"/>
      <c r="J4" s="24" t="inlineStr">
        <is>
          <t>2023/01/12</t>
        </is>
      </c>
    </row>
    <row r="5">
      <c r="B5" s="24" t="inlineStr">
        <is>
          <t>flow_hi_model</t>
        </is>
      </c>
      <c r="C5" s="24" t="inlineStr">
        <is>
          <t>MODELNAME</t>
        </is>
      </c>
      <c r="D5" s="24" t="inlineStr">
        <is>
          <t>varchar(500)</t>
        </is>
      </c>
      <c r="E5" s="24" t="inlineStr">
        <is>
          <t>YES</t>
        </is>
      </c>
      <c r="F5" s="24" t="inlineStr">
        <is>
          <t>模型英文名称</t>
        </is>
      </c>
      <c r="G5" s="24" t="n"/>
      <c r="H5" s="24" t="n"/>
      <c r="I5" s="24" t="inlineStr"/>
      <c r="J5" s="24" t="inlineStr">
        <is>
          <t>2023/01/12</t>
        </is>
      </c>
    </row>
    <row r="6">
      <c r="B6" s="24" t="inlineStr">
        <is>
          <t>flow_hi_model</t>
        </is>
      </c>
      <c r="C6" s="24" t="inlineStr">
        <is>
          <t>MODELLABLE</t>
        </is>
      </c>
      <c r="D6" s="24" t="inlineStr">
        <is>
          <t>varchar(500)</t>
        </is>
      </c>
      <c r="E6" s="24" t="inlineStr">
        <is>
          <t>YES</t>
        </is>
      </c>
      <c r="F6" s="24" t="inlineStr">
        <is>
          <t>模型中文名称</t>
        </is>
      </c>
      <c r="G6" s="24" t="n"/>
      <c r="H6" s="24" t="n"/>
      <c r="I6" s="24" t="inlineStr"/>
      <c r="J6" s="24" t="inlineStr">
        <is>
          <t>2023/01/12</t>
        </is>
      </c>
    </row>
    <row r="7">
      <c r="B7" s="24" t="inlineStr">
        <is>
          <t>flow_hi_model</t>
        </is>
      </c>
      <c r="C7" s="24" t="inlineStr">
        <is>
          <t>MODELDESC</t>
        </is>
      </c>
      <c r="D7" s="24" t="inlineStr">
        <is>
          <t>varchar(2000)</t>
        </is>
      </c>
      <c r="E7" s="24" t="inlineStr">
        <is>
          <t>YES</t>
        </is>
      </c>
      <c r="F7" s="24" t="inlineStr">
        <is>
          <t>模型说明</t>
        </is>
      </c>
      <c r="G7" s="24" t="n"/>
      <c r="H7" s="24" t="n"/>
      <c r="I7" s="24" t="inlineStr"/>
      <c r="J7" s="24" t="inlineStr">
        <is>
          <t>2023/01/12</t>
        </is>
      </c>
    </row>
    <row r="8">
      <c r="B8" s="24" t="inlineStr">
        <is>
          <t>flow_hi_model</t>
        </is>
      </c>
      <c r="C8" s="24" t="inlineStr">
        <is>
          <t>GROUPID</t>
        </is>
      </c>
      <c r="D8" s="24" t="inlineStr">
        <is>
          <t>varchar(80)</t>
        </is>
      </c>
      <c r="E8" s="24" t="inlineStr">
        <is>
          <t>YES</t>
        </is>
      </c>
      <c r="F8" s="24" t="inlineStr">
        <is>
          <t>模型分组</t>
        </is>
      </c>
      <c r="G8" s="24" t="n"/>
      <c r="H8" s="24" t="n"/>
      <c r="I8" s="24" t="inlineStr"/>
      <c r="J8" s="24" t="inlineStr">
        <is>
          <t>2023/01/12</t>
        </is>
      </c>
    </row>
    <row r="9">
      <c r="B9" s="24" t="inlineStr">
        <is>
          <t>flow_hi_model</t>
        </is>
      </c>
      <c r="C9" s="24" t="inlineStr">
        <is>
          <t>MODELCONTENT</t>
        </is>
      </c>
      <c r="D9" s="24" t="inlineStr">
        <is>
          <t>longtext</t>
        </is>
      </c>
      <c r="E9" s="24" t="inlineStr">
        <is>
          <t>YES</t>
        </is>
      </c>
      <c r="F9" s="24" t="inlineStr">
        <is>
          <t>json内容</t>
        </is>
      </c>
      <c r="G9" s="24" t="n"/>
      <c r="H9" s="24" t="n"/>
      <c r="I9" s="24" t="inlineStr"/>
      <c r="J9" s="24" t="inlineStr">
        <is>
          <t>2023/01/12</t>
        </is>
      </c>
    </row>
    <row r="10">
      <c r="B10" s="24" t="inlineStr">
        <is>
          <t>flow_hi_model</t>
        </is>
      </c>
      <c r="C10" s="24" t="inlineStr">
        <is>
          <t>XMLCONTENT</t>
        </is>
      </c>
      <c r="D10" s="24" t="inlineStr">
        <is>
          <t>longtext</t>
        </is>
      </c>
      <c r="E10" s="24" t="inlineStr">
        <is>
          <t>YES</t>
        </is>
      </c>
      <c r="F10" s="24" t="inlineStr">
        <is>
          <t>xml内容</t>
        </is>
      </c>
      <c r="G10" s="24" t="n"/>
      <c r="H10" s="24" t="n"/>
      <c r="I10" s="24" t="inlineStr"/>
      <c r="J10" s="24" t="inlineStr">
        <is>
          <t>2023/01/12</t>
        </is>
      </c>
    </row>
    <row r="11">
      <c r="B11" s="24" t="inlineStr">
        <is>
          <t>flow_hi_model</t>
        </is>
      </c>
      <c r="C11" s="24" t="inlineStr">
        <is>
          <t>CREATETIME</t>
        </is>
      </c>
      <c r="D11" s="24" t="inlineStr">
        <is>
          <t>datetime</t>
        </is>
      </c>
      <c r="E11" s="24" t="inlineStr">
        <is>
          <t>YES</t>
        </is>
      </c>
      <c r="F11" s="24" t="inlineStr">
        <is>
          <t>创建时间</t>
        </is>
      </c>
      <c r="G11" s="24" t="n"/>
      <c r="H11" s="24" t="n"/>
      <c r="I11" s="24" t="inlineStr"/>
      <c r="J11" s="24" t="inlineStr">
        <is>
          <t>2023/01/12</t>
        </is>
      </c>
    </row>
    <row r="12">
      <c r="B12" s="24" t="inlineStr">
        <is>
          <t>flow_hi_model</t>
        </is>
      </c>
      <c r="C12" s="24" t="inlineStr">
        <is>
          <t>CREATEUSERID</t>
        </is>
      </c>
      <c r="D12" s="24" t="inlineStr">
        <is>
          <t>varchar(80)</t>
        </is>
      </c>
      <c r="E12" s="24" t="inlineStr">
        <is>
          <t>YES</t>
        </is>
      </c>
      <c r="F12" s="24" t="inlineStr">
        <is>
          <t>创建人</t>
        </is>
      </c>
      <c r="G12" s="24" t="n"/>
      <c r="H12" s="24" t="n"/>
      <c r="I12" s="24" t="inlineStr"/>
      <c r="J12" s="24" t="inlineStr">
        <is>
          <t>2023/01/12</t>
        </is>
      </c>
    </row>
    <row r="13">
      <c r="B13" s="24" t="inlineStr">
        <is>
          <t>flow_hi_model</t>
        </is>
      </c>
      <c r="C13" s="24" t="inlineStr">
        <is>
          <t>UPDATETIME</t>
        </is>
      </c>
      <c r="D13" s="24" t="inlineStr">
        <is>
          <t>datetime</t>
        </is>
      </c>
      <c r="E13" s="24" t="inlineStr">
        <is>
          <t>YES</t>
        </is>
      </c>
      <c r="F13" s="24" t="inlineStr">
        <is>
          <t>更新时间</t>
        </is>
      </c>
      <c r="G13" s="24" t="n"/>
      <c r="H13" s="24" t="n"/>
      <c r="I13" s="24" t="inlineStr"/>
      <c r="J13" s="24" t="inlineStr">
        <is>
          <t>2023/01/12</t>
        </is>
      </c>
    </row>
    <row r="14">
      <c r="B14" s="24" t="inlineStr">
        <is>
          <t>flow_hi_model</t>
        </is>
      </c>
      <c r="C14" s="24" t="inlineStr">
        <is>
          <t>UPDATEUSERID</t>
        </is>
      </c>
      <c r="D14" s="24" t="inlineStr">
        <is>
          <t>varchar(80)</t>
        </is>
      </c>
      <c r="E14" s="24" t="inlineStr">
        <is>
          <t>YES</t>
        </is>
      </c>
      <c r="F14" s="24" t="inlineStr">
        <is>
          <t>更新人</t>
        </is>
      </c>
      <c r="G14" s="24" t="n"/>
      <c r="H14" s="24" t="n"/>
      <c r="I14" s="24" t="inlineStr"/>
      <c r="J14" s="24" t="inlineStr">
        <is>
          <t>2023/01/12</t>
        </is>
      </c>
    </row>
  </sheetData>
  <pageMargins left="0.75" right="0.75" top="1" bottom="1" header="0.5" footer="0.5"/>
  <pageSetup orientation="portrait" paperSize="1" horizontalDpi="300" verticalDpi="300"/>
</worksheet>
</file>

<file path=xl/worksheets/sheet132.xml><?xml version="1.0" encoding="utf-8"?>
<worksheet xmlns="http://schemas.openxmlformats.org/spreadsheetml/2006/main">
  <sheetPr>
    <outlinePr summaryBelow="1" summaryRight="1"/>
    <pageSetUpPr/>
  </sheetPr>
  <dimension ref="A1:J12"/>
  <sheetViews>
    <sheetView zoomScaleSheetLayoutView="60" workbookViewId="0">
      <selection activeCell="F3" sqref="F3:F12"/>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流程的消息模板</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flow_message</t>
        </is>
      </c>
      <c r="C3" s="24" t="inlineStr">
        <is>
          <t>MESSAGEID</t>
        </is>
      </c>
      <c r="D3" s="24" t="inlineStr">
        <is>
          <t>varchar(80)</t>
        </is>
      </c>
      <c r="E3" s="24" t="inlineStr">
        <is>
          <t>NO</t>
        </is>
      </c>
      <c r="F3" s="24" t="inlineStr">
        <is>
          <t>编号</t>
        </is>
      </c>
      <c r="G3" s="24" t="n"/>
      <c r="H3" s="24" t="n"/>
      <c r="I3" s="24" t="inlineStr"/>
      <c r="J3" s="24" t="inlineStr">
        <is>
          <t>2023/01/12</t>
        </is>
      </c>
    </row>
    <row r="4">
      <c r="B4" s="24" t="inlineStr">
        <is>
          <t>flow_message</t>
        </is>
      </c>
      <c r="C4" s="24" t="inlineStr">
        <is>
          <t>MESSAGENAME</t>
        </is>
      </c>
      <c r="D4" s="24" t="inlineStr">
        <is>
          <t>varchar(500)</t>
        </is>
      </c>
      <c r="E4" s="24" t="inlineStr">
        <is>
          <t>YES</t>
        </is>
      </c>
      <c r="F4" s="24" t="inlineStr">
        <is>
          <t>名称</t>
        </is>
      </c>
      <c r="G4" s="24" t="n"/>
      <c r="H4" s="24" t="n"/>
      <c r="I4" s="24" t="inlineStr"/>
      <c r="J4" s="24" t="inlineStr">
        <is>
          <t>2023/01/12</t>
        </is>
      </c>
    </row>
    <row r="5">
      <c r="B5" s="24" t="inlineStr">
        <is>
          <t>flow_message</t>
        </is>
      </c>
      <c r="C5" s="24" t="inlineStr">
        <is>
          <t>MESSAGECONTENT</t>
        </is>
      </c>
      <c r="D5" s="24" t="inlineStr">
        <is>
          <t>longtext</t>
        </is>
      </c>
      <c r="E5" s="24" t="inlineStr">
        <is>
          <t>YES</t>
        </is>
      </c>
      <c r="F5" s="24" t="inlineStr">
        <is>
          <t>内容</t>
        </is>
      </c>
      <c r="G5" s="24" t="n"/>
      <c r="H5" s="24" t="n"/>
      <c r="I5" s="24" t="inlineStr"/>
      <c r="J5" s="24" t="inlineStr">
        <is>
          <t>2023/01/12</t>
        </is>
      </c>
    </row>
    <row r="6">
      <c r="B6" s="24" t="inlineStr">
        <is>
          <t>flow_message</t>
        </is>
      </c>
      <c r="C6" s="24" t="inlineStr">
        <is>
          <t>MESSAGERECEIVER</t>
        </is>
      </c>
      <c r="D6" s="24" t="inlineStr">
        <is>
          <t>varchar(500)</t>
        </is>
      </c>
      <c r="E6" s="24" t="inlineStr">
        <is>
          <t>YES</t>
        </is>
      </c>
      <c r="F6" s="24" t="inlineStr">
        <is>
          <t>接收人类型</t>
        </is>
      </c>
      <c r="G6" s="24" t="n"/>
      <c r="H6" s="24" t="n"/>
      <c r="I6" s="24" t="inlineStr"/>
      <c r="J6" s="24" t="inlineStr">
        <is>
          <t>2023/01/12</t>
        </is>
      </c>
    </row>
    <row r="7">
      <c r="B7" s="24" t="inlineStr">
        <is>
          <t>flow_message</t>
        </is>
      </c>
      <c r="C7" s="24" t="inlineStr">
        <is>
          <t>MESSAGEIMPLEMENT</t>
        </is>
      </c>
      <c r="D7" s="24" t="inlineStr">
        <is>
          <t>varchar(500)</t>
        </is>
      </c>
      <c r="E7" s="24" t="inlineStr">
        <is>
          <t>YES</t>
        </is>
      </c>
      <c r="F7" s="24" t="inlineStr">
        <is>
          <t>发送方式</t>
        </is>
      </c>
      <c r="G7" s="24" t="n"/>
      <c r="H7" s="24" t="n"/>
      <c r="I7" s="24" t="inlineStr"/>
      <c r="J7" s="24" t="inlineStr">
        <is>
          <t>2023/01/12</t>
        </is>
      </c>
    </row>
    <row r="8">
      <c r="B8" s="24" t="inlineStr">
        <is>
          <t>flow_message</t>
        </is>
      </c>
      <c r="C8" s="24" t="inlineStr">
        <is>
          <t>ISINUSE</t>
        </is>
      </c>
      <c r="D8" s="24" t="inlineStr">
        <is>
          <t>varchar(6)</t>
        </is>
      </c>
      <c r="E8" s="24" t="inlineStr">
        <is>
          <t>YES</t>
        </is>
      </c>
      <c r="F8" s="24" t="inlineStr">
        <is>
          <t>是否启用</t>
        </is>
      </c>
      <c r="G8" s="24" t="n"/>
      <c r="H8" s="24" t="n"/>
      <c r="I8" s="24" t="inlineStr"/>
      <c r="J8" s="24" t="inlineStr">
        <is>
          <t>2023/01/12</t>
        </is>
      </c>
    </row>
    <row r="9">
      <c r="B9" s="24" t="inlineStr">
        <is>
          <t>flow_message</t>
        </is>
      </c>
      <c r="C9" s="24" t="inlineStr">
        <is>
          <t>CREATETIME</t>
        </is>
      </c>
      <c r="D9" s="24" t="inlineStr">
        <is>
          <t>datetime</t>
        </is>
      </c>
      <c r="E9" s="24" t="inlineStr">
        <is>
          <t>YES</t>
        </is>
      </c>
      <c r="F9" s="24" t="inlineStr">
        <is>
          <t>创建时间</t>
        </is>
      </c>
      <c r="G9" s="24" t="n"/>
      <c r="H9" s="24" t="n"/>
      <c r="I9" s="24" t="inlineStr"/>
      <c r="J9" s="24" t="inlineStr">
        <is>
          <t>2023/01/12</t>
        </is>
      </c>
    </row>
    <row r="10">
      <c r="B10" s="24" t="inlineStr">
        <is>
          <t>flow_message</t>
        </is>
      </c>
      <c r="C10" s="24" t="inlineStr">
        <is>
          <t>CREATEUSERID</t>
        </is>
      </c>
      <c r="D10" s="24" t="inlineStr">
        <is>
          <t>varchar(80)</t>
        </is>
      </c>
      <c r="E10" s="24" t="inlineStr">
        <is>
          <t>YES</t>
        </is>
      </c>
      <c r="F10" s="24" t="inlineStr">
        <is>
          <t>创建人</t>
        </is>
      </c>
      <c r="G10" s="24" t="n"/>
      <c r="H10" s="24" t="n"/>
      <c r="I10" s="24" t="inlineStr"/>
      <c r="J10" s="24" t="inlineStr">
        <is>
          <t>2023/01/12</t>
        </is>
      </c>
    </row>
    <row r="11">
      <c r="B11" s="24" t="inlineStr">
        <is>
          <t>flow_message</t>
        </is>
      </c>
      <c r="C11" s="24" t="inlineStr">
        <is>
          <t>UPDATETIME</t>
        </is>
      </c>
      <c r="D11" s="24" t="inlineStr">
        <is>
          <t>datetime</t>
        </is>
      </c>
      <c r="E11" s="24" t="inlineStr">
        <is>
          <t>YES</t>
        </is>
      </c>
      <c r="F11" s="24" t="inlineStr">
        <is>
          <t>更新时间</t>
        </is>
      </c>
      <c r="G11" s="24" t="n"/>
      <c r="H11" s="24" t="n"/>
      <c r="I11" s="24" t="inlineStr"/>
      <c r="J11" s="24" t="inlineStr">
        <is>
          <t>2023/01/12</t>
        </is>
      </c>
    </row>
    <row r="12">
      <c r="B12" s="24" t="inlineStr">
        <is>
          <t>flow_message</t>
        </is>
      </c>
      <c r="C12" s="24" t="inlineStr">
        <is>
          <t>UPDATEUSERID</t>
        </is>
      </c>
      <c r="D12" s="24" t="inlineStr">
        <is>
          <t>varchar(80)</t>
        </is>
      </c>
      <c r="E12" s="24" t="inlineStr">
        <is>
          <t>YES</t>
        </is>
      </c>
      <c r="F12" s="24" t="inlineStr">
        <is>
          <t>更新人</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133.xml><?xml version="1.0" encoding="utf-8"?>
<worksheet xmlns="http://schemas.openxmlformats.org/spreadsheetml/2006/main">
  <sheetPr>
    <outlinePr summaryBelow="1" summaryRight="1"/>
    <pageSetUpPr/>
  </sheetPr>
  <dimension ref="A1:J55"/>
  <sheetViews>
    <sheetView zoomScaleSheetLayoutView="60" workbookViewId="0">
      <selection activeCell="F26" sqref="F26"/>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流程模型</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flow_model</t>
        </is>
      </c>
      <c r="C3" s="24" t="inlineStr">
        <is>
          <t>FLOWNO</t>
        </is>
      </c>
      <c r="D3" s="24" t="inlineStr">
        <is>
          <t>varchar(32)</t>
        </is>
      </c>
      <c r="E3" s="24" t="inlineStr">
        <is>
          <t>NO</t>
        </is>
      </c>
      <c r="F3" s="24" t="inlineStr">
        <is>
          <t>流程编号</t>
        </is>
      </c>
      <c r="G3" s="24" t="n"/>
      <c r="H3" s="24" t="n"/>
      <c r="I3" s="24" t="inlineStr"/>
      <c r="J3" s="24" t="inlineStr">
        <is>
          <t>2023/01/12</t>
        </is>
      </c>
    </row>
    <row r="4">
      <c r="B4" s="24" t="inlineStr">
        <is>
          <t>flow_model</t>
        </is>
      </c>
      <c r="C4" s="24" t="inlineStr">
        <is>
          <t>PHASENO</t>
        </is>
      </c>
      <c r="D4" s="24" t="inlineStr">
        <is>
          <t>varchar(32)</t>
        </is>
      </c>
      <c r="E4" s="24" t="inlineStr">
        <is>
          <t>NO</t>
        </is>
      </c>
      <c r="F4" s="24" t="inlineStr">
        <is>
          <t>阶段号</t>
        </is>
      </c>
      <c r="G4" s="24" t="n"/>
      <c r="H4" s="24" t="n"/>
      <c r="I4" s="24" t="inlineStr"/>
      <c r="J4" s="24" t="inlineStr">
        <is>
          <t>2023/01/12</t>
        </is>
      </c>
    </row>
    <row r="5">
      <c r="B5" s="24" t="inlineStr">
        <is>
          <t>flow_model</t>
        </is>
      </c>
      <c r="C5" s="24" t="inlineStr">
        <is>
          <t>PHASETYPE</t>
        </is>
      </c>
      <c r="D5" s="24" t="inlineStr">
        <is>
          <t>varchar(32)</t>
        </is>
      </c>
      <c r="E5" s="24" t="inlineStr">
        <is>
          <t>YES</t>
        </is>
      </c>
      <c r="F5" s="24" t="inlineStr">
        <is>
          <t>阶段类型</t>
        </is>
      </c>
      <c r="G5" s="24" t="n"/>
      <c r="H5" s="24" t="n"/>
      <c r="I5" s="24" t="inlineStr"/>
      <c r="J5" s="24" t="inlineStr">
        <is>
          <t>2023/01/12</t>
        </is>
      </c>
    </row>
    <row r="6">
      <c r="B6" s="24" t="inlineStr">
        <is>
          <t>flow_model</t>
        </is>
      </c>
      <c r="C6" s="24" t="inlineStr">
        <is>
          <t>PHASENAME</t>
        </is>
      </c>
      <c r="D6" s="24" t="inlineStr">
        <is>
          <t>varchar(80)</t>
        </is>
      </c>
      <c r="E6" s="24" t="inlineStr">
        <is>
          <t>YES</t>
        </is>
      </c>
      <c r="F6" s="24" t="inlineStr">
        <is>
          <t>阶段名称</t>
        </is>
      </c>
      <c r="G6" s="24" t="n"/>
      <c r="H6" s="24" t="n"/>
      <c r="I6" s="24" t="inlineStr"/>
      <c r="J6" s="24" t="inlineStr">
        <is>
          <t>2023/01/12</t>
        </is>
      </c>
    </row>
    <row r="7">
      <c r="B7" s="24" t="inlineStr">
        <is>
          <t>flow_model</t>
        </is>
      </c>
      <c r="C7" s="24" t="inlineStr">
        <is>
          <t>PHASEDESCRIBE</t>
        </is>
      </c>
      <c r="D7" s="24" t="inlineStr">
        <is>
          <t>varchar(500)</t>
        </is>
      </c>
      <c r="E7" s="24" t="inlineStr">
        <is>
          <t>YES</t>
        </is>
      </c>
      <c r="F7" s="24" t="inlineStr">
        <is>
          <t>阶段描述</t>
        </is>
      </c>
      <c r="G7" s="24" t="n"/>
      <c r="H7" s="24" t="n"/>
      <c r="I7" s="24" t="inlineStr"/>
      <c r="J7" s="24" t="inlineStr">
        <is>
          <t>2023/01/12</t>
        </is>
      </c>
    </row>
    <row r="8">
      <c r="B8" s="24" t="inlineStr">
        <is>
          <t>flow_model</t>
        </is>
      </c>
      <c r="C8" s="24" t="inlineStr">
        <is>
          <t>PHASEATTRIBUTE</t>
        </is>
      </c>
      <c r="D8" s="24" t="inlineStr">
        <is>
          <t>varchar(80)</t>
        </is>
      </c>
      <c r="E8" s="24" t="inlineStr">
        <is>
          <t>YES</t>
        </is>
      </c>
      <c r="F8" s="24" t="inlineStr">
        <is>
          <t>阶段属性</t>
        </is>
      </c>
      <c r="G8" s="24" t="n"/>
      <c r="H8" s="24" t="n"/>
      <c r="I8" s="24" t="inlineStr"/>
      <c r="J8" s="24" t="inlineStr">
        <is>
          <t>2023/01/12</t>
        </is>
      </c>
    </row>
    <row r="9">
      <c r="B9" s="24" t="inlineStr">
        <is>
          <t>flow_model</t>
        </is>
      </c>
      <c r="C9" s="24" t="inlineStr">
        <is>
          <t>PRESCRIPT</t>
        </is>
      </c>
      <c r="D9" s="24" t="inlineStr">
        <is>
          <t>varchar(500)</t>
        </is>
      </c>
      <c r="E9" s="24" t="inlineStr">
        <is>
          <t>YES</t>
        </is>
      </c>
      <c r="F9" s="24" t="inlineStr">
        <is>
          <t>前沿执行SCRIPT</t>
        </is>
      </c>
      <c r="G9" s="24" t="n"/>
      <c r="H9" s="24" t="n"/>
      <c r="I9" s="24" t="inlineStr"/>
      <c r="J9" s="24" t="inlineStr">
        <is>
          <t>2023/01/12</t>
        </is>
      </c>
    </row>
    <row r="10">
      <c r="B10" s="24" t="inlineStr">
        <is>
          <t>flow_model</t>
        </is>
      </c>
      <c r="C10" s="24" t="inlineStr">
        <is>
          <t>INITSCRIPT</t>
        </is>
      </c>
      <c r="D10" s="24" t="inlineStr">
        <is>
          <t>text</t>
        </is>
      </c>
      <c r="E10" s="24" t="inlineStr">
        <is>
          <t>YES</t>
        </is>
      </c>
      <c r="F10" s="24" t="inlineStr">
        <is>
          <t>相关承办人SCRIPT</t>
        </is>
      </c>
      <c r="G10" s="24" t="n"/>
      <c r="H10" s="24" t="n"/>
      <c r="I10" s="24" t="inlineStr"/>
      <c r="J10" s="24" t="inlineStr">
        <is>
          <t>2023/01/12</t>
        </is>
      </c>
    </row>
    <row r="11">
      <c r="B11" s="24" t="inlineStr">
        <is>
          <t>flow_model</t>
        </is>
      </c>
      <c r="C11" s="24" t="inlineStr">
        <is>
          <t>CHOICEDESCRIBE</t>
        </is>
      </c>
      <c r="D11" s="24" t="inlineStr">
        <is>
          <t>varchar(500)</t>
        </is>
      </c>
      <c r="E11" s="24" t="inlineStr">
        <is>
          <t>YES</t>
        </is>
      </c>
      <c r="F11" s="24" t="inlineStr">
        <is>
          <t>意见描述</t>
        </is>
      </c>
      <c r="G11" s="24" t="n"/>
      <c r="H11" s="24" t="n"/>
      <c r="I11" s="24" t="inlineStr"/>
      <c r="J11" s="24" t="inlineStr">
        <is>
          <t>2023/01/12</t>
        </is>
      </c>
    </row>
    <row r="12">
      <c r="B12" s="24" t="inlineStr">
        <is>
          <t>flow_model</t>
        </is>
      </c>
      <c r="C12" s="24" t="inlineStr">
        <is>
          <t>CHOICESCRIPT</t>
        </is>
      </c>
      <c r="D12" s="24" t="inlineStr">
        <is>
          <t>varchar(500)</t>
        </is>
      </c>
      <c r="E12" s="24" t="inlineStr">
        <is>
          <t>YES</t>
        </is>
      </c>
      <c r="F12" s="24" t="inlineStr">
        <is>
          <t>意见生成SCRIPT</t>
        </is>
      </c>
      <c r="G12" s="24" t="n"/>
      <c r="H12" s="24" t="n"/>
      <c r="I12" s="24" t="inlineStr"/>
      <c r="J12" s="24" t="inlineStr">
        <is>
          <t>2023/01/12</t>
        </is>
      </c>
    </row>
    <row r="13">
      <c r="B13" s="24" t="inlineStr">
        <is>
          <t>flow_model</t>
        </is>
      </c>
      <c r="C13" s="24" t="inlineStr">
        <is>
          <t>ACTIONDESCRIBE</t>
        </is>
      </c>
      <c r="D13" s="24" t="inlineStr">
        <is>
          <t>text</t>
        </is>
      </c>
      <c r="E13" s="24" t="inlineStr">
        <is>
          <t>YES</t>
        </is>
      </c>
      <c r="F13" s="24" t="inlineStr">
        <is>
          <t>动作描述</t>
        </is>
      </c>
      <c r="G13" s="24" t="n"/>
      <c r="H13" s="24" t="n"/>
      <c r="I13" s="24" t="inlineStr"/>
      <c r="J13" s="24" t="inlineStr">
        <is>
          <t>2023/01/12</t>
        </is>
      </c>
    </row>
    <row r="14">
      <c r="B14" s="24" t="inlineStr">
        <is>
          <t>flow_model</t>
        </is>
      </c>
      <c r="C14" s="24" t="inlineStr">
        <is>
          <t>ACTIONSCRIPT</t>
        </is>
      </c>
      <c r="D14" s="24" t="inlineStr">
        <is>
          <t>text</t>
        </is>
      </c>
      <c r="E14" s="24" t="inlineStr">
        <is>
          <t>YES</t>
        </is>
      </c>
      <c r="F14" s="24" t="inlineStr">
        <is>
          <t>动作生成SCRIPT</t>
        </is>
      </c>
      <c r="G14" s="24" t="n"/>
      <c r="H14" s="24" t="n"/>
      <c r="I14" s="24" t="inlineStr"/>
      <c r="J14" s="24" t="inlineStr">
        <is>
          <t>2023/01/12</t>
        </is>
      </c>
    </row>
    <row r="15">
      <c r="B15" s="24" t="inlineStr">
        <is>
          <t>flow_model</t>
        </is>
      </c>
      <c r="C15" s="24" t="inlineStr">
        <is>
          <t>POSTSCRIPT</t>
        </is>
      </c>
      <c r="D15" s="24" t="inlineStr">
        <is>
          <t>text</t>
        </is>
      </c>
      <c r="E15" s="24" t="inlineStr">
        <is>
          <t>YES</t>
        </is>
      </c>
      <c r="F15" s="24" t="inlineStr">
        <is>
          <t>后续阶段SCRIPIT</t>
        </is>
      </c>
      <c r="G15" s="24" t="n"/>
      <c r="H15" s="24" t="n"/>
      <c r="I15" s="24" t="inlineStr"/>
      <c r="J15" s="24" t="inlineStr">
        <is>
          <t>2023/01/12</t>
        </is>
      </c>
    </row>
    <row r="16">
      <c r="B16" s="24" t="inlineStr">
        <is>
          <t>flow_model</t>
        </is>
      </c>
      <c r="C16" s="24" t="inlineStr">
        <is>
          <t>ATTRIBUTE1</t>
        </is>
      </c>
      <c r="D16" s="24" t="inlineStr">
        <is>
          <t>varchar(500)</t>
        </is>
      </c>
      <c r="E16" s="24" t="inlineStr">
        <is>
          <t>YES</t>
        </is>
      </c>
      <c r="F16" s="24" t="inlineStr">
        <is>
          <t>属性1</t>
        </is>
      </c>
      <c r="G16" s="24" t="n"/>
      <c r="H16" s="24" t="n"/>
      <c r="I16" s="24" t="inlineStr"/>
      <c r="J16" s="24" t="inlineStr">
        <is>
          <t>2023/01/12</t>
        </is>
      </c>
    </row>
    <row r="17">
      <c r="B17" s="24" t="inlineStr">
        <is>
          <t>flow_model</t>
        </is>
      </c>
      <c r="C17" s="24" t="inlineStr">
        <is>
          <t>ATTRIBUTE2</t>
        </is>
      </c>
      <c r="D17" s="24" t="inlineStr">
        <is>
          <t>varchar(500)</t>
        </is>
      </c>
      <c r="E17" s="24" t="inlineStr">
        <is>
          <t>YES</t>
        </is>
      </c>
      <c r="F17" s="24" t="inlineStr">
        <is>
          <t>属性2</t>
        </is>
      </c>
      <c r="G17" s="24" t="n"/>
      <c r="H17" s="24" t="n"/>
      <c r="I17" s="24" t="inlineStr"/>
      <c r="J17" s="24" t="inlineStr">
        <is>
          <t>2023/01/12</t>
        </is>
      </c>
    </row>
    <row r="18">
      <c r="B18" s="24" t="inlineStr">
        <is>
          <t>flow_model</t>
        </is>
      </c>
      <c r="C18" s="24" t="inlineStr">
        <is>
          <t>ATTRIBUTE3</t>
        </is>
      </c>
      <c r="D18" s="24" t="inlineStr">
        <is>
          <t>varchar(500)</t>
        </is>
      </c>
      <c r="E18" s="24" t="inlineStr">
        <is>
          <t>YES</t>
        </is>
      </c>
      <c r="F18" s="24" t="inlineStr">
        <is>
          <t>属性3</t>
        </is>
      </c>
      <c r="G18" s="52">
        <f>HYPERLINK("#码值映射清单!B5118","OpinionViwRightType")</f>
        <v/>
      </c>
      <c r="H18" s="24" t="n"/>
      <c r="I18" s="24" t="inlineStr"/>
      <c r="J18" s="24" t="inlineStr">
        <is>
          <t>2023/01/12</t>
        </is>
      </c>
    </row>
    <row r="19">
      <c r="B19" s="24" t="inlineStr">
        <is>
          <t>flow_model</t>
        </is>
      </c>
      <c r="C19" s="24" t="inlineStr">
        <is>
          <t>ATTRIBUTE4</t>
        </is>
      </c>
      <c r="D19" s="24" t="inlineStr">
        <is>
          <t>varchar(500)</t>
        </is>
      </c>
      <c r="E19" s="24" t="inlineStr">
        <is>
          <t>YES</t>
        </is>
      </c>
      <c r="F19" s="24" t="inlineStr">
        <is>
          <t>属性4</t>
        </is>
      </c>
      <c r="G19" s="24" t="n"/>
      <c r="H19" s="24" t="n"/>
      <c r="I19" s="24" t="inlineStr"/>
      <c r="J19" s="24" t="inlineStr">
        <is>
          <t>2023/01/12</t>
        </is>
      </c>
    </row>
    <row r="20">
      <c r="B20" s="24" t="inlineStr">
        <is>
          <t>flow_model</t>
        </is>
      </c>
      <c r="C20" s="24" t="inlineStr">
        <is>
          <t>ATTRIBUTE5</t>
        </is>
      </c>
      <c r="D20" s="24" t="inlineStr">
        <is>
          <t>varchar(500)</t>
        </is>
      </c>
      <c r="E20" s="24" t="inlineStr">
        <is>
          <t>YES</t>
        </is>
      </c>
      <c r="F20" s="24" t="inlineStr">
        <is>
          <t>属性5</t>
        </is>
      </c>
      <c r="G20" s="24" t="n"/>
      <c r="H20" s="24" t="n"/>
      <c r="I20" s="24" t="inlineStr"/>
      <c r="J20" s="24" t="inlineStr">
        <is>
          <t>2023/01/12</t>
        </is>
      </c>
    </row>
    <row r="21">
      <c r="B21" s="24" t="inlineStr">
        <is>
          <t>flow_model</t>
        </is>
      </c>
      <c r="C21" s="24" t="inlineStr">
        <is>
          <t>ATTRIBUTE6</t>
        </is>
      </c>
      <c r="D21" s="24" t="inlineStr">
        <is>
          <t>varchar(500)</t>
        </is>
      </c>
      <c r="E21" s="24" t="inlineStr">
        <is>
          <t>YES</t>
        </is>
      </c>
      <c r="F21" s="24" t="inlineStr">
        <is>
          <t>属性6</t>
        </is>
      </c>
      <c r="G21" s="24" t="n"/>
      <c r="H21" s="24" t="n"/>
      <c r="I21" s="24" t="inlineStr"/>
      <c r="J21" s="24" t="inlineStr">
        <is>
          <t>2023/01/12</t>
        </is>
      </c>
    </row>
    <row r="22">
      <c r="B22" s="24" t="inlineStr">
        <is>
          <t>flow_model</t>
        </is>
      </c>
      <c r="C22" s="24" t="inlineStr">
        <is>
          <t>ATTRIBUTE7</t>
        </is>
      </c>
      <c r="D22" s="24" t="inlineStr">
        <is>
          <t>varchar(500)</t>
        </is>
      </c>
      <c r="E22" s="24" t="inlineStr">
        <is>
          <t>YES</t>
        </is>
      </c>
      <c r="F22" s="24" t="inlineStr">
        <is>
          <t>属性7</t>
        </is>
      </c>
      <c r="G22" s="24" t="n"/>
      <c r="H22" s="24" t="n"/>
      <c r="I22" s="24" t="inlineStr"/>
      <c r="J22" s="24" t="inlineStr">
        <is>
          <t>2023/01/12</t>
        </is>
      </c>
    </row>
    <row r="23">
      <c r="B23" s="24" t="inlineStr">
        <is>
          <t>flow_model</t>
        </is>
      </c>
      <c r="C23" s="24" t="inlineStr">
        <is>
          <t>ATTRIBUTE8</t>
        </is>
      </c>
      <c r="D23" s="24" t="inlineStr">
        <is>
          <t>varchar(500)</t>
        </is>
      </c>
      <c r="E23" s="24" t="inlineStr">
        <is>
          <t>YES</t>
        </is>
      </c>
      <c r="F23" s="24" t="inlineStr">
        <is>
          <t>属性8</t>
        </is>
      </c>
      <c r="G23" s="24" t="n"/>
      <c r="H23" s="24" t="n"/>
      <c r="I23" s="24" t="inlineStr"/>
      <c r="J23" s="24" t="inlineStr">
        <is>
          <t>2023/01/12</t>
        </is>
      </c>
    </row>
    <row r="24">
      <c r="B24" s="24" t="inlineStr">
        <is>
          <t>flow_model</t>
        </is>
      </c>
      <c r="C24" s="24" t="inlineStr">
        <is>
          <t>ATTRIBUTE9</t>
        </is>
      </c>
      <c r="D24" s="24" t="inlineStr">
        <is>
          <t>varchar(500)</t>
        </is>
      </c>
      <c r="E24" s="24" t="inlineStr">
        <is>
          <t>YES</t>
        </is>
      </c>
      <c r="F24" s="24" t="inlineStr">
        <is>
          <t>属性9</t>
        </is>
      </c>
      <c r="G24" s="24" t="n"/>
      <c r="H24" s="24" t="n"/>
      <c r="I24" s="24" t="inlineStr"/>
      <c r="J24" s="24" t="inlineStr">
        <is>
          <t>2023/01/12</t>
        </is>
      </c>
    </row>
    <row r="25">
      <c r="B25" s="24" t="inlineStr">
        <is>
          <t>flow_model</t>
        </is>
      </c>
      <c r="C25" s="24" t="inlineStr">
        <is>
          <t>ATTRIBUTE10</t>
        </is>
      </c>
      <c r="D25" s="24" t="inlineStr">
        <is>
          <t>varchar(500)</t>
        </is>
      </c>
      <c r="E25" s="24" t="inlineStr">
        <is>
          <t>YES</t>
        </is>
      </c>
      <c r="F25" s="24" t="inlineStr">
        <is>
          <t>属性10</t>
        </is>
      </c>
      <c r="G25" s="24" t="n"/>
      <c r="H25" s="24" t="n"/>
      <c r="I25" s="24" t="inlineStr"/>
      <c r="J25" s="24" t="inlineStr">
        <is>
          <t>2023/01/12</t>
        </is>
      </c>
    </row>
    <row r="26">
      <c r="B26" s="24" t="inlineStr">
        <is>
          <t>flow_model</t>
        </is>
      </c>
      <c r="C26" s="24" t="inlineStr">
        <is>
          <t>AAENABLED</t>
        </is>
      </c>
      <c r="D26" s="24" t="inlineStr">
        <is>
          <t>char(1)</t>
        </is>
      </c>
      <c r="E26" s="24" t="inlineStr">
        <is>
          <t>YES</t>
        </is>
      </c>
      <c r="F26" s="53" t="inlineStr">
        <is>
          <t>是否启用授权</t>
        </is>
      </c>
      <c r="G26" s="52">
        <f>HYPERLINK("#码值映射清单!B5150","YesNo")</f>
        <v/>
      </c>
      <c r="H26" s="24" t="n"/>
      <c r="I26" s="24" t="inlineStr"/>
      <c r="J26" s="24" t="inlineStr">
        <is>
          <t>2023/01/12</t>
        </is>
      </c>
    </row>
    <row r="27">
      <c r="B27" s="24" t="inlineStr">
        <is>
          <t>flow_model</t>
        </is>
      </c>
      <c r="C27" s="24" t="inlineStr">
        <is>
          <t>AAPOINTINITSCRIPT</t>
        </is>
      </c>
      <c r="D27" s="24" t="inlineStr">
        <is>
          <t>text</t>
        </is>
      </c>
      <c r="E27" s="24" t="inlineStr">
        <is>
          <t>YES</t>
        </is>
      </c>
      <c r="F27" s="24" t="inlineStr">
        <is>
          <t>授权点初始化SCRIPT</t>
        </is>
      </c>
      <c r="G27" s="24" t="n"/>
      <c r="H27" s="24" t="n"/>
      <c r="I27" s="24" t="inlineStr"/>
      <c r="J27" s="24" t="inlineStr">
        <is>
          <t>2023/01/12</t>
        </is>
      </c>
    </row>
    <row r="28">
      <c r="B28" s="24" t="inlineStr">
        <is>
          <t>flow_model</t>
        </is>
      </c>
      <c r="C28" s="24" t="inlineStr">
        <is>
          <t>AAPOINTCOMP</t>
        </is>
      </c>
      <c r="D28" s="24" t="inlineStr">
        <is>
          <t>varchar(500)</t>
        </is>
      </c>
      <c r="E28" s="24" t="inlineStr">
        <is>
          <t>YES</t>
        </is>
      </c>
      <c r="F28" s="24" t="inlineStr">
        <is>
          <t>授权点组件</t>
        </is>
      </c>
      <c r="G28" s="24" t="n"/>
      <c r="H28" s="24" t="n"/>
      <c r="I28" s="24" t="inlineStr"/>
      <c r="J28" s="24" t="inlineStr">
        <is>
          <t>2023/01/12</t>
        </is>
      </c>
    </row>
    <row r="29">
      <c r="B29" s="24" t="inlineStr">
        <is>
          <t>flow_model</t>
        </is>
      </c>
      <c r="C29" s="24" t="inlineStr">
        <is>
          <t>AAPOINTCOMPURL</t>
        </is>
      </c>
      <c r="D29" s="24" t="inlineStr">
        <is>
          <t>varchar(500)</t>
        </is>
      </c>
      <c r="E29" s="24" t="inlineStr">
        <is>
          <t>YES</t>
        </is>
      </c>
      <c r="F29" s="24" t="inlineStr">
        <is>
          <t>授权点组件URL</t>
        </is>
      </c>
      <c r="G29" s="24" t="n"/>
      <c r="H29" s="24" t="n"/>
      <c r="I29" s="24" t="inlineStr"/>
      <c r="J29" s="24" t="inlineStr">
        <is>
          <t>2023/01/12</t>
        </is>
      </c>
    </row>
    <row r="30">
      <c r="B30" s="24" t="inlineStr">
        <is>
          <t>flow_model</t>
        </is>
      </c>
      <c r="C30" s="24" t="inlineStr">
        <is>
          <t>STANDARDTIME1</t>
        </is>
      </c>
      <c r="D30" s="24" t="inlineStr">
        <is>
          <t>int</t>
        </is>
      </c>
      <c r="E30" s="24" t="inlineStr">
        <is>
          <t>YES</t>
        </is>
      </c>
      <c r="F30" s="24" t="inlineStr">
        <is>
          <t>(NEW)审批时间标准1(分钟)</t>
        </is>
      </c>
      <c r="G30" s="24" t="n"/>
      <c r="H30" s="24" t="n"/>
      <c r="I30" s="24" t="inlineStr"/>
      <c r="J30" s="24" t="inlineStr">
        <is>
          <t>2023/01/12</t>
        </is>
      </c>
    </row>
    <row r="31">
      <c r="B31" s="24" t="inlineStr">
        <is>
          <t>flow_model</t>
        </is>
      </c>
      <c r="C31" s="24" t="inlineStr">
        <is>
          <t>STANDARDTIME2</t>
        </is>
      </c>
      <c r="D31" s="24" t="inlineStr">
        <is>
          <t>int</t>
        </is>
      </c>
      <c r="E31" s="24" t="inlineStr">
        <is>
          <t>YES</t>
        </is>
      </c>
      <c r="F31" s="24" t="inlineStr">
        <is>
          <t>(NEW)审批时间标准2(分钟)</t>
        </is>
      </c>
      <c r="G31" s="24" t="n"/>
      <c r="H31" s="24" t="n"/>
      <c r="I31" s="24" t="inlineStr"/>
      <c r="J31" s="24" t="inlineStr">
        <is>
          <t>2023/01/12</t>
        </is>
      </c>
    </row>
    <row r="32">
      <c r="B32" s="24" t="inlineStr">
        <is>
          <t>flow_model</t>
        </is>
      </c>
      <c r="C32" s="24" t="inlineStr">
        <is>
          <t>COSTLOB</t>
        </is>
      </c>
      <c r="D32" s="24" t="inlineStr">
        <is>
          <t>varchar(32)</t>
        </is>
      </c>
      <c r="E32" s="24" t="inlineStr">
        <is>
          <t>YES</t>
        </is>
      </c>
      <c r="F32" s="24" t="inlineStr">
        <is>
          <t>(NEW)审批成本归属</t>
        </is>
      </c>
      <c r="G32" s="24" t="n"/>
      <c r="H32" s="24" t="n"/>
      <c r="I32" s="24" t="inlineStr"/>
      <c r="J32" s="24" t="inlineStr">
        <is>
          <t>2023/01/12</t>
        </is>
      </c>
    </row>
    <row r="33">
      <c r="B33" s="24" t="inlineStr">
        <is>
          <t>flow_model</t>
        </is>
      </c>
      <c r="C33" s="24" t="inlineStr">
        <is>
          <t>STRIPS</t>
        </is>
      </c>
      <c r="D33" s="24" t="inlineStr">
        <is>
          <t>varchar(1000)</t>
        </is>
      </c>
      <c r="E33" s="24" t="inlineStr">
        <is>
          <t>YES</t>
        </is>
      </c>
      <c r="F33" s="24" t="inlineStr">
        <is>
          <t>(NEW)阶段STRIP[逗号分隔]</t>
        </is>
      </c>
      <c r="G33" s="24" t="n"/>
      <c r="H33" s="24" t="n"/>
      <c r="I33" s="24" t="inlineStr"/>
      <c r="J33" s="24" t="inlineStr">
        <is>
          <t>2023/01/12</t>
        </is>
      </c>
    </row>
    <row r="34">
      <c r="B34" s="24" t="inlineStr">
        <is>
          <t>flow_model</t>
        </is>
      </c>
      <c r="C34" s="24" t="inlineStr">
        <is>
          <t>CHECKLIST</t>
        </is>
      </c>
      <c r="D34" s="24" t="inlineStr">
        <is>
          <t>varchar(32)</t>
        </is>
      </c>
      <c r="E34" s="24" t="inlineStr">
        <is>
          <t>YES</t>
        </is>
      </c>
      <c r="F34" s="24" t="inlineStr">
        <is>
          <t>(NEW)阶段CHECKLIST</t>
        </is>
      </c>
      <c r="G34" s="24" t="n"/>
      <c r="H34" s="24" t="n"/>
      <c r="I34" s="24" t="inlineStr"/>
      <c r="J34" s="24" t="inlineStr">
        <is>
          <t>2023/01/12</t>
        </is>
      </c>
    </row>
    <row r="35">
      <c r="B35" s="24" t="inlineStr">
        <is>
          <t>flow_model</t>
        </is>
      </c>
      <c r="C35" s="24" t="inlineStr">
        <is>
          <t>DECISIONSCRIPT</t>
        </is>
      </c>
      <c r="D35" s="24" t="inlineStr">
        <is>
          <t>text</t>
        </is>
      </c>
      <c r="E35" s="24" t="inlineStr">
        <is>
          <t>YES</t>
        </is>
      </c>
      <c r="F35" s="24" t="inlineStr">
        <is>
          <t>(NEW)自动审批规则</t>
        </is>
      </c>
      <c r="G35" s="24" t="n"/>
      <c r="H35" s="24" t="n"/>
      <c r="I35" s="24" t="inlineStr"/>
      <c r="J35" s="24" t="inlineStr">
        <is>
          <t>2023/01/12</t>
        </is>
      </c>
    </row>
    <row r="36">
      <c r="B36" s="24" t="inlineStr">
        <is>
          <t>flow_model</t>
        </is>
      </c>
      <c r="C36" s="24" t="inlineStr">
        <is>
          <t>RISKSCANRULE</t>
        </is>
      </c>
      <c r="D36" s="24" t="inlineStr">
        <is>
          <t>varchar(32)</t>
        </is>
      </c>
      <c r="E36" s="24" t="inlineStr">
        <is>
          <t>YES</t>
        </is>
      </c>
      <c r="F36" s="24" t="inlineStr">
        <is>
          <t>(NEW)风险探测规则组</t>
        </is>
      </c>
      <c r="G36" s="24" t="n"/>
      <c r="H36" s="24" t="n"/>
      <c r="I36" s="24" t="inlineStr"/>
      <c r="J36" s="24" t="inlineStr">
        <is>
          <t>2023/01/12</t>
        </is>
      </c>
    </row>
    <row r="37">
      <c r="B37" s="24" t="inlineStr">
        <is>
          <t>flow_model</t>
        </is>
      </c>
      <c r="C37" s="24" t="inlineStr">
        <is>
          <t>BUTTONSET2</t>
        </is>
      </c>
      <c r="D37" s="24" t="inlineStr">
        <is>
          <t>varchar(1000)</t>
        </is>
      </c>
      <c r="E37" s="24" t="inlineStr">
        <is>
          <t>YES</t>
        </is>
      </c>
      <c r="F37" s="24" t="inlineStr">
        <is>
          <t>(NEW)STRIP按钮</t>
        </is>
      </c>
      <c r="G37" s="24" t="n"/>
      <c r="H37" s="24" t="n"/>
      <c r="I37" s="24" t="inlineStr"/>
      <c r="J37" s="24" t="inlineStr">
        <is>
          <t>2023/01/12</t>
        </is>
      </c>
    </row>
    <row r="38">
      <c r="B38" s="24" t="inlineStr">
        <is>
          <t>flow_model</t>
        </is>
      </c>
      <c r="C38" s="24" t="inlineStr">
        <is>
          <t>INPUTUSER</t>
        </is>
      </c>
      <c r="D38" s="24" t="inlineStr">
        <is>
          <t>varchar(32)</t>
        </is>
      </c>
      <c r="E38" s="24" t="inlineStr">
        <is>
          <t>YES</t>
        </is>
      </c>
      <c r="F38" s="24" t="inlineStr">
        <is>
          <t>录入人</t>
        </is>
      </c>
      <c r="G38" s="24" t="n"/>
      <c r="H38" s="24" t="n"/>
      <c r="I38" s="24" t="inlineStr"/>
      <c r="J38" s="24" t="inlineStr">
        <is>
          <t>2023/01/12</t>
        </is>
      </c>
    </row>
    <row r="39">
      <c r="B39" s="24" t="inlineStr">
        <is>
          <t>flow_model</t>
        </is>
      </c>
      <c r="C39" s="24" t="inlineStr">
        <is>
          <t>INPUTTIME</t>
        </is>
      </c>
      <c r="D39" s="24" t="inlineStr">
        <is>
          <t>varchar(32)</t>
        </is>
      </c>
      <c r="E39" s="24" t="inlineStr">
        <is>
          <t>YES</t>
        </is>
      </c>
      <c r="F39" s="24" t="inlineStr">
        <is>
          <t>录入时间</t>
        </is>
      </c>
      <c r="G39" s="24" t="n"/>
      <c r="H39" s="24" t="n"/>
      <c r="I39" s="24" t="inlineStr"/>
      <c r="J39" s="24" t="inlineStr">
        <is>
          <t>2023/01/12</t>
        </is>
      </c>
    </row>
    <row r="40">
      <c r="B40" s="24" t="inlineStr">
        <is>
          <t>flow_model</t>
        </is>
      </c>
      <c r="C40" s="24" t="inlineStr">
        <is>
          <t>UPDATEUSER</t>
        </is>
      </c>
      <c r="D40" s="24" t="inlineStr">
        <is>
          <t>varchar(32)</t>
        </is>
      </c>
      <c r="E40" s="24" t="inlineStr">
        <is>
          <t>YES</t>
        </is>
      </c>
      <c r="F40" s="24" t="inlineStr">
        <is>
          <t>更新人</t>
        </is>
      </c>
      <c r="G40" s="24" t="n"/>
      <c r="H40" s="24" t="n"/>
      <c r="I40" s="24" t="inlineStr"/>
      <c r="J40" s="24" t="inlineStr">
        <is>
          <t>2023/01/12</t>
        </is>
      </c>
    </row>
    <row r="41">
      <c r="B41" s="24" t="inlineStr">
        <is>
          <t>flow_model</t>
        </is>
      </c>
      <c r="C41" s="24" t="inlineStr">
        <is>
          <t>UPDATETIME</t>
        </is>
      </c>
      <c r="D41" s="24" t="inlineStr">
        <is>
          <t>varchar(32)</t>
        </is>
      </c>
      <c r="E41" s="24" t="inlineStr">
        <is>
          <t>YES</t>
        </is>
      </c>
      <c r="F41" s="24" t="inlineStr">
        <is>
          <t>更新时间</t>
        </is>
      </c>
      <c r="G41" s="24" t="n"/>
      <c r="H41" s="24" t="n"/>
      <c r="I41" s="24" t="inlineStr"/>
      <c r="J41" s="24" t="inlineStr">
        <is>
          <t>2023/01/12</t>
        </is>
      </c>
    </row>
    <row r="42">
      <c r="B42" s="24" t="inlineStr">
        <is>
          <t>flow_model</t>
        </is>
      </c>
      <c r="C42" s="24" t="inlineStr">
        <is>
          <t>DISTRIBUTERULE</t>
        </is>
      </c>
      <c r="D42" s="24" t="inlineStr">
        <is>
          <t>varchar(32)</t>
        </is>
      </c>
      <c r="E42" s="24" t="inlineStr">
        <is>
          <t>YES</t>
        </is>
      </c>
      <c r="F42" s="24" t="inlineStr">
        <is>
          <t>分发方式</t>
        </is>
      </c>
      <c r="G42" s="24" t="n"/>
      <c r="H42" s="24" t="n"/>
      <c r="I42" s="24" t="inlineStr"/>
      <c r="J42" s="24" t="inlineStr">
        <is>
          <t>2023/01/12</t>
        </is>
      </c>
    </row>
    <row r="43">
      <c r="B43" s="24" t="inlineStr">
        <is>
          <t>flow_model</t>
        </is>
      </c>
      <c r="C43" s="24" t="inlineStr">
        <is>
          <t>ID</t>
        </is>
      </c>
      <c r="D43" s="24" t="inlineStr">
        <is>
          <t>varchar(32)</t>
        </is>
      </c>
      <c r="E43" s="24" t="inlineStr">
        <is>
          <t>YES</t>
        </is>
      </c>
      <c r="F43" s="24" t="inlineStr">
        <is>
          <t>图形节点编号</t>
        </is>
      </c>
      <c r="G43" s="24" t="n"/>
      <c r="H43" s="24" t="n"/>
      <c r="I43" s="24" t="inlineStr"/>
      <c r="J43" s="24" t="inlineStr">
        <is>
          <t>2023/01/12</t>
        </is>
      </c>
    </row>
    <row r="44">
      <c r="B44" s="24" t="inlineStr">
        <is>
          <t>flow_model</t>
        </is>
      </c>
      <c r="C44" s="24" t="inlineStr">
        <is>
          <t>TYPE</t>
        </is>
      </c>
      <c r="D44" s="24" t="inlineStr">
        <is>
          <t>varchar(32)</t>
        </is>
      </c>
      <c r="E44" s="24" t="inlineStr">
        <is>
          <t>YES</t>
        </is>
      </c>
      <c r="F44" s="24" t="inlineStr">
        <is>
          <t>图形节点类型</t>
        </is>
      </c>
      <c r="G44" s="24" t="n"/>
      <c r="H44" s="24" t="n"/>
      <c r="I44" s="24" t="inlineStr"/>
      <c r="J44" s="24" t="inlineStr">
        <is>
          <t>2023/01/12</t>
        </is>
      </c>
    </row>
    <row r="45">
      <c r="B45" s="24" t="inlineStr">
        <is>
          <t>flow_model</t>
        </is>
      </c>
      <c r="C45" s="24" t="inlineStr">
        <is>
          <t>NAME</t>
        </is>
      </c>
      <c r="D45" s="24" t="inlineStr">
        <is>
          <t>varchar(1000)</t>
        </is>
      </c>
      <c r="E45" s="24" t="inlineStr">
        <is>
          <t>YES</t>
        </is>
      </c>
      <c r="F45" s="24" t="inlineStr">
        <is>
          <t>图形节点名称</t>
        </is>
      </c>
      <c r="G45" s="24" t="n"/>
      <c r="H45" s="24" t="n"/>
      <c r="I45" s="24" t="inlineStr"/>
      <c r="J45" s="24" t="inlineStr">
        <is>
          <t>2023/01/12</t>
        </is>
      </c>
    </row>
    <row r="46">
      <c r="B46" s="24" t="inlineStr">
        <is>
          <t>flow_model</t>
        </is>
      </c>
      <c r="C46" s="24" t="inlineStr">
        <is>
          <t>XCOORDINATE</t>
        </is>
      </c>
      <c r="D46" s="24" t="inlineStr">
        <is>
          <t>varchar(18)</t>
        </is>
      </c>
      <c r="E46" s="24" t="inlineStr">
        <is>
          <t>YES</t>
        </is>
      </c>
      <c r="F46" s="24" t="inlineStr">
        <is>
          <t>图形节点X坐标</t>
        </is>
      </c>
      <c r="G46" s="24" t="n"/>
      <c r="H46" s="24" t="n"/>
      <c r="I46" s="24" t="inlineStr"/>
      <c r="J46" s="24" t="inlineStr">
        <is>
          <t>2023/01/12</t>
        </is>
      </c>
    </row>
    <row r="47">
      <c r="B47" s="24" t="inlineStr">
        <is>
          <t>flow_model</t>
        </is>
      </c>
      <c r="C47" s="24" t="inlineStr">
        <is>
          <t>YCOORDINATE</t>
        </is>
      </c>
      <c r="D47" s="24" t="inlineStr">
        <is>
          <t>varchar(18)</t>
        </is>
      </c>
      <c r="E47" s="24" t="inlineStr">
        <is>
          <t>YES</t>
        </is>
      </c>
      <c r="F47" s="24" t="inlineStr">
        <is>
          <t>图形节点Y坐标</t>
        </is>
      </c>
      <c r="G47" s="24" t="n"/>
      <c r="H47" s="24" t="n"/>
      <c r="I47" s="24" t="inlineStr"/>
      <c r="J47" s="24" t="inlineStr">
        <is>
          <t>2023/01/12</t>
        </is>
      </c>
    </row>
    <row r="48">
      <c r="B48" s="24" t="inlineStr">
        <is>
          <t>flow_model</t>
        </is>
      </c>
      <c r="C48" s="24" t="inlineStr">
        <is>
          <t>WIDTH</t>
        </is>
      </c>
      <c r="D48" s="24" t="inlineStr">
        <is>
          <t>varchar(18)</t>
        </is>
      </c>
      <c r="E48" s="24" t="inlineStr">
        <is>
          <t>YES</t>
        </is>
      </c>
      <c r="F48" s="24" t="inlineStr">
        <is>
          <t>图形节点宽度</t>
        </is>
      </c>
      <c r="G48" s="24" t="n"/>
      <c r="H48" s="24" t="n"/>
      <c r="I48" s="24" t="inlineStr"/>
      <c r="J48" s="24" t="inlineStr">
        <is>
          <t>2023/01/12</t>
        </is>
      </c>
    </row>
    <row r="49">
      <c r="B49" s="24" t="inlineStr">
        <is>
          <t>flow_model</t>
        </is>
      </c>
      <c r="C49" s="24" t="inlineStr">
        <is>
          <t>HEIGHT</t>
        </is>
      </c>
      <c r="D49" s="24" t="inlineStr">
        <is>
          <t>varchar(18)</t>
        </is>
      </c>
      <c r="E49" s="24" t="inlineStr">
        <is>
          <t>YES</t>
        </is>
      </c>
      <c r="F49" s="24" t="inlineStr">
        <is>
          <t>图形节点高度</t>
        </is>
      </c>
      <c r="G49" s="24" t="n"/>
      <c r="H49" s="24" t="n"/>
      <c r="I49" s="24" t="inlineStr"/>
      <c r="J49" s="24" t="inlineStr">
        <is>
          <t>2023/01/12</t>
        </is>
      </c>
    </row>
    <row r="50">
      <c r="B50" s="24" t="inlineStr">
        <is>
          <t>flow_model</t>
        </is>
      </c>
      <c r="C50" s="24" t="inlineStr">
        <is>
          <t>VERSION</t>
        </is>
      </c>
      <c r="D50" s="24" t="inlineStr">
        <is>
          <t>varchar(18)</t>
        </is>
      </c>
      <c r="E50" s="24" t="inlineStr">
        <is>
          <t>NO</t>
        </is>
      </c>
      <c r="F50" s="24" t="inlineStr">
        <is>
          <t>版本</t>
        </is>
      </c>
      <c r="G50" s="24" t="n"/>
      <c r="H50" s="24" t="n"/>
      <c r="I50" s="24" t="inlineStr"/>
      <c r="J50" s="24" t="inlineStr">
        <is>
          <t>2023/01/12</t>
        </is>
      </c>
    </row>
    <row r="51">
      <c r="B51" s="24" t="inlineStr">
        <is>
          <t>flow_model</t>
        </is>
      </c>
      <c r="C51" s="24" t="inlineStr">
        <is>
          <t>SWIMLANE</t>
        </is>
      </c>
      <c r="D51" s="24" t="inlineStr">
        <is>
          <t>varchar(32)</t>
        </is>
      </c>
      <c r="E51" s="24" t="inlineStr">
        <is>
          <t>YES</t>
        </is>
      </c>
      <c r="F51" s="24" t="inlineStr">
        <is>
          <t>泳道编号</t>
        </is>
      </c>
      <c r="G51" s="24" t="n"/>
      <c r="H51" s="24" t="n"/>
      <c r="I51" s="24" t="inlineStr"/>
      <c r="J51" s="24" t="inlineStr">
        <is>
          <t>2023/01/12</t>
        </is>
      </c>
    </row>
    <row r="52">
      <c r="B52" s="24" t="inlineStr">
        <is>
          <t>flow_model</t>
        </is>
      </c>
      <c r="C52" s="24" t="inlineStr">
        <is>
          <t>FLOWPHASECONTEXT</t>
        </is>
      </c>
      <c r="D52" s="24" t="inlineStr">
        <is>
          <t>text</t>
        </is>
      </c>
      <c r="E52" s="24" t="inlineStr">
        <is>
          <t>YES</t>
        </is>
      </c>
      <c r="F52" s="24" t="inlineStr">
        <is>
          <t>流程阶段上下文</t>
        </is>
      </c>
      <c r="G52" s="24" t="n"/>
      <c r="H52" s="24" t="n"/>
      <c r="I52" s="24" t="inlineStr"/>
      <c r="J52" s="24" t="inlineStr">
        <is>
          <t>2023/01/12</t>
        </is>
      </c>
    </row>
    <row r="53">
      <c r="B53" s="24" t="inlineStr">
        <is>
          <t>flow_model</t>
        </is>
      </c>
      <c r="C53" s="24" t="inlineStr">
        <is>
          <t>NODETYPE</t>
        </is>
      </c>
      <c r="D53" s="24" t="inlineStr">
        <is>
          <t>varchar(32)</t>
        </is>
      </c>
      <c r="E53" s="24" t="inlineStr">
        <is>
          <t>YES</t>
        </is>
      </c>
      <c r="F53" s="24" t="inlineStr">
        <is>
          <t>流程节点类型</t>
        </is>
      </c>
      <c r="G53" s="24" t="n"/>
      <c r="H53" s="24" t="n"/>
      <c r="I53" s="24" t="inlineStr"/>
      <c r="J53" s="24" t="inlineStr">
        <is>
          <t>2023/01/12</t>
        </is>
      </c>
    </row>
    <row r="54">
      <c r="B54" s="24" t="inlineStr">
        <is>
          <t>flow_model</t>
        </is>
      </c>
      <c r="C54" s="24" t="inlineStr">
        <is>
          <t>CORPORGID</t>
        </is>
      </c>
      <c r="D54" s="24" t="inlineStr">
        <is>
          <t>varchar(32)</t>
        </is>
      </c>
      <c r="E54" s="24" t="inlineStr">
        <is>
          <t>YES</t>
        </is>
      </c>
      <c r="F54" s="24" t="inlineStr">
        <is>
          <t>法人机构编号</t>
        </is>
      </c>
      <c r="G54" s="24" t="n"/>
      <c r="H54" s="24" t="n"/>
      <c r="I54" s="24" t="inlineStr"/>
      <c r="J54" s="24" t="inlineStr">
        <is>
          <t>2023/01/12</t>
        </is>
      </c>
    </row>
    <row r="55">
      <c r="B55" s="24" t="inlineStr">
        <is>
          <t>flow_model</t>
        </is>
      </c>
      <c r="C55" s="24" t="inlineStr">
        <is>
          <t>CONTINUECONDITION</t>
        </is>
      </c>
      <c r="D55" s="24" t="inlineStr">
        <is>
          <t>varchar(200)</t>
        </is>
      </c>
      <c r="E55" s="24" t="inlineStr">
        <is>
          <t>YES</t>
        </is>
      </c>
      <c r="F55" s="24" t="inlineStr">
        <is>
          <t>多批时流程继续的判断</t>
        </is>
      </c>
      <c r="G55" s="24" t="n"/>
      <c r="H55" s="24" t="n"/>
      <c r="I55" s="24" t="inlineStr"/>
      <c r="J55" s="24" t="inlineStr">
        <is>
          <t>2023/01/12</t>
        </is>
      </c>
    </row>
  </sheetData>
  <pageMargins left="0.75" right="0.75" top="1" bottom="1" header="0.5" footer="0.5"/>
  <pageSetup orientation="portrait" paperSize="1" horizontalDpi="300" verticalDpi="300"/>
</worksheet>
</file>

<file path=xl/worksheets/sheet134.xml><?xml version="1.0" encoding="utf-8"?>
<worksheet xmlns="http://schemas.openxmlformats.org/spreadsheetml/2006/main">
  <sheetPr>
    <outlinePr summaryBelow="1" summaryRight="1"/>
    <pageSetUpPr/>
  </sheetPr>
  <dimension ref="A1:J6"/>
  <sheetViews>
    <sheetView topLeftCell="B1" workbookViewId="0">
      <selection activeCell="F3" sqref="F3"/>
    </sheetView>
  </sheetViews>
  <sheetFormatPr baseColWidth="8" defaultColWidth="9" defaultRowHeight="15.2" outlineLevelRow="5"/>
  <cols>
    <col width="16.625" customWidth="1" style="170" min="2" max="2"/>
    <col width="18.375" customWidth="1" style="170" min="3" max="3"/>
    <col width="11.5" customWidth="1" style="170" min="4" max="4"/>
    <col width="10.375" customWidth="1" style="170" min="10" max="10"/>
  </cols>
  <sheetData>
    <row r="1">
      <c r="A1" s="51">
        <f>HYPERLINK("#表结构清单!A1","返回")</f>
        <v/>
      </c>
      <c r="B1" s="54" t="inlineStr">
        <is>
          <t>流程多法人关联表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flow_model_relative</t>
        </is>
      </c>
      <c r="C3" s="24" t="inlineStr">
        <is>
          <t>ID</t>
        </is>
      </c>
      <c r="D3" s="24" t="inlineStr">
        <is>
          <t>varchar(80)</t>
        </is>
      </c>
      <c r="E3" s="24" t="inlineStr">
        <is>
          <t>NO</t>
        </is>
      </c>
      <c r="F3" s="24" t="inlineStr">
        <is>
          <t>ID编号</t>
        </is>
      </c>
      <c r="G3" s="24" t="n"/>
      <c r="H3" s="24" t="n"/>
      <c r="I3" s="24" t="inlineStr"/>
      <c r="J3" s="24" t="inlineStr">
        <is>
          <t>2023/01/12</t>
        </is>
      </c>
    </row>
    <row r="4">
      <c r="B4" s="24" t="inlineStr">
        <is>
          <t>flow_model_relative</t>
        </is>
      </c>
      <c r="C4" s="24" t="inlineStr">
        <is>
          <t>MODELID</t>
        </is>
      </c>
      <c r="D4" s="24" t="inlineStr">
        <is>
          <t>varchar(500)</t>
        </is>
      </c>
      <c r="E4" s="24" t="inlineStr">
        <is>
          <t>NO</t>
        </is>
      </c>
      <c r="F4" s="24" t="inlineStr">
        <is>
          <t>模型号</t>
        </is>
      </c>
      <c r="G4" s="24" t="n"/>
      <c r="H4" s="24" t="n"/>
      <c r="I4" s="24" t="inlineStr"/>
      <c r="J4" s="24" t="inlineStr">
        <is>
          <t>2023/01/12</t>
        </is>
      </c>
    </row>
    <row r="5">
      <c r="B5" s="24" t="inlineStr">
        <is>
          <t>flow_model_relative</t>
        </is>
      </c>
      <c r="C5" s="24" t="inlineStr">
        <is>
          <t>CORPORG</t>
        </is>
      </c>
      <c r="D5" s="24" t="inlineStr">
        <is>
          <t>longtext</t>
        </is>
      </c>
      <c r="E5" s="24" t="inlineStr">
        <is>
          <t>NO</t>
        </is>
      </c>
      <c r="F5" s="24" t="inlineStr">
        <is>
          <t>法人机构</t>
        </is>
      </c>
      <c r="G5" s="24" t="n"/>
      <c r="H5" s="24" t="n"/>
      <c r="I5" s="24" t="inlineStr"/>
      <c r="J5" s="24" t="inlineStr">
        <is>
          <t>2023/01/12</t>
        </is>
      </c>
    </row>
    <row r="6">
      <c r="B6" s="24" t="inlineStr">
        <is>
          <t>flow_model_relative</t>
        </is>
      </c>
      <c r="C6" s="24" t="inlineStr">
        <is>
          <t>GROUPID</t>
        </is>
      </c>
      <c r="D6" s="24" t="inlineStr">
        <is>
          <t>varchar(500)</t>
        </is>
      </c>
      <c r="E6" s="24" t="inlineStr">
        <is>
          <t>YES</t>
        </is>
      </c>
      <c r="F6" s="24" t="inlineStr">
        <is>
          <t>分组号</t>
        </is>
      </c>
      <c r="G6" s="24" t="n"/>
      <c r="H6" s="24" t="n"/>
      <c r="I6" s="24" t="inlineStr"/>
      <c r="J6" s="24" t="inlineStr">
        <is>
          <t>2023/01/12</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J32"/>
  <sheetViews>
    <sheetView zoomScaleSheetLayoutView="60" workbookViewId="0">
      <selection activeCell="F32" sqref="F3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流程业务表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flow_object</t>
        </is>
      </c>
      <c r="C3" s="24" t="inlineStr">
        <is>
          <t>OBJECTTYPE</t>
        </is>
      </c>
      <c r="D3" s="24" t="inlineStr">
        <is>
          <t>varchar(32)</t>
        </is>
      </c>
      <c r="E3" s="24" t="inlineStr">
        <is>
          <t>NO</t>
        </is>
      </c>
      <c r="F3" s="53" t="inlineStr">
        <is>
          <t>对象类型</t>
        </is>
      </c>
      <c r="G3" s="24" t="n"/>
      <c r="H3" s="24" t="n"/>
      <c r="I3" s="24" t="inlineStr"/>
      <c r="J3" s="24" t="inlineStr">
        <is>
          <t>2023/01/12</t>
        </is>
      </c>
    </row>
    <row r="4">
      <c r="B4" s="24" t="inlineStr">
        <is>
          <t>flow_object</t>
        </is>
      </c>
      <c r="C4" s="24" t="inlineStr">
        <is>
          <t>OBJECTNO</t>
        </is>
      </c>
      <c r="D4" s="24" t="inlineStr">
        <is>
          <t>varchar(32)</t>
        </is>
      </c>
      <c r="E4" s="24" t="inlineStr">
        <is>
          <t>NO</t>
        </is>
      </c>
      <c r="F4" s="53" t="inlineStr">
        <is>
          <t>对象编号</t>
        </is>
      </c>
      <c r="G4" s="24" t="n"/>
      <c r="H4" s="24" t="n"/>
      <c r="I4" s="24" t="inlineStr"/>
      <c r="J4" s="24" t="inlineStr">
        <is>
          <t>2023/01/12</t>
        </is>
      </c>
    </row>
    <row r="5">
      <c r="B5" s="24" t="inlineStr">
        <is>
          <t>flow_object</t>
        </is>
      </c>
      <c r="C5" s="24" t="inlineStr">
        <is>
          <t>PHASETYPE</t>
        </is>
      </c>
      <c r="D5" s="24" t="inlineStr">
        <is>
          <t>varchar(32)</t>
        </is>
      </c>
      <c r="E5" s="24" t="inlineStr">
        <is>
          <t>YES</t>
        </is>
      </c>
      <c r="F5" s="24" t="inlineStr">
        <is>
          <t>阶段类型</t>
        </is>
      </c>
      <c r="G5" s="24" t="n"/>
      <c r="H5" s="24" t="n"/>
      <c r="I5" s="24" t="inlineStr"/>
      <c r="J5" s="24" t="inlineStr">
        <is>
          <t>2023/01/12</t>
        </is>
      </c>
    </row>
    <row r="6">
      <c r="B6" s="24" t="inlineStr">
        <is>
          <t>flow_object</t>
        </is>
      </c>
      <c r="C6" s="24" t="inlineStr">
        <is>
          <t>APPLYTYPE</t>
        </is>
      </c>
      <c r="D6" s="24" t="inlineStr">
        <is>
          <t>varchar(32)</t>
        </is>
      </c>
      <c r="E6" s="24" t="inlineStr">
        <is>
          <t>YES</t>
        </is>
      </c>
      <c r="F6" s="24" t="inlineStr">
        <is>
          <t>申请类型</t>
        </is>
      </c>
      <c r="G6" s="52">
        <f>HYPERLINK("#码值映射清单!B5219","ApplyType")</f>
        <v/>
      </c>
      <c r="H6" s="24" t="n"/>
      <c r="I6" s="24" t="inlineStr"/>
      <c r="J6" s="24" t="inlineStr">
        <is>
          <t>2023/01/12</t>
        </is>
      </c>
    </row>
    <row r="7">
      <c r="B7" s="24" t="inlineStr">
        <is>
          <t>flow_object</t>
        </is>
      </c>
      <c r="C7" s="24" t="inlineStr">
        <is>
          <t>FLOWNO</t>
        </is>
      </c>
      <c r="D7" s="24" t="inlineStr">
        <is>
          <t>varchar(32)</t>
        </is>
      </c>
      <c r="E7" s="24" t="inlineStr">
        <is>
          <t>YES</t>
        </is>
      </c>
      <c r="F7" s="53" t="inlineStr">
        <is>
          <t>当前流程号</t>
        </is>
      </c>
      <c r="G7" s="52">
        <f>HYPERLINK("#码值映射清单!B5391","OperateType1")</f>
        <v/>
      </c>
      <c r="H7" s="24" t="n"/>
      <c r="I7" s="24" t="inlineStr"/>
      <c r="J7" s="24" t="inlineStr">
        <is>
          <t>2023/01/12</t>
        </is>
      </c>
    </row>
    <row r="8">
      <c r="B8" s="24" t="inlineStr">
        <is>
          <t>flow_object</t>
        </is>
      </c>
      <c r="C8" s="24" t="inlineStr">
        <is>
          <t>FLOWNAME</t>
        </is>
      </c>
      <c r="D8" s="24" t="inlineStr">
        <is>
          <t>varchar(80)</t>
        </is>
      </c>
      <c r="E8" s="24" t="inlineStr">
        <is>
          <t>YES</t>
        </is>
      </c>
      <c r="F8" s="24" t="inlineStr">
        <is>
          <t>当前流程名称</t>
        </is>
      </c>
      <c r="G8" s="52">
        <f>HYPERLINK("#码值映射清单!B5150","YesNo")</f>
        <v/>
      </c>
      <c r="H8" s="24" t="n"/>
      <c r="I8" s="24" t="inlineStr"/>
      <c r="J8" s="24" t="inlineStr">
        <is>
          <t>2023/01/12</t>
        </is>
      </c>
    </row>
    <row r="9">
      <c r="B9" s="24" t="inlineStr">
        <is>
          <t>flow_object</t>
        </is>
      </c>
      <c r="C9" s="24" t="inlineStr">
        <is>
          <t>PHASENO</t>
        </is>
      </c>
      <c r="D9" s="24" t="inlineStr">
        <is>
          <t>varchar(32)</t>
        </is>
      </c>
      <c r="E9" s="24" t="inlineStr">
        <is>
          <t>YES</t>
        </is>
      </c>
      <c r="F9" s="24" t="inlineStr">
        <is>
          <t>当前阶段号</t>
        </is>
      </c>
      <c r="G9" s="24" t="n"/>
      <c r="H9" s="24" t="n"/>
      <c r="I9" s="24" t="inlineStr"/>
      <c r="J9" s="24" t="inlineStr">
        <is>
          <t>2023/01/12</t>
        </is>
      </c>
    </row>
    <row r="10">
      <c r="B10" s="24" t="inlineStr">
        <is>
          <t>flow_object</t>
        </is>
      </c>
      <c r="C10" s="24" t="inlineStr">
        <is>
          <t>PHASENAME</t>
        </is>
      </c>
      <c r="D10" s="24" t="inlineStr">
        <is>
          <t>varchar(80)</t>
        </is>
      </c>
      <c r="E10" s="24" t="inlineStr">
        <is>
          <t>YES</t>
        </is>
      </c>
      <c r="F10" s="24" t="inlineStr">
        <is>
          <t>当前阶段名称</t>
        </is>
      </c>
      <c r="G10" s="24" t="n"/>
      <c r="H10" s="24" t="n"/>
      <c r="I10" s="24" t="inlineStr"/>
      <c r="J10" s="24" t="inlineStr">
        <is>
          <t>2023/01/12</t>
        </is>
      </c>
    </row>
    <row r="11">
      <c r="B11" s="24" t="inlineStr">
        <is>
          <t>flow_object</t>
        </is>
      </c>
      <c r="C11" s="24" t="inlineStr">
        <is>
          <t>OBJDESCRIBE</t>
        </is>
      </c>
      <c r="D11" s="24" t="inlineStr">
        <is>
          <t>varchar(500)</t>
        </is>
      </c>
      <c r="E11" s="24" t="inlineStr">
        <is>
          <t>YES</t>
        </is>
      </c>
      <c r="F11" s="24" t="inlineStr">
        <is>
          <t>流程描述</t>
        </is>
      </c>
      <c r="G11" s="24" t="n"/>
      <c r="H11" s="24" t="n"/>
      <c r="I11" s="24" t="inlineStr"/>
      <c r="J11" s="24" t="inlineStr">
        <is>
          <t>2023/01/12</t>
        </is>
      </c>
    </row>
    <row r="12">
      <c r="B12" s="24" t="inlineStr">
        <is>
          <t>flow_object</t>
        </is>
      </c>
      <c r="C12" s="24" t="inlineStr">
        <is>
          <t>OBJATTRIBUTE1</t>
        </is>
      </c>
      <c r="D12" s="24" t="inlineStr">
        <is>
          <t>varchar(200)</t>
        </is>
      </c>
      <c r="E12" s="24" t="inlineStr">
        <is>
          <t>YES</t>
        </is>
      </c>
      <c r="F12" s="24" t="inlineStr">
        <is>
          <t>流程属性1</t>
        </is>
      </c>
      <c r="G12" s="24" t="n"/>
      <c r="H12" s="24" t="n"/>
      <c r="I12" s="24" t="inlineStr"/>
      <c r="J12" s="24" t="inlineStr">
        <is>
          <t>2023/01/12</t>
        </is>
      </c>
    </row>
    <row r="13">
      <c r="B13" s="24" t="inlineStr">
        <is>
          <t>flow_object</t>
        </is>
      </c>
      <c r="C13" s="24" t="inlineStr">
        <is>
          <t>OBJATTRIBUTE2</t>
        </is>
      </c>
      <c r="D13" s="24" t="inlineStr">
        <is>
          <t>varchar(200)</t>
        </is>
      </c>
      <c r="E13" s="24" t="inlineStr">
        <is>
          <t>YES</t>
        </is>
      </c>
      <c r="F13" s="24" t="inlineStr">
        <is>
          <t>流程属性2</t>
        </is>
      </c>
      <c r="G13" s="24" t="n"/>
      <c r="H13" s="24" t="n"/>
      <c r="I13" s="24" t="inlineStr"/>
      <c r="J13" s="24" t="inlineStr">
        <is>
          <t>2023/01/12</t>
        </is>
      </c>
    </row>
    <row r="14">
      <c r="B14" s="24" t="inlineStr">
        <is>
          <t>flow_object</t>
        </is>
      </c>
      <c r="C14" s="24" t="inlineStr">
        <is>
          <t>OBJATTRIBUTE3</t>
        </is>
      </c>
      <c r="D14" s="24" t="inlineStr">
        <is>
          <t>varchar(200)</t>
        </is>
      </c>
      <c r="E14" s="24" t="inlineStr">
        <is>
          <t>YES</t>
        </is>
      </c>
      <c r="F14" s="24" t="inlineStr">
        <is>
          <t>流程属性3</t>
        </is>
      </c>
      <c r="G14" s="24" t="n"/>
      <c r="H14" s="24" t="n"/>
      <c r="I14" s="24" t="inlineStr"/>
      <c r="J14" s="24" t="inlineStr">
        <is>
          <t>2023/01/12</t>
        </is>
      </c>
    </row>
    <row r="15">
      <c r="B15" s="24" t="inlineStr">
        <is>
          <t>flow_object</t>
        </is>
      </c>
      <c r="C15" s="24" t="inlineStr">
        <is>
          <t>OBJATTRIBUTE4</t>
        </is>
      </c>
      <c r="D15" s="24" t="inlineStr">
        <is>
          <t>varchar(200)</t>
        </is>
      </c>
      <c r="E15" s="24" t="inlineStr">
        <is>
          <t>YES</t>
        </is>
      </c>
      <c r="F15" s="24" t="inlineStr">
        <is>
          <t>流程属性4</t>
        </is>
      </c>
      <c r="G15" s="24" t="n"/>
      <c r="H15" s="24" t="n"/>
      <c r="I15" s="24" t="inlineStr"/>
      <c r="J15" s="24" t="inlineStr">
        <is>
          <t>2023/01/12</t>
        </is>
      </c>
    </row>
    <row r="16">
      <c r="B16" s="24" t="inlineStr">
        <is>
          <t>flow_object</t>
        </is>
      </c>
      <c r="C16" s="24" t="inlineStr">
        <is>
          <t>OBJATTRIBUTE5</t>
        </is>
      </c>
      <c r="D16" s="24" t="inlineStr">
        <is>
          <t>varchar(200)</t>
        </is>
      </c>
      <c r="E16" s="24" t="inlineStr">
        <is>
          <t>YES</t>
        </is>
      </c>
      <c r="F16" s="24" t="inlineStr">
        <is>
          <t>流程属性5</t>
        </is>
      </c>
      <c r="G16" s="24" t="n"/>
      <c r="H16" s="24" t="n"/>
      <c r="I16" s="24" t="inlineStr"/>
      <c r="J16" s="24" t="inlineStr">
        <is>
          <t>2023/01/12</t>
        </is>
      </c>
    </row>
    <row r="17">
      <c r="B17" s="24" t="inlineStr">
        <is>
          <t>flow_object</t>
        </is>
      </c>
      <c r="C17" s="24" t="inlineStr">
        <is>
          <t>ORGID</t>
        </is>
      </c>
      <c r="D17" s="24" t="inlineStr">
        <is>
          <t>varchar(32)</t>
        </is>
      </c>
      <c r="E17" s="24" t="inlineStr">
        <is>
          <t>YES</t>
        </is>
      </c>
      <c r="F17" s="24" t="inlineStr">
        <is>
          <t>创建机构</t>
        </is>
      </c>
      <c r="G17" s="24" t="n"/>
      <c r="H17" s="24" t="n"/>
      <c r="I17" s="24" t="inlineStr"/>
      <c r="J17" s="24" t="inlineStr">
        <is>
          <t>2023/01/12</t>
        </is>
      </c>
    </row>
    <row r="18">
      <c r="B18" s="24" t="inlineStr">
        <is>
          <t>flow_object</t>
        </is>
      </c>
      <c r="C18" s="24" t="inlineStr">
        <is>
          <t>ORGNAME</t>
        </is>
      </c>
      <c r="D18" s="24" t="inlineStr">
        <is>
          <t>varchar(80)</t>
        </is>
      </c>
      <c r="E18" s="24" t="inlineStr">
        <is>
          <t>YES</t>
        </is>
      </c>
      <c r="F18" s="24" t="inlineStr">
        <is>
          <t>评估单位</t>
        </is>
      </c>
      <c r="G18" s="24" t="n"/>
      <c r="H18" s="24" t="n"/>
      <c r="I18" s="24" t="inlineStr"/>
      <c r="J18" s="24" t="inlineStr">
        <is>
          <t>2023/01/12</t>
        </is>
      </c>
    </row>
    <row r="19">
      <c r="B19" s="24" t="inlineStr">
        <is>
          <t>flow_object</t>
        </is>
      </c>
      <c r="C19" s="24" t="inlineStr">
        <is>
          <t>USERID</t>
        </is>
      </c>
      <c r="D19" s="24" t="inlineStr">
        <is>
          <t>varchar(32)</t>
        </is>
      </c>
      <c r="E19" s="24" t="inlineStr">
        <is>
          <t>YES</t>
        </is>
      </c>
      <c r="F19" s="24" t="inlineStr">
        <is>
          <t>创建人</t>
        </is>
      </c>
      <c r="G19" s="24" t="n"/>
      <c r="H19" s="24" t="n"/>
      <c r="I19" s="24" t="inlineStr"/>
      <c r="J19" s="24" t="inlineStr">
        <is>
          <t>2023/01/12</t>
        </is>
      </c>
    </row>
    <row r="20">
      <c r="B20" s="24" t="inlineStr">
        <is>
          <t>flow_object</t>
        </is>
      </c>
      <c r="C20" s="24" t="inlineStr">
        <is>
          <t>USERNAME</t>
        </is>
      </c>
      <c r="D20" s="24" t="inlineStr">
        <is>
          <t>varchar(80)</t>
        </is>
      </c>
      <c r="E20" s="24" t="inlineStr">
        <is>
          <t>YES</t>
        </is>
      </c>
      <c r="F20" s="24" t="inlineStr">
        <is>
          <t>登记人名称</t>
        </is>
      </c>
      <c r="G20" s="24" t="n"/>
      <c r="H20" s="24" t="n"/>
      <c r="I20" s="24" t="inlineStr"/>
      <c r="J20" s="24" t="inlineStr">
        <is>
          <t>2023/01/12</t>
        </is>
      </c>
    </row>
    <row r="21">
      <c r="B21" s="24" t="inlineStr">
        <is>
          <t>flow_object</t>
        </is>
      </c>
      <c r="C21" s="24" t="inlineStr">
        <is>
          <t>INPUTDATE</t>
        </is>
      </c>
      <c r="D21" s="24" t="inlineStr">
        <is>
          <t>datetime</t>
        </is>
      </c>
      <c r="E21" s="24" t="inlineStr">
        <is>
          <t>YES</t>
        </is>
      </c>
      <c r="F21" s="24" t="inlineStr">
        <is>
          <t>登记日期</t>
        </is>
      </c>
      <c r="G21" s="24" t="n"/>
      <c r="H21" s="24" t="n"/>
      <c r="I21" s="24" t="inlineStr"/>
      <c r="J21" s="24" t="inlineStr">
        <is>
          <t>2023/01/12</t>
        </is>
      </c>
    </row>
    <row r="22">
      <c r="B22" s="24" t="inlineStr">
        <is>
          <t>flow_object</t>
        </is>
      </c>
      <c r="C22" s="24" t="inlineStr">
        <is>
          <t>ARCHIVETIME</t>
        </is>
      </c>
      <c r="D22" s="24" t="inlineStr">
        <is>
          <t>datetime</t>
        </is>
      </c>
      <c r="E22" s="24" t="inlineStr">
        <is>
          <t>YES</t>
        </is>
      </c>
      <c r="F22" s="24" t="inlineStr">
        <is>
          <t>归档时刻</t>
        </is>
      </c>
      <c r="G22" s="24" t="n"/>
      <c r="H22" s="24" t="n"/>
      <c r="I22" s="24" t="inlineStr"/>
      <c r="J22" s="24" t="inlineStr">
        <is>
          <t>2023/01/12</t>
        </is>
      </c>
    </row>
    <row r="23">
      <c r="B23" s="24" t="inlineStr">
        <is>
          <t>flow_object</t>
        </is>
      </c>
      <c r="C23" s="24" t="inlineStr">
        <is>
          <t>APPLYNO</t>
        </is>
      </c>
      <c r="D23" s="24" t="inlineStr">
        <is>
          <t>varchar(32)</t>
        </is>
      </c>
      <c r="E23" s="24" t="inlineStr">
        <is>
          <t>YES</t>
        </is>
      </c>
      <c r="F23" s="24" t="inlineStr">
        <is>
          <t>申请编号</t>
        </is>
      </c>
      <c r="G23" s="24" t="n"/>
      <c r="H23" s="24" t="n"/>
      <c r="I23" s="24" t="inlineStr"/>
      <c r="J23" s="24" t="inlineStr">
        <is>
          <t>2023/01/12</t>
        </is>
      </c>
    </row>
    <row r="24">
      <c r="B24" s="24" t="inlineStr">
        <is>
          <t>flow_object</t>
        </is>
      </c>
      <c r="C24" s="24" t="inlineStr">
        <is>
          <t>ARCHIVE</t>
        </is>
      </c>
      <c r="D24" s="24" t="inlineStr">
        <is>
          <t>varchar(200)</t>
        </is>
      </c>
      <c r="E24" s="24" t="inlineStr">
        <is>
          <t>YES</t>
        </is>
      </c>
      <c r="F24" t="inlineStr">
        <is>
          <t>归档标识</t>
        </is>
      </c>
      <c r="G24" s="24" t="n"/>
      <c r="H24" s="24" t="n"/>
      <c r="I24" s="24" t="inlineStr"/>
      <c r="J24" s="24" t="inlineStr">
        <is>
          <t>2023/01/12</t>
        </is>
      </c>
    </row>
    <row r="25">
      <c r="B25" s="24" t="inlineStr">
        <is>
          <t>flow_object</t>
        </is>
      </c>
      <c r="C25" s="24" t="inlineStr">
        <is>
          <t>FLOWSTATE</t>
        </is>
      </c>
      <c r="D25" s="24" t="inlineStr">
        <is>
          <t>varchar(32)</t>
        </is>
      </c>
      <c r="E25" s="24" t="inlineStr">
        <is>
          <t>YES</t>
        </is>
      </c>
      <c r="F25" s="24" t="inlineStr">
        <is>
          <t>流程状态</t>
        </is>
      </c>
      <c r="G25" s="24" t="n"/>
      <c r="H25" s="24" t="n"/>
      <c r="I25" s="24" t="inlineStr"/>
      <c r="J25" s="24" t="inlineStr">
        <is>
          <t>2023/01/12</t>
        </is>
      </c>
    </row>
    <row r="26">
      <c r="B26" s="24" t="inlineStr">
        <is>
          <t>flow_object</t>
        </is>
      </c>
      <c r="C26" s="24" t="inlineStr">
        <is>
          <t>PROCESSINSTNO</t>
        </is>
      </c>
      <c r="D26" s="24" t="inlineStr">
        <is>
          <t>varchar(32)</t>
        </is>
      </c>
      <c r="E26" s="24" t="inlineStr">
        <is>
          <t>YES</t>
        </is>
      </c>
      <c r="F26" s="53" t="inlineStr">
        <is>
          <t>流程实例编号</t>
        </is>
      </c>
      <c r="G26" s="24" t="n"/>
      <c r="H26" s="24" t="n"/>
      <c r="I26" s="24" t="inlineStr"/>
      <c r="J26" s="24" t="inlineStr">
        <is>
          <t>2023/01/12</t>
        </is>
      </c>
    </row>
    <row r="27">
      <c r="B27" s="24" t="inlineStr">
        <is>
          <t>flow_object</t>
        </is>
      </c>
      <c r="C27" s="24" t="inlineStr">
        <is>
          <t>PROCESSTASKNO</t>
        </is>
      </c>
      <c r="D27" s="24" t="inlineStr">
        <is>
          <t>varchar(32)</t>
        </is>
      </c>
      <c r="E27" s="24" t="inlineStr">
        <is>
          <t>YES</t>
        </is>
      </c>
      <c r="F27" s="53" t="inlineStr">
        <is>
          <t>流程任务编号</t>
        </is>
      </c>
      <c r="G27" s="24" t="n"/>
      <c r="H27" s="24" t="n"/>
      <c r="I27" s="24" t="inlineStr"/>
      <c r="J27" s="24" t="inlineStr">
        <is>
          <t>2023/01/12</t>
        </is>
      </c>
    </row>
    <row r="28">
      <c r="B28" s="24" t="inlineStr">
        <is>
          <t>flow_object</t>
        </is>
      </c>
      <c r="C28" s="24" t="inlineStr">
        <is>
          <t>RELATIVETASKNO</t>
        </is>
      </c>
      <c r="D28" s="24" t="inlineStr">
        <is>
          <t>varchar(32)</t>
        </is>
      </c>
      <c r="E28" s="24" t="inlineStr">
        <is>
          <t>YES</t>
        </is>
      </c>
      <c r="F28" s="53" t="inlineStr">
        <is>
          <t>父任务流水号</t>
        </is>
      </c>
      <c r="G28" s="24" t="n"/>
      <c r="H28" s="24" t="n"/>
      <c r="I28" s="24" t="inlineStr"/>
      <c r="J28" s="24" t="inlineStr">
        <is>
          <t>2023/01/12</t>
        </is>
      </c>
    </row>
    <row r="29">
      <c r="B29" s="24" t="inlineStr">
        <is>
          <t>flow_object</t>
        </is>
      </c>
      <c r="C29" s="24" t="inlineStr">
        <is>
          <t>SERIALNO</t>
        </is>
      </c>
      <c r="D29" s="24" t="inlineStr">
        <is>
          <t>varchar(32)</t>
        </is>
      </c>
      <c r="E29" s="24" t="inlineStr">
        <is>
          <t>YES</t>
        </is>
      </c>
      <c r="F29" s="24" t="inlineStr">
        <is>
          <t>流程对象流水号</t>
        </is>
      </c>
      <c r="G29" s="24" t="n"/>
      <c r="H29" s="24" t="n"/>
      <c r="I29" s="24" t="inlineStr"/>
      <c r="J29" s="24" t="inlineStr">
        <is>
          <t>2023/01/12</t>
        </is>
      </c>
    </row>
    <row r="30">
      <c r="B30" s="24" t="inlineStr">
        <is>
          <t>flow_object</t>
        </is>
      </c>
      <c r="C30" s="24" t="inlineStr">
        <is>
          <t>TASKTYPE</t>
        </is>
      </c>
      <c r="D30" s="24" t="inlineStr">
        <is>
          <t>varchar(32)</t>
        </is>
      </c>
      <c r="E30" s="24" t="inlineStr">
        <is>
          <t>YES</t>
        </is>
      </c>
      <c r="F30" s="24" t="inlineStr">
        <is>
          <t>流程类型</t>
        </is>
      </c>
      <c r="G30" s="24" t="n"/>
      <c r="H30" s="24" t="n"/>
      <c r="I30" s="24" t="inlineStr"/>
      <c r="J30" s="24" t="inlineStr">
        <is>
          <t>2023/01/12</t>
        </is>
      </c>
    </row>
    <row r="31">
      <c r="B31" s="24" t="inlineStr">
        <is>
          <t>flow_object</t>
        </is>
      </c>
      <c r="C31" s="24" t="inlineStr">
        <is>
          <t>VERSION</t>
        </is>
      </c>
      <c r="D31" s="24" t="inlineStr">
        <is>
          <t>varchar(32)</t>
        </is>
      </c>
      <c r="E31" s="24" t="inlineStr">
        <is>
          <t>YES</t>
        </is>
      </c>
      <c r="F31" s="53" t="inlineStr">
        <is>
          <t>版本</t>
        </is>
      </c>
      <c r="G31" s="24" t="n"/>
      <c r="H31" s="24" t="n"/>
      <c r="I31" s="24" t="inlineStr"/>
      <c r="J31" s="24" t="inlineStr">
        <is>
          <t>2023/01/12</t>
        </is>
      </c>
    </row>
    <row r="32">
      <c r="B32" s="24" t="inlineStr">
        <is>
          <t>flow_object</t>
        </is>
      </c>
      <c r="C32" s="24" t="inlineStr">
        <is>
          <t>BASEFLOWNO</t>
        </is>
      </c>
      <c r="D32" s="24" t="inlineStr">
        <is>
          <t>varchar(32)</t>
        </is>
      </c>
      <c r="E32" s="24" t="inlineStr">
        <is>
          <t>YES</t>
        </is>
      </c>
      <c r="F32" s="53" t="inlineStr">
        <is>
          <t>流程号</t>
        </is>
      </c>
      <c r="G32" s="24" t="n"/>
      <c r="H32" s="24" t="n"/>
      <c r="I32" s="24" t="inlineStr"/>
      <c r="J32" s="24" t="inlineStr">
        <is>
          <t>2023/01/12</t>
        </is>
      </c>
    </row>
  </sheetData>
  <pageMargins left="0.75" right="0.75" top="1" bottom="1" header="0.5" footer="0.5"/>
  <pageSetup orientation="portrait" paperSize="1" horizontalDpi="300" verticalDpi="300"/>
</worksheet>
</file>

<file path=xl/worksheets/sheet136.xml><?xml version="1.0" encoding="utf-8"?>
<worksheet xmlns="http://schemas.openxmlformats.org/spreadsheetml/2006/main">
  <sheetPr>
    <outlinePr summaryBelow="1" summaryRight="1"/>
    <pageSetUpPr/>
  </sheetPr>
  <dimension ref="A1:J19"/>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流程业务表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flow_object_summary</t>
        </is>
      </c>
      <c r="C3" s="24" t="inlineStr">
        <is>
          <t>APPLYTYPE</t>
        </is>
      </c>
      <c r="D3" s="24" t="inlineStr">
        <is>
          <t>varchar(32)</t>
        </is>
      </c>
      <c r="E3" s="24" t="inlineStr">
        <is>
          <t>NO</t>
        </is>
      </c>
      <c r="F3" s="24" t="inlineStr">
        <is>
          <t>申请类型</t>
        </is>
      </c>
      <c r="G3" s="24" t="n"/>
      <c r="H3" s="24" t="n"/>
      <c r="I3" s="24" t="inlineStr"/>
      <c r="J3" s="24" t="inlineStr">
        <is>
          <t>2023/01/12</t>
        </is>
      </c>
    </row>
    <row r="4">
      <c r="B4" s="24" t="inlineStr">
        <is>
          <t>flow_object_summary</t>
        </is>
      </c>
      <c r="C4" s="24" t="inlineStr">
        <is>
          <t>OBJECTNO</t>
        </is>
      </c>
      <c r="D4" s="24" t="inlineStr">
        <is>
          <t>varchar(32)</t>
        </is>
      </c>
      <c r="E4" s="24" t="inlineStr">
        <is>
          <t>NO</t>
        </is>
      </c>
      <c r="F4" s="24" t="inlineStr">
        <is>
          <t>业务对象编号</t>
        </is>
      </c>
      <c r="G4" s="24" t="n"/>
      <c r="H4" s="24" t="n"/>
      <c r="I4" s="24" t="inlineStr"/>
      <c r="J4" s="24" t="inlineStr">
        <is>
          <t>2023/01/12</t>
        </is>
      </c>
    </row>
    <row r="5">
      <c r="B5" s="24" t="inlineStr">
        <is>
          <t>flow_object_summary</t>
        </is>
      </c>
      <c r="C5" s="24" t="inlineStr">
        <is>
          <t>FLOWSUMMARY</t>
        </is>
      </c>
      <c r="D5" s="24" t="inlineStr">
        <is>
          <t>varchar(1000)</t>
        </is>
      </c>
      <c r="E5" s="24" t="inlineStr">
        <is>
          <t>YES</t>
        </is>
      </c>
      <c r="F5" s="24" t="inlineStr">
        <is>
          <t>流程简述</t>
        </is>
      </c>
      <c r="G5" s="24" t="n"/>
      <c r="H5" s="24" t="n"/>
      <c r="I5" s="24" t="inlineStr"/>
      <c r="J5" s="24" t="inlineStr">
        <is>
          <t>2023/01/12</t>
        </is>
      </c>
    </row>
    <row r="6">
      <c r="B6" s="24" t="inlineStr">
        <is>
          <t>flow_object_summary</t>
        </is>
      </c>
      <c r="C6" s="24" t="inlineStr">
        <is>
          <t>TASKSUMMARY</t>
        </is>
      </c>
      <c r="D6" s="24" t="inlineStr">
        <is>
          <t>varchar(1000)</t>
        </is>
      </c>
      <c r="E6" s="24" t="inlineStr">
        <is>
          <t>YES</t>
        </is>
      </c>
      <c r="F6" s="24" t="inlineStr">
        <is>
          <t>任务说明</t>
        </is>
      </c>
      <c r="G6" s="24" t="n"/>
      <c r="H6" s="24" t="n"/>
      <c r="I6" s="24" t="inlineStr"/>
      <c r="J6" s="24" t="inlineStr">
        <is>
          <t>2023/01/12</t>
        </is>
      </c>
    </row>
    <row r="7">
      <c r="B7" s="24" t="inlineStr">
        <is>
          <t>flow_object_summary</t>
        </is>
      </c>
      <c r="C7" s="24" t="inlineStr">
        <is>
          <t>APPROVESTATUS</t>
        </is>
      </c>
      <c r="D7" s="24" t="inlineStr">
        <is>
          <t>varchar(32)</t>
        </is>
      </c>
      <c r="E7" s="24" t="inlineStr">
        <is>
          <t>YES</t>
        </is>
      </c>
      <c r="F7" s="24" t="inlineStr">
        <is>
          <t>审批状态</t>
        </is>
      </c>
      <c r="G7" s="24" t="n"/>
      <c r="H7" s="24" t="n"/>
      <c r="I7" s="24" t="inlineStr"/>
      <c r="J7" s="24" t="inlineStr">
        <is>
          <t>2023/01/12</t>
        </is>
      </c>
    </row>
    <row r="8">
      <c r="B8" s="24" t="inlineStr">
        <is>
          <t>flow_object_summary</t>
        </is>
      </c>
      <c r="C8" s="24" t="inlineStr">
        <is>
          <t>INPUTUSERID</t>
        </is>
      </c>
      <c r="D8" s="24" t="inlineStr">
        <is>
          <t>varchar(32)</t>
        </is>
      </c>
      <c r="E8" s="24" t="inlineStr">
        <is>
          <t>YES</t>
        </is>
      </c>
      <c r="F8" s="24" t="inlineStr">
        <is>
          <t>登记人</t>
        </is>
      </c>
      <c r="G8" s="24" t="n"/>
      <c r="H8" s="24" t="n"/>
      <c r="I8" s="24" t="inlineStr"/>
      <c r="J8" s="24" t="inlineStr">
        <is>
          <t>2023/01/12</t>
        </is>
      </c>
    </row>
    <row r="9">
      <c r="B9" s="24" t="inlineStr">
        <is>
          <t>flow_object_summary</t>
        </is>
      </c>
      <c r="C9" s="24" t="inlineStr">
        <is>
          <t>INPUTORGID</t>
        </is>
      </c>
      <c r="D9" s="24" t="inlineStr">
        <is>
          <t>varchar(32)</t>
        </is>
      </c>
      <c r="E9" s="24" t="inlineStr">
        <is>
          <t>YES</t>
        </is>
      </c>
      <c r="F9" s="24" t="inlineStr">
        <is>
          <t>登记机构</t>
        </is>
      </c>
      <c r="G9" s="24" t="n"/>
      <c r="H9" s="24" t="n"/>
      <c r="I9" s="24" t="inlineStr"/>
      <c r="J9" s="24" t="inlineStr">
        <is>
          <t>2023/01/12</t>
        </is>
      </c>
    </row>
    <row r="10">
      <c r="B10" s="24" t="inlineStr">
        <is>
          <t>flow_object_summary</t>
        </is>
      </c>
      <c r="C10" s="24" t="inlineStr">
        <is>
          <t>INPUTDATE</t>
        </is>
      </c>
      <c r="D10" s="24" t="inlineStr">
        <is>
          <t>datetime</t>
        </is>
      </c>
      <c r="E10" s="24" t="inlineStr">
        <is>
          <t>YES</t>
        </is>
      </c>
      <c r="F10" s="24" t="inlineStr">
        <is>
          <t>登记日期</t>
        </is>
      </c>
      <c r="G10" s="24" t="n"/>
      <c r="H10" s="24" t="n"/>
      <c r="I10" s="24" t="inlineStr"/>
      <c r="J10" s="24" t="inlineStr">
        <is>
          <t>2023/01/12</t>
        </is>
      </c>
    </row>
    <row r="11">
      <c r="B11" s="24" t="inlineStr">
        <is>
          <t>flow_object_summary</t>
        </is>
      </c>
      <c r="C11" s="24" t="inlineStr">
        <is>
          <t>UPDATEUSERID</t>
        </is>
      </c>
      <c r="D11" s="24" t="inlineStr">
        <is>
          <t>varchar(32)</t>
        </is>
      </c>
      <c r="E11" s="24" t="inlineStr">
        <is>
          <t>YES</t>
        </is>
      </c>
      <c r="F11" s="24" t="inlineStr">
        <is>
          <t>更新人</t>
        </is>
      </c>
      <c r="G11" s="24" t="n"/>
      <c r="H11" s="24" t="n"/>
      <c r="I11" s="24" t="inlineStr"/>
      <c r="J11" s="24" t="inlineStr">
        <is>
          <t>2023/01/12</t>
        </is>
      </c>
    </row>
    <row r="12">
      <c r="B12" s="24" t="inlineStr">
        <is>
          <t>flow_object_summary</t>
        </is>
      </c>
      <c r="C12" s="24" t="inlineStr">
        <is>
          <t>UPDATEORGID</t>
        </is>
      </c>
      <c r="D12" s="24" t="inlineStr">
        <is>
          <t>varchar(32)</t>
        </is>
      </c>
      <c r="E12" s="24" t="inlineStr">
        <is>
          <t>YES</t>
        </is>
      </c>
      <c r="F12" s="24" t="inlineStr">
        <is>
          <t>更新机构</t>
        </is>
      </c>
      <c r="G12" s="24" t="n"/>
      <c r="H12" s="24" t="n"/>
      <c r="I12" s="24" t="inlineStr"/>
      <c r="J12" s="24" t="inlineStr">
        <is>
          <t>2023/01/12</t>
        </is>
      </c>
    </row>
    <row r="13">
      <c r="B13" s="24" t="inlineStr">
        <is>
          <t>flow_object_summary</t>
        </is>
      </c>
      <c r="C13" s="24" t="inlineStr">
        <is>
          <t>UPDATEDATE</t>
        </is>
      </c>
      <c r="D13" s="24" t="inlineStr">
        <is>
          <t>datetime</t>
        </is>
      </c>
      <c r="E13" s="24" t="inlineStr">
        <is>
          <t>YES</t>
        </is>
      </c>
      <c r="F13" s="24" t="inlineStr">
        <is>
          <t>更新日期</t>
        </is>
      </c>
      <c r="G13" s="24" t="n"/>
      <c r="H13" s="24" t="n"/>
      <c r="I13" s="24" t="inlineStr"/>
      <c r="J13" s="24" t="inlineStr">
        <is>
          <t>2023/01/12</t>
        </is>
      </c>
    </row>
    <row r="14">
      <c r="B14" s="24" t="inlineStr">
        <is>
          <t>flow_object_summary</t>
        </is>
      </c>
      <c r="C14" s="24" t="inlineStr">
        <is>
          <t>CORPORGID</t>
        </is>
      </c>
      <c r="D14" s="24" t="inlineStr">
        <is>
          <t>varchar(32)</t>
        </is>
      </c>
      <c r="E14" s="24" t="inlineStr">
        <is>
          <t>YES</t>
        </is>
      </c>
      <c r="F14" s="24" t="inlineStr">
        <is>
          <t>法人机构编号</t>
        </is>
      </c>
      <c r="G14" s="24" t="n"/>
      <c r="H14" s="24" t="n"/>
      <c r="I14" s="24" t="inlineStr"/>
      <c r="J14" s="24" t="inlineStr">
        <is>
          <t>2023/01/12</t>
        </is>
      </c>
    </row>
    <row r="15">
      <c r="B15" s="24" t="inlineStr">
        <is>
          <t>flow_object_summary</t>
        </is>
      </c>
      <c r="C15" s="24" t="inlineStr">
        <is>
          <t>USERID</t>
        </is>
      </c>
      <c r="D15" s="24" t="inlineStr">
        <is>
          <t>varchar(32)</t>
        </is>
      </c>
      <c r="E15" s="24" t="inlineStr">
        <is>
          <t>YES</t>
        </is>
      </c>
      <c r="F15" s="24" t="inlineStr">
        <is>
          <t>当前流程用户编号;</t>
        </is>
      </c>
      <c r="G15" s="24" t="n"/>
      <c r="H15" s="24" t="n"/>
      <c r="I15" s="24" t="inlineStr"/>
      <c r="J15" s="24" t="inlineStr">
        <is>
          <t>2023/01/12</t>
        </is>
      </c>
    </row>
    <row r="16">
      <c r="B16" s="24" t="inlineStr">
        <is>
          <t>flow_object_summary</t>
        </is>
      </c>
      <c r="C16" s="24" t="inlineStr">
        <is>
          <t>SERIALNO</t>
        </is>
      </c>
      <c r="D16" s="24" t="inlineStr">
        <is>
          <t>varchar(32)</t>
        </is>
      </c>
      <c r="E16" s="24" t="inlineStr">
        <is>
          <t>NO</t>
        </is>
      </c>
      <c r="F16" s="24" t="inlineStr">
        <is>
          <t>流水号;</t>
        </is>
      </c>
      <c r="G16" s="24" t="n"/>
      <c r="H16" s="24" t="n"/>
      <c r="I16" s="24" t="inlineStr"/>
      <c r="J16" s="24" t="inlineStr">
        <is>
          <t>2023/01/12</t>
        </is>
      </c>
    </row>
    <row r="17">
      <c r="B17" s="24" t="inlineStr">
        <is>
          <t>flow_object_summary</t>
        </is>
      </c>
      <c r="C17" s="24" t="inlineStr">
        <is>
          <t>CATEGORYID</t>
        </is>
      </c>
      <c r="D17" s="24" t="inlineStr">
        <is>
          <t>varchar(6)</t>
        </is>
      </c>
      <c r="E17" s="24" t="inlineStr">
        <is>
          <t>YES</t>
        </is>
      </c>
      <c r="F17" s="24" t="inlineStr">
        <is>
          <t>待办事项大类标识</t>
        </is>
      </c>
      <c r="G17" s="24" t="n"/>
      <c r="H17" s="24" t="n"/>
      <c r="I17" s="24" t="inlineStr"/>
      <c r="J17" s="24" t="inlineStr">
        <is>
          <t>2023/01/12</t>
        </is>
      </c>
    </row>
    <row r="18">
      <c r="B18" s="24" t="inlineStr">
        <is>
          <t>flow_object_summary</t>
        </is>
      </c>
      <c r="C18" s="24" t="inlineStr">
        <is>
          <t>BUSINESSENTITY</t>
        </is>
      </c>
      <c r="D18" s="24" t="inlineStr">
        <is>
          <t>varchar(80)</t>
        </is>
      </c>
      <c r="E18" s="24" t="inlineStr">
        <is>
          <t>YES</t>
        </is>
      </c>
      <c r="F18" s="24" t="inlineStr">
        <is>
          <t>业务主体</t>
        </is>
      </c>
      <c r="G18" s="24" t="n"/>
      <c r="H18" s="24" t="n"/>
      <c r="I18" s="24" t="inlineStr"/>
      <c r="J18" s="24" t="inlineStr">
        <is>
          <t>2023/01/12</t>
        </is>
      </c>
    </row>
    <row r="19">
      <c r="B19" s="24" t="inlineStr">
        <is>
          <t>flow_object_summary</t>
        </is>
      </c>
      <c r="C19" s="24" t="inlineStr">
        <is>
          <t>notes</t>
        </is>
      </c>
      <c r="D19" s="24" t="inlineStr">
        <is>
          <t>varchar(1000)</t>
        </is>
      </c>
      <c r="E19" s="24" t="inlineStr">
        <is>
          <t>YES</t>
        </is>
      </c>
      <c r="F19" s="24" t="inlineStr">
        <is>
          <t>笔记</t>
        </is>
      </c>
      <c r="G19" s="24" t="n"/>
      <c r="H19" s="24" t="n"/>
      <c r="I19" s="24" t="inlineStr"/>
      <c r="J19" s="24" t="inlineStr">
        <is>
          <t>2023/01/12</t>
        </is>
      </c>
    </row>
  </sheetData>
  <pageMargins left="0.75" right="0.75" top="1" bottom="1" header="0.5" footer="0.5"/>
  <pageSetup orientation="portrait" paperSize="1" horizontalDpi="300" verticalDpi="300"/>
</worksheet>
</file>

<file path=xl/worksheets/sheet137.xml><?xml version="1.0" encoding="utf-8"?>
<worksheet xmlns="http://schemas.openxmlformats.org/spreadsheetml/2006/main">
  <sheetPr>
    <outlinePr summaryBelow="1" summaryRight="1"/>
    <pageSetUpPr/>
  </sheetPr>
  <dimension ref="A1:J38"/>
  <sheetViews>
    <sheetView zoomScaleSheetLayoutView="60" workbookViewId="0">
      <selection activeCell="F44" sqref="F44"/>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流程意见记录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flow_opinion</t>
        </is>
      </c>
      <c r="C3" s="24" t="inlineStr">
        <is>
          <t>SERIALNO</t>
        </is>
      </c>
      <c r="D3" s="24" t="inlineStr">
        <is>
          <t>varchar(32)</t>
        </is>
      </c>
      <c r="E3" s="24" t="inlineStr">
        <is>
          <t>NO</t>
        </is>
      </c>
      <c r="F3" s="24" t="inlineStr">
        <is>
          <t>流程节点编号</t>
        </is>
      </c>
      <c r="G3" s="24" t="n"/>
      <c r="H3" s="24" t="n"/>
      <c r="I3" s="24" t="inlineStr"/>
      <c r="J3" s="24" t="inlineStr">
        <is>
          <t>2023/01/12</t>
        </is>
      </c>
    </row>
    <row r="4">
      <c r="B4" s="24" t="inlineStr">
        <is>
          <t>flow_opinion</t>
        </is>
      </c>
      <c r="C4" s="24" t="inlineStr">
        <is>
          <t>OPINIONNO</t>
        </is>
      </c>
      <c r="D4" s="24" t="inlineStr">
        <is>
          <t>varchar(32)</t>
        </is>
      </c>
      <c r="E4" s="24" t="inlineStr">
        <is>
          <t>NO</t>
        </is>
      </c>
      <c r="F4" s="24" t="inlineStr">
        <is>
          <t>意见编号</t>
        </is>
      </c>
      <c r="G4" s="24" t="n"/>
      <c r="H4" s="24" t="n"/>
      <c r="I4" s="24" t="inlineStr"/>
      <c r="J4" s="24" t="inlineStr">
        <is>
          <t>2023/01/12</t>
        </is>
      </c>
    </row>
    <row r="5">
      <c r="B5" s="24" t="inlineStr">
        <is>
          <t>flow_opinion</t>
        </is>
      </c>
      <c r="C5" s="24" t="inlineStr">
        <is>
          <t>OBJECTTYPE</t>
        </is>
      </c>
      <c r="D5" s="24" t="inlineStr">
        <is>
          <t>varchar(32)</t>
        </is>
      </c>
      <c r="E5" s="24" t="inlineStr">
        <is>
          <t>YES</t>
        </is>
      </c>
      <c r="F5" s="24" t="inlineStr">
        <is>
          <t>流程对象任务类型</t>
        </is>
      </c>
      <c r="G5" s="24" t="n"/>
      <c r="H5" s="24" t="n"/>
      <c r="I5" s="24" t="inlineStr"/>
      <c r="J5" s="24" t="inlineStr">
        <is>
          <t>2023/01/12</t>
        </is>
      </c>
    </row>
    <row r="6">
      <c r="B6" s="24" t="inlineStr">
        <is>
          <t>flow_opinion</t>
        </is>
      </c>
      <c r="C6" s="24" t="inlineStr">
        <is>
          <t>OBJECTNO</t>
        </is>
      </c>
      <c r="D6" s="24" t="inlineStr">
        <is>
          <t>varchar(32)</t>
        </is>
      </c>
      <c r="E6" s="24" t="inlineStr">
        <is>
          <t>YES</t>
        </is>
      </c>
      <c r="F6" s="24" t="inlineStr">
        <is>
          <t>流程对象编号</t>
        </is>
      </c>
      <c r="G6" s="24" t="n"/>
      <c r="H6" s="24" t="n"/>
      <c r="I6" s="24" t="inlineStr"/>
      <c r="J6" s="24" t="inlineStr">
        <is>
          <t>2023/01/12</t>
        </is>
      </c>
    </row>
    <row r="7">
      <c r="B7" s="24" t="inlineStr">
        <is>
          <t>flow_opinion</t>
        </is>
      </c>
      <c r="C7" s="24" t="inlineStr">
        <is>
          <t>CUSTOMERID</t>
        </is>
      </c>
      <c r="D7" s="24" t="inlineStr">
        <is>
          <t>varchar(32)</t>
        </is>
      </c>
      <c r="E7" s="24" t="inlineStr">
        <is>
          <t>YES</t>
        </is>
      </c>
      <c r="F7" s="24" t="inlineStr">
        <is>
          <t>客户编号</t>
        </is>
      </c>
      <c r="G7" s="24" t="n"/>
      <c r="H7" s="24" t="n"/>
      <c r="I7" s="24" t="inlineStr"/>
      <c r="J7" s="24" t="inlineStr">
        <is>
          <t>2023/01/12</t>
        </is>
      </c>
    </row>
    <row r="8">
      <c r="B8" s="24" t="inlineStr">
        <is>
          <t>flow_opinion</t>
        </is>
      </c>
      <c r="C8" s="24" t="inlineStr">
        <is>
          <t>CUSTOMERNAME</t>
        </is>
      </c>
      <c r="D8" s="24" t="inlineStr">
        <is>
          <t>varchar(80)</t>
        </is>
      </c>
      <c r="E8" s="24" t="inlineStr">
        <is>
          <t>YES</t>
        </is>
      </c>
      <c r="F8" s="24" t="inlineStr">
        <is>
          <t>客户名称</t>
        </is>
      </c>
      <c r="G8" s="24" t="n"/>
      <c r="H8" s="24" t="n"/>
      <c r="I8" s="24" t="inlineStr"/>
      <c r="J8" s="24" t="inlineStr">
        <is>
          <t>2023/01/12</t>
        </is>
      </c>
    </row>
    <row r="9">
      <c r="B9" s="24" t="inlineStr">
        <is>
          <t>flow_opinion</t>
        </is>
      </c>
      <c r="C9" s="24" t="inlineStr">
        <is>
          <t>BUSINESSCURRENCY</t>
        </is>
      </c>
      <c r="D9" s="24" t="inlineStr">
        <is>
          <t>varchar(32)</t>
        </is>
      </c>
      <c r="E9" s="24" t="inlineStr">
        <is>
          <t>YES</t>
        </is>
      </c>
      <c r="F9" s="24" t="inlineStr">
        <is>
          <t>业务币种</t>
        </is>
      </c>
      <c r="G9" s="52">
        <f>HYPERLINK("#码值映射清单!B2469","Currency")</f>
        <v/>
      </c>
      <c r="H9" s="24" t="n"/>
      <c r="I9" s="24" t="inlineStr"/>
      <c r="J9" s="24" t="inlineStr">
        <is>
          <t>2023/01/12</t>
        </is>
      </c>
    </row>
    <row r="10">
      <c r="B10" s="24" t="inlineStr">
        <is>
          <t>flow_opinion</t>
        </is>
      </c>
      <c r="C10" s="24" t="inlineStr">
        <is>
          <t>BUSINESSSUM</t>
        </is>
      </c>
      <c r="D10" s="24" t="inlineStr">
        <is>
          <t>decimal(24,6)</t>
        </is>
      </c>
      <c r="E10" s="24" t="inlineStr">
        <is>
          <t>YES</t>
        </is>
      </c>
      <c r="F10" s="24" t="inlineStr">
        <is>
          <t>名义金额</t>
        </is>
      </c>
      <c r="G10" s="24" t="n"/>
      <c r="H10" s="24" t="n"/>
      <c r="I10" s="24" t="inlineStr"/>
      <c r="J10" s="24" t="inlineStr">
        <is>
          <t>2023/01/12</t>
        </is>
      </c>
    </row>
    <row r="11">
      <c r="B11" s="24" t="inlineStr">
        <is>
          <t>flow_opinion</t>
        </is>
      </c>
      <c r="C11" s="24" t="inlineStr">
        <is>
          <t>TERMYEAR</t>
        </is>
      </c>
      <c r="D11" s="24" t="inlineStr">
        <is>
          <t>int</t>
        </is>
      </c>
      <c r="E11" s="24" t="inlineStr">
        <is>
          <t>YES</t>
        </is>
      </c>
      <c r="F11" s="24" t="inlineStr">
        <is>
          <t>期限</t>
        </is>
      </c>
      <c r="G11" s="24" t="n"/>
      <c r="H11" s="24" t="n"/>
      <c r="I11" s="24" t="inlineStr"/>
      <c r="J11" s="24" t="inlineStr">
        <is>
          <t>2023/01/12</t>
        </is>
      </c>
    </row>
    <row r="12">
      <c r="B12" s="24" t="inlineStr">
        <is>
          <t>flow_opinion</t>
        </is>
      </c>
      <c r="C12" s="24" t="inlineStr">
        <is>
          <t>TERMMONTH</t>
        </is>
      </c>
      <c r="D12" s="24" t="inlineStr">
        <is>
          <t>int</t>
        </is>
      </c>
      <c r="E12" s="24" t="inlineStr">
        <is>
          <t>YES</t>
        </is>
      </c>
      <c r="F12" s="24" t="inlineStr">
        <is>
          <t>期限</t>
        </is>
      </c>
      <c r="G12" s="24" t="n"/>
      <c r="H12" s="24" t="n"/>
      <c r="I12" s="24" t="inlineStr"/>
      <c r="J12" s="24" t="inlineStr">
        <is>
          <t>2023/01/12</t>
        </is>
      </c>
    </row>
    <row r="13">
      <c r="B13" s="24" t="inlineStr">
        <is>
          <t>flow_opinion</t>
        </is>
      </c>
      <c r="C13" s="24" t="inlineStr">
        <is>
          <t>TERMDAY</t>
        </is>
      </c>
      <c r="D13" s="24" t="inlineStr">
        <is>
          <t>int</t>
        </is>
      </c>
      <c r="E13" s="24" t="inlineStr">
        <is>
          <t>YES</t>
        </is>
      </c>
      <c r="F13" s="24" t="inlineStr">
        <is>
          <t>期限</t>
        </is>
      </c>
      <c r="G13" s="24" t="n"/>
      <c r="H13" s="24" t="n"/>
      <c r="I13" s="24" t="inlineStr"/>
      <c r="J13" s="24" t="inlineStr">
        <is>
          <t>2023/01/12</t>
        </is>
      </c>
    </row>
    <row r="14">
      <c r="B14" s="24" t="inlineStr">
        <is>
          <t>flow_opinion</t>
        </is>
      </c>
      <c r="C14" s="24" t="inlineStr">
        <is>
          <t>BASERATETYPE</t>
        </is>
      </c>
      <c r="D14" s="24" t="inlineStr">
        <is>
          <t>varchar(32)</t>
        </is>
      </c>
      <c r="E14" s="24" t="inlineStr">
        <is>
          <t>YES</t>
        </is>
      </c>
      <c r="F14" s="24" t="inlineStr">
        <is>
          <t>基准利率类型</t>
        </is>
      </c>
      <c r="G14" s="24" t="n"/>
      <c r="H14" s="24" t="n"/>
      <c r="I14" s="24" t="inlineStr"/>
      <c r="J14" s="24" t="inlineStr">
        <is>
          <t>2023/01/12</t>
        </is>
      </c>
    </row>
    <row r="15">
      <c r="B15" s="24" t="inlineStr">
        <is>
          <t>flow_opinion</t>
        </is>
      </c>
      <c r="C15" s="24" t="inlineStr">
        <is>
          <t>RATEFLOATTYPE</t>
        </is>
      </c>
      <c r="D15" s="24" t="inlineStr">
        <is>
          <t>varchar(32)</t>
        </is>
      </c>
      <c r="E15" s="24" t="inlineStr">
        <is>
          <t>YES</t>
        </is>
      </c>
      <c r="F15" s="24" t="inlineStr">
        <is>
          <t>利率浮动方式</t>
        </is>
      </c>
      <c r="G15" s="52">
        <f>HYPERLINK("#码值映射清单!B6162","RateFloatType")</f>
        <v/>
      </c>
      <c r="H15" s="24" t="n"/>
      <c r="I15" s="24" t="inlineStr"/>
      <c r="J15" s="24" t="inlineStr">
        <is>
          <t>2023/01/12</t>
        </is>
      </c>
    </row>
    <row r="16">
      <c r="B16" s="24" t="inlineStr">
        <is>
          <t>flow_opinion</t>
        </is>
      </c>
      <c r="C16" s="24" t="inlineStr">
        <is>
          <t>RATEFLOAT</t>
        </is>
      </c>
      <c r="D16" s="24" t="inlineStr">
        <is>
          <t>decimal(18,8)</t>
        </is>
      </c>
      <c r="E16" s="24" t="inlineStr">
        <is>
          <t>YES</t>
        </is>
      </c>
      <c r="F16" s="53" t="inlineStr">
        <is>
          <t>利率浮动</t>
        </is>
      </c>
      <c r="G16" s="24" t="n"/>
      <c r="H16" s="24" t="n"/>
      <c r="I16" s="24" t="inlineStr"/>
      <c r="J16" s="24" t="inlineStr">
        <is>
          <t>2023/01/12</t>
        </is>
      </c>
    </row>
    <row r="17">
      <c r="B17" s="24" t="inlineStr">
        <is>
          <t>flow_opinion</t>
        </is>
      </c>
      <c r="C17" s="24" t="inlineStr">
        <is>
          <t>BAILCURRENCY</t>
        </is>
      </c>
      <c r="D17" s="24" t="inlineStr">
        <is>
          <t>varchar(32)</t>
        </is>
      </c>
      <c r="E17" s="24" t="inlineStr">
        <is>
          <t>YES</t>
        </is>
      </c>
      <c r="F17" s="24" t="inlineStr">
        <is>
          <t>保证金币种</t>
        </is>
      </c>
      <c r="G17" s="24" t="n"/>
      <c r="H17" s="24" t="n"/>
      <c r="I17" s="24" t="inlineStr"/>
      <c r="J17" s="24" t="inlineStr">
        <is>
          <t>2023/01/12</t>
        </is>
      </c>
    </row>
    <row r="18">
      <c r="B18" s="24" t="inlineStr">
        <is>
          <t>flow_opinion</t>
        </is>
      </c>
      <c r="C18" s="24" t="inlineStr">
        <is>
          <t>BUSINESSRATE</t>
        </is>
      </c>
      <c r="D18" s="24" t="inlineStr">
        <is>
          <t>decimal(18,8)</t>
        </is>
      </c>
      <c r="E18" s="24" t="inlineStr">
        <is>
          <t>YES</t>
        </is>
      </c>
      <c r="F18" s="53" t="inlineStr">
        <is>
          <t>执行利率</t>
        </is>
      </c>
      <c r="G18" s="24" t="n"/>
      <c r="H18" s="24" t="n"/>
      <c r="I18" s="24" t="inlineStr"/>
      <c r="J18" s="24" t="inlineStr">
        <is>
          <t>2023/01/12</t>
        </is>
      </c>
    </row>
    <row r="19">
      <c r="B19" s="24" t="inlineStr">
        <is>
          <t>flow_opinion</t>
        </is>
      </c>
      <c r="C19" s="24" t="inlineStr">
        <is>
          <t>BAILRATIO</t>
        </is>
      </c>
      <c r="D19" s="24" t="inlineStr">
        <is>
          <t>decimal(18,8)</t>
        </is>
      </c>
      <c r="E19" s="24" t="inlineStr">
        <is>
          <t>YES</t>
        </is>
      </c>
      <c r="F19" s="53" t="inlineStr">
        <is>
          <t>保证金比例</t>
        </is>
      </c>
      <c r="G19" s="24" t="n"/>
      <c r="H19" s="24" t="n"/>
      <c r="I19" s="24" t="inlineStr"/>
      <c r="J19" s="24" t="inlineStr">
        <is>
          <t>2023/01/12</t>
        </is>
      </c>
    </row>
    <row r="20">
      <c r="B20" s="24" t="inlineStr">
        <is>
          <t>flow_opinion</t>
        </is>
      </c>
      <c r="C20" s="24" t="inlineStr">
        <is>
          <t>BAILSUM</t>
        </is>
      </c>
      <c r="D20" s="24" t="inlineStr">
        <is>
          <t>decimal(24,6)</t>
        </is>
      </c>
      <c r="E20" s="24" t="inlineStr">
        <is>
          <t>YES</t>
        </is>
      </c>
      <c r="F20" s="24" t="inlineStr">
        <is>
          <t>保证金金额</t>
        </is>
      </c>
      <c r="G20" s="24" t="n"/>
      <c r="H20" s="24" t="n"/>
      <c r="I20" s="24" t="inlineStr"/>
      <c r="J20" s="24" t="inlineStr">
        <is>
          <t>2023/01/12</t>
        </is>
      </c>
    </row>
    <row r="21">
      <c r="B21" s="24" t="inlineStr">
        <is>
          <t>flow_opinion</t>
        </is>
      </c>
      <c r="C21" s="24" t="inlineStr">
        <is>
          <t>PDGRATIO</t>
        </is>
      </c>
      <c r="D21" s="24" t="inlineStr">
        <is>
          <t>decimal(18,8)</t>
        </is>
      </c>
      <c r="E21" s="24" t="inlineStr">
        <is>
          <t>YES</t>
        </is>
      </c>
      <c r="F21" s="53" t="inlineStr">
        <is>
          <t>手续费比率</t>
        </is>
      </c>
      <c r="G21" s="24" t="n"/>
      <c r="H21" s="24" t="n"/>
      <c r="I21" s="24" t="inlineStr"/>
      <c r="J21" s="24" t="inlineStr">
        <is>
          <t>2023/01/12</t>
        </is>
      </c>
    </row>
    <row r="22">
      <c r="B22" s="24" t="inlineStr">
        <is>
          <t>flow_opinion</t>
        </is>
      </c>
      <c r="C22" s="24" t="inlineStr">
        <is>
          <t>PDGSUM</t>
        </is>
      </c>
      <c r="D22" s="24" t="inlineStr">
        <is>
          <t>decimal(24,6)</t>
        </is>
      </c>
      <c r="E22" s="24" t="inlineStr">
        <is>
          <t>YES</t>
        </is>
      </c>
      <c r="F22" s="24" t="inlineStr">
        <is>
          <t>手续费金额</t>
        </is>
      </c>
      <c r="G22" s="24" t="n"/>
      <c r="H22" s="24" t="n"/>
      <c r="I22" s="24" t="inlineStr"/>
      <c r="J22" s="24" t="inlineStr">
        <is>
          <t>2023/01/12</t>
        </is>
      </c>
    </row>
    <row r="23">
      <c r="B23" s="24" t="inlineStr">
        <is>
          <t>flow_opinion</t>
        </is>
      </c>
      <c r="C23" s="24" t="inlineStr">
        <is>
          <t>BASERATE</t>
        </is>
      </c>
      <c r="D23" s="24" t="inlineStr">
        <is>
          <t>decimal(18,8)</t>
        </is>
      </c>
      <c r="E23" s="24" t="inlineStr">
        <is>
          <t>YES</t>
        </is>
      </c>
      <c r="F23" s="53" t="inlineStr">
        <is>
          <t>基准利率</t>
        </is>
      </c>
      <c r="G23" s="24" t="n"/>
      <c r="H23" s="24" t="n"/>
      <c r="I23" s="24" t="inlineStr"/>
      <c r="J23" s="24" t="inlineStr">
        <is>
          <t>2023/01/12</t>
        </is>
      </c>
    </row>
    <row r="24">
      <c r="B24" s="24" t="inlineStr">
        <is>
          <t>flow_opinion</t>
        </is>
      </c>
      <c r="C24" s="24" t="inlineStr">
        <is>
          <t>PHASEOPINION</t>
        </is>
      </c>
      <c r="D24" s="24" t="inlineStr">
        <is>
          <t>varchar(500)</t>
        </is>
      </c>
      <c r="E24" s="24" t="inlineStr">
        <is>
          <t>YES</t>
        </is>
      </c>
      <c r="F24" s="24" t="inlineStr">
        <is>
          <t>节点意见详情</t>
        </is>
      </c>
      <c r="G24" s="52">
        <f>HYPERLINK("#码值映射清单!B3680","AgreeOrNot")</f>
        <v/>
      </c>
      <c r="H24" s="24" t="n"/>
      <c r="I24" s="24" t="inlineStr"/>
      <c r="J24" s="24" t="inlineStr">
        <is>
          <t>2023/01/12</t>
        </is>
      </c>
    </row>
    <row r="25">
      <c r="B25" s="24" t="inlineStr">
        <is>
          <t>flow_opinion</t>
        </is>
      </c>
      <c r="C25" s="24" t="inlineStr">
        <is>
          <t>PHASEOPINION1</t>
        </is>
      </c>
      <c r="D25" s="24" t="inlineStr">
        <is>
          <t>varchar(500)</t>
        </is>
      </c>
      <c r="E25" s="24" t="inlineStr">
        <is>
          <t>YES</t>
        </is>
      </c>
      <c r="F25" s="24" t="inlineStr">
        <is>
          <t>意见详情1</t>
        </is>
      </c>
      <c r="G25" s="52">
        <f>HYPERLINK("#码值映射清单!B4094","ClassifyResult")</f>
        <v/>
      </c>
      <c r="H25" s="24" t="n"/>
      <c r="I25" s="24" t="inlineStr"/>
      <c r="J25" s="24" t="inlineStr">
        <is>
          <t>2023/01/12</t>
        </is>
      </c>
    </row>
    <row r="26">
      <c r="B26" s="24" t="inlineStr">
        <is>
          <t>flow_opinion</t>
        </is>
      </c>
      <c r="C26" s="24" t="inlineStr">
        <is>
          <t>PHASEOPINION2</t>
        </is>
      </c>
      <c r="D26" s="24" t="inlineStr">
        <is>
          <t>varchar(500)</t>
        </is>
      </c>
      <c r="E26" s="24" t="inlineStr">
        <is>
          <t>YES</t>
        </is>
      </c>
      <c r="F26" s="24" t="inlineStr">
        <is>
          <t>意见详情2</t>
        </is>
      </c>
      <c r="G26" s="24" t="n"/>
      <c r="H26" s="24" t="n"/>
      <c r="I26" s="24" t="inlineStr"/>
      <c r="J26" s="24" t="inlineStr">
        <is>
          <t>2023/01/12</t>
        </is>
      </c>
    </row>
    <row r="27">
      <c r="B27" s="24" t="inlineStr">
        <is>
          <t>flow_opinion</t>
        </is>
      </c>
      <c r="C27" s="24" t="inlineStr">
        <is>
          <t>PHASEOPINION3</t>
        </is>
      </c>
      <c r="D27" s="24" t="inlineStr">
        <is>
          <t>varchar(500)</t>
        </is>
      </c>
      <c r="E27" s="24" t="inlineStr">
        <is>
          <t>YES</t>
        </is>
      </c>
      <c r="F27" s="24" t="inlineStr">
        <is>
          <t>意见详情3</t>
        </is>
      </c>
      <c r="G27" s="24" t="n"/>
      <c r="H27" s="24" t="n"/>
      <c r="I27" s="24" t="inlineStr"/>
      <c r="J27" s="24" t="inlineStr">
        <is>
          <t>2023/01/12</t>
        </is>
      </c>
    </row>
    <row r="28">
      <c r="B28" s="24" t="inlineStr">
        <is>
          <t>flow_opinion</t>
        </is>
      </c>
      <c r="C28" s="24" t="inlineStr">
        <is>
          <t>EXPOSURESUM</t>
        </is>
      </c>
      <c r="D28" s="24" t="inlineStr">
        <is>
          <t>decimal(24,6)</t>
        </is>
      </c>
      <c r="E28" s="24" t="inlineStr">
        <is>
          <t>YES</t>
        </is>
      </c>
      <c r="F28" s="24" t="inlineStr">
        <is>
          <t>敞口金额</t>
        </is>
      </c>
      <c r="G28" s="24" t="n"/>
      <c r="H28" s="24" t="n"/>
      <c r="I28" s="24" t="inlineStr"/>
      <c r="J28" s="24" t="inlineStr">
        <is>
          <t>2023/01/12</t>
        </is>
      </c>
    </row>
    <row r="29">
      <c r="B29" s="24" t="inlineStr">
        <is>
          <t>flow_opinion</t>
        </is>
      </c>
      <c r="C29" s="24" t="inlineStr">
        <is>
          <t>OPINIONTYPE</t>
        </is>
      </c>
      <c r="D29" s="24" t="inlineStr">
        <is>
          <t>varchar(18)</t>
        </is>
      </c>
      <c r="E29" s="24" t="inlineStr">
        <is>
          <t>YES</t>
        </is>
      </c>
      <c r="F29" s="24" t="inlineStr">
        <is>
          <t>意见类型</t>
        </is>
      </c>
      <c r="G29" s="24" t="n"/>
      <c r="H29" s="24" t="n"/>
      <c r="I29" s="24" t="inlineStr"/>
      <c r="J29" s="24" t="inlineStr">
        <is>
          <t>2023/01/12</t>
        </is>
      </c>
    </row>
    <row r="30">
      <c r="B30" s="24" t="inlineStr">
        <is>
          <t>flow_opinion</t>
        </is>
      </c>
      <c r="C30" s="24" t="inlineStr">
        <is>
          <t>INPUTORG</t>
        </is>
      </c>
      <c r="D30" s="24" t="inlineStr">
        <is>
          <t>varchar(32)</t>
        </is>
      </c>
      <c r="E30" s="24" t="inlineStr">
        <is>
          <t>YES</t>
        </is>
      </c>
      <c r="F30" s="24" t="inlineStr">
        <is>
          <t>登记机构</t>
        </is>
      </c>
      <c r="G30" s="24" t="n"/>
      <c r="H30" s="24" t="n"/>
      <c r="I30" s="24" t="inlineStr"/>
      <c r="J30" s="24" t="inlineStr">
        <is>
          <t>2023/01/12</t>
        </is>
      </c>
    </row>
    <row r="31">
      <c r="B31" s="24" t="inlineStr">
        <is>
          <t>flow_opinion</t>
        </is>
      </c>
      <c r="C31" s="24" t="inlineStr">
        <is>
          <t>INPUTUSER</t>
        </is>
      </c>
      <c r="D31" s="24" t="inlineStr">
        <is>
          <t>varchar(32)</t>
        </is>
      </c>
      <c r="E31" s="24" t="inlineStr">
        <is>
          <t>YES</t>
        </is>
      </c>
      <c r="F31" s="24" t="inlineStr">
        <is>
          <t>登记人</t>
        </is>
      </c>
      <c r="G31" s="24" t="n"/>
      <c r="H31" s="24" t="n"/>
      <c r="I31" s="24" t="inlineStr"/>
      <c r="J31" s="24" t="inlineStr">
        <is>
          <t>2023/01/12</t>
        </is>
      </c>
    </row>
    <row r="32">
      <c r="B32" s="24" t="inlineStr">
        <is>
          <t>flow_opinion</t>
        </is>
      </c>
      <c r="C32" s="24" t="inlineStr">
        <is>
          <t>INPUTDATE</t>
        </is>
      </c>
      <c r="D32" s="24" t="inlineStr">
        <is>
          <t>datetime</t>
        </is>
      </c>
      <c r="E32" s="24" t="inlineStr">
        <is>
          <t>YES</t>
        </is>
      </c>
      <c r="F32" s="24" t="inlineStr">
        <is>
          <t>登记日期</t>
        </is>
      </c>
      <c r="G32" s="24" t="n"/>
      <c r="H32" s="24" t="n"/>
      <c r="I32" s="24" t="inlineStr"/>
      <c r="J32" s="24" t="inlineStr">
        <is>
          <t>2023/01/12</t>
        </is>
      </c>
    </row>
    <row r="33">
      <c r="B33" s="24" t="inlineStr">
        <is>
          <t>flow_opinion</t>
        </is>
      </c>
      <c r="C33" s="24" t="inlineStr">
        <is>
          <t>UPDATEORG</t>
        </is>
      </c>
      <c r="D33" s="24" t="inlineStr">
        <is>
          <t>varchar(32)</t>
        </is>
      </c>
      <c r="E33" s="24" t="inlineStr">
        <is>
          <t>YES</t>
        </is>
      </c>
      <c r="F33" s="24" t="inlineStr">
        <is>
          <t>更新机构</t>
        </is>
      </c>
      <c r="G33" s="24" t="n"/>
      <c r="H33" s="24" t="n"/>
      <c r="I33" s="24" t="inlineStr"/>
      <c r="J33" s="24" t="inlineStr">
        <is>
          <t>2023/01/12</t>
        </is>
      </c>
    </row>
    <row r="34">
      <c r="B34" s="24" t="inlineStr">
        <is>
          <t>flow_opinion</t>
        </is>
      </c>
      <c r="C34" s="24" t="inlineStr">
        <is>
          <t>UPDATEUSER</t>
        </is>
      </c>
      <c r="D34" s="24" t="inlineStr">
        <is>
          <t>varchar(32)</t>
        </is>
      </c>
      <c r="E34" s="24" t="inlineStr">
        <is>
          <t>YES</t>
        </is>
      </c>
      <c r="F34" s="24" t="inlineStr">
        <is>
          <t>更新人</t>
        </is>
      </c>
      <c r="G34" s="24" t="n"/>
      <c r="H34" s="24" t="n"/>
      <c r="I34" s="24" t="inlineStr"/>
      <c r="J34" s="24" t="inlineStr">
        <is>
          <t>2023/01/12</t>
        </is>
      </c>
    </row>
    <row r="35">
      <c r="B35" s="24" t="inlineStr">
        <is>
          <t>flow_opinion</t>
        </is>
      </c>
      <c r="C35" s="24" t="inlineStr">
        <is>
          <t>UPDATEDATE</t>
        </is>
      </c>
      <c r="D35" s="24" t="inlineStr">
        <is>
          <t>datetime</t>
        </is>
      </c>
      <c r="E35" s="24" t="inlineStr">
        <is>
          <t>YES</t>
        </is>
      </c>
      <c r="F35" s="24" t="inlineStr">
        <is>
          <t>更新日期</t>
        </is>
      </c>
      <c r="G35" s="24" t="n"/>
      <c r="H35" s="24" t="n"/>
      <c r="I35" s="24" t="inlineStr"/>
      <c r="J35" s="24" t="inlineStr">
        <is>
          <t>2023/01/12</t>
        </is>
      </c>
    </row>
    <row r="36">
      <c r="B36" s="24" t="inlineStr">
        <is>
          <t>flow_opinion</t>
        </is>
      </c>
      <c r="C36" s="24" t="inlineStr">
        <is>
          <t>INPUTTIME</t>
        </is>
      </c>
      <c r="D36" s="24" t="inlineStr">
        <is>
          <t>datetime</t>
        </is>
      </c>
      <c r="E36" s="24" t="inlineStr">
        <is>
          <t>YES</t>
        </is>
      </c>
      <c r="F36" s="24" t="inlineStr">
        <is>
          <t>登记时间</t>
        </is>
      </c>
      <c r="G36" s="24" t="n"/>
      <c r="H36" s="24" t="n"/>
      <c r="I36" s="24" t="inlineStr"/>
      <c r="J36" s="24" t="inlineStr">
        <is>
          <t>2023/01/12</t>
        </is>
      </c>
    </row>
    <row r="37">
      <c r="B37" s="24" t="inlineStr">
        <is>
          <t>flow_opinion</t>
        </is>
      </c>
      <c r="C37" s="24" t="inlineStr">
        <is>
          <t>UPDATETIME</t>
        </is>
      </c>
      <c r="D37" s="24" t="inlineStr">
        <is>
          <t>datetime</t>
        </is>
      </c>
      <c r="E37" s="24" t="inlineStr">
        <is>
          <t>YES</t>
        </is>
      </c>
      <c r="F37" s="24" t="inlineStr">
        <is>
          <t>更新时间</t>
        </is>
      </c>
      <c r="G37" s="24" t="n"/>
      <c r="H37" s="24" t="n"/>
      <c r="I37" s="24" t="inlineStr"/>
      <c r="J37" s="24" t="inlineStr">
        <is>
          <t>2023/01/12</t>
        </is>
      </c>
    </row>
    <row r="38">
      <c r="B38" s="24" t="inlineStr">
        <is>
          <t>flow_opinion</t>
        </is>
      </c>
      <c r="C38" s="24" t="inlineStr">
        <is>
          <t>PHASECHOICE</t>
        </is>
      </c>
      <c r="D38" s="24" t="inlineStr">
        <is>
          <t>varchar(1000)</t>
        </is>
      </c>
      <c r="E38" s="24" t="inlineStr">
        <is>
          <t>YES</t>
        </is>
      </c>
      <c r="F38" s="24" t="inlineStr">
        <is>
          <t>阶段意见</t>
        </is>
      </c>
      <c r="G38" s="24" t="n"/>
      <c r="H38" s="24" t="n"/>
      <c r="I38" s="24" t="inlineStr"/>
      <c r="J38" s="24" t="inlineStr">
        <is>
          <t>2023/01/12</t>
        </is>
      </c>
    </row>
  </sheetData>
  <pageMargins left="0.75" right="0.75" top="1" bottom="1" header="0.5" footer="0.5"/>
  <pageSetup orientation="portrait" paperSize="1" horizontalDpi="300" verticalDpi="300"/>
</worksheet>
</file>

<file path=xl/worksheets/sheet138.xml><?xml version="1.0" encoding="utf-8"?>
<worksheet xmlns="http://schemas.openxmlformats.org/spreadsheetml/2006/main">
  <sheetPr>
    <outlinePr summaryBelow="1" summaryRight="1"/>
    <pageSetUpPr/>
  </sheetPr>
  <dimension ref="A1:J9"/>
  <sheetViews>
    <sheetView zoomScaleSheetLayoutView="60" workbookViewId="0">
      <selection activeCell="F3" sqref="F3:F9"/>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流程阶段类型</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flow_phasetype</t>
        </is>
      </c>
      <c r="C3" s="24" t="inlineStr">
        <is>
          <t>PHASETYPEID</t>
        </is>
      </c>
      <c r="D3" s="24" t="inlineStr">
        <is>
          <t>varchar(80)</t>
        </is>
      </c>
      <c r="E3" s="24" t="inlineStr">
        <is>
          <t>NO</t>
        </is>
      </c>
      <c r="F3" s="24" t="inlineStr">
        <is>
          <t>编号</t>
        </is>
      </c>
      <c r="G3" s="24" t="n"/>
      <c r="H3" s="24" t="n"/>
      <c r="I3" s="24" t="inlineStr"/>
      <c r="J3" s="24" t="inlineStr">
        <is>
          <t>2023/01/12</t>
        </is>
      </c>
    </row>
    <row r="4">
      <c r="B4" s="24" t="inlineStr">
        <is>
          <t>flow_phasetype</t>
        </is>
      </c>
      <c r="C4" s="24" t="inlineStr">
        <is>
          <t>PHASETYPENAME</t>
        </is>
      </c>
      <c r="D4" s="24" t="inlineStr">
        <is>
          <t>varchar(500)</t>
        </is>
      </c>
      <c r="E4" s="24" t="inlineStr">
        <is>
          <t>YES</t>
        </is>
      </c>
      <c r="F4" s="24" t="inlineStr">
        <is>
          <t>名称</t>
        </is>
      </c>
      <c r="G4" s="24" t="n"/>
      <c r="H4" s="24" t="n"/>
      <c r="I4" s="24" t="inlineStr"/>
      <c r="J4" s="24" t="inlineStr">
        <is>
          <t>2023/01/12</t>
        </is>
      </c>
    </row>
    <row r="5">
      <c r="B5" s="24" t="inlineStr">
        <is>
          <t>flow_phasetype</t>
        </is>
      </c>
      <c r="C5" s="24" t="inlineStr">
        <is>
          <t>PHASETYPEDESC</t>
        </is>
      </c>
      <c r="D5" s="24" t="inlineStr">
        <is>
          <t>varchar(2000)</t>
        </is>
      </c>
      <c r="E5" s="24" t="inlineStr">
        <is>
          <t>YES</t>
        </is>
      </c>
      <c r="F5" s="24" t="inlineStr">
        <is>
          <t>备注</t>
        </is>
      </c>
      <c r="G5" s="24" t="n"/>
      <c r="H5" s="24" t="n"/>
      <c r="I5" s="24" t="inlineStr"/>
      <c r="J5" s="24" t="inlineStr">
        <is>
          <t>2023/01/12</t>
        </is>
      </c>
    </row>
    <row r="6">
      <c r="B6" s="24" t="inlineStr">
        <is>
          <t>flow_phasetype</t>
        </is>
      </c>
      <c r="C6" s="24" t="inlineStr">
        <is>
          <t>CREATEUSERID</t>
        </is>
      </c>
      <c r="D6" s="24" t="inlineStr">
        <is>
          <t>varchar(80)</t>
        </is>
      </c>
      <c r="E6" s="24" t="inlineStr">
        <is>
          <t>YES</t>
        </is>
      </c>
      <c r="F6" s="24" t="inlineStr">
        <is>
          <t>创建人</t>
        </is>
      </c>
      <c r="G6" s="24" t="n"/>
      <c r="H6" s="24" t="n"/>
      <c r="I6" s="24" t="inlineStr"/>
      <c r="J6" s="24" t="inlineStr">
        <is>
          <t>2023/01/12</t>
        </is>
      </c>
    </row>
    <row r="7">
      <c r="B7" s="24" t="inlineStr">
        <is>
          <t>flow_phasetype</t>
        </is>
      </c>
      <c r="C7" s="24" t="inlineStr">
        <is>
          <t>CREATETIME</t>
        </is>
      </c>
      <c r="D7" s="24" t="inlineStr">
        <is>
          <t>datetime</t>
        </is>
      </c>
      <c r="E7" s="24" t="inlineStr">
        <is>
          <t>YES</t>
        </is>
      </c>
      <c r="F7" s="24" t="inlineStr">
        <is>
          <t>创建时间</t>
        </is>
      </c>
      <c r="G7" s="24" t="n"/>
      <c r="H7" s="24" t="n"/>
      <c r="I7" s="24" t="inlineStr"/>
      <c r="J7" s="24" t="inlineStr">
        <is>
          <t>2023/01/12</t>
        </is>
      </c>
    </row>
    <row r="8">
      <c r="B8" s="24" t="inlineStr">
        <is>
          <t>flow_phasetype</t>
        </is>
      </c>
      <c r="C8" s="24" t="inlineStr">
        <is>
          <t>UPDATEUSERID</t>
        </is>
      </c>
      <c r="D8" s="24" t="inlineStr">
        <is>
          <t>varchar(80)</t>
        </is>
      </c>
      <c r="E8" s="24" t="inlineStr">
        <is>
          <t>YES</t>
        </is>
      </c>
      <c r="F8" s="24" t="inlineStr">
        <is>
          <t>更新人</t>
        </is>
      </c>
      <c r="G8" s="24" t="n"/>
      <c r="H8" s="24" t="n"/>
      <c r="I8" s="24" t="inlineStr"/>
      <c r="J8" s="24" t="inlineStr">
        <is>
          <t>2023/01/12</t>
        </is>
      </c>
    </row>
    <row r="9">
      <c r="B9" s="24" t="inlineStr">
        <is>
          <t>flow_phasetype</t>
        </is>
      </c>
      <c r="C9" s="24" t="inlineStr">
        <is>
          <t>UPDATETIME</t>
        </is>
      </c>
      <c r="D9" s="24" t="inlineStr">
        <is>
          <t>datetime</t>
        </is>
      </c>
      <c r="E9" s="24" t="inlineStr">
        <is>
          <t>YES</t>
        </is>
      </c>
      <c r="F9" s="24" t="inlineStr">
        <is>
          <t>更新时间</t>
        </is>
      </c>
      <c r="G9" s="24" t="n"/>
      <c r="H9" s="24" t="n"/>
      <c r="I9" s="24" t="inlineStr"/>
      <c r="J9" s="24" t="inlineStr">
        <is>
          <t>2023/01/12</t>
        </is>
      </c>
    </row>
  </sheetData>
  <pageMargins left="0.75" right="0.75" top="1" bottom="1" header="0.5" footer="0.5"/>
  <pageSetup orientation="portrait" paperSize="1" horizontalDpi="300" verticalDpi="300"/>
</worksheet>
</file>

<file path=xl/worksheets/sheet139.xml><?xml version="1.0" encoding="utf-8"?>
<worksheet xmlns="http://schemas.openxmlformats.org/spreadsheetml/2006/main">
  <sheetPr>
    <outlinePr summaryBelow="1" summaryRight="1"/>
    <pageSetUpPr/>
  </sheetPr>
  <dimension ref="A1:J13"/>
  <sheetViews>
    <sheetView zoomScaleSheetLayoutView="60" workbookViewId="0">
      <selection activeCell="F3" sqref="F3:F13"/>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流程节点的属性</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flow_props</t>
        </is>
      </c>
      <c r="C3" s="24" t="inlineStr">
        <is>
          <t>PROPERTYID</t>
        </is>
      </c>
      <c r="D3" s="24" t="inlineStr">
        <is>
          <t>varchar(80)</t>
        </is>
      </c>
      <c r="E3" s="24" t="inlineStr">
        <is>
          <t>NO</t>
        </is>
      </c>
      <c r="F3" s="24" t="inlineStr">
        <is>
          <t>编号</t>
        </is>
      </c>
      <c r="G3" s="24" t="n"/>
      <c r="H3" s="24" t="n"/>
      <c r="I3" s="24" t="inlineStr"/>
      <c r="J3" s="24" t="inlineStr">
        <is>
          <t>2023/01/12</t>
        </is>
      </c>
    </row>
    <row r="4">
      <c r="B4" s="24" t="inlineStr">
        <is>
          <t>flow_props</t>
        </is>
      </c>
      <c r="C4" s="24" t="inlineStr">
        <is>
          <t>PROPERTYNAME</t>
        </is>
      </c>
      <c r="D4" s="24" t="inlineStr">
        <is>
          <t>varchar(500)</t>
        </is>
      </c>
      <c r="E4" s="24" t="inlineStr">
        <is>
          <t>YES</t>
        </is>
      </c>
      <c r="F4" s="24" t="inlineStr">
        <is>
          <t>名称</t>
        </is>
      </c>
      <c r="G4" s="24" t="n"/>
      <c r="H4" s="24" t="n"/>
      <c r="I4" s="24" t="inlineStr"/>
      <c r="J4" s="24" t="inlineStr">
        <is>
          <t>2023/01/12</t>
        </is>
      </c>
    </row>
    <row r="5">
      <c r="B5" s="24" t="inlineStr">
        <is>
          <t>flow_props</t>
        </is>
      </c>
      <c r="C5" s="24" t="inlineStr">
        <is>
          <t>PROPERTYDESC</t>
        </is>
      </c>
      <c r="D5" s="24" t="inlineStr">
        <is>
          <t>varchar(2000)</t>
        </is>
      </c>
      <c r="E5" s="24" t="inlineStr">
        <is>
          <t>YES</t>
        </is>
      </c>
      <c r="F5" s="24" t="inlineStr">
        <is>
          <t>描述</t>
        </is>
      </c>
      <c r="G5" s="24" t="n"/>
      <c r="H5" s="24" t="n"/>
      <c r="I5" s="24" t="inlineStr"/>
      <c r="J5" s="24" t="inlineStr">
        <is>
          <t>2023/01/12</t>
        </is>
      </c>
    </row>
    <row r="6">
      <c r="B6" s="24" t="inlineStr">
        <is>
          <t>flow_props</t>
        </is>
      </c>
      <c r="C6" s="24" t="inlineStr">
        <is>
          <t>ISBASIC</t>
        </is>
      </c>
      <c r="D6" s="24" t="inlineStr">
        <is>
          <t>varchar(80)</t>
        </is>
      </c>
      <c r="E6" s="24" t="inlineStr">
        <is>
          <t>YES</t>
        </is>
      </c>
      <c r="F6" s="24" t="inlineStr">
        <is>
          <t>是否基本配置</t>
        </is>
      </c>
      <c r="G6" s="24" t="n"/>
      <c r="H6" s="24" t="n"/>
      <c r="I6" s="24" t="inlineStr"/>
      <c r="J6" s="24" t="inlineStr">
        <is>
          <t>2023/01/12</t>
        </is>
      </c>
    </row>
    <row r="7">
      <c r="B7" s="24" t="inlineStr">
        <is>
          <t>flow_props</t>
        </is>
      </c>
      <c r="C7" s="24" t="inlineStr">
        <is>
          <t>VUECOMP</t>
        </is>
      </c>
      <c r="D7" s="24" t="inlineStr">
        <is>
          <t>varchar(500)</t>
        </is>
      </c>
      <c r="E7" s="24" t="inlineStr">
        <is>
          <t>YES</t>
        </is>
      </c>
      <c r="F7" s="24" t="inlineStr">
        <is>
          <t>Vue组件</t>
        </is>
      </c>
      <c r="G7" s="24" t="n"/>
      <c r="H7" s="24" t="n"/>
      <c r="I7" s="24" t="inlineStr"/>
      <c r="J7" s="24" t="inlineStr">
        <is>
          <t>2023/01/12</t>
        </is>
      </c>
    </row>
    <row r="8">
      <c r="B8" s="24" t="inlineStr">
        <is>
          <t>flow_props</t>
        </is>
      </c>
      <c r="C8" s="24" t="inlineStr">
        <is>
          <t>CREATETIME</t>
        </is>
      </c>
      <c r="D8" s="24" t="inlineStr">
        <is>
          <t>datetime</t>
        </is>
      </c>
      <c r="E8" s="24" t="inlineStr">
        <is>
          <t>YES</t>
        </is>
      </c>
      <c r="F8" s="24" t="inlineStr">
        <is>
          <t>创建时间</t>
        </is>
      </c>
      <c r="G8" s="24" t="n"/>
      <c r="H8" s="24" t="n"/>
      <c r="I8" s="24" t="inlineStr"/>
      <c r="J8" s="24" t="inlineStr">
        <is>
          <t>2023/01/12</t>
        </is>
      </c>
    </row>
    <row r="9">
      <c r="B9" s="24" t="inlineStr">
        <is>
          <t>flow_props</t>
        </is>
      </c>
      <c r="C9" s="24" t="inlineStr">
        <is>
          <t>CREATEUSERID</t>
        </is>
      </c>
      <c r="D9" s="24" t="inlineStr">
        <is>
          <t>varchar(80)</t>
        </is>
      </c>
      <c r="E9" s="24" t="inlineStr">
        <is>
          <t>YES</t>
        </is>
      </c>
      <c r="F9" s="24" t="inlineStr">
        <is>
          <t>创建人</t>
        </is>
      </c>
      <c r="G9" s="24" t="n"/>
      <c r="H9" s="24" t="n"/>
      <c r="I9" s="24" t="inlineStr"/>
      <c r="J9" s="24" t="inlineStr">
        <is>
          <t>2023/01/12</t>
        </is>
      </c>
    </row>
    <row r="10">
      <c r="B10" s="24" t="inlineStr">
        <is>
          <t>flow_props</t>
        </is>
      </c>
      <c r="C10" s="24" t="inlineStr">
        <is>
          <t>UPDATETIME</t>
        </is>
      </c>
      <c r="D10" s="24" t="inlineStr">
        <is>
          <t>datetime</t>
        </is>
      </c>
      <c r="E10" s="24" t="inlineStr">
        <is>
          <t>YES</t>
        </is>
      </c>
      <c r="F10" s="24" t="inlineStr">
        <is>
          <t>更新时间</t>
        </is>
      </c>
      <c r="G10" s="24" t="n"/>
      <c r="H10" s="24" t="n"/>
      <c r="I10" s="24" t="inlineStr"/>
      <c r="J10" s="24" t="inlineStr">
        <is>
          <t>2023/01/12</t>
        </is>
      </c>
    </row>
    <row r="11">
      <c r="B11" s="24" t="inlineStr">
        <is>
          <t>flow_props</t>
        </is>
      </c>
      <c r="C11" s="24" t="inlineStr">
        <is>
          <t>UPDATEUSERID</t>
        </is>
      </c>
      <c r="D11" s="24" t="inlineStr">
        <is>
          <t>varchar(80)</t>
        </is>
      </c>
      <c r="E11" s="24" t="inlineStr">
        <is>
          <t>YES</t>
        </is>
      </c>
      <c r="F11" s="24" t="inlineStr">
        <is>
          <t>更新人</t>
        </is>
      </c>
      <c r="G11" s="24" t="n"/>
      <c r="H11" s="24" t="n"/>
      <c r="I11" s="24" t="inlineStr"/>
      <c r="J11" s="24" t="inlineStr">
        <is>
          <t>2023/01/12</t>
        </is>
      </c>
    </row>
    <row r="12">
      <c r="B12" s="24" t="inlineStr">
        <is>
          <t>flow_props</t>
        </is>
      </c>
      <c r="C12" s="24" t="inlineStr">
        <is>
          <t>EXTENDATTRIBUTE</t>
        </is>
      </c>
      <c r="D12" s="24" t="inlineStr">
        <is>
          <t>varchar(2000)</t>
        </is>
      </c>
      <c r="E12" s="24" t="inlineStr">
        <is>
          <t>YES</t>
        </is>
      </c>
      <c r="F12" s="24" t="inlineStr">
        <is>
          <t>扩展属性</t>
        </is>
      </c>
      <c r="G12" s="24" t="n"/>
      <c r="H12" s="24" t="n"/>
      <c r="I12" s="24" t="inlineStr"/>
      <c r="J12" s="24" t="inlineStr">
        <is>
          <t>2023/01/12</t>
        </is>
      </c>
    </row>
    <row r="13">
      <c r="B13" s="24" t="inlineStr">
        <is>
          <t>flow_props</t>
        </is>
      </c>
      <c r="C13" s="24" t="inlineStr">
        <is>
          <t>SORTNO</t>
        </is>
      </c>
      <c r="D13" s="24" t="inlineStr">
        <is>
          <t>int</t>
        </is>
      </c>
      <c r="E13" s="24" t="inlineStr">
        <is>
          <t>YES</t>
        </is>
      </c>
      <c r="F13" s="24" t="inlineStr">
        <is>
          <t>排序</t>
        </is>
      </c>
      <c r="G13" s="24" t="n"/>
      <c r="H13" s="24" t="n"/>
      <c r="I13" s="24" t="inlineStr"/>
      <c r="J13" s="24" t="inlineStr">
        <is>
          <t>2023/01/12</t>
        </is>
      </c>
    </row>
  </sheetData>
  <pageMargins left="0.75" right="0.75" top="1" bottom="1" header="0.5" footer="0.5"/>
  <pageSetup orientation="portrait" paperSize="1" horizontalDpi="300" verticalDpi="300"/>
</worksheet>
</file>

<file path=xl/worksheets/sheet140.xml><?xml version="1.0" encoding="utf-8"?>
<worksheet xmlns="http://schemas.openxmlformats.org/spreadsheetml/2006/main">
  <sheetPr>
    <outlinePr summaryBelow="1" summaryRight="1"/>
    <pageSetUpPr/>
  </sheetPr>
  <dimension ref="A1:J16"/>
  <sheetViews>
    <sheetView zoomScaleSheetLayoutView="60" workbookViewId="0">
      <selection activeCell="F3" sqref="F3:F16"/>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流程模型表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flow_ru_model</t>
        </is>
      </c>
      <c r="C3" s="24" t="inlineStr">
        <is>
          <t>MODELID</t>
        </is>
      </c>
      <c r="D3" s="24" t="inlineStr">
        <is>
          <t>varchar(80)</t>
        </is>
      </c>
      <c r="E3" s="24" t="inlineStr">
        <is>
          <t>NO</t>
        </is>
      </c>
      <c r="F3" s="24" t="inlineStr">
        <is>
          <t>模型编号</t>
        </is>
      </c>
      <c r="G3" s="24" t="n"/>
      <c r="H3" s="24" t="n"/>
      <c r="I3" s="24" t="inlineStr"/>
      <c r="J3" s="24" t="inlineStr">
        <is>
          <t>2023/01/12</t>
        </is>
      </c>
    </row>
    <row r="4">
      <c r="B4" s="24" t="inlineStr">
        <is>
          <t>flow_ru_model</t>
        </is>
      </c>
      <c r="C4" s="24" t="inlineStr">
        <is>
          <t>MODELNAME</t>
        </is>
      </c>
      <c r="D4" s="24" t="inlineStr">
        <is>
          <t>varchar(500)</t>
        </is>
      </c>
      <c r="E4" s="24" t="inlineStr">
        <is>
          <t>YES</t>
        </is>
      </c>
      <c r="F4" s="24" t="inlineStr">
        <is>
          <t>模型中文名称</t>
        </is>
      </c>
      <c r="G4" s="24" t="n"/>
      <c r="H4" s="24" t="n"/>
      <c r="I4" s="24" t="inlineStr"/>
      <c r="J4" s="24" t="inlineStr">
        <is>
          <t>2023/01/12</t>
        </is>
      </c>
    </row>
    <row r="5">
      <c r="B5" s="24" t="inlineStr">
        <is>
          <t>flow_ru_model</t>
        </is>
      </c>
      <c r="C5" s="24" t="inlineStr">
        <is>
          <t>MODELLABLE</t>
        </is>
      </c>
      <c r="D5" s="24" t="inlineStr">
        <is>
          <t>varchar(500)</t>
        </is>
      </c>
      <c r="E5" s="24" t="inlineStr">
        <is>
          <t>YES</t>
        </is>
      </c>
      <c r="F5" s="24" t="inlineStr">
        <is>
          <t>模型英文名称</t>
        </is>
      </c>
      <c r="G5" s="24" t="n"/>
      <c r="H5" s="24" t="n"/>
      <c r="I5" s="24" t="inlineStr"/>
      <c r="J5" s="24" t="inlineStr">
        <is>
          <t>2023/01/12</t>
        </is>
      </c>
    </row>
    <row r="6">
      <c r="B6" s="24" t="inlineStr">
        <is>
          <t>flow_ru_model</t>
        </is>
      </c>
      <c r="C6" s="24" t="inlineStr">
        <is>
          <t>MODELDESC</t>
        </is>
      </c>
      <c r="D6" s="24" t="inlineStr">
        <is>
          <t>varchar(2000)</t>
        </is>
      </c>
      <c r="E6" s="24" t="inlineStr">
        <is>
          <t>YES</t>
        </is>
      </c>
      <c r="F6" s="24" t="inlineStr">
        <is>
          <t>模型说明</t>
        </is>
      </c>
      <c r="G6" s="24" t="n"/>
      <c r="H6" s="24" t="n"/>
      <c r="I6" s="24" t="inlineStr"/>
      <c r="J6" s="24" t="inlineStr">
        <is>
          <t>2023/01/12</t>
        </is>
      </c>
    </row>
    <row r="7">
      <c r="B7" s="24" t="inlineStr">
        <is>
          <t>flow_ru_model</t>
        </is>
      </c>
      <c r="C7" s="24" t="inlineStr">
        <is>
          <t>GROUPID</t>
        </is>
      </c>
      <c r="D7" s="24" t="inlineStr">
        <is>
          <t>varchar(80)</t>
        </is>
      </c>
      <c r="E7" s="24" t="inlineStr">
        <is>
          <t>YES</t>
        </is>
      </c>
      <c r="F7" s="24" t="inlineStr">
        <is>
          <t>模型分组</t>
        </is>
      </c>
      <c r="G7" s="24" t="n"/>
      <c r="H7" s="24" t="n"/>
      <c r="I7" s="24" t="inlineStr"/>
      <c r="J7" s="24" t="inlineStr">
        <is>
          <t>2023/01/12</t>
        </is>
      </c>
    </row>
    <row r="8">
      <c r="B8" s="24" t="inlineStr">
        <is>
          <t>flow_ru_model</t>
        </is>
      </c>
      <c r="C8" s="24" t="inlineStr">
        <is>
          <t>MODELCONTENT</t>
        </is>
      </c>
      <c r="D8" s="24" t="inlineStr">
        <is>
          <t>longtext</t>
        </is>
      </c>
      <c r="E8" s="24" t="inlineStr">
        <is>
          <t>YES</t>
        </is>
      </c>
      <c r="F8" s="24" t="inlineStr">
        <is>
          <t>流程模型json内容</t>
        </is>
      </c>
      <c r="G8" s="24" t="n"/>
      <c r="H8" s="24" t="n"/>
      <c r="I8" s="24" t="inlineStr"/>
      <c r="J8" s="24" t="inlineStr">
        <is>
          <t>2023/01/12</t>
        </is>
      </c>
    </row>
    <row r="9">
      <c r="B9" s="24" t="inlineStr">
        <is>
          <t>flow_ru_model</t>
        </is>
      </c>
      <c r="C9" s="24" t="inlineStr">
        <is>
          <t>XMLCONTENT</t>
        </is>
      </c>
      <c r="D9" s="24" t="inlineStr">
        <is>
          <t>longtext</t>
        </is>
      </c>
      <c r="E9" s="24" t="inlineStr">
        <is>
          <t>YES</t>
        </is>
      </c>
      <c r="F9" s="24" t="inlineStr">
        <is>
          <t>流程的xml内容</t>
        </is>
      </c>
      <c r="G9" s="24" t="n"/>
      <c r="H9" s="24" t="n"/>
      <c r="I9" s="24" t="inlineStr"/>
      <c r="J9" s="24" t="inlineStr">
        <is>
          <t>2023/01/12</t>
        </is>
      </c>
    </row>
    <row r="10">
      <c r="B10" s="24" t="inlineStr">
        <is>
          <t>flow_ru_model</t>
        </is>
      </c>
      <c r="C10" s="24" t="inlineStr">
        <is>
          <t>CREATETIME</t>
        </is>
      </c>
      <c r="D10" s="24" t="inlineStr">
        <is>
          <t>datetime</t>
        </is>
      </c>
      <c r="E10" s="24" t="inlineStr">
        <is>
          <t>YES</t>
        </is>
      </c>
      <c r="F10" s="24" t="inlineStr">
        <is>
          <t>创建时间</t>
        </is>
      </c>
      <c r="G10" s="24" t="n"/>
      <c r="H10" s="24" t="n"/>
      <c r="I10" s="24" t="inlineStr"/>
      <c r="J10" s="24" t="inlineStr">
        <is>
          <t>2023/01/12</t>
        </is>
      </c>
    </row>
    <row r="11">
      <c r="B11" s="24" t="inlineStr">
        <is>
          <t>flow_ru_model</t>
        </is>
      </c>
      <c r="C11" s="24" t="inlineStr">
        <is>
          <t>CREATEUSERID</t>
        </is>
      </c>
      <c r="D11" s="24" t="inlineStr">
        <is>
          <t>varchar(80)</t>
        </is>
      </c>
      <c r="E11" s="24" t="inlineStr">
        <is>
          <t>YES</t>
        </is>
      </c>
      <c r="F11" s="24" t="inlineStr">
        <is>
          <t>创建人</t>
        </is>
      </c>
      <c r="G11" s="24" t="n"/>
      <c r="H11" s="24" t="n"/>
      <c r="I11" s="24" t="inlineStr"/>
      <c r="J11" s="24" t="inlineStr">
        <is>
          <t>2023/01/12</t>
        </is>
      </c>
    </row>
    <row r="12">
      <c r="B12" s="24" t="inlineStr">
        <is>
          <t>flow_ru_model</t>
        </is>
      </c>
      <c r="C12" s="24" t="inlineStr">
        <is>
          <t>UPDATETIME</t>
        </is>
      </c>
      <c r="D12" s="24" t="inlineStr">
        <is>
          <t>datetime</t>
        </is>
      </c>
      <c r="E12" s="24" t="inlineStr">
        <is>
          <t>YES</t>
        </is>
      </c>
      <c r="F12" s="24" t="inlineStr">
        <is>
          <t>更新时间</t>
        </is>
      </c>
      <c r="G12" s="24" t="n"/>
      <c r="H12" s="24" t="n"/>
      <c r="I12" s="24" t="inlineStr"/>
      <c r="J12" s="24" t="inlineStr">
        <is>
          <t>2023/01/12</t>
        </is>
      </c>
    </row>
    <row r="13">
      <c r="B13" s="109" t="inlineStr">
        <is>
          <t>flow_ru_model</t>
        </is>
      </c>
      <c r="C13" s="109" t="inlineStr">
        <is>
          <t>UPDATEUSERID</t>
        </is>
      </c>
      <c r="D13" s="109" t="inlineStr">
        <is>
          <t>varchar(80)</t>
        </is>
      </c>
      <c r="E13" s="109" t="inlineStr">
        <is>
          <t>YES</t>
        </is>
      </c>
      <c r="F13" s="109" t="inlineStr">
        <is>
          <t>更新人</t>
        </is>
      </c>
      <c r="G13" s="109" t="n"/>
      <c r="H13" s="109" t="n"/>
      <c r="I13" s="109" t="inlineStr"/>
      <c r="J13" s="109" t="inlineStr">
        <is>
          <t>2023/01/12</t>
        </is>
      </c>
    </row>
    <row r="14">
      <c r="B14" s="41" t="inlineStr">
        <is>
          <t>flow_ru_model</t>
        </is>
      </c>
      <c r="C14" s="21" t="inlineStr">
        <is>
          <t>CORPORG</t>
        </is>
      </c>
      <c r="D14" s="21" t="inlineStr">
        <is>
          <t>varchar(80)</t>
        </is>
      </c>
      <c r="E14" s="41" t="inlineStr">
        <is>
          <t>YES</t>
        </is>
      </c>
      <c r="F14" s="21" t="inlineStr">
        <is>
          <t>法人机构</t>
        </is>
      </c>
      <c r="G14" s="21" t="n"/>
      <c r="H14" s="21" t="n"/>
      <c r="I14" s="21" t="n"/>
      <c r="J14" s="109" t="inlineStr">
        <is>
          <t>2023/01/12</t>
        </is>
      </c>
    </row>
    <row r="15">
      <c r="B15" s="41" t="inlineStr">
        <is>
          <t>flow_ru_model</t>
        </is>
      </c>
      <c r="C15" s="21" t="inlineStr">
        <is>
          <t>CREATEORGID</t>
        </is>
      </c>
      <c r="D15" s="21" t="inlineStr">
        <is>
          <t>varchar(80)</t>
        </is>
      </c>
      <c r="E15" s="41" t="inlineStr">
        <is>
          <t>YES</t>
        </is>
      </c>
      <c r="F15" s="21" t="inlineStr">
        <is>
          <t>创建机构</t>
        </is>
      </c>
      <c r="G15" s="21" t="n"/>
      <c r="H15" s="21" t="n"/>
      <c r="I15" s="21" t="n"/>
      <c r="J15" s="109" t="inlineStr">
        <is>
          <t>2023/01/12</t>
        </is>
      </c>
    </row>
    <row r="16">
      <c r="B16" s="41" t="inlineStr">
        <is>
          <t>flow_ru_model</t>
        </is>
      </c>
      <c r="C16" s="21" t="inlineStr">
        <is>
          <t>UPDATEORGID</t>
        </is>
      </c>
      <c r="D16" s="21" t="inlineStr">
        <is>
          <t>varchar(80)</t>
        </is>
      </c>
      <c r="E16" s="41" t="inlineStr">
        <is>
          <t>YES</t>
        </is>
      </c>
      <c r="F16" s="21" t="inlineStr">
        <is>
          <t>更新机构</t>
        </is>
      </c>
      <c r="G16" s="21" t="n"/>
      <c r="H16" s="21" t="n"/>
      <c r="I16" s="21" t="n"/>
      <c r="J16" s="109" t="inlineStr">
        <is>
          <t>2023/01/12</t>
        </is>
      </c>
    </row>
  </sheetData>
  <pageMargins left="0.75" right="0.75" top="1" bottom="1" header="0.5" footer="0.5"/>
  <pageSetup orientation="portrait" paperSize="1" horizontalDpi="300" verticalDpi="300"/>
</worksheet>
</file>

<file path=xl/worksheets/sheet141.xml><?xml version="1.0" encoding="utf-8"?>
<worksheet xmlns="http://schemas.openxmlformats.org/spreadsheetml/2006/main">
  <sheetPr>
    <outlinePr summaryBelow="1" summaryRight="1"/>
    <pageSetUpPr/>
  </sheetPr>
  <dimension ref="A1:J12"/>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流程泳道</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flow_swimlane</t>
        </is>
      </c>
      <c r="C3" s="24" t="inlineStr">
        <is>
          <t>LANENO</t>
        </is>
      </c>
      <c r="D3" s="24" t="inlineStr">
        <is>
          <t>varchar(32)</t>
        </is>
      </c>
      <c r="E3" s="24" t="inlineStr">
        <is>
          <t>NO</t>
        </is>
      </c>
      <c r="F3" s="24" t="inlineStr">
        <is>
          <t>编号</t>
        </is>
      </c>
      <c r="G3" s="24" t="n"/>
      <c r="H3" s="24" t="n"/>
      <c r="I3" s="24" t="inlineStr"/>
      <c r="J3" s="24" t="inlineStr">
        <is>
          <t>2023/01/12</t>
        </is>
      </c>
    </row>
    <row r="4">
      <c r="B4" s="24" t="inlineStr">
        <is>
          <t>flow_swimlane</t>
        </is>
      </c>
      <c r="C4" s="24" t="inlineStr">
        <is>
          <t>LANENAME</t>
        </is>
      </c>
      <c r="D4" s="24" t="inlineStr">
        <is>
          <t>varchar(80)</t>
        </is>
      </c>
      <c r="E4" s="24" t="inlineStr">
        <is>
          <t>YES</t>
        </is>
      </c>
      <c r="F4" s="24" t="inlineStr">
        <is>
          <t>名称</t>
        </is>
      </c>
      <c r="G4" s="24" t="n"/>
      <c r="H4" s="24" t="n"/>
      <c r="I4" s="24" t="inlineStr"/>
      <c r="J4" s="24" t="inlineStr">
        <is>
          <t>2023/01/12</t>
        </is>
      </c>
    </row>
    <row r="5">
      <c r="B5" s="24" t="inlineStr">
        <is>
          <t>flow_swimlane</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flow_swimlane</t>
        </is>
      </c>
      <c r="C6" s="24" t="inlineStr">
        <is>
          <t>LANECONSTRAINT</t>
        </is>
      </c>
      <c r="D6" s="24" t="inlineStr">
        <is>
          <t>varchar(80)</t>
        </is>
      </c>
      <c r="E6" s="24" t="inlineStr">
        <is>
          <t>YES</t>
        </is>
      </c>
      <c r="F6" s="24" t="inlineStr">
        <is>
          <t>坐标</t>
        </is>
      </c>
      <c r="G6" s="24" t="n"/>
      <c r="H6" s="24" t="n"/>
      <c r="I6" s="24" t="inlineStr"/>
      <c r="J6" s="24" t="inlineStr">
        <is>
          <t>2023/01/12</t>
        </is>
      </c>
    </row>
    <row r="7">
      <c r="B7" s="24" t="inlineStr">
        <is>
          <t>flow_swimlane</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flow_swimlane</t>
        </is>
      </c>
      <c r="C8" s="24" t="inlineStr">
        <is>
          <t>INPUTUSERID</t>
        </is>
      </c>
      <c r="D8" s="24" t="inlineStr">
        <is>
          <t>varchar(32)</t>
        </is>
      </c>
      <c r="E8" s="24" t="inlineStr">
        <is>
          <t>YES</t>
        </is>
      </c>
      <c r="F8" s="24" t="inlineStr">
        <is>
          <t>登记人</t>
        </is>
      </c>
      <c r="G8" s="24" t="n"/>
      <c r="H8" s="24" t="n"/>
      <c r="I8" s="24" t="inlineStr"/>
      <c r="J8" s="24" t="inlineStr">
        <is>
          <t>2023/01/12</t>
        </is>
      </c>
    </row>
    <row r="9">
      <c r="B9" s="24" t="inlineStr">
        <is>
          <t>flow_swimlane</t>
        </is>
      </c>
      <c r="C9" s="24" t="inlineStr">
        <is>
          <t>INPUTDATE</t>
        </is>
      </c>
      <c r="D9" s="24" t="inlineStr">
        <is>
          <t>datetime</t>
        </is>
      </c>
      <c r="E9" s="24" t="inlineStr">
        <is>
          <t>YES</t>
        </is>
      </c>
      <c r="F9" s="24" t="inlineStr">
        <is>
          <t>登记日期</t>
        </is>
      </c>
      <c r="G9" s="24" t="n"/>
      <c r="H9" s="24" t="n"/>
      <c r="I9" s="24" t="inlineStr"/>
      <c r="J9" s="24" t="inlineStr">
        <is>
          <t>2023/01/12</t>
        </is>
      </c>
    </row>
    <row r="10">
      <c r="B10" s="24" t="inlineStr">
        <is>
          <t>flow_swimlane</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flow_swimlane</t>
        </is>
      </c>
      <c r="C11" s="24" t="inlineStr">
        <is>
          <t>UPDATEUSERID</t>
        </is>
      </c>
      <c r="D11" s="24" t="inlineStr">
        <is>
          <t>varchar(32)</t>
        </is>
      </c>
      <c r="E11" s="24" t="inlineStr">
        <is>
          <t>YES</t>
        </is>
      </c>
      <c r="F11" s="24" t="inlineStr">
        <is>
          <t>更新人</t>
        </is>
      </c>
      <c r="G11" s="24" t="n"/>
      <c r="H11" s="24" t="n"/>
      <c r="I11" s="24" t="inlineStr"/>
      <c r="J11" s="24" t="inlineStr">
        <is>
          <t>2023/01/12</t>
        </is>
      </c>
    </row>
    <row r="12">
      <c r="B12" s="24" t="inlineStr">
        <is>
          <t>flow_swimlane</t>
        </is>
      </c>
      <c r="C12" s="24" t="inlineStr">
        <is>
          <t>UPDATEDATE</t>
        </is>
      </c>
      <c r="D12" s="24" t="inlineStr">
        <is>
          <t>datetime</t>
        </is>
      </c>
      <c r="E12" s="24" t="inlineStr">
        <is>
          <t>YES</t>
        </is>
      </c>
      <c r="F12" s="24" t="inlineStr">
        <is>
          <t>更新日期</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142.xml><?xml version="1.0" encoding="utf-8"?>
<worksheet xmlns="http://schemas.openxmlformats.org/spreadsheetml/2006/main">
  <sheetPr>
    <outlinePr summaryBelow="1" summaryRight="1"/>
    <pageSetUpPr/>
  </sheetPr>
  <dimension ref="A1:J50"/>
  <sheetViews>
    <sheetView topLeftCell="A17"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流程节点信息表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flow_task</t>
        </is>
      </c>
      <c r="C3" s="24" t="inlineStr">
        <is>
          <t>SERIALNO</t>
        </is>
      </c>
      <c r="D3" s="24" t="inlineStr">
        <is>
          <t>varchar(32)</t>
        </is>
      </c>
      <c r="E3" s="24" t="inlineStr">
        <is>
          <t>NO</t>
        </is>
      </c>
      <c r="F3" s="24" t="inlineStr">
        <is>
          <t>流程节点编号</t>
        </is>
      </c>
      <c r="G3" s="24" t="n"/>
      <c r="H3" s="24" t="n"/>
      <c r="I3" s="24" t="inlineStr"/>
      <c r="J3" s="24" t="inlineStr">
        <is>
          <t>2023/01/12</t>
        </is>
      </c>
    </row>
    <row r="4">
      <c r="B4" s="24" t="inlineStr">
        <is>
          <t>flow_task</t>
        </is>
      </c>
      <c r="C4" s="24" t="inlineStr">
        <is>
          <t>OBJECTNO</t>
        </is>
      </c>
      <c r="D4" s="24" t="inlineStr">
        <is>
          <t>varchar(32)</t>
        </is>
      </c>
      <c r="E4" s="24" t="inlineStr">
        <is>
          <t>YES</t>
        </is>
      </c>
      <c r="F4" s="24" t="inlineStr">
        <is>
          <t>流程对象编号</t>
        </is>
      </c>
      <c r="G4" s="24" t="n"/>
      <c r="H4" s="24" t="n"/>
      <c r="I4" s="24" t="inlineStr"/>
      <c r="J4" s="24" t="inlineStr">
        <is>
          <t>2023/01/12</t>
        </is>
      </c>
    </row>
    <row r="5">
      <c r="B5" s="24" t="inlineStr">
        <is>
          <t>flow_task</t>
        </is>
      </c>
      <c r="C5" s="24" t="inlineStr">
        <is>
          <t>OBJECTTYPE</t>
        </is>
      </c>
      <c r="D5" s="24" t="inlineStr">
        <is>
          <t>varchar(32)</t>
        </is>
      </c>
      <c r="E5" s="24" t="inlineStr">
        <is>
          <t>YES</t>
        </is>
      </c>
      <c r="F5" s="24" t="inlineStr">
        <is>
          <t>流程对象任务类型</t>
        </is>
      </c>
      <c r="G5" s="24" t="n"/>
      <c r="H5" s="24" t="n"/>
      <c r="I5" s="24" t="inlineStr"/>
      <c r="J5" s="24" t="inlineStr">
        <is>
          <t>2023/01/12</t>
        </is>
      </c>
    </row>
    <row r="6">
      <c r="B6" s="24" t="inlineStr">
        <is>
          <t>flow_task</t>
        </is>
      </c>
      <c r="C6" s="24" t="inlineStr">
        <is>
          <t>RELATIVESERIALNO</t>
        </is>
      </c>
      <c r="D6" s="24" t="inlineStr">
        <is>
          <t>varchar(32)</t>
        </is>
      </c>
      <c r="E6" s="24" t="inlineStr">
        <is>
          <t>YES</t>
        </is>
      </c>
      <c r="F6" s="24" t="inlineStr">
        <is>
          <t>上一流水号字段</t>
        </is>
      </c>
      <c r="G6" s="24" t="n"/>
      <c r="H6" s="24" t="n"/>
      <c r="I6" s="24" t="inlineStr"/>
      <c r="J6" s="24" t="inlineStr">
        <is>
          <t>2023/01/12</t>
        </is>
      </c>
    </row>
    <row r="7">
      <c r="B7" s="24" t="inlineStr">
        <is>
          <t>flow_task</t>
        </is>
      </c>
      <c r="C7" s="24" t="inlineStr">
        <is>
          <t>FLOWNO</t>
        </is>
      </c>
      <c r="D7" s="24" t="inlineStr">
        <is>
          <t>varchar(32)</t>
        </is>
      </c>
      <c r="E7" s="24" t="inlineStr">
        <is>
          <t>YES</t>
        </is>
      </c>
      <c r="F7" s="24" t="inlineStr">
        <is>
          <t>流程模型编号</t>
        </is>
      </c>
      <c r="G7" s="24" t="n"/>
      <c r="H7" s="24" t="n"/>
      <c r="I7" s="24" t="inlineStr"/>
      <c r="J7" s="24" t="inlineStr">
        <is>
          <t>2023/01/12</t>
        </is>
      </c>
    </row>
    <row r="8">
      <c r="B8" s="24" t="inlineStr">
        <is>
          <t>flow_task</t>
        </is>
      </c>
      <c r="C8" s="24" t="inlineStr">
        <is>
          <t>FLOWNAME</t>
        </is>
      </c>
      <c r="D8" s="24" t="inlineStr">
        <is>
          <t>varchar(80)</t>
        </is>
      </c>
      <c r="E8" s="24" t="inlineStr">
        <is>
          <t>YES</t>
        </is>
      </c>
      <c r="F8" s="24" t="inlineStr">
        <is>
          <t>流程模型名称</t>
        </is>
      </c>
      <c r="G8" s="24" t="n"/>
      <c r="H8" s="24" t="n"/>
      <c r="I8" s="24" t="inlineStr"/>
      <c r="J8" s="24" t="inlineStr">
        <is>
          <t>2023/01/12</t>
        </is>
      </c>
    </row>
    <row r="9">
      <c r="B9" s="24" t="inlineStr">
        <is>
          <t>flow_task</t>
        </is>
      </c>
      <c r="C9" s="24" t="inlineStr">
        <is>
          <t>PHASENO</t>
        </is>
      </c>
      <c r="D9" s="24" t="inlineStr">
        <is>
          <t>varchar(32)</t>
        </is>
      </c>
      <c r="E9" s="24" t="inlineStr">
        <is>
          <t>YES</t>
        </is>
      </c>
      <c r="F9" s="24" t="inlineStr">
        <is>
          <t>当前阶段编号</t>
        </is>
      </c>
      <c r="G9" s="24" t="n"/>
      <c r="H9" s="24" t="n"/>
      <c r="I9" s="24" t="inlineStr"/>
      <c r="J9" s="24" t="inlineStr">
        <is>
          <t>2023/01/12</t>
        </is>
      </c>
    </row>
    <row r="10">
      <c r="B10" s="24" t="inlineStr">
        <is>
          <t>flow_task</t>
        </is>
      </c>
      <c r="C10" s="24" t="inlineStr">
        <is>
          <t>PHASENAME</t>
        </is>
      </c>
      <c r="D10" s="24" t="inlineStr">
        <is>
          <t>varchar(80)</t>
        </is>
      </c>
      <c r="E10" s="24" t="inlineStr">
        <is>
          <t>YES</t>
        </is>
      </c>
      <c r="F10" s="24" t="inlineStr">
        <is>
          <t>当前阶段名称</t>
        </is>
      </c>
      <c r="G10" s="24" t="n"/>
      <c r="H10" s="24" t="n"/>
      <c r="I10" s="24" t="inlineStr"/>
      <c r="J10" s="24" t="inlineStr">
        <is>
          <t>2023/01/12</t>
        </is>
      </c>
    </row>
    <row r="11">
      <c r="B11" s="24" t="inlineStr">
        <is>
          <t>flow_task</t>
        </is>
      </c>
      <c r="C11" s="24" t="inlineStr">
        <is>
          <t>PHASETYPE</t>
        </is>
      </c>
      <c r="D11" s="24" t="inlineStr">
        <is>
          <t>varchar(32)</t>
        </is>
      </c>
      <c r="E11" s="24" t="inlineStr">
        <is>
          <t>YES</t>
        </is>
      </c>
      <c r="F11" s="24" t="inlineStr">
        <is>
          <t>当前阶段类型</t>
        </is>
      </c>
      <c r="G11" s="24" t="n"/>
      <c r="H11" s="24" t="n"/>
      <c r="I11" s="24" t="inlineStr"/>
      <c r="J11" s="24" t="inlineStr">
        <is>
          <t>2023/01/12</t>
        </is>
      </c>
    </row>
    <row r="12">
      <c r="B12" s="24" t="inlineStr">
        <is>
          <t>flow_task</t>
        </is>
      </c>
      <c r="C12" s="24" t="inlineStr">
        <is>
          <t>APPLYTYPE</t>
        </is>
      </c>
      <c r="D12" s="24" t="inlineStr">
        <is>
          <t>varchar(32)</t>
        </is>
      </c>
      <c r="E12" s="24" t="inlineStr">
        <is>
          <t>YES</t>
        </is>
      </c>
      <c r="F12" s="24" t="inlineStr">
        <is>
          <t>申请类型</t>
        </is>
      </c>
      <c r="G12" s="52">
        <f>HYPERLINK("#码值映射清单!B5219","ApplyType")</f>
        <v/>
      </c>
      <c r="H12" s="24" t="n"/>
      <c r="I12" s="24" t="inlineStr"/>
      <c r="J12" s="24" t="inlineStr">
        <is>
          <t>2023/01/12</t>
        </is>
      </c>
    </row>
    <row r="13">
      <c r="B13" s="24" t="inlineStr">
        <is>
          <t>flow_task</t>
        </is>
      </c>
      <c r="C13" s="24" t="inlineStr">
        <is>
          <t>USERID</t>
        </is>
      </c>
      <c r="D13" s="24" t="inlineStr">
        <is>
          <t>varchar(32)</t>
        </is>
      </c>
      <c r="E13" s="24" t="inlineStr">
        <is>
          <t>YES</t>
        </is>
      </c>
      <c r="F13" s="24" t="inlineStr">
        <is>
          <t>用户编号</t>
        </is>
      </c>
      <c r="G13" s="24" t="n"/>
      <c r="H13" s="24" t="n"/>
      <c r="I13" s="24" t="inlineStr"/>
      <c r="J13" s="24" t="inlineStr">
        <is>
          <t>2023/01/12</t>
        </is>
      </c>
    </row>
    <row r="14">
      <c r="B14" s="24" t="inlineStr">
        <is>
          <t>flow_task</t>
        </is>
      </c>
      <c r="C14" s="24" t="inlineStr">
        <is>
          <t>USERNAME</t>
        </is>
      </c>
      <c r="D14" s="24" t="inlineStr">
        <is>
          <t>varchar(80)</t>
        </is>
      </c>
      <c r="E14" s="24" t="inlineStr">
        <is>
          <t>YES</t>
        </is>
      </c>
      <c r="F14" s="24" t="inlineStr">
        <is>
          <t>用户名称</t>
        </is>
      </c>
      <c r="G14" s="24" t="n"/>
      <c r="H14" s="24" t="n"/>
      <c r="I14" s="24" t="inlineStr"/>
      <c r="J14" s="24" t="inlineStr">
        <is>
          <t>2023/01/12</t>
        </is>
      </c>
    </row>
    <row r="15">
      <c r="B15" s="24" t="inlineStr">
        <is>
          <t>flow_task</t>
        </is>
      </c>
      <c r="C15" s="24" t="inlineStr">
        <is>
          <t>ORGID</t>
        </is>
      </c>
      <c r="D15" s="24" t="inlineStr">
        <is>
          <t>varchar(32)</t>
        </is>
      </c>
      <c r="E15" s="24" t="inlineStr">
        <is>
          <t>YES</t>
        </is>
      </c>
      <c r="F15" s="24" t="inlineStr">
        <is>
          <t>登记机构</t>
        </is>
      </c>
      <c r="G15" s="24" t="n"/>
      <c r="H15" s="24" t="n"/>
      <c r="I15" s="24" t="inlineStr"/>
      <c r="J15" s="24" t="inlineStr">
        <is>
          <t>2023/01/12</t>
        </is>
      </c>
    </row>
    <row r="16">
      <c r="B16" s="24" t="inlineStr">
        <is>
          <t>flow_task</t>
        </is>
      </c>
      <c r="C16" s="24" t="inlineStr">
        <is>
          <t>ORGNAME</t>
        </is>
      </c>
      <c r="D16" s="24" t="inlineStr">
        <is>
          <t>varchar(80)</t>
        </is>
      </c>
      <c r="E16" s="24" t="inlineStr">
        <is>
          <t>YES</t>
        </is>
      </c>
      <c r="F16" s="24" t="inlineStr">
        <is>
          <t>机构名称</t>
        </is>
      </c>
      <c r="G16" s="24" t="n"/>
      <c r="H16" s="24" t="n"/>
      <c r="I16" s="24" t="inlineStr"/>
      <c r="J16" s="24" t="inlineStr">
        <is>
          <t>2023/01/12</t>
        </is>
      </c>
    </row>
    <row r="17">
      <c r="B17" s="24" t="inlineStr">
        <is>
          <t>flow_task</t>
        </is>
      </c>
      <c r="C17" s="24" t="inlineStr">
        <is>
          <t>BEGINTIME</t>
        </is>
      </c>
      <c r="D17" s="24" t="inlineStr">
        <is>
          <t>datetime</t>
        </is>
      </c>
      <c r="E17" s="24" t="inlineStr">
        <is>
          <t>YES</t>
        </is>
      </c>
      <c r="F17" s="24" t="inlineStr">
        <is>
          <t>开始日期</t>
        </is>
      </c>
      <c r="G17" s="24" t="n"/>
      <c r="H17" s="24" t="n"/>
      <c r="I17" s="24" t="inlineStr"/>
      <c r="J17" s="24" t="inlineStr">
        <is>
          <t>2023/01/12</t>
        </is>
      </c>
    </row>
    <row r="18">
      <c r="B18" s="24" t="inlineStr">
        <is>
          <t>flow_task</t>
        </is>
      </c>
      <c r="C18" s="24" t="inlineStr">
        <is>
          <t>ENDTIME</t>
        </is>
      </c>
      <c r="D18" s="24" t="inlineStr">
        <is>
          <t>datetime</t>
        </is>
      </c>
      <c r="E18" s="24" t="inlineStr">
        <is>
          <t>YES</t>
        </is>
      </c>
      <c r="F18" s="24" t="inlineStr">
        <is>
          <t>结束时间</t>
        </is>
      </c>
      <c r="G18" s="24" t="n"/>
      <c r="H18" s="24" t="n"/>
      <c r="I18" s="24" t="inlineStr"/>
      <c r="J18" s="24" t="inlineStr">
        <is>
          <t>2023/01/12</t>
        </is>
      </c>
    </row>
    <row r="19">
      <c r="B19" s="24" t="inlineStr">
        <is>
          <t>flow_task</t>
        </is>
      </c>
      <c r="C19" s="24" t="inlineStr">
        <is>
          <t>PHASECHOICE</t>
        </is>
      </c>
      <c r="D19" s="24" t="inlineStr">
        <is>
          <t>varchar(500)</t>
        </is>
      </c>
      <c r="E19" s="24" t="inlineStr">
        <is>
          <t>YES</t>
        </is>
      </c>
      <c r="F19" s="24" t="inlineStr">
        <is>
          <t>阶段意见</t>
        </is>
      </c>
      <c r="G19" s="24" t="n"/>
      <c r="H19" s="24" t="n"/>
      <c r="I19" s="24" t="inlineStr"/>
      <c r="J19" s="24" t="inlineStr">
        <is>
          <t>2023/01/12</t>
        </is>
      </c>
    </row>
    <row r="20">
      <c r="B20" s="24" t="inlineStr">
        <is>
          <t>flow_task</t>
        </is>
      </c>
      <c r="C20" s="24" t="inlineStr">
        <is>
          <t>PHASEACTION</t>
        </is>
      </c>
      <c r="D20" s="24" t="inlineStr">
        <is>
          <t>varchar(500)</t>
        </is>
      </c>
      <c r="E20" s="24" t="inlineStr">
        <is>
          <t>YES</t>
        </is>
      </c>
      <c r="F20" s="24" t="inlineStr">
        <is>
          <t>节点操作</t>
        </is>
      </c>
      <c r="G20" s="24" t="n"/>
      <c r="H20" s="24" t="n"/>
      <c r="I20" s="24" t="inlineStr"/>
      <c r="J20" s="24" t="inlineStr">
        <is>
          <t>2023/01/12</t>
        </is>
      </c>
    </row>
    <row r="21">
      <c r="B21" s="24" t="inlineStr">
        <is>
          <t>flow_task</t>
        </is>
      </c>
      <c r="C21" s="24" t="inlineStr">
        <is>
          <t>PHASEOPINION1</t>
        </is>
      </c>
      <c r="D21" s="24" t="inlineStr">
        <is>
          <t>varchar(500)</t>
        </is>
      </c>
      <c r="E21" s="24" t="inlineStr">
        <is>
          <t>YES</t>
        </is>
      </c>
      <c r="F21" s="24" t="inlineStr">
        <is>
          <t>节点意见1</t>
        </is>
      </c>
      <c r="G21" s="24" t="n"/>
      <c r="H21" s="24" t="n"/>
      <c r="I21" s="24" t="inlineStr"/>
      <c r="J21" s="24" t="inlineStr">
        <is>
          <t>2023/01/12</t>
        </is>
      </c>
    </row>
    <row r="22">
      <c r="B22" s="24" t="inlineStr">
        <is>
          <t>flow_task</t>
        </is>
      </c>
      <c r="C22" s="24" t="inlineStr">
        <is>
          <t>PHASEOPINION2</t>
        </is>
      </c>
      <c r="D22" s="24" t="inlineStr">
        <is>
          <t>varchar(500)</t>
        </is>
      </c>
      <c r="E22" s="24" t="inlineStr">
        <is>
          <t>YES</t>
        </is>
      </c>
      <c r="F22" s="24" t="inlineStr">
        <is>
          <t>意见详情2</t>
        </is>
      </c>
      <c r="G22" s="24" t="n"/>
      <c r="H22" s="24" t="n"/>
      <c r="I22" s="24" t="inlineStr"/>
      <c r="J22" s="24" t="inlineStr">
        <is>
          <t>2023/01/12</t>
        </is>
      </c>
    </row>
    <row r="23">
      <c r="B23" s="24" t="inlineStr">
        <is>
          <t>flow_task</t>
        </is>
      </c>
      <c r="C23" s="24" t="inlineStr">
        <is>
          <t>PHASEOPINION3</t>
        </is>
      </c>
      <c r="D23" s="24" t="inlineStr">
        <is>
          <t>varchar(500)</t>
        </is>
      </c>
      <c r="E23" s="24" t="inlineStr">
        <is>
          <t>YES</t>
        </is>
      </c>
      <c r="F23" s="24" t="inlineStr">
        <is>
          <t>意见详情3</t>
        </is>
      </c>
      <c r="G23" s="24" t="n"/>
      <c r="H23" s="24" t="n"/>
      <c r="I23" s="24" t="inlineStr"/>
      <c r="J23" s="24" t="inlineStr">
        <is>
          <t>2023/01/12</t>
        </is>
      </c>
    </row>
    <row r="24">
      <c r="B24" s="24" t="inlineStr">
        <is>
          <t>flow_task</t>
        </is>
      </c>
      <c r="C24" s="24" t="inlineStr">
        <is>
          <t>PHASEOPINION4</t>
        </is>
      </c>
      <c r="D24" s="24" t="inlineStr">
        <is>
          <t>varchar(500)</t>
        </is>
      </c>
      <c r="E24" s="24" t="inlineStr">
        <is>
          <t>YES</t>
        </is>
      </c>
      <c r="F24" s="24" t="inlineStr">
        <is>
          <t>意见详情4</t>
        </is>
      </c>
      <c r="G24" s="24" t="n"/>
      <c r="H24" s="24" t="n"/>
      <c r="I24" s="24" t="inlineStr"/>
      <c r="J24" s="24" t="inlineStr">
        <is>
          <t>2023/01/12</t>
        </is>
      </c>
    </row>
    <row r="25">
      <c r="B25" s="24" t="inlineStr">
        <is>
          <t>flow_task</t>
        </is>
      </c>
      <c r="C25" s="24" t="inlineStr">
        <is>
          <t>CHECKLISTRESULT</t>
        </is>
      </c>
      <c r="D25" s="24" t="inlineStr">
        <is>
          <t>varchar(200)</t>
        </is>
      </c>
      <c r="E25" s="24" t="inlineStr">
        <is>
          <t>YES</t>
        </is>
      </c>
      <c r="F25" s="24" t="inlineStr">
        <is>
          <t>检查清单结果</t>
        </is>
      </c>
      <c r="G25" s="24" t="n"/>
      <c r="H25" s="24" t="n"/>
      <c r="I25" s="24" t="inlineStr"/>
      <c r="J25" s="24" t="inlineStr">
        <is>
          <t>2023/01/12</t>
        </is>
      </c>
    </row>
    <row r="26">
      <c r="B26" s="24" t="inlineStr">
        <is>
          <t>flow_task</t>
        </is>
      </c>
      <c r="C26" s="24" t="inlineStr">
        <is>
          <t>AUTODECISION</t>
        </is>
      </c>
      <c r="D26" s="24" t="inlineStr">
        <is>
          <t>varchar(200)</t>
        </is>
      </c>
      <c r="E26" s="24" t="inlineStr">
        <is>
          <t>YES</t>
        </is>
      </c>
      <c r="F26" s="24" t="inlineStr">
        <is>
          <t>自动审批判断结果</t>
        </is>
      </c>
      <c r="G26" s="24" t="n"/>
      <c r="H26" s="24" t="n"/>
      <c r="I26" s="24" t="inlineStr"/>
      <c r="J26" s="24" t="inlineStr">
        <is>
          <t>2023/01/12</t>
        </is>
      </c>
    </row>
    <row r="27">
      <c r="B27" s="24" t="inlineStr">
        <is>
          <t>flow_task</t>
        </is>
      </c>
      <c r="C27" s="24" t="inlineStr">
        <is>
          <t>RISKSCANRESULT</t>
        </is>
      </c>
      <c r="D27" s="24" t="inlineStr">
        <is>
          <t>varchar(200)</t>
        </is>
      </c>
      <c r="E27" s="24" t="inlineStr">
        <is>
          <t>YES</t>
        </is>
      </c>
      <c r="F27" s="24" t="inlineStr">
        <is>
          <t>风险探测结果</t>
        </is>
      </c>
      <c r="G27" s="24" t="n"/>
      <c r="H27" s="24" t="n"/>
      <c r="I27" s="24" t="inlineStr"/>
      <c r="J27" s="24" t="inlineStr">
        <is>
          <t>2023/01/12</t>
        </is>
      </c>
    </row>
    <row r="28">
      <c r="B28" s="24" t="inlineStr">
        <is>
          <t>flow_task</t>
        </is>
      </c>
      <c r="C28" s="24" t="inlineStr">
        <is>
          <t>STANDARDTIME1</t>
        </is>
      </c>
      <c r="D28" s="24" t="inlineStr">
        <is>
          <t>datetime</t>
        </is>
      </c>
      <c r="E28" s="24" t="inlineStr">
        <is>
          <t>YES</t>
        </is>
      </c>
      <c r="F28" s="24" t="inlineStr">
        <is>
          <t>标准审批用时</t>
        </is>
      </c>
      <c r="G28" s="24" t="n"/>
      <c r="H28" s="24" t="n"/>
      <c r="I28" s="24" t="inlineStr"/>
      <c r="J28" s="24" t="inlineStr">
        <is>
          <t>2023/01/12</t>
        </is>
      </c>
    </row>
    <row r="29">
      <c r="B29" s="24" t="inlineStr">
        <is>
          <t>flow_task</t>
        </is>
      </c>
      <c r="C29" s="24" t="inlineStr">
        <is>
          <t>STANDARDTIME2</t>
        </is>
      </c>
      <c r="D29" s="24" t="inlineStr">
        <is>
          <t>datetime</t>
        </is>
      </c>
      <c r="E29" s="24" t="inlineStr">
        <is>
          <t>YES</t>
        </is>
      </c>
      <c r="F29" s="24" t="inlineStr">
        <is>
          <t>最长审批用时</t>
        </is>
      </c>
      <c r="G29" s="24" t="n"/>
      <c r="H29" s="24" t="n"/>
      <c r="I29" s="24" t="inlineStr"/>
      <c r="J29" s="24" t="inlineStr">
        <is>
          <t>2023/01/12</t>
        </is>
      </c>
    </row>
    <row r="30">
      <c r="B30" s="24" t="inlineStr">
        <is>
          <t>flow_task</t>
        </is>
      </c>
      <c r="C30" s="24" t="inlineStr">
        <is>
          <t>COSTLOB</t>
        </is>
      </c>
      <c r="D30" s="24" t="inlineStr">
        <is>
          <t>varchar(32)</t>
        </is>
      </c>
      <c r="E30" s="24" t="inlineStr">
        <is>
          <t>YES</t>
        </is>
      </c>
      <c r="F30" s="24" t="inlineStr">
        <is>
          <t>审批成本归属</t>
        </is>
      </c>
      <c r="G30" s="24" t="n"/>
      <c r="H30" s="24" t="n"/>
      <c r="I30" s="24" t="inlineStr"/>
      <c r="J30" s="24" t="inlineStr">
        <is>
          <t>2023/01/12</t>
        </is>
      </c>
    </row>
    <row r="31">
      <c r="B31" s="24" t="inlineStr">
        <is>
          <t>flow_task</t>
        </is>
      </c>
      <c r="C31" s="24" t="inlineStr">
        <is>
          <t>CLIENTX</t>
        </is>
      </c>
      <c r="D31" s="24" t="inlineStr">
        <is>
          <t>int</t>
        </is>
      </c>
      <c r="E31" s="24" t="inlineStr">
        <is>
          <t>YES</t>
        </is>
      </c>
      <c r="F31" s="24" t="inlineStr">
        <is>
          <t>图元X坐标</t>
        </is>
      </c>
      <c r="G31" s="24" t="n"/>
      <c r="H31" s="24" t="n"/>
      <c r="I31" s="24" t="inlineStr"/>
      <c r="J31" s="24" t="inlineStr">
        <is>
          <t>2023/01/12</t>
        </is>
      </c>
    </row>
    <row r="32">
      <c r="B32" s="24" t="inlineStr">
        <is>
          <t>flow_task</t>
        </is>
      </c>
      <c r="C32" s="24" t="inlineStr">
        <is>
          <t>CLIENTY</t>
        </is>
      </c>
      <c r="D32" s="24" t="inlineStr">
        <is>
          <t>int</t>
        </is>
      </c>
      <c r="E32" s="24" t="inlineStr">
        <is>
          <t>YES</t>
        </is>
      </c>
      <c r="F32" s="24" t="inlineStr">
        <is>
          <t>图元Y坐标</t>
        </is>
      </c>
      <c r="G32" s="24" t="n"/>
      <c r="H32" s="24" t="n"/>
      <c r="I32" s="24" t="inlineStr"/>
      <c r="J32" s="24" t="inlineStr">
        <is>
          <t>2023/01/12</t>
        </is>
      </c>
    </row>
    <row r="33">
      <c r="B33" s="24" t="inlineStr">
        <is>
          <t>flow_task</t>
        </is>
      </c>
      <c r="C33" s="24" t="inlineStr">
        <is>
          <t>WIDTH</t>
        </is>
      </c>
      <c r="D33" s="24" t="inlineStr">
        <is>
          <t>int</t>
        </is>
      </c>
      <c r="E33" s="24" t="inlineStr">
        <is>
          <t>YES</t>
        </is>
      </c>
      <c r="F33" s="24" t="inlineStr">
        <is>
          <t>图元宽度</t>
        </is>
      </c>
      <c r="G33" s="24" t="n"/>
      <c r="H33" s="24" t="n"/>
      <c r="I33" s="24" t="inlineStr"/>
      <c r="J33" s="24" t="inlineStr">
        <is>
          <t>2023/01/12</t>
        </is>
      </c>
    </row>
    <row r="34">
      <c r="B34" s="24" t="inlineStr">
        <is>
          <t>flow_task</t>
        </is>
      </c>
      <c r="C34" s="24" t="inlineStr">
        <is>
          <t>HEIGTH</t>
        </is>
      </c>
      <c r="D34" s="24" t="inlineStr">
        <is>
          <t>int</t>
        </is>
      </c>
      <c r="E34" s="24" t="inlineStr">
        <is>
          <t>YES</t>
        </is>
      </c>
      <c r="F34" s="24" t="inlineStr">
        <is>
          <t>图元高度</t>
        </is>
      </c>
      <c r="G34" s="24" t="n"/>
      <c r="H34" s="24" t="n"/>
      <c r="I34" s="24" t="inlineStr"/>
      <c r="J34" s="24" t="inlineStr">
        <is>
          <t>2023/01/12</t>
        </is>
      </c>
    </row>
    <row r="35">
      <c r="B35" s="24" t="inlineStr">
        <is>
          <t>flow_task</t>
        </is>
      </c>
      <c r="C35" s="24" t="inlineStr">
        <is>
          <t>RELATIVEOBJECTNO</t>
        </is>
      </c>
      <c r="D35" s="24" t="inlineStr">
        <is>
          <t>varchar(32)</t>
        </is>
      </c>
      <c r="E35" s="24" t="inlineStr">
        <is>
          <t>YES</t>
        </is>
      </c>
      <c r="F35" s="24" t="inlineStr">
        <is>
          <t>流程对象流水号</t>
        </is>
      </c>
      <c r="G35" s="24" t="n"/>
      <c r="H35" s="24" t="n"/>
      <c r="I35" s="24" t="inlineStr"/>
      <c r="J35" s="24" t="inlineStr">
        <is>
          <t>2023/01/12</t>
        </is>
      </c>
    </row>
    <row r="36">
      <c r="B36" s="24" t="inlineStr">
        <is>
          <t>flow_task</t>
        </is>
      </c>
      <c r="C36" s="24" t="inlineStr">
        <is>
          <t>PROCESSINSTNO</t>
        </is>
      </c>
      <c r="D36" s="24" t="inlineStr">
        <is>
          <t>varchar(32)</t>
        </is>
      </c>
      <c r="E36" s="24" t="inlineStr">
        <is>
          <t>YES</t>
        </is>
      </c>
      <c r="F36" s="24" t="inlineStr">
        <is>
          <t>流程实例编号</t>
        </is>
      </c>
      <c r="G36" s="24" t="n"/>
      <c r="H36" s="24" t="n"/>
      <c r="I36" s="24" t="inlineStr"/>
      <c r="J36" s="24" t="inlineStr">
        <is>
          <t>2023/01/12</t>
        </is>
      </c>
    </row>
    <row r="37">
      <c r="B37" s="24" t="inlineStr">
        <is>
          <t>flow_task</t>
        </is>
      </c>
      <c r="C37" s="24" t="inlineStr">
        <is>
          <t>PROCESSTASKNO</t>
        </is>
      </c>
      <c r="D37" s="24" t="inlineStr">
        <is>
          <t>varchar(32)</t>
        </is>
      </c>
      <c r="E37" s="24" t="inlineStr">
        <is>
          <t>YES</t>
        </is>
      </c>
      <c r="F37" s="24" t="inlineStr">
        <is>
          <t>流程任务编号</t>
        </is>
      </c>
      <c r="G37" s="24" t="n"/>
      <c r="H37" s="24" t="n"/>
      <c r="I37" s="24" t="inlineStr"/>
      <c r="J37" s="24" t="inlineStr">
        <is>
          <t>2023/01/12</t>
        </is>
      </c>
    </row>
    <row r="38">
      <c r="B38" s="24" t="inlineStr">
        <is>
          <t>flow_task</t>
        </is>
      </c>
      <c r="C38" s="24" t="inlineStr">
        <is>
          <t>FLOWSTATE</t>
        </is>
      </c>
      <c r="D38" s="24" t="inlineStr">
        <is>
          <t>varchar(200)</t>
        </is>
      </c>
      <c r="E38" s="24" t="inlineStr">
        <is>
          <t>YES</t>
        </is>
      </c>
      <c r="F38" s="24" t="inlineStr">
        <is>
          <t>流程状态</t>
        </is>
      </c>
      <c r="G38" s="24" t="n"/>
      <c r="H38" s="24" t="n"/>
      <c r="I38" s="24" t="inlineStr"/>
      <c r="J38" s="24" t="inlineStr">
        <is>
          <t>2023/01/12</t>
        </is>
      </c>
    </row>
    <row r="39">
      <c r="B39" s="24" t="inlineStr">
        <is>
          <t>flow_task</t>
        </is>
      </c>
      <c r="C39" s="24" t="inlineStr">
        <is>
          <t>ASSIGNEDTASKNO</t>
        </is>
      </c>
      <c r="D39" s="24" t="inlineStr">
        <is>
          <t>varchar(32)</t>
        </is>
      </c>
      <c r="E39" s="24" t="inlineStr">
        <is>
          <t>YES</t>
        </is>
      </c>
      <c r="F39" s="24" t="inlineStr">
        <is>
          <t>指定任务编号</t>
        </is>
      </c>
      <c r="G39" s="24" t="n"/>
      <c r="H39" s="24" t="n"/>
      <c r="I39" s="24" t="inlineStr"/>
      <c r="J39" s="24" t="inlineStr">
        <is>
          <t>2023/01/12</t>
        </is>
      </c>
    </row>
    <row r="40">
      <c r="B40" s="24" t="inlineStr">
        <is>
          <t>flow_task</t>
        </is>
      </c>
      <c r="C40" s="24" t="inlineStr">
        <is>
          <t>FORKSTATE</t>
        </is>
      </c>
      <c r="D40" s="24" t="inlineStr">
        <is>
          <t>varchar(18)</t>
        </is>
      </c>
      <c r="E40" s="24" t="inlineStr">
        <is>
          <t>YES</t>
        </is>
      </c>
      <c r="F40" s="24" t="inlineStr">
        <is>
          <t>分支状态</t>
        </is>
      </c>
      <c r="G40" s="24" t="n"/>
      <c r="H40" s="24" t="n"/>
      <c r="I40" s="24" t="inlineStr"/>
      <c r="J40" s="24" t="inlineStr">
        <is>
          <t>2023/01/12</t>
        </is>
      </c>
    </row>
    <row r="41">
      <c r="B41" s="24" t="inlineStr">
        <is>
          <t>flow_task</t>
        </is>
      </c>
      <c r="C41" s="24" t="inlineStr">
        <is>
          <t>TASKSTATE</t>
        </is>
      </c>
      <c r="D41" s="24" t="inlineStr">
        <is>
          <t>varchar(18)</t>
        </is>
      </c>
      <c r="E41" s="24" t="inlineStr">
        <is>
          <t>YES</t>
        </is>
      </c>
      <c r="F41" s="24" t="inlineStr">
        <is>
          <t>任务状态</t>
        </is>
      </c>
      <c r="G41" s="24" t="n"/>
      <c r="H41" s="24" t="n"/>
      <c r="I41" s="24" t="inlineStr"/>
      <c r="J41" s="24" t="inlineStr">
        <is>
          <t>2023/01/12</t>
        </is>
      </c>
    </row>
    <row r="42">
      <c r="B42" s="24" t="inlineStr">
        <is>
          <t>flow_task</t>
        </is>
      </c>
      <c r="C42" s="24" t="inlineStr">
        <is>
          <t>VERSION</t>
        </is>
      </c>
      <c r="D42" s="24" t="inlineStr">
        <is>
          <t>varchar(18)</t>
        </is>
      </c>
      <c r="E42" s="24" t="inlineStr">
        <is>
          <t>YES</t>
        </is>
      </c>
      <c r="F42" s="24" t="inlineStr">
        <is>
          <t>版本</t>
        </is>
      </c>
      <c r="G42" s="24" t="n"/>
      <c r="H42" s="24" t="n"/>
      <c r="I42" s="24" t="inlineStr"/>
      <c r="J42" s="24" t="inlineStr">
        <is>
          <t>2023/01/12</t>
        </is>
      </c>
    </row>
    <row r="43">
      <c r="B43" s="24" t="inlineStr">
        <is>
          <t>flow_task</t>
        </is>
      </c>
      <c r="C43" s="24" t="inlineStr">
        <is>
          <t>BASEFLOWNO</t>
        </is>
      </c>
      <c r="D43" s="24" t="inlineStr">
        <is>
          <t>varchar(32)</t>
        </is>
      </c>
      <c r="E43" s="24" t="inlineStr">
        <is>
          <t>YES</t>
        </is>
      </c>
      <c r="F43" s="24" t="inlineStr">
        <is>
          <t>流程号</t>
        </is>
      </c>
      <c r="G43" s="24" t="n"/>
      <c r="H43" s="24" t="n"/>
      <c r="I43" s="24" t="inlineStr"/>
      <c r="J43" s="24" t="inlineStr">
        <is>
          <t>2023/01/12</t>
        </is>
      </c>
    </row>
    <row r="44">
      <c r="B44" s="24" t="inlineStr">
        <is>
          <t>flow_task</t>
        </is>
      </c>
      <c r="C44" s="24" t="inlineStr">
        <is>
          <t>PARENTFLOWNO</t>
        </is>
      </c>
      <c r="D44" s="24" t="inlineStr">
        <is>
          <t>varchar(32)</t>
        </is>
      </c>
      <c r="E44" s="24" t="inlineStr">
        <is>
          <t>YES</t>
        </is>
      </c>
      <c r="F44" s="24" t="inlineStr">
        <is>
          <t>父流程号</t>
        </is>
      </c>
      <c r="G44" s="24" t="n"/>
      <c r="H44" s="24" t="n"/>
      <c r="I44" s="24" t="inlineStr"/>
      <c r="J44" s="24" t="inlineStr">
        <is>
          <t>2023/01/12</t>
        </is>
      </c>
    </row>
    <row r="45">
      <c r="B45" s="24" t="inlineStr">
        <is>
          <t>flow_task</t>
        </is>
      </c>
      <c r="C45" s="24" t="inlineStr">
        <is>
          <t>FORKNO</t>
        </is>
      </c>
      <c r="D45" s="24" t="inlineStr">
        <is>
          <t>varchar(32)</t>
        </is>
      </c>
      <c r="E45" s="24" t="inlineStr">
        <is>
          <t>YES</t>
        </is>
      </c>
      <c r="F45" s="24" t="inlineStr">
        <is>
          <t>并行分支编号</t>
        </is>
      </c>
      <c r="G45" s="24" t="n"/>
      <c r="H45" s="24" t="n"/>
      <c r="I45" s="24" t="inlineStr"/>
      <c r="J45" s="24" t="inlineStr">
        <is>
          <t>2023/01/12</t>
        </is>
      </c>
    </row>
    <row r="46">
      <c r="B46" s="24" t="inlineStr">
        <is>
          <t>flow_task</t>
        </is>
      </c>
      <c r="C46" s="24" t="inlineStr">
        <is>
          <t>ALLFORKNO</t>
        </is>
      </c>
      <c r="D46" s="24" t="inlineStr">
        <is>
          <t>varchar(200)</t>
        </is>
      </c>
      <c r="E46" s="24" t="inlineStr">
        <is>
          <t>YES</t>
        </is>
      </c>
      <c r="F46" s="24" t="inlineStr">
        <is>
          <t>所有的并行分支编号</t>
        </is>
      </c>
      <c r="G46" s="24" t="n"/>
      <c r="H46" s="24" t="n"/>
      <c r="I46" s="24" t="inlineStr"/>
      <c r="J46" s="24" t="inlineStr">
        <is>
          <t>2023/01/12</t>
        </is>
      </c>
    </row>
    <row r="47">
      <c r="B47" s="24" t="inlineStr">
        <is>
          <t>flow_task</t>
        </is>
      </c>
      <c r="C47" s="24" t="inlineStr">
        <is>
          <t>RELANOTICENO</t>
        </is>
      </c>
      <c r="D47" s="24" t="inlineStr">
        <is>
          <t>varchar(32)</t>
        </is>
      </c>
      <c r="E47" s="24" t="inlineStr">
        <is>
          <t>YES</t>
        </is>
      </c>
      <c r="F47" s="24" t="inlineStr">
        <is>
          <t>关联意见号</t>
        </is>
      </c>
      <c r="G47" s="24" t="n"/>
      <c r="H47" s="24" t="n"/>
      <c r="I47" s="24" t="inlineStr"/>
      <c r="J47" s="24" t="inlineStr">
        <is>
          <t>2023/01/12</t>
        </is>
      </c>
    </row>
    <row r="48">
      <c r="B48" s="24" t="inlineStr">
        <is>
          <t>flow_task</t>
        </is>
      </c>
      <c r="C48" s="24" t="inlineStr">
        <is>
          <t>OWNER</t>
        </is>
      </c>
      <c r="D48" s="24" t="inlineStr">
        <is>
          <t>varchar(32)</t>
        </is>
      </c>
      <c r="E48" s="24" t="inlineStr">
        <is>
          <t>YES</t>
        </is>
      </c>
      <c r="F48" s="24" t="inlineStr">
        <is>
          <t>所属人</t>
        </is>
      </c>
      <c r="G48" s="24" t="n"/>
      <c r="H48" s="24" t="n"/>
      <c r="I48" s="24" t="inlineStr"/>
      <c r="J48" s="24" t="inlineStr">
        <is>
          <t>2023/01/12</t>
        </is>
      </c>
    </row>
    <row r="49">
      <c r="B49" s="24" t="inlineStr">
        <is>
          <t>flow_task</t>
        </is>
      </c>
      <c r="C49" s="24" t="inlineStr">
        <is>
          <t>PHASEOPINION</t>
        </is>
      </c>
      <c r="D49" s="24" t="inlineStr">
        <is>
          <t>varchar(4000)</t>
        </is>
      </c>
      <c r="E49" s="24" t="inlineStr">
        <is>
          <t>YES</t>
        </is>
      </c>
      <c r="F49" s="24" t="inlineStr">
        <is>
          <t>意见详情</t>
        </is>
      </c>
      <c r="G49" s="24" t="n"/>
      <c r="H49" s="24" t="n"/>
      <c r="I49" s="24" t="inlineStr"/>
      <c r="J49" s="24" t="inlineStr">
        <is>
          <t>2023/01/12</t>
        </is>
      </c>
    </row>
    <row r="50">
      <c r="B50" s="24" t="inlineStr">
        <is>
          <t>flow_task</t>
        </is>
      </c>
      <c r="C50" s="24" t="inlineStr">
        <is>
          <t>GROUPINFO</t>
        </is>
      </c>
      <c r="D50" s="24" t="inlineStr">
        <is>
          <t>varchar(4000)</t>
        </is>
      </c>
      <c r="E50" s="24" t="inlineStr">
        <is>
          <t>YES</t>
        </is>
      </c>
      <c r="F50" s="24" t="inlineStr">
        <is>
          <t>集团信息</t>
        </is>
      </c>
      <c r="G50" s="24" t="n"/>
      <c r="H50" s="24" t="n"/>
      <c r="I50" s="24" t="inlineStr"/>
      <c r="J50" s="24" t="inlineStr">
        <is>
          <t>2023/01/12</t>
        </is>
      </c>
    </row>
  </sheetData>
  <pageMargins left="0.75" right="0.75" top="1" bottom="1" header="0.5" footer="0.5"/>
  <pageSetup orientation="portrait" paperSize="1" horizontalDpi="300" verticalDpi="300"/>
</worksheet>
</file>

<file path=xl/worksheets/sheet143.xml><?xml version="1.0" encoding="utf-8"?>
<worksheet xmlns="http://schemas.openxmlformats.org/spreadsheetml/2006/main">
  <sheetPr>
    <outlinePr summaryBelow="1" summaryRight="1"/>
    <pageSetUpPr/>
  </sheetPr>
  <dimension ref="A1:J25"/>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已结束流程任务</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flow_task_closed</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flow_task_closed</t>
        </is>
      </c>
      <c r="C4" s="24" t="inlineStr">
        <is>
          <t>OBJECTNO</t>
        </is>
      </c>
      <c r="D4" s="24" t="inlineStr">
        <is>
          <t>varchar(32)</t>
        </is>
      </c>
      <c r="E4" s="24" t="inlineStr">
        <is>
          <t>YES</t>
        </is>
      </c>
      <c r="F4" s="24" t="inlineStr">
        <is>
          <t>对象编号</t>
        </is>
      </c>
      <c r="G4" s="24" t="n"/>
      <c r="H4" s="24" t="n"/>
      <c r="I4" s="24" t="inlineStr"/>
      <c r="J4" s="24" t="inlineStr">
        <is>
          <t>2023/01/12</t>
        </is>
      </c>
    </row>
    <row r="5">
      <c r="B5" s="24" t="inlineStr">
        <is>
          <t>flow_task_closed</t>
        </is>
      </c>
      <c r="C5" s="24" t="inlineStr">
        <is>
          <t>OBJECTTYPE</t>
        </is>
      </c>
      <c r="D5" s="24" t="inlineStr">
        <is>
          <t>varchar(32)</t>
        </is>
      </c>
      <c r="E5" s="24" t="inlineStr">
        <is>
          <t>YES</t>
        </is>
      </c>
      <c r="F5" s="24" t="inlineStr">
        <is>
          <t>对象类型</t>
        </is>
      </c>
      <c r="G5" s="24" t="n"/>
      <c r="H5" s="24" t="n"/>
      <c r="I5" s="24" t="inlineStr"/>
      <c r="J5" s="24" t="inlineStr">
        <is>
          <t>2023/01/12</t>
        </is>
      </c>
    </row>
    <row r="6">
      <c r="B6" s="24" t="inlineStr">
        <is>
          <t>flow_task_closed</t>
        </is>
      </c>
      <c r="C6" s="24" t="inlineStr">
        <is>
          <t>RELATIVESERIALNO</t>
        </is>
      </c>
      <c r="D6" s="24" t="inlineStr">
        <is>
          <t>varchar(32)</t>
        </is>
      </c>
      <c r="E6" s="24" t="inlineStr">
        <is>
          <t>YES</t>
        </is>
      </c>
      <c r="F6" s="24" t="inlineStr">
        <is>
          <t>上一流水号</t>
        </is>
      </c>
      <c r="G6" s="24" t="n"/>
      <c r="H6" s="24" t="n"/>
      <c r="I6" s="24" t="inlineStr"/>
      <c r="J6" s="24" t="inlineStr">
        <is>
          <t>2023/01/12</t>
        </is>
      </c>
    </row>
    <row r="7">
      <c r="B7" s="24" t="inlineStr">
        <is>
          <t>flow_task_closed</t>
        </is>
      </c>
      <c r="C7" s="24" t="inlineStr">
        <is>
          <t>FLOWNO</t>
        </is>
      </c>
      <c r="D7" s="24" t="inlineStr">
        <is>
          <t>varchar(32)</t>
        </is>
      </c>
      <c r="E7" s="24" t="inlineStr">
        <is>
          <t>YES</t>
        </is>
      </c>
      <c r="F7" s="24" t="inlineStr">
        <is>
          <t>流程编号</t>
        </is>
      </c>
      <c r="G7" s="24" t="n"/>
      <c r="H7" s="24" t="n"/>
      <c r="I7" s="24" t="inlineStr"/>
      <c r="J7" s="24" t="inlineStr">
        <is>
          <t>2023/01/12</t>
        </is>
      </c>
    </row>
    <row r="8">
      <c r="B8" s="24" t="inlineStr">
        <is>
          <t>flow_task_closed</t>
        </is>
      </c>
      <c r="C8" s="24" t="inlineStr">
        <is>
          <t>FLOWNAME</t>
        </is>
      </c>
      <c r="D8" s="24" t="inlineStr">
        <is>
          <t>varchar(80)</t>
        </is>
      </c>
      <c r="E8" s="24" t="inlineStr">
        <is>
          <t>YES</t>
        </is>
      </c>
      <c r="F8" s="24" t="inlineStr">
        <is>
          <t>流程名称</t>
        </is>
      </c>
      <c r="G8" s="24" t="n"/>
      <c r="H8" s="24" t="n"/>
      <c r="I8" s="24" t="inlineStr"/>
      <c r="J8" s="24" t="inlineStr">
        <is>
          <t>2023/01/12</t>
        </is>
      </c>
    </row>
    <row r="9">
      <c r="B9" s="24" t="inlineStr">
        <is>
          <t>flow_task_closed</t>
        </is>
      </c>
      <c r="C9" s="24" t="inlineStr">
        <is>
          <t>PHASENO</t>
        </is>
      </c>
      <c r="D9" s="24" t="inlineStr">
        <is>
          <t>varchar(32)</t>
        </is>
      </c>
      <c r="E9" s="24" t="inlineStr">
        <is>
          <t>YES</t>
        </is>
      </c>
      <c r="F9" s="24" t="inlineStr">
        <is>
          <t>阶段编号</t>
        </is>
      </c>
      <c r="G9" s="24" t="n"/>
      <c r="H9" s="24" t="n"/>
      <c r="I9" s="24" t="inlineStr"/>
      <c r="J9" s="24" t="inlineStr">
        <is>
          <t>2023/01/12</t>
        </is>
      </c>
    </row>
    <row r="10">
      <c r="B10" s="24" t="inlineStr">
        <is>
          <t>flow_task_closed</t>
        </is>
      </c>
      <c r="C10" s="24" t="inlineStr">
        <is>
          <t>PHASENAME</t>
        </is>
      </c>
      <c r="D10" s="24" t="inlineStr">
        <is>
          <t>varchar(80)</t>
        </is>
      </c>
      <c r="E10" s="24" t="inlineStr">
        <is>
          <t>YES</t>
        </is>
      </c>
      <c r="F10" s="24" t="inlineStr">
        <is>
          <t>阶段名称</t>
        </is>
      </c>
      <c r="G10" s="24" t="n"/>
      <c r="H10" s="24" t="n"/>
      <c r="I10" s="24" t="inlineStr"/>
      <c r="J10" s="24" t="inlineStr">
        <is>
          <t>2023/01/12</t>
        </is>
      </c>
    </row>
    <row r="11">
      <c r="B11" s="24" t="inlineStr">
        <is>
          <t>flow_task_closed</t>
        </is>
      </c>
      <c r="C11" s="24" t="inlineStr">
        <is>
          <t>PHASETYPE</t>
        </is>
      </c>
      <c r="D11" s="24" t="inlineStr">
        <is>
          <t>varchar(80)</t>
        </is>
      </c>
      <c r="E11" s="24" t="inlineStr">
        <is>
          <t>YES</t>
        </is>
      </c>
      <c r="F11" s="24" t="inlineStr">
        <is>
          <t>阶段类型</t>
        </is>
      </c>
      <c r="G11" s="24" t="n"/>
      <c r="H11" s="24" t="n"/>
      <c r="I11" s="24" t="inlineStr"/>
      <c r="J11" s="24" t="inlineStr">
        <is>
          <t>2023/01/12</t>
        </is>
      </c>
    </row>
    <row r="12">
      <c r="B12" s="24" t="inlineStr">
        <is>
          <t>flow_task_closed</t>
        </is>
      </c>
      <c r="C12" s="24" t="inlineStr">
        <is>
          <t>APPLYTYPE</t>
        </is>
      </c>
      <c r="D12" s="24" t="inlineStr">
        <is>
          <t>varchar(32)</t>
        </is>
      </c>
      <c r="E12" s="24" t="inlineStr">
        <is>
          <t>YES</t>
        </is>
      </c>
      <c r="F12" s="24" t="inlineStr">
        <is>
          <t>申请类型</t>
        </is>
      </c>
      <c r="G12" s="24" t="n"/>
      <c r="H12" s="24" t="n"/>
      <c r="I12" s="24" t="inlineStr"/>
      <c r="J12" s="24" t="inlineStr">
        <is>
          <t>2023/01/12</t>
        </is>
      </c>
    </row>
    <row r="13">
      <c r="B13" s="24" t="inlineStr">
        <is>
          <t>flow_task_closed</t>
        </is>
      </c>
      <c r="C13" s="24" t="inlineStr">
        <is>
          <t>USERID</t>
        </is>
      </c>
      <c r="D13" s="24" t="inlineStr">
        <is>
          <t>varchar(32)</t>
        </is>
      </c>
      <c r="E13" s="24" t="inlineStr">
        <is>
          <t>YES</t>
        </is>
      </c>
      <c r="F13" s="24" t="inlineStr">
        <is>
          <t>承办人编号</t>
        </is>
      </c>
      <c r="G13" s="24" t="n"/>
      <c r="H13" s="24" t="n"/>
      <c r="I13" s="24" t="inlineStr"/>
      <c r="J13" s="24" t="inlineStr">
        <is>
          <t>2023/01/12</t>
        </is>
      </c>
    </row>
    <row r="14">
      <c r="B14" s="24" t="inlineStr">
        <is>
          <t>flow_task_closed</t>
        </is>
      </c>
      <c r="C14" s="24" t="inlineStr">
        <is>
          <t>USERNAME</t>
        </is>
      </c>
      <c r="D14" s="24" t="inlineStr">
        <is>
          <t>varchar(80)</t>
        </is>
      </c>
      <c r="E14" s="24" t="inlineStr">
        <is>
          <t>YES</t>
        </is>
      </c>
      <c r="F14" s="24" t="inlineStr">
        <is>
          <t>承办人姓名</t>
        </is>
      </c>
      <c r="G14" s="24" t="n"/>
      <c r="H14" s="24" t="n"/>
      <c r="I14" s="24" t="inlineStr"/>
      <c r="J14" s="24" t="inlineStr">
        <is>
          <t>2023/01/12</t>
        </is>
      </c>
    </row>
    <row r="15">
      <c r="B15" s="24" t="inlineStr">
        <is>
          <t>flow_task_closed</t>
        </is>
      </c>
      <c r="C15" s="24" t="inlineStr">
        <is>
          <t>ORGID</t>
        </is>
      </c>
      <c r="D15" s="24" t="inlineStr">
        <is>
          <t>varchar(32)</t>
        </is>
      </c>
      <c r="E15" s="24" t="inlineStr">
        <is>
          <t>YES</t>
        </is>
      </c>
      <c r="F15" s="24" t="inlineStr">
        <is>
          <t>承办机构编号</t>
        </is>
      </c>
      <c r="G15" s="24" t="n"/>
      <c r="H15" s="24" t="n"/>
      <c r="I15" s="24" t="inlineStr"/>
      <c r="J15" s="24" t="inlineStr">
        <is>
          <t>2023/01/12</t>
        </is>
      </c>
    </row>
    <row r="16">
      <c r="B16" s="24" t="inlineStr">
        <is>
          <t>flow_task_closed</t>
        </is>
      </c>
      <c r="C16" s="24" t="inlineStr">
        <is>
          <t>ORGNAME</t>
        </is>
      </c>
      <c r="D16" s="24" t="inlineStr">
        <is>
          <t>varchar(32)</t>
        </is>
      </c>
      <c r="E16" s="24" t="inlineStr">
        <is>
          <t>YES</t>
        </is>
      </c>
      <c r="F16" s="24" t="inlineStr">
        <is>
          <t>承办机构名称</t>
        </is>
      </c>
      <c r="G16" s="24" t="n"/>
      <c r="H16" s="24" t="n"/>
      <c r="I16" s="24" t="inlineStr"/>
      <c r="J16" s="24" t="inlineStr">
        <is>
          <t>2023/01/12</t>
        </is>
      </c>
    </row>
    <row r="17">
      <c r="B17" s="24" t="inlineStr">
        <is>
          <t>flow_task_closed</t>
        </is>
      </c>
      <c r="C17" s="24" t="inlineStr">
        <is>
          <t>BEGINTIME</t>
        </is>
      </c>
      <c r="D17" s="24" t="inlineStr">
        <is>
          <t>varchar(18)</t>
        </is>
      </c>
      <c r="E17" s="24" t="inlineStr">
        <is>
          <t>YES</t>
        </is>
      </c>
      <c r="F17" s="24" t="inlineStr">
        <is>
          <t>开始执行时间</t>
        </is>
      </c>
      <c r="G17" s="24" t="n"/>
      <c r="H17" s="24" t="n"/>
      <c r="I17" s="24" t="inlineStr"/>
      <c r="J17" s="24" t="inlineStr">
        <is>
          <t>2023/01/12</t>
        </is>
      </c>
    </row>
    <row r="18">
      <c r="B18" s="24" t="inlineStr">
        <is>
          <t>flow_task_closed</t>
        </is>
      </c>
      <c r="C18" s="24" t="inlineStr">
        <is>
          <t>ENDTIME</t>
        </is>
      </c>
      <c r="D18" s="24" t="inlineStr">
        <is>
          <t>varchar(18)</t>
        </is>
      </c>
      <c r="E18" s="24" t="inlineStr">
        <is>
          <t>YES</t>
        </is>
      </c>
      <c r="F18" s="24" t="inlineStr">
        <is>
          <t>完成执行时间</t>
        </is>
      </c>
      <c r="G18" s="24" t="n"/>
      <c r="H18" s="24" t="n"/>
      <c r="I18" s="24" t="inlineStr"/>
      <c r="J18" s="24" t="inlineStr">
        <is>
          <t>2023/01/12</t>
        </is>
      </c>
    </row>
    <row r="19">
      <c r="B19" s="24" t="inlineStr">
        <is>
          <t>flow_task_closed</t>
        </is>
      </c>
      <c r="C19" s="24" t="inlineStr">
        <is>
          <t>PHASECHOICE</t>
        </is>
      </c>
      <c r="D19" s="24" t="inlineStr">
        <is>
          <t>varchar(200)</t>
        </is>
      </c>
      <c r="E19" s="24" t="inlineStr">
        <is>
          <t>YES</t>
        </is>
      </c>
      <c r="F19" s="24" t="inlineStr">
        <is>
          <t>阶段意见</t>
        </is>
      </c>
      <c r="G19" s="24" t="n"/>
      <c r="H19" s="24" t="n"/>
      <c r="I19" s="24" t="inlineStr"/>
      <c r="J19" s="24" t="inlineStr">
        <is>
          <t>2023/01/12</t>
        </is>
      </c>
    </row>
    <row r="20">
      <c r="B20" s="24" t="inlineStr">
        <is>
          <t>flow_task_closed</t>
        </is>
      </c>
      <c r="C20" s="24" t="inlineStr">
        <is>
          <t>PHASEACTION</t>
        </is>
      </c>
      <c r="D20" s="24" t="inlineStr">
        <is>
          <t>varchar(500)</t>
        </is>
      </c>
      <c r="E20" s="24" t="inlineStr">
        <is>
          <t>YES</t>
        </is>
      </c>
      <c r="F20" s="24" t="inlineStr">
        <is>
          <t>阶段动作</t>
        </is>
      </c>
      <c r="G20" s="24" t="n"/>
      <c r="H20" s="24" t="n"/>
      <c r="I20" s="24" t="inlineStr"/>
      <c r="J20" s="24" t="inlineStr">
        <is>
          <t>2023/01/12</t>
        </is>
      </c>
    </row>
    <row r="21">
      <c r="B21" s="24" t="inlineStr">
        <is>
          <t>flow_task_closed</t>
        </is>
      </c>
      <c r="C21" s="24" t="inlineStr">
        <is>
          <t>PHASEOPINION1</t>
        </is>
      </c>
      <c r="D21" s="24" t="inlineStr">
        <is>
          <t>varchar(500)</t>
        </is>
      </c>
      <c r="E21" s="24" t="inlineStr">
        <is>
          <t>YES</t>
        </is>
      </c>
      <c r="F21" s="24" t="inlineStr">
        <is>
          <t>意见详情1</t>
        </is>
      </c>
      <c r="G21" s="24" t="n"/>
      <c r="H21" s="24" t="n"/>
      <c r="I21" s="24" t="inlineStr"/>
      <c r="J21" s="24" t="inlineStr">
        <is>
          <t>2023/01/12</t>
        </is>
      </c>
    </row>
    <row r="22">
      <c r="B22" s="24" t="inlineStr">
        <is>
          <t>flow_task_closed</t>
        </is>
      </c>
      <c r="C22" s="24" t="inlineStr">
        <is>
          <t>PHASEOPINION2</t>
        </is>
      </c>
      <c r="D22" s="24" t="inlineStr">
        <is>
          <t>varchar(500)</t>
        </is>
      </c>
      <c r="E22" s="24" t="inlineStr">
        <is>
          <t>YES</t>
        </is>
      </c>
      <c r="F22" s="24" t="inlineStr">
        <is>
          <t>意见详情2</t>
        </is>
      </c>
      <c r="G22" s="24" t="n"/>
      <c r="H22" s="24" t="n"/>
      <c r="I22" s="24" t="inlineStr"/>
      <c r="J22" s="24" t="inlineStr">
        <is>
          <t>2023/01/12</t>
        </is>
      </c>
    </row>
    <row r="23">
      <c r="B23" s="24" t="inlineStr">
        <is>
          <t>flow_task_closed</t>
        </is>
      </c>
      <c r="C23" s="24" t="inlineStr">
        <is>
          <t>PHASEOPINION3</t>
        </is>
      </c>
      <c r="D23" s="24" t="inlineStr">
        <is>
          <t>varchar(500)</t>
        </is>
      </c>
      <c r="E23" s="24" t="inlineStr">
        <is>
          <t>YES</t>
        </is>
      </c>
      <c r="F23" s="24" t="inlineStr">
        <is>
          <t>意见详情3</t>
        </is>
      </c>
      <c r="G23" s="24" t="n"/>
      <c r="H23" s="24" t="n"/>
      <c r="I23" s="24" t="inlineStr"/>
      <c r="J23" s="24" t="inlineStr">
        <is>
          <t>2023/01/12</t>
        </is>
      </c>
    </row>
    <row r="24">
      <c r="B24" s="24" t="inlineStr">
        <is>
          <t>flow_task_closed</t>
        </is>
      </c>
      <c r="C24" s="24" t="inlineStr">
        <is>
          <t>PHASEOPINION4</t>
        </is>
      </c>
      <c r="D24" s="24" t="inlineStr">
        <is>
          <t>varchar(500)</t>
        </is>
      </c>
      <c r="E24" s="24" t="inlineStr">
        <is>
          <t>YES</t>
        </is>
      </c>
      <c r="F24" s="24" t="inlineStr">
        <is>
          <t>意见详情4</t>
        </is>
      </c>
      <c r="G24" s="24" t="n"/>
      <c r="H24" s="24" t="n"/>
      <c r="I24" s="24" t="inlineStr"/>
      <c r="J24" s="24" t="inlineStr">
        <is>
          <t>2023/01/12</t>
        </is>
      </c>
    </row>
    <row r="25">
      <c r="B25" s="24" t="inlineStr">
        <is>
          <t>flow_task_closed</t>
        </is>
      </c>
      <c r="C25" s="24" t="inlineStr">
        <is>
          <t>PHASEOPINION</t>
        </is>
      </c>
      <c r="D25" s="24" t="inlineStr">
        <is>
          <t>varchar(500)</t>
        </is>
      </c>
      <c r="E25" s="24" t="inlineStr">
        <is>
          <t>YES</t>
        </is>
      </c>
      <c r="F25" s="24" t="inlineStr">
        <is>
          <t>意见详情</t>
        </is>
      </c>
      <c r="G25" s="24" t="n"/>
      <c r="H25" s="24" t="n"/>
      <c r="I25" s="24" t="inlineStr"/>
      <c r="J25" s="24" t="inlineStr">
        <is>
          <t>2023/01/12</t>
        </is>
      </c>
    </row>
  </sheetData>
  <pageMargins left="0.75" right="0.75" top="1" bottom="1" header="0.5" footer="0.5"/>
  <pageSetup orientation="portrait" paperSize="1" horizontalDpi="300" verticalDpi="300"/>
</worksheet>
</file>

<file path=xl/worksheets/sheet144.xml><?xml version="1.0" encoding="utf-8"?>
<worksheet xmlns="http://schemas.openxmlformats.org/spreadsheetml/2006/main">
  <sheetPr>
    <outlinePr summaryBelow="1" summaryRight="1"/>
    <pageSetUpPr/>
  </sheetPr>
  <dimension ref="A1:J12"/>
  <sheetViews>
    <sheetView zoomScaleSheetLayoutView="60" workbookViewId="0">
      <selection activeCell="F11" sqref="F1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流程用户关联关系表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flow_user_rela</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flow_user_rela</t>
        </is>
      </c>
      <c r="C4" s="24" t="inlineStr">
        <is>
          <t>OBJECTTYPE</t>
        </is>
      </c>
      <c r="D4" s="24" t="inlineStr">
        <is>
          <t>varchar(32)</t>
        </is>
      </c>
      <c r="E4" s="24" t="inlineStr">
        <is>
          <t>YES</t>
        </is>
      </c>
      <c r="F4" s="24" t="inlineStr">
        <is>
          <t>对象类型</t>
        </is>
      </c>
      <c r="G4" s="24" t="n"/>
      <c r="H4" s="24" t="n"/>
      <c r="I4" s="24" t="inlineStr"/>
      <c r="J4" s="24" t="inlineStr">
        <is>
          <t>2023/01/12</t>
        </is>
      </c>
    </row>
    <row r="5">
      <c r="B5" s="24" t="inlineStr">
        <is>
          <t>flow_user_rela</t>
        </is>
      </c>
      <c r="C5" s="24" t="inlineStr">
        <is>
          <t>OBJECTNO</t>
        </is>
      </c>
      <c r="D5" s="24" t="inlineStr">
        <is>
          <t>varchar(32)</t>
        </is>
      </c>
      <c r="E5" s="24" t="inlineStr">
        <is>
          <t>YES</t>
        </is>
      </c>
      <c r="F5" s="24" t="inlineStr">
        <is>
          <t>对象编号</t>
        </is>
      </c>
      <c r="G5" s="24" t="n"/>
      <c r="H5" s="24" t="n"/>
      <c r="I5" s="24" t="inlineStr"/>
      <c r="J5" s="24" t="inlineStr">
        <is>
          <t>2023/01/12</t>
        </is>
      </c>
    </row>
    <row r="6">
      <c r="B6" s="24" t="inlineStr">
        <is>
          <t>flow_user_rela</t>
        </is>
      </c>
      <c r="C6" s="24" t="inlineStr">
        <is>
          <t>TASKID</t>
        </is>
      </c>
      <c r="D6" s="24" t="inlineStr">
        <is>
          <t>varchar(32)</t>
        </is>
      </c>
      <c r="E6" s="24" t="inlineStr">
        <is>
          <t>YES</t>
        </is>
      </c>
      <c r="F6" s="24" t="inlineStr">
        <is>
          <t>流程任务流水号</t>
        </is>
      </c>
      <c r="G6" s="24" t="n"/>
      <c r="H6" s="24" t="n"/>
      <c r="I6" s="24" t="inlineStr"/>
      <c r="J6" s="24" t="inlineStr">
        <is>
          <t>2023/01/12</t>
        </is>
      </c>
    </row>
    <row r="7">
      <c r="B7" s="24" t="inlineStr">
        <is>
          <t>flow_user_rela</t>
        </is>
      </c>
      <c r="C7" s="24" t="inlineStr">
        <is>
          <t>FLOWNO</t>
        </is>
      </c>
      <c r="D7" s="24" t="inlineStr">
        <is>
          <t>varchar(32)</t>
        </is>
      </c>
      <c r="E7" s="24" t="inlineStr">
        <is>
          <t>YES</t>
        </is>
      </c>
      <c r="F7" s="24" t="inlineStr">
        <is>
          <t>流程号</t>
        </is>
      </c>
      <c r="G7" s="24" t="n"/>
      <c r="H7" s="24" t="n"/>
      <c r="I7" s="24" t="inlineStr"/>
      <c r="J7" s="24" t="inlineStr">
        <is>
          <t>2023/01/12</t>
        </is>
      </c>
    </row>
    <row r="8">
      <c r="B8" s="24" t="inlineStr">
        <is>
          <t>flow_user_rela</t>
        </is>
      </c>
      <c r="C8" s="24" t="inlineStr">
        <is>
          <t>USERID</t>
        </is>
      </c>
      <c r="D8" s="24" t="inlineStr">
        <is>
          <t>varchar(32)</t>
        </is>
      </c>
      <c r="E8" s="24" t="inlineStr">
        <is>
          <t>YES</t>
        </is>
      </c>
      <c r="F8" s="24" t="inlineStr">
        <is>
          <t>用户号</t>
        </is>
      </c>
      <c r="G8" s="24" t="n"/>
      <c r="H8" s="24" t="n"/>
      <c r="I8" s="24" t="inlineStr"/>
      <c r="J8" s="24" t="inlineStr">
        <is>
          <t>2023/01/12</t>
        </is>
      </c>
    </row>
    <row r="9">
      <c r="B9" s="24" t="inlineStr">
        <is>
          <t>flow_user_rela</t>
        </is>
      </c>
      <c r="C9" s="24" t="inlineStr">
        <is>
          <t>RELATYPE</t>
        </is>
      </c>
      <c r="D9" s="24" t="inlineStr">
        <is>
          <t>varchar(32)</t>
        </is>
      </c>
      <c r="E9" s="24" t="inlineStr">
        <is>
          <t>YES</t>
        </is>
      </c>
      <c r="F9" s="24" t="inlineStr">
        <is>
          <t>关联类型</t>
        </is>
      </c>
      <c r="G9" s="24" t="n"/>
      <c r="H9" s="24" t="n"/>
      <c r="I9" s="24" t="inlineStr"/>
      <c r="J9" s="24" t="inlineStr">
        <is>
          <t>2023/01/12</t>
        </is>
      </c>
    </row>
    <row r="10">
      <c r="B10" s="24" t="inlineStr">
        <is>
          <t>flow_user_rela</t>
        </is>
      </c>
      <c r="C10" s="24" t="inlineStr">
        <is>
          <t>INPUTTIME</t>
        </is>
      </c>
      <c r="D10" s="24" t="inlineStr">
        <is>
          <t>varchar(32)</t>
        </is>
      </c>
      <c r="E10" s="24" t="inlineStr">
        <is>
          <t>YES</t>
        </is>
      </c>
      <c r="F10" s="53" t="inlineStr">
        <is>
          <t>建立时间</t>
        </is>
      </c>
      <c r="G10" s="24" t="n"/>
      <c r="H10" s="24" t="n"/>
      <c r="I10" s="24" t="inlineStr"/>
      <c r="J10" s="24" t="inlineStr">
        <is>
          <t>2023/01/12</t>
        </is>
      </c>
    </row>
    <row r="11">
      <c r="B11" s="24" t="inlineStr">
        <is>
          <t>flow_user_rela</t>
        </is>
      </c>
      <c r="C11" s="24" t="inlineStr">
        <is>
          <t>UPDATETIME</t>
        </is>
      </c>
      <c r="D11" s="24" t="inlineStr">
        <is>
          <t>varchar(32)</t>
        </is>
      </c>
      <c r="E11" s="24" t="inlineStr">
        <is>
          <t>YES</t>
        </is>
      </c>
      <c r="F11" s="53" t="inlineStr">
        <is>
          <t>更新时间</t>
        </is>
      </c>
      <c r="G11" s="24" t="n"/>
      <c r="H11" s="24" t="n"/>
      <c r="I11" s="24" t="inlineStr"/>
      <c r="J11" s="24" t="inlineStr">
        <is>
          <t>2023/01/12</t>
        </is>
      </c>
    </row>
    <row r="12">
      <c r="B12" s="24" t="inlineStr">
        <is>
          <t>flow_user_rela</t>
        </is>
      </c>
      <c r="C12" s="24" t="inlineStr">
        <is>
          <t>STATUS</t>
        </is>
      </c>
      <c r="D12" s="24" t="inlineStr">
        <is>
          <t>varchar(6)</t>
        </is>
      </c>
      <c r="E12" s="24" t="inlineStr">
        <is>
          <t>YES</t>
        </is>
      </c>
      <c r="F12" s="53" t="inlineStr">
        <is>
          <t>状态</t>
        </is>
      </c>
      <c r="G12" s="55">
        <f>HYPERLINK("#码值映射清单!B13688","AssistStatus")</f>
        <v/>
      </c>
      <c r="H12" s="24" t="n"/>
      <c r="I12" s="24" t="inlineStr"/>
      <c r="J12" s="24" t="inlineStr">
        <is>
          <t>2023/01/12</t>
        </is>
      </c>
    </row>
  </sheetData>
  <pageMargins left="0.75" right="0.75" top="1" bottom="1" header="0.5" footer="0.5"/>
  <pageSetup orientation="portrait" paperSize="1" horizontalDpi="300" verticalDpi="300"/>
</worksheet>
</file>

<file path=xl/worksheets/sheet145.xml><?xml version="1.0" encoding="utf-8"?>
<worksheet xmlns="http://schemas.openxmlformats.org/spreadsheetml/2006/main">
  <sheetPr>
    <outlinePr summaryBelow="1" summaryRight="1"/>
    <pageSetUpPr/>
  </sheetPr>
  <dimension ref="A1:J15"/>
  <sheetViews>
    <sheetView zoomScaleSheetLayoutView="60" workbookViewId="0">
      <selection activeCell="F3" sqref="F3:F15"/>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流程的处理人配置</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flow_userconf</t>
        </is>
      </c>
      <c r="C3" s="24" t="inlineStr">
        <is>
          <t>USERCONFID</t>
        </is>
      </c>
      <c r="D3" s="24" t="inlineStr">
        <is>
          <t>varchar(80)</t>
        </is>
      </c>
      <c r="E3" s="24" t="inlineStr">
        <is>
          <t>NO</t>
        </is>
      </c>
      <c r="F3" s="24" t="inlineStr">
        <is>
          <t>编号</t>
        </is>
      </c>
      <c r="G3" s="24" t="n"/>
      <c r="H3" s="24" t="n"/>
      <c r="I3" s="24" t="inlineStr"/>
      <c r="J3" s="24" t="inlineStr">
        <is>
          <t>2023/01/12</t>
        </is>
      </c>
    </row>
    <row r="4">
      <c r="B4" s="24" t="inlineStr">
        <is>
          <t>flow_userconf</t>
        </is>
      </c>
      <c r="C4" s="24" t="inlineStr">
        <is>
          <t>USERCONFNAME</t>
        </is>
      </c>
      <c r="D4" s="24" t="inlineStr">
        <is>
          <t>varchar(500)</t>
        </is>
      </c>
      <c r="E4" s="24" t="inlineStr">
        <is>
          <t>YES</t>
        </is>
      </c>
      <c r="F4" s="24" t="inlineStr">
        <is>
          <t>名称</t>
        </is>
      </c>
      <c r="G4" s="24" t="n"/>
      <c r="H4" s="24" t="n"/>
      <c r="I4" s="24" t="inlineStr"/>
      <c r="J4" s="24" t="inlineStr">
        <is>
          <t>2023/01/12</t>
        </is>
      </c>
    </row>
    <row r="5">
      <c r="B5" s="24" t="inlineStr">
        <is>
          <t>flow_userconf</t>
        </is>
      </c>
      <c r="C5" s="24" t="inlineStr">
        <is>
          <t>ISNEEDORG</t>
        </is>
      </c>
      <c r="D5" s="24" t="inlineStr">
        <is>
          <t>varchar(6)</t>
        </is>
      </c>
      <c r="E5" s="24" t="inlineStr">
        <is>
          <t>YES</t>
        </is>
      </c>
      <c r="F5" s="24" t="inlineStr">
        <is>
          <t>是否展示机构</t>
        </is>
      </c>
      <c r="G5" s="24" t="n"/>
      <c r="H5" s="24" t="n"/>
      <c r="I5" s="24" t="inlineStr"/>
      <c r="J5" s="24" t="inlineStr">
        <is>
          <t>2023/01/12</t>
        </is>
      </c>
    </row>
    <row r="6">
      <c r="B6" s="24" t="inlineStr">
        <is>
          <t>flow_userconf</t>
        </is>
      </c>
      <c r="C6" s="24" t="inlineStr">
        <is>
          <t>ISNEEDORGLEVEL</t>
        </is>
      </c>
      <c r="D6" s="24" t="inlineStr">
        <is>
          <t>varchar(6)</t>
        </is>
      </c>
      <c r="E6" s="24" t="inlineStr">
        <is>
          <t>YES</t>
        </is>
      </c>
      <c r="F6" s="24" t="inlineStr">
        <is>
          <t>是否展示机构层级</t>
        </is>
      </c>
      <c r="G6" s="24" t="n"/>
      <c r="H6" s="24" t="n"/>
      <c r="I6" s="24" t="inlineStr"/>
      <c r="J6" s="24" t="inlineStr">
        <is>
          <t>2023/01/12</t>
        </is>
      </c>
    </row>
    <row r="7">
      <c r="B7" s="24" t="inlineStr">
        <is>
          <t>flow_userconf</t>
        </is>
      </c>
      <c r="C7" s="24" t="inlineStr">
        <is>
          <t>ISNEEDROLE</t>
        </is>
      </c>
      <c r="D7" s="24" t="inlineStr">
        <is>
          <t>varchar(6)</t>
        </is>
      </c>
      <c r="E7" s="24" t="inlineStr">
        <is>
          <t>YES</t>
        </is>
      </c>
      <c r="F7" s="24" t="inlineStr">
        <is>
          <t>是否展示角色</t>
        </is>
      </c>
      <c r="G7" s="24" t="n"/>
      <c r="H7" s="24" t="n"/>
      <c r="I7" s="24" t="inlineStr"/>
      <c r="J7" s="24" t="inlineStr">
        <is>
          <t>2023/01/12</t>
        </is>
      </c>
    </row>
    <row r="8">
      <c r="B8" s="24" t="inlineStr">
        <is>
          <t>flow_userconf</t>
        </is>
      </c>
      <c r="C8" s="24" t="inlineStr">
        <is>
          <t>ISNEEDUSER</t>
        </is>
      </c>
      <c r="D8" s="24" t="inlineStr">
        <is>
          <t>varchar(6)</t>
        </is>
      </c>
      <c r="E8" s="24" t="inlineStr">
        <is>
          <t>YES</t>
        </is>
      </c>
      <c r="F8" s="24" t="inlineStr">
        <is>
          <t>是否展示人员</t>
        </is>
      </c>
      <c r="G8" s="24" t="n"/>
      <c r="H8" s="24" t="n"/>
      <c r="I8" s="24" t="inlineStr"/>
      <c r="J8" s="24" t="inlineStr">
        <is>
          <t>2023/01/12</t>
        </is>
      </c>
    </row>
    <row r="9">
      <c r="B9" s="24" t="inlineStr">
        <is>
          <t>flow_userconf</t>
        </is>
      </c>
      <c r="C9" s="24" t="inlineStr">
        <is>
          <t>USERCONFIMPL</t>
        </is>
      </c>
      <c r="D9" s="24" t="inlineStr">
        <is>
          <t>varchar(500)</t>
        </is>
      </c>
      <c r="E9" s="24" t="inlineStr">
        <is>
          <t>YES</t>
        </is>
      </c>
      <c r="F9" s="24" t="inlineStr">
        <is>
          <t>处理人实现类</t>
        </is>
      </c>
      <c r="G9" s="24" t="n"/>
      <c r="H9" s="24" t="n"/>
      <c r="I9" s="24" t="inlineStr"/>
      <c r="J9" s="24" t="inlineStr">
        <is>
          <t>2023/01/12</t>
        </is>
      </c>
    </row>
    <row r="10">
      <c r="B10" s="24" t="inlineStr">
        <is>
          <t>flow_userconf</t>
        </is>
      </c>
      <c r="C10" s="24" t="inlineStr">
        <is>
          <t>USERCONFDESC</t>
        </is>
      </c>
      <c r="D10" s="24" t="inlineStr">
        <is>
          <t>varchar(2000)</t>
        </is>
      </c>
      <c r="E10" s="24" t="inlineStr">
        <is>
          <t>YES</t>
        </is>
      </c>
      <c r="F10" s="24" t="inlineStr">
        <is>
          <t>备注</t>
        </is>
      </c>
      <c r="G10" s="24" t="n"/>
      <c r="H10" s="24" t="n"/>
      <c r="I10" s="24" t="inlineStr"/>
      <c r="J10" s="24" t="inlineStr">
        <is>
          <t>2023/01/12</t>
        </is>
      </c>
    </row>
    <row r="11">
      <c r="B11" s="24" t="inlineStr">
        <is>
          <t>flow_userconf</t>
        </is>
      </c>
      <c r="C11" s="24" t="inlineStr">
        <is>
          <t>CREATETIME</t>
        </is>
      </c>
      <c r="D11" s="24" t="inlineStr">
        <is>
          <t>datetime</t>
        </is>
      </c>
      <c r="E11" s="24" t="inlineStr">
        <is>
          <t>YES</t>
        </is>
      </c>
      <c r="F11" s="24" t="inlineStr">
        <is>
          <t>创建时间</t>
        </is>
      </c>
      <c r="G11" s="24" t="n"/>
      <c r="H11" s="24" t="n"/>
      <c r="I11" s="24" t="inlineStr"/>
      <c r="J11" s="24" t="inlineStr">
        <is>
          <t>2023/01/12</t>
        </is>
      </c>
    </row>
    <row r="12">
      <c r="B12" s="24" t="inlineStr">
        <is>
          <t>flow_userconf</t>
        </is>
      </c>
      <c r="C12" s="24" t="inlineStr">
        <is>
          <t>CREATEUSERID</t>
        </is>
      </c>
      <c r="D12" s="24" t="inlineStr">
        <is>
          <t>varchar(80)</t>
        </is>
      </c>
      <c r="E12" s="24" t="inlineStr">
        <is>
          <t>YES</t>
        </is>
      </c>
      <c r="F12" s="24" t="inlineStr">
        <is>
          <t>创建人</t>
        </is>
      </c>
      <c r="G12" s="24" t="n"/>
      <c r="H12" s="24" t="n"/>
      <c r="I12" s="24" t="inlineStr"/>
      <c r="J12" s="24" t="inlineStr">
        <is>
          <t>2023/01/12</t>
        </is>
      </c>
    </row>
    <row r="13">
      <c r="B13" s="24" t="inlineStr">
        <is>
          <t>flow_userconf</t>
        </is>
      </c>
      <c r="C13" s="24" t="inlineStr">
        <is>
          <t>UPDATETIME</t>
        </is>
      </c>
      <c r="D13" s="24" t="inlineStr">
        <is>
          <t>datetime</t>
        </is>
      </c>
      <c r="E13" s="24" t="inlineStr">
        <is>
          <t>YES</t>
        </is>
      </c>
      <c r="F13" s="24" t="inlineStr">
        <is>
          <t>更新时间</t>
        </is>
      </c>
      <c r="G13" s="24" t="n"/>
      <c r="H13" s="24" t="n"/>
      <c r="I13" s="24" t="inlineStr"/>
      <c r="J13" s="24" t="inlineStr">
        <is>
          <t>2023/01/12</t>
        </is>
      </c>
    </row>
    <row r="14">
      <c r="B14" s="24" t="inlineStr">
        <is>
          <t>flow_userconf</t>
        </is>
      </c>
      <c r="C14" s="24" t="inlineStr">
        <is>
          <t>UPDATEUSERID</t>
        </is>
      </c>
      <c r="D14" s="24" t="inlineStr">
        <is>
          <t>varchar(80)</t>
        </is>
      </c>
      <c r="E14" s="24" t="inlineStr">
        <is>
          <t>YES</t>
        </is>
      </c>
      <c r="F14" s="24" t="inlineStr">
        <is>
          <t>更新人</t>
        </is>
      </c>
      <c r="G14" s="24" t="n"/>
      <c r="H14" s="24" t="n"/>
      <c r="I14" s="24" t="inlineStr"/>
      <c r="J14" s="24" t="inlineStr">
        <is>
          <t>2023/01/12</t>
        </is>
      </c>
    </row>
    <row r="15">
      <c r="B15" s="24" t="inlineStr">
        <is>
          <t>flow_userconf</t>
        </is>
      </c>
      <c r="C15" s="24" t="inlineStr">
        <is>
          <t>ISSHOWACTIVITY</t>
        </is>
      </c>
      <c r="D15" s="24" t="inlineStr">
        <is>
          <t>varchar(6)</t>
        </is>
      </c>
      <c r="E15" s="24" t="inlineStr">
        <is>
          <t>YES</t>
        </is>
      </c>
      <c r="F15" s="24" t="inlineStr">
        <is>
          <t>是否展示流程活动</t>
        </is>
      </c>
      <c r="G15" s="24" t="n"/>
      <c r="H15" s="24" t="n"/>
      <c r="I15" s="24" t="inlineStr"/>
      <c r="J15" s="24" t="inlineStr">
        <is>
          <t>2023/01/12</t>
        </is>
      </c>
    </row>
  </sheetData>
  <pageMargins left="0.75" right="0.75" top="1" bottom="1" header="0.5" footer="0.5"/>
  <pageSetup orientation="portrait" paperSize="1" horizontalDpi="300" verticalDpi="300"/>
</worksheet>
</file>

<file path=xl/worksheets/sheet146.xml><?xml version="1.0" encoding="utf-8"?>
<worksheet xmlns="http://schemas.openxmlformats.org/spreadsheetml/2006/main">
  <sheetPr>
    <outlinePr summaryBelow="1" summaryRight="1"/>
    <pageSetUpPr/>
  </sheetPr>
  <dimension ref="A1:J22"/>
  <sheetViews>
    <sheetView zoomScaleSheetLayoutView="60" workbookViewId="0">
      <selection activeCell="F44" sqref="F44"/>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担保人信息表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guarantor_info</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guarantor_info</t>
        </is>
      </c>
      <c r="C4" s="24" t="inlineStr">
        <is>
          <t>GUARANTYCONTRACTNO</t>
        </is>
      </c>
      <c r="D4" s="24" t="inlineStr">
        <is>
          <t>varchar(32)</t>
        </is>
      </c>
      <c r="E4" s="24" t="inlineStr">
        <is>
          <t>YES</t>
        </is>
      </c>
      <c r="F4" s="24" t="inlineStr">
        <is>
          <t>担保合同编号</t>
        </is>
      </c>
      <c r="G4" s="24" t="n"/>
      <c r="H4" s="24" t="n"/>
      <c r="I4" s="24" t="inlineStr"/>
      <c r="J4" s="24" t="inlineStr">
        <is>
          <t>2023/01/12</t>
        </is>
      </c>
    </row>
    <row r="5">
      <c r="B5" s="24" t="inlineStr">
        <is>
          <t>guarantor_info</t>
        </is>
      </c>
      <c r="C5" s="24" t="inlineStr">
        <is>
          <t>CUSTOMERID</t>
        </is>
      </c>
      <c r="D5" s="24" t="inlineStr">
        <is>
          <t>varchar(32)</t>
        </is>
      </c>
      <c r="E5" s="24" t="inlineStr">
        <is>
          <t>YES</t>
        </is>
      </c>
      <c r="F5" s="24" t="inlineStr">
        <is>
          <t>担保人编号</t>
        </is>
      </c>
      <c r="G5" s="24" t="n"/>
      <c r="H5" s="24" t="n"/>
      <c r="I5" s="24" t="inlineStr"/>
      <c r="J5" s="24" t="inlineStr">
        <is>
          <t>2023/01/12</t>
        </is>
      </c>
    </row>
    <row r="6">
      <c r="B6" s="24" t="inlineStr">
        <is>
          <t>guarantor_info</t>
        </is>
      </c>
      <c r="C6" s="24" t="inlineStr">
        <is>
          <t>GUARANTORNAME</t>
        </is>
      </c>
      <c r="D6" s="24" t="inlineStr">
        <is>
          <t>varchar(80)</t>
        </is>
      </c>
      <c r="E6" s="24" t="inlineStr">
        <is>
          <t>YES</t>
        </is>
      </c>
      <c r="F6" s="24" t="inlineStr">
        <is>
          <t>担保人名称</t>
        </is>
      </c>
      <c r="G6" s="24" t="n"/>
      <c r="H6" s="24" t="n"/>
      <c r="I6" s="24" t="inlineStr"/>
      <c r="J6" s="24" t="inlineStr">
        <is>
          <t>2023/01/12</t>
        </is>
      </c>
    </row>
    <row r="7">
      <c r="B7" s="24" t="inlineStr">
        <is>
          <t>guarantor_info</t>
        </is>
      </c>
      <c r="C7" s="24" t="inlineStr">
        <is>
          <t>SEX</t>
        </is>
      </c>
      <c r="D7" s="24" t="inlineStr">
        <is>
          <t>varchar(6)</t>
        </is>
      </c>
      <c r="E7" s="24" t="inlineStr">
        <is>
          <t>YES</t>
        </is>
      </c>
      <c r="F7" s="24" t="inlineStr">
        <is>
          <t>担保人性别</t>
        </is>
      </c>
      <c r="G7" s="24" t="n"/>
      <c r="H7" s="24" t="n"/>
      <c r="I7" s="24" t="inlineStr"/>
      <c r="J7" s="24" t="inlineStr">
        <is>
          <t>2023/01/12</t>
        </is>
      </c>
    </row>
    <row r="8">
      <c r="B8" s="24" t="inlineStr">
        <is>
          <t>guarantor_info</t>
        </is>
      </c>
      <c r="C8" s="24" t="inlineStr">
        <is>
          <t>GUARANTORCERTTYPE</t>
        </is>
      </c>
      <c r="D8" s="24" t="inlineStr">
        <is>
          <t>varchar(18)</t>
        </is>
      </c>
      <c r="E8" s="24" t="inlineStr">
        <is>
          <t>YES</t>
        </is>
      </c>
      <c r="F8" s="24" t="inlineStr">
        <is>
          <t>担保人证件类型</t>
        </is>
      </c>
      <c r="G8" s="52">
        <f>HYPERLINK("#码值映射清单!B321","CertType")</f>
        <v/>
      </c>
      <c r="H8" s="24" t="n"/>
      <c r="I8" s="24" t="inlineStr"/>
      <c r="J8" s="24" t="inlineStr">
        <is>
          <t>2023/01/12</t>
        </is>
      </c>
    </row>
    <row r="9">
      <c r="B9" s="24" t="inlineStr">
        <is>
          <t>guarantor_info</t>
        </is>
      </c>
      <c r="C9" s="24" t="inlineStr">
        <is>
          <t>GUARANTORCERTID</t>
        </is>
      </c>
      <c r="D9" s="24" t="inlineStr">
        <is>
          <t>varchar(32)</t>
        </is>
      </c>
      <c r="E9" s="24" t="inlineStr">
        <is>
          <t>YES</t>
        </is>
      </c>
      <c r="F9" s="24" t="inlineStr">
        <is>
          <t>担保人证件编号</t>
        </is>
      </c>
      <c r="G9" s="24" t="n"/>
      <c r="H9" s="24" t="n"/>
      <c r="I9" s="24" t="inlineStr"/>
      <c r="J9" s="24" t="inlineStr">
        <is>
          <t>2023/01/12</t>
        </is>
      </c>
    </row>
    <row r="10">
      <c r="B10" s="24" t="inlineStr">
        <is>
          <t>guarantor_info</t>
        </is>
      </c>
      <c r="C10" s="24" t="inlineStr">
        <is>
          <t>PHONENO</t>
        </is>
      </c>
      <c r="D10" s="24" t="inlineStr">
        <is>
          <t>varchar(32)</t>
        </is>
      </c>
      <c r="E10" s="24" t="inlineStr">
        <is>
          <t>YES</t>
        </is>
      </c>
      <c r="F10" s="24" t="inlineStr">
        <is>
          <t>担保人联系方式</t>
        </is>
      </c>
      <c r="G10" s="24" t="n"/>
      <c r="H10" s="24" t="n"/>
      <c r="I10" s="24" t="inlineStr"/>
      <c r="J10" s="24" t="inlineStr">
        <is>
          <t>2023/01/12</t>
        </is>
      </c>
    </row>
    <row r="11">
      <c r="B11" s="24" t="inlineStr">
        <is>
          <t>guarantor_info</t>
        </is>
      </c>
      <c r="C11" s="24" t="inlineStr">
        <is>
          <t>LOANCARDNO</t>
        </is>
      </c>
      <c r="D11" s="24" t="inlineStr">
        <is>
          <t>varchar(32)</t>
        </is>
      </c>
      <c r="E11" s="24" t="inlineStr">
        <is>
          <t>YES</t>
        </is>
      </c>
      <c r="F11" s="24" t="inlineStr">
        <is>
          <t>担保人中征码</t>
        </is>
      </c>
      <c r="G11" s="24" t="n"/>
      <c r="H11" s="24" t="n"/>
      <c r="I11" s="24" t="inlineStr"/>
      <c r="J11" s="24" t="inlineStr">
        <is>
          <t>2023/01/12</t>
        </is>
      </c>
    </row>
    <row r="12">
      <c r="B12" s="24" t="inlineStr">
        <is>
          <t>guarantor_info</t>
        </is>
      </c>
      <c r="C12" s="24" t="inlineStr">
        <is>
          <t>ABSORPTIONRATE</t>
        </is>
      </c>
      <c r="D12" s="24" t="inlineStr">
        <is>
          <t>decimal(24,6)</t>
        </is>
      </c>
      <c r="E12" s="24" t="inlineStr">
        <is>
          <t>YES</t>
        </is>
      </c>
      <c r="F12" s="24" t="inlineStr">
        <is>
          <t>分摊担保金额</t>
        </is>
      </c>
      <c r="G12" s="24" t="n"/>
      <c r="H12" s="24" t="n"/>
      <c r="I12" s="24" t="inlineStr"/>
      <c r="J12" s="24" t="inlineStr">
        <is>
          <t>2023/01/12</t>
        </is>
      </c>
    </row>
    <row r="13">
      <c r="B13" s="24" t="inlineStr">
        <is>
          <t>guarantor_info</t>
        </is>
      </c>
      <c r="C13" s="24" t="inlineStr">
        <is>
          <t>GUARANTEEFORM</t>
        </is>
      </c>
      <c r="D13" s="24" t="inlineStr">
        <is>
          <t>varchar(6)</t>
        </is>
      </c>
      <c r="E13" s="24" t="inlineStr">
        <is>
          <t>YES</t>
        </is>
      </c>
      <c r="F13" s="24" t="inlineStr">
        <is>
          <t>保证担保形式</t>
        </is>
      </c>
      <c r="G13" s="52">
        <f>HYPERLINK("#码值映射清单!B4495","GuaranteeForm")</f>
        <v/>
      </c>
      <c r="H13" s="24" t="n"/>
      <c r="I13" s="24" t="inlineStr"/>
      <c r="J13" s="24" t="inlineStr">
        <is>
          <t>2023/01/12</t>
        </is>
      </c>
    </row>
    <row r="14">
      <c r="B14" s="24" t="inlineStr">
        <is>
          <t>guarantor_info</t>
        </is>
      </c>
      <c r="C14" s="24" t="inlineStr">
        <is>
          <t>GUARANTORSTATUS</t>
        </is>
      </c>
      <c r="D14" s="24" t="inlineStr">
        <is>
          <t>varchar(6)</t>
        </is>
      </c>
      <c r="E14" s="24" t="inlineStr">
        <is>
          <t>YES</t>
        </is>
      </c>
      <c r="F14" s="24" t="inlineStr">
        <is>
          <t>担保人有效状态</t>
        </is>
      </c>
      <c r="G14" s="24" t="n"/>
      <c r="H14" s="24" t="n"/>
      <c r="I14" s="24" t="inlineStr"/>
      <c r="J14" s="24" t="inlineStr">
        <is>
          <t>2023/01/12</t>
        </is>
      </c>
    </row>
    <row r="15">
      <c r="B15" s="24" t="inlineStr">
        <is>
          <t>guarantor_info</t>
        </is>
      </c>
      <c r="C15" s="24" t="inlineStr">
        <is>
          <t>REMARK</t>
        </is>
      </c>
      <c r="D15" s="24" t="inlineStr">
        <is>
          <t>varchar(1000)</t>
        </is>
      </c>
      <c r="E15" s="24" t="inlineStr">
        <is>
          <t>YES</t>
        </is>
      </c>
      <c r="F15" s="24" t="inlineStr">
        <is>
          <t>备注</t>
        </is>
      </c>
      <c r="G15" s="24" t="n"/>
      <c r="H15" s="24" t="n"/>
      <c r="I15" s="24" t="inlineStr"/>
      <c r="J15" s="24" t="inlineStr">
        <is>
          <t>2023/01/12</t>
        </is>
      </c>
    </row>
    <row r="16">
      <c r="B16" s="24" t="inlineStr">
        <is>
          <t>guarantor_info</t>
        </is>
      </c>
      <c r="C16" s="24" t="inlineStr">
        <is>
          <t>INPUTORGID</t>
        </is>
      </c>
      <c r="D16" s="24" t="inlineStr">
        <is>
          <t>varchar(32)</t>
        </is>
      </c>
      <c r="E16" s="24" t="inlineStr">
        <is>
          <t>YES</t>
        </is>
      </c>
      <c r="F16" s="24" t="inlineStr">
        <is>
          <t>登记机构</t>
        </is>
      </c>
      <c r="G16" s="24" t="n"/>
      <c r="H16" s="24" t="n"/>
      <c r="I16" s="24" t="inlineStr"/>
      <c r="J16" s="24" t="inlineStr">
        <is>
          <t>2023/01/12</t>
        </is>
      </c>
    </row>
    <row r="17">
      <c r="B17" s="24" t="inlineStr">
        <is>
          <t>guarantor_info</t>
        </is>
      </c>
      <c r="C17" s="24" t="inlineStr">
        <is>
          <t>INPUTUSERID</t>
        </is>
      </c>
      <c r="D17" s="24" t="inlineStr">
        <is>
          <t>varchar(32)</t>
        </is>
      </c>
      <c r="E17" s="24" t="inlineStr">
        <is>
          <t>YES</t>
        </is>
      </c>
      <c r="F17" s="24" t="inlineStr">
        <is>
          <t>登记人</t>
        </is>
      </c>
      <c r="G17" s="24" t="n"/>
      <c r="H17" s="24" t="n"/>
      <c r="I17" s="24" t="inlineStr"/>
      <c r="J17" s="24" t="inlineStr">
        <is>
          <t>2023/01/12</t>
        </is>
      </c>
    </row>
    <row r="18">
      <c r="B18" s="24" t="inlineStr">
        <is>
          <t>guarantor_info</t>
        </is>
      </c>
      <c r="C18" s="24" t="inlineStr">
        <is>
          <t>INPUTDATE</t>
        </is>
      </c>
      <c r="D18" s="24" t="inlineStr">
        <is>
          <t>datetime</t>
        </is>
      </c>
      <c r="E18" s="24" t="inlineStr">
        <is>
          <t>YES</t>
        </is>
      </c>
      <c r="F18" s="24" t="inlineStr">
        <is>
          <t>登记日期</t>
        </is>
      </c>
      <c r="G18" s="24" t="n"/>
      <c r="H18" s="24" t="n"/>
      <c r="I18" s="24" t="inlineStr"/>
      <c r="J18" s="24" t="inlineStr">
        <is>
          <t>2023/01/12</t>
        </is>
      </c>
    </row>
    <row r="19">
      <c r="B19" s="24" t="inlineStr">
        <is>
          <t>guarantor_info</t>
        </is>
      </c>
      <c r="C19" s="24" t="inlineStr">
        <is>
          <t>UPDATEORGID</t>
        </is>
      </c>
      <c r="D19" s="24" t="inlineStr">
        <is>
          <t>varchar(32)</t>
        </is>
      </c>
      <c r="E19" s="24" t="inlineStr">
        <is>
          <t>YES</t>
        </is>
      </c>
      <c r="F19" s="24" t="inlineStr">
        <is>
          <t>更新机构</t>
        </is>
      </c>
      <c r="G19" s="24" t="n"/>
      <c r="H19" s="24" t="n"/>
      <c r="I19" s="24" t="inlineStr"/>
      <c r="J19" s="24" t="inlineStr">
        <is>
          <t>2023/01/12</t>
        </is>
      </c>
    </row>
    <row r="20">
      <c r="B20" s="24" t="inlineStr">
        <is>
          <t>guarantor_info</t>
        </is>
      </c>
      <c r="C20" s="24" t="inlineStr">
        <is>
          <t>UPDATEUSERID</t>
        </is>
      </c>
      <c r="D20" s="24" t="inlineStr">
        <is>
          <t>varchar(32)</t>
        </is>
      </c>
      <c r="E20" s="24" t="inlineStr">
        <is>
          <t>YES</t>
        </is>
      </c>
      <c r="F20" s="24" t="inlineStr">
        <is>
          <t>更新人</t>
        </is>
      </c>
      <c r="G20" s="24" t="n"/>
      <c r="H20" s="24" t="n"/>
      <c r="I20" s="24" t="inlineStr"/>
      <c r="J20" s="24" t="inlineStr">
        <is>
          <t>2023/01/12</t>
        </is>
      </c>
    </row>
    <row r="21">
      <c r="B21" s="24" t="inlineStr">
        <is>
          <t>guarantor_info</t>
        </is>
      </c>
      <c r="C21" s="24" t="inlineStr">
        <is>
          <t>UPDATEDATE</t>
        </is>
      </c>
      <c r="D21" s="24" t="inlineStr">
        <is>
          <t>datetime</t>
        </is>
      </c>
      <c r="E21" s="24" t="inlineStr">
        <is>
          <t>YES</t>
        </is>
      </c>
      <c r="F21" s="24" t="inlineStr">
        <is>
          <t>更新日期</t>
        </is>
      </c>
      <c r="G21" s="24" t="n"/>
      <c r="H21" s="24" t="n"/>
      <c r="I21" s="24" t="inlineStr"/>
      <c r="J21" s="24" t="inlineStr">
        <is>
          <t>2023/01/12</t>
        </is>
      </c>
    </row>
    <row r="22">
      <c r="B22" s="24" t="inlineStr">
        <is>
          <t>guarantor_info</t>
        </is>
      </c>
      <c r="C22" s="24" t="inlineStr">
        <is>
          <t>CORPORGID</t>
        </is>
      </c>
      <c r="D22" s="24" t="inlineStr">
        <is>
          <t>varchar(32)</t>
        </is>
      </c>
      <c r="E22" s="24" t="inlineStr">
        <is>
          <t>YES</t>
        </is>
      </c>
      <c r="F22" s="24" t="inlineStr">
        <is>
          <t>法人机构编号</t>
        </is>
      </c>
      <c r="G22" s="24" t="n"/>
      <c r="H22" s="24" t="n"/>
      <c r="I22" s="24" t="inlineStr"/>
      <c r="J22" s="24" t="inlineStr">
        <is>
          <t>2023/01/12</t>
        </is>
      </c>
    </row>
  </sheetData>
  <pageMargins left="0.75" right="0.75" top="1" bottom="1" header="0.5" footer="0.5"/>
  <pageSetup orientation="portrait" paperSize="1" horizontalDpi="300" verticalDpi="300"/>
</worksheet>
</file>

<file path=xl/worksheets/sheet147.xml><?xml version="1.0" encoding="utf-8"?>
<worksheet xmlns="http://schemas.openxmlformats.org/spreadsheetml/2006/main">
  <sheetPr>
    <outlinePr summaryBelow="1" summaryRight="1"/>
    <pageSetUpPr/>
  </sheetPr>
  <dimension ref="A1:J22"/>
  <sheetViews>
    <sheetView zoomScaleSheetLayoutView="60" workbookViewId="0">
      <selection activeCell="D12" sqref="D1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担保合同类型 GuarantyType :一般合同/最高额担保合同
担保方式 GuarantyStyle :抵押/质押/保证/信用
担保人贷款卡编号;LoanCardNo），征信需要
保证担保形式（GuaranteeForm）、通用日期（CommonDate），征信需要</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guaranty_contract</t>
        </is>
      </c>
      <c r="C3" s="24" t="inlineStr">
        <is>
          <t>GUARANTYNO</t>
        </is>
      </c>
      <c r="D3" s="24" t="inlineStr">
        <is>
          <t>varchar(32)</t>
        </is>
      </c>
      <c r="E3" s="24" t="inlineStr">
        <is>
          <t>NO</t>
        </is>
      </c>
      <c r="F3" s="24" t="inlineStr">
        <is>
          <t>担保合同编号</t>
        </is>
      </c>
      <c r="G3" s="24" t="n"/>
      <c r="H3" s="24" t="n"/>
      <c r="I3" s="24" t="inlineStr"/>
      <c r="J3" s="24" t="inlineStr">
        <is>
          <t>2023/01/12</t>
        </is>
      </c>
    </row>
    <row r="4">
      <c r="B4" s="24" t="inlineStr">
        <is>
          <t>guaranty_contract</t>
        </is>
      </c>
      <c r="C4" s="24" t="inlineStr">
        <is>
          <t>GUARANTYTYPE</t>
        </is>
      </c>
      <c r="D4" s="24" t="inlineStr">
        <is>
          <t>varchar(6)</t>
        </is>
      </c>
      <c r="E4" s="24" t="inlineStr">
        <is>
          <t>YES</t>
        </is>
      </c>
      <c r="F4" s="24" t="inlineStr">
        <is>
          <t>一般担保合同、最高额担保合同</t>
        </is>
      </c>
      <c r="G4" s="52">
        <f>HYPERLINK("#码值映射清单!B1867","GuarantyType")</f>
        <v/>
      </c>
      <c r="H4" s="24" t="n"/>
      <c r="I4" s="24" t="inlineStr"/>
      <c r="J4" s="24" t="inlineStr">
        <is>
          <t>2023/01/12</t>
        </is>
      </c>
    </row>
    <row r="5">
      <c r="B5" s="24" t="inlineStr">
        <is>
          <t>guaranty_contract</t>
        </is>
      </c>
      <c r="C5" s="24" t="inlineStr">
        <is>
          <t>GUARANTYSTYLE</t>
        </is>
      </c>
      <c r="D5" s="24" t="inlineStr">
        <is>
          <t>varchar(6)</t>
        </is>
      </c>
      <c r="E5" s="24" t="inlineStr">
        <is>
          <t>YES</t>
        </is>
      </c>
      <c r="F5" s="24" t="inlineStr">
        <is>
          <t>抵押/质押/保证/信用</t>
        </is>
      </c>
      <c r="G5" s="52">
        <f>HYPERLINK("#码值映射清单!B5924","GuarantyStyle")</f>
        <v/>
      </c>
      <c r="H5" s="24" t="n"/>
      <c r="I5" s="24" t="inlineStr"/>
      <c r="J5" s="24" t="inlineStr">
        <is>
          <t>2023/01/12</t>
        </is>
      </c>
    </row>
    <row r="6">
      <c r="B6" s="24" t="inlineStr">
        <is>
          <t>guaranty_contract</t>
        </is>
      </c>
      <c r="C6" s="24" t="inlineStr">
        <is>
          <t>GUARANTYSTATUS</t>
        </is>
      </c>
      <c r="D6" s="24" t="inlineStr">
        <is>
          <t>varchar(6)</t>
        </is>
      </c>
      <c r="E6" s="24" t="inlineStr">
        <is>
          <t>YES</t>
        </is>
      </c>
      <c r="F6" s="24" t="inlineStr">
        <is>
          <t>未生效/已生效/已失效</t>
        </is>
      </c>
      <c r="G6" s="52">
        <f>HYPERLINK("#码值映射清单!B4904","GuarantyStatus")</f>
        <v/>
      </c>
      <c r="H6" s="24" t="n"/>
      <c r="I6" s="24" t="inlineStr"/>
      <c r="J6" s="24" t="inlineStr">
        <is>
          <t>2023/01/12</t>
        </is>
      </c>
    </row>
    <row r="7">
      <c r="B7" s="24" t="inlineStr">
        <is>
          <t>guaranty_contract</t>
        </is>
      </c>
      <c r="C7" s="24" t="inlineStr">
        <is>
          <t>BEGINDATE</t>
        </is>
      </c>
      <c r="D7" s="24" t="inlineStr">
        <is>
          <t>varchar(18)</t>
        </is>
      </c>
      <c r="E7" s="24" t="inlineStr">
        <is>
          <t>YES</t>
        </is>
      </c>
      <c r="F7" s="24" t="inlineStr">
        <is>
          <t>合同生效日</t>
        </is>
      </c>
      <c r="G7" s="24" t="n"/>
      <c r="H7" s="24" t="n"/>
      <c r="I7" s="24" t="inlineStr"/>
      <c r="J7" s="24" t="inlineStr">
        <is>
          <t>2023/01/12</t>
        </is>
      </c>
    </row>
    <row r="8">
      <c r="B8" s="24" t="inlineStr">
        <is>
          <t>guaranty_contract</t>
        </is>
      </c>
      <c r="C8" s="24" t="inlineStr">
        <is>
          <t>ENDDATE</t>
        </is>
      </c>
      <c r="D8" s="24" t="inlineStr">
        <is>
          <t>varchar(18)</t>
        </is>
      </c>
      <c r="E8" s="24" t="inlineStr">
        <is>
          <t>YES</t>
        </is>
      </c>
      <c r="F8" s="24" t="inlineStr">
        <is>
          <t>合同到期日</t>
        </is>
      </c>
      <c r="G8" s="24" t="n"/>
      <c r="H8" s="24" t="n"/>
      <c r="I8" s="24" t="inlineStr"/>
      <c r="J8" s="24" t="inlineStr">
        <is>
          <t>2023/01/12</t>
        </is>
      </c>
    </row>
    <row r="9">
      <c r="B9" s="24" t="inlineStr">
        <is>
          <t>guaranty_contract</t>
        </is>
      </c>
      <c r="C9" s="24" t="inlineStr">
        <is>
          <t>GUARANTORID</t>
        </is>
      </c>
      <c r="D9" s="24" t="inlineStr">
        <is>
          <t>varchar(32)</t>
        </is>
      </c>
      <c r="E9" s="24" t="inlineStr">
        <is>
          <t>YES</t>
        </is>
      </c>
      <c r="F9" s="24" t="inlineStr">
        <is>
          <t>担保人编号</t>
        </is>
      </c>
      <c r="G9" s="24" t="n"/>
      <c r="H9" s="24" t="n"/>
      <c r="I9" s="24" t="inlineStr"/>
      <c r="J9" s="24" t="inlineStr">
        <is>
          <t>2023/01/12</t>
        </is>
      </c>
    </row>
    <row r="10">
      <c r="B10" s="24" t="inlineStr">
        <is>
          <t>guaranty_contract</t>
        </is>
      </c>
      <c r="C10" s="24" t="inlineStr">
        <is>
          <t>GUARANTORNAME</t>
        </is>
      </c>
      <c r="D10" s="24" t="inlineStr">
        <is>
          <t>varchar(80)</t>
        </is>
      </c>
      <c r="E10" s="24" t="inlineStr">
        <is>
          <t>YES</t>
        </is>
      </c>
      <c r="F10" s="24" t="inlineStr">
        <is>
          <t>担保人名称</t>
        </is>
      </c>
      <c r="G10" s="24" t="n"/>
      <c r="H10" s="24" t="n"/>
      <c r="I10" s="24" t="inlineStr"/>
      <c r="J10" s="24" t="inlineStr">
        <is>
          <t>2023/01/12</t>
        </is>
      </c>
    </row>
    <row r="11">
      <c r="B11" s="24" t="inlineStr">
        <is>
          <t>guaranty_contract</t>
        </is>
      </c>
      <c r="C11" s="24" t="inlineStr">
        <is>
          <t>GUARANTYCURRENCY</t>
        </is>
      </c>
      <c r="D11" s="24" t="inlineStr">
        <is>
          <t>varchar(18)</t>
        </is>
      </c>
      <c r="E11" s="24" t="inlineStr">
        <is>
          <t>YES</t>
        </is>
      </c>
      <c r="F11" s="24" t="inlineStr">
        <is>
          <t>担保币种</t>
        </is>
      </c>
      <c r="G11" s="52">
        <f>HYPERLINK("#码值映射清单!B2469","Currency")</f>
        <v/>
      </c>
      <c r="H11" s="24" t="n"/>
      <c r="I11" s="24" t="inlineStr"/>
      <c r="J11" s="24" t="inlineStr">
        <is>
          <t>2023/01/12</t>
        </is>
      </c>
    </row>
    <row r="12">
      <c r="B12" s="24" t="inlineStr">
        <is>
          <t>guaranty_contract</t>
        </is>
      </c>
      <c r="C12" s="24" t="inlineStr">
        <is>
          <t>GUARANTYVALUE</t>
        </is>
      </c>
      <c r="D12" s="24" t="inlineStr">
        <is>
          <t>decimal(24,6)</t>
        </is>
      </c>
      <c r="E12" s="24" t="inlineStr">
        <is>
          <t>YES</t>
        </is>
      </c>
      <c r="F12" s="24" t="inlineStr">
        <is>
          <t>担保总金额</t>
        </is>
      </c>
      <c r="G12" s="24" t="n"/>
      <c r="H12" s="24" t="n"/>
      <c r="I12" s="24" t="inlineStr"/>
      <c r="J12" s="24" t="inlineStr">
        <is>
          <t>2023/01/12</t>
        </is>
      </c>
    </row>
    <row r="13">
      <c r="B13" s="24" t="inlineStr">
        <is>
          <t>guaranty_contract</t>
        </is>
      </c>
      <c r="C13" s="24" t="inlineStr">
        <is>
          <t>CERTTYPE</t>
        </is>
      </c>
      <c r="D13" s="24" t="inlineStr">
        <is>
          <t>varchar(18)</t>
        </is>
      </c>
      <c r="E13" s="24" t="inlineStr">
        <is>
          <t>YES</t>
        </is>
      </c>
      <c r="F13" s="24" t="inlineStr">
        <is>
          <t>担保人证件类型</t>
        </is>
      </c>
      <c r="G13" s="52">
        <f>HYPERLINK("#码值映射清单!B321","CertType")</f>
        <v/>
      </c>
      <c r="H13" s="24" t="n"/>
      <c r="I13" s="24" t="inlineStr"/>
      <c r="J13" s="24" t="inlineStr">
        <is>
          <t>2023/01/12</t>
        </is>
      </c>
    </row>
    <row r="14">
      <c r="B14" s="24" t="inlineStr">
        <is>
          <t>guaranty_contract</t>
        </is>
      </c>
      <c r="C14" s="24" t="inlineStr">
        <is>
          <t>CERTID</t>
        </is>
      </c>
      <c r="D14" s="24" t="inlineStr">
        <is>
          <t>varchar(80)</t>
        </is>
      </c>
      <c r="E14" s="24" t="inlineStr">
        <is>
          <t>YES</t>
        </is>
      </c>
      <c r="F14" s="24" t="inlineStr">
        <is>
          <t>担保人证件号码</t>
        </is>
      </c>
      <c r="G14" s="24" t="n"/>
      <c r="H14" s="24" t="n"/>
      <c r="I14" s="24" t="inlineStr"/>
      <c r="J14" s="24" t="inlineStr">
        <is>
          <t>2023/01/12</t>
        </is>
      </c>
    </row>
    <row r="15">
      <c r="B15" s="24" t="inlineStr">
        <is>
          <t>guaranty_contract</t>
        </is>
      </c>
      <c r="C15" s="24" t="inlineStr">
        <is>
          <t>INPUTORGID</t>
        </is>
      </c>
      <c r="D15" s="24" t="inlineStr">
        <is>
          <t>varchar(32)</t>
        </is>
      </c>
      <c r="E15" s="24" t="inlineStr">
        <is>
          <t>YES</t>
        </is>
      </c>
      <c r="F15" s="24" t="inlineStr">
        <is>
          <t>登记机构</t>
        </is>
      </c>
      <c r="G15" s="24" t="n"/>
      <c r="H15" s="24" t="n"/>
      <c r="I15" s="24" t="inlineStr"/>
      <c r="J15" s="24" t="inlineStr">
        <is>
          <t>2023/01/12</t>
        </is>
      </c>
    </row>
    <row r="16">
      <c r="B16" s="24" t="inlineStr">
        <is>
          <t>guaranty_contract</t>
        </is>
      </c>
      <c r="C16" s="24" t="inlineStr">
        <is>
          <t>INPUTUSERID</t>
        </is>
      </c>
      <c r="D16" s="24" t="inlineStr">
        <is>
          <t>varchar(80)</t>
        </is>
      </c>
      <c r="E16" s="24" t="inlineStr">
        <is>
          <t>YES</t>
        </is>
      </c>
      <c r="F16" s="24" t="inlineStr">
        <is>
          <t>登记人</t>
        </is>
      </c>
      <c r="G16" s="24" t="n"/>
      <c r="H16" s="24" t="n"/>
      <c r="I16" s="24" t="inlineStr"/>
      <c r="J16" s="24" t="inlineStr">
        <is>
          <t>2023/01/12</t>
        </is>
      </c>
    </row>
    <row r="17">
      <c r="B17" s="24" t="inlineStr">
        <is>
          <t>guaranty_contract</t>
        </is>
      </c>
      <c r="C17" s="24" t="inlineStr">
        <is>
          <t>INPUTDATE</t>
        </is>
      </c>
      <c r="D17" s="24" t="inlineStr">
        <is>
          <t>datetime</t>
        </is>
      </c>
      <c r="E17" s="24" t="inlineStr">
        <is>
          <t>YES</t>
        </is>
      </c>
      <c r="F17" s="24" t="inlineStr">
        <is>
          <t>登记日期</t>
        </is>
      </c>
      <c r="G17" s="24" t="n"/>
      <c r="H17" s="24" t="n"/>
      <c r="I17" s="24" t="inlineStr"/>
      <c r="J17" s="24" t="inlineStr">
        <is>
          <t>2023/01/12</t>
        </is>
      </c>
    </row>
    <row r="18">
      <c r="B18" s="24" t="inlineStr">
        <is>
          <t>guaranty_contract</t>
        </is>
      </c>
      <c r="C18" s="24" t="inlineStr">
        <is>
          <t>UPDATEORGID</t>
        </is>
      </c>
      <c r="D18" s="24" t="inlineStr">
        <is>
          <t>varchar(32)</t>
        </is>
      </c>
      <c r="E18" s="24" t="inlineStr">
        <is>
          <t>YES</t>
        </is>
      </c>
      <c r="F18" s="24" t="inlineStr">
        <is>
          <t>更新机构</t>
        </is>
      </c>
      <c r="G18" s="24" t="n"/>
      <c r="H18" s="24" t="n"/>
      <c r="I18" s="24" t="inlineStr"/>
      <c r="J18" s="24" t="inlineStr">
        <is>
          <t>2023/01/12</t>
        </is>
      </c>
    </row>
    <row r="19">
      <c r="B19" s="24" t="inlineStr">
        <is>
          <t>guaranty_contract</t>
        </is>
      </c>
      <c r="C19" s="24" t="inlineStr">
        <is>
          <t>UPDATEUSERID</t>
        </is>
      </c>
      <c r="D19" s="24" t="inlineStr">
        <is>
          <t>varchar(80)</t>
        </is>
      </c>
      <c r="E19" s="24" t="inlineStr">
        <is>
          <t>YES</t>
        </is>
      </c>
      <c r="F19" s="24" t="inlineStr">
        <is>
          <t>更新人</t>
        </is>
      </c>
      <c r="G19" s="24" t="n"/>
      <c r="H19" s="24" t="n"/>
      <c r="I19" s="24" t="inlineStr"/>
      <c r="J19" s="24" t="inlineStr">
        <is>
          <t>2023/01/12</t>
        </is>
      </c>
    </row>
    <row r="20">
      <c r="B20" s="24" t="inlineStr">
        <is>
          <t>guaranty_contract</t>
        </is>
      </c>
      <c r="C20" s="24" t="inlineStr">
        <is>
          <t>UPDATEDATE</t>
        </is>
      </c>
      <c r="D20" s="24" t="inlineStr">
        <is>
          <t>datetime</t>
        </is>
      </c>
      <c r="E20" s="24" t="inlineStr">
        <is>
          <t>YES</t>
        </is>
      </c>
      <c r="F20" s="24" t="inlineStr">
        <is>
          <t>更新日期</t>
        </is>
      </c>
      <c r="G20" s="24" t="n"/>
      <c r="H20" s="24" t="n"/>
      <c r="I20" s="24" t="inlineStr"/>
      <c r="J20" s="24" t="inlineStr">
        <is>
          <t>2023/01/12</t>
        </is>
      </c>
    </row>
    <row r="21">
      <c r="B21" s="24" t="inlineStr">
        <is>
          <t>guaranty_contract</t>
        </is>
      </c>
      <c r="C21" s="24" t="inlineStr">
        <is>
          <t>CORPORGID</t>
        </is>
      </c>
      <c r="D21" s="24" t="inlineStr">
        <is>
          <t>varchar(32)</t>
        </is>
      </c>
      <c r="E21" s="24" t="inlineStr">
        <is>
          <t>YES</t>
        </is>
      </c>
      <c r="F21" s="24" t="inlineStr">
        <is>
          <t>法人机构编号</t>
        </is>
      </c>
      <c r="G21" s="24" t="n"/>
      <c r="H21" s="24" t="n"/>
      <c r="I21" s="24" t="inlineStr"/>
      <c r="J21" s="24" t="inlineStr">
        <is>
          <t>2023/01/12</t>
        </is>
      </c>
    </row>
    <row r="22">
      <c r="B22" s="24" t="inlineStr">
        <is>
          <t>guaranty_contract</t>
        </is>
      </c>
      <c r="C22" s="24" t="inlineStr">
        <is>
          <t>SOURCESYSTEM</t>
        </is>
      </c>
      <c r="D22" s="24" t="inlineStr">
        <is>
          <t>varchar(18)</t>
        </is>
      </c>
      <c r="E22" s="24" t="inlineStr">
        <is>
          <t>YES</t>
        </is>
      </c>
      <c r="F22" s="24" t="inlineStr">
        <is>
          <t>来源系统</t>
        </is>
      </c>
      <c r="G22" s="24" t="n"/>
      <c r="H22" s="24" t="n"/>
      <c r="I22" s="24" t="inlineStr"/>
      <c r="J22" s="24" t="inlineStr">
        <is>
          <t>2023/01/12</t>
        </is>
      </c>
    </row>
  </sheetData>
  <pageMargins left="0.75" right="0.75" top="1" bottom="1" header="0.5" footer="0.5"/>
  <pageSetup orientation="portrait" paperSize="1" horizontalDpi="300" verticalDpi="300"/>
</worksheet>
</file>

<file path=xl/worksheets/sheet148.xml><?xml version="1.0" encoding="utf-8"?>
<worksheet xmlns="http://schemas.openxmlformats.org/spreadsheetml/2006/main">
  <sheetPr>
    <outlinePr summaryBelow="1" summaryRight="1"/>
    <pageSetUpPr/>
  </sheetPr>
  <dimension ref="A1:J27"/>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数据来源渠道Channel:New表示在申请、或最终审批意见、或合同阶段新增的抵质押物，Copy表示从前一业务对象中拷贝到当前业务对象的抵质押物;例如：从将申请的抵质押物拷贝到最终审批意见中）。
数据来源类型Type：Add表示该抵质押物是新增到当前担保信息中，Import表示该抵质押物是从已存在的抵质押物库中引入到当前担保信息中。</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guaranty_relative</t>
        </is>
      </c>
      <c r="C3" s="24" t="inlineStr">
        <is>
          <t>OBJECTTYPE</t>
        </is>
      </c>
      <c r="D3" s="24" t="inlineStr">
        <is>
          <t>varchar(32)</t>
        </is>
      </c>
      <c r="E3" s="24" t="inlineStr">
        <is>
          <t>NO</t>
        </is>
      </c>
      <c r="F3" s="24" t="inlineStr">
        <is>
          <t>对象类型</t>
        </is>
      </c>
      <c r="G3" s="24" t="n"/>
      <c r="H3" s="43" t="inlineStr">
        <is>
          <t>申请 合同。。</t>
        </is>
      </c>
      <c r="I3" s="24" t="inlineStr"/>
      <c r="J3" s="24" t="inlineStr">
        <is>
          <t>2023/01/12</t>
        </is>
      </c>
    </row>
    <row r="4">
      <c r="B4" s="24" t="inlineStr">
        <is>
          <t>guaranty_relative</t>
        </is>
      </c>
      <c r="C4" s="24" t="inlineStr">
        <is>
          <t>OBJECTNO</t>
        </is>
      </c>
      <c r="D4" s="24" t="inlineStr">
        <is>
          <t>varchar(32)</t>
        </is>
      </c>
      <c r="E4" s="24" t="inlineStr">
        <is>
          <t>NO</t>
        </is>
      </c>
      <c r="F4" s="43" t="inlineStr">
        <is>
          <t>对象编号</t>
        </is>
      </c>
      <c r="G4" s="24" t="n"/>
      <c r="H4" s="24" t="n"/>
      <c r="I4" s="24" t="inlineStr"/>
      <c r="J4" s="24" t="inlineStr">
        <is>
          <t>2023/01/12</t>
        </is>
      </c>
    </row>
    <row r="5">
      <c r="B5" s="24" t="inlineStr">
        <is>
          <t>guaranty_relative</t>
        </is>
      </c>
      <c r="C5" s="24" t="inlineStr">
        <is>
          <t>GUARANTYCONTRACTNO</t>
        </is>
      </c>
      <c r="D5" s="24" t="inlineStr">
        <is>
          <t>varchar(32)</t>
        </is>
      </c>
      <c r="E5" s="24" t="inlineStr">
        <is>
          <t>NO</t>
        </is>
      </c>
      <c r="F5" s="24" t="inlineStr">
        <is>
          <t>担保合同编号</t>
        </is>
      </c>
      <c r="G5" s="24" t="n"/>
      <c r="H5" s="24" t="n"/>
      <c r="I5" s="24" t="inlineStr"/>
      <c r="J5" s="24" t="inlineStr">
        <is>
          <t>2023/01/12</t>
        </is>
      </c>
    </row>
    <row r="6">
      <c r="B6" s="24" t="inlineStr">
        <is>
          <t>guaranty_relative</t>
        </is>
      </c>
      <c r="C6" s="24" t="inlineStr">
        <is>
          <t>CLRID</t>
        </is>
      </c>
      <c r="D6" s="24" t="inlineStr">
        <is>
          <t>varchar(32)</t>
        </is>
      </c>
      <c r="E6" s="24" t="inlineStr">
        <is>
          <t>NO</t>
        </is>
      </c>
      <c r="F6" s="24" t="inlineStr">
        <is>
          <t>担保物编号</t>
        </is>
      </c>
      <c r="G6" s="24" t="n"/>
      <c r="H6" s="24" t="n"/>
      <c r="I6" s="24" t="inlineStr"/>
      <c r="J6" s="24" t="inlineStr">
        <is>
          <t>2023/01/12</t>
        </is>
      </c>
    </row>
    <row r="7">
      <c r="B7" s="24" t="inlineStr">
        <is>
          <t>guaranty_relative</t>
        </is>
      </c>
      <c r="C7" s="24" t="inlineStr">
        <is>
          <t>CHANNEL</t>
        </is>
      </c>
      <c r="D7" s="24" t="inlineStr">
        <is>
          <t>varchar(18)</t>
        </is>
      </c>
      <c r="E7" s="24" t="inlineStr">
        <is>
          <t>YES</t>
        </is>
      </c>
      <c r="F7" s="43" t="inlineStr">
        <is>
          <t>数据来源渠道</t>
        </is>
      </c>
      <c r="G7" s="24" t="n"/>
      <c r="H7" s="24" t="n"/>
      <c r="I7" s="24" t="inlineStr"/>
      <c r="J7" s="24" t="inlineStr">
        <is>
          <t>2023/01/12</t>
        </is>
      </c>
    </row>
    <row r="8">
      <c r="B8" s="24" t="inlineStr">
        <is>
          <t>guaranty_relative</t>
        </is>
      </c>
      <c r="C8" s="24" t="inlineStr">
        <is>
          <t>RELATIONSTATUS</t>
        </is>
      </c>
      <c r="D8" s="24" t="inlineStr">
        <is>
          <t>varchar(6)</t>
        </is>
      </c>
      <c r="E8" s="24" t="inlineStr">
        <is>
          <t>YES</t>
        </is>
      </c>
      <c r="F8" s="24" t="inlineStr">
        <is>
          <t>关联状态</t>
        </is>
      </c>
      <c r="G8" s="24" t="n"/>
      <c r="H8" s="24" t="n"/>
      <c r="I8" s="24" t="inlineStr"/>
      <c r="J8" s="24" t="inlineStr">
        <is>
          <t>2023/01/12</t>
        </is>
      </c>
    </row>
    <row r="9">
      <c r="B9" s="24" t="inlineStr">
        <is>
          <t>guaranty_relative</t>
        </is>
      </c>
      <c r="C9" s="24" t="inlineStr">
        <is>
          <t>OTHERSSTATUS</t>
        </is>
      </c>
      <c r="D9" s="24" t="inlineStr">
        <is>
          <t>varchar(6)</t>
        </is>
      </c>
      <c r="E9" s="24" t="inlineStr">
        <is>
          <t>YES</t>
        </is>
      </c>
      <c r="F9" s="24" t="inlineStr">
        <is>
          <t>他项权证状态</t>
        </is>
      </c>
      <c r="G9" s="24" t="n"/>
      <c r="H9" s="24" t="n"/>
      <c r="I9" s="24" t="inlineStr"/>
      <c r="J9" s="24" t="inlineStr">
        <is>
          <t>2023/01/12</t>
        </is>
      </c>
    </row>
    <row r="10">
      <c r="B10" s="24" t="inlineStr">
        <is>
          <t>guaranty_relative</t>
        </is>
      </c>
      <c r="C10" s="24" t="inlineStr">
        <is>
          <t>OTHERSRIGHTID</t>
        </is>
      </c>
      <c r="D10" s="24" t="inlineStr">
        <is>
          <t>varchar(32)</t>
        </is>
      </c>
      <c r="E10" s="24" t="inlineStr">
        <is>
          <t>YES</t>
        </is>
      </c>
      <c r="F10" s="24" t="inlineStr">
        <is>
          <t>他项权证号</t>
        </is>
      </c>
      <c r="G10" s="24" t="n"/>
      <c r="H10" s="24" t="n"/>
      <c r="I10" s="24" t="inlineStr"/>
      <c r="J10" s="24" t="inlineStr">
        <is>
          <t>2023/01/12</t>
        </is>
      </c>
    </row>
    <row r="11">
      <c r="B11" s="24" t="inlineStr">
        <is>
          <t>guaranty_relative</t>
        </is>
      </c>
      <c r="C11" s="24" t="inlineStr">
        <is>
          <t>GUARANTYSUM</t>
        </is>
      </c>
      <c r="D11" s="24" t="inlineStr">
        <is>
          <t>decimal(24,6)</t>
        </is>
      </c>
      <c r="E11" s="24" t="inlineStr">
        <is>
          <t>YES</t>
        </is>
      </c>
      <c r="F11" s="24" t="inlineStr">
        <is>
          <t>担保债权金额</t>
        </is>
      </c>
      <c r="G11" s="24" t="n"/>
      <c r="H11" s="24" t="n"/>
      <c r="I11" s="24" t="inlineStr"/>
      <c r="J11" s="24" t="inlineStr">
        <is>
          <t>2023/01/12</t>
        </is>
      </c>
    </row>
    <row r="12">
      <c r="B12" s="24" t="inlineStr">
        <is>
          <t>guaranty_relative</t>
        </is>
      </c>
      <c r="C12" s="24" t="inlineStr">
        <is>
          <t>DESCRIPTION</t>
        </is>
      </c>
      <c r="D12" s="24" t="inlineStr">
        <is>
          <t>varchar(200)</t>
        </is>
      </c>
      <c r="E12" s="24" t="inlineStr">
        <is>
          <t>YES</t>
        </is>
      </c>
      <c r="F12" s="24" t="inlineStr">
        <is>
          <t>他项权证内容</t>
        </is>
      </c>
      <c r="G12" s="24" t="n"/>
      <c r="H12" s="24" t="n"/>
      <c r="I12" s="24" t="inlineStr"/>
      <c r="J12" s="24" t="inlineStr">
        <is>
          <t>2023/01/12</t>
        </is>
      </c>
    </row>
    <row r="13">
      <c r="B13" s="24" t="inlineStr">
        <is>
          <t>guaranty_relative</t>
        </is>
      </c>
      <c r="C13" s="24" t="inlineStr">
        <is>
          <t>SOURCETYPE</t>
        </is>
      </c>
      <c r="D13" s="24" t="inlineStr">
        <is>
          <t>varchar(18)</t>
        </is>
      </c>
      <c r="E13" s="24" t="inlineStr">
        <is>
          <t>YES</t>
        </is>
      </c>
      <c r="F13" s="24" t="inlineStr">
        <is>
          <t>数据来源类型</t>
        </is>
      </c>
      <c r="G13" s="24" t="n"/>
      <c r="H13" s="24" t="n"/>
      <c r="I13" s="24" t="inlineStr"/>
      <c r="J13" s="24" t="inlineStr">
        <is>
          <t>2023/01/12</t>
        </is>
      </c>
    </row>
    <row r="14">
      <c r="B14" s="24" t="inlineStr">
        <is>
          <t>guaranty_relative</t>
        </is>
      </c>
      <c r="C14" s="24" t="inlineStr">
        <is>
          <t>REMARK</t>
        </is>
      </c>
      <c r="D14" s="24" t="inlineStr">
        <is>
          <t>varchar(1000)</t>
        </is>
      </c>
      <c r="E14" s="24" t="inlineStr">
        <is>
          <t>YES</t>
        </is>
      </c>
      <c r="F14" s="24" t="inlineStr">
        <is>
          <t>备注</t>
        </is>
      </c>
      <c r="G14" s="24" t="n"/>
      <c r="H14" s="24" t="n"/>
      <c r="I14" s="24" t="inlineStr"/>
      <c r="J14" s="24" t="inlineStr">
        <is>
          <t>2023/01/12</t>
        </is>
      </c>
    </row>
    <row r="15">
      <c r="B15" s="24" t="inlineStr">
        <is>
          <t>guaranty_relative</t>
        </is>
      </c>
      <c r="C15" s="24" t="inlineStr">
        <is>
          <t>INPUTORGID</t>
        </is>
      </c>
      <c r="D15" s="24" t="inlineStr">
        <is>
          <t>varchar(32)</t>
        </is>
      </c>
      <c r="E15" s="24" t="inlineStr">
        <is>
          <t>YES</t>
        </is>
      </c>
      <c r="F15" s="24" t="inlineStr">
        <is>
          <t>登记机构</t>
        </is>
      </c>
      <c r="G15" s="24" t="n"/>
      <c r="H15" s="24" t="n"/>
      <c r="I15" s="24" t="inlineStr"/>
      <c r="J15" s="24" t="inlineStr">
        <is>
          <t>2023/01/12</t>
        </is>
      </c>
    </row>
    <row r="16">
      <c r="B16" s="24" t="inlineStr">
        <is>
          <t>guaranty_relative</t>
        </is>
      </c>
      <c r="C16" s="24" t="inlineStr">
        <is>
          <t>INPUTUSERID</t>
        </is>
      </c>
      <c r="D16" s="24" t="inlineStr">
        <is>
          <t>varchar(80)</t>
        </is>
      </c>
      <c r="E16" s="24" t="inlineStr">
        <is>
          <t>YES</t>
        </is>
      </c>
      <c r="F16" s="24" t="inlineStr">
        <is>
          <t>登记人</t>
        </is>
      </c>
      <c r="G16" s="24" t="n"/>
      <c r="H16" s="24" t="n"/>
      <c r="I16" s="24" t="inlineStr"/>
      <c r="J16" s="24" t="inlineStr">
        <is>
          <t>2023/01/12</t>
        </is>
      </c>
    </row>
    <row r="17">
      <c r="B17" s="24" t="inlineStr">
        <is>
          <t>guaranty_relative</t>
        </is>
      </c>
      <c r="C17" s="24" t="inlineStr">
        <is>
          <t>INPUTDATE</t>
        </is>
      </c>
      <c r="D17" s="24" t="inlineStr">
        <is>
          <t>datetime</t>
        </is>
      </c>
      <c r="E17" s="24" t="inlineStr">
        <is>
          <t>YES</t>
        </is>
      </c>
      <c r="F17" s="24" t="inlineStr">
        <is>
          <t>登记日期</t>
        </is>
      </c>
      <c r="G17" s="24" t="n"/>
      <c r="H17" s="24" t="n"/>
      <c r="I17" s="24" t="inlineStr"/>
      <c r="J17" s="24" t="inlineStr">
        <is>
          <t>2023/01/12</t>
        </is>
      </c>
    </row>
    <row r="18">
      <c r="B18" s="24" t="inlineStr">
        <is>
          <t>guaranty_relative</t>
        </is>
      </c>
      <c r="C18" s="24" t="inlineStr">
        <is>
          <t>UPDATEORGID</t>
        </is>
      </c>
      <c r="D18" s="24" t="inlineStr">
        <is>
          <t>varchar(32)</t>
        </is>
      </c>
      <c r="E18" s="24" t="inlineStr">
        <is>
          <t>YES</t>
        </is>
      </c>
      <c r="F18" s="24" t="inlineStr">
        <is>
          <t>更新机构</t>
        </is>
      </c>
      <c r="G18" s="24" t="n"/>
      <c r="H18" s="24" t="n"/>
      <c r="I18" s="24" t="inlineStr"/>
      <c r="J18" s="24" t="inlineStr">
        <is>
          <t>2023/01/12</t>
        </is>
      </c>
    </row>
    <row r="19">
      <c r="B19" s="24" t="inlineStr">
        <is>
          <t>guaranty_relative</t>
        </is>
      </c>
      <c r="C19" s="24" t="inlineStr">
        <is>
          <t>UPDATEUSERID</t>
        </is>
      </c>
      <c r="D19" s="24" t="inlineStr">
        <is>
          <t>varchar(80)</t>
        </is>
      </c>
      <c r="E19" s="24" t="inlineStr">
        <is>
          <t>YES</t>
        </is>
      </c>
      <c r="F19" s="24" t="inlineStr">
        <is>
          <t>更新人</t>
        </is>
      </c>
      <c r="G19" s="24" t="n"/>
      <c r="H19" s="24" t="n"/>
      <c r="I19" s="24" t="inlineStr"/>
      <c r="J19" s="24" t="inlineStr">
        <is>
          <t>2023/01/12</t>
        </is>
      </c>
    </row>
    <row r="20">
      <c r="B20" s="24" t="inlineStr">
        <is>
          <t>guaranty_relative</t>
        </is>
      </c>
      <c r="C20" s="24" t="inlineStr">
        <is>
          <t>UPDATEDATE</t>
        </is>
      </c>
      <c r="D20" s="24" t="inlineStr">
        <is>
          <t>datetime</t>
        </is>
      </c>
      <c r="E20" s="24" t="inlineStr">
        <is>
          <t>YES</t>
        </is>
      </c>
      <c r="F20" s="24" t="inlineStr">
        <is>
          <t>更新日期</t>
        </is>
      </c>
      <c r="G20" s="24" t="n"/>
      <c r="H20" s="24" t="n"/>
      <c r="I20" s="24" t="inlineStr"/>
      <c r="J20" s="24" t="inlineStr">
        <is>
          <t>2023/01/12</t>
        </is>
      </c>
    </row>
    <row r="21">
      <c r="B21" s="24" t="inlineStr">
        <is>
          <t>guaranty_relative</t>
        </is>
      </c>
      <c r="C21" s="24" t="inlineStr">
        <is>
          <t>ISCLRVERIFICATION</t>
        </is>
      </c>
      <c r="D21" s="24" t="inlineStr">
        <is>
          <t>varchar(18)</t>
        </is>
      </c>
      <c r="E21" s="24" t="inlineStr">
        <is>
          <t>YES</t>
        </is>
      </c>
      <c r="F21" s="24" t="inlineStr">
        <is>
          <t>是否已核押登记</t>
        </is>
      </c>
      <c r="G21" s="24" t="n"/>
      <c r="H21" s="24" t="n"/>
      <c r="I21" s="24" t="inlineStr"/>
      <c r="J21" s="24" t="inlineStr">
        <is>
          <t>2023/01/12</t>
        </is>
      </c>
    </row>
    <row r="22">
      <c r="B22" s="24" t="inlineStr">
        <is>
          <t>guaranty_relative</t>
        </is>
      </c>
      <c r="C22" s="109" t="inlineStr">
        <is>
          <t>ISCLRREGISTER</t>
        </is>
      </c>
      <c r="D22" s="24" t="inlineStr">
        <is>
          <t>varchar(18)</t>
        </is>
      </c>
      <c r="E22" s="109" t="inlineStr">
        <is>
          <t>YES</t>
        </is>
      </c>
      <c r="F22" s="109" t="inlineStr">
        <is>
          <t>是否已抵质押登记</t>
        </is>
      </c>
      <c r="G22" s="109" t="n"/>
      <c r="H22" s="109" t="n"/>
      <c r="I22" s="109" t="inlineStr"/>
      <c r="J22" s="24" t="inlineStr">
        <is>
          <t>2023/01/12</t>
        </is>
      </c>
    </row>
    <row r="23">
      <c r="B23" s="56" t="inlineStr">
        <is>
          <t>guaranty_relative</t>
        </is>
      </c>
      <c r="C23" s="60" t="inlineStr">
        <is>
          <t>STATUS</t>
        </is>
      </c>
      <c r="D23" s="58" t="inlineStr">
        <is>
          <t>varchar(8)</t>
        </is>
      </c>
      <c r="E23" s="60" t="inlineStr">
        <is>
          <t>YES</t>
        </is>
      </c>
      <c r="F23" s="59" t="inlineStr">
        <is>
          <t>状态</t>
        </is>
      </c>
      <c r="G23" s="60" t="n"/>
      <c r="H23" s="59" t="inlineStr">
        <is>
          <t>生效、失效</t>
        </is>
      </c>
      <c r="I23" s="60" t="n"/>
      <c r="J23" s="183" t="n">
        <v>45740</v>
      </c>
    </row>
    <row r="24" ht="16" customHeight="1" s="170">
      <c r="B24" s="56" t="inlineStr">
        <is>
          <t>guaranty_relative</t>
        </is>
      </c>
      <c r="C24" s="60" t="inlineStr">
        <is>
          <t>BASERIALNO</t>
        </is>
      </c>
      <c r="D24" s="58" t="inlineStr">
        <is>
          <t>varchar(32)</t>
        </is>
      </c>
      <c r="E24" s="60" t="inlineStr">
        <is>
          <t>YES</t>
        </is>
      </c>
      <c r="F24" s="59" t="inlineStr">
        <is>
          <t>业务申请流水号</t>
        </is>
      </c>
      <c r="G24" s="60" t="n"/>
      <c r="H24" s="60" t="inlineStr">
        <is>
          <t>BA申请流水号</t>
        </is>
      </c>
      <c r="I24" s="60" t="n"/>
      <c r="J24" s="183" t="n">
        <v>45740</v>
      </c>
    </row>
    <row r="25">
      <c r="B25" s="56" t="inlineStr">
        <is>
          <t>guaranty_relative</t>
        </is>
      </c>
      <c r="C25" s="60" t="inlineStr">
        <is>
          <t>EVALUERECORDNO</t>
        </is>
      </c>
      <c r="D25" s="58" t="inlineStr">
        <is>
          <t>varchar(32)</t>
        </is>
      </c>
      <c r="E25" s="60" t="inlineStr">
        <is>
          <t>YES</t>
        </is>
      </c>
      <c r="F25" s="59" t="inlineStr">
        <is>
          <t>评估流水号</t>
        </is>
      </c>
      <c r="G25" s="60" t="n"/>
      <c r="H25" s="60" t="n"/>
      <c r="I25" s="60" t="n"/>
      <c r="J25" s="183" t="n">
        <v>45740</v>
      </c>
    </row>
    <row r="26">
      <c r="B26" s="56" t="inlineStr">
        <is>
          <t>guaranty_relative</t>
        </is>
      </c>
      <c r="C26" s="60" t="inlineStr">
        <is>
          <t>ORGNAME</t>
        </is>
      </c>
      <c r="D26" s="58" t="inlineStr">
        <is>
          <t>varchar(32)</t>
        </is>
      </c>
      <c r="E26" s="60" t="inlineStr">
        <is>
          <t>YES</t>
        </is>
      </c>
      <c r="F26" s="59" t="inlineStr">
        <is>
          <t>账务机构名称</t>
        </is>
      </c>
      <c r="G26" s="60" t="n"/>
      <c r="H26" s="60" t="n"/>
      <c r="I26" s="60" t="n"/>
      <c r="J26" s="183" t="n">
        <v>45740</v>
      </c>
    </row>
    <row r="27">
      <c r="B27" s="56" t="inlineStr">
        <is>
          <t>guaranty_relative</t>
        </is>
      </c>
      <c r="C27" s="60" t="inlineStr">
        <is>
          <t>ORGNO</t>
        </is>
      </c>
      <c r="D27" s="58" t="inlineStr">
        <is>
          <t>varchar(32)</t>
        </is>
      </c>
      <c r="E27" s="60" t="inlineStr">
        <is>
          <t>YES</t>
        </is>
      </c>
      <c r="F27" s="59" t="inlineStr">
        <is>
          <t>账务机构编号</t>
        </is>
      </c>
      <c r="G27" s="60" t="n"/>
      <c r="H27" s="60" t="n"/>
      <c r="I27" s="60" t="n"/>
      <c r="J27" s="183" t="n">
        <v>45740</v>
      </c>
    </row>
  </sheetData>
  <pageMargins left="0.75" right="0.75" top="1" bottom="1" header="0.5" footer="0.5"/>
  <pageSetup orientation="portrait" paperSize="1" horizontalDpi="300" verticalDpi="300"/>
</worksheet>
</file>

<file path=xl/worksheets/sheet149.xml><?xml version="1.0" encoding="utf-8"?>
<worksheet xmlns="http://schemas.openxmlformats.org/spreadsheetml/2006/main">
  <sheetPr>
    <outlinePr summaryBelow="1" summaryRight="1"/>
    <pageSetUpPr/>
  </sheetPr>
  <dimension ref="A1:J18"/>
  <sheetViews>
    <sheetView zoomScaleSheetLayoutView="60" workbookViewId="0">
      <selection activeCell="D20" sqref="D20:D2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安全选项变更日志表;用户痕迹表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log_auditinfo</t>
        </is>
      </c>
      <c r="C3" s="24" t="inlineStr">
        <is>
          <t>AUDITTYPE</t>
        </is>
      </c>
      <c r="D3" s="24" t="inlineStr">
        <is>
          <t>varchar(32)</t>
        </is>
      </c>
      <c r="E3" s="24" t="inlineStr">
        <is>
          <t>YES</t>
        </is>
      </c>
      <c r="F3" s="24" t="inlineStr">
        <is>
          <t>审计类型</t>
        </is>
      </c>
      <c r="G3" s="24" t="n"/>
      <c r="H3" s="24" t="n"/>
      <c r="I3" s="24" t="inlineStr"/>
      <c r="J3" s="24" t="inlineStr">
        <is>
          <t>2023/01/12</t>
        </is>
      </c>
    </row>
    <row r="4">
      <c r="B4" s="24" t="inlineStr">
        <is>
          <t>log_auditinfo</t>
        </is>
      </c>
      <c r="C4" s="24" t="inlineStr">
        <is>
          <t>USERID</t>
        </is>
      </c>
      <c r="D4" s="24" t="inlineStr">
        <is>
          <t>varchar(32)</t>
        </is>
      </c>
      <c r="E4" s="24" t="inlineStr">
        <is>
          <t>YES</t>
        </is>
      </c>
      <c r="F4" s="24" t="inlineStr">
        <is>
          <t>用户编号</t>
        </is>
      </c>
      <c r="G4" s="24" t="n"/>
      <c r="H4" s="24" t="n"/>
      <c r="I4" s="24" t="inlineStr"/>
      <c r="J4" s="24" t="inlineStr">
        <is>
          <t>2023/01/12</t>
        </is>
      </c>
    </row>
    <row r="5">
      <c r="B5" s="24" t="inlineStr">
        <is>
          <t>log_auditinfo</t>
        </is>
      </c>
      <c r="C5" s="24" t="inlineStr">
        <is>
          <t>USERNAME</t>
        </is>
      </c>
      <c r="D5" s="24" t="inlineStr">
        <is>
          <t>varchar(80)</t>
        </is>
      </c>
      <c r="E5" s="24" t="inlineStr">
        <is>
          <t>YES</t>
        </is>
      </c>
      <c r="F5" s="24" t="inlineStr">
        <is>
          <t>用户名称</t>
        </is>
      </c>
      <c r="G5" s="24" t="n"/>
      <c r="H5" s="24" t="n"/>
      <c r="I5" s="24" t="inlineStr"/>
      <c r="J5" s="24" t="inlineStr">
        <is>
          <t>2023/01/12</t>
        </is>
      </c>
    </row>
    <row r="6">
      <c r="B6" s="24" t="inlineStr">
        <is>
          <t>log_auditinfo</t>
        </is>
      </c>
      <c r="C6" s="24" t="inlineStr">
        <is>
          <t>CHANGEUSERID</t>
        </is>
      </c>
      <c r="D6" s="24" t="inlineStr">
        <is>
          <t>varchar(32)</t>
        </is>
      </c>
      <c r="E6" s="24" t="inlineStr">
        <is>
          <t>YES</t>
        </is>
      </c>
      <c r="F6" s="24" t="inlineStr">
        <is>
          <t>替换用户编号</t>
        </is>
      </c>
      <c r="G6" s="24" t="n"/>
      <c r="H6" s="24" t="n"/>
      <c r="I6" s="24" t="inlineStr"/>
      <c r="J6" s="24" t="inlineStr">
        <is>
          <t>2023/01/12</t>
        </is>
      </c>
    </row>
    <row r="7">
      <c r="B7" s="24" t="inlineStr">
        <is>
          <t>log_auditinfo</t>
        </is>
      </c>
      <c r="C7" s="24" t="inlineStr">
        <is>
          <t>CHANGEUSERNAME</t>
        </is>
      </c>
      <c r="D7" s="24" t="inlineStr">
        <is>
          <t>varchar(80)</t>
        </is>
      </c>
      <c r="E7" s="24" t="inlineStr">
        <is>
          <t>YES</t>
        </is>
      </c>
      <c r="F7" s="24" t="inlineStr">
        <is>
          <t>替换用户名称</t>
        </is>
      </c>
      <c r="G7" s="24" t="n"/>
      <c r="H7" s="24" t="n"/>
      <c r="I7" s="24" t="inlineStr"/>
      <c r="J7" s="24" t="inlineStr">
        <is>
          <t>2023/01/12</t>
        </is>
      </c>
    </row>
    <row r="8">
      <c r="B8" s="24" t="inlineStr">
        <is>
          <t>log_auditinfo</t>
        </is>
      </c>
      <c r="C8" s="24" t="inlineStr">
        <is>
          <t>BEGINTIME</t>
        </is>
      </c>
      <c r="D8" s="24" t="inlineStr">
        <is>
          <t>varchar(32)</t>
        </is>
      </c>
      <c r="E8" s="24" t="inlineStr">
        <is>
          <t>YES</t>
        </is>
      </c>
      <c r="F8" s="24" t="inlineStr">
        <is>
          <t>开始时间</t>
        </is>
      </c>
      <c r="G8" s="24" t="n"/>
      <c r="H8" s="24" t="n"/>
      <c r="I8" s="24" t="inlineStr"/>
      <c r="J8" s="24" t="inlineStr">
        <is>
          <t>2023/01/12</t>
        </is>
      </c>
    </row>
    <row r="9">
      <c r="B9" s="24" t="inlineStr">
        <is>
          <t>log_auditinfo</t>
        </is>
      </c>
      <c r="C9" s="24" t="inlineStr">
        <is>
          <t>REMARK</t>
        </is>
      </c>
      <c r="D9" s="24" t="inlineStr">
        <is>
          <t>varchar(500)</t>
        </is>
      </c>
      <c r="E9" s="24" t="inlineStr">
        <is>
          <t>YES</t>
        </is>
      </c>
      <c r="F9" s="24" t="inlineStr">
        <is>
          <t>备注</t>
        </is>
      </c>
      <c r="G9" s="24" t="n"/>
      <c r="H9" s="24" t="n"/>
      <c r="I9" s="24" t="inlineStr"/>
      <c r="J9" s="24" t="inlineStr">
        <is>
          <t>2023/01/12</t>
        </is>
      </c>
    </row>
    <row r="10">
      <c r="B10" s="24" t="inlineStr">
        <is>
          <t>log_auditinfo</t>
        </is>
      </c>
      <c r="C10" s="24" t="inlineStr">
        <is>
          <t>REMARK2</t>
        </is>
      </c>
      <c r="D10" s="24" t="inlineStr">
        <is>
          <t>varchar(500)</t>
        </is>
      </c>
      <c r="E10" s="24" t="inlineStr">
        <is>
          <t>YES</t>
        </is>
      </c>
      <c r="F10" s="24" t="inlineStr">
        <is>
          <t>备注2</t>
        </is>
      </c>
      <c r="G10" s="24" t="n"/>
      <c r="H10" s="24" t="n"/>
      <c r="I10" s="24" t="inlineStr"/>
      <c r="J10" s="24" t="inlineStr">
        <is>
          <t>2023/01/12</t>
        </is>
      </c>
    </row>
    <row r="11">
      <c r="B11" s="24" t="inlineStr">
        <is>
          <t>log_auditinfo</t>
        </is>
      </c>
      <c r="C11" s="24" t="inlineStr">
        <is>
          <t>RUNSQL</t>
        </is>
      </c>
      <c r="D11" s="24" t="inlineStr">
        <is>
          <t>varchar(500)</t>
        </is>
      </c>
      <c r="E11" s="24" t="inlineStr">
        <is>
          <t>YES</t>
        </is>
      </c>
      <c r="F11" s="24" t="inlineStr">
        <is>
          <t>sql运行语句</t>
        </is>
      </c>
      <c r="G11" s="24" t="n"/>
      <c r="H11" s="24" t="n"/>
      <c r="I11" s="24" t="inlineStr"/>
      <c r="J11" s="24" t="inlineStr">
        <is>
          <t>2023/01/12</t>
        </is>
      </c>
    </row>
    <row r="12">
      <c r="B12" s="24" t="inlineStr">
        <is>
          <t>log_auditinfo</t>
        </is>
      </c>
      <c r="C12" s="24" t="inlineStr">
        <is>
          <t>LOGID</t>
        </is>
      </c>
      <c r="D12" s="24" t="inlineStr">
        <is>
          <t>varchar(32)</t>
        </is>
      </c>
      <c r="E12" s="24" t="inlineStr">
        <is>
          <t>NO</t>
        </is>
      </c>
      <c r="F12" s="24" t="inlineStr">
        <is>
          <t>日志编号</t>
        </is>
      </c>
      <c r="G12" s="24" t="n"/>
      <c r="H12" s="24" t="n"/>
      <c r="I12" s="24" t="inlineStr"/>
      <c r="J12" s="24" t="inlineStr">
        <is>
          <t>2023/01/12</t>
        </is>
      </c>
    </row>
    <row r="13">
      <c r="B13" s="24" t="inlineStr">
        <is>
          <t>log_auditinfo</t>
        </is>
      </c>
      <c r="C13" s="24" t="inlineStr">
        <is>
          <t>INPUTORGID</t>
        </is>
      </c>
      <c r="D13" s="24" t="inlineStr">
        <is>
          <t>varchar(32)</t>
        </is>
      </c>
      <c r="E13" s="24" t="inlineStr">
        <is>
          <t>YES</t>
        </is>
      </c>
      <c r="F13" s="24" t="inlineStr">
        <is>
          <t>登记机构</t>
        </is>
      </c>
      <c r="G13" s="24" t="n"/>
      <c r="H13" s="24" t="n"/>
      <c r="I13" s="24" t="inlineStr"/>
      <c r="J13" s="24" t="inlineStr">
        <is>
          <t>2023/01/12</t>
        </is>
      </c>
    </row>
    <row r="14">
      <c r="B14" s="24" t="inlineStr">
        <is>
          <t>log_auditinfo</t>
        </is>
      </c>
      <c r="C14" s="24" t="inlineStr">
        <is>
          <t>INPUTUSERID</t>
        </is>
      </c>
      <c r="D14" s="24" t="inlineStr">
        <is>
          <t>varchar(32)</t>
        </is>
      </c>
      <c r="E14" s="24" t="inlineStr">
        <is>
          <t>YES</t>
        </is>
      </c>
      <c r="F14" s="24" t="inlineStr">
        <is>
          <t>登记人</t>
        </is>
      </c>
      <c r="G14" s="24" t="n"/>
      <c r="H14" s="24" t="n"/>
      <c r="I14" s="24" t="inlineStr"/>
      <c r="J14" s="24" t="inlineStr">
        <is>
          <t>2023/01/12</t>
        </is>
      </c>
    </row>
    <row r="15">
      <c r="B15" s="24" t="inlineStr">
        <is>
          <t>log_auditinfo</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log_auditinfo</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log_auditinfo</t>
        </is>
      </c>
      <c r="C17" s="24" t="inlineStr">
        <is>
          <t>UPDATEUSERID</t>
        </is>
      </c>
      <c r="D17" s="24" t="inlineStr">
        <is>
          <t>varchar(32)</t>
        </is>
      </c>
      <c r="E17" s="24" t="inlineStr">
        <is>
          <t>YES</t>
        </is>
      </c>
      <c r="F17" s="24" t="inlineStr">
        <is>
          <t>更新人</t>
        </is>
      </c>
      <c r="G17" s="24" t="n"/>
      <c r="H17" s="24" t="n"/>
      <c r="I17" s="24" t="inlineStr"/>
      <c r="J17" s="24" t="inlineStr">
        <is>
          <t>2023/01/12</t>
        </is>
      </c>
    </row>
    <row r="18">
      <c r="B18" s="24" t="inlineStr">
        <is>
          <t>log_auditinfo</t>
        </is>
      </c>
      <c r="C18" s="24" t="inlineStr">
        <is>
          <t>UPDATEDATE</t>
        </is>
      </c>
      <c r="D18" s="24" t="inlineStr">
        <is>
          <t>datetime</t>
        </is>
      </c>
      <c r="E18" s="24" t="inlineStr">
        <is>
          <t>YES</t>
        </is>
      </c>
      <c r="F18" s="24" t="inlineStr">
        <is>
          <t>更新日期</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150.xml><?xml version="1.0" encoding="utf-8"?>
<worksheet xmlns="http://schemas.openxmlformats.org/spreadsheetml/2006/main">
  <sheetPr>
    <outlinePr summaryBelow="1" summaryRight="1"/>
    <pageSetUpPr/>
  </sheetPr>
  <dimension ref="A1:J25"/>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管理人变更记录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manage_change</t>
        </is>
      </c>
      <c r="C3" s="24" t="inlineStr">
        <is>
          <t>OBJECTTYPE</t>
        </is>
      </c>
      <c r="D3" s="24" t="inlineStr">
        <is>
          <t>varchar(32)</t>
        </is>
      </c>
      <c r="E3" s="24" t="inlineStr">
        <is>
          <t>NO</t>
        </is>
      </c>
      <c r="F3" s="24" t="inlineStr">
        <is>
          <t>类型</t>
        </is>
      </c>
      <c r="G3" s="24" t="n"/>
      <c r="H3" s="24" t="n"/>
      <c r="I3" s="24" t="inlineStr"/>
      <c r="J3" s="24" t="inlineStr">
        <is>
          <t>2023/01/12</t>
        </is>
      </c>
    </row>
    <row r="4">
      <c r="B4" s="24" t="inlineStr">
        <is>
          <t>manage_change</t>
        </is>
      </c>
      <c r="C4" s="24" t="inlineStr">
        <is>
          <t>OBJECTNO</t>
        </is>
      </c>
      <c r="D4" s="24" t="inlineStr">
        <is>
          <t>varchar(32)</t>
        </is>
      </c>
      <c r="E4" s="24" t="inlineStr">
        <is>
          <t>NO</t>
        </is>
      </c>
      <c r="F4" s="24" t="inlineStr">
        <is>
          <t>编号</t>
        </is>
      </c>
      <c r="G4" s="24" t="n"/>
      <c r="H4" s="24" t="n"/>
      <c r="I4" s="24" t="inlineStr"/>
      <c r="J4" s="24" t="inlineStr">
        <is>
          <t>2023/01/12</t>
        </is>
      </c>
    </row>
    <row r="5">
      <c r="B5" s="24" t="inlineStr">
        <is>
          <t>manage_change</t>
        </is>
      </c>
      <c r="C5" s="24" t="inlineStr">
        <is>
          <t>SERIALNO</t>
        </is>
      </c>
      <c r="D5" s="24" t="inlineStr">
        <is>
          <t>varchar(32)</t>
        </is>
      </c>
      <c r="E5" s="24" t="inlineStr">
        <is>
          <t>NO</t>
        </is>
      </c>
      <c r="F5" s="24" t="inlineStr">
        <is>
          <t>历次变更记录流水号</t>
        </is>
      </c>
      <c r="G5" s="24" t="n"/>
      <c r="H5" s="24" t="n"/>
      <c r="I5" s="24" t="inlineStr"/>
      <c r="J5" s="24" t="inlineStr">
        <is>
          <t>2023/01/12</t>
        </is>
      </c>
    </row>
    <row r="6">
      <c r="B6" s="24" t="inlineStr">
        <is>
          <t>manage_change</t>
        </is>
      </c>
      <c r="C6" s="24" t="inlineStr">
        <is>
          <t>CHANGETYPE</t>
        </is>
      </c>
      <c r="D6" s="24" t="inlineStr">
        <is>
          <t>varchar(32)</t>
        </is>
      </c>
      <c r="E6" s="24" t="inlineStr">
        <is>
          <t>YES</t>
        </is>
      </c>
      <c r="F6" s="24" t="inlineStr">
        <is>
          <t>变更类型</t>
        </is>
      </c>
      <c r="G6" s="24" t="n"/>
      <c r="H6" s="24" t="n"/>
      <c r="I6" s="24" t="inlineStr"/>
      <c r="J6" s="24" t="inlineStr">
        <is>
          <t>2023/01/12</t>
        </is>
      </c>
    </row>
    <row r="7">
      <c r="B7" s="24" t="inlineStr">
        <is>
          <t>manage_change</t>
        </is>
      </c>
      <c r="C7" s="24" t="inlineStr">
        <is>
          <t>OLDORGID</t>
        </is>
      </c>
      <c r="D7" s="24" t="inlineStr">
        <is>
          <t>varchar(32)</t>
        </is>
      </c>
      <c r="E7" s="24" t="inlineStr">
        <is>
          <t>YES</t>
        </is>
      </c>
      <c r="F7" s="24" t="inlineStr">
        <is>
          <t>原管理机构</t>
        </is>
      </c>
      <c r="G7" s="24" t="n"/>
      <c r="H7" s="24" t="n"/>
      <c r="I7" s="24" t="inlineStr"/>
      <c r="J7" s="24" t="inlineStr">
        <is>
          <t>2023/01/12</t>
        </is>
      </c>
    </row>
    <row r="8">
      <c r="B8" s="24" t="inlineStr">
        <is>
          <t>manage_change</t>
        </is>
      </c>
      <c r="C8" s="24" t="inlineStr">
        <is>
          <t>OLDORGNAME</t>
        </is>
      </c>
      <c r="D8" s="24" t="inlineStr">
        <is>
          <t>varchar(80)</t>
        </is>
      </c>
      <c r="E8" s="24" t="inlineStr">
        <is>
          <t>YES</t>
        </is>
      </c>
      <c r="F8" s="24" t="inlineStr">
        <is>
          <t>原管理机构</t>
        </is>
      </c>
      <c r="G8" s="24" t="n"/>
      <c r="H8" s="24" t="n"/>
      <c r="I8" s="24" t="inlineStr"/>
      <c r="J8" s="24" t="inlineStr">
        <is>
          <t>2023/01/12</t>
        </is>
      </c>
    </row>
    <row r="9">
      <c r="B9" s="24" t="inlineStr">
        <is>
          <t>manage_change</t>
        </is>
      </c>
      <c r="C9" s="24" t="inlineStr">
        <is>
          <t>OLDUSERID</t>
        </is>
      </c>
      <c r="D9" s="24" t="inlineStr">
        <is>
          <t>varchar(32)</t>
        </is>
      </c>
      <c r="E9" s="24" t="inlineStr">
        <is>
          <t>YES</t>
        </is>
      </c>
      <c r="F9" s="24" t="inlineStr">
        <is>
          <t>原管理人</t>
        </is>
      </c>
      <c r="G9" s="24" t="n"/>
      <c r="H9" s="24" t="n"/>
      <c r="I9" s="24" t="inlineStr"/>
      <c r="J9" s="24" t="inlineStr">
        <is>
          <t>2023/01/12</t>
        </is>
      </c>
    </row>
    <row r="10">
      <c r="B10" s="24" t="inlineStr">
        <is>
          <t>manage_change</t>
        </is>
      </c>
      <c r="C10" s="24" t="inlineStr">
        <is>
          <t>OLDUSERNAME</t>
        </is>
      </c>
      <c r="D10" s="24" t="inlineStr">
        <is>
          <t>varchar(80)</t>
        </is>
      </c>
      <c r="E10" s="24" t="inlineStr">
        <is>
          <t>YES</t>
        </is>
      </c>
      <c r="F10" s="24" t="inlineStr">
        <is>
          <t>原管理人</t>
        </is>
      </c>
      <c r="G10" s="24" t="n"/>
      <c r="H10" s="24" t="n"/>
      <c r="I10" s="24" t="inlineStr"/>
      <c r="J10" s="24" t="inlineStr">
        <is>
          <t>2023/01/12</t>
        </is>
      </c>
    </row>
    <row r="11">
      <c r="B11" s="24" t="inlineStr">
        <is>
          <t>manage_change</t>
        </is>
      </c>
      <c r="C11" s="24" t="inlineStr">
        <is>
          <t>NEWORGID</t>
        </is>
      </c>
      <c r="D11" s="24" t="inlineStr">
        <is>
          <t>varchar(32)</t>
        </is>
      </c>
      <c r="E11" s="24" t="inlineStr">
        <is>
          <t>YES</t>
        </is>
      </c>
      <c r="F11" s="24" t="inlineStr">
        <is>
          <t>现管理机构</t>
        </is>
      </c>
      <c r="G11" s="24" t="n"/>
      <c r="H11" s="24" t="n"/>
      <c r="I11" s="24" t="inlineStr"/>
      <c r="J11" s="24" t="inlineStr">
        <is>
          <t>2023/01/12</t>
        </is>
      </c>
    </row>
    <row r="12">
      <c r="B12" s="24" t="inlineStr">
        <is>
          <t>manage_change</t>
        </is>
      </c>
      <c r="C12" s="24" t="inlineStr">
        <is>
          <t>NEWORGNAME</t>
        </is>
      </c>
      <c r="D12" s="24" t="inlineStr">
        <is>
          <t>varchar(80)</t>
        </is>
      </c>
      <c r="E12" s="24" t="inlineStr">
        <is>
          <t>YES</t>
        </is>
      </c>
      <c r="F12" s="24" t="inlineStr">
        <is>
          <t>现管理机构</t>
        </is>
      </c>
      <c r="G12" s="24" t="n"/>
      <c r="H12" s="24" t="n"/>
      <c r="I12" s="24" t="inlineStr"/>
      <c r="J12" s="24" t="inlineStr">
        <is>
          <t>2023/01/12</t>
        </is>
      </c>
    </row>
    <row r="13">
      <c r="B13" s="24" t="inlineStr">
        <is>
          <t>manage_change</t>
        </is>
      </c>
      <c r="C13" s="24" t="inlineStr">
        <is>
          <t>NEWUSERID</t>
        </is>
      </c>
      <c r="D13" s="24" t="inlineStr">
        <is>
          <t>varchar(32)</t>
        </is>
      </c>
      <c r="E13" s="24" t="inlineStr">
        <is>
          <t>YES</t>
        </is>
      </c>
      <c r="F13" s="24" t="inlineStr">
        <is>
          <t>现管理人</t>
        </is>
      </c>
      <c r="G13" s="24" t="n"/>
      <c r="H13" s="24" t="n"/>
      <c r="I13" s="24" t="inlineStr"/>
      <c r="J13" s="24" t="inlineStr">
        <is>
          <t>2023/01/12</t>
        </is>
      </c>
    </row>
    <row r="14">
      <c r="B14" s="24" t="inlineStr">
        <is>
          <t>manage_change</t>
        </is>
      </c>
      <c r="C14" s="24" t="inlineStr">
        <is>
          <t>NEWUSERNAME</t>
        </is>
      </c>
      <c r="D14" s="24" t="inlineStr">
        <is>
          <t>varchar(80)</t>
        </is>
      </c>
      <c r="E14" s="24" t="inlineStr">
        <is>
          <t>YES</t>
        </is>
      </c>
      <c r="F14" s="24" t="inlineStr">
        <is>
          <t>现管理人</t>
        </is>
      </c>
      <c r="G14" s="24" t="n"/>
      <c r="H14" s="24" t="n"/>
      <c r="I14" s="24" t="inlineStr"/>
      <c r="J14" s="24" t="inlineStr">
        <is>
          <t>2023/01/12</t>
        </is>
      </c>
    </row>
    <row r="15">
      <c r="B15" s="24" t="inlineStr">
        <is>
          <t>manage_change</t>
        </is>
      </c>
      <c r="C15" s="24" t="inlineStr">
        <is>
          <t>CHANGEREASON</t>
        </is>
      </c>
      <c r="D15" s="24" t="inlineStr">
        <is>
          <t>varchar(500)</t>
        </is>
      </c>
      <c r="E15" s="24" t="inlineStr">
        <is>
          <t>YES</t>
        </is>
      </c>
      <c r="F15" s="24" t="inlineStr">
        <is>
          <t>变更原因</t>
        </is>
      </c>
      <c r="G15" s="24" t="n"/>
      <c r="H15" s="24" t="n"/>
      <c r="I15" s="24" t="inlineStr"/>
      <c r="J15" s="24" t="inlineStr">
        <is>
          <t>2023/01/12</t>
        </is>
      </c>
    </row>
    <row r="16">
      <c r="B16" s="24" t="inlineStr">
        <is>
          <t>manage_change</t>
        </is>
      </c>
      <c r="C16" s="24" t="inlineStr">
        <is>
          <t>CHANGEORGID</t>
        </is>
      </c>
      <c r="D16" s="24" t="inlineStr">
        <is>
          <t>varchar(32)</t>
        </is>
      </c>
      <c r="E16" s="24" t="inlineStr">
        <is>
          <t>YES</t>
        </is>
      </c>
      <c r="F16" s="24" t="inlineStr">
        <is>
          <t>变更机构</t>
        </is>
      </c>
      <c r="G16" s="24" t="n"/>
      <c r="H16" s="24" t="n"/>
      <c r="I16" s="24" t="inlineStr"/>
      <c r="J16" s="24" t="inlineStr">
        <is>
          <t>2023/01/12</t>
        </is>
      </c>
    </row>
    <row r="17">
      <c r="B17" s="24" t="inlineStr">
        <is>
          <t>manage_change</t>
        </is>
      </c>
      <c r="C17" s="24" t="inlineStr">
        <is>
          <t>CHANGEUSERID</t>
        </is>
      </c>
      <c r="D17" s="24" t="inlineStr">
        <is>
          <t>varchar(32)</t>
        </is>
      </c>
      <c r="E17" s="24" t="inlineStr">
        <is>
          <t>YES</t>
        </is>
      </c>
      <c r="F17" s="24" t="inlineStr">
        <is>
          <t>变更人</t>
        </is>
      </c>
      <c r="G17" s="24" t="n"/>
      <c r="H17" s="24" t="n"/>
      <c r="I17" s="24" t="inlineStr"/>
      <c r="J17" s="24" t="inlineStr">
        <is>
          <t>2023/01/12</t>
        </is>
      </c>
    </row>
    <row r="18">
      <c r="B18" s="24" t="inlineStr">
        <is>
          <t>manage_change</t>
        </is>
      </c>
      <c r="C18" s="24" t="inlineStr">
        <is>
          <t>CHANGETIME</t>
        </is>
      </c>
      <c r="D18" s="24" t="inlineStr">
        <is>
          <t>datetime</t>
        </is>
      </c>
      <c r="E18" s="24" t="inlineStr">
        <is>
          <t>YES</t>
        </is>
      </c>
      <c r="F18" s="24" t="inlineStr">
        <is>
          <t>变更日期</t>
        </is>
      </c>
      <c r="G18" s="24" t="n"/>
      <c r="H18" s="24" t="n"/>
      <c r="I18" s="24" t="inlineStr"/>
      <c r="J18" s="24" t="inlineStr">
        <is>
          <t>2023/01/12</t>
        </is>
      </c>
    </row>
    <row r="19">
      <c r="B19" s="24" t="inlineStr">
        <is>
          <t>manage_change</t>
        </is>
      </c>
      <c r="C19" s="24" t="inlineStr">
        <is>
          <t>REMARK</t>
        </is>
      </c>
      <c r="D19" s="24" t="inlineStr">
        <is>
          <t>varchar(500)</t>
        </is>
      </c>
      <c r="E19" s="24" t="inlineStr">
        <is>
          <t>YES</t>
        </is>
      </c>
      <c r="F19" s="24" t="inlineStr">
        <is>
          <t>备注</t>
        </is>
      </c>
      <c r="G19" s="24" t="n"/>
      <c r="H19" s="24" t="n"/>
      <c r="I19" s="24" t="inlineStr"/>
      <c r="J19" s="24" t="inlineStr">
        <is>
          <t>2023/01/12</t>
        </is>
      </c>
    </row>
    <row r="20">
      <c r="B20" s="24" t="inlineStr">
        <is>
          <t>manage_change</t>
        </is>
      </c>
      <c r="C20" s="24" t="inlineStr">
        <is>
          <t>INPUTORGID</t>
        </is>
      </c>
      <c r="D20" s="24" t="inlineStr">
        <is>
          <t>varchar(32)</t>
        </is>
      </c>
      <c r="E20" s="24" t="inlineStr">
        <is>
          <t>YES</t>
        </is>
      </c>
      <c r="F20" s="24" t="inlineStr">
        <is>
          <t>登记机构</t>
        </is>
      </c>
      <c r="G20" s="24" t="n"/>
      <c r="H20" s="24" t="n"/>
      <c r="I20" s="24" t="inlineStr"/>
      <c r="J20" s="24" t="inlineStr">
        <is>
          <t>2023/01/12</t>
        </is>
      </c>
    </row>
    <row r="21">
      <c r="B21" s="24" t="inlineStr">
        <is>
          <t>manage_change</t>
        </is>
      </c>
      <c r="C21" s="24" t="inlineStr">
        <is>
          <t>INPUTUSERID</t>
        </is>
      </c>
      <c r="D21" s="24" t="inlineStr">
        <is>
          <t>varchar(32)</t>
        </is>
      </c>
      <c r="E21" s="24" t="inlineStr">
        <is>
          <t>YES</t>
        </is>
      </c>
      <c r="F21" s="24" t="inlineStr">
        <is>
          <t>登记人</t>
        </is>
      </c>
      <c r="G21" s="24" t="n"/>
      <c r="H21" s="24" t="n"/>
      <c r="I21" s="24" t="inlineStr"/>
      <c r="J21" s="24" t="inlineStr">
        <is>
          <t>2023/01/12</t>
        </is>
      </c>
    </row>
    <row r="22">
      <c r="B22" s="24" t="inlineStr">
        <is>
          <t>manage_change</t>
        </is>
      </c>
      <c r="C22" s="24" t="inlineStr">
        <is>
          <t>INPUTDATE</t>
        </is>
      </c>
      <c r="D22" s="24" t="inlineStr">
        <is>
          <t>datetime</t>
        </is>
      </c>
      <c r="E22" s="24" t="inlineStr">
        <is>
          <t>YES</t>
        </is>
      </c>
      <c r="F22" s="24" t="inlineStr">
        <is>
          <t>登记日期</t>
        </is>
      </c>
      <c r="G22" s="24" t="n"/>
      <c r="H22" s="24" t="n"/>
      <c r="I22" s="24" t="inlineStr"/>
      <c r="J22" s="24" t="inlineStr">
        <is>
          <t>2023/01/12</t>
        </is>
      </c>
    </row>
    <row r="23">
      <c r="B23" s="24" t="inlineStr">
        <is>
          <t>manage_change</t>
        </is>
      </c>
      <c r="C23" s="24" t="inlineStr">
        <is>
          <t>UPDATEORGID</t>
        </is>
      </c>
      <c r="D23" s="24" t="inlineStr">
        <is>
          <t>varchar(32)</t>
        </is>
      </c>
      <c r="E23" s="24" t="inlineStr">
        <is>
          <t>YES</t>
        </is>
      </c>
      <c r="F23" s="24" t="inlineStr">
        <is>
          <t>更新机构</t>
        </is>
      </c>
      <c r="G23" s="24" t="n"/>
      <c r="H23" s="24" t="n"/>
      <c r="I23" s="24" t="inlineStr"/>
      <c r="J23" s="24" t="inlineStr">
        <is>
          <t>2023/01/12</t>
        </is>
      </c>
    </row>
    <row r="24">
      <c r="B24" s="24" t="inlineStr">
        <is>
          <t>manage_change</t>
        </is>
      </c>
      <c r="C24" s="24" t="inlineStr">
        <is>
          <t>UPDATEUSERID</t>
        </is>
      </c>
      <c r="D24" s="24" t="inlineStr">
        <is>
          <t>varchar(32)</t>
        </is>
      </c>
      <c r="E24" s="24" t="inlineStr">
        <is>
          <t>YES</t>
        </is>
      </c>
      <c r="F24" s="24" t="inlineStr">
        <is>
          <t>更新人</t>
        </is>
      </c>
      <c r="G24" s="24" t="n"/>
      <c r="H24" s="24" t="n"/>
      <c r="I24" s="24" t="inlineStr"/>
      <c r="J24" s="24" t="inlineStr">
        <is>
          <t>2023/01/12</t>
        </is>
      </c>
    </row>
    <row r="25">
      <c r="B25" s="24" t="inlineStr">
        <is>
          <t>manage_change</t>
        </is>
      </c>
      <c r="C25" s="24" t="inlineStr">
        <is>
          <t>UPDATEDATE</t>
        </is>
      </c>
      <c r="D25" s="24" t="inlineStr">
        <is>
          <t>datetime</t>
        </is>
      </c>
      <c r="E25" s="24" t="inlineStr">
        <is>
          <t>YES</t>
        </is>
      </c>
      <c r="F25" s="24" t="inlineStr">
        <is>
          <t>更新日期</t>
        </is>
      </c>
      <c r="G25" s="24" t="n"/>
      <c r="H25" s="24" t="n"/>
      <c r="I25" s="24" t="inlineStr"/>
      <c r="J25" s="24" t="inlineStr">
        <is>
          <t>2023/01/12</t>
        </is>
      </c>
    </row>
  </sheetData>
  <pageMargins left="0.75" right="0.75" top="1" bottom="1" header="0.5" footer="0.5"/>
  <pageSetup orientation="portrait" paperSize="1" horizontalDpi="300" verticalDpi="300"/>
</worksheet>
</file>

<file path=xl/worksheets/sheet151.xml><?xml version="1.0" encoding="utf-8"?>
<worksheet xmlns="http://schemas.openxmlformats.org/spreadsheetml/2006/main">
  <sheetPr>
    <outlinePr summaryBelow="1" summaryRight="1"/>
    <pageSetUpPr/>
  </sheetPr>
  <dimension ref="A1:J20"/>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对象属性信息表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object_attribute</t>
        </is>
      </c>
      <c r="C3" s="24" t="inlineStr">
        <is>
          <t>OBJECTTYPE</t>
        </is>
      </c>
      <c r="D3" s="24" t="inlineStr">
        <is>
          <t>varchar(32)</t>
        </is>
      </c>
      <c r="E3" s="24" t="inlineStr">
        <is>
          <t>NO</t>
        </is>
      </c>
      <c r="F3" s="24" t="inlineStr">
        <is>
          <t>对象类型号</t>
        </is>
      </c>
      <c r="G3" s="24" t="n"/>
      <c r="H3" s="24" t="n"/>
      <c r="I3" s="24" t="inlineStr"/>
      <c r="J3" s="24" t="inlineStr">
        <is>
          <t>2023/01/12</t>
        </is>
      </c>
    </row>
    <row r="4">
      <c r="B4" s="24" t="inlineStr">
        <is>
          <t>object_attribute</t>
        </is>
      </c>
      <c r="C4" s="24" t="inlineStr">
        <is>
          <t>ATTRIBUTEID</t>
        </is>
      </c>
      <c r="D4" s="24" t="inlineStr">
        <is>
          <t>varchar(32)</t>
        </is>
      </c>
      <c r="E4" s="24" t="inlineStr">
        <is>
          <t>NO</t>
        </is>
      </c>
      <c r="F4" s="24" t="inlineStr">
        <is>
          <t>属性ID</t>
        </is>
      </c>
      <c r="G4" s="24" t="n"/>
      <c r="H4" s="24" t="n"/>
      <c r="I4" s="24" t="inlineStr"/>
      <c r="J4" s="24" t="inlineStr">
        <is>
          <t>2023/01/12</t>
        </is>
      </c>
    </row>
    <row r="5">
      <c r="B5" s="24" t="inlineStr">
        <is>
          <t>object_attribute</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object_attribute</t>
        </is>
      </c>
      <c r="C6" s="24" t="inlineStr">
        <is>
          <t>ISINUSE</t>
        </is>
      </c>
      <c r="D6" s="24" t="inlineStr">
        <is>
          <t>varchar(6)</t>
        </is>
      </c>
      <c r="E6" s="24" t="inlineStr">
        <is>
          <t>YES</t>
        </is>
      </c>
      <c r="F6" s="24" t="inlineStr">
        <is>
          <t>是否可用</t>
        </is>
      </c>
      <c r="G6" s="52">
        <f>HYPERLINK("#码值映射清单!B1110","IsInUse")</f>
        <v/>
      </c>
      <c r="H6" s="24" t="n"/>
      <c r="I6" s="24" t="inlineStr"/>
      <c r="J6" s="24" t="inlineStr">
        <is>
          <t>2023/01/12</t>
        </is>
      </c>
    </row>
    <row r="7">
      <c r="B7" s="24" t="inlineStr">
        <is>
          <t>object_attribute</t>
        </is>
      </c>
      <c r="C7" s="24" t="inlineStr">
        <is>
          <t>ATTRIBUTENAME</t>
        </is>
      </c>
      <c r="D7" s="24" t="inlineStr">
        <is>
          <t>varchar(200)</t>
        </is>
      </c>
      <c r="E7" s="24" t="inlineStr">
        <is>
          <t>YES</t>
        </is>
      </c>
      <c r="F7" s="24" t="inlineStr">
        <is>
          <t>属性名称</t>
        </is>
      </c>
      <c r="G7" s="24" t="n"/>
      <c r="H7" s="24" t="n"/>
      <c r="I7" s="24" t="inlineStr"/>
      <c r="J7" s="24" t="inlineStr">
        <is>
          <t>2023/01/12</t>
        </is>
      </c>
    </row>
    <row r="8">
      <c r="B8" s="24" t="inlineStr">
        <is>
          <t>object_attribute</t>
        </is>
      </c>
      <c r="C8" s="24" t="inlineStr">
        <is>
          <t>ATTRIBUTEDESCRIBE</t>
        </is>
      </c>
      <c r="D8" s="24" t="inlineStr">
        <is>
          <t>varchar(200)</t>
        </is>
      </c>
      <c r="E8" s="24" t="inlineStr">
        <is>
          <t>YES</t>
        </is>
      </c>
      <c r="F8" s="24" t="inlineStr">
        <is>
          <t>属性描述</t>
        </is>
      </c>
      <c r="G8" s="24" t="n"/>
      <c r="H8" s="24" t="n"/>
      <c r="I8" s="24" t="inlineStr"/>
      <c r="J8" s="24" t="inlineStr">
        <is>
          <t>2023/01/12</t>
        </is>
      </c>
    </row>
    <row r="9">
      <c r="B9" s="24" t="inlineStr">
        <is>
          <t>object_attribute</t>
        </is>
      </c>
      <c r="C9" s="24" t="inlineStr">
        <is>
          <t>REMARK</t>
        </is>
      </c>
      <c r="D9" s="24" t="inlineStr">
        <is>
          <t>varchar(500)</t>
        </is>
      </c>
      <c r="E9" s="24" t="inlineStr">
        <is>
          <t>YES</t>
        </is>
      </c>
      <c r="F9" s="24" t="inlineStr">
        <is>
          <t>备注</t>
        </is>
      </c>
      <c r="G9" s="24" t="n"/>
      <c r="H9" s="24" t="n"/>
      <c r="I9" s="24" t="inlineStr"/>
      <c r="J9" s="24" t="inlineStr">
        <is>
          <t>2023/01/12</t>
        </is>
      </c>
    </row>
    <row r="10">
      <c r="B10" s="24" t="inlineStr">
        <is>
          <t>object_attribute</t>
        </is>
      </c>
      <c r="C10" s="24" t="inlineStr">
        <is>
          <t>INPUTORGID</t>
        </is>
      </c>
      <c r="D10" s="24" t="inlineStr">
        <is>
          <t>varchar(32)</t>
        </is>
      </c>
      <c r="E10" s="24" t="inlineStr">
        <is>
          <t>YES</t>
        </is>
      </c>
      <c r="F10" s="24" t="inlineStr">
        <is>
          <t>登记机构</t>
        </is>
      </c>
      <c r="G10" s="24" t="n"/>
      <c r="H10" s="24" t="n"/>
      <c r="I10" s="24" t="inlineStr"/>
      <c r="J10" s="24" t="inlineStr">
        <is>
          <t>2023/01/12</t>
        </is>
      </c>
    </row>
    <row r="11">
      <c r="B11" s="24" t="inlineStr">
        <is>
          <t>object_attribute</t>
        </is>
      </c>
      <c r="C11" s="24" t="inlineStr">
        <is>
          <t>INPUTUSERID</t>
        </is>
      </c>
      <c r="D11" s="24" t="inlineStr">
        <is>
          <t>varchar(32)</t>
        </is>
      </c>
      <c r="E11" s="24" t="inlineStr">
        <is>
          <t>YES</t>
        </is>
      </c>
      <c r="F11" s="24" t="inlineStr">
        <is>
          <t>登记人</t>
        </is>
      </c>
      <c r="G11" s="24" t="n"/>
      <c r="H11" s="24" t="n"/>
      <c r="I11" s="24" t="inlineStr"/>
      <c r="J11" s="24" t="inlineStr">
        <is>
          <t>2023/01/12</t>
        </is>
      </c>
    </row>
    <row r="12">
      <c r="B12" s="24" t="inlineStr">
        <is>
          <t>object_attribute</t>
        </is>
      </c>
      <c r="C12" s="24" t="inlineStr">
        <is>
          <t>INPUTDATE</t>
        </is>
      </c>
      <c r="D12" s="24" t="inlineStr">
        <is>
          <t>varchar(18)</t>
        </is>
      </c>
      <c r="E12" s="24" t="inlineStr">
        <is>
          <t>YES</t>
        </is>
      </c>
      <c r="F12" s="24" t="inlineStr">
        <is>
          <t>登记日期</t>
        </is>
      </c>
      <c r="G12" s="24" t="n"/>
      <c r="H12" s="24" t="n"/>
      <c r="I12" s="24" t="inlineStr"/>
      <c r="J12" s="24" t="inlineStr">
        <is>
          <t>2023/01/12</t>
        </is>
      </c>
    </row>
    <row r="13">
      <c r="B13" s="24" t="inlineStr">
        <is>
          <t>object_attribute</t>
        </is>
      </c>
      <c r="C13" s="24" t="inlineStr">
        <is>
          <t>UPDATEORGID</t>
        </is>
      </c>
      <c r="D13" s="24" t="inlineStr">
        <is>
          <t>varchar(32)</t>
        </is>
      </c>
      <c r="E13" s="24" t="inlineStr">
        <is>
          <t>YES</t>
        </is>
      </c>
      <c r="F13" s="24" t="inlineStr">
        <is>
          <t>更新机构</t>
        </is>
      </c>
      <c r="G13" s="24" t="n"/>
      <c r="H13" s="24" t="n"/>
      <c r="I13" s="24" t="inlineStr"/>
      <c r="J13" s="24" t="inlineStr">
        <is>
          <t>2023/01/12</t>
        </is>
      </c>
    </row>
    <row r="14">
      <c r="B14" s="24" t="inlineStr">
        <is>
          <t>object_attribute</t>
        </is>
      </c>
      <c r="C14" s="24" t="inlineStr">
        <is>
          <t>UPDATEUSERID</t>
        </is>
      </c>
      <c r="D14" s="24" t="inlineStr">
        <is>
          <t>varchar(32)</t>
        </is>
      </c>
      <c r="E14" s="24" t="inlineStr">
        <is>
          <t>YES</t>
        </is>
      </c>
      <c r="F14" s="24" t="inlineStr">
        <is>
          <t>更新人</t>
        </is>
      </c>
      <c r="G14" s="24" t="n"/>
      <c r="H14" s="24" t="n"/>
      <c r="I14" s="24" t="inlineStr"/>
      <c r="J14" s="24" t="inlineStr">
        <is>
          <t>2023/01/12</t>
        </is>
      </c>
    </row>
    <row r="15">
      <c r="B15" s="24" t="inlineStr">
        <is>
          <t>object_attribute</t>
        </is>
      </c>
      <c r="C15" s="24" t="inlineStr">
        <is>
          <t>UPDATEDATE</t>
        </is>
      </c>
      <c r="D15" s="24" t="inlineStr">
        <is>
          <t>varchar(18)</t>
        </is>
      </c>
      <c r="E15" s="24" t="inlineStr">
        <is>
          <t>YES</t>
        </is>
      </c>
      <c r="F15" s="24" t="inlineStr">
        <is>
          <t>更新日期</t>
        </is>
      </c>
      <c r="G15" s="24" t="n"/>
      <c r="H15" s="24" t="n"/>
      <c r="I15" s="24" t="inlineStr"/>
      <c r="J15" s="24" t="inlineStr">
        <is>
          <t>2023/01/12</t>
        </is>
      </c>
    </row>
    <row r="16">
      <c r="B16" s="24" t="inlineStr">
        <is>
          <t>object_attribute</t>
        </is>
      </c>
      <c r="C16" s="24" t="inlineStr">
        <is>
          <t>INPUTTIME</t>
        </is>
      </c>
      <c r="D16" s="24" t="inlineStr">
        <is>
          <t>varchar(32)</t>
        </is>
      </c>
      <c r="E16" s="24" t="inlineStr">
        <is>
          <t>YES</t>
        </is>
      </c>
      <c r="F16" s="24" t="inlineStr">
        <is>
          <t>登记时间</t>
        </is>
      </c>
      <c r="G16" s="24" t="n"/>
      <c r="H16" s="24" t="n"/>
      <c r="I16" s="24" t="inlineStr"/>
      <c r="J16" s="24" t="inlineStr">
        <is>
          <t>2023/01/12</t>
        </is>
      </c>
    </row>
    <row r="17">
      <c r="B17" s="24" t="inlineStr">
        <is>
          <t>object_attribute</t>
        </is>
      </c>
      <c r="C17" s="24" t="inlineStr">
        <is>
          <t>UPDATETIME</t>
        </is>
      </c>
      <c r="D17" s="24" t="inlineStr">
        <is>
          <t>varchar(32)</t>
        </is>
      </c>
      <c r="E17" s="24" t="inlineStr">
        <is>
          <t>YES</t>
        </is>
      </c>
      <c r="F17" s="24" t="inlineStr">
        <is>
          <t>更新时间</t>
        </is>
      </c>
      <c r="G17" s="24" t="n"/>
      <c r="H17" s="24" t="n"/>
      <c r="I17" s="24" t="inlineStr"/>
      <c r="J17" s="24" t="inlineStr">
        <is>
          <t>2023/01/12</t>
        </is>
      </c>
    </row>
    <row r="18">
      <c r="B18" s="24" t="inlineStr">
        <is>
          <t>object_attribute</t>
        </is>
      </c>
      <c r="C18" s="24" t="inlineStr">
        <is>
          <t>INPUTORG</t>
        </is>
      </c>
      <c r="D18" s="24" t="inlineStr">
        <is>
          <t>varchar(80)</t>
        </is>
      </c>
      <c r="E18" s="24" t="inlineStr">
        <is>
          <t>YES</t>
        </is>
      </c>
      <c r="F18" s="24" t="inlineStr">
        <is>
          <t>登记机构</t>
        </is>
      </c>
      <c r="G18" s="24" t="n"/>
      <c r="H18" s="24" t="n"/>
      <c r="I18" s="24" t="inlineStr"/>
      <c r="J18" s="24" t="inlineStr">
        <is>
          <t>2023/01/12</t>
        </is>
      </c>
    </row>
    <row r="19">
      <c r="B19" s="24" t="inlineStr">
        <is>
          <t>object_attribute</t>
        </is>
      </c>
      <c r="C19" s="24" t="inlineStr">
        <is>
          <t>INPUTUSER</t>
        </is>
      </c>
      <c r="D19" s="24" t="inlineStr">
        <is>
          <t>varchar(80)</t>
        </is>
      </c>
      <c r="E19" s="24" t="inlineStr">
        <is>
          <t>YES</t>
        </is>
      </c>
      <c r="F19" s="24" t="inlineStr">
        <is>
          <t>登记人</t>
        </is>
      </c>
      <c r="G19" s="24" t="n"/>
      <c r="H19" s="24" t="n"/>
      <c r="I19" s="24" t="inlineStr"/>
      <c r="J19" s="24" t="inlineStr">
        <is>
          <t>2023/01/12</t>
        </is>
      </c>
    </row>
    <row r="20">
      <c r="B20" s="24" t="inlineStr">
        <is>
          <t>object_attribute</t>
        </is>
      </c>
      <c r="C20" s="24" t="inlineStr">
        <is>
          <t>UPDATEUSER</t>
        </is>
      </c>
      <c r="D20" s="24" t="inlineStr">
        <is>
          <t>varchar(80)</t>
        </is>
      </c>
      <c r="E20" s="24" t="inlineStr">
        <is>
          <t>YES</t>
        </is>
      </c>
      <c r="F20" s="24" t="inlineStr">
        <is>
          <t>更新人</t>
        </is>
      </c>
      <c r="G20" s="24" t="n"/>
      <c r="H20" s="24" t="n"/>
      <c r="I20" s="24" t="inlineStr"/>
      <c r="J20" s="24" t="inlineStr">
        <is>
          <t>2023/01/12</t>
        </is>
      </c>
    </row>
  </sheetData>
  <pageMargins left="0.75" right="0.75" top="1" bottom="1" header="0.5" footer="0.5"/>
  <pageSetup orientation="portrait" paperSize="1" horizontalDpi="300" verticalDpi="300"/>
</worksheet>
</file>

<file path=xl/worksheets/sheet152.xml><?xml version="1.0" encoding="utf-8"?>
<worksheet xmlns="http://schemas.openxmlformats.org/spreadsheetml/2006/main">
  <sheetPr>
    <outlinePr summaryBelow="1" summaryRight="1"/>
    <pageSetUpPr/>
  </sheetPr>
  <dimension ref="A1:J13"/>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系统流水表;系统流水号表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object_maxsn</t>
        </is>
      </c>
      <c r="C3" s="24" t="inlineStr">
        <is>
          <t>TABLENAME</t>
        </is>
      </c>
      <c r="D3" s="24" t="inlineStr">
        <is>
          <t>varchar(80)</t>
        </is>
      </c>
      <c r="E3" s="24" t="inlineStr">
        <is>
          <t>NO</t>
        </is>
      </c>
      <c r="F3" s="24" t="inlineStr">
        <is>
          <t>表名</t>
        </is>
      </c>
      <c r="G3" s="24" t="n"/>
      <c r="H3" s="24" t="n"/>
      <c r="I3" s="24" t="inlineStr"/>
      <c r="J3" s="24" t="inlineStr">
        <is>
          <t>2023/01/12</t>
        </is>
      </c>
    </row>
    <row r="4">
      <c r="B4" s="24" t="inlineStr">
        <is>
          <t>object_maxsn</t>
        </is>
      </c>
      <c r="C4" s="24" t="inlineStr">
        <is>
          <t>COLUMNNAME</t>
        </is>
      </c>
      <c r="D4" s="24" t="inlineStr">
        <is>
          <t>varchar(80)</t>
        </is>
      </c>
      <c r="E4" s="24" t="inlineStr">
        <is>
          <t>YES</t>
        </is>
      </c>
      <c r="F4" s="24" t="inlineStr">
        <is>
          <t>列名</t>
        </is>
      </c>
      <c r="G4" s="24" t="n"/>
      <c r="H4" s="24" t="n"/>
      <c r="I4" s="24" t="inlineStr"/>
      <c r="J4" s="24" t="inlineStr">
        <is>
          <t>2023/01/12</t>
        </is>
      </c>
    </row>
    <row r="5">
      <c r="B5" s="24" t="inlineStr">
        <is>
          <t>object_maxsn</t>
        </is>
      </c>
      <c r="C5" s="24" t="inlineStr">
        <is>
          <t>MAXSERIALNO</t>
        </is>
      </c>
      <c r="D5" s="24" t="inlineStr">
        <is>
          <t>varchar(80)</t>
        </is>
      </c>
      <c r="E5" s="24" t="inlineStr">
        <is>
          <t>NO</t>
        </is>
      </c>
      <c r="F5" s="24" t="inlineStr">
        <is>
          <t>最大数</t>
        </is>
      </c>
      <c r="G5" s="24" t="n"/>
      <c r="H5" s="24" t="n"/>
      <c r="I5" s="24" t="inlineStr"/>
      <c r="J5" s="24" t="inlineStr">
        <is>
          <t>2023/01/12</t>
        </is>
      </c>
    </row>
    <row r="6">
      <c r="B6" s="24" t="inlineStr">
        <is>
          <t>object_maxsn</t>
        </is>
      </c>
      <c r="C6" s="24" t="inlineStr">
        <is>
          <t>DATEFMT</t>
        </is>
      </c>
      <c r="D6" s="24" t="inlineStr">
        <is>
          <t>varchar(32)</t>
        </is>
      </c>
      <c r="E6" s="24" t="inlineStr">
        <is>
          <t>YES</t>
        </is>
      </c>
      <c r="F6" s="24" t="inlineStr">
        <is>
          <t>日期模式</t>
        </is>
      </c>
      <c r="G6" s="24" t="n"/>
      <c r="H6" s="24" t="n"/>
      <c r="I6" s="24" t="inlineStr"/>
      <c r="J6" s="24" t="inlineStr">
        <is>
          <t>2023/01/12</t>
        </is>
      </c>
    </row>
    <row r="7">
      <c r="B7" s="24" t="inlineStr">
        <is>
          <t>object_maxsn</t>
        </is>
      </c>
      <c r="C7" s="24" t="inlineStr">
        <is>
          <t>NOFMT</t>
        </is>
      </c>
      <c r="D7" s="24" t="inlineStr">
        <is>
          <t>varchar(32)</t>
        </is>
      </c>
      <c r="E7" s="24" t="inlineStr">
        <is>
          <t>YES</t>
        </is>
      </c>
      <c r="F7" s="24" t="inlineStr">
        <is>
          <t>流水号模式</t>
        </is>
      </c>
      <c r="G7" s="24" t="n"/>
      <c r="H7" s="24" t="n"/>
      <c r="I7" s="24" t="inlineStr"/>
      <c r="J7" s="24" t="inlineStr">
        <is>
          <t>2023/01/12</t>
        </is>
      </c>
    </row>
    <row r="8">
      <c r="B8" s="24" t="inlineStr">
        <is>
          <t>object_maxsn</t>
        </is>
      </c>
      <c r="C8" s="24" t="inlineStr">
        <is>
          <t>INPUTORGID</t>
        </is>
      </c>
      <c r="D8" s="24" t="inlineStr">
        <is>
          <t>varchar(32)</t>
        </is>
      </c>
      <c r="E8" s="24" t="inlineStr">
        <is>
          <t>YES</t>
        </is>
      </c>
      <c r="F8" s="24" t="inlineStr">
        <is>
          <t>登记机构</t>
        </is>
      </c>
      <c r="G8" s="24" t="n"/>
      <c r="H8" s="24" t="n"/>
      <c r="I8" s="24" t="inlineStr"/>
      <c r="J8" s="24" t="inlineStr">
        <is>
          <t>2023/01/12</t>
        </is>
      </c>
    </row>
    <row r="9">
      <c r="B9" s="24" t="inlineStr">
        <is>
          <t>object_maxsn</t>
        </is>
      </c>
      <c r="C9" s="24" t="inlineStr">
        <is>
          <t>INPUTUSERID</t>
        </is>
      </c>
      <c r="D9" s="24" t="inlineStr">
        <is>
          <t>varchar(32)</t>
        </is>
      </c>
      <c r="E9" s="24" t="inlineStr">
        <is>
          <t>YES</t>
        </is>
      </c>
      <c r="F9" s="24" t="inlineStr">
        <is>
          <t>登记人</t>
        </is>
      </c>
      <c r="G9" s="24" t="n"/>
      <c r="H9" s="24" t="n"/>
      <c r="I9" s="24" t="inlineStr"/>
      <c r="J9" s="24" t="inlineStr">
        <is>
          <t>2023/01/12</t>
        </is>
      </c>
    </row>
    <row r="10">
      <c r="B10" s="24" t="inlineStr">
        <is>
          <t>object_maxsn</t>
        </is>
      </c>
      <c r="C10" s="24" t="inlineStr">
        <is>
          <t>INPUTDATE</t>
        </is>
      </c>
      <c r="D10" s="24" t="inlineStr">
        <is>
          <t>datetime</t>
        </is>
      </c>
      <c r="E10" s="24" t="inlineStr">
        <is>
          <t>YES</t>
        </is>
      </c>
      <c r="F10" s="24" t="inlineStr">
        <is>
          <t>登记日期</t>
        </is>
      </c>
      <c r="G10" s="24" t="n"/>
      <c r="H10" s="24" t="n"/>
      <c r="I10" s="24" t="inlineStr"/>
      <c r="J10" s="24" t="inlineStr">
        <is>
          <t>2023/01/12</t>
        </is>
      </c>
    </row>
    <row r="11">
      <c r="B11" s="24" t="inlineStr">
        <is>
          <t>object_maxsn</t>
        </is>
      </c>
      <c r="C11" s="24" t="inlineStr">
        <is>
          <t>UPDATEUSERID</t>
        </is>
      </c>
      <c r="D11" s="24" t="inlineStr">
        <is>
          <t>varchar(32)</t>
        </is>
      </c>
      <c r="E11" s="24" t="inlineStr">
        <is>
          <t>YES</t>
        </is>
      </c>
      <c r="F11" s="24" t="inlineStr">
        <is>
          <t>更新人</t>
        </is>
      </c>
      <c r="G11" s="24" t="n"/>
      <c r="H11" s="24" t="n"/>
      <c r="I11" s="24" t="inlineStr"/>
      <c r="J11" s="24" t="inlineStr">
        <is>
          <t>2023/01/12</t>
        </is>
      </c>
    </row>
    <row r="12">
      <c r="B12" s="24" t="inlineStr">
        <is>
          <t>object_maxsn</t>
        </is>
      </c>
      <c r="C12" s="24" t="inlineStr">
        <is>
          <t>UPDATEORGID</t>
        </is>
      </c>
      <c r="D12" s="24" t="inlineStr">
        <is>
          <t>varchar(32)</t>
        </is>
      </c>
      <c r="E12" s="24" t="inlineStr">
        <is>
          <t>YES</t>
        </is>
      </c>
      <c r="F12" s="24" t="inlineStr">
        <is>
          <t>更新机构</t>
        </is>
      </c>
      <c r="G12" s="24" t="n"/>
      <c r="H12" s="24" t="n"/>
      <c r="I12" s="24" t="inlineStr"/>
      <c r="J12" s="24" t="inlineStr">
        <is>
          <t>2023/01/12</t>
        </is>
      </c>
    </row>
    <row r="13">
      <c r="B13" s="24" t="inlineStr">
        <is>
          <t>object_maxsn</t>
        </is>
      </c>
      <c r="C13" s="24" t="inlineStr">
        <is>
          <t>UPDATEDATE</t>
        </is>
      </c>
      <c r="D13" s="24" t="inlineStr">
        <is>
          <t>datetime</t>
        </is>
      </c>
      <c r="E13" s="24" t="inlineStr">
        <is>
          <t>YES</t>
        </is>
      </c>
      <c r="F13" s="24" t="inlineStr">
        <is>
          <t>更新日期</t>
        </is>
      </c>
      <c r="G13" s="24" t="n"/>
      <c r="H13" s="24" t="n"/>
      <c r="I13" s="24" t="inlineStr"/>
      <c r="J13" s="24" t="inlineStr">
        <is>
          <t>2023/01/12</t>
        </is>
      </c>
    </row>
  </sheetData>
  <pageMargins left="0.75" right="0.75" top="1" bottom="1" header="0.5" footer="0.5"/>
  <pageSetup orientation="portrait" paperSize="1" horizontalDpi="300" verticalDpi="300"/>
</worksheet>
</file>

<file path=xl/worksheets/sheet153.xml><?xml version="1.0" encoding="utf-8"?>
<worksheet xmlns="http://schemas.openxmlformats.org/spreadsheetml/2006/main">
  <sheetPr>
    <outlinePr summaryBelow="1" summaryRight="1"/>
    <pageSetUpPr/>
  </sheetPr>
  <dimension ref="A1:J32"/>
  <sheetViews>
    <sheetView zoomScaleSheetLayoutView="60" workbookViewId="0">
      <selection activeCell="D28" sqref="D28:D3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对象定义表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objecttype_catalog</t>
        </is>
      </c>
      <c r="C3" s="24" t="inlineStr">
        <is>
          <t>OBJECTTYPE</t>
        </is>
      </c>
      <c r="D3" s="24" t="inlineStr">
        <is>
          <t>varchar(32)</t>
        </is>
      </c>
      <c r="E3" s="24" t="inlineStr">
        <is>
          <t>NO</t>
        </is>
      </c>
      <c r="F3" s="24" t="inlineStr">
        <is>
          <t>对象类型</t>
        </is>
      </c>
      <c r="G3" s="24" t="n"/>
      <c r="H3" s="24" t="n"/>
      <c r="I3" s="24" t="inlineStr"/>
      <c r="J3" s="24" t="inlineStr">
        <is>
          <t>2023/01/12</t>
        </is>
      </c>
    </row>
    <row r="4">
      <c r="B4" s="24" t="inlineStr">
        <is>
          <t>objecttype_catalog</t>
        </is>
      </c>
      <c r="C4" s="24" t="inlineStr">
        <is>
          <t>OBJECTNAME</t>
        </is>
      </c>
      <c r="D4" s="24" t="inlineStr">
        <is>
          <t>varchar(80)</t>
        </is>
      </c>
      <c r="E4" s="24" t="inlineStr">
        <is>
          <t>YES</t>
        </is>
      </c>
      <c r="F4" s="24" t="inlineStr">
        <is>
          <t>对象类型名称</t>
        </is>
      </c>
      <c r="G4" s="24" t="n"/>
      <c r="H4" s="24" t="n"/>
      <c r="I4" s="24" t="inlineStr"/>
      <c r="J4" s="24" t="inlineStr">
        <is>
          <t>2023/01/12</t>
        </is>
      </c>
    </row>
    <row r="5">
      <c r="B5" s="24" t="inlineStr">
        <is>
          <t>objecttype_catalog</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objecttype_catalog</t>
        </is>
      </c>
      <c r="C6" s="24" t="inlineStr">
        <is>
          <t>TREECODE</t>
        </is>
      </c>
      <c r="D6" s="24" t="inlineStr">
        <is>
          <t>varchar(200)</t>
        </is>
      </c>
      <c r="E6" s="24" t="inlineStr">
        <is>
          <t>YES</t>
        </is>
      </c>
      <c r="F6" s="24" t="inlineStr">
        <is>
          <t>对象树图</t>
        </is>
      </c>
      <c r="G6" s="24" t="n"/>
      <c r="H6" s="24" t="n"/>
      <c r="I6" s="24" t="inlineStr"/>
      <c r="J6" s="24" t="inlineStr">
        <is>
          <t>2023/01/12</t>
        </is>
      </c>
    </row>
    <row r="7">
      <c r="B7" s="24" t="inlineStr">
        <is>
          <t>objecttype_catalog</t>
        </is>
      </c>
      <c r="C7" s="24" t="inlineStr">
        <is>
          <t>PAGEPATH</t>
        </is>
      </c>
      <c r="D7" s="24" t="inlineStr">
        <is>
          <t>varchar(200)</t>
        </is>
      </c>
      <c r="E7" s="24" t="inlineStr">
        <is>
          <t>YES</t>
        </is>
      </c>
      <c r="F7" s="24" t="inlineStr">
        <is>
          <t>调用页面</t>
        </is>
      </c>
      <c r="G7" s="24" t="n"/>
      <c r="H7" s="24" t="n"/>
      <c r="I7" s="24" t="inlineStr"/>
      <c r="J7" s="24" t="inlineStr">
        <is>
          <t>2023/01/12</t>
        </is>
      </c>
    </row>
    <row r="8">
      <c r="B8" s="24" t="inlineStr">
        <is>
          <t>objecttype_catalog</t>
        </is>
      </c>
      <c r="C8" s="24" t="inlineStr">
        <is>
          <t>OBJECTATTRIBUTE</t>
        </is>
      </c>
      <c r="D8" s="24" t="inlineStr">
        <is>
          <t>varchar(500)</t>
        </is>
      </c>
      <c r="E8" s="24" t="inlineStr">
        <is>
          <t>YES</t>
        </is>
      </c>
      <c r="F8" s="24" t="inlineStr">
        <is>
          <t>OBJECTATTRIBUTE</t>
        </is>
      </c>
      <c r="G8" s="24" t="n"/>
      <c r="H8" s="24" t="n"/>
      <c r="I8" s="24" t="inlineStr"/>
      <c r="J8" s="24" t="inlineStr">
        <is>
          <t>2023/01/12</t>
        </is>
      </c>
    </row>
    <row r="9">
      <c r="B9" s="24" t="inlineStr">
        <is>
          <t>objecttype_catalog</t>
        </is>
      </c>
      <c r="C9" s="24" t="inlineStr">
        <is>
          <t>OBJECTTABLE</t>
        </is>
      </c>
      <c r="D9" s="24" t="inlineStr">
        <is>
          <t>varchar(200)</t>
        </is>
      </c>
      <c r="E9" s="24" t="inlineStr">
        <is>
          <t>YES</t>
        </is>
      </c>
      <c r="F9" s="24" t="inlineStr">
        <is>
          <t>对应数据表</t>
        </is>
      </c>
      <c r="G9" s="24" t="n"/>
      <c r="H9" s="24" t="n"/>
      <c r="I9" s="24" t="inlineStr"/>
      <c r="J9" s="24" t="inlineStr">
        <is>
          <t>2023/01/12</t>
        </is>
      </c>
    </row>
    <row r="10">
      <c r="B10" s="24" t="inlineStr">
        <is>
          <t>objecttype_catalog</t>
        </is>
      </c>
      <c r="C10" s="24" t="inlineStr">
        <is>
          <t>KEYCOL</t>
        </is>
      </c>
      <c r="D10" s="24" t="inlineStr">
        <is>
          <t>varchar(500)</t>
        </is>
      </c>
      <c r="E10" s="24" t="inlineStr">
        <is>
          <t>YES</t>
        </is>
      </c>
      <c r="F10" s="24" t="inlineStr">
        <is>
          <t>关键字段</t>
        </is>
      </c>
      <c r="G10" s="24" t="n"/>
      <c r="H10" s="24" t="n"/>
      <c r="I10" s="24" t="inlineStr"/>
      <c r="J10" s="24" t="inlineStr">
        <is>
          <t>2023/01/12</t>
        </is>
      </c>
    </row>
    <row r="11">
      <c r="B11" s="24" t="inlineStr">
        <is>
          <t>objecttype_catalog</t>
        </is>
      </c>
      <c r="C11" s="24" t="inlineStr">
        <is>
          <t>KEYCOLNAME</t>
        </is>
      </c>
      <c r="D11" s="24" t="inlineStr">
        <is>
          <t>varchar(80)</t>
        </is>
      </c>
      <c r="E11" s="24" t="inlineStr">
        <is>
          <t>YES</t>
        </is>
      </c>
      <c r="F11" s="24" t="inlineStr">
        <is>
          <t>名称字段</t>
        </is>
      </c>
      <c r="G11" s="24" t="n"/>
      <c r="H11" s="24" t="n"/>
      <c r="I11" s="24" t="inlineStr"/>
      <c r="J11" s="24" t="inlineStr">
        <is>
          <t>2023/01/12</t>
        </is>
      </c>
    </row>
    <row r="12">
      <c r="B12" s="24" t="inlineStr">
        <is>
          <t>objecttype_catalog</t>
        </is>
      </c>
      <c r="C12" s="24" t="inlineStr">
        <is>
          <t>VIEWTYPE</t>
        </is>
      </c>
      <c r="D12" s="24" t="inlineStr">
        <is>
          <t>varchar(32)</t>
        </is>
      </c>
      <c r="E12" s="24" t="inlineStr">
        <is>
          <t>YES</t>
        </is>
      </c>
      <c r="F12" s="24" t="inlineStr">
        <is>
          <t>对象视图组</t>
        </is>
      </c>
      <c r="G12" s="24" t="n"/>
      <c r="H12" s="24" t="n"/>
      <c r="I12" s="24" t="inlineStr"/>
      <c r="J12" s="24" t="inlineStr">
        <is>
          <t>2023/01/12</t>
        </is>
      </c>
    </row>
    <row r="13">
      <c r="B13" s="24" t="inlineStr">
        <is>
          <t>objecttype_catalog</t>
        </is>
      </c>
      <c r="C13" s="24" t="inlineStr">
        <is>
          <t>DEFAULTVIEW</t>
        </is>
      </c>
      <c r="D13" s="24" t="inlineStr">
        <is>
          <t>varchar(32)</t>
        </is>
      </c>
      <c r="E13" s="24" t="inlineStr">
        <is>
          <t>YES</t>
        </is>
      </c>
      <c r="F13" s="24" t="inlineStr">
        <is>
          <t>默认视图</t>
        </is>
      </c>
      <c r="G13" s="24" t="n"/>
      <c r="H13" s="24" t="n"/>
      <c r="I13" s="24" t="inlineStr"/>
      <c r="J13" s="24" t="inlineStr">
        <is>
          <t>2023/01/12</t>
        </is>
      </c>
    </row>
    <row r="14">
      <c r="B14" s="24" t="inlineStr">
        <is>
          <t>objecttype_catalog</t>
        </is>
      </c>
      <c r="C14" s="24" t="inlineStr">
        <is>
          <t>RIGHTTYPE</t>
        </is>
      </c>
      <c r="D14" s="24" t="inlineStr">
        <is>
          <t>varchar(500)</t>
        </is>
      </c>
      <c r="E14" s="24" t="inlineStr">
        <is>
          <t>YES</t>
        </is>
      </c>
      <c r="F14" s="24" t="inlineStr">
        <is>
          <t>权限方法</t>
        </is>
      </c>
      <c r="G14" s="24" t="n"/>
      <c r="H14" s="24" t="n"/>
      <c r="I14" s="24" t="inlineStr"/>
      <c r="J14" s="24" t="inlineStr">
        <is>
          <t>2023/01/12</t>
        </is>
      </c>
    </row>
    <row r="15">
      <c r="B15" s="24" t="inlineStr">
        <is>
          <t>objecttype_catalog</t>
        </is>
      </c>
      <c r="C15" s="24" t="inlineStr">
        <is>
          <t>USAGEDESCRIBE</t>
        </is>
      </c>
      <c r="D15" s="24" t="inlineStr">
        <is>
          <t>varchar(500)</t>
        </is>
      </c>
      <c r="E15" s="24" t="inlineStr">
        <is>
          <t>YES</t>
        </is>
      </c>
      <c r="F15" s="24" t="inlineStr">
        <is>
          <t>用途说明</t>
        </is>
      </c>
      <c r="G15" s="24" t="n"/>
      <c r="H15" s="24" t="n"/>
      <c r="I15" s="24" t="inlineStr"/>
      <c r="J15" s="24" t="inlineStr">
        <is>
          <t>2023/01/12</t>
        </is>
      </c>
    </row>
    <row r="16">
      <c r="B16" s="24" t="inlineStr">
        <is>
          <t>objecttype_catalog</t>
        </is>
      </c>
      <c r="C16" s="24" t="inlineStr">
        <is>
          <t>ATTRIBUTE1</t>
        </is>
      </c>
      <c r="D16" s="24" t="inlineStr">
        <is>
          <t>varchar(200)</t>
        </is>
      </c>
      <c r="E16" s="24" t="inlineStr">
        <is>
          <t>YES</t>
        </is>
      </c>
      <c r="F16" s="24" t="inlineStr">
        <is>
          <t>属性一</t>
        </is>
      </c>
      <c r="G16" s="24" t="n"/>
      <c r="H16" s="24" t="n"/>
      <c r="I16" s="24" t="inlineStr"/>
      <c r="J16" s="24" t="inlineStr">
        <is>
          <t>2023/01/12</t>
        </is>
      </c>
    </row>
    <row r="17">
      <c r="B17" s="24" t="inlineStr">
        <is>
          <t>objecttype_catalog</t>
        </is>
      </c>
      <c r="C17" s="24" t="inlineStr">
        <is>
          <t>ATTRIBUTE2</t>
        </is>
      </c>
      <c r="D17" s="24" t="inlineStr">
        <is>
          <t>varchar(200)</t>
        </is>
      </c>
      <c r="E17" s="24" t="inlineStr">
        <is>
          <t>YES</t>
        </is>
      </c>
      <c r="F17" s="24" t="inlineStr">
        <is>
          <t>属性二</t>
        </is>
      </c>
      <c r="G17" s="24" t="n"/>
      <c r="H17" s="24" t="n"/>
      <c r="I17" s="24" t="inlineStr"/>
      <c r="J17" s="24" t="inlineStr">
        <is>
          <t>2023/01/12</t>
        </is>
      </c>
    </row>
    <row r="18">
      <c r="B18" s="24" t="inlineStr">
        <is>
          <t>objecttype_catalog</t>
        </is>
      </c>
      <c r="C18" s="24" t="inlineStr">
        <is>
          <t>ATTRIBUTE3</t>
        </is>
      </c>
      <c r="D18" s="24" t="inlineStr">
        <is>
          <t>varchar(200)</t>
        </is>
      </c>
      <c r="E18" s="24" t="inlineStr">
        <is>
          <t>YES</t>
        </is>
      </c>
      <c r="F18" s="24" t="inlineStr">
        <is>
          <t>属性三</t>
        </is>
      </c>
      <c r="G18" s="24" t="n"/>
      <c r="H18" s="24" t="n"/>
      <c r="I18" s="24" t="inlineStr"/>
      <c r="J18" s="24" t="inlineStr">
        <is>
          <t>2023/01/12</t>
        </is>
      </c>
    </row>
    <row r="19">
      <c r="B19" s="24" t="inlineStr">
        <is>
          <t>objecttype_catalog</t>
        </is>
      </c>
      <c r="C19" s="24" t="inlineStr">
        <is>
          <t>INPUTORG</t>
        </is>
      </c>
      <c r="D19" s="24" t="inlineStr">
        <is>
          <t>varchar(80)</t>
        </is>
      </c>
      <c r="E19" s="24" t="inlineStr">
        <is>
          <t>YES</t>
        </is>
      </c>
      <c r="F19" s="24" t="inlineStr">
        <is>
          <t>登记机构</t>
        </is>
      </c>
      <c r="G19" s="24" t="n"/>
      <c r="H19" s="24" t="n"/>
      <c r="I19" s="24" t="inlineStr"/>
      <c r="J19" s="24" t="inlineStr">
        <is>
          <t>2023/01/12</t>
        </is>
      </c>
    </row>
    <row r="20">
      <c r="B20" s="24" t="inlineStr">
        <is>
          <t>objecttype_catalog</t>
        </is>
      </c>
      <c r="C20" s="24" t="inlineStr">
        <is>
          <t>INPUTUSER</t>
        </is>
      </c>
      <c r="D20" s="24" t="inlineStr">
        <is>
          <t>varchar(80)</t>
        </is>
      </c>
      <c r="E20" s="24" t="inlineStr">
        <is>
          <t>YES</t>
        </is>
      </c>
      <c r="F20" s="24" t="inlineStr">
        <is>
          <t>登记人</t>
        </is>
      </c>
      <c r="G20" s="24" t="n"/>
      <c r="H20" s="24" t="n"/>
      <c r="I20" s="24" t="inlineStr"/>
      <c r="J20" s="24" t="inlineStr">
        <is>
          <t>2023/01/12</t>
        </is>
      </c>
    </row>
    <row r="21">
      <c r="B21" s="24" t="inlineStr">
        <is>
          <t>objecttype_catalog</t>
        </is>
      </c>
      <c r="C21" s="24" t="inlineStr">
        <is>
          <t>INPUTTIME</t>
        </is>
      </c>
      <c r="D21" s="24" t="inlineStr">
        <is>
          <t>datetime</t>
        </is>
      </c>
      <c r="E21" s="24" t="inlineStr">
        <is>
          <t>YES</t>
        </is>
      </c>
      <c r="F21" s="24" t="inlineStr">
        <is>
          <t>登记日期</t>
        </is>
      </c>
      <c r="G21" s="24" t="n"/>
      <c r="H21" s="24" t="n"/>
      <c r="I21" s="24" t="inlineStr"/>
      <c r="J21" s="24" t="inlineStr">
        <is>
          <t>2023/01/12</t>
        </is>
      </c>
    </row>
    <row r="22">
      <c r="B22" s="24" t="inlineStr">
        <is>
          <t>objecttype_catalog</t>
        </is>
      </c>
      <c r="C22" s="24" t="inlineStr">
        <is>
          <t>UPDATEUSER</t>
        </is>
      </c>
      <c r="D22" s="24" t="inlineStr">
        <is>
          <t>varchar(80)</t>
        </is>
      </c>
      <c r="E22" s="24" t="inlineStr">
        <is>
          <t>YES</t>
        </is>
      </c>
      <c r="F22" s="24" t="inlineStr">
        <is>
          <t>更新人</t>
        </is>
      </c>
      <c r="G22" s="24" t="n"/>
      <c r="H22" s="24" t="n"/>
      <c r="I22" s="24" t="inlineStr"/>
      <c r="J22" s="24" t="inlineStr">
        <is>
          <t>2023/01/12</t>
        </is>
      </c>
    </row>
    <row r="23">
      <c r="B23" s="24" t="inlineStr">
        <is>
          <t>objecttype_catalog</t>
        </is>
      </c>
      <c r="C23" s="24" t="inlineStr">
        <is>
          <t>UPDATETIME</t>
        </is>
      </c>
      <c r="D23" s="24" t="inlineStr">
        <is>
          <t>datetime</t>
        </is>
      </c>
      <c r="E23" s="24" t="inlineStr">
        <is>
          <t>YES</t>
        </is>
      </c>
      <c r="F23" s="24" t="inlineStr">
        <is>
          <t>更新时间</t>
        </is>
      </c>
      <c r="G23" s="24" t="n"/>
      <c r="H23" s="24" t="n"/>
      <c r="I23" s="24" t="inlineStr"/>
      <c r="J23" s="24" t="inlineStr">
        <is>
          <t>2023/01/12</t>
        </is>
      </c>
    </row>
    <row r="24">
      <c r="B24" s="24" t="inlineStr">
        <is>
          <t>objecttype_catalog</t>
        </is>
      </c>
      <c r="C24" s="24" t="inlineStr">
        <is>
          <t>REMARK</t>
        </is>
      </c>
      <c r="D24" s="24" t="inlineStr">
        <is>
          <t>varchar(500)</t>
        </is>
      </c>
      <c r="E24" s="24" t="inlineStr">
        <is>
          <t>YES</t>
        </is>
      </c>
      <c r="F24" s="24" t="inlineStr">
        <is>
          <t>备注</t>
        </is>
      </c>
      <c r="G24" s="24" t="n"/>
      <c r="H24" s="24" t="n"/>
      <c r="I24" s="24" t="inlineStr"/>
      <c r="J24" s="24" t="inlineStr">
        <is>
          <t>2023/01/12</t>
        </is>
      </c>
    </row>
    <row r="25">
      <c r="B25" s="24" t="inlineStr">
        <is>
          <t>objecttype_catalog</t>
        </is>
      </c>
      <c r="C25" s="24" t="inlineStr">
        <is>
          <t>RELATIVETABLE</t>
        </is>
      </c>
      <c r="D25" s="24" t="inlineStr">
        <is>
          <t>varchar(200)</t>
        </is>
      </c>
      <c r="E25" s="24" t="inlineStr">
        <is>
          <t>YES</t>
        </is>
      </c>
      <c r="F25" s="24" t="inlineStr">
        <is>
          <t>关联数据表</t>
        </is>
      </c>
      <c r="G25" s="24" t="n"/>
      <c r="H25" s="24" t="n"/>
      <c r="I25" s="24" t="inlineStr"/>
      <c r="J25" s="24" t="inlineStr">
        <is>
          <t>2023/01/12</t>
        </is>
      </c>
    </row>
    <row r="26">
      <c r="B26" s="24" t="inlineStr">
        <is>
          <t>objecttype_catalog</t>
        </is>
      </c>
      <c r="C26" s="24" t="inlineStr">
        <is>
          <t>OBJECTCOLATTRIBUTE</t>
        </is>
      </c>
      <c r="D26" s="24" t="inlineStr">
        <is>
          <t>varchar(32)</t>
        </is>
      </c>
      <c r="E26" s="24" t="inlineStr">
        <is>
          <t>YES</t>
        </is>
      </c>
      <c r="F26" s="24" t="inlineStr">
        <is>
          <t>OBJECTCOLATTRIBUTE</t>
        </is>
      </c>
      <c r="G26" s="24" t="n"/>
      <c r="H26" s="24" t="n"/>
      <c r="I26" s="24" t="inlineStr"/>
      <c r="J26" s="24" t="inlineStr">
        <is>
          <t>2023/01/12</t>
        </is>
      </c>
    </row>
    <row r="27">
      <c r="B27" s="24" t="inlineStr">
        <is>
          <t>objecttype_catalog</t>
        </is>
      </c>
      <c r="C27" s="24" t="inlineStr">
        <is>
          <t>CATALOGSQL</t>
        </is>
      </c>
      <c r="D27" s="24" t="inlineStr">
        <is>
          <t>varchar(500)</t>
        </is>
      </c>
      <c r="E27" s="24" t="inlineStr">
        <is>
          <t>YES</t>
        </is>
      </c>
      <c r="F27" s="24" t="inlineStr">
        <is>
          <t>目录SQL</t>
        </is>
      </c>
      <c r="G27" s="24" t="n"/>
      <c r="H27" s="24" t="n"/>
      <c r="I27" s="24" t="inlineStr"/>
      <c r="J27" s="24" t="inlineStr">
        <is>
          <t>2023/01/12</t>
        </is>
      </c>
    </row>
    <row r="28">
      <c r="B28" s="24" t="inlineStr">
        <is>
          <t>objecttype_catalog</t>
        </is>
      </c>
      <c r="C28" s="24" t="inlineStr">
        <is>
          <t>CATALOGWHERE1</t>
        </is>
      </c>
      <c r="D28" s="24" t="inlineStr">
        <is>
          <t>varchar(500)</t>
        </is>
      </c>
      <c r="E28" s="24" t="inlineStr">
        <is>
          <t>YES</t>
        </is>
      </c>
      <c r="F28" s="24" t="inlineStr">
        <is>
          <t>目录WHERE1</t>
        </is>
      </c>
      <c r="G28" s="24" t="n"/>
      <c r="H28" s="24" t="n"/>
      <c r="I28" s="24" t="inlineStr"/>
      <c r="J28" s="24" t="inlineStr">
        <is>
          <t>2023/01/12</t>
        </is>
      </c>
    </row>
    <row r="29">
      <c r="B29" s="24" t="inlineStr">
        <is>
          <t>objecttype_catalog</t>
        </is>
      </c>
      <c r="C29" s="24" t="inlineStr">
        <is>
          <t>CATALOGWHERE2</t>
        </is>
      </c>
      <c r="D29" s="24" t="inlineStr">
        <is>
          <t>varchar(500)</t>
        </is>
      </c>
      <c r="E29" s="24" t="inlineStr">
        <is>
          <t>YES</t>
        </is>
      </c>
      <c r="F29" s="24" t="inlineStr">
        <is>
          <t>目录WHERE2</t>
        </is>
      </c>
      <c r="G29" s="24" t="n"/>
      <c r="H29" s="24" t="n"/>
      <c r="I29" s="24" t="inlineStr"/>
      <c r="J29" s="24" t="inlineStr">
        <is>
          <t>2023/01/12</t>
        </is>
      </c>
    </row>
    <row r="30">
      <c r="B30" s="24" t="inlineStr">
        <is>
          <t>objecttype_catalog</t>
        </is>
      </c>
      <c r="C30" s="24" t="inlineStr">
        <is>
          <t>CATALOGWHERE3</t>
        </is>
      </c>
      <c r="D30" s="24" t="inlineStr">
        <is>
          <t>varchar(500)</t>
        </is>
      </c>
      <c r="E30" s="24" t="inlineStr">
        <is>
          <t>YES</t>
        </is>
      </c>
      <c r="F30" s="24" t="inlineStr">
        <is>
          <t>目录WHERE3</t>
        </is>
      </c>
      <c r="G30" s="24" t="n"/>
      <c r="H30" s="24" t="n"/>
      <c r="I30" s="24" t="inlineStr"/>
      <c r="J30" s="24" t="inlineStr">
        <is>
          <t>2023/01/12</t>
        </is>
      </c>
    </row>
    <row r="31">
      <c r="B31" s="24" t="inlineStr">
        <is>
          <t>objecttype_catalog</t>
        </is>
      </c>
      <c r="C31" s="24" t="inlineStr">
        <is>
          <t>INPUTORGID</t>
        </is>
      </c>
      <c r="D31" s="24" t="inlineStr">
        <is>
          <t>varchar(32)</t>
        </is>
      </c>
      <c r="E31" s="24" t="inlineStr">
        <is>
          <t>YES</t>
        </is>
      </c>
      <c r="F31" s="24" t="inlineStr">
        <is>
          <t>登记机构</t>
        </is>
      </c>
      <c r="G31" s="24" t="n"/>
      <c r="H31" s="24" t="n"/>
      <c r="I31" s="24" t="inlineStr"/>
      <c r="J31" s="24" t="inlineStr">
        <is>
          <t>2023/01/12</t>
        </is>
      </c>
    </row>
    <row r="32">
      <c r="B32" s="24" t="inlineStr">
        <is>
          <t>objecttype_catalog</t>
        </is>
      </c>
      <c r="C32" s="24" t="inlineStr">
        <is>
          <t>INPUTUSERID</t>
        </is>
      </c>
      <c r="D32" s="24" t="inlineStr">
        <is>
          <t>varchar(32)</t>
        </is>
      </c>
      <c r="E32" s="24" t="inlineStr">
        <is>
          <t>YES</t>
        </is>
      </c>
      <c r="F32" s="24" t="inlineStr">
        <is>
          <t>登记人</t>
        </is>
      </c>
      <c r="G32" s="24" t="n"/>
      <c r="H32" s="24" t="n"/>
      <c r="I32" s="24" t="inlineStr"/>
      <c r="J32" s="24" t="inlineStr">
        <is>
          <t>2023/01/12</t>
        </is>
      </c>
    </row>
  </sheetData>
  <pageMargins left="0.75" right="0.75" top="1" bottom="1" header="0.5" footer="0.5"/>
  <pageSetup orientation="portrait" paperSize="1" horizontalDpi="300" verticalDpi="300"/>
</worksheet>
</file>

<file path=xl/worksheets/sheet154.xml><?xml version="1.0" encoding="utf-8"?>
<worksheet xmlns="http://schemas.openxmlformats.org/spreadsheetml/2006/main">
  <sheetPr>
    <outlinePr summaryBelow="1" summaryRight="1"/>
    <pageSetUpPr/>
  </sheetPr>
  <dimension ref="A1:J26"/>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对象关联信息表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objecttype_rela</t>
        </is>
      </c>
      <c r="C3" s="24" t="inlineStr">
        <is>
          <t>OBJECTTYPE</t>
        </is>
      </c>
      <c r="D3" s="24" t="inlineStr">
        <is>
          <t>varchar(32)</t>
        </is>
      </c>
      <c r="E3" s="24" t="inlineStr">
        <is>
          <t>NO</t>
        </is>
      </c>
      <c r="F3" s="24" t="inlineStr">
        <is>
          <t>对象类型号</t>
        </is>
      </c>
      <c r="G3" s="24" t="n"/>
      <c r="H3" s="24" t="n"/>
      <c r="I3" s="24" t="inlineStr"/>
      <c r="J3" s="24" t="inlineStr">
        <is>
          <t>2023/01/12</t>
        </is>
      </c>
    </row>
    <row r="4">
      <c r="B4" s="24" t="inlineStr">
        <is>
          <t>objecttype_rela</t>
        </is>
      </c>
      <c r="C4" s="24" t="inlineStr">
        <is>
          <t>RELATIONSHIP</t>
        </is>
      </c>
      <c r="D4" s="24" t="inlineStr">
        <is>
          <t>varchar(200)</t>
        </is>
      </c>
      <c r="E4" s="24" t="inlineStr">
        <is>
          <t>NO</t>
        </is>
      </c>
      <c r="F4" s="24" t="inlineStr">
        <is>
          <t>关联关系</t>
        </is>
      </c>
      <c r="G4" s="24" t="n"/>
      <c r="H4" s="24" t="n"/>
      <c r="I4" s="24" t="inlineStr"/>
      <c r="J4" s="24" t="inlineStr">
        <is>
          <t>2023/01/12</t>
        </is>
      </c>
    </row>
    <row r="5">
      <c r="B5" s="24" t="inlineStr">
        <is>
          <t>objecttype_rela</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objecttype_rela</t>
        </is>
      </c>
      <c r="C6" s="24" t="inlineStr">
        <is>
          <t>DISPLAYNAME</t>
        </is>
      </c>
      <c r="D6" s="24" t="inlineStr">
        <is>
          <t>varchar(80)</t>
        </is>
      </c>
      <c r="E6" s="24" t="inlineStr">
        <is>
          <t>YES</t>
        </is>
      </c>
      <c r="F6" s="24" t="inlineStr">
        <is>
          <t>显示名称</t>
        </is>
      </c>
      <c r="G6" s="24" t="n"/>
      <c r="H6" s="24" t="n"/>
      <c r="I6" s="24" t="inlineStr"/>
      <c r="J6" s="24" t="inlineStr">
        <is>
          <t>2023/01/12</t>
        </is>
      </c>
    </row>
    <row r="7">
      <c r="B7" s="24" t="inlineStr">
        <is>
          <t>objecttype_rela</t>
        </is>
      </c>
      <c r="C7" s="24" t="inlineStr">
        <is>
          <t>RELAOBJECTTYPE</t>
        </is>
      </c>
      <c r="D7" s="24" t="inlineStr">
        <is>
          <t>varchar(32)</t>
        </is>
      </c>
      <c r="E7" s="24" t="inlineStr">
        <is>
          <t>YES</t>
        </is>
      </c>
      <c r="F7" s="24" t="inlineStr">
        <is>
          <t>关联对象类型</t>
        </is>
      </c>
      <c r="G7" s="24" t="n"/>
      <c r="H7" s="24" t="n"/>
      <c r="I7" s="24" t="inlineStr"/>
      <c r="J7" s="24" t="inlineStr">
        <is>
          <t>2023/01/12</t>
        </is>
      </c>
    </row>
    <row r="8">
      <c r="B8" s="24" t="inlineStr">
        <is>
          <t>objecttype_rela</t>
        </is>
      </c>
      <c r="C8" s="24" t="inlineStr">
        <is>
          <t>SHOWONTABEXPR</t>
        </is>
      </c>
      <c r="D8" s="24" t="inlineStr">
        <is>
          <t>varchar(500)</t>
        </is>
      </c>
      <c r="E8" s="24" t="inlineStr">
        <is>
          <t>YES</t>
        </is>
      </c>
      <c r="F8" s="24" t="inlineStr">
        <is>
          <t>模板表述</t>
        </is>
      </c>
      <c r="G8" s="24" t="n"/>
      <c r="H8" s="24" t="n"/>
      <c r="I8" s="24" t="inlineStr"/>
      <c r="J8" s="24" t="inlineStr">
        <is>
          <t>2023/01/12</t>
        </is>
      </c>
    </row>
    <row r="9">
      <c r="B9" s="24" t="inlineStr">
        <is>
          <t>objecttype_rela</t>
        </is>
      </c>
      <c r="C9" s="24" t="inlineStr">
        <is>
          <t>RELAEXPR</t>
        </is>
      </c>
      <c r="D9" s="24" t="inlineStr">
        <is>
          <t>varchar(500)</t>
        </is>
      </c>
      <c r="E9" s="24" t="inlineStr">
        <is>
          <t>YES</t>
        </is>
      </c>
      <c r="F9" s="24" t="inlineStr">
        <is>
          <t>关系表述</t>
        </is>
      </c>
      <c r="G9" s="24" t="n"/>
      <c r="H9" s="24" t="n"/>
      <c r="I9" s="24" t="inlineStr"/>
      <c r="J9" s="24" t="inlineStr">
        <is>
          <t>2023/01/12</t>
        </is>
      </c>
    </row>
    <row r="10">
      <c r="B10" s="24" t="inlineStr">
        <is>
          <t>objecttype_rela</t>
        </is>
      </c>
      <c r="C10" s="24" t="inlineStr">
        <is>
          <t>VIEWEXPR</t>
        </is>
      </c>
      <c r="D10" s="24" t="inlineStr">
        <is>
          <t>varchar(500)</t>
        </is>
      </c>
      <c r="E10" s="24" t="inlineStr">
        <is>
          <t>YES</t>
        </is>
      </c>
      <c r="F10" s="24" t="inlineStr">
        <is>
          <t>视图表述</t>
        </is>
      </c>
      <c r="G10" s="24" t="n"/>
      <c r="H10" s="24" t="n"/>
      <c r="I10" s="24" t="inlineStr"/>
      <c r="J10" s="24" t="inlineStr">
        <is>
          <t>2023/01/12</t>
        </is>
      </c>
    </row>
    <row r="11">
      <c r="B11" s="24" t="inlineStr">
        <is>
          <t>objecttype_rela</t>
        </is>
      </c>
      <c r="C11" s="24" t="inlineStr">
        <is>
          <t>ISINUSE</t>
        </is>
      </c>
      <c r="D11" s="24" t="inlineStr">
        <is>
          <t>varchar(6)</t>
        </is>
      </c>
      <c r="E11" s="24" t="inlineStr">
        <is>
          <t>YES</t>
        </is>
      </c>
      <c r="F11" s="24" t="inlineStr">
        <is>
          <t>是否可用</t>
        </is>
      </c>
      <c r="G11" s="52">
        <f>HYPERLINK("#码值映射清单!B1110","IsInUse")</f>
        <v/>
      </c>
      <c r="H11" s="24" t="n"/>
      <c r="I11" s="24" t="inlineStr"/>
      <c r="J11" s="24" t="inlineStr">
        <is>
          <t>2023/01/12</t>
        </is>
      </c>
    </row>
    <row r="12">
      <c r="B12" s="24" t="inlineStr">
        <is>
          <t>objecttype_rela</t>
        </is>
      </c>
      <c r="C12" s="24" t="inlineStr">
        <is>
          <t>ATTRIBUTE1</t>
        </is>
      </c>
      <c r="D12" s="24" t="inlineStr">
        <is>
          <t>varchar(500)</t>
        </is>
      </c>
      <c r="E12" s="24" t="inlineStr">
        <is>
          <t>YES</t>
        </is>
      </c>
      <c r="F12" s="24" t="inlineStr">
        <is>
          <t>属性1</t>
        </is>
      </c>
      <c r="G12" s="24" t="n"/>
      <c r="H12" s="24" t="n"/>
      <c r="I12" s="24" t="inlineStr"/>
      <c r="J12" s="24" t="inlineStr">
        <is>
          <t>2023/01/12</t>
        </is>
      </c>
    </row>
    <row r="13">
      <c r="B13" s="24" t="inlineStr">
        <is>
          <t>objecttype_rela</t>
        </is>
      </c>
      <c r="C13" s="24" t="inlineStr">
        <is>
          <t>ATTRIBUTE2</t>
        </is>
      </c>
      <c r="D13" s="24" t="inlineStr">
        <is>
          <t>varchar(500)</t>
        </is>
      </c>
      <c r="E13" s="24" t="inlineStr">
        <is>
          <t>YES</t>
        </is>
      </c>
      <c r="F13" s="24" t="inlineStr">
        <is>
          <t>属性2</t>
        </is>
      </c>
      <c r="G13" s="24" t="n"/>
      <c r="H13" s="24" t="n"/>
      <c r="I13" s="24" t="inlineStr"/>
      <c r="J13" s="24" t="inlineStr">
        <is>
          <t>2023/01/12</t>
        </is>
      </c>
    </row>
    <row r="14">
      <c r="B14" s="24" t="inlineStr">
        <is>
          <t>objecttype_rela</t>
        </is>
      </c>
      <c r="C14" s="24" t="inlineStr">
        <is>
          <t>ATTRIBUTE3</t>
        </is>
      </c>
      <c r="D14" s="24" t="inlineStr">
        <is>
          <t>varchar(500)</t>
        </is>
      </c>
      <c r="E14" s="24" t="inlineStr">
        <is>
          <t>YES</t>
        </is>
      </c>
      <c r="F14" s="24" t="inlineStr">
        <is>
          <t>属性3</t>
        </is>
      </c>
      <c r="G14" s="24" t="n"/>
      <c r="H14" s="24" t="n"/>
      <c r="I14" s="24" t="inlineStr"/>
      <c r="J14" s="24" t="inlineStr">
        <is>
          <t>2023/01/12</t>
        </is>
      </c>
    </row>
    <row r="15">
      <c r="B15" s="24" t="inlineStr">
        <is>
          <t>objecttype_rela</t>
        </is>
      </c>
      <c r="C15" s="24" t="inlineStr">
        <is>
          <t>REMARK</t>
        </is>
      </c>
      <c r="D15" s="24" t="inlineStr">
        <is>
          <t>varchar(500)</t>
        </is>
      </c>
      <c r="E15" s="24" t="inlineStr">
        <is>
          <t>YES</t>
        </is>
      </c>
      <c r="F15" s="24" t="inlineStr">
        <is>
          <t>备注</t>
        </is>
      </c>
      <c r="G15" s="24" t="n"/>
      <c r="H15" s="24" t="n"/>
      <c r="I15" s="24" t="inlineStr"/>
      <c r="J15" s="24" t="inlineStr">
        <is>
          <t>2023/01/12</t>
        </is>
      </c>
    </row>
    <row r="16">
      <c r="B16" s="24" t="inlineStr">
        <is>
          <t>objecttype_rela</t>
        </is>
      </c>
      <c r="C16" s="24" t="inlineStr">
        <is>
          <t>INPUTORGID</t>
        </is>
      </c>
      <c r="D16" s="24" t="inlineStr">
        <is>
          <t>varchar(32)</t>
        </is>
      </c>
      <c r="E16" s="24" t="inlineStr">
        <is>
          <t>YES</t>
        </is>
      </c>
      <c r="F16" s="24" t="inlineStr">
        <is>
          <t>登记机构</t>
        </is>
      </c>
      <c r="G16" s="24" t="n"/>
      <c r="H16" s="24" t="n"/>
      <c r="I16" s="24" t="inlineStr"/>
      <c r="J16" s="24" t="inlineStr">
        <is>
          <t>2023/01/12</t>
        </is>
      </c>
    </row>
    <row r="17">
      <c r="B17" s="24" t="inlineStr">
        <is>
          <t>objecttype_rela</t>
        </is>
      </c>
      <c r="C17" s="24" t="inlineStr">
        <is>
          <t>INPUTUSERID</t>
        </is>
      </c>
      <c r="D17" s="24" t="inlineStr">
        <is>
          <t>varchar(32)</t>
        </is>
      </c>
      <c r="E17" s="24" t="inlineStr">
        <is>
          <t>YES</t>
        </is>
      </c>
      <c r="F17" s="24" t="inlineStr">
        <is>
          <t>登记人</t>
        </is>
      </c>
      <c r="G17" s="24" t="n"/>
      <c r="H17" s="24" t="n"/>
      <c r="I17" s="24" t="inlineStr"/>
      <c r="J17" s="24" t="inlineStr">
        <is>
          <t>2023/01/12</t>
        </is>
      </c>
    </row>
    <row r="18">
      <c r="B18" s="24" t="inlineStr">
        <is>
          <t>objecttype_rela</t>
        </is>
      </c>
      <c r="C18" s="24" t="inlineStr">
        <is>
          <t>INPUTDATE</t>
        </is>
      </c>
      <c r="D18" s="24" t="inlineStr">
        <is>
          <t>datetime</t>
        </is>
      </c>
      <c r="E18" s="24" t="inlineStr">
        <is>
          <t>YES</t>
        </is>
      </c>
      <c r="F18" s="24" t="inlineStr">
        <is>
          <t>登记日期</t>
        </is>
      </c>
      <c r="G18" s="24" t="n"/>
      <c r="H18" s="24" t="n"/>
      <c r="I18" s="24" t="inlineStr"/>
      <c r="J18" s="24" t="inlineStr">
        <is>
          <t>2023/01/12</t>
        </is>
      </c>
    </row>
    <row r="19">
      <c r="B19" s="24" t="inlineStr">
        <is>
          <t>objecttype_rela</t>
        </is>
      </c>
      <c r="C19" s="24" t="inlineStr">
        <is>
          <t>UPDATEORGID</t>
        </is>
      </c>
      <c r="D19" s="24" t="inlineStr">
        <is>
          <t>varchar(32)</t>
        </is>
      </c>
      <c r="E19" s="24" t="inlineStr">
        <is>
          <t>YES</t>
        </is>
      </c>
      <c r="F19" s="24" t="inlineStr">
        <is>
          <t>更新机构</t>
        </is>
      </c>
      <c r="G19" s="24" t="n"/>
      <c r="H19" s="24" t="n"/>
      <c r="I19" s="24" t="inlineStr"/>
      <c r="J19" s="24" t="inlineStr">
        <is>
          <t>2023/01/12</t>
        </is>
      </c>
    </row>
    <row r="20">
      <c r="B20" s="24" t="inlineStr">
        <is>
          <t>objecttype_rela</t>
        </is>
      </c>
      <c r="C20" s="24" t="inlineStr">
        <is>
          <t>UPDATEUSERID</t>
        </is>
      </c>
      <c r="D20" s="24" t="inlineStr">
        <is>
          <t>varchar(32)</t>
        </is>
      </c>
      <c r="E20" s="24" t="inlineStr">
        <is>
          <t>YES</t>
        </is>
      </c>
      <c r="F20" s="24" t="inlineStr">
        <is>
          <t>更新人</t>
        </is>
      </c>
      <c r="G20" s="24" t="n"/>
      <c r="H20" s="24" t="n"/>
      <c r="I20" s="24" t="inlineStr"/>
      <c r="J20" s="24" t="inlineStr">
        <is>
          <t>2023/01/12</t>
        </is>
      </c>
    </row>
    <row r="21">
      <c r="B21" s="24" t="inlineStr">
        <is>
          <t>objecttype_rela</t>
        </is>
      </c>
      <c r="C21" s="24" t="inlineStr">
        <is>
          <t>UPDATEDATE</t>
        </is>
      </c>
      <c r="D21" s="24" t="inlineStr">
        <is>
          <t>datetime</t>
        </is>
      </c>
      <c r="E21" s="24" t="inlineStr">
        <is>
          <t>YES</t>
        </is>
      </c>
      <c r="F21" s="24" t="inlineStr">
        <is>
          <t>更新日期</t>
        </is>
      </c>
      <c r="G21" s="24" t="n"/>
      <c r="H21" s="24" t="n"/>
      <c r="I21" s="24" t="inlineStr"/>
      <c r="J21" s="24" t="inlineStr">
        <is>
          <t>2023/01/12</t>
        </is>
      </c>
    </row>
    <row r="22">
      <c r="B22" s="24" t="inlineStr">
        <is>
          <t>objecttype_rela</t>
        </is>
      </c>
      <c r="C22" s="24" t="inlineStr">
        <is>
          <t>INPUTTIME</t>
        </is>
      </c>
      <c r="D22" s="24" t="inlineStr">
        <is>
          <t>datetime</t>
        </is>
      </c>
      <c r="E22" s="24" t="inlineStr">
        <is>
          <t>YES</t>
        </is>
      </c>
      <c r="F22" s="24" t="inlineStr">
        <is>
          <t>登记日期</t>
        </is>
      </c>
      <c r="G22" s="24" t="n"/>
      <c r="H22" s="24" t="n"/>
      <c r="I22" s="24" t="inlineStr"/>
      <c r="J22" s="24" t="inlineStr">
        <is>
          <t>2023/01/12</t>
        </is>
      </c>
    </row>
    <row r="23">
      <c r="B23" s="24" t="inlineStr">
        <is>
          <t>objecttype_rela</t>
        </is>
      </c>
      <c r="C23" s="24" t="inlineStr">
        <is>
          <t>UPDATETIME</t>
        </is>
      </c>
      <c r="D23" s="24" t="inlineStr">
        <is>
          <t>datetime</t>
        </is>
      </c>
      <c r="E23" s="24" t="inlineStr">
        <is>
          <t>YES</t>
        </is>
      </c>
      <c r="F23" s="24" t="inlineStr">
        <is>
          <t>更新日期</t>
        </is>
      </c>
      <c r="G23" s="24" t="n"/>
      <c r="H23" s="24" t="n"/>
      <c r="I23" s="24" t="inlineStr"/>
      <c r="J23" s="24" t="inlineStr">
        <is>
          <t>2023/01/12</t>
        </is>
      </c>
    </row>
    <row r="24">
      <c r="B24" s="24" t="inlineStr">
        <is>
          <t>objecttype_rela</t>
        </is>
      </c>
      <c r="C24" s="24" t="inlineStr">
        <is>
          <t>INPUTORG</t>
        </is>
      </c>
      <c r="D24" s="24" t="inlineStr">
        <is>
          <t>varchar(80)</t>
        </is>
      </c>
      <c r="E24" s="24" t="inlineStr">
        <is>
          <t>YES</t>
        </is>
      </c>
      <c r="F24" s="24" t="inlineStr">
        <is>
          <t>登记机构</t>
        </is>
      </c>
      <c r="G24" s="24" t="n"/>
      <c r="H24" s="24" t="n"/>
      <c r="I24" s="24" t="inlineStr"/>
      <c r="J24" s="24" t="inlineStr">
        <is>
          <t>2023/01/12</t>
        </is>
      </c>
    </row>
    <row r="25">
      <c r="B25" s="24" t="inlineStr">
        <is>
          <t>objecttype_rela</t>
        </is>
      </c>
      <c r="C25" s="24" t="inlineStr">
        <is>
          <t>INPUTUSER</t>
        </is>
      </c>
      <c r="D25" s="24" t="inlineStr">
        <is>
          <t>varchar(80)</t>
        </is>
      </c>
      <c r="E25" s="24" t="inlineStr">
        <is>
          <t>YES</t>
        </is>
      </c>
      <c r="F25" s="24" t="inlineStr">
        <is>
          <t>登记人</t>
        </is>
      </c>
      <c r="G25" s="24" t="n"/>
      <c r="H25" s="24" t="n"/>
      <c r="I25" s="24" t="inlineStr"/>
      <c r="J25" s="24" t="inlineStr">
        <is>
          <t>2023/01/12</t>
        </is>
      </c>
    </row>
    <row r="26">
      <c r="B26" s="24" t="inlineStr">
        <is>
          <t>objecttype_rela</t>
        </is>
      </c>
      <c r="C26" s="24" t="inlineStr">
        <is>
          <t>UPDATEUSER</t>
        </is>
      </c>
      <c r="D26" s="24" t="inlineStr">
        <is>
          <t>varchar(80)</t>
        </is>
      </c>
      <c r="E26" s="24" t="inlineStr">
        <is>
          <t>YES</t>
        </is>
      </c>
      <c r="F26" s="24" t="inlineStr">
        <is>
          <t>更新人</t>
        </is>
      </c>
      <c r="G26" s="24" t="n"/>
      <c r="H26" s="24" t="n"/>
      <c r="I26" s="24" t="inlineStr"/>
      <c r="J26" s="24" t="inlineStr">
        <is>
          <t>2023/01/12</t>
        </is>
      </c>
    </row>
  </sheetData>
  <pageMargins left="0.75" right="0.75" top="1" bottom="1" header="0.5" footer="0.5"/>
  <pageSetup orientation="portrait" paperSize="1" horizontalDpi="300" verticalDpi="300"/>
</worksheet>
</file>

<file path=xl/worksheets/sheet155.xml><?xml version="1.0" encoding="utf-8"?>
<worksheet xmlns="http://schemas.openxmlformats.org/spreadsheetml/2006/main">
  <sheetPr>
    <outlinePr summaryBelow="1" summaryRight="1"/>
    <pageSetUpPr/>
  </sheetPr>
  <dimension ref="A1:J11"/>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机构管辖信息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org_belong</t>
        </is>
      </c>
      <c r="C3" s="24" t="inlineStr">
        <is>
          <t>ORGID</t>
        </is>
      </c>
      <c r="D3" s="24" t="inlineStr">
        <is>
          <t>varchar(32)</t>
        </is>
      </c>
      <c r="E3" s="24" t="inlineStr">
        <is>
          <t>NO</t>
        </is>
      </c>
      <c r="F3" s="24" t="inlineStr">
        <is>
          <t>机构编号</t>
        </is>
      </c>
      <c r="G3" s="24" t="n"/>
      <c r="H3" s="24" t="n"/>
      <c r="I3" s="24" t="inlineStr"/>
      <c r="J3" s="24" t="inlineStr">
        <is>
          <t>2023/01/12</t>
        </is>
      </c>
    </row>
    <row r="4">
      <c r="B4" s="24" t="inlineStr">
        <is>
          <t>org_belong</t>
        </is>
      </c>
      <c r="C4" s="24" t="inlineStr">
        <is>
          <t>MANAGETYPE</t>
        </is>
      </c>
      <c r="D4" s="24" t="inlineStr">
        <is>
          <t>varchar(6)</t>
        </is>
      </c>
      <c r="E4" s="24" t="inlineStr">
        <is>
          <t>NO</t>
        </is>
      </c>
      <c r="F4" s="24" t="inlineStr">
        <is>
          <t>管辖类型</t>
        </is>
      </c>
      <c r="G4" s="24" t="n"/>
      <c r="H4" s="24" t="n"/>
      <c r="I4" s="24" t="inlineStr"/>
      <c r="J4" s="24" t="inlineStr">
        <is>
          <t>2023/01/12</t>
        </is>
      </c>
    </row>
    <row r="5">
      <c r="B5" s="24" t="inlineStr">
        <is>
          <t>org_belong</t>
        </is>
      </c>
      <c r="C5" s="24" t="inlineStr">
        <is>
          <t>BELONGORGID</t>
        </is>
      </c>
      <c r="D5" s="24" t="inlineStr">
        <is>
          <t>varchar(32)</t>
        </is>
      </c>
      <c r="E5" s="24" t="inlineStr">
        <is>
          <t>NO</t>
        </is>
      </c>
      <c r="F5" s="24" t="inlineStr">
        <is>
          <t>管辖机构编号</t>
        </is>
      </c>
      <c r="G5" s="24" t="n"/>
      <c r="H5" s="24" t="n"/>
      <c r="I5" s="24" t="inlineStr"/>
      <c r="J5" s="24" t="inlineStr">
        <is>
          <t>2023/01/12</t>
        </is>
      </c>
    </row>
    <row r="6">
      <c r="B6" s="24" t="inlineStr">
        <is>
          <t>org_belong</t>
        </is>
      </c>
      <c r="C6" s="24" t="inlineStr">
        <is>
          <t>INPUTORGID</t>
        </is>
      </c>
      <c r="D6" s="24" t="inlineStr">
        <is>
          <t>varchar(32)</t>
        </is>
      </c>
      <c r="E6" s="24" t="inlineStr">
        <is>
          <t>YES</t>
        </is>
      </c>
      <c r="F6" s="24" t="inlineStr">
        <is>
          <t>登记机构</t>
        </is>
      </c>
      <c r="G6" s="24" t="n"/>
      <c r="H6" s="24" t="n"/>
      <c r="I6" s="24" t="inlineStr"/>
      <c r="J6" s="24" t="inlineStr">
        <is>
          <t>2023/01/12</t>
        </is>
      </c>
    </row>
    <row r="7">
      <c r="B7" s="24" t="inlineStr">
        <is>
          <t>org_belong</t>
        </is>
      </c>
      <c r="C7" s="24" t="inlineStr">
        <is>
          <t>INPUTUSERID</t>
        </is>
      </c>
      <c r="D7" s="24" t="inlineStr">
        <is>
          <t>varchar(32)</t>
        </is>
      </c>
      <c r="E7" s="24" t="inlineStr">
        <is>
          <t>YES</t>
        </is>
      </c>
      <c r="F7" s="24" t="inlineStr">
        <is>
          <t>登记人员</t>
        </is>
      </c>
      <c r="G7" s="24" t="n"/>
      <c r="H7" s="24" t="n"/>
      <c r="I7" s="24" t="inlineStr"/>
      <c r="J7" s="24" t="inlineStr">
        <is>
          <t>2023/01/12</t>
        </is>
      </c>
    </row>
    <row r="8">
      <c r="B8" s="24" t="inlineStr">
        <is>
          <t>org_belong</t>
        </is>
      </c>
      <c r="C8" s="24" t="inlineStr">
        <is>
          <t>INPUTDATE</t>
        </is>
      </c>
      <c r="D8" s="24" t="inlineStr">
        <is>
          <t>datetime</t>
        </is>
      </c>
      <c r="E8" s="24" t="inlineStr">
        <is>
          <t>YES</t>
        </is>
      </c>
      <c r="F8" s="24" t="inlineStr">
        <is>
          <t>登记日期</t>
        </is>
      </c>
      <c r="G8" s="24" t="n"/>
      <c r="H8" s="24" t="n"/>
      <c r="I8" s="24" t="inlineStr"/>
      <c r="J8" s="24" t="inlineStr">
        <is>
          <t>2023/01/12</t>
        </is>
      </c>
    </row>
    <row r="9">
      <c r="B9" s="24" t="inlineStr">
        <is>
          <t>org_belong</t>
        </is>
      </c>
      <c r="C9" s="24" t="inlineStr">
        <is>
          <t>UPDATEORGID</t>
        </is>
      </c>
      <c r="D9" s="24" t="inlineStr">
        <is>
          <t>varchar(32)</t>
        </is>
      </c>
      <c r="E9" s="24" t="inlineStr">
        <is>
          <t>YES</t>
        </is>
      </c>
      <c r="F9" s="24" t="inlineStr">
        <is>
          <t>更新机构</t>
        </is>
      </c>
      <c r="G9" s="24" t="n"/>
      <c r="H9" s="24" t="n"/>
      <c r="I9" s="24" t="inlineStr"/>
      <c r="J9" s="24" t="inlineStr">
        <is>
          <t>2023/01/12</t>
        </is>
      </c>
    </row>
    <row r="10">
      <c r="B10" s="24" t="inlineStr">
        <is>
          <t>org_belong</t>
        </is>
      </c>
      <c r="C10" s="24" t="inlineStr">
        <is>
          <t>UPDATEUSERID</t>
        </is>
      </c>
      <c r="D10" s="24" t="inlineStr">
        <is>
          <t>varchar(32)</t>
        </is>
      </c>
      <c r="E10" s="24" t="inlineStr">
        <is>
          <t>YES</t>
        </is>
      </c>
      <c r="F10" s="24" t="inlineStr">
        <is>
          <t>更新人员</t>
        </is>
      </c>
      <c r="G10" s="24" t="n"/>
      <c r="H10" s="24" t="n"/>
      <c r="I10" s="24" t="inlineStr"/>
      <c r="J10" s="24" t="inlineStr">
        <is>
          <t>2023/01/12</t>
        </is>
      </c>
    </row>
    <row r="11">
      <c r="B11" s="24" t="inlineStr">
        <is>
          <t>org_belong</t>
        </is>
      </c>
      <c r="C11" s="24" t="inlineStr">
        <is>
          <t>UPDATEDATE</t>
        </is>
      </c>
      <c r="D11" s="24" t="inlineStr">
        <is>
          <t>datetime</t>
        </is>
      </c>
      <c r="E11" s="24" t="inlineStr">
        <is>
          <t>YES</t>
        </is>
      </c>
      <c r="F11" s="24" t="inlineStr">
        <is>
          <t>更新日期</t>
        </is>
      </c>
      <c r="G11" s="24" t="n"/>
      <c r="H11" s="24" t="n"/>
      <c r="I11" s="24" t="inlineStr"/>
      <c r="J11" s="24" t="inlineStr">
        <is>
          <t>2023/01/12</t>
        </is>
      </c>
    </row>
  </sheetData>
  <pageMargins left="0.75" right="0.75" top="1" bottom="1" header="0.5" footer="0.5"/>
  <pageSetup orientation="portrait" paperSize="1" horizontalDpi="300" verticalDpi="300"/>
</worksheet>
</file>

<file path=xl/worksheets/sheet156.xml><?xml version="1.0" encoding="utf-8"?>
<worksheet xmlns="http://schemas.openxmlformats.org/spreadsheetml/2006/main">
  <sheetPr>
    <outlinePr summaryBelow="1" summaryRight="1"/>
    <pageSetUpPr/>
  </sheetPr>
  <dimension ref="A1:J44"/>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机构信息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org_info</t>
        </is>
      </c>
      <c r="C3" s="24" t="inlineStr">
        <is>
          <t>ORGID</t>
        </is>
      </c>
      <c r="D3" s="24" t="inlineStr">
        <is>
          <t>varchar(32)</t>
        </is>
      </c>
      <c r="E3" s="24" t="inlineStr">
        <is>
          <t>NO</t>
        </is>
      </c>
      <c r="F3" s="24" t="inlineStr">
        <is>
          <t>机构编号</t>
        </is>
      </c>
      <c r="G3" s="24" t="n"/>
      <c r="H3" s="24" t="n"/>
      <c r="I3" s="24" t="inlineStr"/>
      <c r="J3" s="24" t="inlineStr">
        <is>
          <t>2023/01/12</t>
        </is>
      </c>
    </row>
    <row r="4">
      <c r="B4" s="24" t="inlineStr">
        <is>
          <t>org_info</t>
        </is>
      </c>
      <c r="C4" s="24" t="inlineStr">
        <is>
          <t>SORTNO</t>
        </is>
      </c>
      <c r="D4" s="24" t="inlineStr">
        <is>
          <t>varchar(32)</t>
        </is>
      </c>
      <c r="E4" s="24" t="inlineStr">
        <is>
          <t>YES</t>
        </is>
      </c>
      <c r="F4" s="24" t="inlineStr">
        <is>
          <t>排序号</t>
        </is>
      </c>
      <c r="G4" s="24" t="n"/>
      <c r="H4" s="24" t="n"/>
      <c r="I4" s="24" t="inlineStr"/>
      <c r="J4" s="24" t="inlineStr">
        <is>
          <t>2023/01/12</t>
        </is>
      </c>
    </row>
    <row r="5">
      <c r="B5" s="24" t="inlineStr">
        <is>
          <t>org_info</t>
        </is>
      </c>
      <c r="C5" s="24" t="inlineStr">
        <is>
          <t>ORGNAME</t>
        </is>
      </c>
      <c r="D5" s="24" t="inlineStr">
        <is>
          <t>varchar(80)</t>
        </is>
      </c>
      <c r="E5" s="24" t="inlineStr">
        <is>
          <t>YES</t>
        </is>
      </c>
      <c r="F5" s="24" t="inlineStr">
        <is>
          <t>机构名称</t>
        </is>
      </c>
      <c r="G5" s="24" t="n"/>
      <c r="H5" s="24" t="n"/>
      <c r="I5" s="24" t="inlineStr"/>
      <c r="J5" s="24" t="inlineStr">
        <is>
          <t>2023/01/12</t>
        </is>
      </c>
    </row>
    <row r="6">
      <c r="B6" s="24" t="inlineStr">
        <is>
          <t>org_info</t>
        </is>
      </c>
      <c r="C6" s="24" t="inlineStr">
        <is>
          <t>ORGLEVEL</t>
        </is>
      </c>
      <c r="D6" s="24" t="inlineStr">
        <is>
          <t>varchar(32)</t>
        </is>
      </c>
      <c r="E6" s="24" t="inlineStr">
        <is>
          <t>YES</t>
        </is>
      </c>
      <c r="F6" s="24" t="inlineStr">
        <is>
          <t>级别</t>
        </is>
      </c>
      <c r="G6" s="52">
        <f>HYPERLINK("#码值映射清单!B7700","OrgLevel")</f>
        <v/>
      </c>
      <c r="H6" s="24" t="n"/>
      <c r="I6" s="24" t="inlineStr"/>
      <c r="J6" s="24" t="inlineStr">
        <is>
          <t>2023/01/12</t>
        </is>
      </c>
    </row>
    <row r="7">
      <c r="B7" s="24" t="inlineStr">
        <is>
          <t>org_info</t>
        </is>
      </c>
      <c r="C7" s="24" t="inlineStr">
        <is>
          <t>ORGPROPERTY</t>
        </is>
      </c>
      <c r="D7" s="24" t="inlineStr">
        <is>
          <t>varchar(500)</t>
        </is>
      </c>
      <c r="E7" s="24" t="inlineStr">
        <is>
          <t>YES</t>
        </is>
      </c>
      <c r="F7" s="24" t="inlineStr">
        <is>
          <t>属性集</t>
        </is>
      </c>
      <c r="G7" s="24" t="n"/>
      <c r="H7" s="24" t="n"/>
      <c r="I7" s="24" t="inlineStr"/>
      <c r="J7" s="24" t="inlineStr">
        <is>
          <t>2023/01/12</t>
        </is>
      </c>
    </row>
    <row r="8">
      <c r="B8" s="24" t="inlineStr">
        <is>
          <t>org_info</t>
        </is>
      </c>
      <c r="C8" s="24" t="inlineStr">
        <is>
          <t>RELATIVEORGID</t>
        </is>
      </c>
      <c r="D8" s="24" t="inlineStr">
        <is>
          <t>varchar(32)</t>
        </is>
      </c>
      <c r="E8" s="24" t="inlineStr">
        <is>
          <t>YES</t>
        </is>
      </c>
      <c r="F8" s="24" t="inlineStr">
        <is>
          <t>相关机构代码</t>
        </is>
      </c>
      <c r="G8" s="24" t="n"/>
      <c r="H8" s="24" t="n"/>
      <c r="I8" s="24" t="inlineStr"/>
      <c r="J8" s="24" t="inlineStr">
        <is>
          <t>2023/01/12</t>
        </is>
      </c>
    </row>
    <row r="9">
      <c r="B9" s="24" t="inlineStr">
        <is>
          <t>org_info</t>
        </is>
      </c>
      <c r="C9" s="24" t="inlineStr">
        <is>
          <t>BANKID</t>
        </is>
      </c>
      <c r="D9" s="24" t="inlineStr">
        <is>
          <t>varchar(32)</t>
        </is>
      </c>
      <c r="E9" s="24" t="inlineStr">
        <is>
          <t>YES</t>
        </is>
      </c>
      <c r="F9" s="24" t="inlineStr">
        <is>
          <t>人行金融机构代码</t>
        </is>
      </c>
      <c r="G9" s="24" t="n"/>
      <c r="H9" s="24" t="n"/>
      <c r="I9" s="24" t="inlineStr"/>
      <c r="J9" s="24" t="inlineStr">
        <is>
          <t>2023/01/12</t>
        </is>
      </c>
    </row>
    <row r="10">
      <c r="B10" s="24" t="inlineStr">
        <is>
          <t>org_info</t>
        </is>
      </c>
      <c r="C10" s="24" t="inlineStr">
        <is>
          <t>BANKLICENSE</t>
        </is>
      </c>
      <c r="D10" s="24" t="inlineStr">
        <is>
          <t>varchar(32)</t>
        </is>
      </c>
      <c r="E10" s="24" t="inlineStr">
        <is>
          <t>YES</t>
        </is>
      </c>
      <c r="F10" s="24" t="inlineStr">
        <is>
          <t>金融机构许可证</t>
        </is>
      </c>
      <c r="G10" s="24" t="n"/>
      <c r="H10" s="24" t="n"/>
      <c r="I10" s="24" t="inlineStr"/>
      <c r="J10" s="24" t="inlineStr">
        <is>
          <t>2023/01/12</t>
        </is>
      </c>
    </row>
    <row r="11">
      <c r="B11" s="24" t="inlineStr">
        <is>
          <t>org_info</t>
        </is>
      </c>
      <c r="C11" s="24" t="inlineStr">
        <is>
          <t>BUSINESSLICENSE</t>
        </is>
      </c>
      <c r="D11" s="24" t="inlineStr">
        <is>
          <t>varchar(32)</t>
        </is>
      </c>
      <c r="E11" s="24" t="inlineStr">
        <is>
          <t>YES</t>
        </is>
      </c>
      <c r="F11" s="24" t="inlineStr">
        <is>
          <t>营业执照</t>
        </is>
      </c>
      <c r="G11" s="24" t="n"/>
      <c r="H11" s="24" t="n"/>
      <c r="I11" s="24" t="inlineStr"/>
      <c r="J11" s="24" t="inlineStr">
        <is>
          <t>2023/01/12</t>
        </is>
      </c>
    </row>
    <row r="12">
      <c r="B12" s="24" t="inlineStr">
        <is>
          <t>org_info</t>
        </is>
      </c>
      <c r="C12" s="24" t="inlineStr">
        <is>
          <t>BELONGAREA</t>
        </is>
      </c>
      <c r="D12" s="24" t="inlineStr">
        <is>
          <t>varchar(32)</t>
        </is>
      </c>
      <c r="E12" s="24" t="inlineStr">
        <is>
          <t>YES</t>
        </is>
      </c>
      <c r="F12" s="24" t="inlineStr">
        <is>
          <t>机构辖区</t>
        </is>
      </c>
      <c r="G12" s="24" t="n"/>
      <c r="H12" s="24" t="n"/>
      <c r="I12" s="24" t="inlineStr"/>
      <c r="J12" s="24" t="inlineStr">
        <is>
          <t>2023/01/12</t>
        </is>
      </c>
    </row>
    <row r="13">
      <c r="B13" s="24" t="inlineStr">
        <is>
          <t>org_info</t>
        </is>
      </c>
      <c r="C13" s="24" t="inlineStr">
        <is>
          <t>ORGCLASS</t>
        </is>
      </c>
      <c r="D13" s="24" t="inlineStr">
        <is>
          <t>varchar(32)</t>
        </is>
      </c>
      <c r="E13" s="24" t="inlineStr">
        <is>
          <t>YES</t>
        </is>
      </c>
      <c r="F13" s="24" t="inlineStr">
        <is>
          <t>机构类别</t>
        </is>
      </c>
      <c r="G13" s="24" t="n"/>
      <c r="H13" s="24" t="n"/>
      <c r="I13" s="24" t="inlineStr"/>
      <c r="J13" s="24" t="inlineStr">
        <is>
          <t>2023/01/12</t>
        </is>
      </c>
    </row>
    <row r="14">
      <c r="B14" s="24" t="inlineStr">
        <is>
          <t>org_info</t>
        </is>
      </c>
      <c r="C14" s="24" t="inlineStr">
        <is>
          <t>ZIPCODE</t>
        </is>
      </c>
      <c r="D14" s="24" t="inlineStr">
        <is>
          <t>varchar(32)</t>
        </is>
      </c>
      <c r="E14" s="24" t="inlineStr">
        <is>
          <t>YES</t>
        </is>
      </c>
      <c r="F14" s="24" t="inlineStr">
        <is>
          <t>邮政编码</t>
        </is>
      </c>
      <c r="G14" s="24" t="n"/>
      <c r="H14" s="24" t="n"/>
      <c r="I14" s="24" t="inlineStr"/>
      <c r="J14" s="24" t="inlineStr">
        <is>
          <t>2023/01/12</t>
        </is>
      </c>
    </row>
    <row r="15">
      <c r="B15" s="24" t="inlineStr">
        <is>
          <t>org_info</t>
        </is>
      </c>
      <c r="C15" s="24" t="inlineStr">
        <is>
          <t>MAINFRAMEORGID</t>
        </is>
      </c>
      <c r="D15" s="24" t="inlineStr">
        <is>
          <t>varchar(32)</t>
        </is>
      </c>
      <c r="E15" s="24" t="inlineStr">
        <is>
          <t>YES</t>
        </is>
      </c>
      <c r="F15" s="24" t="inlineStr">
        <is>
          <t>网点号</t>
        </is>
      </c>
      <c r="G15" s="24" t="n"/>
      <c r="H15" s="24" t="n"/>
      <c r="I15" s="24" t="inlineStr"/>
      <c r="J15" s="24" t="inlineStr">
        <is>
          <t>2023/01/12</t>
        </is>
      </c>
    </row>
    <row r="16">
      <c r="B16" s="24" t="inlineStr">
        <is>
          <t>org_info</t>
        </is>
      </c>
      <c r="C16" s="24" t="inlineStr">
        <is>
          <t>MAINFRAMEEXGID</t>
        </is>
      </c>
      <c r="D16" s="24" t="inlineStr">
        <is>
          <t>varchar(32)</t>
        </is>
      </c>
      <c r="E16" s="24" t="inlineStr">
        <is>
          <t>YES</t>
        </is>
      </c>
      <c r="F16" s="24" t="inlineStr">
        <is>
          <t>交换号</t>
        </is>
      </c>
      <c r="G16" s="24" t="n"/>
      <c r="H16" s="24" t="n"/>
      <c r="I16" s="24" t="inlineStr"/>
      <c r="J16" s="24" t="inlineStr">
        <is>
          <t>2023/01/12</t>
        </is>
      </c>
    </row>
    <row r="17">
      <c r="B17" s="24" t="inlineStr">
        <is>
          <t>org_info</t>
        </is>
      </c>
      <c r="C17" s="24" t="inlineStr">
        <is>
          <t>ORGCODE</t>
        </is>
      </c>
      <c r="D17" s="24" t="inlineStr">
        <is>
          <t>varchar(32)</t>
        </is>
      </c>
      <c r="E17" s="24" t="inlineStr">
        <is>
          <t>YES</t>
        </is>
      </c>
      <c r="F17" s="24" t="inlineStr">
        <is>
          <t>机构编码</t>
        </is>
      </c>
      <c r="G17" s="24" t="n"/>
      <c r="H17" s="24" t="n"/>
      <c r="I17" s="24" t="inlineStr"/>
      <c r="J17" s="24" t="inlineStr">
        <is>
          <t>2023/01/12</t>
        </is>
      </c>
    </row>
    <row r="18">
      <c r="B18" s="24" t="inlineStr">
        <is>
          <t>org_info</t>
        </is>
      </c>
      <c r="C18" s="24" t="inlineStr">
        <is>
          <t>ORGOLDNAME</t>
        </is>
      </c>
      <c r="D18" s="24" t="inlineStr">
        <is>
          <t>varchar(80)</t>
        </is>
      </c>
      <c r="E18" s="24" t="inlineStr">
        <is>
          <t>YES</t>
        </is>
      </c>
      <c r="F18" s="24" t="inlineStr">
        <is>
          <t>机构曾用名</t>
        </is>
      </c>
      <c r="G18" s="24" t="n"/>
      <c r="H18" s="24" t="n"/>
      <c r="I18" s="24" t="inlineStr"/>
      <c r="J18" s="24" t="inlineStr">
        <is>
          <t>2023/01/12</t>
        </is>
      </c>
    </row>
    <row r="19">
      <c r="B19" s="24" t="inlineStr">
        <is>
          <t>org_info</t>
        </is>
      </c>
      <c r="C19" s="24" t="inlineStr">
        <is>
          <t>SETUPDATE</t>
        </is>
      </c>
      <c r="D19" s="24" t="inlineStr">
        <is>
          <t>varchar(18)</t>
        </is>
      </c>
      <c r="E19" s="24" t="inlineStr">
        <is>
          <t>YES</t>
        </is>
      </c>
      <c r="F19" s="24" t="inlineStr">
        <is>
          <t>成立时间</t>
        </is>
      </c>
      <c r="G19" s="24" t="n"/>
      <c r="H19" s="24" t="n"/>
      <c r="I19" s="24" t="inlineStr"/>
      <c r="J19" s="24" t="inlineStr">
        <is>
          <t>2023/01/12</t>
        </is>
      </c>
    </row>
    <row r="20">
      <c r="B20" s="24" t="inlineStr">
        <is>
          <t>org_info</t>
        </is>
      </c>
      <c r="C20" s="24" t="inlineStr">
        <is>
          <t>ORGADD</t>
        </is>
      </c>
      <c r="D20" s="24" t="inlineStr">
        <is>
          <t>varchar(80)</t>
        </is>
      </c>
      <c r="E20" s="24" t="inlineStr">
        <is>
          <t>YES</t>
        </is>
      </c>
      <c r="F20" s="24" t="inlineStr">
        <is>
          <t>机构地址</t>
        </is>
      </c>
      <c r="G20" s="24" t="n"/>
      <c r="H20" s="24" t="n"/>
      <c r="I20" s="24" t="inlineStr"/>
      <c r="J20" s="24" t="inlineStr">
        <is>
          <t>2023/01/12</t>
        </is>
      </c>
    </row>
    <row r="21">
      <c r="B21" s="24" t="inlineStr">
        <is>
          <t>org_info</t>
        </is>
      </c>
      <c r="C21" s="24" t="inlineStr">
        <is>
          <t>PRINCIPAL</t>
        </is>
      </c>
      <c r="D21" s="24" t="inlineStr">
        <is>
          <t>varchar(18)</t>
        </is>
      </c>
      <c r="E21" s="24" t="inlineStr">
        <is>
          <t>YES</t>
        </is>
      </c>
      <c r="F21" s="24" t="inlineStr">
        <is>
          <t>负责人</t>
        </is>
      </c>
      <c r="G21" s="24" t="n"/>
      <c r="H21" s="24" t="n"/>
      <c r="I21" s="24" t="inlineStr"/>
      <c r="J21" s="24" t="inlineStr">
        <is>
          <t>2023/01/12</t>
        </is>
      </c>
    </row>
    <row r="22">
      <c r="B22" s="24" t="inlineStr">
        <is>
          <t>org_info</t>
        </is>
      </c>
      <c r="C22" s="24" t="inlineStr">
        <is>
          <t>ORGTEL</t>
        </is>
      </c>
      <c r="D22" s="24" t="inlineStr">
        <is>
          <t>varchar(80)</t>
        </is>
      </c>
      <c r="E22" s="24" t="inlineStr">
        <is>
          <t>YES</t>
        </is>
      </c>
      <c r="F22" s="24" t="inlineStr">
        <is>
          <t>联系电话</t>
        </is>
      </c>
      <c r="G22" s="24" t="n"/>
      <c r="H22" s="24" t="n"/>
      <c r="I22" s="24" t="inlineStr"/>
      <c r="J22" s="24" t="inlineStr">
        <is>
          <t>2023/01/12</t>
        </is>
      </c>
    </row>
    <row r="23">
      <c r="B23" s="24" t="inlineStr">
        <is>
          <t>org_info</t>
        </is>
      </c>
      <c r="C23" s="24" t="inlineStr">
        <is>
          <t>BRANCHNUM</t>
        </is>
      </c>
      <c r="D23" s="24" t="inlineStr">
        <is>
          <t>int</t>
        </is>
      </c>
      <c r="E23" s="24" t="inlineStr">
        <is>
          <t>YES</t>
        </is>
      </c>
      <c r="F23" s="24" t="inlineStr">
        <is>
          <t>分行号</t>
        </is>
      </c>
      <c r="G23" s="24" t="n"/>
      <c r="H23" s="24" t="n"/>
      <c r="I23" s="24" t="inlineStr"/>
      <c r="J23" s="24" t="inlineStr">
        <is>
          <t>2023/01/12</t>
        </is>
      </c>
    </row>
    <row r="24">
      <c r="B24" s="24" t="inlineStr">
        <is>
          <t>org_info</t>
        </is>
      </c>
      <c r="C24" s="24" t="inlineStr">
        <is>
          <t>CMNUM</t>
        </is>
      </c>
      <c r="D24" s="24" t="inlineStr">
        <is>
          <t>int</t>
        </is>
      </c>
      <c r="E24" s="24" t="inlineStr">
        <is>
          <t>YES</t>
        </is>
      </c>
      <c r="F24" s="24" t="inlineStr">
        <is>
          <t>客户经理数</t>
        </is>
      </c>
      <c r="G24" s="24" t="n"/>
      <c r="H24" s="24" t="n"/>
      <c r="I24" s="24" t="inlineStr"/>
      <c r="J24" s="24" t="inlineStr">
        <is>
          <t>2023/01/12</t>
        </is>
      </c>
    </row>
    <row r="25">
      <c r="B25" s="24" t="inlineStr">
        <is>
          <t>org_info</t>
        </is>
      </c>
      <c r="C25" s="24" t="inlineStr">
        <is>
          <t>BUSINESSHOURS</t>
        </is>
      </c>
      <c r="D25" s="24" t="inlineStr">
        <is>
          <t>varchar(80)</t>
        </is>
      </c>
      <c r="E25" s="24" t="inlineStr">
        <is>
          <t>YES</t>
        </is>
      </c>
      <c r="F25" s="24" t="inlineStr">
        <is>
          <t>营业时间</t>
        </is>
      </c>
      <c r="G25" s="24" t="n"/>
      <c r="H25" s="24" t="n"/>
      <c r="I25" s="24" t="inlineStr"/>
      <c r="J25" s="24" t="inlineStr">
        <is>
          <t>2023/01/12</t>
        </is>
      </c>
    </row>
    <row r="26">
      <c r="B26" s="24" t="inlineStr">
        <is>
          <t>org_info</t>
        </is>
      </c>
      <c r="C26" s="24" t="inlineStr">
        <is>
          <t>REMARK</t>
        </is>
      </c>
      <c r="D26" s="24" t="inlineStr">
        <is>
          <t>varchar(500)</t>
        </is>
      </c>
      <c r="E26" s="24" t="inlineStr">
        <is>
          <t>YES</t>
        </is>
      </c>
      <c r="F26" s="24" t="inlineStr">
        <is>
          <t>备注</t>
        </is>
      </c>
      <c r="G26" s="24" t="n"/>
      <c r="H26" s="24" t="n"/>
      <c r="I26" s="24" t="inlineStr"/>
      <c r="J26" s="24" t="inlineStr">
        <is>
          <t>2023/01/12</t>
        </is>
      </c>
    </row>
    <row r="27">
      <c r="B27" s="24" t="inlineStr">
        <is>
          <t>org_info</t>
        </is>
      </c>
      <c r="C27" s="24" t="inlineStr">
        <is>
          <t>BELONGORGID</t>
        </is>
      </c>
      <c r="D27" s="24" t="inlineStr">
        <is>
          <t>varchar(32)</t>
        </is>
      </c>
      <c r="E27" s="24" t="inlineStr">
        <is>
          <t>YES</t>
        </is>
      </c>
      <c r="F27" s="24" t="inlineStr">
        <is>
          <t>所属机构</t>
        </is>
      </c>
      <c r="G27" s="24" t="n"/>
      <c r="H27" s="24" t="n"/>
      <c r="I27" s="24" t="inlineStr"/>
      <c r="J27" s="24" t="inlineStr">
        <is>
          <t>2023/01/12</t>
        </is>
      </c>
    </row>
    <row r="28">
      <c r="B28" s="24" t="inlineStr">
        <is>
          <t>org_info</t>
        </is>
      </c>
      <c r="C28" s="24" t="inlineStr">
        <is>
          <t>HOSTNO</t>
        </is>
      </c>
      <c r="D28" s="24" t="inlineStr">
        <is>
          <t>varchar(18)</t>
        </is>
      </c>
      <c r="E28" s="24" t="inlineStr">
        <is>
          <t>YES</t>
        </is>
      </c>
      <c r="F28" s="24" t="inlineStr">
        <is>
          <t>主机号</t>
        </is>
      </c>
      <c r="G28" s="24" t="n"/>
      <c r="H28" s="24" t="n"/>
      <c r="I28" s="24" t="inlineStr"/>
      <c r="J28" s="24" t="inlineStr">
        <is>
          <t>2023/01/12</t>
        </is>
      </c>
    </row>
    <row r="29">
      <c r="B29" s="24" t="inlineStr">
        <is>
          <t>org_info</t>
        </is>
      </c>
      <c r="C29" s="24" t="inlineStr">
        <is>
          <t>VITUALSERIALNO</t>
        </is>
      </c>
      <c r="D29" s="24" t="inlineStr">
        <is>
          <t>int</t>
        </is>
      </c>
      <c r="E29" s="24" t="inlineStr">
        <is>
          <t>YES</t>
        </is>
      </c>
      <c r="F29" s="24" t="inlineStr">
        <is>
          <t>虚拟流水号</t>
        </is>
      </c>
      <c r="G29" s="24" t="n"/>
      <c r="H29" s="24" t="n"/>
      <c r="I29" s="24" t="inlineStr"/>
      <c r="J29" s="24" t="inlineStr">
        <is>
          <t>2023/01/12</t>
        </is>
      </c>
    </row>
    <row r="30">
      <c r="B30" s="24" t="inlineStr">
        <is>
          <t>org_info</t>
        </is>
      </c>
      <c r="C30" s="24" t="inlineStr">
        <is>
          <t>VITUALID</t>
        </is>
      </c>
      <c r="D30" s="24" t="inlineStr">
        <is>
          <t>varchar(32)</t>
        </is>
      </c>
      <c r="E30" s="24" t="inlineStr">
        <is>
          <t>YES</t>
        </is>
      </c>
      <c r="F30" s="24" t="inlineStr">
        <is>
          <t>虚拟柜员号</t>
        </is>
      </c>
      <c r="G30" s="24" t="n"/>
      <c r="H30" s="24" t="n"/>
      <c r="I30" s="24" t="inlineStr"/>
      <c r="J30" s="24" t="inlineStr">
        <is>
          <t>2023/01/12</t>
        </is>
      </c>
    </row>
    <row r="31">
      <c r="B31" s="24" t="inlineStr">
        <is>
          <t>org_info</t>
        </is>
      </c>
      <c r="C31" s="24" t="inlineStr">
        <is>
          <t>CORPORGID</t>
        </is>
      </c>
      <c r="D31" s="24" t="inlineStr">
        <is>
          <t>varchar(32)</t>
        </is>
      </c>
      <c r="E31" s="24" t="inlineStr">
        <is>
          <t>YES</t>
        </is>
      </c>
      <c r="F31" s="24" t="inlineStr">
        <is>
          <t>组织机构号</t>
        </is>
      </c>
      <c r="G31" s="24" t="n"/>
      <c r="H31" s="24" t="n"/>
      <c r="I31" s="24" t="inlineStr"/>
      <c r="J31" s="24" t="inlineStr">
        <is>
          <t>2023/01/12</t>
        </is>
      </c>
    </row>
    <row r="32">
      <c r="B32" s="24" t="inlineStr">
        <is>
          <t>org_info</t>
        </is>
      </c>
      <c r="C32" s="24" t="inlineStr">
        <is>
          <t>INPUTORGID</t>
        </is>
      </c>
      <c r="D32" s="24" t="inlineStr">
        <is>
          <t>varchar(32)</t>
        </is>
      </c>
      <c r="E32" s="24" t="inlineStr">
        <is>
          <t>YES</t>
        </is>
      </c>
      <c r="F32" s="24" t="inlineStr">
        <is>
          <t>登记单位</t>
        </is>
      </c>
      <c r="G32" s="24" t="n"/>
      <c r="H32" s="24" t="n"/>
      <c r="I32" s="24" t="inlineStr"/>
      <c r="J32" s="24" t="inlineStr">
        <is>
          <t>2023/01/12</t>
        </is>
      </c>
    </row>
    <row r="33">
      <c r="B33" s="24" t="inlineStr">
        <is>
          <t>org_info</t>
        </is>
      </c>
      <c r="C33" s="24" t="inlineStr">
        <is>
          <t>INPUTUSERID</t>
        </is>
      </c>
      <c r="D33" s="24" t="inlineStr">
        <is>
          <t>varchar(32)</t>
        </is>
      </c>
      <c r="E33" s="24" t="inlineStr">
        <is>
          <t>YES</t>
        </is>
      </c>
      <c r="F33" s="24" t="inlineStr">
        <is>
          <t>登记人id;登记人</t>
        </is>
      </c>
      <c r="G33" s="24" t="n"/>
      <c r="H33" s="24" t="n"/>
      <c r="I33" s="24" t="inlineStr"/>
      <c r="J33" s="24" t="inlineStr">
        <is>
          <t>2023/01/12</t>
        </is>
      </c>
    </row>
    <row r="34">
      <c r="B34" s="24" t="inlineStr">
        <is>
          <t>org_info</t>
        </is>
      </c>
      <c r="C34" s="24" t="inlineStr">
        <is>
          <t>UPDATEORGID</t>
        </is>
      </c>
      <c r="D34" s="24" t="inlineStr">
        <is>
          <t>varchar(32)</t>
        </is>
      </c>
      <c r="E34" s="24" t="inlineStr">
        <is>
          <t>YES</t>
        </is>
      </c>
      <c r="F34" s="24" t="inlineStr">
        <is>
          <t>更新机构id;更新机构</t>
        </is>
      </c>
      <c r="G34" s="24" t="n"/>
      <c r="H34" s="24" t="n"/>
      <c r="I34" s="24" t="inlineStr"/>
      <c r="J34" s="24" t="inlineStr">
        <is>
          <t>2023/01/12</t>
        </is>
      </c>
    </row>
    <row r="35">
      <c r="B35" s="24" t="inlineStr">
        <is>
          <t>org_info</t>
        </is>
      </c>
      <c r="C35" s="24" t="inlineStr">
        <is>
          <t>UPDATEUSERID</t>
        </is>
      </c>
      <c r="D35" s="24" t="inlineStr">
        <is>
          <t>varchar(32)</t>
        </is>
      </c>
      <c r="E35" s="24" t="inlineStr">
        <is>
          <t>YES</t>
        </is>
      </c>
      <c r="F35" s="24" t="inlineStr">
        <is>
          <t>更新人id;更新人</t>
        </is>
      </c>
      <c r="G35" s="24" t="n"/>
      <c r="H35" s="24" t="n"/>
      <c r="I35" s="24" t="inlineStr"/>
      <c r="J35" s="24" t="inlineStr">
        <is>
          <t>2023/01/12</t>
        </is>
      </c>
    </row>
    <row r="36">
      <c r="B36" s="24" t="inlineStr">
        <is>
          <t>org_info</t>
        </is>
      </c>
      <c r="C36" s="24" t="inlineStr">
        <is>
          <t>INPUTTIME</t>
        </is>
      </c>
      <c r="D36" s="24" t="inlineStr">
        <is>
          <t>varchar(32)</t>
        </is>
      </c>
      <c r="E36" s="24" t="inlineStr">
        <is>
          <t>YES</t>
        </is>
      </c>
      <c r="F36" s="24" t="inlineStr">
        <is>
          <t>登记时间;</t>
        </is>
      </c>
      <c r="G36" s="24" t="n"/>
      <c r="H36" s="24" t="n"/>
      <c r="I36" s="24" t="inlineStr"/>
      <c r="J36" s="24" t="inlineStr">
        <is>
          <t>2023/01/12</t>
        </is>
      </c>
    </row>
    <row r="37">
      <c r="B37" s="24" t="inlineStr">
        <is>
          <t>org_info</t>
        </is>
      </c>
      <c r="C37" s="24" t="inlineStr">
        <is>
          <t>UPDATETIME</t>
        </is>
      </c>
      <c r="D37" s="24" t="inlineStr">
        <is>
          <t>varchar(32)</t>
        </is>
      </c>
      <c r="E37" s="24" t="inlineStr">
        <is>
          <t>YES</t>
        </is>
      </c>
      <c r="F37" s="24" t="inlineStr">
        <is>
          <t>更新时间;</t>
        </is>
      </c>
      <c r="G37" s="24" t="n"/>
      <c r="H37" s="24" t="n"/>
      <c r="I37" s="24" t="inlineStr"/>
      <c r="J37" s="24" t="inlineStr">
        <is>
          <t>2023/01/12</t>
        </is>
      </c>
    </row>
    <row r="38">
      <c r="B38" s="24" t="inlineStr">
        <is>
          <t>org_info</t>
        </is>
      </c>
      <c r="C38" s="24" t="inlineStr">
        <is>
          <t>UPDATEUSER</t>
        </is>
      </c>
      <c r="D38" s="24" t="inlineStr">
        <is>
          <t>varchar(32)</t>
        </is>
      </c>
      <c r="E38" s="24" t="inlineStr">
        <is>
          <t>YES</t>
        </is>
      </c>
      <c r="F38" s="24" t="inlineStr">
        <is>
          <t>更新人;</t>
        </is>
      </c>
      <c r="G38" s="24" t="n"/>
      <c r="H38" s="24" t="n"/>
      <c r="I38" s="24" t="inlineStr"/>
      <c r="J38" s="24" t="inlineStr">
        <is>
          <t>2023/01/12</t>
        </is>
      </c>
    </row>
    <row r="39">
      <c r="B39" s="24" t="inlineStr">
        <is>
          <t>org_info</t>
        </is>
      </c>
      <c r="C39" s="24" t="inlineStr">
        <is>
          <t>INPUTUSER</t>
        </is>
      </c>
      <c r="D39" s="24" t="inlineStr">
        <is>
          <t>varchar(32)</t>
        </is>
      </c>
      <c r="E39" s="24" t="inlineStr">
        <is>
          <t>YES</t>
        </is>
      </c>
      <c r="F39" s="24" t="inlineStr">
        <is>
          <t>登记人;</t>
        </is>
      </c>
      <c r="G39" s="24" t="n"/>
      <c r="H39" s="24" t="n"/>
      <c r="I39" s="24" t="inlineStr"/>
      <c r="J39" s="24" t="inlineStr">
        <is>
          <t>2023/01/12</t>
        </is>
      </c>
    </row>
    <row r="40">
      <c r="B40" s="24" t="inlineStr">
        <is>
          <t>org_info</t>
        </is>
      </c>
      <c r="C40" s="24" t="inlineStr">
        <is>
          <t>INPUTORG</t>
        </is>
      </c>
      <c r="D40" s="24" t="inlineStr">
        <is>
          <t>varchar(32)</t>
        </is>
      </c>
      <c r="E40" s="24" t="inlineStr">
        <is>
          <t>YES</t>
        </is>
      </c>
      <c r="F40" s="24" t="inlineStr">
        <is>
          <t>登记机构;</t>
        </is>
      </c>
      <c r="G40" s="24" t="n"/>
      <c r="H40" s="24" t="n"/>
      <c r="I40" s="24" t="inlineStr"/>
      <c r="J40" s="24" t="inlineStr">
        <is>
          <t>2023/01/12</t>
        </is>
      </c>
    </row>
    <row r="41">
      <c r="B41" s="24" t="inlineStr">
        <is>
          <t>org_info</t>
        </is>
      </c>
      <c r="C41" s="24" t="inlineStr">
        <is>
          <t>UPDATEORG</t>
        </is>
      </c>
      <c r="D41" s="24" t="inlineStr">
        <is>
          <t>varchar(32)</t>
        </is>
      </c>
      <c r="E41" s="24" t="inlineStr">
        <is>
          <t>YES</t>
        </is>
      </c>
      <c r="F41" s="24" t="inlineStr">
        <is>
          <t>更新机构;</t>
        </is>
      </c>
      <c r="G41" s="24" t="n"/>
      <c r="H41" s="24" t="n"/>
      <c r="I41" s="24" t="inlineStr"/>
      <c r="J41" s="24" t="inlineStr">
        <is>
          <t>2023/01/12</t>
        </is>
      </c>
    </row>
    <row r="42">
      <c r="B42" s="24" t="inlineStr">
        <is>
          <t>org_info</t>
        </is>
      </c>
      <c r="C42" s="24" t="inlineStr">
        <is>
          <t>INPUTDATE</t>
        </is>
      </c>
      <c r="D42" s="24" t="inlineStr">
        <is>
          <t>varchar(32)</t>
        </is>
      </c>
      <c r="E42" s="24" t="inlineStr">
        <is>
          <t>YES</t>
        </is>
      </c>
      <c r="F42" s="24" t="inlineStr">
        <is>
          <t>登记日期</t>
        </is>
      </c>
      <c r="G42" s="24" t="n"/>
      <c r="H42" s="24" t="n"/>
      <c r="I42" s="24" t="inlineStr"/>
      <c r="J42" s="24" t="inlineStr">
        <is>
          <t>2023/01/12</t>
        </is>
      </c>
    </row>
    <row r="43">
      <c r="B43" s="24" t="inlineStr">
        <is>
          <t>org_info</t>
        </is>
      </c>
      <c r="C43" s="24" t="inlineStr">
        <is>
          <t>UPDATEDATE</t>
        </is>
      </c>
      <c r="D43" s="24" t="inlineStr">
        <is>
          <t>varchar(32)</t>
        </is>
      </c>
      <c r="E43" s="24" t="inlineStr">
        <is>
          <t>YES</t>
        </is>
      </c>
      <c r="F43" s="24" t="inlineStr">
        <is>
          <t>更新日期</t>
        </is>
      </c>
      <c r="G43" s="24" t="n"/>
      <c r="H43" s="24" t="n"/>
      <c r="I43" s="24" t="inlineStr"/>
      <c r="J43" s="24" t="inlineStr">
        <is>
          <t>2023/01/12</t>
        </is>
      </c>
    </row>
    <row r="44">
      <c r="B44" s="24" t="inlineStr">
        <is>
          <t>org_info</t>
        </is>
      </c>
      <c r="C44" s="24" t="inlineStr">
        <is>
          <t>ORGSTATUS</t>
        </is>
      </c>
      <c r="D44" s="24" t="inlineStr">
        <is>
          <t>varchar(18)</t>
        </is>
      </c>
      <c r="E44" s="24" t="inlineStr">
        <is>
          <t>YES</t>
        </is>
      </c>
      <c r="F44" s="24" t="inlineStr">
        <is>
          <t>状态</t>
        </is>
      </c>
      <c r="G44" s="52">
        <f>HYPERLINK("#码值映射清单!B1110","IsInUse")</f>
        <v/>
      </c>
      <c r="H44" s="24" t="n"/>
      <c r="I44" s="24" t="inlineStr"/>
      <c r="J44" s="24" t="inlineStr">
        <is>
          <t>2023/01/12</t>
        </is>
      </c>
    </row>
  </sheetData>
  <pageMargins left="0.75" right="0.75" top="1" bottom="1" header="0.5" footer="0.5"/>
  <pageSetup orientation="portrait" paperSize="1" horizontalDpi="300" verticalDpi="300"/>
</worksheet>
</file>

<file path=xl/worksheets/sheet157.xml><?xml version="1.0" encoding="utf-8"?>
<worksheet xmlns="http://schemas.openxmlformats.org/spreadsheetml/2006/main">
  <sheetPr>
    <outlinePr summaryBelow="1" summaryRight="1"/>
    <pageSetUpPr/>
  </sheetPr>
  <dimension ref="A1:J16"/>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30.4196428571429" customWidth="1" style="170" min="7" max="7"/>
    <col width="11.7053571428571" customWidth="1" style="170" min="10" max="10"/>
  </cols>
  <sheetData>
    <row r="1">
      <c r="A1" s="51">
        <f>HYPERLINK("#表结构清单!A1","返回")</f>
        <v/>
      </c>
      <c r="B1" t="inlineStr">
        <is>
          <t>岗位转授权</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post_sublicense</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post_sublicense</t>
        </is>
      </c>
      <c r="C4" s="24" t="inlineStr">
        <is>
          <t>AUTHORIZERROLEID</t>
        </is>
      </c>
      <c r="D4" s="24" t="inlineStr">
        <is>
          <t>varchar(32)</t>
        </is>
      </c>
      <c r="E4" s="24" t="inlineStr">
        <is>
          <t>YES</t>
        </is>
      </c>
      <c r="F4" s="24" t="inlineStr">
        <is>
          <t>授权角色</t>
        </is>
      </c>
      <c r="G4" s="52" t="n"/>
      <c r="H4" s="24" t="n"/>
      <c r="I4" s="24" t="inlineStr"/>
      <c r="J4" s="24" t="inlineStr">
        <is>
          <t>2023/01/12</t>
        </is>
      </c>
    </row>
    <row r="5">
      <c r="B5" s="24" t="inlineStr">
        <is>
          <t>post_sublicense</t>
        </is>
      </c>
      <c r="C5" s="24" t="inlineStr">
        <is>
          <t>ISAUTHORIZERROLEID</t>
        </is>
      </c>
      <c r="D5" s="24" t="inlineStr">
        <is>
          <t>varchar(32)</t>
        </is>
      </c>
      <c r="E5" s="24" t="inlineStr">
        <is>
          <t>YES</t>
        </is>
      </c>
      <c r="F5" s="24" t="inlineStr">
        <is>
          <t>被授权角色</t>
        </is>
      </c>
      <c r="G5" s="24" t="n"/>
      <c r="H5" s="24" t="n"/>
      <c r="I5" s="24" t="inlineStr"/>
      <c r="J5" s="24" t="inlineStr">
        <is>
          <t>2023/01/12</t>
        </is>
      </c>
    </row>
    <row r="6">
      <c r="B6" s="24" t="inlineStr">
        <is>
          <t>post_sublicense</t>
        </is>
      </c>
      <c r="C6" s="24" t="inlineStr">
        <is>
          <t>SUBLICENSEEFFECTIVEDATE</t>
        </is>
      </c>
      <c r="D6" s="24" t="inlineStr">
        <is>
          <t>datetime</t>
        </is>
      </c>
      <c r="E6" s="24" t="inlineStr">
        <is>
          <t>YES</t>
        </is>
      </c>
      <c r="F6" s="24" t="inlineStr">
        <is>
          <t>转授权生效日</t>
        </is>
      </c>
      <c r="G6" s="24" t="n"/>
      <c r="H6" s="24" t="n"/>
      <c r="I6" s="24" t="inlineStr"/>
      <c r="J6" s="24" t="inlineStr">
        <is>
          <t>2023/01/12</t>
        </is>
      </c>
    </row>
    <row r="7">
      <c r="B7" s="24" t="inlineStr">
        <is>
          <t>post_sublicense</t>
        </is>
      </c>
      <c r="C7" s="24" t="inlineStr">
        <is>
          <t>SUBLICENSEINVALIDDATE</t>
        </is>
      </c>
      <c r="D7" s="24" t="inlineStr">
        <is>
          <t>datetime</t>
        </is>
      </c>
      <c r="E7" s="24" t="inlineStr">
        <is>
          <t>YES</t>
        </is>
      </c>
      <c r="F7" s="24" t="inlineStr">
        <is>
          <t>转授权失效日</t>
        </is>
      </c>
      <c r="G7" s="24" t="n"/>
      <c r="H7" s="24" t="n"/>
      <c r="I7" s="24" t="inlineStr"/>
      <c r="J7" s="24" t="inlineStr">
        <is>
          <t>2023/01/12</t>
        </is>
      </c>
    </row>
    <row r="8">
      <c r="B8" s="24" t="inlineStr">
        <is>
          <t>post_sublicense</t>
        </is>
      </c>
      <c r="C8" s="24" t="inlineStr">
        <is>
          <t>SUBLICENSEREASON</t>
        </is>
      </c>
      <c r="D8" s="24" t="inlineStr">
        <is>
          <t>varchar(1000)</t>
        </is>
      </c>
      <c r="E8" s="24" t="inlineStr">
        <is>
          <t>YES</t>
        </is>
      </c>
      <c r="F8" s="24" t="inlineStr">
        <is>
          <t>转授权原因</t>
        </is>
      </c>
      <c r="G8" s="24" t="n"/>
      <c r="H8" s="24" t="n"/>
      <c r="I8" s="24" t="inlineStr"/>
      <c r="J8" s="24" t="inlineStr">
        <is>
          <t>2023/01/12</t>
        </is>
      </c>
    </row>
    <row r="9">
      <c r="B9" s="24" t="inlineStr">
        <is>
          <t>post_sublicense</t>
        </is>
      </c>
      <c r="C9" s="24" t="inlineStr">
        <is>
          <t>REMARK</t>
        </is>
      </c>
      <c r="D9" s="24" t="inlineStr">
        <is>
          <t>varchar(1000)</t>
        </is>
      </c>
      <c r="E9" s="24" t="inlineStr">
        <is>
          <t>YES</t>
        </is>
      </c>
      <c r="F9" s="24" t="inlineStr">
        <is>
          <t>备注</t>
        </is>
      </c>
      <c r="G9" s="24" t="n"/>
      <c r="H9" s="24" t="n"/>
      <c r="I9" s="24" t="inlineStr"/>
      <c r="J9" s="24" t="inlineStr">
        <is>
          <t>2023/01/12</t>
        </is>
      </c>
    </row>
    <row r="10">
      <c r="B10" s="24" t="inlineStr">
        <is>
          <t>post_sublicense</t>
        </is>
      </c>
      <c r="C10" s="24" t="inlineStr">
        <is>
          <t>INPUTORGID</t>
        </is>
      </c>
      <c r="D10" s="24" t="inlineStr">
        <is>
          <t>varchar(32)</t>
        </is>
      </c>
      <c r="E10" s="24" t="inlineStr">
        <is>
          <t>YES</t>
        </is>
      </c>
      <c r="F10" s="24" t="inlineStr">
        <is>
          <t>登记机构</t>
        </is>
      </c>
      <c r="G10" s="24" t="n"/>
      <c r="H10" s="24" t="n"/>
      <c r="I10" s="24" t="inlineStr"/>
      <c r="J10" s="24" t="inlineStr">
        <is>
          <t>2023/01/12</t>
        </is>
      </c>
    </row>
    <row r="11">
      <c r="B11" s="24" t="inlineStr">
        <is>
          <t>post_sublicense</t>
        </is>
      </c>
      <c r="C11" s="24" t="inlineStr">
        <is>
          <t>INPUTUSERID</t>
        </is>
      </c>
      <c r="D11" s="24" t="inlineStr">
        <is>
          <t>varchar(32)</t>
        </is>
      </c>
      <c r="E11" s="24" t="inlineStr">
        <is>
          <t>YES</t>
        </is>
      </c>
      <c r="F11" s="24" t="inlineStr">
        <is>
          <t>登记人</t>
        </is>
      </c>
      <c r="G11" s="24" t="n"/>
      <c r="H11" s="24" t="n"/>
      <c r="I11" s="24" t="inlineStr"/>
      <c r="J11" s="24" t="inlineStr">
        <is>
          <t>2023/01/12</t>
        </is>
      </c>
    </row>
    <row r="12">
      <c r="B12" s="24" t="inlineStr">
        <is>
          <t>post_sublicense</t>
        </is>
      </c>
      <c r="C12" s="24" t="inlineStr">
        <is>
          <t>INPUTDATE</t>
        </is>
      </c>
      <c r="D12" s="24" t="inlineStr">
        <is>
          <t>datetime</t>
        </is>
      </c>
      <c r="E12" s="24" t="inlineStr">
        <is>
          <t>YES</t>
        </is>
      </c>
      <c r="F12" s="24" t="inlineStr">
        <is>
          <t>登记日期</t>
        </is>
      </c>
      <c r="G12" s="24" t="n"/>
      <c r="H12" s="24" t="n"/>
      <c r="I12" s="24" t="inlineStr"/>
      <c r="J12" s="24" t="inlineStr">
        <is>
          <t>2023/01/12</t>
        </is>
      </c>
    </row>
    <row r="13">
      <c r="B13" s="24" t="inlineStr">
        <is>
          <t>post_sublicense</t>
        </is>
      </c>
      <c r="C13" s="24" t="inlineStr">
        <is>
          <t>UPDATEORGID</t>
        </is>
      </c>
      <c r="D13" s="24" t="inlineStr">
        <is>
          <t>varchar(32)</t>
        </is>
      </c>
      <c r="E13" s="24" t="inlineStr">
        <is>
          <t>YES</t>
        </is>
      </c>
      <c r="F13" s="24" t="inlineStr">
        <is>
          <t>更新机构</t>
        </is>
      </c>
      <c r="G13" s="24" t="n"/>
      <c r="H13" s="24" t="n"/>
      <c r="I13" s="24" t="inlineStr"/>
      <c r="J13" s="24" t="inlineStr">
        <is>
          <t>2023/01/12</t>
        </is>
      </c>
    </row>
    <row r="14">
      <c r="B14" s="24" t="inlineStr">
        <is>
          <t>post_sublicense</t>
        </is>
      </c>
      <c r="C14" s="24" t="inlineStr">
        <is>
          <t>UPDATEUSERID</t>
        </is>
      </c>
      <c r="D14" s="24" t="inlineStr">
        <is>
          <t>varchar(32)</t>
        </is>
      </c>
      <c r="E14" s="24" t="inlineStr">
        <is>
          <t>YES</t>
        </is>
      </c>
      <c r="F14" s="24" t="inlineStr">
        <is>
          <t>更新人</t>
        </is>
      </c>
      <c r="G14" s="24" t="n"/>
      <c r="H14" s="24" t="n"/>
      <c r="I14" s="24" t="inlineStr"/>
      <c r="J14" s="24" t="inlineStr">
        <is>
          <t>2023/01/12</t>
        </is>
      </c>
    </row>
    <row r="15">
      <c r="B15" s="24" t="inlineStr">
        <is>
          <t>post_sublicense</t>
        </is>
      </c>
      <c r="C15" s="24" t="inlineStr">
        <is>
          <t>UPDATEDATE</t>
        </is>
      </c>
      <c r="D15" s="24" t="inlineStr">
        <is>
          <t>datetime</t>
        </is>
      </c>
      <c r="E15" s="24" t="inlineStr">
        <is>
          <t>YES</t>
        </is>
      </c>
      <c r="F15" s="24" t="inlineStr">
        <is>
          <t>更新日期</t>
        </is>
      </c>
      <c r="G15" s="24" t="n"/>
      <c r="H15" s="24" t="n"/>
      <c r="I15" s="24" t="inlineStr"/>
      <c r="J15" s="24" t="inlineStr">
        <is>
          <t>2023/01/12</t>
        </is>
      </c>
    </row>
    <row r="16">
      <c r="B16" s="24" t="inlineStr">
        <is>
          <t>post_sublicense</t>
        </is>
      </c>
      <c r="C16" s="24" t="inlineStr">
        <is>
          <t>CORPORGID</t>
        </is>
      </c>
      <c r="D16" s="24" t="inlineStr">
        <is>
          <t>varchar(32)</t>
        </is>
      </c>
      <c r="E16" s="24" t="inlineStr">
        <is>
          <t>YES</t>
        </is>
      </c>
      <c r="F16" s="24" t="inlineStr">
        <is>
          <t>法人机构编号</t>
        </is>
      </c>
      <c r="G16" s="24" t="n"/>
      <c r="H16" s="24" t="n"/>
      <c r="I16" s="24" t="inlineStr"/>
      <c r="J16" s="24" t="inlineStr">
        <is>
          <t>2023/01/12</t>
        </is>
      </c>
    </row>
  </sheetData>
  <pageMargins left="0.75" right="0.75" top="1" bottom="1" header="0.5" footer="0.5"/>
  <pageSetup orientation="portrait" paperSize="1" horizontalDpi="300" verticalDpi="300"/>
</worksheet>
</file>

<file path=xl/worksheets/sheet158.xml><?xml version="1.0" encoding="utf-8"?>
<worksheet xmlns="http://schemas.openxmlformats.org/spreadsheetml/2006/main">
  <sheetPr>
    <outlinePr summaryBelow="1" summaryRight="1"/>
    <pageSetUpPr/>
  </sheetPr>
  <dimension ref="A1:J19"/>
  <sheetViews>
    <sheetView zoomScaleSheetLayoutView="60" workbookViewId="0">
      <selection activeCell="F9" sqref="F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利率表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rate_info</t>
        </is>
      </c>
      <c r="C3" s="24" t="inlineStr">
        <is>
          <t>RATEID</t>
        </is>
      </c>
      <c r="D3" s="24" t="inlineStr">
        <is>
          <t>varchar(32)</t>
        </is>
      </c>
      <c r="E3" s="24" t="inlineStr">
        <is>
          <t>NO</t>
        </is>
      </c>
      <c r="F3" s="24" t="inlineStr">
        <is>
          <t>利率代号</t>
        </is>
      </c>
      <c r="G3" s="24" t="n"/>
      <c r="H3" s="24" t="n"/>
      <c r="I3" s="24" t="inlineStr"/>
      <c r="J3" s="24" t="inlineStr">
        <is>
          <t>2023/01/12</t>
        </is>
      </c>
    </row>
    <row r="4">
      <c r="B4" s="24" t="inlineStr">
        <is>
          <t>rate_info</t>
        </is>
      </c>
      <c r="C4" s="24" t="inlineStr">
        <is>
          <t>RATETYPE</t>
        </is>
      </c>
      <c r="D4" s="24" t="inlineStr">
        <is>
          <t>varchar(80)</t>
        </is>
      </c>
      <c r="E4" s="24" t="inlineStr">
        <is>
          <t>NO</t>
        </is>
      </c>
      <c r="F4" s="24" t="inlineStr">
        <is>
          <t>利率名称</t>
        </is>
      </c>
      <c r="G4" s="52">
        <f>HYPERLINK("#码值映射清单!B1366","BaseRateType")</f>
        <v/>
      </c>
      <c r="H4" s="24" t="n"/>
      <c r="I4" s="24" t="inlineStr"/>
      <c r="J4" s="24" t="inlineStr">
        <is>
          <t>2023/01/12</t>
        </is>
      </c>
    </row>
    <row r="5">
      <c r="B5" s="24" t="inlineStr">
        <is>
          <t>rate_info</t>
        </is>
      </c>
      <c r="C5" s="24" t="inlineStr">
        <is>
          <t>CURRENCY</t>
        </is>
      </c>
      <c r="D5" s="24" t="inlineStr">
        <is>
          <t>varchar(32)</t>
        </is>
      </c>
      <c r="E5" s="24" t="inlineStr">
        <is>
          <t>NO</t>
        </is>
      </c>
      <c r="F5" s="24" t="inlineStr">
        <is>
          <t>币种</t>
        </is>
      </c>
      <c r="G5" s="24" t="n"/>
      <c r="H5" s="24" t="n"/>
      <c r="I5" s="24" t="inlineStr"/>
      <c r="J5" s="24" t="inlineStr">
        <is>
          <t>2023/01/12</t>
        </is>
      </c>
    </row>
    <row r="6">
      <c r="B6" s="24" t="inlineStr">
        <is>
          <t>rate_info</t>
        </is>
      </c>
      <c r="C6" s="24" t="inlineStr">
        <is>
          <t>EFFICIENTDATE</t>
        </is>
      </c>
      <c r="D6" s="24" t="inlineStr">
        <is>
          <t>varchar(18)</t>
        </is>
      </c>
      <c r="E6" s="24" t="inlineStr">
        <is>
          <t>NO</t>
        </is>
      </c>
      <c r="F6" s="24" t="inlineStr">
        <is>
          <t>生效日期</t>
        </is>
      </c>
      <c r="G6" s="24" t="n"/>
      <c r="H6" s="24" t="n"/>
      <c r="I6" s="24" t="inlineStr"/>
      <c r="J6" s="24" t="inlineStr">
        <is>
          <t>2023/01/12</t>
        </is>
      </c>
    </row>
    <row r="7">
      <c r="B7" s="24" t="inlineStr">
        <is>
          <t>rate_info</t>
        </is>
      </c>
      <c r="C7" s="24" t="inlineStr">
        <is>
          <t>TERMUNIT</t>
        </is>
      </c>
      <c r="D7" s="24" t="inlineStr">
        <is>
          <t>varchar(32)</t>
        </is>
      </c>
      <c r="E7" s="24" t="inlineStr">
        <is>
          <t>NO</t>
        </is>
      </c>
      <c r="F7" s="24" t="inlineStr">
        <is>
          <t>利率周期单位</t>
        </is>
      </c>
      <c r="G7" s="52">
        <f>HYPERLINK("#码值映射清单!B6724","TermUnit")</f>
        <v/>
      </c>
      <c r="H7" s="24" t="n"/>
      <c r="I7" s="24" t="inlineStr"/>
      <c r="J7" s="24" t="inlineStr">
        <is>
          <t>2023/01/12</t>
        </is>
      </c>
    </row>
    <row r="8">
      <c r="B8" s="24" t="inlineStr">
        <is>
          <t>rate_info</t>
        </is>
      </c>
      <c r="C8" s="24" t="inlineStr">
        <is>
          <t>TERM</t>
        </is>
      </c>
      <c r="D8" s="24" t="inlineStr">
        <is>
          <t>int</t>
        </is>
      </c>
      <c r="E8" s="24" t="inlineStr">
        <is>
          <t>NO</t>
        </is>
      </c>
      <c r="F8" s="24" t="inlineStr">
        <is>
          <t>利率周期</t>
        </is>
      </c>
      <c r="G8" s="24" t="n"/>
      <c r="H8" s="24" t="n"/>
      <c r="I8" s="24" t="inlineStr"/>
      <c r="J8" s="24" t="inlineStr">
        <is>
          <t>2023/01/12</t>
        </is>
      </c>
    </row>
    <row r="9">
      <c r="B9" s="24" t="inlineStr">
        <is>
          <t>rate_info</t>
        </is>
      </c>
      <c r="C9" s="24" t="inlineStr">
        <is>
          <t>RATE</t>
        </is>
      </c>
      <c r="D9" s="24" t="inlineStr">
        <is>
          <t>decimal(18,8)</t>
        </is>
      </c>
      <c r="E9" s="24" t="inlineStr">
        <is>
          <t>YES</t>
        </is>
      </c>
      <c r="F9" s="24" t="inlineStr">
        <is>
          <t>利率</t>
        </is>
      </c>
      <c r="G9" s="24" t="n"/>
      <c r="H9" s="24" t="n"/>
      <c r="I9" s="24" t="inlineStr"/>
      <c r="J9" s="24" t="inlineStr">
        <is>
          <t>2023/01/12</t>
        </is>
      </c>
    </row>
    <row r="10">
      <c r="B10" s="24" t="inlineStr">
        <is>
          <t>rate_info</t>
        </is>
      </c>
      <c r="C10" s="24" t="inlineStr">
        <is>
          <t>STATUS</t>
        </is>
      </c>
      <c r="D10" s="24" t="inlineStr">
        <is>
          <t>varchar(32)</t>
        </is>
      </c>
      <c r="E10" s="24" t="inlineStr">
        <is>
          <t>YES</t>
        </is>
      </c>
      <c r="F10" s="24" t="inlineStr">
        <is>
          <t>状态</t>
        </is>
      </c>
      <c r="G10" s="52">
        <f>HYPERLINK("#码值映射清单!B156","Status")</f>
        <v/>
      </c>
      <c r="H10" s="24" t="n"/>
      <c r="I10" s="24" t="inlineStr"/>
      <c r="J10" s="24" t="inlineStr">
        <is>
          <t>2023/01/12</t>
        </is>
      </c>
    </row>
    <row r="11">
      <c r="B11" s="24" t="inlineStr">
        <is>
          <t>rate_info</t>
        </is>
      </c>
      <c r="C11" s="24" t="inlineStr">
        <is>
          <t>REMARK</t>
        </is>
      </c>
      <c r="D11" s="24" t="inlineStr">
        <is>
          <t>varchar(500)</t>
        </is>
      </c>
      <c r="E11" s="24" t="inlineStr">
        <is>
          <t>YES</t>
        </is>
      </c>
      <c r="F11" s="24" t="inlineStr">
        <is>
          <t>备注</t>
        </is>
      </c>
      <c r="G11" s="24" t="n"/>
      <c r="H11" s="24" t="n"/>
      <c r="I11" s="24" t="inlineStr"/>
      <c r="J11" s="24" t="inlineStr">
        <is>
          <t>2023/01/12</t>
        </is>
      </c>
    </row>
    <row r="12">
      <c r="B12" s="24" t="inlineStr">
        <is>
          <t>rate_info</t>
        </is>
      </c>
      <c r="C12" s="24" t="inlineStr">
        <is>
          <t>RATEUNIT</t>
        </is>
      </c>
      <c r="D12" s="24" t="inlineStr">
        <is>
          <t>varchar(32)</t>
        </is>
      </c>
      <c r="E12" s="24" t="inlineStr">
        <is>
          <t>YES</t>
        </is>
      </c>
      <c r="F12" s="24" t="inlineStr">
        <is>
          <t>利率单位</t>
        </is>
      </c>
      <c r="G12" s="52">
        <f>HYPERLINK("#码值映射清单!B4491","RateUnit")</f>
        <v/>
      </c>
      <c r="H12" s="24" t="n"/>
      <c r="I12" s="24" t="inlineStr"/>
      <c r="J12" s="24" t="inlineStr">
        <is>
          <t>2023/01/12</t>
        </is>
      </c>
    </row>
    <row r="13">
      <c r="B13" s="24" t="inlineStr">
        <is>
          <t>rate_info</t>
        </is>
      </c>
      <c r="C13" s="24" t="inlineStr">
        <is>
          <t>INPUTORGID</t>
        </is>
      </c>
      <c r="D13" s="24" t="inlineStr">
        <is>
          <t>varchar(32)</t>
        </is>
      </c>
      <c r="E13" s="24" t="inlineStr">
        <is>
          <t>YES</t>
        </is>
      </c>
      <c r="F13" s="24" t="inlineStr">
        <is>
          <t>登记机构</t>
        </is>
      </c>
      <c r="G13" s="24" t="n"/>
      <c r="H13" s="24" t="n"/>
      <c r="I13" s="24" t="inlineStr"/>
      <c r="J13" s="24" t="inlineStr">
        <is>
          <t>2023/01/12</t>
        </is>
      </c>
    </row>
    <row r="14">
      <c r="B14" s="24" t="inlineStr">
        <is>
          <t>rate_info</t>
        </is>
      </c>
      <c r="C14" s="24" t="inlineStr">
        <is>
          <t>INPUTUSERID</t>
        </is>
      </c>
      <c r="D14" s="24" t="inlineStr">
        <is>
          <t>varchar(32)</t>
        </is>
      </c>
      <c r="E14" s="24" t="inlineStr">
        <is>
          <t>YES</t>
        </is>
      </c>
      <c r="F14" s="24" t="inlineStr">
        <is>
          <t>登记人</t>
        </is>
      </c>
      <c r="G14" s="24" t="n"/>
      <c r="H14" s="24" t="n"/>
      <c r="I14" s="24" t="inlineStr"/>
      <c r="J14" s="24" t="inlineStr">
        <is>
          <t>2023/01/12</t>
        </is>
      </c>
    </row>
    <row r="15">
      <c r="B15" s="24" t="inlineStr">
        <is>
          <t>rate_info</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rate_info</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rate_info</t>
        </is>
      </c>
      <c r="C17" s="24" t="inlineStr">
        <is>
          <t>UPDATEUSERID</t>
        </is>
      </c>
      <c r="D17" s="24" t="inlineStr">
        <is>
          <t>varchar(32)</t>
        </is>
      </c>
      <c r="E17" s="24" t="inlineStr">
        <is>
          <t>YES</t>
        </is>
      </c>
      <c r="F17" s="24" t="inlineStr">
        <is>
          <t>更新人</t>
        </is>
      </c>
      <c r="G17" s="24" t="n"/>
      <c r="H17" s="24" t="n"/>
      <c r="I17" s="24" t="inlineStr"/>
      <c r="J17" s="24" t="inlineStr">
        <is>
          <t>2023/01/12</t>
        </is>
      </c>
    </row>
    <row r="18">
      <c r="B18" s="24" t="inlineStr">
        <is>
          <t>rate_info</t>
        </is>
      </c>
      <c r="C18" s="24" t="inlineStr">
        <is>
          <t>UPDATEDATE</t>
        </is>
      </c>
      <c r="D18" s="24" t="inlineStr">
        <is>
          <t>datetime</t>
        </is>
      </c>
      <c r="E18" s="24" t="inlineStr">
        <is>
          <t>YES</t>
        </is>
      </c>
      <c r="F18" s="24" t="inlineStr">
        <is>
          <t>更新日期</t>
        </is>
      </c>
      <c r="G18" s="24" t="n"/>
      <c r="H18" s="24" t="n"/>
      <c r="I18" s="24" t="inlineStr"/>
      <c r="J18" s="24" t="inlineStr">
        <is>
          <t>2023/01/12</t>
        </is>
      </c>
    </row>
    <row r="19">
      <c r="B19" s="24" t="inlineStr">
        <is>
          <t>rate_info</t>
        </is>
      </c>
      <c r="C19" s="24" t="inlineStr">
        <is>
          <t>CORPORGID</t>
        </is>
      </c>
      <c r="D19" s="24" t="inlineStr">
        <is>
          <t>varchar(32)</t>
        </is>
      </c>
      <c r="E19" s="24" t="inlineStr">
        <is>
          <t>YES</t>
        </is>
      </c>
      <c r="F19" s="24" t="inlineStr">
        <is>
          <t>法人机构编号</t>
        </is>
      </c>
      <c r="G19" s="24" t="n"/>
      <c r="H19" s="24" t="n"/>
      <c r="I19" s="24" t="inlineStr"/>
      <c r="J19" s="24" t="inlineStr">
        <is>
          <t>2023/01/12</t>
        </is>
      </c>
    </row>
  </sheetData>
  <pageMargins left="0.75" right="0.75" top="1" bottom="1" header="0.5" footer="0.5"/>
  <pageSetup orientation="portrait" paperSize="1" horizontalDpi="300" verticalDpi="300"/>
</worksheet>
</file>

<file path=xl/worksheets/sheet159.xml><?xml version="1.0" encoding="utf-8"?>
<worksheet xmlns="http://schemas.openxmlformats.org/spreadsheetml/2006/main">
  <sheetPr>
    <outlinePr summaryBelow="1" summaryRight="1"/>
    <pageSetUpPr/>
  </sheetPr>
  <dimension ref="A1:J21"/>
  <sheetViews>
    <sheetView zoomScaleSheetLayoutView="60" workbookViewId="0">
      <selection activeCell="D11" sqref="D1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角色表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role_info</t>
        </is>
      </c>
      <c r="C3" s="24" t="inlineStr">
        <is>
          <t>ROLEID</t>
        </is>
      </c>
      <c r="D3" s="24" t="inlineStr">
        <is>
          <t>varchar(32)</t>
        </is>
      </c>
      <c r="E3" s="24" t="inlineStr">
        <is>
          <t>NO</t>
        </is>
      </c>
      <c r="F3" s="24" t="inlineStr">
        <is>
          <t>角色编号</t>
        </is>
      </c>
      <c r="G3" s="24" t="n"/>
      <c r="H3" s="24" t="n"/>
      <c r="I3" s="24" t="inlineStr"/>
      <c r="J3" s="24" t="inlineStr">
        <is>
          <t>2023/01/12</t>
        </is>
      </c>
    </row>
    <row r="4">
      <c r="B4" s="24" t="inlineStr">
        <is>
          <t>role_info</t>
        </is>
      </c>
      <c r="C4" s="24" t="inlineStr">
        <is>
          <t>SORTNO</t>
        </is>
      </c>
      <c r="D4" s="24" t="inlineStr">
        <is>
          <t>varchar(32)</t>
        </is>
      </c>
      <c r="E4" s="24" t="inlineStr">
        <is>
          <t>YES</t>
        </is>
      </c>
      <c r="F4" s="24" t="inlineStr">
        <is>
          <t>排序号</t>
        </is>
      </c>
      <c r="G4" s="24" t="n"/>
      <c r="H4" s="24" t="n"/>
      <c r="I4" s="24" t="inlineStr"/>
      <c r="J4" s="24" t="inlineStr">
        <is>
          <t>2023/01/12</t>
        </is>
      </c>
    </row>
    <row r="5">
      <c r="B5" s="24" t="inlineStr">
        <is>
          <t>role_info</t>
        </is>
      </c>
      <c r="C5" s="24" t="inlineStr">
        <is>
          <t>ROLENAME</t>
        </is>
      </c>
      <c r="D5" s="24" t="inlineStr">
        <is>
          <t>varchar(80)</t>
        </is>
      </c>
      <c r="E5" s="24" t="inlineStr">
        <is>
          <t>YES</t>
        </is>
      </c>
      <c r="F5" s="24" t="inlineStr">
        <is>
          <t>角色名称</t>
        </is>
      </c>
      <c r="G5" s="24" t="n"/>
      <c r="H5" s="24" t="n"/>
      <c r="I5" s="24" t="inlineStr"/>
      <c r="J5" s="24" t="inlineStr">
        <is>
          <t>2023/01/12</t>
        </is>
      </c>
    </row>
    <row r="6">
      <c r="B6" s="24" t="inlineStr">
        <is>
          <t>role_info</t>
        </is>
      </c>
      <c r="C6" s="24" t="inlineStr">
        <is>
          <t>ROLEATTRIBUTE</t>
        </is>
      </c>
      <c r="D6" s="24" t="inlineStr">
        <is>
          <t>varchar(80)</t>
        </is>
      </c>
      <c r="E6" s="24" t="inlineStr">
        <is>
          <t>YES</t>
        </is>
      </c>
      <c r="F6" s="24" t="inlineStr">
        <is>
          <t>角色属性</t>
        </is>
      </c>
      <c r="G6" s="24" t="n"/>
      <c r="H6" s="24" t="n"/>
      <c r="I6" s="24" t="inlineStr"/>
      <c r="J6" s="24" t="inlineStr">
        <is>
          <t>2023/01/12</t>
        </is>
      </c>
    </row>
    <row r="7">
      <c r="B7" s="24" t="inlineStr">
        <is>
          <t>role_info</t>
        </is>
      </c>
      <c r="C7" s="24" t="inlineStr">
        <is>
          <t>ROLEDESCRIBE</t>
        </is>
      </c>
      <c r="D7" s="24" t="inlineStr">
        <is>
          <t>varchar(500)</t>
        </is>
      </c>
      <c r="E7" s="24" t="inlineStr">
        <is>
          <t>YES</t>
        </is>
      </c>
      <c r="F7" s="24" t="inlineStr">
        <is>
          <t>角色描述</t>
        </is>
      </c>
      <c r="G7" s="24" t="n"/>
      <c r="H7" s="24" t="n"/>
      <c r="I7" s="24" t="inlineStr"/>
      <c r="J7" s="24" t="inlineStr">
        <is>
          <t>2023/01/12</t>
        </is>
      </c>
    </row>
    <row r="8">
      <c r="B8" s="24" t="inlineStr">
        <is>
          <t>role_info</t>
        </is>
      </c>
      <c r="C8" s="24" t="inlineStr">
        <is>
          <t>ROLESTATUS</t>
        </is>
      </c>
      <c r="D8" s="24" t="inlineStr">
        <is>
          <t>varchar(80)</t>
        </is>
      </c>
      <c r="E8" s="24" t="inlineStr">
        <is>
          <t>YES</t>
        </is>
      </c>
      <c r="F8" s="24" t="inlineStr">
        <is>
          <t>角色状态</t>
        </is>
      </c>
      <c r="G8" s="52">
        <f>HYPERLINK("#码值映射清单!B1110","IsInUse")</f>
        <v/>
      </c>
      <c r="H8" s="24" t="n"/>
      <c r="I8" s="24" t="inlineStr"/>
      <c r="J8" s="24" t="inlineStr">
        <is>
          <t>2023/01/12</t>
        </is>
      </c>
    </row>
    <row r="9">
      <c r="B9" s="24" t="inlineStr">
        <is>
          <t>role_info</t>
        </is>
      </c>
      <c r="C9" s="24" t="inlineStr">
        <is>
          <t>INPUTTIME</t>
        </is>
      </c>
      <c r="D9" s="24" t="inlineStr">
        <is>
          <t>varchar(32)</t>
        </is>
      </c>
      <c r="E9" s="24" t="inlineStr">
        <is>
          <t>YES</t>
        </is>
      </c>
      <c r="F9" s="24" t="inlineStr">
        <is>
          <t>登记时间</t>
        </is>
      </c>
      <c r="G9" s="24" t="n"/>
      <c r="H9" s="24" t="n"/>
      <c r="I9" s="24" t="inlineStr"/>
      <c r="J9" s="24" t="inlineStr">
        <is>
          <t>2023/01/12</t>
        </is>
      </c>
    </row>
    <row r="10">
      <c r="B10" s="24" t="inlineStr">
        <is>
          <t>role_info</t>
        </is>
      </c>
      <c r="C10" s="24" t="inlineStr">
        <is>
          <t>REMARK</t>
        </is>
      </c>
      <c r="D10" s="24" t="inlineStr">
        <is>
          <t>varchar(500)</t>
        </is>
      </c>
      <c r="E10" s="24" t="inlineStr">
        <is>
          <t>YES</t>
        </is>
      </c>
      <c r="F10" s="24" t="inlineStr">
        <is>
          <t>备注</t>
        </is>
      </c>
      <c r="G10" s="24" t="n"/>
      <c r="H10" s="24" t="n"/>
      <c r="I10" s="24" t="inlineStr"/>
      <c r="J10" s="24" t="inlineStr">
        <is>
          <t>2023/01/12</t>
        </is>
      </c>
    </row>
    <row r="11">
      <c r="B11" s="24" t="inlineStr">
        <is>
          <t>role_info</t>
        </is>
      </c>
      <c r="C11" s="24" t="inlineStr">
        <is>
          <t>INPUTORGID</t>
        </is>
      </c>
      <c r="D11" s="24" t="inlineStr">
        <is>
          <t>varchar(32)</t>
        </is>
      </c>
      <c r="E11" s="24" t="inlineStr">
        <is>
          <t>YES</t>
        </is>
      </c>
      <c r="F11" s="24" t="inlineStr">
        <is>
          <t>登记机构编号</t>
        </is>
      </c>
      <c r="G11" s="24" t="n"/>
      <c r="H11" s="24" t="n"/>
      <c r="I11" s="24" t="inlineStr"/>
      <c r="J11" s="24" t="inlineStr">
        <is>
          <t>2023/01/12</t>
        </is>
      </c>
    </row>
    <row r="12">
      <c r="B12" s="24" t="inlineStr">
        <is>
          <t>role_info</t>
        </is>
      </c>
      <c r="C12" s="24" t="inlineStr">
        <is>
          <t>INPUTUSERID</t>
        </is>
      </c>
      <c r="D12" s="24" t="inlineStr">
        <is>
          <t>varchar(32)</t>
        </is>
      </c>
      <c r="E12" s="24" t="inlineStr">
        <is>
          <t>YES</t>
        </is>
      </c>
      <c r="F12" s="24" t="inlineStr">
        <is>
          <t>登记人编号</t>
        </is>
      </c>
      <c r="G12" s="24" t="n"/>
      <c r="H12" s="24" t="n"/>
      <c r="I12" s="24" t="inlineStr"/>
      <c r="J12" s="24" t="inlineStr">
        <is>
          <t>2023/01/12</t>
        </is>
      </c>
    </row>
    <row r="13">
      <c r="B13" s="24" t="inlineStr">
        <is>
          <t>role_info</t>
        </is>
      </c>
      <c r="C13" s="24" t="inlineStr">
        <is>
          <t>UPDATEORGID</t>
        </is>
      </c>
      <c r="D13" s="24" t="inlineStr">
        <is>
          <t>varchar(32)</t>
        </is>
      </c>
      <c r="E13" s="24" t="inlineStr">
        <is>
          <t>YES</t>
        </is>
      </c>
      <c r="F13" s="24" t="inlineStr">
        <is>
          <t>更新机构编号</t>
        </is>
      </c>
      <c r="G13" s="24" t="n"/>
      <c r="H13" s="24" t="n"/>
      <c r="I13" s="24" t="inlineStr"/>
      <c r="J13" s="24" t="inlineStr">
        <is>
          <t>2023/01/12</t>
        </is>
      </c>
    </row>
    <row r="14">
      <c r="B14" s="24" t="inlineStr">
        <is>
          <t>role_info</t>
        </is>
      </c>
      <c r="C14" s="24" t="inlineStr">
        <is>
          <t>UPDATEUSERID</t>
        </is>
      </c>
      <c r="D14" s="24" t="inlineStr">
        <is>
          <t>varchar(32)</t>
        </is>
      </c>
      <c r="E14" s="24" t="inlineStr">
        <is>
          <t>YES</t>
        </is>
      </c>
      <c r="F14" s="24" t="inlineStr">
        <is>
          <t>更新人编号</t>
        </is>
      </c>
      <c r="G14" s="24" t="n"/>
      <c r="H14" s="24" t="n"/>
      <c r="I14" s="24" t="inlineStr"/>
      <c r="J14" s="24" t="inlineStr">
        <is>
          <t>2023/01/12</t>
        </is>
      </c>
    </row>
    <row r="15">
      <c r="B15" s="24" t="inlineStr">
        <is>
          <t>role_info</t>
        </is>
      </c>
      <c r="C15" s="24" t="inlineStr">
        <is>
          <t>UPDATEUSER</t>
        </is>
      </c>
      <c r="D15" s="24" t="inlineStr">
        <is>
          <t>varchar(32)</t>
        </is>
      </c>
      <c r="E15" s="24" t="inlineStr">
        <is>
          <t>YES</t>
        </is>
      </c>
      <c r="F15" s="24" t="inlineStr">
        <is>
          <t>更新人</t>
        </is>
      </c>
      <c r="G15" s="24" t="n"/>
      <c r="H15" s="24" t="n"/>
      <c r="I15" s="24" t="inlineStr"/>
      <c r="J15" s="24" t="inlineStr">
        <is>
          <t>2023/01/12</t>
        </is>
      </c>
    </row>
    <row r="16">
      <c r="B16" s="24" t="inlineStr">
        <is>
          <t>role_info</t>
        </is>
      </c>
      <c r="C16" s="24" t="inlineStr">
        <is>
          <t>INPUTORG</t>
        </is>
      </c>
      <c r="D16" s="24" t="inlineStr">
        <is>
          <t>varchar(32)</t>
        </is>
      </c>
      <c r="E16" s="24" t="inlineStr">
        <is>
          <t>YES</t>
        </is>
      </c>
      <c r="F16" s="24" t="inlineStr">
        <is>
          <t>登记机构</t>
        </is>
      </c>
      <c r="G16" s="24" t="n"/>
      <c r="H16" s="24" t="n"/>
      <c r="I16" s="24" t="inlineStr"/>
      <c r="J16" s="24" t="inlineStr">
        <is>
          <t>2023/01/12</t>
        </is>
      </c>
    </row>
    <row r="17">
      <c r="B17" s="24" t="inlineStr">
        <is>
          <t>role_info</t>
        </is>
      </c>
      <c r="C17" s="24" t="inlineStr">
        <is>
          <t>INPUTUSER</t>
        </is>
      </c>
      <c r="D17" s="24" t="inlineStr">
        <is>
          <t>varchar(32)</t>
        </is>
      </c>
      <c r="E17" s="24" t="inlineStr">
        <is>
          <t>YES</t>
        </is>
      </c>
      <c r="F17" s="24" t="inlineStr">
        <is>
          <t>登记人</t>
        </is>
      </c>
      <c r="G17" s="24" t="n"/>
      <c r="H17" s="24" t="n"/>
      <c r="I17" s="24" t="inlineStr"/>
      <c r="J17" s="24" t="inlineStr">
        <is>
          <t>2023/01/12</t>
        </is>
      </c>
    </row>
    <row r="18">
      <c r="B18" s="24" t="inlineStr">
        <is>
          <t>role_info</t>
        </is>
      </c>
      <c r="C18" s="24" t="inlineStr">
        <is>
          <t>UPDATEORG</t>
        </is>
      </c>
      <c r="D18" s="24" t="inlineStr">
        <is>
          <t>varchar(32)</t>
        </is>
      </c>
      <c r="E18" s="24" t="inlineStr">
        <is>
          <t>YES</t>
        </is>
      </c>
      <c r="F18" s="24" t="inlineStr">
        <is>
          <t>更新机构</t>
        </is>
      </c>
      <c r="G18" s="24" t="n"/>
      <c r="H18" s="24" t="n"/>
      <c r="I18" s="24" t="inlineStr"/>
      <c r="J18" s="24" t="inlineStr">
        <is>
          <t>2023/01/12</t>
        </is>
      </c>
    </row>
    <row r="19">
      <c r="B19" s="24" t="inlineStr">
        <is>
          <t>role_info</t>
        </is>
      </c>
      <c r="C19" s="24" t="inlineStr">
        <is>
          <t>UPDATETIME</t>
        </is>
      </c>
      <c r="D19" s="24" t="inlineStr">
        <is>
          <t>varchar(32)</t>
        </is>
      </c>
      <c r="E19" s="24" t="inlineStr">
        <is>
          <t>YES</t>
        </is>
      </c>
      <c r="F19" s="24" t="inlineStr">
        <is>
          <t>更新时间</t>
        </is>
      </c>
      <c r="G19" s="24" t="n"/>
      <c r="H19" s="24" t="n"/>
      <c r="I19" s="24" t="inlineStr"/>
      <c r="J19" s="24" t="inlineStr">
        <is>
          <t>2023/01/12</t>
        </is>
      </c>
    </row>
    <row r="20">
      <c r="B20" s="24" t="inlineStr">
        <is>
          <t>role_info</t>
        </is>
      </c>
      <c r="C20" s="24" t="inlineStr">
        <is>
          <t>UPDATEDATE</t>
        </is>
      </c>
      <c r="D20" s="24" t="inlineStr">
        <is>
          <t>varchar(32)</t>
        </is>
      </c>
      <c r="E20" s="24" t="inlineStr">
        <is>
          <t>YES</t>
        </is>
      </c>
      <c r="F20" s="24" t="inlineStr">
        <is>
          <t>更新日期</t>
        </is>
      </c>
      <c r="G20" s="24" t="n"/>
      <c r="H20" s="24" t="n"/>
      <c r="I20" s="24" t="inlineStr"/>
      <c r="J20" s="24" t="inlineStr">
        <is>
          <t>2023/01/12</t>
        </is>
      </c>
    </row>
    <row r="21">
      <c r="B21" s="24" t="inlineStr">
        <is>
          <t>role_info</t>
        </is>
      </c>
      <c r="C21" s="24" t="inlineStr">
        <is>
          <t>INPUTDATE</t>
        </is>
      </c>
      <c r="D21" s="24" t="inlineStr">
        <is>
          <t>varchar(32)</t>
        </is>
      </c>
      <c r="E21" s="24" t="inlineStr">
        <is>
          <t>YES</t>
        </is>
      </c>
      <c r="F21" s="24" t="inlineStr">
        <is>
          <t>登记日期</t>
        </is>
      </c>
      <c r="G21" s="24" t="n"/>
      <c r="H21" s="24" t="n"/>
      <c r="I21" s="24" t="inlineStr"/>
      <c r="J21" s="24" t="inlineStr">
        <is>
          <t>2023/01/12</t>
        </is>
      </c>
    </row>
  </sheetData>
  <pageMargins left="0.75" right="0.75" top="1" bottom="1" header="0.5" footer="0.5"/>
  <pageSetup orientation="portrait" paperSize="1" horizontalDpi="300" verticalDpi="300"/>
</worksheet>
</file>

<file path=xl/worksheets/sheet160.xml><?xml version="1.0" encoding="utf-8"?>
<worksheet xmlns="http://schemas.openxmlformats.org/spreadsheetml/2006/main">
  <sheetPr>
    <outlinePr summaryBelow="1" summaryRight="1"/>
    <pageSetUpPr/>
  </sheetPr>
  <dimension ref="A1:J11"/>
  <sheetViews>
    <sheetView zoomScaleSheetLayoutView="60" workbookViewId="0">
      <selection activeCell="D16" sqref="D16"/>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角色权限表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role_right</t>
        </is>
      </c>
      <c r="C3" s="24" t="inlineStr">
        <is>
          <t>RightId</t>
        </is>
      </c>
      <c r="D3" s="24" t="inlineStr">
        <is>
          <t>varchar(200)</t>
        </is>
      </c>
      <c r="E3" s="24" t="inlineStr">
        <is>
          <t>NO</t>
        </is>
      </c>
      <c r="F3" s="24" t="inlineStr">
        <is>
          <t>权限编号</t>
        </is>
      </c>
      <c r="G3" s="24" t="n"/>
      <c r="H3" s="24" t="n"/>
      <c r="I3" s="24" t="inlineStr"/>
      <c r="J3" s="24" t="inlineStr">
        <is>
          <t>2023/01/12</t>
        </is>
      </c>
    </row>
    <row r="4">
      <c r="B4" s="24" t="inlineStr">
        <is>
          <t>role_right</t>
        </is>
      </c>
      <c r="C4" s="24" t="inlineStr">
        <is>
          <t>RoleId</t>
        </is>
      </c>
      <c r="D4" s="24" t="inlineStr">
        <is>
          <t>varchar(32)</t>
        </is>
      </c>
      <c r="E4" s="24" t="inlineStr">
        <is>
          <t>NO</t>
        </is>
      </c>
      <c r="F4" s="24" t="inlineStr">
        <is>
          <t>角色编号</t>
        </is>
      </c>
      <c r="G4" s="24" t="n"/>
      <c r="H4" s="24" t="n"/>
      <c r="I4" s="24" t="inlineStr"/>
      <c r="J4" s="24" t="inlineStr">
        <is>
          <t>2023/01/12</t>
        </is>
      </c>
    </row>
    <row r="5">
      <c r="B5" s="24" t="inlineStr">
        <is>
          <t>role_right</t>
        </is>
      </c>
      <c r="C5" s="24" t="inlineStr">
        <is>
          <t>Remark</t>
        </is>
      </c>
      <c r="D5" s="24" t="inlineStr">
        <is>
          <t>varchar(500)</t>
        </is>
      </c>
      <c r="E5" s="24" t="inlineStr">
        <is>
          <t>YES</t>
        </is>
      </c>
      <c r="F5" s="24" t="inlineStr">
        <is>
          <t>备注</t>
        </is>
      </c>
      <c r="G5" s="24" t="n"/>
      <c r="H5" s="24" t="n"/>
      <c r="I5" s="24" t="inlineStr"/>
      <c r="J5" s="24" t="inlineStr">
        <is>
          <t>2023/01/12</t>
        </is>
      </c>
    </row>
    <row r="6">
      <c r="B6" s="24" t="inlineStr">
        <is>
          <t>role_right</t>
        </is>
      </c>
      <c r="C6" s="24" t="inlineStr">
        <is>
          <t>InputUserID</t>
        </is>
      </c>
      <c r="D6" s="24" t="inlineStr">
        <is>
          <t>varchar(32)</t>
        </is>
      </c>
      <c r="E6" s="24" t="inlineStr">
        <is>
          <t>YES</t>
        </is>
      </c>
      <c r="F6" s="24" t="inlineStr">
        <is>
          <t>登记人</t>
        </is>
      </c>
      <c r="G6" s="24" t="n"/>
      <c r="H6" s="24" t="n"/>
      <c r="I6" s="24" t="inlineStr"/>
      <c r="J6" s="24" t="inlineStr">
        <is>
          <t>2023/01/12</t>
        </is>
      </c>
    </row>
    <row r="7">
      <c r="B7" s="24" t="inlineStr">
        <is>
          <t>role_right</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role_right</t>
        </is>
      </c>
      <c r="C8" s="24" t="inlineStr">
        <is>
          <t>InputDate</t>
        </is>
      </c>
      <c r="D8" s="24" t="inlineStr">
        <is>
          <t>datetime</t>
        </is>
      </c>
      <c r="E8" s="24" t="inlineStr">
        <is>
          <t>YES</t>
        </is>
      </c>
      <c r="F8" s="24" t="inlineStr">
        <is>
          <t>登记日期</t>
        </is>
      </c>
      <c r="G8" s="24" t="n"/>
      <c r="H8" s="24" t="n"/>
      <c r="I8" s="24" t="inlineStr"/>
      <c r="J8" s="24" t="inlineStr">
        <is>
          <t>2023/01/12</t>
        </is>
      </c>
    </row>
    <row r="9">
      <c r="B9" s="24" t="inlineStr">
        <is>
          <t>role_right</t>
        </is>
      </c>
      <c r="C9" s="24" t="inlineStr">
        <is>
          <t>UpdateUserID</t>
        </is>
      </c>
      <c r="D9" s="24" t="inlineStr">
        <is>
          <t>varchar(32)</t>
        </is>
      </c>
      <c r="E9" s="24" t="inlineStr">
        <is>
          <t>YES</t>
        </is>
      </c>
      <c r="F9" s="24" t="inlineStr">
        <is>
          <t>更新人</t>
        </is>
      </c>
      <c r="G9" s="24" t="n"/>
      <c r="H9" s="24" t="n"/>
      <c r="I9" s="24" t="inlineStr"/>
      <c r="J9" s="24" t="inlineStr">
        <is>
          <t>2023/01/12</t>
        </is>
      </c>
    </row>
    <row r="10">
      <c r="B10" s="24" t="inlineStr">
        <is>
          <t>role_right</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role_right</t>
        </is>
      </c>
      <c r="C11" s="24" t="inlineStr">
        <is>
          <t>UpdateDate</t>
        </is>
      </c>
      <c r="D11" s="24" t="inlineStr">
        <is>
          <t>datetime</t>
        </is>
      </c>
      <c r="E11" s="24" t="inlineStr">
        <is>
          <t>YES</t>
        </is>
      </c>
      <c r="F11" s="24" t="inlineStr">
        <is>
          <t>更新日期</t>
        </is>
      </c>
      <c r="G11" s="24" t="n"/>
      <c r="H11" s="24" t="n"/>
      <c r="I11" s="24" t="inlineStr"/>
      <c r="J11" s="24" t="inlineStr">
        <is>
          <t>2023/01/12</t>
        </is>
      </c>
    </row>
  </sheetData>
  <pageMargins left="0.75" right="0.75" top="1" bottom="1" header="0.5" footer="0.5"/>
  <pageSetup orientation="portrait" paperSize="1" horizontalDpi="300" verticalDpi="300"/>
</worksheet>
</file>

<file path=xl/worksheets/sheet161.xml><?xml version="1.0" encoding="utf-8"?>
<worksheet xmlns="http://schemas.openxmlformats.org/spreadsheetml/2006/main">
  <sheetPr>
    <outlinePr summaryBelow="1" summaryRight="1"/>
    <pageSetUpPr/>
  </sheetPr>
  <dimension ref="A1:J17"/>
  <sheetViews>
    <sheetView zoomScaleSheetLayoutView="60" workbookViewId="0">
      <selection activeCell="F8" sqref="F8"/>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风险探测参数信息表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scenario_args</t>
        </is>
      </c>
      <c r="C3" s="24" t="inlineStr">
        <is>
          <t>SCENARIOID</t>
        </is>
      </c>
      <c r="D3" s="24" t="inlineStr">
        <is>
          <t>varchar(32)</t>
        </is>
      </c>
      <c r="E3" s="24" t="inlineStr">
        <is>
          <t>NO</t>
        </is>
      </c>
      <c r="F3" s="24" t="inlineStr">
        <is>
          <t>场景编号</t>
        </is>
      </c>
      <c r="G3" s="24" t="n"/>
      <c r="H3" s="24" t="n"/>
      <c r="I3" s="24" t="inlineStr"/>
      <c r="J3" s="24" t="inlineStr">
        <is>
          <t>2023/01/12</t>
        </is>
      </c>
    </row>
    <row r="4">
      <c r="B4" s="24" t="inlineStr">
        <is>
          <t>scenario_args</t>
        </is>
      </c>
      <c r="C4" s="24" t="inlineStr">
        <is>
          <t>ALARMARGID</t>
        </is>
      </c>
      <c r="D4" s="24" t="inlineStr">
        <is>
          <t>varchar(32)</t>
        </is>
      </c>
      <c r="E4" s="24" t="inlineStr">
        <is>
          <t>NO</t>
        </is>
      </c>
      <c r="F4" s="24" t="inlineStr">
        <is>
          <t>参数编号</t>
        </is>
      </c>
      <c r="G4" s="24" t="n"/>
      <c r="H4" s="24" t="n"/>
      <c r="I4" s="24" t="inlineStr"/>
      <c r="J4" s="24" t="inlineStr">
        <is>
          <t>2023/01/12</t>
        </is>
      </c>
    </row>
    <row r="5">
      <c r="B5" s="24" t="inlineStr">
        <is>
          <t>scenario_args</t>
        </is>
      </c>
      <c r="C5" s="24" t="inlineStr">
        <is>
          <t>SORTNO</t>
        </is>
      </c>
      <c r="D5" s="24" t="inlineStr">
        <is>
          <t>varchar(32)</t>
        </is>
      </c>
      <c r="E5" s="24" t="inlineStr">
        <is>
          <t>YES</t>
        </is>
      </c>
      <c r="F5" s="24" t="inlineStr">
        <is>
          <t>排序号</t>
        </is>
      </c>
      <c r="G5" s="24" t="n"/>
      <c r="H5" s="24" t="n"/>
      <c r="I5" s="24" t="inlineStr"/>
      <c r="J5" s="24" t="inlineStr">
        <is>
          <t>2023/01/12</t>
        </is>
      </c>
    </row>
    <row r="6">
      <c r="B6" s="24" t="inlineStr">
        <is>
          <t>scenario_args</t>
        </is>
      </c>
      <c r="C6" s="24" t="inlineStr">
        <is>
          <t>JBOCLASS</t>
        </is>
      </c>
      <c r="D6" s="24" t="inlineStr">
        <is>
          <t>varchar(500)</t>
        </is>
      </c>
      <c r="E6" s="24" t="inlineStr">
        <is>
          <t>YES</t>
        </is>
      </c>
      <c r="F6" s="24" t="inlineStr">
        <is>
          <t>JBO类名</t>
        </is>
      </c>
      <c r="G6" s="24" t="n"/>
      <c r="H6" s="24" t="n"/>
      <c r="I6" s="24" t="inlineStr"/>
      <c r="J6" s="24" t="inlineStr">
        <is>
          <t>2023/01/12</t>
        </is>
      </c>
    </row>
    <row r="7">
      <c r="B7" s="24" t="inlineStr">
        <is>
          <t>scenario_args</t>
        </is>
      </c>
      <c r="C7" s="24" t="inlineStr">
        <is>
          <t>SCRIPTTYPE</t>
        </is>
      </c>
      <c r="D7" s="24" t="inlineStr">
        <is>
          <t>varchar(6)</t>
        </is>
      </c>
      <c r="E7" s="24" t="inlineStr">
        <is>
          <t>YES</t>
        </is>
      </c>
      <c r="F7" s="24" t="inlineStr">
        <is>
          <t>脚本类型</t>
        </is>
      </c>
      <c r="G7" s="24" t="n"/>
      <c r="H7" s="24" t="n"/>
      <c r="I7" s="24" t="inlineStr"/>
      <c r="J7" s="24" t="inlineStr">
        <is>
          <t>2023/01/12</t>
        </is>
      </c>
    </row>
    <row r="8">
      <c r="B8" s="24" t="inlineStr">
        <is>
          <t>scenario_args</t>
        </is>
      </c>
      <c r="C8" s="24" t="inlineStr">
        <is>
          <t>STATUS</t>
        </is>
      </c>
      <c r="D8" s="24" t="inlineStr">
        <is>
          <t>char(1)</t>
        </is>
      </c>
      <c r="E8" s="24" t="inlineStr">
        <is>
          <t>YES</t>
        </is>
      </c>
      <c r="F8" s="24" t="inlineStr">
        <is>
          <t>是否有效</t>
        </is>
      </c>
      <c r="G8" s="52">
        <f>HYPERLINK("#码值映射清单!B1110","IsInUse")</f>
        <v/>
      </c>
      <c r="H8" s="24" t="n"/>
      <c r="I8" s="24" t="inlineStr"/>
      <c r="J8" s="24" t="inlineStr">
        <is>
          <t>2023/01/12</t>
        </is>
      </c>
    </row>
    <row r="9">
      <c r="B9" s="24" t="inlineStr">
        <is>
          <t>scenario_args</t>
        </is>
      </c>
      <c r="C9" s="24" t="inlineStr">
        <is>
          <t>REMARK</t>
        </is>
      </c>
      <c r="D9" s="24" t="inlineStr">
        <is>
          <t>varchar(500)</t>
        </is>
      </c>
      <c r="E9" s="24" t="inlineStr">
        <is>
          <t>YES</t>
        </is>
      </c>
      <c r="F9" s="24" t="inlineStr">
        <is>
          <t>备注</t>
        </is>
      </c>
      <c r="G9" s="24" t="n"/>
      <c r="H9" s="24" t="n"/>
      <c r="I9" s="24" t="inlineStr"/>
      <c r="J9" s="24" t="inlineStr">
        <is>
          <t>2023/01/12</t>
        </is>
      </c>
    </row>
    <row r="10">
      <c r="B10" s="24" t="inlineStr">
        <is>
          <t>scenario_args</t>
        </is>
      </c>
      <c r="C10" s="24" t="inlineStr">
        <is>
          <t>INPUTORGID</t>
        </is>
      </c>
      <c r="D10" s="24" t="inlineStr">
        <is>
          <t>varchar(32)</t>
        </is>
      </c>
      <c r="E10" s="24" t="inlineStr">
        <is>
          <t>YES</t>
        </is>
      </c>
      <c r="F10" s="24" t="inlineStr">
        <is>
          <t>录入机构</t>
        </is>
      </c>
      <c r="G10" s="24" t="n"/>
      <c r="H10" s="24" t="n"/>
      <c r="I10" s="24" t="inlineStr"/>
      <c r="J10" s="24" t="inlineStr">
        <is>
          <t>2023/01/12</t>
        </is>
      </c>
    </row>
    <row r="11">
      <c r="B11" s="24" t="inlineStr">
        <is>
          <t>scenario_args</t>
        </is>
      </c>
      <c r="C11" s="24" t="inlineStr">
        <is>
          <t>INPUTUSERID</t>
        </is>
      </c>
      <c r="D11" s="24" t="inlineStr">
        <is>
          <t>varchar(32)</t>
        </is>
      </c>
      <c r="E11" s="24" t="inlineStr">
        <is>
          <t>YES</t>
        </is>
      </c>
      <c r="F11" s="24" t="inlineStr">
        <is>
          <t>录入用户</t>
        </is>
      </c>
      <c r="G11" s="24" t="n"/>
      <c r="H11" s="24" t="n"/>
      <c r="I11" s="24" t="inlineStr"/>
      <c r="J11" s="24" t="inlineStr">
        <is>
          <t>2023/01/12</t>
        </is>
      </c>
    </row>
    <row r="12">
      <c r="B12" s="24" t="inlineStr">
        <is>
          <t>scenario_args</t>
        </is>
      </c>
      <c r="C12" s="24" t="inlineStr">
        <is>
          <t>INPUTDATE</t>
        </is>
      </c>
      <c r="D12" s="24" t="inlineStr">
        <is>
          <t>datetime</t>
        </is>
      </c>
      <c r="E12" s="24" t="inlineStr">
        <is>
          <t>YES</t>
        </is>
      </c>
      <c r="F12" s="24" t="inlineStr">
        <is>
          <t>录入日期</t>
        </is>
      </c>
      <c r="G12" s="24" t="n"/>
      <c r="H12" s="24" t="n"/>
      <c r="I12" s="24" t="inlineStr"/>
      <c r="J12" s="24" t="inlineStr">
        <is>
          <t>2023/01/12</t>
        </is>
      </c>
    </row>
    <row r="13">
      <c r="B13" s="24" t="inlineStr">
        <is>
          <t>scenario_args</t>
        </is>
      </c>
      <c r="C13" s="24" t="inlineStr">
        <is>
          <t>UPDATEORGID</t>
        </is>
      </c>
      <c r="D13" s="24" t="inlineStr">
        <is>
          <t>varchar(32)</t>
        </is>
      </c>
      <c r="E13" s="24" t="inlineStr">
        <is>
          <t>YES</t>
        </is>
      </c>
      <c r="F13" s="24" t="inlineStr">
        <is>
          <t>更新机构</t>
        </is>
      </c>
      <c r="G13" s="24" t="n"/>
      <c r="H13" s="24" t="n"/>
      <c r="I13" s="24" t="inlineStr"/>
      <c r="J13" s="24" t="inlineStr">
        <is>
          <t>2023/01/12</t>
        </is>
      </c>
    </row>
    <row r="14">
      <c r="B14" s="24" t="inlineStr">
        <is>
          <t>scenario_args</t>
        </is>
      </c>
      <c r="C14" s="24" t="inlineStr">
        <is>
          <t>UPDATEUSERID</t>
        </is>
      </c>
      <c r="D14" s="24" t="inlineStr">
        <is>
          <t>varchar(32)</t>
        </is>
      </c>
      <c r="E14" s="24" t="inlineStr">
        <is>
          <t>YES</t>
        </is>
      </c>
      <c r="F14" s="24" t="inlineStr">
        <is>
          <t>更新用户</t>
        </is>
      </c>
      <c r="G14" s="24" t="n"/>
      <c r="H14" s="24" t="n"/>
      <c r="I14" s="24" t="inlineStr"/>
      <c r="J14" s="24" t="inlineStr">
        <is>
          <t>2023/01/12</t>
        </is>
      </c>
    </row>
    <row r="15">
      <c r="B15" s="24" t="inlineStr">
        <is>
          <t>scenario_args</t>
        </is>
      </c>
      <c r="C15" s="24" t="inlineStr">
        <is>
          <t>UPDATEDATE</t>
        </is>
      </c>
      <c r="D15" s="24" t="inlineStr">
        <is>
          <t>datetime</t>
        </is>
      </c>
      <c r="E15" s="24" t="inlineStr">
        <is>
          <t>YES</t>
        </is>
      </c>
      <c r="F15" s="24" t="inlineStr">
        <is>
          <t>更新日期</t>
        </is>
      </c>
      <c r="G15" s="24" t="n"/>
      <c r="H15" s="24" t="n"/>
      <c r="I15" s="24" t="inlineStr"/>
      <c r="J15" s="24" t="inlineStr">
        <is>
          <t>2023/01/12</t>
        </is>
      </c>
    </row>
    <row r="16">
      <c r="B16" s="24" t="inlineStr">
        <is>
          <t>scenario_args</t>
        </is>
      </c>
      <c r="C16" s="24" t="inlineStr">
        <is>
          <t>EXECUTESCRIPT</t>
        </is>
      </c>
      <c r="D16" s="24" t="inlineStr">
        <is>
          <t>varchar(1000)</t>
        </is>
      </c>
      <c r="E16" s="24" t="inlineStr">
        <is>
          <t>YES</t>
        </is>
      </c>
      <c r="F16" s="24" t="inlineStr">
        <is>
          <t>执行脚本</t>
        </is>
      </c>
      <c r="G16" s="24" t="n"/>
      <c r="H16" s="24" t="n"/>
      <c r="I16" s="24" t="inlineStr"/>
      <c r="J16" s="24" t="inlineStr">
        <is>
          <t>2023/01/12</t>
        </is>
      </c>
    </row>
    <row r="17">
      <c r="B17" s="24" t="inlineStr">
        <is>
          <t>scenario_args</t>
        </is>
      </c>
      <c r="C17" s="24" t="inlineStr">
        <is>
          <t>ARGSSTRING</t>
        </is>
      </c>
      <c r="D17" s="24" t="inlineStr">
        <is>
          <t>varchar(1000)</t>
        </is>
      </c>
      <c r="E17" s="24" t="inlineStr">
        <is>
          <t>YES</t>
        </is>
      </c>
      <c r="F17" s="24" t="inlineStr">
        <is>
          <t>参数串</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162.xml><?xml version="1.0" encoding="utf-8"?>
<worksheet xmlns="http://schemas.openxmlformats.org/spreadsheetml/2006/main">
  <sheetPr>
    <outlinePr summaryBelow="1" summaryRight="1"/>
    <pageSetUpPr/>
  </sheetPr>
  <dimension ref="A1:J13"/>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场景分类</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scenario_catalog</t>
        </is>
      </c>
      <c r="C3" s="24" t="inlineStr">
        <is>
          <t>SCENARIOID</t>
        </is>
      </c>
      <c r="D3" s="24" t="inlineStr">
        <is>
          <t>varchar(32)</t>
        </is>
      </c>
      <c r="E3" s="24" t="inlineStr">
        <is>
          <t>NO</t>
        </is>
      </c>
      <c r="F3" s="24" t="inlineStr">
        <is>
          <t>场景编号</t>
        </is>
      </c>
      <c r="G3" s="24" t="n"/>
      <c r="H3" s="24" t="n"/>
      <c r="I3" s="24" t="inlineStr"/>
      <c r="J3" s="24" t="inlineStr">
        <is>
          <t>2023/01/12</t>
        </is>
      </c>
    </row>
    <row r="4">
      <c r="B4" s="24" t="inlineStr">
        <is>
          <t>scenario_catalog</t>
        </is>
      </c>
      <c r="C4" s="24" t="inlineStr">
        <is>
          <t>SCENARIONAME</t>
        </is>
      </c>
      <c r="D4" s="24" t="inlineStr">
        <is>
          <t>varchar(80)</t>
        </is>
      </c>
      <c r="E4" s="24" t="inlineStr">
        <is>
          <t>YES</t>
        </is>
      </c>
      <c r="F4" s="24" t="inlineStr">
        <is>
          <t>场景名称</t>
        </is>
      </c>
      <c r="G4" s="24" t="n"/>
      <c r="H4" s="24" t="n"/>
      <c r="I4" s="24" t="inlineStr"/>
      <c r="J4" s="24" t="inlineStr">
        <is>
          <t>2023/01/12</t>
        </is>
      </c>
    </row>
    <row r="5">
      <c r="B5" s="24" t="inlineStr">
        <is>
          <t>scenario_catalog</t>
        </is>
      </c>
      <c r="C5" s="24" t="inlineStr">
        <is>
          <t>INITIATECLASS</t>
        </is>
      </c>
      <c r="D5" s="24" t="inlineStr">
        <is>
          <t>varchar(500)</t>
        </is>
      </c>
      <c r="E5" s="24" t="inlineStr">
        <is>
          <t>YES</t>
        </is>
      </c>
      <c r="F5" s="24" t="inlineStr">
        <is>
          <t>初始类</t>
        </is>
      </c>
      <c r="G5" s="24" t="n"/>
      <c r="H5" s="24" t="n"/>
      <c r="I5" s="24" t="inlineStr"/>
      <c r="J5" s="24" t="inlineStr">
        <is>
          <t>2023/01/12</t>
        </is>
      </c>
    </row>
    <row r="6">
      <c r="B6" s="24" t="inlineStr">
        <is>
          <t>scenario_catalog</t>
        </is>
      </c>
      <c r="C6" s="24" t="inlineStr">
        <is>
          <t>REMARK</t>
        </is>
      </c>
      <c r="D6" s="24" t="inlineStr">
        <is>
          <t>varchar(500)</t>
        </is>
      </c>
      <c r="E6" s="24" t="inlineStr">
        <is>
          <t>YES</t>
        </is>
      </c>
      <c r="F6" s="24" t="inlineStr">
        <is>
          <t>备注</t>
        </is>
      </c>
      <c r="G6" s="24" t="n"/>
      <c r="H6" s="24" t="n"/>
      <c r="I6" s="24" t="inlineStr"/>
      <c r="J6" s="24" t="inlineStr">
        <is>
          <t>2023/01/12</t>
        </is>
      </c>
    </row>
    <row r="7">
      <c r="B7" s="24" t="inlineStr">
        <is>
          <t>scenario_catalog</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scenario_catalog</t>
        </is>
      </c>
      <c r="C8" s="24" t="inlineStr">
        <is>
          <t>INPUTUSERID</t>
        </is>
      </c>
      <c r="D8" s="24" t="inlineStr">
        <is>
          <t>varchar(32)</t>
        </is>
      </c>
      <c r="E8" s="24" t="inlineStr">
        <is>
          <t>YES</t>
        </is>
      </c>
      <c r="F8" s="24" t="inlineStr">
        <is>
          <t>登记人</t>
        </is>
      </c>
      <c r="G8" s="24" t="n"/>
      <c r="H8" s="24" t="n"/>
      <c r="I8" s="24" t="inlineStr"/>
      <c r="J8" s="24" t="inlineStr">
        <is>
          <t>2023/01/12</t>
        </is>
      </c>
    </row>
    <row r="9">
      <c r="B9" s="24" t="inlineStr">
        <is>
          <t>scenario_catalog</t>
        </is>
      </c>
      <c r="C9" s="24" t="inlineStr">
        <is>
          <t>INPUTDATE</t>
        </is>
      </c>
      <c r="D9" s="24" t="inlineStr">
        <is>
          <t>datetime</t>
        </is>
      </c>
      <c r="E9" s="24" t="inlineStr">
        <is>
          <t>YES</t>
        </is>
      </c>
      <c r="F9" s="24" t="inlineStr">
        <is>
          <t>登记日期</t>
        </is>
      </c>
      <c r="G9" s="24" t="n"/>
      <c r="H9" s="24" t="n"/>
      <c r="I9" s="24" t="inlineStr"/>
      <c r="J9" s="24" t="inlineStr">
        <is>
          <t>2023/01/12</t>
        </is>
      </c>
    </row>
    <row r="10">
      <c r="B10" s="24" t="inlineStr">
        <is>
          <t>scenario_catalog</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scenario_catalog</t>
        </is>
      </c>
      <c r="C11" s="24" t="inlineStr">
        <is>
          <t>UPDATEUSERID</t>
        </is>
      </c>
      <c r="D11" s="24" t="inlineStr">
        <is>
          <t>varchar(32)</t>
        </is>
      </c>
      <c r="E11" s="24" t="inlineStr">
        <is>
          <t>YES</t>
        </is>
      </c>
      <c r="F11" s="24" t="inlineStr">
        <is>
          <t>更新人</t>
        </is>
      </c>
      <c r="G11" s="24" t="n"/>
      <c r="H11" s="24" t="n"/>
      <c r="I11" s="24" t="inlineStr"/>
      <c r="J11" s="24" t="inlineStr">
        <is>
          <t>2023/01/12</t>
        </is>
      </c>
    </row>
    <row r="12">
      <c r="B12" s="24" t="inlineStr">
        <is>
          <t>scenario_catalog</t>
        </is>
      </c>
      <c r="C12" s="24" t="inlineStr">
        <is>
          <t>UPDATEDATE</t>
        </is>
      </c>
      <c r="D12" s="24" t="inlineStr">
        <is>
          <t>datetime</t>
        </is>
      </c>
      <c r="E12" s="24" t="inlineStr">
        <is>
          <t>YES</t>
        </is>
      </c>
      <c r="F12" s="24" t="inlineStr">
        <is>
          <t>更新日期</t>
        </is>
      </c>
      <c r="G12" s="24" t="n"/>
      <c r="H12" s="24" t="n"/>
      <c r="I12" s="24" t="inlineStr"/>
      <c r="J12" s="24" t="inlineStr">
        <is>
          <t>2023/01/12</t>
        </is>
      </c>
    </row>
    <row r="13">
      <c r="B13" s="24" t="inlineStr">
        <is>
          <t>scenario_catalog</t>
        </is>
      </c>
      <c r="C13" s="24" t="inlineStr">
        <is>
          <t>CORPORGID</t>
        </is>
      </c>
      <c r="D13" s="24" t="inlineStr">
        <is>
          <t>varchar(32)</t>
        </is>
      </c>
      <c r="E13" s="24" t="inlineStr">
        <is>
          <t>YES</t>
        </is>
      </c>
      <c r="F13" s="24" t="inlineStr">
        <is>
          <t>法人机构编号</t>
        </is>
      </c>
      <c r="G13" s="24" t="n"/>
      <c r="H13" s="24" t="n"/>
      <c r="I13" s="24" t="inlineStr"/>
      <c r="J13" s="24" t="inlineStr">
        <is>
          <t>2023/01/12</t>
        </is>
      </c>
    </row>
  </sheetData>
  <pageMargins left="0.75" right="0.75" top="1" bottom="1" header="0.5" footer="0.5"/>
  <pageSetup orientation="portrait" paperSize="1" horizontalDpi="300" verticalDpi="300"/>
</worksheet>
</file>

<file path=xl/worksheets/sheet163.xml><?xml version="1.0" encoding="utf-8"?>
<worksheet xmlns="http://schemas.openxmlformats.org/spreadsheetml/2006/main">
  <sheetPr>
    <outlinePr summaryBelow="1" summaryRight="1"/>
    <pageSetUpPr/>
  </sheetPr>
  <dimension ref="A1:J13"/>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场景分组</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scenario_group</t>
        </is>
      </c>
      <c r="C3" s="24" t="inlineStr">
        <is>
          <t>GROUPID</t>
        </is>
      </c>
      <c r="D3" s="24" t="inlineStr">
        <is>
          <t>varchar(32)</t>
        </is>
      </c>
      <c r="E3" s="24" t="inlineStr">
        <is>
          <t>NO</t>
        </is>
      </c>
      <c r="F3" s="24" t="inlineStr">
        <is>
          <t>分组编号</t>
        </is>
      </c>
      <c r="G3" s="24" t="n"/>
      <c r="H3" s="24" t="n"/>
      <c r="I3" s="24" t="inlineStr"/>
      <c r="J3" s="24" t="inlineStr">
        <is>
          <t>2023/01/12</t>
        </is>
      </c>
    </row>
    <row r="4">
      <c r="B4" s="24" t="inlineStr">
        <is>
          <t>scenario_group</t>
        </is>
      </c>
      <c r="C4" s="24" t="inlineStr">
        <is>
          <t>SORTNO</t>
        </is>
      </c>
      <c r="D4" s="24" t="inlineStr">
        <is>
          <t>varchar(32)</t>
        </is>
      </c>
      <c r="E4" s="24" t="inlineStr">
        <is>
          <t>YES</t>
        </is>
      </c>
      <c r="F4" s="24" t="inlineStr">
        <is>
          <t>排序号</t>
        </is>
      </c>
      <c r="G4" s="24" t="n"/>
      <c r="H4" s="24" t="n"/>
      <c r="I4" s="24" t="inlineStr"/>
      <c r="J4" s="24" t="inlineStr">
        <is>
          <t>2023/01/12</t>
        </is>
      </c>
    </row>
    <row r="5">
      <c r="B5" s="24" t="inlineStr">
        <is>
          <t>scenario_group</t>
        </is>
      </c>
      <c r="C5" s="24" t="inlineStr">
        <is>
          <t>GROUPNAME</t>
        </is>
      </c>
      <c r="D5" s="24" t="inlineStr">
        <is>
          <t>varchar(80)</t>
        </is>
      </c>
      <c r="E5" s="24" t="inlineStr">
        <is>
          <t>YES</t>
        </is>
      </c>
      <c r="F5" s="24" t="inlineStr">
        <is>
          <t>分组名称</t>
        </is>
      </c>
      <c r="G5" s="24" t="n"/>
      <c r="H5" s="24" t="n"/>
      <c r="I5" s="24" t="inlineStr"/>
      <c r="J5" s="24" t="inlineStr">
        <is>
          <t>2023/01/12</t>
        </is>
      </c>
    </row>
    <row r="6">
      <c r="B6" s="24" t="inlineStr">
        <is>
          <t>scenario_group</t>
        </is>
      </c>
      <c r="C6" s="24" t="inlineStr">
        <is>
          <t>REMARK</t>
        </is>
      </c>
      <c r="D6" s="24" t="inlineStr">
        <is>
          <t>varchar(500)</t>
        </is>
      </c>
      <c r="E6" s="24" t="inlineStr">
        <is>
          <t>YES</t>
        </is>
      </c>
      <c r="F6" s="24" t="inlineStr">
        <is>
          <t>备注</t>
        </is>
      </c>
      <c r="G6" s="24" t="n"/>
      <c r="H6" s="24" t="n"/>
      <c r="I6" s="24" t="inlineStr"/>
      <c r="J6" s="24" t="inlineStr">
        <is>
          <t>2023/01/12</t>
        </is>
      </c>
    </row>
    <row r="7">
      <c r="B7" s="24" t="inlineStr">
        <is>
          <t>scenario_group</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scenario_group</t>
        </is>
      </c>
      <c r="C8" s="24" t="inlineStr">
        <is>
          <t>INPUTUSERID</t>
        </is>
      </c>
      <c r="D8" s="24" t="inlineStr">
        <is>
          <t>varchar(32)</t>
        </is>
      </c>
      <c r="E8" s="24" t="inlineStr">
        <is>
          <t>YES</t>
        </is>
      </c>
      <c r="F8" s="24" t="inlineStr">
        <is>
          <t>登记人</t>
        </is>
      </c>
      <c r="G8" s="24" t="n"/>
      <c r="H8" s="24" t="n"/>
      <c r="I8" s="24" t="inlineStr"/>
      <c r="J8" s="24" t="inlineStr">
        <is>
          <t>2023/01/12</t>
        </is>
      </c>
    </row>
    <row r="9">
      <c r="B9" s="24" t="inlineStr">
        <is>
          <t>scenario_group</t>
        </is>
      </c>
      <c r="C9" s="24" t="inlineStr">
        <is>
          <t>INPUTDATE</t>
        </is>
      </c>
      <c r="D9" s="24" t="inlineStr">
        <is>
          <t>datetime</t>
        </is>
      </c>
      <c r="E9" s="24" t="inlineStr">
        <is>
          <t>YES</t>
        </is>
      </c>
      <c r="F9" s="24" t="inlineStr">
        <is>
          <t>登记日期</t>
        </is>
      </c>
      <c r="G9" s="24" t="n"/>
      <c r="H9" s="24" t="n"/>
      <c r="I9" s="24" t="inlineStr"/>
      <c r="J9" s="24" t="inlineStr">
        <is>
          <t>2023/01/12</t>
        </is>
      </c>
    </row>
    <row r="10">
      <c r="B10" s="24" t="inlineStr">
        <is>
          <t>scenario_group</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scenario_group</t>
        </is>
      </c>
      <c r="C11" s="24" t="inlineStr">
        <is>
          <t>UPDATEUSERID</t>
        </is>
      </c>
      <c r="D11" s="24" t="inlineStr">
        <is>
          <t>varchar(32)</t>
        </is>
      </c>
      <c r="E11" s="24" t="inlineStr">
        <is>
          <t>YES</t>
        </is>
      </c>
      <c r="F11" s="24" t="inlineStr">
        <is>
          <t>更新人</t>
        </is>
      </c>
      <c r="G11" s="24" t="n"/>
      <c r="H11" s="24" t="n"/>
      <c r="I11" s="24" t="inlineStr"/>
      <c r="J11" s="24" t="inlineStr">
        <is>
          <t>2023/01/12</t>
        </is>
      </c>
    </row>
    <row r="12">
      <c r="B12" s="24" t="inlineStr">
        <is>
          <t>scenario_group</t>
        </is>
      </c>
      <c r="C12" s="24" t="inlineStr">
        <is>
          <t>UPDATEDATE</t>
        </is>
      </c>
      <c r="D12" s="24" t="inlineStr">
        <is>
          <t>datetime</t>
        </is>
      </c>
      <c r="E12" s="24" t="inlineStr">
        <is>
          <t>YES</t>
        </is>
      </c>
      <c r="F12" s="24" t="inlineStr">
        <is>
          <t>更新日期</t>
        </is>
      </c>
      <c r="G12" s="24" t="n"/>
      <c r="H12" s="24" t="n"/>
      <c r="I12" s="24" t="inlineStr"/>
      <c r="J12" s="24" t="inlineStr">
        <is>
          <t>2023/01/12</t>
        </is>
      </c>
    </row>
    <row r="13">
      <c r="B13" s="24" t="inlineStr">
        <is>
          <t>scenario_group</t>
        </is>
      </c>
      <c r="C13" s="24" t="inlineStr">
        <is>
          <t>CORPORGID</t>
        </is>
      </c>
      <c r="D13" s="24" t="inlineStr">
        <is>
          <t>varchar(32)</t>
        </is>
      </c>
      <c r="E13" s="24" t="inlineStr">
        <is>
          <t>YES</t>
        </is>
      </c>
      <c r="F13" s="24" t="inlineStr">
        <is>
          <t>法人机构编号</t>
        </is>
      </c>
      <c r="G13" s="24" t="n"/>
      <c r="H13" s="24" t="n"/>
      <c r="I13" s="24" t="inlineStr"/>
      <c r="J13" s="24" t="inlineStr">
        <is>
          <t>2023/01/12</t>
        </is>
      </c>
    </row>
  </sheetData>
  <pageMargins left="0.75" right="0.75" top="1" bottom="1" header="0.5" footer="0.5"/>
  <pageSetup orientation="portrait" paperSize="1" horizontalDpi="300" verticalDpi="300"/>
</worksheet>
</file>

<file path=xl/worksheets/sheet164.xml><?xml version="1.0" encoding="utf-8"?>
<worksheet xmlns="http://schemas.openxmlformats.org/spreadsheetml/2006/main">
  <sheetPr>
    <outlinePr summaryBelow="1" summaryRight="1"/>
    <pageSetUpPr/>
  </sheetPr>
  <dimension ref="A1:J22"/>
  <sheetViews>
    <sheetView zoomScaleSheetLayoutView="60" workbookViewId="0">
      <selection activeCell="F34" sqref="F34"/>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场景模型</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scenario_model</t>
        </is>
      </c>
      <c r="C3" s="24" t="inlineStr">
        <is>
          <t>ModelId</t>
        </is>
      </c>
      <c r="D3" s="24" t="inlineStr">
        <is>
          <t>varchar(32)</t>
        </is>
      </c>
      <c r="E3" s="24" t="inlineStr">
        <is>
          <t>NO</t>
        </is>
      </c>
      <c r="F3" s="53" t="inlineStr">
        <is>
          <t>模型编号</t>
        </is>
      </c>
      <c r="G3" s="24" t="n"/>
      <c r="H3" s="24" t="n"/>
      <c r="I3" s="24" t="inlineStr"/>
      <c r="J3" s="24" t="inlineStr">
        <is>
          <t>2023/01/12</t>
        </is>
      </c>
    </row>
    <row r="4">
      <c r="B4" s="24" t="inlineStr">
        <is>
          <t>scenario_model</t>
        </is>
      </c>
      <c r="C4" s="24" t="inlineStr">
        <is>
          <t>SortNo</t>
        </is>
      </c>
      <c r="D4" s="24" t="inlineStr">
        <is>
          <t>varchar(32)</t>
        </is>
      </c>
      <c r="E4" s="24" t="inlineStr">
        <is>
          <t>YES</t>
        </is>
      </c>
      <c r="F4" s="53" t="inlineStr">
        <is>
          <t>排序号</t>
        </is>
      </c>
      <c r="G4" s="24" t="n"/>
      <c r="H4" s="24" t="n"/>
      <c r="I4" s="24" t="inlineStr"/>
      <c r="J4" s="24" t="inlineStr">
        <is>
          <t>2023/01/12</t>
        </is>
      </c>
    </row>
    <row r="5">
      <c r="B5" s="24" t="inlineStr">
        <is>
          <t>scenario_model</t>
        </is>
      </c>
      <c r="C5" s="24" t="inlineStr">
        <is>
          <t>ModelName</t>
        </is>
      </c>
      <c r="D5" s="24" t="inlineStr">
        <is>
          <t>varchar(80)</t>
        </is>
      </c>
      <c r="E5" s="24" t="inlineStr">
        <is>
          <t>YES</t>
        </is>
      </c>
      <c r="F5" s="24" t="inlineStr">
        <is>
          <t>模型名称</t>
        </is>
      </c>
      <c r="G5" s="24" t="n"/>
      <c r="H5" s="24" t="n"/>
      <c r="I5" s="24" t="inlineStr"/>
      <c r="J5" s="24" t="inlineStr">
        <is>
          <t>2023/01/12</t>
        </is>
      </c>
    </row>
    <row r="6">
      <c r="B6" s="24" t="inlineStr">
        <is>
          <t>scenario_model</t>
        </is>
      </c>
      <c r="C6" s="24" t="inlineStr">
        <is>
          <t>ModelType</t>
        </is>
      </c>
      <c r="D6" s="24" t="inlineStr">
        <is>
          <t>varchar(6)</t>
        </is>
      </c>
      <c r="E6" s="24" t="inlineStr">
        <is>
          <t>YES</t>
        </is>
      </c>
      <c r="F6" s="24" t="inlineStr">
        <is>
          <t>模型类型</t>
        </is>
      </c>
      <c r="G6" s="52">
        <f>HYPERLINK("#码值映射清单!B6591","AlarmModelType")</f>
        <v/>
      </c>
      <c r="H6" s="24" t="n"/>
      <c r="I6" s="24" t="inlineStr"/>
      <c r="J6" s="24" t="inlineStr">
        <is>
          <t>2023/01/12</t>
        </is>
      </c>
    </row>
    <row r="7">
      <c r="B7" s="24" t="inlineStr">
        <is>
          <t>scenario_model</t>
        </is>
      </c>
      <c r="C7" s="24" t="inlineStr">
        <is>
          <t>RunCondition</t>
        </is>
      </c>
      <c r="D7" s="24" t="inlineStr">
        <is>
          <t>varchar(2000)</t>
        </is>
      </c>
      <c r="E7" s="24" t="inlineStr">
        <is>
          <t>YES</t>
        </is>
      </c>
      <c r="F7" s="53" t="inlineStr">
        <is>
          <t>运行条件</t>
        </is>
      </c>
      <c r="G7" s="24" t="n"/>
      <c r="H7" s="24" t="n"/>
      <c r="I7" s="24" t="inlineStr"/>
      <c r="J7" s="24" t="inlineStr">
        <is>
          <t>2023/01/12</t>
        </is>
      </c>
    </row>
    <row r="8">
      <c r="B8" s="24" t="inlineStr">
        <is>
          <t>scenario_model</t>
        </is>
      </c>
      <c r="C8" s="24" t="inlineStr">
        <is>
          <t>Status</t>
        </is>
      </c>
      <c r="D8" s="24" t="inlineStr">
        <is>
          <t>char(1)</t>
        </is>
      </c>
      <c r="E8" s="24" t="inlineStr">
        <is>
          <t>YES</t>
        </is>
      </c>
      <c r="F8" s="53" t="inlineStr">
        <is>
          <t>是否有效</t>
        </is>
      </c>
      <c r="G8" s="52">
        <f>HYPERLINK("#码值映射清单!B1110","IsInUse")</f>
        <v/>
      </c>
      <c r="H8" s="24" t="n"/>
      <c r="I8" s="24" t="inlineStr"/>
      <c r="J8" s="24" t="inlineStr">
        <is>
          <t>2023/01/12</t>
        </is>
      </c>
    </row>
    <row r="9">
      <c r="B9" s="24" t="inlineStr">
        <is>
          <t>scenario_model</t>
        </is>
      </c>
      <c r="C9" s="24" t="inlineStr">
        <is>
          <t>PassMessage</t>
        </is>
      </c>
      <c r="D9" s="24" t="inlineStr">
        <is>
          <t>varchar(1000)</t>
        </is>
      </c>
      <c r="E9" s="24" t="inlineStr">
        <is>
          <t>YES</t>
        </is>
      </c>
      <c r="F9" s="24" t="inlineStr">
        <is>
          <t>通过提示</t>
        </is>
      </c>
      <c r="G9" s="24" t="n"/>
      <c r="H9" s="24" t="n"/>
      <c r="I9" s="24" t="inlineStr"/>
      <c r="J9" s="24" t="inlineStr">
        <is>
          <t>2023/01/12</t>
        </is>
      </c>
    </row>
    <row r="10">
      <c r="B10" s="24" t="inlineStr">
        <is>
          <t>scenario_model</t>
        </is>
      </c>
      <c r="C10" s="24" t="inlineStr">
        <is>
          <t>NoPassMessage</t>
        </is>
      </c>
      <c r="D10" s="24" t="inlineStr">
        <is>
          <t>varchar(1000)</t>
        </is>
      </c>
      <c r="E10" s="24" t="inlineStr">
        <is>
          <t>YES</t>
        </is>
      </c>
      <c r="F10" s="24" t="inlineStr">
        <is>
          <t>否定提示</t>
        </is>
      </c>
      <c r="G10" s="24" t="n"/>
      <c r="H10" s="24" t="n"/>
      <c r="I10" s="24" t="inlineStr"/>
      <c r="J10" s="24" t="inlineStr">
        <is>
          <t>2023/01/12</t>
        </is>
      </c>
    </row>
    <row r="11">
      <c r="B11" s="24" t="inlineStr">
        <is>
          <t>scenario_model</t>
        </is>
      </c>
      <c r="C11" s="24" t="inlineStr">
        <is>
          <t>ExecuteScript</t>
        </is>
      </c>
      <c r="D11" s="24" t="inlineStr">
        <is>
          <t>varchar(2000)</t>
        </is>
      </c>
      <c r="E11" s="24" t="inlineStr">
        <is>
          <t>YES</t>
        </is>
      </c>
      <c r="F11" s="24" t="inlineStr">
        <is>
          <t>执行脚本</t>
        </is>
      </c>
      <c r="G11" s="24" t="n"/>
      <c r="H11" s="24" t="n"/>
      <c r="I11" s="24" t="inlineStr"/>
      <c r="J11" s="24" t="inlineStr">
        <is>
          <t>2023/01/12</t>
        </is>
      </c>
    </row>
    <row r="12">
      <c r="B12" s="24" t="inlineStr">
        <is>
          <t>scenario_model</t>
        </is>
      </c>
      <c r="C12" s="24" t="inlineStr">
        <is>
          <t>Remark</t>
        </is>
      </c>
      <c r="D12" s="24" t="inlineStr">
        <is>
          <t>varchar(500)</t>
        </is>
      </c>
      <c r="E12" s="24" t="inlineStr">
        <is>
          <t>YES</t>
        </is>
      </c>
      <c r="F12" s="24" t="inlineStr">
        <is>
          <t>备注</t>
        </is>
      </c>
      <c r="G12" s="24" t="n"/>
      <c r="H12" s="24" t="n"/>
      <c r="I12" s="24" t="inlineStr"/>
      <c r="J12" s="24" t="inlineStr">
        <is>
          <t>2023/01/12</t>
        </is>
      </c>
    </row>
    <row r="13">
      <c r="B13" s="24" t="inlineStr">
        <is>
          <t>scenario_model</t>
        </is>
      </c>
      <c r="C13" s="24" t="inlineStr">
        <is>
          <t>InputOrgId</t>
        </is>
      </c>
      <c r="D13" s="24" t="inlineStr">
        <is>
          <t>varchar(32)</t>
        </is>
      </c>
      <c r="E13" s="24" t="inlineStr">
        <is>
          <t>YES</t>
        </is>
      </c>
      <c r="F13" s="24" t="inlineStr">
        <is>
          <t>登记机构</t>
        </is>
      </c>
      <c r="G13" s="24" t="n"/>
      <c r="H13" s="24" t="n"/>
      <c r="I13" s="24" t="inlineStr"/>
      <c r="J13" s="24" t="inlineStr">
        <is>
          <t>2023/01/12</t>
        </is>
      </c>
    </row>
    <row r="14">
      <c r="B14" s="24" t="inlineStr">
        <is>
          <t>scenario_model</t>
        </is>
      </c>
      <c r="C14" s="24" t="inlineStr">
        <is>
          <t>InputUserId</t>
        </is>
      </c>
      <c r="D14" s="24" t="inlineStr">
        <is>
          <t>varchar(32)</t>
        </is>
      </c>
      <c r="E14" s="24" t="inlineStr">
        <is>
          <t>YES</t>
        </is>
      </c>
      <c r="F14" s="24" t="inlineStr">
        <is>
          <t>登记人</t>
        </is>
      </c>
      <c r="G14" s="24" t="n"/>
      <c r="H14" s="24" t="n"/>
      <c r="I14" s="24" t="inlineStr"/>
      <c r="J14" s="24" t="inlineStr">
        <is>
          <t>2023/01/12</t>
        </is>
      </c>
    </row>
    <row r="15">
      <c r="B15" s="24" t="inlineStr">
        <is>
          <t>scenario_model</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scenario_model</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scenario_model</t>
        </is>
      </c>
      <c r="C17" s="24" t="inlineStr">
        <is>
          <t>UpdateUserId</t>
        </is>
      </c>
      <c r="D17" s="24" t="inlineStr">
        <is>
          <t>varchar(32)</t>
        </is>
      </c>
      <c r="E17" s="24" t="inlineStr">
        <is>
          <t>YES</t>
        </is>
      </c>
      <c r="F17" s="24" t="inlineStr">
        <is>
          <t>更新人</t>
        </is>
      </c>
      <c r="G17" s="24" t="n"/>
      <c r="H17" s="24" t="n"/>
      <c r="I17" s="24" t="inlineStr"/>
      <c r="J17" s="24" t="inlineStr">
        <is>
          <t>2023/01/12</t>
        </is>
      </c>
    </row>
    <row r="18">
      <c r="B18" s="24" t="inlineStr">
        <is>
          <t>scenario_model</t>
        </is>
      </c>
      <c r="C18" s="24" t="inlineStr">
        <is>
          <t>UpdateDate</t>
        </is>
      </c>
      <c r="D18" s="24" t="inlineStr">
        <is>
          <t>datetime</t>
        </is>
      </c>
      <c r="E18" s="24" t="inlineStr">
        <is>
          <t>YES</t>
        </is>
      </c>
      <c r="F18" s="24" t="inlineStr">
        <is>
          <t>更新日期</t>
        </is>
      </c>
      <c r="G18" s="24" t="n"/>
      <c r="H18" s="24" t="n"/>
      <c r="I18" s="24" t="inlineStr"/>
      <c r="J18" s="24" t="inlineStr">
        <is>
          <t>2023/01/12</t>
        </is>
      </c>
    </row>
    <row r="19">
      <c r="B19" s="24" t="inlineStr">
        <is>
          <t>scenario_model</t>
        </is>
      </c>
      <c r="C19" s="24" t="inlineStr">
        <is>
          <t>BizViewer</t>
        </is>
      </c>
      <c r="D19" s="24" t="inlineStr">
        <is>
          <t>varchar(500)</t>
        </is>
      </c>
      <c r="E19" s="24" t="inlineStr">
        <is>
          <t>YES</t>
        </is>
      </c>
      <c r="F19" s="24" t="inlineStr">
        <is>
          <t>操作脚本</t>
        </is>
      </c>
      <c r="G19" s="24" t="n"/>
      <c r="H19" s="24" t="n"/>
      <c r="I19" s="24" t="inlineStr"/>
      <c r="J19" s="24" t="inlineStr">
        <is>
          <t>2023/01/12</t>
        </is>
      </c>
    </row>
    <row r="20">
      <c r="B20" s="24" t="inlineStr">
        <is>
          <t>scenario_model</t>
        </is>
      </c>
      <c r="C20" s="24" t="inlineStr">
        <is>
          <t>NoPassDeal</t>
        </is>
      </c>
      <c r="D20" s="24" t="inlineStr">
        <is>
          <t>varchar(6)</t>
        </is>
      </c>
      <c r="E20" s="24" t="inlineStr">
        <is>
          <t>YES</t>
        </is>
      </c>
      <c r="F20" s="24" t="inlineStr">
        <is>
          <t>检查不通过的处理</t>
        </is>
      </c>
      <c r="G20" s="52">
        <f>HYPERLINK("#码值映射清单!B6579","NoPassDeal")</f>
        <v/>
      </c>
      <c r="H20" s="24" t="n"/>
      <c r="I20" s="24" t="inlineStr"/>
      <c r="J20" s="24" t="inlineStr">
        <is>
          <t>2023/01/12</t>
        </is>
      </c>
    </row>
    <row r="21">
      <c r="B21" s="24" t="inlineStr">
        <is>
          <t>scenario_model</t>
        </is>
      </c>
      <c r="C21" s="24" t="inlineStr">
        <is>
          <t>CorpOrgId</t>
        </is>
      </c>
      <c r="D21" s="24" t="inlineStr">
        <is>
          <t>varchar(32)</t>
        </is>
      </c>
      <c r="E21" s="24" t="inlineStr">
        <is>
          <t>YES</t>
        </is>
      </c>
      <c r="F21" s="24" t="inlineStr">
        <is>
          <t>法人机构编号</t>
        </is>
      </c>
      <c r="G21" s="24" t="n"/>
      <c r="H21" s="24" t="n"/>
      <c r="I21" s="24" t="inlineStr"/>
      <c r="J21" s="24" t="inlineStr">
        <is>
          <t>2023/01/12</t>
        </is>
      </c>
    </row>
    <row r="22">
      <c r="B22" s="24" t="inlineStr">
        <is>
          <t>scenario_model</t>
        </is>
      </c>
      <c r="C22" s="24" t="inlineStr">
        <is>
          <t>TargetUrl</t>
        </is>
      </c>
      <c r="D22" s="24" t="inlineStr">
        <is>
          <t>varchar(80)</t>
        </is>
      </c>
      <c r="E22" s="24" t="inlineStr">
        <is>
          <t>YES</t>
        </is>
      </c>
      <c r="F22" s="24" t="inlineStr">
        <is>
          <t>指定操作路由</t>
        </is>
      </c>
      <c r="G22" s="24" t="n"/>
      <c r="H22" s="24" t="n"/>
      <c r="I22" s="24" t="inlineStr"/>
      <c r="J22" s="24" t="inlineStr">
        <is>
          <t>2023/01/12</t>
        </is>
      </c>
    </row>
  </sheetData>
  <pageMargins left="0.75" right="0.75" top="1" bottom="1" header="0.5" footer="0.5"/>
  <pageSetup orientation="portrait" paperSize="1" horizontalDpi="300" verticalDpi="300"/>
</worksheet>
</file>

<file path=xl/worksheets/sheet165.xml><?xml version="1.0" encoding="utf-8"?>
<worksheet xmlns="http://schemas.openxmlformats.org/spreadsheetml/2006/main">
  <sheetPr>
    <outlinePr summaryBelow="1" summaryRight="1"/>
    <pageSetUpPr/>
  </sheetPr>
  <dimension ref="A1:J11"/>
  <sheetViews>
    <sheetView zoomScaleSheetLayoutView="60" workbookViewId="0">
      <selection activeCell="C23" sqref="C23"/>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场景关联表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scenario_relative</t>
        </is>
      </c>
      <c r="C3" s="24" t="inlineStr">
        <is>
          <t>SCENARIOID</t>
        </is>
      </c>
      <c r="D3" s="24" t="inlineStr">
        <is>
          <t>varchar(32)</t>
        </is>
      </c>
      <c r="E3" s="24" t="inlineStr">
        <is>
          <t>NO</t>
        </is>
      </c>
      <c r="F3" s="24" t="inlineStr">
        <is>
          <t>场景编号</t>
        </is>
      </c>
      <c r="G3" s="24" t="n"/>
      <c r="H3" s="24" t="n"/>
      <c r="I3" s="24" t="inlineStr"/>
      <c r="J3" s="24" t="inlineStr">
        <is>
          <t>2023/01/12</t>
        </is>
      </c>
    </row>
    <row r="4">
      <c r="B4" s="24" t="inlineStr">
        <is>
          <t>scenario_relative</t>
        </is>
      </c>
      <c r="C4" s="24" t="inlineStr">
        <is>
          <t>GROUPID</t>
        </is>
      </c>
      <c r="D4" s="24" t="inlineStr">
        <is>
          <t>varchar(32)</t>
        </is>
      </c>
      <c r="E4" s="24" t="inlineStr">
        <is>
          <t>NO</t>
        </is>
      </c>
      <c r="F4" s="24" t="inlineStr">
        <is>
          <t>分组编号</t>
        </is>
      </c>
      <c r="G4" s="24" t="n"/>
      <c r="H4" s="24" t="n"/>
      <c r="I4" s="24" t="inlineStr"/>
      <c r="J4" s="24" t="inlineStr">
        <is>
          <t>2023/01/12</t>
        </is>
      </c>
    </row>
    <row r="5">
      <c r="B5" s="24" t="inlineStr">
        <is>
          <t>scenario_relative</t>
        </is>
      </c>
      <c r="C5" s="24" t="inlineStr">
        <is>
          <t>MODELID</t>
        </is>
      </c>
      <c r="D5" s="24" t="inlineStr">
        <is>
          <t>varchar(32)</t>
        </is>
      </c>
      <c r="E5" s="24" t="inlineStr">
        <is>
          <t>NO</t>
        </is>
      </c>
      <c r="F5" s="24" t="inlineStr">
        <is>
          <t>模型编号</t>
        </is>
      </c>
      <c r="G5" s="24" t="n"/>
      <c r="H5" s="24" t="n"/>
      <c r="I5" s="24" t="inlineStr"/>
      <c r="J5" s="24" t="inlineStr">
        <is>
          <t>2023/01/12</t>
        </is>
      </c>
    </row>
    <row r="6">
      <c r="B6" s="24" t="inlineStr">
        <is>
          <t>scenario_relative</t>
        </is>
      </c>
      <c r="C6" s="24" t="inlineStr">
        <is>
          <t>INPUTUSERID</t>
        </is>
      </c>
      <c r="D6" s="24" t="inlineStr">
        <is>
          <t>varchar(32)</t>
        </is>
      </c>
      <c r="E6" s="24" t="inlineStr">
        <is>
          <t>YES</t>
        </is>
      </c>
      <c r="F6" s="24" t="inlineStr">
        <is>
          <t>登记人</t>
        </is>
      </c>
      <c r="G6" s="24" t="n"/>
      <c r="H6" s="24" t="n"/>
      <c r="I6" s="24" t="inlineStr"/>
      <c r="J6" s="24" t="inlineStr">
        <is>
          <t>2023/01/12</t>
        </is>
      </c>
    </row>
    <row r="7">
      <c r="B7" s="24" t="inlineStr">
        <is>
          <t>scenario_relative</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scenario_relative</t>
        </is>
      </c>
      <c r="C8" s="24" t="inlineStr">
        <is>
          <t>INPUTDATE</t>
        </is>
      </c>
      <c r="D8" s="24" t="inlineStr">
        <is>
          <t>datetime</t>
        </is>
      </c>
      <c r="E8" s="24" t="inlineStr">
        <is>
          <t>YES</t>
        </is>
      </c>
      <c r="F8" s="24" t="inlineStr">
        <is>
          <t>登记时间</t>
        </is>
      </c>
      <c r="G8" s="24" t="n"/>
      <c r="H8" s="24" t="n"/>
      <c r="I8" s="24" t="inlineStr"/>
      <c r="J8" s="24" t="inlineStr">
        <is>
          <t>2023/01/12</t>
        </is>
      </c>
    </row>
    <row r="9">
      <c r="B9" s="24" t="inlineStr">
        <is>
          <t>scenario_relative</t>
        </is>
      </c>
      <c r="C9" s="24" t="inlineStr">
        <is>
          <t>UPDATEUSERID</t>
        </is>
      </c>
      <c r="D9" s="24" t="inlineStr">
        <is>
          <t>varchar(32)</t>
        </is>
      </c>
      <c r="E9" s="24" t="inlineStr">
        <is>
          <t>YES</t>
        </is>
      </c>
      <c r="F9" s="24" t="inlineStr">
        <is>
          <t>更新人</t>
        </is>
      </c>
      <c r="G9" s="24" t="n"/>
      <c r="H9" s="24" t="n"/>
      <c r="I9" s="24" t="inlineStr"/>
      <c r="J9" s="24" t="inlineStr">
        <is>
          <t>2023/01/12</t>
        </is>
      </c>
    </row>
    <row r="10">
      <c r="B10" s="24" t="inlineStr">
        <is>
          <t>scenario_relative</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scenario_relative</t>
        </is>
      </c>
      <c r="C11" s="24" t="inlineStr">
        <is>
          <t>UPDATEDATE</t>
        </is>
      </c>
      <c r="D11" s="24" t="inlineStr">
        <is>
          <t>datetime</t>
        </is>
      </c>
      <c r="E11" s="24" t="inlineStr">
        <is>
          <t>YES</t>
        </is>
      </c>
      <c r="F11" s="24" t="inlineStr">
        <is>
          <t>更新时间</t>
        </is>
      </c>
      <c r="G11" s="24" t="n"/>
      <c r="H11" s="24" t="n"/>
      <c r="I11" s="24" t="inlineStr"/>
      <c r="J11" s="24" t="inlineStr">
        <is>
          <t>2023/01/12</t>
        </is>
      </c>
    </row>
  </sheetData>
  <pageMargins left="0.75" right="0.75" top="1" bottom="1" header="0.5" footer="0.5"/>
  <pageSetup orientation="portrait" paperSize="1" horizontalDpi="300" verticalDpi="300"/>
</worksheet>
</file>

<file path=xl/worksheets/sheet166.xml><?xml version="1.0" encoding="utf-8"?>
<worksheet xmlns="http://schemas.openxmlformats.org/spreadsheetml/2006/main">
  <sheetPr>
    <outlinePr summaryBelow="1" summaryRight="1"/>
    <pageSetUpPr/>
  </sheetPr>
  <dimension ref="A1:J13"/>
  <sheetViews>
    <sheetView zoomScaleSheetLayoutView="60" workbookViewId="0">
      <selection activeCell="D24" sqref="D24"/>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安全审计</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security_audit</t>
        </is>
      </c>
      <c r="C3" s="24" t="inlineStr">
        <is>
          <t>CODETYPE</t>
        </is>
      </c>
      <c r="D3" s="24" t="inlineStr">
        <is>
          <t>varchar(32)</t>
        </is>
      </c>
      <c r="E3" s="24" t="inlineStr">
        <is>
          <t>YES</t>
        </is>
      </c>
      <c r="F3" s="24" t="inlineStr">
        <is>
          <t>规则类型</t>
        </is>
      </c>
      <c r="G3" s="24" t="n"/>
      <c r="H3" s="24" t="n"/>
      <c r="I3" s="24" t="inlineStr"/>
      <c r="J3" s="24" t="inlineStr">
        <is>
          <t>2023/01/12</t>
        </is>
      </c>
    </row>
    <row r="4">
      <c r="B4" s="24" t="inlineStr">
        <is>
          <t>security_audit</t>
        </is>
      </c>
      <c r="C4" s="24" t="inlineStr">
        <is>
          <t>ITEMNO</t>
        </is>
      </c>
      <c r="D4" s="24" t="inlineStr">
        <is>
          <t>varchar(32)</t>
        </is>
      </c>
      <c r="E4" s="24" t="inlineStr">
        <is>
          <t>NO</t>
        </is>
      </c>
      <c r="F4" s="24" t="inlineStr">
        <is>
          <t>规则编号</t>
        </is>
      </c>
      <c r="G4" s="24" t="n"/>
      <c r="H4" s="24" t="n"/>
      <c r="I4" s="24" t="inlineStr"/>
      <c r="J4" s="24" t="inlineStr">
        <is>
          <t>2023/01/12</t>
        </is>
      </c>
    </row>
    <row r="5">
      <c r="B5" s="24" t="inlineStr">
        <is>
          <t>security_audit</t>
        </is>
      </c>
      <c r="C5" s="24" t="inlineStr">
        <is>
          <t>ITEMNAME</t>
        </is>
      </c>
      <c r="D5" s="24" t="inlineStr">
        <is>
          <t>varchar(80)</t>
        </is>
      </c>
      <c r="E5" s="24" t="inlineStr">
        <is>
          <t>YES</t>
        </is>
      </c>
      <c r="F5" s="24" t="inlineStr">
        <is>
          <t>规则名称</t>
        </is>
      </c>
      <c r="G5" s="24" t="n"/>
      <c r="H5" s="24" t="n"/>
      <c r="I5" s="24" t="inlineStr"/>
      <c r="J5" s="24" t="inlineStr">
        <is>
          <t>2023/01/12</t>
        </is>
      </c>
    </row>
    <row r="6">
      <c r="B6" s="24" t="inlineStr">
        <is>
          <t>security_audit</t>
        </is>
      </c>
      <c r="C6" s="24" t="inlineStr">
        <is>
          <t>ITEMVALUE</t>
        </is>
      </c>
      <c r="D6" s="24" t="inlineStr">
        <is>
          <t>varchar(32)</t>
        </is>
      </c>
      <c r="E6" s="24" t="inlineStr">
        <is>
          <t>YES</t>
        </is>
      </c>
      <c r="F6" s="24" t="inlineStr">
        <is>
          <t>规则值</t>
        </is>
      </c>
      <c r="G6" s="24" t="n"/>
      <c r="H6" s="24" t="n"/>
      <c r="I6" s="24" t="inlineStr"/>
      <c r="J6" s="24" t="inlineStr">
        <is>
          <t>2023/01/12</t>
        </is>
      </c>
    </row>
    <row r="7">
      <c r="B7" s="24" t="inlineStr">
        <is>
          <t>security_audit</t>
        </is>
      </c>
      <c r="C7" s="24" t="inlineStr">
        <is>
          <t>ISINUSE</t>
        </is>
      </c>
      <c r="D7" s="24" t="inlineStr">
        <is>
          <t>varchar(6)</t>
        </is>
      </c>
      <c r="E7" s="24" t="inlineStr">
        <is>
          <t>YES</t>
        </is>
      </c>
      <c r="F7" s="24" t="inlineStr">
        <is>
          <t>规则状态</t>
        </is>
      </c>
      <c r="G7" s="24" t="n"/>
      <c r="H7" s="24" t="n"/>
      <c r="I7" s="24" t="inlineStr"/>
      <c r="J7" s="24" t="inlineStr">
        <is>
          <t>2023/01/12</t>
        </is>
      </c>
    </row>
    <row r="8">
      <c r="B8" s="24" t="inlineStr">
        <is>
          <t>security_audit</t>
        </is>
      </c>
      <c r="C8" s="24" t="inlineStr">
        <is>
          <t>INPUTORGID</t>
        </is>
      </c>
      <c r="D8" s="24" t="inlineStr">
        <is>
          <t>varchar(32)</t>
        </is>
      </c>
      <c r="E8" s="24" t="inlineStr">
        <is>
          <t>YES</t>
        </is>
      </c>
      <c r="F8" s="24" t="inlineStr">
        <is>
          <t>登记机构</t>
        </is>
      </c>
      <c r="G8" s="24" t="n"/>
      <c r="H8" s="24" t="n"/>
      <c r="I8" s="24" t="inlineStr"/>
      <c r="J8" s="24" t="inlineStr">
        <is>
          <t>2023/01/12</t>
        </is>
      </c>
    </row>
    <row r="9">
      <c r="B9" s="24" t="inlineStr">
        <is>
          <t>security_audit</t>
        </is>
      </c>
      <c r="C9" s="24" t="inlineStr">
        <is>
          <t>INPUTUSERID</t>
        </is>
      </c>
      <c r="D9" s="24" t="inlineStr">
        <is>
          <t>varchar(32)</t>
        </is>
      </c>
      <c r="E9" s="24" t="inlineStr">
        <is>
          <t>YES</t>
        </is>
      </c>
      <c r="F9" s="24" t="inlineStr">
        <is>
          <t>登记人</t>
        </is>
      </c>
      <c r="G9" s="24" t="n"/>
      <c r="H9" s="24" t="n"/>
      <c r="I9" s="24" t="inlineStr"/>
      <c r="J9" s="24" t="inlineStr">
        <is>
          <t>2023/01/12</t>
        </is>
      </c>
    </row>
    <row r="10">
      <c r="B10" s="24" t="inlineStr">
        <is>
          <t>security_audit</t>
        </is>
      </c>
      <c r="C10" s="24" t="inlineStr">
        <is>
          <t>INPUTDATE</t>
        </is>
      </c>
      <c r="D10" s="24" t="inlineStr">
        <is>
          <t>datetime</t>
        </is>
      </c>
      <c r="E10" s="24" t="inlineStr">
        <is>
          <t>YES</t>
        </is>
      </c>
      <c r="F10" s="24" t="inlineStr">
        <is>
          <t>登记日期</t>
        </is>
      </c>
      <c r="G10" s="24" t="n"/>
      <c r="H10" s="24" t="n"/>
      <c r="I10" s="24" t="inlineStr"/>
      <c r="J10" s="24" t="inlineStr">
        <is>
          <t>2023/01/12</t>
        </is>
      </c>
    </row>
    <row r="11">
      <c r="B11" s="24" t="inlineStr">
        <is>
          <t>security_audit</t>
        </is>
      </c>
      <c r="C11" s="24" t="inlineStr">
        <is>
          <t>UPDATEORGID</t>
        </is>
      </c>
      <c r="D11" s="24" t="inlineStr">
        <is>
          <t>varchar(32)</t>
        </is>
      </c>
      <c r="E11" s="24" t="inlineStr">
        <is>
          <t>YES</t>
        </is>
      </c>
      <c r="F11" s="24" t="inlineStr">
        <is>
          <t>更新机构</t>
        </is>
      </c>
      <c r="G11" s="24" t="n"/>
      <c r="H11" s="24" t="n"/>
      <c r="I11" s="24" t="inlineStr"/>
      <c r="J11" s="24" t="inlineStr">
        <is>
          <t>2023/01/12</t>
        </is>
      </c>
    </row>
    <row r="12">
      <c r="B12" s="24" t="inlineStr">
        <is>
          <t>security_audit</t>
        </is>
      </c>
      <c r="C12" s="24" t="inlineStr">
        <is>
          <t>UPDATEUSERID</t>
        </is>
      </c>
      <c r="D12" s="24" t="inlineStr">
        <is>
          <t>varchar(32)</t>
        </is>
      </c>
      <c r="E12" s="24" t="inlineStr">
        <is>
          <t>YES</t>
        </is>
      </c>
      <c r="F12" s="24" t="inlineStr">
        <is>
          <t>更新人</t>
        </is>
      </c>
      <c r="G12" s="24" t="n"/>
      <c r="H12" s="24" t="n"/>
      <c r="I12" s="24" t="inlineStr"/>
      <c r="J12" s="24" t="inlineStr">
        <is>
          <t>2023/01/12</t>
        </is>
      </c>
    </row>
    <row r="13">
      <c r="B13" s="24" t="inlineStr">
        <is>
          <t>security_audit</t>
        </is>
      </c>
      <c r="C13" s="24" t="inlineStr">
        <is>
          <t>UPDATEDATE</t>
        </is>
      </c>
      <c r="D13" s="24" t="inlineStr">
        <is>
          <t>datetime</t>
        </is>
      </c>
      <c r="E13" s="24" t="inlineStr">
        <is>
          <t>YES</t>
        </is>
      </c>
      <c r="F13" s="24" t="inlineStr">
        <is>
          <t>跟新日期</t>
        </is>
      </c>
      <c r="G13" s="24" t="n"/>
      <c r="H13" s="24" t="n"/>
      <c r="I13" s="24" t="inlineStr"/>
      <c r="J13" s="24" t="inlineStr">
        <is>
          <t>2023/01/12</t>
        </is>
      </c>
    </row>
  </sheetData>
  <pageMargins left="0.75" right="0.75" top="1" bottom="1" header="0.5" footer="0.5"/>
  <pageSetup orientation="portrait" paperSize="1" horizontalDpi="300" verticalDpi="300"/>
</worksheet>
</file>

<file path=xl/worksheets/sheet167.xml><?xml version="1.0" encoding="utf-8"?>
<worksheet xmlns="http://schemas.openxmlformats.org/spreadsheetml/2006/main">
  <sheetPr>
    <outlinePr summaryBelow="1" summaryRight="1"/>
    <pageSetUpPr/>
  </sheetPr>
  <dimension ref="A1:J31"/>
  <sheetViews>
    <sheetView zoomScaleSheetLayoutView="60" workbookViewId="0">
      <selection activeCell="D31" sqref="D3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选择框查询信息表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select_catalog</t>
        </is>
      </c>
      <c r="C3" s="24" t="inlineStr">
        <is>
          <t>SELNAME</t>
        </is>
      </c>
      <c r="D3" s="24" t="inlineStr">
        <is>
          <t>varchar(80)</t>
        </is>
      </c>
      <c r="E3" s="24" t="inlineStr">
        <is>
          <t>NO</t>
        </is>
      </c>
      <c r="F3" s="24" t="inlineStr">
        <is>
          <t>查询名称</t>
        </is>
      </c>
      <c r="G3" s="24" t="n"/>
      <c r="H3" s="24" t="n"/>
      <c r="I3" s="24" t="inlineStr"/>
      <c r="J3" s="24" t="inlineStr">
        <is>
          <t>2023/01/12</t>
        </is>
      </c>
    </row>
    <row r="4">
      <c r="B4" s="24" t="inlineStr">
        <is>
          <t>select_catalog</t>
        </is>
      </c>
      <c r="C4" s="24" t="inlineStr">
        <is>
          <t>SELTYPE</t>
        </is>
      </c>
      <c r="D4" s="24" t="inlineStr">
        <is>
          <t>varchar(32)</t>
        </is>
      </c>
      <c r="E4" s="24" t="inlineStr">
        <is>
          <t>YES</t>
        </is>
      </c>
      <c r="F4" s="24" t="inlineStr">
        <is>
          <t>查询类型</t>
        </is>
      </c>
      <c r="G4" s="24" t="n"/>
      <c r="H4" s="24" t="n"/>
      <c r="I4" s="24" t="inlineStr"/>
      <c r="J4" s="24" t="inlineStr">
        <is>
          <t>2023/01/12</t>
        </is>
      </c>
    </row>
    <row r="5">
      <c r="B5" s="24" t="inlineStr">
        <is>
          <t>select_catalog</t>
        </is>
      </c>
      <c r="C5" s="24" t="inlineStr">
        <is>
          <t>SELDESCRIBE</t>
        </is>
      </c>
      <c r="D5" s="24" t="inlineStr">
        <is>
          <t>varchar(200)</t>
        </is>
      </c>
      <c r="E5" s="24" t="inlineStr">
        <is>
          <t>YES</t>
        </is>
      </c>
      <c r="F5" s="24" t="inlineStr">
        <is>
          <t>查询描述</t>
        </is>
      </c>
      <c r="G5" s="24" t="n"/>
      <c r="H5" s="24" t="n"/>
      <c r="I5" s="24" t="inlineStr"/>
      <c r="J5" s="24" t="inlineStr">
        <is>
          <t>2023/01/12</t>
        </is>
      </c>
    </row>
    <row r="6">
      <c r="B6" s="24" t="inlineStr">
        <is>
          <t>select_catalog</t>
        </is>
      </c>
      <c r="C6" s="24" t="inlineStr">
        <is>
          <t>SELTABLENAME</t>
        </is>
      </c>
      <c r="D6" s="24" t="inlineStr">
        <is>
          <t>varchar(80)</t>
        </is>
      </c>
      <c r="E6" s="24" t="inlineStr">
        <is>
          <t>YES</t>
        </is>
      </c>
      <c r="F6" s="24" t="inlineStr">
        <is>
          <t>查询表名</t>
        </is>
      </c>
      <c r="G6" s="24" t="n"/>
      <c r="H6" s="24" t="n"/>
      <c r="I6" s="24" t="inlineStr"/>
      <c r="J6" s="24" t="inlineStr">
        <is>
          <t>2023/01/12</t>
        </is>
      </c>
    </row>
    <row r="7">
      <c r="B7" s="24" t="inlineStr">
        <is>
          <t>select_catalog</t>
        </is>
      </c>
      <c r="C7" s="24" t="inlineStr">
        <is>
          <t>SELPRIMARYKEY</t>
        </is>
      </c>
      <c r="D7" s="24" t="inlineStr">
        <is>
          <t>varchar(200)</t>
        </is>
      </c>
      <c r="E7" s="24" t="inlineStr">
        <is>
          <t>YES</t>
        </is>
      </c>
      <c r="F7" s="24" t="inlineStr">
        <is>
          <t>查询关键字</t>
        </is>
      </c>
      <c r="G7" s="24" t="n"/>
      <c r="H7" s="24" t="n"/>
      <c r="I7" s="24" t="inlineStr"/>
      <c r="J7" s="24" t="inlineStr">
        <is>
          <t>2023/01/12</t>
        </is>
      </c>
    </row>
    <row r="8">
      <c r="B8" s="24" t="inlineStr">
        <is>
          <t>select_catalog</t>
        </is>
      </c>
      <c r="C8" s="24" t="inlineStr">
        <is>
          <t>SELBROWSEMODE</t>
        </is>
      </c>
      <c r="D8" s="24" t="inlineStr">
        <is>
          <t>varchar(32)</t>
        </is>
      </c>
      <c r="E8" s="24" t="inlineStr">
        <is>
          <t>YES</t>
        </is>
      </c>
      <c r="F8" s="24" t="inlineStr">
        <is>
          <t>展现方式</t>
        </is>
      </c>
      <c r="G8" s="24" t="n"/>
      <c r="H8" s="24" t="n"/>
      <c r="I8" s="24" t="inlineStr"/>
      <c r="J8" s="24" t="inlineStr">
        <is>
          <t>2023/01/12</t>
        </is>
      </c>
    </row>
    <row r="9">
      <c r="B9" s="24" t="inlineStr">
        <is>
          <t>select_catalog</t>
        </is>
      </c>
      <c r="C9" s="24" t="inlineStr">
        <is>
          <t>SELARGS</t>
        </is>
      </c>
      <c r="D9" s="24" t="inlineStr">
        <is>
          <t>varchar(1000)</t>
        </is>
      </c>
      <c r="E9" s="24" t="inlineStr">
        <is>
          <t>YES</t>
        </is>
      </c>
      <c r="F9" s="24" t="inlineStr">
        <is>
          <t>参数值</t>
        </is>
      </c>
      <c r="G9" s="24" t="n"/>
      <c r="H9" s="24" t="n"/>
      <c r="I9" s="24" t="inlineStr"/>
      <c r="J9" s="24" t="inlineStr">
        <is>
          <t>2023/01/12</t>
        </is>
      </c>
    </row>
    <row r="10">
      <c r="B10" s="24" t="inlineStr">
        <is>
          <t>select_catalog</t>
        </is>
      </c>
      <c r="C10" s="24" t="inlineStr">
        <is>
          <t>SELHIDEFIELD</t>
        </is>
      </c>
      <c r="D10" s="24" t="inlineStr">
        <is>
          <t>varchar(1000)</t>
        </is>
      </c>
      <c r="E10" s="24" t="inlineStr">
        <is>
          <t>YES</t>
        </is>
      </c>
      <c r="F10" s="24" t="inlineStr">
        <is>
          <t>隐藏域</t>
        </is>
      </c>
      <c r="G10" s="24" t="n"/>
      <c r="H10" s="24" t="n"/>
      <c r="I10" s="24" t="inlineStr"/>
      <c r="J10" s="24" t="inlineStr">
        <is>
          <t>2023/01/12</t>
        </is>
      </c>
    </row>
    <row r="11">
      <c r="B11" s="24" t="inlineStr">
        <is>
          <t>select_catalog</t>
        </is>
      </c>
      <c r="C11" s="24" t="inlineStr">
        <is>
          <t>SELFIELDNAME</t>
        </is>
      </c>
      <c r="D11" s="24" t="inlineStr">
        <is>
          <t>varchar(1000)</t>
        </is>
      </c>
      <c r="E11" s="24" t="inlineStr">
        <is>
          <t>YES</t>
        </is>
      </c>
      <c r="F11" s="24" t="inlineStr">
        <is>
          <t>显示中文名称</t>
        </is>
      </c>
      <c r="G11" s="24" t="n"/>
      <c r="H11" s="24" t="n"/>
      <c r="I11" s="24" t="inlineStr"/>
      <c r="J11" s="24" t="inlineStr">
        <is>
          <t>2023/01/12</t>
        </is>
      </c>
    </row>
    <row r="12">
      <c r="B12" s="24" t="inlineStr">
        <is>
          <t>select_catalog</t>
        </is>
      </c>
      <c r="C12" s="24" t="inlineStr">
        <is>
          <t>SELFIELDDISP</t>
        </is>
      </c>
      <c r="D12" s="24" t="inlineStr">
        <is>
          <t>varchar(1000)</t>
        </is>
      </c>
      <c r="E12" s="24" t="inlineStr">
        <is>
          <t>YES</t>
        </is>
      </c>
      <c r="F12" s="24" t="inlineStr">
        <is>
          <t>字段显示风格</t>
        </is>
      </c>
      <c r="G12" s="24" t="n"/>
      <c r="H12" s="24" t="n"/>
      <c r="I12" s="24" t="inlineStr"/>
      <c r="J12" s="24" t="inlineStr">
        <is>
          <t>2023/01/12</t>
        </is>
      </c>
    </row>
    <row r="13">
      <c r="B13" s="24" t="inlineStr">
        <is>
          <t>select_catalog</t>
        </is>
      </c>
      <c r="C13" s="24" t="inlineStr">
        <is>
          <t>SELRETURNVALUE</t>
        </is>
      </c>
      <c r="D13" s="24" t="inlineStr">
        <is>
          <t>varchar(1000)</t>
        </is>
      </c>
      <c r="E13" s="24" t="inlineStr">
        <is>
          <t>YES</t>
        </is>
      </c>
      <c r="F13" s="24" t="inlineStr">
        <is>
          <t>返回值</t>
        </is>
      </c>
      <c r="G13" s="24" t="n"/>
      <c r="H13" s="24" t="n"/>
      <c r="I13" s="24" t="inlineStr"/>
      <c r="J13" s="24" t="inlineStr">
        <is>
          <t>2023/01/12</t>
        </is>
      </c>
    </row>
    <row r="14">
      <c r="B14" s="24" t="inlineStr">
        <is>
          <t>select_catalog</t>
        </is>
      </c>
      <c r="C14" s="24" t="inlineStr">
        <is>
          <t>SELFILTERFIELD</t>
        </is>
      </c>
      <c r="D14" s="24" t="inlineStr">
        <is>
          <t>varchar(1000)</t>
        </is>
      </c>
      <c r="E14" s="24" t="inlineStr">
        <is>
          <t>YES</t>
        </is>
      </c>
      <c r="F14" s="24" t="inlineStr">
        <is>
          <t>检索字段</t>
        </is>
      </c>
      <c r="G14" s="24" t="n"/>
      <c r="H14" s="24" t="n"/>
      <c r="I14" s="24" t="inlineStr"/>
      <c r="J14" s="24" t="inlineStr">
        <is>
          <t>2023/01/12</t>
        </is>
      </c>
    </row>
    <row r="15">
      <c r="B15" s="24" t="inlineStr">
        <is>
          <t>select_catalog</t>
        </is>
      </c>
      <c r="C15" s="24" t="inlineStr">
        <is>
          <t>ISINUSE</t>
        </is>
      </c>
      <c r="D15" s="24" t="inlineStr">
        <is>
          <t>varchar(6)</t>
        </is>
      </c>
      <c r="E15" s="24" t="inlineStr">
        <is>
          <t>YES</t>
        </is>
      </c>
      <c r="F15" s="24" t="inlineStr">
        <is>
          <t>是否可用</t>
        </is>
      </c>
      <c r="G15" s="52">
        <f>HYPERLINK("#码值映射清单!B1110","IsInUse")</f>
        <v/>
      </c>
      <c r="H15" s="24" t="n"/>
      <c r="I15" s="24" t="inlineStr"/>
      <c r="J15" s="24" t="inlineStr">
        <is>
          <t>2023/01/12</t>
        </is>
      </c>
    </row>
    <row r="16">
      <c r="B16" s="24" t="inlineStr">
        <is>
          <t>select_catalog</t>
        </is>
      </c>
      <c r="C16" s="24" t="inlineStr">
        <is>
          <t>MUTILORSINGLE</t>
        </is>
      </c>
      <c r="D16" s="24" t="inlineStr">
        <is>
          <t>varchar(32)</t>
        </is>
      </c>
      <c r="E16" s="24" t="inlineStr">
        <is>
          <t>YES</t>
        </is>
      </c>
      <c r="F16" s="24" t="inlineStr">
        <is>
          <t>选择方式</t>
        </is>
      </c>
      <c r="G16" s="24" t="n"/>
      <c r="H16" s="24" t="n"/>
      <c r="I16" s="24" t="inlineStr"/>
      <c r="J16" s="24" t="inlineStr">
        <is>
          <t>2023/01/12</t>
        </is>
      </c>
    </row>
    <row r="17">
      <c r="B17" s="24" t="inlineStr">
        <is>
          <t>select_catalog</t>
        </is>
      </c>
      <c r="C17" s="24" t="inlineStr">
        <is>
          <t>ATTRIBUTE1</t>
        </is>
      </c>
      <c r="D17" s="24" t="inlineStr">
        <is>
          <t>varchar(500)</t>
        </is>
      </c>
      <c r="E17" s="24" t="inlineStr">
        <is>
          <t>YES</t>
        </is>
      </c>
      <c r="F17" s="24" t="inlineStr">
        <is>
          <t>属性1</t>
        </is>
      </c>
      <c r="G17" s="24" t="n"/>
      <c r="H17" s="24" t="n"/>
      <c r="I17" s="24" t="inlineStr"/>
      <c r="J17" s="24" t="inlineStr">
        <is>
          <t>2023/01/12</t>
        </is>
      </c>
    </row>
    <row r="18">
      <c r="B18" s="24" t="inlineStr">
        <is>
          <t>select_catalog</t>
        </is>
      </c>
      <c r="C18" s="24" t="inlineStr">
        <is>
          <t>ATTRIBUTE2</t>
        </is>
      </c>
      <c r="D18" s="24" t="inlineStr">
        <is>
          <t>varchar(500)</t>
        </is>
      </c>
      <c r="E18" s="24" t="inlineStr">
        <is>
          <t>YES</t>
        </is>
      </c>
      <c r="F18" s="24" t="inlineStr">
        <is>
          <t>属性2</t>
        </is>
      </c>
      <c r="G18" s="52">
        <f>HYPERLINK("#码值映射清单!B5150","YesNo")</f>
        <v/>
      </c>
      <c r="H18" s="24" t="n"/>
      <c r="I18" s="24" t="inlineStr"/>
      <c r="J18" s="24" t="inlineStr">
        <is>
          <t>2023/01/12</t>
        </is>
      </c>
    </row>
    <row r="19">
      <c r="B19" s="24" t="inlineStr">
        <is>
          <t>select_catalog</t>
        </is>
      </c>
      <c r="C19" s="24" t="inlineStr">
        <is>
          <t>ATTRIBUTE3</t>
        </is>
      </c>
      <c r="D19" s="24" t="inlineStr">
        <is>
          <t>varchar(500)</t>
        </is>
      </c>
      <c r="E19" s="24" t="inlineStr">
        <is>
          <t>YES</t>
        </is>
      </c>
      <c r="F19" s="24" t="inlineStr">
        <is>
          <t>属性3</t>
        </is>
      </c>
      <c r="G19" s="24" t="n"/>
      <c r="H19" s="24" t="n"/>
      <c r="I19" s="24" t="inlineStr"/>
      <c r="J19" s="24" t="inlineStr">
        <is>
          <t>2023/01/12</t>
        </is>
      </c>
    </row>
    <row r="20">
      <c r="B20" s="24" t="inlineStr">
        <is>
          <t>select_catalog</t>
        </is>
      </c>
      <c r="C20" s="24" t="inlineStr">
        <is>
          <t>ATTRIBUTE4</t>
        </is>
      </c>
      <c r="D20" s="24" t="inlineStr">
        <is>
          <t>varchar(500)</t>
        </is>
      </c>
      <c r="E20" s="24" t="inlineStr">
        <is>
          <t>YES</t>
        </is>
      </c>
      <c r="F20" s="24" t="inlineStr">
        <is>
          <t>属性4</t>
        </is>
      </c>
      <c r="G20" s="52">
        <f>HYPERLINK("#码值映射清单!B5150","YesNo")</f>
        <v/>
      </c>
      <c r="H20" s="24" t="n"/>
      <c r="I20" s="24" t="inlineStr"/>
      <c r="J20" s="24" t="inlineStr">
        <is>
          <t>2023/01/12</t>
        </is>
      </c>
    </row>
    <row r="21">
      <c r="B21" s="24" t="inlineStr">
        <is>
          <t>select_catalog</t>
        </is>
      </c>
      <c r="C21" s="24" t="inlineStr">
        <is>
          <t>ATTRIBUTE5</t>
        </is>
      </c>
      <c r="D21" s="24" t="inlineStr">
        <is>
          <t>varchar(500)</t>
        </is>
      </c>
      <c r="E21" s="24" t="inlineStr">
        <is>
          <t>YES</t>
        </is>
      </c>
      <c r="F21" s="24" t="inlineStr">
        <is>
          <t>属性5</t>
        </is>
      </c>
      <c r="G21" s="24" t="n"/>
      <c r="H21" s="24" t="n"/>
      <c r="I21" s="24" t="inlineStr"/>
      <c r="J21" s="24" t="inlineStr">
        <is>
          <t>2023/01/12</t>
        </is>
      </c>
    </row>
    <row r="22">
      <c r="B22" s="24" t="inlineStr">
        <is>
          <t>select_catalog</t>
        </is>
      </c>
      <c r="C22" s="24" t="inlineStr">
        <is>
          <t>REMARK</t>
        </is>
      </c>
      <c r="D22" s="24" t="inlineStr">
        <is>
          <t>varchar(500)</t>
        </is>
      </c>
      <c r="E22" s="24" t="inlineStr">
        <is>
          <t>YES</t>
        </is>
      </c>
      <c r="F22" s="24" t="inlineStr">
        <is>
          <t>备注</t>
        </is>
      </c>
      <c r="G22" s="24" t="n"/>
      <c r="H22" s="24" t="n"/>
      <c r="I22" s="24" t="inlineStr"/>
      <c r="J22" s="24" t="inlineStr">
        <is>
          <t>2023/01/12</t>
        </is>
      </c>
    </row>
    <row r="23">
      <c r="B23" s="24" t="inlineStr">
        <is>
          <t>select_catalog</t>
        </is>
      </c>
      <c r="C23" s="24" t="inlineStr">
        <is>
          <t>INPUTORG</t>
        </is>
      </c>
      <c r="D23" s="24" t="inlineStr">
        <is>
          <t>varchar(32)</t>
        </is>
      </c>
      <c r="E23" s="24" t="inlineStr">
        <is>
          <t>YES</t>
        </is>
      </c>
      <c r="F23" s="24" t="inlineStr">
        <is>
          <t>登记机构</t>
        </is>
      </c>
      <c r="G23" s="24" t="n"/>
      <c r="H23" s="24" t="n"/>
      <c r="I23" s="24" t="inlineStr"/>
      <c r="J23" s="24" t="inlineStr">
        <is>
          <t>2023/01/12</t>
        </is>
      </c>
    </row>
    <row r="24">
      <c r="B24" s="24" t="inlineStr">
        <is>
          <t>select_catalog</t>
        </is>
      </c>
      <c r="C24" s="24" t="inlineStr">
        <is>
          <t>INPUTUSER</t>
        </is>
      </c>
      <c r="D24" s="24" t="inlineStr">
        <is>
          <t>varchar(32)</t>
        </is>
      </c>
      <c r="E24" s="24" t="inlineStr">
        <is>
          <t>YES</t>
        </is>
      </c>
      <c r="F24" s="24" t="inlineStr">
        <is>
          <t>登记人</t>
        </is>
      </c>
      <c r="G24" s="24" t="n"/>
      <c r="H24" s="24" t="n"/>
      <c r="I24" s="24" t="inlineStr"/>
      <c r="J24" s="24" t="inlineStr">
        <is>
          <t>2023/01/12</t>
        </is>
      </c>
    </row>
    <row r="25">
      <c r="B25" s="24" t="inlineStr">
        <is>
          <t>select_catalog</t>
        </is>
      </c>
      <c r="C25" s="24" t="inlineStr">
        <is>
          <t>INPUTDATE</t>
        </is>
      </c>
      <c r="D25" s="24" t="inlineStr">
        <is>
          <t>datetime</t>
        </is>
      </c>
      <c r="E25" s="24" t="inlineStr">
        <is>
          <t>YES</t>
        </is>
      </c>
      <c r="F25" s="24" t="inlineStr">
        <is>
          <t>登记日期</t>
        </is>
      </c>
      <c r="G25" s="24" t="n"/>
      <c r="H25" s="24" t="n"/>
      <c r="I25" s="24" t="inlineStr"/>
      <c r="J25" s="24" t="inlineStr">
        <is>
          <t>2023/01/12</t>
        </is>
      </c>
    </row>
    <row r="26">
      <c r="B26" s="24" t="inlineStr">
        <is>
          <t>select_catalog</t>
        </is>
      </c>
      <c r="C26" s="24" t="inlineStr">
        <is>
          <t>UPDATEORG</t>
        </is>
      </c>
      <c r="D26" s="24" t="inlineStr">
        <is>
          <t>varchar(32)</t>
        </is>
      </c>
      <c r="E26" s="24" t="inlineStr">
        <is>
          <t>YES</t>
        </is>
      </c>
      <c r="F26" s="24" t="inlineStr">
        <is>
          <t>更新机构</t>
        </is>
      </c>
      <c r="G26" s="24" t="n"/>
      <c r="H26" s="24" t="n"/>
      <c r="I26" s="24" t="inlineStr"/>
      <c r="J26" s="24" t="inlineStr">
        <is>
          <t>2023/01/12</t>
        </is>
      </c>
    </row>
    <row r="27">
      <c r="B27" s="24" t="inlineStr">
        <is>
          <t>select_catalog</t>
        </is>
      </c>
      <c r="C27" s="24" t="inlineStr">
        <is>
          <t>UPDATEUSER</t>
        </is>
      </c>
      <c r="D27" s="24" t="inlineStr">
        <is>
          <t>varchar(32)</t>
        </is>
      </c>
      <c r="E27" s="24" t="inlineStr">
        <is>
          <t>YES</t>
        </is>
      </c>
      <c r="F27" s="24" t="inlineStr">
        <is>
          <t>更新人</t>
        </is>
      </c>
      <c r="G27" s="24" t="n"/>
      <c r="H27" s="24" t="n"/>
      <c r="I27" s="24" t="inlineStr"/>
      <c r="J27" s="24" t="inlineStr">
        <is>
          <t>2023/01/12</t>
        </is>
      </c>
    </row>
    <row r="28">
      <c r="B28" s="24" t="inlineStr">
        <is>
          <t>select_catalog</t>
        </is>
      </c>
      <c r="C28" s="24" t="inlineStr">
        <is>
          <t>UPDATEDATE</t>
        </is>
      </c>
      <c r="D28" s="24" t="inlineStr">
        <is>
          <t>datetime</t>
        </is>
      </c>
      <c r="E28" s="24" t="inlineStr">
        <is>
          <t>YES</t>
        </is>
      </c>
      <c r="F28" s="24" t="inlineStr">
        <is>
          <t>更新日期</t>
        </is>
      </c>
      <c r="G28" s="24" t="n"/>
      <c r="H28" s="24" t="n"/>
      <c r="I28" s="24" t="inlineStr"/>
      <c r="J28" s="24" t="inlineStr">
        <is>
          <t>2023/01/12</t>
        </is>
      </c>
    </row>
    <row r="29">
      <c r="B29" s="24" t="inlineStr">
        <is>
          <t>select_catalog</t>
        </is>
      </c>
      <c r="C29" s="24" t="inlineStr">
        <is>
          <t>INPUTTIME</t>
        </is>
      </c>
      <c r="D29" s="24" t="inlineStr">
        <is>
          <t>datetime</t>
        </is>
      </c>
      <c r="E29" s="24" t="inlineStr">
        <is>
          <t>YES</t>
        </is>
      </c>
      <c r="F29" s="24" t="inlineStr">
        <is>
          <t>录入时间</t>
        </is>
      </c>
      <c r="G29" s="24" t="n"/>
      <c r="H29" s="24" t="n"/>
      <c r="I29" s="24" t="inlineStr"/>
      <c r="J29" s="24" t="inlineStr">
        <is>
          <t>2023/01/12</t>
        </is>
      </c>
    </row>
    <row r="30">
      <c r="B30" s="24" t="inlineStr">
        <is>
          <t>select_catalog</t>
        </is>
      </c>
      <c r="C30" s="24" t="inlineStr">
        <is>
          <t>UPDATETIME</t>
        </is>
      </c>
      <c r="D30" s="24" t="inlineStr">
        <is>
          <t>datetime</t>
        </is>
      </c>
      <c r="E30" s="24" t="inlineStr">
        <is>
          <t>YES</t>
        </is>
      </c>
      <c r="F30" s="24" t="inlineStr">
        <is>
          <t>更新时间</t>
        </is>
      </c>
      <c r="G30" s="24" t="n"/>
      <c r="H30" s="24" t="n"/>
      <c r="I30" s="24" t="inlineStr"/>
      <c r="J30" s="24" t="inlineStr">
        <is>
          <t>2023/01/12</t>
        </is>
      </c>
    </row>
    <row r="31">
      <c r="B31" s="24" t="inlineStr">
        <is>
          <t>select_catalog</t>
        </is>
      </c>
      <c r="C31" s="24" t="inlineStr">
        <is>
          <t>SELCODE</t>
        </is>
      </c>
      <c r="D31" s="24" t="inlineStr">
        <is>
          <t>varchar(4000)</t>
        </is>
      </c>
      <c r="E31" s="24" t="inlineStr">
        <is>
          <t>YES</t>
        </is>
      </c>
      <c r="F31" s="24" t="inlineStr">
        <is>
          <t>查询SQL</t>
        </is>
      </c>
      <c r="G31" s="24" t="n"/>
      <c r="H31" s="24" t="n"/>
      <c r="I31" s="24" t="inlineStr"/>
      <c r="J31" s="24" t="inlineStr">
        <is>
          <t>2023/01/12</t>
        </is>
      </c>
    </row>
  </sheetData>
  <pageMargins left="0.75" right="0.75" top="1" bottom="1" header="0.5" footer="0.5"/>
  <pageSetup orientation="portrait" paperSize="1" horizontalDpi="300" verticalDpi="300"/>
</worksheet>
</file>

<file path=xl/worksheets/sheet168.xml><?xml version="1.0" encoding="utf-8"?>
<worksheet xmlns="http://schemas.openxmlformats.org/spreadsheetml/2006/main">
  <sheetPr>
    <outlinePr summaryBelow="1" summaryRight="1"/>
    <pageSetUpPr/>
  </sheetPr>
  <dimension ref="A1:J17"/>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系统管理;工作日配置表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sys_calendar</t>
        </is>
      </c>
      <c r="C3" s="24" t="inlineStr">
        <is>
          <t>CURDATE</t>
        </is>
      </c>
      <c r="D3" s="24" t="inlineStr">
        <is>
          <t>varchar(18)</t>
        </is>
      </c>
      <c r="E3" s="24" t="inlineStr">
        <is>
          <t>NO</t>
        </is>
      </c>
      <c r="F3" s="24" t="inlineStr">
        <is>
          <t>当前日期</t>
        </is>
      </c>
      <c r="G3" s="24" t="n"/>
      <c r="H3" s="24" t="n"/>
      <c r="I3" s="24" t="inlineStr"/>
      <c r="J3" s="24" t="inlineStr">
        <is>
          <t>2023/01/12</t>
        </is>
      </c>
    </row>
    <row r="4">
      <c r="B4" s="24" t="inlineStr">
        <is>
          <t>sys_calendar</t>
        </is>
      </c>
      <c r="C4" s="24" t="inlineStr">
        <is>
          <t>MWORKBEGINTIME</t>
        </is>
      </c>
      <c r="D4" s="24" t="inlineStr">
        <is>
          <t>datetime</t>
        </is>
      </c>
      <c r="E4" s="24" t="inlineStr">
        <is>
          <t>YES</t>
        </is>
      </c>
      <c r="F4" s="24" t="inlineStr">
        <is>
          <t>第一阶段工作开始时间</t>
        </is>
      </c>
      <c r="G4" s="24" t="n"/>
      <c r="H4" s="24" t="n"/>
      <c r="I4" s="24" t="inlineStr"/>
      <c r="J4" s="24" t="inlineStr">
        <is>
          <t>2023/01/12</t>
        </is>
      </c>
    </row>
    <row r="5">
      <c r="B5" s="24" t="inlineStr">
        <is>
          <t>sys_calendar</t>
        </is>
      </c>
      <c r="C5" s="24" t="inlineStr">
        <is>
          <t>MWORKENDTIME</t>
        </is>
      </c>
      <c r="D5" s="24" t="inlineStr">
        <is>
          <t>datetime</t>
        </is>
      </c>
      <c r="E5" s="24" t="inlineStr">
        <is>
          <t>YES</t>
        </is>
      </c>
      <c r="F5" s="24" t="inlineStr">
        <is>
          <t>第一阶段工作结束时间</t>
        </is>
      </c>
      <c r="G5" s="24" t="n"/>
      <c r="H5" s="24" t="n"/>
      <c r="I5" s="24" t="inlineStr"/>
      <c r="J5" s="24" t="inlineStr">
        <is>
          <t>2023/01/12</t>
        </is>
      </c>
    </row>
    <row r="6">
      <c r="B6" s="24" t="inlineStr">
        <is>
          <t>sys_calendar</t>
        </is>
      </c>
      <c r="C6" s="24" t="inlineStr">
        <is>
          <t>AWORKBEGINTIME</t>
        </is>
      </c>
      <c r="D6" s="24" t="inlineStr">
        <is>
          <t>datetime</t>
        </is>
      </c>
      <c r="E6" s="24" t="inlineStr">
        <is>
          <t>YES</t>
        </is>
      </c>
      <c r="F6" s="24" t="inlineStr">
        <is>
          <t>第二阶段工作开始时间</t>
        </is>
      </c>
      <c r="G6" s="24" t="n"/>
      <c r="H6" s="24" t="n"/>
      <c r="I6" s="24" t="inlineStr"/>
      <c r="J6" s="24" t="inlineStr">
        <is>
          <t>2023/01/12</t>
        </is>
      </c>
    </row>
    <row r="7">
      <c r="B7" s="24" t="inlineStr">
        <is>
          <t>sys_calendar</t>
        </is>
      </c>
      <c r="C7" s="24" t="inlineStr">
        <is>
          <t>AWORKENDTIME</t>
        </is>
      </c>
      <c r="D7" s="24" t="inlineStr">
        <is>
          <t>datetime</t>
        </is>
      </c>
      <c r="E7" s="24" t="inlineStr">
        <is>
          <t>YES</t>
        </is>
      </c>
      <c r="F7" s="24" t="inlineStr">
        <is>
          <t>第二阶段工作结束时间</t>
        </is>
      </c>
      <c r="G7" s="24" t="n"/>
      <c r="H7" s="24" t="n"/>
      <c r="I7" s="24" t="inlineStr"/>
      <c r="J7" s="24" t="inlineStr">
        <is>
          <t>2023/01/12</t>
        </is>
      </c>
    </row>
    <row r="8">
      <c r="B8" s="24" t="inlineStr">
        <is>
          <t>sys_calendar</t>
        </is>
      </c>
      <c r="C8" s="24" t="inlineStr">
        <is>
          <t>NWORKBEGINTIME</t>
        </is>
      </c>
      <c r="D8" s="24" t="inlineStr">
        <is>
          <t>datetime</t>
        </is>
      </c>
      <c r="E8" s="24" t="inlineStr">
        <is>
          <t>YES</t>
        </is>
      </c>
      <c r="F8" s="24" t="inlineStr">
        <is>
          <t>第三阶段工作开始时间</t>
        </is>
      </c>
      <c r="G8" s="24" t="n"/>
      <c r="H8" s="24" t="n"/>
      <c r="I8" s="24" t="inlineStr"/>
      <c r="J8" s="24" t="inlineStr">
        <is>
          <t>2023/01/12</t>
        </is>
      </c>
    </row>
    <row r="9">
      <c r="B9" s="24" t="inlineStr">
        <is>
          <t>sys_calendar</t>
        </is>
      </c>
      <c r="C9" s="24" t="inlineStr">
        <is>
          <t>NWORKENDTIME</t>
        </is>
      </c>
      <c r="D9" s="24" t="inlineStr">
        <is>
          <t>datetime</t>
        </is>
      </c>
      <c r="E9" s="24" t="inlineStr">
        <is>
          <t>YES</t>
        </is>
      </c>
      <c r="F9" s="24" t="inlineStr">
        <is>
          <t>第三阶段工作结束时间</t>
        </is>
      </c>
      <c r="G9" s="24" t="n"/>
      <c r="H9" s="24" t="n"/>
      <c r="I9" s="24" t="inlineStr"/>
      <c r="J9" s="24" t="inlineStr">
        <is>
          <t>2023/01/12</t>
        </is>
      </c>
    </row>
    <row r="10">
      <c r="B10" s="24" t="inlineStr">
        <is>
          <t>sys_calendar</t>
        </is>
      </c>
      <c r="C10" s="24" t="inlineStr">
        <is>
          <t>WORKFLAG</t>
        </is>
      </c>
      <c r="D10" s="24" t="inlineStr">
        <is>
          <t>varchar(18)</t>
        </is>
      </c>
      <c r="E10" s="24" t="inlineStr">
        <is>
          <t>YES</t>
        </is>
      </c>
      <c r="F10" s="24" t="inlineStr">
        <is>
          <t>是否工作日;大陆）</t>
        </is>
      </c>
      <c r="G10" s="24" t="n"/>
      <c r="H10" s="24" t="n"/>
      <c r="I10" s="24" t="inlineStr"/>
      <c r="J10" s="24" t="inlineStr">
        <is>
          <t>2023/01/12</t>
        </is>
      </c>
    </row>
    <row r="11">
      <c r="B11" s="24" t="inlineStr">
        <is>
          <t>sys_calendar</t>
        </is>
      </c>
      <c r="C11" s="24" t="inlineStr">
        <is>
          <t>CALENDARTYPE</t>
        </is>
      </c>
      <c r="D11" s="24" t="inlineStr">
        <is>
          <t>varchar(18)</t>
        </is>
      </c>
      <c r="E11" s="24" t="inlineStr">
        <is>
          <t>NO</t>
        </is>
      </c>
      <c r="F11" s="24" t="inlineStr">
        <is>
          <t>日历类型</t>
        </is>
      </c>
      <c r="G11" s="24" t="n"/>
      <c r="H11" s="24" t="n"/>
      <c r="I11" s="24" t="inlineStr"/>
      <c r="J11" s="24" t="inlineStr">
        <is>
          <t>2023/01/12</t>
        </is>
      </c>
    </row>
    <row r="12">
      <c r="B12" s="24" t="inlineStr">
        <is>
          <t>sys_calendar</t>
        </is>
      </c>
      <c r="C12" s="24" t="inlineStr">
        <is>
          <t>INPUTORGID</t>
        </is>
      </c>
      <c r="D12" s="24" t="inlineStr">
        <is>
          <t>varchar(32)</t>
        </is>
      </c>
      <c r="E12" s="24" t="inlineStr">
        <is>
          <t>YES</t>
        </is>
      </c>
      <c r="F12" s="24" t="inlineStr">
        <is>
          <t>登记机构</t>
        </is>
      </c>
      <c r="G12" s="24" t="n"/>
      <c r="H12" s="24" t="n"/>
      <c r="I12" s="24" t="inlineStr"/>
      <c r="J12" s="24" t="inlineStr">
        <is>
          <t>2023/01/12</t>
        </is>
      </c>
    </row>
    <row r="13">
      <c r="B13" s="24" t="inlineStr">
        <is>
          <t>sys_calendar</t>
        </is>
      </c>
      <c r="C13" s="24" t="inlineStr">
        <is>
          <t>INPUTUSERID</t>
        </is>
      </c>
      <c r="D13" s="24" t="inlineStr">
        <is>
          <t>varchar(32)</t>
        </is>
      </c>
      <c r="E13" s="24" t="inlineStr">
        <is>
          <t>YES</t>
        </is>
      </c>
      <c r="F13" s="24" t="inlineStr">
        <is>
          <t>登记人</t>
        </is>
      </c>
      <c r="G13" s="24" t="n"/>
      <c r="H13" s="24" t="n"/>
      <c r="I13" s="24" t="inlineStr"/>
      <c r="J13" s="24" t="inlineStr">
        <is>
          <t>2023/01/12</t>
        </is>
      </c>
    </row>
    <row r="14">
      <c r="B14" s="24" t="inlineStr">
        <is>
          <t>sys_calendar</t>
        </is>
      </c>
      <c r="C14" s="24" t="inlineStr">
        <is>
          <t>INPUTDATE</t>
        </is>
      </c>
      <c r="D14" s="24" t="inlineStr">
        <is>
          <t>datetime</t>
        </is>
      </c>
      <c r="E14" s="24" t="inlineStr">
        <is>
          <t>YES</t>
        </is>
      </c>
      <c r="F14" s="24" t="inlineStr">
        <is>
          <t>登记日期</t>
        </is>
      </c>
      <c r="G14" s="24" t="n"/>
      <c r="H14" s="24" t="n"/>
      <c r="I14" s="24" t="inlineStr"/>
      <c r="J14" s="24" t="inlineStr">
        <is>
          <t>2023/01/12</t>
        </is>
      </c>
    </row>
    <row r="15">
      <c r="B15" s="24" t="inlineStr">
        <is>
          <t>sys_calendar</t>
        </is>
      </c>
      <c r="C15" s="24" t="inlineStr">
        <is>
          <t>UPDATEORGID</t>
        </is>
      </c>
      <c r="D15" s="24" t="inlineStr">
        <is>
          <t>varchar(32)</t>
        </is>
      </c>
      <c r="E15" s="24" t="inlineStr">
        <is>
          <t>YES</t>
        </is>
      </c>
      <c r="F15" s="24" t="inlineStr">
        <is>
          <t>更新机构</t>
        </is>
      </c>
      <c r="G15" s="24" t="n"/>
      <c r="H15" s="24" t="n"/>
      <c r="I15" s="24" t="inlineStr"/>
      <c r="J15" s="24" t="inlineStr">
        <is>
          <t>2023/01/12</t>
        </is>
      </c>
    </row>
    <row r="16">
      <c r="B16" s="24" t="inlineStr">
        <is>
          <t>sys_calendar</t>
        </is>
      </c>
      <c r="C16" s="24" t="inlineStr">
        <is>
          <t>UPDATEUSERID</t>
        </is>
      </c>
      <c r="D16" s="24" t="inlineStr">
        <is>
          <t>varchar(32)</t>
        </is>
      </c>
      <c r="E16" s="24" t="inlineStr">
        <is>
          <t>YES</t>
        </is>
      </c>
      <c r="F16" s="24" t="inlineStr">
        <is>
          <t>更新人</t>
        </is>
      </c>
      <c r="G16" s="24" t="n"/>
      <c r="H16" s="24" t="n"/>
      <c r="I16" s="24" t="inlineStr"/>
      <c r="J16" s="24" t="inlineStr">
        <is>
          <t>2023/01/12</t>
        </is>
      </c>
    </row>
    <row r="17">
      <c r="B17" s="24" t="inlineStr">
        <is>
          <t>sys_calendar</t>
        </is>
      </c>
      <c r="C17" s="24" t="inlineStr">
        <is>
          <t>UPDATEDATE</t>
        </is>
      </c>
      <c r="D17" s="24" t="inlineStr">
        <is>
          <t>datetime</t>
        </is>
      </c>
      <c r="E17" s="24" t="inlineStr">
        <is>
          <t>YES</t>
        </is>
      </c>
      <c r="F17" s="24" t="inlineStr">
        <is>
          <t>更新日期</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169.xml><?xml version="1.0" encoding="utf-8"?>
<worksheet xmlns="http://schemas.openxmlformats.org/spreadsheetml/2006/main">
  <sheetPr>
    <outlinePr summaryBelow="1" summaryRight="1"/>
    <pageSetUpPr/>
  </sheetPr>
  <dimension ref="A1:J8"/>
  <sheetViews>
    <sheetView zoomScaleSheetLayoutView="60" workbookViewId="0">
      <selection activeCell="A1" sqref="A1"/>
    </sheetView>
  </sheetViews>
  <sheetFormatPr baseColWidth="8" defaultColWidth="9.142857142857141" defaultRowHeight="15.2" outlineLevelRow="7"/>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交易日期表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system_setup</t>
        </is>
      </c>
      <c r="C3" s="24" t="inlineStr">
        <is>
          <t>SYSTEMID</t>
        </is>
      </c>
      <c r="D3" s="24" t="inlineStr">
        <is>
          <t>varchar(18)</t>
        </is>
      </c>
      <c r="E3" s="24" t="inlineStr">
        <is>
          <t>NO</t>
        </is>
      </c>
      <c r="F3" s="24" t="inlineStr">
        <is>
          <t>系统ID</t>
        </is>
      </c>
      <c r="G3" s="24" t="n"/>
      <c r="H3" s="24" t="n"/>
      <c r="I3" s="24" t="inlineStr"/>
      <c r="J3" s="24" t="inlineStr">
        <is>
          <t>2023/01/12</t>
        </is>
      </c>
    </row>
    <row r="4">
      <c r="B4" s="24" t="inlineStr">
        <is>
          <t>system_setup</t>
        </is>
      </c>
      <c r="C4" s="24" t="inlineStr">
        <is>
          <t>BUSINESSDATE</t>
        </is>
      </c>
      <c r="D4" s="24" t="inlineStr">
        <is>
          <t>varchar(18)</t>
        </is>
      </c>
      <c r="E4" s="24" t="inlineStr">
        <is>
          <t>YES</t>
        </is>
      </c>
      <c r="F4" s="24" t="inlineStr">
        <is>
          <t>营业日期</t>
        </is>
      </c>
      <c r="G4" s="24" t="n"/>
      <c r="H4" s="24" t="n"/>
      <c r="I4" s="24" t="inlineStr"/>
      <c r="J4" s="24" t="inlineStr">
        <is>
          <t>2023/01/12</t>
        </is>
      </c>
    </row>
    <row r="5">
      <c r="B5" s="24" t="inlineStr">
        <is>
          <t>system_setup</t>
        </is>
      </c>
      <c r="C5" s="24" t="inlineStr">
        <is>
          <t>LOGIN</t>
        </is>
      </c>
      <c r="D5" s="24" t="inlineStr">
        <is>
          <t>varchar(6)</t>
        </is>
      </c>
      <c r="E5" s="24" t="inlineStr">
        <is>
          <t>YES</t>
        </is>
      </c>
      <c r="F5" s="24" t="inlineStr">
        <is>
          <t>是否控制登录</t>
        </is>
      </c>
      <c r="G5" s="24" t="n"/>
      <c r="H5" s="24" t="n"/>
      <c r="I5" s="24" t="inlineStr"/>
      <c r="J5" s="24" t="inlineStr">
        <is>
          <t>2023/01/12</t>
        </is>
      </c>
    </row>
    <row r="6">
      <c r="B6" s="24" t="inlineStr">
        <is>
          <t>system_setup</t>
        </is>
      </c>
      <c r="C6" s="24" t="inlineStr">
        <is>
          <t>BATCHFLAG</t>
        </is>
      </c>
      <c r="D6" s="24" t="inlineStr">
        <is>
          <t>varchar(6)</t>
        </is>
      </c>
      <c r="E6" s="24" t="inlineStr">
        <is>
          <t>YES</t>
        </is>
      </c>
      <c r="F6" s="24" t="inlineStr">
        <is>
          <t>批量日期</t>
        </is>
      </c>
      <c r="G6" s="24" t="n"/>
      <c r="H6" s="24" t="n"/>
      <c r="I6" s="24" t="inlineStr"/>
      <c r="J6" s="24" t="inlineStr">
        <is>
          <t>2023/01/12</t>
        </is>
      </c>
    </row>
    <row r="7">
      <c r="B7" s="24" t="inlineStr">
        <is>
          <t>system_setup</t>
        </is>
      </c>
      <c r="C7" s="24" t="inlineStr">
        <is>
          <t>PRODUCTDATE</t>
        </is>
      </c>
      <c r="D7" s="24" t="inlineStr">
        <is>
          <t>varchar(18)</t>
        </is>
      </c>
      <c r="E7" s="24" t="inlineStr">
        <is>
          <t>YES</t>
        </is>
      </c>
      <c r="F7" s="24" t="inlineStr">
        <is>
          <t>系统投产日期</t>
        </is>
      </c>
      <c r="G7" s="24" t="n"/>
      <c r="H7" s="24" t="n"/>
      <c r="I7" s="24" t="inlineStr"/>
      <c r="J7" s="24" t="inlineStr">
        <is>
          <t>2023/01/12</t>
        </is>
      </c>
    </row>
    <row r="8">
      <c r="B8" s="24" t="inlineStr">
        <is>
          <t>system_setup</t>
        </is>
      </c>
      <c r="C8" s="24" t="inlineStr">
        <is>
          <t>BATCHDATE</t>
        </is>
      </c>
      <c r="D8" s="24" t="inlineStr">
        <is>
          <t>varchar(18)</t>
        </is>
      </c>
      <c r="E8" s="24" t="inlineStr">
        <is>
          <t>YES</t>
        </is>
      </c>
      <c r="F8" s="24" t="inlineStr">
        <is>
          <t>日终状态</t>
        </is>
      </c>
      <c r="G8" s="24" t="n"/>
      <c r="H8" s="24" t="n"/>
      <c r="I8" s="24" t="inlineStr"/>
      <c r="J8" s="24" t="inlineStr">
        <is>
          <t>2023/01/12</t>
        </is>
      </c>
    </row>
  </sheetData>
  <pageMargins left="0.75" right="0.75" top="1" bottom="1" header="0.5" footer="0.5"/>
  <pageSetup orientation="portrait" paperSize="1" horizontalDpi="300" verticalDpi="300"/>
</worksheet>
</file>

<file path=xl/worksheets/sheet170.xml><?xml version="1.0" encoding="utf-8"?>
<worksheet xmlns="http://schemas.openxmlformats.org/spreadsheetml/2006/main">
  <sheetPr>
    <outlinePr summaryBelow="1" summaryRight="1"/>
    <pageSetUpPr/>
  </sheetPr>
  <dimension ref="A1:J12"/>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GCI 任务跑批历史表;任务跑批历史表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task_run_history</t>
        </is>
      </c>
      <c r="C3" s="24" t="inlineStr">
        <is>
          <t>SERIALNO</t>
        </is>
      </c>
      <c r="D3" s="24" t="inlineStr">
        <is>
          <t>varchar(32)</t>
        </is>
      </c>
      <c r="E3" s="24" t="inlineStr">
        <is>
          <t>NO</t>
        </is>
      </c>
      <c r="F3" s="24" t="inlineStr">
        <is>
          <t>主键;流水号</t>
        </is>
      </c>
      <c r="G3" s="24" t="n"/>
      <c r="H3" s="24" t="n"/>
      <c r="I3" s="24" t="inlineStr"/>
      <c r="J3" s="24" t="inlineStr">
        <is>
          <t>2023/01/12</t>
        </is>
      </c>
    </row>
    <row r="4">
      <c r="B4" s="24" t="inlineStr">
        <is>
          <t>task_run_history</t>
        </is>
      </c>
      <c r="C4" s="24" t="inlineStr">
        <is>
          <t>STATUSTYPE</t>
        </is>
      </c>
      <c r="D4" s="24" t="inlineStr">
        <is>
          <t>varchar(18)</t>
        </is>
      </c>
      <c r="E4" s="24" t="inlineStr">
        <is>
          <t>NO</t>
        </is>
      </c>
      <c r="F4" s="24" t="inlineStr">
        <is>
          <t>记录类型;标记task/unit</t>
        </is>
      </c>
      <c r="G4" s="24" t="n"/>
      <c r="H4" s="24" t="n"/>
      <c r="I4" s="24" t="inlineStr"/>
      <c r="J4" s="24" t="inlineStr">
        <is>
          <t>2023/01/12</t>
        </is>
      </c>
    </row>
    <row r="5">
      <c r="B5" s="24" t="inlineStr">
        <is>
          <t>task_run_history</t>
        </is>
      </c>
      <c r="C5" s="24" t="inlineStr">
        <is>
          <t>TASKNAME</t>
        </is>
      </c>
      <c r="D5" s="24" t="inlineStr">
        <is>
          <t>varchar(80)</t>
        </is>
      </c>
      <c r="E5" s="24" t="inlineStr">
        <is>
          <t>YES</t>
        </is>
      </c>
      <c r="F5" s="24" t="inlineStr">
        <is>
          <t>任务名称</t>
        </is>
      </c>
      <c r="G5" s="24" t="n"/>
      <c r="H5" s="24" t="n"/>
      <c r="I5" s="24" t="inlineStr"/>
      <c r="J5" s="24" t="inlineStr">
        <is>
          <t>2023/01/12</t>
        </is>
      </c>
    </row>
    <row r="6">
      <c r="B6" s="24" t="inlineStr">
        <is>
          <t>task_run_history</t>
        </is>
      </c>
      <c r="C6" s="24" t="inlineStr">
        <is>
          <t>TASKDESCRIBE</t>
        </is>
      </c>
      <c r="D6" s="24" t="inlineStr">
        <is>
          <t>varchar(500)</t>
        </is>
      </c>
      <c r="E6" s="24" t="inlineStr">
        <is>
          <t>YES</t>
        </is>
      </c>
      <c r="F6" s="24" t="inlineStr">
        <is>
          <t>任务描述</t>
        </is>
      </c>
      <c r="G6" s="24" t="n"/>
      <c r="H6" s="24" t="n"/>
      <c r="I6" s="24" t="inlineStr"/>
      <c r="J6" s="24" t="inlineStr">
        <is>
          <t>2023/01/12</t>
        </is>
      </c>
    </row>
    <row r="7">
      <c r="B7" s="24" t="inlineStr">
        <is>
          <t>task_run_history</t>
        </is>
      </c>
      <c r="C7" s="24" t="inlineStr">
        <is>
          <t>UNITNAME</t>
        </is>
      </c>
      <c r="D7" s="24" t="inlineStr">
        <is>
          <t>varchar(80)</t>
        </is>
      </c>
      <c r="E7" s="24" t="inlineStr">
        <is>
          <t>YES</t>
        </is>
      </c>
      <c r="F7" s="24" t="inlineStr">
        <is>
          <t>单元名称</t>
        </is>
      </c>
      <c r="G7" s="24" t="n"/>
      <c r="H7" s="24" t="n"/>
      <c r="I7" s="24" t="inlineStr"/>
      <c r="J7" s="24" t="inlineStr">
        <is>
          <t>2023/01/12</t>
        </is>
      </c>
    </row>
    <row r="8">
      <c r="B8" s="24" t="inlineStr">
        <is>
          <t>task_run_history</t>
        </is>
      </c>
      <c r="C8" s="24" t="inlineStr">
        <is>
          <t>UNITDESCRIBE</t>
        </is>
      </c>
      <c r="D8" s="24" t="inlineStr">
        <is>
          <t>varchar(500)</t>
        </is>
      </c>
      <c r="E8" s="24" t="inlineStr">
        <is>
          <t>YES</t>
        </is>
      </c>
      <c r="F8" s="24" t="inlineStr">
        <is>
          <t>单元描述</t>
        </is>
      </c>
      <c r="G8" s="24" t="n"/>
      <c r="H8" s="24" t="n"/>
      <c r="I8" s="24" t="inlineStr"/>
      <c r="J8" s="24" t="inlineStr">
        <is>
          <t>2023/01/12</t>
        </is>
      </c>
    </row>
    <row r="9">
      <c r="B9" s="24" t="inlineStr">
        <is>
          <t>task_run_history</t>
        </is>
      </c>
      <c r="C9" s="24" t="inlineStr">
        <is>
          <t>STATUS</t>
        </is>
      </c>
      <c r="D9" s="24" t="inlineStr">
        <is>
          <t>varchar(1)</t>
        </is>
      </c>
      <c r="E9" s="24" t="inlineStr">
        <is>
          <t>YES</t>
        </is>
      </c>
      <c r="F9" s="24" t="inlineStr">
        <is>
          <t>执行状态;0正在执行，1成功，2其他（失败、异常）</t>
        </is>
      </c>
      <c r="G9" s="24" t="n"/>
      <c r="H9" s="24" t="n"/>
      <c r="I9" s="24" t="inlineStr"/>
      <c r="J9" s="24" t="inlineStr">
        <is>
          <t>2023/01/12</t>
        </is>
      </c>
    </row>
    <row r="10">
      <c r="B10" s="24" t="inlineStr">
        <is>
          <t>task_run_history</t>
        </is>
      </c>
      <c r="C10" s="24" t="inlineStr">
        <is>
          <t>INPUTDATE</t>
        </is>
      </c>
      <c r="D10" s="24" t="inlineStr">
        <is>
          <t>datetime</t>
        </is>
      </c>
      <c r="E10" s="24" t="inlineStr">
        <is>
          <t>YES</t>
        </is>
      </c>
      <c r="F10" s="24" t="inlineStr">
        <is>
          <t>跑批日期</t>
        </is>
      </c>
      <c r="G10" s="24" t="n"/>
      <c r="H10" s="24" t="n"/>
      <c r="I10" s="24" t="inlineStr"/>
      <c r="J10" s="24" t="inlineStr">
        <is>
          <t>2023/01/12</t>
        </is>
      </c>
    </row>
    <row r="11">
      <c r="B11" s="24" t="inlineStr">
        <is>
          <t>task_run_history</t>
        </is>
      </c>
      <c r="C11" s="24" t="inlineStr">
        <is>
          <t>BEGINTIME</t>
        </is>
      </c>
      <c r="D11" s="24" t="inlineStr">
        <is>
          <t>datetime</t>
        </is>
      </c>
      <c r="E11" s="24" t="inlineStr">
        <is>
          <t>YES</t>
        </is>
      </c>
      <c r="F11" s="24" t="inlineStr">
        <is>
          <t>开始时间</t>
        </is>
      </c>
      <c r="G11" s="24" t="n"/>
      <c r="H11" s="24" t="n"/>
      <c r="I11" s="24" t="inlineStr"/>
      <c r="J11" s="24" t="inlineStr">
        <is>
          <t>2023/01/12</t>
        </is>
      </c>
    </row>
    <row r="12">
      <c r="B12" s="24" t="inlineStr">
        <is>
          <t>task_run_history</t>
        </is>
      </c>
      <c r="C12" s="24" t="inlineStr">
        <is>
          <t>ENDTIME</t>
        </is>
      </c>
      <c r="D12" s="24" t="inlineStr">
        <is>
          <t>datetime</t>
        </is>
      </c>
      <c r="E12" s="24" t="inlineStr">
        <is>
          <t>YES</t>
        </is>
      </c>
      <c r="F12" s="24" t="inlineStr">
        <is>
          <t>结束时间</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171.xml><?xml version="1.0" encoding="utf-8"?>
<worksheet xmlns="http://schemas.openxmlformats.org/spreadsheetml/2006/main">
  <sheetPr>
    <outlinePr summaryBelow="1" summaryRight="1"/>
    <pageSetUpPr/>
  </sheetPr>
  <dimension ref="A1:J7"/>
  <sheetViews>
    <sheetView zoomScaleSheetLayoutView="60" workbookViewId="0">
      <selection activeCell="A1" sqref="A1"/>
    </sheetView>
  </sheetViews>
  <sheetFormatPr baseColWidth="8" defaultColWidth="9.142857142857141" defaultRowHeight="15.2" outlineLevelRow="6"/>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GCI 任务交互控制表;任务交互控制表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task_run_interact</t>
        </is>
      </c>
      <c r="C3" s="24" t="inlineStr">
        <is>
          <t>SERIALNO</t>
        </is>
      </c>
      <c r="D3" s="24" t="inlineStr">
        <is>
          <t>varchar(128)</t>
        </is>
      </c>
      <c r="E3" s="24" t="inlineStr">
        <is>
          <t>NO</t>
        </is>
      </c>
      <c r="F3" s="24" t="inlineStr">
        <is>
          <t>主键;流水号</t>
        </is>
      </c>
      <c r="G3" s="24" t="n"/>
      <c r="H3" s="24" t="n"/>
      <c r="I3" s="24" t="inlineStr"/>
      <c r="J3" s="24" t="inlineStr">
        <is>
          <t>2023/01/12</t>
        </is>
      </c>
    </row>
    <row r="4">
      <c r="B4" s="24" t="inlineStr">
        <is>
          <t>task_run_interact</t>
        </is>
      </c>
      <c r="C4" s="24" t="inlineStr">
        <is>
          <t>TASKNAME</t>
        </is>
      </c>
      <c r="D4" s="24" t="inlineStr">
        <is>
          <t>varchar(80)</t>
        </is>
      </c>
      <c r="E4" s="24" t="inlineStr">
        <is>
          <t>NO</t>
        </is>
      </c>
      <c r="F4" s="24" t="inlineStr">
        <is>
          <t>任务名称</t>
        </is>
      </c>
      <c r="G4" s="24" t="n"/>
      <c r="H4" s="24" t="n"/>
      <c r="I4" s="24" t="inlineStr"/>
      <c r="J4" s="24" t="inlineStr">
        <is>
          <t>2023/01/12</t>
        </is>
      </c>
    </row>
    <row r="5">
      <c r="B5" s="24" t="inlineStr">
        <is>
          <t>task_run_interact</t>
        </is>
      </c>
      <c r="C5" s="24" t="inlineStr">
        <is>
          <t>UNITNAME</t>
        </is>
      </c>
      <c r="D5" s="24" t="inlineStr">
        <is>
          <t>varchar(80)</t>
        </is>
      </c>
      <c r="E5" s="24" t="inlineStr">
        <is>
          <t>YES</t>
        </is>
      </c>
      <c r="F5" s="24" t="inlineStr">
        <is>
          <t>单元名称</t>
        </is>
      </c>
      <c r="G5" s="24" t="n"/>
      <c r="H5" s="24" t="n"/>
      <c r="I5" s="24" t="inlineStr"/>
      <c r="J5" s="24" t="inlineStr">
        <is>
          <t>2023/01/12</t>
        </is>
      </c>
    </row>
    <row r="6">
      <c r="B6" s="24" t="inlineStr">
        <is>
          <t>task_run_interact</t>
        </is>
      </c>
      <c r="C6" s="24" t="inlineStr">
        <is>
          <t>INTERACTTYPE</t>
        </is>
      </c>
      <c r="D6" s="24" t="inlineStr">
        <is>
          <t>varchar(18)</t>
        </is>
      </c>
      <c r="E6" s="24" t="inlineStr">
        <is>
          <t>NO</t>
        </is>
      </c>
      <c r="F6" s="24" t="inlineStr">
        <is>
          <t>交互类型;break-停止hang-挂起</t>
        </is>
      </c>
      <c r="G6" s="24" t="n"/>
      <c r="H6" s="24" t="n"/>
      <c r="I6" s="24" t="inlineStr"/>
      <c r="J6" s="24" t="inlineStr">
        <is>
          <t>2023/01/12</t>
        </is>
      </c>
    </row>
    <row r="7">
      <c r="B7" s="24" t="inlineStr">
        <is>
          <t>task_run_interact</t>
        </is>
      </c>
      <c r="C7" s="24" t="inlineStr">
        <is>
          <t>ISINUSE</t>
        </is>
      </c>
      <c r="D7" s="24" t="inlineStr">
        <is>
          <t>varchar(1)</t>
        </is>
      </c>
      <c r="E7" s="24" t="inlineStr">
        <is>
          <t>YES</t>
        </is>
      </c>
      <c r="F7" s="24" t="inlineStr">
        <is>
          <t>是否有效</t>
        </is>
      </c>
      <c r="G7" s="24" t="n"/>
      <c r="H7" s="24" t="n"/>
      <c r="I7" s="24" t="inlineStr"/>
      <c r="J7" s="24" t="inlineStr">
        <is>
          <t>2023/01/12</t>
        </is>
      </c>
    </row>
  </sheetData>
  <pageMargins left="0.75" right="0.75" top="1" bottom="1" header="0.5" footer="0.5"/>
  <pageSetup orientation="portrait" paperSize="1" horizontalDpi="300" verticalDpi="300"/>
</worksheet>
</file>

<file path=xl/worksheets/sheet172.xml><?xml version="1.0" encoding="utf-8"?>
<worksheet xmlns="http://schemas.openxmlformats.org/spreadsheetml/2006/main">
  <sheetPr>
    <outlinePr summaryBelow="1" summaryRight="1"/>
    <pageSetUpPr/>
  </sheetPr>
  <dimension ref="A1:J12"/>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GCI 任务运行状态表;任务运行状态表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task_run_status</t>
        </is>
      </c>
      <c r="C3" s="24" t="inlineStr">
        <is>
          <t>SERIALNO</t>
        </is>
      </c>
      <c r="D3" s="24" t="inlineStr">
        <is>
          <t>varchar(128)</t>
        </is>
      </c>
      <c r="E3" s="24" t="inlineStr">
        <is>
          <t>NO</t>
        </is>
      </c>
      <c r="F3" s="24" t="inlineStr">
        <is>
          <t>主键;流水号</t>
        </is>
      </c>
      <c r="G3" s="24" t="n"/>
      <c r="H3" s="24" t="n"/>
      <c r="I3" s="24" t="inlineStr"/>
      <c r="J3" s="24" t="inlineStr">
        <is>
          <t>2023/01/12</t>
        </is>
      </c>
    </row>
    <row r="4">
      <c r="B4" s="24" t="inlineStr">
        <is>
          <t>task_run_status</t>
        </is>
      </c>
      <c r="C4" s="24" t="inlineStr">
        <is>
          <t>STATUSTYPE</t>
        </is>
      </c>
      <c r="D4" s="24" t="inlineStr">
        <is>
          <t>varchar(18)</t>
        </is>
      </c>
      <c r="E4" s="24" t="inlineStr">
        <is>
          <t>NO</t>
        </is>
      </c>
      <c r="F4" s="24" t="inlineStr">
        <is>
          <t>记录类型;标记task/unit</t>
        </is>
      </c>
      <c r="G4" s="24" t="n"/>
      <c r="H4" s="24" t="n"/>
      <c r="I4" s="24" t="inlineStr"/>
      <c r="J4" s="24" t="inlineStr">
        <is>
          <t>2023/01/12</t>
        </is>
      </c>
    </row>
    <row r="5">
      <c r="B5" s="24" t="inlineStr">
        <is>
          <t>task_run_status</t>
        </is>
      </c>
      <c r="C5" s="24" t="inlineStr">
        <is>
          <t>TASKNAME</t>
        </is>
      </c>
      <c r="D5" s="24" t="inlineStr">
        <is>
          <t>varchar(80)</t>
        </is>
      </c>
      <c r="E5" s="24" t="inlineStr">
        <is>
          <t>YES</t>
        </is>
      </c>
      <c r="F5" s="24" t="inlineStr">
        <is>
          <t>任务名称</t>
        </is>
      </c>
      <c r="G5" s="24" t="n"/>
      <c r="H5" s="24" t="n"/>
      <c r="I5" s="24" t="inlineStr"/>
      <c r="J5" s="24" t="inlineStr">
        <is>
          <t>2023/01/12</t>
        </is>
      </c>
    </row>
    <row r="6">
      <c r="B6" s="24" t="inlineStr">
        <is>
          <t>task_run_status</t>
        </is>
      </c>
      <c r="C6" s="24" t="inlineStr">
        <is>
          <t>TASKDESCRIBE</t>
        </is>
      </c>
      <c r="D6" s="24" t="inlineStr">
        <is>
          <t>varchar(500)</t>
        </is>
      </c>
      <c r="E6" s="24" t="inlineStr">
        <is>
          <t>YES</t>
        </is>
      </c>
      <c r="F6" s="24" t="inlineStr">
        <is>
          <t>任务描述</t>
        </is>
      </c>
      <c r="G6" s="24" t="n"/>
      <c r="H6" s="24" t="n"/>
      <c r="I6" s="24" t="inlineStr"/>
      <c r="J6" s="24" t="inlineStr">
        <is>
          <t>2023/01/12</t>
        </is>
      </c>
    </row>
    <row r="7">
      <c r="B7" s="24" t="inlineStr">
        <is>
          <t>task_run_status</t>
        </is>
      </c>
      <c r="C7" s="24" t="inlineStr">
        <is>
          <t>UNITNAME</t>
        </is>
      </c>
      <c r="D7" s="24" t="inlineStr">
        <is>
          <t>varchar(80)</t>
        </is>
      </c>
      <c r="E7" s="24" t="inlineStr">
        <is>
          <t>YES</t>
        </is>
      </c>
      <c r="F7" s="24" t="inlineStr">
        <is>
          <t>单元名称</t>
        </is>
      </c>
      <c r="G7" s="24" t="n"/>
      <c r="H7" s="24" t="n"/>
      <c r="I7" s="24" t="inlineStr"/>
      <c r="J7" s="24" t="inlineStr">
        <is>
          <t>2023/01/12</t>
        </is>
      </c>
    </row>
    <row r="8">
      <c r="B8" s="24" t="inlineStr">
        <is>
          <t>task_run_status</t>
        </is>
      </c>
      <c r="C8" s="24" t="inlineStr">
        <is>
          <t>UNITDESCRIBE</t>
        </is>
      </c>
      <c r="D8" s="24" t="inlineStr">
        <is>
          <t>varchar(500)</t>
        </is>
      </c>
      <c r="E8" s="24" t="inlineStr">
        <is>
          <t>YES</t>
        </is>
      </c>
      <c r="F8" s="24" t="inlineStr">
        <is>
          <t>单元描述</t>
        </is>
      </c>
      <c r="G8" s="24" t="n"/>
      <c r="H8" s="24" t="n"/>
      <c r="I8" s="24" t="inlineStr"/>
      <c r="J8" s="24" t="inlineStr">
        <is>
          <t>2023/01/12</t>
        </is>
      </c>
    </row>
    <row r="9">
      <c r="B9" s="24" t="inlineStr">
        <is>
          <t>task_run_status</t>
        </is>
      </c>
      <c r="C9" s="24" t="inlineStr">
        <is>
          <t>STATUS</t>
        </is>
      </c>
      <c r="D9" s="24" t="inlineStr">
        <is>
          <t>varchar(1)</t>
        </is>
      </c>
      <c r="E9" s="24" t="inlineStr">
        <is>
          <t>YES</t>
        </is>
      </c>
      <c r="F9" s="24" t="inlineStr">
        <is>
          <t>执行状态;0正在执行，1成功，2其他（失败、异常）</t>
        </is>
      </c>
      <c r="G9" s="24" t="n"/>
      <c r="H9" s="24" t="n"/>
      <c r="I9" s="24" t="inlineStr"/>
      <c r="J9" s="24" t="inlineStr">
        <is>
          <t>2023/01/12</t>
        </is>
      </c>
    </row>
    <row r="10">
      <c r="B10" s="24" t="inlineStr">
        <is>
          <t>task_run_status</t>
        </is>
      </c>
      <c r="C10" s="24" t="inlineStr">
        <is>
          <t>EXECUTESTATUS</t>
        </is>
      </c>
      <c r="D10" s="24" t="inlineStr">
        <is>
          <t>decimal(38,0)</t>
        </is>
      </c>
      <c r="E10" s="24" t="inlineStr">
        <is>
          <t>YES</t>
        </is>
      </c>
      <c r="F10" s="24" t="inlineStr">
        <is>
          <t>单元的实际执行结果</t>
        </is>
      </c>
      <c r="G10" s="24" t="n"/>
      <c r="H10" s="24" t="n"/>
      <c r="I10" s="24" t="inlineStr"/>
      <c r="J10" s="24" t="inlineStr">
        <is>
          <t>2023/01/12</t>
        </is>
      </c>
    </row>
    <row r="11">
      <c r="B11" s="24" t="inlineStr">
        <is>
          <t>task_run_status</t>
        </is>
      </c>
      <c r="C11" s="24" t="inlineStr">
        <is>
          <t>BEGINTIME</t>
        </is>
      </c>
      <c r="D11" s="24" t="inlineStr">
        <is>
          <t>datetime</t>
        </is>
      </c>
      <c r="E11" s="24" t="inlineStr">
        <is>
          <t>YES</t>
        </is>
      </c>
      <c r="F11" s="24" t="inlineStr">
        <is>
          <t>开始时间</t>
        </is>
      </c>
      <c r="G11" s="24" t="n"/>
      <c r="H11" s="24" t="n"/>
      <c r="I11" s="24" t="inlineStr"/>
      <c r="J11" s="24" t="inlineStr">
        <is>
          <t>2023/01/12</t>
        </is>
      </c>
    </row>
    <row r="12">
      <c r="B12" s="24" t="inlineStr">
        <is>
          <t>task_run_status</t>
        </is>
      </c>
      <c r="C12" s="24" t="inlineStr">
        <is>
          <t>ENDTIME</t>
        </is>
      </c>
      <c r="D12" s="24" t="inlineStr">
        <is>
          <t>datetime</t>
        </is>
      </c>
      <c r="E12" s="24" t="inlineStr">
        <is>
          <t>YES</t>
        </is>
      </c>
      <c r="F12" s="24" t="inlineStr">
        <is>
          <t>结束时间</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173.xml><?xml version="1.0" encoding="utf-8"?>
<worksheet xmlns="http://schemas.openxmlformats.org/spreadsheetml/2006/main">
  <sheetPr>
    <outlinePr summaryBelow="1" summaryRight="1"/>
    <pageSetUpPr/>
  </sheetPr>
  <dimension ref="A1:J11"/>
  <sheetViews>
    <sheetView zoomScaleSheetLayoutView="60" workbookViewId="0">
      <selection activeCell="D3" sqref="D3:D7"/>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用户自定义信息链接</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user_defineinfo</t>
        </is>
      </c>
      <c r="C3" s="24" t="inlineStr">
        <is>
          <t>USERID</t>
        </is>
      </c>
      <c r="D3" s="24" t="inlineStr">
        <is>
          <t>varchar(32)</t>
        </is>
      </c>
      <c r="E3" s="24" t="inlineStr">
        <is>
          <t>NO</t>
        </is>
      </c>
      <c r="F3" s="24" t="inlineStr">
        <is>
          <t>用户编号</t>
        </is>
      </c>
      <c r="G3" s="24" t="n"/>
      <c r="H3" s="24" t="n"/>
      <c r="I3" s="24" t="inlineStr"/>
      <c r="J3" s="24" t="inlineStr">
        <is>
          <t>2023/01/12</t>
        </is>
      </c>
    </row>
    <row r="4">
      <c r="B4" s="24" t="inlineStr">
        <is>
          <t>user_defineinfo</t>
        </is>
      </c>
      <c r="C4" s="24" t="inlineStr">
        <is>
          <t>OBJECTTYPE</t>
        </is>
      </c>
      <c r="D4" s="24" t="inlineStr">
        <is>
          <t>varchar(32)</t>
        </is>
      </c>
      <c r="E4" s="24" t="inlineStr">
        <is>
          <t>NO</t>
        </is>
      </c>
      <c r="F4" s="24" t="inlineStr">
        <is>
          <t>对象类型</t>
        </is>
      </c>
      <c r="G4" s="24" t="n"/>
      <c r="H4" s="24" t="n"/>
      <c r="I4" s="24" t="inlineStr"/>
      <c r="J4" s="24" t="inlineStr">
        <is>
          <t>2023/01/12</t>
        </is>
      </c>
    </row>
    <row r="5">
      <c r="B5" s="24" t="inlineStr">
        <is>
          <t>user_defineinfo</t>
        </is>
      </c>
      <c r="C5" s="24" t="inlineStr">
        <is>
          <t>OBJECTNO</t>
        </is>
      </c>
      <c r="D5" s="24" t="inlineStr">
        <is>
          <t>varchar(32)</t>
        </is>
      </c>
      <c r="E5" s="24" t="inlineStr">
        <is>
          <t>NO</t>
        </is>
      </c>
      <c r="F5" s="24" t="inlineStr">
        <is>
          <t>对象编号</t>
        </is>
      </c>
      <c r="G5" s="24" t="n"/>
      <c r="H5" s="24" t="n"/>
      <c r="I5" s="24" t="inlineStr"/>
      <c r="J5" s="24" t="inlineStr">
        <is>
          <t>2023/01/12</t>
        </is>
      </c>
    </row>
    <row r="6">
      <c r="B6" s="24" t="inlineStr">
        <is>
          <t>user_defineinfo</t>
        </is>
      </c>
      <c r="C6" s="24" t="inlineStr">
        <is>
          <t>INPUTORGID</t>
        </is>
      </c>
      <c r="D6" s="24" t="inlineStr">
        <is>
          <t>varchar(32)</t>
        </is>
      </c>
      <c r="E6" s="24" t="inlineStr">
        <is>
          <t>YES</t>
        </is>
      </c>
      <c r="F6" s="24" t="inlineStr">
        <is>
          <t>登记机构</t>
        </is>
      </c>
      <c r="G6" s="24" t="n"/>
      <c r="H6" s="24" t="n"/>
      <c r="I6" s="24" t="inlineStr"/>
      <c r="J6" s="24" t="inlineStr">
        <is>
          <t>2023/01/12</t>
        </is>
      </c>
    </row>
    <row r="7">
      <c r="B7" s="24" t="inlineStr">
        <is>
          <t>user_defineinfo</t>
        </is>
      </c>
      <c r="C7" s="24" t="inlineStr">
        <is>
          <t>INPUTUSERID</t>
        </is>
      </c>
      <c r="D7" s="24" t="inlineStr">
        <is>
          <t>varchar(32)</t>
        </is>
      </c>
      <c r="E7" s="24" t="inlineStr">
        <is>
          <t>YES</t>
        </is>
      </c>
      <c r="F7" s="24" t="inlineStr">
        <is>
          <t>登记人</t>
        </is>
      </c>
      <c r="G7" s="24" t="n"/>
      <c r="H7" s="24" t="n"/>
      <c r="I7" s="24" t="inlineStr"/>
      <c r="J7" s="24" t="inlineStr">
        <is>
          <t>2023/01/12</t>
        </is>
      </c>
    </row>
    <row r="8">
      <c r="B8" s="24" t="inlineStr">
        <is>
          <t>user_defineinfo</t>
        </is>
      </c>
      <c r="C8" s="24" t="inlineStr">
        <is>
          <t>INPUTDATE</t>
        </is>
      </c>
      <c r="D8" s="24" t="inlineStr">
        <is>
          <t>datetime</t>
        </is>
      </c>
      <c r="E8" s="24" t="inlineStr">
        <is>
          <t>YES</t>
        </is>
      </c>
      <c r="F8" s="24" t="inlineStr">
        <is>
          <t>登记日期</t>
        </is>
      </c>
      <c r="G8" s="24" t="n"/>
      <c r="H8" s="24" t="n"/>
      <c r="I8" s="24" t="inlineStr"/>
      <c r="J8" s="24" t="inlineStr">
        <is>
          <t>2023/01/12</t>
        </is>
      </c>
    </row>
    <row r="9">
      <c r="B9" s="24" t="inlineStr">
        <is>
          <t>user_defineinfo</t>
        </is>
      </c>
      <c r="C9" s="24" t="inlineStr">
        <is>
          <t>UPDATEORGID</t>
        </is>
      </c>
      <c r="D9" s="24" t="inlineStr">
        <is>
          <t>varchar(32)</t>
        </is>
      </c>
      <c r="E9" s="24" t="inlineStr">
        <is>
          <t>YES</t>
        </is>
      </c>
      <c r="F9" s="24" t="inlineStr">
        <is>
          <t>更新机构</t>
        </is>
      </c>
      <c r="G9" s="24" t="n"/>
      <c r="H9" s="24" t="n"/>
      <c r="I9" s="24" t="inlineStr"/>
      <c r="J9" s="24" t="inlineStr">
        <is>
          <t>2023/01/12</t>
        </is>
      </c>
    </row>
    <row r="10">
      <c r="B10" s="24" t="inlineStr">
        <is>
          <t>user_defineinfo</t>
        </is>
      </c>
      <c r="C10" s="24" t="inlineStr">
        <is>
          <t>UPDATEUSERID</t>
        </is>
      </c>
      <c r="D10" s="24" t="inlineStr">
        <is>
          <t>varchar(32)</t>
        </is>
      </c>
      <c r="E10" s="24" t="inlineStr">
        <is>
          <t>YES</t>
        </is>
      </c>
      <c r="F10" s="24" t="inlineStr">
        <is>
          <t>更新人</t>
        </is>
      </c>
      <c r="G10" s="24" t="n"/>
      <c r="H10" s="24" t="n"/>
      <c r="I10" s="24" t="inlineStr"/>
      <c r="J10" s="24" t="inlineStr">
        <is>
          <t>2023/01/12</t>
        </is>
      </c>
    </row>
    <row r="11">
      <c r="B11" s="24" t="inlineStr">
        <is>
          <t>user_defineinfo</t>
        </is>
      </c>
      <c r="C11" s="24" t="inlineStr">
        <is>
          <t>UPDATEDATE</t>
        </is>
      </c>
      <c r="D11" s="24" t="inlineStr">
        <is>
          <t>datetime</t>
        </is>
      </c>
      <c r="E11" s="24" t="inlineStr">
        <is>
          <t>YES</t>
        </is>
      </c>
      <c r="F11" s="24" t="inlineStr">
        <is>
          <t>更新日期</t>
        </is>
      </c>
      <c r="G11" s="24" t="n"/>
      <c r="H11" s="24" t="n"/>
      <c r="I11" s="24" t="inlineStr"/>
      <c r="J11" s="24" t="inlineStr">
        <is>
          <t>2023/01/12</t>
        </is>
      </c>
    </row>
  </sheetData>
  <pageMargins left="0.75" right="0.75" top="1" bottom="1" header="0.5" footer="0.5"/>
  <pageSetup orientation="portrait" paperSize="1" horizontalDpi="300" verticalDpi="300"/>
</worksheet>
</file>

<file path=xl/worksheets/sheet174.xml><?xml version="1.0" encoding="utf-8"?>
<worksheet xmlns="http://schemas.openxmlformats.org/spreadsheetml/2006/main">
  <sheetPr>
    <outlinePr summaryBelow="1" summaryRight="1"/>
    <pageSetUpPr/>
  </sheetPr>
  <dimension ref="A1:J17"/>
  <sheetViews>
    <sheetView zoomScaleSheetLayoutView="60" workbookViewId="0">
      <selection activeCell="F10" sqref="F10"/>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用户登录失败列表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user_failedlist</t>
        </is>
      </c>
      <c r="C3" s="24" t="inlineStr">
        <is>
          <t>LOGONTIME</t>
        </is>
      </c>
      <c r="D3" s="24" t="inlineStr">
        <is>
          <t>varchar(32)</t>
        </is>
      </c>
      <c r="E3" s="24" t="inlineStr">
        <is>
          <t>YES</t>
        </is>
      </c>
      <c r="F3" s="24" t="inlineStr">
        <is>
          <t>登陆失败时间</t>
        </is>
      </c>
      <c r="G3" s="24" t="n"/>
      <c r="H3" s="24" t="n"/>
      <c r="I3" s="24" t="inlineStr"/>
      <c r="J3" s="24" t="inlineStr">
        <is>
          <t>2023/01/12</t>
        </is>
      </c>
    </row>
    <row r="4">
      <c r="B4" s="24" t="inlineStr">
        <is>
          <t>user_failedlist</t>
        </is>
      </c>
      <c r="C4" s="24" t="inlineStr">
        <is>
          <t>USERID</t>
        </is>
      </c>
      <c r="D4" s="24" t="inlineStr">
        <is>
          <t>varchar(32)</t>
        </is>
      </c>
      <c r="E4" s="24" t="inlineStr">
        <is>
          <t>YES</t>
        </is>
      </c>
      <c r="F4" s="24" t="inlineStr">
        <is>
          <t>用户ID</t>
        </is>
      </c>
      <c r="G4" s="24" t="n"/>
      <c r="H4" s="24" t="n"/>
      <c r="I4" s="24" t="inlineStr"/>
      <c r="J4" s="24" t="inlineStr">
        <is>
          <t>2023/01/12</t>
        </is>
      </c>
    </row>
    <row r="5">
      <c r="B5" s="24" t="inlineStr">
        <is>
          <t>user_failedlist</t>
        </is>
      </c>
      <c r="C5" s="24" t="inlineStr">
        <is>
          <t>USERNAME</t>
        </is>
      </c>
      <c r="D5" s="24" t="inlineStr">
        <is>
          <t>varchar(32)</t>
        </is>
      </c>
      <c r="E5" s="24" t="inlineStr">
        <is>
          <t>YES</t>
        </is>
      </c>
      <c r="F5" s="24" t="inlineStr">
        <is>
          <t>用户名称</t>
        </is>
      </c>
      <c r="G5" s="24" t="n"/>
      <c r="H5" s="24" t="n"/>
      <c r="I5" s="24" t="inlineStr"/>
      <c r="J5" s="24" t="inlineStr">
        <is>
          <t>2023/01/12</t>
        </is>
      </c>
    </row>
    <row r="6">
      <c r="B6" s="24" t="inlineStr">
        <is>
          <t>user_failedlist</t>
        </is>
      </c>
      <c r="C6" s="24" t="inlineStr">
        <is>
          <t>REMOTEADDR</t>
        </is>
      </c>
      <c r="D6" s="24" t="inlineStr">
        <is>
          <t>varchar(32)</t>
        </is>
      </c>
      <c r="E6" s="24" t="inlineStr">
        <is>
          <t>YES</t>
        </is>
      </c>
      <c r="F6" s="24" t="inlineStr">
        <is>
          <t>登陆地址</t>
        </is>
      </c>
      <c r="G6" s="24" t="n"/>
      <c r="H6" s="24" t="n"/>
      <c r="I6" s="24" t="inlineStr"/>
      <c r="J6" s="24" t="inlineStr">
        <is>
          <t>2023/01/12</t>
        </is>
      </c>
    </row>
    <row r="7">
      <c r="B7" s="24" t="inlineStr">
        <is>
          <t>user_failedlist</t>
        </is>
      </c>
      <c r="C7" s="24" t="inlineStr">
        <is>
          <t>REMOTEHOST</t>
        </is>
      </c>
      <c r="D7" s="24" t="inlineStr">
        <is>
          <t>varchar(80)</t>
        </is>
      </c>
      <c r="E7" s="24" t="inlineStr">
        <is>
          <t>YES</t>
        </is>
      </c>
      <c r="F7" s="24" t="inlineStr">
        <is>
          <t>登陆主机</t>
        </is>
      </c>
      <c r="G7" s="24" t="n"/>
      <c r="H7" s="24" t="n"/>
      <c r="I7" s="24" t="inlineStr"/>
      <c r="J7" s="24" t="inlineStr">
        <is>
          <t>2023/01/12</t>
        </is>
      </c>
    </row>
    <row r="8">
      <c r="B8" s="24" t="inlineStr">
        <is>
          <t>user_failedlist</t>
        </is>
      </c>
      <c r="C8" s="24" t="inlineStr">
        <is>
          <t>SERVERNAME</t>
        </is>
      </c>
      <c r="D8" s="24" t="inlineStr">
        <is>
          <t>varchar(80)</t>
        </is>
      </c>
      <c r="E8" s="24" t="inlineStr">
        <is>
          <t>YES</t>
        </is>
      </c>
      <c r="F8" s="24" t="inlineStr">
        <is>
          <t>服务名称</t>
        </is>
      </c>
      <c r="G8" s="24" t="n"/>
      <c r="H8" s="24" t="n"/>
      <c r="I8" s="24" t="inlineStr"/>
      <c r="J8" s="24" t="inlineStr">
        <is>
          <t>2023/01/12</t>
        </is>
      </c>
    </row>
    <row r="9">
      <c r="B9" s="24" t="inlineStr">
        <is>
          <t>user_failedlist</t>
        </is>
      </c>
      <c r="C9" s="24" t="inlineStr">
        <is>
          <t>SERVERPORT</t>
        </is>
      </c>
      <c r="D9" s="24" t="inlineStr">
        <is>
          <t>varchar(18)</t>
        </is>
      </c>
      <c r="E9" s="24" t="inlineStr">
        <is>
          <t>YES</t>
        </is>
      </c>
      <c r="F9" s="24" t="inlineStr">
        <is>
          <t>服务端口</t>
        </is>
      </c>
      <c r="G9" s="24" t="n"/>
      <c r="H9" s="24" t="n"/>
      <c r="I9" s="24" t="inlineStr"/>
      <c r="J9" s="24" t="inlineStr">
        <is>
          <t>2023/01/12</t>
        </is>
      </c>
    </row>
    <row r="10">
      <c r="B10" s="24" t="inlineStr">
        <is>
          <t>user_failedlist</t>
        </is>
      </c>
      <c r="C10" s="24" t="inlineStr">
        <is>
          <t>listId</t>
        </is>
      </c>
      <c r="D10" s="24" t="inlineStr">
        <is>
          <t>varchar(32)</t>
        </is>
      </c>
      <c r="E10" s="24" t="inlineStr">
        <is>
          <t>NO</t>
        </is>
      </c>
      <c r="F10" s="24" t="inlineStr">
        <is>
          <t>编号</t>
        </is>
      </c>
      <c r="G10" s="24" t="n"/>
      <c r="H10" s="24" t="n"/>
      <c r="I10" s="24" t="inlineStr"/>
      <c r="J10" s="24" t="inlineStr">
        <is>
          <t>2023/01/12</t>
        </is>
      </c>
    </row>
    <row r="11">
      <c r="B11" s="24" t="inlineStr">
        <is>
          <t>user_failedlist</t>
        </is>
      </c>
      <c r="C11" s="24" t="inlineStr">
        <is>
          <t>ERRORMESSAGE</t>
        </is>
      </c>
      <c r="D11" s="24" t="inlineStr">
        <is>
          <t>varchar(500)</t>
        </is>
      </c>
      <c r="E11" s="24" t="inlineStr">
        <is>
          <t>YES</t>
        </is>
      </c>
      <c r="F11" s="24" t="inlineStr">
        <is>
          <t>错误提示信息</t>
        </is>
      </c>
      <c r="G11" s="24" t="n"/>
      <c r="H11" s="24" t="n"/>
      <c r="I11" s="24" t="inlineStr"/>
      <c r="J11" s="24" t="inlineStr">
        <is>
          <t>2023/01/12</t>
        </is>
      </c>
    </row>
    <row r="12">
      <c r="B12" s="24" t="inlineStr">
        <is>
          <t>user_failedlist</t>
        </is>
      </c>
      <c r="C12" s="24" t="inlineStr">
        <is>
          <t>INPUTORGID</t>
        </is>
      </c>
      <c r="D12" s="24" t="inlineStr">
        <is>
          <t>varchar(32)</t>
        </is>
      </c>
      <c r="E12" s="24" t="inlineStr">
        <is>
          <t>YES</t>
        </is>
      </c>
      <c r="F12" s="24" t="inlineStr">
        <is>
          <t>登记机构</t>
        </is>
      </c>
      <c r="G12" s="24" t="n"/>
      <c r="H12" s="24" t="n"/>
      <c r="I12" s="24" t="inlineStr"/>
      <c r="J12" s="24" t="inlineStr">
        <is>
          <t>2023/01/12</t>
        </is>
      </c>
    </row>
    <row r="13">
      <c r="B13" s="24" t="inlineStr">
        <is>
          <t>user_failedlist</t>
        </is>
      </c>
      <c r="C13" s="24" t="inlineStr">
        <is>
          <t>INPUTUSERID</t>
        </is>
      </c>
      <c r="D13" s="24" t="inlineStr">
        <is>
          <t>varchar(32)</t>
        </is>
      </c>
      <c r="E13" s="24" t="inlineStr">
        <is>
          <t>YES</t>
        </is>
      </c>
      <c r="F13" s="24" t="inlineStr">
        <is>
          <t>登记人</t>
        </is>
      </c>
      <c r="G13" s="24" t="n"/>
      <c r="H13" s="24" t="n"/>
      <c r="I13" s="24" t="inlineStr"/>
      <c r="J13" s="24" t="inlineStr">
        <is>
          <t>2023/01/12</t>
        </is>
      </c>
    </row>
    <row r="14">
      <c r="B14" s="24" t="inlineStr">
        <is>
          <t>user_failedlist</t>
        </is>
      </c>
      <c r="C14" s="24" t="inlineStr">
        <is>
          <t>INPUTDATE</t>
        </is>
      </c>
      <c r="D14" s="24" t="inlineStr">
        <is>
          <t>datetime</t>
        </is>
      </c>
      <c r="E14" s="24" t="inlineStr">
        <is>
          <t>YES</t>
        </is>
      </c>
      <c r="F14" s="24" t="inlineStr">
        <is>
          <t>登记日期</t>
        </is>
      </c>
      <c r="G14" s="24" t="n"/>
      <c r="H14" s="24" t="n"/>
      <c r="I14" s="24" t="inlineStr"/>
      <c r="J14" s="24" t="inlineStr">
        <is>
          <t>2023/01/12</t>
        </is>
      </c>
    </row>
    <row r="15">
      <c r="B15" s="24" t="inlineStr">
        <is>
          <t>user_failedlist</t>
        </is>
      </c>
      <c r="C15" s="24" t="inlineStr">
        <is>
          <t>UPDATEORGID</t>
        </is>
      </c>
      <c r="D15" s="24" t="inlineStr">
        <is>
          <t>varchar(32)</t>
        </is>
      </c>
      <c r="E15" s="24" t="inlineStr">
        <is>
          <t>YES</t>
        </is>
      </c>
      <c r="F15" s="24" t="inlineStr">
        <is>
          <t>更新机构</t>
        </is>
      </c>
      <c r="G15" s="24" t="n"/>
      <c r="H15" s="24" t="n"/>
      <c r="I15" s="24" t="inlineStr"/>
      <c r="J15" s="24" t="inlineStr">
        <is>
          <t>2023/01/12</t>
        </is>
      </c>
    </row>
    <row r="16">
      <c r="B16" s="24" t="inlineStr">
        <is>
          <t>user_failedlist</t>
        </is>
      </c>
      <c r="C16" s="24" t="inlineStr">
        <is>
          <t>UPDATEUSERID</t>
        </is>
      </c>
      <c r="D16" s="24" t="inlineStr">
        <is>
          <t>varchar(32)</t>
        </is>
      </c>
      <c r="E16" s="24" t="inlineStr">
        <is>
          <t>YES</t>
        </is>
      </c>
      <c r="F16" s="24" t="inlineStr">
        <is>
          <t>更新人</t>
        </is>
      </c>
      <c r="G16" s="24" t="n"/>
      <c r="H16" s="24" t="n"/>
      <c r="I16" s="24" t="inlineStr"/>
      <c r="J16" s="24" t="inlineStr">
        <is>
          <t>2023/01/12</t>
        </is>
      </c>
    </row>
    <row r="17">
      <c r="B17" s="24" t="inlineStr">
        <is>
          <t>user_failedlist</t>
        </is>
      </c>
      <c r="C17" s="24" t="inlineStr">
        <is>
          <t>UPDATEDATE</t>
        </is>
      </c>
      <c r="D17" s="24" t="inlineStr">
        <is>
          <t>datetime</t>
        </is>
      </c>
      <c r="E17" s="24" t="inlineStr">
        <is>
          <t>YES</t>
        </is>
      </c>
      <c r="F17" s="24" t="inlineStr">
        <is>
          <t>更新日期</t>
        </is>
      </c>
      <c r="G17" s="24" t="n"/>
      <c r="H17" s="24" t="n"/>
      <c r="I17" s="24" t="inlineStr"/>
      <c r="J17" s="24" t="inlineStr">
        <is>
          <t>2023/01/12</t>
        </is>
      </c>
    </row>
  </sheetData>
  <pageMargins left="0.75" right="0.75" top="1" bottom="1" header="0.5" footer="0.5"/>
  <pageSetup orientation="portrait" paperSize="1" horizontalDpi="300" verticalDpi="300"/>
</worksheet>
</file>

<file path=xl/worksheets/sheet175.xml><?xml version="1.0" encoding="utf-8"?>
<worksheet xmlns="http://schemas.openxmlformats.org/spreadsheetml/2006/main">
  <sheetPr>
    <outlinePr summaryBelow="1" summaryRight="1"/>
    <pageSetUpPr/>
  </sheetPr>
  <dimension ref="A1:J59"/>
  <sheetViews>
    <sheetView topLeftCell="A17" zoomScaleSheetLayoutView="60" workbookViewId="0">
      <selection activeCell="F56" sqref="F56"/>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用户基本信息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user_info</t>
        </is>
      </c>
      <c r="C3" s="24" t="inlineStr">
        <is>
          <t>USERID</t>
        </is>
      </c>
      <c r="D3" s="24" t="inlineStr">
        <is>
          <t>varchar(32)</t>
        </is>
      </c>
      <c r="E3" s="24" t="inlineStr">
        <is>
          <t>NO</t>
        </is>
      </c>
      <c r="F3" s="24" t="inlineStr">
        <is>
          <t>用户编号</t>
        </is>
      </c>
      <c r="G3" s="24" t="n"/>
      <c r="H3" s="24" t="n"/>
      <c r="I3" s="24" t="inlineStr"/>
      <c r="J3" s="24" t="inlineStr">
        <is>
          <t>2023/01/12</t>
        </is>
      </c>
    </row>
    <row r="4">
      <c r="B4" s="24" t="inlineStr">
        <is>
          <t>user_info</t>
        </is>
      </c>
      <c r="C4" s="24" t="inlineStr">
        <is>
          <t>LOGINID</t>
        </is>
      </c>
      <c r="D4" s="24" t="inlineStr">
        <is>
          <t>varchar(32)</t>
        </is>
      </c>
      <c r="E4" s="24" t="inlineStr">
        <is>
          <t>YES</t>
        </is>
      </c>
      <c r="F4" s="24" t="inlineStr">
        <is>
          <t>登录账号</t>
        </is>
      </c>
      <c r="G4" s="24" t="n"/>
      <c r="H4" s="24" t="n"/>
      <c r="I4" s="24" t="inlineStr"/>
      <c r="J4" s="24" t="inlineStr">
        <is>
          <t>2023/01/12</t>
        </is>
      </c>
    </row>
    <row r="5">
      <c r="B5" s="24" t="inlineStr">
        <is>
          <t>user_info</t>
        </is>
      </c>
      <c r="C5" s="24" t="inlineStr">
        <is>
          <t>USERNAME</t>
        </is>
      </c>
      <c r="D5" s="24" t="inlineStr">
        <is>
          <t>varchar(80)</t>
        </is>
      </c>
      <c r="E5" s="24" t="inlineStr">
        <is>
          <t>YES</t>
        </is>
      </c>
      <c r="F5" s="24" t="inlineStr">
        <is>
          <t>用户姓名</t>
        </is>
      </c>
      <c r="G5" s="24" t="n"/>
      <c r="H5" s="24" t="n"/>
      <c r="I5" s="24" t="inlineStr"/>
      <c r="J5" s="24" t="inlineStr">
        <is>
          <t>2023/01/12</t>
        </is>
      </c>
    </row>
    <row r="6">
      <c r="B6" s="24" t="inlineStr">
        <is>
          <t>user_info</t>
        </is>
      </c>
      <c r="C6" s="24" t="inlineStr">
        <is>
          <t>PASSWORD</t>
        </is>
      </c>
      <c r="D6" s="24" t="inlineStr">
        <is>
          <t>varchar(80)</t>
        </is>
      </c>
      <c r="E6" s="24" t="inlineStr">
        <is>
          <t>YES</t>
        </is>
      </c>
      <c r="F6" s="24" t="inlineStr">
        <is>
          <t>用户密码</t>
        </is>
      </c>
      <c r="G6" s="24" t="n"/>
      <c r="H6" s="24" t="n"/>
      <c r="I6" s="24" t="inlineStr"/>
      <c r="J6" s="24" t="inlineStr">
        <is>
          <t>2023/01/12</t>
        </is>
      </c>
    </row>
    <row r="7">
      <c r="B7" s="24" t="inlineStr">
        <is>
          <t>user_info</t>
        </is>
      </c>
      <c r="C7" s="24" t="inlineStr">
        <is>
          <t>BELONGORG</t>
        </is>
      </c>
      <c r="D7" s="24" t="inlineStr">
        <is>
          <t>varchar(32)</t>
        </is>
      </c>
      <c r="E7" s="24" t="inlineStr">
        <is>
          <t>YES</t>
        </is>
      </c>
      <c r="F7" s="24" t="inlineStr">
        <is>
          <t>所属机构</t>
        </is>
      </c>
      <c r="G7" s="24" t="n"/>
      <c r="H7" s="24" t="n"/>
      <c r="I7" s="24" t="inlineStr"/>
      <c r="J7" s="24" t="inlineStr">
        <is>
          <t>2023/01/12</t>
        </is>
      </c>
    </row>
    <row r="8">
      <c r="B8" s="24" t="inlineStr">
        <is>
          <t>user_info</t>
        </is>
      </c>
      <c r="C8" s="24" t="inlineStr">
        <is>
          <t>ATTRIBUTE1</t>
        </is>
      </c>
      <c r="D8" s="24" t="inlineStr">
        <is>
          <t>varchar(200)</t>
        </is>
      </c>
      <c r="E8" s="24" t="inlineStr">
        <is>
          <t>YES</t>
        </is>
      </c>
      <c r="F8" s="24" t="inlineStr">
        <is>
          <t>属性一</t>
        </is>
      </c>
      <c r="G8" s="24" t="n"/>
      <c r="H8" s="24" t="n"/>
      <c r="I8" s="24" t="inlineStr"/>
      <c r="J8" s="24" t="inlineStr">
        <is>
          <t>2023/01/12</t>
        </is>
      </c>
    </row>
    <row r="9">
      <c r="B9" s="24" t="inlineStr">
        <is>
          <t>user_info</t>
        </is>
      </c>
      <c r="C9" s="24" t="inlineStr">
        <is>
          <t>ATTRIBUTE2</t>
        </is>
      </c>
      <c r="D9" s="24" t="inlineStr">
        <is>
          <t>varchar(200)</t>
        </is>
      </c>
      <c r="E9" s="24" t="inlineStr">
        <is>
          <t>YES</t>
        </is>
      </c>
      <c r="F9" s="24" t="inlineStr">
        <is>
          <t>属性二</t>
        </is>
      </c>
      <c r="G9" s="24" t="n"/>
      <c r="H9" s="24" t="n"/>
      <c r="I9" s="24" t="inlineStr"/>
      <c r="J9" s="24" t="inlineStr">
        <is>
          <t>2023/01/12</t>
        </is>
      </c>
    </row>
    <row r="10">
      <c r="B10" s="24" t="inlineStr">
        <is>
          <t>user_info</t>
        </is>
      </c>
      <c r="C10" s="24" t="inlineStr">
        <is>
          <t>ATTRIBUTE3</t>
        </is>
      </c>
      <c r="D10" s="24" t="inlineStr">
        <is>
          <t>varchar(200)</t>
        </is>
      </c>
      <c r="E10" s="24" t="inlineStr">
        <is>
          <t>YES</t>
        </is>
      </c>
      <c r="F10" s="24" t="inlineStr">
        <is>
          <t>属性三</t>
        </is>
      </c>
      <c r="G10" s="24" t="n"/>
      <c r="H10" s="24" t="n"/>
      <c r="I10" s="24" t="inlineStr"/>
      <c r="J10" s="24" t="inlineStr">
        <is>
          <t>2023/01/12</t>
        </is>
      </c>
    </row>
    <row r="11">
      <c r="B11" s="24" t="inlineStr">
        <is>
          <t>user_info</t>
        </is>
      </c>
      <c r="C11" s="24" t="inlineStr">
        <is>
          <t>ATTRIBUTE4</t>
        </is>
      </c>
      <c r="D11" s="24" t="inlineStr">
        <is>
          <t>varchar(200)</t>
        </is>
      </c>
      <c r="E11" s="24" t="inlineStr">
        <is>
          <t>YES</t>
        </is>
      </c>
      <c r="F11" s="24" t="inlineStr">
        <is>
          <t>属性四</t>
        </is>
      </c>
      <c r="G11" s="24" t="n"/>
      <c r="H11" s="24" t="n"/>
      <c r="I11" s="24" t="inlineStr"/>
      <c r="J11" s="24" t="inlineStr">
        <is>
          <t>2023/01/12</t>
        </is>
      </c>
    </row>
    <row r="12">
      <c r="B12" s="24" t="inlineStr">
        <is>
          <t>user_info</t>
        </is>
      </c>
      <c r="C12" s="24" t="inlineStr">
        <is>
          <t>ATTRIBUTE5</t>
        </is>
      </c>
      <c r="D12" s="24" t="inlineStr">
        <is>
          <t>varchar(200)</t>
        </is>
      </c>
      <c r="E12" s="24" t="inlineStr">
        <is>
          <t>YES</t>
        </is>
      </c>
      <c r="F12" s="24" t="inlineStr">
        <is>
          <t>属性五</t>
        </is>
      </c>
      <c r="G12" s="24" t="n"/>
      <c r="H12" s="24" t="n"/>
      <c r="I12" s="24" t="inlineStr"/>
      <c r="J12" s="24" t="inlineStr">
        <is>
          <t>2023/01/12</t>
        </is>
      </c>
    </row>
    <row r="13">
      <c r="B13" s="24" t="inlineStr">
        <is>
          <t>user_info</t>
        </is>
      </c>
      <c r="C13" s="24" t="inlineStr">
        <is>
          <t>ATTRIBUTE6</t>
        </is>
      </c>
      <c r="D13" s="24" t="inlineStr">
        <is>
          <t>varchar(200)</t>
        </is>
      </c>
      <c r="E13" s="24" t="inlineStr">
        <is>
          <t>YES</t>
        </is>
      </c>
      <c r="F13" s="24" t="inlineStr">
        <is>
          <t>属性六</t>
        </is>
      </c>
      <c r="G13" s="24" t="n"/>
      <c r="H13" s="24" t="n"/>
      <c r="I13" s="24" t="inlineStr"/>
      <c r="J13" s="24" t="inlineStr">
        <is>
          <t>2023/01/12</t>
        </is>
      </c>
    </row>
    <row r="14">
      <c r="B14" s="24" t="inlineStr">
        <is>
          <t>user_info</t>
        </is>
      </c>
      <c r="C14" s="24" t="inlineStr">
        <is>
          <t>ATTRIBUTE7</t>
        </is>
      </c>
      <c r="D14" s="24" t="inlineStr">
        <is>
          <t>varchar(200)</t>
        </is>
      </c>
      <c r="E14" s="24" t="inlineStr">
        <is>
          <t>YES</t>
        </is>
      </c>
      <c r="F14" s="24" t="inlineStr">
        <is>
          <t>属性七</t>
        </is>
      </c>
      <c r="G14" s="24" t="n"/>
      <c r="H14" s="24" t="n"/>
      <c r="I14" s="24" t="inlineStr"/>
      <c r="J14" s="24" t="inlineStr">
        <is>
          <t>2023/01/12</t>
        </is>
      </c>
    </row>
    <row r="15">
      <c r="B15" s="24" t="inlineStr">
        <is>
          <t>user_info</t>
        </is>
      </c>
      <c r="C15" s="24" t="inlineStr">
        <is>
          <t>ATTRIBUTE8</t>
        </is>
      </c>
      <c r="D15" s="24" t="inlineStr">
        <is>
          <t>varchar(200)</t>
        </is>
      </c>
      <c r="E15" s="24" t="inlineStr">
        <is>
          <t>YES</t>
        </is>
      </c>
      <c r="F15" s="24" t="inlineStr">
        <is>
          <t>属性八</t>
        </is>
      </c>
      <c r="G15" s="24" t="n"/>
      <c r="H15" s="24" t="n"/>
      <c r="I15" s="24" t="inlineStr"/>
      <c r="J15" s="24" t="inlineStr">
        <is>
          <t>2023/01/12</t>
        </is>
      </c>
    </row>
    <row r="16">
      <c r="B16" s="24" t="inlineStr">
        <is>
          <t>user_info</t>
        </is>
      </c>
      <c r="C16" s="24" t="inlineStr">
        <is>
          <t>ATTRIBUTE</t>
        </is>
      </c>
      <c r="D16" s="24" t="inlineStr">
        <is>
          <t>varchar(200)</t>
        </is>
      </c>
      <c r="E16" s="24" t="inlineStr">
        <is>
          <t>YES</t>
        </is>
      </c>
      <c r="F16" s="24" t="inlineStr">
        <is>
          <t>属性集</t>
        </is>
      </c>
      <c r="G16" s="24" t="n"/>
      <c r="H16" s="24" t="n"/>
      <c r="I16" s="24" t="inlineStr"/>
      <c r="J16" s="24" t="inlineStr">
        <is>
          <t>2023/01/12</t>
        </is>
      </c>
    </row>
    <row r="17">
      <c r="B17" s="24" t="inlineStr">
        <is>
          <t>user_info</t>
        </is>
      </c>
      <c r="C17" s="24" t="inlineStr">
        <is>
          <t>DESCRIBE1</t>
        </is>
      </c>
      <c r="D17" s="24" t="inlineStr">
        <is>
          <t>varchar(500)</t>
        </is>
      </c>
      <c r="E17" s="24" t="inlineStr">
        <is>
          <t>YES</t>
        </is>
      </c>
      <c r="F17" s="24" t="inlineStr">
        <is>
          <t>描述一</t>
        </is>
      </c>
      <c r="G17" s="24" t="n"/>
      <c r="H17" s="24" t="n"/>
      <c r="I17" s="24" t="inlineStr"/>
      <c r="J17" s="24" t="inlineStr">
        <is>
          <t>2023/01/12</t>
        </is>
      </c>
    </row>
    <row r="18">
      <c r="B18" s="24" t="inlineStr">
        <is>
          <t>user_info</t>
        </is>
      </c>
      <c r="C18" s="24" t="inlineStr">
        <is>
          <t>DESCRIBE2</t>
        </is>
      </c>
      <c r="D18" s="24" t="inlineStr">
        <is>
          <t>varchar(500)</t>
        </is>
      </c>
      <c r="E18" s="24" t="inlineStr">
        <is>
          <t>YES</t>
        </is>
      </c>
      <c r="F18" s="24" t="inlineStr">
        <is>
          <t>描述二</t>
        </is>
      </c>
      <c r="G18" s="24" t="n"/>
      <c r="H18" s="24" t="n"/>
      <c r="I18" s="24" t="inlineStr"/>
      <c r="J18" s="24" t="inlineStr">
        <is>
          <t>2023/01/12</t>
        </is>
      </c>
    </row>
    <row r="19">
      <c r="B19" s="24" t="inlineStr">
        <is>
          <t>user_info</t>
        </is>
      </c>
      <c r="C19" s="24" t="inlineStr">
        <is>
          <t>DESCRIBE3</t>
        </is>
      </c>
      <c r="D19" s="24" t="inlineStr">
        <is>
          <t>varchar(500)</t>
        </is>
      </c>
      <c r="E19" s="24" t="inlineStr">
        <is>
          <t>YES</t>
        </is>
      </c>
      <c r="F19" s="24" t="inlineStr">
        <is>
          <t>描述三</t>
        </is>
      </c>
      <c r="G19" s="24" t="n"/>
      <c r="H19" s="24" t="n"/>
      <c r="I19" s="24" t="inlineStr"/>
      <c r="J19" s="24" t="inlineStr">
        <is>
          <t>2023/01/12</t>
        </is>
      </c>
    </row>
    <row r="20">
      <c r="B20" s="24" t="inlineStr">
        <is>
          <t>user_info</t>
        </is>
      </c>
      <c r="C20" s="24" t="inlineStr">
        <is>
          <t>DESCRIBE4</t>
        </is>
      </c>
      <c r="D20" s="24" t="inlineStr">
        <is>
          <t>varchar(500)</t>
        </is>
      </c>
      <c r="E20" s="24" t="inlineStr">
        <is>
          <t>YES</t>
        </is>
      </c>
      <c r="F20" s="24" t="inlineStr">
        <is>
          <t>描述四</t>
        </is>
      </c>
      <c r="G20" s="24" t="n"/>
      <c r="H20" s="24" t="n"/>
      <c r="I20" s="24" t="inlineStr"/>
      <c r="J20" s="24" t="inlineStr">
        <is>
          <t>2023/01/12</t>
        </is>
      </c>
    </row>
    <row r="21">
      <c r="B21" s="24" t="inlineStr">
        <is>
          <t>user_info</t>
        </is>
      </c>
      <c r="C21" s="24" t="inlineStr">
        <is>
          <t>STATUS</t>
        </is>
      </c>
      <c r="D21" s="24" t="inlineStr">
        <is>
          <t>varchar(6)</t>
        </is>
      </c>
      <c r="E21" s="24" t="inlineStr">
        <is>
          <t>YES</t>
        </is>
      </c>
      <c r="F21" s="24" t="inlineStr">
        <is>
          <t>状态</t>
        </is>
      </c>
      <c r="G21" s="52">
        <f>HYPERLINK("#码值映射清单!B1110","IsInUse")</f>
        <v/>
      </c>
      <c r="H21" s="24" t="n"/>
      <c r="I21" s="24" t="inlineStr"/>
      <c r="J21" s="24" t="inlineStr">
        <is>
          <t>2023/01/12</t>
        </is>
      </c>
    </row>
    <row r="22">
      <c r="B22" s="24" t="inlineStr">
        <is>
          <t>user_info</t>
        </is>
      </c>
      <c r="C22" s="24" t="inlineStr">
        <is>
          <t>CERTTYPE</t>
        </is>
      </c>
      <c r="D22" s="24" t="inlineStr">
        <is>
          <t>varchar(80)</t>
        </is>
      </c>
      <c r="E22" s="24" t="inlineStr">
        <is>
          <t>YES</t>
        </is>
      </c>
      <c r="F22" s="24" t="inlineStr">
        <is>
          <t>证件类型</t>
        </is>
      </c>
      <c r="G22" s="52">
        <f>HYPERLINK("#码值映射清单!B8893","IndCertType")</f>
        <v/>
      </c>
      <c r="H22" s="24" t="n"/>
      <c r="I22" s="24" t="inlineStr"/>
      <c r="J22" s="24" t="inlineStr">
        <is>
          <t>2023/01/12</t>
        </is>
      </c>
    </row>
    <row r="23">
      <c r="B23" s="24" t="inlineStr">
        <is>
          <t>user_info</t>
        </is>
      </c>
      <c r="C23" s="24" t="inlineStr">
        <is>
          <t>CERTID</t>
        </is>
      </c>
      <c r="D23" s="24" t="inlineStr">
        <is>
          <t>varchar(32)</t>
        </is>
      </c>
      <c r="E23" s="24" t="inlineStr">
        <is>
          <t>YES</t>
        </is>
      </c>
      <c r="F23" s="24" t="inlineStr">
        <is>
          <t>用户身份证号</t>
        </is>
      </c>
      <c r="G23" s="24" t="n"/>
      <c r="H23" s="24" t="n"/>
      <c r="I23" s="24" t="inlineStr"/>
      <c r="J23" s="24" t="inlineStr">
        <is>
          <t>2023/01/12</t>
        </is>
      </c>
    </row>
    <row r="24">
      <c r="B24" s="24" t="inlineStr">
        <is>
          <t>user_info</t>
        </is>
      </c>
      <c r="C24" s="24" t="inlineStr">
        <is>
          <t>COMPANYTEL</t>
        </is>
      </c>
      <c r="D24" s="24" t="inlineStr">
        <is>
          <t>varchar(32)</t>
        </is>
      </c>
      <c r="E24" s="24" t="inlineStr">
        <is>
          <t>YES</t>
        </is>
      </c>
      <c r="F24" s="24" t="inlineStr">
        <is>
          <t>单位电话</t>
        </is>
      </c>
      <c r="G24" s="24" t="n"/>
      <c r="H24" s="24" t="n"/>
      <c r="I24" s="24" t="inlineStr"/>
      <c r="J24" s="24" t="inlineStr">
        <is>
          <t>2023/01/12</t>
        </is>
      </c>
    </row>
    <row r="25">
      <c r="B25" s="24" t="inlineStr">
        <is>
          <t>user_info</t>
        </is>
      </c>
      <c r="C25" s="24" t="inlineStr">
        <is>
          <t>MOBILETEL</t>
        </is>
      </c>
      <c r="D25" s="24" t="inlineStr">
        <is>
          <t>varchar(32)</t>
        </is>
      </c>
      <c r="E25" s="24" t="inlineStr">
        <is>
          <t>YES</t>
        </is>
      </c>
      <c r="F25" s="24" t="inlineStr">
        <is>
          <t>手机号码</t>
        </is>
      </c>
      <c r="G25" s="24" t="n"/>
      <c r="H25" s="24" t="n"/>
      <c r="I25" s="24" t="inlineStr"/>
      <c r="J25" s="24" t="inlineStr">
        <is>
          <t>2023/01/12</t>
        </is>
      </c>
    </row>
    <row r="26">
      <c r="B26" s="24" t="inlineStr">
        <is>
          <t>user_info</t>
        </is>
      </c>
      <c r="C26" s="24" t="inlineStr">
        <is>
          <t>EMAIL</t>
        </is>
      </c>
      <c r="D26" s="24" t="inlineStr">
        <is>
          <t>varchar(200)</t>
        </is>
      </c>
      <c r="E26" s="24" t="inlineStr">
        <is>
          <t>YES</t>
        </is>
      </c>
      <c r="F26" s="24" t="inlineStr">
        <is>
          <t>电子邮件</t>
        </is>
      </c>
      <c r="G26" s="24" t="n"/>
      <c r="H26" s="24" t="n"/>
      <c r="I26" s="24" t="inlineStr"/>
      <c r="J26" s="24" t="inlineStr">
        <is>
          <t>2023/01/12</t>
        </is>
      </c>
    </row>
    <row r="27">
      <c r="B27" s="24" t="inlineStr">
        <is>
          <t>user_info</t>
        </is>
      </c>
      <c r="C27" s="24" t="inlineStr">
        <is>
          <t>ACCOUNTID</t>
        </is>
      </c>
      <c r="D27" s="24" t="inlineStr">
        <is>
          <t>varchar(32)</t>
        </is>
      </c>
      <c r="E27" s="24" t="inlineStr">
        <is>
          <t>YES</t>
        </is>
      </c>
      <c r="F27" s="24" t="inlineStr">
        <is>
          <t>个贷系统编号</t>
        </is>
      </c>
      <c r="G27" s="24" t="n"/>
      <c r="H27" s="24" t="n"/>
      <c r="I27" s="24" t="inlineStr"/>
      <c r="J27" s="24" t="inlineStr">
        <is>
          <t>2023/01/12</t>
        </is>
      </c>
    </row>
    <row r="28">
      <c r="B28" s="24" t="inlineStr">
        <is>
          <t>user_info</t>
        </is>
      </c>
      <c r="C28" s="24" t="inlineStr">
        <is>
          <t>ID1</t>
        </is>
      </c>
      <c r="D28" s="24" t="inlineStr">
        <is>
          <t>varchar(32)</t>
        </is>
      </c>
      <c r="E28" s="24" t="inlineStr">
        <is>
          <t>YES</t>
        </is>
      </c>
      <c r="F28" s="24" t="inlineStr">
        <is>
          <t>编号1</t>
        </is>
      </c>
      <c r="G28" s="24" t="n"/>
      <c r="H28" s="24" t="n"/>
      <c r="I28" s="24" t="inlineStr"/>
      <c r="J28" s="24" t="inlineStr">
        <is>
          <t>2023/01/12</t>
        </is>
      </c>
    </row>
    <row r="29">
      <c r="B29" s="24" t="inlineStr">
        <is>
          <t>user_info</t>
        </is>
      </c>
      <c r="C29" s="24" t="inlineStr">
        <is>
          <t>ID2</t>
        </is>
      </c>
      <c r="D29" s="24" t="inlineStr">
        <is>
          <t>varchar(32)</t>
        </is>
      </c>
      <c r="E29" s="24" t="inlineStr">
        <is>
          <t>YES</t>
        </is>
      </c>
      <c r="F29" s="24" t="inlineStr">
        <is>
          <t>编号2</t>
        </is>
      </c>
      <c r="G29" s="24" t="n"/>
      <c r="H29" s="24" t="n"/>
      <c r="I29" s="24" t="inlineStr"/>
      <c r="J29" s="24" t="inlineStr">
        <is>
          <t>2023/01/12</t>
        </is>
      </c>
    </row>
    <row r="30">
      <c r="B30" s="24" t="inlineStr">
        <is>
          <t>user_info</t>
        </is>
      </c>
      <c r="C30" s="24" t="inlineStr">
        <is>
          <t>SUM1</t>
        </is>
      </c>
      <c r="D30" s="24" t="inlineStr">
        <is>
          <t>decimal(24,6)</t>
        </is>
      </c>
      <c r="E30" s="24" t="inlineStr">
        <is>
          <t>YES</t>
        </is>
      </c>
      <c r="F30" s="24" t="inlineStr">
        <is>
          <t>相关金额1</t>
        </is>
      </c>
      <c r="G30" s="24" t="n"/>
      <c r="H30" s="24" t="n"/>
      <c r="I30" s="24" t="inlineStr"/>
      <c r="J30" s="24" t="inlineStr">
        <is>
          <t>2023/01/12</t>
        </is>
      </c>
    </row>
    <row r="31">
      <c r="B31" s="24" t="inlineStr">
        <is>
          <t>user_info</t>
        </is>
      </c>
      <c r="C31" s="24" t="inlineStr">
        <is>
          <t>SUM2</t>
        </is>
      </c>
      <c r="D31" s="24" t="inlineStr">
        <is>
          <t>decimal(24,6)</t>
        </is>
      </c>
      <c r="E31" s="24" t="inlineStr">
        <is>
          <t>YES</t>
        </is>
      </c>
      <c r="F31" s="24" t="inlineStr">
        <is>
          <t>相关金额2</t>
        </is>
      </c>
      <c r="G31" s="24" t="n"/>
      <c r="H31" s="24" t="n"/>
      <c r="I31" s="24" t="inlineStr"/>
      <c r="J31" s="24" t="inlineStr">
        <is>
          <t>2023/01/12</t>
        </is>
      </c>
    </row>
    <row r="32">
      <c r="B32" s="24" t="inlineStr">
        <is>
          <t>user_info</t>
        </is>
      </c>
      <c r="C32" s="24" t="inlineStr">
        <is>
          <t>INPUTTIME</t>
        </is>
      </c>
      <c r="D32" s="24" t="inlineStr">
        <is>
          <t>varchar(32)</t>
        </is>
      </c>
      <c r="E32" s="24" t="inlineStr">
        <is>
          <t>YES</t>
        </is>
      </c>
      <c r="F32" s="24" t="inlineStr">
        <is>
          <t>登记时间</t>
        </is>
      </c>
      <c r="G32" s="24" t="n"/>
      <c r="H32" s="24" t="n"/>
      <c r="I32" s="24" t="inlineStr"/>
      <c r="J32" s="24" t="inlineStr">
        <is>
          <t>2023/01/12</t>
        </is>
      </c>
    </row>
    <row r="33">
      <c r="B33" s="24" t="inlineStr">
        <is>
          <t>user_info</t>
        </is>
      </c>
      <c r="C33" s="24" t="inlineStr">
        <is>
          <t>UPDATETIME</t>
        </is>
      </c>
      <c r="D33" s="24" t="inlineStr">
        <is>
          <t>varchar(32)</t>
        </is>
      </c>
      <c r="E33" s="24" t="inlineStr">
        <is>
          <t>YES</t>
        </is>
      </c>
      <c r="F33" s="24" t="inlineStr">
        <is>
          <t>更新时间</t>
        </is>
      </c>
      <c r="G33" s="24" t="n"/>
      <c r="H33" s="24" t="n"/>
      <c r="I33" s="24" t="inlineStr"/>
      <c r="J33" s="24" t="inlineStr">
        <is>
          <t>2023/01/12</t>
        </is>
      </c>
    </row>
    <row r="34">
      <c r="B34" s="24" t="inlineStr">
        <is>
          <t>user_info</t>
        </is>
      </c>
      <c r="C34" s="24" t="inlineStr">
        <is>
          <t>REMARK</t>
        </is>
      </c>
      <c r="D34" s="24" t="inlineStr">
        <is>
          <t>varchar(500)</t>
        </is>
      </c>
      <c r="E34" s="24" t="inlineStr">
        <is>
          <t>YES</t>
        </is>
      </c>
      <c r="F34" s="24" t="inlineStr">
        <is>
          <t>备注</t>
        </is>
      </c>
      <c r="G34" s="24" t="n"/>
      <c r="H34" s="24" t="n"/>
      <c r="I34" s="24" t="inlineStr"/>
      <c r="J34" s="24" t="inlineStr">
        <is>
          <t>2023/01/12</t>
        </is>
      </c>
    </row>
    <row r="35">
      <c r="B35" s="24" t="inlineStr">
        <is>
          <t>user_info</t>
        </is>
      </c>
      <c r="C35" s="24" t="inlineStr">
        <is>
          <t>BIRTHDAY</t>
        </is>
      </c>
      <c r="D35" s="24" t="inlineStr">
        <is>
          <t>varchar(18)</t>
        </is>
      </c>
      <c r="E35" s="24" t="inlineStr">
        <is>
          <t>YES</t>
        </is>
      </c>
      <c r="F35" s="24" t="inlineStr">
        <is>
          <t>生日</t>
        </is>
      </c>
      <c r="G35" s="24" t="n"/>
      <c r="H35" s="24" t="n"/>
      <c r="I35" s="24" t="inlineStr"/>
      <c r="J35" s="24" t="inlineStr">
        <is>
          <t>2023/01/12</t>
        </is>
      </c>
    </row>
    <row r="36">
      <c r="B36" s="24" t="inlineStr">
        <is>
          <t>user_info</t>
        </is>
      </c>
      <c r="C36" s="24" t="inlineStr">
        <is>
          <t>GENDER</t>
        </is>
      </c>
      <c r="D36" s="24" t="inlineStr">
        <is>
          <t>varchar(18)</t>
        </is>
      </c>
      <c r="E36" s="24" t="inlineStr">
        <is>
          <t>YES</t>
        </is>
      </c>
      <c r="F36" s="24" t="inlineStr">
        <is>
          <t>性别</t>
        </is>
      </c>
      <c r="G36" s="52">
        <f>HYPERLINK("#码值映射清单!B5469","Sex")</f>
        <v/>
      </c>
      <c r="H36" s="24" t="n"/>
      <c r="I36" s="24" t="inlineStr"/>
      <c r="J36" s="24" t="inlineStr">
        <is>
          <t>2023/01/12</t>
        </is>
      </c>
    </row>
    <row r="37">
      <c r="B37" s="24" t="inlineStr">
        <is>
          <t>user_info</t>
        </is>
      </c>
      <c r="C37" s="24" t="inlineStr">
        <is>
          <t>FAMILYADD</t>
        </is>
      </c>
      <c r="D37" s="24" t="inlineStr">
        <is>
          <t>varchar(500)</t>
        </is>
      </c>
      <c r="E37" s="24" t="inlineStr">
        <is>
          <t>YES</t>
        </is>
      </c>
      <c r="F37" s="24" t="inlineStr">
        <is>
          <t>家庭住址</t>
        </is>
      </c>
      <c r="G37" s="24" t="n"/>
      <c r="H37" s="24" t="n"/>
      <c r="I37" s="24" t="inlineStr"/>
      <c r="J37" s="24" t="inlineStr">
        <is>
          <t>2023/01/12</t>
        </is>
      </c>
    </row>
    <row r="38">
      <c r="B38" s="24" t="inlineStr">
        <is>
          <t>user_info</t>
        </is>
      </c>
      <c r="C38" s="24" t="inlineStr">
        <is>
          <t>EDUCATIONALBG</t>
        </is>
      </c>
      <c r="D38" s="24" t="inlineStr">
        <is>
          <t>varchar(18)</t>
        </is>
      </c>
      <c r="E38" s="24" t="inlineStr">
        <is>
          <t>YES</t>
        </is>
      </c>
      <c r="F38" s="24" t="inlineStr">
        <is>
          <t>学历</t>
        </is>
      </c>
      <c r="G38" s="52">
        <f>HYPERLINK("#码值映射清单!B310","EducationExperience")</f>
        <v/>
      </c>
      <c r="H38" s="24" t="n"/>
      <c r="I38" s="24" t="inlineStr"/>
      <c r="J38" s="24" t="inlineStr">
        <is>
          <t>2023/01/12</t>
        </is>
      </c>
    </row>
    <row r="39">
      <c r="B39" s="24" t="inlineStr">
        <is>
          <t>user_info</t>
        </is>
      </c>
      <c r="C39" s="24" t="inlineStr">
        <is>
          <t>AMLEVEL</t>
        </is>
      </c>
      <c r="D39" s="24" t="inlineStr">
        <is>
          <t>varchar(18)</t>
        </is>
      </c>
      <c r="E39" s="24" t="inlineStr">
        <is>
          <t>YES</t>
        </is>
      </c>
      <c r="F39" s="24" t="inlineStr">
        <is>
          <t>客户经理级别</t>
        </is>
      </c>
      <c r="G39" s="24" t="n"/>
      <c r="H39" s="24" t="n"/>
      <c r="I39" s="24" t="inlineStr"/>
      <c r="J39" s="24" t="inlineStr">
        <is>
          <t>2023/01/12</t>
        </is>
      </c>
    </row>
    <row r="40">
      <c r="B40" s="24" t="inlineStr">
        <is>
          <t>user_info</t>
        </is>
      </c>
      <c r="C40" s="24" t="inlineStr">
        <is>
          <t>TITLE</t>
        </is>
      </c>
      <c r="D40" s="24" t="inlineStr">
        <is>
          <t>varchar(18)</t>
        </is>
      </c>
      <c r="E40" s="24" t="inlineStr">
        <is>
          <t>YES</t>
        </is>
      </c>
      <c r="F40" s="24" t="inlineStr">
        <is>
          <t>行内职务</t>
        </is>
      </c>
      <c r="G40" s="24" t="n"/>
      <c r="H40" s="24" t="n"/>
      <c r="I40" s="24" t="inlineStr"/>
      <c r="J40" s="24" t="inlineStr">
        <is>
          <t>2023/01/12</t>
        </is>
      </c>
    </row>
    <row r="41">
      <c r="B41" s="24" t="inlineStr">
        <is>
          <t>user_info</t>
        </is>
      </c>
      <c r="C41" s="24" t="inlineStr">
        <is>
          <t>POSITION</t>
        </is>
      </c>
      <c r="D41" s="24" t="inlineStr">
        <is>
          <t>varchar(500)</t>
        </is>
      </c>
      <c r="E41" s="24" t="inlineStr">
        <is>
          <t>YES</t>
        </is>
      </c>
      <c r="F41" s="24" t="inlineStr">
        <is>
          <t>职称</t>
        </is>
      </c>
      <c r="G41" s="24" t="n"/>
      <c r="H41" s="24" t="n"/>
      <c r="I41" s="24" t="inlineStr"/>
      <c r="J41" s="24" t="inlineStr">
        <is>
          <t>2023/01/12</t>
        </is>
      </c>
    </row>
    <row r="42">
      <c r="B42" s="24" t="inlineStr">
        <is>
          <t>user_info</t>
        </is>
      </c>
      <c r="C42" s="24" t="inlineStr">
        <is>
          <t>QUALIFICATION</t>
        </is>
      </c>
      <c r="D42" s="24" t="inlineStr">
        <is>
          <t>varchar(500)</t>
        </is>
      </c>
      <c r="E42" s="24" t="inlineStr">
        <is>
          <t>YES</t>
        </is>
      </c>
      <c r="F42" s="24" t="inlineStr">
        <is>
          <t>任职资格</t>
        </is>
      </c>
      <c r="G42" s="24" t="n"/>
      <c r="H42" s="24" t="n"/>
      <c r="I42" s="24" t="inlineStr"/>
      <c r="J42" s="24" t="inlineStr">
        <is>
          <t>2023/01/12</t>
        </is>
      </c>
    </row>
    <row r="43">
      <c r="B43" s="24" t="inlineStr">
        <is>
          <t>user_info</t>
        </is>
      </c>
      <c r="C43" s="24" t="inlineStr">
        <is>
          <t>NTID</t>
        </is>
      </c>
      <c r="D43" s="24" t="inlineStr">
        <is>
          <t>varchar(32)</t>
        </is>
      </c>
      <c r="E43" s="24" t="inlineStr">
        <is>
          <t>YES</t>
        </is>
      </c>
      <c r="F43" s="24" t="inlineStr">
        <is>
          <t>NTID</t>
        </is>
      </c>
      <c r="G43" s="24" t="n"/>
      <c r="H43" s="24" t="n"/>
      <c r="I43" s="24" t="inlineStr"/>
      <c r="J43" s="24" t="inlineStr">
        <is>
          <t>2023/01/12</t>
        </is>
      </c>
    </row>
    <row r="44">
      <c r="B44" s="24" t="inlineStr">
        <is>
          <t>user_info</t>
        </is>
      </c>
      <c r="C44" s="24" t="inlineStr">
        <is>
          <t>BELONGTEAM</t>
        </is>
      </c>
      <c r="D44" s="24" t="inlineStr">
        <is>
          <t>varchar(32)</t>
        </is>
      </c>
      <c r="E44" s="24" t="inlineStr">
        <is>
          <t>YES</t>
        </is>
      </c>
      <c r="F44" s="24" t="inlineStr">
        <is>
          <t>所属团队</t>
        </is>
      </c>
      <c r="G44" s="24" t="n"/>
      <c r="H44" s="24" t="n"/>
      <c r="I44" s="24" t="inlineStr"/>
      <c r="J44" s="24" t="inlineStr">
        <is>
          <t>2023/01/12</t>
        </is>
      </c>
    </row>
    <row r="45">
      <c r="B45" s="24" t="inlineStr">
        <is>
          <t>user_info</t>
        </is>
      </c>
      <c r="C45" s="24" t="inlineStr">
        <is>
          <t>LOB</t>
        </is>
      </c>
      <c r="D45" s="24" t="inlineStr">
        <is>
          <t>varchar(32)</t>
        </is>
      </c>
      <c r="E45" s="24" t="inlineStr">
        <is>
          <t>YES</t>
        </is>
      </c>
      <c r="F45" s="24" t="inlineStr">
        <is>
          <t>业务条线</t>
        </is>
      </c>
      <c r="G45" s="24" t="n"/>
      <c r="H45" s="24" t="n"/>
      <c r="I45" s="24" t="inlineStr"/>
      <c r="J45" s="24" t="inlineStr">
        <is>
          <t>2023/01/12</t>
        </is>
      </c>
    </row>
    <row r="46">
      <c r="B46" s="24" t="inlineStr">
        <is>
          <t>user_info</t>
        </is>
      </c>
      <c r="C46" s="24" t="inlineStr">
        <is>
          <t>SKINPATH</t>
        </is>
      </c>
      <c r="D46" s="24" t="inlineStr">
        <is>
          <t>varchar(500)</t>
        </is>
      </c>
      <c r="E46" s="24" t="inlineStr">
        <is>
          <t>YES</t>
        </is>
      </c>
      <c r="F46" s="24" t="inlineStr">
        <is>
          <t>皮肤路径</t>
        </is>
      </c>
      <c r="G46" s="24" t="n"/>
      <c r="H46" s="24" t="n"/>
      <c r="I46" s="24" t="inlineStr"/>
      <c r="J46" s="24" t="inlineStr">
        <is>
          <t>2023/01/12</t>
        </is>
      </c>
    </row>
    <row r="47">
      <c r="B47" s="24" t="inlineStr">
        <is>
          <t>user_info</t>
        </is>
      </c>
      <c r="C47" s="24" t="inlineStr">
        <is>
          <t>LANGUAGE</t>
        </is>
      </c>
      <c r="D47" s="24" t="inlineStr">
        <is>
          <t>varchar(32)</t>
        </is>
      </c>
      <c r="E47" s="24" t="inlineStr">
        <is>
          <t>YES</t>
        </is>
      </c>
      <c r="F47" s="24" t="inlineStr">
        <is>
          <t>语言</t>
        </is>
      </c>
      <c r="G47" s="24" t="n"/>
      <c r="H47" s="24" t="n"/>
      <c r="I47" s="24" t="inlineStr"/>
      <c r="J47" s="24" t="inlineStr">
        <is>
          <t>2023/01/12</t>
        </is>
      </c>
    </row>
    <row r="48">
      <c r="B48" s="24" t="inlineStr">
        <is>
          <t>user_info</t>
        </is>
      </c>
      <c r="C48" s="24" t="inlineStr">
        <is>
          <t>INPUTORGID</t>
        </is>
      </c>
      <c r="D48" s="24" t="inlineStr">
        <is>
          <t>varchar(32)</t>
        </is>
      </c>
      <c r="E48" s="24" t="inlineStr">
        <is>
          <t>YES</t>
        </is>
      </c>
      <c r="F48" s="24" t="inlineStr">
        <is>
          <t>登记机构</t>
        </is>
      </c>
      <c r="G48" s="24" t="n"/>
      <c r="H48" s="24" t="n"/>
      <c r="I48" s="24" t="inlineStr"/>
      <c r="J48" s="24" t="inlineStr">
        <is>
          <t>2023/01/12</t>
        </is>
      </c>
    </row>
    <row r="49">
      <c r="B49" s="24" t="inlineStr">
        <is>
          <t>user_info</t>
        </is>
      </c>
      <c r="C49" s="24" t="inlineStr">
        <is>
          <t>INPUTUSERID</t>
        </is>
      </c>
      <c r="D49" s="24" t="inlineStr">
        <is>
          <t>varchar(32)</t>
        </is>
      </c>
      <c r="E49" s="24" t="inlineStr">
        <is>
          <t>YES</t>
        </is>
      </c>
      <c r="F49" s="24" t="inlineStr">
        <is>
          <t>登记人</t>
        </is>
      </c>
      <c r="G49" s="24" t="n"/>
      <c r="H49" s="24" t="n"/>
      <c r="I49" s="24" t="inlineStr"/>
      <c r="J49" s="24" t="inlineStr">
        <is>
          <t>2023/01/12</t>
        </is>
      </c>
    </row>
    <row r="50">
      <c r="B50" s="24" t="inlineStr">
        <is>
          <t>user_info</t>
        </is>
      </c>
      <c r="C50" s="24" t="inlineStr">
        <is>
          <t>UPDATEORGID</t>
        </is>
      </c>
      <c r="D50" s="24" t="inlineStr">
        <is>
          <t>varchar(32)</t>
        </is>
      </c>
      <c r="E50" s="24" t="inlineStr">
        <is>
          <t>YES</t>
        </is>
      </c>
      <c r="F50" s="24" t="inlineStr">
        <is>
          <t>更新机构</t>
        </is>
      </c>
      <c r="G50" s="24" t="n"/>
      <c r="H50" s="24" t="n"/>
      <c r="I50" s="24" t="inlineStr"/>
      <c r="J50" s="24" t="inlineStr">
        <is>
          <t>2023/01/12</t>
        </is>
      </c>
    </row>
    <row r="51">
      <c r="B51" s="24" t="inlineStr">
        <is>
          <t>user_info</t>
        </is>
      </c>
      <c r="C51" s="24" t="inlineStr">
        <is>
          <t>UPDATEUSERID</t>
        </is>
      </c>
      <c r="D51" s="24" t="inlineStr">
        <is>
          <t>varchar(32)</t>
        </is>
      </c>
      <c r="E51" s="24" t="inlineStr">
        <is>
          <t>YES</t>
        </is>
      </c>
      <c r="F51" s="24" t="inlineStr">
        <is>
          <t>更新人</t>
        </is>
      </c>
      <c r="G51" s="24" t="n"/>
      <c r="H51" s="24" t="n"/>
      <c r="I51" s="24" t="inlineStr"/>
      <c r="J51" s="24" t="inlineStr">
        <is>
          <t>2023/01/12</t>
        </is>
      </c>
    </row>
    <row r="52">
      <c r="B52" s="24" t="inlineStr">
        <is>
          <t>user_info</t>
        </is>
      </c>
      <c r="C52" s="24" t="inlineStr">
        <is>
          <t>UPDATEUSER</t>
        </is>
      </c>
      <c r="D52" s="24" t="inlineStr">
        <is>
          <t>varchar(80)</t>
        </is>
      </c>
      <c r="E52" s="24" t="inlineStr">
        <is>
          <t>YES</t>
        </is>
      </c>
      <c r="F52" s="53" t="inlineStr">
        <is>
          <t>更新人</t>
        </is>
      </c>
      <c r="G52" s="24" t="n"/>
      <c r="H52" s="24" t="n"/>
      <c r="I52" s="24" t="inlineStr"/>
      <c r="J52" s="24" t="inlineStr">
        <is>
          <t>2023/01/12</t>
        </is>
      </c>
    </row>
    <row r="53">
      <c r="B53" s="24" t="inlineStr">
        <is>
          <t>user_info</t>
        </is>
      </c>
      <c r="C53" s="24" t="inlineStr">
        <is>
          <t>INPUTUSER</t>
        </is>
      </c>
      <c r="D53" s="24" t="inlineStr">
        <is>
          <t>varchar(80)</t>
        </is>
      </c>
      <c r="E53" s="24" t="inlineStr">
        <is>
          <t>YES</t>
        </is>
      </c>
      <c r="F53" s="53" t="inlineStr">
        <is>
          <t>录入人</t>
        </is>
      </c>
      <c r="G53" s="24" t="n"/>
      <c r="H53" s="24" t="n"/>
      <c r="I53" s="24" t="inlineStr"/>
      <c r="J53" s="24" t="inlineStr">
        <is>
          <t>2023/01/12</t>
        </is>
      </c>
    </row>
    <row r="54">
      <c r="B54" s="24" t="inlineStr">
        <is>
          <t>user_info</t>
        </is>
      </c>
      <c r="C54" s="24" t="inlineStr">
        <is>
          <t>INPUTORG</t>
        </is>
      </c>
      <c r="D54" s="24" t="inlineStr">
        <is>
          <t>varchar(80)</t>
        </is>
      </c>
      <c r="E54" s="24" t="inlineStr">
        <is>
          <t>YES</t>
        </is>
      </c>
      <c r="F54" s="53" t="inlineStr">
        <is>
          <t>录入机构</t>
        </is>
      </c>
      <c r="G54" s="24" t="n"/>
      <c r="H54" s="24" t="n"/>
      <c r="I54" s="24" t="inlineStr"/>
      <c r="J54" s="24" t="inlineStr">
        <is>
          <t>2023/01/12</t>
        </is>
      </c>
    </row>
    <row r="55">
      <c r="B55" s="24" t="inlineStr">
        <is>
          <t>user_info</t>
        </is>
      </c>
      <c r="C55" s="24" t="inlineStr">
        <is>
          <t>INPUTDATE</t>
        </is>
      </c>
      <c r="D55" s="24" t="inlineStr">
        <is>
          <t>varchar(32)</t>
        </is>
      </c>
      <c r="E55" s="24" t="inlineStr">
        <is>
          <t>YES</t>
        </is>
      </c>
      <c r="F55" s="53" t="inlineStr">
        <is>
          <t>录入日期</t>
        </is>
      </c>
      <c r="G55" s="24" t="n"/>
      <c r="H55" s="24" t="n"/>
      <c r="I55" s="24" t="inlineStr"/>
      <c r="J55" s="24" t="inlineStr">
        <is>
          <t>2023/01/12</t>
        </is>
      </c>
    </row>
    <row r="56">
      <c r="B56" s="24" t="inlineStr">
        <is>
          <t>user_info</t>
        </is>
      </c>
      <c r="C56" s="24" t="inlineStr">
        <is>
          <t>UPDATEDATE</t>
        </is>
      </c>
      <c r="D56" s="24" t="inlineStr">
        <is>
          <t>varchar(32)</t>
        </is>
      </c>
      <c r="E56" s="24" t="inlineStr">
        <is>
          <t>YES</t>
        </is>
      </c>
      <c r="F56" s="53" t="inlineStr">
        <is>
          <t>更新日期</t>
        </is>
      </c>
      <c r="G56" s="24" t="n"/>
      <c r="H56" s="24" t="n"/>
      <c r="I56" s="24" t="inlineStr"/>
      <c r="J56" s="24" t="inlineStr">
        <is>
          <t>2023/01/12</t>
        </is>
      </c>
    </row>
    <row r="57">
      <c r="B57" s="24" t="inlineStr">
        <is>
          <t>user_info</t>
        </is>
      </c>
      <c r="C57" s="24" t="inlineStr">
        <is>
          <t>WORKBENCH</t>
        </is>
      </c>
      <c r="D57" s="24" t="inlineStr">
        <is>
          <t>varchar(32)</t>
        </is>
      </c>
      <c r="E57" s="24" t="inlineStr">
        <is>
          <t>YES</t>
        </is>
      </c>
      <c r="F57" s="24" t="inlineStr">
        <is>
          <t>工作台类型</t>
        </is>
      </c>
      <c r="G57" s="55">
        <f>HYPERLINK("#码值映射清单!B13691","WorkBench")</f>
        <v/>
      </c>
      <c r="H57" s="24" t="n"/>
      <c r="I57" s="24" t="inlineStr"/>
      <c r="J57" s="24" t="inlineStr">
        <is>
          <t>2023/01/12</t>
        </is>
      </c>
    </row>
    <row r="58">
      <c r="B58" s="24" t="inlineStr">
        <is>
          <t>user_info</t>
        </is>
      </c>
      <c r="C58" s="24" t="inlineStr">
        <is>
          <t>VOCATIONEXP</t>
        </is>
      </c>
      <c r="D58" s="24" t="inlineStr">
        <is>
          <t>varchar(1000)</t>
        </is>
      </c>
      <c r="E58" s="24" t="inlineStr">
        <is>
          <t>YES</t>
        </is>
      </c>
      <c r="F58" s="24" t="inlineStr">
        <is>
          <t>工作经历</t>
        </is>
      </c>
      <c r="G58" s="24" t="n"/>
      <c r="H58" s="24" t="n"/>
      <c r="I58" s="24" t="inlineStr"/>
      <c r="J58" s="24" t="inlineStr">
        <is>
          <t>2023/01/12</t>
        </is>
      </c>
    </row>
    <row r="59">
      <c r="B59" s="24" t="inlineStr">
        <is>
          <t>user_info</t>
        </is>
      </c>
      <c r="C59" s="24" t="inlineStr">
        <is>
          <t>EDUCATIONEXP</t>
        </is>
      </c>
      <c r="D59" s="24" t="inlineStr">
        <is>
          <t>varchar(1000)</t>
        </is>
      </c>
      <c r="E59" s="24" t="inlineStr">
        <is>
          <t>YES</t>
        </is>
      </c>
      <c r="F59" s="24" t="inlineStr">
        <is>
          <t>教育经历</t>
        </is>
      </c>
      <c r="G59" s="24" t="n"/>
      <c r="H59" s="24" t="n"/>
      <c r="I59" s="24" t="inlineStr"/>
      <c r="J59" s="24" t="inlineStr">
        <is>
          <t>2023/01/12</t>
        </is>
      </c>
    </row>
  </sheetData>
  <pageMargins left="0.75" right="0.75" top="1" bottom="1" header="0.5" footer="0.5"/>
  <pageSetup orientation="portrait" paperSize="1" horizontalDpi="300" verticalDpi="300"/>
</worksheet>
</file>

<file path=xl/worksheets/sheet176.xml><?xml version="1.0" encoding="utf-8"?>
<worksheet xmlns="http://schemas.openxmlformats.org/spreadsheetml/2006/main">
  <sheetPr>
    <outlinePr summaryBelow="1" summaryRight="1"/>
    <pageSetUpPr/>
  </sheetPr>
  <dimension ref="A1:J20"/>
  <sheetViews>
    <sheetView zoomScaleSheetLayoutView="60" workbookViewId="0">
      <selection activeCell="F30" sqref="F30"/>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用户登录表;用户登录列表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user_list</t>
        </is>
      </c>
      <c r="C3" s="24" t="inlineStr">
        <is>
          <t>SessionId</t>
        </is>
      </c>
      <c r="D3" s="24" t="inlineStr">
        <is>
          <t>varchar(80)</t>
        </is>
      </c>
      <c r="E3" s="24" t="inlineStr">
        <is>
          <t>YES</t>
        </is>
      </c>
      <c r="F3" s="24" t="inlineStr">
        <is>
          <t>session编号</t>
        </is>
      </c>
      <c r="G3" s="24" t="n"/>
      <c r="H3" s="24" t="n"/>
      <c r="I3" s="24" t="inlineStr"/>
      <c r="J3" s="24" t="inlineStr">
        <is>
          <t>2023/01/12</t>
        </is>
      </c>
    </row>
    <row r="4">
      <c r="B4" s="24" t="inlineStr">
        <is>
          <t>user_list</t>
        </is>
      </c>
      <c r="C4" s="24" t="inlineStr">
        <is>
          <t>BeginTime</t>
        </is>
      </c>
      <c r="D4" s="24" t="inlineStr">
        <is>
          <t>varchar(32)</t>
        </is>
      </c>
      <c r="E4" s="24" t="inlineStr">
        <is>
          <t>YES</t>
        </is>
      </c>
      <c r="F4" s="24" t="inlineStr">
        <is>
          <t>会话开始时间</t>
        </is>
      </c>
      <c r="G4" s="24" t="n"/>
      <c r="H4" s="24" t="n"/>
      <c r="I4" s="24" t="inlineStr"/>
      <c r="J4" s="24" t="inlineStr">
        <is>
          <t>2023/01/12</t>
        </is>
      </c>
    </row>
    <row r="5">
      <c r="B5" s="24" t="inlineStr">
        <is>
          <t>user_list</t>
        </is>
      </c>
      <c r="C5" s="24" t="inlineStr">
        <is>
          <t>UserId</t>
        </is>
      </c>
      <c r="D5" s="24" t="inlineStr">
        <is>
          <t>varchar(32)</t>
        </is>
      </c>
      <c r="E5" s="24" t="inlineStr">
        <is>
          <t>YES</t>
        </is>
      </c>
      <c r="F5" s="24" t="inlineStr">
        <is>
          <t>用户号</t>
        </is>
      </c>
      <c r="G5" s="24" t="n"/>
      <c r="H5" s="24" t="n"/>
      <c r="I5" s="24" t="inlineStr"/>
      <c r="J5" s="24" t="inlineStr">
        <is>
          <t>2023/01/12</t>
        </is>
      </c>
    </row>
    <row r="6">
      <c r="B6" s="24" t="inlineStr">
        <is>
          <t>user_list</t>
        </is>
      </c>
      <c r="C6" s="24" t="inlineStr">
        <is>
          <t>UserName</t>
        </is>
      </c>
      <c r="D6" s="24" t="inlineStr">
        <is>
          <t>varchar(32)</t>
        </is>
      </c>
      <c r="E6" s="24" t="inlineStr">
        <is>
          <t>YES</t>
        </is>
      </c>
      <c r="F6" s="24" t="inlineStr">
        <is>
          <t>用户名称</t>
        </is>
      </c>
      <c r="G6" s="24" t="n"/>
      <c r="H6" s="24" t="n"/>
      <c r="I6" s="24" t="inlineStr"/>
      <c r="J6" s="24" t="inlineStr">
        <is>
          <t>2023/01/12</t>
        </is>
      </c>
    </row>
    <row r="7">
      <c r="B7" s="24" t="inlineStr">
        <is>
          <t>user_list</t>
        </is>
      </c>
      <c r="C7" s="24" t="inlineStr">
        <is>
          <t>OrgId</t>
        </is>
      </c>
      <c r="D7" s="24" t="inlineStr">
        <is>
          <t>varchar(32)</t>
        </is>
      </c>
      <c r="E7" s="24" t="inlineStr">
        <is>
          <t>YES</t>
        </is>
      </c>
      <c r="F7" s="24" t="inlineStr">
        <is>
          <t>机构编号</t>
        </is>
      </c>
      <c r="G7" s="24" t="n"/>
      <c r="H7" s="24" t="n"/>
      <c r="I7" s="24" t="inlineStr"/>
      <c r="J7" s="24" t="inlineStr">
        <is>
          <t>2023/01/12</t>
        </is>
      </c>
    </row>
    <row r="8">
      <c r="B8" s="24" t="inlineStr">
        <is>
          <t>user_list</t>
        </is>
      </c>
      <c r="C8" s="24" t="inlineStr">
        <is>
          <t>OrgName</t>
        </is>
      </c>
      <c r="D8" s="24" t="inlineStr">
        <is>
          <t>varchar(80)</t>
        </is>
      </c>
      <c r="E8" s="24" t="inlineStr">
        <is>
          <t>YES</t>
        </is>
      </c>
      <c r="F8" s="24" t="inlineStr">
        <is>
          <t>机构名称</t>
        </is>
      </c>
      <c r="G8" s="24" t="n"/>
      <c r="H8" s="24" t="n"/>
      <c r="I8" s="24" t="inlineStr"/>
      <c r="J8" s="24" t="inlineStr">
        <is>
          <t>2023/01/12</t>
        </is>
      </c>
    </row>
    <row r="9">
      <c r="B9" s="24" t="inlineStr">
        <is>
          <t>user_list</t>
        </is>
      </c>
      <c r="C9" s="24" t="inlineStr">
        <is>
          <t>RemoteAddr</t>
        </is>
      </c>
      <c r="D9" s="24" t="inlineStr">
        <is>
          <t>varchar(32)</t>
        </is>
      </c>
      <c r="E9" s="24" t="inlineStr">
        <is>
          <t>YES</t>
        </is>
      </c>
      <c r="F9" s="24" t="inlineStr">
        <is>
          <t>用户地址</t>
        </is>
      </c>
      <c r="G9" s="24" t="n"/>
      <c r="H9" s="24" t="n"/>
      <c r="I9" s="24" t="inlineStr"/>
      <c r="J9" s="24" t="inlineStr">
        <is>
          <t>2023/01/12</t>
        </is>
      </c>
    </row>
    <row r="10">
      <c r="B10" s="24" t="inlineStr">
        <is>
          <t>user_list</t>
        </is>
      </c>
      <c r="C10" s="24" t="inlineStr">
        <is>
          <t>RemoteHost</t>
        </is>
      </c>
      <c r="D10" s="24" t="inlineStr">
        <is>
          <t>varchar(80)</t>
        </is>
      </c>
      <c r="E10" s="24" t="inlineStr">
        <is>
          <t>YES</t>
        </is>
      </c>
      <c r="F10" s="24" t="inlineStr">
        <is>
          <t>用户主机编号</t>
        </is>
      </c>
      <c r="G10" s="24" t="n"/>
      <c r="H10" s="24" t="n"/>
      <c r="I10" s="24" t="inlineStr"/>
      <c r="J10" s="24" t="inlineStr">
        <is>
          <t>2023/01/12</t>
        </is>
      </c>
    </row>
    <row r="11">
      <c r="B11" s="24" t="inlineStr">
        <is>
          <t>user_list</t>
        </is>
      </c>
      <c r="C11" s="24" t="inlineStr">
        <is>
          <t>EndTime</t>
        </is>
      </c>
      <c r="D11" s="24" t="inlineStr">
        <is>
          <t>varchar(32)</t>
        </is>
      </c>
      <c r="E11" s="24" t="inlineStr">
        <is>
          <t>YES</t>
        </is>
      </c>
      <c r="F11" s="24" t="inlineStr">
        <is>
          <t>会话结束时间</t>
        </is>
      </c>
      <c r="G11" s="24" t="n"/>
      <c r="H11" s="24" t="n"/>
      <c r="I11" s="24" t="inlineStr"/>
      <c r="J11" s="24" t="inlineStr">
        <is>
          <t>2023/01/12</t>
        </is>
      </c>
    </row>
    <row r="12">
      <c r="B12" s="24" t="inlineStr">
        <is>
          <t>user_list</t>
        </is>
      </c>
      <c r="C12" s="24" t="inlineStr">
        <is>
          <t>ServerName</t>
        </is>
      </c>
      <c r="D12" s="24" t="inlineStr">
        <is>
          <t>varchar(80)</t>
        </is>
      </c>
      <c r="E12" s="24" t="inlineStr">
        <is>
          <t>YES</t>
        </is>
      </c>
      <c r="F12" s="24" t="inlineStr">
        <is>
          <t>服务器名</t>
        </is>
      </c>
      <c r="G12" s="24" t="n"/>
      <c r="H12" s="24" t="n"/>
      <c r="I12" s="24" t="inlineStr"/>
      <c r="J12" s="24" t="inlineStr">
        <is>
          <t>2023/01/12</t>
        </is>
      </c>
    </row>
    <row r="13">
      <c r="B13" s="24" t="inlineStr">
        <is>
          <t>user_list</t>
        </is>
      </c>
      <c r="C13" s="24" t="inlineStr">
        <is>
          <t>ServerPort</t>
        </is>
      </c>
      <c r="D13" s="24" t="inlineStr">
        <is>
          <t>varchar(18)</t>
        </is>
      </c>
      <c r="E13" s="24" t="inlineStr">
        <is>
          <t>YES</t>
        </is>
      </c>
      <c r="F13" s="24" t="inlineStr">
        <is>
          <t>服务器主机编号</t>
        </is>
      </c>
      <c r="G13" s="24" t="n"/>
      <c r="H13" s="24" t="n"/>
      <c r="I13" s="24" t="inlineStr"/>
      <c r="J13" s="24" t="inlineStr">
        <is>
          <t>2023/01/12</t>
        </is>
      </c>
    </row>
    <row r="14">
      <c r="B14" s="24" t="inlineStr">
        <is>
          <t>user_list</t>
        </is>
      </c>
      <c r="C14" s="24" t="inlineStr">
        <is>
          <t>ListId</t>
        </is>
      </c>
      <c r="D14" s="24" t="inlineStr">
        <is>
          <t>varchar(32)</t>
        </is>
      </c>
      <c r="E14" s="24" t="inlineStr">
        <is>
          <t>NO</t>
        </is>
      </c>
      <c r="F14" s="24" t="inlineStr">
        <is>
          <t>登录列表编号</t>
        </is>
      </c>
      <c r="G14" s="24" t="n"/>
      <c r="H14" s="24" t="n"/>
      <c r="I14" s="24" t="inlineStr"/>
      <c r="J14" s="24" t="inlineStr">
        <is>
          <t>2023/01/12</t>
        </is>
      </c>
    </row>
    <row r="15">
      <c r="B15" s="24" t="inlineStr">
        <is>
          <t>user_list</t>
        </is>
      </c>
      <c r="C15" s="24" t="inlineStr">
        <is>
          <t>InputOrgId</t>
        </is>
      </c>
      <c r="D15" s="24" t="inlineStr">
        <is>
          <t>varchar(32)</t>
        </is>
      </c>
      <c r="E15" s="24" t="inlineStr">
        <is>
          <t>YES</t>
        </is>
      </c>
      <c r="F15" s="24" t="inlineStr">
        <is>
          <t>登记机构</t>
        </is>
      </c>
      <c r="G15" s="24" t="n"/>
      <c r="H15" s="24" t="n"/>
      <c r="I15" s="24" t="inlineStr"/>
      <c r="J15" s="24" t="inlineStr">
        <is>
          <t>2023/01/12</t>
        </is>
      </c>
    </row>
    <row r="16">
      <c r="B16" s="24" t="inlineStr">
        <is>
          <t>user_list</t>
        </is>
      </c>
      <c r="C16" s="24" t="inlineStr">
        <is>
          <t>InputUserId</t>
        </is>
      </c>
      <c r="D16" s="24" t="inlineStr">
        <is>
          <t>varchar(32)</t>
        </is>
      </c>
      <c r="E16" s="24" t="inlineStr">
        <is>
          <t>YES</t>
        </is>
      </c>
      <c r="F16" s="24" t="inlineStr">
        <is>
          <t>登记人</t>
        </is>
      </c>
      <c r="G16" s="24" t="n"/>
      <c r="H16" s="24" t="n"/>
      <c r="I16" s="24" t="inlineStr"/>
      <c r="J16" s="24" t="inlineStr">
        <is>
          <t>2023/01/12</t>
        </is>
      </c>
    </row>
    <row r="17">
      <c r="B17" s="24" t="inlineStr">
        <is>
          <t>user_list</t>
        </is>
      </c>
      <c r="C17" s="24" t="inlineStr">
        <is>
          <t>InputDate</t>
        </is>
      </c>
      <c r="D17" s="24" t="inlineStr">
        <is>
          <t>date</t>
        </is>
      </c>
      <c r="E17" s="24" t="inlineStr">
        <is>
          <t>YES</t>
        </is>
      </c>
      <c r="F17" s="24" t="inlineStr">
        <is>
          <t>登记日期</t>
        </is>
      </c>
      <c r="G17" s="24" t="n"/>
      <c r="H17" s="24" t="n"/>
      <c r="I17" s="24" t="inlineStr"/>
      <c r="J17" s="24" t="inlineStr">
        <is>
          <t>2023/01/12</t>
        </is>
      </c>
    </row>
    <row r="18">
      <c r="B18" s="24" t="inlineStr">
        <is>
          <t>user_list</t>
        </is>
      </c>
      <c r="C18" s="24" t="inlineStr">
        <is>
          <t>UpdateOrgId</t>
        </is>
      </c>
      <c r="D18" s="24" t="inlineStr">
        <is>
          <t>varchar(32)</t>
        </is>
      </c>
      <c r="E18" s="24" t="inlineStr">
        <is>
          <t>YES</t>
        </is>
      </c>
      <c r="F18" s="24" t="inlineStr">
        <is>
          <t>更新机构</t>
        </is>
      </c>
      <c r="G18" s="24" t="n"/>
      <c r="H18" s="24" t="n"/>
      <c r="I18" s="24" t="inlineStr"/>
      <c r="J18" s="24" t="inlineStr">
        <is>
          <t>2023/01/12</t>
        </is>
      </c>
    </row>
    <row r="19">
      <c r="B19" s="24" t="inlineStr">
        <is>
          <t>user_list</t>
        </is>
      </c>
      <c r="C19" s="24" t="inlineStr">
        <is>
          <t>UpdateUserId</t>
        </is>
      </c>
      <c r="D19" s="24" t="inlineStr">
        <is>
          <t>varchar(32)</t>
        </is>
      </c>
      <c r="E19" s="24" t="inlineStr">
        <is>
          <t>YES</t>
        </is>
      </c>
      <c r="F19" s="24" t="inlineStr">
        <is>
          <t>更新人</t>
        </is>
      </c>
      <c r="G19" s="24" t="n"/>
      <c r="H19" s="24" t="n"/>
      <c r="I19" s="24" t="inlineStr"/>
      <c r="J19" s="24" t="inlineStr">
        <is>
          <t>2023/01/12</t>
        </is>
      </c>
    </row>
    <row r="20">
      <c r="B20" s="24" t="inlineStr">
        <is>
          <t>user_list</t>
        </is>
      </c>
      <c r="C20" s="24" t="inlineStr">
        <is>
          <t>UpdateDate</t>
        </is>
      </c>
      <c r="D20" s="24" t="inlineStr">
        <is>
          <t>date</t>
        </is>
      </c>
      <c r="E20" s="24" t="inlineStr">
        <is>
          <t>YES</t>
        </is>
      </c>
      <c r="F20" s="24" t="inlineStr">
        <is>
          <t>更新日期</t>
        </is>
      </c>
      <c r="G20" s="24" t="n"/>
      <c r="H20" s="24" t="n"/>
      <c r="I20" s="24" t="inlineStr"/>
      <c r="J20" s="24" t="inlineStr">
        <is>
          <t>2023/01/12</t>
        </is>
      </c>
    </row>
  </sheetData>
  <pageMargins left="0.75" right="0.75" top="1" bottom="1" header="0.5" footer="0.5"/>
  <pageSetup orientation="portrait" paperSize="1" horizontalDpi="300" verticalDpi="300"/>
</worksheet>
</file>

<file path=xl/worksheets/sheet177.xml><?xml version="1.0" encoding="utf-8"?>
<worksheet xmlns="http://schemas.openxmlformats.org/spreadsheetml/2006/main">
  <sheetPr>
    <outlinePr summaryBelow="1" summaryRight="1"/>
    <pageSetUpPr/>
  </sheetPr>
  <dimension ref="A1:J6"/>
  <sheetViews>
    <sheetView zoomScaleSheetLayoutView="60" workbookViewId="0">
      <selection activeCell="A1" sqref="A1"/>
    </sheetView>
  </sheetViews>
  <sheetFormatPr baseColWidth="8" defaultColWidth="9.142857142857141" defaultRowHeight="15.2" outlineLevelRow="5"/>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用户登录session</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user_logon_session</t>
        </is>
      </c>
      <c r="C3" s="24" t="inlineStr">
        <is>
          <t>USERID</t>
        </is>
      </c>
      <c r="D3" s="24" t="inlineStr">
        <is>
          <t>varchar(32)</t>
        </is>
      </c>
      <c r="E3" s="24" t="inlineStr">
        <is>
          <t>NO</t>
        </is>
      </c>
      <c r="F3" s="24" t="inlineStr">
        <is>
          <t>用户编号</t>
        </is>
      </c>
      <c r="G3" s="24" t="n"/>
      <c r="H3" s="24" t="n"/>
      <c r="I3" s="24" t="inlineStr"/>
      <c r="J3" s="24" t="inlineStr">
        <is>
          <t>2023/01/12</t>
        </is>
      </c>
    </row>
    <row r="4">
      <c r="B4" s="24" t="inlineStr">
        <is>
          <t>user_logon_session</t>
        </is>
      </c>
      <c r="C4" s="24" t="inlineStr">
        <is>
          <t>SESSIONID</t>
        </is>
      </c>
      <c r="D4" s="24" t="inlineStr">
        <is>
          <t>varchar(80)</t>
        </is>
      </c>
      <c r="E4" s="24" t="inlineStr">
        <is>
          <t>YES</t>
        </is>
      </c>
      <c r="F4" s="24" t="inlineStr">
        <is>
          <t>session编号</t>
        </is>
      </c>
      <c r="G4" s="24" t="n"/>
      <c r="H4" s="24" t="n"/>
      <c r="I4" s="24" t="inlineStr"/>
      <c r="J4" s="24" t="inlineStr">
        <is>
          <t>2023/01/12</t>
        </is>
      </c>
    </row>
    <row r="5">
      <c r="B5" s="24" t="inlineStr">
        <is>
          <t>user_logon_session</t>
        </is>
      </c>
      <c r="C5" s="24" t="inlineStr">
        <is>
          <t>IP</t>
        </is>
      </c>
      <c r="D5" s="24" t="inlineStr">
        <is>
          <t>varchar(80)</t>
        </is>
      </c>
      <c r="E5" s="24" t="inlineStr">
        <is>
          <t>YES</t>
        </is>
      </c>
      <c r="F5" s="24" t="inlineStr">
        <is>
          <t>IP地址</t>
        </is>
      </c>
      <c r="G5" s="24" t="n"/>
      <c r="H5" s="24" t="n"/>
      <c r="I5" s="24" t="inlineStr"/>
      <c r="J5" s="24" t="inlineStr">
        <is>
          <t>2023/01/12</t>
        </is>
      </c>
    </row>
    <row r="6">
      <c r="B6" s="24" t="inlineStr">
        <is>
          <t>user_logon_session</t>
        </is>
      </c>
      <c r="C6" s="24" t="inlineStr">
        <is>
          <t>UPDATETIME</t>
        </is>
      </c>
      <c r="D6" s="24" t="inlineStr">
        <is>
          <t>varchar(32)</t>
        </is>
      </c>
      <c r="E6" s="24" t="inlineStr">
        <is>
          <t>YES</t>
        </is>
      </c>
      <c r="F6" s="24" t="inlineStr">
        <is>
          <t>更新日期</t>
        </is>
      </c>
      <c r="G6" s="24" t="n"/>
      <c r="H6" s="24" t="n"/>
      <c r="I6" s="24" t="inlineStr"/>
      <c r="J6" s="24" t="inlineStr">
        <is>
          <t>2023/01/12</t>
        </is>
      </c>
    </row>
  </sheetData>
  <pageMargins left="0.75" right="0.75" top="1" bottom="1" header="0.5" footer="0.5"/>
  <pageSetup orientation="portrait" paperSize="1" horizontalDpi="300" verticalDpi="300"/>
</worksheet>
</file>

<file path=xl/worksheets/sheet178.xml><?xml version="1.0" encoding="utf-8"?>
<worksheet xmlns="http://schemas.openxmlformats.org/spreadsheetml/2006/main">
  <sheetPr>
    <outlinePr summaryBelow="1" summaryRight="1"/>
    <pageSetUpPr/>
  </sheetPr>
  <dimension ref="A1:J18"/>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用户痕迹表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user_markinfo</t>
        </is>
      </c>
      <c r="C3" s="24" t="inlineStr">
        <is>
          <t>USERID</t>
        </is>
      </c>
      <c r="D3" s="24" t="inlineStr">
        <is>
          <t>varchar(32)</t>
        </is>
      </c>
      <c r="E3" s="24" t="inlineStr">
        <is>
          <t>NO</t>
        </is>
      </c>
      <c r="F3" s="24" t="inlineStr">
        <is>
          <t>用户编号</t>
        </is>
      </c>
      <c r="G3" s="24" t="n"/>
      <c r="H3" s="24" t="n"/>
      <c r="I3" s="24" t="inlineStr"/>
      <c r="J3" s="24" t="inlineStr">
        <is>
          <t>2023/01/12</t>
        </is>
      </c>
    </row>
    <row r="4">
      <c r="B4" s="24" t="inlineStr">
        <is>
          <t>user_markinfo</t>
        </is>
      </c>
      <c r="C4" s="24" t="inlineStr">
        <is>
          <t>PASSWORDUPDATEDATE</t>
        </is>
      </c>
      <c r="D4" s="24" t="inlineStr">
        <is>
          <t>varchar(32)</t>
        </is>
      </c>
      <c r="E4" s="24" t="inlineStr">
        <is>
          <t>YES</t>
        </is>
      </c>
      <c r="F4" s="24" t="inlineStr">
        <is>
          <t>更改密码时间</t>
        </is>
      </c>
      <c r="G4" s="24" t="n"/>
      <c r="H4" s="24" t="n"/>
      <c r="I4" s="24" t="inlineStr"/>
      <c r="J4" s="24" t="inlineStr">
        <is>
          <t>2023/01/12</t>
        </is>
      </c>
    </row>
    <row r="5">
      <c r="B5" s="24" t="inlineStr">
        <is>
          <t>user_markinfo</t>
        </is>
      </c>
      <c r="C5" s="24" t="inlineStr">
        <is>
          <t>VISITTIMES</t>
        </is>
      </c>
      <c r="D5" s="24" t="inlineStr">
        <is>
          <t>int</t>
        </is>
      </c>
      <c r="E5" s="24" t="inlineStr">
        <is>
          <t>YES</t>
        </is>
      </c>
      <c r="F5" s="24" t="inlineStr">
        <is>
          <t>访问次数</t>
        </is>
      </c>
      <c r="G5" s="24" t="n"/>
      <c r="H5" s="24" t="n"/>
      <c r="I5" s="24" t="inlineStr"/>
      <c r="J5" s="24" t="inlineStr">
        <is>
          <t>2023/01/12</t>
        </is>
      </c>
    </row>
    <row r="6">
      <c r="B6" s="24" t="inlineStr">
        <is>
          <t>user_markinfo</t>
        </is>
      </c>
      <c r="C6" s="24" t="inlineStr">
        <is>
          <t>LOGONERRORTIMES</t>
        </is>
      </c>
      <c r="D6" s="24" t="inlineStr">
        <is>
          <t>int</t>
        </is>
      </c>
      <c r="E6" s="24" t="inlineStr">
        <is>
          <t>YES</t>
        </is>
      </c>
      <c r="F6" s="24" t="inlineStr">
        <is>
          <t>登陆次数</t>
        </is>
      </c>
      <c r="G6" s="24" t="n"/>
      <c r="H6" s="24" t="n"/>
      <c r="I6" s="24" t="inlineStr"/>
      <c r="J6" s="24" t="inlineStr">
        <is>
          <t>2023/01/12</t>
        </is>
      </c>
    </row>
    <row r="7">
      <c r="B7" s="24" t="inlineStr">
        <is>
          <t>user_markinfo</t>
        </is>
      </c>
      <c r="C7" s="24" t="inlineStr">
        <is>
          <t>LASTSIGNINTIME</t>
        </is>
      </c>
      <c r="D7" s="24" t="inlineStr">
        <is>
          <t>varchar(32)</t>
        </is>
      </c>
      <c r="E7" s="24" t="inlineStr">
        <is>
          <t>YES</t>
        </is>
      </c>
      <c r="F7" s="24" t="inlineStr">
        <is>
          <t>上次登陆时间</t>
        </is>
      </c>
      <c r="G7" s="24" t="n"/>
      <c r="H7" s="24" t="n"/>
      <c r="I7" s="24" t="inlineStr"/>
      <c r="J7" s="24" t="inlineStr">
        <is>
          <t>2023/01/12</t>
        </is>
      </c>
    </row>
    <row r="8">
      <c r="B8" s="24" t="inlineStr">
        <is>
          <t>user_markinfo</t>
        </is>
      </c>
      <c r="C8" s="24" t="inlineStr">
        <is>
          <t>LASTSIGNOUTTIME</t>
        </is>
      </c>
      <c r="D8" s="24" t="inlineStr">
        <is>
          <t>varchar(32)</t>
        </is>
      </c>
      <c r="E8" s="24" t="inlineStr">
        <is>
          <t>YES</t>
        </is>
      </c>
      <c r="F8" s="24" t="inlineStr">
        <is>
          <t>上次登出时间</t>
        </is>
      </c>
      <c r="G8" s="24" t="n"/>
      <c r="H8" s="24" t="n"/>
      <c r="I8" s="24" t="inlineStr"/>
      <c r="J8" s="24" t="inlineStr">
        <is>
          <t>2023/01/12</t>
        </is>
      </c>
    </row>
    <row r="9">
      <c r="B9" s="24" t="inlineStr">
        <is>
          <t>user_markinfo</t>
        </is>
      </c>
      <c r="C9" s="24" t="inlineStr">
        <is>
          <t>CURSIGNINTIME</t>
        </is>
      </c>
      <c r="D9" s="24" t="inlineStr">
        <is>
          <t>varchar(32)</t>
        </is>
      </c>
      <c r="E9" s="24" t="inlineStr">
        <is>
          <t>YES</t>
        </is>
      </c>
      <c r="F9" s="24" t="inlineStr">
        <is>
          <t>本次登陆时间</t>
        </is>
      </c>
      <c r="G9" s="24" t="n"/>
      <c r="H9" s="24" t="n"/>
      <c r="I9" s="24" t="inlineStr"/>
      <c r="J9" s="24" t="inlineStr">
        <is>
          <t>2023/01/12</t>
        </is>
      </c>
    </row>
    <row r="10">
      <c r="B10" s="24" t="inlineStr">
        <is>
          <t>user_markinfo</t>
        </is>
      </c>
      <c r="C10" s="24" t="inlineStr">
        <is>
          <t>PASSWORDSTATE</t>
        </is>
      </c>
      <c r="D10" s="24" t="inlineStr">
        <is>
          <t>varchar(18)</t>
        </is>
      </c>
      <c r="E10" s="24" t="inlineStr">
        <is>
          <t>YES</t>
        </is>
      </c>
      <c r="F10" s="24" t="inlineStr">
        <is>
          <t>密码状态</t>
        </is>
      </c>
      <c r="G10" s="24" t="n"/>
      <c r="H10" s="24" t="n"/>
      <c r="I10" s="24" t="inlineStr"/>
      <c r="J10" s="24" t="inlineStr">
        <is>
          <t>2023/01/12</t>
        </is>
      </c>
    </row>
    <row r="11">
      <c r="B11" s="24" t="inlineStr">
        <is>
          <t>user_markinfo</t>
        </is>
      </c>
      <c r="C11" s="24" t="inlineStr">
        <is>
          <t>PASSWORDMESSAGE</t>
        </is>
      </c>
      <c r="D11" s="24" t="inlineStr">
        <is>
          <t>varchar(200)</t>
        </is>
      </c>
      <c r="E11" s="24" t="inlineStr">
        <is>
          <t>YES</t>
        </is>
      </c>
      <c r="F11" s="24" t="inlineStr">
        <is>
          <t>密码提示信息</t>
        </is>
      </c>
      <c r="G11" s="24" t="n"/>
      <c r="H11" s="24" t="n"/>
      <c r="I11" s="24" t="inlineStr"/>
      <c r="J11" s="24" t="inlineStr">
        <is>
          <t>2023/01/12</t>
        </is>
      </c>
    </row>
    <row r="12">
      <c r="B12" s="24" t="inlineStr">
        <is>
          <t>user_markinfo</t>
        </is>
      </c>
      <c r="C12" s="24" t="inlineStr">
        <is>
          <t>SKINPATH</t>
        </is>
      </c>
      <c r="D12" s="24" t="inlineStr">
        <is>
          <t>varchar(500)</t>
        </is>
      </c>
      <c r="E12" s="24" t="inlineStr">
        <is>
          <t>YES</t>
        </is>
      </c>
      <c r="F12" s="24" t="inlineStr">
        <is>
          <t>皮肤路径</t>
        </is>
      </c>
      <c r="G12" s="24" t="n"/>
      <c r="H12" s="24" t="n"/>
      <c r="I12" s="24" t="inlineStr"/>
      <c r="J12" s="24" t="inlineStr">
        <is>
          <t>2023/01/12</t>
        </is>
      </c>
    </row>
    <row r="13">
      <c r="B13" s="24" t="inlineStr">
        <is>
          <t>user_markinfo</t>
        </is>
      </c>
      <c r="C13" s="24" t="inlineStr">
        <is>
          <t>INPUTORGID</t>
        </is>
      </c>
      <c r="D13" s="24" t="inlineStr">
        <is>
          <t>varchar(32)</t>
        </is>
      </c>
      <c r="E13" s="24" t="inlineStr">
        <is>
          <t>YES</t>
        </is>
      </c>
      <c r="F13" s="24" t="inlineStr">
        <is>
          <t>登记机构</t>
        </is>
      </c>
      <c r="G13" s="24" t="n"/>
      <c r="H13" s="24" t="n"/>
      <c r="I13" s="24" t="inlineStr"/>
      <c r="J13" s="24" t="inlineStr">
        <is>
          <t>2023/01/12</t>
        </is>
      </c>
    </row>
    <row r="14">
      <c r="B14" s="24" t="inlineStr">
        <is>
          <t>user_markinfo</t>
        </is>
      </c>
      <c r="C14" s="24" t="inlineStr">
        <is>
          <t>INPUTUSERID</t>
        </is>
      </c>
      <c r="D14" s="24" t="inlineStr">
        <is>
          <t>varchar(32)</t>
        </is>
      </c>
      <c r="E14" s="24" t="inlineStr">
        <is>
          <t>YES</t>
        </is>
      </c>
      <c r="F14" s="24" t="inlineStr">
        <is>
          <t>登记人</t>
        </is>
      </c>
      <c r="G14" s="24" t="n"/>
      <c r="H14" s="24" t="n"/>
      <c r="I14" s="24" t="inlineStr"/>
      <c r="J14" s="24" t="inlineStr">
        <is>
          <t>2023/01/12</t>
        </is>
      </c>
    </row>
    <row r="15">
      <c r="B15" s="24" t="inlineStr">
        <is>
          <t>user_markinfo</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user_markinfo</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user_markinfo</t>
        </is>
      </c>
      <c r="C17" s="24" t="inlineStr">
        <is>
          <t>UPDATEUSERID</t>
        </is>
      </c>
      <c r="D17" s="24" t="inlineStr">
        <is>
          <t>varchar(32)</t>
        </is>
      </c>
      <c r="E17" s="24" t="inlineStr">
        <is>
          <t>YES</t>
        </is>
      </c>
      <c r="F17" s="24" t="inlineStr">
        <is>
          <t>更新人</t>
        </is>
      </c>
      <c r="G17" s="24" t="n"/>
      <c r="H17" s="24" t="n"/>
      <c r="I17" s="24" t="inlineStr"/>
      <c r="J17" s="24" t="inlineStr">
        <is>
          <t>2023/01/12</t>
        </is>
      </c>
    </row>
    <row r="18">
      <c r="B18" s="24" t="inlineStr">
        <is>
          <t>user_markinfo</t>
        </is>
      </c>
      <c r="C18" s="24" t="inlineStr">
        <is>
          <t>UPDATEDATE</t>
        </is>
      </c>
      <c r="D18" s="24" t="inlineStr">
        <is>
          <t>datetime</t>
        </is>
      </c>
      <c r="E18" s="24" t="inlineStr">
        <is>
          <t>YES</t>
        </is>
      </c>
      <c r="F18" s="24" t="inlineStr">
        <is>
          <t>更新日期</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179.xml><?xml version="1.0" encoding="utf-8"?>
<worksheet xmlns="http://schemas.openxmlformats.org/spreadsheetml/2006/main">
  <sheetPr>
    <outlinePr summaryBelow="1" summaryRight="1"/>
    <pageSetUpPr/>
  </sheetPr>
  <dimension ref="A1:J12"/>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用户常用菜单表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user_menu_counter</t>
        </is>
      </c>
      <c r="C3" s="24" t="inlineStr">
        <is>
          <t>USECOUNTS</t>
        </is>
      </c>
      <c r="D3" s="24" t="inlineStr">
        <is>
          <t>int</t>
        </is>
      </c>
      <c r="E3" s="24" t="inlineStr">
        <is>
          <t>YES</t>
        </is>
      </c>
      <c r="F3" s="24" t="inlineStr">
        <is>
          <t>使用次数</t>
        </is>
      </c>
      <c r="G3" s="24" t="n"/>
      <c r="H3" s="24" t="n"/>
      <c r="I3" s="24" t="inlineStr"/>
      <c r="J3" s="24" t="inlineStr">
        <is>
          <t>2023/01/12</t>
        </is>
      </c>
    </row>
    <row r="4">
      <c r="B4" s="24" t="inlineStr">
        <is>
          <t>user_menu_counter</t>
        </is>
      </c>
      <c r="C4" s="24" t="inlineStr">
        <is>
          <t>USERID</t>
        </is>
      </c>
      <c r="D4" s="24" t="inlineStr">
        <is>
          <t>varchar(32)</t>
        </is>
      </c>
      <c r="E4" s="24" t="inlineStr">
        <is>
          <t>NO</t>
        </is>
      </c>
      <c r="F4" s="24" t="inlineStr">
        <is>
          <t>用户编号</t>
        </is>
      </c>
      <c r="G4" s="24" t="n"/>
      <c r="H4" s="24" t="n"/>
      <c r="I4" s="24" t="inlineStr"/>
      <c r="J4" s="24" t="inlineStr">
        <is>
          <t>2023/01/12</t>
        </is>
      </c>
    </row>
    <row r="5">
      <c r="B5" s="24" t="inlineStr">
        <is>
          <t>user_menu_counter</t>
        </is>
      </c>
      <c r="C5" s="24" t="inlineStr">
        <is>
          <t>MENUID</t>
        </is>
      </c>
      <c r="D5" s="24" t="inlineStr">
        <is>
          <t>varchar(32)</t>
        </is>
      </c>
      <c r="E5" s="24" t="inlineStr">
        <is>
          <t>NO</t>
        </is>
      </c>
      <c r="F5" s="24" t="inlineStr">
        <is>
          <t>菜单编号</t>
        </is>
      </c>
      <c r="G5" s="24" t="n"/>
      <c r="H5" s="24" t="n"/>
      <c r="I5" s="24" t="inlineStr"/>
      <c r="J5" s="24" t="inlineStr">
        <is>
          <t>2023/01/12</t>
        </is>
      </c>
    </row>
    <row r="6">
      <c r="B6" s="24" t="inlineStr">
        <is>
          <t>user_menu_counter</t>
        </is>
      </c>
      <c r="C6" s="24" t="inlineStr">
        <is>
          <t>APPID</t>
        </is>
      </c>
      <c r="D6" s="24" t="inlineStr">
        <is>
          <t>varchar(18)</t>
        </is>
      </c>
      <c r="E6" s="24" t="inlineStr">
        <is>
          <t>YES</t>
        </is>
      </c>
      <c r="F6" s="24" t="inlineStr">
        <is>
          <t>所属条线</t>
        </is>
      </c>
      <c r="G6" s="24" t="n"/>
      <c r="H6" s="24" t="n"/>
      <c r="I6" s="24" t="inlineStr"/>
      <c r="J6" s="24" t="inlineStr">
        <is>
          <t>2023/01/12</t>
        </is>
      </c>
    </row>
    <row r="7">
      <c r="B7" s="24" t="inlineStr">
        <is>
          <t>user_menu_counter</t>
        </is>
      </c>
      <c r="C7" s="24" t="inlineStr">
        <is>
          <t>INPUTORGID</t>
        </is>
      </c>
      <c r="D7" s="24" t="inlineStr">
        <is>
          <t>varchar(32)</t>
        </is>
      </c>
      <c r="E7" s="24" t="inlineStr">
        <is>
          <t>YES</t>
        </is>
      </c>
      <c r="F7" s="24" t="inlineStr">
        <is>
          <t>登记机构</t>
        </is>
      </c>
      <c r="G7" s="24" t="n"/>
      <c r="H7" s="24" t="n"/>
      <c r="I7" s="24" t="inlineStr"/>
      <c r="J7" s="24" t="inlineStr">
        <is>
          <t>2023/01/12</t>
        </is>
      </c>
    </row>
    <row r="8">
      <c r="B8" s="24" t="inlineStr">
        <is>
          <t>user_menu_counter</t>
        </is>
      </c>
      <c r="C8" s="24" t="inlineStr">
        <is>
          <t>INPUTUSERID</t>
        </is>
      </c>
      <c r="D8" s="24" t="inlineStr">
        <is>
          <t>varchar(32)</t>
        </is>
      </c>
      <c r="E8" s="24" t="inlineStr">
        <is>
          <t>YES</t>
        </is>
      </c>
      <c r="F8" s="24" t="inlineStr">
        <is>
          <t>登记人员</t>
        </is>
      </c>
      <c r="G8" s="24" t="n"/>
      <c r="H8" s="24" t="n"/>
      <c r="I8" s="24" t="inlineStr"/>
      <c r="J8" s="24" t="inlineStr">
        <is>
          <t>2023/01/12</t>
        </is>
      </c>
    </row>
    <row r="9">
      <c r="B9" s="24" t="inlineStr">
        <is>
          <t>user_menu_counter</t>
        </is>
      </c>
      <c r="C9" s="24" t="inlineStr">
        <is>
          <t>INPUTDATE</t>
        </is>
      </c>
      <c r="D9" s="24" t="inlineStr">
        <is>
          <t>date</t>
        </is>
      </c>
      <c r="E9" s="24" t="inlineStr">
        <is>
          <t>YES</t>
        </is>
      </c>
      <c r="F9" s="24" t="inlineStr">
        <is>
          <t>登记日期</t>
        </is>
      </c>
      <c r="G9" s="24" t="n"/>
      <c r="H9" s="24" t="n"/>
      <c r="I9" s="24" t="inlineStr"/>
      <c r="J9" s="24" t="inlineStr">
        <is>
          <t>2023/01/12</t>
        </is>
      </c>
    </row>
    <row r="10">
      <c r="B10" s="24" t="inlineStr">
        <is>
          <t>user_menu_counter</t>
        </is>
      </c>
      <c r="C10" s="24" t="inlineStr">
        <is>
          <t>UPDATEORGID</t>
        </is>
      </c>
      <c r="D10" s="24" t="inlineStr">
        <is>
          <t>varchar(32)</t>
        </is>
      </c>
      <c r="E10" s="24" t="inlineStr">
        <is>
          <t>YES</t>
        </is>
      </c>
      <c r="F10" s="24" t="inlineStr">
        <is>
          <t>更新机构</t>
        </is>
      </c>
      <c r="G10" s="24" t="n"/>
      <c r="H10" s="24" t="n"/>
      <c r="I10" s="24" t="inlineStr"/>
      <c r="J10" s="24" t="inlineStr">
        <is>
          <t>2023/01/12</t>
        </is>
      </c>
    </row>
    <row r="11">
      <c r="B11" s="24" t="inlineStr">
        <is>
          <t>user_menu_counter</t>
        </is>
      </c>
      <c r="C11" s="24" t="inlineStr">
        <is>
          <t>UPDATEUSERID</t>
        </is>
      </c>
      <c r="D11" s="24" t="inlineStr">
        <is>
          <t>varchar(32)</t>
        </is>
      </c>
      <c r="E11" s="24" t="inlineStr">
        <is>
          <t>YES</t>
        </is>
      </c>
      <c r="F11" s="24" t="inlineStr">
        <is>
          <t>更新人员</t>
        </is>
      </c>
      <c r="G11" s="24" t="n"/>
      <c r="H11" s="24" t="n"/>
      <c r="I11" s="24" t="inlineStr"/>
      <c r="J11" s="24" t="inlineStr">
        <is>
          <t>2023/01/12</t>
        </is>
      </c>
    </row>
    <row r="12">
      <c r="B12" s="24" t="inlineStr">
        <is>
          <t>user_menu_counter</t>
        </is>
      </c>
      <c r="C12" s="24" t="inlineStr">
        <is>
          <t>UPDATEDATE</t>
        </is>
      </c>
      <c r="D12" s="24" t="inlineStr">
        <is>
          <t>date</t>
        </is>
      </c>
      <c r="E12" s="24" t="inlineStr">
        <is>
          <t>YES</t>
        </is>
      </c>
      <c r="F12" s="24" t="inlineStr">
        <is>
          <t>更新日期</t>
        </is>
      </c>
      <c r="G12" s="24" t="n"/>
      <c r="H12" s="24" t="n"/>
      <c r="I12" s="24" t="inlineStr"/>
      <c r="J12" s="24" t="inlineStr">
        <is>
          <t>2023/01/12</t>
        </is>
      </c>
    </row>
  </sheetData>
  <pageMargins left="0.75" right="0.75" top="1" bottom="1" header="0.5" footer="0.5"/>
  <pageSetup orientation="portrait" paperSize="1" horizontalDpi="300" verticalDpi="300"/>
</worksheet>
</file>

<file path=xl/worksheets/sheet180.xml><?xml version="1.0" encoding="utf-8"?>
<worksheet xmlns="http://schemas.openxmlformats.org/spreadsheetml/2006/main">
  <sheetPr>
    <outlinePr summaryBelow="1" summaryRight="1"/>
    <pageSetUpPr/>
  </sheetPr>
  <dimension ref="A1:J18"/>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用户权限表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user_right</t>
        </is>
      </c>
      <c r="C3" s="24" t="inlineStr">
        <is>
          <t>USERID</t>
        </is>
      </c>
      <c r="D3" s="24" t="inlineStr">
        <is>
          <t>varchar(32)</t>
        </is>
      </c>
      <c r="E3" s="24" t="inlineStr">
        <is>
          <t>NO</t>
        </is>
      </c>
      <c r="F3" s="24" t="inlineStr">
        <is>
          <t>用户编号</t>
        </is>
      </c>
      <c r="G3" s="24" t="n"/>
      <c r="H3" s="24" t="n"/>
      <c r="I3" s="24" t="inlineStr"/>
      <c r="J3" s="24" t="inlineStr">
        <is>
          <t>2023/01/12</t>
        </is>
      </c>
    </row>
    <row r="4">
      <c r="B4" s="24" t="inlineStr">
        <is>
          <t>user_right</t>
        </is>
      </c>
      <c r="C4" s="24" t="inlineStr">
        <is>
          <t>RIGHTID</t>
        </is>
      </c>
      <c r="D4" s="24" t="inlineStr">
        <is>
          <t>varchar(32)</t>
        </is>
      </c>
      <c r="E4" s="24" t="inlineStr">
        <is>
          <t>NO</t>
        </is>
      </c>
      <c r="F4" s="24" t="inlineStr">
        <is>
          <t>授权编号</t>
        </is>
      </c>
      <c r="G4" s="24" t="n"/>
      <c r="H4" s="24" t="n"/>
      <c r="I4" s="24" t="inlineStr"/>
      <c r="J4" s="24" t="inlineStr">
        <is>
          <t>2023/01/12</t>
        </is>
      </c>
    </row>
    <row r="5">
      <c r="B5" s="24" t="inlineStr">
        <is>
          <t>user_right</t>
        </is>
      </c>
      <c r="C5" s="24" t="inlineStr">
        <is>
          <t>GRANTOR</t>
        </is>
      </c>
      <c r="D5" s="24" t="inlineStr">
        <is>
          <t>varchar(32)</t>
        </is>
      </c>
      <c r="E5" s="24" t="inlineStr">
        <is>
          <t>NO</t>
        </is>
      </c>
      <c r="F5" s="24" t="inlineStr">
        <is>
          <t>授权人</t>
        </is>
      </c>
      <c r="G5" s="24" t="n"/>
      <c r="H5" s="24" t="n"/>
      <c r="I5" s="24" t="inlineStr"/>
      <c r="J5" s="24" t="inlineStr">
        <is>
          <t>2023/01/12</t>
        </is>
      </c>
    </row>
    <row r="6">
      <c r="B6" s="24" t="inlineStr">
        <is>
          <t>user_right</t>
        </is>
      </c>
      <c r="C6" s="24" t="inlineStr">
        <is>
          <t>BEGINTIME</t>
        </is>
      </c>
      <c r="D6" s="24" t="inlineStr">
        <is>
          <t>varchar(32)</t>
        </is>
      </c>
      <c r="E6" s="24" t="inlineStr">
        <is>
          <t>NO</t>
        </is>
      </c>
      <c r="F6" s="24" t="inlineStr">
        <is>
          <t>开始时间</t>
        </is>
      </c>
      <c r="G6" s="24" t="n"/>
      <c r="H6" s="24" t="n"/>
      <c r="I6" s="24" t="inlineStr"/>
      <c r="J6" s="24" t="inlineStr">
        <is>
          <t>2023/01/12</t>
        </is>
      </c>
    </row>
    <row r="7">
      <c r="B7" s="24" t="inlineStr">
        <is>
          <t>user_right</t>
        </is>
      </c>
      <c r="C7" s="24" t="inlineStr">
        <is>
          <t>ENDTIME</t>
        </is>
      </c>
      <c r="D7" s="24" t="inlineStr">
        <is>
          <t>varchar(32)</t>
        </is>
      </c>
      <c r="E7" s="24" t="inlineStr">
        <is>
          <t>YES</t>
        </is>
      </c>
      <c r="F7" s="24" t="inlineStr">
        <is>
          <t>到期日</t>
        </is>
      </c>
      <c r="G7" s="24" t="n"/>
      <c r="H7" s="24" t="n"/>
      <c r="I7" s="24" t="inlineStr"/>
      <c r="J7" s="24" t="inlineStr">
        <is>
          <t>2023/01/12</t>
        </is>
      </c>
    </row>
    <row r="8">
      <c r="B8" s="24" t="inlineStr">
        <is>
          <t>user_right</t>
        </is>
      </c>
      <c r="C8" s="24" t="inlineStr">
        <is>
          <t>ATTRIBUTE</t>
        </is>
      </c>
      <c r="D8" s="24" t="inlineStr">
        <is>
          <t>varchar(200)</t>
        </is>
      </c>
      <c r="E8" s="24" t="inlineStr">
        <is>
          <t>YES</t>
        </is>
      </c>
      <c r="F8" s="24" t="inlineStr">
        <is>
          <t>属性</t>
        </is>
      </c>
      <c r="G8" s="24" t="n"/>
      <c r="H8" s="24" t="n"/>
      <c r="I8" s="24" t="inlineStr"/>
      <c r="J8" s="24" t="inlineStr">
        <is>
          <t>2023/01/12</t>
        </is>
      </c>
    </row>
    <row r="9">
      <c r="B9" s="24" t="inlineStr">
        <is>
          <t>user_right</t>
        </is>
      </c>
      <c r="C9" s="24" t="inlineStr">
        <is>
          <t>STATUS</t>
        </is>
      </c>
      <c r="D9" s="24" t="inlineStr">
        <is>
          <t>varchar(6)</t>
        </is>
      </c>
      <c r="E9" s="24" t="inlineStr">
        <is>
          <t>YES</t>
        </is>
      </c>
      <c r="F9" s="24" t="inlineStr">
        <is>
          <t>状态</t>
        </is>
      </c>
      <c r="G9" s="24" t="n"/>
      <c r="H9" s="24" t="n"/>
      <c r="I9" s="24" t="inlineStr"/>
      <c r="J9" s="24" t="inlineStr">
        <is>
          <t>2023/01/12</t>
        </is>
      </c>
    </row>
    <row r="10">
      <c r="B10" s="24" t="inlineStr">
        <is>
          <t>user_right</t>
        </is>
      </c>
      <c r="C10" s="24" t="inlineStr">
        <is>
          <t>INPUTTIME</t>
        </is>
      </c>
      <c r="D10" s="24" t="inlineStr">
        <is>
          <t>varchar(32)</t>
        </is>
      </c>
      <c r="E10" s="24" t="inlineStr">
        <is>
          <t>YES</t>
        </is>
      </c>
      <c r="F10" s="24" t="inlineStr">
        <is>
          <t>登记时间</t>
        </is>
      </c>
      <c r="G10" s="24" t="n"/>
      <c r="H10" s="24" t="n"/>
      <c r="I10" s="24" t="inlineStr"/>
      <c r="J10" s="24" t="inlineStr">
        <is>
          <t>2023/01/12</t>
        </is>
      </c>
    </row>
    <row r="11">
      <c r="B11" s="24" t="inlineStr">
        <is>
          <t>user_right</t>
        </is>
      </c>
      <c r="C11" s="24" t="inlineStr">
        <is>
          <t>UPDATETIME</t>
        </is>
      </c>
      <c r="D11" s="24" t="inlineStr">
        <is>
          <t>varchar(32)</t>
        </is>
      </c>
      <c r="E11" s="24" t="inlineStr">
        <is>
          <t>YES</t>
        </is>
      </c>
      <c r="F11" s="24" t="inlineStr">
        <is>
          <t>更新时间</t>
        </is>
      </c>
      <c r="G11" s="24" t="n"/>
      <c r="H11" s="24" t="n"/>
      <c r="I11" s="24" t="inlineStr"/>
      <c r="J11" s="24" t="inlineStr">
        <is>
          <t>2023/01/12</t>
        </is>
      </c>
    </row>
    <row r="12">
      <c r="B12" s="24" t="inlineStr">
        <is>
          <t>user_right</t>
        </is>
      </c>
      <c r="C12" s="24" t="inlineStr">
        <is>
          <t>REMARK</t>
        </is>
      </c>
      <c r="D12" s="24" t="inlineStr">
        <is>
          <t>varchar(500)</t>
        </is>
      </c>
      <c r="E12" s="24" t="inlineStr">
        <is>
          <t>YES</t>
        </is>
      </c>
      <c r="F12" s="24" t="inlineStr">
        <is>
          <t>备注</t>
        </is>
      </c>
      <c r="G12" s="24" t="n"/>
      <c r="H12" s="24" t="n"/>
      <c r="I12" s="24" t="inlineStr"/>
      <c r="J12" s="24" t="inlineStr">
        <is>
          <t>2023/01/12</t>
        </is>
      </c>
    </row>
    <row r="13">
      <c r="B13" s="24" t="inlineStr">
        <is>
          <t>user_right</t>
        </is>
      </c>
      <c r="C13" s="24" t="inlineStr">
        <is>
          <t>INPUTORGID</t>
        </is>
      </c>
      <c r="D13" s="24" t="inlineStr">
        <is>
          <t>varchar(32)</t>
        </is>
      </c>
      <c r="E13" s="24" t="inlineStr">
        <is>
          <t>YES</t>
        </is>
      </c>
      <c r="F13" s="24" t="inlineStr">
        <is>
          <t>登记机构</t>
        </is>
      </c>
      <c r="G13" s="24" t="n"/>
      <c r="H13" s="24" t="n"/>
      <c r="I13" s="24" t="inlineStr"/>
      <c r="J13" s="24" t="inlineStr">
        <is>
          <t>2023/01/12</t>
        </is>
      </c>
    </row>
    <row r="14">
      <c r="B14" s="24" t="inlineStr">
        <is>
          <t>user_right</t>
        </is>
      </c>
      <c r="C14" s="24" t="inlineStr">
        <is>
          <t>INPUTUSERID</t>
        </is>
      </c>
      <c r="D14" s="24" t="inlineStr">
        <is>
          <t>varchar(32)</t>
        </is>
      </c>
      <c r="E14" s="24" t="inlineStr">
        <is>
          <t>YES</t>
        </is>
      </c>
      <c r="F14" s="24" t="inlineStr">
        <is>
          <t>登记人</t>
        </is>
      </c>
      <c r="G14" s="24" t="n"/>
      <c r="H14" s="24" t="n"/>
      <c r="I14" s="24" t="inlineStr"/>
      <c r="J14" s="24" t="inlineStr">
        <is>
          <t>2023/01/12</t>
        </is>
      </c>
    </row>
    <row r="15">
      <c r="B15" s="24" t="inlineStr">
        <is>
          <t>user_right</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user_right</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user_right</t>
        </is>
      </c>
      <c r="C17" s="24" t="inlineStr">
        <is>
          <t>UPDATEUSERID</t>
        </is>
      </c>
      <c r="D17" s="24" t="inlineStr">
        <is>
          <t>varchar(32)</t>
        </is>
      </c>
      <c r="E17" s="24" t="inlineStr">
        <is>
          <t>YES</t>
        </is>
      </c>
      <c r="F17" s="24" t="inlineStr">
        <is>
          <t>更新人</t>
        </is>
      </c>
      <c r="G17" s="24" t="n"/>
      <c r="H17" s="24" t="n"/>
      <c r="I17" s="24" t="inlineStr"/>
      <c r="J17" s="24" t="inlineStr">
        <is>
          <t>2023/01/12</t>
        </is>
      </c>
    </row>
    <row r="18">
      <c r="B18" s="24" t="inlineStr">
        <is>
          <t>user_right</t>
        </is>
      </c>
      <c r="C18" s="24" t="inlineStr">
        <is>
          <t>UPDATEDATE</t>
        </is>
      </c>
      <c r="D18" s="24" t="inlineStr">
        <is>
          <t>datetime</t>
        </is>
      </c>
      <c r="E18" s="24" t="inlineStr">
        <is>
          <t>YES</t>
        </is>
      </c>
      <c r="F18" s="24" t="inlineStr">
        <is>
          <t>更新日期</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181.xml><?xml version="1.0" encoding="utf-8"?>
<worksheet xmlns="http://schemas.openxmlformats.org/spreadsheetml/2006/main">
  <sheetPr>
    <outlinePr summaryBelow="1" summaryRight="1"/>
    <pageSetUpPr/>
  </sheetPr>
  <dimension ref="A1:J25"/>
  <sheetViews>
    <sheetView zoomScaleSheetLayoutView="60" workbookViewId="0">
      <selection activeCell="J25" sqref="A1:J25"/>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1">
        <f>HYPERLINK("#表结构清单!A1","返回")</f>
        <v/>
      </c>
      <c r="B1" t="inlineStr">
        <is>
          <t>用户角色关系;用户角色表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user_role</t>
        </is>
      </c>
      <c r="C3" s="24" t="inlineStr">
        <is>
          <t>USERID</t>
        </is>
      </c>
      <c r="D3" s="24" t="inlineStr">
        <is>
          <t>varchar(32)</t>
        </is>
      </c>
      <c r="E3" s="24" t="inlineStr">
        <is>
          <t>NO</t>
        </is>
      </c>
      <c r="F3" s="24" t="inlineStr">
        <is>
          <t>用户编号</t>
        </is>
      </c>
      <c r="G3" s="24" t="n"/>
      <c r="H3" s="24" t="n"/>
      <c r="I3" s="24" t="inlineStr"/>
      <c r="J3" s="24" t="inlineStr">
        <is>
          <t>2023/01/12</t>
        </is>
      </c>
    </row>
    <row r="4">
      <c r="B4" s="24" t="inlineStr">
        <is>
          <t>user_role</t>
        </is>
      </c>
      <c r="C4" s="24" t="inlineStr">
        <is>
          <t>ROLEID</t>
        </is>
      </c>
      <c r="D4" s="24" t="inlineStr">
        <is>
          <t>varchar(32)</t>
        </is>
      </c>
      <c r="E4" s="24" t="inlineStr">
        <is>
          <t>NO</t>
        </is>
      </c>
      <c r="F4" s="24" t="inlineStr">
        <is>
          <t>角色编号</t>
        </is>
      </c>
      <c r="G4" s="24" t="n"/>
      <c r="H4" s="24" t="n"/>
      <c r="I4" s="24" t="inlineStr"/>
      <c r="J4" s="24" t="inlineStr">
        <is>
          <t>2023/01/12</t>
        </is>
      </c>
    </row>
    <row r="5">
      <c r="B5" s="24" t="inlineStr">
        <is>
          <t>user_role</t>
        </is>
      </c>
      <c r="C5" s="24" t="inlineStr">
        <is>
          <t>GRANTOR</t>
        </is>
      </c>
      <c r="D5" s="24" t="inlineStr">
        <is>
          <t>varchar(32)</t>
        </is>
      </c>
      <c r="E5" s="24" t="inlineStr">
        <is>
          <t>NO</t>
        </is>
      </c>
      <c r="F5" s="24" t="inlineStr">
        <is>
          <t>授权人</t>
        </is>
      </c>
      <c r="G5" s="24" t="n"/>
      <c r="H5" s="24" t="n"/>
      <c r="I5" s="24" t="inlineStr"/>
      <c r="J5" s="24" t="inlineStr">
        <is>
          <t>2023/01/12</t>
        </is>
      </c>
    </row>
    <row r="6">
      <c r="B6" s="24" t="inlineStr">
        <is>
          <t>user_role</t>
        </is>
      </c>
      <c r="C6" s="24" t="inlineStr">
        <is>
          <t>BEGINTIME</t>
        </is>
      </c>
      <c r="D6" s="24" t="inlineStr">
        <is>
          <t>varchar(32)</t>
        </is>
      </c>
      <c r="E6" s="24" t="inlineStr">
        <is>
          <t>NO</t>
        </is>
      </c>
      <c r="F6" s="24" t="inlineStr">
        <is>
          <t>开始日</t>
        </is>
      </c>
      <c r="G6" s="24" t="n"/>
      <c r="H6" s="24" t="n"/>
      <c r="I6" s="24" t="inlineStr"/>
      <c r="J6" s="24" t="inlineStr">
        <is>
          <t>2023/01/12</t>
        </is>
      </c>
    </row>
    <row r="7">
      <c r="B7" s="24" t="inlineStr">
        <is>
          <t>user_role</t>
        </is>
      </c>
      <c r="C7" s="24" t="inlineStr">
        <is>
          <t>ENDTIME</t>
        </is>
      </c>
      <c r="D7" s="24" t="inlineStr">
        <is>
          <t>varchar(32)</t>
        </is>
      </c>
      <c r="E7" s="24" t="inlineStr">
        <is>
          <t>YES</t>
        </is>
      </c>
      <c r="F7" s="24" t="inlineStr">
        <is>
          <t>结束日</t>
        </is>
      </c>
      <c r="G7" s="24" t="n"/>
      <c r="H7" s="24" t="n"/>
      <c r="I7" s="24" t="inlineStr"/>
      <c r="J7" s="24" t="inlineStr">
        <is>
          <t>2023/01/12</t>
        </is>
      </c>
    </row>
    <row r="8">
      <c r="B8" s="24" t="inlineStr">
        <is>
          <t>user_role</t>
        </is>
      </c>
      <c r="C8" s="24" t="inlineStr">
        <is>
          <t>ATTRIBUTE</t>
        </is>
      </c>
      <c r="D8" s="24" t="inlineStr">
        <is>
          <t>varchar(80)</t>
        </is>
      </c>
      <c r="E8" s="24" t="inlineStr">
        <is>
          <t>YES</t>
        </is>
      </c>
      <c r="F8" s="24" t="inlineStr">
        <is>
          <t>属性</t>
        </is>
      </c>
      <c r="G8" s="24" t="n"/>
      <c r="H8" s="24" t="n"/>
      <c r="I8" s="24" t="inlineStr"/>
      <c r="J8" s="24" t="inlineStr">
        <is>
          <t>2023/01/12</t>
        </is>
      </c>
    </row>
    <row r="9">
      <c r="B9" s="24" t="inlineStr">
        <is>
          <t>user_role</t>
        </is>
      </c>
      <c r="C9" s="24" t="inlineStr">
        <is>
          <t>STATUS</t>
        </is>
      </c>
      <c r="D9" s="24" t="inlineStr">
        <is>
          <t>varchar(80)</t>
        </is>
      </c>
      <c r="E9" s="24" t="inlineStr">
        <is>
          <t>YES</t>
        </is>
      </c>
      <c r="F9" s="24" t="inlineStr">
        <is>
          <t>状态</t>
        </is>
      </c>
      <c r="G9" s="24" t="n"/>
      <c r="H9" s="24" t="n"/>
      <c r="I9" s="24" t="inlineStr"/>
      <c r="J9" s="24" t="inlineStr">
        <is>
          <t>2023/01/12</t>
        </is>
      </c>
    </row>
    <row r="10">
      <c r="B10" s="24" t="inlineStr">
        <is>
          <t>user_role</t>
        </is>
      </c>
      <c r="C10" s="24" t="inlineStr">
        <is>
          <t>REMARK</t>
        </is>
      </c>
      <c r="D10" s="24" t="inlineStr">
        <is>
          <t>varchar(500)</t>
        </is>
      </c>
      <c r="E10" s="24" t="inlineStr">
        <is>
          <t>YES</t>
        </is>
      </c>
      <c r="F10" s="24" t="inlineStr">
        <is>
          <t>备注</t>
        </is>
      </c>
      <c r="G10" s="24" t="n"/>
      <c r="H10" s="24" t="n"/>
      <c r="I10" s="24" t="inlineStr"/>
      <c r="J10" s="24" t="inlineStr">
        <is>
          <t>2023/01/12</t>
        </is>
      </c>
    </row>
    <row r="11">
      <c r="B11" s="24" t="inlineStr">
        <is>
          <t>user_role</t>
        </is>
      </c>
      <c r="C11" s="24" t="inlineStr">
        <is>
          <t>INPUTUSER</t>
        </is>
      </c>
      <c r="D11" s="24" t="inlineStr">
        <is>
          <t>varchar(32)</t>
        </is>
      </c>
      <c r="E11" s="24" t="inlineStr">
        <is>
          <t>YES</t>
        </is>
      </c>
      <c r="F11" s="24" t="inlineStr">
        <is>
          <t>登记人</t>
        </is>
      </c>
      <c r="G11" s="24" t="n"/>
      <c r="H11" s="24" t="n"/>
      <c r="I11" s="24" t="inlineStr"/>
      <c r="J11" s="24" t="inlineStr">
        <is>
          <t>2023/01/12</t>
        </is>
      </c>
    </row>
    <row r="12">
      <c r="B12" s="24" t="inlineStr">
        <is>
          <t>user_role</t>
        </is>
      </c>
      <c r="C12" s="24" t="inlineStr">
        <is>
          <t>INPUTORG</t>
        </is>
      </c>
      <c r="D12" s="24" t="inlineStr">
        <is>
          <t>varchar(32)</t>
        </is>
      </c>
      <c r="E12" s="24" t="inlineStr">
        <is>
          <t>YES</t>
        </is>
      </c>
      <c r="F12" s="24" t="inlineStr">
        <is>
          <t>登记机构</t>
        </is>
      </c>
      <c r="G12" s="24" t="n"/>
      <c r="H12" s="24" t="n"/>
      <c r="I12" s="24" t="inlineStr"/>
      <c r="J12" s="24" t="inlineStr">
        <is>
          <t>2023/01/12</t>
        </is>
      </c>
    </row>
    <row r="13">
      <c r="B13" s="24" t="inlineStr">
        <is>
          <t>user_role</t>
        </is>
      </c>
      <c r="C13" s="24" t="inlineStr">
        <is>
          <t>INPUTTIME</t>
        </is>
      </c>
      <c r="D13" s="24" t="inlineStr">
        <is>
          <t>varchar(32)</t>
        </is>
      </c>
      <c r="E13" s="24" t="inlineStr">
        <is>
          <t>YES</t>
        </is>
      </c>
      <c r="F13" s="24" t="inlineStr">
        <is>
          <t>登记时间</t>
        </is>
      </c>
      <c r="G13" s="24" t="n"/>
      <c r="H13" s="24" t="n"/>
      <c r="I13" s="24" t="inlineStr"/>
      <c r="J13" s="24" t="inlineStr">
        <is>
          <t>2023/01/12</t>
        </is>
      </c>
    </row>
    <row r="14">
      <c r="B14" s="24" t="inlineStr">
        <is>
          <t>user_role</t>
        </is>
      </c>
      <c r="C14" s="24" t="inlineStr">
        <is>
          <t>UPDATEUSER</t>
        </is>
      </c>
      <c r="D14" s="24" t="inlineStr">
        <is>
          <t>varchar(32)</t>
        </is>
      </c>
      <c r="E14" s="24" t="inlineStr">
        <is>
          <t>YES</t>
        </is>
      </c>
      <c r="F14" s="24" t="inlineStr">
        <is>
          <t>更新人</t>
        </is>
      </c>
      <c r="G14" s="24" t="n"/>
      <c r="H14" s="24" t="n"/>
      <c r="I14" s="24" t="inlineStr"/>
      <c r="J14" s="24" t="inlineStr">
        <is>
          <t>2023/01/12</t>
        </is>
      </c>
    </row>
    <row r="15">
      <c r="B15" s="24" t="inlineStr">
        <is>
          <t>user_role</t>
        </is>
      </c>
      <c r="C15" s="24" t="inlineStr">
        <is>
          <t>UPDATETIME</t>
        </is>
      </c>
      <c r="D15" s="24" t="inlineStr">
        <is>
          <t>varchar(32)</t>
        </is>
      </c>
      <c r="E15" s="24" t="inlineStr">
        <is>
          <t>YES</t>
        </is>
      </c>
      <c r="F15" s="24" t="inlineStr">
        <is>
          <t>更新时间</t>
        </is>
      </c>
      <c r="G15" s="24" t="n"/>
      <c r="H15" s="24" t="n"/>
      <c r="I15" s="24" t="inlineStr"/>
      <c r="J15" s="24" t="inlineStr">
        <is>
          <t>2023/01/12</t>
        </is>
      </c>
    </row>
    <row r="16">
      <c r="B16" s="24" t="inlineStr">
        <is>
          <t>user_role</t>
        </is>
      </c>
      <c r="C16" s="24" t="inlineStr">
        <is>
          <t>GRANTORGID</t>
        </is>
      </c>
      <c r="D16" s="24" t="inlineStr">
        <is>
          <t>varchar(32)</t>
        </is>
      </c>
      <c r="E16" s="24" t="inlineStr">
        <is>
          <t>YES</t>
        </is>
      </c>
      <c r="F16" s="24" t="inlineStr">
        <is>
          <t>授权机构编号</t>
        </is>
      </c>
      <c r="G16" s="24" t="n"/>
      <c r="H16" s="24" t="n"/>
      <c r="I16" s="24" t="inlineStr"/>
      <c r="J16" s="24" t="inlineStr">
        <is>
          <t>2023/01/12</t>
        </is>
      </c>
    </row>
    <row r="17">
      <c r="B17" s="24" t="inlineStr">
        <is>
          <t>user_role</t>
        </is>
      </c>
      <c r="C17" s="24" t="inlineStr">
        <is>
          <t>UPDATEDATE</t>
        </is>
      </c>
      <c r="D17" s="24" t="inlineStr">
        <is>
          <t>datetime</t>
        </is>
      </c>
      <c r="E17" s="24" t="inlineStr">
        <is>
          <t>YES</t>
        </is>
      </c>
      <c r="F17" s="24" t="inlineStr">
        <is>
          <t>更新日期</t>
        </is>
      </c>
      <c r="G17" s="24" t="n"/>
      <c r="H17" s="24" t="n"/>
      <c r="I17" s="24" t="inlineStr"/>
      <c r="J17" s="24" t="inlineStr">
        <is>
          <t>2023/01/12</t>
        </is>
      </c>
    </row>
    <row r="18">
      <c r="B18" s="24" t="inlineStr">
        <is>
          <t>user_role</t>
        </is>
      </c>
      <c r="C18" s="24" t="inlineStr">
        <is>
          <t>INPUTDATE</t>
        </is>
      </c>
      <c r="D18" s="24" t="inlineStr">
        <is>
          <t>datetime</t>
        </is>
      </c>
      <c r="E18" s="24" t="inlineStr">
        <is>
          <t>YES</t>
        </is>
      </c>
      <c r="F18" s="24" t="inlineStr">
        <is>
          <t>登记日期</t>
        </is>
      </c>
      <c r="G18" s="24" t="n"/>
      <c r="H18" s="24" t="n"/>
      <c r="I18" s="24" t="inlineStr"/>
      <c r="J18" s="24" t="inlineStr">
        <is>
          <t>2023/01/12</t>
        </is>
      </c>
    </row>
    <row r="19">
      <c r="B19" s="24" t="inlineStr">
        <is>
          <t>user_role</t>
        </is>
      </c>
      <c r="C19" s="24" t="inlineStr">
        <is>
          <t>UPDATEUSERID</t>
        </is>
      </c>
      <c r="D19" s="24" t="inlineStr">
        <is>
          <t>varchar(32)</t>
        </is>
      </c>
      <c r="E19" s="24" t="inlineStr">
        <is>
          <t>YES</t>
        </is>
      </c>
      <c r="F19" s="24" t="inlineStr">
        <is>
          <t>更新人编号</t>
        </is>
      </c>
      <c r="G19" s="24" t="n"/>
      <c r="H19" s="24" t="n"/>
      <c r="I19" s="24" t="inlineStr"/>
      <c r="J19" s="24" t="inlineStr">
        <is>
          <t>2023/01/12</t>
        </is>
      </c>
    </row>
    <row r="20">
      <c r="B20" s="24" t="inlineStr">
        <is>
          <t>user_role</t>
        </is>
      </c>
      <c r="C20" s="24" t="inlineStr">
        <is>
          <t>UPDATEORGID</t>
        </is>
      </c>
      <c r="D20" s="24" t="inlineStr">
        <is>
          <t>varchar(32)</t>
        </is>
      </c>
      <c r="E20" s="24" t="inlineStr">
        <is>
          <t>YES</t>
        </is>
      </c>
      <c r="F20" s="24" t="inlineStr">
        <is>
          <t>更新机构</t>
        </is>
      </c>
      <c r="G20" s="24" t="n"/>
      <c r="H20" s="24" t="n"/>
      <c r="I20" s="24" t="inlineStr"/>
      <c r="J20" s="24" t="inlineStr">
        <is>
          <t>2023/01/12</t>
        </is>
      </c>
    </row>
    <row r="21">
      <c r="B21" s="24" t="inlineStr">
        <is>
          <t>user_role</t>
        </is>
      </c>
      <c r="C21" s="24" t="inlineStr">
        <is>
          <t>INPUTORGID</t>
        </is>
      </c>
      <c r="D21" s="24" t="inlineStr">
        <is>
          <t>varchar(32)</t>
        </is>
      </c>
      <c r="E21" s="24" t="inlineStr">
        <is>
          <t>YES</t>
        </is>
      </c>
      <c r="F21" s="24" t="inlineStr">
        <is>
          <t>登记机构编号</t>
        </is>
      </c>
      <c r="G21" s="24" t="n"/>
      <c r="H21" s="24" t="n"/>
      <c r="I21" s="24" t="inlineStr"/>
      <c r="J21" s="24" t="inlineStr">
        <is>
          <t>2023/01/12</t>
        </is>
      </c>
    </row>
    <row r="22">
      <c r="B22" s="24" t="inlineStr">
        <is>
          <t>user_role</t>
        </is>
      </c>
      <c r="C22" s="24" t="inlineStr">
        <is>
          <t>INPUTUSERID</t>
        </is>
      </c>
      <c r="D22" s="24" t="inlineStr">
        <is>
          <t>varchar(32)</t>
        </is>
      </c>
      <c r="E22" s="24" t="inlineStr">
        <is>
          <t>YES</t>
        </is>
      </c>
      <c r="F22" s="24" t="inlineStr">
        <is>
          <t>登记人编号</t>
        </is>
      </c>
      <c r="G22" s="24" t="n"/>
      <c r="H22" s="24" t="n"/>
      <c r="I22" s="24" t="inlineStr"/>
      <c r="J22" s="24" t="inlineStr">
        <is>
          <t>2023/01/12</t>
        </is>
      </c>
    </row>
    <row r="23">
      <c r="B23" s="24" t="inlineStr">
        <is>
          <t>user_role</t>
        </is>
      </c>
      <c r="C23" s="24" t="inlineStr">
        <is>
          <t>BEGINDATE</t>
        </is>
      </c>
      <c r="D23" s="24" t="inlineStr">
        <is>
          <t>datetime</t>
        </is>
      </c>
      <c r="E23" s="24" t="inlineStr">
        <is>
          <t>YES</t>
        </is>
      </c>
      <c r="F23" s="24" t="inlineStr">
        <is>
          <t>开始日期</t>
        </is>
      </c>
      <c r="G23" s="24" t="n"/>
      <c r="H23" s="24" t="n"/>
      <c r="I23" s="24" t="inlineStr"/>
      <c r="J23" s="24" t="inlineStr">
        <is>
          <t>2023/01/12</t>
        </is>
      </c>
    </row>
    <row r="24">
      <c r="B24" s="24" t="inlineStr">
        <is>
          <t>user_role</t>
        </is>
      </c>
      <c r="C24" s="24" t="inlineStr">
        <is>
          <t>ENDDATE</t>
        </is>
      </c>
      <c r="D24" s="24" t="inlineStr">
        <is>
          <t>datetime</t>
        </is>
      </c>
      <c r="E24" s="24" t="inlineStr">
        <is>
          <t>YES</t>
        </is>
      </c>
      <c r="F24" s="24" t="inlineStr">
        <is>
          <t>截止日期</t>
        </is>
      </c>
      <c r="G24" s="24" t="n"/>
      <c r="H24" s="24" t="n"/>
      <c r="I24" s="24" t="inlineStr"/>
      <c r="J24" s="24" t="inlineStr">
        <is>
          <t>2023/01/12</t>
        </is>
      </c>
    </row>
    <row r="25">
      <c r="B25" s="24" t="inlineStr">
        <is>
          <t>user_role</t>
        </is>
      </c>
      <c r="C25" s="24" t="inlineStr">
        <is>
          <t>GRANTUSERID</t>
        </is>
      </c>
      <c r="D25" s="24" t="inlineStr">
        <is>
          <t>varchar(32)</t>
        </is>
      </c>
      <c r="E25" s="24" t="inlineStr">
        <is>
          <t>YES</t>
        </is>
      </c>
      <c r="F25" s="24" t="inlineStr">
        <is>
          <t>授权人编号</t>
        </is>
      </c>
      <c r="G25" s="24" t="n"/>
      <c r="H25" s="24" t="n"/>
      <c r="I25" s="24" t="inlineStr"/>
      <c r="J25" s="24" t="inlineStr">
        <is>
          <t>2023/01/12</t>
        </is>
      </c>
    </row>
  </sheetData>
  <pageMargins left="0.75" right="0.75" top="1" bottom="1" header="0.5" footer="0.5"/>
  <pageSetup orientation="portrait" paperSize="1" horizontalDpi="300" verticalDpi="300"/>
</worksheet>
</file>

<file path=xl/worksheets/sheet182.xml><?xml version="1.0" encoding="utf-8"?>
<worksheet xmlns="http://schemas.openxmlformats.org/spreadsheetml/2006/main">
  <sheetPr>
    <outlinePr summaryBelow="1" summaryRight="1"/>
    <pageSetUpPr/>
  </sheetPr>
  <dimension ref="A1:J10"/>
  <sheetViews>
    <sheetView zoomScaleSheetLayoutView="60" workbookViewId="0">
      <selection activeCell="A1" sqref="A1"/>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用户运行时信息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user_runtime</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user_runtime</t>
        </is>
      </c>
      <c r="C4" s="24" t="inlineStr">
        <is>
          <t>SESSIONID</t>
        </is>
      </c>
      <c r="D4" s="24" t="inlineStr">
        <is>
          <t>varchar(80)</t>
        </is>
      </c>
      <c r="E4" s="24" t="inlineStr">
        <is>
          <t>NO</t>
        </is>
      </c>
      <c r="F4" s="24" t="inlineStr">
        <is>
          <t>SESSION编号</t>
        </is>
      </c>
      <c r="G4" s="24" t="n"/>
      <c r="H4" s="24" t="n"/>
      <c r="I4" s="24" t="inlineStr"/>
      <c r="J4" s="24" t="inlineStr">
        <is>
          <t>2023/01/12</t>
        </is>
      </c>
    </row>
    <row r="5">
      <c r="B5" s="24" t="inlineStr">
        <is>
          <t>user_runtime</t>
        </is>
      </c>
      <c r="C5" s="24" t="inlineStr">
        <is>
          <t>BEGINTIME</t>
        </is>
      </c>
      <c r="D5" s="24" t="inlineStr">
        <is>
          <t>varchar(32)</t>
        </is>
      </c>
      <c r="E5" s="24" t="inlineStr">
        <is>
          <t>NO</t>
        </is>
      </c>
      <c r="F5" s="24" t="inlineStr">
        <is>
          <t>开始时间</t>
        </is>
      </c>
      <c r="G5" s="24" t="n"/>
      <c r="H5" s="24" t="n"/>
      <c r="I5" s="24" t="inlineStr"/>
      <c r="J5" s="24" t="inlineStr">
        <is>
          <t>2023/01/12</t>
        </is>
      </c>
    </row>
    <row r="6">
      <c r="B6" s="24" t="inlineStr">
        <is>
          <t>user_runtime</t>
        </is>
      </c>
      <c r="C6" s="24" t="inlineStr">
        <is>
          <t>USERID</t>
        </is>
      </c>
      <c r="D6" s="24" t="inlineStr">
        <is>
          <t>varchar(32)</t>
        </is>
      </c>
      <c r="E6" s="24" t="inlineStr">
        <is>
          <t>NO</t>
        </is>
      </c>
      <c r="F6" s="24" t="inlineStr">
        <is>
          <t>用户号</t>
        </is>
      </c>
      <c r="G6" s="24" t="n"/>
      <c r="H6" s="24" t="n"/>
      <c r="I6" s="24" t="inlineStr"/>
      <c r="J6" s="24" t="inlineStr">
        <is>
          <t>2023/01/12</t>
        </is>
      </c>
    </row>
    <row r="7">
      <c r="B7" s="24" t="inlineStr">
        <is>
          <t>user_runtime</t>
        </is>
      </c>
      <c r="C7" s="24" t="inlineStr">
        <is>
          <t>USERNAME</t>
        </is>
      </c>
      <c r="D7" s="24" t="inlineStr">
        <is>
          <t>varchar(80)</t>
        </is>
      </c>
      <c r="E7" s="24" t="inlineStr">
        <is>
          <t>YES</t>
        </is>
      </c>
      <c r="F7" s="24" t="inlineStr">
        <is>
          <t>用户名</t>
        </is>
      </c>
      <c r="G7" s="24" t="n"/>
      <c r="H7" s="24" t="n"/>
      <c r="I7" s="24" t="inlineStr"/>
      <c r="J7" s="24" t="inlineStr">
        <is>
          <t>2023/01/12</t>
        </is>
      </c>
    </row>
    <row r="8">
      <c r="B8" s="24" t="inlineStr">
        <is>
          <t>user_runtime</t>
        </is>
      </c>
      <c r="C8" s="24" t="inlineStr">
        <is>
          <t>JSPNAME</t>
        </is>
      </c>
      <c r="D8" s="24" t="inlineStr">
        <is>
          <t>varchar(200)</t>
        </is>
      </c>
      <c r="E8" s="24" t="inlineStr">
        <is>
          <t>NO</t>
        </is>
      </c>
      <c r="F8" s="24" t="inlineStr">
        <is>
          <t>JSP名称</t>
        </is>
      </c>
      <c r="G8" s="24" t="n"/>
      <c r="H8" s="24" t="n"/>
      <c r="I8" s="24" t="inlineStr"/>
      <c r="J8" s="24" t="inlineStr">
        <is>
          <t>2023/01/12</t>
        </is>
      </c>
    </row>
    <row r="9">
      <c r="B9" s="24" t="inlineStr">
        <is>
          <t>user_runtime</t>
        </is>
      </c>
      <c r="C9" s="24" t="inlineStr">
        <is>
          <t>ENDTIME</t>
        </is>
      </c>
      <c r="D9" s="24" t="inlineStr">
        <is>
          <t>varchar(32)</t>
        </is>
      </c>
      <c r="E9" s="24" t="inlineStr">
        <is>
          <t>YES</t>
        </is>
      </c>
      <c r="F9" s="24" t="inlineStr">
        <is>
          <t>结束时间</t>
        </is>
      </c>
      <c r="G9" s="24" t="n"/>
      <c r="H9" s="24" t="n"/>
      <c r="I9" s="24" t="inlineStr"/>
      <c r="J9" s="24" t="inlineStr">
        <is>
          <t>2023/01/12</t>
        </is>
      </c>
    </row>
    <row r="10">
      <c r="B10" s="24" t="inlineStr">
        <is>
          <t>user_runtime</t>
        </is>
      </c>
      <c r="C10" s="24" t="inlineStr">
        <is>
          <t>TIMECONSUMING</t>
        </is>
      </c>
      <c r="D10" s="24" t="inlineStr">
        <is>
          <t>decimal(24,6)</t>
        </is>
      </c>
      <c r="E10" s="24" t="inlineStr">
        <is>
          <t>YES</t>
        </is>
      </c>
      <c r="F10" s="24" t="inlineStr">
        <is>
          <t>耗时</t>
        </is>
      </c>
      <c r="G10" s="24" t="n"/>
      <c r="H10" s="24" t="n"/>
      <c r="I10" s="24" t="inlineStr"/>
      <c r="J10" s="24" t="inlineStr">
        <is>
          <t>2023/01/12</t>
        </is>
      </c>
    </row>
  </sheetData>
  <pageMargins left="0.75" right="0.75" top="1" bottom="1" header="0.5" footer="0.5"/>
  <pageSetup orientation="portrait" paperSize="1" horizontalDpi="300" verticalDpi="300"/>
</worksheet>
</file>

<file path=xl/worksheets/sheet183.xml><?xml version="1.0" encoding="utf-8"?>
<worksheet xmlns="http://schemas.openxmlformats.org/spreadsheetml/2006/main">
  <sheetPr>
    <outlinePr summaryBelow="1" summaryRight="1"/>
    <pageSetUpPr/>
  </sheetPr>
  <dimension ref="A1:J18"/>
  <sheetViews>
    <sheetView zoomScaleSheetLayoutView="60" workbookViewId="0">
      <selection activeCell="D3" sqref="D3:D19"/>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用户工作日志表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user_worktips</t>
        </is>
      </c>
      <c r="C3" s="24" t="inlineStr">
        <is>
          <t>SERIALNO</t>
        </is>
      </c>
      <c r="D3" s="24" t="inlineStr">
        <is>
          <t>varchar(32)</t>
        </is>
      </c>
      <c r="E3" s="24" t="inlineStr">
        <is>
          <t>NO</t>
        </is>
      </c>
      <c r="F3" s="24" t="inlineStr">
        <is>
          <t>流水号</t>
        </is>
      </c>
      <c r="G3" s="24" t="n"/>
      <c r="H3" s="24" t="n"/>
      <c r="I3" s="24" t="inlineStr"/>
      <c r="J3" s="24" t="inlineStr">
        <is>
          <t>2023/01/12</t>
        </is>
      </c>
    </row>
    <row r="4">
      <c r="B4" s="24" t="inlineStr">
        <is>
          <t>user_worktips</t>
        </is>
      </c>
      <c r="C4" s="24" t="inlineStr">
        <is>
          <t>USERID</t>
        </is>
      </c>
      <c r="D4" s="24" t="inlineStr">
        <is>
          <t>varchar(32)</t>
        </is>
      </c>
      <c r="E4" s="24" t="inlineStr">
        <is>
          <t>NO</t>
        </is>
      </c>
      <c r="F4" s="24" t="inlineStr">
        <is>
          <t>用户号</t>
        </is>
      </c>
      <c r="G4" s="24" t="n"/>
      <c r="H4" s="24" t="n"/>
      <c r="I4" s="24" t="inlineStr"/>
      <c r="J4" s="24" t="inlineStr">
        <is>
          <t>2023/01/12</t>
        </is>
      </c>
    </row>
    <row r="5">
      <c r="B5" s="24" t="inlineStr">
        <is>
          <t>user_worktips</t>
        </is>
      </c>
      <c r="C5" s="24" t="inlineStr">
        <is>
          <t>TABID</t>
        </is>
      </c>
      <c r="D5" s="24" t="inlineStr">
        <is>
          <t>varchar(32)</t>
        </is>
      </c>
      <c r="E5" s="24" t="inlineStr">
        <is>
          <t>NO</t>
        </is>
      </c>
      <c r="F5" s="24" t="inlineStr">
        <is>
          <t>标签号</t>
        </is>
      </c>
      <c r="G5" s="24" t="n"/>
      <c r="H5" s="24" t="n"/>
      <c r="I5" s="24" t="inlineStr"/>
      <c r="J5" s="24" t="inlineStr">
        <is>
          <t>2023/01/12</t>
        </is>
      </c>
    </row>
    <row r="6">
      <c r="B6" s="24" t="inlineStr">
        <is>
          <t>user_worktips</t>
        </is>
      </c>
      <c r="C6" s="24" t="inlineStr">
        <is>
          <t>TABNAME</t>
        </is>
      </c>
      <c r="D6" s="24" t="inlineStr">
        <is>
          <t>varchar(80)</t>
        </is>
      </c>
      <c r="E6" s="24" t="inlineStr">
        <is>
          <t>NO</t>
        </is>
      </c>
      <c r="F6" s="24" t="inlineStr">
        <is>
          <t>标签名称</t>
        </is>
      </c>
      <c r="G6" s="24" t="n"/>
      <c r="H6" s="24" t="n"/>
      <c r="I6" s="24" t="inlineStr"/>
      <c r="J6" s="24" t="inlineStr">
        <is>
          <t>2023/01/12</t>
        </is>
      </c>
    </row>
    <row r="7">
      <c r="B7" s="24" t="inlineStr">
        <is>
          <t>user_worktips</t>
        </is>
      </c>
      <c r="C7" s="24" t="inlineStr">
        <is>
          <t>SCRIPT</t>
        </is>
      </c>
      <c r="D7" s="24" t="inlineStr">
        <is>
          <t>varchar(1000)</t>
        </is>
      </c>
      <c r="E7" s="24" t="inlineStr">
        <is>
          <t>YES</t>
        </is>
      </c>
      <c r="F7" s="24" t="inlineStr">
        <is>
          <t>脚本路径</t>
        </is>
      </c>
      <c r="G7" s="24" t="n"/>
      <c r="H7" s="24" t="n"/>
      <c r="I7" s="24" t="inlineStr"/>
      <c r="J7" s="24" t="inlineStr">
        <is>
          <t>2023/01/12</t>
        </is>
      </c>
    </row>
    <row r="8">
      <c r="B8" s="24" t="inlineStr">
        <is>
          <t>user_worktips</t>
        </is>
      </c>
      <c r="C8" s="24" t="inlineStr">
        <is>
          <t>CACHEFLAG</t>
        </is>
      </c>
      <c r="D8" s="24" t="inlineStr">
        <is>
          <t>varchar(6)</t>
        </is>
      </c>
      <c r="E8" s="24" t="inlineStr">
        <is>
          <t>YES</t>
        </is>
      </c>
      <c r="F8" s="24" t="inlineStr">
        <is>
          <t>缓冲标志</t>
        </is>
      </c>
      <c r="G8" s="24" t="n"/>
      <c r="H8" s="24" t="n"/>
      <c r="I8" s="24" t="inlineStr"/>
      <c r="J8" s="24" t="inlineStr">
        <is>
          <t>2023/01/12</t>
        </is>
      </c>
    </row>
    <row r="9">
      <c r="B9" s="24" t="inlineStr">
        <is>
          <t>user_worktips</t>
        </is>
      </c>
      <c r="C9" s="24" t="inlineStr">
        <is>
          <t>CLOSEFLAG</t>
        </is>
      </c>
      <c r="D9" s="24" t="inlineStr">
        <is>
          <t>varchar(6)</t>
        </is>
      </c>
      <c r="E9" s="24" t="inlineStr">
        <is>
          <t>YES</t>
        </is>
      </c>
      <c r="F9" s="24" t="inlineStr">
        <is>
          <t>完成标志</t>
        </is>
      </c>
      <c r="G9" s="24" t="n"/>
      <c r="H9" s="24" t="n"/>
      <c r="I9" s="24" t="inlineStr"/>
      <c r="J9" s="24" t="inlineStr">
        <is>
          <t>2023/01/12</t>
        </is>
      </c>
    </row>
    <row r="10">
      <c r="B10" s="24" t="inlineStr">
        <is>
          <t>user_worktips</t>
        </is>
      </c>
      <c r="C10" s="24" t="inlineStr">
        <is>
          <t>REMARK</t>
        </is>
      </c>
      <c r="D10" s="24" t="inlineStr">
        <is>
          <t>varchar(500)</t>
        </is>
      </c>
      <c r="E10" s="24" t="inlineStr">
        <is>
          <t>YES</t>
        </is>
      </c>
      <c r="F10" s="24" t="inlineStr">
        <is>
          <t>备注</t>
        </is>
      </c>
      <c r="G10" s="24" t="n"/>
      <c r="H10" s="24" t="n"/>
      <c r="I10" s="24" t="inlineStr"/>
      <c r="J10" s="24" t="inlineStr">
        <is>
          <t>2023/01/12</t>
        </is>
      </c>
    </row>
    <row r="11">
      <c r="B11" s="24" t="inlineStr">
        <is>
          <t>user_worktips</t>
        </is>
      </c>
      <c r="C11" s="24" t="inlineStr">
        <is>
          <t>INPUTTIME</t>
        </is>
      </c>
      <c r="D11" s="24" t="inlineStr">
        <is>
          <t>varchar(32)</t>
        </is>
      </c>
      <c r="E11" s="24" t="inlineStr">
        <is>
          <t>YES</t>
        </is>
      </c>
      <c r="F11" s="24" t="inlineStr">
        <is>
          <t>登记时间</t>
        </is>
      </c>
      <c r="G11" s="24" t="n"/>
      <c r="H11" s="24" t="n"/>
      <c r="I11" s="24" t="inlineStr"/>
      <c r="J11" s="24" t="inlineStr">
        <is>
          <t>2023/01/12</t>
        </is>
      </c>
    </row>
    <row r="12">
      <c r="B12" s="24" t="inlineStr">
        <is>
          <t>user_worktips</t>
        </is>
      </c>
      <c r="C12" s="24" t="inlineStr">
        <is>
          <t>UPDATETIME</t>
        </is>
      </c>
      <c r="D12" s="24" t="inlineStr">
        <is>
          <t>varchar(32)</t>
        </is>
      </c>
      <c r="E12" s="24" t="inlineStr">
        <is>
          <t>YES</t>
        </is>
      </c>
      <c r="F12" s="24" t="inlineStr">
        <is>
          <t>更新时间</t>
        </is>
      </c>
      <c r="G12" s="24" t="n"/>
      <c r="H12" s="24" t="n"/>
      <c r="I12" s="24" t="inlineStr"/>
      <c r="J12" s="24" t="inlineStr">
        <is>
          <t>2023/01/12</t>
        </is>
      </c>
    </row>
    <row r="13">
      <c r="B13" s="24" t="inlineStr">
        <is>
          <t>user_worktips</t>
        </is>
      </c>
      <c r="C13" s="24" t="inlineStr">
        <is>
          <t>INPUTORGID</t>
        </is>
      </c>
      <c r="D13" s="24" t="inlineStr">
        <is>
          <t>varchar(32)</t>
        </is>
      </c>
      <c r="E13" s="24" t="inlineStr">
        <is>
          <t>YES</t>
        </is>
      </c>
      <c r="F13" s="24" t="inlineStr">
        <is>
          <t>登记机构</t>
        </is>
      </c>
      <c r="G13" s="24" t="n"/>
      <c r="H13" s="24" t="n"/>
      <c r="I13" s="24" t="inlineStr"/>
      <c r="J13" s="24" t="inlineStr">
        <is>
          <t>2023/01/12</t>
        </is>
      </c>
    </row>
    <row r="14">
      <c r="B14" s="24" t="inlineStr">
        <is>
          <t>user_worktips</t>
        </is>
      </c>
      <c r="C14" s="24" t="inlineStr">
        <is>
          <t>INPUTUSERID</t>
        </is>
      </c>
      <c r="D14" s="24" t="inlineStr">
        <is>
          <t>varchar(32)</t>
        </is>
      </c>
      <c r="E14" s="24" t="inlineStr">
        <is>
          <t>YES</t>
        </is>
      </c>
      <c r="F14" s="24" t="inlineStr">
        <is>
          <t>登记人</t>
        </is>
      </c>
      <c r="G14" s="24" t="n"/>
      <c r="H14" s="24" t="n"/>
      <c r="I14" s="24" t="inlineStr"/>
      <c r="J14" s="24" t="inlineStr">
        <is>
          <t>2023/01/12</t>
        </is>
      </c>
    </row>
    <row r="15">
      <c r="B15" s="24" t="inlineStr">
        <is>
          <t>user_worktips</t>
        </is>
      </c>
      <c r="C15" s="24" t="inlineStr">
        <is>
          <t>INPUTDATE</t>
        </is>
      </c>
      <c r="D15" s="24" t="inlineStr">
        <is>
          <t>datetime</t>
        </is>
      </c>
      <c r="E15" s="24" t="inlineStr">
        <is>
          <t>YES</t>
        </is>
      </c>
      <c r="F15" s="24" t="inlineStr">
        <is>
          <t>登记日期</t>
        </is>
      </c>
      <c r="G15" s="24" t="n"/>
      <c r="H15" s="24" t="n"/>
      <c r="I15" s="24" t="inlineStr"/>
      <c r="J15" s="24" t="inlineStr">
        <is>
          <t>2023/01/12</t>
        </is>
      </c>
    </row>
    <row r="16">
      <c r="B16" s="24" t="inlineStr">
        <is>
          <t>user_worktips</t>
        </is>
      </c>
      <c r="C16" s="24" t="inlineStr">
        <is>
          <t>UPDATEORGID</t>
        </is>
      </c>
      <c r="D16" s="24" t="inlineStr">
        <is>
          <t>varchar(32)</t>
        </is>
      </c>
      <c r="E16" s="24" t="inlineStr">
        <is>
          <t>YES</t>
        </is>
      </c>
      <c r="F16" s="24" t="inlineStr">
        <is>
          <t>更新机构</t>
        </is>
      </c>
      <c r="G16" s="24" t="n"/>
      <c r="H16" s="24" t="n"/>
      <c r="I16" s="24" t="inlineStr"/>
      <c r="J16" s="24" t="inlineStr">
        <is>
          <t>2023/01/12</t>
        </is>
      </c>
    </row>
    <row r="17">
      <c r="B17" s="24" t="inlineStr">
        <is>
          <t>user_worktips</t>
        </is>
      </c>
      <c r="C17" s="24" t="inlineStr">
        <is>
          <t>UPDATEUSERID</t>
        </is>
      </c>
      <c r="D17" s="24" t="inlineStr">
        <is>
          <t>varchar(32)</t>
        </is>
      </c>
      <c r="E17" s="24" t="inlineStr">
        <is>
          <t>YES</t>
        </is>
      </c>
      <c r="F17" s="24" t="inlineStr">
        <is>
          <t>更新人</t>
        </is>
      </c>
      <c r="G17" s="24" t="n"/>
      <c r="H17" s="24" t="n"/>
      <c r="I17" s="24" t="inlineStr"/>
      <c r="J17" s="24" t="inlineStr">
        <is>
          <t>2023/01/12</t>
        </is>
      </c>
    </row>
    <row r="18">
      <c r="B18" s="24" t="inlineStr">
        <is>
          <t>user_worktips</t>
        </is>
      </c>
      <c r="C18" s="24" t="inlineStr">
        <is>
          <t>UPDATEDATE</t>
        </is>
      </c>
      <c r="D18" s="24" t="inlineStr">
        <is>
          <t>datetime</t>
        </is>
      </c>
      <c r="E18" s="24" t="inlineStr">
        <is>
          <t>YES</t>
        </is>
      </c>
      <c r="F18" s="24" t="inlineStr">
        <is>
          <t>更新日期</t>
        </is>
      </c>
      <c r="G18" s="24" t="n"/>
      <c r="H18" s="24" t="n"/>
      <c r="I18" s="24" t="inlineStr"/>
      <c r="J18" s="24" t="inlineStr">
        <is>
          <t>2023/01/12</t>
        </is>
      </c>
    </row>
  </sheetData>
  <pageMargins left="0.75" right="0.75" top="1" bottom="1" header="0.5" footer="0.5"/>
  <pageSetup orientation="portrait" paperSize="1" horizontalDpi="300" verticalDpi="300"/>
</worksheet>
</file>

<file path=xl/worksheets/sheet184.xml><?xml version="1.0" encoding="utf-8"?>
<worksheet xmlns="http://schemas.openxmlformats.org/spreadsheetml/2006/main">
  <sheetPr>
    <outlinePr summaryBelow="1" summaryRight="1"/>
    <pageSetUpPr/>
  </sheetPr>
  <dimension ref="A1:J19"/>
  <sheetViews>
    <sheetView zoomScaleSheetLayoutView="60" workbookViewId="0">
      <selection activeCell="F19" sqref="F19"/>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流程的活动(节点)实例</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wf_activeinstance</t>
        </is>
      </c>
      <c r="C3" s="24" t="inlineStr">
        <is>
          <t>Id</t>
        </is>
      </c>
      <c r="D3" s="24" t="inlineStr">
        <is>
          <t>varchar(80)</t>
        </is>
      </c>
      <c r="E3" s="24" t="inlineStr">
        <is>
          <t>NO</t>
        </is>
      </c>
      <c r="F3" s="53" t="inlineStr">
        <is>
          <t>编号</t>
        </is>
      </c>
      <c r="G3" s="24" t="n"/>
      <c r="H3" s="24" t="n"/>
      <c r="I3" s="24" t="inlineStr"/>
      <c r="J3" s="24" t="inlineStr">
        <is>
          <t>2023/01/12</t>
        </is>
      </c>
    </row>
    <row r="4">
      <c r="B4" s="24" t="inlineStr">
        <is>
          <t>wf_activeinstance</t>
        </is>
      </c>
      <c r="C4" s="24" t="inlineStr">
        <is>
          <t>ActiveId</t>
        </is>
      </c>
      <c r="D4" s="24" t="inlineStr">
        <is>
          <t>varchar(80)</t>
        </is>
      </c>
      <c r="E4" s="24" t="inlineStr">
        <is>
          <t>YES</t>
        </is>
      </c>
      <c r="F4" s="53" t="inlineStr">
        <is>
          <t>流程活动编号</t>
        </is>
      </c>
      <c r="G4" s="24" t="n"/>
      <c r="H4" s="24" t="n"/>
      <c r="I4" s="24" t="inlineStr"/>
      <c r="J4" s="24" t="inlineStr">
        <is>
          <t>2023/01/12</t>
        </is>
      </c>
    </row>
    <row r="5">
      <c r="B5" s="24" t="inlineStr">
        <is>
          <t>wf_activeinstance</t>
        </is>
      </c>
      <c r="C5" s="24" t="inlineStr">
        <is>
          <t>FlowId</t>
        </is>
      </c>
      <c r="D5" s="24" t="inlineStr">
        <is>
          <t>varchar(80)</t>
        </is>
      </c>
      <c r="E5" s="24" t="inlineStr">
        <is>
          <t>YES</t>
        </is>
      </c>
      <c r="F5" s="53" t="inlineStr">
        <is>
          <t>流程编号</t>
        </is>
      </c>
      <c r="G5" s="24" t="n"/>
      <c r="H5" s="24" t="n"/>
      <c r="I5" s="24" t="inlineStr"/>
      <c r="J5" s="24" t="inlineStr">
        <is>
          <t>2023/01/12</t>
        </is>
      </c>
    </row>
    <row r="6">
      <c r="B6" s="24" t="inlineStr">
        <is>
          <t>wf_activeinstance</t>
        </is>
      </c>
      <c r="C6" s="24" t="inlineStr">
        <is>
          <t>FlowInstanceId</t>
        </is>
      </c>
      <c r="D6" s="24" t="inlineStr">
        <is>
          <t>varchar(80)</t>
        </is>
      </c>
      <c r="E6" s="24" t="inlineStr">
        <is>
          <t>YES</t>
        </is>
      </c>
      <c r="F6" s="53" t="inlineStr">
        <is>
          <t>流程实例编号</t>
        </is>
      </c>
      <c r="G6" s="24" t="n"/>
      <c r="H6" s="24" t="n"/>
      <c r="I6" s="24" t="inlineStr"/>
      <c r="J6" s="24" t="inlineStr">
        <is>
          <t>2023/01/12</t>
        </is>
      </c>
    </row>
    <row r="7">
      <c r="B7" s="24" t="inlineStr">
        <is>
          <t>wf_activeinstance</t>
        </is>
      </c>
      <c r="C7" s="24" t="inlineStr">
        <is>
          <t>FlowObjectId</t>
        </is>
      </c>
      <c r="D7" s="24" t="inlineStr">
        <is>
          <t>varchar(80)</t>
        </is>
      </c>
      <c r="E7" s="24" t="inlineStr">
        <is>
          <t>YES</t>
        </is>
      </c>
      <c r="F7" s="53" t="inlineStr">
        <is>
          <t>流程对象编号</t>
        </is>
      </c>
      <c r="G7" s="24" t="n"/>
      <c r="H7" s="24" t="n"/>
      <c r="I7" s="24" t="inlineStr"/>
      <c r="J7" s="24" t="inlineStr">
        <is>
          <t>2023/01/12</t>
        </is>
      </c>
    </row>
    <row r="8">
      <c r="B8" s="24" t="inlineStr">
        <is>
          <t>wf_activeinstance</t>
        </is>
      </c>
      <c r="C8" s="24" t="inlineStr">
        <is>
          <t>PrevId</t>
        </is>
      </c>
      <c r="D8" s="24" t="inlineStr">
        <is>
          <t>varchar(80)</t>
        </is>
      </c>
      <c r="E8" s="24" t="inlineStr">
        <is>
          <t>YES</t>
        </is>
      </c>
      <c r="F8" s="53" t="inlineStr">
        <is>
          <t>上一个编号</t>
        </is>
      </c>
      <c r="G8" s="24" t="n"/>
      <c r="H8" s="24" t="n"/>
      <c r="I8" s="24" t="inlineStr"/>
      <c r="J8" s="24" t="inlineStr">
        <is>
          <t>2023/01/12</t>
        </is>
      </c>
    </row>
    <row r="9">
      <c r="B9" s="24" t="inlineStr">
        <is>
          <t>wf_activeinstance</t>
        </is>
      </c>
      <c r="C9" s="24" t="inlineStr">
        <is>
          <t>Status</t>
        </is>
      </c>
      <c r="D9" s="24" t="inlineStr">
        <is>
          <t>int</t>
        </is>
      </c>
      <c r="E9" s="24" t="inlineStr">
        <is>
          <t>YES</t>
        </is>
      </c>
      <c r="F9" s="24" t="inlineStr">
        <is>
          <t>状态</t>
        </is>
      </c>
      <c r="G9" s="24" t="n"/>
      <c r="H9" s="24" t="n"/>
      <c r="I9" s="24" t="inlineStr"/>
      <c r="J9" s="24" t="inlineStr">
        <is>
          <t>2023/01/12</t>
        </is>
      </c>
    </row>
    <row r="10">
      <c r="B10" s="24" t="inlineStr">
        <is>
          <t>wf_activeinstance</t>
        </is>
      </c>
      <c r="C10" s="24" t="inlineStr">
        <is>
          <t>BeginTime</t>
        </is>
      </c>
      <c r="D10" s="24" t="inlineStr">
        <is>
          <t>datetime</t>
        </is>
      </c>
      <c r="E10" s="24" t="inlineStr">
        <is>
          <t>YES</t>
        </is>
      </c>
      <c r="F10" s="53" t="inlineStr">
        <is>
          <t>开始时间</t>
        </is>
      </c>
      <c r="G10" s="24" t="n"/>
      <c r="H10" s="24" t="n"/>
      <c r="I10" s="24" t="inlineStr"/>
      <c r="J10" s="24" t="inlineStr">
        <is>
          <t>2023/01/12</t>
        </is>
      </c>
    </row>
    <row r="11">
      <c r="B11" s="24" t="inlineStr">
        <is>
          <t>wf_activeinstance</t>
        </is>
      </c>
      <c r="C11" s="24" t="inlineStr">
        <is>
          <t>ExpireTime</t>
        </is>
      </c>
      <c r="D11" s="24" t="inlineStr">
        <is>
          <t>datetime</t>
        </is>
      </c>
      <c r="E11" s="24" t="inlineStr">
        <is>
          <t>YES</t>
        </is>
      </c>
      <c r="F11" s="53" t="inlineStr">
        <is>
          <t>超时时间</t>
        </is>
      </c>
      <c r="G11" s="24" t="n"/>
      <c r="H11" s="24" t="n"/>
      <c r="I11" s="24" t="inlineStr"/>
      <c r="J11" s="24" t="inlineStr">
        <is>
          <t>2023/01/12</t>
        </is>
      </c>
    </row>
    <row r="12">
      <c r="B12" s="24" t="inlineStr">
        <is>
          <t>wf_activeinstance</t>
        </is>
      </c>
      <c r="C12" s="24" t="inlineStr">
        <is>
          <t>EndTime</t>
        </is>
      </c>
      <c r="D12" s="24" t="inlineStr">
        <is>
          <t>datetime</t>
        </is>
      </c>
      <c r="E12" s="24" t="inlineStr">
        <is>
          <t>YES</t>
        </is>
      </c>
      <c r="F12" s="53" t="inlineStr">
        <is>
          <t>结束时间</t>
        </is>
      </c>
      <c r="G12" s="24" t="n"/>
      <c r="H12" s="24" t="n"/>
      <c r="I12" s="24" t="inlineStr"/>
      <c r="J12" s="24" t="inlineStr">
        <is>
          <t>2023/01/12</t>
        </is>
      </c>
    </row>
    <row r="13">
      <c r="B13" s="24" t="inlineStr">
        <is>
          <t>wf_activeinstance</t>
        </is>
      </c>
      <c r="C13" s="24" t="inlineStr">
        <is>
          <t>ActiveData</t>
        </is>
      </c>
      <c r="D13" s="24" t="inlineStr">
        <is>
          <t>longtext</t>
        </is>
      </c>
      <c r="E13" s="24" t="inlineStr">
        <is>
          <t>YES</t>
        </is>
      </c>
      <c r="F13" s="53" t="inlineStr">
        <is>
          <t>活动数据</t>
        </is>
      </c>
      <c r="G13" s="24" t="n"/>
      <c r="H13" s="24" t="n"/>
      <c r="I13" s="24" t="inlineStr"/>
      <c r="J13" s="24" t="inlineStr">
        <is>
          <t>2023/01/12</t>
        </is>
      </c>
    </row>
    <row r="14">
      <c r="B14" s="24" t="inlineStr">
        <is>
          <t>wf_activeinstance</t>
        </is>
      </c>
      <c r="C14" s="24" t="inlineStr">
        <is>
          <t>phasetype</t>
        </is>
      </c>
      <c r="D14" s="24" t="inlineStr">
        <is>
          <t>varchar(80)</t>
        </is>
      </c>
      <c r="E14" s="24" t="inlineStr">
        <is>
          <t>YES</t>
        </is>
      </c>
      <c r="F14" s="53" t="inlineStr">
        <is>
          <t>里程碑</t>
        </is>
      </c>
      <c r="G14" s="24" t="n"/>
      <c r="H14" s="24" t="n"/>
      <c r="I14" s="24" t="inlineStr"/>
      <c r="J14" s="24" t="inlineStr">
        <is>
          <t>2023/01/12</t>
        </is>
      </c>
    </row>
    <row r="15">
      <c r="B15" s="24" t="inlineStr">
        <is>
          <t>wf_activeinstance</t>
        </is>
      </c>
      <c r="C15" s="24" t="inlineStr">
        <is>
          <t>flowname</t>
        </is>
      </c>
      <c r="D15" s="24" t="inlineStr">
        <is>
          <t>varchar(500)</t>
        </is>
      </c>
      <c r="E15" s="24" t="inlineStr">
        <is>
          <t>YES</t>
        </is>
      </c>
      <c r="F15" s="53" t="inlineStr">
        <is>
          <t>流程名称</t>
        </is>
      </c>
      <c r="G15" s="24" t="n"/>
      <c r="H15" s="24" t="n"/>
      <c r="I15" s="24" t="inlineStr"/>
      <c r="J15" s="24" t="inlineStr">
        <is>
          <t>2023/01/12</t>
        </is>
      </c>
    </row>
    <row r="16">
      <c r="B16" s="24" t="inlineStr">
        <is>
          <t>wf_activeinstance</t>
        </is>
      </c>
      <c r="C16" s="24" t="inlineStr">
        <is>
          <t>activename</t>
        </is>
      </c>
      <c r="D16" s="24" t="inlineStr">
        <is>
          <t>varchar(200)</t>
        </is>
      </c>
      <c r="E16" s="24" t="inlineStr">
        <is>
          <t>YES</t>
        </is>
      </c>
      <c r="F16" s="24" t="inlineStr">
        <is>
          <t>节点名称</t>
        </is>
      </c>
      <c r="G16" s="24" t="n"/>
      <c r="H16" s="24" t="n"/>
      <c r="I16" s="24" t="inlineStr"/>
      <c r="J16" s="24" t="inlineStr">
        <is>
          <t>2023/01/12</t>
        </is>
      </c>
    </row>
    <row r="17">
      <c r="B17" s="24" t="inlineStr">
        <is>
          <t>wf_activeinstance</t>
        </is>
      </c>
      <c r="C17" s="24" t="inlineStr">
        <is>
          <t>flowobjecttype</t>
        </is>
      </c>
      <c r="D17" s="24" t="inlineStr">
        <is>
          <t>varchar(200)</t>
        </is>
      </c>
      <c r="E17" s="24" t="inlineStr">
        <is>
          <t>YES</t>
        </is>
      </c>
      <c r="F17" s="53" t="inlineStr">
        <is>
          <t>流程对象类型</t>
        </is>
      </c>
      <c r="G17" s="24" t="n"/>
      <c r="H17" s="24" t="n"/>
      <c r="I17" s="24" t="inlineStr"/>
      <c r="J17" s="24" t="inlineStr">
        <is>
          <t>2023/01/12</t>
        </is>
      </c>
    </row>
    <row r="18">
      <c r="B18" s="24" t="inlineStr">
        <is>
          <t>wf_activeinstance</t>
        </is>
      </c>
      <c r="C18" s="24" t="inlineStr">
        <is>
          <t>FORKNO</t>
        </is>
      </c>
      <c r="D18" s="24" t="inlineStr">
        <is>
          <t>varchar(80)</t>
        </is>
      </c>
      <c r="E18" s="24" t="inlineStr">
        <is>
          <t>YES</t>
        </is>
      </c>
      <c r="F18" s="53" t="inlineStr">
        <is>
          <t>分支编号</t>
        </is>
      </c>
      <c r="G18" s="24" t="n"/>
      <c r="H18" s="24" t="n"/>
      <c r="I18" s="24" t="inlineStr"/>
      <c r="J18" s="24" t="inlineStr">
        <is>
          <t>2023/01/12</t>
        </is>
      </c>
    </row>
    <row r="19">
      <c r="B19" s="24" t="inlineStr">
        <is>
          <t>wf_activeinstance</t>
        </is>
      </c>
      <c r="C19" s="24" t="inlineStr">
        <is>
          <t>ActiveType</t>
        </is>
      </c>
      <c r="D19" s="24" t="inlineStr">
        <is>
          <t>varchar(80)</t>
        </is>
      </c>
      <c r="E19" s="24" t="inlineStr">
        <is>
          <t>YES</t>
        </is>
      </c>
      <c r="F19" s="53" t="inlineStr">
        <is>
          <t>活动类型</t>
        </is>
      </c>
      <c r="G19" s="24" t="n"/>
      <c r="H19" s="24" t="n"/>
      <c r="I19" s="24" t="inlineStr"/>
      <c r="J19" s="24" t="inlineStr">
        <is>
          <t>2023/01/12</t>
        </is>
      </c>
    </row>
  </sheetData>
  <pageMargins left="0.75" right="0.75" top="1" bottom="1" header="0.5" footer="0.5"/>
  <pageSetup orientation="portrait" paperSize="1" horizontalDpi="300" verticalDpi="300"/>
</worksheet>
</file>

<file path=xl/worksheets/sheet185.xml><?xml version="1.0" encoding="utf-8"?>
<worksheet xmlns="http://schemas.openxmlformats.org/spreadsheetml/2006/main">
  <sheetPr>
    <outlinePr summaryBelow="1" summaryRight="1"/>
    <pageSetUpPr/>
  </sheetPr>
  <dimension ref="A1:J19"/>
  <sheetViews>
    <sheetView zoomScaleSheetLayoutView="60" workbookViewId="0">
      <selection activeCell="F18" sqref="F18"/>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1">
        <f>HYPERLINK("#表结构清单!A1","返回")</f>
        <v/>
      </c>
      <c r="B1" t="inlineStr">
        <is>
          <t>流程实例</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wf_instance</t>
        </is>
      </c>
      <c r="C3" s="24" t="inlineStr">
        <is>
          <t>Id</t>
        </is>
      </c>
      <c r="D3" s="24" t="inlineStr">
        <is>
          <t>varchar(80)</t>
        </is>
      </c>
      <c r="E3" s="24" t="inlineStr">
        <is>
          <t>NO</t>
        </is>
      </c>
      <c r="F3" s="53" t="inlineStr">
        <is>
          <t>流程实例编号</t>
        </is>
      </c>
      <c r="G3" s="24" t="n"/>
      <c r="H3" s="24" t="n"/>
      <c r="I3" s="24" t="inlineStr"/>
      <c r="J3" s="24" t="inlineStr">
        <is>
          <t>2023/01/12</t>
        </is>
      </c>
    </row>
    <row r="4">
      <c r="B4" s="24" t="inlineStr">
        <is>
          <t>wf_instance</t>
        </is>
      </c>
      <c r="C4" s="24" t="inlineStr">
        <is>
          <t>FlowId</t>
        </is>
      </c>
      <c r="D4" s="24" t="inlineStr">
        <is>
          <t>varchar(80)</t>
        </is>
      </c>
      <c r="E4" s="24" t="inlineStr">
        <is>
          <t>YES</t>
        </is>
      </c>
      <c r="F4" s="53" t="inlineStr">
        <is>
          <t>流程编号</t>
        </is>
      </c>
      <c r="G4" s="24" t="n"/>
      <c r="H4" s="24" t="n"/>
      <c r="I4" s="24" t="inlineStr"/>
      <c r="J4" s="24" t="inlineStr">
        <is>
          <t>2023/01/12</t>
        </is>
      </c>
    </row>
    <row r="5">
      <c r="B5" s="24" t="inlineStr">
        <is>
          <t>wf_instance</t>
        </is>
      </c>
      <c r="C5" s="24" t="inlineStr">
        <is>
          <t>FlowObjectId</t>
        </is>
      </c>
      <c r="D5" s="24" t="inlineStr">
        <is>
          <t>varchar(80)</t>
        </is>
      </c>
      <c r="E5" s="24" t="inlineStr">
        <is>
          <t>YES</t>
        </is>
      </c>
      <c r="F5" s="53" t="inlineStr">
        <is>
          <t>流程对象编号</t>
        </is>
      </c>
      <c r="G5" s="24" t="n"/>
      <c r="H5" s="24" t="n"/>
      <c r="I5" s="24" t="inlineStr"/>
      <c r="J5" s="24" t="inlineStr">
        <is>
          <t>2023/01/12</t>
        </is>
      </c>
    </row>
    <row r="6">
      <c r="B6" s="24" t="inlineStr">
        <is>
          <t>wf_instance</t>
        </is>
      </c>
      <c r="C6" s="24" t="inlineStr">
        <is>
          <t>FlowObjectDescribe</t>
        </is>
      </c>
      <c r="D6" s="24" t="inlineStr">
        <is>
          <t>varchar(2000)</t>
        </is>
      </c>
      <c r="E6" s="24" t="inlineStr">
        <is>
          <t>YES</t>
        </is>
      </c>
      <c r="F6" s="53" t="inlineStr">
        <is>
          <t>流程对象描述</t>
        </is>
      </c>
      <c r="G6" s="24" t="n"/>
      <c r="H6" s="24" t="n"/>
      <c r="I6" s="24" t="inlineStr"/>
      <c r="J6" s="24" t="inlineStr">
        <is>
          <t>2023/01/12</t>
        </is>
      </c>
    </row>
    <row r="7">
      <c r="B7" s="24" t="inlineStr">
        <is>
          <t>wf_instance</t>
        </is>
      </c>
      <c r="C7" s="24" t="inlineStr">
        <is>
          <t>CurrentActive</t>
        </is>
      </c>
      <c r="D7" s="24" t="inlineStr">
        <is>
          <t>varchar(80)</t>
        </is>
      </c>
      <c r="E7" s="24" t="inlineStr">
        <is>
          <t>YES</t>
        </is>
      </c>
      <c r="F7" s="53" t="inlineStr">
        <is>
          <t>当前活动</t>
        </is>
      </c>
      <c r="G7" s="24" t="n"/>
      <c r="H7" s="24" t="n"/>
      <c r="I7" s="24" t="inlineStr"/>
      <c r="J7" s="24" t="inlineStr">
        <is>
          <t>2023/01/12</t>
        </is>
      </c>
    </row>
    <row r="8">
      <c r="B8" s="24" t="inlineStr">
        <is>
          <t>wf_instance</t>
        </is>
      </c>
      <c r="C8" s="24" t="inlineStr">
        <is>
          <t>Status</t>
        </is>
      </c>
      <c r="D8" s="24" t="inlineStr">
        <is>
          <t>int</t>
        </is>
      </c>
      <c r="E8" s="24" t="inlineStr">
        <is>
          <t>YES</t>
        </is>
      </c>
      <c r="F8" s="53" t="inlineStr">
        <is>
          <t>状态</t>
        </is>
      </c>
      <c r="G8" s="24" t="n"/>
      <c r="H8" s="24" t="n"/>
      <c r="I8" s="24" t="inlineStr"/>
      <c r="J8" s="24" t="inlineStr">
        <is>
          <t>2023/01/12</t>
        </is>
      </c>
    </row>
    <row r="9">
      <c r="B9" s="24" t="inlineStr">
        <is>
          <t>wf_instance</t>
        </is>
      </c>
      <c r="C9" s="24" t="inlineStr">
        <is>
          <t>CreateUser</t>
        </is>
      </c>
      <c r="D9" s="24" t="inlineStr">
        <is>
          <t>varchar(80)</t>
        </is>
      </c>
      <c r="E9" s="24" t="inlineStr">
        <is>
          <t>YES</t>
        </is>
      </c>
      <c r="F9" s="53" t="inlineStr">
        <is>
          <t>创建人</t>
        </is>
      </c>
      <c r="G9" s="24" t="n"/>
      <c r="H9" s="24" t="n"/>
      <c r="I9" s="24" t="inlineStr"/>
      <c r="J9" s="24" t="inlineStr">
        <is>
          <t>2023/01/12</t>
        </is>
      </c>
    </row>
    <row r="10">
      <c r="B10" s="24" t="inlineStr">
        <is>
          <t>wf_instance</t>
        </is>
      </c>
      <c r="C10" s="24" t="inlineStr">
        <is>
          <t>CreateTime</t>
        </is>
      </c>
      <c r="D10" s="24" t="inlineStr">
        <is>
          <t>datetime</t>
        </is>
      </c>
      <c r="E10" s="24" t="inlineStr">
        <is>
          <t>YES</t>
        </is>
      </c>
      <c r="F10" s="53" t="inlineStr">
        <is>
          <t>创建时间</t>
        </is>
      </c>
      <c r="G10" s="24" t="n"/>
      <c r="H10" s="24" t="n"/>
      <c r="I10" s="24" t="inlineStr"/>
      <c r="J10" s="24" t="inlineStr">
        <is>
          <t>2023/01/12</t>
        </is>
      </c>
    </row>
    <row r="11">
      <c r="B11" s="24" t="inlineStr">
        <is>
          <t>wf_instance</t>
        </is>
      </c>
      <c r="C11" s="24" t="inlineStr">
        <is>
          <t>FinishTime</t>
        </is>
      </c>
      <c r="D11" s="24" t="inlineStr">
        <is>
          <t>datetime</t>
        </is>
      </c>
      <c r="E11" s="24" t="inlineStr">
        <is>
          <t>YES</t>
        </is>
      </c>
      <c r="F11" s="53" t="inlineStr">
        <is>
          <t>结束时间</t>
        </is>
      </c>
      <c r="G11" s="24" t="n"/>
      <c r="H11" s="24" t="n"/>
      <c r="I11" s="24" t="inlineStr"/>
      <c r="J11" s="24" t="inlineStr">
        <is>
          <t>2023/01/12</t>
        </is>
      </c>
    </row>
    <row r="12">
      <c r="B12" s="24" t="inlineStr">
        <is>
          <t>wf_instance</t>
        </is>
      </c>
      <c r="C12" s="24" t="inlineStr">
        <is>
          <t>FlowData</t>
        </is>
      </c>
      <c r="D12" s="24" t="inlineStr">
        <is>
          <t>longtext</t>
        </is>
      </c>
      <c r="E12" s="24" t="inlineStr">
        <is>
          <t>YES</t>
        </is>
      </c>
      <c r="F12" s="53" t="inlineStr">
        <is>
          <t>流程数据</t>
        </is>
      </c>
      <c r="G12" s="24" t="n"/>
      <c r="H12" s="24" t="n"/>
      <c r="I12" s="24" t="inlineStr"/>
      <c r="J12" s="24" t="inlineStr">
        <is>
          <t>2023/01/12</t>
        </is>
      </c>
    </row>
    <row r="13">
      <c r="B13" s="24" t="inlineStr">
        <is>
          <t>wf_instance</t>
        </is>
      </c>
      <c r="C13" s="24" t="inlineStr">
        <is>
          <t>FlowObjectType</t>
        </is>
      </c>
      <c r="D13" s="24" t="inlineStr">
        <is>
          <t>varchar(80)</t>
        </is>
      </c>
      <c r="E13" s="24" t="inlineStr">
        <is>
          <t>YES</t>
        </is>
      </c>
      <c r="F13" s="53" t="inlineStr">
        <is>
          <t>流程对象类型</t>
        </is>
      </c>
      <c r="G13" s="24" t="n"/>
      <c r="H13" s="24" t="n"/>
      <c r="I13" s="24" t="inlineStr"/>
      <c r="J13" s="24" t="inlineStr">
        <is>
          <t>2023/01/12</t>
        </is>
      </c>
    </row>
    <row r="14">
      <c r="B14" s="24" t="inlineStr">
        <is>
          <t>wf_instance</t>
        </is>
      </c>
      <c r="C14" s="24" t="inlineStr">
        <is>
          <t>CreateOrg</t>
        </is>
      </c>
      <c r="D14" s="24" t="inlineStr">
        <is>
          <t>varchar(80)</t>
        </is>
      </c>
      <c r="E14" s="24" t="inlineStr">
        <is>
          <t>YES</t>
        </is>
      </c>
      <c r="F14" s="53" t="inlineStr">
        <is>
          <t>创建机构</t>
        </is>
      </c>
      <c r="G14" s="24" t="n"/>
      <c r="H14" s="24" t="n"/>
      <c r="I14" s="24" t="inlineStr"/>
      <c r="J14" s="24" t="inlineStr">
        <is>
          <t>2023/01/12</t>
        </is>
      </c>
    </row>
    <row r="15">
      <c r="B15" s="24" t="inlineStr">
        <is>
          <t>wf_instance</t>
        </is>
      </c>
      <c r="C15" s="24" t="inlineStr">
        <is>
          <t>phasetype</t>
        </is>
      </c>
      <c r="D15" s="24" t="inlineStr">
        <is>
          <t>varchar(80)</t>
        </is>
      </c>
      <c r="E15" s="24" t="inlineStr">
        <is>
          <t>YES</t>
        </is>
      </c>
      <c r="F15" s="53" t="inlineStr">
        <is>
          <t>里程碑</t>
        </is>
      </c>
      <c r="G15" s="24" t="n"/>
      <c r="H15" s="24" t="n"/>
      <c r="I15" s="24" t="inlineStr"/>
      <c r="J15" s="24" t="inlineStr">
        <is>
          <t>2023/01/12</t>
        </is>
      </c>
    </row>
    <row r="16">
      <c r="B16" s="24" t="inlineStr">
        <is>
          <t>wf_instance</t>
        </is>
      </c>
      <c r="C16" s="24" t="inlineStr">
        <is>
          <t>flowname</t>
        </is>
      </c>
      <c r="D16" s="24" t="inlineStr">
        <is>
          <t>varchar(500)</t>
        </is>
      </c>
      <c r="E16" s="24" t="inlineStr">
        <is>
          <t>YES</t>
        </is>
      </c>
      <c r="F16" s="54" t="inlineStr">
        <is>
          <t>流程名称</t>
        </is>
      </c>
      <c r="G16" s="24" t="n"/>
      <c r="H16" s="24" t="n"/>
      <c r="I16" s="24" t="inlineStr"/>
      <c r="J16" s="24" t="inlineStr">
        <is>
          <t>2023/01/12</t>
        </is>
      </c>
    </row>
    <row r="17">
      <c r="B17" s="24" t="inlineStr">
        <is>
          <t>wf_instance</t>
        </is>
      </c>
      <c r="C17" s="24" t="inlineStr">
        <is>
          <t>applytype</t>
        </is>
      </c>
      <c r="D17" s="24" t="inlineStr">
        <is>
          <t>varchar(200)</t>
        </is>
      </c>
      <c r="E17" s="24" t="inlineStr">
        <is>
          <t>YES</t>
        </is>
      </c>
      <c r="F17" s="24" t="inlineStr">
        <is>
          <t>申请类型</t>
        </is>
      </c>
      <c r="G17" s="24" t="n"/>
      <c r="H17" s="24" t="n"/>
      <c r="I17" s="24" t="inlineStr"/>
      <c r="J17" s="24" t="inlineStr">
        <is>
          <t>2023/01/12</t>
        </is>
      </c>
    </row>
    <row r="18">
      <c r="B18" s="24" t="inlineStr">
        <is>
          <t>wf_instance</t>
        </is>
      </c>
      <c r="C18" s="24" t="inlineStr">
        <is>
          <t>activename</t>
        </is>
      </c>
      <c r="D18" s="24" t="inlineStr">
        <is>
          <t>varchar(200)</t>
        </is>
      </c>
      <c r="E18" s="24" t="inlineStr">
        <is>
          <t>YES</t>
        </is>
      </c>
      <c r="F18" s="53" t="inlineStr">
        <is>
          <t>活动名称</t>
        </is>
      </c>
      <c r="G18" s="24" t="n"/>
      <c r="H18" s="24" t="n"/>
      <c r="I18" s="24" t="inlineStr"/>
      <c r="J18" s="24" t="inlineStr">
        <is>
          <t>2023/01/12</t>
        </is>
      </c>
    </row>
    <row r="19">
      <c r="B19" s="24" t="inlineStr">
        <is>
          <t>wf_instance</t>
        </is>
      </c>
      <c r="C19" s="24" t="inlineStr">
        <is>
          <t>FLOWNO</t>
        </is>
      </c>
      <c r="D19" s="24" t="inlineStr">
        <is>
          <t>varchar(80)</t>
        </is>
      </c>
      <c r="E19" s="24" t="inlineStr">
        <is>
          <t>YES</t>
        </is>
      </c>
      <c r="F19" s="53" t="inlineStr">
        <is>
          <t>流程编号</t>
        </is>
      </c>
      <c r="G19" s="24" t="n"/>
      <c r="H19" s="24" t="n"/>
      <c r="I19" s="24" t="inlineStr"/>
      <c r="J19" s="24" t="inlineStr">
        <is>
          <t>2023/01/12</t>
        </is>
      </c>
    </row>
  </sheetData>
  <pageMargins left="0.75" right="0.75" top="1" bottom="1" header="0.5" footer="0.5"/>
  <pageSetup orientation="portrait" paperSize="1" horizontalDpi="300" verticalDpi="300"/>
</worksheet>
</file>

<file path=xl/worksheets/sheet186.xml><?xml version="1.0" encoding="utf-8"?>
<worksheet xmlns="http://schemas.openxmlformats.org/spreadsheetml/2006/main">
  <sheetPr>
    <outlinePr summaryBelow="1" summaryRight="1"/>
    <pageSetUpPr/>
  </sheetPr>
  <dimension ref="A1:J16"/>
  <sheetViews>
    <sheetView workbookViewId="0">
      <selection activeCell="E24" sqref="E24"/>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1">
        <f>HYPERLINK("#表结构清单!A1","返回")</f>
        <v/>
      </c>
      <c r="B1" s="54" t="inlineStr">
        <is>
          <t>流程意见记录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wf_opinion</t>
        </is>
      </c>
      <c r="C3" s="24" t="inlineStr">
        <is>
          <t>workitemId</t>
        </is>
      </c>
      <c r="D3" s="24" t="inlineStr">
        <is>
          <t>varchar(32)</t>
        </is>
      </c>
      <c r="E3" s="24" t="inlineStr">
        <is>
          <t>NO</t>
        </is>
      </c>
      <c r="F3" s="24" t="inlineStr">
        <is>
          <t>流程节点编号</t>
        </is>
      </c>
      <c r="G3" s="24" t="n"/>
      <c r="H3" s="24" t="n"/>
      <c r="I3" s="24" t="inlineStr"/>
      <c r="J3" s="24" t="inlineStr">
        <is>
          <t>2023/01/12</t>
        </is>
      </c>
    </row>
    <row r="4">
      <c r="B4" s="24" t="inlineStr">
        <is>
          <t>wf_opinion</t>
        </is>
      </c>
      <c r="C4" s="24" t="inlineStr">
        <is>
          <t>OPINIONNO</t>
        </is>
      </c>
      <c r="D4" s="24" t="inlineStr">
        <is>
          <t>varchar(32)</t>
        </is>
      </c>
      <c r="E4" s="24" t="inlineStr">
        <is>
          <t>NO</t>
        </is>
      </c>
      <c r="F4" s="24" t="inlineStr">
        <is>
          <t>意见编号</t>
        </is>
      </c>
      <c r="G4" s="24" t="n"/>
      <c r="H4" s="24" t="n"/>
      <c r="I4" s="24" t="inlineStr"/>
      <c r="J4" s="24" t="inlineStr">
        <is>
          <t>2023/01/12</t>
        </is>
      </c>
    </row>
    <row r="5">
      <c r="B5" s="24" t="inlineStr">
        <is>
          <t>wf_opinion</t>
        </is>
      </c>
      <c r="C5" s="24" t="inlineStr">
        <is>
          <t>OBJECTTYPE</t>
        </is>
      </c>
      <c r="D5" s="24" t="inlineStr">
        <is>
          <t>varchar(32)</t>
        </is>
      </c>
      <c r="E5" s="24" t="inlineStr">
        <is>
          <t>YES</t>
        </is>
      </c>
      <c r="F5" s="24" t="inlineStr">
        <is>
          <t>流程对象任务类型</t>
        </is>
      </c>
      <c r="G5" s="24" t="n"/>
      <c r="H5" s="24" t="n"/>
      <c r="I5" s="24" t="inlineStr"/>
      <c r="J5" s="24" t="inlineStr">
        <is>
          <t>2023/01/12</t>
        </is>
      </c>
    </row>
    <row r="6">
      <c r="B6" s="24" t="inlineStr">
        <is>
          <t>wf_opinion</t>
        </is>
      </c>
      <c r="C6" s="24" t="inlineStr">
        <is>
          <t>OBJECTNO</t>
        </is>
      </c>
      <c r="D6" s="24" t="inlineStr">
        <is>
          <t>varchar(32)</t>
        </is>
      </c>
      <c r="E6" s="24" t="inlineStr">
        <is>
          <t>YES</t>
        </is>
      </c>
      <c r="F6" s="24" t="inlineStr">
        <is>
          <t>流程对象编号</t>
        </is>
      </c>
      <c r="G6" s="24" t="n"/>
      <c r="H6" s="24" t="n"/>
      <c r="I6" s="24" t="inlineStr"/>
      <c r="J6" s="24" t="inlineStr">
        <is>
          <t>2023/01/12</t>
        </is>
      </c>
    </row>
    <row r="7">
      <c r="B7" s="24" t="inlineStr">
        <is>
          <t>wf_opinion</t>
        </is>
      </c>
      <c r="C7" s="24" t="inlineStr">
        <is>
          <t>PHASEOPINION</t>
        </is>
      </c>
      <c r="D7" s="24" t="inlineStr">
        <is>
          <t>varchar(4000)</t>
        </is>
      </c>
      <c r="E7" s="24" t="inlineStr">
        <is>
          <t>YES</t>
        </is>
      </c>
      <c r="F7" s="24" t="inlineStr">
        <is>
          <t>节点意见详情</t>
        </is>
      </c>
      <c r="G7" s="24" t="n"/>
      <c r="H7" s="24" t="n"/>
      <c r="I7" s="24" t="inlineStr"/>
      <c r="J7" s="24" t="inlineStr">
        <is>
          <t>2023/01/12</t>
        </is>
      </c>
    </row>
    <row r="8">
      <c r="B8" s="24" t="inlineStr">
        <is>
          <t>wf_opinion</t>
        </is>
      </c>
      <c r="C8" s="24" t="inlineStr">
        <is>
          <t>PHASEOPINION1</t>
        </is>
      </c>
      <c r="D8" s="24" t="inlineStr">
        <is>
          <t>varchar(4000)</t>
        </is>
      </c>
      <c r="E8" s="24" t="inlineStr">
        <is>
          <t>YES</t>
        </is>
      </c>
      <c r="F8" s="24" t="inlineStr">
        <is>
          <t>意见详情1</t>
        </is>
      </c>
      <c r="G8" s="24" t="n"/>
      <c r="H8" s="24" t="n"/>
      <c r="I8" s="24" t="inlineStr"/>
      <c r="J8" s="24" t="inlineStr">
        <is>
          <t>2023/01/12</t>
        </is>
      </c>
    </row>
    <row r="9">
      <c r="B9" s="24" t="inlineStr">
        <is>
          <t>wf_opinion</t>
        </is>
      </c>
      <c r="C9" s="24" t="inlineStr">
        <is>
          <t>PHASEOPINION2</t>
        </is>
      </c>
      <c r="D9" s="24" t="inlineStr">
        <is>
          <t>varchar(4000)</t>
        </is>
      </c>
      <c r="E9" s="24" t="inlineStr">
        <is>
          <t>YES</t>
        </is>
      </c>
      <c r="F9" s="24" t="inlineStr">
        <is>
          <t>意见详情2</t>
        </is>
      </c>
      <c r="G9" s="24" t="n"/>
      <c r="H9" s="24" t="n"/>
      <c r="I9" s="24" t="inlineStr"/>
      <c r="J9" s="24" t="inlineStr">
        <is>
          <t>2023/01/12</t>
        </is>
      </c>
    </row>
    <row r="10">
      <c r="B10" s="24" t="inlineStr">
        <is>
          <t>wf_opinion</t>
        </is>
      </c>
      <c r="C10" s="24" t="inlineStr">
        <is>
          <t>PHASEOPINION3</t>
        </is>
      </c>
      <c r="D10" s="24" t="inlineStr">
        <is>
          <t>varchar(4000)</t>
        </is>
      </c>
      <c r="E10" s="24" t="inlineStr">
        <is>
          <t>YES</t>
        </is>
      </c>
      <c r="F10" s="24" t="inlineStr">
        <is>
          <t>意见详情3</t>
        </is>
      </c>
      <c r="G10" s="24" t="n"/>
      <c r="H10" s="24" t="n"/>
      <c r="I10" s="24" t="inlineStr"/>
      <c r="J10" s="24" t="inlineStr">
        <is>
          <t>2023/01/12</t>
        </is>
      </c>
    </row>
    <row r="11">
      <c r="B11" s="24" t="inlineStr">
        <is>
          <t>wf_opinion</t>
        </is>
      </c>
      <c r="C11" s="24" t="inlineStr">
        <is>
          <t>INPUTORGID</t>
        </is>
      </c>
      <c r="D11" s="24" t="inlineStr">
        <is>
          <t>varchar(32)</t>
        </is>
      </c>
      <c r="E11" s="24" t="inlineStr">
        <is>
          <t>YES</t>
        </is>
      </c>
      <c r="F11" s="24" t="inlineStr">
        <is>
          <t>登记机构</t>
        </is>
      </c>
      <c r="G11" s="24" t="n"/>
      <c r="H11" s="24" t="n"/>
      <c r="I11" s="24" t="inlineStr"/>
      <c r="J11" s="24" t="inlineStr">
        <is>
          <t>2023/01/12</t>
        </is>
      </c>
    </row>
    <row r="12">
      <c r="B12" s="24" t="inlineStr">
        <is>
          <t>wf_opinion</t>
        </is>
      </c>
      <c r="C12" s="24" t="inlineStr">
        <is>
          <t>INPUTUSERID</t>
        </is>
      </c>
      <c r="D12" s="24" t="inlineStr">
        <is>
          <t>varchar(32)</t>
        </is>
      </c>
      <c r="E12" s="24" t="inlineStr">
        <is>
          <t>YES</t>
        </is>
      </c>
      <c r="F12" s="24" t="inlineStr">
        <is>
          <t>登记人</t>
        </is>
      </c>
      <c r="G12" s="24" t="n"/>
      <c r="H12" s="24" t="n"/>
      <c r="I12" s="24" t="inlineStr"/>
      <c r="J12" s="24" t="inlineStr">
        <is>
          <t>2023/01/12</t>
        </is>
      </c>
    </row>
    <row r="13">
      <c r="B13" s="24" t="inlineStr">
        <is>
          <t>wf_opinion</t>
        </is>
      </c>
      <c r="C13" s="24" t="inlineStr">
        <is>
          <t>INPUTDATE</t>
        </is>
      </c>
      <c r="D13" s="24" t="inlineStr">
        <is>
          <t>datetime</t>
        </is>
      </c>
      <c r="E13" s="24" t="inlineStr">
        <is>
          <t>YES</t>
        </is>
      </c>
      <c r="F13" s="24" t="inlineStr">
        <is>
          <t>登记日期</t>
        </is>
      </c>
      <c r="G13" s="24" t="n"/>
      <c r="H13" s="24" t="n"/>
      <c r="I13" s="24" t="inlineStr"/>
      <c r="J13" s="24" t="inlineStr">
        <is>
          <t>2023/01/12</t>
        </is>
      </c>
    </row>
    <row r="14">
      <c r="B14" s="24" t="inlineStr">
        <is>
          <t>wf_opinion</t>
        </is>
      </c>
      <c r="C14" s="24" t="inlineStr">
        <is>
          <t>UPDATEORGID</t>
        </is>
      </c>
      <c r="D14" s="24" t="inlineStr">
        <is>
          <t>varchar(32)</t>
        </is>
      </c>
      <c r="E14" s="24" t="inlineStr">
        <is>
          <t>YES</t>
        </is>
      </c>
      <c r="F14" s="24" t="inlineStr">
        <is>
          <t>更新机构</t>
        </is>
      </c>
      <c r="G14" s="24" t="n"/>
      <c r="H14" s="24" t="n"/>
      <c r="I14" s="24" t="inlineStr"/>
      <c r="J14" s="24" t="inlineStr">
        <is>
          <t>2023/01/12</t>
        </is>
      </c>
    </row>
    <row r="15">
      <c r="B15" s="24" t="inlineStr">
        <is>
          <t>wf_opinion</t>
        </is>
      </c>
      <c r="C15" s="24" t="inlineStr">
        <is>
          <t>UPDATEUSERID</t>
        </is>
      </c>
      <c r="D15" s="24" t="inlineStr">
        <is>
          <t>varchar(32)</t>
        </is>
      </c>
      <c r="E15" s="24" t="inlineStr">
        <is>
          <t>YES</t>
        </is>
      </c>
      <c r="F15" s="24" t="inlineStr">
        <is>
          <t>更新人</t>
        </is>
      </c>
      <c r="G15" s="24" t="n"/>
      <c r="H15" s="24" t="n"/>
      <c r="I15" s="24" t="inlineStr"/>
      <c r="J15" s="24" t="inlineStr">
        <is>
          <t>2023/01/12</t>
        </is>
      </c>
    </row>
    <row r="16">
      <c r="B16" s="24" t="inlineStr">
        <is>
          <t>wf_opinion</t>
        </is>
      </c>
      <c r="C16" s="24" t="inlineStr">
        <is>
          <t>UPDATEDATE</t>
        </is>
      </c>
      <c r="D16" s="24" t="inlineStr">
        <is>
          <t>datetime</t>
        </is>
      </c>
      <c r="E16" s="24" t="inlineStr">
        <is>
          <t>YES</t>
        </is>
      </c>
      <c r="F16" s="24" t="inlineStr">
        <is>
          <t>更新日期</t>
        </is>
      </c>
      <c r="G16" s="24" t="n"/>
      <c r="H16" s="24" t="n"/>
      <c r="I16" s="24" t="inlineStr"/>
      <c r="J16" s="24" t="inlineStr">
        <is>
          <t>2023/01/12</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J30"/>
  <sheetViews>
    <sheetView zoomScaleSheetLayoutView="60" workbookViewId="0">
      <selection activeCell="F30" sqref="F30"/>
    </sheetView>
  </sheetViews>
  <sheetFormatPr baseColWidth="8" defaultColWidth="9.142857142857141" defaultRowHeight="15.2"/>
  <cols>
    <col width="19.5357142857143" customWidth="1" style="170" min="2" max="2"/>
    <col width="15.625" customWidth="1" style="170" min="3" max="4"/>
    <col width="7.79464285714286" customWidth="1" style="170" min="5" max="5"/>
    <col width="39.0625" customWidth="1" style="170" min="6" max="6"/>
    <col width="15.625" customWidth="1" style="170" min="7" max="7"/>
    <col width="11.6875" customWidth="1" style="170" min="10" max="10"/>
  </cols>
  <sheetData>
    <row r="1">
      <c r="A1" s="52">
        <f>HYPERLINK("#表结构清单!A1","返回")</f>
        <v/>
      </c>
      <c r="B1" t="inlineStr">
        <is>
          <t>流程工作项(任务)</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wf_workitem</t>
        </is>
      </c>
      <c r="C3" s="24" t="inlineStr">
        <is>
          <t>Id</t>
        </is>
      </c>
      <c r="D3" s="24" t="inlineStr">
        <is>
          <t>varchar(80)</t>
        </is>
      </c>
      <c r="E3" s="24" t="inlineStr">
        <is>
          <t>NO</t>
        </is>
      </c>
      <c r="F3" s="53" t="inlineStr">
        <is>
          <t>实例编号</t>
        </is>
      </c>
      <c r="G3" s="24" t="n"/>
      <c r="H3" s="24" t="n"/>
      <c r="I3" s="24" t="inlineStr"/>
      <c r="J3" s="24" t="inlineStr">
        <is>
          <t>2023/01/12</t>
        </is>
      </c>
    </row>
    <row r="4">
      <c r="B4" s="24" t="inlineStr">
        <is>
          <t>wf_workitem</t>
        </is>
      </c>
      <c r="C4" s="24" t="inlineStr">
        <is>
          <t>FlowId</t>
        </is>
      </c>
      <c r="D4" s="24" t="inlineStr">
        <is>
          <t>varchar(80)</t>
        </is>
      </c>
      <c r="E4" s="24" t="inlineStr">
        <is>
          <t>YES</t>
        </is>
      </c>
      <c r="F4" s="53" t="inlineStr">
        <is>
          <t>流程编号</t>
        </is>
      </c>
      <c r="G4" s="24" t="n"/>
      <c r="H4" s="24" t="n"/>
      <c r="I4" s="24" t="inlineStr"/>
      <c r="J4" s="24" t="inlineStr">
        <is>
          <t>2023/01/12</t>
        </is>
      </c>
    </row>
    <row r="5">
      <c r="B5" s="24" t="inlineStr">
        <is>
          <t>wf_workitem</t>
        </is>
      </c>
      <c r="C5" s="24" t="inlineStr">
        <is>
          <t>FlowInstanceId</t>
        </is>
      </c>
      <c r="D5" s="24" t="inlineStr">
        <is>
          <t>varchar(80)</t>
        </is>
      </c>
      <c r="E5" s="24" t="inlineStr">
        <is>
          <t>YES</t>
        </is>
      </c>
      <c r="F5" s="53" t="inlineStr">
        <is>
          <t>实例编号</t>
        </is>
      </c>
      <c r="G5" s="24" t="n"/>
      <c r="H5" s="24" t="n"/>
      <c r="I5" s="24" t="inlineStr"/>
      <c r="J5" s="24" t="inlineStr">
        <is>
          <t>2023/01/12</t>
        </is>
      </c>
    </row>
    <row r="6">
      <c r="B6" s="24" t="inlineStr">
        <is>
          <t>wf_workitem</t>
        </is>
      </c>
      <c r="C6" s="24" t="inlineStr">
        <is>
          <t>FlowObjectId</t>
        </is>
      </c>
      <c r="D6" s="24" t="inlineStr">
        <is>
          <t>varchar(80)</t>
        </is>
      </c>
      <c r="E6" s="24" t="inlineStr">
        <is>
          <t>YES</t>
        </is>
      </c>
      <c r="F6" s="53" t="inlineStr">
        <is>
          <t>流程对象编号</t>
        </is>
      </c>
      <c r="G6" s="24" t="n"/>
      <c r="H6" s="24" t="n"/>
      <c r="I6" s="24" t="inlineStr"/>
      <c r="J6" s="24" t="inlineStr">
        <is>
          <t>2023/01/12</t>
        </is>
      </c>
    </row>
    <row r="7">
      <c r="B7" s="24" t="inlineStr">
        <is>
          <t>wf_workitem</t>
        </is>
      </c>
      <c r="C7" s="24" t="inlineStr">
        <is>
          <t>ActiveId</t>
        </is>
      </c>
      <c r="D7" s="24" t="inlineStr">
        <is>
          <t>varchar(32)</t>
        </is>
      </c>
      <c r="E7" s="24" t="inlineStr">
        <is>
          <t>YES</t>
        </is>
      </c>
      <c r="F7" s="53" t="inlineStr">
        <is>
          <t>节点编号</t>
        </is>
      </c>
      <c r="G7" s="24" t="n"/>
      <c r="H7" s="24" t="n"/>
      <c r="I7" s="24" t="inlineStr"/>
      <c r="J7" s="24" t="inlineStr">
        <is>
          <t>2023/01/12</t>
        </is>
      </c>
    </row>
    <row r="8">
      <c r="B8" s="24" t="inlineStr">
        <is>
          <t>wf_workitem</t>
        </is>
      </c>
      <c r="C8" s="24" t="inlineStr">
        <is>
          <t>ActiveInstanceId</t>
        </is>
      </c>
      <c r="D8" s="24" t="inlineStr">
        <is>
          <t>varchar(80)</t>
        </is>
      </c>
      <c r="E8" s="24" t="inlineStr">
        <is>
          <t>YES</t>
        </is>
      </c>
      <c r="F8" s="53" t="inlineStr">
        <is>
          <t>实例编号</t>
        </is>
      </c>
      <c r="G8" s="24" t="n"/>
      <c r="H8" s="24" t="n"/>
      <c r="I8" s="24" t="inlineStr"/>
      <c r="J8" s="24" t="inlineStr">
        <is>
          <t>2023/01/12</t>
        </is>
      </c>
    </row>
    <row r="9">
      <c r="B9" s="24" t="inlineStr">
        <is>
          <t>wf_workitem</t>
        </is>
      </c>
      <c r="C9" s="24" t="inlineStr">
        <is>
          <t>roleId</t>
        </is>
      </c>
      <c r="D9" s="24" t="inlineStr">
        <is>
          <t>int</t>
        </is>
      </c>
      <c r="E9" s="24" t="inlineStr">
        <is>
          <t>YES</t>
        </is>
      </c>
      <c r="F9" s="24" t="inlineStr">
        <is>
          <t>角色</t>
        </is>
      </c>
      <c r="G9" s="24" t="n"/>
      <c r="H9" s="24" t="n"/>
      <c r="I9" s="24" t="inlineStr"/>
      <c r="J9" s="24" t="inlineStr">
        <is>
          <t>2023/01/12</t>
        </is>
      </c>
    </row>
    <row r="10">
      <c r="B10" s="24" t="inlineStr">
        <is>
          <t>wf_workitem</t>
        </is>
      </c>
      <c r="C10" s="24" t="inlineStr">
        <is>
          <t>UserId</t>
        </is>
      </c>
      <c r="D10" s="24" t="inlineStr">
        <is>
          <t>varchar(32)</t>
        </is>
      </c>
      <c r="E10" s="24" t="inlineStr">
        <is>
          <t>YES</t>
        </is>
      </c>
      <c r="F10" s="53" t="inlineStr">
        <is>
          <t>用户</t>
        </is>
      </c>
      <c r="G10" s="24" t="n"/>
      <c r="H10" s="24" t="n"/>
      <c r="I10" s="24" t="inlineStr"/>
      <c r="J10" s="24" t="inlineStr">
        <is>
          <t>2023/01/12</t>
        </is>
      </c>
    </row>
    <row r="11">
      <c r="B11" s="24" t="inlineStr">
        <is>
          <t>wf_workitem</t>
        </is>
      </c>
      <c r="C11" s="24" t="inlineStr">
        <is>
          <t>Status</t>
        </is>
      </c>
      <c r="D11" s="24" t="inlineStr">
        <is>
          <t>int</t>
        </is>
      </c>
      <c r="E11" s="24" t="inlineStr">
        <is>
          <t>YES</t>
        </is>
      </c>
      <c r="F11" s="24" t="inlineStr">
        <is>
          <t>状态</t>
        </is>
      </c>
      <c r="G11" s="24" t="n"/>
      <c r="H11" s="24" t="n"/>
      <c r="I11" s="24" t="inlineStr"/>
      <c r="J11" s="24" t="inlineStr">
        <is>
          <t>2023/01/12</t>
        </is>
      </c>
    </row>
    <row r="12">
      <c r="B12" s="24" t="inlineStr">
        <is>
          <t>wf_workitem</t>
        </is>
      </c>
      <c r="C12" s="24" t="inlineStr">
        <is>
          <t>CreateTime</t>
        </is>
      </c>
      <c r="D12" s="24" t="inlineStr">
        <is>
          <t>datetime</t>
        </is>
      </c>
      <c r="E12" s="24" t="inlineStr">
        <is>
          <t>YES</t>
        </is>
      </c>
      <c r="F12" s="53" t="inlineStr">
        <is>
          <t>创建时间</t>
        </is>
      </c>
      <c r="G12" s="24" t="n"/>
      <c r="H12" s="24" t="n"/>
      <c r="I12" s="24" t="inlineStr"/>
      <c r="J12" s="24" t="inlineStr">
        <is>
          <t>2023/01/12</t>
        </is>
      </c>
    </row>
    <row r="13">
      <c r="B13" s="24" t="inlineStr">
        <is>
          <t>wf_workitem</t>
        </is>
      </c>
      <c r="C13" s="24" t="inlineStr">
        <is>
          <t>BeginTime</t>
        </is>
      </c>
      <c r="D13" s="24" t="inlineStr">
        <is>
          <t>datetime</t>
        </is>
      </c>
      <c r="E13" s="24" t="inlineStr">
        <is>
          <t>YES</t>
        </is>
      </c>
      <c r="F13" s="53" t="inlineStr">
        <is>
          <t>开始时间</t>
        </is>
      </c>
      <c r="G13" s="24" t="n"/>
      <c r="H13" s="24" t="n"/>
      <c r="I13" s="24" t="inlineStr"/>
      <c r="J13" s="24" t="inlineStr">
        <is>
          <t>2023/01/12</t>
        </is>
      </c>
    </row>
    <row r="14">
      <c r="B14" s="24" t="inlineStr">
        <is>
          <t>wf_workitem</t>
        </is>
      </c>
      <c r="C14" s="24" t="inlineStr">
        <is>
          <t>Directive</t>
        </is>
      </c>
      <c r="D14" s="24" t="inlineStr">
        <is>
          <t>varchar(32)</t>
        </is>
      </c>
      <c r="E14" s="24" t="inlineStr">
        <is>
          <t>YES</t>
        </is>
      </c>
      <c r="F14" s="53" t="inlineStr">
        <is>
          <t>指令</t>
        </is>
      </c>
      <c r="G14" s="24" t="n"/>
      <c r="H14" s="24" t="n"/>
      <c r="I14" s="24" t="inlineStr"/>
      <c r="J14" s="24" t="inlineStr">
        <is>
          <t>2023/01/12</t>
        </is>
      </c>
    </row>
    <row r="15">
      <c r="B15" s="24" t="inlineStr">
        <is>
          <t>wf_workitem</t>
        </is>
      </c>
      <c r="C15" s="24" t="inlineStr">
        <is>
          <t>workComment</t>
        </is>
      </c>
      <c r="D15" s="24" t="inlineStr">
        <is>
          <t>varchar(200)</t>
        </is>
      </c>
      <c r="E15" s="24" t="inlineStr">
        <is>
          <t>YES</t>
        </is>
      </c>
      <c r="F15" s="24" t="inlineStr">
        <is>
          <t>创建人</t>
        </is>
      </c>
      <c r="G15" s="24" t="n"/>
      <c r="H15" s="24" t="n"/>
      <c r="I15" s="24" t="inlineStr"/>
      <c r="J15" s="24" t="inlineStr">
        <is>
          <t>2023/01/12</t>
        </is>
      </c>
    </row>
    <row r="16">
      <c r="B16" s="24" t="inlineStr">
        <is>
          <t>wf_workitem</t>
        </is>
      </c>
      <c r="C16" s="24" t="inlineStr">
        <is>
          <t>EndTime</t>
        </is>
      </c>
      <c r="D16" s="24" t="inlineStr">
        <is>
          <t>datetime</t>
        </is>
      </c>
      <c r="E16" s="24" t="inlineStr">
        <is>
          <t>YES</t>
        </is>
      </c>
      <c r="F16" s="53" t="inlineStr">
        <is>
          <t>结束时间</t>
        </is>
      </c>
      <c r="G16" s="24" t="n"/>
      <c r="H16" s="24" t="n"/>
      <c r="I16" s="24" t="inlineStr"/>
      <c r="J16" s="24" t="inlineStr">
        <is>
          <t>2023/01/12</t>
        </is>
      </c>
    </row>
    <row r="17">
      <c r="B17" s="24" t="inlineStr">
        <is>
          <t>wf_workitem</t>
        </is>
      </c>
      <c r="C17" s="24" t="inlineStr">
        <is>
          <t>WorkData</t>
        </is>
      </c>
      <c r="D17" s="24" t="inlineStr">
        <is>
          <t>longtext</t>
        </is>
      </c>
      <c r="E17" s="24" t="inlineStr">
        <is>
          <t>YES</t>
        </is>
      </c>
      <c r="F17" s="24" t="inlineStr">
        <is>
          <t>工作数据</t>
        </is>
      </c>
      <c r="G17" s="24" t="n"/>
      <c r="H17" s="24" t="n"/>
      <c r="I17" s="24" t="inlineStr"/>
      <c r="J17" s="24" t="inlineStr">
        <is>
          <t>2023/01/12</t>
        </is>
      </c>
    </row>
    <row r="18">
      <c r="B18" s="24" t="inlineStr">
        <is>
          <t>wf_workitem</t>
        </is>
      </c>
      <c r="C18" s="24" t="inlineStr">
        <is>
          <t>OperatorId</t>
        </is>
      </c>
      <c r="D18" s="24" t="inlineStr">
        <is>
          <t>varchar(32)</t>
        </is>
      </c>
      <c r="E18" s="24" t="inlineStr">
        <is>
          <t>YES</t>
        </is>
      </c>
      <c r="F18" s="53" t="inlineStr">
        <is>
          <t>实际操作用户</t>
        </is>
      </c>
      <c r="G18" s="24" t="n"/>
      <c r="H18" s="24" t="n"/>
      <c r="I18" s="24" t="inlineStr"/>
      <c r="J18" s="24" t="inlineStr">
        <is>
          <t>2023/01/12</t>
        </is>
      </c>
    </row>
    <row r="19">
      <c r="B19" s="24" t="inlineStr">
        <is>
          <t>wf_workitem</t>
        </is>
      </c>
      <c r="C19" s="24" t="inlineStr">
        <is>
          <t>OrgId</t>
        </is>
      </c>
      <c r="D19" s="24" t="inlineStr">
        <is>
          <t>varchar(32)</t>
        </is>
      </c>
      <c r="E19" s="24" t="inlineStr">
        <is>
          <t>YES</t>
        </is>
      </c>
      <c r="F19" s="24" t="inlineStr">
        <is>
          <t>机构号</t>
        </is>
      </c>
      <c r="G19" s="24" t="n"/>
      <c r="H19" s="24" t="n"/>
      <c r="I19" s="24" t="inlineStr"/>
      <c r="J19" s="24" t="inlineStr">
        <is>
          <t>2023/01/12</t>
        </is>
      </c>
    </row>
    <row r="20">
      <c r="B20" s="24" t="inlineStr">
        <is>
          <t>wf_workitem</t>
        </is>
      </c>
      <c r="C20" s="24" t="inlineStr">
        <is>
          <t>PoolRole</t>
        </is>
      </c>
      <c r="D20" s="24" t="inlineStr">
        <is>
          <t>varchar(80)</t>
        </is>
      </c>
      <c r="E20" s="24" t="inlineStr">
        <is>
          <t>YES</t>
        </is>
      </c>
      <c r="F20" s="53" t="inlineStr">
        <is>
          <t>任务池时设置业务角色</t>
        </is>
      </c>
      <c r="G20" s="24" t="n"/>
      <c r="H20" s="24" t="n"/>
      <c r="I20" s="24" t="inlineStr"/>
      <c r="J20" s="24" t="inlineStr">
        <is>
          <t>2023/01/12</t>
        </is>
      </c>
    </row>
    <row r="21">
      <c r="B21" s="24" t="inlineStr">
        <is>
          <t>wf_workitem</t>
        </is>
      </c>
      <c r="C21" s="24" t="inlineStr">
        <is>
          <t>phasetype</t>
        </is>
      </c>
      <c r="D21" s="24" t="inlineStr">
        <is>
          <t>varchar(80)</t>
        </is>
      </c>
      <c r="E21" s="24" t="inlineStr">
        <is>
          <t>YES</t>
        </is>
      </c>
      <c r="F21" s="53" t="inlineStr">
        <is>
          <t>阶段类型</t>
        </is>
      </c>
      <c r="G21" s="24" t="n"/>
      <c r="H21" s="24" t="n"/>
      <c r="I21" s="24" t="inlineStr"/>
      <c r="J21" s="24" t="inlineStr">
        <is>
          <t>2023/01/12</t>
        </is>
      </c>
    </row>
    <row r="22">
      <c r="B22" s="24" t="inlineStr">
        <is>
          <t>wf_workitem</t>
        </is>
      </c>
      <c r="C22" s="24" t="inlineStr">
        <is>
          <t>DueTime</t>
        </is>
      </c>
      <c r="D22" s="24" t="inlineStr">
        <is>
          <t>datetime</t>
        </is>
      </c>
      <c r="E22" s="24" t="inlineStr">
        <is>
          <t>YES</t>
        </is>
      </c>
      <c r="F22" s="53" t="inlineStr">
        <is>
          <t>到期时间</t>
        </is>
      </c>
      <c r="G22" s="24" t="n"/>
      <c r="H22" s="24" t="n"/>
      <c r="I22" s="24" t="inlineStr"/>
      <c r="J22" s="24" t="inlineStr">
        <is>
          <t>2023/01/12</t>
        </is>
      </c>
    </row>
    <row r="23">
      <c r="B23" s="24" t="inlineStr">
        <is>
          <t>wf_workitem</t>
        </is>
      </c>
      <c r="C23" s="24" t="inlineStr">
        <is>
          <t>flowname</t>
        </is>
      </c>
      <c r="D23" s="24" t="inlineStr">
        <is>
          <t>varchar(500)</t>
        </is>
      </c>
      <c r="E23" s="24" t="inlineStr">
        <is>
          <t>YES</t>
        </is>
      </c>
      <c r="F23" s="53" t="inlineStr">
        <is>
          <t>流程名称</t>
        </is>
      </c>
      <c r="G23" s="24" t="n"/>
      <c r="H23" s="24" t="n"/>
      <c r="I23" s="24" t="inlineStr"/>
      <c r="J23" s="24" t="inlineStr">
        <is>
          <t>2023/01/12</t>
        </is>
      </c>
    </row>
    <row r="24">
      <c r="B24" s="24" t="inlineStr">
        <is>
          <t>wf_workitem</t>
        </is>
      </c>
      <c r="C24" s="24" t="inlineStr">
        <is>
          <t>activename</t>
        </is>
      </c>
      <c r="D24" s="24" t="inlineStr">
        <is>
          <t>varchar(200)</t>
        </is>
      </c>
      <c r="E24" s="24" t="inlineStr">
        <is>
          <t>YES</t>
        </is>
      </c>
      <c r="F24" s="24" t="inlineStr">
        <is>
          <t>节点名称</t>
        </is>
      </c>
      <c r="G24" s="24" t="n"/>
      <c r="H24" s="24" t="n"/>
      <c r="I24" s="24" t="inlineStr"/>
      <c r="J24" s="24" t="inlineStr">
        <is>
          <t>2023/01/12</t>
        </is>
      </c>
    </row>
    <row r="25">
      <c r="B25" s="24" t="inlineStr">
        <is>
          <t>wf_workitem</t>
        </is>
      </c>
      <c r="C25" s="24" t="inlineStr">
        <is>
          <t>flowobjecttype</t>
        </is>
      </c>
      <c r="D25" s="24" t="inlineStr">
        <is>
          <t>varchar(200)</t>
        </is>
      </c>
      <c r="E25" s="24" t="inlineStr">
        <is>
          <t>YES</t>
        </is>
      </c>
      <c r="F25" s="24" t="inlineStr">
        <is>
          <t>流程对象类型</t>
        </is>
      </c>
      <c r="G25" s="24" t="n"/>
      <c r="H25" s="24" t="n"/>
      <c r="I25" s="24" t="inlineStr"/>
      <c r="J25" s="24" t="inlineStr">
        <is>
          <t>2023/01/12</t>
        </is>
      </c>
    </row>
    <row r="26">
      <c r="B26" s="24" t="inlineStr">
        <is>
          <t>wf_workitem</t>
        </is>
      </c>
      <c r="C26" s="24" t="inlineStr">
        <is>
          <t>applytype</t>
        </is>
      </c>
      <c r="D26" s="24" t="inlineStr">
        <is>
          <t>varchar(200)</t>
        </is>
      </c>
      <c r="E26" s="24" t="inlineStr">
        <is>
          <t>YES</t>
        </is>
      </c>
      <c r="F26" s="53" t="inlineStr">
        <is>
          <t>申请类型</t>
        </is>
      </c>
      <c r="G26" s="24" t="n"/>
      <c r="H26" s="24" t="n"/>
      <c r="I26" s="24" t="inlineStr"/>
      <c r="J26" s="24" t="inlineStr">
        <is>
          <t>2023/01/12</t>
        </is>
      </c>
    </row>
    <row r="27">
      <c r="B27" s="24" t="inlineStr">
        <is>
          <t>wf_workitem</t>
        </is>
      </c>
      <c r="C27" s="24" t="inlineStr">
        <is>
          <t>forkNo</t>
        </is>
      </c>
      <c r="D27" s="24" t="inlineStr">
        <is>
          <t>varchar(80)</t>
        </is>
      </c>
      <c r="E27" s="24" t="inlineStr">
        <is>
          <t>YES</t>
        </is>
      </c>
      <c r="F27" s="53" t="inlineStr">
        <is>
          <t>分支编号</t>
        </is>
      </c>
      <c r="G27" s="24" t="n"/>
      <c r="H27" s="24" t="n"/>
      <c r="I27" s="24" t="inlineStr"/>
      <c r="J27" s="24" t="inlineStr">
        <is>
          <t>2023/01/12</t>
        </is>
      </c>
    </row>
    <row r="28">
      <c r="B28" s="24" t="inlineStr">
        <is>
          <t>wf_workitem</t>
        </is>
      </c>
      <c r="C28" s="24" t="inlineStr">
        <is>
          <t>userName</t>
        </is>
      </c>
      <c r="D28" s="24" t="inlineStr">
        <is>
          <t>varchar(200)</t>
        </is>
      </c>
      <c r="E28" s="24" t="inlineStr">
        <is>
          <t>YES</t>
        </is>
      </c>
      <c r="F28" s="24" t="inlineStr">
        <is>
          <t>用户名</t>
        </is>
      </c>
      <c r="G28" s="24" t="n"/>
      <c r="H28" s="24" t="n"/>
      <c r="I28" s="24" t="inlineStr"/>
      <c r="J28" s="24" t="inlineStr">
        <is>
          <t>2023/01/12</t>
        </is>
      </c>
    </row>
    <row r="29">
      <c r="B29" s="24" t="inlineStr">
        <is>
          <t>wf_workitem</t>
        </is>
      </c>
      <c r="C29" s="24" t="inlineStr">
        <is>
          <t>orgName</t>
        </is>
      </c>
      <c r="D29" s="24" t="inlineStr">
        <is>
          <t>varchar(200)</t>
        </is>
      </c>
      <c r="E29" s="24" t="inlineStr">
        <is>
          <t>YES</t>
        </is>
      </c>
      <c r="F29" s="24" t="inlineStr">
        <is>
          <t>机构名称</t>
        </is>
      </c>
      <c r="G29" s="24" t="n"/>
      <c r="H29" s="24" t="n"/>
      <c r="I29" s="24" t="inlineStr"/>
      <c r="J29" s="24" t="inlineStr">
        <is>
          <t>2023/01/12</t>
        </is>
      </c>
    </row>
    <row r="30">
      <c r="B30" s="24" t="inlineStr">
        <is>
          <t>wf_workitem</t>
        </is>
      </c>
      <c r="C30" s="24" t="inlineStr">
        <is>
          <t>FLOWNO</t>
        </is>
      </c>
      <c r="D30" s="24" t="inlineStr">
        <is>
          <t>varchar(80)</t>
        </is>
      </c>
      <c r="E30" s="24" t="inlineStr">
        <is>
          <t>YES</t>
        </is>
      </c>
      <c r="F30" s="53" t="inlineStr">
        <is>
          <t>流程模型编号</t>
        </is>
      </c>
      <c r="G30" s="24" t="n"/>
      <c r="H30" s="24" t="n"/>
      <c r="I30" s="24" t="inlineStr"/>
      <c r="J30" s="24" t="inlineStr">
        <is>
          <t>2023/01/12</t>
        </is>
      </c>
    </row>
  </sheetData>
  <pageMargins left="0.75" right="0.75" top="1" bottom="1" header="0.5" footer="0.5"/>
  <pageSetup orientation="portrait" paperSize="1" horizontalDpi="300" verticalDpi="300"/>
</worksheet>
</file>

<file path=xl/worksheets/sheet188.xml><?xml version="1.0" encoding="utf-8"?>
<worksheet xmlns="http://schemas.openxmlformats.org/spreadsheetml/2006/main">
  <sheetPr>
    <outlinePr summaryBelow="1" summaryRight="1"/>
    <pageSetUpPr/>
  </sheetPr>
  <dimension ref="A1:J9"/>
  <sheetViews>
    <sheetView zoomScaleSheetLayoutView="60" workbookViewId="0">
      <selection activeCell="F22" sqref="F22"/>
    </sheetView>
  </sheetViews>
  <sheetFormatPr baseColWidth="8" defaultColWidth="9.142857142857141" defaultRowHeight="15.2"/>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2">
        <f>HYPERLINK("#表结构清单!A1","返回")</f>
        <v/>
      </c>
      <c r="B1" t="inlineStr">
        <is>
          <t>工作情况</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worktip_condition</t>
        </is>
      </c>
      <c r="C3" s="24" t="inlineStr">
        <is>
          <t>InputDate</t>
        </is>
      </c>
      <c r="D3" s="24" t="inlineStr">
        <is>
          <t>datetime</t>
        </is>
      </c>
      <c r="E3" s="24" t="inlineStr">
        <is>
          <t>NO</t>
        </is>
      </c>
      <c r="F3" s="24" t="inlineStr">
        <is>
          <t>录入时间</t>
        </is>
      </c>
      <c r="G3" s="24" t="n"/>
      <c r="H3" s="24" t="n"/>
      <c r="I3" s="24" t="inlineStr"/>
      <c r="J3" s="24" t="inlineStr">
        <is>
          <t>2023/01/12</t>
        </is>
      </c>
    </row>
    <row r="4">
      <c r="B4" s="24" t="inlineStr">
        <is>
          <t>worktip_condition</t>
        </is>
      </c>
      <c r="C4" s="24" t="inlineStr">
        <is>
          <t>UpdateUserId</t>
        </is>
      </c>
      <c r="D4" s="24" t="inlineStr">
        <is>
          <t>varchar(32)</t>
        </is>
      </c>
      <c r="E4" s="24" t="inlineStr">
        <is>
          <t>NO</t>
        </is>
      </c>
      <c r="F4" s="24" t="inlineStr">
        <is>
          <t>经办人</t>
        </is>
      </c>
      <c r="G4" s="24" t="n"/>
      <c r="H4" s="24" t="n"/>
      <c r="I4" s="24" t="inlineStr"/>
      <c r="J4" s="24" t="inlineStr">
        <is>
          <t>2023/01/12</t>
        </is>
      </c>
    </row>
    <row r="5">
      <c r="B5" s="24" t="inlineStr">
        <is>
          <t>worktip_condition</t>
        </is>
      </c>
      <c r="C5" s="24" t="inlineStr">
        <is>
          <t>Amount</t>
        </is>
      </c>
      <c r="D5" s="24" t="inlineStr">
        <is>
          <t>int</t>
        </is>
      </c>
      <c r="E5" s="24" t="inlineStr">
        <is>
          <t>YES</t>
        </is>
      </c>
      <c r="F5" s="24" t="inlineStr">
        <is>
          <t>任务完成量</t>
        </is>
      </c>
      <c r="G5" s="24" t="n"/>
      <c r="H5" s="24" t="n"/>
      <c r="I5" s="24" t="inlineStr"/>
      <c r="J5" s="24" t="inlineStr">
        <is>
          <t>2023/01/12</t>
        </is>
      </c>
    </row>
    <row r="6">
      <c r="B6" s="24" t="inlineStr">
        <is>
          <t>worktip_condition</t>
        </is>
      </c>
      <c r="C6" s="24" t="inlineStr">
        <is>
          <t>Rate</t>
        </is>
      </c>
      <c r="D6" s="24" t="inlineStr">
        <is>
          <t>decimal(18,8)</t>
        </is>
      </c>
      <c r="E6" s="24" t="inlineStr">
        <is>
          <t>YES</t>
        </is>
      </c>
      <c r="F6" s="53" t="inlineStr">
        <is>
          <t>任务完成率</t>
        </is>
      </c>
      <c r="G6" s="24" t="n"/>
      <c r="H6" s="24" t="n"/>
      <c r="I6" s="24" t="inlineStr"/>
      <c r="J6" s="24" t="inlineStr">
        <is>
          <t>2023/01/12</t>
        </is>
      </c>
    </row>
    <row r="7">
      <c r="B7" s="24" t="inlineStr">
        <is>
          <t>worktip_condition</t>
        </is>
      </c>
      <c r="C7" s="24" t="inlineStr">
        <is>
          <t>OrgId</t>
        </is>
      </c>
      <c r="D7" s="24" t="inlineStr">
        <is>
          <t>varchar(32)</t>
        </is>
      </c>
      <c r="E7" s="24" t="inlineStr">
        <is>
          <t>YES</t>
        </is>
      </c>
      <c r="F7" s="24" t="inlineStr">
        <is>
          <t>机构id</t>
        </is>
      </c>
      <c r="G7" s="24" t="n"/>
      <c r="H7" s="24" t="n"/>
      <c r="I7" s="24" t="inlineStr"/>
      <c r="J7" s="24" t="inlineStr">
        <is>
          <t>2023/01/12</t>
        </is>
      </c>
    </row>
    <row r="8">
      <c r="B8" s="24" t="inlineStr">
        <is>
          <t>worktip_condition</t>
        </is>
      </c>
      <c r="C8" s="24" t="inlineStr">
        <is>
          <t>CorpOrgId</t>
        </is>
      </c>
      <c r="D8" s="24" t="inlineStr">
        <is>
          <t>varchar(32)</t>
        </is>
      </c>
      <c r="E8" s="24" t="inlineStr">
        <is>
          <t>YES</t>
        </is>
      </c>
      <c r="F8" s="24" t="inlineStr">
        <is>
          <t>法人机构编号</t>
        </is>
      </c>
      <c r="G8" s="24" t="n"/>
      <c r="H8" s="24" t="n"/>
      <c r="I8" s="24" t="inlineStr"/>
      <c r="J8" s="24" t="inlineStr">
        <is>
          <t>2023/01/12</t>
        </is>
      </c>
    </row>
    <row r="9">
      <c r="B9" s="24" t="inlineStr">
        <is>
          <t>worktip_condition</t>
        </is>
      </c>
      <c r="C9" s="24" t="inlineStr">
        <is>
          <t>allcount</t>
        </is>
      </c>
      <c r="D9" s="24" t="inlineStr">
        <is>
          <t>int</t>
        </is>
      </c>
      <c r="E9" s="24" t="inlineStr">
        <is>
          <t>YES</t>
        </is>
      </c>
      <c r="F9" s="24" t="inlineStr">
        <is>
          <t>总数</t>
        </is>
      </c>
      <c r="G9" s="24" t="n"/>
      <c r="H9" s="24" t="n"/>
      <c r="I9" s="24" t="inlineStr"/>
      <c r="J9" s="24" t="inlineStr">
        <is>
          <t>2023/01/12</t>
        </is>
      </c>
    </row>
  </sheetData>
  <pageMargins left="0.75" right="0.75" top="1" bottom="1" header="0.5" footer="0.5"/>
  <pageSetup orientation="portrait" paperSize="1" horizontalDpi="300" verticalDpi="300"/>
</worksheet>
</file>

<file path=xl/worksheets/sheet189.xml><?xml version="1.0" encoding="utf-8"?>
<worksheet xmlns="http://schemas.openxmlformats.org/spreadsheetml/2006/main">
  <sheetPr>
    <outlinePr summaryBelow="1" summaryRight="1"/>
    <pageSetUpPr/>
  </sheetPr>
  <dimension ref="A1:J8"/>
  <sheetViews>
    <sheetView zoomScaleSheetLayoutView="60" workbookViewId="0">
      <selection activeCell="A1" sqref="A1"/>
    </sheetView>
  </sheetViews>
  <sheetFormatPr baseColWidth="8" defaultColWidth="9.142857142857141" defaultRowHeight="15.2" outlineLevelRow="7"/>
  <cols>
    <col width="19.5357142857143" customWidth="1" style="170" min="2" max="2"/>
    <col width="15.625" customWidth="1" style="170" min="3" max="4"/>
    <col width="7.80357142857143" customWidth="1" style="170" min="5" max="5"/>
    <col width="39.0625" customWidth="1" style="170" min="6" max="6"/>
    <col width="15.625" customWidth="1" style="170" min="7" max="7"/>
    <col width="11.7053571428571" customWidth="1" style="170" min="10" max="10"/>
  </cols>
  <sheetData>
    <row r="1">
      <c r="A1" s="51">
        <f>HYPERLINK("#表结构清单!A1","返回")</f>
        <v/>
      </c>
      <c r="B1" t="inlineStr">
        <is>
          <t>工作汇总</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worktip_summary</t>
        </is>
      </c>
      <c r="C3" s="24" t="inlineStr">
        <is>
          <t>UpdateUserId</t>
        </is>
      </c>
      <c r="D3" s="24" t="inlineStr">
        <is>
          <t>varchar(32)</t>
        </is>
      </c>
      <c r="E3" s="24" t="inlineStr">
        <is>
          <t>NO</t>
        </is>
      </c>
      <c r="F3" s="24" t="inlineStr">
        <is>
          <t>经办人</t>
        </is>
      </c>
      <c r="G3" s="24" t="n"/>
      <c r="H3" s="24" t="n"/>
      <c r="I3" s="24" t="inlineStr"/>
      <c r="J3" s="24" t="inlineStr">
        <is>
          <t>2023/01/12</t>
        </is>
      </c>
    </row>
    <row r="4">
      <c r="B4" s="24" t="inlineStr">
        <is>
          <t>worktip_summary</t>
        </is>
      </c>
      <c r="C4" s="24" t="inlineStr">
        <is>
          <t>Pass</t>
        </is>
      </c>
      <c r="D4" s="24" t="inlineStr">
        <is>
          <t>int</t>
        </is>
      </c>
      <c r="E4" s="24" t="inlineStr">
        <is>
          <t>YES</t>
        </is>
      </c>
      <c r="F4" s="24" t="inlineStr">
        <is>
          <t>通过数</t>
        </is>
      </c>
      <c r="G4" s="24" t="n"/>
      <c r="H4" s="24" t="n"/>
      <c r="I4" s="24" t="inlineStr"/>
      <c r="J4" s="24" t="inlineStr">
        <is>
          <t>2023/01/12</t>
        </is>
      </c>
    </row>
    <row r="5">
      <c r="B5" s="24" t="inlineStr">
        <is>
          <t>worktip_summary</t>
        </is>
      </c>
      <c r="C5" s="24" t="inlineStr">
        <is>
          <t>Reject</t>
        </is>
      </c>
      <c r="D5" s="24" t="inlineStr">
        <is>
          <t>int</t>
        </is>
      </c>
      <c r="E5" s="24" t="inlineStr">
        <is>
          <t>YES</t>
        </is>
      </c>
      <c r="F5" s="24" t="inlineStr">
        <is>
          <t>否决数</t>
        </is>
      </c>
      <c r="G5" s="24" t="n"/>
      <c r="H5" s="24" t="n"/>
      <c r="I5" s="24" t="inlineStr"/>
      <c r="J5" s="24" t="inlineStr">
        <is>
          <t>2023/01/12</t>
        </is>
      </c>
    </row>
    <row r="6">
      <c r="B6" s="24" t="inlineStr">
        <is>
          <t>worktip_summary</t>
        </is>
      </c>
      <c r="C6" s="24" t="inlineStr">
        <is>
          <t>Return</t>
        </is>
      </c>
      <c r="D6" s="24" t="inlineStr">
        <is>
          <t>int</t>
        </is>
      </c>
      <c r="E6" s="24" t="inlineStr">
        <is>
          <t>YES</t>
        </is>
      </c>
      <c r="F6" s="24" t="inlineStr">
        <is>
          <t>退回数</t>
        </is>
      </c>
      <c r="G6" s="24" t="n"/>
      <c r="H6" s="24" t="n"/>
      <c r="I6" s="24" t="inlineStr"/>
      <c r="J6" s="24" t="inlineStr">
        <is>
          <t>2023/01/12</t>
        </is>
      </c>
    </row>
    <row r="7">
      <c r="B7" s="24" t="inlineStr">
        <is>
          <t>worktip_summary</t>
        </is>
      </c>
      <c r="C7" s="24" t="inlineStr">
        <is>
          <t>InputDate</t>
        </is>
      </c>
      <c r="D7" s="24" t="inlineStr">
        <is>
          <t>datetime</t>
        </is>
      </c>
      <c r="E7" s="24" t="inlineStr">
        <is>
          <t>YES</t>
        </is>
      </c>
      <c r="F7" s="24" t="inlineStr">
        <is>
          <t>录入时间</t>
        </is>
      </c>
      <c r="G7" s="24" t="n"/>
      <c r="H7" s="24" t="n"/>
      <c r="I7" s="24" t="inlineStr"/>
      <c r="J7" s="24" t="inlineStr">
        <is>
          <t>2023/01/12</t>
        </is>
      </c>
    </row>
    <row r="8">
      <c r="B8" s="24" t="inlineStr">
        <is>
          <t>worktip_summary</t>
        </is>
      </c>
      <c r="C8" s="24" t="inlineStr">
        <is>
          <t>CorpOrgId</t>
        </is>
      </c>
      <c r="D8" s="24" t="inlineStr">
        <is>
          <t>varchar(32)</t>
        </is>
      </c>
      <c r="E8" s="24" t="inlineStr">
        <is>
          <t>YES</t>
        </is>
      </c>
      <c r="F8" s="24" t="inlineStr">
        <is>
          <t>法人机构编号</t>
        </is>
      </c>
      <c r="G8" s="24" t="n"/>
      <c r="H8" s="24" t="n"/>
      <c r="I8" s="24" t="inlineStr"/>
      <c r="J8" s="24" t="inlineStr">
        <is>
          <t>2023/01/12</t>
        </is>
      </c>
    </row>
  </sheetData>
  <pageMargins left="0.75" right="0.75" top="1" bottom="1" header="0.5" footer="0.5"/>
  <pageSetup orientation="portrait" paperSize="1" horizontalDpi="300" verticalDpi="300"/>
</worksheet>
</file>

<file path=xl/worksheets/sheet19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ColWidth="9.142857142857141" defaultRowHeight="15.2"/>
  <cols>
    <col width="15.1428571428571" customWidth="1" style="170" min="3" max="3"/>
  </cols>
  <sheetData>
    <row r="1">
      <c r="A1" s="1">
        <f>HYPERLINK("#表结构清单!A1","返回")</f>
        <v/>
      </c>
      <c r="B1" s="2" t="inlineStr">
        <is>
          <t>押品管户人表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clr_belong</t>
        </is>
      </c>
      <c r="C3" s="24" t="inlineStr">
        <is>
          <t>CLRID</t>
        </is>
      </c>
      <c r="D3" s="24" t="inlineStr">
        <is>
          <t>varchar(32)</t>
        </is>
      </c>
      <c r="E3" s="24" t="inlineStr">
        <is>
          <t>NO</t>
        </is>
      </c>
      <c r="F3" s="43" t="inlineStr">
        <is>
          <t>押品编号</t>
        </is>
      </c>
      <c r="G3" s="24" t="n"/>
      <c r="H3" s="24" t="n"/>
      <c r="I3" s="24" t="inlineStr"/>
      <c r="J3" s="183" t="n">
        <v>45740</v>
      </c>
    </row>
    <row r="4">
      <c r="B4" s="24" t="inlineStr">
        <is>
          <t>clr_belong</t>
        </is>
      </c>
      <c r="C4" s="24" t="inlineStr">
        <is>
          <t>BELONGUSERID</t>
        </is>
      </c>
      <c r="D4" s="24" t="inlineStr">
        <is>
          <t>varchar(32)</t>
        </is>
      </c>
      <c r="E4" s="24" t="inlineStr">
        <is>
          <t>NO</t>
        </is>
      </c>
      <c r="F4" s="43" t="inlineStr">
        <is>
          <t>管户人编号</t>
        </is>
      </c>
      <c r="G4" s="24" t="n"/>
      <c r="H4" s="24" t="n"/>
      <c r="I4" s="24" t="inlineStr"/>
      <c r="J4" s="183" t="n">
        <v>45740</v>
      </c>
    </row>
    <row r="5">
      <c r="B5" s="24" t="inlineStr">
        <is>
          <t>clr_belong</t>
        </is>
      </c>
      <c r="C5" s="24" t="inlineStr">
        <is>
          <t>STATUS</t>
        </is>
      </c>
      <c r="D5" s="24" t="inlineStr">
        <is>
          <t>varchar(8)</t>
        </is>
      </c>
      <c r="E5" s="24" t="inlineStr">
        <is>
          <t>YES</t>
        </is>
      </c>
      <c r="F5" s="24" t="inlineStr">
        <is>
          <t>状态</t>
        </is>
      </c>
      <c r="G5" s="24" t="n"/>
      <c r="H5" s="24" t="n"/>
      <c r="I5" s="24" t="inlineStr"/>
      <c r="J5" s="183" t="n">
        <v>45740</v>
      </c>
    </row>
    <row r="6">
      <c r="B6" s="24" t="inlineStr">
        <is>
          <t>clr_belong</t>
        </is>
      </c>
      <c r="C6" s="24" t="inlineStr">
        <is>
          <t>INPUTUSER</t>
        </is>
      </c>
      <c r="D6" s="24" t="inlineStr">
        <is>
          <t>varchar(32)</t>
        </is>
      </c>
      <c r="E6" s="24" t="inlineStr">
        <is>
          <t>YES</t>
        </is>
      </c>
      <c r="F6" s="24" t="inlineStr">
        <is>
          <t>登记人</t>
        </is>
      </c>
      <c r="G6" s="24" t="n"/>
      <c r="H6" s="24" t="n"/>
      <c r="I6" s="24" t="inlineStr"/>
      <c r="J6" s="183" t="n">
        <v>45740</v>
      </c>
    </row>
    <row r="7">
      <c r="B7" s="24" t="inlineStr">
        <is>
          <t>clr_belong</t>
        </is>
      </c>
      <c r="C7" s="24" t="inlineStr">
        <is>
          <t>INPUTORG</t>
        </is>
      </c>
      <c r="D7" s="24" t="inlineStr">
        <is>
          <t>varchar(32)</t>
        </is>
      </c>
      <c r="E7" s="24" t="inlineStr">
        <is>
          <t>YES</t>
        </is>
      </c>
      <c r="F7" s="24" t="inlineStr">
        <is>
          <t>登记机构</t>
        </is>
      </c>
      <c r="G7" s="24" t="n"/>
      <c r="H7" s="24" t="n"/>
      <c r="I7" s="24" t="inlineStr"/>
      <c r="J7" s="183" t="n">
        <v>45740</v>
      </c>
    </row>
    <row r="8">
      <c r="B8" s="24" t="inlineStr">
        <is>
          <t>clr_belong</t>
        </is>
      </c>
      <c r="C8" s="24" t="inlineStr">
        <is>
          <t>INPUTTIME</t>
        </is>
      </c>
      <c r="D8" s="24" t="inlineStr">
        <is>
          <t>datetime</t>
        </is>
      </c>
      <c r="E8" s="24" t="inlineStr">
        <is>
          <t>YES</t>
        </is>
      </c>
      <c r="F8" s="24" t="inlineStr">
        <is>
          <t>登记时间</t>
        </is>
      </c>
      <c r="G8" s="24" t="n"/>
      <c r="H8" s="24" t="n"/>
      <c r="I8" s="24" t="inlineStr"/>
      <c r="J8" s="183" t="n">
        <v>45740</v>
      </c>
    </row>
    <row r="9">
      <c r="B9" s="24" t="inlineStr">
        <is>
          <t>clr_belong</t>
        </is>
      </c>
      <c r="C9" s="24" t="inlineStr">
        <is>
          <t>UPDATEUSER</t>
        </is>
      </c>
      <c r="D9" s="24" t="inlineStr">
        <is>
          <t>varchar(32)</t>
        </is>
      </c>
      <c r="E9" s="24" t="inlineStr">
        <is>
          <t>YES</t>
        </is>
      </c>
      <c r="F9" s="24" t="inlineStr">
        <is>
          <t>更新人</t>
        </is>
      </c>
      <c r="G9" s="24" t="n"/>
      <c r="H9" s="24" t="n"/>
      <c r="I9" s="24" t="inlineStr"/>
      <c r="J9" s="183" t="n">
        <v>45740</v>
      </c>
    </row>
    <row r="10">
      <c r="B10" s="24" t="inlineStr">
        <is>
          <t>clr_belong</t>
        </is>
      </c>
      <c r="C10" s="24" t="inlineStr">
        <is>
          <t>UPDATETIME</t>
        </is>
      </c>
      <c r="D10" s="24" t="inlineStr">
        <is>
          <t>datetime</t>
        </is>
      </c>
      <c r="E10" s="24" t="inlineStr">
        <is>
          <t>YES</t>
        </is>
      </c>
      <c r="F10" s="24" t="inlineStr">
        <is>
          <t>更新时间</t>
        </is>
      </c>
      <c r="G10" s="24" t="n"/>
      <c r="H10" s="24" t="n"/>
      <c r="I10" s="24" t="inlineStr"/>
      <c r="J10" s="183" t="n">
        <v>45740</v>
      </c>
    </row>
    <row r="11">
      <c r="B11" s="24" t="inlineStr">
        <is>
          <t>clr_belong</t>
        </is>
      </c>
      <c r="C11" s="24" t="inlineStr">
        <is>
          <t>UPDATEUSERID</t>
        </is>
      </c>
      <c r="D11" s="24" t="inlineStr">
        <is>
          <t>varchar(32)</t>
        </is>
      </c>
      <c r="E11" s="24" t="inlineStr">
        <is>
          <t>YES</t>
        </is>
      </c>
      <c r="F11" s="24" t="inlineStr">
        <is>
          <t>更新人编号</t>
        </is>
      </c>
      <c r="G11" s="24" t="n"/>
      <c r="H11" s="24" t="n"/>
      <c r="I11" s="24" t="inlineStr"/>
      <c r="J11" s="183" t="n">
        <v>45740</v>
      </c>
    </row>
    <row r="12">
      <c r="B12" s="24" t="inlineStr">
        <is>
          <t>clr_belong</t>
        </is>
      </c>
      <c r="C12" s="24" t="inlineStr">
        <is>
          <t>UPDATEORGID</t>
        </is>
      </c>
      <c r="D12" s="24" t="inlineStr">
        <is>
          <t>varchar(32)</t>
        </is>
      </c>
      <c r="E12" s="24" t="inlineStr">
        <is>
          <t>YES</t>
        </is>
      </c>
      <c r="F12" s="24" t="inlineStr">
        <is>
          <t>更新机构</t>
        </is>
      </c>
      <c r="G12" s="24" t="n"/>
      <c r="H12" s="24" t="n"/>
      <c r="I12" s="24" t="inlineStr"/>
      <c r="J12" s="183" t="n">
        <v>45740</v>
      </c>
    </row>
    <row r="13">
      <c r="B13" s="24" t="inlineStr">
        <is>
          <t>clr_belong</t>
        </is>
      </c>
      <c r="C13" s="24" t="inlineStr">
        <is>
          <t>INPUTORGID</t>
        </is>
      </c>
      <c r="D13" s="24" t="inlineStr">
        <is>
          <t>varchar(32)</t>
        </is>
      </c>
      <c r="E13" s="24" t="inlineStr">
        <is>
          <t>YES</t>
        </is>
      </c>
      <c r="F13" s="24" t="inlineStr">
        <is>
          <t>登记机构编号</t>
        </is>
      </c>
      <c r="G13" s="24" t="n"/>
      <c r="H13" s="24" t="n"/>
      <c r="I13" s="24" t="inlineStr"/>
      <c r="J13" s="183" t="n">
        <v>45740</v>
      </c>
    </row>
    <row r="14">
      <c r="B14" s="24" t="inlineStr">
        <is>
          <t>clr_belong</t>
        </is>
      </c>
      <c r="C14" s="24" t="inlineStr">
        <is>
          <t>INPUTUSERID</t>
        </is>
      </c>
      <c r="D14" s="24" t="inlineStr">
        <is>
          <t>varchar(32)</t>
        </is>
      </c>
      <c r="E14" s="24" t="inlineStr">
        <is>
          <t>YES</t>
        </is>
      </c>
      <c r="F14" s="24" t="inlineStr">
        <is>
          <t>登记人编号</t>
        </is>
      </c>
      <c r="G14" s="24" t="n"/>
      <c r="H14" s="24" t="n"/>
      <c r="I14" s="24" t="inlineStr"/>
      <c r="J14" s="183" t="n">
        <v>45740</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J34"/>
  <sheetViews>
    <sheetView workbookViewId="0">
      <selection activeCell="C29" sqref="C29:F34"/>
    </sheetView>
  </sheetViews>
  <sheetFormatPr baseColWidth="8" defaultColWidth="9.142857142857141" defaultRowHeight="15.2"/>
  <cols>
    <col width="28.4285714285714" customWidth="1" style="170" min="2" max="2"/>
    <col width="24.8571428571429" customWidth="1" style="170" min="3" max="3"/>
    <col width="14" customWidth="1" style="170" min="4" max="4"/>
    <col width="15.2857142857143" customWidth="1" style="170" min="6" max="6"/>
    <col width="30.7142857142857" customWidth="1" style="170" min="12" max="12"/>
    <col width="28.7142857142857" customWidth="1" style="170" min="13" max="16"/>
    <col width="11.0714285714286" customWidth="1" style="170" min="17" max="17"/>
  </cols>
  <sheetData>
    <row r="1">
      <c r="A1" s="1">
        <f>HYPERLINK("#表结构清单!A1","返回")</f>
        <v/>
      </c>
      <c r="B1" s="2" t="inlineStr">
        <is>
          <t>不动产中心房产信息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CLR_PROPERTY_HOUSE_INFO</t>
        </is>
      </c>
      <c r="C3" s="24" t="inlineStr">
        <is>
          <t>SERIALNO</t>
        </is>
      </c>
      <c r="D3" s="24" t="inlineStr">
        <is>
          <t>VARCHAR(32)</t>
        </is>
      </c>
      <c r="E3" s="24" t="inlineStr">
        <is>
          <t>NO</t>
        </is>
      </c>
      <c r="F3" s="24" t="inlineStr">
        <is>
          <t>流水号</t>
        </is>
      </c>
      <c r="G3" s="24" t="n"/>
      <c r="H3" s="24" t="n"/>
      <c r="I3" s="24" t="n"/>
      <c r="J3" s="35" t="n">
        <v>45727</v>
      </c>
    </row>
    <row r="4">
      <c r="B4" s="24" t="inlineStr">
        <is>
          <t>CLR_PROPERTY_HOUSE_INFO</t>
        </is>
      </c>
      <c r="C4" s="24" t="inlineStr">
        <is>
          <t>REGISTERRECORDID</t>
        </is>
      </c>
      <c r="D4" s="24" t="inlineStr">
        <is>
          <t>VARCHAR(32)</t>
        </is>
      </c>
      <c r="E4" s="24" t="inlineStr">
        <is>
          <t>NO</t>
        </is>
      </c>
      <c r="F4" s="49" t="inlineStr">
        <is>
          <t>押权编号</t>
        </is>
      </c>
      <c r="G4" s="24" t="n"/>
      <c r="H4" s="24" t="n"/>
      <c r="I4" s="24" t="n"/>
      <c r="J4" s="35" t="n">
        <v>45727</v>
      </c>
    </row>
    <row r="5">
      <c r="B5" s="24" t="inlineStr">
        <is>
          <t>CLR_PROPERTY_HOUSE_INFO</t>
        </is>
      </c>
      <c r="C5" s="24" t="inlineStr">
        <is>
          <t>PROPERTYNO</t>
        </is>
      </c>
      <c r="D5" s="24" t="inlineStr">
        <is>
          <t>VARCHAR(400)</t>
        </is>
      </c>
      <c r="E5" s="24" t="inlineStr">
        <is>
          <t>YES</t>
        </is>
      </c>
      <c r="F5" s="24" t="inlineStr">
        <is>
          <t>不动产权证号</t>
        </is>
      </c>
      <c r="G5" s="24" t="n"/>
      <c r="H5" s="24" t="n"/>
      <c r="I5" s="24" t="n"/>
      <c r="J5" s="35" t="n">
        <v>45727</v>
      </c>
    </row>
    <row r="6">
      <c r="B6" s="24" t="inlineStr">
        <is>
          <t>CLR_PROPERTY_HOUSE_INFO</t>
        </is>
      </c>
      <c r="C6" s="24" t="inlineStr">
        <is>
          <t>CUSTOMERNAME</t>
        </is>
      </c>
      <c r="D6" s="24" t="inlineStr">
        <is>
          <t>VARCHAR(40)</t>
        </is>
      </c>
      <c r="E6" s="24" t="inlineStr">
        <is>
          <t>YES</t>
        </is>
      </c>
      <c r="F6" s="24" t="inlineStr">
        <is>
          <t>客户姓名</t>
        </is>
      </c>
      <c r="G6" s="24" t="n"/>
      <c r="H6" s="24" t="n"/>
      <c r="I6" s="24" t="inlineStr"/>
      <c r="J6" s="35" t="n">
        <v>45727</v>
      </c>
    </row>
    <row r="7">
      <c r="B7" s="24" t="inlineStr">
        <is>
          <t>CLR_PROPERTY_HOUSE_INFO</t>
        </is>
      </c>
      <c r="C7" s="24" t="inlineStr">
        <is>
          <t>HOUSELOCATION</t>
        </is>
      </c>
      <c r="D7" s="24" t="inlineStr">
        <is>
          <t>VARCHAR(400)</t>
        </is>
      </c>
      <c r="E7" s="24" t="inlineStr">
        <is>
          <t>YES</t>
        </is>
      </c>
      <c r="F7" s="24" t="inlineStr">
        <is>
          <t>坐落</t>
        </is>
      </c>
      <c r="G7" s="24" t="n"/>
      <c r="H7" s="24" t="n"/>
      <c r="I7" s="24" t="inlineStr"/>
      <c r="J7" s="35" t="n">
        <v>45727</v>
      </c>
    </row>
    <row r="8">
      <c r="B8" s="24" t="inlineStr">
        <is>
          <t>CLR_PROPERTY_HOUSE_INFO</t>
        </is>
      </c>
      <c r="C8" s="24" t="inlineStr">
        <is>
          <t>STRUCTURETYPE</t>
        </is>
      </c>
      <c r="D8" s="24" t="inlineStr">
        <is>
          <t>VARCHAR(10)</t>
        </is>
      </c>
      <c r="E8" s="24" t="inlineStr">
        <is>
          <t>YES</t>
        </is>
      </c>
      <c r="F8" s="24" t="inlineStr">
        <is>
          <t>构筑物类型</t>
        </is>
      </c>
      <c r="G8" s="24" t="n"/>
      <c r="H8" s="24" t="n"/>
      <c r="I8" s="24" t="inlineStr"/>
      <c r="J8" s="35" t="n">
        <v>45727</v>
      </c>
    </row>
    <row r="9">
      <c r="B9" s="24" t="inlineStr">
        <is>
          <t>CLR_PROPERTY_HOUSE_INFO</t>
        </is>
      </c>
      <c r="C9" s="24" t="inlineStr">
        <is>
          <t>SEATYPE</t>
        </is>
      </c>
      <c r="D9" s="24" t="inlineStr">
        <is>
          <t>VARCHAR(10)</t>
        </is>
      </c>
      <c r="E9" s="24" t="inlineStr">
        <is>
          <t>YES</t>
        </is>
      </c>
      <c r="F9" s="24" t="inlineStr">
        <is>
          <t>用海类型</t>
        </is>
      </c>
      <c r="G9" s="24" t="n"/>
      <c r="H9" s="24" t="n"/>
      <c r="I9" s="24" t="inlineStr"/>
      <c r="J9" s="35" t="n">
        <v>45727</v>
      </c>
    </row>
    <row r="10">
      <c r="B10" s="24" t="inlineStr">
        <is>
          <t>CLR_PROPERTY_HOUSE_INFO</t>
        </is>
      </c>
      <c r="C10" s="24" t="inlineStr">
        <is>
          <t>PROPERTYUNITID</t>
        </is>
      </c>
      <c r="D10" s="24" t="inlineStr">
        <is>
          <t>VARCHAR(50)</t>
        </is>
      </c>
      <c r="E10" s="24" t="inlineStr">
        <is>
          <t>YES</t>
        </is>
      </c>
      <c r="F10" s="24" t="inlineStr">
        <is>
          <t>不动产单元ID</t>
        </is>
      </c>
      <c r="G10" s="24" t="n"/>
      <c r="H10" s="24" t="n"/>
      <c r="I10" s="24" t="inlineStr"/>
      <c r="J10" s="35" t="n">
        <v>45727</v>
      </c>
    </row>
    <row r="11">
      <c r="B11" s="24" t="inlineStr">
        <is>
          <t>CLR_PROPERTY_HOUSE_INFO</t>
        </is>
      </c>
      <c r="C11" s="24" t="inlineStr">
        <is>
          <t>PROPERTYUNITTYPE</t>
        </is>
      </c>
      <c r="D11" s="24" t="inlineStr">
        <is>
          <t>VARCHAR(10)</t>
        </is>
      </c>
      <c r="E11" s="24" t="inlineStr">
        <is>
          <t>YES</t>
        </is>
      </c>
      <c r="F11" s="24" t="inlineStr">
        <is>
          <t>不动产单元类型</t>
        </is>
      </c>
      <c r="G11" s="24" t="n"/>
      <c r="H11" s="24" t="n"/>
      <c r="I11" s="24" t="inlineStr"/>
      <c r="J11" s="35" t="n">
        <v>45727</v>
      </c>
    </row>
    <row r="12">
      <c r="B12" s="24" t="inlineStr">
        <is>
          <t>CLR_PROPERTY_HOUSE_INFO</t>
        </is>
      </c>
      <c r="C12" s="24" t="inlineStr">
        <is>
          <t>HOUSINGUSE</t>
        </is>
      </c>
      <c r="D12" s="24" t="inlineStr">
        <is>
          <t>VARCHAR(200)</t>
        </is>
      </c>
      <c r="E12" s="24" t="inlineStr">
        <is>
          <t>YES</t>
        </is>
      </c>
      <c r="F12" s="24" t="inlineStr">
        <is>
          <t>房屋用途</t>
        </is>
      </c>
      <c r="G12" s="24" t="n"/>
      <c r="H12" s="24" t="n"/>
      <c r="I12" s="24" t="inlineStr"/>
      <c r="J12" s="35" t="n">
        <v>45727</v>
      </c>
    </row>
    <row r="13">
      <c r="B13" s="24" t="inlineStr">
        <is>
          <t>CLR_PROPERTY_HOUSE_INFO</t>
        </is>
      </c>
      <c r="C13" s="24" t="inlineStr">
        <is>
          <t>AREA</t>
        </is>
      </c>
      <c r="D13" s="24" t="inlineStr">
        <is>
          <t>DECIMAL(24)</t>
        </is>
      </c>
      <c r="E13" s="24" t="inlineStr">
        <is>
          <t>YES</t>
        </is>
      </c>
      <c r="F13" s="24" t="inlineStr">
        <is>
          <t>面积</t>
        </is>
      </c>
      <c r="G13" s="24" t="n"/>
      <c r="H13" s="24" t="n"/>
      <c r="I13" s="24" t="inlineStr"/>
      <c r="J13" s="35" t="n">
        <v>45727</v>
      </c>
    </row>
    <row r="14">
      <c r="B14" s="24" t="inlineStr">
        <is>
          <t>CLR_PROPERTY_HOUSE_INFO</t>
        </is>
      </c>
      <c r="C14" s="24" t="inlineStr">
        <is>
          <t>FORESTTYPE</t>
        </is>
      </c>
      <c r="D14" s="24" t="inlineStr">
        <is>
          <t>VARCHAR(10)</t>
        </is>
      </c>
      <c r="E14" s="24" t="inlineStr">
        <is>
          <t>YES</t>
        </is>
      </c>
      <c r="F14" s="24" t="inlineStr">
        <is>
          <t>林种</t>
        </is>
      </c>
      <c r="G14" s="24" t="n"/>
      <c r="H14" s="24" t="n"/>
      <c r="I14" s="24" t="inlineStr"/>
      <c r="J14" s="35" t="n">
        <v>45727</v>
      </c>
    </row>
    <row r="15">
      <c r="B15" s="24" t="inlineStr">
        <is>
          <t>CLR_PROPERTY_HOUSE_INFO</t>
        </is>
      </c>
      <c r="C15" s="24" t="inlineStr">
        <is>
          <t>PROPERTYUNITNO</t>
        </is>
      </c>
      <c r="D15" s="24" t="inlineStr">
        <is>
          <t>VARCHAR(50)</t>
        </is>
      </c>
      <c r="E15" s="24" t="inlineStr">
        <is>
          <t>YES</t>
        </is>
      </c>
      <c r="F15" s="24" t="inlineStr">
        <is>
          <t>不动产单元号</t>
        </is>
      </c>
      <c r="G15" s="24" t="n"/>
      <c r="H15" s="109" t="n"/>
      <c r="I15" s="109" t="inlineStr"/>
      <c r="J15" s="35" t="n">
        <v>45727</v>
      </c>
    </row>
    <row r="16">
      <c r="B16" s="24" t="inlineStr">
        <is>
          <t>CLR_PROPERTY_HOUSE_INFO</t>
        </is>
      </c>
      <c r="C16" s="24" t="inlineStr">
        <is>
          <t>NATURALBUILDINGNO</t>
        </is>
      </c>
      <c r="D16" s="24" t="inlineStr">
        <is>
          <t>VARCHAR(50)</t>
        </is>
      </c>
      <c r="E16" s="24" t="inlineStr">
        <is>
          <t>YES</t>
        </is>
      </c>
      <c r="F16" s="24" t="inlineStr">
        <is>
          <t>自然幢号</t>
        </is>
      </c>
      <c r="G16" s="39" t="n"/>
      <c r="H16" s="21" t="n"/>
      <c r="I16" s="21" t="n"/>
      <c r="J16" s="35" t="n">
        <v>45727</v>
      </c>
    </row>
    <row r="17">
      <c r="B17" s="24" t="inlineStr">
        <is>
          <t>CLR_PROPERTY_HOUSE_INFO</t>
        </is>
      </c>
      <c r="C17" s="24" t="inlineStr">
        <is>
          <t>ROOMNO</t>
        </is>
      </c>
      <c r="D17" s="24" t="inlineStr">
        <is>
          <t>VARCHAR(20)</t>
        </is>
      </c>
      <c r="E17" s="24" t="inlineStr">
        <is>
          <t>YES</t>
        </is>
      </c>
      <c r="F17" s="24" t="inlineStr">
        <is>
          <t>房号</t>
        </is>
      </c>
      <c r="G17" s="39" t="n"/>
      <c r="H17" s="21" t="n"/>
      <c r="I17" s="21" t="n"/>
      <c r="J17" s="35" t="n">
        <v>45727</v>
      </c>
    </row>
    <row r="18">
      <c r="B18" s="24" t="inlineStr">
        <is>
          <t>CLR_PROPERTY_HOUSE_INFO</t>
        </is>
      </c>
      <c r="C18" s="24" t="inlineStr">
        <is>
          <t>HOUSESTRUCTURE</t>
        </is>
      </c>
      <c r="D18" s="24" t="inlineStr">
        <is>
          <t>VARCHAR(10)</t>
        </is>
      </c>
      <c r="E18" s="24" t="inlineStr">
        <is>
          <t>YES</t>
        </is>
      </c>
      <c r="F18" s="24" t="inlineStr">
        <is>
          <t>房屋结构</t>
        </is>
      </c>
      <c r="G18" s="39" t="n"/>
      <c r="H18" s="21" t="n"/>
      <c r="I18" s="21" t="n"/>
      <c r="J18" s="35" t="n">
        <v>45727</v>
      </c>
    </row>
    <row r="19">
      <c r="B19" s="24" t="inlineStr">
        <is>
          <t>CLR_PROPERTY_HOUSE_INFO</t>
        </is>
      </c>
      <c r="C19" s="24" t="inlineStr">
        <is>
          <t>TOTALFLOORS</t>
        </is>
      </c>
      <c r="D19" s="24" t="inlineStr">
        <is>
          <t>DECIMAL(24)</t>
        </is>
      </c>
      <c r="E19" s="24" t="inlineStr">
        <is>
          <t>YES</t>
        </is>
      </c>
      <c r="F19" s="24" t="inlineStr">
        <is>
          <t>总层数</t>
        </is>
      </c>
      <c r="G19" s="39" t="n"/>
      <c r="H19" s="21" t="n"/>
      <c r="I19" s="21" t="n"/>
      <c r="J19" s="35" t="n">
        <v>45727</v>
      </c>
    </row>
    <row r="20">
      <c r="B20" s="24" t="inlineStr">
        <is>
          <t>CLR_PROPERTY_HOUSE_INFO</t>
        </is>
      </c>
      <c r="C20" s="24" t="inlineStr">
        <is>
          <t>LAYER</t>
        </is>
      </c>
      <c r="D20" s="24" t="inlineStr">
        <is>
          <t>VARCHAR(10)</t>
        </is>
      </c>
      <c r="E20" s="24" t="inlineStr">
        <is>
          <t>YES</t>
        </is>
      </c>
      <c r="F20" s="24" t="inlineStr">
        <is>
          <t>所在层</t>
        </is>
      </c>
      <c r="G20" s="39" t="n"/>
      <c r="H20" s="21" t="n"/>
      <c r="I20" s="41" t="n"/>
      <c r="J20" s="35" t="n">
        <v>45727</v>
      </c>
    </row>
    <row r="21">
      <c r="B21" s="24" t="inlineStr">
        <is>
          <t>CLR_PROPERTY_HOUSE_INFO</t>
        </is>
      </c>
      <c r="C21" s="24" t="inlineStr">
        <is>
          <t>INTERIORAREA</t>
        </is>
      </c>
      <c r="D21" s="24" t="inlineStr">
        <is>
          <t>DECIMAL(24)</t>
        </is>
      </c>
      <c r="E21" s="24" t="inlineStr">
        <is>
          <t>YES</t>
        </is>
      </c>
      <c r="F21" s="24" t="inlineStr">
        <is>
          <t>套内面积</t>
        </is>
      </c>
      <c r="G21" s="39" t="n"/>
      <c r="H21" s="21" t="n"/>
      <c r="I21" s="21" t="n"/>
      <c r="J21" s="35" t="n">
        <v>45727</v>
      </c>
    </row>
    <row r="22">
      <c r="B22" s="24" t="inlineStr">
        <is>
          <t>CLR_PROPERTY_HOUSE_INFO</t>
        </is>
      </c>
      <c r="C22" s="24" t="inlineStr">
        <is>
          <t>PLANNINGPURPOSE</t>
        </is>
      </c>
      <c r="D22" s="24" t="inlineStr">
        <is>
          <t>VARCHAR(10)</t>
        </is>
      </c>
      <c r="E22" s="24" t="inlineStr">
        <is>
          <t>YES</t>
        </is>
      </c>
      <c r="F22" s="24" t="inlineStr">
        <is>
          <t>规划用途</t>
        </is>
      </c>
      <c r="G22" s="39" t="n"/>
      <c r="H22" s="21" t="n"/>
      <c r="I22" s="21" t="n"/>
      <c r="J22" s="35" t="n">
        <v>45727</v>
      </c>
    </row>
    <row r="23">
      <c r="B23" s="24" t="inlineStr">
        <is>
          <t>CLR_PROPERTY_HOUSE_INFO</t>
        </is>
      </c>
      <c r="C23" s="24" t="inlineStr">
        <is>
          <t>INPUTORGID</t>
        </is>
      </c>
      <c r="D23" s="24" t="inlineStr">
        <is>
          <t>VARCHAR(32)</t>
        </is>
      </c>
      <c r="E23" s="24" t="inlineStr">
        <is>
          <t>YES</t>
        </is>
      </c>
      <c r="F23" s="24" t="inlineStr">
        <is>
          <t>创建机构</t>
        </is>
      </c>
      <c r="G23" s="39" t="n"/>
      <c r="H23" s="21" t="n"/>
      <c r="I23" s="21" t="n"/>
      <c r="J23" s="35" t="n">
        <v>45727</v>
      </c>
    </row>
    <row r="24">
      <c r="B24" s="24" t="inlineStr">
        <is>
          <t>CLR_PROPERTY_HOUSE_INFO</t>
        </is>
      </c>
      <c r="C24" s="24" t="inlineStr">
        <is>
          <t>INPUTDATE</t>
        </is>
      </c>
      <c r="D24" s="24" t="inlineStr">
        <is>
          <t>VARCHAR(10)</t>
        </is>
      </c>
      <c r="E24" s="24" t="inlineStr">
        <is>
          <t>YES</t>
        </is>
      </c>
      <c r="F24" s="24" t="inlineStr">
        <is>
          <t>创建日期</t>
        </is>
      </c>
      <c r="G24" s="39" t="n"/>
      <c r="H24" s="21" t="n"/>
      <c r="I24" s="21" t="n"/>
      <c r="J24" s="35" t="n">
        <v>45727</v>
      </c>
    </row>
    <row r="25">
      <c r="B25" s="24" t="inlineStr">
        <is>
          <t>CLR_PROPERTY_HOUSE_INFO</t>
        </is>
      </c>
      <c r="C25" s="24" t="inlineStr">
        <is>
          <t>INPUTUSERID</t>
        </is>
      </c>
      <c r="D25" s="24" t="inlineStr">
        <is>
          <t>VARCHAR(10)</t>
        </is>
      </c>
      <c r="E25" s="24" t="inlineStr">
        <is>
          <t>YES</t>
        </is>
      </c>
      <c r="F25" s="24" t="inlineStr">
        <is>
          <t>创建人</t>
        </is>
      </c>
      <c r="G25" s="39" t="n"/>
      <c r="H25" s="21" t="n"/>
      <c r="I25" s="21" t="n"/>
      <c r="J25" s="35" t="n">
        <v>45727</v>
      </c>
    </row>
    <row r="26">
      <c r="B26" s="24" t="inlineStr">
        <is>
          <t>CLR_PROPERTY_HOUSE_INFO</t>
        </is>
      </c>
      <c r="C26" s="24" t="inlineStr">
        <is>
          <t>PROPERTYREGISTERDATE</t>
        </is>
      </c>
      <c r="D26" s="24" t="inlineStr">
        <is>
          <t>VARCHAR(20)</t>
        </is>
      </c>
      <c r="E26" s="24" t="inlineStr">
        <is>
          <t>YES</t>
        </is>
      </c>
      <c r="F26" s="24" t="inlineStr">
        <is>
          <t>当前产权登记时间</t>
        </is>
      </c>
      <c r="G26" s="39" t="n"/>
      <c r="H26" s="21" t="n"/>
      <c r="I26" s="21" t="n"/>
      <c r="J26" s="35" t="n">
        <v>45727</v>
      </c>
    </row>
    <row r="27">
      <c r="B27" s="24" t="inlineStr">
        <is>
          <t>CLR_PROPERTY_HOUSE_INFO</t>
        </is>
      </c>
      <c r="C27" s="24" t="inlineStr">
        <is>
          <t>LANDUSENAME</t>
        </is>
      </c>
      <c r="D27" s="24" t="inlineStr">
        <is>
          <t>VARCHAR(200)</t>
        </is>
      </c>
      <c r="E27" s="24" t="inlineStr">
        <is>
          <t>YES</t>
        </is>
      </c>
      <c r="F27" s="24" t="inlineStr">
        <is>
          <t>土地用途名称</t>
        </is>
      </c>
      <c r="G27" s="39" t="n"/>
      <c r="H27" s="21" t="n"/>
      <c r="I27" s="21" t="n"/>
      <c r="J27" s="35" t="n">
        <v>45727</v>
      </c>
    </row>
    <row r="28">
      <c r="B28" s="24" t="inlineStr">
        <is>
          <t>CLR_PROPERTY_HOUSE_INFO</t>
        </is>
      </c>
      <c r="C28" s="24" t="inlineStr">
        <is>
          <t>PROPERTYTYPE</t>
        </is>
      </c>
      <c r="D28" s="24" t="inlineStr">
        <is>
          <t>VARCHAR(100)</t>
        </is>
      </c>
      <c r="E28" s="24" t="inlineStr">
        <is>
          <t>YES</t>
        </is>
      </c>
      <c r="F28" s="24" t="inlineStr">
        <is>
          <t>房屋性质</t>
        </is>
      </c>
      <c r="G28" s="47" t="n"/>
      <c r="H28" s="48" t="n"/>
      <c r="I28" s="48" t="n"/>
      <c r="J28" s="35" t="n">
        <v>45727</v>
      </c>
    </row>
    <row r="29">
      <c r="B29" s="24" t="inlineStr">
        <is>
          <t>CLR_PROPERTY_HOUSE_INFO</t>
        </is>
      </c>
      <c r="C29" s="24" t="inlineStr">
        <is>
          <t>INPUTUSERID</t>
        </is>
      </c>
      <c r="D29" s="24" t="inlineStr">
        <is>
          <t>varchar(32)</t>
        </is>
      </c>
      <c r="E29" s="24" t="inlineStr">
        <is>
          <t>YES</t>
        </is>
      </c>
      <c r="F29" s="39" t="inlineStr">
        <is>
          <t>登记人</t>
        </is>
      </c>
      <c r="G29" s="21" t="n"/>
      <c r="H29" s="21" t="n"/>
      <c r="I29" s="21" t="n"/>
      <c r="J29" s="45" t="n">
        <v>45727</v>
      </c>
    </row>
    <row r="30">
      <c r="B30" s="24" t="inlineStr">
        <is>
          <t>CLR_PROPERTY_HOUSE_INFO</t>
        </is>
      </c>
      <c r="C30" s="24" t="inlineStr">
        <is>
          <t>INPUTORGID</t>
        </is>
      </c>
      <c r="D30" s="24" t="inlineStr">
        <is>
          <t>varchar(32)</t>
        </is>
      </c>
      <c r="E30" s="24" t="inlineStr">
        <is>
          <t>YES</t>
        </is>
      </c>
      <c r="F30" s="39" t="inlineStr">
        <is>
          <t>登记机构</t>
        </is>
      </c>
      <c r="G30" s="21" t="n"/>
      <c r="H30" s="21" t="n"/>
      <c r="I30" s="21" t="n"/>
      <c r="J30" s="45" t="n">
        <v>45727</v>
      </c>
    </row>
    <row r="31">
      <c r="B31" s="24" t="inlineStr">
        <is>
          <t>CLR_PROPERTY_HOUSE_INFO</t>
        </is>
      </c>
      <c r="C31" s="24" t="inlineStr">
        <is>
          <t>INPUTDATE</t>
        </is>
      </c>
      <c r="D31" s="24" t="inlineStr">
        <is>
          <t>datetime</t>
        </is>
      </c>
      <c r="E31" s="24" t="inlineStr">
        <is>
          <t>YES</t>
        </is>
      </c>
      <c r="F31" s="39" t="inlineStr">
        <is>
          <t>登记日期</t>
        </is>
      </c>
      <c r="G31" s="21" t="n"/>
      <c r="H31" s="21" t="n"/>
      <c r="I31" s="21" t="n"/>
      <c r="J31" s="45" t="n">
        <v>45727</v>
      </c>
    </row>
    <row r="32">
      <c r="B32" s="24" t="inlineStr">
        <is>
          <t>CLR_PROPERTY_HOUSE_INFO</t>
        </is>
      </c>
      <c r="C32" s="24" t="inlineStr">
        <is>
          <t>UPDATEUSERID</t>
        </is>
      </c>
      <c r="D32" s="24" t="inlineStr">
        <is>
          <t>varchar(32)</t>
        </is>
      </c>
      <c r="E32" s="24" t="inlineStr">
        <is>
          <t>YES</t>
        </is>
      </c>
      <c r="F32" s="39" t="inlineStr">
        <is>
          <t>更新人</t>
        </is>
      </c>
      <c r="G32" s="21" t="n"/>
      <c r="H32" s="21" t="n"/>
      <c r="I32" s="21" t="n"/>
      <c r="J32" s="45" t="n">
        <v>45727</v>
      </c>
    </row>
    <row r="33">
      <c r="B33" s="24" t="inlineStr">
        <is>
          <t>CLR_PROPERTY_HOUSE_INFO</t>
        </is>
      </c>
      <c r="C33" s="24" t="inlineStr">
        <is>
          <t>UPDATEORGID</t>
        </is>
      </c>
      <c r="D33" s="24" t="inlineStr">
        <is>
          <t>varchar(32)</t>
        </is>
      </c>
      <c r="E33" s="24" t="inlineStr">
        <is>
          <t>YES</t>
        </is>
      </c>
      <c r="F33" s="39" t="inlineStr">
        <is>
          <t>更新机构</t>
        </is>
      </c>
      <c r="G33" s="21" t="n"/>
      <c r="H33" s="21" t="n"/>
      <c r="I33" s="21" t="n"/>
      <c r="J33" s="45" t="n">
        <v>45727</v>
      </c>
    </row>
    <row r="34">
      <c r="B34" s="24" t="inlineStr">
        <is>
          <t>CLR_PROPERTY_HOUSE_INFO</t>
        </is>
      </c>
      <c r="C34" s="24" t="inlineStr">
        <is>
          <t>UPDATEDATE</t>
        </is>
      </c>
      <c r="D34" s="24" t="inlineStr">
        <is>
          <t>datetime</t>
        </is>
      </c>
      <c r="E34" s="24" t="inlineStr">
        <is>
          <t>YES</t>
        </is>
      </c>
      <c r="F34" s="39" t="inlineStr">
        <is>
          <t>更新日期</t>
        </is>
      </c>
      <c r="G34" s="21" t="n"/>
      <c r="H34" s="21" t="n"/>
      <c r="I34" s="21" t="n"/>
      <c r="J34" s="45" t="n">
        <v>45727</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ColWidth="9.142857142857141" defaultRowHeight="15.2"/>
  <cols>
    <col width="28.4285714285714" customWidth="1" style="170" min="2" max="2"/>
    <col width="24.8571428571429" customWidth="1" style="170" min="3" max="3"/>
    <col width="14" customWidth="1" style="170" min="4" max="4"/>
    <col width="15.2857142857143" customWidth="1" style="170" min="6" max="6"/>
    <col width="30.7142857142857" customWidth="1" style="170" min="12" max="15"/>
    <col width="28.7142857142857" customWidth="1" style="170" min="16" max="19"/>
    <col width="11.0714285714286" customWidth="1" style="170" min="20" max="20"/>
  </cols>
  <sheetData>
    <row r="1">
      <c r="A1" s="1">
        <f>HYPERLINK("#表结构清单!A1","返回")</f>
        <v/>
      </c>
      <c r="B1" s="2" t="inlineStr">
        <is>
          <t>不动产权利人信息表</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CLR_PROPERTY_RIGHT_HOLDER_INFO</t>
        </is>
      </c>
      <c r="C3" s="24" t="inlineStr">
        <is>
          <t>SERIALNO</t>
        </is>
      </c>
      <c r="D3" s="24" t="inlineStr">
        <is>
          <t>VARCHAR(32)</t>
        </is>
      </c>
      <c r="E3" s="24" t="inlineStr">
        <is>
          <t>NO</t>
        </is>
      </c>
      <c r="F3" s="24" t="inlineStr">
        <is>
          <t>流水号</t>
        </is>
      </c>
      <c r="G3" s="24" t="n"/>
      <c r="H3" s="24" t="n"/>
      <c r="I3" s="24" t="n"/>
      <c r="J3" s="35" t="n">
        <v>45727</v>
      </c>
    </row>
    <row r="4">
      <c r="B4" s="24" t="inlineStr">
        <is>
          <t>CLR_PROPERTY_RIGHT_HOLDER_INFO</t>
        </is>
      </c>
      <c r="C4" s="24" t="inlineStr">
        <is>
          <t>REGISTERRECORDID</t>
        </is>
      </c>
      <c r="D4" s="24" t="inlineStr">
        <is>
          <t>VARCHAR(32)</t>
        </is>
      </c>
      <c r="E4" s="24" t="inlineStr">
        <is>
          <t>NO</t>
        </is>
      </c>
      <c r="F4" s="43" t="inlineStr">
        <is>
          <t>押权编号</t>
        </is>
      </c>
      <c r="G4" s="24" t="n"/>
      <c r="H4" s="24" t="n"/>
      <c r="I4" s="24" t="n"/>
      <c r="J4" s="35" t="n">
        <v>45727</v>
      </c>
    </row>
    <row r="5">
      <c r="B5" s="24" t="inlineStr">
        <is>
          <t>CLR_PROPERTY_RIGHT_HOLDER_INFO</t>
        </is>
      </c>
      <c r="C5" s="24" t="inlineStr">
        <is>
          <t>PROPERTYNO</t>
        </is>
      </c>
      <c r="D5" s="24" t="inlineStr">
        <is>
          <t>VARCHAR(400)</t>
        </is>
      </c>
      <c r="E5" s="24" t="inlineStr">
        <is>
          <t>YES</t>
        </is>
      </c>
      <c r="F5" s="24" t="inlineStr">
        <is>
          <t>产权登记号</t>
        </is>
      </c>
      <c r="G5" s="24" t="n"/>
      <c r="H5" s="24" t="n"/>
      <c r="I5" s="24" t="n"/>
      <c r="J5" s="35" t="n">
        <v>45727</v>
      </c>
    </row>
    <row r="6">
      <c r="B6" s="24" t="inlineStr">
        <is>
          <t>CLR_PROPERTY_RIGHT_HOLDER_INFO</t>
        </is>
      </c>
      <c r="C6" s="24" t="inlineStr">
        <is>
          <t>PROPERTYCERTNO</t>
        </is>
      </c>
      <c r="D6" s="24" t="inlineStr">
        <is>
          <t>VARCHAR(50)</t>
        </is>
      </c>
      <c r="E6" s="24" t="inlineStr">
        <is>
          <t>YES</t>
        </is>
      </c>
      <c r="F6" s="24" t="inlineStr">
        <is>
          <t>不动产权证号</t>
        </is>
      </c>
      <c r="G6" s="24" t="n"/>
      <c r="H6" s="24" t="n"/>
      <c r="I6" s="24" t="n"/>
      <c r="J6" s="35" t="n">
        <v>45727</v>
      </c>
    </row>
    <row r="7">
      <c r="B7" s="24" t="inlineStr">
        <is>
          <t>CLR_PROPERTY_RIGHT_HOLDER_INFO</t>
        </is>
      </c>
      <c r="C7" s="24" t="inlineStr">
        <is>
          <t>CUSTOMERNAME</t>
        </is>
      </c>
      <c r="D7" s="24" t="inlineStr">
        <is>
          <t>VARCHAR(40)</t>
        </is>
      </c>
      <c r="E7" s="24" t="inlineStr">
        <is>
          <t>YES</t>
        </is>
      </c>
      <c r="F7" s="24" t="inlineStr">
        <is>
          <t>客户姓名</t>
        </is>
      </c>
      <c r="G7" s="24" t="n"/>
      <c r="H7" s="24" t="n"/>
      <c r="I7" s="24" t="inlineStr"/>
      <c r="J7" s="35" t="n">
        <v>45727</v>
      </c>
    </row>
    <row r="8">
      <c r="B8" s="24" t="inlineStr">
        <is>
          <t>CLR_PROPERTY_RIGHT_HOLDER_INFO</t>
        </is>
      </c>
      <c r="C8" s="24" t="inlineStr">
        <is>
          <t>AGENTNAME</t>
        </is>
      </c>
      <c r="D8" s="24" t="inlineStr">
        <is>
          <t>VARCHAR(40)</t>
        </is>
      </c>
      <c r="E8" s="24" t="inlineStr">
        <is>
          <t>YES</t>
        </is>
      </c>
      <c r="F8" s="24" t="inlineStr">
        <is>
          <t>代理人姓名</t>
        </is>
      </c>
      <c r="G8" s="24" t="n"/>
      <c r="H8" s="24" t="n"/>
      <c r="I8" s="24" t="inlineStr"/>
      <c r="J8" s="35" t="n">
        <v>45727</v>
      </c>
    </row>
    <row r="9">
      <c r="B9" s="24" t="inlineStr">
        <is>
          <t>CLR_PROPERTY_RIGHT_HOLDER_INFO</t>
        </is>
      </c>
      <c r="C9" s="24" t="inlineStr">
        <is>
          <t>AGENTCONTACTNO</t>
        </is>
      </c>
      <c r="D9" s="24" t="inlineStr">
        <is>
          <t>VARCHAR(20)</t>
        </is>
      </c>
      <c r="E9" s="24" t="inlineStr">
        <is>
          <t>YES</t>
        </is>
      </c>
      <c r="F9" s="24" t="inlineStr">
        <is>
          <t>代理人联系电话</t>
        </is>
      </c>
      <c r="G9" s="24" t="n"/>
      <c r="H9" s="24" t="n"/>
      <c r="I9" s="24" t="inlineStr"/>
      <c r="J9" s="35" t="n">
        <v>45727</v>
      </c>
    </row>
    <row r="10">
      <c r="B10" s="24" t="inlineStr">
        <is>
          <t>CLR_PROPERTY_RIGHT_HOLDER_INFO</t>
        </is>
      </c>
      <c r="C10" s="24" t="inlineStr">
        <is>
          <t>AGENTCERTID</t>
        </is>
      </c>
      <c r="D10" s="24" t="inlineStr">
        <is>
          <t>VARCHAR(32)</t>
        </is>
      </c>
      <c r="E10" s="24" t="inlineStr">
        <is>
          <t>YES</t>
        </is>
      </c>
      <c r="F10" s="24" t="inlineStr">
        <is>
          <t>代理人证件号码</t>
        </is>
      </c>
      <c r="G10" s="24" t="n"/>
      <c r="H10" s="24" t="n"/>
      <c r="I10" s="24" t="inlineStr"/>
      <c r="J10" s="35" t="n">
        <v>45727</v>
      </c>
    </row>
    <row r="11">
      <c r="B11" s="24" t="inlineStr">
        <is>
          <t>CLR_PROPERTY_RIGHT_HOLDER_INFO</t>
        </is>
      </c>
      <c r="C11" s="24" t="inlineStr">
        <is>
          <t>AGENTCERTTYPE</t>
        </is>
      </c>
      <c r="D11" s="24" t="inlineStr">
        <is>
          <t>VARCHAR(10)</t>
        </is>
      </c>
      <c r="E11" s="24" t="inlineStr">
        <is>
          <t>YES</t>
        </is>
      </c>
      <c r="F11" s="24" t="inlineStr">
        <is>
          <t>代理人证件类型</t>
        </is>
      </c>
      <c r="G11" s="24" t="n"/>
      <c r="H11" s="24" t="n"/>
      <c r="I11" s="24" t="inlineStr"/>
      <c r="J11" s="35" t="n">
        <v>45727</v>
      </c>
    </row>
    <row r="12">
      <c r="B12" s="24" t="inlineStr">
        <is>
          <t>CLR_PROPERTY_RIGHT_HOLDER_INFO</t>
        </is>
      </c>
      <c r="C12" s="24" t="inlineStr">
        <is>
          <t>AGENTORGNAME</t>
        </is>
      </c>
      <c r="D12" s="24" t="inlineStr">
        <is>
          <t>VARCHAR(40)</t>
        </is>
      </c>
      <c r="E12" s="24" t="inlineStr">
        <is>
          <t>YES</t>
        </is>
      </c>
      <c r="F12" s="24" t="inlineStr">
        <is>
          <t>代理机构名称</t>
        </is>
      </c>
      <c r="G12" s="24" t="n"/>
      <c r="H12" s="24" t="n"/>
      <c r="I12" s="24" t="inlineStr"/>
      <c r="J12" s="35" t="n">
        <v>45727</v>
      </c>
    </row>
    <row r="13">
      <c r="B13" s="24" t="inlineStr">
        <is>
          <t>CLR_PROPERTY_RIGHT_HOLDER_INFO</t>
        </is>
      </c>
      <c r="C13" s="24" t="inlineStr">
        <is>
          <t>COMMONSITUATION</t>
        </is>
      </c>
      <c r="D13" s="24" t="inlineStr">
        <is>
          <t>VARCHAR(32)</t>
        </is>
      </c>
      <c r="E13" s="24" t="inlineStr">
        <is>
          <t>YES</t>
        </is>
      </c>
      <c r="F13" s="24" t="inlineStr">
        <is>
          <t>共有情况</t>
        </is>
      </c>
      <c r="G13" s="24" t="n"/>
      <c r="H13" s="24" t="n"/>
      <c r="I13" s="24" t="inlineStr"/>
      <c r="J13" s="35" t="n">
        <v>45727</v>
      </c>
    </row>
    <row r="14">
      <c r="B14" s="24" t="inlineStr">
        <is>
          <t>CLR_PROPERTY_RIGHT_HOLDER_INFO</t>
        </is>
      </c>
      <c r="C14" s="24" t="inlineStr">
        <is>
          <t>COMMONTYPE</t>
        </is>
      </c>
      <c r="D14" s="24" t="inlineStr">
        <is>
          <t>VARCHAR(32)</t>
        </is>
      </c>
      <c r="E14" s="24" t="inlineStr">
        <is>
          <t>YES</t>
        </is>
      </c>
      <c r="F14" s="24" t="inlineStr">
        <is>
          <t>共有方式</t>
        </is>
      </c>
      <c r="G14" s="24" t="n"/>
      <c r="H14" s="24" t="n"/>
      <c r="I14" s="24" t="inlineStr"/>
      <c r="J14" s="35" t="n">
        <v>45727</v>
      </c>
    </row>
    <row r="15">
      <c r="B15" s="24" t="inlineStr">
        <is>
          <t>CLR_PROPERTY_RIGHT_HOLDER_INFO</t>
        </is>
      </c>
      <c r="C15" s="24" t="inlineStr">
        <is>
          <t>ISSUINGAUTHORITY</t>
        </is>
      </c>
      <c r="D15" s="24" t="inlineStr">
        <is>
          <t>VARCHAR(200)</t>
        </is>
      </c>
      <c r="E15" s="24" t="inlineStr">
        <is>
          <t>YES</t>
        </is>
      </c>
      <c r="F15" s="24" t="inlineStr">
        <is>
          <t>发证机关</t>
        </is>
      </c>
      <c r="G15" s="24" t="n"/>
      <c r="H15" s="24" t="n"/>
      <c r="I15" s="24" t="inlineStr"/>
      <c r="J15" s="35" t="n">
        <v>45727</v>
      </c>
    </row>
    <row r="16">
      <c r="B16" s="24" t="inlineStr">
        <is>
          <t>CLR_PROPERTY_RIGHT_HOLDER_INFO</t>
        </is>
      </c>
      <c r="C16" s="24" t="inlineStr">
        <is>
          <t>COUNTRY</t>
        </is>
      </c>
      <c r="D16" s="24" t="inlineStr">
        <is>
          <t>VARCHAR(10)</t>
        </is>
      </c>
      <c r="E16" s="24" t="inlineStr">
        <is>
          <t>YES</t>
        </is>
      </c>
      <c r="F16" s="24" t="inlineStr">
        <is>
          <t>国家/地区</t>
        </is>
      </c>
      <c r="G16" s="24" t="n"/>
      <c r="H16" s="109" t="n"/>
      <c r="I16" s="109" t="inlineStr"/>
      <c r="J16" s="35" t="n">
        <v>45727</v>
      </c>
    </row>
    <row r="17">
      <c r="B17" s="24" t="inlineStr">
        <is>
          <t>CLR_PROPERTY_RIGHT_HOLDER_INFO</t>
        </is>
      </c>
      <c r="C17" s="24" t="inlineStr">
        <is>
          <t>ADDRESS</t>
        </is>
      </c>
      <c r="D17" s="24" t="inlineStr">
        <is>
          <t>VARCHAR(400)</t>
        </is>
      </c>
      <c r="E17" s="24" t="inlineStr">
        <is>
          <t>YES</t>
        </is>
      </c>
      <c r="F17" s="24" t="inlineStr">
        <is>
          <t>地址</t>
        </is>
      </c>
      <c r="G17" s="39" t="n"/>
      <c r="H17" s="21" t="n"/>
      <c r="I17" s="21" t="n"/>
      <c r="J17" s="35" t="n">
        <v>45727</v>
      </c>
    </row>
    <row r="18">
      <c r="B18" s="24" t="inlineStr">
        <is>
          <t>CLR_PROPERTY_RIGHT_HOLDER_INFO</t>
        </is>
      </c>
      <c r="C18" s="24" t="inlineStr">
        <is>
          <t>REMARK</t>
        </is>
      </c>
      <c r="D18" s="24" t="inlineStr">
        <is>
          <t>VARCHAR(800)</t>
        </is>
      </c>
      <c r="E18" s="24" t="inlineStr">
        <is>
          <t>YES</t>
        </is>
      </c>
      <c r="F18" s="24" t="inlineStr">
        <is>
          <t>备注</t>
        </is>
      </c>
      <c r="G18" s="39" t="n"/>
      <c r="H18" s="21" t="n"/>
      <c r="I18" s="21" t="n"/>
      <c r="J18" s="35" t="n">
        <v>45727</v>
      </c>
    </row>
    <row r="19">
      <c r="B19" s="24" t="inlineStr">
        <is>
          <t>CLR_PROPERTY_RIGHT_HOLDER_INFO</t>
        </is>
      </c>
      <c r="C19" s="24" t="inlineStr">
        <is>
          <t>WORKCORP</t>
        </is>
      </c>
      <c r="D19" s="24" t="inlineStr">
        <is>
          <t>VARCHAR(400)</t>
        </is>
      </c>
      <c r="E19" s="24" t="inlineStr">
        <is>
          <t>YES</t>
        </is>
      </c>
      <c r="F19" s="24" t="inlineStr">
        <is>
          <t>工作单位</t>
        </is>
      </c>
      <c r="G19" s="39" t="n"/>
      <c r="H19" s="21" t="n"/>
      <c r="I19" s="21" t="n"/>
      <c r="J19" s="35" t="n">
        <v>45727</v>
      </c>
    </row>
    <row r="20">
      <c r="B20" s="24" t="inlineStr">
        <is>
          <t>CLR_PROPERTY_RIGHT_HOLDER_INFO</t>
        </is>
      </c>
      <c r="C20" s="24" t="inlineStr">
        <is>
          <t>SEX</t>
        </is>
      </c>
      <c r="D20" s="24" t="inlineStr">
        <is>
          <t>VARCHAR(10)</t>
        </is>
      </c>
      <c r="E20" s="24" t="inlineStr">
        <is>
          <t>YES</t>
        </is>
      </c>
      <c r="F20" s="24" t="inlineStr">
        <is>
          <t>性别</t>
        </is>
      </c>
      <c r="G20" s="39" t="n"/>
      <c r="H20" s="21" t="n"/>
      <c r="I20" s="21" t="n"/>
      <c r="J20" s="35" t="n">
        <v>45727</v>
      </c>
    </row>
    <row r="21">
      <c r="B21" s="24" t="inlineStr">
        <is>
          <t>CLR_PROPERTY_RIGHT_HOLDER_INFO</t>
        </is>
      </c>
      <c r="C21" s="24" t="inlineStr">
        <is>
          <t>HOUSEHOLDPROVINCE</t>
        </is>
      </c>
      <c r="D21" s="24" t="inlineStr">
        <is>
          <t>VARCHAR(400)</t>
        </is>
      </c>
      <c r="E21" s="24" t="inlineStr">
        <is>
          <t>YES</t>
        </is>
      </c>
      <c r="F21" s="24" t="inlineStr">
        <is>
          <t>户籍所在省市</t>
        </is>
      </c>
      <c r="G21" s="39" t="n"/>
      <c r="H21" s="21" t="n"/>
      <c r="I21" s="41" t="n"/>
      <c r="J21" s="35" t="n">
        <v>45727</v>
      </c>
    </row>
    <row r="22">
      <c r="B22" s="24" t="inlineStr">
        <is>
          <t>CLR_PROPERTY_RIGHT_HOLDER_INFO</t>
        </is>
      </c>
      <c r="C22" s="24" t="inlineStr">
        <is>
          <t>UNITKIND</t>
        </is>
      </c>
      <c r="D22" s="24" t="inlineStr">
        <is>
          <t>VARCHAR(10)</t>
        </is>
      </c>
      <c r="E22" s="24" t="inlineStr">
        <is>
          <t>YES</t>
        </is>
      </c>
      <c r="F22" s="24" t="inlineStr">
        <is>
          <t>所属行业</t>
        </is>
      </c>
      <c r="G22" s="39" t="n"/>
      <c r="H22" s="21" t="n"/>
      <c r="I22" s="21" t="n"/>
      <c r="J22" s="35" t="n">
        <v>45727</v>
      </c>
    </row>
    <row r="23">
      <c r="B23" s="24" t="inlineStr">
        <is>
          <t>CLR_PROPERTY_RIGHT_HOLDER_INFO</t>
        </is>
      </c>
      <c r="C23" s="24" t="inlineStr">
        <is>
          <t>ISHOLDCERT</t>
        </is>
      </c>
      <c r="D23" s="24" t="inlineStr">
        <is>
          <t>VARCHAR(2)</t>
        </is>
      </c>
      <c r="E23" s="24" t="inlineStr">
        <is>
          <t>YES</t>
        </is>
      </c>
      <c r="F23" s="24" t="inlineStr">
        <is>
          <t>是否持证人</t>
        </is>
      </c>
      <c r="G23" s="39" t="n"/>
      <c r="H23" s="21" t="n"/>
      <c r="I23" s="21" t="n"/>
      <c r="J23" s="35" t="n">
        <v>45727</v>
      </c>
    </row>
    <row r="24">
      <c r="B24" s="24" t="inlineStr">
        <is>
          <t>CLR_PROPERTY_RIGHT_HOLDER_INFO</t>
        </is>
      </c>
      <c r="C24" s="24" t="inlineStr">
        <is>
          <t>VALIDFLAG</t>
        </is>
      </c>
      <c r="D24" s="24" t="inlineStr">
        <is>
          <t>VARCHAR(2)</t>
        </is>
      </c>
      <c r="E24" s="24" t="inlineStr">
        <is>
          <t>YES</t>
        </is>
      </c>
      <c r="F24" s="24" t="inlineStr">
        <is>
          <t>有效标志</t>
        </is>
      </c>
      <c r="G24" s="39" t="n"/>
      <c r="H24" s="21" t="n"/>
      <c r="I24" s="21" t="n"/>
      <c r="J24" s="35" t="n">
        <v>45727</v>
      </c>
    </row>
    <row r="25">
      <c r="B25" s="24" t="inlineStr">
        <is>
          <t>CLR_PROPERTY_RIGHT_HOLDER_INFO</t>
        </is>
      </c>
      <c r="C25" s="24" t="inlineStr">
        <is>
          <t>RIGHTID</t>
        </is>
      </c>
      <c r="D25" s="24" t="inlineStr">
        <is>
          <t>VARCHAR(32)</t>
        </is>
      </c>
      <c r="E25" s="24" t="inlineStr">
        <is>
          <t>YES</t>
        </is>
      </c>
      <c r="F25" s="24" t="inlineStr">
        <is>
          <t>权利ID</t>
        </is>
      </c>
      <c r="G25" s="39" t="n"/>
      <c r="H25" s="21" t="n"/>
      <c r="I25" s="21" t="n"/>
      <c r="J25" s="35" t="n">
        <v>45727</v>
      </c>
    </row>
    <row r="26">
      <c r="B26" s="24" t="inlineStr">
        <is>
          <t>CLR_PROPERTY_RIGHT_HOLDER_INFO</t>
        </is>
      </c>
      <c r="C26" s="24" t="inlineStr">
        <is>
          <t>RIGHTHOLDCERID</t>
        </is>
      </c>
      <c r="D26" s="24" t="inlineStr">
        <is>
          <t>VARCHAR(32)</t>
        </is>
      </c>
      <c r="E26" s="24" t="inlineStr">
        <is>
          <t>YES</t>
        </is>
      </c>
      <c r="F26" s="24" t="inlineStr">
        <is>
          <t>权利人ID</t>
        </is>
      </c>
      <c r="G26" s="39" t="n"/>
      <c r="H26" s="21" t="n"/>
      <c r="I26" s="21" t="n"/>
      <c r="J26" s="35" t="n">
        <v>45727</v>
      </c>
    </row>
    <row r="27">
      <c r="B27" s="24" t="inlineStr">
        <is>
          <t>CLR_PROPERTY_RIGHT_HOLDER_INFO</t>
        </is>
      </c>
      <c r="C27" s="24" t="inlineStr">
        <is>
          <t>RIGHTHOLDERNAME</t>
        </is>
      </c>
      <c r="D27" s="24" t="inlineStr">
        <is>
          <t>VARCHAR(40)</t>
        </is>
      </c>
      <c r="E27" s="24" t="inlineStr">
        <is>
          <t>YES</t>
        </is>
      </c>
      <c r="F27" s="24" t="inlineStr">
        <is>
          <t>权利人名称</t>
        </is>
      </c>
      <c r="G27" s="39" t="n"/>
      <c r="H27" s="21" t="n"/>
      <c r="I27" s="21" t="n"/>
      <c r="J27" s="35" t="n">
        <v>45727</v>
      </c>
    </row>
    <row r="28">
      <c r="B28" s="24" t="inlineStr">
        <is>
          <t>CLR_PROPERTY_RIGHT_HOLDER_INFO</t>
        </is>
      </c>
      <c r="C28" s="24" t="inlineStr">
        <is>
          <t>RIGHTHOLDERTYPE</t>
        </is>
      </c>
      <c r="D28" s="24" t="inlineStr">
        <is>
          <t>VARCHAR(10)</t>
        </is>
      </c>
      <c r="E28" s="24" t="inlineStr">
        <is>
          <t>YES</t>
        </is>
      </c>
      <c r="F28" s="24" t="inlineStr">
        <is>
          <t>权利人类型</t>
        </is>
      </c>
      <c r="G28" s="39" t="n"/>
      <c r="H28" s="21" t="n"/>
      <c r="I28" s="21" t="n"/>
      <c r="J28" s="35" t="n">
        <v>45727</v>
      </c>
    </row>
    <row r="29">
      <c r="B29" s="24" t="inlineStr">
        <is>
          <t>CLR_PROPERTY_RIGHT_HOLDER_INFO</t>
        </is>
      </c>
      <c r="C29" s="24" t="inlineStr">
        <is>
          <t>RIGHTPROP</t>
        </is>
      </c>
      <c r="D29" s="24" t="inlineStr">
        <is>
          <t>DECIMAL(10)</t>
        </is>
      </c>
      <c r="E29" s="24" t="inlineStr">
        <is>
          <t>YES</t>
        </is>
      </c>
      <c r="F29" s="24" t="inlineStr">
        <is>
          <t>权利比例</t>
        </is>
      </c>
      <c r="G29" s="39" t="n"/>
      <c r="H29" s="21" t="n"/>
      <c r="I29" s="21" t="n"/>
      <c r="J29" s="35" t="n">
        <v>45727</v>
      </c>
    </row>
    <row r="30">
      <c r="B30" s="24" t="inlineStr">
        <is>
          <t>CLR_PROPERTY_RIGHT_HOLDER_INFO</t>
        </is>
      </c>
      <c r="C30" s="24" t="inlineStr">
        <is>
          <t>RIGHTAREA</t>
        </is>
      </c>
      <c r="D30" s="24" t="inlineStr">
        <is>
          <t>DECIMAL(10)</t>
        </is>
      </c>
      <c r="E30" s="24" t="inlineStr">
        <is>
          <t>YES</t>
        </is>
      </c>
      <c r="F30" s="24" t="inlineStr">
        <is>
          <t>权利面积</t>
        </is>
      </c>
      <c r="G30" s="39" t="n"/>
      <c r="H30" s="21" t="n"/>
      <c r="I30" s="21" t="n"/>
      <c r="J30" s="35" t="n">
        <v>45727</v>
      </c>
    </row>
    <row r="31">
      <c r="B31" s="24" t="inlineStr">
        <is>
          <t>CLR_PROPERTY_RIGHT_HOLDER_INFO</t>
        </is>
      </c>
      <c r="C31" s="24" t="inlineStr">
        <is>
          <t>LEGALREPRESENT</t>
        </is>
      </c>
      <c r="D31" s="24" t="inlineStr">
        <is>
          <t>VARCHAR(32)</t>
        </is>
      </c>
      <c r="E31" s="24" t="inlineStr">
        <is>
          <t>YES</t>
        </is>
      </c>
      <c r="F31" s="24" t="inlineStr">
        <is>
          <t>法定代表人或负责人</t>
        </is>
      </c>
      <c r="G31" s="39" t="n"/>
      <c r="H31" s="21" t="n"/>
      <c r="I31" s="21" t="n"/>
      <c r="J31" s="35" t="n">
        <v>45727</v>
      </c>
    </row>
    <row r="32">
      <c r="B32" s="24" t="inlineStr">
        <is>
          <t>CLR_PROPERTY_RIGHT_HOLDER_INFO</t>
        </is>
      </c>
      <c r="C32" s="24" t="inlineStr">
        <is>
          <t>LEGALREPRESENTTEL</t>
        </is>
      </c>
      <c r="D32" s="24" t="inlineStr">
        <is>
          <t>VARCHAR(20)</t>
        </is>
      </c>
      <c r="E32" s="24" t="inlineStr">
        <is>
          <t>YES</t>
        </is>
      </c>
      <c r="F32" s="24" t="inlineStr">
        <is>
          <t>法定代表人电话号码</t>
        </is>
      </c>
      <c r="G32" s="39" t="n"/>
      <c r="H32" s="21" t="n"/>
      <c r="I32" s="21" t="n"/>
      <c r="J32" s="35" t="n">
        <v>45727</v>
      </c>
    </row>
    <row r="33">
      <c r="B33" s="24" t="inlineStr">
        <is>
          <t>CLR_PROPERTY_RIGHT_HOLDER_INFO</t>
        </is>
      </c>
      <c r="C33" s="24" t="inlineStr">
        <is>
          <t>LEGALREPRESENTCERTTYPENAME</t>
        </is>
      </c>
      <c r="D33" s="24" t="inlineStr">
        <is>
          <t>VARCHAR(32)</t>
        </is>
      </c>
      <c r="E33" s="24" t="inlineStr">
        <is>
          <t>YES</t>
        </is>
      </c>
      <c r="F33" s="24" t="inlineStr">
        <is>
          <t>法定代表人证件名称</t>
        </is>
      </c>
      <c r="G33" s="39" t="n"/>
      <c r="H33" s="21" t="n"/>
      <c r="I33" s="21" t="n"/>
      <c r="J33" s="35" t="n">
        <v>45727</v>
      </c>
    </row>
    <row r="34">
      <c r="B34" s="24" t="inlineStr">
        <is>
          <t>CLR_PROPERTY_RIGHT_HOLDER_INFO</t>
        </is>
      </c>
      <c r="C34" s="24" t="inlineStr">
        <is>
          <t>LEGALREPRESENTCERTTYPE</t>
        </is>
      </c>
      <c r="D34" s="24" t="inlineStr">
        <is>
          <t>VARCHAR(10)</t>
        </is>
      </c>
      <c r="E34" s="24" t="inlineStr">
        <is>
          <t>YES</t>
        </is>
      </c>
      <c r="F34" s="24" t="inlineStr">
        <is>
          <t>法定代表人证件类型</t>
        </is>
      </c>
      <c r="G34" s="39" t="n"/>
      <c r="H34" s="21" t="n"/>
      <c r="I34" s="21" t="n"/>
      <c r="J34" s="35" t="n">
        <v>45727</v>
      </c>
    </row>
    <row r="35">
      <c r="B35" s="24" t="inlineStr">
        <is>
          <t>CLR_PROPERTY_RIGHT_HOLDER_INFO</t>
        </is>
      </c>
      <c r="C35" s="24" t="inlineStr">
        <is>
          <t>APPLICANTID</t>
        </is>
      </c>
      <c r="D35" s="24" t="inlineStr">
        <is>
          <t>VARCHAR(32)</t>
        </is>
      </c>
      <c r="E35" s="24" t="inlineStr">
        <is>
          <t>YES</t>
        </is>
      </c>
      <c r="F35" s="24" t="inlineStr">
        <is>
          <t>申请人ID</t>
        </is>
      </c>
      <c r="G35" s="39" t="n"/>
      <c r="H35" s="21" t="n"/>
      <c r="I35" s="21" t="n"/>
      <c r="J35" s="35" t="n">
        <v>45727</v>
      </c>
    </row>
    <row r="36">
      <c r="B36" s="24" t="inlineStr">
        <is>
          <t>CLR_PROPERTY_RIGHT_HOLDER_INFO</t>
        </is>
      </c>
      <c r="C36" s="24" t="inlineStr">
        <is>
          <t>EMAIL</t>
        </is>
      </c>
      <c r="D36" s="24" t="inlineStr">
        <is>
          <t>VARCHAR(80)</t>
        </is>
      </c>
      <c r="E36" s="24" t="inlineStr">
        <is>
          <t>YES</t>
        </is>
      </c>
      <c r="F36" s="24" t="inlineStr">
        <is>
          <t>电子邮件</t>
        </is>
      </c>
      <c r="G36" s="39" t="n"/>
      <c r="H36" s="21" t="n"/>
      <c r="I36" s="21" t="n"/>
      <c r="J36" s="35" t="n">
        <v>45727</v>
      </c>
    </row>
    <row r="37">
      <c r="B37" s="24" t="inlineStr">
        <is>
          <t>CLR_PROPERTY_RIGHT_HOLDER_INFO</t>
        </is>
      </c>
      <c r="C37" s="24" t="inlineStr">
        <is>
          <t>TELEPHONE</t>
        </is>
      </c>
      <c r="D37" s="24" t="inlineStr">
        <is>
          <t>VARCHAR(50)</t>
        </is>
      </c>
      <c r="E37" s="24" t="inlineStr">
        <is>
          <t>YES</t>
        </is>
      </c>
      <c r="F37" s="24" t="inlineStr">
        <is>
          <t>电话</t>
        </is>
      </c>
      <c r="G37" s="39" t="n"/>
      <c r="H37" s="21" t="n"/>
      <c r="I37" s="21" t="n"/>
      <c r="J37" s="35" t="n">
        <v>45727</v>
      </c>
    </row>
    <row r="38">
      <c r="B38" s="24" t="inlineStr">
        <is>
          <t>CLR_PROPERTY_RIGHT_HOLDER_INFO</t>
        </is>
      </c>
      <c r="C38" s="24" t="inlineStr">
        <is>
          <t>UPDATEDATE</t>
        </is>
      </c>
      <c r="D38" s="24" t="inlineStr">
        <is>
          <t>VARCHAR(20)</t>
        </is>
      </c>
      <c r="E38" s="24" t="inlineStr">
        <is>
          <t>YES</t>
        </is>
      </c>
      <c r="F38" s="24" t="inlineStr">
        <is>
          <t>记录修改时间</t>
        </is>
      </c>
      <c r="G38" s="39" t="n"/>
      <c r="H38" s="21" t="n"/>
      <c r="I38" s="21" t="n"/>
      <c r="J38" s="35" t="n">
        <v>45727</v>
      </c>
    </row>
    <row r="39">
      <c r="B39" s="24" t="inlineStr">
        <is>
          <t>CLR_PROPERTY_RIGHT_HOLDER_INFO</t>
        </is>
      </c>
      <c r="C39" s="24" t="inlineStr">
        <is>
          <t>INPUTDATE</t>
        </is>
      </c>
      <c r="D39" s="24" t="inlineStr">
        <is>
          <t>VARCHAR(20)</t>
        </is>
      </c>
      <c r="E39" s="24" t="inlineStr">
        <is>
          <t>YES</t>
        </is>
      </c>
      <c r="F39" s="24" t="inlineStr">
        <is>
          <t>记录创建时间</t>
        </is>
      </c>
      <c r="G39" s="39" t="n"/>
      <c r="H39" s="21" t="n"/>
      <c r="I39" s="21" t="n"/>
      <c r="J39" s="35" t="n">
        <v>45727</v>
      </c>
    </row>
    <row r="40">
      <c r="B40" s="24" t="inlineStr">
        <is>
          <t>CLR_PROPERTY_RIGHT_HOLDER_INFO</t>
        </is>
      </c>
      <c r="C40" s="24" t="inlineStr">
        <is>
          <t>CERTID</t>
        </is>
      </c>
      <c r="D40" s="24" t="inlineStr">
        <is>
          <t>VARCHAR(32)</t>
        </is>
      </c>
      <c r="E40" s="24" t="inlineStr">
        <is>
          <t>YES</t>
        </is>
      </c>
      <c r="F40" s="24" t="inlineStr">
        <is>
          <t>证件号</t>
        </is>
      </c>
      <c r="G40" s="39" t="n"/>
      <c r="H40" s="21" t="n"/>
      <c r="I40" s="21" t="n"/>
      <c r="J40" s="35" t="n">
        <v>45727</v>
      </c>
    </row>
    <row r="41">
      <c r="B41" s="24" t="inlineStr">
        <is>
          <t>CLR_PROPERTY_RIGHT_HOLDER_INFO</t>
        </is>
      </c>
      <c r="C41" s="24" t="inlineStr">
        <is>
          <t>CERTTYPE</t>
        </is>
      </c>
      <c r="D41" s="24" t="inlineStr">
        <is>
          <t>VARCHAR(10)</t>
        </is>
      </c>
      <c r="E41" s="24" t="inlineStr">
        <is>
          <t>YES</t>
        </is>
      </c>
      <c r="F41" s="24" t="inlineStr">
        <is>
          <t>证件种类</t>
        </is>
      </c>
      <c r="G41" s="39" t="n"/>
      <c r="H41" s="21" t="n"/>
      <c r="I41" s="21" t="n"/>
      <c r="J41" s="35" t="n">
        <v>45727</v>
      </c>
    </row>
    <row r="42">
      <c r="B42" s="24" t="inlineStr">
        <is>
          <t>CLR_PROPERTY_RIGHT_HOLDER_INFO</t>
        </is>
      </c>
      <c r="C42" s="24" t="inlineStr">
        <is>
          <t>SURVEYITEMNO</t>
        </is>
      </c>
      <c r="D42" s="24" t="inlineStr">
        <is>
          <t>VARCHAR(32)</t>
        </is>
      </c>
      <c r="E42" s="24" t="inlineStr">
        <is>
          <t>YES</t>
        </is>
      </c>
      <c r="F42" s="24" t="inlineStr">
        <is>
          <t>调查项目编号</t>
        </is>
      </c>
      <c r="G42" s="39" t="n"/>
      <c r="H42" s="21" t="n"/>
      <c r="I42" s="21" t="n"/>
      <c r="J42" s="35" t="n">
        <v>45727</v>
      </c>
    </row>
    <row r="43">
      <c r="B43" s="24" t="inlineStr">
        <is>
          <t>CLR_PROPERTY_RIGHT_HOLDER_INFO</t>
        </is>
      </c>
      <c r="C43" s="24" t="inlineStr">
        <is>
          <t>FAMILYZIP</t>
        </is>
      </c>
      <c r="D43" s="24" t="inlineStr">
        <is>
          <t>VARCHAR(32)</t>
        </is>
      </c>
      <c r="E43" s="24" t="inlineStr">
        <is>
          <t>YES</t>
        </is>
      </c>
      <c r="F43" s="24" t="inlineStr">
        <is>
          <t>邮编</t>
        </is>
      </c>
      <c r="G43" s="39" t="n"/>
      <c r="H43" s="21" t="n"/>
      <c r="I43" s="21" t="n"/>
      <c r="J43" s="35" t="n">
        <v>45727</v>
      </c>
    </row>
    <row r="44">
      <c r="B44" s="24" t="inlineStr">
        <is>
          <t>CLR_PROPERTY_RIGHT_HOLDER_INFO</t>
        </is>
      </c>
      <c r="C44" s="24" t="inlineStr">
        <is>
          <t>PROJECTNO</t>
        </is>
      </c>
      <c r="D44" s="24" t="inlineStr">
        <is>
          <t>VARCHAR(32)</t>
        </is>
      </c>
      <c r="E44" s="24" t="inlineStr">
        <is>
          <t>YES</t>
        </is>
      </c>
      <c r="F44" s="24" t="inlineStr">
        <is>
          <t>项目编号</t>
        </is>
      </c>
      <c r="G44" s="39" t="n"/>
      <c r="H44" s="21" t="n"/>
      <c r="I44" s="21" t="n"/>
      <c r="J44" s="35" t="n">
        <v>45727</v>
      </c>
    </row>
    <row r="45">
      <c r="B45" s="24" t="inlineStr">
        <is>
          <t>CLR_PROPERTY_RIGHT_HOLDER_INFO</t>
        </is>
      </c>
      <c r="C45" s="24" t="inlineStr">
        <is>
          <t>SORTNO</t>
        </is>
      </c>
      <c r="D45" s="24" t="inlineStr">
        <is>
          <t>VARCHAR(32)</t>
        </is>
      </c>
      <c r="E45" s="24" t="inlineStr">
        <is>
          <t>YES</t>
        </is>
      </c>
      <c r="F45" s="24" t="inlineStr">
        <is>
          <t>顺序号</t>
        </is>
      </c>
      <c r="G45" s="39" t="n"/>
      <c r="H45" s="21" t="n"/>
      <c r="I45" s="21" t="n"/>
      <c r="J45" s="35" t="n">
        <v>45727</v>
      </c>
    </row>
    <row r="46">
      <c r="B46" s="24" t="inlineStr">
        <is>
          <t>CLR_PROPERTY_RIGHT_HOLDER_INFO</t>
        </is>
      </c>
      <c r="C46" s="24" t="inlineStr">
        <is>
          <t>RIGHTHOLDERCHARA</t>
        </is>
      </c>
      <c r="D46" s="24" t="inlineStr">
        <is>
          <t>VARCHAR(400)</t>
        </is>
      </c>
      <c r="E46" s="24" t="inlineStr">
        <is>
          <t>YES</t>
        </is>
      </c>
      <c r="F46" s="109" t="inlineStr">
        <is>
          <t>权利人特征</t>
        </is>
      </c>
      <c r="G46" s="47" t="n"/>
      <c r="H46" s="48" t="n"/>
      <c r="I46" s="48" t="n"/>
      <c r="J46" s="35" t="n">
        <v>45727</v>
      </c>
    </row>
    <row r="47">
      <c r="B47" s="24" t="inlineStr">
        <is>
          <t>CLR_PROPERTY_RIGHT_HOLDER_INFO</t>
        </is>
      </c>
      <c r="C47" s="24" t="inlineStr">
        <is>
          <t>INPUTUSERID</t>
        </is>
      </c>
      <c r="D47" s="24" t="inlineStr">
        <is>
          <t>varchar(32)</t>
        </is>
      </c>
      <c r="E47" s="39" t="inlineStr">
        <is>
          <t>YES</t>
        </is>
      </c>
      <c r="F47" s="41" t="inlineStr">
        <is>
          <t>登记人</t>
        </is>
      </c>
      <c r="G47" s="21" t="n"/>
      <c r="H47" s="21" t="n"/>
      <c r="I47" s="21" t="n"/>
      <c r="J47" s="45" t="n">
        <v>45727</v>
      </c>
    </row>
    <row r="48">
      <c r="B48" s="24" t="inlineStr">
        <is>
          <t>CLR_PROPERTY_RIGHT_HOLDER_INFO</t>
        </is>
      </c>
      <c r="C48" s="24" t="inlineStr">
        <is>
          <t>INPUTORGID</t>
        </is>
      </c>
      <c r="D48" s="24" t="inlineStr">
        <is>
          <t>varchar(32)</t>
        </is>
      </c>
      <c r="E48" s="39" t="inlineStr">
        <is>
          <t>YES</t>
        </is>
      </c>
      <c r="F48" s="41" t="inlineStr">
        <is>
          <t>登记机构</t>
        </is>
      </c>
      <c r="G48" s="21" t="n"/>
      <c r="H48" s="21" t="n"/>
      <c r="I48" s="21" t="n"/>
      <c r="J48" s="45" t="n">
        <v>45727</v>
      </c>
    </row>
    <row r="49">
      <c r="B49" s="24" t="inlineStr">
        <is>
          <t>CLR_PROPERTY_RIGHT_HOLDER_INFO</t>
        </is>
      </c>
      <c r="C49" s="24" t="inlineStr">
        <is>
          <t>INPUTDATE</t>
        </is>
      </c>
      <c r="D49" s="24" t="inlineStr">
        <is>
          <t>datetime</t>
        </is>
      </c>
      <c r="E49" s="39" t="inlineStr">
        <is>
          <t>YES</t>
        </is>
      </c>
      <c r="F49" s="41" t="inlineStr">
        <is>
          <t>登记日期</t>
        </is>
      </c>
      <c r="G49" s="21" t="n"/>
      <c r="H49" s="21" t="n"/>
      <c r="I49" s="21" t="n"/>
      <c r="J49" s="45" t="n">
        <v>45727</v>
      </c>
    </row>
    <row r="50">
      <c r="B50" s="24" t="inlineStr">
        <is>
          <t>CLR_PROPERTY_RIGHT_HOLDER_INFO</t>
        </is>
      </c>
      <c r="C50" s="24" t="inlineStr">
        <is>
          <t>UPDATEUSERID</t>
        </is>
      </c>
      <c r="D50" s="24" t="inlineStr">
        <is>
          <t>varchar(32)</t>
        </is>
      </c>
      <c r="E50" s="39" t="inlineStr">
        <is>
          <t>YES</t>
        </is>
      </c>
      <c r="F50" s="41" t="inlineStr">
        <is>
          <t>更新人</t>
        </is>
      </c>
      <c r="G50" s="21" t="n"/>
      <c r="H50" s="21" t="n"/>
      <c r="I50" s="21" t="n"/>
      <c r="J50" s="45" t="n">
        <v>45727</v>
      </c>
    </row>
    <row r="51">
      <c r="B51" s="24" t="inlineStr">
        <is>
          <t>CLR_PROPERTY_RIGHT_HOLDER_INFO</t>
        </is>
      </c>
      <c r="C51" s="24" t="inlineStr">
        <is>
          <t>UPDATEORGID</t>
        </is>
      </c>
      <c r="D51" s="24" t="inlineStr">
        <is>
          <t>varchar(32)</t>
        </is>
      </c>
      <c r="E51" s="39" t="inlineStr">
        <is>
          <t>YES</t>
        </is>
      </c>
      <c r="F51" s="41" t="inlineStr">
        <is>
          <t>更新机构</t>
        </is>
      </c>
      <c r="G51" s="21" t="n"/>
      <c r="H51" s="21" t="n"/>
      <c r="I51" s="21" t="n"/>
      <c r="J51" s="45" t="n">
        <v>45727</v>
      </c>
    </row>
    <row r="52">
      <c r="B52" s="24" t="inlineStr">
        <is>
          <t>CLR_PROPERTY_RIGHT_HOLDER_INFO</t>
        </is>
      </c>
      <c r="C52" s="24" t="inlineStr">
        <is>
          <t>UPDATEDATE</t>
        </is>
      </c>
      <c r="D52" s="24" t="inlineStr">
        <is>
          <t>datetime</t>
        </is>
      </c>
      <c r="E52" s="39" t="inlineStr">
        <is>
          <t>YES</t>
        </is>
      </c>
      <c r="F52" s="41" t="inlineStr">
        <is>
          <t>更新日期</t>
        </is>
      </c>
      <c r="G52" s="21" t="n"/>
      <c r="H52" s="21" t="n"/>
      <c r="I52" s="21" t="n"/>
      <c r="J52" s="45" t="n">
        <v>45727</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142857142857141" defaultRowHeight="15.2"/>
  <cols>
    <col width="36.4285714285714" customWidth="1" style="170" min="2" max="2"/>
    <col width="24.8571428571429" customWidth="1" style="170" min="3" max="3"/>
    <col width="14" customWidth="1" style="170" min="4" max="4"/>
    <col width="15.2857142857143" customWidth="1" style="170" min="6" max="6"/>
    <col width="30.7142857142857" customWidth="1" style="170" min="12" max="20"/>
    <col width="28.7142857142857" customWidth="1" style="170" min="21" max="24"/>
    <col width="11.0714285714286" customWidth="1" style="170" min="25" max="25"/>
  </cols>
  <sheetData>
    <row r="1">
      <c r="A1" s="1">
        <f>HYPERLINK("#表结构清单!A1","返回")</f>
        <v/>
      </c>
      <c r="B1" s="2" t="inlineStr">
        <is>
          <t>文件上传记录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CLR_GUARANTY_FILE_UP_RECORD</t>
        </is>
      </c>
      <c r="C3" s="24" t="inlineStr">
        <is>
          <t>SERIALNO</t>
        </is>
      </c>
      <c r="D3" s="24" t="inlineStr">
        <is>
          <t>VARCHAR(32)</t>
        </is>
      </c>
      <c r="E3" s="24" t="inlineStr">
        <is>
          <t>NO</t>
        </is>
      </c>
      <c r="F3" s="24" t="inlineStr">
        <is>
          <t>流水号</t>
        </is>
      </c>
      <c r="G3" s="24" t="n"/>
      <c r="H3" s="24" t="n"/>
      <c r="I3" s="24" t="n"/>
      <c r="J3" s="35" t="n">
        <v>45727</v>
      </c>
    </row>
    <row r="4">
      <c r="B4" s="24" t="inlineStr">
        <is>
          <t>CLR_GUARANTY_FILE_UP_RECORD</t>
        </is>
      </c>
      <c r="C4" s="24" t="inlineStr">
        <is>
          <t>REGISTERRECORDID</t>
        </is>
      </c>
      <c r="D4" s="24" t="inlineStr">
        <is>
          <t>VARCHAR(32)</t>
        </is>
      </c>
      <c r="E4" s="24" t="inlineStr">
        <is>
          <t>NO</t>
        </is>
      </c>
      <c r="F4" s="46" t="inlineStr">
        <is>
          <t>押权编号</t>
        </is>
      </c>
      <c r="G4" s="24" t="n"/>
      <c r="H4" s="24" t="n"/>
      <c r="I4" s="24" t="n"/>
      <c r="J4" s="35" t="n">
        <v>45727</v>
      </c>
    </row>
    <row r="5">
      <c r="B5" s="24" t="inlineStr">
        <is>
          <t>CLR_GUARANTY_FILE_UP_RECORD</t>
        </is>
      </c>
      <c r="C5" s="24" t="inlineStr">
        <is>
          <t>FILENAME</t>
        </is>
      </c>
      <c r="D5" s="24" t="inlineStr">
        <is>
          <t>VARCHAR(100)</t>
        </is>
      </c>
      <c r="E5" s="24" t="inlineStr">
        <is>
          <t>NO</t>
        </is>
      </c>
      <c r="F5" s="24" t="inlineStr">
        <is>
          <t>文件名称</t>
        </is>
      </c>
      <c r="G5" s="24" t="n"/>
      <c r="H5" s="24" t="n"/>
      <c r="I5" s="24" t="n"/>
      <c r="J5" s="35" t="n">
        <v>45727</v>
      </c>
    </row>
    <row r="6">
      <c r="B6" s="24" t="inlineStr">
        <is>
          <t>CLR_GUARANTY_FILE_UP_RECORD</t>
        </is>
      </c>
      <c r="C6" s="24" t="inlineStr">
        <is>
          <t>FILETYPE</t>
        </is>
      </c>
      <c r="D6" s="24" t="inlineStr">
        <is>
          <t>VARCHAR(100)</t>
        </is>
      </c>
      <c r="E6" s="24" t="inlineStr">
        <is>
          <t>NO</t>
        </is>
      </c>
      <c r="F6" s="24" t="inlineStr">
        <is>
          <t>文件类型</t>
        </is>
      </c>
      <c r="G6" s="24" t="n"/>
      <c r="H6" s="24" t="n"/>
      <c r="I6" s="24" t="n"/>
      <c r="J6" s="35" t="n">
        <v>45727</v>
      </c>
    </row>
    <row r="7">
      <c r="B7" s="24" t="inlineStr">
        <is>
          <t>CLR_GUARANTY_FILE_UP_RECORD</t>
        </is>
      </c>
      <c r="C7" s="24" t="inlineStr">
        <is>
          <t>MATERIALCODE</t>
        </is>
      </c>
      <c r="D7" s="24" t="inlineStr">
        <is>
          <t>VARCHAR(200)</t>
        </is>
      </c>
      <c r="E7" s="24" t="inlineStr">
        <is>
          <t>NO</t>
        </is>
      </c>
      <c r="F7" s="24" t="inlineStr">
        <is>
          <t>材料名称</t>
        </is>
      </c>
      <c r="G7" s="24" t="n"/>
      <c r="H7" s="24" t="n"/>
      <c r="I7" s="24" t="n"/>
      <c r="J7" s="35" t="n">
        <v>45727</v>
      </c>
    </row>
    <row r="8">
      <c r="B8" s="24" t="inlineStr">
        <is>
          <t>CLR_GUARANTY_FILE_UP_RECORD</t>
        </is>
      </c>
      <c r="C8" s="24" t="inlineStr">
        <is>
          <t>TIMES</t>
        </is>
      </c>
      <c r="D8" s="24" t="inlineStr">
        <is>
          <t>INTEGER(4)</t>
        </is>
      </c>
      <c r="E8" s="24" t="inlineStr">
        <is>
          <t>YES</t>
        </is>
      </c>
      <c r="F8" s="24" t="inlineStr">
        <is>
          <t>上传次数</t>
        </is>
      </c>
      <c r="G8" s="24" t="n"/>
      <c r="H8" s="24" t="n"/>
      <c r="I8" s="24" t="inlineStr"/>
      <c r="J8" s="35" t="n">
        <v>45727</v>
      </c>
    </row>
    <row r="9">
      <c r="B9" s="24" t="inlineStr">
        <is>
          <t>CLR_GUARANTY_FILE_UP_RECORD</t>
        </is>
      </c>
      <c r="C9" s="24" t="inlineStr">
        <is>
          <t>INPUTUSERID</t>
        </is>
      </c>
      <c r="D9" s="24" t="inlineStr">
        <is>
          <t>VARCHAR(32)</t>
        </is>
      </c>
      <c r="E9" s="24" t="inlineStr">
        <is>
          <t>YES</t>
        </is>
      </c>
      <c r="F9" s="24" t="inlineStr">
        <is>
          <t>登记人</t>
        </is>
      </c>
      <c r="G9" s="24" t="n"/>
      <c r="H9" s="24" t="n"/>
      <c r="I9" s="24" t="inlineStr"/>
      <c r="J9" s="35" t="n">
        <v>45727</v>
      </c>
    </row>
    <row r="10">
      <c r="B10" s="24" t="inlineStr">
        <is>
          <t>CLR_GUARANTY_FILE_UP_RECORD</t>
        </is>
      </c>
      <c r="C10" s="24" t="inlineStr">
        <is>
          <t>INPUTORGID</t>
        </is>
      </c>
      <c r="D10" s="24" t="inlineStr">
        <is>
          <t>VARCHAR(32)</t>
        </is>
      </c>
      <c r="E10" s="24" t="inlineStr">
        <is>
          <t>YES</t>
        </is>
      </c>
      <c r="F10" s="24" t="inlineStr">
        <is>
          <t>登记机构</t>
        </is>
      </c>
      <c r="G10" s="24" t="n"/>
      <c r="H10" s="24" t="n"/>
      <c r="I10" s="24" t="inlineStr"/>
      <c r="J10" s="35" t="n">
        <v>45727</v>
      </c>
    </row>
    <row r="11">
      <c r="B11" s="24" t="inlineStr">
        <is>
          <t>CLR_GUARANTY_FILE_UP_RECORD</t>
        </is>
      </c>
      <c r="C11" s="24" t="inlineStr">
        <is>
          <t>INPUTDATE</t>
        </is>
      </c>
      <c r="D11" s="24" t="inlineStr">
        <is>
          <t>VARCHAR(32)</t>
        </is>
      </c>
      <c r="E11" s="24" t="inlineStr">
        <is>
          <t>YES</t>
        </is>
      </c>
      <c r="F11" s="24" t="inlineStr">
        <is>
          <t>登记时间</t>
        </is>
      </c>
      <c r="G11" s="109" t="n"/>
      <c r="H11" s="109" t="n"/>
      <c r="I11" s="109" t="inlineStr"/>
      <c r="J11" s="35" t="n">
        <v>45727</v>
      </c>
    </row>
    <row r="12">
      <c r="B12" s="24" t="inlineStr">
        <is>
          <t>CLR_GUARANTY_FILE_UP_RECORD</t>
        </is>
      </c>
      <c r="C12" s="24" t="inlineStr">
        <is>
          <t>UPDATEUSERID</t>
        </is>
      </c>
      <c r="D12" s="24" t="inlineStr">
        <is>
          <t>varchar(32)</t>
        </is>
      </c>
      <c r="E12" s="24" t="inlineStr">
        <is>
          <t>YES</t>
        </is>
      </c>
      <c r="F12" s="39" t="inlineStr">
        <is>
          <t>更新人</t>
        </is>
      </c>
      <c r="G12" s="21" t="n"/>
      <c r="H12" s="21" t="n"/>
      <c r="I12" s="21" t="n"/>
      <c r="J12" s="45" t="n">
        <v>45727</v>
      </c>
    </row>
    <row r="13">
      <c r="B13" s="24" t="inlineStr">
        <is>
          <t>CLR_GUARANTY_FILE_UP_RECORD</t>
        </is>
      </c>
      <c r="C13" s="24" t="inlineStr">
        <is>
          <t>UPDATEORGID</t>
        </is>
      </c>
      <c r="D13" s="24" t="inlineStr">
        <is>
          <t>varchar(32)</t>
        </is>
      </c>
      <c r="E13" s="24" t="inlineStr">
        <is>
          <t>YES</t>
        </is>
      </c>
      <c r="F13" s="39" t="inlineStr">
        <is>
          <t>更新机构</t>
        </is>
      </c>
      <c r="G13" s="21" t="n"/>
      <c r="H13" s="21" t="n"/>
      <c r="I13" s="21" t="n"/>
      <c r="J13" s="45" t="n">
        <v>45727</v>
      </c>
    </row>
    <row r="14">
      <c r="B14" s="24" t="inlineStr">
        <is>
          <t>CLR_GUARANTY_FILE_UP_RECORD</t>
        </is>
      </c>
      <c r="C14" s="24" t="inlineStr">
        <is>
          <t>UPDATEDATE</t>
        </is>
      </c>
      <c r="D14" s="24" t="inlineStr">
        <is>
          <t>datetime</t>
        </is>
      </c>
      <c r="E14" s="24" t="inlineStr">
        <is>
          <t>YES</t>
        </is>
      </c>
      <c r="F14" s="39" t="inlineStr">
        <is>
          <t>更新日期</t>
        </is>
      </c>
      <c r="G14" s="21" t="n"/>
      <c r="H14" s="21" t="n"/>
      <c r="I14" s="21" t="n"/>
      <c r="J14" s="45" t="n">
        <v>45727</v>
      </c>
    </row>
    <row r="15">
      <c r="F15" s="24" t="n"/>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J33"/>
  <sheetViews>
    <sheetView workbookViewId="0">
      <selection activeCell="F18" sqref="F18"/>
    </sheetView>
  </sheetViews>
  <sheetFormatPr baseColWidth="8" defaultColWidth="9.142857142857141" defaultRowHeight="15.2"/>
  <cols>
    <col width="36.4285714285714" customWidth="1" style="170" min="2" max="2"/>
    <col width="24.8571428571429" customWidth="1" style="170" min="3" max="3"/>
    <col width="14" customWidth="1" style="170" min="4" max="4"/>
    <col width="33.6428571428571" customWidth="1" style="170" min="6" max="6"/>
    <col width="30.7142857142857" customWidth="1" style="170" min="12" max="24"/>
    <col width="28.7142857142857" customWidth="1" style="170" min="25" max="28"/>
    <col width="11.0714285714286" customWidth="1" style="170" min="29" max="29"/>
  </cols>
  <sheetData>
    <row r="1">
      <c r="A1" s="1">
        <f>HYPERLINK("#表结构清单!A1","返回")</f>
        <v/>
      </c>
      <c r="B1" s="2" t="inlineStr">
        <is>
          <t>线上登记注销审批申请</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GUARANTY_REGISTER_INFO</t>
        </is>
      </c>
      <c r="C3" s="24" t="inlineStr">
        <is>
          <t>SERIALNO</t>
        </is>
      </c>
      <c r="D3" s="24" t="inlineStr">
        <is>
          <t>VARCHAR(32)</t>
        </is>
      </c>
      <c r="E3" s="24" t="inlineStr">
        <is>
          <t>NO</t>
        </is>
      </c>
      <c r="F3" s="24" t="inlineStr">
        <is>
          <t>流水号</t>
        </is>
      </c>
      <c r="G3" s="24" t="n"/>
      <c r="H3" s="24" t="n"/>
      <c r="I3" s="24" t="n"/>
      <c r="J3" s="35" t="n">
        <v>45727</v>
      </c>
    </row>
    <row r="4">
      <c r="B4" s="24" t="inlineStr">
        <is>
          <t>GUARANTY_REGISTER_INFO</t>
        </is>
      </c>
      <c r="C4" s="24" t="inlineStr">
        <is>
          <t>BORROWER</t>
        </is>
      </c>
      <c r="D4" s="24" t="inlineStr">
        <is>
          <t>VARCHAR(50)</t>
        </is>
      </c>
      <c r="E4" s="24" t="inlineStr">
        <is>
          <t>YES</t>
        </is>
      </c>
      <c r="F4" s="24" t="inlineStr">
        <is>
          <t>借款人</t>
        </is>
      </c>
      <c r="G4" s="24" t="n"/>
      <c r="H4" s="24" t="n"/>
      <c r="I4" s="24" t="n"/>
      <c r="J4" s="35" t="n">
        <v>45727</v>
      </c>
    </row>
    <row r="5">
      <c r="B5" s="24" t="inlineStr">
        <is>
          <t>GUARANTY_REGISTER_INFO</t>
        </is>
      </c>
      <c r="C5" s="24" t="inlineStr">
        <is>
          <t>SWH</t>
        </is>
      </c>
      <c r="D5" s="24" t="inlineStr">
        <is>
          <t>VARCHAR(10)</t>
        </is>
      </c>
      <c r="E5" s="24" t="inlineStr">
        <is>
          <t>YES</t>
        </is>
      </c>
      <c r="F5" s="24" t="inlineStr">
        <is>
          <t>顺位号</t>
        </is>
      </c>
      <c r="G5" s="24" t="n"/>
      <c r="H5" s="24" t="n"/>
      <c r="I5" s="24" t="n"/>
      <c r="J5" s="35" t="n">
        <v>45727</v>
      </c>
    </row>
    <row r="6">
      <c r="B6" s="24" t="inlineStr">
        <is>
          <t>GUARANTY_REGISTER_INFO</t>
        </is>
      </c>
      <c r="C6" s="24" t="inlineStr">
        <is>
          <t>MAINID</t>
        </is>
      </c>
      <c r="D6" s="24" t="inlineStr">
        <is>
          <t>VARCHAR(50)</t>
        </is>
      </c>
      <c r="E6" s="24" t="inlineStr">
        <is>
          <t>YES</t>
        </is>
      </c>
      <c r="F6" s="24" t="inlineStr">
        <is>
          <t>业务ID</t>
        </is>
      </c>
      <c r="G6" s="24" t="n"/>
      <c r="H6" s="24" t="n"/>
      <c r="I6" s="24" t="n"/>
      <c r="J6" s="35" t="n">
        <v>45727</v>
      </c>
    </row>
    <row r="7">
      <c r="B7" s="24" t="inlineStr">
        <is>
          <t>GUARANTY_REGISTER_INFO</t>
        </is>
      </c>
      <c r="C7" s="24" t="inlineStr">
        <is>
          <t>ZWLXQSSJ</t>
        </is>
      </c>
      <c r="D7" s="24" t="inlineStr">
        <is>
          <t>VARCHAR(30)</t>
        </is>
      </c>
      <c r="E7" s="24" t="inlineStr">
        <is>
          <t>YES</t>
        </is>
      </c>
      <c r="F7" s="24" t="inlineStr">
        <is>
          <t>债务履行起始时间</t>
        </is>
      </c>
      <c r="G7" s="24" t="n"/>
      <c r="H7" s="24" t="n"/>
      <c r="I7" s="24" t="n"/>
      <c r="J7" s="35" t="n">
        <v>45727</v>
      </c>
    </row>
    <row r="8">
      <c r="B8" s="24" t="inlineStr">
        <is>
          <t>GUARANTY_REGISTER_INFO</t>
        </is>
      </c>
      <c r="C8" s="24" t="inlineStr">
        <is>
          <t>ZWLXJSSJ</t>
        </is>
      </c>
      <c r="D8" s="24" t="inlineStr">
        <is>
          <t>VARCHAR(30)</t>
        </is>
      </c>
      <c r="E8" s="24" t="inlineStr">
        <is>
          <t>YES</t>
        </is>
      </c>
      <c r="F8" s="24" t="inlineStr">
        <is>
          <t>债务履行结束时间</t>
        </is>
      </c>
      <c r="G8" s="24" t="n"/>
      <c r="H8" s="24" t="n"/>
      <c r="I8" s="24" t="inlineStr"/>
      <c r="J8" s="35" t="n">
        <v>45727</v>
      </c>
    </row>
    <row r="9">
      <c r="B9" s="24" t="inlineStr">
        <is>
          <t>GUARANTY_REGISTER_INFO</t>
        </is>
      </c>
      <c r="C9" s="24" t="inlineStr">
        <is>
          <t>CQZT</t>
        </is>
      </c>
      <c r="D9" s="24" t="inlineStr">
        <is>
          <t>VARCHAR(20)</t>
        </is>
      </c>
      <c r="E9" s="24" t="inlineStr">
        <is>
          <t>YES</t>
        </is>
      </c>
      <c r="F9" s="24" t="inlineStr">
        <is>
          <t>产权状态</t>
        </is>
      </c>
      <c r="G9" s="24" t="n"/>
      <c r="H9" s="24" t="n"/>
      <c r="I9" s="24" t="inlineStr"/>
      <c r="J9" s="35" t="n">
        <v>45727</v>
      </c>
    </row>
    <row r="10">
      <c r="B10" s="24" t="inlineStr">
        <is>
          <t>GUARANTY_REGISTER_INFO</t>
        </is>
      </c>
      <c r="C10" s="24" t="inlineStr">
        <is>
          <t>QLRMC</t>
        </is>
      </c>
      <c r="D10" s="24" t="inlineStr">
        <is>
          <t>VARCHAR(2000)</t>
        </is>
      </c>
      <c r="E10" s="24" t="inlineStr">
        <is>
          <t>YES</t>
        </is>
      </c>
      <c r="F10" s="24" t="inlineStr">
        <is>
          <t>产权权利人名称（抵押人名称）</t>
        </is>
      </c>
      <c r="G10" s="24" t="n"/>
      <c r="H10" s="24" t="n"/>
      <c r="I10" s="24" t="inlineStr"/>
      <c r="J10" s="35" t="n">
        <v>45727</v>
      </c>
    </row>
    <row r="11">
      <c r="B11" s="24" t="inlineStr">
        <is>
          <t>GUARANTY_REGISTER_INFO</t>
        </is>
      </c>
      <c r="C11" s="24" t="inlineStr">
        <is>
          <t>QSZT</t>
        </is>
      </c>
      <c r="D11" s="24" t="inlineStr">
        <is>
          <t>VARCHAR(10)</t>
        </is>
      </c>
      <c r="E11" s="24" t="inlineStr">
        <is>
          <t>YES</t>
        </is>
      </c>
      <c r="F11" s="24" t="inlineStr">
        <is>
          <t>权属状态</t>
        </is>
      </c>
      <c r="G11" s="24" t="n"/>
      <c r="H11" s="24" t="n"/>
      <c r="I11" s="24" t="inlineStr"/>
      <c r="J11" s="35" t="n">
        <v>45727</v>
      </c>
    </row>
    <row r="12">
      <c r="B12" s="24" t="inlineStr">
        <is>
          <t>GUARANTY_REGISTER_INFO</t>
        </is>
      </c>
      <c r="C12" s="24" t="inlineStr">
        <is>
          <t>BDCQZMH</t>
        </is>
      </c>
      <c r="D12" s="24" t="inlineStr">
        <is>
          <t>VARCHAR(300)</t>
        </is>
      </c>
      <c r="E12" s="24" t="inlineStr">
        <is>
          <t>YES</t>
        </is>
      </c>
      <c r="F12" s="24" t="inlineStr">
        <is>
          <t>不动产权证明号（他项证号、抵押证号）</t>
        </is>
      </c>
      <c r="G12" s="24" t="n"/>
      <c r="H12" s="24" t="n"/>
      <c r="I12" s="24" t="n"/>
      <c r="J12" s="35" t="n">
        <v>45727</v>
      </c>
    </row>
    <row r="13">
      <c r="B13" s="24" t="inlineStr">
        <is>
          <t>GUARANTY_REGISTER_INFO</t>
        </is>
      </c>
      <c r="C13" s="24" t="inlineStr">
        <is>
          <t>ZXSJ</t>
        </is>
      </c>
      <c r="D13" s="24" t="inlineStr">
        <is>
          <t>VARCHAR(30)</t>
        </is>
      </c>
      <c r="E13" s="24" t="inlineStr">
        <is>
          <t>YES</t>
        </is>
      </c>
      <c r="F13" s="24" t="inlineStr">
        <is>
          <t>抵押的注销时间</t>
        </is>
      </c>
      <c r="G13" s="24" t="n"/>
      <c r="H13" s="24" t="n"/>
      <c r="I13" s="24" t="n"/>
      <c r="J13" s="35" t="n">
        <v>45727</v>
      </c>
    </row>
    <row r="14">
      <c r="B14" s="24" t="inlineStr">
        <is>
          <t>GUARANTY_REGISTER_INFO</t>
        </is>
      </c>
      <c r="C14" s="24" t="inlineStr">
        <is>
          <t>DJSJ</t>
        </is>
      </c>
      <c r="D14" s="24" t="inlineStr">
        <is>
          <t>VARCHAR(30)</t>
        </is>
      </c>
      <c r="E14" s="24" t="inlineStr">
        <is>
          <t>YES</t>
        </is>
      </c>
      <c r="F14" s="24" t="inlineStr">
        <is>
          <t>抵押的登记时间</t>
        </is>
      </c>
      <c r="G14" s="24" t="n"/>
      <c r="H14" s="24" t="n"/>
      <c r="I14" s="24" t="n"/>
      <c r="J14" s="35" t="n">
        <v>45727</v>
      </c>
    </row>
    <row r="15">
      <c r="B15" s="24" t="inlineStr">
        <is>
          <t>GUARANTY_REGISTER_INFO</t>
        </is>
      </c>
      <c r="C15" s="24" t="inlineStr">
        <is>
          <t>CQZH</t>
        </is>
      </c>
      <c r="D15" s="24" t="inlineStr">
        <is>
          <t>VARCHAR(5000)</t>
        </is>
      </c>
      <c r="E15" s="24" t="inlineStr">
        <is>
          <t>YES</t>
        </is>
      </c>
      <c r="F15" s="24" t="inlineStr">
        <is>
          <t>不动产权证号</t>
        </is>
      </c>
      <c r="G15" s="24" t="n"/>
      <c r="H15" s="24" t="n"/>
      <c r="I15" s="24" t="n"/>
      <c r="J15" s="35" t="n">
        <v>45727</v>
      </c>
    </row>
    <row r="16">
      <c r="B16" s="24" t="inlineStr">
        <is>
          <t>GUARANTY_REGISTER_INFO</t>
        </is>
      </c>
      <c r="C16" s="24" t="inlineStr">
        <is>
          <t>ZL</t>
        </is>
      </c>
      <c r="D16" s="24" t="inlineStr">
        <is>
          <t>VARCHAR(500)</t>
        </is>
      </c>
      <c r="E16" s="24" t="inlineStr">
        <is>
          <t>YES</t>
        </is>
      </c>
      <c r="F16" s="24" t="inlineStr">
        <is>
          <t>坐落</t>
        </is>
      </c>
      <c r="G16" s="24" t="n"/>
      <c r="H16" s="24" t="n"/>
      <c r="I16" s="24" t="n"/>
      <c r="J16" s="35" t="n">
        <v>45727</v>
      </c>
    </row>
    <row r="17">
      <c r="B17" s="24" t="inlineStr">
        <is>
          <t>GUARANTY_REGISTER_INFO</t>
        </is>
      </c>
      <c r="C17" s="24" t="inlineStr">
        <is>
          <t>BDCDYH</t>
        </is>
      </c>
      <c r="D17" s="24" t="inlineStr">
        <is>
          <t>VARCHAR(100)</t>
        </is>
      </c>
      <c r="E17" s="24" t="inlineStr">
        <is>
          <t>YES</t>
        </is>
      </c>
      <c r="F17" s="24" t="inlineStr">
        <is>
          <t>不动产单元号</t>
        </is>
      </c>
      <c r="G17" s="24" t="n"/>
      <c r="H17" s="24" t="n"/>
      <c r="I17" s="24" t="n"/>
      <c r="J17" s="35" t="n">
        <v>45727</v>
      </c>
    </row>
    <row r="18">
      <c r="B18" s="24" t="inlineStr">
        <is>
          <t>GUARANTY_REGISTER_INFO</t>
        </is>
      </c>
      <c r="C18" s="24" t="inlineStr">
        <is>
          <t>DYQR</t>
        </is>
      </c>
      <c r="D18" s="24" t="inlineStr">
        <is>
          <t>VARCHAR(50)</t>
        </is>
      </c>
      <c r="E18" s="24" t="inlineStr">
        <is>
          <t>YES</t>
        </is>
      </c>
      <c r="F18" s="24" t="inlineStr">
        <is>
          <t>抵押权人</t>
        </is>
      </c>
      <c r="G18" s="24" t="n"/>
      <c r="H18" s="24" t="n"/>
      <c r="I18" s="24" t="n"/>
      <c r="J18" s="35" t="n">
        <v>45727</v>
      </c>
    </row>
    <row r="19">
      <c r="B19" s="24" t="inlineStr">
        <is>
          <t>GUARANTY_REGISTER_INFO</t>
        </is>
      </c>
      <c r="C19" s="24" t="inlineStr">
        <is>
          <t>DYJE</t>
        </is>
      </c>
      <c r="D19" s="24" t="inlineStr">
        <is>
          <t>decimal(24,6)</t>
        </is>
      </c>
      <c r="E19" s="24" t="inlineStr">
        <is>
          <t>YES</t>
        </is>
      </c>
      <c r="F19" s="24" t="inlineStr">
        <is>
          <t>抵押金额</t>
        </is>
      </c>
      <c r="G19" s="24" t="n"/>
      <c r="H19" s="24" t="n"/>
      <c r="I19" s="24" t="n"/>
      <c r="J19" s="35" t="n">
        <v>45727</v>
      </c>
    </row>
    <row r="20">
      <c r="B20" s="24" t="inlineStr">
        <is>
          <t>GUARANTY_REGISTER_INFO</t>
        </is>
      </c>
      <c r="C20" s="24" t="inlineStr">
        <is>
          <t>FJ</t>
        </is>
      </c>
      <c r="D20" s="24" t="inlineStr">
        <is>
          <t>VARCHAR(5000)</t>
        </is>
      </c>
      <c r="E20" s="24" t="inlineStr">
        <is>
          <t>YES</t>
        </is>
      </c>
      <c r="F20" s="24" t="inlineStr">
        <is>
          <t>附记</t>
        </is>
      </c>
      <c r="G20" s="24" t="n"/>
      <c r="H20" s="24" t="n"/>
      <c r="I20" s="24" t="n"/>
      <c r="J20" s="35" t="n">
        <v>45727</v>
      </c>
    </row>
    <row r="21">
      <c r="B21" s="24" t="inlineStr">
        <is>
          <t>GUARANTY_REGISTER_INFO</t>
        </is>
      </c>
      <c r="C21" s="24" t="inlineStr">
        <is>
          <t>DYR</t>
        </is>
      </c>
      <c r="D21" s="24" t="inlineStr">
        <is>
          <t>VARCHAR(50)</t>
        </is>
      </c>
      <c r="E21" s="24" t="inlineStr">
        <is>
          <t>YES</t>
        </is>
      </c>
      <c r="F21" s="24" t="inlineStr">
        <is>
          <t>抵押人</t>
        </is>
      </c>
      <c r="G21" s="24" t="n"/>
      <c r="H21" s="24" t="n"/>
      <c r="I21" s="24" t="n"/>
      <c r="J21" s="35" t="n">
        <v>45727</v>
      </c>
    </row>
    <row r="22">
      <c r="B22" s="24" t="inlineStr">
        <is>
          <t>GUARANTY_REGISTER_INFO</t>
        </is>
      </c>
      <c r="C22" s="24" t="inlineStr">
        <is>
          <t>MANAGEUSERID</t>
        </is>
      </c>
      <c r="D22" s="24" t="inlineStr">
        <is>
          <t>VARCHAR(10)</t>
        </is>
      </c>
      <c r="E22" s="24" t="inlineStr">
        <is>
          <t>YES</t>
        </is>
      </c>
      <c r="F22" s="24" t="inlineStr">
        <is>
          <t>客户经理</t>
        </is>
      </c>
      <c r="G22" s="24" t="n"/>
      <c r="H22" s="24" t="n"/>
      <c r="I22" s="24" t="n"/>
      <c r="J22" s="35" t="n">
        <v>45727</v>
      </c>
    </row>
    <row r="23">
      <c r="B23" s="24" t="inlineStr">
        <is>
          <t>GUARANTY_REGISTER_INFO</t>
        </is>
      </c>
      <c r="C23" s="24" t="inlineStr">
        <is>
          <t>MANAGEORGID</t>
        </is>
      </c>
      <c r="D23" s="24" t="inlineStr">
        <is>
          <t>VARCHAR(10)</t>
        </is>
      </c>
      <c r="E23" s="24" t="inlineStr">
        <is>
          <t>YES</t>
        </is>
      </c>
      <c r="F23" s="24" t="inlineStr">
        <is>
          <t>管户支行</t>
        </is>
      </c>
      <c r="G23" s="24" t="n"/>
      <c r="H23" s="24" t="n"/>
      <c r="I23" s="24" t="n"/>
      <c r="J23" s="35" t="n">
        <v>45727</v>
      </c>
    </row>
    <row r="24">
      <c r="B24" s="24" t="inlineStr">
        <is>
          <t>GUARANTY_REGISTER_INFO</t>
        </is>
      </c>
      <c r="C24" s="24" t="inlineStr">
        <is>
          <t>INPUTUSERID</t>
        </is>
      </c>
      <c r="D24" s="24" t="inlineStr">
        <is>
          <t>VARCHAR(10)</t>
        </is>
      </c>
      <c r="E24" s="24" t="inlineStr">
        <is>
          <t>YES</t>
        </is>
      </c>
      <c r="F24" s="24" t="inlineStr">
        <is>
          <t>登记人</t>
        </is>
      </c>
      <c r="G24" s="24" t="n"/>
      <c r="H24" s="24" t="n"/>
      <c r="I24" s="24" t="n"/>
      <c r="J24" s="35" t="n">
        <v>45727</v>
      </c>
    </row>
    <row r="25">
      <c r="B25" s="24" t="inlineStr">
        <is>
          <t>GUARANTY_REGISTER_INFO</t>
        </is>
      </c>
      <c r="C25" s="24" t="inlineStr">
        <is>
          <t>INPUTORGID</t>
        </is>
      </c>
      <c r="D25" s="24" t="inlineStr">
        <is>
          <t>VARCHAR(10)</t>
        </is>
      </c>
      <c r="E25" s="24" t="inlineStr">
        <is>
          <t>YES</t>
        </is>
      </c>
      <c r="F25" s="24" t="inlineStr">
        <is>
          <t>登记机构</t>
        </is>
      </c>
      <c r="G25" s="24" t="n"/>
      <c r="H25" s="24" t="n"/>
      <c r="I25" s="24" t="n"/>
      <c r="J25" s="35" t="n">
        <v>45727</v>
      </c>
    </row>
    <row r="26">
      <c r="B26" s="24" t="inlineStr">
        <is>
          <t>GUARANTY_REGISTER_INFO</t>
        </is>
      </c>
      <c r="C26" s="24" t="inlineStr">
        <is>
          <t>YWH</t>
        </is>
      </c>
      <c r="D26" s="24" t="inlineStr">
        <is>
          <t>VARCHAR(32)</t>
        </is>
      </c>
      <c r="E26" s="24" t="inlineStr">
        <is>
          <t>YES</t>
        </is>
      </c>
      <c r="F26" s="24" t="inlineStr">
        <is>
          <t>业务号</t>
        </is>
      </c>
      <c r="G26" s="24" t="n"/>
      <c r="H26" s="24" t="n"/>
      <c r="I26" s="24" t="n"/>
      <c r="J26" s="35" t="n">
        <v>45727</v>
      </c>
    </row>
    <row r="27">
      <c r="B27" s="24" t="inlineStr">
        <is>
          <t>GUARANTY_REGISTER_INFO</t>
        </is>
      </c>
      <c r="C27" s="24" t="inlineStr">
        <is>
          <t>CURPROGRESS</t>
        </is>
      </c>
      <c r="D27" s="24" t="inlineStr">
        <is>
          <t>VARCHAR(10)</t>
        </is>
      </c>
      <c r="E27" s="24" t="inlineStr">
        <is>
          <t>YES</t>
        </is>
      </c>
      <c r="F27" s="24" t="inlineStr">
        <is>
          <t>当前进度</t>
        </is>
      </c>
      <c r="G27" s="24" t="n"/>
      <c r="H27" s="24" t="n"/>
      <c r="I27" s="24" t="n"/>
      <c r="J27" s="35" t="n">
        <v>45727</v>
      </c>
    </row>
    <row r="28">
      <c r="B28" s="24" t="inlineStr">
        <is>
          <t>GUARANTY_REGISTER_INFO</t>
        </is>
      </c>
      <c r="C28" s="24" t="inlineStr">
        <is>
          <t>PROGRESSSTARTTIME</t>
        </is>
      </c>
      <c r="D28" s="24" t="inlineStr">
        <is>
          <t>VARCHAR(30)</t>
        </is>
      </c>
      <c r="E28" s="24" t="inlineStr">
        <is>
          <t>YES</t>
        </is>
      </c>
      <c r="F28" s="24" t="inlineStr">
        <is>
          <t>当前进度开始时间</t>
        </is>
      </c>
      <c r="G28" s="24" t="n"/>
      <c r="H28" s="24" t="n"/>
      <c r="I28" s="24" t="n"/>
      <c r="J28" s="35" t="n">
        <v>45727</v>
      </c>
    </row>
    <row r="29">
      <c r="B29" s="24" t="inlineStr">
        <is>
          <t>GUARANTY_REGISTER_INFO</t>
        </is>
      </c>
      <c r="C29" s="24" t="inlineStr">
        <is>
          <t>PROGRESSENDTIME</t>
        </is>
      </c>
      <c r="D29" s="24" t="inlineStr">
        <is>
          <t>VARCHAR(30)</t>
        </is>
      </c>
      <c r="E29" s="24" t="inlineStr">
        <is>
          <t>YES</t>
        </is>
      </c>
      <c r="F29" s="24" t="inlineStr">
        <is>
          <t>当前进度结束时间</t>
        </is>
      </c>
      <c r="G29" s="24" t="n"/>
      <c r="H29" s="24" t="n"/>
      <c r="I29" s="24" t="n"/>
      <c r="J29" s="35" t="n">
        <v>45727</v>
      </c>
    </row>
    <row r="30">
      <c r="B30" s="24" t="inlineStr">
        <is>
          <t>GUARANTY_REGISTER_INFO</t>
        </is>
      </c>
      <c r="C30" s="24" t="inlineStr">
        <is>
          <t>PROGERSSUPDATETIME</t>
        </is>
      </c>
      <c r="D30" s="24" t="inlineStr">
        <is>
          <t>VARCHAR(30)</t>
        </is>
      </c>
      <c r="E30" s="24" t="inlineStr">
        <is>
          <t>YES</t>
        </is>
      </c>
      <c r="F30" s="24" t="inlineStr">
        <is>
          <t>进度更新时间</t>
        </is>
      </c>
      <c r="G30" s="24" t="n"/>
      <c r="H30" s="24" t="n"/>
      <c r="I30" s="24" t="n"/>
      <c r="J30" s="35" t="n">
        <v>45727</v>
      </c>
    </row>
    <row r="31">
      <c r="B31" s="24" t="inlineStr">
        <is>
          <t>GUARANTY_REGISTER_INFO</t>
        </is>
      </c>
      <c r="C31" s="24" t="inlineStr">
        <is>
          <t>INITREVOKEFLAG</t>
        </is>
      </c>
      <c r="D31" s="24" t="inlineStr">
        <is>
          <t>VARCHAR(2)</t>
        </is>
      </c>
      <c r="E31" s="24" t="inlineStr">
        <is>
          <t>YES</t>
        </is>
      </c>
      <c r="F31" s="24" t="inlineStr">
        <is>
          <t>是否发起注销审批申请</t>
        </is>
      </c>
      <c r="G31" s="24" t="n"/>
      <c r="H31" s="24" t="n"/>
      <c r="I31" s="24" t="n"/>
      <c r="J31" s="35" t="n">
        <v>45727</v>
      </c>
    </row>
    <row r="32">
      <c r="B32" s="24" t="inlineStr">
        <is>
          <t>GUARANTY_REGISTER_INFO</t>
        </is>
      </c>
      <c r="C32" s="24" t="inlineStr">
        <is>
          <t>CLRID</t>
        </is>
      </c>
      <c r="D32" s="24" t="inlineStr">
        <is>
          <t>VARCHAR(32)</t>
        </is>
      </c>
      <c r="E32" s="24" t="inlineStr">
        <is>
          <t>YES</t>
        </is>
      </c>
      <c r="F32" s="43" t="inlineStr">
        <is>
          <t>押品编号</t>
        </is>
      </c>
      <c r="G32" s="24" t="n"/>
      <c r="H32" s="24" t="n"/>
      <c r="I32" s="24" t="n"/>
      <c r="J32" s="35" t="n">
        <v>45727</v>
      </c>
    </row>
    <row r="33">
      <c r="B33" s="24" t="inlineStr">
        <is>
          <t>GUARANTY_REGISTER_INFO</t>
        </is>
      </c>
      <c r="C33" s="24" t="inlineStr">
        <is>
          <t>REGISTERRECORDID</t>
        </is>
      </c>
      <c r="D33" s="24" t="inlineStr">
        <is>
          <t>VARCHAR(32)</t>
        </is>
      </c>
      <c r="E33" s="24" t="inlineStr">
        <is>
          <t>YES</t>
        </is>
      </c>
      <c r="F33" s="43" t="inlineStr">
        <is>
          <t>押权编号</t>
        </is>
      </c>
      <c r="G33" s="24" t="n"/>
      <c r="H33" s="24" t="n"/>
      <c r="I33" s="24" t="n"/>
      <c r="J33" s="35" t="n">
        <v>45727</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ColWidth="9.142857142857141" defaultRowHeight="15.2"/>
  <cols>
    <col width="27.5267857142857" customWidth="1" style="170" min="2" max="2"/>
    <col width="18" customWidth="1" style="170" min="3" max="3"/>
    <col width="14" customWidth="1" style="170" min="4" max="4"/>
    <col width="12.9464285714286" customWidth="1" style="170" min="6" max="6"/>
    <col width="30.7142857142857" customWidth="1" style="170" min="12" max="27"/>
    <col width="28.7142857142857" customWidth="1" style="170" min="28" max="31"/>
    <col width="11.0714285714286" customWidth="1" style="170" min="32" max="32"/>
  </cols>
  <sheetData>
    <row r="1">
      <c r="A1" s="1">
        <f>HYPERLINK("#表结构清单!A1","返回")</f>
        <v/>
      </c>
      <c r="B1" s="2" t="inlineStr">
        <is>
          <t>抵押物权属变化预警</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CLR_OWNERSHIP_CHANGE_INFO</t>
        </is>
      </c>
      <c r="C3" s="24" t="inlineStr">
        <is>
          <t>SERIALNO</t>
        </is>
      </c>
      <c r="D3" s="24" t="inlineStr">
        <is>
          <t>VARCHAR(32)</t>
        </is>
      </c>
      <c r="E3" s="24" t="inlineStr">
        <is>
          <t>NO</t>
        </is>
      </c>
      <c r="F3" s="24" t="inlineStr">
        <is>
          <t>流水号</t>
        </is>
      </c>
      <c r="G3" s="24" t="n"/>
      <c r="H3" s="24" t="n"/>
      <c r="I3" s="24" t="n"/>
      <c r="J3" s="35" t="n">
        <v>45727</v>
      </c>
    </row>
    <row r="4">
      <c r="B4" s="24" t="inlineStr">
        <is>
          <t>CLR_OWNERSHIP_CHANGE_INFO</t>
        </is>
      </c>
      <c r="C4" s="24" t="inlineStr">
        <is>
          <t>BUSINESSNO</t>
        </is>
      </c>
      <c r="D4" s="24" t="inlineStr">
        <is>
          <t>VARCHAR(32)</t>
        </is>
      </c>
      <c r="E4" s="24" t="inlineStr">
        <is>
          <t>YES</t>
        </is>
      </c>
      <c r="F4" s="24" t="inlineStr">
        <is>
          <t>业务号</t>
        </is>
      </c>
      <c r="G4" s="24" t="n"/>
      <c r="H4" s="24" t="n"/>
      <c r="I4" s="24" t="n"/>
      <c r="J4" s="35" t="n">
        <v>45727</v>
      </c>
    </row>
    <row r="5">
      <c r="B5" s="24" t="inlineStr">
        <is>
          <t>CLR_OWNERSHIP_CHANGE_INFO</t>
        </is>
      </c>
      <c r="C5" s="24" t="inlineStr">
        <is>
          <t>REGISTERNO</t>
        </is>
      </c>
      <c r="D5" s="24" t="inlineStr">
        <is>
          <t>VARCHAR(32)</t>
        </is>
      </c>
      <c r="E5" s="24" t="inlineStr">
        <is>
          <t>YES</t>
        </is>
      </c>
      <c r="F5" s="24" t="inlineStr">
        <is>
          <t>抵押登记业务号</t>
        </is>
      </c>
      <c r="G5" s="24" t="n"/>
      <c r="H5" s="24" t="n"/>
      <c r="I5" s="24" t="n"/>
      <c r="J5" s="35" t="n">
        <v>45727</v>
      </c>
    </row>
    <row r="6">
      <c r="B6" s="24" t="inlineStr">
        <is>
          <t>CLR_OWNERSHIP_CHANGE_INFO</t>
        </is>
      </c>
      <c r="C6" s="24" t="inlineStr">
        <is>
          <t>MORTGAGECERTNO</t>
        </is>
      </c>
      <c r="D6" s="24" t="inlineStr">
        <is>
          <t>VARCHAR(1000)</t>
        </is>
      </c>
      <c r="E6" s="24" t="inlineStr">
        <is>
          <t>YES</t>
        </is>
      </c>
      <c r="F6" s="24" t="inlineStr">
        <is>
          <t>抵押证明号</t>
        </is>
      </c>
      <c r="G6" s="24" t="n"/>
      <c r="H6" s="24" t="n"/>
      <c r="I6" s="24" t="n"/>
      <c r="J6" s="35" t="n">
        <v>45727</v>
      </c>
    </row>
    <row r="7">
      <c r="B7" s="24" t="inlineStr">
        <is>
          <t>CLR_OWNERSHIP_CHANGE_INFO</t>
        </is>
      </c>
      <c r="C7" s="24" t="inlineStr">
        <is>
          <t>ESTATEUNITNO</t>
        </is>
      </c>
      <c r="D7" s="24" t="inlineStr">
        <is>
          <t>VARCHAR(1000)</t>
        </is>
      </c>
      <c r="E7" s="24" t="inlineStr">
        <is>
          <t>YES</t>
        </is>
      </c>
      <c r="F7" s="24" t="inlineStr">
        <is>
          <t>不动产单元号</t>
        </is>
      </c>
      <c r="G7" s="24" t="n"/>
      <c r="H7" s="24" t="n"/>
      <c r="I7" s="24" t="n"/>
      <c r="J7" s="35" t="n">
        <v>45727</v>
      </c>
    </row>
    <row r="8">
      <c r="B8" s="24" t="inlineStr">
        <is>
          <t>CLR_OWNERSHIP_CHANGE_INFO</t>
        </is>
      </c>
      <c r="C8" s="24" t="inlineStr">
        <is>
          <t>ESTATEUNITID</t>
        </is>
      </c>
      <c r="D8" s="24" t="inlineStr">
        <is>
          <t>VARCHAR(100)</t>
        </is>
      </c>
      <c r="E8" s="24" t="inlineStr">
        <is>
          <t>YES</t>
        </is>
      </c>
      <c r="F8" s="24" t="inlineStr">
        <is>
          <t>不动产单元ID</t>
        </is>
      </c>
      <c r="G8" s="24" t="n"/>
      <c r="H8" s="24" t="n"/>
      <c r="I8" s="24" t="inlineStr"/>
      <c r="J8" s="35" t="n">
        <v>45727</v>
      </c>
    </row>
    <row r="9">
      <c r="B9" s="24" t="inlineStr">
        <is>
          <t>CLR_OWNERSHIP_CHANGE_INFO</t>
        </is>
      </c>
      <c r="C9" s="24" t="inlineStr">
        <is>
          <t>MORTGAGERIGHTID</t>
        </is>
      </c>
      <c r="D9" s="24" t="inlineStr">
        <is>
          <t>VARCHAR(100)</t>
        </is>
      </c>
      <c r="E9" s="24" t="inlineStr">
        <is>
          <t>YES</t>
        </is>
      </c>
      <c r="F9" s="24" t="inlineStr">
        <is>
          <t>抵押权利ID</t>
        </is>
      </c>
      <c r="G9" s="24" t="n"/>
      <c r="H9" s="24" t="n"/>
      <c r="I9" s="24" t="inlineStr"/>
      <c r="J9" s="35" t="n">
        <v>45727</v>
      </c>
    </row>
    <row r="10">
      <c r="B10" s="24" t="inlineStr">
        <is>
          <t>CLR_OWNERSHIP_CHANGE_INFO</t>
        </is>
      </c>
      <c r="C10" s="24" t="inlineStr">
        <is>
          <t>OWNERSHIPSTATUS</t>
        </is>
      </c>
      <c r="D10" s="24" t="inlineStr">
        <is>
          <t>VARCHAR(2)</t>
        </is>
      </c>
      <c r="E10" s="24" t="inlineStr">
        <is>
          <t>YES</t>
        </is>
      </c>
      <c r="F10" s="24" t="inlineStr">
        <is>
          <t>权属状态</t>
        </is>
      </c>
      <c r="G10" s="24" t="n"/>
      <c r="H10" s="24" t="n"/>
      <c r="I10" s="24" t="inlineStr"/>
      <c r="J10" s="35" t="n">
        <v>45727</v>
      </c>
    </row>
    <row r="11">
      <c r="B11" s="24" t="inlineStr">
        <is>
          <t>CLR_OWNERSHIP_CHANGE_INFO</t>
        </is>
      </c>
      <c r="C11" s="24" t="inlineStr">
        <is>
          <t>MORTGAGETYPE</t>
        </is>
      </c>
      <c r="D11" s="24" t="inlineStr">
        <is>
          <t>VARCHAR(100)</t>
        </is>
      </c>
      <c r="E11" s="24" t="inlineStr">
        <is>
          <t>YES</t>
        </is>
      </c>
      <c r="F11" s="24" t="inlineStr">
        <is>
          <t>不动产抵押类型</t>
        </is>
      </c>
      <c r="G11" s="24" t="n"/>
      <c r="H11" s="24" t="n"/>
      <c r="I11" s="24" t="inlineStr"/>
      <c r="J11" s="35" t="n">
        <v>45727</v>
      </c>
    </row>
    <row r="12">
      <c r="B12" s="24" t="inlineStr">
        <is>
          <t>CLR_OWNERSHIP_CHANGE_INFO</t>
        </is>
      </c>
      <c r="C12" s="24" t="inlineStr">
        <is>
          <t>BUSINESSNAME</t>
        </is>
      </c>
      <c r="D12" s="24" t="inlineStr">
        <is>
          <t>VARCHAR(100)</t>
        </is>
      </c>
      <c r="E12" s="24" t="inlineStr">
        <is>
          <t>YES</t>
        </is>
      </c>
      <c r="F12" s="24" t="inlineStr">
        <is>
          <t>业务名称</t>
        </is>
      </c>
      <c r="G12" s="24" t="n"/>
      <c r="H12" s="24" t="n"/>
      <c r="I12" s="24" t="n"/>
      <c r="J12" s="35" t="n">
        <v>45727</v>
      </c>
    </row>
    <row r="13">
      <c r="B13" s="24" t="inlineStr">
        <is>
          <t>CLR_OWNERSHIP_CHANGE_INFO</t>
        </is>
      </c>
      <c r="C13" s="24" t="inlineStr">
        <is>
          <t>MSG</t>
        </is>
      </c>
      <c r="D13" s="24" t="inlineStr">
        <is>
          <t>VARCHAR(200)</t>
        </is>
      </c>
      <c r="E13" s="24" t="inlineStr">
        <is>
          <t>YES</t>
        </is>
      </c>
      <c r="F13" s="24" t="inlineStr">
        <is>
          <t>变化信息内容</t>
        </is>
      </c>
      <c r="G13" s="24" t="n"/>
      <c r="H13" s="24" t="n"/>
      <c r="I13" s="24" t="n"/>
      <c r="J13" s="35" t="n">
        <v>45727</v>
      </c>
    </row>
    <row r="14">
      <c r="B14" s="24" t="inlineStr">
        <is>
          <t>CLR_OWNERSHIP_CHANGE_INFO</t>
        </is>
      </c>
      <c r="C14" s="24" t="inlineStr">
        <is>
          <t>SEIZUREORG</t>
        </is>
      </c>
      <c r="D14" s="24" t="inlineStr">
        <is>
          <t>VARCHAR(100)</t>
        </is>
      </c>
      <c r="E14" s="24" t="inlineStr">
        <is>
          <t>YES</t>
        </is>
      </c>
      <c r="F14" s="24" t="inlineStr">
        <is>
          <t>查封机构</t>
        </is>
      </c>
      <c r="G14" s="24" t="n"/>
      <c r="H14" s="24" t="n"/>
      <c r="I14" s="24" t="n"/>
      <c r="J14" s="35" t="n">
        <v>45727</v>
      </c>
    </row>
    <row r="15">
      <c r="B15" s="24" t="inlineStr">
        <is>
          <t>CLR_OWNERSHIP_CHANGE_INFO</t>
        </is>
      </c>
      <c r="C15" s="24" t="inlineStr">
        <is>
          <t>MORTGAGEE</t>
        </is>
      </c>
      <c r="D15" s="24" t="inlineStr">
        <is>
          <t>VARCHAR(50)</t>
        </is>
      </c>
      <c r="E15" s="24" t="inlineStr">
        <is>
          <t>YES</t>
        </is>
      </c>
      <c r="F15" s="24" t="inlineStr">
        <is>
          <t>抵押权人</t>
        </is>
      </c>
      <c r="G15" s="24" t="n"/>
      <c r="H15" s="24" t="n"/>
      <c r="I15" s="24" t="n"/>
      <c r="J15" s="35" t="n">
        <v>45727</v>
      </c>
    </row>
    <row r="16">
      <c r="B16" s="24" t="inlineStr">
        <is>
          <t>CLR_OWNERSHIP_CHANGE_INFO</t>
        </is>
      </c>
      <c r="C16" s="24" t="inlineStr">
        <is>
          <t>REGISTTIME</t>
        </is>
      </c>
      <c r="D16" s="24" t="inlineStr">
        <is>
          <t>VARCHAR(30)</t>
        </is>
      </c>
      <c r="E16" s="24" t="inlineStr">
        <is>
          <t>YES</t>
        </is>
      </c>
      <c r="F16" s="24" t="inlineStr">
        <is>
          <t>登记时间</t>
        </is>
      </c>
      <c r="G16" s="24" t="n"/>
      <c r="H16" s="24" t="n"/>
      <c r="I16" s="24" t="n"/>
      <c r="J16" s="35" t="n">
        <v>45727</v>
      </c>
    </row>
    <row r="17">
      <c r="B17" s="24" t="inlineStr">
        <is>
          <t>CLR_OWNERSHIP_CHANGE_INFO</t>
        </is>
      </c>
      <c r="C17" s="24" t="inlineStr">
        <is>
          <t>CARDNO</t>
        </is>
      </c>
      <c r="D17" s="24" t="inlineStr">
        <is>
          <t>VARCHAR(50)</t>
        </is>
      </c>
      <c r="E17" s="24" t="inlineStr">
        <is>
          <t>YES</t>
        </is>
      </c>
      <c r="F17" s="24" t="inlineStr">
        <is>
          <t>证件号</t>
        </is>
      </c>
      <c r="G17" s="24" t="n"/>
      <c r="H17" s="24" t="n"/>
      <c r="I17" s="24" t="n"/>
      <c r="J17" s="35" t="n">
        <v>45727</v>
      </c>
    </row>
    <row r="18">
      <c r="B18" s="24" t="inlineStr">
        <is>
          <t>CLR_OWNERSHIP_CHANGE_INFO</t>
        </is>
      </c>
      <c r="C18" s="24" t="inlineStr">
        <is>
          <t>HANDLEFLAG</t>
        </is>
      </c>
      <c r="D18" s="24" t="inlineStr">
        <is>
          <t>VARCHAR(2)</t>
        </is>
      </c>
      <c r="E18" s="24" t="inlineStr">
        <is>
          <t>YES</t>
        </is>
      </c>
      <c r="F18" s="24" t="inlineStr">
        <is>
          <t>是否处理标志</t>
        </is>
      </c>
      <c r="G18" s="24" t="n"/>
      <c r="H18" s="24" t="n"/>
      <c r="I18" s="24" t="n"/>
      <c r="J18" s="35" t="n">
        <v>45727</v>
      </c>
    </row>
    <row r="19">
      <c r="B19" s="24" t="inlineStr">
        <is>
          <t>CLR_OWNERSHIP_CHANGE_INFO</t>
        </is>
      </c>
      <c r="C19" s="24" t="inlineStr">
        <is>
          <t>OPERATOR</t>
        </is>
      </c>
      <c r="D19" s="24" t="inlineStr">
        <is>
          <t>VARCHAR(10)</t>
        </is>
      </c>
      <c r="E19" s="24" t="inlineStr">
        <is>
          <t>YES</t>
        </is>
      </c>
      <c r="F19" s="24" t="inlineStr">
        <is>
          <t>办件人</t>
        </is>
      </c>
      <c r="G19" s="24" t="n"/>
      <c r="H19" s="24" t="n"/>
      <c r="I19" s="24" t="n"/>
      <c r="J19" s="35" t="n">
        <v>45727</v>
      </c>
    </row>
    <row r="20">
      <c r="B20" s="24" t="inlineStr">
        <is>
          <t>CLR_OWNERSHIP_CHANGE_INFO</t>
        </is>
      </c>
      <c r="C20" s="24" t="inlineStr">
        <is>
          <t>OPERATORORG</t>
        </is>
      </c>
      <c r="D20" s="24" t="inlineStr">
        <is>
          <t>VARCHAR(10)</t>
        </is>
      </c>
      <c r="E20" s="24" t="inlineStr">
        <is>
          <t>YES</t>
        </is>
      </c>
      <c r="F20" s="24" t="inlineStr">
        <is>
          <t>办件人所属机构</t>
        </is>
      </c>
      <c r="G20" s="24" t="n"/>
      <c r="H20" s="24" t="n"/>
      <c r="I20" s="24" t="n"/>
      <c r="J20" s="35" t="n">
        <v>45727</v>
      </c>
    </row>
    <row r="21">
      <c r="B21" s="24" t="inlineStr">
        <is>
          <t>CLR_OWNERSHIP_CHANGE_INFO</t>
        </is>
      </c>
      <c r="C21" s="24" t="inlineStr">
        <is>
          <t>REGISTDATE</t>
        </is>
      </c>
      <c r="D21" s="24" t="inlineStr">
        <is>
          <t>VARCHAR(30)</t>
        </is>
      </c>
      <c r="E21" s="24" t="inlineStr">
        <is>
          <t>YES</t>
        </is>
      </c>
      <c r="F21" s="24" t="inlineStr">
        <is>
          <t>登记日期</t>
        </is>
      </c>
      <c r="G21" s="24" t="n"/>
      <c r="H21" s="24" t="n"/>
      <c r="I21" s="24" t="n"/>
      <c r="J21" s="35" t="n">
        <v>45727</v>
      </c>
    </row>
    <row r="22">
      <c r="B22" s="24" t="inlineStr">
        <is>
          <t>CLR_OWNERSHIP_CHANGE_INFO</t>
        </is>
      </c>
      <c r="C22" s="24" t="inlineStr">
        <is>
          <t>UPDATEDATE</t>
        </is>
      </c>
      <c r="D22" s="24" t="inlineStr">
        <is>
          <t>VARCHAR(30)</t>
        </is>
      </c>
      <c r="E22" s="24" t="inlineStr">
        <is>
          <t>YES</t>
        </is>
      </c>
      <c r="F22" s="24" t="inlineStr">
        <is>
          <t>更新日期</t>
        </is>
      </c>
      <c r="G22" s="24" t="n"/>
      <c r="H22" s="24" t="n"/>
      <c r="I22" s="24" t="n"/>
      <c r="J22" s="35" t="n">
        <v>45727</v>
      </c>
    </row>
    <row r="23">
      <c r="B23" s="24" t="inlineStr">
        <is>
          <t>CLR_OWNERSHIP_CHANGE_INFO</t>
        </is>
      </c>
      <c r="C23" s="24" t="inlineStr">
        <is>
          <t>CLRID</t>
        </is>
      </c>
      <c r="D23" s="24" t="inlineStr">
        <is>
          <t>VARCHAR(32)</t>
        </is>
      </c>
      <c r="E23" s="24" t="inlineStr">
        <is>
          <t>YES</t>
        </is>
      </c>
      <c r="F23" s="43" t="inlineStr">
        <is>
          <t>押品编号</t>
        </is>
      </c>
      <c r="G23" s="24" t="n"/>
      <c r="H23" s="24" t="n"/>
      <c r="I23" s="24" t="n"/>
      <c r="J23" s="35" t="n">
        <v>45727</v>
      </c>
    </row>
    <row r="24">
      <c r="B24" s="24" t="inlineStr">
        <is>
          <t>CLR_OWNERSHIP_CHANGE_INFO</t>
        </is>
      </c>
      <c r="C24" s="24" t="inlineStr">
        <is>
          <t>REGISTERRECORDID</t>
        </is>
      </c>
      <c r="D24" s="24" t="inlineStr">
        <is>
          <t>VARCHAR(32)</t>
        </is>
      </c>
      <c r="E24" s="24" t="inlineStr">
        <is>
          <t>YES</t>
        </is>
      </c>
      <c r="F24" s="43" t="inlineStr">
        <is>
          <t>押权编号</t>
        </is>
      </c>
      <c r="G24" s="109" t="n"/>
      <c r="H24" s="109" t="n"/>
      <c r="I24" s="109" t="n"/>
      <c r="J24" s="35" t="n">
        <v>45727</v>
      </c>
    </row>
    <row r="25">
      <c r="B25" s="24" t="inlineStr">
        <is>
          <t>CLR_OWNERSHIP_CHANGE_INFO</t>
        </is>
      </c>
      <c r="C25" s="24" t="inlineStr">
        <is>
          <t>INPUTUSERID</t>
        </is>
      </c>
      <c r="D25" s="24" t="inlineStr">
        <is>
          <t>varchar(32)</t>
        </is>
      </c>
      <c r="E25" s="24" t="inlineStr">
        <is>
          <t>YES</t>
        </is>
      </c>
      <c r="F25" s="39" t="inlineStr">
        <is>
          <t>登记人</t>
        </is>
      </c>
      <c r="G25" s="21" t="n"/>
      <c r="H25" s="21" t="n"/>
      <c r="I25" s="21" t="n"/>
      <c r="J25" s="45" t="n">
        <v>45727</v>
      </c>
    </row>
    <row r="26">
      <c r="B26" s="24" t="inlineStr">
        <is>
          <t>CLR_OWNERSHIP_CHANGE_INFO</t>
        </is>
      </c>
      <c r="C26" s="24" t="inlineStr">
        <is>
          <t>INPUTORGID</t>
        </is>
      </c>
      <c r="D26" s="24" t="inlineStr">
        <is>
          <t>varchar(32)</t>
        </is>
      </c>
      <c r="E26" s="24" t="inlineStr">
        <is>
          <t>YES</t>
        </is>
      </c>
      <c r="F26" s="39" t="inlineStr">
        <is>
          <t>登记机构</t>
        </is>
      </c>
      <c r="G26" s="21" t="n"/>
      <c r="H26" s="21" t="n"/>
      <c r="I26" s="21" t="n"/>
      <c r="J26" s="45" t="n">
        <v>45727</v>
      </c>
    </row>
    <row r="27">
      <c r="B27" s="24" t="inlineStr">
        <is>
          <t>CLR_OWNERSHIP_CHANGE_INFO</t>
        </is>
      </c>
      <c r="C27" s="24" t="inlineStr">
        <is>
          <t>INPUTDATE</t>
        </is>
      </c>
      <c r="D27" s="24" t="inlineStr">
        <is>
          <t>datetime</t>
        </is>
      </c>
      <c r="E27" s="24" t="inlineStr">
        <is>
          <t>YES</t>
        </is>
      </c>
      <c r="F27" s="39" t="inlineStr">
        <is>
          <t>登记日期</t>
        </is>
      </c>
      <c r="G27" s="21" t="n"/>
      <c r="H27" s="21" t="n"/>
      <c r="I27" s="21" t="n"/>
      <c r="J27" s="45" t="n">
        <v>45727</v>
      </c>
    </row>
    <row r="28">
      <c r="B28" s="24" t="inlineStr">
        <is>
          <t>CLR_OWNERSHIP_CHANGE_INFO</t>
        </is>
      </c>
      <c r="C28" s="24" t="inlineStr">
        <is>
          <t>UPDATEUSERID</t>
        </is>
      </c>
      <c r="D28" s="24" t="inlineStr">
        <is>
          <t>varchar(32)</t>
        </is>
      </c>
      <c r="E28" s="24" t="inlineStr">
        <is>
          <t>YES</t>
        </is>
      </c>
      <c r="F28" s="39" t="inlineStr">
        <is>
          <t>更新人</t>
        </is>
      </c>
      <c r="G28" s="21" t="n"/>
      <c r="H28" s="21" t="n"/>
      <c r="I28" s="21" t="n"/>
      <c r="J28" s="45" t="n">
        <v>45727</v>
      </c>
    </row>
    <row r="29">
      <c r="B29" s="24" t="inlineStr">
        <is>
          <t>CLR_OWNERSHIP_CHANGE_INFO</t>
        </is>
      </c>
      <c r="C29" s="24" t="inlineStr">
        <is>
          <t>UPDATEORGID</t>
        </is>
      </c>
      <c r="D29" s="24" t="inlineStr">
        <is>
          <t>varchar(32)</t>
        </is>
      </c>
      <c r="E29" s="24" t="inlineStr">
        <is>
          <t>YES</t>
        </is>
      </c>
      <c r="F29" s="39" t="inlineStr">
        <is>
          <t>更新机构</t>
        </is>
      </c>
      <c r="G29" s="21" t="n"/>
      <c r="H29" s="21" t="n"/>
      <c r="I29" s="21" t="n"/>
      <c r="J29" s="45" t="n">
        <v>45727</v>
      </c>
    </row>
    <row r="30">
      <c r="B30" s="24" t="inlineStr">
        <is>
          <t>CLR_OWNERSHIP_CHANGE_INFO</t>
        </is>
      </c>
      <c r="C30" s="24" t="inlineStr">
        <is>
          <t>UPDATEDATE</t>
        </is>
      </c>
      <c r="D30" s="24" t="inlineStr">
        <is>
          <t>datetime</t>
        </is>
      </c>
      <c r="E30" s="24" t="inlineStr">
        <is>
          <t>YES</t>
        </is>
      </c>
      <c r="F30" s="39" t="inlineStr">
        <is>
          <t>更新日期</t>
        </is>
      </c>
      <c r="G30" s="21" t="n"/>
      <c r="H30" s="21" t="n"/>
      <c r="I30" s="21" t="n"/>
      <c r="J30" s="45" t="n">
        <v>45727</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ColWidth="9.142857142857141" defaultRowHeight="15.2"/>
  <cols>
    <col width="27.5267857142857" customWidth="1" style="170" min="2" max="2"/>
    <col width="18" customWidth="1" style="170" min="3" max="3"/>
    <col width="14" customWidth="1" style="170" min="4" max="4"/>
    <col width="12.9464285714286" customWidth="1" style="170" min="6" max="6"/>
    <col width="30.7142857142857" customWidth="1" style="170" min="12" max="27"/>
    <col width="28.7142857142857" customWidth="1" style="170" min="28" max="31"/>
    <col width="11.0714285714286" customWidth="1" style="170" min="32" max="32"/>
  </cols>
  <sheetData>
    <row r="1">
      <c r="A1" s="1">
        <f>HYPERLINK("#表结构清单!A1","返回")</f>
        <v/>
      </c>
      <c r="B1" s="2" t="inlineStr">
        <is>
          <t>权证出入库申请与权证关联关系</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CLR_RIGHTCERT_TRAPPL_RELA</t>
        </is>
      </c>
      <c r="C3" s="24" t="inlineStr">
        <is>
          <t>APPLYNO</t>
        </is>
      </c>
      <c r="D3" s="24" t="inlineStr">
        <is>
          <t>VARCHAR(32)</t>
        </is>
      </c>
      <c r="E3" s="24" t="inlineStr">
        <is>
          <t>NO</t>
        </is>
      </c>
      <c r="F3" s="43" t="inlineStr">
        <is>
          <t>出入库申请编号</t>
        </is>
      </c>
      <c r="G3" s="24" t="n"/>
      <c r="H3" s="24" t="n"/>
      <c r="I3" s="24" t="n"/>
      <c r="J3" s="35" t="n">
        <v>45727</v>
      </c>
    </row>
    <row r="4">
      <c r="B4" s="24" t="inlineStr">
        <is>
          <t>CLR_RIGHTCERT_TRAPPL_RELA</t>
        </is>
      </c>
      <c r="C4" s="24" t="inlineStr">
        <is>
          <t>CERTRIGHTNO</t>
        </is>
      </c>
      <c r="D4" s="24" t="inlineStr">
        <is>
          <t>VARCHAR(32)</t>
        </is>
      </c>
      <c r="E4" s="24" t="inlineStr">
        <is>
          <t>YES</t>
        </is>
      </c>
      <c r="F4" s="43" t="inlineStr">
        <is>
          <t>权证编号</t>
        </is>
      </c>
      <c r="G4" s="24" t="n"/>
      <c r="H4" s="24" t="n"/>
      <c r="I4" s="24" t="n"/>
      <c r="J4" s="35" t="n">
        <v>45727</v>
      </c>
    </row>
    <row r="5">
      <c r="B5" s="24" t="inlineStr">
        <is>
          <t>CLR_RIGHTCERT_TRAPPL_RELA</t>
        </is>
      </c>
      <c r="C5" s="24" t="inlineStr">
        <is>
          <t>INPUTUSER</t>
        </is>
      </c>
      <c r="D5" s="24" t="inlineStr">
        <is>
          <t>varchar(32)</t>
        </is>
      </c>
      <c r="E5" s="24" t="inlineStr">
        <is>
          <t>YES</t>
        </is>
      </c>
      <c r="F5" s="24" t="inlineStr">
        <is>
          <t>登记人</t>
        </is>
      </c>
      <c r="G5" s="24" t="n"/>
      <c r="H5" s="24" t="n"/>
      <c r="I5" s="24" t="inlineStr"/>
      <c r="J5" s="35" t="n">
        <v>45727</v>
      </c>
    </row>
    <row r="6">
      <c r="B6" s="24" t="inlineStr">
        <is>
          <t>CLR_RIGHTCERT_TRAPPL_RELA</t>
        </is>
      </c>
      <c r="C6" s="24" t="inlineStr">
        <is>
          <t>INPUTORG</t>
        </is>
      </c>
      <c r="D6" s="24" t="inlineStr">
        <is>
          <t>varchar(32)</t>
        </is>
      </c>
      <c r="E6" s="24" t="inlineStr">
        <is>
          <t>YES</t>
        </is>
      </c>
      <c r="F6" s="24" t="inlineStr">
        <is>
          <t>登记机构</t>
        </is>
      </c>
      <c r="G6" s="24" t="n"/>
      <c r="H6" s="24" t="n"/>
      <c r="I6" s="24" t="inlineStr"/>
      <c r="J6" s="35" t="n">
        <v>45727</v>
      </c>
    </row>
    <row r="7">
      <c r="B7" s="24" t="inlineStr">
        <is>
          <t>CLR_RIGHTCERT_TRAPPL_RELA</t>
        </is>
      </c>
      <c r="C7" s="24" t="inlineStr">
        <is>
          <t>INPUTTIME</t>
        </is>
      </c>
      <c r="D7" s="24" t="inlineStr">
        <is>
          <t>datetime</t>
        </is>
      </c>
      <c r="E7" s="24" t="inlineStr">
        <is>
          <t>YES</t>
        </is>
      </c>
      <c r="F7" s="24" t="inlineStr">
        <is>
          <t>登记时间</t>
        </is>
      </c>
      <c r="G7" s="24" t="n"/>
      <c r="H7" s="24" t="n"/>
      <c r="I7" s="24" t="inlineStr"/>
      <c r="J7" s="35" t="n">
        <v>45727</v>
      </c>
    </row>
    <row r="8">
      <c r="B8" s="24" t="inlineStr">
        <is>
          <t>CLR_RIGHTCERT_TRAPPL_RELA</t>
        </is>
      </c>
      <c r="C8" s="24" t="inlineStr">
        <is>
          <t>UPDATEUSER</t>
        </is>
      </c>
      <c r="D8" s="24" t="inlineStr">
        <is>
          <t>varchar(32)</t>
        </is>
      </c>
      <c r="E8" s="24" t="inlineStr">
        <is>
          <t>YES</t>
        </is>
      </c>
      <c r="F8" s="24" t="inlineStr">
        <is>
          <t>更新人</t>
        </is>
      </c>
      <c r="G8" s="24" t="n"/>
      <c r="H8" s="24" t="n"/>
      <c r="I8" s="24" t="inlineStr"/>
      <c r="J8" s="35" t="n">
        <v>45727</v>
      </c>
    </row>
    <row r="9">
      <c r="B9" s="24" t="inlineStr">
        <is>
          <t>CLR_RIGHTCERT_TRAPPL_RELA</t>
        </is>
      </c>
      <c r="C9" s="24" t="inlineStr">
        <is>
          <t>UPDATETIME</t>
        </is>
      </c>
      <c r="D9" s="24" t="inlineStr">
        <is>
          <t>datetime</t>
        </is>
      </c>
      <c r="E9" s="24" t="inlineStr">
        <is>
          <t>YES</t>
        </is>
      </c>
      <c r="F9" s="24" t="inlineStr">
        <is>
          <t>更新时间</t>
        </is>
      </c>
      <c r="G9" s="24" t="n"/>
      <c r="H9" s="24" t="n"/>
      <c r="I9" s="24" t="inlineStr"/>
      <c r="J9" s="35" t="n">
        <v>45727</v>
      </c>
    </row>
    <row r="10">
      <c r="B10" s="24" t="inlineStr">
        <is>
          <t>CLR_RIGHTCERT_TRAPPL_RELA</t>
        </is>
      </c>
      <c r="C10" s="24" t="inlineStr">
        <is>
          <t>UPDATEUSERID</t>
        </is>
      </c>
      <c r="D10" s="24" t="inlineStr">
        <is>
          <t>varchar(32)</t>
        </is>
      </c>
      <c r="E10" s="24" t="inlineStr">
        <is>
          <t>YES</t>
        </is>
      </c>
      <c r="F10" s="24" t="inlineStr">
        <is>
          <t>更新人编号</t>
        </is>
      </c>
      <c r="G10" s="24" t="n"/>
      <c r="H10" s="24" t="n"/>
      <c r="I10" s="24" t="inlineStr"/>
      <c r="J10" s="35" t="n">
        <v>45727</v>
      </c>
    </row>
    <row r="11">
      <c r="B11" s="24" t="inlineStr">
        <is>
          <t>CLR_RIGHTCERT_TRAPPL_RELA</t>
        </is>
      </c>
      <c r="C11" s="24" t="inlineStr">
        <is>
          <t>UPDATEORGID</t>
        </is>
      </c>
      <c r="D11" s="24" t="inlineStr">
        <is>
          <t>varchar(32)</t>
        </is>
      </c>
      <c r="E11" s="24" t="inlineStr">
        <is>
          <t>YES</t>
        </is>
      </c>
      <c r="F11" s="24" t="inlineStr">
        <is>
          <t>更新机构</t>
        </is>
      </c>
      <c r="G11" s="24" t="n"/>
      <c r="H11" s="24" t="n"/>
      <c r="I11" s="24" t="inlineStr"/>
      <c r="J11" s="35" t="n">
        <v>45727</v>
      </c>
    </row>
    <row r="12">
      <c r="B12" s="24" t="inlineStr">
        <is>
          <t>CLR_RIGHTCERT_TRAPPL_RELA</t>
        </is>
      </c>
      <c r="C12" s="24" t="inlineStr">
        <is>
          <t>INPUTORGID</t>
        </is>
      </c>
      <c r="D12" s="24" t="inlineStr">
        <is>
          <t>varchar(32)</t>
        </is>
      </c>
      <c r="E12" s="24" t="inlineStr">
        <is>
          <t>YES</t>
        </is>
      </c>
      <c r="F12" s="24" t="inlineStr">
        <is>
          <t>登记机构编号</t>
        </is>
      </c>
      <c r="G12" s="24" t="n"/>
      <c r="H12" s="24" t="n"/>
      <c r="I12" s="24" t="inlineStr"/>
      <c r="J12" s="35" t="n">
        <v>45727</v>
      </c>
    </row>
    <row r="13">
      <c r="B13" s="24" t="inlineStr">
        <is>
          <t>CLR_RIGHTCERT_TRAPPL_RELA</t>
        </is>
      </c>
      <c r="C13" s="24" t="inlineStr">
        <is>
          <t>INPUTUSERID</t>
        </is>
      </c>
      <c r="D13" s="24" t="inlineStr">
        <is>
          <t>varchar(32)</t>
        </is>
      </c>
      <c r="E13" s="24" t="inlineStr">
        <is>
          <t>YES</t>
        </is>
      </c>
      <c r="F13" s="24" t="inlineStr">
        <is>
          <t>登记人编号</t>
        </is>
      </c>
      <c r="G13" s="24" t="n"/>
      <c r="H13" s="24" t="n"/>
      <c r="I13" s="24" t="inlineStr"/>
      <c r="J13" s="35" t="n">
        <v>45727</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ColWidth="9.142857142857141" defaultRowHeight="15.2"/>
  <cols>
    <col width="29.3125" customWidth="1" style="170" min="2" max="2"/>
    <col width="18" customWidth="1" style="170" min="3" max="3"/>
    <col width="14" customWidth="1" style="170" min="4" max="4"/>
    <col width="22.3571428571429" customWidth="1" style="170" min="6" max="6"/>
    <col width="30.7142857142857" customWidth="1" style="170" min="12" max="27"/>
    <col width="28.7142857142857" customWidth="1" style="170" min="28" max="31"/>
    <col width="11.0714285714286" customWidth="1" style="170" min="32" max="32"/>
  </cols>
  <sheetData>
    <row r="1">
      <c r="A1" s="1">
        <f>HYPERLINK("#表结构清单!A1","返回")</f>
        <v/>
      </c>
      <c r="B1" s="2" t="inlineStr">
        <is>
          <t>权证包登记簿信息</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CLR_CORE_REGISTER_PACKAGE</t>
        </is>
      </c>
      <c r="C3" s="24" t="inlineStr">
        <is>
          <t>SERIALNO</t>
        </is>
      </c>
      <c r="D3" s="24" t="inlineStr">
        <is>
          <t>VARCHAR(32)</t>
        </is>
      </c>
      <c r="E3" s="24" t="inlineStr">
        <is>
          <t>NO</t>
        </is>
      </c>
      <c r="F3" s="43" t="inlineStr">
        <is>
          <t>流水号</t>
        </is>
      </c>
      <c r="G3" s="24" t="n"/>
      <c r="H3" s="24" t="n"/>
      <c r="I3" s="24" t="n"/>
      <c r="J3" s="35" t="n">
        <v>45727</v>
      </c>
    </row>
    <row r="4">
      <c r="B4" s="24" t="inlineStr">
        <is>
          <t>CLR_CORE_REGISTER_PACKAGE</t>
        </is>
      </c>
      <c r="C4" s="24" t="inlineStr">
        <is>
          <t>PACKAGEID</t>
        </is>
      </c>
      <c r="D4" s="24" t="inlineStr">
        <is>
          <t>VARCHAR(32)</t>
        </is>
      </c>
      <c r="E4" s="24" t="inlineStr">
        <is>
          <t>NO</t>
        </is>
      </c>
      <c r="F4" s="43" t="inlineStr">
        <is>
          <t>封包编号</t>
        </is>
      </c>
      <c r="G4" s="24" t="n"/>
      <c r="H4" s="24" t="n"/>
      <c r="I4" s="24" t="n"/>
      <c r="J4" s="35" t="n">
        <v>45727</v>
      </c>
    </row>
    <row r="5">
      <c r="B5" s="24" t="inlineStr">
        <is>
          <t>CLR_CORE_REGISTER_PACKAGE</t>
        </is>
      </c>
      <c r="C5" s="24" t="inlineStr">
        <is>
          <t>CERTRIGHTNUM</t>
        </is>
      </c>
      <c r="D5" s="24" t="inlineStr">
        <is>
          <t>VARCHAR(32)</t>
        </is>
      </c>
      <c r="E5" s="24" t="inlineStr">
        <is>
          <t>YES</t>
        </is>
      </c>
      <c r="F5" s="43" t="inlineStr">
        <is>
          <t>保内权证数量</t>
        </is>
      </c>
      <c r="G5" s="24" t="n"/>
      <c r="H5" s="24" t="n"/>
      <c r="I5" s="24" t="n"/>
      <c r="J5" s="35" t="n">
        <v>45727</v>
      </c>
    </row>
    <row r="6">
      <c r="B6" s="24" t="inlineStr">
        <is>
          <t>CLR_CORE_REGISTER_PACKAGE</t>
        </is>
      </c>
      <c r="C6" s="24" t="inlineStr">
        <is>
          <t>STATUS</t>
        </is>
      </c>
      <c r="D6" s="24" t="inlineStr">
        <is>
          <t>VARCHAR(32)</t>
        </is>
      </c>
      <c r="E6" s="24" t="inlineStr">
        <is>
          <t>YES</t>
        </is>
      </c>
      <c r="F6" s="43" t="inlineStr">
        <is>
          <t>封包状态</t>
        </is>
      </c>
      <c r="G6" s="24" t="n"/>
      <c r="H6" s="43" t="inlineStr">
        <is>
          <t>0-未入库、1-已入库、2-已出库</t>
        </is>
      </c>
      <c r="I6" s="24" t="n"/>
      <c r="J6" s="35" t="n">
        <v>45727</v>
      </c>
    </row>
    <row r="7">
      <c r="B7" s="24" t="inlineStr">
        <is>
          <t>CLR_CORE_REGISTER_PACKAGE</t>
        </is>
      </c>
      <c r="C7" s="24" t="inlineStr">
        <is>
          <t>ORGNAME</t>
        </is>
      </c>
      <c r="D7" s="24" t="inlineStr">
        <is>
          <t>VARCHAR(32)</t>
        </is>
      </c>
      <c r="E7" s="24" t="inlineStr">
        <is>
          <t>YES</t>
        </is>
      </c>
      <c r="F7" s="43" t="inlineStr">
        <is>
          <t>账务机构名称</t>
        </is>
      </c>
      <c r="G7" s="24" t="n"/>
      <c r="H7" s="24" t="n"/>
      <c r="I7" s="24" t="n"/>
      <c r="J7" s="35" t="n">
        <v>45727</v>
      </c>
    </row>
    <row r="8">
      <c r="B8" s="24" t="inlineStr">
        <is>
          <t>CLR_CORE_REGISTER_PACKAGE</t>
        </is>
      </c>
      <c r="C8" s="24" t="inlineStr">
        <is>
          <t>ORGID</t>
        </is>
      </c>
      <c r="D8" s="24" t="inlineStr">
        <is>
          <t>VARCHAR(32)</t>
        </is>
      </c>
      <c r="E8" s="24" t="inlineStr">
        <is>
          <t>YES</t>
        </is>
      </c>
      <c r="F8" s="43" t="inlineStr">
        <is>
          <t>账务机构编号</t>
        </is>
      </c>
      <c r="G8" s="24" t="n"/>
      <c r="H8" s="24" t="n"/>
      <c r="I8" s="24" t="n"/>
      <c r="J8" s="35" t="n">
        <v>45727</v>
      </c>
    </row>
    <row r="9">
      <c r="B9" s="24" t="inlineStr">
        <is>
          <t>CLR_CORE_REGISTER_PACKAGE</t>
        </is>
      </c>
      <c r="C9" s="24" t="inlineStr">
        <is>
          <t>INPUTUSER</t>
        </is>
      </c>
      <c r="D9" s="24" t="inlineStr">
        <is>
          <t>varchar(32)</t>
        </is>
      </c>
      <c r="E9" s="24" t="inlineStr">
        <is>
          <t>YES</t>
        </is>
      </c>
      <c r="F9" s="24" t="inlineStr">
        <is>
          <t>登记人</t>
        </is>
      </c>
      <c r="G9" s="24" t="n"/>
      <c r="H9" s="24" t="n"/>
      <c r="I9" s="24" t="inlineStr"/>
      <c r="J9" s="35" t="n">
        <v>45727</v>
      </c>
    </row>
    <row r="10">
      <c r="B10" s="24" t="inlineStr">
        <is>
          <t>CLR_CORE_REGISTER_PACKAGE</t>
        </is>
      </c>
      <c r="C10" s="24" t="inlineStr">
        <is>
          <t>INPUTORG</t>
        </is>
      </c>
      <c r="D10" s="24" t="inlineStr">
        <is>
          <t>varchar(32)</t>
        </is>
      </c>
      <c r="E10" s="24" t="inlineStr">
        <is>
          <t>YES</t>
        </is>
      </c>
      <c r="F10" s="24" t="inlineStr">
        <is>
          <t>登记机构</t>
        </is>
      </c>
      <c r="G10" s="24" t="n"/>
      <c r="H10" s="24" t="n"/>
      <c r="I10" s="24" t="inlineStr"/>
      <c r="J10" s="35" t="n">
        <v>45727</v>
      </c>
    </row>
    <row r="11">
      <c r="B11" s="24" t="inlineStr">
        <is>
          <t>CLR_CORE_REGISTER_PACKAGE</t>
        </is>
      </c>
      <c r="C11" s="24" t="inlineStr">
        <is>
          <t>INPUTTIME</t>
        </is>
      </c>
      <c r="D11" s="24" t="inlineStr">
        <is>
          <t>datetime</t>
        </is>
      </c>
      <c r="E11" s="24" t="inlineStr">
        <is>
          <t>YES</t>
        </is>
      </c>
      <c r="F11" s="24" t="inlineStr">
        <is>
          <t>登记时间</t>
        </is>
      </c>
      <c r="G11" s="24" t="n"/>
      <c r="H11" s="24" t="n"/>
      <c r="I11" s="24" t="inlineStr"/>
      <c r="J11" s="35" t="n">
        <v>45727</v>
      </c>
    </row>
    <row r="12">
      <c r="B12" s="24" t="inlineStr">
        <is>
          <t>CLR_CORE_REGISTER_PACKAGE</t>
        </is>
      </c>
      <c r="C12" s="24" t="inlineStr">
        <is>
          <t>UPDATEUSER</t>
        </is>
      </c>
      <c r="D12" s="24" t="inlineStr">
        <is>
          <t>varchar(32)</t>
        </is>
      </c>
      <c r="E12" s="24" t="inlineStr">
        <is>
          <t>YES</t>
        </is>
      </c>
      <c r="F12" s="24" t="inlineStr">
        <is>
          <t>更新人</t>
        </is>
      </c>
      <c r="G12" s="24" t="n"/>
      <c r="H12" s="24" t="n"/>
      <c r="I12" s="24" t="inlineStr"/>
      <c r="J12" s="35" t="n">
        <v>45727</v>
      </c>
    </row>
    <row r="13">
      <c r="B13" s="24" t="inlineStr">
        <is>
          <t>CLR_CORE_REGISTER_PACKAGE</t>
        </is>
      </c>
      <c r="C13" s="24" t="inlineStr">
        <is>
          <t>UPDATETIME</t>
        </is>
      </c>
      <c r="D13" s="24" t="inlineStr">
        <is>
          <t>datetime</t>
        </is>
      </c>
      <c r="E13" s="24" t="inlineStr">
        <is>
          <t>YES</t>
        </is>
      </c>
      <c r="F13" s="24" t="inlineStr">
        <is>
          <t>更新时间</t>
        </is>
      </c>
      <c r="G13" s="24" t="n"/>
      <c r="H13" s="24" t="n"/>
      <c r="I13" s="24" t="inlineStr"/>
      <c r="J13" s="35" t="n">
        <v>45727</v>
      </c>
    </row>
    <row r="14">
      <c r="B14" s="24" t="inlineStr">
        <is>
          <t>CLR_CORE_REGISTER_PACKAGE</t>
        </is>
      </c>
      <c r="C14" s="24" t="inlineStr">
        <is>
          <t>UPDATEUSERID</t>
        </is>
      </c>
      <c r="D14" s="24" t="inlineStr">
        <is>
          <t>varchar(32)</t>
        </is>
      </c>
      <c r="E14" s="24" t="inlineStr">
        <is>
          <t>YES</t>
        </is>
      </c>
      <c r="F14" s="24" t="inlineStr">
        <is>
          <t>更新人编号</t>
        </is>
      </c>
      <c r="G14" s="24" t="n"/>
      <c r="H14" s="24" t="n"/>
      <c r="I14" s="24" t="inlineStr"/>
      <c r="J14" s="35" t="n">
        <v>45727</v>
      </c>
    </row>
    <row r="15">
      <c r="B15" s="24" t="inlineStr">
        <is>
          <t>CLR_CORE_REGISTER_PACKAGE</t>
        </is>
      </c>
      <c r="C15" s="24" t="inlineStr">
        <is>
          <t>UPDATEORGID</t>
        </is>
      </c>
      <c r="D15" s="24" t="inlineStr">
        <is>
          <t>varchar(32)</t>
        </is>
      </c>
      <c r="E15" s="24" t="inlineStr">
        <is>
          <t>YES</t>
        </is>
      </c>
      <c r="F15" s="24" t="inlineStr">
        <is>
          <t>更新机构</t>
        </is>
      </c>
      <c r="G15" s="24" t="n"/>
      <c r="H15" s="24" t="n"/>
      <c r="I15" s="24" t="inlineStr"/>
      <c r="J15" s="35" t="n">
        <v>45727</v>
      </c>
    </row>
    <row r="16">
      <c r="B16" s="24" t="inlineStr">
        <is>
          <t>CLR_CORE_REGISTER_PACKAGE</t>
        </is>
      </c>
      <c r="C16" s="109" t="inlineStr">
        <is>
          <t>INPUTORGID</t>
        </is>
      </c>
      <c r="D16" s="109" t="inlineStr">
        <is>
          <t>varchar(32)</t>
        </is>
      </c>
      <c r="E16" s="109" t="inlineStr">
        <is>
          <t>YES</t>
        </is>
      </c>
      <c r="F16" s="109" t="inlineStr">
        <is>
          <t>登记机构编号</t>
        </is>
      </c>
      <c r="G16" s="109" t="n"/>
      <c r="H16" s="109" t="n"/>
      <c r="I16" s="109" t="inlineStr"/>
      <c r="J16" s="44" t="n">
        <v>45727</v>
      </c>
    </row>
    <row r="17">
      <c r="B17" s="39" t="inlineStr">
        <is>
          <t>CLR_CORE_REGISTER_PACKAGE</t>
        </is>
      </c>
      <c r="C17" s="41" t="inlineStr">
        <is>
          <t>INPUTUSERID</t>
        </is>
      </c>
      <c r="D17" s="41" t="inlineStr">
        <is>
          <t>varchar(32)</t>
        </is>
      </c>
      <c r="E17" s="41" t="inlineStr">
        <is>
          <t>YES</t>
        </is>
      </c>
      <c r="F17" s="41" t="inlineStr">
        <is>
          <t>登记人编号</t>
        </is>
      </c>
      <c r="G17" s="41" t="n"/>
      <c r="H17" s="41" t="n"/>
      <c r="I17" s="41" t="inlineStr"/>
      <c r="J17" s="42" t="n">
        <v>45727</v>
      </c>
    </row>
    <row r="18">
      <c r="B18" s="39" t="inlineStr">
        <is>
          <t>CLR_CORE_REGISTER_PACKAGE</t>
        </is>
      </c>
      <c r="C18" s="21" t="inlineStr">
        <is>
          <t>TRADENO</t>
        </is>
      </c>
      <c r="D18" s="41" t="inlineStr">
        <is>
          <t>VARCHAR(32)</t>
        </is>
      </c>
      <c r="E18" s="21" t="inlineStr">
        <is>
          <t>YES</t>
        </is>
      </c>
      <c r="F18" s="36" t="inlineStr">
        <is>
          <t>交易流水号（核心返回）</t>
        </is>
      </c>
      <c r="G18" s="21" t="n"/>
      <c r="H18" s="21" t="n"/>
      <c r="I18" s="21" t="n"/>
      <c r="J18" s="42" t="n">
        <v>45727</v>
      </c>
    </row>
    <row r="19">
      <c r="B19" s="39" t="inlineStr">
        <is>
          <t>CLR_CORE_REGISTER_PACKAGE</t>
        </is>
      </c>
      <c r="C19" s="21" t="inlineStr">
        <is>
          <t>TRADETYPE</t>
        </is>
      </c>
      <c r="D19" s="41" t="inlineStr">
        <is>
          <t>VARCHAR(8)</t>
        </is>
      </c>
      <c r="E19" s="21" t="inlineStr">
        <is>
          <t>YES</t>
        </is>
      </c>
      <c r="F19" s="36" t="inlineStr">
        <is>
          <t>交易科目</t>
        </is>
      </c>
      <c r="G19" s="21" t="n"/>
      <c r="H19" s="36" t="inlineStr">
        <is>
          <t>入库、出库</t>
        </is>
      </c>
      <c r="I19" s="21" t="n"/>
      <c r="J19" s="42" t="n">
        <v>45727</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ColWidth="9.142857142857141" defaultRowHeight="15.2"/>
  <cols>
    <col width="25.2946428571429" customWidth="1" style="170" min="2" max="2"/>
    <col width="18" customWidth="1" style="170" min="3" max="3"/>
    <col width="14" customWidth="1" style="170" min="4" max="4"/>
    <col width="12.9464285714286" customWidth="1" style="170" min="6" max="6"/>
    <col width="30.7142857142857" customWidth="1" style="170" min="12" max="27"/>
    <col width="28.7142857142857" customWidth="1" style="170" min="28" max="31"/>
    <col width="11.0714285714286" customWidth="1" style="170" min="32" max="32"/>
  </cols>
  <sheetData>
    <row r="1">
      <c r="A1" s="1">
        <f>HYPERLINK("#表结构清单!A1","返回")</f>
        <v/>
      </c>
      <c r="B1" s="2" t="inlineStr">
        <is>
          <t>押品登记簿记录</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CLR_CORE_REGISTER_INFO</t>
        </is>
      </c>
      <c r="C3" s="24" t="inlineStr">
        <is>
          <t>SERIALNO</t>
        </is>
      </c>
      <c r="D3" s="24" t="inlineStr">
        <is>
          <t>VARCHAR(32)</t>
        </is>
      </c>
      <c r="E3" s="24" t="inlineStr">
        <is>
          <t>NO</t>
        </is>
      </c>
      <c r="F3" s="43" t="inlineStr">
        <is>
          <t>流水号</t>
        </is>
      </c>
      <c r="G3" s="24" t="n"/>
      <c r="H3" s="24" t="n"/>
      <c r="I3" s="24" t="n"/>
      <c r="J3" s="35" t="n">
        <v>45727</v>
      </c>
    </row>
    <row r="4">
      <c r="B4" s="24" t="inlineStr">
        <is>
          <t>CLR_CORE_REGISTER_INFO</t>
        </is>
      </c>
      <c r="C4" s="24" t="inlineStr">
        <is>
          <t>CLRID</t>
        </is>
      </c>
      <c r="D4" s="24" t="inlineStr">
        <is>
          <t>VARCHAR(32)</t>
        </is>
      </c>
      <c r="E4" s="24" t="inlineStr">
        <is>
          <t>NO</t>
        </is>
      </c>
      <c r="F4" s="43" t="inlineStr">
        <is>
          <t>押品编号</t>
        </is>
      </c>
      <c r="G4" s="24" t="n"/>
      <c r="H4" s="24" t="n"/>
      <c r="I4" s="24" t="n"/>
      <c r="J4" s="35" t="n">
        <v>45727</v>
      </c>
    </row>
    <row r="5">
      <c r="B5" s="24" t="inlineStr">
        <is>
          <t>CLR_CORE_REGISTER_INFO</t>
        </is>
      </c>
      <c r="C5" s="24" t="inlineStr">
        <is>
          <t>CLRNAME</t>
        </is>
      </c>
      <c r="D5" s="24" t="inlineStr">
        <is>
          <t>VARCHAR(32)</t>
        </is>
      </c>
      <c r="E5" s="24" t="inlineStr">
        <is>
          <t>YES</t>
        </is>
      </c>
      <c r="F5" s="43" t="inlineStr">
        <is>
          <t>押品名称</t>
        </is>
      </c>
      <c r="G5" s="24" t="n"/>
      <c r="H5" s="24" t="n"/>
      <c r="I5" s="24" t="n"/>
      <c r="J5" s="35" t="n">
        <v>45727</v>
      </c>
    </row>
    <row r="6">
      <c r="B6" s="24" t="inlineStr">
        <is>
          <t>CLR_CORE_REGISTER_INFO</t>
        </is>
      </c>
      <c r="C6" s="24" t="inlineStr">
        <is>
          <t>CLRTYPEID</t>
        </is>
      </c>
      <c r="D6" s="24" t="inlineStr">
        <is>
          <t>VARCHAR(32)</t>
        </is>
      </c>
      <c r="E6" s="24" t="inlineStr">
        <is>
          <t>YES</t>
        </is>
      </c>
      <c r="F6" s="43" t="inlineStr">
        <is>
          <t>押品类型</t>
        </is>
      </c>
      <c r="G6" s="24" t="n"/>
      <c r="H6" s="43" t="inlineStr">
        <is>
          <t>押品分类表</t>
        </is>
      </c>
      <c r="I6" s="24" t="n"/>
      <c r="J6" s="35" t="n">
        <v>45727</v>
      </c>
    </row>
    <row r="7">
      <c r="B7" s="24" t="inlineStr">
        <is>
          <t>CLR_CORE_REGISTER_INFO</t>
        </is>
      </c>
      <c r="C7" s="24" t="inlineStr">
        <is>
          <t>VOUCHTYPE</t>
        </is>
      </c>
      <c r="D7" s="24" t="inlineStr">
        <is>
          <t>VARCHAR(32)</t>
        </is>
      </c>
      <c r="E7" s="24" t="inlineStr">
        <is>
          <t>YES</t>
        </is>
      </c>
      <c r="F7" s="43" t="inlineStr">
        <is>
          <t>担保方式</t>
        </is>
      </c>
      <c r="G7" s="24" t="inlineStr">
        <is>
          <t>VouchType</t>
        </is>
      </c>
      <c r="H7" s="43" t="inlineStr">
        <is>
          <t>03-抵押、04-质押</t>
        </is>
      </c>
      <c r="I7" s="24" t="n"/>
      <c r="J7" s="35" t="n"/>
    </row>
    <row r="8">
      <c r="B8" s="24" t="inlineStr">
        <is>
          <t>CLR_CORE_REGISTER_INFO</t>
        </is>
      </c>
      <c r="C8" s="24" t="inlineStr">
        <is>
          <t>INOUTWHTYPE</t>
        </is>
      </c>
      <c r="D8" s="24" t="inlineStr">
        <is>
          <t>VARCHAR(9)</t>
        </is>
      </c>
      <c r="E8" s="24" t="inlineStr">
        <is>
          <t>YES</t>
        </is>
      </c>
      <c r="F8" s="43" t="inlineStr">
        <is>
          <t>申请类型</t>
        </is>
      </c>
      <c r="G8" s="24" t="inlineStr">
        <is>
          <t>InOutWHType</t>
        </is>
      </c>
      <c r="H8" s="43" t="inlineStr">
        <is>
          <t>02-出库、01-入库</t>
        </is>
      </c>
      <c r="I8" s="24" t="n"/>
      <c r="J8" s="35" t="n"/>
    </row>
    <row r="9">
      <c r="B9" s="24" t="inlineStr">
        <is>
          <t>CLR_CORE_REGISTER_INFO</t>
        </is>
      </c>
      <c r="C9" s="24" t="inlineStr">
        <is>
          <t>APPLYDATE</t>
        </is>
      </c>
      <c r="D9" s="24" t="inlineStr">
        <is>
          <t>VARCHAR(24)</t>
        </is>
      </c>
      <c r="E9" s="24" t="inlineStr">
        <is>
          <t>YES</t>
        </is>
      </c>
      <c r="F9" s="43" t="inlineStr">
        <is>
          <t>申请日期</t>
        </is>
      </c>
      <c r="G9" s="24" t="n"/>
      <c r="H9" s="43" t="n"/>
      <c r="I9" s="24" t="n"/>
      <c r="J9" s="35" t="n"/>
    </row>
    <row r="10">
      <c r="B10" s="24" t="inlineStr">
        <is>
          <t>CLR_CORE_REGISTER_INFO</t>
        </is>
      </c>
      <c r="C10" s="24" t="inlineStr">
        <is>
          <t>AMOUNT</t>
        </is>
      </c>
      <c r="D10" s="24" t="inlineStr">
        <is>
          <t>decimal(24,6)</t>
        </is>
      </c>
      <c r="E10" s="24" t="inlineStr">
        <is>
          <t>YES</t>
        </is>
      </c>
      <c r="F10" s="43" t="inlineStr">
        <is>
          <t>记账金额</t>
        </is>
      </c>
      <c r="G10" s="24" t="n"/>
      <c r="H10" s="43" t="n"/>
      <c r="I10" s="24" t="n"/>
      <c r="J10" s="35" t="n"/>
    </row>
    <row r="11">
      <c r="B11" s="24" t="inlineStr">
        <is>
          <t>CLR_CORE_REGISTER_INFO</t>
        </is>
      </c>
      <c r="C11" s="24" t="inlineStr">
        <is>
          <t>STATUS</t>
        </is>
      </c>
      <c r="D11" s="24" t="inlineStr">
        <is>
          <t>VARCHAR(24)</t>
        </is>
      </c>
      <c r="E11" s="24" t="inlineStr">
        <is>
          <t>YES</t>
        </is>
      </c>
      <c r="F11" s="43" t="inlineStr">
        <is>
          <t>记账状态</t>
        </is>
      </c>
      <c r="G11" s="37" t="n"/>
      <c r="H11" s="38" t="inlineStr">
        <is>
          <t>01-未记账、02-已记账、03-已销账</t>
        </is>
      </c>
      <c r="I11" s="24" t="n"/>
      <c r="J11" s="35" t="n"/>
    </row>
    <row r="12">
      <c r="B12" s="24" t="inlineStr">
        <is>
          <t>CLR_CORE_REGISTER_INFO</t>
        </is>
      </c>
      <c r="C12" s="24" t="inlineStr">
        <is>
          <t>SAVETYPE</t>
        </is>
      </c>
      <c r="D12" s="24" t="inlineStr">
        <is>
          <t>VARCHAR(24)</t>
        </is>
      </c>
      <c r="E12" s="24" t="inlineStr">
        <is>
          <t>YES</t>
        </is>
      </c>
      <c r="F12" s="43" t="inlineStr">
        <is>
          <t>押品介质</t>
        </is>
      </c>
      <c r="G12" s="37" t="n"/>
      <c r="H12" s="38" t="inlineStr">
        <is>
          <t>01-实物权证、02-电子权证</t>
        </is>
      </c>
      <c r="I12" s="24" t="n"/>
      <c r="J12" s="35" t="n"/>
    </row>
    <row r="13">
      <c r="B13" s="24" t="inlineStr">
        <is>
          <t>CLR_CORE_REGISTER_INFO</t>
        </is>
      </c>
      <c r="C13" s="24" t="inlineStr">
        <is>
          <t>ORGNAME</t>
        </is>
      </c>
      <c r="D13" s="24" t="inlineStr">
        <is>
          <t>VARCHAR(32)</t>
        </is>
      </c>
      <c r="E13" s="24" t="inlineStr">
        <is>
          <t>YES</t>
        </is>
      </c>
      <c r="F13" s="43" t="inlineStr">
        <is>
          <t>机构名称</t>
        </is>
      </c>
      <c r="G13" s="24" t="n"/>
      <c r="H13" s="24" t="n"/>
      <c r="I13" s="24" t="n"/>
      <c r="J13" s="35" t="n">
        <v>45727</v>
      </c>
    </row>
    <row r="14">
      <c r="B14" s="24" t="inlineStr">
        <is>
          <t>CLR_CORE_REGISTER_INFO</t>
        </is>
      </c>
      <c r="C14" s="24" t="inlineStr">
        <is>
          <t>ORGID</t>
        </is>
      </c>
      <c r="D14" s="24" t="inlineStr">
        <is>
          <t>VARCHAR(32)</t>
        </is>
      </c>
      <c r="E14" s="24" t="inlineStr">
        <is>
          <t>YES</t>
        </is>
      </c>
      <c r="F14" s="43" t="inlineStr">
        <is>
          <t>机构编号</t>
        </is>
      </c>
      <c r="G14" s="24" t="n"/>
      <c r="H14" s="24" t="n"/>
      <c r="I14" s="24" t="n"/>
      <c r="J14" s="35" t="n">
        <v>45727</v>
      </c>
    </row>
    <row r="15">
      <c r="B15" s="24" t="inlineStr">
        <is>
          <t>CLR_CORE_REGISTER_INFO</t>
        </is>
      </c>
      <c r="C15" s="24" t="inlineStr">
        <is>
          <t>INPUTUSER</t>
        </is>
      </c>
      <c r="D15" s="24" t="inlineStr">
        <is>
          <t>varchar(32)</t>
        </is>
      </c>
      <c r="E15" s="24" t="inlineStr">
        <is>
          <t>YES</t>
        </is>
      </c>
      <c r="F15" s="24" t="inlineStr">
        <is>
          <t>登记人</t>
        </is>
      </c>
      <c r="G15" s="24" t="n"/>
      <c r="H15" s="24" t="n"/>
      <c r="I15" s="24" t="inlineStr"/>
      <c r="J15" s="35" t="n">
        <v>45727</v>
      </c>
    </row>
    <row r="16">
      <c r="B16" s="24" t="inlineStr">
        <is>
          <t>CLR_CORE_REGISTER_INFO</t>
        </is>
      </c>
      <c r="C16" s="24" t="inlineStr">
        <is>
          <t>INPUTORG</t>
        </is>
      </c>
      <c r="D16" s="24" t="inlineStr">
        <is>
          <t>varchar(32)</t>
        </is>
      </c>
      <c r="E16" s="24" t="inlineStr">
        <is>
          <t>YES</t>
        </is>
      </c>
      <c r="F16" s="24" t="inlineStr">
        <is>
          <t>登记机构</t>
        </is>
      </c>
      <c r="G16" s="24" t="n"/>
      <c r="H16" s="24" t="n"/>
      <c r="I16" s="24" t="inlineStr"/>
      <c r="J16" s="35" t="n">
        <v>45727</v>
      </c>
    </row>
    <row r="17">
      <c r="B17" s="24" t="inlineStr">
        <is>
          <t>CLR_CORE_REGISTER_INFO</t>
        </is>
      </c>
      <c r="C17" s="24" t="inlineStr">
        <is>
          <t>INPUTTIME</t>
        </is>
      </c>
      <c r="D17" s="24" t="inlineStr">
        <is>
          <t>datetime</t>
        </is>
      </c>
      <c r="E17" s="24" t="inlineStr">
        <is>
          <t>YES</t>
        </is>
      </c>
      <c r="F17" s="24" t="inlineStr">
        <is>
          <t>登记时间</t>
        </is>
      </c>
      <c r="G17" s="24" t="n"/>
      <c r="H17" s="24" t="n"/>
      <c r="I17" s="24" t="inlineStr"/>
      <c r="J17" s="35" t="n">
        <v>45727</v>
      </c>
    </row>
    <row r="18">
      <c r="B18" s="24" t="inlineStr">
        <is>
          <t>CLR_CORE_REGISTER_INFO</t>
        </is>
      </c>
      <c r="C18" s="24" t="inlineStr">
        <is>
          <t>UPDATEUSER</t>
        </is>
      </c>
      <c r="D18" s="24" t="inlineStr">
        <is>
          <t>varchar(32)</t>
        </is>
      </c>
      <c r="E18" s="24" t="inlineStr">
        <is>
          <t>YES</t>
        </is>
      </c>
      <c r="F18" s="24" t="inlineStr">
        <is>
          <t>更新人</t>
        </is>
      </c>
      <c r="G18" s="24" t="n"/>
      <c r="H18" s="24" t="n"/>
      <c r="I18" s="24" t="inlineStr"/>
      <c r="J18" s="35" t="n">
        <v>45727</v>
      </c>
    </row>
    <row r="19">
      <c r="B19" s="24" t="inlineStr">
        <is>
          <t>CLR_CORE_REGISTER_INFO</t>
        </is>
      </c>
      <c r="C19" s="24" t="inlineStr">
        <is>
          <t>UPDATETIME</t>
        </is>
      </c>
      <c r="D19" s="24" t="inlineStr">
        <is>
          <t>datetime</t>
        </is>
      </c>
      <c r="E19" s="24" t="inlineStr">
        <is>
          <t>YES</t>
        </is>
      </c>
      <c r="F19" s="24" t="inlineStr">
        <is>
          <t>更新时间</t>
        </is>
      </c>
      <c r="G19" s="24" t="n"/>
      <c r="H19" s="24" t="n"/>
      <c r="I19" s="24" t="inlineStr"/>
      <c r="J19" s="35" t="n">
        <v>45727</v>
      </c>
    </row>
    <row r="20">
      <c r="B20" s="24" t="inlineStr">
        <is>
          <t>CLR_CORE_REGISTER_INFO</t>
        </is>
      </c>
      <c r="C20" s="24" t="inlineStr">
        <is>
          <t>UPDATEUSERID</t>
        </is>
      </c>
      <c r="D20" s="24" t="inlineStr">
        <is>
          <t>varchar(32)</t>
        </is>
      </c>
      <c r="E20" s="24" t="inlineStr">
        <is>
          <t>YES</t>
        </is>
      </c>
      <c r="F20" s="24" t="inlineStr">
        <is>
          <t>更新人编号</t>
        </is>
      </c>
      <c r="G20" s="24" t="n"/>
      <c r="H20" s="24" t="n"/>
      <c r="I20" s="24" t="inlineStr"/>
      <c r="J20" s="35" t="n">
        <v>45727</v>
      </c>
    </row>
    <row r="21">
      <c r="B21" s="24" t="inlineStr">
        <is>
          <t>CLR_CORE_REGISTER_INFO</t>
        </is>
      </c>
      <c r="C21" s="24" t="inlineStr">
        <is>
          <t>UPDATEORGID</t>
        </is>
      </c>
      <c r="D21" s="24" t="inlineStr">
        <is>
          <t>varchar(32)</t>
        </is>
      </c>
      <c r="E21" s="24" t="inlineStr">
        <is>
          <t>YES</t>
        </is>
      </c>
      <c r="F21" s="24" t="inlineStr">
        <is>
          <t>更新机构</t>
        </is>
      </c>
      <c r="G21" s="24" t="n"/>
      <c r="H21" s="24" t="n"/>
      <c r="I21" s="24" t="inlineStr"/>
      <c r="J21" s="35" t="n">
        <v>45727</v>
      </c>
    </row>
    <row r="22">
      <c r="B22" s="24" t="inlineStr">
        <is>
          <t>CLR_CORE_REGISTER_INFO</t>
        </is>
      </c>
      <c r="C22" s="24" t="inlineStr">
        <is>
          <t>INPUTORGID</t>
        </is>
      </c>
      <c r="D22" s="24" t="inlineStr">
        <is>
          <t>varchar(32)</t>
        </is>
      </c>
      <c r="E22" s="24" t="inlineStr">
        <is>
          <t>YES</t>
        </is>
      </c>
      <c r="F22" s="24" t="inlineStr">
        <is>
          <t>登记机构编号</t>
        </is>
      </c>
      <c r="G22" s="24" t="n"/>
      <c r="H22" s="24" t="n"/>
      <c r="I22" s="24" t="inlineStr"/>
      <c r="J22" s="35" t="n">
        <v>45727</v>
      </c>
    </row>
    <row r="23">
      <c r="B23" s="24" t="inlineStr">
        <is>
          <t>CLR_CORE_REGISTER_INFO</t>
        </is>
      </c>
      <c r="C23" s="24" t="inlineStr">
        <is>
          <t>INPUTUSERID</t>
        </is>
      </c>
      <c r="D23" s="24" t="inlineStr">
        <is>
          <t>varchar(32)</t>
        </is>
      </c>
      <c r="E23" s="24" t="inlineStr">
        <is>
          <t>YES</t>
        </is>
      </c>
      <c r="F23" s="24" t="inlineStr">
        <is>
          <t>登记人编号</t>
        </is>
      </c>
      <c r="G23" s="24" t="n"/>
      <c r="H23" s="24" t="n"/>
      <c r="I23" s="24" t="inlineStr"/>
      <c r="J23" s="35" t="n">
        <v>45727</v>
      </c>
    </row>
    <row r="24">
      <c r="B24" s="24" t="inlineStr">
        <is>
          <t>CLR_CORE_REGISTER_INFO</t>
        </is>
      </c>
      <c r="C24" s="21" t="inlineStr">
        <is>
          <t>TRADENO</t>
        </is>
      </c>
      <c r="D24" s="41" t="inlineStr">
        <is>
          <t>VARCHAR(32)</t>
        </is>
      </c>
      <c r="E24" s="21" t="inlineStr">
        <is>
          <t>YES</t>
        </is>
      </c>
      <c r="F24" s="36" t="inlineStr">
        <is>
          <t>交易流水号（核心返回）</t>
        </is>
      </c>
      <c r="G24" s="21" t="n"/>
      <c r="H24" s="21" t="n"/>
      <c r="I24" s="21" t="n"/>
      <c r="J24" s="42" t="n">
        <v>45727</v>
      </c>
    </row>
    <row r="25">
      <c r="B25" s="24" t="inlineStr">
        <is>
          <t>CLR_CORE_REGISTER_INFO</t>
        </is>
      </c>
      <c r="C25" s="21" t="inlineStr">
        <is>
          <t>TRADETYPE</t>
        </is>
      </c>
      <c r="D25" s="41" t="inlineStr">
        <is>
          <t>VARCHAR(8)</t>
        </is>
      </c>
      <c r="E25" s="21" t="inlineStr">
        <is>
          <t>YES</t>
        </is>
      </c>
      <c r="F25" s="36" t="inlineStr">
        <is>
          <t>交易科目</t>
        </is>
      </c>
      <c r="G25" s="21" t="n"/>
      <c r="H25" s="36" t="inlineStr">
        <is>
          <t>入库、出库</t>
        </is>
      </c>
      <c r="I25" s="21" t="n"/>
      <c r="J25" s="42" t="n">
        <v>45727</v>
      </c>
    </row>
    <row r="26">
      <c r="D26" s="41" t="n"/>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J19"/>
  <sheetViews>
    <sheetView workbookViewId="0">
      <selection activeCell="K40" sqref="K40"/>
    </sheetView>
  </sheetViews>
  <sheetFormatPr baseColWidth="8" defaultColWidth="9.142857142857141" defaultRowHeight="15.2"/>
  <cols>
    <col width="25.2946428571429" customWidth="1" style="170" min="2" max="2"/>
    <col width="21.7142857142857" customWidth="1" style="170" min="3" max="3"/>
    <col width="18.7857142857143" customWidth="1" style="170" min="4" max="4"/>
    <col width="28.0714285714286" customWidth="1" style="170" min="6" max="6"/>
    <col width="21.7142857142857" customWidth="1" style="170" min="11" max="11"/>
    <col width="30.7142857142857" customWidth="1" style="170" min="12" max="27"/>
    <col width="28.7142857142857" customWidth="1" style="170" min="28" max="31"/>
    <col width="11.0714285714286" customWidth="1" style="170" min="32" max="32"/>
  </cols>
  <sheetData>
    <row r="1">
      <c r="A1" s="1">
        <f>HYPERLINK("#表结构清单!A1","返回")</f>
        <v/>
      </c>
      <c r="B1" s="2" t="inlineStr">
        <is>
          <t>风险缓释明细</t>
        </is>
      </c>
    </row>
    <row r="2">
      <c r="B2" s="3" t="inlineStr">
        <is>
          <t>表名</t>
        </is>
      </c>
      <c r="C2" s="3" t="inlineStr">
        <is>
          <t>列名</t>
        </is>
      </c>
      <c r="D2" s="3" t="inlineStr">
        <is>
          <t>字段类型</t>
        </is>
      </c>
      <c r="E2" s="3" t="inlineStr">
        <is>
          <t>是否为空</t>
        </is>
      </c>
      <c r="F2" s="3" t="inlineStr">
        <is>
          <t>字段注释</t>
        </is>
      </c>
      <c r="G2" s="3" t="inlineStr">
        <is>
          <t>码值</t>
        </is>
      </c>
      <c r="H2" s="3" t="inlineStr">
        <is>
          <t>备注</t>
        </is>
      </c>
      <c r="I2" s="3" t="inlineStr">
        <is>
          <t>修订人</t>
        </is>
      </c>
      <c r="J2" s="3" t="inlineStr">
        <is>
          <t>修订日期</t>
        </is>
      </c>
    </row>
    <row r="3">
      <c r="B3" s="41" t="inlineStr">
        <is>
          <t>CLR_CORE_REGISTER_INFO</t>
        </is>
      </c>
      <c r="C3" s="41" t="inlineStr">
        <is>
          <t>CONTRACTNO</t>
        </is>
      </c>
      <c r="D3" s="41" t="inlineStr">
        <is>
          <t>VARCHAR（40）</t>
        </is>
      </c>
      <c r="E3" s="41" t="inlineStr">
        <is>
          <t>YES</t>
        </is>
      </c>
      <c r="F3" s="41" t="inlineStr">
        <is>
          <t>业务合同编号</t>
        </is>
      </c>
      <c r="G3" s="41" t="n"/>
      <c r="H3" s="41" t="n"/>
      <c r="I3" s="41" t="n"/>
      <c r="J3" s="42" t="n">
        <v>45727</v>
      </c>
    </row>
    <row r="4">
      <c r="B4" s="41" t="inlineStr">
        <is>
          <t>CLR_CORE_REGISTER_INFO</t>
        </is>
      </c>
      <c r="C4" s="41" t="inlineStr">
        <is>
          <t>ASSIGNEDGNTVALUE</t>
        </is>
      </c>
      <c r="D4" s="41" t="inlineStr">
        <is>
          <t>DECIMAL（24,6）</t>
        </is>
      </c>
      <c r="E4" s="41" t="inlineStr">
        <is>
          <t>YES</t>
        </is>
      </c>
      <c r="F4" s="41" t="inlineStr">
        <is>
          <t>分配给业务的有效担保价值（元）</t>
        </is>
      </c>
      <c r="G4" s="41" t="inlineStr">
        <is>
          <t>缓释分配结果</t>
        </is>
      </c>
      <c r="H4" s="41" t="n"/>
      <c r="I4" s="41" t="n"/>
      <c r="J4" s="42" t="n">
        <v>45727</v>
      </c>
    </row>
    <row r="5" ht="17" customHeight="1" s="170">
      <c r="B5" s="41" t="inlineStr">
        <is>
          <t>CLR_CORE_REGISTER_INFO</t>
        </is>
      </c>
      <c r="C5" s="41" t="inlineStr">
        <is>
          <t>SUFFIVALUERATIO</t>
        </is>
      </c>
      <c r="D5" s="41" t="inlineStr">
        <is>
          <t>VARCHAR（40）</t>
        </is>
      </c>
      <c r="E5" s="41" t="inlineStr">
        <is>
          <t>YES</t>
        </is>
      </c>
      <c r="F5" s="41" t="inlineStr">
        <is>
          <t>足值率（%）</t>
        </is>
      </c>
      <c r="G5" s="41" t="inlineStr">
        <is>
          <t>缓释分配结果</t>
        </is>
      </c>
      <c r="H5" s="41" t="n"/>
      <c r="I5" s="41" t="n"/>
      <c r="J5" s="42" t="n">
        <v>45727</v>
      </c>
    </row>
    <row r="6">
      <c r="B6" s="41" t="inlineStr">
        <is>
          <t>CLR_CORE_REGISTER_INFO</t>
        </is>
      </c>
      <c r="C6" s="41" t="inlineStr">
        <is>
          <t>ISSUFFI</t>
        </is>
      </c>
      <c r="D6" s="41" t="inlineStr">
        <is>
          <t>VARCHAR（10）</t>
        </is>
      </c>
      <c r="E6" s="41" t="inlineStr">
        <is>
          <t>YES</t>
        </is>
      </c>
      <c r="F6" s="41" t="inlineStr">
        <is>
          <t>是否足值</t>
        </is>
      </c>
      <c r="G6" s="41" t="inlineStr">
        <is>
          <t>缓释分配结果</t>
        </is>
      </c>
      <c r="H6" s="41" t="n"/>
      <c r="I6" s="41" t="n"/>
      <c r="J6" s="42" t="n">
        <v>45727</v>
      </c>
    </row>
    <row r="7">
      <c r="B7" s="41" t="inlineStr">
        <is>
          <t>CLR_CORE_REGISTER_INFO</t>
        </is>
      </c>
      <c r="C7" s="41" t="inlineStr">
        <is>
          <t>CLRID</t>
        </is>
      </c>
      <c r="D7" s="41" t="inlineStr">
        <is>
          <t>VARCHAR（40）</t>
        </is>
      </c>
      <c r="E7" s="41" t="inlineStr">
        <is>
          <t>YES</t>
        </is>
      </c>
      <c r="F7" s="41" t="inlineStr">
        <is>
          <t>押品编号</t>
        </is>
      </c>
      <c r="G7" s="41" t="n"/>
      <c r="H7" s="41" t="n"/>
      <c r="I7" s="41" t="n"/>
      <c r="J7" s="42" t="n">
        <v>45727</v>
      </c>
    </row>
    <row r="8">
      <c r="B8" s="41" t="inlineStr">
        <is>
          <t>CLR_CORE_REGISTER_INFO</t>
        </is>
      </c>
      <c r="C8" s="41" t="inlineStr">
        <is>
          <t>ASSIGNEDBALANCE</t>
        </is>
      </c>
      <c r="D8" s="41" t="inlineStr">
        <is>
          <t>DECIMAL（24,6）</t>
        </is>
      </c>
      <c r="E8" s="41" t="inlineStr">
        <is>
          <t>YES</t>
        </is>
      </c>
      <c r="F8" s="41" t="inlineStr">
        <is>
          <t>分配给押品的业务金额</t>
        </is>
      </c>
      <c r="G8" s="41" t="n"/>
      <c r="H8" s="41" t="n"/>
      <c r="I8" s="41" t="n"/>
      <c r="J8" s="42" t="n">
        <v>45727</v>
      </c>
    </row>
    <row r="9" ht="17" customHeight="1" s="170">
      <c r="B9" s="41" t="inlineStr">
        <is>
          <t>CLR_CORE_REGISTER_INFO</t>
        </is>
      </c>
      <c r="C9" s="41" t="inlineStr">
        <is>
          <t>COLLATERALRATIO</t>
        </is>
      </c>
      <c r="D9" s="41" t="inlineStr">
        <is>
          <t>VARCHAR（10）</t>
        </is>
      </c>
      <c r="E9" s="41" t="inlineStr">
        <is>
          <t>YES</t>
        </is>
      </c>
      <c r="F9" s="41" t="inlineStr">
        <is>
          <t>价值分配率（%）</t>
        </is>
      </c>
      <c r="G9" s="41" t="n"/>
      <c r="H9" s="41" t="n"/>
      <c r="I9" s="41" t="n"/>
      <c r="J9" s="42" t="n">
        <v>45727</v>
      </c>
    </row>
    <row r="10">
      <c r="B10" s="41" t="inlineStr">
        <is>
          <t>CLR_CORE_REGISTER_INFO</t>
        </is>
      </c>
      <c r="C10" s="41" t="inlineStr">
        <is>
          <t>MITIGATIONMONTH</t>
        </is>
      </c>
      <c r="D10" s="41" t="inlineStr">
        <is>
          <t>VARCHAR(12)</t>
        </is>
      </c>
      <c r="E10" s="41" t="inlineStr">
        <is>
          <t>YES</t>
        </is>
      </c>
      <c r="F10" s="40" t="inlineStr">
        <is>
          <t>价值分配时间</t>
        </is>
      </c>
      <c r="G10" s="41" t="n"/>
      <c r="H10" s="41" t="inlineStr">
        <is>
          <t>YYYY/MM</t>
        </is>
      </c>
      <c r="I10" s="41" t="n"/>
      <c r="J10" s="42" t="n">
        <v>45727</v>
      </c>
    </row>
    <row r="11">
      <c r="B11" s="41" t="inlineStr">
        <is>
          <t>CLR_CORE_REGISTER_INFO</t>
        </is>
      </c>
      <c r="C11" s="41" t="inlineStr">
        <is>
          <t>INPUTUSER</t>
        </is>
      </c>
      <c r="D11" s="41" t="inlineStr">
        <is>
          <t>varchar(32)</t>
        </is>
      </c>
      <c r="E11" s="41" t="inlineStr">
        <is>
          <t>YES</t>
        </is>
      </c>
      <c r="F11" s="41" t="inlineStr">
        <is>
          <t>登记人</t>
        </is>
      </c>
      <c r="G11" s="41" t="n"/>
      <c r="H11" s="41" t="n"/>
      <c r="I11" s="41" t="inlineStr"/>
      <c r="J11" s="42" t="n">
        <v>45727</v>
      </c>
    </row>
    <row r="12">
      <c r="B12" s="41" t="inlineStr">
        <is>
          <t>CLR_CORE_REGISTER_INFO</t>
        </is>
      </c>
      <c r="C12" s="41" t="inlineStr">
        <is>
          <t>INPUTORG</t>
        </is>
      </c>
      <c r="D12" s="41" t="inlineStr">
        <is>
          <t>varchar(32)</t>
        </is>
      </c>
      <c r="E12" s="41" t="inlineStr">
        <is>
          <t>YES</t>
        </is>
      </c>
      <c r="F12" s="41" t="inlineStr">
        <is>
          <t>登记机构</t>
        </is>
      </c>
      <c r="G12" s="41" t="n"/>
      <c r="H12" s="41" t="n"/>
      <c r="I12" s="41" t="inlineStr"/>
      <c r="J12" s="42" t="n">
        <v>45727</v>
      </c>
    </row>
    <row r="13">
      <c r="B13" s="41" t="inlineStr">
        <is>
          <t>CLR_CORE_REGISTER_INFO</t>
        </is>
      </c>
      <c r="C13" s="41" t="inlineStr">
        <is>
          <t>INPUTTIME</t>
        </is>
      </c>
      <c r="D13" s="41" t="inlineStr">
        <is>
          <t>datetime</t>
        </is>
      </c>
      <c r="E13" s="41" t="inlineStr">
        <is>
          <t>YES</t>
        </is>
      </c>
      <c r="F13" s="41" t="inlineStr">
        <is>
          <t>登记时间</t>
        </is>
      </c>
      <c r="G13" s="41" t="n"/>
      <c r="H13" s="41" t="n"/>
      <c r="I13" s="41" t="inlineStr"/>
      <c r="J13" s="42" t="n">
        <v>45727</v>
      </c>
    </row>
    <row r="14">
      <c r="B14" s="41" t="inlineStr">
        <is>
          <t>CLR_CORE_REGISTER_INFO</t>
        </is>
      </c>
      <c r="C14" s="41" t="inlineStr">
        <is>
          <t>UPDATEUSER</t>
        </is>
      </c>
      <c r="D14" s="41" t="inlineStr">
        <is>
          <t>varchar(32)</t>
        </is>
      </c>
      <c r="E14" s="41" t="inlineStr">
        <is>
          <t>YES</t>
        </is>
      </c>
      <c r="F14" s="41" t="inlineStr">
        <is>
          <t>更新人</t>
        </is>
      </c>
      <c r="G14" s="41" t="n"/>
      <c r="H14" s="41" t="n"/>
      <c r="I14" s="41" t="inlineStr"/>
      <c r="J14" s="42" t="n">
        <v>45727</v>
      </c>
    </row>
    <row r="15">
      <c r="B15" s="41" t="inlineStr">
        <is>
          <t>CLR_CORE_REGISTER_INFO</t>
        </is>
      </c>
      <c r="C15" s="41" t="inlineStr">
        <is>
          <t>UPDATETIME</t>
        </is>
      </c>
      <c r="D15" s="41" t="inlineStr">
        <is>
          <t>datetime</t>
        </is>
      </c>
      <c r="E15" s="41" t="inlineStr">
        <is>
          <t>YES</t>
        </is>
      </c>
      <c r="F15" s="41" t="inlineStr">
        <is>
          <t>更新时间</t>
        </is>
      </c>
      <c r="G15" s="41" t="n"/>
      <c r="H15" s="41" t="n"/>
      <c r="I15" s="41" t="inlineStr"/>
      <c r="J15" s="42" t="n">
        <v>45727</v>
      </c>
    </row>
    <row r="16">
      <c r="B16" s="41" t="inlineStr">
        <is>
          <t>CLR_CORE_REGISTER_INFO</t>
        </is>
      </c>
      <c r="C16" s="41" t="inlineStr">
        <is>
          <t>UPDATEUSERID</t>
        </is>
      </c>
      <c r="D16" s="41" t="inlineStr">
        <is>
          <t>varchar(32)</t>
        </is>
      </c>
      <c r="E16" s="41" t="inlineStr">
        <is>
          <t>YES</t>
        </is>
      </c>
      <c r="F16" s="41" t="inlineStr">
        <is>
          <t>更新人编号</t>
        </is>
      </c>
      <c r="G16" s="41" t="n"/>
      <c r="H16" s="41" t="n"/>
      <c r="I16" s="41" t="inlineStr"/>
      <c r="J16" s="42" t="n">
        <v>45727</v>
      </c>
    </row>
    <row r="17">
      <c r="B17" s="41" t="inlineStr">
        <is>
          <t>CLR_CORE_REGISTER_INFO</t>
        </is>
      </c>
      <c r="C17" s="41" t="inlineStr">
        <is>
          <t>UPDATEORGID</t>
        </is>
      </c>
      <c r="D17" s="41" t="inlineStr">
        <is>
          <t>varchar(32)</t>
        </is>
      </c>
      <c r="E17" s="41" t="inlineStr">
        <is>
          <t>YES</t>
        </is>
      </c>
      <c r="F17" s="41" t="inlineStr">
        <is>
          <t>更新机构</t>
        </is>
      </c>
      <c r="G17" s="41" t="n"/>
      <c r="H17" s="41" t="n"/>
      <c r="I17" s="41" t="inlineStr"/>
      <c r="J17" s="42" t="n">
        <v>45727</v>
      </c>
    </row>
    <row r="18">
      <c r="B18" s="41" t="inlineStr">
        <is>
          <t>CLR_CORE_REGISTER_INFO</t>
        </is>
      </c>
      <c r="C18" s="41" t="inlineStr">
        <is>
          <t>INPUTORGID</t>
        </is>
      </c>
      <c r="D18" s="41" t="inlineStr">
        <is>
          <t>varchar(32)</t>
        </is>
      </c>
      <c r="E18" s="41" t="inlineStr">
        <is>
          <t>YES</t>
        </is>
      </c>
      <c r="F18" s="41" t="inlineStr">
        <is>
          <t>登记机构编号</t>
        </is>
      </c>
      <c r="G18" s="41" t="n"/>
      <c r="H18" s="41" t="n"/>
      <c r="I18" s="41" t="inlineStr"/>
      <c r="J18" s="42" t="n">
        <v>45727</v>
      </c>
    </row>
    <row r="19">
      <c r="B19" s="41" t="inlineStr">
        <is>
          <t>CLR_CORE_REGISTER_INFO</t>
        </is>
      </c>
      <c r="C19" s="41" t="inlineStr">
        <is>
          <t>INPUTUSERID</t>
        </is>
      </c>
      <c r="D19" s="41" t="inlineStr">
        <is>
          <t>varchar(32)</t>
        </is>
      </c>
      <c r="E19" s="41" t="inlineStr">
        <is>
          <t>YES</t>
        </is>
      </c>
      <c r="F19" s="41" t="inlineStr">
        <is>
          <t>登记人编号</t>
        </is>
      </c>
      <c r="G19" s="41" t="n"/>
      <c r="H19" s="41" t="n"/>
      <c r="I19" s="41" t="inlineStr"/>
      <c r="J19" s="42" t="n">
        <v>45727</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ColWidth="9.142857142857141" defaultRowHeight="15.2"/>
  <cols>
    <col width="19.9375" customWidth="1" style="170" min="2" max="2"/>
    <col width="18" customWidth="1" style="170" min="3" max="3"/>
    <col width="14" customWidth="1" style="170" min="4" max="4"/>
    <col width="34.0714285714286" customWidth="1" style="170" min="6" max="6"/>
    <col width="16.2232142857143" customWidth="1" style="170" min="10" max="10"/>
    <col width="20.8214285714286" customWidth="1" style="170" min="11" max="13"/>
    <col width="30.7142857142857" customWidth="1" style="170" min="14" max="28"/>
    <col width="28.7142857142857" customWidth="1" style="170" min="29" max="32"/>
    <col width="11.0714285714286" customWidth="1" style="170" min="33" max="33"/>
  </cols>
  <sheetData>
    <row r="1">
      <c r="A1" s="1">
        <f>HYPERLINK("#表结构清单!A1","返回")</f>
        <v/>
      </c>
      <c r="B1" s="2" t="inlineStr">
        <is>
          <t>风险缓释业务汇总</t>
        </is>
      </c>
    </row>
    <row r="2">
      <c r="B2" s="13" t="inlineStr">
        <is>
          <t>表名</t>
        </is>
      </c>
      <c r="C2" s="13" t="inlineStr">
        <is>
          <t>列名</t>
        </is>
      </c>
      <c r="D2" s="13" t="inlineStr">
        <is>
          <t>字段类型</t>
        </is>
      </c>
      <c r="E2" s="13" t="inlineStr">
        <is>
          <t>是否为空</t>
        </is>
      </c>
      <c r="F2" s="13" t="inlineStr">
        <is>
          <t>字段注释</t>
        </is>
      </c>
      <c r="G2" s="13" t="inlineStr">
        <is>
          <t>码值</t>
        </is>
      </c>
      <c r="H2" s="13" t="inlineStr">
        <is>
          <t>备注</t>
        </is>
      </c>
      <c r="I2" s="13" t="inlineStr">
        <is>
          <t>修订人</t>
        </is>
      </c>
      <c r="J2" s="13" t="inlineStr">
        <is>
          <t>修订日期</t>
        </is>
      </c>
    </row>
    <row r="3">
      <c r="B3" s="24" t="inlineStr">
        <is>
          <t>RISK_MITIGATION_BIZ</t>
        </is>
      </c>
      <c r="C3" s="109" t="inlineStr">
        <is>
          <t>SERIALNO</t>
        </is>
      </c>
      <c r="D3" s="24" t="inlineStr">
        <is>
          <t>VARCHAR(32)</t>
        </is>
      </c>
      <c r="E3" s="24" t="inlineStr">
        <is>
          <t>NO</t>
        </is>
      </c>
      <c r="F3" s="43" t="inlineStr">
        <is>
          <t>流水号</t>
        </is>
      </c>
      <c r="G3" s="24" t="n"/>
      <c r="H3" s="24" t="n"/>
      <c r="I3" s="24" t="n"/>
      <c r="J3" s="35" t="n">
        <v>45727</v>
      </c>
    </row>
    <row r="4">
      <c r="B4" s="24" t="inlineStr">
        <is>
          <t>RISK_MITIGATION_BIZ</t>
        </is>
      </c>
      <c r="C4" s="39" t="inlineStr">
        <is>
          <t>CONTRACTNO</t>
        </is>
      </c>
      <c r="D4" s="39" t="inlineStr">
        <is>
          <t>VARCHAR（40）</t>
        </is>
      </c>
      <c r="E4" s="39" t="inlineStr">
        <is>
          <t>NO</t>
        </is>
      </c>
      <c r="F4" s="39" t="inlineStr">
        <is>
          <t>业务合同编号</t>
        </is>
      </c>
      <c r="G4" s="39" t="n"/>
      <c r="H4" s="39" t="n"/>
      <c r="I4" s="39" t="n"/>
      <c r="J4" s="35" t="n">
        <v>45727</v>
      </c>
    </row>
    <row r="5">
      <c r="B5" s="24" t="inlineStr">
        <is>
          <t>RISK_MITIGATION_BIZ</t>
        </is>
      </c>
      <c r="C5" s="39" t="inlineStr">
        <is>
          <t>CUSTOMERID</t>
        </is>
      </c>
      <c r="D5" s="39" t="inlineStr">
        <is>
          <t>VARCHAR（40）</t>
        </is>
      </c>
      <c r="E5" s="39" t="inlineStr">
        <is>
          <t>NO</t>
        </is>
      </c>
      <c r="F5" s="39" t="inlineStr">
        <is>
          <t>客户编号</t>
        </is>
      </c>
      <c r="G5" s="39" t="n"/>
      <c r="H5" s="39" t="n"/>
      <c r="I5" s="39" t="n"/>
      <c r="J5" s="35" t="n">
        <v>45727</v>
      </c>
    </row>
    <row r="6">
      <c r="B6" s="24" t="inlineStr">
        <is>
          <t>RISK_MITIGATION_BIZ</t>
        </is>
      </c>
      <c r="C6" s="39" t="inlineStr">
        <is>
          <t>CUSTOMERNAME</t>
        </is>
      </c>
      <c r="D6" s="39" t="inlineStr">
        <is>
          <t>VARCHAR（80）</t>
        </is>
      </c>
      <c r="E6" s="39" t="inlineStr">
        <is>
          <t>NO</t>
        </is>
      </c>
      <c r="F6" s="39" t="inlineStr">
        <is>
          <t>客户名称</t>
        </is>
      </c>
      <c r="G6" s="39" t="n"/>
      <c r="H6" s="39" t="n"/>
      <c r="I6" s="39" t="n"/>
      <c r="J6" s="35" t="n">
        <v>45727</v>
      </c>
    </row>
    <row r="7" ht="17" customHeight="1" s="170">
      <c r="B7" s="24" t="inlineStr">
        <is>
          <t>RISK_MITIGATION_BIZ</t>
        </is>
      </c>
      <c r="C7" s="39" t="inlineStr">
        <is>
          <t>PRODUCTID</t>
        </is>
      </c>
      <c r="D7" s="39" t="inlineStr">
        <is>
          <t>VARCHAR（20）</t>
        </is>
      </c>
      <c r="E7" s="39" t="inlineStr">
        <is>
          <t>NO</t>
        </is>
      </c>
      <c r="F7" s="39" t="inlineStr">
        <is>
          <t>业务品种/业务类型</t>
        </is>
      </c>
      <c r="G7" s="39" t="n"/>
      <c r="H7" s="39" t="inlineStr">
        <is>
          <t>产品编号</t>
        </is>
      </c>
      <c r="I7" s="39" t="n"/>
      <c r="J7" s="35" t="n">
        <v>45727</v>
      </c>
    </row>
    <row r="8">
      <c r="B8" s="24" t="inlineStr">
        <is>
          <t>RISK_MITIGATION_BIZ</t>
        </is>
      </c>
      <c r="C8" s="39" t="inlineStr">
        <is>
          <t>VOUCHTYPE</t>
        </is>
      </c>
      <c r="D8" s="39" t="inlineStr">
        <is>
          <t>VARCHAR（10）</t>
        </is>
      </c>
      <c r="E8" s="39" t="inlineStr">
        <is>
          <t>YES</t>
        </is>
      </c>
      <c r="F8" s="39" t="inlineStr">
        <is>
          <t>主担保方式</t>
        </is>
      </c>
      <c r="G8" s="39" t="inlineStr">
        <is>
          <t>VouchType</t>
        </is>
      </c>
      <c r="H8" s="39" t="n"/>
      <c r="I8" s="39" t="n"/>
      <c r="J8" s="35" t="n">
        <v>45727</v>
      </c>
    </row>
    <row r="9">
      <c r="B9" s="24" t="inlineStr">
        <is>
          <t>RISK_MITIGATION_BIZ</t>
        </is>
      </c>
      <c r="C9" s="39" t="inlineStr">
        <is>
          <t>Currency</t>
        </is>
      </c>
      <c r="D9" s="39" t="inlineStr">
        <is>
          <t>VARCHAR（10）</t>
        </is>
      </c>
      <c r="E9" s="39" t="inlineStr">
        <is>
          <t>YES</t>
        </is>
      </c>
      <c r="F9" s="39" t="inlineStr">
        <is>
          <t>业务合同币种</t>
        </is>
      </c>
      <c r="G9" s="39" t="inlineStr">
        <is>
          <t>Currency</t>
        </is>
      </c>
      <c r="H9" s="39" t="n"/>
      <c r="I9" s="39" t="n"/>
      <c r="J9" s="35" t="n">
        <v>45727</v>
      </c>
    </row>
    <row r="10">
      <c r="B10" s="24" t="inlineStr">
        <is>
          <t>RISK_MITIGATION_BIZ</t>
        </is>
      </c>
      <c r="C10" s="39" t="inlineStr">
        <is>
          <t>BusinessSum</t>
        </is>
      </c>
      <c r="D10" s="39" t="inlineStr">
        <is>
          <t>DECIMAL（24,6）</t>
        </is>
      </c>
      <c r="E10" s="39" t="inlineStr">
        <is>
          <t>YES</t>
        </is>
      </c>
      <c r="F10" s="39" t="inlineStr">
        <is>
          <t>业务合同金额</t>
        </is>
      </c>
      <c r="G10" s="39" t="n"/>
      <c r="H10" s="39" t="n"/>
      <c r="I10" s="39" t="n"/>
      <c r="J10" s="35" t="n">
        <v>45727</v>
      </c>
    </row>
    <row r="11">
      <c r="B11" s="24" t="inlineStr">
        <is>
          <t>RISK_MITIGATION_BIZ</t>
        </is>
      </c>
      <c r="C11" s="39" t="inlineStr">
        <is>
          <t>Balance</t>
        </is>
      </c>
      <c r="D11" s="39" t="inlineStr">
        <is>
          <t>DECIMAL（24,6）</t>
        </is>
      </c>
      <c r="E11" s="39" t="inlineStr">
        <is>
          <t>YES</t>
        </is>
      </c>
      <c r="F11" s="39" t="inlineStr">
        <is>
          <t>业务合同余额</t>
        </is>
      </c>
      <c r="G11" s="39" t="n"/>
      <c r="H11" s="39" t="n"/>
      <c r="I11" s="39" t="n"/>
      <c r="J11" s="35" t="n">
        <v>45727</v>
      </c>
    </row>
    <row r="12">
      <c r="B12" s="24" t="inlineStr">
        <is>
          <t>RISK_MITIGATION_BIZ</t>
        </is>
      </c>
      <c r="C12" s="39" t="inlineStr">
        <is>
          <t>StartDate</t>
        </is>
      </c>
      <c r="D12" s="39" t="inlineStr">
        <is>
          <t>VARCHAR（20）</t>
        </is>
      </c>
      <c r="E12" s="39" t="inlineStr">
        <is>
          <t>YES</t>
        </is>
      </c>
      <c r="F12" s="39" t="inlineStr">
        <is>
          <t>合同起始日</t>
        </is>
      </c>
      <c r="G12" s="39" t="n"/>
      <c r="H12" s="39" t="n"/>
      <c r="I12" s="39" t="n"/>
      <c r="J12" s="35" t="n">
        <v>45727</v>
      </c>
    </row>
    <row r="13">
      <c r="B13" s="24" t="inlineStr">
        <is>
          <t>RISK_MITIGATION_BIZ</t>
        </is>
      </c>
      <c r="C13" s="39" t="inlineStr">
        <is>
          <t>TermDay</t>
        </is>
      </c>
      <c r="D13" s="39" t="inlineStr">
        <is>
          <t>VARCHAR（20）</t>
        </is>
      </c>
      <c r="E13" s="39" t="inlineStr">
        <is>
          <t>YES</t>
        </is>
      </c>
      <c r="F13" s="39" t="inlineStr">
        <is>
          <t>合同到期日</t>
        </is>
      </c>
      <c r="G13" s="39" t="n"/>
      <c r="H13" s="39" t="n"/>
      <c r="I13" s="39" t="n"/>
      <c r="J13" s="35" t="n">
        <v>45727</v>
      </c>
    </row>
    <row r="14">
      <c r="B14" s="24" t="inlineStr">
        <is>
          <t>RISK_MITIGATION_BIZ</t>
        </is>
      </c>
      <c r="C14" s="39" t="inlineStr">
        <is>
          <t>ASSIGNEDGNTVALUE</t>
        </is>
      </c>
      <c r="D14" s="39" t="inlineStr">
        <is>
          <t>DECIMAL（24,6）</t>
        </is>
      </c>
      <c r="E14" s="39" t="inlineStr">
        <is>
          <t>NO</t>
        </is>
      </c>
      <c r="F14" s="39" t="inlineStr">
        <is>
          <t>分配给业务的有效担保价值（元）</t>
        </is>
      </c>
      <c r="G14" s="39" t="n"/>
      <c r="H14" s="39" t="n"/>
      <c r="I14" s="39" t="n"/>
      <c r="J14" s="35" t="n">
        <v>45727</v>
      </c>
    </row>
    <row r="15" ht="17" customHeight="1" s="170">
      <c r="B15" s="24" t="inlineStr">
        <is>
          <t>RISK_MITIGATION_BIZ</t>
        </is>
      </c>
      <c r="C15" s="39" t="inlineStr">
        <is>
          <t>SUFFIVALUERATIO</t>
        </is>
      </c>
      <c r="D15" s="39" t="inlineStr">
        <is>
          <t>DECIMAL（18,8）</t>
        </is>
      </c>
      <c r="E15" s="39" t="inlineStr">
        <is>
          <t>NO</t>
        </is>
      </c>
      <c r="F15" s="39" t="inlineStr">
        <is>
          <t>足值率（%）</t>
        </is>
      </c>
      <c r="G15" s="39" t="n"/>
      <c r="H15" s="39" t="n"/>
      <c r="I15" s="39" t="inlineStr"/>
      <c r="J15" s="35" t="n">
        <v>45727</v>
      </c>
    </row>
    <row r="16" ht="17" customHeight="1" s="170">
      <c r="B16" s="24" t="inlineStr">
        <is>
          <t>RISK_MITIGATION_BIZ</t>
        </is>
      </c>
      <c r="C16" s="39" t="inlineStr">
        <is>
          <t>ISENOUGH</t>
        </is>
      </c>
      <c r="D16" s="39" t="inlineStr">
        <is>
          <t>VARCHAR（10）</t>
        </is>
      </c>
      <c r="E16" s="39" t="inlineStr">
        <is>
          <t>NO</t>
        </is>
      </c>
      <c r="F16" s="39" t="inlineStr">
        <is>
          <t>是否足值</t>
        </is>
      </c>
      <c r="G16" s="39" t="inlineStr">
        <is>
          <t>YesNo</t>
        </is>
      </c>
      <c r="H16" s="39" t="n"/>
      <c r="I16" s="39" t="inlineStr"/>
      <c r="J16" s="35" t="n">
        <v>45727</v>
      </c>
    </row>
    <row r="17">
      <c r="B17" s="24" t="inlineStr">
        <is>
          <t>RISK_MITIGATION_BIZ</t>
        </is>
      </c>
      <c r="C17" s="39" t="inlineStr">
        <is>
          <t>MITIGATIONMONTH</t>
        </is>
      </c>
      <c r="D17" s="24" t="inlineStr">
        <is>
          <t>VARCHAR(12)</t>
        </is>
      </c>
      <c r="E17" s="39" t="inlineStr">
        <is>
          <t>NO</t>
        </is>
      </c>
      <c r="F17" s="39" t="inlineStr">
        <is>
          <t>价值分配时间</t>
        </is>
      </c>
      <c r="G17" s="39" t="n"/>
      <c r="H17" s="39" t="n"/>
      <c r="I17" s="39" t="inlineStr"/>
      <c r="J17" s="35" t="n">
        <v>45727</v>
      </c>
    </row>
    <row r="18" ht="17" customHeight="1" s="170">
      <c r="B18" s="24" t="inlineStr">
        <is>
          <t>RISK_MITIGATION_BIZ</t>
        </is>
      </c>
      <c r="C18" s="39" t="inlineStr">
        <is>
          <t>operateUserId</t>
        </is>
      </c>
      <c r="D18" s="39" t="inlineStr">
        <is>
          <t>VARCHAR（80）</t>
        </is>
      </c>
      <c r="E18" s="39" t="inlineStr">
        <is>
          <t>NO</t>
        </is>
      </c>
      <c r="F18" s="39" t="inlineStr">
        <is>
          <t>合同管理人</t>
        </is>
      </c>
      <c r="G18" s="39" t="n"/>
      <c r="H18" s="39" t="inlineStr">
        <is>
          <t>经办人</t>
        </is>
      </c>
      <c r="I18" s="39" t="inlineStr"/>
      <c r="J18" s="35" t="n">
        <v>45727</v>
      </c>
    </row>
    <row r="19">
      <c r="B19" s="24" t="inlineStr">
        <is>
          <t>RISK_MITIGATION_BIZ</t>
        </is>
      </c>
      <c r="C19" s="39" t="inlineStr">
        <is>
          <t>operateOrgId</t>
        </is>
      </c>
      <c r="D19" s="39" t="inlineStr">
        <is>
          <t>VARCHAR（80）</t>
        </is>
      </c>
      <c r="E19" s="39" t="inlineStr">
        <is>
          <t>NO</t>
        </is>
      </c>
      <c r="F19" s="39" t="inlineStr">
        <is>
          <t>管户机构</t>
        </is>
      </c>
      <c r="G19" s="39" t="n"/>
      <c r="H19" s="39" t="inlineStr">
        <is>
          <t>经办机构</t>
        </is>
      </c>
      <c r="I19" s="39" t="inlineStr"/>
      <c r="J19" s="35" t="n">
        <v>45727</v>
      </c>
    </row>
    <row r="20">
      <c r="B20" s="24" t="inlineStr">
        <is>
          <t>RISK_MITIGATION_BIZ</t>
        </is>
      </c>
      <c r="C20" s="39" t="inlineStr">
        <is>
          <t>SOURCE</t>
        </is>
      </c>
      <c r="D20" s="39" t="inlineStr">
        <is>
          <t>VARCHAR（40）</t>
        </is>
      </c>
      <c r="E20" s="39" t="inlineStr">
        <is>
          <t>NO</t>
        </is>
      </c>
      <c r="F20" s="39" t="inlineStr">
        <is>
          <t>系统来源</t>
        </is>
      </c>
      <c r="G20" s="39" t="n"/>
      <c r="H20" s="39" t="n"/>
      <c r="I20" s="39" t="inlineStr"/>
      <c r="J20" s="35" t="n">
        <v>45727</v>
      </c>
    </row>
    <row r="21">
      <c r="B21" s="24" t="inlineStr">
        <is>
          <t>RISK_MITIGATION_BIZ</t>
        </is>
      </c>
      <c r="C21" s="24" t="inlineStr">
        <is>
          <t>INPUTUSER</t>
        </is>
      </c>
      <c r="D21" s="24" t="inlineStr">
        <is>
          <t>varchar(32)</t>
        </is>
      </c>
      <c r="E21" s="24" t="inlineStr">
        <is>
          <t>YES</t>
        </is>
      </c>
      <c r="F21" s="24" t="inlineStr">
        <is>
          <t>登记人</t>
        </is>
      </c>
      <c r="G21" s="39" t="n"/>
      <c r="H21" s="39" t="n"/>
      <c r="I21" s="39" t="inlineStr"/>
      <c r="J21" s="35" t="n">
        <v>45727</v>
      </c>
    </row>
    <row r="22">
      <c r="B22" s="24" t="inlineStr">
        <is>
          <t>RISK_MITIGATION_BIZ</t>
        </is>
      </c>
      <c r="C22" s="24" t="inlineStr">
        <is>
          <t>INPUTORG</t>
        </is>
      </c>
      <c r="D22" s="24" t="inlineStr">
        <is>
          <t>varchar(32)</t>
        </is>
      </c>
      <c r="E22" s="24" t="inlineStr">
        <is>
          <t>YES</t>
        </is>
      </c>
      <c r="F22" s="24" t="inlineStr">
        <is>
          <t>登记机构</t>
        </is>
      </c>
      <c r="G22" s="24" t="n"/>
      <c r="H22" s="24" t="n"/>
      <c r="I22" s="24" t="inlineStr"/>
      <c r="J22" s="35" t="n">
        <v>45727</v>
      </c>
    </row>
    <row r="23">
      <c r="B23" s="24" t="inlineStr">
        <is>
          <t>RISK_MITIGATION_BIZ</t>
        </is>
      </c>
      <c r="C23" s="24" t="inlineStr">
        <is>
          <t>INPUTTIME</t>
        </is>
      </c>
      <c r="D23" s="24" t="inlineStr">
        <is>
          <t>datetime</t>
        </is>
      </c>
      <c r="E23" s="24" t="inlineStr">
        <is>
          <t>YES</t>
        </is>
      </c>
      <c r="F23" s="24" t="inlineStr">
        <is>
          <t>登记时间</t>
        </is>
      </c>
      <c r="G23" s="24" t="n"/>
      <c r="H23" s="24" t="n"/>
      <c r="I23" s="24" t="inlineStr"/>
      <c r="J23" s="35" t="n">
        <v>45727</v>
      </c>
    </row>
    <row r="24">
      <c r="B24" s="24" t="inlineStr">
        <is>
          <t>RISK_MITIGATION_BIZ</t>
        </is>
      </c>
      <c r="C24" s="24" t="inlineStr">
        <is>
          <t>UPDATEUSER</t>
        </is>
      </c>
      <c r="D24" s="24" t="inlineStr">
        <is>
          <t>varchar(32)</t>
        </is>
      </c>
      <c r="E24" s="24" t="inlineStr">
        <is>
          <t>YES</t>
        </is>
      </c>
      <c r="F24" s="24" t="inlineStr">
        <is>
          <t>更新人</t>
        </is>
      </c>
      <c r="G24" s="24" t="n"/>
      <c r="H24" s="24" t="n"/>
      <c r="I24" s="24" t="n"/>
      <c r="J24" s="35" t="n">
        <v>45727</v>
      </c>
    </row>
    <row r="25">
      <c r="B25" s="24" t="inlineStr">
        <is>
          <t>RISK_MITIGATION_BIZ</t>
        </is>
      </c>
      <c r="C25" s="24" t="inlineStr">
        <is>
          <t>UPDATETIME</t>
        </is>
      </c>
      <c r="D25" s="24" t="inlineStr">
        <is>
          <t>datetime</t>
        </is>
      </c>
      <c r="E25" s="24" t="inlineStr">
        <is>
          <t>YES</t>
        </is>
      </c>
      <c r="F25" s="24" t="inlineStr">
        <is>
          <t>更新时间</t>
        </is>
      </c>
      <c r="G25" s="24" t="n"/>
      <c r="H25" s="24" t="n"/>
      <c r="I25" s="24" t="n"/>
      <c r="J25" s="35" t="n">
        <v>45727</v>
      </c>
    </row>
    <row r="26">
      <c r="B26" s="24" t="inlineStr">
        <is>
          <t>RISK_MITIGATION_BIZ</t>
        </is>
      </c>
      <c r="C26" s="24" t="inlineStr">
        <is>
          <t>UPDATEUSERID</t>
        </is>
      </c>
      <c r="D26" s="24" t="inlineStr">
        <is>
          <t>varchar(32)</t>
        </is>
      </c>
      <c r="E26" s="24" t="inlineStr">
        <is>
          <t>YES</t>
        </is>
      </c>
      <c r="F26" s="24" t="inlineStr">
        <is>
          <t>更新人编号</t>
        </is>
      </c>
      <c r="G26" s="24" t="n"/>
      <c r="H26" s="24" t="n"/>
      <c r="I26" s="24" t="n"/>
      <c r="J26" s="35" t="n">
        <v>45727</v>
      </c>
    </row>
    <row r="27">
      <c r="B27" s="24" t="inlineStr">
        <is>
          <t>RISK_MITIGATION_BIZ</t>
        </is>
      </c>
      <c r="C27" s="24" t="inlineStr">
        <is>
          <t>UPDATEORGID</t>
        </is>
      </c>
      <c r="D27" s="24" t="inlineStr">
        <is>
          <t>varchar(32)</t>
        </is>
      </c>
      <c r="E27" s="24" t="inlineStr">
        <is>
          <t>YES</t>
        </is>
      </c>
      <c r="F27" s="24" t="inlineStr">
        <is>
          <t>更新机构</t>
        </is>
      </c>
      <c r="G27" s="24" t="n"/>
      <c r="H27" s="24" t="n"/>
      <c r="I27" s="24" t="n"/>
      <c r="J27" s="35" t="n">
        <v>45727</v>
      </c>
    </row>
    <row r="28">
      <c r="B28" s="24" t="inlineStr">
        <is>
          <t>RISK_MITIGATION_BIZ</t>
        </is>
      </c>
      <c r="C28" s="24" t="inlineStr">
        <is>
          <t>INPUTORGID</t>
        </is>
      </c>
      <c r="D28" s="24" t="inlineStr">
        <is>
          <t>varchar(32)</t>
        </is>
      </c>
      <c r="E28" s="24" t="inlineStr">
        <is>
          <t>YES</t>
        </is>
      </c>
      <c r="F28" s="24" t="inlineStr">
        <is>
          <t>登记机构编号</t>
        </is>
      </c>
      <c r="G28" s="24" t="n"/>
      <c r="H28" s="24" t="n"/>
      <c r="I28" s="24" t="n"/>
      <c r="J28" s="35" t="n">
        <v>45727</v>
      </c>
    </row>
    <row r="29">
      <c r="B29" s="24" t="inlineStr">
        <is>
          <t>RISK_MITIGATION_BIZ</t>
        </is>
      </c>
      <c r="C29" s="24" t="inlineStr">
        <is>
          <t>INPUTUSERID</t>
        </is>
      </c>
      <c r="D29" s="24" t="inlineStr">
        <is>
          <t>varchar(32)</t>
        </is>
      </c>
      <c r="E29" s="24" t="inlineStr">
        <is>
          <t>YES</t>
        </is>
      </c>
      <c r="F29" s="24" t="inlineStr">
        <is>
          <t>登记人编号</t>
        </is>
      </c>
      <c r="G29" s="24" t="n"/>
      <c r="H29" s="24" t="n"/>
      <c r="I29" s="24" t="n"/>
      <c r="J29" s="35" t="n">
        <v>45727</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ColWidth="9.142857142857141" defaultRowHeight="15.2"/>
  <cols>
    <col width="25.2946428571429" customWidth="1" style="170" min="2" max="2"/>
    <col width="18" customWidth="1" style="170" min="3" max="3"/>
    <col width="14" customWidth="1" style="170" min="4" max="4"/>
    <col width="25.0714285714286" customWidth="1" style="170" min="6" max="6"/>
    <col width="15.2857142857143" customWidth="1" style="170" min="8" max="8"/>
    <col width="16.0625" customWidth="1" style="170" min="10" max="10"/>
    <col width="25.0714285714286" customWidth="1" style="170" min="11" max="11"/>
    <col width="30.7142857142857" customWidth="1" style="170" min="12" max="27"/>
    <col width="28.7142857142857" customWidth="1" style="170" min="28" max="31"/>
    <col width="11.0714285714286" customWidth="1" style="170" min="32" max="32"/>
  </cols>
  <sheetData>
    <row r="1">
      <c r="A1" s="1">
        <f>HYPERLINK("#表结构清单!A1","返回")</f>
        <v/>
      </c>
      <c r="B1" s="2" t="inlineStr">
        <is>
          <t>风险缓释押品汇总</t>
        </is>
      </c>
    </row>
    <row r="2">
      <c r="B2" s="13" t="inlineStr">
        <is>
          <t>表名</t>
        </is>
      </c>
      <c r="C2" s="13" t="inlineStr">
        <is>
          <t>列名</t>
        </is>
      </c>
      <c r="D2" s="13" t="inlineStr">
        <is>
          <t>字段类型</t>
        </is>
      </c>
      <c r="E2" s="13" t="inlineStr">
        <is>
          <t>是否为空</t>
        </is>
      </c>
      <c r="F2" s="13" t="inlineStr">
        <is>
          <t>字段注释</t>
        </is>
      </c>
      <c r="G2" s="13" t="inlineStr">
        <is>
          <t>码值</t>
        </is>
      </c>
      <c r="H2" s="3" t="inlineStr">
        <is>
          <t>备注</t>
        </is>
      </c>
      <c r="I2" s="13" t="inlineStr">
        <is>
          <t>修订人</t>
        </is>
      </c>
      <c r="J2" s="13" t="inlineStr">
        <is>
          <t>修订日期</t>
        </is>
      </c>
    </row>
    <row r="3">
      <c r="B3" s="24" t="inlineStr">
        <is>
          <t>RISK_MITIGATION_CLR</t>
        </is>
      </c>
      <c r="C3" s="24" t="inlineStr">
        <is>
          <t>CLRID</t>
        </is>
      </c>
      <c r="D3" s="24" t="inlineStr">
        <is>
          <t>VARCHAR（40）</t>
        </is>
      </c>
      <c r="E3" s="24" t="inlineStr">
        <is>
          <t>YES</t>
        </is>
      </c>
      <c r="F3" s="24" t="inlineStr">
        <is>
          <t>押品编号</t>
        </is>
      </c>
      <c r="G3" s="39" t="n"/>
      <c r="H3" s="21" t="n"/>
      <c r="I3" s="7" t="n"/>
      <c r="J3" s="35" t="n">
        <v>45727</v>
      </c>
    </row>
    <row r="4">
      <c r="B4" s="24" t="inlineStr">
        <is>
          <t>RISK_MITIGATION_CLR</t>
        </is>
      </c>
      <c r="C4" s="24" t="inlineStr">
        <is>
          <t>CLRTYPEID</t>
        </is>
      </c>
      <c r="D4" s="24" t="inlineStr">
        <is>
          <t>VARCHAR（10）</t>
        </is>
      </c>
      <c r="E4" s="24" t="inlineStr">
        <is>
          <t>YES</t>
        </is>
      </c>
      <c r="F4" s="24" t="inlineStr">
        <is>
          <t>押品类型</t>
        </is>
      </c>
      <c r="G4" s="39" t="n"/>
      <c r="H4" s="24" t="inlineStr">
        <is>
          <t>四级分类</t>
        </is>
      </c>
      <c r="I4" s="7" t="n"/>
      <c r="J4" s="35" t="n">
        <v>45727</v>
      </c>
    </row>
    <row r="5">
      <c r="B5" s="24" t="inlineStr">
        <is>
          <t>RISK_MITIGATION_CLR</t>
        </is>
      </c>
      <c r="C5" s="24" t="inlineStr">
        <is>
          <t>CLROWNERID</t>
        </is>
      </c>
      <c r="D5" s="24" t="inlineStr">
        <is>
          <t>VARCHAR（40）</t>
        </is>
      </c>
      <c r="E5" s="24" t="inlineStr">
        <is>
          <t>YES</t>
        </is>
      </c>
      <c r="F5" s="24" t="inlineStr">
        <is>
          <t>抵质押人编号</t>
        </is>
      </c>
      <c r="G5" s="39" t="n"/>
      <c r="H5" s="21" t="n"/>
      <c r="I5" s="7" t="n"/>
      <c r="J5" s="35" t="n">
        <v>45727</v>
      </c>
    </row>
    <row r="6">
      <c r="B6" s="24" t="inlineStr">
        <is>
          <t>RISK_MITIGATION_CLR</t>
        </is>
      </c>
      <c r="C6" s="24" t="inlineStr">
        <is>
          <t>CLROWNERNAME</t>
        </is>
      </c>
      <c r="D6" s="24" t="inlineStr">
        <is>
          <t>VARCHAR（80）</t>
        </is>
      </c>
      <c r="E6" s="24" t="inlineStr">
        <is>
          <t>YES</t>
        </is>
      </c>
      <c r="F6" s="24" t="inlineStr">
        <is>
          <t>抵质押人名称</t>
        </is>
      </c>
      <c r="G6" s="39" t="n"/>
      <c r="H6" s="21" t="n"/>
      <c r="I6" s="7" t="n"/>
      <c r="J6" s="35" t="n">
        <v>45727</v>
      </c>
    </row>
    <row r="7">
      <c r="B7" s="24" t="inlineStr">
        <is>
          <t>RISK_MITIGATION_CLR</t>
        </is>
      </c>
      <c r="C7" s="24" t="inlineStr">
        <is>
          <t>CURREVALCCY</t>
        </is>
      </c>
      <c r="D7" s="24" t="inlineStr">
        <is>
          <t>VARCHAR（10）</t>
        </is>
      </c>
      <c r="E7" s="24" t="inlineStr">
        <is>
          <t>YES</t>
        </is>
      </c>
      <c r="F7" s="24" t="inlineStr">
        <is>
          <t>最新认定价值币种</t>
        </is>
      </c>
      <c r="G7" s="39" t="n"/>
      <c r="H7" s="41" t="inlineStr">
        <is>
          <t>最新评估价值币种</t>
        </is>
      </c>
      <c r="I7" s="7" t="n"/>
      <c r="J7" s="35" t="n">
        <v>45727</v>
      </c>
    </row>
    <row r="8" ht="17" customHeight="1" s="170">
      <c r="B8" s="24" t="inlineStr">
        <is>
          <t>RISK_MITIGATION_CLR</t>
        </is>
      </c>
      <c r="C8" s="24" t="inlineStr">
        <is>
          <t>CURREVALVALUE</t>
        </is>
      </c>
      <c r="D8" s="24" t="inlineStr">
        <is>
          <t>decimal(24,6)</t>
        </is>
      </c>
      <c r="E8" s="24" t="inlineStr">
        <is>
          <t>YES</t>
        </is>
      </c>
      <c r="F8" s="24" t="inlineStr">
        <is>
          <t>最新认定价值</t>
        </is>
      </c>
      <c r="G8" s="39" t="n"/>
      <c r="H8" s="41" t="inlineStr">
        <is>
          <t>最新评估价值</t>
        </is>
      </c>
      <c r="I8" s="7" t="n"/>
      <c r="J8" s="35" t="n">
        <v>45727</v>
      </c>
    </row>
    <row r="9" ht="16" customHeight="1" s="170">
      <c r="B9" s="24" t="inlineStr">
        <is>
          <t>RISK_MITIGATION_CLR</t>
        </is>
      </c>
      <c r="C9" s="24" t="inlineStr">
        <is>
          <t>ASSIGNEDGNTVALUE</t>
        </is>
      </c>
      <c r="D9" s="24" t="inlineStr">
        <is>
          <t>decimal(24,6)</t>
        </is>
      </c>
      <c r="E9" s="24" t="inlineStr">
        <is>
          <t>YES</t>
        </is>
      </c>
      <c r="F9" s="43" t="inlineStr">
        <is>
          <t>参与缓释分配的价值</t>
        </is>
      </c>
      <c r="G9" s="39" t="n"/>
      <c r="H9" s="36" t="inlineStr">
        <is>
          <t>押品最新认定价值-他行已担保债权金额</t>
        </is>
      </c>
      <c r="I9" s="7" t="n"/>
      <c r="J9" s="35" t="n">
        <v>45727</v>
      </c>
    </row>
    <row r="10">
      <c r="B10" s="24" t="inlineStr">
        <is>
          <t>RISK_MITIGATION_CLR</t>
        </is>
      </c>
      <c r="C10" s="24" t="inlineStr">
        <is>
          <t>CURREVALDATE</t>
        </is>
      </c>
      <c r="D10" s="24" t="inlineStr">
        <is>
          <t>datetime</t>
        </is>
      </c>
      <c r="E10" s="24" t="inlineStr">
        <is>
          <t>YES</t>
        </is>
      </c>
      <c r="F10" s="24" t="inlineStr">
        <is>
          <t>最新价值认定日期</t>
        </is>
      </c>
      <c r="G10" s="39" t="n"/>
      <c r="H10" s="41" t="inlineStr">
        <is>
          <t>最新价值评估日期</t>
        </is>
      </c>
      <c r="I10" s="7" t="n"/>
      <c r="J10" s="35" t="n">
        <v>45727</v>
      </c>
    </row>
    <row r="11">
      <c r="B11" s="24" t="inlineStr">
        <is>
          <t>RISK_MITIGATION_CLR</t>
        </is>
      </c>
      <c r="C11" s="24" t="inlineStr">
        <is>
          <t>ASSIGNEDBALANCE</t>
        </is>
      </c>
      <c r="D11" s="24" t="inlineStr">
        <is>
          <t>decimal(24,6)</t>
        </is>
      </c>
      <c r="E11" s="24" t="inlineStr">
        <is>
          <t>YES</t>
        </is>
      </c>
      <c r="F11" s="24" t="inlineStr">
        <is>
          <t>分配给押品的业务金额</t>
        </is>
      </c>
      <c r="G11" s="39" t="n"/>
      <c r="H11" s="21" t="n"/>
      <c r="I11" s="7" t="n"/>
      <c r="J11" s="35" t="n">
        <v>45727</v>
      </c>
    </row>
    <row r="12" ht="17" customHeight="1" s="170">
      <c r="B12" s="24" t="inlineStr">
        <is>
          <t>RISK_MITIGATION_CLR</t>
        </is>
      </c>
      <c r="C12" s="24" t="inlineStr">
        <is>
          <t>COLLATERALRATIO</t>
        </is>
      </c>
      <c r="D12" s="24" t="inlineStr">
        <is>
          <t>VARCHAR（10）</t>
        </is>
      </c>
      <c r="E12" s="24" t="inlineStr">
        <is>
          <t>YES</t>
        </is>
      </c>
      <c r="F12" s="24" t="inlineStr">
        <is>
          <t>价值分配率（%）</t>
        </is>
      </c>
      <c r="G12" s="39" t="n"/>
      <c r="H12" s="36" t="inlineStr">
        <is>
          <t>抵质押率</t>
        </is>
      </c>
      <c r="I12" s="7" t="n"/>
      <c r="J12" s="35" t="n">
        <v>45727</v>
      </c>
    </row>
    <row r="13" ht="17" customHeight="1" s="170">
      <c r="B13" s="24" t="inlineStr">
        <is>
          <t>RISK_MITIGATION_CLR</t>
        </is>
      </c>
      <c r="C13" s="24" t="inlineStr">
        <is>
          <t>MAXLTV</t>
        </is>
      </c>
      <c r="D13" s="24" t="inlineStr">
        <is>
          <t>VARCHAR（10）</t>
        </is>
      </c>
      <c r="E13" s="24" t="inlineStr">
        <is>
          <t>YES</t>
        </is>
      </c>
      <c r="F13" s="24" t="inlineStr">
        <is>
          <t>最高/审批抵质押率（%）</t>
        </is>
      </c>
      <c r="G13" s="39" t="n"/>
      <c r="H13" s="21" t="n"/>
      <c r="I13" s="7" t="n"/>
      <c r="J13" s="35" t="n">
        <v>45727</v>
      </c>
    </row>
    <row r="14" s="170">
      <c r="B14" s="24" t="inlineStr">
        <is>
          <t>RISK_MITIGATION_CLR</t>
        </is>
      </c>
      <c r="C14" t="inlineStr">
        <is>
          <t>MORTGAGESTATUS</t>
        </is>
      </c>
      <c r="D14" s="24" t="inlineStr">
        <is>
          <t>VARCHAR（10）</t>
        </is>
      </c>
      <c r="E14" s="24" t="inlineStr">
        <is>
          <t>YES</t>
        </is>
      </c>
      <c r="F14" s="24" t="inlineStr">
        <is>
          <t>押品抵质押状态</t>
        </is>
      </c>
      <c r="G14" s="37" t="inlineStr">
        <is>
          <t>MortgageStatus</t>
        </is>
      </c>
      <c r="H14" s="38" t="inlineStr">
        <is>
          <t>营销、在途、待登记、已登记、在押、解押</t>
        </is>
      </c>
      <c r="I14" s="7" t="n"/>
      <c r="J14" s="35" t="n">
        <v>45727</v>
      </c>
    </row>
    <row r="15" s="170">
      <c r="B15" s="24" t="inlineStr">
        <is>
          <t>RISK_MITIGATION_CLR</t>
        </is>
      </c>
      <c r="C15" s="24" t="inlineStr">
        <is>
          <t>MITIGATIONMONTH</t>
        </is>
      </c>
      <c r="D15" s="24" t="inlineStr">
        <is>
          <t>datetime</t>
        </is>
      </c>
      <c r="E15" s="24" t="inlineStr">
        <is>
          <t>YES</t>
        </is>
      </c>
      <c r="F15" s="24" t="inlineStr">
        <is>
          <t>价值分配时间</t>
        </is>
      </c>
      <c r="G15" s="39" t="n"/>
      <c r="H15" s="24" t="inlineStr">
        <is>
          <t>YYYY/MM</t>
        </is>
      </c>
      <c r="I15" s="7" t="n"/>
      <c r="J15" s="35" t="n">
        <v>45727</v>
      </c>
    </row>
    <row r="16">
      <c r="B16" s="24" t="inlineStr">
        <is>
          <t>RISK_MITIGATION_CLR</t>
        </is>
      </c>
      <c r="C16" s="24" t="inlineStr">
        <is>
          <t>INPUTORG</t>
        </is>
      </c>
      <c r="D16" s="24" t="inlineStr">
        <is>
          <t>varchar(32)</t>
        </is>
      </c>
      <c r="E16" s="24" t="inlineStr">
        <is>
          <t>YES</t>
        </is>
      </c>
      <c r="F16" s="24" t="inlineStr">
        <is>
          <t>登记机构</t>
        </is>
      </c>
      <c r="G16" s="39" t="n"/>
      <c r="H16" s="21" t="n"/>
      <c r="I16" s="7" t="inlineStr"/>
      <c r="J16" s="35" t="n">
        <v>45727</v>
      </c>
    </row>
    <row r="17">
      <c r="B17" s="24" t="inlineStr">
        <is>
          <t>RISK_MITIGATION_CLR</t>
        </is>
      </c>
      <c r="C17" s="24" t="inlineStr">
        <is>
          <t>INPUTTIME</t>
        </is>
      </c>
      <c r="D17" s="24" t="inlineStr">
        <is>
          <t>datetime</t>
        </is>
      </c>
      <c r="E17" s="24" t="inlineStr">
        <is>
          <t>YES</t>
        </is>
      </c>
      <c r="F17" s="24" t="inlineStr">
        <is>
          <t>登记时间</t>
        </is>
      </c>
      <c r="G17" s="24" t="n"/>
      <c r="H17" s="23" t="n"/>
      <c r="I17" s="24" t="inlineStr"/>
      <c r="J17" s="35" t="n">
        <v>45727</v>
      </c>
    </row>
    <row r="18">
      <c r="B18" s="24" t="inlineStr">
        <is>
          <t>RISK_MITIGATION_CLR</t>
        </is>
      </c>
      <c r="C18" s="24" t="inlineStr">
        <is>
          <t>UPDATEUSER</t>
        </is>
      </c>
      <c r="D18" s="24" t="inlineStr">
        <is>
          <t>varchar(32)</t>
        </is>
      </c>
      <c r="E18" s="24" t="inlineStr">
        <is>
          <t>YES</t>
        </is>
      </c>
      <c r="F18" s="24" t="inlineStr">
        <is>
          <t>更新人</t>
        </is>
      </c>
      <c r="G18" s="24" t="n"/>
      <c r="H18" s="24" t="n"/>
      <c r="I18" s="24" t="inlineStr"/>
      <c r="J18" s="35" t="n">
        <v>45727</v>
      </c>
    </row>
    <row r="19">
      <c r="B19" s="24" t="inlineStr">
        <is>
          <t>RISK_MITIGATION_CLR</t>
        </is>
      </c>
      <c r="C19" s="24" t="inlineStr">
        <is>
          <t>UPDATETIME</t>
        </is>
      </c>
      <c r="D19" s="24" t="inlineStr">
        <is>
          <t>datetime</t>
        </is>
      </c>
      <c r="E19" s="24" t="inlineStr">
        <is>
          <t>YES</t>
        </is>
      </c>
      <c r="F19" s="24" t="inlineStr">
        <is>
          <t>更新时间</t>
        </is>
      </c>
      <c r="G19" s="24" t="n"/>
      <c r="H19" s="24" t="n"/>
      <c r="I19" s="24" t="inlineStr"/>
      <c r="J19" s="35" t="n">
        <v>45727</v>
      </c>
    </row>
    <row r="20">
      <c r="B20" s="24" t="inlineStr">
        <is>
          <t>RISK_MITIGATION_CLR</t>
        </is>
      </c>
      <c r="C20" s="24" t="inlineStr">
        <is>
          <t>UPDATEUSERID</t>
        </is>
      </c>
      <c r="D20" s="24" t="inlineStr">
        <is>
          <t>varchar(32)</t>
        </is>
      </c>
      <c r="E20" s="24" t="inlineStr">
        <is>
          <t>YES</t>
        </is>
      </c>
      <c r="F20" s="24" t="inlineStr">
        <is>
          <t>更新人编号</t>
        </is>
      </c>
      <c r="G20" s="24" t="n"/>
      <c r="H20" s="24" t="n"/>
      <c r="I20" s="24" t="inlineStr"/>
      <c r="J20" s="35" t="n">
        <v>45727</v>
      </c>
    </row>
    <row r="21">
      <c r="B21" s="24" t="inlineStr">
        <is>
          <t>RISK_MITIGATION_CLR</t>
        </is>
      </c>
      <c r="C21" s="24" t="inlineStr">
        <is>
          <t>UPDATEORGID</t>
        </is>
      </c>
      <c r="D21" s="24" t="inlineStr">
        <is>
          <t>varchar(32)</t>
        </is>
      </c>
      <c r="E21" s="24" t="inlineStr">
        <is>
          <t>YES</t>
        </is>
      </c>
      <c r="F21" s="24" t="inlineStr">
        <is>
          <t>更新机构</t>
        </is>
      </c>
      <c r="G21" s="24" t="n"/>
      <c r="H21" s="24" t="n"/>
      <c r="I21" s="24" t="inlineStr"/>
      <c r="J21" s="35" t="n">
        <v>45727</v>
      </c>
    </row>
    <row r="22">
      <c r="B22" s="24" t="inlineStr">
        <is>
          <t>RISK_MITIGATION_CLR</t>
        </is>
      </c>
      <c r="C22" s="24" t="inlineStr">
        <is>
          <t>INPUTORGID</t>
        </is>
      </c>
      <c r="D22" s="24" t="inlineStr">
        <is>
          <t>varchar(32)</t>
        </is>
      </c>
      <c r="E22" s="24" t="inlineStr">
        <is>
          <t>YES</t>
        </is>
      </c>
      <c r="F22" s="24" t="inlineStr">
        <is>
          <t>登记机构编号</t>
        </is>
      </c>
      <c r="G22" s="24" t="n"/>
      <c r="H22" s="24" t="n"/>
      <c r="I22" s="24" t="inlineStr"/>
      <c r="J22" s="35" t="n">
        <v>45727</v>
      </c>
    </row>
    <row r="23">
      <c r="B23" s="24" t="inlineStr">
        <is>
          <t>RISK_MITIGATION_CLR</t>
        </is>
      </c>
      <c r="C23" s="24" t="inlineStr">
        <is>
          <t>INPUTUSERID</t>
        </is>
      </c>
      <c r="D23" s="24" t="inlineStr">
        <is>
          <t>varchar(32)</t>
        </is>
      </c>
      <c r="E23" s="24" t="inlineStr">
        <is>
          <t>YES</t>
        </is>
      </c>
      <c r="F23" s="24" t="inlineStr">
        <is>
          <t>登记人编号</t>
        </is>
      </c>
      <c r="G23" s="24" t="n"/>
      <c r="H23" s="24" t="n"/>
      <c r="I23" s="24" t="inlineStr"/>
      <c r="J23" s="35" t="n">
        <v>45727</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J18"/>
  <sheetViews>
    <sheetView workbookViewId="0">
      <selection activeCell="F31" sqref="$A1:$XFD1048576"/>
    </sheetView>
  </sheetViews>
  <sheetFormatPr baseColWidth="8" defaultColWidth="9.142857142857141" defaultRowHeight="15.2"/>
  <cols>
    <col width="25.2946428571429" customWidth="1" style="170" min="2" max="2"/>
    <col width="18" customWidth="1" style="170" min="3" max="3"/>
    <col width="14" customWidth="1" style="170" min="4" max="4"/>
    <col width="25.0714285714286" customWidth="1" style="170" min="6" max="6"/>
    <col width="15.2857142857143" customWidth="1" style="170" min="8" max="8"/>
    <col width="16.0625" customWidth="1" style="170" min="10" max="10"/>
    <col width="25.0714285714286" customWidth="1" style="170" min="11" max="11"/>
    <col width="30.7142857142857" customWidth="1" style="170" min="12" max="27"/>
    <col width="28.7142857142857" customWidth="1" style="170" min="28" max="31"/>
    <col width="11.0714285714286" customWidth="1" style="170" min="32" max="32"/>
  </cols>
  <sheetData>
    <row r="1">
      <c r="A1" s="27">
        <f>HYPERLINK("#表结构清单!A1","返回")</f>
        <v/>
      </c>
      <c r="B1" s="28" t="inlineStr">
        <is>
          <t>押品关联发票包</t>
        </is>
      </c>
    </row>
    <row r="2">
      <c r="B2" s="29" t="inlineStr">
        <is>
          <t>表名</t>
        </is>
      </c>
      <c r="C2" s="29" t="inlineStr">
        <is>
          <t>列名</t>
        </is>
      </c>
      <c r="D2" s="29" t="inlineStr">
        <is>
          <t>字段类型</t>
        </is>
      </c>
      <c r="E2" s="29" t="inlineStr">
        <is>
          <t>是否为空</t>
        </is>
      </c>
      <c r="F2" s="29" t="inlineStr">
        <is>
          <t>字段注释</t>
        </is>
      </c>
      <c r="G2" s="29" t="inlineStr">
        <is>
          <t>码值</t>
        </is>
      </c>
      <c r="H2" s="30" t="inlineStr">
        <is>
          <t>备注</t>
        </is>
      </c>
      <c r="I2" s="29" t="inlineStr">
        <is>
          <t>修订人</t>
        </is>
      </c>
      <c r="J2" s="29" t="inlineStr">
        <is>
          <t>修订日期</t>
        </is>
      </c>
    </row>
    <row r="3">
      <c r="B3" s="24" t="inlineStr">
        <is>
          <t>CLR_INVOICE_RECORD</t>
        </is>
      </c>
      <c r="C3" s="29" t="inlineStr">
        <is>
          <t>SERIALNO</t>
        </is>
      </c>
      <c r="D3" s="29" t="inlineStr">
        <is>
          <t>varchar(32)</t>
        </is>
      </c>
      <c r="E3" s="29" t="inlineStr">
        <is>
          <t>NO</t>
        </is>
      </c>
      <c r="F3" s="29" t="inlineStr">
        <is>
          <t>发票编号</t>
        </is>
      </c>
      <c r="G3" s="31" t="n"/>
      <c r="H3" s="30" t="n"/>
      <c r="I3" s="34" t="n"/>
      <c r="J3" s="35" t="n">
        <v>45727</v>
      </c>
    </row>
    <row r="4">
      <c r="B4" s="24" t="inlineStr">
        <is>
          <t>CLR_INVOICE_RECORD</t>
        </is>
      </c>
      <c r="C4" s="24" t="inlineStr">
        <is>
          <t>CLRID</t>
        </is>
      </c>
      <c r="D4" s="24" t="inlineStr">
        <is>
          <t>VARCHAR（40）</t>
        </is>
      </c>
      <c r="E4" s="24" t="inlineStr">
        <is>
          <t>YES</t>
        </is>
      </c>
      <c r="F4" s="24" t="inlineStr">
        <is>
          <t>押品编号</t>
        </is>
      </c>
      <c r="G4" s="39" t="n"/>
      <c r="H4" s="21" t="n"/>
      <c r="I4" s="7" t="n"/>
      <c r="J4" s="35" t="n">
        <v>45727</v>
      </c>
    </row>
    <row r="5">
      <c r="B5" s="24" t="inlineStr">
        <is>
          <t>CLR_INVOICE_RECORD</t>
        </is>
      </c>
      <c r="C5" s="24" t="inlineStr">
        <is>
          <t>INVOICENO</t>
        </is>
      </c>
      <c r="D5" s="24" t="inlineStr">
        <is>
          <t>VARCHAR（40）</t>
        </is>
      </c>
      <c r="E5" s="24" t="inlineStr">
        <is>
          <t>YES</t>
        </is>
      </c>
      <c r="F5" s="32" t="inlineStr">
        <is>
          <t>发票号</t>
        </is>
      </c>
      <c r="G5" s="39" t="n"/>
      <c r="H5" s="24" t="n"/>
      <c r="I5" s="7" t="n"/>
      <c r="J5" s="35" t="n">
        <v>45727</v>
      </c>
    </row>
    <row r="6">
      <c r="B6" s="24" t="inlineStr">
        <is>
          <t>CLR_INVOICE_RECORD</t>
        </is>
      </c>
      <c r="C6" s="24" t="inlineStr">
        <is>
          <t>INVOICEAMOUNT</t>
        </is>
      </c>
      <c r="D6" s="24" t="inlineStr">
        <is>
          <t>VARCHAR（40）</t>
        </is>
      </c>
      <c r="E6" s="24" t="inlineStr">
        <is>
          <t>YES</t>
        </is>
      </c>
      <c r="F6" s="24" t="inlineStr">
        <is>
          <t>发票金额</t>
        </is>
      </c>
      <c r="G6" s="39" t="n"/>
      <c r="H6" s="21" t="n"/>
      <c r="I6" s="7" t="n"/>
      <c r="J6" s="35" t="n">
        <v>45727</v>
      </c>
    </row>
    <row r="7">
      <c r="B7" s="24" t="inlineStr">
        <is>
          <t>CLR_INVOICE_RECORD</t>
        </is>
      </c>
      <c r="C7" s="24" t="inlineStr">
        <is>
          <t>INVOICEDATE</t>
        </is>
      </c>
      <c r="D7" s="24" t="inlineStr">
        <is>
          <t>VARCHAR（80）</t>
        </is>
      </c>
      <c r="E7" s="24" t="inlineStr">
        <is>
          <t>YES</t>
        </is>
      </c>
      <c r="F7" s="24" t="inlineStr">
        <is>
          <t>开票时间</t>
        </is>
      </c>
      <c r="G7" s="39" t="n"/>
      <c r="H7" s="21" t="n"/>
      <c r="I7" s="7" t="n"/>
      <c r="J7" s="35" t="n">
        <v>45727</v>
      </c>
    </row>
    <row r="8">
      <c r="B8" s="24" t="inlineStr">
        <is>
          <t>CLR_INVOICE_RECORD</t>
        </is>
      </c>
      <c r="C8" s="24" t="inlineStr">
        <is>
          <t>CONTRACTNO</t>
        </is>
      </c>
      <c r="D8" s="24" t="inlineStr">
        <is>
          <t>VARCHAR（10）</t>
        </is>
      </c>
      <c r="E8" s="24" t="inlineStr">
        <is>
          <t>YES</t>
        </is>
      </c>
      <c r="F8" s="24" t="inlineStr">
        <is>
          <t>合同号</t>
        </is>
      </c>
      <c r="G8" s="39" t="n"/>
      <c r="H8" s="41" t="n"/>
      <c r="I8" s="7" t="n"/>
      <c r="J8" s="35" t="n">
        <v>45727</v>
      </c>
    </row>
    <row r="9">
      <c r="B9" s="24" t="inlineStr">
        <is>
          <t>CLR_INVOICE_RECORD</t>
        </is>
      </c>
      <c r="C9" s="24" t="inlineStr">
        <is>
          <t>CONTRACTNAME</t>
        </is>
      </c>
      <c r="D9" s="24" t="inlineStr">
        <is>
          <t>decimal(24,6)</t>
        </is>
      </c>
      <c r="E9" s="24" t="inlineStr">
        <is>
          <t>YES</t>
        </is>
      </c>
      <c r="F9" s="32" t="inlineStr">
        <is>
          <t xml:space="preserve">合同名称 </t>
        </is>
      </c>
      <c r="G9" s="39" t="n"/>
      <c r="H9" s="41" t="n"/>
      <c r="I9" s="7" t="n"/>
      <c r="J9" s="35" t="n">
        <v>45727</v>
      </c>
    </row>
    <row r="10">
      <c r="B10" s="24" t="inlineStr">
        <is>
          <t>CLR_INVOICE_RECORD</t>
        </is>
      </c>
      <c r="C10" s="24" t="inlineStr">
        <is>
          <t>CONTRACTDATE</t>
        </is>
      </c>
      <c r="D10" s="24" t="inlineStr">
        <is>
          <t>decimal(24,6)</t>
        </is>
      </c>
      <c r="E10" s="24" t="inlineStr">
        <is>
          <t>YES</t>
        </is>
      </c>
      <c r="F10" s="32" t="inlineStr">
        <is>
          <t xml:space="preserve">合同签订日期 </t>
        </is>
      </c>
      <c r="G10" s="39" t="n"/>
      <c r="H10" s="33" t="n"/>
      <c r="I10" s="7" t="n"/>
      <c r="J10" s="35" t="n">
        <v>45727</v>
      </c>
    </row>
    <row r="11">
      <c r="B11" s="24" t="inlineStr">
        <is>
          <t>CLR_INVOICE_RECORD</t>
        </is>
      </c>
      <c r="C11" s="24" t="inlineStr">
        <is>
          <t>INPUTORG</t>
        </is>
      </c>
      <c r="D11" s="24" t="inlineStr">
        <is>
          <t>varchar(32)</t>
        </is>
      </c>
      <c r="E11" s="24" t="inlineStr">
        <is>
          <t>YES</t>
        </is>
      </c>
      <c r="F11" s="32" t="inlineStr">
        <is>
          <t>登记机构</t>
        </is>
      </c>
      <c r="G11" s="39" t="n"/>
      <c r="H11" s="21" t="n"/>
      <c r="I11" s="7" t="inlineStr"/>
      <c r="J11" s="35" t="n">
        <v>45727</v>
      </c>
    </row>
    <row r="12">
      <c r="B12" s="24" t="inlineStr">
        <is>
          <t>CLR_INVOICE_RECORD</t>
        </is>
      </c>
      <c r="C12" s="24" t="inlineStr">
        <is>
          <t>INPUTTIME</t>
        </is>
      </c>
      <c r="D12" s="24" t="inlineStr">
        <is>
          <t>datetime</t>
        </is>
      </c>
      <c r="E12" s="24" t="inlineStr">
        <is>
          <t>YES</t>
        </is>
      </c>
      <c r="F12" s="32" t="inlineStr">
        <is>
          <t>登记时间</t>
        </is>
      </c>
      <c r="G12" s="24" t="n"/>
      <c r="H12" s="23" t="n"/>
      <c r="I12" s="24" t="inlineStr"/>
      <c r="J12" s="35" t="n">
        <v>45727</v>
      </c>
    </row>
    <row r="13">
      <c r="B13" s="24" t="inlineStr">
        <is>
          <t>CLR_INVOICE_RECORD</t>
        </is>
      </c>
      <c r="C13" s="24" t="inlineStr">
        <is>
          <t>UPDATEUSER</t>
        </is>
      </c>
      <c r="D13" s="24" t="inlineStr">
        <is>
          <t>varchar(32)</t>
        </is>
      </c>
      <c r="E13" s="24" t="inlineStr">
        <is>
          <t>YES</t>
        </is>
      </c>
      <c r="F13" s="32" t="inlineStr">
        <is>
          <t>更新人</t>
        </is>
      </c>
      <c r="G13" s="24" t="n"/>
      <c r="H13" s="24" t="n"/>
      <c r="I13" s="24" t="inlineStr"/>
      <c r="J13" s="35" t="n">
        <v>45727</v>
      </c>
    </row>
    <row r="14">
      <c r="B14" s="24" t="inlineStr">
        <is>
          <t>CLR_INVOICE_RECORD</t>
        </is>
      </c>
      <c r="C14" s="24" t="inlineStr">
        <is>
          <t>UPDATETIME</t>
        </is>
      </c>
      <c r="D14" s="24" t="inlineStr">
        <is>
          <t>datetime</t>
        </is>
      </c>
      <c r="E14" s="24" t="inlineStr">
        <is>
          <t>YES</t>
        </is>
      </c>
      <c r="F14" s="32" t="inlineStr">
        <is>
          <t>更新时间</t>
        </is>
      </c>
      <c r="G14" s="24" t="n"/>
      <c r="H14" s="24" t="n"/>
      <c r="I14" s="24" t="inlineStr"/>
      <c r="J14" s="35" t="n">
        <v>45727</v>
      </c>
    </row>
    <row r="15">
      <c r="B15" s="24" t="inlineStr">
        <is>
          <t>CLR_INVOICE_RECORD</t>
        </is>
      </c>
      <c r="C15" s="24" t="inlineStr">
        <is>
          <t>UPDATEUSERID</t>
        </is>
      </c>
      <c r="D15" s="24" t="inlineStr">
        <is>
          <t>varchar(32)</t>
        </is>
      </c>
      <c r="E15" s="24" t="inlineStr">
        <is>
          <t>YES</t>
        </is>
      </c>
      <c r="F15" s="32" t="inlineStr">
        <is>
          <t>更新人编号</t>
        </is>
      </c>
      <c r="G15" s="24" t="n"/>
      <c r="H15" s="24" t="n"/>
      <c r="I15" s="24" t="inlineStr"/>
      <c r="J15" s="35" t="n">
        <v>45727</v>
      </c>
    </row>
    <row r="16">
      <c r="B16" s="24" t="inlineStr">
        <is>
          <t>CLR_INVOICE_RECORD</t>
        </is>
      </c>
      <c r="C16" s="24" t="inlineStr">
        <is>
          <t>UPDATEORGID</t>
        </is>
      </c>
      <c r="D16" s="24" t="inlineStr">
        <is>
          <t>varchar(32)</t>
        </is>
      </c>
      <c r="E16" s="24" t="inlineStr">
        <is>
          <t>YES</t>
        </is>
      </c>
      <c r="F16" s="32" t="inlineStr">
        <is>
          <t>更新机构</t>
        </is>
      </c>
      <c r="G16" s="24" t="n"/>
      <c r="H16" s="24" t="n"/>
      <c r="I16" s="24" t="inlineStr"/>
      <c r="J16" s="35" t="n">
        <v>45727</v>
      </c>
    </row>
    <row r="17">
      <c r="B17" s="24" t="inlineStr">
        <is>
          <t>CLR_INVOICE_RECORD</t>
        </is>
      </c>
      <c r="C17" s="24" t="inlineStr">
        <is>
          <t>INPUTORGID</t>
        </is>
      </c>
      <c r="D17" s="24" t="inlineStr">
        <is>
          <t>varchar(32)</t>
        </is>
      </c>
      <c r="E17" s="24" t="inlineStr">
        <is>
          <t>YES</t>
        </is>
      </c>
      <c r="F17" s="32" t="inlineStr">
        <is>
          <t>登记机构编号</t>
        </is>
      </c>
      <c r="G17" s="24" t="n"/>
      <c r="H17" s="24" t="n"/>
      <c r="I17" s="24" t="inlineStr"/>
      <c r="J17" s="35" t="n">
        <v>45727</v>
      </c>
    </row>
    <row r="18">
      <c r="B18" s="24" t="inlineStr">
        <is>
          <t>CLR_INVOICE_RECORD</t>
        </is>
      </c>
      <c r="C18" s="24" t="inlineStr">
        <is>
          <t>INPUTUSERID</t>
        </is>
      </c>
      <c r="D18" s="24" t="inlineStr">
        <is>
          <t>varchar(32)</t>
        </is>
      </c>
      <c r="E18" s="24" t="inlineStr">
        <is>
          <t>YES</t>
        </is>
      </c>
      <c r="F18" s="32" t="inlineStr">
        <is>
          <t>登记人编号</t>
        </is>
      </c>
      <c r="G18" s="24" t="n"/>
      <c r="H18" s="24" t="n"/>
      <c r="I18" s="24" t="inlineStr"/>
      <c r="J18" s="35" t="n">
        <v>45727</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K14"/>
  <sheetViews>
    <sheetView workbookViewId="0">
      <selection activeCell="B14" sqref="B14"/>
    </sheetView>
  </sheetViews>
  <sheetFormatPr baseColWidth="8" defaultColWidth="9.142857142857141" defaultRowHeight="15.2"/>
  <cols>
    <col width="30.4285714285714" customWidth="1" style="170" min="2" max="2"/>
    <col width="18" customWidth="1" style="170" min="3" max="3"/>
    <col width="14" customWidth="1" style="170" min="4" max="4"/>
    <col width="64.5714285714286" customWidth="1" style="170" min="6" max="6"/>
    <col width="15.2857142857143" customWidth="1" style="170" min="8" max="8"/>
    <col width="16.0625" customWidth="1" style="170" min="10" max="10"/>
    <col width="25.0714285714286" customWidth="1" style="170" min="11" max="11"/>
    <col width="30.7142857142857" customWidth="1" style="170" min="12" max="27"/>
    <col width="28.7142857142857" customWidth="1" style="170" min="28" max="31"/>
    <col width="11.0714285714286" customWidth="1" style="170" min="32" max="32"/>
  </cols>
  <sheetData>
    <row r="1">
      <c r="A1" s="1">
        <f>HYPERLINK("#表结构清单!A1","返回")</f>
        <v/>
      </c>
      <c r="B1" s="2" t="inlineStr">
        <is>
          <t>评估申请押品关联表</t>
        </is>
      </c>
    </row>
    <row r="2">
      <c r="B2" s="13" t="inlineStr">
        <is>
          <t>表名</t>
        </is>
      </c>
      <c r="C2" s="13" t="inlineStr">
        <is>
          <t>列名</t>
        </is>
      </c>
      <c r="D2" s="13" t="inlineStr">
        <is>
          <t>字段类型</t>
        </is>
      </c>
      <c r="E2" s="13" t="inlineStr">
        <is>
          <t>是否为空</t>
        </is>
      </c>
      <c r="F2" s="13" t="inlineStr">
        <is>
          <t>字段注释</t>
        </is>
      </c>
      <c r="G2" s="13" t="inlineStr">
        <is>
          <t>码值</t>
        </is>
      </c>
      <c r="H2" s="3" t="inlineStr">
        <is>
          <t>备注</t>
        </is>
      </c>
      <c r="I2" s="13" t="inlineStr">
        <is>
          <t>修订人</t>
        </is>
      </c>
      <c r="J2" s="25" t="inlineStr">
        <is>
          <t>修订日期</t>
        </is>
      </c>
      <c r="K2" s="21" t="n"/>
    </row>
    <row r="3">
      <c r="B3" s="24" t="inlineStr">
        <is>
          <t>CLR_EVALUATION_APPL_GROUP</t>
        </is>
      </c>
      <c r="C3" s="24" t="inlineStr">
        <is>
          <t>APPLID</t>
        </is>
      </c>
      <c r="D3" s="24" t="inlineStr">
        <is>
          <t>VARCHAR（40）</t>
        </is>
      </c>
      <c r="E3" s="24" t="inlineStr">
        <is>
          <t>YES</t>
        </is>
      </c>
      <c r="F3" s="43" t="inlineStr">
        <is>
          <t>评估申请ID</t>
        </is>
      </c>
      <c r="G3" s="39" t="n"/>
      <c r="H3" s="21" t="n"/>
      <c r="I3" s="7" t="n"/>
      <c r="J3" s="26" t="n">
        <v>45727</v>
      </c>
      <c r="K3" s="21" t="n"/>
    </row>
    <row r="4">
      <c r="B4" s="24" t="inlineStr">
        <is>
          <t>CLR_EVALUATION_APPL_GROUP</t>
        </is>
      </c>
      <c r="C4" s="24" t="inlineStr">
        <is>
          <t>CLRID</t>
        </is>
      </c>
      <c r="D4" s="24" t="inlineStr">
        <is>
          <t>VARCHAR（40）</t>
        </is>
      </c>
      <c r="E4" s="24" t="inlineStr">
        <is>
          <t>YES</t>
        </is>
      </c>
      <c r="F4" s="43" t="inlineStr">
        <is>
          <t>押品编号</t>
        </is>
      </c>
      <c r="G4" s="39" t="n"/>
      <c r="H4" s="24" t="n"/>
      <c r="I4" s="7" t="n"/>
      <c r="J4" s="26" t="n">
        <v>45727</v>
      </c>
      <c r="K4" s="21" t="n"/>
    </row>
    <row r="5" ht="16" customHeight="1" s="170">
      <c r="B5" s="24" t="inlineStr">
        <is>
          <t>CLR_EVALUATION_APPL_GROUP</t>
        </is>
      </c>
      <c r="C5" s="24" t="inlineStr">
        <is>
          <t>APPLTYPE</t>
        </is>
      </c>
      <c r="D5" s="24" t="inlineStr">
        <is>
          <t>VARCHAR（8）</t>
        </is>
      </c>
      <c r="E5" s="24" t="inlineStr">
        <is>
          <t>YES</t>
        </is>
      </c>
      <c r="F5" s="43" t="inlineStr">
        <is>
          <t>发起类型</t>
        </is>
      </c>
      <c r="G5" s="39" t="n"/>
      <c r="H5" s="21" t="inlineStr">
        <is>
          <t>1-自动发起、 2-手动发起</t>
        </is>
      </c>
      <c r="I5" s="7" t="n"/>
      <c r="J5" s="26" t="n">
        <v>45727</v>
      </c>
      <c r="K5" s="21" t="n"/>
    </row>
    <row r="6">
      <c r="B6" s="24" t="inlineStr">
        <is>
          <t>CLR_EVALUATION_APPL_GROUP</t>
        </is>
      </c>
      <c r="C6" s="24" t="inlineStr">
        <is>
          <t>INPUTORG</t>
        </is>
      </c>
      <c r="D6" s="24" t="inlineStr">
        <is>
          <t>varchar(32)</t>
        </is>
      </c>
      <c r="E6" s="24" t="inlineStr">
        <is>
          <t>YES</t>
        </is>
      </c>
      <c r="F6" s="43" t="inlineStr">
        <is>
          <t>登记机构</t>
        </is>
      </c>
      <c r="G6" s="39" t="n"/>
      <c r="H6" s="21" t="n"/>
      <c r="I6" s="7" t="inlineStr"/>
      <c r="J6" s="26" t="n">
        <v>45727</v>
      </c>
      <c r="K6" s="21" t="n"/>
    </row>
    <row r="7">
      <c r="B7" s="24" t="inlineStr">
        <is>
          <t>CLR_EVALUATION_APPL_GROUP</t>
        </is>
      </c>
      <c r="C7" s="24" t="inlineStr">
        <is>
          <t>INPUTTIME</t>
        </is>
      </c>
      <c r="D7" s="24" t="inlineStr">
        <is>
          <t>datetime</t>
        </is>
      </c>
      <c r="E7" s="24" t="inlineStr">
        <is>
          <t>YES</t>
        </is>
      </c>
      <c r="F7" s="43" t="inlineStr">
        <is>
          <t>登记时间</t>
        </is>
      </c>
      <c r="G7" s="24" t="n"/>
      <c r="H7" s="23" t="n"/>
      <c r="I7" s="24" t="inlineStr"/>
      <c r="J7" s="26" t="n">
        <v>45727</v>
      </c>
      <c r="K7" s="21" t="n"/>
    </row>
    <row r="8">
      <c r="B8" s="24" t="inlineStr">
        <is>
          <t>CLR_EVALUATION_APPL_GROUP</t>
        </is>
      </c>
      <c r="C8" s="24" t="inlineStr">
        <is>
          <t>UPDATEUSER</t>
        </is>
      </c>
      <c r="D8" s="24" t="inlineStr">
        <is>
          <t>varchar(32)</t>
        </is>
      </c>
      <c r="E8" s="24" t="inlineStr">
        <is>
          <t>YES</t>
        </is>
      </c>
      <c r="F8" s="43" t="inlineStr">
        <is>
          <t>更新人</t>
        </is>
      </c>
      <c r="G8" s="24" t="n"/>
      <c r="H8" s="24" t="n"/>
      <c r="I8" s="24" t="inlineStr"/>
      <c r="J8" s="26" t="n">
        <v>45727</v>
      </c>
      <c r="K8" s="21" t="n"/>
    </row>
    <row r="9">
      <c r="B9" s="24" t="inlineStr">
        <is>
          <t>CLR_EVALUATION_APPL_GROUP</t>
        </is>
      </c>
      <c r="C9" s="24" t="inlineStr">
        <is>
          <t>UPDATETIME</t>
        </is>
      </c>
      <c r="D9" s="24" t="inlineStr">
        <is>
          <t>datetime</t>
        </is>
      </c>
      <c r="E9" s="24" t="inlineStr">
        <is>
          <t>YES</t>
        </is>
      </c>
      <c r="F9" s="43" t="inlineStr">
        <is>
          <t>更新时间</t>
        </is>
      </c>
      <c r="G9" s="24" t="n"/>
      <c r="H9" s="24" t="n"/>
      <c r="I9" s="24" t="inlineStr"/>
      <c r="J9" s="26" t="n">
        <v>45727</v>
      </c>
      <c r="K9" s="21" t="n"/>
    </row>
    <row r="10">
      <c r="B10" s="24" t="inlineStr">
        <is>
          <t>CLR_EVALUATION_APPL_GROUP</t>
        </is>
      </c>
      <c r="C10" s="24" t="inlineStr">
        <is>
          <t>UPDATEUSERID</t>
        </is>
      </c>
      <c r="D10" s="24" t="inlineStr">
        <is>
          <t>varchar(32)</t>
        </is>
      </c>
      <c r="E10" s="24" t="inlineStr">
        <is>
          <t>YES</t>
        </is>
      </c>
      <c r="F10" s="43" t="inlineStr">
        <is>
          <t>更新人编号</t>
        </is>
      </c>
      <c r="G10" s="24" t="n"/>
      <c r="H10" s="24" t="n"/>
      <c r="I10" s="24" t="inlineStr"/>
      <c r="J10" s="26" t="n">
        <v>45727</v>
      </c>
      <c r="K10" s="21" t="n"/>
    </row>
    <row r="11">
      <c r="B11" s="24" t="inlineStr">
        <is>
          <t>CLR_EVALUATION_APPL_GROUP</t>
        </is>
      </c>
      <c r="C11" s="24" t="inlineStr">
        <is>
          <t>UPDATEORGID</t>
        </is>
      </c>
      <c r="D11" s="24" t="inlineStr">
        <is>
          <t>varchar(32)</t>
        </is>
      </c>
      <c r="E11" s="24" t="inlineStr">
        <is>
          <t>YES</t>
        </is>
      </c>
      <c r="F11" s="43" t="inlineStr">
        <is>
          <t>更新机构</t>
        </is>
      </c>
      <c r="G11" s="24" t="n"/>
      <c r="H11" s="24" t="n"/>
      <c r="I11" s="24" t="inlineStr"/>
      <c r="J11" s="26" t="n">
        <v>45727</v>
      </c>
      <c r="K11" s="21" t="n"/>
    </row>
    <row r="12">
      <c r="B12" s="24" t="inlineStr">
        <is>
          <t>CLR_EVALUATION_APPL_GROUP</t>
        </is>
      </c>
      <c r="C12" s="24" t="inlineStr">
        <is>
          <t>INPUTORGID</t>
        </is>
      </c>
      <c r="D12" s="24" t="inlineStr">
        <is>
          <t>varchar(32)</t>
        </is>
      </c>
      <c r="E12" s="24" t="inlineStr">
        <is>
          <t>YES</t>
        </is>
      </c>
      <c r="F12" s="43" t="inlineStr">
        <is>
          <t>登记机构编号</t>
        </is>
      </c>
      <c r="G12" s="24" t="n"/>
      <c r="H12" s="24" t="n"/>
      <c r="I12" s="24" t="inlineStr"/>
      <c r="J12" s="26" t="n">
        <v>45727</v>
      </c>
      <c r="K12" s="21" t="n"/>
    </row>
    <row r="13">
      <c r="B13" s="24" t="inlineStr">
        <is>
          <t>CLR_EVALUATION_APPL_GROUP</t>
        </is>
      </c>
      <c r="C13" s="24" t="inlineStr">
        <is>
          <t>INPUTUSERID</t>
        </is>
      </c>
      <c r="D13" s="24" t="inlineStr">
        <is>
          <t>varchar(32)</t>
        </is>
      </c>
      <c r="E13" s="24" t="inlineStr">
        <is>
          <t>YES</t>
        </is>
      </c>
      <c r="F13" s="43" t="inlineStr">
        <is>
          <t>登记人编号</t>
        </is>
      </c>
      <c r="G13" s="24" t="n"/>
      <c r="H13" s="24" t="n"/>
      <c r="I13" s="24" t="inlineStr"/>
      <c r="J13" s="26" t="n">
        <v>45727</v>
      </c>
      <c r="K13" s="21" t="n"/>
    </row>
    <row r="14">
      <c r="F14" s="2" t="n"/>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J21"/>
  <sheetViews>
    <sheetView zoomScale="104" zoomScaleNormal="104" workbookViewId="0">
      <selection activeCell="A1" sqref="A1"/>
    </sheetView>
  </sheetViews>
  <sheetFormatPr baseColWidth="8" defaultColWidth="9.142857142857141" defaultRowHeight="15.2"/>
  <cols>
    <col width="25.2946428571429" customWidth="1" style="170" min="2" max="2"/>
    <col width="20.1428571428571" customWidth="1" style="170" min="3" max="3"/>
    <col width="14" customWidth="1" style="170" min="4" max="4"/>
    <col width="64.5714285714286" customWidth="1" style="170" min="6" max="6"/>
    <col width="15.2857142857143" customWidth="1" style="170" min="8" max="8"/>
    <col width="16.0625" customWidth="1" style="170" min="10" max="10"/>
    <col width="25.0714285714286" customWidth="1" style="170" min="11" max="11"/>
    <col width="30.7142857142857" customWidth="1" style="170" min="12" max="27"/>
    <col width="28.7142857142857" customWidth="1" style="170" min="28" max="31"/>
    <col width="11.0714285714286" customWidth="1" style="170" min="32" max="32"/>
  </cols>
  <sheetData>
    <row r="1">
      <c r="A1" s="1">
        <f>HYPERLINK("#表结构清单!A1","返回")</f>
        <v/>
      </c>
      <c r="B1" s="2" t="inlineStr">
        <is>
          <t>线上评估结果</t>
        </is>
      </c>
    </row>
    <row r="2">
      <c r="B2" s="13" t="inlineStr">
        <is>
          <t>表名</t>
        </is>
      </c>
      <c r="C2" s="13" t="inlineStr">
        <is>
          <t>列名</t>
        </is>
      </c>
      <c r="D2" s="13" t="inlineStr">
        <is>
          <t>字段类型</t>
        </is>
      </c>
      <c r="E2" s="13" t="inlineStr">
        <is>
          <t>是否为空</t>
        </is>
      </c>
      <c r="F2" s="13" t="inlineStr">
        <is>
          <t>字段注释</t>
        </is>
      </c>
      <c r="G2" s="13" t="inlineStr">
        <is>
          <t>码值</t>
        </is>
      </c>
      <c r="H2" s="3" t="inlineStr">
        <is>
          <t>备注</t>
        </is>
      </c>
      <c r="I2" s="13" t="inlineStr">
        <is>
          <t>修订人</t>
        </is>
      </c>
      <c r="J2" s="13" t="inlineStr">
        <is>
          <t>修订日期</t>
        </is>
      </c>
    </row>
    <row r="3">
      <c r="B3" s="24" t="inlineStr">
        <is>
          <t>CLR_ONLINE_RESULT</t>
        </is>
      </c>
      <c r="C3" s="24" t="inlineStr">
        <is>
          <t>SERIALNO</t>
        </is>
      </c>
      <c r="D3" s="24" t="inlineStr">
        <is>
          <t>VARCHAR（40）</t>
        </is>
      </c>
      <c r="E3" s="24" t="inlineStr">
        <is>
          <t>YES</t>
        </is>
      </c>
      <c r="F3" s="43" t="inlineStr">
        <is>
          <t>线上评估流水号</t>
        </is>
      </c>
      <c r="G3" s="39" t="n"/>
      <c r="H3" s="21" t="n"/>
      <c r="I3" s="7" t="n"/>
      <c r="J3" s="35" t="n">
        <v>45727</v>
      </c>
    </row>
    <row r="4">
      <c r="B4" s="24" t="inlineStr">
        <is>
          <t>CLR_ONLINE_RESULT</t>
        </is>
      </c>
      <c r="C4" s="24" t="inlineStr">
        <is>
          <t>CLRID</t>
        </is>
      </c>
      <c r="D4" s="24" t="inlineStr">
        <is>
          <t>VARCHAR（40）</t>
        </is>
      </c>
      <c r="E4" s="24" t="inlineStr">
        <is>
          <t>YES</t>
        </is>
      </c>
      <c r="F4" s="43" t="inlineStr">
        <is>
          <t>押品编号</t>
        </is>
      </c>
      <c r="G4" s="39" t="n"/>
      <c r="H4" s="24" t="n"/>
      <c r="I4" s="7" t="n"/>
      <c r="J4" s="35" t="n">
        <v>45727</v>
      </c>
    </row>
    <row r="5">
      <c r="B5" s="24" t="inlineStr">
        <is>
          <t>CLR_ONLINE_RESULT</t>
        </is>
      </c>
      <c r="C5" s="24" t="inlineStr">
        <is>
          <t>APPLID</t>
        </is>
      </c>
      <c r="D5" s="24" t="inlineStr">
        <is>
          <t>VARCHAR（40）</t>
        </is>
      </c>
      <c r="E5" s="24" t="inlineStr">
        <is>
          <t>YES</t>
        </is>
      </c>
      <c r="F5" s="43" t="inlineStr">
        <is>
          <t>评估申请编号</t>
        </is>
      </c>
      <c r="G5" s="39" t="n"/>
      <c r="H5" s="24" t="n"/>
      <c r="I5" s="7" t="n"/>
      <c r="J5" s="35" t="n">
        <v>45727</v>
      </c>
    </row>
    <row r="6" ht="16" customHeight="1" s="170">
      <c r="B6" s="24" t="inlineStr">
        <is>
          <t>CLR_ONLINE_RESULT</t>
        </is>
      </c>
      <c r="C6" s="24" t="inlineStr">
        <is>
          <t>APPLTYPE</t>
        </is>
      </c>
      <c r="D6" s="24" t="inlineStr">
        <is>
          <t>VARCHAR（8）</t>
        </is>
      </c>
      <c r="E6" s="24" t="inlineStr">
        <is>
          <t>YES</t>
        </is>
      </c>
      <c r="F6" s="43" t="inlineStr">
        <is>
          <t>发起类型</t>
        </is>
      </c>
      <c r="G6" s="39" t="n"/>
      <c r="H6" s="21" t="inlineStr">
        <is>
          <t>1-自动发起、 2-手动发起</t>
        </is>
      </c>
      <c r="I6" s="7" t="n"/>
      <c r="J6" s="35" t="n">
        <v>45727</v>
      </c>
    </row>
    <row r="7">
      <c r="B7" s="24" t="inlineStr">
        <is>
          <t>CLR_ONLINE_RESULT</t>
        </is>
      </c>
      <c r="C7" t="inlineStr">
        <is>
          <t>UNITPRICE</t>
        </is>
      </c>
      <c r="D7" s="39" t="inlineStr">
        <is>
          <t>DECIMAL（24,6）</t>
        </is>
      </c>
      <c r="E7" s="24" t="inlineStr">
        <is>
          <t>YES</t>
        </is>
      </c>
      <c r="F7" s="43" t="inlineStr">
        <is>
          <t>评估单价</t>
        </is>
      </c>
      <c r="G7" s="39" t="n"/>
      <c r="H7" s="21" t="n"/>
      <c r="I7" s="7" t="n"/>
      <c r="J7" s="35" t="n">
        <v>45727</v>
      </c>
    </row>
    <row r="8">
      <c r="B8" s="24" t="inlineStr">
        <is>
          <t>CLR_ONLINE_RESULT</t>
        </is>
      </c>
      <c r="C8" t="inlineStr">
        <is>
          <t>TOTALPRICE</t>
        </is>
      </c>
      <c r="D8" s="39" t="inlineStr">
        <is>
          <t>DECIMAL（24,6）</t>
        </is>
      </c>
      <c r="E8" s="24" t="inlineStr">
        <is>
          <t>YES</t>
        </is>
      </c>
      <c r="F8" s="43" t="inlineStr">
        <is>
          <t>评估总价</t>
        </is>
      </c>
      <c r="G8" s="39" t="n"/>
      <c r="H8" s="21" t="n"/>
      <c r="I8" s="7" t="n"/>
      <c r="J8" s="35" t="n">
        <v>45727</v>
      </c>
    </row>
    <row r="9">
      <c r="B9" s="24" t="inlineStr">
        <is>
          <t>CLR_ONLINE_RESULT</t>
        </is>
      </c>
      <c r="C9" s="24" t="inlineStr">
        <is>
          <t>EVALDATE</t>
        </is>
      </c>
      <c r="D9" s="24" t="inlineStr">
        <is>
          <t>datetime</t>
        </is>
      </c>
      <c r="E9" s="24" t="inlineStr">
        <is>
          <t>YES</t>
        </is>
      </c>
      <c r="F9" s="43" t="inlineStr">
        <is>
          <t>价格时点</t>
        </is>
      </c>
      <c r="G9" s="39" t="n"/>
      <c r="H9" s="21" t="n"/>
      <c r="I9" s="7" t="n"/>
      <c r="J9" s="35" t="n">
        <v>45727</v>
      </c>
    </row>
    <row r="10">
      <c r="B10" s="24" t="inlineStr">
        <is>
          <t>CLR_ONLINE_RESULT</t>
        </is>
      </c>
      <c r="C10" s="24" t="inlineStr">
        <is>
          <t>APPRAISALORGNAME</t>
        </is>
      </c>
      <c r="D10" s="24" t="inlineStr">
        <is>
          <t>VARCHAR（40）</t>
        </is>
      </c>
      <c r="E10" s="24" t="inlineStr">
        <is>
          <t>YES</t>
        </is>
      </c>
      <c r="F10" s="43" t="inlineStr">
        <is>
          <t>评估机构名称</t>
        </is>
      </c>
      <c r="G10" s="39" t="n"/>
      <c r="H10" s="21" t="n"/>
      <c r="I10" s="7" t="n"/>
      <c r="J10" s="35" t="n">
        <v>45727</v>
      </c>
    </row>
    <row r="11">
      <c r="B11" s="24" t="inlineStr">
        <is>
          <t>CLR_ONLINE_RESULT</t>
        </is>
      </c>
      <c r="C11" s="24" t="inlineStr">
        <is>
          <t>APPRAISALORGID</t>
        </is>
      </c>
      <c r="D11" s="24" t="inlineStr">
        <is>
          <t>VARCHAR（40）</t>
        </is>
      </c>
      <c r="E11" s="24" t="inlineStr">
        <is>
          <t>YES</t>
        </is>
      </c>
      <c r="F11" s="43" t="inlineStr">
        <is>
          <t>评估机构编号</t>
        </is>
      </c>
      <c r="G11" s="39" t="n"/>
      <c r="H11" s="21" t="n"/>
      <c r="I11" s="7" t="n"/>
      <c r="J11" s="35" t="n">
        <v>45727</v>
      </c>
    </row>
    <row r="12">
      <c r="B12" s="24" t="inlineStr">
        <is>
          <t>CLR_ONLINE_RESULT</t>
        </is>
      </c>
      <c r="C12" s="24" t="inlineStr">
        <is>
          <t>EVALMETHOD</t>
        </is>
      </c>
      <c r="D12" s="24" t="inlineStr">
        <is>
          <t>VARCHAR（40）</t>
        </is>
      </c>
      <c r="E12" s="24" t="inlineStr">
        <is>
          <t>YES</t>
        </is>
      </c>
      <c r="F12" s="43" t="inlineStr">
        <is>
          <t>评估方法</t>
        </is>
      </c>
      <c r="G12" s="22">
        <f>HYPERLINK("#码值映射清单!B6437","OutterEvalMethod")</f>
        <v/>
      </c>
      <c r="H12" s="21" t="n"/>
      <c r="I12" s="7" t="n"/>
      <c r="J12" s="35" t="n">
        <v>45727</v>
      </c>
    </row>
    <row r="13">
      <c r="B13" s="24" t="inlineStr">
        <is>
          <t>CLR_ONLINE_RESULT</t>
        </is>
      </c>
      <c r="C13" s="24" t="inlineStr">
        <is>
          <t>INPUTORG</t>
        </is>
      </c>
      <c r="D13" s="24" t="inlineStr">
        <is>
          <t>varchar(32)</t>
        </is>
      </c>
      <c r="E13" s="24" t="inlineStr">
        <is>
          <t>YES</t>
        </is>
      </c>
      <c r="F13" s="43" t="inlineStr">
        <is>
          <t>登记机构</t>
        </is>
      </c>
      <c r="G13" s="39" t="n"/>
      <c r="H13" s="21" t="n"/>
      <c r="I13" s="7" t="inlineStr"/>
      <c r="J13" s="35" t="n">
        <v>45727</v>
      </c>
    </row>
    <row r="14">
      <c r="B14" s="24" t="inlineStr">
        <is>
          <t>CLR_ONLINE_RESULT</t>
        </is>
      </c>
      <c r="C14" s="24" t="inlineStr">
        <is>
          <t>INPUTTIME</t>
        </is>
      </c>
      <c r="D14" s="24" t="inlineStr">
        <is>
          <t>datetime</t>
        </is>
      </c>
      <c r="E14" s="24" t="inlineStr">
        <is>
          <t>YES</t>
        </is>
      </c>
      <c r="F14" s="43" t="inlineStr">
        <is>
          <t>登记时间</t>
        </is>
      </c>
      <c r="G14" s="24" t="n"/>
      <c r="H14" s="23" t="n"/>
      <c r="I14" s="24" t="inlineStr"/>
      <c r="J14" s="35" t="n">
        <v>45727</v>
      </c>
    </row>
    <row r="15">
      <c r="B15" s="24" t="inlineStr">
        <is>
          <t>CLR_ONLINE_RESULT</t>
        </is>
      </c>
      <c r="C15" s="24" t="inlineStr">
        <is>
          <t>UPDATEUSER</t>
        </is>
      </c>
      <c r="D15" s="24" t="inlineStr">
        <is>
          <t>varchar(32)</t>
        </is>
      </c>
      <c r="E15" s="24" t="inlineStr">
        <is>
          <t>YES</t>
        </is>
      </c>
      <c r="F15" s="43" t="inlineStr">
        <is>
          <t>更新人</t>
        </is>
      </c>
      <c r="G15" s="24" t="n"/>
      <c r="H15" s="24" t="n"/>
      <c r="I15" s="24" t="inlineStr"/>
      <c r="J15" s="35" t="n">
        <v>45727</v>
      </c>
    </row>
    <row r="16">
      <c r="B16" s="24" t="inlineStr">
        <is>
          <t>CLR_ONLINE_RESULT</t>
        </is>
      </c>
      <c r="C16" s="24" t="inlineStr">
        <is>
          <t>UPDATETIME</t>
        </is>
      </c>
      <c r="D16" s="24" t="inlineStr">
        <is>
          <t>datetime</t>
        </is>
      </c>
      <c r="E16" s="24" t="inlineStr">
        <is>
          <t>YES</t>
        </is>
      </c>
      <c r="F16" s="43" t="inlineStr">
        <is>
          <t>更新时间</t>
        </is>
      </c>
      <c r="G16" s="24" t="n"/>
      <c r="H16" s="24" t="n"/>
      <c r="I16" s="24" t="inlineStr"/>
      <c r="J16" s="35" t="n">
        <v>45727</v>
      </c>
    </row>
    <row r="17">
      <c r="B17" s="24" t="inlineStr">
        <is>
          <t>CLR_ONLINE_RESULT</t>
        </is>
      </c>
      <c r="C17" s="24" t="inlineStr">
        <is>
          <t>UPDATEUSERID</t>
        </is>
      </c>
      <c r="D17" s="24" t="inlineStr">
        <is>
          <t>varchar(32)</t>
        </is>
      </c>
      <c r="E17" s="24" t="inlineStr">
        <is>
          <t>YES</t>
        </is>
      </c>
      <c r="F17" s="43" t="inlineStr">
        <is>
          <t>更新人编号</t>
        </is>
      </c>
      <c r="G17" s="24" t="n"/>
      <c r="H17" s="24" t="n"/>
      <c r="I17" s="24" t="inlineStr"/>
      <c r="J17" s="35" t="n">
        <v>45727</v>
      </c>
    </row>
    <row r="18">
      <c r="B18" s="24" t="inlineStr">
        <is>
          <t>CLR_ONLINE_RESULT</t>
        </is>
      </c>
      <c r="C18" s="24" t="inlineStr">
        <is>
          <t>UPDATEORGID</t>
        </is>
      </c>
      <c r="D18" s="24" t="inlineStr">
        <is>
          <t>varchar(32)</t>
        </is>
      </c>
      <c r="E18" s="24" t="inlineStr">
        <is>
          <t>YES</t>
        </is>
      </c>
      <c r="F18" s="43" t="inlineStr">
        <is>
          <t>更新机构</t>
        </is>
      </c>
      <c r="G18" s="24" t="n"/>
      <c r="H18" s="24" t="n"/>
      <c r="I18" s="24" t="inlineStr"/>
      <c r="J18" s="35" t="n">
        <v>45727</v>
      </c>
    </row>
    <row r="19">
      <c r="B19" s="24" t="inlineStr">
        <is>
          <t>CLR_ONLINE_RESULT</t>
        </is>
      </c>
      <c r="C19" s="24" t="inlineStr">
        <is>
          <t>INPUTORGID</t>
        </is>
      </c>
      <c r="D19" s="24" t="inlineStr">
        <is>
          <t>varchar(32)</t>
        </is>
      </c>
      <c r="E19" s="24" t="inlineStr">
        <is>
          <t>YES</t>
        </is>
      </c>
      <c r="F19" s="43" t="inlineStr">
        <is>
          <t>登记机构编号</t>
        </is>
      </c>
      <c r="G19" s="24" t="n"/>
      <c r="H19" s="24" t="n"/>
      <c r="I19" s="24" t="inlineStr"/>
      <c r="J19" s="35" t="n">
        <v>45727</v>
      </c>
    </row>
    <row r="20">
      <c r="B20" s="24" t="inlineStr">
        <is>
          <t>CLR_ONLINE_RESULT</t>
        </is>
      </c>
      <c r="C20" s="24" t="inlineStr">
        <is>
          <t>INPUTUSERID</t>
        </is>
      </c>
      <c r="D20" s="24" t="inlineStr">
        <is>
          <t>varchar(32)</t>
        </is>
      </c>
      <c r="E20" s="24" t="inlineStr">
        <is>
          <t>YES</t>
        </is>
      </c>
      <c r="F20" s="43" t="inlineStr">
        <is>
          <t>登记人编号</t>
        </is>
      </c>
      <c r="G20" s="24" t="n"/>
      <c r="H20" s="24" t="n"/>
      <c r="I20" s="24" t="inlineStr"/>
      <c r="J20" s="35" t="n">
        <v>45727</v>
      </c>
    </row>
    <row r="21">
      <c r="F21" s="2" t="n"/>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J27"/>
  <sheetViews>
    <sheetView zoomScale="104" zoomScaleNormal="104" workbookViewId="0">
      <selection activeCell="J27" sqref="J27"/>
    </sheetView>
  </sheetViews>
  <sheetFormatPr baseColWidth="8" defaultColWidth="9.142857142857141" defaultRowHeight="15.2"/>
  <cols>
    <col width="25.2946428571429" customWidth="1" style="170" min="2" max="2"/>
    <col width="20.1428571428571" customWidth="1" style="170" min="3" max="3"/>
    <col width="14" customWidth="1" style="170" min="4" max="4"/>
    <col width="17.5982142857143" customWidth="1" style="170" min="6" max="6"/>
    <col width="15.2857142857143" customWidth="1" style="170" min="8" max="8"/>
    <col width="16.0625" customWidth="1" style="170" min="10" max="10"/>
    <col width="25.0714285714286" customWidth="1" style="170" min="11" max="11"/>
    <col width="30.7142857142857" customWidth="1" style="170" min="12" max="27"/>
    <col width="28.7142857142857" customWidth="1" style="170" min="28" max="31"/>
    <col width="11.0714285714286" customWidth="1" style="170" min="32" max="32"/>
  </cols>
  <sheetData>
    <row r="1">
      <c r="A1" s="1">
        <f>HYPERLINK("#表结构清单!A1","返回")</f>
        <v/>
      </c>
      <c r="B1" s="2" t="inlineStr">
        <is>
          <t>线上评估结果</t>
        </is>
      </c>
    </row>
    <row r="2">
      <c r="B2" s="3" t="inlineStr">
        <is>
          <t>表名</t>
        </is>
      </c>
      <c r="C2" s="3" t="inlineStr">
        <is>
          <t>列名</t>
        </is>
      </c>
      <c r="D2" s="3" t="inlineStr">
        <is>
          <t>字段类型</t>
        </is>
      </c>
      <c r="E2" s="3" t="inlineStr">
        <is>
          <t>是否为空</t>
        </is>
      </c>
      <c r="F2" s="3" t="inlineStr">
        <is>
          <t>字段注释</t>
        </is>
      </c>
      <c r="G2" s="3" t="inlineStr">
        <is>
          <t>码值</t>
        </is>
      </c>
      <c r="H2" s="3" t="inlineStr">
        <is>
          <t>备注</t>
        </is>
      </c>
      <c r="I2" s="13" t="inlineStr">
        <is>
          <t>修订人</t>
        </is>
      </c>
      <c r="J2" s="13" t="inlineStr">
        <is>
          <t>修订日期</t>
        </is>
      </c>
    </row>
    <row r="3">
      <c r="B3" s="41" t="inlineStr">
        <is>
          <t>CCMS_PARTYINF</t>
        </is>
      </c>
      <c r="C3" s="21" t="inlineStr">
        <is>
          <t>PRCPTCD</t>
        </is>
      </c>
      <c r="D3" s="21" t="inlineStr">
        <is>
          <t>VARCHAR(14)</t>
        </is>
      </c>
      <c r="E3" s="41" t="inlineStr">
        <is>
          <t>NO</t>
        </is>
      </c>
      <c r="F3" s="21" t="inlineStr">
        <is>
          <t>参与机构行号</t>
        </is>
      </c>
      <c r="G3" s="41" t="n"/>
      <c r="H3" s="8" t="n"/>
      <c r="I3" s="7" t="n"/>
      <c r="J3" s="35" t="n">
        <v>45727</v>
      </c>
    </row>
    <row r="4">
      <c r="B4" s="41" t="inlineStr">
        <is>
          <t>CCMS_PARTYINF</t>
        </is>
      </c>
      <c r="C4" s="21" t="inlineStr">
        <is>
          <t>PRCPTTP</t>
        </is>
      </c>
      <c r="D4" s="21" t="inlineStr">
        <is>
          <t>VARCHAR(2)</t>
        </is>
      </c>
      <c r="E4" s="41" t="inlineStr">
        <is>
          <t>YES</t>
        </is>
      </c>
      <c r="F4" s="21" t="inlineStr">
        <is>
          <t>参与机构类别</t>
        </is>
      </c>
      <c r="G4" s="41" t="n"/>
      <c r="H4" s="7" t="n"/>
      <c r="I4" s="7" t="n"/>
      <c r="J4" s="35" t="n">
        <v>45727</v>
      </c>
    </row>
    <row r="5">
      <c r="B5" s="41" t="inlineStr">
        <is>
          <t>CCMS_PARTYINF</t>
        </is>
      </c>
      <c r="C5" s="21" t="inlineStr">
        <is>
          <t>BKCTGRYCD</t>
        </is>
      </c>
      <c r="D5" s="21" t="inlineStr">
        <is>
          <t>VARCHAR(3)</t>
        </is>
      </c>
      <c r="E5" s="41" t="inlineStr">
        <is>
          <t>YES</t>
        </is>
      </c>
      <c r="F5" s="21" t="inlineStr">
        <is>
          <t>行别代码</t>
        </is>
      </c>
      <c r="G5" s="41" t="n"/>
      <c r="H5" s="7" t="n"/>
      <c r="I5" s="7" t="n"/>
      <c r="J5" s="35" t="n">
        <v>45727</v>
      </c>
    </row>
    <row r="6">
      <c r="B6" s="41" t="inlineStr">
        <is>
          <t>CCMS_PARTYINF</t>
        </is>
      </c>
      <c r="C6" s="21" t="inlineStr">
        <is>
          <t>SUBDRTBKCD</t>
        </is>
      </c>
      <c r="D6" s="21" t="inlineStr">
        <is>
          <t>VARCHAR(14)</t>
        </is>
      </c>
      <c r="E6" s="41" t="inlineStr">
        <is>
          <t>YES</t>
        </is>
      </c>
      <c r="F6" s="21" t="inlineStr">
        <is>
          <t>所属清算行行号</t>
        </is>
      </c>
      <c r="G6" s="41" t="n"/>
      <c r="H6" s="8" t="n"/>
      <c r="I6" s="7" t="n"/>
      <c r="J6" s="35" t="n">
        <v>45727</v>
      </c>
    </row>
    <row r="7">
      <c r="B7" s="41" t="inlineStr">
        <is>
          <t>CCMS_PARTYINF</t>
        </is>
      </c>
      <c r="C7" s="21" t="inlineStr">
        <is>
          <t>SUBLGLPRSN</t>
        </is>
      </c>
      <c r="D7" s="21" t="inlineStr">
        <is>
          <t>VARCHAR(35)</t>
        </is>
      </c>
      <c r="E7" s="41" t="inlineStr">
        <is>
          <t>YES</t>
        </is>
      </c>
      <c r="F7" s="21" t="inlineStr">
        <is>
          <t>所属法人</t>
        </is>
      </c>
      <c r="G7" s="41" t="n"/>
      <c r="H7" s="8" t="n"/>
      <c r="I7" s="7" t="n"/>
      <c r="J7" s="35" t="n">
        <v>45727</v>
      </c>
    </row>
    <row r="8">
      <c r="B8" s="41" t="inlineStr">
        <is>
          <t>CCMS_PARTYINF</t>
        </is>
      </c>
      <c r="C8" s="21" t="inlineStr">
        <is>
          <t>HGRPTCPT</t>
        </is>
      </c>
      <c r="D8" s="21" t="inlineStr">
        <is>
          <t>VARCHAR(70)</t>
        </is>
      </c>
      <c r="E8" s="41" t="inlineStr">
        <is>
          <t>YES</t>
        </is>
      </c>
      <c r="F8" s="21" t="inlineStr">
        <is>
          <t>本行上级参与机构</t>
        </is>
      </c>
      <c r="G8" s="41" t="n"/>
      <c r="H8" s="8" t="n"/>
      <c r="I8" s="7" t="n"/>
      <c r="J8" s="35" t="n">
        <v>45727</v>
      </c>
    </row>
    <row r="9">
      <c r="B9" s="41" t="inlineStr">
        <is>
          <t>CCMS_PARTYINF</t>
        </is>
      </c>
      <c r="C9" s="21" t="inlineStr">
        <is>
          <t>BARBKCD</t>
        </is>
      </c>
      <c r="D9" s="21" t="inlineStr">
        <is>
          <t>VARCHAR(14)</t>
        </is>
      </c>
      <c r="E9" s="41" t="inlineStr">
        <is>
          <t>YES</t>
        </is>
      </c>
      <c r="F9" s="21" t="inlineStr">
        <is>
          <t>承接行行号</t>
        </is>
      </c>
      <c r="G9" s="41" t="n"/>
      <c r="H9" s="8" t="n"/>
      <c r="I9" s="7" t="n"/>
      <c r="J9" s="35" t="n">
        <v>45727</v>
      </c>
    </row>
    <row r="10">
      <c r="B10" s="41" t="inlineStr">
        <is>
          <t>CCMS_PARTYINF</t>
        </is>
      </c>
      <c r="C10" s="21" t="inlineStr">
        <is>
          <t>CHRGBKCD</t>
        </is>
      </c>
      <c r="D10" s="21" t="inlineStr">
        <is>
          <t>VARCHAR(14)</t>
        </is>
      </c>
      <c r="E10" s="41" t="inlineStr">
        <is>
          <t>YES</t>
        </is>
      </c>
      <c r="F10" s="21" t="inlineStr">
        <is>
          <t>管辖人行行号</t>
        </is>
      </c>
      <c r="G10" s="41" t="n"/>
      <c r="H10" s="8" t="n"/>
      <c r="I10" s="7" t="n"/>
      <c r="J10" s="35" t="n">
        <v>45727</v>
      </c>
    </row>
    <row r="11">
      <c r="B11" s="41" t="inlineStr">
        <is>
          <t>CCMS_PARTYINF</t>
        </is>
      </c>
      <c r="C11" s="21" t="inlineStr">
        <is>
          <t>SUBCCPCCD</t>
        </is>
      </c>
      <c r="D11" s="21" t="inlineStr">
        <is>
          <t>VARCHAR(4)</t>
        </is>
      </c>
      <c r="E11" s="41" t="inlineStr">
        <is>
          <t>YES</t>
        </is>
      </c>
      <c r="F11" s="21" t="inlineStr">
        <is>
          <t>所属CCPC</t>
        </is>
      </c>
      <c r="G11" s="41" t="n"/>
      <c r="H11" s="8" t="n"/>
      <c r="I11" s="7" t="n"/>
      <c r="J11" s="35" t="n">
        <v>45727</v>
      </c>
    </row>
    <row r="12">
      <c r="B12" s="41" t="inlineStr">
        <is>
          <t>CCMS_PARTYINF</t>
        </is>
      </c>
      <c r="C12" s="21" t="inlineStr">
        <is>
          <t>CITYCD</t>
        </is>
      </c>
      <c r="D12" s="21" t="inlineStr">
        <is>
          <t>VARCHAR(6)</t>
        </is>
      </c>
      <c r="E12" s="41" t="inlineStr">
        <is>
          <t>YES</t>
        </is>
      </c>
      <c r="F12" s="21" t="inlineStr">
        <is>
          <t>所在城市代码</t>
        </is>
      </c>
      <c r="G12" s="9" t="n"/>
      <c r="H12" s="8" t="n"/>
      <c r="I12" s="7" t="n"/>
      <c r="J12" s="35" t="n">
        <v>45727</v>
      </c>
    </row>
    <row r="13">
      <c r="B13" s="41" t="inlineStr">
        <is>
          <t>CCMS_PARTYINF</t>
        </is>
      </c>
      <c r="C13" s="21" t="inlineStr">
        <is>
          <t>PTCPTNM</t>
        </is>
      </c>
      <c r="D13" s="21" t="inlineStr">
        <is>
          <t>VARCHAR(120)</t>
        </is>
      </c>
      <c r="E13" s="41" t="inlineStr">
        <is>
          <t>YES</t>
        </is>
      </c>
      <c r="F13" s="21" t="inlineStr">
        <is>
          <t>参与机构全称</t>
        </is>
      </c>
      <c r="G13" s="41" t="n"/>
      <c r="H13" s="8" t="n"/>
      <c r="I13" s="7" t="n"/>
      <c r="J13" s="35" t="n">
        <v>45727</v>
      </c>
    </row>
    <row r="14">
      <c r="B14" s="41" t="inlineStr">
        <is>
          <t>CCMS_PARTYINF</t>
        </is>
      </c>
      <c r="C14" s="21" t="inlineStr">
        <is>
          <t>PTCPTSHRTNM</t>
        </is>
      </c>
      <c r="D14" s="21" t="inlineStr">
        <is>
          <t>VARCHAR(70)</t>
        </is>
      </c>
      <c r="E14" s="41" t="inlineStr">
        <is>
          <t>YES</t>
        </is>
      </c>
      <c r="F14" s="21" t="inlineStr">
        <is>
          <t>参与机构简称</t>
        </is>
      </c>
      <c r="G14" s="41" t="n"/>
      <c r="H14" s="10" t="n"/>
      <c r="I14" s="24" t="inlineStr"/>
      <c r="J14" s="35" t="n">
        <v>45727</v>
      </c>
    </row>
    <row r="15">
      <c r="B15" s="41" t="inlineStr">
        <is>
          <t>CCMS_PARTYINF</t>
        </is>
      </c>
      <c r="C15" s="21" t="inlineStr">
        <is>
          <t>JNTXSYSSGN</t>
        </is>
      </c>
      <c r="D15" s="21" t="inlineStr">
        <is>
          <t>VARCHAR(10)</t>
        </is>
      </c>
      <c r="E15" s="41" t="inlineStr">
        <is>
          <t>YES</t>
        </is>
      </c>
      <c r="F15" s="21" t="inlineStr">
        <is>
          <t>加入业务系统标识</t>
        </is>
      </c>
      <c r="G15" s="41" t="n"/>
      <c r="H15" s="7" t="n"/>
      <c r="I15" s="24" t="inlineStr"/>
      <c r="J15" s="35" t="n">
        <v>45727</v>
      </c>
    </row>
    <row r="16">
      <c r="B16" s="41" t="inlineStr">
        <is>
          <t>CCMS_PARTYINF</t>
        </is>
      </c>
      <c r="C16" s="21" t="inlineStr">
        <is>
          <t>ADR</t>
        </is>
      </c>
      <c r="D16" s="21" t="inlineStr">
        <is>
          <t>VARCHAR(512)</t>
        </is>
      </c>
      <c r="E16" s="41" t="inlineStr">
        <is>
          <t>YES</t>
        </is>
      </c>
      <c r="F16" s="21" t="inlineStr">
        <is>
          <t>地址</t>
        </is>
      </c>
      <c r="G16" s="41" t="n"/>
      <c r="H16" s="7" t="n"/>
      <c r="I16" s="24" t="inlineStr"/>
      <c r="J16" s="35" t="n">
        <v>45727</v>
      </c>
    </row>
    <row r="17">
      <c r="B17" s="41" t="inlineStr">
        <is>
          <t>CCMS_PARTYINF</t>
        </is>
      </c>
      <c r="C17" s="21" t="inlineStr">
        <is>
          <t>PSTCD</t>
        </is>
      </c>
      <c r="D17" s="21" t="inlineStr">
        <is>
          <t>VARCHAR(6)</t>
        </is>
      </c>
      <c r="E17" s="41" t="inlineStr">
        <is>
          <t>YES</t>
        </is>
      </c>
      <c r="F17" s="21" t="inlineStr">
        <is>
          <t>邮编</t>
        </is>
      </c>
      <c r="G17" s="41" t="n"/>
      <c r="H17" s="7" t="n"/>
      <c r="I17" s="24" t="inlineStr"/>
      <c r="J17" s="35" t="n">
        <v>45727</v>
      </c>
    </row>
    <row r="18">
      <c r="B18" s="41" t="inlineStr">
        <is>
          <t>CCMS_PARTYINF</t>
        </is>
      </c>
      <c r="C18" s="21" t="inlineStr">
        <is>
          <t>TEL</t>
        </is>
      </c>
      <c r="D18" s="21" t="inlineStr">
        <is>
          <t>VARCHAR(32)</t>
        </is>
      </c>
      <c r="E18" s="41" t="inlineStr">
        <is>
          <t>YES</t>
        </is>
      </c>
      <c r="F18" s="21" t="inlineStr">
        <is>
          <t>电话/电挂</t>
        </is>
      </c>
      <c r="G18" s="41" t="n"/>
      <c r="H18" s="7" t="n"/>
      <c r="I18" s="24" t="inlineStr"/>
      <c r="J18" s="35" t="n">
        <v>45727</v>
      </c>
    </row>
    <row r="19">
      <c r="B19" s="41" t="inlineStr">
        <is>
          <t>CCMS_PARTYINF</t>
        </is>
      </c>
      <c r="C19" s="21" t="inlineStr">
        <is>
          <t>EMAIL</t>
        </is>
      </c>
      <c r="D19" s="21" t="inlineStr">
        <is>
          <t>VARCHAR(120)</t>
        </is>
      </c>
      <c r="E19" s="41" t="inlineStr">
        <is>
          <t>YES</t>
        </is>
      </c>
      <c r="F19" s="21" t="inlineStr">
        <is>
          <t>电子邮件地址</t>
        </is>
      </c>
      <c r="G19" s="41" t="n"/>
      <c r="H19" s="11" t="n"/>
      <c r="I19" s="109" t="inlineStr"/>
      <c r="J19" s="44" t="n">
        <v>45727</v>
      </c>
    </row>
    <row r="20">
      <c r="B20" s="41" t="inlineStr">
        <is>
          <t>CCMS_PARTYINF</t>
        </is>
      </c>
      <c r="C20" s="21" t="inlineStr">
        <is>
          <t>EXPDATE</t>
        </is>
      </c>
      <c r="D20" s="21" t="inlineStr">
        <is>
          <t>VARCHAR(8)</t>
        </is>
      </c>
      <c r="E20" s="41" t="inlineStr">
        <is>
          <t>YES</t>
        </is>
      </c>
      <c r="F20" s="21" t="inlineStr">
        <is>
          <t>注销日期</t>
        </is>
      </c>
      <c r="G20" s="41" t="n"/>
      <c r="H20" s="12" t="n"/>
      <c r="I20" s="41" t="inlineStr"/>
      <c r="J20" s="42" t="n">
        <v>45727</v>
      </c>
    </row>
    <row r="21">
      <c r="B21" s="41" t="inlineStr">
        <is>
          <t>CCMS_PARTYINF</t>
        </is>
      </c>
      <c r="C21" s="21" t="inlineStr">
        <is>
          <t>RMKINF</t>
        </is>
      </c>
      <c r="D21" s="21" t="inlineStr">
        <is>
          <t>VARCHAR(210)</t>
        </is>
      </c>
      <c r="E21" s="41" t="inlineStr">
        <is>
          <t>YES</t>
        </is>
      </c>
      <c r="F21" s="21" t="inlineStr">
        <is>
          <t>备注</t>
        </is>
      </c>
      <c r="G21" s="21" t="n"/>
      <c r="H21" s="8" t="n"/>
      <c r="I21" s="21" t="n"/>
      <c r="J21" s="42" t="n">
        <v>45727</v>
      </c>
    </row>
    <row r="22">
      <c r="B22" s="41" t="inlineStr">
        <is>
          <t>CCMS_PARTYINF</t>
        </is>
      </c>
      <c r="C22" s="21" t="inlineStr">
        <is>
          <t>UPDDT</t>
        </is>
      </c>
      <c r="D22" s="21" t="inlineStr">
        <is>
          <t>VARCHAR(8)</t>
        </is>
      </c>
      <c r="E22" s="41" t="inlineStr">
        <is>
          <t>YES</t>
        </is>
      </c>
      <c r="F22" s="21" t="inlineStr">
        <is>
          <t>更新日期</t>
        </is>
      </c>
      <c r="G22" s="21" t="n"/>
      <c r="H22" s="8" t="n"/>
      <c r="I22" s="21" t="n"/>
      <c r="J22" s="42" t="n">
        <v>45727</v>
      </c>
    </row>
    <row r="23">
      <c r="B23" s="41" t="inlineStr">
        <is>
          <t>CCMS_PARTYINF</t>
        </is>
      </c>
      <c r="C23" s="21" t="inlineStr">
        <is>
          <t>UPDTM</t>
        </is>
      </c>
      <c r="D23" s="21" t="inlineStr">
        <is>
          <t>VARCHAR(8)</t>
        </is>
      </c>
      <c r="E23" s="41" t="inlineStr">
        <is>
          <t>YES</t>
        </is>
      </c>
      <c r="F23" s="21" t="inlineStr">
        <is>
          <t>更新时间</t>
        </is>
      </c>
      <c r="G23" s="21" t="n"/>
      <c r="H23" s="8" t="n"/>
      <c r="I23" s="21" t="n"/>
      <c r="J23" s="42" t="n">
        <v>45727</v>
      </c>
    </row>
    <row r="24">
      <c r="B24" s="41" t="inlineStr">
        <is>
          <t>CCMS_PARTYINF</t>
        </is>
      </c>
      <c r="C24" s="21" t="inlineStr">
        <is>
          <t>MKINFO1</t>
        </is>
      </c>
      <c r="D24" s="21" t="inlineStr">
        <is>
          <t>VARCHAR(4)</t>
        </is>
      </c>
      <c r="E24" s="41" t="inlineStr">
        <is>
          <t>YES</t>
        </is>
      </c>
      <c r="F24" s="21" t="inlineStr">
        <is>
          <t>备用字段1</t>
        </is>
      </c>
      <c r="G24" s="21" t="n"/>
      <c r="H24" s="8" t="n"/>
      <c r="I24" s="21" t="n"/>
      <c r="J24" s="42" t="n">
        <v>45727</v>
      </c>
    </row>
    <row r="25">
      <c r="B25" s="41" t="inlineStr">
        <is>
          <t>CCMS_PARTYINF</t>
        </is>
      </c>
      <c r="C25" s="21" t="inlineStr">
        <is>
          <t>MKINFO2</t>
        </is>
      </c>
      <c r="D25" s="21" t="inlineStr">
        <is>
          <t>VARCHAR(10)</t>
        </is>
      </c>
      <c r="E25" s="41" t="inlineStr">
        <is>
          <t>YES</t>
        </is>
      </c>
      <c r="F25" s="21" t="inlineStr">
        <is>
          <t>备用字段2</t>
        </is>
      </c>
      <c r="G25" s="21" t="n"/>
      <c r="H25" s="8" t="n"/>
      <c r="I25" s="21" t="n"/>
      <c r="J25" s="42" t="n">
        <v>45727</v>
      </c>
    </row>
    <row r="26">
      <c r="B26" s="41" t="inlineStr">
        <is>
          <t>CCMS_PARTYINF</t>
        </is>
      </c>
      <c r="C26" s="21" t="inlineStr">
        <is>
          <t>CREATETS</t>
        </is>
      </c>
      <c r="D26" s="21" t="inlineStr">
        <is>
          <t>TIMESTAMP(10)</t>
        </is>
      </c>
      <c r="E26" s="41" t="inlineStr">
        <is>
          <t>YES</t>
        </is>
      </c>
      <c r="F26" s="21" t="inlineStr">
        <is>
          <t>创建时间</t>
        </is>
      </c>
      <c r="G26" s="21" t="n"/>
      <c r="H26" s="8" t="n"/>
      <c r="I26" s="21" t="n"/>
      <c r="J26" s="42" t="n">
        <v>45727</v>
      </c>
    </row>
    <row r="27">
      <c r="B27" s="41" t="inlineStr">
        <is>
          <t>CCMS_PARTYINF</t>
        </is>
      </c>
      <c r="C27" s="21" t="inlineStr">
        <is>
          <t>UPDATETS</t>
        </is>
      </c>
      <c r="D27" s="21" t="inlineStr">
        <is>
          <t>TIMESTAMP(10)</t>
        </is>
      </c>
      <c r="E27" s="41" t="inlineStr">
        <is>
          <t>YES</t>
        </is>
      </c>
      <c r="F27" s="21" t="inlineStr">
        <is>
          <t>更新时间2</t>
        </is>
      </c>
      <c r="G27" s="21" t="n"/>
      <c r="H27" s="8" t="n"/>
      <c r="I27" s="21" t="n"/>
      <c r="J27" s="42" t="n">
        <v>45727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2023-01-17T19:51:00Z</dcterms:created>
  <dcterms:modified xsi:type="dcterms:W3CDTF">2025-03-25T10:09:58Z</dcterms:modified>
  <cp:lastModifiedBy>董洪斌</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
  </property>
  <property name="KSOProductBuildVer" fmtid="{D5CDD505-2E9C-101B-9397-08002B2CF9AE}" pid="3">
    <vt:lpwstr>2052-5.3.0.7863</vt:lpwstr>
  </property>
</Properties>
</file>